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ifi\Documents\Aulas\Inventario\Aulas\6 Analise dos Dados - Excel\"/>
    </mc:Choice>
  </mc:AlternateContent>
  <xr:revisionPtr revIDLastSave="0" documentId="13_ncr:1_{226522A9-B27B-4E64-87EF-1E103E43541E}" xr6:coauthVersionLast="47" xr6:coauthVersionMax="47" xr10:uidLastSave="{00000000-0000-0000-0000-000000000000}"/>
  <workbookProtection workbookAlgorithmName="SHA-512" workbookHashValue="TfQo347jcklQjrLRJd04zGSVx8POEU+jk4fPA+f1sK00Y9CBuHZCmeQBsdiFbGbX8+bYBAcFyEq/JqAaK+lelg==" workbookSaltValue="/OC9OdQOK4zOe/0UM51DYQ==" workbookSpinCount="100000" lockStructure="1"/>
  <bookViews>
    <workbookView xWindow="-108" yWindow="-108" windowWidth="23256" windowHeight="13896" xr2:uid="{96A78FC0-D00B-47CD-B37F-D4754688BD28}"/>
  </bookViews>
  <sheets>
    <sheet name="DADOS" sheetId="2" r:id="rId1"/>
    <sheet name="cal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4" i="1"/>
  <c r="B3" i="1"/>
  <c r="K10" i="2"/>
  <c r="K9" i="2"/>
  <c r="E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3" i="1"/>
  <c r="F4" i="1"/>
  <c r="K4" i="1" s="1"/>
  <c r="L4" i="1" s="1"/>
  <c r="F5" i="1"/>
  <c r="K5" i="1" s="1"/>
  <c r="L5" i="1" s="1"/>
  <c r="F6" i="1"/>
  <c r="K6" i="1" s="1"/>
  <c r="L6" i="1" s="1"/>
  <c r="F7" i="1"/>
  <c r="K7" i="1" s="1"/>
  <c r="L7" i="1" s="1"/>
  <c r="F8" i="1"/>
  <c r="K8" i="1" s="1"/>
  <c r="L8" i="1" s="1"/>
  <c r="F9" i="1"/>
  <c r="K9" i="1" s="1"/>
  <c r="L9" i="1" s="1"/>
  <c r="F10" i="1"/>
  <c r="K10" i="1" s="1"/>
  <c r="L10" i="1" s="1"/>
  <c r="F11" i="1"/>
  <c r="K11" i="1" s="1"/>
  <c r="L11" i="1" s="1"/>
  <c r="F12" i="1"/>
  <c r="K12" i="1" s="1"/>
  <c r="L12" i="1" s="1"/>
  <c r="F13" i="1"/>
  <c r="K13" i="1" s="1"/>
  <c r="L13" i="1" s="1"/>
  <c r="F14" i="1"/>
  <c r="K14" i="1" s="1"/>
  <c r="L14" i="1" s="1"/>
  <c r="F15" i="1"/>
  <c r="K15" i="1" s="1"/>
  <c r="L15" i="1" s="1"/>
  <c r="F16" i="1"/>
  <c r="K16" i="1" s="1"/>
  <c r="L16" i="1" s="1"/>
  <c r="F17" i="1"/>
  <c r="K17" i="1" s="1"/>
  <c r="L17" i="1" s="1"/>
  <c r="F18" i="1"/>
  <c r="K18" i="1" s="1"/>
  <c r="L18" i="1" s="1"/>
  <c r="F19" i="1"/>
  <c r="K19" i="1" s="1"/>
  <c r="L19" i="1" s="1"/>
  <c r="F20" i="1"/>
  <c r="K20" i="1" s="1"/>
  <c r="L20" i="1" s="1"/>
  <c r="F21" i="1"/>
  <c r="K21" i="1" s="1"/>
  <c r="L21" i="1" s="1"/>
  <c r="F22" i="1"/>
  <c r="K22" i="1" s="1"/>
  <c r="L22" i="1" s="1"/>
  <c r="F23" i="1"/>
  <c r="K23" i="1" s="1"/>
  <c r="L23" i="1" s="1"/>
  <c r="F24" i="1"/>
  <c r="K24" i="1" s="1"/>
  <c r="L24" i="1" s="1"/>
  <c r="F25" i="1"/>
  <c r="K25" i="1" s="1"/>
  <c r="L25" i="1" s="1"/>
  <c r="F26" i="1"/>
  <c r="K26" i="1" s="1"/>
  <c r="L26" i="1" s="1"/>
  <c r="F27" i="1"/>
  <c r="K27" i="1" s="1"/>
  <c r="L27" i="1" s="1"/>
  <c r="F28" i="1"/>
  <c r="K28" i="1" s="1"/>
  <c r="L28" i="1" s="1"/>
  <c r="F29" i="1"/>
  <c r="K29" i="1" s="1"/>
  <c r="F30" i="1"/>
  <c r="K30" i="1" s="1"/>
  <c r="F31" i="1"/>
  <c r="K31" i="1" s="1"/>
  <c r="F32" i="1"/>
  <c r="K32" i="1" s="1"/>
  <c r="F33" i="1"/>
  <c r="K33" i="1" s="1"/>
  <c r="F34" i="1"/>
  <c r="K34" i="1" s="1"/>
  <c r="F35" i="1"/>
  <c r="K35" i="1" s="1"/>
  <c r="F36" i="1"/>
  <c r="K36" i="1" s="1"/>
  <c r="F37" i="1"/>
  <c r="K37" i="1" s="1"/>
  <c r="F38" i="1"/>
  <c r="K38" i="1" s="1"/>
  <c r="F39" i="1"/>
  <c r="K39" i="1" s="1"/>
  <c r="F40" i="1"/>
  <c r="K40" i="1" s="1"/>
  <c r="F41" i="1"/>
  <c r="K41" i="1" s="1"/>
  <c r="F42" i="1"/>
  <c r="K42" i="1" s="1"/>
  <c r="F43" i="1"/>
  <c r="K43" i="1" s="1"/>
  <c r="F44" i="1"/>
  <c r="K44" i="1" s="1"/>
  <c r="F45" i="1"/>
  <c r="K45" i="1" s="1"/>
  <c r="F46" i="1"/>
  <c r="K46" i="1" s="1"/>
  <c r="F47" i="1"/>
  <c r="K47" i="1" s="1"/>
  <c r="F48" i="1"/>
  <c r="K48" i="1" s="1"/>
  <c r="F49" i="1"/>
  <c r="K49" i="1" s="1"/>
  <c r="F50" i="1"/>
  <c r="K50" i="1" s="1"/>
  <c r="F51" i="1"/>
  <c r="K51" i="1" s="1"/>
  <c r="F52" i="1"/>
  <c r="K52" i="1" s="1"/>
  <c r="F53" i="1"/>
  <c r="K53" i="1" s="1"/>
  <c r="F54" i="1"/>
  <c r="K54" i="1" s="1"/>
  <c r="F55" i="1"/>
  <c r="K55" i="1" s="1"/>
  <c r="F56" i="1"/>
  <c r="K56" i="1" s="1"/>
  <c r="F57" i="1"/>
  <c r="K57" i="1" s="1"/>
  <c r="F58" i="1"/>
  <c r="K58" i="1" s="1"/>
  <c r="F59" i="1"/>
  <c r="K59" i="1" s="1"/>
  <c r="F60" i="1"/>
  <c r="K60" i="1" s="1"/>
  <c r="F61" i="1"/>
  <c r="K61" i="1" s="1"/>
  <c r="F62" i="1"/>
  <c r="K62" i="1" s="1"/>
  <c r="F63" i="1"/>
  <c r="K63" i="1" s="1"/>
  <c r="F64" i="1"/>
  <c r="K64" i="1" s="1"/>
  <c r="F65" i="1"/>
  <c r="K65" i="1" s="1"/>
  <c r="F66" i="1"/>
  <c r="K66" i="1" s="1"/>
  <c r="F67" i="1"/>
  <c r="K67" i="1" s="1"/>
  <c r="F68" i="1"/>
  <c r="K68" i="1" s="1"/>
  <c r="F69" i="1"/>
  <c r="K69" i="1" s="1"/>
  <c r="F70" i="1"/>
  <c r="K70" i="1" s="1"/>
  <c r="F71" i="1"/>
  <c r="K71" i="1" s="1"/>
  <c r="F72" i="1"/>
  <c r="K72" i="1" s="1"/>
  <c r="F73" i="1"/>
  <c r="K73" i="1" s="1"/>
  <c r="F74" i="1"/>
  <c r="K74" i="1" s="1"/>
  <c r="F75" i="1"/>
  <c r="K75" i="1" s="1"/>
  <c r="F76" i="1"/>
  <c r="K76" i="1" s="1"/>
  <c r="F77" i="1"/>
  <c r="K77" i="1" s="1"/>
  <c r="F78" i="1"/>
  <c r="K78" i="1" s="1"/>
  <c r="F79" i="1"/>
  <c r="K79" i="1" s="1"/>
  <c r="F80" i="1"/>
  <c r="K80" i="1" s="1"/>
  <c r="F81" i="1"/>
  <c r="K81" i="1" s="1"/>
  <c r="F82" i="1"/>
  <c r="K82" i="1" s="1"/>
  <c r="F83" i="1"/>
  <c r="K83" i="1" s="1"/>
  <c r="F84" i="1"/>
  <c r="K84" i="1" s="1"/>
  <c r="F85" i="1"/>
  <c r="K85" i="1" s="1"/>
  <c r="F86" i="1"/>
  <c r="K86" i="1" s="1"/>
  <c r="F87" i="1"/>
  <c r="K87" i="1" s="1"/>
  <c r="F88" i="1"/>
  <c r="K88" i="1" s="1"/>
  <c r="F89" i="1"/>
  <c r="K89" i="1" s="1"/>
  <c r="F90" i="1"/>
  <c r="K90" i="1" s="1"/>
  <c r="F91" i="1"/>
  <c r="K91" i="1" s="1"/>
  <c r="F92" i="1"/>
  <c r="K92" i="1" s="1"/>
  <c r="F93" i="1"/>
  <c r="K93" i="1" s="1"/>
  <c r="F94" i="1"/>
  <c r="K94" i="1" s="1"/>
  <c r="F95" i="1"/>
  <c r="K95" i="1" s="1"/>
  <c r="F96" i="1"/>
  <c r="K96" i="1" s="1"/>
  <c r="F97" i="1"/>
  <c r="K97" i="1" s="1"/>
  <c r="F98" i="1"/>
  <c r="K98" i="1" s="1"/>
  <c r="F99" i="1"/>
  <c r="K99" i="1" s="1"/>
  <c r="F100" i="1"/>
  <c r="K100" i="1" s="1"/>
  <c r="F101" i="1"/>
  <c r="K101" i="1" s="1"/>
  <c r="F102" i="1"/>
  <c r="K102" i="1" s="1"/>
  <c r="F103" i="1"/>
  <c r="K103" i="1" s="1"/>
  <c r="F104" i="1"/>
  <c r="K104" i="1" s="1"/>
  <c r="F105" i="1"/>
  <c r="K105" i="1" s="1"/>
  <c r="F106" i="1"/>
  <c r="K106" i="1" s="1"/>
  <c r="F107" i="1"/>
  <c r="K107" i="1" s="1"/>
  <c r="F108" i="1"/>
  <c r="K108" i="1" s="1"/>
  <c r="F109" i="1"/>
  <c r="K109" i="1" s="1"/>
  <c r="F110" i="1"/>
  <c r="K110" i="1" s="1"/>
  <c r="F111" i="1"/>
  <c r="K111" i="1" s="1"/>
  <c r="F112" i="1"/>
  <c r="K112" i="1" s="1"/>
  <c r="F113" i="1"/>
  <c r="K113" i="1" s="1"/>
  <c r="F114" i="1"/>
  <c r="K114" i="1" s="1"/>
  <c r="F115" i="1"/>
  <c r="K115" i="1" s="1"/>
  <c r="F116" i="1"/>
  <c r="K116" i="1" s="1"/>
  <c r="F117" i="1"/>
  <c r="K117" i="1" s="1"/>
  <c r="F118" i="1"/>
  <c r="K118" i="1" s="1"/>
  <c r="F119" i="1"/>
  <c r="K119" i="1" s="1"/>
  <c r="F120" i="1"/>
  <c r="K120" i="1" s="1"/>
  <c r="F121" i="1"/>
  <c r="K121" i="1" s="1"/>
  <c r="F122" i="1"/>
  <c r="K122" i="1" s="1"/>
  <c r="F123" i="1"/>
  <c r="K123" i="1" s="1"/>
  <c r="F124" i="1"/>
  <c r="K124" i="1" s="1"/>
  <c r="F125" i="1"/>
  <c r="K125" i="1" s="1"/>
  <c r="F126" i="1"/>
  <c r="K126" i="1" s="1"/>
  <c r="F127" i="1"/>
  <c r="K127" i="1" s="1"/>
  <c r="F128" i="1"/>
  <c r="K128" i="1" s="1"/>
  <c r="F129" i="1"/>
  <c r="K129" i="1" s="1"/>
  <c r="F130" i="1"/>
  <c r="K130" i="1" s="1"/>
  <c r="F131" i="1"/>
  <c r="K131" i="1" s="1"/>
  <c r="F132" i="1"/>
  <c r="K132" i="1" s="1"/>
  <c r="F133" i="1"/>
  <c r="K133" i="1" s="1"/>
  <c r="F134" i="1"/>
  <c r="K134" i="1" s="1"/>
  <c r="F135" i="1"/>
  <c r="K135" i="1" s="1"/>
  <c r="F136" i="1"/>
  <c r="K136" i="1" s="1"/>
  <c r="F137" i="1"/>
  <c r="K137" i="1" s="1"/>
  <c r="F138" i="1"/>
  <c r="K138" i="1" s="1"/>
  <c r="F139" i="1"/>
  <c r="K139" i="1" s="1"/>
  <c r="F140" i="1"/>
  <c r="K140" i="1" s="1"/>
  <c r="F141" i="1"/>
  <c r="K141" i="1" s="1"/>
  <c r="F142" i="1"/>
  <c r="K142" i="1" s="1"/>
  <c r="F143" i="1"/>
  <c r="K143" i="1" s="1"/>
  <c r="F144" i="1"/>
  <c r="K144" i="1" s="1"/>
  <c r="F145" i="1"/>
  <c r="K145" i="1" s="1"/>
  <c r="F146" i="1"/>
  <c r="K146" i="1" s="1"/>
  <c r="F147" i="1"/>
  <c r="K147" i="1" s="1"/>
  <c r="F148" i="1"/>
  <c r="K148" i="1" s="1"/>
  <c r="F149" i="1"/>
  <c r="K149" i="1" s="1"/>
  <c r="F150" i="1"/>
  <c r="K150" i="1" s="1"/>
  <c r="F151" i="1"/>
  <c r="K151" i="1" s="1"/>
  <c r="F152" i="1"/>
  <c r="K152" i="1" s="1"/>
  <c r="F153" i="1"/>
  <c r="K153" i="1" s="1"/>
  <c r="F154" i="1"/>
  <c r="K154" i="1" s="1"/>
  <c r="F155" i="1"/>
  <c r="K155" i="1" s="1"/>
  <c r="F156" i="1"/>
  <c r="K156" i="1" s="1"/>
  <c r="F157" i="1"/>
  <c r="K157" i="1" s="1"/>
  <c r="F158" i="1"/>
  <c r="K158" i="1" s="1"/>
  <c r="F159" i="1"/>
  <c r="K159" i="1" s="1"/>
  <c r="F160" i="1"/>
  <c r="K160" i="1" s="1"/>
  <c r="F161" i="1"/>
  <c r="K161" i="1" s="1"/>
  <c r="F162" i="1"/>
  <c r="K162" i="1" s="1"/>
  <c r="F163" i="1"/>
  <c r="K163" i="1" s="1"/>
  <c r="F164" i="1"/>
  <c r="K164" i="1" s="1"/>
  <c r="F165" i="1"/>
  <c r="K165" i="1" s="1"/>
  <c r="F166" i="1"/>
  <c r="K166" i="1" s="1"/>
  <c r="F167" i="1"/>
  <c r="K167" i="1" s="1"/>
  <c r="F168" i="1"/>
  <c r="K168" i="1" s="1"/>
  <c r="F169" i="1"/>
  <c r="K169" i="1" s="1"/>
  <c r="F170" i="1"/>
  <c r="K170" i="1" s="1"/>
  <c r="F171" i="1"/>
  <c r="K171" i="1" s="1"/>
  <c r="F172" i="1"/>
  <c r="K172" i="1" s="1"/>
  <c r="F173" i="1"/>
  <c r="K173" i="1" s="1"/>
  <c r="F174" i="1"/>
  <c r="K174" i="1" s="1"/>
  <c r="F175" i="1"/>
  <c r="K175" i="1" s="1"/>
  <c r="F176" i="1"/>
  <c r="K176" i="1" s="1"/>
  <c r="F177" i="1"/>
  <c r="K177" i="1" s="1"/>
  <c r="F178" i="1"/>
  <c r="K178" i="1" s="1"/>
  <c r="F179" i="1"/>
  <c r="K179" i="1" s="1"/>
  <c r="F180" i="1"/>
  <c r="K180" i="1" s="1"/>
  <c r="F181" i="1"/>
  <c r="K181" i="1" s="1"/>
  <c r="F182" i="1"/>
  <c r="K182" i="1" s="1"/>
  <c r="F183" i="1"/>
  <c r="K183" i="1" s="1"/>
  <c r="F184" i="1"/>
  <c r="K184" i="1" s="1"/>
  <c r="F185" i="1"/>
  <c r="K185" i="1" s="1"/>
  <c r="F186" i="1"/>
  <c r="K186" i="1" s="1"/>
  <c r="F187" i="1"/>
  <c r="K187" i="1" s="1"/>
  <c r="F188" i="1"/>
  <c r="K188" i="1" s="1"/>
  <c r="F189" i="1"/>
  <c r="K189" i="1" s="1"/>
  <c r="F190" i="1"/>
  <c r="K190" i="1" s="1"/>
  <c r="F191" i="1"/>
  <c r="K191" i="1" s="1"/>
  <c r="F192" i="1"/>
  <c r="K192" i="1" s="1"/>
  <c r="F193" i="1"/>
  <c r="K193" i="1" s="1"/>
  <c r="F194" i="1"/>
  <c r="K194" i="1" s="1"/>
  <c r="F195" i="1"/>
  <c r="K195" i="1" s="1"/>
  <c r="F196" i="1"/>
  <c r="K196" i="1" s="1"/>
  <c r="F197" i="1"/>
  <c r="K197" i="1" s="1"/>
  <c r="F198" i="1"/>
  <c r="K198" i="1" s="1"/>
  <c r="F199" i="1"/>
  <c r="K199" i="1" s="1"/>
  <c r="F200" i="1"/>
  <c r="K200" i="1" s="1"/>
  <c r="F201" i="1"/>
  <c r="K201" i="1" s="1"/>
  <c r="F202" i="1"/>
  <c r="K202" i="1" s="1"/>
  <c r="F203" i="1"/>
  <c r="K203" i="1" s="1"/>
  <c r="F204" i="1"/>
  <c r="K204" i="1" s="1"/>
  <c r="F205" i="1"/>
  <c r="K205" i="1" s="1"/>
  <c r="F206" i="1"/>
  <c r="K206" i="1" s="1"/>
  <c r="F207" i="1"/>
  <c r="K207" i="1" s="1"/>
  <c r="F208" i="1"/>
  <c r="K208" i="1" s="1"/>
  <c r="F209" i="1"/>
  <c r="K209" i="1" s="1"/>
  <c r="F210" i="1"/>
  <c r="K210" i="1" s="1"/>
  <c r="F211" i="1"/>
  <c r="K211" i="1" s="1"/>
  <c r="F212" i="1"/>
  <c r="K212" i="1" s="1"/>
  <c r="F213" i="1"/>
  <c r="K213" i="1" s="1"/>
  <c r="F214" i="1"/>
  <c r="K214" i="1" s="1"/>
  <c r="F215" i="1"/>
  <c r="K215" i="1" s="1"/>
  <c r="F216" i="1"/>
  <c r="K216" i="1" s="1"/>
  <c r="F217" i="1"/>
  <c r="K217" i="1" s="1"/>
  <c r="F218" i="1"/>
  <c r="K218" i="1" s="1"/>
  <c r="F219" i="1"/>
  <c r="K219" i="1" s="1"/>
  <c r="F220" i="1"/>
  <c r="K220" i="1" s="1"/>
  <c r="F221" i="1"/>
  <c r="K221" i="1" s="1"/>
  <c r="F222" i="1"/>
  <c r="K222" i="1" s="1"/>
  <c r="F223" i="1"/>
  <c r="K223" i="1" s="1"/>
  <c r="F224" i="1"/>
  <c r="K224" i="1" s="1"/>
  <c r="F225" i="1"/>
  <c r="K225" i="1" s="1"/>
  <c r="F226" i="1"/>
  <c r="K226" i="1" s="1"/>
  <c r="F227" i="1"/>
  <c r="K227" i="1" s="1"/>
  <c r="F228" i="1"/>
  <c r="K228" i="1" s="1"/>
  <c r="F229" i="1"/>
  <c r="K229" i="1" s="1"/>
  <c r="F230" i="1"/>
  <c r="K230" i="1" s="1"/>
  <c r="F231" i="1"/>
  <c r="K231" i="1" s="1"/>
  <c r="F232" i="1"/>
  <c r="K232" i="1" s="1"/>
  <c r="F233" i="1"/>
  <c r="K233" i="1" s="1"/>
  <c r="F234" i="1"/>
  <c r="K234" i="1" s="1"/>
  <c r="F235" i="1"/>
  <c r="K235" i="1" s="1"/>
  <c r="F236" i="1"/>
  <c r="K236" i="1" s="1"/>
  <c r="F237" i="1"/>
  <c r="K237" i="1" s="1"/>
  <c r="F238" i="1"/>
  <c r="K238" i="1" s="1"/>
  <c r="F239" i="1"/>
  <c r="K239" i="1" s="1"/>
  <c r="F240" i="1"/>
  <c r="K240" i="1" s="1"/>
  <c r="F241" i="1"/>
  <c r="K241" i="1" s="1"/>
  <c r="F242" i="1"/>
  <c r="K242" i="1" s="1"/>
  <c r="F243" i="1"/>
  <c r="K243" i="1" s="1"/>
  <c r="F244" i="1"/>
  <c r="K244" i="1" s="1"/>
  <c r="F245" i="1"/>
  <c r="K245" i="1" s="1"/>
  <c r="F246" i="1"/>
  <c r="K246" i="1" s="1"/>
  <c r="F247" i="1"/>
  <c r="K247" i="1" s="1"/>
  <c r="F248" i="1"/>
  <c r="K248" i="1" s="1"/>
  <c r="F249" i="1"/>
  <c r="K249" i="1" s="1"/>
  <c r="F250" i="1"/>
  <c r="K250" i="1" s="1"/>
  <c r="F251" i="1"/>
  <c r="K251" i="1" s="1"/>
  <c r="F252" i="1"/>
  <c r="K252" i="1" s="1"/>
  <c r="F253" i="1"/>
  <c r="K253" i="1" s="1"/>
  <c r="F254" i="1"/>
  <c r="K254" i="1" s="1"/>
  <c r="F255" i="1"/>
  <c r="K255" i="1" s="1"/>
  <c r="F256" i="1"/>
  <c r="K256" i="1" s="1"/>
  <c r="F257" i="1"/>
  <c r="K257" i="1" s="1"/>
  <c r="F258" i="1"/>
  <c r="K258" i="1" s="1"/>
  <c r="F259" i="1"/>
  <c r="K259" i="1" s="1"/>
  <c r="F260" i="1"/>
  <c r="K260" i="1" s="1"/>
  <c r="F261" i="1"/>
  <c r="K261" i="1" s="1"/>
  <c r="F262" i="1"/>
  <c r="K262" i="1" s="1"/>
  <c r="F263" i="1"/>
  <c r="K263" i="1" s="1"/>
  <c r="F264" i="1"/>
  <c r="K264" i="1" s="1"/>
  <c r="F265" i="1"/>
  <c r="K265" i="1" s="1"/>
  <c r="F266" i="1"/>
  <c r="K266" i="1" s="1"/>
  <c r="F267" i="1"/>
  <c r="K267" i="1" s="1"/>
  <c r="F268" i="1"/>
  <c r="K268" i="1" s="1"/>
  <c r="F269" i="1"/>
  <c r="K269" i="1" s="1"/>
  <c r="F270" i="1"/>
  <c r="K270" i="1" s="1"/>
  <c r="F271" i="1"/>
  <c r="K271" i="1" s="1"/>
  <c r="F272" i="1"/>
  <c r="K272" i="1" s="1"/>
  <c r="F273" i="1"/>
  <c r="K273" i="1" s="1"/>
  <c r="F274" i="1"/>
  <c r="K274" i="1" s="1"/>
  <c r="F275" i="1"/>
  <c r="K275" i="1" s="1"/>
  <c r="F276" i="1"/>
  <c r="K276" i="1" s="1"/>
  <c r="F277" i="1"/>
  <c r="K277" i="1" s="1"/>
  <c r="F278" i="1"/>
  <c r="K278" i="1" s="1"/>
  <c r="F279" i="1"/>
  <c r="K279" i="1" s="1"/>
  <c r="F280" i="1"/>
  <c r="K280" i="1" s="1"/>
  <c r="F281" i="1"/>
  <c r="K281" i="1" s="1"/>
  <c r="F282" i="1"/>
  <c r="K282" i="1" s="1"/>
  <c r="F283" i="1"/>
  <c r="K283" i="1" s="1"/>
  <c r="F284" i="1"/>
  <c r="K284" i="1" s="1"/>
  <c r="F285" i="1"/>
  <c r="K285" i="1" s="1"/>
  <c r="F286" i="1"/>
  <c r="K286" i="1" s="1"/>
  <c r="F287" i="1"/>
  <c r="K287" i="1" s="1"/>
  <c r="F288" i="1"/>
  <c r="K288" i="1" s="1"/>
  <c r="F289" i="1"/>
  <c r="K289" i="1" s="1"/>
  <c r="F290" i="1"/>
  <c r="K290" i="1" s="1"/>
  <c r="F291" i="1"/>
  <c r="K291" i="1" s="1"/>
  <c r="F292" i="1"/>
  <c r="K292" i="1" s="1"/>
  <c r="F293" i="1"/>
  <c r="K293" i="1" s="1"/>
  <c r="F294" i="1"/>
  <c r="K294" i="1" s="1"/>
  <c r="F295" i="1"/>
  <c r="K295" i="1" s="1"/>
  <c r="F296" i="1"/>
  <c r="K296" i="1" s="1"/>
  <c r="F297" i="1"/>
  <c r="K297" i="1" s="1"/>
  <c r="F298" i="1"/>
  <c r="K298" i="1" s="1"/>
  <c r="F299" i="1"/>
  <c r="K299" i="1" s="1"/>
  <c r="F300" i="1"/>
  <c r="K300" i="1" s="1"/>
  <c r="F301" i="1"/>
  <c r="K301" i="1" s="1"/>
  <c r="F302" i="1"/>
  <c r="K302" i="1" s="1"/>
  <c r="F303" i="1"/>
  <c r="K303" i="1" s="1"/>
  <c r="F304" i="1"/>
  <c r="K304" i="1" s="1"/>
  <c r="F305" i="1"/>
  <c r="K305" i="1" s="1"/>
  <c r="F306" i="1"/>
  <c r="K306" i="1" s="1"/>
  <c r="F307" i="1"/>
  <c r="K307" i="1" s="1"/>
  <c r="F308" i="1"/>
  <c r="K308" i="1" s="1"/>
  <c r="F309" i="1"/>
  <c r="K309" i="1" s="1"/>
  <c r="F310" i="1"/>
  <c r="K310" i="1" s="1"/>
  <c r="F311" i="1"/>
  <c r="K311" i="1" s="1"/>
  <c r="F312" i="1"/>
  <c r="K312" i="1" s="1"/>
  <c r="F313" i="1"/>
  <c r="K313" i="1" s="1"/>
  <c r="F314" i="1"/>
  <c r="K314" i="1" s="1"/>
  <c r="F315" i="1"/>
  <c r="K315" i="1" s="1"/>
  <c r="F316" i="1"/>
  <c r="K316" i="1" s="1"/>
  <c r="F317" i="1"/>
  <c r="K317" i="1" s="1"/>
  <c r="F318" i="1"/>
  <c r="K318" i="1" s="1"/>
  <c r="F319" i="1"/>
  <c r="K319" i="1" s="1"/>
  <c r="F320" i="1"/>
  <c r="K320" i="1" s="1"/>
  <c r="F321" i="1"/>
  <c r="K321" i="1" s="1"/>
  <c r="F322" i="1"/>
  <c r="K322" i="1" s="1"/>
  <c r="F323" i="1"/>
  <c r="K323" i="1" s="1"/>
  <c r="F324" i="1"/>
  <c r="K324" i="1" s="1"/>
  <c r="F325" i="1"/>
  <c r="K325" i="1" s="1"/>
  <c r="F326" i="1"/>
  <c r="K326" i="1" s="1"/>
  <c r="F327" i="1"/>
  <c r="K327" i="1" s="1"/>
  <c r="F328" i="1"/>
  <c r="K328" i="1" s="1"/>
  <c r="F329" i="1"/>
  <c r="K329" i="1" s="1"/>
  <c r="F330" i="1"/>
  <c r="K330" i="1" s="1"/>
  <c r="F331" i="1"/>
  <c r="K331" i="1" s="1"/>
  <c r="F332" i="1"/>
  <c r="K332" i="1" s="1"/>
  <c r="F333" i="1"/>
  <c r="K333" i="1" s="1"/>
  <c r="F334" i="1"/>
  <c r="K334" i="1" s="1"/>
  <c r="F335" i="1"/>
  <c r="K335" i="1" s="1"/>
  <c r="F336" i="1"/>
  <c r="K336" i="1" s="1"/>
  <c r="F337" i="1"/>
  <c r="K337" i="1" s="1"/>
  <c r="F338" i="1"/>
  <c r="K338" i="1" s="1"/>
  <c r="F339" i="1"/>
  <c r="K339" i="1" s="1"/>
  <c r="F340" i="1"/>
  <c r="K340" i="1" s="1"/>
  <c r="F341" i="1"/>
  <c r="K341" i="1" s="1"/>
  <c r="F342" i="1"/>
  <c r="K342" i="1" s="1"/>
  <c r="F343" i="1"/>
  <c r="K343" i="1" s="1"/>
  <c r="F344" i="1"/>
  <c r="K344" i="1" s="1"/>
  <c r="F345" i="1"/>
  <c r="K345" i="1" s="1"/>
  <c r="F346" i="1"/>
  <c r="K346" i="1" s="1"/>
  <c r="F347" i="1"/>
  <c r="K347" i="1" s="1"/>
  <c r="F348" i="1"/>
  <c r="K348" i="1" s="1"/>
  <c r="F349" i="1"/>
  <c r="K349" i="1" s="1"/>
  <c r="F350" i="1"/>
  <c r="K350" i="1" s="1"/>
  <c r="F351" i="1"/>
  <c r="K351" i="1" s="1"/>
  <c r="F352" i="1"/>
  <c r="K352" i="1" s="1"/>
  <c r="F353" i="1"/>
  <c r="K353" i="1" s="1"/>
  <c r="F354" i="1"/>
  <c r="K354" i="1" s="1"/>
  <c r="F355" i="1"/>
  <c r="K355" i="1" s="1"/>
  <c r="F356" i="1"/>
  <c r="K356" i="1" s="1"/>
  <c r="F357" i="1"/>
  <c r="K357" i="1" s="1"/>
  <c r="F358" i="1"/>
  <c r="K358" i="1" s="1"/>
  <c r="F359" i="1"/>
  <c r="K359" i="1" s="1"/>
  <c r="F360" i="1"/>
  <c r="K360" i="1" s="1"/>
  <c r="F361" i="1"/>
  <c r="K361" i="1" s="1"/>
  <c r="F362" i="1"/>
  <c r="K362" i="1" s="1"/>
  <c r="F363" i="1"/>
  <c r="K363" i="1" s="1"/>
  <c r="F364" i="1"/>
  <c r="K364" i="1" s="1"/>
  <c r="F365" i="1"/>
  <c r="K365" i="1" s="1"/>
  <c r="F366" i="1"/>
  <c r="K366" i="1" s="1"/>
  <c r="F367" i="1"/>
  <c r="K367" i="1" s="1"/>
  <c r="F368" i="1"/>
  <c r="K368" i="1" s="1"/>
  <c r="F369" i="1"/>
  <c r="K369" i="1" s="1"/>
  <c r="F370" i="1"/>
  <c r="K370" i="1" s="1"/>
  <c r="F371" i="1"/>
  <c r="K371" i="1" s="1"/>
  <c r="F372" i="1"/>
  <c r="K372" i="1" s="1"/>
  <c r="F373" i="1"/>
  <c r="K373" i="1" s="1"/>
  <c r="F374" i="1"/>
  <c r="K374" i="1" s="1"/>
  <c r="F375" i="1"/>
  <c r="K375" i="1" s="1"/>
  <c r="F376" i="1"/>
  <c r="K376" i="1" s="1"/>
  <c r="F377" i="1"/>
  <c r="K377" i="1" s="1"/>
  <c r="F378" i="1"/>
  <c r="K378" i="1" s="1"/>
  <c r="F379" i="1"/>
  <c r="K379" i="1" s="1"/>
  <c r="F380" i="1"/>
  <c r="K380" i="1" s="1"/>
  <c r="F381" i="1"/>
  <c r="K381" i="1" s="1"/>
  <c r="F382" i="1"/>
  <c r="K382" i="1" s="1"/>
  <c r="F383" i="1"/>
  <c r="K383" i="1" s="1"/>
  <c r="F384" i="1"/>
  <c r="K384" i="1" s="1"/>
  <c r="F385" i="1"/>
  <c r="K385" i="1" s="1"/>
  <c r="F386" i="1"/>
  <c r="K386" i="1" s="1"/>
  <c r="F387" i="1"/>
  <c r="K387" i="1" s="1"/>
  <c r="F388" i="1"/>
  <c r="K388" i="1" s="1"/>
  <c r="F389" i="1"/>
  <c r="K389" i="1" s="1"/>
  <c r="F390" i="1"/>
  <c r="K390" i="1" s="1"/>
  <c r="F391" i="1"/>
  <c r="K391" i="1" s="1"/>
  <c r="F392" i="1"/>
  <c r="K392" i="1" s="1"/>
  <c r="F393" i="1"/>
  <c r="K393" i="1" s="1"/>
  <c r="F394" i="1"/>
  <c r="K394" i="1" s="1"/>
  <c r="F395" i="1"/>
  <c r="K395" i="1" s="1"/>
  <c r="F396" i="1"/>
  <c r="K396" i="1" s="1"/>
  <c r="F397" i="1"/>
  <c r="K397" i="1" s="1"/>
  <c r="F398" i="1"/>
  <c r="K398" i="1" s="1"/>
  <c r="F399" i="1"/>
  <c r="K399" i="1" s="1"/>
  <c r="F400" i="1"/>
  <c r="K400" i="1" s="1"/>
  <c r="F401" i="1"/>
  <c r="K401" i="1" s="1"/>
  <c r="F402" i="1"/>
  <c r="K402" i="1" s="1"/>
  <c r="F403" i="1"/>
  <c r="K403" i="1" s="1"/>
  <c r="F404" i="1"/>
  <c r="K404" i="1" s="1"/>
  <c r="F405" i="1"/>
  <c r="K405" i="1" s="1"/>
  <c r="F406" i="1"/>
  <c r="K406" i="1" s="1"/>
  <c r="F407" i="1"/>
  <c r="K407" i="1" s="1"/>
  <c r="F408" i="1"/>
  <c r="K408" i="1" s="1"/>
  <c r="F409" i="1"/>
  <c r="K409" i="1" s="1"/>
  <c r="F410" i="1"/>
  <c r="K410" i="1" s="1"/>
  <c r="F411" i="1"/>
  <c r="K411" i="1" s="1"/>
  <c r="F412" i="1"/>
  <c r="K412" i="1" s="1"/>
  <c r="F413" i="1"/>
  <c r="K413" i="1" s="1"/>
  <c r="F414" i="1"/>
  <c r="K414" i="1" s="1"/>
  <c r="F415" i="1"/>
  <c r="K415" i="1" s="1"/>
  <c r="F416" i="1"/>
  <c r="K416" i="1" s="1"/>
  <c r="F417" i="1"/>
  <c r="K417" i="1" s="1"/>
  <c r="F418" i="1"/>
  <c r="K418" i="1" s="1"/>
  <c r="F419" i="1"/>
  <c r="K419" i="1" s="1"/>
  <c r="F420" i="1"/>
  <c r="K420" i="1" s="1"/>
  <c r="F421" i="1"/>
  <c r="K421" i="1" s="1"/>
  <c r="F422" i="1"/>
  <c r="K422" i="1" s="1"/>
  <c r="F423" i="1"/>
  <c r="K423" i="1" s="1"/>
  <c r="F424" i="1"/>
  <c r="K424" i="1" s="1"/>
  <c r="F425" i="1"/>
  <c r="K425" i="1" s="1"/>
  <c r="F426" i="1"/>
  <c r="K426" i="1" s="1"/>
  <c r="F427" i="1"/>
  <c r="K427" i="1" s="1"/>
  <c r="F428" i="1"/>
  <c r="K428" i="1" s="1"/>
  <c r="F429" i="1"/>
  <c r="K429" i="1" s="1"/>
  <c r="F430" i="1"/>
  <c r="K430" i="1" s="1"/>
  <c r="F431" i="1"/>
  <c r="K431" i="1" s="1"/>
  <c r="F432" i="1"/>
  <c r="K432" i="1" s="1"/>
  <c r="F433" i="1"/>
  <c r="K433" i="1" s="1"/>
  <c r="F434" i="1"/>
  <c r="K434" i="1" s="1"/>
  <c r="F435" i="1"/>
  <c r="K435" i="1" s="1"/>
  <c r="F436" i="1"/>
  <c r="K436" i="1" s="1"/>
  <c r="F437" i="1"/>
  <c r="K437" i="1" s="1"/>
  <c r="F438" i="1"/>
  <c r="K438" i="1" s="1"/>
  <c r="F439" i="1"/>
  <c r="K439" i="1" s="1"/>
  <c r="F440" i="1"/>
  <c r="K440" i="1" s="1"/>
  <c r="F441" i="1"/>
  <c r="K441" i="1" s="1"/>
  <c r="F442" i="1"/>
  <c r="K442" i="1" s="1"/>
  <c r="F443" i="1"/>
  <c r="K443" i="1" s="1"/>
  <c r="F444" i="1"/>
  <c r="K444" i="1" s="1"/>
  <c r="F445" i="1"/>
  <c r="K445" i="1" s="1"/>
  <c r="F446" i="1"/>
  <c r="K446" i="1" s="1"/>
  <c r="F447" i="1"/>
  <c r="K447" i="1" s="1"/>
  <c r="F448" i="1"/>
  <c r="K448" i="1" s="1"/>
  <c r="F449" i="1"/>
  <c r="K449" i="1" s="1"/>
  <c r="F450" i="1"/>
  <c r="K450" i="1" s="1"/>
  <c r="F451" i="1"/>
  <c r="K451" i="1" s="1"/>
  <c r="F452" i="1"/>
  <c r="K452" i="1" s="1"/>
  <c r="F453" i="1"/>
  <c r="K453" i="1" s="1"/>
  <c r="F454" i="1"/>
  <c r="K454" i="1" s="1"/>
  <c r="F455" i="1"/>
  <c r="K455" i="1" s="1"/>
  <c r="F456" i="1"/>
  <c r="K456" i="1" s="1"/>
  <c r="F457" i="1"/>
  <c r="K457" i="1" s="1"/>
  <c r="F458" i="1"/>
  <c r="K458" i="1" s="1"/>
  <c r="F459" i="1"/>
  <c r="K459" i="1" s="1"/>
  <c r="F460" i="1"/>
  <c r="K460" i="1" s="1"/>
  <c r="F461" i="1"/>
  <c r="K461" i="1" s="1"/>
  <c r="F462" i="1"/>
  <c r="K462" i="1" s="1"/>
  <c r="F463" i="1"/>
  <c r="K463" i="1" s="1"/>
  <c r="F464" i="1"/>
  <c r="K464" i="1" s="1"/>
  <c r="F465" i="1"/>
  <c r="K465" i="1" s="1"/>
  <c r="F466" i="1"/>
  <c r="K466" i="1" s="1"/>
  <c r="F467" i="1"/>
  <c r="K467" i="1" s="1"/>
  <c r="F468" i="1"/>
  <c r="K468" i="1" s="1"/>
  <c r="F469" i="1"/>
  <c r="K469" i="1" s="1"/>
  <c r="F470" i="1"/>
  <c r="K470" i="1" s="1"/>
  <c r="F471" i="1"/>
  <c r="K471" i="1" s="1"/>
  <c r="F472" i="1"/>
  <c r="K472" i="1" s="1"/>
  <c r="F473" i="1"/>
  <c r="K473" i="1" s="1"/>
  <c r="F474" i="1"/>
  <c r="K474" i="1" s="1"/>
  <c r="F475" i="1"/>
  <c r="K475" i="1" s="1"/>
  <c r="F476" i="1"/>
  <c r="K476" i="1" s="1"/>
  <c r="F477" i="1"/>
  <c r="K477" i="1" s="1"/>
  <c r="F478" i="1"/>
  <c r="K478" i="1" s="1"/>
  <c r="F479" i="1"/>
  <c r="K479" i="1" s="1"/>
  <c r="F480" i="1"/>
  <c r="K480" i="1" s="1"/>
  <c r="F481" i="1"/>
  <c r="K481" i="1" s="1"/>
  <c r="F482" i="1"/>
  <c r="K482" i="1" s="1"/>
  <c r="F483" i="1"/>
  <c r="K483" i="1" s="1"/>
  <c r="F484" i="1"/>
  <c r="K484" i="1" s="1"/>
  <c r="F485" i="1"/>
  <c r="K485" i="1" s="1"/>
  <c r="F486" i="1"/>
  <c r="K486" i="1" s="1"/>
  <c r="F487" i="1"/>
  <c r="K487" i="1" s="1"/>
  <c r="F488" i="1"/>
  <c r="K488" i="1" s="1"/>
  <c r="F489" i="1"/>
  <c r="K489" i="1" s="1"/>
  <c r="F490" i="1"/>
  <c r="K490" i="1" s="1"/>
  <c r="F491" i="1"/>
  <c r="K491" i="1" s="1"/>
  <c r="F492" i="1"/>
  <c r="K492" i="1" s="1"/>
  <c r="F493" i="1"/>
  <c r="K493" i="1" s="1"/>
  <c r="F494" i="1"/>
  <c r="K494" i="1" s="1"/>
  <c r="F495" i="1"/>
  <c r="K495" i="1" s="1"/>
  <c r="F496" i="1"/>
  <c r="K496" i="1" s="1"/>
  <c r="F497" i="1"/>
  <c r="K497" i="1" s="1"/>
  <c r="F498" i="1"/>
  <c r="K498" i="1" s="1"/>
  <c r="F499" i="1"/>
  <c r="K499" i="1" s="1"/>
  <c r="F500" i="1"/>
  <c r="K500" i="1" s="1"/>
  <c r="F501" i="1"/>
  <c r="K501" i="1" s="1"/>
  <c r="F502" i="1"/>
  <c r="K502" i="1" s="1"/>
  <c r="F503" i="1"/>
  <c r="K503" i="1" s="1"/>
  <c r="F504" i="1"/>
  <c r="K504" i="1" s="1"/>
  <c r="F505" i="1"/>
  <c r="K505" i="1" s="1"/>
  <c r="F506" i="1"/>
  <c r="K506" i="1" s="1"/>
  <c r="F507" i="1"/>
  <c r="K507" i="1" s="1"/>
  <c r="F508" i="1"/>
  <c r="K508" i="1" s="1"/>
  <c r="F509" i="1"/>
  <c r="K509" i="1" s="1"/>
  <c r="F510" i="1"/>
  <c r="K510" i="1" s="1"/>
  <c r="F511" i="1"/>
  <c r="K511" i="1" s="1"/>
  <c r="F512" i="1"/>
  <c r="K512" i="1" s="1"/>
  <c r="F513" i="1"/>
  <c r="K513" i="1" s="1"/>
  <c r="F514" i="1"/>
  <c r="K514" i="1" s="1"/>
  <c r="F515" i="1"/>
  <c r="K515" i="1" s="1"/>
  <c r="F516" i="1"/>
  <c r="K516" i="1" s="1"/>
  <c r="F517" i="1"/>
  <c r="K517" i="1" s="1"/>
  <c r="F518" i="1"/>
  <c r="K518" i="1" s="1"/>
  <c r="F519" i="1"/>
  <c r="K519" i="1" s="1"/>
  <c r="F520" i="1"/>
  <c r="K520" i="1" s="1"/>
  <c r="F521" i="1"/>
  <c r="K521" i="1" s="1"/>
  <c r="F522" i="1"/>
  <c r="K522" i="1" s="1"/>
  <c r="F523" i="1"/>
  <c r="K523" i="1" s="1"/>
  <c r="F524" i="1"/>
  <c r="K524" i="1" s="1"/>
  <c r="F525" i="1"/>
  <c r="K525" i="1" s="1"/>
  <c r="F526" i="1"/>
  <c r="K526" i="1" s="1"/>
  <c r="F527" i="1"/>
  <c r="K527" i="1" s="1"/>
  <c r="F528" i="1"/>
  <c r="K528" i="1" s="1"/>
  <c r="F529" i="1"/>
  <c r="K529" i="1" s="1"/>
  <c r="F530" i="1"/>
  <c r="K530" i="1" s="1"/>
  <c r="F531" i="1"/>
  <c r="K531" i="1" s="1"/>
  <c r="F532" i="1"/>
  <c r="K532" i="1" s="1"/>
  <c r="F533" i="1"/>
  <c r="K533" i="1" s="1"/>
  <c r="F534" i="1"/>
  <c r="K534" i="1" s="1"/>
  <c r="F535" i="1"/>
  <c r="K535" i="1" s="1"/>
  <c r="F536" i="1"/>
  <c r="K536" i="1" s="1"/>
  <c r="F537" i="1"/>
  <c r="K537" i="1" s="1"/>
  <c r="F538" i="1"/>
  <c r="K538" i="1" s="1"/>
  <c r="F539" i="1"/>
  <c r="K539" i="1" s="1"/>
  <c r="F540" i="1"/>
  <c r="K540" i="1" s="1"/>
  <c r="F541" i="1"/>
  <c r="K541" i="1" s="1"/>
  <c r="F542" i="1"/>
  <c r="K542" i="1" s="1"/>
  <c r="F543" i="1"/>
  <c r="K543" i="1" s="1"/>
  <c r="F544" i="1"/>
  <c r="K544" i="1" s="1"/>
  <c r="F545" i="1"/>
  <c r="K545" i="1" s="1"/>
  <c r="F546" i="1"/>
  <c r="K546" i="1" s="1"/>
  <c r="F547" i="1"/>
  <c r="K547" i="1" s="1"/>
  <c r="F548" i="1"/>
  <c r="K548" i="1" s="1"/>
  <c r="F549" i="1"/>
  <c r="K549" i="1" s="1"/>
  <c r="F550" i="1"/>
  <c r="K550" i="1" s="1"/>
  <c r="F551" i="1"/>
  <c r="K551" i="1" s="1"/>
  <c r="F552" i="1"/>
  <c r="K552" i="1" s="1"/>
  <c r="F553" i="1"/>
  <c r="K553" i="1" s="1"/>
  <c r="F554" i="1"/>
  <c r="K554" i="1" s="1"/>
  <c r="F555" i="1"/>
  <c r="K555" i="1" s="1"/>
  <c r="F556" i="1"/>
  <c r="K556" i="1" s="1"/>
  <c r="F557" i="1"/>
  <c r="K557" i="1" s="1"/>
  <c r="F558" i="1"/>
  <c r="K558" i="1" s="1"/>
  <c r="F559" i="1"/>
  <c r="K559" i="1" s="1"/>
  <c r="F560" i="1"/>
  <c r="K560" i="1" s="1"/>
  <c r="F561" i="1"/>
  <c r="K561" i="1" s="1"/>
  <c r="F562" i="1"/>
  <c r="K562" i="1" s="1"/>
  <c r="F563" i="1"/>
  <c r="K563" i="1" s="1"/>
  <c r="F564" i="1"/>
  <c r="K564" i="1" s="1"/>
  <c r="F565" i="1"/>
  <c r="K565" i="1" s="1"/>
  <c r="F566" i="1"/>
  <c r="K566" i="1" s="1"/>
  <c r="F567" i="1"/>
  <c r="K567" i="1" s="1"/>
  <c r="F568" i="1"/>
  <c r="K568" i="1" s="1"/>
  <c r="F569" i="1"/>
  <c r="K569" i="1" s="1"/>
  <c r="F570" i="1"/>
  <c r="K570" i="1" s="1"/>
  <c r="F571" i="1"/>
  <c r="K571" i="1" s="1"/>
  <c r="F572" i="1"/>
  <c r="K572" i="1" s="1"/>
  <c r="F573" i="1"/>
  <c r="K573" i="1" s="1"/>
  <c r="F574" i="1"/>
  <c r="K574" i="1" s="1"/>
  <c r="F575" i="1"/>
  <c r="K575" i="1" s="1"/>
  <c r="F576" i="1"/>
  <c r="K576" i="1" s="1"/>
  <c r="F577" i="1"/>
  <c r="K577" i="1" s="1"/>
  <c r="F578" i="1"/>
  <c r="K578" i="1" s="1"/>
  <c r="F579" i="1"/>
  <c r="K579" i="1" s="1"/>
  <c r="F580" i="1"/>
  <c r="K580" i="1" s="1"/>
  <c r="F581" i="1"/>
  <c r="K581" i="1" s="1"/>
  <c r="F582" i="1"/>
  <c r="K582" i="1" s="1"/>
  <c r="F583" i="1"/>
  <c r="K583" i="1" s="1"/>
  <c r="F584" i="1"/>
  <c r="K584" i="1" s="1"/>
  <c r="F585" i="1"/>
  <c r="K585" i="1" s="1"/>
  <c r="F586" i="1"/>
  <c r="K586" i="1" s="1"/>
  <c r="F587" i="1"/>
  <c r="K587" i="1" s="1"/>
  <c r="F588" i="1"/>
  <c r="K588" i="1" s="1"/>
  <c r="F589" i="1"/>
  <c r="K589" i="1" s="1"/>
  <c r="F590" i="1"/>
  <c r="K590" i="1" s="1"/>
  <c r="F591" i="1"/>
  <c r="K591" i="1" s="1"/>
  <c r="F592" i="1"/>
  <c r="K592" i="1" s="1"/>
  <c r="F593" i="1"/>
  <c r="K593" i="1" s="1"/>
  <c r="F594" i="1"/>
  <c r="K594" i="1" s="1"/>
  <c r="F595" i="1"/>
  <c r="K595" i="1" s="1"/>
  <c r="F596" i="1"/>
  <c r="K596" i="1" s="1"/>
  <c r="F597" i="1"/>
  <c r="K597" i="1" s="1"/>
  <c r="F598" i="1"/>
  <c r="K598" i="1" s="1"/>
  <c r="F599" i="1"/>
  <c r="K599" i="1" s="1"/>
  <c r="F600" i="1"/>
  <c r="K600" i="1" s="1"/>
  <c r="F601" i="1"/>
  <c r="K601" i="1" s="1"/>
  <c r="F602" i="1"/>
  <c r="K602" i="1" s="1"/>
  <c r="F603" i="1"/>
  <c r="K603" i="1" s="1"/>
  <c r="F604" i="1"/>
  <c r="K604" i="1" s="1"/>
  <c r="F605" i="1"/>
  <c r="K605" i="1" s="1"/>
  <c r="F606" i="1"/>
  <c r="K606" i="1" s="1"/>
  <c r="F607" i="1"/>
  <c r="K607" i="1" s="1"/>
  <c r="F608" i="1"/>
  <c r="K608" i="1" s="1"/>
  <c r="F609" i="1"/>
  <c r="K609" i="1" s="1"/>
  <c r="F610" i="1"/>
  <c r="K610" i="1" s="1"/>
  <c r="F611" i="1"/>
  <c r="K611" i="1" s="1"/>
  <c r="F612" i="1"/>
  <c r="K612" i="1" s="1"/>
  <c r="F613" i="1"/>
  <c r="K613" i="1" s="1"/>
  <c r="F614" i="1"/>
  <c r="K614" i="1" s="1"/>
  <c r="F615" i="1"/>
  <c r="K615" i="1" s="1"/>
  <c r="F616" i="1"/>
  <c r="K616" i="1" s="1"/>
  <c r="F617" i="1"/>
  <c r="K617" i="1" s="1"/>
  <c r="F618" i="1"/>
  <c r="K618" i="1" s="1"/>
  <c r="F619" i="1"/>
  <c r="K619" i="1" s="1"/>
  <c r="F620" i="1"/>
  <c r="K620" i="1" s="1"/>
  <c r="F621" i="1"/>
  <c r="K621" i="1" s="1"/>
  <c r="F622" i="1"/>
  <c r="K622" i="1" s="1"/>
  <c r="F623" i="1"/>
  <c r="K623" i="1" s="1"/>
  <c r="F624" i="1"/>
  <c r="K624" i="1" s="1"/>
  <c r="F625" i="1"/>
  <c r="K625" i="1" s="1"/>
  <c r="F626" i="1"/>
  <c r="K626" i="1" s="1"/>
  <c r="F627" i="1"/>
  <c r="K627" i="1" s="1"/>
  <c r="F628" i="1"/>
  <c r="K628" i="1" s="1"/>
  <c r="F629" i="1"/>
  <c r="K629" i="1" s="1"/>
  <c r="F630" i="1"/>
  <c r="K630" i="1" s="1"/>
  <c r="F631" i="1"/>
  <c r="K631" i="1" s="1"/>
  <c r="F632" i="1"/>
  <c r="K632" i="1" s="1"/>
  <c r="F633" i="1"/>
  <c r="K633" i="1" s="1"/>
  <c r="F634" i="1"/>
  <c r="K634" i="1" s="1"/>
  <c r="F635" i="1"/>
  <c r="K635" i="1" s="1"/>
  <c r="F636" i="1"/>
  <c r="K636" i="1" s="1"/>
  <c r="F637" i="1"/>
  <c r="K637" i="1" s="1"/>
  <c r="F638" i="1"/>
  <c r="K638" i="1" s="1"/>
  <c r="F639" i="1"/>
  <c r="K639" i="1" s="1"/>
  <c r="F640" i="1"/>
  <c r="K640" i="1" s="1"/>
  <c r="F641" i="1"/>
  <c r="K641" i="1" s="1"/>
  <c r="F642" i="1"/>
  <c r="K642" i="1" s="1"/>
  <c r="F643" i="1"/>
  <c r="K643" i="1" s="1"/>
  <c r="F644" i="1"/>
  <c r="K644" i="1" s="1"/>
  <c r="F645" i="1"/>
  <c r="K645" i="1" s="1"/>
  <c r="F646" i="1"/>
  <c r="K646" i="1" s="1"/>
  <c r="F647" i="1"/>
  <c r="K647" i="1" s="1"/>
  <c r="F648" i="1"/>
  <c r="K648" i="1" s="1"/>
  <c r="F649" i="1"/>
  <c r="K649" i="1" s="1"/>
  <c r="F650" i="1"/>
  <c r="K650" i="1" s="1"/>
  <c r="F651" i="1"/>
  <c r="K651" i="1" s="1"/>
  <c r="F652" i="1"/>
  <c r="K652" i="1" s="1"/>
  <c r="F653" i="1"/>
  <c r="K653" i="1" s="1"/>
  <c r="F654" i="1"/>
  <c r="K654" i="1" s="1"/>
  <c r="F655" i="1"/>
  <c r="K655" i="1" s="1"/>
  <c r="F656" i="1"/>
  <c r="K656" i="1" s="1"/>
  <c r="F657" i="1"/>
  <c r="K657" i="1" s="1"/>
  <c r="F658" i="1"/>
  <c r="K658" i="1" s="1"/>
  <c r="F659" i="1"/>
  <c r="K659" i="1" s="1"/>
  <c r="F660" i="1"/>
  <c r="K660" i="1" s="1"/>
  <c r="F661" i="1"/>
  <c r="K661" i="1" s="1"/>
  <c r="F662" i="1"/>
  <c r="K662" i="1" s="1"/>
  <c r="F663" i="1"/>
  <c r="K663" i="1" s="1"/>
  <c r="F664" i="1"/>
  <c r="K664" i="1" s="1"/>
  <c r="F665" i="1"/>
  <c r="K665" i="1" s="1"/>
  <c r="F666" i="1"/>
  <c r="K666" i="1" s="1"/>
  <c r="F667" i="1"/>
  <c r="K667" i="1" s="1"/>
  <c r="F668" i="1"/>
  <c r="K668" i="1" s="1"/>
  <c r="F669" i="1"/>
  <c r="K669" i="1" s="1"/>
  <c r="F670" i="1"/>
  <c r="K670" i="1" s="1"/>
  <c r="F671" i="1"/>
  <c r="K671" i="1" s="1"/>
  <c r="F672" i="1"/>
  <c r="K672" i="1" s="1"/>
  <c r="F673" i="1"/>
  <c r="K673" i="1" s="1"/>
  <c r="F674" i="1"/>
  <c r="K674" i="1" s="1"/>
  <c r="F675" i="1"/>
  <c r="K675" i="1" s="1"/>
  <c r="F676" i="1"/>
  <c r="K676" i="1" s="1"/>
  <c r="F677" i="1"/>
  <c r="K677" i="1" s="1"/>
  <c r="F678" i="1"/>
  <c r="K678" i="1" s="1"/>
  <c r="F679" i="1"/>
  <c r="K679" i="1" s="1"/>
  <c r="F680" i="1"/>
  <c r="K680" i="1" s="1"/>
  <c r="F681" i="1"/>
  <c r="K681" i="1" s="1"/>
  <c r="F682" i="1"/>
  <c r="K682" i="1" s="1"/>
  <c r="F683" i="1"/>
  <c r="K683" i="1" s="1"/>
  <c r="F684" i="1"/>
  <c r="K684" i="1" s="1"/>
  <c r="F685" i="1"/>
  <c r="K685" i="1" s="1"/>
  <c r="F686" i="1"/>
  <c r="K686" i="1" s="1"/>
  <c r="F687" i="1"/>
  <c r="K687" i="1" s="1"/>
  <c r="F688" i="1"/>
  <c r="K688" i="1" s="1"/>
  <c r="F689" i="1"/>
  <c r="K689" i="1" s="1"/>
  <c r="F690" i="1"/>
  <c r="K690" i="1" s="1"/>
  <c r="F691" i="1"/>
  <c r="K691" i="1" s="1"/>
  <c r="F692" i="1"/>
  <c r="K692" i="1" s="1"/>
  <c r="F693" i="1"/>
  <c r="K693" i="1" s="1"/>
  <c r="F694" i="1"/>
  <c r="K694" i="1" s="1"/>
  <c r="F695" i="1"/>
  <c r="K695" i="1" s="1"/>
  <c r="F696" i="1"/>
  <c r="K696" i="1" s="1"/>
  <c r="F697" i="1"/>
  <c r="K697" i="1" s="1"/>
  <c r="F698" i="1"/>
  <c r="K698" i="1" s="1"/>
  <c r="F699" i="1"/>
  <c r="K699" i="1" s="1"/>
  <c r="F700" i="1"/>
  <c r="K700" i="1" s="1"/>
  <c r="F701" i="1"/>
  <c r="K701" i="1" s="1"/>
  <c r="F702" i="1"/>
  <c r="K702" i="1" s="1"/>
  <c r="F703" i="1"/>
  <c r="K703" i="1" s="1"/>
  <c r="F704" i="1"/>
  <c r="K704" i="1" s="1"/>
  <c r="F705" i="1"/>
  <c r="K705" i="1" s="1"/>
  <c r="F706" i="1"/>
  <c r="K706" i="1" s="1"/>
  <c r="F707" i="1"/>
  <c r="K707" i="1" s="1"/>
  <c r="F708" i="1"/>
  <c r="K708" i="1" s="1"/>
  <c r="F709" i="1"/>
  <c r="K709" i="1" s="1"/>
  <c r="F710" i="1"/>
  <c r="K710" i="1" s="1"/>
  <c r="F711" i="1"/>
  <c r="K711" i="1" s="1"/>
  <c r="F712" i="1"/>
  <c r="K712" i="1" s="1"/>
  <c r="F713" i="1"/>
  <c r="K713" i="1" s="1"/>
  <c r="F714" i="1"/>
  <c r="K714" i="1" s="1"/>
  <c r="F715" i="1"/>
  <c r="K715" i="1" s="1"/>
  <c r="F716" i="1"/>
  <c r="K716" i="1" s="1"/>
  <c r="F717" i="1"/>
  <c r="K717" i="1" s="1"/>
  <c r="F718" i="1"/>
  <c r="K718" i="1" s="1"/>
  <c r="F719" i="1"/>
  <c r="K719" i="1" s="1"/>
  <c r="F720" i="1"/>
  <c r="K720" i="1" s="1"/>
  <c r="F721" i="1"/>
  <c r="K721" i="1" s="1"/>
  <c r="F722" i="1"/>
  <c r="K722" i="1" s="1"/>
  <c r="F723" i="1"/>
  <c r="K723" i="1" s="1"/>
  <c r="F724" i="1"/>
  <c r="K724" i="1" s="1"/>
  <c r="F725" i="1"/>
  <c r="K725" i="1" s="1"/>
  <c r="F726" i="1"/>
  <c r="K726" i="1" s="1"/>
  <c r="F727" i="1"/>
  <c r="K727" i="1" s="1"/>
  <c r="F728" i="1"/>
  <c r="K728" i="1" s="1"/>
  <c r="F729" i="1"/>
  <c r="K729" i="1" s="1"/>
  <c r="F730" i="1"/>
  <c r="K730" i="1" s="1"/>
  <c r="F731" i="1"/>
  <c r="K731" i="1" s="1"/>
  <c r="F732" i="1"/>
  <c r="K732" i="1" s="1"/>
  <c r="F733" i="1"/>
  <c r="K733" i="1" s="1"/>
  <c r="F734" i="1"/>
  <c r="K734" i="1" s="1"/>
  <c r="F735" i="1"/>
  <c r="K735" i="1" s="1"/>
  <c r="F736" i="1"/>
  <c r="K736" i="1" s="1"/>
  <c r="F737" i="1"/>
  <c r="K737" i="1" s="1"/>
  <c r="F738" i="1"/>
  <c r="K738" i="1" s="1"/>
  <c r="F739" i="1"/>
  <c r="K739" i="1" s="1"/>
  <c r="F740" i="1"/>
  <c r="K740" i="1" s="1"/>
  <c r="F741" i="1"/>
  <c r="K741" i="1" s="1"/>
  <c r="F742" i="1"/>
  <c r="K742" i="1" s="1"/>
  <c r="F743" i="1"/>
  <c r="K743" i="1" s="1"/>
  <c r="F744" i="1"/>
  <c r="K744" i="1" s="1"/>
  <c r="F745" i="1"/>
  <c r="K745" i="1" s="1"/>
  <c r="F746" i="1"/>
  <c r="K746" i="1" s="1"/>
  <c r="F747" i="1"/>
  <c r="K747" i="1" s="1"/>
  <c r="F748" i="1"/>
  <c r="K748" i="1" s="1"/>
  <c r="F749" i="1"/>
  <c r="K749" i="1" s="1"/>
  <c r="F750" i="1"/>
  <c r="K750" i="1" s="1"/>
  <c r="F751" i="1"/>
  <c r="K751" i="1" s="1"/>
  <c r="F752" i="1"/>
  <c r="K752" i="1" s="1"/>
  <c r="F753" i="1"/>
  <c r="K753" i="1" s="1"/>
  <c r="F754" i="1"/>
  <c r="K754" i="1" s="1"/>
  <c r="F755" i="1"/>
  <c r="K755" i="1" s="1"/>
  <c r="F756" i="1"/>
  <c r="K756" i="1" s="1"/>
  <c r="F757" i="1"/>
  <c r="K757" i="1" s="1"/>
  <c r="F758" i="1"/>
  <c r="K758" i="1" s="1"/>
  <c r="F759" i="1"/>
  <c r="K759" i="1" s="1"/>
  <c r="F760" i="1"/>
  <c r="K760" i="1" s="1"/>
  <c r="F761" i="1"/>
  <c r="K761" i="1" s="1"/>
  <c r="F762" i="1"/>
  <c r="K762" i="1" s="1"/>
  <c r="F763" i="1"/>
  <c r="K763" i="1" s="1"/>
  <c r="F764" i="1"/>
  <c r="K764" i="1" s="1"/>
  <c r="F765" i="1"/>
  <c r="K765" i="1" s="1"/>
  <c r="F766" i="1"/>
  <c r="K766" i="1" s="1"/>
  <c r="F767" i="1"/>
  <c r="K767" i="1" s="1"/>
  <c r="F768" i="1"/>
  <c r="K768" i="1" s="1"/>
  <c r="F769" i="1"/>
  <c r="K769" i="1" s="1"/>
  <c r="F770" i="1"/>
  <c r="K770" i="1" s="1"/>
  <c r="F771" i="1"/>
  <c r="K771" i="1" s="1"/>
  <c r="F772" i="1"/>
  <c r="K772" i="1" s="1"/>
  <c r="F773" i="1"/>
  <c r="K773" i="1" s="1"/>
  <c r="F774" i="1"/>
  <c r="K774" i="1" s="1"/>
  <c r="F775" i="1"/>
  <c r="K775" i="1" s="1"/>
  <c r="F776" i="1"/>
  <c r="K776" i="1" s="1"/>
  <c r="F777" i="1"/>
  <c r="K777" i="1" s="1"/>
  <c r="F778" i="1"/>
  <c r="K778" i="1" s="1"/>
  <c r="F779" i="1"/>
  <c r="K779" i="1" s="1"/>
  <c r="F780" i="1"/>
  <c r="K780" i="1" s="1"/>
  <c r="F781" i="1"/>
  <c r="K781" i="1" s="1"/>
  <c r="F782" i="1"/>
  <c r="K782" i="1" s="1"/>
  <c r="F783" i="1"/>
  <c r="K783" i="1" s="1"/>
  <c r="F784" i="1"/>
  <c r="K784" i="1" s="1"/>
  <c r="F785" i="1"/>
  <c r="K785" i="1" s="1"/>
  <c r="F786" i="1"/>
  <c r="K786" i="1" s="1"/>
  <c r="F787" i="1"/>
  <c r="K787" i="1" s="1"/>
  <c r="F788" i="1"/>
  <c r="K788" i="1" s="1"/>
  <c r="F789" i="1"/>
  <c r="K789" i="1" s="1"/>
  <c r="F790" i="1"/>
  <c r="K790" i="1" s="1"/>
  <c r="F791" i="1"/>
  <c r="K791" i="1" s="1"/>
  <c r="F792" i="1"/>
  <c r="K792" i="1" s="1"/>
  <c r="F793" i="1"/>
  <c r="K793" i="1" s="1"/>
  <c r="F794" i="1"/>
  <c r="K794" i="1" s="1"/>
  <c r="F795" i="1"/>
  <c r="K795" i="1" s="1"/>
  <c r="F796" i="1"/>
  <c r="K796" i="1" s="1"/>
  <c r="F797" i="1"/>
  <c r="K797" i="1" s="1"/>
  <c r="F798" i="1"/>
  <c r="K798" i="1" s="1"/>
  <c r="F799" i="1"/>
  <c r="K799" i="1" s="1"/>
  <c r="F800" i="1"/>
  <c r="K800" i="1" s="1"/>
  <c r="F801" i="1"/>
  <c r="K801" i="1" s="1"/>
  <c r="F802" i="1"/>
  <c r="K802" i="1" s="1"/>
  <c r="F803" i="1"/>
  <c r="K803" i="1" s="1"/>
  <c r="F804" i="1"/>
  <c r="K804" i="1" s="1"/>
  <c r="F805" i="1"/>
  <c r="K805" i="1" s="1"/>
  <c r="F806" i="1"/>
  <c r="K806" i="1" s="1"/>
  <c r="F807" i="1"/>
  <c r="K807" i="1" s="1"/>
  <c r="F808" i="1"/>
  <c r="K808" i="1" s="1"/>
  <c r="F809" i="1"/>
  <c r="K809" i="1" s="1"/>
  <c r="F810" i="1"/>
  <c r="K810" i="1" s="1"/>
  <c r="F811" i="1"/>
  <c r="K811" i="1" s="1"/>
  <c r="F812" i="1"/>
  <c r="K812" i="1" s="1"/>
  <c r="F813" i="1"/>
  <c r="K813" i="1" s="1"/>
  <c r="F814" i="1"/>
  <c r="K814" i="1" s="1"/>
  <c r="F815" i="1"/>
  <c r="K815" i="1" s="1"/>
  <c r="F816" i="1"/>
  <c r="K816" i="1" s="1"/>
  <c r="F817" i="1"/>
  <c r="K817" i="1" s="1"/>
  <c r="F818" i="1"/>
  <c r="K818" i="1" s="1"/>
  <c r="F819" i="1"/>
  <c r="K819" i="1" s="1"/>
  <c r="F820" i="1"/>
  <c r="K820" i="1" s="1"/>
  <c r="F821" i="1"/>
  <c r="K821" i="1" s="1"/>
  <c r="F822" i="1"/>
  <c r="K822" i="1" s="1"/>
  <c r="F823" i="1"/>
  <c r="K823" i="1" s="1"/>
  <c r="F824" i="1"/>
  <c r="K824" i="1" s="1"/>
  <c r="F825" i="1"/>
  <c r="K825" i="1" s="1"/>
  <c r="F826" i="1"/>
  <c r="K826" i="1" s="1"/>
  <c r="F827" i="1"/>
  <c r="K827" i="1" s="1"/>
  <c r="F828" i="1"/>
  <c r="K828" i="1" s="1"/>
  <c r="F829" i="1"/>
  <c r="K829" i="1" s="1"/>
  <c r="F830" i="1"/>
  <c r="K830" i="1" s="1"/>
  <c r="F831" i="1"/>
  <c r="K831" i="1" s="1"/>
  <c r="F832" i="1"/>
  <c r="K832" i="1" s="1"/>
  <c r="F833" i="1"/>
  <c r="K833" i="1" s="1"/>
  <c r="F834" i="1"/>
  <c r="K834" i="1" s="1"/>
  <c r="F835" i="1"/>
  <c r="K835" i="1" s="1"/>
  <c r="F836" i="1"/>
  <c r="K836" i="1" s="1"/>
  <c r="F837" i="1"/>
  <c r="K837" i="1" s="1"/>
  <c r="F838" i="1"/>
  <c r="K838" i="1" s="1"/>
  <c r="F839" i="1"/>
  <c r="K839" i="1" s="1"/>
  <c r="F840" i="1"/>
  <c r="K840" i="1" s="1"/>
  <c r="F841" i="1"/>
  <c r="K841" i="1" s="1"/>
  <c r="F842" i="1"/>
  <c r="K842" i="1" s="1"/>
  <c r="F843" i="1"/>
  <c r="K843" i="1" s="1"/>
  <c r="F844" i="1"/>
  <c r="K844" i="1" s="1"/>
  <c r="F845" i="1"/>
  <c r="K845" i="1" s="1"/>
  <c r="F846" i="1"/>
  <c r="K846" i="1" s="1"/>
  <c r="F847" i="1"/>
  <c r="K847" i="1" s="1"/>
  <c r="F848" i="1"/>
  <c r="K848" i="1" s="1"/>
  <c r="F849" i="1"/>
  <c r="K849" i="1" s="1"/>
  <c r="F850" i="1"/>
  <c r="K850" i="1" s="1"/>
  <c r="F851" i="1"/>
  <c r="K851" i="1" s="1"/>
  <c r="F852" i="1"/>
  <c r="K852" i="1" s="1"/>
  <c r="F853" i="1"/>
  <c r="K853" i="1" s="1"/>
  <c r="F854" i="1"/>
  <c r="K854" i="1" s="1"/>
  <c r="F855" i="1"/>
  <c r="K855" i="1" s="1"/>
  <c r="F856" i="1"/>
  <c r="K856" i="1" s="1"/>
  <c r="F857" i="1"/>
  <c r="K857" i="1" s="1"/>
  <c r="F858" i="1"/>
  <c r="K858" i="1" s="1"/>
  <c r="F859" i="1"/>
  <c r="K859" i="1" s="1"/>
  <c r="F860" i="1"/>
  <c r="K860" i="1" s="1"/>
  <c r="F861" i="1"/>
  <c r="K861" i="1" s="1"/>
  <c r="F862" i="1"/>
  <c r="K862" i="1" s="1"/>
  <c r="F863" i="1"/>
  <c r="K863" i="1" s="1"/>
  <c r="F864" i="1"/>
  <c r="K864" i="1" s="1"/>
  <c r="F865" i="1"/>
  <c r="K865" i="1" s="1"/>
  <c r="F866" i="1"/>
  <c r="K866" i="1" s="1"/>
  <c r="F867" i="1"/>
  <c r="K867" i="1" s="1"/>
  <c r="F868" i="1"/>
  <c r="K868" i="1" s="1"/>
  <c r="F869" i="1"/>
  <c r="K869" i="1" s="1"/>
  <c r="F870" i="1"/>
  <c r="K870" i="1" s="1"/>
  <c r="F871" i="1"/>
  <c r="K871" i="1" s="1"/>
  <c r="F872" i="1"/>
  <c r="K872" i="1" s="1"/>
  <c r="F873" i="1"/>
  <c r="K873" i="1" s="1"/>
  <c r="F874" i="1"/>
  <c r="K874" i="1" s="1"/>
  <c r="F875" i="1"/>
  <c r="K875" i="1" s="1"/>
  <c r="F876" i="1"/>
  <c r="K876" i="1" s="1"/>
  <c r="F877" i="1"/>
  <c r="K877" i="1" s="1"/>
  <c r="F878" i="1"/>
  <c r="K878" i="1" s="1"/>
  <c r="F879" i="1"/>
  <c r="K879" i="1" s="1"/>
  <c r="F880" i="1"/>
  <c r="K880" i="1" s="1"/>
  <c r="F881" i="1"/>
  <c r="K881" i="1" s="1"/>
  <c r="F882" i="1"/>
  <c r="K882" i="1" s="1"/>
  <c r="F883" i="1"/>
  <c r="K883" i="1" s="1"/>
  <c r="F884" i="1"/>
  <c r="K884" i="1" s="1"/>
  <c r="F885" i="1"/>
  <c r="K885" i="1" s="1"/>
  <c r="F886" i="1"/>
  <c r="K886" i="1" s="1"/>
  <c r="F887" i="1"/>
  <c r="K887" i="1" s="1"/>
  <c r="F888" i="1"/>
  <c r="K888" i="1" s="1"/>
  <c r="F889" i="1"/>
  <c r="K889" i="1" s="1"/>
  <c r="F890" i="1"/>
  <c r="K890" i="1" s="1"/>
  <c r="F891" i="1"/>
  <c r="K891" i="1" s="1"/>
  <c r="F892" i="1"/>
  <c r="K892" i="1" s="1"/>
  <c r="F893" i="1"/>
  <c r="K893" i="1" s="1"/>
  <c r="F894" i="1"/>
  <c r="K894" i="1" s="1"/>
  <c r="F895" i="1"/>
  <c r="K895" i="1" s="1"/>
  <c r="F896" i="1"/>
  <c r="K896" i="1" s="1"/>
  <c r="F897" i="1"/>
  <c r="K897" i="1" s="1"/>
  <c r="F898" i="1"/>
  <c r="K898" i="1" s="1"/>
  <c r="F899" i="1"/>
  <c r="K899" i="1" s="1"/>
  <c r="F900" i="1"/>
  <c r="K900" i="1" s="1"/>
  <c r="F901" i="1"/>
  <c r="K901" i="1" s="1"/>
  <c r="F902" i="1"/>
  <c r="K902" i="1" s="1"/>
  <c r="F903" i="1"/>
  <c r="K903" i="1" s="1"/>
  <c r="F904" i="1"/>
  <c r="K904" i="1" s="1"/>
  <c r="F905" i="1"/>
  <c r="K905" i="1" s="1"/>
  <c r="F906" i="1"/>
  <c r="K906" i="1" s="1"/>
  <c r="F907" i="1"/>
  <c r="K907" i="1" s="1"/>
  <c r="F908" i="1"/>
  <c r="K908" i="1" s="1"/>
  <c r="F909" i="1"/>
  <c r="K909" i="1" s="1"/>
  <c r="F910" i="1"/>
  <c r="K910" i="1" s="1"/>
  <c r="F911" i="1"/>
  <c r="K911" i="1" s="1"/>
  <c r="F912" i="1"/>
  <c r="K912" i="1" s="1"/>
  <c r="F913" i="1"/>
  <c r="K913" i="1" s="1"/>
  <c r="F914" i="1"/>
  <c r="K914" i="1" s="1"/>
  <c r="F915" i="1"/>
  <c r="K915" i="1" s="1"/>
  <c r="F916" i="1"/>
  <c r="K916" i="1" s="1"/>
  <c r="F917" i="1"/>
  <c r="K917" i="1" s="1"/>
  <c r="F918" i="1"/>
  <c r="K918" i="1" s="1"/>
  <c r="F919" i="1"/>
  <c r="K919" i="1" s="1"/>
  <c r="F920" i="1"/>
  <c r="K920" i="1" s="1"/>
  <c r="F921" i="1"/>
  <c r="K921" i="1" s="1"/>
  <c r="F922" i="1"/>
  <c r="K922" i="1" s="1"/>
  <c r="F923" i="1"/>
  <c r="K923" i="1" s="1"/>
  <c r="F924" i="1"/>
  <c r="K924" i="1" s="1"/>
  <c r="F925" i="1"/>
  <c r="K925" i="1" s="1"/>
  <c r="F926" i="1"/>
  <c r="K926" i="1" s="1"/>
  <c r="F927" i="1"/>
  <c r="K927" i="1" s="1"/>
  <c r="F928" i="1"/>
  <c r="K928" i="1" s="1"/>
  <c r="F929" i="1"/>
  <c r="K929" i="1" s="1"/>
  <c r="F930" i="1"/>
  <c r="K930" i="1" s="1"/>
  <c r="F931" i="1"/>
  <c r="K931" i="1" s="1"/>
  <c r="F932" i="1"/>
  <c r="K932" i="1" s="1"/>
  <c r="F933" i="1"/>
  <c r="K933" i="1" s="1"/>
  <c r="F934" i="1"/>
  <c r="K934" i="1" s="1"/>
  <c r="F935" i="1"/>
  <c r="K935" i="1" s="1"/>
  <c r="F936" i="1"/>
  <c r="K936" i="1" s="1"/>
  <c r="F937" i="1"/>
  <c r="K937" i="1" s="1"/>
  <c r="F938" i="1"/>
  <c r="K938" i="1" s="1"/>
  <c r="F939" i="1"/>
  <c r="K939" i="1" s="1"/>
  <c r="F940" i="1"/>
  <c r="K940" i="1" s="1"/>
  <c r="F941" i="1"/>
  <c r="K941" i="1" s="1"/>
  <c r="F942" i="1"/>
  <c r="K942" i="1" s="1"/>
  <c r="F943" i="1"/>
  <c r="K943" i="1" s="1"/>
  <c r="F944" i="1"/>
  <c r="K944" i="1" s="1"/>
  <c r="F945" i="1"/>
  <c r="K945" i="1" s="1"/>
  <c r="F946" i="1"/>
  <c r="K946" i="1" s="1"/>
  <c r="F947" i="1"/>
  <c r="K947" i="1" s="1"/>
  <c r="F948" i="1"/>
  <c r="K948" i="1" s="1"/>
  <c r="F949" i="1"/>
  <c r="K949" i="1" s="1"/>
  <c r="F950" i="1"/>
  <c r="K950" i="1" s="1"/>
  <c r="F951" i="1"/>
  <c r="K951" i="1" s="1"/>
  <c r="F952" i="1"/>
  <c r="K952" i="1" s="1"/>
  <c r="F953" i="1"/>
  <c r="K953" i="1" s="1"/>
  <c r="F954" i="1"/>
  <c r="K954" i="1" s="1"/>
  <c r="F955" i="1"/>
  <c r="K955" i="1" s="1"/>
  <c r="F956" i="1"/>
  <c r="K956" i="1" s="1"/>
  <c r="F957" i="1"/>
  <c r="K957" i="1" s="1"/>
  <c r="F958" i="1"/>
  <c r="K958" i="1" s="1"/>
  <c r="F959" i="1"/>
  <c r="K959" i="1" s="1"/>
  <c r="F960" i="1"/>
  <c r="K960" i="1" s="1"/>
  <c r="F961" i="1"/>
  <c r="K961" i="1" s="1"/>
  <c r="F962" i="1"/>
  <c r="K962" i="1" s="1"/>
  <c r="F963" i="1"/>
  <c r="K963" i="1" s="1"/>
  <c r="F964" i="1"/>
  <c r="K964" i="1" s="1"/>
  <c r="F965" i="1"/>
  <c r="K965" i="1" s="1"/>
  <c r="F966" i="1"/>
  <c r="K966" i="1" s="1"/>
  <c r="F967" i="1"/>
  <c r="K967" i="1" s="1"/>
  <c r="F968" i="1"/>
  <c r="K968" i="1" s="1"/>
  <c r="F969" i="1"/>
  <c r="K969" i="1" s="1"/>
  <c r="F970" i="1"/>
  <c r="K970" i="1" s="1"/>
  <c r="F971" i="1"/>
  <c r="K971" i="1" s="1"/>
  <c r="F972" i="1"/>
  <c r="K972" i="1" s="1"/>
  <c r="F973" i="1"/>
  <c r="K973" i="1" s="1"/>
  <c r="F974" i="1"/>
  <c r="K974" i="1" s="1"/>
  <c r="F975" i="1"/>
  <c r="K975" i="1" s="1"/>
  <c r="F976" i="1"/>
  <c r="K976" i="1" s="1"/>
  <c r="F977" i="1"/>
  <c r="K977" i="1" s="1"/>
  <c r="F978" i="1"/>
  <c r="K978" i="1" s="1"/>
  <c r="F979" i="1"/>
  <c r="K979" i="1" s="1"/>
  <c r="F980" i="1"/>
  <c r="K980" i="1" s="1"/>
  <c r="F981" i="1"/>
  <c r="K981" i="1" s="1"/>
  <c r="F982" i="1"/>
  <c r="K982" i="1" s="1"/>
  <c r="F983" i="1"/>
  <c r="K983" i="1" s="1"/>
  <c r="F984" i="1"/>
  <c r="K984" i="1" s="1"/>
  <c r="F985" i="1"/>
  <c r="K985" i="1" s="1"/>
  <c r="F986" i="1"/>
  <c r="K986" i="1" s="1"/>
  <c r="F987" i="1"/>
  <c r="K987" i="1" s="1"/>
  <c r="F988" i="1"/>
  <c r="K988" i="1" s="1"/>
  <c r="F989" i="1"/>
  <c r="K989" i="1" s="1"/>
  <c r="F990" i="1"/>
  <c r="K990" i="1" s="1"/>
  <c r="F991" i="1"/>
  <c r="K991" i="1" s="1"/>
  <c r="F992" i="1"/>
  <c r="K992" i="1" s="1"/>
  <c r="F993" i="1"/>
  <c r="K993" i="1" s="1"/>
  <c r="F994" i="1"/>
  <c r="K994" i="1" s="1"/>
  <c r="F995" i="1"/>
  <c r="K995" i="1" s="1"/>
  <c r="F996" i="1"/>
  <c r="K996" i="1" s="1"/>
  <c r="F997" i="1"/>
  <c r="K997" i="1" s="1"/>
  <c r="F998" i="1"/>
  <c r="K998" i="1" s="1"/>
  <c r="F999" i="1"/>
  <c r="K999" i="1" s="1"/>
  <c r="F1000" i="1"/>
  <c r="K1000" i="1" s="1"/>
  <c r="F1001" i="1"/>
  <c r="K1001" i="1" s="1"/>
  <c r="F1002" i="1"/>
  <c r="K1002" i="1" s="1"/>
  <c r="F1003" i="1"/>
  <c r="K1003" i="1" s="1"/>
  <c r="F1004" i="1"/>
  <c r="K1004" i="1" s="1"/>
  <c r="F1005" i="1"/>
  <c r="K1005" i="1" s="1"/>
  <c r="F1006" i="1"/>
  <c r="K1006" i="1" s="1"/>
  <c r="F1007" i="1"/>
  <c r="K1007" i="1" s="1"/>
  <c r="F1008" i="1"/>
  <c r="K1008" i="1" s="1"/>
  <c r="F1009" i="1"/>
  <c r="K1009" i="1" s="1"/>
  <c r="F1010" i="1"/>
  <c r="K1010" i="1" s="1"/>
  <c r="F1011" i="1"/>
  <c r="K1011" i="1" s="1"/>
  <c r="F1012" i="1"/>
  <c r="K1012" i="1" s="1"/>
  <c r="F1013" i="1"/>
  <c r="K1013" i="1" s="1"/>
  <c r="F1014" i="1"/>
  <c r="K1014" i="1" s="1"/>
  <c r="F1015" i="1"/>
  <c r="K1015" i="1" s="1"/>
  <c r="F1016" i="1"/>
  <c r="K1016" i="1" s="1"/>
  <c r="F1017" i="1"/>
  <c r="K1017" i="1" s="1"/>
  <c r="F1018" i="1"/>
  <c r="K1018" i="1" s="1"/>
  <c r="F1019" i="1"/>
  <c r="K1019" i="1" s="1"/>
  <c r="F1020" i="1"/>
  <c r="K1020" i="1" s="1"/>
  <c r="F1021" i="1"/>
  <c r="K1021" i="1" s="1"/>
  <c r="F1022" i="1"/>
  <c r="K1022" i="1" s="1"/>
  <c r="F1023" i="1"/>
  <c r="K1023" i="1" s="1"/>
  <c r="F1024" i="1"/>
  <c r="K1024" i="1" s="1"/>
  <c r="F1025" i="1"/>
  <c r="K1025" i="1" s="1"/>
  <c r="F1026" i="1"/>
  <c r="K1026" i="1" s="1"/>
  <c r="F1027" i="1"/>
  <c r="K1027" i="1" s="1"/>
  <c r="F1028" i="1"/>
  <c r="K1028" i="1" s="1"/>
  <c r="F1029" i="1"/>
  <c r="K1029" i="1" s="1"/>
  <c r="F1030" i="1"/>
  <c r="K1030" i="1" s="1"/>
  <c r="F1031" i="1"/>
  <c r="K1031" i="1" s="1"/>
  <c r="F1032" i="1"/>
  <c r="K1032" i="1" s="1"/>
  <c r="F1033" i="1"/>
  <c r="K1033" i="1" s="1"/>
  <c r="F1034" i="1"/>
  <c r="K1034" i="1" s="1"/>
  <c r="F1035" i="1"/>
  <c r="K1035" i="1" s="1"/>
  <c r="F1036" i="1"/>
  <c r="K1036" i="1" s="1"/>
  <c r="F1037" i="1"/>
  <c r="K1037" i="1" s="1"/>
  <c r="F1038" i="1"/>
  <c r="K1038" i="1" s="1"/>
  <c r="F1039" i="1"/>
  <c r="K1039" i="1" s="1"/>
  <c r="F1040" i="1"/>
  <c r="K1040" i="1" s="1"/>
  <c r="F1041" i="1"/>
  <c r="K1041" i="1" s="1"/>
  <c r="F1042" i="1"/>
  <c r="K1042" i="1" s="1"/>
  <c r="F1043" i="1"/>
  <c r="K1043" i="1" s="1"/>
  <c r="F1044" i="1"/>
  <c r="K1044" i="1" s="1"/>
  <c r="F1045" i="1"/>
  <c r="K1045" i="1" s="1"/>
  <c r="F1046" i="1"/>
  <c r="K1046" i="1" s="1"/>
  <c r="F1047" i="1"/>
  <c r="K1047" i="1" s="1"/>
  <c r="F1048" i="1"/>
  <c r="K1048" i="1" s="1"/>
  <c r="F1049" i="1"/>
  <c r="K1049" i="1" s="1"/>
  <c r="F1050" i="1"/>
  <c r="K1050" i="1" s="1"/>
  <c r="F1051" i="1"/>
  <c r="K1051" i="1" s="1"/>
  <c r="F1052" i="1"/>
  <c r="K1052" i="1" s="1"/>
  <c r="F1053" i="1"/>
  <c r="K1053" i="1" s="1"/>
  <c r="F1054" i="1"/>
  <c r="K1054" i="1" s="1"/>
  <c r="F1055" i="1"/>
  <c r="K1055" i="1" s="1"/>
  <c r="F1056" i="1"/>
  <c r="K1056" i="1" s="1"/>
  <c r="F1057" i="1"/>
  <c r="K1057" i="1" s="1"/>
  <c r="F1058" i="1"/>
  <c r="K1058" i="1" s="1"/>
  <c r="F1059" i="1"/>
  <c r="K1059" i="1" s="1"/>
  <c r="F1060" i="1"/>
  <c r="K1060" i="1" s="1"/>
  <c r="F1061" i="1"/>
  <c r="K1061" i="1" s="1"/>
  <c r="F1062" i="1"/>
  <c r="K1062" i="1" s="1"/>
  <c r="F1063" i="1"/>
  <c r="K1063" i="1" s="1"/>
  <c r="F1064" i="1"/>
  <c r="K1064" i="1" s="1"/>
  <c r="F1065" i="1"/>
  <c r="K1065" i="1" s="1"/>
  <c r="F1066" i="1"/>
  <c r="K1066" i="1" s="1"/>
  <c r="F1067" i="1"/>
  <c r="K1067" i="1" s="1"/>
  <c r="F1068" i="1"/>
  <c r="K1068" i="1" s="1"/>
  <c r="F1069" i="1"/>
  <c r="K1069" i="1" s="1"/>
  <c r="F1070" i="1"/>
  <c r="K1070" i="1" s="1"/>
  <c r="F1071" i="1"/>
  <c r="K1071" i="1" s="1"/>
  <c r="F1072" i="1"/>
  <c r="K1072" i="1" s="1"/>
  <c r="F1073" i="1"/>
  <c r="K1073" i="1" s="1"/>
  <c r="F1074" i="1"/>
  <c r="K1074" i="1" s="1"/>
  <c r="F1075" i="1"/>
  <c r="K1075" i="1" s="1"/>
  <c r="F1076" i="1"/>
  <c r="K1076" i="1" s="1"/>
  <c r="F1077" i="1"/>
  <c r="K1077" i="1" s="1"/>
  <c r="F1078" i="1"/>
  <c r="K1078" i="1" s="1"/>
  <c r="F1079" i="1"/>
  <c r="K1079" i="1" s="1"/>
  <c r="F1080" i="1"/>
  <c r="K1080" i="1" s="1"/>
  <c r="F1081" i="1"/>
  <c r="K1081" i="1" s="1"/>
  <c r="F1082" i="1"/>
  <c r="K1082" i="1" s="1"/>
  <c r="F1083" i="1"/>
  <c r="K1083" i="1" s="1"/>
  <c r="F1084" i="1"/>
  <c r="K1084" i="1" s="1"/>
  <c r="F1085" i="1"/>
  <c r="K1085" i="1" s="1"/>
  <c r="F1086" i="1"/>
  <c r="K1086" i="1" s="1"/>
  <c r="F1087" i="1"/>
  <c r="K1087" i="1" s="1"/>
  <c r="F1088" i="1"/>
  <c r="K1088" i="1" s="1"/>
  <c r="F1089" i="1"/>
  <c r="K1089" i="1" s="1"/>
  <c r="F1090" i="1"/>
  <c r="K1090" i="1" s="1"/>
  <c r="F1091" i="1"/>
  <c r="K1091" i="1" s="1"/>
  <c r="F1092" i="1"/>
  <c r="K1092" i="1" s="1"/>
  <c r="F1093" i="1"/>
  <c r="K1093" i="1" s="1"/>
  <c r="F1094" i="1"/>
  <c r="K1094" i="1" s="1"/>
  <c r="F1095" i="1"/>
  <c r="K1095" i="1" s="1"/>
  <c r="F1096" i="1"/>
  <c r="K1096" i="1" s="1"/>
  <c r="F1097" i="1"/>
  <c r="K1097" i="1" s="1"/>
  <c r="F1098" i="1"/>
  <c r="K1098" i="1" s="1"/>
  <c r="F1099" i="1"/>
  <c r="K1099" i="1" s="1"/>
  <c r="F1100" i="1"/>
  <c r="K1100" i="1" s="1"/>
  <c r="F1101" i="1"/>
  <c r="K1101" i="1" s="1"/>
  <c r="F1102" i="1"/>
  <c r="K1102" i="1" s="1"/>
  <c r="F1103" i="1"/>
  <c r="K1103" i="1" s="1"/>
  <c r="F1104" i="1"/>
  <c r="K1104" i="1" s="1"/>
  <c r="F1105" i="1"/>
  <c r="K1105" i="1" s="1"/>
  <c r="F1106" i="1"/>
  <c r="K1106" i="1" s="1"/>
  <c r="F1107" i="1"/>
  <c r="K1107" i="1" s="1"/>
  <c r="F1108" i="1"/>
  <c r="K1108" i="1" s="1"/>
  <c r="F1109" i="1"/>
  <c r="K1109" i="1" s="1"/>
  <c r="F1110" i="1"/>
  <c r="K1110" i="1" s="1"/>
  <c r="F1111" i="1"/>
  <c r="K1111" i="1" s="1"/>
  <c r="F1112" i="1"/>
  <c r="K1112" i="1" s="1"/>
  <c r="F1113" i="1"/>
  <c r="K1113" i="1" s="1"/>
  <c r="F1114" i="1"/>
  <c r="K1114" i="1" s="1"/>
  <c r="F1115" i="1"/>
  <c r="K1115" i="1" s="1"/>
  <c r="F1116" i="1"/>
  <c r="K1116" i="1" s="1"/>
  <c r="F1117" i="1"/>
  <c r="K1117" i="1" s="1"/>
  <c r="F1118" i="1"/>
  <c r="K1118" i="1" s="1"/>
  <c r="F1119" i="1"/>
  <c r="K1119" i="1" s="1"/>
  <c r="F1120" i="1"/>
  <c r="K1120" i="1" s="1"/>
  <c r="F1121" i="1"/>
  <c r="K1121" i="1" s="1"/>
  <c r="F1122" i="1"/>
  <c r="K1122" i="1" s="1"/>
  <c r="F1123" i="1"/>
  <c r="K1123" i="1" s="1"/>
  <c r="F1124" i="1"/>
  <c r="K1124" i="1" s="1"/>
  <c r="F1125" i="1"/>
  <c r="K1125" i="1" s="1"/>
  <c r="F1126" i="1"/>
  <c r="K1126" i="1" s="1"/>
  <c r="F1127" i="1"/>
  <c r="K1127" i="1" s="1"/>
  <c r="F1128" i="1"/>
  <c r="K1128" i="1" s="1"/>
  <c r="F1129" i="1"/>
  <c r="K1129" i="1" s="1"/>
  <c r="F1130" i="1"/>
  <c r="K1130" i="1" s="1"/>
  <c r="F1131" i="1"/>
  <c r="K1131" i="1" s="1"/>
  <c r="F1132" i="1"/>
  <c r="K1132" i="1" s="1"/>
  <c r="F1133" i="1"/>
  <c r="K1133" i="1" s="1"/>
  <c r="F1134" i="1"/>
  <c r="K1134" i="1" s="1"/>
  <c r="F1135" i="1"/>
  <c r="K1135" i="1" s="1"/>
  <c r="F1136" i="1"/>
  <c r="K1136" i="1" s="1"/>
  <c r="F1137" i="1"/>
  <c r="K1137" i="1" s="1"/>
  <c r="F1138" i="1"/>
  <c r="K1138" i="1" s="1"/>
  <c r="F1139" i="1"/>
  <c r="K1139" i="1" s="1"/>
  <c r="F1140" i="1"/>
  <c r="K1140" i="1" s="1"/>
  <c r="F1141" i="1"/>
  <c r="K1141" i="1" s="1"/>
  <c r="F1142" i="1"/>
  <c r="K1142" i="1" s="1"/>
  <c r="F1143" i="1"/>
  <c r="K1143" i="1" s="1"/>
  <c r="F1144" i="1"/>
  <c r="K1144" i="1" s="1"/>
  <c r="F1145" i="1"/>
  <c r="K1145" i="1" s="1"/>
  <c r="F1146" i="1"/>
  <c r="K1146" i="1" s="1"/>
  <c r="F1147" i="1"/>
  <c r="K1147" i="1" s="1"/>
  <c r="F1148" i="1"/>
  <c r="K1148" i="1" s="1"/>
  <c r="F1149" i="1"/>
  <c r="K1149" i="1" s="1"/>
  <c r="F1150" i="1"/>
  <c r="K1150" i="1" s="1"/>
  <c r="F1151" i="1"/>
  <c r="K1151" i="1" s="1"/>
  <c r="F1152" i="1"/>
  <c r="K1152" i="1" s="1"/>
  <c r="F1153" i="1"/>
  <c r="K1153" i="1" s="1"/>
  <c r="F1154" i="1"/>
  <c r="K1154" i="1" s="1"/>
  <c r="F1155" i="1"/>
  <c r="K1155" i="1" s="1"/>
  <c r="F1156" i="1"/>
  <c r="K1156" i="1" s="1"/>
  <c r="F1157" i="1"/>
  <c r="K1157" i="1" s="1"/>
  <c r="F1158" i="1"/>
  <c r="K1158" i="1" s="1"/>
  <c r="F1159" i="1"/>
  <c r="K1159" i="1" s="1"/>
  <c r="F1160" i="1"/>
  <c r="K1160" i="1" s="1"/>
  <c r="F1161" i="1"/>
  <c r="K1161" i="1" s="1"/>
  <c r="F1162" i="1"/>
  <c r="K1162" i="1" s="1"/>
  <c r="F1163" i="1"/>
  <c r="K1163" i="1" s="1"/>
  <c r="F1164" i="1"/>
  <c r="K1164" i="1" s="1"/>
  <c r="F1165" i="1"/>
  <c r="K1165" i="1" s="1"/>
  <c r="F1166" i="1"/>
  <c r="K1166" i="1" s="1"/>
  <c r="F1167" i="1"/>
  <c r="K1167" i="1" s="1"/>
  <c r="F1168" i="1"/>
  <c r="K1168" i="1" s="1"/>
  <c r="F1169" i="1"/>
  <c r="K1169" i="1" s="1"/>
  <c r="F1170" i="1"/>
  <c r="K1170" i="1" s="1"/>
  <c r="F1171" i="1"/>
  <c r="K1171" i="1" s="1"/>
  <c r="F1172" i="1"/>
  <c r="K1172" i="1" s="1"/>
  <c r="F1173" i="1"/>
  <c r="K1173" i="1" s="1"/>
  <c r="F1174" i="1"/>
  <c r="K1174" i="1" s="1"/>
  <c r="F1175" i="1"/>
  <c r="K1175" i="1" s="1"/>
  <c r="F1176" i="1"/>
  <c r="K1176" i="1" s="1"/>
  <c r="F1177" i="1"/>
  <c r="K1177" i="1" s="1"/>
  <c r="F1178" i="1"/>
  <c r="K1178" i="1" s="1"/>
  <c r="F1179" i="1"/>
  <c r="K1179" i="1" s="1"/>
  <c r="F1180" i="1"/>
  <c r="K1180" i="1" s="1"/>
  <c r="F1181" i="1"/>
  <c r="K1181" i="1" s="1"/>
  <c r="F1182" i="1"/>
  <c r="K1182" i="1" s="1"/>
  <c r="F1183" i="1"/>
  <c r="K1183" i="1" s="1"/>
  <c r="F1184" i="1"/>
  <c r="K1184" i="1" s="1"/>
  <c r="F1185" i="1"/>
  <c r="K1185" i="1" s="1"/>
  <c r="F1186" i="1"/>
  <c r="K1186" i="1" s="1"/>
  <c r="F1187" i="1"/>
  <c r="K1187" i="1" s="1"/>
  <c r="F1188" i="1"/>
  <c r="K1188" i="1" s="1"/>
  <c r="F1189" i="1"/>
  <c r="K1189" i="1" s="1"/>
  <c r="F1190" i="1"/>
  <c r="K1190" i="1" s="1"/>
  <c r="F1191" i="1"/>
  <c r="K1191" i="1" s="1"/>
  <c r="F1192" i="1"/>
  <c r="K1192" i="1" s="1"/>
  <c r="F1193" i="1"/>
  <c r="K1193" i="1" s="1"/>
  <c r="F1194" i="1"/>
  <c r="K1194" i="1" s="1"/>
  <c r="F1195" i="1"/>
  <c r="K1195" i="1" s="1"/>
  <c r="F1196" i="1"/>
  <c r="K1196" i="1" s="1"/>
  <c r="F1197" i="1"/>
  <c r="K1197" i="1" s="1"/>
  <c r="F1198" i="1"/>
  <c r="K1198" i="1" s="1"/>
  <c r="F1199" i="1"/>
  <c r="K1199" i="1" s="1"/>
  <c r="F1200" i="1"/>
  <c r="K1200" i="1" s="1"/>
  <c r="F1201" i="1"/>
  <c r="K1201" i="1" s="1"/>
  <c r="F1202" i="1"/>
  <c r="K1202" i="1" s="1"/>
  <c r="F1203" i="1"/>
  <c r="K1203" i="1" s="1"/>
  <c r="F1204" i="1"/>
  <c r="K1204" i="1" s="1"/>
  <c r="F1205" i="1"/>
  <c r="K1205" i="1" s="1"/>
  <c r="F1206" i="1"/>
  <c r="K1206" i="1" s="1"/>
  <c r="F1207" i="1"/>
  <c r="K1207" i="1" s="1"/>
  <c r="F1208" i="1"/>
  <c r="K1208" i="1" s="1"/>
  <c r="F1209" i="1"/>
  <c r="K1209" i="1" s="1"/>
  <c r="F1210" i="1"/>
  <c r="K1210" i="1" s="1"/>
  <c r="F1211" i="1"/>
  <c r="K1211" i="1" s="1"/>
  <c r="F1212" i="1"/>
  <c r="K1212" i="1" s="1"/>
  <c r="F1213" i="1"/>
  <c r="K1213" i="1" s="1"/>
  <c r="F1214" i="1"/>
  <c r="K1214" i="1" s="1"/>
  <c r="F1215" i="1"/>
  <c r="K1215" i="1" s="1"/>
  <c r="F1216" i="1"/>
  <c r="K1216" i="1" s="1"/>
  <c r="F1217" i="1"/>
  <c r="K1217" i="1" s="1"/>
  <c r="F1218" i="1"/>
  <c r="K1218" i="1" s="1"/>
  <c r="F1219" i="1"/>
  <c r="K1219" i="1" s="1"/>
  <c r="F1220" i="1"/>
  <c r="K1220" i="1" s="1"/>
  <c r="F1221" i="1"/>
  <c r="K1221" i="1" s="1"/>
  <c r="F1222" i="1"/>
  <c r="K1222" i="1" s="1"/>
  <c r="F1223" i="1"/>
  <c r="K1223" i="1" s="1"/>
  <c r="F1224" i="1"/>
  <c r="K1224" i="1" s="1"/>
  <c r="F1225" i="1"/>
  <c r="K1225" i="1" s="1"/>
  <c r="F1226" i="1"/>
  <c r="K1226" i="1" s="1"/>
  <c r="F1227" i="1"/>
  <c r="K1227" i="1" s="1"/>
  <c r="F1228" i="1"/>
  <c r="K1228" i="1" s="1"/>
  <c r="F1229" i="1"/>
  <c r="K1229" i="1" s="1"/>
  <c r="F1230" i="1"/>
  <c r="K1230" i="1" s="1"/>
  <c r="F1231" i="1"/>
  <c r="K1231" i="1" s="1"/>
  <c r="F1232" i="1"/>
  <c r="K1232" i="1" s="1"/>
  <c r="F1233" i="1"/>
  <c r="K1233" i="1" s="1"/>
  <c r="F1234" i="1"/>
  <c r="K1234" i="1" s="1"/>
  <c r="F1235" i="1"/>
  <c r="K1235" i="1" s="1"/>
  <c r="F1236" i="1"/>
  <c r="K1236" i="1" s="1"/>
  <c r="F1237" i="1"/>
  <c r="K1237" i="1" s="1"/>
  <c r="F1238" i="1"/>
  <c r="K1238" i="1" s="1"/>
  <c r="F1239" i="1"/>
  <c r="K1239" i="1" s="1"/>
  <c r="F1240" i="1"/>
  <c r="K1240" i="1" s="1"/>
  <c r="F1241" i="1"/>
  <c r="K1241" i="1" s="1"/>
  <c r="F1242" i="1"/>
  <c r="K1242" i="1" s="1"/>
  <c r="F1243" i="1"/>
  <c r="K1243" i="1" s="1"/>
  <c r="F1244" i="1"/>
  <c r="K1244" i="1" s="1"/>
  <c r="F1245" i="1"/>
  <c r="K1245" i="1" s="1"/>
  <c r="F1246" i="1"/>
  <c r="K1246" i="1" s="1"/>
  <c r="F1247" i="1"/>
  <c r="K1247" i="1" s="1"/>
  <c r="F1248" i="1"/>
  <c r="K1248" i="1" s="1"/>
  <c r="F1249" i="1"/>
  <c r="K1249" i="1" s="1"/>
  <c r="F1250" i="1"/>
  <c r="K1250" i="1" s="1"/>
  <c r="F1251" i="1"/>
  <c r="K1251" i="1" s="1"/>
  <c r="F1252" i="1"/>
  <c r="K1252" i="1" s="1"/>
  <c r="F1253" i="1"/>
  <c r="K1253" i="1" s="1"/>
  <c r="F1254" i="1"/>
  <c r="K1254" i="1" s="1"/>
  <c r="F1255" i="1"/>
  <c r="K1255" i="1" s="1"/>
  <c r="F1256" i="1"/>
  <c r="K1256" i="1" s="1"/>
  <c r="F1257" i="1"/>
  <c r="K1257" i="1" s="1"/>
  <c r="F1258" i="1"/>
  <c r="K1258" i="1" s="1"/>
  <c r="F1259" i="1"/>
  <c r="K1259" i="1" s="1"/>
  <c r="F1260" i="1"/>
  <c r="K1260" i="1" s="1"/>
  <c r="F1261" i="1"/>
  <c r="K1261" i="1" s="1"/>
  <c r="F1262" i="1"/>
  <c r="K1262" i="1" s="1"/>
  <c r="F1263" i="1"/>
  <c r="K1263" i="1" s="1"/>
  <c r="F1264" i="1"/>
  <c r="K1264" i="1" s="1"/>
  <c r="F1265" i="1"/>
  <c r="K1265" i="1" s="1"/>
  <c r="F1266" i="1"/>
  <c r="K1266" i="1" s="1"/>
  <c r="F1267" i="1"/>
  <c r="K1267" i="1" s="1"/>
  <c r="F1268" i="1"/>
  <c r="K1268" i="1" s="1"/>
  <c r="F1269" i="1"/>
  <c r="K1269" i="1" s="1"/>
  <c r="F1270" i="1"/>
  <c r="K1270" i="1" s="1"/>
  <c r="F1271" i="1"/>
  <c r="K1271" i="1" s="1"/>
  <c r="F1272" i="1"/>
  <c r="K1272" i="1" s="1"/>
  <c r="F1273" i="1"/>
  <c r="K1273" i="1" s="1"/>
  <c r="F1274" i="1"/>
  <c r="K1274" i="1" s="1"/>
  <c r="F1275" i="1"/>
  <c r="K1275" i="1" s="1"/>
  <c r="F1276" i="1"/>
  <c r="K1276" i="1" s="1"/>
  <c r="F1277" i="1"/>
  <c r="K1277" i="1" s="1"/>
  <c r="F1278" i="1"/>
  <c r="K1278" i="1" s="1"/>
  <c r="F1279" i="1"/>
  <c r="K1279" i="1" s="1"/>
  <c r="F1280" i="1"/>
  <c r="K1280" i="1" s="1"/>
  <c r="F1281" i="1"/>
  <c r="K1281" i="1" s="1"/>
  <c r="F1282" i="1"/>
  <c r="K1282" i="1" s="1"/>
  <c r="F1283" i="1"/>
  <c r="K1283" i="1" s="1"/>
  <c r="F1284" i="1"/>
  <c r="K1284" i="1" s="1"/>
  <c r="F1285" i="1"/>
  <c r="K1285" i="1" s="1"/>
  <c r="F1286" i="1"/>
  <c r="K1286" i="1" s="1"/>
  <c r="F1287" i="1"/>
  <c r="K1287" i="1" s="1"/>
  <c r="F1288" i="1"/>
  <c r="K1288" i="1" s="1"/>
  <c r="F1289" i="1"/>
  <c r="K1289" i="1" s="1"/>
  <c r="F1290" i="1"/>
  <c r="K1290" i="1" s="1"/>
  <c r="F1291" i="1"/>
  <c r="K1291" i="1" s="1"/>
  <c r="F1292" i="1"/>
  <c r="K1292" i="1" s="1"/>
  <c r="F1293" i="1"/>
  <c r="K1293" i="1" s="1"/>
  <c r="F1294" i="1"/>
  <c r="K1294" i="1" s="1"/>
  <c r="F1295" i="1"/>
  <c r="K1295" i="1" s="1"/>
  <c r="F1296" i="1"/>
  <c r="K1296" i="1" s="1"/>
  <c r="F1297" i="1"/>
  <c r="K1297" i="1" s="1"/>
  <c r="F1298" i="1"/>
  <c r="K1298" i="1" s="1"/>
  <c r="F1299" i="1"/>
  <c r="K1299" i="1" s="1"/>
  <c r="F1300" i="1"/>
  <c r="K1300" i="1" s="1"/>
  <c r="F1301" i="1"/>
  <c r="K1301" i="1" s="1"/>
  <c r="F1302" i="1"/>
  <c r="K1302" i="1" s="1"/>
  <c r="F1303" i="1"/>
  <c r="K1303" i="1" s="1"/>
  <c r="F1304" i="1"/>
  <c r="K1304" i="1" s="1"/>
  <c r="F1305" i="1"/>
  <c r="K1305" i="1" s="1"/>
  <c r="F1306" i="1"/>
  <c r="K1306" i="1" s="1"/>
  <c r="F1307" i="1"/>
  <c r="K1307" i="1" s="1"/>
  <c r="F1308" i="1"/>
  <c r="K1308" i="1" s="1"/>
  <c r="F1309" i="1"/>
  <c r="K1309" i="1" s="1"/>
  <c r="F1310" i="1"/>
  <c r="K1310" i="1" s="1"/>
  <c r="F1311" i="1"/>
  <c r="K1311" i="1" s="1"/>
  <c r="F1312" i="1"/>
  <c r="K1312" i="1" s="1"/>
  <c r="F1313" i="1"/>
  <c r="K1313" i="1" s="1"/>
  <c r="F1314" i="1"/>
  <c r="K1314" i="1" s="1"/>
  <c r="F1315" i="1"/>
  <c r="K1315" i="1" s="1"/>
  <c r="F1316" i="1"/>
  <c r="K1316" i="1" s="1"/>
  <c r="F1317" i="1"/>
  <c r="K1317" i="1" s="1"/>
  <c r="F1318" i="1"/>
  <c r="K1318" i="1" s="1"/>
  <c r="F1319" i="1"/>
  <c r="K1319" i="1" s="1"/>
  <c r="F1320" i="1"/>
  <c r="K1320" i="1" s="1"/>
  <c r="F1321" i="1"/>
  <c r="K1321" i="1" s="1"/>
  <c r="F1322" i="1"/>
  <c r="K1322" i="1" s="1"/>
  <c r="F1323" i="1"/>
  <c r="K1323" i="1" s="1"/>
  <c r="F1324" i="1"/>
  <c r="K1324" i="1" s="1"/>
  <c r="F1325" i="1"/>
  <c r="K1325" i="1" s="1"/>
  <c r="F1326" i="1"/>
  <c r="K1326" i="1" s="1"/>
  <c r="F1327" i="1"/>
  <c r="K1327" i="1" s="1"/>
  <c r="F1328" i="1"/>
  <c r="K1328" i="1" s="1"/>
  <c r="F1329" i="1"/>
  <c r="K1329" i="1" s="1"/>
  <c r="F1330" i="1"/>
  <c r="K1330" i="1" s="1"/>
  <c r="F1331" i="1"/>
  <c r="K1331" i="1" s="1"/>
  <c r="F1332" i="1"/>
  <c r="K1332" i="1" s="1"/>
  <c r="F1333" i="1"/>
  <c r="K1333" i="1" s="1"/>
  <c r="F1334" i="1"/>
  <c r="K1334" i="1" s="1"/>
  <c r="F1335" i="1"/>
  <c r="K1335" i="1" s="1"/>
  <c r="F1336" i="1"/>
  <c r="K1336" i="1" s="1"/>
  <c r="F1337" i="1"/>
  <c r="K1337" i="1" s="1"/>
  <c r="F1338" i="1"/>
  <c r="K1338" i="1" s="1"/>
  <c r="F1339" i="1"/>
  <c r="K1339" i="1" s="1"/>
  <c r="F1340" i="1"/>
  <c r="K1340" i="1" s="1"/>
  <c r="F1341" i="1"/>
  <c r="K1341" i="1" s="1"/>
  <c r="F1342" i="1"/>
  <c r="K1342" i="1" s="1"/>
  <c r="F1343" i="1"/>
  <c r="K1343" i="1" s="1"/>
  <c r="F1344" i="1"/>
  <c r="K1344" i="1" s="1"/>
  <c r="F1345" i="1"/>
  <c r="K1345" i="1" s="1"/>
  <c r="F1346" i="1"/>
  <c r="K1346" i="1" s="1"/>
  <c r="F1347" i="1"/>
  <c r="K1347" i="1" s="1"/>
  <c r="F1348" i="1"/>
  <c r="K1348" i="1" s="1"/>
  <c r="F1349" i="1"/>
  <c r="K1349" i="1" s="1"/>
  <c r="F1350" i="1"/>
  <c r="K1350" i="1" s="1"/>
  <c r="F1351" i="1"/>
  <c r="K1351" i="1" s="1"/>
  <c r="F1352" i="1"/>
  <c r="K1352" i="1" s="1"/>
  <c r="F1353" i="1"/>
  <c r="K1353" i="1" s="1"/>
  <c r="F1354" i="1"/>
  <c r="K1354" i="1" s="1"/>
  <c r="F1355" i="1"/>
  <c r="K1355" i="1" s="1"/>
  <c r="F1356" i="1"/>
  <c r="K1356" i="1" s="1"/>
  <c r="F1357" i="1"/>
  <c r="K1357" i="1" s="1"/>
  <c r="F1358" i="1"/>
  <c r="K1358" i="1" s="1"/>
  <c r="F1359" i="1"/>
  <c r="K1359" i="1" s="1"/>
  <c r="F1360" i="1"/>
  <c r="K1360" i="1" s="1"/>
  <c r="F1361" i="1"/>
  <c r="K1361" i="1" s="1"/>
  <c r="F1362" i="1"/>
  <c r="K1362" i="1" s="1"/>
  <c r="F1363" i="1"/>
  <c r="K1363" i="1" s="1"/>
  <c r="F1364" i="1"/>
  <c r="K1364" i="1" s="1"/>
  <c r="F1365" i="1"/>
  <c r="K1365" i="1" s="1"/>
  <c r="F1366" i="1"/>
  <c r="K1366" i="1" s="1"/>
  <c r="F1367" i="1"/>
  <c r="K1367" i="1" s="1"/>
  <c r="F1368" i="1"/>
  <c r="K1368" i="1" s="1"/>
  <c r="F1369" i="1"/>
  <c r="K1369" i="1" s="1"/>
  <c r="F1370" i="1"/>
  <c r="K1370" i="1" s="1"/>
  <c r="F1371" i="1"/>
  <c r="K1371" i="1" s="1"/>
  <c r="F1372" i="1"/>
  <c r="K1372" i="1" s="1"/>
  <c r="F1373" i="1"/>
  <c r="K1373" i="1" s="1"/>
  <c r="F1374" i="1"/>
  <c r="K1374" i="1" s="1"/>
  <c r="F1375" i="1"/>
  <c r="K1375" i="1" s="1"/>
  <c r="F1376" i="1"/>
  <c r="K1376" i="1" s="1"/>
  <c r="F1377" i="1"/>
  <c r="K1377" i="1" s="1"/>
  <c r="F1378" i="1"/>
  <c r="K1378" i="1" s="1"/>
  <c r="F1379" i="1"/>
  <c r="K1379" i="1" s="1"/>
  <c r="F1380" i="1"/>
  <c r="K1380" i="1" s="1"/>
  <c r="F1381" i="1"/>
  <c r="K1381" i="1" s="1"/>
  <c r="F1382" i="1"/>
  <c r="K1382" i="1" s="1"/>
  <c r="F1383" i="1"/>
  <c r="K1383" i="1" s="1"/>
  <c r="F1384" i="1"/>
  <c r="K1384" i="1" s="1"/>
  <c r="F1385" i="1"/>
  <c r="K1385" i="1" s="1"/>
  <c r="F1386" i="1"/>
  <c r="K1386" i="1" s="1"/>
  <c r="F1387" i="1"/>
  <c r="K1387" i="1" s="1"/>
  <c r="F1388" i="1"/>
  <c r="K1388" i="1" s="1"/>
  <c r="F1389" i="1"/>
  <c r="K1389" i="1" s="1"/>
  <c r="F1390" i="1"/>
  <c r="K1390" i="1" s="1"/>
  <c r="F1391" i="1"/>
  <c r="K1391" i="1" s="1"/>
  <c r="F1392" i="1"/>
  <c r="K1392" i="1" s="1"/>
  <c r="F1393" i="1"/>
  <c r="K1393" i="1" s="1"/>
  <c r="F1394" i="1"/>
  <c r="K1394" i="1" s="1"/>
  <c r="F1395" i="1"/>
  <c r="K1395" i="1" s="1"/>
  <c r="F1396" i="1"/>
  <c r="K1396" i="1" s="1"/>
  <c r="F1397" i="1"/>
  <c r="K1397" i="1" s="1"/>
  <c r="F1398" i="1"/>
  <c r="K1398" i="1" s="1"/>
  <c r="F1399" i="1"/>
  <c r="K1399" i="1" s="1"/>
  <c r="F1400" i="1"/>
  <c r="K1400" i="1" s="1"/>
  <c r="F1401" i="1"/>
  <c r="K1401" i="1" s="1"/>
  <c r="F1402" i="1"/>
  <c r="K1402" i="1" s="1"/>
  <c r="F1403" i="1"/>
  <c r="K1403" i="1" s="1"/>
  <c r="F1404" i="1"/>
  <c r="K1404" i="1" s="1"/>
  <c r="F1405" i="1"/>
  <c r="K1405" i="1" s="1"/>
  <c r="F1406" i="1"/>
  <c r="K1406" i="1" s="1"/>
  <c r="F1407" i="1"/>
  <c r="K1407" i="1" s="1"/>
  <c r="F1408" i="1"/>
  <c r="K1408" i="1" s="1"/>
  <c r="F1409" i="1"/>
  <c r="K1409" i="1" s="1"/>
  <c r="F1410" i="1"/>
  <c r="K1410" i="1" s="1"/>
  <c r="F1411" i="1"/>
  <c r="K1411" i="1" s="1"/>
  <c r="F1412" i="1"/>
  <c r="K1412" i="1" s="1"/>
  <c r="F1413" i="1"/>
  <c r="K1413" i="1" s="1"/>
  <c r="F1414" i="1"/>
  <c r="K1414" i="1" s="1"/>
  <c r="F1415" i="1"/>
  <c r="K1415" i="1" s="1"/>
  <c r="F1416" i="1"/>
  <c r="K1416" i="1" s="1"/>
  <c r="F1417" i="1"/>
  <c r="K1417" i="1" s="1"/>
  <c r="F1418" i="1"/>
  <c r="K1418" i="1" s="1"/>
  <c r="F1419" i="1"/>
  <c r="K1419" i="1" s="1"/>
  <c r="F1420" i="1"/>
  <c r="K1420" i="1" s="1"/>
  <c r="F1421" i="1"/>
  <c r="K1421" i="1" s="1"/>
  <c r="F1422" i="1"/>
  <c r="K1422" i="1" s="1"/>
  <c r="F1423" i="1"/>
  <c r="K1423" i="1" s="1"/>
  <c r="F1424" i="1"/>
  <c r="K1424" i="1" s="1"/>
  <c r="F1425" i="1"/>
  <c r="K1425" i="1" s="1"/>
  <c r="F1426" i="1"/>
  <c r="K1426" i="1" s="1"/>
  <c r="F1427" i="1"/>
  <c r="K1427" i="1" s="1"/>
  <c r="F1428" i="1"/>
  <c r="K1428" i="1" s="1"/>
  <c r="F1429" i="1"/>
  <c r="K1429" i="1" s="1"/>
  <c r="F1430" i="1"/>
  <c r="K1430" i="1" s="1"/>
  <c r="F1431" i="1"/>
  <c r="K1431" i="1" s="1"/>
  <c r="F1432" i="1"/>
  <c r="K1432" i="1" s="1"/>
  <c r="F1433" i="1"/>
  <c r="K1433" i="1" s="1"/>
  <c r="F1434" i="1"/>
  <c r="K1434" i="1" s="1"/>
  <c r="F1435" i="1"/>
  <c r="K1435" i="1" s="1"/>
  <c r="F1436" i="1"/>
  <c r="K1436" i="1" s="1"/>
  <c r="F1437" i="1"/>
  <c r="K1437" i="1" s="1"/>
  <c r="F1438" i="1"/>
  <c r="K1438" i="1" s="1"/>
  <c r="F1439" i="1"/>
  <c r="K1439" i="1" s="1"/>
  <c r="F1440" i="1"/>
  <c r="K1440" i="1" s="1"/>
  <c r="F1441" i="1"/>
  <c r="K1441" i="1" s="1"/>
  <c r="F1442" i="1"/>
  <c r="K1442" i="1" s="1"/>
  <c r="F1443" i="1"/>
  <c r="K1443" i="1" s="1"/>
  <c r="F1444" i="1"/>
  <c r="K1444" i="1" s="1"/>
  <c r="F1445" i="1"/>
  <c r="K1445" i="1" s="1"/>
  <c r="F1446" i="1"/>
  <c r="K1446" i="1" s="1"/>
  <c r="F1447" i="1"/>
  <c r="K1447" i="1" s="1"/>
  <c r="F1448" i="1"/>
  <c r="K1448" i="1" s="1"/>
  <c r="F1449" i="1"/>
  <c r="K1449" i="1" s="1"/>
  <c r="F1450" i="1"/>
  <c r="K1450" i="1" s="1"/>
  <c r="F1451" i="1"/>
  <c r="K1451" i="1" s="1"/>
  <c r="F1452" i="1"/>
  <c r="K1452" i="1" s="1"/>
  <c r="F1453" i="1"/>
  <c r="K1453" i="1" s="1"/>
  <c r="F1454" i="1"/>
  <c r="K1454" i="1" s="1"/>
  <c r="F1455" i="1"/>
  <c r="K1455" i="1" s="1"/>
  <c r="F1456" i="1"/>
  <c r="K1456" i="1" s="1"/>
  <c r="F1457" i="1"/>
  <c r="K1457" i="1" s="1"/>
  <c r="F1458" i="1"/>
  <c r="K1458" i="1" s="1"/>
  <c r="F1459" i="1"/>
  <c r="K1459" i="1" s="1"/>
  <c r="F1460" i="1"/>
  <c r="K1460" i="1" s="1"/>
  <c r="F1461" i="1"/>
  <c r="K1461" i="1" s="1"/>
  <c r="F1462" i="1"/>
  <c r="K1462" i="1" s="1"/>
  <c r="F1463" i="1"/>
  <c r="K1463" i="1" s="1"/>
  <c r="F1464" i="1"/>
  <c r="K1464" i="1" s="1"/>
  <c r="F1465" i="1"/>
  <c r="K1465" i="1" s="1"/>
  <c r="F1466" i="1"/>
  <c r="K1466" i="1" s="1"/>
  <c r="F1467" i="1"/>
  <c r="K1467" i="1" s="1"/>
  <c r="F1468" i="1"/>
  <c r="K1468" i="1" s="1"/>
  <c r="F1469" i="1"/>
  <c r="K1469" i="1" s="1"/>
  <c r="F1470" i="1"/>
  <c r="K1470" i="1" s="1"/>
  <c r="F1471" i="1"/>
  <c r="K1471" i="1" s="1"/>
  <c r="F1472" i="1"/>
  <c r="K1472" i="1" s="1"/>
  <c r="F1473" i="1"/>
  <c r="K1473" i="1" s="1"/>
  <c r="F1474" i="1"/>
  <c r="K1474" i="1" s="1"/>
  <c r="F1475" i="1"/>
  <c r="K1475" i="1" s="1"/>
  <c r="F1476" i="1"/>
  <c r="K1476" i="1" s="1"/>
  <c r="F1477" i="1"/>
  <c r="K1477" i="1" s="1"/>
  <c r="F1478" i="1"/>
  <c r="K1478" i="1" s="1"/>
  <c r="F1479" i="1"/>
  <c r="K1479" i="1" s="1"/>
  <c r="F1480" i="1"/>
  <c r="K1480" i="1" s="1"/>
  <c r="F1481" i="1"/>
  <c r="K1481" i="1" s="1"/>
  <c r="F1482" i="1"/>
  <c r="K1482" i="1" s="1"/>
  <c r="F1483" i="1"/>
  <c r="K1483" i="1" s="1"/>
  <c r="F1484" i="1"/>
  <c r="K1484" i="1" s="1"/>
  <c r="F1485" i="1"/>
  <c r="K1485" i="1" s="1"/>
  <c r="F1486" i="1"/>
  <c r="K1486" i="1" s="1"/>
  <c r="F1487" i="1"/>
  <c r="K1487" i="1" s="1"/>
  <c r="F1488" i="1"/>
  <c r="K1488" i="1" s="1"/>
  <c r="F1489" i="1"/>
  <c r="K1489" i="1" s="1"/>
  <c r="F1490" i="1"/>
  <c r="K1490" i="1" s="1"/>
  <c r="F1491" i="1"/>
  <c r="K1491" i="1" s="1"/>
  <c r="F1492" i="1"/>
  <c r="K1492" i="1" s="1"/>
  <c r="F1493" i="1"/>
  <c r="K1493" i="1" s="1"/>
  <c r="F1494" i="1"/>
  <c r="K1494" i="1" s="1"/>
  <c r="F1495" i="1"/>
  <c r="K1495" i="1" s="1"/>
  <c r="F1496" i="1"/>
  <c r="K1496" i="1" s="1"/>
  <c r="F1497" i="1"/>
  <c r="K1497" i="1" s="1"/>
  <c r="F1498" i="1"/>
  <c r="K1498" i="1" s="1"/>
  <c r="F1499" i="1"/>
  <c r="K1499" i="1" s="1"/>
  <c r="F1500" i="1"/>
  <c r="K1500" i="1" s="1"/>
  <c r="F1501" i="1"/>
  <c r="K1501" i="1" s="1"/>
  <c r="F1502" i="1"/>
  <c r="K1502" i="1" s="1"/>
  <c r="F1503" i="1"/>
  <c r="K1503" i="1" s="1"/>
  <c r="F1504" i="1"/>
  <c r="K1504" i="1" s="1"/>
  <c r="F1505" i="1"/>
  <c r="K1505" i="1" s="1"/>
  <c r="F1506" i="1"/>
  <c r="K1506" i="1" s="1"/>
  <c r="F1507" i="1"/>
  <c r="K1507" i="1" s="1"/>
  <c r="F1508" i="1"/>
  <c r="K1508" i="1" s="1"/>
  <c r="F1509" i="1"/>
  <c r="K1509" i="1" s="1"/>
  <c r="F1510" i="1"/>
  <c r="K1510" i="1" s="1"/>
  <c r="F1511" i="1"/>
  <c r="K1511" i="1" s="1"/>
  <c r="F1512" i="1"/>
  <c r="K1512" i="1" s="1"/>
  <c r="F1513" i="1"/>
  <c r="K1513" i="1" s="1"/>
  <c r="F1514" i="1"/>
  <c r="K1514" i="1" s="1"/>
  <c r="F1515" i="1"/>
  <c r="K1515" i="1" s="1"/>
  <c r="F1516" i="1"/>
  <c r="K1516" i="1" s="1"/>
  <c r="F1517" i="1"/>
  <c r="K1517" i="1" s="1"/>
  <c r="F1518" i="1"/>
  <c r="K1518" i="1" s="1"/>
  <c r="F1519" i="1"/>
  <c r="K1519" i="1" s="1"/>
  <c r="F1520" i="1"/>
  <c r="K1520" i="1" s="1"/>
  <c r="F1521" i="1"/>
  <c r="K1521" i="1" s="1"/>
  <c r="F1522" i="1"/>
  <c r="K1522" i="1" s="1"/>
  <c r="F1523" i="1"/>
  <c r="K1523" i="1" s="1"/>
  <c r="F1524" i="1"/>
  <c r="K1524" i="1" s="1"/>
  <c r="F1525" i="1"/>
  <c r="K1525" i="1" s="1"/>
  <c r="F1526" i="1"/>
  <c r="K1526" i="1" s="1"/>
  <c r="F1527" i="1"/>
  <c r="K1527" i="1" s="1"/>
  <c r="F1528" i="1"/>
  <c r="K1528" i="1" s="1"/>
  <c r="F1529" i="1"/>
  <c r="K1529" i="1" s="1"/>
  <c r="F1530" i="1"/>
  <c r="K1530" i="1" s="1"/>
  <c r="F1531" i="1"/>
  <c r="K1531" i="1" s="1"/>
  <c r="F1532" i="1"/>
  <c r="K1532" i="1" s="1"/>
  <c r="F1533" i="1"/>
  <c r="K1533" i="1" s="1"/>
  <c r="F1534" i="1"/>
  <c r="K1534" i="1" s="1"/>
  <c r="F1535" i="1"/>
  <c r="K1535" i="1" s="1"/>
  <c r="F1536" i="1"/>
  <c r="K1536" i="1" s="1"/>
  <c r="F1537" i="1"/>
  <c r="K1537" i="1" s="1"/>
  <c r="F1538" i="1"/>
  <c r="K1538" i="1" s="1"/>
  <c r="F1539" i="1"/>
  <c r="K1539" i="1" s="1"/>
  <c r="F1540" i="1"/>
  <c r="K1540" i="1" s="1"/>
  <c r="F1541" i="1"/>
  <c r="K1541" i="1" s="1"/>
  <c r="F1542" i="1"/>
  <c r="K1542" i="1" s="1"/>
  <c r="F1543" i="1"/>
  <c r="K1543" i="1" s="1"/>
  <c r="F1544" i="1"/>
  <c r="K1544" i="1" s="1"/>
  <c r="F1545" i="1"/>
  <c r="K1545" i="1" s="1"/>
  <c r="F1546" i="1"/>
  <c r="K1546" i="1" s="1"/>
  <c r="F1547" i="1"/>
  <c r="K1547" i="1" s="1"/>
  <c r="F1548" i="1"/>
  <c r="K1548" i="1" s="1"/>
  <c r="F1549" i="1"/>
  <c r="K1549" i="1" s="1"/>
  <c r="F1550" i="1"/>
  <c r="K1550" i="1" s="1"/>
  <c r="F1551" i="1"/>
  <c r="K1551" i="1" s="1"/>
  <c r="F1552" i="1"/>
  <c r="K1552" i="1" s="1"/>
  <c r="F1553" i="1"/>
  <c r="K1553" i="1" s="1"/>
  <c r="F1554" i="1"/>
  <c r="K1554" i="1" s="1"/>
  <c r="F1555" i="1"/>
  <c r="K1555" i="1" s="1"/>
  <c r="F1556" i="1"/>
  <c r="K1556" i="1" s="1"/>
  <c r="F1557" i="1"/>
  <c r="K1557" i="1" s="1"/>
  <c r="F1558" i="1"/>
  <c r="K1558" i="1" s="1"/>
  <c r="F1559" i="1"/>
  <c r="K1559" i="1" s="1"/>
  <c r="F1560" i="1"/>
  <c r="K1560" i="1" s="1"/>
  <c r="F1561" i="1"/>
  <c r="K1561" i="1" s="1"/>
  <c r="F1562" i="1"/>
  <c r="K1562" i="1" s="1"/>
  <c r="F1563" i="1"/>
  <c r="K1563" i="1" s="1"/>
  <c r="F1564" i="1"/>
  <c r="K1564" i="1" s="1"/>
  <c r="F1565" i="1"/>
  <c r="K1565" i="1" s="1"/>
  <c r="F1566" i="1"/>
  <c r="K1566" i="1" s="1"/>
  <c r="F1567" i="1"/>
  <c r="K1567" i="1" s="1"/>
  <c r="F1568" i="1"/>
  <c r="K1568" i="1" s="1"/>
  <c r="F1569" i="1"/>
  <c r="K1569" i="1" s="1"/>
  <c r="F1570" i="1"/>
  <c r="K1570" i="1" s="1"/>
  <c r="F1571" i="1"/>
  <c r="K1571" i="1" s="1"/>
  <c r="F1572" i="1"/>
  <c r="K1572" i="1" s="1"/>
  <c r="F1573" i="1"/>
  <c r="K1573" i="1" s="1"/>
  <c r="F1574" i="1"/>
  <c r="K1574" i="1" s="1"/>
  <c r="F1575" i="1"/>
  <c r="K1575" i="1" s="1"/>
  <c r="F1576" i="1"/>
  <c r="K1576" i="1" s="1"/>
  <c r="F1577" i="1"/>
  <c r="K1577" i="1" s="1"/>
  <c r="F1578" i="1"/>
  <c r="K1578" i="1" s="1"/>
  <c r="F1579" i="1"/>
  <c r="K1579" i="1" s="1"/>
  <c r="F1580" i="1"/>
  <c r="K1580" i="1" s="1"/>
  <c r="F1581" i="1"/>
  <c r="K1581" i="1" s="1"/>
  <c r="F1582" i="1"/>
  <c r="K1582" i="1" s="1"/>
  <c r="F1583" i="1"/>
  <c r="K1583" i="1" s="1"/>
  <c r="F1584" i="1"/>
  <c r="K1584" i="1" s="1"/>
  <c r="F1585" i="1"/>
  <c r="K1585" i="1" s="1"/>
  <c r="F1586" i="1"/>
  <c r="K1586" i="1" s="1"/>
  <c r="F1587" i="1"/>
  <c r="K1587" i="1" s="1"/>
  <c r="F1588" i="1"/>
  <c r="K1588" i="1" s="1"/>
  <c r="F1589" i="1"/>
  <c r="K1589" i="1" s="1"/>
  <c r="F1590" i="1"/>
  <c r="K1590" i="1" s="1"/>
  <c r="F1591" i="1"/>
  <c r="K1591" i="1" s="1"/>
  <c r="F1592" i="1"/>
  <c r="K1592" i="1" s="1"/>
  <c r="F1593" i="1"/>
  <c r="K1593" i="1" s="1"/>
  <c r="F1594" i="1"/>
  <c r="K1594" i="1" s="1"/>
  <c r="F1595" i="1"/>
  <c r="K1595" i="1" s="1"/>
  <c r="F1596" i="1"/>
  <c r="K1596" i="1" s="1"/>
  <c r="F1597" i="1"/>
  <c r="K1597" i="1" s="1"/>
  <c r="F1598" i="1"/>
  <c r="K1598" i="1" s="1"/>
  <c r="F1599" i="1"/>
  <c r="K1599" i="1" s="1"/>
  <c r="F1600" i="1"/>
  <c r="K1600" i="1" s="1"/>
  <c r="F1601" i="1"/>
  <c r="K1601" i="1" s="1"/>
  <c r="F1602" i="1"/>
  <c r="K1602" i="1" s="1"/>
  <c r="F1603" i="1"/>
  <c r="K1603" i="1" s="1"/>
  <c r="F1604" i="1"/>
  <c r="K1604" i="1" s="1"/>
  <c r="F1605" i="1"/>
  <c r="K1605" i="1" s="1"/>
  <c r="F1606" i="1"/>
  <c r="K1606" i="1" s="1"/>
  <c r="F1607" i="1"/>
  <c r="K1607" i="1" s="1"/>
  <c r="F1608" i="1"/>
  <c r="K1608" i="1" s="1"/>
  <c r="F1609" i="1"/>
  <c r="K1609" i="1" s="1"/>
  <c r="F1610" i="1"/>
  <c r="K1610" i="1" s="1"/>
  <c r="F1611" i="1"/>
  <c r="K1611" i="1" s="1"/>
  <c r="F1612" i="1"/>
  <c r="K1612" i="1" s="1"/>
  <c r="F1613" i="1"/>
  <c r="K1613" i="1" s="1"/>
  <c r="F1614" i="1"/>
  <c r="K1614" i="1" s="1"/>
  <c r="F1615" i="1"/>
  <c r="K1615" i="1" s="1"/>
  <c r="F1616" i="1"/>
  <c r="K1616" i="1" s="1"/>
  <c r="F1617" i="1"/>
  <c r="K1617" i="1" s="1"/>
  <c r="F1618" i="1"/>
  <c r="K1618" i="1" s="1"/>
  <c r="F1619" i="1"/>
  <c r="K1619" i="1" s="1"/>
  <c r="F1620" i="1"/>
  <c r="K1620" i="1" s="1"/>
  <c r="F1621" i="1"/>
  <c r="K1621" i="1" s="1"/>
  <c r="F1622" i="1"/>
  <c r="K1622" i="1" s="1"/>
  <c r="F1623" i="1"/>
  <c r="K1623" i="1" s="1"/>
  <c r="F1624" i="1"/>
  <c r="K1624" i="1" s="1"/>
  <c r="F1625" i="1"/>
  <c r="K1625" i="1" s="1"/>
  <c r="F1626" i="1"/>
  <c r="K1626" i="1" s="1"/>
  <c r="F1627" i="1"/>
  <c r="K1627" i="1" s="1"/>
  <c r="F1628" i="1"/>
  <c r="K1628" i="1" s="1"/>
  <c r="F1629" i="1"/>
  <c r="K1629" i="1" s="1"/>
  <c r="F1630" i="1"/>
  <c r="K1630" i="1" s="1"/>
  <c r="F1631" i="1"/>
  <c r="K1631" i="1" s="1"/>
  <c r="F1632" i="1"/>
  <c r="K1632" i="1" s="1"/>
  <c r="F1633" i="1"/>
  <c r="K1633" i="1" s="1"/>
  <c r="F1634" i="1"/>
  <c r="K1634" i="1" s="1"/>
  <c r="F1635" i="1"/>
  <c r="K1635" i="1" s="1"/>
  <c r="F1636" i="1"/>
  <c r="K1636" i="1" s="1"/>
  <c r="F1637" i="1"/>
  <c r="K1637" i="1" s="1"/>
  <c r="F1638" i="1"/>
  <c r="K1638" i="1" s="1"/>
  <c r="F1639" i="1"/>
  <c r="K1639" i="1" s="1"/>
  <c r="F1640" i="1"/>
  <c r="K1640" i="1" s="1"/>
  <c r="F1641" i="1"/>
  <c r="K1641" i="1" s="1"/>
  <c r="F1642" i="1"/>
  <c r="K1642" i="1" s="1"/>
  <c r="F1643" i="1"/>
  <c r="K1643" i="1" s="1"/>
  <c r="F1644" i="1"/>
  <c r="K1644" i="1" s="1"/>
  <c r="F1645" i="1"/>
  <c r="K1645" i="1" s="1"/>
  <c r="F1646" i="1"/>
  <c r="K1646" i="1" s="1"/>
  <c r="F1647" i="1"/>
  <c r="K1647" i="1" s="1"/>
  <c r="F1648" i="1"/>
  <c r="K1648" i="1" s="1"/>
  <c r="F1649" i="1"/>
  <c r="K1649" i="1" s="1"/>
  <c r="F1650" i="1"/>
  <c r="K1650" i="1" s="1"/>
  <c r="F1651" i="1"/>
  <c r="K1651" i="1" s="1"/>
  <c r="F1652" i="1"/>
  <c r="K1652" i="1" s="1"/>
  <c r="F1653" i="1"/>
  <c r="K1653" i="1" s="1"/>
  <c r="F1654" i="1"/>
  <c r="K1654" i="1" s="1"/>
  <c r="F1655" i="1"/>
  <c r="K1655" i="1" s="1"/>
  <c r="F1656" i="1"/>
  <c r="K1656" i="1" s="1"/>
  <c r="F1657" i="1"/>
  <c r="K1657" i="1" s="1"/>
  <c r="F1658" i="1"/>
  <c r="K1658" i="1" s="1"/>
  <c r="F1659" i="1"/>
  <c r="K1659" i="1" s="1"/>
  <c r="F1660" i="1"/>
  <c r="K1660" i="1" s="1"/>
  <c r="F1661" i="1"/>
  <c r="K1661" i="1" s="1"/>
  <c r="F1662" i="1"/>
  <c r="K1662" i="1" s="1"/>
  <c r="F1663" i="1"/>
  <c r="K1663" i="1" s="1"/>
  <c r="F1664" i="1"/>
  <c r="K1664" i="1" s="1"/>
  <c r="F1665" i="1"/>
  <c r="K1665" i="1" s="1"/>
  <c r="F1666" i="1"/>
  <c r="K1666" i="1" s="1"/>
  <c r="F1667" i="1"/>
  <c r="K1667" i="1" s="1"/>
  <c r="F1668" i="1"/>
  <c r="K1668" i="1" s="1"/>
  <c r="F1669" i="1"/>
  <c r="K1669" i="1" s="1"/>
  <c r="F1670" i="1"/>
  <c r="K1670" i="1" s="1"/>
  <c r="F1671" i="1"/>
  <c r="K1671" i="1" s="1"/>
  <c r="F1672" i="1"/>
  <c r="K1672" i="1" s="1"/>
  <c r="F1673" i="1"/>
  <c r="K1673" i="1" s="1"/>
  <c r="F1674" i="1"/>
  <c r="K1674" i="1" s="1"/>
  <c r="F1675" i="1"/>
  <c r="K1675" i="1" s="1"/>
  <c r="F1676" i="1"/>
  <c r="K1676" i="1" s="1"/>
  <c r="F1677" i="1"/>
  <c r="K1677" i="1" s="1"/>
  <c r="F1678" i="1"/>
  <c r="K1678" i="1" s="1"/>
  <c r="F1679" i="1"/>
  <c r="K1679" i="1" s="1"/>
  <c r="F1680" i="1"/>
  <c r="K1680" i="1" s="1"/>
  <c r="F1681" i="1"/>
  <c r="K1681" i="1" s="1"/>
  <c r="F1682" i="1"/>
  <c r="K1682" i="1" s="1"/>
  <c r="F1683" i="1"/>
  <c r="K1683" i="1" s="1"/>
  <c r="F1684" i="1"/>
  <c r="K1684" i="1" s="1"/>
  <c r="F1685" i="1"/>
  <c r="K1685" i="1" s="1"/>
  <c r="F1686" i="1"/>
  <c r="K1686" i="1" s="1"/>
  <c r="F1687" i="1"/>
  <c r="K1687" i="1" s="1"/>
  <c r="F1688" i="1"/>
  <c r="K1688" i="1" s="1"/>
  <c r="F1689" i="1"/>
  <c r="K1689" i="1" s="1"/>
  <c r="F1690" i="1"/>
  <c r="K1690" i="1" s="1"/>
  <c r="F1691" i="1"/>
  <c r="K1691" i="1" s="1"/>
  <c r="F1692" i="1"/>
  <c r="K1692" i="1" s="1"/>
  <c r="F1693" i="1"/>
  <c r="K1693" i="1" s="1"/>
  <c r="F1694" i="1"/>
  <c r="K1694" i="1" s="1"/>
  <c r="F1695" i="1"/>
  <c r="K1695" i="1" s="1"/>
  <c r="F1696" i="1"/>
  <c r="K1696" i="1" s="1"/>
  <c r="F1697" i="1"/>
  <c r="K1697" i="1" s="1"/>
  <c r="F1698" i="1"/>
  <c r="K1698" i="1" s="1"/>
  <c r="F1699" i="1"/>
  <c r="K1699" i="1" s="1"/>
  <c r="F1700" i="1"/>
  <c r="K1700" i="1" s="1"/>
  <c r="F1701" i="1"/>
  <c r="K1701" i="1" s="1"/>
  <c r="F1702" i="1"/>
  <c r="K1702" i="1" s="1"/>
  <c r="F1703" i="1"/>
  <c r="K1703" i="1" s="1"/>
  <c r="F1704" i="1"/>
  <c r="K1704" i="1" s="1"/>
  <c r="F1705" i="1"/>
  <c r="K1705" i="1" s="1"/>
  <c r="F1706" i="1"/>
  <c r="K1706" i="1" s="1"/>
  <c r="F1707" i="1"/>
  <c r="K1707" i="1" s="1"/>
  <c r="F1708" i="1"/>
  <c r="K1708" i="1" s="1"/>
  <c r="F1709" i="1"/>
  <c r="K1709" i="1" s="1"/>
  <c r="F1710" i="1"/>
  <c r="K1710" i="1" s="1"/>
  <c r="F1711" i="1"/>
  <c r="K1711" i="1" s="1"/>
  <c r="F1712" i="1"/>
  <c r="K1712" i="1" s="1"/>
  <c r="F1713" i="1"/>
  <c r="K1713" i="1" s="1"/>
  <c r="F1714" i="1"/>
  <c r="K1714" i="1" s="1"/>
  <c r="F1715" i="1"/>
  <c r="K1715" i="1" s="1"/>
  <c r="F1716" i="1"/>
  <c r="K1716" i="1" s="1"/>
  <c r="F1717" i="1"/>
  <c r="K1717" i="1" s="1"/>
  <c r="F1718" i="1"/>
  <c r="K1718" i="1" s="1"/>
  <c r="F1719" i="1"/>
  <c r="K1719" i="1" s="1"/>
  <c r="F1720" i="1"/>
  <c r="K1720" i="1" s="1"/>
  <c r="F1721" i="1"/>
  <c r="K1721" i="1" s="1"/>
  <c r="F1722" i="1"/>
  <c r="K1722" i="1" s="1"/>
  <c r="F1723" i="1"/>
  <c r="K1723" i="1" s="1"/>
  <c r="F1724" i="1"/>
  <c r="K1724" i="1" s="1"/>
  <c r="F1725" i="1"/>
  <c r="K1725" i="1" s="1"/>
  <c r="F1726" i="1"/>
  <c r="K1726" i="1" s="1"/>
  <c r="F1727" i="1"/>
  <c r="K1727" i="1" s="1"/>
  <c r="F1728" i="1"/>
  <c r="K1728" i="1" s="1"/>
  <c r="F1729" i="1"/>
  <c r="K1729" i="1" s="1"/>
  <c r="F1730" i="1"/>
  <c r="K1730" i="1" s="1"/>
  <c r="F1731" i="1"/>
  <c r="K1731" i="1" s="1"/>
  <c r="F1732" i="1"/>
  <c r="K1732" i="1" s="1"/>
  <c r="F1733" i="1"/>
  <c r="K1733" i="1" s="1"/>
  <c r="F1734" i="1"/>
  <c r="K1734" i="1" s="1"/>
  <c r="F1735" i="1"/>
  <c r="K1735" i="1" s="1"/>
  <c r="F1736" i="1"/>
  <c r="K1736" i="1" s="1"/>
  <c r="F1737" i="1"/>
  <c r="K1737" i="1" s="1"/>
  <c r="F1738" i="1"/>
  <c r="K1738" i="1" s="1"/>
  <c r="F1739" i="1"/>
  <c r="K1739" i="1" s="1"/>
  <c r="F1740" i="1"/>
  <c r="K1740" i="1" s="1"/>
  <c r="F1741" i="1"/>
  <c r="K1741" i="1" s="1"/>
  <c r="F1742" i="1"/>
  <c r="K1742" i="1" s="1"/>
  <c r="F1743" i="1"/>
  <c r="K1743" i="1" s="1"/>
  <c r="F1744" i="1"/>
  <c r="K1744" i="1" s="1"/>
  <c r="F1745" i="1"/>
  <c r="K1745" i="1" s="1"/>
  <c r="F1746" i="1"/>
  <c r="K1746" i="1" s="1"/>
  <c r="F1747" i="1"/>
  <c r="K1747" i="1" s="1"/>
  <c r="F1748" i="1"/>
  <c r="K1748" i="1" s="1"/>
  <c r="F1749" i="1"/>
  <c r="K1749" i="1" s="1"/>
  <c r="F1750" i="1"/>
  <c r="K1750" i="1" s="1"/>
  <c r="F1751" i="1"/>
  <c r="K1751" i="1" s="1"/>
  <c r="F1752" i="1"/>
  <c r="K1752" i="1" s="1"/>
  <c r="F1753" i="1"/>
  <c r="K1753" i="1" s="1"/>
  <c r="F1754" i="1"/>
  <c r="K1754" i="1" s="1"/>
  <c r="F1755" i="1"/>
  <c r="K1755" i="1" s="1"/>
  <c r="F1756" i="1"/>
  <c r="K1756" i="1" s="1"/>
  <c r="F1757" i="1"/>
  <c r="K1757" i="1" s="1"/>
  <c r="F1758" i="1"/>
  <c r="K1758" i="1" s="1"/>
  <c r="F1759" i="1"/>
  <c r="K1759" i="1" s="1"/>
  <c r="F1760" i="1"/>
  <c r="K1760" i="1" s="1"/>
  <c r="F1761" i="1"/>
  <c r="K1761" i="1" s="1"/>
  <c r="F1762" i="1"/>
  <c r="K1762" i="1" s="1"/>
  <c r="F1763" i="1"/>
  <c r="K1763" i="1" s="1"/>
  <c r="F1764" i="1"/>
  <c r="K1764" i="1" s="1"/>
  <c r="F1765" i="1"/>
  <c r="K1765" i="1" s="1"/>
  <c r="F1766" i="1"/>
  <c r="K1766" i="1" s="1"/>
  <c r="F1767" i="1"/>
  <c r="K1767" i="1" s="1"/>
  <c r="F1768" i="1"/>
  <c r="K1768" i="1" s="1"/>
  <c r="F1769" i="1"/>
  <c r="K1769" i="1" s="1"/>
  <c r="F1770" i="1"/>
  <c r="K1770" i="1" s="1"/>
  <c r="F1771" i="1"/>
  <c r="K1771" i="1" s="1"/>
  <c r="F1772" i="1"/>
  <c r="K1772" i="1" s="1"/>
  <c r="F1773" i="1"/>
  <c r="K1773" i="1" s="1"/>
  <c r="F1774" i="1"/>
  <c r="K1774" i="1" s="1"/>
  <c r="F1775" i="1"/>
  <c r="K1775" i="1" s="1"/>
  <c r="F1776" i="1"/>
  <c r="K1776" i="1" s="1"/>
  <c r="F1777" i="1"/>
  <c r="K1777" i="1" s="1"/>
  <c r="F1778" i="1"/>
  <c r="K1778" i="1" s="1"/>
  <c r="F1779" i="1"/>
  <c r="K1779" i="1" s="1"/>
  <c r="F1780" i="1"/>
  <c r="K1780" i="1" s="1"/>
  <c r="F1781" i="1"/>
  <c r="K1781" i="1" s="1"/>
  <c r="F1782" i="1"/>
  <c r="K1782" i="1" s="1"/>
  <c r="F1783" i="1"/>
  <c r="K1783" i="1" s="1"/>
  <c r="F1784" i="1"/>
  <c r="K1784" i="1" s="1"/>
  <c r="F1785" i="1"/>
  <c r="K1785" i="1" s="1"/>
  <c r="F1786" i="1"/>
  <c r="K1786" i="1" s="1"/>
  <c r="F1787" i="1"/>
  <c r="K1787" i="1" s="1"/>
  <c r="F1788" i="1"/>
  <c r="K1788" i="1" s="1"/>
  <c r="F1789" i="1"/>
  <c r="K1789" i="1" s="1"/>
  <c r="F1790" i="1"/>
  <c r="K1790" i="1" s="1"/>
  <c r="F1791" i="1"/>
  <c r="K1791" i="1" s="1"/>
  <c r="F1792" i="1"/>
  <c r="K1792" i="1" s="1"/>
  <c r="F1793" i="1"/>
  <c r="K1793" i="1" s="1"/>
  <c r="F1794" i="1"/>
  <c r="K1794" i="1" s="1"/>
  <c r="F1795" i="1"/>
  <c r="K1795" i="1" s="1"/>
  <c r="F1796" i="1"/>
  <c r="K1796" i="1" s="1"/>
  <c r="F1797" i="1"/>
  <c r="K1797" i="1" s="1"/>
  <c r="F1798" i="1"/>
  <c r="K1798" i="1" s="1"/>
  <c r="F1799" i="1"/>
  <c r="K1799" i="1" s="1"/>
  <c r="F1800" i="1"/>
  <c r="K1800" i="1" s="1"/>
  <c r="F1801" i="1"/>
  <c r="K1801" i="1" s="1"/>
  <c r="F1802" i="1"/>
  <c r="K1802" i="1" s="1"/>
  <c r="F1803" i="1"/>
  <c r="K1803" i="1" s="1"/>
  <c r="F1804" i="1"/>
  <c r="K1804" i="1" s="1"/>
  <c r="F1805" i="1"/>
  <c r="K1805" i="1" s="1"/>
  <c r="F1806" i="1"/>
  <c r="K1806" i="1" s="1"/>
  <c r="F1807" i="1"/>
  <c r="K1807" i="1" s="1"/>
  <c r="F1808" i="1"/>
  <c r="K1808" i="1" s="1"/>
  <c r="F1809" i="1"/>
  <c r="K1809" i="1" s="1"/>
  <c r="F1810" i="1"/>
  <c r="K1810" i="1" s="1"/>
  <c r="F1811" i="1"/>
  <c r="K1811" i="1" s="1"/>
  <c r="F1812" i="1"/>
  <c r="K1812" i="1" s="1"/>
  <c r="F1813" i="1"/>
  <c r="K1813" i="1" s="1"/>
  <c r="F1814" i="1"/>
  <c r="K1814" i="1" s="1"/>
  <c r="F1815" i="1"/>
  <c r="K1815" i="1" s="1"/>
  <c r="F1816" i="1"/>
  <c r="K1816" i="1" s="1"/>
  <c r="F1817" i="1"/>
  <c r="K1817" i="1" s="1"/>
  <c r="F1818" i="1"/>
  <c r="K1818" i="1" s="1"/>
  <c r="F1819" i="1"/>
  <c r="K1819" i="1" s="1"/>
  <c r="F1820" i="1"/>
  <c r="K1820" i="1" s="1"/>
  <c r="F1821" i="1"/>
  <c r="K1821" i="1" s="1"/>
  <c r="F1822" i="1"/>
  <c r="K1822" i="1" s="1"/>
  <c r="F1823" i="1"/>
  <c r="K1823" i="1" s="1"/>
  <c r="F1824" i="1"/>
  <c r="K1824" i="1" s="1"/>
  <c r="F1825" i="1"/>
  <c r="K1825" i="1" s="1"/>
  <c r="F1826" i="1"/>
  <c r="K1826" i="1" s="1"/>
  <c r="F1827" i="1"/>
  <c r="K1827" i="1" s="1"/>
  <c r="F1828" i="1"/>
  <c r="K1828" i="1" s="1"/>
  <c r="F1829" i="1"/>
  <c r="K1829" i="1" s="1"/>
  <c r="F1830" i="1"/>
  <c r="K1830" i="1" s="1"/>
  <c r="F1831" i="1"/>
  <c r="K1831" i="1" s="1"/>
  <c r="F1832" i="1"/>
  <c r="K1832" i="1" s="1"/>
  <c r="F1833" i="1"/>
  <c r="K1833" i="1" s="1"/>
  <c r="F1834" i="1"/>
  <c r="K1834" i="1" s="1"/>
  <c r="F1835" i="1"/>
  <c r="K1835" i="1" s="1"/>
  <c r="F1836" i="1"/>
  <c r="K1836" i="1" s="1"/>
  <c r="F1837" i="1"/>
  <c r="K1837" i="1" s="1"/>
  <c r="F1838" i="1"/>
  <c r="K1838" i="1" s="1"/>
  <c r="F1839" i="1"/>
  <c r="K1839" i="1" s="1"/>
  <c r="F1840" i="1"/>
  <c r="K1840" i="1" s="1"/>
  <c r="F1841" i="1"/>
  <c r="K1841" i="1" s="1"/>
  <c r="F1842" i="1"/>
  <c r="K1842" i="1" s="1"/>
  <c r="F1843" i="1"/>
  <c r="K1843" i="1" s="1"/>
  <c r="F1844" i="1"/>
  <c r="K1844" i="1" s="1"/>
  <c r="F1845" i="1"/>
  <c r="K1845" i="1" s="1"/>
  <c r="F1846" i="1"/>
  <c r="K1846" i="1" s="1"/>
  <c r="F1847" i="1"/>
  <c r="K1847" i="1" s="1"/>
  <c r="F1848" i="1"/>
  <c r="K1848" i="1" s="1"/>
  <c r="F1849" i="1"/>
  <c r="K1849" i="1" s="1"/>
  <c r="F1850" i="1"/>
  <c r="K1850" i="1" s="1"/>
  <c r="F1851" i="1"/>
  <c r="K1851" i="1" s="1"/>
  <c r="F1852" i="1"/>
  <c r="K1852" i="1" s="1"/>
  <c r="F1853" i="1"/>
  <c r="K1853" i="1" s="1"/>
  <c r="F1854" i="1"/>
  <c r="K1854" i="1" s="1"/>
  <c r="F1855" i="1"/>
  <c r="K1855" i="1" s="1"/>
  <c r="F1856" i="1"/>
  <c r="K1856" i="1" s="1"/>
  <c r="F1857" i="1"/>
  <c r="K1857" i="1" s="1"/>
  <c r="F1858" i="1"/>
  <c r="K1858" i="1" s="1"/>
  <c r="F1859" i="1"/>
  <c r="K1859" i="1" s="1"/>
  <c r="F1860" i="1"/>
  <c r="K1860" i="1" s="1"/>
  <c r="F1861" i="1"/>
  <c r="K1861" i="1" s="1"/>
  <c r="F1862" i="1"/>
  <c r="K1862" i="1" s="1"/>
  <c r="F1863" i="1"/>
  <c r="K1863" i="1" s="1"/>
  <c r="F1864" i="1"/>
  <c r="K1864" i="1" s="1"/>
  <c r="F1865" i="1"/>
  <c r="K1865" i="1" s="1"/>
  <c r="F1866" i="1"/>
  <c r="K1866" i="1" s="1"/>
  <c r="F1867" i="1"/>
  <c r="K1867" i="1" s="1"/>
  <c r="F1868" i="1"/>
  <c r="K1868" i="1" s="1"/>
  <c r="F1869" i="1"/>
  <c r="K1869" i="1" s="1"/>
  <c r="F1870" i="1"/>
  <c r="K1870" i="1" s="1"/>
  <c r="F1871" i="1"/>
  <c r="K1871" i="1" s="1"/>
  <c r="F1872" i="1"/>
  <c r="K1872" i="1" s="1"/>
  <c r="F1873" i="1"/>
  <c r="K1873" i="1" s="1"/>
  <c r="F1874" i="1"/>
  <c r="K1874" i="1" s="1"/>
  <c r="F1875" i="1"/>
  <c r="K1875" i="1" s="1"/>
  <c r="F1876" i="1"/>
  <c r="K1876" i="1" s="1"/>
  <c r="F1877" i="1"/>
  <c r="K1877" i="1" s="1"/>
  <c r="F1878" i="1"/>
  <c r="K1878" i="1" s="1"/>
  <c r="F1879" i="1"/>
  <c r="K1879" i="1" s="1"/>
  <c r="F1880" i="1"/>
  <c r="K1880" i="1" s="1"/>
  <c r="F1881" i="1"/>
  <c r="K1881" i="1" s="1"/>
  <c r="F1882" i="1"/>
  <c r="K1882" i="1" s="1"/>
  <c r="F1883" i="1"/>
  <c r="K1883" i="1" s="1"/>
  <c r="F1884" i="1"/>
  <c r="K1884" i="1" s="1"/>
  <c r="F1885" i="1"/>
  <c r="K1885" i="1" s="1"/>
  <c r="F1886" i="1"/>
  <c r="K1886" i="1" s="1"/>
  <c r="F1887" i="1"/>
  <c r="K1887" i="1" s="1"/>
  <c r="F1888" i="1"/>
  <c r="K1888" i="1" s="1"/>
  <c r="F1889" i="1"/>
  <c r="K1889" i="1" s="1"/>
  <c r="F1890" i="1"/>
  <c r="K1890" i="1" s="1"/>
  <c r="F1891" i="1"/>
  <c r="K1891" i="1" s="1"/>
  <c r="F1892" i="1"/>
  <c r="K1892" i="1" s="1"/>
  <c r="F1893" i="1"/>
  <c r="K1893" i="1" s="1"/>
  <c r="F1894" i="1"/>
  <c r="K1894" i="1" s="1"/>
  <c r="F1895" i="1"/>
  <c r="K1895" i="1" s="1"/>
  <c r="F1896" i="1"/>
  <c r="K1896" i="1" s="1"/>
  <c r="F1897" i="1"/>
  <c r="K1897" i="1" s="1"/>
  <c r="F1898" i="1"/>
  <c r="K1898" i="1" s="1"/>
  <c r="F1899" i="1"/>
  <c r="K1899" i="1" s="1"/>
  <c r="F1900" i="1"/>
  <c r="K1900" i="1" s="1"/>
  <c r="F1901" i="1"/>
  <c r="K1901" i="1" s="1"/>
  <c r="F1902" i="1"/>
  <c r="K1902" i="1" s="1"/>
  <c r="F1903" i="1"/>
  <c r="K1903" i="1" s="1"/>
  <c r="F1904" i="1"/>
  <c r="K1904" i="1" s="1"/>
  <c r="F1905" i="1"/>
  <c r="K1905" i="1" s="1"/>
  <c r="F1906" i="1"/>
  <c r="K1906" i="1" s="1"/>
  <c r="F1907" i="1"/>
  <c r="K1907" i="1" s="1"/>
  <c r="F1908" i="1"/>
  <c r="K1908" i="1" s="1"/>
  <c r="F1909" i="1"/>
  <c r="K1909" i="1" s="1"/>
  <c r="F1910" i="1"/>
  <c r="K1910" i="1" s="1"/>
  <c r="F1911" i="1"/>
  <c r="K1911" i="1" s="1"/>
  <c r="F1912" i="1"/>
  <c r="K1912" i="1" s="1"/>
  <c r="F1913" i="1"/>
  <c r="K1913" i="1" s="1"/>
  <c r="F1914" i="1"/>
  <c r="K1914" i="1" s="1"/>
  <c r="F1915" i="1"/>
  <c r="K1915" i="1" s="1"/>
  <c r="F1916" i="1"/>
  <c r="K1916" i="1" s="1"/>
  <c r="F1917" i="1"/>
  <c r="K1917" i="1" s="1"/>
  <c r="F1918" i="1"/>
  <c r="K1918" i="1" s="1"/>
  <c r="F1919" i="1"/>
  <c r="K1919" i="1" s="1"/>
  <c r="F1920" i="1"/>
  <c r="K1920" i="1" s="1"/>
  <c r="F1921" i="1"/>
  <c r="K1921" i="1" s="1"/>
  <c r="F1922" i="1"/>
  <c r="K1922" i="1" s="1"/>
  <c r="F1923" i="1"/>
  <c r="K1923" i="1" s="1"/>
  <c r="F1924" i="1"/>
  <c r="K1924" i="1" s="1"/>
  <c r="F1925" i="1"/>
  <c r="K1925" i="1" s="1"/>
  <c r="F1926" i="1"/>
  <c r="K1926" i="1" s="1"/>
  <c r="F1927" i="1"/>
  <c r="K1927" i="1" s="1"/>
  <c r="F1928" i="1"/>
  <c r="K1928" i="1" s="1"/>
  <c r="F1929" i="1"/>
  <c r="K1929" i="1" s="1"/>
  <c r="F1930" i="1"/>
  <c r="K1930" i="1" s="1"/>
  <c r="F1931" i="1"/>
  <c r="K1931" i="1" s="1"/>
  <c r="F1932" i="1"/>
  <c r="K1932" i="1" s="1"/>
  <c r="F1933" i="1"/>
  <c r="K1933" i="1" s="1"/>
  <c r="F1934" i="1"/>
  <c r="K1934" i="1" s="1"/>
  <c r="F1935" i="1"/>
  <c r="K1935" i="1" s="1"/>
  <c r="F1936" i="1"/>
  <c r="K1936" i="1" s="1"/>
  <c r="F1937" i="1"/>
  <c r="K1937" i="1" s="1"/>
  <c r="F1938" i="1"/>
  <c r="K1938" i="1" s="1"/>
  <c r="F1939" i="1"/>
  <c r="K1939" i="1" s="1"/>
  <c r="F1940" i="1"/>
  <c r="K1940" i="1" s="1"/>
  <c r="F1941" i="1"/>
  <c r="K1941" i="1" s="1"/>
  <c r="F1942" i="1"/>
  <c r="K1942" i="1" s="1"/>
  <c r="F1943" i="1"/>
  <c r="K1943" i="1" s="1"/>
  <c r="F1944" i="1"/>
  <c r="K1944" i="1" s="1"/>
  <c r="F1945" i="1"/>
  <c r="K1945" i="1" s="1"/>
  <c r="F1946" i="1"/>
  <c r="K1946" i="1" s="1"/>
  <c r="F1947" i="1"/>
  <c r="K1947" i="1" s="1"/>
  <c r="F1948" i="1"/>
  <c r="K1948" i="1" s="1"/>
  <c r="F1949" i="1"/>
  <c r="K1949" i="1" s="1"/>
  <c r="F1950" i="1"/>
  <c r="K1950" i="1" s="1"/>
  <c r="F1951" i="1"/>
  <c r="K1951" i="1" s="1"/>
  <c r="F1952" i="1"/>
  <c r="K1952" i="1" s="1"/>
  <c r="F1953" i="1"/>
  <c r="K1953" i="1" s="1"/>
  <c r="F1954" i="1"/>
  <c r="K1954" i="1" s="1"/>
  <c r="F1955" i="1"/>
  <c r="K1955" i="1" s="1"/>
  <c r="F1956" i="1"/>
  <c r="K1956" i="1" s="1"/>
  <c r="F1957" i="1"/>
  <c r="K1957" i="1" s="1"/>
  <c r="F1958" i="1"/>
  <c r="K1958" i="1" s="1"/>
  <c r="F1959" i="1"/>
  <c r="K1959" i="1" s="1"/>
  <c r="F1960" i="1"/>
  <c r="K1960" i="1" s="1"/>
  <c r="F1961" i="1"/>
  <c r="K1961" i="1" s="1"/>
  <c r="F1962" i="1"/>
  <c r="K1962" i="1" s="1"/>
  <c r="F1963" i="1"/>
  <c r="K1963" i="1" s="1"/>
  <c r="F1964" i="1"/>
  <c r="K1964" i="1" s="1"/>
  <c r="F1965" i="1"/>
  <c r="K1965" i="1" s="1"/>
  <c r="F1966" i="1"/>
  <c r="K1966" i="1" s="1"/>
  <c r="F1967" i="1"/>
  <c r="K1967" i="1" s="1"/>
  <c r="F1968" i="1"/>
  <c r="K1968" i="1" s="1"/>
  <c r="F1969" i="1"/>
  <c r="K1969" i="1" s="1"/>
  <c r="F1970" i="1"/>
  <c r="K1970" i="1" s="1"/>
  <c r="F1971" i="1"/>
  <c r="K1971" i="1" s="1"/>
  <c r="F1972" i="1"/>
  <c r="K1972" i="1" s="1"/>
  <c r="F1973" i="1"/>
  <c r="K1973" i="1" s="1"/>
  <c r="F1974" i="1"/>
  <c r="K1974" i="1" s="1"/>
  <c r="F1975" i="1"/>
  <c r="K1975" i="1" s="1"/>
  <c r="F1976" i="1"/>
  <c r="K1976" i="1" s="1"/>
  <c r="F1977" i="1"/>
  <c r="K1977" i="1" s="1"/>
  <c r="F1978" i="1"/>
  <c r="K1978" i="1" s="1"/>
  <c r="F1979" i="1"/>
  <c r="K1979" i="1" s="1"/>
  <c r="F1980" i="1"/>
  <c r="K1980" i="1" s="1"/>
  <c r="F1981" i="1"/>
  <c r="K1981" i="1" s="1"/>
  <c r="F1982" i="1"/>
  <c r="K1982" i="1" s="1"/>
  <c r="F1983" i="1"/>
  <c r="K1983" i="1" s="1"/>
  <c r="F1984" i="1"/>
  <c r="K1984" i="1" s="1"/>
  <c r="F1985" i="1"/>
  <c r="K1985" i="1" s="1"/>
  <c r="F1986" i="1"/>
  <c r="K1986" i="1" s="1"/>
  <c r="F1987" i="1"/>
  <c r="K1987" i="1" s="1"/>
  <c r="F1988" i="1"/>
  <c r="K1988" i="1" s="1"/>
  <c r="F1989" i="1"/>
  <c r="K1989" i="1" s="1"/>
  <c r="F1990" i="1"/>
  <c r="K1990" i="1" s="1"/>
  <c r="F1991" i="1"/>
  <c r="K1991" i="1" s="1"/>
  <c r="F1992" i="1"/>
  <c r="K1992" i="1" s="1"/>
  <c r="F1993" i="1"/>
  <c r="K1993" i="1" s="1"/>
  <c r="F1994" i="1"/>
  <c r="K1994" i="1" s="1"/>
  <c r="F1995" i="1"/>
  <c r="K1995" i="1" s="1"/>
  <c r="F1996" i="1"/>
  <c r="K1996" i="1" s="1"/>
  <c r="F1997" i="1"/>
  <c r="K1997" i="1" s="1"/>
  <c r="F1998" i="1"/>
  <c r="K1998" i="1" s="1"/>
  <c r="F1999" i="1"/>
  <c r="K1999" i="1" s="1"/>
  <c r="F2000" i="1"/>
  <c r="K2000" i="1" s="1"/>
  <c r="F2001" i="1"/>
  <c r="K2001" i="1" s="1"/>
  <c r="F2002" i="1"/>
  <c r="K2002" i="1" s="1"/>
  <c r="F2003" i="1"/>
  <c r="K2003" i="1" s="1"/>
  <c r="F2004" i="1"/>
  <c r="K2004" i="1" s="1"/>
  <c r="F2005" i="1"/>
  <c r="K2005" i="1" s="1"/>
  <c r="F2006" i="1"/>
  <c r="K2006" i="1" s="1"/>
  <c r="F2007" i="1"/>
  <c r="K2007" i="1" s="1"/>
  <c r="F2008" i="1"/>
  <c r="K2008" i="1" s="1"/>
  <c r="F2009" i="1"/>
  <c r="K2009" i="1" s="1"/>
  <c r="F2010" i="1"/>
  <c r="K2010" i="1" s="1"/>
  <c r="F2011" i="1"/>
  <c r="K2011" i="1" s="1"/>
  <c r="F2012" i="1"/>
  <c r="K2012" i="1" s="1"/>
  <c r="F2013" i="1"/>
  <c r="K2013" i="1" s="1"/>
  <c r="F2014" i="1"/>
  <c r="K2014" i="1" s="1"/>
  <c r="F2015" i="1"/>
  <c r="K2015" i="1" s="1"/>
  <c r="F2016" i="1"/>
  <c r="K2016" i="1" s="1"/>
  <c r="F2017" i="1"/>
  <c r="K2017" i="1" s="1"/>
  <c r="F2018" i="1"/>
  <c r="K2018" i="1" s="1"/>
  <c r="F2019" i="1"/>
  <c r="K2019" i="1" s="1"/>
  <c r="F2020" i="1"/>
  <c r="K2020" i="1" s="1"/>
  <c r="F2021" i="1"/>
  <c r="K2021" i="1" s="1"/>
  <c r="F2022" i="1"/>
  <c r="K2022" i="1" s="1"/>
  <c r="F2023" i="1"/>
  <c r="K2023" i="1" s="1"/>
  <c r="F2024" i="1"/>
  <c r="K2024" i="1" s="1"/>
  <c r="F2025" i="1"/>
  <c r="K2025" i="1" s="1"/>
  <c r="F2026" i="1"/>
  <c r="K2026" i="1" s="1"/>
  <c r="F2027" i="1"/>
  <c r="K2027" i="1" s="1"/>
  <c r="F2028" i="1"/>
  <c r="K2028" i="1" s="1"/>
  <c r="F2029" i="1"/>
  <c r="K2029" i="1" s="1"/>
  <c r="F2030" i="1"/>
  <c r="K2030" i="1" s="1"/>
  <c r="F2031" i="1"/>
  <c r="K2031" i="1" s="1"/>
  <c r="F2032" i="1"/>
  <c r="K2032" i="1" s="1"/>
  <c r="F2033" i="1"/>
  <c r="K2033" i="1" s="1"/>
  <c r="F2034" i="1"/>
  <c r="K2034" i="1" s="1"/>
  <c r="F2035" i="1"/>
  <c r="K2035" i="1" s="1"/>
  <c r="F2036" i="1"/>
  <c r="K2036" i="1" s="1"/>
  <c r="F2037" i="1"/>
  <c r="K2037" i="1" s="1"/>
  <c r="F2038" i="1"/>
  <c r="K2038" i="1" s="1"/>
  <c r="F2039" i="1"/>
  <c r="K2039" i="1" s="1"/>
  <c r="F2040" i="1"/>
  <c r="K2040" i="1" s="1"/>
  <c r="F2041" i="1"/>
  <c r="K2041" i="1" s="1"/>
  <c r="F2042" i="1"/>
  <c r="K2042" i="1" s="1"/>
  <c r="F2043" i="1"/>
  <c r="K2043" i="1" s="1"/>
  <c r="F2044" i="1"/>
  <c r="K2044" i="1" s="1"/>
  <c r="F2045" i="1"/>
  <c r="K2045" i="1" s="1"/>
  <c r="F2046" i="1"/>
  <c r="K2046" i="1" s="1"/>
  <c r="F2047" i="1"/>
  <c r="K2047" i="1" s="1"/>
  <c r="F2048" i="1"/>
  <c r="K2048" i="1" s="1"/>
  <c r="F2049" i="1"/>
  <c r="K2049" i="1" s="1"/>
  <c r="F2050" i="1"/>
  <c r="K2050" i="1" s="1"/>
  <c r="F2051" i="1"/>
  <c r="K2051" i="1" s="1"/>
  <c r="F2052" i="1"/>
  <c r="K2052" i="1" s="1"/>
  <c r="F2053" i="1"/>
  <c r="K2053" i="1" s="1"/>
  <c r="F2054" i="1"/>
  <c r="K2054" i="1" s="1"/>
  <c r="F2055" i="1"/>
  <c r="K2055" i="1" s="1"/>
  <c r="F2056" i="1"/>
  <c r="K2056" i="1" s="1"/>
  <c r="F2057" i="1"/>
  <c r="K2057" i="1" s="1"/>
  <c r="F2058" i="1"/>
  <c r="K2058" i="1" s="1"/>
  <c r="F2059" i="1"/>
  <c r="K2059" i="1" s="1"/>
  <c r="F2060" i="1"/>
  <c r="K2060" i="1" s="1"/>
  <c r="F2061" i="1"/>
  <c r="K2061" i="1" s="1"/>
  <c r="F2062" i="1"/>
  <c r="K2062" i="1" s="1"/>
  <c r="F2063" i="1"/>
  <c r="K2063" i="1" s="1"/>
  <c r="F2064" i="1"/>
  <c r="K2064" i="1" s="1"/>
  <c r="F2065" i="1"/>
  <c r="K2065" i="1" s="1"/>
  <c r="F2066" i="1"/>
  <c r="K2066" i="1" s="1"/>
  <c r="F2067" i="1"/>
  <c r="K2067" i="1" s="1"/>
  <c r="F2068" i="1"/>
  <c r="K2068" i="1" s="1"/>
  <c r="F2069" i="1"/>
  <c r="K2069" i="1" s="1"/>
  <c r="F2070" i="1"/>
  <c r="K2070" i="1" s="1"/>
  <c r="F2071" i="1"/>
  <c r="K2071" i="1" s="1"/>
  <c r="F2072" i="1"/>
  <c r="K2072" i="1" s="1"/>
  <c r="F2073" i="1"/>
  <c r="K2073" i="1" s="1"/>
  <c r="F2074" i="1"/>
  <c r="K2074" i="1" s="1"/>
  <c r="F2075" i="1"/>
  <c r="K2075" i="1" s="1"/>
  <c r="F2076" i="1"/>
  <c r="K2076" i="1" s="1"/>
  <c r="F2077" i="1"/>
  <c r="K2077" i="1" s="1"/>
  <c r="F2078" i="1"/>
  <c r="K2078" i="1" s="1"/>
  <c r="F2079" i="1"/>
  <c r="K2079" i="1" s="1"/>
  <c r="F2080" i="1"/>
  <c r="K2080" i="1" s="1"/>
  <c r="F2081" i="1"/>
  <c r="K2081" i="1" s="1"/>
  <c r="F2082" i="1"/>
  <c r="K2082" i="1" s="1"/>
  <c r="F2083" i="1"/>
  <c r="K2083" i="1" s="1"/>
  <c r="F2084" i="1"/>
  <c r="K2084" i="1" s="1"/>
  <c r="F2085" i="1"/>
  <c r="K2085" i="1" s="1"/>
  <c r="F2086" i="1"/>
  <c r="K2086" i="1" s="1"/>
  <c r="F2087" i="1"/>
  <c r="K2087" i="1" s="1"/>
  <c r="F2088" i="1"/>
  <c r="K2088" i="1" s="1"/>
  <c r="F2089" i="1"/>
  <c r="K2089" i="1" s="1"/>
  <c r="F2090" i="1"/>
  <c r="K2090" i="1" s="1"/>
  <c r="F2091" i="1"/>
  <c r="K2091" i="1" s="1"/>
  <c r="F2092" i="1"/>
  <c r="K2092" i="1" s="1"/>
  <c r="F2093" i="1"/>
  <c r="K2093" i="1" s="1"/>
  <c r="F2094" i="1"/>
  <c r="K2094" i="1" s="1"/>
  <c r="F2095" i="1"/>
  <c r="K2095" i="1" s="1"/>
  <c r="F2096" i="1"/>
  <c r="K2096" i="1" s="1"/>
  <c r="F2097" i="1"/>
  <c r="K2097" i="1" s="1"/>
  <c r="F2098" i="1"/>
  <c r="K2098" i="1" s="1"/>
  <c r="F2099" i="1"/>
  <c r="K2099" i="1" s="1"/>
  <c r="F2100" i="1"/>
  <c r="K2100" i="1" s="1"/>
  <c r="F2101" i="1"/>
  <c r="K2101" i="1" s="1"/>
  <c r="F2102" i="1"/>
  <c r="K2102" i="1" s="1"/>
  <c r="F2103" i="1"/>
  <c r="K2103" i="1" s="1"/>
  <c r="F2104" i="1"/>
  <c r="K2104" i="1" s="1"/>
  <c r="F2105" i="1"/>
  <c r="K2105" i="1" s="1"/>
  <c r="F2106" i="1"/>
  <c r="K2106" i="1" s="1"/>
  <c r="F2107" i="1"/>
  <c r="K2107" i="1" s="1"/>
  <c r="F2108" i="1"/>
  <c r="K2108" i="1" s="1"/>
  <c r="F2109" i="1"/>
  <c r="K2109" i="1" s="1"/>
  <c r="F2110" i="1"/>
  <c r="K2110" i="1" s="1"/>
  <c r="F2111" i="1"/>
  <c r="K2111" i="1" s="1"/>
  <c r="F2112" i="1"/>
  <c r="K2112" i="1" s="1"/>
  <c r="F2113" i="1"/>
  <c r="K2113" i="1" s="1"/>
  <c r="F2114" i="1"/>
  <c r="K2114" i="1" s="1"/>
  <c r="F2115" i="1"/>
  <c r="K2115" i="1" s="1"/>
  <c r="F2116" i="1"/>
  <c r="K2116" i="1" s="1"/>
  <c r="F2117" i="1"/>
  <c r="K2117" i="1" s="1"/>
  <c r="F2118" i="1"/>
  <c r="K2118" i="1" s="1"/>
  <c r="F2119" i="1"/>
  <c r="K2119" i="1" s="1"/>
  <c r="F2120" i="1"/>
  <c r="K2120" i="1" s="1"/>
  <c r="F2121" i="1"/>
  <c r="K2121" i="1" s="1"/>
  <c r="F2122" i="1"/>
  <c r="K2122" i="1" s="1"/>
  <c r="F2123" i="1"/>
  <c r="K2123" i="1" s="1"/>
  <c r="F2124" i="1"/>
  <c r="K2124" i="1" s="1"/>
  <c r="F2125" i="1"/>
  <c r="K2125" i="1" s="1"/>
  <c r="F2126" i="1"/>
  <c r="K2126" i="1" s="1"/>
  <c r="F2127" i="1"/>
  <c r="K2127" i="1" s="1"/>
  <c r="F2128" i="1"/>
  <c r="K2128" i="1" s="1"/>
  <c r="F2129" i="1"/>
  <c r="K2129" i="1" s="1"/>
  <c r="F2130" i="1"/>
  <c r="K2130" i="1" s="1"/>
  <c r="F2131" i="1"/>
  <c r="K2131" i="1" s="1"/>
  <c r="F2132" i="1"/>
  <c r="K2132" i="1" s="1"/>
  <c r="F2133" i="1"/>
  <c r="K2133" i="1" s="1"/>
  <c r="F2134" i="1"/>
  <c r="K2134" i="1" s="1"/>
  <c r="F2135" i="1"/>
  <c r="K2135" i="1" s="1"/>
  <c r="F2136" i="1"/>
  <c r="K2136" i="1" s="1"/>
  <c r="F2137" i="1"/>
  <c r="K2137" i="1" s="1"/>
  <c r="F2138" i="1"/>
  <c r="K2138" i="1" s="1"/>
  <c r="F2139" i="1"/>
  <c r="K2139" i="1" s="1"/>
  <c r="F2140" i="1"/>
  <c r="K2140" i="1" s="1"/>
  <c r="F2141" i="1"/>
  <c r="K2141" i="1" s="1"/>
  <c r="F2142" i="1"/>
  <c r="K2142" i="1" s="1"/>
  <c r="F2143" i="1"/>
  <c r="K2143" i="1" s="1"/>
  <c r="F2144" i="1"/>
  <c r="K2144" i="1" s="1"/>
  <c r="F2145" i="1"/>
  <c r="K2145" i="1" s="1"/>
  <c r="F2146" i="1"/>
  <c r="K2146" i="1" s="1"/>
  <c r="F2147" i="1"/>
  <c r="K2147" i="1" s="1"/>
  <c r="F2148" i="1"/>
  <c r="K2148" i="1" s="1"/>
  <c r="F2149" i="1"/>
  <c r="K2149" i="1" s="1"/>
  <c r="F2150" i="1"/>
  <c r="K2150" i="1" s="1"/>
  <c r="F2151" i="1"/>
  <c r="K2151" i="1" s="1"/>
  <c r="F2152" i="1"/>
  <c r="K2152" i="1" s="1"/>
  <c r="F2153" i="1"/>
  <c r="K2153" i="1" s="1"/>
  <c r="F2154" i="1"/>
  <c r="K2154" i="1" s="1"/>
  <c r="F2155" i="1"/>
  <c r="K2155" i="1" s="1"/>
  <c r="F2156" i="1"/>
  <c r="K2156" i="1" s="1"/>
  <c r="F2157" i="1"/>
  <c r="K2157" i="1" s="1"/>
  <c r="F2158" i="1"/>
  <c r="K2158" i="1" s="1"/>
  <c r="F2159" i="1"/>
  <c r="K2159" i="1" s="1"/>
  <c r="F2160" i="1"/>
  <c r="K2160" i="1" s="1"/>
  <c r="F2161" i="1"/>
  <c r="K2161" i="1" s="1"/>
  <c r="F2162" i="1"/>
  <c r="K2162" i="1" s="1"/>
  <c r="F2163" i="1"/>
  <c r="K2163" i="1" s="1"/>
  <c r="F2164" i="1"/>
  <c r="K2164" i="1" s="1"/>
  <c r="F2165" i="1"/>
  <c r="K2165" i="1" s="1"/>
  <c r="F2166" i="1"/>
  <c r="K2166" i="1" s="1"/>
  <c r="F2167" i="1"/>
  <c r="K2167" i="1" s="1"/>
  <c r="F2168" i="1"/>
  <c r="K2168" i="1" s="1"/>
  <c r="F2169" i="1"/>
  <c r="K2169" i="1" s="1"/>
  <c r="F2170" i="1"/>
  <c r="K2170" i="1" s="1"/>
  <c r="F2171" i="1"/>
  <c r="K2171" i="1" s="1"/>
  <c r="F2172" i="1"/>
  <c r="K2172" i="1" s="1"/>
  <c r="F2173" i="1"/>
  <c r="K2173" i="1" s="1"/>
  <c r="F2174" i="1"/>
  <c r="K2174" i="1" s="1"/>
  <c r="F2175" i="1"/>
  <c r="K2175" i="1" s="1"/>
  <c r="F2176" i="1"/>
  <c r="K2176" i="1" s="1"/>
  <c r="F2177" i="1"/>
  <c r="K2177" i="1" s="1"/>
  <c r="F2178" i="1"/>
  <c r="K2178" i="1" s="1"/>
  <c r="F2179" i="1"/>
  <c r="K2179" i="1" s="1"/>
  <c r="F2180" i="1"/>
  <c r="K2180" i="1" s="1"/>
  <c r="F2181" i="1"/>
  <c r="K2181" i="1" s="1"/>
  <c r="F2182" i="1"/>
  <c r="K2182" i="1" s="1"/>
  <c r="F2183" i="1"/>
  <c r="K2183" i="1" s="1"/>
  <c r="F2184" i="1"/>
  <c r="K2184" i="1" s="1"/>
  <c r="F2185" i="1"/>
  <c r="K2185" i="1" s="1"/>
  <c r="F2186" i="1"/>
  <c r="K2186" i="1" s="1"/>
  <c r="F2187" i="1"/>
  <c r="K2187" i="1" s="1"/>
  <c r="F2188" i="1"/>
  <c r="K2188" i="1" s="1"/>
  <c r="F2189" i="1"/>
  <c r="K2189" i="1" s="1"/>
  <c r="F2190" i="1"/>
  <c r="K2190" i="1" s="1"/>
  <c r="F2191" i="1"/>
  <c r="K2191" i="1" s="1"/>
  <c r="F2192" i="1"/>
  <c r="K2192" i="1" s="1"/>
  <c r="F2193" i="1"/>
  <c r="K2193" i="1" s="1"/>
  <c r="F2194" i="1"/>
  <c r="K2194" i="1" s="1"/>
  <c r="F2195" i="1"/>
  <c r="K2195" i="1" s="1"/>
  <c r="F2196" i="1"/>
  <c r="K2196" i="1" s="1"/>
  <c r="F2197" i="1"/>
  <c r="K2197" i="1" s="1"/>
  <c r="F2198" i="1"/>
  <c r="K2198" i="1" s="1"/>
  <c r="F2199" i="1"/>
  <c r="K2199" i="1" s="1"/>
  <c r="F2200" i="1"/>
  <c r="K2200" i="1" s="1"/>
  <c r="F2201" i="1"/>
  <c r="K2201" i="1" s="1"/>
  <c r="F2202" i="1"/>
  <c r="K2202" i="1" s="1"/>
  <c r="F2203" i="1"/>
  <c r="K2203" i="1" s="1"/>
  <c r="F2204" i="1"/>
  <c r="K2204" i="1" s="1"/>
  <c r="F2205" i="1"/>
  <c r="K2205" i="1" s="1"/>
  <c r="F2206" i="1"/>
  <c r="K2206" i="1" s="1"/>
  <c r="F2207" i="1"/>
  <c r="K2207" i="1" s="1"/>
  <c r="F2208" i="1"/>
  <c r="K2208" i="1" s="1"/>
  <c r="F2209" i="1"/>
  <c r="K2209" i="1" s="1"/>
  <c r="F2210" i="1"/>
  <c r="K2210" i="1" s="1"/>
  <c r="F2211" i="1"/>
  <c r="K2211" i="1" s="1"/>
  <c r="F2212" i="1"/>
  <c r="K2212" i="1" s="1"/>
  <c r="F2213" i="1"/>
  <c r="K2213" i="1" s="1"/>
  <c r="F2214" i="1"/>
  <c r="K2214" i="1" s="1"/>
  <c r="F2215" i="1"/>
  <c r="K2215" i="1" s="1"/>
  <c r="F2216" i="1"/>
  <c r="K2216" i="1" s="1"/>
  <c r="F2217" i="1"/>
  <c r="K2217" i="1" s="1"/>
  <c r="F2218" i="1"/>
  <c r="K2218" i="1" s="1"/>
  <c r="F2219" i="1"/>
  <c r="K2219" i="1" s="1"/>
  <c r="F2220" i="1"/>
  <c r="K2220" i="1" s="1"/>
  <c r="F2221" i="1"/>
  <c r="K2221" i="1" s="1"/>
  <c r="F2222" i="1"/>
  <c r="K2222" i="1" s="1"/>
  <c r="F2223" i="1"/>
  <c r="K2223" i="1" s="1"/>
  <c r="F2224" i="1"/>
  <c r="K2224" i="1" s="1"/>
  <c r="F2225" i="1"/>
  <c r="K2225" i="1" s="1"/>
  <c r="F2226" i="1"/>
  <c r="K2226" i="1" s="1"/>
  <c r="F2227" i="1"/>
  <c r="K2227" i="1" s="1"/>
  <c r="F2228" i="1"/>
  <c r="K2228" i="1" s="1"/>
  <c r="F2229" i="1"/>
  <c r="K2229" i="1" s="1"/>
  <c r="F2230" i="1"/>
  <c r="K2230" i="1" s="1"/>
  <c r="F2231" i="1"/>
  <c r="K2231" i="1" s="1"/>
  <c r="F2232" i="1"/>
  <c r="K2232" i="1" s="1"/>
  <c r="F2233" i="1"/>
  <c r="K2233" i="1" s="1"/>
  <c r="F2234" i="1"/>
  <c r="K2234" i="1" s="1"/>
  <c r="F2235" i="1"/>
  <c r="K2235" i="1" s="1"/>
  <c r="F2236" i="1"/>
  <c r="K2236" i="1" s="1"/>
  <c r="F2237" i="1"/>
  <c r="K2237" i="1" s="1"/>
  <c r="F2238" i="1"/>
  <c r="K2238" i="1" s="1"/>
  <c r="F2239" i="1"/>
  <c r="K2239" i="1" s="1"/>
  <c r="F2240" i="1"/>
  <c r="K2240" i="1" s="1"/>
  <c r="F2241" i="1"/>
  <c r="K2241" i="1" s="1"/>
  <c r="F2242" i="1"/>
  <c r="K2242" i="1" s="1"/>
  <c r="F2243" i="1"/>
  <c r="K2243" i="1" s="1"/>
  <c r="F2244" i="1"/>
  <c r="K2244" i="1" s="1"/>
  <c r="F2245" i="1"/>
  <c r="K2245" i="1" s="1"/>
  <c r="F2246" i="1"/>
  <c r="K2246" i="1" s="1"/>
  <c r="F2247" i="1"/>
  <c r="K2247" i="1" s="1"/>
  <c r="F2248" i="1"/>
  <c r="K2248" i="1" s="1"/>
  <c r="F2249" i="1"/>
  <c r="K2249" i="1" s="1"/>
  <c r="F2250" i="1"/>
  <c r="K2250" i="1" s="1"/>
  <c r="F2251" i="1"/>
  <c r="K2251" i="1" s="1"/>
  <c r="F2252" i="1"/>
  <c r="K2252" i="1" s="1"/>
  <c r="F2253" i="1"/>
  <c r="K2253" i="1" s="1"/>
  <c r="F2254" i="1"/>
  <c r="K2254" i="1" s="1"/>
  <c r="F2255" i="1"/>
  <c r="K2255" i="1" s="1"/>
  <c r="F2256" i="1"/>
  <c r="K2256" i="1" s="1"/>
  <c r="F2257" i="1"/>
  <c r="K2257" i="1" s="1"/>
  <c r="F2258" i="1"/>
  <c r="K2258" i="1" s="1"/>
  <c r="F2259" i="1"/>
  <c r="K2259" i="1" s="1"/>
  <c r="F2260" i="1"/>
  <c r="K2260" i="1" s="1"/>
  <c r="F2261" i="1"/>
  <c r="K2261" i="1" s="1"/>
  <c r="F2262" i="1"/>
  <c r="K2262" i="1" s="1"/>
  <c r="F2263" i="1"/>
  <c r="K2263" i="1" s="1"/>
  <c r="F2264" i="1"/>
  <c r="K2264" i="1" s="1"/>
  <c r="F2265" i="1"/>
  <c r="K2265" i="1" s="1"/>
  <c r="F2266" i="1"/>
  <c r="K2266" i="1" s="1"/>
  <c r="F2267" i="1"/>
  <c r="K2267" i="1" s="1"/>
  <c r="F2268" i="1"/>
  <c r="K2268" i="1" s="1"/>
  <c r="F2269" i="1"/>
  <c r="K2269" i="1" s="1"/>
  <c r="F2270" i="1"/>
  <c r="K2270" i="1" s="1"/>
  <c r="F2271" i="1"/>
  <c r="K2271" i="1" s="1"/>
  <c r="F2272" i="1"/>
  <c r="K2272" i="1" s="1"/>
  <c r="F2273" i="1"/>
  <c r="K2273" i="1" s="1"/>
  <c r="F2274" i="1"/>
  <c r="K2274" i="1" s="1"/>
  <c r="F2275" i="1"/>
  <c r="K2275" i="1" s="1"/>
  <c r="F2276" i="1"/>
  <c r="K2276" i="1" s="1"/>
  <c r="F2277" i="1"/>
  <c r="K2277" i="1" s="1"/>
  <c r="F2278" i="1"/>
  <c r="K2278" i="1" s="1"/>
  <c r="F2279" i="1"/>
  <c r="K2279" i="1" s="1"/>
  <c r="F2280" i="1"/>
  <c r="K2280" i="1" s="1"/>
  <c r="F2281" i="1"/>
  <c r="K2281" i="1" s="1"/>
  <c r="F2282" i="1"/>
  <c r="K2282" i="1" s="1"/>
  <c r="F2283" i="1"/>
  <c r="K2283" i="1" s="1"/>
  <c r="F2284" i="1"/>
  <c r="K2284" i="1" s="1"/>
  <c r="F2285" i="1"/>
  <c r="K2285" i="1" s="1"/>
  <c r="F2286" i="1"/>
  <c r="K2286" i="1" s="1"/>
  <c r="F2287" i="1"/>
  <c r="K2287" i="1" s="1"/>
  <c r="F2288" i="1"/>
  <c r="K2288" i="1" s="1"/>
  <c r="F2289" i="1"/>
  <c r="K2289" i="1" s="1"/>
  <c r="F2290" i="1"/>
  <c r="K2290" i="1" s="1"/>
  <c r="F2291" i="1"/>
  <c r="K2291" i="1" s="1"/>
  <c r="F2292" i="1"/>
  <c r="K2292" i="1" s="1"/>
  <c r="F2293" i="1"/>
  <c r="K2293" i="1" s="1"/>
  <c r="F2294" i="1"/>
  <c r="K2294" i="1" s="1"/>
  <c r="F2295" i="1"/>
  <c r="K2295" i="1" s="1"/>
  <c r="F2296" i="1"/>
  <c r="K2296" i="1" s="1"/>
  <c r="F2297" i="1"/>
  <c r="K2297" i="1" s="1"/>
  <c r="F2298" i="1"/>
  <c r="K2298" i="1" s="1"/>
  <c r="F2299" i="1"/>
  <c r="K2299" i="1" s="1"/>
  <c r="F2300" i="1"/>
  <c r="K2300" i="1" s="1"/>
  <c r="F2301" i="1"/>
  <c r="K2301" i="1" s="1"/>
  <c r="F2302" i="1"/>
  <c r="K2302" i="1" s="1"/>
  <c r="F2303" i="1"/>
  <c r="K2303" i="1" s="1"/>
  <c r="F2304" i="1"/>
  <c r="K2304" i="1" s="1"/>
  <c r="F2305" i="1"/>
  <c r="K2305" i="1" s="1"/>
  <c r="F2306" i="1"/>
  <c r="K2306" i="1" s="1"/>
  <c r="F2307" i="1"/>
  <c r="K2307" i="1" s="1"/>
  <c r="F2308" i="1"/>
  <c r="K2308" i="1" s="1"/>
  <c r="F2309" i="1"/>
  <c r="K2309" i="1" s="1"/>
  <c r="F2310" i="1"/>
  <c r="K2310" i="1" s="1"/>
  <c r="F2311" i="1"/>
  <c r="K2311" i="1" s="1"/>
  <c r="F2312" i="1"/>
  <c r="K2312" i="1" s="1"/>
  <c r="F2313" i="1"/>
  <c r="K2313" i="1" s="1"/>
  <c r="F2314" i="1"/>
  <c r="K2314" i="1" s="1"/>
  <c r="F2315" i="1"/>
  <c r="K2315" i="1" s="1"/>
  <c r="F2316" i="1"/>
  <c r="K2316" i="1" s="1"/>
  <c r="F2317" i="1"/>
  <c r="K2317" i="1" s="1"/>
  <c r="F2318" i="1"/>
  <c r="K2318" i="1" s="1"/>
  <c r="F2319" i="1"/>
  <c r="K2319" i="1" s="1"/>
  <c r="F2320" i="1"/>
  <c r="K2320" i="1" s="1"/>
  <c r="F2321" i="1"/>
  <c r="K2321" i="1" s="1"/>
  <c r="F2322" i="1"/>
  <c r="K2322" i="1" s="1"/>
  <c r="F2323" i="1"/>
  <c r="K2323" i="1" s="1"/>
  <c r="F2324" i="1"/>
  <c r="K2324" i="1" s="1"/>
  <c r="F2325" i="1"/>
  <c r="K2325" i="1" s="1"/>
  <c r="F2326" i="1"/>
  <c r="K2326" i="1" s="1"/>
  <c r="F2327" i="1"/>
  <c r="K2327" i="1" s="1"/>
  <c r="F2328" i="1"/>
  <c r="K2328" i="1" s="1"/>
  <c r="F2329" i="1"/>
  <c r="K2329" i="1" s="1"/>
  <c r="F2330" i="1"/>
  <c r="K2330" i="1" s="1"/>
  <c r="F2331" i="1"/>
  <c r="K2331" i="1" s="1"/>
  <c r="F2332" i="1"/>
  <c r="K2332" i="1" s="1"/>
  <c r="F2333" i="1"/>
  <c r="K2333" i="1" s="1"/>
  <c r="F2334" i="1"/>
  <c r="K2334" i="1" s="1"/>
  <c r="F2335" i="1"/>
  <c r="K2335" i="1" s="1"/>
  <c r="F2336" i="1"/>
  <c r="K2336" i="1" s="1"/>
  <c r="F2337" i="1"/>
  <c r="K2337" i="1" s="1"/>
  <c r="F2338" i="1"/>
  <c r="K2338" i="1" s="1"/>
  <c r="F2339" i="1"/>
  <c r="K2339" i="1" s="1"/>
  <c r="F2340" i="1"/>
  <c r="K2340" i="1" s="1"/>
  <c r="F2341" i="1"/>
  <c r="K2341" i="1" s="1"/>
  <c r="F2342" i="1"/>
  <c r="K2342" i="1" s="1"/>
  <c r="F2343" i="1"/>
  <c r="K2343" i="1" s="1"/>
  <c r="F2344" i="1"/>
  <c r="K2344" i="1" s="1"/>
  <c r="F2345" i="1"/>
  <c r="K2345" i="1" s="1"/>
  <c r="F2346" i="1"/>
  <c r="K2346" i="1" s="1"/>
  <c r="F2347" i="1"/>
  <c r="K2347" i="1" s="1"/>
  <c r="F2348" i="1"/>
  <c r="K2348" i="1" s="1"/>
  <c r="F2349" i="1"/>
  <c r="K2349" i="1" s="1"/>
  <c r="F2350" i="1"/>
  <c r="K2350" i="1" s="1"/>
  <c r="F2351" i="1"/>
  <c r="K2351" i="1" s="1"/>
  <c r="F2352" i="1"/>
  <c r="K2352" i="1" s="1"/>
  <c r="F2353" i="1"/>
  <c r="K2353" i="1" s="1"/>
  <c r="F2354" i="1"/>
  <c r="K2354" i="1" s="1"/>
  <c r="F2355" i="1"/>
  <c r="K2355" i="1" s="1"/>
  <c r="F2356" i="1"/>
  <c r="K2356" i="1" s="1"/>
  <c r="F2357" i="1"/>
  <c r="K2357" i="1" s="1"/>
  <c r="F2358" i="1"/>
  <c r="K2358" i="1" s="1"/>
  <c r="F2359" i="1"/>
  <c r="K2359" i="1" s="1"/>
  <c r="F2360" i="1"/>
  <c r="K2360" i="1" s="1"/>
  <c r="F2361" i="1"/>
  <c r="K2361" i="1" s="1"/>
  <c r="F2362" i="1"/>
  <c r="K2362" i="1" s="1"/>
  <c r="F2363" i="1"/>
  <c r="K2363" i="1" s="1"/>
  <c r="F2364" i="1"/>
  <c r="K2364" i="1" s="1"/>
  <c r="F2365" i="1"/>
  <c r="K2365" i="1" s="1"/>
  <c r="F2366" i="1"/>
  <c r="K2366" i="1" s="1"/>
  <c r="F2367" i="1"/>
  <c r="K2367" i="1" s="1"/>
  <c r="F2368" i="1"/>
  <c r="K2368" i="1" s="1"/>
  <c r="F2369" i="1"/>
  <c r="K2369" i="1" s="1"/>
  <c r="F2370" i="1"/>
  <c r="K2370" i="1" s="1"/>
  <c r="F2371" i="1"/>
  <c r="K2371" i="1" s="1"/>
  <c r="F2372" i="1"/>
  <c r="K2372" i="1" s="1"/>
  <c r="F2373" i="1"/>
  <c r="K2373" i="1" s="1"/>
  <c r="F2374" i="1"/>
  <c r="K2374" i="1" s="1"/>
  <c r="F2375" i="1"/>
  <c r="K2375" i="1" s="1"/>
  <c r="F2376" i="1"/>
  <c r="K2376" i="1" s="1"/>
  <c r="F2377" i="1"/>
  <c r="K2377" i="1" s="1"/>
  <c r="F2378" i="1"/>
  <c r="K2378" i="1" s="1"/>
  <c r="F2379" i="1"/>
  <c r="K2379" i="1" s="1"/>
  <c r="F2380" i="1"/>
  <c r="K2380" i="1" s="1"/>
  <c r="F2381" i="1"/>
  <c r="K2381" i="1" s="1"/>
  <c r="F2382" i="1"/>
  <c r="K2382" i="1" s="1"/>
  <c r="F2383" i="1"/>
  <c r="K2383" i="1" s="1"/>
  <c r="F2384" i="1"/>
  <c r="K2384" i="1" s="1"/>
  <c r="F2385" i="1"/>
  <c r="K2385" i="1" s="1"/>
  <c r="F2386" i="1"/>
  <c r="K2386" i="1" s="1"/>
  <c r="F2387" i="1"/>
  <c r="K2387" i="1" s="1"/>
  <c r="F2388" i="1"/>
  <c r="K2388" i="1" s="1"/>
  <c r="F2389" i="1"/>
  <c r="K2389" i="1" s="1"/>
  <c r="F2390" i="1"/>
  <c r="K2390" i="1" s="1"/>
  <c r="F2391" i="1"/>
  <c r="K2391" i="1" s="1"/>
  <c r="F2392" i="1"/>
  <c r="K2392" i="1" s="1"/>
  <c r="F2393" i="1"/>
  <c r="K2393" i="1" s="1"/>
  <c r="F2394" i="1"/>
  <c r="K2394" i="1" s="1"/>
  <c r="F2395" i="1"/>
  <c r="K2395" i="1" s="1"/>
  <c r="F2396" i="1"/>
  <c r="K2396" i="1" s="1"/>
  <c r="F2397" i="1"/>
  <c r="K2397" i="1" s="1"/>
  <c r="F2398" i="1"/>
  <c r="K2398" i="1" s="1"/>
  <c r="F2399" i="1"/>
  <c r="K2399" i="1" s="1"/>
  <c r="F2400" i="1"/>
  <c r="K2400" i="1" s="1"/>
  <c r="F2401" i="1"/>
  <c r="K2401" i="1" s="1"/>
  <c r="F2402" i="1"/>
  <c r="K2402" i="1" s="1"/>
  <c r="F2403" i="1"/>
  <c r="K2403" i="1" s="1"/>
  <c r="F2404" i="1"/>
  <c r="K2404" i="1" s="1"/>
  <c r="F2405" i="1"/>
  <c r="K2405" i="1" s="1"/>
  <c r="F2406" i="1"/>
  <c r="K2406" i="1" s="1"/>
  <c r="F2407" i="1"/>
  <c r="K2407" i="1" s="1"/>
  <c r="F2408" i="1"/>
  <c r="K2408" i="1" s="1"/>
  <c r="F2409" i="1"/>
  <c r="K2409" i="1" s="1"/>
  <c r="F2410" i="1"/>
  <c r="K2410" i="1" s="1"/>
  <c r="F2411" i="1"/>
  <c r="K2411" i="1" s="1"/>
  <c r="F2412" i="1"/>
  <c r="K2412" i="1" s="1"/>
  <c r="F2413" i="1"/>
  <c r="K2413" i="1" s="1"/>
  <c r="F2414" i="1"/>
  <c r="K2414" i="1" s="1"/>
  <c r="F2415" i="1"/>
  <c r="K2415" i="1" s="1"/>
  <c r="F2416" i="1"/>
  <c r="K2416" i="1" s="1"/>
  <c r="F2417" i="1"/>
  <c r="K2417" i="1" s="1"/>
  <c r="F2418" i="1"/>
  <c r="K2418" i="1" s="1"/>
  <c r="F2419" i="1"/>
  <c r="K2419" i="1" s="1"/>
  <c r="F2420" i="1"/>
  <c r="K2420" i="1" s="1"/>
  <c r="F2421" i="1"/>
  <c r="K2421" i="1" s="1"/>
  <c r="F2422" i="1"/>
  <c r="K2422" i="1" s="1"/>
  <c r="F2423" i="1"/>
  <c r="K2423" i="1" s="1"/>
  <c r="F2424" i="1"/>
  <c r="K2424" i="1" s="1"/>
  <c r="F2425" i="1"/>
  <c r="K2425" i="1" s="1"/>
  <c r="F2426" i="1"/>
  <c r="K2426" i="1" s="1"/>
  <c r="F2427" i="1"/>
  <c r="K2427" i="1" s="1"/>
  <c r="F2428" i="1"/>
  <c r="K2428" i="1" s="1"/>
  <c r="F2429" i="1"/>
  <c r="K2429" i="1" s="1"/>
  <c r="F2430" i="1"/>
  <c r="K2430" i="1" s="1"/>
  <c r="F2431" i="1"/>
  <c r="K2431" i="1" s="1"/>
  <c r="F2432" i="1"/>
  <c r="K2432" i="1" s="1"/>
  <c r="F2433" i="1"/>
  <c r="K2433" i="1" s="1"/>
  <c r="F2434" i="1"/>
  <c r="K2434" i="1" s="1"/>
  <c r="F2435" i="1"/>
  <c r="K2435" i="1" s="1"/>
  <c r="F2436" i="1"/>
  <c r="K2436" i="1" s="1"/>
  <c r="F2437" i="1"/>
  <c r="K2437" i="1" s="1"/>
  <c r="F2438" i="1"/>
  <c r="K2438" i="1" s="1"/>
  <c r="F2439" i="1"/>
  <c r="K2439" i="1" s="1"/>
  <c r="F2440" i="1"/>
  <c r="K2440" i="1" s="1"/>
  <c r="F2441" i="1"/>
  <c r="K2441" i="1" s="1"/>
  <c r="F2442" i="1"/>
  <c r="K2442" i="1" s="1"/>
  <c r="F2443" i="1"/>
  <c r="K2443" i="1" s="1"/>
  <c r="F2444" i="1"/>
  <c r="K2444" i="1" s="1"/>
  <c r="F2445" i="1"/>
  <c r="K2445" i="1" s="1"/>
  <c r="F2446" i="1"/>
  <c r="K2446" i="1" s="1"/>
  <c r="F2447" i="1"/>
  <c r="K2447" i="1" s="1"/>
  <c r="F2448" i="1"/>
  <c r="K2448" i="1" s="1"/>
  <c r="F2449" i="1"/>
  <c r="K2449" i="1" s="1"/>
  <c r="F2450" i="1"/>
  <c r="K2450" i="1" s="1"/>
  <c r="F2451" i="1"/>
  <c r="K2451" i="1" s="1"/>
  <c r="F2452" i="1"/>
  <c r="K2452" i="1" s="1"/>
  <c r="F2453" i="1"/>
  <c r="K2453" i="1" s="1"/>
  <c r="F2454" i="1"/>
  <c r="K2454" i="1" s="1"/>
  <c r="F2455" i="1"/>
  <c r="K2455" i="1" s="1"/>
  <c r="F2456" i="1"/>
  <c r="K2456" i="1" s="1"/>
  <c r="F2457" i="1"/>
  <c r="K2457" i="1" s="1"/>
  <c r="F2458" i="1"/>
  <c r="K2458" i="1" s="1"/>
  <c r="F2459" i="1"/>
  <c r="K2459" i="1" s="1"/>
  <c r="F2460" i="1"/>
  <c r="K2460" i="1" s="1"/>
  <c r="F2461" i="1"/>
  <c r="K2461" i="1" s="1"/>
  <c r="F2462" i="1"/>
  <c r="K2462" i="1" s="1"/>
  <c r="F2463" i="1"/>
  <c r="K2463" i="1" s="1"/>
  <c r="F2464" i="1"/>
  <c r="K2464" i="1" s="1"/>
  <c r="F2465" i="1"/>
  <c r="K2465" i="1" s="1"/>
  <c r="F2466" i="1"/>
  <c r="K2466" i="1" s="1"/>
  <c r="F2467" i="1"/>
  <c r="K2467" i="1" s="1"/>
  <c r="F2468" i="1"/>
  <c r="K2468" i="1" s="1"/>
  <c r="F2469" i="1"/>
  <c r="K2469" i="1" s="1"/>
  <c r="F2470" i="1"/>
  <c r="K2470" i="1" s="1"/>
  <c r="F2471" i="1"/>
  <c r="K2471" i="1" s="1"/>
  <c r="F2472" i="1"/>
  <c r="K2472" i="1" s="1"/>
  <c r="F2473" i="1"/>
  <c r="K2473" i="1" s="1"/>
  <c r="F2474" i="1"/>
  <c r="K2474" i="1" s="1"/>
  <c r="F2475" i="1"/>
  <c r="K2475" i="1" s="1"/>
  <c r="F2476" i="1"/>
  <c r="K2476" i="1" s="1"/>
  <c r="F2477" i="1"/>
  <c r="K2477" i="1" s="1"/>
  <c r="F2478" i="1"/>
  <c r="K2478" i="1" s="1"/>
  <c r="F2479" i="1"/>
  <c r="K2479" i="1" s="1"/>
  <c r="F2480" i="1"/>
  <c r="K2480" i="1" s="1"/>
  <c r="F2481" i="1"/>
  <c r="K2481" i="1" s="1"/>
  <c r="F2482" i="1"/>
  <c r="K2482" i="1" s="1"/>
  <c r="F2483" i="1"/>
  <c r="K2483" i="1" s="1"/>
  <c r="F2484" i="1"/>
  <c r="K2484" i="1" s="1"/>
  <c r="F2485" i="1"/>
  <c r="K2485" i="1" s="1"/>
  <c r="F2486" i="1"/>
  <c r="K2486" i="1" s="1"/>
  <c r="F2487" i="1"/>
  <c r="K2487" i="1" s="1"/>
  <c r="F2488" i="1"/>
  <c r="K2488" i="1" s="1"/>
  <c r="F2489" i="1"/>
  <c r="K2489" i="1" s="1"/>
  <c r="F2490" i="1"/>
  <c r="K2490" i="1" s="1"/>
  <c r="F2491" i="1"/>
  <c r="K2491" i="1" s="1"/>
  <c r="F2492" i="1"/>
  <c r="K2492" i="1" s="1"/>
  <c r="F2493" i="1"/>
  <c r="K2493" i="1" s="1"/>
  <c r="F2494" i="1"/>
  <c r="K2494" i="1" s="1"/>
  <c r="F2495" i="1"/>
  <c r="K2495" i="1" s="1"/>
  <c r="F2496" i="1"/>
  <c r="K2496" i="1" s="1"/>
  <c r="F2497" i="1"/>
  <c r="K2497" i="1" s="1"/>
  <c r="F2498" i="1"/>
  <c r="K2498" i="1" s="1"/>
  <c r="F2499" i="1"/>
  <c r="K2499" i="1" s="1"/>
  <c r="F2500" i="1"/>
  <c r="K2500" i="1" s="1"/>
  <c r="F2501" i="1"/>
  <c r="K2501" i="1" s="1"/>
  <c r="F2502" i="1"/>
  <c r="K2502" i="1" s="1"/>
  <c r="F2503" i="1"/>
  <c r="K2503" i="1" s="1"/>
  <c r="F2504" i="1"/>
  <c r="K2504" i="1" s="1"/>
  <c r="F2505" i="1"/>
  <c r="K2505" i="1" s="1"/>
  <c r="F2506" i="1"/>
  <c r="K2506" i="1" s="1"/>
  <c r="F2507" i="1"/>
  <c r="K2507" i="1" s="1"/>
  <c r="F2508" i="1"/>
  <c r="K2508" i="1" s="1"/>
  <c r="F2509" i="1"/>
  <c r="K2509" i="1" s="1"/>
  <c r="F2510" i="1"/>
  <c r="K2510" i="1" s="1"/>
  <c r="F2511" i="1"/>
  <c r="K2511" i="1" s="1"/>
  <c r="F2512" i="1"/>
  <c r="K2512" i="1" s="1"/>
  <c r="F2513" i="1"/>
  <c r="K2513" i="1" s="1"/>
  <c r="F2514" i="1"/>
  <c r="K2514" i="1" s="1"/>
  <c r="F2515" i="1"/>
  <c r="K2515" i="1" s="1"/>
  <c r="F2516" i="1"/>
  <c r="K2516" i="1" s="1"/>
  <c r="F2517" i="1"/>
  <c r="K2517" i="1" s="1"/>
  <c r="F2518" i="1"/>
  <c r="K2518" i="1" s="1"/>
  <c r="F2519" i="1"/>
  <c r="K2519" i="1" s="1"/>
  <c r="F2520" i="1"/>
  <c r="K2520" i="1" s="1"/>
  <c r="F2521" i="1"/>
  <c r="K2521" i="1" s="1"/>
  <c r="F2522" i="1"/>
  <c r="K2522" i="1" s="1"/>
  <c r="F2523" i="1"/>
  <c r="K2523" i="1" s="1"/>
  <c r="F2524" i="1"/>
  <c r="K2524" i="1" s="1"/>
  <c r="F2525" i="1"/>
  <c r="K2525" i="1" s="1"/>
  <c r="F2526" i="1"/>
  <c r="K2526" i="1" s="1"/>
  <c r="F2527" i="1"/>
  <c r="K2527" i="1" s="1"/>
  <c r="F2528" i="1"/>
  <c r="K2528" i="1" s="1"/>
  <c r="F2529" i="1"/>
  <c r="K2529" i="1" s="1"/>
  <c r="F2530" i="1"/>
  <c r="K2530" i="1" s="1"/>
  <c r="F2531" i="1"/>
  <c r="K2531" i="1" s="1"/>
  <c r="F2532" i="1"/>
  <c r="K2532" i="1" s="1"/>
  <c r="F2533" i="1"/>
  <c r="K2533" i="1" s="1"/>
  <c r="F2534" i="1"/>
  <c r="K2534" i="1" s="1"/>
  <c r="F2535" i="1"/>
  <c r="K2535" i="1" s="1"/>
  <c r="F2536" i="1"/>
  <c r="K2536" i="1" s="1"/>
  <c r="F2537" i="1"/>
  <c r="K2537" i="1" s="1"/>
  <c r="F2538" i="1"/>
  <c r="K2538" i="1" s="1"/>
  <c r="F2539" i="1"/>
  <c r="K2539" i="1" s="1"/>
  <c r="F2540" i="1"/>
  <c r="K2540" i="1" s="1"/>
  <c r="F2541" i="1"/>
  <c r="K2541" i="1" s="1"/>
  <c r="F2542" i="1"/>
  <c r="K2542" i="1" s="1"/>
  <c r="F2543" i="1"/>
  <c r="K2543" i="1" s="1"/>
  <c r="F2544" i="1"/>
  <c r="K2544" i="1" s="1"/>
  <c r="F2545" i="1"/>
  <c r="K2545" i="1" s="1"/>
  <c r="F2546" i="1"/>
  <c r="K2546" i="1" s="1"/>
  <c r="F2547" i="1"/>
  <c r="K2547" i="1" s="1"/>
  <c r="F2548" i="1"/>
  <c r="K2548" i="1" s="1"/>
  <c r="F2549" i="1"/>
  <c r="K2549" i="1" s="1"/>
  <c r="F2550" i="1"/>
  <c r="K2550" i="1" s="1"/>
  <c r="F2551" i="1"/>
  <c r="K2551" i="1" s="1"/>
  <c r="F2552" i="1"/>
  <c r="K2552" i="1" s="1"/>
  <c r="F2553" i="1"/>
  <c r="K2553" i="1" s="1"/>
  <c r="F2554" i="1"/>
  <c r="K2554" i="1" s="1"/>
  <c r="F2555" i="1"/>
  <c r="K2555" i="1" s="1"/>
  <c r="F2556" i="1"/>
  <c r="K2556" i="1" s="1"/>
  <c r="F2557" i="1"/>
  <c r="K2557" i="1" s="1"/>
  <c r="F2558" i="1"/>
  <c r="K2558" i="1" s="1"/>
  <c r="F2559" i="1"/>
  <c r="K2559" i="1" s="1"/>
  <c r="F2560" i="1"/>
  <c r="K2560" i="1" s="1"/>
  <c r="F2561" i="1"/>
  <c r="K2561" i="1" s="1"/>
  <c r="F2562" i="1"/>
  <c r="K2562" i="1" s="1"/>
  <c r="F2563" i="1"/>
  <c r="K2563" i="1" s="1"/>
  <c r="F2564" i="1"/>
  <c r="K2564" i="1" s="1"/>
  <c r="F2565" i="1"/>
  <c r="K2565" i="1" s="1"/>
  <c r="F2566" i="1"/>
  <c r="K2566" i="1" s="1"/>
  <c r="F2567" i="1"/>
  <c r="K2567" i="1" s="1"/>
  <c r="F2568" i="1"/>
  <c r="K2568" i="1" s="1"/>
  <c r="F2569" i="1"/>
  <c r="K2569" i="1" s="1"/>
  <c r="F2570" i="1"/>
  <c r="K2570" i="1" s="1"/>
  <c r="F2571" i="1"/>
  <c r="K2571" i="1" s="1"/>
  <c r="F2572" i="1"/>
  <c r="K2572" i="1" s="1"/>
  <c r="F2573" i="1"/>
  <c r="K2573" i="1" s="1"/>
  <c r="F2574" i="1"/>
  <c r="K2574" i="1" s="1"/>
  <c r="F2575" i="1"/>
  <c r="K2575" i="1" s="1"/>
  <c r="F2576" i="1"/>
  <c r="K2576" i="1" s="1"/>
  <c r="F2577" i="1"/>
  <c r="K2577" i="1" s="1"/>
  <c r="F2578" i="1"/>
  <c r="K2578" i="1" s="1"/>
  <c r="F2579" i="1"/>
  <c r="K2579" i="1" s="1"/>
  <c r="F2580" i="1"/>
  <c r="K2580" i="1" s="1"/>
  <c r="F2581" i="1"/>
  <c r="K2581" i="1" s="1"/>
  <c r="F2582" i="1"/>
  <c r="K2582" i="1" s="1"/>
  <c r="F2583" i="1"/>
  <c r="K2583" i="1" s="1"/>
  <c r="F2584" i="1"/>
  <c r="K2584" i="1" s="1"/>
  <c r="F2585" i="1"/>
  <c r="K2585" i="1" s="1"/>
  <c r="F2586" i="1"/>
  <c r="K2586" i="1" s="1"/>
  <c r="F2587" i="1"/>
  <c r="K2587" i="1" s="1"/>
  <c r="F2588" i="1"/>
  <c r="K2588" i="1" s="1"/>
  <c r="F2589" i="1"/>
  <c r="K2589" i="1" s="1"/>
  <c r="F2590" i="1"/>
  <c r="K2590" i="1" s="1"/>
  <c r="F2591" i="1"/>
  <c r="K2591" i="1" s="1"/>
  <c r="F2592" i="1"/>
  <c r="K2592" i="1" s="1"/>
  <c r="F2593" i="1"/>
  <c r="K2593" i="1" s="1"/>
  <c r="F2594" i="1"/>
  <c r="K2594" i="1" s="1"/>
  <c r="F2595" i="1"/>
  <c r="K2595" i="1" s="1"/>
  <c r="F2596" i="1"/>
  <c r="K2596" i="1" s="1"/>
  <c r="F2597" i="1"/>
  <c r="K2597" i="1" s="1"/>
  <c r="F2598" i="1"/>
  <c r="K2598" i="1" s="1"/>
  <c r="F2599" i="1"/>
  <c r="K2599" i="1" s="1"/>
  <c r="F2600" i="1"/>
  <c r="K2600" i="1" s="1"/>
  <c r="F2601" i="1"/>
  <c r="K2601" i="1" s="1"/>
  <c r="F2602" i="1"/>
  <c r="K2602" i="1" s="1"/>
  <c r="F2603" i="1"/>
  <c r="K2603" i="1" s="1"/>
  <c r="F2604" i="1"/>
  <c r="K2604" i="1" s="1"/>
  <c r="F2605" i="1"/>
  <c r="K2605" i="1" s="1"/>
  <c r="F2606" i="1"/>
  <c r="K2606" i="1" s="1"/>
  <c r="F2607" i="1"/>
  <c r="K2607" i="1" s="1"/>
  <c r="F2608" i="1"/>
  <c r="K2608" i="1" s="1"/>
  <c r="F2609" i="1"/>
  <c r="K2609" i="1" s="1"/>
  <c r="F2610" i="1"/>
  <c r="K2610" i="1" s="1"/>
  <c r="F2611" i="1"/>
  <c r="K2611" i="1" s="1"/>
  <c r="F2612" i="1"/>
  <c r="K2612" i="1" s="1"/>
  <c r="F2613" i="1"/>
  <c r="K2613" i="1" s="1"/>
  <c r="F2614" i="1"/>
  <c r="K2614" i="1" s="1"/>
  <c r="F2615" i="1"/>
  <c r="K2615" i="1" s="1"/>
  <c r="F2616" i="1"/>
  <c r="K2616" i="1" s="1"/>
  <c r="F2617" i="1"/>
  <c r="K2617" i="1" s="1"/>
  <c r="F2618" i="1"/>
  <c r="K2618" i="1" s="1"/>
  <c r="F2619" i="1"/>
  <c r="K2619" i="1" s="1"/>
  <c r="F2620" i="1"/>
  <c r="K2620" i="1" s="1"/>
  <c r="F2621" i="1"/>
  <c r="K2621" i="1" s="1"/>
  <c r="F2622" i="1"/>
  <c r="K2622" i="1" s="1"/>
  <c r="F2623" i="1"/>
  <c r="K2623" i="1" s="1"/>
  <c r="F2624" i="1"/>
  <c r="K2624" i="1" s="1"/>
  <c r="F2625" i="1"/>
  <c r="K2625" i="1" s="1"/>
  <c r="F2626" i="1"/>
  <c r="K2626" i="1" s="1"/>
  <c r="F2627" i="1"/>
  <c r="K2627" i="1" s="1"/>
  <c r="F2628" i="1"/>
  <c r="K2628" i="1" s="1"/>
  <c r="F2629" i="1"/>
  <c r="K2629" i="1" s="1"/>
  <c r="F2630" i="1"/>
  <c r="K2630" i="1" s="1"/>
  <c r="F2631" i="1"/>
  <c r="K2631" i="1" s="1"/>
  <c r="F2632" i="1"/>
  <c r="K2632" i="1" s="1"/>
  <c r="F2633" i="1"/>
  <c r="K2633" i="1" s="1"/>
  <c r="F2634" i="1"/>
  <c r="K2634" i="1" s="1"/>
  <c r="F2635" i="1"/>
  <c r="K2635" i="1" s="1"/>
  <c r="F2636" i="1"/>
  <c r="K2636" i="1" s="1"/>
  <c r="F2637" i="1"/>
  <c r="K2637" i="1" s="1"/>
  <c r="F2638" i="1"/>
  <c r="K2638" i="1" s="1"/>
  <c r="F2639" i="1"/>
  <c r="K2639" i="1" s="1"/>
  <c r="F2640" i="1"/>
  <c r="K2640" i="1" s="1"/>
  <c r="F2641" i="1"/>
  <c r="K2641" i="1" s="1"/>
  <c r="F2642" i="1"/>
  <c r="K2642" i="1" s="1"/>
  <c r="F2643" i="1"/>
  <c r="K2643" i="1" s="1"/>
  <c r="F2644" i="1"/>
  <c r="K2644" i="1" s="1"/>
  <c r="F2645" i="1"/>
  <c r="K2645" i="1" s="1"/>
  <c r="F2646" i="1"/>
  <c r="K2646" i="1" s="1"/>
  <c r="F2647" i="1"/>
  <c r="K2647" i="1" s="1"/>
  <c r="F2648" i="1"/>
  <c r="K2648" i="1" s="1"/>
  <c r="F2649" i="1"/>
  <c r="K2649" i="1" s="1"/>
  <c r="F2650" i="1"/>
  <c r="K2650" i="1" s="1"/>
  <c r="F2651" i="1"/>
  <c r="K2651" i="1" s="1"/>
  <c r="F2652" i="1"/>
  <c r="K2652" i="1" s="1"/>
  <c r="F2653" i="1"/>
  <c r="K2653" i="1" s="1"/>
  <c r="F2654" i="1"/>
  <c r="K2654" i="1" s="1"/>
  <c r="F2655" i="1"/>
  <c r="K2655" i="1" s="1"/>
  <c r="F2656" i="1"/>
  <c r="K2656" i="1" s="1"/>
  <c r="F2657" i="1"/>
  <c r="K2657" i="1" s="1"/>
  <c r="F2658" i="1"/>
  <c r="K2658" i="1" s="1"/>
  <c r="F2659" i="1"/>
  <c r="K2659" i="1" s="1"/>
  <c r="F2660" i="1"/>
  <c r="K2660" i="1" s="1"/>
  <c r="F2661" i="1"/>
  <c r="K2661" i="1" s="1"/>
  <c r="F2662" i="1"/>
  <c r="K2662" i="1" s="1"/>
  <c r="F2663" i="1"/>
  <c r="K2663" i="1" s="1"/>
  <c r="F2664" i="1"/>
  <c r="K2664" i="1" s="1"/>
  <c r="F2665" i="1"/>
  <c r="K2665" i="1" s="1"/>
  <c r="F2666" i="1"/>
  <c r="K2666" i="1" s="1"/>
  <c r="F2667" i="1"/>
  <c r="K2667" i="1" s="1"/>
  <c r="F2668" i="1"/>
  <c r="K2668" i="1" s="1"/>
  <c r="F2669" i="1"/>
  <c r="K2669" i="1" s="1"/>
  <c r="F2670" i="1"/>
  <c r="K2670" i="1" s="1"/>
  <c r="F2671" i="1"/>
  <c r="K2671" i="1" s="1"/>
  <c r="F2672" i="1"/>
  <c r="K2672" i="1" s="1"/>
  <c r="F2673" i="1"/>
  <c r="K2673" i="1" s="1"/>
  <c r="F2674" i="1"/>
  <c r="K2674" i="1" s="1"/>
  <c r="F2675" i="1"/>
  <c r="K2675" i="1" s="1"/>
  <c r="F2676" i="1"/>
  <c r="K2676" i="1" s="1"/>
  <c r="F2677" i="1"/>
  <c r="K2677" i="1" s="1"/>
  <c r="F2678" i="1"/>
  <c r="K2678" i="1" s="1"/>
  <c r="F2679" i="1"/>
  <c r="K2679" i="1" s="1"/>
  <c r="F2680" i="1"/>
  <c r="K2680" i="1" s="1"/>
  <c r="F2681" i="1"/>
  <c r="K2681" i="1" s="1"/>
  <c r="F2682" i="1"/>
  <c r="K2682" i="1" s="1"/>
  <c r="F2683" i="1"/>
  <c r="K2683" i="1" s="1"/>
  <c r="F2684" i="1"/>
  <c r="K2684" i="1" s="1"/>
  <c r="F2685" i="1"/>
  <c r="K2685" i="1" s="1"/>
  <c r="F2686" i="1"/>
  <c r="K2686" i="1" s="1"/>
  <c r="F2687" i="1"/>
  <c r="K2687" i="1" s="1"/>
  <c r="F2688" i="1"/>
  <c r="K2688" i="1" s="1"/>
  <c r="F2689" i="1"/>
  <c r="K2689" i="1" s="1"/>
  <c r="F2690" i="1"/>
  <c r="K2690" i="1" s="1"/>
  <c r="F2691" i="1"/>
  <c r="K2691" i="1" s="1"/>
  <c r="F2692" i="1"/>
  <c r="K2692" i="1" s="1"/>
  <c r="F2693" i="1"/>
  <c r="K2693" i="1" s="1"/>
  <c r="F2694" i="1"/>
  <c r="K2694" i="1" s="1"/>
  <c r="F2695" i="1"/>
  <c r="K2695" i="1" s="1"/>
  <c r="F2696" i="1"/>
  <c r="K2696" i="1" s="1"/>
  <c r="F2697" i="1"/>
  <c r="K2697" i="1" s="1"/>
  <c r="F2698" i="1"/>
  <c r="K2698" i="1" s="1"/>
  <c r="F2699" i="1"/>
  <c r="K2699" i="1" s="1"/>
  <c r="F2700" i="1"/>
  <c r="K2700" i="1" s="1"/>
  <c r="F2701" i="1"/>
  <c r="K2701" i="1" s="1"/>
  <c r="F2702" i="1"/>
  <c r="K2702" i="1" s="1"/>
  <c r="F2703" i="1"/>
  <c r="K2703" i="1" s="1"/>
  <c r="F2704" i="1"/>
  <c r="K2704" i="1" s="1"/>
  <c r="F2705" i="1"/>
  <c r="K2705" i="1" s="1"/>
  <c r="F2706" i="1"/>
  <c r="K2706" i="1" s="1"/>
  <c r="F2707" i="1"/>
  <c r="K2707" i="1" s="1"/>
  <c r="F2708" i="1"/>
  <c r="K2708" i="1" s="1"/>
  <c r="F2709" i="1"/>
  <c r="K2709" i="1" s="1"/>
  <c r="F2710" i="1"/>
  <c r="K2710" i="1" s="1"/>
  <c r="F2711" i="1"/>
  <c r="K2711" i="1" s="1"/>
  <c r="F2712" i="1"/>
  <c r="K2712" i="1" s="1"/>
  <c r="F2713" i="1"/>
  <c r="K2713" i="1" s="1"/>
  <c r="F2714" i="1"/>
  <c r="K2714" i="1" s="1"/>
  <c r="F2715" i="1"/>
  <c r="K2715" i="1" s="1"/>
  <c r="F2716" i="1"/>
  <c r="K2716" i="1" s="1"/>
  <c r="F2717" i="1"/>
  <c r="K2717" i="1" s="1"/>
  <c r="F2718" i="1"/>
  <c r="K2718" i="1" s="1"/>
  <c r="F2719" i="1"/>
  <c r="K2719" i="1" s="1"/>
  <c r="F2720" i="1"/>
  <c r="K2720" i="1" s="1"/>
  <c r="F2721" i="1"/>
  <c r="K2721" i="1" s="1"/>
  <c r="F2722" i="1"/>
  <c r="K2722" i="1" s="1"/>
  <c r="F2723" i="1"/>
  <c r="K2723" i="1" s="1"/>
  <c r="F2724" i="1"/>
  <c r="K2724" i="1" s="1"/>
  <c r="F2725" i="1"/>
  <c r="K2725" i="1" s="1"/>
  <c r="F2726" i="1"/>
  <c r="K2726" i="1" s="1"/>
  <c r="F2727" i="1"/>
  <c r="K2727" i="1" s="1"/>
  <c r="F2728" i="1"/>
  <c r="K2728" i="1" s="1"/>
  <c r="F2729" i="1"/>
  <c r="K2729" i="1" s="1"/>
  <c r="F2730" i="1"/>
  <c r="K2730" i="1" s="1"/>
  <c r="F2731" i="1"/>
  <c r="K2731" i="1" s="1"/>
  <c r="F2732" i="1"/>
  <c r="K2732" i="1" s="1"/>
  <c r="F2733" i="1"/>
  <c r="K2733" i="1" s="1"/>
  <c r="F2734" i="1"/>
  <c r="K2734" i="1" s="1"/>
  <c r="F2735" i="1"/>
  <c r="K2735" i="1" s="1"/>
  <c r="F2736" i="1"/>
  <c r="K2736" i="1" s="1"/>
  <c r="F2737" i="1"/>
  <c r="K2737" i="1" s="1"/>
  <c r="F2738" i="1"/>
  <c r="K2738" i="1" s="1"/>
  <c r="F2739" i="1"/>
  <c r="K2739" i="1" s="1"/>
  <c r="F2740" i="1"/>
  <c r="K2740" i="1" s="1"/>
  <c r="F2741" i="1"/>
  <c r="K2741" i="1" s="1"/>
  <c r="F2742" i="1"/>
  <c r="K2742" i="1" s="1"/>
  <c r="F2743" i="1"/>
  <c r="K2743" i="1" s="1"/>
  <c r="F2744" i="1"/>
  <c r="K2744" i="1" s="1"/>
  <c r="F2745" i="1"/>
  <c r="K2745" i="1" s="1"/>
  <c r="F2746" i="1"/>
  <c r="K2746" i="1" s="1"/>
  <c r="F2747" i="1"/>
  <c r="K2747" i="1" s="1"/>
  <c r="F2748" i="1"/>
  <c r="K2748" i="1" s="1"/>
  <c r="F2749" i="1"/>
  <c r="K2749" i="1" s="1"/>
  <c r="F2750" i="1"/>
  <c r="K2750" i="1" s="1"/>
  <c r="F2751" i="1"/>
  <c r="K2751" i="1" s="1"/>
  <c r="F2752" i="1"/>
  <c r="K2752" i="1" s="1"/>
  <c r="F2753" i="1"/>
  <c r="K2753" i="1" s="1"/>
  <c r="F2754" i="1"/>
  <c r="K2754" i="1" s="1"/>
  <c r="F2755" i="1"/>
  <c r="K2755" i="1" s="1"/>
  <c r="F2756" i="1"/>
  <c r="K2756" i="1" s="1"/>
  <c r="F2757" i="1"/>
  <c r="K2757" i="1" s="1"/>
  <c r="F2758" i="1"/>
  <c r="K2758" i="1" s="1"/>
  <c r="F2759" i="1"/>
  <c r="K2759" i="1" s="1"/>
  <c r="F2760" i="1"/>
  <c r="K2760" i="1" s="1"/>
  <c r="F2761" i="1"/>
  <c r="K2761" i="1" s="1"/>
  <c r="F2762" i="1"/>
  <c r="K2762" i="1" s="1"/>
  <c r="F2763" i="1"/>
  <c r="K2763" i="1" s="1"/>
  <c r="F2764" i="1"/>
  <c r="K2764" i="1" s="1"/>
  <c r="F2765" i="1"/>
  <c r="K2765" i="1" s="1"/>
  <c r="F2766" i="1"/>
  <c r="K2766" i="1" s="1"/>
  <c r="F2767" i="1"/>
  <c r="K2767" i="1" s="1"/>
  <c r="F2768" i="1"/>
  <c r="K2768" i="1" s="1"/>
  <c r="F2769" i="1"/>
  <c r="K2769" i="1" s="1"/>
  <c r="F2770" i="1"/>
  <c r="K2770" i="1" s="1"/>
  <c r="F2771" i="1"/>
  <c r="K2771" i="1" s="1"/>
  <c r="F2772" i="1"/>
  <c r="K2772" i="1" s="1"/>
  <c r="F2773" i="1"/>
  <c r="K2773" i="1" s="1"/>
  <c r="F2774" i="1"/>
  <c r="K2774" i="1" s="1"/>
  <c r="F2775" i="1"/>
  <c r="K2775" i="1" s="1"/>
  <c r="F2776" i="1"/>
  <c r="K2776" i="1" s="1"/>
  <c r="F2777" i="1"/>
  <c r="K2777" i="1" s="1"/>
  <c r="F2778" i="1"/>
  <c r="K2778" i="1" s="1"/>
  <c r="F2779" i="1"/>
  <c r="K2779" i="1" s="1"/>
  <c r="F2780" i="1"/>
  <c r="K2780" i="1" s="1"/>
  <c r="F2781" i="1"/>
  <c r="K2781" i="1" s="1"/>
  <c r="F2782" i="1"/>
  <c r="K2782" i="1" s="1"/>
  <c r="F2783" i="1"/>
  <c r="K2783" i="1" s="1"/>
  <c r="F2784" i="1"/>
  <c r="K2784" i="1" s="1"/>
  <c r="F2785" i="1"/>
  <c r="K2785" i="1" s="1"/>
  <c r="F2786" i="1"/>
  <c r="K2786" i="1" s="1"/>
  <c r="F2787" i="1"/>
  <c r="K2787" i="1" s="1"/>
  <c r="F2788" i="1"/>
  <c r="K2788" i="1" s="1"/>
  <c r="F2789" i="1"/>
  <c r="K2789" i="1" s="1"/>
  <c r="F2790" i="1"/>
  <c r="K2790" i="1" s="1"/>
  <c r="F2791" i="1"/>
  <c r="K2791" i="1" s="1"/>
  <c r="F2792" i="1"/>
  <c r="K2792" i="1" s="1"/>
  <c r="F2793" i="1"/>
  <c r="K2793" i="1" s="1"/>
  <c r="F2794" i="1"/>
  <c r="K2794" i="1" s="1"/>
  <c r="F2795" i="1"/>
  <c r="K2795" i="1" s="1"/>
  <c r="F2796" i="1"/>
  <c r="K2796" i="1" s="1"/>
  <c r="F2797" i="1"/>
  <c r="K2797" i="1" s="1"/>
  <c r="F2798" i="1"/>
  <c r="K2798" i="1" s="1"/>
  <c r="F2799" i="1"/>
  <c r="K2799" i="1" s="1"/>
  <c r="F2800" i="1"/>
  <c r="K2800" i="1" s="1"/>
  <c r="F2801" i="1"/>
  <c r="K2801" i="1" s="1"/>
  <c r="F2802" i="1"/>
  <c r="K2802" i="1" s="1"/>
  <c r="F2803" i="1"/>
  <c r="K2803" i="1" s="1"/>
  <c r="F2804" i="1"/>
  <c r="K2804" i="1" s="1"/>
  <c r="F2805" i="1"/>
  <c r="K2805" i="1" s="1"/>
  <c r="F2806" i="1"/>
  <c r="K2806" i="1" s="1"/>
  <c r="F2807" i="1"/>
  <c r="K2807" i="1" s="1"/>
  <c r="F2808" i="1"/>
  <c r="K2808" i="1" s="1"/>
  <c r="F2809" i="1"/>
  <c r="K2809" i="1" s="1"/>
  <c r="F2810" i="1"/>
  <c r="K2810" i="1" s="1"/>
  <c r="F2811" i="1"/>
  <c r="K2811" i="1" s="1"/>
  <c r="F2812" i="1"/>
  <c r="K2812" i="1" s="1"/>
  <c r="F2813" i="1"/>
  <c r="K2813" i="1" s="1"/>
  <c r="F2814" i="1"/>
  <c r="K2814" i="1" s="1"/>
  <c r="F2815" i="1"/>
  <c r="K2815" i="1" s="1"/>
  <c r="F2816" i="1"/>
  <c r="K2816" i="1" s="1"/>
  <c r="F2817" i="1"/>
  <c r="K2817" i="1" s="1"/>
  <c r="F2818" i="1"/>
  <c r="K2818" i="1" s="1"/>
  <c r="F2819" i="1"/>
  <c r="K2819" i="1" s="1"/>
  <c r="F2820" i="1"/>
  <c r="K2820" i="1" s="1"/>
  <c r="F2821" i="1"/>
  <c r="K2821" i="1" s="1"/>
  <c r="F2822" i="1"/>
  <c r="K2822" i="1" s="1"/>
  <c r="F2823" i="1"/>
  <c r="K2823" i="1" s="1"/>
  <c r="F2824" i="1"/>
  <c r="K2824" i="1" s="1"/>
  <c r="F2825" i="1"/>
  <c r="K2825" i="1" s="1"/>
  <c r="F2826" i="1"/>
  <c r="K2826" i="1" s="1"/>
  <c r="F2827" i="1"/>
  <c r="K2827" i="1" s="1"/>
  <c r="F2828" i="1"/>
  <c r="K2828" i="1" s="1"/>
  <c r="F2829" i="1"/>
  <c r="K2829" i="1" s="1"/>
  <c r="F2830" i="1"/>
  <c r="K2830" i="1" s="1"/>
  <c r="F2831" i="1"/>
  <c r="K2831" i="1" s="1"/>
  <c r="F2832" i="1"/>
  <c r="K2832" i="1" s="1"/>
  <c r="F2833" i="1"/>
  <c r="K2833" i="1" s="1"/>
  <c r="F2834" i="1"/>
  <c r="K2834" i="1" s="1"/>
  <c r="F2835" i="1"/>
  <c r="K2835" i="1" s="1"/>
  <c r="F2836" i="1"/>
  <c r="K2836" i="1" s="1"/>
  <c r="F2837" i="1"/>
  <c r="K2837" i="1" s="1"/>
  <c r="F2838" i="1"/>
  <c r="K2838" i="1" s="1"/>
  <c r="F2839" i="1"/>
  <c r="K2839" i="1" s="1"/>
  <c r="F2840" i="1"/>
  <c r="K2840" i="1" s="1"/>
  <c r="F2841" i="1"/>
  <c r="K2841" i="1" s="1"/>
  <c r="F2842" i="1"/>
  <c r="K2842" i="1" s="1"/>
  <c r="F2843" i="1"/>
  <c r="K2843" i="1" s="1"/>
  <c r="F2844" i="1"/>
  <c r="K2844" i="1" s="1"/>
  <c r="F2845" i="1"/>
  <c r="K2845" i="1" s="1"/>
  <c r="F2846" i="1"/>
  <c r="K2846" i="1" s="1"/>
  <c r="F2847" i="1"/>
  <c r="K2847" i="1" s="1"/>
  <c r="F2848" i="1"/>
  <c r="K2848" i="1" s="1"/>
  <c r="F2849" i="1"/>
  <c r="K2849" i="1" s="1"/>
  <c r="F2850" i="1"/>
  <c r="K2850" i="1" s="1"/>
  <c r="F2851" i="1"/>
  <c r="K2851" i="1" s="1"/>
  <c r="F2852" i="1"/>
  <c r="K2852" i="1" s="1"/>
  <c r="F2853" i="1"/>
  <c r="K2853" i="1" s="1"/>
  <c r="F2854" i="1"/>
  <c r="K2854" i="1" s="1"/>
  <c r="F2855" i="1"/>
  <c r="K2855" i="1" s="1"/>
  <c r="F2856" i="1"/>
  <c r="K2856" i="1" s="1"/>
  <c r="F2857" i="1"/>
  <c r="K2857" i="1" s="1"/>
  <c r="F2858" i="1"/>
  <c r="K2858" i="1" s="1"/>
  <c r="F2859" i="1"/>
  <c r="K2859" i="1" s="1"/>
  <c r="F2860" i="1"/>
  <c r="K2860" i="1" s="1"/>
  <c r="F2861" i="1"/>
  <c r="K2861" i="1" s="1"/>
  <c r="F2862" i="1"/>
  <c r="K2862" i="1" s="1"/>
  <c r="F2863" i="1"/>
  <c r="K2863" i="1" s="1"/>
  <c r="F2864" i="1"/>
  <c r="K2864" i="1" s="1"/>
  <c r="F2865" i="1"/>
  <c r="K2865" i="1" s="1"/>
  <c r="F2866" i="1"/>
  <c r="K2866" i="1" s="1"/>
  <c r="F2867" i="1"/>
  <c r="K2867" i="1" s="1"/>
  <c r="F2868" i="1"/>
  <c r="K2868" i="1" s="1"/>
  <c r="F2869" i="1"/>
  <c r="K2869" i="1" s="1"/>
  <c r="F2870" i="1"/>
  <c r="K2870" i="1" s="1"/>
  <c r="F2871" i="1"/>
  <c r="K2871" i="1" s="1"/>
  <c r="F2872" i="1"/>
  <c r="K2872" i="1" s="1"/>
  <c r="F2873" i="1"/>
  <c r="K2873" i="1" s="1"/>
  <c r="F2874" i="1"/>
  <c r="K2874" i="1" s="1"/>
  <c r="F2875" i="1"/>
  <c r="K2875" i="1" s="1"/>
  <c r="F2876" i="1"/>
  <c r="K2876" i="1" s="1"/>
  <c r="F2877" i="1"/>
  <c r="K2877" i="1" s="1"/>
  <c r="F2878" i="1"/>
  <c r="K2878" i="1" s="1"/>
  <c r="F2879" i="1"/>
  <c r="K2879" i="1" s="1"/>
  <c r="F2880" i="1"/>
  <c r="K2880" i="1" s="1"/>
  <c r="F2881" i="1"/>
  <c r="K2881" i="1" s="1"/>
  <c r="F2882" i="1"/>
  <c r="K2882" i="1" s="1"/>
  <c r="F2883" i="1"/>
  <c r="K2883" i="1" s="1"/>
  <c r="F2884" i="1"/>
  <c r="K2884" i="1" s="1"/>
  <c r="F2885" i="1"/>
  <c r="K2885" i="1" s="1"/>
  <c r="F2886" i="1"/>
  <c r="K2886" i="1" s="1"/>
  <c r="F2887" i="1"/>
  <c r="K2887" i="1" s="1"/>
  <c r="F2888" i="1"/>
  <c r="K2888" i="1" s="1"/>
  <c r="F2889" i="1"/>
  <c r="K2889" i="1" s="1"/>
  <c r="F2890" i="1"/>
  <c r="K2890" i="1" s="1"/>
  <c r="F2891" i="1"/>
  <c r="K2891" i="1" s="1"/>
  <c r="F2892" i="1"/>
  <c r="K2892" i="1" s="1"/>
  <c r="F2893" i="1"/>
  <c r="K2893" i="1" s="1"/>
  <c r="F2894" i="1"/>
  <c r="K2894" i="1" s="1"/>
  <c r="F2895" i="1"/>
  <c r="K2895" i="1" s="1"/>
  <c r="F2896" i="1"/>
  <c r="K2896" i="1" s="1"/>
  <c r="F2897" i="1"/>
  <c r="K2897" i="1" s="1"/>
  <c r="F2898" i="1"/>
  <c r="K2898" i="1" s="1"/>
  <c r="F2899" i="1"/>
  <c r="K2899" i="1" s="1"/>
  <c r="F2900" i="1"/>
  <c r="K2900" i="1" s="1"/>
  <c r="F2901" i="1"/>
  <c r="K2901" i="1" s="1"/>
  <c r="F2902" i="1"/>
  <c r="K2902" i="1" s="1"/>
  <c r="F2903" i="1"/>
  <c r="K2903" i="1" s="1"/>
  <c r="F2904" i="1"/>
  <c r="K2904" i="1" s="1"/>
  <c r="F2905" i="1"/>
  <c r="K2905" i="1" s="1"/>
  <c r="F2906" i="1"/>
  <c r="K2906" i="1" s="1"/>
  <c r="F2907" i="1"/>
  <c r="K2907" i="1" s="1"/>
  <c r="F2908" i="1"/>
  <c r="K2908" i="1" s="1"/>
  <c r="F2909" i="1"/>
  <c r="K2909" i="1" s="1"/>
  <c r="F2910" i="1"/>
  <c r="K2910" i="1" s="1"/>
  <c r="F2911" i="1"/>
  <c r="K2911" i="1" s="1"/>
  <c r="F2912" i="1"/>
  <c r="K2912" i="1" s="1"/>
  <c r="F2913" i="1"/>
  <c r="K2913" i="1" s="1"/>
  <c r="F2914" i="1"/>
  <c r="K2914" i="1" s="1"/>
  <c r="F2915" i="1"/>
  <c r="K2915" i="1" s="1"/>
  <c r="F2916" i="1"/>
  <c r="K2916" i="1" s="1"/>
  <c r="F2917" i="1"/>
  <c r="K2917" i="1" s="1"/>
  <c r="F2918" i="1"/>
  <c r="K2918" i="1" s="1"/>
  <c r="F2919" i="1"/>
  <c r="K2919" i="1" s="1"/>
  <c r="F2920" i="1"/>
  <c r="K2920" i="1" s="1"/>
  <c r="F2921" i="1"/>
  <c r="K2921" i="1" s="1"/>
  <c r="F2922" i="1"/>
  <c r="K2922" i="1" s="1"/>
  <c r="F2923" i="1"/>
  <c r="K2923" i="1" s="1"/>
  <c r="F2924" i="1"/>
  <c r="K2924" i="1" s="1"/>
  <c r="F2925" i="1"/>
  <c r="K2925" i="1" s="1"/>
  <c r="F2926" i="1"/>
  <c r="K2926" i="1" s="1"/>
  <c r="F2927" i="1"/>
  <c r="K2927" i="1" s="1"/>
  <c r="F2928" i="1"/>
  <c r="K2928" i="1" s="1"/>
  <c r="F2929" i="1"/>
  <c r="K2929" i="1" s="1"/>
  <c r="F2930" i="1"/>
  <c r="K2930" i="1" s="1"/>
  <c r="F2931" i="1"/>
  <c r="K2931" i="1" s="1"/>
  <c r="F2932" i="1"/>
  <c r="K2932" i="1" s="1"/>
  <c r="F2933" i="1"/>
  <c r="K2933" i="1" s="1"/>
  <c r="F2934" i="1"/>
  <c r="K2934" i="1" s="1"/>
  <c r="F2935" i="1"/>
  <c r="K2935" i="1" s="1"/>
  <c r="F2936" i="1"/>
  <c r="K2936" i="1" s="1"/>
  <c r="F2937" i="1"/>
  <c r="K2937" i="1" s="1"/>
  <c r="F2938" i="1"/>
  <c r="K2938" i="1" s="1"/>
  <c r="F2939" i="1"/>
  <c r="K2939" i="1" s="1"/>
  <c r="F2940" i="1"/>
  <c r="K2940" i="1" s="1"/>
  <c r="F2941" i="1"/>
  <c r="K2941" i="1" s="1"/>
  <c r="F2942" i="1"/>
  <c r="K2942" i="1" s="1"/>
  <c r="F2943" i="1"/>
  <c r="K2943" i="1" s="1"/>
  <c r="F2944" i="1"/>
  <c r="K2944" i="1" s="1"/>
  <c r="F2945" i="1"/>
  <c r="K2945" i="1" s="1"/>
  <c r="F2946" i="1"/>
  <c r="K2946" i="1" s="1"/>
  <c r="F2947" i="1"/>
  <c r="K2947" i="1" s="1"/>
  <c r="F2948" i="1"/>
  <c r="K2948" i="1" s="1"/>
  <c r="F2949" i="1"/>
  <c r="K2949" i="1" s="1"/>
  <c r="F2950" i="1"/>
  <c r="K2950" i="1" s="1"/>
  <c r="F2951" i="1"/>
  <c r="K2951" i="1" s="1"/>
  <c r="F2952" i="1"/>
  <c r="K2952" i="1" s="1"/>
  <c r="F2953" i="1"/>
  <c r="K2953" i="1" s="1"/>
  <c r="F2954" i="1"/>
  <c r="K2954" i="1" s="1"/>
  <c r="F2955" i="1"/>
  <c r="K2955" i="1" s="1"/>
  <c r="F2956" i="1"/>
  <c r="K2956" i="1" s="1"/>
  <c r="F2957" i="1"/>
  <c r="K2957" i="1" s="1"/>
  <c r="F2958" i="1"/>
  <c r="K2958" i="1" s="1"/>
  <c r="F2959" i="1"/>
  <c r="K2959" i="1" s="1"/>
  <c r="F2960" i="1"/>
  <c r="K2960" i="1" s="1"/>
  <c r="F2961" i="1"/>
  <c r="K2961" i="1" s="1"/>
  <c r="F2962" i="1"/>
  <c r="K2962" i="1" s="1"/>
  <c r="F2963" i="1"/>
  <c r="K2963" i="1" s="1"/>
  <c r="F2964" i="1"/>
  <c r="K2964" i="1" s="1"/>
  <c r="F2965" i="1"/>
  <c r="K2965" i="1" s="1"/>
  <c r="F2966" i="1"/>
  <c r="K2966" i="1" s="1"/>
  <c r="F2967" i="1"/>
  <c r="K2967" i="1" s="1"/>
  <c r="F2968" i="1"/>
  <c r="K2968" i="1" s="1"/>
  <c r="F2969" i="1"/>
  <c r="K2969" i="1" s="1"/>
  <c r="F2970" i="1"/>
  <c r="K2970" i="1" s="1"/>
  <c r="F2971" i="1"/>
  <c r="K2971" i="1" s="1"/>
  <c r="F2972" i="1"/>
  <c r="K2972" i="1" s="1"/>
  <c r="F2973" i="1"/>
  <c r="K2973" i="1" s="1"/>
  <c r="F2974" i="1"/>
  <c r="K2974" i="1" s="1"/>
  <c r="F2975" i="1"/>
  <c r="K2975" i="1" s="1"/>
  <c r="F2976" i="1"/>
  <c r="K2976" i="1" s="1"/>
  <c r="F2977" i="1"/>
  <c r="K2977" i="1" s="1"/>
  <c r="F2978" i="1"/>
  <c r="K2978" i="1" s="1"/>
  <c r="F2979" i="1"/>
  <c r="K2979" i="1" s="1"/>
  <c r="F2980" i="1"/>
  <c r="K2980" i="1" s="1"/>
  <c r="F2981" i="1"/>
  <c r="K2981" i="1" s="1"/>
  <c r="F2982" i="1"/>
  <c r="K2982" i="1" s="1"/>
  <c r="F2983" i="1"/>
  <c r="K2983" i="1" s="1"/>
  <c r="F2984" i="1"/>
  <c r="K2984" i="1" s="1"/>
  <c r="F2985" i="1"/>
  <c r="K2985" i="1" s="1"/>
  <c r="F2986" i="1"/>
  <c r="K2986" i="1" s="1"/>
  <c r="F2987" i="1"/>
  <c r="K2987" i="1" s="1"/>
  <c r="F2988" i="1"/>
  <c r="K2988" i="1" s="1"/>
  <c r="F2989" i="1"/>
  <c r="K2989" i="1" s="1"/>
  <c r="F2990" i="1"/>
  <c r="K2990" i="1" s="1"/>
  <c r="F2991" i="1"/>
  <c r="K2991" i="1" s="1"/>
  <c r="F2992" i="1"/>
  <c r="K2992" i="1" s="1"/>
  <c r="F2993" i="1"/>
  <c r="K2993" i="1" s="1"/>
  <c r="F2994" i="1"/>
  <c r="K2994" i="1" s="1"/>
  <c r="F2995" i="1"/>
  <c r="K2995" i="1" s="1"/>
  <c r="F2996" i="1"/>
  <c r="K2996" i="1" s="1"/>
  <c r="F2997" i="1"/>
  <c r="K2997" i="1" s="1"/>
  <c r="F2998" i="1"/>
  <c r="K2998" i="1" s="1"/>
  <c r="F2999" i="1"/>
  <c r="K2999" i="1" s="1"/>
  <c r="F3000" i="1"/>
  <c r="K3000" i="1" s="1"/>
  <c r="F3001" i="1"/>
  <c r="K3001" i="1" s="1"/>
  <c r="F3002" i="1"/>
  <c r="K3002" i="1" s="1"/>
  <c r="F3003" i="1"/>
  <c r="K3003" i="1" s="1"/>
  <c r="F3004" i="1"/>
  <c r="K3004" i="1" s="1"/>
  <c r="F3005" i="1"/>
  <c r="K3005" i="1" s="1"/>
  <c r="F3006" i="1"/>
  <c r="K3006" i="1" s="1"/>
  <c r="F3007" i="1"/>
  <c r="K3007" i="1" s="1"/>
  <c r="F3008" i="1"/>
  <c r="K3008" i="1" s="1"/>
  <c r="F3009" i="1"/>
  <c r="K3009" i="1" s="1"/>
  <c r="F3010" i="1"/>
  <c r="K3010" i="1" s="1"/>
  <c r="F3011" i="1"/>
  <c r="K3011" i="1" s="1"/>
  <c r="F3012" i="1"/>
  <c r="K3012" i="1" s="1"/>
  <c r="F3013" i="1"/>
  <c r="K3013" i="1" s="1"/>
  <c r="F3014" i="1"/>
  <c r="K3014" i="1" s="1"/>
  <c r="F3015" i="1"/>
  <c r="K3015" i="1" s="1"/>
  <c r="F3016" i="1"/>
  <c r="K3016" i="1" s="1"/>
  <c r="F3017" i="1"/>
  <c r="K3017" i="1" s="1"/>
  <c r="F3018" i="1"/>
  <c r="K3018" i="1" s="1"/>
  <c r="F3019" i="1"/>
  <c r="K3019" i="1" s="1"/>
  <c r="F3020" i="1"/>
  <c r="K3020" i="1" s="1"/>
  <c r="F3021" i="1"/>
  <c r="K3021" i="1" s="1"/>
  <c r="F3022" i="1"/>
  <c r="K3022" i="1" s="1"/>
  <c r="F3023" i="1"/>
  <c r="K3023" i="1" s="1"/>
  <c r="F3024" i="1"/>
  <c r="K3024" i="1" s="1"/>
  <c r="F3025" i="1"/>
  <c r="K3025" i="1" s="1"/>
  <c r="F3026" i="1"/>
  <c r="K3026" i="1" s="1"/>
  <c r="F3027" i="1"/>
  <c r="K3027" i="1" s="1"/>
  <c r="F3028" i="1"/>
  <c r="K3028" i="1" s="1"/>
  <c r="F3029" i="1"/>
  <c r="K3029" i="1" s="1"/>
  <c r="F3030" i="1"/>
  <c r="K3030" i="1" s="1"/>
  <c r="F3031" i="1"/>
  <c r="K3031" i="1" s="1"/>
  <c r="F3032" i="1"/>
  <c r="K3032" i="1" s="1"/>
  <c r="F3033" i="1"/>
  <c r="K3033" i="1" s="1"/>
  <c r="F3034" i="1"/>
  <c r="K3034" i="1" s="1"/>
  <c r="F3035" i="1"/>
  <c r="K3035" i="1" s="1"/>
  <c r="F3036" i="1"/>
  <c r="K3036" i="1" s="1"/>
  <c r="F3037" i="1"/>
  <c r="K3037" i="1" s="1"/>
  <c r="F3038" i="1"/>
  <c r="K3038" i="1" s="1"/>
  <c r="F3039" i="1"/>
  <c r="K3039" i="1" s="1"/>
  <c r="F3040" i="1"/>
  <c r="K3040" i="1" s="1"/>
  <c r="F3041" i="1"/>
  <c r="K3041" i="1" s="1"/>
  <c r="F3042" i="1"/>
  <c r="K3042" i="1" s="1"/>
  <c r="F3043" i="1"/>
  <c r="K3043" i="1" s="1"/>
  <c r="F3044" i="1"/>
  <c r="K3044" i="1" s="1"/>
  <c r="F3045" i="1"/>
  <c r="K3045" i="1" s="1"/>
  <c r="F3046" i="1"/>
  <c r="K3046" i="1" s="1"/>
  <c r="F3047" i="1"/>
  <c r="K3047" i="1" s="1"/>
  <c r="F3048" i="1"/>
  <c r="K3048" i="1" s="1"/>
  <c r="F3049" i="1"/>
  <c r="K3049" i="1" s="1"/>
  <c r="F3050" i="1"/>
  <c r="K3050" i="1" s="1"/>
  <c r="F3051" i="1"/>
  <c r="K3051" i="1" s="1"/>
  <c r="F3052" i="1"/>
  <c r="K3052" i="1" s="1"/>
  <c r="F3053" i="1"/>
  <c r="K3053" i="1" s="1"/>
  <c r="F3054" i="1"/>
  <c r="K3054" i="1" s="1"/>
  <c r="F3055" i="1"/>
  <c r="K3055" i="1" s="1"/>
  <c r="F3056" i="1"/>
  <c r="K3056" i="1" s="1"/>
  <c r="F3057" i="1"/>
  <c r="K3057" i="1" s="1"/>
  <c r="F3058" i="1"/>
  <c r="K3058" i="1" s="1"/>
  <c r="F3059" i="1"/>
  <c r="K3059" i="1" s="1"/>
  <c r="F3060" i="1"/>
  <c r="K3060" i="1" s="1"/>
  <c r="F3061" i="1"/>
  <c r="K3061" i="1" s="1"/>
  <c r="F3062" i="1"/>
  <c r="K3062" i="1" s="1"/>
  <c r="F3063" i="1"/>
  <c r="K3063" i="1" s="1"/>
  <c r="F3064" i="1"/>
  <c r="K3064" i="1" s="1"/>
  <c r="F3065" i="1"/>
  <c r="K3065" i="1" s="1"/>
  <c r="F3066" i="1"/>
  <c r="K3066" i="1" s="1"/>
  <c r="F3067" i="1"/>
  <c r="K3067" i="1" s="1"/>
  <c r="F3068" i="1"/>
  <c r="K3068" i="1" s="1"/>
  <c r="F3069" i="1"/>
  <c r="K3069" i="1" s="1"/>
  <c r="F3070" i="1"/>
  <c r="K3070" i="1" s="1"/>
  <c r="F3071" i="1"/>
  <c r="K3071" i="1" s="1"/>
  <c r="F3072" i="1"/>
  <c r="K3072" i="1" s="1"/>
  <c r="F3073" i="1"/>
  <c r="K3073" i="1" s="1"/>
  <c r="F3074" i="1"/>
  <c r="K3074" i="1" s="1"/>
  <c r="F3075" i="1"/>
  <c r="K3075" i="1" s="1"/>
  <c r="F3076" i="1"/>
  <c r="K3076" i="1" s="1"/>
  <c r="F3077" i="1"/>
  <c r="K3077" i="1" s="1"/>
  <c r="F3078" i="1"/>
  <c r="K3078" i="1" s="1"/>
  <c r="F3079" i="1"/>
  <c r="K3079" i="1" s="1"/>
  <c r="F3080" i="1"/>
  <c r="K3080" i="1" s="1"/>
  <c r="F3081" i="1"/>
  <c r="K3081" i="1" s="1"/>
  <c r="F3082" i="1"/>
  <c r="K3082" i="1" s="1"/>
  <c r="F3083" i="1"/>
  <c r="K3083" i="1" s="1"/>
  <c r="F3084" i="1"/>
  <c r="K3084" i="1" s="1"/>
  <c r="F3085" i="1"/>
  <c r="K3085" i="1" s="1"/>
  <c r="F3086" i="1"/>
  <c r="K3086" i="1" s="1"/>
  <c r="F3087" i="1"/>
  <c r="K3087" i="1" s="1"/>
  <c r="F3088" i="1"/>
  <c r="K3088" i="1" s="1"/>
  <c r="F3089" i="1"/>
  <c r="K3089" i="1" s="1"/>
  <c r="F3090" i="1"/>
  <c r="K3090" i="1" s="1"/>
  <c r="F3091" i="1"/>
  <c r="K3091" i="1" s="1"/>
  <c r="F3092" i="1"/>
  <c r="K3092" i="1" s="1"/>
  <c r="F3093" i="1"/>
  <c r="K3093" i="1" s="1"/>
  <c r="F3094" i="1"/>
  <c r="K3094" i="1" s="1"/>
  <c r="F3095" i="1"/>
  <c r="K3095" i="1" s="1"/>
  <c r="F3096" i="1"/>
  <c r="K3096" i="1" s="1"/>
  <c r="F3097" i="1"/>
  <c r="K3097" i="1" s="1"/>
  <c r="F3098" i="1"/>
  <c r="K3098" i="1" s="1"/>
  <c r="F3099" i="1"/>
  <c r="K3099" i="1" s="1"/>
  <c r="F3100" i="1"/>
  <c r="K3100" i="1" s="1"/>
  <c r="F3101" i="1"/>
  <c r="K3101" i="1" s="1"/>
  <c r="F3102" i="1"/>
  <c r="K3102" i="1" s="1"/>
  <c r="F3103" i="1"/>
  <c r="K3103" i="1" s="1"/>
  <c r="F3104" i="1"/>
  <c r="K3104" i="1" s="1"/>
  <c r="F3105" i="1"/>
  <c r="K3105" i="1" s="1"/>
  <c r="F3106" i="1"/>
  <c r="K3106" i="1" s="1"/>
  <c r="F3107" i="1"/>
  <c r="K3107" i="1" s="1"/>
  <c r="F3108" i="1"/>
  <c r="K3108" i="1" s="1"/>
  <c r="F3109" i="1"/>
  <c r="K3109" i="1" s="1"/>
  <c r="F3110" i="1"/>
  <c r="K3110" i="1" s="1"/>
  <c r="F3111" i="1"/>
  <c r="K3111" i="1" s="1"/>
  <c r="F3112" i="1"/>
  <c r="K3112" i="1" s="1"/>
  <c r="F3113" i="1"/>
  <c r="K3113" i="1" s="1"/>
  <c r="F3114" i="1"/>
  <c r="K3114" i="1" s="1"/>
  <c r="F3115" i="1"/>
  <c r="K3115" i="1" s="1"/>
  <c r="F3116" i="1"/>
  <c r="K3116" i="1" s="1"/>
  <c r="F3117" i="1"/>
  <c r="K3117" i="1" s="1"/>
  <c r="F3118" i="1"/>
  <c r="K3118" i="1" s="1"/>
  <c r="F3119" i="1"/>
  <c r="K3119" i="1" s="1"/>
  <c r="F3120" i="1"/>
  <c r="K3120" i="1" s="1"/>
  <c r="F3121" i="1"/>
  <c r="K3121" i="1" s="1"/>
  <c r="F3122" i="1"/>
  <c r="K3122" i="1" s="1"/>
  <c r="F3123" i="1"/>
  <c r="K3123" i="1" s="1"/>
  <c r="F3124" i="1"/>
  <c r="K3124" i="1" s="1"/>
  <c r="F3125" i="1"/>
  <c r="K3125" i="1" s="1"/>
  <c r="F3126" i="1"/>
  <c r="K3126" i="1" s="1"/>
  <c r="F3127" i="1"/>
  <c r="K3127" i="1" s="1"/>
  <c r="F3128" i="1"/>
  <c r="K3128" i="1" s="1"/>
  <c r="F3129" i="1"/>
  <c r="K3129" i="1" s="1"/>
  <c r="F3130" i="1"/>
  <c r="K3130" i="1" s="1"/>
  <c r="F3131" i="1"/>
  <c r="K3131" i="1" s="1"/>
  <c r="F3132" i="1"/>
  <c r="K3132" i="1" s="1"/>
  <c r="F3133" i="1"/>
  <c r="K3133" i="1" s="1"/>
  <c r="F3134" i="1"/>
  <c r="K3134" i="1" s="1"/>
  <c r="F3135" i="1"/>
  <c r="K3135" i="1" s="1"/>
  <c r="F3136" i="1"/>
  <c r="K3136" i="1" s="1"/>
  <c r="F3137" i="1"/>
  <c r="K3137" i="1" s="1"/>
  <c r="F3138" i="1"/>
  <c r="K3138" i="1" s="1"/>
  <c r="F3139" i="1"/>
  <c r="K3139" i="1" s="1"/>
  <c r="F3140" i="1"/>
  <c r="K3140" i="1" s="1"/>
  <c r="F3141" i="1"/>
  <c r="K3141" i="1" s="1"/>
  <c r="F3142" i="1"/>
  <c r="K3142" i="1" s="1"/>
  <c r="F3143" i="1"/>
  <c r="K3143" i="1" s="1"/>
  <c r="F3144" i="1"/>
  <c r="K3144" i="1" s="1"/>
  <c r="F3145" i="1"/>
  <c r="K3145" i="1" s="1"/>
  <c r="F3146" i="1"/>
  <c r="K3146" i="1" s="1"/>
  <c r="F3147" i="1"/>
  <c r="K3147" i="1" s="1"/>
  <c r="F3148" i="1"/>
  <c r="K3148" i="1" s="1"/>
  <c r="F3149" i="1"/>
  <c r="K3149" i="1" s="1"/>
  <c r="F3150" i="1"/>
  <c r="K3150" i="1" s="1"/>
  <c r="F3151" i="1"/>
  <c r="K3151" i="1" s="1"/>
  <c r="F3152" i="1"/>
  <c r="K3152" i="1" s="1"/>
  <c r="F3153" i="1"/>
  <c r="K3153" i="1" s="1"/>
  <c r="F3154" i="1"/>
  <c r="K3154" i="1" s="1"/>
  <c r="F3155" i="1"/>
  <c r="K3155" i="1" s="1"/>
  <c r="F3156" i="1"/>
  <c r="K3156" i="1" s="1"/>
  <c r="F3157" i="1"/>
  <c r="K3157" i="1" s="1"/>
  <c r="F3158" i="1"/>
  <c r="K3158" i="1" s="1"/>
  <c r="F3159" i="1"/>
  <c r="K3159" i="1" s="1"/>
  <c r="F3160" i="1"/>
  <c r="K3160" i="1" s="1"/>
  <c r="F3161" i="1"/>
  <c r="K3161" i="1" s="1"/>
  <c r="F3162" i="1"/>
  <c r="K3162" i="1" s="1"/>
  <c r="F3163" i="1"/>
  <c r="K3163" i="1" s="1"/>
  <c r="F3164" i="1"/>
  <c r="K3164" i="1" s="1"/>
  <c r="F3165" i="1"/>
  <c r="K3165" i="1" s="1"/>
  <c r="F3166" i="1"/>
  <c r="K3166" i="1" s="1"/>
  <c r="F3167" i="1"/>
  <c r="K3167" i="1" s="1"/>
  <c r="F3168" i="1"/>
  <c r="K3168" i="1" s="1"/>
  <c r="F3169" i="1"/>
  <c r="K3169" i="1" s="1"/>
  <c r="F3170" i="1"/>
  <c r="K3170" i="1" s="1"/>
  <c r="F3171" i="1"/>
  <c r="K3171" i="1" s="1"/>
  <c r="F3172" i="1"/>
  <c r="K3172" i="1" s="1"/>
  <c r="F3173" i="1"/>
  <c r="K3173" i="1" s="1"/>
  <c r="F3174" i="1"/>
  <c r="K3174" i="1" s="1"/>
  <c r="F3175" i="1"/>
  <c r="K3175" i="1" s="1"/>
  <c r="F3176" i="1"/>
  <c r="K3176" i="1" s="1"/>
  <c r="F3177" i="1"/>
  <c r="K3177" i="1" s="1"/>
  <c r="F3178" i="1"/>
  <c r="K3178" i="1" s="1"/>
  <c r="F3179" i="1"/>
  <c r="K3179" i="1" s="1"/>
  <c r="F3180" i="1"/>
  <c r="K3180" i="1" s="1"/>
  <c r="F3181" i="1"/>
  <c r="K3181" i="1" s="1"/>
  <c r="F3182" i="1"/>
  <c r="K3182" i="1" s="1"/>
  <c r="F3183" i="1"/>
  <c r="K3183" i="1" s="1"/>
  <c r="F3184" i="1"/>
  <c r="K3184" i="1" s="1"/>
  <c r="F3185" i="1"/>
  <c r="K3185" i="1" s="1"/>
  <c r="F3186" i="1"/>
  <c r="K3186" i="1" s="1"/>
  <c r="F3187" i="1"/>
  <c r="K3187" i="1" s="1"/>
  <c r="F3188" i="1"/>
  <c r="K3188" i="1" s="1"/>
  <c r="F3189" i="1"/>
  <c r="K3189" i="1" s="1"/>
  <c r="F3190" i="1"/>
  <c r="K3190" i="1" s="1"/>
  <c r="F3191" i="1"/>
  <c r="K3191" i="1" s="1"/>
  <c r="F3192" i="1"/>
  <c r="K3192" i="1" s="1"/>
  <c r="F3193" i="1"/>
  <c r="K3193" i="1" s="1"/>
  <c r="F3194" i="1"/>
  <c r="K3194" i="1" s="1"/>
  <c r="F3195" i="1"/>
  <c r="K3195" i="1" s="1"/>
  <c r="F3196" i="1"/>
  <c r="K3196" i="1" s="1"/>
  <c r="F3197" i="1"/>
  <c r="K3197" i="1" s="1"/>
  <c r="F3198" i="1"/>
  <c r="K3198" i="1" s="1"/>
  <c r="F3199" i="1"/>
  <c r="K3199" i="1" s="1"/>
  <c r="F3200" i="1"/>
  <c r="K3200" i="1" s="1"/>
  <c r="F3201" i="1"/>
  <c r="K3201" i="1" s="1"/>
  <c r="F3202" i="1"/>
  <c r="K3202" i="1" s="1"/>
  <c r="F3203" i="1"/>
  <c r="K3203" i="1" s="1"/>
  <c r="F3204" i="1"/>
  <c r="K3204" i="1" s="1"/>
  <c r="F3205" i="1"/>
  <c r="K3205" i="1" s="1"/>
  <c r="F3206" i="1"/>
  <c r="K3206" i="1" s="1"/>
  <c r="F3207" i="1"/>
  <c r="K3207" i="1" s="1"/>
  <c r="F3208" i="1"/>
  <c r="K3208" i="1" s="1"/>
  <c r="F3209" i="1"/>
  <c r="K3209" i="1" s="1"/>
  <c r="F3210" i="1"/>
  <c r="K3210" i="1" s="1"/>
  <c r="F3211" i="1"/>
  <c r="K3211" i="1" s="1"/>
  <c r="F3212" i="1"/>
  <c r="K3212" i="1" s="1"/>
  <c r="F3213" i="1"/>
  <c r="K3213" i="1" s="1"/>
  <c r="F3214" i="1"/>
  <c r="K3214" i="1" s="1"/>
  <c r="F3215" i="1"/>
  <c r="K3215" i="1" s="1"/>
  <c r="F3216" i="1"/>
  <c r="K3216" i="1" s="1"/>
  <c r="F3217" i="1"/>
  <c r="K3217" i="1" s="1"/>
  <c r="F3218" i="1"/>
  <c r="K3218" i="1" s="1"/>
  <c r="F3219" i="1"/>
  <c r="K3219" i="1" s="1"/>
  <c r="F3220" i="1"/>
  <c r="K3220" i="1" s="1"/>
  <c r="F3221" i="1"/>
  <c r="K3221" i="1" s="1"/>
  <c r="F3222" i="1"/>
  <c r="K3222" i="1" s="1"/>
  <c r="F3223" i="1"/>
  <c r="K3223" i="1" s="1"/>
  <c r="F3224" i="1"/>
  <c r="K3224" i="1" s="1"/>
  <c r="F3225" i="1"/>
  <c r="K3225" i="1" s="1"/>
  <c r="F3226" i="1"/>
  <c r="K3226" i="1" s="1"/>
  <c r="F3227" i="1"/>
  <c r="K3227" i="1" s="1"/>
  <c r="F3228" i="1"/>
  <c r="K3228" i="1" s="1"/>
  <c r="F3229" i="1"/>
  <c r="K3229" i="1" s="1"/>
  <c r="F3230" i="1"/>
  <c r="K3230" i="1" s="1"/>
  <c r="F3231" i="1"/>
  <c r="K3231" i="1" s="1"/>
  <c r="F3232" i="1"/>
  <c r="K3232" i="1" s="1"/>
  <c r="F3233" i="1"/>
  <c r="K3233" i="1" s="1"/>
  <c r="F3234" i="1"/>
  <c r="K3234" i="1" s="1"/>
  <c r="F3235" i="1"/>
  <c r="K3235" i="1" s="1"/>
  <c r="F3236" i="1"/>
  <c r="K3236" i="1" s="1"/>
  <c r="F3237" i="1"/>
  <c r="K3237" i="1" s="1"/>
  <c r="F3238" i="1"/>
  <c r="K3238" i="1" s="1"/>
  <c r="F3239" i="1"/>
  <c r="K3239" i="1" s="1"/>
  <c r="F3240" i="1"/>
  <c r="K3240" i="1" s="1"/>
  <c r="F3241" i="1"/>
  <c r="K3241" i="1" s="1"/>
  <c r="F3242" i="1"/>
  <c r="K3242" i="1" s="1"/>
  <c r="F3243" i="1"/>
  <c r="K3243" i="1" s="1"/>
  <c r="F3244" i="1"/>
  <c r="K3244" i="1" s="1"/>
  <c r="F3245" i="1"/>
  <c r="K3245" i="1" s="1"/>
  <c r="F3246" i="1"/>
  <c r="K3246" i="1" s="1"/>
  <c r="F3247" i="1"/>
  <c r="K3247" i="1" s="1"/>
  <c r="F3248" i="1"/>
  <c r="K3248" i="1" s="1"/>
  <c r="F3249" i="1"/>
  <c r="K3249" i="1" s="1"/>
  <c r="F3250" i="1"/>
  <c r="K3250" i="1" s="1"/>
  <c r="F3251" i="1"/>
  <c r="K3251" i="1" s="1"/>
  <c r="F3252" i="1"/>
  <c r="K3252" i="1" s="1"/>
  <c r="F3253" i="1"/>
  <c r="K3253" i="1" s="1"/>
  <c r="F3254" i="1"/>
  <c r="K3254" i="1" s="1"/>
  <c r="F3255" i="1"/>
  <c r="K3255" i="1" s="1"/>
  <c r="F3256" i="1"/>
  <c r="K3256" i="1" s="1"/>
  <c r="F3257" i="1"/>
  <c r="K3257" i="1" s="1"/>
  <c r="F3258" i="1"/>
  <c r="K3258" i="1" s="1"/>
  <c r="F3259" i="1"/>
  <c r="K3259" i="1" s="1"/>
  <c r="F3260" i="1"/>
  <c r="K3260" i="1" s="1"/>
  <c r="F3261" i="1"/>
  <c r="K3261" i="1" s="1"/>
  <c r="F3262" i="1"/>
  <c r="K3262" i="1" s="1"/>
  <c r="F3263" i="1"/>
  <c r="K3263" i="1" s="1"/>
  <c r="F3264" i="1"/>
  <c r="K3264" i="1" s="1"/>
  <c r="F3265" i="1"/>
  <c r="K3265" i="1" s="1"/>
  <c r="F3266" i="1"/>
  <c r="K3266" i="1" s="1"/>
  <c r="F3267" i="1"/>
  <c r="K3267" i="1" s="1"/>
  <c r="F3268" i="1"/>
  <c r="K3268" i="1" s="1"/>
  <c r="F3269" i="1"/>
  <c r="K3269" i="1" s="1"/>
  <c r="F3270" i="1"/>
  <c r="K3270" i="1" s="1"/>
  <c r="F3271" i="1"/>
  <c r="K3271" i="1" s="1"/>
  <c r="F3272" i="1"/>
  <c r="K3272" i="1" s="1"/>
  <c r="F3273" i="1"/>
  <c r="K3273" i="1" s="1"/>
  <c r="F3274" i="1"/>
  <c r="K3274" i="1" s="1"/>
  <c r="F3275" i="1"/>
  <c r="K3275" i="1" s="1"/>
  <c r="F3276" i="1"/>
  <c r="K3276" i="1" s="1"/>
  <c r="F3277" i="1"/>
  <c r="K3277" i="1" s="1"/>
  <c r="F3278" i="1"/>
  <c r="K3278" i="1" s="1"/>
  <c r="F3279" i="1"/>
  <c r="K3279" i="1" s="1"/>
  <c r="F3280" i="1"/>
  <c r="K3280" i="1" s="1"/>
  <c r="F3281" i="1"/>
  <c r="K3281" i="1" s="1"/>
  <c r="F3282" i="1"/>
  <c r="K3282" i="1" s="1"/>
  <c r="F3283" i="1"/>
  <c r="K3283" i="1" s="1"/>
  <c r="F3284" i="1"/>
  <c r="K3284" i="1" s="1"/>
  <c r="F3285" i="1"/>
  <c r="K3285" i="1" s="1"/>
  <c r="F3286" i="1"/>
  <c r="K3286" i="1" s="1"/>
  <c r="F3287" i="1"/>
  <c r="K3287" i="1" s="1"/>
  <c r="F3288" i="1"/>
  <c r="K3288" i="1" s="1"/>
  <c r="F3289" i="1"/>
  <c r="K3289" i="1" s="1"/>
  <c r="F3290" i="1"/>
  <c r="K3290" i="1" s="1"/>
  <c r="F3291" i="1"/>
  <c r="K3291" i="1" s="1"/>
  <c r="F3292" i="1"/>
  <c r="K3292" i="1" s="1"/>
  <c r="F3293" i="1"/>
  <c r="K3293" i="1" s="1"/>
  <c r="F3294" i="1"/>
  <c r="K3294" i="1" s="1"/>
  <c r="F3295" i="1"/>
  <c r="K3295" i="1" s="1"/>
  <c r="F3296" i="1"/>
  <c r="K3296" i="1" s="1"/>
  <c r="F3297" i="1"/>
  <c r="K3297" i="1" s="1"/>
  <c r="F3298" i="1"/>
  <c r="K3298" i="1" s="1"/>
  <c r="F3299" i="1"/>
  <c r="K3299" i="1" s="1"/>
  <c r="F3300" i="1"/>
  <c r="K3300" i="1" s="1"/>
  <c r="F3301" i="1"/>
  <c r="K3301" i="1" s="1"/>
  <c r="F3302" i="1"/>
  <c r="K3302" i="1" s="1"/>
  <c r="F3303" i="1"/>
  <c r="K3303" i="1" s="1"/>
  <c r="F3304" i="1"/>
  <c r="K3304" i="1" s="1"/>
  <c r="F3305" i="1"/>
  <c r="K3305" i="1" s="1"/>
  <c r="F3306" i="1"/>
  <c r="K3306" i="1" s="1"/>
  <c r="F3307" i="1"/>
  <c r="K3307" i="1" s="1"/>
  <c r="F3308" i="1"/>
  <c r="K3308" i="1" s="1"/>
  <c r="F3309" i="1"/>
  <c r="K3309" i="1" s="1"/>
  <c r="F3310" i="1"/>
  <c r="K3310" i="1" s="1"/>
  <c r="F3311" i="1"/>
  <c r="K3311" i="1" s="1"/>
  <c r="F3312" i="1"/>
  <c r="K3312" i="1" s="1"/>
  <c r="F3313" i="1"/>
  <c r="K3313" i="1" s="1"/>
  <c r="F3314" i="1"/>
  <c r="K3314" i="1" s="1"/>
  <c r="F3315" i="1"/>
  <c r="K3315" i="1" s="1"/>
  <c r="F3316" i="1"/>
  <c r="K3316" i="1" s="1"/>
  <c r="F3317" i="1"/>
  <c r="K3317" i="1" s="1"/>
  <c r="F3318" i="1"/>
  <c r="K3318" i="1" s="1"/>
  <c r="F3319" i="1"/>
  <c r="K3319" i="1" s="1"/>
  <c r="F3320" i="1"/>
  <c r="K3320" i="1" s="1"/>
  <c r="F3321" i="1"/>
  <c r="K3321" i="1" s="1"/>
  <c r="F3322" i="1"/>
  <c r="K3322" i="1" s="1"/>
  <c r="F3323" i="1"/>
  <c r="K3323" i="1" s="1"/>
  <c r="F3324" i="1"/>
  <c r="K3324" i="1" s="1"/>
  <c r="F3325" i="1"/>
  <c r="K3325" i="1" s="1"/>
  <c r="F3326" i="1"/>
  <c r="K3326" i="1" s="1"/>
  <c r="F3327" i="1"/>
  <c r="K3327" i="1" s="1"/>
  <c r="F3328" i="1"/>
  <c r="K3328" i="1" s="1"/>
  <c r="F3329" i="1"/>
  <c r="K3329" i="1" s="1"/>
  <c r="F3330" i="1"/>
  <c r="K3330" i="1" s="1"/>
  <c r="F3331" i="1"/>
  <c r="K3331" i="1" s="1"/>
  <c r="F3332" i="1"/>
  <c r="K3332" i="1" s="1"/>
  <c r="F3333" i="1"/>
  <c r="K3333" i="1" s="1"/>
  <c r="F3334" i="1"/>
  <c r="K3334" i="1" s="1"/>
  <c r="F3335" i="1"/>
  <c r="K3335" i="1" s="1"/>
  <c r="F3336" i="1"/>
  <c r="K3336" i="1" s="1"/>
  <c r="F3337" i="1"/>
  <c r="K3337" i="1" s="1"/>
  <c r="F3338" i="1"/>
  <c r="K3338" i="1" s="1"/>
  <c r="F3339" i="1"/>
  <c r="K3339" i="1" s="1"/>
  <c r="F3340" i="1"/>
  <c r="K3340" i="1" s="1"/>
  <c r="F3341" i="1"/>
  <c r="K3341" i="1" s="1"/>
  <c r="F3342" i="1"/>
  <c r="K3342" i="1" s="1"/>
  <c r="F3343" i="1"/>
  <c r="K3343" i="1" s="1"/>
  <c r="F3344" i="1"/>
  <c r="K3344" i="1" s="1"/>
  <c r="F3345" i="1"/>
  <c r="K3345" i="1" s="1"/>
  <c r="F3346" i="1"/>
  <c r="K3346" i="1" s="1"/>
  <c r="F3347" i="1"/>
  <c r="K3347" i="1" s="1"/>
  <c r="F3348" i="1"/>
  <c r="K3348" i="1" s="1"/>
  <c r="F3349" i="1"/>
  <c r="K3349" i="1" s="1"/>
  <c r="F3350" i="1"/>
  <c r="K3350" i="1" s="1"/>
  <c r="F3351" i="1"/>
  <c r="K3351" i="1" s="1"/>
  <c r="F3352" i="1"/>
  <c r="K3352" i="1" s="1"/>
  <c r="F3353" i="1"/>
  <c r="K3353" i="1" s="1"/>
  <c r="F3354" i="1"/>
  <c r="K3354" i="1" s="1"/>
  <c r="F3355" i="1"/>
  <c r="K3355" i="1" s="1"/>
  <c r="F3356" i="1"/>
  <c r="K3356" i="1" s="1"/>
  <c r="F3357" i="1"/>
  <c r="K3357" i="1" s="1"/>
  <c r="F3358" i="1"/>
  <c r="K3358" i="1" s="1"/>
  <c r="F3359" i="1"/>
  <c r="K3359" i="1" s="1"/>
  <c r="F3360" i="1"/>
  <c r="K3360" i="1" s="1"/>
  <c r="F3361" i="1"/>
  <c r="K3361" i="1" s="1"/>
  <c r="F3362" i="1"/>
  <c r="K3362" i="1" s="1"/>
  <c r="F3363" i="1"/>
  <c r="K3363" i="1" s="1"/>
  <c r="F3364" i="1"/>
  <c r="K3364" i="1" s="1"/>
  <c r="F3365" i="1"/>
  <c r="K3365" i="1" s="1"/>
  <c r="F3366" i="1"/>
  <c r="K3366" i="1" s="1"/>
  <c r="F3367" i="1"/>
  <c r="K3367" i="1" s="1"/>
  <c r="F3368" i="1"/>
  <c r="K3368" i="1" s="1"/>
  <c r="F3369" i="1"/>
  <c r="K3369" i="1" s="1"/>
  <c r="F3370" i="1"/>
  <c r="K3370" i="1" s="1"/>
  <c r="F3371" i="1"/>
  <c r="K3371" i="1" s="1"/>
  <c r="F3372" i="1"/>
  <c r="K3372" i="1" s="1"/>
  <c r="F3373" i="1"/>
  <c r="K3373" i="1" s="1"/>
  <c r="F3374" i="1"/>
  <c r="K3374" i="1" s="1"/>
  <c r="F3375" i="1"/>
  <c r="K3375" i="1" s="1"/>
  <c r="F3376" i="1"/>
  <c r="K3376" i="1" s="1"/>
  <c r="F3377" i="1"/>
  <c r="K3377" i="1" s="1"/>
  <c r="F3378" i="1"/>
  <c r="K3378" i="1" s="1"/>
  <c r="F3379" i="1"/>
  <c r="K3379" i="1" s="1"/>
  <c r="F3380" i="1"/>
  <c r="K3380" i="1" s="1"/>
  <c r="F3381" i="1"/>
  <c r="K3381" i="1" s="1"/>
  <c r="F3382" i="1"/>
  <c r="K3382" i="1" s="1"/>
  <c r="F3383" i="1"/>
  <c r="K3383" i="1" s="1"/>
  <c r="F3384" i="1"/>
  <c r="K3384" i="1" s="1"/>
  <c r="F3385" i="1"/>
  <c r="K3385" i="1" s="1"/>
  <c r="F3386" i="1"/>
  <c r="K3386" i="1" s="1"/>
  <c r="F3387" i="1"/>
  <c r="K3387" i="1" s="1"/>
  <c r="F3388" i="1"/>
  <c r="K3388" i="1" s="1"/>
  <c r="F3389" i="1"/>
  <c r="K3389" i="1" s="1"/>
  <c r="F3390" i="1"/>
  <c r="K3390" i="1" s="1"/>
  <c r="F3391" i="1"/>
  <c r="K3391" i="1" s="1"/>
  <c r="F3392" i="1"/>
  <c r="K3392" i="1" s="1"/>
  <c r="F3393" i="1"/>
  <c r="K3393" i="1" s="1"/>
  <c r="F3394" i="1"/>
  <c r="K3394" i="1" s="1"/>
  <c r="F3395" i="1"/>
  <c r="K3395" i="1" s="1"/>
  <c r="F3396" i="1"/>
  <c r="K3396" i="1" s="1"/>
  <c r="F3397" i="1"/>
  <c r="K3397" i="1" s="1"/>
  <c r="F3398" i="1"/>
  <c r="K3398" i="1" s="1"/>
  <c r="F3399" i="1"/>
  <c r="K3399" i="1" s="1"/>
  <c r="F3400" i="1"/>
  <c r="K3400" i="1" s="1"/>
  <c r="F3401" i="1"/>
  <c r="K3401" i="1" s="1"/>
  <c r="F3402" i="1"/>
  <c r="K3402" i="1" s="1"/>
  <c r="F3403" i="1"/>
  <c r="K3403" i="1" s="1"/>
  <c r="F3404" i="1"/>
  <c r="K3404" i="1" s="1"/>
  <c r="F3405" i="1"/>
  <c r="K3405" i="1" s="1"/>
  <c r="F3406" i="1"/>
  <c r="K3406" i="1" s="1"/>
  <c r="F3407" i="1"/>
  <c r="K3407" i="1" s="1"/>
  <c r="F3408" i="1"/>
  <c r="K3408" i="1" s="1"/>
  <c r="F3409" i="1"/>
  <c r="K3409" i="1" s="1"/>
  <c r="F3410" i="1"/>
  <c r="K3410" i="1" s="1"/>
  <c r="F3411" i="1"/>
  <c r="K3411" i="1" s="1"/>
  <c r="F3412" i="1"/>
  <c r="K3412" i="1" s="1"/>
  <c r="F3413" i="1"/>
  <c r="K3413" i="1" s="1"/>
  <c r="F3414" i="1"/>
  <c r="K3414" i="1" s="1"/>
  <c r="F3415" i="1"/>
  <c r="K3415" i="1" s="1"/>
  <c r="F3416" i="1"/>
  <c r="K3416" i="1" s="1"/>
  <c r="F3417" i="1"/>
  <c r="K3417" i="1" s="1"/>
  <c r="F3418" i="1"/>
  <c r="K3418" i="1" s="1"/>
  <c r="F3419" i="1"/>
  <c r="K3419" i="1" s="1"/>
  <c r="F3420" i="1"/>
  <c r="K3420" i="1" s="1"/>
  <c r="F3421" i="1"/>
  <c r="K3421" i="1" s="1"/>
  <c r="F3422" i="1"/>
  <c r="K3422" i="1" s="1"/>
  <c r="F3423" i="1"/>
  <c r="K3423" i="1" s="1"/>
  <c r="F3424" i="1"/>
  <c r="K3424" i="1" s="1"/>
  <c r="F3425" i="1"/>
  <c r="K3425" i="1" s="1"/>
  <c r="F3426" i="1"/>
  <c r="K3426" i="1" s="1"/>
  <c r="F3427" i="1"/>
  <c r="K3427" i="1" s="1"/>
  <c r="F3428" i="1"/>
  <c r="K3428" i="1" s="1"/>
  <c r="F3429" i="1"/>
  <c r="K3429" i="1" s="1"/>
  <c r="F3430" i="1"/>
  <c r="K3430" i="1" s="1"/>
  <c r="F3431" i="1"/>
  <c r="K3431" i="1" s="1"/>
  <c r="F3432" i="1"/>
  <c r="K3432" i="1" s="1"/>
  <c r="F3433" i="1"/>
  <c r="K3433" i="1" s="1"/>
  <c r="F3434" i="1"/>
  <c r="K3434" i="1" s="1"/>
  <c r="F3435" i="1"/>
  <c r="K3435" i="1" s="1"/>
  <c r="F3436" i="1"/>
  <c r="K3436" i="1" s="1"/>
  <c r="F3437" i="1"/>
  <c r="K3437" i="1" s="1"/>
  <c r="F3438" i="1"/>
  <c r="K3438" i="1" s="1"/>
  <c r="F3439" i="1"/>
  <c r="K3439" i="1" s="1"/>
  <c r="F3440" i="1"/>
  <c r="K3440" i="1" s="1"/>
  <c r="F3441" i="1"/>
  <c r="K3441" i="1" s="1"/>
  <c r="F3442" i="1"/>
  <c r="K3442" i="1" s="1"/>
  <c r="F3443" i="1"/>
  <c r="K3443" i="1" s="1"/>
  <c r="F3444" i="1"/>
  <c r="K3444" i="1" s="1"/>
  <c r="F3445" i="1"/>
  <c r="K3445" i="1" s="1"/>
  <c r="F3446" i="1"/>
  <c r="K3446" i="1" s="1"/>
  <c r="F3447" i="1"/>
  <c r="K3447" i="1" s="1"/>
  <c r="F3448" i="1"/>
  <c r="K3448" i="1" s="1"/>
  <c r="F3449" i="1"/>
  <c r="K3449" i="1" s="1"/>
  <c r="F3450" i="1"/>
  <c r="K3450" i="1" s="1"/>
  <c r="F3451" i="1"/>
  <c r="K3451" i="1" s="1"/>
  <c r="F3452" i="1"/>
  <c r="K3452" i="1" s="1"/>
  <c r="F3453" i="1"/>
  <c r="K3453" i="1" s="1"/>
  <c r="F3454" i="1"/>
  <c r="K3454" i="1" s="1"/>
  <c r="F3455" i="1"/>
  <c r="K3455" i="1" s="1"/>
  <c r="F3456" i="1"/>
  <c r="K3456" i="1" s="1"/>
  <c r="F3457" i="1"/>
  <c r="K3457" i="1" s="1"/>
  <c r="F3458" i="1"/>
  <c r="K3458" i="1" s="1"/>
  <c r="F3459" i="1"/>
  <c r="K3459" i="1" s="1"/>
  <c r="F3460" i="1"/>
  <c r="K3460" i="1" s="1"/>
  <c r="F3461" i="1"/>
  <c r="K3461" i="1" s="1"/>
  <c r="F3462" i="1"/>
  <c r="K3462" i="1" s="1"/>
  <c r="F3463" i="1"/>
  <c r="K3463" i="1" s="1"/>
  <c r="F3464" i="1"/>
  <c r="K3464" i="1" s="1"/>
  <c r="F3465" i="1"/>
  <c r="K3465" i="1" s="1"/>
  <c r="F3466" i="1"/>
  <c r="K3466" i="1" s="1"/>
  <c r="F3467" i="1"/>
  <c r="K3467" i="1" s="1"/>
  <c r="F3468" i="1"/>
  <c r="K3468" i="1" s="1"/>
  <c r="F3469" i="1"/>
  <c r="K3469" i="1" s="1"/>
  <c r="F3470" i="1"/>
  <c r="K3470" i="1" s="1"/>
  <c r="F3471" i="1"/>
  <c r="K3471" i="1" s="1"/>
  <c r="F3472" i="1"/>
  <c r="K3472" i="1" s="1"/>
  <c r="F3473" i="1"/>
  <c r="K3473" i="1" s="1"/>
  <c r="F3474" i="1"/>
  <c r="K3474" i="1" s="1"/>
  <c r="F3475" i="1"/>
  <c r="K3475" i="1" s="1"/>
  <c r="F3476" i="1"/>
  <c r="K3476" i="1" s="1"/>
  <c r="F3477" i="1"/>
  <c r="K3477" i="1" s="1"/>
  <c r="F3478" i="1"/>
  <c r="K3478" i="1" s="1"/>
  <c r="F3479" i="1"/>
  <c r="K3479" i="1" s="1"/>
  <c r="F3480" i="1"/>
  <c r="K3480" i="1" s="1"/>
  <c r="F3481" i="1"/>
  <c r="K3481" i="1" s="1"/>
  <c r="F3482" i="1"/>
  <c r="K3482" i="1" s="1"/>
  <c r="F3483" i="1"/>
  <c r="K3483" i="1" s="1"/>
  <c r="F3484" i="1"/>
  <c r="K3484" i="1" s="1"/>
  <c r="F3485" i="1"/>
  <c r="K3485" i="1" s="1"/>
  <c r="F3486" i="1"/>
  <c r="K3486" i="1" s="1"/>
  <c r="F3487" i="1"/>
  <c r="K3487" i="1" s="1"/>
  <c r="F3488" i="1"/>
  <c r="K3488" i="1" s="1"/>
  <c r="F3489" i="1"/>
  <c r="K3489" i="1" s="1"/>
  <c r="F3490" i="1"/>
  <c r="K3490" i="1" s="1"/>
  <c r="F3491" i="1"/>
  <c r="K3491" i="1" s="1"/>
  <c r="F3492" i="1"/>
  <c r="K3492" i="1" s="1"/>
  <c r="F3493" i="1"/>
  <c r="K3493" i="1" s="1"/>
  <c r="F3494" i="1"/>
  <c r="K3494" i="1" s="1"/>
  <c r="F3495" i="1"/>
  <c r="K3495" i="1" s="1"/>
  <c r="F3496" i="1"/>
  <c r="K3496" i="1" s="1"/>
  <c r="F3497" i="1"/>
  <c r="K3497" i="1" s="1"/>
  <c r="F3498" i="1"/>
  <c r="K3498" i="1" s="1"/>
  <c r="F3499" i="1"/>
  <c r="K3499" i="1" s="1"/>
  <c r="F3500" i="1"/>
  <c r="K3500" i="1" s="1"/>
  <c r="F3501" i="1"/>
  <c r="K3501" i="1" s="1"/>
  <c r="F3502" i="1"/>
  <c r="K3502" i="1" s="1"/>
  <c r="F3503" i="1"/>
  <c r="K3503" i="1" s="1"/>
  <c r="F3504" i="1"/>
  <c r="K3504" i="1" s="1"/>
  <c r="F3505" i="1"/>
  <c r="K3505" i="1" s="1"/>
  <c r="F3506" i="1"/>
  <c r="K3506" i="1" s="1"/>
  <c r="F3507" i="1"/>
  <c r="K3507" i="1" s="1"/>
  <c r="F3508" i="1"/>
  <c r="K3508" i="1" s="1"/>
  <c r="F3509" i="1"/>
  <c r="K3509" i="1" s="1"/>
  <c r="F3510" i="1"/>
  <c r="K3510" i="1" s="1"/>
  <c r="F3511" i="1"/>
  <c r="K3511" i="1" s="1"/>
  <c r="F3512" i="1"/>
  <c r="K3512" i="1" s="1"/>
  <c r="F3513" i="1"/>
  <c r="K3513" i="1" s="1"/>
  <c r="F3514" i="1"/>
  <c r="K3514" i="1" s="1"/>
  <c r="F3515" i="1"/>
  <c r="K3515" i="1" s="1"/>
  <c r="F3516" i="1"/>
  <c r="K3516" i="1" s="1"/>
  <c r="F3517" i="1"/>
  <c r="K3517" i="1" s="1"/>
  <c r="F3518" i="1"/>
  <c r="K3518" i="1" s="1"/>
  <c r="F3519" i="1"/>
  <c r="K3519" i="1" s="1"/>
  <c r="F3520" i="1"/>
  <c r="K3520" i="1" s="1"/>
  <c r="F3521" i="1"/>
  <c r="K3521" i="1" s="1"/>
  <c r="F3522" i="1"/>
  <c r="K3522" i="1" s="1"/>
  <c r="F3523" i="1"/>
  <c r="K3523" i="1" s="1"/>
  <c r="F3524" i="1"/>
  <c r="K3524" i="1" s="1"/>
  <c r="F3525" i="1"/>
  <c r="K3525" i="1" s="1"/>
  <c r="F3526" i="1"/>
  <c r="K3526" i="1" s="1"/>
  <c r="F3527" i="1"/>
  <c r="K3527" i="1" s="1"/>
  <c r="F3528" i="1"/>
  <c r="K3528" i="1" s="1"/>
  <c r="F3529" i="1"/>
  <c r="K3529" i="1" s="1"/>
  <c r="F3530" i="1"/>
  <c r="K3530" i="1" s="1"/>
  <c r="F3531" i="1"/>
  <c r="K3531" i="1" s="1"/>
  <c r="F3532" i="1"/>
  <c r="K3532" i="1" s="1"/>
  <c r="F3533" i="1"/>
  <c r="K3533" i="1" s="1"/>
  <c r="F3534" i="1"/>
  <c r="K3534" i="1" s="1"/>
  <c r="F3535" i="1"/>
  <c r="K3535" i="1" s="1"/>
  <c r="F3536" i="1"/>
  <c r="K3536" i="1" s="1"/>
  <c r="F3537" i="1"/>
  <c r="K3537" i="1" s="1"/>
  <c r="F3538" i="1"/>
  <c r="K3538" i="1" s="1"/>
  <c r="F3539" i="1"/>
  <c r="K3539" i="1" s="1"/>
  <c r="F3540" i="1"/>
  <c r="K3540" i="1" s="1"/>
  <c r="F3541" i="1"/>
  <c r="K3541" i="1" s="1"/>
  <c r="F3542" i="1"/>
  <c r="K3542" i="1" s="1"/>
  <c r="F3543" i="1"/>
  <c r="K3543" i="1" s="1"/>
  <c r="F3544" i="1"/>
  <c r="K3544" i="1" s="1"/>
  <c r="F3545" i="1"/>
  <c r="K3545" i="1" s="1"/>
  <c r="F3546" i="1"/>
  <c r="K3546" i="1" s="1"/>
  <c r="F3547" i="1"/>
  <c r="K3547" i="1" s="1"/>
  <c r="F3548" i="1"/>
  <c r="K3548" i="1" s="1"/>
  <c r="F3549" i="1"/>
  <c r="K3549" i="1" s="1"/>
  <c r="F3550" i="1"/>
  <c r="K3550" i="1" s="1"/>
  <c r="F3551" i="1"/>
  <c r="K3551" i="1" s="1"/>
  <c r="F3552" i="1"/>
  <c r="K3552" i="1" s="1"/>
  <c r="F3553" i="1"/>
  <c r="K3553" i="1" s="1"/>
  <c r="F3554" i="1"/>
  <c r="K3554" i="1" s="1"/>
  <c r="F3555" i="1"/>
  <c r="K3555" i="1" s="1"/>
  <c r="F3556" i="1"/>
  <c r="K3556" i="1" s="1"/>
  <c r="F3557" i="1"/>
  <c r="K3557" i="1" s="1"/>
  <c r="F3558" i="1"/>
  <c r="K3558" i="1" s="1"/>
  <c r="F3559" i="1"/>
  <c r="K3559" i="1" s="1"/>
  <c r="F3560" i="1"/>
  <c r="K3560" i="1" s="1"/>
  <c r="F3561" i="1"/>
  <c r="K3561" i="1" s="1"/>
  <c r="F3562" i="1"/>
  <c r="K3562" i="1" s="1"/>
  <c r="F3563" i="1"/>
  <c r="K3563" i="1" s="1"/>
  <c r="F3564" i="1"/>
  <c r="K3564" i="1" s="1"/>
  <c r="F3565" i="1"/>
  <c r="K3565" i="1" s="1"/>
  <c r="F3566" i="1"/>
  <c r="K3566" i="1" s="1"/>
  <c r="F3567" i="1"/>
  <c r="K3567" i="1" s="1"/>
  <c r="F3568" i="1"/>
  <c r="K3568" i="1" s="1"/>
  <c r="F3569" i="1"/>
  <c r="K3569" i="1" s="1"/>
  <c r="F3570" i="1"/>
  <c r="K3570" i="1" s="1"/>
  <c r="F3571" i="1"/>
  <c r="K3571" i="1" s="1"/>
  <c r="F3572" i="1"/>
  <c r="K3572" i="1" s="1"/>
  <c r="F3573" i="1"/>
  <c r="K3573" i="1" s="1"/>
  <c r="F3574" i="1"/>
  <c r="K3574" i="1" s="1"/>
  <c r="F3575" i="1"/>
  <c r="K3575" i="1" s="1"/>
  <c r="F3576" i="1"/>
  <c r="K3576" i="1" s="1"/>
  <c r="F3577" i="1"/>
  <c r="K3577" i="1" s="1"/>
  <c r="F3578" i="1"/>
  <c r="K3578" i="1" s="1"/>
  <c r="F3579" i="1"/>
  <c r="K3579" i="1" s="1"/>
  <c r="F3580" i="1"/>
  <c r="K3580" i="1" s="1"/>
  <c r="F3581" i="1"/>
  <c r="K3581" i="1" s="1"/>
  <c r="F3582" i="1"/>
  <c r="K3582" i="1" s="1"/>
  <c r="F3583" i="1"/>
  <c r="K3583" i="1" s="1"/>
  <c r="F3584" i="1"/>
  <c r="K3584" i="1" s="1"/>
  <c r="F3585" i="1"/>
  <c r="K3585" i="1" s="1"/>
  <c r="F3586" i="1"/>
  <c r="K3586" i="1" s="1"/>
  <c r="F3587" i="1"/>
  <c r="K3587" i="1" s="1"/>
  <c r="F3588" i="1"/>
  <c r="K3588" i="1" s="1"/>
  <c r="F3589" i="1"/>
  <c r="K3589" i="1" s="1"/>
  <c r="F3590" i="1"/>
  <c r="K3590" i="1" s="1"/>
  <c r="F3591" i="1"/>
  <c r="K3591" i="1" s="1"/>
  <c r="F3592" i="1"/>
  <c r="K3592" i="1" s="1"/>
  <c r="F3593" i="1"/>
  <c r="K3593" i="1" s="1"/>
  <c r="F3594" i="1"/>
  <c r="K3594" i="1" s="1"/>
  <c r="F3595" i="1"/>
  <c r="K3595" i="1" s="1"/>
  <c r="F3596" i="1"/>
  <c r="K3596" i="1" s="1"/>
  <c r="F3597" i="1"/>
  <c r="K3597" i="1" s="1"/>
  <c r="F3598" i="1"/>
  <c r="K3598" i="1" s="1"/>
  <c r="F3599" i="1"/>
  <c r="K3599" i="1" s="1"/>
  <c r="F3600" i="1"/>
  <c r="K3600" i="1" s="1"/>
  <c r="F3601" i="1"/>
  <c r="K3601" i="1" s="1"/>
  <c r="F3602" i="1"/>
  <c r="K3602" i="1" s="1"/>
  <c r="F3603" i="1"/>
  <c r="K3603" i="1" s="1"/>
  <c r="F3604" i="1"/>
  <c r="K3604" i="1" s="1"/>
  <c r="F3605" i="1"/>
  <c r="K3605" i="1" s="1"/>
  <c r="F3606" i="1"/>
  <c r="K3606" i="1" s="1"/>
  <c r="F3607" i="1"/>
  <c r="K3607" i="1" s="1"/>
  <c r="F3608" i="1"/>
  <c r="K3608" i="1" s="1"/>
  <c r="F3609" i="1"/>
  <c r="K3609" i="1" s="1"/>
  <c r="F3610" i="1"/>
  <c r="K3610" i="1" s="1"/>
  <c r="F3611" i="1"/>
  <c r="K3611" i="1" s="1"/>
  <c r="F3612" i="1"/>
  <c r="K3612" i="1" s="1"/>
  <c r="F3613" i="1"/>
  <c r="K3613" i="1" s="1"/>
  <c r="F3614" i="1"/>
  <c r="K3614" i="1" s="1"/>
  <c r="F3615" i="1"/>
  <c r="K3615" i="1" s="1"/>
  <c r="F3616" i="1"/>
  <c r="K3616" i="1" s="1"/>
  <c r="F3617" i="1"/>
  <c r="K3617" i="1" s="1"/>
  <c r="F3618" i="1"/>
  <c r="K3618" i="1" s="1"/>
  <c r="F3619" i="1"/>
  <c r="K3619" i="1" s="1"/>
  <c r="F3620" i="1"/>
  <c r="K3620" i="1" s="1"/>
  <c r="F3621" i="1"/>
  <c r="K3621" i="1" s="1"/>
  <c r="F3622" i="1"/>
  <c r="K3622" i="1" s="1"/>
  <c r="F3623" i="1"/>
  <c r="K3623" i="1" s="1"/>
  <c r="F3624" i="1"/>
  <c r="K3624" i="1" s="1"/>
  <c r="F3625" i="1"/>
  <c r="K3625" i="1" s="1"/>
  <c r="F3626" i="1"/>
  <c r="K3626" i="1" s="1"/>
  <c r="F3627" i="1"/>
  <c r="K3627" i="1" s="1"/>
  <c r="F3628" i="1"/>
  <c r="K3628" i="1" s="1"/>
  <c r="F3629" i="1"/>
  <c r="K3629" i="1" s="1"/>
  <c r="F3630" i="1"/>
  <c r="K3630" i="1" s="1"/>
  <c r="F3631" i="1"/>
  <c r="K3631" i="1" s="1"/>
  <c r="F3632" i="1"/>
  <c r="K3632" i="1" s="1"/>
  <c r="F3633" i="1"/>
  <c r="K3633" i="1" s="1"/>
  <c r="F3634" i="1"/>
  <c r="K3634" i="1" s="1"/>
  <c r="F3635" i="1"/>
  <c r="K3635" i="1" s="1"/>
  <c r="F3636" i="1"/>
  <c r="K3636" i="1" s="1"/>
  <c r="F3637" i="1"/>
  <c r="K3637" i="1" s="1"/>
  <c r="F3638" i="1"/>
  <c r="K3638" i="1" s="1"/>
  <c r="F3639" i="1"/>
  <c r="K3639" i="1" s="1"/>
  <c r="F3640" i="1"/>
  <c r="K3640" i="1" s="1"/>
  <c r="F3641" i="1"/>
  <c r="K3641" i="1" s="1"/>
  <c r="F3642" i="1"/>
  <c r="K3642" i="1" s="1"/>
  <c r="F3643" i="1"/>
  <c r="K3643" i="1" s="1"/>
  <c r="F3644" i="1"/>
  <c r="K3644" i="1" s="1"/>
  <c r="F3645" i="1"/>
  <c r="K3645" i="1" s="1"/>
  <c r="F3646" i="1"/>
  <c r="K3646" i="1" s="1"/>
  <c r="F3647" i="1"/>
  <c r="K3647" i="1" s="1"/>
  <c r="F3648" i="1"/>
  <c r="K3648" i="1" s="1"/>
  <c r="F3649" i="1"/>
  <c r="K3649" i="1" s="1"/>
  <c r="F3650" i="1"/>
  <c r="K3650" i="1" s="1"/>
  <c r="F3651" i="1"/>
  <c r="K3651" i="1" s="1"/>
  <c r="F3652" i="1"/>
  <c r="K3652" i="1" s="1"/>
  <c r="F3653" i="1"/>
  <c r="K3653" i="1" s="1"/>
  <c r="F3654" i="1"/>
  <c r="K3654" i="1" s="1"/>
  <c r="F3655" i="1"/>
  <c r="K3655" i="1" s="1"/>
  <c r="F3656" i="1"/>
  <c r="K3656" i="1" s="1"/>
  <c r="F3657" i="1"/>
  <c r="K3657" i="1" s="1"/>
  <c r="F3658" i="1"/>
  <c r="K3658" i="1" s="1"/>
  <c r="F3659" i="1"/>
  <c r="K3659" i="1" s="1"/>
  <c r="F3660" i="1"/>
  <c r="K3660" i="1" s="1"/>
  <c r="F3661" i="1"/>
  <c r="K3661" i="1" s="1"/>
  <c r="F3662" i="1"/>
  <c r="K3662" i="1" s="1"/>
  <c r="F3663" i="1"/>
  <c r="K3663" i="1" s="1"/>
  <c r="F3664" i="1"/>
  <c r="K3664" i="1" s="1"/>
  <c r="F3665" i="1"/>
  <c r="K3665" i="1" s="1"/>
  <c r="F3666" i="1"/>
  <c r="K3666" i="1" s="1"/>
  <c r="F3667" i="1"/>
  <c r="K3667" i="1" s="1"/>
  <c r="F3668" i="1"/>
  <c r="K3668" i="1" s="1"/>
  <c r="F3669" i="1"/>
  <c r="K3669" i="1" s="1"/>
  <c r="F3670" i="1"/>
  <c r="K3670" i="1" s="1"/>
  <c r="F3671" i="1"/>
  <c r="K3671" i="1" s="1"/>
  <c r="F3672" i="1"/>
  <c r="K3672" i="1" s="1"/>
  <c r="F3673" i="1"/>
  <c r="K3673" i="1" s="1"/>
  <c r="F3674" i="1"/>
  <c r="K3674" i="1" s="1"/>
  <c r="F3675" i="1"/>
  <c r="K3675" i="1" s="1"/>
  <c r="F3676" i="1"/>
  <c r="K3676" i="1" s="1"/>
  <c r="F3677" i="1"/>
  <c r="K3677" i="1" s="1"/>
  <c r="F3678" i="1"/>
  <c r="K3678" i="1" s="1"/>
  <c r="F3679" i="1"/>
  <c r="K3679" i="1" s="1"/>
  <c r="F3680" i="1"/>
  <c r="K3680" i="1" s="1"/>
  <c r="F3681" i="1"/>
  <c r="K3681" i="1" s="1"/>
  <c r="F3682" i="1"/>
  <c r="K3682" i="1" s="1"/>
  <c r="F3683" i="1"/>
  <c r="K3683" i="1" s="1"/>
  <c r="F3684" i="1"/>
  <c r="K3684" i="1" s="1"/>
  <c r="F3685" i="1"/>
  <c r="K3685" i="1" s="1"/>
  <c r="F3686" i="1"/>
  <c r="K3686" i="1" s="1"/>
  <c r="F3687" i="1"/>
  <c r="K3687" i="1" s="1"/>
  <c r="F3688" i="1"/>
  <c r="K3688" i="1" s="1"/>
  <c r="F3689" i="1"/>
  <c r="K3689" i="1" s="1"/>
  <c r="F3690" i="1"/>
  <c r="K3690" i="1" s="1"/>
  <c r="F3691" i="1"/>
  <c r="K3691" i="1" s="1"/>
  <c r="F3692" i="1"/>
  <c r="K3692" i="1" s="1"/>
  <c r="F3693" i="1"/>
  <c r="K3693" i="1" s="1"/>
  <c r="F3694" i="1"/>
  <c r="K3694" i="1" s="1"/>
  <c r="F3695" i="1"/>
  <c r="K3695" i="1" s="1"/>
  <c r="F3696" i="1"/>
  <c r="K3696" i="1" s="1"/>
  <c r="F3697" i="1"/>
  <c r="K3697" i="1" s="1"/>
  <c r="F3698" i="1"/>
  <c r="K3698" i="1" s="1"/>
  <c r="F3699" i="1"/>
  <c r="K3699" i="1" s="1"/>
  <c r="F3700" i="1"/>
  <c r="K3700" i="1" s="1"/>
  <c r="F3701" i="1"/>
  <c r="K3701" i="1" s="1"/>
  <c r="F3702" i="1"/>
  <c r="K3702" i="1" s="1"/>
  <c r="F3703" i="1"/>
  <c r="K3703" i="1" s="1"/>
  <c r="F3704" i="1"/>
  <c r="K3704" i="1" s="1"/>
  <c r="F3705" i="1"/>
  <c r="K3705" i="1" s="1"/>
  <c r="F3706" i="1"/>
  <c r="K3706" i="1" s="1"/>
  <c r="F3707" i="1"/>
  <c r="K3707" i="1" s="1"/>
  <c r="F3708" i="1"/>
  <c r="K3708" i="1" s="1"/>
  <c r="F3709" i="1"/>
  <c r="K3709" i="1" s="1"/>
  <c r="F3710" i="1"/>
  <c r="K3710" i="1" s="1"/>
  <c r="F3711" i="1"/>
  <c r="K3711" i="1" s="1"/>
  <c r="F3712" i="1"/>
  <c r="K3712" i="1" s="1"/>
  <c r="F3713" i="1"/>
  <c r="K3713" i="1" s="1"/>
  <c r="F3714" i="1"/>
  <c r="K3714" i="1" s="1"/>
  <c r="F3715" i="1"/>
  <c r="K3715" i="1" s="1"/>
  <c r="F3716" i="1"/>
  <c r="K3716" i="1" s="1"/>
  <c r="F3717" i="1"/>
  <c r="K3717" i="1" s="1"/>
  <c r="F3718" i="1"/>
  <c r="K3718" i="1" s="1"/>
  <c r="F3719" i="1"/>
  <c r="K3719" i="1" s="1"/>
  <c r="F3720" i="1"/>
  <c r="K3720" i="1" s="1"/>
  <c r="F3721" i="1"/>
  <c r="K3721" i="1" s="1"/>
  <c r="F3722" i="1"/>
  <c r="K3722" i="1" s="1"/>
  <c r="F3723" i="1"/>
  <c r="K3723" i="1" s="1"/>
  <c r="F3724" i="1"/>
  <c r="K3724" i="1" s="1"/>
  <c r="F3725" i="1"/>
  <c r="K3725" i="1" s="1"/>
  <c r="F3726" i="1"/>
  <c r="K3726" i="1" s="1"/>
  <c r="F3727" i="1"/>
  <c r="K3727" i="1" s="1"/>
  <c r="F3728" i="1"/>
  <c r="K3728" i="1" s="1"/>
  <c r="F3729" i="1"/>
  <c r="K3729" i="1" s="1"/>
  <c r="F3730" i="1"/>
  <c r="K3730" i="1" s="1"/>
  <c r="F3731" i="1"/>
  <c r="K3731" i="1" s="1"/>
  <c r="F3732" i="1"/>
  <c r="K3732" i="1" s="1"/>
  <c r="F3733" i="1"/>
  <c r="K3733" i="1" s="1"/>
  <c r="F3734" i="1"/>
  <c r="K3734" i="1" s="1"/>
  <c r="F3735" i="1"/>
  <c r="K3735" i="1" s="1"/>
  <c r="F3736" i="1"/>
  <c r="K3736" i="1" s="1"/>
  <c r="F3737" i="1"/>
  <c r="K3737" i="1" s="1"/>
  <c r="F3738" i="1"/>
  <c r="K3738" i="1" s="1"/>
  <c r="F3739" i="1"/>
  <c r="K3739" i="1" s="1"/>
  <c r="F3740" i="1"/>
  <c r="K3740" i="1" s="1"/>
  <c r="F3741" i="1"/>
  <c r="K3741" i="1" s="1"/>
  <c r="F3742" i="1"/>
  <c r="K3742" i="1" s="1"/>
  <c r="F3743" i="1"/>
  <c r="K3743" i="1" s="1"/>
  <c r="F3744" i="1"/>
  <c r="K3744" i="1" s="1"/>
  <c r="F3745" i="1"/>
  <c r="K3745" i="1" s="1"/>
  <c r="F3746" i="1"/>
  <c r="K3746" i="1" s="1"/>
  <c r="F3747" i="1"/>
  <c r="K3747" i="1" s="1"/>
  <c r="F3748" i="1"/>
  <c r="K3748" i="1" s="1"/>
  <c r="F3749" i="1"/>
  <c r="K3749" i="1" s="1"/>
  <c r="F3750" i="1"/>
  <c r="K3750" i="1" s="1"/>
  <c r="F3751" i="1"/>
  <c r="K3751" i="1" s="1"/>
  <c r="F3752" i="1"/>
  <c r="K3752" i="1" s="1"/>
  <c r="F3753" i="1"/>
  <c r="K3753" i="1" s="1"/>
  <c r="F3754" i="1"/>
  <c r="K3754" i="1" s="1"/>
  <c r="F3755" i="1"/>
  <c r="K3755" i="1" s="1"/>
  <c r="F3756" i="1"/>
  <c r="K3756" i="1" s="1"/>
  <c r="F3757" i="1"/>
  <c r="K3757" i="1" s="1"/>
  <c r="F3758" i="1"/>
  <c r="K3758" i="1" s="1"/>
  <c r="F3759" i="1"/>
  <c r="K3759" i="1" s="1"/>
  <c r="F3760" i="1"/>
  <c r="K3760" i="1" s="1"/>
  <c r="F3761" i="1"/>
  <c r="K3761" i="1" s="1"/>
  <c r="F3762" i="1"/>
  <c r="K3762" i="1" s="1"/>
  <c r="F3763" i="1"/>
  <c r="K3763" i="1" s="1"/>
  <c r="F3764" i="1"/>
  <c r="K3764" i="1" s="1"/>
  <c r="F3765" i="1"/>
  <c r="K3765" i="1" s="1"/>
  <c r="F3766" i="1"/>
  <c r="K3766" i="1" s="1"/>
  <c r="F3767" i="1"/>
  <c r="K3767" i="1" s="1"/>
  <c r="F3768" i="1"/>
  <c r="K3768" i="1" s="1"/>
  <c r="F3769" i="1"/>
  <c r="K3769" i="1" s="1"/>
  <c r="F3770" i="1"/>
  <c r="K3770" i="1" s="1"/>
  <c r="F3771" i="1"/>
  <c r="K3771" i="1" s="1"/>
  <c r="F3772" i="1"/>
  <c r="K3772" i="1" s="1"/>
  <c r="F3773" i="1"/>
  <c r="K3773" i="1" s="1"/>
  <c r="F3774" i="1"/>
  <c r="K3774" i="1" s="1"/>
  <c r="F3775" i="1"/>
  <c r="K3775" i="1" s="1"/>
  <c r="F3776" i="1"/>
  <c r="K3776" i="1" s="1"/>
  <c r="F3777" i="1"/>
  <c r="K3777" i="1" s="1"/>
  <c r="F3778" i="1"/>
  <c r="K3778" i="1" s="1"/>
  <c r="F3779" i="1"/>
  <c r="K3779" i="1" s="1"/>
  <c r="F3780" i="1"/>
  <c r="K3780" i="1" s="1"/>
  <c r="F3781" i="1"/>
  <c r="K3781" i="1" s="1"/>
  <c r="F3782" i="1"/>
  <c r="K3782" i="1" s="1"/>
  <c r="F3783" i="1"/>
  <c r="K3783" i="1" s="1"/>
  <c r="F3784" i="1"/>
  <c r="K3784" i="1" s="1"/>
  <c r="F3785" i="1"/>
  <c r="K3785" i="1" s="1"/>
  <c r="F3786" i="1"/>
  <c r="K3786" i="1" s="1"/>
  <c r="F3787" i="1"/>
  <c r="K3787" i="1" s="1"/>
  <c r="F3788" i="1"/>
  <c r="K3788" i="1" s="1"/>
  <c r="F3789" i="1"/>
  <c r="K3789" i="1" s="1"/>
  <c r="F3790" i="1"/>
  <c r="K3790" i="1" s="1"/>
  <c r="F3791" i="1"/>
  <c r="K3791" i="1" s="1"/>
  <c r="F3792" i="1"/>
  <c r="K3792" i="1" s="1"/>
  <c r="F3793" i="1"/>
  <c r="K3793" i="1" s="1"/>
  <c r="F3794" i="1"/>
  <c r="K3794" i="1" s="1"/>
  <c r="F3795" i="1"/>
  <c r="K3795" i="1" s="1"/>
  <c r="F3796" i="1"/>
  <c r="K3796" i="1" s="1"/>
  <c r="F3797" i="1"/>
  <c r="K3797" i="1" s="1"/>
  <c r="F3798" i="1"/>
  <c r="K3798" i="1" s="1"/>
  <c r="F3799" i="1"/>
  <c r="K3799" i="1" s="1"/>
  <c r="F3800" i="1"/>
  <c r="K3800" i="1" s="1"/>
  <c r="F3801" i="1"/>
  <c r="K3801" i="1" s="1"/>
  <c r="F3802" i="1"/>
  <c r="K3802" i="1" s="1"/>
  <c r="F3803" i="1"/>
  <c r="K3803" i="1" s="1"/>
  <c r="F3804" i="1"/>
  <c r="K3804" i="1" s="1"/>
  <c r="F3805" i="1"/>
  <c r="K3805" i="1" s="1"/>
  <c r="F3806" i="1"/>
  <c r="K3806" i="1" s="1"/>
  <c r="F3807" i="1"/>
  <c r="K3807" i="1" s="1"/>
  <c r="F3808" i="1"/>
  <c r="K3808" i="1" s="1"/>
  <c r="F3809" i="1"/>
  <c r="K3809" i="1" s="1"/>
  <c r="F3810" i="1"/>
  <c r="K3810" i="1" s="1"/>
  <c r="F3811" i="1"/>
  <c r="K3811" i="1" s="1"/>
  <c r="F3812" i="1"/>
  <c r="K3812" i="1" s="1"/>
  <c r="F3813" i="1"/>
  <c r="K3813" i="1" s="1"/>
  <c r="F3814" i="1"/>
  <c r="K3814" i="1" s="1"/>
  <c r="F3815" i="1"/>
  <c r="K3815" i="1" s="1"/>
  <c r="F3816" i="1"/>
  <c r="K3816" i="1" s="1"/>
  <c r="F3817" i="1"/>
  <c r="K3817" i="1" s="1"/>
  <c r="F3818" i="1"/>
  <c r="K3818" i="1" s="1"/>
  <c r="F3819" i="1"/>
  <c r="K3819" i="1" s="1"/>
  <c r="F3820" i="1"/>
  <c r="K3820" i="1" s="1"/>
  <c r="F3821" i="1"/>
  <c r="K3821" i="1" s="1"/>
  <c r="F3822" i="1"/>
  <c r="K3822" i="1" s="1"/>
  <c r="F3823" i="1"/>
  <c r="K3823" i="1" s="1"/>
  <c r="F3824" i="1"/>
  <c r="K3824" i="1" s="1"/>
  <c r="F3825" i="1"/>
  <c r="K3825" i="1" s="1"/>
  <c r="F3826" i="1"/>
  <c r="K3826" i="1" s="1"/>
  <c r="F3827" i="1"/>
  <c r="K3827" i="1" s="1"/>
  <c r="F3828" i="1"/>
  <c r="K3828" i="1" s="1"/>
  <c r="F3829" i="1"/>
  <c r="K3829" i="1" s="1"/>
  <c r="F3830" i="1"/>
  <c r="K3830" i="1" s="1"/>
  <c r="F3831" i="1"/>
  <c r="K3831" i="1" s="1"/>
  <c r="F3832" i="1"/>
  <c r="K3832" i="1" s="1"/>
  <c r="F3833" i="1"/>
  <c r="K3833" i="1" s="1"/>
  <c r="F3834" i="1"/>
  <c r="K3834" i="1" s="1"/>
  <c r="F3835" i="1"/>
  <c r="K3835" i="1" s="1"/>
  <c r="F3836" i="1"/>
  <c r="K3836" i="1" s="1"/>
  <c r="F3837" i="1"/>
  <c r="K3837" i="1" s="1"/>
  <c r="F3838" i="1"/>
  <c r="K3838" i="1" s="1"/>
  <c r="F3839" i="1"/>
  <c r="K3839" i="1" s="1"/>
  <c r="F3840" i="1"/>
  <c r="K3840" i="1" s="1"/>
  <c r="F3841" i="1"/>
  <c r="K3841" i="1" s="1"/>
  <c r="F3842" i="1"/>
  <c r="K3842" i="1" s="1"/>
  <c r="F3843" i="1"/>
  <c r="K3843" i="1" s="1"/>
  <c r="F3844" i="1"/>
  <c r="K3844" i="1" s="1"/>
  <c r="F3845" i="1"/>
  <c r="K3845" i="1" s="1"/>
  <c r="F3846" i="1"/>
  <c r="K3846" i="1" s="1"/>
  <c r="F3847" i="1"/>
  <c r="K3847" i="1" s="1"/>
  <c r="F3848" i="1"/>
  <c r="K3848" i="1" s="1"/>
  <c r="F3849" i="1"/>
  <c r="K3849" i="1" s="1"/>
  <c r="F3850" i="1"/>
  <c r="K3850" i="1" s="1"/>
  <c r="F3851" i="1"/>
  <c r="K3851" i="1" s="1"/>
  <c r="F3852" i="1"/>
  <c r="K3852" i="1" s="1"/>
  <c r="F3853" i="1"/>
  <c r="K3853" i="1" s="1"/>
  <c r="F3854" i="1"/>
  <c r="K3854" i="1" s="1"/>
  <c r="F3855" i="1"/>
  <c r="K3855" i="1" s="1"/>
  <c r="F3856" i="1"/>
  <c r="K3856" i="1" s="1"/>
  <c r="F3857" i="1"/>
  <c r="K3857" i="1" s="1"/>
  <c r="F3858" i="1"/>
  <c r="K3858" i="1" s="1"/>
  <c r="F3859" i="1"/>
  <c r="K3859" i="1" s="1"/>
  <c r="F3860" i="1"/>
  <c r="K3860" i="1" s="1"/>
  <c r="F3861" i="1"/>
  <c r="K3861" i="1" s="1"/>
  <c r="F3862" i="1"/>
  <c r="K3862" i="1" s="1"/>
  <c r="F3863" i="1"/>
  <c r="K3863" i="1" s="1"/>
  <c r="F3864" i="1"/>
  <c r="K3864" i="1" s="1"/>
  <c r="F3865" i="1"/>
  <c r="K3865" i="1" s="1"/>
  <c r="F3866" i="1"/>
  <c r="K3866" i="1" s="1"/>
  <c r="F3867" i="1"/>
  <c r="K3867" i="1" s="1"/>
  <c r="F3868" i="1"/>
  <c r="K3868" i="1" s="1"/>
  <c r="F3869" i="1"/>
  <c r="K3869" i="1" s="1"/>
  <c r="F3870" i="1"/>
  <c r="K3870" i="1" s="1"/>
  <c r="F3871" i="1"/>
  <c r="K3871" i="1" s="1"/>
  <c r="F3872" i="1"/>
  <c r="K3872" i="1" s="1"/>
  <c r="F3873" i="1"/>
  <c r="K3873" i="1" s="1"/>
  <c r="F3874" i="1"/>
  <c r="K3874" i="1" s="1"/>
  <c r="F3875" i="1"/>
  <c r="K3875" i="1" s="1"/>
  <c r="F3876" i="1"/>
  <c r="K3876" i="1" s="1"/>
  <c r="F3877" i="1"/>
  <c r="K3877" i="1" s="1"/>
  <c r="F3878" i="1"/>
  <c r="K3878" i="1" s="1"/>
  <c r="F3879" i="1"/>
  <c r="K3879" i="1" s="1"/>
  <c r="F3880" i="1"/>
  <c r="K3880" i="1" s="1"/>
  <c r="F3881" i="1"/>
  <c r="K3881" i="1" s="1"/>
  <c r="F3882" i="1"/>
  <c r="K3882" i="1" s="1"/>
  <c r="F3883" i="1"/>
  <c r="K3883" i="1" s="1"/>
  <c r="F3884" i="1"/>
  <c r="K3884" i="1" s="1"/>
  <c r="F3885" i="1"/>
  <c r="K3885" i="1" s="1"/>
  <c r="F3886" i="1"/>
  <c r="K3886" i="1" s="1"/>
  <c r="F3887" i="1"/>
  <c r="K3887" i="1" s="1"/>
  <c r="F3888" i="1"/>
  <c r="K3888" i="1" s="1"/>
  <c r="F3889" i="1"/>
  <c r="K3889" i="1" s="1"/>
  <c r="F3890" i="1"/>
  <c r="K3890" i="1" s="1"/>
  <c r="F3891" i="1"/>
  <c r="K3891" i="1" s="1"/>
  <c r="F3892" i="1"/>
  <c r="K3892" i="1" s="1"/>
  <c r="F3893" i="1"/>
  <c r="K3893" i="1" s="1"/>
  <c r="F3894" i="1"/>
  <c r="K3894" i="1" s="1"/>
  <c r="F3895" i="1"/>
  <c r="K3895" i="1" s="1"/>
  <c r="F3896" i="1"/>
  <c r="K3896" i="1" s="1"/>
  <c r="F3897" i="1"/>
  <c r="K3897" i="1" s="1"/>
  <c r="F3898" i="1"/>
  <c r="K3898" i="1" s="1"/>
  <c r="F3899" i="1"/>
  <c r="K3899" i="1" s="1"/>
  <c r="F3900" i="1"/>
  <c r="K3900" i="1" s="1"/>
  <c r="F3901" i="1"/>
  <c r="K3901" i="1" s="1"/>
  <c r="F3902" i="1"/>
  <c r="K3902" i="1" s="1"/>
  <c r="F3903" i="1"/>
  <c r="K3903" i="1" s="1"/>
  <c r="F3904" i="1"/>
  <c r="K3904" i="1" s="1"/>
  <c r="F3905" i="1"/>
  <c r="K3905" i="1" s="1"/>
  <c r="F3906" i="1"/>
  <c r="K3906" i="1" s="1"/>
  <c r="F3907" i="1"/>
  <c r="K3907" i="1" s="1"/>
  <c r="F3908" i="1"/>
  <c r="K3908" i="1" s="1"/>
  <c r="F3909" i="1"/>
  <c r="K3909" i="1" s="1"/>
  <c r="F3910" i="1"/>
  <c r="K3910" i="1" s="1"/>
  <c r="F3911" i="1"/>
  <c r="K3911" i="1" s="1"/>
  <c r="F3912" i="1"/>
  <c r="K3912" i="1" s="1"/>
  <c r="F3913" i="1"/>
  <c r="K3913" i="1" s="1"/>
  <c r="F3914" i="1"/>
  <c r="K3914" i="1" s="1"/>
  <c r="F3915" i="1"/>
  <c r="K3915" i="1" s="1"/>
  <c r="F3916" i="1"/>
  <c r="K3916" i="1" s="1"/>
  <c r="F3917" i="1"/>
  <c r="K3917" i="1" s="1"/>
  <c r="F3918" i="1"/>
  <c r="K3918" i="1" s="1"/>
  <c r="F3919" i="1"/>
  <c r="K3919" i="1" s="1"/>
  <c r="F3920" i="1"/>
  <c r="K3920" i="1" s="1"/>
  <c r="F3921" i="1"/>
  <c r="K3921" i="1" s="1"/>
  <c r="F3922" i="1"/>
  <c r="K3922" i="1" s="1"/>
  <c r="F3923" i="1"/>
  <c r="K3923" i="1" s="1"/>
  <c r="F3924" i="1"/>
  <c r="K3924" i="1" s="1"/>
  <c r="F3925" i="1"/>
  <c r="K3925" i="1" s="1"/>
  <c r="F3926" i="1"/>
  <c r="K3926" i="1" s="1"/>
  <c r="F3927" i="1"/>
  <c r="K3927" i="1" s="1"/>
  <c r="F3928" i="1"/>
  <c r="K3928" i="1" s="1"/>
  <c r="F3929" i="1"/>
  <c r="K3929" i="1" s="1"/>
  <c r="F3930" i="1"/>
  <c r="K3930" i="1" s="1"/>
  <c r="F3931" i="1"/>
  <c r="K3931" i="1" s="1"/>
  <c r="F3932" i="1"/>
  <c r="K3932" i="1" s="1"/>
  <c r="F3933" i="1"/>
  <c r="K3933" i="1" s="1"/>
  <c r="F3934" i="1"/>
  <c r="K3934" i="1" s="1"/>
  <c r="F3935" i="1"/>
  <c r="K3935" i="1" s="1"/>
  <c r="F3936" i="1"/>
  <c r="K3936" i="1" s="1"/>
  <c r="F3937" i="1"/>
  <c r="K3937" i="1" s="1"/>
  <c r="F3938" i="1"/>
  <c r="K3938" i="1" s="1"/>
  <c r="F3939" i="1"/>
  <c r="K3939" i="1" s="1"/>
  <c r="F3940" i="1"/>
  <c r="K3940" i="1" s="1"/>
  <c r="F3941" i="1"/>
  <c r="K3941" i="1" s="1"/>
  <c r="F3942" i="1"/>
  <c r="K3942" i="1" s="1"/>
  <c r="F3943" i="1"/>
  <c r="K3943" i="1" s="1"/>
  <c r="F3944" i="1"/>
  <c r="K3944" i="1" s="1"/>
  <c r="F3945" i="1"/>
  <c r="K3945" i="1" s="1"/>
  <c r="F3946" i="1"/>
  <c r="K3946" i="1" s="1"/>
  <c r="F3947" i="1"/>
  <c r="K3947" i="1" s="1"/>
  <c r="F3948" i="1"/>
  <c r="K3948" i="1" s="1"/>
  <c r="F3949" i="1"/>
  <c r="K3949" i="1" s="1"/>
  <c r="F3950" i="1"/>
  <c r="K3950" i="1" s="1"/>
  <c r="F3951" i="1"/>
  <c r="K3951" i="1" s="1"/>
  <c r="F3952" i="1"/>
  <c r="K3952" i="1" s="1"/>
  <c r="F3953" i="1"/>
  <c r="K3953" i="1" s="1"/>
  <c r="F3954" i="1"/>
  <c r="K3954" i="1" s="1"/>
  <c r="F3955" i="1"/>
  <c r="K3955" i="1" s="1"/>
  <c r="F3956" i="1"/>
  <c r="K3956" i="1" s="1"/>
  <c r="F3957" i="1"/>
  <c r="K3957" i="1" s="1"/>
  <c r="F3958" i="1"/>
  <c r="K3958" i="1" s="1"/>
  <c r="F3959" i="1"/>
  <c r="K3959" i="1" s="1"/>
  <c r="F3960" i="1"/>
  <c r="K3960" i="1" s="1"/>
  <c r="F3961" i="1"/>
  <c r="K3961" i="1" s="1"/>
  <c r="F3962" i="1"/>
  <c r="K3962" i="1" s="1"/>
  <c r="F3963" i="1"/>
  <c r="K3963" i="1" s="1"/>
  <c r="F3964" i="1"/>
  <c r="K3964" i="1" s="1"/>
  <c r="F3965" i="1"/>
  <c r="K3965" i="1" s="1"/>
  <c r="F3966" i="1"/>
  <c r="K3966" i="1" s="1"/>
  <c r="F3967" i="1"/>
  <c r="K3967" i="1" s="1"/>
  <c r="F3968" i="1"/>
  <c r="K3968" i="1" s="1"/>
  <c r="F3969" i="1"/>
  <c r="K3969" i="1" s="1"/>
  <c r="F3970" i="1"/>
  <c r="K3970" i="1" s="1"/>
  <c r="F3971" i="1"/>
  <c r="K3971" i="1" s="1"/>
  <c r="F3972" i="1"/>
  <c r="K3972" i="1" s="1"/>
  <c r="F3973" i="1"/>
  <c r="K3973" i="1" s="1"/>
  <c r="F3974" i="1"/>
  <c r="K3974" i="1" s="1"/>
  <c r="F3975" i="1"/>
  <c r="K3975" i="1" s="1"/>
  <c r="F3976" i="1"/>
  <c r="K3976" i="1" s="1"/>
  <c r="F3977" i="1"/>
  <c r="K3977" i="1" s="1"/>
  <c r="F3978" i="1"/>
  <c r="K3978" i="1" s="1"/>
  <c r="F3979" i="1"/>
  <c r="K3979" i="1" s="1"/>
  <c r="F3980" i="1"/>
  <c r="K3980" i="1" s="1"/>
  <c r="F3981" i="1"/>
  <c r="K3981" i="1" s="1"/>
  <c r="F3982" i="1"/>
  <c r="K3982" i="1" s="1"/>
  <c r="F3983" i="1"/>
  <c r="K3983" i="1" s="1"/>
  <c r="F3984" i="1"/>
  <c r="K3984" i="1" s="1"/>
  <c r="F3985" i="1"/>
  <c r="K3985" i="1" s="1"/>
  <c r="F3986" i="1"/>
  <c r="K3986" i="1" s="1"/>
  <c r="F3987" i="1"/>
  <c r="K3987" i="1" s="1"/>
  <c r="F3988" i="1"/>
  <c r="K3988" i="1" s="1"/>
  <c r="F3989" i="1"/>
  <c r="K3989" i="1" s="1"/>
  <c r="F3990" i="1"/>
  <c r="K3990" i="1" s="1"/>
  <c r="F3991" i="1"/>
  <c r="K3991" i="1" s="1"/>
  <c r="F3992" i="1"/>
  <c r="K3992" i="1" s="1"/>
  <c r="F3993" i="1"/>
  <c r="K3993" i="1" s="1"/>
  <c r="F3994" i="1"/>
  <c r="K3994" i="1" s="1"/>
  <c r="F3995" i="1"/>
  <c r="K3995" i="1" s="1"/>
  <c r="F3996" i="1"/>
  <c r="K3996" i="1" s="1"/>
  <c r="F3997" i="1"/>
  <c r="K3997" i="1" s="1"/>
  <c r="F3998" i="1"/>
  <c r="K3998" i="1" s="1"/>
  <c r="F3999" i="1"/>
  <c r="K3999" i="1" s="1"/>
  <c r="F4000" i="1"/>
  <c r="K4000" i="1" s="1"/>
  <c r="F4001" i="1"/>
  <c r="K4001" i="1" s="1"/>
  <c r="F4002" i="1"/>
  <c r="K4002" i="1" s="1"/>
  <c r="F4003" i="1"/>
  <c r="K4003" i="1" s="1"/>
  <c r="F4004" i="1"/>
  <c r="K4004" i="1" s="1"/>
  <c r="F4005" i="1"/>
  <c r="K4005" i="1" s="1"/>
  <c r="F4006" i="1"/>
  <c r="K4006" i="1" s="1"/>
  <c r="F4007" i="1"/>
  <c r="K4007" i="1" s="1"/>
  <c r="F4008" i="1"/>
  <c r="K4008" i="1" s="1"/>
  <c r="F4009" i="1"/>
  <c r="K4009" i="1" s="1"/>
  <c r="F4010" i="1"/>
  <c r="K4010" i="1" s="1"/>
  <c r="F4011" i="1"/>
  <c r="K4011" i="1" s="1"/>
  <c r="F4012" i="1"/>
  <c r="K4012" i="1" s="1"/>
  <c r="F4013" i="1"/>
  <c r="K4013" i="1" s="1"/>
  <c r="F4014" i="1"/>
  <c r="K4014" i="1" s="1"/>
  <c r="F4015" i="1"/>
  <c r="K4015" i="1" s="1"/>
  <c r="F4016" i="1"/>
  <c r="K4016" i="1" s="1"/>
  <c r="F4017" i="1"/>
  <c r="K4017" i="1" s="1"/>
  <c r="F4018" i="1"/>
  <c r="K4018" i="1" s="1"/>
  <c r="F4019" i="1"/>
  <c r="K4019" i="1" s="1"/>
  <c r="F4020" i="1"/>
  <c r="K4020" i="1" s="1"/>
  <c r="F4021" i="1"/>
  <c r="K4021" i="1" s="1"/>
  <c r="F4022" i="1"/>
  <c r="K4022" i="1" s="1"/>
  <c r="F4023" i="1"/>
  <c r="K4023" i="1" s="1"/>
  <c r="F4024" i="1"/>
  <c r="K4024" i="1" s="1"/>
  <c r="F4025" i="1"/>
  <c r="K4025" i="1" s="1"/>
  <c r="F4026" i="1"/>
  <c r="K4026" i="1" s="1"/>
  <c r="F4027" i="1"/>
  <c r="K4027" i="1" s="1"/>
  <c r="F4028" i="1"/>
  <c r="K4028" i="1" s="1"/>
  <c r="F4029" i="1"/>
  <c r="K4029" i="1" s="1"/>
  <c r="F4030" i="1"/>
  <c r="K4030" i="1" s="1"/>
  <c r="F4031" i="1"/>
  <c r="K4031" i="1" s="1"/>
  <c r="F4032" i="1"/>
  <c r="K4032" i="1" s="1"/>
  <c r="F4033" i="1"/>
  <c r="K4033" i="1" s="1"/>
  <c r="F4034" i="1"/>
  <c r="K4034" i="1" s="1"/>
  <c r="F4035" i="1"/>
  <c r="K4035" i="1" s="1"/>
  <c r="F4036" i="1"/>
  <c r="K4036" i="1" s="1"/>
  <c r="F4037" i="1"/>
  <c r="K4037" i="1" s="1"/>
  <c r="F4038" i="1"/>
  <c r="K4038" i="1" s="1"/>
  <c r="F4039" i="1"/>
  <c r="K4039" i="1" s="1"/>
  <c r="F4040" i="1"/>
  <c r="K4040" i="1" s="1"/>
  <c r="F4041" i="1"/>
  <c r="K4041" i="1" s="1"/>
  <c r="F4042" i="1"/>
  <c r="K4042" i="1" s="1"/>
  <c r="F4043" i="1"/>
  <c r="K4043" i="1" s="1"/>
  <c r="F4044" i="1"/>
  <c r="K4044" i="1" s="1"/>
  <c r="F4045" i="1"/>
  <c r="K4045" i="1" s="1"/>
  <c r="F4046" i="1"/>
  <c r="K4046" i="1" s="1"/>
  <c r="F4047" i="1"/>
  <c r="K4047" i="1" s="1"/>
  <c r="F4048" i="1"/>
  <c r="K4048" i="1" s="1"/>
  <c r="F4049" i="1"/>
  <c r="K4049" i="1" s="1"/>
  <c r="F4050" i="1"/>
  <c r="K4050" i="1" s="1"/>
  <c r="F4051" i="1"/>
  <c r="K4051" i="1" s="1"/>
  <c r="F4052" i="1"/>
  <c r="K4052" i="1" s="1"/>
  <c r="F4053" i="1"/>
  <c r="K4053" i="1" s="1"/>
  <c r="F4054" i="1"/>
  <c r="K4054" i="1" s="1"/>
  <c r="F4055" i="1"/>
  <c r="K4055" i="1" s="1"/>
  <c r="F4056" i="1"/>
  <c r="K4056" i="1" s="1"/>
  <c r="F4057" i="1"/>
  <c r="K4057" i="1" s="1"/>
  <c r="F4058" i="1"/>
  <c r="K4058" i="1" s="1"/>
  <c r="F4059" i="1"/>
  <c r="K4059" i="1" s="1"/>
  <c r="F4060" i="1"/>
  <c r="K4060" i="1" s="1"/>
  <c r="F4061" i="1"/>
  <c r="K4061" i="1" s="1"/>
  <c r="F4062" i="1"/>
  <c r="K4062" i="1" s="1"/>
  <c r="F4063" i="1"/>
  <c r="K4063" i="1" s="1"/>
  <c r="F4064" i="1"/>
  <c r="K4064" i="1" s="1"/>
  <c r="F4065" i="1"/>
  <c r="K4065" i="1" s="1"/>
  <c r="F4066" i="1"/>
  <c r="K4066" i="1" s="1"/>
  <c r="F4067" i="1"/>
  <c r="K4067" i="1" s="1"/>
  <c r="F4068" i="1"/>
  <c r="K4068" i="1" s="1"/>
  <c r="F4069" i="1"/>
  <c r="K4069" i="1" s="1"/>
  <c r="F4070" i="1"/>
  <c r="K4070" i="1" s="1"/>
  <c r="F4071" i="1"/>
  <c r="K4071" i="1" s="1"/>
  <c r="F4072" i="1"/>
  <c r="K4072" i="1" s="1"/>
  <c r="F4073" i="1"/>
  <c r="K4073" i="1" s="1"/>
  <c r="F4074" i="1"/>
  <c r="K4074" i="1" s="1"/>
  <c r="F4075" i="1"/>
  <c r="K4075" i="1" s="1"/>
  <c r="F4076" i="1"/>
  <c r="K4076" i="1" s="1"/>
  <c r="F4077" i="1"/>
  <c r="K4077" i="1" s="1"/>
  <c r="F4078" i="1"/>
  <c r="K4078" i="1" s="1"/>
  <c r="F4079" i="1"/>
  <c r="K4079" i="1" s="1"/>
  <c r="F4080" i="1"/>
  <c r="K4080" i="1" s="1"/>
  <c r="F4081" i="1"/>
  <c r="K4081" i="1" s="1"/>
  <c r="F4082" i="1"/>
  <c r="K4082" i="1" s="1"/>
  <c r="F4083" i="1"/>
  <c r="K4083" i="1" s="1"/>
  <c r="F4084" i="1"/>
  <c r="K4084" i="1" s="1"/>
  <c r="F4085" i="1"/>
  <c r="K4085" i="1" s="1"/>
  <c r="F4086" i="1"/>
  <c r="K4086" i="1" s="1"/>
  <c r="F4087" i="1"/>
  <c r="K4087" i="1" s="1"/>
  <c r="F4088" i="1"/>
  <c r="K4088" i="1" s="1"/>
  <c r="F4089" i="1"/>
  <c r="K4089" i="1" s="1"/>
  <c r="F4090" i="1"/>
  <c r="K4090" i="1" s="1"/>
  <c r="F4091" i="1"/>
  <c r="K4091" i="1" s="1"/>
  <c r="F4092" i="1"/>
  <c r="K4092" i="1" s="1"/>
  <c r="F4093" i="1"/>
  <c r="K4093" i="1" s="1"/>
  <c r="F4094" i="1"/>
  <c r="K4094" i="1" s="1"/>
  <c r="F4095" i="1"/>
  <c r="K4095" i="1" s="1"/>
  <c r="F4096" i="1"/>
  <c r="K4096" i="1" s="1"/>
  <c r="F4097" i="1"/>
  <c r="K4097" i="1" s="1"/>
  <c r="F4098" i="1"/>
  <c r="K4098" i="1" s="1"/>
  <c r="F4099" i="1"/>
  <c r="K4099" i="1" s="1"/>
  <c r="F4100" i="1"/>
  <c r="K4100" i="1" s="1"/>
  <c r="F4101" i="1"/>
  <c r="K4101" i="1" s="1"/>
  <c r="F4102" i="1"/>
  <c r="K4102" i="1" s="1"/>
  <c r="F4103" i="1"/>
  <c r="K4103" i="1" s="1"/>
  <c r="F4104" i="1"/>
  <c r="K4104" i="1" s="1"/>
  <c r="F4105" i="1"/>
  <c r="K4105" i="1" s="1"/>
  <c r="F4106" i="1"/>
  <c r="K4106" i="1" s="1"/>
  <c r="F4107" i="1"/>
  <c r="K4107" i="1" s="1"/>
  <c r="F4108" i="1"/>
  <c r="K4108" i="1" s="1"/>
  <c r="F4109" i="1"/>
  <c r="K4109" i="1" s="1"/>
  <c r="F4110" i="1"/>
  <c r="K4110" i="1" s="1"/>
  <c r="F4111" i="1"/>
  <c r="K4111" i="1" s="1"/>
  <c r="F4112" i="1"/>
  <c r="K4112" i="1" s="1"/>
  <c r="F4113" i="1"/>
  <c r="K4113" i="1" s="1"/>
  <c r="F4114" i="1"/>
  <c r="K4114" i="1" s="1"/>
  <c r="F4115" i="1"/>
  <c r="K4115" i="1" s="1"/>
  <c r="F4116" i="1"/>
  <c r="K4116" i="1" s="1"/>
  <c r="F4117" i="1"/>
  <c r="K4117" i="1" s="1"/>
  <c r="F4118" i="1"/>
  <c r="K4118" i="1" s="1"/>
  <c r="F4119" i="1"/>
  <c r="K4119" i="1" s="1"/>
  <c r="F4120" i="1"/>
  <c r="K4120" i="1" s="1"/>
  <c r="F4121" i="1"/>
  <c r="K4121" i="1" s="1"/>
  <c r="F4122" i="1"/>
  <c r="K4122" i="1" s="1"/>
  <c r="F4123" i="1"/>
  <c r="K4123" i="1" s="1"/>
  <c r="F4124" i="1"/>
  <c r="K4124" i="1" s="1"/>
  <c r="F4125" i="1"/>
  <c r="K4125" i="1" s="1"/>
  <c r="F4126" i="1"/>
  <c r="K4126" i="1" s="1"/>
  <c r="F4127" i="1"/>
  <c r="K4127" i="1" s="1"/>
  <c r="F4128" i="1"/>
  <c r="K4128" i="1" s="1"/>
  <c r="F4129" i="1"/>
  <c r="K4129" i="1" s="1"/>
  <c r="F4130" i="1"/>
  <c r="K4130" i="1" s="1"/>
  <c r="F4131" i="1"/>
  <c r="K4131" i="1" s="1"/>
  <c r="F4132" i="1"/>
  <c r="K4132" i="1" s="1"/>
  <c r="F4133" i="1"/>
  <c r="K4133" i="1" s="1"/>
  <c r="F4134" i="1"/>
  <c r="K4134" i="1" s="1"/>
  <c r="F4135" i="1"/>
  <c r="K4135" i="1" s="1"/>
  <c r="F4136" i="1"/>
  <c r="K4136" i="1" s="1"/>
  <c r="F4137" i="1"/>
  <c r="K4137" i="1" s="1"/>
  <c r="F4138" i="1"/>
  <c r="K4138" i="1" s="1"/>
  <c r="F4139" i="1"/>
  <c r="K4139" i="1" s="1"/>
  <c r="F4140" i="1"/>
  <c r="K4140" i="1" s="1"/>
  <c r="F4141" i="1"/>
  <c r="K4141" i="1" s="1"/>
  <c r="F4142" i="1"/>
  <c r="K4142" i="1" s="1"/>
  <c r="F4143" i="1"/>
  <c r="K4143" i="1" s="1"/>
  <c r="F4144" i="1"/>
  <c r="K4144" i="1" s="1"/>
  <c r="F4145" i="1"/>
  <c r="K4145" i="1" s="1"/>
  <c r="F4146" i="1"/>
  <c r="K4146" i="1" s="1"/>
  <c r="F4147" i="1"/>
  <c r="K4147" i="1" s="1"/>
  <c r="F4148" i="1"/>
  <c r="K4148" i="1" s="1"/>
  <c r="F4149" i="1"/>
  <c r="K4149" i="1" s="1"/>
  <c r="F4150" i="1"/>
  <c r="K4150" i="1" s="1"/>
  <c r="F4151" i="1"/>
  <c r="K4151" i="1" s="1"/>
  <c r="F4152" i="1"/>
  <c r="K4152" i="1" s="1"/>
  <c r="F4153" i="1"/>
  <c r="K4153" i="1" s="1"/>
  <c r="F4154" i="1"/>
  <c r="K4154" i="1" s="1"/>
  <c r="F4155" i="1"/>
  <c r="K4155" i="1" s="1"/>
  <c r="F4156" i="1"/>
  <c r="K4156" i="1" s="1"/>
  <c r="F4157" i="1"/>
  <c r="K4157" i="1" s="1"/>
  <c r="F4158" i="1"/>
  <c r="K4158" i="1" s="1"/>
  <c r="F4159" i="1"/>
  <c r="K4159" i="1" s="1"/>
  <c r="F4160" i="1"/>
  <c r="K4160" i="1" s="1"/>
  <c r="F4161" i="1"/>
  <c r="K4161" i="1" s="1"/>
  <c r="F4162" i="1"/>
  <c r="K4162" i="1" s="1"/>
  <c r="F4163" i="1"/>
  <c r="K4163" i="1" s="1"/>
  <c r="F4164" i="1"/>
  <c r="K4164" i="1" s="1"/>
  <c r="F4165" i="1"/>
  <c r="K4165" i="1" s="1"/>
  <c r="F4166" i="1"/>
  <c r="K4166" i="1" s="1"/>
  <c r="F4167" i="1"/>
  <c r="K4167" i="1" s="1"/>
  <c r="F4168" i="1"/>
  <c r="K4168" i="1" s="1"/>
  <c r="F4169" i="1"/>
  <c r="K4169" i="1" s="1"/>
  <c r="F4170" i="1"/>
  <c r="K4170" i="1" s="1"/>
  <c r="F4171" i="1"/>
  <c r="K4171" i="1" s="1"/>
  <c r="F4172" i="1"/>
  <c r="K4172" i="1" s="1"/>
  <c r="F4173" i="1"/>
  <c r="K4173" i="1" s="1"/>
  <c r="F4174" i="1"/>
  <c r="K4174" i="1" s="1"/>
  <c r="F4175" i="1"/>
  <c r="K4175" i="1" s="1"/>
  <c r="F4176" i="1"/>
  <c r="K4176" i="1" s="1"/>
  <c r="F4177" i="1"/>
  <c r="K4177" i="1" s="1"/>
  <c r="F4178" i="1"/>
  <c r="K4178" i="1" s="1"/>
  <c r="F4179" i="1"/>
  <c r="K4179" i="1" s="1"/>
  <c r="F4180" i="1"/>
  <c r="K4180" i="1" s="1"/>
  <c r="F4181" i="1"/>
  <c r="K4181" i="1" s="1"/>
  <c r="F4182" i="1"/>
  <c r="K4182" i="1" s="1"/>
  <c r="F4183" i="1"/>
  <c r="K4183" i="1" s="1"/>
  <c r="F4184" i="1"/>
  <c r="K4184" i="1" s="1"/>
  <c r="F4185" i="1"/>
  <c r="K4185" i="1" s="1"/>
  <c r="F4186" i="1"/>
  <c r="K4186" i="1" s="1"/>
  <c r="F4187" i="1"/>
  <c r="K4187" i="1" s="1"/>
  <c r="F4188" i="1"/>
  <c r="K4188" i="1" s="1"/>
  <c r="F4189" i="1"/>
  <c r="K4189" i="1" s="1"/>
  <c r="F4190" i="1"/>
  <c r="K4190" i="1" s="1"/>
  <c r="F4191" i="1"/>
  <c r="K4191" i="1" s="1"/>
  <c r="F4192" i="1"/>
  <c r="K4192" i="1" s="1"/>
  <c r="F4193" i="1"/>
  <c r="K4193" i="1" s="1"/>
  <c r="F4194" i="1"/>
  <c r="K4194" i="1" s="1"/>
  <c r="F4195" i="1"/>
  <c r="K4195" i="1" s="1"/>
  <c r="F4196" i="1"/>
  <c r="K4196" i="1" s="1"/>
  <c r="F4197" i="1"/>
  <c r="K4197" i="1" s="1"/>
  <c r="F4198" i="1"/>
  <c r="K4198" i="1" s="1"/>
  <c r="F4199" i="1"/>
  <c r="K4199" i="1" s="1"/>
  <c r="F4200" i="1"/>
  <c r="K4200" i="1" s="1"/>
  <c r="F4201" i="1"/>
  <c r="K4201" i="1" s="1"/>
  <c r="F4202" i="1"/>
  <c r="K4202" i="1" s="1"/>
  <c r="F4203" i="1"/>
  <c r="K4203" i="1" s="1"/>
  <c r="F4204" i="1"/>
  <c r="K4204" i="1" s="1"/>
  <c r="F4205" i="1"/>
  <c r="K4205" i="1" s="1"/>
  <c r="F4206" i="1"/>
  <c r="K4206" i="1" s="1"/>
  <c r="F4207" i="1"/>
  <c r="K4207" i="1" s="1"/>
  <c r="F4208" i="1"/>
  <c r="K4208" i="1" s="1"/>
  <c r="F4209" i="1"/>
  <c r="K4209" i="1" s="1"/>
  <c r="F4210" i="1"/>
  <c r="K4210" i="1" s="1"/>
  <c r="F4211" i="1"/>
  <c r="K4211" i="1" s="1"/>
  <c r="F4212" i="1"/>
  <c r="K4212" i="1" s="1"/>
  <c r="F4213" i="1"/>
  <c r="K4213" i="1" s="1"/>
  <c r="F4214" i="1"/>
  <c r="K4214" i="1" s="1"/>
  <c r="F4215" i="1"/>
  <c r="K4215" i="1" s="1"/>
  <c r="F4216" i="1"/>
  <c r="K4216" i="1" s="1"/>
  <c r="F4217" i="1"/>
  <c r="K4217" i="1" s="1"/>
  <c r="F4218" i="1"/>
  <c r="K4218" i="1" s="1"/>
  <c r="F4219" i="1"/>
  <c r="K4219" i="1" s="1"/>
  <c r="F4220" i="1"/>
  <c r="K4220" i="1" s="1"/>
  <c r="F4221" i="1"/>
  <c r="K4221" i="1" s="1"/>
  <c r="F4222" i="1"/>
  <c r="K4222" i="1" s="1"/>
  <c r="F4223" i="1"/>
  <c r="K4223" i="1" s="1"/>
  <c r="F4224" i="1"/>
  <c r="K4224" i="1" s="1"/>
  <c r="F4225" i="1"/>
  <c r="K4225" i="1" s="1"/>
  <c r="F4226" i="1"/>
  <c r="K4226" i="1" s="1"/>
  <c r="F4227" i="1"/>
  <c r="K4227" i="1" s="1"/>
  <c r="F4228" i="1"/>
  <c r="K4228" i="1" s="1"/>
  <c r="F4229" i="1"/>
  <c r="K4229" i="1" s="1"/>
  <c r="F4230" i="1"/>
  <c r="K4230" i="1" s="1"/>
  <c r="F4231" i="1"/>
  <c r="K4231" i="1" s="1"/>
  <c r="F4232" i="1"/>
  <c r="K4232" i="1" s="1"/>
  <c r="F4233" i="1"/>
  <c r="K4233" i="1" s="1"/>
  <c r="F4234" i="1"/>
  <c r="K4234" i="1" s="1"/>
  <c r="F4235" i="1"/>
  <c r="K4235" i="1" s="1"/>
  <c r="F4236" i="1"/>
  <c r="K4236" i="1" s="1"/>
  <c r="F4237" i="1"/>
  <c r="K4237" i="1" s="1"/>
  <c r="F4238" i="1"/>
  <c r="K4238" i="1" s="1"/>
  <c r="F4239" i="1"/>
  <c r="K4239" i="1" s="1"/>
  <c r="F4240" i="1"/>
  <c r="K4240" i="1" s="1"/>
  <c r="F4241" i="1"/>
  <c r="K4241" i="1" s="1"/>
  <c r="F4242" i="1"/>
  <c r="K4242" i="1" s="1"/>
  <c r="F4243" i="1"/>
  <c r="K4243" i="1" s="1"/>
  <c r="F4244" i="1"/>
  <c r="K4244" i="1" s="1"/>
  <c r="F4245" i="1"/>
  <c r="K4245" i="1" s="1"/>
  <c r="F4246" i="1"/>
  <c r="K4246" i="1" s="1"/>
  <c r="F4247" i="1"/>
  <c r="K4247" i="1" s="1"/>
  <c r="F4248" i="1"/>
  <c r="K4248" i="1" s="1"/>
  <c r="F4249" i="1"/>
  <c r="K4249" i="1" s="1"/>
  <c r="F4250" i="1"/>
  <c r="K4250" i="1" s="1"/>
  <c r="F4251" i="1"/>
  <c r="K4251" i="1" s="1"/>
  <c r="F4252" i="1"/>
  <c r="K4252" i="1" s="1"/>
  <c r="F4253" i="1"/>
  <c r="K4253" i="1" s="1"/>
  <c r="F4254" i="1"/>
  <c r="K4254" i="1" s="1"/>
  <c r="F4255" i="1"/>
  <c r="K4255" i="1" s="1"/>
  <c r="F4256" i="1"/>
  <c r="K4256" i="1" s="1"/>
  <c r="F4257" i="1"/>
  <c r="K4257" i="1" s="1"/>
  <c r="F4258" i="1"/>
  <c r="K4258" i="1" s="1"/>
  <c r="F4259" i="1"/>
  <c r="K4259" i="1" s="1"/>
  <c r="F4260" i="1"/>
  <c r="K4260" i="1" s="1"/>
  <c r="F4261" i="1"/>
  <c r="K4261" i="1" s="1"/>
  <c r="F4262" i="1"/>
  <c r="K4262" i="1" s="1"/>
  <c r="F4263" i="1"/>
  <c r="K4263" i="1" s="1"/>
  <c r="F4264" i="1"/>
  <c r="K4264" i="1" s="1"/>
  <c r="F4265" i="1"/>
  <c r="K4265" i="1" s="1"/>
  <c r="F4266" i="1"/>
  <c r="K4266" i="1" s="1"/>
  <c r="F4267" i="1"/>
  <c r="K4267" i="1" s="1"/>
  <c r="F4268" i="1"/>
  <c r="K4268" i="1" s="1"/>
  <c r="F4269" i="1"/>
  <c r="K4269" i="1" s="1"/>
  <c r="F4270" i="1"/>
  <c r="K4270" i="1" s="1"/>
  <c r="F4271" i="1"/>
  <c r="K4271" i="1" s="1"/>
  <c r="F4272" i="1"/>
  <c r="K4272" i="1" s="1"/>
  <c r="F4273" i="1"/>
  <c r="K4273" i="1" s="1"/>
  <c r="F4274" i="1"/>
  <c r="K4274" i="1" s="1"/>
  <c r="F4275" i="1"/>
  <c r="K4275" i="1" s="1"/>
  <c r="F4276" i="1"/>
  <c r="K4276" i="1" s="1"/>
  <c r="F4277" i="1"/>
  <c r="K4277" i="1" s="1"/>
  <c r="F4278" i="1"/>
  <c r="K4278" i="1" s="1"/>
  <c r="F4279" i="1"/>
  <c r="K4279" i="1" s="1"/>
  <c r="F4280" i="1"/>
  <c r="K4280" i="1" s="1"/>
  <c r="F4281" i="1"/>
  <c r="K4281" i="1" s="1"/>
  <c r="F4282" i="1"/>
  <c r="K4282" i="1" s="1"/>
  <c r="F4283" i="1"/>
  <c r="K4283" i="1" s="1"/>
  <c r="F4284" i="1"/>
  <c r="K4284" i="1" s="1"/>
  <c r="F4285" i="1"/>
  <c r="K4285" i="1" s="1"/>
  <c r="F4286" i="1"/>
  <c r="K4286" i="1" s="1"/>
  <c r="F4287" i="1"/>
  <c r="K4287" i="1" s="1"/>
  <c r="F4288" i="1"/>
  <c r="K4288" i="1" s="1"/>
  <c r="F4289" i="1"/>
  <c r="K4289" i="1" s="1"/>
  <c r="F4290" i="1"/>
  <c r="K4290" i="1" s="1"/>
  <c r="F4291" i="1"/>
  <c r="K4291" i="1" s="1"/>
  <c r="F4292" i="1"/>
  <c r="K4292" i="1" s="1"/>
  <c r="F4293" i="1"/>
  <c r="K4293" i="1" s="1"/>
  <c r="F4294" i="1"/>
  <c r="K4294" i="1" s="1"/>
  <c r="F4295" i="1"/>
  <c r="K4295" i="1" s="1"/>
  <c r="F4296" i="1"/>
  <c r="K4296" i="1" s="1"/>
  <c r="F4297" i="1"/>
  <c r="K4297" i="1" s="1"/>
  <c r="F4298" i="1"/>
  <c r="K4298" i="1" s="1"/>
  <c r="F4299" i="1"/>
  <c r="K4299" i="1" s="1"/>
  <c r="F4300" i="1"/>
  <c r="K4300" i="1" s="1"/>
  <c r="F4301" i="1"/>
  <c r="K4301" i="1" s="1"/>
  <c r="F4302" i="1"/>
  <c r="K4302" i="1" s="1"/>
  <c r="F4303" i="1"/>
  <c r="K4303" i="1" s="1"/>
  <c r="F4304" i="1"/>
  <c r="K4304" i="1" s="1"/>
  <c r="F4305" i="1"/>
  <c r="K4305" i="1" s="1"/>
  <c r="F4306" i="1"/>
  <c r="K4306" i="1" s="1"/>
  <c r="F4307" i="1"/>
  <c r="K4307" i="1" s="1"/>
  <c r="F4308" i="1"/>
  <c r="K4308" i="1" s="1"/>
  <c r="F4309" i="1"/>
  <c r="K4309" i="1" s="1"/>
  <c r="F4310" i="1"/>
  <c r="K4310" i="1" s="1"/>
  <c r="F4311" i="1"/>
  <c r="K4311" i="1" s="1"/>
  <c r="F4312" i="1"/>
  <c r="K4312" i="1" s="1"/>
  <c r="F4313" i="1"/>
  <c r="K4313" i="1" s="1"/>
  <c r="F4314" i="1"/>
  <c r="K4314" i="1" s="1"/>
  <c r="F4315" i="1"/>
  <c r="K4315" i="1" s="1"/>
  <c r="F4316" i="1"/>
  <c r="K4316" i="1" s="1"/>
  <c r="F4317" i="1"/>
  <c r="K4317" i="1" s="1"/>
  <c r="F4318" i="1"/>
  <c r="K4318" i="1" s="1"/>
  <c r="F4319" i="1"/>
  <c r="K4319" i="1" s="1"/>
  <c r="F4320" i="1"/>
  <c r="K4320" i="1" s="1"/>
  <c r="F4321" i="1"/>
  <c r="K4321" i="1" s="1"/>
  <c r="F4322" i="1"/>
  <c r="K4322" i="1" s="1"/>
  <c r="F4323" i="1"/>
  <c r="K4323" i="1" s="1"/>
  <c r="F4324" i="1"/>
  <c r="K4324" i="1" s="1"/>
  <c r="F4325" i="1"/>
  <c r="K4325" i="1" s="1"/>
  <c r="F4326" i="1"/>
  <c r="K4326" i="1" s="1"/>
  <c r="F4327" i="1"/>
  <c r="K4327" i="1" s="1"/>
  <c r="F4328" i="1"/>
  <c r="K4328" i="1" s="1"/>
  <c r="F4329" i="1"/>
  <c r="K4329" i="1" s="1"/>
  <c r="F4330" i="1"/>
  <c r="K4330" i="1" s="1"/>
  <c r="F4331" i="1"/>
  <c r="K4331" i="1" s="1"/>
  <c r="F4332" i="1"/>
  <c r="K4332" i="1" s="1"/>
  <c r="F4333" i="1"/>
  <c r="K4333" i="1" s="1"/>
  <c r="F4334" i="1"/>
  <c r="K4334" i="1" s="1"/>
  <c r="F4335" i="1"/>
  <c r="K4335" i="1" s="1"/>
  <c r="F4336" i="1"/>
  <c r="K4336" i="1" s="1"/>
  <c r="F4337" i="1"/>
  <c r="K4337" i="1" s="1"/>
  <c r="F4338" i="1"/>
  <c r="K4338" i="1" s="1"/>
  <c r="F4339" i="1"/>
  <c r="K4339" i="1" s="1"/>
  <c r="F4340" i="1"/>
  <c r="K4340" i="1" s="1"/>
  <c r="F4341" i="1"/>
  <c r="K4341" i="1" s="1"/>
  <c r="F4342" i="1"/>
  <c r="K4342" i="1" s="1"/>
  <c r="F4343" i="1"/>
  <c r="K4343" i="1" s="1"/>
  <c r="F4344" i="1"/>
  <c r="K4344" i="1" s="1"/>
  <c r="F4345" i="1"/>
  <c r="K4345" i="1" s="1"/>
  <c r="F4346" i="1"/>
  <c r="K4346" i="1" s="1"/>
  <c r="F4347" i="1"/>
  <c r="K4347" i="1" s="1"/>
  <c r="F4348" i="1"/>
  <c r="K4348" i="1" s="1"/>
  <c r="F4349" i="1"/>
  <c r="K4349" i="1" s="1"/>
  <c r="F4350" i="1"/>
  <c r="K4350" i="1" s="1"/>
  <c r="F4351" i="1"/>
  <c r="K4351" i="1" s="1"/>
  <c r="F4352" i="1"/>
  <c r="K4352" i="1" s="1"/>
  <c r="F4353" i="1"/>
  <c r="K4353" i="1" s="1"/>
  <c r="F4354" i="1"/>
  <c r="K4354" i="1" s="1"/>
  <c r="F4355" i="1"/>
  <c r="K4355" i="1" s="1"/>
  <c r="F4356" i="1"/>
  <c r="K4356" i="1" s="1"/>
  <c r="F4357" i="1"/>
  <c r="K4357" i="1" s="1"/>
  <c r="F4358" i="1"/>
  <c r="K4358" i="1" s="1"/>
  <c r="F4359" i="1"/>
  <c r="K4359" i="1" s="1"/>
  <c r="F4360" i="1"/>
  <c r="K4360" i="1" s="1"/>
  <c r="F4361" i="1"/>
  <c r="K4361" i="1" s="1"/>
  <c r="F4362" i="1"/>
  <c r="K4362" i="1" s="1"/>
  <c r="F4363" i="1"/>
  <c r="K4363" i="1" s="1"/>
  <c r="F4364" i="1"/>
  <c r="K4364" i="1" s="1"/>
  <c r="F4365" i="1"/>
  <c r="K4365" i="1" s="1"/>
  <c r="F4366" i="1"/>
  <c r="K4366" i="1" s="1"/>
  <c r="F4367" i="1"/>
  <c r="K4367" i="1" s="1"/>
  <c r="F4368" i="1"/>
  <c r="K4368" i="1" s="1"/>
  <c r="F4369" i="1"/>
  <c r="K4369" i="1" s="1"/>
  <c r="F4370" i="1"/>
  <c r="K4370" i="1" s="1"/>
  <c r="F4371" i="1"/>
  <c r="K4371" i="1" s="1"/>
  <c r="F4372" i="1"/>
  <c r="K4372" i="1" s="1"/>
  <c r="F4373" i="1"/>
  <c r="K4373" i="1" s="1"/>
  <c r="F4374" i="1"/>
  <c r="K4374" i="1" s="1"/>
  <c r="F4375" i="1"/>
  <c r="K4375" i="1" s="1"/>
  <c r="F4376" i="1"/>
  <c r="K4376" i="1" s="1"/>
  <c r="F4377" i="1"/>
  <c r="K4377" i="1" s="1"/>
  <c r="F4378" i="1"/>
  <c r="K4378" i="1" s="1"/>
  <c r="F4379" i="1"/>
  <c r="K4379" i="1" s="1"/>
  <c r="F4380" i="1"/>
  <c r="K4380" i="1" s="1"/>
  <c r="F4381" i="1"/>
  <c r="K4381" i="1" s="1"/>
  <c r="F4382" i="1"/>
  <c r="K4382" i="1" s="1"/>
  <c r="F4383" i="1"/>
  <c r="K4383" i="1" s="1"/>
  <c r="F4384" i="1"/>
  <c r="K4384" i="1" s="1"/>
  <c r="F4385" i="1"/>
  <c r="K4385" i="1" s="1"/>
  <c r="F4386" i="1"/>
  <c r="K4386" i="1" s="1"/>
  <c r="F4387" i="1"/>
  <c r="K4387" i="1" s="1"/>
  <c r="F4388" i="1"/>
  <c r="K4388" i="1" s="1"/>
  <c r="F4389" i="1"/>
  <c r="K4389" i="1" s="1"/>
  <c r="F4390" i="1"/>
  <c r="K4390" i="1" s="1"/>
  <c r="F4391" i="1"/>
  <c r="K4391" i="1" s="1"/>
  <c r="F4392" i="1"/>
  <c r="K4392" i="1" s="1"/>
  <c r="F4393" i="1"/>
  <c r="K4393" i="1" s="1"/>
  <c r="F4394" i="1"/>
  <c r="K4394" i="1" s="1"/>
  <c r="F4395" i="1"/>
  <c r="K4395" i="1" s="1"/>
  <c r="F4396" i="1"/>
  <c r="K4396" i="1" s="1"/>
  <c r="F4397" i="1"/>
  <c r="K4397" i="1" s="1"/>
  <c r="F4398" i="1"/>
  <c r="K4398" i="1" s="1"/>
  <c r="F4399" i="1"/>
  <c r="K4399" i="1" s="1"/>
  <c r="F4400" i="1"/>
  <c r="K4400" i="1" s="1"/>
  <c r="F4401" i="1"/>
  <c r="K4401" i="1" s="1"/>
  <c r="F4402" i="1"/>
  <c r="K4402" i="1" s="1"/>
  <c r="F4403" i="1"/>
  <c r="K4403" i="1" s="1"/>
  <c r="F4404" i="1"/>
  <c r="K4404" i="1" s="1"/>
  <c r="F4405" i="1"/>
  <c r="K4405" i="1" s="1"/>
  <c r="F4406" i="1"/>
  <c r="K4406" i="1" s="1"/>
  <c r="F4407" i="1"/>
  <c r="K4407" i="1" s="1"/>
  <c r="F4408" i="1"/>
  <c r="K4408" i="1" s="1"/>
  <c r="F4409" i="1"/>
  <c r="K4409" i="1" s="1"/>
  <c r="F4410" i="1"/>
  <c r="K4410" i="1" s="1"/>
  <c r="F4411" i="1"/>
  <c r="K4411" i="1" s="1"/>
  <c r="F4412" i="1"/>
  <c r="K4412" i="1" s="1"/>
  <c r="F4413" i="1"/>
  <c r="K4413" i="1" s="1"/>
  <c r="F4414" i="1"/>
  <c r="K4414" i="1" s="1"/>
  <c r="F4415" i="1"/>
  <c r="K4415" i="1" s="1"/>
  <c r="F4416" i="1"/>
  <c r="K4416" i="1" s="1"/>
  <c r="F4417" i="1"/>
  <c r="K4417" i="1" s="1"/>
  <c r="F4418" i="1"/>
  <c r="K4418" i="1" s="1"/>
  <c r="F4419" i="1"/>
  <c r="K4419" i="1" s="1"/>
  <c r="F4420" i="1"/>
  <c r="K4420" i="1" s="1"/>
  <c r="F4421" i="1"/>
  <c r="K4421" i="1" s="1"/>
  <c r="F4422" i="1"/>
  <c r="K4422" i="1" s="1"/>
  <c r="F4423" i="1"/>
  <c r="K4423" i="1" s="1"/>
  <c r="F4424" i="1"/>
  <c r="K4424" i="1" s="1"/>
  <c r="F4425" i="1"/>
  <c r="K4425" i="1" s="1"/>
  <c r="F4426" i="1"/>
  <c r="K4426" i="1" s="1"/>
  <c r="F4427" i="1"/>
  <c r="K4427" i="1" s="1"/>
  <c r="F4428" i="1"/>
  <c r="K4428" i="1" s="1"/>
  <c r="F4429" i="1"/>
  <c r="K4429" i="1" s="1"/>
  <c r="F4430" i="1"/>
  <c r="K4430" i="1" s="1"/>
  <c r="F4431" i="1"/>
  <c r="K4431" i="1" s="1"/>
  <c r="F4432" i="1"/>
  <c r="K4432" i="1" s="1"/>
  <c r="F4433" i="1"/>
  <c r="K4433" i="1" s="1"/>
  <c r="F4434" i="1"/>
  <c r="K4434" i="1" s="1"/>
  <c r="F4435" i="1"/>
  <c r="K4435" i="1" s="1"/>
  <c r="F4436" i="1"/>
  <c r="K4436" i="1" s="1"/>
  <c r="F4437" i="1"/>
  <c r="K4437" i="1" s="1"/>
  <c r="F4438" i="1"/>
  <c r="K4438" i="1" s="1"/>
  <c r="F4439" i="1"/>
  <c r="K4439" i="1" s="1"/>
  <c r="F4440" i="1"/>
  <c r="K4440" i="1" s="1"/>
  <c r="F4441" i="1"/>
  <c r="K4441" i="1" s="1"/>
  <c r="F4442" i="1"/>
  <c r="K4442" i="1" s="1"/>
  <c r="F4443" i="1"/>
  <c r="K4443" i="1" s="1"/>
  <c r="F4444" i="1"/>
  <c r="K4444" i="1" s="1"/>
  <c r="F4445" i="1"/>
  <c r="K4445" i="1" s="1"/>
  <c r="F4446" i="1"/>
  <c r="K4446" i="1" s="1"/>
  <c r="F4447" i="1"/>
  <c r="K4447" i="1" s="1"/>
  <c r="F4448" i="1"/>
  <c r="K4448" i="1" s="1"/>
  <c r="F4449" i="1"/>
  <c r="K4449" i="1" s="1"/>
  <c r="F4450" i="1"/>
  <c r="K4450" i="1" s="1"/>
  <c r="F4451" i="1"/>
  <c r="K4451" i="1" s="1"/>
  <c r="F4452" i="1"/>
  <c r="K4452" i="1" s="1"/>
  <c r="F4453" i="1"/>
  <c r="K4453" i="1" s="1"/>
  <c r="F4454" i="1"/>
  <c r="K4454" i="1" s="1"/>
  <c r="F4455" i="1"/>
  <c r="K4455" i="1" s="1"/>
  <c r="F4456" i="1"/>
  <c r="K4456" i="1" s="1"/>
  <c r="F4457" i="1"/>
  <c r="K4457" i="1" s="1"/>
  <c r="F4458" i="1"/>
  <c r="K4458" i="1" s="1"/>
  <c r="F4459" i="1"/>
  <c r="K4459" i="1" s="1"/>
  <c r="F4460" i="1"/>
  <c r="K4460" i="1" s="1"/>
  <c r="F4461" i="1"/>
  <c r="K4461" i="1" s="1"/>
  <c r="F4462" i="1"/>
  <c r="K4462" i="1" s="1"/>
  <c r="F4463" i="1"/>
  <c r="K4463" i="1" s="1"/>
  <c r="F4464" i="1"/>
  <c r="K4464" i="1" s="1"/>
  <c r="F4465" i="1"/>
  <c r="K4465" i="1" s="1"/>
  <c r="F4466" i="1"/>
  <c r="K4466" i="1" s="1"/>
  <c r="F4467" i="1"/>
  <c r="K4467" i="1" s="1"/>
  <c r="F4468" i="1"/>
  <c r="K4468" i="1" s="1"/>
  <c r="F4469" i="1"/>
  <c r="K4469" i="1" s="1"/>
  <c r="F4470" i="1"/>
  <c r="K4470" i="1" s="1"/>
  <c r="F4471" i="1"/>
  <c r="K4471" i="1" s="1"/>
  <c r="F4472" i="1"/>
  <c r="K4472" i="1" s="1"/>
  <c r="F4473" i="1"/>
  <c r="K4473" i="1" s="1"/>
  <c r="F4474" i="1"/>
  <c r="K4474" i="1" s="1"/>
  <c r="F4475" i="1"/>
  <c r="K4475" i="1" s="1"/>
  <c r="F4476" i="1"/>
  <c r="K4476" i="1" s="1"/>
  <c r="F4477" i="1"/>
  <c r="K4477" i="1" s="1"/>
  <c r="F4478" i="1"/>
  <c r="K4478" i="1" s="1"/>
  <c r="F4479" i="1"/>
  <c r="K4479" i="1" s="1"/>
  <c r="F4480" i="1"/>
  <c r="K4480" i="1" s="1"/>
  <c r="F4481" i="1"/>
  <c r="K4481" i="1" s="1"/>
  <c r="F4482" i="1"/>
  <c r="K4482" i="1" s="1"/>
  <c r="F4483" i="1"/>
  <c r="K4483" i="1" s="1"/>
  <c r="F4484" i="1"/>
  <c r="K4484" i="1" s="1"/>
  <c r="F4485" i="1"/>
  <c r="K4485" i="1" s="1"/>
  <c r="F4486" i="1"/>
  <c r="K4486" i="1" s="1"/>
  <c r="F4487" i="1"/>
  <c r="K4487" i="1" s="1"/>
  <c r="F4488" i="1"/>
  <c r="K4488" i="1" s="1"/>
  <c r="F4489" i="1"/>
  <c r="K4489" i="1" s="1"/>
  <c r="F4490" i="1"/>
  <c r="K4490" i="1" s="1"/>
  <c r="F4491" i="1"/>
  <c r="K4491" i="1" s="1"/>
  <c r="F4492" i="1"/>
  <c r="K4492" i="1" s="1"/>
  <c r="F4493" i="1"/>
  <c r="K4493" i="1" s="1"/>
  <c r="F4494" i="1"/>
  <c r="K4494" i="1" s="1"/>
  <c r="F4495" i="1"/>
  <c r="K4495" i="1" s="1"/>
  <c r="F4496" i="1"/>
  <c r="K4496" i="1" s="1"/>
  <c r="F4497" i="1"/>
  <c r="K4497" i="1" s="1"/>
  <c r="F4498" i="1"/>
  <c r="K4498" i="1" s="1"/>
  <c r="F4499" i="1"/>
  <c r="K4499" i="1" s="1"/>
  <c r="F4500" i="1"/>
  <c r="K4500" i="1" s="1"/>
  <c r="F4501" i="1"/>
  <c r="K4501" i="1" s="1"/>
  <c r="F4502" i="1"/>
  <c r="K4502" i="1" s="1"/>
  <c r="F4503" i="1"/>
  <c r="K4503" i="1" s="1"/>
  <c r="F4504" i="1"/>
  <c r="K4504" i="1" s="1"/>
  <c r="F4505" i="1"/>
  <c r="K4505" i="1" s="1"/>
  <c r="F4506" i="1"/>
  <c r="K4506" i="1" s="1"/>
  <c r="F4507" i="1"/>
  <c r="K4507" i="1" s="1"/>
  <c r="F4508" i="1"/>
  <c r="K4508" i="1" s="1"/>
  <c r="F4509" i="1"/>
  <c r="K4509" i="1" s="1"/>
  <c r="F4510" i="1"/>
  <c r="K4510" i="1" s="1"/>
  <c r="F4511" i="1"/>
  <c r="K4511" i="1" s="1"/>
  <c r="F4512" i="1"/>
  <c r="K4512" i="1" s="1"/>
  <c r="F4513" i="1"/>
  <c r="K4513" i="1" s="1"/>
  <c r="F4514" i="1"/>
  <c r="K4514" i="1" s="1"/>
  <c r="F4515" i="1"/>
  <c r="K4515" i="1" s="1"/>
  <c r="F4516" i="1"/>
  <c r="K4516" i="1" s="1"/>
  <c r="F4517" i="1"/>
  <c r="K4517" i="1" s="1"/>
  <c r="F4518" i="1"/>
  <c r="K4518" i="1" s="1"/>
  <c r="F4519" i="1"/>
  <c r="K4519" i="1" s="1"/>
  <c r="F4520" i="1"/>
  <c r="K4520" i="1" s="1"/>
  <c r="F4521" i="1"/>
  <c r="K4521" i="1" s="1"/>
  <c r="F4522" i="1"/>
  <c r="K4522" i="1" s="1"/>
  <c r="F4523" i="1"/>
  <c r="K4523" i="1" s="1"/>
  <c r="F4524" i="1"/>
  <c r="K4524" i="1" s="1"/>
  <c r="F4525" i="1"/>
  <c r="K4525" i="1" s="1"/>
  <c r="F4526" i="1"/>
  <c r="K4526" i="1" s="1"/>
  <c r="F4527" i="1"/>
  <c r="K4527" i="1" s="1"/>
  <c r="F4528" i="1"/>
  <c r="K4528" i="1" s="1"/>
  <c r="F4529" i="1"/>
  <c r="K4529" i="1" s="1"/>
  <c r="F4530" i="1"/>
  <c r="K4530" i="1" s="1"/>
  <c r="F4531" i="1"/>
  <c r="K4531" i="1" s="1"/>
  <c r="F4532" i="1"/>
  <c r="K4532" i="1" s="1"/>
  <c r="F4533" i="1"/>
  <c r="K4533" i="1" s="1"/>
  <c r="F4534" i="1"/>
  <c r="K4534" i="1" s="1"/>
  <c r="F4535" i="1"/>
  <c r="K4535" i="1" s="1"/>
  <c r="F4536" i="1"/>
  <c r="K4536" i="1" s="1"/>
  <c r="F4537" i="1"/>
  <c r="K4537" i="1" s="1"/>
  <c r="F4538" i="1"/>
  <c r="K4538" i="1" s="1"/>
  <c r="F4539" i="1"/>
  <c r="K4539" i="1" s="1"/>
  <c r="F4540" i="1"/>
  <c r="K4540" i="1" s="1"/>
  <c r="F4541" i="1"/>
  <c r="K4541" i="1" s="1"/>
  <c r="F4542" i="1"/>
  <c r="K4542" i="1" s="1"/>
  <c r="F4543" i="1"/>
  <c r="K4543" i="1" s="1"/>
  <c r="F4544" i="1"/>
  <c r="K4544" i="1" s="1"/>
  <c r="F4545" i="1"/>
  <c r="K4545" i="1" s="1"/>
  <c r="F4546" i="1"/>
  <c r="K4546" i="1" s="1"/>
  <c r="F4547" i="1"/>
  <c r="K4547" i="1" s="1"/>
  <c r="F4548" i="1"/>
  <c r="K4548" i="1" s="1"/>
  <c r="F4549" i="1"/>
  <c r="K4549" i="1" s="1"/>
  <c r="F4550" i="1"/>
  <c r="K4550" i="1" s="1"/>
  <c r="F4551" i="1"/>
  <c r="K4551" i="1" s="1"/>
  <c r="F4552" i="1"/>
  <c r="K4552" i="1" s="1"/>
  <c r="F4553" i="1"/>
  <c r="K4553" i="1" s="1"/>
  <c r="F4554" i="1"/>
  <c r="K4554" i="1" s="1"/>
  <c r="F4555" i="1"/>
  <c r="K4555" i="1" s="1"/>
  <c r="F4556" i="1"/>
  <c r="K4556" i="1" s="1"/>
  <c r="F4557" i="1"/>
  <c r="K4557" i="1" s="1"/>
  <c r="F4558" i="1"/>
  <c r="K4558" i="1" s="1"/>
  <c r="F4559" i="1"/>
  <c r="K4559" i="1" s="1"/>
  <c r="F4560" i="1"/>
  <c r="K4560" i="1" s="1"/>
  <c r="F4561" i="1"/>
  <c r="K4561" i="1" s="1"/>
  <c r="F4562" i="1"/>
  <c r="K4562" i="1" s="1"/>
  <c r="F4563" i="1"/>
  <c r="K4563" i="1" s="1"/>
  <c r="F4564" i="1"/>
  <c r="K4564" i="1" s="1"/>
  <c r="F4565" i="1"/>
  <c r="K4565" i="1" s="1"/>
  <c r="F4566" i="1"/>
  <c r="K4566" i="1" s="1"/>
  <c r="F4567" i="1"/>
  <c r="K4567" i="1" s="1"/>
  <c r="F4568" i="1"/>
  <c r="K4568" i="1" s="1"/>
  <c r="F4569" i="1"/>
  <c r="K4569" i="1" s="1"/>
  <c r="F4570" i="1"/>
  <c r="K4570" i="1" s="1"/>
  <c r="F4571" i="1"/>
  <c r="K4571" i="1" s="1"/>
  <c r="F4572" i="1"/>
  <c r="K4572" i="1" s="1"/>
  <c r="F4573" i="1"/>
  <c r="K4573" i="1" s="1"/>
  <c r="F4574" i="1"/>
  <c r="K4574" i="1" s="1"/>
  <c r="F4575" i="1"/>
  <c r="K4575" i="1" s="1"/>
  <c r="F4576" i="1"/>
  <c r="K4576" i="1" s="1"/>
  <c r="F4577" i="1"/>
  <c r="K4577" i="1" s="1"/>
  <c r="F4578" i="1"/>
  <c r="K4578" i="1" s="1"/>
  <c r="F4579" i="1"/>
  <c r="K4579" i="1" s="1"/>
  <c r="F4580" i="1"/>
  <c r="K4580" i="1" s="1"/>
  <c r="F4581" i="1"/>
  <c r="K4581" i="1" s="1"/>
  <c r="F4582" i="1"/>
  <c r="K4582" i="1" s="1"/>
  <c r="F4583" i="1"/>
  <c r="K4583" i="1" s="1"/>
  <c r="F4584" i="1"/>
  <c r="K4584" i="1" s="1"/>
  <c r="F4585" i="1"/>
  <c r="K4585" i="1" s="1"/>
  <c r="F4586" i="1"/>
  <c r="K4586" i="1" s="1"/>
  <c r="F4587" i="1"/>
  <c r="K4587" i="1" s="1"/>
  <c r="F4588" i="1"/>
  <c r="K4588" i="1" s="1"/>
  <c r="F4589" i="1"/>
  <c r="K4589" i="1" s="1"/>
  <c r="F4590" i="1"/>
  <c r="K4590" i="1" s="1"/>
  <c r="F4591" i="1"/>
  <c r="K4591" i="1" s="1"/>
  <c r="F4592" i="1"/>
  <c r="K4592" i="1" s="1"/>
  <c r="F4593" i="1"/>
  <c r="K4593" i="1" s="1"/>
  <c r="F4594" i="1"/>
  <c r="K4594" i="1" s="1"/>
  <c r="F4595" i="1"/>
  <c r="K4595" i="1" s="1"/>
  <c r="F4596" i="1"/>
  <c r="K4596" i="1" s="1"/>
  <c r="F4597" i="1"/>
  <c r="K4597" i="1" s="1"/>
  <c r="F4598" i="1"/>
  <c r="K4598" i="1" s="1"/>
  <c r="F4599" i="1"/>
  <c r="K4599" i="1" s="1"/>
  <c r="F4600" i="1"/>
  <c r="K4600" i="1" s="1"/>
  <c r="F4601" i="1"/>
  <c r="K4601" i="1" s="1"/>
  <c r="F4602" i="1"/>
  <c r="K4602" i="1" s="1"/>
  <c r="F4603" i="1"/>
  <c r="K4603" i="1" s="1"/>
  <c r="F4604" i="1"/>
  <c r="K4604" i="1" s="1"/>
  <c r="F4605" i="1"/>
  <c r="K4605" i="1" s="1"/>
  <c r="F4606" i="1"/>
  <c r="K4606" i="1" s="1"/>
  <c r="F4607" i="1"/>
  <c r="K4607" i="1" s="1"/>
  <c r="F4608" i="1"/>
  <c r="K4608" i="1" s="1"/>
  <c r="F4609" i="1"/>
  <c r="K4609" i="1" s="1"/>
  <c r="F4610" i="1"/>
  <c r="K4610" i="1" s="1"/>
  <c r="F4611" i="1"/>
  <c r="K4611" i="1" s="1"/>
  <c r="F4612" i="1"/>
  <c r="K4612" i="1" s="1"/>
  <c r="F4613" i="1"/>
  <c r="K4613" i="1" s="1"/>
  <c r="F4614" i="1"/>
  <c r="K4614" i="1" s="1"/>
  <c r="F4615" i="1"/>
  <c r="K4615" i="1" s="1"/>
  <c r="F4616" i="1"/>
  <c r="K4616" i="1" s="1"/>
  <c r="F4617" i="1"/>
  <c r="K4617" i="1" s="1"/>
  <c r="F4618" i="1"/>
  <c r="K4618" i="1" s="1"/>
  <c r="F4619" i="1"/>
  <c r="K4619" i="1" s="1"/>
  <c r="F4620" i="1"/>
  <c r="K4620" i="1" s="1"/>
  <c r="F4621" i="1"/>
  <c r="K4621" i="1" s="1"/>
  <c r="F4622" i="1"/>
  <c r="K4622" i="1" s="1"/>
  <c r="F4623" i="1"/>
  <c r="K4623" i="1" s="1"/>
  <c r="F4624" i="1"/>
  <c r="K4624" i="1" s="1"/>
  <c r="F4625" i="1"/>
  <c r="K4625" i="1" s="1"/>
  <c r="F4626" i="1"/>
  <c r="K4626" i="1" s="1"/>
  <c r="F4627" i="1"/>
  <c r="K4627" i="1" s="1"/>
  <c r="F4628" i="1"/>
  <c r="K4628" i="1" s="1"/>
  <c r="F4629" i="1"/>
  <c r="K4629" i="1" s="1"/>
  <c r="F4630" i="1"/>
  <c r="K4630" i="1" s="1"/>
  <c r="F4631" i="1"/>
  <c r="K4631" i="1" s="1"/>
  <c r="F4632" i="1"/>
  <c r="K4632" i="1" s="1"/>
  <c r="F4633" i="1"/>
  <c r="K4633" i="1" s="1"/>
  <c r="F4634" i="1"/>
  <c r="K4634" i="1" s="1"/>
  <c r="F4635" i="1"/>
  <c r="K4635" i="1" s="1"/>
  <c r="F4636" i="1"/>
  <c r="K4636" i="1" s="1"/>
  <c r="F4637" i="1"/>
  <c r="K4637" i="1" s="1"/>
  <c r="F4638" i="1"/>
  <c r="K4638" i="1" s="1"/>
  <c r="F4639" i="1"/>
  <c r="K4639" i="1" s="1"/>
  <c r="F4640" i="1"/>
  <c r="K4640" i="1" s="1"/>
  <c r="F4641" i="1"/>
  <c r="K4641" i="1" s="1"/>
  <c r="F4642" i="1"/>
  <c r="K4642" i="1" s="1"/>
  <c r="F4643" i="1"/>
  <c r="K4643" i="1" s="1"/>
  <c r="F4644" i="1"/>
  <c r="K4644" i="1" s="1"/>
  <c r="F4645" i="1"/>
  <c r="K4645" i="1" s="1"/>
  <c r="F4646" i="1"/>
  <c r="K4646" i="1" s="1"/>
  <c r="F4647" i="1"/>
  <c r="K4647" i="1" s="1"/>
  <c r="F4648" i="1"/>
  <c r="K4648" i="1" s="1"/>
  <c r="F4649" i="1"/>
  <c r="K4649" i="1" s="1"/>
  <c r="F4650" i="1"/>
  <c r="K4650" i="1" s="1"/>
  <c r="F4651" i="1"/>
  <c r="K4651" i="1" s="1"/>
  <c r="F4652" i="1"/>
  <c r="K4652" i="1" s="1"/>
  <c r="F4653" i="1"/>
  <c r="K4653" i="1" s="1"/>
  <c r="F4654" i="1"/>
  <c r="K4654" i="1" s="1"/>
  <c r="F4655" i="1"/>
  <c r="K4655" i="1" s="1"/>
  <c r="F4656" i="1"/>
  <c r="K4656" i="1" s="1"/>
  <c r="F4657" i="1"/>
  <c r="K4657" i="1" s="1"/>
  <c r="F4658" i="1"/>
  <c r="K4658" i="1" s="1"/>
  <c r="F4659" i="1"/>
  <c r="K4659" i="1" s="1"/>
  <c r="F4660" i="1"/>
  <c r="K4660" i="1" s="1"/>
  <c r="F4661" i="1"/>
  <c r="K4661" i="1" s="1"/>
  <c r="F4662" i="1"/>
  <c r="K4662" i="1" s="1"/>
  <c r="F4663" i="1"/>
  <c r="K4663" i="1" s="1"/>
  <c r="F4664" i="1"/>
  <c r="K4664" i="1" s="1"/>
  <c r="F4665" i="1"/>
  <c r="K4665" i="1" s="1"/>
  <c r="F4666" i="1"/>
  <c r="K4666" i="1" s="1"/>
  <c r="F4667" i="1"/>
  <c r="K4667" i="1" s="1"/>
  <c r="F4668" i="1"/>
  <c r="K4668" i="1" s="1"/>
  <c r="F4669" i="1"/>
  <c r="K4669" i="1" s="1"/>
  <c r="F4670" i="1"/>
  <c r="K4670" i="1" s="1"/>
  <c r="F4671" i="1"/>
  <c r="K4671" i="1" s="1"/>
  <c r="F4672" i="1"/>
  <c r="K4672" i="1" s="1"/>
  <c r="F4673" i="1"/>
  <c r="K4673" i="1" s="1"/>
  <c r="F4674" i="1"/>
  <c r="K4674" i="1" s="1"/>
  <c r="F4675" i="1"/>
  <c r="K4675" i="1" s="1"/>
  <c r="F4676" i="1"/>
  <c r="K4676" i="1" s="1"/>
  <c r="F4677" i="1"/>
  <c r="K4677" i="1" s="1"/>
  <c r="F4678" i="1"/>
  <c r="K4678" i="1" s="1"/>
  <c r="F4679" i="1"/>
  <c r="K4679" i="1" s="1"/>
  <c r="F4680" i="1"/>
  <c r="K4680" i="1" s="1"/>
  <c r="F4681" i="1"/>
  <c r="K4681" i="1" s="1"/>
  <c r="F4682" i="1"/>
  <c r="K4682" i="1" s="1"/>
  <c r="F4683" i="1"/>
  <c r="K4683" i="1" s="1"/>
  <c r="F4684" i="1"/>
  <c r="K4684" i="1" s="1"/>
  <c r="F4685" i="1"/>
  <c r="K4685" i="1" s="1"/>
  <c r="F4686" i="1"/>
  <c r="K4686" i="1" s="1"/>
  <c r="F4687" i="1"/>
  <c r="K4687" i="1" s="1"/>
  <c r="F4688" i="1"/>
  <c r="K4688" i="1" s="1"/>
  <c r="F4689" i="1"/>
  <c r="K4689" i="1" s="1"/>
  <c r="F4690" i="1"/>
  <c r="K4690" i="1" s="1"/>
  <c r="F4691" i="1"/>
  <c r="K4691" i="1" s="1"/>
  <c r="F4692" i="1"/>
  <c r="K4692" i="1" s="1"/>
  <c r="F4693" i="1"/>
  <c r="K4693" i="1" s="1"/>
  <c r="F4694" i="1"/>
  <c r="K4694" i="1" s="1"/>
  <c r="F4695" i="1"/>
  <c r="K4695" i="1" s="1"/>
  <c r="F4696" i="1"/>
  <c r="K4696" i="1" s="1"/>
  <c r="F4697" i="1"/>
  <c r="K4697" i="1" s="1"/>
  <c r="F4698" i="1"/>
  <c r="K4698" i="1" s="1"/>
  <c r="F4699" i="1"/>
  <c r="K4699" i="1" s="1"/>
  <c r="F4700" i="1"/>
  <c r="K4700" i="1" s="1"/>
  <c r="F4701" i="1"/>
  <c r="K4701" i="1" s="1"/>
  <c r="F4702" i="1"/>
  <c r="K4702" i="1" s="1"/>
  <c r="F4703" i="1"/>
  <c r="K4703" i="1" s="1"/>
  <c r="F4704" i="1"/>
  <c r="K4704" i="1" s="1"/>
  <c r="F4705" i="1"/>
  <c r="K4705" i="1" s="1"/>
  <c r="F4706" i="1"/>
  <c r="K4706" i="1" s="1"/>
  <c r="F4707" i="1"/>
  <c r="K4707" i="1" s="1"/>
  <c r="F4708" i="1"/>
  <c r="K4708" i="1" s="1"/>
  <c r="F4709" i="1"/>
  <c r="K4709" i="1" s="1"/>
  <c r="F4710" i="1"/>
  <c r="K4710" i="1" s="1"/>
  <c r="F4711" i="1"/>
  <c r="K4711" i="1" s="1"/>
  <c r="F4712" i="1"/>
  <c r="K4712" i="1" s="1"/>
  <c r="F4713" i="1"/>
  <c r="K4713" i="1" s="1"/>
  <c r="F4714" i="1"/>
  <c r="K4714" i="1" s="1"/>
  <c r="F4715" i="1"/>
  <c r="K4715" i="1" s="1"/>
  <c r="F4716" i="1"/>
  <c r="K4716" i="1" s="1"/>
  <c r="F4717" i="1"/>
  <c r="K4717" i="1" s="1"/>
  <c r="F4718" i="1"/>
  <c r="K4718" i="1" s="1"/>
  <c r="F4719" i="1"/>
  <c r="K4719" i="1" s="1"/>
  <c r="F4720" i="1"/>
  <c r="K4720" i="1" s="1"/>
  <c r="F4721" i="1"/>
  <c r="K4721" i="1" s="1"/>
  <c r="F4722" i="1"/>
  <c r="K4722" i="1" s="1"/>
  <c r="F4723" i="1"/>
  <c r="K4723" i="1" s="1"/>
  <c r="F4724" i="1"/>
  <c r="K4724" i="1" s="1"/>
  <c r="F4725" i="1"/>
  <c r="K4725" i="1" s="1"/>
  <c r="F4726" i="1"/>
  <c r="K4726" i="1" s="1"/>
  <c r="F4727" i="1"/>
  <c r="K4727" i="1" s="1"/>
  <c r="F4728" i="1"/>
  <c r="K4728" i="1" s="1"/>
  <c r="F4729" i="1"/>
  <c r="K4729" i="1" s="1"/>
  <c r="F4730" i="1"/>
  <c r="K4730" i="1" s="1"/>
  <c r="F4731" i="1"/>
  <c r="K4731" i="1" s="1"/>
  <c r="F4732" i="1"/>
  <c r="K4732" i="1" s="1"/>
  <c r="F4733" i="1"/>
  <c r="K4733" i="1" s="1"/>
  <c r="F4734" i="1"/>
  <c r="K4734" i="1" s="1"/>
  <c r="F4735" i="1"/>
  <c r="K4735" i="1" s="1"/>
  <c r="F4736" i="1"/>
  <c r="K4736" i="1" s="1"/>
  <c r="F4737" i="1"/>
  <c r="K4737" i="1" s="1"/>
  <c r="F4738" i="1"/>
  <c r="K4738" i="1" s="1"/>
  <c r="F4739" i="1"/>
  <c r="K4739" i="1" s="1"/>
  <c r="F4740" i="1"/>
  <c r="K4740" i="1" s="1"/>
  <c r="F4741" i="1"/>
  <c r="K4741" i="1" s="1"/>
  <c r="F4742" i="1"/>
  <c r="K4742" i="1" s="1"/>
  <c r="F4743" i="1"/>
  <c r="K4743" i="1" s="1"/>
  <c r="F4744" i="1"/>
  <c r="K4744" i="1" s="1"/>
  <c r="F4745" i="1"/>
  <c r="K4745" i="1" s="1"/>
  <c r="F4746" i="1"/>
  <c r="K4746" i="1" s="1"/>
  <c r="F4747" i="1"/>
  <c r="K4747" i="1" s="1"/>
  <c r="F4748" i="1"/>
  <c r="K4748" i="1" s="1"/>
  <c r="F4749" i="1"/>
  <c r="K4749" i="1" s="1"/>
  <c r="F4750" i="1"/>
  <c r="K4750" i="1" s="1"/>
  <c r="F4751" i="1"/>
  <c r="K4751" i="1" s="1"/>
  <c r="F4752" i="1"/>
  <c r="K4752" i="1" s="1"/>
  <c r="F4753" i="1"/>
  <c r="K4753" i="1" s="1"/>
  <c r="F4754" i="1"/>
  <c r="K4754" i="1" s="1"/>
  <c r="F4755" i="1"/>
  <c r="K4755" i="1" s="1"/>
  <c r="F4756" i="1"/>
  <c r="K4756" i="1" s="1"/>
  <c r="F4757" i="1"/>
  <c r="K4757" i="1" s="1"/>
  <c r="F4758" i="1"/>
  <c r="K4758" i="1" s="1"/>
  <c r="F4759" i="1"/>
  <c r="K4759" i="1" s="1"/>
  <c r="F4760" i="1"/>
  <c r="K4760" i="1" s="1"/>
  <c r="F4761" i="1"/>
  <c r="K4761" i="1" s="1"/>
  <c r="F4762" i="1"/>
  <c r="K4762" i="1" s="1"/>
  <c r="F4763" i="1"/>
  <c r="K4763" i="1" s="1"/>
  <c r="F4764" i="1"/>
  <c r="K4764" i="1" s="1"/>
  <c r="F4765" i="1"/>
  <c r="K4765" i="1" s="1"/>
  <c r="F4766" i="1"/>
  <c r="K4766" i="1" s="1"/>
  <c r="F4767" i="1"/>
  <c r="K4767" i="1" s="1"/>
  <c r="F4768" i="1"/>
  <c r="K4768" i="1" s="1"/>
  <c r="F4769" i="1"/>
  <c r="K4769" i="1" s="1"/>
  <c r="F4770" i="1"/>
  <c r="K4770" i="1" s="1"/>
  <c r="F4771" i="1"/>
  <c r="K4771" i="1" s="1"/>
  <c r="F4772" i="1"/>
  <c r="K4772" i="1" s="1"/>
  <c r="F4773" i="1"/>
  <c r="K4773" i="1" s="1"/>
  <c r="F4774" i="1"/>
  <c r="K4774" i="1" s="1"/>
  <c r="F4775" i="1"/>
  <c r="K4775" i="1" s="1"/>
  <c r="F4776" i="1"/>
  <c r="K4776" i="1" s="1"/>
  <c r="F4777" i="1"/>
  <c r="K4777" i="1" s="1"/>
  <c r="F4778" i="1"/>
  <c r="K4778" i="1" s="1"/>
  <c r="F4779" i="1"/>
  <c r="K4779" i="1" s="1"/>
  <c r="F4780" i="1"/>
  <c r="K4780" i="1" s="1"/>
  <c r="F4781" i="1"/>
  <c r="K4781" i="1" s="1"/>
  <c r="F4782" i="1"/>
  <c r="K4782" i="1" s="1"/>
  <c r="F4783" i="1"/>
  <c r="K4783" i="1" s="1"/>
  <c r="F4784" i="1"/>
  <c r="K4784" i="1" s="1"/>
  <c r="F4785" i="1"/>
  <c r="K4785" i="1" s="1"/>
  <c r="F4786" i="1"/>
  <c r="K4786" i="1" s="1"/>
  <c r="F4787" i="1"/>
  <c r="K4787" i="1" s="1"/>
  <c r="F4788" i="1"/>
  <c r="K4788" i="1" s="1"/>
  <c r="F4789" i="1"/>
  <c r="K4789" i="1" s="1"/>
  <c r="F4790" i="1"/>
  <c r="K4790" i="1" s="1"/>
  <c r="F4791" i="1"/>
  <c r="K4791" i="1" s="1"/>
  <c r="F4792" i="1"/>
  <c r="K4792" i="1" s="1"/>
  <c r="F4793" i="1"/>
  <c r="K4793" i="1" s="1"/>
  <c r="F4794" i="1"/>
  <c r="K4794" i="1" s="1"/>
  <c r="F4795" i="1"/>
  <c r="K4795" i="1" s="1"/>
  <c r="F4796" i="1"/>
  <c r="K4796" i="1" s="1"/>
  <c r="F4797" i="1"/>
  <c r="K4797" i="1" s="1"/>
  <c r="F4798" i="1"/>
  <c r="K4798" i="1" s="1"/>
  <c r="F4799" i="1"/>
  <c r="K4799" i="1" s="1"/>
  <c r="F4800" i="1"/>
  <c r="K4800" i="1" s="1"/>
  <c r="F4801" i="1"/>
  <c r="K4801" i="1" s="1"/>
  <c r="F4802" i="1"/>
  <c r="K4802" i="1" s="1"/>
  <c r="F4803" i="1"/>
  <c r="K4803" i="1" s="1"/>
  <c r="F4804" i="1"/>
  <c r="K4804" i="1" s="1"/>
  <c r="F4805" i="1"/>
  <c r="K4805" i="1" s="1"/>
  <c r="F4806" i="1"/>
  <c r="K4806" i="1" s="1"/>
  <c r="F4807" i="1"/>
  <c r="K4807" i="1" s="1"/>
  <c r="F4808" i="1"/>
  <c r="K4808" i="1" s="1"/>
  <c r="F4809" i="1"/>
  <c r="K4809" i="1" s="1"/>
  <c r="F4810" i="1"/>
  <c r="K4810" i="1" s="1"/>
  <c r="F4811" i="1"/>
  <c r="K4811" i="1" s="1"/>
  <c r="F4812" i="1"/>
  <c r="K4812" i="1" s="1"/>
  <c r="F4813" i="1"/>
  <c r="K4813" i="1" s="1"/>
  <c r="F4814" i="1"/>
  <c r="K4814" i="1" s="1"/>
  <c r="F4815" i="1"/>
  <c r="K4815" i="1" s="1"/>
  <c r="F4816" i="1"/>
  <c r="K4816" i="1" s="1"/>
  <c r="F4817" i="1"/>
  <c r="K4817" i="1" s="1"/>
  <c r="F4818" i="1"/>
  <c r="K4818" i="1" s="1"/>
  <c r="F4819" i="1"/>
  <c r="K4819" i="1" s="1"/>
  <c r="F4820" i="1"/>
  <c r="K4820" i="1" s="1"/>
  <c r="F4821" i="1"/>
  <c r="K4821" i="1" s="1"/>
  <c r="F4822" i="1"/>
  <c r="K4822" i="1" s="1"/>
  <c r="F4823" i="1"/>
  <c r="K4823" i="1" s="1"/>
  <c r="F4824" i="1"/>
  <c r="K4824" i="1" s="1"/>
  <c r="F4825" i="1"/>
  <c r="K4825" i="1" s="1"/>
  <c r="F4826" i="1"/>
  <c r="K4826" i="1" s="1"/>
  <c r="F4827" i="1"/>
  <c r="K4827" i="1" s="1"/>
  <c r="F4828" i="1"/>
  <c r="K4828" i="1" s="1"/>
  <c r="F4829" i="1"/>
  <c r="K4829" i="1" s="1"/>
  <c r="F4830" i="1"/>
  <c r="K4830" i="1" s="1"/>
  <c r="F4831" i="1"/>
  <c r="K4831" i="1" s="1"/>
  <c r="F4832" i="1"/>
  <c r="K4832" i="1" s="1"/>
  <c r="F4833" i="1"/>
  <c r="K4833" i="1" s="1"/>
  <c r="F4834" i="1"/>
  <c r="K4834" i="1" s="1"/>
  <c r="F4835" i="1"/>
  <c r="K4835" i="1" s="1"/>
  <c r="F4836" i="1"/>
  <c r="K4836" i="1" s="1"/>
  <c r="F4837" i="1"/>
  <c r="K4837" i="1" s="1"/>
  <c r="F4838" i="1"/>
  <c r="K4838" i="1" s="1"/>
  <c r="F4839" i="1"/>
  <c r="K4839" i="1" s="1"/>
  <c r="F4840" i="1"/>
  <c r="K4840" i="1" s="1"/>
  <c r="F4841" i="1"/>
  <c r="K4841" i="1" s="1"/>
  <c r="F4842" i="1"/>
  <c r="K4842" i="1" s="1"/>
  <c r="F4843" i="1"/>
  <c r="K4843" i="1" s="1"/>
  <c r="F4844" i="1"/>
  <c r="K4844" i="1" s="1"/>
  <c r="F4845" i="1"/>
  <c r="K4845" i="1" s="1"/>
  <c r="F4846" i="1"/>
  <c r="K4846" i="1" s="1"/>
  <c r="F4847" i="1"/>
  <c r="K4847" i="1" s="1"/>
  <c r="F4848" i="1"/>
  <c r="K4848" i="1" s="1"/>
  <c r="F4849" i="1"/>
  <c r="K4849" i="1" s="1"/>
  <c r="F4850" i="1"/>
  <c r="K4850" i="1" s="1"/>
  <c r="F4851" i="1"/>
  <c r="K4851" i="1" s="1"/>
  <c r="F4852" i="1"/>
  <c r="K4852" i="1" s="1"/>
  <c r="F4853" i="1"/>
  <c r="K4853" i="1" s="1"/>
  <c r="F4854" i="1"/>
  <c r="K4854" i="1" s="1"/>
  <c r="F4855" i="1"/>
  <c r="K4855" i="1" s="1"/>
  <c r="F4856" i="1"/>
  <c r="K4856" i="1" s="1"/>
  <c r="F4857" i="1"/>
  <c r="K4857" i="1" s="1"/>
  <c r="F4858" i="1"/>
  <c r="K4858" i="1" s="1"/>
  <c r="F4859" i="1"/>
  <c r="K4859" i="1" s="1"/>
  <c r="F4860" i="1"/>
  <c r="K4860" i="1" s="1"/>
  <c r="F4861" i="1"/>
  <c r="K4861" i="1" s="1"/>
  <c r="F4862" i="1"/>
  <c r="K4862" i="1" s="1"/>
  <c r="F4863" i="1"/>
  <c r="K4863" i="1" s="1"/>
  <c r="F4864" i="1"/>
  <c r="K4864" i="1" s="1"/>
  <c r="F4865" i="1"/>
  <c r="K4865" i="1" s="1"/>
  <c r="F4866" i="1"/>
  <c r="K4866" i="1" s="1"/>
  <c r="F4867" i="1"/>
  <c r="K4867" i="1" s="1"/>
  <c r="F4868" i="1"/>
  <c r="K4868" i="1" s="1"/>
  <c r="F4869" i="1"/>
  <c r="K4869" i="1" s="1"/>
  <c r="F4870" i="1"/>
  <c r="K4870" i="1" s="1"/>
  <c r="F4871" i="1"/>
  <c r="K4871" i="1" s="1"/>
  <c r="F4872" i="1"/>
  <c r="K4872" i="1" s="1"/>
  <c r="F4873" i="1"/>
  <c r="K4873" i="1" s="1"/>
  <c r="F4874" i="1"/>
  <c r="K4874" i="1" s="1"/>
  <c r="F4875" i="1"/>
  <c r="K4875" i="1" s="1"/>
  <c r="F4876" i="1"/>
  <c r="K4876" i="1" s="1"/>
  <c r="F4877" i="1"/>
  <c r="K4877" i="1" s="1"/>
  <c r="F4878" i="1"/>
  <c r="K4878" i="1" s="1"/>
  <c r="F4879" i="1"/>
  <c r="K4879" i="1" s="1"/>
  <c r="F4880" i="1"/>
  <c r="K4880" i="1" s="1"/>
  <c r="F4881" i="1"/>
  <c r="K4881" i="1" s="1"/>
  <c r="F4882" i="1"/>
  <c r="K4882" i="1" s="1"/>
  <c r="F4883" i="1"/>
  <c r="K4883" i="1" s="1"/>
  <c r="F4884" i="1"/>
  <c r="K4884" i="1" s="1"/>
  <c r="F4885" i="1"/>
  <c r="K4885" i="1" s="1"/>
  <c r="F4886" i="1"/>
  <c r="K4886" i="1" s="1"/>
  <c r="F4887" i="1"/>
  <c r="K4887" i="1" s="1"/>
  <c r="F4888" i="1"/>
  <c r="K4888" i="1" s="1"/>
  <c r="F4889" i="1"/>
  <c r="K4889" i="1" s="1"/>
  <c r="F4890" i="1"/>
  <c r="K4890" i="1" s="1"/>
  <c r="F4891" i="1"/>
  <c r="K4891" i="1" s="1"/>
  <c r="F4892" i="1"/>
  <c r="K4892" i="1" s="1"/>
  <c r="F4893" i="1"/>
  <c r="K4893" i="1" s="1"/>
  <c r="F4894" i="1"/>
  <c r="K4894" i="1" s="1"/>
  <c r="F4895" i="1"/>
  <c r="K4895" i="1" s="1"/>
  <c r="F4896" i="1"/>
  <c r="K4896" i="1" s="1"/>
  <c r="F4897" i="1"/>
  <c r="K4897" i="1" s="1"/>
  <c r="F4898" i="1"/>
  <c r="K4898" i="1" s="1"/>
  <c r="F4899" i="1"/>
  <c r="K4899" i="1" s="1"/>
  <c r="F4900" i="1"/>
  <c r="K4900" i="1" s="1"/>
  <c r="F4901" i="1"/>
  <c r="K4901" i="1" s="1"/>
  <c r="F4902" i="1"/>
  <c r="K4902" i="1" s="1"/>
  <c r="F4903" i="1"/>
  <c r="K4903" i="1" s="1"/>
  <c r="F4904" i="1"/>
  <c r="K4904" i="1" s="1"/>
  <c r="F4905" i="1"/>
  <c r="K4905" i="1" s="1"/>
  <c r="F4906" i="1"/>
  <c r="K4906" i="1" s="1"/>
  <c r="F4907" i="1"/>
  <c r="K4907" i="1" s="1"/>
  <c r="F4908" i="1"/>
  <c r="K4908" i="1" s="1"/>
  <c r="F4909" i="1"/>
  <c r="K4909" i="1" s="1"/>
  <c r="F4910" i="1"/>
  <c r="K4910" i="1" s="1"/>
  <c r="F4911" i="1"/>
  <c r="K4911" i="1" s="1"/>
  <c r="F4912" i="1"/>
  <c r="K4912" i="1" s="1"/>
  <c r="F4913" i="1"/>
  <c r="K4913" i="1" s="1"/>
  <c r="F4914" i="1"/>
  <c r="K4914" i="1" s="1"/>
  <c r="F4915" i="1"/>
  <c r="K4915" i="1" s="1"/>
  <c r="F4916" i="1"/>
  <c r="K4916" i="1" s="1"/>
  <c r="F4917" i="1"/>
  <c r="K4917" i="1" s="1"/>
  <c r="F4918" i="1"/>
  <c r="K4918" i="1" s="1"/>
  <c r="F4919" i="1"/>
  <c r="K4919" i="1" s="1"/>
  <c r="F4920" i="1"/>
  <c r="K4920" i="1" s="1"/>
  <c r="F4921" i="1"/>
  <c r="K4921" i="1" s="1"/>
  <c r="F4922" i="1"/>
  <c r="K4922" i="1" s="1"/>
  <c r="F4923" i="1"/>
  <c r="K4923" i="1" s="1"/>
  <c r="F4924" i="1"/>
  <c r="K4924" i="1" s="1"/>
  <c r="F4925" i="1"/>
  <c r="K4925" i="1" s="1"/>
  <c r="F4926" i="1"/>
  <c r="K4926" i="1" s="1"/>
  <c r="F4927" i="1"/>
  <c r="K4927" i="1" s="1"/>
  <c r="F4928" i="1"/>
  <c r="K4928" i="1" s="1"/>
  <c r="F4929" i="1"/>
  <c r="K4929" i="1" s="1"/>
  <c r="F4930" i="1"/>
  <c r="K4930" i="1" s="1"/>
  <c r="F4931" i="1"/>
  <c r="K4931" i="1" s="1"/>
  <c r="F4932" i="1"/>
  <c r="K4932" i="1" s="1"/>
  <c r="F4933" i="1"/>
  <c r="K4933" i="1" s="1"/>
  <c r="F4934" i="1"/>
  <c r="K4934" i="1" s="1"/>
  <c r="F4935" i="1"/>
  <c r="K4935" i="1" s="1"/>
  <c r="F4936" i="1"/>
  <c r="K4936" i="1" s="1"/>
  <c r="F4937" i="1"/>
  <c r="K4937" i="1" s="1"/>
  <c r="F4938" i="1"/>
  <c r="K4938" i="1" s="1"/>
  <c r="F4939" i="1"/>
  <c r="K4939" i="1" s="1"/>
  <c r="F4940" i="1"/>
  <c r="K4940" i="1" s="1"/>
  <c r="F4941" i="1"/>
  <c r="K4941" i="1" s="1"/>
  <c r="F4942" i="1"/>
  <c r="K4942" i="1" s="1"/>
  <c r="F4943" i="1"/>
  <c r="K4943" i="1" s="1"/>
  <c r="F4944" i="1"/>
  <c r="K4944" i="1" s="1"/>
  <c r="F4945" i="1"/>
  <c r="K4945" i="1" s="1"/>
  <c r="F4946" i="1"/>
  <c r="K4946" i="1" s="1"/>
  <c r="F4947" i="1"/>
  <c r="K4947" i="1" s="1"/>
  <c r="F4948" i="1"/>
  <c r="K4948" i="1" s="1"/>
  <c r="F4949" i="1"/>
  <c r="K4949" i="1" s="1"/>
  <c r="F4950" i="1"/>
  <c r="K4950" i="1" s="1"/>
  <c r="F4951" i="1"/>
  <c r="K4951" i="1" s="1"/>
  <c r="F4952" i="1"/>
  <c r="K4952" i="1" s="1"/>
  <c r="F4953" i="1"/>
  <c r="K4953" i="1" s="1"/>
  <c r="F4954" i="1"/>
  <c r="K4954" i="1" s="1"/>
  <c r="F4955" i="1"/>
  <c r="K4955" i="1" s="1"/>
  <c r="F4956" i="1"/>
  <c r="K4956" i="1" s="1"/>
  <c r="F4957" i="1"/>
  <c r="K4957" i="1" s="1"/>
  <c r="F4958" i="1"/>
  <c r="K4958" i="1" s="1"/>
  <c r="F4959" i="1"/>
  <c r="K4959" i="1" s="1"/>
  <c r="F4960" i="1"/>
  <c r="K4960" i="1" s="1"/>
  <c r="F4961" i="1"/>
  <c r="K4961" i="1" s="1"/>
  <c r="F4962" i="1"/>
  <c r="K4962" i="1" s="1"/>
  <c r="F4963" i="1"/>
  <c r="K4963" i="1" s="1"/>
  <c r="F4964" i="1"/>
  <c r="K4964" i="1" s="1"/>
  <c r="F4965" i="1"/>
  <c r="K4965" i="1" s="1"/>
  <c r="F4966" i="1"/>
  <c r="K4966" i="1" s="1"/>
  <c r="F4967" i="1"/>
  <c r="K4967" i="1" s="1"/>
  <c r="F4968" i="1"/>
  <c r="K4968" i="1" s="1"/>
  <c r="F4969" i="1"/>
  <c r="K4969" i="1" s="1"/>
  <c r="F4970" i="1"/>
  <c r="K4970" i="1" s="1"/>
  <c r="F4971" i="1"/>
  <c r="K4971" i="1" s="1"/>
  <c r="F4972" i="1"/>
  <c r="K4972" i="1" s="1"/>
  <c r="F4973" i="1"/>
  <c r="K4973" i="1" s="1"/>
  <c r="F4974" i="1"/>
  <c r="K4974" i="1" s="1"/>
  <c r="F4975" i="1"/>
  <c r="K4975" i="1" s="1"/>
  <c r="F4976" i="1"/>
  <c r="K4976" i="1" s="1"/>
  <c r="F4977" i="1"/>
  <c r="K4977" i="1" s="1"/>
  <c r="F4978" i="1"/>
  <c r="K4978" i="1" s="1"/>
  <c r="F4979" i="1"/>
  <c r="K4979" i="1" s="1"/>
  <c r="F4980" i="1"/>
  <c r="K4980" i="1" s="1"/>
  <c r="F4981" i="1"/>
  <c r="K4981" i="1" s="1"/>
  <c r="F4982" i="1"/>
  <c r="K4982" i="1" s="1"/>
  <c r="F4983" i="1"/>
  <c r="K4983" i="1" s="1"/>
  <c r="F4984" i="1"/>
  <c r="K4984" i="1" s="1"/>
  <c r="F4985" i="1"/>
  <c r="K4985" i="1" s="1"/>
  <c r="F4986" i="1"/>
  <c r="K4986" i="1" s="1"/>
  <c r="F4987" i="1"/>
  <c r="K4987" i="1" s="1"/>
  <c r="F4988" i="1"/>
  <c r="K4988" i="1" s="1"/>
  <c r="F4989" i="1"/>
  <c r="K4989" i="1" s="1"/>
  <c r="F4990" i="1"/>
  <c r="K4990" i="1" s="1"/>
  <c r="F4991" i="1"/>
  <c r="K4991" i="1" s="1"/>
  <c r="F4992" i="1"/>
  <c r="K4992" i="1" s="1"/>
  <c r="F4993" i="1"/>
  <c r="K4993" i="1" s="1"/>
  <c r="F4994" i="1"/>
  <c r="K4994" i="1" s="1"/>
  <c r="F4995" i="1"/>
  <c r="K4995" i="1" s="1"/>
  <c r="F4996" i="1"/>
  <c r="K4996" i="1" s="1"/>
  <c r="F4997" i="1"/>
  <c r="K4997" i="1" s="1"/>
  <c r="F4998" i="1"/>
  <c r="K4998" i="1" s="1"/>
  <c r="F4999" i="1"/>
  <c r="K4999" i="1" s="1"/>
  <c r="F5000" i="1"/>
  <c r="K5000" i="1" s="1"/>
  <c r="F5001" i="1"/>
  <c r="K5001" i="1" s="1"/>
  <c r="F5002" i="1"/>
  <c r="K5002" i="1" s="1"/>
  <c r="F5003" i="1"/>
  <c r="K5003" i="1" s="1"/>
  <c r="F5004" i="1"/>
  <c r="K5004" i="1" s="1"/>
  <c r="F5005" i="1"/>
  <c r="K5005" i="1" s="1"/>
  <c r="F5006" i="1"/>
  <c r="K5006" i="1" s="1"/>
  <c r="F5007" i="1"/>
  <c r="K5007" i="1" s="1"/>
  <c r="F5008" i="1"/>
  <c r="K5008" i="1" s="1"/>
  <c r="F5009" i="1"/>
  <c r="K5009" i="1" s="1"/>
  <c r="F5010" i="1"/>
  <c r="K5010" i="1" s="1"/>
  <c r="F5011" i="1"/>
  <c r="K5011" i="1" s="1"/>
  <c r="F5012" i="1"/>
  <c r="K5012" i="1" s="1"/>
  <c r="F5013" i="1"/>
  <c r="K5013" i="1" s="1"/>
  <c r="F5014" i="1"/>
  <c r="K5014" i="1" s="1"/>
  <c r="F5015" i="1"/>
  <c r="K5015" i="1" s="1"/>
  <c r="F5016" i="1"/>
  <c r="K5016" i="1" s="1"/>
  <c r="F5017" i="1"/>
  <c r="K5017" i="1" s="1"/>
  <c r="F5018" i="1"/>
  <c r="K5018" i="1" s="1"/>
  <c r="F5019" i="1"/>
  <c r="K5019" i="1" s="1"/>
  <c r="F5020" i="1"/>
  <c r="K5020" i="1" s="1"/>
  <c r="F5021" i="1"/>
  <c r="K5021" i="1" s="1"/>
  <c r="F5022" i="1"/>
  <c r="K5022" i="1" s="1"/>
  <c r="F5023" i="1"/>
  <c r="K5023" i="1" s="1"/>
  <c r="F5024" i="1"/>
  <c r="K5024" i="1" s="1"/>
  <c r="F5025" i="1"/>
  <c r="K5025" i="1" s="1"/>
  <c r="F5026" i="1"/>
  <c r="K5026" i="1" s="1"/>
  <c r="F5027" i="1"/>
  <c r="K5027" i="1" s="1"/>
  <c r="F5028" i="1"/>
  <c r="K5028" i="1" s="1"/>
  <c r="F5029" i="1"/>
  <c r="K5029" i="1" s="1"/>
  <c r="F5030" i="1"/>
  <c r="K5030" i="1" s="1"/>
  <c r="F5031" i="1"/>
  <c r="K5031" i="1" s="1"/>
  <c r="F5032" i="1"/>
  <c r="K5032" i="1" s="1"/>
  <c r="F5033" i="1"/>
  <c r="K5033" i="1" s="1"/>
  <c r="F5034" i="1"/>
  <c r="K5034" i="1" s="1"/>
  <c r="F5035" i="1"/>
  <c r="K5035" i="1" s="1"/>
  <c r="F5036" i="1"/>
  <c r="K5036" i="1" s="1"/>
  <c r="F5037" i="1"/>
  <c r="K5037" i="1" s="1"/>
  <c r="F5038" i="1"/>
  <c r="K5038" i="1" s="1"/>
  <c r="F5039" i="1"/>
  <c r="K5039" i="1" s="1"/>
  <c r="F5040" i="1"/>
  <c r="K5040" i="1" s="1"/>
  <c r="F5041" i="1"/>
  <c r="K5041" i="1" s="1"/>
  <c r="F5042" i="1"/>
  <c r="K5042" i="1" s="1"/>
  <c r="F5043" i="1"/>
  <c r="K5043" i="1" s="1"/>
  <c r="F5044" i="1"/>
  <c r="K5044" i="1" s="1"/>
  <c r="F5045" i="1"/>
  <c r="K5045" i="1" s="1"/>
  <c r="F5046" i="1"/>
  <c r="K5046" i="1" s="1"/>
  <c r="F5047" i="1"/>
  <c r="K5047" i="1" s="1"/>
  <c r="F5048" i="1"/>
  <c r="K5048" i="1" s="1"/>
  <c r="F5049" i="1"/>
  <c r="K5049" i="1" s="1"/>
  <c r="F5050" i="1"/>
  <c r="K5050" i="1" s="1"/>
  <c r="F5051" i="1"/>
  <c r="K5051" i="1" s="1"/>
  <c r="F5052" i="1"/>
  <c r="K5052" i="1" s="1"/>
  <c r="F5053" i="1"/>
  <c r="K5053" i="1" s="1"/>
  <c r="F5054" i="1"/>
  <c r="K5054" i="1" s="1"/>
  <c r="F5055" i="1"/>
  <c r="K5055" i="1" s="1"/>
  <c r="F5056" i="1"/>
  <c r="K5056" i="1" s="1"/>
  <c r="F5057" i="1"/>
  <c r="K5057" i="1" s="1"/>
  <c r="F5058" i="1"/>
  <c r="K5058" i="1" s="1"/>
  <c r="F5059" i="1"/>
  <c r="K5059" i="1" s="1"/>
  <c r="F5060" i="1"/>
  <c r="K5060" i="1" s="1"/>
  <c r="F5061" i="1"/>
  <c r="K5061" i="1" s="1"/>
  <c r="F5062" i="1"/>
  <c r="K5062" i="1" s="1"/>
  <c r="F5063" i="1"/>
  <c r="K5063" i="1" s="1"/>
  <c r="F5064" i="1"/>
  <c r="K5064" i="1" s="1"/>
  <c r="F5065" i="1"/>
  <c r="K5065" i="1" s="1"/>
  <c r="F5066" i="1"/>
  <c r="K5066" i="1" s="1"/>
  <c r="F5067" i="1"/>
  <c r="K5067" i="1" s="1"/>
  <c r="F5068" i="1"/>
  <c r="K5068" i="1" s="1"/>
  <c r="F5069" i="1"/>
  <c r="K5069" i="1" s="1"/>
  <c r="F5070" i="1"/>
  <c r="K5070" i="1" s="1"/>
  <c r="F5071" i="1"/>
  <c r="K5071" i="1" s="1"/>
  <c r="F5072" i="1"/>
  <c r="K5072" i="1" s="1"/>
  <c r="F5073" i="1"/>
  <c r="K5073" i="1" s="1"/>
  <c r="F5074" i="1"/>
  <c r="K5074" i="1" s="1"/>
  <c r="F5075" i="1"/>
  <c r="K5075" i="1" s="1"/>
  <c r="F5076" i="1"/>
  <c r="K5076" i="1" s="1"/>
  <c r="F5077" i="1"/>
  <c r="K5077" i="1" s="1"/>
  <c r="F5078" i="1"/>
  <c r="K5078" i="1" s="1"/>
  <c r="F5079" i="1"/>
  <c r="K5079" i="1" s="1"/>
  <c r="F5080" i="1"/>
  <c r="K5080" i="1" s="1"/>
  <c r="F5081" i="1"/>
  <c r="K5081" i="1" s="1"/>
  <c r="F5082" i="1"/>
  <c r="K5082" i="1" s="1"/>
  <c r="F5083" i="1"/>
  <c r="K5083" i="1" s="1"/>
  <c r="F5084" i="1"/>
  <c r="K5084" i="1" s="1"/>
  <c r="F5085" i="1"/>
  <c r="K5085" i="1" s="1"/>
  <c r="F5086" i="1"/>
  <c r="K5086" i="1" s="1"/>
  <c r="F5087" i="1"/>
  <c r="K5087" i="1" s="1"/>
  <c r="F5088" i="1"/>
  <c r="K5088" i="1" s="1"/>
  <c r="F5089" i="1"/>
  <c r="K5089" i="1" s="1"/>
  <c r="F5090" i="1"/>
  <c r="K5090" i="1" s="1"/>
  <c r="F5091" i="1"/>
  <c r="K5091" i="1" s="1"/>
  <c r="F5092" i="1"/>
  <c r="K5092" i="1" s="1"/>
  <c r="F5093" i="1"/>
  <c r="K5093" i="1" s="1"/>
  <c r="F5094" i="1"/>
  <c r="K5094" i="1" s="1"/>
  <c r="F5095" i="1"/>
  <c r="K5095" i="1" s="1"/>
  <c r="F5096" i="1"/>
  <c r="K5096" i="1" s="1"/>
  <c r="F5097" i="1"/>
  <c r="K5097" i="1" s="1"/>
  <c r="F5098" i="1"/>
  <c r="K5098" i="1" s="1"/>
  <c r="F5099" i="1"/>
  <c r="K5099" i="1" s="1"/>
  <c r="F5100" i="1"/>
  <c r="K5100" i="1" s="1"/>
  <c r="F5101" i="1"/>
  <c r="K5101" i="1" s="1"/>
  <c r="F5102" i="1"/>
  <c r="K5102" i="1" s="1"/>
  <c r="F5103" i="1"/>
  <c r="K5103" i="1" s="1"/>
  <c r="F5104" i="1"/>
  <c r="K5104" i="1" s="1"/>
  <c r="F5105" i="1"/>
  <c r="K5105" i="1" s="1"/>
  <c r="F5106" i="1"/>
  <c r="K5106" i="1" s="1"/>
  <c r="F5107" i="1"/>
  <c r="K5107" i="1" s="1"/>
  <c r="F5108" i="1"/>
  <c r="K5108" i="1" s="1"/>
  <c r="F5109" i="1"/>
  <c r="K5109" i="1" s="1"/>
  <c r="F5110" i="1"/>
  <c r="K5110" i="1" s="1"/>
  <c r="F5111" i="1"/>
  <c r="K5111" i="1" s="1"/>
  <c r="F5112" i="1"/>
  <c r="K5112" i="1" s="1"/>
  <c r="F5113" i="1"/>
  <c r="K5113" i="1" s="1"/>
  <c r="F5114" i="1"/>
  <c r="K5114" i="1" s="1"/>
  <c r="F5115" i="1"/>
  <c r="K5115" i="1" s="1"/>
  <c r="F5116" i="1"/>
  <c r="K5116" i="1" s="1"/>
  <c r="F5117" i="1"/>
  <c r="K5117" i="1" s="1"/>
  <c r="F5118" i="1"/>
  <c r="K5118" i="1" s="1"/>
  <c r="F5119" i="1"/>
  <c r="K5119" i="1" s="1"/>
  <c r="F5120" i="1"/>
  <c r="K5120" i="1" s="1"/>
  <c r="F5121" i="1"/>
  <c r="K5121" i="1" s="1"/>
  <c r="F5122" i="1"/>
  <c r="K5122" i="1" s="1"/>
  <c r="F5123" i="1"/>
  <c r="K5123" i="1" s="1"/>
  <c r="F5124" i="1"/>
  <c r="K5124" i="1" s="1"/>
  <c r="F5125" i="1"/>
  <c r="K5125" i="1" s="1"/>
  <c r="F5126" i="1"/>
  <c r="K5126" i="1" s="1"/>
  <c r="F5127" i="1"/>
  <c r="K5127" i="1" s="1"/>
  <c r="F5128" i="1"/>
  <c r="K5128" i="1" s="1"/>
  <c r="F5129" i="1"/>
  <c r="K5129" i="1" s="1"/>
  <c r="F5130" i="1"/>
  <c r="K5130" i="1" s="1"/>
  <c r="F5131" i="1"/>
  <c r="K5131" i="1" s="1"/>
  <c r="F5132" i="1"/>
  <c r="K5132" i="1" s="1"/>
  <c r="F5133" i="1"/>
  <c r="K5133" i="1" s="1"/>
  <c r="F5134" i="1"/>
  <c r="K5134" i="1" s="1"/>
  <c r="F5135" i="1"/>
  <c r="K5135" i="1" s="1"/>
  <c r="F5136" i="1"/>
  <c r="K5136" i="1" s="1"/>
  <c r="F5137" i="1"/>
  <c r="K5137" i="1" s="1"/>
  <c r="F5138" i="1"/>
  <c r="K5138" i="1" s="1"/>
  <c r="F5139" i="1"/>
  <c r="K5139" i="1" s="1"/>
  <c r="F5140" i="1"/>
  <c r="K5140" i="1" s="1"/>
  <c r="F5141" i="1"/>
  <c r="K5141" i="1" s="1"/>
  <c r="F5142" i="1"/>
  <c r="K5142" i="1" s="1"/>
  <c r="F5143" i="1"/>
  <c r="K5143" i="1" s="1"/>
  <c r="F5144" i="1"/>
  <c r="K5144" i="1" s="1"/>
  <c r="F5145" i="1"/>
  <c r="K5145" i="1" s="1"/>
  <c r="F5146" i="1"/>
  <c r="K5146" i="1" s="1"/>
  <c r="F5147" i="1"/>
  <c r="K5147" i="1" s="1"/>
  <c r="F5148" i="1"/>
  <c r="K5148" i="1" s="1"/>
  <c r="F5149" i="1"/>
  <c r="K5149" i="1" s="1"/>
  <c r="F5150" i="1"/>
  <c r="K5150" i="1" s="1"/>
  <c r="F5151" i="1"/>
  <c r="K5151" i="1" s="1"/>
  <c r="F5152" i="1"/>
  <c r="K5152" i="1" s="1"/>
  <c r="F5153" i="1"/>
  <c r="K5153" i="1" s="1"/>
  <c r="F5154" i="1"/>
  <c r="K5154" i="1" s="1"/>
  <c r="F5155" i="1"/>
  <c r="K5155" i="1" s="1"/>
  <c r="F5156" i="1"/>
  <c r="K5156" i="1" s="1"/>
  <c r="F5157" i="1"/>
  <c r="K5157" i="1" s="1"/>
  <c r="F5158" i="1"/>
  <c r="K5158" i="1" s="1"/>
  <c r="F5159" i="1"/>
  <c r="K5159" i="1" s="1"/>
  <c r="F5160" i="1"/>
  <c r="K5160" i="1" s="1"/>
  <c r="F5161" i="1"/>
  <c r="K5161" i="1" s="1"/>
  <c r="F5162" i="1"/>
  <c r="K5162" i="1" s="1"/>
  <c r="F5163" i="1"/>
  <c r="K5163" i="1" s="1"/>
  <c r="F5164" i="1"/>
  <c r="K5164" i="1" s="1"/>
  <c r="F5165" i="1"/>
  <c r="K5165" i="1" s="1"/>
  <c r="F5166" i="1"/>
  <c r="K5166" i="1" s="1"/>
  <c r="F5167" i="1"/>
  <c r="K5167" i="1" s="1"/>
  <c r="F5168" i="1"/>
  <c r="K5168" i="1" s="1"/>
  <c r="F5169" i="1"/>
  <c r="K5169" i="1" s="1"/>
  <c r="F5170" i="1"/>
  <c r="K5170" i="1" s="1"/>
  <c r="F5171" i="1"/>
  <c r="K5171" i="1" s="1"/>
  <c r="F5172" i="1"/>
  <c r="K5172" i="1" s="1"/>
  <c r="F5173" i="1"/>
  <c r="K5173" i="1" s="1"/>
  <c r="F5174" i="1"/>
  <c r="K5174" i="1" s="1"/>
  <c r="F5175" i="1"/>
  <c r="K5175" i="1" s="1"/>
  <c r="F5176" i="1"/>
  <c r="K5176" i="1" s="1"/>
  <c r="F5177" i="1"/>
  <c r="K5177" i="1" s="1"/>
  <c r="F5178" i="1"/>
  <c r="K5178" i="1" s="1"/>
  <c r="F5179" i="1"/>
  <c r="K5179" i="1" s="1"/>
  <c r="F5180" i="1"/>
  <c r="K5180" i="1" s="1"/>
  <c r="F5181" i="1"/>
  <c r="K5181" i="1" s="1"/>
  <c r="F5182" i="1"/>
  <c r="K5182" i="1" s="1"/>
  <c r="F5183" i="1"/>
  <c r="K5183" i="1" s="1"/>
  <c r="F5184" i="1"/>
  <c r="K5184" i="1" s="1"/>
  <c r="F5185" i="1"/>
  <c r="K5185" i="1" s="1"/>
  <c r="F5186" i="1"/>
  <c r="K5186" i="1" s="1"/>
  <c r="F5187" i="1"/>
  <c r="K5187" i="1" s="1"/>
  <c r="F5188" i="1"/>
  <c r="K5188" i="1" s="1"/>
  <c r="F5189" i="1"/>
  <c r="K5189" i="1" s="1"/>
  <c r="F5190" i="1"/>
  <c r="K5190" i="1" s="1"/>
  <c r="F5191" i="1"/>
  <c r="K5191" i="1" s="1"/>
  <c r="F5192" i="1"/>
  <c r="K5192" i="1" s="1"/>
  <c r="F5193" i="1"/>
  <c r="K5193" i="1" s="1"/>
  <c r="F5194" i="1"/>
  <c r="K5194" i="1" s="1"/>
  <c r="F5195" i="1"/>
  <c r="K5195" i="1" s="1"/>
  <c r="F5196" i="1"/>
  <c r="K5196" i="1" s="1"/>
  <c r="F5197" i="1"/>
  <c r="K5197" i="1" s="1"/>
  <c r="F5198" i="1"/>
  <c r="K5198" i="1" s="1"/>
  <c r="F5199" i="1"/>
  <c r="K5199" i="1" s="1"/>
  <c r="F5200" i="1"/>
  <c r="K5200" i="1" s="1"/>
  <c r="F5201" i="1"/>
  <c r="K5201" i="1" s="1"/>
  <c r="F5202" i="1"/>
  <c r="K5202" i="1" s="1"/>
  <c r="F5203" i="1"/>
  <c r="K5203" i="1" s="1"/>
  <c r="F5204" i="1"/>
  <c r="K5204" i="1" s="1"/>
  <c r="F5205" i="1"/>
  <c r="K5205" i="1" s="1"/>
  <c r="F5206" i="1"/>
  <c r="K5206" i="1" s="1"/>
  <c r="F5207" i="1"/>
  <c r="K5207" i="1" s="1"/>
  <c r="F5208" i="1"/>
  <c r="K5208" i="1" s="1"/>
  <c r="F5209" i="1"/>
  <c r="K5209" i="1" s="1"/>
  <c r="F5210" i="1"/>
  <c r="K5210" i="1" s="1"/>
  <c r="F5211" i="1"/>
  <c r="K5211" i="1" s="1"/>
  <c r="F5212" i="1"/>
  <c r="K5212" i="1" s="1"/>
  <c r="F5213" i="1"/>
  <c r="K5213" i="1" s="1"/>
  <c r="F5214" i="1"/>
  <c r="K5214" i="1" s="1"/>
  <c r="F5215" i="1"/>
  <c r="K5215" i="1" s="1"/>
  <c r="F5216" i="1"/>
  <c r="K5216" i="1" s="1"/>
  <c r="F5217" i="1"/>
  <c r="K5217" i="1" s="1"/>
  <c r="F5218" i="1"/>
  <c r="K5218" i="1" s="1"/>
  <c r="F5219" i="1"/>
  <c r="K5219" i="1" s="1"/>
  <c r="F5220" i="1"/>
  <c r="K5220" i="1" s="1"/>
  <c r="F5221" i="1"/>
  <c r="K5221" i="1" s="1"/>
  <c r="F5222" i="1"/>
  <c r="K5222" i="1" s="1"/>
  <c r="F5223" i="1"/>
  <c r="K5223" i="1" s="1"/>
  <c r="F5224" i="1"/>
  <c r="K5224" i="1" s="1"/>
  <c r="F5225" i="1"/>
  <c r="K5225" i="1" s="1"/>
  <c r="F5226" i="1"/>
  <c r="K5226" i="1" s="1"/>
  <c r="F5227" i="1"/>
  <c r="K5227" i="1" s="1"/>
  <c r="F5228" i="1"/>
  <c r="K5228" i="1" s="1"/>
  <c r="F5229" i="1"/>
  <c r="K5229" i="1" s="1"/>
  <c r="F5230" i="1"/>
  <c r="K5230" i="1" s="1"/>
  <c r="F5231" i="1"/>
  <c r="K5231" i="1" s="1"/>
  <c r="F5232" i="1"/>
  <c r="K5232" i="1" s="1"/>
  <c r="F5233" i="1"/>
  <c r="K5233" i="1" s="1"/>
  <c r="F5234" i="1"/>
  <c r="K5234" i="1" s="1"/>
  <c r="F5235" i="1"/>
  <c r="K5235" i="1" s="1"/>
  <c r="F5236" i="1"/>
  <c r="K5236" i="1" s="1"/>
  <c r="F5237" i="1"/>
  <c r="K5237" i="1" s="1"/>
  <c r="F5238" i="1"/>
  <c r="K5238" i="1" s="1"/>
  <c r="F5239" i="1"/>
  <c r="K5239" i="1" s="1"/>
  <c r="F5240" i="1"/>
  <c r="K5240" i="1" s="1"/>
  <c r="F5241" i="1"/>
  <c r="K5241" i="1" s="1"/>
  <c r="F5242" i="1"/>
  <c r="K5242" i="1" s="1"/>
  <c r="F5243" i="1"/>
  <c r="K5243" i="1" s="1"/>
  <c r="F5244" i="1"/>
  <c r="K5244" i="1" s="1"/>
  <c r="F5245" i="1"/>
  <c r="K5245" i="1" s="1"/>
  <c r="F5246" i="1"/>
  <c r="K5246" i="1" s="1"/>
  <c r="F5247" i="1"/>
  <c r="K5247" i="1" s="1"/>
  <c r="F5248" i="1"/>
  <c r="K5248" i="1" s="1"/>
  <c r="F5249" i="1"/>
  <c r="K5249" i="1" s="1"/>
  <c r="F5250" i="1"/>
  <c r="K5250" i="1" s="1"/>
  <c r="F5251" i="1"/>
  <c r="K5251" i="1" s="1"/>
  <c r="F5252" i="1"/>
  <c r="K5252" i="1" s="1"/>
  <c r="F5253" i="1"/>
  <c r="K5253" i="1" s="1"/>
  <c r="F5254" i="1"/>
  <c r="K5254" i="1" s="1"/>
  <c r="F5255" i="1"/>
  <c r="K5255" i="1" s="1"/>
  <c r="F5256" i="1"/>
  <c r="K5256" i="1" s="1"/>
  <c r="F5257" i="1"/>
  <c r="K5257" i="1" s="1"/>
  <c r="F5258" i="1"/>
  <c r="K5258" i="1" s="1"/>
  <c r="F5259" i="1"/>
  <c r="K5259" i="1" s="1"/>
  <c r="F5260" i="1"/>
  <c r="K5260" i="1" s="1"/>
  <c r="F5261" i="1"/>
  <c r="K5261" i="1" s="1"/>
  <c r="F5262" i="1"/>
  <c r="K5262" i="1" s="1"/>
  <c r="F5263" i="1"/>
  <c r="K5263" i="1" s="1"/>
  <c r="F5264" i="1"/>
  <c r="K5264" i="1" s="1"/>
  <c r="F5265" i="1"/>
  <c r="K5265" i="1" s="1"/>
  <c r="F5266" i="1"/>
  <c r="K5266" i="1" s="1"/>
  <c r="F5267" i="1"/>
  <c r="K5267" i="1" s="1"/>
  <c r="F5268" i="1"/>
  <c r="K5268" i="1" s="1"/>
  <c r="F5269" i="1"/>
  <c r="K5269" i="1" s="1"/>
  <c r="F5270" i="1"/>
  <c r="K5270" i="1" s="1"/>
  <c r="F5271" i="1"/>
  <c r="K5271" i="1" s="1"/>
  <c r="F5272" i="1"/>
  <c r="K5272" i="1" s="1"/>
  <c r="F5273" i="1"/>
  <c r="K5273" i="1" s="1"/>
  <c r="F5274" i="1"/>
  <c r="K5274" i="1" s="1"/>
  <c r="F5275" i="1"/>
  <c r="K5275" i="1" s="1"/>
  <c r="F5276" i="1"/>
  <c r="K5276" i="1" s="1"/>
  <c r="F5277" i="1"/>
  <c r="K5277" i="1" s="1"/>
  <c r="F5278" i="1"/>
  <c r="K5278" i="1" s="1"/>
  <c r="F5279" i="1"/>
  <c r="K5279" i="1" s="1"/>
  <c r="F5280" i="1"/>
  <c r="K5280" i="1" s="1"/>
  <c r="F5281" i="1"/>
  <c r="K5281" i="1" s="1"/>
  <c r="F5282" i="1"/>
  <c r="K5282" i="1" s="1"/>
  <c r="F5283" i="1"/>
  <c r="K5283" i="1" s="1"/>
  <c r="F5284" i="1"/>
  <c r="K5284" i="1" s="1"/>
  <c r="F5285" i="1"/>
  <c r="K5285" i="1" s="1"/>
  <c r="F5286" i="1"/>
  <c r="K5286" i="1" s="1"/>
  <c r="F5287" i="1"/>
  <c r="K5287" i="1" s="1"/>
  <c r="F5288" i="1"/>
  <c r="K5288" i="1" s="1"/>
  <c r="F5289" i="1"/>
  <c r="K5289" i="1" s="1"/>
  <c r="F5290" i="1"/>
  <c r="K5290" i="1" s="1"/>
  <c r="F5291" i="1"/>
  <c r="K5291" i="1" s="1"/>
  <c r="F5292" i="1"/>
  <c r="K5292" i="1" s="1"/>
  <c r="F5293" i="1"/>
  <c r="K5293" i="1" s="1"/>
  <c r="F5294" i="1"/>
  <c r="K5294" i="1" s="1"/>
  <c r="F5295" i="1"/>
  <c r="K5295" i="1" s="1"/>
  <c r="F5296" i="1"/>
  <c r="K5296" i="1" s="1"/>
  <c r="F5297" i="1"/>
  <c r="K5297" i="1" s="1"/>
  <c r="F5298" i="1"/>
  <c r="K5298" i="1" s="1"/>
  <c r="F5299" i="1"/>
  <c r="K5299" i="1" s="1"/>
  <c r="F5300" i="1"/>
  <c r="K5300" i="1" s="1"/>
  <c r="F5301" i="1"/>
  <c r="K5301" i="1" s="1"/>
  <c r="F5302" i="1"/>
  <c r="K5302" i="1" s="1"/>
  <c r="F5303" i="1"/>
  <c r="K5303" i="1" s="1"/>
  <c r="F5304" i="1"/>
  <c r="K5304" i="1" s="1"/>
  <c r="F5305" i="1"/>
  <c r="K5305" i="1" s="1"/>
  <c r="F5306" i="1"/>
  <c r="K5306" i="1" s="1"/>
  <c r="F5307" i="1"/>
  <c r="K5307" i="1" s="1"/>
  <c r="F5308" i="1"/>
  <c r="K5308" i="1" s="1"/>
  <c r="F5309" i="1"/>
  <c r="K5309" i="1" s="1"/>
  <c r="F5310" i="1"/>
  <c r="K5310" i="1" s="1"/>
  <c r="F5311" i="1"/>
  <c r="K5311" i="1" s="1"/>
  <c r="F5312" i="1"/>
  <c r="K5312" i="1" s="1"/>
  <c r="F5313" i="1"/>
  <c r="K5313" i="1" s="1"/>
  <c r="F5314" i="1"/>
  <c r="K5314" i="1" s="1"/>
  <c r="F5315" i="1"/>
  <c r="K5315" i="1" s="1"/>
  <c r="F5316" i="1"/>
  <c r="K5316" i="1" s="1"/>
  <c r="F5317" i="1"/>
  <c r="K5317" i="1" s="1"/>
  <c r="F5318" i="1"/>
  <c r="K5318" i="1" s="1"/>
  <c r="F5319" i="1"/>
  <c r="K5319" i="1" s="1"/>
  <c r="F5320" i="1"/>
  <c r="K5320" i="1" s="1"/>
  <c r="F5321" i="1"/>
  <c r="K5321" i="1" s="1"/>
  <c r="F5322" i="1"/>
  <c r="K5322" i="1" s="1"/>
  <c r="F5323" i="1"/>
  <c r="K5323" i="1" s="1"/>
  <c r="F5324" i="1"/>
  <c r="K5324" i="1" s="1"/>
  <c r="F5325" i="1"/>
  <c r="K5325" i="1" s="1"/>
  <c r="F5326" i="1"/>
  <c r="K5326" i="1" s="1"/>
  <c r="F5327" i="1"/>
  <c r="K5327" i="1" s="1"/>
  <c r="F5328" i="1"/>
  <c r="K5328" i="1" s="1"/>
  <c r="F5329" i="1"/>
  <c r="K5329" i="1" s="1"/>
  <c r="F5330" i="1"/>
  <c r="K5330" i="1" s="1"/>
  <c r="F5331" i="1"/>
  <c r="K5331" i="1" s="1"/>
  <c r="F5332" i="1"/>
  <c r="K5332" i="1" s="1"/>
  <c r="F5333" i="1"/>
  <c r="K5333" i="1" s="1"/>
  <c r="F5334" i="1"/>
  <c r="K5334" i="1" s="1"/>
  <c r="F5335" i="1"/>
  <c r="K5335" i="1" s="1"/>
  <c r="F5336" i="1"/>
  <c r="K5336" i="1" s="1"/>
  <c r="F5337" i="1"/>
  <c r="K5337" i="1" s="1"/>
  <c r="F5338" i="1"/>
  <c r="K5338" i="1" s="1"/>
  <c r="F5339" i="1"/>
  <c r="K5339" i="1" s="1"/>
  <c r="F5340" i="1"/>
  <c r="K5340" i="1" s="1"/>
  <c r="F5341" i="1"/>
  <c r="K5341" i="1" s="1"/>
  <c r="F5342" i="1"/>
  <c r="K5342" i="1" s="1"/>
  <c r="F5343" i="1"/>
  <c r="K5343" i="1" s="1"/>
  <c r="F5344" i="1"/>
  <c r="K5344" i="1" s="1"/>
  <c r="F5345" i="1"/>
  <c r="K5345" i="1" s="1"/>
  <c r="F5346" i="1"/>
  <c r="K5346" i="1" s="1"/>
  <c r="F5347" i="1"/>
  <c r="K5347" i="1" s="1"/>
  <c r="F5348" i="1"/>
  <c r="K5348" i="1" s="1"/>
  <c r="F5349" i="1"/>
  <c r="K5349" i="1" s="1"/>
  <c r="F5350" i="1"/>
  <c r="K5350" i="1" s="1"/>
  <c r="F5351" i="1"/>
  <c r="K5351" i="1" s="1"/>
  <c r="F5352" i="1"/>
  <c r="K5352" i="1" s="1"/>
  <c r="F5353" i="1"/>
  <c r="K5353" i="1" s="1"/>
  <c r="F5354" i="1"/>
  <c r="K5354" i="1" s="1"/>
  <c r="F5355" i="1"/>
  <c r="K5355" i="1" s="1"/>
  <c r="F5356" i="1"/>
  <c r="K5356" i="1" s="1"/>
  <c r="F5357" i="1"/>
  <c r="K5357" i="1" s="1"/>
  <c r="F5358" i="1"/>
  <c r="K5358" i="1" s="1"/>
  <c r="F5359" i="1"/>
  <c r="K5359" i="1" s="1"/>
  <c r="F5360" i="1"/>
  <c r="K5360" i="1" s="1"/>
  <c r="F5361" i="1"/>
  <c r="K5361" i="1" s="1"/>
  <c r="F5362" i="1"/>
  <c r="K5362" i="1" s="1"/>
  <c r="F5363" i="1"/>
  <c r="K5363" i="1" s="1"/>
  <c r="F5364" i="1"/>
  <c r="K5364" i="1" s="1"/>
  <c r="F5365" i="1"/>
  <c r="K5365" i="1" s="1"/>
  <c r="F5366" i="1"/>
  <c r="K5366" i="1" s="1"/>
  <c r="F5367" i="1"/>
  <c r="K5367" i="1" s="1"/>
  <c r="F5368" i="1"/>
  <c r="K5368" i="1" s="1"/>
  <c r="F5369" i="1"/>
  <c r="K5369" i="1" s="1"/>
  <c r="F5370" i="1"/>
  <c r="K5370" i="1" s="1"/>
  <c r="F5371" i="1"/>
  <c r="K5371" i="1" s="1"/>
  <c r="F5372" i="1"/>
  <c r="K5372" i="1" s="1"/>
  <c r="F5373" i="1"/>
  <c r="K5373" i="1" s="1"/>
  <c r="F5374" i="1"/>
  <c r="K5374" i="1" s="1"/>
  <c r="F5375" i="1"/>
  <c r="K5375" i="1" s="1"/>
  <c r="F5376" i="1"/>
  <c r="K5376" i="1" s="1"/>
  <c r="F5377" i="1"/>
  <c r="K5377" i="1" s="1"/>
  <c r="F5378" i="1"/>
  <c r="K5378" i="1" s="1"/>
  <c r="F5379" i="1"/>
  <c r="K5379" i="1" s="1"/>
  <c r="F5380" i="1"/>
  <c r="K5380" i="1" s="1"/>
  <c r="F5381" i="1"/>
  <c r="K5381" i="1" s="1"/>
  <c r="F5382" i="1"/>
  <c r="K5382" i="1" s="1"/>
  <c r="F5383" i="1"/>
  <c r="K5383" i="1" s="1"/>
  <c r="F5384" i="1"/>
  <c r="K5384" i="1" s="1"/>
  <c r="F5385" i="1"/>
  <c r="K5385" i="1" s="1"/>
  <c r="F5386" i="1"/>
  <c r="K5386" i="1" s="1"/>
  <c r="F5387" i="1"/>
  <c r="K5387" i="1" s="1"/>
  <c r="F5388" i="1"/>
  <c r="K5388" i="1" s="1"/>
  <c r="F5389" i="1"/>
  <c r="K5389" i="1" s="1"/>
  <c r="F5390" i="1"/>
  <c r="K5390" i="1" s="1"/>
  <c r="F5391" i="1"/>
  <c r="K5391" i="1" s="1"/>
  <c r="F5392" i="1"/>
  <c r="K5392" i="1" s="1"/>
  <c r="F5393" i="1"/>
  <c r="K5393" i="1" s="1"/>
  <c r="F5394" i="1"/>
  <c r="K5394" i="1" s="1"/>
  <c r="F5395" i="1"/>
  <c r="K5395" i="1" s="1"/>
  <c r="F5396" i="1"/>
  <c r="K5396" i="1" s="1"/>
  <c r="F5397" i="1"/>
  <c r="K5397" i="1" s="1"/>
  <c r="F5398" i="1"/>
  <c r="K5398" i="1" s="1"/>
  <c r="F5399" i="1"/>
  <c r="K5399" i="1" s="1"/>
  <c r="F5400" i="1"/>
  <c r="K5400" i="1" s="1"/>
  <c r="F5401" i="1"/>
  <c r="K5401" i="1" s="1"/>
  <c r="F5402" i="1"/>
  <c r="K5402" i="1" s="1"/>
  <c r="F5403" i="1"/>
  <c r="K5403" i="1" s="1"/>
  <c r="F5404" i="1"/>
  <c r="K5404" i="1" s="1"/>
  <c r="F5405" i="1"/>
  <c r="K5405" i="1" s="1"/>
  <c r="F5406" i="1"/>
  <c r="K5406" i="1" s="1"/>
  <c r="F5407" i="1"/>
  <c r="K5407" i="1" s="1"/>
  <c r="F5408" i="1"/>
  <c r="K5408" i="1" s="1"/>
  <c r="F5409" i="1"/>
  <c r="K5409" i="1" s="1"/>
  <c r="F5410" i="1"/>
  <c r="K5410" i="1" s="1"/>
  <c r="F5411" i="1"/>
  <c r="K5411" i="1" s="1"/>
  <c r="F5412" i="1"/>
  <c r="K5412" i="1" s="1"/>
  <c r="F5413" i="1"/>
  <c r="K5413" i="1" s="1"/>
  <c r="F5414" i="1"/>
  <c r="K5414" i="1" s="1"/>
  <c r="F5415" i="1"/>
  <c r="K5415" i="1" s="1"/>
  <c r="F5416" i="1"/>
  <c r="K5416" i="1" s="1"/>
  <c r="F5417" i="1"/>
  <c r="K5417" i="1" s="1"/>
  <c r="F5418" i="1"/>
  <c r="K5418" i="1" s="1"/>
  <c r="F5419" i="1"/>
  <c r="K5419" i="1" s="1"/>
  <c r="F5420" i="1"/>
  <c r="K5420" i="1" s="1"/>
  <c r="F5421" i="1"/>
  <c r="K5421" i="1" s="1"/>
  <c r="F5422" i="1"/>
  <c r="K5422" i="1" s="1"/>
  <c r="F5423" i="1"/>
  <c r="K5423" i="1" s="1"/>
  <c r="F5424" i="1"/>
  <c r="K5424" i="1" s="1"/>
  <c r="F5425" i="1"/>
  <c r="K5425" i="1" s="1"/>
  <c r="F5426" i="1"/>
  <c r="K5426" i="1" s="1"/>
  <c r="F5427" i="1"/>
  <c r="K5427" i="1" s="1"/>
  <c r="F5428" i="1"/>
  <c r="K5428" i="1" s="1"/>
  <c r="F5429" i="1"/>
  <c r="K5429" i="1" s="1"/>
  <c r="F5430" i="1"/>
  <c r="K5430" i="1" s="1"/>
  <c r="F5431" i="1"/>
  <c r="K5431" i="1" s="1"/>
  <c r="F5432" i="1"/>
  <c r="K5432" i="1" s="1"/>
  <c r="F5433" i="1"/>
  <c r="K5433" i="1" s="1"/>
  <c r="F5434" i="1"/>
  <c r="K5434" i="1" s="1"/>
  <c r="F5435" i="1"/>
  <c r="K5435" i="1" s="1"/>
  <c r="F5436" i="1"/>
  <c r="K5436" i="1" s="1"/>
  <c r="F5437" i="1"/>
  <c r="K5437" i="1" s="1"/>
  <c r="F5438" i="1"/>
  <c r="K5438" i="1" s="1"/>
  <c r="F5439" i="1"/>
  <c r="K5439" i="1" s="1"/>
  <c r="F5440" i="1"/>
  <c r="K5440" i="1" s="1"/>
  <c r="F5441" i="1"/>
  <c r="K5441" i="1" s="1"/>
  <c r="F5442" i="1"/>
  <c r="K5442" i="1" s="1"/>
  <c r="F5443" i="1"/>
  <c r="K5443" i="1" s="1"/>
  <c r="F5444" i="1"/>
  <c r="K5444" i="1" s="1"/>
  <c r="F5445" i="1"/>
  <c r="K5445" i="1" s="1"/>
  <c r="F5446" i="1"/>
  <c r="K5446" i="1" s="1"/>
  <c r="F5447" i="1"/>
  <c r="K5447" i="1" s="1"/>
  <c r="F5448" i="1"/>
  <c r="K5448" i="1" s="1"/>
  <c r="F5449" i="1"/>
  <c r="K5449" i="1" s="1"/>
  <c r="F5450" i="1"/>
  <c r="K5450" i="1" s="1"/>
  <c r="F5451" i="1"/>
  <c r="K5451" i="1" s="1"/>
  <c r="F5452" i="1"/>
  <c r="K5452" i="1" s="1"/>
  <c r="F5453" i="1"/>
  <c r="K5453" i="1" s="1"/>
  <c r="F5454" i="1"/>
  <c r="K5454" i="1" s="1"/>
  <c r="F5455" i="1"/>
  <c r="K5455" i="1" s="1"/>
  <c r="F5456" i="1"/>
  <c r="K5456" i="1" s="1"/>
  <c r="F5457" i="1"/>
  <c r="K5457" i="1" s="1"/>
  <c r="F5458" i="1"/>
  <c r="K5458" i="1" s="1"/>
  <c r="F5459" i="1"/>
  <c r="K5459" i="1" s="1"/>
  <c r="F5460" i="1"/>
  <c r="K5460" i="1" s="1"/>
  <c r="F5461" i="1"/>
  <c r="K5461" i="1" s="1"/>
  <c r="F5462" i="1"/>
  <c r="K5462" i="1" s="1"/>
  <c r="F5463" i="1"/>
  <c r="K5463" i="1" s="1"/>
  <c r="F5464" i="1"/>
  <c r="K5464" i="1" s="1"/>
  <c r="F5465" i="1"/>
  <c r="K5465" i="1" s="1"/>
  <c r="F5466" i="1"/>
  <c r="K5466" i="1" s="1"/>
  <c r="F5467" i="1"/>
  <c r="K5467" i="1" s="1"/>
  <c r="F5468" i="1"/>
  <c r="K5468" i="1" s="1"/>
  <c r="F5469" i="1"/>
  <c r="K5469" i="1" s="1"/>
  <c r="F5470" i="1"/>
  <c r="K5470" i="1" s="1"/>
  <c r="F5471" i="1"/>
  <c r="K5471" i="1" s="1"/>
  <c r="F5472" i="1"/>
  <c r="K5472" i="1" s="1"/>
  <c r="F5473" i="1"/>
  <c r="K5473" i="1" s="1"/>
  <c r="F5474" i="1"/>
  <c r="K5474" i="1" s="1"/>
  <c r="F5475" i="1"/>
  <c r="K5475" i="1" s="1"/>
  <c r="F5476" i="1"/>
  <c r="K5476" i="1" s="1"/>
  <c r="F5477" i="1"/>
  <c r="K5477" i="1" s="1"/>
  <c r="F5478" i="1"/>
  <c r="K5478" i="1" s="1"/>
  <c r="F5479" i="1"/>
  <c r="K5479" i="1" s="1"/>
  <c r="F5480" i="1"/>
  <c r="K5480" i="1" s="1"/>
  <c r="F5481" i="1"/>
  <c r="K5481" i="1" s="1"/>
  <c r="F5482" i="1"/>
  <c r="K5482" i="1" s="1"/>
  <c r="F5483" i="1"/>
  <c r="K5483" i="1" s="1"/>
  <c r="F5484" i="1"/>
  <c r="K5484" i="1" s="1"/>
  <c r="F5485" i="1"/>
  <c r="K5485" i="1" s="1"/>
  <c r="F5486" i="1"/>
  <c r="K5486" i="1" s="1"/>
  <c r="F5487" i="1"/>
  <c r="K5487" i="1" s="1"/>
  <c r="F5488" i="1"/>
  <c r="K5488" i="1" s="1"/>
  <c r="F5489" i="1"/>
  <c r="K5489" i="1" s="1"/>
  <c r="F5490" i="1"/>
  <c r="K5490" i="1" s="1"/>
  <c r="F5491" i="1"/>
  <c r="K5491" i="1" s="1"/>
  <c r="F5492" i="1"/>
  <c r="K5492" i="1" s="1"/>
  <c r="F5493" i="1"/>
  <c r="K5493" i="1" s="1"/>
  <c r="F5494" i="1"/>
  <c r="K5494" i="1" s="1"/>
  <c r="F5495" i="1"/>
  <c r="K5495" i="1" s="1"/>
  <c r="F5496" i="1"/>
  <c r="K5496" i="1" s="1"/>
  <c r="F5497" i="1"/>
  <c r="K5497" i="1" s="1"/>
  <c r="F5498" i="1"/>
  <c r="K5498" i="1" s="1"/>
  <c r="F5499" i="1"/>
  <c r="K5499" i="1" s="1"/>
  <c r="F5500" i="1"/>
  <c r="K5500" i="1" s="1"/>
  <c r="F5501" i="1"/>
  <c r="K5501" i="1" s="1"/>
  <c r="F5502" i="1"/>
  <c r="K5502" i="1" s="1"/>
  <c r="F5503" i="1"/>
  <c r="K5503" i="1" s="1"/>
  <c r="F5504" i="1"/>
  <c r="K5504" i="1" s="1"/>
  <c r="F5505" i="1"/>
  <c r="K5505" i="1" s="1"/>
  <c r="F5506" i="1"/>
  <c r="K5506" i="1" s="1"/>
  <c r="F5507" i="1"/>
  <c r="K5507" i="1" s="1"/>
  <c r="F5508" i="1"/>
  <c r="K5508" i="1" s="1"/>
  <c r="F5509" i="1"/>
  <c r="K5509" i="1" s="1"/>
  <c r="F5510" i="1"/>
  <c r="K5510" i="1" s="1"/>
  <c r="F5511" i="1"/>
  <c r="K5511" i="1" s="1"/>
  <c r="F5512" i="1"/>
  <c r="K5512" i="1" s="1"/>
  <c r="F5513" i="1"/>
  <c r="K5513" i="1" s="1"/>
  <c r="F5514" i="1"/>
  <c r="K5514" i="1" s="1"/>
  <c r="F5515" i="1"/>
  <c r="K5515" i="1" s="1"/>
  <c r="F5516" i="1"/>
  <c r="K5516" i="1" s="1"/>
  <c r="F5517" i="1"/>
  <c r="K5517" i="1" s="1"/>
  <c r="F5518" i="1"/>
  <c r="K5518" i="1" s="1"/>
  <c r="F5519" i="1"/>
  <c r="K5519" i="1" s="1"/>
  <c r="F5520" i="1"/>
  <c r="K5520" i="1" s="1"/>
  <c r="F5521" i="1"/>
  <c r="K5521" i="1" s="1"/>
  <c r="F5522" i="1"/>
  <c r="K5522" i="1" s="1"/>
  <c r="F5523" i="1"/>
  <c r="K5523" i="1" s="1"/>
  <c r="F5524" i="1"/>
  <c r="K5524" i="1" s="1"/>
  <c r="F5525" i="1"/>
  <c r="K5525" i="1" s="1"/>
  <c r="F5526" i="1"/>
  <c r="K5526" i="1" s="1"/>
  <c r="F5527" i="1"/>
  <c r="K5527" i="1" s="1"/>
  <c r="F5528" i="1"/>
  <c r="K5528" i="1" s="1"/>
  <c r="F5529" i="1"/>
  <c r="K5529" i="1" s="1"/>
  <c r="F5530" i="1"/>
  <c r="K5530" i="1" s="1"/>
  <c r="F5531" i="1"/>
  <c r="K5531" i="1" s="1"/>
  <c r="F5532" i="1"/>
  <c r="K5532" i="1" s="1"/>
  <c r="F5533" i="1"/>
  <c r="K5533" i="1" s="1"/>
  <c r="F5534" i="1"/>
  <c r="K5534" i="1" s="1"/>
  <c r="F5535" i="1"/>
  <c r="K5535" i="1" s="1"/>
  <c r="F5536" i="1"/>
  <c r="K5536" i="1" s="1"/>
  <c r="F5537" i="1"/>
  <c r="K5537" i="1" s="1"/>
  <c r="F5538" i="1"/>
  <c r="K5538" i="1" s="1"/>
  <c r="F5539" i="1"/>
  <c r="K5539" i="1" s="1"/>
  <c r="F5540" i="1"/>
  <c r="K5540" i="1" s="1"/>
  <c r="F5541" i="1"/>
  <c r="K5541" i="1" s="1"/>
  <c r="F5542" i="1"/>
  <c r="K5542" i="1" s="1"/>
  <c r="F5543" i="1"/>
  <c r="K5543" i="1" s="1"/>
  <c r="F5544" i="1"/>
  <c r="K5544" i="1" s="1"/>
  <c r="F5545" i="1"/>
  <c r="K5545" i="1" s="1"/>
  <c r="F5546" i="1"/>
  <c r="K5546" i="1" s="1"/>
  <c r="F5547" i="1"/>
  <c r="K5547" i="1" s="1"/>
  <c r="F5548" i="1"/>
  <c r="K5548" i="1" s="1"/>
  <c r="F5549" i="1"/>
  <c r="K5549" i="1" s="1"/>
  <c r="F5550" i="1"/>
  <c r="K5550" i="1" s="1"/>
  <c r="F5551" i="1"/>
  <c r="K5551" i="1" s="1"/>
  <c r="F5552" i="1"/>
  <c r="K5552" i="1" s="1"/>
  <c r="F5553" i="1"/>
  <c r="K5553" i="1" s="1"/>
  <c r="F5554" i="1"/>
  <c r="K5554" i="1" s="1"/>
  <c r="F5555" i="1"/>
  <c r="K5555" i="1" s="1"/>
  <c r="F5556" i="1"/>
  <c r="K5556" i="1" s="1"/>
  <c r="F5557" i="1"/>
  <c r="K5557" i="1" s="1"/>
  <c r="F5558" i="1"/>
  <c r="K5558" i="1" s="1"/>
  <c r="F5559" i="1"/>
  <c r="K5559" i="1" s="1"/>
  <c r="F5560" i="1"/>
  <c r="K5560" i="1" s="1"/>
  <c r="F5561" i="1"/>
  <c r="K5561" i="1" s="1"/>
  <c r="F5562" i="1"/>
  <c r="K5562" i="1" s="1"/>
  <c r="F5563" i="1"/>
  <c r="K5563" i="1" s="1"/>
  <c r="F5564" i="1"/>
  <c r="K5564" i="1" s="1"/>
  <c r="F5565" i="1"/>
  <c r="K5565" i="1" s="1"/>
  <c r="F5566" i="1"/>
  <c r="K5566" i="1" s="1"/>
  <c r="F5567" i="1"/>
  <c r="K5567" i="1" s="1"/>
  <c r="F5568" i="1"/>
  <c r="K5568" i="1" s="1"/>
  <c r="F5569" i="1"/>
  <c r="K5569" i="1" s="1"/>
  <c r="F5570" i="1"/>
  <c r="K5570" i="1" s="1"/>
  <c r="F5571" i="1"/>
  <c r="K5571" i="1" s="1"/>
  <c r="F5572" i="1"/>
  <c r="K5572" i="1" s="1"/>
  <c r="F5573" i="1"/>
  <c r="K5573" i="1" s="1"/>
  <c r="F5574" i="1"/>
  <c r="K5574" i="1" s="1"/>
  <c r="F5575" i="1"/>
  <c r="K5575" i="1" s="1"/>
  <c r="F5576" i="1"/>
  <c r="K5576" i="1" s="1"/>
  <c r="F5577" i="1"/>
  <c r="K5577" i="1" s="1"/>
  <c r="F5578" i="1"/>
  <c r="K5578" i="1" s="1"/>
  <c r="F5579" i="1"/>
  <c r="K5579" i="1" s="1"/>
  <c r="F5580" i="1"/>
  <c r="K5580" i="1" s="1"/>
  <c r="F5581" i="1"/>
  <c r="K5581" i="1" s="1"/>
  <c r="F5582" i="1"/>
  <c r="K5582" i="1" s="1"/>
  <c r="F5583" i="1"/>
  <c r="K5583" i="1" s="1"/>
  <c r="F5584" i="1"/>
  <c r="K5584" i="1" s="1"/>
  <c r="F5585" i="1"/>
  <c r="K5585" i="1" s="1"/>
  <c r="F5586" i="1"/>
  <c r="K5586" i="1" s="1"/>
  <c r="F5587" i="1"/>
  <c r="K5587" i="1" s="1"/>
  <c r="F5588" i="1"/>
  <c r="K5588" i="1" s="1"/>
  <c r="F5589" i="1"/>
  <c r="K5589" i="1" s="1"/>
  <c r="F5590" i="1"/>
  <c r="K5590" i="1" s="1"/>
  <c r="F5591" i="1"/>
  <c r="K5591" i="1" s="1"/>
  <c r="F5592" i="1"/>
  <c r="K5592" i="1" s="1"/>
  <c r="F5593" i="1"/>
  <c r="K5593" i="1" s="1"/>
  <c r="F5594" i="1"/>
  <c r="K5594" i="1" s="1"/>
  <c r="F5595" i="1"/>
  <c r="K5595" i="1" s="1"/>
  <c r="F5596" i="1"/>
  <c r="K5596" i="1" s="1"/>
  <c r="F5597" i="1"/>
  <c r="K5597" i="1" s="1"/>
  <c r="F5598" i="1"/>
  <c r="K5598" i="1" s="1"/>
  <c r="F5599" i="1"/>
  <c r="K5599" i="1" s="1"/>
  <c r="F5600" i="1"/>
  <c r="K5600" i="1" s="1"/>
  <c r="F5601" i="1"/>
  <c r="K5601" i="1" s="1"/>
  <c r="F5602" i="1"/>
  <c r="K5602" i="1" s="1"/>
  <c r="F5603" i="1"/>
  <c r="K5603" i="1" s="1"/>
  <c r="F5604" i="1"/>
  <c r="K5604" i="1" s="1"/>
  <c r="F5605" i="1"/>
  <c r="K5605" i="1" s="1"/>
  <c r="F5606" i="1"/>
  <c r="K5606" i="1" s="1"/>
  <c r="F5607" i="1"/>
  <c r="K5607" i="1" s="1"/>
  <c r="F5608" i="1"/>
  <c r="K5608" i="1" s="1"/>
  <c r="F5609" i="1"/>
  <c r="K5609" i="1" s="1"/>
  <c r="F5610" i="1"/>
  <c r="K5610" i="1" s="1"/>
  <c r="F5611" i="1"/>
  <c r="K5611" i="1" s="1"/>
  <c r="F5612" i="1"/>
  <c r="K5612" i="1" s="1"/>
  <c r="F5613" i="1"/>
  <c r="K5613" i="1" s="1"/>
  <c r="F5614" i="1"/>
  <c r="K5614" i="1" s="1"/>
  <c r="F5615" i="1"/>
  <c r="K5615" i="1" s="1"/>
  <c r="F5616" i="1"/>
  <c r="K5616" i="1" s="1"/>
  <c r="F5617" i="1"/>
  <c r="K5617" i="1" s="1"/>
  <c r="F5618" i="1"/>
  <c r="K5618" i="1" s="1"/>
  <c r="F5619" i="1"/>
  <c r="K5619" i="1" s="1"/>
  <c r="F5620" i="1"/>
  <c r="K5620" i="1" s="1"/>
  <c r="F5621" i="1"/>
  <c r="K5621" i="1" s="1"/>
  <c r="F5622" i="1"/>
  <c r="K5622" i="1" s="1"/>
  <c r="F5623" i="1"/>
  <c r="K5623" i="1" s="1"/>
  <c r="F5624" i="1"/>
  <c r="K5624" i="1" s="1"/>
  <c r="F5625" i="1"/>
  <c r="K5625" i="1" s="1"/>
  <c r="F5626" i="1"/>
  <c r="K5626" i="1" s="1"/>
  <c r="F5627" i="1"/>
  <c r="K5627" i="1" s="1"/>
  <c r="F5628" i="1"/>
  <c r="K5628" i="1" s="1"/>
  <c r="F5629" i="1"/>
  <c r="K5629" i="1" s="1"/>
  <c r="F5630" i="1"/>
  <c r="K5630" i="1" s="1"/>
  <c r="F5631" i="1"/>
  <c r="K5631" i="1" s="1"/>
  <c r="F5632" i="1"/>
  <c r="K5632" i="1" s="1"/>
  <c r="F5633" i="1"/>
  <c r="K5633" i="1" s="1"/>
  <c r="F5634" i="1"/>
  <c r="K5634" i="1" s="1"/>
  <c r="F5635" i="1"/>
  <c r="K5635" i="1" s="1"/>
  <c r="F5636" i="1"/>
  <c r="K5636" i="1" s="1"/>
  <c r="F5637" i="1"/>
  <c r="K5637" i="1" s="1"/>
  <c r="F5638" i="1"/>
  <c r="K5638" i="1" s="1"/>
  <c r="F5639" i="1"/>
  <c r="K5639" i="1" s="1"/>
  <c r="F5640" i="1"/>
  <c r="K5640" i="1" s="1"/>
  <c r="F5641" i="1"/>
  <c r="K5641" i="1" s="1"/>
  <c r="F5642" i="1"/>
  <c r="K5642" i="1" s="1"/>
  <c r="F5643" i="1"/>
  <c r="K5643" i="1" s="1"/>
  <c r="F5644" i="1"/>
  <c r="K5644" i="1" s="1"/>
  <c r="F5645" i="1"/>
  <c r="K5645" i="1" s="1"/>
  <c r="F5646" i="1"/>
  <c r="K5646" i="1" s="1"/>
  <c r="F5647" i="1"/>
  <c r="K5647" i="1" s="1"/>
  <c r="F5648" i="1"/>
  <c r="K5648" i="1" s="1"/>
  <c r="F5649" i="1"/>
  <c r="K5649" i="1" s="1"/>
  <c r="F5650" i="1"/>
  <c r="K5650" i="1" s="1"/>
  <c r="F5651" i="1"/>
  <c r="K5651" i="1" s="1"/>
  <c r="F5652" i="1"/>
  <c r="K5652" i="1" s="1"/>
  <c r="F5653" i="1"/>
  <c r="K5653" i="1" s="1"/>
  <c r="F5654" i="1"/>
  <c r="K5654" i="1" s="1"/>
  <c r="F5655" i="1"/>
  <c r="K5655" i="1" s="1"/>
  <c r="F5656" i="1"/>
  <c r="K5656" i="1" s="1"/>
  <c r="F5657" i="1"/>
  <c r="K5657" i="1" s="1"/>
  <c r="F5658" i="1"/>
  <c r="K5658" i="1" s="1"/>
  <c r="F5659" i="1"/>
  <c r="K5659" i="1" s="1"/>
  <c r="F5660" i="1"/>
  <c r="K5660" i="1" s="1"/>
  <c r="F5661" i="1"/>
  <c r="K5661" i="1" s="1"/>
  <c r="F5662" i="1"/>
  <c r="K5662" i="1" s="1"/>
  <c r="F5663" i="1"/>
  <c r="K5663" i="1" s="1"/>
  <c r="F5664" i="1"/>
  <c r="K5664" i="1" s="1"/>
  <c r="F5665" i="1"/>
  <c r="K5665" i="1" s="1"/>
  <c r="F5666" i="1"/>
  <c r="K5666" i="1" s="1"/>
  <c r="F5667" i="1"/>
  <c r="K5667" i="1" s="1"/>
  <c r="F5668" i="1"/>
  <c r="K5668" i="1" s="1"/>
  <c r="F5669" i="1"/>
  <c r="K5669" i="1" s="1"/>
  <c r="F5670" i="1"/>
  <c r="K5670" i="1" s="1"/>
  <c r="F5671" i="1"/>
  <c r="K5671" i="1" s="1"/>
  <c r="F5672" i="1"/>
  <c r="K5672" i="1" s="1"/>
  <c r="F5673" i="1"/>
  <c r="K5673" i="1" s="1"/>
  <c r="F5674" i="1"/>
  <c r="K5674" i="1" s="1"/>
  <c r="F5675" i="1"/>
  <c r="K5675" i="1" s="1"/>
  <c r="F5676" i="1"/>
  <c r="K5676" i="1" s="1"/>
  <c r="F5677" i="1"/>
  <c r="K5677" i="1" s="1"/>
  <c r="F5678" i="1"/>
  <c r="K5678" i="1" s="1"/>
  <c r="F5679" i="1"/>
  <c r="K5679" i="1" s="1"/>
  <c r="F5680" i="1"/>
  <c r="K5680" i="1" s="1"/>
  <c r="F5681" i="1"/>
  <c r="K5681" i="1" s="1"/>
  <c r="F5682" i="1"/>
  <c r="K5682" i="1" s="1"/>
  <c r="F5683" i="1"/>
  <c r="K5683" i="1" s="1"/>
  <c r="F5684" i="1"/>
  <c r="K5684" i="1" s="1"/>
  <c r="F5685" i="1"/>
  <c r="K5685" i="1" s="1"/>
  <c r="F5686" i="1"/>
  <c r="K5686" i="1" s="1"/>
  <c r="F5687" i="1"/>
  <c r="K5687" i="1" s="1"/>
  <c r="F5688" i="1"/>
  <c r="K5688" i="1" s="1"/>
  <c r="F5689" i="1"/>
  <c r="K5689" i="1" s="1"/>
  <c r="F5690" i="1"/>
  <c r="K5690" i="1" s="1"/>
  <c r="F5691" i="1"/>
  <c r="K5691" i="1" s="1"/>
  <c r="F5692" i="1"/>
  <c r="K5692" i="1" s="1"/>
  <c r="F5693" i="1"/>
  <c r="K5693" i="1" s="1"/>
  <c r="F5694" i="1"/>
  <c r="K5694" i="1" s="1"/>
  <c r="F5695" i="1"/>
  <c r="K5695" i="1" s="1"/>
  <c r="F5696" i="1"/>
  <c r="K5696" i="1" s="1"/>
  <c r="F5697" i="1"/>
  <c r="K5697" i="1" s="1"/>
  <c r="F5698" i="1"/>
  <c r="K5698" i="1" s="1"/>
  <c r="F5699" i="1"/>
  <c r="K5699" i="1" s="1"/>
  <c r="F5700" i="1"/>
  <c r="K5700" i="1" s="1"/>
  <c r="F5701" i="1"/>
  <c r="K5701" i="1" s="1"/>
  <c r="F5702" i="1"/>
  <c r="K5702" i="1" s="1"/>
  <c r="F5703" i="1"/>
  <c r="K5703" i="1" s="1"/>
  <c r="F5704" i="1"/>
  <c r="K5704" i="1" s="1"/>
  <c r="F5705" i="1"/>
  <c r="K5705" i="1" s="1"/>
  <c r="F5706" i="1"/>
  <c r="K5706" i="1" s="1"/>
  <c r="F5707" i="1"/>
  <c r="K5707" i="1" s="1"/>
  <c r="F5708" i="1"/>
  <c r="K5708" i="1" s="1"/>
  <c r="F5709" i="1"/>
  <c r="K5709" i="1" s="1"/>
  <c r="F5710" i="1"/>
  <c r="K5710" i="1" s="1"/>
  <c r="F5711" i="1"/>
  <c r="K5711" i="1" s="1"/>
  <c r="F5712" i="1"/>
  <c r="K5712" i="1" s="1"/>
  <c r="F5713" i="1"/>
  <c r="K5713" i="1" s="1"/>
  <c r="F5714" i="1"/>
  <c r="K5714" i="1" s="1"/>
  <c r="F5715" i="1"/>
  <c r="K5715" i="1" s="1"/>
  <c r="F5716" i="1"/>
  <c r="K5716" i="1" s="1"/>
  <c r="F5717" i="1"/>
  <c r="K5717" i="1" s="1"/>
  <c r="F5718" i="1"/>
  <c r="K5718" i="1" s="1"/>
  <c r="F5719" i="1"/>
  <c r="K5719" i="1" s="1"/>
  <c r="F5720" i="1"/>
  <c r="K5720" i="1" s="1"/>
  <c r="F5721" i="1"/>
  <c r="K5721" i="1" s="1"/>
  <c r="F5722" i="1"/>
  <c r="K5722" i="1" s="1"/>
  <c r="F5723" i="1"/>
  <c r="K5723" i="1" s="1"/>
  <c r="F5724" i="1"/>
  <c r="K5724" i="1" s="1"/>
  <c r="F5725" i="1"/>
  <c r="K5725" i="1" s="1"/>
  <c r="F5726" i="1"/>
  <c r="K5726" i="1" s="1"/>
  <c r="F5727" i="1"/>
  <c r="K5727" i="1" s="1"/>
  <c r="F5728" i="1"/>
  <c r="K5728" i="1" s="1"/>
  <c r="F5729" i="1"/>
  <c r="K5729" i="1" s="1"/>
  <c r="F5730" i="1"/>
  <c r="K5730" i="1" s="1"/>
  <c r="F5731" i="1"/>
  <c r="K5731" i="1" s="1"/>
  <c r="F5732" i="1"/>
  <c r="K5732" i="1" s="1"/>
  <c r="F5733" i="1"/>
  <c r="K5733" i="1" s="1"/>
  <c r="F5734" i="1"/>
  <c r="K5734" i="1" s="1"/>
  <c r="F5735" i="1"/>
  <c r="K5735" i="1" s="1"/>
  <c r="F5736" i="1"/>
  <c r="K5736" i="1" s="1"/>
  <c r="F5737" i="1"/>
  <c r="K5737" i="1" s="1"/>
  <c r="F5738" i="1"/>
  <c r="K5738" i="1" s="1"/>
  <c r="F5739" i="1"/>
  <c r="K5739" i="1" s="1"/>
  <c r="F5740" i="1"/>
  <c r="K5740" i="1" s="1"/>
  <c r="F5741" i="1"/>
  <c r="K5741" i="1" s="1"/>
  <c r="F5742" i="1"/>
  <c r="K5742" i="1" s="1"/>
  <c r="F5743" i="1"/>
  <c r="K5743" i="1" s="1"/>
  <c r="F5744" i="1"/>
  <c r="K5744" i="1" s="1"/>
  <c r="F5745" i="1"/>
  <c r="K5745" i="1" s="1"/>
  <c r="F5746" i="1"/>
  <c r="K5746" i="1" s="1"/>
  <c r="F5747" i="1"/>
  <c r="K5747" i="1" s="1"/>
  <c r="F5748" i="1"/>
  <c r="K5748" i="1" s="1"/>
  <c r="F5749" i="1"/>
  <c r="K5749" i="1" s="1"/>
  <c r="F5750" i="1"/>
  <c r="K5750" i="1" s="1"/>
  <c r="F5751" i="1"/>
  <c r="K5751" i="1" s="1"/>
  <c r="F5752" i="1"/>
  <c r="K5752" i="1" s="1"/>
  <c r="F5753" i="1"/>
  <c r="K5753" i="1" s="1"/>
  <c r="F5754" i="1"/>
  <c r="K5754" i="1" s="1"/>
  <c r="F5755" i="1"/>
  <c r="K5755" i="1" s="1"/>
  <c r="F5756" i="1"/>
  <c r="K5756" i="1" s="1"/>
  <c r="F5757" i="1"/>
  <c r="K5757" i="1" s="1"/>
  <c r="F5758" i="1"/>
  <c r="K5758" i="1" s="1"/>
  <c r="F5759" i="1"/>
  <c r="K5759" i="1" s="1"/>
  <c r="F5760" i="1"/>
  <c r="K5760" i="1" s="1"/>
  <c r="F5761" i="1"/>
  <c r="K5761" i="1" s="1"/>
  <c r="F5762" i="1"/>
  <c r="K5762" i="1" s="1"/>
  <c r="F5763" i="1"/>
  <c r="K5763" i="1" s="1"/>
  <c r="F5764" i="1"/>
  <c r="K5764" i="1" s="1"/>
  <c r="F5765" i="1"/>
  <c r="K5765" i="1" s="1"/>
  <c r="F5766" i="1"/>
  <c r="K5766" i="1" s="1"/>
  <c r="F5767" i="1"/>
  <c r="K5767" i="1" s="1"/>
  <c r="F5768" i="1"/>
  <c r="K5768" i="1" s="1"/>
  <c r="F5769" i="1"/>
  <c r="K5769" i="1" s="1"/>
  <c r="F5770" i="1"/>
  <c r="K5770" i="1" s="1"/>
  <c r="F5771" i="1"/>
  <c r="K5771" i="1" s="1"/>
  <c r="F5772" i="1"/>
  <c r="K5772" i="1" s="1"/>
  <c r="F5773" i="1"/>
  <c r="K5773" i="1" s="1"/>
  <c r="F5774" i="1"/>
  <c r="K5774" i="1" s="1"/>
  <c r="F5775" i="1"/>
  <c r="K5775" i="1" s="1"/>
  <c r="F5776" i="1"/>
  <c r="K5776" i="1" s="1"/>
  <c r="F5777" i="1"/>
  <c r="K5777" i="1" s="1"/>
  <c r="F5778" i="1"/>
  <c r="K5778" i="1" s="1"/>
  <c r="F5779" i="1"/>
  <c r="K5779" i="1" s="1"/>
  <c r="F5780" i="1"/>
  <c r="K5780" i="1" s="1"/>
  <c r="F5781" i="1"/>
  <c r="K5781" i="1" s="1"/>
  <c r="F5782" i="1"/>
  <c r="K5782" i="1" s="1"/>
  <c r="F5783" i="1"/>
  <c r="K5783" i="1" s="1"/>
  <c r="F5784" i="1"/>
  <c r="K5784" i="1" s="1"/>
  <c r="F5785" i="1"/>
  <c r="K5785" i="1" s="1"/>
  <c r="F5786" i="1"/>
  <c r="K5786" i="1" s="1"/>
  <c r="F5787" i="1"/>
  <c r="K5787" i="1" s="1"/>
  <c r="F5788" i="1"/>
  <c r="K5788" i="1" s="1"/>
  <c r="F5789" i="1"/>
  <c r="K5789" i="1" s="1"/>
  <c r="F5790" i="1"/>
  <c r="K5790" i="1" s="1"/>
  <c r="F5791" i="1"/>
  <c r="K5791" i="1" s="1"/>
  <c r="F5792" i="1"/>
  <c r="K5792" i="1" s="1"/>
  <c r="F5793" i="1"/>
  <c r="K5793" i="1" s="1"/>
  <c r="F5794" i="1"/>
  <c r="K5794" i="1" s="1"/>
  <c r="F5795" i="1"/>
  <c r="K5795" i="1" s="1"/>
  <c r="F5796" i="1"/>
  <c r="K5796" i="1" s="1"/>
  <c r="F5797" i="1"/>
  <c r="K5797" i="1" s="1"/>
  <c r="F5798" i="1"/>
  <c r="K5798" i="1" s="1"/>
  <c r="F5799" i="1"/>
  <c r="K5799" i="1" s="1"/>
  <c r="F5800" i="1"/>
  <c r="K5800" i="1" s="1"/>
  <c r="F5801" i="1"/>
  <c r="K5801" i="1" s="1"/>
  <c r="F5802" i="1"/>
  <c r="K5802" i="1" s="1"/>
  <c r="F5803" i="1"/>
  <c r="K5803" i="1" s="1"/>
  <c r="F5804" i="1"/>
  <c r="K5804" i="1" s="1"/>
  <c r="F5805" i="1"/>
  <c r="K5805" i="1" s="1"/>
  <c r="F5806" i="1"/>
  <c r="K5806" i="1" s="1"/>
  <c r="F5807" i="1"/>
  <c r="K5807" i="1" s="1"/>
  <c r="F5808" i="1"/>
  <c r="K5808" i="1" s="1"/>
  <c r="F5809" i="1"/>
  <c r="K5809" i="1" s="1"/>
  <c r="F5810" i="1"/>
  <c r="K5810" i="1" s="1"/>
  <c r="F5811" i="1"/>
  <c r="K5811" i="1" s="1"/>
  <c r="F5812" i="1"/>
  <c r="K5812" i="1" s="1"/>
  <c r="F5813" i="1"/>
  <c r="K5813" i="1" s="1"/>
  <c r="F5814" i="1"/>
  <c r="K5814" i="1" s="1"/>
  <c r="F5815" i="1"/>
  <c r="K5815" i="1" s="1"/>
  <c r="F5816" i="1"/>
  <c r="K5816" i="1" s="1"/>
  <c r="F5817" i="1"/>
  <c r="K5817" i="1" s="1"/>
  <c r="F5818" i="1"/>
  <c r="K5818" i="1" s="1"/>
  <c r="F5819" i="1"/>
  <c r="K5819" i="1" s="1"/>
  <c r="F5820" i="1"/>
  <c r="K5820" i="1" s="1"/>
  <c r="F5821" i="1"/>
  <c r="K5821" i="1" s="1"/>
  <c r="F5822" i="1"/>
  <c r="K5822" i="1" s="1"/>
  <c r="F5823" i="1"/>
  <c r="K5823" i="1" s="1"/>
  <c r="F5824" i="1"/>
  <c r="K5824" i="1" s="1"/>
  <c r="F5825" i="1"/>
  <c r="K5825" i="1" s="1"/>
  <c r="F5826" i="1"/>
  <c r="K5826" i="1" s="1"/>
  <c r="F5827" i="1"/>
  <c r="K5827" i="1" s="1"/>
  <c r="F5828" i="1"/>
  <c r="K5828" i="1" s="1"/>
  <c r="F5829" i="1"/>
  <c r="K5829" i="1" s="1"/>
  <c r="F5830" i="1"/>
  <c r="K5830" i="1" s="1"/>
  <c r="F5831" i="1"/>
  <c r="K5831" i="1" s="1"/>
  <c r="F5832" i="1"/>
  <c r="K5832" i="1" s="1"/>
  <c r="F5833" i="1"/>
  <c r="K5833" i="1" s="1"/>
  <c r="F5834" i="1"/>
  <c r="K5834" i="1" s="1"/>
  <c r="F5835" i="1"/>
  <c r="K5835" i="1" s="1"/>
  <c r="F5836" i="1"/>
  <c r="K5836" i="1" s="1"/>
  <c r="F5837" i="1"/>
  <c r="K5837" i="1" s="1"/>
  <c r="F5838" i="1"/>
  <c r="K5838" i="1" s="1"/>
  <c r="F5839" i="1"/>
  <c r="K5839" i="1" s="1"/>
  <c r="F5840" i="1"/>
  <c r="K5840" i="1" s="1"/>
  <c r="F5841" i="1"/>
  <c r="K5841" i="1" s="1"/>
  <c r="F5842" i="1"/>
  <c r="K5842" i="1" s="1"/>
  <c r="F5843" i="1"/>
  <c r="K5843" i="1" s="1"/>
  <c r="F5844" i="1"/>
  <c r="K5844" i="1" s="1"/>
  <c r="F5845" i="1"/>
  <c r="K5845" i="1" s="1"/>
  <c r="F5846" i="1"/>
  <c r="K5846" i="1" s="1"/>
  <c r="F5847" i="1"/>
  <c r="K5847" i="1" s="1"/>
  <c r="F5848" i="1"/>
  <c r="K5848" i="1" s="1"/>
  <c r="F5849" i="1"/>
  <c r="K5849" i="1" s="1"/>
  <c r="F5850" i="1"/>
  <c r="K5850" i="1" s="1"/>
  <c r="F5851" i="1"/>
  <c r="K5851" i="1" s="1"/>
  <c r="F5852" i="1"/>
  <c r="K5852" i="1" s="1"/>
  <c r="F5853" i="1"/>
  <c r="K5853" i="1" s="1"/>
  <c r="F5854" i="1"/>
  <c r="K5854" i="1" s="1"/>
  <c r="F5855" i="1"/>
  <c r="K5855" i="1" s="1"/>
  <c r="F5856" i="1"/>
  <c r="K5856" i="1" s="1"/>
  <c r="F5857" i="1"/>
  <c r="K5857" i="1" s="1"/>
  <c r="F5858" i="1"/>
  <c r="K5858" i="1" s="1"/>
  <c r="F5859" i="1"/>
  <c r="K5859" i="1" s="1"/>
  <c r="F5860" i="1"/>
  <c r="K5860" i="1" s="1"/>
  <c r="F5861" i="1"/>
  <c r="K5861" i="1" s="1"/>
  <c r="F5862" i="1"/>
  <c r="K5862" i="1" s="1"/>
  <c r="F5863" i="1"/>
  <c r="K5863" i="1" s="1"/>
  <c r="F5864" i="1"/>
  <c r="K5864" i="1" s="1"/>
  <c r="F5865" i="1"/>
  <c r="K5865" i="1" s="1"/>
  <c r="F5866" i="1"/>
  <c r="K5866" i="1" s="1"/>
  <c r="F5867" i="1"/>
  <c r="K5867" i="1" s="1"/>
  <c r="F5868" i="1"/>
  <c r="K5868" i="1" s="1"/>
  <c r="F5869" i="1"/>
  <c r="K5869" i="1" s="1"/>
  <c r="F5870" i="1"/>
  <c r="K5870" i="1" s="1"/>
  <c r="F5871" i="1"/>
  <c r="K5871" i="1" s="1"/>
  <c r="F5872" i="1"/>
  <c r="K5872" i="1" s="1"/>
  <c r="F5873" i="1"/>
  <c r="K5873" i="1" s="1"/>
  <c r="F5874" i="1"/>
  <c r="K5874" i="1" s="1"/>
  <c r="F5875" i="1"/>
  <c r="K5875" i="1" s="1"/>
  <c r="F5876" i="1"/>
  <c r="K5876" i="1" s="1"/>
  <c r="F5877" i="1"/>
  <c r="K5877" i="1" s="1"/>
  <c r="F5878" i="1"/>
  <c r="K5878" i="1" s="1"/>
  <c r="F5879" i="1"/>
  <c r="K5879" i="1" s="1"/>
  <c r="F5880" i="1"/>
  <c r="K5880" i="1" s="1"/>
  <c r="F5881" i="1"/>
  <c r="K5881" i="1" s="1"/>
  <c r="F5882" i="1"/>
  <c r="K5882" i="1" s="1"/>
  <c r="F5883" i="1"/>
  <c r="K5883" i="1" s="1"/>
  <c r="F5884" i="1"/>
  <c r="K5884" i="1" s="1"/>
  <c r="F5885" i="1"/>
  <c r="K5885" i="1" s="1"/>
  <c r="F5886" i="1"/>
  <c r="K5886" i="1" s="1"/>
  <c r="F5887" i="1"/>
  <c r="K5887" i="1" s="1"/>
  <c r="F5888" i="1"/>
  <c r="K5888" i="1" s="1"/>
  <c r="F5889" i="1"/>
  <c r="K5889" i="1" s="1"/>
  <c r="F5890" i="1"/>
  <c r="K5890" i="1" s="1"/>
  <c r="F5891" i="1"/>
  <c r="K5891" i="1" s="1"/>
  <c r="F5892" i="1"/>
  <c r="K5892" i="1" s="1"/>
  <c r="F5893" i="1"/>
  <c r="K5893" i="1" s="1"/>
  <c r="F5894" i="1"/>
  <c r="K5894" i="1" s="1"/>
  <c r="F5895" i="1"/>
  <c r="K5895" i="1" s="1"/>
  <c r="F5896" i="1"/>
  <c r="K5896" i="1" s="1"/>
  <c r="F5897" i="1"/>
  <c r="K5897" i="1" s="1"/>
  <c r="F5898" i="1"/>
  <c r="K5898" i="1" s="1"/>
  <c r="F5899" i="1"/>
  <c r="K5899" i="1" s="1"/>
  <c r="F5900" i="1"/>
  <c r="K5900" i="1" s="1"/>
  <c r="F5901" i="1"/>
  <c r="K5901" i="1" s="1"/>
  <c r="F5902" i="1"/>
  <c r="K5902" i="1" s="1"/>
  <c r="F5903" i="1"/>
  <c r="K5903" i="1" s="1"/>
  <c r="F5904" i="1"/>
  <c r="K5904" i="1" s="1"/>
  <c r="F5905" i="1"/>
  <c r="K5905" i="1" s="1"/>
  <c r="F5906" i="1"/>
  <c r="K5906" i="1" s="1"/>
  <c r="F5907" i="1"/>
  <c r="K5907" i="1" s="1"/>
  <c r="F5908" i="1"/>
  <c r="K5908" i="1" s="1"/>
  <c r="F5909" i="1"/>
  <c r="K5909" i="1" s="1"/>
  <c r="F5910" i="1"/>
  <c r="K5910" i="1" s="1"/>
  <c r="F5911" i="1"/>
  <c r="K5911" i="1" s="1"/>
  <c r="F5912" i="1"/>
  <c r="K5912" i="1" s="1"/>
  <c r="F5913" i="1"/>
  <c r="K5913" i="1" s="1"/>
  <c r="F5914" i="1"/>
  <c r="K5914" i="1" s="1"/>
  <c r="F5915" i="1"/>
  <c r="K5915" i="1" s="1"/>
  <c r="F5916" i="1"/>
  <c r="K5916" i="1" s="1"/>
  <c r="F5917" i="1"/>
  <c r="K5917" i="1" s="1"/>
  <c r="F5918" i="1"/>
  <c r="K5918" i="1" s="1"/>
  <c r="F5919" i="1"/>
  <c r="K5919" i="1" s="1"/>
  <c r="F5920" i="1"/>
  <c r="K5920" i="1" s="1"/>
  <c r="F5921" i="1"/>
  <c r="K5921" i="1" s="1"/>
  <c r="F5922" i="1"/>
  <c r="K5922" i="1" s="1"/>
  <c r="F5923" i="1"/>
  <c r="K5923" i="1" s="1"/>
  <c r="F5924" i="1"/>
  <c r="K5924" i="1" s="1"/>
  <c r="F5925" i="1"/>
  <c r="K5925" i="1" s="1"/>
  <c r="F5926" i="1"/>
  <c r="K5926" i="1" s="1"/>
  <c r="F5927" i="1"/>
  <c r="K5927" i="1" s="1"/>
  <c r="F5928" i="1"/>
  <c r="K5928" i="1" s="1"/>
  <c r="F5929" i="1"/>
  <c r="K5929" i="1" s="1"/>
  <c r="F5930" i="1"/>
  <c r="K5930" i="1" s="1"/>
  <c r="F5931" i="1"/>
  <c r="K5931" i="1" s="1"/>
  <c r="F5932" i="1"/>
  <c r="K5932" i="1" s="1"/>
  <c r="F5933" i="1"/>
  <c r="K5933" i="1" s="1"/>
  <c r="F5934" i="1"/>
  <c r="K5934" i="1" s="1"/>
  <c r="F5935" i="1"/>
  <c r="K5935" i="1" s="1"/>
  <c r="F5936" i="1"/>
  <c r="K5936" i="1" s="1"/>
  <c r="F5937" i="1"/>
  <c r="K5937" i="1" s="1"/>
  <c r="F5938" i="1"/>
  <c r="K5938" i="1" s="1"/>
  <c r="F5939" i="1"/>
  <c r="K5939" i="1" s="1"/>
  <c r="F5940" i="1"/>
  <c r="K5940" i="1" s="1"/>
  <c r="F5941" i="1"/>
  <c r="K5941" i="1" s="1"/>
  <c r="F5942" i="1"/>
  <c r="K5942" i="1" s="1"/>
  <c r="F5943" i="1"/>
  <c r="K5943" i="1" s="1"/>
  <c r="F5944" i="1"/>
  <c r="K5944" i="1" s="1"/>
  <c r="F5945" i="1"/>
  <c r="K5945" i="1" s="1"/>
  <c r="F5946" i="1"/>
  <c r="K5946" i="1" s="1"/>
  <c r="F5947" i="1"/>
  <c r="K5947" i="1" s="1"/>
  <c r="F5948" i="1"/>
  <c r="K5948" i="1" s="1"/>
  <c r="F5949" i="1"/>
  <c r="K5949" i="1" s="1"/>
  <c r="F5950" i="1"/>
  <c r="K5950" i="1" s="1"/>
  <c r="F5951" i="1"/>
  <c r="K5951" i="1" s="1"/>
  <c r="F5952" i="1"/>
  <c r="K5952" i="1" s="1"/>
  <c r="F5953" i="1"/>
  <c r="K5953" i="1" s="1"/>
  <c r="F5954" i="1"/>
  <c r="K5954" i="1" s="1"/>
  <c r="F5955" i="1"/>
  <c r="K5955" i="1" s="1"/>
  <c r="F5956" i="1"/>
  <c r="K5956" i="1" s="1"/>
  <c r="F5957" i="1"/>
  <c r="K5957" i="1" s="1"/>
  <c r="F5958" i="1"/>
  <c r="K5958" i="1" s="1"/>
  <c r="F5959" i="1"/>
  <c r="K5959" i="1" s="1"/>
  <c r="F5960" i="1"/>
  <c r="K5960" i="1" s="1"/>
  <c r="F5961" i="1"/>
  <c r="K5961" i="1" s="1"/>
  <c r="F5962" i="1"/>
  <c r="K5962" i="1" s="1"/>
  <c r="F5963" i="1"/>
  <c r="K5963" i="1" s="1"/>
  <c r="F5964" i="1"/>
  <c r="K5964" i="1" s="1"/>
  <c r="F5965" i="1"/>
  <c r="K5965" i="1" s="1"/>
  <c r="F5966" i="1"/>
  <c r="K5966" i="1" s="1"/>
  <c r="F5967" i="1"/>
  <c r="K5967" i="1" s="1"/>
  <c r="F5968" i="1"/>
  <c r="K5968" i="1" s="1"/>
  <c r="F5969" i="1"/>
  <c r="K5969" i="1" s="1"/>
  <c r="F5970" i="1"/>
  <c r="K5970" i="1" s="1"/>
  <c r="F5971" i="1"/>
  <c r="K5971" i="1" s="1"/>
  <c r="F5972" i="1"/>
  <c r="K5972" i="1" s="1"/>
  <c r="F5973" i="1"/>
  <c r="K5973" i="1" s="1"/>
  <c r="F5974" i="1"/>
  <c r="K5974" i="1" s="1"/>
  <c r="F5975" i="1"/>
  <c r="K5975" i="1" s="1"/>
  <c r="F5976" i="1"/>
  <c r="K5976" i="1" s="1"/>
  <c r="F5977" i="1"/>
  <c r="K5977" i="1" s="1"/>
  <c r="F5978" i="1"/>
  <c r="K5978" i="1" s="1"/>
  <c r="F5979" i="1"/>
  <c r="K5979" i="1" s="1"/>
  <c r="F5980" i="1"/>
  <c r="K5980" i="1" s="1"/>
  <c r="F5981" i="1"/>
  <c r="K5981" i="1" s="1"/>
  <c r="F5982" i="1"/>
  <c r="K5982" i="1" s="1"/>
  <c r="F5983" i="1"/>
  <c r="K5983" i="1" s="1"/>
  <c r="F5984" i="1"/>
  <c r="K5984" i="1" s="1"/>
  <c r="F5985" i="1"/>
  <c r="K5985" i="1" s="1"/>
  <c r="F5986" i="1"/>
  <c r="K5986" i="1" s="1"/>
  <c r="F5987" i="1"/>
  <c r="K5987" i="1" s="1"/>
  <c r="F5988" i="1"/>
  <c r="K5988" i="1" s="1"/>
  <c r="F5989" i="1"/>
  <c r="K5989" i="1" s="1"/>
  <c r="F5990" i="1"/>
  <c r="K5990" i="1" s="1"/>
  <c r="F5991" i="1"/>
  <c r="K5991" i="1" s="1"/>
  <c r="F5992" i="1"/>
  <c r="K5992" i="1" s="1"/>
  <c r="F5993" i="1"/>
  <c r="K5993" i="1" s="1"/>
  <c r="F5994" i="1"/>
  <c r="K5994" i="1" s="1"/>
  <c r="F5995" i="1"/>
  <c r="K5995" i="1" s="1"/>
  <c r="F5996" i="1"/>
  <c r="K5996" i="1" s="1"/>
  <c r="F5997" i="1"/>
  <c r="K5997" i="1" s="1"/>
  <c r="F5998" i="1"/>
  <c r="K5998" i="1" s="1"/>
  <c r="F5999" i="1"/>
  <c r="K5999" i="1" s="1"/>
  <c r="F6000" i="1"/>
  <c r="K6000" i="1" s="1"/>
  <c r="F6001" i="1"/>
  <c r="K6001" i="1" s="1"/>
  <c r="F6002" i="1"/>
  <c r="K6002" i="1" s="1"/>
  <c r="F6003" i="1"/>
  <c r="K6003" i="1" s="1"/>
  <c r="F6004" i="1"/>
  <c r="K6004" i="1" s="1"/>
  <c r="F6005" i="1"/>
  <c r="K6005" i="1" s="1"/>
  <c r="F6006" i="1"/>
  <c r="K6006" i="1" s="1"/>
  <c r="F6007" i="1"/>
  <c r="K6007" i="1" s="1"/>
  <c r="F6008" i="1"/>
  <c r="K6008" i="1" s="1"/>
  <c r="F6009" i="1"/>
  <c r="K6009" i="1" s="1"/>
  <c r="F6010" i="1"/>
  <c r="K6010" i="1" s="1"/>
  <c r="F6011" i="1"/>
  <c r="K6011" i="1" s="1"/>
  <c r="F6012" i="1"/>
  <c r="K6012" i="1" s="1"/>
  <c r="F6013" i="1"/>
  <c r="K6013" i="1" s="1"/>
  <c r="F6014" i="1"/>
  <c r="K6014" i="1" s="1"/>
  <c r="F6015" i="1"/>
  <c r="K6015" i="1" s="1"/>
  <c r="F6016" i="1"/>
  <c r="K6016" i="1" s="1"/>
  <c r="F6017" i="1"/>
  <c r="K6017" i="1" s="1"/>
  <c r="F6018" i="1"/>
  <c r="K6018" i="1" s="1"/>
  <c r="F6019" i="1"/>
  <c r="K6019" i="1" s="1"/>
  <c r="F6020" i="1"/>
  <c r="K6020" i="1" s="1"/>
  <c r="F6021" i="1"/>
  <c r="K6021" i="1" s="1"/>
  <c r="F6022" i="1"/>
  <c r="K6022" i="1" s="1"/>
  <c r="F6023" i="1"/>
  <c r="K6023" i="1" s="1"/>
  <c r="F6024" i="1"/>
  <c r="K6024" i="1" s="1"/>
  <c r="F6025" i="1"/>
  <c r="K6025" i="1" s="1"/>
  <c r="F6026" i="1"/>
  <c r="K6026" i="1" s="1"/>
  <c r="F6027" i="1"/>
  <c r="K6027" i="1" s="1"/>
  <c r="F6028" i="1"/>
  <c r="K6028" i="1" s="1"/>
  <c r="F6029" i="1"/>
  <c r="K6029" i="1" s="1"/>
  <c r="F6030" i="1"/>
  <c r="K6030" i="1" s="1"/>
  <c r="F6031" i="1"/>
  <c r="K6031" i="1" s="1"/>
  <c r="F6032" i="1"/>
  <c r="K6032" i="1" s="1"/>
  <c r="F6033" i="1"/>
  <c r="K6033" i="1" s="1"/>
  <c r="F6034" i="1"/>
  <c r="K6034" i="1" s="1"/>
  <c r="F6035" i="1"/>
  <c r="K6035" i="1" s="1"/>
  <c r="F6036" i="1"/>
  <c r="K6036" i="1" s="1"/>
  <c r="F6037" i="1"/>
  <c r="K6037" i="1" s="1"/>
  <c r="F6038" i="1"/>
  <c r="K6038" i="1" s="1"/>
  <c r="F6039" i="1"/>
  <c r="K6039" i="1" s="1"/>
  <c r="F6040" i="1"/>
  <c r="K6040" i="1" s="1"/>
  <c r="F6041" i="1"/>
  <c r="K6041" i="1" s="1"/>
  <c r="F6042" i="1"/>
  <c r="K6042" i="1" s="1"/>
  <c r="F6043" i="1"/>
  <c r="K6043" i="1" s="1"/>
  <c r="F6044" i="1"/>
  <c r="K6044" i="1" s="1"/>
  <c r="F6045" i="1"/>
  <c r="K6045" i="1" s="1"/>
  <c r="F6046" i="1"/>
  <c r="K6046" i="1" s="1"/>
  <c r="F6047" i="1"/>
  <c r="K6047" i="1" s="1"/>
  <c r="F6048" i="1"/>
  <c r="K6048" i="1" s="1"/>
  <c r="F6049" i="1"/>
  <c r="K6049" i="1" s="1"/>
  <c r="F6050" i="1"/>
  <c r="K6050" i="1" s="1"/>
  <c r="F6051" i="1"/>
  <c r="K6051" i="1" s="1"/>
  <c r="F6052" i="1"/>
  <c r="K6052" i="1" s="1"/>
  <c r="F6053" i="1"/>
  <c r="K6053" i="1" s="1"/>
  <c r="F6054" i="1"/>
  <c r="K6054" i="1" s="1"/>
  <c r="F6055" i="1"/>
  <c r="K6055" i="1" s="1"/>
  <c r="F6056" i="1"/>
  <c r="K6056" i="1" s="1"/>
  <c r="F6057" i="1"/>
  <c r="K6057" i="1" s="1"/>
  <c r="F6058" i="1"/>
  <c r="K6058" i="1" s="1"/>
  <c r="F6059" i="1"/>
  <c r="K6059" i="1" s="1"/>
  <c r="F6060" i="1"/>
  <c r="K6060" i="1" s="1"/>
  <c r="F6061" i="1"/>
  <c r="K6061" i="1" s="1"/>
  <c r="F6062" i="1"/>
  <c r="K6062" i="1" s="1"/>
  <c r="F6063" i="1"/>
  <c r="K6063" i="1" s="1"/>
  <c r="F6064" i="1"/>
  <c r="K6064" i="1" s="1"/>
  <c r="F6065" i="1"/>
  <c r="K6065" i="1" s="1"/>
  <c r="F6066" i="1"/>
  <c r="K6066" i="1" s="1"/>
  <c r="F6067" i="1"/>
  <c r="K6067" i="1" s="1"/>
  <c r="F6068" i="1"/>
  <c r="K6068" i="1" s="1"/>
  <c r="F6069" i="1"/>
  <c r="K6069" i="1" s="1"/>
  <c r="F6070" i="1"/>
  <c r="K6070" i="1" s="1"/>
  <c r="F6071" i="1"/>
  <c r="K6071" i="1" s="1"/>
  <c r="F6072" i="1"/>
  <c r="K6072" i="1" s="1"/>
  <c r="F6073" i="1"/>
  <c r="K6073" i="1" s="1"/>
  <c r="F6074" i="1"/>
  <c r="K6074" i="1" s="1"/>
  <c r="F6075" i="1"/>
  <c r="K6075" i="1" s="1"/>
  <c r="F6076" i="1"/>
  <c r="K6076" i="1" s="1"/>
  <c r="F6077" i="1"/>
  <c r="K6077" i="1" s="1"/>
  <c r="F6078" i="1"/>
  <c r="K6078" i="1" s="1"/>
  <c r="F6079" i="1"/>
  <c r="K6079" i="1" s="1"/>
  <c r="F6080" i="1"/>
  <c r="K6080" i="1" s="1"/>
  <c r="F6081" i="1"/>
  <c r="K6081" i="1" s="1"/>
  <c r="F6082" i="1"/>
  <c r="K6082" i="1" s="1"/>
  <c r="F6083" i="1"/>
  <c r="K6083" i="1" s="1"/>
  <c r="F6084" i="1"/>
  <c r="K6084" i="1" s="1"/>
  <c r="F6085" i="1"/>
  <c r="K6085" i="1" s="1"/>
  <c r="F6086" i="1"/>
  <c r="K6086" i="1" s="1"/>
  <c r="F6087" i="1"/>
  <c r="K6087" i="1" s="1"/>
  <c r="F6088" i="1"/>
  <c r="K6088" i="1" s="1"/>
  <c r="F6089" i="1"/>
  <c r="K6089" i="1" s="1"/>
  <c r="F6090" i="1"/>
  <c r="K6090" i="1" s="1"/>
  <c r="F6091" i="1"/>
  <c r="K6091" i="1" s="1"/>
  <c r="F6092" i="1"/>
  <c r="K6092" i="1" s="1"/>
  <c r="F6093" i="1"/>
  <c r="K6093" i="1" s="1"/>
  <c r="F6094" i="1"/>
  <c r="K6094" i="1" s="1"/>
  <c r="F6095" i="1"/>
  <c r="K6095" i="1" s="1"/>
  <c r="F6096" i="1"/>
  <c r="K6096" i="1" s="1"/>
  <c r="F6097" i="1"/>
  <c r="K6097" i="1" s="1"/>
  <c r="F6098" i="1"/>
  <c r="K6098" i="1" s="1"/>
  <c r="F6099" i="1"/>
  <c r="K6099" i="1" s="1"/>
  <c r="F6100" i="1"/>
  <c r="K6100" i="1" s="1"/>
  <c r="F6101" i="1"/>
  <c r="K6101" i="1" s="1"/>
  <c r="F6102" i="1"/>
  <c r="K6102" i="1" s="1"/>
  <c r="F6103" i="1"/>
  <c r="K6103" i="1" s="1"/>
  <c r="F6104" i="1"/>
  <c r="K6104" i="1" s="1"/>
  <c r="F6105" i="1"/>
  <c r="K6105" i="1" s="1"/>
  <c r="F6106" i="1"/>
  <c r="K6106" i="1" s="1"/>
  <c r="F6107" i="1"/>
  <c r="K6107" i="1" s="1"/>
  <c r="F6108" i="1"/>
  <c r="K6108" i="1" s="1"/>
  <c r="F6109" i="1"/>
  <c r="K6109" i="1" s="1"/>
  <c r="F6110" i="1"/>
  <c r="K6110" i="1" s="1"/>
  <c r="F6111" i="1"/>
  <c r="K6111" i="1" s="1"/>
  <c r="F6112" i="1"/>
  <c r="K6112" i="1" s="1"/>
  <c r="F6113" i="1"/>
  <c r="K6113" i="1" s="1"/>
  <c r="F6114" i="1"/>
  <c r="K6114" i="1" s="1"/>
  <c r="F6115" i="1"/>
  <c r="K6115" i="1" s="1"/>
  <c r="F6116" i="1"/>
  <c r="K6116" i="1" s="1"/>
  <c r="F6117" i="1"/>
  <c r="K6117" i="1" s="1"/>
  <c r="F6118" i="1"/>
  <c r="K6118" i="1" s="1"/>
  <c r="F6119" i="1"/>
  <c r="K6119" i="1" s="1"/>
  <c r="F6120" i="1"/>
  <c r="K6120" i="1" s="1"/>
  <c r="F6121" i="1"/>
  <c r="K6121" i="1" s="1"/>
  <c r="F6122" i="1"/>
  <c r="K6122" i="1" s="1"/>
  <c r="F6123" i="1"/>
  <c r="K6123" i="1" s="1"/>
  <c r="F6124" i="1"/>
  <c r="K6124" i="1" s="1"/>
  <c r="F6125" i="1"/>
  <c r="K6125" i="1" s="1"/>
  <c r="F6126" i="1"/>
  <c r="K6126" i="1" s="1"/>
  <c r="F6127" i="1"/>
  <c r="K6127" i="1" s="1"/>
  <c r="F6128" i="1"/>
  <c r="K6128" i="1" s="1"/>
  <c r="F6129" i="1"/>
  <c r="K6129" i="1" s="1"/>
  <c r="F6130" i="1"/>
  <c r="K6130" i="1" s="1"/>
  <c r="F6131" i="1"/>
  <c r="K6131" i="1" s="1"/>
  <c r="F6132" i="1"/>
  <c r="K6132" i="1" s="1"/>
  <c r="F6133" i="1"/>
  <c r="K6133" i="1" s="1"/>
  <c r="F6134" i="1"/>
  <c r="K6134" i="1" s="1"/>
  <c r="F6135" i="1"/>
  <c r="K6135" i="1" s="1"/>
  <c r="F6136" i="1"/>
  <c r="K6136" i="1" s="1"/>
  <c r="F6137" i="1"/>
  <c r="K6137" i="1" s="1"/>
  <c r="F6138" i="1"/>
  <c r="K6138" i="1" s="1"/>
  <c r="F6139" i="1"/>
  <c r="K6139" i="1" s="1"/>
  <c r="F6140" i="1"/>
  <c r="K6140" i="1" s="1"/>
  <c r="F6141" i="1"/>
  <c r="K6141" i="1" s="1"/>
  <c r="F6142" i="1"/>
  <c r="K6142" i="1" s="1"/>
  <c r="F6143" i="1"/>
  <c r="K6143" i="1" s="1"/>
  <c r="F6144" i="1"/>
  <c r="K6144" i="1" s="1"/>
  <c r="F6145" i="1"/>
  <c r="K6145" i="1" s="1"/>
  <c r="F6146" i="1"/>
  <c r="K6146" i="1" s="1"/>
  <c r="F6147" i="1"/>
  <c r="K6147" i="1" s="1"/>
  <c r="F6148" i="1"/>
  <c r="K6148" i="1" s="1"/>
  <c r="F6149" i="1"/>
  <c r="K6149" i="1" s="1"/>
  <c r="F6150" i="1"/>
  <c r="K6150" i="1" s="1"/>
  <c r="F6151" i="1"/>
  <c r="K6151" i="1" s="1"/>
  <c r="F6152" i="1"/>
  <c r="K6152" i="1" s="1"/>
  <c r="F6153" i="1"/>
  <c r="K6153" i="1" s="1"/>
  <c r="F6154" i="1"/>
  <c r="K6154" i="1" s="1"/>
  <c r="F6155" i="1"/>
  <c r="K6155" i="1" s="1"/>
  <c r="F6156" i="1"/>
  <c r="K6156" i="1" s="1"/>
  <c r="F6157" i="1"/>
  <c r="K6157" i="1" s="1"/>
  <c r="F6158" i="1"/>
  <c r="K6158" i="1" s="1"/>
  <c r="F6159" i="1"/>
  <c r="K6159" i="1" s="1"/>
  <c r="F6160" i="1"/>
  <c r="K6160" i="1" s="1"/>
  <c r="F6161" i="1"/>
  <c r="K6161" i="1" s="1"/>
  <c r="F6162" i="1"/>
  <c r="K6162" i="1" s="1"/>
  <c r="F6163" i="1"/>
  <c r="K6163" i="1" s="1"/>
  <c r="F6164" i="1"/>
  <c r="K6164" i="1" s="1"/>
  <c r="F6165" i="1"/>
  <c r="K6165" i="1" s="1"/>
  <c r="F6166" i="1"/>
  <c r="K6166" i="1" s="1"/>
  <c r="F6167" i="1"/>
  <c r="K6167" i="1" s="1"/>
  <c r="F6168" i="1"/>
  <c r="K6168" i="1" s="1"/>
  <c r="F6169" i="1"/>
  <c r="K6169" i="1" s="1"/>
  <c r="F6170" i="1"/>
  <c r="K6170" i="1" s="1"/>
  <c r="F6171" i="1"/>
  <c r="K6171" i="1" s="1"/>
  <c r="F6172" i="1"/>
  <c r="K6172" i="1" s="1"/>
  <c r="F6173" i="1"/>
  <c r="K6173" i="1" s="1"/>
  <c r="F6174" i="1"/>
  <c r="K6174" i="1" s="1"/>
  <c r="F6175" i="1"/>
  <c r="K6175" i="1" s="1"/>
  <c r="F6176" i="1"/>
  <c r="K6176" i="1" s="1"/>
  <c r="F6177" i="1"/>
  <c r="K6177" i="1" s="1"/>
  <c r="F6178" i="1"/>
  <c r="K6178" i="1" s="1"/>
  <c r="F6179" i="1"/>
  <c r="K6179" i="1" s="1"/>
  <c r="F6180" i="1"/>
  <c r="K6180" i="1" s="1"/>
  <c r="F6181" i="1"/>
  <c r="K6181" i="1" s="1"/>
  <c r="F6182" i="1"/>
  <c r="K6182" i="1" s="1"/>
  <c r="F6183" i="1"/>
  <c r="K6183" i="1" s="1"/>
  <c r="F6184" i="1"/>
  <c r="K6184" i="1" s="1"/>
  <c r="F6185" i="1"/>
  <c r="K6185" i="1" s="1"/>
  <c r="F6186" i="1"/>
  <c r="K6186" i="1" s="1"/>
  <c r="F6187" i="1"/>
  <c r="K6187" i="1" s="1"/>
  <c r="F6188" i="1"/>
  <c r="K6188" i="1" s="1"/>
  <c r="F6189" i="1"/>
  <c r="K6189" i="1" s="1"/>
  <c r="F6190" i="1"/>
  <c r="K6190" i="1" s="1"/>
  <c r="F6191" i="1"/>
  <c r="K6191" i="1" s="1"/>
  <c r="F6192" i="1"/>
  <c r="K6192" i="1" s="1"/>
  <c r="F6193" i="1"/>
  <c r="K6193" i="1" s="1"/>
  <c r="F6194" i="1"/>
  <c r="K6194" i="1" s="1"/>
  <c r="F6195" i="1"/>
  <c r="K6195" i="1" s="1"/>
  <c r="F6196" i="1"/>
  <c r="K6196" i="1" s="1"/>
  <c r="F6197" i="1"/>
  <c r="K6197" i="1" s="1"/>
  <c r="F6198" i="1"/>
  <c r="K6198" i="1" s="1"/>
  <c r="F6199" i="1"/>
  <c r="K6199" i="1" s="1"/>
  <c r="F6200" i="1"/>
  <c r="K6200" i="1" s="1"/>
  <c r="F6201" i="1"/>
  <c r="K6201" i="1" s="1"/>
  <c r="F6202" i="1"/>
  <c r="K6202" i="1" s="1"/>
  <c r="F6203" i="1"/>
  <c r="K6203" i="1" s="1"/>
  <c r="F6204" i="1"/>
  <c r="K6204" i="1" s="1"/>
  <c r="F6205" i="1"/>
  <c r="K6205" i="1" s="1"/>
  <c r="F6206" i="1"/>
  <c r="K6206" i="1" s="1"/>
  <c r="F6207" i="1"/>
  <c r="K6207" i="1" s="1"/>
  <c r="F6208" i="1"/>
  <c r="K6208" i="1" s="1"/>
  <c r="F6209" i="1"/>
  <c r="K6209" i="1" s="1"/>
  <c r="F6210" i="1"/>
  <c r="K6210" i="1" s="1"/>
  <c r="F6211" i="1"/>
  <c r="K6211" i="1" s="1"/>
  <c r="F6212" i="1"/>
  <c r="K6212" i="1" s="1"/>
  <c r="F6213" i="1"/>
  <c r="K6213" i="1" s="1"/>
  <c r="F6214" i="1"/>
  <c r="K6214" i="1" s="1"/>
  <c r="F6215" i="1"/>
  <c r="K6215" i="1" s="1"/>
  <c r="F6216" i="1"/>
  <c r="K6216" i="1" s="1"/>
  <c r="F6217" i="1"/>
  <c r="K6217" i="1" s="1"/>
  <c r="F6218" i="1"/>
  <c r="K6218" i="1" s="1"/>
  <c r="F6219" i="1"/>
  <c r="K6219" i="1" s="1"/>
  <c r="F6220" i="1"/>
  <c r="K6220" i="1" s="1"/>
  <c r="F6221" i="1"/>
  <c r="K6221" i="1" s="1"/>
  <c r="F6222" i="1"/>
  <c r="K6222" i="1" s="1"/>
  <c r="F6223" i="1"/>
  <c r="K6223" i="1" s="1"/>
  <c r="F6224" i="1"/>
  <c r="K6224" i="1" s="1"/>
  <c r="F6225" i="1"/>
  <c r="K6225" i="1" s="1"/>
  <c r="F6226" i="1"/>
  <c r="K6226" i="1" s="1"/>
  <c r="F6227" i="1"/>
  <c r="K6227" i="1" s="1"/>
  <c r="F6228" i="1"/>
  <c r="K6228" i="1" s="1"/>
  <c r="F6229" i="1"/>
  <c r="K6229" i="1" s="1"/>
  <c r="F6230" i="1"/>
  <c r="K6230" i="1" s="1"/>
  <c r="F6231" i="1"/>
  <c r="K6231" i="1" s="1"/>
  <c r="F6232" i="1"/>
  <c r="K6232" i="1" s="1"/>
  <c r="F6233" i="1"/>
  <c r="K6233" i="1" s="1"/>
  <c r="F6234" i="1"/>
  <c r="K6234" i="1" s="1"/>
  <c r="F6235" i="1"/>
  <c r="K6235" i="1" s="1"/>
  <c r="F6236" i="1"/>
  <c r="K6236" i="1" s="1"/>
  <c r="F6237" i="1"/>
  <c r="K6237" i="1" s="1"/>
  <c r="F6238" i="1"/>
  <c r="K6238" i="1" s="1"/>
  <c r="F6239" i="1"/>
  <c r="K6239" i="1" s="1"/>
  <c r="F6240" i="1"/>
  <c r="K6240" i="1" s="1"/>
  <c r="F6241" i="1"/>
  <c r="K6241" i="1" s="1"/>
  <c r="F6242" i="1"/>
  <c r="K6242" i="1" s="1"/>
  <c r="F6243" i="1"/>
  <c r="K6243" i="1" s="1"/>
  <c r="F6244" i="1"/>
  <c r="K6244" i="1" s="1"/>
  <c r="F6245" i="1"/>
  <c r="K6245" i="1" s="1"/>
  <c r="F6246" i="1"/>
  <c r="K6246" i="1" s="1"/>
  <c r="F6247" i="1"/>
  <c r="K6247" i="1" s="1"/>
  <c r="F6248" i="1"/>
  <c r="K6248" i="1" s="1"/>
  <c r="F6249" i="1"/>
  <c r="K6249" i="1" s="1"/>
  <c r="F6250" i="1"/>
  <c r="K6250" i="1" s="1"/>
  <c r="F6251" i="1"/>
  <c r="K6251" i="1" s="1"/>
  <c r="F6252" i="1"/>
  <c r="K6252" i="1" s="1"/>
  <c r="F6253" i="1"/>
  <c r="K6253" i="1" s="1"/>
  <c r="F6254" i="1"/>
  <c r="K6254" i="1" s="1"/>
  <c r="F6255" i="1"/>
  <c r="K6255" i="1" s="1"/>
  <c r="F6256" i="1"/>
  <c r="K6256" i="1" s="1"/>
  <c r="F6257" i="1"/>
  <c r="K6257" i="1" s="1"/>
  <c r="F6258" i="1"/>
  <c r="K6258" i="1" s="1"/>
  <c r="F6259" i="1"/>
  <c r="K6259" i="1" s="1"/>
  <c r="F6260" i="1"/>
  <c r="K6260" i="1" s="1"/>
  <c r="F6261" i="1"/>
  <c r="K6261" i="1" s="1"/>
  <c r="F6262" i="1"/>
  <c r="K6262" i="1" s="1"/>
  <c r="F6263" i="1"/>
  <c r="K6263" i="1" s="1"/>
  <c r="F6264" i="1"/>
  <c r="K6264" i="1" s="1"/>
  <c r="F6265" i="1"/>
  <c r="K6265" i="1" s="1"/>
  <c r="F6266" i="1"/>
  <c r="K6266" i="1" s="1"/>
  <c r="F6267" i="1"/>
  <c r="K6267" i="1" s="1"/>
  <c r="F6268" i="1"/>
  <c r="K6268" i="1" s="1"/>
  <c r="F6269" i="1"/>
  <c r="K6269" i="1" s="1"/>
  <c r="F6270" i="1"/>
  <c r="K6270" i="1" s="1"/>
  <c r="F6271" i="1"/>
  <c r="K6271" i="1" s="1"/>
  <c r="F6272" i="1"/>
  <c r="K6272" i="1" s="1"/>
  <c r="F6273" i="1"/>
  <c r="K6273" i="1" s="1"/>
  <c r="F6274" i="1"/>
  <c r="K6274" i="1" s="1"/>
  <c r="F6275" i="1"/>
  <c r="K6275" i="1" s="1"/>
  <c r="F6276" i="1"/>
  <c r="K6276" i="1" s="1"/>
  <c r="F6277" i="1"/>
  <c r="K6277" i="1" s="1"/>
  <c r="F6278" i="1"/>
  <c r="K6278" i="1" s="1"/>
  <c r="F6279" i="1"/>
  <c r="K6279" i="1" s="1"/>
  <c r="F6280" i="1"/>
  <c r="K6280" i="1" s="1"/>
  <c r="F6281" i="1"/>
  <c r="K6281" i="1" s="1"/>
  <c r="F6282" i="1"/>
  <c r="K6282" i="1" s="1"/>
  <c r="F6283" i="1"/>
  <c r="K6283" i="1" s="1"/>
  <c r="F6284" i="1"/>
  <c r="K6284" i="1" s="1"/>
  <c r="F6285" i="1"/>
  <c r="K6285" i="1" s="1"/>
  <c r="F6286" i="1"/>
  <c r="K6286" i="1" s="1"/>
  <c r="F6287" i="1"/>
  <c r="K6287" i="1" s="1"/>
  <c r="F6288" i="1"/>
  <c r="K6288" i="1" s="1"/>
  <c r="F6289" i="1"/>
  <c r="K6289" i="1" s="1"/>
  <c r="F6290" i="1"/>
  <c r="K6290" i="1" s="1"/>
  <c r="F6291" i="1"/>
  <c r="K6291" i="1" s="1"/>
  <c r="F6292" i="1"/>
  <c r="K6292" i="1" s="1"/>
  <c r="F6293" i="1"/>
  <c r="K6293" i="1" s="1"/>
  <c r="F6294" i="1"/>
  <c r="K6294" i="1" s="1"/>
  <c r="F6295" i="1"/>
  <c r="K6295" i="1" s="1"/>
  <c r="F6296" i="1"/>
  <c r="K6296" i="1" s="1"/>
  <c r="F6297" i="1"/>
  <c r="K6297" i="1" s="1"/>
  <c r="F6298" i="1"/>
  <c r="K6298" i="1" s="1"/>
  <c r="F6299" i="1"/>
  <c r="K6299" i="1" s="1"/>
  <c r="F6300" i="1"/>
  <c r="K6300" i="1" s="1"/>
  <c r="F6301" i="1"/>
  <c r="K6301" i="1" s="1"/>
  <c r="F6302" i="1"/>
  <c r="K6302" i="1" s="1"/>
  <c r="F6303" i="1"/>
  <c r="K6303" i="1" s="1"/>
  <c r="F6304" i="1"/>
  <c r="K6304" i="1" s="1"/>
  <c r="F6305" i="1"/>
  <c r="K6305" i="1" s="1"/>
  <c r="F6306" i="1"/>
  <c r="K6306" i="1" s="1"/>
  <c r="F6307" i="1"/>
  <c r="K6307" i="1" s="1"/>
  <c r="F6308" i="1"/>
  <c r="K6308" i="1" s="1"/>
  <c r="F6309" i="1"/>
  <c r="K6309" i="1" s="1"/>
  <c r="F6310" i="1"/>
  <c r="K6310" i="1" s="1"/>
  <c r="F6311" i="1"/>
  <c r="K6311" i="1" s="1"/>
  <c r="F6312" i="1"/>
  <c r="K6312" i="1" s="1"/>
  <c r="F6313" i="1"/>
  <c r="K6313" i="1" s="1"/>
  <c r="F6314" i="1"/>
  <c r="K6314" i="1" s="1"/>
  <c r="F6315" i="1"/>
  <c r="K6315" i="1" s="1"/>
  <c r="F6316" i="1"/>
  <c r="K6316" i="1" s="1"/>
  <c r="F6317" i="1"/>
  <c r="K6317" i="1" s="1"/>
  <c r="F6318" i="1"/>
  <c r="K6318" i="1" s="1"/>
  <c r="F6319" i="1"/>
  <c r="K6319" i="1" s="1"/>
  <c r="F6320" i="1"/>
  <c r="K6320" i="1" s="1"/>
  <c r="F6321" i="1"/>
  <c r="K6321" i="1" s="1"/>
  <c r="F6322" i="1"/>
  <c r="K6322" i="1" s="1"/>
  <c r="F6323" i="1"/>
  <c r="K6323" i="1" s="1"/>
  <c r="F6324" i="1"/>
  <c r="K6324" i="1" s="1"/>
  <c r="F6325" i="1"/>
  <c r="K6325" i="1" s="1"/>
  <c r="F6326" i="1"/>
  <c r="K6326" i="1" s="1"/>
  <c r="F6327" i="1"/>
  <c r="K6327" i="1" s="1"/>
  <c r="F6328" i="1"/>
  <c r="K6328" i="1" s="1"/>
  <c r="F6329" i="1"/>
  <c r="K6329" i="1" s="1"/>
  <c r="F6330" i="1"/>
  <c r="K6330" i="1" s="1"/>
  <c r="F6331" i="1"/>
  <c r="K6331" i="1" s="1"/>
  <c r="F6332" i="1"/>
  <c r="K6332" i="1" s="1"/>
  <c r="F6333" i="1"/>
  <c r="K6333" i="1" s="1"/>
  <c r="F6334" i="1"/>
  <c r="K6334" i="1" s="1"/>
  <c r="F6335" i="1"/>
  <c r="K6335" i="1" s="1"/>
  <c r="F6336" i="1"/>
  <c r="K6336" i="1" s="1"/>
  <c r="F6337" i="1"/>
  <c r="K6337" i="1" s="1"/>
  <c r="F6338" i="1"/>
  <c r="K6338" i="1" s="1"/>
  <c r="F6339" i="1"/>
  <c r="K6339" i="1" s="1"/>
  <c r="F6340" i="1"/>
  <c r="K6340" i="1" s="1"/>
  <c r="F6341" i="1"/>
  <c r="K6341" i="1" s="1"/>
  <c r="F6342" i="1"/>
  <c r="K6342" i="1" s="1"/>
  <c r="F6343" i="1"/>
  <c r="K6343" i="1" s="1"/>
  <c r="F6344" i="1"/>
  <c r="K6344" i="1" s="1"/>
  <c r="F6345" i="1"/>
  <c r="K6345" i="1" s="1"/>
  <c r="F6346" i="1"/>
  <c r="K6346" i="1" s="1"/>
  <c r="F6347" i="1"/>
  <c r="K6347" i="1" s="1"/>
  <c r="F6348" i="1"/>
  <c r="K6348" i="1" s="1"/>
  <c r="F6349" i="1"/>
  <c r="K6349" i="1" s="1"/>
  <c r="F6350" i="1"/>
  <c r="K6350" i="1" s="1"/>
  <c r="F6351" i="1"/>
  <c r="K6351" i="1" s="1"/>
  <c r="F6352" i="1"/>
  <c r="K6352" i="1" s="1"/>
  <c r="F6353" i="1"/>
  <c r="K6353" i="1" s="1"/>
  <c r="F6354" i="1"/>
  <c r="K6354" i="1" s="1"/>
  <c r="F6355" i="1"/>
  <c r="K6355" i="1" s="1"/>
  <c r="F6356" i="1"/>
  <c r="K6356" i="1" s="1"/>
  <c r="F6357" i="1"/>
  <c r="K6357" i="1" s="1"/>
  <c r="F6358" i="1"/>
  <c r="K6358" i="1" s="1"/>
  <c r="F6359" i="1"/>
  <c r="K6359" i="1" s="1"/>
  <c r="F6360" i="1"/>
  <c r="K6360" i="1" s="1"/>
  <c r="F6361" i="1"/>
  <c r="K6361" i="1" s="1"/>
  <c r="F6362" i="1"/>
  <c r="K6362" i="1" s="1"/>
  <c r="F6363" i="1"/>
  <c r="K6363" i="1" s="1"/>
  <c r="F6364" i="1"/>
  <c r="K6364" i="1" s="1"/>
  <c r="F6365" i="1"/>
  <c r="K6365" i="1" s="1"/>
  <c r="F6366" i="1"/>
  <c r="K6366" i="1" s="1"/>
  <c r="F6367" i="1"/>
  <c r="K6367" i="1" s="1"/>
  <c r="F6368" i="1"/>
  <c r="K6368" i="1" s="1"/>
  <c r="F6369" i="1"/>
  <c r="K6369" i="1" s="1"/>
  <c r="F6370" i="1"/>
  <c r="K6370" i="1" s="1"/>
  <c r="F6371" i="1"/>
  <c r="K6371" i="1" s="1"/>
  <c r="F6372" i="1"/>
  <c r="K6372" i="1" s="1"/>
  <c r="F6373" i="1"/>
  <c r="K6373" i="1" s="1"/>
  <c r="F6374" i="1"/>
  <c r="K6374" i="1" s="1"/>
  <c r="F6375" i="1"/>
  <c r="K6375" i="1" s="1"/>
  <c r="F6376" i="1"/>
  <c r="K6376" i="1" s="1"/>
  <c r="F6377" i="1"/>
  <c r="K6377" i="1" s="1"/>
  <c r="F6378" i="1"/>
  <c r="K6378" i="1" s="1"/>
  <c r="F6379" i="1"/>
  <c r="K6379" i="1" s="1"/>
  <c r="F6380" i="1"/>
  <c r="K6380" i="1" s="1"/>
  <c r="F6381" i="1"/>
  <c r="K6381" i="1" s="1"/>
  <c r="F6382" i="1"/>
  <c r="K6382" i="1" s="1"/>
  <c r="F6383" i="1"/>
  <c r="K6383" i="1" s="1"/>
  <c r="F6384" i="1"/>
  <c r="K6384" i="1" s="1"/>
  <c r="F6385" i="1"/>
  <c r="K6385" i="1" s="1"/>
  <c r="F6386" i="1"/>
  <c r="K6386" i="1" s="1"/>
  <c r="F6387" i="1"/>
  <c r="K6387" i="1" s="1"/>
  <c r="F6388" i="1"/>
  <c r="K6388" i="1" s="1"/>
  <c r="F6389" i="1"/>
  <c r="K6389" i="1" s="1"/>
  <c r="F6390" i="1"/>
  <c r="K6390" i="1" s="1"/>
  <c r="F6391" i="1"/>
  <c r="K6391" i="1" s="1"/>
  <c r="F6392" i="1"/>
  <c r="K6392" i="1" s="1"/>
  <c r="F6393" i="1"/>
  <c r="K6393" i="1" s="1"/>
  <c r="F6394" i="1"/>
  <c r="K6394" i="1" s="1"/>
  <c r="F6395" i="1"/>
  <c r="K6395" i="1" s="1"/>
  <c r="F6396" i="1"/>
  <c r="K6396" i="1" s="1"/>
  <c r="F6397" i="1"/>
  <c r="K6397" i="1" s="1"/>
  <c r="F6398" i="1"/>
  <c r="K6398" i="1" s="1"/>
  <c r="F6399" i="1"/>
  <c r="K6399" i="1" s="1"/>
  <c r="F6400" i="1"/>
  <c r="K6400" i="1" s="1"/>
  <c r="F6401" i="1"/>
  <c r="K6401" i="1" s="1"/>
  <c r="F6402" i="1"/>
  <c r="K6402" i="1" s="1"/>
  <c r="F6403" i="1"/>
  <c r="K6403" i="1" s="1"/>
  <c r="F6404" i="1"/>
  <c r="K6404" i="1" s="1"/>
  <c r="F6405" i="1"/>
  <c r="K6405" i="1" s="1"/>
  <c r="F6406" i="1"/>
  <c r="K6406" i="1" s="1"/>
  <c r="F6407" i="1"/>
  <c r="K6407" i="1" s="1"/>
  <c r="F6408" i="1"/>
  <c r="K6408" i="1" s="1"/>
  <c r="F6409" i="1"/>
  <c r="K6409" i="1" s="1"/>
  <c r="F6410" i="1"/>
  <c r="K6410" i="1" s="1"/>
  <c r="F6411" i="1"/>
  <c r="K6411" i="1" s="1"/>
  <c r="F6412" i="1"/>
  <c r="K6412" i="1" s="1"/>
  <c r="F6413" i="1"/>
  <c r="K6413" i="1" s="1"/>
  <c r="F6414" i="1"/>
  <c r="K6414" i="1" s="1"/>
  <c r="F6415" i="1"/>
  <c r="K6415" i="1" s="1"/>
  <c r="F6416" i="1"/>
  <c r="K6416" i="1" s="1"/>
  <c r="F6417" i="1"/>
  <c r="K6417" i="1" s="1"/>
  <c r="F6418" i="1"/>
  <c r="K6418" i="1" s="1"/>
  <c r="F6419" i="1"/>
  <c r="K6419" i="1" s="1"/>
  <c r="F6420" i="1"/>
  <c r="K6420" i="1" s="1"/>
  <c r="F6421" i="1"/>
  <c r="K6421" i="1" s="1"/>
  <c r="F6422" i="1"/>
  <c r="K6422" i="1" s="1"/>
  <c r="F6423" i="1"/>
  <c r="K6423" i="1" s="1"/>
  <c r="F6424" i="1"/>
  <c r="K6424" i="1" s="1"/>
  <c r="F6425" i="1"/>
  <c r="K6425" i="1" s="1"/>
  <c r="F6426" i="1"/>
  <c r="K6426" i="1" s="1"/>
  <c r="F6427" i="1"/>
  <c r="K6427" i="1" s="1"/>
  <c r="F6428" i="1"/>
  <c r="K6428" i="1" s="1"/>
  <c r="F6429" i="1"/>
  <c r="K6429" i="1" s="1"/>
  <c r="F6430" i="1"/>
  <c r="K6430" i="1" s="1"/>
  <c r="F6431" i="1"/>
  <c r="K6431" i="1" s="1"/>
  <c r="F6432" i="1"/>
  <c r="K6432" i="1" s="1"/>
  <c r="F6433" i="1"/>
  <c r="K6433" i="1" s="1"/>
  <c r="F6434" i="1"/>
  <c r="K6434" i="1" s="1"/>
  <c r="F6435" i="1"/>
  <c r="K6435" i="1" s="1"/>
  <c r="F6436" i="1"/>
  <c r="K6436" i="1" s="1"/>
  <c r="F6437" i="1"/>
  <c r="K6437" i="1" s="1"/>
  <c r="F6438" i="1"/>
  <c r="K6438" i="1" s="1"/>
  <c r="F6439" i="1"/>
  <c r="K6439" i="1" s="1"/>
  <c r="F6440" i="1"/>
  <c r="K6440" i="1" s="1"/>
  <c r="F6441" i="1"/>
  <c r="K6441" i="1" s="1"/>
  <c r="F6442" i="1"/>
  <c r="K6442" i="1" s="1"/>
  <c r="F6443" i="1"/>
  <c r="K6443" i="1" s="1"/>
  <c r="F6444" i="1"/>
  <c r="K6444" i="1" s="1"/>
  <c r="F6445" i="1"/>
  <c r="K6445" i="1" s="1"/>
  <c r="F6446" i="1"/>
  <c r="K6446" i="1" s="1"/>
  <c r="F6447" i="1"/>
  <c r="K6447" i="1" s="1"/>
  <c r="F6448" i="1"/>
  <c r="K6448" i="1" s="1"/>
  <c r="F6449" i="1"/>
  <c r="K6449" i="1" s="1"/>
  <c r="F6450" i="1"/>
  <c r="K6450" i="1" s="1"/>
  <c r="F6451" i="1"/>
  <c r="K6451" i="1" s="1"/>
  <c r="F6452" i="1"/>
  <c r="K6452" i="1" s="1"/>
  <c r="F6453" i="1"/>
  <c r="K6453" i="1" s="1"/>
  <c r="F6454" i="1"/>
  <c r="K6454" i="1" s="1"/>
  <c r="F6455" i="1"/>
  <c r="K6455" i="1" s="1"/>
  <c r="F6456" i="1"/>
  <c r="K6456" i="1" s="1"/>
  <c r="F6457" i="1"/>
  <c r="K6457" i="1" s="1"/>
  <c r="F6458" i="1"/>
  <c r="K6458" i="1" s="1"/>
  <c r="F6459" i="1"/>
  <c r="K6459" i="1" s="1"/>
  <c r="F6460" i="1"/>
  <c r="K6460" i="1" s="1"/>
  <c r="F6461" i="1"/>
  <c r="K6461" i="1" s="1"/>
  <c r="F6462" i="1"/>
  <c r="K6462" i="1" s="1"/>
  <c r="F6463" i="1"/>
  <c r="K6463" i="1" s="1"/>
  <c r="F6464" i="1"/>
  <c r="K6464" i="1" s="1"/>
  <c r="F6465" i="1"/>
  <c r="K6465" i="1" s="1"/>
  <c r="F6466" i="1"/>
  <c r="K6466" i="1" s="1"/>
  <c r="F6467" i="1"/>
  <c r="K6467" i="1" s="1"/>
  <c r="F6468" i="1"/>
  <c r="K6468" i="1" s="1"/>
  <c r="F6469" i="1"/>
  <c r="K6469" i="1" s="1"/>
  <c r="F6470" i="1"/>
  <c r="K6470" i="1" s="1"/>
  <c r="F6471" i="1"/>
  <c r="K6471" i="1" s="1"/>
  <c r="F6472" i="1"/>
  <c r="K6472" i="1" s="1"/>
  <c r="F6473" i="1"/>
  <c r="K6473" i="1" s="1"/>
  <c r="F6474" i="1"/>
  <c r="K6474" i="1" s="1"/>
  <c r="F6475" i="1"/>
  <c r="K6475" i="1" s="1"/>
  <c r="F6476" i="1"/>
  <c r="K6476" i="1" s="1"/>
  <c r="F6477" i="1"/>
  <c r="K6477" i="1" s="1"/>
  <c r="F6478" i="1"/>
  <c r="K6478" i="1" s="1"/>
  <c r="F6479" i="1"/>
  <c r="K6479" i="1" s="1"/>
  <c r="F6480" i="1"/>
  <c r="K6480" i="1" s="1"/>
  <c r="F6481" i="1"/>
  <c r="K6481" i="1" s="1"/>
  <c r="F6482" i="1"/>
  <c r="K6482" i="1" s="1"/>
  <c r="F6483" i="1"/>
  <c r="K6483" i="1" s="1"/>
  <c r="F6484" i="1"/>
  <c r="K6484" i="1" s="1"/>
  <c r="F6485" i="1"/>
  <c r="K6485" i="1" s="1"/>
  <c r="F6486" i="1"/>
  <c r="K6486" i="1" s="1"/>
  <c r="F6487" i="1"/>
  <c r="K6487" i="1" s="1"/>
  <c r="F6488" i="1"/>
  <c r="K6488" i="1" s="1"/>
  <c r="F6489" i="1"/>
  <c r="K6489" i="1" s="1"/>
  <c r="F6490" i="1"/>
  <c r="K6490" i="1" s="1"/>
  <c r="F6491" i="1"/>
  <c r="K6491" i="1" s="1"/>
  <c r="F6492" i="1"/>
  <c r="K6492" i="1" s="1"/>
  <c r="F6493" i="1"/>
  <c r="K6493" i="1" s="1"/>
  <c r="F6494" i="1"/>
  <c r="K6494" i="1" s="1"/>
  <c r="F6495" i="1"/>
  <c r="K6495" i="1" s="1"/>
  <c r="F6496" i="1"/>
  <c r="K6496" i="1" s="1"/>
  <c r="F6497" i="1"/>
  <c r="K6497" i="1" s="1"/>
  <c r="F6498" i="1"/>
  <c r="K6498" i="1" s="1"/>
  <c r="F6499" i="1"/>
  <c r="K6499" i="1" s="1"/>
  <c r="F6500" i="1"/>
  <c r="K6500" i="1" s="1"/>
  <c r="F6501" i="1"/>
  <c r="K6501" i="1" s="1"/>
  <c r="F6502" i="1"/>
  <c r="K6502" i="1" s="1"/>
  <c r="F6503" i="1"/>
  <c r="K6503" i="1" s="1"/>
  <c r="F6504" i="1"/>
  <c r="K6504" i="1" s="1"/>
  <c r="F6505" i="1"/>
  <c r="K6505" i="1" s="1"/>
  <c r="F6506" i="1"/>
  <c r="K6506" i="1" s="1"/>
  <c r="F6507" i="1"/>
  <c r="K6507" i="1" s="1"/>
  <c r="F6508" i="1"/>
  <c r="K6508" i="1" s="1"/>
  <c r="F6509" i="1"/>
  <c r="K6509" i="1" s="1"/>
  <c r="F6510" i="1"/>
  <c r="K6510" i="1" s="1"/>
  <c r="F6511" i="1"/>
  <c r="K6511" i="1" s="1"/>
  <c r="F6512" i="1"/>
  <c r="K6512" i="1" s="1"/>
  <c r="F6513" i="1"/>
  <c r="K6513" i="1" s="1"/>
  <c r="F6514" i="1"/>
  <c r="K6514" i="1" s="1"/>
  <c r="F6515" i="1"/>
  <c r="K6515" i="1" s="1"/>
  <c r="F6516" i="1"/>
  <c r="K6516" i="1" s="1"/>
  <c r="F6517" i="1"/>
  <c r="K6517" i="1" s="1"/>
  <c r="F6518" i="1"/>
  <c r="K6518" i="1" s="1"/>
  <c r="F6519" i="1"/>
  <c r="K6519" i="1" s="1"/>
  <c r="F6520" i="1"/>
  <c r="K6520" i="1" s="1"/>
  <c r="F6521" i="1"/>
  <c r="K6521" i="1" s="1"/>
  <c r="F6522" i="1"/>
  <c r="K6522" i="1" s="1"/>
  <c r="F6523" i="1"/>
  <c r="K6523" i="1" s="1"/>
  <c r="F6524" i="1"/>
  <c r="K6524" i="1" s="1"/>
  <c r="F6525" i="1"/>
  <c r="K6525" i="1" s="1"/>
  <c r="F6526" i="1"/>
  <c r="K6526" i="1" s="1"/>
  <c r="F6527" i="1"/>
  <c r="K6527" i="1" s="1"/>
  <c r="F6528" i="1"/>
  <c r="K6528" i="1" s="1"/>
  <c r="F6529" i="1"/>
  <c r="K6529" i="1" s="1"/>
  <c r="F6530" i="1"/>
  <c r="K6530" i="1" s="1"/>
  <c r="F6531" i="1"/>
  <c r="K6531" i="1" s="1"/>
  <c r="F6532" i="1"/>
  <c r="K6532" i="1" s="1"/>
  <c r="F6533" i="1"/>
  <c r="K6533" i="1" s="1"/>
  <c r="F6534" i="1"/>
  <c r="K6534" i="1" s="1"/>
  <c r="F6535" i="1"/>
  <c r="K6535" i="1" s="1"/>
  <c r="F6536" i="1"/>
  <c r="K6536" i="1" s="1"/>
  <c r="F6537" i="1"/>
  <c r="K6537" i="1" s="1"/>
  <c r="F6538" i="1"/>
  <c r="K6538" i="1" s="1"/>
  <c r="F6539" i="1"/>
  <c r="K6539" i="1" s="1"/>
  <c r="F6540" i="1"/>
  <c r="K6540" i="1" s="1"/>
  <c r="F6541" i="1"/>
  <c r="K6541" i="1" s="1"/>
  <c r="F6542" i="1"/>
  <c r="K6542" i="1" s="1"/>
  <c r="F6543" i="1"/>
  <c r="K6543" i="1" s="1"/>
  <c r="F6544" i="1"/>
  <c r="K6544" i="1" s="1"/>
  <c r="F6545" i="1"/>
  <c r="K6545" i="1" s="1"/>
  <c r="F6546" i="1"/>
  <c r="K6546" i="1" s="1"/>
  <c r="F6547" i="1"/>
  <c r="K6547" i="1" s="1"/>
  <c r="F6548" i="1"/>
  <c r="K6548" i="1" s="1"/>
  <c r="F6549" i="1"/>
  <c r="K6549" i="1" s="1"/>
  <c r="F6550" i="1"/>
  <c r="K6550" i="1" s="1"/>
  <c r="F6551" i="1"/>
  <c r="K6551" i="1" s="1"/>
  <c r="F6552" i="1"/>
  <c r="K6552" i="1" s="1"/>
  <c r="F6553" i="1"/>
  <c r="K6553" i="1" s="1"/>
  <c r="F6554" i="1"/>
  <c r="K6554" i="1" s="1"/>
  <c r="F6555" i="1"/>
  <c r="K6555" i="1" s="1"/>
  <c r="F6556" i="1"/>
  <c r="K6556" i="1" s="1"/>
  <c r="F6557" i="1"/>
  <c r="K6557" i="1" s="1"/>
  <c r="F6558" i="1"/>
  <c r="K6558" i="1" s="1"/>
  <c r="F6559" i="1"/>
  <c r="K6559" i="1" s="1"/>
  <c r="F6560" i="1"/>
  <c r="K6560" i="1" s="1"/>
  <c r="F6561" i="1"/>
  <c r="K6561" i="1" s="1"/>
  <c r="F6562" i="1"/>
  <c r="K6562" i="1" s="1"/>
  <c r="F6563" i="1"/>
  <c r="K6563" i="1" s="1"/>
  <c r="F6564" i="1"/>
  <c r="K6564" i="1" s="1"/>
  <c r="F6565" i="1"/>
  <c r="K6565" i="1" s="1"/>
  <c r="F6566" i="1"/>
  <c r="K6566" i="1" s="1"/>
  <c r="F6567" i="1"/>
  <c r="K6567" i="1" s="1"/>
  <c r="F6568" i="1"/>
  <c r="K6568" i="1" s="1"/>
  <c r="F6569" i="1"/>
  <c r="K6569" i="1" s="1"/>
  <c r="F6570" i="1"/>
  <c r="K6570" i="1" s="1"/>
  <c r="F6571" i="1"/>
  <c r="K6571" i="1" s="1"/>
  <c r="F6572" i="1"/>
  <c r="K6572" i="1" s="1"/>
  <c r="F6573" i="1"/>
  <c r="K6573" i="1" s="1"/>
  <c r="F6574" i="1"/>
  <c r="K6574" i="1" s="1"/>
  <c r="F6575" i="1"/>
  <c r="K6575" i="1" s="1"/>
  <c r="F6576" i="1"/>
  <c r="K6576" i="1" s="1"/>
  <c r="F6577" i="1"/>
  <c r="K6577" i="1" s="1"/>
  <c r="F6578" i="1"/>
  <c r="K6578" i="1" s="1"/>
  <c r="F6579" i="1"/>
  <c r="K6579" i="1" s="1"/>
  <c r="F6580" i="1"/>
  <c r="K6580" i="1" s="1"/>
  <c r="F6581" i="1"/>
  <c r="K6581" i="1" s="1"/>
  <c r="F6582" i="1"/>
  <c r="K6582" i="1" s="1"/>
  <c r="F6583" i="1"/>
  <c r="K6583" i="1" s="1"/>
  <c r="F6584" i="1"/>
  <c r="K6584" i="1" s="1"/>
  <c r="F6585" i="1"/>
  <c r="K6585" i="1" s="1"/>
  <c r="F6586" i="1"/>
  <c r="K6586" i="1" s="1"/>
  <c r="F6587" i="1"/>
  <c r="K6587" i="1" s="1"/>
  <c r="F6588" i="1"/>
  <c r="K6588" i="1" s="1"/>
  <c r="F6589" i="1"/>
  <c r="K6589" i="1" s="1"/>
  <c r="F6590" i="1"/>
  <c r="K6590" i="1" s="1"/>
  <c r="F6591" i="1"/>
  <c r="K6591" i="1" s="1"/>
  <c r="F6592" i="1"/>
  <c r="K6592" i="1" s="1"/>
  <c r="F6593" i="1"/>
  <c r="K6593" i="1" s="1"/>
  <c r="F6594" i="1"/>
  <c r="K6594" i="1" s="1"/>
  <c r="F6595" i="1"/>
  <c r="K6595" i="1" s="1"/>
  <c r="F6596" i="1"/>
  <c r="K6596" i="1" s="1"/>
  <c r="F6597" i="1"/>
  <c r="K6597" i="1" s="1"/>
  <c r="F6598" i="1"/>
  <c r="K6598" i="1" s="1"/>
  <c r="F6599" i="1"/>
  <c r="K6599" i="1" s="1"/>
  <c r="F6600" i="1"/>
  <c r="K6600" i="1" s="1"/>
  <c r="F6601" i="1"/>
  <c r="K6601" i="1" s="1"/>
  <c r="F6602" i="1"/>
  <c r="K6602" i="1" s="1"/>
  <c r="F6603" i="1"/>
  <c r="K6603" i="1" s="1"/>
  <c r="F6604" i="1"/>
  <c r="K6604" i="1" s="1"/>
  <c r="F6605" i="1"/>
  <c r="K6605" i="1" s="1"/>
  <c r="F6606" i="1"/>
  <c r="K6606" i="1" s="1"/>
  <c r="F6607" i="1"/>
  <c r="K6607" i="1" s="1"/>
  <c r="F6608" i="1"/>
  <c r="K6608" i="1" s="1"/>
  <c r="F6609" i="1"/>
  <c r="K6609" i="1" s="1"/>
  <c r="F6610" i="1"/>
  <c r="K6610" i="1" s="1"/>
  <c r="F6611" i="1"/>
  <c r="K6611" i="1" s="1"/>
  <c r="F6612" i="1"/>
  <c r="K6612" i="1" s="1"/>
  <c r="F6613" i="1"/>
  <c r="K6613" i="1" s="1"/>
  <c r="F6614" i="1"/>
  <c r="K6614" i="1" s="1"/>
  <c r="F6615" i="1"/>
  <c r="K6615" i="1" s="1"/>
  <c r="F6616" i="1"/>
  <c r="K6616" i="1" s="1"/>
  <c r="F6617" i="1"/>
  <c r="K6617" i="1" s="1"/>
  <c r="F6618" i="1"/>
  <c r="K6618" i="1" s="1"/>
  <c r="F6619" i="1"/>
  <c r="K6619" i="1" s="1"/>
  <c r="F6620" i="1"/>
  <c r="K6620" i="1" s="1"/>
  <c r="F6621" i="1"/>
  <c r="K6621" i="1" s="1"/>
  <c r="F6622" i="1"/>
  <c r="K6622" i="1" s="1"/>
  <c r="F6623" i="1"/>
  <c r="K6623" i="1" s="1"/>
  <c r="F6624" i="1"/>
  <c r="K6624" i="1" s="1"/>
  <c r="F6625" i="1"/>
  <c r="K6625" i="1" s="1"/>
  <c r="F6626" i="1"/>
  <c r="K6626" i="1" s="1"/>
  <c r="F6627" i="1"/>
  <c r="K6627" i="1" s="1"/>
  <c r="F6628" i="1"/>
  <c r="K6628" i="1" s="1"/>
  <c r="F6629" i="1"/>
  <c r="K6629" i="1" s="1"/>
  <c r="F6630" i="1"/>
  <c r="K6630" i="1" s="1"/>
  <c r="F6631" i="1"/>
  <c r="K6631" i="1" s="1"/>
  <c r="F6632" i="1"/>
  <c r="K6632" i="1" s="1"/>
  <c r="F6633" i="1"/>
  <c r="K6633" i="1" s="1"/>
  <c r="F6634" i="1"/>
  <c r="K6634" i="1" s="1"/>
  <c r="F6635" i="1"/>
  <c r="K6635" i="1" s="1"/>
  <c r="F6636" i="1"/>
  <c r="K6636" i="1" s="1"/>
  <c r="F6637" i="1"/>
  <c r="K6637" i="1" s="1"/>
  <c r="F6638" i="1"/>
  <c r="K6638" i="1" s="1"/>
  <c r="F6639" i="1"/>
  <c r="K6639" i="1" s="1"/>
  <c r="F6640" i="1"/>
  <c r="K6640" i="1" s="1"/>
  <c r="F6641" i="1"/>
  <c r="K6641" i="1" s="1"/>
  <c r="F6642" i="1"/>
  <c r="K6642" i="1" s="1"/>
  <c r="F6643" i="1"/>
  <c r="K6643" i="1" s="1"/>
  <c r="F6644" i="1"/>
  <c r="K6644" i="1" s="1"/>
  <c r="F6645" i="1"/>
  <c r="K6645" i="1" s="1"/>
  <c r="F6646" i="1"/>
  <c r="K6646" i="1" s="1"/>
  <c r="F6647" i="1"/>
  <c r="K6647" i="1" s="1"/>
  <c r="F6648" i="1"/>
  <c r="K6648" i="1" s="1"/>
  <c r="F6649" i="1"/>
  <c r="K6649" i="1" s="1"/>
  <c r="F6650" i="1"/>
  <c r="K6650" i="1" s="1"/>
  <c r="F6651" i="1"/>
  <c r="K6651" i="1" s="1"/>
  <c r="F6652" i="1"/>
  <c r="K6652" i="1" s="1"/>
  <c r="F6653" i="1"/>
  <c r="K6653" i="1" s="1"/>
  <c r="F6654" i="1"/>
  <c r="K6654" i="1" s="1"/>
  <c r="F6655" i="1"/>
  <c r="K6655" i="1" s="1"/>
  <c r="F6656" i="1"/>
  <c r="K6656" i="1" s="1"/>
  <c r="F6657" i="1"/>
  <c r="K6657" i="1" s="1"/>
  <c r="F6658" i="1"/>
  <c r="K6658" i="1" s="1"/>
  <c r="F6659" i="1"/>
  <c r="K6659" i="1" s="1"/>
  <c r="F6660" i="1"/>
  <c r="K6660" i="1" s="1"/>
  <c r="F6661" i="1"/>
  <c r="K6661" i="1" s="1"/>
  <c r="F6662" i="1"/>
  <c r="K6662" i="1" s="1"/>
  <c r="F6663" i="1"/>
  <c r="K6663" i="1" s="1"/>
  <c r="F6664" i="1"/>
  <c r="K6664" i="1" s="1"/>
  <c r="F6665" i="1"/>
  <c r="K6665" i="1" s="1"/>
  <c r="F6666" i="1"/>
  <c r="K6666" i="1" s="1"/>
  <c r="F6667" i="1"/>
  <c r="K6667" i="1" s="1"/>
  <c r="F6668" i="1"/>
  <c r="K6668" i="1" s="1"/>
  <c r="F6669" i="1"/>
  <c r="K6669" i="1" s="1"/>
  <c r="F6670" i="1"/>
  <c r="K6670" i="1" s="1"/>
  <c r="F6671" i="1"/>
  <c r="K6671" i="1" s="1"/>
  <c r="F6672" i="1"/>
  <c r="K6672" i="1" s="1"/>
  <c r="F6673" i="1"/>
  <c r="K6673" i="1" s="1"/>
  <c r="F6674" i="1"/>
  <c r="K6674" i="1" s="1"/>
  <c r="F6675" i="1"/>
  <c r="K6675" i="1" s="1"/>
  <c r="F6676" i="1"/>
  <c r="K6676" i="1" s="1"/>
  <c r="F6677" i="1"/>
  <c r="K6677" i="1" s="1"/>
  <c r="F6678" i="1"/>
  <c r="K6678" i="1" s="1"/>
  <c r="F6679" i="1"/>
  <c r="K6679" i="1" s="1"/>
  <c r="F6680" i="1"/>
  <c r="K6680" i="1" s="1"/>
  <c r="F6681" i="1"/>
  <c r="K6681" i="1" s="1"/>
  <c r="F6682" i="1"/>
  <c r="K6682" i="1" s="1"/>
  <c r="F6683" i="1"/>
  <c r="K6683" i="1" s="1"/>
  <c r="F6684" i="1"/>
  <c r="K6684" i="1" s="1"/>
  <c r="F6685" i="1"/>
  <c r="K6685" i="1" s="1"/>
  <c r="F6686" i="1"/>
  <c r="K6686" i="1" s="1"/>
  <c r="F6687" i="1"/>
  <c r="K6687" i="1" s="1"/>
  <c r="F6688" i="1"/>
  <c r="K6688" i="1" s="1"/>
  <c r="F6689" i="1"/>
  <c r="K6689" i="1" s="1"/>
  <c r="F6690" i="1"/>
  <c r="K6690" i="1" s="1"/>
  <c r="F6691" i="1"/>
  <c r="K6691" i="1" s="1"/>
  <c r="F6692" i="1"/>
  <c r="K6692" i="1" s="1"/>
  <c r="F6693" i="1"/>
  <c r="K6693" i="1" s="1"/>
  <c r="F6694" i="1"/>
  <c r="K6694" i="1" s="1"/>
  <c r="F6695" i="1"/>
  <c r="K6695" i="1" s="1"/>
  <c r="F6696" i="1"/>
  <c r="K6696" i="1" s="1"/>
  <c r="F6697" i="1"/>
  <c r="K6697" i="1" s="1"/>
  <c r="F6698" i="1"/>
  <c r="K6698" i="1" s="1"/>
  <c r="F6699" i="1"/>
  <c r="K6699" i="1" s="1"/>
  <c r="F6700" i="1"/>
  <c r="K6700" i="1" s="1"/>
  <c r="F6701" i="1"/>
  <c r="K6701" i="1" s="1"/>
  <c r="F6702" i="1"/>
  <c r="K6702" i="1" s="1"/>
  <c r="F6703" i="1"/>
  <c r="K6703" i="1" s="1"/>
  <c r="F6704" i="1"/>
  <c r="K6704" i="1" s="1"/>
  <c r="F6705" i="1"/>
  <c r="K6705" i="1" s="1"/>
  <c r="F6706" i="1"/>
  <c r="K6706" i="1" s="1"/>
  <c r="F6707" i="1"/>
  <c r="K6707" i="1" s="1"/>
  <c r="F6708" i="1"/>
  <c r="K6708" i="1" s="1"/>
  <c r="F6709" i="1"/>
  <c r="K6709" i="1" s="1"/>
  <c r="F6710" i="1"/>
  <c r="K6710" i="1" s="1"/>
  <c r="F6711" i="1"/>
  <c r="K6711" i="1" s="1"/>
  <c r="F6712" i="1"/>
  <c r="K6712" i="1" s="1"/>
  <c r="F6713" i="1"/>
  <c r="K6713" i="1" s="1"/>
  <c r="F6714" i="1"/>
  <c r="K6714" i="1" s="1"/>
  <c r="F6715" i="1"/>
  <c r="K6715" i="1" s="1"/>
  <c r="F6716" i="1"/>
  <c r="K6716" i="1" s="1"/>
  <c r="F6717" i="1"/>
  <c r="K6717" i="1" s="1"/>
  <c r="F6718" i="1"/>
  <c r="K6718" i="1" s="1"/>
  <c r="F6719" i="1"/>
  <c r="K6719" i="1" s="1"/>
  <c r="F6720" i="1"/>
  <c r="K6720" i="1" s="1"/>
  <c r="F6721" i="1"/>
  <c r="K6721" i="1" s="1"/>
  <c r="F6722" i="1"/>
  <c r="K6722" i="1" s="1"/>
  <c r="F6723" i="1"/>
  <c r="K6723" i="1" s="1"/>
  <c r="F6724" i="1"/>
  <c r="K6724" i="1" s="1"/>
  <c r="F6725" i="1"/>
  <c r="K6725" i="1" s="1"/>
  <c r="F6726" i="1"/>
  <c r="K6726" i="1" s="1"/>
  <c r="F6727" i="1"/>
  <c r="K6727" i="1" s="1"/>
  <c r="F6728" i="1"/>
  <c r="K6728" i="1" s="1"/>
  <c r="F6729" i="1"/>
  <c r="K6729" i="1" s="1"/>
  <c r="F6730" i="1"/>
  <c r="K6730" i="1" s="1"/>
  <c r="F6731" i="1"/>
  <c r="K6731" i="1" s="1"/>
  <c r="F6732" i="1"/>
  <c r="K6732" i="1" s="1"/>
  <c r="F6733" i="1"/>
  <c r="K6733" i="1" s="1"/>
  <c r="F6734" i="1"/>
  <c r="K6734" i="1" s="1"/>
  <c r="F6735" i="1"/>
  <c r="K6735" i="1" s="1"/>
  <c r="F6736" i="1"/>
  <c r="K6736" i="1" s="1"/>
  <c r="F6737" i="1"/>
  <c r="K6737" i="1" s="1"/>
  <c r="F6738" i="1"/>
  <c r="K6738" i="1" s="1"/>
  <c r="F6739" i="1"/>
  <c r="K6739" i="1" s="1"/>
  <c r="F6740" i="1"/>
  <c r="K6740" i="1" s="1"/>
  <c r="F6741" i="1"/>
  <c r="K6741" i="1" s="1"/>
  <c r="F6742" i="1"/>
  <c r="K6742" i="1" s="1"/>
  <c r="F6743" i="1"/>
  <c r="K6743" i="1" s="1"/>
  <c r="F6744" i="1"/>
  <c r="K6744" i="1" s="1"/>
  <c r="F6745" i="1"/>
  <c r="K6745" i="1" s="1"/>
  <c r="F6746" i="1"/>
  <c r="K6746" i="1" s="1"/>
  <c r="F6747" i="1"/>
  <c r="K6747" i="1" s="1"/>
  <c r="F6748" i="1"/>
  <c r="K6748" i="1" s="1"/>
  <c r="F6749" i="1"/>
  <c r="K6749" i="1" s="1"/>
  <c r="F6750" i="1"/>
  <c r="K6750" i="1" s="1"/>
  <c r="F6751" i="1"/>
  <c r="K6751" i="1" s="1"/>
  <c r="F6752" i="1"/>
  <c r="K6752" i="1" s="1"/>
  <c r="F6753" i="1"/>
  <c r="K6753" i="1" s="1"/>
  <c r="F6754" i="1"/>
  <c r="K6754" i="1" s="1"/>
  <c r="F6755" i="1"/>
  <c r="K6755" i="1" s="1"/>
  <c r="F6756" i="1"/>
  <c r="K6756" i="1" s="1"/>
  <c r="F6757" i="1"/>
  <c r="K6757" i="1" s="1"/>
  <c r="F6758" i="1"/>
  <c r="K6758" i="1" s="1"/>
  <c r="F6759" i="1"/>
  <c r="K6759" i="1" s="1"/>
  <c r="F6760" i="1"/>
  <c r="K6760" i="1" s="1"/>
  <c r="F6761" i="1"/>
  <c r="K6761" i="1" s="1"/>
  <c r="F6762" i="1"/>
  <c r="K6762" i="1" s="1"/>
  <c r="F6763" i="1"/>
  <c r="K6763" i="1" s="1"/>
  <c r="F6764" i="1"/>
  <c r="K6764" i="1" s="1"/>
  <c r="F6765" i="1"/>
  <c r="K6765" i="1" s="1"/>
  <c r="F6766" i="1"/>
  <c r="K6766" i="1" s="1"/>
  <c r="F6767" i="1"/>
  <c r="K6767" i="1" s="1"/>
  <c r="F6768" i="1"/>
  <c r="K6768" i="1" s="1"/>
  <c r="F6769" i="1"/>
  <c r="K6769" i="1" s="1"/>
  <c r="F6770" i="1"/>
  <c r="K6770" i="1" s="1"/>
  <c r="F6771" i="1"/>
  <c r="K6771" i="1" s="1"/>
  <c r="F6772" i="1"/>
  <c r="K6772" i="1" s="1"/>
  <c r="F6773" i="1"/>
  <c r="K6773" i="1" s="1"/>
  <c r="F6774" i="1"/>
  <c r="K6774" i="1" s="1"/>
  <c r="F6775" i="1"/>
  <c r="K6775" i="1" s="1"/>
  <c r="F6776" i="1"/>
  <c r="K6776" i="1" s="1"/>
  <c r="F6777" i="1"/>
  <c r="K6777" i="1" s="1"/>
  <c r="F6778" i="1"/>
  <c r="K6778" i="1" s="1"/>
  <c r="F6779" i="1"/>
  <c r="K6779" i="1" s="1"/>
  <c r="F6780" i="1"/>
  <c r="K6780" i="1" s="1"/>
  <c r="F6781" i="1"/>
  <c r="K6781" i="1" s="1"/>
  <c r="F6782" i="1"/>
  <c r="K6782" i="1" s="1"/>
  <c r="F6783" i="1"/>
  <c r="K6783" i="1" s="1"/>
  <c r="F6784" i="1"/>
  <c r="K6784" i="1" s="1"/>
  <c r="F6785" i="1"/>
  <c r="K6785" i="1" s="1"/>
  <c r="F6786" i="1"/>
  <c r="K6786" i="1" s="1"/>
  <c r="F6787" i="1"/>
  <c r="K6787" i="1" s="1"/>
  <c r="F6788" i="1"/>
  <c r="K6788" i="1" s="1"/>
  <c r="F6789" i="1"/>
  <c r="K6789" i="1" s="1"/>
  <c r="F6790" i="1"/>
  <c r="K6790" i="1" s="1"/>
  <c r="F6791" i="1"/>
  <c r="K6791" i="1" s="1"/>
  <c r="F6792" i="1"/>
  <c r="K6792" i="1" s="1"/>
  <c r="F6793" i="1"/>
  <c r="K6793" i="1" s="1"/>
  <c r="F6794" i="1"/>
  <c r="K6794" i="1" s="1"/>
  <c r="F6795" i="1"/>
  <c r="K6795" i="1" s="1"/>
  <c r="F6796" i="1"/>
  <c r="K6796" i="1" s="1"/>
  <c r="F6797" i="1"/>
  <c r="K6797" i="1" s="1"/>
  <c r="F6798" i="1"/>
  <c r="K6798" i="1" s="1"/>
  <c r="F6799" i="1"/>
  <c r="K6799" i="1" s="1"/>
  <c r="F6800" i="1"/>
  <c r="K6800" i="1" s="1"/>
  <c r="F6801" i="1"/>
  <c r="K6801" i="1" s="1"/>
  <c r="F6802" i="1"/>
  <c r="K6802" i="1" s="1"/>
  <c r="F6803" i="1"/>
  <c r="K6803" i="1" s="1"/>
  <c r="F6804" i="1"/>
  <c r="K6804" i="1" s="1"/>
  <c r="F6805" i="1"/>
  <c r="K6805" i="1" s="1"/>
  <c r="F6806" i="1"/>
  <c r="K6806" i="1" s="1"/>
  <c r="F6807" i="1"/>
  <c r="K6807" i="1" s="1"/>
  <c r="F6808" i="1"/>
  <c r="K6808" i="1" s="1"/>
  <c r="F6809" i="1"/>
  <c r="K6809" i="1" s="1"/>
  <c r="F6810" i="1"/>
  <c r="K6810" i="1" s="1"/>
  <c r="F6811" i="1"/>
  <c r="K6811" i="1" s="1"/>
  <c r="F6812" i="1"/>
  <c r="K6812" i="1" s="1"/>
  <c r="F6813" i="1"/>
  <c r="K6813" i="1" s="1"/>
  <c r="F6814" i="1"/>
  <c r="K6814" i="1" s="1"/>
  <c r="F6815" i="1"/>
  <c r="K6815" i="1" s="1"/>
  <c r="F6816" i="1"/>
  <c r="K6816" i="1" s="1"/>
  <c r="F6817" i="1"/>
  <c r="K6817" i="1" s="1"/>
  <c r="F6818" i="1"/>
  <c r="K6818" i="1" s="1"/>
  <c r="F6819" i="1"/>
  <c r="K6819" i="1" s="1"/>
  <c r="F6820" i="1"/>
  <c r="K6820" i="1" s="1"/>
  <c r="F6821" i="1"/>
  <c r="K6821" i="1" s="1"/>
  <c r="F6822" i="1"/>
  <c r="K6822" i="1" s="1"/>
  <c r="F6823" i="1"/>
  <c r="K6823" i="1" s="1"/>
  <c r="F6824" i="1"/>
  <c r="K6824" i="1" s="1"/>
  <c r="F6825" i="1"/>
  <c r="K6825" i="1" s="1"/>
  <c r="F6826" i="1"/>
  <c r="K6826" i="1" s="1"/>
  <c r="F6827" i="1"/>
  <c r="K6827" i="1" s="1"/>
  <c r="F6828" i="1"/>
  <c r="K6828" i="1" s="1"/>
  <c r="F6829" i="1"/>
  <c r="K6829" i="1" s="1"/>
  <c r="F6830" i="1"/>
  <c r="K6830" i="1" s="1"/>
  <c r="F6831" i="1"/>
  <c r="K6831" i="1" s="1"/>
  <c r="F6832" i="1"/>
  <c r="K6832" i="1" s="1"/>
  <c r="F6833" i="1"/>
  <c r="K6833" i="1" s="1"/>
  <c r="F6834" i="1"/>
  <c r="K6834" i="1" s="1"/>
  <c r="F6835" i="1"/>
  <c r="K6835" i="1" s="1"/>
  <c r="F6836" i="1"/>
  <c r="K6836" i="1" s="1"/>
  <c r="F6837" i="1"/>
  <c r="K6837" i="1" s="1"/>
  <c r="F6838" i="1"/>
  <c r="K6838" i="1" s="1"/>
  <c r="F6839" i="1"/>
  <c r="K6839" i="1" s="1"/>
  <c r="F6840" i="1"/>
  <c r="K6840" i="1" s="1"/>
  <c r="F6841" i="1"/>
  <c r="K6841" i="1" s="1"/>
  <c r="F6842" i="1"/>
  <c r="K6842" i="1" s="1"/>
  <c r="F6843" i="1"/>
  <c r="K6843" i="1" s="1"/>
  <c r="F6844" i="1"/>
  <c r="K6844" i="1" s="1"/>
  <c r="F6845" i="1"/>
  <c r="K6845" i="1" s="1"/>
  <c r="F6846" i="1"/>
  <c r="K6846" i="1" s="1"/>
  <c r="F6847" i="1"/>
  <c r="K6847" i="1" s="1"/>
  <c r="F6848" i="1"/>
  <c r="K6848" i="1" s="1"/>
  <c r="F6849" i="1"/>
  <c r="K6849" i="1" s="1"/>
  <c r="F6850" i="1"/>
  <c r="K6850" i="1" s="1"/>
  <c r="F6851" i="1"/>
  <c r="K6851" i="1" s="1"/>
  <c r="F6852" i="1"/>
  <c r="K6852" i="1" s="1"/>
  <c r="F6853" i="1"/>
  <c r="K6853" i="1" s="1"/>
  <c r="F6854" i="1"/>
  <c r="K6854" i="1" s="1"/>
  <c r="F6855" i="1"/>
  <c r="K6855" i="1" s="1"/>
  <c r="F6856" i="1"/>
  <c r="K6856" i="1" s="1"/>
  <c r="F6857" i="1"/>
  <c r="K6857" i="1" s="1"/>
  <c r="F6858" i="1"/>
  <c r="K6858" i="1" s="1"/>
  <c r="F6859" i="1"/>
  <c r="K6859" i="1" s="1"/>
  <c r="F6860" i="1"/>
  <c r="K6860" i="1" s="1"/>
  <c r="F6861" i="1"/>
  <c r="K6861" i="1" s="1"/>
  <c r="F6862" i="1"/>
  <c r="K6862" i="1" s="1"/>
  <c r="F6863" i="1"/>
  <c r="K6863" i="1" s="1"/>
  <c r="F6864" i="1"/>
  <c r="K6864" i="1" s="1"/>
  <c r="F6865" i="1"/>
  <c r="K6865" i="1" s="1"/>
  <c r="F6866" i="1"/>
  <c r="K6866" i="1" s="1"/>
  <c r="F6867" i="1"/>
  <c r="K6867" i="1" s="1"/>
  <c r="F6868" i="1"/>
  <c r="K6868" i="1" s="1"/>
  <c r="F6869" i="1"/>
  <c r="K6869" i="1" s="1"/>
  <c r="F6870" i="1"/>
  <c r="K6870" i="1" s="1"/>
  <c r="F6871" i="1"/>
  <c r="K6871" i="1" s="1"/>
  <c r="F6872" i="1"/>
  <c r="K6872" i="1" s="1"/>
  <c r="F6873" i="1"/>
  <c r="K6873" i="1" s="1"/>
  <c r="F6874" i="1"/>
  <c r="K6874" i="1" s="1"/>
  <c r="F6875" i="1"/>
  <c r="K6875" i="1" s="1"/>
  <c r="F6876" i="1"/>
  <c r="K6876" i="1" s="1"/>
  <c r="F6877" i="1"/>
  <c r="K6877" i="1" s="1"/>
  <c r="F6878" i="1"/>
  <c r="K6878" i="1" s="1"/>
  <c r="F6879" i="1"/>
  <c r="K6879" i="1" s="1"/>
  <c r="F6880" i="1"/>
  <c r="K6880" i="1" s="1"/>
  <c r="F6881" i="1"/>
  <c r="K6881" i="1" s="1"/>
  <c r="F6882" i="1"/>
  <c r="K6882" i="1" s="1"/>
  <c r="F6883" i="1"/>
  <c r="K6883" i="1" s="1"/>
  <c r="F6884" i="1"/>
  <c r="K6884" i="1" s="1"/>
  <c r="F6885" i="1"/>
  <c r="K6885" i="1" s="1"/>
  <c r="F6886" i="1"/>
  <c r="K6886" i="1" s="1"/>
  <c r="F6887" i="1"/>
  <c r="K6887" i="1" s="1"/>
  <c r="F6888" i="1"/>
  <c r="K6888" i="1" s="1"/>
  <c r="F6889" i="1"/>
  <c r="K6889" i="1" s="1"/>
  <c r="F6890" i="1"/>
  <c r="K6890" i="1" s="1"/>
  <c r="F6891" i="1"/>
  <c r="K6891" i="1" s="1"/>
  <c r="F6892" i="1"/>
  <c r="K6892" i="1" s="1"/>
  <c r="F6893" i="1"/>
  <c r="K6893" i="1" s="1"/>
  <c r="F6894" i="1"/>
  <c r="K6894" i="1" s="1"/>
  <c r="F6895" i="1"/>
  <c r="K6895" i="1" s="1"/>
  <c r="F6896" i="1"/>
  <c r="K6896" i="1" s="1"/>
  <c r="F6897" i="1"/>
  <c r="K6897" i="1" s="1"/>
  <c r="F6898" i="1"/>
  <c r="K6898" i="1" s="1"/>
  <c r="F6899" i="1"/>
  <c r="K6899" i="1" s="1"/>
  <c r="F6900" i="1"/>
  <c r="K6900" i="1" s="1"/>
  <c r="F6901" i="1"/>
  <c r="K6901" i="1" s="1"/>
  <c r="F6902" i="1"/>
  <c r="K6902" i="1" s="1"/>
  <c r="F6903" i="1"/>
  <c r="K6903" i="1" s="1"/>
  <c r="F6904" i="1"/>
  <c r="K6904" i="1" s="1"/>
  <c r="F6905" i="1"/>
  <c r="K6905" i="1" s="1"/>
  <c r="F6906" i="1"/>
  <c r="K6906" i="1" s="1"/>
  <c r="F6907" i="1"/>
  <c r="K6907" i="1" s="1"/>
  <c r="F6908" i="1"/>
  <c r="K6908" i="1" s="1"/>
  <c r="F6909" i="1"/>
  <c r="K6909" i="1" s="1"/>
  <c r="F6910" i="1"/>
  <c r="K6910" i="1" s="1"/>
  <c r="F6911" i="1"/>
  <c r="K6911" i="1" s="1"/>
  <c r="F6912" i="1"/>
  <c r="K6912" i="1" s="1"/>
  <c r="F6913" i="1"/>
  <c r="K6913" i="1" s="1"/>
  <c r="F6914" i="1"/>
  <c r="K6914" i="1" s="1"/>
  <c r="F6915" i="1"/>
  <c r="K6915" i="1" s="1"/>
  <c r="F6916" i="1"/>
  <c r="K6916" i="1" s="1"/>
  <c r="F6917" i="1"/>
  <c r="K6917" i="1" s="1"/>
  <c r="F6918" i="1"/>
  <c r="K6918" i="1" s="1"/>
  <c r="F6919" i="1"/>
  <c r="K6919" i="1" s="1"/>
  <c r="F6920" i="1"/>
  <c r="K6920" i="1" s="1"/>
  <c r="F6921" i="1"/>
  <c r="K6921" i="1" s="1"/>
  <c r="F6922" i="1"/>
  <c r="K6922" i="1" s="1"/>
  <c r="F6923" i="1"/>
  <c r="K6923" i="1" s="1"/>
  <c r="F6924" i="1"/>
  <c r="K6924" i="1" s="1"/>
  <c r="F6925" i="1"/>
  <c r="K6925" i="1" s="1"/>
  <c r="F6926" i="1"/>
  <c r="K6926" i="1" s="1"/>
  <c r="F6927" i="1"/>
  <c r="K6927" i="1" s="1"/>
  <c r="F6928" i="1"/>
  <c r="K6928" i="1" s="1"/>
  <c r="F6929" i="1"/>
  <c r="K6929" i="1" s="1"/>
  <c r="F6930" i="1"/>
  <c r="K6930" i="1" s="1"/>
  <c r="F6931" i="1"/>
  <c r="K6931" i="1" s="1"/>
  <c r="F6932" i="1"/>
  <c r="K6932" i="1" s="1"/>
  <c r="F6933" i="1"/>
  <c r="K6933" i="1" s="1"/>
  <c r="F6934" i="1"/>
  <c r="K6934" i="1" s="1"/>
  <c r="F6935" i="1"/>
  <c r="K6935" i="1" s="1"/>
  <c r="F6936" i="1"/>
  <c r="K6936" i="1" s="1"/>
  <c r="F6937" i="1"/>
  <c r="K6937" i="1" s="1"/>
  <c r="F6938" i="1"/>
  <c r="K6938" i="1" s="1"/>
  <c r="F6939" i="1"/>
  <c r="K6939" i="1" s="1"/>
  <c r="F6940" i="1"/>
  <c r="K6940" i="1" s="1"/>
  <c r="F6941" i="1"/>
  <c r="K6941" i="1" s="1"/>
  <c r="F6942" i="1"/>
  <c r="K6942" i="1" s="1"/>
  <c r="F6943" i="1"/>
  <c r="K6943" i="1" s="1"/>
  <c r="F6944" i="1"/>
  <c r="K6944" i="1" s="1"/>
  <c r="F6945" i="1"/>
  <c r="K6945" i="1" s="1"/>
  <c r="F6946" i="1"/>
  <c r="K6946" i="1" s="1"/>
  <c r="F6947" i="1"/>
  <c r="K6947" i="1" s="1"/>
  <c r="F6948" i="1"/>
  <c r="K6948" i="1" s="1"/>
  <c r="F6949" i="1"/>
  <c r="K6949" i="1" s="1"/>
  <c r="F6950" i="1"/>
  <c r="K6950" i="1" s="1"/>
  <c r="F6951" i="1"/>
  <c r="K6951" i="1" s="1"/>
  <c r="F6952" i="1"/>
  <c r="K6952" i="1" s="1"/>
  <c r="F6953" i="1"/>
  <c r="K6953" i="1" s="1"/>
  <c r="F6954" i="1"/>
  <c r="K6954" i="1" s="1"/>
  <c r="F6955" i="1"/>
  <c r="K6955" i="1" s="1"/>
  <c r="F6956" i="1"/>
  <c r="K6956" i="1" s="1"/>
  <c r="F6957" i="1"/>
  <c r="K6957" i="1" s="1"/>
  <c r="F6958" i="1"/>
  <c r="K6958" i="1" s="1"/>
  <c r="F6959" i="1"/>
  <c r="K6959" i="1" s="1"/>
  <c r="F6960" i="1"/>
  <c r="K6960" i="1" s="1"/>
  <c r="F6961" i="1"/>
  <c r="K6961" i="1" s="1"/>
  <c r="F6962" i="1"/>
  <c r="K6962" i="1" s="1"/>
  <c r="F6963" i="1"/>
  <c r="K6963" i="1" s="1"/>
  <c r="F6964" i="1"/>
  <c r="K6964" i="1" s="1"/>
  <c r="F6965" i="1"/>
  <c r="K6965" i="1" s="1"/>
  <c r="F6966" i="1"/>
  <c r="K6966" i="1" s="1"/>
  <c r="F6967" i="1"/>
  <c r="K6967" i="1" s="1"/>
  <c r="F6968" i="1"/>
  <c r="K6968" i="1" s="1"/>
  <c r="F6969" i="1"/>
  <c r="K6969" i="1" s="1"/>
  <c r="F6970" i="1"/>
  <c r="K6970" i="1" s="1"/>
  <c r="F6971" i="1"/>
  <c r="K6971" i="1" s="1"/>
  <c r="F6972" i="1"/>
  <c r="K6972" i="1" s="1"/>
  <c r="F6973" i="1"/>
  <c r="K6973" i="1" s="1"/>
  <c r="F6974" i="1"/>
  <c r="K6974" i="1" s="1"/>
  <c r="F6975" i="1"/>
  <c r="K6975" i="1" s="1"/>
  <c r="F6976" i="1"/>
  <c r="K6976" i="1" s="1"/>
  <c r="F6977" i="1"/>
  <c r="K6977" i="1" s="1"/>
  <c r="F6978" i="1"/>
  <c r="K6978" i="1" s="1"/>
  <c r="F6979" i="1"/>
  <c r="K6979" i="1" s="1"/>
  <c r="F6980" i="1"/>
  <c r="K6980" i="1" s="1"/>
  <c r="F6981" i="1"/>
  <c r="K6981" i="1" s="1"/>
  <c r="F6982" i="1"/>
  <c r="K6982" i="1" s="1"/>
  <c r="F6983" i="1"/>
  <c r="K6983" i="1" s="1"/>
  <c r="F6984" i="1"/>
  <c r="K6984" i="1" s="1"/>
  <c r="F6985" i="1"/>
  <c r="K6985" i="1" s="1"/>
  <c r="F6986" i="1"/>
  <c r="K6986" i="1" s="1"/>
  <c r="F6987" i="1"/>
  <c r="K6987" i="1" s="1"/>
  <c r="F6988" i="1"/>
  <c r="K6988" i="1" s="1"/>
  <c r="F6989" i="1"/>
  <c r="K6989" i="1" s="1"/>
  <c r="F6990" i="1"/>
  <c r="K6990" i="1" s="1"/>
  <c r="F6991" i="1"/>
  <c r="K6991" i="1" s="1"/>
  <c r="F6992" i="1"/>
  <c r="K6992" i="1" s="1"/>
  <c r="F6993" i="1"/>
  <c r="K6993" i="1" s="1"/>
  <c r="F6994" i="1"/>
  <c r="K6994" i="1" s="1"/>
  <c r="F6995" i="1"/>
  <c r="K6995" i="1" s="1"/>
  <c r="F6996" i="1"/>
  <c r="K6996" i="1" s="1"/>
  <c r="F6997" i="1"/>
  <c r="K6997" i="1" s="1"/>
  <c r="F6998" i="1"/>
  <c r="K6998" i="1" s="1"/>
  <c r="F6999" i="1"/>
  <c r="K6999" i="1" s="1"/>
  <c r="F7000" i="1"/>
  <c r="K7000" i="1" s="1"/>
  <c r="F7001" i="1"/>
  <c r="K7001" i="1" s="1"/>
  <c r="F7002" i="1"/>
  <c r="K7002" i="1" s="1"/>
  <c r="F7003" i="1"/>
  <c r="K7003" i="1" s="1"/>
  <c r="F7004" i="1"/>
  <c r="K7004" i="1" s="1"/>
  <c r="F7005" i="1"/>
  <c r="K7005" i="1" s="1"/>
  <c r="F7006" i="1"/>
  <c r="K7006" i="1" s="1"/>
  <c r="F7007" i="1"/>
  <c r="K7007" i="1" s="1"/>
  <c r="F7008" i="1"/>
  <c r="K7008" i="1" s="1"/>
  <c r="F7009" i="1"/>
  <c r="K7009" i="1" s="1"/>
  <c r="F7010" i="1"/>
  <c r="K7010" i="1" s="1"/>
  <c r="F7011" i="1"/>
  <c r="K7011" i="1" s="1"/>
  <c r="F7012" i="1"/>
  <c r="K7012" i="1" s="1"/>
  <c r="F7013" i="1"/>
  <c r="K7013" i="1" s="1"/>
  <c r="F7014" i="1"/>
  <c r="K7014" i="1" s="1"/>
  <c r="F7015" i="1"/>
  <c r="K7015" i="1" s="1"/>
  <c r="F7016" i="1"/>
  <c r="K7016" i="1" s="1"/>
  <c r="F7017" i="1"/>
  <c r="K7017" i="1" s="1"/>
  <c r="F7018" i="1"/>
  <c r="K7018" i="1" s="1"/>
  <c r="F7019" i="1"/>
  <c r="K7019" i="1" s="1"/>
  <c r="F7020" i="1"/>
  <c r="K7020" i="1" s="1"/>
  <c r="F7021" i="1"/>
  <c r="K7021" i="1" s="1"/>
  <c r="F7022" i="1"/>
  <c r="K7022" i="1" s="1"/>
  <c r="F7023" i="1"/>
  <c r="K7023" i="1" s="1"/>
  <c r="F7024" i="1"/>
  <c r="K7024" i="1" s="1"/>
  <c r="F7025" i="1"/>
  <c r="K7025" i="1" s="1"/>
  <c r="F7026" i="1"/>
  <c r="K7026" i="1" s="1"/>
  <c r="F7027" i="1"/>
  <c r="K7027" i="1" s="1"/>
  <c r="F7028" i="1"/>
  <c r="K7028" i="1" s="1"/>
  <c r="F7029" i="1"/>
  <c r="K7029" i="1" s="1"/>
  <c r="F7030" i="1"/>
  <c r="K7030" i="1" s="1"/>
  <c r="F7031" i="1"/>
  <c r="K7031" i="1" s="1"/>
  <c r="F7032" i="1"/>
  <c r="K7032" i="1" s="1"/>
  <c r="F7033" i="1"/>
  <c r="K7033" i="1" s="1"/>
  <c r="F7034" i="1"/>
  <c r="K7034" i="1" s="1"/>
  <c r="F7035" i="1"/>
  <c r="K7035" i="1" s="1"/>
  <c r="F7036" i="1"/>
  <c r="K7036" i="1" s="1"/>
  <c r="F7037" i="1"/>
  <c r="K7037" i="1" s="1"/>
  <c r="F7038" i="1"/>
  <c r="K7038" i="1" s="1"/>
  <c r="F7039" i="1"/>
  <c r="K7039" i="1" s="1"/>
  <c r="F7040" i="1"/>
  <c r="K7040" i="1" s="1"/>
  <c r="F7041" i="1"/>
  <c r="K7041" i="1" s="1"/>
  <c r="F7042" i="1"/>
  <c r="K7042" i="1" s="1"/>
  <c r="F7043" i="1"/>
  <c r="K7043" i="1" s="1"/>
  <c r="F7044" i="1"/>
  <c r="K7044" i="1" s="1"/>
  <c r="F7045" i="1"/>
  <c r="K7045" i="1" s="1"/>
  <c r="F7046" i="1"/>
  <c r="K7046" i="1" s="1"/>
  <c r="F7047" i="1"/>
  <c r="K7047" i="1" s="1"/>
  <c r="F7048" i="1"/>
  <c r="K7048" i="1" s="1"/>
  <c r="F7049" i="1"/>
  <c r="K7049" i="1" s="1"/>
  <c r="F7050" i="1"/>
  <c r="K7050" i="1" s="1"/>
  <c r="F7051" i="1"/>
  <c r="K7051" i="1" s="1"/>
  <c r="F7052" i="1"/>
  <c r="K7052" i="1" s="1"/>
  <c r="F7053" i="1"/>
  <c r="K7053" i="1" s="1"/>
  <c r="F7054" i="1"/>
  <c r="K7054" i="1" s="1"/>
  <c r="F7055" i="1"/>
  <c r="K7055" i="1" s="1"/>
  <c r="F7056" i="1"/>
  <c r="K7056" i="1" s="1"/>
  <c r="F7057" i="1"/>
  <c r="K7057" i="1" s="1"/>
  <c r="F7058" i="1"/>
  <c r="K7058" i="1" s="1"/>
  <c r="F7059" i="1"/>
  <c r="K7059" i="1" s="1"/>
  <c r="F7060" i="1"/>
  <c r="K7060" i="1" s="1"/>
  <c r="F7061" i="1"/>
  <c r="K7061" i="1" s="1"/>
  <c r="F7062" i="1"/>
  <c r="K7062" i="1" s="1"/>
  <c r="F7063" i="1"/>
  <c r="K7063" i="1" s="1"/>
  <c r="F7064" i="1"/>
  <c r="K7064" i="1" s="1"/>
  <c r="F7065" i="1"/>
  <c r="K7065" i="1" s="1"/>
  <c r="F7066" i="1"/>
  <c r="K7066" i="1" s="1"/>
  <c r="F7067" i="1"/>
  <c r="K7067" i="1" s="1"/>
  <c r="F7068" i="1"/>
  <c r="K7068" i="1" s="1"/>
  <c r="F7069" i="1"/>
  <c r="K7069" i="1" s="1"/>
  <c r="F7070" i="1"/>
  <c r="K7070" i="1" s="1"/>
  <c r="F7071" i="1"/>
  <c r="K7071" i="1" s="1"/>
  <c r="F7072" i="1"/>
  <c r="K7072" i="1" s="1"/>
  <c r="F7073" i="1"/>
  <c r="K7073" i="1" s="1"/>
  <c r="F7074" i="1"/>
  <c r="K7074" i="1" s="1"/>
  <c r="F7075" i="1"/>
  <c r="K7075" i="1" s="1"/>
  <c r="F7076" i="1"/>
  <c r="K7076" i="1" s="1"/>
  <c r="F7077" i="1"/>
  <c r="K7077" i="1" s="1"/>
  <c r="F7078" i="1"/>
  <c r="K7078" i="1" s="1"/>
  <c r="F7079" i="1"/>
  <c r="K7079" i="1" s="1"/>
  <c r="F7080" i="1"/>
  <c r="K7080" i="1" s="1"/>
  <c r="F7081" i="1"/>
  <c r="K7081" i="1" s="1"/>
  <c r="F7082" i="1"/>
  <c r="K7082" i="1" s="1"/>
  <c r="F7083" i="1"/>
  <c r="K7083" i="1" s="1"/>
  <c r="F7084" i="1"/>
  <c r="K7084" i="1" s="1"/>
  <c r="F7085" i="1"/>
  <c r="K7085" i="1" s="1"/>
  <c r="F7086" i="1"/>
  <c r="K7086" i="1" s="1"/>
  <c r="F7087" i="1"/>
  <c r="K7087" i="1" s="1"/>
  <c r="F7088" i="1"/>
  <c r="K7088" i="1" s="1"/>
  <c r="F7089" i="1"/>
  <c r="K7089" i="1" s="1"/>
  <c r="F7090" i="1"/>
  <c r="K7090" i="1" s="1"/>
  <c r="F7091" i="1"/>
  <c r="K7091" i="1" s="1"/>
  <c r="F7092" i="1"/>
  <c r="K7092" i="1" s="1"/>
  <c r="F7093" i="1"/>
  <c r="K7093" i="1" s="1"/>
  <c r="F7094" i="1"/>
  <c r="K7094" i="1" s="1"/>
  <c r="F7095" i="1"/>
  <c r="K7095" i="1" s="1"/>
  <c r="F7096" i="1"/>
  <c r="K7096" i="1" s="1"/>
  <c r="F7097" i="1"/>
  <c r="K7097" i="1" s="1"/>
  <c r="F7098" i="1"/>
  <c r="K7098" i="1" s="1"/>
  <c r="F7099" i="1"/>
  <c r="K7099" i="1" s="1"/>
  <c r="F7100" i="1"/>
  <c r="K7100" i="1" s="1"/>
  <c r="F7101" i="1"/>
  <c r="K7101" i="1" s="1"/>
  <c r="F7102" i="1"/>
  <c r="K7102" i="1" s="1"/>
  <c r="F7103" i="1"/>
  <c r="K7103" i="1" s="1"/>
  <c r="F7104" i="1"/>
  <c r="K7104" i="1" s="1"/>
  <c r="F7105" i="1"/>
  <c r="K7105" i="1" s="1"/>
  <c r="F7106" i="1"/>
  <c r="K7106" i="1" s="1"/>
  <c r="F7107" i="1"/>
  <c r="K7107" i="1" s="1"/>
  <c r="F7108" i="1"/>
  <c r="K7108" i="1" s="1"/>
  <c r="F7109" i="1"/>
  <c r="K7109" i="1" s="1"/>
  <c r="F7110" i="1"/>
  <c r="K7110" i="1" s="1"/>
  <c r="F7111" i="1"/>
  <c r="K7111" i="1" s="1"/>
  <c r="F7112" i="1"/>
  <c r="K7112" i="1" s="1"/>
  <c r="F7113" i="1"/>
  <c r="K7113" i="1" s="1"/>
  <c r="F7114" i="1"/>
  <c r="K7114" i="1" s="1"/>
  <c r="F7115" i="1"/>
  <c r="K7115" i="1" s="1"/>
  <c r="F7116" i="1"/>
  <c r="K7116" i="1" s="1"/>
  <c r="F7117" i="1"/>
  <c r="K7117" i="1" s="1"/>
  <c r="F7118" i="1"/>
  <c r="K7118" i="1" s="1"/>
  <c r="F7119" i="1"/>
  <c r="K7119" i="1" s="1"/>
  <c r="F7120" i="1"/>
  <c r="K7120" i="1" s="1"/>
  <c r="F7121" i="1"/>
  <c r="K7121" i="1" s="1"/>
  <c r="F7122" i="1"/>
  <c r="K7122" i="1" s="1"/>
  <c r="F7123" i="1"/>
  <c r="K7123" i="1" s="1"/>
  <c r="F7124" i="1"/>
  <c r="K7124" i="1" s="1"/>
  <c r="F7125" i="1"/>
  <c r="K7125" i="1" s="1"/>
  <c r="F7126" i="1"/>
  <c r="K7126" i="1" s="1"/>
  <c r="F7127" i="1"/>
  <c r="K7127" i="1" s="1"/>
  <c r="F7128" i="1"/>
  <c r="K7128" i="1" s="1"/>
  <c r="F7129" i="1"/>
  <c r="K7129" i="1" s="1"/>
  <c r="F7130" i="1"/>
  <c r="K7130" i="1" s="1"/>
  <c r="F7131" i="1"/>
  <c r="K7131" i="1" s="1"/>
  <c r="F7132" i="1"/>
  <c r="K7132" i="1" s="1"/>
  <c r="F7133" i="1"/>
  <c r="K7133" i="1" s="1"/>
  <c r="F7134" i="1"/>
  <c r="K7134" i="1" s="1"/>
  <c r="F7135" i="1"/>
  <c r="K7135" i="1" s="1"/>
  <c r="F7136" i="1"/>
  <c r="K7136" i="1" s="1"/>
  <c r="F7137" i="1"/>
  <c r="K7137" i="1" s="1"/>
  <c r="F7138" i="1"/>
  <c r="K7138" i="1" s="1"/>
  <c r="F7139" i="1"/>
  <c r="K7139" i="1" s="1"/>
  <c r="F7140" i="1"/>
  <c r="K7140" i="1" s="1"/>
  <c r="F7141" i="1"/>
  <c r="K7141" i="1" s="1"/>
  <c r="F7142" i="1"/>
  <c r="K7142" i="1" s="1"/>
  <c r="F7143" i="1"/>
  <c r="K7143" i="1" s="1"/>
  <c r="F7144" i="1"/>
  <c r="K7144" i="1" s="1"/>
  <c r="F7145" i="1"/>
  <c r="K7145" i="1" s="1"/>
  <c r="F7146" i="1"/>
  <c r="K7146" i="1" s="1"/>
  <c r="F7147" i="1"/>
  <c r="K7147" i="1" s="1"/>
  <c r="F7148" i="1"/>
  <c r="K7148" i="1" s="1"/>
  <c r="F7149" i="1"/>
  <c r="K7149" i="1" s="1"/>
  <c r="F7150" i="1"/>
  <c r="K7150" i="1" s="1"/>
  <c r="F7151" i="1"/>
  <c r="K7151" i="1" s="1"/>
  <c r="F7152" i="1"/>
  <c r="K7152" i="1" s="1"/>
  <c r="F7153" i="1"/>
  <c r="K7153" i="1" s="1"/>
  <c r="F7154" i="1"/>
  <c r="K7154" i="1" s="1"/>
  <c r="F7155" i="1"/>
  <c r="K7155" i="1" s="1"/>
  <c r="F7156" i="1"/>
  <c r="K7156" i="1" s="1"/>
  <c r="F7157" i="1"/>
  <c r="K7157" i="1" s="1"/>
  <c r="F7158" i="1"/>
  <c r="K7158" i="1" s="1"/>
  <c r="F7159" i="1"/>
  <c r="K7159" i="1" s="1"/>
  <c r="F7160" i="1"/>
  <c r="K7160" i="1" s="1"/>
  <c r="F7161" i="1"/>
  <c r="K7161" i="1" s="1"/>
  <c r="F7162" i="1"/>
  <c r="K7162" i="1" s="1"/>
  <c r="F7163" i="1"/>
  <c r="K7163" i="1" s="1"/>
  <c r="F7164" i="1"/>
  <c r="K7164" i="1" s="1"/>
  <c r="F7165" i="1"/>
  <c r="K7165" i="1" s="1"/>
  <c r="F7166" i="1"/>
  <c r="K7166" i="1" s="1"/>
  <c r="F7167" i="1"/>
  <c r="K7167" i="1" s="1"/>
  <c r="F7168" i="1"/>
  <c r="K7168" i="1" s="1"/>
  <c r="F7169" i="1"/>
  <c r="K7169" i="1" s="1"/>
  <c r="F7170" i="1"/>
  <c r="K7170" i="1" s="1"/>
  <c r="F7171" i="1"/>
  <c r="K7171" i="1" s="1"/>
  <c r="F7172" i="1"/>
  <c r="K7172" i="1" s="1"/>
  <c r="F7173" i="1"/>
  <c r="K7173" i="1" s="1"/>
  <c r="F7174" i="1"/>
  <c r="K7174" i="1" s="1"/>
  <c r="F7175" i="1"/>
  <c r="K7175" i="1" s="1"/>
  <c r="F7176" i="1"/>
  <c r="K7176" i="1" s="1"/>
  <c r="F7177" i="1"/>
  <c r="K7177" i="1" s="1"/>
  <c r="F7178" i="1"/>
  <c r="K7178" i="1" s="1"/>
  <c r="F7179" i="1"/>
  <c r="K7179" i="1" s="1"/>
  <c r="F7180" i="1"/>
  <c r="K7180" i="1" s="1"/>
  <c r="F7181" i="1"/>
  <c r="K7181" i="1" s="1"/>
  <c r="F7182" i="1"/>
  <c r="K7182" i="1" s="1"/>
  <c r="F7183" i="1"/>
  <c r="K7183" i="1" s="1"/>
  <c r="F7184" i="1"/>
  <c r="K7184" i="1" s="1"/>
  <c r="F7185" i="1"/>
  <c r="K7185" i="1" s="1"/>
  <c r="F7186" i="1"/>
  <c r="K7186" i="1" s="1"/>
  <c r="F7187" i="1"/>
  <c r="K7187" i="1" s="1"/>
  <c r="F7188" i="1"/>
  <c r="K7188" i="1" s="1"/>
  <c r="F7189" i="1"/>
  <c r="K7189" i="1" s="1"/>
  <c r="F7190" i="1"/>
  <c r="K7190" i="1" s="1"/>
  <c r="F7191" i="1"/>
  <c r="K7191" i="1" s="1"/>
  <c r="F7192" i="1"/>
  <c r="K7192" i="1" s="1"/>
  <c r="F7193" i="1"/>
  <c r="K7193" i="1" s="1"/>
  <c r="F7194" i="1"/>
  <c r="K7194" i="1" s="1"/>
  <c r="F7195" i="1"/>
  <c r="K7195" i="1" s="1"/>
  <c r="F7196" i="1"/>
  <c r="K7196" i="1" s="1"/>
  <c r="F7197" i="1"/>
  <c r="K7197" i="1" s="1"/>
  <c r="F7198" i="1"/>
  <c r="K7198" i="1" s="1"/>
  <c r="F7199" i="1"/>
  <c r="K7199" i="1" s="1"/>
  <c r="F7200" i="1"/>
  <c r="K7200" i="1" s="1"/>
  <c r="F7201" i="1"/>
  <c r="K7201" i="1" s="1"/>
  <c r="F7202" i="1"/>
  <c r="K7202" i="1" s="1"/>
  <c r="F7203" i="1"/>
  <c r="K7203" i="1" s="1"/>
  <c r="F7204" i="1"/>
  <c r="K7204" i="1" s="1"/>
  <c r="F7205" i="1"/>
  <c r="K7205" i="1" s="1"/>
  <c r="F7206" i="1"/>
  <c r="K7206" i="1" s="1"/>
  <c r="F7207" i="1"/>
  <c r="K7207" i="1" s="1"/>
  <c r="F7208" i="1"/>
  <c r="K7208" i="1" s="1"/>
  <c r="F7209" i="1"/>
  <c r="K7209" i="1" s="1"/>
  <c r="F7210" i="1"/>
  <c r="K7210" i="1" s="1"/>
  <c r="F7211" i="1"/>
  <c r="K7211" i="1" s="1"/>
  <c r="F7212" i="1"/>
  <c r="K7212" i="1" s="1"/>
  <c r="F7213" i="1"/>
  <c r="K7213" i="1" s="1"/>
  <c r="F7214" i="1"/>
  <c r="K7214" i="1" s="1"/>
  <c r="F7215" i="1"/>
  <c r="K7215" i="1" s="1"/>
  <c r="F7216" i="1"/>
  <c r="K7216" i="1" s="1"/>
  <c r="F7217" i="1"/>
  <c r="K7217" i="1" s="1"/>
  <c r="F7218" i="1"/>
  <c r="K7218" i="1" s="1"/>
  <c r="F7219" i="1"/>
  <c r="K7219" i="1" s="1"/>
  <c r="F7220" i="1"/>
  <c r="K7220" i="1" s="1"/>
  <c r="F7221" i="1"/>
  <c r="K7221" i="1" s="1"/>
  <c r="F7222" i="1"/>
  <c r="K7222" i="1" s="1"/>
  <c r="F7223" i="1"/>
  <c r="K7223" i="1" s="1"/>
  <c r="F7224" i="1"/>
  <c r="K7224" i="1" s="1"/>
  <c r="F7225" i="1"/>
  <c r="K7225" i="1" s="1"/>
  <c r="F7226" i="1"/>
  <c r="K7226" i="1" s="1"/>
  <c r="F7227" i="1"/>
  <c r="K7227" i="1" s="1"/>
  <c r="F7228" i="1"/>
  <c r="K7228" i="1" s="1"/>
  <c r="F7229" i="1"/>
  <c r="K7229" i="1" s="1"/>
  <c r="F7230" i="1"/>
  <c r="K7230" i="1" s="1"/>
  <c r="F7231" i="1"/>
  <c r="K7231" i="1" s="1"/>
  <c r="F7232" i="1"/>
  <c r="K7232" i="1" s="1"/>
  <c r="F7233" i="1"/>
  <c r="K7233" i="1" s="1"/>
  <c r="F7234" i="1"/>
  <c r="K7234" i="1" s="1"/>
  <c r="F7235" i="1"/>
  <c r="K7235" i="1" s="1"/>
  <c r="F7236" i="1"/>
  <c r="K7236" i="1" s="1"/>
  <c r="F7237" i="1"/>
  <c r="K7237" i="1" s="1"/>
  <c r="F7238" i="1"/>
  <c r="K7238" i="1" s="1"/>
  <c r="F7239" i="1"/>
  <c r="K7239" i="1" s="1"/>
  <c r="F7240" i="1"/>
  <c r="K7240" i="1" s="1"/>
  <c r="F7241" i="1"/>
  <c r="K7241" i="1" s="1"/>
  <c r="F7242" i="1"/>
  <c r="K7242" i="1" s="1"/>
  <c r="F7243" i="1"/>
  <c r="K7243" i="1" s="1"/>
  <c r="F7244" i="1"/>
  <c r="K7244" i="1" s="1"/>
  <c r="F7245" i="1"/>
  <c r="K7245" i="1" s="1"/>
  <c r="F7246" i="1"/>
  <c r="K7246" i="1" s="1"/>
  <c r="F7247" i="1"/>
  <c r="K7247" i="1" s="1"/>
  <c r="F7248" i="1"/>
  <c r="K7248" i="1" s="1"/>
  <c r="F7249" i="1"/>
  <c r="K7249" i="1" s="1"/>
  <c r="F7250" i="1"/>
  <c r="K7250" i="1" s="1"/>
  <c r="F7251" i="1"/>
  <c r="K7251" i="1" s="1"/>
  <c r="F7252" i="1"/>
  <c r="K7252" i="1" s="1"/>
  <c r="F7253" i="1"/>
  <c r="K7253" i="1" s="1"/>
  <c r="F7254" i="1"/>
  <c r="K7254" i="1" s="1"/>
  <c r="F7255" i="1"/>
  <c r="K7255" i="1" s="1"/>
  <c r="F7256" i="1"/>
  <c r="K7256" i="1" s="1"/>
  <c r="F7257" i="1"/>
  <c r="K7257" i="1" s="1"/>
  <c r="F7258" i="1"/>
  <c r="K7258" i="1" s="1"/>
  <c r="F7259" i="1"/>
  <c r="K7259" i="1" s="1"/>
  <c r="F7260" i="1"/>
  <c r="K7260" i="1" s="1"/>
  <c r="F7261" i="1"/>
  <c r="K7261" i="1" s="1"/>
  <c r="F7262" i="1"/>
  <c r="K7262" i="1" s="1"/>
  <c r="F7263" i="1"/>
  <c r="K7263" i="1" s="1"/>
  <c r="F7264" i="1"/>
  <c r="K7264" i="1" s="1"/>
  <c r="F7265" i="1"/>
  <c r="K7265" i="1" s="1"/>
  <c r="F7266" i="1"/>
  <c r="K7266" i="1" s="1"/>
  <c r="F7267" i="1"/>
  <c r="K7267" i="1" s="1"/>
  <c r="F7268" i="1"/>
  <c r="K7268" i="1" s="1"/>
  <c r="F7269" i="1"/>
  <c r="K7269" i="1" s="1"/>
  <c r="F7270" i="1"/>
  <c r="K7270" i="1" s="1"/>
  <c r="F7271" i="1"/>
  <c r="K7271" i="1" s="1"/>
  <c r="F7272" i="1"/>
  <c r="K7272" i="1" s="1"/>
  <c r="F7273" i="1"/>
  <c r="K7273" i="1" s="1"/>
  <c r="F7274" i="1"/>
  <c r="K7274" i="1" s="1"/>
  <c r="F7275" i="1"/>
  <c r="K7275" i="1" s="1"/>
  <c r="F7276" i="1"/>
  <c r="K7276" i="1" s="1"/>
  <c r="F7277" i="1"/>
  <c r="K7277" i="1" s="1"/>
  <c r="F7278" i="1"/>
  <c r="K7278" i="1" s="1"/>
  <c r="F7279" i="1"/>
  <c r="K7279" i="1" s="1"/>
  <c r="F7280" i="1"/>
  <c r="K7280" i="1" s="1"/>
  <c r="F7281" i="1"/>
  <c r="K7281" i="1" s="1"/>
  <c r="F7282" i="1"/>
  <c r="K7282" i="1" s="1"/>
  <c r="F7283" i="1"/>
  <c r="K7283" i="1" s="1"/>
  <c r="F7284" i="1"/>
  <c r="K7284" i="1" s="1"/>
  <c r="F7285" i="1"/>
  <c r="K7285" i="1" s="1"/>
  <c r="F7286" i="1"/>
  <c r="K7286" i="1" s="1"/>
  <c r="F7287" i="1"/>
  <c r="K7287" i="1" s="1"/>
  <c r="F7288" i="1"/>
  <c r="K7288" i="1" s="1"/>
  <c r="F7289" i="1"/>
  <c r="K7289" i="1" s="1"/>
  <c r="F7290" i="1"/>
  <c r="K7290" i="1" s="1"/>
  <c r="F7291" i="1"/>
  <c r="K7291" i="1" s="1"/>
  <c r="F7292" i="1"/>
  <c r="K7292" i="1" s="1"/>
  <c r="F7293" i="1"/>
  <c r="K7293" i="1" s="1"/>
  <c r="F7294" i="1"/>
  <c r="K7294" i="1" s="1"/>
  <c r="F7295" i="1"/>
  <c r="K7295" i="1" s="1"/>
  <c r="F7296" i="1"/>
  <c r="K7296" i="1" s="1"/>
  <c r="F7297" i="1"/>
  <c r="K7297" i="1" s="1"/>
  <c r="F7298" i="1"/>
  <c r="K7298" i="1" s="1"/>
  <c r="F7299" i="1"/>
  <c r="K7299" i="1" s="1"/>
  <c r="F7300" i="1"/>
  <c r="K7300" i="1" s="1"/>
  <c r="F7301" i="1"/>
  <c r="K7301" i="1" s="1"/>
  <c r="F7302" i="1"/>
  <c r="K7302" i="1" s="1"/>
  <c r="F7303" i="1"/>
  <c r="K7303" i="1" s="1"/>
  <c r="F7304" i="1"/>
  <c r="K7304" i="1" s="1"/>
  <c r="F7305" i="1"/>
  <c r="K7305" i="1" s="1"/>
  <c r="F7306" i="1"/>
  <c r="K7306" i="1" s="1"/>
  <c r="F7307" i="1"/>
  <c r="K7307" i="1" s="1"/>
  <c r="F7308" i="1"/>
  <c r="K7308" i="1" s="1"/>
  <c r="F7309" i="1"/>
  <c r="K7309" i="1" s="1"/>
  <c r="F7310" i="1"/>
  <c r="K7310" i="1" s="1"/>
  <c r="F7311" i="1"/>
  <c r="K7311" i="1" s="1"/>
  <c r="F7312" i="1"/>
  <c r="K7312" i="1" s="1"/>
  <c r="F7313" i="1"/>
  <c r="K7313" i="1" s="1"/>
  <c r="F7314" i="1"/>
  <c r="K7314" i="1" s="1"/>
  <c r="F7315" i="1"/>
  <c r="K7315" i="1" s="1"/>
  <c r="F7316" i="1"/>
  <c r="K7316" i="1" s="1"/>
  <c r="F7317" i="1"/>
  <c r="K7317" i="1" s="1"/>
  <c r="F7318" i="1"/>
  <c r="K7318" i="1" s="1"/>
  <c r="F7319" i="1"/>
  <c r="K7319" i="1" s="1"/>
  <c r="F7320" i="1"/>
  <c r="K7320" i="1" s="1"/>
  <c r="F7321" i="1"/>
  <c r="K7321" i="1" s="1"/>
  <c r="F7322" i="1"/>
  <c r="K7322" i="1" s="1"/>
  <c r="F7323" i="1"/>
  <c r="K7323" i="1" s="1"/>
  <c r="F7324" i="1"/>
  <c r="K7324" i="1" s="1"/>
  <c r="F7325" i="1"/>
  <c r="K7325" i="1" s="1"/>
  <c r="F7326" i="1"/>
  <c r="K7326" i="1" s="1"/>
  <c r="F7327" i="1"/>
  <c r="K7327" i="1" s="1"/>
  <c r="F7328" i="1"/>
  <c r="K7328" i="1" s="1"/>
  <c r="F7329" i="1"/>
  <c r="K7329" i="1" s="1"/>
  <c r="F7330" i="1"/>
  <c r="K7330" i="1" s="1"/>
  <c r="F7331" i="1"/>
  <c r="K7331" i="1" s="1"/>
  <c r="F7332" i="1"/>
  <c r="K7332" i="1" s="1"/>
  <c r="F7333" i="1"/>
  <c r="K7333" i="1" s="1"/>
  <c r="F7334" i="1"/>
  <c r="K7334" i="1" s="1"/>
  <c r="F7335" i="1"/>
  <c r="K7335" i="1" s="1"/>
  <c r="F7336" i="1"/>
  <c r="K7336" i="1" s="1"/>
  <c r="F7337" i="1"/>
  <c r="K7337" i="1" s="1"/>
  <c r="F7338" i="1"/>
  <c r="K7338" i="1" s="1"/>
  <c r="F7339" i="1"/>
  <c r="K7339" i="1" s="1"/>
  <c r="F7340" i="1"/>
  <c r="K7340" i="1" s="1"/>
  <c r="F7341" i="1"/>
  <c r="K7341" i="1" s="1"/>
  <c r="F7342" i="1"/>
  <c r="K7342" i="1" s="1"/>
  <c r="F7343" i="1"/>
  <c r="K7343" i="1" s="1"/>
  <c r="F7344" i="1"/>
  <c r="K7344" i="1" s="1"/>
  <c r="F7345" i="1"/>
  <c r="K7345" i="1" s="1"/>
  <c r="F7346" i="1"/>
  <c r="K7346" i="1" s="1"/>
  <c r="F7347" i="1"/>
  <c r="K7347" i="1" s="1"/>
  <c r="F7348" i="1"/>
  <c r="K7348" i="1" s="1"/>
  <c r="F7349" i="1"/>
  <c r="K7349" i="1" s="1"/>
  <c r="F7350" i="1"/>
  <c r="K7350" i="1" s="1"/>
  <c r="F7351" i="1"/>
  <c r="K7351" i="1" s="1"/>
  <c r="F7352" i="1"/>
  <c r="K7352" i="1" s="1"/>
  <c r="F7353" i="1"/>
  <c r="K7353" i="1" s="1"/>
  <c r="F7354" i="1"/>
  <c r="K7354" i="1" s="1"/>
  <c r="F7355" i="1"/>
  <c r="K7355" i="1" s="1"/>
  <c r="F7356" i="1"/>
  <c r="K7356" i="1" s="1"/>
  <c r="F7357" i="1"/>
  <c r="K7357" i="1" s="1"/>
  <c r="F7358" i="1"/>
  <c r="K7358" i="1" s="1"/>
  <c r="F7359" i="1"/>
  <c r="K7359" i="1" s="1"/>
  <c r="F7360" i="1"/>
  <c r="K7360" i="1" s="1"/>
  <c r="F7361" i="1"/>
  <c r="K7361" i="1" s="1"/>
  <c r="F7362" i="1"/>
  <c r="K7362" i="1" s="1"/>
  <c r="F7363" i="1"/>
  <c r="K7363" i="1" s="1"/>
  <c r="F7364" i="1"/>
  <c r="K7364" i="1" s="1"/>
  <c r="F7365" i="1"/>
  <c r="K7365" i="1" s="1"/>
  <c r="F7366" i="1"/>
  <c r="K7366" i="1" s="1"/>
  <c r="F7367" i="1"/>
  <c r="K7367" i="1" s="1"/>
  <c r="F7368" i="1"/>
  <c r="K7368" i="1" s="1"/>
  <c r="F7369" i="1"/>
  <c r="K7369" i="1" s="1"/>
  <c r="F7370" i="1"/>
  <c r="K7370" i="1" s="1"/>
  <c r="F7371" i="1"/>
  <c r="K7371" i="1" s="1"/>
  <c r="F7372" i="1"/>
  <c r="K7372" i="1" s="1"/>
  <c r="F7373" i="1"/>
  <c r="K7373" i="1" s="1"/>
  <c r="F7374" i="1"/>
  <c r="K7374" i="1" s="1"/>
  <c r="F7375" i="1"/>
  <c r="K7375" i="1" s="1"/>
  <c r="F7376" i="1"/>
  <c r="K7376" i="1" s="1"/>
  <c r="F7377" i="1"/>
  <c r="K7377" i="1" s="1"/>
  <c r="F7378" i="1"/>
  <c r="K7378" i="1" s="1"/>
  <c r="F7379" i="1"/>
  <c r="K7379" i="1" s="1"/>
  <c r="F7380" i="1"/>
  <c r="K7380" i="1" s="1"/>
  <c r="F7381" i="1"/>
  <c r="K7381" i="1" s="1"/>
  <c r="F7382" i="1"/>
  <c r="K7382" i="1" s="1"/>
  <c r="F7383" i="1"/>
  <c r="K7383" i="1" s="1"/>
  <c r="F7384" i="1"/>
  <c r="K7384" i="1" s="1"/>
  <c r="F7385" i="1"/>
  <c r="K7385" i="1" s="1"/>
  <c r="F7386" i="1"/>
  <c r="K7386" i="1" s="1"/>
  <c r="F7387" i="1"/>
  <c r="K7387" i="1" s="1"/>
  <c r="F7388" i="1"/>
  <c r="K7388" i="1" s="1"/>
  <c r="F7389" i="1"/>
  <c r="K7389" i="1" s="1"/>
  <c r="F7390" i="1"/>
  <c r="K7390" i="1" s="1"/>
  <c r="F7391" i="1"/>
  <c r="K7391" i="1" s="1"/>
  <c r="F7392" i="1"/>
  <c r="K7392" i="1" s="1"/>
  <c r="F7393" i="1"/>
  <c r="K7393" i="1" s="1"/>
  <c r="F7394" i="1"/>
  <c r="K7394" i="1" s="1"/>
  <c r="F7395" i="1"/>
  <c r="K7395" i="1" s="1"/>
  <c r="F7396" i="1"/>
  <c r="K7396" i="1" s="1"/>
  <c r="F7397" i="1"/>
  <c r="K7397" i="1" s="1"/>
  <c r="F7398" i="1"/>
  <c r="K7398" i="1" s="1"/>
  <c r="F7399" i="1"/>
  <c r="K7399" i="1" s="1"/>
  <c r="F7400" i="1"/>
  <c r="K7400" i="1" s="1"/>
  <c r="F7401" i="1"/>
  <c r="K7401" i="1" s="1"/>
  <c r="F7402" i="1"/>
  <c r="K7402" i="1" s="1"/>
  <c r="F7403" i="1"/>
  <c r="K7403" i="1" s="1"/>
  <c r="F7404" i="1"/>
  <c r="K7404" i="1" s="1"/>
  <c r="F7405" i="1"/>
  <c r="K7405" i="1" s="1"/>
  <c r="F7406" i="1"/>
  <c r="K7406" i="1" s="1"/>
  <c r="F7407" i="1"/>
  <c r="K7407" i="1" s="1"/>
  <c r="F7408" i="1"/>
  <c r="K7408" i="1" s="1"/>
  <c r="F7409" i="1"/>
  <c r="K7409" i="1" s="1"/>
  <c r="F7410" i="1"/>
  <c r="K7410" i="1" s="1"/>
  <c r="F7411" i="1"/>
  <c r="K7411" i="1" s="1"/>
  <c r="F7412" i="1"/>
  <c r="K7412" i="1" s="1"/>
  <c r="F7413" i="1"/>
  <c r="K7413" i="1" s="1"/>
  <c r="F7414" i="1"/>
  <c r="K7414" i="1" s="1"/>
  <c r="F7415" i="1"/>
  <c r="K7415" i="1" s="1"/>
  <c r="F7416" i="1"/>
  <c r="K7416" i="1" s="1"/>
  <c r="F7417" i="1"/>
  <c r="K7417" i="1" s="1"/>
  <c r="F7418" i="1"/>
  <c r="K7418" i="1" s="1"/>
  <c r="F7419" i="1"/>
  <c r="K7419" i="1" s="1"/>
  <c r="F7420" i="1"/>
  <c r="K7420" i="1" s="1"/>
  <c r="F7421" i="1"/>
  <c r="K7421" i="1" s="1"/>
  <c r="F7422" i="1"/>
  <c r="K7422" i="1" s="1"/>
  <c r="F7423" i="1"/>
  <c r="K7423" i="1" s="1"/>
  <c r="F7424" i="1"/>
  <c r="K7424" i="1" s="1"/>
  <c r="F7425" i="1"/>
  <c r="K7425" i="1" s="1"/>
  <c r="F7426" i="1"/>
  <c r="F7427" i="1"/>
  <c r="K7427" i="1" s="1"/>
  <c r="F7428" i="1"/>
  <c r="K7428" i="1" s="1"/>
  <c r="F7429" i="1"/>
  <c r="K7429" i="1" s="1"/>
  <c r="F7430" i="1"/>
  <c r="K7430" i="1" s="1"/>
  <c r="F7431" i="1"/>
  <c r="K7431" i="1" s="1"/>
  <c r="F7432" i="1"/>
  <c r="K7432" i="1" s="1"/>
  <c r="F7433" i="1"/>
  <c r="K7433" i="1" s="1"/>
  <c r="F7434" i="1"/>
  <c r="K7434" i="1" s="1"/>
  <c r="F7435" i="1"/>
  <c r="K7435" i="1" s="1"/>
  <c r="F7436" i="1"/>
  <c r="K7436" i="1" s="1"/>
  <c r="F7437" i="1"/>
  <c r="K7437" i="1" s="1"/>
  <c r="F7438" i="1"/>
  <c r="K7438" i="1" s="1"/>
  <c r="F7439" i="1"/>
  <c r="K7439" i="1" s="1"/>
  <c r="F7440" i="1"/>
  <c r="K7440" i="1" s="1"/>
  <c r="F7441" i="1"/>
  <c r="K7441" i="1" s="1"/>
  <c r="F7442" i="1"/>
  <c r="K7442" i="1" s="1"/>
  <c r="F7443" i="1"/>
  <c r="K7443" i="1" s="1"/>
  <c r="F7444" i="1"/>
  <c r="K7444" i="1" s="1"/>
  <c r="F7445" i="1"/>
  <c r="K7445" i="1" s="1"/>
  <c r="F7446" i="1"/>
  <c r="K7446" i="1" s="1"/>
  <c r="F7447" i="1"/>
  <c r="K7447" i="1" s="1"/>
  <c r="F7448" i="1"/>
  <c r="K7448" i="1" s="1"/>
  <c r="F7449" i="1"/>
  <c r="K7449" i="1" s="1"/>
  <c r="F7450" i="1"/>
  <c r="K7450" i="1" s="1"/>
  <c r="F7451" i="1"/>
  <c r="K7451" i="1" s="1"/>
  <c r="F7452" i="1"/>
  <c r="K7452" i="1" s="1"/>
  <c r="F7453" i="1"/>
  <c r="K7453" i="1" s="1"/>
  <c r="F7454" i="1"/>
  <c r="K7454" i="1" s="1"/>
  <c r="F7455" i="1"/>
  <c r="K7455" i="1" s="1"/>
  <c r="F7456" i="1"/>
  <c r="K7456" i="1" s="1"/>
  <c r="F7457" i="1"/>
  <c r="K7457" i="1" s="1"/>
  <c r="F7458" i="1"/>
  <c r="K7458" i="1" s="1"/>
  <c r="F7459" i="1"/>
  <c r="K7459" i="1" s="1"/>
  <c r="F7460" i="1"/>
  <c r="K7460" i="1" s="1"/>
  <c r="F7461" i="1"/>
  <c r="K7461" i="1" s="1"/>
  <c r="F7462" i="1"/>
  <c r="K7462" i="1" s="1"/>
  <c r="F7463" i="1"/>
  <c r="K7463" i="1" s="1"/>
  <c r="F7464" i="1"/>
  <c r="K7464" i="1" s="1"/>
  <c r="F7465" i="1"/>
  <c r="K7465" i="1" s="1"/>
  <c r="F7466" i="1"/>
  <c r="K7466" i="1" s="1"/>
  <c r="F7467" i="1"/>
  <c r="K7467" i="1" s="1"/>
  <c r="F7468" i="1"/>
  <c r="K7468" i="1" s="1"/>
  <c r="F7469" i="1"/>
  <c r="K7469" i="1" s="1"/>
  <c r="F7470" i="1"/>
  <c r="K7470" i="1" s="1"/>
  <c r="F7471" i="1"/>
  <c r="K7471" i="1" s="1"/>
  <c r="F7472" i="1"/>
  <c r="K7472" i="1" s="1"/>
  <c r="F7473" i="1"/>
  <c r="K7473" i="1" s="1"/>
  <c r="F7474" i="1"/>
  <c r="K7474" i="1" s="1"/>
  <c r="F7475" i="1"/>
  <c r="K7475" i="1" s="1"/>
  <c r="F7476" i="1"/>
  <c r="K7476" i="1" s="1"/>
  <c r="F7477" i="1"/>
  <c r="K7477" i="1" s="1"/>
  <c r="F7478" i="1"/>
  <c r="K7478" i="1" s="1"/>
  <c r="F7479" i="1"/>
  <c r="K7479" i="1" s="1"/>
  <c r="F7480" i="1"/>
  <c r="K7480" i="1" s="1"/>
  <c r="F7481" i="1"/>
  <c r="K7481" i="1" s="1"/>
  <c r="F7482" i="1"/>
  <c r="K7482" i="1" s="1"/>
  <c r="F7483" i="1"/>
  <c r="K7483" i="1" s="1"/>
  <c r="F7484" i="1"/>
  <c r="K7484" i="1" s="1"/>
  <c r="F7485" i="1"/>
  <c r="K7485" i="1" s="1"/>
  <c r="F7486" i="1"/>
  <c r="K7486" i="1" s="1"/>
  <c r="F7487" i="1"/>
  <c r="K7487" i="1" s="1"/>
  <c r="F7488" i="1"/>
  <c r="K7488" i="1" s="1"/>
  <c r="F7489" i="1"/>
  <c r="K7489" i="1" s="1"/>
  <c r="F7490" i="1"/>
  <c r="K7490" i="1" s="1"/>
  <c r="F7491" i="1"/>
  <c r="K7491" i="1" s="1"/>
  <c r="F7492" i="1"/>
  <c r="K7492" i="1" s="1"/>
  <c r="F7493" i="1"/>
  <c r="K7493" i="1" s="1"/>
  <c r="F7494" i="1"/>
  <c r="K7494" i="1" s="1"/>
  <c r="F7495" i="1"/>
  <c r="K7495" i="1" s="1"/>
  <c r="F7496" i="1"/>
  <c r="K7496" i="1" s="1"/>
  <c r="F7497" i="1"/>
  <c r="K7497" i="1" s="1"/>
  <c r="F7498" i="1"/>
  <c r="K7498" i="1" s="1"/>
  <c r="F7499" i="1"/>
  <c r="K7499" i="1" s="1"/>
  <c r="F7500" i="1"/>
  <c r="K7500" i="1" s="1"/>
  <c r="F7501" i="1"/>
  <c r="K7501" i="1" s="1"/>
  <c r="F7502" i="1"/>
  <c r="K7502" i="1" s="1"/>
  <c r="F7503" i="1"/>
  <c r="K7503" i="1" s="1"/>
  <c r="F7504" i="1"/>
  <c r="K7504" i="1" s="1"/>
  <c r="F7505" i="1"/>
  <c r="K7505" i="1" s="1"/>
  <c r="F7506" i="1"/>
  <c r="K7506" i="1" s="1"/>
  <c r="F7507" i="1"/>
  <c r="K7507" i="1" s="1"/>
  <c r="F7508" i="1"/>
  <c r="K7508" i="1" s="1"/>
  <c r="F7509" i="1"/>
  <c r="K7509" i="1" s="1"/>
  <c r="F7510" i="1"/>
  <c r="K7510" i="1" s="1"/>
  <c r="F7511" i="1"/>
  <c r="K7511" i="1" s="1"/>
  <c r="F7512" i="1"/>
  <c r="K7512" i="1" s="1"/>
  <c r="F7513" i="1"/>
  <c r="K7513" i="1" s="1"/>
  <c r="F7514" i="1"/>
  <c r="K7514" i="1" s="1"/>
  <c r="F7515" i="1"/>
  <c r="K7515" i="1" s="1"/>
  <c r="F7516" i="1"/>
  <c r="K7516" i="1" s="1"/>
  <c r="F7517" i="1"/>
  <c r="K7517" i="1" s="1"/>
  <c r="F7518" i="1"/>
  <c r="K7518" i="1" s="1"/>
  <c r="F7519" i="1"/>
  <c r="K7519" i="1" s="1"/>
  <c r="F7520" i="1"/>
  <c r="K7520" i="1" s="1"/>
  <c r="F7521" i="1"/>
  <c r="K7521" i="1" s="1"/>
  <c r="F7522" i="1"/>
  <c r="K7522" i="1" s="1"/>
  <c r="F7523" i="1"/>
  <c r="K7523" i="1" s="1"/>
  <c r="F7524" i="1"/>
  <c r="K7524" i="1" s="1"/>
  <c r="F7525" i="1"/>
  <c r="K7525" i="1" s="1"/>
  <c r="F7526" i="1"/>
  <c r="K7526" i="1" s="1"/>
  <c r="F7527" i="1"/>
  <c r="K7527" i="1" s="1"/>
  <c r="F7528" i="1"/>
  <c r="K7528" i="1" s="1"/>
  <c r="F7529" i="1"/>
  <c r="K7529" i="1" s="1"/>
  <c r="F7530" i="1"/>
  <c r="K7530" i="1" s="1"/>
  <c r="F7531" i="1"/>
  <c r="K7531" i="1" s="1"/>
  <c r="F7532" i="1"/>
  <c r="K7532" i="1" s="1"/>
  <c r="F7533" i="1"/>
  <c r="K7533" i="1" s="1"/>
  <c r="F7534" i="1"/>
  <c r="K7534" i="1" s="1"/>
  <c r="F7535" i="1"/>
  <c r="K7535" i="1" s="1"/>
  <c r="F7536" i="1"/>
  <c r="K7536" i="1" s="1"/>
  <c r="F7537" i="1"/>
  <c r="K7537" i="1" s="1"/>
  <c r="F7538" i="1"/>
  <c r="K7538" i="1" s="1"/>
  <c r="F7539" i="1"/>
  <c r="K7539" i="1" s="1"/>
  <c r="F7540" i="1"/>
  <c r="K7540" i="1" s="1"/>
  <c r="F7541" i="1"/>
  <c r="K7541" i="1" s="1"/>
  <c r="F7542" i="1"/>
  <c r="K7542" i="1" s="1"/>
  <c r="F7543" i="1"/>
  <c r="K7543" i="1" s="1"/>
  <c r="F7544" i="1"/>
  <c r="K7544" i="1" s="1"/>
  <c r="F7545" i="1"/>
  <c r="K7545" i="1" s="1"/>
  <c r="F7546" i="1"/>
  <c r="K7546" i="1" s="1"/>
  <c r="F7547" i="1"/>
  <c r="K7547" i="1" s="1"/>
  <c r="F7548" i="1"/>
  <c r="K7548" i="1" s="1"/>
  <c r="F7549" i="1"/>
  <c r="K7549" i="1" s="1"/>
  <c r="F7550" i="1"/>
  <c r="K7550" i="1" s="1"/>
  <c r="F7551" i="1"/>
  <c r="K7551" i="1" s="1"/>
  <c r="F7552" i="1"/>
  <c r="K7552" i="1" s="1"/>
  <c r="F7553" i="1"/>
  <c r="K7553" i="1" s="1"/>
  <c r="F7554" i="1"/>
  <c r="K7554" i="1" s="1"/>
  <c r="F7555" i="1"/>
  <c r="K7555" i="1" s="1"/>
  <c r="F7556" i="1"/>
  <c r="K7556" i="1" s="1"/>
  <c r="F7557" i="1"/>
  <c r="K7557" i="1" s="1"/>
  <c r="F7558" i="1"/>
  <c r="K7558" i="1" s="1"/>
  <c r="F7559" i="1"/>
  <c r="K7559" i="1" s="1"/>
  <c r="F7560" i="1"/>
  <c r="K7560" i="1" s="1"/>
  <c r="F7561" i="1"/>
  <c r="K7561" i="1" s="1"/>
  <c r="F7562" i="1"/>
  <c r="K7562" i="1" s="1"/>
  <c r="F7563" i="1"/>
  <c r="K7563" i="1" s="1"/>
  <c r="F7564" i="1"/>
  <c r="K7564" i="1" s="1"/>
  <c r="F7565" i="1"/>
  <c r="K7565" i="1" s="1"/>
  <c r="F7566" i="1"/>
  <c r="K7566" i="1" s="1"/>
  <c r="F7567" i="1"/>
  <c r="K7567" i="1" s="1"/>
  <c r="F7568" i="1"/>
  <c r="K7568" i="1" s="1"/>
  <c r="F7569" i="1"/>
  <c r="K7569" i="1" s="1"/>
  <c r="F7570" i="1"/>
  <c r="K7570" i="1" s="1"/>
  <c r="F7571" i="1"/>
  <c r="K7571" i="1" s="1"/>
  <c r="F7572" i="1"/>
  <c r="K7572" i="1" s="1"/>
  <c r="F7573" i="1"/>
  <c r="K7573" i="1" s="1"/>
  <c r="F7574" i="1"/>
  <c r="K7574" i="1" s="1"/>
  <c r="F7575" i="1"/>
  <c r="K7575" i="1" s="1"/>
  <c r="F7576" i="1"/>
  <c r="K7576" i="1" s="1"/>
  <c r="F7577" i="1"/>
  <c r="K7577" i="1" s="1"/>
  <c r="F7578" i="1"/>
  <c r="K7578" i="1" s="1"/>
  <c r="F7579" i="1"/>
  <c r="K7579" i="1" s="1"/>
  <c r="F7580" i="1"/>
  <c r="K7580" i="1" s="1"/>
  <c r="F7581" i="1"/>
  <c r="K7581" i="1" s="1"/>
  <c r="F7582" i="1"/>
  <c r="K7582" i="1" s="1"/>
  <c r="F7583" i="1"/>
  <c r="K7583" i="1" s="1"/>
  <c r="F7584" i="1"/>
  <c r="K7584" i="1" s="1"/>
  <c r="F7585" i="1"/>
  <c r="K7585" i="1" s="1"/>
  <c r="F7586" i="1"/>
  <c r="K7586" i="1" s="1"/>
  <c r="F7587" i="1"/>
  <c r="K7587" i="1" s="1"/>
  <c r="F7588" i="1"/>
  <c r="K7588" i="1" s="1"/>
  <c r="F7589" i="1"/>
  <c r="K7589" i="1" s="1"/>
  <c r="F7590" i="1"/>
  <c r="K7590" i="1" s="1"/>
  <c r="F7591" i="1"/>
  <c r="K7591" i="1" s="1"/>
  <c r="F7592" i="1"/>
  <c r="K7592" i="1" s="1"/>
  <c r="F7593" i="1"/>
  <c r="K7593" i="1" s="1"/>
  <c r="F7594" i="1"/>
  <c r="K7594" i="1" s="1"/>
  <c r="F7595" i="1"/>
  <c r="K7595" i="1" s="1"/>
  <c r="F7596" i="1"/>
  <c r="K7596" i="1" s="1"/>
  <c r="F7597" i="1"/>
  <c r="K7597" i="1" s="1"/>
  <c r="F7598" i="1"/>
  <c r="K7598" i="1" s="1"/>
  <c r="F7599" i="1"/>
  <c r="K7599" i="1" s="1"/>
  <c r="F7600" i="1"/>
  <c r="K7600" i="1" s="1"/>
  <c r="F7601" i="1"/>
  <c r="K7601" i="1" s="1"/>
  <c r="F7602" i="1"/>
  <c r="K7602" i="1" s="1"/>
  <c r="F7603" i="1"/>
  <c r="K7603" i="1" s="1"/>
  <c r="F7604" i="1"/>
  <c r="K7604" i="1" s="1"/>
  <c r="F7605" i="1"/>
  <c r="K7605" i="1" s="1"/>
  <c r="F7606" i="1"/>
  <c r="K7606" i="1" s="1"/>
  <c r="F7607" i="1"/>
  <c r="K7607" i="1" s="1"/>
  <c r="F7608" i="1"/>
  <c r="K7608" i="1" s="1"/>
  <c r="F7609" i="1"/>
  <c r="K7609" i="1" s="1"/>
  <c r="F7610" i="1"/>
  <c r="K7610" i="1" s="1"/>
  <c r="F7611" i="1"/>
  <c r="K7611" i="1" s="1"/>
  <c r="F7612" i="1"/>
  <c r="K7612" i="1" s="1"/>
  <c r="F7613" i="1"/>
  <c r="K7613" i="1" s="1"/>
  <c r="F7614" i="1"/>
  <c r="K7614" i="1" s="1"/>
  <c r="F7615" i="1"/>
  <c r="K7615" i="1" s="1"/>
  <c r="F7616" i="1"/>
  <c r="K7616" i="1" s="1"/>
  <c r="F7617" i="1"/>
  <c r="K7617" i="1" s="1"/>
  <c r="F7618" i="1"/>
  <c r="K7618" i="1" s="1"/>
  <c r="F7619" i="1"/>
  <c r="K7619" i="1" s="1"/>
  <c r="F7620" i="1"/>
  <c r="K7620" i="1" s="1"/>
  <c r="F7621" i="1"/>
  <c r="K7621" i="1" s="1"/>
  <c r="F7622" i="1"/>
  <c r="K7622" i="1" s="1"/>
  <c r="F7623" i="1"/>
  <c r="K7623" i="1" s="1"/>
  <c r="F7624" i="1"/>
  <c r="K7624" i="1" s="1"/>
  <c r="F7625" i="1"/>
  <c r="K7625" i="1" s="1"/>
  <c r="F7626" i="1"/>
  <c r="K7626" i="1" s="1"/>
  <c r="F7627" i="1"/>
  <c r="K7627" i="1" s="1"/>
  <c r="F7628" i="1"/>
  <c r="K7628" i="1" s="1"/>
  <c r="F7629" i="1"/>
  <c r="K7629" i="1" s="1"/>
  <c r="F7630" i="1"/>
  <c r="K7630" i="1" s="1"/>
  <c r="F7631" i="1"/>
  <c r="K7631" i="1" s="1"/>
  <c r="F7632" i="1"/>
  <c r="K7632" i="1" s="1"/>
  <c r="F7633" i="1"/>
  <c r="K7633" i="1" s="1"/>
  <c r="F7634" i="1"/>
  <c r="K7634" i="1" s="1"/>
  <c r="F7635" i="1"/>
  <c r="K7635" i="1" s="1"/>
  <c r="F7636" i="1"/>
  <c r="K7636" i="1" s="1"/>
  <c r="F7637" i="1"/>
  <c r="K7637" i="1" s="1"/>
  <c r="F7638" i="1"/>
  <c r="K7638" i="1" s="1"/>
  <c r="F7639" i="1"/>
  <c r="K7639" i="1" s="1"/>
  <c r="F7640" i="1"/>
  <c r="K7640" i="1" s="1"/>
  <c r="F7641" i="1"/>
  <c r="K7641" i="1" s="1"/>
  <c r="F7642" i="1"/>
  <c r="K7642" i="1" s="1"/>
  <c r="F7643" i="1"/>
  <c r="K7643" i="1" s="1"/>
  <c r="F7644" i="1"/>
  <c r="K7644" i="1" s="1"/>
  <c r="F7645" i="1"/>
  <c r="K7645" i="1" s="1"/>
  <c r="F7646" i="1"/>
  <c r="K7646" i="1" s="1"/>
  <c r="F7647" i="1"/>
  <c r="K7647" i="1" s="1"/>
  <c r="F7648" i="1"/>
  <c r="K7648" i="1" s="1"/>
  <c r="F7649" i="1"/>
  <c r="K7649" i="1" s="1"/>
  <c r="F7650" i="1"/>
  <c r="K7650" i="1" s="1"/>
  <c r="F7651" i="1"/>
  <c r="K7651" i="1" s="1"/>
  <c r="F7652" i="1"/>
  <c r="K7652" i="1" s="1"/>
  <c r="F7653" i="1"/>
  <c r="K7653" i="1" s="1"/>
  <c r="F7654" i="1"/>
  <c r="K7654" i="1" s="1"/>
  <c r="F7655" i="1"/>
  <c r="K7655" i="1" s="1"/>
  <c r="F7656" i="1"/>
  <c r="K7656" i="1" s="1"/>
  <c r="F7657" i="1"/>
  <c r="K7657" i="1" s="1"/>
  <c r="F7658" i="1"/>
  <c r="K7658" i="1" s="1"/>
  <c r="F7659" i="1"/>
  <c r="K7659" i="1" s="1"/>
  <c r="F7660" i="1"/>
  <c r="K7660" i="1" s="1"/>
  <c r="F7661" i="1"/>
  <c r="K7661" i="1" s="1"/>
  <c r="F7662" i="1"/>
  <c r="K7662" i="1" s="1"/>
  <c r="F7663" i="1"/>
  <c r="K7663" i="1" s="1"/>
  <c r="F7664" i="1"/>
  <c r="K7664" i="1" s="1"/>
  <c r="F7665" i="1"/>
  <c r="K7665" i="1" s="1"/>
  <c r="F7666" i="1"/>
  <c r="K7666" i="1" s="1"/>
  <c r="F7667" i="1"/>
  <c r="K7667" i="1" s="1"/>
  <c r="F7668" i="1"/>
  <c r="K7668" i="1" s="1"/>
  <c r="F7669" i="1"/>
  <c r="K7669" i="1" s="1"/>
  <c r="F7670" i="1"/>
  <c r="K7670" i="1" s="1"/>
  <c r="F7671" i="1"/>
  <c r="K7671" i="1" s="1"/>
  <c r="F7672" i="1"/>
  <c r="K7672" i="1" s="1"/>
  <c r="F7673" i="1"/>
  <c r="K7673" i="1" s="1"/>
  <c r="F7674" i="1"/>
  <c r="K7674" i="1" s="1"/>
  <c r="F7675" i="1"/>
  <c r="K7675" i="1" s="1"/>
  <c r="F7676" i="1"/>
  <c r="K7676" i="1" s="1"/>
  <c r="F7677" i="1"/>
  <c r="K7677" i="1" s="1"/>
  <c r="F7678" i="1"/>
  <c r="K7678" i="1" s="1"/>
  <c r="F7679" i="1"/>
  <c r="K7679" i="1" s="1"/>
  <c r="F7680" i="1"/>
  <c r="K7680" i="1" s="1"/>
  <c r="F7681" i="1"/>
  <c r="K7681" i="1" s="1"/>
  <c r="F7682" i="1"/>
  <c r="K7682" i="1" s="1"/>
  <c r="F7683" i="1"/>
  <c r="K7683" i="1" s="1"/>
  <c r="F7684" i="1"/>
  <c r="K7684" i="1" s="1"/>
  <c r="F7685" i="1"/>
  <c r="K7685" i="1" s="1"/>
  <c r="F7686" i="1"/>
  <c r="K7686" i="1" s="1"/>
  <c r="F7687" i="1"/>
  <c r="K7687" i="1" s="1"/>
  <c r="F7688" i="1"/>
  <c r="K7688" i="1" s="1"/>
  <c r="F7689" i="1"/>
  <c r="K7689" i="1" s="1"/>
  <c r="F7690" i="1"/>
  <c r="K7690" i="1" s="1"/>
  <c r="F7691" i="1"/>
  <c r="K7691" i="1" s="1"/>
  <c r="F7692" i="1"/>
  <c r="K7692" i="1" s="1"/>
  <c r="F7693" i="1"/>
  <c r="K7693" i="1" s="1"/>
  <c r="F7694" i="1"/>
  <c r="K7694" i="1" s="1"/>
  <c r="F7695" i="1"/>
  <c r="K7695" i="1" s="1"/>
  <c r="F7696" i="1"/>
  <c r="K7696" i="1" s="1"/>
  <c r="F7697" i="1"/>
  <c r="K7697" i="1" s="1"/>
  <c r="F7698" i="1"/>
  <c r="K7698" i="1" s="1"/>
  <c r="F7699" i="1"/>
  <c r="K7699" i="1" s="1"/>
  <c r="F7700" i="1"/>
  <c r="K7700" i="1" s="1"/>
  <c r="F7701" i="1"/>
  <c r="K7701" i="1" s="1"/>
  <c r="F7702" i="1"/>
  <c r="K7702" i="1" s="1"/>
  <c r="F7703" i="1"/>
  <c r="K7703" i="1" s="1"/>
  <c r="F7704" i="1"/>
  <c r="K7704" i="1" s="1"/>
  <c r="F7705" i="1"/>
  <c r="K7705" i="1" s="1"/>
  <c r="F7706" i="1"/>
  <c r="K7706" i="1" s="1"/>
  <c r="F7707" i="1"/>
  <c r="K7707" i="1" s="1"/>
  <c r="F7708" i="1"/>
  <c r="K7708" i="1" s="1"/>
  <c r="F7709" i="1"/>
  <c r="K7709" i="1" s="1"/>
  <c r="F7710" i="1"/>
  <c r="K7710" i="1" s="1"/>
  <c r="F7711" i="1"/>
  <c r="K7711" i="1" s="1"/>
  <c r="F7712" i="1"/>
  <c r="K7712" i="1" s="1"/>
  <c r="F7713" i="1"/>
  <c r="K7713" i="1" s="1"/>
  <c r="F7714" i="1"/>
  <c r="K7714" i="1" s="1"/>
  <c r="F7715" i="1"/>
  <c r="K7715" i="1" s="1"/>
  <c r="F7716" i="1"/>
  <c r="K7716" i="1" s="1"/>
  <c r="F7717" i="1"/>
  <c r="K7717" i="1" s="1"/>
  <c r="F7718" i="1"/>
  <c r="K7718" i="1" s="1"/>
  <c r="F7719" i="1"/>
  <c r="K7719" i="1" s="1"/>
  <c r="F7720" i="1"/>
  <c r="K7720" i="1" s="1"/>
  <c r="F7721" i="1"/>
  <c r="K7721" i="1" s="1"/>
  <c r="F7722" i="1"/>
  <c r="K7722" i="1" s="1"/>
  <c r="F7723" i="1"/>
  <c r="K7723" i="1" s="1"/>
  <c r="F7724" i="1"/>
  <c r="K7724" i="1" s="1"/>
  <c r="F7725" i="1"/>
  <c r="K7725" i="1" s="1"/>
  <c r="F7726" i="1"/>
  <c r="K7726" i="1" s="1"/>
  <c r="F7727" i="1"/>
  <c r="K7727" i="1" s="1"/>
  <c r="F7728" i="1"/>
  <c r="K7728" i="1" s="1"/>
  <c r="F7729" i="1"/>
  <c r="K7729" i="1" s="1"/>
  <c r="F7730" i="1"/>
  <c r="K7730" i="1" s="1"/>
  <c r="F7731" i="1"/>
  <c r="K7731" i="1" s="1"/>
  <c r="F7732" i="1"/>
  <c r="K7732" i="1" s="1"/>
  <c r="F7733" i="1"/>
  <c r="K7733" i="1" s="1"/>
  <c r="F7734" i="1"/>
  <c r="K7734" i="1" s="1"/>
  <c r="F7735" i="1"/>
  <c r="K7735" i="1" s="1"/>
  <c r="F7736" i="1"/>
  <c r="K7736" i="1" s="1"/>
  <c r="F7737" i="1"/>
  <c r="K7737" i="1" s="1"/>
  <c r="F7738" i="1"/>
  <c r="K7738" i="1" s="1"/>
  <c r="F7739" i="1"/>
  <c r="K7739" i="1" s="1"/>
  <c r="F7740" i="1"/>
  <c r="K7740" i="1" s="1"/>
  <c r="F7741" i="1"/>
  <c r="K7741" i="1" s="1"/>
  <c r="F7742" i="1"/>
  <c r="K7742" i="1" s="1"/>
  <c r="F7743" i="1"/>
  <c r="K7743" i="1" s="1"/>
  <c r="F7744" i="1"/>
  <c r="K7744" i="1" s="1"/>
  <c r="F7745" i="1"/>
  <c r="K7745" i="1" s="1"/>
  <c r="F7746" i="1"/>
  <c r="K7746" i="1" s="1"/>
  <c r="F7747" i="1"/>
  <c r="K7747" i="1" s="1"/>
  <c r="F7748" i="1"/>
  <c r="K7748" i="1" s="1"/>
  <c r="F7749" i="1"/>
  <c r="K7749" i="1" s="1"/>
  <c r="F7750" i="1"/>
  <c r="K7750" i="1" s="1"/>
  <c r="F7751" i="1"/>
  <c r="K7751" i="1" s="1"/>
  <c r="F7752" i="1"/>
  <c r="K7752" i="1" s="1"/>
  <c r="F7753" i="1"/>
  <c r="K7753" i="1" s="1"/>
  <c r="F7754" i="1"/>
  <c r="K7754" i="1" s="1"/>
  <c r="F7755" i="1"/>
  <c r="K7755" i="1" s="1"/>
  <c r="F7756" i="1"/>
  <c r="K7756" i="1" s="1"/>
  <c r="F7757" i="1"/>
  <c r="K7757" i="1" s="1"/>
  <c r="F7758" i="1"/>
  <c r="K7758" i="1" s="1"/>
  <c r="F7759" i="1"/>
  <c r="K7759" i="1" s="1"/>
  <c r="F7760" i="1"/>
  <c r="K7760" i="1" s="1"/>
  <c r="F7761" i="1"/>
  <c r="K7761" i="1" s="1"/>
  <c r="F7762" i="1"/>
  <c r="K7762" i="1" s="1"/>
  <c r="F7763" i="1"/>
  <c r="K7763" i="1" s="1"/>
  <c r="F7764" i="1"/>
  <c r="K7764" i="1" s="1"/>
  <c r="F7765" i="1"/>
  <c r="K7765" i="1" s="1"/>
  <c r="F7766" i="1"/>
  <c r="K7766" i="1" s="1"/>
  <c r="F7767" i="1"/>
  <c r="K7767" i="1" s="1"/>
  <c r="F7768" i="1"/>
  <c r="K7768" i="1" s="1"/>
  <c r="F7769" i="1"/>
  <c r="K7769" i="1" s="1"/>
  <c r="F7770" i="1"/>
  <c r="K7770" i="1" s="1"/>
  <c r="F7771" i="1"/>
  <c r="K7771" i="1" s="1"/>
  <c r="F7772" i="1"/>
  <c r="K7772" i="1" s="1"/>
  <c r="F7773" i="1"/>
  <c r="K7773" i="1" s="1"/>
  <c r="F7774" i="1"/>
  <c r="K7774" i="1" s="1"/>
  <c r="F7775" i="1"/>
  <c r="K7775" i="1" s="1"/>
  <c r="F7776" i="1"/>
  <c r="K7776" i="1" s="1"/>
  <c r="F7777" i="1"/>
  <c r="K7777" i="1" s="1"/>
  <c r="F7778" i="1"/>
  <c r="K7778" i="1" s="1"/>
  <c r="F7779" i="1"/>
  <c r="K7779" i="1" s="1"/>
  <c r="F7780" i="1"/>
  <c r="K7780" i="1" s="1"/>
  <c r="F7781" i="1"/>
  <c r="K7781" i="1" s="1"/>
  <c r="F7782" i="1"/>
  <c r="K7782" i="1" s="1"/>
  <c r="F7783" i="1"/>
  <c r="K7783" i="1" s="1"/>
  <c r="F7784" i="1"/>
  <c r="K7784" i="1" s="1"/>
  <c r="F7785" i="1"/>
  <c r="K7785" i="1" s="1"/>
  <c r="F7786" i="1"/>
  <c r="K7786" i="1" s="1"/>
  <c r="F7787" i="1"/>
  <c r="K7787" i="1" s="1"/>
  <c r="F7788" i="1"/>
  <c r="K7788" i="1" s="1"/>
  <c r="F7789" i="1"/>
  <c r="K7789" i="1" s="1"/>
  <c r="F7790" i="1"/>
  <c r="K7790" i="1" s="1"/>
  <c r="F7791" i="1"/>
  <c r="K7791" i="1" s="1"/>
  <c r="F7792" i="1"/>
  <c r="K7792" i="1" s="1"/>
  <c r="F7793" i="1"/>
  <c r="K7793" i="1" s="1"/>
  <c r="F7794" i="1"/>
  <c r="K7794" i="1" s="1"/>
  <c r="F7795" i="1"/>
  <c r="K7795" i="1" s="1"/>
  <c r="F7796" i="1"/>
  <c r="K7796" i="1" s="1"/>
  <c r="F7797" i="1"/>
  <c r="K7797" i="1" s="1"/>
  <c r="F7798" i="1"/>
  <c r="K7798" i="1" s="1"/>
  <c r="F7799" i="1"/>
  <c r="K7799" i="1" s="1"/>
  <c r="F7800" i="1"/>
  <c r="K7800" i="1" s="1"/>
  <c r="F7801" i="1"/>
  <c r="K7801" i="1" s="1"/>
  <c r="F7802" i="1"/>
  <c r="K7802" i="1" s="1"/>
  <c r="F7803" i="1"/>
  <c r="K7803" i="1" s="1"/>
  <c r="F7804" i="1"/>
  <c r="K7804" i="1" s="1"/>
  <c r="F7805" i="1"/>
  <c r="K7805" i="1" s="1"/>
  <c r="F7806" i="1"/>
  <c r="K7806" i="1" s="1"/>
  <c r="F7807" i="1"/>
  <c r="K7807" i="1" s="1"/>
  <c r="F7808" i="1"/>
  <c r="K7808" i="1" s="1"/>
  <c r="F7809" i="1"/>
  <c r="K7809" i="1" s="1"/>
  <c r="F7810" i="1"/>
  <c r="K7810" i="1" s="1"/>
  <c r="F7811" i="1"/>
  <c r="K7811" i="1" s="1"/>
  <c r="F7812" i="1"/>
  <c r="K7812" i="1" s="1"/>
  <c r="F7813" i="1"/>
  <c r="K7813" i="1" s="1"/>
  <c r="F7814" i="1"/>
  <c r="K7814" i="1" s="1"/>
  <c r="F7815" i="1"/>
  <c r="K7815" i="1" s="1"/>
  <c r="F7816" i="1"/>
  <c r="K7816" i="1" s="1"/>
  <c r="F7817" i="1"/>
  <c r="K7817" i="1" s="1"/>
  <c r="F7818" i="1"/>
  <c r="K7818" i="1" s="1"/>
  <c r="F7819" i="1"/>
  <c r="K7819" i="1" s="1"/>
  <c r="F7820" i="1"/>
  <c r="K7820" i="1" s="1"/>
  <c r="F7821" i="1"/>
  <c r="K7821" i="1" s="1"/>
  <c r="F7822" i="1"/>
  <c r="K7822" i="1" s="1"/>
  <c r="F7823" i="1"/>
  <c r="K7823" i="1" s="1"/>
  <c r="F7824" i="1"/>
  <c r="K7824" i="1" s="1"/>
  <c r="F7825" i="1"/>
  <c r="K7825" i="1" s="1"/>
  <c r="F7826" i="1"/>
  <c r="K7826" i="1" s="1"/>
  <c r="F7827" i="1"/>
  <c r="K7827" i="1" s="1"/>
  <c r="F7828" i="1"/>
  <c r="K7828" i="1" s="1"/>
  <c r="F7829" i="1"/>
  <c r="K7829" i="1" s="1"/>
  <c r="F7830" i="1"/>
  <c r="K7830" i="1" s="1"/>
  <c r="F7831" i="1"/>
  <c r="K7831" i="1" s="1"/>
  <c r="F7832" i="1"/>
  <c r="K7832" i="1" s="1"/>
  <c r="F7833" i="1"/>
  <c r="K7833" i="1" s="1"/>
  <c r="F7834" i="1"/>
  <c r="K7834" i="1" s="1"/>
  <c r="F7835" i="1"/>
  <c r="K7835" i="1" s="1"/>
  <c r="F7836" i="1"/>
  <c r="K7836" i="1" s="1"/>
  <c r="F7837" i="1"/>
  <c r="K7837" i="1" s="1"/>
  <c r="F7838" i="1"/>
  <c r="K7838" i="1" s="1"/>
  <c r="F7839" i="1"/>
  <c r="K7839" i="1" s="1"/>
  <c r="F7840" i="1"/>
  <c r="K7840" i="1" s="1"/>
  <c r="F7841" i="1"/>
  <c r="K7841" i="1" s="1"/>
  <c r="F7842" i="1"/>
  <c r="K7842" i="1" s="1"/>
  <c r="F7843" i="1"/>
  <c r="K7843" i="1" s="1"/>
  <c r="F7844" i="1"/>
  <c r="K7844" i="1" s="1"/>
  <c r="F7845" i="1"/>
  <c r="K7845" i="1" s="1"/>
  <c r="F7846" i="1"/>
  <c r="K7846" i="1" s="1"/>
  <c r="F7847" i="1"/>
  <c r="K7847" i="1" s="1"/>
  <c r="F7848" i="1"/>
  <c r="K7848" i="1" s="1"/>
  <c r="F7849" i="1"/>
  <c r="K7849" i="1" s="1"/>
  <c r="F7850" i="1"/>
  <c r="K7850" i="1" s="1"/>
  <c r="F7851" i="1"/>
  <c r="K7851" i="1" s="1"/>
  <c r="F7852" i="1"/>
  <c r="K7852" i="1" s="1"/>
  <c r="F7853" i="1"/>
  <c r="K7853" i="1" s="1"/>
  <c r="F7854" i="1"/>
  <c r="K7854" i="1" s="1"/>
  <c r="F7855" i="1"/>
  <c r="K7855" i="1" s="1"/>
  <c r="F7856" i="1"/>
  <c r="K7856" i="1" s="1"/>
  <c r="F7857" i="1"/>
  <c r="K7857" i="1" s="1"/>
  <c r="F7858" i="1"/>
  <c r="K7858" i="1" s="1"/>
  <c r="F7859" i="1"/>
  <c r="K7859" i="1" s="1"/>
  <c r="F7860" i="1"/>
  <c r="K7860" i="1" s="1"/>
  <c r="F7861" i="1"/>
  <c r="K7861" i="1" s="1"/>
  <c r="F7862" i="1"/>
  <c r="K7862" i="1" s="1"/>
  <c r="F7863" i="1"/>
  <c r="K7863" i="1" s="1"/>
  <c r="F7864" i="1"/>
  <c r="K7864" i="1" s="1"/>
  <c r="F7865" i="1"/>
  <c r="K7865" i="1" s="1"/>
  <c r="F7866" i="1"/>
  <c r="K7866" i="1" s="1"/>
  <c r="F7867" i="1"/>
  <c r="K7867" i="1" s="1"/>
  <c r="F7868" i="1"/>
  <c r="K7868" i="1" s="1"/>
  <c r="F7869" i="1"/>
  <c r="K7869" i="1" s="1"/>
  <c r="F7870" i="1"/>
  <c r="K7870" i="1" s="1"/>
  <c r="F7871" i="1"/>
  <c r="K7871" i="1" s="1"/>
  <c r="F7872" i="1"/>
  <c r="K7872" i="1" s="1"/>
  <c r="F7873" i="1"/>
  <c r="K7873" i="1" s="1"/>
  <c r="F7874" i="1"/>
  <c r="K7874" i="1" s="1"/>
  <c r="F7875" i="1"/>
  <c r="K7875" i="1" s="1"/>
  <c r="F7876" i="1"/>
  <c r="K7876" i="1" s="1"/>
  <c r="F7877" i="1"/>
  <c r="K7877" i="1" s="1"/>
  <c r="F7878" i="1"/>
  <c r="K7878" i="1" s="1"/>
  <c r="F7879" i="1"/>
  <c r="K7879" i="1" s="1"/>
  <c r="F7880" i="1"/>
  <c r="K7880" i="1" s="1"/>
  <c r="F7881" i="1"/>
  <c r="K7881" i="1" s="1"/>
  <c r="F7882" i="1"/>
  <c r="K7882" i="1" s="1"/>
  <c r="F7883" i="1"/>
  <c r="K7883" i="1" s="1"/>
  <c r="F7884" i="1"/>
  <c r="K7884" i="1" s="1"/>
  <c r="F7885" i="1"/>
  <c r="K7885" i="1" s="1"/>
  <c r="F7886" i="1"/>
  <c r="K7886" i="1" s="1"/>
  <c r="F7887" i="1"/>
  <c r="K7887" i="1" s="1"/>
  <c r="F7888" i="1"/>
  <c r="K7888" i="1" s="1"/>
  <c r="F7889" i="1"/>
  <c r="K7889" i="1" s="1"/>
  <c r="F7890" i="1"/>
  <c r="K7890" i="1" s="1"/>
  <c r="F7891" i="1"/>
  <c r="K7891" i="1" s="1"/>
  <c r="F7892" i="1"/>
  <c r="K7892" i="1" s="1"/>
  <c r="F7893" i="1"/>
  <c r="K7893" i="1" s="1"/>
  <c r="F7894" i="1"/>
  <c r="K7894" i="1" s="1"/>
  <c r="F7895" i="1"/>
  <c r="K7895" i="1" s="1"/>
  <c r="F7896" i="1"/>
  <c r="K7896" i="1" s="1"/>
  <c r="F7897" i="1"/>
  <c r="K7897" i="1" s="1"/>
  <c r="F7898" i="1"/>
  <c r="K7898" i="1" s="1"/>
  <c r="F7899" i="1"/>
  <c r="K7899" i="1" s="1"/>
  <c r="F7900" i="1"/>
  <c r="K7900" i="1" s="1"/>
  <c r="F7901" i="1"/>
  <c r="K7901" i="1" s="1"/>
  <c r="F7902" i="1"/>
  <c r="K7902" i="1" s="1"/>
  <c r="F7903" i="1"/>
  <c r="K7903" i="1" s="1"/>
  <c r="F7904" i="1"/>
  <c r="K7904" i="1" s="1"/>
  <c r="F7905" i="1"/>
  <c r="K7905" i="1" s="1"/>
  <c r="F7906" i="1"/>
  <c r="F7907" i="1"/>
  <c r="K7907" i="1" s="1"/>
  <c r="F7908" i="1"/>
  <c r="K7908" i="1" s="1"/>
  <c r="F7909" i="1"/>
  <c r="K7909" i="1" s="1"/>
  <c r="F7910" i="1"/>
  <c r="K7910" i="1" s="1"/>
  <c r="F7911" i="1"/>
  <c r="K7911" i="1" s="1"/>
  <c r="F7912" i="1"/>
  <c r="K7912" i="1" s="1"/>
  <c r="F7913" i="1"/>
  <c r="K7913" i="1" s="1"/>
  <c r="F7914" i="1"/>
  <c r="K7914" i="1" s="1"/>
  <c r="F7915" i="1"/>
  <c r="K7915" i="1" s="1"/>
  <c r="F7916" i="1"/>
  <c r="K7916" i="1" s="1"/>
  <c r="F7917" i="1"/>
  <c r="K7917" i="1" s="1"/>
  <c r="F7918" i="1"/>
  <c r="K7918" i="1" s="1"/>
  <c r="F7919" i="1"/>
  <c r="K7919" i="1" s="1"/>
  <c r="F7920" i="1"/>
  <c r="K7920" i="1" s="1"/>
  <c r="F7921" i="1"/>
  <c r="K7921" i="1" s="1"/>
  <c r="F7922" i="1"/>
  <c r="K7922" i="1" s="1"/>
  <c r="F7923" i="1"/>
  <c r="K7923" i="1" s="1"/>
  <c r="F7924" i="1"/>
  <c r="K7924" i="1" s="1"/>
  <c r="F7925" i="1"/>
  <c r="K7925" i="1" s="1"/>
  <c r="F7926" i="1"/>
  <c r="K7926" i="1" s="1"/>
  <c r="F7927" i="1"/>
  <c r="K7927" i="1" s="1"/>
  <c r="F7928" i="1"/>
  <c r="K7928" i="1" s="1"/>
  <c r="F7929" i="1"/>
  <c r="K7929" i="1" s="1"/>
  <c r="F7930" i="1"/>
  <c r="K7930" i="1" s="1"/>
  <c r="F7931" i="1"/>
  <c r="K7931" i="1" s="1"/>
  <c r="F7932" i="1"/>
  <c r="K7932" i="1" s="1"/>
  <c r="F7933" i="1"/>
  <c r="K7933" i="1" s="1"/>
  <c r="F7934" i="1"/>
  <c r="K7934" i="1" s="1"/>
  <c r="F7935" i="1"/>
  <c r="K7935" i="1" s="1"/>
  <c r="F7936" i="1"/>
  <c r="K7936" i="1" s="1"/>
  <c r="F7937" i="1"/>
  <c r="K7937" i="1" s="1"/>
  <c r="F7938" i="1"/>
  <c r="K7938" i="1" s="1"/>
  <c r="F7939" i="1"/>
  <c r="K7939" i="1" s="1"/>
  <c r="F7940" i="1"/>
  <c r="K7940" i="1" s="1"/>
  <c r="F7941" i="1"/>
  <c r="K7941" i="1" s="1"/>
  <c r="F7942" i="1"/>
  <c r="K7942" i="1" s="1"/>
  <c r="F7943" i="1"/>
  <c r="K7943" i="1" s="1"/>
  <c r="F7944" i="1"/>
  <c r="K7944" i="1" s="1"/>
  <c r="F7945" i="1"/>
  <c r="K7945" i="1" s="1"/>
  <c r="F7946" i="1"/>
  <c r="K7946" i="1" s="1"/>
  <c r="F7947" i="1"/>
  <c r="K7947" i="1" s="1"/>
  <c r="F7948" i="1"/>
  <c r="K7948" i="1" s="1"/>
  <c r="F7949" i="1"/>
  <c r="K7949" i="1" s="1"/>
  <c r="F7950" i="1"/>
  <c r="K7950" i="1" s="1"/>
  <c r="F7951" i="1"/>
  <c r="K7951" i="1" s="1"/>
  <c r="F7952" i="1"/>
  <c r="K7952" i="1" s="1"/>
  <c r="F7953" i="1"/>
  <c r="K7953" i="1" s="1"/>
  <c r="F7954" i="1"/>
  <c r="K7954" i="1" s="1"/>
  <c r="F7955" i="1"/>
  <c r="K7955" i="1" s="1"/>
  <c r="F7956" i="1"/>
  <c r="K7956" i="1" s="1"/>
  <c r="F7957" i="1"/>
  <c r="K7957" i="1" s="1"/>
  <c r="F7958" i="1"/>
  <c r="K7958" i="1" s="1"/>
  <c r="F7959" i="1"/>
  <c r="K7959" i="1" s="1"/>
  <c r="F7960" i="1"/>
  <c r="K7960" i="1" s="1"/>
  <c r="F7961" i="1"/>
  <c r="K7961" i="1" s="1"/>
  <c r="F7962" i="1"/>
  <c r="K7962" i="1" s="1"/>
  <c r="F7963" i="1"/>
  <c r="K7963" i="1" s="1"/>
  <c r="F7964" i="1"/>
  <c r="K7964" i="1" s="1"/>
  <c r="F7965" i="1"/>
  <c r="K7965" i="1" s="1"/>
  <c r="F7966" i="1"/>
  <c r="K7966" i="1" s="1"/>
  <c r="F7967" i="1"/>
  <c r="K7967" i="1" s="1"/>
  <c r="F7968" i="1"/>
  <c r="K7968" i="1" s="1"/>
  <c r="F7969" i="1"/>
  <c r="K7969" i="1" s="1"/>
  <c r="F7970" i="1"/>
  <c r="K7970" i="1" s="1"/>
  <c r="F7971" i="1"/>
  <c r="K7971" i="1" s="1"/>
  <c r="F7972" i="1"/>
  <c r="K7972" i="1" s="1"/>
  <c r="F7973" i="1"/>
  <c r="K7973" i="1" s="1"/>
  <c r="F7974" i="1"/>
  <c r="K7974" i="1" s="1"/>
  <c r="F7975" i="1"/>
  <c r="K7975" i="1" s="1"/>
  <c r="F7976" i="1"/>
  <c r="K7976" i="1" s="1"/>
  <c r="F7977" i="1"/>
  <c r="K7977" i="1" s="1"/>
  <c r="F7978" i="1"/>
  <c r="K7978" i="1" s="1"/>
  <c r="F7979" i="1"/>
  <c r="K7979" i="1" s="1"/>
  <c r="F7980" i="1"/>
  <c r="K7980" i="1" s="1"/>
  <c r="F7981" i="1"/>
  <c r="K7981" i="1" s="1"/>
  <c r="F7982" i="1"/>
  <c r="K7982" i="1" s="1"/>
  <c r="F7983" i="1"/>
  <c r="K7983" i="1" s="1"/>
  <c r="F7984" i="1"/>
  <c r="K7984" i="1" s="1"/>
  <c r="F7985" i="1"/>
  <c r="K7985" i="1" s="1"/>
  <c r="F7986" i="1"/>
  <c r="K7986" i="1" s="1"/>
  <c r="F7987" i="1"/>
  <c r="K7987" i="1" s="1"/>
  <c r="F7988" i="1"/>
  <c r="K7988" i="1" s="1"/>
  <c r="F7989" i="1"/>
  <c r="K7989" i="1" s="1"/>
  <c r="F7990" i="1"/>
  <c r="K7990" i="1" s="1"/>
  <c r="F7991" i="1"/>
  <c r="K7991" i="1" s="1"/>
  <c r="F7992" i="1"/>
  <c r="K7992" i="1" s="1"/>
  <c r="F7993" i="1"/>
  <c r="K7993" i="1" s="1"/>
  <c r="F7994" i="1"/>
  <c r="K7994" i="1" s="1"/>
  <c r="F7995" i="1"/>
  <c r="K7995" i="1" s="1"/>
  <c r="F7996" i="1"/>
  <c r="K7996" i="1" s="1"/>
  <c r="F7997" i="1"/>
  <c r="K7997" i="1" s="1"/>
  <c r="F7998" i="1"/>
  <c r="K7998" i="1" s="1"/>
  <c r="F7999" i="1"/>
  <c r="K7999" i="1" s="1"/>
  <c r="F8000" i="1"/>
  <c r="K8000" i="1" s="1"/>
  <c r="F8001" i="1"/>
  <c r="K8001" i="1" s="1"/>
  <c r="F8002" i="1"/>
  <c r="K8002" i="1" s="1"/>
  <c r="F8003" i="1"/>
  <c r="K8003" i="1" s="1"/>
  <c r="F8004" i="1"/>
  <c r="K8004" i="1" s="1"/>
  <c r="F8005" i="1"/>
  <c r="K8005" i="1" s="1"/>
  <c r="F8006" i="1"/>
  <c r="K8006" i="1" s="1"/>
  <c r="F8007" i="1"/>
  <c r="K8007" i="1" s="1"/>
  <c r="F8008" i="1"/>
  <c r="K8008" i="1" s="1"/>
  <c r="F8009" i="1"/>
  <c r="K8009" i="1" s="1"/>
  <c r="F8010" i="1"/>
  <c r="K8010" i="1" s="1"/>
  <c r="F8011" i="1"/>
  <c r="K8011" i="1" s="1"/>
  <c r="F8012" i="1"/>
  <c r="K8012" i="1" s="1"/>
  <c r="F8013" i="1"/>
  <c r="K8013" i="1" s="1"/>
  <c r="F8014" i="1"/>
  <c r="K8014" i="1" s="1"/>
  <c r="F8015" i="1"/>
  <c r="K8015" i="1" s="1"/>
  <c r="F8016" i="1"/>
  <c r="K8016" i="1" s="1"/>
  <c r="F8017" i="1"/>
  <c r="K8017" i="1" s="1"/>
  <c r="F8018" i="1"/>
  <c r="K8018" i="1" s="1"/>
  <c r="F8019" i="1"/>
  <c r="K8019" i="1" s="1"/>
  <c r="F8020" i="1"/>
  <c r="K8020" i="1" s="1"/>
  <c r="F8021" i="1"/>
  <c r="K8021" i="1" s="1"/>
  <c r="F8022" i="1"/>
  <c r="K8022" i="1" s="1"/>
  <c r="F8023" i="1"/>
  <c r="K8023" i="1" s="1"/>
  <c r="F8024" i="1"/>
  <c r="K8024" i="1" s="1"/>
  <c r="F8025" i="1"/>
  <c r="K8025" i="1" s="1"/>
  <c r="F8026" i="1"/>
  <c r="K8026" i="1" s="1"/>
  <c r="F8027" i="1"/>
  <c r="K8027" i="1" s="1"/>
  <c r="F8028" i="1"/>
  <c r="K8028" i="1" s="1"/>
  <c r="F8029" i="1"/>
  <c r="K8029" i="1" s="1"/>
  <c r="F8030" i="1"/>
  <c r="K8030" i="1" s="1"/>
  <c r="F8031" i="1"/>
  <c r="K8031" i="1" s="1"/>
  <c r="F8032" i="1"/>
  <c r="K8032" i="1" s="1"/>
  <c r="F8033" i="1"/>
  <c r="K8033" i="1" s="1"/>
  <c r="F8034" i="1"/>
  <c r="K8034" i="1" s="1"/>
  <c r="F8035" i="1"/>
  <c r="K8035" i="1" s="1"/>
  <c r="F8036" i="1"/>
  <c r="K8036" i="1" s="1"/>
  <c r="F8037" i="1"/>
  <c r="K8037" i="1" s="1"/>
  <c r="F8038" i="1"/>
  <c r="K8038" i="1" s="1"/>
  <c r="F8039" i="1"/>
  <c r="K8039" i="1" s="1"/>
  <c r="F8040" i="1"/>
  <c r="K8040" i="1" s="1"/>
  <c r="F8041" i="1"/>
  <c r="K8041" i="1" s="1"/>
  <c r="F8042" i="1"/>
  <c r="K8042" i="1" s="1"/>
  <c r="F8043" i="1"/>
  <c r="K8043" i="1" s="1"/>
  <c r="F8044" i="1"/>
  <c r="K8044" i="1" s="1"/>
  <c r="F8045" i="1"/>
  <c r="K8045" i="1" s="1"/>
  <c r="F8046" i="1"/>
  <c r="K8046" i="1" s="1"/>
  <c r="F8047" i="1"/>
  <c r="K8047" i="1" s="1"/>
  <c r="F8048" i="1"/>
  <c r="K8048" i="1" s="1"/>
  <c r="F8049" i="1"/>
  <c r="K8049" i="1" s="1"/>
  <c r="F8050" i="1"/>
  <c r="K8050" i="1" s="1"/>
  <c r="F8051" i="1"/>
  <c r="K8051" i="1" s="1"/>
  <c r="F8052" i="1"/>
  <c r="K8052" i="1" s="1"/>
  <c r="F8053" i="1"/>
  <c r="K8053" i="1" s="1"/>
  <c r="F8054" i="1"/>
  <c r="K8054" i="1" s="1"/>
  <c r="F8055" i="1"/>
  <c r="K8055" i="1" s="1"/>
  <c r="F8056" i="1"/>
  <c r="K8056" i="1" s="1"/>
  <c r="F8057" i="1"/>
  <c r="K8057" i="1" s="1"/>
  <c r="F8058" i="1"/>
  <c r="K8058" i="1" s="1"/>
  <c r="F8059" i="1"/>
  <c r="K8059" i="1" s="1"/>
  <c r="F8060" i="1"/>
  <c r="K8060" i="1" s="1"/>
  <c r="F8061" i="1"/>
  <c r="K8061" i="1" s="1"/>
  <c r="F8062" i="1"/>
  <c r="K8062" i="1" s="1"/>
  <c r="F8063" i="1"/>
  <c r="K8063" i="1" s="1"/>
  <c r="F8064" i="1"/>
  <c r="K8064" i="1" s="1"/>
  <c r="F8065" i="1"/>
  <c r="K8065" i="1" s="1"/>
  <c r="F8066" i="1"/>
  <c r="K8066" i="1" s="1"/>
  <c r="F8067" i="1"/>
  <c r="K8067" i="1" s="1"/>
  <c r="F8068" i="1"/>
  <c r="K8068" i="1" s="1"/>
  <c r="F8069" i="1"/>
  <c r="K8069" i="1" s="1"/>
  <c r="F8070" i="1"/>
  <c r="K8070" i="1" s="1"/>
  <c r="F8071" i="1"/>
  <c r="K8071" i="1" s="1"/>
  <c r="F8072" i="1"/>
  <c r="K8072" i="1" s="1"/>
  <c r="F8073" i="1"/>
  <c r="K8073" i="1" s="1"/>
  <c r="F8074" i="1"/>
  <c r="K8074" i="1" s="1"/>
  <c r="F8075" i="1"/>
  <c r="K8075" i="1" s="1"/>
  <c r="F8076" i="1"/>
  <c r="K8076" i="1" s="1"/>
  <c r="F8077" i="1"/>
  <c r="K8077" i="1" s="1"/>
  <c r="F8078" i="1"/>
  <c r="K8078" i="1" s="1"/>
  <c r="F8079" i="1"/>
  <c r="K8079" i="1" s="1"/>
  <c r="F8080" i="1"/>
  <c r="K8080" i="1" s="1"/>
  <c r="F8081" i="1"/>
  <c r="K8081" i="1" s="1"/>
  <c r="F8082" i="1"/>
  <c r="K8082" i="1" s="1"/>
  <c r="F8083" i="1"/>
  <c r="K8083" i="1" s="1"/>
  <c r="F8084" i="1"/>
  <c r="K8084" i="1" s="1"/>
  <c r="F8085" i="1"/>
  <c r="K8085" i="1" s="1"/>
  <c r="F8086" i="1"/>
  <c r="K8086" i="1" s="1"/>
  <c r="F8087" i="1"/>
  <c r="K8087" i="1" s="1"/>
  <c r="F8088" i="1"/>
  <c r="K8088" i="1" s="1"/>
  <c r="F8089" i="1"/>
  <c r="K8089" i="1" s="1"/>
  <c r="F8090" i="1"/>
  <c r="K8090" i="1" s="1"/>
  <c r="F8091" i="1"/>
  <c r="K8091" i="1" s="1"/>
  <c r="F8092" i="1"/>
  <c r="K8092" i="1" s="1"/>
  <c r="F8093" i="1"/>
  <c r="K8093" i="1" s="1"/>
  <c r="F8094" i="1"/>
  <c r="K8094" i="1" s="1"/>
  <c r="F8095" i="1"/>
  <c r="K8095" i="1" s="1"/>
  <c r="F8096" i="1"/>
  <c r="K8096" i="1" s="1"/>
  <c r="F8097" i="1"/>
  <c r="K8097" i="1" s="1"/>
  <c r="F8098" i="1"/>
  <c r="K8098" i="1" s="1"/>
  <c r="F8099" i="1"/>
  <c r="K8099" i="1" s="1"/>
  <c r="F8100" i="1"/>
  <c r="K8100" i="1" s="1"/>
  <c r="F8101" i="1"/>
  <c r="K8101" i="1" s="1"/>
  <c r="F8102" i="1"/>
  <c r="K8102" i="1" s="1"/>
  <c r="F8103" i="1"/>
  <c r="K8103" i="1" s="1"/>
  <c r="F8104" i="1"/>
  <c r="K8104" i="1" s="1"/>
  <c r="F8105" i="1"/>
  <c r="K8105" i="1" s="1"/>
  <c r="F8106" i="1"/>
  <c r="K8106" i="1" s="1"/>
  <c r="F8107" i="1"/>
  <c r="K8107" i="1" s="1"/>
  <c r="F8108" i="1"/>
  <c r="K8108" i="1" s="1"/>
  <c r="F8109" i="1"/>
  <c r="K8109" i="1" s="1"/>
  <c r="F8110" i="1"/>
  <c r="K8110" i="1" s="1"/>
  <c r="F8111" i="1"/>
  <c r="K8111" i="1" s="1"/>
  <c r="F8112" i="1"/>
  <c r="K8112" i="1" s="1"/>
  <c r="F8113" i="1"/>
  <c r="K8113" i="1" s="1"/>
  <c r="F8114" i="1"/>
  <c r="K8114" i="1" s="1"/>
  <c r="F8115" i="1"/>
  <c r="K8115" i="1" s="1"/>
  <c r="F8116" i="1"/>
  <c r="K8116" i="1" s="1"/>
  <c r="F8117" i="1"/>
  <c r="K8117" i="1" s="1"/>
  <c r="F8118" i="1"/>
  <c r="K8118" i="1" s="1"/>
  <c r="F8119" i="1"/>
  <c r="K8119" i="1" s="1"/>
  <c r="F8120" i="1"/>
  <c r="K8120" i="1" s="1"/>
  <c r="F8121" i="1"/>
  <c r="K8121" i="1" s="1"/>
  <c r="F8122" i="1"/>
  <c r="K8122" i="1" s="1"/>
  <c r="F8123" i="1"/>
  <c r="K8123" i="1" s="1"/>
  <c r="F8124" i="1"/>
  <c r="K8124" i="1" s="1"/>
  <c r="F8125" i="1"/>
  <c r="K8125" i="1" s="1"/>
  <c r="F8126" i="1"/>
  <c r="K8126" i="1" s="1"/>
  <c r="F8127" i="1"/>
  <c r="K8127" i="1" s="1"/>
  <c r="F8128" i="1"/>
  <c r="K8128" i="1" s="1"/>
  <c r="F8129" i="1"/>
  <c r="K8129" i="1" s="1"/>
  <c r="F8130" i="1"/>
  <c r="K8130" i="1" s="1"/>
  <c r="F8131" i="1"/>
  <c r="K8131" i="1" s="1"/>
  <c r="F8132" i="1"/>
  <c r="K8132" i="1" s="1"/>
  <c r="F8133" i="1"/>
  <c r="K8133" i="1" s="1"/>
  <c r="F8134" i="1"/>
  <c r="K8134" i="1" s="1"/>
  <c r="F8135" i="1"/>
  <c r="K8135" i="1" s="1"/>
  <c r="F8136" i="1"/>
  <c r="K8136" i="1" s="1"/>
  <c r="F8137" i="1"/>
  <c r="K8137" i="1" s="1"/>
  <c r="F8138" i="1"/>
  <c r="K8138" i="1" s="1"/>
  <c r="F8139" i="1"/>
  <c r="K8139" i="1" s="1"/>
  <c r="F8140" i="1"/>
  <c r="K8140" i="1" s="1"/>
  <c r="F8141" i="1"/>
  <c r="K8141" i="1" s="1"/>
  <c r="F8142" i="1"/>
  <c r="K8142" i="1" s="1"/>
  <c r="F8143" i="1"/>
  <c r="K8143" i="1" s="1"/>
  <c r="F8144" i="1"/>
  <c r="K8144" i="1" s="1"/>
  <c r="F8145" i="1"/>
  <c r="K8145" i="1" s="1"/>
  <c r="F8146" i="1"/>
  <c r="K8146" i="1" s="1"/>
  <c r="F8147" i="1"/>
  <c r="K8147" i="1" s="1"/>
  <c r="F8148" i="1"/>
  <c r="K8148" i="1" s="1"/>
  <c r="F8149" i="1"/>
  <c r="K8149" i="1" s="1"/>
  <c r="F8150" i="1"/>
  <c r="K8150" i="1" s="1"/>
  <c r="F8151" i="1"/>
  <c r="K8151" i="1" s="1"/>
  <c r="F8152" i="1"/>
  <c r="K8152" i="1" s="1"/>
  <c r="F8153" i="1"/>
  <c r="K8153" i="1" s="1"/>
  <c r="F8154" i="1"/>
  <c r="K8154" i="1" s="1"/>
  <c r="F8155" i="1"/>
  <c r="K8155" i="1" s="1"/>
  <c r="F8156" i="1"/>
  <c r="K8156" i="1" s="1"/>
  <c r="F8157" i="1"/>
  <c r="K8157" i="1" s="1"/>
  <c r="F8158" i="1"/>
  <c r="K8158" i="1" s="1"/>
  <c r="F8159" i="1"/>
  <c r="K8159" i="1" s="1"/>
  <c r="F8160" i="1"/>
  <c r="K8160" i="1" s="1"/>
  <c r="F8161" i="1"/>
  <c r="K8161" i="1" s="1"/>
  <c r="F8162" i="1"/>
  <c r="K8162" i="1" s="1"/>
  <c r="F8163" i="1"/>
  <c r="K8163" i="1" s="1"/>
  <c r="F8164" i="1"/>
  <c r="K8164" i="1" s="1"/>
  <c r="F8165" i="1"/>
  <c r="K8165" i="1" s="1"/>
  <c r="F8166" i="1"/>
  <c r="K8166" i="1" s="1"/>
  <c r="F8167" i="1"/>
  <c r="K8167" i="1" s="1"/>
  <c r="F8168" i="1"/>
  <c r="K8168" i="1" s="1"/>
  <c r="F8169" i="1"/>
  <c r="K8169" i="1" s="1"/>
  <c r="F8170" i="1"/>
  <c r="K8170" i="1" s="1"/>
  <c r="F8171" i="1"/>
  <c r="K8171" i="1" s="1"/>
  <c r="F8172" i="1"/>
  <c r="K8172" i="1" s="1"/>
  <c r="F8173" i="1"/>
  <c r="K8173" i="1" s="1"/>
  <c r="F8174" i="1"/>
  <c r="K8174" i="1" s="1"/>
  <c r="F8175" i="1"/>
  <c r="K8175" i="1" s="1"/>
  <c r="F8176" i="1"/>
  <c r="K8176" i="1" s="1"/>
  <c r="F8177" i="1"/>
  <c r="K8177" i="1" s="1"/>
  <c r="F8178" i="1"/>
  <c r="K8178" i="1" s="1"/>
  <c r="F8179" i="1"/>
  <c r="K8179" i="1" s="1"/>
  <c r="F8180" i="1"/>
  <c r="K8180" i="1" s="1"/>
  <c r="F8181" i="1"/>
  <c r="K8181" i="1" s="1"/>
  <c r="F8182" i="1"/>
  <c r="K8182" i="1" s="1"/>
  <c r="F8183" i="1"/>
  <c r="K8183" i="1" s="1"/>
  <c r="F8184" i="1"/>
  <c r="K8184" i="1" s="1"/>
  <c r="F8185" i="1"/>
  <c r="K8185" i="1" s="1"/>
  <c r="F8186" i="1"/>
  <c r="K8186" i="1" s="1"/>
  <c r="F8187" i="1"/>
  <c r="K8187" i="1" s="1"/>
  <c r="F8188" i="1"/>
  <c r="K8188" i="1" s="1"/>
  <c r="F8189" i="1"/>
  <c r="K8189" i="1" s="1"/>
  <c r="F8190" i="1"/>
  <c r="K8190" i="1" s="1"/>
  <c r="F8191" i="1"/>
  <c r="K8191" i="1" s="1"/>
  <c r="F8192" i="1"/>
  <c r="K8192" i="1" s="1"/>
  <c r="F8193" i="1"/>
  <c r="K8193" i="1" s="1"/>
  <c r="F8194" i="1"/>
  <c r="K8194" i="1" s="1"/>
  <c r="F8195" i="1"/>
  <c r="K8195" i="1" s="1"/>
  <c r="F8196" i="1"/>
  <c r="K8196" i="1" s="1"/>
  <c r="F8197" i="1"/>
  <c r="K8197" i="1" s="1"/>
  <c r="F8198" i="1"/>
  <c r="K8198" i="1" s="1"/>
  <c r="F8199" i="1"/>
  <c r="K8199" i="1" s="1"/>
  <c r="F8200" i="1"/>
  <c r="K8200" i="1" s="1"/>
  <c r="F8201" i="1"/>
  <c r="K8201" i="1" s="1"/>
  <c r="F8202" i="1"/>
  <c r="K8202" i="1" s="1"/>
  <c r="F8203" i="1"/>
  <c r="K8203" i="1" s="1"/>
  <c r="F8204" i="1"/>
  <c r="K8204" i="1" s="1"/>
  <c r="F8205" i="1"/>
  <c r="K8205" i="1" s="1"/>
  <c r="F8206" i="1"/>
  <c r="K8206" i="1" s="1"/>
  <c r="F8207" i="1"/>
  <c r="K8207" i="1" s="1"/>
  <c r="F8208" i="1"/>
  <c r="K8208" i="1" s="1"/>
  <c r="F8209" i="1"/>
  <c r="K8209" i="1" s="1"/>
  <c r="F8210" i="1"/>
  <c r="K8210" i="1" s="1"/>
  <c r="F8211" i="1"/>
  <c r="K8211" i="1" s="1"/>
  <c r="F8212" i="1"/>
  <c r="K8212" i="1" s="1"/>
  <c r="F8213" i="1"/>
  <c r="K8213" i="1" s="1"/>
  <c r="F8214" i="1"/>
  <c r="K8214" i="1" s="1"/>
  <c r="F8215" i="1"/>
  <c r="K8215" i="1" s="1"/>
  <c r="F8216" i="1"/>
  <c r="K8216" i="1" s="1"/>
  <c r="F8217" i="1"/>
  <c r="K8217" i="1" s="1"/>
  <c r="F8218" i="1"/>
  <c r="K8218" i="1" s="1"/>
  <c r="F8219" i="1"/>
  <c r="K8219" i="1" s="1"/>
  <c r="F8220" i="1"/>
  <c r="K8220" i="1" s="1"/>
  <c r="F8221" i="1"/>
  <c r="K8221" i="1" s="1"/>
  <c r="F8222" i="1"/>
  <c r="K8222" i="1" s="1"/>
  <c r="F8223" i="1"/>
  <c r="K8223" i="1" s="1"/>
  <c r="F8224" i="1"/>
  <c r="K8224" i="1" s="1"/>
  <c r="F8225" i="1"/>
  <c r="K8225" i="1" s="1"/>
  <c r="F8226" i="1"/>
  <c r="K8226" i="1" s="1"/>
  <c r="F8227" i="1"/>
  <c r="K8227" i="1" s="1"/>
  <c r="F8228" i="1"/>
  <c r="K8228" i="1" s="1"/>
  <c r="F8229" i="1"/>
  <c r="K8229" i="1" s="1"/>
  <c r="F8230" i="1"/>
  <c r="K8230" i="1" s="1"/>
  <c r="F8231" i="1"/>
  <c r="K8231" i="1" s="1"/>
  <c r="F8232" i="1"/>
  <c r="K8232" i="1" s="1"/>
  <c r="F8233" i="1"/>
  <c r="K8233" i="1" s="1"/>
  <c r="F8234" i="1"/>
  <c r="K8234" i="1" s="1"/>
  <c r="F8235" i="1"/>
  <c r="K8235" i="1" s="1"/>
  <c r="F8236" i="1"/>
  <c r="K8236" i="1" s="1"/>
  <c r="F8237" i="1"/>
  <c r="K8237" i="1" s="1"/>
  <c r="F8238" i="1"/>
  <c r="K8238" i="1" s="1"/>
  <c r="F8239" i="1"/>
  <c r="K8239" i="1" s="1"/>
  <c r="F8240" i="1"/>
  <c r="K8240" i="1" s="1"/>
  <c r="F8241" i="1"/>
  <c r="K8241" i="1" s="1"/>
  <c r="F8242" i="1"/>
  <c r="K8242" i="1" s="1"/>
  <c r="F8243" i="1"/>
  <c r="K8243" i="1" s="1"/>
  <c r="F8244" i="1"/>
  <c r="K8244" i="1" s="1"/>
  <c r="F8245" i="1"/>
  <c r="K8245" i="1" s="1"/>
  <c r="F8246" i="1"/>
  <c r="K8246" i="1" s="1"/>
  <c r="F8247" i="1"/>
  <c r="K8247" i="1" s="1"/>
  <c r="F8248" i="1"/>
  <c r="K8248" i="1" s="1"/>
  <c r="F8249" i="1"/>
  <c r="K8249" i="1" s="1"/>
  <c r="F8250" i="1"/>
  <c r="K8250" i="1" s="1"/>
  <c r="F8251" i="1"/>
  <c r="K8251" i="1" s="1"/>
  <c r="F8252" i="1"/>
  <c r="K8252" i="1" s="1"/>
  <c r="F8253" i="1"/>
  <c r="K8253" i="1" s="1"/>
  <c r="F8254" i="1"/>
  <c r="K8254" i="1" s="1"/>
  <c r="F8255" i="1"/>
  <c r="K8255" i="1" s="1"/>
  <c r="F8256" i="1"/>
  <c r="K8256" i="1" s="1"/>
  <c r="F8257" i="1"/>
  <c r="K8257" i="1" s="1"/>
  <c r="F8258" i="1"/>
  <c r="K8258" i="1" s="1"/>
  <c r="F8259" i="1"/>
  <c r="K8259" i="1" s="1"/>
  <c r="F8260" i="1"/>
  <c r="K8260" i="1" s="1"/>
  <c r="F8261" i="1"/>
  <c r="K8261" i="1" s="1"/>
  <c r="F8262" i="1"/>
  <c r="K8262" i="1" s="1"/>
  <c r="F8263" i="1"/>
  <c r="K8263" i="1" s="1"/>
  <c r="F8264" i="1"/>
  <c r="K8264" i="1" s="1"/>
  <c r="F8265" i="1"/>
  <c r="K8265" i="1" s="1"/>
  <c r="F8266" i="1"/>
  <c r="K8266" i="1" s="1"/>
  <c r="F8267" i="1"/>
  <c r="K8267" i="1" s="1"/>
  <c r="F8268" i="1"/>
  <c r="K8268" i="1" s="1"/>
  <c r="F8269" i="1"/>
  <c r="K8269" i="1" s="1"/>
  <c r="F8270" i="1"/>
  <c r="K8270" i="1" s="1"/>
  <c r="F8271" i="1"/>
  <c r="K8271" i="1" s="1"/>
  <c r="F8272" i="1"/>
  <c r="K8272" i="1" s="1"/>
  <c r="F8273" i="1"/>
  <c r="K8273" i="1" s="1"/>
  <c r="F8274" i="1"/>
  <c r="K8274" i="1" s="1"/>
  <c r="F8275" i="1"/>
  <c r="K8275" i="1" s="1"/>
  <c r="F8276" i="1"/>
  <c r="K8276" i="1" s="1"/>
  <c r="F8277" i="1"/>
  <c r="K8277" i="1" s="1"/>
  <c r="F8278" i="1"/>
  <c r="K8278" i="1" s="1"/>
  <c r="F8279" i="1"/>
  <c r="K8279" i="1" s="1"/>
  <c r="F8280" i="1"/>
  <c r="K8280" i="1" s="1"/>
  <c r="F8281" i="1"/>
  <c r="K8281" i="1" s="1"/>
  <c r="F8282" i="1"/>
  <c r="K8282" i="1" s="1"/>
  <c r="F8283" i="1"/>
  <c r="K8283" i="1" s="1"/>
  <c r="F8284" i="1"/>
  <c r="K8284" i="1" s="1"/>
  <c r="F8285" i="1"/>
  <c r="K8285" i="1" s="1"/>
  <c r="F8286" i="1"/>
  <c r="K8286" i="1" s="1"/>
  <c r="F8287" i="1"/>
  <c r="K8287" i="1" s="1"/>
  <c r="F8288" i="1"/>
  <c r="K8288" i="1" s="1"/>
  <c r="F8289" i="1"/>
  <c r="K8289" i="1" s="1"/>
  <c r="F8290" i="1"/>
  <c r="K8290" i="1" s="1"/>
  <c r="F8291" i="1"/>
  <c r="K8291" i="1" s="1"/>
  <c r="F8292" i="1"/>
  <c r="K8292" i="1" s="1"/>
  <c r="F8293" i="1"/>
  <c r="K8293" i="1" s="1"/>
  <c r="F8294" i="1"/>
  <c r="K8294" i="1" s="1"/>
  <c r="F8295" i="1"/>
  <c r="K8295" i="1" s="1"/>
  <c r="F8296" i="1"/>
  <c r="K8296" i="1" s="1"/>
  <c r="F8297" i="1"/>
  <c r="K8297" i="1" s="1"/>
  <c r="F8298" i="1"/>
  <c r="K8298" i="1" s="1"/>
  <c r="F8299" i="1"/>
  <c r="K8299" i="1" s="1"/>
  <c r="F8300" i="1"/>
  <c r="K8300" i="1" s="1"/>
  <c r="F8301" i="1"/>
  <c r="K8301" i="1" s="1"/>
  <c r="F8302" i="1"/>
  <c r="K8302" i="1" s="1"/>
  <c r="F8303" i="1"/>
  <c r="K8303" i="1" s="1"/>
  <c r="F8304" i="1"/>
  <c r="K8304" i="1" s="1"/>
  <c r="F8305" i="1"/>
  <c r="K8305" i="1" s="1"/>
  <c r="F8306" i="1"/>
  <c r="K8306" i="1" s="1"/>
  <c r="F8307" i="1"/>
  <c r="K8307" i="1" s="1"/>
  <c r="F8308" i="1"/>
  <c r="K8308" i="1" s="1"/>
  <c r="F8309" i="1"/>
  <c r="K8309" i="1" s="1"/>
  <c r="F8310" i="1"/>
  <c r="K8310" i="1" s="1"/>
  <c r="F8311" i="1"/>
  <c r="K8311" i="1" s="1"/>
  <c r="F8312" i="1"/>
  <c r="K8312" i="1" s="1"/>
  <c r="F8313" i="1"/>
  <c r="K8313" i="1" s="1"/>
  <c r="F8314" i="1"/>
  <c r="K8314" i="1" s="1"/>
  <c r="F8315" i="1"/>
  <c r="K8315" i="1" s="1"/>
  <c r="F8316" i="1"/>
  <c r="K8316" i="1" s="1"/>
  <c r="F8317" i="1"/>
  <c r="K8317" i="1" s="1"/>
  <c r="F8318" i="1"/>
  <c r="K8318" i="1" s="1"/>
  <c r="F8319" i="1"/>
  <c r="K8319" i="1" s="1"/>
  <c r="F8320" i="1"/>
  <c r="K8320" i="1" s="1"/>
  <c r="F8321" i="1"/>
  <c r="K8321" i="1" s="1"/>
  <c r="F8322" i="1"/>
  <c r="K8322" i="1" s="1"/>
  <c r="F8323" i="1"/>
  <c r="K8323" i="1" s="1"/>
  <c r="F8324" i="1"/>
  <c r="K8324" i="1" s="1"/>
  <c r="F8325" i="1"/>
  <c r="K8325" i="1" s="1"/>
  <c r="F8326" i="1"/>
  <c r="K8326" i="1" s="1"/>
  <c r="F8327" i="1"/>
  <c r="K8327" i="1" s="1"/>
  <c r="F8328" i="1"/>
  <c r="K8328" i="1" s="1"/>
  <c r="F8329" i="1"/>
  <c r="K8329" i="1" s="1"/>
  <c r="F8330" i="1"/>
  <c r="K8330" i="1" s="1"/>
  <c r="F8331" i="1"/>
  <c r="K8331" i="1" s="1"/>
  <c r="F8332" i="1"/>
  <c r="K8332" i="1" s="1"/>
  <c r="F8333" i="1"/>
  <c r="K8333" i="1" s="1"/>
  <c r="F8334" i="1"/>
  <c r="K8334" i="1" s="1"/>
  <c r="F8335" i="1"/>
  <c r="K8335" i="1" s="1"/>
  <c r="F8336" i="1"/>
  <c r="K8336" i="1" s="1"/>
  <c r="F8337" i="1"/>
  <c r="K8337" i="1" s="1"/>
  <c r="F8338" i="1"/>
  <c r="K8338" i="1" s="1"/>
  <c r="F8339" i="1"/>
  <c r="K8339" i="1" s="1"/>
  <c r="F8340" i="1"/>
  <c r="K8340" i="1" s="1"/>
  <c r="F8341" i="1"/>
  <c r="K8341" i="1" s="1"/>
  <c r="F8342" i="1"/>
  <c r="K8342" i="1" s="1"/>
  <c r="F8343" i="1"/>
  <c r="K8343" i="1" s="1"/>
  <c r="F8344" i="1"/>
  <c r="K8344" i="1" s="1"/>
  <c r="F8345" i="1"/>
  <c r="K8345" i="1" s="1"/>
  <c r="F8346" i="1"/>
  <c r="K8346" i="1" s="1"/>
  <c r="F8347" i="1"/>
  <c r="K8347" i="1" s="1"/>
  <c r="F8348" i="1"/>
  <c r="K8348" i="1" s="1"/>
  <c r="F8349" i="1"/>
  <c r="K8349" i="1" s="1"/>
  <c r="F8350" i="1"/>
  <c r="K8350" i="1" s="1"/>
  <c r="F8351" i="1"/>
  <c r="K8351" i="1" s="1"/>
  <c r="F8352" i="1"/>
  <c r="K8352" i="1" s="1"/>
  <c r="F8353" i="1"/>
  <c r="K8353" i="1" s="1"/>
  <c r="F8354" i="1"/>
  <c r="K8354" i="1" s="1"/>
  <c r="F8355" i="1"/>
  <c r="K8355" i="1" s="1"/>
  <c r="F8356" i="1"/>
  <c r="K8356" i="1" s="1"/>
  <c r="F8357" i="1"/>
  <c r="K8357" i="1" s="1"/>
  <c r="F8358" i="1"/>
  <c r="K8358" i="1" s="1"/>
  <c r="F8359" i="1"/>
  <c r="K8359" i="1" s="1"/>
  <c r="F8360" i="1"/>
  <c r="K8360" i="1" s="1"/>
  <c r="F8361" i="1"/>
  <c r="K8361" i="1" s="1"/>
  <c r="F8362" i="1"/>
  <c r="K8362" i="1" s="1"/>
  <c r="F8363" i="1"/>
  <c r="K8363" i="1" s="1"/>
  <c r="F8364" i="1"/>
  <c r="K8364" i="1" s="1"/>
  <c r="F8365" i="1"/>
  <c r="K8365" i="1" s="1"/>
  <c r="F8366" i="1"/>
  <c r="K8366" i="1" s="1"/>
  <c r="F8367" i="1"/>
  <c r="K8367" i="1" s="1"/>
  <c r="F8368" i="1"/>
  <c r="K8368" i="1" s="1"/>
  <c r="F8369" i="1"/>
  <c r="K8369" i="1" s="1"/>
  <c r="F8370" i="1"/>
  <c r="K8370" i="1" s="1"/>
  <c r="F8371" i="1"/>
  <c r="K8371" i="1" s="1"/>
  <c r="F8372" i="1"/>
  <c r="K8372" i="1" s="1"/>
  <c r="F8373" i="1"/>
  <c r="K8373" i="1" s="1"/>
  <c r="F8374" i="1"/>
  <c r="K8374" i="1" s="1"/>
  <c r="F8375" i="1"/>
  <c r="K8375" i="1" s="1"/>
  <c r="F8376" i="1"/>
  <c r="K8376" i="1" s="1"/>
  <c r="F8377" i="1"/>
  <c r="K8377" i="1" s="1"/>
  <c r="F8378" i="1"/>
  <c r="K8378" i="1" s="1"/>
  <c r="F8379" i="1"/>
  <c r="K8379" i="1" s="1"/>
  <c r="F8380" i="1"/>
  <c r="K8380" i="1" s="1"/>
  <c r="F8381" i="1"/>
  <c r="K8381" i="1" s="1"/>
  <c r="F8382" i="1"/>
  <c r="K8382" i="1" s="1"/>
  <c r="F8383" i="1"/>
  <c r="K8383" i="1" s="1"/>
  <c r="F8384" i="1"/>
  <c r="K8384" i="1" s="1"/>
  <c r="F8385" i="1"/>
  <c r="K8385" i="1" s="1"/>
  <c r="F8386" i="1"/>
  <c r="K8386" i="1" s="1"/>
  <c r="F8387" i="1"/>
  <c r="K8387" i="1" s="1"/>
  <c r="F8388" i="1"/>
  <c r="K8388" i="1" s="1"/>
  <c r="F8389" i="1"/>
  <c r="K8389" i="1" s="1"/>
  <c r="F8390" i="1"/>
  <c r="K8390" i="1" s="1"/>
  <c r="F8391" i="1"/>
  <c r="K8391" i="1" s="1"/>
  <c r="F8392" i="1"/>
  <c r="K8392" i="1" s="1"/>
  <c r="F8393" i="1"/>
  <c r="K8393" i="1" s="1"/>
  <c r="F8394" i="1"/>
  <c r="K8394" i="1" s="1"/>
  <c r="F8395" i="1"/>
  <c r="K8395" i="1" s="1"/>
  <c r="F8396" i="1"/>
  <c r="K8396" i="1" s="1"/>
  <c r="F8397" i="1"/>
  <c r="K8397" i="1" s="1"/>
  <c r="F8398" i="1"/>
  <c r="K8398" i="1" s="1"/>
  <c r="F8399" i="1"/>
  <c r="K8399" i="1" s="1"/>
  <c r="F8400" i="1"/>
  <c r="K8400" i="1" s="1"/>
  <c r="F8401" i="1"/>
  <c r="K8401" i="1" s="1"/>
  <c r="F8402" i="1"/>
  <c r="K8402" i="1" s="1"/>
  <c r="F8403" i="1"/>
  <c r="K8403" i="1" s="1"/>
  <c r="F8404" i="1"/>
  <c r="K8404" i="1" s="1"/>
  <c r="F8405" i="1"/>
  <c r="K8405" i="1" s="1"/>
  <c r="F8406" i="1"/>
  <c r="K8406" i="1" s="1"/>
  <c r="F8407" i="1"/>
  <c r="K8407" i="1" s="1"/>
  <c r="F8408" i="1"/>
  <c r="K8408" i="1" s="1"/>
  <c r="F8409" i="1"/>
  <c r="K8409" i="1" s="1"/>
  <c r="F8410" i="1"/>
  <c r="K8410" i="1" s="1"/>
  <c r="F8411" i="1"/>
  <c r="K8411" i="1" s="1"/>
  <c r="F8412" i="1"/>
  <c r="K8412" i="1" s="1"/>
  <c r="F8413" i="1"/>
  <c r="K8413" i="1" s="1"/>
  <c r="F8414" i="1"/>
  <c r="K8414" i="1" s="1"/>
  <c r="F8415" i="1"/>
  <c r="K8415" i="1" s="1"/>
  <c r="F8416" i="1"/>
  <c r="K8416" i="1" s="1"/>
  <c r="F8417" i="1"/>
  <c r="K8417" i="1" s="1"/>
  <c r="F8418" i="1"/>
  <c r="K8418" i="1" s="1"/>
  <c r="F8419" i="1"/>
  <c r="K8419" i="1" s="1"/>
  <c r="F8420" i="1"/>
  <c r="K8420" i="1" s="1"/>
  <c r="F8421" i="1"/>
  <c r="K8421" i="1" s="1"/>
  <c r="F8422" i="1"/>
  <c r="K8422" i="1" s="1"/>
  <c r="F8423" i="1"/>
  <c r="K8423" i="1" s="1"/>
  <c r="F8424" i="1"/>
  <c r="K8424" i="1" s="1"/>
  <c r="F8425" i="1"/>
  <c r="K8425" i="1" s="1"/>
  <c r="F8426" i="1"/>
  <c r="K8426" i="1" s="1"/>
  <c r="F8427" i="1"/>
  <c r="K8427" i="1" s="1"/>
  <c r="F8428" i="1"/>
  <c r="K8428" i="1" s="1"/>
  <c r="F8429" i="1"/>
  <c r="K8429" i="1" s="1"/>
  <c r="F8430" i="1"/>
  <c r="K8430" i="1" s="1"/>
  <c r="F8431" i="1"/>
  <c r="K8431" i="1" s="1"/>
  <c r="F8432" i="1"/>
  <c r="K8432" i="1" s="1"/>
  <c r="F8433" i="1"/>
  <c r="K8433" i="1" s="1"/>
  <c r="F8434" i="1"/>
  <c r="K8434" i="1" s="1"/>
  <c r="F8435" i="1"/>
  <c r="K8435" i="1" s="1"/>
  <c r="F8436" i="1"/>
  <c r="K8436" i="1" s="1"/>
  <c r="F8437" i="1"/>
  <c r="K8437" i="1" s="1"/>
  <c r="F8438" i="1"/>
  <c r="K8438" i="1" s="1"/>
  <c r="F8439" i="1"/>
  <c r="K8439" i="1" s="1"/>
  <c r="F8440" i="1"/>
  <c r="K8440" i="1" s="1"/>
  <c r="F8441" i="1"/>
  <c r="K8441" i="1" s="1"/>
  <c r="F8442" i="1"/>
  <c r="K8442" i="1" s="1"/>
  <c r="F8443" i="1"/>
  <c r="K8443" i="1" s="1"/>
  <c r="F8444" i="1"/>
  <c r="K8444" i="1" s="1"/>
  <c r="F8445" i="1"/>
  <c r="K8445" i="1" s="1"/>
  <c r="F8446" i="1"/>
  <c r="K8446" i="1" s="1"/>
  <c r="F8447" i="1"/>
  <c r="K8447" i="1" s="1"/>
  <c r="F8448" i="1"/>
  <c r="K8448" i="1" s="1"/>
  <c r="F8449" i="1"/>
  <c r="K8449" i="1" s="1"/>
  <c r="F8450" i="1"/>
  <c r="K8450" i="1" s="1"/>
  <c r="F8451" i="1"/>
  <c r="K8451" i="1" s="1"/>
  <c r="F8452" i="1"/>
  <c r="K8452" i="1" s="1"/>
  <c r="F8453" i="1"/>
  <c r="K8453" i="1" s="1"/>
  <c r="F8454" i="1"/>
  <c r="K8454" i="1" s="1"/>
  <c r="F8455" i="1"/>
  <c r="K8455" i="1" s="1"/>
  <c r="F8456" i="1"/>
  <c r="K8456" i="1" s="1"/>
  <c r="F8457" i="1"/>
  <c r="K8457" i="1" s="1"/>
  <c r="F8458" i="1"/>
  <c r="K8458" i="1" s="1"/>
  <c r="F8459" i="1"/>
  <c r="K8459" i="1" s="1"/>
  <c r="F8460" i="1"/>
  <c r="K8460" i="1" s="1"/>
  <c r="F8461" i="1"/>
  <c r="K8461" i="1" s="1"/>
  <c r="F8462" i="1"/>
  <c r="K8462" i="1" s="1"/>
  <c r="F8463" i="1"/>
  <c r="K8463" i="1" s="1"/>
  <c r="F8464" i="1"/>
  <c r="K8464" i="1" s="1"/>
  <c r="F8465" i="1"/>
  <c r="K8465" i="1" s="1"/>
  <c r="F8466" i="1"/>
  <c r="K8466" i="1" s="1"/>
  <c r="F8467" i="1"/>
  <c r="K8467" i="1" s="1"/>
  <c r="F8468" i="1"/>
  <c r="K8468" i="1" s="1"/>
  <c r="F8469" i="1"/>
  <c r="K8469" i="1" s="1"/>
  <c r="F8470" i="1"/>
  <c r="K8470" i="1" s="1"/>
  <c r="F8471" i="1"/>
  <c r="K8471" i="1" s="1"/>
  <c r="F8472" i="1"/>
  <c r="K8472" i="1" s="1"/>
  <c r="F8473" i="1"/>
  <c r="K8473" i="1" s="1"/>
  <c r="F8474" i="1"/>
  <c r="K8474" i="1" s="1"/>
  <c r="F8475" i="1"/>
  <c r="K8475" i="1" s="1"/>
  <c r="F8476" i="1"/>
  <c r="K8476" i="1" s="1"/>
  <c r="F8477" i="1"/>
  <c r="K8477" i="1" s="1"/>
  <c r="F8478" i="1"/>
  <c r="K8478" i="1" s="1"/>
  <c r="F8479" i="1"/>
  <c r="K8479" i="1" s="1"/>
  <c r="F8480" i="1"/>
  <c r="K8480" i="1" s="1"/>
  <c r="F8481" i="1"/>
  <c r="K8481" i="1" s="1"/>
  <c r="F8482" i="1"/>
  <c r="K8482" i="1" s="1"/>
  <c r="F8483" i="1"/>
  <c r="K8483" i="1" s="1"/>
  <c r="F8484" i="1"/>
  <c r="K8484" i="1" s="1"/>
  <c r="F8485" i="1"/>
  <c r="K8485" i="1" s="1"/>
  <c r="F8486" i="1"/>
  <c r="K8486" i="1" s="1"/>
  <c r="F8487" i="1"/>
  <c r="K8487" i="1" s="1"/>
  <c r="F8488" i="1"/>
  <c r="K8488" i="1" s="1"/>
  <c r="F8489" i="1"/>
  <c r="K8489" i="1" s="1"/>
  <c r="F8490" i="1"/>
  <c r="K8490" i="1" s="1"/>
  <c r="F8491" i="1"/>
  <c r="K8491" i="1" s="1"/>
  <c r="F8492" i="1"/>
  <c r="K8492" i="1" s="1"/>
  <c r="F8493" i="1"/>
  <c r="K8493" i="1" s="1"/>
  <c r="F8494" i="1"/>
  <c r="K8494" i="1" s="1"/>
  <c r="F8495" i="1"/>
  <c r="K8495" i="1" s="1"/>
  <c r="F8496" i="1"/>
  <c r="K8496" i="1" s="1"/>
  <c r="F8497" i="1"/>
  <c r="K8497" i="1" s="1"/>
  <c r="F8498" i="1"/>
  <c r="K8498" i="1" s="1"/>
  <c r="F8499" i="1"/>
  <c r="K8499" i="1" s="1"/>
  <c r="F8500" i="1"/>
  <c r="K8500" i="1" s="1"/>
  <c r="F8501" i="1"/>
  <c r="K8501" i="1" s="1"/>
  <c r="F8502" i="1"/>
  <c r="K8502" i="1" s="1"/>
  <c r="F8503" i="1"/>
  <c r="K8503" i="1" s="1"/>
  <c r="F8504" i="1"/>
  <c r="K8504" i="1" s="1"/>
  <c r="F8505" i="1"/>
  <c r="K8505" i="1" s="1"/>
  <c r="F8506" i="1"/>
  <c r="K8506" i="1" s="1"/>
  <c r="F8507" i="1"/>
  <c r="K8507" i="1" s="1"/>
  <c r="F8508" i="1"/>
  <c r="K8508" i="1" s="1"/>
  <c r="F8509" i="1"/>
  <c r="K8509" i="1" s="1"/>
  <c r="F8510" i="1"/>
  <c r="K8510" i="1" s="1"/>
  <c r="F8511" i="1"/>
  <c r="K8511" i="1" s="1"/>
  <c r="F8512" i="1"/>
  <c r="K8512" i="1" s="1"/>
  <c r="F8513" i="1"/>
  <c r="K8513" i="1" s="1"/>
  <c r="F8514" i="1"/>
  <c r="K8514" i="1" s="1"/>
  <c r="F8515" i="1"/>
  <c r="K8515" i="1" s="1"/>
  <c r="F8516" i="1"/>
  <c r="K8516" i="1" s="1"/>
  <c r="F8517" i="1"/>
  <c r="K8517" i="1" s="1"/>
  <c r="F8518" i="1"/>
  <c r="K8518" i="1" s="1"/>
  <c r="F8519" i="1"/>
  <c r="K8519" i="1" s="1"/>
  <c r="F8520" i="1"/>
  <c r="K8520" i="1" s="1"/>
  <c r="F8521" i="1"/>
  <c r="K8521" i="1" s="1"/>
  <c r="F8522" i="1"/>
  <c r="K8522" i="1" s="1"/>
  <c r="F8523" i="1"/>
  <c r="K8523" i="1" s="1"/>
  <c r="F8524" i="1"/>
  <c r="K8524" i="1" s="1"/>
  <c r="F8525" i="1"/>
  <c r="K8525" i="1" s="1"/>
  <c r="F8526" i="1"/>
  <c r="K8526" i="1" s="1"/>
  <c r="F8527" i="1"/>
  <c r="K8527" i="1" s="1"/>
  <c r="F8528" i="1"/>
  <c r="K8528" i="1" s="1"/>
  <c r="F8529" i="1"/>
  <c r="K8529" i="1" s="1"/>
  <c r="F8530" i="1"/>
  <c r="K8530" i="1" s="1"/>
  <c r="F8531" i="1"/>
  <c r="K8531" i="1" s="1"/>
  <c r="F8532" i="1"/>
  <c r="K8532" i="1" s="1"/>
  <c r="F8533" i="1"/>
  <c r="K8533" i="1" s="1"/>
  <c r="F8534" i="1"/>
  <c r="K8534" i="1" s="1"/>
  <c r="F8535" i="1"/>
  <c r="K8535" i="1" s="1"/>
  <c r="F8536" i="1"/>
  <c r="K8536" i="1" s="1"/>
  <c r="F8537" i="1"/>
  <c r="K8537" i="1" s="1"/>
  <c r="F8538" i="1"/>
  <c r="K8538" i="1" s="1"/>
  <c r="F8539" i="1"/>
  <c r="K8539" i="1" s="1"/>
  <c r="F8540" i="1"/>
  <c r="K8540" i="1" s="1"/>
  <c r="F8541" i="1"/>
  <c r="K8541" i="1" s="1"/>
  <c r="F8542" i="1"/>
  <c r="K8542" i="1" s="1"/>
  <c r="F8543" i="1"/>
  <c r="K8543" i="1" s="1"/>
  <c r="F8544" i="1"/>
  <c r="K8544" i="1" s="1"/>
  <c r="F8545" i="1"/>
  <c r="K8545" i="1" s="1"/>
  <c r="F8546" i="1"/>
  <c r="K8546" i="1" s="1"/>
  <c r="F8547" i="1"/>
  <c r="K8547" i="1" s="1"/>
  <c r="F8548" i="1"/>
  <c r="K8548" i="1" s="1"/>
  <c r="F8549" i="1"/>
  <c r="K8549" i="1" s="1"/>
  <c r="F8550" i="1"/>
  <c r="K8550" i="1" s="1"/>
  <c r="F8551" i="1"/>
  <c r="K8551" i="1" s="1"/>
  <c r="F8552" i="1"/>
  <c r="K8552" i="1" s="1"/>
  <c r="F8553" i="1"/>
  <c r="K8553" i="1" s="1"/>
  <c r="F8554" i="1"/>
  <c r="K8554" i="1" s="1"/>
  <c r="F8555" i="1"/>
  <c r="K8555" i="1" s="1"/>
  <c r="F8556" i="1"/>
  <c r="K8556" i="1" s="1"/>
  <c r="F8557" i="1"/>
  <c r="K8557" i="1" s="1"/>
  <c r="F8558" i="1"/>
  <c r="K8558" i="1" s="1"/>
  <c r="F8559" i="1"/>
  <c r="K8559" i="1" s="1"/>
  <c r="F8560" i="1"/>
  <c r="K8560" i="1" s="1"/>
  <c r="F8561" i="1"/>
  <c r="K8561" i="1" s="1"/>
  <c r="F8562" i="1"/>
  <c r="K8562" i="1" s="1"/>
  <c r="F8563" i="1"/>
  <c r="K8563" i="1" s="1"/>
  <c r="F8564" i="1"/>
  <c r="K8564" i="1" s="1"/>
  <c r="F8565" i="1"/>
  <c r="K8565" i="1" s="1"/>
  <c r="F8566" i="1"/>
  <c r="K8566" i="1" s="1"/>
  <c r="F8567" i="1"/>
  <c r="K8567" i="1" s="1"/>
  <c r="F8568" i="1"/>
  <c r="K8568" i="1" s="1"/>
  <c r="F8569" i="1"/>
  <c r="K8569" i="1" s="1"/>
  <c r="F8570" i="1"/>
  <c r="K8570" i="1" s="1"/>
  <c r="F8571" i="1"/>
  <c r="K8571" i="1" s="1"/>
  <c r="F8572" i="1"/>
  <c r="K8572" i="1" s="1"/>
  <c r="F8573" i="1"/>
  <c r="K8573" i="1" s="1"/>
  <c r="F8574" i="1"/>
  <c r="K8574" i="1" s="1"/>
  <c r="F8575" i="1"/>
  <c r="K8575" i="1" s="1"/>
  <c r="F8576" i="1"/>
  <c r="K8576" i="1" s="1"/>
  <c r="F8577" i="1"/>
  <c r="K8577" i="1" s="1"/>
  <c r="F8578" i="1"/>
  <c r="K8578" i="1" s="1"/>
  <c r="F8579" i="1"/>
  <c r="K8579" i="1" s="1"/>
  <c r="F8580" i="1"/>
  <c r="K8580" i="1" s="1"/>
  <c r="F8581" i="1"/>
  <c r="K8581" i="1" s="1"/>
  <c r="F8582" i="1"/>
  <c r="K8582" i="1" s="1"/>
  <c r="F8583" i="1"/>
  <c r="K8583" i="1" s="1"/>
  <c r="F8584" i="1"/>
  <c r="K8584" i="1" s="1"/>
  <c r="F8585" i="1"/>
  <c r="K8585" i="1" s="1"/>
  <c r="F8586" i="1"/>
  <c r="K8586" i="1" s="1"/>
  <c r="F8587" i="1"/>
  <c r="K8587" i="1" s="1"/>
  <c r="F8588" i="1"/>
  <c r="K8588" i="1" s="1"/>
  <c r="F8589" i="1"/>
  <c r="K8589" i="1" s="1"/>
  <c r="F8590" i="1"/>
  <c r="K8590" i="1" s="1"/>
  <c r="F8591" i="1"/>
  <c r="K8591" i="1" s="1"/>
  <c r="F8592" i="1"/>
  <c r="K8592" i="1" s="1"/>
  <c r="F8593" i="1"/>
  <c r="K8593" i="1" s="1"/>
  <c r="F8594" i="1"/>
  <c r="K8594" i="1" s="1"/>
  <c r="F8595" i="1"/>
  <c r="K8595" i="1" s="1"/>
  <c r="F8596" i="1"/>
  <c r="K8596" i="1" s="1"/>
  <c r="F8597" i="1"/>
  <c r="K8597" i="1" s="1"/>
  <c r="F8598" i="1"/>
  <c r="K8598" i="1" s="1"/>
  <c r="F8599" i="1"/>
  <c r="K8599" i="1" s="1"/>
  <c r="F8600" i="1"/>
  <c r="K8600" i="1" s="1"/>
  <c r="F8601" i="1"/>
  <c r="K8601" i="1" s="1"/>
  <c r="F8602" i="1"/>
  <c r="K8602" i="1" s="1"/>
  <c r="F8603" i="1"/>
  <c r="K8603" i="1" s="1"/>
  <c r="F8604" i="1"/>
  <c r="K8604" i="1" s="1"/>
  <c r="F8605" i="1"/>
  <c r="K8605" i="1" s="1"/>
  <c r="F8606" i="1"/>
  <c r="K8606" i="1" s="1"/>
  <c r="F8607" i="1"/>
  <c r="K8607" i="1" s="1"/>
  <c r="F8608" i="1"/>
  <c r="K8608" i="1" s="1"/>
  <c r="F8609" i="1"/>
  <c r="K8609" i="1" s="1"/>
  <c r="F8610" i="1"/>
  <c r="K8610" i="1" s="1"/>
  <c r="F8611" i="1"/>
  <c r="K8611" i="1" s="1"/>
  <c r="F8612" i="1"/>
  <c r="K8612" i="1" s="1"/>
  <c r="F8613" i="1"/>
  <c r="K8613" i="1" s="1"/>
  <c r="F8614" i="1"/>
  <c r="K8614" i="1" s="1"/>
  <c r="F8615" i="1"/>
  <c r="K8615" i="1" s="1"/>
  <c r="F8616" i="1"/>
  <c r="K8616" i="1" s="1"/>
  <c r="F8617" i="1"/>
  <c r="K8617" i="1" s="1"/>
  <c r="F8618" i="1"/>
  <c r="K8618" i="1" s="1"/>
  <c r="F8619" i="1"/>
  <c r="K8619" i="1" s="1"/>
  <c r="F8620" i="1"/>
  <c r="K8620" i="1" s="1"/>
  <c r="F8621" i="1"/>
  <c r="K8621" i="1" s="1"/>
  <c r="F8622" i="1"/>
  <c r="K8622" i="1" s="1"/>
  <c r="F8623" i="1"/>
  <c r="K8623" i="1" s="1"/>
  <c r="F8624" i="1"/>
  <c r="K8624" i="1" s="1"/>
  <c r="F8625" i="1"/>
  <c r="K8625" i="1" s="1"/>
  <c r="F8626" i="1"/>
  <c r="K8626" i="1" s="1"/>
  <c r="F8627" i="1"/>
  <c r="K8627" i="1" s="1"/>
  <c r="F8628" i="1"/>
  <c r="K8628" i="1" s="1"/>
  <c r="F8629" i="1"/>
  <c r="K8629" i="1" s="1"/>
  <c r="F8630" i="1"/>
  <c r="K8630" i="1" s="1"/>
  <c r="F8631" i="1"/>
  <c r="K8631" i="1" s="1"/>
  <c r="F8632" i="1"/>
  <c r="K8632" i="1" s="1"/>
  <c r="F8633" i="1"/>
  <c r="K8633" i="1" s="1"/>
  <c r="F8634" i="1"/>
  <c r="K8634" i="1" s="1"/>
  <c r="F8635" i="1"/>
  <c r="K8635" i="1" s="1"/>
  <c r="F8636" i="1"/>
  <c r="K8636" i="1" s="1"/>
  <c r="F8637" i="1"/>
  <c r="K8637" i="1" s="1"/>
  <c r="F8638" i="1"/>
  <c r="K8638" i="1" s="1"/>
  <c r="F8639" i="1"/>
  <c r="K8639" i="1" s="1"/>
  <c r="F8640" i="1"/>
  <c r="K8640" i="1" s="1"/>
  <c r="F8641" i="1"/>
  <c r="K8641" i="1" s="1"/>
  <c r="F8642" i="1"/>
  <c r="K8642" i="1" s="1"/>
  <c r="F8643" i="1"/>
  <c r="K8643" i="1" s="1"/>
  <c r="F8644" i="1"/>
  <c r="K8644" i="1" s="1"/>
  <c r="F8645" i="1"/>
  <c r="K8645" i="1" s="1"/>
  <c r="F8646" i="1"/>
  <c r="K8646" i="1" s="1"/>
  <c r="F8647" i="1"/>
  <c r="K8647" i="1" s="1"/>
  <c r="F8648" i="1"/>
  <c r="K8648" i="1" s="1"/>
  <c r="F8649" i="1"/>
  <c r="K8649" i="1" s="1"/>
  <c r="F8650" i="1"/>
  <c r="K8650" i="1" s="1"/>
  <c r="F8651" i="1"/>
  <c r="K8651" i="1" s="1"/>
  <c r="F8652" i="1"/>
  <c r="K8652" i="1" s="1"/>
  <c r="F8653" i="1"/>
  <c r="K8653" i="1" s="1"/>
  <c r="F8654" i="1"/>
  <c r="K8654" i="1" s="1"/>
  <c r="F8655" i="1"/>
  <c r="K8655" i="1" s="1"/>
  <c r="F8656" i="1"/>
  <c r="K8656" i="1" s="1"/>
  <c r="F8657" i="1"/>
  <c r="K8657" i="1" s="1"/>
  <c r="F8658" i="1"/>
  <c r="K8658" i="1" s="1"/>
  <c r="F8659" i="1"/>
  <c r="K8659" i="1" s="1"/>
  <c r="F8660" i="1"/>
  <c r="K8660" i="1" s="1"/>
  <c r="F8661" i="1"/>
  <c r="K8661" i="1" s="1"/>
  <c r="F8662" i="1"/>
  <c r="K8662" i="1" s="1"/>
  <c r="F8663" i="1"/>
  <c r="K8663" i="1" s="1"/>
  <c r="F8664" i="1"/>
  <c r="K8664" i="1" s="1"/>
  <c r="F8665" i="1"/>
  <c r="K8665" i="1" s="1"/>
  <c r="F8666" i="1"/>
  <c r="K8666" i="1" s="1"/>
  <c r="F8667" i="1"/>
  <c r="K8667" i="1" s="1"/>
  <c r="F8668" i="1"/>
  <c r="K8668" i="1" s="1"/>
  <c r="F8669" i="1"/>
  <c r="K8669" i="1" s="1"/>
  <c r="F8670" i="1"/>
  <c r="K8670" i="1" s="1"/>
  <c r="F8671" i="1"/>
  <c r="K8671" i="1" s="1"/>
  <c r="F8672" i="1"/>
  <c r="K8672" i="1" s="1"/>
  <c r="F8673" i="1"/>
  <c r="K8673" i="1" s="1"/>
  <c r="F8674" i="1"/>
  <c r="K8674" i="1" s="1"/>
  <c r="F8675" i="1"/>
  <c r="K8675" i="1" s="1"/>
  <c r="F8676" i="1"/>
  <c r="K8676" i="1" s="1"/>
  <c r="F8677" i="1"/>
  <c r="K8677" i="1" s="1"/>
  <c r="F8678" i="1"/>
  <c r="K8678" i="1" s="1"/>
  <c r="F8679" i="1"/>
  <c r="K8679" i="1" s="1"/>
  <c r="F8680" i="1"/>
  <c r="K8680" i="1" s="1"/>
  <c r="F8681" i="1"/>
  <c r="K8681" i="1" s="1"/>
  <c r="F8682" i="1"/>
  <c r="K8682" i="1" s="1"/>
  <c r="F8683" i="1"/>
  <c r="K8683" i="1" s="1"/>
  <c r="F8684" i="1"/>
  <c r="K8684" i="1" s="1"/>
  <c r="F8685" i="1"/>
  <c r="K8685" i="1" s="1"/>
  <c r="F8686" i="1"/>
  <c r="K8686" i="1" s="1"/>
  <c r="F8687" i="1"/>
  <c r="K8687" i="1" s="1"/>
  <c r="F8688" i="1"/>
  <c r="K8688" i="1" s="1"/>
  <c r="F8689" i="1"/>
  <c r="K8689" i="1" s="1"/>
  <c r="F8690" i="1"/>
  <c r="K8690" i="1" s="1"/>
  <c r="F8691" i="1"/>
  <c r="K8691" i="1" s="1"/>
  <c r="F8692" i="1"/>
  <c r="K8692" i="1" s="1"/>
  <c r="F8693" i="1"/>
  <c r="K8693" i="1" s="1"/>
  <c r="F8694" i="1"/>
  <c r="K8694" i="1" s="1"/>
  <c r="F8695" i="1"/>
  <c r="K8695" i="1" s="1"/>
  <c r="F8696" i="1"/>
  <c r="K8696" i="1" s="1"/>
  <c r="F8697" i="1"/>
  <c r="K8697" i="1" s="1"/>
  <c r="F8698" i="1"/>
  <c r="K8698" i="1" s="1"/>
  <c r="F8699" i="1"/>
  <c r="K8699" i="1" s="1"/>
  <c r="F8700" i="1"/>
  <c r="K8700" i="1" s="1"/>
  <c r="F8701" i="1"/>
  <c r="K8701" i="1" s="1"/>
  <c r="F8702" i="1"/>
  <c r="K8702" i="1" s="1"/>
  <c r="F8703" i="1"/>
  <c r="K8703" i="1" s="1"/>
  <c r="F8704" i="1"/>
  <c r="K8704" i="1" s="1"/>
  <c r="F8705" i="1"/>
  <c r="K8705" i="1" s="1"/>
  <c r="F8706" i="1"/>
  <c r="K8706" i="1" s="1"/>
  <c r="F8707" i="1"/>
  <c r="K8707" i="1" s="1"/>
  <c r="F8708" i="1"/>
  <c r="K8708" i="1" s="1"/>
  <c r="F8709" i="1"/>
  <c r="K8709" i="1" s="1"/>
  <c r="F8710" i="1"/>
  <c r="K8710" i="1" s="1"/>
  <c r="F8711" i="1"/>
  <c r="K8711" i="1" s="1"/>
  <c r="F8712" i="1"/>
  <c r="K8712" i="1" s="1"/>
  <c r="F8713" i="1"/>
  <c r="K8713" i="1" s="1"/>
  <c r="F8714" i="1"/>
  <c r="K8714" i="1" s="1"/>
  <c r="F8715" i="1"/>
  <c r="K8715" i="1" s="1"/>
  <c r="F8716" i="1"/>
  <c r="K8716" i="1" s="1"/>
  <c r="F8717" i="1"/>
  <c r="K8717" i="1" s="1"/>
  <c r="F8718" i="1"/>
  <c r="K8718" i="1" s="1"/>
  <c r="F8719" i="1"/>
  <c r="K8719" i="1" s="1"/>
  <c r="F8720" i="1"/>
  <c r="K8720" i="1" s="1"/>
  <c r="F8721" i="1"/>
  <c r="K8721" i="1" s="1"/>
  <c r="F8722" i="1"/>
  <c r="K8722" i="1" s="1"/>
  <c r="F8723" i="1"/>
  <c r="K8723" i="1" s="1"/>
  <c r="F8724" i="1"/>
  <c r="K8724" i="1" s="1"/>
  <c r="F8725" i="1"/>
  <c r="K8725" i="1" s="1"/>
  <c r="F8726" i="1"/>
  <c r="K8726" i="1" s="1"/>
  <c r="F8727" i="1"/>
  <c r="K8727" i="1" s="1"/>
  <c r="F8728" i="1"/>
  <c r="K8728" i="1" s="1"/>
  <c r="F8729" i="1"/>
  <c r="K8729" i="1" s="1"/>
  <c r="F8730" i="1"/>
  <c r="K8730" i="1" s="1"/>
  <c r="F8731" i="1"/>
  <c r="K8731" i="1" s="1"/>
  <c r="F8732" i="1"/>
  <c r="K8732" i="1" s="1"/>
  <c r="F8733" i="1"/>
  <c r="K8733" i="1" s="1"/>
  <c r="F8734" i="1"/>
  <c r="K8734" i="1" s="1"/>
  <c r="F8735" i="1"/>
  <c r="K8735" i="1" s="1"/>
  <c r="F8736" i="1"/>
  <c r="K8736" i="1" s="1"/>
  <c r="F8737" i="1"/>
  <c r="K8737" i="1" s="1"/>
  <c r="F8738" i="1"/>
  <c r="K8738" i="1" s="1"/>
  <c r="F8739" i="1"/>
  <c r="K8739" i="1" s="1"/>
  <c r="F8740" i="1"/>
  <c r="K8740" i="1" s="1"/>
  <c r="F8741" i="1"/>
  <c r="K8741" i="1" s="1"/>
  <c r="F8742" i="1"/>
  <c r="K8742" i="1" s="1"/>
  <c r="F8743" i="1"/>
  <c r="K8743" i="1" s="1"/>
  <c r="F8744" i="1"/>
  <c r="K8744" i="1" s="1"/>
  <c r="F8745" i="1"/>
  <c r="K8745" i="1" s="1"/>
  <c r="F8746" i="1"/>
  <c r="K8746" i="1" s="1"/>
  <c r="F8747" i="1"/>
  <c r="K8747" i="1" s="1"/>
  <c r="F8748" i="1"/>
  <c r="K8748" i="1" s="1"/>
  <c r="F8749" i="1"/>
  <c r="K8749" i="1" s="1"/>
  <c r="F8750" i="1"/>
  <c r="K8750" i="1" s="1"/>
  <c r="F8751" i="1"/>
  <c r="K8751" i="1" s="1"/>
  <c r="F8752" i="1"/>
  <c r="K8752" i="1" s="1"/>
  <c r="F8753" i="1"/>
  <c r="K8753" i="1" s="1"/>
  <c r="F8754" i="1"/>
  <c r="K8754" i="1" s="1"/>
  <c r="F8755" i="1"/>
  <c r="K8755" i="1" s="1"/>
  <c r="F8756" i="1"/>
  <c r="K8756" i="1" s="1"/>
  <c r="F8757" i="1"/>
  <c r="K8757" i="1" s="1"/>
  <c r="F8758" i="1"/>
  <c r="K8758" i="1" s="1"/>
  <c r="F8759" i="1"/>
  <c r="K8759" i="1" s="1"/>
  <c r="F8760" i="1"/>
  <c r="K8760" i="1" s="1"/>
  <c r="F8761" i="1"/>
  <c r="K8761" i="1" s="1"/>
  <c r="F8762" i="1"/>
  <c r="K8762" i="1" s="1"/>
  <c r="F8763" i="1"/>
  <c r="K8763" i="1" s="1"/>
  <c r="F8764" i="1"/>
  <c r="K8764" i="1" s="1"/>
  <c r="F8765" i="1"/>
  <c r="K8765" i="1" s="1"/>
  <c r="F8766" i="1"/>
  <c r="K8766" i="1" s="1"/>
  <c r="F8767" i="1"/>
  <c r="K8767" i="1" s="1"/>
  <c r="F8768" i="1"/>
  <c r="K8768" i="1" s="1"/>
  <c r="F8769" i="1"/>
  <c r="K8769" i="1" s="1"/>
  <c r="F8770" i="1"/>
  <c r="K8770" i="1" s="1"/>
  <c r="F8771" i="1"/>
  <c r="K8771" i="1" s="1"/>
  <c r="F8772" i="1"/>
  <c r="K8772" i="1" s="1"/>
  <c r="F8773" i="1"/>
  <c r="K8773" i="1" s="1"/>
  <c r="F8774" i="1"/>
  <c r="K8774" i="1" s="1"/>
  <c r="F8775" i="1"/>
  <c r="K8775" i="1" s="1"/>
  <c r="F8776" i="1"/>
  <c r="K8776" i="1" s="1"/>
  <c r="F8777" i="1"/>
  <c r="K8777" i="1" s="1"/>
  <c r="F8778" i="1"/>
  <c r="K8778" i="1" s="1"/>
  <c r="F8779" i="1"/>
  <c r="K8779" i="1" s="1"/>
  <c r="F8780" i="1"/>
  <c r="K8780" i="1" s="1"/>
  <c r="F8781" i="1"/>
  <c r="K8781" i="1" s="1"/>
  <c r="F8782" i="1"/>
  <c r="K8782" i="1" s="1"/>
  <c r="F8783" i="1"/>
  <c r="K8783" i="1" s="1"/>
  <c r="F8784" i="1"/>
  <c r="K8784" i="1" s="1"/>
  <c r="F8785" i="1"/>
  <c r="K8785" i="1" s="1"/>
  <c r="F8786" i="1"/>
  <c r="K8786" i="1" s="1"/>
  <c r="F8787" i="1"/>
  <c r="K8787" i="1" s="1"/>
  <c r="F8788" i="1"/>
  <c r="K8788" i="1" s="1"/>
  <c r="F8789" i="1"/>
  <c r="K8789" i="1" s="1"/>
  <c r="F8790" i="1"/>
  <c r="K8790" i="1" s="1"/>
  <c r="F8791" i="1"/>
  <c r="K8791" i="1" s="1"/>
  <c r="F8792" i="1"/>
  <c r="K8792" i="1" s="1"/>
  <c r="F8793" i="1"/>
  <c r="K8793" i="1" s="1"/>
  <c r="F8794" i="1"/>
  <c r="K8794" i="1" s="1"/>
  <c r="F8795" i="1"/>
  <c r="K8795" i="1" s="1"/>
  <c r="F8796" i="1"/>
  <c r="K8796" i="1" s="1"/>
  <c r="F8797" i="1"/>
  <c r="K8797" i="1" s="1"/>
  <c r="F8798" i="1"/>
  <c r="K8798" i="1" s="1"/>
  <c r="F8799" i="1"/>
  <c r="K8799" i="1" s="1"/>
  <c r="F8800" i="1"/>
  <c r="K8800" i="1" s="1"/>
  <c r="F8801" i="1"/>
  <c r="K8801" i="1" s="1"/>
  <c r="F8802" i="1"/>
  <c r="K8802" i="1" s="1"/>
  <c r="F8803" i="1"/>
  <c r="K8803" i="1" s="1"/>
  <c r="F8804" i="1"/>
  <c r="K8804" i="1" s="1"/>
  <c r="F8805" i="1"/>
  <c r="K8805" i="1" s="1"/>
  <c r="F8806" i="1"/>
  <c r="K8806" i="1" s="1"/>
  <c r="F8807" i="1"/>
  <c r="K8807" i="1" s="1"/>
  <c r="F8808" i="1"/>
  <c r="K8808" i="1" s="1"/>
  <c r="F8809" i="1"/>
  <c r="K8809" i="1" s="1"/>
  <c r="F8810" i="1"/>
  <c r="K8810" i="1" s="1"/>
  <c r="F8811" i="1"/>
  <c r="K8811" i="1" s="1"/>
  <c r="F8812" i="1"/>
  <c r="K8812" i="1" s="1"/>
  <c r="F8813" i="1"/>
  <c r="K8813" i="1" s="1"/>
  <c r="F8814" i="1"/>
  <c r="K8814" i="1" s="1"/>
  <c r="F8815" i="1"/>
  <c r="K8815" i="1" s="1"/>
  <c r="F8816" i="1"/>
  <c r="K8816" i="1" s="1"/>
  <c r="F8817" i="1"/>
  <c r="K8817" i="1" s="1"/>
  <c r="F8818" i="1"/>
  <c r="K8818" i="1" s="1"/>
  <c r="F8819" i="1"/>
  <c r="K8819" i="1" s="1"/>
  <c r="F8820" i="1"/>
  <c r="K8820" i="1" s="1"/>
  <c r="F8821" i="1"/>
  <c r="K8821" i="1" s="1"/>
  <c r="F8822" i="1"/>
  <c r="K8822" i="1" s="1"/>
  <c r="F8823" i="1"/>
  <c r="K8823" i="1" s="1"/>
  <c r="F8824" i="1"/>
  <c r="K8824" i="1" s="1"/>
  <c r="F8825" i="1"/>
  <c r="K8825" i="1" s="1"/>
  <c r="F8826" i="1"/>
  <c r="K8826" i="1" s="1"/>
  <c r="F8827" i="1"/>
  <c r="K8827" i="1" s="1"/>
  <c r="F8828" i="1"/>
  <c r="K8828" i="1" s="1"/>
  <c r="F8829" i="1"/>
  <c r="K8829" i="1" s="1"/>
  <c r="F8830" i="1"/>
  <c r="K8830" i="1" s="1"/>
  <c r="F8831" i="1"/>
  <c r="K8831" i="1" s="1"/>
  <c r="F8832" i="1"/>
  <c r="K8832" i="1" s="1"/>
  <c r="F8833" i="1"/>
  <c r="K8833" i="1" s="1"/>
  <c r="F8834" i="1"/>
  <c r="K8834" i="1" s="1"/>
  <c r="F8835" i="1"/>
  <c r="K8835" i="1" s="1"/>
  <c r="F8836" i="1"/>
  <c r="K8836" i="1" s="1"/>
  <c r="F8837" i="1"/>
  <c r="K8837" i="1" s="1"/>
  <c r="F8838" i="1"/>
  <c r="K8838" i="1" s="1"/>
  <c r="F8839" i="1"/>
  <c r="K8839" i="1" s="1"/>
  <c r="F8840" i="1"/>
  <c r="K8840" i="1" s="1"/>
  <c r="F8841" i="1"/>
  <c r="K8841" i="1" s="1"/>
  <c r="F8842" i="1"/>
  <c r="K8842" i="1" s="1"/>
  <c r="F8843" i="1"/>
  <c r="K8843" i="1" s="1"/>
  <c r="F8844" i="1"/>
  <c r="K8844" i="1" s="1"/>
  <c r="F8845" i="1"/>
  <c r="K8845" i="1" s="1"/>
  <c r="F8846" i="1"/>
  <c r="K8846" i="1" s="1"/>
  <c r="F8847" i="1"/>
  <c r="K8847" i="1" s="1"/>
  <c r="F8848" i="1"/>
  <c r="K8848" i="1" s="1"/>
  <c r="F8849" i="1"/>
  <c r="K8849" i="1" s="1"/>
  <c r="F8850" i="1"/>
  <c r="K8850" i="1" s="1"/>
  <c r="F8851" i="1"/>
  <c r="K8851" i="1" s="1"/>
  <c r="F8852" i="1"/>
  <c r="K8852" i="1" s="1"/>
  <c r="F8853" i="1"/>
  <c r="K8853" i="1" s="1"/>
  <c r="F8854" i="1"/>
  <c r="K8854" i="1" s="1"/>
  <c r="F8855" i="1"/>
  <c r="K8855" i="1" s="1"/>
  <c r="F8856" i="1"/>
  <c r="K8856" i="1" s="1"/>
  <c r="F8857" i="1"/>
  <c r="K8857" i="1" s="1"/>
  <c r="F8858" i="1"/>
  <c r="K8858" i="1" s="1"/>
  <c r="F8859" i="1"/>
  <c r="K8859" i="1" s="1"/>
  <c r="F8860" i="1"/>
  <c r="K8860" i="1" s="1"/>
  <c r="F8861" i="1"/>
  <c r="K8861" i="1" s="1"/>
  <c r="F8862" i="1"/>
  <c r="K8862" i="1" s="1"/>
  <c r="F8863" i="1"/>
  <c r="K8863" i="1" s="1"/>
  <c r="F8864" i="1"/>
  <c r="K8864" i="1" s="1"/>
  <c r="F8865" i="1"/>
  <c r="K8865" i="1" s="1"/>
  <c r="F8866" i="1"/>
  <c r="K8866" i="1" s="1"/>
  <c r="F8867" i="1"/>
  <c r="K8867" i="1" s="1"/>
  <c r="F8868" i="1"/>
  <c r="K8868" i="1" s="1"/>
  <c r="F8869" i="1"/>
  <c r="K8869" i="1" s="1"/>
  <c r="F8870" i="1"/>
  <c r="K8870" i="1" s="1"/>
  <c r="F8871" i="1"/>
  <c r="K8871" i="1" s="1"/>
  <c r="F8872" i="1"/>
  <c r="K8872" i="1" s="1"/>
  <c r="F8873" i="1"/>
  <c r="K8873" i="1" s="1"/>
  <c r="F8874" i="1"/>
  <c r="K8874" i="1" s="1"/>
  <c r="F8875" i="1"/>
  <c r="K8875" i="1" s="1"/>
  <c r="F8876" i="1"/>
  <c r="K8876" i="1" s="1"/>
  <c r="F8877" i="1"/>
  <c r="K8877" i="1" s="1"/>
  <c r="F8878" i="1"/>
  <c r="K8878" i="1" s="1"/>
  <c r="F8879" i="1"/>
  <c r="K8879" i="1" s="1"/>
  <c r="F8880" i="1"/>
  <c r="K8880" i="1" s="1"/>
  <c r="F8881" i="1"/>
  <c r="K8881" i="1" s="1"/>
  <c r="F8882" i="1"/>
  <c r="K8882" i="1" s="1"/>
  <c r="F8883" i="1"/>
  <c r="K8883" i="1" s="1"/>
  <c r="F8884" i="1"/>
  <c r="K8884" i="1" s="1"/>
  <c r="F8885" i="1"/>
  <c r="K8885" i="1" s="1"/>
  <c r="F8886" i="1"/>
  <c r="K8886" i="1" s="1"/>
  <c r="F8887" i="1"/>
  <c r="K8887" i="1" s="1"/>
  <c r="F8888" i="1"/>
  <c r="K8888" i="1" s="1"/>
  <c r="F8889" i="1"/>
  <c r="K8889" i="1" s="1"/>
  <c r="F8890" i="1"/>
  <c r="K8890" i="1" s="1"/>
  <c r="F8891" i="1"/>
  <c r="K8891" i="1" s="1"/>
  <c r="F8892" i="1"/>
  <c r="K8892" i="1" s="1"/>
  <c r="F8893" i="1"/>
  <c r="K8893" i="1" s="1"/>
  <c r="F8894" i="1"/>
  <c r="K8894" i="1" s="1"/>
  <c r="F8895" i="1"/>
  <c r="K8895" i="1" s="1"/>
  <c r="F8896" i="1"/>
  <c r="K8896" i="1" s="1"/>
  <c r="F8897" i="1"/>
  <c r="K8897" i="1" s="1"/>
  <c r="F8898" i="1"/>
  <c r="K8898" i="1" s="1"/>
  <c r="F8899" i="1"/>
  <c r="K8899" i="1" s="1"/>
  <c r="F8900" i="1"/>
  <c r="K8900" i="1" s="1"/>
  <c r="F8901" i="1"/>
  <c r="K8901" i="1" s="1"/>
  <c r="F8902" i="1"/>
  <c r="K8902" i="1" s="1"/>
  <c r="F8903" i="1"/>
  <c r="K8903" i="1" s="1"/>
  <c r="F8904" i="1"/>
  <c r="K8904" i="1" s="1"/>
  <c r="F8905" i="1"/>
  <c r="K8905" i="1" s="1"/>
  <c r="F8906" i="1"/>
  <c r="K8906" i="1" s="1"/>
  <c r="F8907" i="1"/>
  <c r="K8907" i="1" s="1"/>
  <c r="F8908" i="1"/>
  <c r="K8908" i="1" s="1"/>
  <c r="F8909" i="1"/>
  <c r="K8909" i="1" s="1"/>
  <c r="F8910" i="1"/>
  <c r="K8910" i="1" s="1"/>
  <c r="F8911" i="1"/>
  <c r="K8911" i="1" s="1"/>
  <c r="F8912" i="1"/>
  <c r="K8912" i="1" s="1"/>
  <c r="F8913" i="1"/>
  <c r="K8913" i="1" s="1"/>
  <c r="F8914" i="1"/>
  <c r="K8914" i="1" s="1"/>
  <c r="F8915" i="1"/>
  <c r="K8915" i="1" s="1"/>
  <c r="F8916" i="1"/>
  <c r="K8916" i="1" s="1"/>
  <c r="F8917" i="1"/>
  <c r="K8917" i="1" s="1"/>
  <c r="F8918" i="1"/>
  <c r="K8918" i="1" s="1"/>
  <c r="F8919" i="1"/>
  <c r="K8919" i="1" s="1"/>
  <c r="F8920" i="1"/>
  <c r="K8920" i="1" s="1"/>
  <c r="F8921" i="1"/>
  <c r="K8921" i="1" s="1"/>
  <c r="F8922" i="1"/>
  <c r="K8922" i="1" s="1"/>
  <c r="F8923" i="1"/>
  <c r="K8923" i="1" s="1"/>
  <c r="F8924" i="1"/>
  <c r="K8924" i="1" s="1"/>
  <c r="F8925" i="1"/>
  <c r="K8925" i="1" s="1"/>
  <c r="F8926" i="1"/>
  <c r="K8926" i="1" s="1"/>
  <c r="F8927" i="1"/>
  <c r="K8927" i="1" s="1"/>
  <c r="F8928" i="1"/>
  <c r="K8928" i="1" s="1"/>
  <c r="F8929" i="1"/>
  <c r="K8929" i="1" s="1"/>
  <c r="F8930" i="1"/>
  <c r="K8930" i="1" s="1"/>
  <c r="F8931" i="1"/>
  <c r="K8931" i="1" s="1"/>
  <c r="F8932" i="1"/>
  <c r="K8932" i="1" s="1"/>
  <c r="F8933" i="1"/>
  <c r="K8933" i="1" s="1"/>
  <c r="F8934" i="1"/>
  <c r="K8934" i="1" s="1"/>
  <c r="F8935" i="1"/>
  <c r="K8935" i="1" s="1"/>
  <c r="F8936" i="1"/>
  <c r="K8936" i="1" s="1"/>
  <c r="F8937" i="1"/>
  <c r="K8937" i="1" s="1"/>
  <c r="F8938" i="1"/>
  <c r="K8938" i="1" s="1"/>
  <c r="F8939" i="1"/>
  <c r="K8939" i="1" s="1"/>
  <c r="F8940" i="1"/>
  <c r="K8940" i="1" s="1"/>
  <c r="F8941" i="1"/>
  <c r="K8941" i="1" s="1"/>
  <c r="F8942" i="1"/>
  <c r="K8942" i="1" s="1"/>
  <c r="F8943" i="1"/>
  <c r="K8943" i="1" s="1"/>
  <c r="F8944" i="1"/>
  <c r="K8944" i="1" s="1"/>
  <c r="F8945" i="1"/>
  <c r="K8945" i="1" s="1"/>
  <c r="F8946" i="1"/>
  <c r="K8946" i="1" s="1"/>
  <c r="F8947" i="1"/>
  <c r="K8947" i="1" s="1"/>
  <c r="F8948" i="1"/>
  <c r="K8948" i="1" s="1"/>
  <c r="F8949" i="1"/>
  <c r="K8949" i="1" s="1"/>
  <c r="F8950" i="1"/>
  <c r="K8950" i="1" s="1"/>
  <c r="F8951" i="1"/>
  <c r="K8951" i="1" s="1"/>
  <c r="F8952" i="1"/>
  <c r="K8952" i="1" s="1"/>
  <c r="F8953" i="1"/>
  <c r="K8953" i="1" s="1"/>
  <c r="F8954" i="1"/>
  <c r="K8954" i="1" s="1"/>
  <c r="F8955" i="1"/>
  <c r="K8955" i="1" s="1"/>
  <c r="F8956" i="1"/>
  <c r="K8956" i="1" s="1"/>
  <c r="F8957" i="1"/>
  <c r="K8957" i="1" s="1"/>
  <c r="F8958" i="1"/>
  <c r="K8958" i="1" s="1"/>
  <c r="F8959" i="1"/>
  <c r="K8959" i="1" s="1"/>
  <c r="F8960" i="1"/>
  <c r="K8960" i="1" s="1"/>
  <c r="F8961" i="1"/>
  <c r="K8961" i="1" s="1"/>
  <c r="F8962" i="1"/>
  <c r="K8962" i="1" s="1"/>
  <c r="F8963" i="1"/>
  <c r="K8963" i="1" s="1"/>
  <c r="F8964" i="1"/>
  <c r="K8964" i="1" s="1"/>
  <c r="F8965" i="1"/>
  <c r="K8965" i="1" s="1"/>
  <c r="F8966" i="1"/>
  <c r="K8966" i="1" s="1"/>
  <c r="F8967" i="1"/>
  <c r="K8967" i="1" s="1"/>
  <c r="F8968" i="1"/>
  <c r="K8968" i="1" s="1"/>
  <c r="F8969" i="1"/>
  <c r="K8969" i="1" s="1"/>
  <c r="F8970" i="1"/>
  <c r="K8970" i="1" s="1"/>
  <c r="F8971" i="1"/>
  <c r="K8971" i="1" s="1"/>
  <c r="F8972" i="1"/>
  <c r="K8972" i="1" s="1"/>
  <c r="F8973" i="1"/>
  <c r="K8973" i="1" s="1"/>
  <c r="F8974" i="1"/>
  <c r="K8974" i="1" s="1"/>
  <c r="F8975" i="1"/>
  <c r="K8975" i="1" s="1"/>
  <c r="F8976" i="1"/>
  <c r="K8976" i="1" s="1"/>
  <c r="F8977" i="1"/>
  <c r="K8977" i="1" s="1"/>
  <c r="F8978" i="1"/>
  <c r="K8978" i="1" s="1"/>
  <c r="F8979" i="1"/>
  <c r="K8979" i="1" s="1"/>
  <c r="F8980" i="1"/>
  <c r="K8980" i="1" s="1"/>
  <c r="F8981" i="1"/>
  <c r="K8981" i="1" s="1"/>
  <c r="F8982" i="1"/>
  <c r="K8982" i="1" s="1"/>
  <c r="F8983" i="1"/>
  <c r="K8983" i="1" s="1"/>
  <c r="F8984" i="1"/>
  <c r="K8984" i="1" s="1"/>
  <c r="F8985" i="1"/>
  <c r="K8985" i="1" s="1"/>
  <c r="F8986" i="1"/>
  <c r="K8986" i="1" s="1"/>
  <c r="F8987" i="1"/>
  <c r="K8987" i="1" s="1"/>
  <c r="F8988" i="1"/>
  <c r="K8988" i="1" s="1"/>
  <c r="F8989" i="1"/>
  <c r="K8989" i="1" s="1"/>
  <c r="F8990" i="1"/>
  <c r="K8990" i="1" s="1"/>
  <c r="F8991" i="1"/>
  <c r="K8991" i="1" s="1"/>
  <c r="F8992" i="1"/>
  <c r="K8992" i="1" s="1"/>
  <c r="F8993" i="1"/>
  <c r="K8993" i="1" s="1"/>
  <c r="F8994" i="1"/>
  <c r="K8994" i="1" s="1"/>
  <c r="F8995" i="1"/>
  <c r="K8995" i="1" s="1"/>
  <c r="F8996" i="1"/>
  <c r="K8996" i="1" s="1"/>
  <c r="F8997" i="1"/>
  <c r="K8997" i="1" s="1"/>
  <c r="F8998" i="1"/>
  <c r="K8998" i="1" s="1"/>
  <c r="F8999" i="1"/>
  <c r="K8999" i="1" s="1"/>
  <c r="F9000" i="1"/>
  <c r="K9000" i="1" s="1"/>
  <c r="F9001" i="1"/>
  <c r="K9001" i="1" s="1"/>
  <c r="F9002" i="1"/>
  <c r="K9002" i="1" s="1"/>
  <c r="F9003" i="1"/>
  <c r="K9003" i="1" s="1"/>
  <c r="F9004" i="1"/>
  <c r="K9004" i="1" s="1"/>
  <c r="F9005" i="1"/>
  <c r="K9005" i="1" s="1"/>
  <c r="F9006" i="1"/>
  <c r="K9006" i="1" s="1"/>
  <c r="F9007" i="1"/>
  <c r="K9007" i="1" s="1"/>
  <c r="F9008" i="1"/>
  <c r="K9008" i="1" s="1"/>
  <c r="F9009" i="1"/>
  <c r="K9009" i="1" s="1"/>
  <c r="F9010" i="1"/>
  <c r="K9010" i="1" s="1"/>
  <c r="F9011" i="1"/>
  <c r="K9011" i="1" s="1"/>
  <c r="F9012" i="1"/>
  <c r="K9012" i="1" s="1"/>
  <c r="F9013" i="1"/>
  <c r="K9013" i="1" s="1"/>
  <c r="F9014" i="1"/>
  <c r="K9014" i="1" s="1"/>
  <c r="F9015" i="1"/>
  <c r="K9015" i="1" s="1"/>
  <c r="F9016" i="1"/>
  <c r="K9016" i="1" s="1"/>
  <c r="F9017" i="1"/>
  <c r="K9017" i="1" s="1"/>
  <c r="F9018" i="1"/>
  <c r="K9018" i="1" s="1"/>
  <c r="F9019" i="1"/>
  <c r="K9019" i="1" s="1"/>
  <c r="F9020" i="1"/>
  <c r="K9020" i="1" s="1"/>
  <c r="F9021" i="1"/>
  <c r="K9021" i="1" s="1"/>
  <c r="F9022" i="1"/>
  <c r="K9022" i="1" s="1"/>
  <c r="F9023" i="1"/>
  <c r="K9023" i="1" s="1"/>
  <c r="F9024" i="1"/>
  <c r="K9024" i="1" s="1"/>
  <c r="F9025" i="1"/>
  <c r="K9025" i="1" s="1"/>
  <c r="F9026" i="1"/>
  <c r="K9026" i="1" s="1"/>
  <c r="F9027" i="1"/>
  <c r="K9027" i="1" s="1"/>
  <c r="F9028" i="1"/>
  <c r="K9028" i="1" s="1"/>
  <c r="F9029" i="1"/>
  <c r="K9029" i="1" s="1"/>
  <c r="F9030" i="1"/>
  <c r="K9030" i="1" s="1"/>
  <c r="F9031" i="1"/>
  <c r="K9031" i="1" s="1"/>
  <c r="F9032" i="1"/>
  <c r="K9032" i="1" s="1"/>
  <c r="F9033" i="1"/>
  <c r="K9033" i="1" s="1"/>
  <c r="F9034" i="1"/>
  <c r="K9034" i="1" s="1"/>
  <c r="F9035" i="1"/>
  <c r="K9035" i="1" s="1"/>
  <c r="F9036" i="1"/>
  <c r="K9036" i="1" s="1"/>
  <c r="F9037" i="1"/>
  <c r="K9037" i="1" s="1"/>
  <c r="F9038" i="1"/>
  <c r="K9038" i="1" s="1"/>
  <c r="F9039" i="1"/>
  <c r="K9039" i="1" s="1"/>
  <c r="F9040" i="1"/>
  <c r="K9040" i="1" s="1"/>
  <c r="F9041" i="1"/>
  <c r="K9041" i="1" s="1"/>
  <c r="F9042" i="1"/>
  <c r="K9042" i="1" s="1"/>
  <c r="F9043" i="1"/>
  <c r="K9043" i="1" s="1"/>
  <c r="F9044" i="1"/>
  <c r="K9044" i="1" s="1"/>
  <c r="F9045" i="1"/>
  <c r="K9045" i="1" s="1"/>
  <c r="F9046" i="1"/>
  <c r="K9046" i="1" s="1"/>
  <c r="F9047" i="1"/>
  <c r="K9047" i="1" s="1"/>
  <c r="F9048" i="1"/>
  <c r="K9048" i="1" s="1"/>
  <c r="F9049" i="1"/>
  <c r="K9049" i="1" s="1"/>
  <c r="F9050" i="1"/>
  <c r="K9050" i="1" s="1"/>
  <c r="F9051" i="1"/>
  <c r="K9051" i="1" s="1"/>
  <c r="F9052" i="1"/>
  <c r="K9052" i="1" s="1"/>
  <c r="F9053" i="1"/>
  <c r="K9053" i="1" s="1"/>
  <c r="F9054" i="1"/>
  <c r="K9054" i="1" s="1"/>
  <c r="F9055" i="1"/>
  <c r="K9055" i="1" s="1"/>
  <c r="F9056" i="1"/>
  <c r="K9056" i="1" s="1"/>
  <c r="F9057" i="1"/>
  <c r="K9057" i="1" s="1"/>
  <c r="F9058" i="1"/>
  <c r="K9058" i="1" s="1"/>
  <c r="F9059" i="1"/>
  <c r="K9059" i="1" s="1"/>
  <c r="F9060" i="1"/>
  <c r="K9060" i="1" s="1"/>
  <c r="F9061" i="1"/>
  <c r="K9061" i="1" s="1"/>
  <c r="F9062" i="1"/>
  <c r="K9062" i="1" s="1"/>
  <c r="F9063" i="1"/>
  <c r="K9063" i="1" s="1"/>
  <c r="F9064" i="1"/>
  <c r="K9064" i="1" s="1"/>
  <c r="F9065" i="1"/>
  <c r="K9065" i="1" s="1"/>
  <c r="F9066" i="1"/>
  <c r="K9066" i="1" s="1"/>
  <c r="F9067" i="1"/>
  <c r="K9067" i="1" s="1"/>
  <c r="F9068" i="1"/>
  <c r="K9068" i="1" s="1"/>
  <c r="F9069" i="1"/>
  <c r="K9069" i="1" s="1"/>
  <c r="F9070" i="1"/>
  <c r="K9070" i="1" s="1"/>
  <c r="F9071" i="1"/>
  <c r="K9071" i="1" s="1"/>
  <c r="F9072" i="1"/>
  <c r="K9072" i="1" s="1"/>
  <c r="F9073" i="1"/>
  <c r="K9073" i="1" s="1"/>
  <c r="F9074" i="1"/>
  <c r="K9074" i="1" s="1"/>
  <c r="F9075" i="1"/>
  <c r="K9075" i="1" s="1"/>
  <c r="F9076" i="1"/>
  <c r="K9076" i="1" s="1"/>
  <c r="F9077" i="1"/>
  <c r="K9077" i="1" s="1"/>
  <c r="F9078" i="1"/>
  <c r="K9078" i="1" s="1"/>
  <c r="F9079" i="1"/>
  <c r="K9079" i="1" s="1"/>
  <c r="F9080" i="1"/>
  <c r="K9080" i="1" s="1"/>
  <c r="F9081" i="1"/>
  <c r="K9081" i="1" s="1"/>
  <c r="F9082" i="1"/>
  <c r="K9082" i="1" s="1"/>
  <c r="F9083" i="1"/>
  <c r="K9083" i="1" s="1"/>
  <c r="F9084" i="1"/>
  <c r="K9084" i="1" s="1"/>
  <c r="F9085" i="1"/>
  <c r="K9085" i="1" s="1"/>
  <c r="F9086" i="1"/>
  <c r="K9086" i="1" s="1"/>
  <c r="F9087" i="1"/>
  <c r="K9087" i="1" s="1"/>
  <c r="F9088" i="1"/>
  <c r="K9088" i="1" s="1"/>
  <c r="F9089" i="1"/>
  <c r="K9089" i="1" s="1"/>
  <c r="F9090" i="1"/>
  <c r="K9090" i="1" s="1"/>
  <c r="F9091" i="1"/>
  <c r="K9091" i="1" s="1"/>
  <c r="F9092" i="1"/>
  <c r="K9092" i="1" s="1"/>
  <c r="F9093" i="1"/>
  <c r="K9093" i="1" s="1"/>
  <c r="F9094" i="1"/>
  <c r="K9094" i="1" s="1"/>
  <c r="F9095" i="1"/>
  <c r="K9095" i="1" s="1"/>
  <c r="F9096" i="1"/>
  <c r="K9096" i="1" s="1"/>
  <c r="F9097" i="1"/>
  <c r="K9097" i="1" s="1"/>
  <c r="F9098" i="1"/>
  <c r="K9098" i="1" s="1"/>
  <c r="F9099" i="1"/>
  <c r="K9099" i="1" s="1"/>
  <c r="F9100" i="1"/>
  <c r="K9100" i="1" s="1"/>
  <c r="F9101" i="1"/>
  <c r="K9101" i="1" s="1"/>
  <c r="F9102" i="1"/>
  <c r="K9102" i="1" s="1"/>
  <c r="F9103" i="1"/>
  <c r="K9103" i="1" s="1"/>
  <c r="F9104" i="1"/>
  <c r="K9104" i="1" s="1"/>
  <c r="F9105" i="1"/>
  <c r="K9105" i="1" s="1"/>
  <c r="F9106" i="1"/>
  <c r="K9106" i="1" s="1"/>
  <c r="F9107" i="1"/>
  <c r="K9107" i="1" s="1"/>
  <c r="F9108" i="1"/>
  <c r="K9108" i="1" s="1"/>
  <c r="F9109" i="1"/>
  <c r="K9109" i="1" s="1"/>
  <c r="F9110" i="1"/>
  <c r="K9110" i="1" s="1"/>
  <c r="F9111" i="1"/>
  <c r="K9111" i="1" s="1"/>
  <c r="F9112" i="1"/>
  <c r="K9112" i="1" s="1"/>
  <c r="F9113" i="1"/>
  <c r="K9113" i="1" s="1"/>
  <c r="F9114" i="1"/>
  <c r="K9114" i="1" s="1"/>
  <c r="F9115" i="1"/>
  <c r="K9115" i="1" s="1"/>
  <c r="F9116" i="1"/>
  <c r="K9116" i="1" s="1"/>
  <c r="F9117" i="1"/>
  <c r="K9117" i="1" s="1"/>
  <c r="F9118" i="1"/>
  <c r="K9118" i="1" s="1"/>
  <c r="F9119" i="1"/>
  <c r="K9119" i="1" s="1"/>
  <c r="F9120" i="1"/>
  <c r="K9120" i="1" s="1"/>
  <c r="F9121" i="1"/>
  <c r="K9121" i="1" s="1"/>
  <c r="F9122" i="1"/>
  <c r="K9122" i="1" s="1"/>
  <c r="F9123" i="1"/>
  <c r="K9123" i="1" s="1"/>
  <c r="F9124" i="1"/>
  <c r="K9124" i="1" s="1"/>
  <c r="F9125" i="1"/>
  <c r="K9125" i="1" s="1"/>
  <c r="F9126" i="1"/>
  <c r="K9126" i="1" s="1"/>
  <c r="F9127" i="1"/>
  <c r="K9127" i="1" s="1"/>
  <c r="F9128" i="1"/>
  <c r="K9128" i="1" s="1"/>
  <c r="F9129" i="1"/>
  <c r="K9129" i="1" s="1"/>
  <c r="F9130" i="1"/>
  <c r="K9130" i="1" s="1"/>
  <c r="F9131" i="1"/>
  <c r="K9131" i="1" s="1"/>
  <c r="F9132" i="1"/>
  <c r="K9132" i="1" s="1"/>
  <c r="F9133" i="1"/>
  <c r="K9133" i="1" s="1"/>
  <c r="F9134" i="1"/>
  <c r="K9134" i="1" s="1"/>
  <c r="F9135" i="1"/>
  <c r="K9135" i="1" s="1"/>
  <c r="F9136" i="1"/>
  <c r="K9136" i="1" s="1"/>
  <c r="F9137" i="1"/>
  <c r="K9137" i="1" s="1"/>
  <c r="F9138" i="1"/>
  <c r="K9138" i="1" s="1"/>
  <c r="F9139" i="1"/>
  <c r="K9139" i="1" s="1"/>
  <c r="F9140" i="1"/>
  <c r="K9140" i="1" s="1"/>
  <c r="F9141" i="1"/>
  <c r="K9141" i="1" s="1"/>
  <c r="F9142" i="1"/>
  <c r="K9142" i="1" s="1"/>
  <c r="F9143" i="1"/>
  <c r="K9143" i="1" s="1"/>
  <c r="F9144" i="1"/>
  <c r="K9144" i="1" s="1"/>
  <c r="F9145" i="1"/>
  <c r="K9145" i="1" s="1"/>
  <c r="F9146" i="1"/>
  <c r="K9146" i="1" s="1"/>
  <c r="F9147" i="1"/>
  <c r="K9147" i="1" s="1"/>
  <c r="F9148" i="1"/>
  <c r="K9148" i="1" s="1"/>
  <c r="F9149" i="1"/>
  <c r="K9149" i="1" s="1"/>
  <c r="F9150" i="1"/>
  <c r="K9150" i="1" s="1"/>
  <c r="F9151" i="1"/>
  <c r="K9151" i="1" s="1"/>
  <c r="F9152" i="1"/>
  <c r="K9152" i="1" s="1"/>
  <c r="F9153" i="1"/>
  <c r="K9153" i="1" s="1"/>
  <c r="F9154" i="1"/>
  <c r="K9154" i="1" s="1"/>
  <c r="F9155" i="1"/>
  <c r="K9155" i="1" s="1"/>
  <c r="F9156" i="1"/>
  <c r="K9156" i="1" s="1"/>
  <c r="F9157" i="1"/>
  <c r="K9157" i="1" s="1"/>
  <c r="F9158" i="1"/>
  <c r="K9158" i="1" s="1"/>
  <c r="F9159" i="1"/>
  <c r="K9159" i="1" s="1"/>
  <c r="F9160" i="1"/>
  <c r="K9160" i="1" s="1"/>
  <c r="F9161" i="1"/>
  <c r="K9161" i="1" s="1"/>
  <c r="F9162" i="1"/>
  <c r="K9162" i="1" s="1"/>
  <c r="F9163" i="1"/>
  <c r="K9163" i="1" s="1"/>
  <c r="F9164" i="1"/>
  <c r="K9164" i="1" s="1"/>
  <c r="F9165" i="1"/>
  <c r="K9165" i="1" s="1"/>
  <c r="F9166" i="1"/>
  <c r="K9166" i="1" s="1"/>
  <c r="F9167" i="1"/>
  <c r="K9167" i="1" s="1"/>
  <c r="F9168" i="1"/>
  <c r="K9168" i="1" s="1"/>
  <c r="F9169" i="1"/>
  <c r="K9169" i="1" s="1"/>
  <c r="F9170" i="1"/>
  <c r="K9170" i="1" s="1"/>
  <c r="F9171" i="1"/>
  <c r="K9171" i="1" s="1"/>
  <c r="F9172" i="1"/>
  <c r="K9172" i="1" s="1"/>
  <c r="F9173" i="1"/>
  <c r="K9173" i="1" s="1"/>
  <c r="F9174" i="1"/>
  <c r="K9174" i="1" s="1"/>
  <c r="F9175" i="1"/>
  <c r="K9175" i="1" s="1"/>
  <c r="F9176" i="1"/>
  <c r="K9176" i="1" s="1"/>
  <c r="F9177" i="1"/>
  <c r="K9177" i="1" s="1"/>
  <c r="F9178" i="1"/>
  <c r="K9178" i="1" s="1"/>
  <c r="F9179" i="1"/>
  <c r="K9179" i="1" s="1"/>
  <c r="F9180" i="1"/>
  <c r="K9180" i="1" s="1"/>
  <c r="F9181" i="1"/>
  <c r="K9181" i="1" s="1"/>
  <c r="F9182" i="1"/>
  <c r="K9182" i="1" s="1"/>
  <c r="F9183" i="1"/>
  <c r="K9183" i="1" s="1"/>
  <c r="F9184" i="1"/>
  <c r="K9184" i="1" s="1"/>
  <c r="F9185" i="1"/>
  <c r="K9185" i="1" s="1"/>
  <c r="F9186" i="1"/>
  <c r="K9186" i="1" s="1"/>
  <c r="F9187" i="1"/>
  <c r="K9187" i="1" s="1"/>
  <c r="F9188" i="1"/>
  <c r="K9188" i="1" s="1"/>
  <c r="F9189" i="1"/>
  <c r="K9189" i="1" s="1"/>
  <c r="F9190" i="1"/>
  <c r="K9190" i="1" s="1"/>
  <c r="F9191" i="1"/>
  <c r="K9191" i="1" s="1"/>
  <c r="F9192" i="1"/>
  <c r="K9192" i="1" s="1"/>
  <c r="F9193" i="1"/>
  <c r="K9193" i="1" s="1"/>
  <c r="F9194" i="1"/>
  <c r="K9194" i="1" s="1"/>
  <c r="F9195" i="1"/>
  <c r="K9195" i="1" s="1"/>
  <c r="F9196" i="1"/>
  <c r="K9196" i="1" s="1"/>
  <c r="F9197" i="1"/>
  <c r="K9197" i="1" s="1"/>
  <c r="F9198" i="1"/>
  <c r="K9198" i="1" s="1"/>
  <c r="F9199" i="1"/>
  <c r="K9199" i="1" s="1"/>
  <c r="F9200" i="1"/>
  <c r="K9200" i="1" s="1"/>
  <c r="F9201" i="1"/>
  <c r="K9201" i="1" s="1"/>
  <c r="F9202" i="1"/>
  <c r="K9202" i="1" s="1"/>
  <c r="F9203" i="1"/>
  <c r="K9203" i="1" s="1"/>
  <c r="F9204" i="1"/>
  <c r="K9204" i="1" s="1"/>
  <c r="F9205" i="1"/>
  <c r="K9205" i="1" s="1"/>
  <c r="F9206" i="1"/>
  <c r="K9206" i="1" s="1"/>
  <c r="F9207" i="1"/>
  <c r="K9207" i="1" s="1"/>
  <c r="F9208" i="1"/>
  <c r="K9208" i="1" s="1"/>
  <c r="F9209" i="1"/>
  <c r="K9209" i="1" s="1"/>
  <c r="F9210" i="1"/>
  <c r="K9210" i="1" s="1"/>
  <c r="F9211" i="1"/>
  <c r="K9211" i="1" s="1"/>
  <c r="F9212" i="1"/>
  <c r="K9212" i="1" s="1"/>
  <c r="F9213" i="1"/>
  <c r="K9213" i="1" s="1"/>
  <c r="F9214" i="1"/>
  <c r="K9214" i="1" s="1"/>
  <c r="F9215" i="1"/>
  <c r="K9215" i="1" s="1"/>
  <c r="F9216" i="1"/>
  <c r="K9216" i="1" s="1"/>
  <c r="F9217" i="1"/>
  <c r="K9217" i="1" s="1"/>
  <c r="F9218" i="1"/>
  <c r="K9218" i="1" s="1"/>
  <c r="F9219" i="1"/>
  <c r="K9219" i="1" s="1"/>
  <c r="F9220" i="1"/>
  <c r="K9220" i="1" s="1"/>
  <c r="F9221" i="1"/>
  <c r="K9221" i="1" s="1"/>
  <c r="F9222" i="1"/>
  <c r="K9222" i="1" s="1"/>
  <c r="F9223" i="1"/>
  <c r="K9223" i="1" s="1"/>
  <c r="F9224" i="1"/>
  <c r="K9224" i="1" s="1"/>
  <c r="F9225" i="1"/>
  <c r="K9225" i="1" s="1"/>
  <c r="F9226" i="1"/>
  <c r="K9226" i="1" s="1"/>
  <c r="F9227" i="1"/>
  <c r="K9227" i="1" s="1"/>
  <c r="F9228" i="1"/>
  <c r="K9228" i="1" s="1"/>
  <c r="F9229" i="1"/>
  <c r="K9229" i="1" s="1"/>
  <c r="F9230" i="1"/>
  <c r="K9230" i="1" s="1"/>
  <c r="F9231" i="1"/>
  <c r="K9231" i="1" s="1"/>
  <c r="F9232" i="1"/>
  <c r="K9232" i="1" s="1"/>
  <c r="F9233" i="1"/>
  <c r="K9233" i="1" s="1"/>
  <c r="F9234" i="1"/>
  <c r="K9234" i="1" s="1"/>
  <c r="F9235" i="1"/>
  <c r="K9235" i="1" s="1"/>
  <c r="F9236" i="1"/>
  <c r="K9236" i="1" s="1"/>
  <c r="F9237" i="1"/>
  <c r="K9237" i="1" s="1"/>
  <c r="F9238" i="1"/>
  <c r="K9238" i="1" s="1"/>
  <c r="F9239" i="1"/>
  <c r="K9239" i="1" s="1"/>
  <c r="F9240" i="1"/>
  <c r="K9240" i="1" s="1"/>
  <c r="F9241" i="1"/>
  <c r="K9241" i="1" s="1"/>
  <c r="F9242" i="1"/>
  <c r="K9242" i="1" s="1"/>
  <c r="F9243" i="1"/>
  <c r="K9243" i="1" s="1"/>
  <c r="F9244" i="1"/>
  <c r="K9244" i="1" s="1"/>
  <c r="F9245" i="1"/>
  <c r="K9245" i="1" s="1"/>
  <c r="F9246" i="1"/>
  <c r="K9246" i="1" s="1"/>
  <c r="F9247" i="1"/>
  <c r="K9247" i="1" s="1"/>
  <c r="F9248" i="1"/>
  <c r="K9248" i="1" s="1"/>
  <c r="F9249" i="1"/>
  <c r="K9249" i="1" s="1"/>
  <c r="F9250" i="1"/>
  <c r="K9250" i="1" s="1"/>
  <c r="F9251" i="1"/>
  <c r="K9251" i="1" s="1"/>
  <c r="F9252" i="1"/>
  <c r="K9252" i="1" s="1"/>
  <c r="F9253" i="1"/>
  <c r="K9253" i="1" s="1"/>
  <c r="F9254" i="1"/>
  <c r="K9254" i="1" s="1"/>
  <c r="F9255" i="1"/>
  <c r="K9255" i="1" s="1"/>
  <c r="F9256" i="1"/>
  <c r="K9256" i="1" s="1"/>
  <c r="F9257" i="1"/>
  <c r="K9257" i="1" s="1"/>
  <c r="F9258" i="1"/>
  <c r="K9258" i="1" s="1"/>
  <c r="F9259" i="1"/>
  <c r="K9259" i="1" s="1"/>
  <c r="F9260" i="1"/>
  <c r="K9260" i="1" s="1"/>
  <c r="F9261" i="1"/>
  <c r="K9261" i="1" s="1"/>
  <c r="F9262" i="1"/>
  <c r="K9262" i="1" s="1"/>
  <c r="F9263" i="1"/>
  <c r="K9263" i="1" s="1"/>
  <c r="F9264" i="1"/>
  <c r="K9264" i="1" s="1"/>
  <c r="F9265" i="1"/>
  <c r="K9265" i="1" s="1"/>
  <c r="F9266" i="1"/>
  <c r="K9266" i="1" s="1"/>
  <c r="F9267" i="1"/>
  <c r="K9267" i="1" s="1"/>
  <c r="F9268" i="1"/>
  <c r="K9268" i="1" s="1"/>
  <c r="F9269" i="1"/>
  <c r="K9269" i="1" s="1"/>
  <c r="F9270" i="1"/>
  <c r="K9270" i="1" s="1"/>
  <c r="F9271" i="1"/>
  <c r="K9271" i="1" s="1"/>
  <c r="F9272" i="1"/>
  <c r="K9272" i="1" s="1"/>
  <c r="F9273" i="1"/>
  <c r="K9273" i="1" s="1"/>
  <c r="F9274" i="1"/>
  <c r="K9274" i="1" s="1"/>
  <c r="F9275" i="1"/>
  <c r="K9275" i="1" s="1"/>
  <c r="F9276" i="1"/>
  <c r="K9276" i="1" s="1"/>
  <c r="F9277" i="1"/>
  <c r="K9277" i="1" s="1"/>
  <c r="F9278" i="1"/>
  <c r="K9278" i="1" s="1"/>
  <c r="F9279" i="1"/>
  <c r="K9279" i="1" s="1"/>
  <c r="F9280" i="1"/>
  <c r="K9280" i="1" s="1"/>
  <c r="F9281" i="1"/>
  <c r="K9281" i="1" s="1"/>
  <c r="F9282" i="1"/>
  <c r="K9282" i="1" s="1"/>
  <c r="F9283" i="1"/>
  <c r="K9283" i="1" s="1"/>
  <c r="F9284" i="1"/>
  <c r="K9284" i="1" s="1"/>
  <c r="F9285" i="1"/>
  <c r="K9285" i="1" s="1"/>
  <c r="F9286" i="1"/>
  <c r="K9286" i="1" s="1"/>
  <c r="F9287" i="1"/>
  <c r="K9287" i="1" s="1"/>
  <c r="F9288" i="1"/>
  <c r="K9288" i="1" s="1"/>
  <c r="F9289" i="1"/>
  <c r="K9289" i="1" s="1"/>
  <c r="F9290" i="1"/>
  <c r="K9290" i="1" s="1"/>
  <c r="F9291" i="1"/>
  <c r="K9291" i="1" s="1"/>
  <c r="F9292" i="1"/>
  <c r="K9292" i="1" s="1"/>
  <c r="F9293" i="1"/>
  <c r="K9293" i="1" s="1"/>
  <c r="F9294" i="1"/>
  <c r="K9294" i="1" s="1"/>
  <c r="F9295" i="1"/>
  <c r="K9295" i="1" s="1"/>
  <c r="F9296" i="1"/>
  <c r="K9296" i="1" s="1"/>
  <c r="F9297" i="1"/>
  <c r="K9297" i="1" s="1"/>
  <c r="F9298" i="1"/>
  <c r="K9298" i="1" s="1"/>
  <c r="F9299" i="1"/>
  <c r="K9299" i="1" s="1"/>
  <c r="F9300" i="1"/>
  <c r="K9300" i="1" s="1"/>
  <c r="F9301" i="1"/>
  <c r="K9301" i="1" s="1"/>
  <c r="F9302" i="1"/>
  <c r="K9302" i="1" s="1"/>
  <c r="F9303" i="1"/>
  <c r="K9303" i="1" s="1"/>
  <c r="F9304" i="1"/>
  <c r="K9304" i="1" s="1"/>
  <c r="F9305" i="1"/>
  <c r="K9305" i="1" s="1"/>
  <c r="F9306" i="1"/>
  <c r="K9306" i="1" s="1"/>
  <c r="F9307" i="1"/>
  <c r="K9307" i="1" s="1"/>
  <c r="F9308" i="1"/>
  <c r="K9308" i="1" s="1"/>
  <c r="F9309" i="1"/>
  <c r="K9309" i="1" s="1"/>
  <c r="F9310" i="1"/>
  <c r="K9310" i="1" s="1"/>
  <c r="F9311" i="1"/>
  <c r="K9311" i="1" s="1"/>
  <c r="F9312" i="1"/>
  <c r="K9312" i="1" s="1"/>
  <c r="F9313" i="1"/>
  <c r="K9313" i="1" s="1"/>
  <c r="F9314" i="1"/>
  <c r="K9314" i="1" s="1"/>
  <c r="F9315" i="1"/>
  <c r="K9315" i="1" s="1"/>
  <c r="F9316" i="1"/>
  <c r="K9316" i="1" s="1"/>
  <c r="F9317" i="1"/>
  <c r="K9317" i="1" s="1"/>
  <c r="F9318" i="1"/>
  <c r="K9318" i="1" s="1"/>
  <c r="F9319" i="1"/>
  <c r="K9319" i="1" s="1"/>
  <c r="F9320" i="1"/>
  <c r="K9320" i="1" s="1"/>
  <c r="F9321" i="1"/>
  <c r="K9321" i="1" s="1"/>
  <c r="F9322" i="1"/>
  <c r="K9322" i="1" s="1"/>
  <c r="F9323" i="1"/>
  <c r="K9323" i="1" s="1"/>
  <c r="F9324" i="1"/>
  <c r="K9324" i="1" s="1"/>
  <c r="F9325" i="1"/>
  <c r="K9325" i="1" s="1"/>
  <c r="F9326" i="1"/>
  <c r="K9326" i="1" s="1"/>
  <c r="F9327" i="1"/>
  <c r="K9327" i="1" s="1"/>
  <c r="F9328" i="1"/>
  <c r="K9328" i="1" s="1"/>
  <c r="F9329" i="1"/>
  <c r="K9329" i="1" s="1"/>
  <c r="F9330" i="1"/>
  <c r="K9330" i="1" s="1"/>
  <c r="F9331" i="1"/>
  <c r="K9331" i="1" s="1"/>
  <c r="F9332" i="1"/>
  <c r="K9332" i="1" s="1"/>
  <c r="F9333" i="1"/>
  <c r="K9333" i="1" s="1"/>
  <c r="F9334" i="1"/>
  <c r="K9334" i="1" s="1"/>
  <c r="F9335" i="1"/>
  <c r="K9335" i="1" s="1"/>
  <c r="F9336" i="1"/>
  <c r="K9336" i="1" s="1"/>
  <c r="F9337" i="1"/>
  <c r="K9337" i="1" s="1"/>
  <c r="F9338" i="1"/>
  <c r="K9338" i="1" s="1"/>
  <c r="F9339" i="1"/>
  <c r="K9339" i="1" s="1"/>
  <c r="F9340" i="1"/>
  <c r="K9340" i="1" s="1"/>
  <c r="F9341" i="1"/>
  <c r="K9341" i="1" s="1"/>
  <c r="F9342" i="1"/>
  <c r="K9342" i="1" s="1"/>
  <c r="F9343" i="1"/>
  <c r="K9343" i="1" s="1"/>
  <c r="F9344" i="1"/>
  <c r="K9344" i="1" s="1"/>
  <c r="F9345" i="1"/>
  <c r="K9345" i="1" s="1"/>
  <c r="F9346" i="1"/>
  <c r="K9346" i="1" s="1"/>
  <c r="F9347" i="1"/>
  <c r="K9347" i="1" s="1"/>
  <c r="F9348" i="1"/>
  <c r="K9348" i="1" s="1"/>
  <c r="F9349" i="1"/>
  <c r="K9349" i="1" s="1"/>
  <c r="F9350" i="1"/>
  <c r="K9350" i="1" s="1"/>
  <c r="F9351" i="1"/>
  <c r="K9351" i="1" s="1"/>
  <c r="F9352" i="1"/>
  <c r="K9352" i="1" s="1"/>
  <c r="F9353" i="1"/>
  <c r="K9353" i="1" s="1"/>
  <c r="F9354" i="1"/>
  <c r="K9354" i="1" s="1"/>
  <c r="F9355" i="1"/>
  <c r="K9355" i="1" s="1"/>
  <c r="F9356" i="1"/>
  <c r="K9356" i="1" s="1"/>
  <c r="F9357" i="1"/>
  <c r="K9357" i="1" s="1"/>
  <c r="F9358" i="1"/>
  <c r="K9358" i="1" s="1"/>
  <c r="F9359" i="1"/>
  <c r="K9359" i="1" s="1"/>
  <c r="F9360" i="1"/>
  <c r="K9360" i="1" s="1"/>
  <c r="F9361" i="1"/>
  <c r="K9361" i="1" s="1"/>
  <c r="F9362" i="1"/>
  <c r="K9362" i="1" s="1"/>
  <c r="F9363" i="1"/>
  <c r="K9363" i="1" s="1"/>
  <c r="F9364" i="1"/>
  <c r="K9364" i="1" s="1"/>
  <c r="F9365" i="1"/>
  <c r="K9365" i="1" s="1"/>
  <c r="F9366" i="1"/>
  <c r="K9366" i="1" s="1"/>
  <c r="F9367" i="1"/>
  <c r="K9367" i="1" s="1"/>
  <c r="F9368" i="1"/>
  <c r="K9368" i="1" s="1"/>
  <c r="F9369" i="1"/>
  <c r="K9369" i="1" s="1"/>
  <c r="F9370" i="1"/>
  <c r="K9370" i="1" s="1"/>
  <c r="F9371" i="1"/>
  <c r="K9371" i="1" s="1"/>
  <c r="F9372" i="1"/>
  <c r="K9372" i="1" s="1"/>
  <c r="F9373" i="1"/>
  <c r="K9373" i="1" s="1"/>
  <c r="F9374" i="1"/>
  <c r="K9374" i="1" s="1"/>
  <c r="F9375" i="1"/>
  <c r="K9375" i="1" s="1"/>
  <c r="F9376" i="1"/>
  <c r="K9376" i="1" s="1"/>
  <c r="F9377" i="1"/>
  <c r="K9377" i="1" s="1"/>
  <c r="F9378" i="1"/>
  <c r="K9378" i="1" s="1"/>
  <c r="F9379" i="1"/>
  <c r="K9379" i="1" s="1"/>
  <c r="F9380" i="1"/>
  <c r="K9380" i="1" s="1"/>
  <c r="F9381" i="1"/>
  <c r="K9381" i="1" s="1"/>
  <c r="F9382" i="1"/>
  <c r="K9382" i="1" s="1"/>
  <c r="F9383" i="1"/>
  <c r="K9383" i="1" s="1"/>
  <c r="F9384" i="1"/>
  <c r="K9384" i="1" s="1"/>
  <c r="F9385" i="1"/>
  <c r="K9385" i="1" s="1"/>
  <c r="F9386" i="1"/>
  <c r="K9386" i="1" s="1"/>
  <c r="F9387" i="1"/>
  <c r="K9387" i="1" s="1"/>
  <c r="F9388" i="1"/>
  <c r="K9388" i="1" s="1"/>
  <c r="F9389" i="1"/>
  <c r="K9389" i="1" s="1"/>
  <c r="F9390" i="1"/>
  <c r="K9390" i="1" s="1"/>
  <c r="F9391" i="1"/>
  <c r="K9391" i="1" s="1"/>
  <c r="F9392" i="1"/>
  <c r="K9392" i="1" s="1"/>
  <c r="F9393" i="1"/>
  <c r="K9393" i="1" s="1"/>
  <c r="F9394" i="1"/>
  <c r="K9394" i="1" s="1"/>
  <c r="F9395" i="1"/>
  <c r="K9395" i="1" s="1"/>
  <c r="F9396" i="1"/>
  <c r="K9396" i="1" s="1"/>
  <c r="F9397" i="1"/>
  <c r="K9397" i="1" s="1"/>
  <c r="F9398" i="1"/>
  <c r="K9398" i="1" s="1"/>
  <c r="F9399" i="1"/>
  <c r="K9399" i="1" s="1"/>
  <c r="F9400" i="1"/>
  <c r="K9400" i="1" s="1"/>
  <c r="F9401" i="1"/>
  <c r="K9401" i="1" s="1"/>
  <c r="F9402" i="1"/>
  <c r="K9402" i="1" s="1"/>
  <c r="F9403" i="1"/>
  <c r="K9403" i="1" s="1"/>
  <c r="F9404" i="1"/>
  <c r="K9404" i="1" s="1"/>
  <c r="F9405" i="1"/>
  <c r="K9405" i="1" s="1"/>
  <c r="F9406" i="1"/>
  <c r="K9406" i="1" s="1"/>
  <c r="F9407" i="1"/>
  <c r="K9407" i="1" s="1"/>
  <c r="F9408" i="1"/>
  <c r="K9408" i="1" s="1"/>
  <c r="F9409" i="1"/>
  <c r="K9409" i="1" s="1"/>
  <c r="F9410" i="1"/>
  <c r="K9410" i="1" s="1"/>
  <c r="F9411" i="1"/>
  <c r="K9411" i="1" s="1"/>
  <c r="F9412" i="1"/>
  <c r="K9412" i="1" s="1"/>
  <c r="F9413" i="1"/>
  <c r="K9413" i="1" s="1"/>
  <c r="F9414" i="1"/>
  <c r="K9414" i="1" s="1"/>
  <c r="F9415" i="1"/>
  <c r="K9415" i="1" s="1"/>
  <c r="F9416" i="1"/>
  <c r="K9416" i="1" s="1"/>
  <c r="F9417" i="1"/>
  <c r="K9417" i="1" s="1"/>
  <c r="F9418" i="1"/>
  <c r="K9418" i="1" s="1"/>
  <c r="F9419" i="1"/>
  <c r="K9419" i="1" s="1"/>
  <c r="F9420" i="1"/>
  <c r="K9420" i="1" s="1"/>
  <c r="F9421" i="1"/>
  <c r="K9421" i="1" s="1"/>
  <c r="F9422" i="1"/>
  <c r="K9422" i="1" s="1"/>
  <c r="F9423" i="1"/>
  <c r="K9423" i="1" s="1"/>
  <c r="F9424" i="1"/>
  <c r="K9424" i="1" s="1"/>
  <c r="F9425" i="1"/>
  <c r="K9425" i="1" s="1"/>
  <c r="F9426" i="1"/>
  <c r="K9426" i="1" s="1"/>
  <c r="F9427" i="1"/>
  <c r="K9427" i="1" s="1"/>
  <c r="F9428" i="1"/>
  <c r="K9428" i="1" s="1"/>
  <c r="F9429" i="1"/>
  <c r="K9429" i="1" s="1"/>
  <c r="F9430" i="1"/>
  <c r="K9430" i="1" s="1"/>
  <c r="F9431" i="1"/>
  <c r="K9431" i="1" s="1"/>
  <c r="F9432" i="1"/>
  <c r="K9432" i="1" s="1"/>
  <c r="F9433" i="1"/>
  <c r="K9433" i="1" s="1"/>
  <c r="F9434" i="1"/>
  <c r="K9434" i="1" s="1"/>
  <c r="F9435" i="1"/>
  <c r="K9435" i="1" s="1"/>
  <c r="F9436" i="1"/>
  <c r="K9436" i="1" s="1"/>
  <c r="F9437" i="1"/>
  <c r="K9437" i="1" s="1"/>
  <c r="F9438" i="1"/>
  <c r="K9438" i="1" s="1"/>
  <c r="F9439" i="1"/>
  <c r="K9439" i="1" s="1"/>
  <c r="F9440" i="1"/>
  <c r="K9440" i="1" s="1"/>
  <c r="F9441" i="1"/>
  <c r="K9441" i="1" s="1"/>
  <c r="F9442" i="1"/>
  <c r="K9442" i="1" s="1"/>
  <c r="F9443" i="1"/>
  <c r="K9443" i="1" s="1"/>
  <c r="F9444" i="1"/>
  <c r="K9444" i="1" s="1"/>
  <c r="F9445" i="1"/>
  <c r="K9445" i="1" s="1"/>
  <c r="F9446" i="1"/>
  <c r="K9446" i="1" s="1"/>
  <c r="F9447" i="1"/>
  <c r="K9447" i="1" s="1"/>
  <c r="F9448" i="1"/>
  <c r="K9448" i="1" s="1"/>
  <c r="F9449" i="1"/>
  <c r="K9449" i="1" s="1"/>
  <c r="F9450" i="1"/>
  <c r="K9450" i="1" s="1"/>
  <c r="F9451" i="1"/>
  <c r="K9451" i="1" s="1"/>
  <c r="F9452" i="1"/>
  <c r="K9452" i="1" s="1"/>
  <c r="F9453" i="1"/>
  <c r="K9453" i="1" s="1"/>
  <c r="F9454" i="1"/>
  <c r="K9454" i="1" s="1"/>
  <c r="F9455" i="1"/>
  <c r="K9455" i="1" s="1"/>
  <c r="F9456" i="1"/>
  <c r="K9456" i="1" s="1"/>
  <c r="F9457" i="1"/>
  <c r="K9457" i="1" s="1"/>
  <c r="F9458" i="1"/>
  <c r="K9458" i="1" s="1"/>
  <c r="F9459" i="1"/>
  <c r="K9459" i="1" s="1"/>
  <c r="F9460" i="1"/>
  <c r="K9460" i="1" s="1"/>
  <c r="F9461" i="1"/>
  <c r="K9461" i="1" s="1"/>
  <c r="F9462" i="1"/>
  <c r="K9462" i="1" s="1"/>
  <c r="F9463" i="1"/>
  <c r="K9463" i="1" s="1"/>
  <c r="F9464" i="1"/>
  <c r="K9464" i="1" s="1"/>
  <c r="F9465" i="1"/>
  <c r="K9465" i="1" s="1"/>
  <c r="F9466" i="1"/>
  <c r="K9466" i="1" s="1"/>
  <c r="F9467" i="1"/>
  <c r="K9467" i="1" s="1"/>
  <c r="F9468" i="1"/>
  <c r="K9468" i="1" s="1"/>
  <c r="F9469" i="1"/>
  <c r="K9469" i="1" s="1"/>
  <c r="F9470" i="1"/>
  <c r="K9470" i="1" s="1"/>
  <c r="F9471" i="1"/>
  <c r="K9471" i="1" s="1"/>
  <c r="F9472" i="1"/>
  <c r="K9472" i="1" s="1"/>
  <c r="F9473" i="1"/>
  <c r="K9473" i="1" s="1"/>
  <c r="F9474" i="1"/>
  <c r="K9474" i="1" s="1"/>
  <c r="F9475" i="1"/>
  <c r="K9475" i="1" s="1"/>
  <c r="F9476" i="1"/>
  <c r="K9476" i="1" s="1"/>
  <c r="F9477" i="1"/>
  <c r="K9477" i="1" s="1"/>
  <c r="F9478" i="1"/>
  <c r="K9478" i="1" s="1"/>
  <c r="F9479" i="1"/>
  <c r="K9479" i="1" s="1"/>
  <c r="F9480" i="1"/>
  <c r="K9480" i="1" s="1"/>
  <c r="F9481" i="1"/>
  <c r="K9481" i="1" s="1"/>
  <c r="F9482" i="1"/>
  <c r="K9482" i="1" s="1"/>
  <c r="F9483" i="1"/>
  <c r="K9483" i="1" s="1"/>
  <c r="F9484" i="1"/>
  <c r="K9484" i="1" s="1"/>
  <c r="F9485" i="1"/>
  <c r="K9485" i="1" s="1"/>
  <c r="F9486" i="1"/>
  <c r="K9486" i="1" s="1"/>
  <c r="F9487" i="1"/>
  <c r="K9487" i="1" s="1"/>
  <c r="F9488" i="1"/>
  <c r="K9488" i="1" s="1"/>
  <c r="F9489" i="1"/>
  <c r="K9489" i="1" s="1"/>
  <c r="F9490" i="1"/>
  <c r="K9490" i="1" s="1"/>
  <c r="F9491" i="1"/>
  <c r="K9491" i="1" s="1"/>
  <c r="F9492" i="1"/>
  <c r="K9492" i="1" s="1"/>
  <c r="F9493" i="1"/>
  <c r="K9493" i="1" s="1"/>
  <c r="F9494" i="1"/>
  <c r="K9494" i="1" s="1"/>
  <c r="F9495" i="1"/>
  <c r="K9495" i="1" s="1"/>
  <c r="F9496" i="1"/>
  <c r="K9496" i="1" s="1"/>
  <c r="F9497" i="1"/>
  <c r="K9497" i="1" s="1"/>
  <c r="F9498" i="1"/>
  <c r="K9498" i="1" s="1"/>
  <c r="F9499" i="1"/>
  <c r="K9499" i="1" s="1"/>
  <c r="F9500" i="1"/>
  <c r="K9500" i="1" s="1"/>
  <c r="F9501" i="1"/>
  <c r="K9501" i="1" s="1"/>
  <c r="F9502" i="1"/>
  <c r="K9502" i="1" s="1"/>
  <c r="F9503" i="1"/>
  <c r="K9503" i="1" s="1"/>
  <c r="F9504" i="1"/>
  <c r="K9504" i="1" s="1"/>
  <c r="F9505" i="1"/>
  <c r="K9505" i="1" s="1"/>
  <c r="F9506" i="1"/>
  <c r="K9506" i="1" s="1"/>
  <c r="F9507" i="1"/>
  <c r="K9507" i="1" s="1"/>
  <c r="F9508" i="1"/>
  <c r="K9508" i="1" s="1"/>
  <c r="F9509" i="1"/>
  <c r="K9509" i="1" s="1"/>
  <c r="F9510" i="1"/>
  <c r="K9510" i="1" s="1"/>
  <c r="F9511" i="1"/>
  <c r="K9511" i="1" s="1"/>
  <c r="F9512" i="1"/>
  <c r="K9512" i="1" s="1"/>
  <c r="F9513" i="1"/>
  <c r="K9513" i="1" s="1"/>
  <c r="F9514" i="1"/>
  <c r="K9514" i="1" s="1"/>
  <c r="F9515" i="1"/>
  <c r="K9515" i="1" s="1"/>
  <c r="F9516" i="1"/>
  <c r="K9516" i="1" s="1"/>
  <c r="F9517" i="1"/>
  <c r="K9517" i="1" s="1"/>
  <c r="F9518" i="1"/>
  <c r="K9518" i="1" s="1"/>
  <c r="F9519" i="1"/>
  <c r="K9519" i="1" s="1"/>
  <c r="F9520" i="1"/>
  <c r="K9520" i="1" s="1"/>
  <c r="F9521" i="1"/>
  <c r="K9521" i="1" s="1"/>
  <c r="F9522" i="1"/>
  <c r="K9522" i="1" s="1"/>
  <c r="F9523" i="1"/>
  <c r="K9523" i="1" s="1"/>
  <c r="F9524" i="1"/>
  <c r="K9524" i="1" s="1"/>
  <c r="F9525" i="1"/>
  <c r="K9525" i="1" s="1"/>
  <c r="F9526" i="1"/>
  <c r="K9526" i="1" s="1"/>
  <c r="F9527" i="1"/>
  <c r="K9527" i="1" s="1"/>
  <c r="F9528" i="1"/>
  <c r="K9528" i="1" s="1"/>
  <c r="F9529" i="1"/>
  <c r="K9529" i="1" s="1"/>
  <c r="F9530" i="1"/>
  <c r="K9530" i="1" s="1"/>
  <c r="F9531" i="1"/>
  <c r="K9531" i="1" s="1"/>
  <c r="F9532" i="1"/>
  <c r="K9532" i="1" s="1"/>
  <c r="F9533" i="1"/>
  <c r="K9533" i="1" s="1"/>
  <c r="F9534" i="1"/>
  <c r="K9534" i="1" s="1"/>
  <c r="F9535" i="1"/>
  <c r="K9535" i="1" s="1"/>
  <c r="F9536" i="1"/>
  <c r="K9536" i="1" s="1"/>
  <c r="F9537" i="1"/>
  <c r="K9537" i="1" s="1"/>
  <c r="F9538" i="1"/>
  <c r="K9538" i="1" s="1"/>
  <c r="F9539" i="1"/>
  <c r="K9539" i="1" s="1"/>
  <c r="F9540" i="1"/>
  <c r="K9540" i="1" s="1"/>
  <c r="F9541" i="1"/>
  <c r="K9541" i="1" s="1"/>
  <c r="F9542" i="1"/>
  <c r="K9542" i="1" s="1"/>
  <c r="F9543" i="1"/>
  <c r="K9543" i="1" s="1"/>
  <c r="F9544" i="1"/>
  <c r="K9544" i="1" s="1"/>
  <c r="F9545" i="1"/>
  <c r="K9545" i="1" s="1"/>
  <c r="F9546" i="1"/>
  <c r="K9546" i="1" s="1"/>
  <c r="F9547" i="1"/>
  <c r="K9547" i="1" s="1"/>
  <c r="F9548" i="1"/>
  <c r="K9548" i="1" s="1"/>
  <c r="F9549" i="1"/>
  <c r="K9549" i="1" s="1"/>
  <c r="F9550" i="1"/>
  <c r="K9550" i="1" s="1"/>
  <c r="F9551" i="1"/>
  <c r="K9551" i="1" s="1"/>
  <c r="F9552" i="1"/>
  <c r="K9552" i="1" s="1"/>
  <c r="F9553" i="1"/>
  <c r="K9553" i="1" s="1"/>
  <c r="F9554" i="1"/>
  <c r="K9554" i="1" s="1"/>
  <c r="F9555" i="1"/>
  <c r="K9555" i="1" s="1"/>
  <c r="F9556" i="1"/>
  <c r="K9556" i="1" s="1"/>
  <c r="F9557" i="1"/>
  <c r="K9557" i="1" s="1"/>
  <c r="F9558" i="1"/>
  <c r="K9558" i="1" s="1"/>
  <c r="F9559" i="1"/>
  <c r="K9559" i="1" s="1"/>
  <c r="F9560" i="1"/>
  <c r="K9560" i="1" s="1"/>
  <c r="F9561" i="1"/>
  <c r="K9561" i="1" s="1"/>
  <c r="F9562" i="1"/>
  <c r="K9562" i="1" s="1"/>
  <c r="F9563" i="1"/>
  <c r="K9563" i="1" s="1"/>
  <c r="F9564" i="1"/>
  <c r="K9564" i="1" s="1"/>
  <c r="F9565" i="1"/>
  <c r="K9565" i="1" s="1"/>
  <c r="F9566" i="1"/>
  <c r="K9566" i="1" s="1"/>
  <c r="F9567" i="1"/>
  <c r="K9567" i="1" s="1"/>
  <c r="F9568" i="1"/>
  <c r="K9568" i="1" s="1"/>
  <c r="F9569" i="1"/>
  <c r="K9569" i="1" s="1"/>
  <c r="F9570" i="1"/>
  <c r="K9570" i="1" s="1"/>
  <c r="F9571" i="1"/>
  <c r="K9571" i="1" s="1"/>
  <c r="F9572" i="1"/>
  <c r="K9572" i="1" s="1"/>
  <c r="F9573" i="1"/>
  <c r="K9573" i="1" s="1"/>
  <c r="F9574" i="1"/>
  <c r="K9574" i="1" s="1"/>
  <c r="F9575" i="1"/>
  <c r="K9575" i="1" s="1"/>
  <c r="F9576" i="1"/>
  <c r="K9576" i="1" s="1"/>
  <c r="F9577" i="1"/>
  <c r="K9577" i="1" s="1"/>
  <c r="F9578" i="1"/>
  <c r="K9578" i="1" s="1"/>
  <c r="F9579" i="1"/>
  <c r="K9579" i="1" s="1"/>
  <c r="F9580" i="1"/>
  <c r="K9580" i="1" s="1"/>
  <c r="F9581" i="1"/>
  <c r="K9581" i="1" s="1"/>
  <c r="F9582" i="1"/>
  <c r="K9582" i="1" s="1"/>
  <c r="F9583" i="1"/>
  <c r="K9583" i="1" s="1"/>
  <c r="F9584" i="1"/>
  <c r="K9584" i="1" s="1"/>
  <c r="F9585" i="1"/>
  <c r="K9585" i="1" s="1"/>
  <c r="F9586" i="1"/>
  <c r="K9586" i="1" s="1"/>
  <c r="F9587" i="1"/>
  <c r="K9587" i="1" s="1"/>
  <c r="F9588" i="1"/>
  <c r="K9588" i="1" s="1"/>
  <c r="F9589" i="1"/>
  <c r="K9589" i="1" s="1"/>
  <c r="F9590" i="1"/>
  <c r="K9590" i="1" s="1"/>
  <c r="F9591" i="1"/>
  <c r="K9591" i="1" s="1"/>
  <c r="F9592" i="1"/>
  <c r="K9592" i="1" s="1"/>
  <c r="F9593" i="1"/>
  <c r="K9593" i="1" s="1"/>
  <c r="F9594" i="1"/>
  <c r="K9594" i="1" s="1"/>
  <c r="F9595" i="1"/>
  <c r="K9595" i="1" s="1"/>
  <c r="F9596" i="1"/>
  <c r="K9596" i="1" s="1"/>
  <c r="F9597" i="1"/>
  <c r="K9597" i="1" s="1"/>
  <c r="F9598" i="1"/>
  <c r="K9598" i="1" s="1"/>
  <c r="F9599" i="1"/>
  <c r="K9599" i="1" s="1"/>
  <c r="F9600" i="1"/>
  <c r="K9600" i="1" s="1"/>
  <c r="F9601" i="1"/>
  <c r="K9601" i="1" s="1"/>
  <c r="F9602" i="1"/>
  <c r="K9602" i="1" s="1"/>
  <c r="F9603" i="1"/>
  <c r="K9603" i="1" s="1"/>
  <c r="F9604" i="1"/>
  <c r="K9604" i="1" s="1"/>
  <c r="F9605" i="1"/>
  <c r="K9605" i="1" s="1"/>
  <c r="F9606" i="1"/>
  <c r="K9606" i="1" s="1"/>
  <c r="F9607" i="1"/>
  <c r="K9607" i="1" s="1"/>
  <c r="F9608" i="1"/>
  <c r="K9608" i="1" s="1"/>
  <c r="F9609" i="1"/>
  <c r="K9609" i="1" s="1"/>
  <c r="F9610" i="1"/>
  <c r="K9610" i="1" s="1"/>
  <c r="F9611" i="1"/>
  <c r="K9611" i="1" s="1"/>
  <c r="F9612" i="1"/>
  <c r="K9612" i="1" s="1"/>
  <c r="F9613" i="1"/>
  <c r="K9613" i="1" s="1"/>
  <c r="F9614" i="1"/>
  <c r="K9614" i="1" s="1"/>
  <c r="F9615" i="1"/>
  <c r="K9615" i="1" s="1"/>
  <c r="F9616" i="1"/>
  <c r="K9616" i="1" s="1"/>
  <c r="F9617" i="1"/>
  <c r="K9617" i="1" s="1"/>
  <c r="F9618" i="1"/>
  <c r="K9618" i="1" s="1"/>
  <c r="F9619" i="1"/>
  <c r="K9619" i="1" s="1"/>
  <c r="F9620" i="1"/>
  <c r="K9620" i="1" s="1"/>
  <c r="F9621" i="1"/>
  <c r="K9621" i="1" s="1"/>
  <c r="F9622" i="1"/>
  <c r="K9622" i="1" s="1"/>
  <c r="F9623" i="1"/>
  <c r="K9623" i="1" s="1"/>
  <c r="F9624" i="1"/>
  <c r="K9624" i="1" s="1"/>
  <c r="F9625" i="1"/>
  <c r="K9625" i="1" s="1"/>
  <c r="F9626" i="1"/>
  <c r="K9626" i="1" s="1"/>
  <c r="F9627" i="1"/>
  <c r="K9627" i="1" s="1"/>
  <c r="F9628" i="1"/>
  <c r="K9628" i="1" s="1"/>
  <c r="F9629" i="1"/>
  <c r="K9629" i="1" s="1"/>
  <c r="F9630" i="1"/>
  <c r="K9630" i="1" s="1"/>
  <c r="F9631" i="1"/>
  <c r="K9631" i="1" s="1"/>
  <c r="F9632" i="1"/>
  <c r="K9632" i="1" s="1"/>
  <c r="F9633" i="1"/>
  <c r="K9633" i="1" s="1"/>
  <c r="F9634" i="1"/>
  <c r="K9634" i="1" s="1"/>
  <c r="F9635" i="1"/>
  <c r="K9635" i="1" s="1"/>
  <c r="F9636" i="1"/>
  <c r="K9636" i="1" s="1"/>
  <c r="F9637" i="1"/>
  <c r="K9637" i="1" s="1"/>
  <c r="F9638" i="1"/>
  <c r="K9638" i="1" s="1"/>
  <c r="F9639" i="1"/>
  <c r="K9639" i="1" s="1"/>
  <c r="F9640" i="1"/>
  <c r="K9640" i="1" s="1"/>
  <c r="F9641" i="1"/>
  <c r="K9641" i="1" s="1"/>
  <c r="F9642" i="1"/>
  <c r="K9642" i="1" s="1"/>
  <c r="F9643" i="1"/>
  <c r="K9643" i="1" s="1"/>
  <c r="F9644" i="1"/>
  <c r="K9644" i="1" s="1"/>
  <c r="F9645" i="1"/>
  <c r="K9645" i="1" s="1"/>
  <c r="F9646" i="1"/>
  <c r="K9646" i="1" s="1"/>
  <c r="F9647" i="1"/>
  <c r="K9647" i="1" s="1"/>
  <c r="F9648" i="1"/>
  <c r="K9648" i="1" s="1"/>
  <c r="F9649" i="1"/>
  <c r="K9649" i="1" s="1"/>
  <c r="F9650" i="1"/>
  <c r="K9650" i="1" s="1"/>
  <c r="F9651" i="1"/>
  <c r="K9651" i="1" s="1"/>
  <c r="F9652" i="1"/>
  <c r="K9652" i="1" s="1"/>
  <c r="F9653" i="1"/>
  <c r="K9653" i="1" s="1"/>
  <c r="F9654" i="1"/>
  <c r="K9654" i="1" s="1"/>
  <c r="F9655" i="1"/>
  <c r="K9655" i="1" s="1"/>
  <c r="F9656" i="1"/>
  <c r="K9656" i="1" s="1"/>
  <c r="F9657" i="1"/>
  <c r="K9657" i="1" s="1"/>
  <c r="F9658" i="1"/>
  <c r="K9658" i="1" s="1"/>
  <c r="F9659" i="1"/>
  <c r="K9659" i="1" s="1"/>
  <c r="F9660" i="1"/>
  <c r="K9660" i="1" s="1"/>
  <c r="F9661" i="1"/>
  <c r="K9661" i="1" s="1"/>
  <c r="F9662" i="1"/>
  <c r="K9662" i="1" s="1"/>
  <c r="F9663" i="1"/>
  <c r="K9663" i="1" s="1"/>
  <c r="F9664" i="1"/>
  <c r="K9664" i="1" s="1"/>
  <c r="F9665" i="1"/>
  <c r="K9665" i="1" s="1"/>
  <c r="F9666" i="1"/>
  <c r="K9666" i="1" s="1"/>
  <c r="F9667" i="1"/>
  <c r="K9667" i="1" s="1"/>
  <c r="F9668" i="1"/>
  <c r="K9668" i="1" s="1"/>
  <c r="F9669" i="1"/>
  <c r="K9669" i="1" s="1"/>
  <c r="F9670" i="1"/>
  <c r="K9670" i="1" s="1"/>
  <c r="F9671" i="1"/>
  <c r="K9671" i="1" s="1"/>
  <c r="F9672" i="1"/>
  <c r="K9672" i="1" s="1"/>
  <c r="F9673" i="1"/>
  <c r="K9673" i="1" s="1"/>
  <c r="F9674" i="1"/>
  <c r="K9674" i="1" s="1"/>
  <c r="F9675" i="1"/>
  <c r="K9675" i="1" s="1"/>
  <c r="F9676" i="1"/>
  <c r="K9676" i="1" s="1"/>
  <c r="F9677" i="1"/>
  <c r="K9677" i="1" s="1"/>
  <c r="F9678" i="1"/>
  <c r="K9678" i="1" s="1"/>
  <c r="F9679" i="1"/>
  <c r="K9679" i="1" s="1"/>
  <c r="F9680" i="1"/>
  <c r="K9680" i="1" s="1"/>
  <c r="F9681" i="1"/>
  <c r="K9681" i="1" s="1"/>
  <c r="F9682" i="1"/>
  <c r="K9682" i="1" s="1"/>
  <c r="F9683" i="1"/>
  <c r="K9683" i="1" s="1"/>
  <c r="F9684" i="1"/>
  <c r="K9684" i="1" s="1"/>
  <c r="F9685" i="1"/>
  <c r="K9685" i="1" s="1"/>
  <c r="F9686" i="1"/>
  <c r="K9686" i="1" s="1"/>
  <c r="F9687" i="1"/>
  <c r="K9687" i="1" s="1"/>
  <c r="F9688" i="1"/>
  <c r="K9688" i="1" s="1"/>
  <c r="F9689" i="1"/>
  <c r="K9689" i="1" s="1"/>
  <c r="F9690" i="1"/>
  <c r="K9690" i="1" s="1"/>
  <c r="F9691" i="1"/>
  <c r="K9691" i="1" s="1"/>
  <c r="F9692" i="1"/>
  <c r="K9692" i="1" s="1"/>
  <c r="F9693" i="1"/>
  <c r="K9693" i="1" s="1"/>
  <c r="F9694" i="1"/>
  <c r="K9694" i="1" s="1"/>
  <c r="F9695" i="1"/>
  <c r="K9695" i="1" s="1"/>
  <c r="F9696" i="1"/>
  <c r="K9696" i="1" s="1"/>
  <c r="F9697" i="1"/>
  <c r="K9697" i="1" s="1"/>
  <c r="F9698" i="1"/>
  <c r="K9698" i="1" s="1"/>
  <c r="F9699" i="1"/>
  <c r="K9699" i="1" s="1"/>
  <c r="F9700" i="1"/>
  <c r="K9700" i="1" s="1"/>
  <c r="F9701" i="1"/>
  <c r="K9701" i="1" s="1"/>
  <c r="F9702" i="1"/>
  <c r="K9702" i="1" s="1"/>
  <c r="F9703" i="1"/>
  <c r="K9703" i="1" s="1"/>
  <c r="F9704" i="1"/>
  <c r="K9704" i="1" s="1"/>
  <c r="F9705" i="1"/>
  <c r="K9705" i="1" s="1"/>
  <c r="F9706" i="1"/>
  <c r="K9706" i="1" s="1"/>
  <c r="F9707" i="1"/>
  <c r="K9707" i="1" s="1"/>
  <c r="F9708" i="1"/>
  <c r="K9708" i="1" s="1"/>
  <c r="F9709" i="1"/>
  <c r="K9709" i="1" s="1"/>
  <c r="F9710" i="1"/>
  <c r="K9710" i="1" s="1"/>
  <c r="F9711" i="1"/>
  <c r="K9711" i="1" s="1"/>
  <c r="F9712" i="1"/>
  <c r="K9712" i="1" s="1"/>
  <c r="F9713" i="1"/>
  <c r="K9713" i="1" s="1"/>
  <c r="F9714" i="1"/>
  <c r="K9714" i="1" s="1"/>
  <c r="F9715" i="1"/>
  <c r="K9715" i="1" s="1"/>
  <c r="F9716" i="1"/>
  <c r="K9716" i="1" s="1"/>
  <c r="F9717" i="1"/>
  <c r="K9717" i="1" s="1"/>
  <c r="F9718" i="1"/>
  <c r="K9718" i="1" s="1"/>
  <c r="F9719" i="1"/>
  <c r="K9719" i="1" s="1"/>
  <c r="F9720" i="1"/>
  <c r="K9720" i="1" s="1"/>
  <c r="F9721" i="1"/>
  <c r="K9721" i="1" s="1"/>
  <c r="F9722" i="1"/>
  <c r="K9722" i="1" s="1"/>
  <c r="F9723" i="1"/>
  <c r="K9723" i="1" s="1"/>
  <c r="F9724" i="1"/>
  <c r="K9724" i="1" s="1"/>
  <c r="F9725" i="1"/>
  <c r="K9725" i="1" s="1"/>
  <c r="F9726" i="1"/>
  <c r="K9726" i="1" s="1"/>
  <c r="F9727" i="1"/>
  <c r="K9727" i="1" s="1"/>
  <c r="F9728" i="1"/>
  <c r="K9728" i="1" s="1"/>
  <c r="F9729" i="1"/>
  <c r="K9729" i="1" s="1"/>
  <c r="F9730" i="1"/>
  <c r="K9730" i="1" s="1"/>
  <c r="F9731" i="1"/>
  <c r="K9731" i="1" s="1"/>
  <c r="F9732" i="1"/>
  <c r="K9732" i="1" s="1"/>
  <c r="F9733" i="1"/>
  <c r="K9733" i="1" s="1"/>
  <c r="F9734" i="1"/>
  <c r="K9734" i="1" s="1"/>
  <c r="F9735" i="1"/>
  <c r="K9735" i="1" s="1"/>
  <c r="F9736" i="1"/>
  <c r="K9736" i="1" s="1"/>
  <c r="F9737" i="1"/>
  <c r="K9737" i="1" s="1"/>
  <c r="F9738" i="1"/>
  <c r="K9738" i="1" s="1"/>
  <c r="F9739" i="1"/>
  <c r="K9739" i="1" s="1"/>
  <c r="F9740" i="1"/>
  <c r="K9740" i="1" s="1"/>
  <c r="F9741" i="1"/>
  <c r="K9741" i="1" s="1"/>
  <c r="F9742" i="1"/>
  <c r="K9742" i="1" s="1"/>
  <c r="F9743" i="1"/>
  <c r="K9743" i="1" s="1"/>
  <c r="F9744" i="1"/>
  <c r="K9744" i="1" s="1"/>
  <c r="F9745" i="1"/>
  <c r="K9745" i="1" s="1"/>
  <c r="F9746" i="1"/>
  <c r="K9746" i="1" s="1"/>
  <c r="F9747" i="1"/>
  <c r="K9747" i="1" s="1"/>
  <c r="F9748" i="1"/>
  <c r="K9748" i="1" s="1"/>
  <c r="F9749" i="1"/>
  <c r="K9749" i="1" s="1"/>
  <c r="F9750" i="1"/>
  <c r="K9750" i="1" s="1"/>
  <c r="F9751" i="1"/>
  <c r="K9751" i="1" s="1"/>
  <c r="F9752" i="1"/>
  <c r="K9752" i="1" s="1"/>
  <c r="F9753" i="1"/>
  <c r="K9753" i="1" s="1"/>
  <c r="F9754" i="1"/>
  <c r="K9754" i="1" s="1"/>
  <c r="F9755" i="1"/>
  <c r="K9755" i="1" s="1"/>
  <c r="F9756" i="1"/>
  <c r="K9756" i="1" s="1"/>
  <c r="F9757" i="1"/>
  <c r="K9757" i="1" s="1"/>
  <c r="F9758" i="1"/>
  <c r="K9758" i="1" s="1"/>
  <c r="F9759" i="1"/>
  <c r="K9759" i="1" s="1"/>
  <c r="F9760" i="1"/>
  <c r="K9760" i="1" s="1"/>
  <c r="F9761" i="1"/>
  <c r="K9761" i="1" s="1"/>
  <c r="F9762" i="1"/>
  <c r="K9762" i="1" s="1"/>
  <c r="F9763" i="1"/>
  <c r="K9763" i="1" s="1"/>
  <c r="F9764" i="1"/>
  <c r="K9764" i="1" s="1"/>
  <c r="F9765" i="1"/>
  <c r="K9765" i="1" s="1"/>
  <c r="F9766" i="1"/>
  <c r="K9766" i="1" s="1"/>
  <c r="F9767" i="1"/>
  <c r="K9767" i="1" s="1"/>
  <c r="F9768" i="1"/>
  <c r="K9768" i="1" s="1"/>
  <c r="F9769" i="1"/>
  <c r="K9769" i="1" s="1"/>
  <c r="F9770" i="1"/>
  <c r="K9770" i="1" s="1"/>
  <c r="F9771" i="1"/>
  <c r="K9771" i="1" s="1"/>
  <c r="F9772" i="1"/>
  <c r="K9772" i="1" s="1"/>
  <c r="F9773" i="1"/>
  <c r="K9773" i="1" s="1"/>
  <c r="F9774" i="1"/>
  <c r="K9774" i="1" s="1"/>
  <c r="F9775" i="1"/>
  <c r="K9775" i="1" s="1"/>
  <c r="F9776" i="1"/>
  <c r="K9776" i="1" s="1"/>
  <c r="F9777" i="1"/>
  <c r="K9777" i="1" s="1"/>
  <c r="F9778" i="1"/>
  <c r="K9778" i="1" s="1"/>
  <c r="F9779" i="1"/>
  <c r="K9779" i="1" s="1"/>
  <c r="F9780" i="1"/>
  <c r="K9780" i="1" s="1"/>
  <c r="F9781" i="1"/>
  <c r="K9781" i="1" s="1"/>
  <c r="F9782" i="1"/>
  <c r="K9782" i="1" s="1"/>
  <c r="F9783" i="1"/>
  <c r="K9783" i="1" s="1"/>
  <c r="F9784" i="1"/>
  <c r="K9784" i="1" s="1"/>
  <c r="F9785" i="1"/>
  <c r="K9785" i="1" s="1"/>
  <c r="F9786" i="1"/>
  <c r="K9786" i="1" s="1"/>
  <c r="F9787" i="1"/>
  <c r="K9787" i="1" s="1"/>
  <c r="F9788" i="1"/>
  <c r="K9788" i="1" s="1"/>
  <c r="F9789" i="1"/>
  <c r="K9789" i="1" s="1"/>
  <c r="F9790" i="1"/>
  <c r="K9790" i="1" s="1"/>
  <c r="F9791" i="1"/>
  <c r="K9791" i="1" s="1"/>
  <c r="F9792" i="1"/>
  <c r="K9792" i="1" s="1"/>
  <c r="F9793" i="1"/>
  <c r="K9793" i="1" s="1"/>
  <c r="F9794" i="1"/>
  <c r="K9794" i="1" s="1"/>
  <c r="F9795" i="1"/>
  <c r="K9795" i="1" s="1"/>
  <c r="F9796" i="1"/>
  <c r="K9796" i="1" s="1"/>
  <c r="F9797" i="1"/>
  <c r="K9797" i="1" s="1"/>
  <c r="F9798" i="1"/>
  <c r="K9798" i="1" s="1"/>
  <c r="F9799" i="1"/>
  <c r="K9799" i="1" s="1"/>
  <c r="F9800" i="1"/>
  <c r="K9800" i="1" s="1"/>
  <c r="F9801" i="1"/>
  <c r="K9801" i="1" s="1"/>
  <c r="F9802" i="1"/>
  <c r="K9802" i="1" s="1"/>
  <c r="F9803" i="1"/>
  <c r="K9803" i="1" s="1"/>
  <c r="F9804" i="1"/>
  <c r="K9804" i="1" s="1"/>
  <c r="F9805" i="1"/>
  <c r="K9805" i="1" s="1"/>
  <c r="F9806" i="1"/>
  <c r="K9806" i="1" s="1"/>
  <c r="F9807" i="1"/>
  <c r="K9807" i="1" s="1"/>
  <c r="F9808" i="1"/>
  <c r="K9808" i="1" s="1"/>
  <c r="F9809" i="1"/>
  <c r="K9809" i="1" s="1"/>
  <c r="F9810" i="1"/>
  <c r="K9810" i="1" s="1"/>
  <c r="F9811" i="1"/>
  <c r="K9811" i="1" s="1"/>
  <c r="F9812" i="1"/>
  <c r="K9812" i="1" s="1"/>
  <c r="F9813" i="1"/>
  <c r="K9813" i="1" s="1"/>
  <c r="F9814" i="1"/>
  <c r="K9814" i="1" s="1"/>
  <c r="F9815" i="1"/>
  <c r="K9815" i="1" s="1"/>
  <c r="F9816" i="1"/>
  <c r="K9816" i="1" s="1"/>
  <c r="F9817" i="1"/>
  <c r="K9817" i="1" s="1"/>
  <c r="F9818" i="1"/>
  <c r="K9818" i="1" s="1"/>
  <c r="F9819" i="1"/>
  <c r="K9819" i="1" s="1"/>
  <c r="F9820" i="1"/>
  <c r="K9820" i="1" s="1"/>
  <c r="F9821" i="1"/>
  <c r="K9821" i="1" s="1"/>
  <c r="F9822" i="1"/>
  <c r="K9822" i="1" s="1"/>
  <c r="F9823" i="1"/>
  <c r="K9823" i="1" s="1"/>
  <c r="F9824" i="1"/>
  <c r="K9824" i="1" s="1"/>
  <c r="F9825" i="1"/>
  <c r="K9825" i="1" s="1"/>
  <c r="F9826" i="1"/>
  <c r="K9826" i="1" s="1"/>
  <c r="F9827" i="1"/>
  <c r="K9827" i="1" s="1"/>
  <c r="F9828" i="1"/>
  <c r="K9828" i="1" s="1"/>
  <c r="F9829" i="1"/>
  <c r="K9829" i="1" s="1"/>
  <c r="F9830" i="1"/>
  <c r="K9830" i="1" s="1"/>
  <c r="F9831" i="1"/>
  <c r="K9831" i="1" s="1"/>
  <c r="F9832" i="1"/>
  <c r="K9832" i="1" s="1"/>
  <c r="F9833" i="1"/>
  <c r="K9833" i="1" s="1"/>
  <c r="F9834" i="1"/>
  <c r="K9834" i="1" s="1"/>
  <c r="F9835" i="1"/>
  <c r="K9835" i="1" s="1"/>
  <c r="F9836" i="1"/>
  <c r="K9836" i="1" s="1"/>
  <c r="F9837" i="1"/>
  <c r="K9837" i="1" s="1"/>
  <c r="F9838" i="1"/>
  <c r="K9838" i="1" s="1"/>
  <c r="F9839" i="1"/>
  <c r="K9839" i="1" s="1"/>
  <c r="F9840" i="1"/>
  <c r="K9840" i="1" s="1"/>
  <c r="F9841" i="1"/>
  <c r="K9841" i="1" s="1"/>
  <c r="F9842" i="1"/>
  <c r="K9842" i="1" s="1"/>
  <c r="F9843" i="1"/>
  <c r="K9843" i="1" s="1"/>
  <c r="F9844" i="1"/>
  <c r="K9844" i="1" s="1"/>
  <c r="F9845" i="1"/>
  <c r="K9845" i="1" s="1"/>
  <c r="F9846" i="1"/>
  <c r="K9846" i="1" s="1"/>
  <c r="F9847" i="1"/>
  <c r="K9847" i="1" s="1"/>
  <c r="F9848" i="1"/>
  <c r="K9848" i="1" s="1"/>
  <c r="F9849" i="1"/>
  <c r="K9849" i="1" s="1"/>
  <c r="F9850" i="1"/>
  <c r="K9850" i="1" s="1"/>
  <c r="F9851" i="1"/>
  <c r="K9851" i="1" s="1"/>
  <c r="F9852" i="1"/>
  <c r="K9852" i="1" s="1"/>
  <c r="F9853" i="1"/>
  <c r="K9853" i="1" s="1"/>
  <c r="F9854" i="1"/>
  <c r="K9854" i="1" s="1"/>
  <c r="F9855" i="1"/>
  <c r="K9855" i="1" s="1"/>
  <c r="F9856" i="1"/>
  <c r="K9856" i="1" s="1"/>
  <c r="F9857" i="1"/>
  <c r="K9857" i="1" s="1"/>
  <c r="F9858" i="1"/>
  <c r="K9858" i="1" s="1"/>
  <c r="F9859" i="1"/>
  <c r="K9859" i="1" s="1"/>
  <c r="F9860" i="1"/>
  <c r="K9860" i="1" s="1"/>
  <c r="F9861" i="1"/>
  <c r="K9861" i="1" s="1"/>
  <c r="F9862" i="1"/>
  <c r="K9862" i="1" s="1"/>
  <c r="F9863" i="1"/>
  <c r="K9863" i="1" s="1"/>
  <c r="F9864" i="1"/>
  <c r="K9864" i="1" s="1"/>
  <c r="F9865" i="1"/>
  <c r="K9865" i="1" s="1"/>
  <c r="F9866" i="1"/>
  <c r="K9866" i="1" s="1"/>
  <c r="F9867" i="1"/>
  <c r="K9867" i="1" s="1"/>
  <c r="F9868" i="1"/>
  <c r="K9868" i="1" s="1"/>
  <c r="F9869" i="1"/>
  <c r="K9869" i="1" s="1"/>
  <c r="F9870" i="1"/>
  <c r="K9870" i="1" s="1"/>
  <c r="F9871" i="1"/>
  <c r="K9871" i="1" s="1"/>
  <c r="F9872" i="1"/>
  <c r="K9872" i="1" s="1"/>
  <c r="F9873" i="1"/>
  <c r="K9873" i="1" s="1"/>
  <c r="F9874" i="1"/>
  <c r="K9874" i="1" s="1"/>
  <c r="F9875" i="1"/>
  <c r="K9875" i="1" s="1"/>
  <c r="F9876" i="1"/>
  <c r="K9876" i="1" s="1"/>
  <c r="F9877" i="1"/>
  <c r="K9877" i="1" s="1"/>
  <c r="F9878" i="1"/>
  <c r="K9878" i="1" s="1"/>
  <c r="F9879" i="1"/>
  <c r="K9879" i="1" s="1"/>
  <c r="F9880" i="1"/>
  <c r="K9880" i="1" s="1"/>
  <c r="F9881" i="1"/>
  <c r="K9881" i="1" s="1"/>
  <c r="F9882" i="1"/>
  <c r="K9882" i="1" s="1"/>
  <c r="F9883" i="1"/>
  <c r="K9883" i="1" s="1"/>
  <c r="F9884" i="1"/>
  <c r="K9884" i="1" s="1"/>
  <c r="F9885" i="1"/>
  <c r="K9885" i="1" s="1"/>
  <c r="F9886" i="1"/>
  <c r="K9886" i="1" s="1"/>
  <c r="F9887" i="1"/>
  <c r="K9887" i="1" s="1"/>
  <c r="F9888" i="1"/>
  <c r="K9888" i="1" s="1"/>
  <c r="F9889" i="1"/>
  <c r="K9889" i="1" s="1"/>
  <c r="F9890" i="1"/>
  <c r="K9890" i="1" s="1"/>
  <c r="F9891" i="1"/>
  <c r="K9891" i="1" s="1"/>
  <c r="F9892" i="1"/>
  <c r="K9892" i="1" s="1"/>
  <c r="F9893" i="1"/>
  <c r="K9893" i="1" s="1"/>
  <c r="F9894" i="1"/>
  <c r="K9894" i="1" s="1"/>
  <c r="F9895" i="1"/>
  <c r="K9895" i="1" s="1"/>
  <c r="F9896" i="1"/>
  <c r="K9896" i="1" s="1"/>
  <c r="F9897" i="1"/>
  <c r="K9897" i="1" s="1"/>
  <c r="F9898" i="1"/>
  <c r="K9898" i="1" s="1"/>
  <c r="F9899" i="1"/>
  <c r="K9899" i="1" s="1"/>
  <c r="F9900" i="1"/>
  <c r="K9900" i="1" s="1"/>
  <c r="F9901" i="1"/>
  <c r="K9901" i="1" s="1"/>
  <c r="F9902" i="1"/>
  <c r="K9902" i="1" s="1"/>
  <c r="F9903" i="1"/>
  <c r="K9903" i="1" s="1"/>
  <c r="F9904" i="1"/>
  <c r="K9904" i="1" s="1"/>
  <c r="F9905" i="1"/>
  <c r="K9905" i="1" s="1"/>
  <c r="F9906" i="1"/>
  <c r="K9906" i="1" s="1"/>
  <c r="F9907" i="1"/>
  <c r="K9907" i="1" s="1"/>
  <c r="F9908" i="1"/>
  <c r="K9908" i="1" s="1"/>
  <c r="F9909" i="1"/>
  <c r="K9909" i="1" s="1"/>
  <c r="F9910" i="1"/>
  <c r="K9910" i="1" s="1"/>
  <c r="F9911" i="1"/>
  <c r="K9911" i="1" s="1"/>
  <c r="F9912" i="1"/>
  <c r="K9912" i="1" s="1"/>
  <c r="F9913" i="1"/>
  <c r="K9913" i="1" s="1"/>
  <c r="F9914" i="1"/>
  <c r="K9914" i="1" s="1"/>
  <c r="F9915" i="1"/>
  <c r="K9915" i="1" s="1"/>
  <c r="F9916" i="1"/>
  <c r="K9916" i="1" s="1"/>
  <c r="F9917" i="1"/>
  <c r="K9917" i="1" s="1"/>
  <c r="F9918" i="1"/>
  <c r="K9918" i="1" s="1"/>
  <c r="F9919" i="1"/>
  <c r="K9919" i="1" s="1"/>
  <c r="F9920" i="1"/>
  <c r="K9920" i="1" s="1"/>
  <c r="F9921" i="1"/>
  <c r="K9921" i="1" s="1"/>
  <c r="F9922" i="1"/>
  <c r="K9922" i="1" s="1"/>
  <c r="F9923" i="1"/>
  <c r="K9923" i="1" s="1"/>
  <c r="F9924" i="1"/>
  <c r="K9924" i="1" s="1"/>
  <c r="F9925" i="1"/>
  <c r="K9925" i="1" s="1"/>
  <c r="F9926" i="1"/>
  <c r="K9926" i="1" s="1"/>
  <c r="F9927" i="1"/>
  <c r="K9927" i="1" s="1"/>
  <c r="F9928" i="1"/>
  <c r="K9928" i="1" s="1"/>
  <c r="F9929" i="1"/>
  <c r="K9929" i="1" s="1"/>
  <c r="F9930" i="1"/>
  <c r="K9930" i="1" s="1"/>
  <c r="F9931" i="1"/>
  <c r="K9931" i="1" s="1"/>
  <c r="F9932" i="1"/>
  <c r="K9932" i="1" s="1"/>
  <c r="F9933" i="1"/>
  <c r="K9933" i="1" s="1"/>
  <c r="F9934" i="1"/>
  <c r="K9934" i="1" s="1"/>
  <c r="F9935" i="1"/>
  <c r="K9935" i="1" s="1"/>
  <c r="F9936" i="1"/>
  <c r="K9936" i="1" s="1"/>
  <c r="F9937" i="1"/>
  <c r="K9937" i="1" s="1"/>
  <c r="F9938" i="1"/>
  <c r="K9938" i="1" s="1"/>
  <c r="F9939" i="1"/>
  <c r="K9939" i="1" s="1"/>
  <c r="F9940" i="1"/>
  <c r="K9940" i="1" s="1"/>
  <c r="F9941" i="1"/>
  <c r="K9941" i="1" s="1"/>
  <c r="F9942" i="1"/>
  <c r="K9942" i="1" s="1"/>
  <c r="F9943" i="1"/>
  <c r="K9943" i="1" s="1"/>
  <c r="F9944" i="1"/>
  <c r="K9944" i="1" s="1"/>
  <c r="F9945" i="1"/>
  <c r="K9945" i="1" s="1"/>
  <c r="F9946" i="1"/>
  <c r="K9946" i="1" s="1"/>
  <c r="F9947" i="1"/>
  <c r="K9947" i="1" s="1"/>
  <c r="F9948" i="1"/>
  <c r="K9948" i="1" s="1"/>
  <c r="F9949" i="1"/>
  <c r="K9949" i="1" s="1"/>
  <c r="F9950" i="1"/>
  <c r="K9950" i="1" s="1"/>
  <c r="F9951" i="1"/>
  <c r="K9951" i="1" s="1"/>
  <c r="F9952" i="1"/>
  <c r="K9952" i="1" s="1"/>
  <c r="F9953" i="1"/>
  <c r="K9953" i="1" s="1"/>
  <c r="F9954" i="1"/>
  <c r="K9954" i="1" s="1"/>
  <c r="F9955" i="1"/>
  <c r="K9955" i="1" s="1"/>
  <c r="F9956" i="1"/>
  <c r="K9956" i="1" s="1"/>
  <c r="F9957" i="1"/>
  <c r="K9957" i="1" s="1"/>
  <c r="F9958" i="1"/>
  <c r="K9958" i="1" s="1"/>
  <c r="F9959" i="1"/>
  <c r="K9959" i="1" s="1"/>
  <c r="F9960" i="1"/>
  <c r="K9960" i="1" s="1"/>
  <c r="F9961" i="1"/>
  <c r="K9961" i="1" s="1"/>
  <c r="F9962" i="1"/>
  <c r="K9962" i="1" s="1"/>
  <c r="F9963" i="1"/>
  <c r="K9963" i="1" s="1"/>
  <c r="F9964" i="1"/>
  <c r="K9964" i="1" s="1"/>
  <c r="F9965" i="1"/>
  <c r="K9965" i="1" s="1"/>
  <c r="F9966" i="1"/>
  <c r="K9966" i="1" s="1"/>
  <c r="F9967" i="1"/>
  <c r="K9967" i="1" s="1"/>
  <c r="F9968" i="1"/>
  <c r="K9968" i="1" s="1"/>
  <c r="F9969" i="1"/>
  <c r="K9969" i="1" s="1"/>
  <c r="F9970" i="1"/>
  <c r="K9970" i="1" s="1"/>
  <c r="F9971" i="1"/>
  <c r="K9971" i="1" s="1"/>
  <c r="F9972" i="1"/>
  <c r="K9972" i="1" s="1"/>
  <c r="F9973" i="1"/>
  <c r="K9973" i="1" s="1"/>
  <c r="F9974" i="1"/>
  <c r="K9974" i="1" s="1"/>
  <c r="F9975" i="1"/>
  <c r="K9975" i="1" s="1"/>
  <c r="F9976" i="1"/>
  <c r="K9976" i="1" s="1"/>
  <c r="F9977" i="1"/>
  <c r="K9977" i="1" s="1"/>
  <c r="F9978" i="1"/>
  <c r="K9978" i="1" s="1"/>
  <c r="F9979" i="1"/>
  <c r="K9979" i="1" s="1"/>
  <c r="F9980" i="1"/>
  <c r="K9980" i="1" s="1"/>
  <c r="F9981" i="1"/>
  <c r="K9981" i="1" s="1"/>
  <c r="F9982" i="1"/>
  <c r="K9982" i="1" s="1"/>
  <c r="F9983" i="1"/>
  <c r="K9983" i="1" s="1"/>
  <c r="F9984" i="1"/>
  <c r="K9984" i="1" s="1"/>
  <c r="F9985" i="1"/>
  <c r="K9985" i="1" s="1"/>
  <c r="F9986" i="1"/>
  <c r="K9986" i="1" s="1"/>
  <c r="F9987" i="1"/>
  <c r="K9987" i="1" s="1"/>
  <c r="F9988" i="1"/>
  <c r="K9988" i="1" s="1"/>
  <c r="F9989" i="1"/>
  <c r="K9989" i="1" s="1"/>
  <c r="F9990" i="1"/>
  <c r="K9990" i="1" s="1"/>
  <c r="F9991" i="1"/>
  <c r="K9991" i="1" s="1"/>
  <c r="F9992" i="1"/>
  <c r="K9992" i="1" s="1"/>
  <c r="F9993" i="1"/>
  <c r="K9993" i="1" s="1"/>
  <c r="F9994" i="1"/>
  <c r="K9994" i="1" s="1"/>
  <c r="F9995" i="1"/>
  <c r="K9995" i="1" s="1"/>
  <c r="F9996" i="1"/>
  <c r="K9996" i="1" s="1"/>
  <c r="F9997" i="1"/>
  <c r="K9997" i="1" s="1"/>
  <c r="F9998" i="1"/>
  <c r="K9998" i="1" s="1"/>
  <c r="F9999" i="1"/>
  <c r="K9999" i="1" s="1"/>
  <c r="F10000" i="1"/>
  <c r="K10000" i="1" s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K7426" i="1"/>
  <c r="K7906" i="1"/>
  <c r="M22" i="1" l="1"/>
  <c r="N22" i="1" s="1"/>
  <c r="M6" i="1"/>
  <c r="N6" i="1" s="1"/>
  <c r="M24" i="1"/>
  <c r="N24" i="1" s="1"/>
  <c r="M20" i="1"/>
  <c r="N20" i="1" s="1"/>
  <c r="M4" i="1"/>
  <c r="N4" i="1" s="1"/>
  <c r="M7" i="1"/>
  <c r="N7" i="1" s="1"/>
  <c r="M21" i="1"/>
  <c r="N21" i="1" s="1"/>
  <c r="M5" i="1"/>
  <c r="N5" i="1" s="1"/>
  <c r="M10" i="1"/>
  <c r="N10" i="1" s="1"/>
  <c r="M23" i="1"/>
  <c r="N23" i="1" s="1"/>
  <c r="M17" i="1"/>
  <c r="N17" i="1" s="1"/>
  <c r="M16" i="1"/>
  <c r="N16" i="1" s="1"/>
  <c r="M14" i="1"/>
  <c r="N14" i="1" s="1"/>
  <c r="M13" i="1"/>
  <c r="N13" i="1" s="1"/>
  <c r="M28" i="1"/>
  <c r="N28" i="1" s="1"/>
  <c r="M11" i="1"/>
  <c r="N11" i="1" s="1"/>
  <c r="M25" i="1"/>
  <c r="N25" i="1" s="1"/>
  <c r="M9" i="1"/>
  <c r="N9" i="1" s="1"/>
  <c r="M15" i="1"/>
  <c r="N15" i="1" s="1"/>
  <c r="M27" i="1"/>
  <c r="N27" i="1" s="1"/>
  <c r="M8" i="1"/>
  <c r="N8" i="1" s="1"/>
  <c r="M19" i="1"/>
  <c r="N19" i="1" s="1"/>
  <c r="M18" i="1"/>
  <c r="N18" i="1" s="1"/>
  <c r="M12" i="1"/>
  <c r="N12" i="1" s="1"/>
  <c r="M26" i="1"/>
  <c r="N26" i="1" s="1"/>
  <c r="L29" i="1"/>
  <c r="L30" i="1"/>
  <c r="L31" i="1"/>
  <c r="L32" i="1"/>
  <c r="L33" i="1"/>
  <c r="L34" i="1"/>
  <c r="L35" i="1"/>
  <c r="L36" i="1"/>
  <c r="L37" i="1"/>
  <c r="M37" i="1" s="1"/>
  <c r="N37" i="1" s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M69" i="1" s="1"/>
  <c r="N69" i="1" s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7" i="1"/>
  <c r="L168" i="1"/>
  <c r="M168" i="1" s="1"/>
  <c r="N168" i="1" s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M181" i="1" s="1"/>
  <c r="N181" i="1" s="1"/>
  <c r="L182" i="1"/>
  <c r="M182" i="1" s="1"/>
  <c r="N182" i="1" s="1"/>
  <c r="L183" i="1"/>
  <c r="M183" i="1" s="1"/>
  <c r="N183" i="1" s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M230" i="1" s="1"/>
  <c r="N230" i="1" s="1"/>
  <c r="L231" i="1"/>
  <c r="M231" i="1" s="1"/>
  <c r="N231" i="1" s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M245" i="1" s="1"/>
  <c r="N245" i="1" s="1"/>
  <c r="L246" i="1"/>
  <c r="M246" i="1" s="1"/>
  <c r="N246" i="1" s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5" i="1"/>
  <c r="M295" i="1" s="1"/>
  <c r="N295" i="1" s="1"/>
  <c r="L296" i="1"/>
  <c r="L297" i="1"/>
  <c r="L298" i="1"/>
  <c r="L299" i="1"/>
  <c r="L300" i="1"/>
  <c r="L301" i="1"/>
  <c r="L302" i="1"/>
  <c r="L303" i="1"/>
  <c r="L304" i="1"/>
  <c r="L305" i="1"/>
  <c r="L306" i="1"/>
  <c r="K3" i="1"/>
  <c r="L3" i="1" s="1"/>
  <c r="L133" i="1"/>
  <c r="L134" i="1"/>
  <c r="L149" i="1"/>
  <c r="M149" i="1" s="1"/>
  <c r="N149" i="1" s="1"/>
  <c r="L150" i="1"/>
  <c r="M150" i="1" s="1"/>
  <c r="N150" i="1" s="1"/>
  <c r="L151" i="1"/>
  <c r="M151" i="1" s="1"/>
  <c r="N151" i="1" s="1"/>
  <c r="L165" i="1"/>
  <c r="M165" i="1" s="1"/>
  <c r="N165" i="1" s="1"/>
  <c r="L166" i="1"/>
  <c r="L261" i="1"/>
  <c r="M261" i="1" s="1"/>
  <c r="N261" i="1" s="1"/>
  <c r="L262" i="1"/>
  <c r="M262" i="1" s="1"/>
  <c r="N262" i="1" s="1"/>
  <c r="L278" i="1"/>
  <c r="M278" i="1" s="1"/>
  <c r="N278" i="1" s="1"/>
  <c r="L293" i="1"/>
  <c r="M293" i="1" s="1"/>
  <c r="N293" i="1" s="1"/>
  <c r="L294" i="1"/>
  <c r="M294" i="1" s="1"/>
  <c r="N294" i="1" s="1"/>
  <c r="L307" i="1"/>
  <c r="M307" i="1" s="1"/>
  <c r="N307" i="1" s="1"/>
  <c r="L308" i="1"/>
  <c r="M308" i="1" s="1"/>
  <c r="N308" i="1" s="1"/>
  <c r="L309" i="1"/>
  <c r="M309" i="1" s="1"/>
  <c r="N309" i="1" s="1"/>
  <c r="L310" i="1"/>
  <c r="M310" i="1" s="1"/>
  <c r="N310" i="1" s="1"/>
  <c r="L311" i="1"/>
  <c r="M311" i="1" s="1"/>
  <c r="N311" i="1" s="1"/>
  <c r="L312" i="1"/>
  <c r="M312" i="1" s="1"/>
  <c r="N312" i="1" s="1"/>
  <c r="L313" i="1"/>
  <c r="M313" i="1" s="1"/>
  <c r="N313" i="1" s="1"/>
  <c r="L314" i="1"/>
  <c r="M314" i="1" s="1"/>
  <c r="N314" i="1" s="1"/>
  <c r="L315" i="1"/>
  <c r="M315" i="1" s="1"/>
  <c r="N315" i="1" s="1"/>
  <c r="L316" i="1"/>
  <c r="M316" i="1" s="1"/>
  <c r="N316" i="1" s="1"/>
  <c r="L317" i="1"/>
  <c r="M317" i="1" s="1"/>
  <c r="N317" i="1" s="1"/>
  <c r="L318" i="1"/>
  <c r="M318" i="1" s="1"/>
  <c r="N318" i="1" s="1"/>
  <c r="L319" i="1"/>
  <c r="M319" i="1" s="1"/>
  <c r="N319" i="1" s="1"/>
  <c r="L320" i="1"/>
  <c r="M320" i="1" s="1"/>
  <c r="N320" i="1" s="1"/>
  <c r="L321" i="1"/>
  <c r="M321" i="1" s="1"/>
  <c r="N321" i="1" s="1"/>
  <c r="L322" i="1"/>
  <c r="M322" i="1" s="1"/>
  <c r="N322" i="1" s="1"/>
  <c r="L323" i="1"/>
  <c r="M323" i="1" s="1"/>
  <c r="N323" i="1" s="1"/>
  <c r="L324" i="1"/>
  <c r="M324" i="1" s="1"/>
  <c r="N324" i="1" s="1"/>
  <c r="L325" i="1"/>
  <c r="M325" i="1" s="1"/>
  <c r="N325" i="1" s="1"/>
  <c r="L326" i="1"/>
  <c r="M326" i="1" s="1"/>
  <c r="N326" i="1" s="1"/>
  <c r="L327" i="1"/>
  <c r="M327" i="1" s="1"/>
  <c r="N327" i="1" s="1"/>
  <c r="L328" i="1"/>
  <c r="M328" i="1" s="1"/>
  <c r="N328" i="1" s="1"/>
  <c r="L329" i="1"/>
  <c r="M329" i="1" s="1"/>
  <c r="N329" i="1" s="1"/>
  <c r="L330" i="1"/>
  <c r="M330" i="1" s="1"/>
  <c r="N330" i="1" s="1"/>
  <c r="L331" i="1"/>
  <c r="M331" i="1" s="1"/>
  <c r="N331" i="1" s="1"/>
  <c r="L332" i="1"/>
  <c r="M332" i="1" s="1"/>
  <c r="N332" i="1" s="1"/>
  <c r="L333" i="1"/>
  <c r="M333" i="1" s="1"/>
  <c r="N333" i="1" s="1"/>
  <c r="L334" i="1"/>
  <c r="M334" i="1" s="1"/>
  <c r="N334" i="1" s="1"/>
  <c r="L335" i="1"/>
  <c r="M335" i="1" s="1"/>
  <c r="N335" i="1" s="1"/>
  <c r="L336" i="1"/>
  <c r="M336" i="1" s="1"/>
  <c r="N336" i="1" s="1"/>
  <c r="L337" i="1"/>
  <c r="M337" i="1" s="1"/>
  <c r="N337" i="1" s="1"/>
  <c r="L338" i="1"/>
  <c r="M338" i="1" s="1"/>
  <c r="N338" i="1" s="1"/>
  <c r="L339" i="1"/>
  <c r="M339" i="1" s="1"/>
  <c r="N339" i="1" s="1"/>
  <c r="L340" i="1"/>
  <c r="M340" i="1" s="1"/>
  <c r="N340" i="1" s="1"/>
  <c r="L341" i="1"/>
  <c r="M341" i="1" s="1"/>
  <c r="N341" i="1" s="1"/>
  <c r="L342" i="1"/>
  <c r="M342" i="1" s="1"/>
  <c r="N342" i="1" s="1"/>
  <c r="L343" i="1"/>
  <c r="M343" i="1" s="1"/>
  <c r="N343" i="1" s="1"/>
  <c r="L344" i="1"/>
  <c r="M344" i="1" s="1"/>
  <c r="N344" i="1" s="1"/>
  <c r="L345" i="1"/>
  <c r="M345" i="1" s="1"/>
  <c r="N345" i="1" s="1"/>
  <c r="L346" i="1"/>
  <c r="M346" i="1" s="1"/>
  <c r="N346" i="1" s="1"/>
  <c r="L347" i="1"/>
  <c r="M347" i="1" s="1"/>
  <c r="N347" i="1" s="1"/>
  <c r="L348" i="1"/>
  <c r="M348" i="1" s="1"/>
  <c r="N348" i="1" s="1"/>
  <c r="L349" i="1"/>
  <c r="M349" i="1" s="1"/>
  <c r="N349" i="1" s="1"/>
  <c r="L350" i="1"/>
  <c r="M350" i="1" s="1"/>
  <c r="N350" i="1" s="1"/>
  <c r="L351" i="1"/>
  <c r="M351" i="1" s="1"/>
  <c r="N351" i="1" s="1"/>
  <c r="L352" i="1"/>
  <c r="M352" i="1" s="1"/>
  <c r="N352" i="1" s="1"/>
  <c r="L353" i="1"/>
  <c r="M353" i="1" s="1"/>
  <c r="N353" i="1" s="1"/>
  <c r="L354" i="1"/>
  <c r="M354" i="1" s="1"/>
  <c r="N354" i="1" s="1"/>
  <c r="L355" i="1"/>
  <c r="M355" i="1" s="1"/>
  <c r="N355" i="1" s="1"/>
  <c r="L356" i="1"/>
  <c r="M356" i="1" s="1"/>
  <c r="N356" i="1" s="1"/>
  <c r="L357" i="1"/>
  <c r="M357" i="1" s="1"/>
  <c r="N357" i="1" s="1"/>
  <c r="L358" i="1"/>
  <c r="M358" i="1" s="1"/>
  <c r="N358" i="1" s="1"/>
  <c r="L359" i="1"/>
  <c r="M359" i="1" s="1"/>
  <c r="N359" i="1" s="1"/>
  <c r="L360" i="1"/>
  <c r="M360" i="1" s="1"/>
  <c r="N360" i="1" s="1"/>
  <c r="L361" i="1"/>
  <c r="M361" i="1" s="1"/>
  <c r="N361" i="1" s="1"/>
  <c r="L362" i="1"/>
  <c r="M362" i="1" s="1"/>
  <c r="N362" i="1" s="1"/>
  <c r="L363" i="1"/>
  <c r="M363" i="1" s="1"/>
  <c r="N363" i="1" s="1"/>
  <c r="L364" i="1"/>
  <c r="M364" i="1" s="1"/>
  <c r="N364" i="1" s="1"/>
  <c r="L365" i="1"/>
  <c r="M365" i="1" s="1"/>
  <c r="N365" i="1" s="1"/>
  <c r="L366" i="1"/>
  <c r="M366" i="1" s="1"/>
  <c r="N366" i="1" s="1"/>
  <c r="L367" i="1"/>
  <c r="M367" i="1" s="1"/>
  <c r="N367" i="1" s="1"/>
  <c r="L368" i="1"/>
  <c r="M368" i="1" s="1"/>
  <c r="N368" i="1" s="1"/>
  <c r="L369" i="1"/>
  <c r="M369" i="1" s="1"/>
  <c r="N369" i="1" s="1"/>
  <c r="L370" i="1"/>
  <c r="M370" i="1" s="1"/>
  <c r="N370" i="1" s="1"/>
  <c r="L371" i="1"/>
  <c r="M371" i="1" s="1"/>
  <c r="N371" i="1" s="1"/>
  <c r="L372" i="1"/>
  <c r="M372" i="1" s="1"/>
  <c r="N372" i="1" s="1"/>
  <c r="L373" i="1"/>
  <c r="M373" i="1" s="1"/>
  <c r="N373" i="1" s="1"/>
  <c r="L374" i="1"/>
  <c r="M374" i="1" s="1"/>
  <c r="N374" i="1" s="1"/>
  <c r="L375" i="1"/>
  <c r="M375" i="1" s="1"/>
  <c r="N375" i="1" s="1"/>
  <c r="L376" i="1"/>
  <c r="M376" i="1" s="1"/>
  <c r="N376" i="1" s="1"/>
  <c r="L377" i="1"/>
  <c r="M377" i="1" s="1"/>
  <c r="N377" i="1" s="1"/>
  <c r="L378" i="1"/>
  <c r="M378" i="1" s="1"/>
  <c r="N378" i="1" s="1"/>
  <c r="L379" i="1"/>
  <c r="M379" i="1" s="1"/>
  <c r="N379" i="1" s="1"/>
  <c r="L380" i="1"/>
  <c r="M380" i="1" s="1"/>
  <c r="N380" i="1" s="1"/>
  <c r="L381" i="1"/>
  <c r="M381" i="1" s="1"/>
  <c r="N381" i="1" s="1"/>
  <c r="L382" i="1"/>
  <c r="M382" i="1" s="1"/>
  <c r="N382" i="1" s="1"/>
  <c r="L383" i="1"/>
  <c r="M383" i="1" s="1"/>
  <c r="N383" i="1" s="1"/>
  <c r="L384" i="1"/>
  <c r="M384" i="1" s="1"/>
  <c r="N384" i="1" s="1"/>
  <c r="L385" i="1"/>
  <c r="M385" i="1" s="1"/>
  <c r="N385" i="1" s="1"/>
  <c r="L386" i="1"/>
  <c r="M386" i="1" s="1"/>
  <c r="N386" i="1" s="1"/>
  <c r="L387" i="1"/>
  <c r="M387" i="1" s="1"/>
  <c r="N387" i="1" s="1"/>
  <c r="L388" i="1"/>
  <c r="M388" i="1" s="1"/>
  <c r="N388" i="1" s="1"/>
  <c r="L389" i="1"/>
  <c r="M389" i="1" s="1"/>
  <c r="N389" i="1" s="1"/>
  <c r="L390" i="1"/>
  <c r="M390" i="1" s="1"/>
  <c r="N390" i="1" s="1"/>
  <c r="L391" i="1"/>
  <c r="M391" i="1" s="1"/>
  <c r="N391" i="1" s="1"/>
  <c r="L392" i="1"/>
  <c r="M392" i="1" s="1"/>
  <c r="N392" i="1" s="1"/>
  <c r="L393" i="1"/>
  <c r="M393" i="1" s="1"/>
  <c r="N393" i="1" s="1"/>
  <c r="L394" i="1"/>
  <c r="M394" i="1" s="1"/>
  <c r="N394" i="1" s="1"/>
  <c r="L395" i="1"/>
  <c r="M395" i="1" s="1"/>
  <c r="N395" i="1" s="1"/>
  <c r="L396" i="1"/>
  <c r="M396" i="1" s="1"/>
  <c r="N396" i="1" s="1"/>
  <c r="L397" i="1"/>
  <c r="M397" i="1" s="1"/>
  <c r="N397" i="1" s="1"/>
  <c r="L398" i="1"/>
  <c r="M398" i="1" s="1"/>
  <c r="N398" i="1" s="1"/>
  <c r="L399" i="1"/>
  <c r="M399" i="1" s="1"/>
  <c r="N399" i="1" s="1"/>
  <c r="L400" i="1"/>
  <c r="M400" i="1" s="1"/>
  <c r="N400" i="1" s="1"/>
  <c r="L401" i="1"/>
  <c r="M401" i="1" s="1"/>
  <c r="N401" i="1" s="1"/>
  <c r="L402" i="1"/>
  <c r="M402" i="1" s="1"/>
  <c r="N402" i="1" s="1"/>
  <c r="L403" i="1"/>
  <c r="M403" i="1" s="1"/>
  <c r="N403" i="1" s="1"/>
  <c r="L404" i="1"/>
  <c r="M404" i="1" s="1"/>
  <c r="N404" i="1" s="1"/>
  <c r="L405" i="1"/>
  <c r="M405" i="1" s="1"/>
  <c r="N405" i="1" s="1"/>
  <c r="L406" i="1"/>
  <c r="M406" i="1" s="1"/>
  <c r="N406" i="1" s="1"/>
  <c r="L407" i="1"/>
  <c r="M407" i="1" s="1"/>
  <c r="N407" i="1" s="1"/>
  <c r="L408" i="1"/>
  <c r="M408" i="1" s="1"/>
  <c r="N408" i="1" s="1"/>
  <c r="L409" i="1"/>
  <c r="M409" i="1" s="1"/>
  <c r="N409" i="1" s="1"/>
  <c r="L410" i="1"/>
  <c r="M410" i="1" s="1"/>
  <c r="N410" i="1" s="1"/>
  <c r="L411" i="1"/>
  <c r="M411" i="1" s="1"/>
  <c r="N411" i="1" s="1"/>
  <c r="L412" i="1"/>
  <c r="M412" i="1" s="1"/>
  <c r="N412" i="1" s="1"/>
  <c r="L413" i="1"/>
  <c r="M413" i="1" s="1"/>
  <c r="N413" i="1" s="1"/>
  <c r="L414" i="1"/>
  <c r="M414" i="1" s="1"/>
  <c r="N414" i="1" s="1"/>
  <c r="L415" i="1"/>
  <c r="M415" i="1" s="1"/>
  <c r="N415" i="1" s="1"/>
  <c r="L416" i="1"/>
  <c r="M416" i="1" s="1"/>
  <c r="N416" i="1" s="1"/>
  <c r="L417" i="1"/>
  <c r="M417" i="1" s="1"/>
  <c r="N417" i="1" s="1"/>
  <c r="L418" i="1"/>
  <c r="M418" i="1" s="1"/>
  <c r="N418" i="1" s="1"/>
  <c r="L419" i="1"/>
  <c r="M419" i="1" s="1"/>
  <c r="N419" i="1" s="1"/>
  <c r="L420" i="1"/>
  <c r="M420" i="1" s="1"/>
  <c r="N420" i="1" s="1"/>
  <c r="L421" i="1"/>
  <c r="M421" i="1" s="1"/>
  <c r="N421" i="1" s="1"/>
  <c r="L422" i="1"/>
  <c r="M422" i="1" s="1"/>
  <c r="N422" i="1" s="1"/>
  <c r="L423" i="1"/>
  <c r="M423" i="1" s="1"/>
  <c r="N423" i="1" s="1"/>
  <c r="L424" i="1"/>
  <c r="M424" i="1" s="1"/>
  <c r="N424" i="1" s="1"/>
  <c r="L425" i="1"/>
  <c r="M425" i="1" s="1"/>
  <c r="N425" i="1" s="1"/>
  <c r="L426" i="1"/>
  <c r="M426" i="1" s="1"/>
  <c r="N426" i="1" s="1"/>
  <c r="L427" i="1"/>
  <c r="M427" i="1" s="1"/>
  <c r="N427" i="1" s="1"/>
  <c r="L428" i="1"/>
  <c r="M428" i="1" s="1"/>
  <c r="N428" i="1" s="1"/>
  <c r="L429" i="1"/>
  <c r="M429" i="1" s="1"/>
  <c r="N429" i="1" s="1"/>
  <c r="L430" i="1"/>
  <c r="M430" i="1" s="1"/>
  <c r="N430" i="1" s="1"/>
  <c r="L431" i="1"/>
  <c r="M431" i="1" s="1"/>
  <c r="N431" i="1" s="1"/>
  <c r="L432" i="1"/>
  <c r="M432" i="1" s="1"/>
  <c r="N432" i="1" s="1"/>
  <c r="L433" i="1"/>
  <c r="M433" i="1" s="1"/>
  <c r="N433" i="1" s="1"/>
  <c r="L434" i="1"/>
  <c r="M434" i="1" s="1"/>
  <c r="N434" i="1" s="1"/>
  <c r="L435" i="1"/>
  <c r="M435" i="1" s="1"/>
  <c r="N435" i="1" s="1"/>
  <c r="L436" i="1"/>
  <c r="M436" i="1" s="1"/>
  <c r="N436" i="1" s="1"/>
  <c r="L437" i="1"/>
  <c r="M437" i="1" s="1"/>
  <c r="N437" i="1" s="1"/>
  <c r="L438" i="1"/>
  <c r="M438" i="1" s="1"/>
  <c r="N438" i="1" s="1"/>
  <c r="L439" i="1"/>
  <c r="M439" i="1" s="1"/>
  <c r="N439" i="1" s="1"/>
  <c r="L440" i="1"/>
  <c r="M440" i="1" s="1"/>
  <c r="N440" i="1" s="1"/>
  <c r="L441" i="1"/>
  <c r="M441" i="1" s="1"/>
  <c r="N441" i="1" s="1"/>
  <c r="L442" i="1"/>
  <c r="M442" i="1" s="1"/>
  <c r="N442" i="1" s="1"/>
  <c r="L443" i="1"/>
  <c r="M443" i="1" s="1"/>
  <c r="N443" i="1" s="1"/>
  <c r="L444" i="1"/>
  <c r="M444" i="1" s="1"/>
  <c r="N444" i="1" s="1"/>
  <c r="L445" i="1"/>
  <c r="M445" i="1" s="1"/>
  <c r="N445" i="1" s="1"/>
  <c r="L446" i="1"/>
  <c r="M446" i="1" s="1"/>
  <c r="N446" i="1" s="1"/>
  <c r="L447" i="1"/>
  <c r="M447" i="1" s="1"/>
  <c r="N447" i="1" s="1"/>
  <c r="L448" i="1"/>
  <c r="M448" i="1" s="1"/>
  <c r="N448" i="1" s="1"/>
  <c r="L449" i="1"/>
  <c r="M449" i="1" s="1"/>
  <c r="N449" i="1" s="1"/>
  <c r="L450" i="1"/>
  <c r="M450" i="1" s="1"/>
  <c r="N450" i="1" s="1"/>
  <c r="L451" i="1"/>
  <c r="M451" i="1" s="1"/>
  <c r="N451" i="1" s="1"/>
  <c r="L452" i="1"/>
  <c r="M452" i="1" s="1"/>
  <c r="N452" i="1" s="1"/>
  <c r="L453" i="1"/>
  <c r="M453" i="1" s="1"/>
  <c r="N453" i="1" s="1"/>
  <c r="L454" i="1"/>
  <c r="M454" i="1" s="1"/>
  <c r="N454" i="1" s="1"/>
  <c r="L455" i="1"/>
  <c r="M455" i="1" s="1"/>
  <c r="N455" i="1" s="1"/>
  <c r="L456" i="1"/>
  <c r="M456" i="1" s="1"/>
  <c r="N456" i="1" s="1"/>
  <c r="L457" i="1"/>
  <c r="M457" i="1" s="1"/>
  <c r="N457" i="1" s="1"/>
  <c r="L458" i="1"/>
  <c r="M458" i="1" s="1"/>
  <c r="N458" i="1" s="1"/>
  <c r="L459" i="1"/>
  <c r="M459" i="1" s="1"/>
  <c r="N459" i="1" s="1"/>
  <c r="L460" i="1"/>
  <c r="M460" i="1" s="1"/>
  <c r="N460" i="1" s="1"/>
  <c r="L461" i="1"/>
  <c r="M461" i="1" s="1"/>
  <c r="N461" i="1" s="1"/>
  <c r="L462" i="1"/>
  <c r="M462" i="1" s="1"/>
  <c r="N462" i="1" s="1"/>
  <c r="L463" i="1"/>
  <c r="M463" i="1" s="1"/>
  <c r="N463" i="1" s="1"/>
  <c r="L464" i="1"/>
  <c r="M464" i="1" s="1"/>
  <c r="N464" i="1" s="1"/>
  <c r="L465" i="1"/>
  <c r="M465" i="1" s="1"/>
  <c r="N465" i="1" s="1"/>
  <c r="L466" i="1"/>
  <c r="M466" i="1" s="1"/>
  <c r="N466" i="1" s="1"/>
  <c r="L467" i="1"/>
  <c r="M467" i="1" s="1"/>
  <c r="N467" i="1" s="1"/>
  <c r="L468" i="1"/>
  <c r="M468" i="1" s="1"/>
  <c r="N468" i="1" s="1"/>
  <c r="L469" i="1"/>
  <c r="M469" i="1" s="1"/>
  <c r="N469" i="1" s="1"/>
  <c r="L470" i="1"/>
  <c r="M470" i="1" s="1"/>
  <c r="N470" i="1" s="1"/>
  <c r="L471" i="1"/>
  <c r="M471" i="1" s="1"/>
  <c r="N471" i="1" s="1"/>
  <c r="L472" i="1"/>
  <c r="M472" i="1" s="1"/>
  <c r="N472" i="1" s="1"/>
  <c r="L473" i="1"/>
  <c r="M473" i="1" s="1"/>
  <c r="N473" i="1" s="1"/>
  <c r="L474" i="1"/>
  <c r="M474" i="1" s="1"/>
  <c r="N474" i="1" s="1"/>
  <c r="L475" i="1"/>
  <c r="M475" i="1" s="1"/>
  <c r="N475" i="1" s="1"/>
  <c r="L476" i="1"/>
  <c r="M476" i="1" s="1"/>
  <c r="N476" i="1" s="1"/>
  <c r="L477" i="1"/>
  <c r="M477" i="1" s="1"/>
  <c r="N477" i="1" s="1"/>
  <c r="L478" i="1"/>
  <c r="M478" i="1" s="1"/>
  <c r="N478" i="1" s="1"/>
  <c r="L479" i="1"/>
  <c r="M479" i="1" s="1"/>
  <c r="N479" i="1" s="1"/>
  <c r="L480" i="1"/>
  <c r="M480" i="1" s="1"/>
  <c r="N480" i="1" s="1"/>
  <c r="L481" i="1"/>
  <c r="M481" i="1" s="1"/>
  <c r="N481" i="1" s="1"/>
  <c r="L482" i="1"/>
  <c r="M482" i="1" s="1"/>
  <c r="N482" i="1" s="1"/>
  <c r="L483" i="1"/>
  <c r="M483" i="1" s="1"/>
  <c r="N483" i="1" s="1"/>
  <c r="L484" i="1"/>
  <c r="M484" i="1" s="1"/>
  <c r="N484" i="1" s="1"/>
  <c r="L485" i="1"/>
  <c r="M485" i="1" s="1"/>
  <c r="N485" i="1" s="1"/>
  <c r="L486" i="1"/>
  <c r="M486" i="1" s="1"/>
  <c r="N486" i="1" s="1"/>
  <c r="L487" i="1"/>
  <c r="M487" i="1" s="1"/>
  <c r="N487" i="1" s="1"/>
  <c r="L488" i="1"/>
  <c r="M488" i="1" s="1"/>
  <c r="N488" i="1" s="1"/>
  <c r="L489" i="1"/>
  <c r="M489" i="1" s="1"/>
  <c r="N489" i="1" s="1"/>
  <c r="L490" i="1"/>
  <c r="M490" i="1" s="1"/>
  <c r="N490" i="1" s="1"/>
  <c r="L491" i="1"/>
  <c r="M491" i="1" s="1"/>
  <c r="N491" i="1" s="1"/>
  <c r="L492" i="1"/>
  <c r="M492" i="1" s="1"/>
  <c r="N492" i="1" s="1"/>
  <c r="L493" i="1"/>
  <c r="M493" i="1" s="1"/>
  <c r="N493" i="1" s="1"/>
  <c r="L494" i="1"/>
  <c r="M494" i="1" s="1"/>
  <c r="N494" i="1" s="1"/>
  <c r="L495" i="1"/>
  <c r="M495" i="1" s="1"/>
  <c r="N495" i="1" s="1"/>
  <c r="L496" i="1"/>
  <c r="M496" i="1" s="1"/>
  <c r="N496" i="1" s="1"/>
  <c r="L497" i="1"/>
  <c r="M497" i="1" s="1"/>
  <c r="N497" i="1" s="1"/>
  <c r="L498" i="1"/>
  <c r="M498" i="1" s="1"/>
  <c r="N498" i="1" s="1"/>
  <c r="L499" i="1"/>
  <c r="M499" i="1" s="1"/>
  <c r="N499" i="1" s="1"/>
  <c r="L500" i="1"/>
  <c r="M500" i="1" s="1"/>
  <c r="N500" i="1" s="1"/>
  <c r="L501" i="1"/>
  <c r="M501" i="1" s="1"/>
  <c r="N501" i="1" s="1"/>
  <c r="L502" i="1"/>
  <c r="M502" i="1" s="1"/>
  <c r="N502" i="1" s="1"/>
  <c r="L503" i="1"/>
  <c r="M503" i="1" s="1"/>
  <c r="N503" i="1" s="1"/>
  <c r="L504" i="1"/>
  <c r="M504" i="1" s="1"/>
  <c r="N504" i="1" s="1"/>
  <c r="L505" i="1"/>
  <c r="M505" i="1" s="1"/>
  <c r="N505" i="1" s="1"/>
  <c r="L506" i="1"/>
  <c r="M506" i="1" s="1"/>
  <c r="N506" i="1" s="1"/>
  <c r="L507" i="1"/>
  <c r="M507" i="1" s="1"/>
  <c r="N507" i="1" s="1"/>
  <c r="L508" i="1"/>
  <c r="M508" i="1" s="1"/>
  <c r="N508" i="1" s="1"/>
  <c r="L509" i="1"/>
  <c r="M509" i="1" s="1"/>
  <c r="N509" i="1" s="1"/>
  <c r="L510" i="1"/>
  <c r="M510" i="1" s="1"/>
  <c r="N510" i="1" s="1"/>
  <c r="L511" i="1"/>
  <c r="M511" i="1" s="1"/>
  <c r="N511" i="1" s="1"/>
  <c r="L512" i="1"/>
  <c r="M512" i="1" s="1"/>
  <c r="N512" i="1" s="1"/>
  <c r="L513" i="1"/>
  <c r="M513" i="1" s="1"/>
  <c r="N513" i="1" s="1"/>
  <c r="L514" i="1"/>
  <c r="M514" i="1" s="1"/>
  <c r="N514" i="1" s="1"/>
  <c r="L515" i="1"/>
  <c r="M515" i="1" s="1"/>
  <c r="N515" i="1" s="1"/>
  <c r="L516" i="1"/>
  <c r="M516" i="1" s="1"/>
  <c r="N516" i="1" s="1"/>
  <c r="L517" i="1"/>
  <c r="M517" i="1" s="1"/>
  <c r="N517" i="1" s="1"/>
  <c r="L518" i="1"/>
  <c r="M518" i="1" s="1"/>
  <c r="N518" i="1" s="1"/>
  <c r="L519" i="1"/>
  <c r="M519" i="1" s="1"/>
  <c r="N519" i="1" s="1"/>
  <c r="L520" i="1"/>
  <c r="M520" i="1" s="1"/>
  <c r="N520" i="1" s="1"/>
  <c r="L521" i="1"/>
  <c r="M521" i="1" s="1"/>
  <c r="N521" i="1" s="1"/>
  <c r="L522" i="1"/>
  <c r="M522" i="1" s="1"/>
  <c r="N522" i="1" s="1"/>
  <c r="L523" i="1"/>
  <c r="M523" i="1" s="1"/>
  <c r="N523" i="1" s="1"/>
  <c r="L524" i="1"/>
  <c r="M524" i="1" s="1"/>
  <c r="N524" i="1" s="1"/>
  <c r="L525" i="1"/>
  <c r="M525" i="1" s="1"/>
  <c r="N525" i="1" s="1"/>
  <c r="L526" i="1"/>
  <c r="M526" i="1" s="1"/>
  <c r="N526" i="1" s="1"/>
  <c r="L527" i="1"/>
  <c r="M527" i="1" s="1"/>
  <c r="N527" i="1" s="1"/>
  <c r="L528" i="1"/>
  <c r="M528" i="1" s="1"/>
  <c r="N528" i="1" s="1"/>
  <c r="L529" i="1"/>
  <c r="M529" i="1" s="1"/>
  <c r="N529" i="1" s="1"/>
  <c r="L530" i="1"/>
  <c r="M530" i="1" s="1"/>
  <c r="N530" i="1" s="1"/>
  <c r="L531" i="1"/>
  <c r="M531" i="1" s="1"/>
  <c r="N531" i="1" s="1"/>
  <c r="L532" i="1"/>
  <c r="M532" i="1" s="1"/>
  <c r="N532" i="1" s="1"/>
  <c r="L533" i="1"/>
  <c r="M533" i="1" s="1"/>
  <c r="N533" i="1" s="1"/>
  <c r="L534" i="1"/>
  <c r="M534" i="1" s="1"/>
  <c r="N534" i="1" s="1"/>
  <c r="L535" i="1"/>
  <c r="M535" i="1" s="1"/>
  <c r="N535" i="1" s="1"/>
  <c r="L536" i="1"/>
  <c r="M536" i="1" s="1"/>
  <c r="N536" i="1" s="1"/>
  <c r="L537" i="1"/>
  <c r="M537" i="1" s="1"/>
  <c r="N537" i="1" s="1"/>
  <c r="L538" i="1"/>
  <c r="M538" i="1" s="1"/>
  <c r="N538" i="1" s="1"/>
  <c r="L539" i="1"/>
  <c r="M539" i="1" s="1"/>
  <c r="N539" i="1" s="1"/>
  <c r="L540" i="1"/>
  <c r="M540" i="1" s="1"/>
  <c r="N540" i="1" s="1"/>
  <c r="L541" i="1"/>
  <c r="M541" i="1" s="1"/>
  <c r="N541" i="1" s="1"/>
  <c r="L542" i="1"/>
  <c r="M542" i="1" s="1"/>
  <c r="N542" i="1" s="1"/>
  <c r="L543" i="1"/>
  <c r="M543" i="1" s="1"/>
  <c r="N543" i="1" s="1"/>
  <c r="L544" i="1"/>
  <c r="M544" i="1" s="1"/>
  <c r="N544" i="1" s="1"/>
  <c r="L545" i="1"/>
  <c r="M545" i="1" s="1"/>
  <c r="N545" i="1" s="1"/>
  <c r="L546" i="1"/>
  <c r="M546" i="1" s="1"/>
  <c r="N546" i="1" s="1"/>
  <c r="L547" i="1"/>
  <c r="M547" i="1" s="1"/>
  <c r="N547" i="1" s="1"/>
  <c r="L548" i="1"/>
  <c r="M548" i="1" s="1"/>
  <c r="N548" i="1" s="1"/>
  <c r="L549" i="1"/>
  <c r="M549" i="1" s="1"/>
  <c r="N549" i="1" s="1"/>
  <c r="L550" i="1"/>
  <c r="M550" i="1" s="1"/>
  <c r="N550" i="1" s="1"/>
  <c r="L551" i="1"/>
  <c r="M551" i="1" s="1"/>
  <c r="N551" i="1" s="1"/>
  <c r="L552" i="1"/>
  <c r="M552" i="1" s="1"/>
  <c r="N552" i="1" s="1"/>
  <c r="L553" i="1"/>
  <c r="M553" i="1" s="1"/>
  <c r="N553" i="1" s="1"/>
  <c r="L554" i="1"/>
  <c r="M554" i="1" s="1"/>
  <c r="N554" i="1" s="1"/>
  <c r="L555" i="1"/>
  <c r="M555" i="1" s="1"/>
  <c r="N555" i="1" s="1"/>
  <c r="L556" i="1"/>
  <c r="M556" i="1" s="1"/>
  <c r="N556" i="1" s="1"/>
  <c r="L557" i="1"/>
  <c r="M557" i="1" s="1"/>
  <c r="N557" i="1" s="1"/>
  <c r="L558" i="1"/>
  <c r="M558" i="1" s="1"/>
  <c r="N558" i="1" s="1"/>
  <c r="L559" i="1"/>
  <c r="M559" i="1" s="1"/>
  <c r="N559" i="1" s="1"/>
  <c r="L560" i="1"/>
  <c r="M560" i="1" s="1"/>
  <c r="N560" i="1" s="1"/>
  <c r="L561" i="1"/>
  <c r="M561" i="1" s="1"/>
  <c r="N561" i="1" s="1"/>
  <c r="L562" i="1"/>
  <c r="M562" i="1" s="1"/>
  <c r="N562" i="1" s="1"/>
  <c r="L563" i="1"/>
  <c r="M563" i="1" s="1"/>
  <c r="N563" i="1" s="1"/>
  <c r="L564" i="1"/>
  <c r="M564" i="1" s="1"/>
  <c r="N564" i="1" s="1"/>
  <c r="L565" i="1"/>
  <c r="M565" i="1" s="1"/>
  <c r="N565" i="1" s="1"/>
  <c r="L566" i="1"/>
  <c r="M566" i="1" s="1"/>
  <c r="N566" i="1" s="1"/>
  <c r="L567" i="1"/>
  <c r="M567" i="1" s="1"/>
  <c r="N567" i="1" s="1"/>
  <c r="L568" i="1"/>
  <c r="M568" i="1" s="1"/>
  <c r="N568" i="1" s="1"/>
  <c r="L569" i="1"/>
  <c r="M569" i="1" s="1"/>
  <c r="N569" i="1" s="1"/>
  <c r="L570" i="1"/>
  <c r="M570" i="1" s="1"/>
  <c r="N570" i="1" s="1"/>
  <c r="L571" i="1"/>
  <c r="M571" i="1" s="1"/>
  <c r="N571" i="1" s="1"/>
  <c r="L572" i="1"/>
  <c r="M572" i="1" s="1"/>
  <c r="N572" i="1" s="1"/>
  <c r="L573" i="1"/>
  <c r="M573" i="1" s="1"/>
  <c r="N573" i="1" s="1"/>
  <c r="L574" i="1"/>
  <c r="M574" i="1" s="1"/>
  <c r="N574" i="1" s="1"/>
  <c r="L575" i="1"/>
  <c r="M575" i="1" s="1"/>
  <c r="N575" i="1" s="1"/>
  <c r="L576" i="1"/>
  <c r="M576" i="1" s="1"/>
  <c r="N576" i="1" s="1"/>
  <c r="L577" i="1"/>
  <c r="M577" i="1" s="1"/>
  <c r="N577" i="1" s="1"/>
  <c r="L578" i="1"/>
  <c r="M578" i="1" s="1"/>
  <c r="N578" i="1" s="1"/>
  <c r="L579" i="1"/>
  <c r="M579" i="1" s="1"/>
  <c r="N579" i="1" s="1"/>
  <c r="L580" i="1"/>
  <c r="M580" i="1" s="1"/>
  <c r="N580" i="1" s="1"/>
  <c r="L581" i="1"/>
  <c r="M581" i="1" s="1"/>
  <c r="N581" i="1" s="1"/>
  <c r="L582" i="1"/>
  <c r="M582" i="1" s="1"/>
  <c r="N582" i="1" s="1"/>
  <c r="L583" i="1"/>
  <c r="M583" i="1" s="1"/>
  <c r="N583" i="1" s="1"/>
  <c r="L584" i="1"/>
  <c r="M584" i="1" s="1"/>
  <c r="N584" i="1" s="1"/>
  <c r="L585" i="1"/>
  <c r="M585" i="1" s="1"/>
  <c r="N585" i="1" s="1"/>
  <c r="L586" i="1"/>
  <c r="M586" i="1" s="1"/>
  <c r="N586" i="1" s="1"/>
  <c r="L587" i="1"/>
  <c r="M587" i="1" s="1"/>
  <c r="N587" i="1" s="1"/>
  <c r="L588" i="1"/>
  <c r="M588" i="1" s="1"/>
  <c r="N588" i="1" s="1"/>
  <c r="L589" i="1"/>
  <c r="M589" i="1" s="1"/>
  <c r="N589" i="1" s="1"/>
  <c r="L590" i="1"/>
  <c r="M590" i="1" s="1"/>
  <c r="N590" i="1" s="1"/>
  <c r="L591" i="1"/>
  <c r="M591" i="1" s="1"/>
  <c r="N591" i="1" s="1"/>
  <c r="L592" i="1"/>
  <c r="M592" i="1" s="1"/>
  <c r="N592" i="1" s="1"/>
  <c r="L593" i="1"/>
  <c r="M593" i="1" s="1"/>
  <c r="N593" i="1" s="1"/>
  <c r="L594" i="1"/>
  <c r="M594" i="1" s="1"/>
  <c r="N594" i="1" s="1"/>
  <c r="L595" i="1"/>
  <c r="M595" i="1" s="1"/>
  <c r="N595" i="1" s="1"/>
  <c r="L596" i="1"/>
  <c r="M596" i="1" s="1"/>
  <c r="N596" i="1" s="1"/>
  <c r="L597" i="1"/>
  <c r="M597" i="1" s="1"/>
  <c r="N597" i="1" s="1"/>
  <c r="L598" i="1"/>
  <c r="M598" i="1" s="1"/>
  <c r="N598" i="1" s="1"/>
  <c r="L599" i="1"/>
  <c r="M599" i="1" s="1"/>
  <c r="N599" i="1" s="1"/>
  <c r="L600" i="1"/>
  <c r="M600" i="1" s="1"/>
  <c r="N600" i="1" s="1"/>
  <c r="L601" i="1"/>
  <c r="M601" i="1" s="1"/>
  <c r="N601" i="1" s="1"/>
  <c r="L602" i="1"/>
  <c r="M602" i="1" s="1"/>
  <c r="N602" i="1" s="1"/>
  <c r="L603" i="1"/>
  <c r="M603" i="1" s="1"/>
  <c r="N603" i="1" s="1"/>
  <c r="L604" i="1"/>
  <c r="M604" i="1" s="1"/>
  <c r="N604" i="1" s="1"/>
  <c r="L605" i="1"/>
  <c r="M605" i="1" s="1"/>
  <c r="N605" i="1" s="1"/>
  <c r="L606" i="1"/>
  <c r="M606" i="1" s="1"/>
  <c r="N606" i="1" s="1"/>
  <c r="L607" i="1"/>
  <c r="M607" i="1" s="1"/>
  <c r="N607" i="1" s="1"/>
  <c r="L608" i="1"/>
  <c r="M608" i="1" s="1"/>
  <c r="N608" i="1" s="1"/>
  <c r="L609" i="1"/>
  <c r="M609" i="1" s="1"/>
  <c r="N609" i="1" s="1"/>
  <c r="L610" i="1"/>
  <c r="M610" i="1" s="1"/>
  <c r="N610" i="1" s="1"/>
  <c r="L611" i="1"/>
  <c r="M611" i="1" s="1"/>
  <c r="N611" i="1" s="1"/>
  <c r="L612" i="1"/>
  <c r="M612" i="1" s="1"/>
  <c r="N612" i="1" s="1"/>
  <c r="L613" i="1"/>
  <c r="M613" i="1" s="1"/>
  <c r="N613" i="1" s="1"/>
  <c r="L614" i="1"/>
  <c r="M614" i="1" s="1"/>
  <c r="N614" i="1" s="1"/>
  <c r="L615" i="1"/>
  <c r="M615" i="1" s="1"/>
  <c r="N615" i="1" s="1"/>
  <c r="L616" i="1"/>
  <c r="M616" i="1" s="1"/>
  <c r="N616" i="1" s="1"/>
  <c r="L617" i="1"/>
  <c r="M617" i="1" s="1"/>
  <c r="N617" i="1" s="1"/>
  <c r="L618" i="1"/>
  <c r="M618" i="1" s="1"/>
  <c r="N618" i="1" s="1"/>
  <c r="L619" i="1"/>
  <c r="M619" i="1" s="1"/>
  <c r="N619" i="1" s="1"/>
  <c r="L620" i="1"/>
  <c r="M620" i="1" s="1"/>
  <c r="N620" i="1" s="1"/>
  <c r="L621" i="1"/>
  <c r="M621" i="1" s="1"/>
  <c r="N621" i="1" s="1"/>
  <c r="L622" i="1"/>
  <c r="M622" i="1" s="1"/>
  <c r="N622" i="1" s="1"/>
  <c r="L623" i="1"/>
  <c r="M623" i="1" s="1"/>
  <c r="N623" i="1" s="1"/>
  <c r="L624" i="1"/>
  <c r="M624" i="1" s="1"/>
  <c r="N624" i="1" s="1"/>
  <c r="L625" i="1"/>
  <c r="M625" i="1" s="1"/>
  <c r="N625" i="1" s="1"/>
  <c r="L626" i="1"/>
  <c r="M626" i="1" s="1"/>
  <c r="N626" i="1" s="1"/>
  <c r="L627" i="1"/>
  <c r="M627" i="1" s="1"/>
  <c r="N627" i="1" s="1"/>
  <c r="L628" i="1"/>
  <c r="M628" i="1" s="1"/>
  <c r="N628" i="1" s="1"/>
  <c r="L629" i="1"/>
  <c r="M629" i="1" s="1"/>
  <c r="N629" i="1" s="1"/>
  <c r="L630" i="1"/>
  <c r="M630" i="1" s="1"/>
  <c r="N630" i="1" s="1"/>
  <c r="L631" i="1"/>
  <c r="M631" i="1" s="1"/>
  <c r="N631" i="1" s="1"/>
  <c r="L632" i="1"/>
  <c r="M632" i="1" s="1"/>
  <c r="N632" i="1" s="1"/>
  <c r="L633" i="1"/>
  <c r="M633" i="1" s="1"/>
  <c r="N633" i="1" s="1"/>
  <c r="L634" i="1"/>
  <c r="M634" i="1" s="1"/>
  <c r="N634" i="1" s="1"/>
  <c r="L635" i="1"/>
  <c r="M635" i="1" s="1"/>
  <c r="N635" i="1" s="1"/>
  <c r="L636" i="1"/>
  <c r="M636" i="1" s="1"/>
  <c r="N636" i="1" s="1"/>
  <c r="L637" i="1"/>
  <c r="M637" i="1" s="1"/>
  <c r="N637" i="1" s="1"/>
  <c r="L638" i="1"/>
  <c r="M638" i="1" s="1"/>
  <c r="N638" i="1" s="1"/>
  <c r="L639" i="1"/>
  <c r="M639" i="1" s="1"/>
  <c r="N639" i="1" s="1"/>
  <c r="L640" i="1"/>
  <c r="M640" i="1" s="1"/>
  <c r="N640" i="1" s="1"/>
  <c r="L641" i="1"/>
  <c r="M641" i="1" s="1"/>
  <c r="N641" i="1" s="1"/>
  <c r="L642" i="1"/>
  <c r="M642" i="1" s="1"/>
  <c r="N642" i="1" s="1"/>
  <c r="L643" i="1"/>
  <c r="M643" i="1" s="1"/>
  <c r="N643" i="1" s="1"/>
  <c r="L644" i="1"/>
  <c r="M644" i="1" s="1"/>
  <c r="N644" i="1" s="1"/>
  <c r="L645" i="1"/>
  <c r="M645" i="1" s="1"/>
  <c r="N645" i="1" s="1"/>
  <c r="L646" i="1"/>
  <c r="M646" i="1" s="1"/>
  <c r="N646" i="1" s="1"/>
  <c r="L647" i="1"/>
  <c r="M647" i="1" s="1"/>
  <c r="N647" i="1" s="1"/>
  <c r="L648" i="1"/>
  <c r="M648" i="1" s="1"/>
  <c r="N648" i="1" s="1"/>
  <c r="L649" i="1"/>
  <c r="M649" i="1" s="1"/>
  <c r="N649" i="1" s="1"/>
  <c r="L650" i="1"/>
  <c r="M650" i="1" s="1"/>
  <c r="N650" i="1" s="1"/>
  <c r="L651" i="1"/>
  <c r="M651" i="1" s="1"/>
  <c r="N651" i="1" s="1"/>
  <c r="L652" i="1"/>
  <c r="M652" i="1" s="1"/>
  <c r="N652" i="1" s="1"/>
  <c r="L653" i="1"/>
  <c r="M653" i="1" s="1"/>
  <c r="N653" i="1" s="1"/>
  <c r="L654" i="1"/>
  <c r="M654" i="1" s="1"/>
  <c r="N654" i="1" s="1"/>
  <c r="L655" i="1"/>
  <c r="M655" i="1" s="1"/>
  <c r="N655" i="1" s="1"/>
  <c r="L656" i="1"/>
  <c r="M656" i="1" s="1"/>
  <c r="N656" i="1" s="1"/>
  <c r="L657" i="1"/>
  <c r="M657" i="1" s="1"/>
  <c r="N657" i="1" s="1"/>
  <c r="L658" i="1"/>
  <c r="M658" i="1" s="1"/>
  <c r="N658" i="1" s="1"/>
  <c r="L659" i="1"/>
  <c r="M659" i="1" s="1"/>
  <c r="N659" i="1" s="1"/>
  <c r="L660" i="1"/>
  <c r="M660" i="1" s="1"/>
  <c r="N660" i="1" s="1"/>
  <c r="L661" i="1"/>
  <c r="M661" i="1" s="1"/>
  <c r="N661" i="1" s="1"/>
  <c r="L662" i="1"/>
  <c r="M662" i="1" s="1"/>
  <c r="N662" i="1" s="1"/>
  <c r="L663" i="1"/>
  <c r="M663" i="1" s="1"/>
  <c r="N663" i="1" s="1"/>
  <c r="L664" i="1"/>
  <c r="M664" i="1" s="1"/>
  <c r="N664" i="1" s="1"/>
  <c r="L665" i="1"/>
  <c r="M665" i="1" s="1"/>
  <c r="N665" i="1" s="1"/>
  <c r="L666" i="1"/>
  <c r="M666" i="1" s="1"/>
  <c r="N666" i="1" s="1"/>
  <c r="L667" i="1"/>
  <c r="M667" i="1" s="1"/>
  <c r="N667" i="1" s="1"/>
  <c r="L668" i="1"/>
  <c r="M668" i="1" s="1"/>
  <c r="N668" i="1" s="1"/>
  <c r="L669" i="1"/>
  <c r="M669" i="1" s="1"/>
  <c r="N669" i="1" s="1"/>
  <c r="L670" i="1"/>
  <c r="M670" i="1" s="1"/>
  <c r="N670" i="1" s="1"/>
  <c r="L671" i="1"/>
  <c r="M671" i="1" s="1"/>
  <c r="N671" i="1" s="1"/>
  <c r="L672" i="1"/>
  <c r="M672" i="1" s="1"/>
  <c r="N672" i="1" s="1"/>
  <c r="L673" i="1"/>
  <c r="M673" i="1" s="1"/>
  <c r="N673" i="1" s="1"/>
  <c r="L674" i="1"/>
  <c r="M674" i="1" s="1"/>
  <c r="N674" i="1" s="1"/>
  <c r="L675" i="1"/>
  <c r="M675" i="1" s="1"/>
  <c r="N675" i="1" s="1"/>
  <c r="L676" i="1"/>
  <c r="M676" i="1" s="1"/>
  <c r="N676" i="1" s="1"/>
  <c r="L677" i="1"/>
  <c r="M677" i="1" s="1"/>
  <c r="N677" i="1" s="1"/>
  <c r="L678" i="1"/>
  <c r="M678" i="1" s="1"/>
  <c r="N678" i="1" s="1"/>
  <c r="L679" i="1"/>
  <c r="M679" i="1" s="1"/>
  <c r="N679" i="1" s="1"/>
  <c r="L680" i="1"/>
  <c r="M680" i="1" s="1"/>
  <c r="N680" i="1" s="1"/>
  <c r="L681" i="1"/>
  <c r="M681" i="1" s="1"/>
  <c r="N681" i="1" s="1"/>
  <c r="L682" i="1"/>
  <c r="M682" i="1" s="1"/>
  <c r="N682" i="1" s="1"/>
  <c r="L683" i="1"/>
  <c r="M683" i="1" s="1"/>
  <c r="N683" i="1" s="1"/>
  <c r="L684" i="1"/>
  <c r="M684" i="1" s="1"/>
  <c r="N684" i="1" s="1"/>
  <c r="L685" i="1"/>
  <c r="M685" i="1" s="1"/>
  <c r="N685" i="1" s="1"/>
  <c r="L686" i="1"/>
  <c r="M686" i="1" s="1"/>
  <c r="N686" i="1" s="1"/>
  <c r="L687" i="1"/>
  <c r="M687" i="1" s="1"/>
  <c r="N687" i="1" s="1"/>
  <c r="L688" i="1"/>
  <c r="M688" i="1" s="1"/>
  <c r="N688" i="1" s="1"/>
  <c r="L689" i="1"/>
  <c r="M689" i="1" s="1"/>
  <c r="N689" i="1" s="1"/>
  <c r="L690" i="1"/>
  <c r="M690" i="1" s="1"/>
  <c r="N690" i="1" s="1"/>
  <c r="L691" i="1"/>
  <c r="M691" i="1" s="1"/>
  <c r="N691" i="1" s="1"/>
  <c r="L692" i="1"/>
  <c r="M692" i="1" s="1"/>
  <c r="N692" i="1" s="1"/>
  <c r="L693" i="1"/>
  <c r="M693" i="1" s="1"/>
  <c r="N693" i="1" s="1"/>
  <c r="L694" i="1"/>
  <c r="M694" i="1" s="1"/>
  <c r="N694" i="1" s="1"/>
  <c r="L695" i="1"/>
  <c r="M695" i="1" s="1"/>
  <c r="N695" i="1" s="1"/>
  <c r="L696" i="1"/>
  <c r="M696" i="1" s="1"/>
  <c r="N696" i="1" s="1"/>
  <c r="L697" i="1"/>
  <c r="M697" i="1" s="1"/>
  <c r="N697" i="1" s="1"/>
  <c r="L698" i="1"/>
  <c r="M698" i="1" s="1"/>
  <c r="N698" i="1" s="1"/>
  <c r="L699" i="1"/>
  <c r="M699" i="1" s="1"/>
  <c r="N699" i="1" s="1"/>
  <c r="L700" i="1"/>
  <c r="M700" i="1" s="1"/>
  <c r="N700" i="1" s="1"/>
  <c r="L701" i="1"/>
  <c r="M701" i="1" s="1"/>
  <c r="N701" i="1" s="1"/>
  <c r="L702" i="1"/>
  <c r="M702" i="1" s="1"/>
  <c r="N702" i="1" s="1"/>
  <c r="L703" i="1"/>
  <c r="M703" i="1" s="1"/>
  <c r="N703" i="1" s="1"/>
  <c r="L704" i="1"/>
  <c r="M704" i="1" s="1"/>
  <c r="N704" i="1" s="1"/>
  <c r="L705" i="1"/>
  <c r="M705" i="1" s="1"/>
  <c r="N705" i="1" s="1"/>
  <c r="L706" i="1"/>
  <c r="M706" i="1" s="1"/>
  <c r="N706" i="1" s="1"/>
  <c r="L707" i="1"/>
  <c r="M707" i="1" s="1"/>
  <c r="N707" i="1" s="1"/>
  <c r="L708" i="1"/>
  <c r="M708" i="1" s="1"/>
  <c r="N708" i="1" s="1"/>
  <c r="L709" i="1"/>
  <c r="M709" i="1" s="1"/>
  <c r="N709" i="1" s="1"/>
  <c r="L710" i="1"/>
  <c r="M710" i="1" s="1"/>
  <c r="N710" i="1" s="1"/>
  <c r="L711" i="1"/>
  <c r="M711" i="1" s="1"/>
  <c r="N711" i="1" s="1"/>
  <c r="L712" i="1"/>
  <c r="M712" i="1" s="1"/>
  <c r="N712" i="1" s="1"/>
  <c r="L713" i="1"/>
  <c r="M713" i="1" s="1"/>
  <c r="N713" i="1" s="1"/>
  <c r="L714" i="1"/>
  <c r="M714" i="1" s="1"/>
  <c r="N714" i="1" s="1"/>
  <c r="L715" i="1"/>
  <c r="M715" i="1" s="1"/>
  <c r="N715" i="1" s="1"/>
  <c r="L716" i="1"/>
  <c r="M716" i="1" s="1"/>
  <c r="N716" i="1" s="1"/>
  <c r="L717" i="1"/>
  <c r="M717" i="1" s="1"/>
  <c r="N717" i="1" s="1"/>
  <c r="L718" i="1"/>
  <c r="M718" i="1" s="1"/>
  <c r="N718" i="1" s="1"/>
  <c r="L719" i="1"/>
  <c r="M719" i="1" s="1"/>
  <c r="N719" i="1" s="1"/>
  <c r="L720" i="1"/>
  <c r="M720" i="1" s="1"/>
  <c r="N720" i="1" s="1"/>
  <c r="L721" i="1"/>
  <c r="M721" i="1" s="1"/>
  <c r="N721" i="1" s="1"/>
  <c r="L722" i="1"/>
  <c r="M722" i="1" s="1"/>
  <c r="N722" i="1" s="1"/>
  <c r="L723" i="1"/>
  <c r="M723" i="1" s="1"/>
  <c r="N723" i="1" s="1"/>
  <c r="L724" i="1"/>
  <c r="M724" i="1" s="1"/>
  <c r="N724" i="1" s="1"/>
  <c r="L725" i="1"/>
  <c r="M725" i="1" s="1"/>
  <c r="N725" i="1" s="1"/>
  <c r="L726" i="1"/>
  <c r="M726" i="1" s="1"/>
  <c r="N726" i="1" s="1"/>
  <c r="L727" i="1"/>
  <c r="M727" i="1" s="1"/>
  <c r="N727" i="1" s="1"/>
  <c r="L728" i="1"/>
  <c r="M728" i="1" s="1"/>
  <c r="N728" i="1" s="1"/>
  <c r="L729" i="1"/>
  <c r="M729" i="1" s="1"/>
  <c r="N729" i="1" s="1"/>
  <c r="L730" i="1"/>
  <c r="M730" i="1" s="1"/>
  <c r="N730" i="1" s="1"/>
  <c r="L731" i="1"/>
  <c r="M731" i="1" s="1"/>
  <c r="N731" i="1" s="1"/>
  <c r="L732" i="1"/>
  <c r="M732" i="1" s="1"/>
  <c r="N732" i="1" s="1"/>
  <c r="L733" i="1"/>
  <c r="M733" i="1" s="1"/>
  <c r="N733" i="1" s="1"/>
  <c r="L734" i="1"/>
  <c r="M734" i="1" s="1"/>
  <c r="N734" i="1" s="1"/>
  <c r="L735" i="1"/>
  <c r="M735" i="1" s="1"/>
  <c r="N735" i="1" s="1"/>
  <c r="L736" i="1"/>
  <c r="M736" i="1" s="1"/>
  <c r="N736" i="1" s="1"/>
  <c r="L737" i="1"/>
  <c r="M737" i="1" s="1"/>
  <c r="N737" i="1" s="1"/>
  <c r="L738" i="1"/>
  <c r="M738" i="1" s="1"/>
  <c r="N738" i="1" s="1"/>
  <c r="L739" i="1"/>
  <c r="M739" i="1" s="1"/>
  <c r="N739" i="1" s="1"/>
  <c r="L740" i="1"/>
  <c r="M740" i="1" s="1"/>
  <c r="N740" i="1" s="1"/>
  <c r="L741" i="1"/>
  <c r="M741" i="1" s="1"/>
  <c r="N741" i="1" s="1"/>
  <c r="L742" i="1"/>
  <c r="M742" i="1" s="1"/>
  <c r="N742" i="1" s="1"/>
  <c r="L743" i="1"/>
  <c r="M743" i="1" s="1"/>
  <c r="N743" i="1" s="1"/>
  <c r="L744" i="1"/>
  <c r="M744" i="1" s="1"/>
  <c r="N744" i="1" s="1"/>
  <c r="L745" i="1"/>
  <c r="M745" i="1" s="1"/>
  <c r="N745" i="1" s="1"/>
  <c r="L746" i="1"/>
  <c r="M746" i="1" s="1"/>
  <c r="N746" i="1" s="1"/>
  <c r="L747" i="1"/>
  <c r="M747" i="1" s="1"/>
  <c r="N747" i="1" s="1"/>
  <c r="L748" i="1"/>
  <c r="M748" i="1" s="1"/>
  <c r="N748" i="1" s="1"/>
  <c r="L749" i="1"/>
  <c r="M749" i="1" s="1"/>
  <c r="N749" i="1" s="1"/>
  <c r="L750" i="1"/>
  <c r="M750" i="1" s="1"/>
  <c r="N750" i="1" s="1"/>
  <c r="L751" i="1"/>
  <c r="M751" i="1" s="1"/>
  <c r="N751" i="1" s="1"/>
  <c r="L752" i="1"/>
  <c r="M752" i="1" s="1"/>
  <c r="N752" i="1" s="1"/>
  <c r="L753" i="1"/>
  <c r="M753" i="1" s="1"/>
  <c r="N753" i="1" s="1"/>
  <c r="L754" i="1"/>
  <c r="M754" i="1" s="1"/>
  <c r="N754" i="1" s="1"/>
  <c r="L755" i="1"/>
  <c r="M755" i="1" s="1"/>
  <c r="N755" i="1" s="1"/>
  <c r="L756" i="1"/>
  <c r="M756" i="1" s="1"/>
  <c r="N756" i="1" s="1"/>
  <c r="L757" i="1"/>
  <c r="M757" i="1" s="1"/>
  <c r="N757" i="1" s="1"/>
  <c r="L758" i="1"/>
  <c r="M758" i="1" s="1"/>
  <c r="N758" i="1" s="1"/>
  <c r="L759" i="1"/>
  <c r="M759" i="1" s="1"/>
  <c r="N759" i="1" s="1"/>
  <c r="L760" i="1"/>
  <c r="M760" i="1" s="1"/>
  <c r="N760" i="1" s="1"/>
  <c r="L761" i="1"/>
  <c r="M761" i="1" s="1"/>
  <c r="N761" i="1" s="1"/>
  <c r="L762" i="1"/>
  <c r="M762" i="1" s="1"/>
  <c r="N762" i="1" s="1"/>
  <c r="L763" i="1"/>
  <c r="M763" i="1" s="1"/>
  <c r="N763" i="1" s="1"/>
  <c r="L764" i="1"/>
  <c r="M764" i="1" s="1"/>
  <c r="N764" i="1" s="1"/>
  <c r="L765" i="1"/>
  <c r="M765" i="1" s="1"/>
  <c r="N765" i="1" s="1"/>
  <c r="L766" i="1"/>
  <c r="M766" i="1" s="1"/>
  <c r="N766" i="1" s="1"/>
  <c r="L767" i="1"/>
  <c r="M767" i="1" s="1"/>
  <c r="N767" i="1" s="1"/>
  <c r="L768" i="1"/>
  <c r="M768" i="1" s="1"/>
  <c r="N768" i="1" s="1"/>
  <c r="L769" i="1"/>
  <c r="M769" i="1" s="1"/>
  <c r="N769" i="1" s="1"/>
  <c r="L770" i="1"/>
  <c r="M770" i="1" s="1"/>
  <c r="N770" i="1" s="1"/>
  <c r="L771" i="1"/>
  <c r="M771" i="1" s="1"/>
  <c r="N771" i="1" s="1"/>
  <c r="L772" i="1"/>
  <c r="M772" i="1" s="1"/>
  <c r="N772" i="1" s="1"/>
  <c r="L773" i="1"/>
  <c r="M773" i="1" s="1"/>
  <c r="N773" i="1" s="1"/>
  <c r="L774" i="1"/>
  <c r="M774" i="1" s="1"/>
  <c r="N774" i="1" s="1"/>
  <c r="L775" i="1"/>
  <c r="M775" i="1" s="1"/>
  <c r="N775" i="1" s="1"/>
  <c r="L776" i="1"/>
  <c r="M776" i="1" s="1"/>
  <c r="N776" i="1" s="1"/>
  <c r="L777" i="1"/>
  <c r="M777" i="1" s="1"/>
  <c r="N777" i="1" s="1"/>
  <c r="L778" i="1"/>
  <c r="M778" i="1" s="1"/>
  <c r="N778" i="1" s="1"/>
  <c r="L779" i="1"/>
  <c r="M779" i="1" s="1"/>
  <c r="N779" i="1" s="1"/>
  <c r="L780" i="1"/>
  <c r="M780" i="1" s="1"/>
  <c r="N780" i="1" s="1"/>
  <c r="L781" i="1"/>
  <c r="M781" i="1" s="1"/>
  <c r="N781" i="1" s="1"/>
  <c r="L782" i="1"/>
  <c r="M782" i="1" s="1"/>
  <c r="N782" i="1" s="1"/>
  <c r="L783" i="1"/>
  <c r="M783" i="1" s="1"/>
  <c r="N783" i="1" s="1"/>
  <c r="L784" i="1"/>
  <c r="M784" i="1" s="1"/>
  <c r="N784" i="1" s="1"/>
  <c r="L785" i="1"/>
  <c r="M785" i="1" s="1"/>
  <c r="N785" i="1" s="1"/>
  <c r="L786" i="1"/>
  <c r="M786" i="1" s="1"/>
  <c r="N786" i="1" s="1"/>
  <c r="L787" i="1"/>
  <c r="M787" i="1" s="1"/>
  <c r="N787" i="1" s="1"/>
  <c r="L788" i="1"/>
  <c r="M788" i="1" s="1"/>
  <c r="N788" i="1" s="1"/>
  <c r="L789" i="1"/>
  <c r="M789" i="1" s="1"/>
  <c r="N789" i="1" s="1"/>
  <c r="L790" i="1"/>
  <c r="M790" i="1" s="1"/>
  <c r="N790" i="1" s="1"/>
  <c r="L791" i="1"/>
  <c r="M791" i="1" s="1"/>
  <c r="N791" i="1" s="1"/>
  <c r="L792" i="1"/>
  <c r="M792" i="1" s="1"/>
  <c r="N792" i="1" s="1"/>
  <c r="L793" i="1"/>
  <c r="M793" i="1" s="1"/>
  <c r="N793" i="1" s="1"/>
  <c r="L794" i="1"/>
  <c r="M794" i="1" s="1"/>
  <c r="N794" i="1" s="1"/>
  <c r="L795" i="1"/>
  <c r="M795" i="1" s="1"/>
  <c r="N795" i="1" s="1"/>
  <c r="L796" i="1"/>
  <c r="M796" i="1" s="1"/>
  <c r="N796" i="1" s="1"/>
  <c r="L797" i="1"/>
  <c r="M797" i="1" s="1"/>
  <c r="N797" i="1" s="1"/>
  <c r="L798" i="1"/>
  <c r="M798" i="1" s="1"/>
  <c r="N798" i="1" s="1"/>
  <c r="L799" i="1"/>
  <c r="M799" i="1" s="1"/>
  <c r="N799" i="1" s="1"/>
  <c r="L800" i="1"/>
  <c r="M800" i="1" s="1"/>
  <c r="N800" i="1" s="1"/>
  <c r="L801" i="1"/>
  <c r="M801" i="1" s="1"/>
  <c r="N801" i="1" s="1"/>
  <c r="L802" i="1"/>
  <c r="M802" i="1" s="1"/>
  <c r="N802" i="1" s="1"/>
  <c r="L803" i="1"/>
  <c r="M803" i="1" s="1"/>
  <c r="N803" i="1" s="1"/>
  <c r="L804" i="1"/>
  <c r="M804" i="1" s="1"/>
  <c r="N804" i="1" s="1"/>
  <c r="L805" i="1"/>
  <c r="M805" i="1" s="1"/>
  <c r="N805" i="1" s="1"/>
  <c r="L806" i="1"/>
  <c r="M806" i="1" s="1"/>
  <c r="N806" i="1" s="1"/>
  <c r="L807" i="1"/>
  <c r="M807" i="1" s="1"/>
  <c r="N807" i="1" s="1"/>
  <c r="L808" i="1"/>
  <c r="M808" i="1" s="1"/>
  <c r="N808" i="1" s="1"/>
  <c r="L809" i="1"/>
  <c r="M809" i="1" s="1"/>
  <c r="N809" i="1" s="1"/>
  <c r="L810" i="1"/>
  <c r="M810" i="1" s="1"/>
  <c r="N810" i="1" s="1"/>
  <c r="L811" i="1"/>
  <c r="M811" i="1" s="1"/>
  <c r="N811" i="1" s="1"/>
  <c r="L812" i="1"/>
  <c r="M812" i="1" s="1"/>
  <c r="N812" i="1" s="1"/>
  <c r="L813" i="1"/>
  <c r="M813" i="1" s="1"/>
  <c r="N813" i="1" s="1"/>
  <c r="L814" i="1"/>
  <c r="M814" i="1" s="1"/>
  <c r="N814" i="1" s="1"/>
  <c r="L815" i="1"/>
  <c r="M815" i="1" s="1"/>
  <c r="N815" i="1" s="1"/>
  <c r="L816" i="1"/>
  <c r="M816" i="1" s="1"/>
  <c r="N816" i="1" s="1"/>
  <c r="L817" i="1"/>
  <c r="M817" i="1" s="1"/>
  <c r="N817" i="1" s="1"/>
  <c r="L818" i="1"/>
  <c r="M818" i="1" s="1"/>
  <c r="N818" i="1" s="1"/>
  <c r="L819" i="1"/>
  <c r="M819" i="1" s="1"/>
  <c r="N819" i="1" s="1"/>
  <c r="L820" i="1"/>
  <c r="M820" i="1" s="1"/>
  <c r="N820" i="1" s="1"/>
  <c r="L821" i="1"/>
  <c r="M821" i="1" s="1"/>
  <c r="N821" i="1" s="1"/>
  <c r="L822" i="1"/>
  <c r="M822" i="1" s="1"/>
  <c r="N822" i="1" s="1"/>
  <c r="L823" i="1"/>
  <c r="M823" i="1" s="1"/>
  <c r="N823" i="1" s="1"/>
  <c r="L824" i="1"/>
  <c r="M824" i="1" s="1"/>
  <c r="N824" i="1" s="1"/>
  <c r="L825" i="1"/>
  <c r="M825" i="1" s="1"/>
  <c r="N825" i="1" s="1"/>
  <c r="L826" i="1"/>
  <c r="M826" i="1" s="1"/>
  <c r="N826" i="1" s="1"/>
  <c r="L827" i="1"/>
  <c r="M827" i="1" s="1"/>
  <c r="N827" i="1" s="1"/>
  <c r="L828" i="1"/>
  <c r="M828" i="1" s="1"/>
  <c r="N828" i="1" s="1"/>
  <c r="L829" i="1"/>
  <c r="M829" i="1" s="1"/>
  <c r="N829" i="1" s="1"/>
  <c r="L830" i="1"/>
  <c r="M830" i="1" s="1"/>
  <c r="N830" i="1" s="1"/>
  <c r="L831" i="1"/>
  <c r="M831" i="1" s="1"/>
  <c r="N831" i="1" s="1"/>
  <c r="L832" i="1"/>
  <c r="M832" i="1" s="1"/>
  <c r="N832" i="1" s="1"/>
  <c r="L833" i="1"/>
  <c r="M833" i="1" s="1"/>
  <c r="N833" i="1" s="1"/>
  <c r="L834" i="1"/>
  <c r="M834" i="1" s="1"/>
  <c r="N834" i="1" s="1"/>
  <c r="L835" i="1"/>
  <c r="M835" i="1" s="1"/>
  <c r="N835" i="1" s="1"/>
  <c r="L836" i="1"/>
  <c r="M836" i="1" s="1"/>
  <c r="N836" i="1" s="1"/>
  <c r="L837" i="1"/>
  <c r="M837" i="1" s="1"/>
  <c r="N837" i="1" s="1"/>
  <c r="L838" i="1"/>
  <c r="M838" i="1" s="1"/>
  <c r="N838" i="1" s="1"/>
  <c r="L839" i="1"/>
  <c r="M839" i="1" s="1"/>
  <c r="N839" i="1" s="1"/>
  <c r="L840" i="1"/>
  <c r="M840" i="1" s="1"/>
  <c r="N840" i="1" s="1"/>
  <c r="L841" i="1"/>
  <c r="M841" i="1" s="1"/>
  <c r="N841" i="1" s="1"/>
  <c r="L842" i="1"/>
  <c r="M842" i="1" s="1"/>
  <c r="N842" i="1" s="1"/>
  <c r="L843" i="1"/>
  <c r="M843" i="1" s="1"/>
  <c r="N843" i="1" s="1"/>
  <c r="L844" i="1"/>
  <c r="M844" i="1" s="1"/>
  <c r="N844" i="1" s="1"/>
  <c r="L845" i="1"/>
  <c r="M845" i="1" s="1"/>
  <c r="N845" i="1" s="1"/>
  <c r="L846" i="1"/>
  <c r="M846" i="1" s="1"/>
  <c r="N846" i="1" s="1"/>
  <c r="L847" i="1"/>
  <c r="M847" i="1" s="1"/>
  <c r="N847" i="1" s="1"/>
  <c r="L848" i="1"/>
  <c r="M848" i="1" s="1"/>
  <c r="N848" i="1" s="1"/>
  <c r="L849" i="1"/>
  <c r="M849" i="1" s="1"/>
  <c r="N849" i="1" s="1"/>
  <c r="L850" i="1"/>
  <c r="M850" i="1" s="1"/>
  <c r="N850" i="1" s="1"/>
  <c r="L851" i="1"/>
  <c r="M851" i="1" s="1"/>
  <c r="N851" i="1" s="1"/>
  <c r="L852" i="1"/>
  <c r="M852" i="1" s="1"/>
  <c r="N852" i="1" s="1"/>
  <c r="L853" i="1"/>
  <c r="M853" i="1" s="1"/>
  <c r="N853" i="1" s="1"/>
  <c r="L854" i="1"/>
  <c r="M854" i="1" s="1"/>
  <c r="N854" i="1" s="1"/>
  <c r="L855" i="1"/>
  <c r="M855" i="1" s="1"/>
  <c r="N855" i="1" s="1"/>
  <c r="L856" i="1"/>
  <c r="M856" i="1" s="1"/>
  <c r="N856" i="1" s="1"/>
  <c r="L857" i="1"/>
  <c r="M857" i="1" s="1"/>
  <c r="N857" i="1" s="1"/>
  <c r="L858" i="1"/>
  <c r="M858" i="1" s="1"/>
  <c r="N858" i="1" s="1"/>
  <c r="L859" i="1"/>
  <c r="M859" i="1" s="1"/>
  <c r="N859" i="1" s="1"/>
  <c r="L860" i="1"/>
  <c r="M860" i="1" s="1"/>
  <c r="N860" i="1" s="1"/>
  <c r="L861" i="1"/>
  <c r="M861" i="1" s="1"/>
  <c r="N861" i="1" s="1"/>
  <c r="L862" i="1"/>
  <c r="M862" i="1" s="1"/>
  <c r="N862" i="1" s="1"/>
  <c r="L863" i="1"/>
  <c r="M863" i="1" s="1"/>
  <c r="N863" i="1" s="1"/>
  <c r="L864" i="1"/>
  <c r="M864" i="1" s="1"/>
  <c r="N864" i="1" s="1"/>
  <c r="L865" i="1"/>
  <c r="M865" i="1" s="1"/>
  <c r="N865" i="1" s="1"/>
  <c r="L866" i="1"/>
  <c r="M866" i="1" s="1"/>
  <c r="N866" i="1" s="1"/>
  <c r="L867" i="1"/>
  <c r="M867" i="1" s="1"/>
  <c r="N867" i="1" s="1"/>
  <c r="L868" i="1"/>
  <c r="M868" i="1" s="1"/>
  <c r="N868" i="1" s="1"/>
  <c r="L869" i="1"/>
  <c r="M869" i="1" s="1"/>
  <c r="N869" i="1" s="1"/>
  <c r="L870" i="1"/>
  <c r="M870" i="1" s="1"/>
  <c r="N870" i="1" s="1"/>
  <c r="L871" i="1"/>
  <c r="M871" i="1" s="1"/>
  <c r="N871" i="1" s="1"/>
  <c r="L872" i="1"/>
  <c r="M872" i="1" s="1"/>
  <c r="N872" i="1" s="1"/>
  <c r="L873" i="1"/>
  <c r="M873" i="1" s="1"/>
  <c r="N873" i="1" s="1"/>
  <c r="L874" i="1"/>
  <c r="M874" i="1" s="1"/>
  <c r="N874" i="1" s="1"/>
  <c r="L875" i="1"/>
  <c r="M875" i="1" s="1"/>
  <c r="N875" i="1" s="1"/>
  <c r="L876" i="1"/>
  <c r="M876" i="1" s="1"/>
  <c r="N876" i="1" s="1"/>
  <c r="L877" i="1"/>
  <c r="M877" i="1" s="1"/>
  <c r="N877" i="1" s="1"/>
  <c r="L878" i="1"/>
  <c r="M878" i="1" s="1"/>
  <c r="N878" i="1" s="1"/>
  <c r="L879" i="1"/>
  <c r="M879" i="1" s="1"/>
  <c r="N879" i="1" s="1"/>
  <c r="L880" i="1"/>
  <c r="M880" i="1" s="1"/>
  <c r="N880" i="1" s="1"/>
  <c r="L881" i="1"/>
  <c r="M881" i="1" s="1"/>
  <c r="N881" i="1" s="1"/>
  <c r="L882" i="1"/>
  <c r="M882" i="1" s="1"/>
  <c r="N882" i="1" s="1"/>
  <c r="L883" i="1"/>
  <c r="M883" i="1" s="1"/>
  <c r="N883" i="1" s="1"/>
  <c r="L884" i="1"/>
  <c r="M884" i="1" s="1"/>
  <c r="N884" i="1" s="1"/>
  <c r="L885" i="1"/>
  <c r="M885" i="1" s="1"/>
  <c r="N885" i="1" s="1"/>
  <c r="L886" i="1"/>
  <c r="M886" i="1" s="1"/>
  <c r="N886" i="1" s="1"/>
  <c r="L887" i="1"/>
  <c r="M887" i="1" s="1"/>
  <c r="N887" i="1" s="1"/>
  <c r="L888" i="1"/>
  <c r="M888" i="1" s="1"/>
  <c r="N888" i="1" s="1"/>
  <c r="L889" i="1"/>
  <c r="M889" i="1" s="1"/>
  <c r="N889" i="1" s="1"/>
  <c r="L890" i="1"/>
  <c r="M890" i="1" s="1"/>
  <c r="N890" i="1" s="1"/>
  <c r="L891" i="1"/>
  <c r="M891" i="1" s="1"/>
  <c r="N891" i="1" s="1"/>
  <c r="L892" i="1"/>
  <c r="M892" i="1" s="1"/>
  <c r="N892" i="1" s="1"/>
  <c r="L893" i="1"/>
  <c r="M893" i="1" s="1"/>
  <c r="N893" i="1" s="1"/>
  <c r="L894" i="1"/>
  <c r="M894" i="1" s="1"/>
  <c r="N894" i="1" s="1"/>
  <c r="L895" i="1"/>
  <c r="M895" i="1" s="1"/>
  <c r="N895" i="1" s="1"/>
  <c r="L896" i="1"/>
  <c r="M896" i="1" s="1"/>
  <c r="N896" i="1" s="1"/>
  <c r="L897" i="1"/>
  <c r="M897" i="1" s="1"/>
  <c r="N897" i="1" s="1"/>
  <c r="L898" i="1"/>
  <c r="M898" i="1" s="1"/>
  <c r="N898" i="1" s="1"/>
  <c r="L899" i="1"/>
  <c r="M899" i="1" s="1"/>
  <c r="N899" i="1" s="1"/>
  <c r="L900" i="1"/>
  <c r="M900" i="1" s="1"/>
  <c r="N900" i="1" s="1"/>
  <c r="L901" i="1"/>
  <c r="M901" i="1" s="1"/>
  <c r="N901" i="1" s="1"/>
  <c r="L902" i="1"/>
  <c r="M902" i="1" s="1"/>
  <c r="N902" i="1" s="1"/>
  <c r="L903" i="1"/>
  <c r="M903" i="1" s="1"/>
  <c r="N903" i="1" s="1"/>
  <c r="L904" i="1"/>
  <c r="M904" i="1" s="1"/>
  <c r="N904" i="1" s="1"/>
  <c r="L905" i="1"/>
  <c r="M905" i="1" s="1"/>
  <c r="N905" i="1" s="1"/>
  <c r="L906" i="1"/>
  <c r="M906" i="1" s="1"/>
  <c r="N906" i="1" s="1"/>
  <c r="L907" i="1"/>
  <c r="M907" i="1" s="1"/>
  <c r="N907" i="1" s="1"/>
  <c r="L908" i="1"/>
  <c r="M908" i="1" s="1"/>
  <c r="N908" i="1" s="1"/>
  <c r="L909" i="1"/>
  <c r="M909" i="1" s="1"/>
  <c r="N909" i="1" s="1"/>
  <c r="L910" i="1"/>
  <c r="M910" i="1" s="1"/>
  <c r="N910" i="1" s="1"/>
  <c r="L911" i="1"/>
  <c r="M911" i="1" s="1"/>
  <c r="N911" i="1" s="1"/>
  <c r="L912" i="1"/>
  <c r="M912" i="1" s="1"/>
  <c r="N912" i="1" s="1"/>
  <c r="L913" i="1"/>
  <c r="M913" i="1" s="1"/>
  <c r="N913" i="1" s="1"/>
  <c r="L914" i="1"/>
  <c r="M914" i="1" s="1"/>
  <c r="N914" i="1" s="1"/>
  <c r="L915" i="1"/>
  <c r="M915" i="1" s="1"/>
  <c r="N915" i="1" s="1"/>
  <c r="L916" i="1"/>
  <c r="M916" i="1" s="1"/>
  <c r="N916" i="1" s="1"/>
  <c r="L917" i="1"/>
  <c r="M917" i="1" s="1"/>
  <c r="N917" i="1" s="1"/>
  <c r="L918" i="1"/>
  <c r="M918" i="1" s="1"/>
  <c r="N918" i="1" s="1"/>
  <c r="L919" i="1"/>
  <c r="M919" i="1" s="1"/>
  <c r="N919" i="1" s="1"/>
  <c r="L920" i="1"/>
  <c r="M920" i="1" s="1"/>
  <c r="N920" i="1" s="1"/>
  <c r="L921" i="1"/>
  <c r="M921" i="1" s="1"/>
  <c r="N921" i="1" s="1"/>
  <c r="L922" i="1"/>
  <c r="M922" i="1" s="1"/>
  <c r="N922" i="1" s="1"/>
  <c r="L923" i="1"/>
  <c r="M923" i="1" s="1"/>
  <c r="N923" i="1" s="1"/>
  <c r="L924" i="1"/>
  <c r="M924" i="1" s="1"/>
  <c r="N924" i="1" s="1"/>
  <c r="L925" i="1"/>
  <c r="M925" i="1" s="1"/>
  <c r="N925" i="1" s="1"/>
  <c r="L926" i="1"/>
  <c r="M926" i="1" s="1"/>
  <c r="N926" i="1" s="1"/>
  <c r="L927" i="1"/>
  <c r="M927" i="1" s="1"/>
  <c r="N927" i="1" s="1"/>
  <c r="L928" i="1"/>
  <c r="M928" i="1" s="1"/>
  <c r="N928" i="1" s="1"/>
  <c r="L929" i="1"/>
  <c r="M929" i="1" s="1"/>
  <c r="N929" i="1" s="1"/>
  <c r="L930" i="1"/>
  <c r="M930" i="1" s="1"/>
  <c r="N930" i="1" s="1"/>
  <c r="L931" i="1"/>
  <c r="M931" i="1" s="1"/>
  <c r="N931" i="1" s="1"/>
  <c r="L932" i="1"/>
  <c r="M932" i="1" s="1"/>
  <c r="N932" i="1" s="1"/>
  <c r="L933" i="1"/>
  <c r="M933" i="1" s="1"/>
  <c r="N933" i="1" s="1"/>
  <c r="L934" i="1"/>
  <c r="M934" i="1" s="1"/>
  <c r="N934" i="1" s="1"/>
  <c r="L935" i="1"/>
  <c r="M935" i="1" s="1"/>
  <c r="N935" i="1" s="1"/>
  <c r="L936" i="1"/>
  <c r="M936" i="1" s="1"/>
  <c r="N936" i="1" s="1"/>
  <c r="L937" i="1"/>
  <c r="M937" i="1" s="1"/>
  <c r="N937" i="1" s="1"/>
  <c r="L938" i="1"/>
  <c r="M938" i="1" s="1"/>
  <c r="N938" i="1" s="1"/>
  <c r="L939" i="1"/>
  <c r="M939" i="1" s="1"/>
  <c r="N939" i="1" s="1"/>
  <c r="L940" i="1"/>
  <c r="M940" i="1" s="1"/>
  <c r="N940" i="1" s="1"/>
  <c r="L941" i="1"/>
  <c r="M941" i="1" s="1"/>
  <c r="N941" i="1" s="1"/>
  <c r="L942" i="1"/>
  <c r="M942" i="1" s="1"/>
  <c r="N942" i="1" s="1"/>
  <c r="L943" i="1"/>
  <c r="M943" i="1" s="1"/>
  <c r="N943" i="1" s="1"/>
  <c r="L944" i="1"/>
  <c r="M944" i="1" s="1"/>
  <c r="N944" i="1" s="1"/>
  <c r="L945" i="1"/>
  <c r="M945" i="1" s="1"/>
  <c r="N945" i="1" s="1"/>
  <c r="L946" i="1"/>
  <c r="M946" i="1" s="1"/>
  <c r="N946" i="1" s="1"/>
  <c r="L947" i="1"/>
  <c r="M947" i="1" s="1"/>
  <c r="N947" i="1" s="1"/>
  <c r="L948" i="1"/>
  <c r="M948" i="1" s="1"/>
  <c r="N948" i="1" s="1"/>
  <c r="L949" i="1"/>
  <c r="M949" i="1" s="1"/>
  <c r="N949" i="1" s="1"/>
  <c r="L950" i="1"/>
  <c r="M950" i="1" s="1"/>
  <c r="N950" i="1" s="1"/>
  <c r="L951" i="1"/>
  <c r="M951" i="1" s="1"/>
  <c r="N951" i="1" s="1"/>
  <c r="L952" i="1"/>
  <c r="M952" i="1" s="1"/>
  <c r="N952" i="1" s="1"/>
  <c r="L953" i="1"/>
  <c r="M953" i="1" s="1"/>
  <c r="N953" i="1" s="1"/>
  <c r="L954" i="1"/>
  <c r="M954" i="1" s="1"/>
  <c r="N954" i="1" s="1"/>
  <c r="L955" i="1"/>
  <c r="M955" i="1" s="1"/>
  <c r="N955" i="1" s="1"/>
  <c r="L956" i="1"/>
  <c r="M956" i="1" s="1"/>
  <c r="N956" i="1" s="1"/>
  <c r="L957" i="1"/>
  <c r="M957" i="1" s="1"/>
  <c r="N957" i="1" s="1"/>
  <c r="L958" i="1"/>
  <c r="M958" i="1" s="1"/>
  <c r="N958" i="1" s="1"/>
  <c r="L959" i="1"/>
  <c r="M959" i="1" s="1"/>
  <c r="N959" i="1" s="1"/>
  <c r="L960" i="1"/>
  <c r="M960" i="1" s="1"/>
  <c r="N960" i="1" s="1"/>
  <c r="L961" i="1"/>
  <c r="M961" i="1" s="1"/>
  <c r="N961" i="1" s="1"/>
  <c r="L962" i="1"/>
  <c r="M962" i="1" s="1"/>
  <c r="N962" i="1" s="1"/>
  <c r="L963" i="1"/>
  <c r="M963" i="1" s="1"/>
  <c r="N963" i="1" s="1"/>
  <c r="L964" i="1"/>
  <c r="M964" i="1" s="1"/>
  <c r="N964" i="1" s="1"/>
  <c r="L965" i="1"/>
  <c r="M965" i="1" s="1"/>
  <c r="N965" i="1" s="1"/>
  <c r="L966" i="1"/>
  <c r="M966" i="1" s="1"/>
  <c r="N966" i="1" s="1"/>
  <c r="L967" i="1"/>
  <c r="M967" i="1" s="1"/>
  <c r="N967" i="1" s="1"/>
  <c r="L968" i="1"/>
  <c r="M968" i="1" s="1"/>
  <c r="N968" i="1" s="1"/>
  <c r="L969" i="1"/>
  <c r="M969" i="1" s="1"/>
  <c r="N969" i="1" s="1"/>
  <c r="L970" i="1"/>
  <c r="M970" i="1" s="1"/>
  <c r="N970" i="1" s="1"/>
  <c r="L971" i="1"/>
  <c r="M971" i="1" s="1"/>
  <c r="N971" i="1" s="1"/>
  <c r="L972" i="1"/>
  <c r="M972" i="1" s="1"/>
  <c r="N972" i="1" s="1"/>
  <c r="L973" i="1"/>
  <c r="M973" i="1" s="1"/>
  <c r="N973" i="1" s="1"/>
  <c r="L974" i="1"/>
  <c r="M974" i="1" s="1"/>
  <c r="N974" i="1" s="1"/>
  <c r="L975" i="1"/>
  <c r="M975" i="1" s="1"/>
  <c r="N975" i="1" s="1"/>
  <c r="L976" i="1"/>
  <c r="M976" i="1" s="1"/>
  <c r="N976" i="1" s="1"/>
  <c r="L977" i="1"/>
  <c r="M977" i="1" s="1"/>
  <c r="N977" i="1" s="1"/>
  <c r="L978" i="1"/>
  <c r="M978" i="1" s="1"/>
  <c r="N978" i="1" s="1"/>
  <c r="L979" i="1"/>
  <c r="M979" i="1" s="1"/>
  <c r="N979" i="1" s="1"/>
  <c r="L980" i="1"/>
  <c r="M980" i="1" s="1"/>
  <c r="N980" i="1" s="1"/>
  <c r="L981" i="1"/>
  <c r="M981" i="1" s="1"/>
  <c r="N981" i="1" s="1"/>
  <c r="L982" i="1"/>
  <c r="M982" i="1" s="1"/>
  <c r="N982" i="1" s="1"/>
  <c r="L983" i="1"/>
  <c r="M983" i="1" s="1"/>
  <c r="N983" i="1" s="1"/>
  <c r="L984" i="1"/>
  <c r="M984" i="1" s="1"/>
  <c r="N984" i="1" s="1"/>
  <c r="L985" i="1"/>
  <c r="M985" i="1" s="1"/>
  <c r="N985" i="1" s="1"/>
  <c r="L986" i="1"/>
  <c r="M986" i="1" s="1"/>
  <c r="N986" i="1" s="1"/>
  <c r="L987" i="1"/>
  <c r="M987" i="1" s="1"/>
  <c r="N987" i="1" s="1"/>
  <c r="L988" i="1"/>
  <c r="M988" i="1" s="1"/>
  <c r="N988" i="1" s="1"/>
  <c r="L989" i="1"/>
  <c r="M989" i="1" s="1"/>
  <c r="N989" i="1" s="1"/>
  <c r="L990" i="1"/>
  <c r="M990" i="1" s="1"/>
  <c r="N990" i="1" s="1"/>
  <c r="L991" i="1"/>
  <c r="M991" i="1" s="1"/>
  <c r="N991" i="1" s="1"/>
  <c r="L992" i="1"/>
  <c r="M992" i="1" s="1"/>
  <c r="N992" i="1" s="1"/>
  <c r="L993" i="1"/>
  <c r="M993" i="1" s="1"/>
  <c r="N993" i="1" s="1"/>
  <c r="L994" i="1"/>
  <c r="M994" i="1" s="1"/>
  <c r="N994" i="1" s="1"/>
  <c r="L995" i="1"/>
  <c r="M995" i="1" s="1"/>
  <c r="N995" i="1" s="1"/>
  <c r="L996" i="1"/>
  <c r="M996" i="1" s="1"/>
  <c r="N996" i="1" s="1"/>
  <c r="L997" i="1"/>
  <c r="M997" i="1" s="1"/>
  <c r="N997" i="1" s="1"/>
  <c r="L998" i="1"/>
  <c r="M998" i="1" s="1"/>
  <c r="N998" i="1" s="1"/>
  <c r="L999" i="1"/>
  <c r="M999" i="1" s="1"/>
  <c r="N999" i="1" s="1"/>
  <c r="L1000" i="1"/>
  <c r="M1000" i="1" s="1"/>
  <c r="N1000" i="1" s="1"/>
  <c r="L1001" i="1"/>
  <c r="M1001" i="1" s="1"/>
  <c r="N1001" i="1" s="1"/>
  <c r="L1002" i="1"/>
  <c r="M1002" i="1" s="1"/>
  <c r="N1002" i="1" s="1"/>
  <c r="L1003" i="1"/>
  <c r="M1003" i="1" s="1"/>
  <c r="N1003" i="1" s="1"/>
  <c r="L1004" i="1"/>
  <c r="M1004" i="1" s="1"/>
  <c r="N1004" i="1" s="1"/>
  <c r="L1005" i="1"/>
  <c r="M1005" i="1" s="1"/>
  <c r="N1005" i="1" s="1"/>
  <c r="L1006" i="1"/>
  <c r="M1006" i="1" s="1"/>
  <c r="N1006" i="1" s="1"/>
  <c r="L1007" i="1"/>
  <c r="M1007" i="1" s="1"/>
  <c r="N1007" i="1" s="1"/>
  <c r="L1008" i="1"/>
  <c r="M1008" i="1" s="1"/>
  <c r="N1008" i="1" s="1"/>
  <c r="L1009" i="1"/>
  <c r="M1009" i="1" s="1"/>
  <c r="N1009" i="1" s="1"/>
  <c r="L1010" i="1"/>
  <c r="M1010" i="1" s="1"/>
  <c r="N1010" i="1" s="1"/>
  <c r="L1011" i="1"/>
  <c r="M1011" i="1" s="1"/>
  <c r="N1011" i="1" s="1"/>
  <c r="L1012" i="1"/>
  <c r="M1012" i="1" s="1"/>
  <c r="N1012" i="1" s="1"/>
  <c r="L1013" i="1"/>
  <c r="M1013" i="1" s="1"/>
  <c r="N1013" i="1" s="1"/>
  <c r="L1014" i="1"/>
  <c r="M1014" i="1" s="1"/>
  <c r="N1014" i="1" s="1"/>
  <c r="L1015" i="1"/>
  <c r="M1015" i="1" s="1"/>
  <c r="N1015" i="1" s="1"/>
  <c r="L1016" i="1"/>
  <c r="M1016" i="1" s="1"/>
  <c r="N1016" i="1" s="1"/>
  <c r="L1017" i="1"/>
  <c r="M1017" i="1" s="1"/>
  <c r="N1017" i="1" s="1"/>
  <c r="L1018" i="1"/>
  <c r="M1018" i="1" s="1"/>
  <c r="N1018" i="1" s="1"/>
  <c r="L1019" i="1"/>
  <c r="M1019" i="1" s="1"/>
  <c r="N1019" i="1" s="1"/>
  <c r="L1020" i="1"/>
  <c r="M1020" i="1" s="1"/>
  <c r="N1020" i="1" s="1"/>
  <c r="L1021" i="1"/>
  <c r="M1021" i="1" s="1"/>
  <c r="N1021" i="1" s="1"/>
  <c r="L1022" i="1"/>
  <c r="M1022" i="1" s="1"/>
  <c r="N1022" i="1" s="1"/>
  <c r="L1023" i="1"/>
  <c r="M1023" i="1" s="1"/>
  <c r="N1023" i="1" s="1"/>
  <c r="L1024" i="1"/>
  <c r="M1024" i="1" s="1"/>
  <c r="N1024" i="1" s="1"/>
  <c r="L1025" i="1"/>
  <c r="M1025" i="1" s="1"/>
  <c r="N1025" i="1" s="1"/>
  <c r="L1026" i="1"/>
  <c r="M1026" i="1" s="1"/>
  <c r="N1026" i="1" s="1"/>
  <c r="L1027" i="1"/>
  <c r="M1027" i="1" s="1"/>
  <c r="N1027" i="1" s="1"/>
  <c r="L1028" i="1"/>
  <c r="M1028" i="1" s="1"/>
  <c r="N1028" i="1" s="1"/>
  <c r="L1029" i="1"/>
  <c r="M1029" i="1" s="1"/>
  <c r="N1029" i="1" s="1"/>
  <c r="L1030" i="1"/>
  <c r="M1030" i="1" s="1"/>
  <c r="N1030" i="1" s="1"/>
  <c r="L1031" i="1"/>
  <c r="M1031" i="1" s="1"/>
  <c r="N1031" i="1" s="1"/>
  <c r="L1032" i="1"/>
  <c r="M1032" i="1" s="1"/>
  <c r="N1032" i="1" s="1"/>
  <c r="L1033" i="1"/>
  <c r="M1033" i="1" s="1"/>
  <c r="N1033" i="1" s="1"/>
  <c r="L1034" i="1"/>
  <c r="M1034" i="1" s="1"/>
  <c r="N1034" i="1" s="1"/>
  <c r="L1035" i="1"/>
  <c r="M1035" i="1" s="1"/>
  <c r="N1035" i="1" s="1"/>
  <c r="L1036" i="1"/>
  <c r="M1036" i="1" s="1"/>
  <c r="N1036" i="1" s="1"/>
  <c r="L1037" i="1"/>
  <c r="M1037" i="1" s="1"/>
  <c r="N1037" i="1" s="1"/>
  <c r="L1038" i="1"/>
  <c r="M1038" i="1" s="1"/>
  <c r="N1038" i="1" s="1"/>
  <c r="L1039" i="1"/>
  <c r="M1039" i="1" s="1"/>
  <c r="N1039" i="1" s="1"/>
  <c r="L1040" i="1"/>
  <c r="M1040" i="1" s="1"/>
  <c r="N1040" i="1" s="1"/>
  <c r="L1041" i="1"/>
  <c r="M1041" i="1" s="1"/>
  <c r="N1041" i="1" s="1"/>
  <c r="L1042" i="1"/>
  <c r="M1042" i="1" s="1"/>
  <c r="N1042" i="1" s="1"/>
  <c r="L1043" i="1"/>
  <c r="M1043" i="1" s="1"/>
  <c r="N1043" i="1" s="1"/>
  <c r="L1044" i="1"/>
  <c r="M1044" i="1" s="1"/>
  <c r="N1044" i="1" s="1"/>
  <c r="L1045" i="1"/>
  <c r="M1045" i="1" s="1"/>
  <c r="N1045" i="1" s="1"/>
  <c r="L1046" i="1"/>
  <c r="M1046" i="1" s="1"/>
  <c r="N1046" i="1" s="1"/>
  <c r="L1047" i="1"/>
  <c r="M1047" i="1" s="1"/>
  <c r="N1047" i="1" s="1"/>
  <c r="L1048" i="1"/>
  <c r="M1048" i="1" s="1"/>
  <c r="N1048" i="1" s="1"/>
  <c r="L1049" i="1"/>
  <c r="M1049" i="1" s="1"/>
  <c r="N1049" i="1" s="1"/>
  <c r="L1050" i="1"/>
  <c r="M1050" i="1" s="1"/>
  <c r="N1050" i="1" s="1"/>
  <c r="L1051" i="1"/>
  <c r="M1051" i="1" s="1"/>
  <c r="N1051" i="1" s="1"/>
  <c r="L1052" i="1"/>
  <c r="M1052" i="1" s="1"/>
  <c r="N1052" i="1" s="1"/>
  <c r="L1053" i="1"/>
  <c r="M1053" i="1" s="1"/>
  <c r="N1053" i="1" s="1"/>
  <c r="L1054" i="1"/>
  <c r="M1054" i="1" s="1"/>
  <c r="N1054" i="1" s="1"/>
  <c r="L1055" i="1"/>
  <c r="M1055" i="1" s="1"/>
  <c r="N1055" i="1" s="1"/>
  <c r="L1056" i="1"/>
  <c r="M1056" i="1" s="1"/>
  <c r="N1056" i="1" s="1"/>
  <c r="L1057" i="1"/>
  <c r="M1057" i="1" s="1"/>
  <c r="N1057" i="1" s="1"/>
  <c r="L1058" i="1"/>
  <c r="M1058" i="1" s="1"/>
  <c r="N1058" i="1" s="1"/>
  <c r="L1059" i="1"/>
  <c r="M1059" i="1" s="1"/>
  <c r="N1059" i="1" s="1"/>
  <c r="L1060" i="1"/>
  <c r="M1060" i="1" s="1"/>
  <c r="N1060" i="1" s="1"/>
  <c r="L1061" i="1"/>
  <c r="M1061" i="1" s="1"/>
  <c r="N1061" i="1" s="1"/>
  <c r="L1062" i="1"/>
  <c r="M1062" i="1" s="1"/>
  <c r="N1062" i="1" s="1"/>
  <c r="L1063" i="1"/>
  <c r="M1063" i="1" s="1"/>
  <c r="N1063" i="1" s="1"/>
  <c r="L1064" i="1"/>
  <c r="M1064" i="1" s="1"/>
  <c r="N1064" i="1" s="1"/>
  <c r="L1065" i="1"/>
  <c r="M1065" i="1" s="1"/>
  <c r="N1065" i="1" s="1"/>
  <c r="L1066" i="1"/>
  <c r="M1066" i="1" s="1"/>
  <c r="N1066" i="1" s="1"/>
  <c r="L1067" i="1"/>
  <c r="M1067" i="1" s="1"/>
  <c r="N1067" i="1" s="1"/>
  <c r="L1068" i="1"/>
  <c r="M1068" i="1" s="1"/>
  <c r="N1068" i="1" s="1"/>
  <c r="L1069" i="1"/>
  <c r="M1069" i="1" s="1"/>
  <c r="N1069" i="1" s="1"/>
  <c r="L1070" i="1"/>
  <c r="M1070" i="1" s="1"/>
  <c r="N1070" i="1" s="1"/>
  <c r="L1071" i="1"/>
  <c r="M1071" i="1" s="1"/>
  <c r="N1071" i="1" s="1"/>
  <c r="L1072" i="1"/>
  <c r="M1072" i="1" s="1"/>
  <c r="N1072" i="1" s="1"/>
  <c r="L1073" i="1"/>
  <c r="M1073" i="1" s="1"/>
  <c r="N1073" i="1" s="1"/>
  <c r="L1074" i="1"/>
  <c r="M1074" i="1" s="1"/>
  <c r="N1074" i="1" s="1"/>
  <c r="L1075" i="1"/>
  <c r="M1075" i="1" s="1"/>
  <c r="N1075" i="1" s="1"/>
  <c r="L1076" i="1"/>
  <c r="M1076" i="1" s="1"/>
  <c r="N1076" i="1" s="1"/>
  <c r="L1077" i="1"/>
  <c r="M1077" i="1" s="1"/>
  <c r="N1077" i="1" s="1"/>
  <c r="L1078" i="1"/>
  <c r="M1078" i="1" s="1"/>
  <c r="N1078" i="1" s="1"/>
  <c r="L1079" i="1"/>
  <c r="M1079" i="1" s="1"/>
  <c r="N1079" i="1" s="1"/>
  <c r="L1080" i="1"/>
  <c r="M1080" i="1" s="1"/>
  <c r="N1080" i="1" s="1"/>
  <c r="L1081" i="1"/>
  <c r="M1081" i="1" s="1"/>
  <c r="N1081" i="1" s="1"/>
  <c r="L1082" i="1"/>
  <c r="M1082" i="1" s="1"/>
  <c r="N1082" i="1" s="1"/>
  <c r="L1083" i="1"/>
  <c r="M1083" i="1" s="1"/>
  <c r="N1083" i="1" s="1"/>
  <c r="L1084" i="1"/>
  <c r="M1084" i="1" s="1"/>
  <c r="N1084" i="1" s="1"/>
  <c r="L1085" i="1"/>
  <c r="M1085" i="1" s="1"/>
  <c r="N1085" i="1" s="1"/>
  <c r="L1086" i="1"/>
  <c r="M1086" i="1" s="1"/>
  <c r="N1086" i="1" s="1"/>
  <c r="L1087" i="1"/>
  <c r="M1087" i="1" s="1"/>
  <c r="N1087" i="1" s="1"/>
  <c r="L1088" i="1"/>
  <c r="M1088" i="1" s="1"/>
  <c r="N1088" i="1" s="1"/>
  <c r="L1089" i="1"/>
  <c r="M1089" i="1" s="1"/>
  <c r="N1089" i="1" s="1"/>
  <c r="L1090" i="1"/>
  <c r="M1090" i="1" s="1"/>
  <c r="N1090" i="1" s="1"/>
  <c r="L1091" i="1"/>
  <c r="M1091" i="1" s="1"/>
  <c r="N1091" i="1" s="1"/>
  <c r="L1092" i="1"/>
  <c r="M1092" i="1" s="1"/>
  <c r="N1092" i="1" s="1"/>
  <c r="L1093" i="1"/>
  <c r="M1093" i="1" s="1"/>
  <c r="N1093" i="1" s="1"/>
  <c r="L1094" i="1"/>
  <c r="M1094" i="1" s="1"/>
  <c r="N1094" i="1" s="1"/>
  <c r="L1095" i="1"/>
  <c r="M1095" i="1" s="1"/>
  <c r="N1095" i="1" s="1"/>
  <c r="L1096" i="1"/>
  <c r="M1096" i="1" s="1"/>
  <c r="N1096" i="1" s="1"/>
  <c r="L1097" i="1"/>
  <c r="M1097" i="1" s="1"/>
  <c r="N1097" i="1" s="1"/>
  <c r="L1098" i="1"/>
  <c r="M1098" i="1" s="1"/>
  <c r="N1098" i="1" s="1"/>
  <c r="L1099" i="1"/>
  <c r="M1099" i="1" s="1"/>
  <c r="N1099" i="1" s="1"/>
  <c r="L1100" i="1"/>
  <c r="M1100" i="1" s="1"/>
  <c r="N1100" i="1" s="1"/>
  <c r="L1101" i="1"/>
  <c r="M1101" i="1" s="1"/>
  <c r="N1101" i="1" s="1"/>
  <c r="L1102" i="1"/>
  <c r="M1102" i="1" s="1"/>
  <c r="N1102" i="1" s="1"/>
  <c r="L1103" i="1"/>
  <c r="M1103" i="1" s="1"/>
  <c r="N1103" i="1" s="1"/>
  <c r="L1104" i="1"/>
  <c r="M1104" i="1" s="1"/>
  <c r="N1104" i="1" s="1"/>
  <c r="L1105" i="1"/>
  <c r="M1105" i="1" s="1"/>
  <c r="N1105" i="1" s="1"/>
  <c r="L1106" i="1"/>
  <c r="M1106" i="1" s="1"/>
  <c r="N1106" i="1" s="1"/>
  <c r="L1107" i="1"/>
  <c r="M1107" i="1" s="1"/>
  <c r="N1107" i="1" s="1"/>
  <c r="L1108" i="1"/>
  <c r="M1108" i="1" s="1"/>
  <c r="N1108" i="1" s="1"/>
  <c r="L1109" i="1"/>
  <c r="M1109" i="1" s="1"/>
  <c r="N1109" i="1" s="1"/>
  <c r="L1110" i="1"/>
  <c r="M1110" i="1" s="1"/>
  <c r="N1110" i="1" s="1"/>
  <c r="L1111" i="1"/>
  <c r="M1111" i="1" s="1"/>
  <c r="N1111" i="1" s="1"/>
  <c r="L1112" i="1"/>
  <c r="M1112" i="1" s="1"/>
  <c r="N1112" i="1" s="1"/>
  <c r="L1113" i="1"/>
  <c r="M1113" i="1" s="1"/>
  <c r="N1113" i="1" s="1"/>
  <c r="L1114" i="1"/>
  <c r="M1114" i="1" s="1"/>
  <c r="N1114" i="1" s="1"/>
  <c r="L1115" i="1"/>
  <c r="M1115" i="1" s="1"/>
  <c r="N1115" i="1" s="1"/>
  <c r="L1116" i="1"/>
  <c r="M1116" i="1" s="1"/>
  <c r="N1116" i="1" s="1"/>
  <c r="L1117" i="1"/>
  <c r="M1117" i="1" s="1"/>
  <c r="N1117" i="1" s="1"/>
  <c r="L1118" i="1"/>
  <c r="M1118" i="1" s="1"/>
  <c r="N1118" i="1" s="1"/>
  <c r="L1119" i="1"/>
  <c r="M1119" i="1" s="1"/>
  <c r="N1119" i="1" s="1"/>
  <c r="L1120" i="1"/>
  <c r="M1120" i="1" s="1"/>
  <c r="N1120" i="1" s="1"/>
  <c r="L1121" i="1"/>
  <c r="M1121" i="1" s="1"/>
  <c r="N1121" i="1" s="1"/>
  <c r="L1122" i="1"/>
  <c r="M1122" i="1" s="1"/>
  <c r="N1122" i="1" s="1"/>
  <c r="L1123" i="1"/>
  <c r="M1123" i="1" s="1"/>
  <c r="N1123" i="1" s="1"/>
  <c r="L1124" i="1"/>
  <c r="M1124" i="1" s="1"/>
  <c r="N1124" i="1" s="1"/>
  <c r="L1125" i="1"/>
  <c r="M1125" i="1" s="1"/>
  <c r="N1125" i="1" s="1"/>
  <c r="L1126" i="1"/>
  <c r="M1126" i="1" s="1"/>
  <c r="N1126" i="1" s="1"/>
  <c r="L1127" i="1"/>
  <c r="M1127" i="1" s="1"/>
  <c r="N1127" i="1" s="1"/>
  <c r="L1128" i="1"/>
  <c r="M1128" i="1" s="1"/>
  <c r="N1128" i="1" s="1"/>
  <c r="L1129" i="1"/>
  <c r="M1129" i="1" s="1"/>
  <c r="N1129" i="1" s="1"/>
  <c r="L1130" i="1"/>
  <c r="M1130" i="1" s="1"/>
  <c r="N1130" i="1" s="1"/>
  <c r="L1131" i="1"/>
  <c r="M1131" i="1" s="1"/>
  <c r="N1131" i="1" s="1"/>
  <c r="L1132" i="1"/>
  <c r="M1132" i="1" s="1"/>
  <c r="N1132" i="1" s="1"/>
  <c r="L1133" i="1"/>
  <c r="M1133" i="1" s="1"/>
  <c r="N1133" i="1" s="1"/>
  <c r="L1134" i="1"/>
  <c r="M1134" i="1" s="1"/>
  <c r="N1134" i="1" s="1"/>
  <c r="L1135" i="1"/>
  <c r="M1135" i="1" s="1"/>
  <c r="N1135" i="1" s="1"/>
  <c r="L1136" i="1"/>
  <c r="M1136" i="1" s="1"/>
  <c r="N1136" i="1" s="1"/>
  <c r="L1137" i="1"/>
  <c r="M1137" i="1" s="1"/>
  <c r="N1137" i="1" s="1"/>
  <c r="L1138" i="1"/>
  <c r="M1138" i="1" s="1"/>
  <c r="N1138" i="1" s="1"/>
  <c r="L1139" i="1"/>
  <c r="M1139" i="1" s="1"/>
  <c r="N1139" i="1" s="1"/>
  <c r="L1140" i="1"/>
  <c r="M1140" i="1" s="1"/>
  <c r="N1140" i="1" s="1"/>
  <c r="L1141" i="1"/>
  <c r="M1141" i="1" s="1"/>
  <c r="N1141" i="1" s="1"/>
  <c r="L1142" i="1"/>
  <c r="M1142" i="1" s="1"/>
  <c r="N1142" i="1" s="1"/>
  <c r="L1143" i="1"/>
  <c r="M1143" i="1" s="1"/>
  <c r="N1143" i="1" s="1"/>
  <c r="L1144" i="1"/>
  <c r="M1144" i="1" s="1"/>
  <c r="N1144" i="1" s="1"/>
  <c r="L1145" i="1"/>
  <c r="M1145" i="1" s="1"/>
  <c r="N1145" i="1" s="1"/>
  <c r="L1146" i="1"/>
  <c r="M1146" i="1" s="1"/>
  <c r="N1146" i="1" s="1"/>
  <c r="L1147" i="1"/>
  <c r="M1147" i="1" s="1"/>
  <c r="N1147" i="1" s="1"/>
  <c r="L1148" i="1"/>
  <c r="M1148" i="1" s="1"/>
  <c r="N1148" i="1" s="1"/>
  <c r="L1149" i="1"/>
  <c r="M1149" i="1" s="1"/>
  <c r="N1149" i="1" s="1"/>
  <c r="L1150" i="1"/>
  <c r="M1150" i="1" s="1"/>
  <c r="N1150" i="1" s="1"/>
  <c r="L1151" i="1"/>
  <c r="M1151" i="1" s="1"/>
  <c r="N1151" i="1" s="1"/>
  <c r="L1152" i="1"/>
  <c r="M1152" i="1" s="1"/>
  <c r="N1152" i="1" s="1"/>
  <c r="L1153" i="1"/>
  <c r="M1153" i="1" s="1"/>
  <c r="N1153" i="1" s="1"/>
  <c r="L1154" i="1"/>
  <c r="M1154" i="1" s="1"/>
  <c r="N1154" i="1" s="1"/>
  <c r="L1155" i="1"/>
  <c r="M1155" i="1" s="1"/>
  <c r="N1155" i="1" s="1"/>
  <c r="L1156" i="1"/>
  <c r="M1156" i="1" s="1"/>
  <c r="N1156" i="1" s="1"/>
  <c r="L1157" i="1"/>
  <c r="M1157" i="1" s="1"/>
  <c r="N1157" i="1" s="1"/>
  <c r="L1158" i="1"/>
  <c r="M1158" i="1" s="1"/>
  <c r="N1158" i="1" s="1"/>
  <c r="L1159" i="1"/>
  <c r="M1159" i="1" s="1"/>
  <c r="N1159" i="1" s="1"/>
  <c r="L1160" i="1"/>
  <c r="M1160" i="1" s="1"/>
  <c r="N1160" i="1" s="1"/>
  <c r="L1161" i="1"/>
  <c r="M1161" i="1" s="1"/>
  <c r="N1161" i="1" s="1"/>
  <c r="L1162" i="1"/>
  <c r="M1162" i="1" s="1"/>
  <c r="N1162" i="1" s="1"/>
  <c r="L1163" i="1"/>
  <c r="M1163" i="1" s="1"/>
  <c r="N1163" i="1" s="1"/>
  <c r="L1164" i="1"/>
  <c r="M1164" i="1" s="1"/>
  <c r="N1164" i="1" s="1"/>
  <c r="L1165" i="1"/>
  <c r="M1165" i="1" s="1"/>
  <c r="N1165" i="1" s="1"/>
  <c r="L1166" i="1"/>
  <c r="M1166" i="1" s="1"/>
  <c r="N1166" i="1" s="1"/>
  <c r="L1167" i="1"/>
  <c r="M1167" i="1" s="1"/>
  <c r="N1167" i="1" s="1"/>
  <c r="L1168" i="1"/>
  <c r="M1168" i="1" s="1"/>
  <c r="N1168" i="1" s="1"/>
  <c r="L1169" i="1"/>
  <c r="M1169" i="1" s="1"/>
  <c r="N1169" i="1" s="1"/>
  <c r="L1170" i="1"/>
  <c r="M1170" i="1" s="1"/>
  <c r="N1170" i="1" s="1"/>
  <c r="L1171" i="1"/>
  <c r="M1171" i="1" s="1"/>
  <c r="N1171" i="1" s="1"/>
  <c r="L1172" i="1"/>
  <c r="M1172" i="1" s="1"/>
  <c r="N1172" i="1" s="1"/>
  <c r="L1173" i="1"/>
  <c r="M1173" i="1" s="1"/>
  <c r="N1173" i="1" s="1"/>
  <c r="L1174" i="1"/>
  <c r="M1174" i="1" s="1"/>
  <c r="N1174" i="1" s="1"/>
  <c r="L1175" i="1"/>
  <c r="M1175" i="1" s="1"/>
  <c r="N1175" i="1" s="1"/>
  <c r="L1176" i="1"/>
  <c r="M1176" i="1" s="1"/>
  <c r="N1176" i="1" s="1"/>
  <c r="L1177" i="1"/>
  <c r="M1177" i="1" s="1"/>
  <c r="N1177" i="1" s="1"/>
  <c r="L1178" i="1"/>
  <c r="M1178" i="1" s="1"/>
  <c r="N1178" i="1" s="1"/>
  <c r="L1179" i="1"/>
  <c r="M1179" i="1" s="1"/>
  <c r="N1179" i="1" s="1"/>
  <c r="L1180" i="1"/>
  <c r="M1180" i="1" s="1"/>
  <c r="N1180" i="1" s="1"/>
  <c r="L1181" i="1"/>
  <c r="M1181" i="1" s="1"/>
  <c r="N1181" i="1" s="1"/>
  <c r="L1182" i="1"/>
  <c r="M1182" i="1" s="1"/>
  <c r="N1182" i="1" s="1"/>
  <c r="L1183" i="1"/>
  <c r="M1183" i="1" s="1"/>
  <c r="N1183" i="1" s="1"/>
  <c r="L1184" i="1"/>
  <c r="M1184" i="1" s="1"/>
  <c r="N1184" i="1" s="1"/>
  <c r="L1185" i="1"/>
  <c r="M1185" i="1" s="1"/>
  <c r="N1185" i="1" s="1"/>
  <c r="L1186" i="1"/>
  <c r="M1186" i="1" s="1"/>
  <c r="N1186" i="1" s="1"/>
  <c r="L1187" i="1"/>
  <c r="M1187" i="1" s="1"/>
  <c r="N1187" i="1" s="1"/>
  <c r="L1188" i="1"/>
  <c r="M1188" i="1" s="1"/>
  <c r="N1188" i="1" s="1"/>
  <c r="L1189" i="1"/>
  <c r="M1189" i="1" s="1"/>
  <c r="N1189" i="1" s="1"/>
  <c r="L1190" i="1"/>
  <c r="M1190" i="1" s="1"/>
  <c r="N1190" i="1" s="1"/>
  <c r="L1191" i="1"/>
  <c r="M1191" i="1" s="1"/>
  <c r="N1191" i="1" s="1"/>
  <c r="L1192" i="1"/>
  <c r="M1192" i="1" s="1"/>
  <c r="N1192" i="1" s="1"/>
  <c r="L1193" i="1"/>
  <c r="M1193" i="1" s="1"/>
  <c r="N1193" i="1" s="1"/>
  <c r="L1194" i="1"/>
  <c r="M1194" i="1" s="1"/>
  <c r="N1194" i="1" s="1"/>
  <c r="L1195" i="1"/>
  <c r="M1195" i="1" s="1"/>
  <c r="N1195" i="1" s="1"/>
  <c r="L1196" i="1"/>
  <c r="M1196" i="1" s="1"/>
  <c r="N1196" i="1" s="1"/>
  <c r="L1197" i="1"/>
  <c r="M1197" i="1" s="1"/>
  <c r="N1197" i="1" s="1"/>
  <c r="L1198" i="1"/>
  <c r="M1198" i="1" s="1"/>
  <c r="N1198" i="1" s="1"/>
  <c r="L1199" i="1"/>
  <c r="M1199" i="1" s="1"/>
  <c r="N1199" i="1" s="1"/>
  <c r="L1200" i="1"/>
  <c r="M1200" i="1" s="1"/>
  <c r="N1200" i="1" s="1"/>
  <c r="L1201" i="1"/>
  <c r="M1201" i="1" s="1"/>
  <c r="N1201" i="1" s="1"/>
  <c r="L1202" i="1"/>
  <c r="M1202" i="1" s="1"/>
  <c r="N1202" i="1" s="1"/>
  <c r="L1203" i="1"/>
  <c r="M1203" i="1" s="1"/>
  <c r="N1203" i="1" s="1"/>
  <c r="L1204" i="1"/>
  <c r="M1204" i="1" s="1"/>
  <c r="N1204" i="1" s="1"/>
  <c r="L1205" i="1"/>
  <c r="M1205" i="1" s="1"/>
  <c r="N1205" i="1" s="1"/>
  <c r="L1206" i="1"/>
  <c r="M1206" i="1" s="1"/>
  <c r="N1206" i="1" s="1"/>
  <c r="L1207" i="1"/>
  <c r="M1207" i="1" s="1"/>
  <c r="N1207" i="1" s="1"/>
  <c r="L1208" i="1"/>
  <c r="M1208" i="1" s="1"/>
  <c r="N1208" i="1" s="1"/>
  <c r="L1209" i="1"/>
  <c r="M1209" i="1" s="1"/>
  <c r="N1209" i="1" s="1"/>
  <c r="L1210" i="1"/>
  <c r="M1210" i="1" s="1"/>
  <c r="N1210" i="1" s="1"/>
  <c r="L1211" i="1"/>
  <c r="M1211" i="1" s="1"/>
  <c r="N1211" i="1" s="1"/>
  <c r="L1212" i="1"/>
  <c r="M1212" i="1" s="1"/>
  <c r="N1212" i="1" s="1"/>
  <c r="L1213" i="1"/>
  <c r="M1213" i="1" s="1"/>
  <c r="N1213" i="1" s="1"/>
  <c r="L1214" i="1"/>
  <c r="M1214" i="1" s="1"/>
  <c r="N1214" i="1" s="1"/>
  <c r="L1215" i="1"/>
  <c r="M1215" i="1" s="1"/>
  <c r="N1215" i="1" s="1"/>
  <c r="L1216" i="1"/>
  <c r="M1216" i="1" s="1"/>
  <c r="N1216" i="1" s="1"/>
  <c r="L1217" i="1"/>
  <c r="M1217" i="1" s="1"/>
  <c r="N1217" i="1" s="1"/>
  <c r="L1218" i="1"/>
  <c r="M1218" i="1" s="1"/>
  <c r="N1218" i="1" s="1"/>
  <c r="L1219" i="1"/>
  <c r="M1219" i="1" s="1"/>
  <c r="N1219" i="1" s="1"/>
  <c r="L1220" i="1"/>
  <c r="M1220" i="1" s="1"/>
  <c r="N1220" i="1" s="1"/>
  <c r="L1221" i="1"/>
  <c r="M1221" i="1" s="1"/>
  <c r="N1221" i="1" s="1"/>
  <c r="L1222" i="1"/>
  <c r="M1222" i="1" s="1"/>
  <c r="N1222" i="1" s="1"/>
  <c r="L1223" i="1"/>
  <c r="M1223" i="1" s="1"/>
  <c r="N1223" i="1" s="1"/>
  <c r="L1224" i="1"/>
  <c r="M1224" i="1" s="1"/>
  <c r="N1224" i="1" s="1"/>
  <c r="L1225" i="1"/>
  <c r="M1225" i="1" s="1"/>
  <c r="N1225" i="1" s="1"/>
  <c r="L1226" i="1"/>
  <c r="M1226" i="1" s="1"/>
  <c r="N1226" i="1" s="1"/>
  <c r="L1227" i="1"/>
  <c r="M1227" i="1" s="1"/>
  <c r="N1227" i="1" s="1"/>
  <c r="L1228" i="1"/>
  <c r="M1228" i="1" s="1"/>
  <c r="N1228" i="1" s="1"/>
  <c r="L1229" i="1"/>
  <c r="M1229" i="1" s="1"/>
  <c r="N1229" i="1" s="1"/>
  <c r="L1230" i="1"/>
  <c r="M1230" i="1" s="1"/>
  <c r="N1230" i="1" s="1"/>
  <c r="L1231" i="1"/>
  <c r="M1231" i="1" s="1"/>
  <c r="N1231" i="1" s="1"/>
  <c r="L1232" i="1"/>
  <c r="M1232" i="1" s="1"/>
  <c r="N1232" i="1" s="1"/>
  <c r="L1233" i="1"/>
  <c r="M1233" i="1" s="1"/>
  <c r="N1233" i="1" s="1"/>
  <c r="L1234" i="1"/>
  <c r="M1234" i="1" s="1"/>
  <c r="N1234" i="1" s="1"/>
  <c r="L1235" i="1"/>
  <c r="M1235" i="1" s="1"/>
  <c r="N1235" i="1" s="1"/>
  <c r="L1236" i="1"/>
  <c r="M1236" i="1" s="1"/>
  <c r="N1236" i="1" s="1"/>
  <c r="L1237" i="1"/>
  <c r="M1237" i="1" s="1"/>
  <c r="N1237" i="1" s="1"/>
  <c r="L1238" i="1"/>
  <c r="M1238" i="1" s="1"/>
  <c r="N1238" i="1" s="1"/>
  <c r="L1239" i="1"/>
  <c r="M1239" i="1" s="1"/>
  <c r="N1239" i="1" s="1"/>
  <c r="L1240" i="1"/>
  <c r="M1240" i="1" s="1"/>
  <c r="N1240" i="1" s="1"/>
  <c r="L1241" i="1"/>
  <c r="M1241" i="1" s="1"/>
  <c r="N1241" i="1" s="1"/>
  <c r="L1242" i="1"/>
  <c r="M1242" i="1" s="1"/>
  <c r="N1242" i="1" s="1"/>
  <c r="L1243" i="1"/>
  <c r="M1243" i="1" s="1"/>
  <c r="N1243" i="1" s="1"/>
  <c r="L1244" i="1"/>
  <c r="M1244" i="1" s="1"/>
  <c r="N1244" i="1" s="1"/>
  <c r="L1245" i="1"/>
  <c r="M1245" i="1" s="1"/>
  <c r="N1245" i="1" s="1"/>
  <c r="L1246" i="1"/>
  <c r="M1246" i="1" s="1"/>
  <c r="N1246" i="1" s="1"/>
  <c r="L1247" i="1"/>
  <c r="M1247" i="1" s="1"/>
  <c r="N1247" i="1" s="1"/>
  <c r="L1248" i="1"/>
  <c r="M1248" i="1" s="1"/>
  <c r="N1248" i="1" s="1"/>
  <c r="L1249" i="1"/>
  <c r="M1249" i="1" s="1"/>
  <c r="N1249" i="1" s="1"/>
  <c r="L1250" i="1"/>
  <c r="M1250" i="1" s="1"/>
  <c r="N1250" i="1" s="1"/>
  <c r="L1251" i="1"/>
  <c r="M1251" i="1" s="1"/>
  <c r="N1251" i="1" s="1"/>
  <c r="L1252" i="1"/>
  <c r="M1252" i="1" s="1"/>
  <c r="N1252" i="1" s="1"/>
  <c r="L1253" i="1"/>
  <c r="M1253" i="1" s="1"/>
  <c r="N1253" i="1" s="1"/>
  <c r="L1254" i="1"/>
  <c r="M1254" i="1" s="1"/>
  <c r="N1254" i="1" s="1"/>
  <c r="L1255" i="1"/>
  <c r="M1255" i="1" s="1"/>
  <c r="N1255" i="1" s="1"/>
  <c r="L1256" i="1"/>
  <c r="M1256" i="1" s="1"/>
  <c r="N1256" i="1" s="1"/>
  <c r="L1257" i="1"/>
  <c r="M1257" i="1" s="1"/>
  <c r="N1257" i="1" s="1"/>
  <c r="L1258" i="1"/>
  <c r="M1258" i="1" s="1"/>
  <c r="N1258" i="1" s="1"/>
  <c r="L1259" i="1"/>
  <c r="M1259" i="1" s="1"/>
  <c r="N1259" i="1" s="1"/>
  <c r="L1260" i="1"/>
  <c r="M1260" i="1" s="1"/>
  <c r="N1260" i="1" s="1"/>
  <c r="L1261" i="1"/>
  <c r="M1261" i="1" s="1"/>
  <c r="N1261" i="1" s="1"/>
  <c r="L1262" i="1"/>
  <c r="M1262" i="1" s="1"/>
  <c r="N1262" i="1" s="1"/>
  <c r="L1263" i="1"/>
  <c r="M1263" i="1" s="1"/>
  <c r="N1263" i="1" s="1"/>
  <c r="L1264" i="1"/>
  <c r="M1264" i="1" s="1"/>
  <c r="N1264" i="1" s="1"/>
  <c r="L1265" i="1"/>
  <c r="M1265" i="1" s="1"/>
  <c r="N1265" i="1" s="1"/>
  <c r="L1266" i="1"/>
  <c r="M1266" i="1" s="1"/>
  <c r="N1266" i="1" s="1"/>
  <c r="L1267" i="1"/>
  <c r="M1267" i="1" s="1"/>
  <c r="N1267" i="1" s="1"/>
  <c r="L1268" i="1"/>
  <c r="M1268" i="1" s="1"/>
  <c r="N1268" i="1" s="1"/>
  <c r="L1269" i="1"/>
  <c r="M1269" i="1" s="1"/>
  <c r="N1269" i="1" s="1"/>
  <c r="L1270" i="1"/>
  <c r="M1270" i="1" s="1"/>
  <c r="N1270" i="1" s="1"/>
  <c r="L1271" i="1"/>
  <c r="M1271" i="1" s="1"/>
  <c r="N1271" i="1" s="1"/>
  <c r="L1272" i="1"/>
  <c r="M1272" i="1" s="1"/>
  <c r="N1272" i="1" s="1"/>
  <c r="L1273" i="1"/>
  <c r="M1273" i="1" s="1"/>
  <c r="N1273" i="1" s="1"/>
  <c r="L1274" i="1"/>
  <c r="M1274" i="1" s="1"/>
  <c r="N1274" i="1" s="1"/>
  <c r="L1275" i="1"/>
  <c r="M1275" i="1" s="1"/>
  <c r="N1275" i="1" s="1"/>
  <c r="L1276" i="1"/>
  <c r="M1276" i="1" s="1"/>
  <c r="N1276" i="1" s="1"/>
  <c r="L1277" i="1"/>
  <c r="M1277" i="1" s="1"/>
  <c r="N1277" i="1" s="1"/>
  <c r="L1278" i="1"/>
  <c r="M1278" i="1" s="1"/>
  <c r="N1278" i="1" s="1"/>
  <c r="L1279" i="1"/>
  <c r="M1279" i="1" s="1"/>
  <c r="N1279" i="1" s="1"/>
  <c r="L1280" i="1"/>
  <c r="M1280" i="1" s="1"/>
  <c r="N1280" i="1" s="1"/>
  <c r="L1281" i="1"/>
  <c r="M1281" i="1" s="1"/>
  <c r="N1281" i="1" s="1"/>
  <c r="L1282" i="1"/>
  <c r="M1282" i="1" s="1"/>
  <c r="N1282" i="1" s="1"/>
  <c r="L1283" i="1"/>
  <c r="M1283" i="1" s="1"/>
  <c r="N1283" i="1" s="1"/>
  <c r="L1284" i="1"/>
  <c r="M1284" i="1" s="1"/>
  <c r="N1284" i="1" s="1"/>
  <c r="L1285" i="1"/>
  <c r="M1285" i="1" s="1"/>
  <c r="N1285" i="1" s="1"/>
  <c r="L1286" i="1"/>
  <c r="M1286" i="1" s="1"/>
  <c r="N1286" i="1" s="1"/>
  <c r="L1287" i="1"/>
  <c r="M1287" i="1" s="1"/>
  <c r="N1287" i="1" s="1"/>
  <c r="L1288" i="1"/>
  <c r="M1288" i="1" s="1"/>
  <c r="N1288" i="1" s="1"/>
  <c r="L1289" i="1"/>
  <c r="M1289" i="1" s="1"/>
  <c r="N1289" i="1" s="1"/>
  <c r="L1290" i="1"/>
  <c r="M1290" i="1" s="1"/>
  <c r="N1290" i="1" s="1"/>
  <c r="L1291" i="1"/>
  <c r="M1291" i="1" s="1"/>
  <c r="N1291" i="1" s="1"/>
  <c r="L1292" i="1"/>
  <c r="M1292" i="1" s="1"/>
  <c r="N1292" i="1" s="1"/>
  <c r="L1293" i="1"/>
  <c r="M1293" i="1" s="1"/>
  <c r="N1293" i="1" s="1"/>
  <c r="L1294" i="1"/>
  <c r="M1294" i="1" s="1"/>
  <c r="N1294" i="1" s="1"/>
  <c r="L1295" i="1"/>
  <c r="M1295" i="1" s="1"/>
  <c r="N1295" i="1" s="1"/>
  <c r="L1296" i="1"/>
  <c r="M1296" i="1" s="1"/>
  <c r="N1296" i="1" s="1"/>
  <c r="L1297" i="1"/>
  <c r="M1297" i="1" s="1"/>
  <c r="N1297" i="1" s="1"/>
  <c r="L1298" i="1"/>
  <c r="M1298" i="1" s="1"/>
  <c r="N1298" i="1" s="1"/>
  <c r="L1299" i="1"/>
  <c r="M1299" i="1" s="1"/>
  <c r="N1299" i="1" s="1"/>
  <c r="L1300" i="1"/>
  <c r="M1300" i="1" s="1"/>
  <c r="N1300" i="1" s="1"/>
  <c r="L1301" i="1"/>
  <c r="M1301" i="1" s="1"/>
  <c r="N1301" i="1" s="1"/>
  <c r="L1302" i="1"/>
  <c r="M1302" i="1" s="1"/>
  <c r="N1302" i="1" s="1"/>
  <c r="L1303" i="1"/>
  <c r="M1303" i="1" s="1"/>
  <c r="N1303" i="1" s="1"/>
  <c r="L1304" i="1"/>
  <c r="M1304" i="1" s="1"/>
  <c r="N1304" i="1" s="1"/>
  <c r="L1305" i="1"/>
  <c r="M1305" i="1" s="1"/>
  <c r="N1305" i="1" s="1"/>
  <c r="L1306" i="1"/>
  <c r="M1306" i="1" s="1"/>
  <c r="N1306" i="1" s="1"/>
  <c r="L1307" i="1"/>
  <c r="M1307" i="1" s="1"/>
  <c r="N1307" i="1" s="1"/>
  <c r="L1308" i="1"/>
  <c r="M1308" i="1" s="1"/>
  <c r="N1308" i="1" s="1"/>
  <c r="L1309" i="1"/>
  <c r="M1309" i="1" s="1"/>
  <c r="N1309" i="1" s="1"/>
  <c r="L1310" i="1"/>
  <c r="M1310" i="1" s="1"/>
  <c r="N1310" i="1" s="1"/>
  <c r="L1311" i="1"/>
  <c r="M1311" i="1" s="1"/>
  <c r="N1311" i="1" s="1"/>
  <c r="L1312" i="1"/>
  <c r="M1312" i="1" s="1"/>
  <c r="N1312" i="1" s="1"/>
  <c r="L1313" i="1"/>
  <c r="M1313" i="1" s="1"/>
  <c r="N1313" i="1" s="1"/>
  <c r="L1314" i="1"/>
  <c r="M1314" i="1" s="1"/>
  <c r="N1314" i="1" s="1"/>
  <c r="L1315" i="1"/>
  <c r="M1315" i="1" s="1"/>
  <c r="N1315" i="1" s="1"/>
  <c r="L1316" i="1"/>
  <c r="M1316" i="1" s="1"/>
  <c r="N1316" i="1" s="1"/>
  <c r="L1317" i="1"/>
  <c r="M1317" i="1" s="1"/>
  <c r="N1317" i="1" s="1"/>
  <c r="L1318" i="1"/>
  <c r="M1318" i="1" s="1"/>
  <c r="N1318" i="1" s="1"/>
  <c r="L1319" i="1"/>
  <c r="M1319" i="1" s="1"/>
  <c r="N1319" i="1" s="1"/>
  <c r="L1320" i="1"/>
  <c r="M1320" i="1" s="1"/>
  <c r="N1320" i="1" s="1"/>
  <c r="L1321" i="1"/>
  <c r="M1321" i="1" s="1"/>
  <c r="N1321" i="1" s="1"/>
  <c r="L1322" i="1"/>
  <c r="M1322" i="1" s="1"/>
  <c r="N1322" i="1" s="1"/>
  <c r="L1323" i="1"/>
  <c r="M1323" i="1" s="1"/>
  <c r="N1323" i="1" s="1"/>
  <c r="L1324" i="1"/>
  <c r="M1324" i="1" s="1"/>
  <c r="N1324" i="1" s="1"/>
  <c r="L1325" i="1"/>
  <c r="M1325" i="1" s="1"/>
  <c r="N1325" i="1" s="1"/>
  <c r="L1326" i="1"/>
  <c r="M1326" i="1" s="1"/>
  <c r="N1326" i="1" s="1"/>
  <c r="L1327" i="1"/>
  <c r="M1327" i="1" s="1"/>
  <c r="N1327" i="1" s="1"/>
  <c r="L1328" i="1"/>
  <c r="M1328" i="1" s="1"/>
  <c r="N1328" i="1" s="1"/>
  <c r="L1329" i="1"/>
  <c r="M1329" i="1" s="1"/>
  <c r="N1329" i="1" s="1"/>
  <c r="L1330" i="1"/>
  <c r="M1330" i="1" s="1"/>
  <c r="N1330" i="1" s="1"/>
  <c r="L1331" i="1"/>
  <c r="M1331" i="1" s="1"/>
  <c r="N1331" i="1" s="1"/>
  <c r="L1332" i="1"/>
  <c r="M1332" i="1" s="1"/>
  <c r="N1332" i="1" s="1"/>
  <c r="L1333" i="1"/>
  <c r="M1333" i="1" s="1"/>
  <c r="N1333" i="1" s="1"/>
  <c r="L1334" i="1"/>
  <c r="M1334" i="1" s="1"/>
  <c r="N1334" i="1" s="1"/>
  <c r="L1335" i="1"/>
  <c r="M1335" i="1" s="1"/>
  <c r="N1335" i="1" s="1"/>
  <c r="L1336" i="1"/>
  <c r="M1336" i="1" s="1"/>
  <c r="N1336" i="1" s="1"/>
  <c r="L1337" i="1"/>
  <c r="M1337" i="1" s="1"/>
  <c r="N1337" i="1" s="1"/>
  <c r="L1338" i="1"/>
  <c r="M1338" i="1" s="1"/>
  <c r="N1338" i="1" s="1"/>
  <c r="L1339" i="1"/>
  <c r="M1339" i="1" s="1"/>
  <c r="N1339" i="1" s="1"/>
  <c r="L1340" i="1"/>
  <c r="M1340" i="1" s="1"/>
  <c r="N1340" i="1" s="1"/>
  <c r="L1341" i="1"/>
  <c r="M1341" i="1" s="1"/>
  <c r="N1341" i="1" s="1"/>
  <c r="L1342" i="1"/>
  <c r="M1342" i="1" s="1"/>
  <c r="N1342" i="1" s="1"/>
  <c r="L1343" i="1"/>
  <c r="M1343" i="1" s="1"/>
  <c r="N1343" i="1" s="1"/>
  <c r="L1344" i="1"/>
  <c r="M1344" i="1" s="1"/>
  <c r="N1344" i="1" s="1"/>
  <c r="L1345" i="1"/>
  <c r="M1345" i="1" s="1"/>
  <c r="N1345" i="1" s="1"/>
  <c r="L1346" i="1"/>
  <c r="M1346" i="1" s="1"/>
  <c r="N1346" i="1" s="1"/>
  <c r="L1347" i="1"/>
  <c r="M1347" i="1" s="1"/>
  <c r="N1347" i="1" s="1"/>
  <c r="L1348" i="1"/>
  <c r="M1348" i="1" s="1"/>
  <c r="N1348" i="1" s="1"/>
  <c r="L1349" i="1"/>
  <c r="M1349" i="1" s="1"/>
  <c r="N1349" i="1" s="1"/>
  <c r="L1350" i="1"/>
  <c r="M1350" i="1" s="1"/>
  <c r="N1350" i="1" s="1"/>
  <c r="L1351" i="1"/>
  <c r="M1351" i="1" s="1"/>
  <c r="N1351" i="1" s="1"/>
  <c r="L1352" i="1"/>
  <c r="M1352" i="1" s="1"/>
  <c r="N1352" i="1" s="1"/>
  <c r="L1353" i="1"/>
  <c r="M1353" i="1" s="1"/>
  <c r="N1353" i="1" s="1"/>
  <c r="L1354" i="1"/>
  <c r="M1354" i="1" s="1"/>
  <c r="N1354" i="1" s="1"/>
  <c r="L1355" i="1"/>
  <c r="M1355" i="1" s="1"/>
  <c r="N1355" i="1" s="1"/>
  <c r="L1356" i="1"/>
  <c r="M1356" i="1" s="1"/>
  <c r="N1356" i="1" s="1"/>
  <c r="L1357" i="1"/>
  <c r="M1357" i="1" s="1"/>
  <c r="N1357" i="1" s="1"/>
  <c r="L1358" i="1"/>
  <c r="M1358" i="1" s="1"/>
  <c r="N1358" i="1" s="1"/>
  <c r="L1359" i="1"/>
  <c r="M1359" i="1" s="1"/>
  <c r="N1359" i="1" s="1"/>
  <c r="L1360" i="1"/>
  <c r="M1360" i="1" s="1"/>
  <c r="N1360" i="1" s="1"/>
  <c r="L1361" i="1"/>
  <c r="M1361" i="1" s="1"/>
  <c r="N1361" i="1" s="1"/>
  <c r="L1362" i="1"/>
  <c r="M1362" i="1" s="1"/>
  <c r="N1362" i="1" s="1"/>
  <c r="L1363" i="1"/>
  <c r="M1363" i="1" s="1"/>
  <c r="N1363" i="1" s="1"/>
  <c r="L1364" i="1"/>
  <c r="M1364" i="1" s="1"/>
  <c r="N1364" i="1" s="1"/>
  <c r="L1365" i="1"/>
  <c r="M1365" i="1" s="1"/>
  <c r="N1365" i="1" s="1"/>
  <c r="L1366" i="1"/>
  <c r="M1366" i="1" s="1"/>
  <c r="N1366" i="1" s="1"/>
  <c r="L1367" i="1"/>
  <c r="M1367" i="1" s="1"/>
  <c r="N1367" i="1" s="1"/>
  <c r="L1368" i="1"/>
  <c r="M1368" i="1" s="1"/>
  <c r="N1368" i="1" s="1"/>
  <c r="L1369" i="1"/>
  <c r="M1369" i="1" s="1"/>
  <c r="N1369" i="1" s="1"/>
  <c r="L1370" i="1"/>
  <c r="M1370" i="1" s="1"/>
  <c r="N1370" i="1" s="1"/>
  <c r="L1371" i="1"/>
  <c r="M1371" i="1" s="1"/>
  <c r="N1371" i="1" s="1"/>
  <c r="L1372" i="1"/>
  <c r="M1372" i="1" s="1"/>
  <c r="N1372" i="1" s="1"/>
  <c r="L1373" i="1"/>
  <c r="M1373" i="1" s="1"/>
  <c r="N1373" i="1" s="1"/>
  <c r="L1374" i="1"/>
  <c r="M1374" i="1" s="1"/>
  <c r="N1374" i="1" s="1"/>
  <c r="L1375" i="1"/>
  <c r="M1375" i="1" s="1"/>
  <c r="N1375" i="1" s="1"/>
  <c r="L1376" i="1"/>
  <c r="M1376" i="1" s="1"/>
  <c r="N1376" i="1" s="1"/>
  <c r="L1377" i="1"/>
  <c r="M1377" i="1" s="1"/>
  <c r="N1377" i="1" s="1"/>
  <c r="L1378" i="1"/>
  <c r="M1378" i="1" s="1"/>
  <c r="N1378" i="1" s="1"/>
  <c r="L1379" i="1"/>
  <c r="M1379" i="1" s="1"/>
  <c r="N1379" i="1" s="1"/>
  <c r="L1380" i="1"/>
  <c r="M1380" i="1" s="1"/>
  <c r="N1380" i="1" s="1"/>
  <c r="L1381" i="1"/>
  <c r="M1381" i="1" s="1"/>
  <c r="N1381" i="1" s="1"/>
  <c r="L1382" i="1"/>
  <c r="M1382" i="1" s="1"/>
  <c r="N1382" i="1" s="1"/>
  <c r="L1383" i="1"/>
  <c r="M1383" i="1" s="1"/>
  <c r="N1383" i="1" s="1"/>
  <c r="L1384" i="1"/>
  <c r="M1384" i="1" s="1"/>
  <c r="N1384" i="1" s="1"/>
  <c r="L1385" i="1"/>
  <c r="M1385" i="1" s="1"/>
  <c r="N1385" i="1" s="1"/>
  <c r="L1386" i="1"/>
  <c r="M1386" i="1" s="1"/>
  <c r="N1386" i="1" s="1"/>
  <c r="L1387" i="1"/>
  <c r="M1387" i="1" s="1"/>
  <c r="N1387" i="1" s="1"/>
  <c r="L1388" i="1"/>
  <c r="M1388" i="1" s="1"/>
  <c r="N1388" i="1" s="1"/>
  <c r="L1389" i="1"/>
  <c r="M1389" i="1" s="1"/>
  <c r="N1389" i="1" s="1"/>
  <c r="L1390" i="1"/>
  <c r="M1390" i="1" s="1"/>
  <c r="N1390" i="1" s="1"/>
  <c r="L1391" i="1"/>
  <c r="M1391" i="1" s="1"/>
  <c r="N1391" i="1" s="1"/>
  <c r="L1392" i="1"/>
  <c r="M1392" i="1" s="1"/>
  <c r="N1392" i="1" s="1"/>
  <c r="L1393" i="1"/>
  <c r="M1393" i="1" s="1"/>
  <c r="N1393" i="1" s="1"/>
  <c r="L1394" i="1"/>
  <c r="M1394" i="1" s="1"/>
  <c r="N1394" i="1" s="1"/>
  <c r="L1395" i="1"/>
  <c r="M1395" i="1" s="1"/>
  <c r="N1395" i="1" s="1"/>
  <c r="L1396" i="1"/>
  <c r="M1396" i="1" s="1"/>
  <c r="N1396" i="1" s="1"/>
  <c r="L1397" i="1"/>
  <c r="M1397" i="1" s="1"/>
  <c r="N1397" i="1" s="1"/>
  <c r="L1398" i="1"/>
  <c r="M1398" i="1" s="1"/>
  <c r="N1398" i="1" s="1"/>
  <c r="L1399" i="1"/>
  <c r="M1399" i="1" s="1"/>
  <c r="N1399" i="1" s="1"/>
  <c r="L1400" i="1"/>
  <c r="M1400" i="1" s="1"/>
  <c r="N1400" i="1" s="1"/>
  <c r="L1401" i="1"/>
  <c r="M1401" i="1" s="1"/>
  <c r="N1401" i="1" s="1"/>
  <c r="L1402" i="1"/>
  <c r="M1402" i="1" s="1"/>
  <c r="N1402" i="1" s="1"/>
  <c r="L1403" i="1"/>
  <c r="M1403" i="1" s="1"/>
  <c r="N1403" i="1" s="1"/>
  <c r="L1404" i="1"/>
  <c r="M1404" i="1" s="1"/>
  <c r="N1404" i="1" s="1"/>
  <c r="L1405" i="1"/>
  <c r="M1405" i="1" s="1"/>
  <c r="N1405" i="1" s="1"/>
  <c r="L1406" i="1"/>
  <c r="M1406" i="1" s="1"/>
  <c r="N1406" i="1" s="1"/>
  <c r="L1407" i="1"/>
  <c r="M1407" i="1" s="1"/>
  <c r="N1407" i="1" s="1"/>
  <c r="L1408" i="1"/>
  <c r="M1408" i="1" s="1"/>
  <c r="N1408" i="1" s="1"/>
  <c r="L1409" i="1"/>
  <c r="M1409" i="1" s="1"/>
  <c r="N1409" i="1" s="1"/>
  <c r="L1410" i="1"/>
  <c r="M1410" i="1" s="1"/>
  <c r="N1410" i="1" s="1"/>
  <c r="L1411" i="1"/>
  <c r="M1411" i="1" s="1"/>
  <c r="N1411" i="1" s="1"/>
  <c r="L1412" i="1"/>
  <c r="M1412" i="1" s="1"/>
  <c r="N1412" i="1" s="1"/>
  <c r="L1413" i="1"/>
  <c r="M1413" i="1" s="1"/>
  <c r="N1413" i="1" s="1"/>
  <c r="L1414" i="1"/>
  <c r="M1414" i="1" s="1"/>
  <c r="N1414" i="1" s="1"/>
  <c r="L1415" i="1"/>
  <c r="M1415" i="1" s="1"/>
  <c r="N1415" i="1" s="1"/>
  <c r="L1416" i="1"/>
  <c r="M1416" i="1" s="1"/>
  <c r="N1416" i="1" s="1"/>
  <c r="L1417" i="1"/>
  <c r="M1417" i="1" s="1"/>
  <c r="N1417" i="1" s="1"/>
  <c r="L1418" i="1"/>
  <c r="M1418" i="1" s="1"/>
  <c r="N1418" i="1" s="1"/>
  <c r="L1419" i="1"/>
  <c r="M1419" i="1" s="1"/>
  <c r="N1419" i="1" s="1"/>
  <c r="L1420" i="1"/>
  <c r="M1420" i="1" s="1"/>
  <c r="N1420" i="1" s="1"/>
  <c r="L1421" i="1"/>
  <c r="M1421" i="1" s="1"/>
  <c r="N1421" i="1" s="1"/>
  <c r="L1422" i="1"/>
  <c r="M1422" i="1" s="1"/>
  <c r="N1422" i="1" s="1"/>
  <c r="L1423" i="1"/>
  <c r="M1423" i="1" s="1"/>
  <c r="N1423" i="1" s="1"/>
  <c r="L1424" i="1"/>
  <c r="M1424" i="1" s="1"/>
  <c r="N1424" i="1" s="1"/>
  <c r="L1425" i="1"/>
  <c r="M1425" i="1" s="1"/>
  <c r="N1425" i="1" s="1"/>
  <c r="L1426" i="1"/>
  <c r="M1426" i="1" s="1"/>
  <c r="N1426" i="1" s="1"/>
  <c r="L1427" i="1"/>
  <c r="M1427" i="1" s="1"/>
  <c r="N1427" i="1" s="1"/>
  <c r="L1428" i="1"/>
  <c r="M1428" i="1" s="1"/>
  <c r="N1428" i="1" s="1"/>
  <c r="L1429" i="1"/>
  <c r="M1429" i="1" s="1"/>
  <c r="N1429" i="1" s="1"/>
  <c r="L1430" i="1"/>
  <c r="M1430" i="1" s="1"/>
  <c r="N1430" i="1" s="1"/>
  <c r="L1431" i="1"/>
  <c r="M1431" i="1" s="1"/>
  <c r="N1431" i="1" s="1"/>
  <c r="L1432" i="1"/>
  <c r="M1432" i="1" s="1"/>
  <c r="N1432" i="1" s="1"/>
  <c r="L1433" i="1"/>
  <c r="M1433" i="1" s="1"/>
  <c r="N1433" i="1" s="1"/>
  <c r="L1434" i="1"/>
  <c r="M1434" i="1" s="1"/>
  <c r="N1434" i="1" s="1"/>
  <c r="L1435" i="1"/>
  <c r="M1435" i="1" s="1"/>
  <c r="N1435" i="1" s="1"/>
  <c r="L1436" i="1"/>
  <c r="M1436" i="1" s="1"/>
  <c r="N1436" i="1" s="1"/>
  <c r="L1437" i="1"/>
  <c r="M1437" i="1" s="1"/>
  <c r="N1437" i="1" s="1"/>
  <c r="L1438" i="1"/>
  <c r="M1438" i="1" s="1"/>
  <c r="N1438" i="1" s="1"/>
  <c r="L1439" i="1"/>
  <c r="M1439" i="1" s="1"/>
  <c r="N1439" i="1" s="1"/>
  <c r="L1440" i="1"/>
  <c r="M1440" i="1" s="1"/>
  <c r="N1440" i="1" s="1"/>
  <c r="L1441" i="1"/>
  <c r="M1441" i="1" s="1"/>
  <c r="N1441" i="1" s="1"/>
  <c r="L1442" i="1"/>
  <c r="M1442" i="1" s="1"/>
  <c r="N1442" i="1" s="1"/>
  <c r="L1443" i="1"/>
  <c r="M1443" i="1" s="1"/>
  <c r="N1443" i="1" s="1"/>
  <c r="L1444" i="1"/>
  <c r="M1444" i="1" s="1"/>
  <c r="N1444" i="1" s="1"/>
  <c r="L1445" i="1"/>
  <c r="M1445" i="1" s="1"/>
  <c r="N1445" i="1" s="1"/>
  <c r="L1446" i="1"/>
  <c r="M1446" i="1" s="1"/>
  <c r="N1446" i="1" s="1"/>
  <c r="L1447" i="1"/>
  <c r="M1447" i="1" s="1"/>
  <c r="N1447" i="1" s="1"/>
  <c r="L1448" i="1"/>
  <c r="M1448" i="1" s="1"/>
  <c r="N1448" i="1" s="1"/>
  <c r="L1449" i="1"/>
  <c r="M1449" i="1" s="1"/>
  <c r="N1449" i="1" s="1"/>
  <c r="L1450" i="1"/>
  <c r="M1450" i="1" s="1"/>
  <c r="N1450" i="1" s="1"/>
  <c r="L1451" i="1"/>
  <c r="M1451" i="1" s="1"/>
  <c r="N1451" i="1" s="1"/>
  <c r="L1452" i="1"/>
  <c r="M1452" i="1" s="1"/>
  <c r="N1452" i="1" s="1"/>
  <c r="L1453" i="1"/>
  <c r="M1453" i="1" s="1"/>
  <c r="N1453" i="1" s="1"/>
  <c r="L1454" i="1"/>
  <c r="M1454" i="1" s="1"/>
  <c r="N1454" i="1" s="1"/>
  <c r="L1455" i="1"/>
  <c r="M1455" i="1" s="1"/>
  <c r="N1455" i="1" s="1"/>
  <c r="L1456" i="1"/>
  <c r="M1456" i="1" s="1"/>
  <c r="N1456" i="1" s="1"/>
  <c r="L1457" i="1"/>
  <c r="M1457" i="1" s="1"/>
  <c r="N1457" i="1" s="1"/>
  <c r="L1458" i="1"/>
  <c r="M1458" i="1" s="1"/>
  <c r="N1458" i="1" s="1"/>
  <c r="L1459" i="1"/>
  <c r="M1459" i="1" s="1"/>
  <c r="N1459" i="1" s="1"/>
  <c r="L1460" i="1"/>
  <c r="M1460" i="1" s="1"/>
  <c r="N1460" i="1" s="1"/>
  <c r="L1461" i="1"/>
  <c r="M1461" i="1" s="1"/>
  <c r="N1461" i="1" s="1"/>
  <c r="L1462" i="1"/>
  <c r="M1462" i="1" s="1"/>
  <c r="N1462" i="1" s="1"/>
  <c r="L1463" i="1"/>
  <c r="M1463" i="1" s="1"/>
  <c r="N1463" i="1" s="1"/>
  <c r="L1464" i="1"/>
  <c r="M1464" i="1" s="1"/>
  <c r="N1464" i="1" s="1"/>
  <c r="L1465" i="1"/>
  <c r="M1465" i="1" s="1"/>
  <c r="N1465" i="1" s="1"/>
  <c r="L1466" i="1"/>
  <c r="M1466" i="1" s="1"/>
  <c r="N1466" i="1" s="1"/>
  <c r="L1467" i="1"/>
  <c r="M1467" i="1" s="1"/>
  <c r="N1467" i="1" s="1"/>
  <c r="L1468" i="1"/>
  <c r="M1468" i="1" s="1"/>
  <c r="N1468" i="1" s="1"/>
  <c r="L1469" i="1"/>
  <c r="M1469" i="1" s="1"/>
  <c r="N1469" i="1" s="1"/>
  <c r="L1470" i="1"/>
  <c r="M1470" i="1" s="1"/>
  <c r="N1470" i="1" s="1"/>
  <c r="L1471" i="1"/>
  <c r="M1471" i="1" s="1"/>
  <c r="N1471" i="1" s="1"/>
  <c r="L1472" i="1"/>
  <c r="M1472" i="1" s="1"/>
  <c r="N1472" i="1" s="1"/>
  <c r="L1473" i="1"/>
  <c r="M1473" i="1" s="1"/>
  <c r="N1473" i="1" s="1"/>
  <c r="L1474" i="1"/>
  <c r="M1474" i="1" s="1"/>
  <c r="N1474" i="1" s="1"/>
  <c r="L1475" i="1"/>
  <c r="M1475" i="1" s="1"/>
  <c r="N1475" i="1" s="1"/>
  <c r="L1476" i="1"/>
  <c r="M1476" i="1" s="1"/>
  <c r="N1476" i="1" s="1"/>
  <c r="L1477" i="1"/>
  <c r="M1477" i="1" s="1"/>
  <c r="N1477" i="1" s="1"/>
  <c r="L1478" i="1"/>
  <c r="M1478" i="1" s="1"/>
  <c r="N1478" i="1" s="1"/>
  <c r="L1479" i="1"/>
  <c r="M1479" i="1" s="1"/>
  <c r="N1479" i="1" s="1"/>
  <c r="L1480" i="1"/>
  <c r="M1480" i="1" s="1"/>
  <c r="N1480" i="1" s="1"/>
  <c r="L1481" i="1"/>
  <c r="M1481" i="1" s="1"/>
  <c r="N1481" i="1" s="1"/>
  <c r="L1482" i="1"/>
  <c r="M1482" i="1" s="1"/>
  <c r="N1482" i="1" s="1"/>
  <c r="L1483" i="1"/>
  <c r="M1483" i="1" s="1"/>
  <c r="N1483" i="1" s="1"/>
  <c r="L1484" i="1"/>
  <c r="M1484" i="1" s="1"/>
  <c r="N1484" i="1" s="1"/>
  <c r="L1485" i="1"/>
  <c r="M1485" i="1" s="1"/>
  <c r="N1485" i="1" s="1"/>
  <c r="L1486" i="1"/>
  <c r="M1486" i="1" s="1"/>
  <c r="N1486" i="1" s="1"/>
  <c r="L1487" i="1"/>
  <c r="M1487" i="1" s="1"/>
  <c r="N1487" i="1" s="1"/>
  <c r="L1488" i="1"/>
  <c r="M1488" i="1" s="1"/>
  <c r="N1488" i="1" s="1"/>
  <c r="L1489" i="1"/>
  <c r="M1489" i="1" s="1"/>
  <c r="N1489" i="1" s="1"/>
  <c r="L1490" i="1"/>
  <c r="M1490" i="1" s="1"/>
  <c r="N1490" i="1" s="1"/>
  <c r="L1491" i="1"/>
  <c r="M1491" i="1" s="1"/>
  <c r="N1491" i="1" s="1"/>
  <c r="L1492" i="1"/>
  <c r="M1492" i="1" s="1"/>
  <c r="N1492" i="1" s="1"/>
  <c r="L1493" i="1"/>
  <c r="M1493" i="1" s="1"/>
  <c r="N1493" i="1" s="1"/>
  <c r="L1494" i="1"/>
  <c r="M1494" i="1" s="1"/>
  <c r="N1494" i="1" s="1"/>
  <c r="L1495" i="1"/>
  <c r="M1495" i="1" s="1"/>
  <c r="N1495" i="1" s="1"/>
  <c r="L1496" i="1"/>
  <c r="M1496" i="1" s="1"/>
  <c r="N1496" i="1" s="1"/>
  <c r="L1497" i="1"/>
  <c r="M1497" i="1" s="1"/>
  <c r="N1497" i="1" s="1"/>
  <c r="L1498" i="1"/>
  <c r="M1498" i="1" s="1"/>
  <c r="N1498" i="1" s="1"/>
  <c r="L1499" i="1"/>
  <c r="M1499" i="1" s="1"/>
  <c r="N1499" i="1" s="1"/>
  <c r="L1500" i="1"/>
  <c r="M1500" i="1" s="1"/>
  <c r="N1500" i="1" s="1"/>
  <c r="L1501" i="1"/>
  <c r="M1501" i="1" s="1"/>
  <c r="N1501" i="1" s="1"/>
  <c r="L1502" i="1"/>
  <c r="M1502" i="1" s="1"/>
  <c r="N1502" i="1" s="1"/>
  <c r="L1503" i="1"/>
  <c r="M1503" i="1" s="1"/>
  <c r="N1503" i="1" s="1"/>
  <c r="L1504" i="1"/>
  <c r="M1504" i="1" s="1"/>
  <c r="N1504" i="1" s="1"/>
  <c r="L1505" i="1"/>
  <c r="M1505" i="1" s="1"/>
  <c r="N1505" i="1" s="1"/>
  <c r="L1506" i="1"/>
  <c r="M1506" i="1" s="1"/>
  <c r="N1506" i="1" s="1"/>
  <c r="L1507" i="1"/>
  <c r="M1507" i="1" s="1"/>
  <c r="N1507" i="1" s="1"/>
  <c r="L1508" i="1"/>
  <c r="M1508" i="1" s="1"/>
  <c r="N1508" i="1" s="1"/>
  <c r="L1509" i="1"/>
  <c r="M1509" i="1" s="1"/>
  <c r="N1509" i="1" s="1"/>
  <c r="L1510" i="1"/>
  <c r="M1510" i="1" s="1"/>
  <c r="N1510" i="1" s="1"/>
  <c r="L1511" i="1"/>
  <c r="M1511" i="1" s="1"/>
  <c r="N1511" i="1" s="1"/>
  <c r="L1512" i="1"/>
  <c r="M1512" i="1" s="1"/>
  <c r="N1512" i="1" s="1"/>
  <c r="L1513" i="1"/>
  <c r="M1513" i="1" s="1"/>
  <c r="N1513" i="1" s="1"/>
  <c r="L1514" i="1"/>
  <c r="M1514" i="1" s="1"/>
  <c r="N1514" i="1" s="1"/>
  <c r="L1515" i="1"/>
  <c r="M1515" i="1" s="1"/>
  <c r="N1515" i="1" s="1"/>
  <c r="L1516" i="1"/>
  <c r="M1516" i="1" s="1"/>
  <c r="N1516" i="1" s="1"/>
  <c r="L1517" i="1"/>
  <c r="M1517" i="1" s="1"/>
  <c r="N1517" i="1" s="1"/>
  <c r="L1518" i="1"/>
  <c r="M1518" i="1" s="1"/>
  <c r="N1518" i="1" s="1"/>
  <c r="L1519" i="1"/>
  <c r="M1519" i="1" s="1"/>
  <c r="N1519" i="1" s="1"/>
  <c r="L1520" i="1"/>
  <c r="M1520" i="1" s="1"/>
  <c r="N1520" i="1" s="1"/>
  <c r="L1521" i="1"/>
  <c r="M1521" i="1" s="1"/>
  <c r="N1521" i="1" s="1"/>
  <c r="L1522" i="1"/>
  <c r="M1522" i="1" s="1"/>
  <c r="N1522" i="1" s="1"/>
  <c r="L1523" i="1"/>
  <c r="M1523" i="1" s="1"/>
  <c r="N1523" i="1" s="1"/>
  <c r="L1524" i="1"/>
  <c r="M1524" i="1" s="1"/>
  <c r="N1524" i="1" s="1"/>
  <c r="L1525" i="1"/>
  <c r="M1525" i="1" s="1"/>
  <c r="N1525" i="1" s="1"/>
  <c r="L1526" i="1"/>
  <c r="M1526" i="1" s="1"/>
  <c r="N1526" i="1" s="1"/>
  <c r="L1527" i="1"/>
  <c r="M1527" i="1" s="1"/>
  <c r="N1527" i="1" s="1"/>
  <c r="L1528" i="1"/>
  <c r="M1528" i="1" s="1"/>
  <c r="N1528" i="1" s="1"/>
  <c r="L1529" i="1"/>
  <c r="M1529" i="1" s="1"/>
  <c r="N1529" i="1" s="1"/>
  <c r="L1530" i="1"/>
  <c r="M1530" i="1" s="1"/>
  <c r="N1530" i="1" s="1"/>
  <c r="L1531" i="1"/>
  <c r="M1531" i="1" s="1"/>
  <c r="N1531" i="1" s="1"/>
  <c r="L1532" i="1"/>
  <c r="M1532" i="1" s="1"/>
  <c r="N1532" i="1" s="1"/>
  <c r="L1533" i="1"/>
  <c r="M1533" i="1" s="1"/>
  <c r="N1533" i="1" s="1"/>
  <c r="L1534" i="1"/>
  <c r="M1534" i="1" s="1"/>
  <c r="N1534" i="1" s="1"/>
  <c r="L1535" i="1"/>
  <c r="M1535" i="1" s="1"/>
  <c r="N1535" i="1" s="1"/>
  <c r="L1536" i="1"/>
  <c r="M1536" i="1" s="1"/>
  <c r="N1536" i="1" s="1"/>
  <c r="L1537" i="1"/>
  <c r="M1537" i="1" s="1"/>
  <c r="N1537" i="1" s="1"/>
  <c r="L1538" i="1"/>
  <c r="M1538" i="1" s="1"/>
  <c r="N1538" i="1" s="1"/>
  <c r="L1539" i="1"/>
  <c r="M1539" i="1" s="1"/>
  <c r="N1539" i="1" s="1"/>
  <c r="L1540" i="1"/>
  <c r="M1540" i="1" s="1"/>
  <c r="N1540" i="1" s="1"/>
  <c r="L1541" i="1"/>
  <c r="M1541" i="1" s="1"/>
  <c r="N1541" i="1" s="1"/>
  <c r="L1542" i="1"/>
  <c r="M1542" i="1" s="1"/>
  <c r="N1542" i="1" s="1"/>
  <c r="L1543" i="1"/>
  <c r="M1543" i="1" s="1"/>
  <c r="N1543" i="1" s="1"/>
  <c r="L1544" i="1"/>
  <c r="M1544" i="1" s="1"/>
  <c r="N1544" i="1" s="1"/>
  <c r="L1545" i="1"/>
  <c r="M1545" i="1" s="1"/>
  <c r="N1545" i="1" s="1"/>
  <c r="L1546" i="1"/>
  <c r="M1546" i="1" s="1"/>
  <c r="N1546" i="1" s="1"/>
  <c r="L1547" i="1"/>
  <c r="M1547" i="1" s="1"/>
  <c r="N1547" i="1" s="1"/>
  <c r="L1548" i="1"/>
  <c r="M1548" i="1" s="1"/>
  <c r="N1548" i="1" s="1"/>
  <c r="L1549" i="1"/>
  <c r="M1549" i="1" s="1"/>
  <c r="N1549" i="1" s="1"/>
  <c r="L1550" i="1"/>
  <c r="M1550" i="1" s="1"/>
  <c r="N1550" i="1" s="1"/>
  <c r="L1551" i="1"/>
  <c r="M1551" i="1" s="1"/>
  <c r="N1551" i="1" s="1"/>
  <c r="L1552" i="1"/>
  <c r="M1552" i="1" s="1"/>
  <c r="N1552" i="1" s="1"/>
  <c r="L1553" i="1"/>
  <c r="M1553" i="1" s="1"/>
  <c r="N1553" i="1" s="1"/>
  <c r="L1554" i="1"/>
  <c r="M1554" i="1" s="1"/>
  <c r="N1554" i="1" s="1"/>
  <c r="L1555" i="1"/>
  <c r="M1555" i="1" s="1"/>
  <c r="N1555" i="1" s="1"/>
  <c r="L1556" i="1"/>
  <c r="M1556" i="1" s="1"/>
  <c r="N1556" i="1" s="1"/>
  <c r="L1557" i="1"/>
  <c r="M1557" i="1" s="1"/>
  <c r="N1557" i="1" s="1"/>
  <c r="L1558" i="1"/>
  <c r="M1558" i="1" s="1"/>
  <c r="N1558" i="1" s="1"/>
  <c r="L1559" i="1"/>
  <c r="M1559" i="1" s="1"/>
  <c r="N1559" i="1" s="1"/>
  <c r="L1560" i="1"/>
  <c r="M1560" i="1" s="1"/>
  <c r="N1560" i="1" s="1"/>
  <c r="L1561" i="1"/>
  <c r="M1561" i="1" s="1"/>
  <c r="N1561" i="1" s="1"/>
  <c r="L1562" i="1"/>
  <c r="M1562" i="1" s="1"/>
  <c r="N1562" i="1" s="1"/>
  <c r="L1563" i="1"/>
  <c r="M1563" i="1" s="1"/>
  <c r="N1563" i="1" s="1"/>
  <c r="L1564" i="1"/>
  <c r="M1564" i="1" s="1"/>
  <c r="N1564" i="1" s="1"/>
  <c r="L1565" i="1"/>
  <c r="M1565" i="1" s="1"/>
  <c r="N1565" i="1" s="1"/>
  <c r="L1566" i="1"/>
  <c r="M1566" i="1" s="1"/>
  <c r="N1566" i="1" s="1"/>
  <c r="L1567" i="1"/>
  <c r="M1567" i="1" s="1"/>
  <c r="N1567" i="1" s="1"/>
  <c r="L1568" i="1"/>
  <c r="M1568" i="1" s="1"/>
  <c r="N1568" i="1" s="1"/>
  <c r="L1569" i="1"/>
  <c r="M1569" i="1" s="1"/>
  <c r="N1569" i="1" s="1"/>
  <c r="L1570" i="1"/>
  <c r="M1570" i="1" s="1"/>
  <c r="N1570" i="1" s="1"/>
  <c r="L1571" i="1"/>
  <c r="M1571" i="1" s="1"/>
  <c r="N1571" i="1" s="1"/>
  <c r="L1572" i="1"/>
  <c r="M1572" i="1" s="1"/>
  <c r="N1572" i="1" s="1"/>
  <c r="L1573" i="1"/>
  <c r="M1573" i="1" s="1"/>
  <c r="N1573" i="1" s="1"/>
  <c r="L1574" i="1"/>
  <c r="M1574" i="1" s="1"/>
  <c r="N1574" i="1" s="1"/>
  <c r="L1575" i="1"/>
  <c r="M1575" i="1" s="1"/>
  <c r="N1575" i="1" s="1"/>
  <c r="L1576" i="1"/>
  <c r="M1576" i="1" s="1"/>
  <c r="N1576" i="1" s="1"/>
  <c r="L1577" i="1"/>
  <c r="M1577" i="1" s="1"/>
  <c r="N1577" i="1" s="1"/>
  <c r="L1578" i="1"/>
  <c r="M1578" i="1" s="1"/>
  <c r="N1578" i="1" s="1"/>
  <c r="L1579" i="1"/>
  <c r="M1579" i="1" s="1"/>
  <c r="N1579" i="1" s="1"/>
  <c r="L1580" i="1"/>
  <c r="M1580" i="1" s="1"/>
  <c r="N1580" i="1" s="1"/>
  <c r="L1581" i="1"/>
  <c r="M1581" i="1" s="1"/>
  <c r="N1581" i="1" s="1"/>
  <c r="L1582" i="1"/>
  <c r="M1582" i="1" s="1"/>
  <c r="N1582" i="1" s="1"/>
  <c r="L1583" i="1"/>
  <c r="M1583" i="1" s="1"/>
  <c r="N1583" i="1" s="1"/>
  <c r="L1584" i="1"/>
  <c r="M1584" i="1" s="1"/>
  <c r="N1584" i="1" s="1"/>
  <c r="L1585" i="1"/>
  <c r="M1585" i="1" s="1"/>
  <c r="N1585" i="1" s="1"/>
  <c r="L1586" i="1"/>
  <c r="M1586" i="1" s="1"/>
  <c r="N1586" i="1" s="1"/>
  <c r="L1587" i="1"/>
  <c r="M1587" i="1" s="1"/>
  <c r="N1587" i="1" s="1"/>
  <c r="L1588" i="1"/>
  <c r="M1588" i="1" s="1"/>
  <c r="N1588" i="1" s="1"/>
  <c r="L1589" i="1"/>
  <c r="M1589" i="1" s="1"/>
  <c r="N1589" i="1" s="1"/>
  <c r="L1590" i="1"/>
  <c r="M1590" i="1" s="1"/>
  <c r="N1590" i="1" s="1"/>
  <c r="L1591" i="1"/>
  <c r="M1591" i="1" s="1"/>
  <c r="N1591" i="1" s="1"/>
  <c r="L1592" i="1"/>
  <c r="M1592" i="1" s="1"/>
  <c r="N1592" i="1" s="1"/>
  <c r="L1593" i="1"/>
  <c r="M1593" i="1" s="1"/>
  <c r="N1593" i="1" s="1"/>
  <c r="L1594" i="1"/>
  <c r="M1594" i="1" s="1"/>
  <c r="N1594" i="1" s="1"/>
  <c r="L1595" i="1"/>
  <c r="M1595" i="1" s="1"/>
  <c r="N1595" i="1" s="1"/>
  <c r="L1596" i="1"/>
  <c r="M1596" i="1" s="1"/>
  <c r="N1596" i="1" s="1"/>
  <c r="L1597" i="1"/>
  <c r="M1597" i="1" s="1"/>
  <c r="N1597" i="1" s="1"/>
  <c r="L1598" i="1"/>
  <c r="M1598" i="1" s="1"/>
  <c r="N1598" i="1" s="1"/>
  <c r="L1599" i="1"/>
  <c r="M1599" i="1" s="1"/>
  <c r="N1599" i="1" s="1"/>
  <c r="L1600" i="1"/>
  <c r="M1600" i="1" s="1"/>
  <c r="N1600" i="1" s="1"/>
  <c r="L1601" i="1"/>
  <c r="M1601" i="1" s="1"/>
  <c r="N1601" i="1" s="1"/>
  <c r="L1602" i="1"/>
  <c r="M1602" i="1" s="1"/>
  <c r="N1602" i="1" s="1"/>
  <c r="L1603" i="1"/>
  <c r="M1603" i="1" s="1"/>
  <c r="N1603" i="1" s="1"/>
  <c r="L1604" i="1"/>
  <c r="M1604" i="1" s="1"/>
  <c r="N1604" i="1" s="1"/>
  <c r="L1605" i="1"/>
  <c r="M1605" i="1" s="1"/>
  <c r="N1605" i="1" s="1"/>
  <c r="L1606" i="1"/>
  <c r="M1606" i="1" s="1"/>
  <c r="N1606" i="1" s="1"/>
  <c r="L1607" i="1"/>
  <c r="M1607" i="1" s="1"/>
  <c r="N1607" i="1" s="1"/>
  <c r="L1608" i="1"/>
  <c r="M1608" i="1" s="1"/>
  <c r="N1608" i="1" s="1"/>
  <c r="L1609" i="1"/>
  <c r="M1609" i="1" s="1"/>
  <c r="N1609" i="1" s="1"/>
  <c r="L1610" i="1"/>
  <c r="M1610" i="1" s="1"/>
  <c r="N1610" i="1" s="1"/>
  <c r="L1611" i="1"/>
  <c r="M1611" i="1" s="1"/>
  <c r="N1611" i="1" s="1"/>
  <c r="L1612" i="1"/>
  <c r="M1612" i="1" s="1"/>
  <c r="N1612" i="1" s="1"/>
  <c r="L1613" i="1"/>
  <c r="M1613" i="1" s="1"/>
  <c r="N1613" i="1" s="1"/>
  <c r="L1614" i="1"/>
  <c r="M1614" i="1" s="1"/>
  <c r="N1614" i="1" s="1"/>
  <c r="L1615" i="1"/>
  <c r="M1615" i="1" s="1"/>
  <c r="N1615" i="1" s="1"/>
  <c r="L1616" i="1"/>
  <c r="M1616" i="1" s="1"/>
  <c r="N1616" i="1" s="1"/>
  <c r="L1617" i="1"/>
  <c r="M1617" i="1" s="1"/>
  <c r="N1617" i="1" s="1"/>
  <c r="L1618" i="1"/>
  <c r="M1618" i="1" s="1"/>
  <c r="N1618" i="1" s="1"/>
  <c r="L1619" i="1"/>
  <c r="M1619" i="1" s="1"/>
  <c r="N1619" i="1" s="1"/>
  <c r="L1620" i="1"/>
  <c r="M1620" i="1" s="1"/>
  <c r="N1620" i="1" s="1"/>
  <c r="L1621" i="1"/>
  <c r="M1621" i="1" s="1"/>
  <c r="N1621" i="1" s="1"/>
  <c r="L1622" i="1"/>
  <c r="M1622" i="1" s="1"/>
  <c r="N1622" i="1" s="1"/>
  <c r="L1623" i="1"/>
  <c r="M1623" i="1" s="1"/>
  <c r="N1623" i="1" s="1"/>
  <c r="L1624" i="1"/>
  <c r="M1624" i="1" s="1"/>
  <c r="N1624" i="1" s="1"/>
  <c r="L1625" i="1"/>
  <c r="M1625" i="1" s="1"/>
  <c r="N1625" i="1" s="1"/>
  <c r="L1626" i="1"/>
  <c r="M1626" i="1" s="1"/>
  <c r="N1626" i="1" s="1"/>
  <c r="L1627" i="1"/>
  <c r="M1627" i="1" s="1"/>
  <c r="N1627" i="1" s="1"/>
  <c r="L1628" i="1"/>
  <c r="M1628" i="1" s="1"/>
  <c r="N1628" i="1" s="1"/>
  <c r="L1629" i="1"/>
  <c r="M1629" i="1" s="1"/>
  <c r="N1629" i="1" s="1"/>
  <c r="L1630" i="1"/>
  <c r="M1630" i="1" s="1"/>
  <c r="N1630" i="1" s="1"/>
  <c r="L1631" i="1"/>
  <c r="M1631" i="1" s="1"/>
  <c r="N1631" i="1" s="1"/>
  <c r="L1632" i="1"/>
  <c r="M1632" i="1" s="1"/>
  <c r="N1632" i="1" s="1"/>
  <c r="L1633" i="1"/>
  <c r="M1633" i="1" s="1"/>
  <c r="N1633" i="1" s="1"/>
  <c r="L1634" i="1"/>
  <c r="M1634" i="1" s="1"/>
  <c r="N1634" i="1" s="1"/>
  <c r="L1635" i="1"/>
  <c r="M1635" i="1" s="1"/>
  <c r="N1635" i="1" s="1"/>
  <c r="L1636" i="1"/>
  <c r="M1636" i="1" s="1"/>
  <c r="N1636" i="1" s="1"/>
  <c r="L1637" i="1"/>
  <c r="M1637" i="1" s="1"/>
  <c r="N1637" i="1" s="1"/>
  <c r="L1638" i="1"/>
  <c r="M1638" i="1" s="1"/>
  <c r="N1638" i="1" s="1"/>
  <c r="L1639" i="1"/>
  <c r="M1639" i="1" s="1"/>
  <c r="N1639" i="1" s="1"/>
  <c r="L1640" i="1"/>
  <c r="M1640" i="1" s="1"/>
  <c r="N1640" i="1" s="1"/>
  <c r="L1641" i="1"/>
  <c r="M1641" i="1" s="1"/>
  <c r="N1641" i="1" s="1"/>
  <c r="L1642" i="1"/>
  <c r="M1642" i="1" s="1"/>
  <c r="N1642" i="1" s="1"/>
  <c r="L1643" i="1"/>
  <c r="M1643" i="1" s="1"/>
  <c r="N1643" i="1" s="1"/>
  <c r="L1644" i="1"/>
  <c r="M1644" i="1" s="1"/>
  <c r="N1644" i="1" s="1"/>
  <c r="L1645" i="1"/>
  <c r="M1645" i="1" s="1"/>
  <c r="N1645" i="1" s="1"/>
  <c r="L1646" i="1"/>
  <c r="M1646" i="1" s="1"/>
  <c r="N1646" i="1" s="1"/>
  <c r="L1647" i="1"/>
  <c r="M1647" i="1" s="1"/>
  <c r="N1647" i="1" s="1"/>
  <c r="L1648" i="1"/>
  <c r="M1648" i="1" s="1"/>
  <c r="N1648" i="1" s="1"/>
  <c r="L1649" i="1"/>
  <c r="M1649" i="1" s="1"/>
  <c r="N1649" i="1" s="1"/>
  <c r="L1650" i="1"/>
  <c r="M1650" i="1" s="1"/>
  <c r="N1650" i="1" s="1"/>
  <c r="L1651" i="1"/>
  <c r="M1651" i="1" s="1"/>
  <c r="N1651" i="1" s="1"/>
  <c r="L1652" i="1"/>
  <c r="M1652" i="1" s="1"/>
  <c r="N1652" i="1" s="1"/>
  <c r="L1653" i="1"/>
  <c r="M1653" i="1" s="1"/>
  <c r="N1653" i="1" s="1"/>
  <c r="L1654" i="1"/>
  <c r="M1654" i="1" s="1"/>
  <c r="N1654" i="1" s="1"/>
  <c r="L1655" i="1"/>
  <c r="M1655" i="1" s="1"/>
  <c r="N1655" i="1" s="1"/>
  <c r="L1656" i="1"/>
  <c r="M1656" i="1" s="1"/>
  <c r="N1656" i="1" s="1"/>
  <c r="L1657" i="1"/>
  <c r="M1657" i="1" s="1"/>
  <c r="N1657" i="1" s="1"/>
  <c r="L1658" i="1"/>
  <c r="M1658" i="1" s="1"/>
  <c r="N1658" i="1" s="1"/>
  <c r="L1659" i="1"/>
  <c r="M1659" i="1" s="1"/>
  <c r="N1659" i="1" s="1"/>
  <c r="L1660" i="1"/>
  <c r="M1660" i="1" s="1"/>
  <c r="N1660" i="1" s="1"/>
  <c r="L1661" i="1"/>
  <c r="M1661" i="1" s="1"/>
  <c r="N1661" i="1" s="1"/>
  <c r="L1662" i="1"/>
  <c r="M1662" i="1" s="1"/>
  <c r="N1662" i="1" s="1"/>
  <c r="L1663" i="1"/>
  <c r="M1663" i="1" s="1"/>
  <c r="N1663" i="1" s="1"/>
  <c r="L1664" i="1"/>
  <c r="M1664" i="1" s="1"/>
  <c r="N1664" i="1" s="1"/>
  <c r="L1665" i="1"/>
  <c r="M1665" i="1" s="1"/>
  <c r="N1665" i="1" s="1"/>
  <c r="L1666" i="1"/>
  <c r="M1666" i="1" s="1"/>
  <c r="N1666" i="1" s="1"/>
  <c r="L1667" i="1"/>
  <c r="M1667" i="1" s="1"/>
  <c r="N1667" i="1" s="1"/>
  <c r="L1668" i="1"/>
  <c r="M1668" i="1" s="1"/>
  <c r="N1668" i="1" s="1"/>
  <c r="L1669" i="1"/>
  <c r="M1669" i="1" s="1"/>
  <c r="N1669" i="1" s="1"/>
  <c r="L1670" i="1"/>
  <c r="M1670" i="1" s="1"/>
  <c r="N1670" i="1" s="1"/>
  <c r="L1671" i="1"/>
  <c r="M1671" i="1" s="1"/>
  <c r="N1671" i="1" s="1"/>
  <c r="L1672" i="1"/>
  <c r="M1672" i="1" s="1"/>
  <c r="N1672" i="1" s="1"/>
  <c r="L1673" i="1"/>
  <c r="M1673" i="1" s="1"/>
  <c r="N1673" i="1" s="1"/>
  <c r="L1674" i="1"/>
  <c r="M1674" i="1" s="1"/>
  <c r="N1674" i="1" s="1"/>
  <c r="L1675" i="1"/>
  <c r="M1675" i="1" s="1"/>
  <c r="N1675" i="1" s="1"/>
  <c r="L1676" i="1"/>
  <c r="M1676" i="1" s="1"/>
  <c r="N1676" i="1" s="1"/>
  <c r="L1677" i="1"/>
  <c r="M1677" i="1" s="1"/>
  <c r="N1677" i="1" s="1"/>
  <c r="L1678" i="1"/>
  <c r="M1678" i="1" s="1"/>
  <c r="N1678" i="1" s="1"/>
  <c r="L1679" i="1"/>
  <c r="M1679" i="1" s="1"/>
  <c r="N1679" i="1" s="1"/>
  <c r="L1680" i="1"/>
  <c r="M1680" i="1" s="1"/>
  <c r="N1680" i="1" s="1"/>
  <c r="L1681" i="1"/>
  <c r="M1681" i="1" s="1"/>
  <c r="N1681" i="1" s="1"/>
  <c r="L1682" i="1"/>
  <c r="M1682" i="1" s="1"/>
  <c r="N1682" i="1" s="1"/>
  <c r="L1683" i="1"/>
  <c r="M1683" i="1" s="1"/>
  <c r="N1683" i="1" s="1"/>
  <c r="L1684" i="1"/>
  <c r="M1684" i="1" s="1"/>
  <c r="N1684" i="1" s="1"/>
  <c r="L1685" i="1"/>
  <c r="M1685" i="1" s="1"/>
  <c r="N1685" i="1" s="1"/>
  <c r="L1686" i="1"/>
  <c r="M1686" i="1" s="1"/>
  <c r="N1686" i="1" s="1"/>
  <c r="L1687" i="1"/>
  <c r="M1687" i="1" s="1"/>
  <c r="N1687" i="1" s="1"/>
  <c r="L1688" i="1"/>
  <c r="M1688" i="1" s="1"/>
  <c r="N1688" i="1" s="1"/>
  <c r="L1689" i="1"/>
  <c r="M1689" i="1" s="1"/>
  <c r="N1689" i="1" s="1"/>
  <c r="L1690" i="1"/>
  <c r="M1690" i="1" s="1"/>
  <c r="N1690" i="1" s="1"/>
  <c r="L1691" i="1"/>
  <c r="M1691" i="1" s="1"/>
  <c r="N1691" i="1" s="1"/>
  <c r="L1692" i="1"/>
  <c r="M1692" i="1" s="1"/>
  <c r="N1692" i="1" s="1"/>
  <c r="L1693" i="1"/>
  <c r="M1693" i="1" s="1"/>
  <c r="N1693" i="1" s="1"/>
  <c r="L1694" i="1"/>
  <c r="M1694" i="1" s="1"/>
  <c r="N1694" i="1" s="1"/>
  <c r="L1695" i="1"/>
  <c r="M1695" i="1" s="1"/>
  <c r="N1695" i="1" s="1"/>
  <c r="L1696" i="1"/>
  <c r="M1696" i="1" s="1"/>
  <c r="N1696" i="1" s="1"/>
  <c r="L1697" i="1"/>
  <c r="M1697" i="1" s="1"/>
  <c r="N1697" i="1" s="1"/>
  <c r="L1698" i="1"/>
  <c r="M1698" i="1" s="1"/>
  <c r="N1698" i="1" s="1"/>
  <c r="L1699" i="1"/>
  <c r="M1699" i="1" s="1"/>
  <c r="N1699" i="1" s="1"/>
  <c r="L1700" i="1"/>
  <c r="M1700" i="1" s="1"/>
  <c r="N1700" i="1" s="1"/>
  <c r="L1701" i="1"/>
  <c r="M1701" i="1" s="1"/>
  <c r="N1701" i="1" s="1"/>
  <c r="L1702" i="1"/>
  <c r="M1702" i="1" s="1"/>
  <c r="N1702" i="1" s="1"/>
  <c r="L1703" i="1"/>
  <c r="M1703" i="1" s="1"/>
  <c r="N1703" i="1" s="1"/>
  <c r="L1704" i="1"/>
  <c r="M1704" i="1" s="1"/>
  <c r="N1704" i="1" s="1"/>
  <c r="L1705" i="1"/>
  <c r="M1705" i="1" s="1"/>
  <c r="N1705" i="1" s="1"/>
  <c r="L1706" i="1"/>
  <c r="M1706" i="1" s="1"/>
  <c r="N1706" i="1" s="1"/>
  <c r="L1707" i="1"/>
  <c r="M1707" i="1" s="1"/>
  <c r="N1707" i="1" s="1"/>
  <c r="L1708" i="1"/>
  <c r="M1708" i="1" s="1"/>
  <c r="N1708" i="1" s="1"/>
  <c r="L1709" i="1"/>
  <c r="M1709" i="1" s="1"/>
  <c r="N1709" i="1" s="1"/>
  <c r="L1710" i="1"/>
  <c r="M1710" i="1" s="1"/>
  <c r="N1710" i="1" s="1"/>
  <c r="L1711" i="1"/>
  <c r="M1711" i="1" s="1"/>
  <c r="N1711" i="1" s="1"/>
  <c r="L1712" i="1"/>
  <c r="M1712" i="1" s="1"/>
  <c r="N1712" i="1" s="1"/>
  <c r="L1713" i="1"/>
  <c r="M1713" i="1" s="1"/>
  <c r="N1713" i="1" s="1"/>
  <c r="L1714" i="1"/>
  <c r="M1714" i="1" s="1"/>
  <c r="N1714" i="1" s="1"/>
  <c r="L1715" i="1"/>
  <c r="M1715" i="1" s="1"/>
  <c r="N1715" i="1" s="1"/>
  <c r="L1716" i="1"/>
  <c r="M1716" i="1" s="1"/>
  <c r="N1716" i="1" s="1"/>
  <c r="L1717" i="1"/>
  <c r="M1717" i="1" s="1"/>
  <c r="N1717" i="1" s="1"/>
  <c r="L1718" i="1"/>
  <c r="M1718" i="1" s="1"/>
  <c r="N1718" i="1" s="1"/>
  <c r="L1719" i="1"/>
  <c r="M1719" i="1" s="1"/>
  <c r="N1719" i="1" s="1"/>
  <c r="L1720" i="1"/>
  <c r="M1720" i="1" s="1"/>
  <c r="N1720" i="1" s="1"/>
  <c r="L1721" i="1"/>
  <c r="M1721" i="1" s="1"/>
  <c r="N1721" i="1" s="1"/>
  <c r="L1722" i="1"/>
  <c r="M1722" i="1" s="1"/>
  <c r="N1722" i="1" s="1"/>
  <c r="L1723" i="1"/>
  <c r="M1723" i="1" s="1"/>
  <c r="N1723" i="1" s="1"/>
  <c r="L1724" i="1"/>
  <c r="M1724" i="1" s="1"/>
  <c r="N1724" i="1" s="1"/>
  <c r="L1725" i="1"/>
  <c r="M1725" i="1" s="1"/>
  <c r="N1725" i="1" s="1"/>
  <c r="L1726" i="1"/>
  <c r="M1726" i="1" s="1"/>
  <c r="N1726" i="1" s="1"/>
  <c r="L1727" i="1"/>
  <c r="M1727" i="1" s="1"/>
  <c r="N1727" i="1" s="1"/>
  <c r="L1728" i="1"/>
  <c r="M1728" i="1" s="1"/>
  <c r="N1728" i="1" s="1"/>
  <c r="L1729" i="1"/>
  <c r="M1729" i="1" s="1"/>
  <c r="N1729" i="1" s="1"/>
  <c r="L1730" i="1"/>
  <c r="M1730" i="1" s="1"/>
  <c r="N1730" i="1" s="1"/>
  <c r="L1731" i="1"/>
  <c r="M1731" i="1" s="1"/>
  <c r="N1731" i="1" s="1"/>
  <c r="L1732" i="1"/>
  <c r="M1732" i="1" s="1"/>
  <c r="N1732" i="1" s="1"/>
  <c r="L1733" i="1"/>
  <c r="M1733" i="1" s="1"/>
  <c r="N1733" i="1" s="1"/>
  <c r="L1734" i="1"/>
  <c r="M1734" i="1" s="1"/>
  <c r="N1734" i="1" s="1"/>
  <c r="L1735" i="1"/>
  <c r="M1735" i="1" s="1"/>
  <c r="N1735" i="1" s="1"/>
  <c r="L1736" i="1"/>
  <c r="M1736" i="1" s="1"/>
  <c r="N1736" i="1" s="1"/>
  <c r="L1737" i="1"/>
  <c r="M1737" i="1" s="1"/>
  <c r="N1737" i="1" s="1"/>
  <c r="L1738" i="1"/>
  <c r="M1738" i="1" s="1"/>
  <c r="N1738" i="1" s="1"/>
  <c r="L1739" i="1"/>
  <c r="M1739" i="1" s="1"/>
  <c r="N1739" i="1" s="1"/>
  <c r="L1740" i="1"/>
  <c r="M1740" i="1" s="1"/>
  <c r="N1740" i="1" s="1"/>
  <c r="L1741" i="1"/>
  <c r="M1741" i="1" s="1"/>
  <c r="N1741" i="1" s="1"/>
  <c r="L1742" i="1"/>
  <c r="M1742" i="1" s="1"/>
  <c r="N1742" i="1" s="1"/>
  <c r="L1743" i="1"/>
  <c r="M1743" i="1" s="1"/>
  <c r="N1743" i="1" s="1"/>
  <c r="L1744" i="1"/>
  <c r="M1744" i="1" s="1"/>
  <c r="N1744" i="1" s="1"/>
  <c r="L1745" i="1"/>
  <c r="M1745" i="1" s="1"/>
  <c r="N1745" i="1" s="1"/>
  <c r="L1746" i="1"/>
  <c r="M1746" i="1" s="1"/>
  <c r="N1746" i="1" s="1"/>
  <c r="L1747" i="1"/>
  <c r="M1747" i="1" s="1"/>
  <c r="N1747" i="1" s="1"/>
  <c r="L1748" i="1"/>
  <c r="M1748" i="1" s="1"/>
  <c r="N1748" i="1" s="1"/>
  <c r="L1749" i="1"/>
  <c r="M1749" i="1" s="1"/>
  <c r="N1749" i="1" s="1"/>
  <c r="L1750" i="1"/>
  <c r="M1750" i="1" s="1"/>
  <c r="N1750" i="1" s="1"/>
  <c r="L1751" i="1"/>
  <c r="M1751" i="1" s="1"/>
  <c r="N1751" i="1" s="1"/>
  <c r="L1752" i="1"/>
  <c r="M1752" i="1" s="1"/>
  <c r="N1752" i="1" s="1"/>
  <c r="L1753" i="1"/>
  <c r="M1753" i="1" s="1"/>
  <c r="N1753" i="1" s="1"/>
  <c r="L1754" i="1"/>
  <c r="M1754" i="1" s="1"/>
  <c r="N1754" i="1" s="1"/>
  <c r="L1755" i="1"/>
  <c r="M1755" i="1" s="1"/>
  <c r="N1755" i="1" s="1"/>
  <c r="L1756" i="1"/>
  <c r="M1756" i="1" s="1"/>
  <c r="N1756" i="1" s="1"/>
  <c r="L1757" i="1"/>
  <c r="M1757" i="1" s="1"/>
  <c r="N1757" i="1" s="1"/>
  <c r="L1758" i="1"/>
  <c r="M1758" i="1" s="1"/>
  <c r="N1758" i="1" s="1"/>
  <c r="L1759" i="1"/>
  <c r="M1759" i="1" s="1"/>
  <c r="N1759" i="1" s="1"/>
  <c r="L1760" i="1"/>
  <c r="M1760" i="1" s="1"/>
  <c r="N1760" i="1" s="1"/>
  <c r="L1761" i="1"/>
  <c r="M1761" i="1" s="1"/>
  <c r="N1761" i="1" s="1"/>
  <c r="L1762" i="1"/>
  <c r="M1762" i="1" s="1"/>
  <c r="N1762" i="1" s="1"/>
  <c r="L1763" i="1"/>
  <c r="M1763" i="1" s="1"/>
  <c r="N1763" i="1" s="1"/>
  <c r="L1764" i="1"/>
  <c r="M1764" i="1" s="1"/>
  <c r="N1764" i="1" s="1"/>
  <c r="L1765" i="1"/>
  <c r="M1765" i="1" s="1"/>
  <c r="N1765" i="1" s="1"/>
  <c r="L1766" i="1"/>
  <c r="M1766" i="1" s="1"/>
  <c r="N1766" i="1" s="1"/>
  <c r="L1767" i="1"/>
  <c r="M1767" i="1" s="1"/>
  <c r="N1767" i="1" s="1"/>
  <c r="L1768" i="1"/>
  <c r="M1768" i="1" s="1"/>
  <c r="N1768" i="1" s="1"/>
  <c r="L1769" i="1"/>
  <c r="M1769" i="1" s="1"/>
  <c r="N1769" i="1" s="1"/>
  <c r="L1770" i="1"/>
  <c r="M1770" i="1" s="1"/>
  <c r="N1770" i="1" s="1"/>
  <c r="L1771" i="1"/>
  <c r="M1771" i="1" s="1"/>
  <c r="N1771" i="1" s="1"/>
  <c r="L1772" i="1"/>
  <c r="M1772" i="1" s="1"/>
  <c r="N1772" i="1" s="1"/>
  <c r="L1773" i="1"/>
  <c r="M1773" i="1" s="1"/>
  <c r="N1773" i="1" s="1"/>
  <c r="L1774" i="1"/>
  <c r="M1774" i="1" s="1"/>
  <c r="N1774" i="1" s="1"/>
  <c r="L1775" i="1"/>
  <c r="M1775" i="1" s="1"/>
  <c r="N1775" i="1" s="1"/>
  <c r="L1776" i="1"/>
  <c r="M1776" i="1" s="1"/>
  <c r="N1776" i="1" s="1"/>
  <c r="L1777" i="1"/>
  <c r="M1777" i="1" s="1"/>
  <c r="N1777" i="1" s="1"/>
  <c r="L1778" i="1"/>
  <c r="M1778" i="1" s="1"/>
  <c r="N1778" i="1" s="1"/>
  <c r="L1779" i="1"/>
  <c r="M1779" i="1" s="1"/>
  <c r="N1779" i="1" s="1"/>
  <c r="L1780" i="1"/>
  <c r="M1780" i="1" s="1"/>
  <c r="N1780" i="1" s="1"/>
  <c r="L1781" i="1"/>
  <c r="M1781" i="1" s="1"/>
  <c r="N1781" i="1" s="1"/>
  <c r="L1782" i="1"/>
  <c r="M1782" i="1" s="1"/>
  <c r="N1782" i="1" s="1"/>
  <c r="L1783" i="1"/>
  <c r="M1783" i="1" s="1"/>
  <c r="N1783" i="1" s="1"/>
  <c r="L1784" i="1"/>
  <c r="M1784" i="1" s="1"/>
  <c r="N1784" i="1" s="1"/>
  <c r="L1785" i="1"/>
  <c r="M1785" i="1" s="1"/>
  <c r="N1785" i="1" s="1"/>
  <c r="L1786" i="1"/>
  <c r="M1786" i="1" s="1"/>
  <c r="N1786" i="1" s="1"/>
  <c r="L1787" i="1"/>
  <c r="M1787" i="1" s="1"/>
  <c r="N1787" i="1" s="1"/>
  <c r="L1788" i="1"/>
  <c r="M1788" i="1" s="1"/>
  <c r="N1788" i="1" s="1"/>
  <c r="L1789" i="1"/>
  <c r="M1789" i="1" s="1"/>
  <c r="N1789" i="1" s="1"/>
  <c r="L1790" i="1"/>
  <c r="M1790" i="1" s="1"/>
  <c r="N1790" i="1" s="1"/>
  <c r="L1791" i="1"/>
  <c r="M1791" i="1" s="1"/>
  <c r="N1791" i="1" s="1"/>
  <c r="L1792" i="1"/>
  <c r="M1792" i="1" s="1"/>
  <c r="N1792" i="1" s="1"/>
  <c r="L1793" i="1"/>
  <c r="M1793" i="1" s="1"/>
  <c r="N1793" i="1" s="1"/>
  <c r="L1794" i="1"/>
  <c r="M1794" i="1" s="1"/>
  <c r="N1794" i="1" s="1"/>
  <c r="L1795" i="1"/>
  <c r="M1795" i="1" s="1"/>
  <c r="N1795" i="1" s="1"/>
  <c r="L1796" i="1"/>
  <c r="M1796" i="1" s="1"/>
  <c r="N1796" i="1" s="1"/>
  <c r="L1797" i="1"/>
  <c r="M1797" i="1" s="1"/>
  <c r="N1797" i="1" s="1"/>
  <c r="L1798" i="1"/>
  <c r="M1798" i="1" s="1"/>
  <c r="N1798" i="1" s="1"/>
  <c r="L1799" i="1"/>
  <c r="M1799" i="1" s="1"/>
  <c r="N1799" i="1" s="1"/>
  <c r="L1800" i="1"/>
  <c r="M1800" i="1" s="1"/>
  <c r="N1800" i="1" s="1"/>
  <c r="L1801" i="1"/>
  <c r="M1801" i="1" s="1"/>
  <c r="N1801" i="1" s="1"/>
  <c r="L1802" i="1"/>
  <c r="M1802" i="1" s="1"/>
  <c r="N1802" i="1" s="1"/>
  <c r="L1803" i="1"/>
  <c r="M1803" i="1" s="1"/>
  <c r="N1803" i="1" s="1"/>
  <c r="L1804" i="1"/>
  <c r="M1804" i="1" s="1"/>
  <c r="N1804" i="1" s="1"/>
  <c r="L1805" i="1"/>
  <c r="M1805" i="1" s="1"/>
  <c r="N1805" i="1" s="1"/>
  <c r="L1806" i="1"/>
  <c r="M1806" i="1" s="1"/>
  <c r="N1806" i="1" s="1"/>
  <c r="L1807" i="1"/>
  <c r="M1807" i="1" s="1"/>
  <c r="N1807" i="1" s="1"/>
  <c r="L1808" i="1"/>
  <c r="M1808" i="1" s="1"/>
  <c r="N1808" i="1" s="1"/>
  <c r="L1809" i="1"/>
  <c r="M1809" i="1" s="1"/>
  <c r="N1809" i="1" s="1"/>
  <c r="L1810" i="1"/>
  <c r="M1810" i="1" s="1"/>
  <c r="N1810" i="1" s="1"/>
  <c r="L1811" i="1"/>
  <c r="M1811" i="1" s="1"/>
  <c r="N1811" i="1" s="1"/>
  <c r="L1812" i="1"/>
  <c r="M1812" i="1" s="1"/>
  <c r="N1812" i="1" s="1"/>
  <c r="L1813" i="1"/>
  <c r="M1813" i="1" s="1"/>
  <c r="N1813" i="1" s="1"/>
  <c r="L1814" i="1"/>
  <c r="M1814" i="1" s="1"/>
  <c r="N1814" i="1" s="1"/>
  <c r="L1815" i="1"/>
  <c r="M1815" i="1" s="1"/>
  <c r="N1815" i="1" s="1"/>
  <c r="L1816" i="1"/>
  <c r="M1816" i="1" s="1"/>
  <c r="N1816" i="1" s="1"/>
  <c r="L1817" i="1"/>
  <c r="M1817" i="1" s="1"/>
  <c r="N1817" i="1" s="1"/>
  <c r="L1818" i="1"/>
  <c r="M1818" i="1" s="1"/>
  <c r="N1818" i="1" s="1"/>
  <c r="L1819" i="1"/>
  <c r="M1819" i="1" s="1"/>
  <c r="N1819" i="1" s="1"/>
  <c r="L1820" i="1"/>
  <c r="M1820" i="1" s="1"/>
  <c r="N1820" i="1" s="1"/>
  <c r="L1821" i="1"/>
  <c r="M1821" i="1" s="1"/>
  <c r="N1821" i="1" s="1"/>
  <c r="L1822" i="1"/>
  <c r="M1822" i="1" s="1"/>
  <c r="N1822" i="1" s="1"/>
  <c r="L1823" i="1"/>
  <c r="M1823" i="1" s="1"/>
  <c r="N1823" i="1" s="1"/>
  <c r="L1824" i="1"/>
  <c r="M1824" i="1" s="1"/>
  <c r="N1824" i="1" s="1"/>
  <c r="L1825" i="1"/>
  <c r="M1825" i="1" s="1"/>
  <c r="N1825" i="1" s="1"/>
  <c r="L1826" i="1"/>
  <c r="M1826" i="1" s="1"/>
  <c r="N1826" i="1" s="1"/>
  <c r="L1827" i="1"/>
  <c r="M1827" i="1" s="1"/>
  <c r="N1827" i="1" s="1"/>
  <c r="L1828" i="1"/>
  <c r="M1828" i="1" s="1"/>
  <c r="N1828" i="1" s="1"/>
  <c r="L1829" i="1"/>
  <c r="M1829" i="1" s="1"/>
  <c r="N1829" i="1" s="1"/>
  <c r="L1830" i="1"/>
  <c r="M1830" i="1" s="1"/>
  <c r="N1830" i="1" s="1"/>
  <c r="L1831" i="1"/>
  <c r="M1831" i="1" s="1"/>
  <c r="N1831" i="1" s="1"/>
  <c r="L1832" i="1"/>
  <c r="M1832" i="1" s="1"/>
  <c r="N1832" i="1" s="1"/>
  <c r="L1833" i="1"/>
  <c r="M1833" i="1" s="1"/>
  <c r="N1833" i="1" s="1"/>
  <c r="L1834" i="1"/>
  <c r="M1834" i="1" s="1"/>
  <c r="N1834" i="1" s="1"/>
  <c r="L1835" i="1"/>
  <c r="M1835" i="1" s="1"/>
  <c r="N1835" i="1" s="1"/>
  <c r="L1836" i="1"/>
  <c r="M1836" i="1" s="1"/>
  <c r="N1836" i="1" s="1"/>
  <c r="L1837" i="1"/>
  <c r="M1837" i="1" s="1"/>
  <c r="N1837" i="1" s="1"/>
  <c r="L1838" i="1"/>
  <c r="M1838" i="1" s="1"/>
  <c r="N1838" i="1" s="1"/>
  <c r="L1839" i="1"/>
  <c r="M1839" i="1" s="1"/>
  <c r="N1839" i="1" s="1"/>
  <c r="L1840" i="1"/>
  <c r="M1840" i="1" s="1"/>
  <c r="N1840" i="1" s="1"/>
  <c r="L1841" i="1"/>
  <c r="M1841" i="1" s="1"/>
  <c r="N1841" i="1" s="1"/>
  <c r="L1842" i="1"/>
  <c r="M1842" i="1" s="1"/>
  <c r="N1842" i="1" s="1"/>
  <c r="L1843" i="1"/>
  <c r="M1843" i="1" s="1"/>
  <c r="N1843" i="1" s="1"/>
  <c r="L1844" i="1"/>
  <c r="M1844" i="1" s="1"/>
  <c r="N1844" i="1" s="1"/>
  <c r="L1845" i="1"/>
  <c r="M1845" i="1" s="1"/>
  <c r="N1845" i="1" s="1"/>
  <c r="L1846" i="1"/>
  <c r="M1846" i="1" s="1"/>
  <c r="N1846" i="1" s="1"/>
  <c r="L1847" i="1"/>
  <c r="M1847" i="1" s="1"/>
  <c r="N1847" i="1" s="1"/>
  <c r="L1848" i="1"/>
  <c r="M1848" i="1" s="1"/>
  <c r="N1848" i="1" s="1"/>
  <c r="L1849" i="1"/>
  <c r="M1849" i="1" s="1"/>
  <c r="N1849" i="1" s="1"/>
  <c r="L1850" i="1"/>
  <c r="M1850" i="1" s="1"/>
  <c r="N1850" i="1" s="1"/>
  <c r="L1851" i="1"/>
  <c r="M1851" i="1" s="1"/>
  <c r="N1851" i="1" s="1"/>
  <c r="L1852" i="1"/>
  <c r="M1852" i="1" s="1"/>
  <c r="N1852" i="1" s="1"/>
  <c r="L1853" i="1"/>
  <c r="M1853" i="1" s="1"/>
  <c r="N1853" i="1" s="1"/>
  <c r="L1854" i="1"/>
  <c r="M1854" i="1" s="1"/>
  <c r="N1854" i="1" s="1"/>
  <c r="L1855" i="1"/>
  <c r="M1855" i="1" s="1"/>
  <c r="N1855" i="1" s="1"/>
  <c r="L1856" i="1"/>
  <c r="M1856" i="1" s="1"/>
  <c r="N1856" i="1" s="1"/>
  <c r="L1857" i="1"/>
  <c r="M1857" i="1" s="1"/>
  <c r="N1857" i="1" s="1"/>
  <c r="L1858" i="1"/>
  <c r="M1858" i="1" s="1"/>
  <c r="N1858" i="1" s="1"/>
  <c r="L1859" i="1"/>
  <c r="M1859" i="1" s="1"/>
  <c r="N1859" i="1" s="1"/>
  <c r="L1860" i="1"/>
  <c r="M1860" i="1" s="1"/>
  <c r="N1860" i="1" s="1"/>
  <c r="L1861" i="1"/>
  <c r="M1861" i="1" s="1"/>
  <c r="N1861" i="1" s="1"/>
  <c r="L1862" i="1"/>
  <c r="M1862" i="1" s="1"/>
  <c r="N1862" i="1" s="1"/>
  <c r="L1863" i="1"/>
  <c r="M1863" i="1" s="1"/>
  <c r="N1863" i="1" s="1"/>
  <c r="L1864" i="1"/>
  <c r="M1864" i="1" s="1"/>
  <c r="N1864" i="1" s="1"/>
  <c r="L1865" i="1"/>
  <c r="M1865" i="1" s="1"/>
  <c r="N1865" i="1" s="1"/>
  <c r="L1866" i="1"/>
  <c r="M1866" i="1" s="1"/>
  <c r="N1866" i="1" s="1"/>
  <c r="L1867" i="1"/>
  <c r="M1867" i="1" s="1"/>
  <c r="N1867" i="1" s="1"/>
  <c r="L1868" i="1"/>
  <c r="M1868" i="1" s="1"/>
  <c r="N1868" i="1" s="1"/>
  <c r="L1869" i="1"/>
  <c r="M1869" i="1" s="1"/>
  <c r="N1869" i="1" s="1"/>
  <c r="L1870" i="1"/>
  <c r="M1870" i="1" s="1"/>
  <c r="N1870" i="1" s="1"/>
  <c r="L1871" i="1"/>
  <c r="M1871" i="1" s="1"/>
  <c r="N1871" i="1" s="1"/>
  <c r="L1872" i="1"/>
  <c r="M1872" i="1" s="1"/>
  <c r="N1872" i="1" s="1"/>
  <c r="L1873" i="1"/>
  <c r="M1873" i="1" s="1"/>
  <c r="N1873" i="1" s="1"/>
  <c r="L1874" i="1"/>
  <c r="M1874" i="1" s="1"/>
  <c r="N1874" i="1" s="1"/>
  <c r="L1875" i="1"/>
  <c r="M1875" i="1" s="1"/>
  <c r="N1875" i="1" s="1"/>
  <c r="L1876" i="1"/>
  <c r="M1876" i="1" s="1"/>
  <c r="N1876" i="1" s="1"/>
  <c r="L1877" i="1"/>
  <c r="M1877" i="1" s="1"/>
  <c r="N1877" i="1" s="1"/>
  <c r="L1878" i="1"/>
  <c r="M1878" i="1" s="1"/>
  <c r="N1878" i="1" s="1"/>
  <c r="L1879" i="1"/>
  <c r="M1879" i="1" s="1"/>
  <c r="N1879" i="1" s="1"/>
  <c r="L1880" i="1"/>
  <c r="M1880" i="1" s="1"/>
  <c r="N1880" i="1" s="1"/>
  <c r="L1881" i="1"/>
  <c r="M1881" i="1" s="1"/>
  <c r="N1881" i="1" s="1"/>
  <c r="L1882" i="1"/>
  <c r="M1882" i="1" s="1"/>
  <c r="N1882" i="1" s="1"/>
  <c r="L1883" i="1"/>
  <c r="M1883" i="1" s="1"/>
  <c r="N1883" i="1" s="1"/>
  <c r="L1884" i="1"/>
  <c r="M1884" i="1" s="1"/>
  <c r="N1884" i="1" s="1"/>
  <c r="L1885" i="1"/>
  <c r="M1885" i="1" s="1"/>
  <c r="N1885" i="1" s="1"/>
  <c r="L1886" i="1"/>
  <c r="M1886" i="1" s="1"/>
  <c r="N1886" i="1" s="1"/>
  <c r="L1887" i="1"/>
  <c r="M1887" i="1" s="1"/>
  <c r="N1887" i="1" s="1"/>
  <c r="L1888" i="1"/>
  <c r="M1888" i="1" s="1"/>
  <c r="N1888" i="1" s="1"/>
  <c r="L1889" i="1"/>
  <c r="M1889" i="1" s="1"/>
  <c r="N1889" i="1" s="1"/>
  <c r="L1890" i="1"/>
  <c r="M1890" i="1" s="1"/>
  <c r="N1890" i="1" s="1"/>
  <c r="L1891" i="1"/>
  <c r="M1891" i="1" s="1"/>
  <c r="N1891" i="1" s="1"/>
  <c r="L1892" i="1"/>
  <c r="M1892" i="1" s="1"/>
  <c r="N1892" i="1" s="1"/>
  <c r="L1893" i="1"/>
  <c r="M1893" i="1" s="1"/>
  <c r="N1893" i="1" s="1"/>
  <c r="L1894" i="1"/>
  <c r="M1894" i="1" s="1"/>
  <c r="N1894" i="1" s="1"/>
  <c r="L1895" i="1"/>
  <c r="M1895" i="1" s="1"/>
  <c r="N1895" i="1" s="1"/>
  <c r="L1896" i="1"/>
  <c r="M1896" i="1" s="1"/>
  <c r="N1896" i="1" s="1"/>
  <c r="L1897" i="1"/>
  <c r="M1897" i="1" s="1"/>
  <c r="N1897" i="1" s="1"/>
  <c r="L1898" i="1"/>
  <c r="M1898" i="1" s="1"/>
  <c r="N1898" i="1" s="1"/>
  <c r="L1899" i="1"/>
  <c r="M1899" i="1" s="1"/>
  <c r="N1899" i="1" s="1"/>
  <c r="L1900" i="1"/>
  <c r="M1900" i="1" s="1"/>
  <c r="N1900" i="1" s="1"/>
  <c r="L1901" i="1"/>
  <c r="M1901" i="1" s="1"/>
  <c r="N1901" i="1" s="1"/>
  <c r="L1902" i="1"/>
  <c r="M1902" i="1" s="1"/>
  <c r="N1902" i="1" s="1"/>
  <c r="L1903" i="1"/>
  <c r="M1903" i="1" s="1"/>
  <c r="N1903" i="1" s="1"/>
  <c r="L1904" i="1"/>
  <c r="M1904" i="1" s="1"/>
  <c r="N1904" i="1" s="1"/>
  <c r="L1905" i="1"/>
  <c r="M1905" i="1" s="1"/>
  <c r="N1905" i="1" s="1"/>
  <c r="L1906" i="1"/>
  <c r="M1906" i="1" s="1"/>
  <c r="N1906" i="1" s="1"/>
  <c r="L1907" i="1"/>
  <c r="M1907" i="1" s="1"/>
  <c r="N1907" i="1" s="1"/>
  <c r="L1908" i="1"/>
  <c r="M1908" i="1" s="1"/>
  <c r="N1908" i="1" s="1"/>
  <c r="L1909" i="1"/>
  <c r="M1909" i="1" s="1"/>
  <c r="N1909" i="1" s="1"/>
  <c r="L1910" i="1"/>
  <c r="M1910" i="1" s="1"/>
  <c r="N1910" i="1" s="1"/>
  <c r="L1911" i="1"/>
  <c r="M1911" i="1" s="1"/>
  <c r="N1911" i="1" s="1"/>
  <c r="L1912" i="1"/>
  <c r="M1912" i="1" s="1"/>
  <c r="N1912" i="1" s="1"/>
  <c r="L1913" i="1"/>
  <c r="M1913" i="1" s="1"/>
  <c r="N1913" i="1" s="1"/>
  <c r="L1914" i="1"/>
  <c r="M1914" i="1" s="1"/>
  <c r="N1914" i="1" s="1"/>
  <c r="L1915" i="1"/>
  <c r="M1915" i="1" s="1"/>
  <c r="N1915" i="1" s="1"/>
  <c r="L1916" i="1"/>
  <c r="M1916" i="1" s="1"/>
  <c r="N1916" i="1" s="1"/>
  <c r="L1917" i="1"/>
  <c r="M1917" i="1" s="1"/>
  <c r="N1917" i="1" s="1"/>
  <c r="L1918" i="1"/>
  <c r="M1918" i="1" s="1"/>
  <c r="N1918" i="1" s="1"/>
  <c r="L1919" i="1"/>
  <c r="M1919" i="1" s="1"/>
  <c r="N1919" i="1" s="1"/>
  <c r="L1920" i="1"/>
  <c r="M1920" i="1" s="1"/>
  <c r="N1920" i="1" s="1"/>
  <c r="L1921" i="1"/>
  <c r="M1921" i="1" s="1"/>
  <c r="N1921" i="1" s="1"/>
  <c r="L1922" i="1"/>
  <c r="M1922" i="1" s="1"/>
  <c r="N1922" i="1" s="1"/>
  <c r="L1923" i="1"/>
  <c r="M1923" i="1" s="1"/>
  <c r="N1923" i="1" s="1"/>
  <c r="L1924" i="1"/>
  <c r="M1924" i="1" s="1"/>
  <c r="N1924" i="1" s="1"/>
  <c r="L1925" i="1"/>
  <c r="M1925" i="1" s="1"/>
  <c r="N1925" i="1" s="1"/>
  <c r="L1926" i="1"/>
  <c r="M1926" i="1" s="1"/>
  <c r="N1926" i="1" s="1"/>
  <c r="L1927" i="1"/>
  <c r="M1927" i="1" s="1"/>
  <c r="N1927" i="1" s="1"/>
  <c r="L1928" i="1"/>
  <c r="M1928" i="1" s="1"/>
  <c r="N1928" i="1" s="1"/>
  <c r="L1929" i="1"/>
  <c r="M1929" i="1" s="1"/>
  <c r="N1929" i="1" s="1"/>
  <c r="L1930" i="1"/>
  <c r="M1930" i="1" s="1"/>
  <c r="N1930" i="1" s="1"/>
  <c r="L1931" i="1"/>
  <c r="M1931" i="1" s="1"/>
  <c r="N1931" i="1" s="1"/>
  <c r="L1932" i="1"/>
  <c r="M1932" i="1" s="1"/>
  <c r="N1932" i="1" s="1"/>
  <c r="L1933" i="1"/>
  <c r="M1933" i="1" s="1"/>
  <c r="N1933" i="1" s="1"/>
  <c r="L1934" i="1"/>
  <c r="M1934" i="1" s="1"/>
  <c r="N1934" i="1" s="1"/>
  <c r="L1935" i="1"/>
  <c r="M1935" i="1" s="1"/>
  <c r="N1935" i="1" s="1"/>
  <c r="L1936" i="1"/>
  <c r="M1936" i="1" s="1"/>
  <c r="N1936" i="1" s="1"/>
  <c r="L1937" i="1"/>
  <c r="M1937" i="1" s="1"/>
  <c r="N1937" i="1" s="1"/>
  <c r="L1938" i="1"/>
  <c r="M1938" i="1" s="1"/>
  <c r="N1938" i="1" s="1"/>
  <c r="L1939" i="1"/>
  <c r="M1939" i="1" s="1"/>
  <c r="N1939" i="1" s="1"/>
  <c r="L1940" i="1"/>
  <c r="M1940" i="1" s="1"/>
  <c r="N1940" i="1" s="1"/>
  <c r="L1941" i="1"/>
  <c r="M1941" i="1" s="1"/>
  <c r="N1941" i="1" s="1"/>
  <c r="L1942" i="1"/>
  <c r="M1942" i="1" s="1"/>
  <c r="N1942" i="1" s="1"/>
  <c r="L1943" i="1"/>
  <c r="M1943" i="1" s="1"/>
  <c r="N1943" i="1" s="1"/>
  <c r="L1944" i="1"/>
  <c r="M1944" i="1" s="1"/>
  <c r="N1944" i="1" s="1"/>
  <c r="L1945" i="1"/>
  <c r="M1945" i="1" s="1"/>
  <c r="N1945" i="1" s="1"/>
  <c r="L1946" i="1"/>
  <c r="M1946" i="1" s="1"/>
  <c r="N1946" i="1" s="1"/>
  <c r="L1947" i="1"/>
  <c r="M1947" i="1" s="1"/>
  <c r="N1947" i="1" s="1"/>
  <c r="L1948" i="1"/>
  <c r="M1948" i="1" s="1"/>
  <c r="N1948" i="1" s="1"/>
  <c r="L1949" i="1"/>
  <c r="M1949" i="1" s="1"/>
  <c r="N1949" i="1" s="1"/>
  <c r="L1950" i="1"/>
  <c r="M1950" i="1" s="1"/>
  <c r="N1950" i="1" s="1"/>
  <c r="L1951" i="1"/>
  <c r="M1951" i="1" s="1"/>
  <c r="N1951" i="1" s="1"/>
  <c r="L1952" i="1"/>
  <c r="M1952" i="1" s="1"/>
  <c r="N1952" i="1" s="1"/>
  <c r="L1953" i="1"/>
  <c r="M1953" i="1" s="1"/>
  <c r="N1953" i="1" s="1"/>
  <c r="L1954" i="1"/>
  <c r="M1954" i="1" s="1"/>
  <c r="N1954" i="1" s="1"/>
  <c r="L1955" i="1"/>
  <c r="M1955" i="1" s="1"/>
  <c r="N1955" i="1" s="1"/>
  <c r="L1956" i="1"/>
  <c r="M1956" i="1" s="1"/>
  <c r="N1956" i="1" s="1"/>
  <c r="L1957" i="1"/>
  <c r="M1957" i="1" s="1"/>
  <c r="N1957" i="1" s="1"/>
  <c r="L1958" i="1"/>
  <c r="M1958" i="1" s="1"/>
  <c r="N1958" i="1" s="1"/>
  <c r="L1959" i="1"/>
  <c r="M1959" i="1" s="1"/>
  <c r="N1959" i="1" s="1"/>
  <c r="L1960" i="1"/>
  <c r="M1960" i="1" s="1"/>
  <c r="N1960" i="1" s="1"/>
  <c r="L1961" i="1"/>
  <c r="M1961" i="1" s="1"/>
  <c r="N1961" i="1" s="1"/>
  <c r="L1962" i="1"/>
  <c r="M1962" i="1" s="1"/>
  <c r="N1962" i="1" s="1"/>
  <c r="L1963" i="1"/>
  <c r="M1963" i="1" s="1"/>
  <c r="N1963" i="1" s="1"/>
  <c r="L1964" i="1"/>
  <c r="M1964" i="1" s="1"/>
  <c r="N1964" i="1" s="1"/>
  <c r="L1965" i="1"/>
  <c r="M1965" i="1" s="1"/>
  <c r="N1965" i="1" s="1"/>
  <c r="L1966" i="1"/>
  <c r="M1966" i="1" s="1"/>
  <c r="N1966" i="1" s="1"/>
  <c r="L1967" i="1"/>
  <c r="M1967" i="1" s="1"/>
  <c r="N1967" i="1" s="1"/>
  <c r="L1968" i="1"/>
  <c r="M1968" i="1" s="1"/>
  <c r="N1968" i="1" s="1"/>
  <c r="L1969" i="1"/>
  <c r="M1969" i="1" s="1"/>
  <c r="N1969" i="1" s="1"/>
  <c r="L1970" i="1"/>
  <c r="M1970" i="1" s="1"/>
  <c r="N1970" i="1" s="1"/>
  <c r="L1971" i="1"/>
  <c r="M1971" i="1" s="1"/>
  <c r="N1971" i="1" s="1"/>
  <c r="L1972" i="1"/>
  <c r="M1972" i="1" s="1"/>
  <c r="N1972" i="1" s="1"/>
  <c r="L1973" i="1"/>
  <c r="M1973" i="1" s="1"/>
  <c r="N1973" i="1" s="1"/>
  <c r="L1974" i="1"/>
  <c r="M1974" i="1" s="1"/>
  <c r="N1974" i="1" s="1"/>
  <c r="L1975" i="1"/>
  <c r="M1975" i="1" s="1"/>
  <c r="N1975" i="1" s="1"/>
  <c r="L1976" i="1"/>
  <c r="M1976" i="1" s="1"/>
  <c r="N1976" i="1" s="1"/>
  <c r="L1977" i="1"/>
  <c r="M1977" i="1" s="1"/>
  <c r="N1977" i="1" s="1"/>
  <c r="L1978" i="1"/>
  <c r="M1978" i="1" s="1"/>
  <c r="N1978" i="1" s="1"/>
  <c r="L1979" i="1"/>
  <c r="M1979" i="1" s="1"/>
  <c r="N1979" i="1" s="1"/>
  <c r="L1980" i="1"/>
  <c r="M1980" i="1" s="1"/>
  <c r="N1980" i="1" s="1"/>
  <c r="L1981" i="1"/>
  <c r="M1981" i="1" s="1"/>
  <c r="N1981" i="1" s="1"/>
  <c r="L1982" i="1"/>
  <c r="M1982" i="1" s="1"/>
  <c r="N1982" i="1" s="1"/>
  <c r="L1983" i="1"/>
  <c r="M1983" i="1" s="1"/>
  <c r="N1983" i="1" s="1"/>
  <c r="L1984" i="1"/>
  <c r="M1984" i="1" s="1"/>
  <c r="N1984" i="1" s="1"/>
  <c r="L1985" i="1"/>
  <c r="M1985" i="1" s="1"/>
  <c r="N1985" i="1" s="1"/>
  <c r="L1986" i="1"/>
  <c r="M1986" i="1" s="1"/>
  <c r="N1986" i="1" s="1"/>
  <c r="L1987" i="1"/>
  <c r="M1987" i="1" s="1"/>
  <c r="N1987" i="1" s="1"/>
  <c r="L1988" i="1"/>
  <c r="M1988" i="1" s="1"/>
  <c r="N1988" i="1" s="1"/>
  <c r="L1989" i="1"/>
  <c r="M1989" i="1" s="1"/>
  <c r="N1989" i="1" s="1"/>
  <c r="L1990" i="1"/>
  <c r="M1990" i="1" s="1"/>
  <c r="N1990" i="1" s="1"/>
  <c r="L1991" i="1"/>
  <c r="M1991" i="1" s="1"/>
  <c r="N1991" i="1" s="1"/>
  <c r="L1992" i="1"/>
  <c r="M1992" i="1" s="1"/>
  <c r="N1992" i="1" s="1"/>
  <c r="L1993" i="1"/>
  <c r="M1993" i="1" s="1"/>
  <c r="N1993" i="1" s="1"/>
  <c r="L1994" i="1"/>
  <c r="M1994" i="1" s="1"/>
  <c r="N1994" i="1" s="1"/>
  <c r="L1995" i="1"/>
  <c r="M1995" i="1" s="1"/>
  <c r="N1995" i="1" s="1"/>
  <c r="L1996" i="1"/>
  <c r="M1996" i="1" s="1"/>
  <c r="N1996" i="1" s="1"/>
  <c r="L1997" i="1"/>
  <c r="M1997" i="1" s="1"/>
  <c r="N1997" i="1" s="1"/>
  <c r="L1998" i="1"/>
  <c r="M1998" i="1" s="1"/>
  <c r="N1998" i="1" s="1"/>
  <c r="L1999" i="1"/>
  <c r="M1999" i="1" s="1"/>
  <c r="N1999" i="1" s="1"/>
  <c r="L2000" i="1"/>
  <c r="M2000" i="1" s="1"/>
  <c r="N2000" i="1" s="1"/>
  <c r="L2001" i="1"/>
  <c r="M2001" i="1" s="1"/>
  <c r="N2001" i="1" s="1"/>
  <c r="L2002" i="1"/>
  <c r="M2002" i="1" s="1"/>
  <c r="N2002" i="1" s="1"/>
  <c r="L2003" i="1"/>
  <c r="M2003" i="1" s="1"/>
  <c r="N2003" i="1" s="1"/>
  <c r="L2004" i="1"/>
  <c r="M2004" i="1" s="1"/>
  <c r="N2004" i="1" s="1"/>
  <c r="L2005" i="1"/>
  <c r="M2005" i="1" s="1"/>
  <c r="N2005" i="1" s="1"/>
  <c r="L2006" i="1"/>
  <c r="M2006" i="1" s="1"/>
  <c r="N2006" i="1" s="1"/>
  <c r="L2007" i="1"/>
  <c r="M2007" i="1" s="1"/>
  <c r="N2007" i="1" s="1"/>
  <c r="L2008" i="1"/>
  <c r="M2008" i="1" s="1"/>
  <c r="N2008" i="1" s="1"/>
  <c r="L2009" i="1"/>
  <c r="M2009" i="1" s="1"/>
  <c r="N2009" i="1" s="1"/>
  <c r="L2010" i="1"/>
  <c r="M2010" i="1" s="1"/>
  <c r="N2010" i="1" s="1"/>
  <c r="L2011" i="1"/>
  <c r="M2011" i="1" s="1"/>
  <c r="N2011" i="1" s="1"/>
  <c r="L2012" i="1"/>
  <c r="M2012" i="1" s="1"/>
  <c r="N2012" i="1" s="1"/>
  <c r="L2013" i="1"/>
  <c r="M2013" i="1" s="1"/>
  <c r="N2013" i="1" s="1"/>
  <c r="L2014" i="1"/>
  <c r="M2014" i="1" s="1"/>
  <c r="N2014" i="1" s="1"/>
  <c r="L2015" i="1"/>
  <c r="M2015" i="1" s="1"/>
  <c r="N2015" i="1" s="1"/>
  <c r="L2016" i="1"/>
  <c r="M2016" i="1" s="1"/>
  <c r="N2016" i="1" s="1"/>
  <c r="L2017" i="1"/>
  <c r="M2017" i="1" s="1"/>
  <c r="N2017" i="1" s="1"/>
  <c r="L2018" i="1"/>
  <c r="M2018" i="1" s="1"/>
  <c r="N2018" i="1" s="1"/>
  <c r="L2019" i="1"/>
  <c r="M2019" i="1" s="1"/>
  <c r="N2019" i="1" s="1"/>
  <c r="L2020" i="1"/>
  <c r="M2020" i="1" s="1"/>
  <c r="N2020" i="1" s="1"/>
  <c r="L2021" i="1"/>
  <c r="M2021" i="1" s="1"/>
  <c r="N2021" i="1" s="1"/>
  <c r="L2022" i="1"/>
  <c r="M2022" i="1" s="1"/>
  <c r="N2022" i="1" s="1"/>
  <c r="L2023" i="1"/>
  <c r="M2023" i="1" s="1"/>
  <c r="N2023" i="1" s="1"/>
  <c r="L2024" i="1"/>
  <c r="M2024" i="1" s="1"/>
  <c r="N2024" i="1" s="1"/>
  <c r="L2025" i="1"/>
  <c r="M2025" i="1" s="1"/>
  <c r="N2025" i="1" s="1"/>
  <c r="L2026" i="1"/>
  <c r="M2026" i="1" s="1"/>
  <c r="N2026" i="1" s="1"/>
  <c r="L2027" i="1"/>
  <c r="M2027" i="1" s="1"/>
  <c r="N2027" i="1" s="1"/>
  <c r="L2028" i="1"/>
  <c r="M2028" i="1" s="1"/>
  <c r="N2028" i="1" s="1"/>
  <c r="L2029" i="1"/>
  <c r="M2029" i="1" s="1"/>
  <c r="N2029" i="1" s="1"/>
  <c r="L2030" i="1"/>
  <c r="M2030" i="1" s="1"/>
  <c r="N2030" i="1" s="1"/>
  <c r="L2031" i="1"/>
  <c r="M2031" i="1" s="1"/>
  <c r="N2031" i="1" s="1"/>
  <c r="L2032" i="1"/>
  <c r="M2032" i="1" s="1"/>
  <c r="N2032" i="1" s="1"/>
  <c r="L2033" i="1"/>
  <c r="M2033" i="1" s="1"/>
  <c r="N2033" i="1" s="1"/>
  <c r="L2034" i="1"/>
  <c r="M2034" i="1" s="1"/>
  <c r="N2034" i="1" s="1"/>
  <c r="L2035" i="1"/>
  <c r="M2035" i="1" s="1"/>
  <c r="N2035" i="1" s="1"/>
  <c r="L2036" i="1"/>
  <c r="M2036" i="1" s="1"/>
  <c r="N2036" i="1" s="1"/>
  <c r="L2037" i="1"/>
  <c r="M2037" i="1" s="1"/>
  <c r="N2037" i="1" s="1"/>
  <c r="L2038" i="1"/>
  <c r="M2038" i="1" s="1"/>
  <c r="N2038" i="1" s="1"/>
  <c r="L2039" i="1"/>
  <c r="M2039" i="1" s="1"/>
  <c r="N2039" i="1" s="1"/>
  <c r="L2040" i="1"/>
  <c r="M2040" i="1" s="1"/>
  <c r="N2040" i="1" s="1"/>
  <c r="L2041" i="1"/>
  <c r="M2041" i="1" s="1"/>
  <c r="N2041" i="1" s="1"/>
  <c r="L2042" i="1"/>
  <c r="M2042" i="1" s="1"/>
  <c r="N2042" i="1" s="1"/>
  <c r="L2043" i="1"/>
  <c r="M2043" i="1" s="1"/>
  <c r="N2043" i="1" s="1"/>
  <c r="L2044" i="1"/>
  <c r="M2044" i="1" s="1"/>
  <c r="N2044" i="1" s="1"/>
  <c r="L2045" i="1"/>
  <c r="M2045" i="1" s="1"/>
  <c r="N2045" i="1" s="1"/>
  <c r="L2046" i="1"/>
  <c r="M2046" i="1" s="1"/>
  <c r="N2046" i="1" s="1"/>
  <c r="L2047" i="1"/>
  <c r="M2047" i="1" s="1"/>
  <c r="N2047" i="1" s="1"/>
  <c r="L2048" i="1"/>
  <c r="M2048" i="1" s="1"/>
  <c r="N2048" i="1" s="1"/>
  <c r="L2049" i="1"/>
  <c r="M2049" i="1" s="1"/>
  <c r="N2049" i="1" s="1"/>
  <c r="L2050" i="1"/>
  <c r="M2050" i="1" s="1"/>
  <c r="N2050" i="1" s="1"/>
  <c r="L2051" i="1"/>
  <c r="M2051" i="1" s="1"/>
  <c r="N2051" i="1" s="1"/>
  <c r="L2052" i="1"/>
  <c r="M2052" i="1" s="1"/>
  <c r="N2052" i="1" s="1"/>
  <c r="L2053" i="1"/>
  <c r="M2053" i="1" s="1"/>
  <c r="N2053" i="1" s="1"/>
  <c r="L2054" i="1"/>
  <c r="M2054" i="1" s="1"/>
  <c r="N2054" i="1" s="1"/>
  <c r="L2055" i="1"/>
  <c r="M2055" i="1" s="1"/>
  <c r="N2055" i="1" s="1"/>
  <c r="L2056" i="1"/>
  <c r="M2056" i="1" s="1"/>
  <c r="N2056" i="1" s="1"/>
  <c r="L2057" i="1"/>
  <c r="M2057" i="1" s="1"/>
  <c r="N2057" i="1" s="1"/>
  <c r="L2058" i="1"/>
  <c r="M2058" i="1" s="1"/>
  <c r="N2058" i="1" s="1"/>
  <c r="L2059" i="1"/>
  <c r="M2059" i="1" s="1"/>
  <c r="N2059" i="1" s="1"/>
  <c r="L2060" i="1"/>
  <c r="M2060" i="1" s="1"/>
  <c r="N2060" i="1" s="1"/>
  <c r="L2061" i="1"/>
  <c r="M2061" i="1" s="1"/>
  <c r="N2061" i="1" s="1"/>
  <c r="L2062" i="1"/>
  <c r="M2062" i="1" s="1"/>
  <c r="N2062" i="1" s="1"/>
  <c r="L2063" i="1"/>
  <c r="M2063" i="1" s="1"/>
  <c r="N2063" i="1" s="1"/>
  <c r="L2064" i="1"/>
  <c r="M2064" i="1" s="1"/>
  <c r="N2064" i="1" s="1"/>
  <c r="L2065" i="1"/>
  <c r="M2065" i="1" s="1"/>
  <c r="N2065" i="1" s="1"/>
  <c r="L2066" i="1"/>
  <c r="M2066" i="1" s="1"/>
  <c r="N2066" i="1" s="1"/>
  <c r="L2067" i="1"/>
  <c r="M2067" i="1" s="1"/>
  <c r="N2067" i="1" s="1"/>
  <c r="L2068" i="1"/>
  <c r="M2068" i="1" s="1"/>
  <c r="N2068" i="1" s="1"/>
  <c r="L2069" i="1"/>
  <c r="M2069" i="1" s="1"/>
  <c r="N2069" i="1" s="1"/>
  <c r="L2070" i="1"/>
  <c r="M2070" i="1" s="1"/>
  <c r="N2070" i="1" s="1"/>
  <c r="L2071" i="1"/>
  <c r="M2071" i="1" s="1"/>
  <c r="N2071" i="1" s="1"/>
  <c r="L2072" i="1"/>
  <c r="M2072" i="1" s="1"/>
  <c r="N2072" i="1" s="1"/>
  <c r="L2073" i="1"/>
  <c r="M2073" i="1" s="1"/>
  <c r="N2073" i="1" s="1"/>
  <c r="L2074" i="1"/>
  <c r="M2074" i="1" s="1"/>
  <c r="N2074" i="1" s="1"/>
  <c r="L2075" i="1"/>
  <c r="M2075" i="1" s="1"/>
  <c r="N2075" i="1" s="1"/>
  <c r="L2076" i="1"/>
  <c r="M2076" i="1" s="1"/>
  <c r="N2076" i="1" s="1"/>
  <c r="L2077" i="1"/>
  <c r="M2077" i="1" s="1"/>
  <c r="N2077" i="1" s="1"/>
  <c r="L2078" i="1"/>
  <c r="M2078" i="1" s="1"/>
  <c r="N2078" i="1" s="1"/>
  <c r="L2079" i="1"/>
  <c r="M2079" i="1" s="1"/>
  <c r="N2079" i="1" s="1"/>
  <c r="L2080" i="1"/>
  <c r="M2080" i="1" s="1"/>
  <c r="N2080" i="1" s="1"/>
  <c r="L2081" i="1"/>
  <c r="M2081" i="1" s="1"/>
  <c r="N2081" i="1" s="1"/>
  <c r="L2082" i="1"/>
  <c r="M2082" i="1" s="1"/>
  <c r="N2082" i="1" s="1"/>
  <c r="L2083" i="1"/>
  <c r="M2083" i="1" s="1"/>
  <c r="N2083" i="1" s="1"/>
  <c r="L2084" i="1"/>
  <c r="M2084" i="1" s="1"/>
  <c r="N2084" i="1" s="1"/>
  <c r="L2085" i="1"/>
  <c r="M2085" i="1" s="1"/>
  <c r="N2085" i="1" s="1"/>
  <c r="L2086" i="1"/>
  <c r="M2086" i="1" s="1"/>
  <c r="N2086" i="1" s="1"/>
  <c r="L2087" i="1"/>
  <c r="M2087" i="1" s="1"/>
  <c r="N2087" i="1" s="1"/>
  <c r="L2088" i="1"/>
  <c r="M2088" i="1" s="1"/>
  <c r="N2088" i="1" s="1"/>
  <c r="L2089" i="1"/>
  <c r="M2089" i="1" s="1"/>
  <c r="N2089" i="1" s="1"/>
  <c r="L2090" i="1"/>
  <c r="M2090" i="1" s="1"/>
  <c r="N2090" i="1" s="1"/>
  <c r="L2091" i="1"/>
  <c r="M2091" i="1" s="1"/>
  <c r="N2091" i="1" s="1"/>
  <c r="L2092" i="1"/>
  <c r="M2092" i="1" s="1"/>
  <c r="N2092" i="1" s="1"/>
  <c r="L2093" i="1"/>
  <c r="M2093" i="1" s="1"/>
  <c r="N2093" i="1" s="1"/>
  <c r="L2094" i="1"/>
  <c r="M2094" i="1" s="1"/>
  <c r="N2094" i="1" s="1"/>
  <c r="L2095" i="1"/>
  <c r="M2095" i="1" s="1"/>
  <c r="N2095" i="1" s="1"/>
  <c r="L2096" i="1"/>
  <c r="M2096" i="1" s="1"/>
  <c r="N2096" i="1" s="1"/>
  <c r="L2097" i="1"/>
  <c r="M2097" i="1" s="1"/>
  <c r="N2097" i="1" s="1"/>
  <c r="L2098" i="1"/>
  <c r="M2098" i="1" s="1"/>
  <c r="N2098" i="1" s="1"/>
  <c r="L2099" i="1"/>
  <c r="M2099" i="1" s="1"/>
  <c r="N2099" i="1" s="1"/>
  <c r="L2100" i="1"/>
  <c r="M2100" i="1" s="1"/>
  <c r="N2100" i="1" s="1"/>
  <c r="L2101" i="1"/>
  <c r="M2101" i="1" s="1"/>
  <c r="N2101" i="1" s="1"/>
  <c r="L2102" i="1"/>
  <c r="M2102" i="1" s="1"/>
  <c r="N2102" i="1" s="1"/>
  <c r="L2103" i="1"/>
  <c r="M2103" i="1" s="1"/>
  <c r="N2103" i="1" s="1"/>
  <c r="L2104" i="1"/>
  <c r="M2104" i="1" s="1"/>
  <c r="N2104" i="1" s="1"/>
  <c r="L2105" i="1"/>
  <c r="M2105" i="1" s="1"/>
  <c r="N2105" i="1" s="1"/>
  <c r="L2106" i="1"/>
  <c r="M2106" i="1" s="1"/>
  <c r="N2106" i="1" s="1"/>
  <c r="L2107" i="1"/>
  <c r="M2107" i="1" s="1"/>
  <c r="N2107" i="1" s="1"/>
  <c r="L2108" i="1"/>
  <c r="M2108" i="1" s="1"/>
  <c r="N2108" i="1" s="1"/>
  <c r="L2109" i="1"/>
  <c r="M2109" i="1" s="1"/>
  <c r="N2109" i="1" s="1"/>
  <c r="L2110" i="1"/>
  <c r="M2110" i="1" s="1"/>
  <c r="N2110" i="1" s="1"/>
  <c r="L2111" i="1"/>
  <c r="M2111" i="1" s="1"/>
  <c r="N2111" i="1" s="1"/>
  <c r="L2112" i="1"/>
  <c r="M2112" i="1" s="1"/>
  <c r="N2112" i="1" s="1"/>
  <c r="L2113" i="1"/>
  <c r="M2113" i="1" s="1"/>
  <c r="N2113" i="1" s="1"/>
  <c r="L2114" i="1"/>
  <c r="M2114" i="1" s="1"/>
  <c r="N2114" i="1" s="1"/>
  <c r="L2115" i="1"/>
  <c r="M2115" i="1" s="1"/>
  <c r="N2115" i="1" s="1"/>
  <c r="L2116" i="1"/>
  <c r="M2116" i="1" s="1"/>
  <c r="N2116" i="1" s="1"/>
  <c r="L2117" i="1"/>
  <c r="M2117" i="1" s="1"/>
  <c r="N2117" i="1" s="1"/>
  <c r="L2118" i="1"/>
  <c r="M2118" i="1" s="1"/>
  <c r="N2118" i="1" s="1"/>
  <c r="L2119" i="1"/>
  <c r="M2119" i="1" s="1"/>
  <c r="N2119" i="1" s="1"/>
  <c r="L2120" i="1"/>
  <c r="M2120" i="1" s="1"/>
  <c r="N2120" i="1" s="1"/>
  <c r="L2121" i="1"/>
  <c r="M2121" i="1" s="1"/>
  <c r="N2121" i="1" s="1"/>
  <c r="L2122" i="1"/>
  <c r="M2122" i="1" s="1"/>
  <c r="N2122" i="1" s="1"/>
  <c r="L2123" i="1"/>
  <c r="M2123" i="1" s="1"/>
  <c r="N2123" i="1" s="1"/>
  <c r="L2124" i="1"/>
  <c r="M2124" i="1" s="1"/>
  <c r="N2124" i="1" s="1"/>
  <c r="L2125" i="1"/>
  <c r="M2125" i="1" s="1"/>
  <c r="N2125" i="1" s="1"/>
  <c r="L2126" i="1"/>
  <c r="M2126" i="1" s="1"/>
  <c r="N2126" i="1" s="1"/>
  <c r="L2127" i="1"/>
  <c r="M2127" i="1" s="1"/>
  <c r="N2127" i="1" s="1"/>
  <c r="L2128" i="1"/>
  <c r="M2128" i="1" s="1"/>
  <c r="N2128" i="1" s="1"/>
  <c r="L2129" i="1"/>
  <c r="M2129" i="1" s="1"/>
  <c r="N2129" i="1" s="1"/>
  <c r="L2130" i="1"/>
  <c r="M2130" i="1" s="1"/>
  <c r="N2130" i="1" s="1"/>
  <c r="L2131" i="1"/>
  <c r="M2131" i="1" s="1"/>
  <c r="N2131" i="1" s="1"/>
  <c r="L2132" i="1"/>
  <c r="M2132" i="1" s="1"/>
  <c r="N2132" i="1" s="1"/>
  <c r="L2133" i="1"/>
  <c r="M2133" i="1" s="1"/>
  <c r="N2133" i="1" s="1"/>
  <c r="L2134" i="1"/>
  <c r="M2134" i="1" s="1"/>
  <c r="N2134" i="1" s="1"/>
  <c r="L2135" i="1"/>
  <c r="M2135" i="1" s="1"/>
  <c r="N2135" i="1" s="1"/>
  <c r="L2136" i="1"/>
  <c r="M2136" i="1" s="1"/>
  <c r="N2136" i="1" s="1"/>
  <c r="L2137" i="1"/>
  <c r="M2137" i="1" s="1"/>
  <c r="N2137" i="1" s="1"/>
  <c r="L2138" i="1"/>
  <c r="M2138" i="1" s="1"/>
  <c r="N2138" i="1" s="1"/>
  <c r="L2139" i="1"/>
  <c r="M2139" i="1" s="1"/>
  <c r="N2139" i="1" s="1"/>
  <c r="L2140" i="1"/>
  <c r="M2140" i="1" s="1"/>
  <c r="N2140" i="1" s="1"/>
  <c r="L2141" i="1"/>
  <c r="M2141" i="1" s="1"/>
  <c r="N2141" i="1" s="1"/>
  <c r="L2142" i="1"/>
  <c r="M2142" i="1" s="1"/>
  <c r="N2142" i="1" s="1"/>
  <c r="L2143" i="1"/>
  <c r="M2143" i="1" s="1"/>
  <c r="N2143" i="1" s="1"/>
  <c r="L2144" i="1"/>
  <c r="M2144" i="1" s="1"/>
  <c r="N2144" i="1" s="1"/>
  <c r="L2145" i="1"/>
  <c r="M2145" i="1" s="1"/>
  <c r="N2145" i="1" s="1"/>
  <c r="L2146" i="1"/>
  <c r="M2146" i="1" s="1"/>
  <c r="N2146" i="1" s="1"/>
  <c r="L2147" i="1"/>
  <c r="M2147" i="1" s="1"/>
  <c r="N2147" i="1" s="1"/>
  <c r="L2148" i="1"/>
  <c r="M2148" i="1" s="1"/>
  <c r="N2148" i="1" s="1"/>
  <c r="L2149" i="1"/>
  <c r="M2149" i="1" s="1"/>
  <c r="N2149" i="1" s="1"/>
  <c r="L2150" i="1"/>
  <c r="M2150" i="1" s="1"/>
  <c r="N2150" i="1" s="1"/>
  <c r="L2151" i="1"/>
  <c r="M2151" i="1" s="1"/>
  <c r="N2151" i="1" s="1"/>
  <c r="L2152" i="1"/>
  <c r="M2152" i="1" s="1"/>
  <c r="N2152" i="1" s="1"/>
  <c r="L2153" i="1"/>
  <c r="M2153" i="1" s="1"/>
  <c r="N2153" i="1" s="1"/>
  <c r="L2154" i="1"/>
  <c r="M2154" i="1" s="1"/>
  <c r="N2154" i="1" s="1"/>
  <c r="L2155" i="1"/>
  <c r="M2155" i="1" s="1"/>
  <c r="N2155" i="1" s="1"/>
  <c r="L2156" i="1"/>
  <c r="M2156" i="1" s="1"/>
  <c r="N2156" i="1" s="1"/>
  <c r="L2157" i="1"/>
  <c r="M2157" i="1" s="1"/>
  <c r="N2157" i="1" s="1"/>
  <c r="L2158" i="1"/>
  <c r="M2158" i="1" s="1"/>
  <c r="N2158" i="1" s="1"/>
  <c r="L2159" i="1"/>
  <c r="M2159" i="1" s="1"/>
  <c r="N2159" i="1" s="1"/>
  <c r="L2160" i="1"/>
  <c r="M2160" i="1" s="1"/>
  <c r="N2160" i="1" s="1"/>
  <c r="L2161" i="1"/>
  <c r="M2161" i="1" s="1"/>
  <c r="N2161" i="1" s="1"/>
  <c r="L2162" i="1"/>
  <c r="M2162" i="1" s="1"/>
  <c r="N2162" i="1" s="1"/>
  <c r="L2163" i="1"/>
  <c r="M2163" i="1" s="1"/>
  <c r="N2163" i="1" s="1"/>
  <c r="L2164" i="1"/>
  <c r="M2164" i="1" s="1"/>
  <c r="N2164" i="1" s="1"/>
  <c r="L2165" i="1"/>
  <c r="M2165" i="1" s="1"/>
  <c r="N2165" i="1" s="1"/>
  <c r="L2166" i="1"/>
  <c r="M2166" i="1" s="1"/>
  <c r="N2166" i="1" s="1"/>
  <c r="L2167" i="1"/>
  <c r="M2167" i="1" s="1"/>
  <c r="N2167" i="1" s="1"/>
  <c r="L2168" i="1"/>
  <c r="M2168" i="1" s="1"/>
  <c r="N2168" i="1" s="1"/>
  <c r="L2169" i="1"/>
  <c r="M2169" i="1" s="1"/>
  <c r="N2169" i="1" s="1"/>
  <c r="L2170" i="1"/>
  <c r="M2170" i="1" s="1"/>
  <c r="N2170" i="1" s="1"/>
  <c r="L2171" i="1"/>
  <c r="M2171" i="1" s="1"/>
  <c r="N2171" i="1" s="1"/>
  <c r="L2172" i="1"/>
  <c r="M2172" i="1" s="1"/>
  <c r="N2172" i="1" s="1"/>
  <c r="L2173" i="1"/>
  <c r="M2173" i="1" s="1"/>
  <c r="N2173" i="1" s="1"/>
  <c r="L2174" i="1"/>
  <c r="M2174" i="1" s="1"/>
  <c r="N2174" i="1" s="1"/>
  <c r="L2175" i="1"/>
  <c r="M2175" i="1" s="1"/>
  <c r="N2175" i="1" s="1"/>
  <c r="L2176" i="1"/>
  <c r="M2176" i="1" s="1"/>
  <c r="N2176" i="1" s="1"/>
  <c r="L2177" i="1"/>
  <c r="M2177" i="1" s="1"/>
  <c r="N2177" i="1" s="1"/>
  <c r="L2178" i="1"/>
  <c r="M2178" i="1" s="1"/>
  <c r="N2178" i="1" s="1"/>
  <c r="L2179" i="1"/>
  <c r="M2179" i="1" s="1"/>
  <c r="N2179" i="1" s="1"/>
  <c r="L2180" i="1"/>
  <c r="M2180" i="1" s="1"/>
  <c r="N2180" i="1" s="1"/>
  <c r="L2181" i="1"/>
  <c r="M2181" i="1" s="1"/>
  <c r="N2181" i="1" s="1"/>
  <c r="L2182" i="1"/>
  <c r="M2182" i="1" s="1"/>
  <c r="N2182" i="1" s="1"/>
  <c r="L2183" i="1"/>
  <c r="M2183" i="1" s="1"/>
  <c r="N2183" i="1" s="1"/>
  <c r="L2184" i="1"/>
  <c r="M2184" i="1" s="1"/>
  <c r="N2184" i="1" s="1"/>
  <c r="L2185" i="1"/>
  <c r="M2185" i="1" s="1"/>
  <c r="N2185" i="1" s="1"/>
  <c r="L2186" i="1"/>
  <c r="M2186" i="1" s="1"/>
  <c r="N2186" i="1" s="1"/>
  <c r="L2187" i="1"/>
  <c r="M2187" i="1" s="1"/>
  <c r="N2187" i="1" s="1"/>
  <c r="L2188" i="1"/>
  <c r="M2188" i="1" s="1"/>
  <c r="N2188" i="1" s="1"/>
  <c r="L2189" i="1"/>
  <c r="M2189" i="1" s="1"/>
  <c r="N2189" i="1" s="1"/>
  <c r="L2190" i="1"/>
  <c r="M2190" i="1" s="1"/>
  <c r="N2190" i="1" s="1"/>
  <c r="L2191" i="1"/>
  <c r="M2191" i="1" s="1"/>
  <c r="N2191" i="1" s="1"/>
  <c r="L2192" i="1"/>
  <c r="M2192" i="1" s="1"/>
  <c r="N2192" i="1" s="1"/>
  <c r="L2193" i="1"/>
  <c r="M2193" i="1" s="1"/>
  <c r="N2193" i="1" s="1"/>
  <c r="L2194" i="1"/>
  <c r="M2194" i="1" s="1"/>
  <c r="N2194" i="1" s="1"/>
  <c r="L2195" i="1"/>
  <c r="M2195" i="1" s="1"/>
  <c r="N2195" i="1" s="1"/>
  <c r="L2196" i="1"/>
  <c r="M2196" i="1" s="1"/>
  <c r="N2196" i="1" s="1"/>
  <c r="L2197" i="1"/>
  <c r="M2197" i="1" s="1"/>
  <c r="N2197" i="1" s="1"/>
  <c r="L2198" i="1"/>
  <c r="M2198" i="1" s="1"/>
  <c r="N2198" i="1" s="1"/>
  <c r="L2199" i="1"/>
  <c r="M2199" i="1" s="1"/>
  <c r="N2199" i="1" s="1"/>
  <c r="L2200" i="1"/>
  <c r="M2200" i="1" s="1"/>
  <c r="N2200" i="1" s="1"/>
  <c r="L2201" i="1"/>
  <c r="M2201" i="1" s="1"/>
  <c r="N2201" i="1" s="1"/>
  <c r="L2202" i="1"/>
  <c r="M2202" i="1" s="1"/>
  <c r="N2202" i="1" s="1"/>
  <c r="L2203" i="1"/>
  <c r="M2203" i="1" s="1"/>
  <c r="N2203" i="1" s="1"/>
  <c r="L2204" i="1"/>
  <c r="M2204" i="1" s="1"/>
  <c r="N2204" i="1" s="1"/>
  <c r="L2205" i="1"/>
  <c r="M2205" i="1" s="1"/>
  <c r="N2205" i="1" s="1"/>
  <c r="L2206" i="1"/>
  <c r="M2206" i="1" s="1"/>
  <c r="N2206" i="1" s="1"/>
  <c r="L2207" i="1"/>
  <c r="M2207" i="1" s="1"/>
  <c r="N2207" i="1" s="1"/>
  <c r="L2208" i="1"/>
  <c r="M2208" i="1" s="1"/>
  <c r="N2208" i="1" s="1"/>
  <c r="L2209" i="1"/>
  <c r="M2209" i="1" s="1"/>
  <c r="N2209" i="1" s="1"/>
  <c r="L2210" i="1"/>
  <c r="M2210" i="1" s="1"/>
  <c r="N2210" i="1" s="1"/>
  <c r="L2211" i="1"/>
  <c r="M2211" i="1" s="1"/>
  <c r="N2211" i="1" s="1"/>
  <c r="L2212" i="1"/>
  <c r="M2212" i="1" s="1"/>
  <c r="N2212" i="1" s="1"/>
  <c r="L2213" i="1"/>
  <c r="M2213" i="1" s="1"/>
  <c r="N2213" i="1" s="1"/>
  <c r="L2214" i="1"/>
  <c r="M2214" i="1" s="1"/>
  <c r="N2214" i="1" s="1"/>
  <c r="L2215" i="1"/>
  <c r="M2215" i="1" s="1"/>
  <c r="N2215" i="1" s="1"/>
  <c r="L2216" i="1"/>
  <c r="M2216" i="1" s="1"/>
  <c r="N2216" i="1" s="1"/>
  <c r="L2217" i="1"/>
  <c r="M2217" i="1" s="1"/>
  <c r="N2217" i="1" s="1"/>
  <c r="L2218" i="1"/>
  <c r="M2218" i="1" s="1"/>
  <c r="N2218" i="1" s="1"/>
  <c r="L2219" i="1"/>
  <c r="M2219" i="1" s="1"/>
  <c r="N2219" i="1" s="1"/>
  <c r="L2220" i="1"/>
  <c r="M2220" i="1" s="1"/>
  <c r="N2220" i="1" s="1"/>
  <c r="L2221" i="1"/>
  <c r="M2221" i="1" s="1"/>
  <c r="N2221" i="1" s="1"/>
  <c r="L2222" i="1"/>
  <c r="M2222" i="1" s="1"/>
  <c r="N2222" i="1" s="1"/>
  <c r="L2223" i="1"/>
  <c r="M2223" i="1" s="1"/>
  <c r="N2223" i="1" s="1"/>
  <c r="L2224" i="1"/>
  <c r="M2224" i="1" s="1"/>
  <c r="N2224" i="1" s="1"/>
  <c r="L2225" i="1"/>
  <c r="M2225" i="1" s="1"/>
  <c r="N2225" i="1" s="1"/>
  <c r="L2226" i="1"/>
  <c r="M2226" i="1" s="1"/>
  <c r="N2226" i="1" s="1"/>
  <c r="L2227" i="1"/>
  <c r="M2227" i="1" s="1"/>
  <c r="N2227" i="1" s="1"/>
  <c r="L2228" i="1"/>
  <c r="M2228" i="1" s="1"/>
  <c r="N2228" i="1" s="1"/>
  <c r="L2229" i="1"/>
  <c r="M2229" i="1" s="1"/>
  <c r="N2229" i="1" s="1"/>
  <c r="L2230" i="1"/>
  <c r="M2230" i="1" s="1"/>
  <c r="N2230" i="1" s="1"/>
  <c r="L2231" i="1"/>
  <c r="M2231" i="1" s="1"/>
  <c r="N2231" i="1" s="1"/>
  <c r="L2232" i="1"/>
  <c r="M2232" i="1" s="1"/>
  <c r="N2232" i="1" s="1"/>
  <c r="L2233" i="1"/>
  <c r="M2233" i="1" s="1"/>
  <c r="N2233" i="1" s="1"/>
  <c r="L2234" i="1"/>
  <c r="M2234" i="1" s="1"/>
  <c r="N2234" i="1" s="1"/>
  <c r="L2235" i="1"/>
  <c r="M2235" i="1" s="1"/>
  <c r="N2235" i="1" s="1"/>
  <c r="L2236" i="1"/>
  <c r="M2236" i="1" s="1"/>
  <c r="N2236" i="1" s="1"/>
  <c r="L2237" i="1"/>
  <c r="M2237" i="1" s="1"/>
  <c r="N2237" i="1" s="1"/>
  <c r="L2238" i="1"/>
  <c r="M2238" i="1" s="1"/>
  <c r="N2238" i="1" s="1"/>
  <c r="L2239" i="1"/>
  <c r="M2239" i="1" s="1"/>
  <c r="N2239" i="1" s="1"/>
  <c r="L2240" i="1"/>
  <c r="M2240" i="1" s="1"/>
  <c r="N2240" i="1" s="1"/>
  <c r="L2241" i="1"/>
  <c r="M2241" i="1" s="1"/>
  <c r="N2241" i="1" s="1"/>
  <c r="L2242" i="1"/>
  <c r="M2242" i="1" s="1"/>
  <c r="N2242" i="1" s="1"/>
  <c r="L2243" i="1"/>
  <c r="M2243" i="1" s="1"/>
  <c r="N2243" i="1" s="1"/>
  <c r="L2244" i="1"/>
  <c r="M2244" i="1" s="1"/>
  <c r="N2244" i="1" s="1"/>
  <c r="L2245" i="1"/>
  <c r="M2245" i="1" s="1"/>
  <c r="N2245" i="1" s="1"/>
  <c r="L2246" i="1"/>
  <c r="M2246" i="1" s="1"/>
  <c r="N2246" i="1" s="1"/>
  <c r="L2247" i="1"/>
  <c r="M2247" i="1" s="1"/>
  <c r="N2247" i="1" s="1"/>
  <c r="L2248" i="1"/>
  <c r="M2248" i="1" s="1"/>
  <c r="N2248" i="1" s="1"/>
  <c r="L2249" i="1"/>
  <c r="M2249" i="1" s="1"/>
  <c r="N2249" i="1" s="1"/>
  <c r="L2250" i="1"/>
  <c r="M2250" i="1" s="1"/>
  <c r="N2250" i="1" s="1"/>
  <c r="L2251" i="1"/>
  <c r="M2251" i="1" s="1"/>
  <c r="N2251" i="1" s="1"/>
  <c r="L2252" i="1"/>
  <c r="M2252" i="1" s="1"/>
  <c r="N2252" i="1" s="1"/>
  <c r="L2253" i="1"/>
  <c r="M2253" i="1" s="1"/>
  <c r="N2253" i="1" s="1"/>
  <c r="L2254" i="1"/>
  <c r="M2254" i="1" s="1"/>
  <c r="N2254" i="1" s="1"/>
  <c r="L2255" i="1"/>
  <c r="M2255" i="1" s="1"/>
  <c r="N2255" i="1" s="1"/>
  <c r="L2256" i="1"/>
  <c r="M2256" i="1" s="1"/>
  <c r="N2256" i="1" s="1"/>
  <c r="L2257" i="1"/>
  <c r="M2257" i="1" s="1"/>
  <c r="N2257" i="1" s="1"/>
  <c r="L2258" i="1"/>
  <c r="M2258" i="1" s="1"/>
  <c r="N2258" i="1" s="1"/>
  <c r="L2259" i="1"/>
  <c r="M2259" i="1" s="1"/>
  <c r="N2259" i="1" s="1"/>
  <c r="L2260" i="1"/>
  <c r="M2260" i="1" s="1"/>
  <c r="N2260" i="1" s="1"/>
  <c r="L2261" i="1"/>
  <c r="M2261" i="1" s="1"/>
  <c r="N2261" i="1" s="1"/>
  <c r="L2262" i="1"/>
  <c r="M2262" i="1" s="1"/>
  <c r="N2262" i="1" s="1"/>
  <c r="L2263" i="1"/>
  <c r="M2263" i="1" s="1"/>
  <c r="N2263" i="1" s="1"/>
  <c r="L2264" i="1"/>
  <c r="M2264" i="1" s="1"/>
  <c r="N2264" i="1" s="1"/>
  <c r="L2265" i="1"/>
  <c r="M2265" i="1" s="1"/>
  <c r="N2265" i="1" s="1"/>
  <c r="L2266" i="1"/>
  <c r="M2266" i="1" s="1"/>
  <c r="N2266" i="1" s="1"/>
  <c r="L2267" i="1"/>
  <c r="M2267" i="1" s="1"/>
  <c r="N2267" i="1" s="1"/>
  <c r="L2268" i="1"/>
  <c r="M2268" i="1" s="1"/>
  <c r="N2268" i="1" s="1"/>
  <c r="L2269" i="1"/>
  <c r="M2269" i="1" s="1"/>
  <c r="N2269" i="1" s="1"/>
  <c r="L2270" i="1"/>
  <c r="M2270" i="1" s="1"/>
  <c r="N2270" i="1" s="1"/>
  <c r="L2271" i="1"/>
  <c r="M2271" i="1" s="1"/>
  <c r="N2271" i="1" s="1"/>
  <c r="L2272" i="1"/>
  <c r="M2272" i="1" s="1"/>
  <c r="N2272" i="1" s="1"/>
  <c r="L2273" i="1"/>
  <c r="M2273" i="1" s="1"/>
  <c r="N2273" i="1" s="1"/>
  <c r="L2274" i="1"/>
  <c r="M2274" i="1" s="1"/>
  <c r="N2274" i="1" s="1"/>
  <c r="L2275" i="1"/>
  <c r="M2275" i="1" s="1"/>
  <c r="N2275" i="1" s="1"/>
  <c r="L2276" i="1"/>
  <c r="M2276" i="1" s="1"/>
  <c r="N2276" i="1" s="1"/>
  <c r="L2277" i="1"/>
  <c r="M2277" i="1" s="1"/>
  <c r="N2277" i="1" s="1"/>
  <c r="L2278" i="1"/>
  <c r="M2278" i="1" s="1"/>
  <c r="N2278" i="1" s="1"/>
  <c r="L2279" i="1"/>
  <c r="M2279" i="1" s="1"/>
  <c r="N2279" i="1" s="1"/>
  <c r="L2280" i="1"/>
  <c r="M2280" i="1" s="1"/>
  <c r="N2280" i="1" s="1"/>
  <c r="L2281" i="1"/>
  <c r="M2281" i="1" s="1"/>
  <c r="N2281" i="1" s="1"/>
  <c r="L2282" i="1"/>
  <c r="M2282" i="1" s="1"/>
  <c r="N2282" i="1" s="1"/>
  <c r="L2283" i="1"/>
  <c r="M2283" i="1" s="1"/>
  <c r="N2283" i="1" s="1"/>
  <c r="L2284" i="1"/>
  <c r="M2284" i="1" s="1"/>
  <c r="N2284" i="1" s="1"/>
  <c r="L2285" i="1"/>
  <c r="M2285" i="1" s="1"/>
  <c r="N2285" i="1" s="1"/>
  <c r="L2286" i="1"/>
  <c r="M2286" i="1" s="1"/>
  <c r="N2286" i="1" s="1"/>
  <c r="L2287" i="1"/>
  <c r="M2287" i="1" s="1"/>
  <c r="N2287" i="1" s="1"/>
  <c r="L2288" i="1"/>
  <c r="M2288" i="1" s="1"/>
  <c r="N2288" i="1" s="1"/>
  <c r="L2289" i="1"/>
  <c r="M2289" i="1" s="1"/>
  <c r="N2289" i="1" s="1"/>
  <c r="L2290" i="1"/>
  <c r="M2290" i="1" s="1"/>
  <c r="N2290" i="1" s="1"/>
  <c r="L2291" i="1"/>
  <c r="M2291" i="1" s="1"/>
  <c r="N2291" i="1" s="1"/>
  <c r="L2292" i="1"/>
  <c r="M2292" i="1" s="1"/>
  <c r="N2292" i="1" s="1"/>
  <c r="L2293" i="1"/>
  <c r="M2293" i="1" s="1"/>
  <c r="N2293" i="1" s="1"/>
  <c r="L2294" i="1"/>
  <c r="M2294" i="1" s="1"/>
  <c r="N2294" i="1" s="1"/>
  <c r="L2295" i="1"/>
  <c r="M2295" i="1" s="1"/>
  <c r="N2295" i="1" s="1"/>
  <c r="L2296" i="1"/>
  <c r="M2296" i="1" s="1"/>
  <c r="N2296" i="1" s="1"/>
  <c r="L2297" i="1"/>
  <c r="M2297" i="1" s="1"/>
  <c r="N2297" i="1" s="1"/>
  <c r="L2298" i="1"/>
  <c r="M2298" i="1" s="1"/>
  <c r="N2298" i="1" s="1"/>
  <c r="L2299" i="1"/>
  <c r="M2299" i="1" s="1"/>
  <c r="N2299" i="1" s="1"/>
  <c r="L2300" i="1"/>
  <c r="M2300" i="1" s="1"/>
  <c r="N2300" i="1" s="1"/>
  <c r="L2301" i="1"/>
  <c r="M2301" i="1" s="1"/>
  <c r="N2301" i="1" s="1"/>
  <c r="L2302" i="1"/>
  <c r="M2302" i="1" s="1"/>
  <c r="N2302" i="1" s="1"/>
  <c r="L2303" i="1"/>
  <c r="M2303" i="1" s="1"/>
  <c r="N2303" i="1" s="1"/>
  <c r="L2304" i="1"/>
  <c r="M2304" i="1" s="1"/>
  <c r="N2304" i="1" s="1"/>
  <c r="L2305" i="1"/>
  <c r="M2305" i="1" s="1"/>
  <c r="N2305" i="1" s="1"/>
  <c r="L2306" i="1"/>
  <c r="M2306" i="1" s="1"/>
  <c r="N2306" i="1" s="1"/>
  <c r="L2307" i="1"/>
  <c r="M2307" i="1" s="1"/>
  <c r="N2307" i="1" s="1"/>
  <c r="L2308" i="1"/>
  <c r="M2308" i="1" s="1"/>
  <c r="N2308" i="1" s="1"/>
  <c r="L2309" i="1"/>
  <c r="M2309" i="1" s="1"/>
  <c r="N2309" i="1" s="1"/>
  <c r="L2310" i="1"/>
  <c r="M2310" i="1" s="1"/>
  <c r="N2310" i="1" s="1"/>
  <c r="L2311" i="1"/>
  <c r="M2311" i="1" s="1"/>
  <c r="N2311" i="1" s="1"/>
  <c r="L2312" i="1"/>
  <c r="M2312" i="1" s="1"/>
  <c r="N2312" i="1" s="1"/>
  <c r="L2313" i="1"/>
  <c r="M2313" i="1" s="1"/>
  <c r="N2313" i="1" s="1"/>
  <c r="L2314" i="1"/>
  <c r="M2314" i="1" s="1"/>
  <c r="N2314" i="1" s="1"/>
  <c r="L2315" i="1"/>
  <c r="M2315" i="1" s="1"/>
  <c r="N2315" i="1" s="1"/>
  <c r="L2316" i="1"/>
  <c r="M2316" i="1" s="1"/>
  <c r="N2316" i="1" s="1"/>
  <c r="L2317" i="1"/>
  <c r="M2317" i="1" s="1"/>
  <c r="N2317" i="1" s="1"/>
  <c r="L2318" i="1"/>
  <c r="M2318" i="1" s="1"/>
  <c r="N2318" i="1" s="1"/>
  <c r="L2319" i="1"/>
  <c r="M2319" i="1" s="1"/>
  <c r="N2319" i="1" s="1"/>
  <c r="L2320" i="1"/>
  <c r="M2320" i="1" s="1"/>
  <c r="N2320" i="1" s="1"/>
  <c r="L2321" i="1"/>
  <c r="M2321" i="1" s="1"/>
  <c r="N2321" i="1" s="1"/>
  <c r="L2322" i="1"/>
  <c r="M2322" i="1" s="1"/>
  <c r="N2322" i="1" s="1"/>
  <c r="L2323" i="1"/>
  <c r="M2323" i="1" s="1"/>
  <c r="N2323" i="1" s="1"/>
  <c r="L2324" i="1"/>
  <c r="M2324" i="1" s="1"/>
  <c r="N2324" i="1" s="1"/>
  <c r="L2325" i="1"/>
  <c r="M2325" i="1" s="1"/>
  <c r="N2325" i="1" s="1"/>
  <c r="L2326" i="1"/>
  <c r="M2326" i="1" s="1"/>
  <c r="N2326" i="1" s="1"/>
  <c r="L2327" i="1"/>
  <c r="M2327" i="1" s="1"/>
  <c r="N2327" i="1" s="1"/>
  <c r="L2328" i="1"/>
  <c r="M2328" i="1" s="1"/>
  <c r="N2328" i="1" s="1"/>
  <c r="L2329" i="1"/>
  <c r="M2329" i="1" s="1"/>
  <c r="N2329" i="1" s="1"/>
  <c r="L2330" i="1"/>
  <c r="M2330" i="1" s="1"/>
  <c r="N2330" i="1" s="1"/>
  <c r="L2331" i="1"/>
  <c r="M2331" i="1" s="1"/>
  <c r="N2331" i="1" s="1"/>
  <c r="L2332" i="1"/>
  <c r="M2332" i="1" s="1"/>
  <c r="N2332" i="1" s="1"/>
  <c r="L2333" i="1"/>
  <c r="M2333" i="1" s="1"/>
  <c r="N2333" i="1" s="1"/>
  <c r="L2334" i="1"/>
  <c r="M2334" i="1" s="1"/>
  <c r="N2334" i="1" s="1"/>
  <c r="L2335" i="1"/>
  <c r="M2335" i="1" s="1"/>
  <c r="N2335" i="1" s="1"/>
  <c r="L2336" i="1"/>
  <c r="M2336" i="1" s="1"/>
  <c r="N2336" i="1" s="1"/>
  <c r="L2337" i="1"/>
  <c r="M2337" i="1" s="1"/>
  <c r="N2337" i="1" s="1"/>
  <c r="L2338" i="1"/>
  <c r="M2338" i="1" s="1"/>
  <c r="N2338" i="1" s="1"/>
  <c r="L2339" i="1"/>
  <c r="M2339" i="1" s="1"/>
  <c r="N2339" i="1" s="1"/>
  <c r="L2340" i="1"/>
  <c r="M2340" i="1" s="1"/>
  <c r="N2340" i="1" s="1"/>
  <c r="L2341" i="1"/>
  <c r="M2341" i="1" s="1"/>
  <c r="N2341" i="1" s="1"/>
  <c r="L2342" i="1"/>
  <c r="M2342" i="1" s="1"/>
  <c r="N2342" i="1" s="1"/>
  <c r="L2343" i="1"/>
  <c r="M2343" i="1" s="1"/>
  <c r="N2343" i="1" s="1"/>
  <c r="L2344" i="1"/>
  <c r="M2344" i="1" s="1"/>
  <c r="N2344" i="1" s="1"/>
  <c r="L2345" i="1"/>
  <c r="M2345" i="1" s="1"/>
  <c r="N2345" i="1" s="1"/>
  <c r="L2346" i="1"/>
  <c r="M2346" i="1" s="1"/>
  <c r="N2346" i="1" s="1"/>
  <c r="L2347" i="1"/>
  <c r="M2347" i="1" s="1"/>
  <c r="N2347" i="1" s="1"/>
  <c r="L2348" i="1"/>
  <c r="M2348" i="1" s="1"/>
  <c r="N2348" i="1" s="1"/>
  <c r="L2349" i="1"/>
  <c r="M2349" i="1" s="1"/>
  <c r="N2349" i="1" s="1"/>
  <c r="L2350" i="1"/>
  <c r="M2350" i="1" s="1"/>
  <c r="N2350" i="1" s="1"/>
  <c r="L2351" i="1"/>
  <c r="M2351" i="1" s="1"/>
  <c r="N2351" i="1" s="1"/>
  <c r="L2352" i="1"/>
  <c r="M2352" i="1" s="1"/>
  <c r="N2352" i="1" s="1"/>
  <c r="L2353" i="1"/>
  <c r="M2353" i="1" s="1"/>
  <c r="N2353" i="1" s="1"/>
  <c r="L2354" i="1"/>
  <c r="M2354" i="1" s="1"/>
  <c r="N2354" i="1" s="1"/>
  <c r="L2355" i="1"/>
  <c r="M2355" i="1" s="1"/>
  <c r="N2355" i="1" s="1"/>
  <c r="L2356" i="1"/>
  <c r="M2356" i="1" s="1"/>
  <c r="N2356" i="1" s="1"/>
  <c r="L2357" i="1"/>
  <c r="M2357" i="1" s="1"/>
  <c r="N2357" i="1" s="1"/>
  <c r="L2358" i="1"/>
  <c r="M2358" i="1" s="1"/>
  <c r="N2358" i="1" s="1"/>
  <c r="L2359" i="1"/>
  <c r="M2359" i="1" s="1"/>
  <c r="N2359" i="1" s="1"/>
  <c r="L2360" i="1"/>
  <c r="M2360" i="1" s="1"/>
  <c r="N2360" i="1" s="1"/>
  <c r="L2361" i="1"/>
  <c r="M2361" i="1" s="1"/>
  <c r="N2361" i="1" s="1"/>
  <c r="L2362" i="1"/>
  <c r="M2362" i="1" s="1"/>
  <c r="N2362" i="1" s="1"/>
  <c r="L2363" i="1"/>
  <c r="M2363" i="1" s="1"/>
  <c r="N2363" i="1" s="1"/>
  <c r="L2364" i="1"/>
  <c r="M2364" i="1" s="1"/>
  <c r="N2364" i="1" s="1"/>
  <c r="L2365" i="1"/>
  <c r="M2365" i="1" s="1"/>
  <c r="N2365" i="1" s="1"/>
  <c r="L2366" i="1"/>
  <c r="M2366" i="1" s="1"/>
  <c r="N2366" i="1" s="1"/>
  <c r="L2367" i="1"/>
  <c r="M2367" i="1" s="1"/>
  <c r="N2367" i="1" s="1"/>
  <c r="L2368" i="1"/>
  <c r="M2368" i="1" s="1"/>
  <c r="N2368" i="1" s="1"/>
  <c r="L2369" i="1"/>
  <c r="M2369" i="1" s="1"/>
  <c r="N2369" i="1" s="1"/>
  <c r="L2370" i="1"/>
  <c r="M2370" i="1" s="1"/>
  <c r="N2370" i="1" s="1"/>
  <c r="L2371" i="1"/>
  <c r="M2371" i="1" s="1"/>
  <c r="N2371" i="1" s="1"/>
  <c r="L2372" i="1"/>
  <c r="M2372" i="1" s="1"/>
  <c r="N2372" i="1" s="1"/>
  <c r="L2373" i="1"/>
  <c r="M2373" i="1" s="1"/>
  <c r="N2373" i="1" s="1"/>
  <c r="L2374" i="1"/>
  <c r="M2374" i="1" s="1"/>
  <c r="N2374" i="1" s="1"/>
  <c r="L2375" i="1"/>
  <c r="M2375" i="1" s="1"/>
  <c r="N2375" i="1" s="1"/>
  <c r="L2376" i="1"/>
  <c r="M2376" i="1" s="1"/>
  <c r="N2376" i="1" s="1"/>
  <c r="L2377" i="1"/>
  <c r="M2377" i="1" s="1"/>
  <c r="N2377" i="1" s="1"/>
  <c r="L2378" i="1"/>
  <c r="M2378" i="1" s="1"/>
  <c r="N2378" i="1" s="1"/>
  <c r="L2379" i="1"/>
  <c r="M2379" i="1" s="1"/>
  <c r="N2379" i="1" s="1"/>
  <c r="L2380" i="1"/>
  <c r="M2380" i="1" s="1"/>
  <c r="N2380" i="1" s="1"/>
  <c r="L2381" i="1"/>
  <c r="M2381" i="1" s="1"/>
  <c r="N2381" i="1" s="1"/>
  <c r="L2382" i="1"/>
  <c r="M2382" i="1" s="1"/>
  <c r="N2382" i="1" s="1"/>
  <c r="L2383" i="1"/>
  <c r="M2383" i="1" s="1"/>
  <c r="N2383" i="1" s="1"/>
  <c r="L2384" i="1"/>
  <c r="M2384" i="1" s="1"/>
  <c r="N2384" i="1" s="1"/>
  <c r="L2385" i="1"/>
  <c r="M2385" i="1" s="1"/>
  <c r="N2385" i="1" s="1"/>
  <c r="L2386" i="1"/>
  <c r="M2386" i="1" s="1"/>
  <c r="N2386" i="1" s="1"/>
  <c r="L2387" i="1"/>
  <c r="M2387" i="1" s="1"/>
  <c r="N2387" i="1" s="1"/>
  <c r="L2388" i="1"/>
  <c r="M2388" i="1" s="1"/>
  <c r="N2388" i="1" s="1"/>
  <c r="L2389" i="1"/>
  <c r="M2389" i="1" s="1"/>
  <c r="N2389" i="1" s="1"/>
  <c r="L2390" i="1"/>
  <c r="M2390" i="1" s="1"/>
  <c r="N2390" i="1" s="1"/>
  <c r="L2391" i="1"/>
  <c r="M2391" i="1" s="1"/>
  <c r="N2391" i="1" s="1"/>
  <c r="L2392" i="1"/>
  <c r="M2392" i="1" s="1"/>
  <c r="N2392" i="1" s="1"/>
  <c r="L2393" i="1"/>
  <c r="M2393" i="1" s="1"/>
  <c r="N2393" i="1" s="1"/>
  <c r="L2394" i="1"/>
  <c r="M2394" i="1" s="1"/>
  <c r="N2394" i="1" s="1"/>
  <c r="L2395" i="1"/>
  <c r="M2395" i="1" s="1"/>
  <c r="N2395" i="1" s="1"/>
  <c r="L2396" i="1"/>
  <c r="M2396" i="1" s="1"/>
  <c r="N2396" i="1" s="1"/>
  <c r="L2397" i="1"/>
  <c r="M2397" i="1" s="1"/>
  <c r="N2397" i="1" s="1"/>
  <c r="L2398" i="1"/>
  <c r="M2398" i="1" s="1"/>
  <c r="N2398" i="1" s="1"/>
  <c r="L2399" i="1"/>
  <c r="M2399" i="1" s="1"/>
  <c r="N2399" i="1" s="1"/>
  <c r="L2400" i="1"/>
  <c r="M2400" i="1" s="1"/>
  <c r="N2400" i="1" s="1"/>
  <c r="L2401" i="1"/>
  <c r="M2401" i="1" s="1"/>
  <c r="N2401" i="1" s="1"/>
  <c r="L2402" i="1"/>
  <c r="M2402" i="1" s="1"/>
  <c r="N2402" i="1" s="1"/>
  <c r="L2403" i="1"/>
  <c r="M2403" i="1" s="1"/>
  <c r="N2403" i="1" s="1"/>
  <c r="L2404" i="1"/>
  <c r="M2404" i="1" s="1"/>
  <c r="N2404" i="1" s="1"/>
  <c r="L2405" i="1"/>
  <c r="M2405" i="1" s="1"/>
  <c r="N2405" i="1" s="1"/>
  <c r="L2406" i="1"/>
  <c r="M2406" i="1" s="1"/>
  <c r="N2406" i="1" s="1"/>
  <c r="L2407" i="1"/>
  <c r="M2407" i="1" s="1"/>
  <c r="N2407" i="1" s="1"/>
  <c r="L2408" i="1"/>
  <c r="M2408" i="1" s="1"/>
  <c r="N2408" i="1" s="1"/>
  <c r="L2409" i="1"/>
  <c r="M2409" i="1" s="1"/>
  <c r="N2409" i="1" s="1"/>
  <c r="L2410" i="1"/>
  <c r="M2410" i="1" s="1"/>
  <c r="N2410" i="1" s="1"/>
  <c r="L2411" i="1"/>
  <c r="M2411" i="1" s="1"/>
  <c r="N2411" i="1" s="1"/>
  <c r="L2412" i="1"/>
  <c r="M2412" i="1" s="1"/>
  <c r="N2412" i="1" s="1"/>
  <c r="L2413" i="1"/>
  <c r="M2413" i="1" s="1"/>
  <c r="N2413" i="1" s="1"/>
  <c r="L2414" i="1"/>
  <c r="M2414" i="1" s="1"/>
  <c r="N2414" i="1" s="1"/>
  <c r="L2415" i="1"/>
  <c r="M2415" i="1" s="1"/>
  <c r="N2415" i="1" s="1"/>
  <c r="L2416" i="1"/>
  <c r="M2416" i="1" s="1"/>
  <c r="N2416" i="1" s="1"/>
  <c r="L2417" i="1"/>
  <c r="M2417" i="1" s="1"/>
  <c r="N2417" i="1" s="1"/>
  <c r="L2418" i="1"/>
  <c r="M2418" i="1" s="1"/>
  <c r="N2418" i="1" s="1"/>
  <c r="L2419" i="1"/>
  <c r="M2419" i="1" s="1"/>
  <c r="N2419" i="1" s="1"/>
  <c r="L2420" i="1"/>
  <c r="M2420" i="1" s="1"/>
  <c r="N2420" i="1" s="1"/>
  <c r="L2421" i="1"/>
  <c r="M2421" i="1" s="1"/>
  <c r="N2421" i="1" s="1"/>
  <c r="L2422" i="1"/>
  <c r="M2422" i="1" s="1"/>
  <c r="N2422" i="1" s="1"/>
  <c r="L2423" i="1"/>
  <c r="M2423" i="1" s="1"/>
  <c r="N2423" i="1" s="1"/>
  <c r="L2424" i="1"/>
  <c r="M2424" i="1" s="1"/>
  <c r="N2424" i="1" s="1"/>
  <c r="L2425" i="1"/>
  <c r="M2425" i="1" s="1"/>
  <c r="N2425" i="1" s="1"/>
  <c r="L2426" i="1"/>
  <c r="M2426" i="1" s="1"/>
  <c r="N2426" i="1" s="1"/>
  <c r="L2427" i="1"/>
  <c r="M2427" i="1" s="1"/>
  <c r="N2427" i="1" s="1"/>
  <c r="L2428" i="1"/>
  <c r="M2428" i="1" s="1"/>
  <c r="N2428" i="1" s="1"/>
  <c r="L2429" i="1"/>
  <c r="M2429" i="1" s="1"/>
  <c r="N2429" i="1" s="1"/>
  <c r="L2430" i="1"/>
  <c r="M2430" i="1" s="1"/>
  <c r="N2430" i="1" s="1"/>
  <c r="L2431" i="1"/>
  <c r="M2431" i="1" s="1"/>
  <c r="N2431" i="1" s="1"/>
  <c r="L2432" i="1"/>
  <c r="M2432" i="1" s="1"/>
  <c r="N2432" i="1" s="1"/>
  <c r="L2433" i="1"/>
  <c r="M2433" i="1" s="1"/>
  <c r="N2433" i="1" s="1"/>
  <c r="L2434" i="1"/>
  <c r="M2434" i="1" s="1"/>
  <c r="N2434" i="1" s="1"/>
  <c r="L2435" i="1"/>
  <c r="M2435" i="1" s="1"/>
  <c r="N2435" i="1" s="1"/>
  <c r="L2436" i="1"/>
  <c r="M2436" i="1" s="1"/>
  <c r="N2436" i="1" s="1"/>
  <c r="L2437" i="1"/>
  <c r="M2437" i="1" s="1"/>
  <c r="N2437" i="1" s="1"/>
  <c r="L2438" i="1"/>
  <c r="M2438" i="1" s="1"/>
  <c r="N2438" i="1" s="1"/>
  <c r="L2439" i="1"/>
  <c r="M2439" i="1" s="1"/>
  <c r="N2439" i="1" s="1"/>
  <c r="L2440" i="1"/>
  <c r="M2440" i="1" s="1"/>
  <c r="N2440" i="1" s="1"/>
  <c r="L2441" i="1"/>
  <c r="M2441" i="1" s="1"/>
  <c r="N2441" i="1" s="1"/>
  <c r="L2442" i="1"/>
  <c r="M2442" i="1" s="1"/>
  <c r="N2442" i="1" s="1"/>
  <c r="L2443" i="1"/>
  <c r="M2443" i="1" s="1"/>
  <c r="N2443" i="1" s="1"/>
  <c r="L2444" i="1"/>
  <c r="M2444" i="1" s="1"/>
  <c r="N2444" i="1" s="1"/>
  <c r="L2445" i="1"/>
  <c r="M2445" i="1" s="1"/>
  <c r="N2445" i="1" s="1"/>
  <c r="L2446" i="1"/>
  <c r="M2446" i="1" s="1"/>
  <c r="N2446" i="1" s="1"/>
  <c r="L2447" i="1"/>
  <c r="M2447" i="1" s="1"/>
  <c r="N2447" i="1" s="1"/>
  <c r="L2448" i="1"/>
  <c r="M2448" i="1" s="1"/>
  <c r="N2448" i="1" s="1"/>
  <c r="L2449" i="1"/>
  <c r="M2449" i="1" s="1"/>
  <c r="N2449" i="1" s="1"/>
  <c r="L2450" i="1"/>
  <c r="M2450" i="1" s="1"/>
  <c r="N2450" i="1" s="1"/>
  <c r="L2451" i="1"/>
  <c r="M2451" i="1" s="1"/>
  <c r="N2451" i="1" s="1"/>
  <c r="L2452" i="1"/>
  <c r="M2452" i="1" s="1"/>
  <c r="N2452" i="1" s="1"/>
  <c r="L2453" i="1"/>
  <c r="M2453" i="1" s="1"/>
  <c r="N2453" i="1" s="1"/>
  <c r="L2454" i="1"/>
  <c r="M2454" i="1" s="1"/>
  <c r="N2454" i="1" s="1"/>
  <c r="L2455" i="1"/>
  <c r="M2455" i="1" s="1"/>
  <c r="N2455" i="1" s="1"/>
  <c r="L2456" i="1"/>
  <c r="M2456" i="1" s="1"/>
  <c r="N2456" i="1" s="1"/>
  <c r="L2457" i="1"/>
  <c r="M2457" i="1" s="1"/>
  <c r="N2457" i="1" s="1"/>
  <c r="L2458" i="1"/>
  <c r="M2458" i="1" s="1"/>
  <c r="N2458" i="1" s="1"/>
  <c r="L2459" i="1"/>
  <c r="M2459" i="1" s="1"/>
  <c r="N2459" i="1" s="1"/>
  <c r="L2460" i="1"/>
  <c r="M2460" i="1" s="1"/>
  <c r="N2460" i="1" s="1"/>
  <c r="L2461" i="1"/>
  <c r="M2461" i="1" s="1"/>
  <c r="N2461" i="1" s="1"/>
  <c r="L2462" i="1"/>
  <c r="M2462" i="1" s="1"/>
  <c r="N2462" i="1" s="1"/>
  <c r="L2463" i="1"/>
  <c r="M2463" i="1" s="1"/>
  <c r="N2463" i="1" s="1"/>
  <c r="L2464" i="1"/>
  <c r="M2464" i="1" s="1"/>
  <c r="N2464" i="1" s="1"/>
  <c r="L2465" i="1"/>
  <c r="M2465" i="1" s="1"/>
  <c r="N2465" i="1" s="1"/>
  <c r="L2466" i="1"/>
  <c r="M2466" i="1" s="1"/>
  <c r="N2466" i="1" s="1"/>
  <c r="L2467" i="1"/>
  <c r="M2467" i="1" s="1"/>
  <c r="N2467" i="1" s="1"/>
  <c r="L2468" i="1"/>
  <c r="M2468" i="1" s="1"/>
  <c r="N2468" i="1" s="1"/>
  <c r="L2469" i="1"/>
  <c r="M2469" i="1" s="1"/>
  <c r="N2469" i="1" s="1"/>
  <c r="L2470" i="1"/>
  <c r="M2470" i="1" s="1"/>
  <c r="N2470" i="1" s="1"/>
  <c r="L2471" i="1"/>
  <c r="M2471" i="1" s="1"/>
  <c r="N2471" i="1" s="1"/>
  <c r="L2472" i="1"/>
  <c r="M2472" i="1" s="1"/>
  <c r="N2472" i="1" s="1"/>
  <c r="L2473" i="1"/>
  <c r="M2473" i="1" s="1"/>
  <c r="N2473" i="1" s="1"/>
  <c r="L2474" i="1"/>
  <c r="M2474" i="1" s="1"/>
  <c r="N2474" i="1" s="1"/>
  <c r="L2475" i="1"/>
  <c r="M2475" i="1" s="1"/>
  <c r="N2475" i="1" s="1"/>
  <c r="L2476" i="1"/>
  <c r="M2476" i="1" s="1"/>
  <c r="N2476" i="1" s="1"/>
  <c r="L2477" i="1"/>
  <c r="M2477" i="1" s="1"/>
  <c r="N2477" i="1" s="1"/>
  <c r="L2478" i="1"/>
  <c r="M2478" i="1" s="1"/>
  <c r="N2478" i="1" s="1"/>
  <c r="L2479" i="1"/>
  <c r="M2479" i="1" s="1"/>
  <c r="N2479" i="1" s="1"/>
  <c r="L2480" i="1"/>
  <c r="M2480" i="1" s="1"/>
  <c r="N2480" i="1" s="1"/>
  <c r="L2481" i="1"/>
  <c r="M2481" i="1" s="1"/>
  <c r="N2481" i="1" s="1"/>
  <c r="L2482" i="1"/>
  <c r="M2482" i="1" s="1"/>
  <c r="N2482" i="1" s="1"/>
  <c r="L2483" i="1"/>
  <c r="M2483" i="1" s="1"/>
  <c r="N2483" i="1" s="1"/>
  <c r="L2484" i="1"/>
  <c r="M2484" i="1" s="1"/>
  <c r="N2484" i="1" s="1"/>
  <c r="L2485" i="1"/>
  <c r="M2485" i="1" s="1"/>
  <c r="N2485" i="1" s="1"/>
  <c r="L2486" i="1"/>
  <c r="M2486" i="1" s="1"/>
  <c r="N2486" i="1" s="1"/>
  <c r="L2487" i="1"/>
  <c r="M2487" i="1" s="1"/>
  <c r="N2487" i="1" s="1"/>
  <c r="L2488" i="1"/>
  <c r="M2488" i="1" s="1"/>
  <c r="N2488" i="1" s="1"/>
  <c r="L2489" i="1"/>
  <c r="M2489" i="1" s="1"/>
  <c r="N2489" i="1" s="1"/>
  <c r="L2490" i="1"/>
  <c r="M2490" i="1" s="1"/>
  <c r="N2490" i="1" s="1"/>
  <c r="L2491" i="1"/>
  <c r="M2491" i="1" s="1"/>
  <c r="N2491" i="1" s="1"/>
  <c r="L2492" i="1"/>
  <c r="M2492" i="1" s="1"/>
  <c r="N2492" i="1" s="1"/>
  <c r="L2493" i="1"/>
  <c r="M2493" i="1" s="1"/>
  <c r="N2493" i="1" s="1"/>
  <c r="L2494" i="1"/>
  <c r="M2494" i="1" s="1"/>
  <c r="N2494" i="1" s="1"/>
  <c r="L2495" i="1"/>
  <c r="M2495" i="1" s="1"/>
  <c r="N2495" i="1" s="1"/>
  <c r="L2496" i="1"/>
  <c r="M2496" i="1" s="1"/>
  <c r="N2496" i="1" s="1"/>
  <c r="L2497" i="1"/>
  <c r="M2497" i="1" s="1"/>
  <c r="N2497" i="1" s="1"/>
  <c r="L2498" i="1"/>
  <c r="M2498" i="1" s="1"/>
  <c r="N2498" i="1" s="1"/>
  <c r="L2499" i="1"/>
  <c r="M2499" i="1" s="1"/>
  <c r="N2499" i="1" s="1"/>
  <c r="L2500" i="1"/>
  <c r="M2500" i="1" s="1"/>
  <c r="N2500" i="1" s="1"/>
  <c r="L2501" i="1"/>
  <c r="M2501" i="1" s="1"/>
  <c r="N2501" i="1" s="1"/>
  <c r="L2502" i="1"/>
  <c r="M2502" i="1" s="1"/>
  <c r="N2502" i="1" s="1"/>
  <c r="L2503" i="1"/>
  <c r="M2503" i="1" s="1"/>
  <c r="N2503" i="1" s="1"/>
  <c r="L2504" i="1"/>
  <c r="M2504" i="1" s="1"/>
  <c r="N2504" i="1" s="1"/>
  <c r="L2505" i="1"/>
  <c r="M2505" i="1" s="1"/>
  <c r="N2505" i="1" s="1"/>
  <c r="L2506" i="1"/>
  <c r="M2506" i="1" s="1"/>
  <c r="N2506" i="1" s="1"/>
  <c r="L2507" i="1"/>
  <c r="M2507" i="1" s="1"/>
  <c r="N2507" i="1" s="1"/>
  <c r="L2508" i="1"/>
  <c r="M2508" i="1" s="1"/>
  <c r="N2508" i="1" s="1"/>
  <c r="L2509" i="1"/>
  <c r="M2509" i="1" s="1"/>
  <c r="N2509" i="1" s="1"/>
  <c r="L2510" i="1"/>
  <c r="M2510" i="1" s="1"/>
  <c r="N2510" i="1" s="1"/>
  <c r="L2511" i="1"/>
  <c r="M2511" i="1" s="1"/>
  <c r="N2511" i="1" s="1"/>
  <c r="L2512" i="1"/>
  <c r="M2512" i="1" s="1"/>
  <c r="N2512" i="1" s="1"/>
  <c r="L2513" i="1"/>
  <c r="M2513" i="1" s="1"/>
  <c r="N2513" i="1" s="1"/>
  <c r="L2514" i="1"/>
  <c r="M2514" i="1" s="1"/>
  <c r="N2514" i="1" s="1"/>
  <c r="L2515" i="1"/>
  <c r="M2515" i="1" s="1"/>
  <c r="N2515" i="1" s="1"/>
  <c r="L2516" i="1"/>
  <c r="M2516" i="1" s="1"/>
  <c r="N2516" i="1" s="1"/>
  <c r="L2517" i="1"/>
  <c r="M2517" i="1" s="1"/>
  <c r="N2517" i="1" s="1"/>
  <c r="L2518" i="1"/>
  <c r="M2518" i="1" s="1"/>
  <c r="N2518" i="1" s="1"/>
  <c r="L2519" i="1"/>
  <c r="M2519" i="1" s="1"/>
  <c r="N2519" i="1" s="1"/>
  <c r="L2520" i="1"/>
  <c r="M2520" i="1" s="1"/>
  <c r="N2520" i="1" s="1"/>
  <c r="L2521" i="1"/>
  <c r="M2521" i="1" s="1"/>
  <c r="N2521" i="1" s="1"/>
  <c r="L2522" i="1"/>
  <c r="M2522" i="1" s="1"/>
  <c r="N2522" i="1" s="1"/>
  <c r="L2523" i="1"/>
  <c r="M2523" i="1" s="1"/>
  <c r="N2523" i="1" s="1"/>
  <c r="L2524" i="1"/>
  <c r="M2524" i="1" s="1"/>
  <c r="N2524" i="1" s="1"/>
  <c r="L2525" i="1"/>
  <c r="M2525" i="1" s="1"/>
  <c r="N2525" i="1" s="1"/>
  <c r="L2526" i="1"/>
  <c r="M2526" i="1" s="1"/>
  <c r="N2526" i="1" s="1"/>
  <c r="L2527" i="1"/>
  <c r="M2527" i="1" s="1"/>
  <c r="N2527" i="1" s="1"/>
  <c r="L2528" i="1"/>
  <c r="M2528" i="1" s="1"/>
  <c r="N2528" i="1" s="1"/>
  <c r="L2529" i="1"/>
  <c r="M2529" i="1" s="1"/>
  <c r="N2529" i="1" s="1"/>
  <c r="L2530" i="1"/>
  <c r="M2530" i="1" s="1"/>
  <c r="N2530" i="1" s="1"/>
  <c r="L2531" i="1"/>
  <c r="M2531" i="1" s="1"/>
  <c r="N2531" i="1" s="1"/>
  <c r="L2532" i="1"/>
  <c r="M2532" i="1" s="1"/>
  <c r="N2532" i="1" s="1"/>
  <c r="L2533" i="1"/>
  <c r="M2533" i="1" s="1"/>
  <c r="N2533" i="1" s="1"/>
  <c r="L2534" i="1"/>
  <c r="M2534" i="1" s="1"/>
  <c r="N2534" i="1" s="1"/>
  <c r="L2535" i="1"/>
  <c r="M2535" i="1" s="1"/>
  <c r="N2535" i="1" s="1"/>
  <c r="L2536" i="1"/>
  <c r="M2536" i="1" s="1"/>
  <c r="N2536" i="1" s="1"/>
  <c r="L2537" i="1"/>
  <c r="M2537" i="1" s="1"/>
  <c r="N2537" i="1" s="1"/>
  <c r="L2538" i="1"/>
  <c r="M2538" i="1" s="1"/>
  <c r="N2538" i="1" s="1"/>
  <c r="L2539" i="1"/>
  <c r="M2539" i="1" s="1"/>
  <c r="N2539" i="1" s="1"/>
  <c r="L2540" i="1"/>
  <c r="M2540" i="1" s="1"/>
  <c r="N2540" i="1" s="1"/>
  <c r="L2541" i="1"/>
  <c r="M2541" i="1" s="1"/>
  <c r="N2541" i="1" s="1"/>
  <c r="L2542" i="1"/>
  <c r="M2542" i="1" s="1"/>
  <c r="N2542" i="1" s="1"/>
  <c r="L2543" i="1"/>
  <c r="M2543" i="1" s="1"/>
  <c r="N2543" i="1" s="1"/>
  <c r="L2544" i="1"/>
  <c r="M2544" i="1" s="1"/>
  <c r="N2544" i="1" s="1"/>
  <c r="L2545" i="1"/>
  <c r="M2545" i="1" s="1"/>
  <c r="N2545" i="1" s="1"/>
  <c r="L2546" i="1"/>
  <c r="M2546" i="1" s="1"/>
  <c r="N2546" i="1" s="1"/>
  <c r="L2547" i="1"/>
  <c r="M2547" i="1" s="1"/>
  <c r="N2547" i="1" s="1"/>
  <c r="L2548" i="1"/>
  <c r="M2548" i="1" s="1"/>
  <c r="N2548" i="1" s="1"/>
  <c r="L2549" i="1"/>
  <c r="M2549" i="1" s="1"/>
  <c r="N2549" i="1" s="1"/>
  <c r="L2550" i="1"/>
  <c r="M2550" i="1" s="1"/>
  <c r="N2550" i="1" s="1"/>
  <c r="L2551" i="1"/>
  <c r="M2551" i="1" s="1"/>
  <c r="N2551" i="1" s="1"/>
  <c r="L2552" i="1"/>
  <c r="M2552" i="1" s="1"/>
  <c r="N2552" i="1" s="1"/>
  <c r="L2553" i="1"/>
  <c r="M2553" i="1" s="1"/>
  <c r="N2553" i="1" s="1"/>
  <c r="L2554" i="1"/>
  <c r="M2554" i="1" s="1"/>
  <c r="N2554" i="1" s="1"/>
  <c r="L2555" i="1"/>
  <c r="M2555" i="1" s="1"/>
  <c r="N2555" i="1" s="1"/>
  <c r="L2556" i="1"/>
  <c r="M2556" i="1" s="1"/>
  <c r="N2556" i="1" s="1"/>
  <c r="L2557" i="1"/>
  <c r="M2557" i="1" s="1"/>
  <c r="N2557" i="1" s="1"/>
  <c r="L2558" i="1"/>
  <c r="M2558" i="1" s="1"/>
  <c r="N2558" i="1" s="1"/>
  <c r="L2559" i="1"/>
  <c r="M2559" i="1" s="1"/>
  <c r="N2559" i="1" s="1"/>
  <c r="L2560" i="1"/>
  <c r="M2560" i="1" s="1"/>
  <c r="N2560" i="1" s="1"/>
  <c r="L2561" i="1"/>
  <c r="M2561" i="1" s="1"/>
  <c r="N2561" i="1" s="1"/>
  <c r="L2562" i="1"/>
  <c r="M2562" i="1" s="1"/>
  <c r="N2562" i="1" s="1"/>
  <c r="L2563" i="1"/>
  <c r="M2563" i="1" s="1"/>
  <c r="N2563" i="1" s="1"/>
  <c r="L2564" i="1"/>
  <c r="M2564" i="1" s="1"/>
  <c r="N2564" i="1" s="1"/>
  <c r="L2565" i="1"/>
  <c r="M2565" i="1" s="1"/>
  <c r="N2565" i="1" s="1"/>
  <c r="L2566" i="1"/>
  <c r="M2566" i="1" s="1"/>
  <c r="N2566" i="1" s="1"/>
  <c r="L2567" i="1"/>
  <c r="M2567" i="1" s="1"/>
  <c r="N2567" i="1" s="1"/>
  <c r="L2568" i="1"/>
  <c r="M2568" i="1" s="1"/>
  <c r="N2568" i="1" s="1"/>
  <c r="L2569" i="1"/>
  <c r="M2569" i="1" s="1"/>
  <c r="N2569" i="1" s="1"/>
  <c r="L2570" i="1"/>
  <c r="M2570" i="1" s="1"/>
  <c r="N2570" i="1" s="1"/>
  <c r="L2571" i="1"/>
  <c r="M2571" i="1" s="1"/>
  <c r="N2571" i="1" s="1"/>
  <c r="L2572" i="1"/>
  <c r="M2572" i="1" s="1"/>
  <c r="N2572" i="1" s="1"/>
  <c r="L2573" i="1"/>
  <c r="M2573" i="1" s="1"/>
  <c r="N2573" i="1" s="1"/>
  <c r="L2574" i="1"/>
  <c r="M2574" i="1" s="1"/>
  <c r="N2574" i="1" s="1"/>
  <c r="L2575" i="1"/>
  <c r="M2575" i="1" s="1"/>
  <c r="N2575" i="1" s="1"/>
  <c r="L2576" i="1"/>
  <c r="M2576" i="1" s="1"/>
  <c r="N2576" i="1" s="1"/>
  <c r="L2577" i="1"/>
  <c r="M2577" i="1" s="1"/>
  <c r="N2577" i="1" s="1"/>
  <c r="L2578" i="1"/>
  <c r="M2578" i="1" s="1"/>
  <c r="N2578" i="1" s="1"/>
  <c r="L2579" i="1"/>
  <c r="M2579" i="1" s="1"/>
  <c r="N2579" i="1" s="1"/>
  <c r="L2580" i="1"/>
  <c r="M2580" i="1" s="1"/>
  <c r="N2580" i="1" s="1"/>
  <c r="L2581" i="1"/>
  <c r="M2581" i="1" s="1"/>
  <c r="N2581" i="1" s="1"/>
  <c r="L2582" i="1"/>
  <c r="M2582" i="1" s="1"/>
  <c r="N2582" i="1" s="1"/>
  <c r="L2583" i="1"/>
  <c r="M2583" i="1" s="1"/>
  <c r="N2583" i="1" s="1"/>
  <c r="L2584" i="1"/>
  <c r="M2584" i="1" s="1"/>
  <c r="N2584" i="1" s="1"/>
  <c r="L2585" i="1"/>
  <c r="M2585" i="1" s="1"/>
  <c r="N2585" i="1" s="1"/>
  <c r="L2586" i="1"/>
  <c r="M2586" i="1" s="1"/>
  <c r="N2586" i="1" s="1"/>
  <c r="L2587" i="1"/>
  <c r="M2587" i="1" s="1"/>
  <c r="N2587" i="1" s="1"/>
  <c r="L2588" i="1"/>
  <c r="M2588" i="1" s="1"/>
  <c r="N2588" i="1" s="1"/>
  <c r="L2589" i="1"/>
  <c r="M2589" i="1" s="1"/>
  <c r="N2589" i="1" s="1"/>
  <c r="L2590" i="1"/>
  <c r="M2590" i="1" s="1"/>
  <c r="N2590" i="1" s="1"/>
  <c r="L2591" i="1"/>
  <c r="M2591" i="1" s="1"/>
  <c r="N2591" i="1" s="1"/>
  <c r="L2592" i="1"/>
  <c r="M2592" i="1" s="1"/>
  <c r="N2592" i="1" s="1"/>
  <c r="L2593" i="1"/>
  <c r="M2593" i="1" s="1"/>
  <c r="N2593" i="1" s="1"/>
  <c r="L2594" i="1"/>
  <c r="M2594" i="1" s="1"/>
  <c r="N2594" i="1" s="1"/>
  <c r="L2595" i="1"/>
  <c r="M2595" i="1" s="1"/>
  <c r="N2595" i="1" s="1"/>
  <c r="L2596" i="1"/>
  <c r="M2596" i="1" s="1"/>
  <c r="N2596" i="1" s="1"/>
  <c r="L2597" i="1"/>
  <c r="M2597" i="1" s="1"/>
  <c r="N2597" i="1" s="1"/>
  <c r="L2598" i="1"/>
  <c r="M2598" i="1" s="1"/>
  <c r="N2598" i="1" s="1"/>
  <c r="L2599" i="1"/>
  <c r="M2599" i="1" s="1"/>
  <c r="N2599" i="1" s="1"/>
  <c r="L2600" i="1"/>
  <c r="M2600" i="1" s="1"/>
  <c r="N2600" i="1" s="1"/>
  <c r="L2601" i="1"/>
  <c r="M2601" i="1" s="1"/>
  <c r="N2601" i="1" s="1"/>
  <c r="L2602" i="1"/>
  <c r="M2602" i="1" s="1"/>
  <c r="N2602" i="1" s="1"/>
  <c r="L2603" i="1"/>
  <c r="M2603" i="1" s="1"/>
  <c r="N2603" i="1" s="1"/>
  <c r="L2604" i="1"/>
  <c r="M2604" i="1" s="1"/>
  <c r="N2604" i="1" s="1"/>
  <c r="L2605" i="1"/>
  <c r="M2605" i="1" s="1"/>
  <c r="N2605" i="1" s="1"/>
  <c r="L2606" i="1"/>
  <c r="M2606" i="1" s="1"/>
  <c r="N2606" i="1" s="1"/>
  <c r="L2607" i="1"/>
  <c r="M2607" i="1" s="1"/>
  <c r="N2607" i="1" s="1"/>
  <c r="L2608" i="1"/>
  <c r="M2608" i="1" s="1"/>
  <c r="N2608" i="1" s="1"/>
  <c r="L2609" i="1"/>
  <c r="M2609" i="1" s="1"/>
  <c r="N2609" i="1" s="1"/>
  <c r="L2610" i="1"/>
  <c r="M2610" i="1" s="1"/>
  <c r="N2610" i="1" s="1"/>
  <c r="L2611" i="1"/>
  <c r="M2611" i="1" s="1"/>
  <c r="N2611" i="1" s="1"/>
  <c r="L2612" i="1"/>
  <c r="M2612" i="1" s="1"/>
  <c r="N2612" i="1" s="1"/>
  <c r="L2613" i="1"/>
  <c r="M2613" i="1" s="1"/>
  <c r="N2613" i="1" s="1"/>
  <c r="L2614" i="1"/>
  <c r="M2614" i="1" s="1"/>
  <c r="N2614" i="1" s="1"/>
  <c r="L2615" i="1"/>
  <c r="M2615" i="1" s="1"/>
  <c r="N2615" i="1" s="1"/>
  <c r="L2616" i="1"/>
  <c r="M2616" i="1" s="1"/>
  <c r="N2616" i="1" s="1"/>
  <c r="L2617" i="1"/>
  <c r="M2617" i="1" s="1"/>
  <c r="N2617" i="1" s="1"/>
  <c r="L2618" i="1"/>
  <c r="M2618" i="1" s="1"/>
  <c r="N2618" i="1" s="1"/>
  <c r="L2619" i="1"/>
  <c r="M2619" i="1" s="1"/>
  <c r="N2619" i="1" s="1"/>
  <c r="L2620" i="1"/>
  <c r="M2620" i="1" s="1"/>
  <c r="N2620" i="1" s="1"/>
  <c r="L2621" i="1"/>
  <c r="M2621" i="1" s="1"/>
  <c r="N2621" i="1" s="1"/>
  <c r="L2622" i="1"/>
  <c r="M2622" i="1" s="1"/>
  <c r="N2622" i="1" s="1"/>
  <c r="L2623" i="1"/>
  <c r="M2623" i="1" s="1"/>
  <c r="N2623" i="1" s="1"/>
  <c r="L2624" i="1"/>
  <c r="M2624" i="1" s="1"/>
  <c r="N2624" i="1" s="1"/>
  <c r="L2625" i="1"/>
  <c r="M2625" i="1" s="1"/>
  <c r="N2625" i="1" s="1"/>
  <c r="L2626" i="1"/>
  <c r="M2626" i="1" s="1"/>
  <c r="N2626" i="1" s="1"/>
  <c r="L2627" i="1"/>
  <c r="M2627" i="1" s="1"/>
  <c r="N2627" i="1" s="1"/>
  <c r="L2628" i="1"/>
  <c r="M2628" i="1" s="1"/>
  <c r="N2628" i="1" s="1"/>
  <c r="L2629" i="1"/>
  <c r="M2629" i="1" s="1"/>
  <c r="N2629" i="1" s="1"/>
  <c r="L2630" i="1"/>
  <c r="M2630" i="1" s="1"/>
  <c r="N2630" i="1" s="1"/>
  <c r="L2631" i="1"/>
  <c r="M2631" i="1" s="1"/>
  <c r="N2631" i="1" s="1"/>
  <c r="L2632" i="1"/>
  <c r="M2632" i="1" s="1"/>
  <c r="N2632" i="1" s="1"/>
  <c r="L2633" i="1"/>
  <c r="M2633" i="1" s="1"/>
  <c r="N2633" i="1" s="1"/>
  <c r="L2634" i="1"/>
  <c r="M2634" i="1" s="1"/>
  <c r="N2634" i="1" s="1"/>
  <c r="L2635" i="1"/>
  <c r="M2635" i="1" s="1"/>
  <c r="N2635" i="1" s="1"/>
  <c r="L2636" i="1"/>
  <c r="M2636" i="1" s="1"/>
  <c r="N2636" i="1" s="1"/>
  <c r="L2637" i="1"/>
  <c r="M2637" i="1" s="1"/>
  <c r="N2637" i="1" s="1"/>
  <c r="L2638" i="1"/>
  <c r="M2638" i="1" s="1"/>
  <c r="N2638" i="1" s="1"/>
  <c r="L2639" i="1"/>
  <c r="M2639" i="1" s="1"/>
  <c r="N2639" i="1" s="1"/>
  <c r="L2640" i="1"/>
  <c r="M2640" i="1" s="1"/>
  <c r="N2640" i="1" s="1"/>
  <c r="L2641" i="1"/>
  <c r="M2641" i="1" s="1"/>
  <c r="N2641" i="1" s="1"/>
  <c r="L2642" i="1"/>
  <c r="M2642" i="1" s="1"/>
  <c r="N2642" i="1" s="1"/>
  <c r="L2643" i="1"/>
  <c r="M2643" i="1" s="1"/>
  <c r="N2643" i="1" s="1"/>
  <c r="L2644" i="1"/>
  <c r="M2644" i="1" s="1"/>
  <c r="N2644" i="1" s="1"/>
  <c r="L2645" i="1"/>
  <c r="M2645" i="1" s="1"/>
  <c r="N2645" i="1" s="1"/>
  <c r="L2646" i="1"/>
  <c r="M2646" i="1" s="1"/>
  <c r="N2646" i="1" s="1"/>
  <c r="L2647" i="1"/>
  <c r="M2647" i="1" s="1"/>
  <c r="N2647" i="1" s="1"/>
  <c r="L2648" i="1"/>
  <c r="M2648" i="1" s="1"/>
  <c r="N2648" i="1" s="1"/>
  <c r="L2649" i="1"/>
  <c r="M2649" i="1" s="1"/>
  <c r="N2649" i="1" s="1"/>
  <c r="L2650" i="1"/>
  <c r="M2650" i="1" s="1"/>
  <c r="N2650" i="1" s="1"/>
  <c r="L2651" i="1"/>
  <c r="M2651" i="1" s="1"/>
  <c r="N2651" i="1" s="1"/>
  <c r="L2652" i="1"/>
  <c r="M2652" i="1" s="1"/>
  <c r="N2652" i="1" s="1"/>
  <c r="L2653" i="1"/>
  <c r="M2653" i="1" s="1"/>
  <c r="N2653" i="1" s="1"/>
  <c r="L2654" i="1"/>
  <c r="M2654" i="1" s="1"/>
  <c r="N2654" i="1" s="1"/>
  <c r="L2655" i="1"/>
  <c r="M2655" i="1" s="1"/>
  <c r="N2655" i="1" s="1"/>
  <c r="L2656" i="1"/>
  <c r="M2656" i="1" s="1"/>
  <c r="N2656" i="1" s="1"/>
  <c r="L2657" i="1"/>
  <c r="M2657" i="1" s="1"/>
  <c r="N2657" i="1" s="1"/>
  <c r="L2658" i="1"/>
  <c r="M2658" i="1" s="1"/>
  <c r="N2658" i="1" s="1"/>
  <c r="L2659" i="1"/>
  <c r="M2659" i="1" s="1"/>
  <c r="N2659" i="1" s="1"/>
  <c r="L2660" i="1"/>
  <c r="M2660" i="1" s="1"/>
  <c r="N2660" i="1" s="1"/>
  <c r="L2661" i="1"/>
  <c r="M2661" i="1" s="1"/>
  <c r="N2661" i="1" s="1"/>
  <c r="L2662" i="1"/>
  <c r="M2662" i="1" s="1"/>
  <c r="N2662" i="1" s="1"/>
  <c r="L2663" i="1"/>
  <c r="M2663" i="1" s="1"/>
  <c r="N2663" i="1" s="1"/>
  <c r="L2664" i="1"/>
  <c r="M2664" i="1" s="1"/>
  <c r="N2664" i="1" s="1"/>
  <c r="L2665" i="1"/>
  <c r="M2665" i="1" s="1"/>
  <c r="N2665" i="1" s="1"/>
  <c r="L2666" i="1"/>
  <c r="M2666" i="1" s="1"/>
  <c r="N2666" i="1" s="1"/>
  <c r="L2667" i="1"/>
  <c r="M2667" i="1" s="1"/>
  <c r="N2667" i="1" s="1"/>
  <c r="L2668" i="1"/>
  <c r="M2668" i="1" s="1"/>
  <c r="N2668" i="1" s="1"/>
  <c r="L2669" i="1"/>
  <c r="M2669" i="1" s="1"/>
  <c r="N2669" i="1" s="1"/>
  <c r="L2670" i="1"/>
  <c r="M2670" i="1" s="1"/>
  <c r="N2670" i="1" s="1"/>
  <c r="L2671" i="1"/>
  <c r="M2671" i="1" s="1"/>
  <c r="N2671" i="1" s="1"/>
  <c r="L2672" i="1"/>
  <c r="M2672" i="1" s="1"/>
  <c r="N2672" i="1" s="1"/>
  <c r="L2673" i="1"/>
  <c r="M2673" i="1" s="1"/>
  <c r="N2673" i="1" s="1"/>
  <c r="L2674" i="1"/>
  <c r="M2674" i="1" s="1"/>
  <c r="N2674" i="1" s="1"/>
  <c r="L2675" i="1"/>
  <c r="M2675" i="1" s="1"/>
  <c r="N2675" i="1" s="1"/>
  <c r="L2676" i="1"/>
  <c r="M2676" i="1" s="1"/>
  <c r="N2676" i="1" s="1"/>
  <c r="L2677" i="1"/>
  <c r="M2677" i="1" s="1"/>
  <c r="N2677" i="1" s="1"/>
  <c r="L2678" i="1"/>
  <c r="M2678" i="1" s="1"/>
  <c r="N2678" i="1" s="1"/>
  <c r="L2679" i="1"/>
  <c r="M2679" i="1" s="1"/>
  <c r="N2679" i="1" s="1"/>
  <c r="L2680" i="1"/>
  <c r="M2680" i="1" s="1"/>
  <c r="N2680" i="1" s="1"/>
  <c r="L2681" i="1"/>
  <c r="M2681" i="1" s="1"/>
  <c r="N2681" i="1" s="1"/>
  <c r="L2682" i="1"/>
  <c r="M2682" i="1" s="1"/>
  <c r="N2682" i="1" s="1"/>
  <c r="L2683" i="1"/>
  <c r="M2683" i="1" s="1"/>
  <c r="N2683" i="1" s="1"/>
  <c r="L2684" i="1"/>
  <c r="M2684" i="1" s="1"/>
  <c r="N2684" i="1" s="1"/>
  <c r="L2685" i="1"/>
  <c r="M2685" i="1" s="1"/>
  <c r="N2685" i="1" s="1"/>
  <c r="L2686" i="1"/>
  <c r="M2686" i="1" s="1"/>
  <c r="N2686" i="1" s="1"/>
  <c r="L2687" i="1"/>
  <c r="M2687" i="1" s="1"/>
  <c r="N2687" i="1" s="1"/>
  <c r="L2688" i="1"/>
  <c r="M2688" i="1" s="1"/>
  <c r="N2688" i="1" s="1"/>
  <c r="L2689" i="1"/>
  <c r="M2689" i="1" s="1"/>
  <c r="N2689" i="1" s="1"/>
  <c r="L2690" i="1"/>
  <c r="M2690" i="1" s="1"/>
  <c r="N2690" i="1" s="1"/>
  <c r="L2691" i="1"/>
  <c r="M2691" i="1" s="1"/>
  <c r="N2691" i="1" s="1"/>
  <c r="L2692" i="1"/>
  <c r="M2692" i="1" s="1"/>
  <c r="N2692" i="1" s="1"/>
  <c r="L2693" i="1"/>
  <c r="M2693" i="1" s="1"/>
  <c r="N2693" i="1" s="1"/>
  <c r="L2694" i="1"/>
  <c r="M2694" i="1" s="1"/>
  <c r="N2694" i="1" s="1"/>
  <c r="L2695" i="1"/>
  <c r="M2695" i="1" s="1"/>
  <c r="N2695" i="1" s="1"/>
  <c r="L2696" i="1"/>
  <c r="M2696" i="1" s="1"/>
  <c r="N2696" i="1" s="1"/>
  <c r="L2697" i="1"/>
  <c r="M2697" i="1" s="1"/>
  <c r="N2697" i="1" s="1"/>
  <c r="L2698" i="1"/>
  <c r="M2698" i="1" s="1"/>
  <c r="N2698" i="1" s="1"/>
  <c r="L2699" i="1"/>
  <c r="M2699" i="1" s="1"/>
  <c r="N2699" i="1" s="1"/>
  <c r="L2700" i="1"/>
  <c r="M2700" i="1" s="1"/>
  <c r="N2700" i="1" s="1"/>
  <c r="L2701" i="1"/>
  <c r="M2701" i="1" s="1"/>
  <c r="N2701" i="1" s="1"/>
  <c r="L2702" i="1"/>
  <c r="M2702" i="1" s="1"/>
  <c r="N2702" i="1" s="1"/>
  <c r="L2703" i="1"/>
  <c r="M2703" i="1" s="1"/>
  <c r="N2703" i="1" s="1"/>
  <c r="L2704" i="1"/>
  <c r="M2704" i="1" s="1"/>
  <c r="N2704" i="1" s="1"/>
  <c r="L2705" i="1"/>
  <c r="M2705" i="1" s="1"/>
  <c r="N2705" i="1" s="1"/>
  <c r="L2706" i="1"/>
  <c r="M2706" i="1" s="1"/>
  <c r="N2706" i="1" s="1"/>
  <c r="L2707" i="1"/>
  <c r="M2707" i="1" s="1"/>
  <c r="N2707" i="1" s="1"/>
  <c r="L2708" i="1"/>
  <c r="M2708" i="1" s="1"/>
  <c r="N2708" i="1" s="1"/>
  <c r="L2709" i="1"/>
  <c r="M2709" i="1" s="1"/>
  <c r="N2709" i="1" s="1"/>
  <c r="L2710" i="1"/>
  <c r="M2710" i="1" s="1"/>
  <c r="N2710" i="1" s="1"/>
  <c r="L2711" i="1"/>
  <c r="M2711" i="1" s="1"/>
  <c r="N2711" i="1" s="1"/>
  <c r="L2712" i="1"/>
  <c r="M2712" i="1" s="1"/>
  <c r="N2712" i="1" s="1"/>
  <c r="L2713" i="1"/>
  <c r="M2713" i="1" s="1"/>
  <c r="N2713" i="1" s="1"/>
  <c r="L2714" i="1"/>
  <c r="M2714" i="1" s="1"/>
  <c r="N2714" i="1" s="1"/>
  <c r="L2715" i="1"/>
  <c r="M2715" i="1" s="1"/>
  <c r="N2715" i="1" s="1"/>
  <c r="L2716" i="1"/>
  <c r="M2716" i="1" s="1"/>
  <c r="N2716" i="1" s="1"/>
  <c r="L2717" i="1"/>
  <c r="M2717" i="1" s="1"/>
  <c r="N2717" i="1" s="1"/>
  <c r="L2718" i="1"/>
  <c r="M2718" i="1" s="1"/>
  <c r="N2718" i="1" s="1"/>
  <c r="L2719" i="1"/>
  <c r="M2719" i="1" s="1"/>
  <c r="N2719" i="1" s="1"/>
  <c r="L2720" i="1"/>
  <c r="M2720" i="1" s="1"/>
  <c r="N2720" i="1" s="1"/>
  <c r="L2721" i="1"/>
  <c r="M2721" i="1" s="1"/>
  <c r="N2721" i="1" s="1"/>
  <c r="L2722" i="1"/>
  <c r="M2722" i="1" s="1"/>
  <c r="N2722" i="1" s="1"/>
  <c r="L2723" i="1"/>
  <c r="M2723" i="1" s="1"/>
  <c r="N2723" i="1" s="1"/>
  <c r="L2724" i="1"/>
  <c r="M2724" i="1" s="1"/>
  <c r="N2724" i="1" s="1"/>
  <c r="L2725" i="1"/>
  <c r="M2725" i="1" s="1"/>
  <c r="N2725" i="1" s="1"/>
  <c r="L2726" i="1"/>
  <c r="M2726" i="1" s="1"/>
  <c r="N2726" i="1" s="1"/>
  <c r="L2727" i="1"/>
  <c r="M2727" i="1" s="1"/>
  <c r="N2727" i="1" s="1"/>
  <c r="L2728" i="1"/>
  <c r="M2728" i="1" s="1"/>
  <c r="N2728" i="1" s="1"/>
  <c r="L2729" i="1"/>
  <c r="M2729" i="1" s="1"/>
  <c r="N2729" i="1" s="1"/>
  <c r="L2730" i="1"/>
  <c r="M2730" i="1" s="1"/>
  <c r="N2730" i="1" s="1"/>
  <c r="L2731" i="1"/>
  <c r="M2731" i="1" s="1"/>
  <c r="N2731" i="1" s="1"/>
  <c r="L2732" i="1"/>
  <c r="M2732" i="1" s="1"/>
  <c r="N2732" i="1" s="1"/>
  <c r="L2733" i="1"/>
  <c r="M2733" i="1" s="1"/>
  <c r="N2733" i="1" s="1"/>
  <c r="L2734" i="1"/>
  <c r="M2734" i="1" s="1"/>
  <c r="N2734" i="1" s="1"/>
  <c r="L2735" i="1"/>
  <c r="M2735" i="1" s="1"/>
  <c r="N2735" i="1" s="1"/>
  <c r="L2736" i="1"/>
  <c r="M2736" i="1" s="1"/>
  <c r="N2736" i="1" s="1"/>
  <c r="L2737" i="1"/>
  <c r="M2737" i="1" s="1"/>
  <c r="N2737" i="1" s="1"/>
  <c r="L2738" i="1"/>
  <c r="M2738" i="1" s="1"/>
  <c r="N2738" i="1" s="1"/>
  <c r="L2739" i="1"/>
  <c r="M2739" i="1" s="1"/>
  <c r="N2739" i="1" s="1"/>
  <c r="L2740" i="1"/>
  <c r="M2740" i="1" s="1"/>
  <c r="N2740" i="1" s="1"/>
  <c r="L2741" i="1"/>
  <c r="M2741" i="1" s="1"/>
  <c r="N2741" i="1" s="1"/>
  <c r="L2742" i="1"/>
  <c r="M2742" i="1" s="1"/>
  <c r="N2742" i="1" s="1"/>
  <c r="L2743" i="1"/>
  <c r="M2743" i="1" s="1"/>
  <c r="N2743" i="1" s="1"/>
  <c r="L2744" i="1"/>
  <c r="M2744" i="1" s="1"/>
  <c r="N2744" i="1" s="1"/>
  <c r="L2745" i="1"/>
  <c r="M2745" i="1" s="1"/>
  <c r="N2745" i="1" s="1"/>
  <c r="L2746" i="1"/>
  <c r="M2746" i="1" s="1"/>
  <c r="N2746" i="1" s="1"/>
  <c r="L2747" i="1"/>
  <c r="M2747" i="1" s="1"/>
  <c r="N2747" i="1" s="1"/>
  <c r="L2748" i="1"/>
  <c r="M2748" i="1" s="1"/>
  <c r="N2748" i="1" s="1"/>
  <c r="L2749" i="1"/>
  <c r="M2749" i="1" s="1"/>
  <c r="N2749" i="1" s="1"/>
  <c r="L2750" i="1"/>
  <c r="M2750" i="1" s="1"/>
  <c r="N2750" i="1" s="1"/>
  <c r="L2751" i="1"/>
  <c r="M2751" i="1" s="1"/>
  <c r="N2751" i="1" s="1"/>
  <c r="L2752" i="1"/>
  <c r="M2752" i="1" s="1"/>
  <c r="N2752" i="1" s="1"/>
  <c r="L2753" i="1"/>
  <c r="M2753" i="1" s="1"/>
  <c r="N2753" i="1" s="1"/>
  <c r="L2754" i="1"/>
  <c r="M2754" i="1" s="1"/>
  <c r="N2754" i="1" s="1"/>
  <c r="L2755" i="1"/>
  <c r="M2755" i="1" s="1"/>
  <c r="N2755" i="1" s="1"/>
  <c r="L2756" i="1"/>
  <c r="M2756" i="1" s="1"/>
  <c r="N2756" i="1" s="1"/>
  <c r="L2757" i="1"/>
  <c r="M2757" i="1" s="1"/>
  <c r="N2757" i="1" s="1"/>
  <c r="L2758" i="1"/>
  <c r="M2758" i="1" s="1"/>
  <c r="N2758" i="1" s="1"/>
  <c r="L2759" i="1"/>
  <c r="M2759" i="1" s="1"/>
  <c r="N2759" i="1" s="1"/>
  <c r="L2760" i="1"/>
  <c r="M2760" i="1" s="1"/>
  <c r="N2760" i="1" s="1"/>
  <c r="L2761" i="1"/>
  <c r="M2761" i="1" s="1"/>
  <c r="N2761" i="1" s="1"/>
  <c r="L2762" i="1"/>
  <c r="M2762" i="1" s="1"/>
  <c r="N2762" i="1" s="1"/>
  <c r="L2763" i="1"/>
  <c r="M2763" i="1" s="1"/>
  <c r="N2763" i="1" s="1"/>
  <c r="L2764" i="1"/>
  <c r="M2764" i="1" s="1"/>
  <c r="N2764" i="1" s="1"/>
  <c r="L2765" i="1"/>
  <c r="M2765" i="1" s="1"/>
  <c r="N2765" i="1" s="1"/>
  <c r="L2766" i="1"/>
  <c r="M2766" i="1" s="1"/>
  <c r="N2766" i="1" s="1"/>
  <c r="L2767" i="1"/>
  <c r="M2767" i="1" s="1"/>
  <c r="N2767" i="1" s="1"/>
  <c r="L2768" i="1"/>
  <c r="M2768" i="1" s="1"/>
  <c r="N2768" i="1" s="1"/>
  <c r="L2769" i="1"/>
  <c r="M2769" i="1" s="1"/>
  <c r="N2769" i="1" s="1"/>
  <c r="L2770" i="1"/>
  <c r="M2770" i="1" s="1"/>
  <c r="N2770" i="1" s="1"/>
  <c r="L2771" i="1"/>
  <c r="M2771" i="1" s="1"/>
  <c r="N2771" i="1" s="1"/>
  <c r="L2772" i="1"/>
  <c r="M2772" i="1" s="1"/>
  <c r="N2772" i="1" s="1"/>
  <c r="L2773" i="1"/>
  <c r="M2773" i="1" s="1"/>
  <c r="N2773" i="1" s="1"/>
  <c r="L2774" i="1"/>
  <c r="M2774" i="1" s="1"/>
  <c r="N2774" i="1" s="1"/>
  <c r="L2775" i="1"/>
  <c r="M2775" i="1" s="1"/>
  <c r="N2775" i="1" s="1"/>
  <c r="L2776" i="1"/>
  <c r="M2776" i="1" s="1"/>
  <c r="N2776" i="1" s="1"/>
  <c r="L2777" i="1"/>
  <c r="M2777" i="1" s="1"/>
  <c r="N2777" i="1" s="1"/>
  <c r="L2778" i="1"/>
  <c r="M2778" i="1" s="1"/>
  <c r="N2778" i="1" s="1"/>
  <c r="L2779" i="1"/>
  <c r="M2779" i="1" s="1"/>
  <c r="N2779" i="1" s="1"/>
  <c r="L2780" i="1"/>
  <c r="M2780" i="1" s="1"/>
  <c r="N2780" i="1" s="1"/>
  <c r="L2781" i="1"/>
  <c r="M2781" i="1" s="1"/>
  <c r="N2781" i="1" s="1"/>
  <c r="L2782" i="1"/>
  <c r="M2782" i="1" s="1"/>
  <c r="N2782" i="1" s="1"/>
  <c r="L2783" i="1"/>
  <c r="M2783" i="1" s="1"/>
  <c r="N2783" i="1" s="1"/>
  <c r="L2784" i="1"/>
  <c r="M2784" i="1" s="1"/>
  <c r="N2784" i="1" s="1"/>
  <c r="L2785" i="1"/>
  <c r="M2785" i="1" s="1"/>
  <c r="N2785" i="1" s="1"/>
  <c r="L2786" i="1"/>
  <c r="M2786" i="1" s="1"/>
  <c r="N2786" i="1" s="1"/>
  <c r="L2787" i="1"/>
  <c r="M2787" i="1" s="1"/>
  <c r="N2787" i="1" s="1"/>
  <c r="L2788" i="1"/>
  <c r="M2788" i="1" s="1"/>
  <c r="N2788" i="1" s="1"/>
  <c r="L2789" i="1"/>
  <c r="M2789" i="1" s="1"/>
  <c r="N2789" i="1" s="1"/>
  <c r="L2790" i="1"/>
  <c r="M2790" i="1" s="1"/>
  <c r="N2790" i="1" s="1"/>
  <c r="L2791" i="1"/>
  <c r="M2791" i="1" s="1"/>
  <c r="N2791" i="1" s="1"/>
  <c r="L2792" i="1"/>
  <c r="M2792" i="1" s="1"/>
  <c r="N2792" i="1" s="1"/>
  <c r="L2793" i="1"/>
  <c r="M2793" i="1" s="1"/>
  <c r="N2793" i="1" s="1"/>
  <c r="L2794" i="1"/>
  <c r="M2794" i="1" s="1"/>
  <c r="N2794" i="1" s="1"/>
  <c r="L2795" i="1"/>
  <c r="M2795" i="1" s="1"/>
  <c r="N2795" i="1" s="1"/>
  <c r="L2796" i="1"/>
  <c r="M2796" i="1" s="1"/>
  <c r="N2796" i="1" s="1"/>
  <c r="L2797" i="1"/>
  <c r="M2797" i="1" s="1"/>
  <c r="N2797" i="1" s="1"/>
  <c r="L2798" i="1"/>
  <c r="M2798" i="1" s="1"/>
  <c r="N2798" i="1" s="1"/>
  <c r="L2799" i="1"/>
  <c r="M2799" i="1" s="1"/>
  <c r="N2799" i="1" s="1"/>
  <c r="L2800" i="1"/>
  <c r="M2800" i="1" s="1"/>
  <c r="N2800" i="1" s="1"/>
  <c r="L2801" i="1"/>
  <c r="M2801" i="1" s="1"/>
  <c r="N2801" i="1" s="1"/>
  <c r="L2802" i="1"/>
  <c r="M2802" i="1" s="1"/>
  <c r="N2802" i="1" s="1"/>
  <c r="L2803" i="1"/>
  <c r="M2803" i="1" s="1"/>
  <c r="N2803" i="1" s="1"/>
  <c r="L2804" i="1"/>
  <c r="M2804" i="1" s="1"/>
  <c r="N2804" i="1" s="1"/>
  <c r="L2805" i="1"/>
  <c r="M2805" i="1" s="1"/>
  <c r="N2805" i="1" s="1"/>
  <c r="L2806" i="1"/>
  <c r="M2806" i="1" s="1"/>
  <c r="N2806" i="1" s="1"/>
  <c r="L2807" i="1"/>
  <c r="M2807" i="1" s="1"/>
  <c r="N2807" i="1" s="1"/>
  <c r="L2808" i="1"/>
  <c r="M2808" i="1" s="1"/>
  <c r="N2808" i="1" s="1"/>
  <c r="L2809" i="1"/>
  <c r="M2809" i="1" s="1"/>
  <c r="N2809" i="1" s="1"/>
  <c r="L2810" i="1"/>
  <c r="M2810" i="1" s="1"/>
  <c r="N2810" i="1" s="1"/>
  <c r="L2811" i="1"/>
  <c r="M2811" i="1" s="1"/>
  <c r="N2811" i="1" s="1"/>
  <c r="L2812" i="1"/>
  <c r="M2812" i="1" s="1"/>
  <c r="N2812" i="1" s="1"/>
  <c r="L2813" i="1"/>
  <c r="M2813" i="1" s="1"/>
  <c r="N2813" i="1" s="1"/>
  <c r="L2814" i="1"/>
  <c r="M2814" i="1" s="1"/>
  <c r="N2814" i="1" s="1"/>
  <c r="L2815" i="1"/>
  <c r="M2815" i="1" s="1"/>
  <c r="N2815" i="1" s="1"/>
  <c r="L2816" i="1"/>
  <c r="M2816" i="1" s="1"/>
  <c r="N2816" i="1" s="1"/>
  <c r="L2817" i="1"/>
  <c r="M2817" i="1" s="1"/>
  <c r="N2817" i="1" s="1"/>
  <c r="L2818" i="1"/>
  <c r="M2818" i="1" s="1"/>
  <c r="N2818" i="1" s="1"/>
  <c r="L2819" i="1"/>
  <c r="M2819" i="1" s="1"/>
  <c r="N2819" i="1" s="1"/>
  <c r="L2820" i="1"/>
  <c r="M2820" i="1" s="1"/>
  <c r="N2820" i="1" s="1"/>
  <c r="L2821" i="1"/>
  <c r="M2821" i="1" s="1"/>
  <c r="N2821" i="1" s="1"/>
  <c r="L2822" i="1"/>
  <c r="M2822" i="1" s="1"/>
  <c r="N2822" i="1" s="1"/>
  <c r="L2823" i="1"/>
  <c r="M2823" i="1" s="1"/>
  <c r="N2823" i="1" s="1"/>
  <c r="L2824" i="1"/>
  <c r="M2824" i="1" s="1"/>
  <c r="N2824" i="1" s="1"/>
  <c r="L2825" i="1"/>
  <c r="M2825" i="1" s="1"/>
  <c r="N2825" i="1" s="1"/>
  <c r="L2826" i="1"/>
  <c r="M2826" i="1" s="1"/>
  <c r="N2826" i="1" s="1"/>
  <c r="L2827" i="1"/>
  <c r="M2827" i="1" s="1"/>
  <c r="N2827" i="1" s="1"/>
  <c r="L2828" i="1"/>
  <c r="M2828" i="1" s="1"/>
  <c r="N2828" i="1" s="1"/>
  <c r="L2829" i="1"/>
  <c r="M2829" i="1" s="1"/>
  <c r="N2829" i="1" s="1"/>
  <c r="L2830" i="1"/>
  <c r="M2830" i="1" s="1"/>
  <c r="N2830" i="1" s="1"/>
  <c r="L2831" i="1"/>
  <c r="M2831" i="1" s="1"/>
  <c r="N2831" i="1" s="1"/>
  <c r="L2832" i="1"/>
  <c r="M2832" i="1" s="1"/>
  <c r="N2832" i="1" s="1"/>
  <c r="L2833" i="1"/>
  <c r="M2833" i="1" s="1"/>
  <c r="N2833" i="1" s="1"/>
  <c r="L2834" i="1"/>
  <c r="M2834" i="1" s="1"/>
  <c r="N2834" i="1" s="1"/>
  <c r="L2835" i="1"/>
  <c r="M2835" i="1" s="1"/>
  <c r="N2835" i="1" s="1"/>
  <c r="L2836" i="1"/>
  <c r="M2836" i="1" s="1"/>
  <c r="N2836" i="1" s="1"/>
  <c r="L2837" i="1"/>
  <c r="M2837" i="1" s="1"/>
  <c r="N2837" i="1" s="1"/>
  <c r="L2838" i="1"/>
  <c r="M2838" i="1" s="1"/>
  <c r="N2838" i="1" s="1"/>
  <c r="L2839" i="1"/>
  <c r="M2839" i="1" s="1"/>
  <c r="N2839" i="1" s="1"/>
  <c r="L2840" i="1"/>
  <c r="M2840" i="1" s="1"/>
  <c r="N2840" i="1" s="1"/>
  <c r="L2841" i="1"/>
  <c r="M2841" i="1" s="1"/>
  <c r="N2841" i="1" s="1"/>
  <c r="L2842" i="1"/>
  <c r="M2842" i="1" s="1"/>
  <c r="N2842" i="1" s="1"/>
  <c r="L2843" i="1"/>
  <c r="M2843" i="1" s="1"/>
  <c r="N2843" i="1" s="1"/>
  <c r="L2844" i="1"/>
  <c r="M2844" i="1" s="1"/>
  <c r="N2844" i="1" s="1"/>
  <c r="L2845" i="1"/>
  <c r="M2845" i="1" s="1"/>
  <c r="N2845" i="1" s="1"/>
  <c r="L2846" i="1"/>
  <c r="M2846" i="1" s="1"/>
  <c r="N2846" i="1" s="1"/>
  <c r="L2847" i="1"/>
  <c r="M2847" i="1" s="1"/>
  <c r="N2847" i="1" s="1"/>
  <c r="L2848" i="1"/>
  <c r="M2848" i="1" s="1"/>
  <c r="N2848" i="1" s="1"/>
  <c r="L2849" i="1"/>
  <c r="M2849" i="1" s="1"/>
  <c r="N2849" i="1" s="1"/>
  <c r="L2850" i="1"/>
  <c r="M2850" i="1" s="1"/>
  <c r="N2850" i="1" s="1"/>
  <c r="L2851" i="1"/>
  <c r="M2851" i="1" s="1"/>
  <c r="N2851" i="1" s="1"/>
  <c r="L2852" i="1"/>
  <c r="M2852" i="1" s="1"/>
  <c r="N2852" i="1" s="1"/>
  <c r="L2853" i="1"/>
  <c r="M2853" i="1" s="1"/>
  <c r="N2853" i="1" s="1"/>
  <c r="L2854" i="1"/>
  <c r="M2854" i="1" s="1"/>
  <c r="N2854" i="1" s="1"/>
  <c r="L2855" i="1"/>
  <c r="M2855" i="1" s="1"/>
  <c r="N2855" i="1" s="1"/>
  <c r="L2856" i="1"/>
  <c r="M2856" i="1" s="1"/>
  <c r="N2856" i="1" s="1"/>
  <c r="L2857" i="1"/>
  <c r="M2857" i="1" s="1"/>
  <c r="N2857" i="1" s="1"/>
  <c r="L2858" i="1"/>
  <c r="M2858" i="1" s="1"/>
  <c r="N2858" i="1" s="1"/>
  <c r="L2859" i="1"/>
  <c r="M2859" i="1" s="1"/>
  <c r="N2859" i="1" s="1"/>
  <c r="L2860" i="1"/>
  <c r="M2860" i="1" s="1"/>
  <c r="N2860" i="1" s="1"/>
  <c r="L2861" i="1"/>
  <c r="M2861" i="1" s="1"/>
  <c r="N2861" i="1" s="1"/>
  <c r="L2862" i="1"/>
  <c r="M2862" i="1" s="1"/>
  <c r="N2862" i="1" s="1"/>
  <c r="L2863" i="1"/>
  <c r="M2863" i="1" s="1"/>
  <c r="N2863" i="1" s="1"/>
  <c r="L2864" i="1"/>
  <c r="M2864" i="1" s="1"/>
  <c r="N2864" i="1" s="1"/>
  <c r="L2865" i="1"/>
  <c r="M2865" i="1" s="1"/>
  <c r="N2865" i="1" s="1"/>
  <c r="L2866" i="1"/>
  <c r="M2866" i="1" s="1"/>
  <c r="N2866" i="1" s="1"/>
  <c r="L2867" i="1"/>
  <c r="M2867" i="1" s="1"/>
  <c r="N2867" i="1" s="1"/>
  <c r="L2868" i="1"/>
  <c r="M2868" i="1" s="1"/>
  <c r="N2868" i="1" s="1"/>
  <c r="L2869" i="1"/>
  <c r="M2869" i="1" s="1"/>
  <c r="N2869" i="1" s="1"/>
  <c r="L2870" i="1"/>
  <c r="M2870" i="1" s="1"/>
  <c r="N2870" i="1" s="1"/>
  <c r="L2871" i="1"/>
  <c r="M2871" i="1" s="1"/>
  <c r="N2871" i="1" s="1"/>
  <c r="L2872" i="1"/>
  <c r="M2872" i="1" s="1"/>
  <c r="N2872" i="1" s="1"/>
  <c r="L2873" i="1"/>
  <c r="M2873" i="1" s="1"/>
  <c r="N2873" i="1" s="1"/>
  <c r="L2874" i="1"/>
  <c r="M2874" i="1" s="1"/>
  <c r="N2874" i="1" s="1"/>
  <c r="L2875" i="1"/>
  <c r="M2875" i="1" s="1"/>
  <c r="N2875" i="1" s="1"/>
  <c r="L2876" i="1"/>
  <c r="M2876" i="1" s="1"/>
  <c r="N2876" i="1" s="1"/>
  <c r="L2877" i="1"/>
  <c r="M2877" i="1" s="1"/>
  <c r="N2877" i="1" s="1"/>
  <c r="L2878" i="1"/>
  <c r="M2878" i="1" s="1"/>
  <c r="N2878" i="1" s="1"/>
  <c r="L2879" i="1"/>
  <c r="M2879" i="1" s="1"/>
  <c r="N2879" i="1" s="1"/>
  <c r="L2880" i="1"/>
  <c r="M2880" i="1" s="1"/>
  <c r="N2880" i="1" s="1"/>
  <c r="L2881" i="1"/>
  <c r="M2881" i="1" s="1"/>
  <c r="N2881" i="1" s="1"/>
  <c r="L2882" i="1"/>
  <c r="M2882" i="1" s="1"/>
  <c r="N2882" i="1" s="1"/>
  <c r="L2883" i="1"/>
  <c r="M2883" i="1" s="1"/>
  <c r="N2883" i="1" s="1"/>
  <c r="L2884" i="1"/>
  <c r="M2884" i="1" s="1"/>
  <c r="N2884" i="1" s="1"/>
  <c r="L2885" i="1"/>
  <c r="M2885" i="1" s="1"/>
  <c r="N2885" i="1" s="1"/>
  <c r="L2886" i="1"/>
  <c r="M2886" i="1" s="1"/>
  <c r="N2886" i="1" s="1"/>
  <c r="L2887" i="1"/>
  <c r="M2887" i="1" s="1"/>
  <c r="N2887" i="1" s="1"/>
  <c r="L2888" i="1"/>
  <c r="M2888" i="1" s="1"/>
  <c r="N2888" i="1" s="1"/>
  <c r="L2889" i="1"/>
  <c r="M2889" i="1" s="1"/>
  <c r="N2889" i="1" s="1"/>
  <c r="L2890" i="1"/>
  <c r="M2890" i="1" s="1"/>
  <c r="N2890" i="1" s="1"/>
  <c r="L2891" i="1"/>
  <c r="M2891" i="1" s="1"/>
  <c r="N2891" i="1" s="1"/>
  <c r="L2892" i="1"/>
  <c r="M2892" i="1" s="1"/>
  <c r="N2892" i="1" s="1"/>
  <c r="L2893" i="1"/>
  <c r="M2893" i="1" s="1"/>
  <c r="N2893" i="1" s="1"/>
  <c r="L2894" i="1"/>
  <c r="M2894" i="1" s="1"/>
  <c r="N2894" i="1" s="1"/>
  <c r="L2895" i="1"/>
  <c r="M2895" i="1" s="1"/>
  <c r="N2895" i="1" s="1"/>
  <c r="L2896" i="1"/>
  <c r="M2896" i="1" s="1"/>
  <c r="N2896" i="1" s="1"/>
  <c r="L2897" i="1"/>
  <c r="M2897" i="1" s="1"/>
  <c r="N2897" i="1" s="1"/>
  <c r="L2898" i="1"/>
  <c r="M2898" i="1" s="1"/>
  <c r="N2898" i="1" s="1"/>
  <c r="L2899" i="1"/>
  <c r="M2899" i="1" s="1"/>
  <c r="N2899" i="1" s="1"/>
  <c r="L2900" i="1"/>
  <c r="M2900" i="1" s="1"/>
  <c r="N2900" i="1" s="1"/>
  <c r="L2901" i="1"/>
  <c r="M2901" i="1" s="1"/>
  <c r="N2901" i="1" s="1"/>
  <c r="L2902" i="1"/>
  <c r="M2902" i="1" s="1"/>
  <c r="N2902" i="1" s="1"/>
  <c r="L2903" i="1"/>
  <c r="M2903" i="1" s="1"/>
  <c r="N2903" i="1" s="1"/>
  <c r="L2904" i="1"/>
  <c r="M2904" i="1" s="1"/>
  <c r="N2904" i="1" s="1"/>
  <c r="L2905" i="1"/>
  <c r="M2905" i="1" s="1"/>
  <c r="N2905" i="1" s="1"/>
  <c r="L2906" i="1"/>
  <c r="M2906" i="1" s="1"/>
  <c r="N2906" i="1" s="1"/>
  <c r="L2907" i="1"/>
  <c r="M2907" i="1" s="1"/>
  <c r="N2907" i="1" s="1"/>
  <c r="L2908" i="1"/>
  <c r="M2908" i="1" s="1"/>
  <c r="N2908" i="1" s="1"/>
  <c r="L2909" i="1"/>
  <c r="M2909" i="1" s="1"/>
  <c r="N2909" i="1" s="1"/>
  <c r="L2910" i="1"/>
  <c r="M2910" i="1" s="1"/>
  <c r="N2910" i="1" s="1"/>
  <c r="L2911" i="1"/>
  <c r="M2911" i="1" s="1"/>
  <c r="N2911" i="1" s="1"/>
  <c r="L2912" i="1"/>
  <c r="M2912" i="1" s="1"/>
  <c r="N2912" i="1" s="1"/>
  <c r="L2913" i="1"/>
  <c r="M2913" i="1" s="1"/>
  <c r="N2913" i="1" s="1"/>
  <c r="L2914" i="1"/>
  <c r="M2914" i="1" s="1"/>
  <c r="N2914" i="1" s="1"/>
  <c r="L2915" i="1"/>
  <c r="M2915" i="1" s="1"/>
  <c r="N2915" i="1" s="1"/>
  <c r="L2916" i="1"/>
  <c r="M2916" i="1" s="1"/>
  <c r="N2916" i="1" s="1"/>
  <c r="L2917" i="1"/>
  <c r="M2917" i="1" s="1"/>
  <c r="N2917" i="1" s="1"/>
  <c r="L2918" i="1"/>
  <c r="M2918" i="1" s="1"/>
  <c r="N2918" i="1" s="1"/>
  <c r="L2919" i="1"/>
  <c r="M2919" i="1" s="1"/>
  <c r="N2919" i="1" s="1"/>
  <c r="L2920" i="1"/>
  <c r="M2920" i="1" s="1"/>
  <c r="N2920" i="1" s="1"/>
  <c r="L2921" i="1"/>
  <c r="M2921" i="1" s="1"/>
  <c r="N2921" i="1" s="1"/>
  <c r="L2922" i="1"/>
  <c r="M2922" i="1" s="1"/>
  <c r="N2922" i="1" s="1"/>
  <c r="L2923" i="1"/>
  <c r="M2923" i="1" s="1"/>
  <c r="N2923" i="1" s="1"/>
  <c r="L2924" i="1"/>
  <c r="M2924" i="1" s="1"/>
  <c r="N2924" i="1" s="1"/>
  <c r="L2925" i="1"/>
  <c r="M2925" i="1" s="1"/>
  <c r="N2925" i="1" s="1"/>
  <c r="L2926" i="1"/>
  <c r="M2926" i="1" s="1"/>
  <c r="N2926" i="1" s="1"/>
  <c r="L2927" i="1"/>
  <c r="M2927" i="1" s="1"/>
  <c r="N2927" i="1" s="1"/>
  <c r="L2928" i="1"/>
  <c r="M2928" i="1" s="1"/>
  <c r="N2928" i="1" s="1"/>
  <c r="L2929" i="1"/>
  <c r="M2929" i="1" s="1"/>
  <c r="N2929" i="1" s="1"/>
  <c r="L2930" i="1"/>
  <c r="M2930" i="1" s="1"/>
  <c r="N2930" i="1" s="1"/>
  <c r="L2931" i="1"/>
  <c r="M2931" i="1" s="1"/>
  <c r="N2931" i="1" s="1"/>
  <c r="L2932" i="1"/>
  <c r="M2932" i="1" s="1"/>
  <c r="N2932" i="1" s="1"/>
  <c r="L2933" i="1"/>
  <c r="M2933" i="1" s="1"/>
  <c r="N2933" i="1" s="1"/>
  <c r="L2934" i="1"/>
  <c r="M2934" i="1" s="1"/>
  <c r="N2934" i="1" s="1"/>
  <c r="L2935" i="1"/>
  <c r="M2935" i="1" s="1"/>
  <c r="N2935" i="1" s="1"/>
  <c r="L2936" i="1"/>
  <c r="M2936" i="1" s="1"/>
  <c r="N2936" i="1" s="1"/>
  <c r="L2937" i="1"/>
  <c r="M2937" i="1" s="1"/>
  <c r="N2937" i="1" s="1"/>
  <c r="L2938" i="1"/>
  <c r="M2938" i="1" s="1"/>
  <c r="N2938" i="1" s="1"/>
  <c r="L2939" i="1"/>
  <c r="M2939" i="1" s="1"/>
  <c r="N2939" i="1" s="1"/>
  <c r="L2940" i="1"/>
  <c r="M2940" i="1" s="1"/>
  <c r="N2940" i="1" s="1"/>
  <c r="L2941" i="1"/>
  <c r="M2941" i="1" s="1"/>
  <c r="N2941" i="1" s="1"/>
  <c r="L2942" i="1"/>
  <c r="M2942" i="1" s="1"/>
  <c r="N2942" i="1" s="1"/>
  <c r="L2943" i="1"/>
  <c r="M2943" i="1" s="1"/>
  <c r="N2943" i="1" s="1"/>
  <c r="L2944" i="1"/>
  <c r="M2944" i="1" s="1"/>
  <c r="N2944" i="1" s="1"/>
  <c r="L2945" i="1"/>
  <c r="M2945" i="1" s="1"/>
  <c r="N2945" i="1" s="1"/>
  <c r="L2946" i="1"/>
  <c r="M2946" i="1" s="1"/>
  <c r="N2946" i="1" s="1"/>
  <c r="L2947" i="1"/>
  <c r="M2947" i="1" s="1"/>
  <c r="N2947" i="1" s="1"/>
  <c r="L2948" i="1"/>
  <c r="M2948" i="1" s="1"/>
  <c r="N2948" i="1" s="1"/>
  <c r="L2949" i="1"/>
  <c r="M2949" i="1" s="1"/>
  <c r="N2949" i="1" s="1"/>
  <c r="L2950" i="1"/>
  <c r="M2950" i="1" s="1"/>
  <c r="N2950" i="1" s="1"/>
  <c r="L2951" i="1"/>
  <c r="M2951" i="1" s="1"/>
  <c r="N2951" i="1" s="1"/>
  <c r="L2952" i="1"/>
  <c r="M2952" i="1" s="1"/>
  <c r="N2952" i="1" s="1"/>
  <c r="L2953" i="1"/>
  <c r="M2953" i="1" s="1"/>
  <c r="N2953" i="1" s="1"/>
  <c r="L2954" i="1"/>
  <c r="M2954" i="1" s="1"/>
  <c r="N2954" i="1" s="1"/>
  <c r="L2955" i="1"/>
  <c r="M2955" i="1" s="1"/>
  <c r="N2955" i="1" s="1"/>
  <c r="L2956" i="1"/>
  <c r="M2956" i="1" s="1"/>
  <c r="N2956" i="1" s="1"/>
  <c r="L2957" i="1"/>
  <c r="M2957" i="1" s="1"/>
  <c r="N2957" i="1" s="1"/>
  <c r="L2958" i="1"/>
  <c r="M2958" i="1" s="1"/>
  <c r="N2958" i="1" s="1"/>
  <c r="L2959" i="1"/>
  <c r="M2959" i="1" s="1"/>
  <c r="N2959" i="1" s="1"/>
  <c r="L2960" i="1"/>
  <c r="M2960" i="1" s="1"/>
  <c r="N2960" i="1" s="1"/>
  <c r="L2961" i="1"/>
  <c r="M2961" i="1" s="1"/>
  <c r="N2961" i="1" s="1"/>
  <c r="L2962" i="1"/>
  <c r="M2962" i="1" s="1"/>
  <c r="N2962" i="1" s="1"/>
  <c r="L2963" i="1"/>
  <c r="M2963" i="1" s="1"/>
  <c r="N2963" i="1" s="1"/>
  <c r="L2964" i="1"/>
  <c r="M2964" i="1" s="1"/>
  <c r="N2964" i="1" s="1"/>
  <c r="L2965" i="1"/>
  <c r="M2965" i="1" s="1"/>
  <c r="N2965" i="1" s="1"/>
  <c r="L2966" i="1"/>
  <c r="M2966" i="1" s="1"/>
  <c r="N2966" i="1" s="1"/>
  <c r="L2967" i="1"/>
  <c r="M2967" i="1" s="1"/>
  <c r="N2967" i="1" s="1"/>
  <c r="L2968" i="1"/>
  <c r="M2968" i="1" s="1"/>
  <c r="N2968" i="1" s="1"/>
  <c r="L2969" i="1"/>
  <c r="M2969" i="1" s="1"/>
  <c r="N2969" i="1" s="1"/>
  <c r="L2970" i="1"/>
  <c r="M2970" i="1" s="1"/>
  <c r="N2970" i="1" s="1"/>
  <c r="L2971" i="1"/>
  <c r="M2971" i="1" s="1"/>
  <c r="N2971" i="1" s="1"/>
  <c r="L2972" i="1"/>
  <c r="M2972" i="1" s="1"/>
  <c r="N2972" i="1" s="1"/>
  <c r="L2973" i="1"/>
  <c r="M2973" i="1" s="1"/>
  <c r="N2973" i="1" s="1"/>
  <c r="L2974" i="1"/>
  <c r="M2974" i="1" s="1"/>
  <c r="N2974" i="1" s="1"/>
  <c r="L2975" i="1"/>
  <c r="M2975" i="1" s="1"/>
  <c r="N2975" i="1" s="1"/>
  <c r="L2976" i="1"/>
  <c r="M2976" i="1" s="1"/>
  <c r="N2976" i="1" s="1"/>
  <c r="L2977" i="1"/>
  <c r="M2977" i="1" s="1"/>
  <c r="N2977" i="1" s="1"/>
  <c r="L2978" i="1"/>
  <c r="M2978" i="1" s="1"/>
  <c r="N2978" i="1" s="1"/>
  <c r="L2979" i="1"/>
  <c r="M2979" i="1" s="1"/>
  <c r="N2979" i="1" s="1"/>
  <c r="L2980" i="1"/>
  <c r="M2980" i="1" s="1"/>
  <c r="N2980" i="1" s="1"/>
  <c r="L2981" i="1"/>
  <c r="M2981" i="1" s="1"/>
  <c r="N2981" i="1" s="1"/>
  <c r="L2982" i="1"/>
  <c r="M2982" i="1" s="1"/>
  <c r="N2982" i="1" s="1"/>
  <c r="L2983" i="1"/>
  <c r="M2983" i="1" s="1"/>
  <c r="N2983" i="1" s="1"/>
  <c r="L2984" i="1"/>
  <c r="M2984" i="1" s="1"/>
  <c r="N2984" i="1" s="1"/>
  <c r="L2985" i="1"/>
  <c r="M2985" i="1" s="1"/>
  <c r="N2985" i="1" s="1"/>
  <c r="L2986" i="1"/>
  <c r="M2986" i="1" s="1"/>
  <c r="N2986" i="1" s="1"/>
  <c r="L2987" i="1"/>
  <c r="M2987" i="1" s="1"/>
  <c r="N2987" i="1" s="1"/>
  <c r="L2988" i="1"/>
  <c r="M2988" i="1" s="1"/>
  <c r="N2988" i="1" s="1"/>
  <c r="L2989" i="1"/>
  <c r="M2989" i="1" s="1"/>
  <c r="N2989" i="1" s="1"/>
  <c r="L2990" i="1"/>
  <c r="M2990" i="1" s="1"/>
  <c r="N2990" i="1" s="1"/>
  <c r="L2991" i="1"/>
  <c r="M2991" i="1" s="1"/>
  <c r="N2991" i="1" s="1"/>
  <c r="L2992" i="1"/>
  <c r="M2992" i="1" s="1"/>
  <c r="N2992" i="1" s="1"/>
  <c r="L2993" i="1"/>
  <c r="M2993" i="1" s="1"/>
  <c r="N2993" i="1" s="1"/>
  <c r="L2994" i="1"/>
  <c r="M2994" i="1" s="1"/>
  <c r="N2994" i="1" s="1"/>
  <c r="L2995" i="1"/>
  <c r="M2995" i="1" s="1"/>
  <c r="N2995" i="1" s="1"/>
  <c r="L2996" i="1"/>
  <c r="M2996" i="1" s="1"/>
  <c r="N2996" i="1" s="1"/>
  <c r="L2997" i="1"/>
  <c r="M2997" i="1" s="1"/>
  <c r="N2997" i="1" s="1"/>
  <c r="L2998" i="1"/>
  <c r="M2998" i="1" s="1"/>
  <c r="N2998" i="1" s="1"/>
  <c r="L2999" i="1"/>
  <c r="M2999" i="1" s="1"/>
  <c r="N2999" i="1" s="1"/>
  <c r="L3000" i="1"/>
  <c r="M3000" i="1" s="1"/>
  <c r="N3000" i="1" s="1"/>
  <c r="L3001" i="1"/>
  <c r="M3001" i="1" s="1"/>
  <c r="N3001" i="1" s="1"/>
  <c r="L3002" i="1"/>
  <c r="M3002" i="1" s="1"/>
  <c r="N3002" i="1" s="1"/>
  <c r="L3003" i="1"/>
  <c r="M3003" i="1" s="1"/>
  <c r="N3003" i="1" s="1"/>
  <c r="L3004" i="1"/>
  <c r="M3004" i="1" s="1"/>
  <c r="N3004" i="1" s="1"/>
  <c r="L3005" i="1"/>
  <c r="M3005" i="1" s="1"/>
  <c r="N3005" i="1" s="1"/>
  <c r="L3006" i="1"/>
  <c r="M3006" i="1" s="1"/>
  <c r="N3006" i="1" s="1"/>
  <c r="L3007" i="1"/>
  <c r="M3007" i="1" s="1"/>
  <c r="N3007" i="1" s="1"/>
  <c r="L3008" i="1"/>
  <c r="M3008" i="1" s="1"/>
  <c r="N3008" i="1" s="1"/>
  <c r="L3009" i="1"/>
  <c r="M3009" i="1" s="1"/>
  <c r="N3009" i="1" s="1"/>
  <c r="L3010" i="1"/>
  <c r="M3010" i="1" s="1"/>
  <c r="N3010" i="1" s="1"/>
  <c r="L3011" i="1"/>
  <c r="M3011" i="1" s="1"/>
  <c r="N3011" i="1" s="1"/>
  <c r="L3012" i="1"/>
  <c r="M3012" i="1" s="1"/>
  <c r="N3012" i="1" s="1"/>
  <c r="L3013" i="1"/>
  <c r="M3013" i="1" s="1"/>
  <c r="N3013" i="1" s="1"/>
  <c r="L3014" i="1"/>
  <c r="M3014" i="1" s="1"/>
  <c r="N3014" i="1" s="1"/>
  <c r="L3015" i="1"/>
  <c r="M3015" i="1" s="1"/>
  <c r="N3015" i="1" s="1"/>
  <c r="L3016" i="1"/>
  <c r="M3016" i="1" s="1"/>
  <c r="N3016" i="1" s="1"/>
  <c r="L3017" i="1"/>
  <c r="M3017" i="1" s="1"/>
  <c r="N3017" i="1" s="1"/>
  <c r="L3018" i="1"/>
  <c r="M3018" i="1" s="1"/>
  <c r="N3018" i="1" s="1"/>
  <c r="L3019" i="1"/>
  <c r="M3019" i="1" s="1"/>
  <c r="N3019" i="1" s="1"/>
  <c r="L3020" i="1"/>
  <c r="M3020" i="1" s="1"/>
  <c r="N3020" i="1" s="1"/>
  <c r="L3021" i="1"/>
  <c r="M3021" i="1" s="1"/>
  <c r="N3021" i="1" s="1"/>
  <c r="L3022" i="1"/>
  <c r="M3022" i="1" s="1"/>
  <c r="N3022" i="1" s="1"/>
  <c r="L3023" i="1"/>
  <c r="M3023" i="1" s="1"/>
  <c r="N3023" i="1" s="1"/>
  <c r="L3024" i="1"/>
  <c r="M3024" i="1" s="1"/>
  <c r="N3024" i="1" s="1"/>
  <c r="L3025" i="1"/>
  <c r="M3025" i="1" s="1"/>
  <c r="N3025" i="1" s="1"/>
  <c r="L3026" i="1"/>
  <c r="M3026" i="1" s="1"/>
  <c r="N3026" i="1" s="1"/>
  <c r="L3027" i="1"/>
  <c r="M3027" i="1" s="1"/>
  <c r="N3027" i="1" s="1"/>
  <c r="L3028" i="1"/>
  <c r="M3028" i="1" s="1"/>
  <c r="N3028" i="1" s="1"/>
  <c r="L3029" i="1"/>
  <c r="M3029" i="1" s="1"/>
  <c r="N3029" i="1" s="1"/>
  <c r="L3030" i="1"/>
  <c r="M3030" i="1" s="1"/>
  <c r="N3030" i="1" s="1"/>
  <c r="L3031" i="1"/>
  <c r="M3031" i="1" s="1"/>
  <c r="N3031" i="1" s="1"/>
  <c r="L3032" i="1"/>
  <c r="M3032" i="1" s="1"/>
  <c r="N3032" i="1" s="1"/>
  <c r="L3033" i="1"/>
  <c r="M3033" i="1" s="1"/>
  <c r="N3033" i="1" s="1"/>
  <c r="L3034" i="1"/>
  <c r="M3034" i="1" s="1"/>
  <c r="N3034" i="1" s="1"/>
  <c r="L3035" i="1"/>
  <c r="M3035" i="1" s="1"/>
  <c r="N3035" i="1" s="1"/>
  <c r="L3036" i="1"/>
  <c r="M3036" i="1" s="1"/>
  <c r="N3036" i="1" s="1"/>
  <c r="L3037" i="1"/>
  <c r="M3037" i="1" s="1"/>
  <c r="N3037" i="1" s="1"/>
  <c r="L3038" i="1"/>
  <c r="M3038" i="1" s="1"/>
  <c r="N3038" i="1" s="1"/>
  <c r="L3039" i="1"/>
  <c r="M3039" i="1" s="1"/>
  <c r="N3039" i="1" s="1"/>
  <c r="L3040" i="1"/>
  <c r="M3040" i="1" s="1"/>
  <c r="N3040" i="1" s="1"/>
  <c r="L3041" i="1"/>
  <c r="M3041" i="1" s="1"/>
  <c r="N3041" i="1" s="1"/>
  <c r="L3042" i="1"/>
  <c r="M3042" i="1" s="1"/>
  <c r="N3042" i="1" s="1"/>
  <c r="L3043" i="1"/>
  <c r="M3043" i="1" s="1"/>
  <c r="N3043" i="1" s="1"/>
  <c r="L3044" i="1"/>
  <c r="M3044" i="1" s="1"/>
  <c r="N3044" i="1" s="1"/>
  <c r="L3045" i="1"/>
  <c r="M3045" i="1" s="1"/>
  <c r="N3045" i="1" s="1"/>
  <c r="L3046" i="1"/>
  <c r="M3046" i="1" s="1"/>
  <c r="N3046" i="1" s="1"/>
  <c r="L3047" i="1"/>
  <c r="M3047" i="1" s="1"/>
  <c r="N3047" i="1" s="1"/>
  <c r="L3048" i="1"/>
  <c r="M3048" i="1" s="1"/>
  <c r="N3048" i="1" s="1"/>
  <c r="L3049" i="1"/>
  <c r="M3049" i="1" s="1"/>
  <c r="N3049" i="1" s="1"/>
  <c r="L3050" i="1"/>
  <c r="M3050" i="1" s="1"/>
  <c r="N3050" i="1" s="1"/>
  <c r="L3051" i="1"/>
  <c r="M3051" i="1" s="1"/>
  <c r="N3051" i="1" s="1"/>
  <c r="L3052" i="1"/>
  <c r="M3052" i="1" s="1"/>
  <c r="N3052" i="1" s="1"/>
  <c r="L3053" i="1"/>
  <c r="M3053" i="1" s="1"/>
  <c r="N3053" i="1" s="1"/>
  <c r="L3054" i="1"/>
  <c r="M3054" i="1" s="1"/>
  <c r="N3054" i="1" s="1"/>
  <c r="L3055" i="1"/>
  <c r="M3055" i="1" s="1"/>
  <c r="N3055" i="1" s="1"/>
  <c r="L3056" i="1"/>
  <c r="M3056" i="1" s="1"/>
  <c r="N3056" i="1" s="1"/>
  <c r="L3057" i="1"/>
  <c r="M3057" i="1" s="1"/>
  <c r="N3057" i="1" s="1"/>
  <c r="L3058" i="1"/>
  <c r="M3058" i="1" s="1"/>
  <c r="N3058" i="1" s="1"/>
  <c r="L3059" i="1"/>
  <c r="M3059" i="1" s="1"/>
  <c r="N3059" i="1" s="1"/>
  <c r="L3060" i="1"/>
  <c r="M3060" i="1" s="1"/>
  <c r="N3060" i="1" s="1"/>
  <c r="L3061" i="1"/>
  <c r="M3061" i="1" s="1"/>
  <c r="N3061" i="1" s="1"/>
  <c r="L3062" i="1"/>
  <c r="M3062" i="1" s="1"/>
  <c r="N3062" i="1" s="1"/>
  <c r="L3063" i="1"/>
  <c r="M3063" i="1" s="1"/>
  <c r="N3063" i="1" s="1"/>
  <c r="L3064" i="1"/>
  <c r="M3064" i="1" s="1"/>
  <c r="N3064" i="1" s="1"/>
  <c r="L3065" i="1"/>
  <c r="M3065" i="1" s="1"/>
  <c r="N3065" i="1" s="1"/>
  <c r="L3066" i="1"/>
  <c r="M3066" i="1" s="1"/>
  <c r="N3066" i="1" s="1"/>
  <c r="L3067" i="1"/>
  <c r="M3067" i="1" s="1"/>
  <c r="N3067" i="1" s="1"/>
  <c r="L3068" i="1"/>
  <c r="M3068" i="1" s="1"/>
  <c r="N3068" i="1" s="1"/>
  <c r="L3069" i="1"/>
  <c r="M3069" i="1" s="1"/>
  <c r="N3069" i="1" s="1"/>
  <c r="L3070" i="1"/>
  <c r="M3070" i="1" s="1"/>
  <c r="N3070" i="1" s="1"/>
  <c r="L3071" i="1"/>
  <c r="M3071" i="1" s="1"/>
  <c r="N3071" i="1" s="1"/>
  <c r="L3072" i="1"/>
  <c r="M3072" i="1" s="1"/>
  <c r="N3072" i="1" s="1"/>
  <c r="L3073" i="1"/>
  <c r="M3073" i="1" s="1"/>
  <c r="N3073" i="1" s="1"/>
  <c r="L3074" i="1"/>
  <c r="M3074" i="1" s="1"/>
  <c r="N3074" i="1" s="1"/>
  <c r="L3075" i="1"/>
  <c r="M3075" i="1" s="1"/>
  <c r="N3075" i="1" s="1"/>
  <c r="L3076" i="1"/>
  <c r="M3076" i="1" s="1"/>
  <c r="N3076" i="1" s="1"/>
  <c r="L3077" i="1"/>
  <c r="M3077" i="1" s="1"/>
  <c r="N3077" i="1" s="1"/>
  <c r="L3078" i="1"/>
  <c r="M3078" i="1" s="1"/>
  <c r="N3078" i="1" s="1"/>
  <c r="L3079" i="1"/>
  <c r="M3079" i="1" s="1"/>
  <c r="N3079" i="1" s="1"/>
  <c r="L3080" i="1"/>
  <c r="M3080" i="1" s="1"/>
  <c r="N3080" i="1" s="1"/>
  <c r="L3081" i="1"/>
  <c r="M3081" i="1" s="1"/>
  <c r="N3081" i="1" s="1"/>
  <c r="L3082" i="1"/>
  <c r="M3082" i="1" s="1"/>
  <c r="N3082" i="1" s="1"/>
  <c r="L3083" i="1"/>
  <c r="M3083" i="1" s="1"/>
  <c r="N3083" i="1" s="1"/>
  <c r="L3084" i="1"/>
  <c r="M3084" i="1" s="1"/>
  <c r="N3084" i="1" s="1"/>
  <c r="L3085" i="1"/>
  <c r="M3085" i="1" s="1"/>
  <c r="N3085" i="1" s="1"/>
  <c r="L3086" i="1"/>
  <c r="M3086" i="1" s="1"/>
  <c r="N3086" i="1" s="1"/>
  <c r="L3087" i="1"/>
  <c r="M3087" i="1" s="1"/>
  <c r="N3087" i="1" s="1"/>
  <c r="L3088" i="1"/>
  <c r="M3088" i="1" s="1"/>
  <c r="N3088" i="1" s="1"/>
  <c r="L3089" i="1"/>
  <c r="M3089" i="1" s="1"/>
  <c r="N3089" i="1" s="1"/>
  <c r="L3090" i="1"/>
  <c r="M3090" i="1" s="1"/>
  <c r="N3090" i="1" s="1"/>
  <c r="L3091" i="1"/>
  <c r="M3091" i="1" s="1"/>
  <c r="N3091" i="1" s="1"/>
  <c r="L3092" i="1"/>
  <c r="M3092" i="1" s="1"/>
  <c r="N3092" i="1" s="1"/>
  <c r="L3093" i="1"/>
  <c r="M3093" i="1" s="1"/>
  <c r="N3093" i="1" s="1"/>
  <c r="L3094" i="1"/>
  <c r="M3094" i="1" s="1"/>
  <c r="N3094" i="1" s="1"/>
  <c r="L3095" i="1"/>
  <c r="M3095" i="1" s="1"/>
  <c r="N3095" i="1" s="1"/>
  <c r="L3096" i="1"/>
  <c r="M3096" i="1" s="1"/>
  <c r="N3096" i="1" s="1"/>
  <c r="L3097" i="1"/>
  <c r="M3097" i="1" s="1"/>
  <c r="N3097" i="1" s="1"/>
  <c r="L3098" i="1"/>
  <c r="M3098" i="1" s="1"/>
  <c r="N3098" i="1" s="1"/>
  <c r="L3099" i="1"/>
  <c r="M3099" i="1" s="1"/>
  <c r="N3099" i="1" s="1"/>
  <c r="L3100" i="1"/>
  <c r="M3100" i="1" s="1"/>
  <c r="N3100" i="1" s="1"/>
  <c r="L3101" i="1"/>
  <c r="M3101" i="1" s="1"/>
  <c r="N3101" i="1" s="1"/>
  <c r="L3102" i="1"/>
  <c r="M3102" i="1" s="1"/>
  <c r="N3102" i="1" s="1"/>
  <c r="L3103" i="1"/>
  <c r="M3103" i="1" s="1"/>
  <c r="N3103" i="1" s="1"/>
  <c r="L3104" i="1"/>
  <c r="M3104" i="1" s="1"/>
  <c r="N3104" i="1" s="1"/>
  <c r="L3105" i="1"/>
  <c r="M3105" i="1" s="1"/>
  <c r="N3105" i="1" s="1"/>
  <c r="L3106" i="1"/>
  <c r="M3106" i="1" s="1"/>
  <c r="N3106" i="1" s="1"/>
  <c r="L3107" i="1"/>
  <c r="M3107" i="1" s="1"/>
  <c r="N3107" i="1" s="1"/>
  <c r="L3108" i="1"/>
  <c r="M3108" i="1" s="1"/>
  <c r="N3108" i="1" s="1"/>
  <c r="L3109" i="1"/>
  <c r="M3109" i="1" s="1"/>
  <c r="N3109" i="1" s="1"/>
  <c r="L3110" i="1"/>
  <c r="M3110" i="1" s="1"/>
  <c r="N3110" i="1" s="1"/>
  <c r="L3111" i="1"/>
  <c r="M3111" i="1" s="1"/>
  <c r="N3111" i="1" s="1"/>
  <c r="L3112" i="1"/>
  <c r="M3112" i="1" s="1"/>
  <c r="N3112" i="1" s="1"/>
  <c r="L3113" i="1"/>
  <c r="M3113" i="1" s="1"/>
  <c r="N3113" i="1" s="1"/>
  <c r="L3114" i="1"/>
  <c r="M3114" i="1" s="1"/>
  <c r="N3114" i="1" s="1"/>
  <c r="L3115" i="1"/>
  <c r="M3115" i="1" s="1"/>
  <c r="N3115" i="1" s="1"/>
  <c r="L3116" i="1"/>
  <c r="M3116" i="1" s="1"/>
  <c r="N3116" i="1" s="1"/>
  <c r="L3117" i="1"/>
  <c r="M3117" i="1" s="1"/>
  <c r="N3117" i="1" s="1"/>
  <c r="L3118" i="1"/>
  <c r="M3118" i="1" s="1"/>
  <c r="N3118" i="1" s="1"/>
  <c r="L3119" i="1"/>
  <c r="M3119" i="1" s="1"/>
  <c r="N3119" i="1" s="1"/>
  <c r="L3120" i="1"/>
  <c r="M3120" i="1" s="1"/>
  <c r="N3120" i="1" s="1"/>
  <c r="L3121" i="1"/>
  <c r="M3121" i="1" s="1"/>
  <c r="N3121" i="1" s="1"/>
  <c r="L3122" i="1"/>
  <c r="M3122" i="1" s="1"/>
  <c r="N3122" i="1" s="1"/>
  <c r="L3123" i="1"/>
  <c r="M3123" i="1" s="1"/>
  <c r="N3123" i="1" s="1"/>
  <c r="L3124" i="1"/>
  <c r="M3124" i="1" s="1"/>
  <c r="N3124" i="1" s="1"/>
  <c r="L3125" i="1"/>
  <c r="M3125" i="1" s="1"/>
  <c r="N3125" i="1" s="1"/>
  <c r="L3126" i="1"/>
  <c r="M3126" i="1" s="1"/>
  <c r="N3126" i="1" s="1"/>
  <c r="L3127" i="1"/>
  <c r="M3127" i="1" s="1"/>
  <c r="N3127" i="1" s="1"/>
  <c r="L3128" i="1"/>
  <c r="M3128" i="1" s="1"/>
  <c r="N3128" i="1" s="1"/>
  <c r="L3129" i="1"/>
  <c r="M3129" i="1" s="1"/>
  <c r="N3129" i="1" s="1"/>
  <c r="L3130" i="1"/>
  <c r="M3130" i="1" s="1"/>
  <c r="N3130" i="1" s="1"/>
  <c r="L3131" i="1"/>
  <c r="M3131" i="1" s="1"/>
  <c r="N3131" i="1" s="1"/>
  <c r="L3132" i="1"/>
  <c r="M3132" i="1" s="1"/>
  <c r="N3132" i="1" s="1"/>
  <c r="L3133" i="1"/>
  <c r="M3133" i="1" s="1"/>
  <c r="N3133" i="1" s="1"/>
  <c r="L3134" i="1"/>
  <c r="M3134" i="1" s="1"/>
  <c r="N3134" i="1" s="1"/>
  <c r="L3135" i="1"/>
  <c r="M3135" i="1" s="1"/>
  <c r="N3135" i="1" s="1"/>
  <c r="L3136" i="1"/>
  <c r="M3136" i="1" s="1"/>
  <c r="N3136" i="1" s="1"/>
  <c r="L3137" i="1"/>
  <c r="M3137" i="1" s="1"/>
  <c r="N3137" i="1" s="1"/>
  <c r="L3138" i="1"/>
  <c r="M3138" i="1" s="1"/>
  <c r="N3138" i="1" s="1"/>
  <c r="L3139" i="1"/>
  <c r="M3139" i="1" s="1"/>
  <c r="N3139" i="1" s="1"/>
  <c r="L3140" i="1"/>
  <c r="M3140" i="1" s="1"/>
  <c r="N3140" i="1" s="1"/>
  <c r="L3141" i="1"/>
  <c r="M3141" i="1" s="1"/>
  <c r="N3141" i="1" s="1"/>
  <c r="L3142" i="1"/>
  <c r="M3142" i="1" s="1"/>
  <c r="N3142" i="1" s="1"/>
  <c r="L3143" i="1"/>
  <c r="M3143" i="1" s="1"/>
  <c r="N3143" i="1" s="1"/>
  <c r="L3144" i="1"/>
  <c r="M3144" i="1" s="1"/>
  <c r="N3144" i="1" s="1"/>
  <c r="L3145" i="1"/>
  <c r="M3145" i="1" s="1"/>
  <c r="N3145" i="1" s="1"/>
  <c r="L3146" i="1"/>
  <c r="M3146" i="1" s="1"/>
  <c r="N3146" i="1" s="1"/>
  <c r="L3147" i="1"/>
  <c r="M3147" i="1" s="1"/>
  <c r="N3147" i="1" s="1"/>
  <c r="L3148" i="1"/>
  <c r="M3148" i="1" s="1"/>
  <c r="N3148" i="1" s="1"/>
  <c r="L3149" i="1"/>
  <c r="M3149" i="1" s="1"/>
  <c r="N3149" i="1" s="1"/>
  <c r="L3150" i="1"/>
  <c r="M3150" i="1" s="1"/>
  <c r="N3150" i="1" s="1"/>
  <c r="L3151" i="1"/>
  <c r="M3151" i="1" s="1"/>
  <c r="N3151" i="1" s="1"/>
  <c r="L3152" i="1"/>
  <c r="M3152" i="1" s="1"/>
  <c r="N3152" i="1" s="1"/>
  <c r="L3153" i="1"/>
  <c r="M3153" i="1" s="1"/>
  <c r="N3153" i="1" s="1"/>
  <c r="L3154" i="1"/>
  <c r="M3154" i="1" s="1"/>
  <c r="N3154" i="1" s="1"/>
  <c r="L3155" i="1"/>
  <c r="M3155" i="1" s="1"/>
  <c r="N3155" i="1" s="1"/>
  <c r="L3156" i="1"/>
  <c r="M3156" i="1" s="1"/>
  <c r="N3156" i="1" s="1"/>
  <c r="L3157" i="1"/>
  <c r="M3157" i="1" s="1"/>
  <c r="N3157" i="1" s="1"/>
  <c r="L3158" i="1"/>
  <c r="M3158" i="1" s="1"/>
  <c r="N3158" i="1" s="1"/>
  <c r="L3159" i="1"/>
  <c r="M3159" i="1" s="1"/>
  <c r="N3159" i="1" s="1"/>
  <c r="L3160" i="1"/>
  <c r="M3160" i="1" s="1"/>
  <c r="N3160" i="1" s="1"/>
  <c r="L3161" i="1"/>
  <c r="M3161" i="1" s="1"/>
  <c r="N3161" i="1" s="1"/>
  <c r="L3162" i="1"/>
  <c r="M3162" i="1" s="1"/>
  <c r="N3162" i="1" s="1"/>
  <c r="L3163" i="1"/>
  <c r="M3163" i="1" s="1"/>
  <c r="N3163" i="1" s="1"/>
  <c r="L3164" i="1"/>
  <c r="M3164" i="1" s="1"/>
  <c r="N3164" i="1" s="1"/>
  <c r="L3165" i="1"/>
  <c r="M3165" i="1" s="1"/>
  <c r="N3165" i="1" s="1"/>
  <c r="L3166" i="1"/>
  <c r="M3166" i="1" s="1"/>
  <c r="N3166" i="1" s="1"/>
  <c r="L3167" i="1"/>
  <c r="M3167" i="1" s="1"/>
  <c r="N3167" i="1" s="1"/>
  <c r="L3168" i="1"/>
  <c r="M3168" i="1" s="1"/>
  <c r="N3168" i="1" s="1"/>
  <c r="L3169" i="1"/>
  <c r="M3169" i="1" s="1"/>
  <c r="N3169" i="1" s="1"/>
  <c r="L3170" i="1"/>
  <c r="M3170" i="1" s="1"/>
  <c r="N3170" i="1" s="1"/>
  <c r="L3171" i="1"/>
  <c r="M3171" i="1" s="1"/>
  <c r="N3171" i="1" s="1"/>
  <c r="L3172" i="1"/>
  <c r="M3172" i="1" s="1"/>
  <c r="N3172" i="1" s="1"/>
  <c r="L3173" i="1"/>
  <c r="M3173" i="1" s="1"/>
  <c r="N3173" i="1" s="1"/>
  <c r="L3174" i="1"/>
  <c r="M3174" i="1" s="1"/>
  <c r="N3174" i="1" s="1"/>
  <c r="L3175" i="1"/>
  <c r="M3175" i="1" s="1"/>
  <c r="N3175" i="1" s="1"/>
  <c r="L3176" i="1"/>
  <c r="M3176" i="1" s="1"/>
  <c r="N3176" i="1" s="1"/>
  <c r="L3177" i="1"/>
  <c r="M3177" i="1" s="1"/>
  <c r="N3177" i="1" s="1"/>
  <c r="L3178" i="1"/>
  <c r="M3178" i="1" s="1"/>
  <c r="N3178" i="1" s="1"/>
  <c r="L3179" i="1"/>
  <c r="M3179" i="1" s="1"/>
  <c r="N3179" i="1" s="1"/>
  <c r="L3180" i="1"/>
  <c r="M3180" i="1" s="1"/>
  <c r="N3180" i="1" s="1"/>
  <c r="L3181" i="1"/>
  <c r="M3181" i="1" s="1"/>
  <c r="N3181" i="1" s="1"/>
  <c r="L3182" i="1"/>
  <c r="M3182" i="1" s="1"/>
  <c r="N3182" i="1" s="1"/>
  <c r="L3183" i="1"/>
  <c r="M3183" i="1" s="1"/>
  <c r="N3183" i="1" s="1"/>
  <c r="L3184" i="1"/>
  <c r="M3184" i="1" s="1"/>
  <c r="N3184" i="1" s="1"/>
  <c r="L3185" i="1"/>
  <c r="M3185" i="1" s="1"/>
  <c r="N3185" i="1" s="1"/>
  <c r="L3186" i="1"/>
  <c r="M3186" i="1" s="1"/>
  <c r="N3186" i="1" s="1"/>
  <c r="L3187" i="1"/>
  <c r="M3187" i="1" s="1"/>
  <c r="N3187" i="1" s="1"/>
  <c r="L3188" i="1"/>
  <c r="M3188" i="1" s="1"/>
  <c r="N3188" i="1" s="1"/>
  <c r="L3189" i="1"/>
  <c r="M3189" i="1" s="1"/>
  <c r="N3189" i="1" s="1"/>
  <c r="L3190" i="1"/>
  <c r="M3190" i="1" s="1"/>
  <c r="N3190" i="1" s="1"/>
  <c r="L3191" i="1"/>
  <c r="M3191" i="1" s="1"/>
  <c r="N3191" i="1" s="1"/>
  <c r="L3192" i="1"/>
  <c r="M3192" i="1" s="1"/>
  <c r="N3192" i="1" s="1"/>
  <c r="L3193" i="1"/>
  <c r="M3193" i="1" s="1"/>
  <c r="N3193" i="1" s="1"/>
  <c r="L3194" i="1"/>
  <c r="M3194" i="1" s="1"/>
  <c r="N3194" i="1" s="1"/>
  <c r="L3195" i="1"/>
  <c r="M3195" i="1" s="1"/>
  <c r="N3195" i="1" s="1"/>
  <c r="L3196" i="1"/>
  <c r="M3196" i="1" s="1"/>
  <c r="N3196" i="1" s="1"/>
  <c r="L3197" i="1"/>
  <c r="M3197" i="1" s="1"/>
  <c r="N3197" i="1" s="1"/>
  <c r="L3198" i="1"/>
  <c r="M3198" i="1" s="1"/>
  <c r="N3198" i="1" s="1"/>
  <c r="L3199" i="1"/>
  <c r="M3199" i="1" s="1"/>
  <c r="N3199" i="1" s="1"/>
  <c r="L3200" i="1"/>
  <c r="M3200" i="1" s="1"/>
  <c r="N3200" i="1" s="1"/>
  <c r="L3201" i="1"/>
  <c r="M3201" i="1" s="1"/>
  <c r="N3201" i="1" s="1"/>
  <c r="L3202" i="1"/>
  <c r="M3202" i="1" s="1"/>
  <c r="N3202" i="1" s="1"/>
  <c r="L3203" i="1"/>
  <c r="M3203" i="1" s="1"/>
  <c r="N3203" i="1" s="1"/>
  <c r="L3204" i="1"/>
  <c r="M3204" i="1" s="1"/>
  <c r="N3204" i="1" s="1"/>
  <c r="L3205" i="1"/>
  <c r="M3205" i="1" s="1"/>
  <c r="N3205" i="1" s="1"/>
  <c r="L3206" i="1"/>
  <c r="M3206" i="1" s="1"/>
  <c r="N3206" i="1" s="1"/>
  <c r="L3207" i="1"/>
  <c r="M3207" i="1" s="1"/>
  <c r="N3207" i="1" s="1"/>
  <c r="L3208" i="1"/>
  <c r="M3208" i="1" s="1"/>
  <c r="N3208" i="1" s="1"/>
  <c r="L3209" i="1"/>
  <c r="M3209" i="1" s="1"/>
  <c r="N3209" i="1" s="1"/>
  <c r="L3210" i="1"/>
  <c r="M3210" i="1" s="1"/>
  <c r="N3210" i="1" s="1"/>
  <c r="L3211" i="1"/>
  <c r="M3211" i="1" s="1"/>
  <c r="N3211" i="1" s="1"/>
  <c r="L3212" i="1"/>
  <c r="M3212" i="1" s="1"/>
  <c r="N3212" i="1" s="1"/>
  <c r="L3213" i="1"/>
  <c r="M3213" i="1" s="1"/>
  <c r="N3213" i="1" s="1"/>
  <c r="L3214" i="1"/>
  <c r="M3214" i="1" s="1"/>
  <c r="N3214" i="1" s="1"/>
  <c r="L3215" i="1"/>
  <c r="M3215" i="1" s="1"/>
  <c r="N3215" i="1" s="1"/>
  <c r="L3216" i="1"/>
  <c r="M3216" i="1" s="1"/>
  <c r="N3216" i="1" s="1"/>
  <c r="L3217" i="1"/>
  <c r="M3217" i="1" s="1"/>
  <c r="N3217" i="1" s="1"/>
  <c r="L3218" i="1"/>
  <c r="M3218" i="1" s="1"/>
  <c r="N3218" i="1" s="1"/>
  <c r="L3219" i="1"/>
  <c r="M3219" i="1" s="1"/>
  <c r="N3219" i="1" s="1"/>
  <c r="L3220" i="1"/>
  <c r="M3220" i="1" s="1"/>
  <c r="N3220" i="1" s="1"/>
  <c r="L3221" i="1"/>
  <c r="M3221" i="1" s="1"/>
  <c r="N3221" i="1" s="1"/>
  <c r="L3222" i="1"/>
  <c r="M3222" i="1" s="1"/>
  <c r="N3222" i="1" s="1"/>
  <c r="L3223" i="1"/>
  <c r="M3223" i="1" s="1"/>
  <c r="N3223" i="1" s="1"/>
  <c r="L3224" i="1"/>
  <c r="M3224" i="1" s="1"/>
  <c r="N3224" i="1" s="1"/>
  <c r="L3225" i="1"/>
  <c r="M3225" i="1" s="1"/>
  <c r="N3225" i="1" s="1"/>
  <c r="L3226" i="1"/>
  <c r="M3226" i="1" s="1"/>
  <c r="N3226" i="1" s="1"/>
  <c r="L3227" i="1"/>
  <c r="M3227" i="1" s="1"/>
  <c r="N3227" i="1" s="1"/>
  <c r="L3228" i="1"/>
  <c r="M3228" i="1" s="1"/>
  <c r="N3228" i="1" s="1"/>
  <c r="L3229" i="1"/>
  <c r="M3229" i="1" s="1"/>
  <c r="N3229" i="1" s="1"/>
  <c r="L3230" i="1"/>
  <c r="M3230" i="1" s="1"/>
  <c r="N3230" i="1" s="1"/>
  <c r="L3231" i="1"/>
  <c r="M3231" i="1" s="1"/>
  <c r="N3231" i="1" s="1"/>
  <c r="L3232" i="1"/>
  <c r="M3232" i="1" s="1"/>
  <c r="N3232" i="1" s="1"/>
  <c r="L3233" i="1"/>
  <c r="M3233" i="1" s="1"/>
  <c r="N3233" i="1" s="1"/>
  <c r="L3234" i="1"/>
  <c r="M3234" i="1" s="1"/>
  <c r="N3234" i="1" s="1"/>
  <c r="L3235" i="1"/>
  <c r="M3235" i="1" s="1"/>
  <c r="N3235" i="1" s="1"/>
  <c r="L3236" i="1"/>
  <c r="M3236" i="1" s="1"/>
  <c r="N3236" i="1" s="1"/>
  <c r="L3237" i="1"/>
  <c r="M3237" i="1" s="1"/>
  <c r="N3237" i="1" s="1"/>
  <c r="L3238" i="1"/>
  <c r="M3238" i="1" s="1"/>
  <c r="N3238" i="1" s="1"/>
  <c r="L3239" i="1"/>
  <c r="M3239" i="1" s="1"/>
  <c r="N3239" i="1" s="1"/>
  <c r="L3240" i="1"/>
  <c r="M3240" i="1" s="1"/>
  <c r="N3240" i="1" s="1"/>
  <c r="L3241" i="1"/>
  <c r="M3241" i="1" s="1"/>
  <c r="N3241" i="1" s="1"/>
  <c r="L3242" i="1"/>
  <c r="M3242" i="1" s="1"/>
  <c r="N3242" i="1" s="1"/>
  <c r="L3243" i="1"/>
  <c r="M3243" i="1" s="1"/>
  <c r="N3243" i="1" s="1"/>
  <c r="L3244" i="1"/>
  <c r="M3244" i="1" s="1"/>
  <c r="N3244" i="1" s="1"/>
  <c r="L3245" i="1"/>
  <c r="M3245" i="1" s="1"/>
  <c r="N3245" i="1" s="1"/>
  <c r="L3246" i="1"/>
  <c r="M3246" i="1" s="1"/>
  <c r="N3246" i="1" s="1"/>
  <c r="L3247" i="1"/>
  <c r="M3247" i="1" s="1"/>
  <c r="N3247" i="1" s="1"/>
  <c r="L3248" i="1"/>
  <c r="M3248" i="1" s="1"/>
  <c r="N3248" i="1" s="1"/>
  <c r="L3249" i="1"/>
  <c r="M3249" i="1" s="1"/>
  <c r="N3249" i="1" s="1"/>
  <c r="L3250" i="1"/>
  <c r="M3250" i="1" s="1"/>
  <c r="N3250" i="1" s="1"/>
  <c r="L3251" i="1"/>
  <c r="M3251" i="1" s="1"/>
  <c r="N3251" i="1" s="1"/>
  <c r="L3252" i="1"/>
  <c r="M3252" i="1" s="1"/>
  <c r="N3252" i="1" s="1"/>
  <c r="L3253" i="1"/>
  <c r="M3253" i="1" s="1"/>
  <c r="N3253" i="1" s="1"/>
  <c r="L3254" i="1"/>
  <c r="M3254" i="1" s="1"/>
  <c r="N3254" i="1" s="1"/>
  <c r="L3255" i="1"/>
  <c r="M3255" i="1" s="1"/>
  <c r="N3255" i="1" s="1"/>
  <c r="L3256" i="1"/>
  <c r="M3256" i="1" s="1"/>
  <c r="N3256" i="1" s="1"/>
  <c r="L3257" i="1"/>
  <c r="M3257" i="1" s="1"/>
  <c r="N3257" i="1" s="1"/>
  <c r="L3258" i="1"/>
  <c r="M3258" i="1" s="1"/>
  <c r="N3258" i="1" s="1"/>
  <c r="L3259" i="1"/>
  <c r="M3259" i="1" s="1"/>
  <c r="N3259" i="1" s="1"/>
  <c r="L3260" i="1"/>
  <c r="M3260" i="1" s="1"/>
  <c r="N3260" i="1" s="1"/>
  <c r="L3261" i="1"/>
  <c r="M3261" i="1" s="1"/>
  <c r="N3261" i="1" s="1"/>
  <c r="L3262" i="1"/>
  <c r="M3262" i="1" s="1"/>
  <c r="N3262" i="1" s="1"/>
  <c r="L3263" i="1"/>
  <c r="M3263" i="1" s="1"/>
  <c r="N3263" i="1" s="1"/>
  <c r="L3264" i="1"/>
  <c r="M3264" i="1" s="1"/>
  <c r="N3264" i="1" s="1"/>
  <c r="L3265" i="1"/>
  <c r="M3265" i="1" s="1"/>
  <c r="N3265" i="1" s="1"/>
  <c r="L3266" i="1"/>
  <c r="M3266" i="1" s="1"/>
  <c r="N3266" i="1" s="1"/>
  <c r="L3267" i="1"/>
  <c r="M3267" i="1" s="1"/>
  <c r="N3267" i="1" s="1"/>
  <c r="L3268" i="1"/>
  <c r="M3268" i="1" s="1"/>
  <c r="N3268" i="1" s="1"/>
  <c r="L3269" i="1"/>
  <c r="M3269" i="1" s="1"/>
  <c r="N3269" i="1" s="1"/>
  <c r="L3270" i="1"/>
  <c r="M3270" i="1" s="1"/>
  <c r="N3270" i="1" s="1"/>
  <c r="L3271" i="1"/>
  <c r="M3271" i="1" s="1"/>
  <c r="N3271" i="1" s="1"/>
  <c r="L3272" i="1"/>
  <c r="M3272" i="1" s="1"/>
  <c r="N3272" i="1" s="1"/>
  <c r="L3273" i="1"/>
  <c r="M3273" i="1" s="1"/>
  <c r="N3273" i="1" s="1"/>
  <c r="L3274" i="1"/>
  <c r="M3274" i="1" s="1"/>
  <c r="N3274" i="1" s="1"/>
  <c r="L3275" i="1"/>
  <c r="M3275" i="1" s="1"/>
  <c r="N3275" i="1" s="1"/>
  <c r="L3276" i="1"/>
  <c r="M3276" i="1" s="1"/>
  <c r="N3276" i="1" s="1"/>
  <c r="L3277" i="1"/>
  <c r="M3277" i="1" s="1"/>
  <c r="N3277" i="1" s="1"/>
  <c r="L3278" i="1"/>
  <c r="M3278" i="1" s="1"/>
  <c r="N3278" i="1" s="1"/>
  <c r="L3279" i="1"/>
  <c r="M3279" i="1" s="1"/>
  <c r="N3279" i="1" s="1"/>
  <c r="L3280" i="1"/>
  <c r="M3280" i="1" s="1"/>
  <c r="N3280" i="1" s="1"/>
  <c r="L3281" i="1"/>
  <c r="M3281" i="1" s="1"/>
  <c r="N3281" i="1" s="1"/>
  <c r="L3282" i="1"/>
  <c r="M3282" i="1" s="1"/>
  <c r="N3282" i="1" s="1"/>
  <c r="L3283" i="1"/>
  <c r="M3283" i="1" s="1"/>
  <c r="N3283" i="1" s="1"/>
  <c r="L3284" i="1"/>
  <c r="M3284" i="1" s="1"/>
  <c r="N3284" i="1" s="1"/>
  <c r="L3285" i="1"/>
  <c r="M3285" i="1" s="1"/>
  <c r="N3285" i="1" s="1"/>
  <c r="L3286" i="1"/>
  <c r="M3286" i="1" s="1"/>
  <c r="N3286" i="1" s="1"/>
  <c r="L3287" i="1"/>
  <c r="M3287" i="1" s="1"/>
  <c r="N3287" i="1" s="1"/>
  <c r="L3288" i="1"/>
  <c r="M3288" i="1" s="1"/>
  <c r="N3288" i="1" s="1"/>
  <c r="L3289" i="1"/>
  <c r="M3289" i="1" s="1"/>
  <c r="N3289" i="1" s="1"/>
  <c r="L3290" i="1"/>
  <c r="M3290" i="1" s="1"/>
  <c r="N3290" i="1" s="1"/>
  <c r="L3291" i="1"/>
  <c r="M3291" i="1" s="1"/>
  <c r="N3291" i="1" s="1"/>
  <c r="L3292" i="1"/>
  <c r="M3292" i="1" s="1"/>
  <c r="N3292" i="1" s="1"/>
  <c r="L3293" i="1"/>
  <c r="M3293" i="1" s="1"/>
  <c r="N3293" i="1" s="1"/>
  <c r="L3294" i="1"/>
  <c r="M3294" i="1" s="1"/>
  <c r="N3294" i="1" s="1"/>
  <c r="L3295" i="1"/>
  <c r="M3295" i="1" s="1"/>
  <c r="N3295" i="1" s="1"/>
  <c r="L3296" i="1"/>
  <c r="M3296" i="1" s="1"/>
  <c r="N3296" i="1" s="1"/>
  <c r="L3297" i="1"/>
  <c r="M3297" i="1" s="1"/>
  <c r="N3297" i="1" s="1"/>
  <c r="L3298" i="1"/>
  <c r="M3298" i="1" s="1"/>
  <c r="N3298" i="1" s="1"/>
  <c r="L3299" i="1"/>
  <c r="M3299" i="1" s="1"/>
  <c r="N3299" i="1" s="1"/>
  <c r="L3300" i="1"/>
  <c r="M3300" i="1" s="1"/>
  <c r="N3300" i="1" s="1"/>
  <c r="L3301" i="1"/>
  <c r="M3301" i="1" s="1"/>
  <c r="N3301" i="1" s="1"/>
  <c r="L3302" i="1"/>
  <c r="M3302" i="1" s="1"/>
  <c r="N3302" i="1" s="1"/>
  <c r="L3303" i="1"/>
  <c r="M3303" i="1" s="1"/>
  <c r="N3303" i="1" s="1"/>
  <c r="L3304" i="1"/>
  <c r="M3304" i="1" s="1"/>
  <c r="N3304" i="1" s="1"/>
  <c r="L3305" i="1"/>
  <c r="M3305" i="1" s="1"/>
  <c r="N3305" i="1" s="1"/>
  <c r="L3306" i="1"/>
  <c r="M3306" i="1" s="1"/>
  <c r="N3306" i="1" s="1"/>
  <c r="L3307" i="1"/>
  <c r="M3307" i="1" s="1"/>
  <c r="N3307" i="1" s="1"/>
  <c r="L3308" i="1"/>
  <c r="M3308" i="1" s="1"/>
  <c r="N3308" i="1" s="1"/>
  <c r="L3309" i="1"/>
  <c r="M3309" i="1" s="1"/>
  <c r="N3309" i="1" s="1"/>
  <c r="L3310" i="1"/>
  <c r="M3310" i="1" s="1"/>
  <c r="N3310" i="1" s="1"/>
  <c r="L3311" i="1"/>
  <c r="M3311" i="1" s="1"/>
  <c r="N3311" i="1" s="1"/>
  <c r="L3312" i="1"/>
  <c r="M3312" i="1" s="1"/>
  <c r="N3312" i="1" s="1"/>
  <c r="L3313" i="1"/>
  <c r="M3313" i="1" s="1"/>
  <c r="N3313" i="1" s="1"/>
  <c r="L3314" i="1"/>
  <c r="M3314" i="1" s="1"/>
  <c r="N3314" i="1" s="1"/>
  <c r="L3315" i="1"/>
  <c r="M3315" i="1" s="1"/>
  <c r="N3315" i="1" s="1"/>
  <c r="L3316" i="1"/>
  <c r="M3316" i="1" s="1"/>
  <c r="N3316" i="1" s="1"/>
  <c r="L3317" i="1"/>
  <c r="M3317" i="1" s="1"/>
  <c r="N3317" i="1" s="1"/>
  <c r="L3318" i="1"/>
  <c r="M3318" i="1" s="1"/>
  <c r="N3318" i="1" s="1"/>
  <c r="L3319" i="1"/>
  <c r="M3319" i="1" s="1"/>
  <c r="N3319" i="1" s="1"/>
  <c r="L3320" i="1"/>
  <c r="M3320" i="1" s="1"/>
  <c r="N3320" i="1" s="1"/>
  <c r="L3321" i="1"/>
  <c r="M3321" i="1" s="1"/>
  <c r="N3321" i="1" s="1"/>
  <c r="L3322" i="1"/>
  <c r="M3322" i="1" s="1"/>
  <c r="N3322" i="1" s="1"/>
  <c r="L3323" i="1"/>
  <c r="M3323" i="1" s="1"/>
  <c r="N3323" i="1" s="1"/>
  <c r="L3324" i="1"/>
  <c r="M3324" i="1" s="1"/>
  <c r="N3324" i="1" s="1"/>
  <c r="L3325" i="1"/>
  <c r="M3325" i="1" s="1"/>
  <c r="N3325" i="1" s="1"/>
  <c r="L3326" i="1"/>
  <c r="M3326" i="1" s="1"/>
  <c r="N3326" i="1" s="1"/>
  <c r="L3327" i="1"/>
  <c r="M3327" i="1" s="1"/>
  <c r="N3327" i="1" s="1"/>
  <c r="L3328" i="1"/>
  <c r="M3328" i="1" s="1"/>
  <c r="N3328" i="1" s="1"/>
  <c r="L3329" i="1"/>
  <c r="M3329" i="1" s="1"/>
  <c r="N3329" i="1" s="1"/>
  <c r="L3330" i="1"/>
  <c r="M3330" i="1" s="1"/>
  <c r="N3330" i="1" s="1"/>
  <c r="L3331" i="1"/>
  <c r="M3331" i="1" s="1"/>
  <c r="N3331" i="1" s="1"/>
  <c r="L3332" i="1"/>
  <c r="M3332" i="1" s="1"/>
  <c r="N3332" i="1" s="1"/>
  <c r="L3333" i="1"/>
  <c r="M3333" i="1" s="1"/>
  <c r="N3333" i="1" s="1"/>
  <c r="L3334" i="1"/>
  <c r="M3334" i="1" s="1"/>
  <c r="N3334" i="1" s="1"/>
  <c r="L3335" i="1"/>
  <c r="M3335" i="1" s="1"/>
  <c r="N3335" i="1" s="1"/>
  <c r="L3336" i="1"/>
  <c r="M3336" i="1" s="1"/>
  <c r="N3336" i="1" s="1"/>
  <c r="L3337" i="1"/>
  <c r="M3337" i="1" s="1"/>
  <c r="N3337" i="1" s="1"/>
  <c r="L3338" i="1"/>
  <c r="M3338" i="1" s="1"/>
  <c r="N3338" i="1" s="1"/>
  <c r="L3339" i="1"/>
  <c r="M3339" i="1" s="1"/>
  <c r="N3339" i="1" s="1"/>
  <c r="L3340" i="1"/>
  <c r="M3340" i="1" s="1"/>
  <c r="N3340" i="1" s="1"/>
  <c r="L3341" i="1"/>
  <c r="M3341" i="1" s="1"/>
  <c r="N3341" i="1" s="1"/>
  <c r="L3342" i="1"/>
  <c r="M3342" i="1" s="1"/>
  <c r="N3342" i="1" s="1"/>
  <c r="L3343" i="1"/>
  <c r="M3343" i="1" s="1"/>
  <c r="N3343" i="1" s="1"/>
  <c r="L3344" i="1"/>
  <c r="M3344" i="1" s="1"/>
  <c r="N3344" i="1" s="1"/>
  <c r="L3345" i="1"/>
  <c r="M3345" i="1" s="1"/>
  <c r="N3345" i="1" s="1"/>
  <c r="L3346" i="1"/>
  <c r="M3346" i="1" s="1"/>
  <c r="N3346" i="1" s="1"/>
  <c r="L3347" i="1"/>
  <c r="M3347" i="1" s="1"/>
  <c r="N3347" i="1" s="1"/>
  <c r="L3348" i="1"/>
  <c r="M3348" i="1" s="1"/>
  <c r="N3348" i="1" s="1"/>
  <c r="L3349" i="1"/>
  <c r="M3349" i="1" s="1"/>
  <c r="N3349" i="1" s="1"/>
  <c r="L3350" i="1"/>
  <c r="M3350" i="1" s="1"/>
  <c r="N3350" i="1" s="1"/>
  <c r="L3351" i="1"/>
  <c r="M3351" i="1" s="1"/>
  <c r="N3351" i="1" s="1"/>
  <c r="L3352" i="1"/>
  <c r="M3352" i="1" s="1"/>
  <c r="N3352" i="1" s="1"/>
  <c r="L3353" i="1"/>
  <c r="M3353" i="1" s="1"/>
  <c r="N3353" i="1" s="1"/>
  <c r="L3354" i="1"/>
  <c r="M3354" i="1" s="1"/>
  <c r="N3354" i="1" s="1"/>
  <c r="L3355" i="1"/>
  <c r="M3355" i="1" s="1"/>
  <c r="N3355" i="1" s="1"/>
  <c r="L3356" i="1"/>
  <c r="M3356" i="1" s="1"/>
  <c r="N3356" i="1" s="1"/>
  <c r="L3357" i="1"/>
  <c r="M3357" i="1" s="1"/>
  <c r="N3357" i="1" s="1"/>
  <c r="L3358" i="1"/>
  <c r="M3358" i="1" s="1"/>
  <c r="N3358" i="1" s="1"/>
  <c r="L3359" i="1"/>
  <c r="M3359" i="1" s="1"/>
  <c r="N3359" i="1" s="1"/>
  <c r="L3360" i="1"/>
  <c r="M3360" i="1" s="1"/>
  <c r="N3360" i="1" s="1"/>
  <c r="L3361" i="1"/>
  <c r="M3361" i="1" s="1"/>
  <c r="N3361" i="1" s="1"/>
  <c r="L3362" i="1"/>
  <c r="M3362" i="1" s="1"/>
  <c r="N3362" i="1" s="1"/>
  <c r="L3363" i="1"/>
  <c r="M3363" i="1" s="1"/>
  <c r="N3363" i="1" s="1"/>
  <c r="L3364" i="1"/>
  <c r="M3364" i="1" s="1"/>
  <c r="N3364" i="1" s="1"/>
  <c r="L3365" i="1"/>
  <c r="M3365" i="1" s="1"/>
  <c r="N3365" i="1" s="1"/>
  <c r="L3366" i="1"/>
  <c r="M3366" i="1" s="1"/>
  <c r="N3366" i="1" s="1"/>
  <c r="L3367" i="1"/>
  <c r="M3367" i="1" s="1"/>
  <c r="N3367" i="1" s="1"/>
  <c r="L3368" i="1"/>
  <c r="M3368" i="1" s="1"/>
  <c r="N3368" i="1" s="1"/>
  <c r="L3369" i="1"/>
  <c r="M3369" i="1" s="1"/>
  <c r="N3369" i="1" s="1"/>
  <c r="L3370" i="1"/>
  <c r="M3370" i="1" s="1"/>
  <c r="N3370" i="1" s="1"/>
  <c r="L3371" i="1"/>
  <c r="M3371" i="1" s="1"/>
  <c r="N3371" i="1" s="1"/>
  <c r="L3372" i="1"/>
  <c r="M3372" i="1" s="1"/>
  <c r="N3372" i="1" s="1"/>
  <c r="L3373" i="1"/>
  <c r="M3373" i="1" s="1"/>
  <c r="N3373" i="1" s="1"/>
  <c r="L3374" i="1"/>
  <c r="M3374" i="1" s="1"/>
  <c r="N3374" i="1" s="1"/>
  <c r="L3375" i="1"/>
  <c r="M3375" i="1" s="1"/>
  <c r="N3375" i="1" s="1"/>
  <c r="L3376" i="1"/>
  <c r="M3376" i="1" s="1"/>
  <c r="N3376" i="1" s="1"/>
  <c r="L3377" i="1"/>
  <c r="M3377" i="1" s="1"/>
  <c r="N3377" i="1" s="1"/>
  <c r="L3378" i="1"/>
  <c r="M3378" i="1" s="1"/>
  <c r="N3378" i="1" s="1"/>
  <c r="L3379" i="1"/>
  <c r="M3379" i="1" s="1"/>
  <c r="N3379" i="1" s="1"/>
  <c r="L3380" i="1"/>
  <c r="M3380" i="1" s="1"/>
  <c r="N3380" i="1" s="1"/>
  <c r="L3381" i="1"/>
  <c r="M3381" i="1" s="1"/>
  <c r="N3381" i="1" s="1"/>
  <c r="L3382" i="1"/>
  <c r="M3382" i="1" s="1"/>
  <c r="N3382" i="1" s="1"/>
  <c r="L3383" i="1"/>
  <c r="M3383" i="1" s="1"/>
  <c r="N3383" i="1" s="1"/>
  <c r="L3384" i="1"/>
  <c r="M3384" i="1" s="1"/>
  <c r="N3384" i="1" s="1"/>
  <c r="L3385" i="1"/>
  <c r="M3385" i="1" s="1"/>
  <c r="N3385" i="1" s="1"/>
  <c r="L3386" i="1"/>
  <c r="M3386" i="1" s="1"/>
  <c r="N3386" i="1" s="1"/>
  <c r="L3387" i="1"/>
  <c r="M3387" i="1" s="1"/>
  <c r="N3387" i="1" s="1"/>
  <c r="L3388" i="1"/>
  <c r="M3388" i="1" s="1"/>
  <c r="N3388" i="1" s="1"/>
  <c r="L3389" i="1"/>
  <c r="M3389" i="1" s="1"/>
  <c r="N3389" i="1" s="1"/>
  <c r="L3390" i="1"/>
  <c r="M3390" i="1" s="1"/>
  <c r="N3390" i="1" s="1"/>
  <c r="L3391" i="1"/>
  <c r="M3391" i="1" s="1"/>
  <c r="N3391" i="1" s="1"/>
  <c r="L3392" i="1"/>
  <c r="M3392" i="1" s="1"/>
  <c r="N3392" i="1" s="1"/>
  <c r="L3393" i="1"/>
  <c r="M3393" i="1" s="1"/>
  <c r="N3393" i="1" s="1"/>
  <c r="L3394" i="1"/>
  <c r="M3394" i="1" s="1"/>
  <c r="N3394" i="1" s="1"/>
  <c r="L3395" i="1"/>
  <c r="M3395" i="1" s="1"/>
  <c r="N3395" i="1" s="1"/>
  <c r="L3396" i="1"/>
  <c r="M3396" i="1" s="1"/>
  <c r="N3396" i="1" s="1"/>
  <c r="L3397" i="1"/>
  <c r="M3397" i="1" s="1"/>
  <c r="N3397" i="1" s="1"/>
  <c r="L3398" i="1"/>
  <c r="M3398" i="1" s="1"/>
  <c r="N3398" i="1" s="1"/>
  <c r="L3399" i="1"/>
  <c r="M3399" i="1" s="1"/>
  <c r="N3399" i="1" s="1"/>
  <c r="L3400" i="1"/>
  <c r="M3400" i="1" s="1"/>
  <c r="N3400" i="1" s="1"/>
  <c r="L3401" i="1"/>
  <c r="M3401" i="1" s="1"/>
  <c r="N3401" i="1" s="1"/>
  <c r="L3402" i="1"/>
  <c r="M3402" i="1" s="1"/>
  <c r="N3402" i="1" s="1"/>
  <c r="L3403" i="1"/>
  <c r="M3403" i="1" s="1"/>
  <c r="N3403" i="1" s="1"/>
  <c r="L3404" i="1"/>
  <c r="M3404" i="1" s="1"/>
  <c r="N3404" i="1" s="1"/>
  <c r="L3405" i="1"/>
  <c r="M3405" i="1" s="1"/>
  <c r="N3405" i="1" s="1"/>
  <c r="L3406" i="1"/>
  <c r="M3406" i="1" s="1"/>
  <c r="N3406" i="1" s="1"/>
  <c r="L3407" i="1"/>
  <c r="M3407" i="1" s="1"/>
  <c r="N3407" i="1" s="1"/>
  <c r="L3408" i="1"/>
  <c r="M3408" i="1" s="1"/>
  <c r="N3408" i="1" s="1"/>
  <c r="L3409" i="1"/>
  <c r="M3409" i="1" s="1"/>
  <c r="N3409" i="1" s="1"/>
  <c r="L3410" i="1"/>
  <c r="M3410" i="1" s="1"/>
  <c r="N3410" i="1" s="1"/>
  <c r="L3411" i="1"/>
  <c r="M3411" i="1" s="1"/>
  <c r="N3411" i="1" s="1"/>
  <c r="L3412" i="1"/>
  <c r="M3412" i="1" s="1"/>
  <c r="N3412" i="1" s="1"/>
  <c r="L3413" i="1"/>
  <c r="M3413" i="1" s="1"/>
  <c r="N3413" i="1" s="1"/>
  <c r="L3414" i="1"/>
  <c r="M3414" i="1" s="1"/>
  <c r="N3414" i="1" s="1"/>
  <c r="L3415" i="1"/>
  <c r="M3415" i="1" s="1"/>
  <c r="N3415" i="1" s="1"/>
  <c r="L3416" i="1"/>
  <c r="M3416" i="1" s="1"/>
  <c r="N3416" i="1" s="1"/>
  <c r="L3417" i="1"/>
  <c r="M3417" i="1" s="1"/>
  <c r="N3417" i="1" s="1"/>
  <c r="L3418" i="1"/>
  <c r="M3418" i="1" s="1"/>
  <c r="N3418" i="1" s="1"/>
  <c r="L3419" i="1"/>
  <c r="M3419" i="1" s="1"/>
  <c r="N3419" i="1" s="1"/>
  <c r="L3420" i="1"/>
  <c r="M3420" i="1" s="1"/>
  <c r="N3420" i="1" s="1"/>
  <c r="L3421" i="1"/>
  <c r="M3421" i="1" s="1"/>
  <c r="N3421" i="1" s="1"/>
  <c r="L3422" i="1"/>
  <c r="M3422" i="1" s="1"/>
  <c r="N3422" i="1" s="1"/>
  <c r="L3423" i="1"/>
  <c r="M3423" i="1" s="1"/>
  <c r="N3423" i="1" s="1"/>
  <c r="L3424" i="1"/>
  <c r="M3424" i="1" s="1"/>
  <c r="N3424" i="1" s="1"/>
  <c r="L3425" i="1"/>
  <c r="M3425" i="1" s="1"/>
  <c r="N3425" i="1" s="1"/>
  <c r="L3426" i="1"/>
  <c r="M3426" i="1" s="1"/>
  <c r="N3426" i="1" s="1"/>
  <c r="L3427" i="1"/>
  <c r="M3427" i="1" s="1"/>
  <c r="N3427" i="1" s="1"/>
  <c r="L3428" i="1"/>
  <c r="M3428" i="1" s="1"/>
  <c r="N3428" i="1" s="1"/>
  <c r="L3429" i="1"/>
  <c r="M3429" i="1" s="1"/>
  <c r="N3429" i="1" s="1"/>
  <c r="L3430" i="1"/>
  <c r="M3430" i="1" s="1"/>
  <c r="N3430" i="1" s="1"/>
  <c r="L3431" i="1"/>
  <c r="M3431" i="1" s="1"/>
  <c r="N3431" i="1" s="1"/>
  <c r="L3432" i="1"/>
  <c r="M3432" i="1" s="1"/>
  <c r="N3432" i="1" s="1"/>
  <c r="L3433" i="1"/>
  <c r="M3433" i="1" s="1"/>
  <c r="N3433" i="1" s="1"/>
  <c r="L3434" i="1"/>
  <c r="M3434" i="1" s="1"/>
  <c r="N3434" i="1" s="1"/>
  <c r="L3435" i="1"/>
  <c r="M3435" i="1" s="1"/>
  <c r="N3435" i="1" s="1"/>
  <c r="L3436" i="1"/>
  <c r="M3436" i="1" s="1"/>
  <c r="N3436" i="1" s="1"/>
  <c r="L3437" i="1"/>
  <c r="M3437" i="1" s="1"/>
  <c r="N3437" i="1" s="1"/>
  <c r="L3438" i="1"/>
  <c r="M3438" i="1" s="1"/>
  <c r="N3438" i="1" s="1"/>
  <c r="L3439" i="1"/>
  <c r="M3439" i="1" s="1"/>
  <c r="N3439" i="1" s="1"/>
  <c r="L3440" i="1"/>
  <c r="M3440" i="1" s="1"/>
  <c r="N3440" i="1" s="1"/>
  <c r="L3441" i="1"/>
  <c r="M3441" i="1" s="1"/>
  <c r="N3441" i="1" s="1"/>
  <c r="L3442" i="1"/>
  <c r="M3442" i="1" s="1"/>
  <c r="N3442" i="1" s="1"/>
  <c r="L3443" i="1"/>
  <c r="M3443" i="1" s="1"/>
  <c r="N3443" i="1" s="1"/>
  <c r="L3444" i="1"/>
  <c r="M3444" i="1" s="1"/>
  <c r="N3444" i="1" s="1"/>
  <c r="L3445" i="1"/>
  <c r="M3445" i="1" s="1"/>
  <c r="N3445" i="1" s="1"/>
  <c r="L3446" i="1"/>
  <c r="M3446" i="1" s="1"/>
  <c r="N3446" i="1" s="1"/>
  <c r="L3447" i="1"/>
  <c r="M3447" i="1" s="1"/>
  <c r="N3447" i="1" s="1"/>
  <c r="L3448" i="1"/>
  <c r="M3448" i="1" s="1"/>
  <c r="N3448" i="1" s="1"/>
  <c r="L3449" i="1"/>
  <c r="M3449" i="1" s="1"/>
  <c r="N3449" i="1" s="1"/>
  <c r="L3450" i="1"/>
  <c r="M3450" i="1" s="1"/>
  <c r="N3450" i="1" s="1"/>
  <c r="L3451" i="1"/>
  <c r="M3451" i="1" s="1"/>
  <c r="N3451" i="1" s="1"/>
  <c r="L3452" i="1"/>
  <c r="M3452" i="1" s="1"/>
  <c r="N3452" i="1" s="1"/>
  <c r="L3453" i="1"/>
  <c r="M3453" i="1" s="1"/>
  <c r="N3453" i="1" s="1"/>
  <c r="L3454" i="1"/>
  <c r="M3454" i="1" s="1"/>
  <c r="N3454" i="1" s="1"/>
  <c r="L3455" i="1"/>
  <c r="M3455" i="1" s="1"/>
  <c r="N3455" i="1" s="1"/>
  <c r="L3456" i="1"/>
  <c r="M3456" i="1" s="1"/>
  <c r="N3456" i="1" s="1"/>
  <c r="L3457" i="1"/>
  <c r="M3457" i="1" s="1"/>
  <c r="N3457" i="1" s="1"/>
  <c r="L3458" i="1"/>
  <c r="M3458" i="1" s="1"/>
  <c r="N3458" i="1" s="1"/>
  <c r="L3459" i="1"/>
  <c r="M3459" i="1" s="1"/>
  <c r="N3459" i="1" s="1"/>
  <c r="L3460" i="1"/>
  <c r="M3460" i="1" s="1"/>
  <c r="N3460" i="1" s="1"/>
  <c r="L3461" i="1"/>
  <c r="M3461" i="1" s="1"/>
  <c r="N3461" i="1" s="1"/>
  <c r="L3462" i="1"/>
  <c r="M3462" i="1" s="1"/>
  <c r="N3462" i="1" s="1"/>
  <c r="L3463" i="1"/>
  <c r="M3463" i="1" s="1"/>
  <c r="N3463" i="1" s="1"/>
  <c r="L3464" i="1"/>
  <c r="M3464" i="1" s="1"/>
  <c r="N3464" i="1" s="1"/>
  <c r="L3465" i="1"/>
  <c r="M3465" i="1" s="1"/>
  <c r="N3465" i="1" s="1"/>
  <c r="L3466" i="1"/>
  <c r="M3466" i="1" s="1"/>
  <c r="N3466" i="1" s="1"/>
  <c r="L3467" i="1"/>
  <c r="M3467" i="1" s="1"/>
  <c r="N3467" i="1" s="1"/>
  <c r="L3468" i="1"/>
  <c r="M3468" i="1" s="1"/>
  <c r="N3468" i="1" s="1"/>
  <c r="L3469" i="1"/>
  <c r="M3469" i="1" s="1"/>
  <c r="N3469" i="1" s="1"/>
  <c r="L3470" i="1"/>
  <c r="M3470" i="1" s="1"/>
  <c r="N3470" i="1" s="1"/>
  <c r="L3471" i="1"/>
  <c r="M3471" i="1" s="1"/>
  <c r="N3471" i="1" s="1"/>
  <c r="L3472" i="1"/>
  <c r="M3472" i="1" s="1"/>
  <c r="N3472" i="1" s="1"/>
  <c r="L3473" i="1"/>
  <c r="M3473" i="1" s="1"/>
  <c r="N3473" i="1" s="1"/>
  <c r="L3474" i="1"/>
  <c r="M3474" i="1" s="1"/>
  <c r="N3474" i="1" s="1"/>
  <c r="L3475" i="1"/>
  <c r="M3475" i="1" s="1"/>
  <c r="N3475" i="1" s="1"/>
  <c r="L3476" i="1"/>
  <c r="M3476" i="1" s="1"/>
  <c r="N3476" i="1" s="1"/>
  <c r="L3477" i="1"/>
  <c r="M3477" i="1" s="1"/>
  <c r="N3477" i="1" s="1"/>
  <c r="L3478" i="1"/>
  <c r="M3478" i="1" s="1"/>
  <c r="N3478" i="1" s="1"/>
  <c r="L3479" i="1"/>
  <c r="M3479" i="1" s="1"/>
  <c r="N3479" i="1" s="1"/>
  <c r="L3480" i="1"/>
  <c r="M3480" i="1" s="1"/>
  <c r="N3480" i="1" s="1"/>
  <c r="L3481" i="1"/>
  <c r="M3481" i="1" s="1"/>
  <c r="N3481" i="1" s="1"/>
  <c r="L3482" i="1"/>
  <c r="M3482" i="1" s="1"/>
  <c r="N3482" i="1" s="1"/>
  <c r="L3483" i="1"/>
  <c r="M3483" i="1" s="1"/>
  <c r="N3483" i="1" s="1"/>
  <c r="L3484" i="1"/>
  <c r="M3484" i="1" s="1"/>
  <c r="N3484" i="1" s="1"/>
  <c r="L3485" i="1"/>
  <c r="M3485" i="1" s="1"/>
  <c r="N3485" i="1" s="1"/>
  <c r="L3486" i="1"/>
  <c r="M3486" i="1" s="1"/>
  <c r="N3486" i="1" s="1"/>
  <c r="L3487" i="1"/>
  <c r="M3487" i="1" s="1"/>
  <c r="N3487" i="1" s="1"/>
  <c r="L3488" i="1"/>
  <c r="M3488" i="1" s="1"/>
  <c r="N3488" i="1" s="1"/>
  <c r="L3489" i="1"/>
  <c r="M3489" i="1" s="1"/>
  <c r="N3489" i="1" s="1"/>
  <c r="L3490" i="1"/>
  <c r="M3490" i="1" s="1"/>
  <c r="N3490" i="1" s="1"/>
  <c r="L3491" i="1"/>
  <c r="M3491" i="1" s="1"/>
  <c r="N3491" i="1" s="1"/>
  <c r="L3492" i="1"/>
  <c r="M3492" i="1" s="1"/>
  <c r="N3492" i="1" s="1"/>
  <c r="L3493" i="1"/>
  <c r="M3493" i="1" s="1"/>
  <c r="N3493" i="1" s="1"/>
  <c r="L3494" i="1"/>
  <c r="M3494" i="1" s="1"/>
  <c r="N3494" i="1" s="1"/>
  <c r="L3495" i="1"/>
  <c r="M3495" i="1" s="1"/>
  <c r="N3495" i="1" s="1"/>
  <c r="L3496" i="1"/>
  <c r="M3496" i="1" s="1"/>
  <c r="N3496" i="1" s="1"/>
  <c r="L3497" i="1"/>
  <c r="M3497" i="1" s="1"/>
  <c r="N3497" i="1" s="1"/>
  <c r="L3498" i="1"/>
  <c r="M3498" i="1" s="1"/>
  <c r="N3498" i="1" s="1"/>
  <c r="L3499" i="1"/>
  <c r="M3499" i="1" s="1"/>
  <c r="N3499" i="1" s="1"/>
  <c r="L3500" i="1"/>
  <c r="M3500" i="1" s="1"/>
  <c r="N3500" i="1" s="1"/>
  <c r="L3501" i="1"/>
  <c r="M3501" i="1" s="1"/>
  <c r="N3501" i="1" s="1"/>
  <c r="L3502" i="1"/>
  <c r="M3502" i="1" s="1"/>
  <c r="N3502" i="1" s="1"/>
  <c r="L3503" i="1"/>
  <c r="M3503" i="1" s="1"/>
  <c r="N3503" i="1" s="1"/>
  <c r="L3504" i="1"/>
  <c r="M3504" i="1" s="1"/>
  <c r="N3504" i="1" s="1"/>
  <c r="L3505" i="1"/>
  <c r="M3505" i="1" s="1"/>
  <c r="N3505" i="1" s="1"/>
  <c r="L3506" i="1"/>
  <c r="M3506" i="1" s="1"/>
  <c r="N3506" i="1" s="1"/>
  <c r="L3507" i="1"/>
  <c r="M3507" i="1" s="1"/>
  <c r="N3507" i="1" s="1"/>
  <c r="L3508" i="1"/>
  <c r="M3508" i="1" s="1"/>
  <c r="N3508" i="1" s="1"/>
  <c r="L3509" i="1"/>
  <c r="M3509" i="1" s="1"/>
  <c r="N3509" i="1" s="1"/>
  <c r="L3510" i="1"/>
  <c r="M3510" i="1" s="1"/>
  <c r="N3510" i="1" s="1"/>
  <c r="L3511" i="1"/>
  <c r="M3511" i="1" s="1"/>
  <c r="N3511" i="1" s="1"/>
  <c r="L3512" i="1"/>
  <c r="M3512" i="1" s="1"/>
  <c r="N3512" i="1" s="1"/>
  <c r="L3513" i="1"/>
  <c r="M3513" i="1" s="1"/>
  <c r="N3513" i="1" s="1"/>
  <c r="L3514" i="1"/>
  <c r="M3514" i="1" s="1"/>
  <c r="N3514" i="1" s="1"/>
  <c r="L3515" i="1"/>
  <c r="M3515" i="1" s="1"/>
  <c r="N3515" i="1" s="1"/>
  <c r="L3516" i="1"/>
  <c r="M3516" i="1" s="1"/>
  <c r="N3516" i="1" s="1"/>
  <c r="L3517" i="1"/>
  <c r="M3517" i="1" s="1"/>
  <c r="N3517" i="1" s="1"/>
  <c r="L3518" i="1"/>
  <c r="M3518" i="1" s="1"/>
  <c r="N3518" i="1" s="1"/>
  <c r="L3519" i="1"/>
  <c r="M3519" i="1" s="1"/>
  <c r="N3519" i="1" s="1"/>
  <c r="L3520" i="1"/>
  <c r="M3520" i="1" s="1"/>
  <c r="N3520" i="1" s="1"/>
  <c r="L3521" i="1"/>
  <c r="M3521" i="1" s="1"/>
  <c r="N3521" i="1" s="1"/>
  <c r="L3522" i="1"/>
  <c r="M3522" i="1" s="1"/>
  <c r="N3522" i="1" s="1"/>
  <c r="L3523" i="1"/>
  <c r="M3523" i="1" s="1"/>
  <c r="N3523" i="1" s="1"/>
  <c r="L3524" i="1"/>
  <c r="M3524" i="1" s="1"/>
  <c r="N3524" i="1" s="1"/>
  <c r="L3525" i="1"/>
  <c r="M3525" i="1" s="1"/>
  <c r="N3525" i="1" s="1"/>
  <c r="L3526" i="1"/>
  <c r="M3526" i="1" s="1"/>
  <c r="N3526" i="1" s="1"/>
  <c r="L3527" i="1"/>
  <c r="M3527" i="1" s="1"/>
  <c r="N3527" i="1" s="1"/>
  <c r="L3528" i="1"/>
  <c r="M3528" i="1" s="1"/>
  <c r="N3528" i="1" s="1"/>
  <c r="L3529" i="1"/>
  <c r="M3529" i="1" s="1"/>
  <c r="N3529" i="1" s="1"/>
  <c r="L3530" i="1"/>
  <c r="M3530" i="1" s="1"/>
  <c r="N3530" i="1" s="1"/>
  <c r="L3531" i="1"/>
  <c r="M3531" i="1" s="1"/>
  <c r="N3531" i="1" s="1"/>
  <c r="L3532" i="1"/>
  <c r="M3532" i="1" s="1"/>
  <c r="N3532" i="1" s="1"/>
  <c r="L3533" i="1"/>
  <c r="M3533" i="1" s="1"/>
  <c r="N3533" i="1" s="1"/>
  <c r="L3534" i="1"/>
  <c r="M3534" i="1" s="1"/>
  <c r="N3534" i="1" s="1"/>
  <c r="L3535" i="1"/>
  <c r="M3535" i="1" s="1"/>
  <c r="N3535" i="1" s="1"/>
  <c r="L3536" i="1"/>
  <c r="M3536" i="1" s="1"/>
  <c r="N3536" i="1" s="1"/>
  <c r="L3537" i="1"/>
  <c r="M3537" i="1" s="1"/>
  <c r="N3537" i="1" s="1"/>
  <c r="L3538" i="1"/>
  <c r="M3538" i="1" s="1"/>
  <c r="N3538" i="1" s="1"/>
  <c r="L3539" i="1"/>
  <c r="M3539" i="1" s="1"/>
  <c r="N3539" i="1" s="1"/>
  <c r="L3540" i="1"/>
  <c r="M3540" i="1" s="1"/>
  <c r="N3540" i="1" s="1"/>
  <c r="L3541" i="1"/>
  <c r="M3541" i="1" s="1"/>
  <c r="N3541" i="1" s="1"/>
  <c r="L3542" i="1"/>
  <c r="M3542" i="1" s="1"/>
  <c r="N3542" i="1" s="1"/>
  <c r="L3543" i="1"/>
  <c r="M3543" i="1" s="1"/>
  <c r="N3543" i="1" s="1"/>
  <c r="L3544" i="1"/>
  <c r="M3544" i="1" s="1"/>
  <c r="N3544" i="1" s="1"/>
  <c r="L3545" i="1"/>
  <c r="M3545" i="1" s="1"/>
  <c r="N3545" i="1" s="1"/>
  <c r="L3546" i="1"/>
  <c r="M3546" i="1" s="1"/>
  <c r="N3546" i="1" s="1"/>
  <c r="L3547" i="1"/>
  <c r="M3547" i="1" s="1"/>
  <c r="N3547" i="1" s="1"/>
  <c r="L3548" i="1"/>
  <c r="M3548" i="1" s="1"/>
  <c r="N3548" i="1" s="1"/>
  <c r="L3549" i="1"/>
  <c r="M3549" i="1" s="1"/>
  <c r="N3549" i="1" s="1"/>
  <c r="L3550" i="1"/>
  <c r="M3550" i="1" s="1"/>
  <c r="N3550" i="1" s="1"/>
  <c r="L3551" i="1"/>
  <c r="M3551" i="1" s="1"/>
  <c r="N3551" i="1" s="1"/>
  <c r="L3552" i="1"/>
  <c r="M3552" i="1" s="1"/>
  <c r="N3552" i="1" s="1"/>
  <c r="L3553" i="1"/>
  <c r="M3553" i="1" s="1"/>
  <c r="N3553" i="1" s="1"/>
  <c r="L3554" i="1"/>
  <c r="M3554" i="1" s="1"/>
  <c r="N3554" i="1" s="1"/>
  <c r="L3555" i="1"/>
  <c r="M3555" i="1" s="1"/>
  <c r="N3555" i="1" s="1"/>
  <c r="L3556" i="1"/>
  <c r="M3556" i="1" s="1"/>
  <c r="N3556" i="1" s="1"/>
  <c r="L3557" i="1"/>
  <c r="M3557" i="1" s="1"/>
  <c r="N3557" i="1" s="1"/>
  <c r="L3558" i="1"/>
  <c r="M3558" i="1" s="1"/>
  <c r="N3558" i="1" s="1"/>
  <c r="L3559" i="1"/>
  <c r="M3559" i="1" s="1"/>
  <c r="N3559" i="1" s="1"/>
  <c r="L3560" i="1"/>
  <c r="M3560" i="1" s="1"/>
  <c r="N3560" i="1" s="1"/>
  <c r="L3561" i="1"/>
  <c r="M3561" i="1" s="1"/>
  <c r="N3561" i="1" s="1"/>
  <c r="L3562" i="1"/>
  <c r="M3562" i="1" s="1"/>
  <c r="N3562" i="1" s="1"/>
  <c r="L3563" i="1"/>
  <c r="M3563" i="1" s="1"/>
  <c r="N3563" i="1" s="1"/>
  <c r="L3564" i="1"/>
  <c r="M3564" i="1" s="1"/>
  <c r="N3564" i="1" s="1"/>
  <c r="L3565" i="1"/>
  <c r="M3565" i="1" s="1"/>
  <c r="N3565" i="1" s="1"/>
  <c r="L3566" i="1"/>
  <c r="M3566" i="1" s="1"/>
  <c r="N3566" i="1" s="1"/>
  <c r="L3567" i="1"/>
  <c r="M3567" i="1" s="1"/>
  <c r="N3567" i="1" s="1"/>
  <c r="L3568" i="1"/>
  <c r="M3568" i="1" s="1"/>
  <c r="N3568" i="1" s="1"/>
  <c r="L3569" i="1"/>
  <c r="M3569" i="1" s="1"/>
  <c r="N3569" i="1" s="1"/>
  <c r="L3570" i="1"/>
  <c r="M3570" i="1" s="1"/>
  <c r="N3570" i="1" s="1"/>
  <c r="L3571" i="1"/>
  <c r="M3571" i="1" s="1"/>
  <c r="N3571" i="1" s="1"/>
  <c r="L3572" i="1"/>
  <c r="M3572" i="1" s="1"/>
  <c r="N3572" i="1" s="1"/>
  <c r="L3573" i="1"/>
  <c r="M3573" i="1" s="1"/>
  <c r="N3573" i="1" s="1"/>
  <c r="L3574" i="1"/>
  <c r="M3574" i="1" s="1"/>
  <c r="N3574" i="1" s="1"/>
  <c r="L3575" i="1"/>
  <c r="M3575" i="1" s="1"/>
  <c r="N3575" i="1" s="1"/>
  <c r="L3576" i="1"/>
  <c r="M3576" i="1" s="1"/>
  <c r="N3576" i="1" s="1"/>
  <c r="L3577" i="1"/>
  <c r="M3577" i="1" s="1"/>
  <c r="N3577" i="1" s="1"/>
  <c r="L3578" i="1"/>
  <c r="M3578" i="1" s="1"/>
  <c r="N3578" i="1" s="1"/>
  <c r="L3579" i="1"/>
  <c r="M3579" i="1" s="1"/>
  <c r="N3579" i="1" s="1"/>
  <c r="L3580" i="1"/>
  <c r="M3580" i="1" s="1"/>
  <c r="N3580" i="1" s="1"/>
  <c r="L3581" i="1"/>
  <c r="M3581" i="1" s="1"/>
  <c r="N3581" i="1" s="1"/>
  <c r="L3582" i="1"/>
  <c r="M3582" i="1" s="1"/>
  <c r="N3582" i="1" s="1"/>
  <c r="L3583" i="1"/>
  <c r="M3583" i="1" s="1"/>
  <c r="N3583" i="1" s="1"/>
  <c r="L3584" i="1"/>
  <c r="M3584" i="1" s="1"/>
  <c r="N3584" i="1" s="1"/>
  <c r="L3585" i="1"/>
  <c r="M3585" i="1" s="1"/>
  <c r="N3585" i="1" s="1"/>
  <c r="L3586" i="1"/>
  <c r="M3586" i="1" s="1"/>
  <c r="N3586" i="1" s="1"/>
  <c r="L3587" i="1"/>
  <c r="M3587" i="1" s="1"/>
  <c r="N3587" i="1" s="1"/>
  <c r="L3588" i="1"/>
  <c r="M3588" i="1" s="1"/>
  <c r="N3588" i="1" s="1"/>
  <c r="L3589" i="1"/>
  <c r="M3589" i="1" s="1"/>
  <c r="N3589" i="1" s="1"/>
  <c r="L3590" i="1"/>
  <c r="M3590" i="1" s="1"/>
  <c r="N3590" i="1" s="1"/>
  <c r="L3591" i="1"/>
  <c r="M3591" i="1" s="1"/>
  <c r="N3591" i="1" s="1"/>
  <c r="L3592" i="1"/>
  <c r="M3592" i="1" s="1"/>
  <c r="N3592" i="1" s="1"/>
  <c r="L3593" i="1"/>
  <c r="M3593" i="1" s="1"/>
  <c r="N3593" i="1" s="1"/>
  <c r="L3594" i="1"/>
  <c r="M3594" i="1" s="1"/>
  <c r="N3594" i="1" s="1"/>
  <c r="L3595" i="1"/>
  <c r="M3595" i="1" s="1"/>
  <c r="N3595" i="1" s="1"/>
  <c r="L3596" i="1"/>
  <c r="M3596" i="1" s="1"/>
  <c r="N3596" i="1" s="1"/>
  <c r="L3597" i="1"/>
  <c r="M3597" i="1" s="1"/>
  <c r="N3597" i="1" s="1"/>
  <c r="L3598" i="1"/>
  <c r="M3598" i="1" s="1"/>
  <c r="N3598" i="1" s="1"/>
  <c r="L3599" i="1"/>
  <c r="M3599" i="1" s="1"/>
  <c r="N3599" i="1" s="1"/>
  <c r="L3600" i="1"/>
  <c r="M3600" i="1" s="1"/>
  <c r="N3600" i="1" s="1"/>
  <c r="L3601" i="1"/>
  <c r="M3601" i="1" s="1"/>
  <c r="N3601" i="1" s="1"/>
  <c r="L3602" i="1"/>
  <c r="M3602" i="1" s="1"/>
  <c r="N3602" i="1" s="1"/>
  <c r="L3603" i="1"/>
  <c r="M3603" i="1" s="1"/>
  <c r="N3603" i="1" s="1"/>
  <c r="L3604" i="1"/>
  <c r="M3604" i="1" s="1"/>
  <c r="N3604" i="1" s="1"/>
  <c r="L3605" i="1"/>
  <c r="M3605" i="1" s="1"/>
  <c r="N3605" i="1" s="1"/>
  <c r="L3606" i="1"/>
  <c r="M3606" i="1" s="1"/>
  <c r="N3606" i="1" s="1"/>
  <c r="L3607" i="1"/>
  <c r="M3607" i="1" s="1"/>
  <c r="N3607" i="1" s="1"/>
  <c r="L3608" i="1"/>
  <c r="M3608" i="1" s="1"/>
  <c r="N3608" i="1" s="1"/>
  <c r="L3609" i="1"/>
  <c r="M3609" i="1" s="1"/>
  <c r="N3609" i="1" s="1"/>
  <c r="L3610" i="1"/>
  <c r="M3610" i="1" s="1"/>
  <c r="N3610" i="1" s="1"/>
  <c r="L3611" i="1"/>
  <c r="M3611" i="1" s="1"/>
  <c r="N3611" i="1" s="1"/>
  <c r="L3612" i="1"/>
  <c r="M3612" i="1" s="1"/>
  <c r="N3612" i="1" s="1"/>
  <c r="L3613" i="1"/>
  <c r="M3613" i="1" s="1"/>
  <c r="N3613" i="1" s="1"/>
  <c r="L3614" i="1"/>
  <c r="M3614" i="1" s="1"/>
  <c r="N3614" i="1" s="1"/>
  <c r="L3615" i="1"/>
  <c r="M3615" i="1" s="1"/>
  <c r="N3615" i="1" s="1"/>
  <c r="L3616" i="1"/>
  <c r="M3616" i="1" s="1"/>
  <c r="N3616" i="1" s="1"/>
  <c r="L3617" i="1"/>
  <c r="M3617" i="1" s="1"/>
  <c r="N3617" i="1" s="1"/>
  <c r="L3618" i="1"/>
  <c r="M3618" i="1" s="1"/>
  <c r="N3618" i="1" s="1"/>
  <c r="L3619" i="1"/>
  <c r="M3619" i="1" s="1"/>
  <c r="N3619" i="1" s="1"/>
  <c r="L3620" i="1"/>
  <c r="M3620" i="1" s="1"/>
  <c r="N3620" i="1" s="1"/>
  <c r="L3621" i="1"/>
  <c r="M3621" i="1" s="1"/>
  <c r="N3621" i="1" s="1"/>
  <c r="L3622" i="1"/>
  <c r="M3622" i="1" s="1"/>
  <c r="N3622" i="1" s="1"/>
  <c r="L3623" i="1"/>
  <c r="M3623" i="1" s="1"/>
  <c r="N3623" i="1" s="1"/>
  <c r="L3624" i="1"/>
  <c r="M3624" i="1" s="1"/>
  <c r="N3624" i="1" s="1"/>
  <c r="L3625" i="1"/>
  <c r="M3625" i="1" s="1"/>
  <c r="N3625" i="1" s="1"/>
  <c r="L3626" i="1"/>
  <c r="M3626" i="1" s="1"/>
  <c r="N3626" i="1" s="1"/>
  <c r="L3627" i="1"/>
  <c r="M3627" i="1" s="1"/>
  <c r="N3627" i="1" s="1"/>
  <c r="L3628" i="1"/>
  <c r="M3628" i="1" s="1"/>
  <c r="N3628" i="1" s="1"/>
  <c r="L3629" i="1"/>
  <c r="M3629" i="1" s="1"/>
  <c r="N3629" i="1" s="1"/>
  <c r="L3630" i="1"/>
  <c r="M3630" i="1" s="1"/>
  <c r="N3630" i="1" s="1"/>
  <c r="L3631" i="1"/>
  <c r="M3631" i="1" s="1"/>
  <c r="N3631" i="1" s="1"/>
  <c r="L3632" i="1"/>
  <c r="M3632" i="1" s="1"/>
  <c r="N3632" i="1" s="1"/>
  <c r="L3633" i="1"/>
  <c r="M3633" i="1" s="1"/>
  <c r="N3633" i="1" s="1"/>
  <c r="L3634" i="1"/>
  <c r="M3634" i="1" s="1"/>
  <c r="N3634" i="1" s="1"/>
  <c r="L3635" i="1"/>
  <c r="M3635" i="1" s="1"/>
  <c r="N3635" i="1" s="1"/>
  <c r="L3636" i="1"/>
  <c r="M3636" i="1" s="1"/>
  <c r="N3636" i="1" s="1"/>
  <c r="L3637" i="1"/>
  <c r="M3637" i="1" s="1"/>
  <c r="N3637" i="1" s="1"/>
  <c r="L3638" i="1"/>
  <c r="M3638" i="1" s="1"/>
  <c r="N3638" i="1" s="1"/>
  <c r="L3639" i="1"/>
  <c r="M3639" i="1" s="1"/>
  <c r="N3639" i="1" s="1"/>
  <c r="L3640" i="1"/>
  <c r="M3640" i="1" s="1"/>
  <c r="N3640" i="1" s="1"/>
  <c r="L3641" i="1"/>
  <c r="M3641" i="1" s="1"/>
  <c r="N3641" i="1" s="1"/>
  <c r="L3642" i="1"/>
  <c r="M3642" i="1" s="1"/>
  <c r="N3642" i="1" s="1"/>
  <c r="L3643" i="1"/>
  <c r="M3643" i="1" s="1"/>
  <c r="N3643" i="1" s="1"/>
  <c r="L3644" i="1"/>
  <c r="M3644" i="1" s="1"/>
  <c r="N3644" i="1" s="1"/>
  <c r="L3645" i="1"/>
  <c r="M3645" i="1" s="1"/>
  <c r="N3645" i="1" s="1"/>
  <c r="L3646" i="1"/>
  <c r="M3646" i="1" s="1"/>
  <c r="N3646" i="1" s="1"/>
  <c r="L3647" i="1"/>
  <c r="M3647" i="1" s="1"/>
  <c r="N3647" i="1" s="1"/>
  <c r="L3648" i="1"/>
  <c r="M3648" i="1" s="1"/>
  <c r="N3648" i="1" s="1"/>
  <c r="L3649" i="1"/>
  <c r="M3649" i="1" s="1"/>
  <c r="N3649" i="1" s="1"/>
  <c r="L3650" i="1"/>
  <c r="M3650" i="1" s="1"/>
  <c r="N3650" i="1" s="1"/>
  <c r="L3651" i="1"/>
  <c r="M3651" i="1" s="1"/>
  <c r="N3651" i="1" s="1"/>
  <c r="L3652" i="1"/>
  <c r="M3652" i="1" s="1"/>
  <c r="N3652" i="1" s="1"/>
  <c r="L3653" i="1"/>
  <c r="M3653" i="1" s="1"/>
  <c r="N3653" i="1" s="1"/>
  <c r="L3654" i="1"/>
  <c r="M3654" i="1" s="1"/>
  <c r="N3654" i="1" s="1"/>
  <c r="L3655" i="1"/>
  <c r="M3655" i="1" s="1"/>
  <c r="N3655" i="1" s="1"/>
  <c r="L3656" i="1"/>
  <c r="M3656" i="1" s="1"/>
  <c r="N3656" i="1" s="1"/>
  <c r="L3657" i="1"/>
  <c r="M3657" i="1" s="1"/>
  <c r="N3657" i="1" s="1"/>
  <c r="L3658" i="1"/>
  <c r="M3658" i="1" s="1"/>
  <c r="N3658" i="1" s="1"/>
  <c r="L3659" i="1"/>
  <c r="M3659" i="1" s="1"/>
  <c r="N3659" i="1" s="1"/>
  <c r="L3660" i="1"/>
  <c r="M3660" i="1" s="1"/>
  <c r="N3660" i="1" s="1"/>
  <c r="L3661" i="1"/>
  <c r="M3661" i="1" s="1"/>
  <c r="N3661" i="1" s="1"/>
  <c r="L3662" i="1"/>
  <c r="M3662" i="1" s="1"/>
  <c r="N3662" i="1" s="1"/>
  <c r="L3663" i="1"/>
  <c r="M3663" i="1" s="1"/>
  <c r="N3663" i="1" s="1"/>
  <c r="L3664" i="1"/>
  <c r="M3664" i="1" s="1"/>
  <c r="N3664" i="1" s="1"/>
  <c r="L3665" i="1"/>
  <c r="M3665" i="1" s="1"/>
  <c r="N3665" i="1" s="1"/>
  <c r="L3666" i="1"/>
  <c r="M3666" i="1" s="1"/>
  <c r="N3666" i="1" s="1"/>
  <c r="L3667" i="1"/>
  <c r="M3667" i="1" s="1"/>
  <c r="N3667" i="1" s="1"/>
  <c r="L3668" i="1"/>
  <c r="M3668" i="1" s="1"/>
  <c r="N3668" i="1" s="1"/>
  <c r="L3669" i="1"/>
  <c r="M3669" i="1" s="1"/>
  <c r="N3669" i="1" s="1"/>
  <c r="L3670" i="1"/>
  <c r="M3670" i="1" s="1"/>
  <c r="N3670" i="1" s="1"/>
  <c r="L3671" i="1"/>
  <c r="M3671" i="1" s="1"/>
  <c r="N3671" i="1" s="1"/>
  <c r="L3672" i="1"/>
  <c r="M3672" i="1" s="1"/>
  <c r="N3672" i="1" s="1"/>
  <c r="L3673" i="1"/>
  <c r="M3673" i="1" s="1"/>
  <c r="N3673" i="1" s="1"/>
  <c r="L3674" i="1"/>
  <c r="M3674" i="1" s="1"/>
  <c r="N3674" i="1" s="1"/>
  <c r="L3675" i="1"/>
  <c r="M3675" i="1" s="1"/>
  <c r="N3675" i="1" s="1"/>
  <c r="L3676" i="1"/>
  <c r="M3676" i="1" s="1"/>
  <c r="N3676" i="1" s="1"/>
  <c r="L3677" i="1"/>
  <c r="M3677" i="1" s="1"/>
  <c r="N3677" i="1" s="1"/>
  <c r="L3678" i="1"/>
  <c r="M3678" i="1" s="1"/>
  <c r="N3678" i="1" s="1"/>
  <c r="L3679" i="1"/>
  <c r="M3679" i="1" s="1"/>
  <c r="N3679" i="1" s="1"/>
  <c r="L3680" i="1"/>
  <c r="M3680" i="1" s="1"/>
  <c r="N3680" i="1" s="1"/>
  <c r="L3681" i="1"/>
  <c r="M3681" i="1" s="1"/>
  <c r="N3681" i="1" s="1"/>
  <c r="L3682" i="1"/>
  <c r="M3682" i="1" s="1"/>
  <c r="N3682" i="1" s="1"/>
  <c r="L3683" i="1"/>
  <c r="M3683" i="1" s="1"/>
  <c r="N3683" i="1" s="1"/>
  <c r="L3684" i="1"/>
  <c r="M3684" i="1" s="1"/>
  <c r="N3684" i="1" s="1"/>
  <c r="L3685" i="1"/>
  <c r="M3685" i="1" s="1"/>
  <c r="N3685" i="1" s="1"/>
  <c r="L3686" i="1"/>
  <c r="M3686" i="1" s="1"/>
  <c r="N3686" i="1" s="1"/>
  <c r="L3687" i="1"/>
  <c r="M3687" i="1" s="1"/>
  <c r="N3687" i="1" s="1"/>
  <c r="L3688" i="1"/>
  <c r="M3688" i="1" s="1"/>
  <c r="N3688" i="1" s="1"/>
  <c r="L3689" i="1"/>
  <c r="M3689" i="1" s="1"/>
  <c r="N3689" i="1" s="1"/>
  <c r="L3690" i="1"/>
  <c r="M3690" i="1" s="1"/>
  <c r="N3690" i="1" s="1"/>
  <c r="L3691" i="1"/>
  <c r="M3691" i="1" s="1"/>
  <c r="N3691" i="1" s="1"/>
  <c r="L3692" i="1"/>
  <c r="M3692" i="1" s="1"/>
  <c r="N3692" i="1" s="1"/>
  <c r="L3693" i="1"/>
  <c r="M3693" i="1" s="1"/>
  <c r="N3693" i="1" s="1"/>
  <c r="L3694" i="1"/>
  <c r="M3694" i="1" s="1"/>
  <c r="N3694" i="1" s="1"/>
  <c r="L3695" i="1"/>
  <c r="M3695" i="1" s="1"/>
  <c r="N3695" i="1" s="1"/>
  <c r="L3696" i="1"/>
  <c r="M3696" i="1" s="1"/>
  <c r="N3696" i="1" s="1"/>
  <c r="L3697" i="1"/>
  <c r="M3697" i="1" s="1"/>
  <c r="N3697" i="1" s="1"/>
  <c r="L3698" i="1"/>
  <c r="M3698" i="1" s="1"/>
  <c r="N3698" i="1" s="1"/>
  <c r="L3699" i="1"/>
  <c r="M3699" i="1" s="1"/>
  <c r="N3699" i="1" s="1"/>
  <c r="L3700" i="1"/>
  <c r="M3700" i="1" s="1"/>
  <c r="N3700" i="1" s="1"/>
  <c r="L3701" i="1"/>
  <c r="M3701" i="1" s="1"/>
  <c r="N3701" i="1" s="1"/>
  <c r="L3702" i="1"/>
  <c r="M3702" i="1" s="1"/>
  <c r="N3702" i="1" s="1"/>
  <c r="L3703" i="1"/>
  <c r="M3703" i="1" s="1"/>
  <c r="N3703" i="1" s="1"/>
  <c r="L3704" i="1"/>
  <c r="M3704" i="1" s="1"/>
  <c r="N3704" i="1" s="1"/>
  <c r="L3705" i="1"/>
  <c r="M3705" i="1" s="1"/>
  <c r="N3705" i="1" s="1"/>
  <c r="L3706" i="1"/>
  <c r="M3706" i="1" s="1"/>
  <c r="N3706" i="1" s="1"/>
  <c r="L3707" i="1"/>
  <c r="M3707" i="1" s="1"/>
  <c r="N3707" i="1" s="1"/>
  <c r="L3708" i="1"/>
  <c r="M3708" i="1" s="1"/>
  <c r="N3708" i="1" s="1"/>
  <c r="L3709" i="1"/>
  <c r="M3709" i="1" s="1"/>
  <c r="N3709" i="1" s="1"/>
  <c r="L3710" i="1"/>
  <c r="M3710" i="1" s="1"/>
  <c r="N3710" i="1" s="1"/>
  <c r="L3711" i="1"/>
  <c r="M3711" i="1" s="1"/>
  <c r="N3711" i="1" s="1"/>
  <c r="L3712" i="1"/>
  <c r="M3712" i="1" s="1"/>
  <c r="N3712" i="1" s="1"/>
  <c r="L3713" i="1"/>
  <c r="M3713" i="1" s="1"/>
  <c r="N3713" i="1" s="1"/>
  <c r="L3714" i="1"/>
  <c r="M3714" i="1" s="1"/>
  <c r="N3714" i="1" s="1"/>
  <c r="L3715" i="1"/>
  <c r="M3715" i="1" s="1"/>
  <c r="N3715" i="1" s="1"/>
  <c r="L3716" i="1"/>
  <c r="M3716" i="1" s="1"/>
  <c r="N3716" i="1" s="1"/>
  <c r="L3717" i="1"/>
  <c r="M3717" i="1" s="1"/>
  <c r="N3717" i="1" s="1"/>
  <c r="L3718" i="1"/>
  <c r="M3718" i="1" s="1"/>
  <c r="N3718" i="1" s="1"/>
  <c r="L3719" i="1"/>
  <c r="M3719" i="1" s="1"/>
  <c r="N3719" i="1" s="1"/>
  <c r="L3720" i="1"/>
  <c r="M3720" i="1" s="1"/>
  <c r="N3720" i="1" s="1"/>
  <c r="L3721" i="1"/>
  <c r="M3721" i="1" s="1"/>
  <c r="N3721" i="1" s="1"/>
  <c r="L3722" i="1"/>
  <c r="M3722" i="1" s="1"/>
  <c r="N3722" i="1" s="1"/>
  <c r="L3723" i="1"/>
  <c r="M3723" i="1" s="1"/>
  <c r="N3723" i="1" s="1"/>
  <c r="L3724" i="1"/>
  <c r="M3724" i="1" s="1"/>
  <c r="N3724" i="1" s="1"/>
  <c r="L3725" i="1"/>
  <c r="M3725" i="1" s="1"/>
  <c r="N3725" i="1" s="1"/>
  <c r="L3726" i="1"/>
  <c r="M3726" i="1" s="1"/>
  <c r="N3726" i="1" s="1"/>
  <c r="L3727" i="1"/>
  <c r="M3727" i="1" s="1"/>
  <c r="N3727" i="1" s="1"/>
  <c r="L3728" i="1"/>
  <c r="M3728" i="1" s="1"/>
  <c r="N3728" i="1" s="1"/>
  <c r="L3729" i="1"/>
  <c r="M3729" i="1" s="1"/>
  <c r="N3729" i="1" s="1"/>
  <c r="L3730" i="1"/>
  <c r="M3730" i="1" s="1"/>
  <c r="N3730" i="1" s="1"/>
  <c r="L3731" i="1"/>
  <c r="M3731" i="1" s="1"/>
  <c r="N3731" i="1" s="1"/>
  <c r="L3732" i="1"/>
  <c r="M3732" i="1" s="1"/>
  <c r="N3732" i="1" s="1"/>
  <c r="L3733" i="1"/>
  <c r="M3733" i="1" s="1"/>
  <c r="N3733" i="1" s="1"/>
  <c r="L3734" i="1"/>
  <c r="M3734" i="1" s="1"/>
  <c r="N3734" i="1" s="1"/>
  <c r="L3735" i="1"/>
  <c r="M3735" i="1" s="1"/>
  <c r="N3735" i="1" s="1"/>
  <c r="L3736" i="1"/>
  <c r="M3736" i="1" s="1"/>
  <c r="N3736" i="1" s="1"/>
  <c r="L3737" i="1"/>
  <c r="M3737" i="1" s="1"/>
  <c r="N3737" i="1" s="1"/>
  <c r="L3738" i="1"/>
  <c r="M3738" i="1" s="1"/>
  <c r="N3738" i="1" s="1"/>
  <c r="L3739" i="1"/>
  <c r="M3739" i="1" s="1"/>
  <c r="N3739" i="1" s="1"/>
  <c r="L3740" i="1"/>
  <c r="M3740" i="1" s="1"/>
  <c r="N3740" i="1" s="1"/>
  <c r="L3741" i="1"/>
  <c r="M3741" i="1" s="1"/>
  <c r="N3741" i="1" s="1"/>
  <c r="L3742" i="1"/>
  <c r="M3742" i="1" s="1"/>
  <c r="N3742" i="1" s="1"/>
  <c r="L3743" i="1"/>
  <c r="M3743" i="1" s="1"/>
  <c r="N3743" i="1" s="1"/>
  <c r="L3744" i="1"/>
  <c r="M3744" i="1" s="1"/>
  <c r="N3744" i="1" s="1"/>
  <c r="L3745" i="1"/>
  <c r="M3745" i="1" s="1"/>
  <c r="N3745" i="1" s="1"/>
  <c r="L3746" i="1"/>
  <c r="M3746" i="1" s="1"/>
  <c r="N3746" i="1" s="1"/>
  <c r="L3747" i="1"/>
  <c r="M3747" i="1" s="1"/>
  <c r="N3747" i="1" s="1"/>
  <c r="L3748" i="1"/>
  <c r="M3748" i="1" s="1"/>
  <c r="N3748" i="1" s="1"/>
  <c r="L3749" i="1"/>
  <c r="M3749" i="1" s="1"/>
  <c r="N3749" i="1" s="1"/>
  <c r="L3750" i="1"/>
  <c r="M3750" i="1" s="1"/>
  <c r="N3750" i="1" s="1"/>
  <c r="L3751" i="1"/>
  <c r="M3751" i="1" s="1"/>
  <c r="N3751" i="1" s="1"/>
  <c r="L3752" i="1"/>
  <c r="M3752" i="1" s="1"/>
  <c r="N3752" i="1" s="1"/>
  <c r="L3753" i="1"/>
  <c r="M3753" i="1" s="1"/>
  <c r="N3753" i="1" s="1"/>
  <c r="L3754" i="1"/>
  <c r="M3754" i="1" s="1"/>
  <c r="N3754" i="1" s="1"/>
  <c r="L3755" i="1"/>
  <c r="M3755" i="1" s="1"/>
  <c r="N3755" i="1" s="1"/>
  <c r="L3756" i="1"/>
  <c r="M3756" i="1" s="1"/>
  <c r="N3756" i="1" s="1"/>
  <c r="L3757" i="1"/>
  <c r="M3757" i="1" s="1"/>
  <c r="N3757" i="1" s="1"/>
  <c r="L3758" i="1"/>
  <c r="M3758" i="1" s="1"/>
  <c r="N3758" i="1" s="1"/>
  <c r="L3759" i="1"/>
  <c r="M3759" i="1" s="1"/>
  <c r="N3759" i="1" s="1"/>
  <c r="L3760" i="1"/>
  <c r="M3760" i="1" s="1"/>
  <c r="N3760" i="1" s="1"/>
  <c r="L3761" i="1"/>
  <c r="M3761" i="1" s="1"/>
  <c r="N3761" i="1" s="1"/>
  <c r="L3762" i="1"/>
  <c r="M3762" i="1" s="1"/>
  <c r="N3762" i="1" s="1"/>
  <c r="L3763" i="1"/>
  <c r="M3763" i="1" s="1"/>
  <c r="N3763" i="1" s="1"/>
  <c r="L3764" i="1"/>
  <c r="M3764" i="1" s="1"/>
  <c r="N3764" i="1" s="1"/>
  <c r="L3765" i="1"/>
  <c r="M3765" i="1" s="1"/>
  <c r="N3765" i="1" s="1"/>
  <c r="L3766" i="1"/>
  <c r="M3766" i="1" s="1"/>
  <c r="N3766" i="1" s="1"/>
  <c r="L3767" i="1"/>
  <c r="M3767" i="1" s="1"/>
  <c r="N3767" i="1" s="1"/>
  <c r="L3768" i="1"/>
  <c r="M3768" i="1" s="1"/>
  <c r="N3768" i="1" s="1"/>
  <c r="L3769" i="1"/>
  <c r="M3769" i="1" s="1"/>
  <c r="N3769" i="1" s="1"/>
  <c r="L3770" i="1"/>
  <c r="M3770" i="1" s="1"/>
  <c r="N3770" i="1" s="1"/>
  <c r="L3771" i="1"/>
  <c r="M3771" i="1" s="1"/>
  <c r="N3771" i="1" s="1"/>
  <c r="L3772" i="1"/>
  <c r="M3772" i="1" s="1"/>
  <c r="N3772" i="1" s="1"/>
  <c r="L3773" i="1"/>
  <c r="M3773" i="1" s="1"/>
  <c r="N3773" i="1" s="1"/>
  <c r="L3774" i="1"/>
  <c r="M3774" i="1" s="1"/>
  <c r="N3774" i="1" s="1"/>
  <c r="L3775" i="1"/>
  <c r="M3775" i="1" s="1"/>
  <c r="N3775" i="1" s="1"/>
  <c r="L3776" i="1"/>
  <c r="M3776" i="1" s="1"/>
  <c r="N3776" i="1" s="1"/>
  <c r="L3777" i="1"/>
  <c r="M3777" i="1" s="1"/>
  <c r="N3777" i="1" s="1"/>
  <c r="L3778" i="1"/>
  <c r="M3778" i="1" s="1"/>
  <c r="N3778" i="1" s="1"/>
  <c r="L3779" i="1"/>
  <c r="M3779" i="1" s="1"/>
  <c r="N3779" i="1" s="1"/>
  <c r="L3780" i="1"/>
  <c r="M3780" i="1" s="1"/>
  <c r="N3780" i="1" s="1"/>
  <c r="L3781" i="1"/>
  <c r="M3781" i="1" s="1"/>
  <c r="N3781" i="1" s="1"/>
  <c r="L3782" i="1"/>
  <c r="M3782" i="1" s="1"/>
  <c r="N3782" i="1" s="1"/>
  <c r="L3783" i="1"/>
  <c r="M3783" i="1" s="1"/>
  <c r="N3783" i="1" s="1"/>
  <c r="L3784" i="1"/>
  <c r="M3784" i="1" s="1"/>
  <c r="N3784" i="1" s="1"/>
  <c r="L3785" i="1"/>
  <c r="M3785" i="1" s="1"/>
  <c r="N3785" i="1" s="1"/>
  <c r="L3786" i="1"/>
  <c r="M3786" i="1" s="1"/>
  <c r="N3786" i="1" s="1"/>
  <c r="L3787" i="1"/>
  <c r="M3787" i="1" s="1"/>
  <c r="N3787" i="1" s="1"/>
  <c r="L3788" i="1"/>
  <c r="M3788" i="1" s="1"/>
  <c r="N3788" i="1" s="1"/>
  <c r="L3789" i="1"/>
  <c r="M3789" i="1" s="1"/>
  <c r="N3789" i="1" s="1"/>
  <c r="L3790" i="1"/>
  <c r="M3790" i="1" s="1"/>
  <c r="N3790" i="1" s="1"/>
  <c r="L3791" i="1"/>
  <c r="M3791" i="1" s="1"/>
  <c r="N3791" i="1" s="1"/>
  <c r="L3792" i="1"/>
  <c r="M3792" i="1" s="1"/>
  <c r="N3792" i="1" s="1"/>
  <c r="L3793" i="1"/>
  <c r="M3793" i="1" s="1"/>
  <c r="N3793" i="1" s="1"/>
  <c r="L3794" i="1"/>
  <c r="M3794" i="1" s="1"/>
  <c r="N3794" i="1" s="1"/>
  <c r="L3795" i="1"/>
  <c r="M3795" i="1" s="1"/>
  <c r="N3795" i="1" s="1"/>
  <c r="L3796" i="1"/>
  <c r="M3796" i="1" s="1"/>
  <c r="N3796" i="1" s="1"/>
  <c r="L3797" i="1"/>
  <c r="M3797" i="1" s="1"/>
  <c r="N3797" i="1" s="1"/>
  <c r="L3798" i="1"/>
  <c r="M3798" i="1" s="1"/>
  <c r="N3798" i="1" s="1"/>
  <c r="L3799" i="1"/>
  <c r="M3799" i="1" s="1"/>
  <c r="N3799" i="1" s="1"/>
  <c r="L3800" i="1"/>
  <c r="M3800" i="1" s="1"/>
  <c r="N3800" i="1" s="1"/>
  <c r="L3801" i="1"/>
  <c r="M3801" i="1" s="1"/>
  <c r="N3801" i="1" s="1"/>
  <c r="L3802" i="1"/>
  <c r="M3802" i="1" s="1"/>
  <c r="N3802" i="1" s="1"/>
  <c r="L3803" i="1"/>
  <c r="M3803" i="1" s="1"/>
  <c r="N3803" i="1" s="1"/>
  <c r="L3804" i="1"/>
  <c r="M3804" i="1" s="1"/>
  <c r="N3804" i="1" s="1"/>
  <c r="L3805" i="1"/>
  <c r="M3805" i="1" s="1"/>
  <c r="N3805" i="1" s="1"/>
  <c r="L3806" i="1"/>
  <c r="M3806" i="1" s="1"/>
  <c r="N3806" i="1" s="1"/>
  <c r="L3807" i="1"/>
  <c r="M3807" i="1" s="1"/>
  <c r="N3807" i="1" s="1"/>
  <c r="L3808" i="1"/>
  <c r="M3808" i="1" s="1"/>
  <c r="N3808" i="1" s="1"/>
  <c r="L3809" i="1"/>
  <c r="M3809" i="1" s="1"/>
  <c r="N3809" i="1" s="1"/>
  <c r="L3810" i="1"/>
  <c r="M3810" i="1" s="1"/>
  <c r="N3810" i="1" s="1"/>
  <c r="L3811" i="1"/>
  <c r="M3811" i="1" s="1"/>
  <c r="N3811" i="1" s="1"/>
  <c r="L3812" i="1"/>
  <c r="M3812" i="1" s="1"/>
  <c r="N3812" i="1" s="1"/>
  <c r="L3813" i="1"/>
  <c r="M3813" i="1" s="1"/>
  <c r="N3813" i="1" s="1"/>
  <c r="L3814" i="1"/>
  <c r="M3814" i="1" s="1"/>
  <c r="N3814" i="1" s="1"/>
  <c r="L3815" i="1"/>
  <c r="M3815" i="1" s="1"/>
  <c r="N3815" i="1" s="1"/>
  <c r="L3816" i="1"/>
  <c r="M3816" i="1" s="1"/>
  <c r="N3816" i="1" s="1"/>
  <c r="L3817" i="1"/>
  <c r="M3817" i="1" s="1"/>
  <c r="N3817" i="1" s="1"/>
  <c r="L3818" i="1"/>
  <c r="M3818" i="1" s="1"/>
  <c r="N3818" i="1" s="1"/>
  <c r="L3819" i="1"/>
  <c r="M3819" i="1" s="1"/>
  <c r="N3819" i="1" s="1"/>
  <c r="L3820" i="1"/>
  <c r="M3820" i="1" s="1"/>
  <c r="N3820" i="1" s="1"/>
  <c r="L3821" i="1"/>
  <c r="M3821" i="1" s="1"/>
  <c r="N3821" i="1" s="1"/>
  <c r="L3822" i="1"/>
  <c r="M3822" i="1" s="1"/>
  <c r="N3822" i="1" s="1"/>
  <c r="L3823" i="1"/>
  <c r="M3823" i="1" s="1"/>
  <c r="N3823" i="1" s="1"/>
  <c r="L3824" i="1"/>
  <c r="M3824" i="1" s="1"/>
  <c r="N3824" i="1" s="1"/>
  <c r="L3825" i="1"/>
  <c r="M3825" i="1" s="1"/>
  <c r="N3825" i="1" s="1"/>
  <c r="L3826" i="1"/>
  <c r="M3826" i="1" s="1"/>
  <c r="N3826" i="1" s="1"/>
  <c r="L3827" i="1"/>
  <c r="M3827" i="1" s="1"/>
  <c r="N3827" i="1" s="1"/>
  <c r="L3828" i="1"/>
  <c r="M3828" i="1" s="1"/>
  <c r="N3828" i="1" s="1"/>
  <c r="L3829" i="1"/>
  <c r="M3829" i="1" s="1"/>
  <c r="N3829" i="1" s="1"/>
  <c r="L3830" i="1"/>
  <c r="M3830" i="1" s="1"/>
  <c r="N3830" i="1" s="1"/>
  <c r="L3831" i="1"/>
  <c r="M3831" i="1" s="1"/>
  <c r="N3831" i="1" s="1"/>
  <c r="L3832" i="1"/>
  <c r="M3832" i="1" s="1"/>
  <c r="N3832" i="1" s="1"/>
  <c r="L3833" i="1"/>
  <c r="M3833" i="1" s="1"/>
  <c r="N3833" i="1" s="1"/>
  <c r="L3834" i="1"/>
  <c r="M3834" i="1" s="1"/>
  <c r="N3834" i="1" s="1"/>
  <c r="L3835" i="1"/>
  <c r="M3835" i="1" s="1"/>
  <c r="N3835" i="1" s="1"/>
  <c r="L3836" i="1"/>
  <c r="M3836" i="1" s="1"/>
  <c r="N3836" i="1" s="1"/>
  <c r="L3837" i="1"/>
  <c r="M3837" i="1" s="1"/>
  <c r="N3837" i="1" s="1"/>
  <c r="L3838" i="1"/>
  <c r="M3838" i="1" s="1"/>
  <c r="N3838" i="1" s="1"/>
  <c r="L3839" i="1"/>
  <c r="M3839" i="1" s="1"/>
  <c r="N3839" i="1" s="1"/>
  <c r="L3840" i="1"/>
  <c r="M3840" i="1" s="1"/>
  <c r="N3840" i="1" s="1"/>
  <c r="L3841" i="1"/>
  <c r="M3841" i="1" s="1"/>
  <c r="N3841" i="1" s="1"/>
  <c r="L3842" i="1"/>
  <c r="M3842" i="1" s="1"/>
  <c r="N3842" i="1" s="1"/>
  <c r="L3843" i="1"/>
  <c r="M3843" i="1" s="1"/>
  <c r="N3843" i="1" s="1"/>
  <c r="L3844" i="1"/>
  <c r="M3844" i="1" s="1"/>
  <c r="N3844" i="1" s="1"/>
  <c r="L3845" i="1"/>
  <c r="M3845" i="1" s="1"/>
  <c r="N3845" i="1" s="1"/>
  <c r="L3846" i="1"/>
  <c r="M3846" i="1" s="1"/>
  <c r="N3846" i="1" s="1"/>
  <c r="L3847" i="1"/>
  <c r="M3847" i="1" s="1"/>
  <c r="N3847" i="1" s="1"/>
  <c r="L3848" i="1"/>
  <c r="M3848" i="1" s="1"/>
  <c r="N3848" i="1" s="1"/>
  <c r="L3849" i="1"/>
  <c r="M3849" i="1" s="1"/>
  <c r="N3849" i="1" s="1"/>
  <c r="L3850" i="1"/>
  <c r="M3850" i="1" s="1"/>
  <c r="N3850" i="1" s="1"/>
  <c r="L3851" i="1"/>
  <c r="M3851" i="1" s="1"/>
  <c r="N3851" i="1" s="1"/>
  <c r="L3852" i="1"/>
  <c r="M3852" i="1" s="1"/>
  <c r="N3852" i="1" s="1"/>
  <c r="L3853" i="1"/>
  <c r="M3853" i="1" s="1"/>
  <c r="N3853" i="1" s="1"/>
  <c r="L3854" i="1"/>
  <c r="M3854" i="1" s="1"/>
  <c r="N3854" i="1" s="1"/>
  <c r="L3855" i="1"/>
  <c r="M3855" i="1" s="1"/>
  <c r="N3855" i="1" s="1"/>
  <c r="L3856" i="1"/>
  <c r="M3856" i="1" s="1"/>
  <c r="N3856" i="1" s="1"/>
  <c r="L3857" i="1"/>
  <c r="M3857" i="1" s="1"/>
  <c r="N3857" i="1" s="1"/>
  <c r="L3858" i="1"/>
  <c r="M3858" i="1" s="1"/>
  <c r="N3858" i="1" s="1"/>
  <c r="L3859" i="1"/>
  <c r="M3859" i="1" s="1"/>
  <c r="N3859" i="1" s="1"/>
  <c r="L3860" i="1"/>
  <c r="M3860" i="1" s="1"/>
  <c r="N3860" i="1" s="1"/>
  <c r="L3861" i="1"/>
  <c r="M3861" i="1" s="1"/>
  <c r="N3861" i="1" s="1"/>
  <c r="L3862" i="1"/>
  <c r="M3862" i="1" s="1"/>
  <c r="N3862" i="1" s="1"/>
  <c r="L3863" i="1"/>
  <c r="M3863" i="1" s="1"/>
  <c r="N3863" i="1" s="1"/>
  <c r="L3864" i="1"/>
  <c r="M3864" i="1" s="1"/>
  <c r="N3864" i="1" s="1"/>
  <c r="L3865" i="1"/>
  <c r="M3865" i="1" s="1"/>
  <c r="N3865" i="1" s="1"/>
  <c r="L3866" i="1"/>
  <c r="M3866" i="1" s="1"/>
  <c r="N3866" i="1" s="1"/>
  <c r="L3867" i="1"/>
  <c r="M3867" i="1" s="1"/>
  <c r="N3867" i="1" s="1"/>
  <c r="L3868" i="1"/>
  <c r="M3868" i="1" s="1"/>
  <c r="N3868" i="1" s="1"/>
  <c r="L3869" i="1"/>
  <c r="M3869" i="1" s="1"/>
  <c r="N3869" i="1" s="1"/>
  <c r="L3870" i="1"/>
  <c r="M3870" i="1" s="1"/>
  <c r="N3870" i="1" s="1"/>
  <c r="L3871" i="1"/>
  <c r="M3871" i="1" s="1"/>
  <c r="N3871" i="1" s="1"/>
  <c r="L3872" i="1"/>
  <c r="M3872" i="1" s="1"/>
  <c r="N3872" i="1" s="1"/>
  <c r="L3873" i="1"/>
  <c r="M3873" i="1" s="1"/>
  <c r="N3873" i="1" s="1"/>
  <c r="L3874" i="1"/>
  <c r="M3874" i="1" s="1"/>
  <c r="N3874" i="1" s="1"/>
  <c r="L3875" i="1"/>
  <c r="M3875" i="1" s="1"/>
  <c r="N3875" i="1" s="1"/>
  <c r="L3876" i="1"/>
  <c r="M3876" i="1" s="1"/>
  <c r="N3876" i="1" s="1"/>
  <c r="L3877" i="1"/>
  <c r="M3877" i="1" s="1"/>
  <c r="N3877" i="1" s="1"/>
  <c r="L3878" i="1"/>
  <c r="M3878" i="1" s="1"/>
  <c r="N3878" i="1" s="1"/>
  <c r="L3879" i="1"/>
  <c r="M3879" i="1" s="1"/>
  <c r="N3879" i="1" s="1"/>
  <c r="L3880" i="1"/>
  <c r="M3880" i="1" s="1"/>
  <c r="N3880" i="1" s="1"/>
  <c r="L3881" i="1"/>
  <c r="M3881" i="1" s="1"/>
  <c r="N3881" i="1" s="1"/>
  <c r="L3882" i="1"/>
  <c r="M3882" i="1" s="1"/>
  <c r="N3882" i="1" s="1"/>
  <c r="L3883" i="1"/>
  <c r="M3883" i="1" s="1"/>
  <c r="N3883" i="1" s="1"/>
  <c r="L3884" i="1"/>
  <c r="M3884" i="1" s="1"/>
  <c r="N3884" i="1" s="1"/>
  <c r="L3885" i="1"/>
  <c r="M3885" i="1" s="1"/>
  <c r="N3885" i="1" s="1"/>
  <c r="L3886" i="1"/>
  <c r="M3886" i="1" s="1"/>
  <c r="N3886" i="1" s="1"/>
  <c r="L3887" i="1"/>
  <c r="M3887" i="1" s="1"/>
  <c r="N3887" i="1" s="1"/>
  <c r="L3888" i="1"/>
  <c r="M3888" i="1" s="1"/>
  <c r="N3888" i="1" s="1"/>
  <c r="L3889" i="1"/>
  <c r="M3889" i="1" s="1"/>
  <c r="N3889" i="1" s="1"/>
  <c r="L3890" i="1"/>
  <c r="M3890" i="1" s="1"/>
  <c r="N3890" i="1" s="1"/>
  <c r="L3891" i="1"/>
  <c r="M3891" i="1" s="1"/>
  <c r="N3891" i="1" s="1"/>
  <c r="L3892" i="1"/>
  <c r="M3892" i="1" s="1"/>
  <c r="N3892" i="1" s="1"/>
  <c r="L3893" i="1"/>
  <c r="M3893" i="1" s="1"/>
  <c r="N3893" i="1" s="1"/>
  <c r="L3894" i="1"/>
  <c r="M3894" i="1" s="1"/>
  <c r="N3894" i="1" s="1"/>
  <c r="L3895" i="1"/>
  <c r="M3895" i="1" s="1"/>
  <c r="N3895" i="1" s="1"/>
  <c r="L3896" i="1"/>
  <c r="M3896" i="1" s="1"/>
  <c r="N3896" i="1" s="1"/>
  <c r="L3897" i="1"/>
  <c r="M3897" i="1" s="1"/>
  <c r="N3897" i="1" s="1"/>
  <c r="L3898" i="1"/>
  <c r="M3898" i="1" s="1"/>
  <c r="N3898" i="1" s="1"/>
  <c r="L3899" i="1"/>
  <c r="M3899" i="1" s="1"/>
  <c r="N3899" i="1" s="1"/>
  <c r="L3900" i="1"/>
  <c r="M3900" i="1" s="1"/>
  <c r="N3900" i="1" s="1"/>
  <c r="L3901" i="1"/>
  <c r="M3901" i="1" s="1"/>
  <c r="N3901" i="1" s="1"/>
  <c r="L3902" i="1"/>
  <c r="M3902" i="1" s="1"/>
  <c r="N3902" i="1" s="1"/>
  <c r="L3903" i="1"/>
  <c r="M3903" i="1" s="1"/>
  <c r="N3903" i="1" s="1"/>
  <c r="L3904" i="1"/>
  <c r="M3904" i="1" s="1"/>
  <c r="N3904" i="1" s="1"/>
  <c r="L3905" i="1"/>
  <c r="M3905" i="1" s="1"/>
  <c r="N3905" i="1" s="1"/>
  <c r="L3906" i="1"/>
  <c r="M3906" i="1" s="1"/>
  <c r="N3906" i="1" s="1"/>
  <c r="L3907" i="1"/>
  <c r="M3907" i="1" s="1"/>
  <c r="N3907" i="1" s="1"/>
  <c r="L3908" i="1"/>
  <c r="M3908" i="1" s="1"/>
  <c r="N3908" i="1" s="1"/>
  <c r="L3909" i="1"/>
  <c r="M3909" i="1" s="1"/>
  <c r="N3909" i="1" s="1"/>
  <c r="L3910" i="1"/>
  <c r="M3910" i="1" s="1"/>
  <c r="N3910" i="1" s="1"/>
  <c r="L3911" i="1"/>
  <c r="M3911" i="1" s="1"/>
  <c r="N3911" i="1" s="1"/>
  <c r="L3912" i="1"/>
  <c r="M3912" i="1" s="1"/>
  <c r="N3912" i="1" s="1"/>
  <c r="L3913" i="1"/>
  <c r="M3913" i="1" s="1"/>
  <c r="N3913" i="1" s="1"/>
  <c r="L3914" i="1"/>
  <c r="M3914" i="1" s="1"/>
  <c r="N3914" i="1" s="1"/>
  <c r="L3915" i="1"/>
  <c r="M3915" i="1" s="1"/>
  <c r="N3915" i="1" s="1"/>
  <c r="L3916" i="1"/>
  <c r="M3916" i="1" s="1"/>
  <c r="N3916" i="1" s="1"/>
  <c r="L3917" i="1"/>
  <c r="M3917" i="1" s="1"/>
  <c r="N3917" i="1" s="1"/>
  <c r="L3918" i="1"/>
  <c r="M3918" i="1" s="1"/>
  <c r="N3918" i="1" s="1"/>
  <c r="L3919" i="1"/>
  <c r="M3919" i="1" s="1"/>
  <c r="N3919" i="1" s="1"/>
  <c r="L3920" i="1"/>
  <c r="M3920" i="1" s="1"/>
  <c r="N3920" i="1" s="1"/>
  <c r="L3921" i="1"/>
  <c r="M3921" i="1" s="1"/>
  <c r="N3921" i="1" s="1"/>
  <c r="L3922" i="1"/>
  <c r="M3922" i="1" s="1"/>
  <c r="N3922" i="1" s="1"/>
  <c r="L3923" i="1"/>
  <c r="M3923" i="1" s="1"/>
  <c r="N3923" i="1" s="1"/>
  <c r="L3924" i="1"/>
  <c r="M3924" i="1" s="1"/>
  <c r="N3924" i="1" s="1"/>
  <c r="L3925" i="1"/>
  <c r="M3925" i="1" s="1"/>
  <c r="N3925" i="1" s="1"/>
  <c r="L3926" i="1"/>
  <c r="M3926" i="1" s="1"/>
  <c r="N3926" i="1" s="1"/>
  <c r="L3927" i="1"/>
  <c r="M3927" i="1" s="1"/>
  <c r="N3927" i="1" s="1"/>
  <c r="L3928" i="1"/>
  <c r="M3928" i="1" s="1"/>
  <c r="N3928" i="1" s="1"/>
  <c r="L3929" i="1"/>
  <c r="M3929" i="1" s="1"/>
  <c r="N3929" i="1" s="1"/>
  <c r="L3930" i="1"/>
  <c r="M3930" i="1" s="1"/>
  <c r="N3930" i="1" s="1"/>
  <c r="L3931" i="1"/>
  <c r="M3931" i="1" s="1"/>
  <c r="N3931" i="1" s="1"/>
  <c r="L3932" i="1"/>
  <c r="M3932" i="1" s="1"/>
  <c r="N3932" i="1" s="1"/>
  <c r="L3933" i="1"/>
  <c r="M3933" i="1" s="1"/>
  <c r="N3933" i="1" s="1"/>
  <c r="L3934" i="1"/>
  <c r="M3934" i="1" s="1"/>
  <c r="N3934" i="1" s="1"/>
  <c r="L3935" i="1"/>
  <c r="M3935" i="1" s="1"/>
  <c r="N3935" i="1" s="1"/>
  <c r="L3936" i="1"/>
  <c r="M3936" i="1" s="1"/>
  <c r="N3936" i="1" s="1"/>
  <c r="L3937" i="1"/>
  <c r="M3937" i="1" s="1"/>
  <c r="N3937" i="1" s="1"/>
  <c r="L3938" i="1"/>
  <c r="M3938" i="1" s="1"/>
  <c r="N3938" i="1" s="1"/>
  <c r="L3939" i="1"/>
  <c r="M3939" i="1" s="1"/>
  <c r="N3939" i="1" s="1"/>
  <c r="L3940" i="1"/>
  <c r="M3940" i="1" s="1"/>
  <c r="N3940" i="1" s="1"/>
  <c r="L3941" i="1"/>
  <c r="M3941" i="1" s="1"/>
  <c r="N3941" i="1" s="1"/>
  <c r="L3942" i="1"/>
  <c r="M3942" i="1" s="1"/>
  <c r="N3942" i="1" s="1"/>
  <c r="L3943" i="1"/>
  <c r="M3943" i="1" s="1"/>
  <c r="N3943" i="1" s="1"/>
  <c r="L3944" i="1"/>
  <c r="M3944" i="1" s="1"/>
  <c r="N3944" i="1" s="1"/>
  <c r="L3945" i="1"/>
  <c r="M3945" i="1" s="1"/>
  <c r="N3945" i="1" s="1"/>
  <c r="L3946" i="1"/>
  <c r="M3946" i="1" s="1"/>
  <c r="N3946" i="1" s="1"/>
  <c r="L3947" i="1"/>
  <c r="M3947" i="1" s="1"/>
  <c r="N3947" i="1" s="1"/>
  <c r="L3948" i="1"/>
  <c r="M3948" i="1" s="1"/>
  <c r="N3948" i="1" s="1"/>
  <c r="L3949" i="1"/>
  <c r="M3949" i="1" s="1"/>
  <c r="N3949" i="1" s="1"/>
  <c r="L3950" i="1"/>
  <c r="M3950" i="1" s="1"/>
  <c r="N3950" i="1" s="1"/>
  <c r="L3951" i="1"/>
  <c r="M3951" i="1" s="1"/>
  <c r="N3951" i="1" s="1"/>
  <c r="L3952" i="1"/>
  <c r="M3952" i="1" s="1"/>
  <c r="N3952" i="1" s="1"/>
  <c r="L3953" i="1"/>
  <c r="M3953" i="1" s="1"/>
  <c r="N3953" i="1" s="1"/>
  <c r="L3954" i="1"/>
  <c r="M3954" i="1" s="1"/>
  <c r="N3954" i="1" s="1"/>
  <c r="L3955" i="1"/>
  <c r="M3955" i="1" s="1"/>
  <c r="N3955" i="1" s="1"/>
  <c r="L3956" i="1"/>
  <c r="M3956" i="1" s="1"/>
  <c r="N3956" i="1" s="1"/>
  <c r="L3957" i="1"/>
  <c r="M3957" i="1" s="1"/>
  <c r="N3957" i="1" s="1"/>
  <c r="L3958" i="1"/>
  <c r="M3958" i="1" s="1"/>
  <c r="N3958" i="1" s="1"/>
  <c r="L3959" i="1"/>
  <c r="M3959" i="1" s="1"/>
  <c r="N3959" i="1" s="1"/>
  <c r="L3960" i="1"/>
  <c r="M3960" i="1" s="1"/>
  <c r="N3960" i="1" s="1"/>
  <c r="L3961" i="1"/>
  <c r="M3961" i="1" s="1"/>
  <c r="N3961" i="1" s="1"/>
  <c r="L3962" i="1"/>
  <c r="M3962" i="1" s="1"/>
  <c r="N3962" i="1" s="1"/>
  <c r="L3963" i="1"/>
  <c r="M3963" i="1" s="1"/>
  <c r="N3963" i="1" s="1"/>
  <c r="L3964" i="1"/>
  <c r="M3964" i="1" s="1"/>
  <c r="N3964" i="1" s="1"/>
  <c r="L3965" i="1"/>
  <c r="M3965" i="1" s="1"/>
  <c r="N3965" i="1" s="1"/>
  <c r="L3966" i="1"/>
  <c r="M3966" i="1" s="1"/>
  <c r="N3966" i="1" s="1"/>
  <c r="L3967" i="1"/>
  <c r="M3967" i="1" s="1"/>
  <c r="N3967" i="1" s="1"/>
  <c r="L3968" i="1"/>
  <c r="M3968" i="1" s="1"/>
  <c r="N3968" i="1" s="1"/>
  <c r="L3969" i="1"/>
  <c r="M3969" i="1" s="1"/>
  <c r="N3969" i="1" s="1"/>
  <c r="L3970" i="1"/>
  <c r="M3970" i="1" s="1"/>
  <c r="N3970" i="1" s="1"/>
  <c r="L3971" i="1"/>
  <c r="M3971" i="1" s="1"/>
  <c r="N3971" i="1" s="1"/>
  <c r="L3972" i="1"/>
  <c r="M3972" i="1" s="1"/>
  <c r="N3972" i="1" s="1"/>
  <c r="L3973" i="1"/>
  <c r="M3973" i="1" s="1"/>
  <c r="N3973" i="1" s="1"/>
  <c r="L3974" i="1"/>
  <c r="M3974" i="1" s="1"/>
  <c r="N3974" i="1" s="1"/>
  <c r="L3975" i="1"/>
  <c r="M3975" i="1" s="1"/>
  <c r="N3975" i="1" s="1"/>
  <c r="L3976" i="1"/>
  <c r="M3976" i="1" s="1"/>
  <c r="N3976" i="1" s="1"/>
  <c r="L3977" i="1"/>
  <c r="M3977" i="1" s="1"/>
  <c r="N3977" i="1" s="1"/>
  <c r="L3978" i="1"/>
  <c r="M3978" i="1" s="1"/>
  <c r="N3978" i="1" s="1"/>
  <c r="L3979" i="1"/>
  <c r="M3979" i="1" s="1"/>
  <c r="N3979" i="1" s="1"/>
  <c r="L3980" i="1"/>
  <c r="M3980" i="1" s="1"/>
  <c r="N3980" i="1" s="1"/>
  <c r="L3981" i="1"/>
  <c r="M3981" i="1" s="1"/>
  <c r="N3981" i="1" s="1"/>
  <c r="L3982" i="1"/>
  <c r="M3982" i="1" s="1"/>
  <c r="N3982" i="1" s="1"/>
  <c r="L3983" i="1"/>
  <c r="M3983" i="1" s="1"/>
  <c r="N3983" i="1" s="1"/>
  <c r="L3984" i="1"/>
  <c r="M3984" i="1" s="1"/>
  <c r="N3984" i="1" s="1"/>
  <c r="L3985" i="1"/>
  <c r="M3985" i="1" s="1"/>
  <c r="N3985" i="1" s="1"/>
  <c r="L3986" i="1"/>
  <c r="M3986" i="1" s="1"/>
  <c r="N3986" i="1" s="1"/>
  <c r="L3987" i="1"/>
  <c r="M3987" i="1" s="1"/>
  <c r="N3987" i="1" s="1"/>
  <c r="L3988" i="1"/>
  <c r="M3988" i="1" s="1"/>
  <c r="N3988" i="1" s="1"/>
  <c r="L3989" i="1"/>
  <c r="M3989" i="1" s="1"/>
  <c r="N3989" i="1" s="1"/>
  <c r="L3990" i="1"/>
  <c r="M3990" i="1" s="1"/>
  <c r="N3990" i="1" s="1"/>
  <c r="L3991" i="1"/>
  <c r="M3991" i="1" s="1"/>
  <c r="N3991" i="1" s="1"/>
  <c r="L3992" i="1"/>
  <c r="M3992" i="1" s="1"/>
  <c r="N3992" i="1" s="1"/>
  <c r="L3993" i="1"/>
  <c r="M3993" i="1" s="1"/>
  <c r="N3993" i="1" s="1"/>
  <c r="L3994" i="1"/>
  <c r="M3994" i="1" s="1"/>
  <c r="N3994" i="1" s="1"/>
  <c r="L3995" i="1"/>
  <c r="M3995" i="1" s="1"/>
  <c r="N3995" i="1" s="1"/>
  <c r="L3996" i="1"/>
  <c r="M3996" i="1" s="1"/>
  <c r="N3996" i="1" s="1"/>
  <c r="L3997" i="1"/>
  <c r="M3997" i="1" s="1"/>
  <c r="N3997" i="1" s="1"/>
  <c r="L3998" i="1"/>
  <c r="M3998" i="1" s="1"/>
  <c r="N3998" i="1" s="1"/>
  <c r="L3999" i="1"/>
  <c r="M3999" i="1" s="1"/>
  <c r="N3999" i="1" s="1"/>
  <c r="L4000" i="1"/>
  <c r="M4000" i="1" s="1"/>
  <c r="N4000" i="1" s="1"/>
  <c r="L4001" i="1"/>
  <c r="M4001" i="1" s="1"/>
  <c r="N4001" i="1" s="1"/>
  <c r="L4002" i="1"/>
  <c r="M4002" i="1" s="1"/>
  <c r="N4002" i="1" s="1"/>
  <c r="L4003" i="1"/>
  <c r="M4003" i="1" s="1"/>
  <c r="N4003" i="1" s="1"/>
  <c r="L4004" i="1"/>
  <c r="M4004" i="1" s="1"/>
  <c r="N4004" i="1" s="1"/>
  <c r="L4005" i="1"/>
  <c r="M4005" i="1" s="1"/>
  <c r="N4005" i="1" s="1"/>
  <c r="L4006" i="1"/>
  <c r="M4006" i="1" s="1"/>
  <c r="N4006" i="1" s="1"/>
  <c r="L4007" i="1"/>
  <c r="M4007" i="1" s="1"/>
  <c r="N4007" i="1" s="1"/>
  <c r="L4008" i="1"/>
  <c r="M4008" i="1" s="1"/>
  <c r="N4008" i="1" s="1"/>
  <c r="L4009" i="1"/>
  <c r="M4009" i="1" s="1"/>
  <c r="N4009" i="1" s="1"/>
  <c r="L4010" i="1"/>
  <c r="M4010" i="1" s="1"/>
  <c r="N4010" i="1" s="1"/>
  <c r="L4011" i="1"/>
  <c r="M4011" i="1" s="1"/>
  <c r="N4011" i="1" s="1"/>
  <c r="L4012" i="1"/>
  <c r="M4012" i="1" s="1"/>
  <c r="N4012" i="1" s="1"/>
  <c r="L4013" i="1"/>
  <c r="M4013" i="1" s="1"/>
  <c r="N4013" i="1" s="1"/>
  <c r="L4014" i="1"/>
  <c r="M4014" i="1" s="1"/>
  <c r="N4014" i="1" s="1"/>
  <c r="L4015" i="1"/>
  <c r="M4015" i="1" s="1"/>
  <c r="N4015" i="1" s="1"/>
  <c r="L4016" i="1"/>
  <c r="M4016" i="1" s="1"/>
  <c r="N4016" i="1" s="1"/>
  <c r="L4017" i="1"/>
  <c r="M4017" i="1" s="1"/>
  <c r="N4017" i="1" s="1"/>
  <c r="L4018" i="1"/>
  <c r="M4018" i="1" s="1"/>
  <c r="N4018" i="1" s="1"/>
  <c r="L4019" i="1"/>
  <c r="M4019" i="1" s="1"/>
  <c r="N4019" i="1" s="1"/>
  <c r="L4020" i="1"/>
  <c r="M4020" i="1" s="1"/>
  <c r="N4020" i="1" s="1"/>
  <c r="L4021" i="1"/>
  <c r="M4021" i="1" s="1"/>
  <c r="N4021" i="1" s="1"/>
  <c r="L4022" i="1"/>
  <c r="M4022" i="1" s="1"/>
  <c r="N4022" i="1" s="1"/>
  <c r="L4023" i="1"/>
  <c r="M4023" i="1" s="1"/>
  <c r="N4023" i="1" s="1"/>
  <c r="L4024" i="1"/>
  <c r="M4024" i="1" s="1"/>
  <c r="N4024" i="1" s="1"/>
  <c r="L4025" i="1"/>
  <c r="M4025" i="1" s="1"/>
  <c r="N4025" i="1" s="1"/>
  <c r="L4026" i="1"/>
  <c r="M4026" i="1" s="1"/>
  <c r="N4026" i="1" s="1"/>
  <c r="L4027" i="1"/>
  <c r="M4027" i="1" s="1"/>
  <c r="N4027" i="1" s="1"/>
  <c r="L4028" i="1"/>
  <c r="M4028" i="1" s="1"/>
  <c r="N4028" i="1" s="1"/>
  <c r="L4029" i="1"/>
  <c r="M4029" i="1" s="1"/>
  <c r="N4029" i="1" s="1"/>
  <c r="L4030" i="1"/>
  <c r="M4030" i="1" s="1"/>
  <c r="N4030" i="1" s="1"/>
  <c r="L4031" i="1"/>
  <c r="M4031" i="1" s="1"/>
  <c r="N4031" i="1" s="1"/>
  <c r="L4032" i="1"/>
  <c r="M4032" i="1" s="1"/>
  <c r="N4032" i="1" s="1"/>
  <c r="L4033" i="1"/>
  <c r="M4033" i="1" s="1"/>
  <c r="N4033" i="1" s="1"/>
  <c r="L4034" i="1"/>
  <c r="M4034" i="1" s="1"/>
  <c r="N4034" i="1" s="1"/>
  <c r="L4035" i="1"/>
  <c r="M4035" i="1" s="1"/>
  <c r="N4035" i="1" s="1"/>
  <c r="L4036" i="1"/>
  <c r="M4036" i="1" s="1"/>
  <c r="N4036" i="1" s="1"/>
  <c r="L4037" i="1"/>
  <c r="M4037" i="1" s="1"/>
  <c r="N4037" i="1" s="1"/>
  <c r="L4038" i="1"/>
  <c r="M4038" i="1" s="1"/>
  <c r="N4038" i="1" s="1"/>
  <c r="L4039" i="1"/>
  <c r="M4039" i="1" s="1"/>
  <c r="N4039" i="1" s="1"/>
  <c r="L4040" i="1"/>
  <c r="M4040" i="1" s="1"/>
  <c r="N4040" i="1" s="1"/>
  <c r="L4041" i="1"/>
  <c r="M4041" i="1" s="1"/>
  <c r="N4041" i="1" s="1"/>
  <c r="L4042" i="1"/>
  <c r="M4042" i="1" s="1"/>
  <c r="N4042" i="1" s="1"/>
  <c r="L4043" i="1"/>
  <c r="M4043" i="1" s="1"/>
  <c r="N4043" i="1" s="1"/>
  <c r="L4044" i="1"/>
  <c r="M4044" i="1" s="1"/>
  <c r="N4044" i="1" s="1"/>
  <c r="L4045" i="1"/>
  <c r="M4045" i="1" s="1"/>
  <c r="N4045" i="1" s="1"/>
  <c r="L4046" i="1"/>
  <c r="M4046" i="1" s="1"/>
  <c r="N4046" i="1" s="1"/>
  <c r="L4047" i="1"/>
  <c r="M4047" i="1" s="1"/>
  <c r="N4047" i="1" s="1"/>
  <c r="L4048" i="1"/>
  <c r="M4048" i="1" s="1"/>
  <c r="N4048" i="1" s="1"/>
  <c r="L4049" i="1"/>
  <c r="M4049" i="1" s="1"/>
  <c r="N4049" i="1" s="1"/>
  <c r="L4050" i="1"/>
  <c r="M4050" i="1" s="1"/>
  <c r="N4050" i="1" s="1"/>
  <c r="L4051" i="1"/>
  <c r="M4051" i="1" s="1"/>
  <c r="N4051" i="1" s="1"/>
  <c r="L4052" i="1"/>
  <c r="M4052" i="1" s="1"/>
  <c r="N4052" i="1" s="1"/>
  <c r="L4053" i="1"/>
  <c r="M4053" i="1" s="1"/>
  <c r="N4053" i="1" s="1"/>
  <c r="L4054" i="1"/>
  <c r="M4054" i="1" s="1"/>
  <c r="N4054" i="1" s="1"/>
  <c r="L4055" i="1"/>
  <c r="M4055" i="1" s="1"/>
  <c r="N4055" i="1" s="1"/>
  <c r="L4056" i="1"/>
  <c r="M4056" i="1" s="1"/>
  <c r="N4056" i="1" s="1"/>
  <c r="L4057" i="1"/>
  <c r="M4057" i="1" s="1"/>
  <c r="N4057" i="1" s="1"/>
  <c r="L4058" i="1"/>
  <c r="M4058" i="1" s="1"/>
  <c r="N4058" i="1" s="1"/>
  <c r="L4059" i="1"/>
  <c r="M4059" i="1" s="1"/>
  <c r="N4059" i="1" s="1"/>
  <c r="L4060" i="1"/>
  <c r="M4060" i="1" s="1"/>
  <c r="N4060" i="1" s="1"/>
  <c r="L4061" i="1"/>
  <c r="M4061" i="1" s="1"/>
  <c r="N4061" i="1" s="1"/>
  <c r="L4062" i="1"/>
  <c r="M4062" i="1" s="1"/>
  <c r="N4062" i="1" s="1"/>
  <c r="L4063" i="1"/>
  <c r="M4063" i="1" s="1"/>
  <c r="N4063" i="1" s="1"/>
  <c r="L4064" i="1"/>
  <c r="M4064" i="1" s="1"/>
  <c r="N4064" i="1" s="1"/>
  <c r="L4065" i="1"/>
  <c r="M4065" i="1" s="1"/>
  <c r="N4065" i="1" s="1"/>
  <c r="L4066" i="1"/>
  <c r="M4066" i="1" s="1"/>
  <c r="N4066" i="1" s="1"/>
  <c r="L4067" i="1"/>
  <c r="M4067" i="1" s="1"/>
  <c r="N4067" i="1" s="1"/>
  <c r="L4068" i="1"/>
  <c r="M4068" i="1" s="1"/>
  <c r="N4068" i="1" s="1"/>
  <c r="L4069" i="1"/>
  <c r="M4069" i="1" s="1"/>
  <c r="N4069" i="1" s="1"/>
  <c r="L4070" i="1"/>
  <c r="M4070" i="1" s="1"/>
  <c r="N4070" i="1" s="1"/>
  <c r="L4071" i="1"/>
  <c r="M4071" i="1" s="1"/>
  <c r="N4071" i="1" s="1"/>
  <c r="L4072" i="1"/>
  <c r="M4072" i="1" s="1"/>
  <c r="N4072" i="1" s="1"/>
  <c r="L4073" i="1"/>
  <c r="M4073" i="1" s="1"/>
  <c r="N4073" i="1" s="1"/>
  <c r="L4074" i="1"/>
  <c r="M4074" i="1" s="1"/>
  <c r="N4074" i="1" s="1"/>
  <c r="L4075" i="1"/>
  <c r="M4075" i="1" s="1"/>
  <c r="N4075" i="1" s="1"/>
  <c r="L4076" i="1"/>
  <c r="M4076" i="1" s="1"/>
  <c r="N4076" i="1" s="1"/>
  <c r="L4077" i="1"/>
  <c r="M4077" i="1" s="1"/>
  <c r="N4077" i="1" s="1"/>
  <c r="L4078" i="1"/>
  <c r="M4078" i="1" s="1"/>
  <c r="N4078" i="1" s="1"/>
  <c r="L4079" i="1"/>
  <c r="M4079" i="1" s="1"/>
  <c r="N4079" i="1" s="1"/>
  <c r="L4080" i="1"/>
  <c r="M4080" i="1" s="1"/>
  <c r="N4080" i="1" s="1"/>
  <c r="L4081" i="1"/>
  <c r="M4081" i="1" s="1"/>
  <c r="N4081" i="1" s="1"/>
  <c r="L4082" i="1"/>
  <c r="M4082" i="1" s="1"/>
  <c r="N4082" i="1" s="1"/>
  <c r="L4083" i="1"/>
  <c r="M4083" i="1" s="1"/>
  <c r="N4083" i="1" s="1"/>
  <c r="L4084" i="1"/>
  <c r="M4084" i="1" s="1"/>
  <c r="N4084" i="1" s="1"/>
  <c r="L4085" i="1"/>
  <c r="M4085" i="1" s="1"/>
  <c r="N4085" i="1" s="1"/>
  <c r="L4086" i="1"/>
  <c r="M4086" i="1" s="1"/>
  <c r="N4086" i="1" s="1"/>
  <c r="L4087" i="1"/>
  <c r="M4087" i="1" s="1"/>
  <c r="N4087" i="1" s="1"/>
  <c r="L4088" i="1"/>
  <c r="M4088" i="1" s="1"/>
  <c r="N4088" i="1" s="1"/>
  <c r="L4089" i="1"/>
  <c r="M4089" i="1" s="1"/>
  <c r="N4089" i="1" s="1"/>
  <c r="L4090" i="1"/>
  <c r="M4090" i="1" s="1"/>
  <c r="N4090" i="1" s="1"/>
  <c r="L4091" i="1"/>
  <c r="M4091" i="1" s="1"/>
  <c r="N4091" i="1" s="1"/>
  <c r="L4092" i="1"/>
  <c r="M4092" i="1" s="1"/>
  <c r="N4092" i="1" s="1"/>
  <c r="L4093" i="1"/>
  <c r="M4093" i="1" s="1"/>
  <c r="N4093" i="1" s="1"/>
  <c r="L4094" i="1"/>
  <c r="M4094" i="1" s="1"/>
  <c r="N4094" i="1" s="1"/>
  <c r="L4095" i="1"/>
  <c r="M4095" i="1" s="1"/>
  <c r="N4095" i="1" s="1"/>
  <c r="L4096" i="1"/>
  <c r="M4096" i="1" s="1"/>
  <c r="N4096" i="1" s="1"/>
  <c r="L4097" i="1"/>
  <c r="M4097" i="1" s="1"/>
  <c r="N4097" i="1" s="1"/>
  <c r="L4098" i="1"/>
  <c r="M4098" i="1" s="1"/>
  <c r="N4098" i="1" s="1"/>
  <c r="L4099" i="1"/>
  <c r="M4099" i="1" s="1"/>
  <c r="N4099" i="1" s="1"/>
  <c r="L4100" i="1"/>
  <c r="M4100" i="1" s="1"/>
  <c r="N4100" i="1" s="1"/>
  <c r="L4101" i="1"/>
  <c r="M4101" i="1" s="1"/>
  <c r="N4101" i="1" s="1"/>
  <c r="L4102" i="1"/>
  <c r="M4102" i="1" s="1"/>
  <c r="N4102" i="1" s="1"/>
  <c r="L4103" i="1"/>
  <c r="M4103" i="1" s="1"/>
  <c r="N4103" i="1" s="1"/>
  <c r="L4104" i="1"/>
  <c r="M4104" i="1" s="1"/>
  <c r="N4104" i="1" s="1"/>
  <c r="L4105" i="1"/>
  <c r="M4105" i="1" s="1"/>
  <c r="N4105" i="1" s="1"/>
  <c r="L4106" i="1"/>
  <c r="M4106" i="1" s="1"/>
  <c r="N4106" i="1" s="1"/>
  <c r="L4107" i="1"/>
  <c r="M4107" i="1" s="1"/>
  <c r="N4107" i="1" s="1"/>
  <c r="L4108" i="1"/>
  <c r="M4108" i="1" s="1"/>
  <c r="N4108" i="1" s="1"/>
  <c r="L4109" i="1"/>
  <c r="M4109" i="1" s="1"/>
  <c r="N4109" i="1" s="1"/>
  <c r="L4110" i="1"/>
  <c r="M4110" i="1" s="1"/>
  <c r="N4110" i="1" s="1"/>
  <c r="L4111" i="1"/>
  <c r="M4111" i="1" s="1"/>
  <c r="N4111" i="1" s="1"/>
  <c r="L4112" i="1"/>
  <c r="M4112" i="1" s="1"/>
  <c r="N4112" i="1" s="1"/>
  <c r="L4113" i="1"/>
  <c r="M4113" i="1" s="1"/>
  <c r="N4113" i="1" s="1"/>
  <c r="L4114" i="1"/>
  <c r="M4114" i="1" s="1"/>
  <c r="N4114" i="1" s="1"/>
  <c r="L4115" i="1"/>
  <c r="M4115" i="1" s="1"/>
  <c r="N4115" i="1" s="1"/>
  <c r="L4116" i="1"/>
  <c r="M4116" i="1" s="1"/>
  <c r="N4116" i="1" s="1"/>
  <c r="L4117" i="1"/>
  <c r="M4117" i="1" s="1"/>
  <c r="N4117" i="1" s="1"/>
  <c r="L4118" i="1"/>
  <c r="M4118" i="1" s="1"/>
  <c r="N4118" i="1" s="1"/>
  <c r="L4119" i="1"/>
  <c r="M4119" i="1" s="1"/>
  <c r="N4119" i="1" s="1"/>
  <c r="L4120" i="1"/>
  <c r="M4120" i="1" s="1"/>
  <c r="N4120" i="1" s="1"/>
  <c r="L4121" i="1"/>
  <c r="M4121" i="1" s="1"/>
  <c r="N4121" i="1" s="1"/>
  <c r="L4122" i="1"/>
  <c r="M4122" i="1" s="1"/>
  <c r="N4122" i="1" s="1"/>
  <c r="L4123" i="1"/>
  <c r="M4123" i="1" s="1"/>
  <c r="N4123" i="1" s="1"/>
  <c r="L4124" i="1"/>
  <c r="M4124" i="1" s="1"/>
  <c r="N4124" i="1" s="1"/>
  <c r="L4125" i="1"/>
  <c r="M4125" i="1" s="1"/>
  <c r="N4125" i="1" s="1"/>
  <c r="L4126" i="1"/>
  <c r="M4126" i="1" s="1"/>
  <c r="N4126" i="1" s="1"/>
  <c r="L4127" i="1"/>
  <c r="M4127" i="1" s="1"/>
  <c r="N4127" i="1" s="1"/>
  <c r="L4128" i="1"/>
  <c r="M4128" i="1" s="1"/>
  <c r="N4128" i="1" s="1"/>
  <c r="L4129" i="1"/>
  <c r="M4129" i="1" s="1"/>
  <c r="N4129" i="1" s="1"/>
  <c r="L4130" i="1"/>
  <c r="M4130" i="1" s="1"/>
  <c r="N4130" i="1" s="1"/>
  <c r="L4131" i="1"/>
  <c r="M4131" i="1" s="1"/>
  <c r="N4131" i="1" s="1"/>
  <c r="L4132" i="1"/>
  <c r="M4132" i="1" s="1"/>
  <c r="N4132" i="1" s="1"/>
  <c r="L4133" i="1"/>
  <c r="M4133" i="1" s="1"/>
  <c r="N4133" i="1" s="1"/>
  <c r="L4134" i="1"/>
  <c r="M4134" i="1" s="1"/>
  <c r="N4134" i="1" s="1"/>
  <c r="L4135" i="1"/>
  <c r="M4135" i="1" s="1"/>
  <c r="N4135" i="1" s="1"/>
  <c r="L4136" i="1"/>
  <c r="M4136" i="1" s="1"/>
  <c r="N4136" i="1" s="1"/>
  <c r="L4137" i="1"/>
  <c r="M4137" i="1" s="1"/>
  <c r="N4137" i="1" s="1"/>
  <c r="L4138" i="1"/>
  <c r="M4138" i="1" s="1"/>
  <c r="N4138" i="1" s="1"/>
  <c r="L4139" i="1"/>
  <c r="M4139" i="1" s="1"/>
  <c r="N4139" i="1" s="1"/>
  <c r="L4140" i="1"/>
  <c r="M4140" i="1" s="1"/>
  <c r="N4140" i="1" s="1"/>
  <c r="L4141" i="1"/>
  <c r="M4141" i="1" s="1"/>
  <c r="N4141" i="1" s="1"/>
  <c r="L4142" i="1"/>
  <c r="M4142" i="1" s="1"/>
  <c r="N4142" i="1" s="1"/>
  <c r="L4143" i="1"/>
  <c r="M4143" i="1" s="1"/>
  <c r="N4143" i="1" s="1"/>
  <c r="L4144" i="1"/>
  <c r="M4144" i="1" s="1"/>
  <c r="N4144" i="1" s="1"/>
  <c r="L4145" i="1"/>
  <c r="M4145" i="1" s="1"/>
  <c r="N4145" i="1" s="1"/>
  <c r="L4146" i="1"/>
  <c r="M4146" i="1" s="1"/>
  <c r="N4146" i="1" s="1"/>
  <c r="L4147" i="1"/>
  <c r="M4147" i="1" s="1"/>
  <c r="N4147" i="1" s="1"/>
  <c r="L4148" i="1"/>
  <c r="M4148" i="1" s="1"/>
  <c r="N4148" i="1" s="1"/>
  <c r="L4149" i="1"/>
  <c r="M4149" i="1" s="1"/>
  <c r="N4149" i="1" s="1"/>
  <c r="L4150" i="1"/>
  <c r="M4150" i="1" s="1"/>
  <c r="N4150" i="1" s="1"/>
  <c r="L4151" i="1"/>
  <c r="M4151" i="1" s="1"/>
  <c r="N4151" i="1" s="1"/>
  <c r="L4152" i="1"/>
  <c r="M4152" i="1" s="1"/>
  <c r="N4152" i="1" s="1"/>
  <c r="L4153" i="1"/>
  <c r="M4153" i="1" s="1"/>
  <c r="N4153" i="1" s="1"/>
  <c r="L4154" i="1"/>
  <c r="M4154" i="1" s="1"/>
  <c r="N4154" i="1" s="1"/>
  <c r="L4155" i="1"/>
  <c r="M4155" i="1" s="1"/>
  <c r="N4155" i="1" s="1"/>
  <c r="L4156" i="1"/>
  <c r="M4156" i="1" s="1"/>
  <c r="N4156" i="1" s="1"/>
  <c r="L4157" i="1"/>
  <c r="M4157" i="1" s="1"/>
  <c r="N4157" i="1" s="1"/>
  <c r="L4158" i="1"/>
  <c r="M4158" i="1" s="1"/>
  <c r="N4158" i="1" s="1"/>
  <c r="L4159" i="1"/>
  <c r="M4159" i="1" s="1"/>
  <c r="N4159" i="1" s="1"/>
  <c r="L4160" i="1"/>
  <c r="M4160" i="1" s="1"/>
  <c r="N4160" i="1" s="1"/>
  <c r="L4161" i="1"/>
  <c r="M4161" i="1" s="1"/>
  <c r="N4161" i="1" s="1"/>
  <c r="L4162" i="1"/>
  <c r="M4162" i="1" s="1"/>
  <c r="N4162" i="1" s="1"/>
  <c r="L4163" i="1"/>
  <c r="M4163" i="1" s="1"/>
  <c r="N4163" i="1" s="1"/>
  <c r="L4164" i="1"/>
  <c r="M4164" i="1" s="1"/>
  <c r="N4164" i="1" s="1"/>
  <c r="L4165" i="1"/>
  <c r="M4165" i="1" s="1"/>
  <c r="N4165" i="1" s="1"/>
  <c r="L4166" i="1"/>
  <c r="M4166" i="1" s="1"/>
  <c r="N4166" i="1" s="1"/>
  <c r="L4167" i="1"/>
  <c r="M4167" i="1" s="1"/>
  <c r="N4167" i="1" s="1"/>
  <c r="L4168" i="1"/>
  <c r="M4168" i="1" s="1"/>
  <c r="N4168" i="1" s="1"/>
  <c r="L4169" i="1"/>
  <c r="M4169" i="1" s="1"/>
  <c r="N4169" i="1" s="1"/>
  <c r="L4170" i="1"/>
  <c r="M4170" i="1" s="1"/>
  <c r="N4170" i="1" s="1"/>
  <c r="L4171" i="1"/>
  <c r="M4171" i="1" s="1"/>
  <c r="N4171" i="1" s="1"/>
  <c r="L4172" i="1"/>
  <c r="M4172" i="1" s="1"/>
  <c r="N4172" i="1" s="1"/>
  <c r="L4173" i="1"/>
  <c r="M4173" i="1" s="1"/>
  <c r="N4173" i="1" s="1"/>
  <c r="L4174" i="1"/>
  <c r="M4174" i="1" s="1"/>
  <c r="N4174" i="1" s="1"/>
  <c r="L4175" i="1"/>
  <c r="M4175" i="1" s="1"/>
  <c r="N4175" i="1" s="1"/>
  <c r="L4176" i="1"/>
  <c r="M4176" i="1" s="1"/>
  <c r="N4176" i="1" s="1"/>
  <c r="L4177" i="1"/>
  <c r="M4177" i="1" s="1"/>
  <c r="N4177" i="1" s="1"/>
  <c r="L4178" i="1"/>
  <c r="M4178" i="1" s="1"/>
  <c r="N4178" i="1" s="1"/>
  <c r="L4179" i="1"/>
  <c r="M4179" i="1" s="1"/>
  <c r="N4179" i="1" s="1"/>
  <c r="L4180" i="1"/>
  <c r="M4180" i="1" s="1"/>
  <c r="N4180" i="1" s="1"/>
  <c r="L4181" i="1"/>
  <c r="M4181" i="1" s="1"/>
  <c r="N4181" i="1" s="1"/>
  <c r="L4182" i="1"/>
  <c r="M4182" i="1" s="1"/>
  <c r="N4182" i="1" s="1"/>
  <c r="L4183" i="1"/>
  <c r="M4183" i="1" s="1"/>
  <c r="N4183" i="1" s="1"/>
  <c r="L4184" i="1"/>
  <c r="M4184" i="1" s="1"/>
  <c r="N4184" i="1" s="1"/>
  <c r="L4185" i="1"/>
  <c r="M4185" i="1" s="1"/>
  <c r="N4185" i="1" s="1"/>
  <c r="L4186" i="1"/>
  <c r="M4186" i="1" s="1"/>
  <c r="N4186" i="1" s="1"/>
  <c r="L4187" i="1"/>
  <c r="M4187" i="1" s="1"/>
  <c r="N4187" i="1" s="1"/>
  <c r="L4188" i="1"/>
  <c r="M4188" i="1" s="1"/>
  <c r="N4188" i="1" s="1"/>
  <c r="L4189" i="1"/>
  <c r="M4189" i="1" s="1"/>
  <c r="N4189" i="1" s="1"/>
  <c r="L4190" i="1"/>
  <c r="M4190" i="1" s="1"/>
  <c r="N4190" i="1" s="1"/>
  <c r="L4191" i="1"/>
  <c r="M4191" i="1" s="1"/>
  <c r="N4191" i="1" s="1"/>
  <c r="L4192" i="1"/>
  <c r="M4192" i="1" s="1"/>
  <c r="N4192" i="1" s="1"/>
  <c r="L4193" i="1"/>
  <c r="M4193" i="1" s="1"/>
  <c r="N4193" i="1" s="1"/>
  <c r="L4194" i="1"/>
  <c r="M4194" i="1" s="1"/>
  <c r="N4194" i="1" s="1"/>
  <c r="L4195" i="1"/>
  <c r="M4195" i="1" s="1"/>
  <c r="N4195" i="1" s="1"/>
  <c r="L4196" i="1"/>
  <c r="M4196" i="1" s="1"/>
  <c r="N4196" i="1" s="1"/>
  <c r="L4197" i="1"/>
  <c r="M4197" i="1" s="1"/>
  <c r="N4197" i="1" s="1"/>
  <c r="L4198" i="1"/>
  <c r="M4198" i="1" s="1"/>
  <c r="N4198" i="1" s="1"/>
  <c r="L4199" i="1"/>
  <c r="M4199" i="1" s="1"/>
  <c r="N4199" i="1" s="1"/>
  <c r="L4200" i="1"/>
  <c r="M4200" i="1" s="1"/>
  <c r="N4200" i="1" s="1"/>
  <c r="L4201" i="1"/>
  <c r="M4201" i="1" s="1"/>
  <c r="N4201" i="1" s="1"/>
  <c r="L4202" i="1"/>
  <c r="M4202" i="1" s="1"/>
  <c r="N4202" i="1" s="1"/>
  <c r="L4203" i="1"/>
  <c r="M4203" i="1" s="1"/>
  <c r="N4203" i="1" s="1"/>
  <c r="L4204" i="1"/>
  <c r="M4204" i="1" s="1"/>
  <c r="N4204" i="1" s="1"/>
  <c r="L4205" i="1"/>
  <c r="M4205" i="1" s="1"/>
  <c r="N4205" i="1" s="1"/>
  <c r="L4206" i="1"/>
  <c r="M4206" i="1" s="1"/>
  <c r="N4206" i="1" s="1"/>
  <c r="L4207" i="1"/>
  <c r="M4207" i="1" s="1"/>
  <c r="N4207" i="1" s="1"/>
  <c r="L4208" i="1"/>
  <c r="M4208" i="1" s="1"/>
  <c r="N4208" i="1" s="1"/>
  <c r="L4209" i="1"/>
  <c r="M4209" i="1" s="1"/>
  <c r="N4209" i="1" s="1"/>
  <c r="L4210" i="1"/>
  <c r="M4210" i="1" s="1"/>
  <c r="N4210" i="1" s="1"/>
  <c r="L4211" i="1"/>
  <c r="M4211" i="1" s="1"/>
  <c r="N4211" i="1" s="1"/>
  <c r="L4212" i="1"/>
  <c r="M4212" i="1" s="1"/>
  <c r="N4212" i="1" s="1"/>
  <c r="L4213" i="1"/>
  <c r="M4213" i="1" s="1"/>
  <c r="N4213" i="1" s="1"/>
  <c r="L4214" i="1"/>
  <c r="M4214" i="1" s="1"/>
  <c r="N4214" i="1" s="1"/>
  <c r="L4215" i="1"/>
  <c r="M4215" i="1" s="1"/>
  <c r="N4215" i="1" s="1"/>
  <c r="L4216" i="1"/>
  <c r="M4216" i="1" s="1"/>
  <c r="N4216" i="1" s="1"/>
  <c r="L4217" i="1"/>
  <c r="M4217" i="1" s="1"/>
  <c r="N4217" i="1" s="1"/>
  <c r="L4218" i="1"/>
  <c r="M4218" i="1" s="1"/>
  <c r="N4218" i="1" s="1"/>
  <c r="L4219" i="1"/>
  <c r="M4219" i="1" s="1"/>
  <c r="N4219" i="1" s="1"/>
  <c r="L4220" i="1"/>
  <c r="M4220" i="1" s="1"/>
  <c r="N4220" i="1" s="1"/>
  <c r="L4221" i="1"/>
  <c r="M4221" i="1" s="1"/>
  <c r="N4221" i="1" s="1"/>
  <c r="L4222" i="1"/>
  <c r="M4222" i="1" s="1"/>
  <c r="N4222" i="1" s="1"/>
  <c r="L4223" i="1"/>
  <c r="M4223" i="1" s="1"/>
  <c r="N4223" i="1" s="1"/>
  <c r="L4224" i="1"/>
  <c r="M4224" i="1" s="1"/>
  <c r="N4224" i="1" s="1"/>
  <c r="L4225" i="1"/>
  <c r="M4225" i="1" s="1"/>
  <c r="N4225" i="1" s="1"/>
  <c r="L4226" i="1"/>
  <c r="M4226" i="1" s="1"/>
  <c r="N4226" i="1" s="1"/>
  <c r="L4227" i="1"/>
  <c r="M4227" i="1" s="1"/>
  <c r="N4227" i="1" s="1"/>
  <c r="L4228" i="1"/>
  <c r="M4228" i="1" s="1"/>
  <c r="N4228" i="1" s="1"/>
  <c r="L4229" i="1"/>
  <c r="M4229" i="1" s="1"/>
  <c r="N4229" i="1" s="1"/>
  <c r="L4230" i="1"/>
  <c r="M4230" i="1" s="1"/>
  <c r="N4230" i="1" s="1"/>
  <c r="L4231" i="1"/>
  <c r="M4231" i="1" s="1"/>
  <c r="N4231" i="1" s="1"/>
  <c r="L4232" i="1"/>
  <c r="M4232" i="1" s="1"/>
  <c r="N4232" i="1" s="1"/>
  <c r="L4233" i="1"/>
  <c r="M4233" i="1" s="1"/>
  <c r="N4233" i="1" s="1"/>
  <c r="L4234" i="1"/>
  <c r="M4234" i="1" s="1"/>
  <c r="N4234" i="1" s="1"/>
  <c r="L4235" i="1"/>
  <c r="M4235" i="1" s="1"/>
  <c r="N4235" i="1" s="1"/>
  <c r="L4236" i="1"/>
  <c r="M4236" i="1" s="1"/>
  <c r="N4236" i="1" s="1"/>
  <c r="L4237" i="1"/>
  <c r="M4237" i="1" s="1"/>
  <c r="N4237" i="1" s="1"/>
  <c r="L4238" i="1"/>
  <c r="M4238" i="1" s="1"/>
  <c r="N4238" i="1" s="1"/>
  <c r="L4239" i="1"/>
  <c r="M4239" i="1" s="1"/>
  <c r="N4239" i="1" s="1"/>
  <c r="L4240" i="1"/>
  <c r="M4240" i="1" s="1"/>
  <c r="N4240" i="1" s="1"/>
  <c r="L4241" i="1"/>
  <c r="M4241" i="1" s="1"/>
  <c r="N4241" i="1" s="1"/>
  <c r="L4242" i="1"/>
  <c r="M4242" i="1" s="1"/>
  <c r="N4242" i="1" s="1"/>
  <c r="L4243" i="1"/>
  <c r="M4243" i="1" s="1"/>
  <c r="N4243" i="1" s="1"/>
  <c r="L4244" i="1"/>
  <c r="M4244" i="1" s="1"/>
  <c r="N4244" i="1" s="1"/>
  <c r="L4245" i="1"/>
  <c r="M4245" i="1" s="1"/>
  <c r="N4245" i="1" s="1"/>
  <c r="L4246" i="1"/>
  <c r="M4246" i="1" s="1"/>
  <c r="N4246" i="1" s="1"/>
  <c r="L4247" i="1"/>
  <c r="M4247" i="1" s="1"/>
  <c r="N4247" i="1" s="1"/>
  <c r="L4248" i="1"/>
  <c r="M4248" i="1" s="1"/>
  <c r="N4248" i="1" s="1"/>
  <c r="L4249" i="1"/>
  <c r="M4249" i="1" s="1"/>
  <c r="N4249" i="1" s="1"/>
  <c r="L4250" i="1"/>
  <c r="M4250" i="1" s="1"/>
  <c r="N4250" i="1" s="1"/>
  <c r="L4251" i="1"/>
  <c r="M4251" i="1" s="1"/>
  <c r="N4251" i="1" s="1"/>
  <c r="L4252" i="1"/>
  <c r="M4252" i="1" s="1"/>
  <c r="N4252" i="1" s="1"/>
  <c r="L4253" i="1"/>
  <c r="M4253" i="1" s="1"/>
  <c r="N4253" i="1" s="1"/>
  <c r="L4254" i="1"/>
  <c r="M4254" i="1" s="1"/>
  <c r="N4254" i="1" s="1"/>
  <c r="L4255" i="1"/>
  <c r="M4255" i="1" s="1"/>
  <c r="N4255" i="1" s="1"/>
  <c r="L4256" i="1"/>
  <c r="M4256" i="1" s="1"/>
  <c r="N4256" i="1" s="1"/>
  <c r="L4257" i="1"/>
  <c r="M4257" i="1" s="1"/>
  <c r="N4257" i="1" s="1"/>
  <c r="L4258" i="1"/>
  <c r="M4258" i="1" s="1"/>
  <c r="N4258" i="1" s="1"/>
  <c r="L4259" i="1"/>
  <c r="M4259" i="1" s="1"/>
  <c r="N4259" i="1" s="1"/>
  <c r="L4260" i="1"/>
  <c r="M4260" i="1" s="1"/>
  <c r="N4260" i="1" s="1"/>
  <c r="L4261" i="1"/>
  <c r="M4261" i="1" s="1"/>
  <c r="N4261" i="1" s="1"/>
  <c r="L4262" i="1"/>
  <c r="M4262" i="1" s="1"/>
  <c r="N4262" i="1" s="1"/>
  <c r="L4263" i="1"/>
  <c r="M4263" i="1" s="1"/>
  <c r="N4263" i="1" s="1"/>
  <c r="L4264" i="1"/>
  <c r="M4264" i="1" s="1"/>
  <c r="N4264" i="1" s="1"/>
  <c r="L4265" i="1"/>
  <c r="M4265" i="1" s="1"/>
  <c r="N4265" i="1" s="1"/>
  <c r="L4266" i="1"/>
  <c r="M4266" i="1" s="1"/>
  <c r="N4266" i="1" s="1"/>
  <c r="L4267" i="1"/>
  <c r="M4267" i="1" s="1"/>
  <c r="N4267" i="1" s="1"/>
  <c r="L4268" i="1"/>
  <c r="M4268" i="1" s="1"/>
  <c r="N4268" i="1" s="1"/>
  <c r="L4269" i="1"/>
  <c r="M4269" i="1" s="1"/>
  <c r="N4269" i="1" s="1"/>
  <c r="L4270" i="1"/>
  <c r="M4270" i="1" s="1"/>
  <c r="N4270" i="1" s="1"/>
  <c r="L4271" i="1"/>
  <c r="M4271" i="1" s="1"/>
  <c r="N4271" i="1" s="1"/>
  <c r="L4272" i="1"/>
  <c r="M4272" i="1" s="1"/>
  <c r="N4272" i="1" s="1"/>
  <c r="L4273" i="1"/>
  <c r="M4273" i="1" s="1"/>
  <c r="N4273" i="1" s="1"/>
  <c r="L4274" i="1"/>
  <c r="M4274" i="1" s="1"/>
  <c r="N4274" i="1" s="1"/>
  <c r="L4275" i="1"/>
  <c r="M4275" i="1" s="1"/>
  <c r="N4275" i="1" s="1"/>
  <c r="L4276" i="1"/>
  <c r="M4276" i="1" s="1"/>
  <c r="N4276" i="1" s="1"/>
  <c r="L4277" i="1"/>
  <c r="M4277" i="1" s="1"/>
  <c r="N4277" i="1" s="1"/>
  <c r="L4278" i="1"/>
  <c r="M4278" i="1" s="1"/>
  <c r="N4278" i="1" s="1"/>
  <c r="L4279" i="1"/>
  <c r="M4279" i="1" s="1"/>
  <c r="N4279" i="1" s="1"/>
  <c r="L4280" i="1"/>
  <c r="M4280" i="1" s="1"/>
  <c r="N4280" i="1" s="1"/>
  <c r="L4281" i="1"/>
  <c r="M4281" i="1" s="1"/>
  <c r="N4281" i="1" s="1"/>
  <c r="L4282" i="1"/>
  <c r="M4282" i="1" s="1"/>
  <c r="N4282" i="1" s="1"/>
  <c r="L4283" i="1"/>
  <c r="M4283" i="1" s="1"/>
  <c r="N4283" i="1" s="1"/>
  <c r="L4284" i="1"/>
  <c r="M4284" i="1" s="1"/>
  <c r="N4284" i="1" s="1"/>
  <c r="L4285" i="1"/>
  <c r="M4285" i="1" s="1"/>
  <c r="N4285" i="1" s="1"/>
  <c r="L4286" i="1"/>
  <c r="M4286" i="1" s="1"/>
  <c r="N4286" i="1" s="1"/>
  <c r="L4287" i="1"/>
  <c r="M4287" i="1" s="1"/>
  <c r="N4287" i="1" s="1"/>
  <c r="L4288" i="1"/>
  <c r="M4288" i="1" s="1"/>
  <c r="N4288" i="1" s="1"/>
  <c r="L4289" i="1"/>
  <c r="M4289" i="1" s="1"/>
  <c r="N4289" i="1" s="1"/>
  <c r="L4290" i="1"/>
  <c r="M4290" i="1" s="1"/>
  <c r="N4290" i="1" s="1"/>
  <c r="L4291" i="1"/>
  <c r="M4291" i="1" s="1"/>
  <c r="N4291" i="1" s="1"/>
  <c r="L4292" i="1"/>
  <c r="M4292" i="1" s="1"/>
  <c r="N4292" i="1" s="1"/>
  <c r="L4293" i="1"/>
  <c r="M4293" i="1" s="1"/>
  <c r="N4293" i="1" s="1"/>
  <c r="L4294" i="1"/>
  <c r="M4294" i="1" s="1"/>
  <c r="N4294" i="1" s="1"/>
  <c r="L4295" i="1"/>
  <c r="M4295" i="1" s="1"/>
  <c r="N4295" i="1" s="1"/>
  <c r="L4296" i="1"/>
  <c r="M4296" i="1" s="1"/>
  <c r="N4296" i="1" s="1"/>
  <c r="L4297" i="1"/>
  <c r="M4297" i="1" s="1"/>
  <c r="N4297" i="1" s="1"/>
  <c r="L4298" i="1"/>
  <c r="M4298" i="1" s="1"/>
  <c r="N4298" i="1" s="1"/>
  <c r="L4299" i="1"/>
  <c r="M4299" i="1" s="1"/>
  <c r="N4299" i="1" s="1"/>
  <c r="L4300" i="1"/>
  <c r="M4300" i="1" s="1"/>
  <c r="N4300" i="1" s="1"/>
  <c r="L4301" i="1"/>
  <c r="M4301" i="1" s="1"/>
  <c r="N4301" i="1" s="1"/>
  <c r="L4302" i="1"/>
  <c r="M4302" i="1" s="1"/>
  <c r="N4302" i="1" s="1"/>
  <c r="L4303" i="1"/>
  <c r="M4303" i="1" s="1"/>
  <c r="N4303" i="1" s="1"/>
  <c r="L4304" i="1"/>
  <c r="M4304" i="1" s="1"/>
  <c r="N4304" i="1" s="1"/>
  <c r="L4305" i="1"/>
  <c r="M4305" i="1" s="1"/>
  <c r="N4305" i="1" s="1"/>
  <c r="L4306" i="1"/>
  <c r="M4306" i="1" s="1"/>
  <c r="N4306" i="1" s="1"/>
  <c r="L4307" i="1"/>
  <c r="M4307" i="1" s="1"/>
  <c r="N4307" i="1" s="1"/>
  <c r="L4308" i="1"/>
  <c r="M4308" i="1" s="1"/>
  <c r="N4308" i="1" s="1"/>
  <c r="L4309" i="1"/>
  <c r="M4309" i="1" s="1"/>
  <c r="N4309" i="1" s="1"/>
  <c r="L4310" i="1"/>
  <c r="M4310" i="1" s="1"/>
  <c r="N4310" i="1" s="1"/>
  <c r="L4311" i="1"/>
  <c r="M4311" i="1" s="1"/>
  <c r="N4311" i="1" s="1"/>
  <c r="L4312" i="1"/>
  <c r="M4312" i="1" s="1"/>
  <c r="N4312" i="1" s="1"/>
  <c r="L4313" i="1"/>
  <c r="M4313" i="1" s="1"/>
  <c r="N4313" i="1" s="1"/>
  <c r="L4314" i="1"/>
  <c r="M4314" i="1" s="1"/>
  <c r="N4314" i="1" s="1"/>
  <c r="L4315" i="1"/>
  <c r="M4315" i="1" s="1"/>
  <c r="N4315" i="1" s="1"/>
  <c r="L4316" i="1"/>
  <c r="M4316" i="1" s="1"/>
  <c r="N4316" i="1" s="1"/>
  <c r="L4317" i="1"/>
  <c r="M4317" i="1" s="1"/>
  <c r="N4317" i="1" s="1"/>
  <c r="L4318" i="1"/>
  <c r="M4318" i="1" s="1"/>
  <c r="N4318" i="1" s="1"/>
  <c r="L4319" i="1"/>
  <c r="M4319" i="1" s="1"/>
  <c r="N4319" i="1" s="1"/>
  <c r="L4320" i="1"/>
  <c r="M4320" i="1" s="1"/>
  <c r="N4320" i="1" s="1"/>
  <c r="L4321" i="1"/>
  <c r="M4321" i="1" s="1"/>
  <c r="N4321" i="1" s="1"/>
  <c r="L4322" i="1"/>
  <c r="M4322" i="1" s="1"/>
  <c r="N4322" i="1" s="1"/>
  <c r="L4323" i="1"/>
  <c r="M4323" i="1" s="1"/>
  <c r="N4323" i="1" s="1"/>
  <c r="L4324" i="1"/>
  <c r="M4324" i="1" s="1"/>
  <c r="N4324" i="1" s="1"/>
  <c r="L4325" i="1"/>
  <c r="M4325" i="1" s="1"/>
  <c r="N4325" i="1" s="1"/>
  <c r="L4326" i="1"/>
  <c r="M4326" i="1" s="1"/>
  <c r="N4326" i="1" s="1"/>
  <c r="L4327" i="1"/>
  <c r="M4327" i="1" s="1"/>
  <c r="N4327" i="1" s="1"/>
  <c r="L4328" i="1"/>
  <c r="M4328" i="1" s="1"/>
  <c r="N4328" i="1" s="1"/>
  <c r="L4329" i="1"/>
  <c r="M4329" i="1" s="1"/>
  <c r="N4329" i="1" s="1"/>
  <c r="L4330" i="1"/>
  <c r="M4330" i="1" s="1"/>
  <c r="N4330" i="1" s="1"/>
  <c r="L4331" i="1"/>
  <c r="M4331" i="1" s="1"/>
  <c r="N4331" i="1" s="1"/>
  <c r="L4332" i="1"/>
  <c r="M4332" i="1" s="1"/>
  <c r="N4332" i="1" s="1"/>
  <c r="L4333" i="1"/>
  <c r="M4333" i="1" s="1"/>
  <c r="N4333" i="1" s="1"/>
  <c r="L4334" i="1"/>
  <c r="M4334" i="1" s="1"/>
  <c r="N4334" i="1" s="1"/>
  <c r="L4335" i="1"/>
  <c r="M4335" i="1" s="1"/>
  <c r="N4335" i="1" s="1"/>
  <c r="L4336" i="1"/>
  <c r="M4336" i="1" s="1"/>
  <c r="N4336" i="1" s="1"/>
  <c r="L4337" i="1"/>
  <c r="M4337" i="1" s="1"/>
  <c r="N4337" i="1" s="1"/>
  <c r="L4338" i="1"/>
  <c r="M4338" i="1" s="1"/>
  <c r="N4338" i="1" s="1"/>
  <c r="L4339" i="1"/>
  <c r="M4339" i="1" s="1"/>
  <c r="N4339" i="1" s="1"/>
  <c r="L4340" i="1"/>
  <c r="M4340" i="1" s="1"/>
  <c r="N4340" i="1" s="1"/>
  <c r="L4341" i="1"/>
  <c r="M4341" i="1" s="1"/>
  <c r="N4341" i="1" s="1"/>
  <c r="L4342" i="1"/>
  <c r="M4342" i="1" s="1"/>
  <c r="N4342" i="1" s="1"/>
  <c r="L4343" i="1"/>
  <c r="M4343" i="1" s="1"/>
  <c r="N4343" i="1" s="1"/>
  <c r="L4344" i="1"/>
  <c r="M4344" i="1" s="1"/>
  <c r="N4344" i="1" s="1"/>
  <c r="L4345" i="1"/>
  <c r="M4345" i="1" s="1"/>
  <c r="N4345" i="1" s="1"/>
  <c r="L4346" i="1"/>
  <c r="M4346" i="1" s="1"/>
  <c r="N4346" i="1" s="1"/>
  <c r="L4347" i="1"/>
  <c r="M4347" i="1" s="1"/>
  <c r="N4347" i="1" s="1"/>
  <c r="L4348" i="1"/>
  <c r="M4348" i="1" s="1"/>
  <c r="N4348" i="1" s="1"/>
  <c r="L4349" i="1"/>
  <c r="M4349" i="1" s="1"/>
  <c r="N4349" i="1" s="1"/>
  <c r="L4350" i="1"/>
  <c r="M4350" i="1" s="1"/>
  <c r="N4350" i="1" s="1"/>
  <c r="L4351" i="1"/>
  <c r="M4351" i="1" s="1"/>
  <c r="N4351" i="1" s="1"/>
  <c r="L4352" i="1"/>
  <c r="M4352" i="1" s="1"/>
  <c r="N4352" i="1" s="1"/>
  <c r="L4353" i="1"/>
  <c r="M4353" i="1" s="1"/>
  <c r="N4353" i="1" s="1"/>
  <c r="L4354" i="1"/>
  <c r="M4354" i="1" s="1"/>
  <c r="N4354" i="1" s="1"/>
  <c r="L4355" i="1"/>
  <c r="M4355" i="1" s="1"/>
  <c r="N4355" i="1" s="1"/>
  <c r="L4356" i="1"/>
  <c r="M4356" i="1" s="1"/>
  <c r="N4356" i="1" s="1"/>
  <c r="L4357" i="1"/>
  <c r="M4357" i="1" s="1"/>
  <c r="N4357" i="1" s="1"/>
  <c r="L4358" i="1"/>
  <c r="M4358" i="1" s="1"/>
  <c r="N4358" i="1" s="1"/>
  <c r="L4359" i="1"/>
  <c r="M4359" i="1" s="1"/>
  <c r="N4359" i="1" s="1"/>
  <c r="L4360" i="1"/>
  <c r="M4360" i="1" s="1"/>
  <c r="N4360" i="1" s="1"/>
  <c r="L4361" i="1"/>
  <c r="M4361" i="1" s="1"/>
  <c r="N4361" i="1" s="1"/>
  <c r="L4362" i="1"/>
  <c r="M4362" i="1" s="1"/>
  <c r="N4362" i="1" s="1"/>
  <c r="L4363" i="1"/>
  <c r="M4363" i="1" s="1"/>
  <c r="N4363" i="1" s="1"/>
  <c r="L4364" i="1"/>
  <c r="M4364" i="1" s="1"/>
  <c r="N4364" i="1" s="1"/>
  <c r="L4365" i="1"/>
  <c r="M4365" i="1" s="1"/>
  <c r="N4365" i="1" s="1"/>
  <c r="L4366" i="1"/>
  <c r="M4366" i="1" s="1"/>
  <c r="N4366" i="1" s="1"/>
  <c r="L4367" i="1"/>
  <c r="M4367" i="1" s="1"/>
  <c r="N4367" i="1" s="1"/>
  <c r="L4368" i="1"/>
  <c r="M4368" i="1" s="1"/>
  <c r="N4368" i="1" s="1"/>
  <c r="L4369" i="1"/>
  <c r="M4369" i="1" s="1"/>
  <c r="N4369" i="1" s="1"/>
  <c r="L4370" i="1"/>
  <c r="M4370" i="1" s="1"/>
  <c r="N4370" i="1" s="1"/>
  <c r="L4371" i="1"/>
  <c r="M4371" i="1" s="1"/>
  <c r="N4371" i="1" s="1"/>
  <c r="L4372" i="1"/>
  <c r="M4372" i="1" s="1"/>
  <c r="N4372" i="1" s="1"/>
  <c r="L4373" i="1"/>
  <c r="M4373" i="1" s="1"/>
  <c r="N4373" i="1" s="1"/>
  <c r="L4374" i="1"/>
  <c r="M4374" i="1" s="1"/>
  <c r="N4374" i="1" s="1"/>
  <c r="L4375" i="1"/>
  <c r="M4375" i="1" s="1"/>
  <c r="N4375" i="1" s="1"/>
  <c r="L4376" i="1"/>
  <c r="M4376" i="1" s="1"/>
  <c r="N4376" i="1" s="1"/>
  <c r="L4377" i="1"/>
  <c r="M4377" i="1" s="1"/>
  <c r="N4377" i="1" s="1"/>
  <c r="L4378" i="1"/>
  <c r="M4378" i="1" s="1"/>
  <c r="N4378" i="1" s="1"/>
  <c r="L4379" i="1"/>
  <c r="M4379" i="1" s="1"/>
  <c r="N4379" i="1" s="1"/>
  <c r="L4380" i="1"/>
  <c r="M4380" i="1" s="1"/>
  <c r="N4380" i="1" s="1"/>
  <c r="L4381" i="1"/>
  <c r="M4381" i="1" s="1"/>
  <c r="N4381" i="1" s="1"/>
  <c r="L4382" i="1"/>
  <c r="M4382" i="1" s="1"/>
  <c r="N4382" i="1" s="1"/>
  <c r="L4383" i="1"/>
  <c r="M4383" i="1" s="1"/>
  <c r="N4383" i="1" s="1"/>
  <c r="L4384" i="1"/>
  <c r="M4384" i="1" s="1"/>
  <c r="N4384" i="1" s="1"/>
  <c r="L4385" i="1"/>
  <c r="M4385" i="1" s="1"/>
  <c r="N4385" i="1" s="1"/>
  <c r="L4386" i="1"/>
  <c r="M4386" i="1" s="1"/>
  <c r="N4386" i="1" s="1"/>
  <c r="L4387" i="1"/>
  <c r="M4387" i="1" s="1"/>
  <c r="N4387" i="1" s="1"/>
  <c r="L4388" i="1"/>
  <c r="M4388" i="1" s="1"/>
  <c r="N4388" i="1" s="1"/>
  <c r="L4389" i="1"/>
  <c r="M4389" i="1" s="1"/>
  <c r="N4389" i="1" s="1"/>
  <c r="L4390" i="1"/>
  <c r="M4390" i="1" s="1"/>
  <c r="N4390" i="1" s="1"/>
  <c r="L4391" i="1"/>
  <c r="M4391" i="1" s="1"/>
  <c r="N4391" i="1" s="1"/>
  <c r="L4392" i="1"/>
  <c r="M4392" i="1" s="1"/>
  <c r="N4392" i="1" s="1"/>
  <c r="L4393" i="1"/>
  <c r="M4393" i="1" s="1"/>
  <c r="N4393" i="1" s="1"/>
  <c r="L4394" i="1"/>
  <c r="M4394" i="1" s="1"/>
  <c r="N4394" i="1" s="1"/>
  <c r="L4395" i="1"/>
  <c r="M4395" i="1" s="1"/>
  <c r="N4395" i="1" s="1"/>
  <c r="L4396" i="1"/>
  <c r="M4396" i="1" s="1"/>
  <c r="N4396" i="1" s="1"/>
  <c r="L4397" i="1"/>
  <c r="M4397" i="1" s="1"/>
  <c r="N4397" i="1" s="1"/>
  <c r="L4398" i="1"/>
  <c r="M4398" i="1" s="1"/>
  <c r="N4398" i="1" s="1"/>
  <c r="L4399" i="1"/>
  <c r="M4399" i="1" s="1"/>
  <c r="N4399" i="1" s="1"/>
  <c r="L4400" i="1"/>
  <c r="M4400" i="1" s="1"/>
  <c r="N4400" i="1" s="1"/>
  <c r="L4401" i="1"/>
  <c r="M4401" i="1" s="1"/>
  <c r="N4401" i="1" s="1"/>
  <c r="L4402" i="1"/>
  <c r="M4402" i="1" s="1"/>
  <c r="N4402" i="1" s="1"/>
  <c r="L4403" i="1"/>
  <c r="M4403" i="1" s="1"/>
  <c r="N4403" i="1" s="1"/>
  <c r="L4404" i="1"/>
  <c r="M4404" i="1" s="1"/>
  <c r="N4404" i="1" s="1"/>
  <c r="L4405" i="1"/>
  <c r="M4405" i="1" s="1"/>
  <c r="N4405" i="1" s="1"/>
  <c r="L4406" i="1"/>
  <c r="M4406" i="1" s="1"/>
  <c r="N4406" i="1" s="1"/>
  <c r="L4407" i="1"/>
  <c r="M4407" i="1" s="1"/>
  <c r="N4407" i="1" s="1"/>
  <c r="L4408" i="1"/>
  <c r="M4408" i="1" s="1"/>
  <c r="N4408" i="1" s="1"/>
  <c r="L4409" i="1"/>
  <c r="M4409" i="1" s="1"/>
  <c r="N4409" i="1" s="1"/>
  <c r="L4410" i="1"/>
  <c r="M4410" i="1" s="1"/>
  <c r="N4410" i="1" s="1"/>
  <c r="L4411" i="1"/>
  <c r="M4411" i="1" s="1"/>
  <c r="N4411" i="1" s="1"/>
  <c r="L4412" i="1"/>
  <c r="M4412" i="1" s="1"/>
  <c r="N4412" i="1" s="1"/>
  <c r="L4413" i="1"/>
  <c r="M4413" i="1" s="1"/>
  <c r="N4413" i="1" s="1"/>
  <c r="L4414" i="1"/>
  <c r="M4414" i="1" s="1"/>
  <c r="N4414" i="1" s="1"/>
  <c r="L4415" i="1"/>
  <c r="M4415" i="1" s="1"/>
  <c r="N4415" i="1" s="1"/>
  <c r="L4416" i="1"/>
  <c r="M4416" i="1" s="1"/>
  <c r="N4416" i="1" s="1"/>
  <c r="L4417" i="1"/>
  <c r="M4417" i="1" s="1"/>
  <c r="N4417" i="1" s="1"/>
  <c r="L4418" i="1"/>
  <c r="M4418" i="1" s="1"/>
  <c r="N4418" i="1" s="1"/>
  <c r="L4419" i="1"/>
  <c r="M4419" i="1" s="1"/>
  <c r="N4419" i="1" s="1"/>
  <c r="L4420" i="1"/>
  <c r="M4420" i="1" s="1"/>
  <c r="N4420" i="1" s="1"/>
  <c r="L4421" i="1"/>
  <c r="M4421" i="1" s="1"/>
  <c r="N4421" i="1" s="1"/>
  <c r="L4422" i="1"/>
  <c r="M4422" i="1" s="1"/>
  <c r="N4422" i="1" s="1"/>
  <c r="L4423" i="1"/>
  <c r="M4423" i="1" s="1"/>
  <c r="N4423" i="1" s="1"/>
  <c r="L4424" i="1"/>
  <c r="M4424" i="1" s="1"/>
  <c r="N4424" i="1" s="1"/>
  <c r="L4425" i="1"/>
  <c r="M4425" i="1" s="1"/>
  <c r="N4425" i="1" s="1"/>
  <c r="L4426" i="1"/>
  <c r="M4426" i="1" s="1"/>
  <c r="N4426" i="1" s="1"/>
  <c r="L4427" i="1"/>
  <c r="M4427" i="1" s="1"/>
  <c r="N4427" i="1" s="1"/>
  <c r="L4428" i="1"/>
  <c r="M4428" i="1" s="1"/>
  <c r="N4428" i="1" s="1"/>
  <c r="L4429" i="1"/>
  <c r="M4429" i="1" s="1"/>
  <c r="N4429" i="1" s="1"/>
  <c r="L4430" i="1"/>
  <c r="M4430" i="1" s="1"/>
  <c r="N4430" i="1" s="1"/>
  <c r="L4431" i="1"/>
  <c r="M4431" i="1" s="1"/>
  <c r="N4431" i="1" s="1"/>
  <c r="L4432" i="1"/>
  <c r="M4432" i="1" s="1"/>
  <c r="N4432" i="1" s="1"/>
  <c r="L4433" i="1"/>
  <c r="M4433" i="1" s="1"/>
  <c r="N4433" i="1" s="1"/>
  <c r="L4434" i="1"/>
  <c r="M4434" i="1" s="1"/>
  <c r="N4434" i="1" s="1"/>
  <c r="L4435" i="1"/>
  <c r="M4435" i="1" s="1"/>
  <c r="N4435" i="1" s="1"/>
  <c r="L4436" i="1"/>
  <c r="M4436" i="1" s="1"/>
  <c r="N4436" i="1" s="1"/>
  <c r="L4437" i="1"/>
  <c r="M4437" i="1" s="1"/>
  <c r="N4437" i="1" s="1"/>
  <c r="L4438" i="1"/>
  <c r="M4438" i="1" s="1"/>
  <c r="N4438" i="1" s="1"/>
  <c r="L4439" i="1"/>
  <c r="M4439" i="1" s="1"/>
  <c r="N4439" i="1" s="1"/>
  <c r="L4440" i="1"/>
  <c r="M4440" i="1" s="1"/>
  <c r="N4440" i="1" s="1"/>
  <c r="L4441" i="1"/>
  <c r="M4441" i="1" s="1"/>
  <c r="N4441" i="1" s="1"/>
  <c r="L4442" i="1"/>
  <c r="M4442" i="1" s="1"/>
  <c r="N4442" i="1" s="1"/>
  <c r="L4443" i="1"/>
  <c r="M4443" i="1" s="1"/>
  <c r="N4443" i="1" s="1"/>
  <c r="L4444" i="1"/>
  <c r="M4444" i="1" s="1"/>
  <c r="N4444" i="1" s="1"/>
  <c r="L4445" i="1"/>
  <c r="M4445" i="1" s="1"/>
  <c r="N4445" i="1" s="1"/>
  <c r="L4446" i="1"/>
  <c r="M4446" i="1" s="1"/>
  <c r="N4446" i="1" s="1"/>
  <c r="L4447" i="1"/>
  <c r="M4447" i="1" s="1"/>
  <c r="N4447" i="1" s="1"/>
  <c r="L4448" i="1"/>
  <c r="M4448" i="1" s="1"/>
  <c r="N4448" i="1" s="1"/>
  <c r="L4449" i="1"/>
  <c r="M4449" i="1" s="1"/>
  <c r="N4449" i="1" s="1"/>
  <c r="L4450" i="1"/>
  <c r="M4450" i="1" s="1"/>
  <c r="N4450" i="1" s="1"/>
  <c r="L4451" i="1"/>
  <c r="M4451" i="1" s="1"/>
  <c r="N4451" i="1" s="1"/>
  <c r="L4452" i="1"/>
  <c r="M4452" i="1" s="1"/>
  <c r="N4452" i="1" s="1"/>
  <c r="L4453" i="1"/>
  <c r="M4453" i="1" s="1"/>
  <c r="N4453" i="1" s="1"/>
  <c r="L4454" i="1"/>
  <c r="M4454" i="1" s="1"/>
  <c r="N4454" i="1" s="1"/>
  <c r="L4455" i="1"/>
  <c r="M4455" i="1" s="1"/>
  <c r="N4455" i="1" s="1"/>
  <c r="L4456" i="1"/>
  <c r="M4456" i="1" s="1"/>
  <c r="N4456" i="1" s="1"/>
  <c r="L4457" i="1"/>
  <c r="M4457" i="1" s="1"/>
  <c r="N4457" i="1" s="1"/>
  <c r="L4458" i="1"/>
  <c r="M4458" i="1" s="1"/>
  <c r="N4458" i="1" s="1"/>
  <c r="L4459" i="1"/>
  <c r="M4459" i="1" s="1"/>
  <c r="N4459" i="1" s="1"/>
  <c r="L4460" i="1"/>
  <c r="M4460" i="1" s="1"/>
  <c r="N4460" i="1" s="1"/>
  <c r="L4461" i="1"/>
  <c r="M4461" i="1" s="1"/>
  <c r="N4461" i="1" s="1"/>
  <c r="L4462" i="1"/>
  <c r="M4462" i="1" s="1"/>
  <c r="N4462" i="1" s="1"/>
  <c r="L4463" i="1"/>
  <c r="M4463" i="1" s="1"/>
  <c r="N4463" i="1" s="1"/>
  <c r="L4464" i="1"/>
  <c r="M4464" i="1" s="1"/>
  <c r="N4464" i="1" s="1"/>
  <c r="L4465" i="1"/>
  <c r="M4465" i="1" s="1"/>
  <c r="N4465" i="1" s="1"/>
  <c r="L4466" i="1"/>
  <c r="M4466" i="1" s="1"/>
  <c r="N4466" i="1" s="1"/>
  <c r="L4467" i="1"/>
  <c r="M4467" i="1" s="1"/>
  <c r="N4467" i="1" s="1"/>
  <c r="L4468" i="1"/>
  <c r="M4468" i="1" s="1"/>
  <c r="N4468" i="1" s="1"/>
  <c r="L4469" i="1"/>
  <c r="M4469" i="1" s="1"/>
  <c r="N4469" i="1" s="1"/>
  <c r="L4470" i="1"/>
  <c r="M4470" i="1" s="1"/>
  <c r="N4470" i="1" s="1"/>
  <c r="L4471" i="1"/>
  <c r="M4471" i="1" s="1"/>
  <c r="N4471" i="1" s="1"/>
  <c r="L4472" i="1"/>
  <c r="M4472" i="1" s="1"/>
  <c r="N4472" i="1" s="1"/>
  <c r="L4473" i="1"/>
  <c r="M4473" i="1" s="1"/>
  <c r="N4473" i="1" s="1"/>
  <c r="L4474" i="1"/>
  <c r="M4474" i="1" s="1"/>
  <c r="N4474" i="1" s="1"/>
  <c r="L4475" i="1"/>
  <c r="M4475" i="1" s="1"/>
  <c r="N4475" i="1" s="1"/>
  <c r="L4476" i="1"/>
  <c r="M4476" i="1" s="1"/>
  <c r="N4476" i="1" s="1"/>
  <c r="L4477" i="1"/>
  <c r="M4477" i="1" s="1"/>
  <c r="N4477" i="1" s="1"/>
  <c r="L4478" i="1"/>
  <c r="M4478" i="1" s="1"/>
  <c r="N4478" i="1" s="1"/>
  <c r="L4479" i="1"/>
  <c r="M4479" i="1" s="1"/>
  <c r="N4479" i="1" s="1"/>
  <c r="L4480" i="1"/>
  <c r="M4480" i="1" s="1"/>
  <c r="N4480" i="1" s="1"/>
  <c r="L4481" i="1"/>
  <c r="M4481" i="1" s="1"/>
  <c r="N4481" i="1" s="1"/>
  <c r="L4482" i="1"/>
  <c r="M4482" i="1" s="1"/>
  <c r="N4482" i="1" s="1"/>
  <c r="L4483" i="1"/>
  <c r="M4483" i="1" s="1"/>
  <c r="N4483" i="1" s="1"/>
  <c r="L4484" i="1"/>
  <c r="M4484" i="1" s="1"/>
  <c r="N4484" i="1" s="1"/>
  <c r="L4485" i="1"/>
  <c r="M4485" i="1" s="1"/>
  <c r="N4485" i="1" s="1"/>
  <c r="L4486" i="1"/>
  <c r="M4486" i="1" s="1"/>
  <c r="N4486" i="1" s="1"/>
  <c r="L4487" i="1"/>
  <c r="M4487" i="1" s="1"/>
  <c r="N4487" i="1" s="1"/>
  <c r="L4488" i="1"/>
  <c r="M4488" i="1" s="1"/>
  <c r="N4488" i="1" s="1"/>
  <c r="L4489" i="1"/>
  <c r="M4489" i="1" s="1"/>
  <c r="N4489" i="1" s="1"/>
  <c r="L4490" i="1"/>
  <c r="M4490" i="1" s="1"/>
  <c r="N4490" i="1" s="1"/>
  <c r="L4491" i="1"/>
  <c r="M4491" i="1" s="1"/>
  <c r="N4491" i="1" s="1"/>
  <c r="L4492" i="1"/>
  <c r="M4492" i="1" s="1"/>
  <c r="N4492" i="1" s="1"/>
  <c r="L4493" i="1"/>
  <c r="M4493" i="1" s="1"/>
  <c r="N4493" i="1" s="1"/>
  <c r="L4494" i="1"/>
  <c r="M4494" i="1" s="1"/>
  <c r="N4494" i="1" s="1"/>
  <c r="L4495" i="1"/>
  <c r="M4495" i="1" s="1"/>
  <c r="N4495" i="1" s="1"/>
  <c r="L4496" i="1"/>
  <c r="M4496" i="1" s="1"/>
  <c r="N4496" i="1" s="1"/>
  <c r="L4497" i="1"/>
  <c r="M4497" i="1" s="1"/>
  <c r="N4497" i="1" s="1"/>
  <c r="L4498" i="1"/>
  <c r="M4498" i="1" s="1"/>
  <c r="N4498" i="1" s="1"/>
  <c r="L4499" i="1"/>
  <c r="M4499" i="1" s="1"/>
  <c r="N4499" i="1" s="1"/>
  <c r="L4500" i="1"/>
  <c r="M4500" i="1" s="1"/>
  <c r="N4500" i="1" s="1"/>
  <c r="L4501" i="1"/>
  <c r="M4501" i="1" s="1"/>
  <c r="N4501" i="1" s="1"/>
  <c r="L4502" i="1"/>
  <c r="M4502" i="1" s="1"/>
  <c r="N4502" i="1" s="1"/>
  <c r="L4503" i="1"/>
  <c r="M4503" i="1" s="1"/>
  <c r="N4503" i="1" s="1"/>
  <c r="L4504" i="1"/>
  <c r="M4504" i="1" s="1"/>
  <c r="N4504" i="1" s="1"/>
  <c r="L4505" i="1"/>
  <c r="M4505" i="1" s="1"/>
  <c r="N4505" i="1" s="1"/>
  <c r="L4506" i="1"/>
  <c r="M4506" i="1" s="1"/>
  <c r="N4506" i="1" s="1"/>
  <c r="L4507" i="1"/>
  <c r="M4507" i="1" s="1"/>
  <c r="N4507" i="1" s="1"/>
  <c r="L4508" i="1"/>
  <c r="M4508" i="1" s="1"/>
  <c r="N4508" i="1" s="1"/>
  <c r="L4509" i="1"/>
  <c r="M4509" i="1" s="1"/>
  <c r="N4509" i="1" s="1"/>
  <c r="L4510" i="1"/>
  <c r="M4510" i="1" s="1"/>
  <c r="N4510" i="1" s="1"/>
  <c r="L4511" i="1"/>
  <c r="M4511" i="1" s="1"/>
  <c r="N4511" i="1" s="1"/>
  <c r="L4512" i="1"/>
  <c r="M4512" i="1" s="1"/>
  <c r="N4512" i="1" s="1"/>
  <c r="L4513" i="1"/>
  <c r="M4513" i="1" s="1"/>
  <c r="N4513" i="1" s="1"/>
  <c r="L4514" i="1"/>
  <c r="M4514" i="1" s="1"/>
  <c r="N4514" i="1" s="1"/>
  <c r="L4515" i="1"/>
  <c r="M4515" i="1" s="1"/>
  <c r="N4515" i="1" s="1"/>
  <c r="L4516" i="1"/>
  <c r="M4516" i="1" s="1"/>
  <c r="N4516" i="1" s="1"/>
  <c r="L4517" i="1"/>
  <c r="M4517" i="1" s="1"/>
  <c r="N4517" i="1" s="1"/>
  <c r="L4518" i="1"/>
  <c r="M4518" i="1" s="1"/>
  <c r="N4518" i="1" s="1"/>
  <c r="L4519" i="1"/>
  <c r="M4519" i="1" s="1"/>
  <c r="N4519" i="1" s="1"/>
  <c r="L4520" i="1"/>
  <c r="M4520" i="1" s="1"/>
  <c r="N4520" i="1" s="1"/>
  <c r="L4521" i="1"/>
  <c r="M4521" i="1" s="1"/>
  <c r="N4521" i="1" s="1"/>
  <c r="L4522" i="1"/>
  <c r="M4522" i="1" s="1"/>
  <c r="N4522" i="1" s="1"/>
  <c r="L4523" i="1"/>
  <c r="M4523" i="1" s="1"/>
  <c r="N4523" i="1" s="1"/>
  <c r="L4524" i="1"/>
  <c r="M4524" i="1" s="1"/>
  <c r="N4524" i="1" s="1"/>
  <c r="L4525" i="1"/>
  <c r="M4525" i="1" s="1"/>
  <c r="N4525" i="1" s="1"/>
  <c r="L4526" i="1"/>
  <c r="M4526" i="1" s="1"/>
  <c r="N4526" i="1" s="1"/>
  <c r="L4527" i="1"/>
  <c r="M4527" i="1" s="1"/>
  <c r="N4527" i="1" s="1"/>
  <c r="L4528" i="1"/>
  <c r="M4528" i="1" s="1"/>
  <c r="N4528" i="1" s="1"/>
  <c r="L4529" i="1"/>
  <c r="M4529" i="1" s="1"/>
  <c r="N4529" i="1" s="1"/>
  <c r="L4530" i="1"/>
  <c r="M4530" i="1" s="1"/>
  <c r="N4530" i="1" s="1"/>
  <c r="L4531" i="1"/>
  <c r="M4531" i="1" s="1"/>
  <c r="N4531" i="1" s="1"/>
  <c r="L4532" i="1"/>
  <c r="M4532" i="1" s="1"/>
  <c r="N4532" i="1" s="1"/>
  <c r="L4533" i="1"/>
  <c r="M4533" i="1" s="1"/>
  <c r="N4533" i="1" s="1"/>
  <c r="L4534" i="1"/>
  <c r="M4534" i="1" s="1"/>
  <c r="N4534" i="1" s="1"/>
  <c r="L4535" i="1"/>
  <c r="M4535" i="1" s="1"/>
  <c r="N4535" i="1" s="1"/>
  <c r="L4536" i="1"/>
  <c r="M4536" i="1" s="1"/>
  <c r="N4536" i="1" s="1"/>
  <c r="L4537" i="1"/>
  <c r="M4537" i="1" s="1"/>
  <c r="N4537" i="1" s="1"/>
  <c r="L4538" i="1"/>
  <c r="M4538" i="1" s="1"/>
  <c r="N4538" i="1" s="1"/>
  <c r="L4539" i="1"/>
  <c r="M4539" i="1" s="1"/>
  <c r="N4539" i="1" s="1"/>
  <c r="L4540" i="1"/>
  <c r="M4540" i="1" s="1"/>
  <c r="N4540" i="1" s="1"/>
  <c r="L4541" i="1"/>
  <c r="M4541" i="1" s="1"/>
  <c r="N4541" i="1" s="1"/>
  <c r="L4542" i="1"/>
  <c r="M4542" i="1" s="1"/>
  <c r="N4542" i="1" s="1"/>
  <c r="L4543" i="1"/>
  <c r="M4543" i="1" s="1"/>
  <c r="N4543" i="1" s="1"/>
  <c r="L4544" i="1"/>
  <c r="M4544" i="1" s="1"/>
  <c r="N4544" i="1" s="1"/>
  <c r="L4545" i="1"/>
  <c r="M4545" i="1" s="1"/>
  <c r="N4545" i="1" s="1"/>
  <c r="L4546" i="1"/>
  <c r="M4546" i="1" s="1"/>
  <c r="N4546" i="1" s="1"/>
  <c r="L4547" i="1"/>
  <c r="M4547" i="1" s="1"/>
  <c r="N4547" i="1" s="1"/>
  <c r="L4548" i="1"/>
  <c r="M4548" i="1" s="1"/>
  <c r="N4548" i="1" s="1"/>
  <c r="L4549" i="1"/>
  <c r="M4549" i="1" s="1"/>
  <c r="N4549" i="1" s="1"/>
  <c r="L4550" i="1"/>
  <c r="M4550" i="1" s="1"/>
  <c r="N4550" i="1" s="1"/>
  <c r="L4551" i="1"/>
  <c r="M4551" i="1" s="1"/>
  <c r="N4551" i="1" s="1"/>
  <c r="L4552" i="1"/>
  <c r="M4552" i="1" s="1"/>
  <c r="N4552" i="1" s="1"/>
  <c r="L4553" i="1"/>
  <c r="M4553" i="1" s="1"/>
  <c r="N4553" i="1" s="1"/>
  <c r="L4554" i="1"/>
  <c r="M4554" i="1" s="1"/>
  <c r="N4554" i="1" s="1"/>
  <c r="L4555" i="1"/>
  <c r="M4555" i="1" s="1"/>
  <c r="N4555" i="1" s="1"/>
  <c r="L4556" i="1"/>
  <c r="M4556" i="1" s="1"/>
  <c r="N4556" i="1" s="1"/>
  <c r="L4557" i="1"/>
  <c r="M4557" i="1" s="1"/>
  <c r="N4557" i="1" s="1"/>
  <c r="L4558" i="1"/>
  <c r="M4558" i="1" s="1"/>
  <c r="N4558" i="1" s="1"/>
  <c r="L4559" i="1"/>
  <c r="M4559" i="1" s="1"/>
  <c r="N4559" i="1" s="1"/>
  <c r="L4560" i="1"/>
  <c r="M4560" i="1" s="1"/>
  <c r="N4560" i="1" s="1"/>
  <c r="L4561" i="1"/>
  <c r="M4561" i="1" s="1"/>
  <c r="N4561" i="1" s="1"/>
  <c r="L4562" i="1"/>
  <c r="M4562" i="1" s="1"/>
  <c r="N4562" i="1" s="1"/>
  <c r="L4563" i="1"/>
  <c r="M4563" i="1" s="1"/>
  <c r="N4563" i="1" s="1"/>
  <c r="L4564" i="1"/>
  <c r="M4564" i="1" s="1"/>
  <c r="N4564" i="1" s="1"/>
  <c r="L4565" i="1"/>
  <c r="M4565" i="1" s="1"/>
  <c r="N4565" i="1" s="1"/>
  <c r="L4566" i="1"/>
  <c r="M4566" i="1" s="1"/>
  <c r="N4566" i="1" s="1"/>
  <c r="L4567" i="1"/>
  <c r="M4567" i="1" s="1"/>
  <c r="N4567" i="1" s="1"/>
  <c r="L4568" i="1"/>
  <c r="M4568" i="1" s="1"/>
  <c r="N4568" i="1" s="1"/>
  <c r="L4569" i="1"/>
  <c r="M4569" i="1" s="1"/>
  <c r="N4569" i="1" s="1"/>
  <c r="L4570" i="1"/>
  <c r="M4570" i="1" s="1"/>
  <c r="N4570" i="1" s="1"/>
  <c r="L4571" i="1"/>
  <c r="M4571" i="1" s="1"/>
  <c r="N4571" i="1" s="1"/>
  <c r="L4572" i="1"/>
  <c r="M4572" i="1" s="1"/>
  <c r="N4572" i="1" s="1"/>
  <c r="L4573" i="1"/>
  <c r="M4573" i="1" s="1"/>
  <c r="N4573" i="1" s="1"/>
  <c r="L4574" i="1"/>
  <c r="M4574" i="1" s="1"/>
  <c r="N4574" i="1" s="1"/>
  <c r="L4575" i="1"/>
  <c r="M4575" i="1" s="1"/>
  <c r="N4575" i="1" s="1"/>
  <c r="L4576" i="1"/>
  <c r="M4576" i="1" s="1"/>
  <c r="N4576" i="1" s="1"/>
  <c r="L4577" i="1"/>
  <c r="M4577" i="1" s="1"/>
  <c r="N4577" i="1" s="1"/>
  <c r="L4578" i="1"/>
  <c r="M4578" i="1" s="1"/>
  <c r="N4578" i="1" s="1"/>
  <c r="L4579" i="1"/>
  <c r="M4579" i="1" s="1"/>
  <c r="N4579" i="1" s="1"/>
  <c r="L4580" i="1"/>
  <c r="M4580" i="1" s="1"/>
  <c r="N4580" i="1" s="1"/>
  <c r="L4581" i="1"/>
  <c r="M4581" i="1" s="1"/>
  <c r="N4581" i="1" s="1"/>
  <c r="L4582" i="1"/>
  <c r="M4582" i="1" s="1"/>
  <c r="N4582" i="1" s="1"/>
  <c r="L4583" i="1"/>
  <c r="M4583" i="1" s="1"/>
  <c r="N4583" i="1" s="1"/>
  <c r="L4584" i="1"/>
  <c r="M4584" i="1" s="1"/>
  <c r="N4584" i="1" s="1"/>
  <c r="L4585" i="1"/>
  <c r="M4585" i="1" s="1"/>
  <c r="N4585" i="1" s="1"/>
  <c r="L4586" i="1"/>
  <c r="M4586" i="1" s="1"/>
  <c r="N4586" i="1" s="1"/>
  <c r="L4587" i="1"/>
  <c r="M4587" i="1" s="1"/>
  <c r="N4587" i="1" s="1"/>
  <c r="L4588" i="1"/>
  <c r="M4588" i="1" s="1"/>
  <c r="N4588" i="1" s="1"/>
  <c r="L4589" i="1"/>
  <c r="M4589" i="1" s="1"/>
  <c r="N4589" i="1" s="1"/>
  <c r="L4590" i="1"/>
  <c r="M4590" i="1" s="1"/>
  <c r="N4590" i="1" s="1"/>
  <c r="L4591" i="1"/>
  <c r="M4591" i="1" s="1"/>
  <c r="N4591" i="1" s="1"/>
  <c r="L4592" i="1"/>
  <c r="M4592" i="1" s="1"/>
  <c r="N4592" i="1" s="1"/>
  <c r="L4593" i="1"/>
  <c r="M4593" i="1" s="1"/>
  <c r="N4593" i="1" s="1"/>
  <c r="L4594" i="1"/>
  <c r="M4594" i="1" s="1"/>
  <c r="N4594" i="1" s="1"/>
  <c r="L4595" i="1"/>
  <c r="M4595" i="1" s="1"/>
  <c r="N4595" i="1" s="1"/>
  <c r="L4596" i="1"/>
  <c r="M4596" i="1" s="1"/>
  <c r="N4596" i="1" s="1"/>
  <c r="L4597" i="1"/>
  <c r="M4597" i="1" s="1"/>
  <c r="N4597" i="1" s="1"/>
  <c r="L4598" i="1"/>
  <c r="M4598" i="1" s="1"/>
  <c r="N4598" i="1" s="1"/>
  <c r="L4599" i="1"/>
  <c r="M4599" i="1" s="1"/>
  <c r="N4599" i="1" s="1"/>
  <c r="L4600" i="1"/>
  <c r="M4600" i="1" s="1"/>
  <c r="N4600" i="1" s="1"/>
  <c r="L4601" i="1"/>
  <c r="M4601" i="1" s="1"/>
  <c r="N4601" i="1" s="1"/>
  <c r="L4602" i="1"/>
  <c r="M4602" i="1" s="1"/>
  <c r="N4602" i="1" s="1"/>
  <c r="L4603" i="1"/>
  <c r="M4603" i="1" s="1"/>
  <c r="N4603" i="1" s="1"/>
  <c r="L4604" i="1"/>
  <c r="M4604" i="1" s="1"/>
  <c r="N4604" i="1" s="1"/>
  <c r="L4605" i="1"/>
  <c r="M4605" i="1" s="1"/>
  <c r="N4605" i="1" s="1"/>
  <c r="L4606" i="1"/>
  <c r="M4606" i="1" s="1"/>
  <c r="N4606" i="1" s="1"/>
  <c r="L4607" i="1"/>
  <c r="M4607" i="1" s="1"/>
  <c r="N4607" i="1" s="1"/>
  <c r="L4608" i="1"/>
  <c r="M4608" i="1" s="1"/>
  <c r="N4608" i="1" s="1"/>
  <c r="L4609" i="1"/>
  <c r="M4609" i="1" s="1"/>
  <c r="N4609" i="1" s="1"/>
  <c r="L4610" i="1"/>
  <c r="M4610" i="1" s="1"/>
  <c r="N4610" i="1" s="1"/>
  <c r="L4611" i="1"/>
  <c r="M4611" i="1" s="1"/>
  <c r="N4611" i="1" s="1"/>
  <c r="L4612" i="1"/>
  <c r="M4612" i="1" s="1"/>
  <c r="N4612" i="1" s="1"/>
  <c r="L4613" i="1"/>
  <c r="M4613" i="1" s="1"/>
  <c r="N4613" i="1" s="1"/>
  <c r="L4614" i="1"/>
  <c r="M4614" i="1" s="1"/>
  <c r="N4614" i="1" s="1"/>
  <c r="L4615" i="1"/>
  <c r="M4615" i="1" s="1"/>
  <c r="N4615" i="1" s="1"/>
  <c r="L4616" i="1"/>
  <c r="M4616" i="1" s="1"/>
  <c r="N4616" i="1" s="1"/>
  <c r="L4617" i="1"/>
  <c r="M4617" i="1" s="1"/>
  <c r="N4617" i="1" s="1"/>
  <c r="L4618" i="1"/>
  <c r="M4618" i="1" s="1"/>
  <c r="N4618" i="1" s="1"/>
  <c r="L4619" i="1"/>
  <c r="M4619" i="1" s="1"/>
  <c r="N4619" i="1" s="1"/>
  <c r="L4620" i="1"/>
  <c r="M4620" i="1" s="1"/>
  <c r="N4620" i="1" s="1"/>
  <c r="L4621" i="1"/>
  <c r="M4621" i="1" s="1"/>
  <c r="N4621" i="1" s="1"/>
  <c r="L4622" i="1"/>
  <c r="M4622" i="1" s="1"/>
  <c r="N4622" i="1" s="1"/>
  <c r="L4623" i="1"/>
  <c r="M4623" i="1" s="1"/>
  <c r="N4623" i="1" s="1"/>
  <c r="L4624" i="1"/>
  <c r="M4624" i="1" s="1"/>
  <c r="N4624" i="1" s="1"/>
  <c r="L4625" i="1"/>
  <c r="M4625" i="1" s="1"/>
  <c r="N4625" i="1" s="1"/>
  <c r="L4626" i="1"/>
  <c r="M4626" i="1" s="1"/>
  <c r="N4626" i="1" s="1"/>
  <c r="L4627" i="1"/>
  <c r="M4627" i="1" s="1"/>
  <c r="N4627" i="1" s="1"/>
  <c r="L4628" i="1"/>
  <c r="M4628" i="1" s="1"/>
  <c r="N4628" i="1" s="1"/>
  <c r="L4629" i="1"/>
  <c r="M4629" i="1" s="1"/>
  <c r="N4629" i="1" s="1"/>
  <c r="L4630" i="1"/>
  <c r="M4630" i="1" s="1"/>
  <c r="N4630" i="1" s="1"/>
  <c r="L4631" i="1"/>
  <c r="M4631" i="1" s="1"/>
  <c r="N4631" i="1" s="1"/>
  <c r="L4632" i="1"/>
  <c r="M4632" i="1" s="1"/>
  <c r="N4632" i="1" s="1"/>
  <c r="L4633" i="1"/>
  <c r="M4633" i="1" s="1"/>
  <c r="N4633" i="1" s="1"/>
  <c r="L4634" i="1"/>
  <c r="M4634" i="1" s="1"/>
  <c r="N4634" i="1" s="1"/>
  <c r="L4635" i="1"/>
  <c r="M4635" i="1" s="1"/>
  <c r="N4635" i="1" s="1"/>
  <c r="L4636" i="1"/>
  <c r="M4636" i="1" s="1"/>
  <c r="N4636" i="1" s="1"/>
  <c r="L4637" i="1"/>
  <c r="M4637" i="1" s="1"/>
  <c r="N4637" i="1" s="1"/>
  <c r="L4638" i="1"/>
  <c r="M4638" i="1" s="1"/>
  <c r="N4638" i="1" s="1"/>
  <c r="L4639" i="1"/>
  <c r="M4639" i="1" s="1"/>
  <c r="N4639" i="1" s="1"/>
  <c r="L4640" i="1"/>
  <c r="M4640" i="1" s="1"/>
  <c r="N4640" i="1" s="1"/>
  <c r="L4641" i="1"/>
  <c r="M4641" i="1" s="1"/>
  <c r="N4641" i="1" s="1"/>
  <c r="L4642" i="1"/>
  <c r="M4642" i="1" s="1"/>
  <c r="N4642" i="1" s="1"/>
  <c r="L4643" i="1"/>
  <c r="M4643" i="1" s="1"/>
  <c r="N4643" i="1" s="1"/>
  <c r="L4644" i="1"/>
  <c r="M4644" i="1" s="1"/>
  <c r="N4644" i="1" s="1"/>
  <c r="L4645" i="1"/>
  <c r="M4645" i="1" s="1"/>
  <c r="N4645" i="1" s="1"/>
  <c r="L4646" i="1"/>
  <c r="M4646" i="1" s="1"/>
  <c r="N4646" i="1" s="1"/>
  <c r="L4647" i="1"/>
  <c r="M4647" i="1" s="1"/>
  <c r="N4647" i="1" s="1"/>
  <c r="L4648" i="1"/>
  <c r="M4648" i="1" s="1"/>
  <c r="N4648" i="1" s="1"/>
  <c r="L4649" i="1"/>
  <c r="M4649" i="1" s="1"/>
  <c r="N4649" i="1" s="1"/>
  <c r="L4650" i="1"/>
  <c r="M4650" i="1" s="1"/>
  <c r="N4650" i="1" s="1"/>
  <c r="L4651" i="1"/>
  <c r="M4651" i="1" s="1"/>
  <c r="N4651" i="1" s="1"/>
  <c r="L4652" i="1"/>
  <c r="M4652" i="1" s="1"/>
  <c r="N4652" i="1" s="1"/>
  <c r="L4653" i="1"/>
  <c r="M4653" i="1" s="1"/>
  <c r="N4653" i="1" s="1"/>
  <c r="L4654" i="1"/>
  <c r="M4654" i="1" s="1"/>
  <c r="N4654" i="1" s="1"/>
  <c r="L4655" i="1"/>
  <c r="M4655" i="1" s="1"/>
  <c r="N4655" i="1" s="1"/>
  <c r="L4656" i="1"/>
  <c r="M4656" i="1" s="1"/>
  <c r="N4656" i="1" s="1"/>
  <c r="L4657" i="1"/>
  <c r="M4657" i="1" s="1"/>
  <c r="N4657" i="1" s="1"/>
  <c r="L4658" i="1"/>
  <c r="M4658" i="1" s="1"/>
  <c r="N4658" i="1" s="1"/>
  <c r="L4659" i="1"/>
  <c r="M4659" i="1" s="1"/>
  <c r="N4659" i="1" s="1"/>
  <c r="L4660" i="1"/>
  <c r="M4660" i="1" s="1"/>
  <c r="N4660" i="1" s="1"/>
  <c r="L4661" i="1"/>
  <c r="M4661" i="1" s="1"/>
  <c r="N4661" i="1" s="1"/>
  <c r="L4662" i="1"/>
  <c r="M4662" i="1" s="1"/>
  <c r="N4662" i="1" s="1"/>
  <c r="L4663" i="1"/>
  <c r="M4663" i="1" s="1"/>
  <c r="N4663" i="1" s="1"/>
  <c r="L4664" i="1"/>
  <c r="M4664" i="1" s="1"/>
  <c r="N4664" i="1" s="1"/>
  <c r="L4665" i="1"/>
  <c r="M4665" i="1" s="1"/>
  <c r="N4665" i="1" s="1"/>
  <c r="L4666" i="1"/>
  <c r="M4666" i="1" s="1"/>
  <c r="N4666" i="1" s="1"/>
  <c r="L4667" i="1"/>
  <c r="M4667" i="1" s="1"/>
  <c r="N4667" i="1" s="1"/>
  <c r="L4668" i="1"/>
  <c r="M4668" i="1" s="1"/>
  <c r="N4668" i="1" s="1"/>
  <c r="L4669" i="1"/>
  <c r="M4669" i="1" s="1"/>
  <c r="N4669" i="1" s="1"/>
  <c r="L4670" i="1"/>
  <c r="M4670" i="1" s="1"/>
  <c r="N4670" i="1" s="1"/>
  <c r="L4671" i="1"/>
  <c r="M4671" i="1" s="1"/>
  <c r="N4671" i="1" s="1"/>
  <c r="L4672" i="1"/>
  <c r="M4672" i="1" s="1"/>
  <c r="N4672" i="1" s="1"/>
  <c r="L4673" i="1"/>
  <c r="M4673" i="1" s="1"/>
  <c r="N4673" i="1" s="1"/>
  <c r="L4674" i="1"/>
  <c r="M4674" i="1" s="1"/>
  <c r="N4674" i="1" s="1"/>
  <c r="L4675" i="1"/>
  <c r="M4675" i="1" s="1"/>
  <c r="N4675" i="1" s="1"/>
  <c r="L4676" i="1"/>
  <c r="M4676" i="1" s="1"/>
  <c r="N4676" i="1" s="1"/>
  <c r="L4677" i="1"/>
  <c r="M4677" i="1" s="1"/>
  <c r="N4677" i="1" s="1"/>
  <c r="L4678" i="1"/>
  <c r="M4678" i="1" s="1"/>
  <c r="N4678" i="1" s="1"/>
  <c r="L4679" i="1"/>
  <c r="M4679" i="1" s="1"/>
  <c r="N4679" i="1" s="1"/>
  <c r="L4680" i="1"/>
  <c r="M4680" i="1" s="1"/>
  <c r="N4680" i="1" s="1"/>
  <c r="L4681" i="1"/>
  <c r="M4681" i="1" s="1"/>
  <c r="N4681" i="1" s="1"/>
  <c r="L4682" i="1"/>
  <c r="M4682" i="1" s="1"/>
  <c r="N4682" i="1" s="1"/>
  <c r="L4683" i="1"/>
  <c r="M4683" i="1" s="1"/>
  <c r="N4683" i="1" s="1"/>
  <c r="L4684" i="1"/>
  <c r="M4684" i="1" s="1"/>
  <c r="N4684" i="1" s="1"/>
  <c r="L4685" i="1"/>
  <c r="M4685" i="1" s="1"/>
  <c r="N4685" i="1" s="1"/>
  <c r="L4686" i="1"/>
  <c r="M4686" i="1" s="1"/>
  <c r="N4686" i="1" s="1"/>
  <c r="L4687" i="1"/>
  <c r="M4687" i="1" s="1"/>
  <c r="N4687" i="1" s="1"/>
  <c r="L4688" i="1"/>
  <c r="M4688" i="1" s="1"/>
  <c r="N4688" i="1" s="1"/>
  <c r="L4689" i="1"/>
  <c r="M4689" i="1" s="1"/>
  <c r="N4689" i="1" s="1"/>
  <c r="L4690" i="1"/>
  <c r="M4690" i="1" s="1"/>
  <c r="N4690" i="1" s="1"/>
  <c r="L4691" i="1"/>
  <c r="M4691" i="1" s="1"/>
  <c r="N4691" i="1" s="1"/>
  <c r="L4692" i="1"/>
  <c r="M4692" i="1" s="1"/>
  <c r="N4692" i="1" s="1"/>
  <c r="L4693" i="1"/>
  <c r="M4693" i="1" s="1"/>
  <c r="N4693" i="1" s="1"/>
  <c r="L4694" i="1"/>
  <c r="M4694" i="1" s="1"/>
  <c r="N4694" i="1" s="1"/>
  <c r="L4695" i="1"/>
  <c r="M4695" i="1" s="1"/>
  <c r="N4695" i="1" s="1"/>
  <c r="L4696" i="1"/>
  <c r="M4696" i="1" s="1"/>
  <c r="N4696" i="1" s="1"/>
  <c r="L4697" i="1"/>
  <c r="M4697" i="1" s="1"/>
  <c r="N4697" i="1" s="1"/>
  <c r="L4698" i="1"/>
  <c r="M4698" i="1" s="1"/>
  <c r="N4698" i="1" s="1"/>
  <c r="L4699" i="1"/>
  <c r="M4699" i="1" s="1"/>
  <c r="N4699" i="1" s="1"/>
  <c r="L4700" i="1"/>
  <c r="M4700" i="1" s="1"/>
  <c r="N4700" i="1" s="1"/>
  <c r="L4701" i="1"/>
  <c r="M4701" i="1" s="1"/>
  <c r="N4701" i="1" s="1"/>
  <c r="L4702" i="1"/>
  <c r="M4702" i="1" s="1"/>
  <c r="N4702" i="1" s="1"/>
  <c r="L4703" i="1"/>
  <c r="M4703" i="1" s="1"/>
  <c r="N4703" i="1" s="1"/>
  <c r="L4704" i="1"/>
  <c r="M4704" i="1" s="1"/>
  <c r="N4704" i="1" s="1"/>
  <c r="L4705" i="1"/>
  <c r="M4705" i="1" s="1"/>
  <c r="N4705" i="1" s="1"/>
  <c r="L4706" i="1"/>
  <c r="M4706" i="1" s="1"/>
  <c r="N4706" i="1" s="1"/>
  <c r="L4707" i="1"/>
  <c r="M4707" i="1" s="1"/>
  <c r="N4707" i="1" s="1"/>
  <c r="L4708" i="1"/>
  <c r="M4708" i="1" s="1"/>
  <c r="N4708" i="1" s="1"/>
  <c r="L4709" i="1"/>
  <c r="M4709" i="1" s="1"/>
  <c r="N4709" i="1" s="1"/>
  <c r="L4710" i="1"/>
  <c r="M4710" i="1" s="1"/>
  <c r="N4710" i="1" s="1"/>
  <c r="L4711" i="1"/>
  <c r="M4711" i="1" s="1"/>
  <c r="N4711" i="1" s="1"/>
  <c r="L4712" i="1"/>
  <c r="M4712" i="1" s="1"/>
  <c r="N4712" i="1" s="1"/>
  <c r="L4713" i="1"/>
  <c r="M4713" i="1" s="1"/>
  <c r="N4713" i="1" s="1"/>
  <c r="L4714" i="1"/>
  <c r="M4714" i="1" s="1"/>
  <c r="N4714" i="1" s="1"/>
  <c r="L4715" i="1"/>
  <c r="M4715" i="1" s="1"/>
  <c r="N4715" i="1" s="1"/>
  <c r="L4716" i="1"/>
  <c r="M4716" i="1" s="1"/>
  <c r="N4716" i="1" s="1"/>
  <c r="L4717" i="1"/>
  <c r="M4717" i="1" s="1"/>
  <c r="N4717" i="1" s="1"/>
  <c r="L4718" i="1"/>
  <c r="M4718" i="1" s="1"/>
  <c r="N4718" i="1" s="1"/>
  <c r="L4719" i="1"/>
  <c r="M4719" i="1" s="1"/>
  <c r="N4719" i="1" s="1"/>
  <c r="L4720" i="1"/>
  <c r="M4720" i="1" s="1"/>
  <c r="N4720" i="1" s="1"/>
  <c r="L4721" i="1"/>
  <c r="M4721" i="1" s="1"/>
  <c r="N4721" i="1" s="1"/>
  <c r="L4722" i="1"/>
  <c r="M4722" i="1" s="1"/>
  <c r="N4722" i="1" s="1"/>
  <c r="L4723" i="1"/>
  <c r="M4723" i="1" s="1"/>
  <c r="N4723" i="1" s="1"/>
  <c r="L4724" i="1"/>
  <c r="M4724" i="1" s="1"/>
  <c r="N4724" i="1" s="1"/>
  <c r="L4725" i="1"/>
  <c r="M4725" i="1" s="1"/>
  <c r="N4725" i="1" s="1"/>
  <c r="L4726" i="1"/>
  <c r="M4726" i="1" s="1"/>
  <c r="N4726" i="1" s="1"/>
  <c r="L4727" i="1"/>
  <c r="M4727" i="1" s="1"/>
  <c r="N4727" i="1" s="1"/>
  <c r="L4728" i="1"/>
  <c r="M4728" i="1" s="1"/>
  <c r="N4728" i="1" s="1"/>
  <c r="L4729" i="1"/>
  <c r="M4729" i="1" s="1"/>
  <c r="N4729" i="1" s="1"/>
  <c r="L4730" i="1"/>
  <c r="M4730" i="1" s="1"/>
  <c r="N4730" i="1" s="1"/>
  <c r="L4731" i="1"/>
  <c r="M4731" i="1" s="1"/>
  <c r="N4731" i="1" s="1"/>
  <c r="L4732" i="1"/>
  <c r="M4732" i="1" s="1"/>
  <c r="N4732" i="1" s="1"/>
  <c r="L4733" i="1"/>
  <c r="M4733" i="1" s="1"/>
  <c r="N4733" i="1" s="1"/>
  <c r="L4734" i="1"/>
  <c r="M4734" i="1" s="1"/>
  <c r="N4734" i="1" s="1"/>
  <c r="L4735" i="1"/>
  <c r="M4735" i="1" s="1"/>
  <c r="N4735" i="1" s="1"/>
  <c r="L4736" i="1"/>
  <c r="M4736" i="1" s="1"/>
  <c r="N4736" i="1" s="1"/>
  <c r="L4737" i="1"/>
  <c r="M4737" i="1" s="1"/>
  <c r="N4737" i="1" s="1"/>
  <c r="L4738" i="1"/>
  <c r="M4738" i="1" s="1"/>
  <c r="N4738" i="1" s="1"/>
  <c r="L4739" i="1"/>
  <c r="M4739" i="1" s="1"/>
  <c r="N4739" i="1" s="1"/>
  <c r="L4740" i="1"/>
  <c r="M4740" i="1" s="1"/>
  <c r="N4740" i="1" s="1"/>
  <c r="L4741" i="1"/>
  <c r="M4741" i="1" s="1"/>
  <c r="N4741" i="1" s="1"/>
  <c r="L4742" i="1"/>
  <c r="M4742" i="1" s="1"/>
  <c r="N4742" i="1" s="1"/>
  <c r="L4743" i="1"/>
  <c r="M4743" i="1" s="1"/>
  <c r="N4743" i="1" s="1"/>
  <c r="L4744" i="1"/>
  <c r="M4744" i="1" s="1"/>
  <c r="N4744" i="1" s="1"/>
  <c r="L4745" i="1"/>
  <c r="M4745" i="1" s="1"/>
  <c r="N4745" i="1" s="1"/>
  <c r="L4746" i="1"/>
  <c r="M4746" i="1" s="1"/>
  <c r="N4746" i="1" s="1"/>
  <c r="L4747" i="1"/>
  <c r="M4747" i="1" s="1"/>
  <c r="N4747" i="1" s="1"/>
  <c r="L4748" i="1"/>
  <c r="M4748" i="1" s="1"/>
  <c r="N4748" i="1" s="1"/>
  <c r="L4749" i="1"/>
  <c r="M4749" i="1" s="1"/>
  <c r="N4749" i="1" s="1"/>
  <c r="L4750" i="1"/>
  <c r="M4750" i="1" s="1"/>
  <c r="N4750" i="1" s="1"/>
  <c r="L4751" i="1"/>
  <c r="M4751" i="1" s="1"/>
  <c r="N4751" i="1" s="1"/>
  <c r="L4752" i="1"/>
  <c r="M4752" i="1" s="1"/>
  <c r="N4752" i="1" s="1"/>
  <c r="L4753" i="1"/>
  <c r="M4753" i="1" s="1"/>
  <c r="N4753" i="1" s="1"/>
  <c r="L4754" i="1"/>
  <c r="M4754" i="1" s="1"/>
  <c r="N4754" i="1" s="1"/>
  <c r="L4755" i="1"/>
  <c r="M4755" i="1" s="1"/>
  <c r="N4755" i="1" s="1"/>
  <c r="L4756" i="1"/>
  <c r="M4756" i="1" s="1"/>
  <c r="N4756" i="1" s="1"/>
  <c r="L4757" i="1"/>
  <c r="M4757" i="1" s="1"/>
  <c r="N4757" i="1" s="1"/>
  <c r="L4758" i="1"/>
  <c r="M4758" i="1" s="1"/>
  <c r="N4758" i="1" s="1"/>
  <c r="L4759" i="1"/>
  <c r="M4759" i="1" s="1"/>
  <c r="N4759" i="1" s="1"/>
  <c r="L4760" i="1"/>
  <c r="M4760" i="1" s="1"/>
  <c r="N4760" i="1" s="1"/>
  <c r="L4761" i="1"/>
  <c r="M4761" i="1" s="1"/>
  <c r="N4761" i="1" s="1"/>
  <c r="L4762" i="1"/>
  <c r="M4762" i="1" s="1"/>
  <c r="N4762" i="1" s="1"/>
  <c r="L4763" i="1"/>
  <c r="M4763" i="1" s="1"/>
  <c r="N4763" i="1" s="1"/>
  <c r="L4764" i="1"/>
  <c r="M4764" i="1" s="1"/>
  <c r="N4764" i="1" s="1"/>
  <c r="L4765" i="1"/>
  <c r="M4765" i="1" s="1"/>
  <c r="N4765" i="1" s="1"/>
  <c r="L4766" i="1"/>
  <c r="M4766" i="1" s="1"/>
  <c r="N4766" i="1" s="1"/>
  <c r="L4767" i="1"/>
  <c r="M4767" i="1" s="1"/>
  <c r="N4767" i="1" s="1"/>
  <c r="L4768" i="1"/>
  <c r="M4768" i="1" s="1"/>
  <c r="N4768" i="1" s="1"/>
  <c r="L4769" i="1"/>
  <c r="M4769" i="1" s="1"/>
  <c r="N4769" i="1" s="1"/>
  <c r="L4770" i="1"/>
  <c r="M4770" i="1" s="1"/>
  <c r="N4770" i="1" s="1"/>
  <c r="L4771" i="1"/>
  <c r="M4771" i="1" s="1"/>
  <c r="N4771" i="1" s="1"/>
  <c r="L4772" i="1"/>
  <c r="M4772" i="1" s="1"/>
  <c r="N4772" i="1" s="1"/>
  <c r="L4773" i="1"/>
  <c r="M4773" i="1" s="1"/>
  <c r="N4773" i="1" s="1"/>
  <c r="L4774" i="1"/>
  <c r="M4774" i="1" s="1"/>
  <c r="N4774" i="1" s="1"/>
  <c r="L4775" i="1"/>
  <c r="M4775" i="1" s="1"/>
  <c r="N4775" i="1" s="1"/>
  <c r="L4776" i="1"/>
  <c r="M4776" i="1" s="1"/>
  <c r="N4776" i="1" s="1"/>
  <c r="L4777" i="1"/>
  <c r="M4777" i="1" s="1"/>
  <c r="N4777" i="1" s="1"/>
  <c r="L4778" i="1"/>
  <c r="M4778" i="1" s="1"/>
  <c r="N4778" i="1" s="1"/>
  <c r="L4779" i="1"/>
  <c r="M4779" i="1" s="1"/>
  <c r="N4779" i="1" s="1"/>
  <c r="L4780" i="1"/>
  <c r="M4780" i="1" s="1"/>
  <c r="N4780" i="1" s="1"/>
  <c r="L4781" i="1"/>
  <c r="M4781" i="1" s="1"/>
  <c r="N4781" i="1" s="1"/>
  <c r="L4782" i="1"/>
  <c r="M4782" i="1" s="1"/>
  <c r="N4782" i="1" s="1"/>
  <c r="L4783" i="1"/>
  <c r="M4783" i="1" s="1"/>
  <c r="N4783" i="1" s="1"/>
  <c r="L4784" i="1"/>
  <c r="M4784" i="1" s="1"/>
  <c r="N4784" i="1" s="1"/>
  <c r="L4785" i="1"/>
  <c r="M4785" i="1" s="1"/>
  <c r="N4785" i="1" s="1"/>
  <c r="L4786" i="1"/>
  <c r="M4786" i="1" s="1"/>
  <c r="N4786" i="1" s="1"/>
  <c r="L4787" i="1"/>
  <c r="M4787" i="1" s="1"/>
  <c r="N4787" i="1" s="1"/>
  <c r="L4788" i="1"/>
  <c r="M4788" i="1" s="1"/>
  <c r="N4788" i="1" s="1"/>
  <c r="L4789" i="1"/>
  <c r="M4789" i="1" s="1"/>
  <c r="N4789" i="1" s="1"/>
  <c r="L4790" i="1"/>
  <c r="M4790" i="1" s="1"/>
  <c r="N4790" i="1" s="1"/>
  <c r="L4791" i="1"/>
  <c r="M4791" i="1" s="1"/>
  <c r="N4791" i="1" s="1"/>
  <c r="L4792" i="1"/>
  <c r="M4792" i="1" s="1"/>
  <c r="N4792" i="1" s="1"/>
  <c r="L4793" i="1"/>
  <c r="M4793" i="1" s="1"/>
  <c r="N4793" i="1" s="1"/>
  <c r="L4794" i="1"/>
  <c r="M4794" i="1" s="1"/>
  <c r="N4794" i="1" s="1"/>
  <c r="L4795" i="1"/>
  <c r="M4795" i="1" s="1"/>
  <c r="N4795" i="1" s="1"/>
  <c r="L4796" i="1"/>
  <c r="M4796" i="1" s="1"/>
  <c r="N4796" i="1" s="1"/>
  <c r="L4797" i="1"/>
  <c r="M4797" i="1" s="1"/>
  <c r="N4797" i="1" s="1"/>
  <c r="L4798" i="1"/>
  <c r="M4798" i="1" s="1"/>
  <c r="N4798" i="1" s="1"/>
  <c r="L4799" i="1"/>
  <c r="M4799" i="1" s="1"/>
  <c r="N4799" i="1" s="1"/>
  <c r="L4800" i="1"/>
  <c r="M4800" i="1" s="1"/>
  <c r="N4800" i="1" s="1"/>
  <c r="L4801" i="1"/>
  <c r="M4801" i="1" s="1"/>
  <c r="N4801" i="1" s="1"/>
  <c r="L4802" i="1"/>
  <c r="M4802" i="1" s="1"/>
  <c r="N4802" i="1" s="1"/>
  <c r="L4803" i="1"/>
  <c r="M4803" i="1" s="1"/>
  <c r="N4803" i="1" s="1"/>
  <c r="L4804" i="1"/>
  <c r="M4804" i="1" s="1"/>
  <c r="N4804" i="1" s="1"/>
  <c r="L4805" i="1"/>
  <c r="M4805" i="1" s="1"/>
  <c r="N4805" i="1" s="1"/>
  <c r="L4806" i="1"/>
  <c r="M4806" i="1" s="1"/>
  <c r="N4806" i="1" s="1"/>
  <c r="L4807" i="1"/>
  <c r="M4807" i="1" s="1"/>
  <c r="N4807" i="1" s="1"/>
  <c r="L4808" i="1"/>
  <c r="M4808" i="1" s="1"/>
  <c r="N4808" i="1" s="1"/>
  <c r="L4809" i="1"/>
  <c r="M4809" i="1" s="1"/>
  <c r="N4809" i="1" s="1"/>
  <c r="L4810" i="1"/>
  <c r="M4810" i="1" s="1"/>
  <c r="N4810" i="1" s="1"/>
  <c r="L4811" i="1"/>
  <c r="M4811" i="1" s="1"/>
  <c r="N4811" i="1" s="1"/>
  <c r="L4812" i="1"/>
  <c r="M4812" i="1" s="1"/>
  <c r="N4812" i="1" s="1"/>
  <c r="L4813" i="1"/>
  <c r="M4813" i="1" s="1"/>
  <c r="N4813" i="1" s="1"/>
  <c r="L4814" i="1"/>
  <c r="M4814" i="1" s="1"/>
  <c r="N4814" i="1" s="1"/>
  <c r="L4815" i="1"/>
  <c r="M4815" i="1" s="1"/>
  <c r="N4815" i="1" s="1"/>
  <c r="L4816" i="1"/>
  <c r="M4816" i="1" s="1"/>
  <c r="N4816" i="1" s="1"/>
  <c r="L4817" i="1"/>
  <c r="M4817" i="1" s="1"/>
  <c r="N4817" i="1" s="1"/>
  <c r="L4818" i="1"/>
  <c r="M4818" i="1" s="1"/>
  <c r="N4818" i="1" s="1"/>
  <c r="L4819" i="1"/>
  <c r="M4819" i="1" s="1"/>
  <c r="N4819" i="1" s="1"/>
  <c r="L4820" i="1"/>
  <c r="M4820" i="1" s="1"/>
  <c r="N4820" i="1" s="1"/>
  <c r="L4821" i="1"/>
  <c r="M4821" i="1" s="1"/>
  <c r="N4821" i="1" s="1"/>
  <c r="L4822" i="1"/>
  <c r="M4822" i="1" s="1"/>
  <c r="N4822" i="1" s="1"/>
  <c r="L4823" i="1"/>
  <c r="M4823" i="1" s="1"/>
  <c r="N4823" i="1" s="1"/>
  <c r="L4824" i="1"/>
  <c r="M4824" i="1" s="1"/>
  <c r="N4824" i="1" s="1"/>
  <c r="L4825" i="1"/>
  <c r="M4825" i="1" s="1"/>
  <c r="N4825" i="1" s="1"/>
  <c r="L4826" i="1"/>
  <c r="M4826" i="1" s="1"/>
  <c r="N4826" i="1" s="1"/>
  <c r="L4827" i="1"/>
  <c r="M4827" i="1" s="1"/>
  <c r="N4827" i="1" s="1"/>
  <c r="L4828" i="1"/>
  <c r="M4828" i="1" s="1"/>
  <c r="N4828" i="1" s="1"/>
  <c r="L4829" i="1"/>
  <c r="M4829" i="1" s="1"/>
  <c r="N4829" i="1" s="1"/>
  <c r="L4830" i="1"/>
  <c r="M4830" i="1" s="1"/>
  <c r="N4830" i="1" s="1"/>
  <c r="L4831" i="1"/>
  <c r="M4831" i="1" s="1"/>
  <c r="N4831" i="1" s="1"/>
  <c r="L4832" i="1"/>
  <c r="M4832" i="1" s="1"/>
  <c r="N4832" i="1" s="1"/>
  <c r="L4833" i="1"/>
  <c r="M4833" i="1" s="1"/>
  <c r="N4833" i="1" s="1"/>
  <c r="L4834" i="1"/>
  <c r="M4834" i="1" s="1"/>
  <c r="N4834" i="1" s="1"/>
  <c r="L4835" i="1"/>
  <c r="M4835" i="1" s="1"/>
  <c r="N4835" i="1" s="1"/>
  <c r="L4836" i="1"/>
  <c r="M4836" i="1" s="1"/>
  <c r="N4836" i="1" s="1"/>
  <c r="L4837" i="1"/>
  <c r="M4837" i="1" s="1"/>
  <c r="N4837" i="1" s="1"/>
  <c r="L4838" i="1"/>
  <c r="M4838" i="1" s="1"/>
  <c r="N4838" i="1" s="1"/>
  <c r="L4839" i="1"/>
  <c r="M4839" i="1" s="1"/>
  <c r="N4839" i="1" s="1"/>
  <c r="L4840" i="1"/>
  <c r="M4840" i="1" s="1"/>
  <c r="N4840" i="1" s="1"/>
  <c r="L4841" i="1"/>
  <c r="M4841" i="1" s="1"/>
  <c r="N4841" i="1" s="1"/>
  <c r="L4842" i="1"/>
  <c r="M4842" i="1" s="1"/>
  <c r="N4842" i="1" s="1"/>
  <c r="L4843" i="1"/>
  <c r="M4843" i="1" s="1"/>
  <c r="N4843" i="1" s="1"/>
  <c r="L4844" i="1"/>
  <c r="M4844" i="1" s="1"/>
  <c r="N4844" i="1" s="1"/>
  <c r="L4845" i="1"/>
  <c r="M4845" i="1" s="1"/>
  <c r="N4845" i="1" s="1"/>
  <c r="L4846" i="1"/>
  <c r="M4846" i="1" s="1"/>
  <c r="N4846" i="1" s="1"/>
  <c r="L4847" i="1"/>
  <c r="M4847" i="1" s="1"/>
  <c r="N4847" i="1" s="1"/>
  <c r="L4848" i="1"/>
  <c r="M4848" i="1" s="1"/>
  <c r="N4848" i="1" s="1"/>
  <c r="L4849" i="1"/>
  <c r="M4849" i="1" s="1"/>
  <c r="N4849" i="1" s="1"/>
  <c r="L4850" i="1"/>
  <c r="M4850" i="1" s="1"/>
  <c r="N4850" i="1" s="1"/>
  <c r="L4851" i="1"/>
  <c r="M4851" i="1" s="1"/>
  <c r="N4851" i="1" s="1"/>
  <c r="L4852" i="1"/>
  <c r="M4852" i="1" s="1"/>
  <c r="N4852" i="1" s="1"/>
  <c r="L4853" i="1"/>
  <c r="M4853" i="1" s="1"/>
  <c r="N4853" i="1" s="1"/>
  <c r="L4854" i="1"/>
  <c r="M4854" i="1" s="1"/>
  <c r="N4854" i="1" s="1"/>
  <c r="L4855" i="1"/>
  <c r="M4855" i="1" s="1"/>
  <c r="N4855" i="1" s="1"/>
  <c r="L4856" i="1"/>
  <c r="M4856" i="1" s="1"/>
  <c r="N4856" i="1" s="1"/>
  <c r="L4857" i="1"/>
  <c r="M4857" i="1" s="1"/>
  <c r="N4857" i="1" s="1"/>
  <c r="L4858" i="1"/>
  <c r="M4858" i="1" s="1"/>
  <c r="N4858" i="1" s="1"/>
  <c r="L4859" i="1"/>
  <c r="M4859" i="1" s="1"/>
  <c r="N4859" i="1" s="1"/>
  <c r="L4860" i="1"/>
  <c r="M4860" i="1" s="1"/>
  <c r="N4860" i="1" s="1"/>
  <c r="L4861" i="1"/>
  <c r="M4861" i="1" s="1"/>
  <c r="N4861" i="1" s="1"/>
  <c r="L4862" i="1"/>
  <c r="M4862" i="1" s="1"/>
  <c r="N4862" i="1" s="1"/>
  <c r="L4863" i="1"/>
  <c r="M4863" i="1" s="1"/>
  <c r="N4863" i="1" s="1"/>
  <c r="L4864" i="1"/>
  <c r="M4864" i="1" s="1"/>
  <c r="N4864" i="1" s="1"/>
  <c r="L4865" i="1"/>
  <c r="M4865" i="1" s="1"/>
  <c r="N4865" i="1" s="1"/>
  <c r="L4866" i="1"/>
  <c r="M4866" i="1" s="1"/>
  <c r="N4866" i="1" s="1"/>
  <c r="L4867" i="1"/>
  <c r="M4867" i="1" s="1"/>
  <c r="N4867" i="1" s="1"/>
  <c r="L4868" i="1"/>
  <c r="M4868" i="1" s="1"/>
  <c r="N4868" i="1" s="1"/>
  <c r="L4869" i="1"/>
  <c r="M4869" i="1" s="1"/>
  <c r="N4869" i="1" s="1"/>
  <c r="L4870" i="1"/>
  <c r="M4870" i="1" s="1"/>
  <c r="N4870" i="1" s="1"/>
  <c r="L4871" i="1"/>
  <c r="M4871" i="1" s="1"/>
  <c r="N4871" i="1" s="1"/>
  <c r="L4872" i="1"/>
  <c r="M4872" i="1" s="1"/>
  <c r="N4872" i="1" s="1"/>
  <c r="L4873" i="1"/>
  <c r="M4873" i="1" s="1"/>
  <c r="N4873" i="1" s="1"/>
  <c r="L4874" i="1"/>
  <c r="M4874" i="1" s="1"/>
  <c r="N4874" i="1" s="1"/>
  <c r="L4875" i="1"/>
  <c r="M4875" i="1" s="1"/>
  <c r="N4875" i="1" s="1"/>
  <c r="L4876" i="1"/>
  <c r="M4876" i="1" s="1"/>
  <c r="N4876" i="1" s="1"/>
  <c r="L4877" i="1"/>
  <c r="M4877" i="1" s="1"/>
  <c r="N4877" i="1" s="1"/>
  <c r="L4878" i="1"/>
  <c r="M4878" i="1" s="1"/>
  <c r="N4878" i="1" s="1"/>
  <c r="L4879" i="1"/>
  <c r="M4879" i="1" s="1"/>
  <c r="N4879" i="1" s="1"/>
  <c r="L4880" i="1"/>
  <c r="M4880" i="1" s="1"/>
  <c r="N4880" i="1" s="1"/>
  <c r="L4881" i="1"/>
  <c r="M4881" i="1" s="1"/>
  <c r="N4881" i="1" s="1"/>
  <c r="L4882" i="1"/>
  <c r="M4882" i="1" s="1"/>
  <c r="N4882" i="1" s="1"/>
  <c r="L4883" i="1"/>
  <c r="M4883" i="1" s="1"/>
  <c r="N4883" i="1" s="1"/>
  <c r="L4884" i="1"/>
  <c r="M4884" i="1" s="1"/>
  <c r="N4884" i="1" s="1"/>
  <c r="L4885" i="1"/>
  <c r="M4885" i="1" s="1"/>
  <c r="N4885" i="1" s="1"/>
  <c r="L4886" i="1"/>
  <c r="M4886" i="1" s="1"/>
  <c r="N4886" i="1" s="1"/>
  <c r="L4887" i="1"/>
  <c r="M4887" i="1" s="1"/>
  <c r="N4887" i="1" s="1"/>
  <c r="L4888" i="1"/>
  <c r="M4888" i="1" s="1"/>
  <c r="N4888" i="1" s="1"/>
  <c r="L4889" i="1"/>
  <c r="M4889" i="1" s="1"/>
  <c r="N4889" i="1" s="1"/>
  <c r="L4890" i="1"/>
  <c r="M4890" i="1" s="1"/>
  <c r="N4890" i="1" s="1"/>
  <c r="L4891" i="1"/>
  <c r="M4891" i="1" s="1"/>
  <c r="N4891" i="1" s="1"/>
  <c r="L4892" i="1"/>
  <c r="M4892" i="1" s="1"/>
  <c r="N4892" i="1" s="1"/>
  <c r="L4893" i="1"/>
  <c r="M4893" i="1" s="1"/>
  <c r="N4893" i="1" s="1"/>
  <c r="L4894" i="1"/>
  <c r="M4894" i="1" s="1"/>
  <c r="N4894" i="1" s="1"/>
  <c r="L4895" i="1"/>
  <c r="M4895" i="1" s="1"/>
  <c r="N4895" i="1" s="1"/>
  <c r="L4896" i="1"/>
  <c r="M4896" i="1" s="1"/>
  <c r="N4896" i="1" s="1"/>
  <c r="L4897" i="1"/>
  <c r="M4897" i="1" s="1"/>
  <c r="N4897" i="1" s="1"/>
  <c r="L4898" i="1"/>
  <c r="M4898" i="1" s="1"/>
  <c r="N4898" i="1" s="1"/>
  <c r="L4899" i="1"/>
  <c r="M4899" i="1" s="1"/>
  <c r="N4899" i="1" s="1"/>
  <c r="L4900" i="1"/>
  <c r="M4900" i="1" s="1"/>
  <c r="N4900" i="1" s="1"/>
  <c r="L4901" i="1"/>
  <c r="M4901" i="1" s="1"/>
  <c r="N4901" i="1" s="1"/>
  <c r="L4902" i="1"/>
  <c r="M4902" i="1" s="1"/>
  <c r="N4902" i="1" s="1"/>
  <c r="L4903" i="1"/>
  <c r="M4903" i="1" s="1"/>
  <c r="N4903" i="1" s="1"/>
  <c r="L4904" i="1"/>
  <c r="M4904" i="1" s="1"/>
  <c r="N4904" i="1" s="1"/>
  <c r="L4905" i="1"/>
  <c r="M4905" i="1" s="1"/>
  <c r="N4905" i="1" s="1"/>
  <c r="L4906" i="1"/>
  <c r="M4906" i="1" s="1"/>
  <c r="N4906" i="1" s="1"/>
  <c r="L4907" i="1"/>
  <c r="M4907" i="1" s="1"/>
  <c r="N4907" i="1" s="1"/>
  <c r="L4908" i="1"/>
  <c r="M4908" i="1" s="1"/>
  <c r="N4908" i="1" s="1"/>
  <c r="L4909" i="1"/>
  <c r="M4909" i="1" s="1"/>
  <c r="N4909" i="1" s="1"/>
  <c r="L4910" i="1"/>
  <c r="M4910" i="1" s="1"/>
  <c r="N4910" i="1" s="1"/>
  <c r="L4911" i="1"/>
  <c r="M4911" i="1" s="1"/>
  <c r="N4911" i="1" s="1"/>
  <c r="L4912" i="1"/>
  <c r="M4912" i="1" s="1"/>
  <c r="N4912" i="1" s="1"/>
  <c r="L4913" i="1"/>
  <c r="M4913" i="1" s="1"/>
  <c r="N4913" i="1" s="1"/>
  <c r="L4914" i="1"/>
  <c r="M4914" i="1" s="1"/>
  <c r="N4914" i="1" s="1"/>
  <c r="L4915" i="1"/>
  <c r="M4915" i="1" s="1"/>
  <c r="N4915" i="1" s="1"/>
  <c r="L4916" i="1"/>
  <c r="M4916" i="1" s="1"/>
  <c r="N4916" i="1" s="1"/>
  <c r="L4917" i="1"/>
  <c r="M4917" i="1" s="1"/>
  <c r="N4917" i="1" s="1"/>
  <c r="L4918" i="1"/>
  <c r="M4918" i="1" s="1"/>
  <c r="N4918" i="1" s="1"/>
  <c r="L4919" i="1"/>
  <c r="M4919" i="1" s="1"/>
  <c r="N4919" i="1" s="1"/>
  <c r="L4920" i="1"/>
  <c r="M4920" i="1" s="1"/>
  <c r="N4920" i="1" s="1"/>
  <c r="L4921" i="1"/>
  <c r="M4921" i="1" s="1"/>
  <c r="N4921" i="1" s="1"/>
  <c r="L4922" i="1"/>
  <c r="M4922" i="1" s="1"/>
  <c r="N4922" i="1" s="1"/>
  <c r="L4923" i="1"/>
  <c r="M4923" i="1" s="1"/>
  <c r="N4923" i="1" s="1"/>
  <c r="L4924" i="1"/>
  <c r="M4924" i="1" s="1"/>
  <c r="N4924" i="1" s="1"/>
  <c r="L4925" i="1"/>
  <c r="M4925" i="1" s="1"/>
  <c r="N4925" i="1" s="1"/>
  <c r="L4926" i="1"/>
  <c r="M4926" i="1" s="1"/>
  <c r="N4926" i="1" s="1"/>
  <c r="L4927" i="1"/>
  <c r="M4927" i="1" s="1"/>
  <c r="N4927" i="1" s="1"/>
  <c r="L4928" i="1"/>
  <c r="M4928" i="1" s="1"/>
  <c r="N4928" i="1" s="1"/>
  <c r="L4929" i="1"/>
  <c r="M4929" i="1" s="1"/>
  <c r="N4929" i="1" s="1"/>
  <c r="L4930" i="1"/>
  <c r="M4930" i="1" s="1"/>
  <c r="N4930" i="1" s="1"/>
  <c r="L4931" i="1"/>
  <c r="M4931" i="1" s="1"/>
  <c r="N4931" i="1" s="1"/>
  <c r="L4932" i="1"/>
  <c r="M4932" i="1" s="1"/>
  <c r="N4932" i="1" s="1"/>
  <c r="L4933" i="1"/>
  <c r="M4933" i="1" s="1"/>
  <c r="N4933" i="1" s="1"/>
  <c r="L4934" i="1"/>
  <c r="M4934" i="1" s="1"/>
  <c r="N4934" i="1" s="1"/>
  <c r="L4935" i="1"/>
  <c r="M4935" i="1" s="1"/>
  <c r="N4935" i="1" s="1"/>
  <c r="L4936" i="1"/>
  <c r="M4936" i="1" s="1"/>
  <c r="N4936" i="1" s="1"/>
  <c r="L4937" i="1"/>
  <c r="M4937" i="1" s="1"/>
  <c r="N4937" i="1" s="1"/>
  <c r="L4938" i="1"/>
  <c r="M4938" i="1" s="1"/>
  <c r="N4938" i="1" s="1"/>
  <c r="L4939" i="1"/>
  <c r="M4939" i="1" s="1"/>
  <c r="N4939" i="1" s="1"/>
  <c r="L4940" i="1"/>
  <c r="M4940" i="1" s="1"/>
  <c r="N4940" i="1" s="1"/>
  <c r="L4941" i="1"/>
  <c r="M4941" i="1" s="1"/>
  <c r="N4941" i="1" s="1"/>
  <c r="L4942" i="1"/>
  <c r="M4942" i="1" s="1"/>
  <c r="N4942" i="1" s="1"/>
  <c r="L4943" i="1"/>
  <c r="M4943" i="1" s="1"/>
  <c r="N4943" i="1" s="1"/>
  <c r="L4944" i="1"/>
  <c r="M4944" i="1" s="1"/>
  <c r="N4944" i="1" s="1"/>
  <c r="L4945" i="1"/>
  <c r="M4945" i="1" s="1"/>
  <c r="N4945" i="1" s="1"/>
  <c r="L4946" i="1"/>
  <c r="M4946" i="1" s="1"/>
  <c r="N4946" i="1" s="1"/>
  <c r="L4947" i="1"/>
  <c r="M4947" i="1" s="1"/>
  <c r="N4947" i="1" s="1"/>
  <c r="L4948" i="1"/>
  <c r="M4948" i="1" s="1"/>
  <c r="N4948" i="1" s="1"/>
  <c r="L4949" i="1"/>
  <c r="M4949" i="1" s="1"/>
  <c r="N4949" i="1" s="1"/>
  <c r="L4950" i="1"/>
  <c r="M4950" i="1" s="1"/>
  <c r="N4950" i="1" s="1"/>
  <c r="L4951" i="1"/>
  <c r="M4951" i="1" s="1"/>
  <c r="N4951" i="1" s="1"/>
  <c r="L4952" i="1"/>
  <c r="M4952" i="1" s="1"/>
  <c r="N4952" i="1" s="1"/>
  <c r="L4953" i="1"/>
  <c r="M4953" i="1" s="1"/>
  <c r="N4953" i="1" s="1"/>
  <c r="L4954" i="1"/>
  <c r="M4954" i="1" s="1"/>
  <c r="N4954" i="1" s="1"/>
  <c r="L4955" i="1"/>
  <c r="M4955" i="1" s="1"/>
  <c r="N4955" i="1" s="1"/>
  <c r="L4956" i="1"/>
  <c r="M4956" i="1" s="1"/>
  <c r="N4956" i="1" s="1"/>
  <c r="L4957" i="1"/>
  <c r="M4957" i="1" s="1"/>
  <c r="N4957" i="1" s="1"/>
  <c r="L4958" i="1"/>
  <c r="M4958" i="1" s="1"/>
  <c r="N4958" i="1" s="1"/>
  <c r="L4959" i="1"/>
  <c r="M4959" i="1" s="1"/>
  <c r="N4959" i="1" s="1"/>
  <c r="L4960" i="1"/>
  <c r="M4960" i="1" s="1"/>
  <c r="N4960" i="1" s="1"/>
  <c r="L4961" i="1"/>
  <c r="M4961" i="1" s="1"/>
  <c r="N4961" i="1" s="1"/>
  <c r="L4962" i="1"/>
  <c r="M4962" i="1" s="1"/>
  <c r="N4962" i="1" s="1"/>
  <c r="L4963" i="1"/>
  <c r="M4963" i="1" s="1"/>
  <c r="N4963" i="1" s="1"/>
  <c r="L4964" i="1"/>
  <c r="M4964" i="1" s="1"/>
  <c r="N4964" i="1" s="1"/>
  <c r="L4965" i="1"/>
  <c r="M4965" i="1" s="1"/>
  <c r="N4965" i="1" s="1"/>
  <c r="L4966" i="1"/>
  <c r="M4966" i="1" s="1"/>
  <c r="N4966" i="1" s="1"/>
  <c r="L4967" i="1"/>
  <c r="M4967" i="1" s="1"/>
  <c r="N4967" i="1" s="1"/>
  <c r="L4968" i="1"/>
  <c r="M4968" i="1" s="1"/>
  <c r="N4968" i="1" s="1"/>
  <c r="L4969" i="1"/>
  <c r="M4969" i="1" s="1"/>
  <c r="N4969" i="1" s="1"/>
  <c r="L4970" i="1"/>
  <c r="M4970" i="1" s="1"/>
  <c r="N4970" i="1" s="1"/>
  <c r="L4971" i="1"/>
  <c r="M4971" i="1" s="1"/>
  <c r="N4971" i="1" s="1"/>
  <c r="L4972" i="1"/>
  <c r="M4972" i="1" s="1"/>
  <c r="N4972" i="1" s="1"/>
  <c r="L4973" i="1"/>
  <c r="M4973" i="1" s="1"/>
  <c r="N4973" i="1" s="1"/>
  <c r="L4974" i="1"/>
  <c r="M4974" i="1" s="1"/>
  <c r="N4974" i="1" s="1"/>
  <c r="L4975" i="1"/>
  <c r="M4975" i="1" s="1"/>
  <c r="N4975" i="1" s="1"/>
  <c r="L4976" i="1"/>
  <c r="M4976" i="1" s="1"/>
  <c r="N4976" i="1" s="1"/>
  <c r="L4977" i="1"/>
  <c r="M4977" i="1" s="1"/>
  <c r="N4977" i="1" s="1"/>
  <c r="L4978" i="1"/>
  <c r="M4978" i="1" s="1"/>
  <c r="N4978" i="1" s="1"/>
  <c r="L4979" i="1"/>
  <c r="M4979" i="1" s="1"/>
  <c r="N4979" i="1" s="1"/>
  <c r="L4980" i="1"/>
  <c r="M4980" i="1" s="1"/>
  <c r="N4980" i="1" s="1"/>
  <c r="L4981" i="1"/>
  <c r="M4981" i="1" s="1"/>
  <c r="N4981" i="1" s="1"/>
  <c r="L4982" i="1"/>
  <c r="M4982" i="1" s="1"/>
  <c r="N4982" i="1" s="1"/>
  <c r="L4983" i="1"/>
  <c r="M4983" i="1" s="1"/>
  <c r="N4983" i="1" s="1"/>
  <c r="L4984" i="1"/>
  <c r="M4984" i="1" s="1"/>
  <c r="N4984" i="1" s="1"/>
  <c r="L4985" i="1"/>
  <c r="M4985" i="1" s="1"/>
  <c r="N4985" i="1" s="1"/>
  <c r="L4986" i="1"/>
  <c r="M4986" i="1" s="1"/>
  <c r="N4986" i="1" s="1"/>
  <c r="L4987" i="1"/>
  <c r="M4987" i="1" s="1"/>
  <c r="N4987" i="1" s="1"/>
  <c r="L4988" i="1"/>
  <c r="M4988" i="1" s="1"/>
  <c r="N4988" i="1" s="1"/>
  <c r="L4989" i="1"/>
  <c r="M4989" i="1" s="1"/>
  <c r="N4989" i="1" s="1"/>
  <c r="L4990" i="1"/>
  <c r="M4990" i="1" s="1"/>
  <c r="N4990" i="1" s="1"/>
  <c r="L4991" i="1"/>
  <c r="M4991" i="1" s="1"/>
  <c r="N4991" i="1" s="1"/>
  <c r="L4992" i="1"/>
  <c r="M4992" i="1" s="1"/>
  <c r="N4992" i="1" s="1"/>
  <c r="L4993" i="1"/>
  <c r="M4993" i="1" s="1"/>
  <c r="N4993" i="1" s="1"/>
  <c r="L4994" i="1"/>
  <c r="M4994" i="1" s="1"/>
  <c r="N4994" i="1" s="1"/>
  <c r="L4995" i="1"/>
  <c r="M4995" i="1" s="1"/>
  <c r="N4995" i="1" s="1"/>
  <c r="L4996" i="1"/>
  <c r="M4996" i="1" s="1"/>
  <c r="N4996" i="1" s="1"/>
  <c r="L4997" i="1"/>
  <c r="M4997" i="1" s="1"/>
  <c r="N4997" i="1" s="1"/>
  <c r="L4998" i="1"/>
  <c r="M4998" i="1" s="1"/>
  <c r="N4998" i="1" s="1"/>
  <c r="L4999" i="1"/>
  <c r="M4999" i="1" s="1"/>
  <c r="N4999" i="1" s="1"/>
  <c r="L5000" i="1"/>
  <c r="M5000" i="1" s="1"/>
  <c r="N5000" i="1" s="1"/>
  <c r="L5001" i="1"/>
  <c r="M5001" i="1" s="1"/>
  <c r="N5001" i="1" s="1"/>
  <c r="L5002" i="1"/>
  <c r="M5002" i="1" s="1"/>
  <c r="N5002" i="1" s="1"/>
  <c r="L5003" i="1"/>
  <c r="M5003" i="1" s="1"/>
  <c r="N5003" i="1" s="1"/>
  <c r="L5004" i="1"/>
  <c r="M5004" i="1" s="1"/>
  <c r="N5004" i="1" s="1"/>
  <c r="L5005" i="1"/>
  <c r="M5005" i="1" s="1"/>
  <c r="N5005" i="1" s="1"/>
  <c r="L5006" i="1"/>
  <c r="M5006" i="1" s="1"/>
  <c r="N5006" i="1" s="1"/>
  <c r="L5007" i="1"/>
  <c r="M5007" i="1" s="1"/>
  <c r="N5007" i="1" s="1"/>
  <c r="L5008" i="1"/>
  <c r="M5008" i="1" s="1"/>
  <c r="N5008" i="1" s="1"/>
  <c r="L5009" i="1"/>
  <c r="M5009" i="1" s="1"/>
  <c r="N5009" i="1" s="1"/>
  <c r="L5010" i="1"/>
  <c r="M5010" i="1" s="1"/>
  <c r="N5010" i="1" s="1"/>
  <c r="L5011" i="1"/>
  <c r="M5011" i="1" s="1"/>
  <c r="N5011" i="1" s="1"/>
  <c r="L5012" i="1"/>
  <c r="M5012" i="1" s="1"/>
  <c r="N5012" i="1" s="1"/>
  <c r="L5013" i="1"/>
  <c r="M5013" i="1" s="1"/>
  <c r="N5013" i="1" s="1"/>
  <c r="L5014" i="1"/>
  <c r="M5014" i="1" s="1"/>
  <c r="N5014" i="1" s="1"/>
  <c r="L5015" i="1"/>
  <c r="M5015" i="1" s="1"/>
  <c r="N5015" i="1" s="1"/>
  <c r="L5016" i="1"/>
  <c r="M5016" i="1" s="1"/>
  <c r="N5016" i="1" s="1"/>
  <c r="L5017" i="1"/>
  <c r="M5017" i="1" s="1"/>
  <c r="N5017" i="1" s="1"/>
  <c r="L5018" i="1"/>
  <c r="M5018" i="1" s="1"/>
  <c r="N5018" i="1" s="1"/>
  <c r="L5019" i="1"/>
  <c r="M5019" i="1" s="1"/>
  <c r="N5019" i="1" s="1"/>
  <c r="L5020" i="1"/>
  <c r="M5020" i="1" s="1"/>
  <c r="N5020" i="1" s="1"/>
  <c r="L5021" i="1"/>
  <c r="M5021" i="1" s="1"/>
  <c r="N5021" i="1" s="1"/>
  <c r="L5022" i="1"/>
  <c r="M5022" i="1" s="1"/>
  <c r="N5022" i="1" s="1"/>
  <c r="L5023" i="1"/>
  <c r="M5023" i="1" s="1"/>
  <c r="N5023" i="1" s="1"/>
  <c r="L5024" i="1"/>
  <c r="M5024" i="1" s="1"/>
  <c r="N5024" i="1" s="1"/>
  <c r="L5025" i="1"/>
  <c r="M5025" i="1" s="1"/>
  <c r="N5025" i="1" s="1"/>
  <c r="L5026" i="1"/>
  <c r="M5026" i="1" s="1"/>
  <c r="N5026" i="1" s="1"/>
  <c r="L5027" i="1"/>
  <c r="M5027" i="1" s="1"/>
  <c r="N5027" i="1" s="1"/>
  <c r="L5028" i="1"/>
  <c r="M5028" i="1" s="1"/>
  <c r="N5028" i="1" s="1"/>
  <c r="L5029" i="1"/>
  <c r="M5029" i="1" s="1"/>
  <c r="N5029" i="1" s="1"/>
  <c r="L5030" i="1"/>
  <c r="M5030" i="1" s="1"/>
  <c r="N5030" i="1" s="1"/>
  <c r="L5031" i="1"/>
  <c r="M5031" i="1" s="1"/>
  <c r="N5031" i="1" s="1"/>
  <c r="L5032" i="1"/>
  <c r="M5032" i="1" s="1"/>
  <c r="N5032" i="1" s="1"/>
  <c r="L5033" i="1"/>
  <c r="M5033" i="1" s="1"/>
  <c r="N5033" i="1" s="1"/>
  <c r="L5034" i="1"/>
  <c r="M5034" i="1" s="1"/>
  <c r="N5034" i="1" s="1"/>
  <c r="L5035" i="1"/>
  <c r="M5035" i="1" s="1"/>
  <c r="N5035" i="1" s="1"/>
  <c r="L5036" i="1"/>
  <c r="M5036" i="1" s="1"/>
  <c r="N5036" i="1" s="1"/>
  <c r="L5037" i="1"/>
  <c r="M5037" i="1" s="1"/>
  <c r="N5037" i="1" s="1"/>
  <c r="L5038" i="1"/>
  <c r="M5038" i="1" s="1"/>
  <c r="N5038" i="1" s="1"/>
  <c r="L5039" i="1"/>
  <c r="M5039" i="1" s="1"/>
  <c r="N5039" i="1" s="1"/>
  <c r="L5040" i="1"/>
  <c r="M5040" i="1" s="1"/>
  <c r="N5040" i="1" s="1"/>
  <c r="L5041" i="1"/>
  <c r="M5041" i="1" s="1"/>
  <c r="N5041" i="1" s="1"/>
  <c r="L5042" i="1"/>
  <c r="M5042" i="1" s="1"/>
  <c r="N5042" i="1" s="1"/>
  <c r="L5043" i="1"/>
  <c r="M5043" i="1" s="1"/>
  <c r="N5043" i="1" s="1"/>
  <c r="L5044" i="1"/>
  <c r="M5044" i="1" s="1"/>
  <c r="N5044" i="1" s="1"/>
  <c r="L5045" i="1"/>
  <c r="M5045" i="1" s="1"/>
  <c r="N5045" i="1" s="1"/>
  <c r="L5046" i="1"/>
  <c r="M5046" i="1" s="1"/>
  <c r="N5046" i="1" s="1"/>
  <c r="L5047" i="1"/>
  <c r="M5047" i="1" s="1"/>
  <c r="N5047" i="1" s="1"/>
  <c r="L5048" i="1"/>
  <c r="M5048" i="1" s="1"/>
  <c r="N5048" i="1" s="1"/>
  <c r="L5049" i="1"/>
  <c r="M5049" i="1" s="1"/>
  <c r="N5049" i="1" s="1"/>
  <c r="L5050" i="1"/>
  <c r="M5050" i="1" s="1"/>
  <c r="N5050" i="1" s="1"/>
  <c r="L5051" i="1"/>
  <c r="M5051" i="1" s="1"/>
  <c r="N5051" i="1" s="1"/>
  <c r="L5052" i="1"/>
  <c r="M5052" i="1" s="1"/>
  <c r="N5052" i="1" s="1"/>
  <c r="L5053" i="1"/>
  <c r="M5053" i="1" s="1"/>
  <c r="N5053" i="1" s="1"/>
  <c r="L5054" i="1"/>
  <c r="M5054" i="1" s="1"/>
  <c r="N5054" i="1" s="1"/>
  <c r="L5055" i="1"/>
  <c r="M5055" i="1" s="1"/>
  <c r="N5055" i="1" s="1"/>
  <c r="L5056" i="1"/>
  <c r="M5056" i="1" s="1"/>
  <c r="N5056" i="1" s="1"/>
  <c r="L5057" i="1"/>
  <c r="M5057" i="1" s="1"/>
  <c r="N5057" i="1" s="1"/>
  <c r="L5058" i="1"/>
  <c r="M5058" i="1" s="1"/>
  <c r="N5058" i="1" s="1"/>
  <c r="L5059" i="1"/>
  <c r="M5059" i="1" s="1"/>
  <c r="N5059" i="1" s="1"/>
  <c r="L5060" i="1"/>
  <c r="M5060" i="1" s="1"/>
  <c r="N5060" i="1" s="1"/>
  <c r="L5061" i="1"/>
  <c r="M5061" i="1" s="1"/>
  <c r="N5061" i="1" s="1"/>
  <c r="L5062" i="1"/>
  <c r="M5062" i="1" s="1"/>
  <c r="N5062" i="1" s="1"/>
  <c r="L5063" i="1"/>
  <c r="M5063" i="1" s="1"/>
  <c r="N5063" i="1" s="1"/>
  <c r="L5064" i="1"/>
  <c r="M5064" i="1" s="1"/>
  <c r="N5064" i="1" s="1"/>
  <c r="L5065" i="1"/>
  <c r="M5065" i="1" s="1"/>
  <c r="N5065" i="1" s="1"/>
  <c r="L5066" i="1"/>
  <c r="M5066" i="1" s="1"/>
  <c r="N5066" i="1" s="1"/>
  <c r="L5067" i="1"/>
  <c r="M5067" i="1" s="1"/>
  <c r="N5067" i="1" s="1"/>
  <c r="L5068" i="1"/>
  <c r="M5068" i="1" s="1"/>
  <c r="N5068" i="1" s="1"/>
  <c r="L5069" i="1"/>
  <c r="M5069" i="1" s="1"/>
  <c r="N5069" i="1" s="1"/>
  <c r="L5070" i="1"/>
  <c r="M5070" i="1" s="1"/>
  <c r="N5070" i="1" s="1"/>
  <c r="L5071" i="1"/>
  <c r="M5071" i="1" s="1"/>
  <c r="N5071" i="1" s="1"/>
  <c r="L5072" i="1"/>
  <c r="M5072" i="1" s="1"/>
  <c r="N5072" i="1" s="1"/>
  <c r="L5073" i="1"/>
  <c r="M5073" i="1" s="1"/>
  <c r="N5073" i="1" s="1"/>
  <c r="L5074" i="1"/>
  <c r="M5074" i="1" s="1"/>
  <c r="N5074" i="1" s="1"/>
  <c r="L5075" i="1"/>
  <c r="M5075" i="1" s="1"/>
  <c r="N5075" i="1" s="1"/>
  <c r="L5076" i="1"/>
  <c r="M5076" i="1" s="1"/>
  <c r="N5076" i="1" s="1"/>
  <c r="L5077" i="1"/>
  <c r="M5077" i="1" s="1"/>
  <c r="N5077" i="1" s="1"/>
  <c r="L5078" i="1"/>
  <c r="M5078" i="1" s="1"/>
  <c r="N5078" i="1" s="1"/>
  <c r="L5079" i="1"/>
  <c r="M5079" i="1" s="1"/>
  <c r="N5079" i="1" s="1"/>
  <c r="L5080" i="1"/>
  <c r="M5080" i="1" s="1"/>
  <c r="N5080" i="1" s="1"/>
  <c r="L5081" i="1"/>
  <c r="M5081" i="1" s="1"/>
  <c r="N5081" i="1" s="1"/>
  <c r="L5082" i="1"/>
  <c r="M5082" i="1" s="1"/>
  <c r="N5082" i="1" s="1"/>
  <c r="L5083" i="1"/>
  <c r="M5083" i="1" s="1"/>
  <c r="N5083" i="1" s="1"/>
  <c r="L5084" i="1"/>
  <c r="M5084" i="1" s="1"/>
  <c r="N5084" i="1" s="1"/>
  <c r="L5085" i="1"/>
  <c r="M5085" i="1" s="1"/>
  <c r="N5085" i="1" s="1"/>
  <c r="L5086" i="1"/>
  <c r="M5086" i="1" s="1"/>
  <c r="N5086" i="1" s="1"/>
  <c r="L5087" i="1"/>
  <c r="M5087" i="1" s="1"/>
  <c r="N5087" i="1" s="1"/>
  <c r="L5088" i="1"/>
  <c r="M5088" i="1" s="1"/>
  <c r="N5088" i="1" s="1"/>
  <c r="L5089" i="1"/>
  <c r="M5089" i="1" s="1"/>
  <c r="N5089" i="1" s="1"/>
  <c r="L5090" i="1"/>
  <c r="M5090" i="1" s="1"/>
  <c r="N5090" i="1" s="1"/>
  <c r="L5091" i="1"/>
  <c r="M5091" i="1" s="1"/>
  <c r="N5091" i="1" s="1"/>
  <c r="L5092" i="1"/>
  <c r="M5092" i="1" s="1"/>
  <c r="N5092" i="1" s="1"/>
  <c r="L5093" i="1"/>
  <c r="M5093" i="1" s="1"/>
  <c r="N5093" i="1" s="1"/>
  <c r="L5094" i="1"/>
  <c r="M5094" i="1" s="1"/>
  <c r="N5094" i="1" s="1"/>
  <c r="L5095" i="1"/>
  <c r="M5095" i="1" s="1"/>
  <c r="N5095" i="1" s="1"/>
  <c r="L5096" i="1"/>
  <c r="M5096" i="1" s="1"/>
  <c r="N5096" i="1" s="1"/>
  <c r="L5097" i="1"/>
  <c r="M5097" i="1" s="1"/>
  <c r="N5097" i="1" s="1"/>
  <c r="L5098" i="1"/>
  <c r="M5098" i="1" s="1"/>
  <c r="N5098" i="1" s="1"/>
  <c r="L5099" i="1"/>
  <c r="M5099" i="1" s="1"/>
  <c r="N5099" i="1" s="1"/>
  <c r="L5100" i="1"/>
  <c r="M5100" i="1" s="1"/>
  <c r="N5100" i="1" s="1"/>
  <c r="L5101" i="1"/>
  <c r="M5101" i="1" s="1"/>
  <c r="N5101" i="1" s="1"/>
  <c r="L5102" i="1"/>
  <c r="M5102" i="1" s="1"/>
  <c r="N5102" i="1" s="1"/>
  <c r="L5103" i="1"/>
  <c r="M5103" i="1" s="1"/>
  <c r="N5103" i="1" s="1"/>
  <c r="L5104" i="1"/>
  <c r="M5104" i="1" s="1"/>
  <c r="N5104" i="1" s="1"/>
  <c r="L5105" i="1"/>
  <c r="M5105" i="1" s="1"/>
  <c r="N5105" i="1" s="1"/>
  <c r="L5106" i="1"/>
  <c r="M5106" i="1" s="1"/>
  <c r="N5106" i="1" s="1"/>
  <c r="L5107" i="1"/>
  <c r="M5107" i="1" s="1"/>
  <c r="N5107" i="1" s="1"/>
  <c r="L5108" i="1"/>
  <c r="M5108" i="1" s="1"/>
  <c r="N5108" i="1" s="1"/>
  <c r="L5109" i="1"/>
  <c r="M5109" i="1" s="1"/>
  <c r="N5109" i="1" s="1"/>
  <c r="L5110" i="1"/>
  <c r="M5110" i="1" s="1"/>
  <c r="N5110" i="1" s="1"/>
  <c r="L5111" i="1"/>
  <c r="M5111" i="1" s="1"/>
  <c r="N5111" i="1" s="1"/>
  <c r="L5112" i="1"/>
  <c r="M5112" i="1" s="1"/>
  <c r="N5112" i="1" s="1"/>
  <c r="L5113" i="1"/>
  <c r="M5113" i="1" s="1"/>
  <c r="N5113" i="1" s="1"/>
  <c r="L5114" i="1"/>
  <c r="M5114" i="1" s="1"/>
  <c r="N5114" i="1" s="1"/>
  <c r="L5115" i="1"/>
  <c r="M5115" i="1" s="1"/>
  <c r="N5115" i="1" s="1"/>
  <c r="L5116" i="1"/>
  <c r="M5116" i="1" s="1"/>
  <c r="N5116" i="1" s="1"/>
  <c r="L5117" i="1"/>
  <c r="M5117" i="1" s="1"/>
  <c r="N5117" i="1" s="1"/>
  <c r="L5118" i="1"/>
  <c r="M5118" i="1" s="1"/>
  <c r="N5118" i="1" s="1"/>
  <c r="L5119" i="1"/>
  <c r="M5119" i="1" s="1"/>
  <c r="N5119" i="1" s="1"/>
  <c r="L5120" i="1"/>
  <c r="M5120" i="1" s="1"/>
  <c r="N5120" i="1" s="1"/>
  <c r="L5121" i="1"/>
  <c r="M5121" i="1" s="1"/>
  <c r="N5121" i="1" s="1"/>
  <c r="L5122" i="1"/>
  <c r="M5122" i="1" s="1"/>
  <c r="N5122" i="1" s="1"/>
  <c r="L5123" i="1"/>
  <c r="M5123" i="1" s="1"/>
  <c r="N5123" i="1" s="1"/>
  <c r="L5124" i="1"/>
  <c r="M5124" i="1" s="1"/>
  <c r="N5124" i="1" s="1"/>
  <c r="L5125" i="1"/>
  <c r="M5125" i="1" s="1"/>
  <c r="N5125" i="1" s="1"/>
  <c r="L5126" i="1"/>
  <c r="M5126" i="1" s="1"/>
  <c r="N5126" i="1" s="1"/>
  <c r="L5127" i="1"/>
  <c r="M5127" i="1" s="1"/>
  <c r="N5127" i="1" s="1"/>
  <c r="L5128" i="1"/>
  <c r="M5128" i="1" s="1"/>
  <c r="N5128" i="1" s="1"/>
  <c r="L5129" i="1"/>
  <c r="M5129" i="1" s="1"/>
  <c r="N5129" i="1" s="1"/>
  <c r="L5130" i="1"/>
  <c r="M5130" i="1" s="1"/>
  <c r="N5130" i="1" s="1"/>
  <c r="L5131" i="1"/>
  <c r="M5131" i="1" s="1"/>
  <c r="N5131" i="1" s="1"/>
  <c r="L5132" i="1"/>
  <c r="M5132" i="1" s="1"/>
  <c r="N5132" i="1" s="1"/>
  <c r="L5133" i="1"/>
  <c r="M5133" i="1" s="1"/>
  <c r="N5133" i="1" s="1"/>
  <c r="L5134" i="1"/>
  <c r="M5134" i="1" s="1"/>
  <c r="N5134" i="1" s="1"/>
  <c r="L5135" i="1"/>
  <c r="M5135" i="1" s="1"/>
  <c r="N5135" i="1" s="1"/>
  <c r="L5136" i="1"/>
  <c r="M5136" i="1" s="1"/>
  <c r="N5136" i="1" s="1"/>
  <c r="L5137" i="1"/>
  <c r="M5137" i="1" s="1"/>
  <c r="N5137" i="1" s="1"/>
  <c r="L5138" i="1"/>
  <c r="M5138" i="1" s="1"/>
  <c r="N5138" i="1" s="1"/>
  <c r="L5139" i="1"/>
  <c r="M5139" i="1" s="1"/>
  <c r="N5139" i="1" s="1"/>
  <c r="L5140" i="1"/>
  <c r="M5140" i="1" s="1"/>
  <c r="N5140" i="1" s="1"/>
  <c r="L5141" i="1"/>
  <c r="M5141" i="1" s="1"/>
  <c r="N5141" i="1" s="1"/>
  <c r="L5142" i="1"/>
  <c r="M5142" i="1" s="1"/>
  <c r="N5142" i="1" s="1"/>
  <c r="L5143" i="1"/>
  <c r="M5143" i="1" s="1"/>
  <c r="N5143" i="1" s="1"/>
  <c r="L5144" i="1"/>
  <c r="M5144" i="1" s="1"/>
  <c r="N5144" i="1" s="1"/>
  <c r="L5145" i="1"/>
  <c r="M5145" i="1" s="1"/>
  <c r="N5145" i="1" s="1"/>
  <c r="L5146" i="1"/>
  <c r="M5146" i="1" s="1"/>
  <c r="N5146" i="1" s="1"/>
  <c r="L5147" i="1"/>
  <c r="M5147" i="1" s="1"/>
  <c r="N5147" i="1" s="1"/>
  <c r="L5148" i="1"/>
  <c r="M5148" i="1" s="1"/>
  <c r="N5148" i="1" s="1"/>
  <c r="L5149" i="1"/>
  <c r="M5149" i="1" s="1"/>
  <c r="N5149" i="1" s="1"/>
  <c r="L5150" i="1"/>
  <c r="M5150" i="1" s="1"/>
  <c r="N5150" i="1" s="1"/>
  <c r="L5151" i="1"/>
  <c r="M5151" i="1" s="1"/>
  <c r="N5151" i="1" s="1"/>
  <c r="L5152" i="1"/>
  <c r="M5152" i="1" s="1"/>
  <c r="N5152" i="1" s="1"/>
  <c r="L5153" i="1"/>
  <c r="M5153" i="1" s="1"/>
  <c r="N5153" i="1" s="1"/>
  <c r="L5154" i="1"/>
  <c r="M5154" i="1" s="1"/>
  <c r="N5154" i="1" s="1"/>
  <c r="L5155" i="1"/>
  <c r="M5155" i="1" s="1"/>
  <c r="N5155" i="1" s="1"/>
  <c r="L5156" i="1"/>
  <c r="M5156" i="1" s="1"/>
  <c r="N5156" i="1" s="1"/>
  <c r="L5157" i="1"/>
  <c r="M5157" i="1" s="1"/>
  <c r="N5157" i="1" s="1"/>
  <c r="L5158" i="1"/>
  <c r="M5158" i="1" s="1"/>
  <c r="N5158" i="1" s="1"/>
  <c r="L5159" i="1"/>
  <c r="M5159" i="1" s="1"/>
  <c r="N5159" i="1" s="1"/>
  <c r="L5160" i="1"/>
  <c r="M5160" i="1" s="1"/>
  <c r="N5160" i="1" s="1"/>
  <c r="L5161" i="1"/>
  <c r="M5161" i="1" s="1"/>
  <c r="N5161" i="1" s="1"/>
  <c r="L5162" i="1"/>
  <c r="M5162" i="1" s="1"/>
  <c r="N5162" i="1" s="1"/>
  <c r="L5163" i="1"/>
  <c r="M5163" i="1" s="1"/>
  <c r="N5163" i="1" s="1"/>
  <c r="L5164" i="1"/>
  <c r="M5164" i="1" s="1"/>
  <c r="N5164" i="1" s="1"/>
  <c r="L5165" i="1"/>
  <c r="M5165" i="1" s="1"/>
  <c r="N5165" i="1" s="1"/>
  <c r="L5166" i="1"/>
  <c r="M5166" i="1" s="1"/>
  <c r="N5166" i="1" s="1"/>
  <c r="L5167" i="1"/>
  <c r="M5167" i="1" s="1"/>
  <c r="N5167" i="1" s="1"/>
  <c r="L5168" i="1"/>
  <c r="M5168" i="1" s="1"/>
  <c r="N5168" i="1" s="1"/>
  <c r="L5169" i="1"/>
  <c r="M5169" i="1" s="1"/>
  <c r="N5169" i="1" s="1"/>
  <c r="L5170" i="1"/>
  <c r="M5170" i="1" s="1"/>
  <c r="N5170" i="1" s="1"/>
  <c r="L5171" i="1"/>
  <c r="M5171" i="1" s="1"/>
  <c r="N5171" i="1" s="1"/>
  <c r="L5172" i="1"/>
  <c r="M5172" i="1" s="1"/>
  <c r="N5172" i="1" s="1"/>
  <c r="L5173" i="1"/>
  <c r="M5173" i="1" s="1"/>
  <c r="N5173" i="1" s="1"/>
  <c r="L5174" i="1"/>
  <c r="M5174" i="1" s="1"/>
  <c r="N5174" i="1" s="1"/>
  <c r="L5175" i="1"/>
  <c r="M5175" i="1" s="1"/>
  <c r="N5175" i="1" s="1"/>
  <c r="L5176" i="1"/>
  <c r="M5176" i="1" s="1"/>
  <c r="N5176" i="1" s="1"/>
  <c r="L5177" i="1"/>
  <c r="M5177" i="1" s="1"/>
  <c r="N5177" i="1" s="1"/>
  <c r="L5178" i="1"/>
  <c r="M5178" i="1" s="1"/>
  <c r="N5178" i="1" s="1"/>
  <c r="L5179" i="1"/>
  <c r="M5179" i="1" s="1"/>
  <c r="N5179" i="1" s="1"/>
  <c r="L5180" i="1"/>
  <c r="M5180" i="1" s="1"/>
  <c r="N5180" i="1" s="1"/>
  <c r="L5181" i="1"/>
  <c r="M5181" i="1" s="1"/>
  <c r="N5181" i="1" s="1"/>
  <c r="L5182" i="1"/>
  <c r="M5182" i="1" s="1"/>
  <c r="N5182" i="1" s="1"/>
  <c r="L5183" i="1"/>
  <c r="M5183" i="1" s="1"/>
  <c r="N5183" i="1" s="1"/>
  <c r="L5184" i="1"/>
  <c r="M5184" i="1" s="1"/>
  <c r="N5184" i="1" s="1"/>
  <c r="L5185" i="1"/>
  <c r="M5185" i="1" s="1"/>
  <c r="N5185" i="1" s="1"/>
  <c r="L5186" i="1"/>
  <c r="M5186" i="1" s="1"/>
  <c r="N5186" i="1" s="1"/>
  <c r="L5187" i="1"/>
  <c r="M5187" i="1" s="1"/>
  <c r="N5187" i="1" s="1"/>
  <c r="L5188" i="1"/>
  <c r="M5188" i="1" s="1"/>
  <c r="N5188" i="1" s="1"/>
  <c r="L5189" i="1"/>
  <c r="M5189" i="1" s="1"/>
  <c r="N5189" i="1" s="1"/>
  <c r="L5190" i="1"/>
  <c r="M5190" i="1" s="1"/>
  <c r="N5190" i="1" s="1"/>
  <c r="L5191" i="1"/>
  <c r="M5191" i="1" s="1"/>
  <c r="N5191" i="1" s="1"/>
  <c r="L5192" i="1"/>
  <c r="M5192" i="1" s="1"/>
  <c r="N5192" i="1" s="1"/>
  <c r="L5193" i="1"/>
  <c r="M5193" i="1" s="1"/>
  <c r="N5193" i="1" s="1"/>
  <c r="L5194" i="1"/>
  <c r="M5194" i="1" s="1"/>
  <c r="N5194" i="1" s="1"/>
  <c r="L5195" i="1"/>
  <c r="M5195" i="1" s="1"/>
  <c r="N5195" i="1" s="1"/>
  <c r="L5196" i="1"/>
  <c r="M5196" i="1" s="1"/>
  <c r="N5196" i="1" s="1"/>
  <c r="L5197" i="1"/>
  <c r="M5197" i="1" s="1"/>
  <c r="N5197" i="1" s="1"/>
  <c r="L5198" i="1"/>
  <c r="M5198" i="1" s="1"/>
  <c r="N5198" i="1" s="1"/>
  <c r="L5199" i="1"/>
  <c r="M5199" i="1" s="1"/>
  <c r="N5199" i="1" s="1"/>
  <c r="L5200" i="1"/>
  <c r="M5200" i="1" s="1"/>
  <c r="N5200" i="1" s="1"/>
  <c r="L5201" i="1"/>
  <c r="M5201" i="1" s="1"/>
  <c r="N5201" i="1" s="1"/>
  <c r="L5202" i="1"/>
  <c r="M5202" i="1" s="1"/>
  <c r="N5202" i="1" s="1"/>
  <c r="L5203" i="1"/>
  <c r="M5203" i="1" s="1"/>
  <c r="N5203" i="1" s="1"/>
  <c r="L5204" i="1"/>
  <c r="M5204" i="1" s="1"/>
  <c r="N5204" i="1" s="1"/>
  <c r="L5205" i="1"/>
  <c r="M5205" i="1" s="1"/>
  <c r="N5205" i="1" s="1"/>
  <c r="L5206" i="1"/>
  <c r="M5206" i="1" s="1"/>
  <c r="N5206" i="1" s="1"/>
  <c r="L5207" i="1"/>
  <c r="M5207" i="1" s="1"/>
  <c r="N5207" i="1" s="1"/>
  <c r="L5208" i="1"/>
  <c r="M5208" i="1" s="1"/>
  <c r="N5208" i="1" s="1"/>
  <c r="L5209" i="1"/>
  <c r="M5209" i="1" s="1"/>
  <c r="N5209" i="1" s="1"/>
  <c r="L5210" i="1"/>
  <c r="M5210" i="1" s="1"/>
  <c r="N5210" i="1" s="1"/>
  <c r="L5211" i="1"/>
  <c r="M5211" i="1" s="1"/>
  <c r="N5211" i="1" s="1"/>
  <c r="L5212" i="1"/>
  <c r="M5212" i="1" s="1"/>
  <c r="N5212" i="1" s="1"/>
  <c r="L5213" i="1"/>
  <c r="M5213" i="1" s="1"/>
  <c r="N5213" i="1" s="1"/>
  <c r="L5214" i="1"/>
  <c r="M5214" i="1" s="1"/>
  <c r="N5214" i="1" s="1"/>
  <c r="L5215" i="1"/>
  <c r="M5215" i="1" s="1"/>
  <c r="N5215" i="1" s="1"/>
  <c r="L5216" i="1"/>
  <c r="M5216" i="1" s="1"/>
  <c r="N5216" i="1" s="1"/>
  <c r="L5217" i="1"/>
  <c r="M5217" i="1" s="1"/>
  <c r="N5217" i="1" s="1"/>
  <c r="L5218" i="1"/>
  <c r="M5218" i="1" s="1"/>
  <c r="N5218" i="1" s="1"/>
  <c r="L5219" i="1"/>
  <c r="M5219" i="1" s="1"/>
  <c r="N5219" i="1" s="1"/>
  <c r="L5220" i="1"/>
  <c r="M5220" i="1" s="1"/>
  <c r="N5220" i="1" s="1"/>
  <c r="L5221" i="1"/>
  <c r="M5221" i="1" s="1"/>
  <c r="N5221" i="1" s="1"/>
  <c r="L5222" i="1"/>
  <c r="M5222" i="1" s="1"/>
  <c r="N5222" i="1" s="1"/>
  <c r="L5223" i="1"/>
  <c r="M5223" i="1" s="1"/>
  <c r="N5223" i="1" s="1"/>
  <c r="L5224" i="1"/>
  <c r="M5224" i="1" s="1"/>
  <c r="N5224" i="1" s="1"/>
  <c r="L5225" i="1"/>
  <c r="M5225" i="1" s="1"/>
  <c r="N5225" i="1" s="1"/>
  <c r="L5226" i="1"/>
  <c r="M5226" i="1" s="1"/>
  <c r="N5226" i="1" s="1"/>
  <c r="L5227" i="1"/>
  <c r="M5227" i="1" s="1"/>
  <c r="N5227" i="1" s="1"/>
  <c r="L5228" i="1"/>
  <c r="M5228" i="1" s="1"/>
  <c r="N5228" i="1" s="1"/>
  <c r="L5229" i="1"/>
  <c r="M5229" i="1" s="1"/>
  <c r="N5229" i="1" s="1"/>
  <c r="L5230" i="1"/>
  <c r="M5230" i="1" s="1"/>
  <c r="N5230" i="1" s="1"/>
  <c r="L5231" i="1"/>
  <c r="M5231" i="1" s="1"/>
  <c r="N5231" i="1" s="1"/>
  <c r="L5232" i="1"/>
  <c r="M5232" i="1" s="1"/>
  <c r="N5232" i="1" s="1"/>
  <c r="L5233" i="1"/>
  <c r="M5233" i="1" s="1"/>
  <c r="N5233" i="1" s="1"/>
  <c r="L5234" i="1"/>
  <c r="M5234" i="1" s="1"/>
  <c r="N5234" i="1" s="1"/>
  <c r="L5235" i="1"/>
  <c r="M5235" i="1" s="1"/>
  <c r="N5235" i="1" s="1"/>
  <c r="L5236" i="1"/>
  <c r="M5236" i="1" s="1"/>
  <c r="N5236" i="1" s="1"/>
  <c r="L5237" i="1"/>
  <c r="M5237" i="1" s="1"/>
  <c r="N5237" i="1" s="1"/>
  <c r="L5238" i="1"/>
  <c r="M5238" i="1" s="1"/>
  <c r="N5238" i="1" s="1"/>
  <c r="L5239" i="1"/>
  <c r="M5239" i="1" s="1"/>
  <c r="N5239" i="1" s="1"/>
  <c r="L5240" i="1"/>
  <c r="M5240" i="1" s="1"/>
  <c r="N5240" i="1" s="1"/>
  <c r="L5241" i="1"/>
  <c r="M5241" i="1" s="1"/>
  <c r="N5241" i="1" s="1"/>
  <c r="L5242" i="1"/>
  <c r="M5242" i="1" s="1"/>
  <c r="N5242" i="1" s="1"/>
  <c r="L5243" i="1"/>
  <c r="M5243" i="1" s="1"/>
  <c r="N5243" i="1" s="1"/>
  <c r="L5244" i="1"/>
  <c r="M5244" i="1" s="1"/>
  <c r="N5244" i="1" s="1"/>
  <c r="L5245" i="1"/>
  <c r="M5245" i="1" s="1"/>
  <c r="N5245" i="1" s="1"/>
  <c r="L5246" i="1"/>
  <c r="M5246" i="1" s="1"/>
  <c r="N5246" i="1" s="1"/>
  <c r="L5247" i="1"/>
  <c r="M5247" i="1" s="1"/>
  <c r="N5247" i="1" s="1"/>
  <c r="L5248" i="1"/>
  <c r="M5248" i="1" s="1"/>
  <c r="N5248" i="1" s="1"/>
  <c r="L5249" i="1"/>
  <c r="M5249" i="1" s="1"/>
  <c r="N5249" i="1" s="1"/>
  <c r="L5250" i="1"/>
  <c r="M5250" i="1" s="1"/>
  <c r="N5250" i="1" s="1"/>
  <c r="L5251" i="1"/>
  <c r="M5251" i="1" s="1"/>
  <c r="N5251" i="1" s="1"/>
  <c r="L5252" i="1"/>
  <c r="M5252" i="1" s="1"/>
  <c r="N5252" i="1" s="1"/>
  <c r="L5253" i="1"/>
  <c r="M5253" i="1" s="1"/>
  <c r="N5253" i="1" s="1"/>
  <c r="L5254" i="1"/>
  <c r="M5254" i="1" s="1"/>
  <c r="N5254" i="1" s="1"/>
  <c r="L5255" i="1"/>
  <c r="M5255" i="1" s="1"/>
  <c r="N5255" i="1" s="1"/>
  <c r="L5256" i="1"/>
  <c r="M5256" i="1" s="1"/>
  <c r="N5256" i="1" s="1"/>
  <c r="L5257" i="1"/>
  <c r="M5257" i="1" s="1"/>
  <c r="N5257" i="1" s="1"/>
  <c r="L5258" i="1"/>
  <c r="M5258" i="1" s="1"/>
  <c r="N5258" i="1" s="1"/>
  <c r="L5259" i="1"/>
  <c r="M5259" i="1" s="1"/>
  <c r="N5259" i="1" s="1"/>
  <c r="L5260" i="1"/>
  <c r="M5260" i="1" s="1"/>
  <c r="N5260" i="1" s="1"/>
  <c r="L5261" i="1"/>
  <c r="M5261" i="1" s="1"/>
  <c r="N5261" i="1" s="1"/>
  <c r="L5262" i="1"/>
  <c r="M5262" i="1" s="1"/>
  <c r="N5262" i="1" s="1"/>
  <c r="L5263" i="1"/>
  <c r="M5263" i="1" s="1"/>
  <c r="N5263" i="1" s="1"/>
  <c r="L5264" i="1"/>
  <c r="M5264" i="1" s="1"/>
  <c r="N5264" i="1" s="1"/>
  <c r="L5265" i="1"/>
  <c r="M5265" i="1" s="1"/>
  <c r="N5265" i="1" s="1"/>
  <c r="L5266" i="1"/>
  <c r="M5266" i="1" s="1"/>
  <c r="N5266" i="1" s="1"/>
  <c r="L5267" i="1"/>
  <c r="M5267" i="1" s="1"/>
  <c r="N5267" i="1" s="1"/>
  <c r="L5268" i="1"/>
  <c r="M5268" i="1" s="1"/>
  <c r="N5268" i="1" s="1"/>
  <c r="L5269" i="1"/>
  <c r="M5269" i="1" s="1"/>
  <c r="N5269" i="1" s="1"/>
  <c r="L5270" i="1"/>
  <c r="M5270" i="1" s="1"/>
  <c r="N5270" i="1" s="1"/>
  <c r="L5271" i="1"/>
  <c r="M5271" i="1" s="1"/>
  <c r="N5271" i="1" s="1"/>
  <c r="L5272" i="1"/>
  <c r="M5272" i="1" s="1"/>
  <c r="N5272" i="1" s="1"/>
  <c r="L5273" i="1"/>
  <c r="M5273" i="1" s="1"/>
  <c r="N5273" i="1" s="1"/>
  <c r="L5274" i="1"/>
  <c r="M5274" i="1" s="1"/>
  <c r="N5274" i="1" s="1"/>
  <c r="L5275" i="1"/>
  <c r="M5275" i="1" s="1"/>
  <c r="N5275" i="1" s="1"/>
  <c r="L5276" i="1"/>
  <c r="M5276" i="1" s="1"/>
  <c r="N5276" i="1" s="1"/>
  <c r="L5277" i="1"/>
  <c r="M5277" i="1" s="1"/>
  <c r="N5277" i="1" s="1"/>
  <c r="L5278" i="1"/>
  <c r="M5278" i="1" s="1"/>
  <c r="N5278" i="1" s="1"/>
  <c r="L5279" i="1"/>
  <c r="M5279" i="1" s="1"/>
  <c r="N5279" i="1" s="1"/>
  <c r="L5280" i="1"/>
  <c r="M5280" i="1" s="1"/>
  <c r="N5280" i="1" s="1"/>
  <c r="L5281" i="1"/>
  <c r="M5281" i="1" s="1"/>
  <c r="N5281" i="1" s="1"/>
  <c r="L5282" i="1"/>
  <c r="M5282" i="1" s="1"/>
  <c r="N5282" i="1" s="1"/>
  <c r="L5283" i="1"/>
  <c r="M5283" i="1" s="1"/>
  <c r="N5283" i="1" s="1"/>
  <c r="L5284" i="1"/>
  <c r="M5284" i="1" s="1"/>
  <c r="N5284" i="1" s="1"/>
  <c r="L5285" i="1"/>
  <c r="M5285" i="1" s="1"/>
  <c r="N5285" i="1" s="1"/>
  <c r="L5286" i="1"/>
  <c r="M5286" i="1" s="1"/>
  <c r="N5286" i="1" s="1"/>
  <c r="L5287" i="1"/>
  <c r="M5287" i="1" s="1"/>
  <c r="N5287" i="1" s="1"/>
  <c r="L5288" i="1"/>
  <c r="M5288" i="1" s="1"/>
  <c r="N5288" i="1" s="1"/>
  <c r="L5289" i="1"/>
  <c r="M5289" i="1" s="1"/>
  <c r="N5289" i="1" s="1"/>
  <c r="L5290" i="1"/>
  <c r="M5290" i="1" s="1"/>
  <c r="N5290" i="1" s="1"/>
  <c r="L5291" i="1"/>
  <c r="M5291" i="1" s="1"/>
  <c r="N5291" i="1" s="1"/>
  <c r="L5292" i="1"/>
  <c r="M5292" i="1" s="1"/>
  <c r="N5292" i="1" s="1"/>
  <c r="L5293" i="1"/>
  <c r="M5293" i="1" s="1"/>
  <c r="N5293" i="1" s="1"/>
  <c r="L5294" i="1"/>
  <c r="M5294" i="1" s="1"/>
  <c r="N5294" i="1" s="1"/>
  <c r="L5295" i="1"/>
  <c r="M5295" i="1" s="1"/>
  <c r="N5295" i="1" s="1"/>
  <c r="L5296" i="1"/>
  <c r="M5296" i="1" s="1"/>
  <c r="N5296" i="1" s="1"/>
  <c r="L5297" i="1"/>
  <c r="M5297" i="1" s="1"/>
  <c r="N5297" i="1" s="1"/>
  <c r="L5298" i="1"/>
  <c r="M5298" i="1" s="1"/>
  <c r="N5298" i="1" s="1"/>
  <c r="L5299" i="1"/>
  <c r="M5299" i="1" s="1"/>
  <c r="N5299" i="1" s="1"/>
  <c r="L5300" i="1"/>
  <c r="M5300" i="1" s="1"/>
  <c r="N5300" i="1" s="1"/>
  <c r="L5301" i="1"/>
  <c r="M5301" i="1" s="1"/>
  <c r="N5301" i="1" s="1"/>
  <c r="L5302" i="1"/>
  <c r="M5302" i="1" s="1"/>
  <c r="N5302" i="1" s="1"/>
  <c r="L5303" i="1"/>
  <c r="M5303" i="1" s="1"/>
  <c r="N5303" i="1" s="1"/>
  <c r="L5304" i="1"/>
  <c r="M5304" i="1" s="1"/>
  <c r="N5304" i="1" s="1"/>
  <c r="L5305" i="1"/>
  <c r="M5305" i="1" s="1"/>
  <c r="N5305" i="1" s="1"/>
  <c r="L5306" i="1"/>
  <c r="M5306" i="1" s="1"/>
  <c r="N5306" i="1" s="1"/>
  <c r="L5307" i="1"/>
  <c r="M5307" i="1" s="1"/>
  <c r="N5307" i="1" s="1"/>
  <c r="L5308" i="1"/>
  <c r="M5308" i="1" s="1"/>
  <c r="N5308" i="1" s="1"/>
  <c r="L5309" i="1"/>
  <c r="M5309" i="1" s="1"/>
  <c r="N5309" i="1" s="1"/>
  <c r="L5310" i="1"/>
  <c r="M5310" i="1" s="1"/>
  <c r="N5310" i="1" s="1"/>
  <c r="L5311" i="1"/>
  <c r="M5311" i="1" s="1"/>
  <c r="N5311" i="1" s="1"/>
  <c r="L5312" i="1"/>
  <c r="M5312" i="1" s="1"/>
  <c r="N5312" i="1" s="1"/>
  <c r="L5313" i="1"/>
  <c r="M5313" i="1" s="1"/>
  <c r="N5313" i="1" s="1"/>
  <c r="L5314" i="1"/>
  <c r="M5314" i="1" s="1"/>
  <c r="N5314" i="1" s="1"/>
  <c r="L5315" i="1"/>
  <c r="M5315" i="1" s="1"/>
  <c r="N5315" i="1" s="1"/>
  <c r="L5316" i="1"/>
  <c r="M5316" i="1" s="1"/>
  <c r="N5316" i="1" s="1"/>
  <c r="L5317" i="1"/>
  <c r="M5317" i="1" s="1"/>
  <c r="N5317" i="1" s="1"/>
  <c r="L5318" i="1"/>
  <c r="M5318" i="1" s="1"/>
  <c r="N5318" i="1" s="1"/>
  <c r="L5319" i="1"/>
  <c r="M5319" i="1" s="1"/>
  <c r="N5319" i="1" s="1"/>
  <c r="L5320" i="1"/>
  <c r="M5320" i="1" s="1"/>
  <c r="N5320" i="1" s="1"/>
  <c r="L5321" i="1"/>
  <c r="M5321" i="1" s="1"/>
  <c r="N5321" i="1" s="1"/>
  <c r="L5322" i="1"/>
  <c r="M5322" i="1" s="1"/>
  <c r="N5322" i="1" s="1"/>
  <c r="L5323" i="1"/>
  <c r="M5323" i="1" s="1"/>
  <c r="N5323" i="1" s="1"/>
  <c r="L5324" i="1"/>
  <c r="M5324" i="1" s="1"/>
  <c r="N5324" i="1" s="1"/>
  <c r="L5325" i="1"/>
  <c r="M5325" i="1" s="1"/>
  <c r="N5325" i="1" s="1"/>
  <c r="L5326" i="1"/>
  <c r="M5326" i="1" s="1"/>
  <c r="N5326" i="1" s="1"/>
  <c r="L5327" i="1"/>
  <c r="M5327" i="1" s="1"/>
  <c r="N5327" i="1" s="1"/>
  <c r="L5328" i="1"/>
  <c r="M5328" i="1" s="1"/>
  <c r="N5328" i="1" s="1"/>
  <c r="L5329" i="1"/>
  <c r="M5329" i="1" s="1"/>
  <c r="N5329" i="1" s="1"/>
  <c r="L5330" i="1"/>
  <c r="M5330" i="1" s="1"/>
  <c r="N5330" i="1" s="1"/>
  <c r="L5331" i="1"/>
  <c r="M5331" i="1" s="1"/>
  <c r="N5331" i="1" s="1"/>
  <c r="L5332" i="1"/>
  <c r="M5332" i="1" s="1"/>
  <c r="N5332" i="1" s="1"/>
  <c r="L5333" i="1"/>
  <c r="M5333" i="1" s="1"/>
  <c r="N5333" i="1" s="1"/>
  <c r="L5334" i="1"/>
  <c r="M5334" i="1" s="1"/>
  <c r="N5334" i="1" s="1"/>
  <c r="L5335" i="1"/>
  <c r="M5335" i="1" s="1"/>
  <c r="N5335" i="1" s="1"/>
  <c r="L5336" i="1"/>
  <c r="M5336" i="1" s="1"/>
  <c r="N5336" i="1" s="1"/>
  <c r="L5337" i="1"/>
  <c r="M5337" i="1" s="1"/>
  <c r="N5337" i="1" s="1"/>
  <c r="L5338" i="1"/>
  <c r="M5338" i="1" s="1"/>
  <c r="N5338" i="1" s="1"/>
  <c r="L5339" i="1"/>
  <c r="M5339" i="1" s="1"/>
  <c r="N5339" i="1" s="1"/>
  <c r="L5340" i="1"/>
  <c r="M5340" i="1" s="1"/>
  <c r="N5340" i="1" s="1"/>
  <c r="L5341" i="1"/>
  <c r="M5341" i="1" s="1"/>
  <c r="N5341" i="1" s="1"/>
  <c r="L5342" i="1"/>
  <c r="M5342" i="1" s="1"/>
  <c r="N5342" i="1" s="1"/>
  <c r="L5343" i="1"/>
  <c r="M5343" i="1" s="1"/>
  <c r="N5343" i="1" s="1"/>
  <c r="L5344" i="1"/>
  <c r="M5344" i="1" s="1"/>
  <c r="N5344" i="1" s="1"/>
  <c r="L5345" i="1"/>
  <c r="M5345" i="1" s="1"/>
  <c r="N5345" i="1" s="1"/>
  <c r="L5346" i="1"/>
  <c r="M5346" i="1" s="1"/>
  <c r="N5346" i="1" s="1"/>
  <c r="L5347" i="1"/>
  <c r="M5347" i="1" s="1"/>
  <c r="N5347" i="1" s="1"/>
  <c r="L5348" i="1"/>
  <c r="M5348" i="1" s="1"/>
  <c r="N5348" i="1" s="1"/>
  <c r="L5349" i="1"/>
  <c r="M5349" i="1" s="1"/>
  <c r="N5349" i="1" s="1"/>
  <c r="L5350" i="1"/>
  <c r="M5350" i="1" s="1"/>
  <c r="N5350" i="1" s="1"/>
  <c r="L5351" i="1"/>
  <c r="M5351" i="1" s="1"/>
  <c r="N5351" i="1" s="1"/>
  <c r="L5352" i="1"/>
  <c r="M5352" i="1" s="1"/>
  <c r="N5352" i="1" s="1"/>
  <c r="L5353" i="1"/>
  <c r="M5353" i="1" s="1"/>
  <c r="N5353" i="1" s="1"/>
  <c r="L5354" i="1"/>
  <c r="M5354" i="1" s="1"/>
  <c r="N5354" i="1" s="1"/>
  <c r="L5355" i="1"/>
  <c r="M5355" i="1" s="1"/>
  <c r="N5355" i="1" s="1"/>
  <c r="L5356" i="1"/>
  <c r="M5356" i="1" s="1"/>
  <c r="N5356" i="1" s="1"/>
  <c r="L5357" i="1"/>
  <c r="M5357" i="1" s="1"/>
  <c r="N5357" i="1" s="1"/>
  <c r="L5358" i="1"/>
  <c r="M5358" i="1" s="1"/>
  <c r="N5358" i="1" s="1"/>
  <c r="L5359" i="1"/>
  <c r="M5359" i="1" s="1"/>
  <c r="N5359" i="1" s="1"/>
  <c r="L5360" i="1"/>
  <c r="M5360" i="1" s="1"/>
  <c r="N5360" i="1" s="1"/>
  <c r="L5361" i="1"/>
  <c r="M5361" i="1" s="1"/>
  <c r="N5361" i="1" s="1"/>
  <c r="L5362" i="1"/>
  <c r="M5362" i="1" s="1"/>
  <c r="N5362" i="1" s="1"/>
  <c r="L5363" i="1"/>
  <c r="M5363" i="1" s="1"/>
  <c r="N5363" i="1" s="1"/>
  <c r="L5364" i="1"/>
  <c r="M5364" i="1" s="1"/>
  <c r="N5364" i="1" s="1"/>
  <c r="L5365" i="1"/>
  <c r="M5365" i="1" s="1"/>
  <c r="N5365" i="1" s="1"/>
  <c r="L5366" i="1"/>
  <c r="M5366" i="1" s="1"/>
  <c r="N5366" i="1" s="1"/>
  <c r="L5367" i="1"/>
  <c r="M5367" i="1" s="1"/>
  <c r="N5367" i="1" s="1"/>
  <c r="L5368" i="1"/>
  <c r="M5368" i="1" s="1"/>
  <c r="N5368" i="1" s="1"/>
  <c r="L5369" i="1"/>
  <c r="M5369" i="1" s="1"/>
  <c r="N5369" i="1" s="1"/>
  <c r="L5370" i="1"/>
  <c r="M5370" i="1" s="1"/>
  <c r="N5370" i="1" s="1"/>
  <c r="L5371" i="1"/>
  <c r="M5371" i="1" s="1"/>
  <c r="N5371" i="1" s="1"/>
  <c r="L5372" i="1"/>
  <c r="M5372" i="1" s="1"/>
  <c r="N5372" i="1" s="1"/>
  <c r="L5373" i="1"/>
  <c r="M5373" i="1" s="1"/>
  <c r="N5373" i="1" s="1"/>
  <c r="L5374" i="1"/>
  <c r="M5374" i="1" s="1"/>
  <c r="N5374" i="1" s="1"/>
  <c r="L5375" i="1"/>
  <c r="M5375" i="1" s="1"/>
  <c r="N5375" i="1" s="1"/>
  <c r="L5376" i="1"/>
  <c r="M5376" i="1" s="1"/>
  <c r="N5376" i="1" s="1"/>
  <c r="L5377" i="1"/>
  <c r="M5377" i="1" s="1"/>
  <c r="N5377" i="1" s="1"/>
  <c r="L5378" i="1"/>
  <c r="M5378" i="1" s="1"/>
  <c r="N5378" i="1" s="1"/>
  <c r="L5379" i="1"/>
  <c r="M5379" i="1" s="1"/>
  <c r="N5379" i="1" s="1"/>
  <c r="L5380" i="1"/>
  <c r="M5380" i="1" s="1"/>
  <c r="N5380" i="1" s="1"/>
  <c r="L5381" i="1"/>
  <c r="M5381" i="1" s="1"/>
  <c r="N5381" i="1" s="1"/>
  <c r="L5382" i="1"/>
  <c r="M5382" i="1" s="1"/>
  <c r="N5382" i="1" s="1"/>
  <c r="L5383" i="1"/>
  <c r="M5383" i="1" s="1"/>
  <c r="N5383" i="1" s="1"/>
  <c r="L5384" i="1"/>
  <c r="M5384" i="1" s="1"/>
  <c r="N5384" i="1" s="1"/>
  <c r="L5385" i="1"/>
  <c r="M5385" i="1" s="1"/>
  <c r="N5385" i="1" s="1"/>
  <c r="L5386" i="1"/>
  <c r="M5386" i="1" s="1"/>
  <c r="N5386" i="1" s="1"/>
  <c r="L5387" i="1"/>
  <c r="M5387" i="1" s="1"/>
  <c r="N5387" i="1" s="1"/>
  <c r="L5388" i="1"/>
  <c r="M5388" i="1" s="1"/>
  <c r="N5388" i="1" s="1"/>
  <c r="L5389" i="1"/>
  <c r="M5389" i="1" s="1"/>
  <c r="N5389" i="1" s="1"/>
  <c r="L5390" i="1"/>
  <c r="M5390" i="1" s="1"/>
  <c r="N5390" i="1" s="1"/>
  <c r="L5391" i="1"/>
  <c r="M5391" i="1" s="1"/>
  <c r="N5391" i="1" s="1"/>
  <c r="L5392" i="1"/>
  <c r="M5392" i="1" s="1"/>
  <c r="N5392" i="1" s="1"/>
  <c r="L5393" i="1"/>
  <c r="M5393" i="1" s="1"/>
  <c r="N5393" i="1" s="1"/>
  <c r="L5394" i="1"/>
  <c r="M5394" i="1" s="1"/>
  <c r="N5394" i="1" s="1"/>
  <c r="L5395" i="1"/>
  <c r="M5395" i="1" s="1"/>
  <c r="N5395" i="1" s="1"/>
  <c r="L5396" i="1"/>
  <c r="M5396" i="1" s="1"/>
  <c r="N5396" i="1" s="1"/>
  <c r="L5397" i="1"/>
  <c r="M5397" i="1" s="1"/>
  <c r="N5397" i="1" s="1"/>
  <c r="L5398" i="1"/>
  <c r="M5398" i="1" s="1"/>
  <c r="N5398" i="1" s="1"/>
  <c r="L5399" i="1"/>
  <c r="M5399" i="1" s="1"/>
  <c r="N5399" i="1" s="1"/>
  <c r="L5400" i="1"/>
  <c r="M5400" i="1" s="1"/>
  <c r="N5400" i="1" s="1"/>
  <c r="L5401" i="1"/>
  <c r="M5401" i="1" s="1"/>
  <c r="N5401" i="1" s="1"/>
  <c r="L5402" i="1"/>
  <c r="M5402" i="1" s="1"/>
  <c r="N5402" i="1" s="1"/>
  <c r="L5403" i="1"/>
  <c r="M5403" i="1" s="1"/>
  <c r="N5403" i="1" s="1"/>
  <c r="L5404" i="1"/>
  <c r="M5404" i="1" s="1"/>
  <c r="N5404" i="1" s="1"/>
  <c r="L5405" i="1"/>
  <c r="M5405" i="1" s="1"/>
  <c r="N5405" i="1" s="1"/>
  <c r="L5406" i="1"/>
  <c r="M5406" i="1" s="1"/>
  <c r="N5406" i="1" s="1"/>
  <c r="L5407" i="1"/>
  <c r="M5407" i="1" s="1"/>
  <c r="N5407" i="1" s="1"/>
  <c r="L5408" i="1"/>
  <c r="M5408" i="1" s="1"/>
  <c r="N5408" i="1" s="1"/>
  <c r="L5409" i="1"/>
  <c r="M5409" i="1" s="1"/>
  <c r="N5409" i="1" s="1"/>
  <c r="L5410" i="1"/>
  <c r="M5410" i="1" s="1"/>
  <c r="N5410" i="1" s="1"/>
  <c r="L5411" i="1"/>
  <c r="M5411" i="1" s="1"/>
  <c r="N5411" i="1" s="1"/>
  <c r="L5412" i="1"/>
  <c r="M5412" i="1" s="1"/>
  <c r="N5412" i="1" s="1"/>
  <c r="L5413" i="1"/>
  <c r="M5413" i="1" s="1"/>
  <c r="N5413" i="1" s="1"/>
  <c r="L5414" i="1"/>
  <c r="M5414" i="1" s="1"/>
  <c r="N5414" i="1" s="1"/>
  <c r="L5415" i="1"/>
  <c r="M5415" i="1" s="1"/>
  <c r="N5415" i="1" s="1"/>
  <c r="L5416" i="1"/>
  <c r="M5416" i="1" s="1"/>
  <c r="N5416" i="1" s="1"/>
  <c r="L5417" i="1"/>
  <c r="M5417" i="1" s="1"/>
  <c r="N5417" i="1" s="1"/>
  <c r="L5418" i="1"/>
  <c r="M5418" i="1" s="1"/>
  <c r="N5418" i="1" s="1"/>
  <c r="L5419" i="1"/>
  <c r="M5419" i="1" s="1"/>
  <c r="N5419" i="1" s="1"/>
  <c r="L5420" i="1"/>
  <c r="M5420" i="1" s="1"/>
  <c r="N5420" i="1" s="1"/>
  <c r="L5421" i="1"/>
  <c r="M5421" i="1" s="1"/>
  <c r="N5421" i="1" s="1"/>
  <c r="L5422" i="1"/>
  <c r="M5422" i="1" s="1"/>
  <c r="N5422" i="1" s="1"/>
  <c r="L5423" i="1"/>
  <c r="M5423" i="1" s="1"/>
  <c r="N5423" i="1" s="1"/>
  <c r="L5424" i="1"/>
  <c r="M5424" i="1" s="1"/>
  <c r="N5424" i="1" s="1"/>
  <c r="L5425" i="1"/>
  <c r="M5425" i="1" s="1"/>
  <c r="N5425" i="1" s="1"/>
  <c r="L5426" i="1"/>
  <c r="M5426" i="1" s="1"/>
  <c r="N5426" i="1" s="1"/>
  <c r="L5427" i="1"/>
  <c r="M5427" i="1" s="1"/>
  <c r="N5427" i="1" s="1"/>
  <c r="L5428" i="1"/>
  <c r="M5428" i="1" s="1"/>
  <c r="N5428" i="1" s="1"/>
  <c r="L5429" i="1"/>
  <c r="M5429" i="1" s="1"/>
  <c r="N5429" i="1" s="1"/>
  <c r="L5430" i="1"/>
  <c r="M5430" i="1" s="1"/>
  <c r="N5430" i="1" s="1"/>
  <c r="L5431" i="1"/>
  <c r="M5431" i="1" s="1"/>
  <c r="N5431" i="1" s="1"/>
  <c r="L5432" i="1"/>
  <c r="M5432" i="1" s="1"/>
  <c r="N5432" i="1" s="1"/>
  <c r="L5433" i="1"/>
  <c r="M5433" i="1" s="1"/>
  <c r="N5433" i="1" s="1"/>
  <c r="L5434" i="1"/>
  <c r="M5434" i="1" s="1"/>
  <c r="N5434" i="1" s="1"/>
  <c r="L5435" i="1"/>
  <c r="M5435" i="1" s="1"/>
  <c r="N5435" i="1" s="1"/>
  <c r="L5436" i="1"/>
  <c r="M5436" i="1" s="1"/>
  <c r="N5436" i="1" s="1"/>
  <c r="L5437" i="1"/>
  <c r="M5437" i="1" s="1"/>
  <c r="N5437" i="1" s="1"/>
  <c r="L5438" i="1"/>
  <c r="M5438" i="1" s="1"/>
  <c r="N5438" i="1" s="1"/>
  <c r="L5439" i="1"/>
  <c r="M5439" i="1" s="1"/>
  <c r="N5439" i="1" s="1"/>
  <c r="L5440" i="1"/>
  <c r="M5440" i="1" s="1"/>
  <c r="N5440" i="1" s="1"/>
  <c r="L5441" i="1"/>
  <c r="M5441" i="1" s="1"/>
  <c r="N5441" i="1" s="1"/>
  <c r="L5442" i="1"/>
  <c r="M5442" i="1" s="1"/>
  <c r="N5442" i="1" s="1"/>
  <c r="L5443" i="1"/>
  <c r="M5443" i="1" s="1"/>
  <c r="N5443" i="1" s="1"/>
  <c r="L5444" i="1"/>
  <c r="M5444" i="1" s="1"/>
  <c r="N5444" i="1" s="1"/>
  <c r="L5445" i="1"/>
  <c r="M5445" i="1" s="1"/>
  <c r="N5445" i="1" s="1"/>
  <c r="L5446" i="1"/>
  <c r="M5446" i="1" s="1"/>
  <c r="N5446" i="1" s="1"/>
  <c r="L5447" i="1"/>
  <c r="M5447" i="1" s="1"/>
  <c r="N5447" i="1" s="1"/>
  <c r="L5448" i="1"/>
  <c r="M5448" i="1" s="1"/>
  <c r="N5448" i="1" s="1"/>
  <c r="L5449" i="1"/>
  <c r="M5449" i="1" s="1"/>
  <c r="N5449" i="1" s="1"/>
  <c r="L5450" i="1"/>
  <c r="M5450" i="1" s="1"/>
  <c r="N5450" i="1" s="1"/>
  <c r="L5451" i="1"/>
  <c r="M5451" i="1" s="1"/>
  <c r="N5451" i="1" s="1"/>
  <c r="L5452" i="1"/>
  <c r="M5452" i="1" s="1"/>
  <c r="N5452" i="1" s="1"/>
  <c r="L5453" i="1"/>
  <c r="M5453" i="1" s="1"/>
  <c r="N5453" i="1" s="1"/>
  <c r="L5454" i="1"/>
  <c r="M5454" i="1" s="1"/>
  <c r="N5454" i="1" s="1"/>
  <c r="L5455" i="1"/>
  <c r="M5455" i="1" s="1"/>
  <c r="N5455" i="1" s="1"/>
  <c r="L5456" i="1"/>
  <c r="M5456" i="1" s="1"/>
  <c r="N5456" i="1" s="1"/>
  <c r="L5457" i="1"/>
  <c r="M5457" i="1" s="1"/>
  <c r="N5457" i="1" s="1"/>
  <c r="L5458" i="1"/>
  <c r="M5458" i="1" s="1"/>
  <c r="N5458" i="1" s="1"/>
  <c r="L5459" i="1"/>
  <c r="M5459" i="1" s="1"/>
  <c r="N5459" i="1" s="1"/>
  <c r="L5460" i="1"/>
  <c r="M5460" i="1" s="1"/>
  <c r="N5460" i="1" s="1"/>
  <c r="L5461" i="1"/>
  <c r="M5461" i="1" s="1"/>
  <c r="N5461" i="1" s="1"/>
  <c r="L5462" i="1"/>
  <c r="M5462" i="1" s="1"/>
  <c r="N5462" i="1" s="1"/>
  <c r="L5463" i="1"/>
  <c r="M5463" i="1" s="1"/>
  <c r="N5463" i="1" s="1"/>
  <c r="L5464" i="1"/>
  <c r="M5464" i="1" s="1"/>
  <c r="N5464" i="1" s="1"/>
  <c r="L5465" i="1"/>
  <c r="M5465" i="1" s="1"/>
  <c r="N5465" i="1" s="1"/>
  <c r="L5466" i="1"/>
  <c r="M5466" i="1" s="1"/>
  <c r="N5466" i="1" s="1"/>
  <c r="L5467" i="1"/>
  <c r="M5467" i="1" s="1"/>
  <c r="N5467" i="1" s="1"/>
  <c r="L5468" i="1"/>
  <c r="M5468" i="1" s="1"/>
  <c r="N5468" i="1" s="1"/>
  <c r="L5469" i="1"/>
  <c r="M5469" i="1" s="1"/>
  <c r="N5469" i="1" s="1"/>
  <c r="L5470" i="1"/>
  <c r="M5470" i="1" s="1"/>
  <c r="N5470" i="1" s="1"/>
  <c r="L5471" i="1"/>
  <c r="M5471" i="1" s="1"/>
  <c r="N5471" i="1" s="1"/>
  <c r="L5472" i="1"/>
  <c r="M5472" i="1" s="1"/>
  <c r="N5472" i="1" s="1"/>
  <c r="L5473" i="1"/>
  <c r="M5473" i="1" s="1"/>
  <c r="N5473" i="1" s="1"/>
  <c r="L5474" i="1"/>
  <c r="M5474" i="1" s="1"/>
  <c r="N5474" i="1" s="1"/>
  <c r="L5475" i="1"/>
  <c r="M5475" i="1" s="1"/>
  <c r="N5475" i="1" s="1"/>
  <c r="L5476" i="1"/>
  <c r="M5476" i="1" s="1"/>
  <c r="N5476" i="1" s="1"/>
  <c r="L5477" i="1"/>
  <c r="M5477" i="1" s="1"/>
  <c r="N5477" i="1" s="1"/>
  <c r="L5478" i="1"/>
  <c r="M5478" i="1" s="1"/>
  <c r="N5478" i="1" s="1"/>
  <c r="L5479" i="1"/>
  <c r="M5479" i="1" s="1"/>
  <c r="N5479" i="1" s="1"/>
  <c r="L5480" i="1"/>
  <c r="M5480" i="1" s="1"/>
  <c r="N5480" i="1" s="1"/>
  <c r="L5481" i="1"/>
  <c r="M5481" i="1" s="1"/>
  <c r="N5481" i="1" s="1"/>
  <c r="L5482" i="1"/>
  <c r="M5482" i="1" s="1"/>
  <c r="N5482" i="1" s="1"/>
  <c r="L5483" i="1"/>
  <c r="M5483" i="1" s="1"/>
  <c r="N5483" i="1" s="1"/>
  <c r="L5484" i="1"/>
  <c r="M5484" i="1" s="1"/>
  <c r="N5484" i="1" s="1"/>
  <c r="L5485" i="1"/>
  <c r="M5485" i="1" s="1"/>
  <c r="N5485" i="1" s="1"/>
  <c r="L5486" i="1"/>
  <c r="M5486" i="1" s="1"/>
  <c r="N5486" i="1" s="1"/>
  <c r="L5487" i="1"/>
  <c r="M5487" i="1" s="1"/>
  <c r="N5487" i="1" s="1"/>
  <c r="L5488" i="1"/>
  <c r="M5488" i="1" s="1"/>
  <c r="N5488" i="1" s="1"/>
  <c r="L5489" i="1"/>
  <c r="M5489" i="1" s="1"/>
  <c r="N5489" i="1" s="1"/>
  <c r="L5490" i="1"/>
  <c r="M5490" i="1" s="1"/>
  <c r="N5490" i="1" s="1"/>
  <c r="L5491" i="1"/>
  <c r="M5491" i="1" s="1"/>
  <c r="N5491" i="1" s="1"/>
  <c r="L5492" i="1"/>
  <c r="M5492" i="1" s="1"/>
  <c r="N5492" i="1" s="1"/>
  <c r="L5493" i="1"/>
  <c r="M5493" i="1" s="1"/>
  <c r="N5493" i="1" s="1"/>
  <c r="L5494" i="1"/>
  <c r="M5494" i="1" s="1"/>
  <c r="N5494" i="1" s="1"/>
  <c r="L5495" i="1"/>
  <c r="M5495" i="1" s="1"/>
  <c r="N5495" i="1" s="1"/>
  <c r="L5496" i="1"/>
  <c r="M5496" i="1" s="1"/>
  <c r="N5496" i="1" s="1"/>
  <c r="L5497" i="1"/>
  <c r="M5497" i="1" s="1"/>
  <c r="N5497" i="1" s="1"/>
  <c r="L5498" i="1"/>
  <c r="M5498" i="1" s="1"/>
  <c r="N5498" i="1" s="1"/>
  <c r="L5499" i="1"/>
  <c r="M5499" i="1" s="1"/>
  <c r="N5499" i="1" s="1"/>
  <c r="L5500" i="1"/>
  <c r="M5500" i="1" s="1"/>
  <c r="N5500" i="1" s="1"/>
  <c r="L5501" i="1"/>
  <c r="M5501" i="1" s="1"/>
  <c r="N5501" i="1" s="1"/>
  <c r="L5502" i="1"/>
  <c r="M5502" i="1" s="1"/>
  <c r="N5502" i="1" s="1"/>
  <c r="L5503" i="1"/>
  <c r="M5503" i="1" s="1"/>
  <c r="N5503" i="1" s="1"/>
  <c r="L5504" i="1"/>
  <c r="M5504" i="1" s="1"/>
  <c r="N5504" i="1" s="1"/>
  <c r="L5505" i="1"/>
  <c r="M5505" i="1" s="1"/>
  <c r="N5505" i="1" s="1"/>
  <c r="L5506" i="1"/>
  <c r="M5506" i="1" s="1"/>
  <c r="N5506" i="1" s="1"/>
  <c r="L5507" i="1"/>
  <c r="M5507" i="1" s="1"/>
  <c r="N5507" i="1" s="1"/>
  <c r="L5508" i="1"/>
  <c r="M5508" i="1" s="1"/>
  <c r="N5508" i="1" s="1"/>
  <c r="L5509" i="1"/>
  <c r="M5509" i="1" s="1"/>
  <c r="N5509" i="1" s="1"/>
  <c r="L5510" i="1"/>
  <c r="M5510" i="1" s="1"/>
  <c r="N5510" i="1" s="1"/>
  <c r="L5511" i="1"/>
  <c r="M5511" i="1" s="1"/>
  <c r="N5511" i="1" s="1"/>
  <c r="L5512" i="1"/>
  <c r="M5512" i="1" s="1"/>
  <c r="N5512" i="1" s="1"/>
  <c r="L5513" i="1"/>
  <c r="M5513" i="1" s="1"/>
  <c r="N5513" i="1" s="1"/>
  <c r="L5514" i="1"/>
  <c r="M5514" i="1" s="1"/>
  <c r="N5514" i="1" s="1"/>
  <c r="L5515" i="1"/>
  <c r="M5515" i="1" s="1"/>
  <c r="N5515" i="1" s="1"/>
  <c r="L5516" i="1"/>
  <c r="M5516" i="1" s="1"/>
  <c r="N5516" i="1" s="1"/>
  <c r="L5517" i="1"/>
  <c r="M5517" i="1" s="1"/>
  <c r="N5517" i="1" s="1"/>
  <c r="L5518" i="1"/>
  <c r="M5518" i="1" s="1"/>
  <c r="N5518" i="1" s="1"/>
  <c r="L5519" i="1"/>
  <c r="M5519" i="1" s="1"/>
  <c r="N5519" i="1" s="1"/>
  <c r="L5520" i="1"/>
  <c r="M5520" i="1" s="1"/>
  <c r="N5520" i="1" s="1"/>
  <c r="L5521" i="1"/>
  <c r="M5521" i="1" s="1"/>
  <c r="N5521" i="1" s="1"/>
  <c r="L5522" i="1"/>
  <c r="M5522" i="1" s="1"/>
  <c r="N5522" i="1" s="1"/>
  <c r="L5523" i="1"/>
  <c r="M5523" i="1" s="1"/>
  <c r="N5523" i="1" s="1"/>
  <c r="L5524" i="1"/>
  <c r="M5524" i="1" s="1"/>
  <c r="N5524" i="1" s="1"/>
  <c r="L5525" i="1"/>
  <c r="M5525" i="1" s="1"/>
  <c r="N5525" i="1" s="1"/>
  <c r="L5526" i="1"/>
  <c r="M5526" i="1" s="1"/>
  <c r="N5526" i="1" s="1"/>
  <c r="L5527" i="1"/>
  <c r="M5527" i="1" s="1"/>
  <c r="N5527" i="1" s="1"/>
  <c r="L5528" i="1"/>
  <c r="M5528" i="1" s="1"/>
  <c r="N5528" i="1" s="1"/>
  <c r="L5529" i="1"/>
  <c r="M5529" i="1" s="1"/>
  <c r="N5529" i="1" s="1"/>
  <c r="L5530" i="1"/>
  <c r="M5530" i="1" s="1"/>
  <c r="N5530" i="1" s="1"/>
  <c r="L5531" i="1"/>
  <c r="M5531" i="1" s="1"/>
  <c r="N5531" i="1" s="1"/>
  <c r="L5532" i="1"/>
  <c r="M5532" i="1" s="1"/>
  <c r="N5532" i="1" s="1"/>
  <c r="L5533" i="1"/>
  <c r="M5533" i="1" s="1"/>
  <c r="N5533" i="1" s="1"/>
  <c r="L5534" i="1"/>
  <c r="M5534" i="1" s="1"/>
  <c r="N5534" i="1" s="1"/>
  <c r="L5535" i="1"/>
  <c r="M5535" i="1" s="1"/>
  <c r="N5535" i="1" s="1"/>
  <c r="L5536" i="1"/>
  <c r="M5536" i="1" s="1"/>
  <c r="N5536" i="1" s="1"/>
  <c r="L5537" i="1"/>
  <c r="M5537" i="1" s="1"/>
  <c r="N5537" i="1" s="1"/>
  <c r="L5538" i="1"/>
  <c r="M5538" i="1" s="1"/>
  <c r="N5538" i="1" s="1"/>
  <c r="L5539" i="1"/>
  <c r="M5539" i="1" s="1"/>
  <c r="N5539" i="1" s="1"/>
  <c r="L5540" i="1"/>
  <c r="M5540" i="1" s="1"/>
  <c r="N5540" i="1" s="1"/>
  <c r="L5541" i="1"/>
  <c r="M5541" i="1" s="1"/>
  <c r="N5541" i="1" s="1"/>
  <c r="L5542" i="1"/>
  <c r="M5542" i="1" s="1"/>
  <c r="N5542" i="1" s="1"/>
  <c r="L5543" i="1"/>
  <c r="M5543" i="1" s="1"/>
  <c r="N5543" i="1" s="1"/>
  <c r="L5544" i="1"/>
  <c r="M5544" i="1" s="1"/>
  <c r="N5544" i="1" s="1"/>
  <c r="L5545" i="1"/>
  <c r="M5545" i="1" s="1"/>
  <c r="N5545" i="1" s="1"/>
  <c r="L5546" i="1"/>
  <c r="M5546" i="1" s="1"/>
  <c r="N5546" i="1" s="1"/>
  <c r="L5547" i="1"/>
  <c r="M5547" i="1" s="1"/>
  <c r="N5547" i="1" s="1"/>
  <c r="L5548" i="1"/>
  <c r="M5548" i="1" s="1"/>
  <c r="N5548" i="1" s="1"/>
  <c r="L5549" i="1"/>
  <c r="M5549" i="1" s="1"/>
  <c r="N5549" i="1" s="1"/>
  <c r="L5550" i="1"/>
  <c r="M5550" i="1" s="1"/>
  <c r="N5550" i="1" s="1"/>
  <c r="L5551" i="1"/>
  <c r="M5551" i="1" s="1"/>
  <c r="N5551" i="1" s="1"/>
  <c r="L5552" i="1"/>
  <c r="M5552" i="1" s="1"/>
  <c r="N5552" i="1" s="1"/>
  <c r="L5553" i="1"/>
  <c r="M5553" i="1" s="1"/>
  <c r="N5553" i="1" s="1"/>
  <c r="L5554" i="1"/>
  <c r="M5554" i="1" s="1"/>
  <c r="N5554" i="1" s="1"/>
  <c r="L5555" i="1"/>
  <c r="M5555" i="1" s="1"/>
  <c r="N5555" i="1" s="1"/>
  <c r="L5556" i="1"/>
  <c r="M5556" i="1" s="1"/>
  <c r="N5556" i="1" s="1"/>
  <c r="L5557" i="1"/>
  <c r="M5557" i="1" s="1"/>
  <c r="N5557" i="1" s="1"/>
  <c r="L5558" i="1"/>
  <c r="M5558" i="1" s="1"/>
  <c r="N5558" i="1" s="1"/>
  <c r="L5559" i="1"/>
  <c r="M5559" i="1" s="1"/>
  <c r="N5559" i="1" s="1"/>
  <c r="L5560" i="1"/>
  <c r="M5560" i="1" s="1"/>
  <c r="N5560" i="1" s="1"/>
  <c r="L5561" i="1"/>
  <c r="M5561" i="1" s="1"/>
  <c r="N5561" i="1" s="1"/>
  <c r="L5562" i="1"/>
  <c r="M5562" i="1" s="1"/>
  <c r="N5562" i="1" s="1"/>
  <c r="L5563" i="1"/>
  <c r="M5563" i="1" s="1"/>
  <c r="N5563" i="1" s="1"/>
  <c r="L5564" i="1"/>
  <c r="M5564" i="1" s="1"/>
  <c r="N5564" i="1" s="1"/>
  <c r="L5565" i="1"/>
  <c r="M5565" i="1" s="1"/>
  <c r="N5565" i="1" s="1"/>
  <c r="L5566" i="1"/>
  <c r="M5566" i="1" s="1"/>
  <c r="N5566" i="1" s="1"/>
  <c r="L5567" i="1"/>
  <c r="M5567" i="1" s="1"/>
  <c r="N5567" i="1" s="1"/>
  <c r="L5568" i="1"/>
  <c r="M5568" i="1" s="1"/>
  <c r="N5568" i="1" s="1"/>
  <c r="L5569" i="1"/>
  <c r="M5569" i="1" s="1"/>
  <c r="N5569" i="1" s="1"/>
  <c r="L5570" i="1"/>
  <c r="M5570" i="1" s="1"/>
  <c r="N5570" i="1" s="1"/>
  <c r="L5571" i="1"/>
  <c r="M5571" i="1" s="1"/>
  <c r="N5571" i="1" s="1"/>
  <c r="L5572" i="1"/>
  <c r="M5572" i="1" s="1"/>
  <c r="N5572" i="1" s="1"/>
  <c r="L5573" i="1"/>
  <c r="M5573" i="1" s="1"/>
  <c r="N5573" i="1" s="1"/>
  <c r="L5574" i="1"/>
  <c r="M5574" i="1" s="1"/>
  <c r="N5574" i="1" s="1"/>
  <c r="L5575" i="1"/>
  <c r="M5575" i="1" s="1"/>
  <c r="N5575" i="1" s="1"/>
  <c r="L5576" i="1"/>
  <c r="M5576" i="1" s="1"/>
  <c r="N5576" i="1" s="1"/>
  <c r="L5577" i="1"/>
  <c r="M5577" i="1" s="1"/>
  <c r="N5577" i="1" s="1"/>
  <c r="L5578" i="1"/>
  <c r="M5578" i="1" s="1"/>
  <c r="N5578" i="1" s="1"/>
  <c r="L5579" i="1"/>
  <c r="M5579" i="1" s="1"/>
  <c r="N5579" i="1" s="1"/>
  <c r="L5580" i="1"/>
  <c r="M5580" i="1" s="1"/>
  <c r="N5580" i="1" s="1"/>
  <c r="L5581" i="1"/>
  <c r="M5581" i="1" s="1"/>
  <c r="N5581" i="1" s="1"/>
  <c r="L5582" i="1"/>
  <c r="M5582" i="1" s="1"/>
  <c r="N5582" i="1" s="1"/>
  <c r="L5583" i="1"/>
  <c r="M5583" i="1" s="1"/>
  <c r="N5583" i="1" s="1"/>
  <c r="L5584" i="1"/>
  <c r="M5584" i="1" s="1"/>
  <c r="N5584" i="1" s="1"/>
  <c r="L5585" i="1"/>
  <c r="M5585" i="1" s="1"/>
  <c r="N5585" i="1" s="1"/>
  <c r="L5586" i="1"/>
  <c r="M5586" i="1" s="1"/>
  <c r="N5586" i="1" s="1"/>
  <c r="L5587" i="1"/>
  <c r="M5587" i="1" s="1"/>
  <c r="N5587" i="1" s="1"/>
  <c r="L5588" i="1"/>
  <c r="M5588" i="1" s="1"/>
  <c r="N5588" i="1" s="1"/>
  <c r="L5589" i="1"/>
  <c r="M5589" i="1" s="1"/>
  <c r="N5589" i="1" s="1"/>
  <c r="L5590" i="1"/>
  <c r="M5590" i="1" s="1"/>
  <c r="N5590" i="1" s="1"/>
  <c r="L5591" i="1"/>
  <c r="M5591" i="1" s="1"/>
  <c r="N5591" i="1" s="1"/>
  <c r="L5592" i="1"/>
  <c r="M5592" i="1" s="1"/>
  <c r="N5592" i="1" s="1"/>
  <c r="L5593" i="1"/>
  <c r="M5593" i="1" s="1"/>
  <c r="N5593" i="1" s="1"/>
  <c r="L5594" i="1"/>
  <c r="M5594" i="1" s="1"/>
  <c r="N5594" i="1" s="1"/>
  <c r="L5595" i="1"/>
  <c r="M5595" i="1" s="1"/>
  <c r="N5595" i="1" s="1"/>
  <c r="L5596" i="1"/>
  <c r="M5596" i="1" s="1"/>
  <c r="N5596" i="1" s="1"/>
  <c r="L5597" i="1"/>
  <c r="M5597" i="1" s="1"/>
  <c r="N5597" i="1" s="1"/>
  <c r="L5598" i="1"/>
  <c r="M5598" i="1" s="1"/>
  <c r="N5598" i="1" s="1"/>
  <c r="L5599" i="1"/>
  <c r="M5599" i="1" s="1"/>
  <c r="N5599" i="1" s="1"/>
  <c r="L5600" i="1"/>
  <c r="M5600" i="1" s="1"/>
  <c r="N5600" i="1" s="1"/>
  <c r="L5601" i="1"/>
  <c r="M5601" i="1" s="1"/>
  <c r="N5601" i="1" s="1"/>
  <c r="L5602" i="1"/>
  <c r="M5602" i="1" s="1"/>
  <c r="N5602" i="1" s="1"/>
  <c r="L5603" i="1"/>
  <c r="M5603" i="1" s="1"/>
  <c r="N5603" i="1" s="1"/>
  <c r="L5604" i="1"/>
  <c r="M5604" i="1" s="1"/>
  <c r="N5604" i="1" s="1"/>
  <c r="L5605" i="1"/>
  <c r="M5605" i="1" s="1"/>
  <c r="N5605" i="1" s="1"/>
  <c r="L5606" i="1"/>
  <c r="M5606" i="1" s="1"/>
  <c r="N5606" i="1" s="1"/>
  <c r="L5607" i="1"/>
  <c r="M5607" i="1" s="1"/>
  <c r="N5607" i="1" s="1"/>
  <c r="L5608" i="1"/>
  <c r="M5608" i="1" s="1"/>
  <c r="N5608" i="1" s="1"/>
  <c r="L5609" i="1"/>
  <c r="M5609" i="1" s="1"/>
  <c r="N5609" i="1" s="1"/>
  <c r="L5610" i="1"/>
  <c r="M5610" i="1" s="1"/>
  <c r="N5610" i="1" s="1"/>
  <c r="L5611" i="1"/>
  <c r="M5611" i="1" s="1"/>
  <c r="N5611" i="1" s="1"/>
  <c r="L5612" i="1"/>
  <c r="M5612" i="1" s="1"/>
  <c r="N5612" i="1" s="1"/>
  <c r="L5613" i="1"/>
  <c r="M5613" i="1" s="1"/>
  <c r="N5613" i="1" s="1"/>
  <c r="L5614" i="1"/>
  <c r="M5614" i="1" s="1"/>
  <c r="N5614" i="1" s="1"/>
  <c r="L5615" i="1"/>
  <c r="M5615" i="1" s="1"/>
  <c r="N5615" i="1" s="1"/>
  <c r="L5616" i="1"/>
  <c r="M5616" i="1" s="1"/>
  <c r="N5616" i="1" s="1"/>
  <c r="L5617" i="1"/>
  <c r="M5617" i="1" s="1"/>
  <c r="N5617" i="1" s="1"/>
  <c r="L5618" i="1"/>
  <c r="M5618" i="1" s="1"/>
  <c r="N5618" i="1" s="1"/>
  <c r="L5619" i="1"/>
  <c r="M5619" i="1" s="1"/>
  <c r="N5619" i="1" s="1"/>
  <c r="L5620" i="1"/>
  <c r="M5620" i="1" s="1"/>
  <c r="N5620" i="1" s="1"/>
  <c r="L5621" i="1"/>
  <c r="M5621" i="1" s="1"/>
  <c r="N5621" i="1" s="1"/>
  <c r="L5622" i="1"/>
  <c r="M5622" i="1" s="1"/>
  <c r="N5622" i="1" s="1"/>
  <c r="L5623" i="1"/>
  <c r="M5623" i="1" s="1"/>
  <c r="N5623" i="1" s="1"/>
  <c r="L5624" i="1"/>
  <c r="M5624" i="1" s="1"/>
  <c r="N5624" i="1" s="1"/>
  <c r="L5625" i="1"/>
  <c r="M5625" i="1" s="1"/>
  <c r="N5625" i="1" s="1"/>
  <c r="L5626" i="1"/>
  <c r="M5626" i="1" s="1"/>
  <c r="N5626" i="1" s="1"/>
  <c r="L5627" i="1"/>
  <c r="M5627" i="1" s="1"/>
  <c r="N5627" i="1" s="1"/>
  <c r="L5628" i="1"/>
  <c r="M5628" i="1" s="1"/>
  <c r="N5628" i="1" s="1"/>
  <c r="L5629" i="1"/>
  <c r="M5629" i="1" s="1"/>
  <c r="N5629" i="1" s="1"/>
  <c r="L5630" i="1"/>
  <c r="M5630" i="1" s="1"/>
  <c r="N5630" i="1" s="1"/>
  <c r="L5631" i="1"/>
  <c r="M5631" i="1" s="1"/>
  <c r="N5631" i="1" s="1"/>
  <c r="L5632" i="1"/>
  <c r="M5632" i="1" s="1"/>
  <c r="N5632" i="1" s="1"/>
  <c r="L5633" i="1"/>
  <c r="M5633" i="1" s="1"/>
  <c r="N5633" i="1" s="1"/>
  <c r="L5634" i="1"/>
  <c r="M5634" i="1" s="1"/>
  <c r="N5634" i="1" s="1"/>
  <c r="L5635" i="1"/>
  <c r="M5635" i="1" s="1"/>
  <c r="N5635" i="1" s="1"/>
  <c r="L5636" i="1"/>
  <c r="M5636" i="1" s="1"/>
  <c r="N5636" i="1" s="1"/>
  <c r="L5637" i="1"/>
  <c r="M5637" i="1" s="1"/>
  <c r="N5637" i="1" s="1"/>
  <c r="L5638" i="1"/>
  <c r="M5638" i="1" s="1"/>
  <c r="N5638" i="1" s="1"/>
  <c r="L5639" i="1"/>
  <c r="M5639" i="1" s="1"/>
  <c r="N5639" i="1" s="1"/>
  <c r="L5640" i="1"/>
  <c r="M5640" i="1" s="1"/>
  <c r="N5640" i="1" s="1"/>
  <c r="L5641" i="1"/>
  <c r="M5641" i="1" s="1"/>
  <c r="N5641" i="1" s="1"/>
  <c r="L5642" i="1"/>
  <c r="M5642" i="1" s="1"/>
  <c r="N5642" i="1" s="1"/>
  <c r="L5643" i="1"/>
  <c r="M5643" i="1" s="1"/>
  <c r="N5643" i="1" s="1"/>
  <c r="L5644" i="1"/>
  <c r="M5644" i="1" s="1"/>
  <c r="N5644" i="1" s="1"/>
  <c r="L5645" i="1"/>
  <c r="M5645" i="1" s="1"/>
  <c r="N5645" i="1" s="1"/>
  <c r="L5646" i="1"/>
  <c r="M5646" i="1" s="1"/>
  <c r="N5646" i="1" s="1"/>
  <c r="L5647" i="1"/>
  <c r="M5647" i="1" s="1"/>
  <c r="N5647" i="1" s="1"/>
  <c r="L5648" i="1"/>
  <c r="M5648" i="1" s="1"/>
  <c r="N5648" i="1" s="1"/>
  <c r="L5649" i="1"/>
  <c r="M5649" i="1" s="1"/>
  <c r="N5649" i="1" s="1"/>
  <c r="L5650" i="1"/>
  <c r="M5650" i="1" s="1"/>
  <c r="N5650" i="1" s="1"/>
  <c r="L5651" i="1"/>
  <c r="M5651" i="1" s="1"/>
  <c r="N5651" i="1" s="1"/>
  <c r="L5652" i="1"/>
  <c r="M5652" i="1" s="1"/>
  <c r="N5652" i="1" s="1"/>
  <c r="L5653" i="1"/>
  <c r="M5653" i="1" s="1"/>
  <c r="N5653" i="1" s="1"/>
  <c r="L5654" i="1"/>
  <c r="M5654" i="1" s="1"/>
  <c r="N5654" i="1" s="1"/>
  <c r="L5655" i="1"/>
  <c r="M5655" i="1" s="1"/>
  <c r="N5655" i="1" s="1"/>
  <c r="L5656" i="1"/>
  <c r="M5656" i="1" s="1"/>
  <c r="N5656" i="1" s="1"/>
  <c r="L5657" i="1"/>
  <c r="M5657" i="1" s="1"/>
  <c r="N5657" i="1" s="1"/>
  <c r="L5658" i="1"/>
  <c r="M5658" i="1" s="1"/>
  <c r="N5658" i="1" s="1"/>
  <c r="L5659" i="1"/>
  <c r="M5659" i="1" s="1"/>
  <c r="N5659" i="1" s="1"/>
  <c r="L5660" i="1"/>
  <c r="M5660" i="1" s="1"/>
  <c r="N5660" i="1" s="1"/>
  <c r="L5661" i="1"/>
  <c r="M5661" i="1" s="1"/>
  <c r="N5661" i="1" s="1"/>
  <c r="L5662" i="1"/>
  <c r="M5662" i="1" s="1"/>
  <c r="N5662" i="1" s="1"/>
  <c r="L5663" i="1"/>
  <c r="M5663" i="1" s="1"/>
  <c r="N5663" i="1" s="1"/>
  <c r="L5664" i="1"/>
  <c r="M5664" i="1" s="1"/>
  <c r="N5664" i="1" s="1"/>
  <c r="L5665" i="1"/>
  <c r="M5665" i="1" s="1"/>
  <c r="N5665" i="1" s="1"/>
  <c r="L5666" i="1"/>
  <c r="M5666" i="1" s="1"/>
  <c r="N5666" i="1" s="1"/>
  <c r="L5667" i="1"/>
  <c r="M5667" i="1" s="1"/>
  <c r="N5667" i="1" s="1"/>
  <c r="L5668" i="1"/>
  <c r="M5668" i="1" s="1"/>
  <c r="N5668" i="1" s="1"/>
  <c r="L5669" i="1"/>
  <c r="M5669" i="1" s="1"/>
  <c r="N5669" i="1" s="1"/>
  <c r="L5670" i="1"/>
  <c r="M5670" i="1" s="1"/>
  <c r="N5670" i="1" s="1"/>
  <c r="L5671" i="1"/>
  <c r="M5671" i="1" s="1"/>
  <c r="N5671" i="1" s="1"/>
  <c r="L5672" i="1"/>
  <c r="M5672" i="1" s="1"/>
  <c r="N5672" i="1" s="1"/>
  <c r="L5673" i="1"/>
  <c r="M5673" i="1" s="1"/>
  <c r="N5673" i="1" s="1"/>
  <c r="L5674" i="1"/>
  <c r="M5674" i="1" s="1"/>
  <c r="N5674" i="1" s="1"/>
  <c r="L5675" i="1"/>
  <c r="M5675" i="1" s="1"/>
  <c r="N5675" i="1" s="1"/>
  <c r="L5676" i="1"/>
  <c r="M5676" i="1" s="1"/>
  <c r="N5676" i="1" s="1"/>
  <c r="L5677" i="1"/>
  <c r="M5677" i="1" s="1"/>
  <c r="N5677" i="1" s="1"/>
  <c r="L5678" i="1"/>
  <c r="M5678" i="1" s="1"/>
  <c r="N5678" i="1" s="1"/>
  <c r="L5679" i="1"/>
  <c r="M5679" i="1" s="1"/>
  <c r="N5679" i="1" s="1"/>
  <c r="L5680" i="1"/>
  <c r="M5680" i="1" s="1"/>
  <c r="N5680" i="1" s="1"/>
  <c r="L5681" i="1"/>
  <c r="M5681" i="1" s="1"/>
  <c r="N5681" i="1" s="1"/>
  <c r="L5682" i="1"/>
  <c r="M5682" i="1" s="1"/>
  <c r="N5682" i="1" s="1"/>
  <c r="L5683" i="1"/>
  <c r="M5683" i="1" s="1"/>
  <c r="N5683" i="1" s="1"/>
  <c r="L5684" i="1"/>
  <c r="M5684" i="1" s="1"/>
  <c r="N5684" i="1" s="1"/>
  <c r="L5685" i="1"/>
  <c r="M5685" i="1" s="1"/>
  <c r="N5685" i="1" s="1"/>
  <c r="L5686" i="1"/>
  <c r="M5686" i="1" s="1"/>
  <c r="N5686" i="1" s="1"/>
  <c r="L5687" i="1"/>
  <c r="M5687" i="1" s="1"/>
  <c r="N5687" i="1" s="1"/>
  <c r="L5688" i="1"/>
  <c r="M5688" i="1" s="1"/>
  <c r="N5688" i="1" s="1"/>
  <c r="L5689" i="1"/>
  <c r="M5689" i="1" s="1"/>
  <c r="N5689" i="1" s="1"/>
  <c r="L5690" i="1"/>
  <c r="M5690" i="1" s="1"/>
  <c r="N5690" i="1" s="1"/>
  <c r="L5691" i="1"/>
  <c r="M5691" i="1" s="1"/>
  <c r="N5691" i="1" s="1"/>
  <c r="L5692" i="1"/>
  <c r="M5692" i="1" s="1"/>
  <c r="N5692" i="1" s="1"/>
  <c r="L5693" i="1"/>
  <c r="M5693" i="1" s="1"/>
  <c r="N5693" i="1" s="1"/>
  <c r="L5694" i="1"/>
  <c r="M5694" i="1" s="1"/>
  <c r="N5694" i="1" s="1"/>
  <c r="L5695" i="1"/>
  <c r="M5695" i="1" s="1"/>
  <c r="N5695" i="1" s="1"/>
  <c r="L5696" i="1"/>
  <c r="M5696" i="1" s="1"/>
  <c r="N5696" i="1" s="1"/>
  <c r="L5697" i="1"/>
  <c r="M5697" i="1" s="1"/>
  <c r="N5697" i="1" s="1"/>
  <c r="L5698" i="1"/>
  <c r="M5698" i="1" s="1"/>
  <c r="N5698" i="1" s="1"/>
  <c r="L5699" i="1"/>
  <c r="M5699" i="1" s="1"/>
  <c r="N5699" i="1" s="1"/>
  <c r="L5700" i="1"/>
  <c r="M5700" i="1" s="1"/>
  <c r="N5700" i="1" s="1"/>
  <c r="L5701" i="1"/>
  <c r="M5701" i="1" s="1"/>
  <c r="N5701" i="1" s="1"/>
  <c r="L5702" i="1"/>
  <c r="M5702" i="1" s="1"/>
  <c r="N5702" i="1" s="1"/>
  <c r="L5703" i="1"/>
  <c r="M5703" i="1" s="1"/>
  <c r="N5703" i="1" s="1"/>
  <c r="L5704" i="1"/>
  <c r="M5704" i="1" s="1"/>
  <c r="N5704" i="1" s="1"/>
  <c r="L5705" i="1"/>
  <c r="M5705" i="1" s="1"/>
  <c r="N5705" i="1" s="1"/>
  <c r="L5706" i="1"/>
  <c r="M5706" i="1" s="1"/>
  <c r="N5706" i="1" s="1"/>
  <c r="L5707" i="1"/>
  <c r="M5707" i="1" s="1"/>
  <c r="N5707" i="1" s="1"/>
  <c r="L5708" i="1"/>
  <c r="M5708" i="1" s="1"/>
  <c r="N5708" i="1" s="1"/>
  <c r="L5709" i="1"/>
  <c r="M5709" i="1" s="1"/>
  <c r="N5709" i="1" s="1"/>
  <c r="L5710" i="1"/>
  <c r="M5710" i="1" s="1"/>
  <c r="N5710" i="1" s="1"/>
  <c r="L5711" i="1"/>
  <c r="M5711" i="1" s="1"/>
  <c r="N5711" i="1" s="1"/>
  <c r="L5712" i="1"/>
  <c r="M5712" i="1" s="1"/>
  <c r="N5712" i="1" s="1"/>
  <c r="L5713" i="1"/>
  <c r="M5713" i="1" s="1"/>
  <c r="N5713" i="1" s="1"/>
  <c r="L5714" i="1"/>
  <c r="M5714" i="1" s="1"/>
  <c r="N5714" i="1" s="1"/>
  <c r="L5715" i="1"/>
  <c r="M5715" i="1" s="1"/>
  <c r="N5715" i="1" s="1"/>
  <c r="L5716" i="1"/>
  <c r="M5716" i="1" s="1"/>
  <c r="N5716" i="1" s="1"/>
  <c r="L5717" i="1"/>
  <c r="M5717" i="1" s="1"/>
  <c r="N5717" i="1" s="1"/>
  <c r="L5718" i="1"/>
  <c r="M5718" i="1" s="1"/>
  <c r="N5718" i="1" s="1"/>
  <c r="L5719" i="1"/>
  <c r="M5719" i="1" s="1"/>
  <c r="N5719" i="1" s="1"/>
  <c r="L5720" i="1"/>
  <c r="M5720" i="1" s="1"/>
  <c r="N5720" i="1" s="1"/>
  <c r="L5721" i="1"/>
  <c r="M5721" i="1" s="1"/>
  <c r="N5721" i="1" s="1"/>
  <c r="L5722" i="1"/>
  <c r="M5722" i="1" s="1"/>
  <c r="N5722" i="1" s="1"/>
  <c r="L5723" i="1"/>
  <c r="M5723" i="1" s="1"/>
  <c r="N5723" i="1" s="1"/>
  <c r="L5724" i="1"/>
  <c r="M5724" i="1" s="1"/>
  <c r="N5724" i="1" s="1"/>
  <c r="L5725" i="1"/>
  <c r="M5725" i="1" s="1"/>
  <c r="N5725" i="1" s="1"/>
  <c r="L5726" i="1"/>
  <c r="M5726" i="1" s="1"/>
  <c r="N5726" i="1" s="1"/>
  <c r="L5727" i="1"/>
  <c r="M5727" i="1" s="1"/>
  <c r="N5727" i="1" s="1"/>
  <c r="L5728" i="1"/>
  <c r="M5728" i="1" s="1"/>
  <c r="N5728" i="1" s="1"/>
  <c r="L5729" i="1"/>
  <c r="M5729" i="1" s="1"/>
  <c r="N5729" i="1" s="1"/>
  <c r="L5730" i="1"/>
  <c r="M5730" i="1" s="1"/>
  <c r="N5730" i="1" s="1"/>
  <c r="L5731" i="1"/>
  <c r="M5731" i="1" s="1"/>
  <c r="N5731" i="1" s="1"/>
  <c r="L5732" i="1"/>
  <c r="M5732" i="1" s="1"/>
  <c r="N5732" i="1" s="1"/>
  <c r="L5733" i="1"/>
  <c r="M5733" i="1" s="1"/>
  <c r="N5733" i="1" s="1"/>
  <c r="L5734" i="1"/>
  <c r="M5734" i="1" s="1"/>
  <c r="N5734" i="1" s="1"/>
  <c r="L5735" i="1"/>
  <c r="M5735" i="1" s="1"/>
  <c r="N5735" i="1" s="1"/>
  <c r="L5736" i="1"/>
  <c r="M5736" i="1" s="1"/>
  <c r="N5736" i="1" s="1"/>
  <c r="L5737" i="1"/>
  <c r="M5737" i="1" s="1"/>
  <c r="N5737" i="1" s="1"/>
  <c r="L5738" i="1"/>
  <c r="M5738" i="1" s="1"/>
  <c r="N5738" i="1" s="1"/>
  <c r="L5739" i="1"/>
  <c r="M5739" i="1" s="1"/>
  <c r="N5739" i="1" s="1"/>
  <c r="L5740" i="1"/>
  <c r="M5740" i="1" s="1"/>
  <c r="N5740" i="1" s="1"/>
  <c r="L5741" i="1"/>
  <c r="M5741" i="1" s="1"/>
  <c r="N5741" i="1" s="1"/>
  <c r="L5742" i="1"/>
  <c r="M5742" i="1" s="1"/>
  <c r="N5742" i="1" s="1"/>
  <c r="L5743" i="1"/>
  <c r="M5743" i="1" s="1"/>
  <c r="N5743" i="1" s="1"/>
  <c r="L5744" i="1"/>
  <c r="M5744" i="1" s="1"/>
  <c r="N5744" i="1" s="1"/>
  <c r="L5745" i="1"/>
  <c r="M5745" i="1" s="1"/>
  <c r="N5745" i="1" s="1"/>
  <c r="L5746" i="1"/>
  <c r="M5746" i="1" s="1"/>
  <c r="N5746" i="1" s="1"/>
  <c r="L5747" i="1"/>
  <c r="M5747" i="1" s="1"/>
  <c r="N5747" i="1" s="1"/>
  <c r="L5748" i="1"/>
  <c r="M5748" i="1" s="1"/>
  <c r="N5748" i="1" s="1"/>
  <c r="L5749" i="1"/>
  <c r="M5749" i="1" s="1"/>
  <c r="N5749" i="1" s="1"/>
  <c r="L5750" i="1"/>
  <c r="M5750" i="1" s="1"/>
  <c r="N5750" i="1" s="1"/>
  <c r="L5751" i="1"/>
  <c r="M5751" i="1" s="1"/>
  <c r="N5751" i="1" s="1"/>
  <c r="L5752" i="1"/>
  <c r="M5752" i="1" s="1"/>
  <c r="N5752" i="1" s="1"/>
  <c r="L5753" i="1"/>
  <c r="M5753" i="1" s="1"/>
  <c r="N5753" i="1" s="1"/>
  <c r="L5754" i="1"/>
  <c r="M5754" i="1" s="1"/>
  <c r="N5754" i="1" s="1"/>
  <c r="L5755" i="1"/>
  <c r="M5755" i="1" s="1"/>
  <c r="N5755" i="1" s="1"/>
  <c r="L5756" i="1"/>
  <c r="M5756" i="1" s="1"/>
  <c r="N5756" i="1" s="1"/>
  <c r="L5757" i="1"/>
  <c r="M5757" i="1" s="1"/>
  <c r="N5757" i="1" s="1"/>
  <c r="L5758" i="1"/>
  <c r="M5758" i="1" s="1"/>
  <c r="N5758" i="1" s="1"/>
  <c r="L5759" i="1"/>
  <c r="M5759" i="1" s="1"/>
  <c r="N5759" i="1" s="1"/>
  <c r="L5760" i="1"/>
  <c r="M5760" i="1" s="1"/>
  <c r="N5760" i="1" s="1"/>
  <c r="L5761" i="1"/>
  <c r="M5761" i="1" s="1"/>
  <c r="N5761" i="1" s="1"/>
  <c r="L5762" i="1"/>
  <c r="M5762" i="1" s="1"/>
  <c r="N5762" i="1" s="1"/>
  <c r="L5763" i="1"/>
  <c r="M5763" i="1" s="1"/>
  <c r="N5763" i="1" s="1"/>
  <c r="L5764" i="1"/>
  <c r="M5764" i="1" s="1"/>
  <c r="N5764" i="1" s="1"/>
  <c r="L5765" i="1"/>
  <c r="M5765" i="1" s="1"/>
  <c r="N5765" i="1" s="1"/>
  <c r="L5766" i="1"/>
  <c r="M5766" i="1" s="1"/>
  <c r="N5766" i="1" s="1"/>
  <c r="L5767" i="1"/>
  <c r="M5767" i="1" s="1"/>
  <c r="N5767" i="1" s="1"/>
  <c r="L5768" i="1"/>
  <c r="M5768" i="1" s="1"/>
  <c r="N5768" i="1" s="1"/>
  <c r="L5769" i="1"/>
  <c r="M5769" i="1" s="1"/>
  <c r="N5769" i="1" s="1"/>
  <c r="L5770" i="1"/>
  <c r="M5770" i="1" s="1"/>
  <c r="N5770" i="1" s="1"/>
  <c r="L5771" i="1"/>
  <c r="M5771" i="1" s="1"/>
  <c r="N5771" i="1" s="1"/>
  <c r="L5772" i="1"/>
  <c r="M5772" i="1" s="1"/>
  <c r="N5772" i="1" s="1"/>
  <c r="L5773" i="1"/>
  <c r="M5773" i="1" s="1"/>
  <c r="N5773" i="1" s="1"/>
  <c r="L5774" i="1"/>
  <c r="M5774" i="1" s="1"/>
  <c r="N5774" i="1" s="1"/>
  <c r="L5775" i="1"/>
  <c r="M5775" i="1" s="1"/>
  <c r="N5775" i="1" s="1"/>
  <c r="L5776" i="1"/>
  <c r="M5776" i="1" s="1"/>
  <c r="N5776" i="1" s="1"/>
  <c r="L5777" i="1"/>
  <c r="M5777" i="1" s="1"/>
  <c r="N5777" i="1" s="1"/>
  <c r="L5778" i="1"/>
  <c r="M5778" i="1" s="1"/>
  <c r="N5778" i="1" s="1"/>
  <c r="L5779" i="1"/>
  <c r="M5779" i="1" s="1"/>
  <c r="N5779" i="1" s="1"/>
  <c r="L5780" i="1"/>
  <c r="M5780" i="1" s="1"/>
  <c r="N5780" i="1" s="1"/>
  <c r="L5781" i="1"/>
  <c r="M5781" i="1" s="1"/>
  <c r="N5781" i="1" s="1"/>
  <c r="L5782" i="1"/>
  <c r="M5782" i="1" s="1"/>
  <c r="N5782" i="1" s="1"/>
  <c r="L5783" i="1"/>
  <c r="M5783" i="1" s="1"/>
  <c r="N5783" i="1" s="1"/>
  <c r="L5784" i="1"/>
  <c r="M5784" i="1" s="1"/>
  <c r="N5784" i="1" s="1"/>
  <c r="L5785" i="1"/>
  <c r="M5785" i="1" s="1"/>
  <c r="N5785" i="1" s="1"/>
  <c r="L5786" i="1"/>
  <c r="M5786" i="1" s="1"/>
  <c r="N5786" i="1" s="1"/>
  <c r="L5787" i="1"/>
  <c r="M5787" i="1" s="1"/>
  <c r="N5787" i="1" s="1"/>
  <c r="L5788" i="1"/>
  <c r="M5788" i="1" s="1"/>
  <c r="N5788" i="1" s="1"/>
  <c r="L5789" i="1"/>
  <c r="M5789" i="1" s="1"/>
  <c r="N5789" i="1" s="1"/>
  <c r="L5790" i="1"/>
  <c r="M5790" i="1" s="1"/>
  <c r="N5790" i="1" s="1"/>
  <c r="L5791" i="1"/>
  <c r="M5791" i="1" s="1"/>
  <c r="N5791" i="1" s="1"/>
  <c r="L5792" i="1"/>
  <c r="M5792" i="1" s="1"/>
  <c r="N5792" i="1" s="1"/>
  <c r="L5793" i="1"/>
  <c r="M5793" i="1" s="1"/>
  <c r="N5793" i="1" s="1"/>
  <c r="L5794" i="1"/>
  <c r="M5794" i="1" s="1"/>
  <c r="N5794" i="1" s="1"/>
  <c r="L5795" i="1"/>
  <c r="M5795" i="1" s="1"/>
  <c r="N5795" i="1" s="1"/>
  <c r="L5796" i="1"/>
  <c r="M5796" i="1" s="1"/>
  <c r="N5796" i="1" s="1"/>
  <c r="L5797" i="1"/>
  <c r="M5797" i="1" s="1"/>
  <c r="N5797" i="1" s="1"/>
  <c r="L5798" i="1"/>
  <c r="M5798" i="1" s="1"/>
  <c r="N5798" i="1" s="1"/>
  <c r="L5799" i="1"/>
  <c r="M5799" i="1" s="1"/>
  <c r="N5799" i="1" s="1"/>
  <c r="L5800" i="1"/>
  <c r="M5800" i="1" s="1"/>
  <c r="N5800" i="1" s="1"/>
  <c r="L5801" i="1"/>
  <c r="M5801" i="1" s="1"/>
  <c r="N5801" i="1" s="1"/>
  <c r="L5802" i="1"/>
  <c r="M5802" i="1" s="1"/>
  <c r="N5802" i="1" s="1"/>
  <c r="L5803" i="1"/>
  <c r="M5803" i="1" s="1"/>
  <c r="N5803" i="1" s="1"/>
  <c r="L5804" i="1"/>
  <c r="M5804" i="1" s="1"/>
  <c r="N5804" i="1" s="1"/>
  <c r="L5805" i="1"/>
  <c r="M5805" i="1" s="1"/>
  <c r="N5805" i="1" s="1"/>
  <c r="L5806" i="1"/>
  <c r="M5806" i="1" s="1"/>
  <c r="N5806" i="1" s="1"/>
  <c r="L5807" i="1"/>
  <c r="M5807" i="1" s="1"/>
  <c r="N5807" i="1" s="1"/>
  <c r="L5808" i="1"/>
  <c r="M5808" i="1" s="1"/>
  <c r="N5808" i="1" s="1"/>
  <c r="L5809" i="1"/>
  <c r="M5809" i="1" s="1"/>
  <c r="N5809" i="1" s="1"/>
  <c r="L5810" i="1"/>
  <c r="M5810" i="1" s="1"/>
  <c r="N5810" i="1" s="1"/>
  <c r="L5811" i="1"/>
  <c r="M5811" i="1" s="1"/>
  <c r="N5811" i="1" s="1"/>
  <c r="L5812" i="1"/>
  <c r="M5812" i="1" s="1"/>
  <c r="N5812" i="1" s="1"/>
  <c r="L5813" i="1"/>
  <c r="M5813" i="1" s="1"/>
  <c r="N5813" i="1" s="1"/>
  <c r="L5814" i="1"/>
  <c r="M5814" i="1" s="1"/>
  <c r="N5814" i="1" s="1"/>
  <c r="L5815" i="1"/>
  <c r="M5815" i="1" s="1"/>
  <c r="N5815" i="1" s="1"/>
  <c r="L5816" i="1"/>
  <c r="M5816" i="1" s="1"/>
  <c r="N5816" i="1" s="1"/>
  <c r="L5817" i="1"/>
  <c r="M5817" i="1" s="1"/>
  <c r="N5817" i="1" s="1"/>
  <c r="L5818" i="1"/>
  <c r="M5818" i="1" s="1"/>
  <c r="N5818" i="1" s="1"/>
  <c r="L5819" i="1"/>
  <c r="M5819" i="1" s="1"/>
  <c r="N5819" i="1" s="1"/>
  <c r="L5820" i="1"/>
  <c r="M5820" i="1" s="1"/>
  <c r="N5820" i="1" s="1"/>
  <c r="L5821" i="1"/>
  <c r="M5821" i="1" s="1"/>
  <c r="N5821" i="1" s="1"/>
  <c r="L5822" i="1"/>
  <c r="M5822" i="1" s="1"/>
  <c r="N5822" i="1" s="1"/>
  <c r="L5823" i="1"/>
  <c r="M5823" i="1" s="1"/>
  <c r="N5823" i="1" s="1"/>
  <c r="L5824" i="1"/>
  <c r="M5824" i="1" s="1"/>
  <c r="N5824" i="1" s="1"/>
  <c r="L5825" i="1"/>
  <c r="M5825" i="1" s="1"/>
  <c r="N5825" i="1" s="1"/>
  <c r="L5826" i="1"/>
  <c r="M5826" i="1" s="1"/>
  <c r="N5826" i="1" s="1"/>
  <c r="L5827" i="1"/>
  <c r="M5827" i="1" s="1"/>
  <c r="N5827" i="1" s="1"/>
  <c r="L5828" i="1"/>
  <c r="M5828" i="1" s="1"/>
  <c r="N5828" i="1" s="1"/>
  <c r="L5829" i="1"/>
  <c r="M5829" i="1" s="1"/>
  <c r="N5829" i="1" s="1"/>
  <c r="L5830" i="1"/>
  <c r="M5830" i="1" s="1"/>
  <c r="N5830" i="1" s="1"/>
  <c r="L5831" i="1"/>
  <c r="M5831" i="1" s="1"/>
  <c r="N5831" i="1" s="1"/>
  <c r="L5832" i="1"/>
  <c r="M5832" i="1" s="1"/>
  <c r="N5832" i="1" s="1"/>
  <c r="L5833" i="1"/>
  <c r="M5833" i="1" s="1"/>
  <c r="N5833" i="1" s="1"/>
  <c r="L5834" i="1"/>
  <c r="M5834" i="1" s="1"/>
  <c r="N5834" i="1" s="1"/>
  <c r="L5835" i="1"/>
  <c r="M5835" i="1" s="1"/>
  <c r="N5835" i="1" s="1"/>
  <c r="L5836" i="1"/>
  <c r="M5836" i="1" s="1"/>
  <c r="N5836" i="1" s="1"/>
  <c r="L5837" i="1"/>
  <c r="M5837" i="1" s="1"/>
  <c r="N5837" i="1" s="1"/>
  <c r="L5838" i="1"/>
  <c r="M5838" i="1" s="1"/>
  <c r="N5838" i="1" s="1"/>
  <c r="L5839" i="1"/>
  <c r="M5839" i="1" s="1"/>
  <c r="N5839" i="1" s="1"/>
  <c r="L5840" i="1"/>
  <c r="M5840" i="1" s="1"/>
  <c r="N5840" i="1" s="1"/>
  <c r="L5841" i="1"/>
  <c r="M5841" i="1" s="1"/>
  <c r="N5841" i="1" s="1"/>
  <c r="L5842" i="1"/>
  <c r="M5842" i="1" s="1"/>
  <c r="N5842" i="1" s="1"/>
  <c r="L5843" i="1"/>
  <c r="M5843" i="1" s="1"/>
  <c r="N5843" i="1" s="1"/>
  <c r="L5844" i="1"/>
  <c r="M5844" i="1" s="1"/>
  <c r="N5844" i="1" s="1"/>
  <c r="L5845" i="1"/>
  <c r="M5845" i="1" s="1"/>
  <c r="N5845" i="1" s="1"/>
  <c r="L5846" i="1"/>
  <c r="M5846" i="1" s="1"/>
  <c r="N5846" i="1" s="1"/>
  <c r="L5847" i="1"/>
  <c r="M5847" i="1" s="1"/>
  <c r="N5847" i="1" s="1"/>
  <c r="L5848" i="1"/>
  <c r="M5848" i="1" s="1"/>
  <c r="N5848" i="1" s="1"/>
  <c r="L5849" i="1"/>
  <c r="M5849" i="1" s="1"/>
  <c r="N5849" i="1" s="1"/>
  <c r="L5850" i="1"/>
  <c r="M5850" i="1" s="1"/>
  <c r="N5850" i="1" s="1"/>
  <c r="L5851" i="1"/>
  <c r="M5851" i="1" s="1"/>
  <c r="N5851" i="1" s="1"/>
  <c r="L5852" i="1"/>
  <c r="M5852" i="1" s="1"/>
  <c r="N5852" i="1" s="1"/>
  <c r="L5853" i="1"/>
  <c r="M5853" i="1" s="1"/>
  <c r="N5853" i="1" s="1"/>
  <c r="L5854" i="1"/>
  <c r="M5854" i="1" s="1"/>
  <c r="N5854" i="1" s="1"/>
  <c r="L5855" i="1"/>
  <c r="M5855" i="1" s="1"/>
  <c r="N5855" i="1" s="1"/>
  <c r="L5856" i="1"/>
  <c r="M5856" i="1" s="1"/>
  <c r="N5856" i="1" s="1"/>
  <c r="L5857" i="1"/>
  <c r="M5857" i="1" s="1"/>
  <c r="N5857" i="1" s="1"/>
  <c r="L5858" i="1"/>
  <c r="M5858" i="1" s="1"/>
  <c r="N5858" i="1" s="1"/>
  <c r="L5859" i="1"/>
  <c r="M5859" i="1" s="1"/>
  <c r="N5859" i="1" s="1"/>
  <c r="L5860" i="1"/>
  <c r="M5860" i="1" s="1"/>
  <c r="N5860" i="1" s="1"/>
  <c r="L5861" i="1"/>
  <c r="M5861" i="1" s="1"/>
  <c r="N5861" i="1" s="1"/>
  <c r="L5862" i="1"/>
  <c r="M5862" i="1" s="1"/>
  <c r="N5862" i="1" s="1"/>
  <c r="L5863" i="1"/>
  <c r="M5863" i="1" s="1"/>
  <c r="N5863" i="1" s="1"/>
  <c r="L5864" i="1"/>
  <c r="M5864" i="1" s="1"/>
  <c r="N5864" i="1" s="1"/>
  <c r="L5865" i="1"/>
  <c r="M5865" i="1" s="1"/>
  <c r="N5865" i="1" s="1"/>
  <c r="L5866" i="1"/>
  <c r="M5866" i="1" s="1"/>
  <c r="N5866" i="1" s="1"/>
  <c r="L5867" i="1"/>
  <c r="M5867" i="1" s="1"/>
  <c r="N5867" i="1" s="1"/>
  <c r="L5868" i="1"/>
  <c r="M5868" i="1" s="1"/>
  <c r="N5868" i="1" s="1"/>
  <c r="L5869" i="1"/>
  <c r="M5869" i="1" s="1"/>
  <c r="N5869" i="1" s="1"/>
  <c r="L5870" i="1"/>
  <c r="M5870" i="1" s="1"/>
  <c r="N5870" i="1" s="1"/>
  <c r="L5871" i="1"/>
  <c r="M5871" i="1" s="1"/>
  <c r="N5871" i="1" s="1"/>
  <c r="L5872" i="1"/>
  <c r="M5872" i="1" s="1"/>
  <c r="N5872" i="1" s="1"/>
  <c r="L5873" i="1"/>
  <c r="M5873" i="1" s="1"/>
  <c r="N5873" i="1" s="1"/>
  <c r="L5874" i="1"/>
  <c r="M5874" i="1" s="1"/>
  <c r="N5874" i="1" s="1"/>
  <c r="L5875" i="1"/>
  <c r="M5875" i="1" s="1"/>
  <c r="N5875" i="1" s="1"/>
  <c r="L5876" i="1"/>
  <c r="M5876" i="1" s="1"/>
  <c r="N5876" i="1" s="1"/>
  <c r="L5877" i="1"/>
  <c r="M5877" i="1" s="1"/>
  <c r="N5877" i="1" s="1"/>
  <c r="L5878" i="1"/>
  <c r="M5878" i="1" s="1"/>
  <c r="N5878" i="1" s="1"/>
  <c r="L5879" i="1"/>
  <c r="M5879" i="1" s="1"/>
  <c r="N5879" i="1" s="1"/>
  <c r="L5880" i="1"/>
  <c r="M5880" i="1" s="1"/>
  <c r="N5880" i="1" s="1"/>
  <c r="L5881" i="1"/>
  <c r="M5881" i="1" s="1"/>
  <c r="N5881" i="1" s="1"/>
  <c r="L5882" i="1"/>
  <c r="M5882" i="1" s="1"/>
  <c r="N5882" i="1" s="1"/>
  <c r="L5883" i="1"/>
  <c r="M5883" i="1" s="1"/>
  <c r="N5883" i="1" s="1"/>
  <c r="L5884" i="1"/>
  <c r="M5884" i="1" s="1"/>
  <c r="N5884" i="1" s="1"/>
  <c r="L5885" i="1"/>
  <c r="M5885" i="1" s="1"/>
  <c r="N5885" i="1" s="1"/>
  <c r="L5886" i="1"/>
  <c r="M5886" i="1" s="1"/>
  <c r="N5886" i="1" s="1"/>
  <c r="L5887" i="1"/>
  <c r="M5887" i="1" s="1"/>
  <c r="N5887" i="1" s="1"/>
  <c r="L5888" i="1"/>
  <c r="M5888" i="1" s="1"/>
  <c r="N5888" i="1" s="1"/>
  <c r="L5889" i="1"/>
  <c r="M5889" i="1" s="1"/>
  <c r="N5889" i="1" s="1"/>
  <c r="L5890" i="1"/>
  <c r="M5890" i="1" s="1"/>
  <c r="N5890" i="1" s="1"/>
  <c r="L5891" i="1"/>
  <c r="M5891" i="1" s="1"/>
  <c r="N5891" i="1" s="1"/>
  <c r="L5892" i="1"/>
  <c r="M5892" i="1" s="1"/>
  <c r="N5892" i="1" s="1"/>
  <c r="L5893" i="1"/>
  <c r="M5893" i="1" s="1"/>
  <c r="N5893" i="1" s="1"/>
  <c r="L5894" i="1"/>
  <c r="M5894" i="1" s="1"/>
  <c r="N5894" i="1" s="1"/>
  <c r="L5895" i="1"/>
  <c r="M5895" i="1" s="1"/>
  <c r="N5895" i="1" s="1"/>
  <c r="L5896" i="1"/>
  <c r="M5896" i="1" s="1"/>
  <c r="N5896" i="1" s="1"/>
  <c r="L5897" i="1"/>
  <c r="M5897" i="1" s="1"/>
  <c r="N5897" i="1" s="1"/>
  <c r="L5898" i="1"/>
  <c r="M5898" i="1" s="1"/>
  <c r="N5898" i="1" s="1"/>
  <c r="L5899" i="1"/>
  <c r="M5899" i="1" s="1"/>
  <c r="N5899" i="1" s="1"/>
  <c r="L5900" i="1"/>
  <c r="M5900" i="1" s="1"/>
  <c r="N5900" i="1" s="1"/>
  <c r="L5901" i="1"/>
  <c r="M5901" i="1" s="1"/>
  <c r="N5901" i="1" s="1"/>
  <c r="L5902" i="1"/>
  <c r="M5902" i="1" s="1"/>
  <c r="N5902" i="1" s="1"/>
  <c r="L5903" i="1"/>
  <c r="M5903" i="1" s="1"/>
  <c r="N5903" i="1" s="1"/>
  <c r="L5904" i="1"/>
  <c r="M5904" i="1" s="1"/>
  <c r="N5904" i="1" s="1"/>
  <c r="L5905" i="1"/>
  <c r="M5905" i="1" s="1"/>
  <c r="N5905" i="1" s="1"/>
  <c r="L5906" i="1"/>
  <c r="M5906" i="1" s="1"/>
  <c r="N5906" i="1" s="1"/>
  <c r="L5907" i="1"/>
  <c r="M5907" i="1" s="1"/>
  <c r="N5907" i="1" s="1"/>
  <c r="L5908" i="1"/>
  <c r="M5908" i="1" s="1"/>
  <c r="N5908" i="1" s="1"/>
  <c r="L5909" i="1"/>
  <c r="M5909" i="1" s="1"/>
  <c r="N5909" i="1" s="1"/>
  <c r="L5910" i="1"/>
  <c r="M5910" i="1" s="1"/>
  <c r="N5910" i="1" s="1"/>
  <c r="L5911" i="1"/>
  <c r="M5911" i="1" s="1"/>
  <c r="N5911" i="1" s="1"/>
  <c r="L5912" i="1"/>
  <c r="M5912" i="1" s="1"/>
  <c r="N5912" i="1" s="1"/>
  <c r="L5913" i="1"/>
  <c r="M5913" i="1" s="1"/>
  <c r="N5913" i="1" s="1"/>
  <c r="L5914" i="1"/>
  <c r="M5914" i="1" s="1"/>
  <c r="N5914" i="1" s="1"/>
  <c r="L5915" i="1"/>
  <c r="M5915" i="1" s="1"/>
  <c r="N5915" i="1" s="1"/>
  <c r="L5916" i="1"/>
  <c r="M5916" i="1" s="1"/>
  <c r="N5916" i="1" s="1"/>
  <c r="L5917" i="1"/>
  <c r="M5917" i="1" s="1"/>
  <c r="N5917" i="1" s="1"/>
  <c r="L5918" i="1"/>
  <c r="M5918" i="1" s="1"/>
  <c r="N5918" i="1" s="1"/>
  <c r="L5919" i="1"/>
  <c r="M5919" i="1" s="1"/>
  <c r="N5919" i="1" s="1"/>
  <c r="L5920" i="1"/>
  <c r="M5920" i="1" s="1"/>
  <c r="N5920" i="1" s="1"/>
  <c r="L5921" i="1"/>
  <c r="M5921" i="1" s="1"/>
  <c r="N5921" i="1" s="1"/>
  <c r="L5922" i="1"/>
  <c r="M5922" i="1" s="1"/>
  <c r="N5922" i="1" s="1"/>
  <c r="L5923" i="1"/>
  <c r="M5923" i="1" s="1"/>
  <c r="N5923" i="1" s="1"/>
  <c r="L5924" i="1"/>
  <c r="M5924" i="1" s="1"/>
  <c r="N5924" i="1" s="1"/>
  <c r="L5925" i="1"/>
  <c r="M5925" i="1" s="1"/>
  <c r="N5925" i="1" s="1"/>
  <c r="L5926" i="1"/>
  <c r="M5926" i="1" s="1"/>
  <c r="N5926" i="1" s="1"/>
  <c r="L5927" i="1"/>
  <c r="M5927" i="1" s="1"/>
  <c r="N5927" i="1" s="1"/>
  <c r="L5928" i="1"/>
  <c r="M5928" i="1" s="1"/>
  <c r="N5928" i="1" s="1"/>
  <c r="L5929" i="1"/>
  <c r="M5929" i="1" s="1"/>
  <c r="N5929" i="1" s="1"/>
  <c r="L5930" i="1"/>
  <c r="M5930" i="1" s="1"/>
  <c r="N5930" i="1" s="1"/>
  <c r="L5931" i="1"/>
  <c r="M5931" i="1" s="1"/>
  <c r="N5931" i="1" s="1"/>
  <c r="L5932" i="1"/>
  <c r="M5932" i="1" s="1"/>
  <c r="N5932" i="1" s="1"/>
  <c r="L5933" i="1"/>
  <c r="M5933" i="1" s="1"/>
  <c r="N5933" i="1" s="1"/>
  <c r="L5934" i="1"/>
  <c r="M5934" i="1" s="1"/>
  <c r="N5934" i="1" s="1"/>
  <c r="L5935" i="1"/>
  <c r="M5935" i="1" s="1"/>
  <c r="N5935" i="1" s="1"/>
  <c r="L5936" i="1"/>
  <c r="M5936" i="1" s="1"/>
  <c r="N5936" i="1" s="1"/>
  <c r="L5937" i="1"/>
  <c r="M5937" i="1" s="1"/>
  <c r="N5937" i="1" s="1"/>
  <c r="L5938" i="1"/>
  <c r="M5938" i="1" s="1"/>
  <c r="N5938" i="1" s="1"/>
  <c r="L5939" i="1"/>
  <c r="M5939" i="1" s="1"/>
  <c r="N5939" i="1" s="1"/>
  <c r="L5940" i="1"/>
  <c r="M5940" i="1" s="1"/>
  <c r="N5940" i="1" s="1"/>
  <c r="L5941" i="1"/>
  <c r="M5941" i="1" s="1"/>
  <c r="N5941" i="1" s="1"/>
  <c r="L5942" i="1"/>
  <c r="M5942" i="1" s="1"/>
  <c r="N5942" i="1" s="1"/>
  <c r="L5943" i="1"/>
  <c r="M5943" i="1" s="1"/>
  <c r="N5943" i="1" s="1"/>
  <c r="L5944" i="1"/>
  <c r="M5944" i="1" s="1"/>
  <c r="N5944" i="1" s="1"/>
  <c r="L5945" i="1"/>
  <c r="M5945" i="1" s="1"/>
  <c r="N5945" i="1" s="1"/>
  <c r="L5946" i="1"/>
  <c r="M5946" i="1" s="1"/>
  <c r="N5946" i="1" s="1"/>
  <c r="L5947" i="1"/>
  <c r="M5947" i="1" s="1"/>
  <c r="N5947" i="1" s="1"/>
  <c r="L5948" i="1"/>
  <c r="M5948" i="1" s="1"/>
  <c r="N5948" i="1" s="1"/>
  <c r="L5949" i="1"/>
  <c r="M5949" i="1" s="1"/>
  <c r="N5949" i="1" s="1"/>
  <c r="L5950" i="1"/>
  <c r="M5950" i="1" s="1"/>
  <c r="N5950" i="1" s="1"/>
  <c r="L5951" i="1"/>
  <c r="M5951" i="1" s="1"/>
  <c r="N5951" i="1" s="1"/>
  <c r="L5952" i="1"/>
  <c r="M5952" i="1" s="1"/>
  <c r="N5952" i="1" s="1"/>
  <c r="L5953" i="1"/>
  <c r="M5953" i="1" s="1"/>
  <c r="N5953" i="1" s="1"/>
  <c r="L5954" i="1"/>
  <c r="M5954" i="1" s="1"/>
  <c r="N5954" i="1" s="1"/>
  <c r="L5955" i="1"/>
  <c r="M5955" i="1" s="1"/>
  <c r="N5955" i="1" s="1"/>
  <c r="L5956" i="1"/>
  <c r="M5956" i="1" s="1"/>
  <c r="N5956" i="1" s="1"/>
  <c r="L5957" i="1"/>
  <c r="M5957" i="1" s="1"/>
  <c r="N5957" i="1" s="1"/>
  <c r="L5958" i="1"/>
  <c r="M5958" i="1" s="1"/>
  <c r="N5958" i="1" s="1"/>
  <c r="L5959" i="1"/>
  <c r="M5959" i="1" s="1"/>
  <c r="N5959" i="1" s="1"/>
  <c r="L5960" i="1"/>
  <c r="M5960" i="1" s="1"/>
  <c r="N5960" i="1" s="1"/>
  <c r="L5961" i="1"/>
  <c r="M5961" i="1" s="1"/>
  <c r="N5961" i="1" s="1"/>
  <c r="L5962" i="1"/>
  <c r="M5962" i="1" s="1"/>
  <c r="N5962" i="1" s="1"/>
  <c r="L5963" i="1"/>
  <c r="M5963" i="1" s="1"/>
  <c r="N5963" i="1" s="1"/>
  <c r="L5964" i="1"/>
  <c r="M5964" i="1" s="1"/>
  <c r="N5964" i="1" s="1"/>
  <c r="L5965" i="1"/>
  <c r="M5965" i="1" s="1"/>
  <c r="N5965" i="1" s="1"/>
  <c r="L5966" i="1"/>
  <c r="M5966" i="1" s="1"/>
  <c r="N5966" i="1" s="1"/>
  <c r="L5967" i="1"/>
  <c r="M5967" i="1" s="1"/>
  <c r="N5967" i="1" s="1"/>
  <c r="L5968" i="1"/>
  <c r="M5968" i="1" s="1"/>
  <c r="N5968" i="1" s="1"/>
  <c r="L5969" i="1"/>
  <c r="M5969" i="1" s="1"/>
  <c r="N5969" i="1" s="1"/>
  <c r="L5970" i="1"/>
  <c r="M5970" i="1" s="1"/>
  <c r="N5970" i="1" s="1"/>
  <c r="L5971" i="1"/>
  <c r="M5971" i="1" s="1"/>
  <c r="N5971" i="1" s="1"/>
  <c r="L5972" i="1"/>
  <c r="M5972" i="1" s="1"/>
  <c r="N5972" i="1" s="1"/>
  <c r="L5973" i="1"/>
  <c r="M5973" i="1" s="1"/>
  <c r="N5973" i="1" s="1"/>
  <c r="L5974" i="1"/>
  <c r="M5974" i="1" s="1"/>
  <c r="N5974" i="1" s="1"/>
  <c r="L5975" i="1"/>
  <c r="M5975" i="1" s="1"/>
  <c r="N5975" i="1" s="1"/>
  <c r="L5976" i="1"/>
  <c r="M5976" i="1" s="1"/>
  <c r="N5976" i="1" s="1"/>
  <c r="L5977" i="1"/>
  <c r="M5977" i="1" s="1"/>
  <c r="N5977" i="1" s="1"/>
  <c r="L5978" i="1"/>
  <c r="M5978" i="1" s="1"/>
  <c r="N5978" i="1" s="1"/>
  <c r="L5979" i="1"/>
  <c r="M5979" i="1" s="1"/>
  <c r="N5979" i="1" s="1"/>
  <c r="L5980" i="1"/>
  <c r="M5980" i="1" s="1"/>
  <c r="N5980" i="1" s="1"/>
  <c r="L5981" i="1"/>
  <c r="M5981" i="1" s="1"/>
  <c r="N5981" i="1" s="1"/>
  <c r="L5982" i="1"/>
  <c r="M5982" i="1" s="1"/>
  <c r="N5982" i="1" s="1"/>
  <c r="L5983" i="1"/>
  <c r="M5983" i="1" s="1"/>
  <c r="N5983" i="1" s="1"/>
  <c r="L5984" i="1"/>
  <c r="M5984" i="1" s="1"/>
  <c r="N5984" i="1" s="1"/>
  <c r="L5985" i="1"/>
  <c r="M5985" i="1" s="1"/>
  <c r="N5985" i="1" s="1"/>
  <c r="L5986" i="1"/>
  <c r="M5986" i="1" s="1"/>
  <c r="N5986" i="1" s="1"/>
  <c r="L5987" i="1"/>
  <c r="M5987" i="1" s="1"/>
  <c r="N5987" i="1" s="1"/>
  <c r="L5988" i="1"/>
  <c r="M5988" i="1" s="1"/>
  <c r="N5988" i="1" s="1"/>
  <c r="L5989" i="1"/>
  <c r="M5989" i="1" s="1"/>
  <c r="N5989" i="1" s="1"/>
  <c r="L5990" i="1"/>
  <c r="M5990" i="1" s="1"/>
  <c r="N5990" i="1" s="1"/>
  <c r="L5991" i="1"/>
  <c r="M5991" i="1" s="1"/>
  <c r="N5991" i="1" s="1"/>
  <c r="L5992" i="1"/>
  <c r="M5992" i="1" s="1"/>
  <c r="N5992" i="1" s="1"/>
  <c r="L5993" i="1"/>
  <c r="M5993" i="1" s="1"/>
  <c r="N5993" i="1" s="1"/>
  <c r="L5994" i="1"/>
  <c r="M5994" i="1" s="1"/>
  <c r="N5994" i="1" s="1"/>
  <c r="L5995" i="1"/>
  <c r="M5995" i="1" s="1"/>
  <c r="N5995" i="1" s="1"/>
  <c r="L5996" i="1"/>
  <c r="M5996" i="1" s="1"/>
  <c r="N5996" i="1" s="1"/>
  <c r="L5997" i="1"/>
  <c r="M5997" i="1" s="1"/>
  <c r="N5997" i="1" s="1"/>
  <c r="L5998" i="1"/>
  <c r="M5998" i="1" s="1"/>
  <c r="N5998" i="1" s="1"/>
  <c r="L5999" i="1"/>
  <c r="M5999" i="1" s="1"/>
  <c r="N5999" i="1" s="1"/>
  <c r="L6000" i="1"/>
  <c r="M6000" i="1" s="1"/>
  <c r="N6000" i="1" s="1"/>
  <c r="L6001" i="1"/>
  <c r="M6001" i="1" s="1"/>
  <c r="N6001" i="1" s="1"/>
  <c r="L6002" i="1"/>
  <c r="M6002" i="1" s="1"/>
  <c r="N6002" i="1" s="1"/>
  <c r="L6003" i="1"/>
  <c r="M6003" i="1" s="1"/>
  <c r="N6003" i="1" s="1"/>
  <c r="L6004" i="1"/>
  <c r="M6004" i="1" s="1"/>
  <c r="N6004" i="1" s="1"/>
  <c r="L6005" i="1"/>
  <c r="M6005" i="1" s="1"/>
  <c r="N6005" i="1" s="1"/>
  <c r="L6006" i="1"/>
  <c r="M6006" i="1" s="1"/>
  <c r="N6006" i="1" s="1"/>
  <c r="L6007" i="1"/>
  <c r="M6007" i="1" s="1"/>
  <c r="N6007" i="1" s="1"/>
  <c r="L6008" i="1"/>
  <c r="M6008" i="1" s="1"/>
  <c r="N6008" i="1" s="1"/>
  <c r="L6009" i="1"/>
  <c r="M6009" i="1" s="1"/>
  <c r="N6009" i="1" s="1"/>
  <c r="L6010" i="1"/>
  <c r="M6010" i="1" s="1"/>
  <c r="N6010" i="1" s="1"/>
  <c r="L6011" i="1"/>
  <c r="M6011" i="1" s="1"/>
  <c r="N6011" i="1" s="1"/>
  <c r="L6012" i="1"/>
  <c r="M6012" i="1" s="1"/>
  <c r="N6012" i="1" s="1"/>
  <c r="L6013" i="1"/>
  <c r="M6013" i="1" s="1"/>
  <c r="N6013" i="1" s="1"/>
  <c r="L6014" i="1"/>
  <c r="M6014" i="1" s="1"/>
  <c r="N6014" i="1" s="1"/>
  <c r="L6015" i="1"/>
  <c r="M6015" i="1" s="1"/>
  <c r="N6015" i="1" s="1"/>
  <c r="L6016" i="1"/>
  <c r="M6016" i="1" s="1"/>
  <c r="N6016" i="1" s="1"/>
  <c r="L6017" i="1"/>
  <c r="M6017" i="1" s="1"/>
  <c r="N6017" i="1" s="1"/>
  <c r="L6018" i="1"/>
  <c r="M6018" i="1" s="1"/>
  <c r="N6018" i="1" s="1"/>
  <c r="L6019" i="1"/>
  <c r="M6019" i="1" s="1"/>
  <c r="N6019" i="1" s="1"/>
  <c r="L6020" i="1"/>
  <c r="M6020" i="1" s="1"/>
  <c r="N6020" i="1" s="1"/>
  <c r="L6021" i="1"/>
  <c r="M6021" i="1" s="1"/>
  <c r="N6021" i="1" s="1"/>
  <c r="L6022" i="1"/>
  <c r="M6022" i="1" s="1"/>
  <c r="N6022" i="1" s="1"/>
  <c r="L6023" i="1"/>
  <c r="M6023" i="1" s="1"/>
  <c r="N6023" i="1" s="1"/>
  <c r="L6024" i="1"/>
  <c r="M6024" i="1" s="1"/>
  <c r="N6024" i="1" s="1"/>
  <c r="L6025" i="1"/>
  <c r="M6025" i="1" s="1"/>
  <c r="N6025" i="1" s="1"/>
  <c r="L6026" i="1"/>
  <c r="M6026" i="1" s="1"/>
  <c r="N6026" i="1" s="1"/>
  <c r="L6027" i="1"/>
  <c r="M6027" i="1" s="1"/>
  <c r="N6027" i="1" s="1"/>
  <c r="L6028" i="1"/>
  <c r="M6028" i="1" s="1"/>
  <c r="N6028" i="1" s="1"/>
  <c r="L6029" i="1"/>
  <c r="M6029" i="1" s="1"/>
  <c r="N6029" i="1" s="1"/>
  <c r="L6030" i="1"/>
  <c r="M6030" i="1" s="1"/>
  <c r="N6030" i="1" s="1"/>
  <c r="L6031" i="1"/>
  <c r="M6031" i="1" s="1"/>
  <c r="N6031" i="1" s="1"/>
  <c r="L6032" i="1"/>
  <c r="M6032" i="1" s="1"/>
  <c r="N6032" i="1" s="1"/>
  <c r="L6033" i="1"/>
  <c r="M6033" i="1" s="1"/>
  <c r="N6033" i="1" s="1"/>
  <c r="L6034" i="1"/>
  <c r="M6034" i="1" s="1"/>
  <c r="N6034" i="1" s="1"/>
  <c r="L6035" i="1"/>
  <c r="M6035" i="1" s="1"/>
  <c r="N6035" i="1" s="1"/>
  <c r="L6036" i="1"/>
  <c r="M6036" i="1" s="1"/>
  <c r="N6036" i="1" s="1"/>
  <c r="L6037" i="1"/>
  <c r="M6037" i="1" s="1"/>
  <c r="N6037" i="1" s="1"/>
  <c r="L6038" i="1"/>
  <c r="M6038" i="1" s="1"/>
  <c r="N6038" i="1" s="1"/>
  <c r="L6039" i="1"/>
  <c r="M6039" i="1" s="1"/>
  <c r="N6039" i="1" s="1"/>
  <c r="L6040" i="1"/>
  <c r="M6040" i="1" s="1"/>
  <c r="N6040" i="1" s="1"/>
  <c r="L6041" i="1"/>
  <c r="M6041" i="1" s="1"/>
  <c r="N6041" i="1" s="1"/>
  <c r="L6042" i="1"/>
  <c r="M6042" i="1" s="1"/>
  <c r="N6042" i="1" s="1"/>
  <c r="L6043" i="1"/>
  <c r="M6043" i="1" s="1"/>
  <c r="N6043" i="1" s="1"/>
  <c r="L6044" i="1"/>
  <c r="M6044" i="1" s="1"/>
  <c r="N6044" i="1" s="1"/>
  <c r="L6045" i="1"/>
  <c r="M6045" i="1" s="1"/>
  <c r="N6045" i="1" s="1"/>
  <c r="L6046" i="1"/>
  <c r="M6046" i="1" s="1"/>
  <c r="N6046" i="1" s="1"/>
  <c r="L6047" i="1"/>
  <c r="M6047" i="1" s="1"/>
  <c r="N6047" i="1" s="1"/>
  <c r="L6048" i="1"/>
  <c r="M6048" i="1" s="1"/>
  <c r="N6048" i="1" s="1"/>
  <c r="L6049" i="1"/>
  <c r="M6049" i="1" s="1"/>
  <c r="N6049" i="1" s="1"/>
  <c r="L6050" i="1"/>
  <c r="M6050" i="1" s="1"/>
  <c r="N6050" i="1" s="1"/>
  <c r="L6051" i="1"/>
  <c r="M6051" i="1" s="1"/>
  <c r="N6051" i="1" s="1"/>
  <c r="L6052" i="1"/>
  <c r="M6052" i="1" s="1"/>
  <c r="N6052" i="1" s="1"/>
  <c r="L6053" i="1"/>
  <c r="M6053" i="1" s="1"/>
  <c r="N6053" i="1" s="1"/>
  <c r="L6054" i="1"/>
  <c r="M6054" i="1" s="1"/>
  <c r="N6054" i="1" s="1"/>
  <c r="L6055" i="1"/>
  <c r="M6055" i="1" s="1"/>
  <c r="N6055" i="1" s="1"/>
  <c r="L6056" i="1"/>
  <c r="M6056" i="1" s="1"/>
  <c r="N6056" i="1" s="1"/>
  <c r="L6057" i="1"/>
  <c r="M6057" i="1" s="1"/>
  <c r="N6057" i="1" s="1"/>
  <c r="L6058" i="1"/>
  <c r="M6058" i="1" s="1"/>
  <c r="N6058" i="1" s="1"/>
  <c r="L6059" i="1"/>
  <c r="M6059" i="1" s="1"/>
  <c r="N6059" i="1" s="1"/>
  <c r="L6060" i="1"/>
  <c r="M6060" i="1" s="1"/>
  <c r="N6060" i="1" s="1"/>
  <c r="L6061" i="1"/>
  <c r="M6061" i="1" s="1"/>
  <c r="N6061" i="1" s="1"/>
  <c r="L6062" i="1"/>
  <c r="M6062" i="1" s="1"/>
  <c r="N6062" i="1" s="1"/>
  <c r="L6063" i="1"/>
  <c r="M6063" i="1" s="1"/>
  <c r="N6063" i="1" s="1"/>
  <c r="L6064" i="1"/>
  <c r="M6064" i="1" s="1"/>
  <c r="N6064" i="1" s="1"/>
  <c r="L6065" i="1"/>
  <c r="M6065" i="1" s="1"/>
  <c r="N6065" i="1" s="1"/>
  <c r="L6066" i="1"/>
  <c r="M6066" i="1" s="1"/>
  <c r="N6066" i="1" s="1"/>
  <c r="L6067" i="1"/>
  <c r="M6067" i="1" s="1"/>
  <c r="N6067" i="1" s="1"/>
  <c r="L6068" i="1"/>
  <c r="M6068" i="1" s="1"/>
  <c r="N6068" i="1" s="1"/>
  <c r="L6069" i="1"/>
  <c r="M6069" i="1" s="1"/>
  <c r="N6069" i="1" s="1"/>
  <c r="L6070" i="1"/>
  <c r="M6070" i="1" s="1"/>
  <c r="N6070" i="1" s="1"/>
  <c r="L6071" i="1"/>
  <c r="M6071" i="1" s="1"/>
  <c r="N6071" i="1" s="1"/>
  <c r="L6072" i="1"/>
  <c r="M6072" i="1" s="1"/>
  <c r="N6072" i="1" s="1"/>
  <c r="L6073" i="1"/>
  <c r="M6073" i="1" s="1"/>
  <c r="N6073" i="1" s="1"/>
  <c r="L6074" i="1"/>
  <c r="M6074" i="1" s="1"/>
  <c r="N6074" i="1" s="1"/>
  <c r="L6075" i="1"/>
  <c r="M6075" i="1" s="1"/>
  <c r="N6075" i="1" s="1"/>
  <c r="L6076" i="1"/>
  <c r="M6076" i="1" s="1"/>
  <c r="N6076" i="1" s="1"/>
  <c r="L6077" i="1"/>
  <c r="M6077" i="1" s="1"/>
  <c r="N6077" i="1" s="1"/>
  <c r="L6078" i="1"/>
  <c r="M6078" i="1" s="1"/>
  <c r="N6078" i="1" s="1"/>
  <c r="L6079" i="1"/>
  <c r="M6079" i="1" s="1"/>
  <c r="N6079" i="1" s="1"/>
  <c r="L6080" i="1"/>
  <c r="M6080" i="1" s="1"/>
  <c r="N6080" i="1" s="1"/>
  <c r="L6081" i="1"/>
  <c r="M6081" i="1" s="1"/>
  <c r="N6081" i="1" s="1"/>
  <c r="L6082" i="1"/>
  <c r="M6082" i="1" s="1"/>
  <c r="N6082" i="1" s="1"/>
  <c r="L6083" i="1"/>
  <c r="M6083" i="1" s="1"/>
  <c r="N6083" i="1" s="1"/>
  <c r="L6084" i="1"/>
  <c r="M6084" i="1" s="1"/>
  <c r="N6084" i="1" s="1"/>
  <c r="L6085" i="1"/>
  <c r="M6085" i="1" s="1"/>
  <c r="N6085" i="1" s="1"/>
  <c r="L6086" i="1"/>
  <c r="M6086" i="1" s="1"/>
  <c r="N6086" i="1" s="1"/>
  <c r="L6087" i="1"/>
  <c r="M6087" i="1" s="1"/>
  <c r="N6087" i="1" s="1"/>
  <c r="L6088" i="1"/>
  <c r="M6088" i="1" s="1"/>
  <c r="N6088" i="1" s="1"/>
  <c r="L6089" i="1"/>
  <c r="M6089" i="1" s="1"/>
  <c r="N6089" i="1" s="1"/>
  <c r="L6090" i="1"/>
  <c r="M6090" i="1" s="1"/>
  <c r="N6090" i="1" s="1"/>
  <c r="L6091" i="1"/>
  <c r="M6091" i="1" s="1"/>
  <c r="N6091" i="1" s="1"/>
  <c r="L6092" i="1"/>
  <c r="M6092" i="1" s="1"/>
  <c r="N6092" i="1" s="1"/>
  <c r="L6093" i="1"/>
  <c r="M6093" i="1" s="1"/>
  <c r="N6093" i="1" s="1"/>
  <c r="L6094" i="1"/>
  <c r="M6094" i="1" s="1"/>
  <c r="N6094" i="1" s="1"/>
  <c r="L6095" i="1"/>
  <c r="M6095" i="1" s="1"/>
  <c r="N6095" i="1" s="1"/>
  <c r="L6096" i="1"/>
  <c r="M6096" i="1" s="1"/>
  <c r="N6096" i="1" s="1"/>
  <c r="L6097" i="1"/>
  <c r="M6097" i="1" s="1"/>
  <c r="N6097" i="1" s="1"/>
  <c r="L6098" i="1"/>
  <c r="M6098" i="1" s="1"/>
  <c r="N6098" i="1" s="1"/>
  <c r="L6099" i="1"/>
  <c r="M6099" i="1" s="1"/>
  <c r="N6099" i="1" s="1"/>
  <c r="L6100" i="1"/>
  <c r="M6100" i="1" s="1"/>
  <c r="N6100" i="1" s="1"/>
  <c r="L6101" i="1"/>
  <c r="M6101" i="1" s="1"/>
  <c r="N6101" i="1" s="1"/>
  <c r="L6102" i="1"/>
  <c r="M6102" i="1" s="1"/>
  <c r="N6102" i="1" s="1"/>
  <c r="L6103" i="1"/>
  <c r="M6103" i="1" s="1"/>
  <c r="N6103" i="1" s="1"/>
  <c r="L6104" i="1"/>
  <c r="M6104" i="1" s="1"/>
  <c r="N6104" i="1" s="1"/>
  <c r="L6105" i="1"/>
  <c r="M6105" i="1" s="1"/>
  <c r="N6105" i="1" s="1"/>
  <c r="L6106" i="1"/>
  <c r="M6106" i="1" s="1"/>
  <c r="N6106" i="1" s="1"/>
  <c r="L6107" i="1"/>
  <c r="M6107" i="1" s="1"/>
  <c r="N6107" i="1" s="1"/>
  <c r="L6108" i="1"/>
  <c r="M6108" i="1" s="1"/>
  <c r="N6108" i="1" s="1"/>
  <c r="L6109" i="1"/>
  <c r="M6109" i="1" s="1"/>
  <c r="N6109" i="1" s="1"/>
  <c r="L6110" i="1"/>
  <c r="M6110" i="1" s="1"/>
  <c r="N6110" i="1" s="1"/>
  <c r="L6111" i="1"/>
  <c r="M6111" i="1" s="1"/>
  <c r="N6111" i="1" s="1"/>
  <c r="L6112" i="1"/>
  <c r="M6112" i="1" s="1"/>
  <c r="N6112" i="1" s="1"/>
  <c r="L6113" i="1"/>
  <c r="M6113" i="1" s="1"/>
  <c r="N6113" i="1" s="1"/>
  <c r="L6114" i="1"/>
  <c r="M6114" i="1" s="1"/>
  <c r="N6114" i="1" s="1"/>
  <c r="L6115" i="1"/>
  <c r="M6115" i="1" s="1"/>
  <c r="N6115" i="1" s="1"/>
  <c r="L6116" i="1"/>
  <c r="M6116" i="1" s="1"/>
  <c r="N6116" i="1" s="1"/>
  <c r="L6117" i="1"/>
  <c r="M6117" i="1" s="1"/>
  <c r="N6117" i="1" s="1"/>
  <c r="L6118" i="1"/>
  <c r="M6118" i="1" s="1"/>
  <c r="N6118" i="1" s="1"/>
  <c r="L6119" i="1"/>
  <c r="M6119" i="1" s="1"/>
  <c r="N6119" i="1" s="1"/>
  <c r="L6120" i="1"/>
  <c r="M6120" i="1" s="1"/>
  <c r="N6120" i="1" s="1"/>
  <c r="L6121" i="1"/>
  <c r="M6121" i="1" s="1"/>
  <c r="N6121" i="1" s="1"/>
  <c r="L6122" i="1"/>
  <c r="M6122" i="1" s="1"/>
  <c r="N6122" i="1" s="1"/>
  <c r="L6123" i="1"/>
  <c r="M6123" i="1" s="1"/>
  <c r="N6123" i="1" s="1"/>
  <c r="L6124" i="1"/>
  <c r="M6124" i="1" s="1"/>
  <c r="N6124" i="1" s="1"/>
  <c r="L6125" i="1"/>
  <c r="M6125" i="1" s="1"/>
  <c r="N6125" i="1" s="1"/>
  <c r="L6126" i="1"/>
  <c r="M6126" i="1" s="1"/>
  <c r="N6126" i="1" s="1"/>
  <c r="L6127" i="1"/>
  <c r="M6127" i="1" s="1"/>
  <c r="N6127" i="1" s="1"/>
  <c r="L6128" i="1"/>
  <c r="M6128" i="1" s="1"/>
  <c r="N6128" i="1" s="1"/>
  <c r="L6129" i="1"/>
  <c r="M6129" i="1" s="1"/>
  <c r="N6129" i="1" s="1"/>
  <c r="L6130" i="1"/>
  <c r="M6130" i="1" s="1"/>
  <c r="N6130" i="1" s="1"/>
  <c r="L6131" i="1"/>
  <c r="M6131" i="1" s="1"/>
  <c r="N6131" i="1" s="1"/>
  <c r="L6132" i="1"/>
  <c r="M6132" i="1" s="1"/>
  <c r="N6132" i="1" s="1"/>
  <c r="L6133" i="1"/>
  <c r="M6133" i="1" s="1"/>
  <c r="N6133" i="1" s="1"/>
  <c r="L6134" i="1"/>
  <c r="M6134" i="1" s="1"/>
  <c r="N6134" i="1" s="1"/>
  <c r="L6135" i="1"/>
  <c r="M6135" i="1" s="1"/>
  <c r="N6135" i="1" s="1"/>
  <c r="L6136" i="1"/>
  <c r="M6136" i="1" s="1"/>
  <c r="N6136" i="1" s="1"/>
  <c r="L6137" i="1"/>
  <c r="M6137" i="1" s="1"/>
  <c r="N6137" i="1" s="1"/>
  <c r="L6138" i="1"/>
  <c r="M6138" i="1" s="1"/>
  <c r="N6138" i="1" s="1"/>
  <c r="L6139" i="1"/>
  <c r="M6139" i="1" s="1"/>
  <c r="N6139" i="1" s="1"/>
  <c r="L6140" i="1"/>
  <c r="M6140" i="1" s="1"/>
  <c r="N6140" i="1" s="1"/>
  <c r="L6141" i="1"/>
  <c r="M6141" i="1" s="1"/>
  <c r="N6141" i="1" s="1"/>
  <c r="L6142" i="1"/>
  <c r="M6142" i="1" s="1"/>
  <c r="N6142" i="1" s="1"/>
  <c r="L6143" i="1"/>
  <c r="M6143" i="1" s="1"/>
  <c r="N6143" i="1" s="1"/>
  <c r="L6144" i="1"/>
  <c r="M6144" i="1" s="1"/>
  <c r="N6144" i="1" s="1"/>
  <c r="L6145" i="1"/>
  <c r="M6145" i="1" s="1"/>
  <c r="N6145" i="1" s="1"/>
  <c r="L6146" i="1"/>
  <c r="M6146" i="1" s="1"/>
  <c r="N6146" i="1" s="1"/>
  <c r="L6147" i="1"/>
  <c r="M6147" i="1" s="1"/>
  <c r="N6147" i="1" s="1"/>
  <c r="L6148" i="1"/>
  <c r="M6148" i="1" s="1"/>
  <c r="N6148" i="1" s="1"/>
  <c r="L6149" i="1"/>
  <c r="M6149" i="1" s="1"/>
  <c r="N6149" i="1" s="1"/>
  <c r="L6150" i="1"/>
  <c r="M6150" i="1" s="1"/>
  <c r="N6150" i="1" s="1"/>
  <c r="L6151" i="1"/>
  <c r="M6151" i="1" s="1"/>
  <c r="N6151" i="1" s="1"/>
  <c r="L6152" i="1"/>
  <c r="M6152" i="1" s="1"/>
  <c r="N6152" i="1" s="1"/>
  <c r="L6153" i="1"/>
  <c r="M6153" i="1" s="1"/>
  <c r="N6153" i="1" s="1"/>
  <c r="L6154" i="1"/>
  <c r="M6154" i="1" s="1"/>
  <c r="N6154" i="1" s="1"/>
  <c r="L6155" i="1"/>
  <c r="M6155" i="1" s="1"/>
  <c r="N6155" i="1" s="1"/>
  <c r="L6156" i="1"/>
  <c r="M6156" i="1" s="1"/>
  <c r="N6156" i="1" s="1"/>
  <c r="L6157" i="1"/>
  <c r="M6157" i="1" s="1"/>
  <c r="N6157" i="1" s="1"/>
  <c r="L6158" i="1"/>
  <c r="M6158" i="1" s="1"/>
  <c r="N6158" i="1" s="1"/>
  <c r="L6159" i="1"/>
  <c r="M6159" i="1" s="1"/>
  <c r="N6159" i="1" s="1"/>
  <c r="L6160" i="1"/>
  <c r="M6160" i="1" s="1"/>
  <c r="N6160" i="1" s="1"/>
  <c r="L6161" i="1"/>
  <c r="M6161" i="1" s="1"/>
  <c r="N6161" i="1" s="1"/>
  <c r="L6162" i="1"/>
  <c r="M6162" i="1" s="1"/>
  <c r="N6162" i="1" s="1"/>
  <c r="L6163" i="1"/>
  <c r="M6163" i="1" s="1"/>
  <c r="N6163" i="1" s="1"/>
  <c r="L6164" i="1"/>
  <c r="M6164" i="1" s="1"/>
  <c r="N6164" i="1" s="1"/>
  <c r="L6165" i="1"/>
  <c r="M6165" i="1" s="1"/>
  <c r="N6165" i="1" s="1"/>
  <c r="L6166" i="1"/>
  <c r="M6166" i="1" s="1"/>
  <c r="N6166" i="1" s="1"/>
  <c r="L6167" i="1"/>
  <c r="M6167" i="1" s="1"/>
  <c r="N6167" i="1" s="1"/>
  <c r="L6168" i="1"/>
  <c r="M6168" i="1" s="1"/>
  <c r="N6168" i="1" s="1"/>
  <c r="L6169" i="1"/>
  <c r="M6169" i="1" s="1"/>
  <c r="N6169" i="1" s="1"/>
  <c r="L6170" i="1"/>
  <c r="M6170" i="1" s="1"/>
  <c r="N6170" i="1" s="1"/>
  <c r="L6171" i="1"/>
  <c r="M6171" i="1" s="1"/>
  <c r="N6171" i="1" s="1"/>
  <c r="L6172" i="1"/>
  <c r="M6172" i="1" s="1"/>
  <c r="N6172" i="1" s="1"/>
  <c r="L6173" i="1"/>
  <c r="M6173" i="1" s="1"/>
  <c r="N6173" i="1" s="1"/>
  <c r="L6174" i="1"/>
  <c r="M6174" i="1" s="1"/>
  <c r="N6174" i="1" s="1"/>
  <c r="L6175" i="1"/>
  <c r="M6175" i="1" s="1"/>
  <c r="N6175" i="1" s="1"/>
  <c r="L6176" i="1"/>
  <c r="M6176" i="1" s="1"/>
  <c r="N6176" i="1" s="1"/>
  <c r="L6177" i="1"/>
  <c r="M6177" i="1" s="1"/>
  <c r="N6177" i="1" s="1"/>
  <c r="L6178" i="1"/>
  <c r="M6178" i="1" s="1"/>
  <c r="N6178" i="1" s="1"/>
  <c r="L6179" i="1"/>
  <c r="M6179" i="1" s="1"/>
  <c r="N6179" i="1" s="1"/>
  <c r="L6180" i="1"/>
  <c r="M6180" i="1" s="1"/>
  <c r="N6180" i="1" s="1"/>
  <c r="L6181" i="1"/>
  <c r="M6181" i="1" s="1"/>
  <c r="N6181" i="1" s="1"/>
  <c r="L6182" i="1"/>
  <c r="M6182" i="1" s="1"/>
  <c r="N6182" i="1" s="1"/>
  <c r="L6183" i="1"/>
  <c r="M6183" i="1" s="1"/>
  <c r="N6183" i="1" s="1"/>
  <c r="L6184" i="1"/>
  <c r="M6184" i="1" s="1"/>
  <c r="N6184" i="1" s="1"/>
  <c r="L6185" i="1"/>
  <c r="M6185" i="1" s="1"/>
  <c r="N6185" i="1" s="1"/>
  <c r="L6186" i="1"/>
  <c r="M6186" i="1" s="1"/>
  <c r="N6186" i="1" s="1"/>
  <c r="L6187" i="1"/>
  <c r="M6187" i="1" s="1"/>
  <c r="N6187" i="1" s="1"/>
  <c r="L6188" i="1"/>
  <c r="M6188" i="1" s="1"/>
  <c r="N6188" i="1" s="1"/>
  <c r="L6189" i="1"/>
  <c r="M6189" i="1" s="1"/>
  <c r="N6189" i="1" s="1"/>
  <c r="L6190" i="1"/>
  <c r="M6190" i="1" s="1"/>
  <c r="N6190" i="1" s="1"/>
  <c r="L6191" i="1"/>
  <c r="M6191" i="1" s="1"/>
  <c r="N6191" i="1" s="1"/>
  <c r="L6192" i="1"/>
  <c r="M6192" i="1" s="1"/>
  <c r="N6192" i="1" s="1"/>
  <c r="L6193" i="1"/>
  <c r="M6193" i="1" s="1"/>
  <c r="N6193" i="1" s="1"/>
  <c r="L6194" i="1"/>
  <c r="M6194" i="1" s="1"/>
  <c r="N6194" i="1" s="1"/>
  <c r="L6195" i="1"/>
  <c r="M6195" i="1" s="1"/>
  <c r="N6195" i="1" s="1"/>
  <c r="L6196" i="1"/>
  <c r="M6196" i="1" s="1"/>
  <c r="N6196" i="1" s="1"/>
  <c r="L6197" i="1"/>
  <c r="M6197" i="1" s="1"/>
  <c r="N6197" i="1" s="1"/>
  <c r="L6198" i="1"/>
  <c r="M6198" i="1" s="1"/>
  <c r="N6198" i="1" s="1"/>
  <c r="L6199" i="1"/>
  <c r="M6199" i="1" s="1"/>
  <c r="N6199" i="1" s="1"/>
  <c r="L6200" i="1"/>
  <c r="M6200" i="1" s="1"/>
  <c r="N6200" i="1" s="1"/>
  <c r="L6201" i="1"/>
  <c r="M6201" i="1" s="1"/>
  <c r="N6201" i="1" s="1"/>
  <c r="L6202" i="1"/>
  <c r="M6202" i="1" s="1"/>
  <c r="N6202" i="1" s="1"/>
  <c r="L6203" i="1"/>
  <c r="M6203" i="1" s="1"/>
  <c r="N6203" i="1" s="1"/>
  <c r="L6204" i="1"/>
  <c r="M6204" i="1" s="1"/>
  <c r="N6204" i="1" s="1"/>
  <c r="L6205" i="1"/>
  <c r="M6205" i="1" s="1"/>
  <c r="N6205" i="1" s="1"/>
  <c r="L6206" i="1"/>
  <c r="M6206" i="1" s="1"/>
  <c r="N6206" i="1" s="1"/>
  <c r="L6207" i="1"/>
  <c r="M6207" i="1" s="1"/>
  <c r="N6207" i="1" s="1"/>
  <c r="L6208" i="1"/>
  <c r="M6208" i="1" s="1"/>
  <c r="N6208" i="1" s="1"/>
  <c r="L6209" i="1"/>
  <c r="M6209" i="1" s="1"/>
  <c r="N6209" i="1" s="1"/>
  <c r="L6210" i="1"/>
  <c r="M6210" i="1" s="1"/>
  <c r="N6210" i="1" s="1"/>
  <c r="L6211" i="1"/>
  <c r="M6211" i="1" s="1"/>
  <c r="N6211" i="1" s="1"/>
  <c r="L6212" i="1"/>
  <c r="M6212" i="1" s="1"/>
  <c r="N6212" i="1" s="1"/>
  <c r="L6213" i="1"/>
  <c r="M6213" i="1" s="1"/>
  <c r="N6213" i="1" s="1"/>
  <c r="L6214" i="1"/>
  <c r="M6214" i="1" s="1"/>
  <c r="N6214" i="1" s="1"/>
  <c r="L6215" i="1"/>
  <c r="M6215" i="1" s="1"/>
  <c r="N6215" i="1" s="1"/>
  <c r="L6216" i="1"/>
  <c r="M6216" i="1" s="1"/>
  <c r="N6216" i="1" s="1"/>
  <c r="L6217" i="1"/>
  <c r="M6217" i="1" s="1"/>
  <c r="N6217" i="1" s="1"/>
  <c r="L6218" i="1"/>
  <c r="M6218" i="1" s="1"/>
  <c r="N6218" i="1" s="1"/>
  <c r="L6219" i="1"/>
  <c r="M6219" i="1" s="1"/>
  <c r="N6219" i="1" s="1"/>
  <c r="L6220" i="1"/>
  <c r="M6220" i="1" s="1"/>
  <c r="N6220" i="1" s="1"/>
  <c r="L6221" i="1"/>
  <c r="M6221" i="1" s="1"/>
  <c r="N6221" i="1" s="1"/>
  <c r="L6222" i="1"/>
  <c r="M6222" i="1" s="1"/>
  <c r="N6222" i="1" s="1"/>
  <c r="L6223" i="1"/>
  <c r="M6223" i="1" s="1"/>
  <c r="N6223" i="1" s="1"/>
  <c r="L6224" i="1"/>
  <c r="M6224" i="1" s="1"/>
  <c r="N6224" i="1" s="1"/>
  <c r="L6225" i="1"/>
  <c r="M6225" i="1" s="1"/>
  <c r="N6225" i="1" s="1"/>
  <c r="L6226" i="1"/>
  <c r="M6226" i="1" s="1"/>
  <c r="N6226" i="1" s="1"/>
  <c r="L6227" i="1"/>
  <c r="M6227" i="1" s="1"/>
  <c r="N6227" i="1" s="1"/>
  <c r="L6228" i="1"/>
  <c r="M6228" i="1" s="1"/>
  <c r="N6228" i="1" s="1"/>
  <c r="L6229" i="1"/>
  <c r="M6229" i="1" s="1"/>
  <c r="N6229" i="1" s="1"/>
  <c r="L6230" i="1"/>
  <c r="M6230" i="1" s="1"/>
  <c r="N6230" i="1" s="1"/>
  <c r="L6231" i="1"/>
  <c r="M6231" i="1" s="1"/>
  <c r="N6231" i="1" s="1"/>
  <c r="L6232" i="1"/>
  <c r="M6232" i="1" s="1"/>
  <c r="N6232" i="1" s="1"/>
  <c r="L6233" i="1"/>
  <c r="M6233" i="1" s="1"/>
  <c r="N6233" i="1" s="1"/>
  <c r="L6234" i="1"/>
  <c r="M6234" i="1" s="1"/>
  <c r="N6234" i="1" s="1"/>
  <c r="L6235" i="1"/>
  <c r="M6235" i="1" s="1"/>
  <c r="N6235" i="1" s="1"/>
  <c r="L6236" i="1"/>
  <c r="M6236" i="1" s="1"/>
  <c r="N6236" i="1" s="1"/>
  <c r="L6237" i="1"/>
  <c r="M6237" i="1" s="1"/>
  <c r="N6237" i="1" s="1"/>
  <c r="L6238" i="1"/>
  <c r="M6238" i="1" s="1"/>
  <c r="N6238" i="1" s="1"/>
  <c r="L6239" i="1"/>
  <c r="M6239" i="1" s="1"/>
  <c r="N6239" i="1" s="1"/>
  <c r="L6240" i="1"/>
  <c r="M6240" i="1" s="1"/>
  <c r="N6240" i="1" s="1"/>
  <c r="L6241" i="1"/>
  <c r="M6241" i="1" s="1"/>
  <c r="N6241" i="1" s="1"/>
  <c r="L6242" i="1"/>
  <c r="M6242" i="1" s="1"/>
  <c r="N6242" i="1" s="1"/>
  <c r="L6243" i="1"/>
  <c r="M6243" i="1" s="1"/>
  <c r="N6243" i="1" s="1"/>
  <c r="L6244" i="1"/>
  <c r="M6244" i="1" s="1"/>
  <c r="N6244" i="1" s="1"/>
  <c r="L6245" i="1"/>
  <c r="M6245" i="1" s="1"/>
  <c r="N6245" i="1" s="1"/>
  <c r="L6246" i="1"/>
  <c r="M6246" i="1" s="1"/>
  <c r="N6246" i="1" s="1"/>
  <c r="L6247" i="1"/>
  <c r="M6247" i="1" s="1"/>
  <c r="N6247" i="1" s="1"/>
  <c r="L6248" i="1"/>
  <c r="M6248" i="1" s="1"/>
  <c r="N6248" i="1" s="1"/>
  <c r="L6249" i="1"/>
  <c r="M6249" i="1" s="1"/>
  <c r="N6249" i="1" s="1"/>
  <c r="L6250" i="1"/>
  <c r="M6250" i="1" s="1"/>
  <c r="N6250" i="1" s="1"/>
  <c r="L6251" i="1"/>
  <c r="M6251" i="1" s="1"/>
  <c r="N6251" i="1" s="1"/>
  <c r="L6252" i="1"/>
  <c r="M6252" i="1" s="1"/>
  <c r="N6252" i="1" s="1"/>
  <c r="L6253" i="1"/>
  <c r="M6253" i="1" s="1"/>
  <c r="N6253" i="1" s="1"/>
  <c r="L6254" i="1"/>
  <c r="M6254" i="1" s="1"/>
  <c r="N6254" i="1" s="1"/>
  <c r="L6255" i="1"/>
  <c r="M6255" i="1" s="1"/>
  <c r="N6255" i="1" s="1"/>
  <c r="L6256" i="1"/>
  <c r="M6256" i="1" s="1"/>
  <c r="N6256" i="1" s="1"/>
  <c r="L6257" i="1"/>
  <c r="M6257" i="1" s="1"/>
  <c r="N6257" i="1" s="1"/>
  <c r="L6258" i="1"/>
  <c r="M6258" i="1" s="1"/>
  <c r="N6258" i="1" s="1"/>
  <c r="L6259" i="1"/>
  <c r="M6259" i="1" s="1"/>
  <c r="N6259" i="1" s="1"/>
  <c r="L6260" i="1"/>
  <c r="M6260" i="1" s="1"/>
  <c r="N6260" i="1" s="1"/>
  <c r="L6261" i="1"/>
  <c r="M6261" i="1" s="1"/>
  <c r="N6261" i="1" s="1"/>
  <c r="L6262" i="1"/>
  <c r="M6262" i="1" s="1"/>
  <c r="N6262" i="1" s="1"/>
  <c r="L6263" i="1"/>
  <c r="M6263" i="1" s="1"/>
  <c r="N6263" i="1" s="1"/>
  <c r="L6264" i="1"/>
  <c r="M6264" i="1" s="1"/>
  <c r="N6264" i="1" s="1"/>
  <c r="L6265" i="1"/>
  <c r="M6265" i="1" s="1"/>
  <c r="N6265" i="1" s="1"/>
  <c r="L6266" i="1"/>
  <c r="M6266" i="1" s="1"/>
  <c r="N6266" i="1" s="1"/>
  <c r="L6267" i="1"/>
  <c r="M6267" i="1" s="1"/>
  <c r="N6267" i="1" s="1"/>
  <c r="L6268" i="1"/>
  <c r="M6268" i="1" s="1"/>
  <c r="N6268" i="1" s="1"/>
  <c r="L6269" i="1"/>
  <c r="M6269" i="1" s="1"/>
  <c r="N6269" i="1" s="1"/>
  <c r="L6270" i="1"/>
  <c r="M6270" i="1" s="1"/>
  <c r="N6270" i="1" s="1"/>
  <c r="L6271" i="1"/>
  <c r="M6271" i="1" s="1"/>
  <c r="N6271" i="1" s="1"/>
  <c r="L6272" i="1"/>
  <c r="M6272" i="1" s="1"/>
  <c r="N6272" i="1" s="1"/>
  <c r="L6273" i="1"/>
  <c r="M6273" i="1" s="1"/>
  <c r="N6273" i="1" s="1"/>
  <c r="L6274" i="1"/>
  <c r="M6274" i="1" s="1"/>
  <c r="N6274" i="1" s="1"/>
  <c r="L6275" i="1"/>
  <c r="M6275" i="1" s="1"/>
  <c r="N6275" i="1" s="1"/>
  <c r="L6276" i="1"/>
  <c r="M6276" i="1" s="1"/>
  <c r="N6276" i="1" s="1"/>
  <c r="L6277" i="1"/>
  <c r="M6277" i="1" s="1"/>
  <c r="N6277" i="1" s="1"/>
  <c r="L6278" i="1"/>
  <c r="M6278" i="1" s="1"/>
  <c r="N6278" i="1" s="1"/>
  <c r="L6279" i="1"/>
  <c r="M6279" i="1" s="1"/>
  <c r="N6279" i="1" s="1"/>
  <c r="L6280" i="1"/>
  <c r="M6280" i="1" s="1"/>
  <c r="N6280" i="1" s="1"/>
  <c r="L6281" i="1"/>
  <c r="M6281" i="1" s="1"/>
  <c r="N6281" i="1" s="1"/>
  <c r="L6282" i="1"/>
  <c r="M6282" i="1" s="1"/>
  <c r="N6282" i="1" s="1"/>
  <c r="L6283" i="1"/>
  <c r="M6283" i="1" s="1"/>
  <c r="N6283" i="1" s="1"/>
  <c r="L6284" i="1"/>
  <c r="M6284" i="1" s="1"/>
  <c r="N6284" i="1" s="1"/>
  <c r="L6285" i="1"/>
  <c r="M6285" i="1" s="1"/>
  <c r="N6285" i="1" s="1"/>
  <c r="L6286" i="1"/>
  <c r="M6286" i="1" s="1"/>
  <c r="N6286" i="1" s="1"/>
  <c r="L6287" i="1"/>
  <c r="M6287" i="1" s="1"/>
  <c r="N6287" i="1" s="1"/>
  <c r="L6288" i="1"/>
  <c r="M6288" i="1" s="1"/>
  <c r="N6288" i="1" s="1"/>
  <c r="L6289" i="1"/>
  <c r="M6289" i="1" s="1"/>
  <c r="N6289" i="1" s="1"/>
  <c r="L6290" i="1"/>
  <c r="M6290" i="1" s="1"/>
  <c r="N6290" i="1" s="1"/>
  <c r="L6291" i="1"/>
  <c r="M6291" i="1" s="1"/>
  <c r="N6291" i="1" s="1"/>
  <c r="L6292" i="1"/>
  <c r="M6292" i="1" s="1"/>
  <c r="N6292" i="1" s="1"/>
  <c r="L6293" i="1"/>
  <c r="M6293" i="1" s="1"/>
  <c r="N6293" i="1" s="1"/>
  <c r="L6294" i="1"/>
  <c r="M6294" i="1" s="1"/>
  <c r="N6294" i="1" s="1"/>
  <c r="L6295" i="1"/>
  <c r="M6295" i="1" s="1"/>
  <c r="N6295" i="1" s="1"/>
  <c r="L6296" i="1"/>
  <c r="M6296" i="1" s="1"/>
  <c r="N6296" i="1" s="1"/>
  <c r="L6297" i="1"/>
  <c r="M6297" i="1" s="1"/>
  <c r="N6297" i="1" s="1"/>
  <c r="L6298" i="1"/>
  <c r="M6298" i="1" s="1"/>
  <c r="N6298" i="1" s="1"/>
  <c r="L6299" i="1"/>
  <c r="M6299" i="1" s="1"/>
  <c r="N6299" i="1" s="1"/>
  <c r="L6300" i="1"/>
  <c r="M6300" i="1" s="1"/>
  <c r="N6300" i="1" s="1"/>
  <c r="L6301" i="1"/>
  <c r="M6301" i="1" s="1"/>
  <c r="N6301" i="1" s="1"/>
  <c r="L6302" i="1"/>
  <c r="M6302" i="1" s="1"/>
  <c r="N6302" i="1" s="1"/>
  <c r="L6303" i="1"/>
  <c r="M6303" i="1" s="1"/>
  <c r="N6303" i="1" s="1"/>
  <c r="L6304" i="1"/>
  <c r="M6304" i="1" s="1"/>
  <c r="N6304" i="1" s="1"/>
  <c r="L6305" i="1"/>
  <c r="M6305" i="1" s="1"/>
  <c r="N6305" i="1" s="1"/>
  <c r="L6306" i="1"/>
  <c r="M6306" i="1" s="1"/>
  <c r="N6306" i="1" s="1"/>
  <c r="L6307" i="1"/>
  <c r="M6307" i="1" s="1"/>
  <c r="N6307" i="1" s="1"/>
  <c r="L6308" i="1"/>
  <c r="M6308" i="1" s="1"/>
  <c r="N6308" i="1" s="1"/>
  <c r="L6309" i="1"/>
  <c r="M6309" i="1" s="1"/>
  <c r="N6309" i="1" s="1"/>
  <c r="L6310" i="1"/>
  <c r="M6310" i="1" s="1"/>
  <c r="N6310" i="1" s="1"/>
  <c r="L6311" i="1"/>
  <c r="M6311" i="1" s="1"/>
  <c r="N6311" i="1" s="1"/>
  <c r="L6312" i="1"/>
  <c r="M6312" i="1" s="1"/>
  <c r="N6312" i="1" s="1"/>
  <c r="L6313" i="1"/>
  <c r="M6313" i="1" s="1"/>
  <c r="N6313" i="1" s="1"/>
  <c r="L6314" i="1"/>
  <c r="M6314" i="1" s="1"/>
  <c r="N6314" i="1" s="1"/>
  <c r="L6315" i="1"/>
  <c r="M6315" i="1" s="1"/>
  <c r="N6315" i="1" s="1"/>
  <c r="L6316" i="1"/>
  <c r="M6316" i="1" s="1"/>
  <c r="N6316" i="1" s="1"/>
  <c r="L6317" i="1"/>
  <c r="M6317" i="1" s="1"/>
  <c r="N6317" i="1" s="1"/>
  <c r="L6318" i="1"/>
  <c r="M6318" i="1" s="1"/>
  <c r="N6318" i="1" s="1"/>
  <c r="L6319" i="1"/>
  <c r="M6319" i="1" s="1"/>
  <c r="N6319" i="1" s="1"/>
  <c r="L6320" i="1"/>
  <c r="M6320" i="1" s="1"/>
  <c r="N6320" i="1" s="1"/>
  <c r="L6321" i="1"/>
  <c r="M6321" i="1" s="1"/>
  <c r="N6321" i="1" s="1"/>
  <c r="L6322" i="1"/>
  <c r="M6322" i="1" s="1"/>
  <c r="N6322" i="1" s="1"/>
  <c r="L6323" i="1"/>
  <c r="M6323" i="1" s="1"/>
  <c r="N6323" i="1" s="1"/>
  <c r="L6324" i="1"/>
  <c r="M6324" i="1" s="1"/>
  <c r="N6324" i="1" s="1"/>
  <c r="L6325" i="1"/>
  <c r="M6325" i="1" s="1"/>
  <c r="N6325" i="1" s="1"/>
  <c r="L6326" i="1"/>
  <c r="M6326" i="1" s="1"/>
  <c r="N6326" i="1" s="1"/>
  <c r="L6327" i="1"/>
  <c r="M6327" i="1" s="1"/>
  <c r="N6327" i="1" s="1"/>
  <c r="L6328" i="1"/>
  <c r="M6328" i="1" s="1"/>
  <c r="N6328" i="1" s="1"/>
  <c r="L6329" i="1"/>
  <c r="M6329" i="1" s="1"/>
  <c r="N6329" i="1" s="1"/>
  <c r="L6330" i="1"/>
  <c r="M6330" i="1" s="1"/>
  <c r="N6330" i="1" s="1"/>
  <c r="L6331" i="1"/>
  <c r="M6331" i="1" s="1"/>
  <c r="N6331" i="1" s="1"/>
  <c r="L6332" i="1"/>
  <c r="M6332" i="1" s="1"/>
  <c r="N6332" i="1" s="1"/>
  <c r="L6333" i="1"/>
  <c r="M6333" i="1" s="1"/>
  <c r="N6333" i="1" s="1"/>
  <c r="L6334" i="1"/>
  <c r="M6334" i="1" s="1"/>
  <c r="N6334" i="1" s="1"/>
  <c r="L6335" i="1"/>
  <c r="M6335" i="1" s="1"/>
  <c r="N6335" i="1" s="1"/>
  <c r="L6336" i="1"/>
  <c r="M6336" i="1" s="1"/>
  <c r="N6336" i="1" s="1"/>
  <c r="L6337" i="1"/>
  <c r="M6337" i="1" s="1"/>
  <c r="N6337" i="1" s="1"/>
  <c r="L6338" i="1"/>
  <c r="M6338" i="1" s="1"/>
  <c r="N6338" i="1" s="1"/>
  <c r="L6339" i="1"/>
  <c r="M6339" i="1" s="1"/>
  <c r="N6339" i="1" s="1"/>
  <c r="L6340" i="1"/>
  <c r="M6340" i="1" s="1"/>
  <c r="N6340" i="1" s="1"/>
  <c r="L6341" i="1"/>
  <c r="M6341" i="1" s="1"/>
  <c r="N6341" i="1" s="1"/>
  <c r="L6342" i="1"/>
  <c r="M6342" i="1" s="1"/>
  <c r="N6342" i="1" s="1"/>
  <c r="L6343" i="1"/>
  <c r="M6343" i="1" s="1"/>
  <c r="N6343" i="1" s="1"/>
  <c r="L6344" i="1"/>
  <c r="M6344" i="1" s="1"/>
  <c r="N6344" i="1" s="1"/>
  <c r="L6345" i="1"/>
  <c r="M6345" i="1" s="1"/>
  <c r="N6345" i="1" s="1"/>
  <c r="L6346" i="1"/>
  <c r="M6346" i="1" s="1"/>
  <c r="N6346" i="1" s="1"/>
  <c r="L6347" i="1"/>
  <c r="M6347" i="1" s="1"/>
  <c r="N6347" i="1" s="1"/>
  <c r="L6348" i="1"/>
  <c r="M6348" i="1" s="1"/>
  <c r="N6348" i="1" s="1"/>
  <c r="L6349" i="1"/>
  <c r="M6349" i="1" s="1"/>
  <c r="N6349" i="1" s="1"/>
  <c r="L6350" i="1"/>
  <c r="M6350" i="1" s="1"/>
  <c r="N6350" i="1" s="1"/>
  <c r="L6351" i="1"/>
  <c r="M6351" i="1" s="1"/>
  <c r="N6351" i="1" s="1"/>
  <c r="L6352" i="1"/>
  <c r="M6352" i="1" s="1"/>
  <c r="N6352" i="1" s="1"/>
  <c r="L6353" i="1"/>
  <c r="M6353" i="1" s="1"/>
  <c r="N6353" i="1" s="1"/>
  <c r="L6354" i="1"/>
  <c r="M6354" i="1" s="1"/>
  <c r="N6354" i="1" s="1"/>
  <c r="L6355" i="1"/>
  <c r="M6355" i="1" s="1"/>
  <c r="N6355" i="1" s="1"/>
  <c r="L6356" i="1"/>
  <c r="M6356" i="1" s="1"/>
  <c r="N6356" i="1" s="1"/>
  <c r="L6357" i="1"/>
  <c r="M6357" i="1" s="1"/>
  <c r="N6357" i="1" s="1"/>
  <c r="L6358" i="1"/>
  <c r="M6358" i="1" s="1"/>
  <c r="N6358" i="1" s="1"/>
  <c r="L6359" i="1"/>
  <c r="M6359" i="1" s="1"/>
  <c r="N6359" i="1" s="1"/>
  <c r="L6360" i="1"/>
  <c r="M6360" i="1" s="1"/>
  <c r="N6360" i="1" s="1"/>
  <c r="L6361" i="1"/>
  <c r="M6361" i="1" s="1"/>
  <c r="N6361" i="1" s="1"/>
  <c r="L6362" i="1"/>
  <c r="M6362" i="1" s="1"/>
  <c r="N6362" i="1" s="1"/>
  <c r="L6363" i="1"/>
  <c r="M6363" i="1" s="1"/>
  <c r="N6363" i="1" s="1"/>
  <c r="L6364" i="1"/>
  <c r="M6364" i="1" s="1"/>
  <c r="N6364" i="1" s="1"/>
  <c r="L6365" i="1"/>
  <c r="M6365" i="1" s="1"/>
  <c r="N6365" i="1" s="1"/>
  <c r="L6366" i="1"/>
  <c r="M6366" i="1" s="1"/>
  <c r="N6366" i="1" s="1"/>
  <c r="L6367" i="1"/>
  <c r="M6367" i="1" s="1"/>
  <c r="N6367" i="1" s="1"/>
  <c r="L6368" i="1"/>
  <c r="M6368" i="1" s="1"/>
  <c r="N6368" i="1" s="1"/>
  <c r="L6369" i="1"/>
  <c r="M6369" i="1" s="1"/>
  <c r="N6369" i="1" s="1"/>
  <c r="L6370" i="1"/>
  <c r="M6370" i="1" s="1"/>
  <c r="N6370" i="1" s="1"/>
  <c r="L6371" i="1"/>
  <c r="M6371" i="1" s="1"/>
  <c r="N6371" i="1" s="1"/>
  <c r="L6372" i="1"/>
  <c r="M6372" i="1" s="1"/>
  <c r="N6372" i="1" s="1"/>
  <c r="L6373" i="1"/>
  <c r="M6373" i="1" s="1"/>
  <c r="N6373" i="1" s="1"/>
  <c r="L6374" i="1"/>
  <c r="M6374" i="1" s="1"/>
  <c r="N6374" i="1" s="1"/>
  <c r="L6375" i="1"/>
  <c r="M6375" i="1" s="1"/>
  <c r="N6375" i="1" s="1"/>
  <c r="L6376" i="1"/>
  <c r="M6376" i="1" s="1"/>
  <c r="N6376" i="1" s="1"/>
  <c r="L6377" i="1"/>
  <c r="M6377" i="1" s="1"/>
  <c r="N6377" i="1" s="1"/>
  <c r="L6378" i="1"/>
  <c r="M6378" i="1" s="1"/>
  <c r="N6378" i="1" s="1"/>
  <c r="L6379" i="1"/>
  <c r="M6379" i="1" s="1"/>
  <c r="N6379" i="1" s="1"/>
  <c r="L6380" i="1"/>
  <c r="M6380" i="1" s="1"/>
  <c r="N6380" i="1" s="1"/>
  <c r="L6381" i="1"/>
  <c r="M6381" i="1" s="1"/>
  <c r="N6381" i="1" s="1"/>
  <c r="L6382" i="1"/>
  <c r="M6382" i="1" s="1"/>
  <c r="N6382" i="1" s="1"/>
  <c r="L6383" i="1"/>
  <c r="M6383" i="1" s="1"/>
  <c r="N6383" i="1" s="1"/>
  <c r="L6384" i="1"/>
  <c r="M6384" i="1" s="1"/>
  <c r="N6384" i="1" s="1"/>
  <c r="L6385" i="1"/>
  <c r="M6385" i="1" s="1"/>
  <c r="N6385" i="1" s="1"/>
  <c r="L6386" i="1"/>
  <c r="M6386" i="1" s="1"/>
  <c r="N6386" i="1" s="1"/>
  <c r="L6387" i="1"/>
  <c r="M6387" i="1" s="1"/>
  <c r="N6387" i="1" s="1"/>
  <c r="L6388" i="1"/>
  <c r="M6388" i="1" s="1"/>
  <c r="N6388" i="1" s="1"/>
  <c r="L6389" i="1"/>
  <c r="M6389" i="1" s="1"/>
  <c r="N6389" i="1" s="1"/>
  <c r="L6390" i="1"/>
  <c r="M6390" i="1" s="1"/>
  <c r="N6390" i="1" s="1"/>
  <c r="L6391" i="1"/>
  <c r="M6391" i="1" s="1"/>
  <c r="N6391" i="1" s="1"/>
  <c r="L6392" i="1"/>
  <c r="M6392" i="1" s="1"/>
  <c r="N6392" i="1" s="1"/>
  <c r="L6393" i="1"/>
  <c r="M6393" i="1" s="1"/>
  <c r="N6393" i="1" s="1"/>
  <c r="L6394" i="1"/>
  <c r="M6394" i="1" s="1"/>
  <c r="N6394" i="1" s="1"/>
  <c r="L6395" i="1"/>
  <c r="M6395" i="1" s="1"/>
  <c r="N6395" i="1" s="1"/>
  <c r="L6396" i="1"/>
  <c r="M6396" i="1" s="1"/>
  <c r="N6396" i="1" s="1"/>
  <c r="L6397" i="1"/>
  <c r="M6397" i="1" s="1"/>
  <c r="N6397" i="1" s="1"/>
  <c r="L6398" i="1"/>
  <c r="M6398" i="1" s="1"/>
  <c r="N6398" i="1" s="1"/>
  <c r="L6399" i="1"/>
  <c r="M6399" i="1" s="1"/>
  <c r="N6399" i="1" s="1"/>
  <c r="L6400" i="1"/>
  <c r="M6400" i="1" s="1"/>
  <c r="N6400" i="1" s="1"/>
  <c r="L6401" i="1"/>
  <c r="M6401" i="1" s="1"/>
  <c r="N6401" i="1" s="1"/>
  <c r="L6402" i="1"/>
  <c r="M6402" i="1" s="1"/>
  <c r="N6402" i="1" s="1"/>
  <c r="L6403" i="1"/>
  <c r="M6403" i="1" s="1"/>
  <c r="N6403" i="1" s="1"/>
  <c r="L6404" i="1"/>
  <c r="M6404" i="1" s="1"/>
  <c r="N6404" i="1" s="1"/>
  <c r="L6405" i="1"/>
  <c r="M6405" i="1" s="1"/>
  <c r="N6405" i="1" s="1"/>
  <c r="L6406" i="1"/>
  <c r="M6406" i="1" s="1"/>
  <c r="N6406" i="1" s="1"/>
  <c r="L6407" i="1"/>
  <c r="M6407" i="1" s="1"/>
  <c r="N6407" i="1" s="1"/>
  <c r="L6408" i="1"/>
  <c r="M6408" i="1" s="1"/>
  <c r="N6408" i="1" s="1"/>
  <c r="L6409" i="1"/>
  <c r="M6409" i="1" s="1"/>
  <c r="N6409" i="1" s="1"/>
  <c r="L6410" i="1"/>
  <c r="M6410" i="1" s="1"/>
  <c r="N6410" i="1" s="1"/>
  <c r="L6411" i="1"/>
  <c r="M6411" i="1" s="1"/>
  <c r="N6411" i="1" s="1"/>
  <c r="L6412" i="1"/>
  <c r="M6412" i="1" s="1"/>
  <c r="N6412" i="1" s="1"/>
  <c r="L6413" i="1"/>
  <c r="M6413" i="1" s="1"/>
  <c r="N6413" i="1" s="1"/>
  <c r="L6414" i="1"/>
  <c r="M6414" i="1" s="1"/>
  <c r="N6414" i="1" s="1"/>
  <c r="L6415" i="1"/>
  <c r="M6415" i="1" s="1"/>
  <c r="N6415" i="1" s="1"/>
  <c r="L6416" i="1"/>
  <c r="M6416" i="1" s="1"/>
  <c r="N6416" i="1" s="1"/>
  <c r="L6417" i="1"/>
  <c r="M6417" i="1" s="1"/>
  <c r="N6417" i="1" s="1"/>
  <c r="L6418" i="1"/>
  <c r="M6418" i="1" s="1"/>
  <c r="N6418" i="1" s="1"/>
  <c r="L6419" i="1"/>
  <c r="M6419" i="1" s="1"/>
  <c r="N6419" i="1" s="1"/>
  <c r="L6420" i="1"/>
  <c r="M6420" i="1" s="1"/>
  <c r="N6420" i="1" s="1"/>
  <c r="L6421" i="1"/>
  <c r="M6421" i="1" s="1"/>
  <c r="N6421" i="1" s="1"/>
  <c r="L6422" i="1"/>
  <c r="M6422" i="1" s="1"/>
  <c r="N6422" i="1" s="1"/>
  <c r="L6423" i="1"/>
  <c r="M6423" i="1" s="1"/>
  <c r="N6423" i="1" s="1"/>
  <c r="L6424" i="1"/>
  <c r="M6424" i="1" s="1"/>
  <c r="N6424" i="1" s="1"/>
  <c r="L6425" i="1"/>
  <c r="M6425" i="1" s="1"/>
  <c r="N6425" i="1" s="1"/>
  <c r="L6426" i="1"/>
  <c r="M6426" i="1" s="1"/>
  <c r="N6426" i="1" s="1"/>
  <c r="L6427" i="1"/>
  <c r="M6427" i="1" s="1"/>
  <c r="N6427" i="1" s="1"/>
  <c r="L6428" i="1"/>
  <c r="M6428" i="1" s="1"/>
  <c r="N6428" i="1" s="1"/>
  <c r="L6429" i="1"/>
  <c r="M6429" i="1" s="1"/>
  <c r="N6429" i="1" s="1"/>
  <c r="L6430" i="1"/>
  <c r="M6430" i="1" s="1"/>
  <c r="N6430" i="1" s="1"/>
  <c r="L6431" i="1"/>
  <c r="M6431" i="1" s="1"/>
  <c r="N6431" i="1" s="1"/>
  <c r="L6432" i="1"/>
  <c r="M6432" i="1" s="1"/>
  <c r="N6432" i="1" s="1"/>
  <c r="L6433" i="1"/>
  <c r="M6433" i="1" s="1"/>
  <c r="N6433" i="1" s="1"/>
  <c r="L6434" i="1"/>
  <c r="M6434" i="1" s="1"/>
  <c r="N6434" i="1" s="1"/>
  <c r="L6435" i="1"/>
  <c r="M6435" i="1" s="1"/>
  <c r="N6435" i="1" s="1"/>
  <c r="L6436" i="1"/>
  <c r="M6436" i="1" s="1"/>
  <c r="N6436" i="1" s="1"/>
  <c r="L6437" i="1"/>
  <c r="M6437" i="1" s="1"/>
  <c r="N6437" i="1" s="1"/>
  <c r="L6438" i="1"/>
  <c r="M6438" i="1" s="1"/>
  <c r="N6438" i="1" s="1"/>
  <c r="L6439" i="1"/>
  <c r="M6439" i="1" s="1"/>
  <c r="N6439" i="1" s="1"/>
  <c r="L6440" i="1"/>
  <c r="M6440" i="1" s="1"/>
  <c r="N6440" i="1" s="1"/>
  <c r="L6441" i="1"/>
  <c r="M6441" i="1" s="1"/>
  <c r="N6441" i="1" s="1"/>
  <c r="L6442" i="1"/>
  <c r="M6442" i="1" s="1"/>
  <c r="N6442" i="1" s="1"/>
  <c r="L6443" i="1"/>
  <c r="M6443" i="1" s="1"/>
  <c r="N6443" i="1" s="1"/>
  <c r="L6444" i="1"/>
  <c r="M6444" i="1" s="1"/>
  <c r="N6444" i="1" s="1"/>
  <c r="L6445" i="1"/>
  <c r="M6445" i="1" s="1"/>
  <c r="N6445" i="1" s="1"/>
  <c r="L6446" i="1"/>
  <c r="M6446" i="1" s="1"/>
  <c r="N6446" i="1" s="1"/>
  <c r="L6447" i="1"/>
  <c r="M6447" i="1" s="1"/>
  <c r="N6447" i="1" s="1"/>
  <c r="L6448" i="1"/>
  <c r="M6448" i="1" s="1"/>
  <c r="N6448" i="1" s="1"/>
  <c r="L6449" i="1"/>
  <c r="M6449" i="1" s="1"/>
  <c r="N6449" i="1" s="1"/>
  <c r="L6450" i="1"/>
  <c r="M6450" i="1" s="1"/>
  <c r="N6450" i="1" s="1"/>
  <c r="L6451" i="1"/>
  <c r="M6451" i="1" s="1"/>
  <c r="N6451" i="1" s="1"/>
  <c r="L6452" i="1"/>
  <c r="M6452" i="1" s="1"/>
  <c r="N6452" i="1" s="1"/>
  <c r="L6453" i="1"/>
  <c r="M6453" i="1" s="1"/>
  <c r="N6453" i="1" s="1"/>
  <c r="L6454" i="1"/>
  <c r="M6454" i="1" s="1"/>
  <c r="N6454" i="1" s="1"/>
  <c r="L6455" i="1"/>
  <c r="M6455" i="1" s="1"/>
  <c r="N6455" i="1" s="1"/>
  <c r="L6456" i="1"/>
  <c r="M6456" i="1" s="1"/>
  <c r="N6456" i="1" s="1"/>
  <c r="L6457" i="1"/>
  <c r="M6457" i="1" s="1"/>
  <c r="N6457" i="1" s="1"/>
  <c r="L6458" i="1"/>
  <c r="M6458" i="1" s="1"/>
  <c r="N6458" i="1" s="1"/>
  <c r="L6459" i="1"/>
  <c r="M6459" i="1" s="1"/>
  <c r="N6459" i="1" s="1"/>
  <c r="L6460" i="1"/>
  <c r="M6460" i="1" s="1"/>
  <c r="N6460" i="1" s="1"/>
  <c r="L6461" i="1"/>
  <c r="M6461" i="1" s="1"/>
  <c r="N6461" i="1" s="1"/>
  <c r="L6462" i="1"/>
  <c r="M6462" i="1" s="1"/>
  <c r="N6462" i="1" s="1"/>
  <c r="L6463" i="1"/>
  <c r="M6463" i="1" s="1"/>
  <c r="N6463" i="1" s="1"/>
  <c r="L6464" i="1"/>
  <c r="M6464" i="1" s="1"/>
  <c r="N6464" i="1" s="1"/>
  <c r="L6465" i="1"/>
  <c r="M6465" i="1" s="1"/>
  <c r="N6465" i="1" s="1"/>
  <c r="L6466" i="1"/>
  <c r="M6466" i="1" s="1"/>
  <c r="N6466" i="1" s="1"/>
  <c r="L6467" i="1"/>
  <c r="M6467" i="1" s="1"/>
  <c r="N6467" i="1" s="1"/>
  <c r="L6468" i="1"/>
  <c r="M6468" i="1" s="1"/>
  <c r="N6468" i="1" s="1"/>
  <c r="L6469" i="1"/>
  <c r="M6469" i="1" s="1"/>
  <c r="N6469" i="1" s="1"/>
  <c r="L6470" i="1"/>
  <c r="M6470" i="1" s="1"/>
  <c r="N6470" i="1" s="1"/>
  <c r="L6471" i="1"/>
  <c r="M6471" i="1" s="1"/>
  <c r="N6471" i="1" s="1"/>
  <c r="L6472" i="1"/>
  <c r="M6472" i="1" s="1"/>
  <c r="N6472" i="1" s="1"/>
  <c r="L6473" i="1"/>
  <c r="M6473" i="1" s="1"/>
  <c r="N6473" i="1" s="1"/>
  <c r="L6474" i="1"/>
  <c r="M6474" i="1" s="1"/>
  <c r="N6474" i="1" s="1"/>
  <c r="L6475" i="1"/>
  <c r="M6475" i="1" s="1"/>
  <c r="N6475" i="1" s="1"/>
  <c r="L6476" i="1"/>
  <c r="M6476" i="1" s="1"/>
  <c r="N6476" i="1" s="1"/>
  <c r="L6477" i="1"/>
  <c r="M6477" i="1" s="1"/>
  <c r="N6477" i="1" s="1"/>
  <c r="L6478" i="1"/>
  <c r="M6478" i="1" s="1"/>
  <c r="N6478" i="1" s="1"/>
  <c r="L6479" i="1"/>
  <c r="M6479" i="1" s="1"/>
  <c r="N6479" i="1" s="1"/>
  <c r="L6480" i="1"/>
  <c r="M6480" i="1" s="1"/>
  <c r="N6480" i="1" s="1"/>
  <c r="L6481" i="1"/>
  <c r="M6481" i="1" s="1"/>
  <c r="N6481" i="1" s="1"/>
  <c r="L6482" i="1"/>
  <c r="M6482" i="1" s="1"/>
  <c r="N6482" i="1" s="1"/>
  <c r="L6483" i="1"/>
  <c r="M6483" i="1" s="1"/>
  <c r="N6483" i="1" s="1"/>
  <c r="L6484" i="1"/>
  <c r="M6484" i="1" s="1"/>
  <c r="N6484" i="1" s="1"/>
  <c r="L6485" i="1"/>
  <c r="M6485" i="1" s="1"/>
  <c r="N6485" i="1" s="1"/>
  <c r="L6486" i="1"/>
  <c r="M6486" i="1" s="1"/>
  <c r="N6486" i="1" s="1"/>
  <c r="L6487" i="1"/>
  <c r="M6487" i="1" s="1"/>
  <c r="N6487" i="1" s="1"/>
  <c r="L6488" i="1"/>
  <c r="M6488" i="1" s="1"/>
  <c r="N6488" i="1" s="1"/>
  <c r="L6489" i="1"/>
  <c r="M6489" i="1" s="1"/>
  <c r="N6489" i="1" s="1"/>
  <c r="L6490" i="1"/>
  <c r="M6490" i="1" s="1"/>
  <c r="N6490" i="1" s="1"/>
  <c r="L6491" i="1"/>
  <c r="M6491" i="1" s="1"/>
  <c r="N6491" i="1" s="1"/>
  <c r="L6492" i="1"/>
  <c r="M6492" i="1" s="1"/>
  <c r="N6492" i="1" s="1"/>
  <c r="L6493" i="1"/>
  <c r="M6493" i="1" s="1"/>
  <c r="N6493" i="1" s="1"/>
  <c r="L6494" i="1"/>
  <c r="M6494" i="1" s="1"/>
  <c r="N6494" i="1" s="1"/>
  <c r="L6495" i="1"/>
  <c r="M6495" i="1" s="1"/>
  <c r="N6495" i="1" s="1"/>
  <c r="L6496" i="1"/>
  <c r="M6496" i="1" s="1"/>
  <c r="N6496" i="1" s="1"/>
  <c r="L6497" i="1"/>
  <c r="M6497" i="1" s="1"/>
  <c r="N6497" i="1" s="1"/>
  <c r="L6498" i="1"/>
  <c r="M6498" i="1" s="1"/>
  <c r="N6498" i="1" s="1"/>
  <c r="L6499" i="1"/>
  <c r="M6499" i="1" s="1"/>
  <c r="N6499" i="1" s="1"/>
  <c r="L6500" i="1"/>
  <c r="M6500" i="1" s="1"/>
  <c r="N6500" i="1" s="1"/>
  <c r="L6501" i="1"/>
  <c r="M6501" i="1" s="1"/>
  <c r="N6501" i="1" s="1"/>
  <c r="L6502" i="1"/>
  <c r="M6502" i="1" s="1"/>
  <c r="N6502" i="1" s="1"/>
  <c r="L6503" i="1"/>
  <c r="M6503" i="1" s="1"/>
  <c r="N6503" i="1" s="1"/>
  <c r="L6504" i="1"/>
  <c r="M6504" i="1" s="1"/>
  <c r="N6504" i="1" s="1"/>
  <c r="L6505" i="1"/>
  <c r="M6505" i="1" s="1"/>
  <c r="N6505" i="1" s="1"/>
  <c r="L6506" i="1"/>
  <c r="M6506" i="1" s="1"/>
  <c r="N6506" i="1" s="1"/>
  <c r="L6507" i="1"/>
  <c r="M6507" i="1" s="1"/>
  <c r="N6507" i="1" s="1"/>
  <c r="L6508" i="1"/>
  <c r="M6508" i="1" s="1"/>
  <c r="N6508" i="1" s="1"/>
  <c r="L6509" i="1"/>
  <c r="M6509" i="1" s="1"/>
  <c r="N6509" i="1" s="1"/>
  <c r="L6510" i="1"/>
  <c r="M6510" i="1" s="1"/>
  <c r="N6510" i="1" s="1"/>
  <c r="L6511" i="1"/>
  <c r="M6511" i="1" s="1"/>
  <c r="N6511" i="1" s="1"/>
  <c r="L6512" i="1"/>
  <c r="M6512" i="1" s="1"/>
  <c r="N6512" i="1" s="1"/>
  <c r="L6513" i="1"/>
  <c r="M6513" i="1" s="1"/>
  <c r="N6513" i="1" s="1"/>
  <c r="L6514" i="1"/>
  <c r="M6514" i="1" s="1"/>
  <c r="N6514" i="1" s="1"/>
  <c r="L6515" i="1"/>
  <c r="M6515" i="1" s="1"/>
  <c r="N6515" i="1" s="1"/>
  <c r="L6516" i="1"/>
  <c r="M6516" i="1" s="1"/>
  <c r="N6516" i="1" s="1"/>
  <c r="L6517" i="1"/>
  <c r="M6517" i="1" s="1"/>
  <c r="N6517" i="1" s="1"/>
  <c r="L6518" i="1"/>
  <c r="M6518" i="1" s="1"/>
  <c r="N6518" i="1" s="1"/>
  <c r="L6519" i="1"/>
  <c r="M6519" i="1" s="1"/>
  <c r="N6519" i="1" s="1"/>
  <c r="L6520" i="1"/>
  <c r="M6520" i="1" s="1"/>
  <c r="N6520" i="1" s="1"/>
  <c r="L6521" i="1"/>
  <c r="M6521" i="1" s="1"/>
  <c r="N6521" i="1" s="1"/>
  <c r="L6522" i="1"/>
  <c r="M6522" i="1" s="1"/>
  <c r="N6522" i="1" s="1"/>
  <c r="L6523" i="1"/>
  <c r="M6523" i="1" s="1"/>
  <c r="N6523" i="1" s="1"/>
  <c r="L6524" i="1"/>
  <c r="M6524" i="1" s="1"/>
  <c r="N6524" i="1" s="1"/>
  <c r="L6525" i="1"/>
  <c r="M6525" i="1" s="1"/>
  <c r="N6525" i="1" s="1"/>
  <c r="L6526" i="1"/>
  <c r="M6526" i="1" s="1"/>
  <c r="N6526" i="1" s="1"/>
  <c r="L6527" i="1"/>
  <c r="M6527" i="1" s="1"/>
  <c r="N6527" i="1" s="1"/>
  <c r="L6528" i="1"/>
  <c r="M6528" i="1" s="1"/>
  <c r="N6528" i="1" s="1"/>
  <c r="L6529" i="1"/>
  <c r="M6529" i="1" s="1"/>
  <c r="N6529" i="1" s="1"/>
  <c r="L6530" i="1"/>
  <c r="M6530" i="1" s="1"/>
  <c r="N6530" i="1" s="1"/>
  <c r="L6531" i="1"/>
  <c r="M6531" i="1" s="1"/>
  <c r="N6531" i="1" s="1"/>
  <c r="L6532" i="1"/>
  <c r="M6532" i="1" s="1"/>
  <c r="N6532" i="1" s="1"/>
  <c r="L6533" i="1"/>
  <c r="M6533" i="1" s="1"/>
  <c r="N6533" i="1" s="1"/>
  <c r="L6534" i="1"/>
  <c r="M6534" i="1" s="1"/>
  <c r="N6534" i="1" s="1"/>
  <c r="L6535" i="1"/>
  <c r="M6535" i="1" s="1"/>
  <c r="N6535" i="1" s="1"/>
  <c r="L6536" i="1"/>
  <c r="M6536" i="1" s="1"/>
  <c r="N6536" i="1" s="1"/>
  <c r="L6537" i="1"/>
  <c r="M6537" i="1" s="1"/>
  <c r="N6537" i="1" s="1"/>
  <c r="L6538" i="1"/>
  <c r="M6538" i="1" s="1"/>
  <c r="N6538" i="1" s="1"/>
  <c r="L6539" i="1"/>
  <c r="M6539" i="1" s="1"/>
  <c r="N6539" i="1" s="1"/>
  <c r="L6540" i="1"/>
  <c r="M6540" i="1" s="1"/>
  <c r="N6540" i="1" s="1"/>
  <c r="L6541" i="1"/>
  <c r="M6541" i="1" s="1"/>
  <c r="N6541" i="1" s="1"/>
  <c r="L6542" i="1"/>
  <c r="M6542" i="1" s="1"/>
  <c r="N6542" i="1" s="1"/>
  <c r="L6543" i="1"/>
  <c r="M6543" i="1" s="1"/>
  <c r="N6543" i="1" s="1"/>
  <c r="L6544" i="1"/>
  <c r="M6544" i="1" s="1"/>
  <c r="N6544" i="1" s="1"/>
  <c r="L6545" i="1"/>
  <c r="M6545" i="1" s="1"/>
  <c r="N6545" i="1" s="1"/>
  <c r="L6546" i="1"/>
  <c r="M6546" i="1" s="1"/>
  <c r="N6546" i="1" s="1"/>
  <c r="L6547" i="1"/>
  <c r="M6547" i="1" s="1"/>
  <c r="N6547" i="1" s="1"/>
  <c r="L6548" i="1"/>
  <c r="M6548" i="1" s="1"/>
  <c r="N6548" i="1" s="1"/>
  <c r="L6549" i="1"/>
  <c r="M6549" i="1" s="1"/>
  <c r="N6549" i="1" s="1"/>
  <c r="L6550" i="1"/>
  <c r="M6550" i="1" s="1"/>
  <c r="N6550" i="1" s="1"/>
  <c r="L6551" i="1"/>
  <c r="M6551" i="1" s="1"/>
  <c r="N6551" i="1" s="1"/>
  <c r="L6552" i="1"/>
  <c r="M6552" i="1" s="1"/>
  <c r="N6552" i="1" s="1"/>
  <c r="L6553" i="1"/>
  <c r="M6553" i="1" s="1"/>
  <c r="N6553" i="1" s="1"/>
  <c r="L6554" i="1"/>
  <c r="M6554" i="1" s="1"/>
  <c r="N6554" i="1" s="1"/>
  <c r="L6555" i="1"/>
  <c r="M6555" i="1" s="1"/>
  <c r="N6555" i="1" s="1"/>
  <c r="L6556" i="1"/>
  <c r="M6556" i="1" s="1"/>
  <c r="N6556" i="1" s="1"/>
  <c r="L6557" i="1"/>
  <c r="M6557" i="1" s="1"/>
  <c r="N6557" i="1" s="1"/>
  <c r="L6558" i="1"/>
  <c r="M6558" i="1" s="1"/>
  <c r="N6558" i="1" s="1"/>
  <c r="L6559" i="1"/>
  <c r="M6559" i="1" s="1"/>
  <c r="N6559" i="1" s="1"/>
  <c r="L6560" i="1"/>
  <c r="M6560" i="1" s="1"/>
  <c r="N6560" i="1" s="1"/>
  <c r="L6561" i="1"/>
  <c r="M6561" i="1" s="1"/>
  <c r="N6561" i="1" s="1"/>
  <c r="L6562" i="1"/>
  <c r="M6562" i="1" s="1"/>
  <c r="N6562" i="1" s="1"/>
  <c r="L6563" i="1"/>
  <c r="M6563" i="1" s="1"/>
  <c r="N6563" i="1" s="1"/>
  <c r="L6564" i="1"/>
  <c r="M6564" i="1" s="1"/>
  <c r="N6564" i="1" s="1"/>
  <c r="L6565" i="1"/>
  <c r="M6565" i="1" s="1"/>
  <c r="N6565" i="1" s="1"/>
  <c r="L6566" i="1"/>
  <c r="M6566" i="1" s="1"/>
  <c r="N6566" i="1" s="1"/>
  <c r="L6567" i="1"/>
  <c r="M6567" i="1" s="1"/>
  <c r="N6567" i="1" s="1"/>
  <c r="L6568" i="1"/>
  <c r="M6568" i="1" s="1"/>
  <c r="N6568" i="1" s="1"/>
  <c r="L6569" i="1"/>
  <c r="M6569" i="1" s="1"/>
  <c r="N6569" i="1" s="1"/>
  <c r="L6570" i="1"/>
  <c r="M6570" i="1" s="1"/>
  <c r="N6570" i="1" s="1"/>
  <c r="L6571" i="1"/>
  <c r="M6571" i="1" s="1"/>
  <c r="N6571" i="1" s="1"/>
  <c r="L6572" i="1"/>
  <c r="M6572" i="1" s="1"/>
  <c r="N6572" i="1" s="1"/>
  <c r="L6573" i="1"/>
  <c r="M6573" i="1" s="1"/>
  <c r="N6573" i="1" s="1"/>
  <c r="L6574" i="1"/>
  <c r="M6574" i="1" s="1"/>
  <c r="N6574" i="1" s="1"/>
  <c r="L6575" i="1"/>
  <c r="M6575" i="1" s="1"/>
  <c r="N6575" i="1" s="1"/>
  <c r="L6576" i="1"/>
  <c r="M6576" i="1" s="1"/>
  <c r="N6576" i="1" s="1"/>
  <c r="L6577" i="1"/>
  <c r="M6577" i="1" s="1"/>
  <c r="N6577" i="1" s="1"/>
  <c r="L6578" i="1"/>
  <c r="M6578" i="1" s="1"/>
  <c r="N6578" i="1" s="1"/>
  <c r="L6579" i="1"/>
  <c r="M6579" i="1" s="1"/>
  <c r="N6579" i="1" s="1"/>
  <c r="L6580" i="1"/>
  <c r="M6580" i="1" s="1"/>
  <c r="N6580" i="1" s="1"/>
  <c r="L6581" i="1"/>
  <c r="M6581" i="1" s="1"/>
  <c r="N6581" i="1" s="1"/>
  <c r="L6582" i="1"/>
  <c r="M6582" i="1" s="1"/>
  <c r="N6582" i="1" s="1"/>
  <c r="L6583" i="1"/>
  <c r="M6583" i="1" s="1"/>
  <c r="N6583" i="1" s="1"/>
  <c r="L6584" i="1"/>
  <c r="M6584" i="1" s="1"/>
  <c r="N6584" i="1" s="1"/>
  <c r="L6585" i="1"/>
  <c r="M6585" i="1" s="1"/>
  <c r="N6585" i="1" s="1"/>
  <c r="L6586" i="1"/>
  <c r="M6586" i="1" s="1"/>
  <c r="N6586" i="1" s="1"/>
  <c r="L6587" i="1"/>
  <c r="M6587" i="1" s="1"/>
  <c r="N6587" i="1" s="1"/>
  <c r="L6588" i="1"/>
  <c r="M6588" i="1" s="1"/>
  <c r="N6588" i="1" s="1"/>
  <c r="L6589" i="1"/>
  <c r="M6589" i="1" s="1"/>
  <c r="N6589" i="1" s="1"/>
  <c r="L6590" i="1"/>
  <c r="M6590" i="1" s="1"/>
  <c r="N6590" i="1" s="1"/>
  <c r="L6591" i="1"/>
  <c r="M6591" i="1" s="1"/>
  <c r="N6591" i="1" s="1"/>
  <c r="L6592" i="1"/>
  <c r="M6592" i="1" s="1"/>
  <c r="N6592" i="1" s="1"/>
  <c r="L6593" i="1"/>
  <c r="M6593" i="1" s="1"/>
  <c r="N6593" i="1" s="1"/>
  <c r="L6594" i="1"/>
  <c r="M6594" i="1" s="1"/>
  <c r="N6594" i="1" s="1"/>
  <c r="L6595" i="1"/>
  <c r="M6595" i="1" s="1"/>
  <c r="N6595" i="1" s="1"/>
  <c r="L6596" i="1"/>
  <c r="M6596" i="1" s="1"/>
  <c r="N6596" i="1" s="1"/>
  <c r="L6597" i="1"/>
  <c r="M6597" i="1" s="1"/>
  <c r="N6597" i="1" s="1"/>
  <c r="L6598" i="1"/>
  <c r="M6598" i="1" s="1"/>
  <c r="N6598" i="1" s="1"/>
  <c r="L6599" i="1"/>
  <c r="M6599" i="1" s="1"/>
  <c r="N6599" i="1" s="1"/>
  <c r="L6600" i="1"/>
  <c r="M6600" i="1" s="1"/>
  <c r="N6600" i="1" s="1"/>
  <c r="L6601" i="1"/>
  <c r="M6601" i="1" s="1"/>
  <c r="N6601" i="1" s="1"/>
  <c r="L6602" i="1"/>
  <c r="M6602" i="1" s="1"/>
  <c r="N6602" i="1" s="1"/>
  <c r="L6603" i="1"/>
  <c r="M6603" i="1" s="1"/>
  <c r="N6603" i="1" s="1"/>
  <c r="L6604" i="1"/>
  <c r="M6604" i="1" s="1"/>
  <c r="N6604" i="1" s="1"/>
  <c r="L6605" i="1"/>
  <c r="M6605" i="1" s="1"/>
  <c r="N6605" i="1" s="1"/>
  <c r="L6606" i="1"/>
  <c r="M6606" i="1" s="1"/>
  <c r="N6606" i="1" s="1"/>
  <c r="L6607" i="1"/>
  <c r="M6607" i="1" s="1"/>
  <c r="N6607" i="1" s="1"/>
  <c r="L6608" i="1"/>
  <c r="M6608" i="1" s="1"/>
  <c r="N6608" i="1" s="1"/>
  <c r="L6609" i="1"/>
  <c r="M6609" i="1" s="1"/>
  <c r="N6609" i="1" s="1"/>
  <c r="L6610" i="1"/>
  <c r="M6610" i="1" s="1"/>
  <c r="N6610" i="1" s="1"/>
  <c r="L6611" i="1"/>
  <c r="M6611" i="1" s="1"/>
  <c r="N6611" i="1" s="1"/>
  <c r="L6612" i="1"/>
  <c r="M6612" i="1" s="1"/>
  <c r="N6612" i="1" s="1"/>
  <c r="L6613" i="1"/>
  <c r="M6613" i="1" s="1"/>
  <c r="N6613" i="1" s="1"/>
  <c r="L6614" i="1"/>
  <c r="M6614" i="1" s="1"/>
  <c r="N6614" i="1" s="1"/>
  <c r="L6615" i="1"/>
  <c r="M6615" i="1" s="1"/>
  <c r="N6615" i="1" s="1"/>
  <c r="L6616" i="1"/>
  <c r="M6616" i="1" s="1"/>
  <c r="N6616" i="1" s="1"/>
  <c r="L6617" i="1"/>
  <c r="M6617" i="1" s="1"/>
  <c r="N6617" i="1" s="1"/>
  <c r="L6618" i="1"/>
  <c r="M6618" i="1" s="1"/>
  <c r="N6618" i="1" s="1"/>
  <c r="L6619" i="1"/>
  <c r="M6619" i="1" s="1"/>
  <c r="N6619" i="1" s="1"/>
  <c r="L6620" i="1"/>
  <c r="M6620" i="1" s="1"/>
  <c r="N6620" i="1" s="1"/>
  <c r="L6621" i="1"/>
  <c r="M6621" i="1" s="1"/>
  <c r="N6621" i="1" s="1"/>
  <c r="L6622" i="1"/>
  <c r="M6622" i="1" s="1"/>
  <c r="N6622" i="1" s="1"/>
  <c r="L6623" i="1"/>
  <c r="M6623" i="1" s="1"/>
  <c r="N6623" i="1" s="1"/>
  <c r="L6624" i="1"/>
  <c r="M6624" i="1" s="1"/>
  <c r="N6624" i="1" s="1"/>
  <c r="L6625" i="1"/>
  <c r="M6625" i="1" s="1"/>
  <c r="N6625" i="1" s="1"/>
  <c r="L6626" i="1"/>
  <c r="M6626" i="1" s="1"/>
  <c r="N6626" i="1" s="1"/>
  <c r="L6627" i="1"/>
  <c r="M6627" i="1" s="1"/>
  <c r="N6627" i="1" s="1"/>
  <c r="L6628" i="1"/>
  <c r="M6628" i="1" s="1"/>
  <c r="N6628" i="1" s="1"/>
  <c r="L6629" i="1"/>
  <c r="M6629" i="1" s="1"/>
  <c r="N6629" i="1" s="1"/>
  <c r="L6630" i="1"/>
  <c r="M6630" i="1" s="1"/>
  <c r="N6630" i="1" s="1"/>
  <c r="L6631" i="1"/>
  <c r="M6631" i="1" s="1"/>
  <c r="N6631" i="1" s="1"/>
  <c r="L6632" i="1"/>
  <c r="M6632" i="1" s="1"/>
  <c r="N6632" i="1" s="1"/>
  <c r="L6633" i="1"/>
  <c r="M6633" i="1" s="1"/>
  <c r="N6633" i="1" s="1"/>
  <c r="L6634" i="1"/>
  <c r="M6634" i="1" s="1"/>
  <c r="N6634" i="1" s="1"/>
  <c r="L6635" i="1"/>
  <c r="M6635" i="1" s="1"/>
  <c r="N6635" i="1" s="1"/>
  <c r="L6636" i="1"/>
  <c r="M6636" i="1" s="1"/>
  <c r="N6636" i="1" s="1"/>
  <c r="L6637" i="1"/>
  <c r="M6637" i="1" s="1"/>
  <c r="N6637" i="1" s="1"/>
  <c r="L6638" i="1"/>
  <c r="M6638" i="1" s="1"/>
  <c r="N6638" i="1" s="1"/>
  <c r="L6639" i="1"/>
  <c r="M6639" i="1" s="1"/>
  <c r="N6639" i="1" s="1"/>
  <c r="L6640" i="1"/>
  <c r="M6640" i="1" s="1"/>
  <c r="N6640" i="1" s="1"/>
  <c r="L6641" i="1"/>
  <c r="M6641" i="1" s="1"/>
  <c r="N6641" i="1" s="1"/>
  <c r="L6642" i="1"/>
  <c r="M6642" i="1" s="1"/>
  <c r="N6642" i="1" s="1"/>
  <c r="L6643" i="1"/>
  <c r="M6643" i="1" s="1"/>
  <c r="N6643" i="1" s="1"/>
  <c r="L6644" i="1"/>
  <c r="M6644" i="1" s="1"/>
  <c r="N6644" i="1" s="1"/>
  <c r="L6645" i="1"/>
  <c r="M6645" i="1" s="1"/>
  <c r="N6645" i="1" s="1"/>
  <c r="L6646" i="1"/>
  <c r="M6646" i="1" s="1"/>
  <c r="N6646" i="1" s="1"/>
  <c r="L6647" i="1"/>
  <c r="M6647" i="1" s="1"/>
  <c r="N6647" i="1" s="1"/>
  <c r="L6648" i="1"/>
  <c r="M6648" i="1" s="1"/>
  <c r="N6648" i="1" s="1"/>
  <c r="L6649" i="1"/>
  <c r="M6649" i="1" s="1"/>
  <c r="N6649" i="1" s="1"/>
  <c r="L6650" i="1"/>
  <c r="M6650" i="1" s="1"/>
  <c r="N6650" i="1" s="1"/>
  <c r="L6651" i="1"/>
  <c r="M6651" i="1" s="1"/>
  <c r="N6651" i="1" s="1"/>
  <c r="L6652" i="1"/>
  <c r="M6652" i="1" s="1"/>
  <c r="N6652" i="1" s="1"/>
  <c r="L6653" i="1"/>
  <c r="M6653" i="1" s="1"/>
  <c r="N6653" i="1" s="1"/>
  <c r="L6654" i="1"/>
  <c r="M6654" i="1" s="1"/>
  <c r="N6654" i="1" s="1"/>
  <c r="L6655" i="1"/>
  <c r="M6655" i="1" s="1"/>
  <c r="N6655" i="1" s="1"/>
  <c r="L6656" i="1"/>
  <c r="M6656" i="1" s="1"/>
  <c r="N6656" i="1" s="1"/>
  <c r="L6657" i="1"/>
  <c r="M6657" i="1" s="1"/>
  <c r="N6657" i="1" s="1"/>
  <c r="L6658" i="1"/>
  <c r="M6658" i="1" s="1"/>
  <c r="N6658" i="1" s="1"/>
  <c r="L6659" i="1"/>
  <c r="M6659" i="1" s="1"/>
  <c r="N6659" i="1" s="1"/>
  <c r="L6660" i="1"/>
  <c r="M6660" i="1" s="1"/>
  <c r="N6660" i="1" s="1"/>
  <c r="L6661" i="1"/>
  <c r="M6661" i="1" s="1"/>
  <c r="N6661" i="1" s="1"/>
  <c r="L6662" i="1"/>
  <c r="M6662" i="1" s="1"/>
  <c r="N6662" i="1" s="1"/>
  <c r="L6663" i="1"/>
  <c r="M6663" i="1" s="1"/>
  <c r="N6663" i="1" s="1"/>
  <c r="L6664" i="1"/>
  <c r="M6664" i="1" s="1"/>
  <c r="N6664" i="1" s="1"/>
  <c r="L6665" i="1"/>
  <c r="M6665" i="1" s="1"/>
  <c r="N6665" i="1" s="1"/>
  <c r="L6666" i="1"/>
  <c r="M6666" i="1" s="1"/>
  <c r="N6666" i="1" s="1"/>
  <c r="L6667" i="1"/>
  <c r="M6667" i="1" s="1"/>
  <c r="N6667" i="1" s="1"/>
  <c r="L6668" i="1"/>
  <c r="M6668" i="1" s="1"/>
  <c r="N6668" i="1" s="1"/>
  <c r="L6669" i="1"/>
  <c r="M6669" i="1" s="1"/>
  <c r="N6669" i="1" s="1"/>
  <c r="L6670" i="1"/>
  <c r="M6670" i="1" s="1"/>
  <c r="N6670" i="1" s="1"/>
  <c r="L6671" i="1"/>
  <c r="M6671" i="1" s="1"/>
  <c r="N6671" i="1" s="1"/>
  <c r="L6672" i="1"/>
  <c r="M6672" i="1" s="1"/>
  <c r="N6672" i="1" s="1"/>
  <c r="L6673" i="1"/>
  <c r="M6673" i="1" s="1"/>
  <c r="N6673" i="1" s="1"/>
  <c r="L6674" i="1"/>
  <c r="M6674" i="1" s="1"/>
  <c r="N6674" i="1" s="1"/>
  <c r="L6675" i="1"/>
  <c r="M6675" i="1" s="1"/>
  <c r="N6675" i="1" s="1"/>
  <c r="L6676" i="1"/>
  <c r="M6676" i="1" s="1"/>
  <c r="N6676" i="1" s="1"/>
  <c r="L6677" i="1"/>
  <c r="M6677" i="1" s="1"/>
  <c r="N6677" i="1" s="1"/>
  <c r="L6678" i="1"/>
  <c r="M6678" i="1" s="1"/>
  <c r="N6678" i="1" s="1"/>
  <c r="L6679" i="1"/>
  <c r="M6679" i="1" s="1"/>
  <c r="N6679" i="1" s="1"/>
  <c r="L6680" i="1"/>
  <c r="M6680" i="1" s="1"/>
  <c r="N6680" i="1" s="1"/>
  <c r="L6681" i="1"/>
  <c r="M6681" i="1" s="1"/>
  <c r="N6681" i="1" s="1"/>
  <c r="L6682" i="1"/>
  <c r="M6682" i="1" s="1"/>
  <c r="N6682" i="1" s="1"/>
  <c r="L6683" i="1"/>
  <c r="M6683" i="1" s="1"/>
  <c r="N6683" i="1" s="1"/>
  <c r="L6684" i="1"/>
  <c r="M6684" i="1" s="1"/>
  <c r="N6684" i="1" s="1"/>
  <c r="L6685" i="1"/>
  <c r="M6685" i="1" s="1"/>
  <c r="N6685" i="1" s="1"/>
  <c r="L6686" i="1"/>
  <c r="M6686" i="1" s="1"/>
  <c r="N6686" i="1" s="1"/>
  <c r="L6687" i="1"/>
  <c r="M6687" i="1" s="1"/>
  <c r="N6687" i="1" s="1"/>
  <c r="L6688" i="1"/>
  <c r="M6688" i="1" s="1"/>
  <c r="N6688" i="1" s="1"/>
  <c r="L6689" i="1"/>
  <c r="M6689" i="1" s="1"/>
  <c r="N6689" i="1" s="1"/>
  <c r="L6690" i="1"/>
  <c r="M6690" i="1" s="1"/>
  <c r="N6690" i="1" s="1"/>
  <c r="L6691" i="1"/>
  <c r="M6691" i="1" s="1"/>
  <c r="N6691" i="1" s="1"/>
  <c r="L6692" i="1"/>
  <c r="M6692" i="1" s="1"/>
  <c r="N6692" i="1" s="1"/>
  <c r="L6693" i="1"/>
  <c r="M6693" i="1" s="1"/>
  <c r="N6693" i="1" s="1"/>
  <c r="L6694" i="1"/>
  <c r="M6694" i="1" s="1"/>
  <c r="N6694" i="1" s="1"/>
  <c r="L6695" i="1"/>
  <c r="M6695" i="1" s="1"/>
  <c r="N6695" i="1" s="1"/>
  <c r="L6696" i="1"/>
  <c r="M6696" i="1" s="1"/>
  <c r="N6696" i="1" s="1"/>
  <c r="L6697" i="1"/>
  <c r="M6697" i="1" s="1"/>
  <c r="N6697" i="1" s="1"/>
  <c r="L6698" i="1"/>
  <c r="M6698" i="1" s="1"/>
  <c r="N6698" i="1" s="1"/>
  <c r="L6699" i="1"/>
  <c r="M6699" i="1" s="1"/>
  <c r="N6699" i="1" s="1"/>
  <c r="L6700" i="1"/>
  <c r="M6700" i="1" s="1"/>
  <c r="N6700" i="1" s="1"/>
  <c r="L6701" i="1"/>
  <c r="M6701" i="1" s="1"/>
  <c r="N6701" i="1" s="1"/>
  <c r="L6702" i="1"/>
  <c r="M6702" i="1" s="1"/>
  <c r="N6702" i="1" s="1"/>
  <c r="L6703" i="1"/>
  <c r="M6703" i="1" s="1"/>
  <c r="N6703" i="1" s="1"/>
  <c r="L6704" i="1"/>
  <c r="M6704" i="1" s="1"/>
  <c r="N6704" i="1" s="1"/>
  <c r="L6705" i="1"/>
  <c r="M6705" i="1" s="1"/>
  <c r="N6705" i="1" s="1"/>
  <c r="L6706" i="1"/>
  <c r="M6706" i="1" s="1"/>
  <c r="N6706" i="1" s="1"/>
  <c r="L6707" i="1"/>
  <c r="M6707" i="1" s="1"/>
  <c r="N6707" i="1" s="1"/>
  <c r="L6708" i="1"/>
  <c r="M6708" i="1" s="1"/>
  <c r="N6708" i="1" s="1"/>
  <c r="L6709" i="1"/>
  <c r="M6709" i="1" s="1"/>
  <c r="N6709" i="1" s="1"/>
  <c r="L6710" i="1"/>
  <c r="M6710" i="1" s="1"/>
  <c r="N6710" i="1" s="1"/>
  <c r="L6711" i="1"/>
  <c r="M6711" i="1" s="1"/>
  <c r="N6711" i="1" s="1"/>
  <c r="L6712" i="1"/>
  <c r="M6712" i="1" s="1"/>
  <c r="N6712" i="1" s="1"/>
  <c r="L6713" i="1"/>
  <c r="M6713" i="1" s="1"/>
  <c r="N6713" i="1" s="1"/>
  <c r="L6714" i="1"/>
  <c r="M6714" i="1" s="1"/>
  <c r="N6714" i="1" s="1"/>
  <c r="L6715" i="1"/>
  <c r="M6715" i="1" s="1"/>
  <c r="N6715" i="1" s="1"/>
  <c r="L6716" i="1"/>
  <c r="M6716" i="1" s="1"/>
  <c r="N6716" i="1" s="1"/>
  <c r="L6717" i="1"/>
  <c r="M6717" i="1" s="1"/>
  <c r="N6717" i="1" s="1"/>
  <c r="L6718" i="1"/>
  <c r="M6718" i="1" s="1"/>
  <c r="N6718" i="1" s="1"/>
  <c r="L6719" i="1"/>
  <c r="M6719" i="1" s="1"/>
  <c r="N6719" i="1" s="1"/>
  <c r="L6720" i="1"/>
  <c r="M6720" i="1" s="1"/>
  <c r="N6720" i="1" s="1"/>
  <c r="L6721" i="1"/>
  <c r="M6721" i="1" s="1"/>
  <c r="N6721" i="1" s="1"/>
  <c r="L6722" i="1"/>
  <c r="M6722" i="1" s="1"/>
  <c r="N6722" i="1" s="1"/>
  <c r="L6723" i="1"/>
  <c r="M6723" i="1" s="1"/>
  <c r="N6723" i="1" s="1"/>
  <c r="L6724" i="1"/>
  <c r="M6724" i="1" s="1"/>
  <c r="N6724" i="1" s="1"/>
  <c r="L6725" i="1"/>
  <c r="M6725" i="1" s="1"/>
  <c r="N6725" i="1" s="1"/>
  <c r="L6726" i="1"/>
  <c r="M6726" i="1" s="1"/>
  <c r="N6726" i="1" s="1"/>
  <c r="L6727" i="1"/>
  <c r="M6727" i="1" s="1"/>
  <c r="N6727" i="1" s="1"/>
  <c r="L6728" i="1"/>
  <c r="M6728" i="1" s="1"/>
  <c r="N6728" i="1" s="1"/>
  <c r="L6729" i="1"/>
  <c r="M6729" i="1" s="1"/>
  <c r="N6729" i="1" s="1"/>
  <c r="L6730" i="1"/>
  <c r="M6730" i="1" s="1"/>
  <c r="N6730" i="1" s="1"/>
  <c r="L6731" i="1"/>
  <c r="M6731" i="1" s="1"/>
  <c r="N6731" i="1" s="1"/>
  <c r="L6732" i="1"/>
  <c r="M6732" i="1" s="1"/>
  <c r="N6732" i="1" s="1"/>
  <c r="L6733" i="1"/>
  <c r="M6733" i="1" s="1"/>
  <c r="N6733" i="1" s="1"/>
  <c r="L6734" i="1"/>
  <c r="M6734" i="1" s="1"/>
  <c r="N6734" i="1" s="1"/>
  <c r="L6735" i="1"/>
  <c r="M6735" i="1" s="1"/>
  <c r="N6735" i="1" s="1"/>
  <c r="L6736" i="1"/>
  <c r="M6736" i="1" s="1"/>
  <c r="N6736" i="1" s="1"/>
  <c r="L6737" i="1"/>
  <c r="M6737" i="1" s="1"/>
  <c r="N6737" i="1" s="1"/>
  <c r="L6738" i="1"/>
  <c r="M6738" i="1" s="1"/>
  <c r="N6738" i="1" s="1"/>
  <c r="L6739" i="1"/>
  <c r="M6739" i="1" s="1"/>
  <c r="N6739" i="1" s="1"/>
  <c r="L6740" i="1"/>
  <c r="M6740" i="1" s="1"/>
  <c r="N6740" i="1" s="1"/>
  <c r="L6741" i="1"/>
  <c r="M6741" i="1" s="1"/>
  <c r="N6741" i="1" s="1"/>
  <c r="L6742" i="1"/>
  <c r="M6742" i="1" s="1"/>
  <c r="N6742" i="1" s="1"/>
  <c r="L6743" i="1"/>
  <c r="M6743" i="1" s="1"/>
  <c r="N6743" i="1" s="1"/>
  <c r="L6744" i="1"/>
  <c r="M6744" i="1" s="1"/>
  <c r="N6744" i="1" s="1"/>
  <c r="L6745" i="1"/>
  <c r="M6745" i="1" s="1"/>
  <c r="N6745" i="1" s="1"/>
  <c r="L6746" i="1"/>
  <c r="M6746" i="1" s="1"/>
  <c r="N6746" i="1" s="1"/>
  <c r="L6747" i="1"/>
  <c r="M6747" i="1" s="1"/>
  <c r="N6747" i="1" s="1"/>
  <c r="L6748" i="1"/>
  <c r="M6748" i="1" s="1"/>
  <c r="N6748" i="1" s="1"/>
  <c r="L6749" i="1"/>
  <c r="M6749" i="1" s="1"/>
  <c r="N6749" i="1" s="1"/>
  <c r="L6750" i="1"/>
  <c r="M6750" i="1" s="1"/>
  <c r="N6750" i="1" s="1"/>
  <c r="L6751" i="1"/>
  <c r="M6751" i="1" s="1"/>
  <c r="N6751" i="1" s="1"/>
  <c r="L6752" i="1"/>
  <c r="M6752" i="1" s="1"/>
  <c r="N6752" i="1" s="1"/>
  <c r="L6753" i="1"/>
  <c r="M6753" i="1" s="1"/>
  <c r="N6753" i="1" s="1"/>
  <c r="L6754" i="1"/>
  <c r="M6754" i="1" s="1"/>
  <c r="N6754" i="1" s="1"/>
  <c r="L6755" i="1"/>
  <c r="M6755" i="1" s="1"/>
  <c r="N6755" i="1" s="1"/>
  <c r="L6756" i="1"/>
  <c r="M6756" i="1" s="1"/>
  <c r="N6756" i="1" s="1"/>
  <c r="L6757" i="1"/>
  <c r="M6757" i="1" s="1"/>
  <c r="N6757" i="1" s="1"/>
  <c r="L6758" i="1"/>
  <c r="M6758" i="1" s="1"/>
  <c r="N6758" i="1" s="1"/>
  <c r="L6759" i="1"/>
  <c r="M6759" i="1" s="1"/>
  <c r="N6759" i="1" s="1"/>
  <c r="L6760" i="1"/>
  <c r="M6760" i="1" s="1"/>
  <c r="N6760" i="1" s="1"/>
  <c r="L6761" i="1"/>
  <c r="M6761" i="1" s="1"/>
  <c r="N6761" i="1" s="1"/>
  <c r="L6762" i="1"/>
  <c r="M6762" i="1" s="1"/>
  <c r="N6762" i="1" s="1"/>
  <c r="L6763" i="1"/>
  <c r="M6763" i="1" s="1"/>
  <c r="N6763" i="1" s="1"/>
  <c r="L6764" i="1"/>
  <c r="M6764" i="1" s="1"/>
  <c r="N6764" i="1" s="1"/>
  <c r="L6765" i="1"/>
  <c r="M6765" i="1" s="1"/>
  <c r="N6765" i="1" s="1"/>
  <c r="L6766" i="1"/>
  <c r="M6766" i="1" s="1"/>
  <c r="N6766" i="1" s="1"/>
  <c r="L6767" i="1"/>
  <c r="M6767" i="1" s="1"/>
  <c r="N6767" i="1" s="1"/>
  <c r="L6768" i="1"/>
  <c r="M6768" i="1" s="1"/>
  <c r="N6768" i="1" s="1"/>
  <c r="L6769" i="1"/>
  <c r="M6769" i="1" s="1"/>
  <c r="N6769" i="1" s="1"/>
  <c r="L6770" i="1"/>
  <c r="M6770" i="1" s="1"/>
  <c r="N6770" i="1" s="1"/>
  <c r="L6771" i="1"/>
  <c r="M6771" i="1" s="1"/>
  <c r="N6771" i="1" s="1"/>
  <c r="L6772" i="1"/>
  <c r="M6772" i="1" s="1"/>
  <c r="N6772" i="1" s="1"/>
  <c r="L6773" i="1"/>
  <c r="M6773" i="1" s="1"/>
  <c r="N6773" i="1" s="1"/>
  <c r="L6774" i="1"/>
  <c r="M6774" i="1" s="1"/>
  <c r="N6774" i="1" s="1"/>
  <c r="L6775" i="1"/>
  <c r="M6775" i="1" s="1"/>
  <c r="N6775" i="1" s="1"/>
  <c r="L6776" i="1"/>
  <c r="M6776" i="1" s="1"/>
  <c r="N6776" i="1" s="1"/>
  <c r="L6777" i="1"/>
  <c r="M6777" i="1" s="1"/>
  <c r="N6777" i="1" s="1"/>
  <c r="L6778" i="1"/>
  <c r="M6778" i="1" s="1"/>
  <c r="N6778" i="1" s="1"/>
  <c r="L6779" i="1"/>
  <c r="M6779" i="1" s="1"/>
  <c r="N6779" i="1" s="1"/>
  <c r="L6780" i="1"/>
  <c r="M6780" i="1" s="1"/>
  <c r="N6780" i="1" s="1"/>
  <c r="L6781" i="1"/>
  <c r="M6781" i="1" s="1"/>
  <c r="N6781" i="1" s="1"/>
  <c r="L6782" i="1"/>
  <c r="M6782" i="1" s="1"/>
  <c r="N6782" i="1" s="1"/>
  <c r="L6783" i="1"/>
  <c r="M6783" i="1" s="1"/>
  <c r="N6783" i="1" s="1"/>
  <c r="L6784" i="1"/>
  <c r="M6784" i="1" s="1"/>
  <c r="N6784" i="1" s="1"/>
  <c r="L6785" i="1"/>
  <c r="M6785" i="1" s="1"/>
  <c r="N6785" i="1" s="1"/>
  <c r="L6786" i="1"/>
  <c r="M6786" i="1" s="1"/>
  <c r="N6786" i="1" s="1"/>
  <c r="L6787" i="1"/>
  <c r="M6787" i="1" s="1"/>
  <c r="N6787" i="1" s="1"/>
  <c r="L6788" i="1"/>
  <c r="M6788" i="1" s="1"/>
  <c r="N6788" i="1" s="1"/>
  <c r="L6789" i="1"/>
  <c r="M6789" i="1" s="1"/>
  <c r="N6789" i="1" s="1"/>
  <c r="L6790" i="1"/>
  <c r="M6790" i="1" s="1"/>
  <c r="N6790" i="1" s="1"/>
  <c r="L6791" i="1"/>
  <c r="M6791" i="1" s="1"/>
  <c r="N6791" i="1" s="1"/>
  <c r="L6792" i="1"/>
  <c r="M6792" i="1" s="1"/>
  <c r="N6792" i="1" s="1"/>
  <c r="L6793" i="1"/>
  <c r="M6793" i="1" s="1"/>
  <c r="N6793" i="1" s="1"/>
  <c r="L6794" i="1"/>
  <c r="M6794" i="1" s="1"/>
  <c r="N6794" i="1" s="1"/>
  <c r="L6795" i="1"/>
  <c r="M6795" i="1" s="1"/>
  <c r="N6795" i="1" s="1"/>
  <c r="L6796" i="1"/>
  <c r="M6796" i="1" s="1"/>
  <c r="N6796" i="1" s="1"/>
  <c r="L6797" i="1"/>
  <c r="M6797" i="1" s="1"/>
  <c r="N6797" i="1" s="1"/>
  <c r="L6798" i="1"/>
  <c r="M6798" i="1" s="1"/>
  <c r="N6798" i="1" s="1"/>
  <c r="L6799" i="1"/>
  <c r="M6799" i="1" s="1"/>
  <c r="N6799" i="1" s="1"/>
  <c r="L6800" i="1"/>
  <c r="M6800" i="1" s="1"/>
  <c r="N6800" i="1" s="1"/>
  <c r="L6801" i="1"/>
  <c r="M6801" i="1" s="1"/>
  <c r="N6801" i="1" s="1"/>
  <c r="L6802" i="1"/>
  <c r="M6802" i="1" s="1"/>
  <c r="N6802" i="1" s="1"/>
  <c r="L6803" i="1"/>
  <c r="M6803" i="1" s="1"/>
  <c r="N6803" i="1" s="1"/>
  <c r="L6804" i="1"/>
  <c r="M6804" i="1" s="1"/>
  <c r="N6804" i="1" s="1"/>
  <c r="L6805" i="1"/>
  <c r="M6805" i="1" s="1"/>
  <c r="N6805" i="1" s="1"/>
  <c r="L6806" i="1"/>
  <c r="M6806" i="1" s="1"/>
  <c r="N6806" i="1" s="1"/>
  <c r="L6807" i="1"/>
  <c r="M6807" i="1" s="1"/>
  <c r="N6807" i="1" s="1"/>
  <c r="L6808" i="1"/>
  <c r="M6808" i="1" s="1"/>
  <c r="N6808" i="1" s="1"/>
  <c r="L6809" i="1"/>
  <c r="M6809" i="1" s="1"/>
  <c r="N6809" i="1" s="1"/>
  <c r="L6810" i="1"/>
  <c r="M6810" i="1" s="1"/>
  <c r="N6810" i="1" s="1"/>
  <c r="L6811" i="1"/>
  <c r="M6811" i="1" s="1"/>
  <c r="N6811" i="1" s="1"/>
  <c r="L6812" i="1"/>
  <c r="M6812" i="1" s="1"/>
  <c r="N6812" i="1" s="1"/>
  <c r="L6813" i="1"/>
  <c r="M6813" i="1" s="1"/>
  <c r="N6813" i="1" s="1"/>
  <c r="L6814" i="1"/>
  <c r="M6814" i="1" s="1"/>
  <c r="N6814" i="1" s="1"/>
  <c r="L6815" i="1"/>
  <c r="M6815" i="1" s="1"/>
  <c r="N6815" i="1" s="1"/>
  <c r="L6816" i="1"/>
  <c r="M6816" i="1" s="1"/>
  <c r="N6816" i="1" s="1"/>
  <c r="L6817" i="1"/>
  <c r="M6817" i="1" s="1"/>
  <c r="N6817" i="1" s="1"/>
  <c r="L6818" i="1"/>
  <c r="M6818" i="1" s="1"/>
  <c r="N6818" i="1" s="1"/>
  <c r="L6819" i="1"/>
  <c r="M6819" i="1" s="1"/>
  <c r="N6819" i="1" s="1"/>
  <c r="L6820" i="1"/>
  <c r="M6820" i="1" s="1"/>
  <c r="N6820" i="1" s="1"/>
  <c r="L6821" i="1"/>
  <c r="M6821" i="1" s="1"/>
  <c r="N6821" i="1" s="1"/>
  <c r="L6822" i="1"/>
  <c r="M6822" i="1" s="1"/>
  <c r="N6822" i="1" s="1"/>
  <c r="L6823" i="1"/>
  <c r="M6823" i="1" s="1"/>
  <c r="N6823" i="1" s="1"/>
  <c r="L6824" i="1"/>
  <c r="M6824" i="1" s="1"/>
  <c r="N6824" i="1" s="1"/>
  <c r="L6825" i="1"/>
  <c r="M6825" i="1" s="1"/>
  <c r="N6825" i="1" s="1"/>
  <c r="L6826" i="1"/>
  <c r="M6826" i="1" s="1"/>
  <c r="N6826" i="1" s="1"/>
  <c r="L6827" i="1"/>
  <c r="M6827" i="1" s="1"/>
  <c r="N6827" i="1" s="1"/>
  <c r="L6828" i="1"/>
  <c r="M6828" i="1" s="1"/>
  <c r="N6828" i="1" s="1"/>
  <c r="L6829" i="1"/>
  <c r="M6829" i="1" s="1"/>
  <c r="N6829" i="1" s="1"/>
  <c r="L6830" i="1"/>
  <c r="M6830" i="1" s="1"/>
  <c r="N6830" i="1" s="1"/>
  <c r="L6831" i="1"/>
  <c r="M6831" i="1" s="1"/>
  <c r="N6831" i="1" s="1"/>
  <c r="L6832" i="1"/>
  <c r="M6832" i="1" s="1"/>
  <c r="N6832" i="1" s="1"/>
  <c r="L6833" i="1"/>
  <c r="M6833" i="1" s="1"/>
  <c r="N6833" i="1" s="1"/>
  <c r="L6834" i="1"/>
  <c r="M6834" i="1" s="1"/>
  <c r="N6834" i="1" s="1"/>
  <c r="L6835" i="1"/>
  <c r="M6835" i="1" s="1"/>
  <c r="N6835" i="1" s="1"/>
  <c r="L6836" i="1"/>
  <c r="M6836" i="1" s="1"/>
  <c r="N6836" i="1" s="1"/>
  <c r="L6837" i="1"/>
  <c r="M6837" i="1" s="1"/>
  <c r="N6837" i="1" s="1"/>
  <c r="L6838" i="1"/>
  <c r="M6838" i="1" s="1"/>
  <c r="N6838" i="1" s="1"/>
  <c r="L6839" i="1"/>
  <c r="M6839" i="1" s="1"/>
  <c r="N6839" i="1" s="1"/>
  <c r="L6840" i="1"/>
  <c r="M6840" i="1" s="1"/>
  <c r="N6840" i="1" s="1"/>
  <c r="L6841" i="1"/>
  <c r="M6841" i="1" s="1"/>
  <c r="N6841" i="1" s="1"/>
  <c r="L6842" i="1"/>
  <c r="M6842" i="1" s="1"/>
  <c r="N6842" i="1" s="1"/>
  <c r="L6843" i="1"/>
  <c r="M6843" i="1" s="1"/>
  <c r="N6843" i="1" s="1"/>
  <c r="L6844" i="1"/>
  <c r="M6844" i="1" s="1"/>
  <c r="N6844" i="1" s="1"/>
  <c r="L6845" i="1"/>
  <c r="M6845" i="1" s="1"/>
  <c r="N6845" i="1" s="1"/>
  <c r="L6846" i="1"/>
  <c r="M6846" i="1" s="1"/>
  <c r="N6846" i="1" s="1"/>
  <c r="L6847" i="1"/>
  <c r="M6847" i="1" s="1"/>
  <c r="N6847" i="1" s="1"/>
  <c r="L6848" i="1"/>
  <c r="M6848" i="1" s="1"/>
  <c r="N6848" i="1" s="1"/>
  <c r="L6849" i="1"/>
  <c r="M6849" i="1" s="1"/>
  <c r="N6849" i="1" s="1"/>
  <c r="L6850" i="1"/>
  <c r="M6850" i="1" s="1"/>
  <c r="N6850" i="1" s="1"/>
  <c r="L6851" i="1"/>
  <c r="M6851" i="1" s="1"/>
  <c r="N6851" i="1" s="1"/>
  <c r="L6852" i="1"/>
  <c r="M6852" i="1" s="1"/>
  <c r="N6852" i="1" s="1"/>
  <c r="L6853" i="1"/>
  <c r="M6853" i="1" s="1"/>
  <c r="N6853" i="1" s="1"/>
  <c r="L6854" i="1"/>
  <c r="M6854" i="1" s="1"/>
  <c r="N6854" i="1" s="1"/>
  <c r="L6855" i="1"/>
  <c r="M6855" i="1" s="1"/>
  <c r="N6855" i="1" s="1"/>
  <c r="L6856" i="1"/>
  <c r="M6856" i="1" s="1"/>
  <c r="N6856" i="1" s="1"/>
  <c r="L6857" i="1"/>
  <c r="M6857" i="1" s="1"/>
  <c r="N6857" i="1" s="1"/>
  <c r="L6858" i="1"/>
  <c r="M6858" i="1" s="1"/>
  <c r="N6858" i="1" s="1"/>
  <c r="L6859" i="1"/>
  <c r="M6859" i="1" s="1"/>
  <c r="N6859" i="1" s="1"/>
  <c r="L6860" i="1"/>
  <c r="M6860" i="1" s="1"/>
  <c r="N6860" i="1" s="1"/>
  <c r="L6861" i="1"/>
  <c r="M6861" i="1" s="1"/>
  <c r="N6861" i="1" s="1"/>
  <c r="L6862" i="1"/>
  <c r="M6862" i="1" s="1"/>
  <c r="N6862" i="1" s="1"/>
  <c r="L6863" i="1"/>
  <c r="M6863" i="1" s="1"/>
  <c r="N6863" i="1" s="1"/>
  <c r="L6864" i="1"/>
  <c r="M6864" i="1" s="1"/>
  <c r="N6864" i="1" s="1"/>
  <c r="L6865" i="1"/>
  <c r="M6865" i="1" s="1"/>
  <c r="N6865" i="1" s="1"/>
  <c r="L6866" i="1"/>
  <c r="M6866" i="1" s="1"/>
  <c r="N6866" i="1" s="1"/>
  <c r="L6867" i="1"/>
  <c r="M6867" i="1" s="1"/>
  <c r="N6867" i="1" s="1"/>
  <c r="L6868" i="1"/>
  <c r="M6868" i="1" s="1"/>
  <c r="N6868" i="1" s="1"/>
  <c r="L6869" i="1"/>
  <c r="M6869" i="1" s="1"/>
  <c r="N6869" i="1" s="1"/>
  <c r="L6870" i="1"/>
  <c r="M6870" i="1" s="1"/>
  <c r="N6870" i="1" s="1"/>
  <c r="L6871" i="1"/>
  <c r="M6871" i="1" s="1"/>
  <c r="N6871" i="1" s="1"/>
  <c r="L6872" i="1"/>
  <c r="M6872" i="1" s="1"/>
  <c r="N6872" i="1" s="1"/>
  <c r="L6873" i="1"/>
  <c r="M6873" i="1" s="1"/>
  <c r="N6873" i="1" s="1"/>
  <c r="L6874" i="1"/>
  <c r="M6874" i="1" s="1"/>
  <c r="N6874" i="1" s="1"/>
  <c r="L6875" i="1"/>
  <c r="M6875" i="1" s="1"/>
  <c r="N6875" i="1" s="1"/>
  <c r="L6876" i="1"/>
  <c r="M6876" i="1" s="1"/>
  <c r="N6876" i="1" s="1"/>
  <c r="L6877" i="1"/>
  <c r="M6877" i="1" s="1"/>
  <c r="N6877" i="1" s="1"/>
  <c r="L6878" i="1"/>
  <c r="M6878" i="1" s="1"/>
  <c r="N6878" i="1" s="1"/>
  <c r="L6879" i="1"/>
  <c r="M6879" i="1" s="1"/>
  <c r="N6879" i="1" s="1"/>
  <c r="L6880" i="1"/>
  <c r="M6880" i="1" s="1"/>
  <c r="N6880" i="1" s="1"/>
  <c r="L6881" i="1"/>
  <c r="M6881" i="1" s="1"/>
  <c r="N6881" i="1" s="1"/>
  <c r="L6882" i="1"/>
  <c r="M6882" i="1" s="1"/>
  <c r="N6882" i="1" s="1"/>
  <c r="L6883" i="1"/>
  <c r="M6883" i="1" s="1"/>
  <c r="N6883" i="1" s="1"/>
  <c r="L6884" i="1"/>
  <c r="M6884" i="1" s="1"/>
  <c r="N6884" i="1" s="1"/>
  <c r="L6885" i="1"/>
  <c r="M6885" i="1" s="1"/>
  <c r="N6885" i="1" s="1"/>
  <c r="L6886" i="1"/>
  <c r="M6886" i="1" s="1"/>
  <c r="N6886" i="1" s="1"/>
  <c r="L6887" i="1"/>
  <c r="M6887" i="1" s="1"/>
  <c r="N6887" i="1" s="1"/>
  <c r="L6888" i="1"/>
  <c r="M6888" i="1" s="1"/>
  <c r="N6888" i="1" s="1"/>
  <c r="L6889" i="1"/>
  <c r="M6889" i="1" s="1"/>
  <c r="N6889" i="1" s="1"/>
  <c r="L6890" i="1"/>
  <c r="M6890" i="1" s="1"/>
  <c r="N6890" i="1" s="1"/>
  <c r="L6891" i="1"/>
  <c r="M6891" i="1" s="1"/>
  <c r="N6891" i="1" s="1"/>
  <c r="L6892" i="1"/>
  <c r="M6892" i="1" s="1"/>
  <c r="N6892" i="1" s="1"/>
  <c r="L6893" i="1"/>
  <c r="M6893" i="1" s="1"/>
  <c r="N6893" i="1" s="1"/>
  <c r="L6894" i="1"/>
  <c r="M6894" i="1" s="1"/>
  <c r="N6894" i="1" s="1"/>
  <c r="L6895" i="1"/>
  <c r="M6895" i="1" s="1"/>
  <c r="N6895" i="1" s="1"/>
  <c r="L6896" i="1"/>
  <c r="M6896" i="1" s="1"/>
  <c r="N6896" i="1" s="1"/>
  <c r="L6897" i="1"/>
  <c r="M6897" i="1" s="1"/>
  <c r="N6897" i="1" s="1"/>
  <c r="L6898" i="1"/>
  <c r="M6898" i="1" s="1"/>
  <c r="N6898" i="1" s="1"/>
  <c r="L6899" i="1"/>
  <c r="M6899" i="1" s="1"/>
  <c r="N6899" i="1" s="1"/>
  <c r="L6900" i="1"/>
  <c r="M6900" i="1" s="1"/>
  <c r="N6900" i="1" s="1"/>
  <c r="L6901" i="1"/>
  <c r="M6901" i="1" s="1"/>
  <c r="N6901" i="1" s="1"/>
  <c r="L6902" i="1"/>
  <c r="M6902" i="1" s="1"/>
  <c r="N6902" i="1" s="1"/>
  <c r="L6903" i="1"/>
  <c r="M6903" i="1" s="1"/>
  <c r="N6903" i="1" s="1"/>
  <c r="L6904" i="1"/>
  <c r="M6904" i="1" s="1"/>
  <c r="N6904" i="1" s="1"/>
  <c r="L6905" i="1"/>
  <c r="M6905" i="1" s="1"/>
  <c r="N6905" i="1" s="1"/>
  <c r="L6906" i="1"/>
  <c r="M6906" i="1" s="1"/>
  <c r="N6906" i="1" s="1"/>
  <c r="L6907" i="1"/>
  <c r="M6907" i="1" s="1"/>
  <c r="N6907" i="1" s="1"/>
  <c r="L6908" i="1"/>
  <c r="M6908" i="1" s="1"/>
  <c r="N6908" i="1" s="1"/>
  <c r="L6909" i="1"/>
  <c r="M6909" i="1" s="1"/>
  <c r="N6909" i="1" s="1"/>
  <c r="L6910" i="1"/>
  <c r="M6910" i="1" s="1"/>
  <c r="N6910" i="1" s="1"/>
  <c r="L6911" i="1"/>
  <c r="M6911" i="1" s="1"/>
  <c r="N6911" i="1" s="1"/>
  <c r="L6912" i="1"/>
  <c r="M6912" i="1" s="1"/>
  <c r="N6912" i="1" s="1"/>
  <c r="L6913" i="1"/>
  <c r="M6913" i="1" s="1"/>
  <c r="N6913" i="1" s="1"/>
  <c r="L6914" i="1"/>
  <c r="M6914" i="1" s="1"/>
  <c r="N6914" i="1" s="1"/>
  <c r="L6915" i="1"/>
  <c r="M6915" i="1" s="1"/>
  <c r="N6915" i="1" s="1"/>
  <c r="L6916" i="1"/>
  <c r="M6916" i="1" s="1"/>
  <c r="N6916" i="1" s="1"/>
  <c r="L6917" i="1"/>
  <c r="M6917" i="1" s="1"/>
  <c r="N6917" i="1" s="1"/>
  <c r="L6918" i="1"/>
  <c r="M6918" i="1" s="1"/>
  <c r="N6918" i="1" s="1"/>
  <c r="L6919" i="1"/>
  <c r="M6919" i="1" s="1"/>
  <c r="N6919" i="1" s="1"/>
  <c r="L6920" i="1"/>
  <c r="M6920" i="1" s="1"/>
  <c r="N6920" i="1" s="1"/>
  <c r="L6921" i="1"/>
  <c r="M6921" i="1" s="1"/>
  <c r="N6921" i="1" s="1"/>
  <c r="L6922" i="1"/>
  <c r="M6922" i="1" s="1"/>
  <c r="N6922" i="1" s="1"/>
  <c r="L6923" i="1"/>
  <c r="M6923" i="1" s="1"/>
  <c r="N6923" i="1" s="1"/>
  <c r="L6924" i="1"/>
  <c r="M6924" i="1" s="1"/>
  <c r="N6924" i="1" s="1"/>
  <c r="L6925" i="1"/>
  <c r="M6925" i="1" s="1"/>
  <c r="N6925" i="1" s="1"/>
  <c r="L6926" i="1"/>
  <c r="M6926" i="1" s="1"/>
  <c r="N6926" i="1" s="1"/>
  <c r="L6927" i="1"/>
  <c r="M6927" i="1" s="1"/>
  <c r="N6927" i="1" s="1"/>
  <c r="L6928" i="1"/>
  <c r="M6928" i="1" s="1"/>
  <c r="N6928" i="1" s="1"/>
  <c r="L6929" i="1"/>
  <c r="M6929" i="1" s="1"/>
  <c r="N6929" i="1" s="1"/>
  <c r="L6930" i="1"/>
  <c r="M6930" i="1" s="1"/>
  <c r="N6930" i="1" s="1"/>
  <c r="L6931" i="1"/>
  <c r="M6931" i="1" s="1"/>
  <c r="N6931" i="1" s="1"/>
  <c r="L6932" i="1"/>
  <c r="M6932" i="1" s="1"/>
  <c r="N6932" i="1" s="1"/>
  <c r="L6933" i="1"/>
  <c r="M6933" i="1" s="1"/>
  <c r="N6933" i="1" s="1"/>
  <c r="L6934" i="1"/>
  <c r="M6934" i="1" s="1"/>
  <c r="N6934" i="1" s="1"/>
  <c r="L6935" i="1"/>
  <c r="M6935" i="1" s="1"/>
  <c r="N6935" i="1" s="1"/>
  <c r="L6936" i="1"/>
  <c r="M6936" i="1" s="1"/>
  <c r="N6936" i="1" s="1"/>
  <c r="L6937" i="1"/>
  <c r="M6937" i="1" s="1"/>
  <c r="N6937" i="1" s="1"/>
  <c r="L6938" i="1"/>
  <c r="M6938" i="1" s="1"/>
  <c r="N6938" i="1" s="1"/>
  <c r="L6939" i="1"/>
  <c r="M6939" i="1" s="1"/>
  <c r="N6939" i="1" s="1"/>
  <c r="L6940" i="1"/>
  <c r="M6940" i="1" s="1"/>
  <c r="N6940" i="1" s="1"/>
  <c r="L6941" i="1"/>
  <c r="M6941" i="1" s="1"/>
  <c r="N6941" i="1" s="1"/>
  <c r="L6942" i="1"/>
  <c r="M6942" i="1" s="1"/>
  <c r="N6942" i="1" s="1"/>
  <c r="L6943" i="1"/>
  <c r="M6943" i="1" s="1"/>
  <c r="N6943" i="1" s="1"/>
  <c r="L6944" i="1"/>
  <c r="M6944" i="1" s="1"/>
  <c r="N6944" i="1" s="1"/>
  <c r="L6945" i="1"/>
  <c r="M6945" i="1" s="1"/>
  <c r="N6945" i="1" s="1"/>
  <c r="L6946" i="1"/>
  <c r="M6946" i="1" s="1"/>
  <c r="N6946" i="1" s="1"/>
  <c r="L6947" i="1"/>
  <c r="M6947" i="1" s="1"/>
  <c r="N6947" i="1" s="1"/>
  <c r="L6948" i="1"/>
  <c r="M6948" i="1" s="1"/>
  <c r="N6948" i="1" s="1"/>
  <c r="L6949" i="1"/>
  <c r="M6949" i="1" s="1"/>
  <c r="N6949" i="1" s="1"/>
  <c r="L6950" i="1"/>
  <c r="M6950" i="1" s="1"/>
  <c r="N6950" i="1" s="1"/>
  <c r="L6951" i="1"/>
  <c r="M6951" i="1" s="1"/>
  <c r="N6951" i="1" s="1"/>
  <c r="L6952" i="1"/>
  <c r="M6952" i="1" s="1"/>
  <c r="N6952" i="1" s="1"/>
  <c r="L6953" i="1"/>
  <c r="M6953" i="1" s="1"/>
  <c r="N6953" i="1" s="1"/>
  <c r="L6954" i="1"/>
  <c r="M6954" i="1" s="1"/>
  <c r="N6954" i="1" s="1"/>
  <c r="L6955" i="1"/>
  <c r="M6955" i="1" s="1"/>
  <c r="N6955" i="1" s="1"/>
  <c r="L6956" i="1"/>
  <c r="M6956" i="1" s="1"/>
  <c r="N6956" i="1" s="1"/>
  <c r="L6957" i="1"/>
  <c r="M6957" i="1" s="1"/>
  <c r="N6957" i="1" s="1"/>
  <c r="L6958" i="1"/>
  <c r="M6958" i="1" s="1"/>
  <c r="N6958" i="1" s="1"/>
  <c r="L6959" i="1"/>
  <c r="M6959" i="1" s="1"/>
  <c r="N6959" i="1" s="1"/>
  <c r="L6960" i="1"/>
  <c r="M6960" i="1" s="1"/>
  <c r="N6960" i="1" s="1"/>
  <c r="L6961" i="1"/>
  <c r="M6961" i="1" s="1"/>
  <c r="N6961" i="1" s="1"/>
  <c r="L6962" i="1"/>
  <c r="M6962" i="1" s="1"/>
  <c r="N6962" i="1" s="1"/>
  <c r="L6963" i="1"/>
  <c r="M6963" i="1" s="1"/>
  <c r="N6963" i="1" s="1"/>
  <c r="L6964" i="1"/>
  <c r="M6964" i="1" s="1"/>
  <c r="N6964" i="1" s="1"/>
  <c r="L6965" i="1"/>
  <c r="M6965" i="1" s="1"/>
  <c r="N6965" i="1" s="1"/>
  <c r="L6966" i="1"/>
  <c r="M6966" i="1" s="1"/>
  <c r="N6966" i="1" s="1"/>
  <c r="L6967" i="1"/>
  <c r="M6967" i="1" s="1"/>
  <c r="N6967" i="1" s="1"/>
  <c r="L6968" i="1"/>
  <c r="M6968" i="1" s="1"/>
  <c r="N6968" i="1" s="1"/>
  <c r="L6969" i="1"/>
  <c r="M6969" i="1" s="1"/>
  <c r="N6969" i="1" s="1"/>
  <c r="L6970" i="1"/>
  <c r="M6970" i="1" s="1"/>
  <c r="N6970" i="1" s="1"/>
  <c r="L6971" i="1"/>
  <c r="M6971" i="1" s="1"/>
  <c r="N6971" i="1" s="1"/>
  <c r="L6972" i="1"/>
  <c r="M6972" i="1" s="1"/>
  <c r="N6972" i="1" s="1"/>
  <c r="L6973" i="1"/>
  <c r="M6973" i="1" s="1"/>
  <c r="N6973" i="1" s="1"/>
  <c r="L6974" i="1"/>
  <c r="M6974" i="1" s="1"/>
  <c r="N6974" i="1" s="1"/>
  <c r="L6975" i="1"/>
  <c r="M6975" i="1" s="1"/>
  <c r="N6975" i="1" s="1"/>
  <c r="L6976" i="1"/>
  <c r="M6976" i="1" s="1"/>
  <c r="N6976" i="1" s="1"/>
  <c r="L6977" i="1"/>
  <c r="M6977" i="1" s="1"/>
  <c r="N6977" i="1" s="1"/>
  <c r="L6978" i="1"/>
  <c r="M6978" i="1" s="1"/>
  <c r="N6978" i="1" s="1"/>
  <c r="L6979" i="1"/>
  <c r="M6979" i="1" s="1"/>
  <c r="N6979" i="1" s="1"/>
  <c r="L6980" i="1"/>
  <c r="M6980" i="1" s="1"/>
  <c r="N6980" i="1" s="1"/>
  <c r="L6981" i="1"/>
  <c r="M6981" i="1" s="1"/>
  <c r="N6981" i="1" s="1"/>
  <c r="L6982" i="1"/>
  <c r="M6982" i="1" s="1"/>
  <c r="N6982" i="1" s="1"/>
  <c r="L6983" i="1"/>
  <c r="M6983" i="1" s="1"/>
  <c r="N6983" i="1" s="1"/>
  <c r="L6984" i="1"/>
  <c r="M6984" i="1" s="1"/>
  <c r="N6984" i="1" s="1"/>
  <c r="L6985" i="1"/>
  <c r="M6985" i="1" s="1"/>
  <c r="N6985" i="1" s="1"/>
  <c r="L6986" i="1"/>
  <c r="M6986" i="1" s="1"/>
  <c r="N6986" i="1" s="1"/>
  <c r="L6987" i="1"/>
  <c r="M6987" i="1" s="1"/>
  <c r="N6987" i="1" s="1"/>
  <c r="L6988" i="1"/>
  <c r="M6988" i="1" s="1"/>
  <c r="N6988" i="1" s="1"/>
  <c r="L6989" i="1"/>
  <c r="M6989" i="1" s="1"/>
  <c r="N6989" i="1" s="1"/>
  <c r="L6990" i="1"/>
  <c r="M6990" i="1" s="1"/>
  <c r="N6990" i="1" s="1"/>
  <c r="L6991" i="1"/>
  <c r="M6991" i="1" s="1"/>
  <c r="N6991" i="1" s="1"/>
  <c r="L6992" i="1"/>
  <c r="M6992" i="1" s="1"/>
  <c r="N6992" i="1" s="1"/>
  <c r="L6993" i="1"/>
  <c r="M6993" i="1" s="1"/>
  <c r="N6993" i="1" s="1"/>
  <c r="L6994" i="1"/>
  <c r="M6994" i="1" s="1"/>
  <c r="N6994" i="1" s="1"/>
  <c r="L6995" i="1"/>
  <c r="M6995" i="1" s="1"/>
  <c r="N6995" i="1" s="1"/>
  <c r="L6996" i="1"/>
  <c r="M6996" i="1" s="1"/>
  <c r="N6996" i="1" s="1"/>
  <c r="L6997" i="1"/>
  <c r="M6997" i="1" s="1"/>
  <c r="N6997" i="1" s="1"/>
  <c r="L6998" i="1"/>
  <c r="M6998" i="1" s="1"/>
  <c r="N6998" i="1" s="1"/>
  <c r="L6999" i="1"/>
  <c r="M6999" i="1" s="1"/>
  <c r="N6999" i="1" s="1"/>
  <c r="L7000" i="1"/>
  <c r="M7000" i="1" s="1"/>
  <c r="N7000" i="1" s="1"/>
  <c r="L7001" i="1"/>
  <c r="M7001" i="1" s="1"/>
  <c r="N7001" i="1" s="1"/>
  <c r="L7002" i="1"/>
  <c r="M7002" i="1" s="1"/>
  <c r="N7002" i="1" s="1"/>
  <c r="L7003" i="1"/>
  <c r="M7003" i="1" s="1"/>
  <c r="N7003" i="1" s="1"/>
  <c r="L7004" i="1"/>
  <c r="M7004" i="1" s="1"/>
  <c r="N7004" i="1" s="1"/>
  <c r="L7005" i="1"/>
  <c r="M7005" i="1" s="1"/>
  <c r="N7005" i="1" s="1"/>
  <c r="L7006" i="1"/>
  <c r="M7006" i="1" s="1"/>
  <c r="N7006" i="1" s="1"/>
  <c r="L7007" i="1"/>
  <c r="M7007" i="1" s="1"/>
  <c r="N7007" i="1" s="1"/>
  <c r="L7008" i="1"/>
  <c r="M7008" i="1" s="1"/>
  <c r="N7008" i="1" s="1"/>
  <c r="L7009" i="1"/>
  <c r="M7009" i="1" s="1"/>
  <c r="N7009" i="1" s="1"/>
  <c r="L7010" i="1"/>
  <c r="M7010" i="1" s="1"/>
  <c r="N7010" i="1" s="1"/>
  <c r="L7011" i="1"/>
  <c r="M7011" i="1" s="1"/>
  <c r="N7011" i="1" s="1"/>
  <c r="L7012" i="1"/>
  <c r="M7012" i="1" s="1"/>
  <c r="N7012" i="1" s="1"/>
  <c r="L7013" i="1"/>
  <c r="M7013" i="1" s="1"/>
  <c r="N7013" i="1" s="1"/>
  <c r="L7014" i="1"/>
  <c r="M7014" i="1" s="1"/>
  <c r="N7014" i="1" s="1"/>
  <c r="L7015" i="1"/>
  <c r="M7015" i="1" s="1"/>
  <c r="N7015" i="1" s="1"/>
  <c r="L7016" i="1"/>
  <c r="M7016" i="1" s="1"/>
  <c r="N7016" i="1" s="1"/>
  <c r="L7017" i="1"/>
  <c r="M7017" i="1" s="1"/>
  <c r="N7017" i="1" s="1"/>
  <c r="L7018" i="1"/>
  <c r="M7018" i="1" s="1"/>
  <c r="N7018" i="1" s="1"/>
  <c r="L7019" i="1"/>
  <c r="M7019" i="1" s="1"/>
  <c r="N7019" i="1" s="1"/>
  <c r="L7020" i="1"/>
  <c r="M7020" i="1" s="1"/>
  <c r="N7020" i="1" s="1"/>
  <c r="L7021" i="1"/>
  <c r="M7021" i="1" s="1"/>
  <c r="N7021" i="1" s="1"/>
  <c r="L7022" i="1"/>
  <c r="M7022" i="1" s="1"/>
  <c r="N7022" i="1" s="1"/>
  <c r="L7023" i="1"/>
  <c r="M7023" i="1" s="1"/>
  <c r="N7023" i="1" s="1"/>
  <c r="L7024" i="1"/>
  <c r="M7024" i="1" s="1"/>
  <c r="N7024" i="1" s="1"/>
  <c r="L7025" i="1"/>
  <c r="M7025" i="1" s="1"/>
  <c r="N7025" i="1" s="1"/>
  <c r="L7026" i="1"/>
  <c r="M7026" i="1" s="1"/>
  <c r="N7026" i="1" s="1"/>
  <c r="L7027" i="1"/>
  <c r="M7027" i="1" s="1"/>
  <c r="N7027" i="1" s="1"/>
  <c r="L7028" i="1"/>
  <c r="M7028" i="1" s="1"/>
  <c r="N7028" i="1" s="1"/>
  <c r="L7029" i="1"/>
  <c r="M7029" i="1" s="1"/>
  <c r="N7029" i="1" s="1"/>
  <c r="L7030" i="1"/>
  <c r="M7030" i="1" s="1"/>
  <c r="N7030" i="1" s="1"/>
  <c r="L7031" i="1"/>
  <c r="M7031" i="1" s="1"/>
  <c r="N7031" i="1" s="1"/>
  <c r="L7032" i="1"/>
  <c r="M7032" i="1" s="1"/>
  <c r="N7032" i="1" s="1"/>
  <c r="L7033" i="1"/>
  <c r="M7033" i="1" s="1"/>
  <c r="N7033" i="1" s="1"/>
  <c r="L7034" i="1"/>
  <c r="M7034" i="1" s="1"/>
  <c r="N7034" i="1" s="1"/>
  <c r="L7035" i="1"/>
  <c r="M7035" i="1" s="1"/>
  <c r="N7035" i="1" s="1"/>
  <c r="L7036" i="1"/>
  <c r="M7036" i="1" s="1"/>
  <c r="N7036" i="1" s="1"/>
  <c r="L7037" i="1"/>
  <c r="M7037" i="1" s="1"/>
  <c r="N7037" i="1" s="1"/>
  <c r="L7038" i="1"/>
  <c r="M7038" i="1" s="1"/>
  <c r="N7038" i="1" s="1"/>
  <c r="L7039" i="1"/>
  <c r="M7039" i="1" s="1"/>
  <c r="N7039" i="1" s="1"/>
  <c r="L7040" i="1"/>
  <c r="M7040" i="1" s="1"/>
  <c r="N7040" i="1" s="1"/>
  <c r="L7041" i="1"/>
  <c r="M7041" i="1" s="1"/>
  <c r="N7041" i="1" s="1"/>
  <c r="L7042" i="1"/>
  <c r="M7042" i="1" s="1"/>
  <c r="N7042" i="1" s="1"/>
  <c r="L7043" i="1"/>
  <c r="M7043" i="1" s="1"/>
  <c r="N7043" i="1" s="1"/>
  <c r="L7044" i="1"/>
  <c r="M7044" i="1" s="1"/>
  <c r="N7044" i="1" s="1"/>
  <c r="L7045" i="1"/>
  <c r="M7045" i="1" s="1"/>
  <c r="N7045" i="1" s="1"/>
  <c r="L7046" i="1"/>
  <c r="M7046" i="1" s="1"/>
  <c r="N7046" i="1" s="1"/>
  <c r="L7047" i="1"/>
  <c r="M7047" i="1" s="1"/>
  <c r="N7047" i="1" s="1"/>
  <c r="L7048" i="1"/>
  <c r="M7048" i="1" s="1"/>
  <c r="N7048" i="1" s="1"/>
  <c r="L7049" i="1"/>
  <c r="M7049" i="1" s="1"/>
  <c r="N7049" i="1" s="1"/>
  <c r="L7050" i="1"/>
  <c r="M7050" i="1" s="1"/>
  <c r="N7050" i="1" s="1"/>
  <c r="L7051" i="1"/>
  <c r="M7051" i="1" s="1"/>
  <c r="N7051" i="1" s="1"/>
  <c r="L7052" i="1"/>
  <c r="M7052" i="1" s="1"/>
  <c r="N7052" i="1" s="1"/>
  <c r="L7053" i="1"/>
  <c r="M7053" i="1" s="1"/>
  <c r="N7053" i="1" s="1"/>
  <c r="L7054" i="1"/>
  <c r="M7054" i="1" s="1"/>
  <c r="N7054" i="1" s="1"/>
  <c r="L7055" i="1"/>
  <c r="M7055" i="1" s="1"/>
  <c r="N7055" i="1" s="1"/>
  <c r="L7056" i="1"/>
  <c r="M7056" i="1" s="1"/>
  <c r="N7056" i="1" s="1"/>
  <c r="L7057" i="1"/>
  <c r="M7057" i="1" s="1"/>
  <c r="N7057" i="1" s="1"/>
  <c r="L7058" i="1"/>
  <c r="M7058" i="1" s="1"/>
  <c r="N7058" i="1" s="1"/>
  <c r="L7059" i="1"/>
  <c r="M7059" i="1" s="1"/>
  <c r="N7059" i="1" s="1"/>
  <c r="L7060" i="1"/>
  <c r="M7060" i="1" s="1"/>
  <c r="N7060" i="1" s="1"/>
  <c r="L7061" i="1"/>
  <c r="M7061" i="1" s="1"/>
  <c r="N7061" i="1" s="1"/>
  <c r="L7062" i="1"/>
  <c r="M7062" i="1" s="1"/>
  <c r="N7062" i="1" s="1"/>
  <c r="L7063" i="1"/>
  <c r="M7063" i="1" s="1"/>
  <c r="N7063" i="1" s="1"/>
  <c r="L7064" i="1"/>
  <c r="M7064" i="1" s="1"/>
  <c r="N7064" i="1" s="1"/>
  <c r="L7065" i="1"/>
  <c r="M7065" i="1" s="1"/>
  <c r="N7065" i="1" s="1"/>
  <c r="L7066" i="1"/>
  <c r="M7066" i="1" s="1"/>
  <c r="N7066" i="1" s="1"/>
  <c r="L7067" i="1"/>
  <c r="M7067" i="1" s="1"/>
  <c r="N7067" i="1" s="1"/>
  <c r="L7068" i="1"/>
  <c r="M7068" i="1" s="1"/>
  <c r="N7068" i="1" s="1"/>
  <c r="L7069" i="1"/>
  <c r="M7069" i="1" s="1"/>
  <c r="N7069" i="1" s="1"/>
  <c r="L7070" i="1"/>
  <c r="M7070" i="1" s="1"/>
  <c r="N7070" i="1" s="1"/>
  <c r="L7071" i="1"/>
  <c r="M7071" i="1" s="1"/>
  <c r="N7071" i="1" s="1"/>
  <c r="L7072" i="1"/>
  <c r="M7072" i="1" s="1"/>
  <c r="N7072" i="1" s="1"/>
  <c r="L7073" i="1"/>
  <c r="M7073" i="1" s="1"/>
  <c r="N7073" i="1" s="1"/>
  <c r="L7074" i="1"/>
  <c r="M7074" i="1" s="1"/>
  <c r="N7074" i="1" s="1"/>
  <c r="L7075" i="1"/>
  <c r="M7075" i="1" s="1"/>
  <c r="N7075" i="1" s="1"/>
  <c r="L7076" i="1"/>
  <c r="M7076" i="1" s="1"/>
  <c r="N7076" i="1" s="1"/>
  <c r="L7077" i="1"/>
  <c r="M7077" i="1" s="1"/>
  <c r="N7077" i="1" s="1"/>
  <c r="L7078" i="1"/>
  <c r="M7078" i="1" s="1"/>
  <c r="N7078" i="1" s="1"/>
  <c r="L7079" i="1"/>
  <c r="M7079" i="1" s="1"/>
  <c r="N7079" i="1" s="1"/>
  <c r="L7080" i="1"/>
  <c r="M7080" i="1" s="1"/>
  <c r="N7080" i="1" s="1"/>
  <c r="L7081" i="1"/>
  <c r="M7081" i="1" s="1"/>
  <c r="N7081" i="1" s="1"/>
  <c r="L7082" i="1"/>
  <c r="M7082" i="1" s="1"/>
  <c r="N7082" i="1" s="1"/>
  <c r="L7083" i="1"/>
  <c r="M7083" i="1" s="1"/>
  <c r="N7083" i="1" s="1"/>
  <c r="L7084" i="1"/>
  <c r="M7084" i="1" s="1"/>
  <c r="N7084" i="1" s="1"/>
  <c r="L7085" i="1"/>
  <c r="M7085" i="1" s="1"/>
  <c r="N7085" i="1" s="1"/>
  <c r="L7086" i="1"/>
  <c r="M7086" i="1" s="1"/>
  <c r="N7086" i="1" s="1"/>
  <c r="L7087" i="1"/>
  <c r="M7087" i="1" s="1"/>
  <c r="N7087" i="1" s="1"/>
  <c r="L7088" i="1"/>
  <c r="M7088" i="1" s="1"/>
  <c r="N7088" i="1" s="1"/>
  <c r="L7089" i="1"/>
  <c r="M7089" i="1" s="1"/>
  <c r="N7089" i="1" s="1"/>
  <c r="L7090" i="1"/>
  <c r="M7090" i="1" s="1"/>
  <c r="N7090" i="1" s="1"/>
  <c r="L7091" i="1"/>
  <c r="M7091" i="1" s="1"/>
  <c r="N7091" i="1" s="1"/>
  <c r="L7092" i="1"/>
  <c r="M7092" i="1" s="1"/>
  <c r="N7092" i="1" s="1"/>
  <c r="L7093" i="1"/>
  <c r="M7093" i="1" s="1"/>
  <c r="N7093" i="1" s="1"/>
  <c r="L7094" i="1"/>
  <c r="M7094" i="1" s="1"/>
  <c r="N7094" i="1" s="1"/>
  <c r="L7095" i="1"/>
  <c r="M7095" i="1" s="1"/>
  <c r="N7095" i="1" s="1"/>
  <c r="L7096" i="1"/>
  <c r="M7096" i="1" s="1"/>
  <c r="N7096" i="1" s="1"/>
  <c r="L7097" i="1"/>
  <c r="M7097" i="1" s="1"/>
  <c r="N7097" i="1" s="1"/>
  <c r="L7098" i="1"/>
  <c r="M7098" i="1" s="1"/>
  <c r="N7098" i="1" s="1"/>
  <c r="L7099" i="1"/>
  <c r="M7099" i="1" s="1"/>
  <c r="N7099" i="1" s="1"/>
  <c r="L7100" i="1"/>
  <c r="M7100" i="1" s="1"/>
  <c r="N7100" i="1" s="1"/>
  <c r="L7101" i="1"/>
  <c r="M7101" i="1" s="1"/>
  <c r="N7101" i="1" s="1"/>
  <c r="L7102" i="1"/>
  <c r="M7102" i="1" s="1"/>
  <c r="N7102" i="1" s="1"/>
  <c r="L7103" i="1"/>
  <c r="M7103" i="1" s="1"/>
  <c r="N7103" i="1" s="1"/>
  <c r="L7104" i="1"/>
  <c r="M7104" i="1" s="1"/>
  <c r="N7104" i="1" s="1"/>
  <c r="L7105" i="1"/>
  <c r="M7105" i="1" s="1"/>
  <c r="N7105" i="1" s="1"/>
  <c r="L7106" i="1"/>
  <c r="M7106" i="1" s="1"/>
  <c r="N7106" i="1" s="1"/>
  <c r="L7107" i="1"/>
  <c r="M7107" i="1" s="1"/>
  <c r="N7107" i="1" s="1"/>
  <c r="L7108" i="1"/>
  <c r="M7108" i="1" s="1"/>
  <c r="N7108" i="1" s="1"/>
  <c r="L7109" i="1"/>
  <c r="M7109" i="1" s="1"/>
  <c r="N7109" i="1" s="1"/>
  <c r="L7110" i="1"/>
  <c r="M7110" i="1" s="1"/>
  <c r="N7110" i="1" s="1"/>
  <c r="L7111" i="1"/>
  <c r="M7111" i="1" s="1"/>
  <c r="N7111" i="1" s="1"/>
  <c r="L7112" i="1"/>
  <c r="M7112" i="1" s="1"/>
  <c r="N7112" i="1" s="1"/>
  <c r="L7113" i="1"/>
  <c r="M7113" i="1" s="1"/>
  <c r="N7113" i="1" s="1"/>
  <c r="L7114" i="1"/>
  <c r="M7114" i="1" s="1"/>
  <c r="N7114" i="1" s="1"/>
  <c r="L7115" i="1"/>
  <c r="M7115" i="1" s="1"/>
  <c r="N7115" i="1" s="1"/>
  <c r="L7116" i="1"/>
  <c r="M7116" i="1" s="1"/>
  <c r="N7116" i="1" s="1"/>
  <c r="L7117" i="1"/>
  <c r="M7117" i="1" s="1"/>
  <c r="N7117" i="1" s="1"/>
  <c r="L7118" i="1"/>
  <c r="M7118" i="1" s="1"/>
  <c r="N7118" i="1" s="1"/>
  <c r="L7119" i="1"/>
  <c r="M7119" i="1" s="1"/>
  <c r="N7119" i="1" s="1"/>
  <c r="L7120" i="1"/>
  <c r="M7120" i="1" s="1"/>
  <c r="N7120" i="1" s="1"/>
  <c r="L7121" i="1"/>
  <c r="M7121" i="1" s="1"/>
  <c r="N7121" i="1" s="1"/>
  <c r="L7122" i="1"/>
  <c r="M7122" i="1" s="1"/>
  <c r="N7122" i="1" s="1"/>
  <c r="L7123" i="1"/>
  <c r="M7123" i="1" s="1"/>
  <c r="N7123" i="1" s="1"/>
  <c r="L7124" i="1"/>
  <c r="M7124" i="1" s="1"/>
  <c r="N7124" i="1" s="1"/>
  <c r="L7125" i="1"/>
  <c r="M7125" i="1" s="1"/>
  <c r="N7125" i="1" s="1"/>
  <c r="L7126" i="1"/>
  <c r="M7126" i="1" s="1"/>
  <c r="N7126" i="1" s="1"/>
  <c r="L7127" i="1"/>
  <c r="M7127" i="1" s="1"/>
  <c r="N7127" i="1" s="1"/>
  <c r="L7128" i="1"/>
  <c r="M7128" i="1" s="1"/>
  <c r="N7128" i="1" s="1"/>
  <c r="L7129" i="1"/>
  <c r="M7129" i="1" s="1"/>
  <c r="N7129" i="1" s="1"/>
  <c r="L7130" i="1"/>
  <c r="M7130" i="1" s="1"/>
  <c r="N7130" i="1" s="1"/>
  <c r="L7131" i="1"/>
  <c r="M7131" i="1" s="1"/>
  <c r="N7131" i="1" s="1"/>
  <c r="L7132" i="1"/>
  <c r="M7132" i="1" s="1"/>
  <c r="N7132" i="1" s="1"/>
  <c r="L7133" i="1"/>
  <c r="M7133" i="1" s="1"/>
  <c r="N7133" i="1" s="1"/>
  <c r="L7134" i="1"/>
  <c r="M7134" i="1" s="1"/>
  <c r="N7134" i="1" s="1"/>
  <c r="L7135" i="1"/>
  <c r="M7135" i="1" s="1"/>
  <c r="N7135" i="1" s="1"/>
  <c r="L7136" i="1"/>
  <c r="M7136" i="1" s="1"/>
  <c r="N7136" i="1" s="1"/>
  <c r="L7137" i="1"/>
  <c r="M7137" i="1" s="1"/>
  <c r="N7137" i="1" s="1"/>
  <c r="L7138" i="1"/>
  <c r="M7138" i="1" s="1"/>
  <c r="N7138" i="1" s="1"/>
  <c r="L7139" i="1"/>
  <c r="M7139" i="1" s="1"/>
  <c r="N7139" i="1" s="1"/>
  <c r="L7140" i="1"/>
  <c r="M7140" i="1" s="1"/>
  <c r="N7140" i="1" s="1"/>
  <c r="L7141" i="1"/>
  <c r="M7141" i="1" s="1"/>
  <c r="N7141" i="1" s="1"/>
  <c r="L7142" i="1"/>
  <c r="M7142" i="1" s="1"/>
  <c r="N7142" i="1" s="1"/>
  <c r="L7143" i="1"/>
  <c r="M7143" i="1" s="1"/>
  <c r="N7143" i="1" s="1"/>
  <c r="L7144" i="1"/>
  <c r="M7144" i="1" s="1"/>
  <c r="N7144" i="1" s="1"/>
  <c r="L7145" i="1"/>
  <c r="M7145" i="1" s="1"/>
  <c r="N7145" i="1" s="1"/>
  <c r="L7146" i="1"/>
  <c r="M7146" i="1" s="1"/>
  <c r="N7146" i="1" s="1"/>
  <c r="L7147" i="1"/>
  <c r="M7147" i="1" s="1"/>
  <c r="N7147" i="1" s="1"/>
  <c r="L7148" i="1"/>
  <c r="M7148" i="1" s="1"/>
  <c r="N7148" i="1" s="1"/>
  <c r="L7149" i="1"/>
  <c r="M7149" i="1" s="1"/>
  <c r="N7149" i="1" s="1"/>
  <c r="L7150" i="1"/>
  <c r="M7150" i="1" s="1"/>
  <c r="N7150" i="1" s="1"/>
  <c r="L7151" i="1"/>
  <c r="M7151" i="1" s="1"/>
  <c r="N7151" i="1" s="1"/>
  <c r="L7152" i="1"/>
  <c r="M7152" i="1" s="1"/>
  <c r="N7152" i="1" s="1"/>
  <c r="L7153" i="1"/>
  <c r="M7153" i="1" s="1"/>
  <c r="N7153" i="1" s="1"/>
  <c r="L7154" i="1"/>
  <c r="M7154" i="1" s="1"/>
  <c r="N7154" i="1" s="1"/>
  <c r="L7155" i="1"/>
  <c r="M7155" i="1" s="1"/>
  <c r="N7155" i="1" s="1"/>
  <c r="L7156" i="1"/>
  <c r="M7156" i="1" s="1"/>
  <c r="N7156" i="1" s="1"/>
  <c r="L7157" i="1"/>
  <c r="M7157" i="1" s="1"/>
  <c r="N7157" i="1" s="1"/>
  <c r="L7158" i="1"/>
  <c r="M7158" i="1" s="1"/>
  <c r="N7158" i="1" s="1"/>
  <c r="L7159" i="1"/>
  <c r="M7159" i="1" s="1"/>
  <c r="N7159" i="1" s="1"/>
  <c r="L7160" i="1"/>
  <c r="M7160" i="1" s="1"/>
  <c r="N7160" i="1" s="1"/>
  <c r="L7161" i="1"/>
  <c r="M7161" i="1" s="1"/>
  <c r="N7161" i="1" s="1"/>
  <c r="L7162" i="1"/>
  <c r="M7162" i="1" s="1"/>
  <c r="N7162" i="1" s="1"/>
  <c r="L7163" i="1"/>
  <c r="M7163" i="1" s="1"/>
  <c r="N7163" i="1" s="1"/>
  <c r="L7164" i="1"/>
  <c r="M7164" i="1" s="1"/>
  <c r="N7164" i="1" s="1"/>
  <c r="L7165" i="1"/>
  <c r="M7165" i="1" s="1"/>
  <c r="N7165" i="1" s="1"/>
  <c r="L7166" i="1"/>
  <c r="M7166" i="1" s="1"/>
  <c r="N7166" i="1" s="1"/>
  <c r="L7167" i="1"/>
  <c r="M7167" i="1" s="1"/>
  <c r="N7167" i="1" s="1"/>
  <c r="L7168" i="1"/>
  <c r="M7168" i="1" s="1"/>
  <c r="N7168" i="1" s="1"/>
  <c r="L7169" i="1"/>
  <c r="M7169" i="1" s="1"/>
  <c r="N7169" i="1" s="1"/>
  <c r="L7170" i="1"/>
  <c r="M7170" i="1" s="1"/>
  <c r="N7170" i="1" s="1"/>
  <c r="L7171" i="1"/>
  <c r="M7171" i="1" s="1"/>
  <c r="N7171" i="1" s="1"/>
  <c r="L7172" i="1"/>
  <c r="M7172" i="1" s="1"/>
  <c r="N7172" i="1" s="1"/>
  <c r="L7173" i="1"/>
  <c r="M7173" i="1" s="1"/>
  <c r="N7173" i="1" s="1"/>
  <c r="L7174" i="1"/>
  <c r="M7174" i="1" s="1"/>
  <c r="N7174" i="1" s="1"/>
  <c r="L7175" i="1"/>
  <c r="M7175" i="1" s="1"/>
  <c r="N7175" i="1" s="1"/>
  <c r="L7176" i="1"/>
  <c r="M7176" i="1" s="1"/>
  <c r="N7176" i="1" s="1"/>
  <c r="L7177" i="1"/>
  <c r="M7177" i="1" s="1"/>
  <c r="N7177" i="1" s="1"/>
  <c r="L7178" i="1"/>
  <c r="M7178" i="1" s="1"/>
  <c r="N7178" i="1" s="1"/>
  <c r="L7179" i="1"/>
  <c r="M7179" i="1" s="1"/>
  <c r="N7179" i="1" s="1"/>
  <c r="L7180" i="1"/>
  <c r="M7180" i="1" s="1"/>
  <c r="N7180" i="1" s="1"/>
  <c r="L7181" i="1"/>
  <c r="M7181" i="1" s="1"/>
  <c r="N7181" i="1" s="1"/>
  <c r="L7182" i="1"/>
  <c r="M7182" i="1" s="1"/>
  <c r="N7182" i="1" s="1"/>
  <c r="L7183" i="1"/>
  <c r="M7183" i="1" s="1"/>
  <c r="N7183" i="1" s="1"/>
  <c r="L7184" i="1"/>
  <c r="M7184" i="1" s="1"/>
  <c r="N7184" i="1" s="1"/>
  <c r="L7185" i="1"/>
  <c r="M7185" i="1" s="1"/>
  <c r="N7185" i="1" s="1"/>
  <c r="L7186" i="1"/>
  <c r="M7186" i="1" s="1"/>
  <c r="N7186" i="1" s="1"/>
  <c r="L7187" i="1"/>
  <c r="M7187" i="1" s="1"/>
  <c r="N7187" i="1" s="1"/>
  <c r="L7188" i="1"/>
  <c r="M7188" i="1" s="1"/>
  <c r="N7188" i="1" s="1"/>
  <c r="L7189" i="1"/>
  <c r="M7189" i="1" s="1"/>
  <c r="N7189" i="1" s="1"/>
  <c r="L7190" i="1"/>
  <c r="M7190" i="1" s="1"/>
  <c r="N7190" i="1" s="1"/>
  <c r="L7191" i="1"/>
  <c r="M7191" i="1" s="1"/>
  <c r="N7191" i="1" s="1"/>
  <c r="L7192" i="1"/>
  <c r="M7192" i="1" s="1"/>
  <c r="N7192" i="1" s="1"/>
  <c r="L7193" i="1"/>
  <c r="M7193" i="1" s="1"/>
  <c r="N7193" i="1" s="1"/>
  <c r="L7194" i="1"/>
  <c r="M7194" i="1" s="1"/>
  <c r="N7194" i="1" s="1"/>
  <c r="L7195" i="1"/>
  <c r="M7195" i="1" s="1"/>
  <c r="N7195" i="1" s="1"/>
  <c r="L7196" i="1"/>
  <c r="M7196" i="1" s="1"/>
  <c r="N7196" i="1" s="1"/>
  <c r="L7197" i="1"/>
  <c r="M7197" i="1" s="1"/>
  <c r="N7197" i="1" s="1"/>
  <c r="L7198" i="1"/>
  <c r="M7198" i="1" s="1"/>
  <c r="N7198" i="1" s="1"/>
  <c r="L7199" i="1"/>
  <c r="M7199" i="1" s="1"/>
  <c r="N7199" i="1" s="1"/>
  <c r="L7200" i="1"/>
  <c r="M7200" i="1" s="1"/>
  <c r="N7200" i="1" s="1"/>
  <c r="L7201" i="1"/>
  <c r="M7201" i="1" s="1"/>
  <c r="N7201" i="1" s="1"/>
  <c r="L7202" i="1"/>
  <c r="M7202" i="1" s="1"/>
  <c r="N7202" i="1" s="1"/>
  <c r="L7203" i="1"/>
  <c r="M7203" i="1" s="1"/>
  <c r="N7203" i="1" s="1"/>
  <c r="L7204" i="1"/>
  <c r="M7204" i="1" s="1"/>
  <c r="N7204" i="1" s="1"/>
  <c r="L7205" i="1"/>
  <c r="M7205" i="1" s="1"/>
  <c r="N7205" i="1" s="1"/>
  <c r="L7206" i="1"/>
  <c r="M7206" i="1" s="1"/>
  <c r="N7206" i="1" s="1"/>
  <c r="L7207" i="1"/>
  <c r="M7207" i="1" s="1"/>
  <c r="N7207" i="1" s="1"/>
  <c r="L7208" i="1"/>
  <c r="M7208" i="1" s="1"/>
  <c r="N7208" i="1" s="1"/>
  <c r="L7209" i="1"/>
  <c r="M7209" i="1" s="1"/>
  <c r="N7209" i="1" s="1"/>
  <c r="L7210" i="1"/>
  <c r="M7210" i="1" s="1"/>
  <c r="N7210" i="1" s="1"/>
  <c r="L7211" i="1"/>
  <c r="M7211" i="1" s="1"/>
  <c r="N7211" i="1" s="1"/>
  <c r="L7212" i="1"/>
  <c r="M7212" i="1" s="1"/>
  <c r="N7212" i="1" s="1"/>
  <c r="L7213" i="1"/>
  <c r="M7213" i="1" s="1"/>
  <c r="N7213" i="1" s="1"/>
  <c r="L7214" i="1"/>
  <c r="M7214" i="1" s="1"/>
  <c r="N7214" i="1" s="1"/>
  <c r="L7215" i="1"/>
  <c r="M7215" i="1" s="1"/>
  <c r="N7215" i="1" s="1"/>
  <c r="L7216" i="1"/>
  <c r="M7216" i="1" s="1"/>
  <c r="N7216" i="1" s="1"/>
  <c r="L7217" i="1"/>
  <c r="M7217" i="1" s="1"/>
  <c r="N7217" i="1" s="1"/>
  <c r="L7218" i="1"/>
  <c r="M7218" i="1" s="1"/>
  <c r="N7218" i="1" s="1"/>
  <c r="L7219" i="1"/>
  <c r="M7219" i="1" s="1"/>
  <c r="N7219" i="1" s="1"/>
  <c r="L7220" i="1"/>
  <c r="M7220" i="1" s="1"/>
  <c r="N7220" i="1" s="1"/>
  <c r="L7221" i="1"/>
  <c r="M7221" i="1" s="1"/>
  <c r="N7221" i="1" s="1"/>
  <c r="L7222" i="1"/>
  <c r="M7222" i="1" s="1"/>
  <c r="N7222" i="1" s="1"/>
  <c r="L7223" i="1"/>
  <c r="M7223" i="1" s="1"/>
  <c r="N7223" i="1" s="1"/>
  <c r="L7224" i="1"/>
  <c r="M7224" i="1" s="1"/>
  <c r="N7224" i="1" s="1"/>
  <c r="L7225" i="1"/>
  <c r="M7225" i="1" s="1"/>
  <c r="N7225" i="1" s="1"/>
  <c r="L7226" i="1"/>
  <c r="M7226" i="1" s="1"/>
  <c r="N7226" i="1" s="1"/>
  <c r="L7227" i="1"/>
  <c r="M7227" i="1" s="1"/>
  <c r="N7227" i="1" s="1"/>
  <c r="L7228" i="1"/>
  <c r="M7228" i="1" s="1"/>
  <c r="N7228" i="1" s="1"/>
  <c r="L7229" i="1"/>
  <c r="M7229" i="1" s="1"/>
  <c r="N7229" i="1" s="1"/>
  <c r="L7230" i="1"/>
  <c r="M7230" i="1" s="1"/>
  <c r="N7230" i="1" s="1"/>
  <c r="L7231" i="1"/>
  <c r="M7231" i="1" s="1"/>
  <c r="N7231" i="1" s="1"/>
  <c r="L7232" i="1"/>
  <c r="M7232" i="1" s="1"/>
  <c r="N7232" i="1" s="1"/>
  <c r="L7233" i="1"/>
  <c r="M7233" i="1" s="1"/>
  <c r="N7233" i="1" s="1"/>
  <c r="L7234" i="1"/>
  <c r="M7234" i="1" s="1"/>
  <c r="N7234" i="1" s="1"/>
  <c r="L7235" i="1"/>
  <c r="M7235" i="1" s="1"/>
  <c r="N7235" i="1" s="1"/>
  <c r="L7236" i="1"/>
  <c r="M7236" i="1" s="1"/>
  <c r="N7236" i="1" s="1"/>
  <c r="L7237" i="1"/>
  <c r="M7237" i="1" s="1"/>
  <c r="N7237" i="1" s="1"/>
  <c r="L7238" i="1"/>
  <c r="M7238" i="1" s="1"/>
  <c r="N7238" i="1" s="1"/>
  <c r="L7239" i="1"/>
  <c r="M7239" i="1" s="1"/>
  <c r="N7239" i="1" s="1"/>
  <c r="L7240" i="1"/>
  <c r="M7240" i="1" s="1"/>
  <c r="N7240" i="1" s="1"/>
  <c r="L7241" i="1"/>
  <c r="M7241" i="1" s="1"/>
  <c r="N7241" i="1" s="1"/>
  <c r="L7242" i="1"/>
  <c r="M7242" i="1" s="1"/>
  <c r="N7242" i="1" s="1"/>
  <c r="L7243" i="1"/>
  <c r="M7243" i="1" s="1"/>
  <c r="N7243" i="1" s="1"/>
  <c r="L7244" i="1"/>
  <c r="M7244" i="1" s="1"/>
  <c r="N7244" i="1" s="1"/>
  <c r="L7245" i="1"/>
  <c r="M7245" i="1" s="1"/>
  <c r="N7245" i="1" s="1"/>
  <c r="L7246" i="1"/>
  <c r="M7246" i="1" s="1"/>
  <c r="N7246" i="1" s="1"/>
  <c r="L7247" i="1"/>
  <c r="M7247" i="1" s="1"/>
  <c r="N7247" i="1" s="1"/>
  <c r="L7248" i="1"/>
  <c r="M7248" i="1" s="1"/>
  <c r="N7248" i="1" s="1"/>
  <c r="L7249" i="1"/>
  <c r="M7249" i="1" s="1"/>
  <c r="N7249" i="1" s="1"/>
  <c r="L7250" i="1"/>
  <c r="M7250" i="1" s="1"/>
  <c r="N7250" i="1" s="1"/>
  <c r="L7251" i="1"/>
  <c r="M7251" i="1" s="1"/>
  <c r="N7251" i="1" s="1"/>
  <c r="L7252" i="1"/>
  <c r="M7252" i="1" s="1"/>
  <c r="N7252" i="1" s="1"/>
  <c r="L7253" i="1"/>
  <c r="M7253" i="1" s="1"/>
  <c r="N7253" i="1" s="1"/>
  <c r="L7254" i="1"/>
  <c r="M7254" i="1" s="1"/>
  <c r="N7254" i="1" s="1"/>
  <c r="L7255" i="1"/>
  <c r="M7255" i="1" s="1"/>
  <c r="N7255" i="1" s="1"/>
  <c r="L7256" i="1"/>
  <c r="M7256" i="1" s="1"/>
  <c r="N7256" i="1" s="1"/>
  <c r="L7257" i="1"/>
  <c r="M7257" i="1" s="1"/>
  <c r="N7257" i="1" s="1"/>
  <c r="L7258" i="1"/>
  <c r="M7258" i="1" s="1"/>
  <c r="N7258" i="1" s="1"/>
  <c r="L7259" i="1"/>
  <c r="M7259" i="1" s="1"/>
  <c r="N7259" i="1" s="1"/>
  <c r="L7260" i="1"/>
  <c r="M7260" i="1" s="1"/>
  <c r="N7260" i="1" s="1"/>
  <c r="L7261" i="1"/>
  <c r="M7261" i="1" s="1"/>
  <c r="N7261" i="1" s="1"/>
  <c r="L7262" i="1"/>
  <c r="M7262" i="1" s="1"/>
  <c r="N7262" i="1" s="1"/>
  <c r="L7263" i="1"/>
  <c r="M7263" i="1" s="1"/>
  <c r="N7263" i="1" s="1"/>
  <c r="L7264" i="1"/>
  <c r="M7264" i="1" s="1"/>
  <c r="N7264" i="1" s="1"/>
  <c r="L7265" i="1"/>
  <c r="M7265" i="1" s="1"/>
  <c r="N7265" i="1" s="1"/>
  <c r="L7266" i="1"/>
  <c r="M7266" i="1" s="1"/>
  <c r="N7266" i="1" s="1"/>
  <c r="L7267" i="1"/>
  <c r="M7267" i="1" s="1"/>
  <c r="N7267" i="1" s="1"/>
  <c r="L7268" i="1"/>
  <c r="M7268" i="1" s="1"/>
  <c r="N7268" i="1" s="1"/>
  <c r="L7269" i="1"/>
  <c r="M7269" i="1" s="1"/>
  <c r="N7269" i="1" s="1"/>
  <c r="L7270" i="1"/>
  <c r="M7270" i="1" s="1"/>
  <c r="N7270" i="1" s="1"/>
  <c r="L7271" i="1"/>
  <c r="M7271" i="1" s="1"/>
  <c r="N7271" i="1" s="1"/>
  <c r="L7272" i="1"/>
  <c r="M7272" i="1" s="1"/>
  <c r="N7272" i="1" s="1"/>
  <c r="L7273" i="1"/>
  <c r="M7273" i="1" s="1"/>
  <c r="N7273" i="1" s="1"/>
  <c r="L7274" i="1"/>
  <c r="M7274" i="1" s="1"/>
  <c r="N7274" i="1" s="1"/>
  <c r="L7275" i="1"/>
  <c r="M7275" i="1" s="1"/>
  <c r="N7275" i="1" s="1"/>
  <c r="L7276" i="1"/>
  <c r="M7276" i="1" s="1"/>
  <c r="N7276" i="1" s="1"/>
  <c r="L7277" i="1"/>
  <c r="M7277" i="1" s="1"/>
  <c r="N7277" i="1" s="1"/>
  <c r="L7278" i="1"/>
  <c r="M7278" i="1" s="1"/>
  <c r="N7278" i="1" s="1"/>
  <c r="L7279" i="1"/>
  <c r="M7279" i="1" s="1"/>
  <c r="N7279" i="1" s="1"/>
  <c r="L7280" i="1"/>
  <c r="M7280" i="1" s="1"/>
  <c r="N7280" i="1" s="1"/>
  <c r="L7281" i="1"/>
  <c r="M7281" i="1" s="1"/>
  <c r="N7281" i="1" s="1"/>
  <c r="L7282" i="1"/>
  <c r="M7282" i="1" s="1"/>
  <c r="N7282" i="1" s="1"/>
  <c r="L7283" i="1"/>
  <c r="M7283" i="1" s="1"/>
  <c r="N7283" i="1" s="1"/>
  <c r="L7284" i="1"/>
  <c r="M7284" i="1" s="1"/>
  <c r="N7284" i="1" s="1"/>
  <c r="L7285" i="1"/>
  <c r="M7285" i="1" s="1"/>
  <c r="N7285" i="1" s="1"/>
  <c r="L7286" i="1"/>
  <c r="M7286" i="1" s="1"/>
  <c r="N7286" i="1" s="1"/>
  <c r="L7287" i="1"/>
  <c r="M7287" i="1" s="1"/>
  <c r="N7287" i="1" s="1"/>
  <c r="L7288" i="1"/>
  <c r="M7288" i="1" s="1"/>
  <c r="N7288" i="1" s="1"/>
  <c r="L7289" i="1"/>
  <c r="M7289" i="1" s="1"/>
  <c r="N7289" i="1" s="1"/>
  <c r="L7290" i="1"/>
  <c r="M7290" i="1" s="1"/>
  <c r="N7290" i="1" s="1"/>
  <c r="L7291" i="1"/>
  <c r="M7291" i="1" s="1"/>
  <c r="N7291" i="1" s="1"/>
  <c r="L7292" i="1"/>
  <c r="M7292" i="1" s="1"/>
  <c r="N7292" i="1" s="1"/>
  <c r="L7293" i="1"/>
  <c r="M7293" i="1" s="1"/>
  <c r="N7293" i="1" s="1"/>
  <c r="L7294" i="1"/>
  <c r="M7294" i="1" s="1"/>
  <c r="N7294" i="1" s="1"/>
  <c r="L7295" i="1"/>
  <c r="M7295" i="1" s="1"/>
  <c r="N7295" i="1" s="1"/>
  <c r="L7296" i="1"/>
  <c r="M7296" i="1" s="1"/>
  <c r="N7296" i="1" s="1"/>
  <c r="L7297" i="1"/>
  <c r="M7297" i="1" s="1"/>
  <c r="N7297" i="1" s="1"/>
  <c r="L7298" i="1"/>
  <c r="M7298" i="1" s="1"/>
  <c r="N7298" i="1" s="1"/>
  <c r="L7299" i="1"/>
  <c r="M7299" i="1" s="1"/>
  <c r="N7299" i="1" s="1"/>
  <c r="L7300" i="1"/>
  <c r="M7300" i="1" s="1"/>
  <c r="N7300" i="1" s="1"/>
  <c r="L7301" i="1"/>
  <c r="M7301" i="1" s="1"/>
  <c r="N7301" i="1" s="1"/>
  <c r="L7302" i="1"/>
  <c r="M7302" i="1" s="1"/>
  <c r="N7302" i="1" s="1"/>
  <c r="L7303" i="1"/>
  <c r="M7303" i="1" s="1"/>
  <c r="N7303" i="1" s="1"/>
  <c r="L7304" i="1"/>
  <c r="M7304" i="1" s="1"/>
  <c r="N7304" i="1" s="1"/>
  <c r="L7305" i="1"/>
  <c r="M7305" i="1" s="1"/>
  <c r="N7305" i="1" s="1"/>
  <c r="L7306" i="1"/>
  <c r="M7306" i="1" s="1"/>
  <c r="N7306" i="1" s="1"/>
  <c r="L7307" i="1"/>
  <c r="M7307" i="1" s="1"/>
  <c r="N7307" i="1" s="1"/>
  <c r="L7308" i="1"/>
  <c r="M7308" i="1" s="1"/>
  <c r="N7308" i="1" s="1"/>
  <c r="L7309" i="1"/>
  <c r="M7309" i="1" s="1"/>
  <c r="N7309" i="1" s="1"/>
  <c r="L7310" i="1"/>
  <c r="M7310" i="1" s="1"/>
  <c r="N7310" i="1" s="1"/>
  <c r="L7311" i="1"/>
  <c r="M7311" i="1" s="1"/>
  <c r="N7311" i="1" s="1"/>
  <c r="L7312" i="1"/>
  <c r="M7312" i="1" s="1"/>
  <c r="N7312" i="1" s="1"/>
  <c r="L7313" i="1"/>
  <c r="M7313" i="1" s="1"/>
  <c r="N7313" i="1" s="1"/>
  <c r="L7314" i="1"/>
  <c r="M7314" i="1" s="1"/>
  <c r="N7314" i="1" s="1"/>
  <c r="L7315" i="1"/>
  <c r="M7315" i="1" s="1"/>
  <c r="N7315" i="1" s="1"/>
  <c r="L7316" i="1"/>
  <c r="M7316" i="1" s="1"/>
  <c r="N7316" i="1" s="1"/>
  <c r="L7317" i="1"/>
  <c r="M7317" i="1" s="1"/>
  <c r="N7317" i="1" s="1"/>
  <c r="L7318" i="1"/>
  <c r="M7318" i="1" s="1"/>
  <c r="N7318" i="1" s="1"/>
  <c r="L7319" i="1"/>
  <c r="M7319" i="1" s="1"/>
  <c r="N7319" i="1" s="1"/>
  <c r="L7320" i="1"/>
  <c r="M7320" i="1" s="1"/>
  <c r="N7320" i="1" s="1"/>
  <c r="L7321" i="1"/>
  <c r="M7321" i="1" s="1"/>
  <c r="N7321" i="1" s="1"/>
  <c r="L7322" i="1"/>
  <c r="M7322" i="1" s="1"/>
  <c r="N7322" i="1" s="1"/>
  <c r="L7323" i="1"/>
  <c r="M7323" i="1" s="1"/>
  <c r="N7323" i="1" s="1"/>
  <c r="L7324" i="1"/>
  <c r="M7324" i="1" s="1"/>
  <c r="N7324" i="1" s="1"/>
  <c r="L7325" i="1"/>
  <c r="M7325" i="1" s="1"/>
  <c r="N7325" i="1" s="1"/>
  <c r="L7326" i="1"/>
  <c r="M7326" i="1" s="1"/>
  <c r="N7326" i="1" s="1"/>
  <c r="L7327" i="1"/>
  <c r="M7327" i="1" s="1"/>
  <c r="N7327" i="1" s="1"/>
  <c r="L7328" i="1"/>
  <c r="M7328" i="1" s="1"/>
  <c r="N7328" i="1" s="1"/>
  <c r="L7329" i="1"/>
  <c r="M7329" i="1" s="1"/>
  <c r="N7329" i="1" s="1"/>
  <c r="L7330" i="1"/>
  <c r="M7330" i="1" s="1"/>
  <c r="N7330" i="1" s="1"/>
  <c r="L7331" i="1"/>
  <c r="M7331" i="1" s="1"/>
  <c r="N7331" i="1" s="1"/>
  <c r="L7332" i="1"/>
  <c r="M7332" i="1" s="1"/>
  <c r="N7332" i="1" s="1"/>
  <c r="L7333" i="1"/>
  <c r="M7333" i="1" s="1"/>
  <c r="N7333" i="1" s="1"/>
  <c r="L7334" i="1"/>
  <c r="M7334" i="1" s="1"/>
  <c r="N7334" i="1" s="1"/>
  <c r="L7335" i="1"/>
  <c r="M7335" i="1" s="1"/>
  <c r="N7335" i="1" s="1"/>
  <c r="L7336" i="1"/>
  <c r="M7336" i="1" s="1"/>
  <c r="N7336" i="1" s="1"/>
  <c r="L7337" i="1"/>
  <c r="M7337" i="1" s="1"/>
  <c r="N7337" i="1" s="1"/>
  <c r="L7338" i="1"/>
  <c r="M7338" i="1" s="1"/>
  <c r="N7338" i="1" s="1"/>
  <c r="L7339" i="1"/>
  <c r="M7339" i="1" s="1"/>
  <c r="N7339" i="1" s="1"/>
  <c r="L7340" i="1"/>
  <c r="M7340" i="1" s="1"/>
  <c r="N7340" i="1" s="1"/>
  <c r="L7341" i="1"/>
  <c r="M7341" i="1" s="1"/>
  <c r="N7341" i="1" s="1"/>
  <c r="L7342" i="1"/>
  <c r="M7342" i="1" s="1"/>
  <c r="N7342" i="1" s="1"/>
  <c r="L7343" i="1"/>
  <c r="M7343" i="1" s="1"/>
  <c r="N7343" i="1" s="1"/>
  <c r="L7344" i="1"/>
  <c r="M7344" i="1" s="1"/>
  <c r="N7344" i="1" s="1"/>
  <c r="L7345" i="1"/>
  <c r="M7345" i="1" s="1"/>
  <c r="N7345" i="1" s="1"/>
  <c r="L7346" i="1"/>
  <c r="M7346" i="1" s="1"/>
  <c r="N7346" i="1" s="1"/>
  <c r="L7347" i="1"/>
  <c r="M7347" i="1" s="1"/>
  <c r="N7347" i="1" s="1"/>
  <c r="L7348" i="1"/>
  <c r="M7348" i="1" s="1"/>
  <c r="N7348" i="1" s="1"/>
  <c r="L7349" i="1"/>
  <c r="M7349" i="1" s="1"/>
  <c r="N7349" i="1" s="1"/>
  <c r="L7350" i="1"/>
  <c r="M7350" i="1" s="1"/>
  <c r="N7350" i="1" s="1"/>
  <c r="L7351" i="1"/>
  <c r="M7351" i="1" s="1"/>
  <c r="N7351" i="1" s="1"/>
  <c r="L7352" i="1"/>
  <c r="M7352" i="1" s="1"/>
  <c r="N7352" i="1" s="1"/>
  <c r="L7353" i="1"/>
  <c r="M7353" i="1" s="1"/>
  <c r="N7353" i="1" s="1"/>
  <c r="L7354" i="1"/>
  <c r="M7354" i="1" s="1"/>
  <c r="N7354" i="1" s="1"/>
  <c r="L7355" i="1"/>
  <c r="M7355" i="1" s="1"/>
  <c r="N7355" i="1" s="1"/>
  <c r="L7356" i="1"/>
  <c r="M7356" i="1" s="1"/>
  <c r="N7356" i="1" s="1"/>
  <c r="L7357" i="1"/>
  <c r="M7357" i="1" s="1"/>
  <c r="N7357" i="1" s="1"/>
  <c r="L7358" i="1"/>
  <c r="M7358" i="1" s="1"/>
  <c r="N7358" i="1" s="1"/>
  <c r="L7359" i="1"/>
  <c r="M7359" i="1" s="1"/>
  <c r="N7359" i="1" s="1"/>
  <c r="L7360" i="1"/>
  <c r="M7360" i="1" s="1"/>
  <c r="N7360" i="1" s="1"/>
  <c r="L7361" i="1"/>
  <c r="M7361" i="1" s="1"/>
  <c r="N7361" i="1" s="1"/>
  <c r="L7362" i="1"/>
  <c r="M7362" i="1" s="1"/>
  <c r="N7362" i="1" s="1"/>
  <c r="L7363" i="1"/>
  <c r="M7363" i="1" s="1"/>
  <c r="N7363" i="1" s="1"/>
  <c r="L7364" i="1"/>
  <c r="M7364" i="1" s="1"/>
  <c r="N7364" i="1" s="1"/>
  <c r="L7365" i="1"/>
  <c r="M7365" i="1" s="1"/>
  <c r="N7365" i="1" s="1"/>
  <c r="L7366" i="1"/>
  <c r="M7366" i="1" s="1"/>
  <c r="N7366" i="1" s="1"/>
  <c r="L7367" i="1"/>
  <c r="M7367" i="1" s="1"/>
  <c r="N7367" i="1" s="1"/>
  <c r="L7368" i="1"/>
  <c r="M7368" i="1" s="1"/>
  <c r="N7368" i="1" s="1"/>
  <c r="L7369" i="1"/>
  <c r="M7369" i="1" s="1"/>
  <c r="N7369" i="1" s="1"/>
  <c r="L7370" i="1"/>
  <c r="M7370" i="1" s="1"/>
  <c r="N7370" i="1" s="1"/>
  <c r="L7371" i="1"/>
  <c r="M7371" i="1" s="1"/>
  <c r="N7371" i="1" s="1"/>
  <c r="L7372" i="1"/>
  <c r="M7372" i="1" s="1"/>
  <c r="N7372" i="1" s="1"/>
  <c r="L7373" i="1"/>
  <c r="M7373" i="1" s="1"/>
  <c r="N7373" i="1" s="1"/>
  <c r="L7374" i="1"/>
  <c r="M7374" i="1" s="1"/>
  <c r="N7374" i="1" s="1"/>
  <c r="L7375" i="1"/>
  <c r="M7375" i="1" s="1"/>
  <c r="N7375" i="1" s="1"/>
  <c r="L7376" i="1"/>
  <c r="M7376" i="1" s="1"/>
  <c r="N7376" i="1" s="1"/>
  <c r="L7377" i="1"/>
  <c r="M7377" i="1" s="1"/>
  <c r="N7377" i="1" s="1"/>
  <c r="L7378" i="1"/>
  <c r="M7378" i="1" s="1"/>
  <c r="N7378" i="1" s="1"/>
  <c r="L7379" i="1"/>
  <c r="M7379" i="1" s="1"/>
  <c r="N7379" i="1" s="1"/>
  <c r="L7380" i="1"/>
  <c r="M7380" i="1" s="1"/>
  <c r="N7380" i="1" s="1"/>
  <c r="L7381" i="1"/>
  <c r="M7381" i="1" s="1"/>
  <c r="N7381" i="1" s="1"/>
  <c r="L7382" i="1"/>
  <c r="M7382" i="1" s="1"/>
  <c r="N7382" i="1" s="1"/>
  <c r="L7383" i="1"/>
  <c r="M7383" i="1" s="1"/>
  <c r="N7383" i="1" s="1"/>
  <c r="L7384" i="1"/>
  <c r="M7384" i="1" s="1"/>
  <c r="N7384" i="1" s="1"/>
  <c r="L7385" i="1"/>
  <c r="M7385" i="1" s="1"/>
  <c r="N7385" i="1" s="1"/>
  <c r="L7386" i="1"/>
  <c r="M7386" i="1" s="1"/>
  <c r="N7386" i="1" s="1"/>
  <c r="L7387" i="1"/>
  <c r="M7387" i="1" s="1"/>
  <c r="N7387" i="1" s="1"/>
  <c r="L7388" i="1"/>
  <c r="M7388" i="1" s="1"/>
  <c r="N7388" i="1" s="1"/>
  <c r="L7389" i="1"/>
  <c r="M7389" i="1" s="1"/>
  <c r="N7389" i="1" s="1"/>
  <c r="L7390" i="1"/>
  <c r="M7390" i="1" s="1"/>
  <c r="N7390" i="1" s="1"/>
  <c r="L7391" i="1"/>
  <c r="M7391" i="1" s="1"/>
  <c r="N7391" i="1" s="1"/>
  <c r="L7392" i="1"/>
  <c r="M7392" i="1" s="1"/>
  <c r="N7392" i="1" s="1"/>
  <c r="L7393" i="1"/>
  <c r="M7393" i="1" s="1"/>
  <c r="N7393" i="1" s="1"/>
  <c r="L7394" i="1"/>
  <c r="M7394" i="1" s="1"/>
  <c r="N7394" i="1" s="1"/>
  <c r="L7395" i="1"/>
  <c r="M7395" i="1" s="1"/>
  <c r="N7395" i="1" s="1"/>
  <c r="L7396" i="1"/>
  <c r="M7396" i="1" s="1"/>
  <c r="N7396" i="1" s="1"/>
  <c r="L7397" i="1"/>
  <c r="M7397" i="1" s="1"/>
  <c r="N7397" i="1" s="1"/>
  <c r="L7398" i="1"/>
  <c r="M7398" i="1" s="1"/>
  <c r="N7398" i="1" s="1"/>
  <c r="L7399" i="1"/>
  <c r="M7399" i="1" s="1"/>
  <c r="N7399" i="1" s="1"/>
  <c r="L7400" i="1"/>
  <c r="M7400" i="1" s="1"/>
  <c r="N7400" i="1" s="1"/>
  <c r="L7401" i="1"/>
  <c r="M7401" i="1" s="1"/>
  <c r="N7401" i="1" s="1"/>
  <c r="L7402" i="1"/>
  <c r="M7402" i="1" s="1"/>
  <c r="N7402" i="1" s="1"/>
  <c r="L7403" i="1"/>
  <c r="M7403" i="1" s="1"/>
  <c r="N7403" i="1" s="1"/>
  <c r="L7404" i="1"/>
  <c r="M7404" i="1" s="1"/>
  <c r="N7404" i="1" s="1"/>
  <c r="L7405" i="1"/>
  <c r="M7405" i="1" s="1"/>
  <c r="N7405" i="1" s="1"/>
  <c r="L7406" i="1"/>
  <c r="M7406" i="1" s="1"/>
  <c r="N7406" i="1" s="1"/>
  <c r="L7407" i="1"/>
  <c r="M7407" i="1" s="1"/>
  <c r="N7407" i="1" s="1"/>
  <c r="L7408" i="1"/>
  <c r="M7408" i="1" s="1"/>
  <c r="N7408" i="1" s="1"/>
  <c r="L7409" i="1"/>
  <c r="M7409" i="1" s="1"/>
  <c r="N7409" i="1" s="1"/>
  <c r="L7410" i="1"/>
  <c r="M7410" i="1" s="1"/>
  <c r="N7410" i="1" s="1"/>
  <c r="L7411" i="1"/>
  <c r="M7411" i="1" s="1"/>
  <c r="N7411" i="1" s="1"/>
  <c r="L7412" i="1"/>
  <c r="M7412" i="1" s="1"/>
  <c r="N7412" i="1" s="1"/>
  <c r="L7413" i="1"/>
  <c r="M7413" i="1" s="1"/>
  <c r="N7413" i="1" s="1"/>
  <c r="L7414" i="1"/>
  <c r="M7414" i="1" s="1"/>
  <c r="N7414" i="1" s="1"/>
  <c r="L7415" i="1"/>
  <c r="M7415" i="1" s="1"/>
  <c r="N7415" i="1" s="1"/>
  <c r="L7416" i="1"/>
  <c r="M7416" i="1" s="1"/>
  <c r="N7416" i="1" s="1"/>
  <c r="L7417" i="1"/>
  <c r="M7417" i="1" s="1"/>
  <c r="N7417" i="1" s="1"/>
  <c r="L7418" i="1"/>
  <c r="M7418" i="1" s="1"/>
  <c r="N7418" i="1" s="1"/>
  <c r="L7419" i="1"/>
  <c r="M7419" i="1" s="1"/>
  <c r="N7419" i="1" s="1"/>
  <c r="L7420" i="1"/>
  <c r="M7420" i="1" s="1"/>
  <c r="N7420" i="1" s="1"/>
  <c r="L7421" i="1"/>
  <c r="M7421" i="1" s="1"/>
  <c r="N7421" i="1" s="1"/>
  <c r="L7422" i="1"/>
  <c r="M7422" i="1" s="1"/>
  <c r="N7422" i="1" s="1"/>
  <c r="L7423" i="1"/>
  <c r="M7423" i="1" s="1"/>
  <c r="N7423" i="1" s="1"/>
  <c r="L7424" i="1"/>
  <c r="M7424" i="1" s="1"/>
  <c r="N7424" i="1" s="1"/>
  <c r="L7425" i="1"/>
  <c r="M7425" i="1" s="1"/>
  <c r="N7425" i="1" s="1"/>
  <c r="L7426" i="1"/>
  <c r="M7426" i="1" s="1"/>
  <c r="N7426" i="1" s="1"/>
  <c r="L7427" i="1"/>
  <c r="M7427" i="1" s="1"/>
  <c r="N7427" i="1" s="1"/>
  <c r="L7428" i="1"/>
  <c r="M7428" i="1" s="1"/>
  <c r="N7428" i="1" s="1"/>
  <c r="L7429" i="1"/>
  <c r="M7429" i="1" s="1"/>
  <c r="N7429" i="1" s="1"/>
  <c r="L7430" i="1"/>
  <c r="M7430" i="1" s="1"/>
  <c r="N7430" i="1" s="1"/>
  <c r="L7431" i="1"/>
  <c r="M7431" i="1" s="1"/>
  <c r="N7431" i="1" s="1"/>
  <c r="L7432" i="1"/>
  <c r="M7432" i="1" s="1"/>
  <c r="N7432" i="1" s="1"/>
  <c r="L7433" i="1"/>
  <c r="M7433" i="1" s="1"/>
  <c r="N7433" i="1" s="1"/>
  <c r="L7434" i="1"/>
  <c r="M7434" i="1" s="1"/>
  <c r="N7434" i="1" s="1"/>
  <c r="L7435" i="1"/>
  <c r="M7435" i="1" s="1"/>
  <c r="N7435" i="1" s="1"/>
  <c r="L7436" i="1"/>
  <c r="M7436" i="1" s="1"/>
  <c r="N7436" i="1" s="1"/>
  <c r="L7437" i="1"/>
  <c r="M7437" i="1" s="1"/>
  <c r="N7437" i="1" s="1"/>
  <c r="L7438" i="1"/>
  <c r="M7438" i="1" s="1"/>
  <c r="N7438" i="1" s="1"/>
  <c r="L7439" i="1"/>
  <c r="M7439" i="1" s="1"/>
  <c r="N7439" i="1" s="1"/>
  <c r="L7440" i="1"/>
  <c r="M7440" i="1" s="1"/>
  <c r="N7440" i="1" s="1"/>
  <c r="L7441" i="1"/>
  <c r="M7441" i="1" s="1"/>
  <c r="N7441" i="1" s="1"/>
  <c r="L7442" i="1"/>
  <c r="M7442" i="1" s="1"/>
  <c r="N7442" i="1" s="1"/>
  <c r="L7443" i="1"/>
  <c r="M7443" i="1" s="1"/>
  <c r="N7443" i="1" s="1"/>
  <c r="L7444" i="1"/>
  <c r="M7444" i="1" s="1"/>
  <c r="N7444" i="1" s="1"/>
  <c r="L7445" i="1"/>
  <c r="M7445" i="1" s="1"/>
  <c r="N7445" i="1" s="1"/>
  <c r="L7446" i="1"/>
  <c r="M7446" i="1" s="1"/>
  <c r="N7446" i="1" s="1"/>
  <c r="L7447" i="1"/>
  <c r="M7447" i="1" s="1"/>
  <c r="N7447" i="1" s="1"/>
  <c r="L7448" i="1"/>
  <c r="M7448" i="1" s="1"/>
  <c r="N7448" i="1" s="1"/>
  <c r="L7449" i="1"/>
  <c r="M7449" i="1" s="1"/>
  <c r="N7449" i="1" s="1"/>
  <c r="L7450" i="1"/>
  <c r="M7450" i="1" s="1"/>
  <c r="N7450" i="1" s="1"/>
  <c r="L7451" i="1"/>
  <c r="M7451" i="1" s="1"/>
  <c r="N7451" i="1" s="1"/>
  <c r="L7452" i="1"/>
  <c r="M7452" i="1" s="1"/>
  <c r="N7452" i="1" s="1"/>
  <c r="L7453" i="1"/>
  <c r="M7453" i="1" s="1"/>
  <c r="N7453" i="1" s="1"/>
  <c r="L7454" i="1"/>
  <c r="M7454" i="1" s="1"/>
  <c r="N7454" i="1" s="1"/>
  <c r="L7455" i="1"/>
  <c r="M7455" i="1" s="1"/>
  <c r="N7455" i="1" s="1"/>
  <c r="L7456" i="1"/>
  <c r="M7456" i="1" s="1"/>
  <c r="N7456" i="1" s="1"/>
  <c r="L7457" i="1"/>
  <c r="M7457" i="1" s="1"/>
  <c r="N7457" i="1" s="1"/>
  <c r="L7458" i="1"/>
  <c r="M7458" i="1" s="1"/>
  <c r="N7458" i="1" s="1"/>
  <c r="L7459" i="1"/>
  <c r="M7459" i="1" s="1"/>
  <c r="N7459" i="1" s="1"/>
  <c r="L7460" i="1"/>
  <c r="M7460" i="1" s="1"/>
  <c r="N7460" i="1" s="1"/>
  <c r="L7461" i="1"/>
  <c r="M7461" i="1" s="1"/>
  <c r="N7461" i="1" s="1"/>
  <c r="L7462" i="1"/>
  <c r="M7462" i="1" s="1"/>
  <c r="N7462" i="1" s="1"/>
  <c r="L7463" i="1"/>
  <c r="M7463" i="1" s="1"/>
  <c r="N7463" i="1" s="1"/>
  <c r="L7464" i="1"/>
  <c r="M7464" i="1" s="1"/>
  <c r="N7464" i="1" s="1"/>
  <c r="L7465" i="1"/>
  <c r="M7465" i="1" s="1"/>
  <c r="N7465" i="1" s="1"/>
  <c r="L7466" i="1"/>
  <c r="M7466" i="1" s="1"/>
  <c r="N7466" i="1" s="1"/>
  <c r="L7467" i="1"/>
  <c r="M7467" i="1" s="1"/>
  <c r="N7467" i="1" s="1"/>
  <c r="L7468" i="1"/>
  <c r="M7468" i="1" s="1"/>
  <c r="N7468" i="1" s="1"/>
  <c r="L7469" i="1"/>
  <c r="M7469" i="1" s="1"/>
  <c r="N7469" i="1" s="1"/>
  <c r="L7470" i="1"/>
  <c r="M7470" i="1" s="1"/>
  <c r="N7470" i="1" s="1"/>
  <c r="L7471" i="1"/>
  <c r="M7471" i="1" s="1"/>
  <c r="N7471" i="1" s="1"/>
  <c r="L7472" i="1"/>
  <c r="M7472" i="1" s="1"/>
  <c r="N7472" i="1" s="1"/>
  <c r="L7473" i="1"/>
  <c r="M7473" i="1" s="1"/>
  <c r="N7473" i="1" s="1"/>
  <c r="L7474" i="1"/>
  <c r="M7474" i="1" s="1"/>
  <c r="N7474" i="1" s="1"/>
  <c r="L7475" i="1"/>
  <c r="M7475" i="1" s="1"/>
  <c r="N7475" i="1" s="1"/>
  <c r="L7476" i="1"/>
  <c r="M7476" i="1" s="1"/>
  <c r="N7476" i="1" s="1"/>
  <c r="L7477" i="1"/>
  <c r="M7477" i="1" s="1"/>
  <c r="N7477" i="1" s="1"/>
  <c r="L7478" i="1"/>
  <c r="M7478" i="1" s="1"/>
  <c r="N7478" i="1" s="1"/>
  <c r="L7479" i="1"/>
  <c r="M7479" i="1" s="1"/>
  <c r="N7479" i="1" s="1"/>
  <c r="L7480" i="1"/>
  <c r="M7480" i="1" s="1"/>
  <c r="N7480" i="1" s="1"/>
  <c r="L7481" i="1"/>
  <c r="M7481" i="1" s="1"/>
  <c r="N7481" i="1" s="1"/>
  <c r="L7482" i="1"/>
  <c r="M7482" i="1" s="1"/>
  <c r="N7482" i="1" s="1"/>
  <c r="L7483" i="1"/>
  <c r="M7483" i="1" s="1"/>
  <c r="N7483" i="1" s="1"/>
  <c r="L7484" i="1"/>
  <c r="M7484" i="1" s="1"/>
  <c r="N7484" i="1" s="1"/>
  <c r="L7485" i="1"/>
  <c r="M7485" i="1" s="1"/>
  <c r="N7485" i="1" s="1"/>
  <c r="L7486" i="1"/>
  <c r="M7486" i="1" s="1"/>
  <c r="N7486" i="1" s="1"/>
  <c r="L7487" i="1"/>
  <c r="M7487" i="1" s="1"/>
  <c r="N7487" i="1" s="1"/>
  <c r="L7488" i="1"/>
  <c r="M7488" i="1" s="1"/>
  <c r="N7488" i="1" s="1"/>
  <c r="L7489" i="1"/>
  <c r="M7489" i="1" s="1"/>
  <c r="N7489" i="1" s="1"/>
  <c r="L7490" i="1"/>
  <c r="M7490" i="1" s="1"/>
  <c r="N7490" i="1" s="1"/>
  <c r="L7491" i="1"/>
  <c r="M7491" i="1" s="1"/>
  <c r="N7491" i="1" s="1"/>
  <c r="L7492" i="1"/>
  <c r="M7492" i="1" s="1"/>
  <c r="N7492" i="1" s="1"/>
  <c r="L7493" i="1"/>
  <c r="M7493" i="1" s="1"/>
  <c r="N7493" i="1" s="1"/>
  <c r="L7494" i="1"/>
  <c r="M7494" i="1" s="1"/>
  <c r="N7494" i="1" s="1"/>
  <c r="L7495" i="1"/>
  <c r="M7495" i="1" s="1"/>
  <c r="N7495" i="1" s="1"/>
  <c r="L7496" i="1"/>
  <c r="M7496" i="1" s="1"/>
  <c r="N7496" i="1" s="1"/>
  <c r="L7497" i="1"/>
  <c r="M7497" i="1" s="1"/>
  <c r="N7497" i="1" s="1"/>
  <c r="L7498" i="1"/>
  <c r="M7498" i="1" s="1"/>
  <c r="N7498" i="1" s="1"/>
  <c r="L7499" i="1"/>
  <c r="M7499" i="1" s="1"/>
  <c r="N7499" i="1" s="1"/>
  <c r="L7500" i="1"/>
  <c r="M7500" i="1" s="1"/>
  <c r="N7500" i="1" s="1"/>
  <c r="L7501" i="1"/>
  <c r="M7501" i="1" s="1"/>
  <c r="N7501" i="1" s="1"/>
  <c r="L7502" i="1"/>
  <c r="M7502" i="1" s="1"/>
  <c r="N7502" i="1" s="1"/>
  <c r="L7503" i="1"/>
  <c r="M7503" i="1" s="1"/>
  <c r="N7503" i="1" s="1"/>
  <c r="L7504" i="1"/>
  <c r="M7504" i="1" s="1"/>
  <c r="N7504" i="1" s="1"/>
  <c r="L7505" i="1"/>
  <c r="M7505" i="1" s="1"/>
  <c r="N7505" i="1" s="1"/>
  <c r="L7506" i="1"/>
  <c r="M7506" i="1" s="1"/>
  <c r="N7506" i="1" s="1"/>
  <c r="L7507" i="1"/>
  <c r="M7507" i="1" s="1"/>
  <c r="N7507" i="1" s="1"/>
  <c r="L7508" i="1"/>
  <c r="M7508" i="1" s="1"/>
  <c r="N7508" i="1" s="1"/>
  <c r="L7509" i="1"/>
  <c r="M7509" i="1" s="1"/>
  <c r="N7509" i="1" s="1"/>
  <c r="L7510" i="1"/>
  <c r="M7510" i="1" s="1"/>
  <c r="N7510" i="1" s="1"/>
  <c r="L7511" i="1"/>
  <c r="M7511" i="1" s="1"/>
  <c r="N7511" i="1" s="1"/>
  <c r="L7512" i="1"/>
  <c r="M7512" i="1" s="1"/>
  <c r="N7512" i="1" s="1"/>
  <c r="L7513" i="1"/>
  <c r="M7513" i="1" s="1"/>
  <c r="N7513" i="1" s="1"/>
  <c r="L7514" i="1"/>
  <c r="M7514" i="1" s="1"/>
  <c r="N7514" i="1" s="1"/>
  <c r="L7515" i="1"/>
  <c r="M7515" i="1" s="1"/>
  <c r="N7515" i="1" s="1"/>
  <c r="L7516" i="1"/>
  <c r="M7516" i="1" s="1"/>
  <c r="N7516" i="1" s="1"/>
  <c r="L7517" i="1"/>
  <c r="M7517" i="1" s="1"/>
  <c r="N7517" i="1" s="1"/>
  <c r="L7518" i="1"/>
  <c r="M7518" i="1" s="1"/>
  <c r="N7518" i="1" s="1"/>
  <c r="L7519" i="1"/>
  <c r="M7519" i="1" s="1"/>
  <c r="N7519" i="1" s="1"/>
  <c r="L7520" i="1"/>
  <c r="M7520" i="1" s="1"/>
  <c r="N7520" i="1" s="1"/>
  <c r="L7521" i="1"/>
  <c r="M7521" i="1" s="1"/>
  <c r="N7521" i="1" s="1"/>
  <c r="L7522" i="1"/>
  <c r="M7522" i="1" s="1"/>
  <c r="N7522" i="1" s="1"/>
  <c r="L7523" i="1"/>
  <c r="M7523" i="1" s="1"/>
  <c r="N7523" i="1" s="1"/>
  <c r="L7524" i="1"/>
  <c r="M7524" i="1" s="1"/>
  <c r="N7524" i="1" s="1"/>
  <c r="L7525" i="1"/>
  <c r="M7525" i="1" s="1"/>
  <c r="N7525" i="1" s="1"/>
  <c r="L7526" i="1"/>
  <c r="M7526" i="1" s="1"/>
  <c r="N7526" i="1" s="1"/>
  <c r="L7527" i="1"/>
  <c r="M7527" i="1" s="1"/>
  <c r="N7527" i="1" s="1"/>
  <c r="L7528" i="1"/>
  <c r="M7528" i="1" s="1"/>
  <c r="N7528" i="1" s="1"/>
  <c r="L7529" i="1"/>
  <c r="M7529" i="1" s="1"/>
  <c r="N7529" i="1" s="1"/>
  <c r="L7530" i="1"/>
  <c r="M7530" i="1" s="1"/>
  <c r="N7530" i="1" s="1"/>
  <c r="L7531" i="1"/>
  <c r="M7531" i="1" s="1"/>
  <c r="N7531" i="1" s="1"/>
  <c r="L7532" i="1"/>
  <c r="M7532" i="1" s="1"/>
  <c r="N7532" i="1" s="1"/>
  <c r="L7533" i="1"/>
  <c r="M7533" i="1" s="1"/>
  <c r="N7533" i="1" s="1"/>
  <c r="L7534" i="1"/>
  <c r="M7534" i="1" s="1"/>
  <c r="N7534" i="1" s="1"/>
  <c r="L7535" i="1"/>
  <c r="M7535" i="1" s="1"/>
  <c r="N7535" i="1" s="1"/>
  <c r="L7536" i="1"/>
  <c r="M7536" i="1" s="1"/>
  <c r="N7536" i="1" s="1"/>
  <c r="L7537" i="1"/>
  <c r="M7537" i="1" s="1"/>
  <c r="N7537" i="1" s="1"/>
  <c r="L7538" i="1"/>
  <c r="M7538" i="1" s="1"/>
  <c r="N7538" i="1" s="1"/>
  <c r="L7539" i="1"/>
  <c r="M7539" i="1" s="1"/>
  <c r="N7539" i="1" s="1"/>
  <c r="L7540" i="1"/>
  <c r="M7540" i="1" s="1"/>
  <c r="N7540" i="1" s="1"/>
  <c r="L7541" i="1"/>
  <c r="M7541" i="1" s="1"/>
  <c r="N7541" i="1" s="1"/>
  <c r="L7542" i="1"/>
  <c r="M7542" i="1" s="1"/>
  <c r="N7542" i="1" s="1"/>
  <c r="L7543" i="1"/>
  <c r="M7543" i="1" s="1"/>
  <c r="N7543" i="1" s="1"/>
  <c r="L7544" i="1"/>
  <c r="M7544" i="1" s="1"/>
  <c r="N7544" i="1" s="1"/>
  <c r="L7545" i="1"/>
  <c r="M7545" i="1" s="1"/>
  <c r="N7545" i="1" s="1"/>
  <c r="L7546" i="1"/>
  <c r="M7546" i="1" s="1"/>
  <c r="N7546" i="1" s="1"/>
  <c r="L7547" i="1"/>
  <c r="M7547" i="1" s="1"/>
  <c r="N7547" i="1" s="1"/>
  <c r="L7548" i="1"/>
  <c r="M7548" i="1" s="1"/>
  <c r="N7548" i="1" s="1"/>
  <c r="L7549" i="1"/>
  <c r="M7549" i="1" s="1"/>
  <c r="N7549" i="1" s="1"/>
  <c r="L7550" i="1"/>
  <c r="M7550" i="1" s="1"/>
  <c r="N7550" i="1" s="1"/>
  <c r="L7551" i="1"/>
  <c r="M7551" i="1" s="1"/>
  <c r="N7551" i="1" s="1"/>
  <c r="L7552" i="1"/>
  <c r="M7552" i="1" s="1"/>
  <c r="N7552" i="1" s="1"/>
  <c r="L7553" i="1"/>
  <c r="M7553" i="1" s="1"/>
  <c r="N7553" i="1" s="1"/>
  <c r="L7554" i="1"/>
  <c r="M7554" i="1" s="1"/>
  <c r="N7554" i="1" s="1"/>
  <c r="L7555" i="1"/>
  <c r="M7555" i="1" s="1"/>
  <c r="N7555" i="1" s="1"/>
  <c r="L7556" i="1"/>
  <c r="M7556" i="1" s="1"/>
  <c r="N7556" i="1" s="1"/>
  <c r="L7557" i="1"/>
  <c r="M7557" i="1" s="1"/>
  <c r="N7557" i="1" s="1"/>
  <c r="L7558" i="1"/>
  <c r="M7558" i="1" s="1"/>
  <c r="N7558" i="1" s="1"/>
  <c r="L7559" i="1"/>
  <c r="M7559" i="1" s="1"/>
  <c r="N7559" i="1" s="1"/>
  <c r="L7560" i="1"/>
  <c r="M7560" i="1" s="1"/>
  <c r="N7560" i="1" s="1"/>
  <c r="L7561" i="1"/>
  <c r="M7561" i="1" s="1"/>
  <c r="N7561" i="1" s="1"/>
  <c r="L7562" i="1"/>
  <c r="M7562" i="1" s="1"/>
  <c r="N7562" i="1" s="1"/>
  <c r="L7563" i="1"/>
  <c r="M7563" i="1" s="1"/>
  <c r="N7563" i="1" s="1"/>
  <c r="L7564" i="1"/>
  <c r="M7564" i="1" s="1"/>
  <c r="N7564" i="1" s="1"/>
  <c r="L7565" i="1"/>
  <c r="M7565" i="1" s="1"/>
  <c r="N7565" i="1" s="1"/>
  <c r="L7566" i="1"/>
  <c r="M7566" i="1" s="1"/>
  <c r="N7566" i="1" s="1"/>
  <c r="L7567" i="1"/>
  <c r="M7567" i="1" s="1"/>
  <c r="N7567" i="1" s="1"/>
  <c r="L7568" i="1"/>
  <c r="M7568" i="1" s="1"/>
  <c r="N7568" i="1" s="1"/>
  <c r="L7569" i="1"/>
  <c r="M7569" i="1" s="1"/>
  <c r="N7569" i="1" s="1"/>
  <c r="L7570" i="1"/>
  <c r="M7570" i="1" s="1"/>
  <c r="N7570" i="1" s="1"/>
  <c r="L7571" i="1"/>
  <c r="M7571" i="1" s="1"/>
  <c r="N7571" i="1" s="1"/>
  <c r="L7572" i="1"/>
  <c r="M7572" i="1" s="1"/>
  <c r="N7572" i="1" s="1"/>
  <c r="L7573" i="1"/>
  <c r="M7573" i="1" s="1"/>
  <c r="N7573" i="1" s="1"/>
  <c r="L7574" i="1"/>
  <c r="M7574" i="1" s="1"/>
  <c r="N7574" i="1" s="1"/>
  <c r="L7575" i="1"/>
  <c r="M7575" i="1" s="1"/>
  <c r="N7575" i="1" s="1"/>
  <c r="L7576" i="1"/>
  <c r="M7576" i="1" s="1"/>
  <c r="N7576" i="1" s="1"/>
  <c r="L7577" i="1"/>
  <c r="M7577" i="1" s="1"/>
  <c r="N7577" i="1" s="1"/>
  <c r="L7578" i="1"/>
  <c r="M7578" i="1" s="1"/>
  <c r="N7578" i="1" s="1"/>
  <c r="L7579" i="1"/>
  <c r="M7579" i="1" s="1"/>
  <c r="N7579" i="1" s="1"/>
  <c r="L7580" i="1"/>
  <c r="M7580" i="1" s="1"/>
  <c r="N7580" i="1" s="1"/>
  <c r="L7581" i="1"/>
  <c r="M7581" i="1" s="1"/>
  <c r="N7581" i="1" s="1"/>
  <c r="L7582" i="1"/>
  <c r="M7582" i="1" s="1"/>
  <c r="N7582" i="1" s="1"/>
  <c r="L7583" i="1"/>
  <c r="M7583" i="1" s="1"/>
  <c r="N7583" i="1" s="1"/>
  <c r="L7584" i="1"/>
  <c r="M7584" i="1" s="1"/>
  <c r="N7584" i="1" s="1"/>
  <c r="L7585" i="1"/>
  <c r="M7585" i="1" s="1"/>
  <c r="N7585" i="1" s="1"/>
  <c r="L7586" i="1"/>
  <c r="M7586" i="1" s="1"/>
  <c r="N7586" i="1" s="1"/>
  <c r="L7587" i="1"/>
  <c r="M7587" i="1" s="1"/>
  <c r="N7587" i="1" s="1"/>
  <c r="L7588" i="1"/>
  <c r="M7588" i="1" s="1"/>
  <c r="N7588" i="1" s="1"/>
  <c r="L7589" i="1"/>
  <c r="M7589" i="1" s="1"/>
  <c r="N7589" i="1" s="1"/>
  <c r="L7590" i="1"/>
  <c r="M7590" i="1" s="1"/>
  <c r="N7590" i="1" s="1"/>
  <c r="L7591" i="1"/>
  <c r="M7591" i="1" s="1"/>
  <c r="N7591" i="1" s="1"/>
  <c r="L7592" i="1"/>
  <c r="M7592" i="1" s="1"/>
  <c r="N7592" i="1" s="1"/>
  <c r="L7593" i="1"/>
  <c r="M7593" i="1" s="1"/>
  <c r="N7593" i="1" s="1"/>
  <c r="L7594" i="1"/>
  <c r="M7594" i="1" s="1"/>
  <c r="N7594" i="1" s="1"/>
  <c r="L7595" i="1"/>
  <c r="M7595" i="1" s="1"/>
  <c r="N7595" i="1" s="1"/>
  <c r="L7596" i="1"/>
  <c r="M7596" i="1" s="1"/>
  <c r="N7596" i="1" s="1"/>
  <c r="L7597" i="1"/>
  <c r="M7597" i="1" s="1"/>
  <c r="N7597" i="1" s="1"/>
  <c r="L7598" i="1"/>
  <c r="M7598" i="1" s="1"/>
  <c r="N7598" i="1" s="1"/>
  <c r="L7599" i="1"/>
  <c r="M7599" i="1" s="1"/>
  <c r="N7599" i="1" s="1"/>
  <c r="L7600" i="1"/>
  <c r="M7600" i="1" s="1"/>
  <c r="N7600" i="1" s="1"/>
  <c r="L7601" i="1"/>
  <c r="M7601" i="1" s="1"/>
  <c r="N7601" i="1" s="1"/>
  <c r="L7602" i="1"/>
  <c r="M7602" i="1" s="1"/>
  <c r="N7602" i="1" s="1"/>
  <c r="L7603" i="1"/>
  <c r="M7603" i="1" s="1"/>
  <c r="N7603" i="1" s="1"/>
  <c r="L7604" i="1"/>
  <c r="M7604" i="1" s="1"/>
  <c r="N7604" i="1" s="1"/>
  <c r="L7605" i="1"/>
  <c r="M7605" i="1" s="1"/>
  <c r="N7605" i="1" s="1"/>
  <c r="L7606" i="1"/>
  <c r="M7606" i="1" s="1"/>
  <c r="N7606" i="1" s="1"/>
  <c r="L7607" i="1"/>
  <c r="M7607" i="1" s="1"/>
  <c r="N7607" i="1" s="1"/>
  <c r="L7608" i="1"/>
  <c r="M7608" i="1" s="1"/>
  <c r="N7608" i="1" s="1"/>
  <c r="L7609" i="1"/>
  <c r="M7609" i="1" s="1"/>
  <c r="N7609" i="1" s="1"/>
  <c r="L7610" i="1"/>
  <c r="M7610" i="1" s="1"/>
  <c r="N7610" i="1" s="1"/>
  <c r="L7611" i="1"/>
  <c r="M7611" i="1" s="1"/>
  <c r="N7611" i="1" s="1"/>
  <c r="L7612" i="1"/>
  <c r="M7612" i="1" s="1"/>
  <c r="N7612" i="1" s="1"/>
  <c r="L7613" i="1"/>
  <c r="M7613" i="1" s="1"/>
  <c r="N7613" i="1" s="1"/>
  <c r="L7614" i="1"/>
  <c r="M7614" i="1" s="1"/>
  <c r="N7614" i="1" s="1"/>
  <c r="L7615" i="1"/>
  <c r="M7615" i="1" s="1"/>
  <c r="N7615" i="1" s="1"/>
  <c r="L7616" i="1"/>
  <c r="M7616" i="1" s="1"/>
  <c r="N7616" i="1" s="1"/>
  <c r="L7617" i="1"/>
  <c r="M7617" i="1" s="1"/>
  <c r="N7617" i="1" s="1"/>
  <c r="L7618" i="1"/>
  <c r="M7618" i="1" s="1"/>
  <c r="N7618" i="1" s="1"/>
  <c r="L7619" i="1"/>
  <c r="M7619" i="1" s="1"/>
  <c r="N7619" i="1" s="1"/>
  <c r="L7620" i="1"/>
  <c r="M7620" i="1" s="1"/>
  <c r="N7620" i="1" s="1"/>
  <c r="L7621" i="1"/>
  <c r="M7621" i="1" s="1"/>
  <c r="N7621" i="1" s="1"/>
  <c r="L7622" i="1"/>
  <c r="M7622" i="1" s="1"/>
  <c r="N7622" i="1" s="1"/>
  <c r="L7623" i="1"/>
  <c r="M7623" i="1" s="1"/>
  <c r="N7623" i="1" s="1"/>
  <c r="L7624" i="1"/>
  <c r="M7624" i="1" s="1"/>
  <c r="N7624" i="1" s="1"/>
  <c r="L7625" i="1"/>
  <c r="M7625" i="1" s="1"/>
  <c r="N7625" i="1" s="1"/>
  <c r="L7626" i="1"/>
  <c r="M7626" i="1" s="1"/>
  <c r="N7626" i="1" s="1"/>
  <c r="L7627" i="1"/>
  <c r="M7627" i="1" s="1"/>
  <c r="N7627" i="1" s="1"/>
  <c r="L7628" i="1"/>
  <c r="M7628" i="1" s="1"/>
  <c r="N7628" i="1" s="1"/>
  <c r="L7629" i="1"/>
  <c r="M7629" i="1" s="1"/>
  <c r="N7629" i="1" s="1"/>
  <c r="L7630" i="1"/>
  <c r="M7630" i="1" s="1"/>
  <c r="N7630" i="1" s="1"/>
  <c r="L7631" i="1"/>
  <c r="M7631" i="1" s="1"/>
  <c r="N7631" i="1" s="1"/>
  <c r="L7632" i="1"/>
  <c r="M7632" i="1" s="1"/>
  <c r="N7632" i="1" s="1"/>
  <c r="L7633" i="1"/>
  <c r="M7633" i="1" s="1"/>
  <c r="N7633" i="1" s="1"/>
  <c r="L7634" i="1"/>
  <c r="M7634" i="1" s="1"/>
  <c r="N7634" i="1" s="1"/>
  <c r="L7635" i="1"/>
  <c r="M7635" i="1" s="1"/>
  <c r="N7635" i="1" s="1"/>
  <c r="L7636" i="1"/>
  <c r="M7636" i="1" s="1"/>
  <c r="N7636" i="1" s="1"/>
  <c r="L7637" i="1"/>
  <c r="M7637" i="1" s="1"/>
  <c r="N7637" i="1" s="1"/>
  <c r="L7638" i="1"/>
  <c r="M7638" i="1" s="1"/>
  <c r="N7638" i="1" s="1"/>
  <c r="L7639" i="1"/>
  <c r="M7639" i="1" s="1"/>
  <c r="N7639" i="1" s="1"/>
  <c r="L7640" i="1"/>
  <c r="M7640" i="1" s="1"/>
  <c r="N7640" i="1" s="1"/>
  <c r="L7641" i="1"/>
  <c r="M7641" i="1" s="1"/>
  <c r="N7641" i="1" s="1"/>
  <c r="L7642" i="1"/>
  <c r="M7642" i="1" s="1"/>
  <c r="N7642" i="1" s="1"/>
  <c r="L7643" i="1"/>
  <c r="M7643" i="1" s="1"/>
  <c r="N7643" i="1" s="1"/>
  <c r="L7644" i="1"/>
  <c r="M7644" i="1" s="1"/>
  <c r="N7644" i="1" s="1"/>
  <c r="L7645" i="1"/>
  <c r="M7645" i="1" s="1"/>
  <c r="N7645" i="1" s="1"/>
  <c r="L7646" i="1"/>
  <c r="M7646" i="1" s="1"/>
  <c r="N7646" i="1" s="1"/>
  <c r="L7647" i="1"/>
  <c r="M7647" i="1" s="1"/>
  <c r="N7647" i="1" s="1"/>
  <c r="L7648" i="1"/>
  <c r="M7648" i="1" s="1"/>
  <c r="N7648" i="1" s="1"/>
  <c r="L7649" i="1"/>
  <c r="M7649" i="1" s="1"/>
  <c r="N7649" i="1" s="1"/>
  <c r="L7650" i="1"/>
  <c r="M7650" i="1" s="1"/>
  <c r="N7650" i="1" s="1"/>
  <c r="L7651" i="1"/>
  <c r="M7651" i="1" s="1"/>
  <c r="N7651" i="1" s="1"/>
  <c r="L7652" i="1"/>
  <c r="M7652" i="1" s="1"/>
  <c r="N7652" i="1" s="1"/>
  <c r="L7653" i="1"/>
  <c r="M7653" i="1" s="1"/>
  <c r="N7653" i="1" s="1"/>
  <c r="L7654" i="1"/>
  <c r="M7654" i="1" s="1"/>
  <c r="N7654" i="1" s="1"/>
  <c r="L7655" i="1"/>
  <c r="M7655" i="1" s="1"/>
  <c r="N7655" i="1" s="1"/>
  <c r="L7656" i="1"/>
  <c r="M7656" i="1" s="1"/>
  <c r="N7656" i="1" s="1"/>
  <c r="L7657" i="1"/>
  <c r="M7657" i="1" s="1"/>
  <c r="N7657" i="1" s="1"/>
  <c r="L7658" i="1"/>
  <c r="M7658" i="1" s="1"/>
  <c r="N7658" i="1" s="1"/>
  <c r="L7659" i="1"/>
  <c r="M7659" i="1" s="1"/>
  <c r="N7659" i="1" s="1"/>
  <c r="L7660" i="1"/>
  <c r="M7660" i="1" s="1"/>
  <c r="N7660" i="1" s="1"/>
  <c r="L7661" i="1"/>
  <c r="M7661" i="1" s="1"/>
  <c r="N7661" i="1" s="1"/>
  <c r="L7662" i="1"/>
  <c r="M7662" i="1" s="1"/>
  <c r="N7662" i="1" s="1"/>
  <c r="L7663" i="1"/>
  <c r="M7663" i="1" s="1"/>
  <c r="N7663" i="1" s="1"/>
  <c r="L7664" i="1"/>
  <c r="M7664" i="1" s="1"/>
  <c r="N7664" i="1" s="1"/>
  <c r="L7665" i="1"/>
  <c r="M7665" i="1" s="1"/>
  <c r="N7665" i="1" s="1"/>
  <c r="L7666" i="1"/>
  <c r="M7666" i="1" s="1"/>
  <c r="N7666" i="1" s="1"/>
  <c r="L7667" i="1"/>
  <c r="M7667" i="1" s="1"/>
  <c r="N7667" i="1" s="1"/>
  <c r="L7668" i="1"/>
  <c r="M7668" i="1" s="1"/>
  <c r="N7668" i="1" s="1"/>
  <c r="L7669" i="1"/>
  <c r="M7669" i="1" s="1"/>
  <c r="N7669" i="1" s="1"/>
  <c r="L7670" i="1"/>
  <c r="M7670" i="1" s="1"/>
  <c r="N7670" i="1" s="1"/>
  <c r="L7671" i="1"/>
  <c r="M7671" i="1" s="1"/>
  <c r="N7671" i="1" s="1"/>
  <c r="L7672" i="1"/>
  <c r="M7672" i="1" s="1"/>
  <c r="N7672" i="1" s="1"/>
  <c r="L7673" i="1"/>
  <c r="M7673" i="1" s="1"/>
  <c r="N7673" i="1" s="1"/>
  <c r="L7674" i="1"/>
  <c r="M7674" i="1" s="1"/>
  <c r="N7674" i="1" s="1"/>
  <c r="L7675" i="1"/>
  <c r="M7675" i="1" s="1"/>
  <c r="N7675" i="1" s="1"/>
  <c r="L7676" i="1"/>
  <c r="M7676" i="1" s="1"/>
  <c r="N7676" i="1" s="1"/>
  <c r="L7677" i="1"/>
  <c r="M7677" i="1" s="1"/>
  <c r="N7677" i="1" s="1"/>
  <c r="L7678" i="1"/>
  <c r="M7678" i="1" s="1"/>
  <c r="N7678" i="1" s="1"/>
  <c r="L7679" i="1"/>
  <c r="M7679" i="1" s="1"/>
  <c r="N7679" i="1" s="1"/>
  <c r="L7680" i="1"/>
  <c r="M7680" i="1" s="1"/>
  <c r="N7680" i="1" s="1"/>
  <c r="L7681" i="1"/>
  <c r="M7681" i="1" s="1"/>
  <c r="N7681" i="1" s="1"/>
  <c r="L7682" i="1"/>
  <c r="M7682" i="1" s="1"/>
  <c r="N7682" i="1" s="1"/>
  <c r="L7683" i="1"/>
  <c r="M7683" i="1" s="1"/>
  <c r="N7683" i="1" s="1"/>
  <c r="L7684" i="1"/>
  <c r="M7684" i="1" s="1"/>
  <c r="N7684" i="1" s="1"/>
  <c r="L7685" i="1"/>
  <c r="M7685" i="1" s="1"/>
  <c r="N7685" i="1" s="1"/>
  <c r="L7686" i="1"/>
  <c r="M7686" i="1" s="1"/>
  <c r="N7686" i="1" s="1"/>
  <c r="L7687" i="1"/>
  <c r="M7687" i="1" s="1"/>
  <c r="N7687" i="1" s="1"/>
  <c r="L7688" i="1"/>
  <c r="M7688" i="1" s="1"/>
  <c r="N7688" i="1" s="1"/>
  <c r="L7689" i="1"/>
  <c r="M7689" i="1" s="1"/>
  <c r="N7689" i="1" s="1"/>
  <c r="L7690" i="1"/>
  <c r="M7690" i="1" s="1"/>
  <c r="N7690" i="1" s="1"/>
  <c r="L7691" i="1"/>
  <c r="M7691" i="1" s="1"/>
  <c r="N7691" i="1" s="1"/>
  <c r="L7692" i="1"/>
  <c r="M7692" i="1" s="1"/>
  <c r="N7692" i="1" s="1"/>
  <c r="L7693" i="1"/>
  <c r="M7693" i="1" s="1"/>
  <c r="N7693" i="1" s="1"/>
  <c r="L7694" i="1"/>
  <c r="M7694" i="1" s="1"/>
  <c r="N7694" i="1" s="1"/>
  <c r="L7695" i="1"/>
  <c r="M7695" i="1" s="1"/>
  <c r="N7695" i="1" s="1"/>
  <c r="L7696" i="1"/>
  <c r="M7696" i="1" s="1"/>
  <c r="N7696" i="1" s="1"/>
  <c r="L7697" i="1"/>
  <c r="M7697" i="1" s="1"/>
  <c r="N7697" i="1" s="1"/>
  <c r="L7698" i="1"/>
  <c r="M7698" i="1" s="1"/>
  <c r="N7698" i="1" s="1"/>
  <c r="L7699" i="1"/>
  <c r="M7699" i="1" s="1"/>
  <c r="N7699" i="1" s="1"/>
  <c r="L7700" i="1"/>
  <c r="M7700" i="1" s="1"/>
  <c r="N7700" i="1" s="1"/>
  <c r="L7701" i="1"/>
  <c r="M7701" i="1" s="1"/>
  <c r="N7701" i="1" s="1"/>
  <c r="L7702" i="1"/>
  <c r="M7702" i="1" s="1"/>
  <c r="N7702" i="1" s="1"/>
  <c r="L7703" i="1"/>
  <c r="M7703" i="1" s="1"/>
  <c r="N7703" i="1" s="1"/>
  <c r="L7704" i="1"/>
  <c r="M7704" i="1" s="1"/>
  <c r="N7704" i="1" s="1"/>
  <c r="L7705" i="1"/>
  <c r="M7705" i="1" s="1"/>
  <c r="N7705" i="1" s="1"/>
  <c r="L7706" i="1"/>
  <c r="M7706" i="1" s="1"/>
  <c r="N7706" i="1" s="1"/>
  <c r="L7707" i="1"/>
  <c r="M7707" i="1" s="1"/>
  <c r="N7707" i="1" s="1"/>
  <c r="L7708" i="1"/>
  <c r="M7708" i="1" s="1"/>
  <c r="N7708" i="1" s="1"/>
  <c r="L7709" i="1"/>
  <c r="M7709" i="1" s="1"/>
  <c r="N7709" i="1" s="1"/>
  <c r="L7710" i="1"/>
  <c r="M7710" i="1" s="1"/>
  <c r="N7710" i="1" s="1"/>
  <c r="L7711" i="1"/>
  <c r="M7711" i="1" s="1"/>
  <c r="N7711" i="1" s="1"/>
  <c r="L7712" i="1"/>
  <c r="M7712" i="1" s="1"/>
  <c r="N7712" i="1" s="1"/>
  <c r="L7713" i="1"/>
  <c r="M7713" i="1" s="1"/>
  <c r="N7713" i="1" s="1"/>
  <c r="L7714" i="1"/>
  <c r="M7714" i="1" s="1"/>
  <c r="N7714" i="1" s="1"/>
  <c r="L7715" i="1"/>
  <c r="M7715" i="1" s="1"/>
  <c r="N7715" i="1" s="1"/>
  <c r="L7716" i="1"/>
  <c r="M7716" i="1" s="1"/>
  <c r="N7716" i="1" s="1"/>
  <c r="L7717" i="1"/>
  <c r="M7717" i="1" s="1"/>
  <c r="N7717" i="1" s="1"/>
  <c r="L7718" i="1"/>
  <c r="M7718" i="1" s="1"/>
  <c r="N7718" i="1" s="1"/>
  <c r="L7719" i="1"/>
  <c r="M7719" i="1" s="1"/>
  <c r="N7719" i="1" s="1"/>
  <c r="L7720" i="1"/>
  <c r="M7720" i="1" s="1"/>
  <c r="N7720" i="1" s="1"/>
  <c r="L7721" i="1"/>
  <c r="M7721" i="1" s="1"/>
  <c r="N7721" i="1" s="1"/>
  <c r="L7722" i="1"/>
  <c r="M7722" i="1" s="1"/>
  <c r="N7722" i="1" s="1"/>
  <c r="L7723" i="1"/>
  <c r="M7723" i="1" s="1"/>
  <c r="N7723" i="1" s="1"/>
  <c r="L7724" i="1"/>
  <c r="M7724" i="1" s="1"/>
  <c r="N7724" i="1" s="1"/>
  <c r="L7725" i="1"/>
  <c r="M7725" i="1" s="1"/>
  <c r="N7725" i="1" s="1"/>
  <c r="L7726" i="1"/>
  <c r="M7726" i="1" s="1"/>
  <c r="N7726" i="1" s="1"/>
  <c r="L7727" i="1"/>
  <c r="M7727" i="1" s="1"/>
  <c r="N7727" i="1" s="1"/>
  <c r="L7728" i="1"/>
  <c r="M7728" i="1" s="1"/>
  <c r="N7728" i="1" s="1"/>
  <c r="L7729" i="1"/>
  <c r="M7729" i="1" s="1"/>
  <c r="N7729" i="1" s="1"/>
  <c r="L7730" i="1"/>
  <c r="M7730" i="1" s="1"/>
  <c r="N7730" i="1" s="1"/>
  <c r="L7731" i="1"/>
  <c r="M7731" i="1" s="1"/>
  <c r="N7731" i="1" s="1"/>
  <c r="L7732" i="1"/>
  <c r="M7732" i="1" s="1"/>
  <c r="N7732" i="1" s="1"/>
  <c r="L7733" i="1"/>
  <c r="M7733" i="1" s="1"/>
  <c r="N7733" i="1" s="1"/>
  <c r="L7734" i="1"/>
  <c r="M7734" i="1" s="1"/>
  <c r="N7734" i="1" s="1"/>
  <c r="L7735" i="1"/>
  <c r="M7735" i="1" s="1"/>
  <c r="N7735" i="1" s="1"/>
  <c r="L7736" i="1"/>
  <c r="M7736" i="1" s="1"/>
  <c r="N7736" i="1" s="1"/>
  <c r="L7737" i="1"/>
  <c r="M7737" i="1" s="1"/>
  <c r="N7737" i="1" s="1"/>
  <c r="L7738" i="1"/>
  <c r="M7738" i="1" s="1"/>
  <c r="N7738" i="1" s="1"/>
  <c r="L7739" i="1"/>
  <c r="M7739" i="1" s="1"/>
  <c r="N7739" i="1" s="1"/>
  <c r="L7740" i="1"/>
  <c r="M7740" i="1" s="1"/>
  <c r="N7740" i="1" s="1"/>
  <c r="L7741" i="1"/>
  <c r="M7741" i="1" s="1"/>
  <c r="N7741" i="1" s="1"/>
  <c r="L7742" i="1"/>
  <c r="M7742" i="1" s="1"/>
  <c r="N7742" i="1" s="1"/>
  <c r="L7743" i="1"/>
  <c r="M7743" i="1" s="1"/>
  <c r="N7743" i="1" s="1"/>
  <c r="L7744" i="1"/>
  <c r="M7744" i="1" s="1"/>
  <c r="N7744" i="1" s="1"/>
  <c r="L7745" i="1"/>
  <c r="M7745" i="1" s="1"/>
  <c r="N7745" i="1" s="1"/>
  <c r="L7746" i="1"/>
  <c r="M7746" i="1" s="1"/>
  <c r="N7746" i="1" s="1"/>
  <c r="L7747" i="1"/>
  <c r="M7747" i="1" s="1"/>
  <c r="N7747" i="1" s="1"/>
  <c r="L7748" i="1"/>
  <c r="M7748" i="1" s="1"/>
  <c r="N7748" i="1" s="1"/>
  <c r="L7749" i="1"/>
  <c r="M7749" i="1" s="1"/>
  <c r="N7749" i="1" s="1"/>
  <c r="L7750" i="1"/>
  <c r="M7750" i="1" s="1"/>
  <c r="N7750" i="1" s="1"/>
  <c r="L7751" i="1"/>
  <c r="M7751" i="1" s="1"/>
  <c r="N7751" i="1" s="1"/>
  <c r="L7752" i="1"/>
  <c r="M7752" i="1" s="1"/>
  <c r="N7752" i="1" s="1"/>
  <c r="L7753" i="1"/>
  <c r="M7753" i="1" s="1"/>
  <c r="N7753" i="1" s="1"/>
  <c r="L7754" i="1"/>
  <c r="M7754" i="1" s="1"/>
  <c r="N7754" i="1" s="1"/>
  <c r="L7755" i="1"/>
  <c r="M7755" i="1" s="1"/>
  <c r="N7755" i="1" s="1"/>
  <c r="L7756" i="1"/>
  <c r="M7756" i="1" s="1"/>
  <c r="N7756" i="1" s="1"/>
  <c r="L7757" i="1"/>
  <c r="M7757" i="1" s="1"/>
  <c r="N7757" i="1" s="1"/>
  <c r="L7758" i="1"/>
  <c r="M7758" i="1" s="1"/>
  <c r="N7758" i="1" s="1"/>
  <c r="L7759" i="1"/>
  <c r="M7759" i="1" s="1"/>
  <c r="N7759" i="1" s="1"/>
  <c r="L7760" i="1"/>
  <c r="M7760" i="1" s="1"/>
  <c r="N7760" i="1" s="1"/>
  <c r="L7761" i="1"/>
  <c r="M7761" i="1" s="1"/>
  <c r="N7761" i="1" s="1"/>
  <c r="L7762" i="1"/>
  <c r="M7762" i="1" s="1"/>
  <c r="N7762" i="1" s="1"/>
  <c r="L7763" i="1"/>
  <c r="M7763" i="1" s="1"/>
  <c r="N7763" i="1" s="1"/>
  <c r="L7764" i="1"/>
  <c r="M7764" i="1" s="1"/>
  <c r="N7764" i="1" s="1"/>
  <c r="L7765" i="1"/>
  <c r="M7765" i="1" s="1"/>
  <c r="N7765" i="1" s="1"/>
  <c r="L7766" i="1"/>
  <c r="M7766" i="1" s="1"/>
  <c r="N7766" i="1" s="1"/>
  <c r="L7767" i="1"/>
  <c r="M7767" i="1" s="1"/>
  <c r="N7767" i="1" s="1"/>
  <c r="L7768" i="1"/>
  <c r="M7768" i="1" s="1"/>
  <c r="N7768" i="1" s="1"/>
  <c r="L7769" i="1"/>
  <c r="M7769" i="1" s="1"/>
  <c r="N7769" i="1" s="1"/>
  <c r="L7770" i="1"/>
  <c r="M7770" i="1" s="1"/>
  <c r="N7770" i="1" s="1"/>
  <c r="L7771" i="1"/>
  <c r="M7771" i="1" s="1"/>
  <c r="N7771" i="1" s="1"/>
  <c r="L7772" i="1"/>
  <c r="M7772" i="1" s="1"/>
  <c r="N7772" i="1" s="1"/>
  <c r="L7773" i="1"/>
  <c r="M7773" i="1" s="1"/>
  <c r="N7773" i="1" s="1"/>
  <c r="L7774" i="1"/>
  <c r="M7774" i="1" s="1"/>
  <c r="N7774" i="1" s="1"/>
  <c r="L7775" i="1"/>
  <c r="M7775" i="1" s="1"/>
  <c r="N7775" i="1" s="1"/>
  <c r="L7776" i="1"/>
  <c r="M7776" i="1" s="1"/>
  <c r="N7776" i="1" s="1"/>
  <c r="L7777" i="1"/>
  <c r="M7777" i="1" s="1"/>
  <c r="N7777" i="1" s="1"/>
  <c r="L7778" i="1"/>
  <c r="M7778" i="1" s="1"/>
  <c r="N7778" i="1" s="1"/>
  <c r="L7779" i="1"/>
  <c r="M7779" i="1" s="1"/>
  <c r="N7779" i="1" s="1"/>
  <c r="L7780" i="1"/>
  <c r="M7780" i="1" s="1"/>
  <c r="N7780" i="1" s="1"/>
  <c r="L7781" i="1"/>
  <c r="M7781" i="1" s="1"/>
  <c r="N7781" i="1" s="1"/>
  <c r="L7782" i="1"/>
  <c r="M7782" i="1" s="1"/>
  <c r="N7782" i="1" s="1"/>
  <c r="L7783" i="1"/>
  <c r="M7783" i="1" s="1"/>
  <c r="N7783" i="1" s="1"/>
  <c r="L7784" i="1"/>
  <c r="M7784" i="1" s="1"/>
  <c r="N7784" i="1" s="1"/>
  <c r="L7785" i="1"/>
  <c r="M7785" i="1" s="1"/>
  <c r="N7785" i="1" s="1"/>
  <c r="L7786" i="1"/>
  <c r="M7786" i="1" s="1"/>
  <c r="N7786" i="1" s="1"/>
  <c r="L7787" i="1"/>
  <c r="M7787" i="1" s="1"/>
  <c r="N7787" i="1" s="1"/>
  <c r="L7788" i="1"/>
  <c r="M7788" i="1" s="1"/>
  <c r="N7788" i="1" s="1"/>
  <c r="L7789" i="1"/>
  <c r="M7789" i="1" s="1"/>
  <c r="N7789" i="1" s="1"/>
  <c r="L7790" i="1"/>
  <c r="M7790" i="1" s="1"/>
  <c r="N7790" i="1" s="1"/>
  <c r="L7791" i="1"/>
  <c r="M7791" i="1" s="1"/>
  <c r="N7791" i="1" s="1"/>
  <c r="L7792" i="1"/>
  <c r="M7792" i="1" s="1"/>
  <c r="N7792" i="1" s="1"/>
  <c r="L7793" i="1"/>
  <c r="M7793" i="1" s="1"/>
  <c r="N7793" i="1" s="1"/>
  <c r="L7794" i="1"/>
  <c r="M7794" i="1" s="1"/>
  <c r="N7794" i="1" s="1"/>
  <c r="L7795" i="1"/>
  <c r="M7795" i="1" s="1"/>
  <c r="N7795" i="1" s="1"/>
  <c r="L7796" i="1"/>
  <c r="M7796" i="1" s="1"/>
  <c r="N7796" i="1" s="1"/>
  <c r="L7797" i="1"/>
  <c r="M7797" i="1" s="1"/>
  <c r="N7797" i="1" s="1"/>
  <c r="L7798" i="1"/>
  <c r="M7798" i="1" s="1"/>
  <c r="N7798" i="1" s="1"/>
  <c r="L7799" i="1"/>
  <c r="M7799" i="1" s="1"/>
  <c r="N7799" i="1" s="1"/>
  <c r="L7800" i="1"/>
  <c r="M7800" i="1" s="1"/>
  <c r="N7800" i="1" s="1"/>
  <c r="L7801" i="1"/>
  <c r="M7801" i="1" s="1"/>
  <c r="N7801" i="1" s="1"/>
  <c r="L7802" i="1"/>
  <c r="M7802" i="1" s="1"/>
  <c r="N7802" i="1" s="1"/>
  <c r="L7803" i="1"/>
  <c r="M7803" i="1" s="1"/>
  <c r="N7803" i="1" s="1"/>
  <c r="L7804" i="1"/>
  <c r="M7804" i="1" s="1"/>
  <c r="N7804" i="1" s="1"/>
  <c r="L7805" i="1"/>
  <c r="M7805" i="1" s="1"/>
  <c r="N7805" i="1" s="1"/>
  <c r="L7806" i="1"/>
  <c r="M7806" i="1" s="1"/>
  <c r="N7806" i="1" s="1"/>
  <c r="L7807" i="1"/>
  <c r="M7807" i="1" s="1"/>
  <c r="N7807" i="1" s="1"/>
  <c r="L7808" i="1"/>
  <c r="M7808" i="1" s="1"/>
  <c r="N7808" i="1" s="1"/>
  <c r="L7809" i="1"/>
  <c r="M7809" i="1" s="1"/>
  <c r="N7809" i="1" s="1"/>
  <c r="L7810" i="1"/>
  <c r="M7810" i="1" s="1"/>
  <c r="N7810" i="1" s="1"/>
  <c r="L7811" i="1"/>
  <c r="M7811" i="1" s="1"/>
  <c r="N7811" i="1" s="1"/>
  <c r="L7812" i="1"/>
  <c r="M7812" i="1" s="1"/>
  <c r="N7812" i="1" s="1"/>
  <c r="L7813" i="1"/>
  <c r="M7813" i="1" s="1"/>
  <c r="N7813" i="1" s="1"/>
  <c r="L7814" i="1"/>
  <c r="M7814" i="1" s="1"/>
  <c r="N7814" i="1" s="1"/>
  <c r="L7815" i="1"/>
  <c r="M7815" i="1" s="1"/>
  <c r="N7815" i="1" s="1"/>
  <c r="L7816" i="1"/>
  <c r="M7816" i="1" s="1"/>
  <c r="N7816" i="1" s="1"/>
  <c r="L7817" i="1"/>
  <c r="M7817" i="1" s="1"/>
  <c r="N7817" i="1" s="1"/>
  <c r="L7818" i="1"/>
  <c r="M7818" i="1" s="1"/>
  <c r="N7818" i="1" s="1"/>
  <c r="L7819" i="1"/>
  <c r="M7819" i="1" s="1"/>
  <c r="N7819" i="1" s="1"/>
  <c r="L7820" i="1"/>
  <c r="M7820" i="1" s="1"/>
  <c r="N7820" i="1" s="1"/>
  <c r="L7821" i="1"/>
  <c r="M7821" i="1" s="1"/>
  <c r="N7821" i="1" s="1"/>
  <c r="L7822" i="1"/>
  <c r="M7822" i="1" s="1"/>
  <c r="N7822" i="1" s="1"/>
  <c r="L7823" i="1"/>
  <c r="M7823" i="1" s="1"/>
  <c r="N7823" i="1" s="1"/>
  <c r="L7824" i="1"/>
  <c r="M7824" i="1" s="1"/>
  <c r="N7824" i="1" s="1"/>
  <c r="L7825" i="1"/>
  <c r="M7825" i="1" s="1"/>
  <c r="N7825" i="1" s="1"/>
  <c r="L7826" i="1"/>
  <c r="M7826" i="1" s="1"/>
  <c r="N7826" i="1" s="1"/>
  <c r="L7827" i="1"/>
  <c r="M7827" i="1" s="1"/>
  <c r="N7827" i="1" s="1"/>
  <c r="L7828" i="1"/>
  <c r="M7828" i="1" s="1"/>
  <c r="N7828" i="1" s="1"/>
  <c r="L7829" i="1"/>
  <c r="M7829" i="1" s="1"/>
  <c r="N7829" i="1" s="1"/>
  <c r="L7830" i="1"/>
  <c r="M7830" i="1" s="1"/>
  <c r="N7830" i="1" s="1"/>
  <c r="L7831" i="1"/>
  <c r="M7831" i="1" s="1"/>
  <c r="N7831" i="1" s="1"/>
  <c r="L7832" i="1"/>
  <c r="M7832" i="1" s="1"/>
  <c r="N7832" i="1" s="1"/>
  <c r="L7833" i="1"/>
  <c r="M7833" i="1" s="1"/>
  <c r="N7833" i="1" s="1"/>
  <c r="L7834" i="1"/>
  <c r="M7834" i="1" s="1"/>
  <c r="N7834" i="1" s="1"/>
  <c r="L7835" i="1"/>
  <c r="M7835" i="1" s="1"/>
  <c r="N7835" i="1" s="1"/>
  <c r="L7836" i="1"/>
  <c r="M7836" i="1" s="1"/>
  <c r="N7836" i="1" s="1"/>
  <c r="L7837" i="1"/>
  <c r="M7837" i="1" s="1"/>
  <c r="N7837" i="1" s="1"/>
  <c r="L7838" i="1"/>
  <c r="M7838" i="1" s="1"/>
  <c r="N7838" i="1" s="1"/>
  <c r="L7839" i="1"/>
  <c r="M7839" i="1" s="1"/>
  <c r="N7839" i="1" s="1"/>
  <c r="L7840" i="1"/>
  <c r="M7840" i="1" s="1"/>
  <c r="N7840" i="1" s="1"/>
  <c r="L7841" i="1"/>
  <c r="M7841" i="1" s="1"/>
  <c r="N7841" i="1" s="1"/>
  <c r="L7842" i="1"/>
  <c r="M7842" i="1" s="1"/>
  <c r="N7842" i="1" s="1"/>
  <c r="L7843" i="1"/>
  <c r="M7843" i="1" s="1"/>
  <c r="N7843" i="1" s="1"/>
  <c r="L7844" i="1"/>
  <c r="M7844" i="1" s="1"/>
  <c r="N7844" i="1" s="1"/>
  <c r="L7845" i="1"/>
  <c r="M7845" i="1" s="1"/>
  <c r="N7845" i="1" s="1"/>
  <c r="L7846" i="1"/>
  <c r="M7846" i="1" s="1"/>
  <c r="N7846" i="1" s="1"/>
  <c r="L7847" i="1"/>
  <c r="M7847" i="1" s="1"/>
  <c r="N7847" i="1" s="1"/>
  <c r="L7848" i="1"/>
  <c r="M7848" i="1" s="1"/>
  <c r="N7848" i="1" s="1"/>
  <c r="L7849" i="1"/>
  <c r="M7849" i="1" s="1"/>
  <c r="N7849" i="1" s="1"/>
  <c r="L7850" i="1"/>
  <c r="M7850" i="1" s="1"/>
  <c r="N7850" i="1" s="1"/>
  <c r="L7851" i="1"/>
  <c r="M7851" i="1" s="1"/>
  <c r="N7851" i="1" s="1"/>
  <c r="L7852" i="1"/>
  <c r="M7852" i="1" s="1"/>
  <c r="N7852" i="1" s="1"/>
  <c r="L7853" i="1"/>
  <c r="M7853" i="1" s="1"/>
  <c r="N7853" i="1" s="1"/>
  <c r="L7854" i="1"/>
  <c r="M7854" i="1" s="1"/>
  <c r="N7854" i="1" s="1"/>
  <c r="L7855" i="1"/>
  <c r="M7855" i="1" s="1"/>
  <c r="N7855" i="1" s="1"/>
  <c r="L7856" i="1"/>
  <c r="M7856" i="1" s="1"/>
  <c r="N7856" i="1" s="1"/>
  <c r="L7857" i="1"/>
  <c r="M7857" i="1" s="1"/>
  <c r="N7857" i="1" s="1"/>
  <c r="L7858" i="1"/>
  <c r="M7858" i="1" s="1"/>
  <c r="N7858" i="1" s="1"/>
  <c r="L7859" i="1"/>
  <c r="M7859" i="1" s="1"/>
  <c r="N7859" i="1" s="1"/>
  <c r="L7860" i="1"/>
  <c r="M7860" i="1" s="1"/>
  <c r="N7860" i="1" s="1"/>
  <c r="L7861" i="1"/>
  <c r="M7861" i="1" s="1"/>
  <c r="N7861" i="1" s="1"/>
  <c r="L7862" i="1"/>
  <c r="M7862" i="1" s="1"/>
  <c r="N7862" i="1" s="1"/>
  <c r="L7863" i="1"/>
  <c r="M7863" i="1" s="1"/>
  <c r="N7863" i="1" s="1"/>
  <c r="L7864" i="1"/>
  <c r="M7864" i="1" s="1"/>
  <c r="N7864" i="1" s="1"/>
  <c r="L7865" i="1"/>
  <c r="M7865" i="1" s="1"/>
  <c r="N7865" i="1" s="1"/>
  <c r="L7866" i="1"/>
  <c r="M7866" i="1" s="1"/>
  <c r="N7866" i="1" s="1"/>
  <c r="L7867" i="1"/>
  <c r="M7867" i="1" s="1"/>
  <c r="N7867" i="1" s="1"/>
  <c r="L7868" i="1"/>
  <c r="M7868" i="1" s="1"/>
  <c r="N7868" i="1" s="1"/>
  <c r="L7869" i="1"/>
  <c r="M7869" i="1" s="1"/>
  <c r="N7869" i="1" s="1"/>
  <c r="L7870" i="1"/>
  <c r="M7870" i="1" s="1"/>
  <c r="N7870" i="1" s="1"/>
  <c r="L7871" i="1"/>
  <c r="M7871" i="1" s="1"/>
  <c r="N7871" i="1" s="1"/>
  <c r="L7872" i="1"/>
  <c r="M7872" i="1" s="1"/>
  <c r="N7872" i="1" s="1"/>
  <c r="L7873" i="1"/>
  <c r="M7873" i="1" s="1"/>
  <c r="N7873" i="1" s="1"/>
  <c r="L7874" i="1"/>
  <c r="M7874" i="1" s="1"/>
  <c r="N7874" i="1" s="1"/>
  <c r="L7875" i="1"/>
  <c r="M7875" i="1" s="1"/>
  <c r="N7875" i="1" s="1"/>
  <c r="L7876" i="1"/>
  <c r="M7876" i="1" s="1"/>
  <c r="N7876" i="1" s="1"/>
  <c r="L7877" i="1"/>
  <c r="M7877" i="1" s="1"/>
  <c r="N7877" i="1" s="1"/>
  <c r="L7878" i="1"/>
  <c r="M7878" i="1" s="1"/>
  <c r="N7878" i="1" s="1"/>
  <c r="L7879" i="1"/>
  <c r="M7879" i="1" s="1"/>
  <c r="N7879" i="1" s="1"/>
  <c r="L7880" i="1"/>
  <c r="M7880" i="1" s="1"/>
  <c r="N7880" i="1" s="1"/>
  <c r="L7881" i="1"/>
  <c r="M7881" i="1" s="1"/>
  <c r="N7881" i="1" s="1"/>
  <c r="L7882" i="1"/>
  <c r="M7882" i="1" s="1"/>
  <c r="N7882" i="1" s="1"/>
  <c r="L7883" i="1"/>
  <c r="M7883" i="1" s="1"/>
  <c r="N7883" i="1" s="1"/>
  <c r="L7884" i="1"/>
  <c r="M7884" i="1" s="1"/>
  <c r="N7884" i="1" s="1"/>
  <c r="L7885" i="1"/>
  <c r="M7885" i="1" s="1"/>
  <c r="N7885" i="1" s="1"/>
  <c r="L7886" i="1"/>
  <c r="M7886" i="1" s="1"/>
  <c r="N7886" i="1" s="1"/>
  <c r="L7887" i="1"/>
  <c r="M7887" i="1" s="1"/>
  <c r="N7887" i="1" s="1"/>
  <c r="L7888" i="1"/>
  <c r="M7888" i="1" s="1"/>
  <c r="N7888" i="1" s="1"/>
  <c r="L7889" i="1"/>
  <c r="M7889" i="1" s="1"/>
  <c r="N7889" i="1" s="1"/>
  <c r="L7890" i="1"/>
  <c r="M7890" i="1" s="1"/>
  <c r="N7890" i="1" s="1"/>
  <c r="L7891" i="1"/>
  <c r="M7891" i="1" s="1"/>
  <c r="N7891" i="1" s="1"/>
  <c r="L7892" i="1"/>
  <c r="M7892" i="1" s="1"/>
  <c r="N7892" i="1" s="1"/>
  <c r="L7893" i="1"/>
  <c r="M7893" i="1" s="1"/>
  <c r="N7893" i="1" s="1"/>
  <c r="L7894" i="1"/>
  <c r="M7894" i="1" s="1"/>
  <c r="N7894" i="1" s="1"/>
  <c r="L7895" i="1"/>
  <c r="M7895" i="1" s="1"/>
  <c r="N7895" i="1" s="1"/>
  <c r="L7896" i="1"/>
  <c r="M7896" i="1" s="1"/>
  <c r="N7896" i="1" s="1"/>
  <c r="L7897" i="1"/>
  <c r="M7897" i="1" s="1"/>
  <c r="N7897" i="1" s="1"/>
  <c r="L7898" i="1"/>
  <c r="M7898" i="1" s="1"/>
  <c r="N7898" i="1" s="1"/>
  <c r="L7899" i="1"/>
  <c r="M7899" i="1" s="1"/>
  <c r="N7899" i="1" s="1"/>
  <c r="L7900" i="1"/>
  <c r="M7900" i="1" s="1"/>
  <c r="N7900" i="1" s="1"/>
  <c r="L7901" i="1"/>
  <c r="M7901" i="1" s="1"/>
  <c r="N7901" i="1" s="1"/>
  <c r="L7902" i="1"/>
  <c r="M7902" i="1" s="1"/>
  <c r="N7902" i="1" s="1"/>
  <c r="L7903" i="1"/>
  <c r="M7903" i="1" s="1"/>
  <c r="N7903" i="1" s="1"/>
  <c r="L7904" i="1"/>
  <c r="M7904" i="1" s="1"/>
  <c r="N7904" i="1" s="1"/>
  <c r="L7905" i="1"/>
  <c r="M7905" i="1" s="1"/>
  <c r="N7905" i="1" s="1"/>
  <c r="L7906" i="1"/>
  <c r="M7906" i="1" s="1"/>
  <c r="N7906" i="1" s="1"/>
  <c r="L7907" i="1"/>
  <c r="M7907" i="1" s="1"/>
  <c r="N7907" i="1" s="1"/>
  <c r="L7908" i="1"/>
  <c r="M7908" i="1" s="1"/>
  <c r="N7908" i="1" s="1"/>
  <c r="L7909" i="1"/>
  <c r="M7909" i="1" s="1"/>
  <c r="N7909" i="1" s="1"/>
  <c r="L7910" i="1"/>
  <c r="M7910" i="1" s="1"/>
  <c r="N7910" i="1" s="1"/>
  <c r="L7911" i="1"/>
  <c r="M7911" i="1" s="1"/>
  <c r="N7911" i="1" s="1"/>
  <c r="L7912" i="1"/>
  <c r="M7912" i="1" s="1"/>
  <c r="N7912" i="1" s="1"/>
  <c r="L7913" i="1"/>
  <c r="M7913" i="1" s="1"/>
  <c r="N7913" i="1" s="1"/>
  <c r="L7914" i="1"/>
  <c r="M7914" i="1" s="1"/>
  <c r="N7914" i="1" s="1"/>
  <c r="L7915" i="1"/>
  <c r="M7915" i="1" s="1"/>
  <c r="N7915" i="1" s="1"/>
  <c r="L7916" i="1"/>
  <c r="M7916" i="1" s="1"/>
  <c r="N7916" i="1" s="1"/>
  <c r="L7917" i="1"/>
  <c r="M7917" i="1" s="1"/>
  <c r="N7917" i="1" s="1"/>
  <c r="L7918" i="1"/>
  <c r="M7918" i="1" s="1"/>
  <c r="N7918" i="1" s="1"/>
  <c r="L7919" i="1"/>
  <c r="M7919" i="1" s="1"/>
  <c r="N7919" i="1" s="1"/>
  <c r="L7920" i="1"/>
  <c r="M7920" i="1" s="1"/>
  <c r="N7920" i="1" s="1"/>
  <c r="L7921" i="1"/>
  <c r="M7921" i="1" s="1"/>
  <c r="N7921" i="1" s="1"/>
  <c r="L7922" i="1"/>
  <c r="M7922" i="1" s="1"/>
  <c r="N7922" i="1" s="1"/>
  <c r="L7923" i="1"/>
  <c r="M7923" i="1" s="1"/>
  <c r="N7923" i="1" s="1"/>
  <c r="L7924" i="1"/>
  <c r="M7924" i="1" s="1"/>
  <c r="N7924" i="1" s="1"/>
  <c r="L7925" i="1"/>
  <c r="M7925" i="1" s="1"/>
  <c r="N7925" i="1" s="1"/>
  <c r="L7926" i="1"/>
  <c r="M7926" i="1" s="1"/>
  <c r="N7926" i="1" s="1"/>
  <c r="L7927" i="1"/>
  <c r="M7927" i="1" s="1"/>
  <c r="N7927" i="1" s="1"/>
  <c r="L7928" i="1"/>
  <c r="M7928" i="1" s="1"/>
  <c r="N7928" i="1" s="1"/>
  <c r="L7929" i="1"/>
  <c r="M7929" i="1" s="1"/>
  <c r="N7929" i="1" s="1"/>
  <c r="L7930" i="1"/>
  <c r="M7930" i="1" s="1"/>
  <c r="N7930" i="1" s="1"/>
  <c r="L7931" i="1"/>
  <c r="M7931" i="1" s="1"/>
  <c r="N7931" i="1" s="1"/>
  <c r="L7932" i="1"/>
  <c r="M7932" i="1" s="1"/>
  <c r="N7932" i="1" s="1"/>
  <c r="L7933" i="1"/>
  <c r="M7933" i="1" s="1"/>
  <c r="N7933" i="1" s="1"/>
  <c r="L7934" i="1"/>
  <c r="M7934" i="1" s="1"/>
  <c r="N7934" i="1" s="1"/>
  <c r="L7935" i="1"/>
  <c r="M7935" i="1" s="1"/>
  <c r="N7935" i="1" s="1"/>
  <c r="L7936" i="1"/>
  <c r="M7936" i="1" s="1"/>
  <c r="N7936" i="1" s="1"/>
  <c r="L7937" i="1"/>
  <c r="M7937" i="1" s="1"/>
  <c r="N7937" i="1" s="1"/>
  <c r="L7938" i="1"/>
  <c r="M7938" i="1" s="1"/>
  <c r="N7938" i="1" s="1"/>
  <c r="L7939" i="1"/>
  <c r="M7939" i="1" s="1"/>
  <c r="N7939" i="1" s="1"/>
  <c r="L7940" i="1"/>
  <c r="M7940" i="1" s="1"/>
  <c r="N7940" i="1" s="1"/>
  <c r="L7941" i="1"/>
  <c r="M7941" i="1" s="1"/>
  <c r="N7941" i="1" s="1"/>
  <c r="L7942" i="1"/>
  <c r="M7942" i="1" s="1"/>
  <c r="N7942" i="1" s="1"/>
  <c r="L7943" i="1"/>
  <c r="M7943" i="1" s="1"/>
  <c r="N7943" i="1" s="1"/>
  <c r="L7944" i="1"/>
  <c r="M7944" i="1" s="1"/>
  <c r="N7944" i="1" s="1"/>
  <c r="L7945" i="1"/>
  <c r="M7945" i="1" s="1"/>
  <c r="N7945" i="1" s="1"/>
  <c r="L7946" i="1"/>
  <c r="M7946" i="1" s="1"/>
  <c r="N7946" i="1" s="1"/>
  <c r="L7947" i="1"/>
  <c r="M7947" i="1" s="1"/>
  <c r="N7947" i="1" s="1"/>
  <c r="L7948" i="1"/>
  <c r="M7948" i="1" s="1"/>
  <c r="N7948" i="1" s="1"/>
  <c r="L7949" i="1"/>
  <c r="M7949" i="1" s="1"/>
  <c r="N7949" i="1" s="1"/>
  <c r="L7950" i="1"/>
  <c r="M7950" i="1" s="1"/>
  <c r="N7950" i="1" s="1"/>
  <c r="L7951" i="1"/>
  <c r="M7951" i="1" s="1"/>
  <c r="N7951" i="1" s="1"/>
  <c r="L7952" i="1"/>
  <c r="M7952" i="1" s="1"/>
  <c r="N7952" i="1" s="1"/>
  <c r="L7953" i="1"/>
  <c r="M7953" i="1" s="1"/>
  <c r="N7953" i="1" s="1"/>
  <c r="L7954" i="1"/>
  <c r="M7954" i="1" s="1"/>
  <c r="N7954" i="1" s="1"/>
  <c r="L7955" i="1"/>
  <c r="M7955" i="1" s="1"/>
  <c r="N7955" i="1" s="1"/>
  <c r="L7956" i="1"/>
  <c r="M7956" i="1" s="1"/>
  <c r="N7956" i="1" s="1"/>
  <c r="L7957" i="1"/>
  <c r="M7957" i="1" s="1"/>
  <c r="N7957" i="1" s="1"/>
  <c r="L7958" i="1"/>
  <c r="M7958" i="1" s="1"/>
  <c r="N7958" i="1" s="1"/>
  <c r="L7959" i="1"/>
  <c r="M7959" i="1" s="1"/>
  <c r="N7959" i="1" s="1"/>
  <c r="L7960" i="1"/>
  <c r="M7960" i="1" s="1"/>
  <c r="N7960" i="1" s="1"/>
  <c r="L7961" i="1"/>
  <c r="M7961" i="1" s="1"/>
  <c r="N7961" i="1" s="1"/>
  <c r="L7962" i="1"/>
  <c r="M7962" i="1" s="1"/>
  <c r="N7962" i="1" s="1"/>
  <c r="L7963" i="1"/>
  <c r="M7963" i="1" s="1"/>
  <c r="N7963" i="1" s="1"/>
  <c r="L7964" i="1"/>
  <c r="M7964" i="1" s="1"/>
  <c r="N7964" i="1" s="1"/>
  <c r="L7965" i="1"/>
  <c r="M7965" i="1" s="1"/>
  <c r="N7965" i="1" s="1"/>
  <c r="L7966" i="1"/>
  <c r="M7966" i="1" s="1"/>
  <c r="N7966" i="1" s="1"/>
  <c r="L7967" i="1"/>
  <c r="M7967" i="1" s="1"/>
  <c r="N7967" i="1" s="1"/>
  <c r="L7968" i="1"/>
  <c r="M7968" i="1" s="1"/>
  <c r="N7968" i="1" s="1"/>
  <c r="L7969" i="1"/>
  <c r="M7969" i="1" s="1"/>
  <c r="N7969" i="1" s="1"/>
  <c r="L7970" i="1"/>
  <c r="M7970" i="1" s="1"/>
  <c r="N7970" i="1" s="1"/>
  <c r="L7971" i="1"/>
  <c r="M7971" i="1" s="1"/>
  <c r="N7971" i="1" s="1"/>
  <c r="L7972" i="1"/>
  <c r="M7972" i="1" s="1"/>
  <c r="N7972" i="1" s="1"/>
  <c r="L7973" i="1"/>
  <c r="M7973" i="1" s="1"/>
  <c r="N7973" i="1" s="1"/>
  <c r="L7974" i="1"/>
  <c r="M7974" i="1" s="1"/>
  <c r="N7974" i="1" s="1"/>
  <c r="L7975" i="1"/>
  <c r="M7975" i="1" s="1"/>
  <c r="N7975" i="1" s="1"/>
  <c r="L7976" i="1"/>
  <c r="M7976" i="1" s="1"/>
  <c r="N7976" i="1" s="1"/>
  <c r="L7977" i="1"/>
  <c r="M7977" i="1" s="1"/>
  <c r="N7977" i="1" s="1"/>
  <c r="L7978" i="1"/>
  <c r="M7978" i="1" s="1"/>
  <c r="N7978" i="1" s="1"/>
  <c r="L7979" i="1"/>
  <c r="M7979" i="1" s="1"/>
  <c r="N7979" i="1" s="1"/>
  <c r="L7980" i="1"/>
  <c r="M7980" i="1" s="1"/>
  <c r="N7980" i="1" s="1"/>
  <c r="L7981" i="1"/>
  <c r="M7981" i="1" s="1"/>
  <c r="N7981" i="1" s="1"/>
  <c r="L7982" i="1"/>
  <c r="M7982" i="1" s="1"/>
  <c r="N7982" i="1" s="1"/>
  <c r="L7983" i="1"/>
  <c r="M7983" i="1" s="1"/>
  <c r="N7983" i="1" s="1"/>
  <c r="L7984" i="1"/>
  <c r="M7984" i="1" s="1"/>
  <c r="N7984" i="1" s="1"/>
  <c r="L7985" i="1"/>
  <c r="M7985" i="1" s="1"/>
  <c r="N7985" i="1" s="1"/>
  <c r="L7986" i="1"/>
  <c r="M7986" i="1" s="1"/>
  <c r="N7986" i="1" s="1"/>
  <c r="L7987" i="1"/>
  <c r="M7987" i="1" s="1"/>
  <c r="N7987" i="1" s="1"/>
  <c r="L7988" i="1"/>
  <c r="M7988" i="1" s="1"/>
  <c r="N7988" i="1" s="1"/>
  <c r="L7989" i="1"/>
  <c r="M7989" i="1" s="1"/>
  <c r="N7989" i="1" s="1"/>
  <c r="L7990" i="1"/>
  <c r="M7990" i="1" s="1"/>
  <c r="N7990" i="1" s="1"/>
  <c r="L7991" i="1"/>
  <c r="M7991" i="1" s="1"/>
  <c r="N7991" i="1" s="1"/>
  <c r="L7992" i="1"/>
  <c r="M7992" i="1" s="1"/>
  <c r="N7992" i="1" s="1"/>
  <c r="L7993" i="1"/>
  <c r="M7993" i="1" s="1"/>
  <c r="N7993" i="1" s="1"/>
  <c r="L7994" i="1"/>
  <c r="M7994" i="1" s="1"/>
  <c r="N7994" i="1" s="1"/>
  <c r="L7995" i="1"/>
  <c r="M7995" i="1" s="1"/>
  <c r="N7995" i="1" s="1"/>
  <c r="L7996" i="1"/>
  <c r="M7996" i="1" s="1"/>
  <c r="N7996" i="1" s="1"/>
  <c r="L7997" i="1"/>
  <c r="M7997" i="1" s="1"/>
  <c r="N7997" i="1" s="1"/>
  <c r="L7998" i="1"/>
  <c r="M7998" i="1" s="1"/>
  <c r="N7998" i="1" s="1"/>
  <c r="L7999" i="1"/>
  <c r="M7999" i="1" s="1"/>
  <c r="N7999" i="1" s="1"/>
  <c r="L8000" i="1"/>
  <c r="M8000" i="1" s="1"/>
  <c r="N8000" i="1" s="1"/>
  <c r="L8001" i="1"/>
  <c r="M8001" i="1" s="1"/>
  <c r="N8001" i="1" s="1"/>
  <c r="L8002" i="1"/>
  <c r="M8002" i="1" s="1"/>
  <c r="N8002" i="1" s="1"/>
  <c r="L8003" i="1"/>
  <c r="M8003" i="1" s="1"/>
  <c r="N8003" i="1" s="1"/>
  <c r="L8004" i="1"/>
  <c r="M8004" i="1" s="1"/>
  <c r="N8004" i="1" s="1"/>
  <c r="L8005" i="1"/>
  <c r="M8005" i="1" s="1"/>
  <c r="N8005" i="1" s="1"/>
  <c r="L8006" i="1"/>
  <c r="M8006" i="1" s="1"/>
  <c r="N8006" i="1" s="1"/>
  <c r="L8007" i="1"/>
  <c r="M8007" i="1" s="1"/>
  <c r="N8007" i="1" s="1"/>
  <c r="L8008" i="1"/>
  <c r="M8008" i="1" s="1"/>
  <c r="N8008" i="1" s="1"/>
  <c r="L8009" i="1"/>
  <c r="M8009" i="1" s="1"/>
  <c r="N8009" i="1" s="1"/>
  <c r="L8010" i="1"/>
  <c r="M8010" i="1" s="1"/>
  <c r="N8010" i="1" s="1"/>
  <c r="L8011" i="1"/>
  <c r="M8011" i="1" s="1"/>
  <c r="N8011" i="1" s="1"/>
  <c r="L8012" i="1"/>
  <c r="M8012" i="1" s="1"/>
  <c r="N8012" i="1" s="1"/>
  <c r="L8013" i="1"/>
  <c r="M8013" i="1" s="1"/>
  <c r="N8013" i="1" s="1"/>
  <c r="L8014" i="1"/>
  <c r="M8014" i="1" s="1"/>
  <c r="N8014" i="1" s="1"/>
  <c r="L8015" i="1"/>
  <c r="M8015" i="1" s="1"/>
  <c r="N8015" i="1" s="1"/>
  <c r="L8016" i="1"/>
  <c r="M8016" i="1" s="1"/>
  <c r="N8016" i="1" s="1"/>
  <c r="L8017" i="1"/>
  <c r="M8017" i="1" s="1"/>
  <c r="N8017" i="1" s="1"/>
  <c r="L8018" i="1"/>
  <c r="M8018" i="1" s="1"/>
  <c r="N8018" i="1" s="1"/>
  <c r="L8019" i="1"/>
  <c r="M8019" i="1" s="1"/>
  <c r="N8019" i="1" s="1"/>
  <c r="L8020" i="1"/>
  <c r="M8020" i="1" s="1"/>
  <c r="N8020" i="1" s="1"/>
  <c r="L8021" i="1"/>
  <c r="M8021" i="1" s="1"/>
  <c r="N8021" i="1" s="1"/>
  <c r="L8022" i="1"/>
  <c r="M8022" i="1" s="1"/>
  <c r="N8022" i="1" s="1"/>
  <c r="L8023" i="1"/>
  <c r="M8023" i="1" s="1"/>
  <c r="N8023" i="1" s="1"/>
  <c r="L8024" i="1"/>
  <c r="M8024" i="1" s="1"/>
  <c r="N8024" i="1" s="1"/>
  <c r="L8025" i="1"/>
  <c r="M8025" i="1" s="1"/>
  <c r="N8025" i="1" s="1"/>
  <c r="L8026" i="1"/>
  <c r="M8026" i="1" s="1"/>
  <c r="N8026" i="1" s="1"/>
  <c r="L8027" i="1"/>
  <c r="M8027" i="1" s="1"/>
  <c r="N8027" i="1" s="1"/>
  <c r="L8028" i="1"/>
  <c r="M8028" i="1" s="1"/>
  <c r="N8028" i="1" s="1"/>
  <c r="L8029" i="1"/>
  <c r="M8029" i="1" s="1"/>
  <c r="N8029" i="1" s="1"/>
  <c r="L8030" i="1"/>
  <c r="M8030" i="1" s="1"/>
  <c r="N8030" i="1" s="1"/>
  <c r="L8031" i="1"/>
  <c r="M8031" i="1" s="1"/>
  <c r="N8031" i="1" s="1"/>
  <c r="L8032" i="1"/>
  <c r="M8032" i="1" s="1"/>
  <c r="N8032" i="1" s="1"/>
  <c r="L8033" i="1"/>
  <c r="M8033" i="1" s="1"/>
  <c r="N8033" i="1" s="1"/>
  <c r="L8034" i="1"/>
  <c r="M8034" i="1" s="1"/>
  <c r="N8034" i="1" s="1"/>
  <c r="L8035" i="1"/>
  <c r="M8035" i="1" s="1"/>
  <c r="N8035" i="1" s="1"/>
  <c r="L8036" i="1"/>
  <c r="M8036" i="1" s="1"/>
  <c r="N8036" i="1" s="1"/>
  <c r="L8037" i="1"/>
  <c r="M8037" i="1" s="1"/>
  <c r="N8037" i="1" s="1"/>
  <c r="L8038" i="1"/>
  <c r="M8038" i="1" s="1"/>
  <c r="N8038" i="1" s="1"/>
  <c r="L8039" i="1"/>
  <c r="M8039" i="1" s="1"/>
  <c r="N8039" i="1" s="1"/>
  <c r="L8040" i="1"/>
  <c r="M8040" i="1" s="1"/>
  <c r="N8040" i="1" s="1"/>
  <c r="L8041" i="1"/>
  <c r="M8041" i="1" s="1"/>
  <c r="N8041" i="1" s="1"/>
  <c r="L8042" i="1"/>
  <c r="M8042" i="1" s="1"/>
  <c r="N8042" i="1" s="1"/>
  <c r="L8043" i="1"/>
  <c r="M8043" i="1" s="1"/>
  <c r="N8043" i="1" s="1"/>
  <c r="L8044" i="1"/>
  <c r="M8044" i="1" s="1"/>
  <c r="N8044" i="1" s="1"/>
  <c r="L8045" i="1"/>
  <c r="M8045" i="1" s="1"/>
  <c r="N8045" i="1" s="1"/>
  <c r="L8046" i="1"/>
  <c r="M8046" i="1" s="1"/>
  <c r="N8046" i="1" s="1"/>
  <c r="L8047" i="1"/>
  <c r="M8047" i="1" s="1"/>
  <c r="N8047" i="1" s="1"/>
  <c r="L8048" i="1"/>
  <c r="M8048" i="1" s="1"/>
  <c r="N8048" i="1" s="1"/>
  <c r="L8049" i="1"/>
  <c r="M8049" i="1" s="1"/>
  <c r="N8049" i="1" s="1"/>
  <c r="L8050" i="1"/>
  <c r="M8050" i="1" s="1"/>
  <c r="N8050" i="1" s="1"/>
  <c r="L8051" i="1"/>
  <c r="M8051" i="1" s="1"/>
  <c r="N8051" i="1" s="1"/>
  <c r="L8052" i="1"/>
  <c r="M8052" i="1" s="1"/>
  <c r="N8052" i="1" s="1"/>
  <c r="L8053" i="1"/>
  <c r="M8053" i="1" s="1"/>
  <c r="N8053" i="1" s="1"/>
  <c r="L8054" i="1"/>
  <c r="M8054" i="1" s="1"/>
  <c r="N8054" i="1" s="1"/>
  <c r="L8055" i="1"/>
  <c r="M8055" i="1" s="1"/>
  <c r="N8055" i="1" s="1"/>
  <c r="L8056" i="1"/>
  <c r="M8056" i="1" s="1"/>
  <c r="N8056" i="1" s="1"/>
  <c r="L8057" i="1"/>
  <c r="M8057" i="1" s="1"/>
  <c r="N8057" i="1" s="1"/>
  <c r="L8058" i="1"/>
  <c r="M8058" i="1" s="1"/>
  <c r="N8058" i="1" s="1"/>
  <c r="L8059" i="1"/>
  <c r="M8059" i="1" s="1"/>
  <c r="N8059" i="1" s="1"/>
  <c r="L8060" i="1"/>
  <c r="M8060" i="1" s="1"/>
  <c r="N8060" i="1" s="1"/>
  <c r="L8061" i="1"/>
  <c r="M8061" i="1" s="1"/>
  <c r="N8061" i="1" s="1"/>
  <c r="L8062" i="1"/>
  <c r="M8062" i="1" s="1"/>
  <c r="N8062" i="1" s="1"/>
  <c r="L8063" i="1"/>
  <c r="M8063" i="1" s="1"/>
  <c r="N8063" i="1" s="1"/>
  <c r="L8064" i="1"/>
  <c r="M8064" i="1" s="1"/>
  <c r="N8064" i="1" s="1"/>
  <c r="L8065" i="1"/>
  <c r="M8065" i="1" s="1"/>
  <c r="N8065" i="1" s="1"/>
  <c r="L8066" i="1"/>
  <c r="M8066" i="1" s="1"/>
  <c r="N8066" i="1" s="1"/>
  <c r="L8067" i="1"/>
  <c r="M8067" i="1" s="1"/>
  <c r="N8067" i="1" s="1"/>
  <c r="L8068" i="1"/>
  <c r="M8068" i="1" s="1"/>
  <c r="N8068" i="1" s="1"/>
  <c r="L8069" i="1"/>
  <c r="M8069" i="1" s="1"/>
  <c r="N8069" i="1" s="1"/>
  <c r="L8070" i="1"/>
  <c r="M8070" i="1" s="1"/>
  <c r="N8070" i="1" s="1"/>
  <c r="L8071" i="1"/>
  <c r="M8071" i="1" s="1"/>
  <c r="N8071" i="1" s="1"/>
  <c r="L8072" i="1"/>
  <c r="M8072" i="1" s="1"/>
  <c r="N8072" i="1" s="1"/>
  <c r="L8073" i="1"/>
  <c r="M8073" i="1" s="1"/>
  <c r="N8073" i="1" s="1"/>
  <c r="L8074" i="1"/>
  <c r="M8074" i="1" s="1"/>
  <c r="N8074" i="1" s="1"/>
  <c r="L8075" i="1"/>
  <c r="M8075" i="1" s="1"/>
  <c r="N8075" i="1" s="1"/>
  <c r="L8076" i="1"/>
  <c r="M8076" i="1" s="1"/>
  <c r="N8076" i="1" s="1"/>
  <c r="L8077" i="1"/>
  <c r="M8077" i="1" s="1"/>
  <c r="N8077" i="1" s="1"/>
  <c r="L8078" i="1"/>
  <c r="M8078" i="1" s="1"/>
  <c r="N8078" i="1" s="1"/>
  <c r="L8079" i="1"/>
  <c r="M8079" i="1" s="1"/>
  <c r="N8079" i="1" s="1"/>
  <c r="L8080" i="1"/>
  <c r="M8080" i="1" s="1"/>
  <c r="N8080" i="1" s="1"/>
  <c r="L8081" i="1"/>
  <c r="M8081" i="1" s="1"/>
  <c r="N8081" i="1" s="1"/>
  <c r="L8082" i="1"/>
  <c r="M8082" i="1" s="1"/>
  <c r="N8082" i="1" s="1"/>
  <c r="L8083" i="1"/>
  <c r="M8083" i="1" s="1"/>
  <c r="N8083" i="1" s="1"/>
  <c r="L8084" i="1"/>
  <c r="M8084" i="1" s="1"/>
  <c r="N8084" i="1" s="1"/>
  <c r="L8085" i="1"/>
  <c r="M8085" i="1" s="1"/>
  <c r="N8085" i="1" s="1"/>
  <c r="L8086" i="1"/>
  <c r="M8086" i="1" s="1"/>
  <c r="N8086" i="1" s="1"/>
  <c r="L8087" i="1"/>
  <c r="M8087" i="1" s="1"/>
  <c r="N8087" i="1" s="1"/>
  <c r="L8088" i="1"/>
  <c r="M8088" i="1" s="1"/>
  <c r="N8088" i="1" s="1"/>
  <c r="L8089" i="1"/>
  <c r="M8089" i="1" s="1"/>
  <c r="N8089" i="1" s="1"/>
  <c r="L8090" i="1"/>
  <c r="M8090" i="1" s="1"/>
  <c r="N8090" i="1" s="1"/>
  <c r="L8091" i="1"/>
  <c r="M8091" i="1" s="1"/>
  <c r="N8091" i="1" s="1"/>
  <c r="L8092" i="1"/>
  <c r="M8092" i="1" s="1"/>
  <c r="N8092" i="1" s="1"/>
  <c r="L8093" i="1"/>
  <c r="M8093" i="1" s="1"/>
  <c r="N8093" i="1" s="1"/>
  <c r="L8094" i="1"/>
  <c r="M8094" i="1" s="1"/>
  <c r="N8094" i="1" s="1"/>
  <c r="L8095" i="1"/>
  <c r="M8095" i="1" s="1"/>
  <c r="N8095" i="1" s="1"/>
  <c r="L8096" i="1"/>
  <c r="M8096" i="1" s="1"/>
  <c r="N8096" i="1" s="1"/>
  <c r="L8097" i="1"/>
  <c r="M8097" i="1" s="1"/>
  <c r="N8097" i="1" s="1"/>
  <c r="L8098" i="1"/>
  <c r="M8098" i="1" s="1"/>
  <c r="N8098" i="1" s="1"/>
  <c r="L8099" i="1"/>
  <c r="M8099" i="1" s="1"/>
  <c r="N8099" i="1" s="1"/>
  <c r="L8100" i="1"/>
  <c r="M8100" i="1" s="1"/>
  <c r="N8100" i="1" s="1"/>
  <c r="L8101" i="1"/>
  <c r="M8101" i="1" s="1"/>
  <c r="N8101" i="1" s="1"/>
  <c r="L8102" i="1"/>
  <c r="M8102" i="1" s="1"/>
  <c r="N8102" i="1" s="1"/>
  <c r="L8103" i="1"/>
  <c r="M8103" i="1" s="1"/>
  <c r="N8103" i="1" s="1"/>
  <c r="L8104" i="1"/>
  <c r="M8104" i="1" s="1"/>
  <c r="N8104" i="1" s="1"/>
  <c r="L8105" i="1"/>
  <c r="M8105" i="1" s="1"/>
  <c r="N8105" i="1" s="1"/>
  <c r="L8106" i="1"/>
  <c r="M8106" i="1" s="1"/>
  <c r="N8106" i="1" s="1"/>
  <c r="L8107" i="1"/>
  <c r="M8107" i="1" s="1"/>
  <c r="N8107" i="1" s="1"/>
  <c r="L8108" i="1"/>
  <c r="M8108" i="1" s="1"/>
  <c r="N8108" i="1" s="1"/>
  <c r="L8109" i="1"/>
  <c r="M8109" i="1" s="1"/>
  <c r="N8109" i="1" s="1"/>
  <c r="L8110" i="1"/>
  <c r="M8110" i="1" s="1"/>
  <c r="N8110" i="1" s="1"/>
  <c r="L8111" i="1"/>
  <c r="M8111" i="1" s="1"/>
  <c r="N8111" i="1" s="1"/>
  <c r="L8112" i="1"/>
  <c r="M8112" i="1" s="1"/>
  <c r="N8112" i="1" s="1"/>
  <c r="L8113" i="1"/>
  <c r="M8113" i="1" s="1"/>
  <c r="N8113" i="1" s="1"/>
  <c r="L8114" i="1"/>
  <c r="M8114" i="1" s="1"/>
  <c r="N8114" i="1" s="1"/>
  <c r="L8115" i="1"/>
  <c r="M8115" i="1" s="1"/>
  <c r="N8115" i="1" s="1"/>
  <c r="L8116" i="1"/>
  <c r="M8116" i="1" s="1"/>
  <c r="N8116" i="1" s="1"/>
  <c r="L8117" i="1"/>
  <c r="M8117" i="1" s="1"/>
  <c r="N8117" i="1" s="1"/>
  <c r="L8118" i="1"/>
  <c r="M8118" i="1" s="1"/>
  <c r="N8118" i="1" s="1"/>
  <c r="L8119" i="1"/>
  <c r="M8119" i="1" s="1"/>
  <c r="N8119" i="1" s="1"/>
  <c r="L8120" i="1"/>
  <c r="M8120" i="1" s="1"/>
  <c r="N8120" i="1" s="1"/>
  <c r="L8121" i="1"/>
  <c r="M8121" i="1" s="1"/>
  <c r="N8121" i="1" s="1"/>
  <c r="L8122" i="1"/>
  <c r="M8122" i="1" s="1"/>
  <c r="N8122" i="1" s="1"/>
  <c r="L8123" i="1"/>
  <c r="M8123" i="1" s="1"/>
  <c r="N8123" i="1" s="1"/>
  <c r="L8124" i="1"/>
  <c r="M8124" i="1" s="1"/>
  <c r="N8124" i="1" s="1"/>
  <c r="L8125" i="1"/>
  <c r="M8125" i="1" s="1"/>
  <c r="N8125" i="1" s="1"/>
  <c r="L8126" i="1"/>
  <c r="M8126" i="1" s="1"/>
  <c r="N8126" i="1" s="1"/>
  <c r="L8127" i="1"/>
  <c r="M8127" i="1" s="1"/>
  <c r="N8127" i="1" s="1"/>
  <c r="L8128" i="1"/>
  <c r="M8128" i="1" s="1"/>
  <c r="N8128" i="1" s="1"/>
  <c r="L8129" i="1"/>
  <c r="M8129" i="1" s="1"/>
  <c r="N8129" i="1" s="1"/>
  <c r="L8130" i="1"/>
  <c r="M8130" i="1" s="1"/>
  <c r="N8130" i="1" s="1"/>
  <c r="L8131" i="1"/>
  <c r="M8131" i="1" s="1"/>
  <c r="N8131" i="1" s="1"/>
  <c r="L8132" i="1"/>
  <c r="M8132" i="1" s="1"/>
  <c r="N8132" i="1" s="1"/>
  <c r="L8133" i="1"/>
  <c r="M8133" i="1" s="1"/>
  <c r="N8133" i="1" s="1"/>
  <c r="L8134" i="1"/>
  <c r="M8134" i="1" s="1"/>
  <c r="N8134" i="1" s="1"/>
  <c r="L8135" i="1"/>
  <c r="M8135" i="1" s="1"/>
  <c r="N8135" i="1" s="1"/>
  <c r="L8136" i="1"/>
  <c r="M8136" i="1" s="1"/>
  <c r="N8136" i="1" s="1"/>
  <c r="L8137" i="1"/>
  <c r="M8137" i="1" s="1"/>
  <c r="N8137" i="1" s="1"/>
  <c r="L8138" i="1"/>
  <c r="M8138" i="1" s="1"/>
  <c r="N8138" i="1" s="1"/>
  <c r="L8139" i="1"/>
  <c r="M8139" i="1" s="1"/>
  <c r="N8139" i="1" s="1"/>
  <c r="L8140" i="1"/>
  <c r="M8140" i="1" s="1"/>
  <c r="N8140" i="1" s="1"/>
  <c r="L8141" i="1"/>
  <c r="M8141" i="1" s="1"/>
  <c r="N8141" i="1" s="1"/>
  <c r="L8142" i="1"/>
  <c r="M8142" i="1" s="1"/>
  <c r="N8142" i="1" s="1"/>
  <c r="L8143" i="1"/>
  <c r="M8143" i="1" s="1"/>
  <c r="N8143" i="1" s="1"/>
  <c r="L8144" i="1"/>
  <c r="M8144" i="1" s="1"/>
  <c r="N8144" i="1" s="1"/>
  <c r="L8145" i="1"/>
  <c r="M8145" i="1" s="1"/>
  <c r="N8145" i="1" s="1"/>
  <c r="L8146" i="1"/>
  <c r="M8146" i="1" s="1"/>
  <c r="N8146" i="1" s="1"/>
  <c r="L8147" i="1"/>
  <c r="M8147" i="1" s="1"/>
  <c r="N8147" i="1" s="1"/>
  <c r="L8148" i="1"/>
  <c r="M8148" i="1" s="1"/>
  <c r="N8148" i="1" s="1"/>
  <c r="L8149" i="1"/>
  <c r="M8149" i="1" s="1"/>
  <c r="N8149" i="1" s="1"/>
  <c r="L8150" i="1"/>
  <c r="M8150" i="1" s="1"/>
  <c r="N8150" i="1" s="1"/>
  <c r="L8151" i="1"/>
  <c r="M8151" i="1" s="1"/>
  <c r="N8151" i="1" s="1"/>
  <c r="L8152" i="1"/>
  <c r="M8152" i="1" s="1"/>
  <c r="N8152" i="1" s="1"/>
  <c r="L8153" i="1"/>
  <c r="M8153" i="1" s="1"/>
  <c r="N8153" i="1" s="1"/>
  <c r="L8154" i="1"/>
  <c r="M8154" i="1" s="1"/>
  <c r="N8154" i="1" s="1"/>
  <c r="L8155" i="1"/>
  <c r="M8155" i="1" s="1"/>
  <c r="N8155" i="1" s="1"/>
  <c r="L8156" i="1"/>
  <c r="M8156" i="1" s="1"/>
  <c r="N8156" i="1" s="1"/>
  <c r="L8157" i="1"/>
  <c r="M8157" i="1" s="1"/>
  <c r="N8157" i="1" s="1"/>
  <c r="L8158" i="1"/>
  <c r="M8158" i="1" s="1"/>
  <c r="N8158" i="1" s="1"/>
  <c r="L8159" i="1"/>
  <c r="M8159" i="1" s="1"/>
  <c r="N8159" i="1" s="1"/>
  <c r="L8160" i="1"/>
  <c r="M8160" i="1" s="1"/>
  <c r="N8160" i="1" s="1"/>
  <c r="L8161" i="1"/>
  <c r="M8161" i="1" s="1"/>
  <c r="N8161" i="1" s="1"/>
  <c r="L8162" i="1"/>
  <c r="M8162" i="1" s="1"/>
  <c r="N8162" i="1" s="1"/>
  <c r="L8163" i="1"/>
  <c r="M8163" i="1" s="1"/>
  <c r="N8163" i="1" s="1"/>
  <c r="L8164" i="1"/>
  <c r="M8164" i="1" s="1"/>
  <c r="N8164" i="1" s="1"/>
  <c r="L8165" i="1"/>
  <c r="M8165" i="1" s="1"/>
  <c r="N8165" i="1" s="1"/>
  <c r="L8166" i="1"/>
  <c r="M8166" i="1" s="1"/>
  <c r="N8166" i="1" s="1"/>
  <c r="L8167" i="1"/>
  <c r="M8167" i="1" s="1"/>
  <c r="N8167" i="1" s="1"/>
  <c r="L8168" i="1"/>
  <c r="M8168" i="1" s="1"/>
  <c r="N8168" i="1" s="1"/>
  <c r="L8169" i="1"/>
  <c r="M8169" i="1" s="1"/>
  <c r="N8169" i="1" s="1"/>
  <c r="L8170" i="1"/>
  <c r="M8170" i="1" s="1"/>
  <c r="N8170" i="1" s="1"/>
  <c r="L8171" i="1"/>
  <c r="M8171" i="1" s="1"/>
  <c r="N8171" i="1" s="1"/>
  <c r="L8172" i="1"/>
  <c r="M8172" i="1" s="1"/>
  <c r="N8172" i="1" s="1"/>
  <c r="L8173" i="1"/>
  <c r="M8173" i="1" s="1"/>
  <c r="N8173" i="1" s="1"/>
  <c r="L8174" i="1"/>
  <c r="M8174" i="1" s="1"/>
  <c r="N8174" i="1" s="1"/>
  <c r="L8175" i="1"/>
  <c r="M8175" i="1" s="1"/>
  <c r="N8175" i="1" s="1"/>
  <c r="L8176" i="1"/>
  <c r="M8176" i="1" s="1"/>
  <c r="N8176" i="1" s="1"/>
  <c r="L8177" i="1"/>
  <c r="M8177" i="1" s="1"/>
  <c r="N8177" i="1" s="1"/>
  <c r="L8178" i="1"/>
  <c r="M8178" i="1" s="1"/>
  <c r="N8178" i="1" s="1"/>
  <c r="L8179" i="1"/>
  <c r="M8179" i="1" s="1"/>
  <c r="N8179" i="1" s="1"/>
  <c r="L8180" i="1"/>
  <c r="M8180" i="1" s="1"/>
  <c r="N8180" i="1" s="1"/>
  <c r="L8181" i="1"/>
  <c r="M8181" i="1" s="1"/>
  <c r="N8181" i="1" s="1"/>
  <c r="L8182" i="1"/>
  <c r="M8182" i="1" s="1"/>
  <c r="N8182" i="1" s="1"/>
  <c r="L8183" i="1"/>
  <c r="M8183" i="1" s="1"/>
  <c r="N8183" i="1" s="1"/>
  <c r="L8184" i="1"/>
  <c r="M8184" i="1" s="1"/>
  <c r="N8184" i="1" s="1"/>
  <c r="L8185" i="1"/>
  <c r="M8185" i="1" s="1"/>
  <c r="N8185" i="1" s="1"/>
  <c r="L8186" i="1"/>
  <c r="M8186" i="1" s="1"/>
  <c r="N8186" i="1" s="1"/>
  <c r="L8187" i="1"/>
  <c r="M8187" i="1" s="1"/>
  <c r="N8187" i="1" s="1"/>
  <c r="L8188" i="1"/>
  <c r="M8188" i="1" s="1"/>
  <c r="N8188" i="1" s="1"/>
  <c r="L8189" i="1"/>
  <c r="M8189" i="1" s="1"/>
  <c r="N8189" i="1" s="1"/>
  <c r="L8190" i="1"/>
  <c r="M8190" i="1" s="1"/>
  <c r="N8190" i="1" s="1"/>
  <c r="L8191" i="1"/>
  <c r="M8191" i="1" s="1"/>
  <c r="N8191" i="1" s="1"/>
  <c r="L8192" i="1"/>
  <c r="M8192" i="1" s="1"/>
  <c r="N8192" i="1" s="1"/>
  <c r="L8193" i="1"/>
  <c r="M8193" i="1" s="1"/>
  <c r="N8193" i="1" s="1"/>
  <c r="L8194" i="1"/>
  <c r="M8194" i="1" s="1"/>
  <c r="N8194" i="1" s="1"/>
  <c r="L8195" i="1"/>
  <c r="M8195" i="1" s="1"/>
  <c r="N8195" i="1" s="1"/>
  <c r="L8196" i="1"/>
  <c r="M8196" i="1" s="1"/>
  <c r="N8196" i="1" s="1"/>
  <c r="L8197" i="1"/>
  <c r="M8197" i="1" s="1"/>
  <c r="N8197" i="1" s="1"/>
  <c r="L8198" i="1"/>
  <c r="M8198" i="1" s="1"/>
  <c r="N8198" i="1" s="1"/>
  <c r="L8199" i="1"/>
  <c r="M8199" i="1" s="1"/>
  <c r="N8199" i="1" s="1"/>
  <c r="L8200" i="1"/>
  <c r="M8200" i="1" s="1"/>
  <c r="N8200" i="1" s="1"/>
  <c r="L8201" i="1"/>
  <c r="M8201" i="1" s="1"/>
  <c r="N8201" i="1" s="1"/>
  <c r="L8202" i="1"/>
  <c r="M8202" i="1" s="1"/>
  <c r="N8202" i="1" s="1"/>
  <c r="L8203" i="1"/>
  <c r="M8203" i="1" s="1"/>
  <c r="N8203" i="1" s="1"/>
  <c r="L8204" i="1"/>
  <c r="M8204" i="1" s="1"/>
  <c r="N8204" i="1" s="1"/>
  <c r="L8205" i="1"/>
  <c r="M8205" i="1" s="1"/>
  <c r="N8205" i="1" s="1"/>
  <c r="L8206" i="1"/>
  <c r="M8206" i="1" s="1"/>
  <c r="N8206" i="1" s="1"/>
  <c r="L8207" i="1"/>
  <c r="M8207" i="1" s="1"/>
  <c r="N8207" i="1" s="1"/>
  <c r="L8208" i="1"/>
  <c r="M8208" i="1" s="1"/>
  <c r="N8208" i="1" s="1"/>
  <c r="L8209" i="1"/>
  <c r="M8209" i="1" s="1"/>
  <c r="N8209" i="1" s="1"/>
  <c r="L8210" i="1"/>
  <c r="M8210" i="1" s="1"/>
  <c r="N8210" i="1" s="1"/>
  <c r="L8211" i="1"/>
  <c r="M8211" i="1" s="1"/>
  <c r="N8211" i="1" s="1"/>
  <c r="L8212" i="1"/>
  <c r="M8212" i="1" s="1"/>
  <c r="N8212" i="1" s="1"/>
  <c r="L8213" i="1"/>
  <c r="M8213" i="1" s="1"/>
  <c r="N8213" i="1" s="1"/>
  <c r="L8214" i="1"/>
  <c r="M8214" i="1" s="1"/>
  <c r="N8214" i="1" s="1"/>
  <c r="L8215" i="1"/>
  <c r="M8215" i="1" s="1"/>
  <c r="N8215" i="1" s="1"/>
  <c r="L8216" i="1"/>
  <c r="M8216" i="1" s="1"/>
  <c r="N8216" i="1" s="1"/>
  <c r="L8217" i="1"/>
  <c r="M8217" i="1" s="1"/>
  <c r="N8217" i="1" s="1"/>
  <c r="L8218" i="1"/>
  <c r="M8218" i="1" s="1"/>
  <c r="N8218" i="1" s="1"/>
  <c r="L8219" i="1"/>
  <c r="M8219" i="1" s="1"/>
  <c r="N8219" i="1" s="1"/>
  <c r="L8220" i="1"/>
  <c r="M8220" i="1" s="1"/>
  <c r="N8220" i="1" s="1"/>
  <c r="L8221" i="1"/>
  <c r="M8221" i="1" s="1"/>
  <c r="N8221" i="1" s="1"/>
  <c r="L8222" i="1"/>
  <c r="M8222" i="1" s="1"/>
  <c r="N8222" i="1" s="1"/>
  <c r="L8223" i="1"/>
  <c r="M8223" i="1" s="1"/>
  <c r="N8223" i="1" s="1"/>
  <c r="L8224" i="1"/>
  <c r="M8224" i="1" s="1"/>
  <c r="N8224" i="1" s="1"/>
  <c r="L8225" i="1"/>
  <c r="M8225" i="1" s="1"/>
  <c r="N8225" i="1" s="1"/>
  <c r="L8226" i="1"/>
  <c r="M8226" i="1" s="1"/>
  <c r="N8226" i="1" s="1"/>
  <c r="L8227" i="1"/>
  <c r="M8227" i="1" s="1"/>
  <c r="N8227" i="1" s="1"/>
  <c r="L8228" i="1"/>
  <c r="M8228" i="1" s="1"/>
  <c r="N8228" i="1" s="1"/>
  <c r="L8229" i="1"/>
  <c r="M8229" i="1" s="1"/>
  <c r="N8229" i="1" s="1"/>
  <c r="L8230" i="1"/>
  <c r="M8230" i="1" s="1"/>
  <c r="N8230" i="1" s="1"/>
  <c r="L8231" i="1"/>
  <c r="M8231" i="1" s="1"/>
  <c r="N8231" i="1" s="1"/>
  <c r="L8232" i="1"/>
  <c r="M8232" i="1" s="1"/>
  <c r="N8232" i="1" s="1"/>
  <c r="L8233" i="1"/>
  <c r="M8233" i="1" s="1"/>
  <c r="N8233" i="1" s="1"/>
  <c r="L8234" i="1"/>
  <c r="M8234" i="1" s="1"/>
  <c r="N8234" i="1" s="1"/>
  <c r="L8235" i="1"/>
  <c r="M8235" i="1" s="1"/>
  <c r="N8235" i="1" s="1"/>
  <c r="L8236" i="1"/>
  <c r="M8236" i="1" s="1"/>
  <c r="N8236" i="1" s="1"/>
  <c r="L8237" i="1"/>
  <c r="M8237" i="1" s="1"/>
  <c r="N8237" i="1" s="1"/>
  <c r="L8238" i="1"/>
  <c r="M8238" i="1" s="1"/>
  <c r="N8238" i="1" s="1"/>
  <c r="L8239" i="1"/>
  <c r="M8239" i="1" s="1"/>
  <c r="N8239" i="1" s="1"/>
  <c r="L8240" i="1"/>
  <c r="M8240" i="1" s="1"/>
  <c r="N8240" i="1" s="1"/>
  <c r="L8241" i="1"/>
  <c r="M8241" i="1" s="1"/>
  <c r="N8241" i="1" s="1"/>
  <c r="L8242" i="1"/>
  <c r="M8242" i="1" s="1"/>
  <c r="N8242" i="1" s="1"/>
  <c r="L8243" i="1"/>
  <c r="M8243" i="1" s="1"/>
  <c r="N8243" i="1" s="1"/>
  <c r="L8244" i="1"/>
  <c r="M8244" i="1" s="1"/>
  <c r="N8244" i="1" s="1"/>
  <c r="L8245" i="1"/>
  <c r="M8245" i="1" s="1"/>
  <c r="N8245" i="1" s="1"/>
  <c r="L8246" i="1"/>
  <c r="M8246" i="1" s="1"/>
  <c r="N8246" i="1" s="1"/>
  <c r="L8247" i="1"/>
  <c r="M8247" i="1" s="1"/>
  <c r="N8247" i="1" s="1"/>
  <c r="L8248" i="1"/>
  <c r="M8248" i="1" s="1"/>
  <c r="N8248" i="1" s="1"/>
  <c r="L8249" i="1"/>
  <c r="M8249" i="1" s="1"/>
  <c r="N8249" i="1" s="1"/>
  <c r="L8250" i="1"/>
  <c r="M8250" i="1" s="1"/>
  <c r="N8250" i="1" s="1"/>
  <c r="L8251" i="1"/>
  <c r="M8251" i="1" s="1"/>
  <c r="N8251" i="1" s="1"/>
  <c r="L8252" i="1"/>
  <c r="M8252" i="1" s="1"/>
  <c r="N8252" i="1" s="1"/>
  <c r="L8253" i="1"/>
  <c r="M8253" i="1" s="1"/>
  <c r="N8253" i="1" s="1"/>
  <c r="L8254" i="1"/>
  <c r="M8254" i="1" s="1"/>
  <c r="N8254" i="1" s="1"/>
  <c r="L8255" i="1"/>
  <c r="M8255" i="1" s="1"/>
  <c r="N8255" i="1" s="1"/>
  <c r="L8256" i="1"/>
  <c r="M8256" i="1" s="1"/>
  <c r="N8256" i="1" s="1"/>
  <c r="L8257" i="1"/>
  <c r="M8257" i="1" s="1"/>
  <c r="N8257" i="1" s="1"/>
  <c r="L8258" i="1"/>
  <c r="M8258" i="1" s="1"/>
  <c r="N8258" i="1" s="1"/>
  <c r="L8259" i="1"/>
  <c r="M8259" i="1" s="1"/>
  <c r="N8259" i="1" s="1"/>
  <c r="L8260" i="1"/>
  <c r="M8260" i="1" s="1"/>
  <c r="N8260" i="1" s="1"/>
  <c r="L8261" i="1"/>
  <c r="M8261" i="1" s="1"/>
  <c r="N8261" i="1" s="1"/>
  <c r="L8262" i="1"/>
  <c r="M8262" i="1" s="1"/>
  <c r="N8262" i="1" s="1"/>
  <c r="L8263" i="1"/>
  <c r="M8263" i="1" s="1"/>
  <c r="N8263" i="1" s="1"/>
  <c r="L8264" i="1"/>
  <c r="M8264" i="1" s="1"/>
  <c r="N8264" i="1" s="1"/>
  <c r="L8265" i="1"/>
  <c r="M8265" i="1" s="1"/>
  <c r="N8265" i="1" s="1"/>
  <c r="L8266" i="1"/>
  <c r="M8266" i="1" s="1"/>
  <c r="N8266" i="1" s="1"/>
  <c r="L8267" i="1"/>
  <c r="M8267" i="1" s="1"/>
  <c r="N8267" i="1" s="1"/>
  <c r="L8268" i="1"/>
  <c r="M8268" i="1" s="1"/>
  <c r="N8268" i="1" s="1"/>
  <c r="L8269" i="1"/>
  <c r="M8269" i="1" s="1"/>
  <c r="N8269" i="1" s="1"/>
  <c r="L8270" i="1"/>
  <c r="M8270" i="1" s="1"/>
  <c r="N8270" i="1" s="1"/>
  <c r="L8271" i="1"/>
  <c r="M8271" i="1" s="1"/>
  <c r="N8271" i="1" s="1"/>
  <c r="L8272" i="1"/>
  <c r="M8272" i="1" s="1"/>
  <c r="N8272" i="1" s="1"/>
  <c r="L8273" i="1"/>
  <c r="M8273" i="1" s="1"/>
  <c r="N8273" i="1" s="1"/>
  <c r="L8274" i="1"/>
  <c r="M8274" i="1" s="1"/>
  <c r="N8274" i="1" s="1"/>
  <c r="L8275" i="1"/>
  <c r="M8275" i="1" s="1"/>
  <c r="N8275" i="1" s="1"/>
  <c r="L8276" i="1"/>
  <c r="M8276" i="1" s="1"/>
  <c r="N8276" i="1" s="1"/>
  <c r="L8277" i="1"/>
  <c r="M8277" i="1" s="1"/>
  <c r="N8277" i="1" s="1"/>
  <c r="L8278" i="1"/>
  <c r="M8278" i="1" s="1"/>
  <c r="N8278" i="1" s="1"/>
  <c r="L8279" i="1"/>
  <c r="M8279" i="1" s="1"/>
  <c r="N8279" i="1" s="1"/>
  <c r="L8280" i="1"/>
  <c r="M8280" i="1" s="1"/>
  <c r="N8280" i="1" s="1"/>
  <c r="L8281" i="1"/>
  <c r="M8281" i="1" s="1"/>
  <c r="N8281" i="1" s="1"/>
  <c r="L8282" i="1"/>
  <c r="M8282" i="1" s="1"/>
  <c r="N8282" i="1" s="1"/>
  <c r="L8283" i="1"/>
  <c r="M8283" i="1" s="1"/>
  <c r="N8283" i="1" s="1"/>
  <c r="L8284" i="1"/>
  <c r="M8284" i="1" s="1"/>
  <c r="N8284" i="1" s="1"/>
  <c r="L8285" i="1"/>
  <c r="M8285" i="1" s="1"/>
  <c r="N8285" i="1" s="1"/>
  <c r="L8286" i="1"/>
  <c r="M8286" i="1" s="1"/>
  <c r="N8286" i="1" s="1"/>
  <c r="L8287" i="1"/>
  <c r="M8287" i="1" s="1"/>
  <c r="N8287" i="1" s="1"/>
  <c r="L8288" i="1"/>
  <c r="M8288" i="1" s="1"/>
  <c r="N8288" i="1" s="1"/>
  <c r="L8289" i="1"/>
  <c r="M8289" i="1" s="1"/>
  <c r="N8289" i="1" s="1"/>
  <c r="L8290" i="1"/>
  <c r="M8290" i="1" s="1"/>
  <c r="N8290" i="1" s="1"/>
  <c r="L8291" i="1"/>
  <c r="M8291" i="1" s="1"/>
  <c r="N8291" i="1" s="1"/>
  <c r="L8292" i="1"/>
  <c r="M8292" i="1" s="1"/>
  <c r="N8292" i="1" s="1"/>
  <c r="L8293" i="1"/>
  <c r="M8293" i="1" s="1"/>
  <c r="N8293" i="1" s="1"/>
  <c r="L8294" i="1"/>
  <c r="M8294" i="1" s="1"/>
  <c r="N8294" i="1" s="1"/>
  <c r="L8295" i="1"/>
  <c r="M8295" i="1" s="1"/>
  <c r="N8295" i="1" s="1"/>
  <c r="L8296" i="1"/>
  <c r="M8296" i="1" s="1"/>
  <c r="N8296" i="1" s="1"/>
  <c r="L8297" i="1"/>
  <c r="M8297" i="1" s="1"/>
  <c r="N8297" i="1" s="1"/>
  <c r="L8298" i="1"/>
  <c r="M8298" i="1" s="1"/>
  <c r="N8298" i="1" s="1"/>
  <c r="L8299" i="1"/>
  <c r="M8299" i="1" s="1"/>
  <c r="N8299" i="1" s="1"/>
  <c r="L8300" i="1"/>
  <c r="M8300" i="1" s="1"/>
  <c r="N8300" i="1" s="1"/>
  <c r="L8301" i="1"/>
  <c r="M8301" i="1" s="1"/>
  <c r="N8301" i="1" s="1"/>
  <c r="L8302" i="1"/>
  <c r="M8302" i="1" s="1"/>
  <c r="N8302" i="1" s="1"/>
  <c r="L8303" i="1"/>
  <c r="M8303" i="1" s="1"/>
  <c r="N8303" i="1" s="1"/>
  <c r="L8304" i="1"/>
  <c r="M8304" i="1" s="1"/>
  <c r="N8304" i="1" s="1"/>
  <c r="L8305" i="1"/>
  <c r="M8305" i="1" s="1"/>
  <c r="N8305" i="1" s="1"/>
  <c r="L8306" i="1"/>
  <c r="M8306" i="1" s="1"/>
  <c r="N8306" i="1" s="1"/>
  <c r="L8307" i="1"/>
  <c r="M8307" i="1" s="1"/>
  <c r="N8307" i="1" s="1"/>
  <c r="L8308" i="1"/>
  <c r="M8308" i="1" s="1"/>
  <c r="N8308" i="1" s="1"/>
  <c r="L8309" i="1"/>
  <c r="M8309" i="1" s="1"/>
  <c r="N8309" i="1" s="1"/>
  <c r="L8310" i="1"/>
  <c r="M8310" i="1" s="1"/>
  <c r="N8310" i="1" s="1"/>
  <c r="L8311" i="1"/>
  <c r="M8311" i="1" s="1"/>
  <c r="N8311" i="1" s="1"/>
  <c r="L8312" i="1"/>
  <c r="M8312" i="1" s="1"/>
  <c r="N8312" i="1" s="1"/>
  <c r="L8313" i="1"/>
  <c r="M8313" i="1" s="1"/>
  <c r="N8313" i="1" s="1"/>
  <c r="L8314" i="1"/>
  <c r="M8314" i="1" s="1"/>
  <c r="N8314" i="1" s="1"/>
  <c r="L8315" i="1"/>
  <c r="M8315" i="1" s="1"/>
  <c r="N8315" i="1" s="1"/>
  <c r="L8316" i="1"/>
  <c r="M8316" i="1" s="1"/>
  <c r="N8316" i="1" s="1"/>
  <c r="L8317" i="1"/>
  <c r="M8317" i="1" s="1"/>
  <c r="N8317" i="1" s="1"/>
  <c r="L8318" i="1"/>
  <c r="M8318" i="1" s="1"/>
  <c r="N8318" i="1" s="1"/>
  <c r="L8319" i="1"/>
  <c r="M8319" i="1" s="1"/>
  <c r="N8319" i="1" s="1"/>
  <c r="L8320" i="1"/>
  <c r="M8320" i="1" s="1"/>
  <c r="N8320" i="1" s="1"/>
  <c r="L8321" i="1"/>
  <c r="M8321" i="1" s="1"/>
  <c r="N8321" i="1" s="1"/>
  <c r="L8322" i="1"/>
  <c r="M8322" i="1" s="1"/>
  <c r="N8322" i="1" s="1"/>
  <c r="L8323" i="1"/>
  <c r="M8323" i="1" s="1"/>
  <c r="N8323" i="1" s="1"/>
  <c r="L8324" i="1"/>
  <c r="M8324" i="1" s="1"/>
  <c r="N8324" i="1" s="1"/>
  <c r="L8325" i="1"/>
  <c r="M8325" i="1" s="1"/>
  <c r="N8325" i="1" s="1"/>
  <c r="L8326" i="1"/>
  <c r="M8326" i="1" s="1"/>
  <c r="N8326" i="1" s="1"/>
  <c r="L8327" i="1"/>
  <c r="M8327" i="1" s="1"/>
  <c r="N8327" i="1" s="1"/>
  <c r="L8328" i="1"/>
  <c r="M8328" i="1" s="1"/>
  <c r="N8328" i="1" s="1"/>
  <c r="L8329" i="1"/>
  <c r="M8329" i="1" s="1"/>
  <c r="N8329" i="1" s="1"/>
  <c r="L8330" i="1"/>
  <c r="M8330" i="1" s="1"/>
  <c r="N8330" i="1" s="1"/>
  <c r="L8331" i="1"/>
  <c r="M8331" i="1" s="1"/>
  <c r="N8331" i="1" s="1"/>
  <c r="L8332" i="1"/>
  <c r="M8332" i="1" s="1"/>
  <c r="N8332" i="1" s="1"/>
  <c r="L8333" i="1"/>
  <c r="M8333" i="1" s="1"/>
  <c r="N8333" i="1" s="1"/>
  <c r="L8334" i="1"/>
  <c r="M8334" i="1" s="1"/>
  <c r="N8334" i="1" s="1"/>
  <c r="L8335" i="1"/>
  <c r="M8335" i="1" s="1"/>
  <c r="N8335" i="1" s="1"/>
  <c r="L8336" i="1"/>
  <c r="M8336" i="1" s="1"/>
  <c r="N8336" i="1" s="1"/>
  <c r="L8337" i="1"/>
  <c r="M8337" i="1" s="1"/>
  <c r="N8337" i="1" s="1"/>
  <c r="L8338" i="1"/>
  <c r="M8338" i="1" s="1"/>
  <c r="N8338" i="1" s="1"/>
  <c r="L8339" i="1"/>
  <c r="M8339" i="1" s="1"/>
  <c r="N8339" i="1" s="1"/>
  <c r="L8340" i="1"/>
  <c r="M8340" i="1" s="1"/>
  <c r="N8340" i="1" s="1"/>
  <c r="L8341" i="1"/>
  <c r="M8341" i="1" s="1"/>
  <c r="N8341" i="1" s="1"/>
  <c r="L8342" i="1"/>
  <c r="M8342" i="1" s="1"/>
  <c r="N8342" i="1" s="1"/>
  <c r="L8343" i="1"/>
  <c r="M8343" i="1" s="1"/>
  <c r="N8343" i="1" s="1"/>
  <c r="L8344" i="1"/>
  <c r="M8344" i="1" s="1"/>
  <c r="N8344" i="1" s="1"/>
  <c r="L8345" i="1"/>
  <c r="M8345" i="1" s="1"/>
  <c r="N8345" i="1" s="1"/>
  <c r="L8346" i="1"/>
  <c r="M8346" i="1" s="1"/>
  <c r="N8346" i="1" s="1"/>
  <c r="L8347" i="1"/>
  <c r="M8347" i="1" s="1"/>
  <c r="N8347" i="1" s="1"/>
  <c r="L8348" i="1"/>
  <c r="M8348" i="1" s="1"/>
  <c r="N8348" i="1" s="1"/>
  <c r="L8349" i="1"/>
  <c r="M8349" i="1" s="1"/>
  <c r="N8349" i="1" s="1"/>
  <c r="L8350" i="1"/>
  <c r="M8350" i="1" s="1"/>
  <c r="N8350" i="1" s="1"/>
  <c r="L8351" i="1"/>
  <c r="M8351" i="1" s="1"/>
  <c r="N8351" i="1" s="1"/>
  <c r="L8352" i="1"/>
  <c r="M8352" i="1" s="1"/>
  <c r="N8352" i="1" s="1"/>
  <c r="L8353" i="1"/>
  <c r="M8353" i="1" s="1"/>
  <c r="N8353" i="1" s="1"/>
  <c r="L8354" i="1"/>
  <c r="M8354" i="1" s="1"/>
  <c r="N8354" i="1" s="1"/>
  <c r="L8355" i="1"/>
  <c r="M8355" i="1" s="1"/>
  <c r="N8355" i="1" s="1"/>
  <c r="L8356" i="1"/>
  <c r="M8356" i="1" s="1"/>
  <c r="N8356" i="1" s="1"/>
  <c r="L8357" i="1"/>
  <c r="M8357" i="1" s="1"/>
  <c r="N8357" i="1" s="1"/>
  <c r="L8358" i="1"/>
  <c r="M8358" i="1" s="1"/>
  <c r="N8358" i="1" s="1"/>
  <c r="L8359" i="1"/>
  <c r="M8359" i="1" s="1"/>
  <c r="N8359" i="1" s="1"/>
  <c r="L8360" i="1"/>
  <c r="M8360" i="1" s="1"/>
  <c r="N8360" i="1" s="1"/>
  <c r="L8361" i="1"/>
  <c r="M8361" i="1" s="1"/>
  <c r="N8361" i="1" s="1"/>
  <c r="L8362" i="1"/>
  <c r="M8362" i="1" s="1"/>
  <c r="N8362" i="1" s="1"/>
  <c r="L8363" i="1"/>
  <c r="M8363" i="1" s="1"/>
  <c r="N8363" i="1" s="1"/>
  <c r="L8364" i="1"/>
  <c r="M8364" i="1" s="1"/>
  <c r="N8364" i="1" s="1"/>
  <c r="L8365" i="1"/>
  <c r="M8365" i="1" s="1"/>
  <c r="N8365" i="1" s="1"/>
  <c r="L8366" i="1"/>
  <c r="M8366" i="1" s="1"/>
  <c r="N8366" i="1" s="1"/>
  <c r="L8367" i="1"/>
  <c r="M8367" i="1" s="1"/>
  <c r="N8367" i="1" s="1"/>
  <c r="L8368" i="1"/>
  <c r="M8368" i="1" s="1"/>
  <c r="N8368" i="1" s="1"/>
  <c r="L8369" i="1"/>
  <c r="M8369" i="1" s="1"/>
  <c r="N8369" i="1" s="1"/>
  <c r="L8370" i="1"/>
  <c r="M8370" i="1" s="1"/>
  <c r="N8370" i="1" s="1"/>
  <c r="L8371" i="1"/>
  <c r="M8371" i="1" s="1"/>
  <c r="N8371" i="1" s="1"/>
  <c r="L8372" i="1"/>
  <c r="M8372" i="1" s="1"/>
  <c r="N8372" i="1" s="1"/>
  <c r="L8373" i="1"/>
  <c r="M8373" i="1" s="1"/>
  <c r="N8373" i="1" s="1"/>
  <c r="L8374" i="1"/>
  <c r="M8374" i="1" s="1"/>
  <c r="N8374" i="1" s="1"/>
  <c r="L8375" i="1"/>
  <c r="M8375" i="1" s="1"/>
  <c r="N8375" i="1" s="1"/>
  <c r="L8376" i="1"/>
  <c r="M8376" i="1" s="1"/>
  <c r="N8376" i="1" s="1"/>
  <c r="L8377" i="1"/>
  <c r="M8377" i="1" s="1"/>
  <c r="N8377" i="1" s="1"/>
  <c r="L8378" i="1"/>
  <c r="M8378" i="1" s="1"/>
  <c r="N8378" i="1" s="1"/>
  <c r="L8379" i="1"/>
  <c r="M8379" i="1" s="1"/>
  <c r="N8379" i="1" s="1"/>
  <c r="L8380" i="1"/>
  <c r="M8380" i="1" s="1"/>
  <c r="N8380" i="1" s="1"/>
  <c r="L8381" i="1"/>
  <c r="M8381" i="1" s="1"/>
  <c r="N8381" i="1" s="1"/>
  <c r="L8382" i="1"/>
  <c r="M8382" i="1" s="1"/>
  <c r="N8382" i="1" s="1"/>
  <c r="L8383" i="1"/>
  <c r="M8383" i="1" s="1"/>
  <c r="N8383" i="1" s="1"/>
  <c r="L8384" i="1"/>
  <c r="M8384" i="1" s="1"/>
  <c r="N8384" i="1" s="1"/>
  <c r="L8385" i="1"/>
  <c r="M8385" i="1" s="1"/>
  <c r="N8385" i="1" s="1"/>
  <c r="L8386" i="1"/>
  <c r="M8386" i="1" s="1"/>
  <c r="N8386" i="1" s="1"/>
  <c r="L8387" i="1"/>
  <c r="M8387" i="1" s="1"/>
  <c r="N8387" i="1" s="1"/>
  <c r="L8388" i="1"/>
  <c r="M8388" i="1" s="1"/>
  <c r="N8388" i="1" s="1"/>
  <c r="L8389" i="1"/>
  <c r="M8389" i="1" s="1"/>
  <c r="N8389" i="1" s="1"/>
  <c r="L8390" i="1"/>
  <c r="M8390" i="1" s="1"/>
  <c r="N8390" i="1" s="1"/>
  <c r="L8391" i="1"/>
  <c r="M8391" i="1" s="1"/>
  <c r="N8391" i="1" s="1"/>
  <c r="L8392" i="1"/>
  <c r="M8392" i="1" s="1"/>
  <c r="N8392" i="1" s="1"/>
  <c r="L8393" i="1"/>
  <c r="M8393" i="1" s="1"/>
  <c r="N8393" i="1" s="1"/>
  <c r="L8394" i="1"/>
  <c r="M8394" i="1" s="1"/>
  <c r="N8394" i="1" s="1"/>
  <c r="L8395" i="1"/>
  <c r="M8395" i="1" s="1"/>
  <c r="N8395" i="1" s="1"/>
  <c r="L8396" i="1"/>
  <c r="M8396" i="1" s="1"/>
  <c r="N8396" i="1" s="1"/>
  <c r="L8397" i="1"/>
  <c r="M8397" i="1" s="1"/>
  <c r="N8397" i="1" s="1"/>
  <c r="L8398" i="1"/>
  <c r="M8398" i="1" s="1"/>
  <c r="N8398" i="1" s="1"/>
  <c r="L8399" i="1"/>
  <c r="M8399" i="1" s="1"/>
  <c r="N8399" i="1" s="1"/>
  <c r="L8400" i="1"/>
  <c r="M8400" i="1" s="1"/>
  <c r="N8400" i="1" s="1"/>
  <c r="L8401" i="1"/>
  <c r="M8401" i="1" s="1"/>
  <c r="N8401" i="1" s="1"/>
  <c r="L8402" i="1"/>
  <c r="M8402" i="1" s="1"/>
  <c r="N8402" i="1" s="1"/>
  <c r="L8403" i="1"/>
  <c r="M8403" i="1" s="1"/>
  <c r="N8403" i="1" s="1"/>
  <c r="L8404" i="1"/>
  <c r="M8404" i="1" s="1"/>
  <c r="N8404" i="1" s="1"/>
  <c r="L8405" i="1"/>
  <c r="M8405" i="1" s="1"/>
  <c r="N8405" i="1" s="1"/>
  <c r="L8406" i="1"/>
  <c r="M8406" i="1" s="1"/>
  <c r="N8406" i="1" s="1"/>
  <c r="L8407" i="1"/>
  <c r="M8407" i="1" s="1"/>
  <c r="N8407" i="1" s="1"/>
  <c r="L8408" i="1"/>
  <c r="M8408" i="1" s="1"/>
  <c r="N8408" i="1" s="1"/>
  <c r="L8409" i="1"/>
  <c r="M8409" i="1" s="1"/>
  <c r="N8409" i="1" s="1"/>
  <c r="L8410" i="1"/>
  <c r="M8410" i="1" s="1"/>
  <c r="N8410" i="1" s="1"/>
  <c r="L8411" i="1"/>
  <c r="M8411" i="1" s="1"/>
  <c r="N8411" i="1" s="1"/>
  <c r="L8412" i="1"/>
  <c r="M8412" i="1" s="1"/>
  <c r="N8412" i="1" s="1"/>
  <c r="L8413" i="1"/>
  <c r="M8413" i="1" s="1"/>
  <c r="N8413" i="1" s="1"/>
  <c r="L8414" i="1"/>
  <c r="M8414" i="1" s="1"/>
  <c r="N8414" i="1" s="1"/>
  <c r="L8415" i="1"/>
  <c r="M8415" i="1" s="1"/>
  <c r="N8415" i="1" s="1"/>
  <c r="L8416" i="1"/>
  <c r="M8416" i="1" s="1"/>
  <c r="N8416" i="1" s="1"/>
  <c r="L8417" i="1"/>
  <c r="M8417" i="1" s="1"/>
  <c r="N8417" i="1" s="1"/>
  <c r="L8418" i="1"/>
  <c r="M8418" i="1" s="1"/>
  <c r="N8418" i="1" s="1"/>
  <c r="L8419" i="1"/>
  <c r="M8419" i="1" s="1"/>
  <c r="N8419" i="1" s="1"/>
  <c r="L8420" i="1"/>
  <c r="M8420" i="1" s="1"/>
  <c r="N8420" i="1" s="1"/>
  <c r="L8421" i="1"/>
  <c r="M8421" i="1" s="1"/>
  <c r="N8421" i="1" s="1"/>
  <c r="L8422" i="1"/>
  <c r="M8422" i="1" s="1"/>
  <c r="N8422" i="1" s="1"/>
  <c r="L8423" i="1"/>
  <c r="M8423" i="1" s="1"/>
  <c r="N8423" i="1" s="1"/>
  <c r="L8424" i="1"/>
  <c r="M8424" i="1" s="1"/>
  <c r="N8424" i="1" s="1"/>
  <c r="L8425" i="1"/>
  <c r="M8425" i="1" s="1"/>
  <c r="N8425" i="1" s="1"/>
  <c r="L8426" i="1"/>
  <c r="M8426" i="1" s="1"/>
  <c r="N8426" i="1" s="1"/>
  <c r="L8427" i="1"/>
  <c r="M8427" i="1" s="1"/>
  <c r="N8427" i="1" s="1"/>
  <c r="L8428" i="1"/>
  <c r="M8428" i="1" s="1"/>
  <c r="N8428" i="1" s="1"/>
  <c r="L8429" i="1"/>
  <c r="M8429" i="1" s="1"/>
  <c r="N8429" i="1" s="1"/>
  <c r="L8430" i="1"/>
  <c r="M8430" i="1" s="1"/>
  <c r="N8430" i="1" s="1"/>
  <c r="L8431" i="1"/>
  <c r="M8431" i="1" s="1"/>
  <c r="N8431" i="1" s="1"/>
  <c r="L8432" i="1"/>
  <c r="M8432" i="1" s="1"/>
  <c r="N8432" i="1" s="1"/>
  <c r="L8433" i="1"/>
  <c r="M8433" i="1" s="1"/>
  <c r="N8433" i="1" s="1"/>
  <c r="L8434" i="1"/>
  <c r="M8434" i="1" s="1"/>
  <c r="N8434" i="1" s="1"/>
  <c r="L8435" i="1"/>
  <c r="M8435" i="1" s="1"/>
  <c r="N8435" i="1" s="1"/>
  <c r="L8436" i="1"/>
  <c r="M8436" i="1" s="1"/>
  <c r="N8436" i="1" s="1"/>
  <c r="L8437" i="1"/>
  <c r="M8437" i="1" s="1"/>
  <c r="N8437" i="1" s="1"/>
  <c r="L8438" i="1"/>
  <c r="M8438" i="1" s="1"/>
  <c r="N8438" i="1" s="1"/>
  <c r="L8439" i="1"/>
  <c r="M8439" i="1" s="1"/>
  <c r="N8439" i="1" s="1"/>
  <c r="L8440" i="1"/>
  <c r="M8440" i="1" s="1"/>
  <c r="N8440" i="1" s="1"/>
  <c r="L8441" i="1"/>
  <c r="M8441" i="1" s="1"/>
  <c r="N8441" i="1" s="1"/>
  <c r="L8442" i="1"/>
  <c r="M8442" i="1" s="1"/>
  <c r="N8442" i="1" s="1"/>
  <c r="L8443" i="1"/>
  <c r="M8443" i="1" s="1"/>
  <c r="N8443" i="1" s="1"/>
  <c r="L8444" i="1"/>
  <c r="M8444" i="1" s="1"/>
  <c r="N8444" i="1" s="1"/>
  <c r="L8445" i="1"/>
  <c r="M8445" i="1" s="1"/>
  <c r="N8445" i="1" s="1"/>
  <c r="L8446" i="1"/>
  <c r="M8446" i="1" s="1"/>
  <c r="N8446" i="1" s="1"/>
  <c r="L8447" i="1"/>
  <c r="M8447" i="1" s="1"/>
  <c r="N8447" i="1" s="1"/>
  <c r="L8448" i="1"/>
  <c r="M8448" i="1" s="1"/>
  <c r="N8448" i="1" s="1"/>
  <c r="L8449" i="1"/>
  <c r="M8449" i="1" s="1"/>
  <c r="N8449" i="1" s="1"/>
  <c r="L8450" i="1"/>
  <c r="M8450" i="1" s="1"/>
  <c r="N8450" i="1" s="1"/>
  <c r="L8451" i="1"/>
  <c r="M8451" i="1" s="1"/>
  <c r="N8451" i="1" s="1"/>
  <c r="L8452" i="1"/>
  <c r="M8452" i="1" s="1"/>
  <c r="N8452" i="1" s="1"/>
  <c r="L8453" i="1"/>
  <c r="M8453" i="1" s="1"/>
  <c r="N8453" i="1" s="1"/>
  <c r="L8454" i="1"/>
  <c r="M8454" i="1" s="1"/>
  <c r="N8454" i="1" s="1"/>
  <c r="L8455" i="1"/>
  <c r="M8455" i="1" s="1"/>
  <c r="N8455" i="1" s="1"/>
  <c r="L8456" i="1"/>
  <c r="M8456" i="1" s="1"/>
  <c r="N8456" i="1" s="1"/>
  <c r="L8457" i="1"/>
  <c r="M8457" i="1" s="1"/>
  <c r="N8457" i="1" s="1"/>
  <c r="L8458" i="1"/>
  <c r="M8458" i="1" s="1"/>
  <c r="N8458" i="1" s="1"/>
  <c r="L8459" i="1"/>
  <c r="M8459" i="1" s="1"/>
  <c r="N8459" i="1" s="1"/>
  <c r="L8460" i="1"/>
  <c r="M8460" i="1" s="1"/>
  <c r="N8460" i="1" s="1"/>
  <c r="L8461" i="1"/>
  <c r="M8461" i="1" s="1"/>
  <c r="N8461" i="1" s="1"/>
  <c r="L8462" i="1"/>
  <c r="M8462" i="1" s="1"/>
  <c r="N8462" i="1" s="1"/>
  <c r="L8463" i="1"/>
  <c r="M8463" i="1" s="1"/>
  <c r="N8463" i="1" s="1"/>
  <c r="L8464" i="1"/>
  <c r="M8464" i="1" s="1"/>
  <c r="N8464" i="1" s="1"/>
  <c r="L8465" i="1"/>
  <c r="M8465" i="1" s="1"/>
  <c r="N8465" i="1" s="1"/>
  <c r="L8466" i="1"/>
  <c r="M8466" i="1" s="1"/>
  <c r="N8466" i="1" s="1"/>
  <c r="L8467" i="1"/>
  <c r="M8467" i="1" s="1"/>
  <c r="N8467" i="1" s="1"/>
  <c r="L8468" i="1"/>
  <c r="M8468" i="1" s="1"/>
  <c r="N8468" i="1" s="1"/>
  <c r="L8469" i="1"/>
  <c r="M8469" i="1" s="1"/>
  <c r="N8469" i="1" s="1"/>
  <c r="L8470" i="1"/>
  <c r="M8470" i="1" s="1"/>
  <c r="N8470" i="1" s="1"/>
  <c r="L8471" i="1"/>
  <c r="M8471" i="1" s="1"/>
  <c r="N8471" i="1" s="1"/>
  <c r="L8472" i="1"/>
  <c r="M8472" i="1" s="1"/>
  <c r="N8472" i="1" s="1"/>
  <c r="L8473" i="1"/>
  <c r="M8473" i="1" s="1"/>
  <c r="N8473" i="1" s="1"/>
  <c r="L8474" i="1"/>
  <c r="M8474" i="1" s="1"/>
  <c r="N8474" i="1" s="1"/>
  <c r="L8475" i="1"/>
  <c r="M8475" i="1" s="1"/>
  <c r="N8475" i="1" s="1"/>
  <c r="L8476" i="1"/>
  <c r="M8476" i="1" s="1"/>
  <c r="N8476" i="1" s="1"/>
  <c r="L8477" i="1"/>
  <c r="M8477" i="1" s="1"/>
  <c r="N8477" i="1" s="1"/>
  <c r="L8478" i="1"/>
  <c r="M8478" i="1" s="1"/>
  <c r="N8478" i="1" s="1"/>
  <c r="L8479" i="1"/>
  <c r="M8479" i="1" s="1"/>
  <c r="N8479" i="1" s="1"/>
  <c r="L8480" i="1"/>
  <c r="M8480" i="1" s="1"/>
  <c r="N8480" i="1" s="1"/>
  <c r="L8481" i="1"/>
  <c r="M8481" i="1" s="1"/>
  <c r="N8481" i="1" s="1"/>
  <c r="L8482" i="1"/>
  <c r="M8482" i="1" s="1"/>
  <c r="N8482" i="1" s="1"/>
  <c r="L8483" i="1"/>
  <c r="M8483" i="1" s="1"/>
  <c r="N8483" i="1" s="1"/>
  <c r="L8484" i="1"/>
  <c r="M8484" i="1" s="1"/>
  <c r="N8484" i="1" s="1"/>
  <c r="L8485" i="1"/>
  <c r="M8485" i="1" s="1"/>
  <c r="N8485" i="1" s="1"/>
  <c r="L8486" i="1"/>
  <c r="M8486" i="1" s="1"/>
  <c r="N8486" i="1" s="1"/>
  <c r="L8487" i="1"/>
  <c r="M8487" i="1" s="1"/>
  <c r="N8487" i="1" s="1"/>
  <c r="L8488" i="1"/>
  <c r="M8488" i="1" s="1"/>
  <c r="N8488" i="1" s="1"/>
  <c r="L8489" i="1"/>
  <c r="M8489" i="1" s="1"/>
  <c r="N8489" i="1" s="1"/>
  <c r="L8490" i="1"/>
  <c r="M8490" i="1" s="1"/>
  <c r="N8490" i="1" s="1"/>
  <c r="L8491" i="1"/>
  <c r="M8491" i="1" s="1"/>
  <c r="N8491" i="1" s="1"/>
  <c r="L8492" i="1"/>
  <c r="M8492" i="1" s="1"/>
  <c r="N8492" i="1" s="1"/>
  <c r="L8493" i="1"/>
  <c r="M8493" i="1" s="1"/>
  <c r="N8493" i="1" s="1"/>
  <c r="L8494" i="1"/>
  <c r="M8494" i="1" s="1"/>
  <c r="N8494" i="1" s="1"/>
  <c r="L8495" i="1"/>
  <c r="M8495" i="1" s="1"/>
  <c r="N8495" i="1" s="1"/>
  <c r="L8496" i="1"/>
  <c r="M8496" i="1" s="1"/>
  <c r="N8496" i="1" s="1"/>
  <c r="L8497" i="1"/>
  <c r="M8497" i="1" s="1"/>
  <c r="N8497" i="1" s="1"/>
  <c r="L8498" i="1"/>
  <c r="M8498" i="1" s="1"/>
  <c r="N8498" i="1" s="1"/>
  <c r="L8499" i="1"/>
  <c r="M8499" i="1" s="1"/>
  <c r="N8499" i="1" s="1"/>
  <c r="L8500" i="1"/>
  <c r="M8500" i="1" s="1"/>
  <c r="N8500" i="1" s="1"/>
  <c r="L8501" i="1"/>
  <c r="M8501" i="1" s="1"/>
  <c r="N8501" i="1" s="1"/>
  <c r="L8502" i="1"/>
  <c r="M8502" i="1" s="1"/>
  <c r="N8502" i="1" s="1"/>
  <c r="L8503" i="1"/>
  <c r="M8503" i="1" s="1"/>
  <c r="N8503" i="1" s="1"/>
  <c r="L8504" i="1"/>
  <c r="M8504" i="1" s="1"/>
  <c r="N8504" i="1" s="1"/>
  <c r="L8505" i="1"/>
  <c r="M8505" i="1" s="1"/>
  <c r="N8505" i="1" s="1"/>
  <c r="L8506" i="1"/>
  <c r="M8506" i="1" s="1"/>
  <c r="N8506" i="1" s="1"/>
  <c r="L8507" i="1"/>
  <c r="M8507" i="1" s="1"/>
  <c r="N8507" i="1" s="1"/>
  <c r="L8508" i="1"/>
  <c r="M8508" i="1" s="1"/>
  <c r="N8508" i="1" s="1"/>
  <c r="L8509" i="1"/>
  <c r="M8509" i="1" s="1"/>
  <c r="N8509" i="1" s="1"/>
  <c r="L8510" i="1"/>
  <c r="M8510" i="1" s="1"/>
  <c r="N8510" i="1" s="1"/>
  <c r="L8511" i="1"/>
  <c r="M8511" i="1" s="1"/>
  <c r="N8511" i="1" s="1"/>
  <c r="L8512" i="1"/>
  <c r="M8512" i="1" s="1"/>
  <c r="N8512" i="1" s="1"/>
  <c r="L8513" i="1"/>
  <c r="M8513" i="1" s="1"/>
  <c r="N8513" i="1" s="1"/>
  <c r="L8514" i="1"/>
  <c r="M8514" i="1" s="1"/>
  <c r="N8514" i="1" s="1"/>
  <c r="L8515" i="1"/>
  <c r="M8515" i="1" s="1"/>
  <c r="N8515" i="1" s="1"/>
  <c r="L8516" i="1"/>
  <c r="M8516" i="1" s="1"/>
  <c r="N8516" i="1" s="1"/>
  <c r="L8517" i="1"/>
  <c r="M8517" i="1" s="1"/>
  <c r="N8517" i="1" s="1"/>
  <c r="L8518" i="1"/>
  <c r="M8518" i="1" s="1"/>
  <c r="N8518" i="1" s="1"/>
  <c r="L8519" i="1"/>
  <c r="M8519" i="1" s="1"/>
  <c r="N8519" i="1" s="1"/>
  <c r="L8520" i="1"/>
  <c r="M8520" i="1" s="1"/>
  <c r="N8520" i="1" s="1"/>
  <c r="L8521" i="1"/>
  <c r="M8521" i="1" s="1"/>
  <c r="N8521" i="1" s="1"/>
  <c r="L8522" i="1"/>
  <c r="M8522" i="1" s="1"/>
  <c r="N8522" i="1" s="1"/>
  <c r="L8523" i="1"/>
  <c r="M8523" i="1" s="1"/>
  <c r="N8523" i="1" s="1"/>
  <c r="L8524" i="1"/>
  <c r="M8524" i="1" s="1"/>
  <c r="N8524" i="1" s="1"/>
  <c r="L8525" i="1"/>
  <c r="M8525" i="1" s="1"/>
  <c r="N8525" i="1" s="1"/>
  <c r="L8526" i="1"/>
  <c r="M8526" i="1" s="1"/>
  <c r="N8526" i="1" s="1"/>
  <c r="L8527" i="1"/>
  <c r="M8527" i="1" s="1"/>
  <c r="N8527" i="1" s="1"/>
  <c r="L8528" i="1"/>
  <c r="M8528" i="1" s="1"/>
  <c r="N8528" i="1" s="1"/>
  <c r="L8529" i="1"/>
  <c r="M8529" i="1" s="1"/>
  <c r="N8529" i="1" s="1"/>
  <c r="L8530" i="1"/>
  <c r="M8530" i="1" s="1"/>
  <c r="N8530" i="1" s="1"/>
  <c r="L8531" i="1"/>
  <c r="M8531" i="1" s="1"/>
  <c r="N8531" i="1" s="1"/>
  <c r="L8532" i="1"/>
  <c r="M8532" i="1" s="1"/>
  <c r="N8532" i="1" s="1"/>
  <c r="L8533" i="1"/>
  <c r="M8533" i="1" s="1"/>
  <c r="N8533" i="1" s="1"/>
  <c r="L8534" i="1"/>
  <c r="M8534" i="1" s="1"/>
  <c r="N8534" i="1" s="1"/>
  <c r="L8535" i="1"/>
  <c r="M8535" i="1" s="1"/>
  <c r="N8535" i="1" s="1"/>
  <c r="L8536" i="1"/>
  <c r="M8536" i="1" s="1"/>
  <c r="N8536" i="1" s="1"/>
  <c r="L8537" i="1"/>
  <c r="M8537" i="1" s="1"/>
  <c r="N8537" i="1" s="1"/>
  <c r="L8538" i="1"/>
  <c r="M8538" i="1" s="1"/>
  <c r="N8538" i="1" s="1"/>
  <c r="L8539" i="1"/>
  <c r="M8539" i="1" s="1"/>
  <c r="N8539" i="1" s="1"/>
  <c r="L8540" i="1"/>
  <c r="M8540" i="1" s="1"/>
  <c r="N8540" i="1" s="1"/>
  <c r="L8541" i="1"/>
  <c r="M8541" i="1" s="1"/>
  <c r="N8541" i="1" s="1"/>
  <c r="L8542" i="1"/>
  <c r="M8542" i="1" s="1"/>
  <c r="N8542" i="1" s="1"/>
  <c r="L8543" i="1"/>
  <c r="M8543" i="1" s="1"/>
  <c r="N8543" i="1" s="1"/>
  <c r="L8544" i="1"/>
  <c r="M8544" i="1" s="1"/>
  <c r="N8544" i="1" s="1"/>
  <c r="L8545" i="1"/>
  <c r="M8545" i="1" s="1"/>
  <c r="N8545" i="1" s="1"/>
  <c r="L8546" i="1"/>
  <c r="M8546" i="1" s="1"/>
  <c r="N8546" i="1" s="1"/>
  <c r="L8547" i="1"/>
  <c r="M8547" i="1" s="1"/>
  <c r="N8547" i="1" s="1"/>
  <c r="L8548" i="1"/>
  <c r="M8548" i="1" s="1"/>
  <c r="N8548" i="1" s="1"/>
  <c r="L8549" i="1"/>
  <c r="M8549" i="1" s="1"/>
  <c r="N8549" i="1" s="1"/>
  <c r="L8550" i="1"/>
  <c r="M8550" i="1" s="1"/>
  <c r="N8550" i="1" s="1"/>
  <c r="L8551" i="1"/>
  <c r="M8551" i="1" s="1"/>
  <c r="N8551" i="1" s="1"/>
  <c r="L8552" i="1"/>
  <c r="M8552" i="1" s="1"/>
  <c r="N8552" i="1" s="1"/>
  <c r="L8553" i="1"/>
  <c r="M8553" i="1" s="1"/>
  <c r="N8553" i="1" s="1"/>
  <c r="L8554" i="1"/>
  <c r="M8554" i="1" s="1"/>
  <c r="N8554" i="1" s="1"/>
  <c r="L8555" i="1"/>
  <c r="M8555" i="1" s="1"/>
  <c r="N8555" i="1" s="1"/>
  <c r="L8556" i="1"/>
  <c r="M8556" i="1" s="1"/>
  <c r="N8556" i="1" s="1"/>
  <c r="L8557" i="1"/>
  <c r="M8557" i="1" s="1"/>
  <c r="N8557" i="1" s="1"/>
  <c r="L8558" i="1"/>
  <c r="M8558" i="1" s="1"/>
  <c r="N8558" i="1" s="1"/>
  <c r="L8559" i="1"/>
  <c r="M8559" i="1" s="1"/>
  <c r="N8559" i="1" s="1"/>
  <c r="L8560" i="1"/>
  <c r="M8560" i="1" s="1"/>
  <c r="N8560" i="1" s="1"/>
  <c r="L8561" i="1"/>
  <c r="M8561" i="1" s="1"/>
  <c r="N8561" i="1" s="1"/>
  <c r="L8562" i="1"/>
  <c r="M8562" i="1" s="1"/>
  <c r="N8562" i="1" s="1"/>
  <c r="L8563" i="1"/>
  <c r="M8563" i="1" s="1"/>
  <c r="N8563" i="1" s="1"/>
  <c r="L8564" i="1"/>
  <c r="M8564" i="1" s="1"/>
  <c r="N8564" i="1" s="1"/>
  <c r="L8565" i="1"/>
  <c r="M8565" i="1" s="1"/>
  <c r="N8565" i="1" s="1"/>
  <c r="L8566" i="1"/>
  <c r="M8566" i="1" s="1"/>
  <c r="N8566" i="1" s="1"/>
  <c r="L8567" i="1"/>
  <c r="M8567" i="1" s="1"/>
  <c r="N8567" i="1" s="1"/>
  <c r="L8568" i="1"/>
  <c r="M8568" i="1" s="1"/>
  <c r="N8568" i="1" s="1"/>
  <c r="L8569" i="1"/>
  <c r="M8569" i="1" s="1"/>
  <c r="N8569" i="1" s="1"/>
  <c r="L8570" i="1"/>
  <c r="M8570" i="1" s="1"/>
  <c r="N8570" i="1" s="1"/>
  <c r="L8571" i="1"/>
  <c r="M8571" i="1" s="1"/>
  <c r="N8571" i="1" s="1"/>
  <c r="L8572" i="1"/>
  <c r="M8572" i="1" s="1"/>
  <c r="N8572" i="1" s="1"/>
  <c r="L8573" i="1"/>
  <c r="M8573" i="1" s="1"/>
  <c r="N8573" i="1" s="1"/>
  <c r="L8574" i="1"/>
  <c r="M8574" i="1" s="1"/>
  <c r="N8574" i="1" s="1"/>
  <c r="L8575" i="1"/>
  <c r="M8575" i="1" s="1"/>
  <c r="N8575" i="1" s="1"/>
  <c r="L8576" i="1"/>
  <c r="M8576" i="1" s="1"/>
  <c r="N8576" i="1" s="1"/>
  <c r="L8577" i="1"/>
  <c r="M8577" i="1" s="1"/>
  <c r="N8577" i="1" s="1"/>
  <c r="L8578" i="1"/>
  <c r="M8578" i="1" s="1"/>
  <c r="N8578" i="1" s="1"/>
  <c r="L8579" i="1"/>
  <c r="M8579" i="1" s="1"/>
  <c r="N8579" i="1" s="1"/>
  <c r="L8580" i="1"/>
  <c r="M8580" i="1" s="1"/>
  <c r="N8580" i="1" s="1"/>
  <c r="L8581" i="1"/>
  <c r="M8581" i="1" s="1"/>
  <c r="N8581" i="1" s="1"/>
  <c r="L8582" i="1"/>
  <c r="M8582" i="1" s="1"/>
  <c r="N8582" i="1" s="1"/>
  <c r="L8583" i="1"/>
  <c r="M8583" i="1" s="1"/>
  <c r="N8583" i="1" s="1"/>
  <c r="L8584" i="1"/>
  <c r="M8584" i="1" s="1"/>
  <c r="N8584" i="1" s="1"/>
  <c r="L8585" i="1"/>
  <c r="M8585" i="1" s="1"/>
  <c r="N8585" i="1" s="1"/>
  <c r="L8586" i="1"/>
  <c r="M8586" i="1" s="1"/>
  <c r="N8586" i="1" s="1"/>
  <c r="L8587" i="1"/>
  <c r="M8587" i="1" s="1"/>
  <c r="N8587" i="1" s="1"/>
  <c r="L8588" i="1"/>
  <c r="M8588" i="1" s="1"/>
  <c r="N8588" i="1" s="1"/>
  <c r="L8589" i="1"/>
  <c r="M8589" i="1" s="1"/>
  <c r="N8589" i="1" s="1"/>
  <c r="L8590" i="1"/>
  <c r="M8590" i="1" s="1"/>
  <c r="N8590" i="1" s="1"/>
  <c r="L8591" i="1"/>
  <c r="M8591" i="1" s="1"/>
  <c r="N8591" i="1" s="1"/>
  <c r="L8592" i="1"/>
  <c r="M8592" i="1" s="1"/>
  <c r="N8592" i="1" s="1"/>
  <c r="L8593" i="1"/>
  <c r="M8593" i="1" s="1"/>
  <c r="N8593" i="1" s="1"/>
  <c r="L8594" i="1"/>
  <c r="M8594" i="1" s="1"/>
  <c r="N8594" i="1" s="1"/>
  <c r="L8595" i="1"/>
  <c r="M8595" i="1" s="1"/>
  <c r="N8595" i="1" s="1"/>
  <c r="L8596" i="1"/>
  <c r="M8596" i="1" s="1"/>
  <c r="N8596" i="1" s="1"/>
  <c r="L8597" i="1"/>
  <c r="M8597" i="1" s="1"/>
  <c r="N8597" i="1" s="1"/>
  <c r="L8598" i="1"/>
  <c r="M8598" i="1" s="1"/>
  <c r="N8598" i="1" s="1"/>
  <c r="L8599" i="1"/>
  <c r="M8599" i="1" s="1"/>
  <c r="N8599" i="1" s="1"/>
  <c r="L8600" i="1"/>
  <c r="M8600" i="1" s="1"/>
  <c r="N8600" i="1" s="1"/>
  <c r="L8601" i="1"/>
  <c r="M8601" i="1" s="1"/>
  <c r="N8601" i="1" s="1"/>
  <c r="L8602" i="1"/>
  <c r="M8602" i="1" s="1"/>
  <c r="N8602" i="1" s="1"/>
  <c r="L8603" i="1"/>
  <c r="M8603" i="1" s="1"/>
  <c r="N8603" i="1" s="1"/>
  <c r="L8604" i="1"/>
  <c r="M8604" i="1" s="1"/>
  <c r="N8604" i="1" s="1"/>
  <c r="L8605" i="1"/>
  <c r="M8605" i="1" s="1"/>
  <c r="N8605" i="1" s="1"/>
  <c r="L8606" i="1"/>
  <c r="M8606" i="1" s="1"/>
  <c r="N8606" i="1" s="1"/>
  <c r="L8607" i="1"/>
  <c r="M8607" i="1" s="1"/>
  <c r="N8607" i="1" s="1"/>
  <c r="L8608" i="1"/>
  <c r="M8608" i="1" s="1"/>
  <c r="N8608" i="1" s="1"/>
  <c r="L8609" i="1"/>
  <c r="M8609" i="1" s="1"/>
  <c r="N8609" i="1" s="1"/>
  <c r="L8610" i="1"/>
  <c r="M8610" i="1" s="1"/>
  <c r="N8610" i="1" s="1"/>
  <c r="L8611" i="1"/>
  <c r="M8611" i="1" s="1"/>
  <c r="N8611" i="1" s="1"/>
  <c r="L8612" i="1"/>
  <c r="M8612" i="1" s="1"/>
  <c r="N8612" i="1" s="1"/>
  <c r="L8613" i="1"/>
  <c r="M8613" i="1" s="1"/>
  <c r="N8613" i="1" s="1"/>
  <c r="L8614" i="1"/>
  <c r="M8614" i="1" s="1"/>
  <c r="N8614" i="1" s="1"/>
  <c r="L8615" i="1"/>
  <c r="M8615" i="1" s="1"/>
  <c r="N8615" i="1" s="1"/>
  <c r="L8616" i="1"/>
  <c r="M8616" i="1" s="1"/>
  <c r="N8616" i="1" s="1"/>
  <c r="L8617" i="1"/>
  <c r="M8617" i="1" s="1"/>
  <c r="N8617" i="1" s="1"/>
  <c r="L8618" i="1"/>
  <c r="M8618" i="1" s="1"/>
  <c r="N8618" i="1" s="1"/>
  <c r="L8619" i="1"/>
  <c r="M8619" i="1" s="1"/>
  <c r="N8619" i="1" s="1"/>
  <c r="L8620" i="1"/>
  <c r="M8620" i="1" s="1"/>
  <c r="N8620" i="1" s="1"/>
  <c r="L8621" i="1"/>
  <c r="M8621" i="1" s="1"/>
  <c r="N8621" i="1" s="1"/>
  <c r="L8622" i="1"/>
  <c r="M8622" i="1" s="1"/>
  <c r="N8622" i="1" s="1"/>
  <c r="L8623" i="1"/>
  <c r="M8623" i="1" s="1"/>
  <c r="N8623" i="1" s="1"/>
  <c r="L8624" i="1"/>
  <c r="M8624" i="1" s="1"/>
  <c r="N8624" i="1" s="1"/>
  <c r="L8625" i="1"/>
  <c r="M8625" i="1" s="1"/>
  <c r="N8625" i="1" s="1"/>
  <c r="L8626" i="1"/>
  <c r="M8626" i="1" s="1"/>
  <c r="N8626" i="1" s="1"/>
  <c r="L8627" i="1"/>
  <c r="M8627" i="1" s="1"/>
  <c r="N8627" i="1" s="1"/>
  <c r="L8628" i="1"/>
  <c r="M8628" i="1" s="1"/>
  <c r="N8628" i="1" s="1"/>
  <c r="L8629" i="1"/>
  <c r="M8629" i="1" s="1"/>
  <c r="N8629" i="1" s="1"/>
  <c r="L8630" i="1"/>
  <c r="M8630" i="1" s="1"/>
  <c r="N8630" i="1" s="1"/>
  <c r="L8631" i="1"/>
  <c r="M8631" i="1" s="1"/>
  <c r="N8631" i="1" s="1"/>
  <c r="L8632" i="1"/>
  <c r="M8632" i="1" s="1"/>
  <c r="N8632" i="1" s="1"/>
  <c r="L8633" i="1"/>
  <c r="M8633" i="1" s="1"/>
  <c r="N8633" i="1" s="1"/>
  <c r="L8634" i="1"/>
  <c r="M8634" i="1" s="1"/>
  <c r="N8634" i="1" s="1"/>
  <c r="L8635" i="1"/>
  <c r="M8635" i="1" s="1"/>
  <c r="N8635" i="1" s="1"/>
  <c r="L8636" i="1"/>
  <c r="M8636" i="1" s="1"/>
  <c r="N8636" i="1" s="1"/>
  <c r="L8637" i="1"/>
  <c r="M8637" i="1" s="1"/>
  <c r="N8637" i="1" s="1"/>
  <c r="L8638" i="1"/>
  <c r="M8638" i="1" s="1"/>
  <c r="N8638" i="1" s="1"/>
  <c r="L8639" i="1"/>
  <c r="M8639" i="1" s="1"/>
  <c r="N8639" i="1" s="1"/>
  <c r="L8640" i="1"/>
  <c r="M8640" i="1" s="1"/>
  <c r="N8640" i="1" s="1"/>
  <c r="L8641" i="1"/>
  <c r="M8641" i="1" s="1"/>
  <c r="N8641" i="1" s="1"/>
  <c r="L8642" i="1"/>
  <c r="M8642" i="1" s="1"/>
  <c r="N8642" i="1" s="1"/>
  <c r="L8643" i="1"/>
  <c r="M8643" i="1" s="1"/>
  <c r="N8643" i="1" s="1"/>
  <c r="L8644" i="1"/>
  <c r="M8644" i="1" s="1"/>
  <c r="N8644" i="1" s="1"/>
  <c r="L8645" i="1"/>
  <c r="M8645" i="1" s="1"/>
  <c r="N8645" i="1" s="1"/>
  <c r="L8646" i="1"/>
  <c r="M8646" i="1" s="1"/>
  <c r="N8646" i="1" s="1"/>
  <c r="L8647" i="1"/>
  <c r="M8647" i="1" s="1"/>
  <c r="N8647" i="1" s="1"/>
  <c r="L8648" i="1"/>
  <c r="M8648" i="1" s="1"/>
  <c r="N8648" i="1" s="1"/>
  <c r="L8649" i="1"/>
  <c r="M8649" i="1" s="1"/>
  <c r="N8649" i="1" s="1"/>
  <c r="L8650" i="1"/>
  <c r="M8650" i="1" s="1"/>
  <c r="N8650" i="1" s="1"/>
  <c r="L8651" i="1"/>
  <c r="M8651" i="1" s="1"/>
  <c r="N8651" i="1" s="1"/>
  <c r="L8652" i="1"/>
  <c r="M8652" i="1" s="1"/>
  <c r="N8652" i="1" s="1"/>
  <c r="L8653" i="1"/>
  <c r="M8653" i="1" s="1"/>
  <c r="N8653" i="1" s="1"/>
  <c r="L8654" i="1"/>
  <c r="M8654" i="1" s="1"/>
  <c r="N8654" i="1" s="1"/>
  <c r="L8655" i="1"/>
  <c r="M8655" i="1" s="1"/>
  <c r="N8655" i="1" s="1"/>
  <c r="L8656" i="1"/>
  <c r="M8656" i="1" s="1"/>
  <c r="N8656" i="1" s="1"/>
  <c r="L8657" i="1"/>
  <c r="M8657" i="1" s="1"/>
  <c r="N8657" i="1" s="1"/>
  <c r="L8658" i="1"/>
  <c r="M8658" i="1" s="1"/>
  <c r="N8658" i="1" s="1"/>
  <c r="L8659" i="1"/>
  <c r="M8659" i="1" s="1"/>
  <c r="N8659" i="1" s="1"/>
  <c r="L8660" i="1"/>
  <c r="M8660" i="1" s="1"/>
  <c r="N8660" i="1" s="1"/>
  <c r="L8661" i="1"/>
  <c r="M8661" i="1" s="1"/>
  <c r="N8661" i="1" s="1"/>
  <c r="L8662" i="1"/>
  <c r="M8662" i="1" s="1"/>
  <c r="N8662" i="1" s="1"/>
  <c r="L8663" i="1"/>
  <c r="M8663" i="1" s="1"/>
  <c r="N8663" i="1" s="1"/>
  <c r="L8664" i="1"/>
  <c r="M8664" i="1" s="1"/>
  <c r="N8664" i="1" s="1"/>
  <c r="L8665" i="1"/>
  <c r="M8665" i="1" s="1"/>
  <c r="N8665" i="1" s="1"/>
  <c r="L8666" i="1"/>
  <c r="M8666" i="1" s="1"/>
  <c r="N8666" i="1" s="1"/>
  <c r="L8667" i="1"/>
  <c r="M8667" i="1" s="1"/>
  <c r="N8667" i="1" s="1"/>
  <c r="L8668" i="1"/>
  <c r="M8668" i="1" s="1"/>
  <c r="N8668" i="1" s="1"/>
  <c r="L8669" i="1"/>
  <c r="M8669" i="1" s="1"/>
  <c r="N8669" i="1" s="1"/>
  <c r="L8670" i="1"/>
  <c r="M8670" i="1" s="1"/>
  <c r="N8670" i="1" s="1"/>
  <c r="L8671" i="1"/>
  <c r="M8671" i="1" s="1"/>
  <c r="N8671" i="1" s="1"/>
  <c r="L8672" i="1"/>
  <c r="M8672" i="1" s="1"/>
  <c r="N8672" i="1" s="1"/>
  <c r="L8673" i="1"/>
  <c r="M8673" i="1" s="1"/>
  <c r="N8673" i="1" s="1"/>
  <c r="L8674" i="1"/>
  <c r="M8674" i="1" s="1"/>
  <c r="N8674" i="1" s="1"/>
  <c r="L8675" i="1"/>
  <c r="M8675" i="1" s="1"/>
  <c r="N8675" i="1" s="1"/>
  <c r="L8676" i="1"/>
  <c r="M8676" i="1" s="1"/>
  <c r="N8676" i="1" s="1"/>
  <c r="L8677" i="1"/>
  <c r="M8677" i="1" s="1"/>
  <c r="N8677" i="1" s="1"/>
  <c r="L8678" i="1"/>
  <c r="M8678" i="1" s="1"/>
  <c r="N8678" i="1" s="1"/>
  <c r="L8679" i="1"/>
  <c r="M8679" i="1" s="1"/>
  <c r="N8679" i="1" s="1"/>
  <c r="L8680" i="1"/>
  <c r="M8680" i="1" s="1"/>
  <c r="N8680" i="1" s="1"/>
  <c r="L8681" i="1"/>
  <c r="M8681" i="1" s="1"/>
  <c r="N8681" i="1" s="1"/>
  <c r="L8682" i="1"/>
  <c r="M8682" i="1" s="1"/>
  <c r="N8682" i="1" s="1"/>
  <c r="L8683" i="1"/>
  <c r="M8683" i="1" s="1"/>
  <c r="N8683" i="1" s="1"/>
  <c r="L8684" i="1"/>
  <c r="M8684" i="1" s="1"/>
  <c r="N8684" i="1" s="1"/>
  <c r="L8685" i="1"/>
  <c r="M8685" i="1" s="1"/>
  <c r="N8685" i="1" s="1"/>
  <c r="L8686" i="1"/>
  <c r="M8686" i="1" s="1"/>
  <c r="N8686" i="1" s="1"/>
  <c r="L8687" i="1"/>
  <c r="M8687" i="1" s="1"/>
  <c r="N8687" i="1" s="1"/>
  <c r="L8688" i="1"/>
  <c r="M8688" i="1" s="1"/>
  <c r="N8688" i="1" s="1"/>
  <c r="L8689" i="1"/>
  <c r="M8689" i="1" s="1"/>
  <c r="N8689" i="1" s="1"/>
  <c r="L8690" i="1"/>
  <c r="M8690" i="1" s="1"/>
  <c r="N8690" i="1" s="1"/>
  <c r="L8691" i="1"/>
  <c r="M8691" i="1" s="1"/>
  <c r="N8691" i="1" s="1"/>
  <c r="L8692" i="1"/>
  <c r="M8692" i="1" s="1"/>
  <c r="N8692" i="1" s="1"/>
  <c r="L8693" i="1"/>
  <c r="M8693" i="1" s="1"/>
  <c r="N8693" i="1" s="1"/>
  <c r="L8694" i="1"/>
  <c r="M8694" i="1" s="1"/>
  <c r="N8694" i="1" s="1"/>
  <c r="L8695" i="1"/>
  <c r="M8695" i="1" s="1"/>
  <c r="N8695" i="1" s="1"/>
  <c r="L8696" i="1"/>
  <c r="M8696" i="1" s="1"/>
  <c r="N8696" i="1" s="1"/>
  <c r="L8697" i="1"/>
  <c r="M8697" i="1" s="1"/>
  <c r="N8697" i="1" s="1"/>
  <c r="L8698" i="1"/>
  <c r="M8698" i="1" s="1"/>
  <c r="N8698" i="1" s="1"/>
  <c r="L8699" i="1"/>
  <c r="M8699" i="1" s="1"/>
  <c r="N8699" i="1" s="1"/>
  <c r="L8700" i="1"/>
  <c r="M8700" i="1" s="1"/>
  <c r="N8700" i="1" s="1"/>
  <c r="L8701" i="1"/>
  <c r="M8701" i="1" s="1"/>
  <c r="N8701" i="1" s="1"/>
  <c r="L8702" i="1"/>
  <c r="M8702" i="1" s="1"/>
  <c r="N8702" i="1" s="1"/>
  <c r="L8703" i="1"/>
  <c r="M8703" i="1" s="1"/>
  <c r="N8703" i="1" s="1"/>
  <c r="L8704" i="1"/>
  <c r="M8704" i="1" s="1"/>
  <c r="N8704" i="1" s="1"/>
  <c r="L8705" i="1"/>
  <c r="M8705" i="1" s="1"/>
  <c r="N8705" i="1" s="1"/>
  <c r="L8706" i="1"/>
  <c r="M8706" i="1" s="1"/>
  <c r="N8706" i="1" s="1"/>
  <c r="L8707" i="1"/>
  <c r="M8707" i="1" s="1"/>
  <c r="N8707" i="1" s="1"/>
  <c r="L8708" i="1"/>
  <c r="M8708" i="1" s="1"/>
  <c r="N8708" i="1" s="1"/>
  <c r="L8709" i="1"/>
  <c r="M8709" i="1" s="1"/>
  <c r="N8709" i="1" s="1"/>
  <c r="L8710" i="1"/>
  <c r="M8710" i="1" s="1"/>
  <c r="N8710" i="1" s="1"/>
  <c r="L8711" i="1"/>
  <c r="M8711" i="1" s="1"/>
  <c r="N8711" i="1" s="1"/>
  <c r="L8712" i="1"/>
  <c r="M8712" i="1" s="1"/>
  <c r="N8712" i="1" s="1"/>
  <c r="L8713" i="1"/>
  <c r="M8713" i="1" s="1"/>
  <c r="N8713" i="1" s="1"/>
  <c r="L8714" i="1"/>
  <c r="M8714" i="1" s="1"/>
  <c r="N8714" i="1" s="1"/>
  <c r="L8715" i="1"/>
  <c r="M8715" i="1" s="1"/>
  <c r="N8715" i="1" s="1"/>
  <c r="L8716" i="1"/>
  <c r="M8716" i="1" s="1"/>
  <c r="N8716" i="1" s="1"/>
  <c r="L8717" i="1"/>
  <c r="M8717" i="1" s="1"/>
  <c r="N8717" i="1" s="1"/>
  <c r="L8718" i="1"/>
  <c r="M8718" i="1" s="1"/>
  <c r="N8718" i="1" s="1"/>
  <c r="L8719" i="1"/>
  <c r="M8719" i="1" s="1"/>
  <c r="N8719" i="1" s="1"/>
  <c r="L8720" i="1"/>
  <c r="M8720" i="1" s="1"/>
  <c r="N8720" i="1" s="1"/>
  <c r="L8721" i="1"/>
  <c r="M8721" i="1" s="1"/>
  <c r="N8721" i="1" s="1"/>
  <c r="L8722" i="1"/>
  <c r="M8722" i="1" s="1"/>
  <c r="N8722" i="1" s="1"/>
  <c r="L8723" i="1"/>
  <c r="M8723" i="1" s="1"/>
  <c r="N8723" i="1" s="1"/>
  <c r="L8724" i="1"/>
  <c r="M8724" i="1" s="1"/>
  <c r="N8724" i="1" s="1"/>
  <c r="L8725" i="1"/>
  <c r="M8725" i="1" s="1"/>
  <c r="N8725" i="1" s="1"/>
  <c r="L8726" i="1"/>
  <c r="M8726" i="1" s="1"/>
  <c r="N8726" i="1" s="1"/>
  <c r="L8727" i="1"/>
  <c r="M8727" i="1" s="1"/>
  <c r="N8727" i="1" s="1"/>
  <c r="L8728" i="1"/>
  <c r="M8728" i="1" s="1"/>
  <c r="N8728" i="1" s="1"/>
  <c r="L8729" i="1"/>
  <c r="M8729" i="1" s="1"/>
  <c r="N8729" i="1" s="1"/>
  <c r="L8730" i="1"/>
  <c r="M8730" i="1" s="1"/>
  <c r="N8730" i="1" s="1"/>
  <c r="L8731" i="1"/>
  <c r="M8731" i="1" s="1"/>
  <c r="N8731" i="1" s="1"/>
  <c r="L8732" i="1"/>
  <c r="M8732" i="1" s="1"/>
  <c r="N8732" i="1" s="1"/>
  <c r="L8733" i="1"/>
  <c r="M8733" i="1" s="1"/>
  <c r="N8733" i="1" s="1"/>
  <c r="L8734" i="1"/>
  <c r="M8734" i="1" s="1"/>
  <c r="N8734" i="1" s="1"/>
  <c r="L8735" i="1"/>
  <c r="M8735" i="1" s="1"/>
  <c r="N8735" i="1" s="1"/>
  <c r="L8736" i="1"/>
  <c r="M8736" i="1" s="1"/>
  <c r="N8736" i="1" s="1"/>
  <c r="L8737" i="1"/>
  <c r="M8737" i="1" s="1"/>
  <c r="N8737" i="1" s="1"/>
  <c r="L8738" i="1"/>
  <c r="M8738" i="1" s="1"/>
  <c r="N8738" i="1" s="1"/>
  <c r="L8739" i="1"/>
  <c r="M8739" i="1" s="1"/>
  <c r="N8739" i="1" s="1"/>
  <c r="L8740" i="1"/>
  <c r="M8740" i="1" s="1"/>
  <c r="N8740" i="1" s="1"/>
  <c r="L8741" i="1"/>
  <c r="M8741" i="1" s="1"/>
  <c r="N8741" i="1" s="1"/>
  <c r="L8742" i="1"/>
  <c r="M8742" i="1" s="1"/>
  <c r="N8742" i="1" s="1"/>
  <c r="L8743" i="1"/>
  <c r="M8743" i="1" s="1"/>
  <c r="N8743" i="1" s="1"/>
  <c r="L8744" i="1"/>
  <c r="M8744" i="1" s="1"/>
  <c r="N8744" i="1" s="1"/>
  <c r="L8745" i="1"/>
  <c r="M8745" i="1" s="1"/>
  <c r="N8745" i="1" s="1"/>
  <c r="L8746" i="1"/>
  <c r="M8746" i="1" s="1"/>
  <c r="N8746" i="1" s="1"/>
  <c r="L8747" i="1"/>
  <c r="M8747" i="1" s="1"/>
  <c r="N8747" i="1" s="1"/>
  <c r="L8748" i="1"/>
  <c r="M8748" i="1" s="1"/>
  <c r="N8748" i="1" s="1"/>
  <c r="L8749" i="1"/>
  <c r="M8749" i="1" s="1"/>
  <c r="N8749" i="1" s="1"/>
  <c r="L8750" i="1"/>
  <c r="M8750" i="1" s="1"/>
  <c r="N8750" i="1" s="1"/>
  <c r="L8751" i="1"/>
  <c r="M8751" i="1" s="1"/>
  <c r="N8751" i="1" s="1"/>
  <c r="L8752" i="1"/>
  <c r="M8752" i="1" s="1"/>
  <c r="N8752" i="1" s="1"/>
  <c r="L8753" i="1"/>
  <c r="M8753" i="1" s="1"/>
  <c r="N8753" i="1" s="1"/>
  <c r="L8754" i="1"/>
  <c r="M8754" i="1" s="1"/>
  <c r="N8754" i="1" s="1"/>
  <c r="L8755" i="1"/>
  <c r="M8755" i="1" s="1"/>
  <c r="N8755" i="1" s="1"/>
  <c r="L8756" i="1"/>
  <c r="M8756" i="1" s="1"/>
  <c r="N8756" i="1" s="1"/>
  <c r="L8757" i="1"/>
  <c r="M8757" i="1" s="1"/>
  <c r="N8757" i="1" s="1"/>
  <c r="L8758" i="1"/>
  <c r="M8758" i="1" s="1"/>
  <c r="N8758" i="1" s="1"/>
  <c r="L8759" i="1"/>
  <c r="M8759" i="1" s="1"/>
  <c r="N8759" i="1" s="1"/>
  <c r="L8760" i="1"/>
  <c r="M8760" i="1" s="1"/>
  <c r="N8760" i="1" s="1"/>
  <c r="L8761" i="1"/>
  <c r="M8761" i="1" s="1"/>
  <c r="N8761" i="1" s="1"/>
  <c r="L8762" i="1"/>
  <c r="M8762" i="1" s="1"/>
  <c r="N8762" i="1" s="1"/>
  <c r="L8763" i="1"/>
  <c r="M8763" i="1" s="1"/>
  <c r="N8763" i="1" s="1"/>
  <c r="L8764" i="1"/>
  <c r="M8764" i="1" s="1"/>
  <c r="N8764" i="1" s="1"/>
  <c r="L8765" i="1"/>
  <c r="M8765" i="1" s="1"/>
  <c r="N8765" i="1" s="1"/>
  <c r="L8766" i="1"/>
  <c r="M8766" i="1" s="1"/>
  <c r="N8766" i="1" s="1"/>
  <c r="L8767" i="1"/>
  <c r="M8767" i="1" s="1"/>
  <c r="N8767" i="1" s="1"/>
  <c r="L8768" i="1"/>
  <c r="M8768" i="1" s="1"/>
  <c r="N8768" i="1" s="1"/>
  <c r="L8769" i="1"/>
  <c r="M8769" i="1" s="1"/>
  <c r="N8769" i="1" s="1"/>
  <c r="L8770" i="1"/>
  <c r="M8770" i="1" s="1"/>
  <c r="N8770" i="1" s="1"/>
  <c r="L8771" i="1"/>
  <c r="M8771" i="1" s="1"/>
  <c r="N8771" i="1" s="1"/>
  <c r="L8772" i="1"/>
  <c r="M8772" i="1" s="1"/>
  <c r="N8772" i="1" s="1"/>
  <c r="L8773" i="1"/>
  <c r="M8773" i="1" s="1"/>
  <c r="N8773" i="1" s="1"/>
  <c r="L8774" i="1"/>
  <c r="M8774" i="1" s="1"/>
  <c r="N8774" i="1" s="1"/>
  <c r="L8775" i="1"/>
  <c r="M8775" i="1" s="1"/>
  <c r="N8775" i="1" s="1"/>
  <c r="L8776" i="1"/>
  <c r="M8776" i="1" s="1"/>
  <c r="N8776" i="1" s="1"/>
  <c r="L8777" i="1"/>
  <c r="M8777" i="1" s="1"/>
  <c r="N8777" i="1" s="1"/>
  <c r="L8778" i="1"/>
  <c r="M8778" i="1" s="1"/>
  <c r="N8778" i="1" s="1"/>
  <c r="L8779" i="1"/>
  <c r="M8779" i="1" s="1"/>
  <c r="N8779" i="1" s="1"/>
  <c r="L8780" i="1"/>
  <c r="M8780" i="1" s="1"/>
  <c r="N8780" i="1" s="1"/>
  <c r="L8781" i="1"/>
  <c r="M8781" i="1" s="1"/>
  <c r="N8781" i="1" s="1"/>
  <c r="L8782" i="1"/>
  <c r="M8782" i="1" s="1"/>
  <c r="N8782" i="1" s="1"/>
  <c r="L8783" i="1"/>
  <c r="M8783" i="1" s="1"/>
  <c r="N8783" i="1" s="1"/>
  <c r="L8784" i="1"/>
  <c r="M8784" i="1" s="1"/>
  <c r="N8784" i="1" s="1"/>
  <c r="L8785" i="1"/>
  <c r="M8785" i="1" s="1"/>
  <c r="N8785" i="1" s="1"/>
  <c r="L8786" i="1"/>
  <c r="M8786" i="1" s="1"/>
  <c r="N8786" i="1" s="1"/>
  <c r="L8787" i="1"/>
  <c r="M8787" i="1" s="1"/>
  <c r="N8787" i="1" s="1"/>
  <c r="L8788" i="1"/>
  <c r="M8788" i="1" s="1"/>
  <c r="N8788" i="1" s="1"/>
  <c r="L8789" i="1"/>
  <c r="M8789" i="1" s="1"/>
  <c r="N8789" i="1" s="1"/>
  <c r="L8790" i="1"/>
  <c r="M8790" i="1" s="1"/>
  <c r="N8790" i="1" s="1"/>
  <c r="L8791" i="1"/>
  <c r="M8791" i="1" s="1"/>
  <c r="N8791" i="1" s="1"/>
  <c r="L8792" i="1"/>
  <c r="M8792" i="1" s="1"/>
  <c r="N8792" i="1" s="1"/>
  <c r="L8793" i="1"/>
  <c r="M8793" i="1" s="1"/>
  <c r="N8793" i="1" s="1"/>
  <c r="L8794" i="1"/>
  <c r="M8794" i="1" s="1"/>
  <c r="N8794" i="1" s="1"/>
  <c r="L8795" i="1"/>
  <c r="M8795" i="1" s="1"/>
  <c r="N8795" i="1" s="1"/>
  <c r="L8796" i="1"/>
  <c r="M8796" i="1" s="1"/>
  <c r="N8796" i="1" s="1"/>
  <c r="L8797" i="1"/>
  <c r="M8797" i="1" s="1"/>
  <c r="N8797" i="1" s="1"/>
  <c r="L8798" i="1"/>
  <c r="M8798" i="1" s="1"/>
  <c r="N8798" i="1" s="1"/>
  <c r="L8799" i="1"/>
  <c r="M8799" i="1" s="1"/>
  <c r="N8799" i="1" s="1"/>
  <c r="L8800" i="1"/>
  <c r="M8800" i="1" s="1"/>
  <c r="N8800" i="1" s="1"/>
  <c r="L8801" i="1"/>
  <c r="M8801" i="1" s="1"/>
  <c r="N8801" i="1" s="1"/>
  <c r="L8802" i="1"/>
  <c r="M8802" i="1" s="1"/>
  <c r="N8802" i="1" s="1"/>
  <c r="L8803" i="1"/>
  <c r="M8803" i="1" s="1"/>
  <c r="N8803" i="1" s="1"/>
  <c r="L8804" i="1"/>
  <c r="M8804" i="1" s="1"/>
  <c r="N8804" i="1" s="1"/>
  <c r="L8805" i="1"/>
  <c r="M8805" i="1" s="1"/>
  <c r="N8805" i="1" s="1"/>
  <c r="L8806" i="1"/>
  <c r="M8806" i="1" s="1"/>
  <c r="N8806" i="1" s="1"/>
  <c r="L8807" i="1"/>
  <c r="M8807" i="1" s="1"/>
  <c r="N8807" i="1" s="1"/>
  <c r="L8808" i="1"/>
  <c r="M8808" i="1" s="1"/>
  <c r="N8808" i="1" s="1"/>
  <c r="L8809" i="1"/>
  <c r="M8809" i="1" s="1"/>
  <c r="N8809" i="1" s="1"/>
  <c r="L8810" i="1"/>
  <c r="M8810" i="1" s="1"/>
  <c r="N8810" i="1" s="1"/>
  <c r="L8811" i="1"/>
  <c r="M8811" i="1" s="1"/>
  <c r="N8811" i="1" s="1"/>
  <c r="L8812" i="1"/>
  <c r="M8812" i="1" s="1"/>
  <c r="N8812" i="1" s="1"/>
  <c r="L8813" i="1"/>
  <c r="M8813" i="1" s="1"/>
  <c r="N8813" i="1" s="1"/>
  <c r="L8814" i="1"/>
  <c r="M8814" i="1" s="1"/>
  <c r="N8814" i="1" s="1"/>
  <c r="L8815" i="1"/>
  <c r="M8815" i="1" s="1"/>
  <c r="N8815" i="1" s="1"/>
  <c r="L8816" i="1"/>
  <c r="M8816" i="1" s="1"/>
  <c r="N8816" i="1" s="1"/>
  <c r="L8817" i="1"/>
  <c r="M8817" i="1" s="1"/>
  <c r="N8817" i="1" s="1"/>
  <c r="L8818" i="1"/>
  <c r="M8818" i="1" s="1"/>
  <c r="N8818" i="1" s="1"/>
  <c r="L8819" i="1"/>
  <c r="M8819" i="1" s="1"/>
  <c r="N8819" i="1" s="1"/>
  <c r="L8820" i="1"/>
  <c r="M8820" i="1" s="1"/>
  <c r="N8820" i="1" s="1"/>
  <c r="L8821" i="1"/>
  <c r="M8821" i="1" s="1"/>
  <c r="N8821" i="1" s="1"/>
  <c r="L8822" i="1"/>
  <c r="M8822" i="1" s="1"/>
  <c r="N8822" i="1" s="1"/>
  <c r="L8823" i="1"/>
  <c r="M8823" i="1" s="1"/>
  <c r="N8823" i="1" s="1"/>
  <c r="L8824" i="1"/>
  <c r="M8824" i="1" s="1"/>
  <c r="N8824" i="1" s="1"/>
  <c r="L8825" i="1"/>
  <c r="M8825" i="1" s="1"/>
  <c r="N8825" i="1" s="1"/>
  <c r="L8826" i="1"/>
  <c r="M8826" i="1" s="1"/>
  <c r="N8826" i="1" s="1"/>
  <c r="L8827" i="1"/>
  <c r="M8827" i="1" s="1"/>
  <c r="N8827" i="1" s="1"/>
  <c r="L8828" i="1"/>
  <c r="M8828" i="1" s="1"/>
  <c r="N8828" i="1" s="1"/>
  <c r="L8829" i="1"/>
  <c r="M8829" i="1" s="1"/>
  <c r="N8829" i="1" s="1"/>
  <c r="L8830" i="1"/>
  <c r="M8830" i="1" s="1"/>
  <c r="N8830" i="1" s="1"/>
  <c r="L8831" i="1"/>
  <c r="M8831" i="1" s="1"/>
  <c r="N8831" i="1" s="1"/>
  <c r="L8832" i="1"/>
  <c r="M8832" i="1" s="1"/>
  <c r="N8832" i="1" s="1"/>
  <c r="L8833" i="1"/>
  <c r="M8833" i="1" s="1"/>
  <c r="N8833" i="1" s="1"/>
  <c r="L8834" i="1"/>
  <c r="M8834" i="1" s="1"/>
  <c r="N8834" i="1" s="1"/>
  <c r="L8835" i="1"/>
  <c r="M8835" i="1" s="1"/>
  <c r="N8835" i="1" s="1"/>
  <c r="L8836" i="1"/>
  <c r="M8836" i="1" s="1"/>
  <c r="N8836" i="1" s="1"/>
  <c r="L8837" i="1"/>
  <c r="M8837" i="1" s="1"/>
  <c r="N8837" i="1" s="1"/>
  <c r="L8838" i="1"/>
  <c r="M8838" i="1" s="1"/>
  <c r="N8838" i="1" s="1"/>
  <c r="L8839" i="1"/>
  <c r="M8839" i="1" s="1"/>
  <c r="N8839" i="1" s="1"/>
  <c r="L8840" i="1"/>
  <c r="M8840" i="1" s="1"/>
  <c r="N8840" i="1" s="1"/>
  <c r="L8841" i="1"/>
  <c r="M8841" i="1" s="1"/>
  <c r="N8841" i="1" s="1"/>
  <c r="L8842" i="1"/>
  <c r="M8842" i="1" s="1"/>
  <c r="N8842" i="1" s="1"/>
  <c r="L8843" i="1"/>
  <c r="M8843" i="1" s="1"/>
  <c r="N8843" i="1" s="1"/>
  <c r="L8844" i="1"/>
  <c r="M8844" i="1" s="1"/>
  <c r="N8844" i="1" s="1"/>
  <c r="L8845" i="1"/>
  <c r="M8845" i="1" s="1"/>
  <c r="N8845" i="1" s="1"/>
  <c r="L8846" i="1"/>
  <c r="M8846" i="1" s="1"/>
  <c r="N8846" i="1" s="1"/>
  <c r="L8847" i="1"/>
  <c r="M8847" i="1" s="1"/>
  <c r="N8847" i="1" s="1"/>
  <c r="L8848" i="1"/>
  <c r="M8848" i="1" s="1"/>
  <c r="N8848" i="1" s="1"/>
  <c r="L8849" i="1"/>
  <c r="M8849" i="1" s="1"/>
  <c r="N8849" i="1" s="1"/>
  <c r="L8850" i="1"/>
  <c r="M8850" i="1" s="1"/>
  <c r="N8850" i="1" s="1"/>
  <c r="L8851" i="1"/>
  <c r="M8851" i="1" s="1"/>
  <c r="N8851" i="1" s="1"/>
  <c r="L8852" i="1"/>
  <c r="M8852" i="1" s="1"/>
  <c r="N8852" i="1" s="1"/>
  <c r="L8853" i="1"/>
  <c r="M8853" i="1" s="1"/>
  <c r="N8853" i="1" s="1"/>
  <c r="L8854" i="1"/>
  <c r="M8854" i="1" s="1"/>
  <c r="N8854" i="1" s="1"/>
  <c r="L8855" i="1"/>
  <c r="M8855" i="1" s="1"/>
  <c r="N8855" i="1" s="1"/>
  <c r="L8856" i="1"/>
  <c r="M8856" i="1" s="1"/>
  <c r="N8856" i="1" s="1"/>
  <c r="L8857" i="1"/>
  <c r="M8857" i="1" s="1"/>
  <c r="N8857" i="1" s="1"/>
  <c r="L8858" i="1"/>
  <c r="M8858" i="1" s="1"/>
  <c r="N8858" i="1" s="1"/>
  <c r="L8859" i="1"/>
  <c r="M8859" i="1" s="1"/>
  <c r="N8859" i="1" s="1"/>
  <c r="L8860" i="1"/>
  <c r="M8860" i="1" s="1"/>
  <c r="N8860" i="1" s="1"/>
  <c r="L8861" i="1"/>
  <c r="M8861" i="1" s="1"/>
  <c r="N8861" i="1" s="1"/>
  <c r="L8862" i="1"/>
  <c r="M8862" i="1" s="1"/>
  <c r="N8862" i="1" s="1"/>
  <c r="L8863" i="1"/>
  <c r="M8863" i="1" s="1"/>
  <c r="N8863" i="1" s="1"/>
  <c r="L8864" i="1"/>
  <c r="M8864" i="1" s="1"/>
  <c r="N8864" i="1" s="1"/>
  <c r="L8865" i="1"/>
  <c r="M8865" i="1" s="1"/>
  <c r="N8865" i="1" s="1"/>
  <c r="L8866" i="1"/>
  <c r="M8866" i="1" s="1"/>
  <c r="N8866" i="1" s="1"/>
  <c r="L8867" i="1"/>
  <c r="M8867" i="1" s="1"/>
  <c r="N8867" i="1" s="1"/>
  <c r="L8868" i="1"/>
  <c r="M8868" i="1" s="1"/>
  <c r="N8868" i="1" s="1"/>
  <c r="L8869" i="1"/>
  <c r="M8869" i="1" s="1"/>
  <c r="N8869" i="1" s="1"/>
  <c r="L8870" i="1"/>
  <c r="M8870" i="1" s="1"/>
  <c r="N8870" i="1" s="1"/>
  <c r="L8871" i="1"/>
  <c r="M8871" i="1" s="1"/>
  <c r="N8871" i="1" s="1"/>
  <c r="L8872" i="1"/>
  <c r="M8872" i="1" s="1"/>
  <c r="N8872" i="1" s="1"/>
  <c r="L8873" i="1"/>
  <c r="M8873" i="1" s="1"/>
  <c r="N8873" i="1" s="1"/>
  <c r="L8874" i="1"/>
  <c r="M8874" i="1" s="1"/>
  <c r="N8874" i="1" s="1"/>
  <c r="L8875" i="1"/>
  <c r="M8875" i="1" s="1"/>
  <c r="N8875" i="1" s="1"/>
  <c r="L8876" i="1"/>
  <c r="M8876" i="1" s="1"/>
  <c r="N8876" i="1" s="1"/>
  <c r="L8877" i="1"/>
  <c r="M8877" i="1" s="1"/>
  <c r="N8877" i="1" s="1"/>
  <c r="L8878" i="1"/>
  <c r="M8878" i="1" s="1"/>
  <c r="N8878" i="1" s="1"/>
  <c r="L8879" i="1"/>
  <c r="M8879" i="1" s="1"/>
  <c r="N8879" i="1" s="1"/>
  <c r="L8880" i="1"/>
  <c r="M8880" i="1" s="1"/>
  <c r="N8880" i="1" s="1"/>
  <c r="L8881" i="1"/>
  <c r="M8881" i="1" s="1"/>
  <c r="N8881" i="1" s="1"/>
  <c r="L8882" i="1"/>
  <c r="M8882" i="1" s="1"/>
  <c r="N8882" i="1" s="1"/>
  <c r="L8883" i="1"/>
  <c r="M8883" i="1" s="1"/>
  <c r="N8883" i="1" s="1"/>
  <c r="L8884" i="1"/>
  <c r="M8884" i="1" s="1"/>
  <c r="N8884" i="1" s="1"/>
  <c r="L8885" i="1"/>
  <c r="M8885" i="1" s="1"/>
  <c r="N8885" i="1" s="1"/>
  <c r="L8886" i="1"/>
  <c r="M8886" i="1" s="1"/>
  <c r="N8886" i="1" s="1"/>
  <c r="L8887" i="1"/>
  <c r="M8887" i="1" s="1"/>
  <c r="N8887" i="1" s="1"/>
  <c r="L8888" i="1"/>
  <c r="M8888" i="1" s="1"/>
  <c r="N8888" i="1" s="1"/>
  <c r="L8889" i="1"/>
  <c r="M8889" i="1" s="1"/>
  <c r="N8889" i="1" s="1"/>
  <c r="L8890" i="1"/>
  <c r="M8890" i="1" s="1"/>
  <c r="N8890" i="1" s="1"/>
  <c r="L8891" i="1"/>
  <c r="M8891" i="1" s="1"/>
  <c r="N8891" i="1" s="1"/>
  <c r="L8892" i="1"/>
  <c r="M8892" i="1" s="1"/>
  <c r="N8892" i="1" s="1"/>
  <c r="L8893" i="1"/>
  <c r="M8893" i="1" s="1"/>
  <c r="N8893" i="1" s="1"/>
  <c r="L8894" i="1"/>
  <c r="M8894" i="1" s="1"/>
  <c r="N8894" i="1" s="1"/>
  <c r="L8895" i="1"/>
  <c r="M8895" i="1" s="1"/>
  <c r="N8895" i="1" s="1"/>
  <c r="L8896" i="1"/>
  <c r="M8896" i="1" s="1"/>
  <c r="N8896" i="1" s="1"/>
  <c r="L8897" i="1"/>
  <c r="M8897" i="1" s="1"/>
  <c r="N8897" i="1" s="1"/>
  <c r="L8898" i="1"/>
  <c r="M8898" i="1" s="1"/>
  <c r="N8898" i="1" s="1"/>
  <c r="L8899" i="1"/>
  <c r="M8899" i="1" s="1"/>
  <c r="N8899" i="1" s="1"/>
  <c r="L8900" i="1"/>
  <c r="M8900" i="1" s="1"/>
  <c r="N8900" i="1" s="1"/>
  <c r="L8901" i="1"/>
  <c r="M8901" i="1" s="1"/>
  <c r="N8901" i="1" s="1"/>
  <c r="L8902" i="1"/>
  <c r="M8902" i="1" s="1"/>
  <c r="N8902" i="1" s="1"/>
  <c r="L8903" i="1"/>
  <c r="M8903" i="1" s="1"/>
  <c r="N8903" i="1" s="1"/>
  <c r="L8904" i="1"/>
  <c r="M8904" i="1" s="1"/>
  <c r="N8904" i="1" s="1"/>
  <c r="L8905" i="1"/>
  <c r="M8905" i="1" s="1"/>
  <c r="N8905" i="1" s="1"/>
  <c r="L8906" i="1"/>
  <c r="M8906" i="1" s="1"/>
  <c r="N8906" i="1" s="1"/>
  <c r="L8907" i="1"/>
  <c r="M8907" i="1" s="1"/>
  <c r="N8907" i="1" s="1"/>
  <c r="L8908" i="1"/>
  <c r="M8908" i="1" s="1"/>
  <c r="N8908" i="1" s="1"/>
  <c r="L8909" i="1"/>
  <c r="M8909" i="1" s="1"/>
  <c r="N8909" i="1" s="1"/>
  <c r="L8910" i="1"/>
  <c r="M8910" i="1" s="1"/>
  <c r="N8910" i="1" s="1"/>
  <c r="L8911" i="1"/>
  <c r="M8911" i="1" s="1"/>
  <c r="N8911" i="1" s="1"/>
  <c r="L8912" i="1"/>
  <c r="M8912" i="1" s="1"/>
  <c r="N8912" i="1" s="1"/>
  <c r="L8913" i="1"/>
  <c r="M8913" i="1" s="1"/>
  <c r="N8913" i="1" s="1"/>
  <c r="L8914" i="1"/>
  <c r="M8914" i="1" s="1"/>
  <c r="N8914" i="1" s="1"/>
  <c r="L8915" i="1"/>
  <c r="M8915" i="1" s="1"/>
  <c r="N8915" i="1" s="1"/>
  <c r="L8916" i="1"/>
  <c r="M8916" i="1" s="1"/>
  <c r="N8916" i="1" s="1"/>
  <c r="L8917" i="1"/>
  <c r="M8917" i="1" s="1"/>
  <c r="N8917" i="1" s="1"/>
  <c r="L8918" i="1"/>
  <c r="M8918" i="1" s="1"/>
  <c r="N8918" i="1" s="1"/>
  <c r="L8919" i="1"/>
  <c r="M8919" i="1" s="1"/>
  <c r="N8919" i="1" s="1"/>
  <c r="L8920" i="1"/>
  <c r="M8920" i="1" s="1"/>
  <c r="N8920" i="1" s="1"/>
  <c r="L8921" i="1"/>
  <c r="M8921" i="1" s="1"/>
  <c r="N8921" i="1" s="1"/>
  <c r="L8922" i="1"/>
  <c r="M8922" i="1" s="1"/>
  <c r="N8922" i="1" s="1"/>
  <c r="L8923" i="1"/>
  <c r="M8923" i="1" s="1"/>
  <c r="N8923" i="1" s="1"/>
  <c r="L8924" i="1"/>
  <c r="M8924" i="1" s="1"/>
  <c r="N8924" i="1" s="1"/>
  <c r="L8925" i="1"/>
  <c r="M8925" i="1" s="1"/>
  <c r="N8925" i="1" s="1"/>
  <c r="L8926" i="1"/>
  <c r="M8926" i="1" s="1"/>
  <c r="N8926" i="1" s="1"/>
  <c r="L8927" i="1"/>
  <c r="M8927" i="1" s="1"/>
  <c r="N8927" i="1" s="1"/>
  <c r="L8928" i="1"/>
  <c r="M8928" i="1" s="1"/>
  <c r="N8928" i="1" s="1"/>
  <c r="L8929" i="1"/>
  <c r="M8929" i="1" s="1"/>
  <c r="N8929" i="1" s="1"/>
  <c r="L8930" i="1"/>
  <c r="M8930" i="1" s="1"/>
  <c r="N8930" i="1" s="1"/>
  <c r="L8931" i="1"/>
  <c r="M8931" i="1" s="1"/>
  <c r="N8931" i="1" s="1"/>
  <c r="L8932" i="1"/>
  <c r="M8932" i="1" s="1"/>
  <c r="N8932" i="1" s="1"/>
  <c r="L8933" i="1"/>
  <c r="M8933" i="1" s="1"/>
  <c r="N8933" i="1" s="1"/>
  <c r="L8934" i="1"/>
  <c r="M8934" i="1" s="1"/>
  <c r="N8934" i="1" s="1"/>
  <c r="L8935" i="1"/>
  <c r="M8935" i="1" s="1"/>
  <c r="N8935" i="1" s="1"/>
  <c r="L8936" i="1"/>
  <c r="M8936" i="1" s="1"/>
  <c r="N8936" i="1" s="1"/>
  <c r="L8937" i="1"/>
  <c r="M8937" i="1" s="1"/>
  <c r="N8937" i="1" s="1"/>
  <c r="L8938" i="1"/>
  <c r="M8938" i="1" s="1"/>
  <c r="N8938" i="1" s="1"/>
  <c r="L8939" i="1"/>
  <c r="M8939" i="1" s="1"/>
  <c r="N8939" i="1" s="1"/>
  <c r="L8940" i="1"/>
  <c r="M8940" i="1" s="1"/>
  <c r="N8940" i="1" s="1"/>
  <c r="L8941" i="1"/>
  <c r="M8941" i="1" s="1"/>
  <c r="N8941" i="1" s="1"/>
  <c r="L8942" i="1"/>
  <c r="M8942" i="1" s="1"/>
  <c r="N8942" i="1" s="1"/>
  <c r="L8943" i="1"/>
  <c r="M8943" i="1" s="1"/>
  <c r="N8943" i="1" s="1"/>
  <c r="L8944" i="1"/>
  <c r="M8944" i="1" s="1"/>
  <c r="N8944" i="1" s="1"/>
  <c r="L8945" i="1"/>
  <c r="M8945" i="1" s="1"/>
  <c r="N8945" i="1" s="1"/>
  <c r="L8946" i="1"/>
  <c r="M8946" i="1" s="1"/>
  <c r="N8946" i="1" s="1"/>
  <c r="L8947" i="1"/>
  <c r="M8947" i="1" s="1"/>
  <c r="N8947" i="1" s="1"/>
  <c r="L8948" i="1"/>
  <c r="M8948" i="1" s="1"/>
  <c r="N8948" i="1" s="1"/>
  <c r="L8949" i="1"/>
  <c r="M8949" i="1" s="1"/>
  <c r="N8949" i="1" s="1"/>
  <c r="L8950" i="1"/>
  <c r="M8950" i="1" s="1"/>
  <c r="N8950" i="1" s="1"/>
  <c r="L8951" i="1"/>
  <c r="M8951" i="1" s="1"/>
  <c r="N8951" i="1" s="1"/>
  <c r="L8952" i="1"/>
  <c r="M8952" i="1" s="1"/>
  <c r="N8952" i="1" s="1"/>
  <c r="L8953" i="1"/>
  <c r="M8953" i="1" s="1"/>
  <c r="N8953" i="1" s="1"/>
  <c r="L8954" i="1"/>
  <c r="M8954" i="1" s="1"/>
  <c r="N8954" i="1" s="1"/>
  <c r="L8955" i="1"/>
  <c r="M8955" i="1" s="1"/>
  <c r="N8955" i="1" s="1"/>
  <c r="L8956" i="1"/>
  <c r="M8956" i="1" s="1"/>
  <c r="N8956" i="1" s="1"/>
  <c r="L8957" i="1"/>
  <c r="M8957" i="1" s="1"/>
  <c r="N8957" i="1" s="1"/>
  <c r="L8958" i="1"/>
  <c r="M8958" i="1" s="1"/>
  <c r="N8958" i="1" s="1"/>
  <c r="L8959" i="1"/>
  <c r="M8959" i="1" s="1"/>
  <c r="N8959" i="1" s="1"/>
  <c r="L8960" i="1"/>
  <c r="M8960" i="1" s="1"/>
  <c r="N8960" i="1" s="1"/>
  <c r="L8961" i="1"/>
  <c r="M8961" i="1" s="1"/>
  <c r="N8961" i="1" s="1"/>
  <c r="L8962" i="1"/>
  <c r="M8962" i="1" s="1"/>
  <c r="N8962" i="1" s="1"/>
  <c r="L8963" i="1"/>
  <c r="M8963" i="1" s="1"/>
  <c r="N8963" i="1" s="1"/>
  <c r="L8964" i="1"/>
  <c r="M8964" i="1" s="1"/>
  <c r="N8964" i="1" s="1"/>
  <c r="L8965" i="1"/>
  <c r="M8965" i="1" s="1"/>
  <c r="N8965" i="1" s="1"/>
  <c r="L8966" i="1"/>
  <c r="M8966" i="1" s="1"/>
  <c r="N8966" i="1" s="1"/>
  <c r="L8967" i="1"/>
  <c r="M8967" i="1" s="1"/>
  <c r="N8967" i="1" s="1"/>
  <c r="L8968" i="1"/>
  <c r="M8968" i="1" s="1"/>
  <c r="N8968" i="1" s="1"/>
  <c r="L8969" i="1"/>
  <c r="M8969" i="1" s="1"/>
  <c r="N8969" i="1" s="1"/>
  <c r="L8970" i="1"/>
  <c r="M8970" i="1" s="1"/>
  <c r="N8970" i="1" s="1"/>
  <c r="L8971" i="1"/>
  <c r="M8971" i="1" s="1"/>
  <c r="N8971" i="1" s="1"/>
  <c r="L8972" i="1"/>
  <c r="M8972" i="1" s="1"/>
  <c r="N8972" i="1" s="1"/>
  <c r="L8973" i="1"/>
  <c r="M8973" i="1" s="1"/>
  <c r="N8973" i="1" s="1"/>
  <c r="L8974" i="1"/>
  <c r="M8974" i="1" s="1"/>
  <c r="N8974" i="1" s="1"/>
  <c r="L8975" i="1"/>
  <c r="M8975" i="1" s="1"/>
  <c r="N8975" i="1" s="1"/>
  <c r="L8976" i="1"/>
  <c r="M8976" i="1" s="1"/>
  <c r="N8976" i="1" s="1"/>
  <c r="L8977" i="1"/>
  <c r="M8977" i="1" s="1"/>
  <c r="N8977" i="1" s="1"/>
  <c r="L8978" i="1"/>
  <c r="M8978" i="1" s="1"/>
  <c r="N8978" i="1" s="1"/>
  <c r="L8979" i="1"/>
  <c r="M8979" i="1" s="1"/>
  <c r="N8979" i="1" s="1"/>
  <c r="L8980" i="1"/>
  <c r="M8980" i="1" s="1"/>
  <c r="N8980" i="1" s="1"/>
  <c r="L8981" i="1"/>
  <c r="M8981" i="1" s="1"/>
  <c r="N8981" i="1" s="1"/>
  <c r="L8982" i="1"/>
  <c r="M8982" i="1" s="1"/>
  <c r="N8982" i="1" s="1"/>
  <c r="L8983" i="1"/>
  <c r="M8983" i="1" s="1"/>
  <c r="N8983" i="1" s="1"/>
  <c r="L8984" i="1"/>
  <c r="M8984" i="1" s="1"/>
  <c r="N8984" i="1" s="1"/>
  <c r="L8985" i="1"/>
  <c r="M8985" i="1" s="1"/>
  <c r="N8985" i="1" s="1"/>
  <c r="L8986" i="1"/>
  <c r="M8986" i="1" s="1"/>
  <c r="N8986" i="1" s="1"/>
  <c r="L8987" i="1"/>
  <c r="M8987" i="1" s="1"/>
  <c r="N8987" i="1" s="1"/>
  <c r="L8988" i="1"/>
  <c r="M8988" i="1" s="1"/>
  <c r="N8988" i="1" s="1"/>
  <c r="L8989" i="1"/>
  <c r="M8989" i="1" s="1"/>
  <c r="N8989" i="1" s="1"/>
  <c r="L8990" i="1"/>
  <c r="M8990" i="1" s="1"/>
  <c r="N8990" i="1" s="1"/>
  <c r="L8991" i="1"/>
  <c r="M8991" i="1" s="1"/>
  <c r="N8991" i="1" s="1"/>
  <c r="L8992" i="1"/>
  <c r="M8992" i="1" s="1"/>
  <c r="N8992" i="1" s="1"/>
  <c r="L8993" i="1"/>
  <c r="M8993" i="1" s="1"/>
  <c r="N8993" i="1" s="1"/>
  <c r="L8994" i="1"/>
  <c r="M8994" i="1" s="1"/>
  <c r="N8994" i="1" s="1"/>
  <c r="L8995" i="1"/>
  <c r="M8995" i="1" s="1"/>
  <c r="N8995" i="1" s="1"/>
  <c r="L8996" i="1"/>
  <c r="M8996" i="1" s="1"/>
  <c r="N8996" i="1" s="1"/>
  <c r="L8997" i="1"/>
  <c r="M8997" i="1" s="1"/>
  <c r="N8997" i="1" s="1"/>
  <c r="L8998" i="1"/>
  <c r="M8998" i="1" s="1"/>
  <c r="N8998" i="1" s="1"/>
  <c r="L8999" i="1"/>
  <c r="M8999" i="1" s="1"/>
  <c r="N8999" i="1" s="1"/>
  <c r="L9000" i="1"/>
  <c r="M9000" i="1" s="1"/>
  <c r="N9000" i="1" s="1"/>
  <c r="L9001" i="1"/>
  <c r="M9001" i="1" s="1"/>
  <c r="N9001" i="1" s="1"/>
  <c r="L9002" i="1"/>
  <c r="M9002" i="1" s="1"/>
  <c r="N9002" i="1" s="1"/>
  <c r="L9003" i="1"/>
  <c r="M9003" i="1" s="1"/>
  <c r="N9003" i="1" s="1"/>
  <c r="L9004" i="1"/>
  <c r="M9004" i="1" s="1"/>
  <c r="N9004" i="1" s="1"/>
  <c r="L9005" i="1"/>
  <c r="M9005" i="1" s="1"/>
  <c r="N9005" i="1" s="1"/>
  <c r="L9006" i="1"/>
  <c r="M9006" i="1" s="1"/>
  <c r="N9006" i="1" s="1"/>
  <c r="L9007" i="1"/>
  <c r="M9007" i="1" s="1"/>
  <c r="N9007" i="1" s="1"/>
  <c r="L9008" i="1"/>
  <c r="M9008" i="1" s="1"/>
  <c r="N9008" i="1" s="1"/>
  <c r="L9009" i="1"/>
  <c r="M9009" i="1" s="1"/>
  <c r="N9009" i="1" s="1"/>
  <c r="L9010" i="1"/>
  <c r="M9010" i="1" s="1"/>
  <c r="N9010" i="1" s="1"/>
  <c r="L9011" i="1"/>
  <c r="M9011" i="1" s="1"/>
  <c r="N9011" i="1" s="1"/>
  <c r="L9012" i="1"/>
  <c r="M9012" i="1" s="1"/>
  <c r="N9012" i="1" s="1"/>
  <c r="L9013" i="1"/>
  <c r="M9013" i="1" s="1"/>
  <c r="N9013" i="1" s="1"/>
  <c r="L9014" i="1"/>
  <c r="M9014" i="1" s="1"/>
  <c r="N9014" i="1" s="1"/>
  <c r="L9015" i="1"/>
  <c r="M9015" i="1" s="1"/>
  <c r="N9015" i="1" s="1"/>
  <c r="L9016" i="1"/>
  <c r="M9016" i="1" s="1"/>
  <c r="N9016" i="1" s="1"/>
  <c r="L9017" i="1"/>
  <c r="M9017" i="1" s="1"/>
  <c r="N9017" i="1" s="1"/>
  <c r="L9018" i="1"/>
  <c r="M9018" i="1" s="1"/>
  <c r="N9018" i="1" s="1"/>
  <c r="L9019" i="1"/>
  <c r="M9019" i="1" s="1"/>
  <c r="N9019" i="1" s="1"/>
  <c r="L9020" i="1"/>
  <c r="M9020" i="1" s="1"/>
  <c r="N9020" i="1" s="1"/>
  <c r="L9021" i="1"/>
  <c r="M9021" i="1" s="1"/>
  <c r="N9021" i="1" s="1"/>
  <c r="L9022" i="1"/>
  <c r="M9022" i="1" s="1"/>
  <c r="N9022" i="1" s="1"/>
  <c r="L9023" i="1"/>
  <c r="M9023" i="1" s="1"/>
  <c r="N9023" i="1" s="1"/>
  <c r="L9024" i="1"/>
  <c r="M9024" i="1" s="1"/>
  <c r="N9024" i="1" s="1"/>
  <c r="L9025" i="1"/>
  <c r="M9025" i="1" s="1"/>
  <c r="N9025" i="1" s="1"/>
  <c r="L9026" i="1"/>
  <c r="M9026" i="1" s="1"/>
  <c r="N9026" i="1" s="1"/>
  <c r="L9027" i="1"/>
  <c r="M9027" i="1" s="1"/>
  <c r="N9027" i="1" s="1"/>
  <c r="L9028" i="1"/>
  <c r="M9028" i="1" s="1"/>
  <c r="N9028" i="1" s="1"/>
  <c r="L9029" i="1"/>
  <c r="M9029" i="1" s="1"/>
  <c r="N9029" i="1" s="1"/>
  <c r="L9030" i="1"/>
  <c r="M9030" i="1" s="1"/>
  <c r="N9030" i="1" s="1"/>
  <c r="L9031" i="1"/>
  <c r="M9031" i="1" s="1"/>
  <c r="N9031" i="1" s="1"/>
  <c r="L9032" i="1"/>
  <c r="M9032" i="1" s="1"/>
  <c r="N9032" i="1" s="1"/>
  <c r="L9033" i="1"/>
  <c r="M9033" i="1" s="1"/>
  <c r="N9033" i="1" s="1"/>
  <c r="L9034" i="1"/>
  <c r="M9034" i="1" s="1"/>
  <c r="N9034" i="1" s="1"/>
  <c r="L9035" i="1"/>
  <c r="M9035" i="1" s="1"/>
  <c r="N9035" i="1" s="1"/>
  <c r="L9036" i="1"/>
  <c r="M9036" i="1" s="1"/>
  <c r="N9036" i="1" s="1"/>
  <c r="L9037" i="1"/>
  <c r="M9037" i="1" s="1"/>
  <c r="N9037" i="1" s="1"/>
  <c r="L9038" i="1"/>
  <c r="M9038" i="1" s="1"/>
  <c r="N9038" i="1" s="1"/>
  <c r="L9039" i="1"/>
  <c r="M9039" i="1" s="1"/>
  <c r="N9039" i="1" s="1"/>
  <c r="L9040" i="1"/>
  <c r="M9040" i="1" s="1"/>
  <c r="N9040" i="1" s="1"/>
  <c r="L9041" i="1"/>
  <c r="M9041" i="1" s="1"/>
  <c r="N9041" i="1" s="1"/>
  <c r="L9042" i="1"/>
  <c r="M9042" i="1" s="1"/>
  <c r="N9042" i="1" s="1"/>
  <c r="L9043" i="1"/>
  <c r="M9043" i="1" s="1"/>
  <c r="N9043" i="1" s="1"/>
  <c r="L9044" i="1"/>
  <c r="M9044" i="1" s="1"/>
  <c r="N9044" i="1" s="1"/>
  <c r="L9045" i="1"/>
  <c r="M9045" i="1" s="1"/>
  <c r="N9045" i="1" s="1"/>
  <c r="L9046" i="1"/>
  <c r="M9046" i="1" s="1"/>
  <c r="N9046" i="1" s="1"/>
  <c r="L9047" i="1"/>
  <c r="M9047" i="1" s="1"/>
  <c r="N9047" i="1" s="1"/>
  <c r="L9048" i="1"/>
  <c r="M9048" i="1" s="1"/>
  <c r="N9048" i="1" s="1"/>
  <c r="L9049" i="1"/>
  <c r="M9049" i="1" s="1"/>
  <c r="N9049" i="1" s="1"/>
  <c r="L9050" i="1"/>
  <c r="M9050" i="1" s="1"/>
  <c r="N9050" i="1" s="1"/>
  <c r="L9051" i="1"/>
  <c r="M9051" i="1" s="1"/>
  <c r="N9051" i="1" s="1"/>
  <c r="L9052" i="1"/>
  <c r="M9052" i="1" s="1"/>
  <c r="N9052" i="1" s="1"/>
  <c r="L9053" i="1"/>
  <c r="M9053" i="1" s="1"/>
  <c r="N9053" i="1" s="1"/>
  <c r="L9054" i="1"/>
  <c r="M9054" i="1" s="1"/>
  <c r="N9054" i="1" s="1"/>
  <c r="L9055" i="1"/>
  <c r="M9055" i="1" s="1"/>
  <c r="N9055" i="1" s="1"/>
  <c r="L9056" i="1"/>
  <c r="M9056" i="1" s="1"/>
  <c r="N9056" i="1" s="1"/>
  <c r="L9057" i="1"/>
  <c r="M9057" i="1" s="1"/>
  <c r="N9057" i="1" s="1"/>
  <c r="L9058" i="1"/>
  <c r="M9058" i="1" s="1"/>
  <c r="N9058" i="1" s="1"/>
  <c r="L9059" i="1"/>
  <c r="M9059" i="1" s="1"/>
  <c r="N9059" i="1" s="1"/>
  <c r="L9060" i="1"/>
  <c r="M9060" i="1" s="1"/>
  <c r="N9060" i="1" s="1"/>
  <c r="L9061" i="1"/>
  <c r="M9061" i="1" s="1"/>
  <c r="N9061" i="1" s="1"/>
  <c r="L9062" i="1"/>
  <c r="M9062" i="1" s="1"/>
  <c r="N9062" i="1" s="1"/>
  <c r="L9063" i="1"/>
  <c r="M9063" i="1" s="1"/>
  <c r="N9063" i="1" s="1"/>
  <c r="L9064" i="1"/>
  <c r="M9064" i="1" s="1"/>
  <c r="N9064" i="1" s="1"/>
  <c r="L9065" i="1"/>
  <c r="M9065" i="1" s="1"/>
  <c r="N9065" i="1" s="1"/>
  <c r="L9066" i="1"/>
  <c r="M9066" i="1" s="1"/>
  <c r="N9066" i="1" s="1"/>
  <c r="L9067" i="1"/>
  <c r="M9067" i="1" s="1"/>
  <c r="N9067" i="1" s="1"/>
  <c r="L9068" i="1"/>
  <c r="M9068" i="1" s="1"/>
  <c r="N9068" i="1" s="1"/>
  <c r="L9069" i="1"/>
  <c r="M9069" i="1" s="1"/>
  <c r="N9069" i="1" s="1"/>
  <c r="L9070" i="1"/>
  <c r="M9070" i="1" s="1"/>
  <c r="N9070" i="1" s="1"/>
  <c r="L9071" i="1"/>
  <c r="M9071" i="1" s="1"/>
  <c r="N9071" i="1" s="1"/>
  <c r="L9072" i="1"/>
  <c r="M9072" i="1" s="1"/>
  <c r="N9072" i="1" s="1"/>
  <c r="L9073" i="1"/>
  <c r="M9073" i="1" s="1"/>
  <c r="N9073" i="1" s="1"/>
  <c r="L9074" i="1"/>
  <c r="M9074" i="1" s="1"/>
  <c r="N9074" i="1" s="1"/>
  <c r="L9075" i="1"/>
  <c r="M9075" i="1" s="1"/>
  <c r="N9075" i="1" s="1"/>
  <c r="L9076" i="1"/>
  <c r="M9076" i="1" s="1"/>
  <c r="N9076" i="1" s="1"/>
  <c r="L9077" i="1"/>
  <c r="M9077" i="1" s="1"/>
  <c r="N9077" i="1" s="1"/>
  <c r="L9078" i="1"/>
  <c r="M9078" i="1" s="1"/>
  <c r="N9078" i="1" s="1"/>
  <c r="L9079" i="1"/>
  <c r="M9079" i="1" s="1"/>
  <c r="N9079" i="1" s="1"/>
  <c r="L9080" i="1"/>
  <c r="M9080" i="1" s="1"/>
  <c r="N9080" i="1" s="1"/>
  <c r="L9081" i="1"/>
  <c r="M9081" i="1" s="1"/>
  <c r="N9081" i="1" s="1"/>
  <c r="L9082" i="1"/>
  <c r="M9082" i="1" s="1"/>
  <c r="N9082" i="1" s="1"/>
  <c r="L9083" i="1"/>
  <c r="M9083" i="1" s="1"/>
  <c r="N9083" i="1" s="1"/>
  <c r="L9084" i="1"/>
  <c r="M9084" i="1" s="1"/>
  <c r="N9084" i="1" s="1"/>
  <c r="L9085" i="1"/>
  <c r="M9085" i="1" s="1"/>
  <c r="N9085" i="1" s="1"/>
  <c r="L9086" i="1"/>
  <c r="M9086" i="1" s="1"/>
  <c r="N9086" i="1" s="1"/>
  <c r="L9087" i="1"/>
  <c r="M9087" i="1" s="1"/>
  <c r="N9087" i="1" s="1"/>
  <c r="L9088" i="1"/>
  <c r="M9088" i="1" s="1"/>
  <c r="N9088" i="1" s="1"/>
  <c r="L9089" i="1"/>
  <c r="M9089" i="1" s="1"/>
  <c r="N9089" i="1" s="1"/>
  <c r="L9090" i="1"/>
  <c r="M9090" i="1" s="1"/>
  <c r="N9090" i="1" s="1"/>
  <c r="L9091" i="1"/>
  <c r="M9091" i="1" s="1"/>
  <c r="N9091" i="1" s="1"/>
  <c r="L9092" i="1"/>
  <c r="M9092" i="1" s="1"/>
  <c r="N9092" i="1" s="1"/>
  <c r="L9093" i="1"/>
  <c r="M9093" i="1" s="1"/>
  <c r="N9093" i="1" s="1"/>
  <c r="L9094" i="1"/>
  <c r="M9094" i="1" s="1"/>
  <c r="N9094" i="1" s="1"/>
  <c r="L9095" i="1"/>
  <c r="M9095" i="1" s="1"/>
  <c r="N9095" i="1" s="1"/>
  <c r="L9096" i="1"/>
  <c r="M9096" i="1" s="1"/>
  <c r="N9096" i="1" s="1"/>
  <c r="L9097" i="1"/>
  <c r="M9097" i="1" s="1"/>
  <c r="N9097" i="1" s="1"/>
  <c r="L9098" i="1"/>
  <c r="M9098" i="1" s="1"/>
  <c r="N9098" i="1" s="1"/>
  <c r="L9099" i="1"/>
  <c r="M9099" i="1" s="1"/>
  <c r="N9099" i="1" s="1"/>
  <c r="L9100" i="1"/>
  <c r="M9100" i="1" s="1"/>
  <c r="N9100" i="1" s="1"/>
  <c r="L9101" i="1"/>
  <c r="M9101" i="1" s="1"/>
  <c r="N9101" i="1" s="1"/>
  <c r="L9102" i="1"/>
  <c r="M9102" i="1" s="1"/>
  <c r="N9102" i="1" s="1"/>
  <c r="L9103" i="1"/>
  <c r="M9103" i="1" s="1"/>
  <c r="N9103" i="1" s="1"/>
  <c r="L9104" i="1"/>
  <c r="M9104" i="1" s="1"/>
  <c r="N9104" i="1" s="1"/>
  <c r="L9105" i="1"/>
  <c r="M9105" i="1" s="1"/>
  <c r="N9105" i="1" s="1"/>
  <c r="L9106" i="1"/>
  <c r="M9106" i="1" s="1"/>
  <c r="N9106" i="1" s="1"/>
  <c r="L9107" i="1"/>
  <c r="M9107" i="1" s="1"/>
  <c r="N9107" i="1" s="1"/>
  <c r="L9108" i="1"/>
  <c r="M9108" i="1" s="1"/>
  <c r="N9108" i="1" s="1"/>
  <c r="L9109" i="1"/>
  <c r="M9109" i="1" s="1"/>
  <c r="N9109" i="1" s="1"/>
  <c r="L9110" i="1"/>
  <c r="M9110" i="1" s="1"/>
  <c r="N9110" i="1" s="1"/>
  <c r="L9111" i="1"/>
  <c r="M9111" i="1" s="1"/>
  <c r="N9111" i="1" s="1"/>
  <c r="L9112" i="1"/>
  <c r="M9112" i="1" s="1"/>
  <c r="N9112" i="1" s="1"/>
  <c r="L9113" i="1"/>
  <c r="M9113" i="1" s="1"/>
  <c r="N9113" i="1" s="1"/>
  <c r="L9114" i="1"/>
  <c r="M9114" i="1" s="1"/>
  <c r="N9114" i="1" s="1"/>
  <c r="L9115" i="1"/>
  <c r="M9115" i="1" s="1"/>
  <c r="N9115" i="1" s="1"/>
  <c r="L9116" i="1"/>
  <c r="M9116" i="1" s="1"/>
  <c r="N9116" i="1" s="1"/>
  <c r="L9117" i="1"/>
  <c r="M9117" i="1" s="1"/>
  <c r="N9117" i="1" s="1"/>
  <c r="L9118" i="1"/>
  <c r="M9118" i="1" s="1"/>
  <c r="N9118" i="1" s="1"/>
  <c r="L9119" i="1"/>
  <c r="M9119" i="1" s="1"/>
  <c r="N9119" i="1" s="1"/>
  <c r="L9120" i="1"/>
  <c r="M9120" i="1" s="1"/>
  <c r="N9120" i="1" s="1"/>
  <c r="L9121" i="1"/>
  <c r="M9121" i="1" s="1"/>
  <c r="N9121" i="1" s="1"/>
  <c r="L9122" i="1"/>
  <c r="M9122" i="1" s="1"/>
  <c r="N9122" i="1" s="1"/>
  <c r="L9123" i="1"/>
  <c r="M9123" i="1" s="1"/>
  <c r="N9123" i="1" s="1"/>
  <c r="L9124" i="1"/>
  <c r="M9124" i="1" s="1"/>
  <c r="N9124" i="1" s="1"/>
  <c r="L9125" i="1"/>
  <c r="M9125" i="1" s="1"/>
  <c r="N9125" i="1" s="1"/>
  <c r="L9126" i="1"/>
  <c r="M9126" i="1" s="1"/>
  <c r="N9126" i="1" s="1"/>
  <c r="L9127" i="1"/>
  <c r="M9127" i="1" s="1"/>
  <c r="N9127" i="1" s="1"/>
  <c r="L9128" i="1"/>
  <c r="M9128" i="1" s="1"/>
  <c r="N9128" i="1" s="1"/>
  <c r="L9129" i="1"/>
  <c r="M9129" i="1" s="1"/>
  <c r="N9129" i="1" s="1"/>
  <c r="L9130" i="1"/>
  <c r="M9130" i="1" s="1"/>
  <c r="N9130" i="1" s="1"/>
  <c r="L9131" i="1"/>
  <c r="M9131" i="1" s="1"/>
  <c r="N9131" i="1" s="1"/>
  <c r="L9132" i="1"/>
  <c r="M9132" i="1" s="1"/>
  <c r="N9132" i="1" s="1"/>
  <c r="L9133" i="1"/>
  <c r="M9133" i="1" s="1"/>
  <c r="N9133" i="1" s="1"/>
  <c r="L9134" i="1"/>
  <c r="M9134" i="1" s="1"/>
  <c r="N9134" i="1" s="1"/>
  <c r="L9135" i="1"/>
  <c r="M9135" i="1" s="1"/>
  <c r="N9135" i="1" s="1"/>
  <c r="L9136" i="1"/>
  <c r="M9136" i="1" s="1"/>
  <c r="N9136" i="1" s="1"/>
  <c r="L9137" i="1"/>
  <c r="M9137" i="1" s="1"/>
  <c r="N9137" i="1" s="1"/>
  <c r="L9138" i="1"/>
  <c r="M9138" i="1" s="1"/>
  <c r="N9138" i="1" s="1"/>
  <c r="L9139" i="1"/>
  <c r="M9139" i="1" s="1"/>
  <c r="N9139" i="1" s="1"/>
  <c r="L9140" i="1"/>
  <c r="M9140" i="1" s="1"/>
  <c r="N9140" i="1" s="1"/>
  <c r="L9141" i="1"/>
  <c r="M9141" i="1" s="1"/>
  <c r="N9141" i="1" s="1"/>
  <c r="L9142" i="1"/>
  <c r="M9142" i="1" s="1"/>
  <c r="N9142" i="1" s="1"/>
  <c r="L9143" i="1"/>
  <c r="M9143" i="1" s="1"/>
  <c r="N9143" i="1" s="1"/>
  <c r="L9144" i="1"/>
  <c r="M9144" i="1" s="1"/>
  <c r="N9144" i="1" s="1"/>
  <c r="L9145" i="1"/>
  <c r="M9145" i="1" s="1"/>
  <c r="N9145" i="1" s="1"/>
  <c r="L9146" i="1"/>
  <c r="M9146" i="1" s="1"/>
  <c r="N9146" i="1" s="1"/>
  <c r="L9147" i="1"/>
  <c r="M9147" i="1" s="1"/>
  <c r="N9147" i="1" s="1"/>
  <c r="L9148" i="1"/>
  <c r="M9148" i="1" s="1"/>
  <c r="N9148" i="1" s="1"/>
  <c r="L9149" i="1"/>
  <c r="M9149" i="1" s="1"/>
  <c r="N9149" i="1" s="1"/>
  <c r="L9150" i="1"/>
  <c r="M9150" i="1" s="1"/>
  <c r="N9150" i="1" s="1"/>
  <c r="L9151" i="1"/>
  <c r="M9151" i="1" s="1"/>
  <c r="N9151" i="1" s="1"/>
  <c r="L9152" i="1"/>
  <c r="M9152" i="1" s="1"/>
  <c r="N9152" i="1" s="1"/>
  <c r="L9153" i="1"/>
  <c r="M9153" i="1" s="1"/>
  <c r="N9153" i="1" s="1"/>
  <c r="L9154" i="1"/>
  <c r="M9154" i="1" s="1"/>
  <c r="N9154" i="1" s="1"/>
  <c r="L9155" i="1"/>
  <c r="M9155" i="1" s="1"/>
  <c r="N9155" i="1" s="1"/>
  <c r="L9156" i="1"/>
  <c r="M9156" i="1" s="1"/>
  <c r="N9156" i="1" s="1"/>
  <c r="L9157" i="1"/>
  <c r="M9157" i="1" s="1"/>
  <c r="N9157" i="1" s="1"/>
  <c r="L9158" i="1"/>
  <c r="M9158" i="1" s="1"/>
  <c r="N9158" i="1" s="1"/>
  <c r="L9159" i="1"/>
  <c r="M9159" i="1" s="1"/>
  <c r="N9159" i="1" s="1"/>
  <c r="L9160" i="1"/>
  <c r="M9160" i="1" s="1"/>
  <c r="N9160" i="1" s="1"/>
  <c r="L9161" i="1"/>
  <c r="M9161" i="1" s="1"/>
  <c r="N9161" i="1" s="1"/>
  <c r="L9162" i="1"/>
  <c r="M9162" i="1" s="1"/>
  <c r="N9162" i="1" s="1"/>
  <c r="L9163" i="1"/>
  <c r="M9163" i="1" s="1"/>
  <c r="N9163" i="1" s="1"/>
  <c r="L9164" i="1"/>
  <c r="M9164" i="1" s="1"/>
  <c r="N9164" i="1" s="1"/>
  <c r="L9165" i="1"/>
  <c r="M9165" i="1" s="1"/>
  <c r="N9165" i="1" s="1"/>
  <c r="L9166" i="1"/>
  <c r="M9166" i="1" s="1"/>
  <c r="N9166" i="1" s="1"/>
  <c r="L9167" i="1"/>
  <c r="M9167" i="1" s="1"/>
  <c r="N9167" i="1" s="1"/>
  <c r="L9168" i="1"/>
  <c r="M9168" i="1" s="1"/>
  <c r="N9168" i="1" s="1"/>
  <c r="L9169" i="1"/>
  <c r="M9169" i="1" s="1"/>
  <c r="N9169" i="1" s="1"/>
  <c r="L9170" i="1"/>
  <c r="M9170" i="1" s="1"/>
  <c r="N9170" i="1" s="1"/>
  <c r="L9171" i="1"/>
  <c r="M9171" i="1" s="1"/>
  <c r="N9171" i="1" s="1"/>
  <c r="L9172" i="1"/>
  <c r="M9172" i="1" s="1"/>
  <c r="N9172" i="1" s="1"/>
  <c r="L9173" i="1"/>
  <c r="M9173" i="1" s="1"/>
  <c r="N9173" i="1" s="1"/>
  <c r="L9174" i="1"/>
  <c r="M9174" i="1" s="1"/>
  <c r="N9174" i="1" s="1"/>
  <c r="L9175" i="1"/>
  <c r="M9175" i="1" s="1"/>
  <c r="N9175" i="1" s="1"/>
  <c r="L9176" i="1"/>
  <c r="M9176" i="1" s="1"/>
  <c r="N9176" i="1" s="1"/>
  <c r="L9177" i="1"/>
  <c r="M9177" i="1" s="1"/>
  <c r="N9177" i="1" s="1"/>
  <c r="L9178" i="1"/>
  <c r="M9178" i="1" s="1"/>
  <c r="N9178" i="1" s="1"/>
  <c r="L9179" i="1"/>
  <c r="M9179" i="1" s="1"/>
  <c r="N9179" i="1" s="1"/>
  <c r="L9180" i="1"/>
  <c r="M9180" i="1" s="1"/>
  <c r="N9180" i="1" s="1"/>
  <c r="L9181" i="1"/>
  <c r="M9181" i="1" s="1"/>
  <c r="N9181" i="1" s="1"/>
  <c r="L9182" i="1"/>
  <c r="M9182" i="1" s="1"/>
  <c r="N9182" i="1" s="1"/>
  <c r="L9183" i="1"/>
  <c r="M9183" i="1" s="1"/>
  <c r="N9183" i="1" s="1"/>
  <c r="L9184" i="1"/>
  <c r="M9184" i="1" s="1"/>
  <c r="N9184" i="1" s="1"/>
  <c r="L9185" i="1"/>
  <c r="M9185" i="1" s="1"/>
  <c r="N9185" i="1" s="1"/>
  <c r="L9186" i="1"/>
  <c r="M9186" i="1" s="1"/>
  <c r="N9186" i="1" s="1"/>
  <c r="L9187" i="1"/>
  <c r="M9187" i="1" s="1"/>
  <c r="N9187" i="1" s="1"/>
  <c r="L9188" i="1"/>
  <c r="M9188" i="1" s="1"/>
  <c r="N9188" i="1" s="1"/>
  <c r="L9189" i="1"/>
  <c r="M9189" i="1" s="1"/>
  <c r="N9189" i="1" s="1"/>
  <c r="L9190" i="1"/>
  <c r="M9190" i="1" s="1"/>
  <c r="N9190" i="1" s="1"/>
  <c r="L9191" i="1"/>
  <c r="M9191" i="1" s="1"/>
  <c r="N9191" i="1" s="1"/>
  <c r="L9192" i="1"/>
  <c r="M9192" i="1" s="1"/>
  <c r="N9192" i="1" s="1"/>
  <c r="L9193" i="1"/>
  <c r="M9193" i="1" s="1"/>
  <c r="N9193" i="1" s="1"/>
  <c r="L9194" i="1"/>
  <c r="M9194" i="1" s="1"/>
  <c r="N9194" i="1" s="1"/>
  <c r="L9195" i="1"/>
  <c r="M9195" i="1" s="1"/>
  <c r="N9195" i="1" s="1"/>
  <c r="L9196" i="1"/>
  <c r="M9196" i="1" s="1"/>
  <c r="N9196" i="1" s="1"/>
  <c r="L9197" i="1"/>
  <c r="M9197" i="1" s="1"/>
  <c r="N9197" i="1" s="1"/>
  <c r="L9198" i="1"/>
  <c r="M9198" i="1" s="1"/>
  <c r="N9198" i="1" s="1"/>
  <c r="L9199" i="1"/>
  <c r="M9199" i="1" s="1"/>
  <c r="N9199" i="1" s="1"/>
  <c r="L9200" i="1"/>
  <c r="M9200" i="1" s="1"/>
  <c r="N9200" i="1" s="1"/>
  <c r="L9201" i="1"/>
  <c r="M9201" i="1" s="1"/>
  <c r="N9201" i="1" s="1"/>
  <c r="L9202" i="1"/>
  <c r="M9202" i="1" s="1"/>
  <c r="N9202" i="1" s="1"/>
  <c r="L9203" i="1"/>
  <c r="M9203" i="1" s="1"/>
  <c r="N9203" i="1" s="1"/>
  <c r="L9204" i="1"/>
  <c r="M9204" i="1" s="1"/>
  <c r="N9204" i="1" s="1"/>
  <c r="L9205" i="1"/>
  <c r="M9205" i="1" s="1"/>
  <c r="N9205" i="1" s="1"/>
  <c r="L9206" i="1"/>
  <c r="M9206" i="1" s="1"/>
  <c r="N9206" i="1" s="1"/>
  <c r="L9207" i="1"/>
  <c r="M9207" i="1" s="1"/>
  <c r="N9207" i="1" s="1"/>
  <c r="L9208" i="1"/>
  <c r="M9208" i="1" s="1"/>
  <c r="N9208" i="1" s="1"/>
  <c r="L9209" i="1"/>
  <c r="M9209" i="1" s="1"/>
  <c r="N9209" i="1" s="1"/>
  <c r="L9210" i="1"/>
  <c r="M9210" i="1" s="1"/>
  <c r="N9210" i="1" s="1"/>
  <c r="L9211" i="1"/>
  <c r="M9211" i="1" s="1"/>
  <c r="N9211" i="1" s="1"/>
  <c r="L9212" i="1"/>
  <c r="M9212" i="1" s="1"/>
  <c r="N9212" i="1" s="1"/>
  <c r="L9213" i="1"/>
  <c r="M9213" i="1" s="1"/>
  <c r="N9213" i="1" s="1"/>
  <c r="L9214" i="1"/>
  <c r="M9214" i="1" s="1"/>
  <c r="N9214" i="1" s="1"/>
  <c r="L9215" i="1"/>
  <c r="M9215" i="1" s="1"/>
  <c r="N9215" i="1" s="1"/>
  <c r="L9216" i="1"/>
  <c r="M9216" i="1" s="1"/>
  <c r="N9216" i="1" s="1"/>
  <c r="L9217" i="1"/>
  <c r="M9217" i="1" s="1"/>
  <c r="N9217" i="1" s="1"/>
  <c r="L9218" i="1"/>
  <c r="M9218" i="1" s="1"/>
  <c r="N9218" i="1" s="1"/>
  <c r="L9219" i="1"/>
  <c r="M9219" i="1" s="1"/>
  <c r="N9219" i="1" s="1"/>
  <c r="L9220" i="1"/>
  <c r="M9220" i="1" s="1"/>
  <c r="N9220" i="1" s="1"/>
  <c r="L9221" i="1"/>
  <c r="M9221" i="1" s="1"/>
  <c r="N9221" i="1" s="1"/>
  <c r="L9222" i="1"/>
  <c r="M9222" i="1" s="1"/>
  <c r="N9222" i="1" s="1"/>
  <c r="L9223" i="1"/>
  <c r="M9223" i="1" s="1"/>
  <c r="N9223" i="1" s="1"/>
  <c r="L9224" i="1"/>
  <c r="M9224" i="1" s="1"/>
  <c r="N9224" i="1" s="1"/>
  <c r="L9225" i="1"/>
  <c r="M9225" i="1" s="1"/>
  <c r="N9225" i="1" s="1"/>
  <c r="L9226" i="1"/>
  <c r="M9226" i="1" s="1"/>
  <c r="N9226" i="1" s="1"/>
  <c r="L9227" i="1"/>
  <c r="M9227" i="1" s="1"/>
  <c r="N9227" i="1" s="1"/>
  <c r="L9228" i="1"/>
  <c r="M9228" i="1" s="1"/>
  <c r="N9228" i="1" s="1"/>
  <c r="L9229" i="1"/>
  <c r="M9229" i="1" s="1"/>
  <c r="N9229" i="1" s="1"/>
  <c r="L9230" i="1"/>
  <c r="M9230" i="1" s="1"/>
  <c r="N9230" i="1" s="1"/>
  <c r="L9231" i="1"/>
  <c r="M9231" i="1" s="1"/>
  <c r="N9231" i="1" s="1"/>
  <c r="L9232" i="1"/>
  <c r="M9232" i="1" s="1"/>
  <c r="N9232" i="1" s="1"/>
  <c r="L9233" i="1"/>
  <c r="M9233" i="1" s="1"/>
  <c r="N9233" i="1" s="1"/>
  <c r="L9234" i="1"/>
  <c r="M9234" i="1" s="1"/>
  <c r="N9234" i="1" s="1"/>
  <c r="L9235" i="1"/>
  <c r="M9235" i="1" s="1"/>
  <c r="N9235" i="1" s="1"/>
  <c r="L9236" i="1"/>
  <c r="M9236" i="1" s="1"/>
  <c r="N9236" i="1" s="1"/>
  <c r="L9237" i="1"/>
  <c r="M9237" i="1" s="1"/>
  <c r="N9237" i="1" s="1"/>
  <c r="L9238" i="1"/>
  <c r="M9238" i="1" s="1"/>
  <c r="N9238" i="1" s="1"/>
  <c r="L9239" i="1"/>
  <c r="M9239" i="1" s="1"/>
  <c r="N9239" i="1" s="1"/>
  <c r="L9240" i="1"/>
  <c r="M9240" i="1" s="1"/>
  <c r="N9240" i="1" s="1"/>
  <c r="L9241" i="1"/>
  <c r="M9241" i="1" s="1"/>
  <c r="N9241" i="1" s="1"/>
  <c r="L9242" i="1"/>
  <c r="M9242" i="1" s="1"/>
  <c r="N9242" i="1" s="1"/>
  <c r="L9243" i="1"/>
  <c r="M9243" i="1" s="1"/>
  <c r="N9243" i="1" s="1"/>
  <c r="L9244" i="1"/>
  <c r="M9244" i="1" s="1"/>
  <c r="N9244" i="1" s="1"/>
  <c r="L9245" i="1"/>
  <c r="M9245" i="1" s="1"/>
  <c r="N9245" i="1" s="1"/>
  <c r="L9246" i="1"/>
  <c r="M9246" i="1" s="1"/>
  <c r="N9246" i="1" s="1"/>
  <c r="L9247" i="1"/>
  <c r="M9247" i="1" s="1"/>
  <c r="N9247" i="1" s="1"/>
  <c r="L9248" i="1"/>
  <c r="M9248" i="1" s="1"/>
  <c r="N9248" i="1" s="1"/>
  <c r="L9249" i="1"/>
  <c r="M9249" i="1" s="1"/>
  <c r="N9249" i="1" s="1"/>
  <c r="L9250" i="1"/>
  <c r="M9250" i="1" s="1"/>
  <c r="N9250" i="1" s="1"/>
  <c r="L9251" i="1"/>
  <c r="M9251" i="1" s="1"/>
  <c r="N9251" i="1" s="1"/>
  <c r="L9252" i="1"/>
  <c r="M9252" i="1" s="1"/>
  <c r="N9252" i="1" s="1"/>
  <c r="L9253" i="1"/>
  <c r="M9253" i="1" s="1"/>
  <c r="N9253" i="1" s="1"/>
  <c r="L9254" i="1"/>
  <c r="M9254" i="1" s="1"/>
  <c r="N9254" i="1" s="1"/>
  <c r="L9255" i="1"/>
  <c r="M9255" i="1" s="1"/>
  <c r="N9255" i="1" s="1"/>
  <c r="L9256" i="1"/>
  <c r="M9256" i="1" s="1"/>
  <c r="N9256" i="1" s="1"/>
  <c r="L9257" i="1"/>
  <c r="M9257" i="1" s="1"/>
  <c r="N9257" i="1" s="1"/>
  <c r="L9258" i="1"/>
  <c r="M9258" i="1" s="1"/>
  <c r="N9258" i="1" s="1"/>
  <c r="L9259" i="1"/>
  <c r="M9259" i="1" s="1"/>
  <c r="N9259" i="1" s="1"/>
  <c r="L9260" i="1"/>
  <c r="M9260" i="1" s="1"/>
  <c r="N9260" i="1" s="1"/>
  <c r="L9261" i="1"/>
  <c r="M9261" i="1" s="1"/>
  <c r="N9261" i="1" s="1"/>
  <c r="L9262" i="1"/>
  <c r="M9262" i="1" s="1"/>
  <c r="N9262" i="1" s="1"/>
  <c r="L9263" i="1"/>
  <c r="M9263" i="1" s="1"/>
  <c r="N9263" i="1" s="1"/>
  <c r="L9264" i="1"/>
  <c r="M9264" i="1" s="1"/>
  <c r="N9264" i="1" s="1"/>
  <c r="L9265" i="1"/>
  <c r="M9265" i="1" s="1"/>
  <c r="N9265" i="1" s="1"/>
  <c r="L9266" i="1"/>
  <c r="M9266" i="1" s="1"/>
  <c r="N9266" i="1" s="1"/>
  <c r="L9267" i="1"/>
  <c r="M9267" i="1" s="1"/>
  <c r="N9267" i="1" s="1"/>
  <c r="L9268" i="1"/>
  <c r="M9268" i="1" s="1"/>
  <c r="N9268" i="1" s="1"/>
  <c r="L9269" i="1"/>
  <c r="M9269" i="1" s="1"/>
  <c r="N9269" i="1" s="1"/>
  <c r="L9270" i="1"/>
  <c r="M9270" i="1" s="1"/>
  <c r="N9270" i="1" s="1"/>
  <c r="L9271" i="1"/>
  <c r="M9271" i="1" s="1"/>
  <c r="N9271" i="1" s="1"/>
  <c r="L9272" i="1"/>
  <c r="M9272" i="1" s="1"/>
  <c r="N9272" i="1" s="1"/>
  <c r="L9273" i="1"/>
  <c r="M9273" i="1" s="1"/>
  <c r="N9273" i="1" s="1"/>
  <c r="L9274" i="1"/>
  <c r="M9274" i="1" s="1"/>
  <c r="N9274" i="1" s="1"/>
  <c r="L9275" i="1"/>
  <c r="M9275" i="1" s="1"/>
  <c r="N9275" i="1" s="1"/>
  <c r="L9276" i="1"/>
  <c r="M9276" i="1" s="1"/>
  <c r="N9276" i="1" s="1"/>
  <c r="L9277" i="1"/>
  <c r="M9277" i="1" s="1"/>
  <c r="N9277" i="1" s="1"/>
  <c r="L9278" i="1"/>
  <c r="M9278" i="1" s="1"/>
  <c r="N9278" i="1" s="1"/>
  <c r="L9279" i="1"/>
  <c r="M9279" i="1" s="1"/>
  <c r="N9279" i="1" s="1"/>
  <c r="L9280" i="1"/>
  <c r="M9280" i="1" s="1"/>
  <c r="N9280" i="1" s="1"/>
  <c r="L9281" i="1"/>
  <c r="M9281" i="1" s="1"/>
  <c r="N9281" i="1" s="1"/>
  <c r="L9282" i="1"/>
  <c r="M9282" i="1" s="1"/>
  <c r="N9282" i="1" s="1"/>
  <c r="L9283" i="1"/>
  <c r="M9283" i="1" s="1"/>
  <c r="N9283" i="1" s="1"/>
  <c r="L9284" i="1"/>
  <c r="M9284" i="1" s="1"/>
  <c r="N9284" i="1" s="1"/>
  <c r="L9285" i="1"/>
  <c r="M9285" i="1" s="1"/>
  <c r="N9285" i="1" s="1"/>
  <c r="L9286" i="1"/>
  <c r="M9286" i="1" s="1"/>
  <c r="N9286" i="1" s="1"/>
  <c r="L9287" i="1"/>
  <c r="M9287" i="1" s="1"/>
  <c r="N9287" i="1" s="1"/>
  <c r="L9288" i="1"/>
  <c r="M9288" i="1" s="1"/>
  <c r="N9288" i="1" s="1"/>
  <c r="L9289" i="1"/>
  <c r="M9289" i="1" s="1"/>
  <c r="N9289" i="1" s="1"/>
  <c r="L9290" i="1"/>
  <c r="M9290" i="1" s="1"/>
  <c r="N9290" i="1" s="1"/>
  <c r="L9291" i="1"/>
  <c r="M9291" i="1" s="1"/>
  <c r="N9291" i="1" s="1"/>
  <c r="L9292" i="1"/>
  <c r="M9292" i="1" s="1"/>
  <c r="N9292" i="1" s="1"/>
  <c r="L9293" i="1"/>
  <c r="M9293" i="1" s="1"/>
  <c r="N9293" i="1" s="1"/>
  <c r="L9294" i="1"/>
  <c r="M9294" i="1" s="1"/>
  <c r="N9294" i="1" s="1"/>
  <c r="L9295" i="1"/>
  <c r="M9295" i="1" s="1"/>
  <c r="N9295" i="1" s="1"/>
  <c r="L9296" i="1"/>
  <c r="M9296" i="1" s="1"/>
  <c r="N9296" i="1" s="1"/>
  <c r="L9297" i="1"/>
  <c r="M9297" i="1" s="1"/>
  <c r="N9297" i="1" s="1"/>
  <c r="L9298" i="1"/>
  <c r="M9298" i="1" s="1"/>
  <c r="N9298" i="1" s="1"/>
  <c r="L9299" i="1"/>
  <c r="M9299" i="1" s="1"/>
  <c r="N9299" i="1" s="1"/>
  <c r="L9300" i="1"/>
  <c r="M9300" i="1" s="1"/>
  <c r="N9300" i="1" s="1"/>
  <c r="L9301" i="1"/>
  <c r="M9301" i="1" s="1"/>
  <c r="N9301" i="1" s="1"/>
  <c r="L9302" i="1"/>
  <c r="M9302" i="1" s="1"/>
  <c r="N9302" i="1" s="1"/>
  <c r="L9303" i="1"/>
  <c r="M9303" i="1" s="1"/>
  <c r="N9303" i="1" s="1"/>
  <c r="L9304" i="1"/>
  <c r="M9304" i="1" s="1"/>
  <c r="N9304" i="1" s="1"/>
  <c r="L9305" i="1"/>
  <c r="M9305" i="1" s="1"/>
  <c r="N9305" i="1" s="1"/>
  <c r="L9306" i="1"/>
  <c r="M9306" i="1" s="1"/>
  <c r="N9306" i="1" s="1"/>
  <c r="L9307" i="1"/>
  <c r="M9307" i="1" s="1"/>
  <c r="N9307" i="1" s="1"/>
  <c r="L9308" i="1"/>
  <c r="M9308" i="1" s="1"/>
  <c r="N9308" i="1" s="1"/>
  <c r="L9309" i="1"/>
  <c r="M9309" i="1" s="1"/>
  <c r="N9309" i="1" s="1"/>
  <c r="L9310" i="1"/>
  <c r="M9310" i="1" s="1"/>
  <c r="N9310" i="1" s="1"/>
  <c r="L9311" i="1"/>
  <c r="M9311" i="1" s="1"/>
  <c r="N9311" i="1" s="1"/>
  <c r="L9312" i="1"/>
  <c r="M9312" i="1" s="1"/>
  <c r="N9312" i="1" s="1"/>
  <c r="L9313" i="1"/>
  <c r="M9313" i="1" s="1"/>
  <c r="N9313" i="1" s="1"/>
  <c r="L9314" i="1"/>
  <c r="M9314" i="1" s="1"/>
  <c r="N9314" i="1" s="1"/>
  <c r="L9315" i="1"/>
  <c r="M9315" i="1" s="1"/>
  <c r="N9315" i="1" s="1"/>
  <c r="L9316" i="1"/>
  <c r="M9316" i="1" s="1"/>
  <c r="N9316" i="1" s="1"/>
  <c r="L9317" i="1"/>
  <c r="M9317" i="1" s="1"/>
  <c r="N9317" i="1" s="1"/>
  <c r="L9318" i="1"/>
  <c r="M9318" i="1" s="1"/>
  <c r="N9318" i="1" s="1"/>
  <c r="L9319" i="1"/>
  <c r="M9319" i="1" s="1"/>
  <c r="N9319" i="1" s="1"/>
  <c r="L9320" i="1"/>
  <c r="M9320" i="1" s="1"/>
  <c r="N9320" i="1" s="1"/>
  <c r="L9321" i="1"/>
  <c r="M9321" i="1" s="1"/>
  <c r="N9321" i="1" s="1"/>
  <c r="L9322" i="1"/>
  <c r="M9322" i="1" s="1"/>
  <c r="N9322" i="1" s="1"/>
  <c r="L9323" i="1"/>
  <c r="M9323" i="1" s="1"/>
  <c r="N9323" i="1" s="1"/>
  <c r="L9324" i="1"/>
  <c r="M9324" i="1" s="1"/>
  <c r="N9324" i="1" s="1"/>
  <c r="L9325" i="1"/>
  <c r="M9325" i="1" s="1"/>
  <c r="N9325" i="1" s="1"/>
  <c r="L9326" i="1"/>
  <c r="M9326" i="1" s="1"/>
  <c r="N9326" i="1" s="1"/>
  <c r="L9327" i="1"/>
  <c r="M9327" i="1" s="1"/>
  <c r="N9327" i="1" s="1"/>
  <c r="L9328" i="1"/>
  <c r="M9328" i="1" s="1"/>
  <c r="N9328" i="1" s="1"/>
  <c r="L9329" i="1"/>
  <c r="M9329" i="1" s="1"/>
  <c r="N9329" i="1" s="1"/>
  <c r="L9330" i="1"/>
  <c r="M9330" i="1" s="1"/>
  <c r="N9330" i="1" s="1"/>
  <c r="L9331" i="1"/>
  <c r="M9331" i="1" s="1"/>
  <c r="N9331" i="1" s="1"/>
  <c r="L9332" i="1"/>
  <c r="M9332" i="1" s="1"/>
  <c r="N9332" i="1" s="1"/>
  <c r="L9333" i="1"/>
  <c r="M9333" i="1" s="1"/>
  <c r="N9333" i="1" s="1"/>
  <c r="L9334" i="1"/>
  <c r="M9334" i="1" s="1"/>
  <c r="N9334" i="1" s="1"/>
  <c r="L9335" i="1"/>
  <c r="M9335" i="1" s="1"/>
  <c r="N9335" i="1" s="1"/>
  <c r="L9336" i="1"/>
  <c r="M9336" i="1" s="1"/>
  <c r="N9336" i="1" s="1"/>
  <c r="L9337" i="1"/>
  <c r="M9337" i="1" s="1"/>
  <c r="N9337" i="1" s="1"/>
  <c r="L9338" i="1"/>
  <c r="M9338" i="1" s="1"/>
  <c r="N9338" i="1" s="1"/>
  <c r="L9339" i="1"/>
  <c r="M9339" i="1" s="1"/>
  <c r="N9339" i="1" s="1"/>
  <c r="L9340" i="1"/>
  <c r="M9340" i="1" s="1"/>
  <c r="N9340" i="1" s="1"/>
  <c r="L9341" i="1"/>
  <c r="M9341" i="1" s="1"/>
  <c r="N9341" i="1" s="1"/>
  <c r="L9342" i="1"/>
  <c r="M9342" i="1" s="1"/>
  <c r="N9342" i="1" s="1"/>
  <c r="L9343" i="1"/>
  <c r="M9343" i="1" s="1"/>
  <c r="N9343" i="1" s="1"/>
  <c r="L9344" i="1"/>
  <c r="M9344" i="1" s="1"/>
  <c r="N9344" i="1" s="1"/>
  <c r="L9345" i="1"/>
  <c r="M9345" i="1" s="1"/>
  <c r="N9345" i="1" s="1"/>
  <c r="L9346" i="1"/>
  <c r="M9346" i="1" s="1"/>
  <c r="N9346" i="1" s="1"/>
  <c r="L9347" i="1"/>
  <c r="M9347" i="1" s="1"/>
  <c r="N9347" i="1" s="1"/>
  <c r="L9348" i="1"/>
  <c r="M9348" i="1" s="1"/>
  <c r="N9348" i="1" s="1"/>
  <c r="L9349" i="1"/>
  <c r="M9349" i="1" s="1"/>
  <c r="N9349" i="1" s="1"/>
  <c r="L9350" i="1"/>
  <c r="M9350" i="1" s="1"/>
  <c r="N9350" i="1" s="1"/>
  <c r="L9351" i="1"/>
  <c r="M9351" i="1" s="1"/>
  <c r="N9351" i="1" s="1"/>
  <c r="L9352" i="1"/>
  <c r="M9352" i="1" s="1"/>
  <c r="N9352" i="1" s="1"/>
  <c r="L9353" i="1"/>
  <c r="M9353" i="1" s="1"/>
  <c r="N9353" i="1" s="1"/>
  <c r="L9354" i="1"/>
  <c r="M9354" i="1" s="1"/>
  <c r="N9354" i="1" s="1"/>
  <c r="L9355" i="1"/>
  <c r="M9355" i="1" s="1"/>
  <c r="N9355" i="1" s="1"/>
  <c r="L9356" i="1"/>
  <c r="M9356" i="1" s="1"/>
  <c r="N9356" i="1" s="1"/>
  <c r="L9357" i="1"/>
  <c r="M9357" i="1" s="1"/>
  <c r="N9357" i="1" s="1"/>
  <c r="L9358" i="1"/>
  <c r="M9358" i="1" s="1"/>
  <c r="N9358" i="1" s="1"/>
  <c r="L9359" i="1"/>
  <c r="M9359" i="1" s="1"/>
  <c r="N9359" i="1" s="1"/>
  <c r="L9360" i="1"/>
  <c r="M9360" i="1" s="1"/>
  <c r="N9360" i="1" s="1"/>
  <c r="L9361" i="1"/>
  <c r="M9361" i="1" s="1"/>
  <c r="N9361" i="1" s="1"/>
  <c r="L9362" i="1"/>
  <c r="M9362" i="1" s="1"/>
  <c r="N9362" i="1" s="1"/>
  <c r="L9363" i="1"/>
  <c r="M9363" i="1" s="1"/>
  <c r="N9363" i="1" s="1"/>
  <c r="L9364" i="1"/>
  <c r="M9364" i="1" s="1"/>
  <c r="N9364" i="1" s="1"/>
  <c r="L9365" i="1"/>
  <c r="M9365" i="1" s="1"/>
  <c r="N9365" i="1" s="1"/>
  <c r="L9366" i="1"/>
  <c r="M9366" i="1" s="1"/>
  <c r="N9366" i="1" s="1"/>
  <c r="L9367" i="1"/>
  <c r="M9367" i="1" s="1"/>
  <c r="N9367" i="1" s="1"/>
  <c r="L9368" i="1"/>
  <c r="M9368" i="1" s="1"/>
  <c r="N9368" i="1" s="1"/>
  <c r="L9369" i="1"/>
  <c r="M9369" i="1" s="1"/>
  <c r="N9369" i="1" s="1"/>
  <c r="L9370" i="1"/>
  <c r="M9370" i="1" s="1"/>
  <c r="N9370" i="1" s="1"/>
  <c r="L9371" i="1"/>
  <c r="M9371" i="1" s="1"/>
  <c r="N9371" i="1" s="1"/>
  <c r="L9372" i="1"/>
  <c r="M9372" i="1" s="1"/>
  <c r="N9372" i="1" s="1"/>
  <c r="L9373" i="1"/>
  <c r="M9373" i="1" s="1"/>
  <c r="N9373" i="1" s="1"/>
  <c r="L9374" i="1"/>
  <c r="M9374" i="1" s="1"/>
  <c r="N9374" i="1" s="1"/>
  <c r="L9375" i="1"/>
  <c r="M9375" i="1" s="1"/>
  <c r="N9375" i="1" s="1"/>
  <c r="L9376" i="1"/>
  <c r="M9376" i="1" s="1"/>
  <c r="N9376" i="1" s="1"/>
  <c r="L9377" i="1"/>
  <c r="M9377" i="1" s="1"/>
  <c r="N9377" i="1" s="1"/>
  <c r="L9378" i="1"/>
  <c r="M9378" i="1" s="1"/>
  <c r="N9378" i="1" s="1"/>
  <c r="L9379" i="1"/>
  <c r="M9379" i="1" s="1"/>
  <c r="N9379" i="1" s="1"/>
  <c r="L9380" i="1"/>
  <c r="M9380" i="1" s="1"/>
  <c r="N9380" i="1" s="1"/>
  <c r="L9381" i="1"/>
  <c r="M9381" i="1" s="1"/>
  <c r="N9381" i="1" s="1"/>
  <c r="L9382" i="1"/>
  <c r="M9382" i="1" s="1"/>
  <c r="N9382" i="1" s="1"/>
  <c r="L9383" i="1"/>
  <c r="M9383" i="1" s="1"/>
  <c r="N9383" i="1" s="1"/>
  <c r="L9384" i="1"/>
  <c r="M9384" i="1" s="1"/>
  <c r="N9384" i="1" s="1"/>
  <c r="L9385" i="1"/>
  <c r="M9385" i="1" s="1"/>
  <c r="N9385" i="1" s="1"/>
  <c r="L9386" i="1"/>
  <c r="M9386" i="1" s="1"/>
  <c r="N9386" i="1" s="1"/>
  <c r="L9387" i="1"/>
  <c r="M9387" i="1" s="1"/>
  <c r="N9387" i="1" s="1"/>
  <c r="L9388" i="1"/>
  <c r="M9388" i="1" s="1"/>
  <c r="N9388" i="1" s="1"/>
  <c r="L9389" i="1"/>
  <c r="M9389" i="1" s="1"/>
  <c r="N9389" i="1" s="1"/>
  <c r="L9390" i="1"/>
  <c r="M9390" i="1" s="1"/>
  <c r="N9390" i="1" s="1"/>
  <c r="L9391" i="1"/>
  <c r="M9391" i="1" s="1"/>
  <c r="N9391" i="1" s="1"/>
  <c r="L9392" i="1"/>
  <c r="M9392" i="1" s="1"/>
  <c r="N9392" i="1" s="1"/>
  <c r="L9393" i="1"/>
  <c r="M9393" i="1" s="1"/>
  <c r="N9393" i="1" s="1"/>
  <c r="L9394" i="1"/>
  <c r="M9394" i="1" s="1"/>
  <c r="N9394" i="1" s="1"/>
  <c r="L9395" i="1"/>
  <c r="M9395" i="1" s="1"/>
  <c r="N9395" i="1" s="1"/>
  <c r="L9396" i="1"/>
  <c r="M9396" i="1" s="1"/>
  <c r="N9396" i="1" s="1"/>
  <c r="L9397" i="1"/>
  <c r="M9397" i="1" s="1"/>
  <c r="N9397" i="1" s="1"/>
  <c r="L9398" i="1"/>
  <c r="M9398" i="1" s="1"/>
  <c r="N9398" i="1" s="1"/>
  <c r="L9399" i="1"/>
  <c r="M9399" i="1" s="1"/>
  <c r="N9399" i="1" s="1"/>
  <c r="L9400" i="1"/>
  <c r="M9400" i="1" s="1"/>
  <c r="N9400" i="1" s="1"/>
  <c r="L9401" i="1"/>
  <c r="M9401" i="1" s="1"/>
  <c r="N9401" i="1" s="1"/>
  <c r="L9402" i="1"/>
  <c r="M9402" i="1" s="1"/>
  <c r="N9402" i="1" s="1"/>
  <c r="L9403" i="1"/>
  <c r="M9403" i="1" s="1"/>
  <c r="N9403" i="1" s="1"/>
  <c r="L9404" i="1"/>
  <c r="M9404" i="1" s="1"/>
  <c r="N9404" i="1" s="1"/>
  <c r="L9405" i="1"/>
  <c r="M9405" i="1" s="1"/>
  <c r="N9405" i="1" s="1"/>
  <c r="L9406" i="1"/>
  <c r="M9406" i="1" s="1"/>
  <c r="N9406" i="1" s="1"/>
  <c r="L9407" i="1"/>
  <c r="M9407" i="1" s="1"/>
  <c r="N9407" i="1" s="1"/>
  <c r="L9408" i="1"/>
  <c r="M9408" i="1" s="1"/>
  <c r="N9408" i="1" s="1"/>
  <c r="L9409" i="1"/>
  <c r="M9409" i="1" s="1"/>
  <c r="N9409" i="1" s="1"/>
  <c r="L9410" i="1"/>
  <c r="M9410" i="1" s="1"/>
  <c r="N9410" i="1" s="1"/>
  <c r="L9411" i="1"/>
  <c r="M9411" i="1" s="1"/>
  <c r="N9411" i="1" s="1"/>
  <c r="L9412" i="1"/>
  <c r="M9412" i="1" s="1"/>
  <c r="N9412" i="1" s="1"/>
  <c r="L9413" i="1"/>
  <c r="M9413" i="1" s="1"/>
  <c r="N9413" i="1" s="1"/>
  <c r="L9414" i="1"/>
  <c r="M9414" i="1" s="1"/>
  <c r="N9414" i="1" s="1"/>
  <c r="L9415" i="1"/>
  <c r="M9415" i="1" s="1"/>
  <c r="N9415" i="1" s="1"/>
  <c r="L9416" i="1"/>
  <c r="M9416" i="1" s="1"/>
  <c r="N9416" i="1" s="1"/>
  <c r="L9417" i="1"/>
  <c r="M9417" i="1" s="1"/>
  <c r="N9417" i="1" s="1"/>
  <c r="L9418" i="1"/>
  <c r="M9418" i="1" s="1"/>
  <c r="N9418" i="1" s="1"/>
  <c r="L9419" i="1"/>
  <c r="M9419" i="1" s="1"/>
  <c r="N9419" i="1" s="1"/>
  <c r="L9420" i="1"/>
  <c r="M9420" i="1" s="1"/>
  <c r="N9420" i="1" s="1"/>
  <c r="L9421" i="1"/>
  <c r="M9421" i="1" s="1"/>
  <c r="N9421" i="1" s="1"/>
  <c r="L9422" i="1"/>
  <c r="M9422" i="1" s="1"/>
  <c r="N9422" i="1" s="1"/>
  <c r="L9423" i="1"/>
  <c r="M9423" i="1" s="1"/>
  <c r="N9423" i="1" s="1"/>
  <c r="L9424" i="1"/>
  <c r="M9424" i="1" s="1"/>
  <c r="N9424" i="1" s="1"/>
  <c r="L9425" i="1"/>
  <c r="M9425" i="1" s="1"/>
  <c r="N9425" i="1" s="1"/>
  <c r="L9426" i="1"/>
  <c r="M9426" i="1" s="1"/>
  <c r="N9426" i="1" s="1"/>
  <c r="L9427" i="1"/>
  <c r="M9427" i="1" s="1"/>
  <c r="N9427" i="1" s="1"/>
  <c r="L9428" i="1"/>
  <c r="M9428" i="1" s="1"/>
  <c r="N9428" i="1" s="1"/>
  <c r="L9429" i="1"/>
  <c r="M9429" i="1" s="1"/>
  <c r="N9429" i="1" s="1"/>
  <c r="L9430" i="1"/>
  <c r="M9430" i="1" s="1"/>
  <c r="N9430" i="1" s="1"/>
  <c r="L9431" i="1"/>
  <c r="M9431" i="1" s="1"/>
  <c r="N9431" i="1" s="1"/>
  <c r="L9432" i="1"/>
  <c r="M9432" i="1" s="1"/>
  <c r="N9432" i="1" s="1"/>
  <c r="L9433" i="1"/>
  <c r="M9433" i="1" s="1"/>
  <c r="N9433" i="1" s="1"/>
  <c r="L9434" i="1"/>
  <c r="M9434" i="1" s="1"/>
  <c r="N9434" i="1" s="1"/>
  <c r="L9435" i="1"/>
  <c r="M9435" i="1" s="1"/>
  <c r="N9435" i="1" s="1"/>
  <c r="L9436" i="1"/>
  <c r="M9436" i="1" s="1"/>
  <c r="N9436" i="1" s="1"/>
  <c r="L9437" i="1"/>
  <c r="M9437" i="1" s="1"/>
  <c r="N9437" i="1" s="1"/>
  <c r="L9438" i="1"/>
  <c r="M9438" i="1" s="1"/>
  <c r="N9438" i="1" s="1"/>
  <c r="L9439" i="1"/>
  <c r="M9439" i="1" s="1"/>
  <c r="N9439" i="1" s="1"/>
  <c r="L9440" i="1"/>
  <c r="M9440" i="1" s="1"/>
  <c r="N9440" i="1" s="1"/>
  <c r="L9441" i="1"/>
  <c r="M9441" i="1" s="1"/>
  <c r="N9441" i="1" s="1"/>
  <c r="L9442" i="1"/>
  <c r="M9442" i="1" s="1"/>
  <c r="N9442" i="1" s="1"/>
  <c r="L9443" i="1"/>
  <c r="M9443" i="1" s="1"/>
  <c r="N9443" i="1" s="1"/>
  <c r="L9444" i="1"/>
  <c r="M9444" i="1" s="1"/>
  <c r="N9444" i="1" s="1"/>
  <c r="L9445" i="1"/>
  <c r="M9445" i="1" s="1"/>
  <c r="N9445" i="1" s="1"/>
  <c r="L9446" i="1"/>
  <c r="M9446" i="1" s="1"/>
  <c r="N9446" i="1" s="1"/>
  <c r="L9447" i="1"/>
  <c r="M9447" i="1" s="1"/>
  <c r="N9447" i="1" s="1"/>
  <c r="L9448" i="1"/>
  <c r="M9448" i="1" s="1"/>
  <c r="N9448" i="1" s="1"/>
  <c r="L9449" i="1"/>
  <c r="M9449" i="1" s="1"/>
  <c r="N9449" i="1" s="1"/>
  <c r="L9450" i="1"/>
  <c r="M9450" i="1" s="1"/>
  <c r="N9450" i="1" s="1"/>
  <c r="L9451" i="1"/>
  <c r="M9451" i="1" s="1"/>
  <c r="N9451" i="1" s="1"/>
  <c r="L9452" i="1"/>
  <c r="M9452" i="1" s="1"/>
  <c r="N9452" i="1" s="1"/>
  <c r="L9453" i="1"/>
  <c r="M9453" i="1" s="1"/>
  <c r="N9453" i="1" s="1"/>
  <c r="L9454" i="1"/>
  <c r="M9454" i="1" s="1"/>
  <c r="N9454" i="1" s="1"/>
  <c r="L9455" i="1"/>
  <c r="M9455" i="1" s="1"/>
  <c r="N9455" i="1" s="1"/>
  <c r="L9456" i="1"/>
  <c r="M9456" i="1" s="1"/>
  <c r="N9456" i="1" s="1"/>
  <c r="L9457" i="1"/>
  <c r="M9457" i="1" s="1"/>
  <c r="N9457" i="1" s="1"/>
  <c r="L9458" i="1"/>
  <c r="M9458" i="1" s="1"/>
  <c r="N9458" i="1" s="1"/>
  <c r="L9459" i="1"/>
  <c r="M9459" i="1" s="1"/>
  <c r="N9459" i="1" s="1"/>
  <c r="L9460" i="1"/>
  <c r="M9460" i="1" s="1"/>
  <c r="N9460" i="1" s="1"/>
  <c r="L9461" i="1"/>
  <c r="M9461" i="1" s="1"/>
  <c r="N9461" i="1" s="1"/>
  <c r="L9462" i="1"/>
  <c r="M9462" i="1" s="1"/>
  <c r="N9462" i="1" s="1"/>
  <c r="L9463" i="1"/>
  <c r="M9463" i="1" s="1"/>
  <c r="N9463" i="1" s="1"/>
  <c r="L9464" i="1"/>
  <c r="M9464" i="1" s="1"/>
  <c r="N9464" i="1" s="1"/>
  <c r="L9465" i="1"/>
  <c r="M9465" i="1" s="1"/>
  <c r="N9465" i="1" s="1"/>
  <c r="L9466" i="1"/>
  <c r="M9466" i="1" s="1"/>
  <c r="N9466" i="1" s="1"/>
  <c r="L9467" i="1"/>
  <c r="M9467" i="1" s="1"/>
  <c r="N9467" i="1" s="1"/>
  <c r="L9468" i="1"/>
  <c r="M9468" i="1" s="1"/>
  <c r="N9468" i="1" s="1"/>
  <c r="L9469" i="1"/>
  <c r="M9469" i="1" s="1"/>
  <c r="N9469" i="1" s="1"/>
  <c r="L9470" i="1"/>
  <c r="M9470" i="1" s="1"/>
  <c r="N9470" i="1" s="1"/>
  <c r="L9471" i="1"/>
  <c r="M9471" i="1" s="1"/>
  <c r="N9471" i="1" s="1"/>
  <c r="L9472" i="1"/>
  <c r="M9472" i="1" s="1"/>
  <c r="N9472" i="1" s="1"/>
  <c r="L9473" i="1"/>
  <c r="M9473" i="1" s="1"/>
  <c r="N9473" i="1" s="1"/>
  <c r="L9474" i="1"/>
  <c r="M9474" i="1" s="1"/>
  <c r="N9474" i="1" s="1"/>
  <c r="L9475" i="1"/>
  <c r="M9475" i="1" s="1"/>
  <c r="N9475" i="1" s="1"/>
  <c r="L9476" i="1"/>
  <c r="M9476" i="1" s="1"/>
  <c r="N9476" i="1" s="1"/>
  <c r="L9477" i="1"/>
  <c r="M9477" i="1" s="1"/>
  <c r="N9477" i="1" s="1"/>
  <c r="L9478" i="1"/>
  <c r="M9478" i="1" s="1"/>
  <c r="N9478" i="1" s="1"/>
  <c r="L9479" i="1"/>
  <c r="M9479" i="1" s="1"/>
  <c r="N9479" i="1" s="1"/>
  <c r="L9480" i="1"/>
  <c r="M9480" i="1" s="1"/>
  <c r="N9480" i="1" s="1"/>
  <c r="L9481" i="1"/>
  <c r="M9481" i="1" s="1"/>
  <c r="N9481" i="1" s="1"/>
  <c r="L9482" i="1"/>
  <c r="M9482" i="1" s="1"/>
  <c r="N9482" i="1" s="1"/>
  <c r="L9483" i="1"/>
  <c r="M9483" i="1" s="1"/>
  <c r="N9483" i="1" s="1"/>
  <c r="L9484" i="1"/>
  <c r="M9484" i="1" s="1"/>
  <c r="N9484" i="1" s="1"/>
  <c r="L9485" i="1"/>
  <c r="M9485" i="1" s="1"/>
  <c r="N9485" i="1" s="1"/>
  <c r="L9486" i="1"/>
  <c r="M9486" i="1" s="1"/>
  <c r="N9486" i="1" s="1"/>
  <c r="L9487" i="1"/>
  <c r="M9487" i="1" s="1"/>
  <c r="N9487" i="1" s="1"/>
  <c r="L9488" i="1"/>
  <c r="M9488" i="1" s="1"/>
  <c r="N9488" i="1" s="1"/>
  <c r="L9489" i="1"/>
  <c r="M9489" i="1" s="1"/>
  <c r="N9489" i="1" s="1"/>
  <c r="L9490" i="1"/>
  <c r="M9490" i="1" s="1"/>
  <c r="N9490" i="1" s="1"/>
  <c r="L9491" i="1"/>
  <c r="M9491" i="1" s="1"/>
  <c r="N9491" i="1" s="1"/>
  <c r="L9492" i="1"/>
  <c r="M9492" i="1" s="1"/>
  <c r="N9492" i="1" s="1"/>
  <c r="L9493" i="1"/>
  <c r="M9493" i="1" s="1"/>
  <c r="N9493" i="1" s="1"/>
  <c r="L9494" i="1"/>
  <c r="M9494" i="1" s="1"/>
  <c r="N9494" i="1" s="1"/>
  <c r="L9495" i="1"/>
  <c r="M9495" i="1" s="1"/>
  <c r="N9495" i="1" s="1"/>
  <c r="L9496" i="1"/>
  <c r="M9496" i="1" s="1"/>
  <c r="N9496" i="1" s="1"/>
  <c r="L9497" i="1"/>
  <c r="M9497" i="1" s="1"/>
  <c r="N9497" i="1" s="1"/>
  <c r="L9498" i="1"/>
  <c r="M9498" i="1" s="1"/>
  <c r="N9498" i="1" s="1"/>
  <c r="L9499" i="1"/>
  <c r="M9499" i="1" s="1"/>
  <c r="N9499" i="1" s="1"/>
  <c r="L9500" i="1"/>
  <c r="M9500" i="1" s="1"/>
  <c r="N9500" i="1" s="1"/>
  <c r="L9501" i="1"/>
  <c r="M9501" i="1" s="1"/>
  <c r="N9501" i="1" s="1"/>
  <c r="L9502" i="1"/>
  <c r="M9502" i="1" s="1"/>
  <c r="N9502" i="1" s="1"/>
  <c r="L9503" i="1"/>
  <c r="M9503" i="1" s="1"/>
  <c r="N9503" i="1" s="1"/>
  <c r="L9504" i="1"/>
  <c r="M9504" i="1" s="1"/>
  <c r="N9504" i="1" s="1"/>
  <c r="L9505" i="1"/>
  <c r="M9505" i="1" s="1"/>
  <c r="N9505" i="1" s="1"/>
  <c r="L9506" i="1"/>
  <c r="M9506" i="1" s="1"/>
  <c r="N9506" i="1" s="1"/>
  <c r="L9507" i="1"/>
  <c r="M9507" i="1" s="1"/>
  <c r="N9507" i="1" s="1"/>
  <c r="L9508" i="1"/>
  <c r="M9508" i="1" s="1"/>
  <c r="N9508" i="1" s="1"/>
  <c r="L9509" i="1"/>
  <c r="M9509" i="1" s="1"/>
  <c r="N9509" i="1" s="1"/>
  <c r="L9510" i="1"/>
  <c r="M9510" i="1" s="1"/>
  <c r="N9510" i="1" s="1"/>
  <c r="L9511" i="1"/>
  <c r="M9511" i="1" s="1"/>
  <c r="N9511" i="1" s="1"/>
  <c r="L9512" i="1"/>
  <c r="M9512" i="1" s="1"/>
  <c r="N9512" i="1" s="1"/>
  <c r="L9513" i="1"/>
  <c r="M9513" i="1" s="1"/>
  <c r="N9513" i="1" s="1"/>
  <c r="L9514" i="1"/>
  <c r="M9514" i="1" s="1"/>
  <c r="N9514" i="1" s="1"/>
  <c r="L9515" i="1"/>
  <c r="M9515" i="1" s="1"/>
  <c r="N9515" i="1" s="1"/>
  <c r="L9516" i="1"/>
  <c r="M9516" i="1" s="1"/>
  <c r="N9516" i="1" s="1"/>
  <c r="L9517" i="1"/>
  <c r="M9517" i="1" s="1"/>
  <c r="N9517" i="1" s="1"/>
  <c r="L9518" i="1"/>
  <c r="M9518" i="1" s="1"/>
  <c r="N9518" i="1" s="1"/>
  <c r="L9519" i="1"/>
  <c r="M9519" i="1" s="1"/>
  <c r="N9519" i="1" s="1"/>
  <c r="L9520" i="1"/>
  <c r="M9520" i="1" s="1"/>
  <c r="N9520" i="1" s="1"/>
  <c r="L9521" i="1"/>
  <c r="M9521" i="1" s="1"/>
  <c r="N9521" i="1" s="1"/>
  <c r="L9522" i="1"/>
  <c r="M9522" i="1" s="1"/>
  <c r="N9522" i="1" s="1"/>
  <c r="L9523" i="1"/>
  <c r="M9523" i="1" s="1"/>
  <c r="N9523" i="1" s="1"/>
  <c r="L9524" i="1"/>
  <c r="M9524" i="1" s="1"/>
  <c r="N9524" i="1" s="1"/>
  <c r="L9525" i="1"/>
  <c r="M9525" i="1" s="1"/>
  <c r="N9525" i="1" s="1"/>
  <c r="L9526" i="1"/>
  <c r="M9526" i="1" s="1"/>
  <c r="N9526" i="1" s="1"/>
  <c r="L9527" i="1"/>
  <c r="M9527" i="1" s="1"/>
  <c r="N9527" i="1" s="1"/>
  <c r="L9528" i="1"/>
  <c r="M9528" i="1" s="1"/>
  <c r="N9528" i="1" s="1"/>
  <c r="L9529" i="1"/>
  <c r="M9529" i="1" s="1"/>
  <c r="N9529" i="1" s="1"/>
  <c r="L9530" i="1"/>
  <c r="M9530" i="1" s="1"/>
  <c r="N9530" i="1" s="1"/>
  <c r="L9531" i="1"/>
  <c r="M9531" i="1" s="1"/>
  <c r="N9531" i="1" s="1"/>
  <c r="L9532" i="1"/>
  <c r="M9532" i="1" s="1"/>
  <c r="N9532" i="1" s="1"/>
  <c r="L9533" i="1"/>
  <c r="M9533" i="1" s="1"/>
  <c r="N9533" i="1" s="1"/>
  <c r="L9534" i="1"/>
  <c r="M9534" i="1" s="1"/>
  <c r="N9534" i="1" s="1"/>
  <c r="L9535" i="1"/>
  <c r="M9535" i="1" s="1"/>
  <c r="N9535" i="1" s="1"/>
  <c r="L9536" i="1"/>
  <c r="M9536" i="1" s="1"/>
  <c r="N9536" i="1" s="1"/>
  <c r="L9537" i="1"/>
  <c r="M9537" i="1" s="1"/>
  <c r="N9537" i="1" s="1"/>
  <c r="L9538" i="1"/>
  <c r="M9538" i="1" s="1"/>
  <c r="N9538" i="1" s="1"/>
  <c r="L9539" i="1"/>
  <c r="M9539" i="1" s="1"/>
  <c r="N9539" i="1" s="1"/>
  <c r="L9540" i="1"/>
  <c r="M9540" i="1" s="1"/>
  <c r="N9540" i="1" s="1"/>
  <c r="L9541" i="1"/>
  <c r="M9541" i="1" s="1"/>
  <c r="N9541" i="1" s="1"/>
  <c r="L9542" i="1"/>
  <c r="M9542" i="1" s="1"/>
  <c r="N9542" i="1" s="1"/>
  <c r="L9543" i="1"/>
  <c r="M9543" i="1" s="1"/>
  <c r="N9543" i="1" s="1"/>
  <c r="L9544" i="1"/>
  <c r="M9544" i="1" s="1"/>
  <c r="N9544" i="1" s="1"/>
  <c r="L9545" i="1"/>
  <c r="M9545" i="1" s="1"/>
  <c r="N9545" i="1" s="1"/>
  <c r="L9546" i="1"/>
  <c r="M9546" i="1" s="1"/>
  <c r="N9546" i="1" s="1"/>
  <c r="L9547" i="1"/>
  <c r="M9547" i="1" s="1"/>
  <c r="N9547" i="1" s="1"/>
  <c r="L9548" i="1"/>
  <c r="M9548" i="1" s="1"/>
  <c r="N9548" i="1" s="1"/>
  <c r="L9549" i="1"/>
  <c r="M9549" i="1" s="1"/>
  <c r="N9549" i="1" s="1"/>
  <c r="L9550" i="1"/>
  <c r="M9550" i="1" s="1"/>
  <c r="N9550" i="1" s="1"/>
  <c r="L9551" i="1"/>
  <c r="M9551" i="1" s="1"/>
  <c r="N9551" i="1" s="1"/>
  <c r="L9552" i="1"/>
  <c r="M9552" i="1" s="1"/>
  <c r="N9552" i="1" s="1"/>
  <c r="L9553" i="1"/>
  <c r="M9553" i="1" s="1"/>
  <c r="N9553" i="1" s="1"/>
  <c r="L9554" i="1"/>
  <c r="M9554" i="1" s="1"/>
  <c r="N9554" i="1" s="1"/>
  <c r="L9555" i="1"/>
  <c r="M9555" i="1" s="1"/>
  <c r="N9555" i="1" s="1"/>
  <c r="L9556" i="1"/>
  <c r="M9556" i="1" s="1"/>
  <c r="N9556" i="1" s="1"/>
  <c r="L9557" i="1"/>
  <c r="M9557" i="1" s="1"/>
  <c r="N9557" i="1" s="1"/>
  <c r="L9558" i="1"/>
  <c r="M9558" i="1" s="1"/>
  <c r="N9558" i="1" s="1"/>
  <c r="L9559" i="1"/>
  <c r="M9559" i="1" s="1"/>
  <c r="N9559" i="1" s="1"/>
  <c r="L9560" i="1"/>
  <c r="M9560" i="1" s="1"/>
  <c r="N9560" i="1" s="1"/>
  <c r="L9561" i="1"/>
  <c r="M9561" i="1" s="1"/>
  <c r="N9561" i="1" s="1"/>
  <c r="L9562" i="1"/>
  <c r="M9562" i="1" s="1"/>
  <c r="N9562" i="1" s="1"/>
  <c r="L9563" i="1"/>
  <c r="M9563" i="1" s="1"/>
  <c r="N9563" i="1" s="1"/>
  <c r="L9564" i="1"/>
  <c r="M9564" i="1" s="1"/>
  <c r="N9564" i="1" s="1"/>
  <c r="L9565" i="1"/>
  <c r="M9565" i="1" s="1"/>
  <c r="N9565" i="1" s="1"/>
  <c r="L9566" i="1"/>
  <c r="M9566" i="1" s="1"/>
  <c r="N9566" i="1" s="1"/>
  <c r="L9567" i="1"/>
  <c r="M9567" i="1" s="1"/>
  <c r="N9567" i="1" s="1"/>
  <c r="L9568" i="1"/>
  <c r="M9568" i="1" s="1"/>
  <c r="N9568" i="1" s="1"/>
  <c r="L9569" i="1"/>
  <c r="M9569" i="1" s="1"/>
  <c r="N9569" i="1" s="1"/>
  <c r="L9570" i="1"/>
  <c r="M9570" i="1" s="1"/>
  <c r="N9570" i="1" s="1"/>
  <c r="L9571" i="1"/>
  <c r="M9571" i="1" s="1"/>
  <c r="N9571" i="1" s="1"/>
  <c r="L9572" i="1"/>
  <c r="M9572" i="1" s="1"/>
  <c r="N9572" i="1" s="1"/>
  <c r="L9573" i="1"/>
  <c r="M9573" i="1" s="1"/>
  <c r="N9573" i="1" s="1"/>
  <c r="L9574" i="1"/>
  <c r="M9574" i="1" s="1"/>
  <c r="N9574" i="1" s="1"/>
  <c r="L9575" i="1"/>
  <c r="M9575" i="1" s="1"/>
  <c r="N9575" i="1" s="1"/>
  <c r="L9576" i="1"/>
  <c r="M9576" i="1" s="1"/>
  <c r="N9576" i="1" s="1"/>
  <c r="L9577" i="1"/>
  <c r="M9577" i="1" s="1"/>
  <c r="N9577" i="1" s="1"/>
  <c r="L9578" i="1"/>
  <c r="M9578" i="1" s="1"/>
  <c r="N9578" i="1" s="1"/>
  <c r="L9579" i="1"/>
  <c r="M9579" i="1" s="1"/>
  <c r="N9579" i="1" s="1"/>
  <c r="L9580" i="1"/>
  <c r="M9580" i="1" s="1"/>
  <c r="N9580" i="1" s="1"/>
  <c r="L9581" i="1"/>
  <c r="M9581" i="1" s="1"/>
  <c r="N9581" i="1" s="1"/>
  <c r="L9582" i="1"/>
  <c r="M9582" i="1" s="1"/>
  <c r="N9582" i="1" s="1"/>
  <c r="L9583" i="1"/>
  <c r="M9583" i="1" s="1"/>
  <c r="N9583" i="1" s="1"/>
  <c r="L9584" i="1"/>
  <c r="M9584" i="1" s="1"/>
  <c r="N9584" i="1" s="1"/>
  <c r="L9585" i="1"/>
  <c r="M9585" i="1" s="1"/>
  <c r="N9585" i="1" s="1"/>
  <c r="L9586" i="1"/>
  <c r="M9586" i="1" s="1"/>
  <c r="N9586" i="1" s="1"/>
  <c r="L9587" i="1"/>
  <c r="M9587" i="1" s="1"/>
  <c r="N9587" i="1" s="1"/>
  <c r="L9588" i="1"/>
  <c r="M9588" i="1" s="1"/>
  <c r="N9588" i="1" s="1"/>
  <c r="L9589" i="1"/>
  <c r="M9589" i="1" s="1"/>
  <c r="N9589" i="1" s="1"/>
  <c r="L9590" i="1"/>
  <c r="M9590" i="1" s="1"/>
  <c r="N9590" i="1" s="1"/>
  <c r="L9591" i="1"/>
  <c r="M9591" i="1" s="1"/>
  <c r="N9591" i="1" s="1"/>
  <c r="L9592" i="1"/>
  <c r="M9592" i="1" s="1"/>
  <c r="N9592" i="1" s="1"/>
  <c r="L9593" i="1"/>
  <c r="M9593" i="1" s="1"/>
  <c r="N9593" i="1" s="1"/>
  <c r="L9594" i="1"/>
  <c r="M9594" i="1" s="1"/>
  <c r="N9594" i="1" s="1"/>
  <c r="L9595" i="1"/>
  <c r="M9595" i="1" s="1"/>
  <c r="N9595" i="1" s="1"/>
  <c r="L9596" i="1"/>
  <c r="M9596" i="1" s="1"/>
  <c r="N9596" i="1" s="1"/>
  <c r="L9597" i="1"/>
  <c r="M9597" i="1" s="1"/>
  <c r="N9597" i="1" s="1"/>
  <c r="L9598" i="1"/>
  <c r="M9598" i="1" s="1"/>
  <c r="N9598" i="1" s="1"/>
  <c r="L9599" i="1"/>
  <c r="M9599" i="1" s="1"/>
  <c r="N9599" i="1" s="1"/>
  <c r="L9600" i="1"/>
  <c r="M9600" i="1" s="1"/>
  <c r="N9600" i="1" s="1"/>
  <c r="L9601" i="1"/>
  <c r="M9601" i="1" s="1"/>
  <c r="N9601" i="1" s="1"/>
  <c r="L9602" i="1"/>
  <c r="M9602" i="1" s="1"/>
  <c r="N9602" i="1" s="1"/>
  <c r="L9603" i="1"/>
  <c r="M9603" i="1" s="1"/>
  <c r="N9603" i="1" s="1"/>
  <c r="L9604" i="1"/>
  <c r="M9604" i="1" s="1"/>
  <c r="N9604" i="1" s="1"/>
  <c r="L9605" i="1"/>
  <c r="M9605" i="1" s="1"/>
  <c r="N9605" i="1" s="1"/>
  <c r="L9606" i="1"/>
  <c r="M9606" i="1" s="1"/>
  <c r="N9606" i="1" s="1"/>
  <c r="L9607" i="1"/>
  <c r="M9607" i="1" s="1"/>
  <c r="N9607" i="1" s="1"/>
  <c r="L9608" i="1"/>
  <c r="M9608" i="1" s="1"/>
  <c r="N9608" i="1" s="1"/>
  <c r="L9609" i="1"/>
  <c r="M9609" i="1" s="1"/>
  <c r="N9609" i="1" s="1"/>
  <c r="L9610" i="1"/>
  <c r="M9610" i="1" s="1"/>
  <c r="N9610" i="1" s="1"/>
  <c r="L9611" i="1"/>
  <c r="M9611" i="1" s="1"/>
  <c r="N9611" i="1" s="1"/>
  <c r="L9612" i="1"/>
  <c r="M9612" i="1" s="1"/>
  <c r="N9612" i="1" s="1"/>
  <c r="L9613" i="1"/>
  <c r="M9613" i="1" s="1"/>
  <c r="N9613" i="1" s="1"/>
  <c r="L9614" i="1"/>
  <c r="M9614" i="1" s="1"/>
  <c r="N9614" i="1" s="1"/>
  <c r="L9615" i="1"/>
  <c r="M9615" i="1" s="1"/>
  <c r="N9615" i="1" s="1"/>
  <c r="L9616" i="1"/>
  <c r="M9616" i="1" s="1"/>
  <c r="N9616" i="1" s="1"/>
  <c r="L9617" i="1"/>
  <c r="M9617" i="1" s="1"/>
  <c r="N9617" i="1" s="1"/>
  <c r="L9618" i="1"/>
  <c r="M9618" i="1" s="1"/>
  <c r="N9618" i="1" s="1"/>
  <c r="L9619" i="1"/>
  <c r="M9619" i="1" s="1"/>
  <c r="N9619" i="1" s="1"/>
  <c r="L9620" i="1"/>
  <c r="M9620" i="1" s="1"/>
  <c r="N9620" i="1" s="1"/>
  <c r="L9621" i="1"/>
  <c r="M9621" i="1" s="1"/>
  <c r="N9621" i="1" s="1"/>
  <c r="L9622" i="1"/>
  <c r="M9622" i="1" s="1"/>
  <c r="N9622" i="1" s="1"/>
  <c r="L9623" i="1"/>
  <c r="M9623" i="1" s="1"/>
  <c r="N9623" i="1" s="1"/>
  <c r="L9624" i="1"/>
  <c r="M9624" i="1" s="1"/>
  <c r="N9624" i="1" s="1"/>
  <c r="L9625" i="1"/>
  <c r="M9625" i="1" s="1"/>
  <c r="N9625" i="1" s="1"/>
  <c r="L9626" i="1"/>
  <c r="M9626" i="1" s="1"/>
  <c r="N9626" i="1" s="1"/>
  <c r="L9627" i="1"/>
  <c r="M9627" i="1" s="1"/>
  <c r="N9627" i="1" s="1"/>
  <c r="L9628" i="1"/>
  <c r="M9628" i="1" s="1"/>
  <c r="N9628" i="1" s="1"/>
  <c r="L9629" i="1"/>
  <c r="M9629" i="1" s="1"/>
  <c r="N9629" i="1" s="1"/>
  <c r="L9630" i="1"/>
  <c r="M9630" i="1" s="1"/>
  <c r="N9630" i="1" s="1"/>
  <c r="L9631" i="1"/>
  <c r="M9631" i="1" s="1"/>
  <c r="N9631" i="1" s="1"/>
  <c r="L9632" i="1"/>
  <c r="M9632" i="1" s="1"/>
  <c r="N9632" i="1" s="1"/>
  <c r="L9633" i="1"/>
  <c r="M9633" i="1" s="1"/>
  <c r="N9633" i="1" s="1"/>
  <c r="L9634" i="1"/>
  <c r="M9634" i="1" s="1"/>
  <c r="N9634" i="1" s="1"/>
  <c r="L9635" i="1"/>
  <c r="M9635" i="1" s="1"/>
  <c r="N9635" i="1" s="1"/>
  <c r="L9636" i="1"/>
  <c r="M9636" i="1" s="1"/>
  <c r="N9636" i="1" s="1"/>
  <c r="L9637" i="1"/>
  <c r="M9637" i="1" s="1"/>
  <c r="N9637" i="1" s="1"/>
  <c r="L9638" i="1"/>
  <c r="M9638" i="1" s="1"/>
  <c r="N9638" i="1" s="1"/>
  <c r="L9639" i="1"/>
  <c r="M9639" i="1" s="1"/>
  <c r="N9639" i="1" s="1"/>
  <c r="L9640" i="1"/>
  <c r="M9640" i="1" s="1"/>
  <c r="N9640" i="1" s="1"/>
  <c r="L9641" i="1"/>
  <c r="M9641" i="1" s="1"/>
  <c r="N9641" i="1" s="1"/>
  <c r="L9642" i="1"/>
  <c r="M9642" i="1" s="1"/>
  <c r="N9642" i="1" s="1"/>
  <c r="L9643" i="1"/>
  <c r="M9643" i="1" s="1"/>
  <c r="N9643" i="1" s="1"/>
  <c r="L9644" i="1"/>
  <c r="M9644" i="1" s="1"/>
  <c r="N9644" i="1" s="1"/>
  <c r="L9645" i="1"/>
  <c r="M9645" i="1" s="1"/>
  <c r="N9645" i="1" s="1"/>
  <c r="L9646" i="1"/>
  <c r="M9646" i="1" s="1"/>
  <c r="N9646" i="1" s="1"/>
  <c r="L9647" i="1"/>
  <c r="M9647" i="1" s="1"/>
  <c r="N9647" i="1" s="1"/>
  <c r="L9648" i="1"/>
  <c r="M9648" i="1" s="1"/>
  <c r="N9648" i="1" s="1"/>
  <c r="L9649" i="1"/>
  <c r="M9649" i="1" s="1"/>
  <c r="N9649" i="1" s="1"/>
  <c r="L9650" i="1"/>
  <c r="M9650" i="1" s="1"/>
  <c r="N9650" i="1" s="1"/>
  <c r="L9651" i="1"/>
  <c r="M9651" i="1" s="1"/>
  <c r="N9651" i="1" s="1"/>
  <c r="L9652" i="1"/>
  <c r="M9652" i="1" s="1"/>
  <c r="N9652" i="1" s="1"/>
  <c r="L9653" i="1"/>
  <c r="M9653" i="1" s="1"/>
  <c r="N9653" i="1" s="1"/>
  <c r="L9654" i="1"/>
  <c r="M9654" i="1" s="1"/>
  <c r="N9654" i="1" s="1"/>
  <c r="L9655" i="1"/>
  <c r="M9655" i="1" s="1"/>
  <c r="N9655" i="1" s="1"/>
  <c r="L9656" i="1"/>
  <c r="M9656" i="1" s="1"/>
  <c r="N9656" i="1" s="1"/>
  <c r="L9657" i="1"/>
  <c r="M9657" i="1" s="1"/>
  <c r="N9657" i="1" s="1"/>
  <c r="L9658" i="1"/>
  <c r="M9658" i="1" s="1"/>
  <c r="N9658" i="1" s="1"/>
  <c r="L9659" i="1"/>
  <c r="M9659" i="1" s="1"/>
  <c r="N9659" i="1" s="1"/>
  <c r="L9660" i="1"/>
  <c r="M9660" i="1" s="1"/>
  <c r="N9660" i="1" s="1"/>
  <c r="L9661" i="1"/>
  <c r="M9661" i="1" s="1"/>
  <c r="N9661" i="1" s="1"/>
  <c r="L9662" i="1"/>
  <c r="M9662" i="1" s="1"/>
  <c r="N9662" i="1" s="1"/>
  <c r="L9663" i="1"/>
  <c r="M9663" i="1" s="1"/>
  <c r="N9663" i="1" s="1"/>
  <c r="L9664" i="1"/>
  <c r="M9664" i="1" s="1"/>
  <c r="N9664" i="1" s="1"/>
  <c r="L9665" i="1"/>
  <c r="M9665" i="1" s="1"/>
  <c r="N9665" i="1" s="1"/>
  <c r="L9666" i="1"/>
  <c r="M9666" i="1" s="1"/>
  <c r="N9666" i="1" s="1"/>
  <c r="L9667" i="1"/>
  <c r="M9667" i="1" s="1"/>
  <c r="N9667" i="1" s="1"/>
  <c r="L9668" i="1"/>
  <c r="M9668" i="1" s="1"/>
  <c r="N9668" i="1" s="1"/>
  <c r="L9669" i="1"/>
  <c r="M9669" i="1" s="1"/>
  <c r="N9669" i="1" s="1"/>
  <c r="L9670" i="1"/>
  <c r="M9670" i="1" s="1"/>
  <c r="N9670" i="1" s="1"/>
  <c r="L9671" i="1"/>
  <c r="M9671" i="1" s="1"/>
  <c r="N9671" i="1" s="1"/>
  <c r="L9672" i="1"/>
  <c r="M9672" i="1" s="1"/>
  <c r="N9672" i="1" s="1"/>
  <c r="L9673" i="1"/>
  <c r="M9673" i="1" s="1"/>
  <c r="N9673" i="1" s="1"/>
  <c r="L9674" i="1"/>
  <c r="M9674" i="1" s="1"/>
  <c r="N9674" i="1" s="1"/>
  <c r="L9675" i="1"/>
  <c r="M9675" i="1" s="1"/>
  <c r="N9675" i="1" s="1"/>
  <c r="L9676" i="1"/>
  <c r="M9676" i="1" s="1"/>
  <c r="N9676" i="1" s="1"/>
  <c r="L9677" i="1"/>
  <c r="M9677" i="1" s="1"/>
  <c r="N9677" i="1" s="1"/>
  <c r="L9678" i="1"/>
  <c r="M9678" i="1" s="1"/>
  <c r="N9678" i="1" s="1"/>
  <c r="L9679" i="1"/>
  <c r="M9679" i="1" s="1"/>
  <c r="N9679" i="1" s="1"/>
  <c r="L9680" i="1"/>
  <c r="M9680" i="1" s="1"/>
  <c r="N9680" i="1" s="1"/>
  <c r="L9681" i="1"/>
  <c r="M9681" i="1" s="1"/>
  <c r="N9681" i="1" s="1"/>
  <c r="L9682" i="1"/>
  <c r="M9682" i="1" s="1"/>
  <c r="N9682" i="1" s="1"/>
  <c r="L9683" i="1"/>
  <c r="M9683" i="1" s="1"/>
  <c r="N9683" i="1" s="1"/>
  <c r="L9684" i="1"/>
  <c r="M9684" i="1" s="1"/>
  <c r="N9684" i="1" s="1"/>
  <c r="L9685" i="1"/>
  <c r="M9685" i="1" s="1"/>
  <c r="N9685" i="1" s="1"/>
  <c r="L9686" i="1"/>
  <c r="M9686" i="1" s="1"/>
  <c r="N9686" i="1" s="1"/>
  <c r="L9687" i="1"/>
  <c r="M9687" i="1" s="1"/>
  <c r="N9687" i="1" s="1"/>
  <c r="L9688" i="1"/>
  <c r="M9688" i="1" s="1"/>
  <c r="N9688" i="1" s="1"/>
  <c r="L9689" i="1"/>
  <c r="M9689" i="1" s="1"/>
  <c r="N9689" i="1" s="1"/>
  <c r="L9690" i="1"/>
  <c r="M9690" i="1" s="1"/>
  <c r="N9690" i="1" s="1"/>
  <c r="L9691" i="1"/>
  <c r="M9691" i="1" s="1"/>
  <c r="N9691" i="1" s="1"/>
  <c r="L9692" i="1"/>
  <c r="M9692" i="1" s="1"/>
  <c r="N9692" i="1" s="1"/>
  <c r="L9693" i="1"/>
  <c r="M9693" i="1" s="1"/>
  <c r="N9693" i="1" s="1"/>
  <c r="L9694" i="1"/>
  <c r="M9694" i="1" s="1"/>
  <c r="N9694" i="1" s="1"/>
  <c r="L9695" i="1"/>
  <c r="M9695" i="1" s="1"/>
  <c r="N9695" i="1" s="1"/>
  <c r="L9696" i="1"/>
  <c r="M9696" i="1" s="1"/>
  <c r="N9696" i="1" s="1"/>
  <c r="L9697" i="1"/>
  <c r="M9697" i="1" s="1"/>
  <c r="N9697" i="1" s="1"/>
  <c r="L9698" i="1"/>
  <c r="M9698" i="1" s="1"/>
  <c r="N9698" i="1" s="1"/>
  <c r="L9699" i="1"/>
  <c r="M9699" i="1" s="1"/>
  <c r="N9699" i="1" s="1"/>
  <c r="L9700" i="1"/>
  <c r="M9700" i="1" s="1"/>
  <c r="N9700" i="1" s="1"/>
  <c r="L9701" i="1"/>
  <c r="M9701" i="1" s="1"/>
  <c r="N9701" i="1" s="1"/>
  <c r="L9702" i="1"/>
  <c r="M9702" i="1" s="1"/>
  <c r="N9702" i="1" s="1"/>
  <c r="L9703" i="1"/>
  <c r="M9703" i="1" s="1"/>
  <c r="N9703" i="1" s="1"/>
  <c r="L9704" i="1"/>
  <c r="M9704" i="1" s="1"/>
  <c r="N9704" i="1" s="1"/>
  <c r="L9705" i="1"/>
  <c r="M9705" i="1" s="1"/>
  <c r="N9705" i="1" s="1"/>
  <c r="L9706" i="1"/>
  <c r="M9706" i="1" s="1"/>
  <c r="N9706" i="1" s="1"/>
  <c r="L9707" i="1"/>
  <c r="M9707" i="1" s="1"/>
  <c r="N9707" i="1" s="1"/>
  <c r="L9708" i="1"/>
  <c r="M9708" i="1" s="1"/>
  <c r="N9708" i="1" s="1"/>
  <c r="L9709" i="1"/>
  <c r="M9709" i="1" s="1"/>
  <c r="N9709" i="1" s="1"/>
  <c r="L9710" i="1"/>
  <c r="M9710" i="1" s="1"/>
  <c r="N9710" i="1" s="1"/>
  <c r="L9711" i="1"/>
  <c r="M9711" i="1" s="1"/>
  <c r="N9711" i="1" s="1"/>
  <c r="L9712" i="1"/>
  <c r="M9712" i="1" s="1"/>
  <c r="N9712" i="1" s="1"/>
  <c r="L9713" i="1"/>
  <c r="M9713" i="1" s="1"/>
  <c r="N9713" i="1" s="1"/>
  <c r="L9714" i="1"/>
  <c r="M9714" i="1" s="1"/>
  <c r="N9714" i="1" s="1"/>
  <c r="L9715" i="1"/>
  <c r="M9715" i="1" s="1"/>
  <c r="N9715" i="1" s="1"/>
  <c r="L9716" i="1"/>
  <c r="M9716" i="1" s="1"/>
  <c r="N9716" i="1" s="1"/>
  <c r="L9717" i="1"/>
  <c r="M9717" i="1" s="1"/>
  <c r="N9717" i="1" s="1"/>
  <c r="L9718" i="1"/>
  <c r="M9718" i="1" s="1"/>
  <c r="N9718" i="1" s="1"/>
  <c r="L9719" i="1"/>
  <c r="M9719" i="1" s="1"/>
  <c r="N9719" i="1" s="1"/>
  <c r="L9720" i="1"/>
  <c r="M9720" i="1" s="1"/>
  <c r="N9720" i="1" s="1"/>
  <c r="L9721" i="1"/>
  <c r="M9721" i="1" s="1"/>
  <c r="N9721" i="1" s="1"/>
  <c r="L9722" i="1"/>
  <c r="M9722" i="1" s="1"/>
  <c r="N9722" i="1" s="1"/>
  <c r="L9723" i="1"/>
  <c r="M9723" i="1" s="1"/>
  <c r="N9723" i="1" s="1"/>
  <c r="L9724" i="1"/>
  <c r="M9724" i="1" s="1"/>
  <c r="N9724" i="1" s="1"/>
  <c r="L9725" i="1"/>
  <c r="M9725" i="1" s="1"/>
  <c r="N9725" i="1" s="1"/>
  <c r="L9726" i="1"/>
  <c r="M9726" i="1" s="1"/>
  <c r="N9726" i="1" s="1"/>
  <c r="L9727" i="1"/>
  <c r="M9727" i="1" s="1"/>
  <c r="N9727" i="1" s="1"/>
  <c r="L9728" i="1"/>
  <c r="M9728" i="1" s="1"/>
  <c r="N9728" i="1" s="1"/>
  <c r="L9729" i="1"/>
  <c r="M9729" i="1" s="1"/>
  <c r="N9729" i="1" s="1"/>
  <c r="L9730" i="1"/>
  <c r="M9730" i="1" s="1"/>
  <c r="N9730" i="1" s="1"/>
  <c r="L9731" i="1"/>
  <c r="M9731" i="1" s="1"/>
  <c r="N9731" i="1" s="1"/>
  <c r="L9732" i="1"/>
  <c r="M9732" i="1" s="1"/>
  <c r="N9732" i="1" s="1"/>
  <c r="L9733" i="1"/>
  <c r="M9733" i="1" s="1"/>
  <c r="N9733" i="1" s="1"/>
  <c r="L9734" i="1"/>
  <c r="M9734" i="1" s="1"/>
  <c r="N9734" i="1" s="1"/>
  <c r="L9735" i="1"/>
  <c r="M9735" i="1" s="1"/>
  <c r="N9735" i="1" s="1"/>
  <c r="L9736" i="1"/>
  <c r="M9736" i="1" s="1"/>
  <c r="N9736" i="1" s="1"/>
  <c r="L9737" i="1"/>
  <c r="M9737" i="1" s="1"/>
  <c r="N9737" i="1" s="1"/>
  <c r="L9738" i="1"/>
  <c r="M9738" i="1" s="1"/>
  <c r="N9738" i="1" s="1"/>
  <c r="L9739" i="1"/>
  <c r="M9739" i="1" s="1"/>
  <c r="N9739" i="1" s="1"/>
  <c r="L9740" i="1"/>
  <c r="M9740" i="1" s="1"/>
  <c r="N9740" i="1" s="1"/>
  <c r="L9741" i="1"/>
  <c r="M9741" i="1" s="1"/>
  <c r="N9741" i="1" s="1"/>
  <c r="L9742" i="1"/>
  <c r="M9742" i="1" s="1"/>
  <c r="N9742" i="1" s="1"/>
  <c r="L9743" i="1"/>
  <c r="M9743" i="1" s="1"/>
  <c r="N9743" i="1" s="1"/>
  <c r="L9744" i="1"/>
  <c r="M9744" i="1" s="1"/>
  <c r="N9744" i="1" s="1"/>
  <c r="L9745" i="1"/>
  <c r="M9745" i="1" s="1"/>
  <c r="N9745" i="1" s="1"/>
  <c r="L9746" i="1"/>
  <c r="M9746" i="1" s="1"/>
  <c r="N9746" i="1" s="1"/>
  <c r="L9747" i="1"/>
  <c r="M9747" i="1" s="1"/>
  <c r="N9747" i="1" s="1"/>
  <c r="L9748" i="1"/>
  <c r="M9748" i="1" s="1"/>
  <c r="N9748" i="1" s="1"/>
  <c r="L9749" i="1"/>
  <c r="M9749" i="1" s="1"/>
  <c r="N9749" i="1" s="1"/>
  <c r="L9750" i="1"/>
  <c r="M9750" i="1" s="1"/>
  <c r="N9750" i="1" s="1"/>
  <c r="L9751" i="1"/>
  <c r="M9751" i="1" s="1"/>
  <c r="N9751" i="1" s="1"/>
  <c r="L9752" i="1"/>
  <c r="M9752" i="1" s="1"/>
  <c r="N9752" i="1" s="1"/>
  <c r="L9753" i="1"/>
  <c r="M9753" i="1" s="1"/>
  <c r="N9753" i="1" s="1"/>
  <c r="L9754" i="1"/>
  <c r="M9754" i="1" s="1"/>
  <c r="N9754" i="1" s="1"/>
  <c r="L9755" i="1"/>
  <c r="M9755" i="1" s="1"/>
  <c r="N9755" i="1" s="1"/>
  <c r="L9756" i="1"/>
  <c r="M9756" i="1" s="1"/>
  <c r="N9756" i="1" s="1"/>
  <c r="L9757" i="1"/>
  <c r="M9757" i="1" s="1"/>
  <c r="N9757" i="1" s="1"/>
  <c r="L9758" i="1"/>
  <c r="M9758" i="1" s="1"/>
  <c r="N9758" i="1" s="1"/>
  <c r="L9759" i="1"/>
  <c r="M9759" i="1" s="1"/>
  <c r="N9759" i="1" s="1"/>
  <c r="L9760" i="1"/>
  <c r="M9760" i="1" s="1"/>
  <c r="N9760" i="1" s="1"/>
  <c r="L9761" i="1"/>
  <c r="M9761" i="1" s="1"/>
  <c r="N9761" i="1" s="1"/>
  <c r="L9762" i="1"/>
  <c r="M9762" i="1" s="1"/>
  <c r="N9762" i="1" s="1"/>
  <c r="L9763" i="1"/>
  <c r="M9763" i="1" s="1"/>
  <c r="N9763" i="1" s="1"/>
  <c r="L9764" i="1"/>
  <c r="M9764" i="1" s="1"/>
  <c r="N9764" i="1" s="1"/>
  <c r="L9765" i="1"/>
  <c r="M9765" i="1" s="1"/>
  <c r="N9765" i="1" s="1"/>
  <c r="L9766" i="1"/>
  <c r="M9766" i="1" s="1"/>
  <c r="N9766" i="1" s="1"/>
  <c r="L9767" i="1"/>
  <c r="M9767" i="1" s="1"/>
  <c r="N9767" i="1" s="1"/>
  <c r="L9768" i="1"/>
  <c r="M9768" i="1" s="1"/>
  <c r="N9768" i="1" s="1"/>
  <c r="L9769" i="1"/>
  <c r="M9769" i="1" s="1"/>
  <c r="N9769" i="1" s="1"/>
  <c r="L9770" i="1"/>
  <c r="M9770" i="1" s="1"/>
  <c r="N9770" i="1" s="1"/>
  <c r="L9771" i="1"/>
  <c r="M9771" i="1" s="1"/>
  <c r="N9771" i="1" s="1"/>
  <c r="L9772" i="1"/>
  <c r="M9772" i="1" s="1"/>
  <c r="N9772" i="1" s="1"/>
  <c r="L9773" i="1"/>
  <c r="M9773" i="1" s="1"/>
  <c r="N9773" i="1" s="1"/>
  <c r="L9774" i="1"/>
  <c r="M9774" i="1" s="1"/>
  <c r="N9774" i="1" s="1"/>
  <c r="L9775" i="1"/>
  <c r="M9775" i="1" s="1"/>
  <c r="N9775" i="1" s="1"/>
  <c r="L9776" i="1"/>
  <c r="M9776" i="1" s="1"/>
  <c r="N9776" i="1" s="1"/>
  <c r="L9777" i="1"/>
  <c r="M9777" i="1" s="1"/>
  <c r="N9777" i="1" s="1"/>
  <c r="L9778" i="1"/>
  <c r="M9778" i="1" s="1"/>
  <c r="N9778" i="1" s="1"/>
  <c r="L9779" i="1"/>
  <c r="M9779" i="1" s="1"/>
  <c r="N9779" i="1" s="1"/>
  <c r="L9780" i="1"/>
  <c r="M9780" i="1" s="1"/>
  <c r="N9780" i="1" s="1"/>
  <c r="L9781" i="1"/>
  <c r="M9781" i="1" s="1"/>
  <c r="N9781" i="1" s="1"/>
  <c r="L9782" i="1"/>
  <c r="M9782" i="1" s="1"/>
  <c r="N9782" i="1" s="1"/>
  <c r="L9783" i="1"/>
  <c r="M9783" i="1" s="1"/>
  <c r="N9783" i="1" s="1"/>
  <c r="L9784" i="1"/>
  <c r="M9784" i="1" s="1"/>
  <c r="N9784" i="1" s="1"/>
  <c r="L9785" i="1"/>
  <c r="M9785" i="1" s="1"/>
  <c r="N9785" i="1" s="1"/>
  <c r="L9786" i="1"/>
  <c r="M9786" i="1" s="1"/>
  <c r="N9786" i="1" s="1"/>
  <c r="L9787" i="1"/>
  <c r="M9787" i="1" s="1"/>
  <c r="N9787" i="1" s="1"/>
  <c r="L9788" i="1"/>
  <c r="M9788" i="1" s="1"/>
  <c r="N9788" i="1" s="1"/>
  <c r="L9789" i="1"/>
  <c r="M9789" i="1" s="1"/>
  <c r="N9789" i="1" s="1"/>
  <c r="L9790" i="1"/>
  <c r="M9790" i="1" s="1"/>
  <c r="N9790" i="1" s="1"/>
  <c r="L9791" i="1"/>
  <c r="M9791" i="1" s="1"/>
  <c r="N9791" i="1" s="1"/>
  <c r="L9792" i="1"/>
  <c r="M9792" i="1" s="1"/>
  <c r="N9792" i="1" s="1"/>
  <c r="L9793" i="1"/>
  <c r="M9793" i="1" s="1"/>
  <c r="N9793" i="1" s="1"/>
  <c r="L9794" i="1"/>
  <c r="M9794" i="1" s="1"/>
  <c r="N9794" i="1" s="1"/>
  <c r="L9795" i="1"/>
  <c r="M9795" i="1" s="1"/>
  <c r="N9795" i="1" s="1"/>
  <c r="L9796" i="1"/>
  <c r="M9796" i="1" s="1"/>
  <c r="N9796" i="1" s="1"/>
  <c r="L9797" i="1"/>
  <c r="M9797" i="1" s="1"/>
  <c r="N9797" i="1" s="1"/>
  <c r="L9798" i="1"/>
  <c r="M9798" i="1" s="1"/>
  <c r="N9798" i="1" s="1"/>
  <c r="L9799" i="1"/>
  <c r="M9799" i="1" s="1"/>
  <c r="N9799" i="1" s="1"/>
  <c r="L9800" i="1"/>
  <c r="M9800" i="1" s="1"/>
  <c r="N9800" i="1" s="1"/>
  <c r="L9801" i="1"/>
  <c r="M9801" i="1" s="1"/>
  <c r="N9801" i="1" s="1"/>
  <c r="L9802" i="1"/>
  <c r="M9802" i="1" s="1"/>
  <c r="N9802" i="1" s="1"/>
  <c r="L9803" i="1"/>
  <c r="M9803" i="1" s="1"/>
  <c r="N9803" i="1" s="1"/>
  <c r="L9804" i="1"/>
  <c r="M9804" i="1" s="1"/>
  <c r="N9804" i="1" s="1"/>
  <c r="L9805" i="1"/>
  <c r="M9805" i="1" s="1"/>
  <c r="N9805" i="1" s="1"/>
  <c r="L9806" i="1"/>
  <c r="M9806" i="1" s="1"/>
  <c r="N9806" i="1" s="1"/>
  <c r="L9807" i="1"/>
  <c r="M9807" i="1" s="1"/>
  <c r="N9807" i="1" s="1"/>
  <c r="L9808" i="1"/>
  <c r="M9808" i="1" s="1"/>
  <c r="N9808" i="1" s="1"/>
  <c r="L9809" i="1"/>
  <c r="M9809" i="1" s="1"/>
  <c r="N9809" i="1" s="1"/>
  <c r="L9810" i="1"/>
  <c r="M9810" i="1" s="1"/>
  <c r="N9810" i="1" s="1"/>
  <c r="L9811" i="1"/>
  <c r="M9811" i="1" s="1"/>
  <c r="N9811" i="1" s="1"/>
  <c r="L9812" i="1"/>
  <c r="M9812" i="1" s="1"/>
  <c r="N9812" i="1" s="1"/>
  <c r="L9813" i="1"/>
  <c r="M9813" i="1" s="1"/>
  <c r="N9813" i="1" s="1"/>
  <c r="L9814" i="1"/>
  <c r="M9814" i="1" s="1"/>
  <c r="N9814" i="1" s="1"/>
  <c r="L9815" i="1"/>
  <c r="M9815" i="1" s="1"/>
  <c r="N9815" i="1" s="1"/>
  <c r="L9816" i="1"/>
  <c r="M9816" i="1" s="1"/>
  <c r="N9816" i="1" s="1"/>
  <c r="L9817" i="1"/>
  <c r="M9817" i="1" s="1"/>
  <c r="N9817" i="1" s="1"/>
  <c r="L9818" i="1"/>
  <c r="M9818" i="1" s="1"/>
  <c r="N9818" i="1" s="1"/>
  <c r="L9819" i="1"/>
  <c r="M9819" i="1" s="1"/>
  <c r="N9819" i="1" s="1"/>
  <c r="L9820" i="1"/>
  <c r="M9820" i="1" s="1"/>
  <c r="N9820" i="1" s="1"/>
  <c r="L9821" i="1"/>
  <c r="M9821" i="1" s="1"/>
  <c r="N9821" i="1" s="1"/>
  <c r="L9822" i="1"/>
  <c r="M9822" i="1" s="1"/>
  <c r="N9822" i="1" s="1"/>
  <c r="L9823" i="1"/>
  <c r="M9823" i="1" s="1"/>
  <c r="N9823" i="1" s="1"/>
  <c r="L9824" i="1"/>
  <c r="M9824" i="1" s="1"/>
  <c r="N9824" i="1" s="1"/>
  <c r="L9825" i="1"/>
  <c r="M9825" i="1" s="1"/>
  <c r="N9825" i="1" s="1"/>
  <c r="L9826" i="1"/>
  <c r="M9826" i="1" s="1"/>
  <c r="N9826" i="1" s="1"/>
  <c r="L9827" i="1"/>
  <c r="M9827" i="1" s="1"/>
  <c r="N9827" i="1" s="1"/>
  <c r="L9828" i="1"/>
  <c r="M9828" i="1" s="1"/>
  <c r="N9828" i="1" s="1"/>
  <c r="L9829" i="1"/>
  <c r="M9829" i="1" s="1"/>
  <c r="N9829" i="1" s="1"/>
  <c r="L9830" i="1"/>
  <c r="M9830" i="1" s="1"/>
  <c r="N9830" i="1" s="1"/>
  <c r="L9831" i="1"/>
  <c r="M9831" i="1" s="1"/>
  <c r="N9831" i="1" s="1"/>
  <c r="L9832" i="1"/>
  <c r="M9832" i="1" s="1"/>
  <c r="N9832" i="1" s="1"/>
  <c r="L9833" i="1"/>
  <c r="M9833" i="1" s="1"/>
  <c r="N9833" i="1" s="1"/>
  <c r="L9834" i="1"/>
  <c r="M9834" i="1" s="1"/>
  <c r="N9834" i="1" s="1"/>
  <c r="L9835" i="1"/>
  <c r="M9835" i="1" s="1"/>
  <c r="N9835" i="1" s="1"/>
  <c r="L9836" i="1"/>
  <c r="M9836" i="1" s="1"/>
  <c r="N9836" i="1" s="1"/>
  <c r="L9837" i="1"/>
  <c r="M9837" i="1" s="1"/>
  <c r="N9837" i="1" s="1"/>
  <c r="L9838" i="1"/>
  <c r="M9838" i="1" s="1"/>
  <c r="N9838" i="1" s="1"/>
  <c r="L9839" i="1"/>
  <c r="M9839" i="1" s="1"/>
  <c r="N9839" i="1" s="1"/>
  <c r="L9840" i="1"/>
  <c r="M9840" i="1" s="1"/>
  <c r="N9840" i="1" s="1"/>
  <c r="L9841" i="1"/>
  <c r="M9841" i="1" s="1"/>
  <c r="N9841" i="1" s="1"/>
  <c r="L9842" i="1"/>
  <c r="M9842" i="1" s="1"/>
  <c r="N9842" i="1" s="1"/>
  <c r="L9843" i="1"/>
  <c r="M9843" i="1" s="1"/>
  <c r="N9843" i="1" s="1"/>
  <c r="L9844" i="1"/>
  <c r="M9844" i="1" s="1"/>
  <c r="N9844" i="1" s="1"/>
  <c r="L9845" i="1"/>
  <c r="M9845" i="1" s="1"/>
  <c r="N9845" i="1" s="1"/>
  <c r="L9846" i="1"/>
  <c r="M9846" i="1" s="1"/>
  <c r="N9846" i="1" s="1"/>
  <c r="L9847" i="1"/>
  <c r="M9847" i="1" s="1"/>
  <c r="N9847" i="1" s="1"/>
  <c r="L9848" i="1"/>
  <c r="M9848" i="1" s="1"/>
  <c r="N9848" i="1" s="1"/>
  <c r="L9849" i="1"/>
  <c r="M9849" i="1" s="1"/>
  <c r="N9849" i="1" s="1"/>
  <c r="L9850" i="1"/>
  <c r="M9850" i="1" s="1"/>
  <c r="N9850" i="1" s="1"/>
  <c r="L9851" i="1"/>
  <c r="M9851" i="1" s="1"/>
  <c r="N9851" i="1" s="1"/>
  <c r="L9852" i="1"/>
  <c r="M9852" i="1" s="1"/>
  <c r="N9852" i="1" s="1"/>
  <c r="L9853" i="1"/>
  <c r="M9853" i="1" s="1"/>
  <c r="N9853" i="1" s="1"/>
  <c r="L9854" i="1"/>
  <c r="M9854" i="1" s="1"/>
  <c r="N9854" i="1" s="1"/>
  <c r="L9855" i="1"/>
  <c r="M9855" i="1" s="1"/>
  <c r="N9855" i="1" s="1"/>
  <c r="L9856" i="1"/>
  <c r="M9856" i="1" s="1"/>
  <c r="N9856" i="1" s="1"/>
  <c r="L9857" i="1"/>
  <c r="M9857" i="1" s="1"/>
  <c r="N9857" i="1" s="1"/>
  <c r="L9858" i="1"/>
  <c r="M9858" i="1" s="1"/>
  <c r="N9858" i="1" s="1"/>
  <c r="L9859" i="1"/>
  <c r="M9859" i="1" s="1"/>
  <c r="N9859" i="1" s="1"/>
  <c r="L9860" i="1"/>
  <c r="M9860" i="1" s="1"/>
  <c r="N9860" i="1" s="1"/>
  <c r="L9861" i="1"/>
  <c r="M9861" i="1" s="1"/>
  <c r="N9861" i="1" s="1"/>
  <c r="L9862" i="1"/>
  <c r="M9862" i="1" s="1"/>
  <c r="N9862" i="1" s="1"/>
  <c r="L9863" i="1"/>
  <c r="M9863" i="1" s="1"/>
  <c r="N9863" i="1" s="1"/>
  <c r="L9864" i="1"/>
  <c r="M9864" i="1" s="1"/>
  <c r="N9864" i="1" s="1"/>
  <c r="L9865" i="1"/>
  <c r="M9865" i="1" s="1"/>
  <c r="N9865" i="1" s="1"/>
  <c r="L9866" i="1"/>
  <c r="M9866" i="1" s="1"/>
  <c r="N9866" i="1" s="1"/>
  <c r="L9867" i="1"/>
  <c r="M9867" i="1" s="1"/>
  <c r="N9867" i="1" s="1"/>
  <c r="L9868" i="1"/>
  <c r="M9868" i="1" s="1"/>
  <c r="N9868" i="1" s="1"/>
  <c r="L9869" i="1"/>
  <c r="M9869" i="1" s="1"/>
  <c r="N9869" i="1" s="1"/>
  <c r="L9870" i="1"/>
  <c r="M9870" i="1" s="1"/>
  <c r="N9870" i="1" s="1"/>
  <c r="L9871" i="1"/>
  <c r="M9871" i="1" s="1"/>
  <c r="N9871" i="1" s="1"/>
  <c r="L9872" i="1"/>
  <c r="M9872" i="1" s="1"/>
  <c r="N9872" i="1" s="1"/>
  <c r="L9873" i="1"/>
  <c r="M9873" i="1" s="1"/>
  <c r="N9873" i="1" s="1"/>
  <c r="L9874" i="1"/>
  <c r="M9874" i="1" s="1"/>
  <c r="N9874" i="1" s="1"/>
  <c r="L9875" i="1"/>
  <c r="M9875" i="1" s="1"/>
  <c r="N9875" i="1" s="1"/>
  <c r="L9876" i="1"/>
  <c r="M9876" i="1" s="1"/>
  <c r="N9876" i="1" s="1"/>
  <c r="L9877" i="1"/>
  <c r="M9877" i="1" s="1"/>
  <c r="N9877" i="1" s="1"/>
  <c r="L9878" i="1"/>
  <c r="M9878" i="1" s="1"/>
  <c r="N9878" i="1" s="1"/>
  <c r="L9879" i="1"/>
  <c r="M9879" i="1" s="1"/>
  <c r="N9879" i="1" s="1"/>
  <c r="L9880" i="1"/>
  <c r="M9880" i="1" s="1"/>
  <c r="N9880" i="1" s="1"/>
  <c r="L9881" i="1"/>
  <c r="M9881" i="1" s="1"/>
  <c r="N9881" i="1" s="1"/>
  <c r="L9882" i="1"/>
  <c r="M9882" i="1" s="1"/>
  <c r="N9882" i="1" s="1"/>
  <c r="L9883" i="1"/>
  <c r="M9883" i="1" s="1"/>
  <c r="N9883" i="1" s="1"/>
  <c r="L9884" i="1"/>
  <c r="M9884" i="1" s="1"/>
  <c r="N9884" i="1" s="1"/>
  <c r="L9885" i="1"/>
  <c r="M9885" i="1" s="1"/>
  <c r="N9885" i="1" s="1"/>
  <c r="L9886" i="1"/>
  <c r="M9886" i="1" s="1"/>
  <c r="N9886" i="1" s="1"/>
  <c r="L9887" i="1"/>
  <c r="M9887" i="1" s="1"/>
  <c r="N9887" i="1" s="1"/>
  <c r="L9888" i="1"/>
  <c r="M9888" i="1" s="1"/>
  <c r="N9888" i="1" s="1"/>
  <c r="L9889" i="1"/>
  <c r="M9889" i="1" s="1"/>
  <c r="N9889" i="1" s="1"/>
  <c r="L9890" i="1"/>
  <c r="M9890" i="1" s="1"/>
  <c r="N9890" i="1" s="1"/>
  <c r="L9891" i="1"/>
  <c r="M9891" i="1" s="1"/>
  <c r="N9891" i="1" s="1"/>
  <c r="L9892" i="1"/>
  <c r="M9892" i="1" s="1"/>
  <c r="N9892" i="1" s="1"/>
  <c r="L9893" i="1"/>
  <c r="M9893" i="1" s="1"/>
  <c r="N9893" i="1" s="1"/>
  <c r="L9894" i="1"/>
  <c r="M9894" i="1" s="1"/>
  <c r="N9894" i="1" s="1"/>
  <c r="L9895" i="1"/>
  <c r="M9895" i="1" s="1"/>
  <c r="N9895" i="1" s="1"/>
  <c r="L9896" i="1"/>
  <c r="M9896" i="1" s="1"/>
  <c r="N9896" i="1" s="1"/>
  <c r="L9897" i="1"/>
  <c r="M9897" i="1" s="1"/>
  <c r="N9897" i="1" s="1"/>
  <c r="L9898" i="1"/>
  <c r="M9898" i="1" s="1"/>
  <c r="N9898" i="1" s="1"/>
  <c r="L9899" i="1"/>
  <c r="M9899" i="1" s="1"/>
  <c r="N9899" i="1" s="1"/>
  <c r="L9900" i="1"/>
  <c r="M9900" i="1" s="1"/>
  <c r="N9900" i="1" s="1"/>
  <c r="L9901" i="1"/>
  <c r="M9901" i="1" s="1"/>
  <c r="N9901" i="1" s="1"/>
  <c r="L9902" i="1"/>
  <c r="M9902" i="1" s="1"/>
  <c r="N9902" i="1" s="1"/>
  <c r="L9903" i="1"/>
  <c r="M9903" i="1" s="1"/>
  <c r="N9903" i="1" s="1"/>
  <c r="L9904" i="1"/>
  <c r="M9904" i="1" s="1"/>
  <c r="N9904" i="1" s="1"/>
  <c r="L9905" i="1"/>
  <c r="M9905" i="1" s="1"/>
  <c r="N9905" i="1" s="1"/>
  <c r="L9906" i="1"/>
  <c r="M9906" i="1" s="1"/>
  <c r="N9906" i="1" s="1"/>
  <c r="L9907" i="1"/>
  <c r="M9907" i="1" s="1"/>
  <c r="N9907" i="1" s="1"/>
  <c r="L9908" i="1"/>
  <c r="M9908" i="1" s="1"/>
  <c r="N9908" i="1" s="1"/>
  <c r="L9909" i="1"/>
  <c r="M9909" i="1" s="1"/>
  <c r="N9909" i="1" s="1"/>
  <c r="L9910" i="1"/>
  <c r="M9910" i="1" s="1"/>
  <c r="N9910" i="1" s="1"/>
  <c r="L9911" i="1"/>
  <c r="M9911" i="1" s="1"/>
  <c r="N9911" i="1" s="1"/>
  <c r="L9912" i="1"/>
  <c r="M9912" i="1" s="1"/>
  <c r="N9912" i="1" s="1"/>
  <c r="L9913" i="1"/>
  <c r="M9913" i="1" s="1"/>
  <c r="N9913" i="1" s="1"/>
  <c r="L9914" i="1"/>
  <c r="M9914" i="1" s="1"/>
  <c r="N9914" i="1" s="1"/>
  <c r="L9915" i="1"/>
  <c r="M9915" i="1" s="1"/>
  <c r="N9915" i="1" s="1"/>
  <c r="L9916" i="1"/>
  <c r="M9916" i="1" s="1"/>
  <c r="N9916" i="1" s="1"/>
  <c r="L9917" i="1"/>
  <c r="M9917" i="1" s="1"/>
  <c r="N9917" i="1" s="1"/>
  <c r="L9918" i="1"/>
  <c r="M9918" i="1" s="1"/>
  <c r="N9918" i="1" s="1"/>
  <c r="L9919" i="1"/>
  <c r="M9919" i="1" s="1"/>
  <c r="N9919" i="1" s="1"/>
  <c r="L9920" i="1"/>
  <c r="M9920" i="1" s="1"/>
  <c r="N9920" i="1" s="1"/>
  <c r="L9921" i="1"/>
  <c r="M9921" i="1" s="1"/>
  <c r="N9921" i="1" s="1"/>
  <c r="L9922" i="1"/>
  <c r="M9922" i="1" s="1"/>
  <c r="N9922" i="1" s="1"/>
  <c r="L9923" i="1"/>
  <c r="M9923" i="1" s="1"/>
  <c r="N9923" i="1" s="1"/>
  <c r="L9924" i="1"/>
  <c r="M9924" i="1" s="1"/>
  <c r="N9924" i="1" s="1"/>
  <c r="L9925" i="1"/>
  <c r="M9925" i="1" s="1"/>
  <c r="N9925" i="1" s="1"/>
  <c r="L9926" i="1"/>
  <c r="M9926" i="1" s="1"/>
  <c r="N9926" i="1" s="1"/>
  <c r="L9927" i="1"/>
  <c r="M9927" i="1" s="1"/>
  <c r="N9927" i="1" s="1"/>
  <c r="L9928" i="1"/>
  <c r="M9928" i="1" s="1"/>
  <c r="N9928" i="1" s="1"/>
  <c r="L9929" i="1"/>
  <c r="M9929" i="1" s="1"/>
  <c r="N9929" i="1" s="1"/>
  <c r="L9930" i="1"/>
  <c r="M9930" i="1" s="1"/>
  <c r="N9930" i="1" s="1"/>
  <c r="L9931" i="1"/>
  <c r="M9931" i="1" s="1"/>
  <c r="N9931" i="1" s="1"/>
  <c r="L9932" i="1"/>
  <c r="M9932" i="1" s="1"/>
  <c r="N9932" i="1" s="1"/>
  <c r="L9933" i="1"/>
  <c r="M9933" i="1" s="1"/>
  <c r="N9933" i="1" s="1"/>
  <c r="L9934" i="1"/>
  <c r="M9934" i="1" s="1"/>
  <c r="N9934" i="1" s="1"/>
  <c r="L9935" i="1"/>
  <c r="M9935" i="1" s="1"/>
  <c r="N9935" i="1" s="1"/>
  <c r="L9936" i="1"/>
  <c r="M9936" i="1" s="1"/>
  <c r="N9936" i="1" s="1"/>
  <c r="L9937" i="1"/>
  <c r="M9937" i="1" s="1"/>
  <c r="N9937" i="1" s="1"/>
  <c r="L9938" i="1"/>
  <c r="M9938" i="1" s="1"/>
  <c r="N9938" i="1" s="1"/>
  <c r="L9939" i="1"/>
  <c r="M9939" i="1" s="1"/>
  <c r="N9939" i="1" s="1"/>
  <c r="L9940" i="1"/>
  <c r="M9940" i="1" s="1"/>
  <c r="N9940" i="1" s="1"/>
  <c r="L9941" i="1"/>
  <c r="M9941" i="1" s="1"/>
  <c r="N9941" i="1" s="1"/>
  <c r="L9942" i="1"/>
  <c r="M9942" i="1" s="1"/>
  <c r="N9942" i="1" s="1"/>
  <c r="L9943" i="1"/>
  <c r="M9943" i="1" s="1"/>
  <c r="N9943" i="1" s="1"/>
  <c r="L9944" i="1"/>
  <c r="M9944" i="1" s="1"/>
  <c r="N9944" i="1" s="1"/>
  <c r="L9945" i="1"/>
  <c r="M9945" i="1" s="1"/>
  <c r="N9945" i="1" s="1"/>
  <c r="L9946" i="1"/>
  <c r="M9946" i="1" s="1"/>
  <c r="N9946" i="1" s="1"/>
  <c r="L9947" i="1"/>
  <c r="M9947" i="1" s="1"/>
  <c r="N9947" i="1" s="1"/>
  <c r="L9948" i="1"/>
  <c r="M9948" i="1" s="1"/>
  <c r="N9948" i="1" s="1"/>
  <c r="L9949" i="1"/>
  <c r="M9949" i="1" s="1"/>
  <c r="N9949" i="1" s="1"/>
  <c r="L9950" i="1"/>
  <c r="M9950" i="1" s="1"/>
  <c r="N9950" i="1" s="1"/>
  <c r="L9951" i="1"/>
  <c r="M9951" i="1" s="1"/>
  <c r="N9951" i="1" s="1"/>
  <c r="L9952" i="1"/>
  <c r="M9952" i="1" s="1"/>
  <c r="N9952" i="1" s="1"/>
  <c r="L9953" i="1"/>
  <c r="M9953" i="1" s="1"/>
  <c r="N9953" i="1" s="1"/>
  <c r="L9954" i="1"/>
  <c r="M9954" i="1" s="1"/>
  <c r="N9954" i="1" s="1"/>
  <c r="L9955" i="1"/>
  <c r="M9955" i="1" s="1"/>
  <c r="N9955" i="1" s="1"/>
  <c r="L9956" i="1"/>
  <c r="M9956" i="1" s="1"/>
  <c r="N9956" i="1" s="1"/>
  <c r="L9957" i="1"/>
  <c r="M9957" i="1" s="1"/>
  <c r="N9957" i="1" s="1"/>
  <c r="L9958" i="1"/>
  <c r="M9958" i="1" s="1"/>
  <c r="N9958" i="1" s="1"/>
  <c r="L9959" i="1"/>
  <c r="M9959" i="1" s="1"/>
  <c r="N9959" i="1" s="1"/>
  <c r="L9960" i="1"/>
  <c r="M9960" i="1" s="1"/>
  <c r="N9960" i="1" s="1"/>
  <c r="L9961" i="1"/>
  <c r="M9961" i="1" s="1"/>
  <c r="N9961" i="1" s="1"/>
  <c r="L9962" i="1"/>
  <c r="M9962" i="1" s="1"/>
  <c r="N9962" i="1" s="1"/>
  <c r="L9963" i="1"/>
  <c r="M9963" i="1" s="1"/>
  <c r="N9963" i="1" s="1"/>
  <c r="L9964" i="1"/>
  <c r="M9964" i="1" s="1"/>
  <c r="N9964" i="1" s="1"/>
  <c r="L9965" i="1"/>
  <c r="M9965" i="1" s="1"/>
  <c r="N9965" i="1" s="1"/>
  <c r="L9966" i="1"/>
  <c r="M9966" i="1" s="1"/>
  <c r="N9966" i="1" s="1"/>
  <c r="L9967" i="1"/>
  <c r="M9967" i="1" s="1"/>
  <c r="N9967" i="1" s="1"/>
  <c r="L9968" i="1"/>
  <c r="M9968" i="1" s="1"/>
  <c r="N9968" i="1" s="1"/>
  <c r="L9969" i="1"/>
  <c r="M9969" i="1" s="1"/>
  <c r="N9969" i="1" s="1"/>
  <c r="L9970" i="1"/>
  <c r="M9970" i="1" s="1"/>
  <c r="N9970" i="1" s="1"/>
  <c r="L9971" i="1"/>
  <c r="M9971" i="1" s="1"/>
  <c r="N9971" i="1" s="1"/>
  <c r="L9972" i="1"/>
  <c r="M9972" i="1" s="1"/>
  <c r="N9972" i="1" s="1"/>
  <c r="L9973" i="1"/>
  <c r="M9973" i="1" s="1"/>
  <c r="N9973" i="1" s="1"/>
  <c r="L9974" i="1"/>
  <c r="M9974" i="1" s="1"/>
  <c r="N9974" i="1" s="1"/>
  <c r="L9975" i="1"/>
  <c r="M9975" i="1" s="1"/>
  <c r="N9975" i="1" s="1"/>
  <c r="L9976" i="1"/>
  <c r="M9976" i="1" s="1"/>
  <c r="N9976" i="1" s="1"/>
  <c r="L9977" i="1"/>
  <c r="M9977" i="1" s="1"/>
  <c r="N9977" i="1" s="1"/>
  <c r="L9978" i="1"/>
  <c r="M9978" i="1" s="1"/>
  <c r="N9978" i="1" s="1"/>
  <c r="L9979" i="1"/>
  <c r="M9979" i="1" s="1"/>
  <c r="N9979" i="1" s="1"/>
  <c r="L9980" i="1"/>
  <c r="M9980" i="1" s="1"/>
  <c r="N9980" i="1" s="1"/>
  <c r="L9981" i="1"/>
  <c r="M9981" i="1" s="1"/>
  <c r="N9981" i="1" s="1"/>
  <c r="L9982" i="1"/>
  <c r="M9982" i="1" s="1"/>
  <c r="N9982" i="1" s="1"/>
  <c r="L9983" i="1"/>
  <c r="M9983" i="1" s="1"/>
  <c r="N9983" i="1" s="1"/>
  <c r="L9984" i="1"/>
  <c r="M9984" i="1" s="1"/>
  <c r="N9984" i="1" s="1"/>
  <c r="L9985" i="1"/>
  <c r="M9985" i="1" s="1"/>
  <c r="N9985" i="1" s="1"/>
  <c r="L9986" i="1"/>
  <c r="M9986" i="1" s="1"/>
  <c r="N9986" i="1" s="1"/>
  <c r="L9987" i="1"/>
  <c r="M9987" i="1" s="1"/>
  <c r="N9987" i="1" s="1"/>
  <c r="L9988" i="1"/>
  <c r="M9988" i="1" s="1"/>
  <c r="N9988" i="1" s="1"/>
  <c r="L9989" i="1"/>
  <c r="M9989" i="1" s="1"/>
  <c r="N9989" i="1" s="1"/>
  <c r="L9990" i="1"/>
  <c r="M9990" i="1" s="1"/>
  <c r="N9990" i="1" s="1"/>
  <c r="L9991" i="1"/>
  <c r="M9991" i="1" s="1"/>
  <c r="N9991" i="1" s="1"/>
  <c r="L9992" i="1"/>
  <c r="M9992" i="1" s="1"/>
  <c r="N9992" i="1" s="1"/>
  <c r="L9993" i="1"/>
  <c r="M9993" i="1" s="1"/>
  <c r="N9993" i="1" s="1"/>
  <c r="L9994" i="1"/>
  <c r="M9994" i="1" s="1"/>
  <c r="N9994" i="1" s="1"/>
  <c r="L9995" i="1"/>
  <c r="M9995" i="1" s="1"/>
  <c r="N9995" i="1" s="1"/>
  <c r="L9996" i="1"/>
  <c r="M9996" i="1" s="1"/>
  <c r="N9996" i="1" s="1"/>
  <c r="L9997" i="1"/>
  <c r="M9997" i="1" s="1"/>
  <c r="N9997" i="1" s="1"/>
  <c r="L9998" i="1"/>
  <c r="M9998" i="1" s="1"/>
  <c r="N9998" i="1" s="1"/>
  <c r="L9999" i="1"/>
  <c r="M9999" i="1" s="1"/>
  <c r="N9999" i="1" s="1"/>
  <c r="L10000" i="1"/>
  <c r="M10000" i="1" s="1"/>
  <c r="N10000" i="1" s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B9" i="1"/>
  <c r="B10" i="1"/>
  <c r="M169" i="1" l="1"/>
  <c r="N169" i="1" s="1"/>
  <c r="M86" i="1"/>
  <c r="N86" i="1" s="1"/>
  <c r="M54" i="1"/>
  <c r="N54" i="1" s="1"/>
  <c r="M38" i="1"/>
  <c r="N38" i="1" s="1"/>
  <c r="M70" i="1"/>
  <c r="N70" i="1" s="1"/>
  <c r="M133" i="1"/>
  <c r="N133" i="1" s="1"/>
  <c r="M101" i="1"/>
  <c r="N101" i="1" s="1"/>
  <c r="M263" i="1"/>
  <c r="N263" i="1" s="1"/>
  <c r="M197" i="1"/>
  <c r="N197" i="1" s="1"/>
  <c r="M134" i="1"/>
  <c r="N134" i="1" s="1"/>
  <c r="M59" i="1"/>
  <c r="N59" i="1" s="1"/>
  <c r="M154" i="1"/>
  <c r="N154" i="1" s="1"/>
  <c r="M229" i="1"/>
  <c r="N229" i="1" s="1"/>
  <c r="M279" i="1"/>
  <c r="N279" i="1" s="1"/>
  <c r="M199" i="1"/>
  <c r="N199" i="1" s="1"/>
  <c r="M135" i="1"/>
  <c r="N135" i="1" s="1"/>
  <c r="M119" i="1"/>
  <c r="N119" i="1" s="1"/>
  <c r="M55" i="1"/>
  <c r="N55" i="1" s="1"/>
  <c r="M203" i="1"/>
  <c r="N203" i="1" s="1"/>
  <c r="M137" i="1"/>
  <c r="N137" i="1" s="1"/>
  <c r="M171" i="1"/>
  <c r="N171" i="1" s="1"/>
  <c r="M85" i="1"/>
  <c r="N85" i="1" s="1"/>
  <c r="M167" i="1"/>
  <c r="N167" i="1" s="1"/>
  <c r="M277" i="1"/>
  <c r="N277" i="1" s="1"/>
  <c r="M53" i="1"/>
  <c r="N53" i="1" s="1"/>
  <c r="M264" i="1"/>
  <c r="N264" i="1" s="1"/>
  <c r="M200" i="1"/>
  <c r="N200" i="1" s="1"/>
  <c r="M292" i="1"/>
  <c r="N292" i="1" s="1"/>
  <c r="M276" i="1"/>
  <c r="N276" i="1" s="1"/>
  <c r="M260" i="1"/>
  <c r="N260" i="1" s="1"/>
  <c r="M244" i="1"/>
  <c r="N244" i="1" s="1"/>
  <c r="M228" i="1"/>
  <c r="N228" i="1" s="1"/>
  <c r="M212" i="1"/>
  <c r="N212" i="1" s="1"/>
  <c r="M196" i="1"/>
  <c r="N196" i="1" s="1"/>
  <c r="M180" i="1"/>
  <c r="N180" i="1" s="1"/>
  <c r="M164" i="1"/>
  <c r="N164" i="1" s="1"/>
  <c r="M148" i="1"/>
  <c r="N148" i="1" s="1"/>
  <c r="M132" i="1"/>
  <c r="N132" i="1" s="1"/>
  <c r="M116" i="1"/>
  <c r="N116" i="1" s="1"/>
  <c r="M100" i="1"/>
  <c r="N100" i="1" s="1"/>
  <c r="M84" i="1"/>
  <c r="N84" i="1" s="1"/>
  <c r="M68" i="1"/>
  <c r="N68" i="1" s="1"/>
  <c r="M52" i="1"/>
  <c r="N52" i="1" s="1"/>
  <c r="M36" i="1"/>
  <c r="N36" i="1" s="1"/>
  <c r="M140" i="1"/>
  <c r="N140" i="1" s="1"/>
  <c r="M202" i="1"/>
  <c r="N202" i="1" s="1"/>
  <c r="M136" i="1"/>
  <c r="N136" i="1" s="1"/>
  <c r="M198" i="1"/>
  <c r="N198" i="1" s="1"/>
  <c r="M118" i="1"/>
  <c r="N118" i="1" s="1"/>
  <c r="M304" i="1"/>
  <c r="N304" i="1" s="1"/>
  <c r="M299" i="1"/>
  <c r="N299" i="1" s="1"/>
  <c r="M281" i="1"/>
  <c r="N281" i="1" s="1"/>
  <c r="M280" i="1"/>
  <c r="N280" i="1" s="1"/>
  <c r="M247" i="1"/>
  <c r="N247" i="1" s="1"/>
  <c r="M71" i="1"/>
  <c r="N71" i="1" s="1"/>
  <c r="M213" i="1"/>
  <c r="N213" i="1" s="1"/>
  <c r="M284" i="1"/>
  <c r="N284" i="1" s="1"/>
  <c r="M75" i="1"/>
  <c r="N75" i="1" s="1"/>
  <c r="M282" i="1"/>
  <c r="N282" i="1" s="1"/>
  <c r="M56" i="1"/>
  <c r="N56" i="1" s="1"/>
  <c r="M215" i="1"/>
  <c r="N215" i="1" s="1"/>
  <c r="M103" i="1"/>
  <c r="N103" i="1" s="1"/>
  <c r="M87" i="1"/>
  <c r="N87" i="1" s="1"/>
  <c r="M214" i="1"/>
  <c r="N214" i="1" s="1"/>
  <c r="M117" i="1"/>
  <c r="N117" i="1" s="1"/>
  <c r="M74" i="1"/>
  <c r="N74" i="1" s="1"/>
  <c r="M297" i="1"/>
  <c r="N297" i="1" s="1"/>
  <c r="M57" i="1"/>
  <c r="N57" i="1" s="1"/>
  <c r="M207" i="1"/>
  <c r="N207" i="1" s="1"/>
  <c r="M302" i="1"/>
  <c r="N302" i="1" s="1"/>
  <c r="M141" i="1"/>
  <c r="N141" i="1" s="1"/>
  <c r="M300" i="1"/>
  <c r="N300" i="1" s="1"/>
  <c r="M298" i="1"/>
  <c r="N298" i="1" s="1"/>
  <c r="M218" i="1"/>
  <c r="N218" i="1" s="1"/>
  <c r="M170" i="1"/>
  <c r="N170" i="1" s="1"/>
  <c r="M122" i="1"/>
  <c r="N122" i="1" s="1"/>
  <c r="M58" i="1"/>
  <c r="N58" i="1" s="1"/>
  <c r="M305" i="1"/>
  <c r="N305" i="1" s="1"/>
  <c r="M301" i="1"/>
  <c r="N301" i="1" s="1"/>
  <c r="M89" i="1"/>
  <c r="N89" i="1" s="1"/>
  <c r="M88" i="1"/>
  <c r="N88" i="1" s="1"/>
  <c r="M72" i="1"/>
  <c r="N72" i="1" s="1"/>
  <c r="M123" i="1"/>
  <c r="N123" i="1" s="1"/>
  <c r="M216" i="1"/>
  <c r="N216" i="1" s="1"/>
  <c r="M73" i="1"/>
  <c r="N73" i="1" s="1"/>
  <c r="M296" i="1"/>
  <c r="N296" i="1" s="1"/>
  <c r="M232" i="1"/>
  <c r="N232" i="1" s="1"/>
  <c r="M39" i="1"/>
  <c r="N39" i="1" s="1"/>
  <c r="M259" i="1"/>
  <c r="N259" i="1" s="1"/>
  <c r="M211" i="1"/>
  <c r="N211" i="1" s="1"/>
  <c r="M163" i="1"/>
  <c r="N163" i="1" s="1"/>
  <c r="M147" i="1"/>
  <c r="N147" i="1" s="1"/>
  <c r="M99" i="1"/>
  <c r="N99" i="1" s="1"/>
  <c r="M83" i="1"/>
  <c r="N83" i="1" s="1"/>
  <c r="M258" i="1"/>
  <c r="N258" i="1" s="1"/>
  <c r="M289" i="1"/>
  <c r="N289" i="1" s="1"/>
  <c r="M161" i="1"/>
  <c r="N161" i="1" s="1"/>
  <c r="M256" i="1"/>
  <c r="N256" i="1" s="1"/>
  <c r="M208" i="1"/>
  <c r="N208" i="1" s="1"/>
  <c r="M160" i="1"/>
  <c r="N160" i="1" s="1"/>
  <c r="M112" i="1"/>
  <c r="N112" i="1" s="1"/>
  <c r="M254" i="1"/>
  <c r="N254" i="1" s="1"/>
  <c r="M206" i="1"/>
  <c r="N206" i="1" s="1"/>
  <c r="M158" i="1"/>
  <c r="N158" i="1" s="1"/>
  <c r="M110" i="1"/>
  <c r="N110" i="1" s="1"/>
  <c r="M94" i="1"/>
  <c r="N94" i="1" s="1"/>
  <c r="M62" i="1"/>
  <c r="N62" i="1" s="1"/>
  <c r="M46" i="1"/>
  <c r="N46" i="1" s="1"/>
  <c r="M221" i="1"/>
  <c r="N221" i="1" s="1"/>
  <c r="M271" i="1"/>
  <c r="N271" i="1" s="1"/>
  <c r="M220" i="1"/>
  <c r="N220" i="1" s="1"/>
  <c r="M188" i="1"/>
  <c r="N188" i="1" s="1"/>
  <c r="M124" i="1"/>
  <c r="N124" i="1" s="1"/>
  <c r="M108" i="1"/>
  <c r="N108" i="1" s="1"/>
  <c r="M44" i="1"/>
  <c r="N44" i="1" s="1"/>
  <c r="M267" i="1"/>
  <c r="N267" i="1" s="1"/>
  <c r="M155" i="1"/>
  <c r="N155" i="1" s="1"/>
  <c r="M91" i="1"/>
  <c r="N91" i="1" s="1"/>
  <c r="M187" i="1"/>
  <c r="N187" i="1" s="1"/>
  <c r="M266" i="1"/>
  <c r="N266" i="1" s="1"/>
  <c r="M186" i="1"/>
  <c r="N186" i="1" s="1"/>
  <c r="M138" i="1"/>
  <c r="N138" i="1" s="1"/>
  <c r="M265" i="1"/>
  <c r="N265" i="1" s="1"/>
  <c r="M217" i="1"/>
  <c r="N217" i="1" s="1"/>
  <c r="M185" i="1"/>
  <c r="N185" i="1" s="1"/>
  <c r="M153" i="1"/>
  <c r="N153" i="1" s="1"/>
  <c r="M121" i="1"/>
  <c r="N121" i="1" s="1"/>
  <c r="M105" i="1"/>
  <c r="N105" i="1" s="1"/>
  <c r="M41" i="1"/>
  <c r="N41" i="1" s="1"/>
  <c r="M233" i="1"/>
  <c r="N233" i="1" s="1"/>
  <c r="M255" i="1"/>
  <c r="N255" i="1" s="1"/>
  <c r="M102" i="1"/>
  <c r="N102" i="1" s="1"/>
  <c r="M249" i="1"/>
  <c r="N249" i="1" s="1"/>
  <c r="M42" i="1"/>
  <c r="N42" i="1" s="1"/>
  <c r="M184" i="1"/>
  <c r="N184" i="1" s="1"/>
  <c r="M152" i="1"/>
  <c r="N152" i="1" s="1"/>
  <c r="M120" i="1"/>
  <c r="N120" i="1" s="1"/>
  <c r="M104" i="1"/>
  <c r="N104" i="1" s="1"/>
  <c r="M40" i="1"/>
  <c r="N40" i="1" s="1"/>
  <c r="M227" i="1"/>
  <c r="N227" i="1" s="1"/>
  <c r="M179" i="1"/>
  <c r="N179" i="1" s="1"/>
  <c r="M115" i="1"/>
  <c r="N115" i="1" s="1"/>
  <c r="M51" i="1"/>
  <c r="N51" i="1" s="1"/>
  <c r="M210" i="1"/>
  <c r="N210" i="1" s="1"/>
  <c r="M290" i="1"/>
  <c r="N290" i="1" s="1"/>
  <c r="M242" i="1"/>
  <c r="N242" i="1" s="1"/>
  <c r="M194" i="1"/>
  <c r="N194" i="1" s="1"/>
  <c r="M162" i="1"/>
  <c r="N162" i="1" s="1"/>
  <c r="M130" i="1"/>
  <c r="N130" i="1" s="1"/>
  <c r="M82" i="1"/>
  <c r="N82" i="1" s="1"/>
  <c r="M50" i="1"/>
  <c r="N50" i="1" s="1"/>
  <c r="M257" i="1"/>
  <c r="N257" i="1" s="1"/>
  <c r="M225" i="1"/>
  <c r="N225" i="1" s="1"/>
  <c r="M193" i="1"/>
  <c r="N193" i="1" s="1"/>
  <c r="M145" i="1"/>
  <c r="N145" i="1" s="1"/>
  <c r="M113" i="1"/>
  <c r="N113" i="1" s="1"/>
  <c r="M97" i="1"/>
  <c r="N97" i="1" s="1"/>
  <c r="M49" i="1"/>
  <c r="N49" i="1" s="1"/>
  <c r="M272" i="1"/>
  <c r="N272" i="1" s="1"/>
  <c r="M224" i="1"/>
  <c r="N224" i="1" s="1"/>
  <c r="M176" i="1"/>
  <c r="N176" i="1" s="1"/>
  <c r="M128" i="1"/>
  <c r="N128" i="1" s="1"/>
  <c r="M96" i="1"/>
  <c r="N96" i="1" s="1"/>
  <c r="M48" i="1"/>
  <c r="N48" i="1" s="1"/>
  <c r="M303" i="1"/>
  <c r="N303" i="1" s="1"/>
  <c r="M239" i="1"/>
  <c r="N239" i="1" s="1"/>
  <c r="M223" i="1"/>
  <c r="N223" i="1" s="1"/>
  <c r="M175" i="1"/>
  <c r="N175" i="1" s="1"/>
  <c r="M127" i="1"/>
  <c r="N127" i="1" s="1"/>
  <c r="M79" i="1"/>
  <c r="N79" i="1" s="1"/>
  <c r="M63" i="1"/>
  <c r="N63" i="1" s="1"/>
  <c r="M67" i="1"/>
  <c r="N67" i="1" s="1"/>
  <c r="M270" i="1"/>
  <c r="N270" i="1" s="1"/>
  <c r="M222" i="1"/>
  <c r="N222" i="1" s="1"/>
  <c r="M174" i="1"/>
  <c r="N174" i="1" s="1"/>
  <c r="M126" i="1"/>
  <c r="N126" i="1" s="1"/>
  <c r="M30" i="1"/>
  <c r="N30" i="1" s="1"/>
  <c r="M77" i="1"/>
  <c r="N77" i="1" s="1"/>
  <c r="M274" i="1"/>
  <c r="N274" i="1" s="1"/>
  <c r="M285" i="1"/>
  <c r="N285" i="1" s="1"/>
  <c r="M269" i="1"/>
  <c r="N269" i="1" s="1"/>
  <c r="M189" i="1"/>
  <c r="N189" i="1" s="1"/>
  <c r="M157" i="1"/>
  <c r="N157" i="1" s="1"/>
  <c r="M109" i="1"/>
  <c r="N109" i="1" s="1"/>
  <c r="M61" i="1"/>
  <c r="N61" i="1" s="1"/>
  <c r="M76" i="1"/>
  <c r="N76" i="1" s="1"/>
  <c r="M252" i="1"/>
  <c r="N252" i="1" s="1"/>
  <c r="M156" i="1"/>
  <c r="N156" i="1" s="1"/>
  <c r="M60" i="1"/>
  <c r="N60" i="1" s="1"/>
  <c r="M64" i="1"/>
  <c r="N64" i="1" s="1"/>
  <c r="M219" i="1"/>
  <c r="N219" i="1" s="1"/>
  <c r="M139" i="1"/>
  <c r="N139" i="1" s="1"/>
  <c r="M236" i="1"/>
  <c r="N236" i="1" s="1"/>
  <c r="M248" i="1"/>
  <c r="N248" i="1" s="1"/>
  <c r="M204" i="1"/>
  <c r="N204" i="1" s="1"/>
  <c r="M250" i="1"/>
  <c r="N250" i="1" s="1"/>
  <c r="M90" i="1"/>
  <c r="N90" i="1" s="1"/>
  <c r="M235" i="1"/>
  <c r="N235" i="1" s="1"/>
  <c r="M107" i="1"/>
  <c r="N107" i="1" s="1"/>
  <c r="M29" i="1"/>
  <c r="N29" i="1" s="1"/>
  <c r="M291" i="1"/>
  <c r="N291" i="1" s="1"/>
  <c r="M243" i="1"/>
  <c r="N243" i="1" s="1"/>
  <c r="M195" i="1"/>
  <c r="N195" i="1" s="1"/>
  <c r="M131" i="1"/>
  <c r="N131" i="1" s="1"/>
  <c r="M35" i="1"/>
  <c r="N35" i="1" s="1"/>
  <c r="M306" i="1"/>
  <c r="N306" i="1" s="1"/>
  <c r="M226" i="1"/>
  <c r="N226" i="1" s="1"/>
  <c r="M178" i="1"/>
  <c r="N178" i="1" s="1"/>
  <c r="M146" i="1"/>
  <c r="N146" i="1" s="1"/>
  <c r="M114" i="1"/>
  <c r="N114" i="1" s="1"/>
  <c r="M98" i="1"/>
  <c r="N98" i="1" s="1"/>
  <c r="M34" i="1"/>
  <c r="N34" i="1" s="1"/>
  <c r="M273" i="1"/>
  <c r="N273" i="1" s="1"/>
  <c r="M241" i="1"/>
  <c r="N241" i="1" s="1"/>
  <c r="M209" i="1"/>
  <c r="N209" i="1" s="1"/>
  <c r="M177" i="1"/>
  <c r="N177" i="1" s="1"/>
  <c r="M129" i="1"/>
  <c r="N129" i="1" s="1"/>
  <c r="M81" i="1"/>
  <c r="N81" i="1" s="1"/>
  <c r="M33" i="1"/>
  <c r="N33" i="1" s="1"/>
  <c r="M288" i="1"/>
  <c r="N288" i="1" s="1"/>
  <c r="M240" i="1"/>
  <c r="N240" i="1" s="1"/>
  <c r="M192" i="1"/>
  <c r="N192" i="1" s="1"/>
  <c r="M144" i="1"/>
  <c r="N144" i="1" s="1"/>
  <c r="M80" i="1"/>
  <c r="N80" i="1" s="1"/>
  <c r="M32" i="1"/>
  <c r="N32" i="1" s="1"/>
  <c r="M287" i="1"/>
  <c r="N287" i="1" s="1"/>
  <c r="M191" i="1"/>
  <c r="N191" i="1" s="1"/>
  <c r="M159" i="1"/>
  <c r="N159" i="1" s="1"/>
  <c r="M143" i="1"/>
  <c r="N143" i="1" s="1"/>
  <c r="M95" i="1"/>
  <c r="N95" i="1" s="1"/>
  <c r="M47" i="1"/>
  <c r="N47" i="1" s="1"/>
  <c r="M31" i="1"/>
  <c r="N31" i="1" s="1"/>
  <c r="M275" i="1"/>
  <c r="N275" i="1" s="1"/>
  <c r="M286" i="1"/>
  <c r="N286" i="1" s="1"/>
  <c r="M238" i="1"/>
  <c r="N238" i="1" s="1"/>
  <c r="M190" i="1"/>
  <c r="N190" i="1" s="1"/>
  <c r="M142" i="1"/>
  <c r="N142" i="1" s="1"/>
  <c r="M78" i="1"/>
  <c r="N78" i="1" s="1"/>
  <c r="M66" i="1"/>
  <c r="N66" i="1" s="1"/>
  <c r="M253" i="1"/>
  <c r="N253" i="1" s="1"/>
  <c r="M205" i="1"/>
  <c r="N205" i="1" s="1"/>
  <c r="M173" i="1"/>
  <c r="N173" i="1" s="1"/>
  <c r="M125" i="1"/>
  <c r="N125" i="1" s="1"/>
  <c r="M93" i="1"/>
  <c r="N93" i="1" s="1"/>
  <c r="M45" i="1"/>
  <c r="N45" i="1" s="1"/>
  <c r="M65" i="1"/>
  <c r="N65" i="1" s="1"/>
  <c r="M268" i="1"/>
  <c r="N268" i="1" s="1"/>
  <c r="M172" i="1"/>
  <c r="N172" i="1" s="1"/>
  <c r="M92" i="1"/>
  <c r="N92" i="1" s="1"/>
  <c r="M283" i="1"/>
  <c r="N283" i="1" s="1"/>
  <c r="M43" i="1"/>
  <c r="N43" i="1" s="1"/>
  <c r="M237" i="1"/>
  <c r="N237" i="1" s="1"/>
  <c r="M251" i="1"/>
  <c r="N251" i="1" s="1"/>
  <c r="M111" i="1"/>
  <c r="N111" i="1" s="1"/>
  <c r="M201" i="1"/>
  <c r="N201" i="1" s="1"/>
  <c r="M166" i="1"/>
  <c r="N166" i="1" s="1"/>
  <c r="M234" i="1"/>
  <c r="N234" i="1" s="1"/>
  <c r="M106" i="1"/>
  <c r="N106" i="1" s="1"/>
  <c r="R3" i="1" a="1"/>
  <c r="S32" i="1" s="1"/>
  <c r="M3" i="1"/>
  <c r="N3" i="1" s="1"/>
  <c r="S21" i="1" l="1"/>
  <c r="S24" i="1"/>
  <c r="S25" i="1"/>
  <c r="S26" i="1"/>
  <c r="S23" i="1"/>
  <c r="S22" i="1"/>
  <c r="S28" i="1"/>
  <c r="S29" i="1"/>
  <c r="S27" i="1"/>
  <c r="S30" i="1"/>
  <c r="S20" i="1"/>
  <c r="S31" i="1"/>
  <c r="R3" i="1"/>
  <c r="B8" i="1" s="1"/>
  <c r="S33" i="1"/>
  <c r="S19" i="1"/>
  <c r="S18" i="1"/>
  <c r="S6" i="1"/>
  <c r="S7" i="1"/>
  <c r="S12" i="1"/>
  <c r="S10" i="1"/>
  <c r="S5" i="1"/>
  <c r="S9" i="1"/>
  <c r="S11" i="1"/>
  <c r="S17" i="1"/>
  <c r="S13" i="1"/>
  <c r="S4" i="1"/>
  <c r="S16" i="1"/>
  <c r="S8" i="1"/>
  <c r="S15" i="1"/>
  <c r="S14" i="1"/>
  <c r="X14" i="1" l="1"/>
  <c r="K8" i="2"/>
  <c r="K11" i="2" s="1"/>
  <c r="S3" i="1"/>
  <c r="X8" i="1" s="1"/>
  <c r="B12" i="1"/>
  <c r="B11" i="1"/>
  <c r="X4" i="1" l="1"/>
  <c r="Y4" i="1" s="1"/>
  <c r="K12" i="2"/>
  <c r="X6" i="1"/>
  <c r="X9" i="1" s="1"/>
  <c r="X7" i="1"/>
  <c r="X12" i="1" l="1"/>
  <c r="X13" i="1" s="1"/>
  <c r="X16" i="1" s="1"/>
  <c r="X17" i="1" l="1"/>
  <c r="X20" i="1" s="1"/>
  <c r="X24" i="1" s="1"/>
  <c r="X23" i="1" l="1"/>
  <c r="X22" i="1" s="1"/>
  <c r="A21" i="1" s="1"/>
  <c r="J24" i="2" s="1"/>
  <c r="A17" i="1"/>
  <c r="J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<sst xmlns="http://schemas.openxmlformats.org/spreadsheetml/2006/main" count="687" uniqueCount="105">
  <si>
    <t>Precisão requerida</t>
  </si>
  <si>
    <t>Nível de probabilidade</t>
  </si>
  <si>
    <t>Informações do Levantamento &gt;&gt;</t>
  </si>
  <si>
    <t>Tamanho total da área considerada</t>
  </si>
  <si>
    <t>Tamanho da parcela (ha)</t>
  </si>
  <si>
    <t>Número de parcelas alocadas (n)</t>
  </si>
  <si>
    <t>Área total amostrada (ha)</t>
  </si>
  <si>
    <t>Parcela</t>
  </si>
  <si>
    <t>Parc</t>
  </si>
  <si>
    <t>Alt</t>
  </si>
  <si>
    <t>PAP</t>
  </si>
  <si>
    <t>DAP</t>
  </si>
  <si>
    <t>AB</t>
  </si>
  <si>
    <t>Vol</t>
  </si>
  <si>
    <t>Vol (FF)</t>
  </si>
  <si>
    <t xml:space="preserve">FF = </t>
  </si>
  <si>
    <t>Vol (m3)</t>
  </si>
  <si>
    <t>Percentual de Amostragen (n/N)</t>
  </si>
  <si>
    <t>Fator de correção</t>
  </si>
  <si>
    <t>População</t>
  </si>
  <si>
    <t>Volume médio</t>
  </si>
  <si>
    <t>Variância Amostral</t>
  </si>
  <si>
    <t>Desvio Padrão</t>
  </si>
  <si>
    <t>Coeficiente de Variação</t>
  </si>
  <si>
    <t>Variância da média</t>
  </si>
  <si>
    <t>Erro padrão da Média</t>
  </si>
  <si>
    <t>t Student</t>
  </si>
  <si>
    <t>Erro Amostral Absoluto</t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</si>
  <si>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</si>
  <si>
    <t>Erro Amostral Relativo</t>
  </si>
  <si>
    <t>Erro  Amostral Absoluto Aceitável</t>
  </si>
  <si>
    <t>Parcelas Necessárias</t>
  </si>
  <si>
    <t xml:space="preserve">   População Finita</t>
  </si>
  <si>
    <t xml:space="preserve">   População Infinita</t>
  </si>
  <si>
    <t>Suficiencia (segundo o volume de madeira)</t>
  </si>
  <si>
    <r>
      <t>Tamanho da parcela (em 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</si>
  <si>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t>DADOS DAS PARCELAS&gt;&gt;</t>
  </si>
  <si>
    <t>Volume por parcela&gt;&gt;</t>
  </si>
  <si>
    <t>Suficiência&gt;&gt;</t>
  </si>
  <si>
    <t>Vol. ( fator de forma)&gt;&gt;</t>
  </si>
  <si>
    <t>Número máximo de parcelas (N)</t>
  </si>
  <si>
    <t>Preencher apenas os dados das células em branco</t>
  </si>
  <si>
    <t>Dados Originais do Levantamento (colar sem formatação)</t>
  </si>
  <si>
    <t>Dados Gerais sobre a área</t>
  </si>
  <si>
    <t>Espécie</t>
  </si>
  <si>
    <r>
      <rPr>
        <b/>
        <sz val="14"/>
        <color rgb="FF000000"/>
        <rFont val="Calibri"/>
        <family val="2"/>
      </rPr>
      <t xml:space="preserve">no.  </t>
    </r>
    <r>
      <rPr>
        <b/>
        <sz val="14"/>
        <color indexed="8"/>
        <rFont val="Calibri"/>
        <family val="2"/>
      </rPr>
      <t>mínimo de parcelas para a suficiência</t>
    </r>
  </si>
  <si>
    <t>Allophylus edulis</t>
  </si>
  <si>
    <t>Bauhinia forficata</t>
  </si>
  <si>
    <t>Dracaena marginata</t>
  </si>
  <si>
    <t>Gymnanthes klotzschiana</t>
  </si>
  <si>
    <t>Ocotea puberulla</t>
  </si>
  <si>
    <t>Senna macranthera</t>
  </si>
  <si>
    <t>Ligustrum lucidum</t>
  </si>
  <si>
    <t>Annona emarginata</t>
  </si>
  <si>
    <t>Eriobotrya japonica</t>
  </si>
  <si>
    <t>Solanum sanctae-catharinae</t>
  </si>
  <si>
    <t>Eugenia uniflora</t>
  </si>
  <si>
    <t>Myrrhinium atropurpureum</t>
  </si>
  <si>
    <t>Cinnamodendron dinisii</t>
  </si>
  <si>
    <t>Hovenia dulcis</t>
  </si>
  <si>
    <t>Duranta vestita</t>
  </si>
  <si>
    <t>Pittosporum undulatum</t>
  </si>
  <si>
    <t>Scutia buxifolia</t>
  </si>
  <si>
    <t>Sebastiania brasiliensis</t>
  </si>
  <si>
    <t>Schinus terebinthifolium</t>
  </si>
  <si>
    <t>Lithraea brasiliensis</t>
  </si>
  <si>
    <t>Lonchocarpus cultratus</t>
  </si>
  <si>
    <t>Prunus brasiliensis</t>
  </si>
  <si>
    <t>Xylosma pseudosalzmannii</t>
  </si>
  <si>
    <t>Cordyline spectabilis</t>
  </si>
  <si>
    <t>Banisteria pagua</t>
  </si>
  <si>
    <t>Passiflora actinia</t>
  </si>
  <si>
    <t>Erythrina speciosa</t>
  </si>
  <si>
    <t>Blepharocalyx salicifolius</t>
  </si>
  <si>
    <t>Cupania vernalis</t>
  </si>
  <si>
    <t>Myrsine coriacea</t>
  </si>
  <si>
    <t>Pithecoctenium crucigerum</t>
  </si>
  <si>
    <t>Persea americana</t>
  </si>
  <si>
    <t>Myrcianthes gigantea</t>
  </si>
  <si>
    <t>Campomanesia xanthocarpa</t>
  </si>
  <si>
    <t>Iochroma arborescens</t>
  </si>
  <si>
    <t>Myrcia glomerata</t>
  </si>
  <si>
    <t>Morus nigra</t>
  </si>
  <si>
    <t>Não identificada</t>
  </si>
  <si>
    <t>Psidium cattleyanum</t>
  </si>
  <si>
    <t>Dalbergia frutescens</t>
  </si>
  <si>
    <t>Luehea divaricata</t>
  </si>
  <si>
    <t>Casearia floribunda</t>
  </si>
  <si>
    <t>Myrsine umbellata</t>
  </si>
  <si>
    <t>Vitex megapotamica</t>
  </si>
  <si>
    <t>Erythroxylum deciduum</t>
  </si>
  <si>
    <t>Guettarda uruguensis</t>
  </si>
  <si>
    <t>Erythrina crista-galli</t>
  </si>
  <si>
    <t>Solanum pseudoquina</t>
  </si>
  <si>
    <t>Heteropterys intermedia</t>
  </si>
  <si>
    <t>Matayba elaeagnoides</t>
  </si>
  <si>
    <t>Euterpe edulis</t>
  </si>
  <si>
    <t>Roupala montana</t>
  </si>
  <si>
    <t>Machaerium stipitatum</t>
  </si>
  <si>
    <t>Myrcia selloi</t>
  </si>
  <si>
    <t>Araucaria heterophylla</t>
  </si>
  <si>
    <t>Podocarpus lambertii</t>
  </si>
  <si>
    <t>Lafoensia pacari</t>
  </si>
  <si>
    <t>Prof. Dr. Rodrigo de Andrade Kersten</t>
  </si>
  <si>
    <t>Disciplina de Inventário e Avaliação da Biodiversidade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</si>
</sst>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3" tint="9.9978637043366805E-2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Calibri"/>
      <family val="2"/>
    </font>
    <font>
      <sz val="14"/>
      <color indexed="8"/>
      <name val="Calibri"/>
      <family val="2"/>
    </font>
    <font>
      <b/>
      <sz val="11"/>
      <color rgb="FFFF0000"/>
      <name val="Aptos Narrow"/>
      <family val="2"/>
      <scheme val="minor"/>
    </font>
    <font>
      <b/>
      <sz val="14"/>
      <color indexed="8"/>
      <name val="Calibri"/>
      <family val="2"/>
    </font>
    <font>
      <b/>
      <sz val="14"/>
      <color rgb="FF000000"/>
      <name val="Calibri"/>
      <family val="2"/>
    </font>
    <font>
      <b/>
      <sz val="16"/>
      <color indexed="8"/>
      <name val="Calibri"/>
      <family val="2"/>
    </font>
    <font>
      <b/>
      <sz val="11"/>
      <color theme="4" tint="-0.499984740745262"/>
      <name val="Aptos Narrow"/>
      <family val="2"/>
      <scheme val="minor"/>
    </font>
    <font>
      <b/>
      <sz val="10"/>
      <color theme="4" tint="-0.499984740745262"/>
      <name val="Aptos Narrow"/>
      <family val="2"/>
      <scheme val="minor"/>
    </font>
    <font>
      <b/>
      <sz val="14"/>
      <color theme="9" tint="-0.49998474074526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67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0" fillId="3" borderId="0" xfId="0" applyFill="1"/>
    <xf numFmtId="0" fontId="8" fillId="3" borderId="0" xfId="2" applyFill="1"/>
    <xf numFmtId="49" fontId="8" fillId="3" borderId="0" xfId="2" applyNumberFormat="1" applyFill="1"/>
    <xf numFmtId="165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0" xfId="0" applyNumberFormat="1" applyFill="1"/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0" applyNumberFormat="1" applyFill="1"/>
    <xf numFmtId="0" fontId="4" fillId="3" borderId="0" xfId="0" applyFont="1" applyFill="1" applyAlignment="1">
      <alignment horizontal="center"/>
    </xf>
    <xf numFmtId="166" fontId="0" fillId="3" borderId="0" xfId="1" applyNumberFormat="1" applyFont="1" applyFill="1"/>
    <xf numFmtId="9" fontId="0" fillId="3" borderId="0" xfId="0" applyNumberFormat="1" applyFill="1"/>
    <xf numFmtId="165" fontId="0" fillId="3" borderId="0" xfId="0" applyNumberFormat="1" applyFill="1"/>
    <xf numFmtId="0" fontId="4" fillId="3" borderId="1" xfId="0" applyFont="1" applyFill="1" applyBorder="1" applyAlignment="1">
      <alignment horizontal="center"/>
    </xf>
    <xf numFmtId="9" fontId="2" fillId="3" borderId="0" xfId="1" applyFont="1" applyFill="1"/>
    <xf numFmtId="0" fontId="2" fillId="3" borderId="1" xfId="0" applyFont="1" applyFill="1" applyBorder="1" applyAlignment="1">
      <alignment horizontal="center"/>
    </xf>
    <xf numFmtId="0" fontId="7" fillId="3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3" fillId="5" borderId="0" xfId="0" applyFont="1" applyFill="1"/>
    <xf numFmtId="0" fontId="0" fillId="5" borderId="0" xfId="0" applyFill="1"/>
    <xf numFmtId="0" fontId="2" fillId="5" borderId="0" xfId="0" applyFont="1" applyFill="1"/>
    <xf numFmtId="164" fontId="0" fillId="5" borderId="0" xfId="0" applyNumberFormat="1" applyFill="1"/>
    <xf numFmtId="0" fontId="3" fillId="4" borderId="0" xfId="0" applyFont="1" applyFill="1" applyAlignment="1">
      <alignment horizontal="right"/>
    </xf>
    <xf numFmtId="0" fontId="0" fillId="3" borderId="10" xfId="0" applyFill="1" applyBorder="1"/>
    <xf numFmtId="2" fontId="0" fillId="3" borderId="10" xfId="0" applyNumberFormat="1" applyFill="1" applyBorder="1"/>
    <xf numFmtId="0" fontId="10" fillId="3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4" borderId="0" xfId="0" applyFont="1" applyFill="1" applyAlignment="1">
      <alignment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2" xfId="0" applyFill="1" applyBorder="1" applyProtection="1">
      <protection locked="0"/>
    </xf>
    <xf numFmtId="0" fontId="0" fillId="2" borderId="3" xfId="0" applyFill="1" applyBorder="1" applyProtection="1">
      <protection locked="0"/>
    </xf>
    <xf numFmtId="9" fontId="0" fillId="2" borderId="3" xfId="1" applyFont="1" applyFill="1" applyBorder="1" applyProtection="1">
      <protection locked="0"/>
    </xf>
    <xf numFmtId="9" fontId="0" fillId="2" borderId="4" xfId="1" applyFont="1" applyFill="1" applyBorder="1" applyProtection="1">
      <protection locked="0"/>
    </xf>
    <xf numFmtId="9" fontId="0" fillId="3" borderId="4" xfId="0" applyNumberFormat="1" applyFill="1" applyBorder="1"/>
    <xf numFmtId="0" fontId="11" fillId="3" borderId="0" xfId="2" applyFont="1" applyFill="1"/>
    <xf numFmtId="0" fontId="13" fillId="3" borderId="0" xfId="2" applyFont="1" applyFill="1"/>
    <xf numFmtId="0" fontId="0" fillId="4" borderId="0" xfId="0" applyFill="1"/>
    <xf numFmtId="0" fontId="2" fillId="4" borderId="0" xfId="0" applyFont="1" applyFill="1" applyAlignment="1">
      <alignment horizontal="center"/>
    </xf>
    <xf numFmtId="0" fontId="8" fillId="4" borderId="0" xfId="2" applyFill="1"/>
    <xf numFmtId="0" fontId="14" fillId="4" borderId="0" xfId="0" applyFont="1" applyFill="1"/>
    <xf numFmtId="0" fontId="14" fillId="4" borderId="0" xfId="0" applyFont="1" applyFill="1" applyAlignment="1">
      <alignment horizontal="center"/>
    </xf>
    <xf numFmtId="0" fontId="14" fillId="4" borderId="0" xfId="0" applyFont="1" applyFill="1" applyAlignment="1">
      <alignment horizontal="left"/>
    </xf>
    <xf numFmtId="0" fontId="15" fillId="4" borderId="0" xfId="0" applyFont="1" applyFill="1" applyAlignment="1">
      <alignment vertical="center"/>
    </xf>
    <xf numFmtId="0" fontId="9" fillId="6" borderId="5" xfId="2" applyFont="1" applyFill="1" applyBorder="1" applyAlignment="1">
      <alignment horizontal="center" vertical="center"/>
    </xf>
    <xf numFmtId="0" fontId="9" fillId="6" borderId="9" xfId="2" applyFont="1" applyFill="1" applyBorder="1" applyAlignment="1">
      <alignment horizontal="center" vertical="center"/>
    </xf>
    <xf numFmtId="0" fontId="9" fillId="6" borderId="6" xfId="2" applyFont="1" applyFill="1" applyBorder="1" applyAlignment="1">
      <alignment horizontal="center" vertical="center"/>
    </xf>
    <xf numFmtId="0" fontId="9" fillId="6" borderId="7" xfId="2" applyFont="1" applyFill="1" applyBorder="1" applyAlignment="1">
      <alignment horizontal="center" vertical="center"/>
    </xf>
    <xf numFmtId="0" fontId="9" fillId="6" borderId="10" xfId="2" applyFont="1" applyFill="1" applyBorder="1" applyAlignment="1">
      <alignment horizontal="center" vertical="center"/>
    </xf>
    <xf numFmtId="0" fontId="9" fillId="6" borderId="8" xfId="2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3" borderId="0" xfId="2" applyFont="1" applyFill="1" applyAlignment="1">
      <alignment horizontal="center" vertical="center"/>
    </xf>
    <xf numFmtId="0" fontId="11" fillId="3" borderId="10" xfId="2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16" fillId="7" borderId="5" xfId="2" applyFont="1" applyFill="1" applyBorder="1" applyAlignment="1">
      <alignment horizontal="center" vertical="center"/>
    </xf>
    <xf numFmtId="0" fontId="16" fillId="7" borderId="9" xfId="2" applyFont="1" applyFill="1" applyBorder="1" applyAlignment="1">
      <alignment horizontal="center" vertical="center"/>
    </xf>
    <xf numFmtId="0" fontId="16" fillId="7" borderId="6" xfId="2" applyFont="1" applyFill="1" applyBorder="1" applyAlignment="1">
      <alignment horizontal="center" vertical="center"/>
    </xf>
    <xf numFmtId="0" fontId="16" fillId="7" borderId="7" xfId="2" applyFont="1" applyFill="1" applyBorder="1" applyAlignment="1">
      <alignment horizontal="center" vertical="center"/>
    </xf>
    <xf numFmtId="0" fontId="16" fillId="7" borderId="10" xfId="2" applyFont="1" applyFill="1" applyBorder="1" applyAlignment="1">
      <alignment horizontal="center" vertical="center"/>
    </xf>
    <xf numFmtId="0" fontId="16" fillId="7" borderId="8" xfId="2" applyFont="1" applyFill="1" applyBorder="1" applyAlignment="1">
      <alignment horizontal="center" vertical="center"/>
    </xf>
  </cellXfs>
  <cellStyles count="3">
    <cellStyle name="Excel Built-in Normal" xfId="2" xr:uid="{2A48A2FB-9842-40B5-A8A9-30F4F1702203}"/>
    <cellStyle name="Normal" xfId="0" builtinId="0"/>
    <cellStyle name="Porcentagem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510540</xdr:colOff>
      <xdr:row>0</xdr:row>
      <xdr:rowOff>22861</xdr:rowOff>
    </xdr:from>
    <xdr:to>
      <xdr:col>12</xdr:col>
      <xdr:colOff>448017</xdr:colOff>
      <xdr:row>1</xdr:row>
      <xdr:rowOff>303061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78B1214-3C8D-7C2C-E235-03FFC443D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1160" y="22861"/>
          <a:ext cx="531837" cy="600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0863-52C5-486D-BB95-16DBE69B347A}">
  <dimension ref="A1:AB626"/>
  <sheetViews>
    <sheetView tabSelected="1" workbookViewId="0">
      <pane ySplit="2" topLeftCell="A3" activePane="bottomLeft" state="frozen"/>
      <selection pane="bottomLeft" activeCell="O9" sqref="O9"/>
    </sheetView>
  </sheetViews>
  <sheetFormatPr defaultRowHeight="14.4" x14ac:dyDescent="0.3"/>
  <cols>
    <col min="1" max="1" width="3.77734375" style="3" customWidth="1"/>
    <col min="2" max="2" width="1.33203125" style="24" customWidth="1"/>
    <col min="3" max="3" width="8.33203125" style="35" customWidth="1"/>
    <col min="4" max="4" width="33.109375" style="35" customWidth="1"/>
    <col min="5" max="5" width="12.5546875" style="35" customWidth="1"/>
    <col min="6" max="6" width="7.5546875" style="35" customWidth="1"/>
    <col min="7" max="7" width="1.33203125" style="24" customWidth="1"/>
    <col min="8" max="9" width="8.88671875" style="3"/>
    <col min="10" max="10" width="31.109375" style="4" customWidth="1"/>
    <col min="11" max="11" width="11" style="5" customWidth="1"/>
    <col min="12" max="13" width="8.6640625" style="4"/>
    <col min="14" max="14" width="14.77734375" style="4" customWidth="1"/>
    <col min="15" max="15" width="8.88671875" style="4"/>
    <col min="16" max="28" width="8.88671875" style="3"/>
  </cols>
  <sheetData>
    <row r="1" spans="2:16" s="20" customFormat="1" ht="25.2" customHeight="1" x14ac:dyDescent="0.35">
      <c r="B1" s="23"/>
      <c r="C1" s="57" t="s">
        <v>42</v>
      </c>
      <c r="D1" s="57"/>
      <c r="E1" s="57"/>
      <c r="F1" s="57"/>
      <c r="G1" s="23"/>
      <c r="I1" s="22"/>
      <c r="J1" s="34" t="s">
        <v>43</v>
      </c>
      <c r="N1" s="20" t="s">
        <v>104</v>
      </c>
    </row>
    <row r="2" spans="2:16" s="44" customFormat="1" ht="25.2" customHeight="1" thickBot="1" x14ac:dyDescent="0.35">
      <c r="B2" s="24"/>
      <c r="C2" s="47" t="s">
        <v>7</v>
      </c>
      <c r="D2" s="47" t="s">
        <v>44</v>
      </c>
      <c r="E2" s="48" t="s">
        <v>10</v>
      </c>
      <c r="F2" s="48" t="s">
        <v>9</v>
      </c>
      <c r="G2" s="24"/>
      <c r="J2" s="49" t="s">
        <v>41</v>
      </c>
      <c r="K2" s="45"/>
      <c r="L2" s="46"/>
      <c r="M2" s="46"/>
      <c r="N2" s="50" t="s">
        <v>103</v>
      </c>
      <c r="O2" s="46"/>
    </row>
    <row r="3" spans="2:16" x14ac:dyDescent="0.3">
      <c r="C3" s="35">
        <v>1</v>
      </c>
      <c r="D3" s="35" t="s">
        <v>46</v>
      </c>
      <c r="E3" s="36">
        <v>19.600000000000001</v>
      </c>
      <c r="F3" s="36">
        <v>4.5</v>
      </c>
      <c r="J3" s="31" t="s">
        <v>3</v>
      </c>
      <c r="K3" s="37">
        <v>5000</v>
      </c>
    </row>
    <row r="4" spans="2:16" ht="16.2" x14ac:dyDescent="0.3">
      <c r="C4" s="35">
        <v>1</v>
      </c>
      <c r="D4" s="35" t="s">
        <v>46</v>
      </c>
      <c r="E4" s="36">
        <v>22.1</v>
      </c>
      <c r="F4" s="36">
        <v>4.5</v>
      </c>
      <c r="J4" s="32" t="s">
        <v>35</v>
      </c>
      <c r="K4" s="38">
        <v>100</v>
      </c>
    </row>
    <row r="5" spans="2:16" x14ac:dyDescent="0.3">
      <c r="C5" s="35">
        <v>1</v>
      </c>
      <c r="D5" s="35" t="s">
        <v>47</v>
      </c>
      <c r="E5" s="36">
        <v>18.100000000000001</v>
      </c>
      <c r="F5" s="36">
        <v>4.5</v>
      </c>
      <c r="J5" s="32" t="s">
        <v>0</v>
      </c>
      <c r="K5" s="39">
        <v>0.2</v>
      </c>
    </row>
    <row r="6" spans="2:16" ht="15" thickBot="1" x14ac:dyDescent="0.35">
      <c r="C6" s="35">
        <v>1</v>
      </c>
      <c r="D6" s="35" t="s">
        <v>47</v>
      </c>
      <c r="E6" s="36">
        <v>23.4</v>
      </c>
      <c r="F6" s="36">
        <v>5</v>
      </c>
      <c r="J6" s="33" t="s">
        <v>1</v>
      </c>
      <c r="K6" s="40">
        <v>0.9</v>
      </c>
    </row>
    <row r="7" spans="2:16" ht="15" thickBot="1" x14ac:dyDescent="0.35">
      <c r="C7" s="35">
        <v>1</v>
      </c>
      <c r="D7" s="35" t="s">
        <v>47</v>
      </c>
      <c r="E7" s="36">
        <v>27</v>
      </c>
      <c r="F7" s="36">
        <v>6</v>
      </c>
      <c r="K7" s="4"/>
      <c r="P7" s="4"/>
    </row>
    <row r="8" spans="2:16" x14ac:dyDescent="0.3">
      <c r="C8" s="35">
        <v>1</v>
      </c>
      <c r="D8" s="35" t="s">
        <v>48</v>
      </c>
      <c r="E8" s="36">
        <v>29.8</v>
      </c>
      <c r="F8" s="36">
        <v>4</v>
      </c>
      <c r="J8" s="31" t="s">
        <v>5</v>
      </c>
      <c r="K8" s="31">
        <f>calc!B8</f>
        <v>30</v>
      </c>
      <c r="P8" s="4"/>
    </row>
    <row r="9" spans="2:16" x14ac:dyDescent="0.3">
      <c r="C9" s="35">
        <v>1</v>
      </c>
      <c r="D9" s="35" t="s">
        <v>49</v>
      </c>
      <c r="E9" s="36">
        <v>56.4</v>
      </c>
      <c r="F9" s="36">
        <v>6</v>
      </c>
      <c r="J9" s="32" t="s">
        <v>4</v>
      </c>
      <c r="K9" s="32">
        <f>K4/10000</f>
        <v>0.01</v>
      </c>
      <c r="P9" s="4"/>
    </row>
    <row r="10" spans="2:16" x14ac:dyDescent="0.3">
      <c r="C10" s="35">
        <v>1</v>
      </c>
      <c r="D10" s="35" t="s">
        <v>49</v>
      </c>
      <c r="E10" s="36">
        <v>28.7</v>
      </c>
      <c r="F10" s="36">
        <v>5</v>
      </c>
      <c r="J10" s="32" t="s">
        <v>40</v>
      </c>
      <c r="K10" s="32">
        <f>ROUNDUP(K3/K4,0)</f>
        <v>50</v>
      </c>
      <c r="P10" s="4"/>
    </row>
    <row r="11" spans="2:16" x14ac:dyDescent="0.3">
      <c r="C11" s="35">
        <v>1</v>
      </c>
      <c r="D11" s="35" t="s">
        <v>49</v>
      </c>
      <c r="E11" s="36">
        <v>16.600000000000001</v>
      </c>
      <c r="F11" s="36">
        <v>4</v>
      </c>
      <c r="J11" s="32" t="s">
        <v>6</v>
      </c>
      <c r="K11" s="32">
        <f>K8*K9</f>
        <v>0.3</v>
      </c>
      <c r="P11" s="4"/>
    </row>
    <row r="12" spans="2:16" ht="15" thickBot="1" x14ac:dyDescent="0.35">
      <c r="C12" s="35">
        <v>1</v>
      </c>
      <c r="D12" s="35" t="s">
        <v>50</v>
      </c>
      <c r="E12" s="36">
        <v>22</v>
      </c>
      <c r="F12" s="36">
        <v>4</v>
      </c>
      <c r="J12" s="33" t="s">
        <v>17</v>
      </c>
      <c r="K12" s="41">
        <f>calc!B12</f>
        <v>0.6</v>
      </c>
      <c r="P12" s="4"/>
    </row>
    <row r="13" spans="2:16" x14ac:dyDescent="0.3">
      <c r="C13" s="35">
        <v>1</v>
      </c>
      <c r="D13" s="35" t="s">
        <v>51</v>
      </c>
      <c r="E13" s="36">
        <v>45</v>
      </c>
      <c r="F13" s="36">
        <v>6</v>
      </c>
      <c r="K13" s="4"/>
      <c r="P13" s="4"/>
    </row>
    <row r="14" spans="2:16" ht="15" customHeight="1" x14ac:dyDescent="0.3">
      <c r="C14" s="35">
        <v>1</v>
      </c>
      <c r="D14" s="35" t="s">
        <v>51</v>
      </c>
      <c r="E14" s="36">
        <v>52</v>
      </c>
      <c r="F14" s="36">
        <v>5</v>
      </c>
      <c r="K14" s="4"/>
      <c r="P14" s="4"/>
    </row>
    <row r="15" spans="2:16" ht="15" customHeight="1" x14ac:dyDescent="0.35">
      <c r="C15" s="35">
        <v>1</v>
      </c>
      <c r="D15" s="35" t="s">
        <v>51</v>
      </c>
      <c r="E15" s="36">
        <v>21.5</v>
      </c>
      <c r="F15" s="36">
        <v>3</v>
      </c>
      <c r="K15" s="42"/>
      <c r="L15" s="42"/>
      <c r="M15" s="42"/>
      <c r="P15" s="4"/>
    </row>
    <row r="16" spans="2:16" ht="15" customHeight="1" x14ac:dyDescent="0.3">
      <c r="C16" s="35">
        <v>1</v>
      </c>
      <c r="D16" s="35" t="s">
        <v>47</v>
      </c>
      <c r="E16" s="36">
        <v>46.5</v>
      </c>
      <c r="F16" s="36">
        <v>8</v>
      </c>
      <c r="J16" s="58" t="s">
        <v>34</v>
      </c>
      <c r="K16" s="58"/>
      <c r="L16" s="58"/>
      <c r="M16" s="58"/>
      <c r="P16" s="4"/>
    </row>
    <row r="17" spans="3:16" ht="15" customHeight="1" thickBot="1" x14ac:dyDescent="0.35">
      <c r="C17" s="35">
        <v>1</v>
      </c>
      <c r="D17" s="35" t="s">
        <v>47</v>
      </c>
      <c r="E17" s="36">
        <v>149.5</v>
      </c>
      <c r="F17" s="36">
        <v>10</v>
      </c>
      <c r="J17" s="59"/>
      <c r="K17" s="59"/>
      <c r="L17" s="59"/>
      <c r="M17" s="59"/>
      <c r="P17" s="4"/>
    </row>
    <row r="18" spans="3:16" ht="15" customHeight="1" x14ac:dyDescent="0.3">
      <c r="C18" s="35">
        <v>1</v>
      </c>
      <c r="D18" s="35" t="s">
        <v>52</v>
      </c>
      <c r="E18" s="36">
        <v>53.1</v>
      </c>
      <c r="F18" s="36">
        <v>8</v>
      </c>
      <c r="J18" s="61" t="str">
        <f>calc!A17</f>
        <v>Atingiu a suficiência</v>
      </c>
      <c r="K18" s="62"/>
      <c r="L18" s="62"/>
      <c r="M18" s="63"/>
      <c r="O18" s="3"/>
    </row>
    <row r="19" spans="3:16" ht="15" customHeight="1" thickBot="1" x14ac:dyDescent="0.35">
      <c r="C19" s="35">
        <v>1</v>
      </c>
      <c r="D19" s="35" t="s">
        <v>52</v>
      </c>
      <c r="E19" s="36">
        <v>96.4</v>
      </c>
      <c r="F19" s="36">
        <v>9</v>
      </c>
      <c r="J19" s="64"/>
      <c r="K19" s="65"/>
      <c r="L19" s="65"/>
      <c r="M19" s="66"/>
      <c r="O19" s="3"/>
    </row>
    <row r="20" spans="3:16" ht="15" customHeight="1" x14ac:dyDescent="0.3">
      <c r="C20" s="35">
        <v>1</v>
      </c>
      <c r="D20" s="35" t="s">
        <v>50</v>
      </c>
      <c r="E20" s="36">
        <v>69</v>
      </c>
      <c r="F20" s="36">
        <v>8</v>
      </c>
      <c r="K20" s="4"/>
      <c r="O20" s="3"/>
    </row>
    <row r="21" spans="3:16" ht="15" customHeight="1" x14ac:dyDescent="0.4">
      <c r="C21" s="35">
        <v>2</v>
      </c>
      <c r="D21" s="35" t="s">
        <v>53</v>
      </c>
      <c r="E21" s="36">
        <v>24</v>
      </c>
      <c r="F21" s="36">
        <v>7</v>
      </c>
      <c r="K21" s="43"/>
      <c r="L21" s="43"/>
      <c r="M21" s="43"/>
      <c r="O21" s="3"/>
    </row>
    <row r="22" spans="3:16" ht="15" customHeight="1" x14ac:dyDescent="0.3">
      <c r="C22" s="35">
        <v>2</v>
      </c>
      <c r="D22" s="35" t="s">
        <v>47</v>
      </c>
      <c r="E22" s="36">
        <v>56.8</v>
      </c>
      <c r="F22" s="36">
        <v>7</v>
      </c>
      <c r="J22" s="58" t="s">
        <v>45</v>
      </c>
      <c r="K22" s="58"/>
      <c r="L22" s="58"/>
      <c r="M22" s="58"/>
      <c r="O22" s="3"/>
    </row>
    <row r="23" spans="3:16" ht="15" customHeight="1" thickBot="1" x14ac:dyDescent="0.35">
      <c r="C23" s="35">
        <v>2</v>
      </c>
      <c r="D23" s="35" t="s">
        <v>51</v>
      </c>
      <c r="E23" s="36">
        <v>36.799999999999997</v>
      </c>
      <c r="F23" s="36">
        <v>7</v>
      </c>
      <c r="J23" s="59"/>
      <c r="K23" s="59"/>
      <c r="L23" s="59"/>
      <c r="M23" s="59"/>
      <c r="O23" s="3"/>
    </row>
    <row r="24" spans="3:16" ht="15" customHeight="1" x14ac:dyDescent="0.3">
      <c r="C24" s="35">
        <v>2</v>
      </c>
      <c r="D24" s="35" t="s">
        <v>46</v>
      </c>
      <c r="E24" s="36">
        <v>23.2</v>
      </c>
      <c r="F24" s="36">
        <v>5</v>
      </c>
      <c r="J24" s="51">
        <f>calc!A21</f>
        <v>15</v>
      </c>
      <c r="K24" s="52"/>
      <c r="L24" s="52"/>
      <c r="M24" s="53"/>
      <c r="O24" s="3"/>
    </row>
    <row r="25" spans="3:16" ht="15" customHeight="1" thickBot="1" x14ac:dyDescent="0.35">
      <c r="C25" s="35">
        <v>2</v>
      </c>
      <c r="D25" s="35" t="s">
        <v>46</v>
      </c>
      <c r="E25" s="36">
        <v>18.5</v>
      </c>
      <c r="F25" s="36">
        <v>5</v>
      </c>
      <c r="J25" s="54"/>
      <c r="K25" s="55"/>
      <c r="L25" s="55"/>
      <c r="M25" s="56"/>
      <c r="O25" s="3"/>
    </row>
    <row r="26" spans="3:16" x14ac:dyDescent="0.3">
      <c r="C26" s="35">
        <v>2</v>
      </c>
      <c r="D26" s="35" t="s">
        <v>47</v>
      </c>
      <c r="E26" s="36">
        <v>18</v>
      </c>
      <c r="F26" s="36">
        <v>3</v>
      </c>
      <c r="K26" s="4"/>
      <c r="O26" s="3"/>
    </row>
    <row r="27" spans="3:16" x14ac:dyDescent="0.3">
      <c r="C27" s="35">
        <v>2</v>
      </c>
      <c r="D27" s="35" t="s">
        <v>47</v>
      </c>
      <c r="E27" s="36">
        <v>17.2</v>
      </c>
      <c r="F27" s="36">
        <v>3.5</v>
      </c>
      <c r="K27" s="4"/>
      <c r="O27" s="3"/>
    </row>
    <row r="28" spans="3:16" x14ac:dyDescent="0.3">
      <c r="C28" s="35">
        <v>2</v>
      </c>
      <c r="D28" s="35" t="s">
        <v>54</v>
      </c>
      <c r="E28" s="36">
        <v>19.600000000000001</v>
      </c>
      <c r="F28" s="36">
        <v>4</v>
      </c>
      <c r="O28" s="3"/>
    </row>
    <row r="29" spans="3:16" x14ac:dyDescent="0.3">
      <c r="C29" s="35">
        <v>2</v>
      </c>
      <c r="D29" s="35" t="s">
        <v>49</v>
      </c>
      <c r="E29" s="36">
        <v>18</v>
      </c>
      <c r="F29" s="36">
        <v>4</v>
      </c>
      <c r="O29" s="3"/>
    </row>
    <row r="30" spans="3:16" x14ac:dyDescent="0.3">
      <c r="C30" s="35">
        <v>2</v>
      </c>
      <c r="D30" s="35" t="s">
        <v>49</v>
      </c>
      <c r="E30" s="36">
        <v>52</v>
      </c>
      <c r="F30" s="36">
        <v>6</v>
      </c>
    </row>
    <row r="31" spans="3:16" x14ac:dyDescent="0.3">
      <c r="C31" s="35">
        <v>2</v>
      </c>
      <c r="D31" s="35" t="s">
        <v>55</v>
      </c>
      <c r="E31" s="36">
        <v>29</v>
      </c>
      <c r="F31" s="36">
        <v>6</v>
      </c>
    </row>
    <row r="32" spans="3:16" x14ac:dyDescent="0.3">
      <c r="C32" s="35">
        <v>2</v>
      </c>
      <c r="D32" s="35" t="s">
        <v>47</v>
      </c>
      <c r="E32" s="36">
        <v>46.5</v>
      </c>
      <c r="F32" s="36">
        <v>8</v>
      </c>
    </row>
    <row r="33" spans="3:6" x14ac:dyDescent="0.3">
      <c r="C33" s="35">
        <v>2</v>
      </c>
      <c r="D33" s="35" t="s">
        <v>47</v>
      </c>
      <c r="E33" s="36">
        <v>50.2</v>
      </c>
      <c r="F33" s="36">
        <v>8</v>
      </c>
    </row>
    <row r="34" spans="3:6" x14ac:dyDescent="0.3">
      <c r="C34" s="35">
        <v>2</v>
      </c>
      <c r="D34" s="35" t="s">
        <v>47</v>
      </c>
      <c r="E34" s="36">
        <v>39.5</v>
      </c>
      <c r="F34" s="36">
        <v>8</v>
      </c>
    </row>
    <row r="35" spans="3:6" x14ac:dyDescent="0.3">
      <c r="C35" s="35">
        <v>2</v>
      </c>
      <c r="D35" s="35" t="s">
        <v>47</v>
      </c>
      <c r="E35" s="36">
        <v>65.2</v>
      </c>
      <c r="F35" s="36">
        <v>9</v>
      </c>
    </row>
    <row r="36" spans="3:6" x14ac:dyDescent="0.3">
      <c r="C36" s="35">
        <v>2</v>
      </c>
      <c r="D36" s="35" t="s">
        <v>49</v>
      </c>
      <c r="E36" s="36">
        <v>85.2</v>
      </c>
      <c r="F36" s="36">
        <v>10</v>
      </c>
    </row>
    <row r="37" spans="3:6" x14ac:dyDescent="0.3">
      <c r="C37" s="35">
        <v>2</v>
      </c>
      <c r="D37" s="35" t="s">
        <v>49</v>
      </c>
      <c r="E37" s="36">
        <v>64.2</v>
      </c>
      <c r="F37" s="36">
        <v>8</v>
      </c>
    </row>
    <row r="38" spans="3:6" x14ac:dyDescent="0.3">
      <c r="C38" s="35">
        <v>2</v>
      </c>
      <c r="D38" s="35" t="s">
        <v>49</v>
      </c>
      <c r="E38" s="36">
        <v>85.2</v>
      </c>
      <c r="F38" s="36">
        <v>9</v>
      </c>
    </row>
    <row r="39" spans="3:6" x14ac:dyDescent="0.3">
      <c r="C39" s="35">
        <v>2</v>
      </c>
      <c r="D39" s="35" t="s">
        <v>49</v>
      </c>
      <c r="E39" s="36">
        <v>55.1</v>
      </c>
      <c r="F39" s="36">
        <v>10</v>
      </c>
    </row>
    <row r="40" spans="3:6" x14ac:dyDescent="0.3">
      <c r="C40" s="35">
        <v>2</v>
      </c>
      <c r="D40" s="35" t="s">
        <v>49</v>
      </c>
      <c r="E40" s="36">
        <v>77.5</v>
      </c>
      <c r="F40" s="36">
        <v>9.5</v>
      </c>
    </row>
    <row r="41" spans="3:6" x14ac:dyDescent="0.3">
      <c r="C41" s="35">
        <v>2</v>
      </c>
      <c r="D41" s="35" t="s">
        <v>50</v>
      </c>
      <c r="E41" s="36">
        <v>60</v>
      </c>
      <c r="F41" s="36">
        <v>9</v>
      </c>
    </row>
    <row r="42" spans="3:6" x14ac:dyDescent="0.3">
      <c r="C42" s="35">
        <v>2</v>
      </c>
      <c r="D42" s="35" t="s">
        <v>50</v>
      </c>
      <c r="E42" s="36">
        <v>76.5</v>
      </c>
      <c r="F42" s="36">
        <v>9</v>
      </c>
    </row>
    <row r="43" spans="3:6" x14ac:dyDescent="0.3">
      <c r="C43" s="35">
        <v>2</v>
      </c>
      <c r="D43" s="35" t="s">
        <v>50</v>
      </c>
      <c r="E43" s="36">
        <v>71.7</v>
      </c>
      <c r="F43" s="36">
        <v>10</v>
      </c>
    </row>
    <row r="44" spans="3:6" x14ac:dyDescent="0.3">
      <c r="C44" s="35">
        <v>2</v>
      </c>
      <c r="D44" s="35" t="s">
        <v>51</v>
      </c>
      <c r="E44" s="36">
        <v>92.5</v>
      </c>
      <c r="F44" s="36">
        <v>8.5</v>
      </c>
    </row>
    <row r="45" spans="3:6" x14ac:dyDescent="0.3">
      <c r="C45" s="35">
        <v>3</v>
      </c>
      <c r="D45" s="35" t="s">
        <v>46</v>
      </c>
      <c r="E45" s="36">
        <v>112.5</v>
      </c>
      <c r="F45" s="36">
        <v>11</v>
      </c>
    </row>
    <row r="46" spans="3:6" x14ac:dyDescent="0.3">
      <c r="C46" s="35">
        <v>3</v>
      </c>
      <c r="D46" s="35" t="s">
        <v>49</v>
      </c>
      <c r="E46" s="36">
        <v>59</v>
      </c>
      <c r="F46" s="36">
        <v>13</v>
      </c>
    </row>
    <row r="47" spans="3:6" x14ac:dyDescent="0.3">
      <c r="C47" s="35">
        <v>3</v>
      </c>
      <c r="D47" s="35" t="s">
        <v>56</v>
      </c>
      <c r="E47" s="36">
        <v>25.5</v>
      </c>
      <c r="F47" s="36">
        <v>7</v>
      </c>
    </row>
    <row r="48" spans="3:6" x14ac:dyDescent="0.3">
      <c r="C48" s="35">
        <v>3</v>
      </c>
      <c r="D48" s="35" t="s">
        <v>56</v>
      </c>
      <c r="E48" s="36">
        <v>26.1</v>
      </c>
      <c r="F48" s="36">
        <v>7</v>
      </c>
    </row>
    <row r="49" spans="3:6" x14ac:dyDescent="0.3">
      <c r="C49" s="35">
        <v>3</v>
      </c>
      <c r="D49" s="35" t="s">
        <v>49</v>
      </c>
      <c r="E49" s="36">
        <v>108.6</v>
      </c>
      <c r="F49" s="36">
        <v>7</v>
      </c>
    </row>
    <row r="50" spans="3:6" x14ac:dyDescent="0.3">
      <c r="C50" s="35">
        <v>3</v>
      </c>
      <c r="D50" s="35" t="s">
        <v>49</v>
      </c>
      <c r="E50" s="36">
        <v>72</v>
      </c>
      <c r="F50" s="36">
        <v>7.5</v>
      </c>
    </row>
    <row r="51" spans="3:6" x14ac:dyDescent="0.3">
      <c r="C51" s="35">
        <v>3</v>
      </c>
      <c r="D51" s="35" t="s">
        <v>49</v>
      </c>
      <c r="E51" s="36">
        <v>26.8</v>
      </c>
      <c r="F51" s="36">
        <v>7</v>
      </c>
    </row>
    <row r="52" spans="3:6" x14ac:dyDescent="0.3">
      <c r="C52" s="35">
        <v>3</v>
      </c>
      <c r="D52" s="35" t="s">
        <v>49</v>
      </c>
      <c r="E52" s="36">
        <v>49</v>
      </c>
      <c r="F52" s="36">
        <v>7</v>
      </c>
    </row>
    <row r="53" spans="3:6" x14ac:dyDescent="0.3">
      <c r="C53" s="35">
        <v>3</v>
      </c>
      <c r="D53" s="35" t="s">
        <v>57</v>
      </c>
      <c r="E53" s="36">
        <v>36.200000000000003</v>
      </c>
      <c r="F53" s="36">
        <v>7</v>
      </c>
    </row>
    <row r="54" spans="3:6" x14ac:dyDescent="0.3">
      <c r="C54" s="35">
        <v>3</v>
      </c>
      <c r="D54" s="35" t="s">
        <v>57</v>
      </c>
      <c r="E54" s="36">
        <v>49.4</v>
      </c>
      <c r="F54" s="36">
        <v>7</v>
      </c>
    </row>
    <row r="55" spans="3:6" x14ac:dyDescent="0.3">
      <c r="C55" s="35">
        <v>3</v>
      </c>
      <c r="D55" s="35" t="s">
        <v>46</v>
      </c>
      <c r="E55" s="36">
        <v>17.600000000000001</v>
      </c>
      <c r="F55" s="36">
        <v>5</v>
      </c>
    </row>
    <row r="56" spans="3:6" x14ac:dyDescent="0.3">
      <c r="C56" s="35">
        <v>3</v>
      </c>
      <c r="D56" s="35" t="s">
        <v>58</v>
      </c>
      <c r="E56" s="36">
        <v>53</v>
      </c>
      <c r="F56" s="36">
        <v>5.5</v>
      </c>
    </row>
    <row r="57" spans="3:6" x14ac:dyDescent="0.3">
      <c r="C57" s="35">
        <v>3</v>
      </c>
      <c r="D57" s="35" t="s">
        <v>49</v>
      </c>
      <c r="E57" s="36">
        <v>71.3</v>
      </c>
      <c r="F57" s="36">
        <v>6</v>
      </c>
    </row>
    <row r="58" spans="3:6" x14ac:dyDescent="0.3">
      <c r="C58" s="35">
        <v>3</v>
      </c>
      <c r="D58" s="35" t="s">
        <v>59</v>
      </c>
      <c r="E58" s="36">
        <v>20</v>
      </c>
      <c r="F58" s="36">
        <v>5</v>
      </c>
    </row>
    <row r="59" spans="3:6" x14ac:dyDescent="0.3">
      <c r="C59" s="35">
        <v>3</v>
      </c>
      <c r="D59" s="35" t="s">
        <v>60</v>
      </c>
      <c r="E59" s="36">
        <v>36.200000000000003</v>
      </c>
      <c r="F59" s="36">
        <v>8</v>
      </c>
    </row>
    <row r="60" spans="3:6" x14ac:dyDescent="0.3">
      <c r="C60" s="35">
        <v>3</v>
      </c>
      <c r="D60" s="35" t="s">
        <v>49</v>
      </c>
      <c r="E60" s="36">
        <v>41.9</v>
      </c>
      <c r="F60" s="36">
        <v>10</v>
      </c>
    </row>
    <row r="61" spans="3:6" x14ac:dyDescent="0.3">
      <c r="C61" s="35">
        <v>3</v>
      </c>
      <c r="D61" s="35" t="s">
        <v>49</v>
      </c>
      <c r="E61" s="36">
        <v>86.2</v>
      </c>
      <c r="F61" s="36">
        <v>8</v>
      </c>
    </row>
    <row r="62" spans="3:6" x14ac:dyDescent="0.3">
      <c r="C62" s="35">
        <v>3</v>
      </c>
      <c r="D62" s="35" t="s">
        <v>49</v>
      </c>
      <c r="E62" s="36">
        <v>81.5</v>
      </c>
      <c r="F62" s="36">
        <v>9</v>
      </c>
    </row>
    <row r="63" spans="3:6" x14ac:dyDescent="0.3">
      <c r="C63" s="35">
        <v>3</v>
      </c>
      <c r="D63" s="35" t="s">
        <v>49</v>
      </c>
      <c r="E63" s="36">
        <v>69</v>
      </c>
      <c r="F63" s="36">
        <v>9</v>
      </c>
    </row>
    <row r="64" spans="3:6" x14ac:dyDescent="0.3">
      <c r="C64" s="35">
        <v>3</v>
      </c>
      <c r="D64" s="35" t="s">
        <v>49</v>
      </c>
      <c r="E64" s="36">
        <v>56</v>
      </c>
      <c r="F64" s="36">
        <v>8.5</v>
      </c>
    </row>
    <row r="65" spans="3:6" x14ac:dyDescent="0.3">
      <c r="C65" s="35">
        <v>3</v>
      </c>
      <c r="D65" s="35" t="s">
        <v>49</v>
      </c>
      <c r="E65" s="36">
        <v>93.1</v>
      </c>
      <c r="F65" s="36">
        <v>9</v>
      </c>
    </row>
    <row r="66" spans="3:6" x14ac:dyDescent="0.3">
      <c r="C66" s="35">
        <v>3</v>
      </c>
      <c r="D66" s="35" t="s">
        <v>61</v>
      </c>
      <c r="E66" s="36">
        <v>23</v>
      </c>
      <c r="F66" s="36">
        <v>8</v>
      </c>
    </row>
    <row r="67" spans="3:6" x14ac:dyDescent="0.3">
      <c r="C67" s="35">
        <v>3</v>
      </c>
      <c r="D67" s="35" t="s">
        <v>62</v>
      </c>
      <c r="E67" s="36">
        <v>106.8</v>
      </c>
      <c r="F67" s="36">
        <v>10</v>
      </c>
    </row>
    <row r="68" spans="3:6" x14ac:dyDescent="0.3">
      <c r="C68" s="35">
        <v>4</v>
      </c>
      <c r="D68" s="35" t="s">
        <v>49</v>
      </c>
      <c r="E68" s="36">
        <v>42</v>
      </c>
      <c r="F68" s="36">
        <v>7.5</v>
      </c>
    </row>
    <row r="69" spans="3:6" x14ac:dyDescent="0.3">
      <c r="C69" s="35">
        <v>4</v>
      </c>
      <c r="D69" s="35" t="s">
        <v>49</v>
      </c>
      <c r="E69" s="36">
        <v>36.5</v>
      </c>
      <c r="F69" s="36">
        <v>7.5</v>
      </c>
    </row>
    <row r="70" spans="3:6" x14ac:dyDescent="0.3">
      <c r="C70" s="35">
        <v>4</v>
      </c>
      <c r="D70" s="35" t="s">
        <v>49</v>
      </c>
      <c r="E70" s="36">
        <v>50.5</v>
      </c>
      <c r="F70" s="36">
        <v>7</v>
      </c>
    </row>
    <row r="71" spans="3:6" x14ac:dyDescent="0.3">
      <c r="C71" s="35">
        <v>4</v>
      </c>
      <c r="D71" s="35" t="s">
        <v>49</v>
      </c>
      <c r="E71" s="36">
        <v>69.7</v>
      </c>
      <c r="F71" s="36">
        <v>7</v>
      </c>
    </row>
    <row r="72" spans="3:6" x14ac:dyDescent="0.3">
      <c r="C72" s="35">
        <v>4</v>
      </c>
      <c r="D72" s="35" t="s">
        <v>49</v>
      </c>
      <c r="E72" s="36">
        <v>42</v>
      </c>
      <c r="F72" s="36">
        <v>7.5</v>
      </c>
    </row>
    <row r="73" spans="3:6" x14ac:dyDescent="0.3">
      <c r="C73" s="35">
        <v>4</v>
      </c>
      <c r="D73" s="35" t="s">
        <v>50</v>
      </c>
      <c r="E73" s="36">
        <v>51.8</v>
      </c>
      <c r="F73" s="36">
        <v>7</v>
      </c>
    </row>
    <row r="74" spans="3:6" x14ac:dyDescent="0.3">
      <c r="C74" s="35">
        <v>4</v>
      </c>
      <c r="D74" s="35" t="s">
        <v>46</v>
      </c>
      <c r="E74" s="36">
        <v>18.399999999999999</v>
      </c>
      <c r="F74" s="36">
        <v>4.5</v>
      </c>
    </row>
    <row r="75" spans="3:6" x14ac:dyDescent="0.3">
      <c r="C75" s="35">
        <v>4</v>
      </c>
      <c r="D75" s="35" t="s">
        <v>46</v>
      </c>
      <c r="E75" s="36">
        <v>20</v>
      </c>
      <c r="F75" s="36">
        <v>5</v>
      </c>
    </row>
    <row r="76" spans="3:6" x14ac:dyDescent="0.3">
      <c r="C76" s="35">
        <v>4</v>
      </c>
      <c r="D76" s="35" t="s">
        <v>49</v>
      </c>
      <c r="E76" s="36">
        <v>45</v>
      </c>
      <c r="F76" s="36">
        <v>5.5</v>
      </c>
    </row>
    <row r="77" spans="3:6" x14ac:dyDescent="0.3">
      <c r="C77" s="35">
        <v>4</v>
      </c>
      <c r="D77" s="35" t="s">
        <v>49</v>
      </c>
      <c r="E77" s="36">
        <v>39.799999999999997</v>
      </c>
      <c r="F77" s="36">
        <v>6</v>
      </c>
    </row>
    <row r="78" spans="3:6" x14ac:dyDescent="0.3">
      <c r="C78" s="35">
        <v>4</v>
      </c>
      <c r="D78" s="35" t="s">
        <v>49</v>
      </c>
      <c r="E78" s="36">
        <v>67.5</v>
      </c>
      <c r="F78" s="36">
        <v>6.5</v>
      </c>
    </row>
    <row r="79" spans="3:6" x14ac:dyDescent="0.3">
      <c r="C79" s="35">
        <v>4</v>
      </c>
      <c r="D79" s="35" t="s">
        <v>52</v>
      </c>
      <c r="E79" s="36">
        <v>18.2</v>
      </c>
      <c r="F79" s="36">
        <v>5</v>
      </c>
    </row>
    <row r="80" spans="3:6" x14ac:dyDescent="0.3">
      <c r="C80" s="35">
        <v>4</v>
      </c>
      <c r="D80" s="35" t="s">
        <v>52</v>
      </c>
      <c r="E80" s="36">
        <v>24.1</v>
      </c>
      <c r="F80" s="36">
        <v>4.5</v>
      </c>
    </row>
    <row r="81" spans="3:6" x14ac:dyDescent="0.3">
      <c r="C81" s="35">
        <v>4</v>
      </c>
      <c r="D81" s="35" t="s">
        <v>52</v>
      </c>
      <c r="E81" s="36">
        <v>15.3</v>
      </c>
      <c r="F81" s="36">
        <v>3</v>
      </c>
    </row>
    <row r="82" spans="3:6" x14ac:dyDescent="0.3">
      <c r="C82" s="35">
        <v>4</v>
      </c>
      <c r="D82" s="35" t="s">
        <v>63</v>
      </c>
      <c r="E82" s="36">
        <v>20.2</v>
      </c>
      <c r="F82" s="36">
        <v>4.2</v>
      </c>
    </row>
    <row r="83" spans="3:6" x14ac:dyDescent="0.3">
      <c r="C83" s="35">
        <v>4</v>
      </c>
      <c r="D83" s="35" t="s">
        <v>49</v>
      </c>
      <c r="E83" s="36">
        <v>83</v>
      </c>
      <c r="F83" s="36">
        <v>8</v>
      </c>
    </row>
    <row r="84" spans="3:6" x14ac:dyDescent="0.3">
      <c r="C84" s="35">
        <v>4</v>
      </c>
      <c r="D84" s="35" t="s">
        <v>49</v>
      </c>
      <c r="E84" s="36">
        <v>67.3</v>
      </c>
      <c r="F84" s="36">
        <v>8.5</v>
      </c>
    </row>
    <row r="85" spans="3:6" x14ac:dyDescent="0.3">
      <c r="C85" s="35">
        <v>4</v>
      </c>
      <c r="D85" s="35" t="s">
        <v>52</v>
      </c>
      <c r="E85" s="36">
        <v>49</v>
      </c>
      <c r="F85" s="36">
        <v>8</v>
      </c>
    </row>
    <row r="86" spans="3:6" x14ac:dyDescent="0.3">
      <c r="C86" s="35">
        <v>4</v>
      </c>
      <c r="D86" s="35" t="s">
        <v>52</v>
      </c>
      <c r="E86" s="36">
        <v>44.3</v>
      </c>
      <c r="F86" s="36">
        <v>8</v>
      </c>
    </row>
    <row r="87" spans="3:6" x14ac:dyDescent="0.3">
      <c r="C87" s="35">
        <v>4</v>
      </c>
      <c r="D87" s="35" t="s">
        <v>61</v>
      </c>
      <c r="E87" s="36">
        <v>34.5</v>
      </c>
      <c r="F87" s="36">
        <v>8</v>
      </c>
    </row>
    <row r="88" spans="3:6" x14ac:dyDescent="0.3">
      <c r="C88" s="35">
        <v>4</v>
      </c>
      <c r="D88" s="35" t="s">
        <v>64</v>
      </c>
      <c r="E88" s="36">
        <v>70.3</v>
      </c>
      <c r="F88" s="36">
        <v>8</v>
      </c>
    </row>
    <row r="89" spans="3:6" x14ac:dyDescent="0.3">
      <c r="C89" s="35">
        <v>4</v>
      </c>
      <c r="D89" s="35" t="s">
        <v>62</v>
      </c>
      <c r="E89" s="36">
        <v>98.8</v>
      </c>
      <c r="F89" s="36">
        <v>10</v>
      </c>
    </row>
    <row r="90" spans="3:6" x14ac:dyDescent="0.3">
      <c r="C90" s="35">
        <v>5</v>
      </c>
      <c r="D90" s="35" t="s">
        <v>65</v>
      </c>
      <c r="E90" s="36">
        <v>110</v>
      </c>
      <c r="F90" s="36">
        <v>12</v>
      </c>
    </row>
    <row r="91" spans="3:6" x14ac:dyDescent="0.3">
      <c r="C91" s="35">
        <v>5</v>
      </c>
      <c r="D91" s="35" t="s">
        <v>50</v>
      </c>
      <c r="E91" s="36">
        <v>175</v>
      </c>
      <c r="F91" s="36">
        <v>11</v>
      </c>
    </row>
    <row r="92" spans="3:6" x14ac:dyDescent="0.3">
      <c r="C92" s="35">
        <v>5</v>
      </c>
      <c r="D92" s="35" t="s">
        <v>46</v>
      </c>
      <c r="E92" s="36">
        <v>38.700000000000003</v>
      </c>
      <c r="F92" s="36">
        <v>7.5</v>
      </c>
    </row>
    <row r="93" spans="3:6" x14ac:dyDescent="0.3">
      <c r="C93" s="35">
        <v>5</v>
      </c>
      <c r="D93" s="35" t="s">
        <v>56</v>
      </c>
      <c r="E93" s="36">
        <v>36.299999999999997</v>
      </c>
      <c r="F93" s="36">
        <v>7.5</v>
      </c>
    </row>
    <row r="94" spans="3:6" x14ac:dyDescent="0.3">
      <c r="C94" s="35">
        <v>5</v>
      </c>
      <c r="D94" s="35" t="s">
        <v>49</v>
      </c>
      <c r="E94" s="36">
        <v>86</v>
      </c>
      <c r="F94" s="36">
        <v>7</v>
      </c>
    </row>
    <row r="95" spans="3:6" x14ac:dyDescent="0.3">
      <c r="C95" s="35">
        <v>5</v>
      </c>
      <c r="D95" s="35" t="s">
        <v>52</v>
      </c>
      <c r="E95" s="36">
        <v>45.2</v>
      </c>
      <c r="F95" s="36">
        <v>7</v>
      </c>
    </row>
    <row r="96" spans="3:6" x14ac:dyDescent="0.3">
      <c r="C96" s="35">
        <v>5</v>
      </c>
      <c r="D96" s="35" t="s">
        <v>57</v>
      </c>
      <c r="E96" s="36">
        <v>31</v>
      </c>
      <c r="F96" s="36">
        <v>7</v>
      </c>
    </row>
    <row r="97" spans="3:6" x14ac:dyDescent="0.3">
      <c r="C97" s="35">
        <v>5</v>
      </c>
      <c r="D97" s="35" t="s">
        <v>61</v>
      </c>
      <c r="E97" s="36">
        <v>33</v>
      </c>
      <c r="F97" s="36">
        <v>7</v>
      </c>
    </row>
    <row r="98" spans="3:6" x14ac:dyDescent="0.3">
      <c r="C98" s="35">
        <v>5</v>
      </c>
      <c r="D98" s="35" t="s">
        <v>46</v>
      </c>
      <c r="E98" s="36">
        <v>49.5</v>
      </c>
      <c r="F98" s="36">
        <v>6.5</v>
      </c>
    </row>
    <row r="99" spans="3:6" x14ac:dyDescent="0.3">
      <c r="C99" s="35">
        <v>5</v>
      </c>
      <c r="D99" s="35" t="s">
        <v>46</v>
      </c>
      <c r="E99" s="36">
        <v>37.799999999999997</v>
      </c>
      <c r="F99" s="36">
        <v>6.5</v>
      </c>
    </row>
    <row r="100" spans="3:6" x14ac:dyDescent="0.3">
      <c r="C100" s="35">
        <v>5</v>
      </c>
      <c r="D100" s="35" t="s">
        <v>46</v>
      </c>
      <c r="E100" s="36">
        <v>50.5</v>
      </c>
      <c r="F100" s="36">
        <v>6</v>
      </c>
    </row>
    <row r="101" spans="3:6" x14ac:dyDescent="0.3">
      <c r="C101" s="35">
        <v>5</v>
      </c>
      <c r="D101" s="35" t="s">
        <v>49</v>
      </c>
      <c r="E101" s="36">
        <v>41</v>
      </c>
      <c r="F101" s="36">
        <v>6.5</v>
      </c>
    </row>
    <row r="102" spans="3:6" x14ac:dyDescent="0.3">
      <c r="C102" s="35">
        <v>5</v>
      </c>
      <c r="D102" s="35" t="s">
        <v>49</v>
      </c>
      <c r="E102" s="36">
        <v>20.5</v>
      </c>
      <c r="F102" s="36">
        <v>5.5</v>
      </c>
    </row>
    <row r="103" spans="3:6" x14ac:dyDescent="0.3">
      <c r="C103" s="35">
        <v>5</v>
      </c>
      <c r="D103" s="35" t="s">
        <v>49</v>
      </c>
      <c r="E103" s="36">
        <v>33.700000000000003</v>
      </c>
      <c r="F103" s="36">
        <v>6</v>
      </c>
    </row>
    <row r="104" spans="3:6" x14ac:dyDescent="0.3">
      <c r="C104" s="35">
        <v>5</v>
      </c>
      <c r="D104" s="35" t="s">
        <v>49</v>
      </c>
      <c r="E104" s="36">
        <v>48.3</v>
      </c>
      <c r="F104" s="36">
        <v>6</v>
      </c>
    </row>
    <row r="105" spans="3:6" x14ac:dyDescent="0.3">
      <c r="C105" s="35">
        <v>5</v>
      </c>
      <c r="D105" s="35" t="s">
        <v>49</v>
      </c>
      <c r="E105" s="36">
        <v>32.5</v>
      </c>
      <c r="F105" s="36">
        <v>6</v>
      </c>
    </row>
    <row r="106" spans="3:6" x14ac:dyDescent="0.3">
      <c r="C106" s="35">
        <v>5</v>
      </c>
      <c r="D106" s="35" t="s">
        <v>52</v>
      </c>
      <c r="E106" s="36">
        <v>20.8</v>
      </c>
      <c r="F106" s="36">
        <v>6.5</v>
      </c>
    </row>
    <row r="107" spans="3:6" x14ac:dyDescent="0.3">
      <c r="C107" s="35">
        <v>5</v>
      </c>
      <c r="D107" s="35" t="s">
        <v>63</v>
      </c>
      <c r="E107" s="36">
        <v>30.9</v>
      </c>
      <c r="F107" s="36">
        <v>5</v>
      </c>
    </row>
    <row r="108" spans="3:6" x14ac:dyDescent="0.3">
      <c r="C108" s="35">
        <v>5</v>
      </c>
      <c r="D108" s="35" t="s">
        <v>63</v>
      </c>
      <c r="E108" s="36">
        <v>24</v>
      </c>
      <c r="F108" s="36">
        <v>4</v>
      </c>
    </row>
    <row r="109" spans="3:6" x14ac:dyDescent="0.3">
      <c r="C109" s="35">
        <v>5</v>
      </c>
      <c r="D109" s="35" t="s">
        <v>46</v>
      </c>
      <c r="E109" s="36">
        <v>74.599999999999994</v>
      </c>
      <c r="F109" s="36">
        <v>8</v>
      </c>
    </row>
    <row r="110" spans="3:6" x14ac:dyDescent="0.3">
      <c r="C110" s="35">
        <v>5</v>
      </c>
      <c r="D110" s="35" t="s">
        <v>47</v>
      </c>
      <c r="E110" s="36">
        <v>54.6</v>
      </c>
      <c r="F110" s="36">
        <v>8</v>
      </c>
    </row>
    <row r="111" spans="3:6" x14ac:dyDescent="0.3">
      <c r="C111" s="35">
        <v>5</v>
      </c>
      <c r="D111" s="35" t="s">
        <v>49</v>
      </c>
      <c r="E111" s="36">
        <v>71.3</v>
      </c>
      <c r="F111" s="36">
        <v>8</v>
      </c>
    </row>
    <row r="112" spans="3:6" x14ac:dyDescent="0.3">
      <c r="C112" s="35">
        <v>5</v>
      </c>
      <c r="D112" s="35" t="s">
        <v>49</v>
      </c>
      <c r="E112" s="36">
        <v>98.5</v>
      </c>
      <c r="F112" s="36">
        <v>8</v>
      </c>
    </row>
    <row r="113" spans="3:6" x14ac:dyDescent="0.3">
      <c r="C113" s="35">
        <v>5</v>
      </c>
      <c r="D113" s="35" t="s">
        <v>49</v>
      </c>
      <c r="E113" s="36">
        <v>90.8</v>
      </c>
      <c r="F113" s="36">
        <v>10</v>
      </c>
    </row>
    <row r="114" spans="3:6" x14ac:dyDescent="0.3">
      <c r="C114" s="35">
        <v>5</v>
      </c>
      <c r="D114" s="35" t="s">
        <v>49</v>
      </c>
      <c r="E114" s="36">
        <v>147</v>
      </c>
      <c r="F114" s="36">
        <v>10</v>
      </c>
    </row>
    <row r="115" spans="3:6" x14ac:dyDescent="0.3">
      <c r="C115" s="35">
        <v>5</v>
      </c>
      <c r="D115" s="35" t="s">
        <v>49</v>
      </c>
      <c r="E115" s="36">
        <v>103</v>
      </c>
      <c r="F115" s="36">
        <v>9</v>
      </c>
    </row>
    <row r="116" spans="3:6" x14ac:dyDescent="0.3">
      <c r="C116" s="35">
        <v>5</v>
      </c>
      <c r="D116" s="35" t="s">
        <v>49</v>
      </c>
      <c r="E116" s="36">
        <v>114.9</v>
      </c>
      <c r="F116" s="36">
        <v>10</v>
      </c>
    </row>
    <row r="117" spans="3:6" x14ac:dyDescent="0.3">
      <c r="C117" s="35">
        <v>5</v>
      </c>
      <c r="D117" s="35" t="s">
        <v>50</v>
      </c>
      <c r="E117" s="36">
        <v>132.6</v>
      </c>
      <c r="F117" s="36">
        <v>10</v>
      </c>
    </row>
    <row r="118" spans="3:6" x14ac:dyDescent="0.3">
      <c r="C118" s="35">
        <v>5</v>
      </c>
      <c r="D118" s="35" t="s">
        <v>61</v>
      </c>
      <c r="E118" s="36">
        <v>37.4</v>
      </c>
      <c r="F118" s="36">
        <v>8</v>
      </c>
    </row>
    <row r="119" spans="3:6" x14ac:dyDescent="0.3">
      <c r="C119" s="35">
        <v>6</v>
      </c>
      <c r="D119" s="35" t="s">
        <v>56</v>
      </c>
      <c r="E119" s="36">
        <v>17</v>
      </c>
      <c r="F119" s="36">
        <v>7</v>
      </c>
    </row>
    <row r="120" spans="3:6" x14ac:dyDescent="0.3">
      <c r="C120" s="35">
        <v>6</v>
      </c>
      <c r="D120" s="35" t="s">
        <v>49</v>
      </c>
      <c r="E120" s="36">
        <v>31.5</v>
      </c>
      <c r="F120" s="36">
        <v>7.5</v>
      </c>
    </row>
    <row r="121" spans="3:6" x14ac:dyDescent="0.3">
      <c r="C121" s="35">
        <v>6</v>
      </c>
      <c r="D121" s="35" t="s">
        <v>49</v>
      </c>
      <c r="E121" s="36">
        <v>37.799999999999997</v>
      </c>
      <c r="F121" s="36">
        <v>7</v>
      </c>
    </row>
    <row r="122" spans="3:6" x14ac:dyDescent="0.3">
      <c r="C122" s="35">
        <v>6</v>
      </c>
      <c r="D122" s="35" t="s">
        <v>49</v>
      </c>
      <c r="E122" s="36">
        <v>62.3</v>
      </c>
      <c r="F122" s="36">
        <v>7</v>
      </c>
    </row>
    <row r="123" spans="3:6" x14ac:dyDescent="0.3">
      <c r="C123" s="35">
        <v>6</v>
      </c>
      <c r="D123" s="35" t="s">
        <v>49</v>
      </c>
      <c r="E123" s="36">
        <v>35.200000000000003</v>
      </c>
      <c r="F123" s="36">
        <v>7.5</v>
      </c>
    </row>
    <row r="124" spans="3:6" x14ac:dyDescent="0.3">
      <c r="C124" s="35">
        <v>6</v>
      </c>
      <c r="D124" s="35" t="s">
        <v>66</v>
      </c>
      <c r="E124" s="36">
        <v>22.1</v>
      </c>
      <c r="F124" s="36">
        <v>7</v>
      </c>
    </row>
    <row r="125" spans="3:6" x14ac:dyDescent="0.3">
      <c r="C125" s="35">
        <v>6</v>
      </c>
      <c r="D125" s="35" t="s">
        <v>64</v>
      </c>
      <c r="E125" s="36">
        <v>94.3</v>
      </c>
      <c r="F125" s="36">
        <v>7</v>
      </c>
    </row>
    <row r="126" spans="3:6" x14ac:dyDescent="0.3">
      <c r="C126" s="35">
        <v>6</v>
      </c>
      <c r="D126" s="35" t="s">
        <v>49</v>
      </c>
      <c r="E126" s="36">
        <v>36.4</v>
      </c>
      <c r="F126" s="36">
        <v>5</v>
      </c>
    </row>
    <row r="127" spans="3:6" x14ac:dyDescent="0.3">
      <c r="C127" s="35">
        <v>6</v>
      </c>
      <c r="D127" s="35" t="s">
        <v>49</v>
      </c>
      <c r="E127" s="36">
        <v>23.5</v>
      </c>
      <c r="F127" s="36">
        <v>5</v>
      </c>
    </row>
    <row r="128" spans="3:6" x14ac:dyDescent="0.3">
      <c r="C128" s="35">
        <v>6</v>
      </c>
      <c r="D128" s="35" t="s">
        <v>49</v>
      </c>
      <c r="E128" s="36">
        <v>25.5</v>
      </c>
      <c r="F128" s="36">
        <v>5.5</v>
      </c>
    </row>
    <row r="129" spans="3:6" x14ac:dyDescent="0.3">
      <c r="C129" s="35">
        <v>6</v>
      </c>
      <c r="D129" s="35" t="s">
        <v>52</v>
      </c>
      <c r="E129" s="36">
        <v>19.5</v>
      </c>
      <c r="F129" s="36">
        <v>5</v>
      </c>
    </row>
    <row r="130" spans="3:6" x14ac:dyDescent="0.3">
      <c r="C130" s="35">
        <v>6</v>
      </c>
      <c r="D130" s="35" t="s">
        <v>66</v>
      </c>
      <c r="E130" s="36">
        <v>29.7</v>
      </c>
      <c r="F130" s="36">
        <v>6</v>
      </c>
    </row>
    <row r="131" spans="3:6" x14ac:dyDescent="0.3">
      <c r="C131" s="35">
        <v>6</v>
      </c>
      <c r="D131" s="35" t="s">
        <v>61</v>
      </c>
      <c r="E131" s="36">
        <v>18.8</v>
      </c>
      <c r="F131" s="36">
        <v>6</v>
      </c>
    </row>
    <row r="132" spans="3:6" x14ac:dyDescent="0.3">
      <c r="C132" s="35">
        <v>6</v>
      </c>
      <c r="D132" s="35" t="s">
        <v>63</v>
      </c>
      <c r="E132" s="36">
        <v>27.3</v>
      </c>
      <c r="F132" s="36">
        <v>5</v>
      </c>
    </row>
    <row r="133" spans="3:6" x14ac:dyDescent="0.3">
      <c r="C133" s="35">
        <v>6</v>
      </c>
      <c r="D133" s="35" t="s">
        <v>63</v>
      </c>
      <c r="E133" s="36">
        <v>24.8</v>
      </c>
      <c r="F133" s="36">
        <v>5</v>
      </c>
    </row>
    <row r="134" spans="3:6" x14ac:dyDescent="0.3">
      <c r="C134" s="35">
        <v>6</v>
      </c>
      <c r="D134" s="35" t="s">
        <v>63</v>
      </c>
      <c r="E134" s="36">
        <v>25.5</v>
      </c>
      <c r="F134" s="36">
        <v>5</v>
      </c>
    </row>
    <row r="135" spans="3:6" x14ac:dyDescent="0.3">
      <c r="C135" s="35">
        <v>6</v>
      </c>
      <c r="D135" s="35" t="s">
        <v>63</v>
      </c>
      <c r="E135" s="36">
        <v>16</v>
      </c>
      <c r="F135" s="36">
        <v>4</v>
      </c>
    </row>
    <row r="136" spans="3:6" x14ac:dyDescent="0.3">
      <c r="C136" s="35">
        <v>6</v>
      </c>
      <c r="D136" s="35" t="s">
        <v>63</v>
      </c>
      <c r="E136" s="36">
        <v>22.3</v>
      </c>
      <c r="F136" s="36">
        <v>5</v>
      </c>
    </row>
    <row r="137" spans="3:6" x14ac:dyDescent="0.3">
      <c r="C137" s="35">
        <v>6</v>
      </c>
      <c r="D137" s="35" t="s">
        <v>63</v>
      </c>
      <c r="E137" s="36">
        <v>24</v>
      </c>
      <c r="F137" s="36">
        <v>5</v>
      </c>
    </row>
    <row r="138" spans="3:6" x14ac:dyDescent="0.3">
      <c r="C138" s="35">
        <v>6</v>
      </c>
      <c r="D138" s="35" t="s">
        <v>49</v>
      </c>
      <c r="E138" s="36">
        <v>34.1</v>
      </c>
      <c r="F138" s="36">
        <v>8.5</v>
      </c>
    </row>
    <row r="139" spans="3:6" x14ac:dyDescent="0.3">
      <c r="C139" s="35">
        <v>6</v>
      </c>
      <c r="D139" s="35" t="s">
        <v>49</v>
      </c>
      <c r="E139" s="36">
        <v>55.6</v>
      </c>
      <c r="F139" s="36">
        <v>8</v>
      </c>
    </row>
    <row r="140" spans="3:6" x14ac:dyDescent="0.3">
      <c r="C140" s="35">
        <v>6</v>
      </c>
      <c r="D140" s="35" t="s">
        <v>49</v>
      </c>
      <c r="E140" s="36">
        <v>29.8</v>
      </c>
      <c r="F140" s="36">
        <v>9</v>
      </c>
    </row>
    <row r="141" spans="3:6" x14ac:dyDescent="0.3">
      <c r="C141" s="35">
        <v>6</v>
      </c>
      <c r="D141" s="35" t="s">
        <v>49</v>
      </c>
      <c r="E141" s="36">
        <v>26.5</v>
      </c>
      <c r="F141" s="36">
        <v>8</v>
      </c>
    </row>
    <row r="142" spans="3:6" x14ac:dyDescent="0.3">
      <c r="C142" s="35">
        <v>6</v>
      </c>
      <c r="D142" s="35" t="s">
        <v>49</v>
      </c>
      <c r="E142" s="36">
        <v>62.8</v>
      </c>
      <c r="F142" s="36">
        <v>9</v>
      </c>
    </row>
    <row r="143" spans="3:6" x14ac:dyDescent="0.3">
      <c r="C143" s="35">
        <v>6</v>
      </c>
      <c r="D143" s="35" t="s">
        <v>49</v>
      </c>
      <c r="E143" s="36">
        <v>81.8</v>
      </c>
      <c r="F143" s="36">
        <v>9</v>
      </c>
    </row>
    <row r="144" spans="3:6" x14ac:dyDescent="0.3">
      <c r="C144" s="35">
        <v>6</v>
      </c>
      <c r="D144" s="35" t="s">
        <v>49</v>
      </c>
      <c r="E144" s="36">
        <v>42.3</v>
      </c>
      <c r="F144" s="36">
        <v>8.5</v>
      </c>
    </row>
    <row r="145" spans="3:6" x14ac:dyDescent="0.3">
      <c r="C145" s="35">
        <v>6</v>
      </c>
      <c r="D145" s="35" t="s">
        <v>49</v>
      </c>
      <c r="E145" s="36">
        <v>112</v>
      </c>
      <c r="F145" s="36">
        <v>9</v>
      </c>
    </row>
    <row r="146" spans="3:6" x14ac:dyDescent="0.3">
      <c r="C146" s="35">
        <v>6</v>
      </c>
      <c r="D146" s="35" t="s">
        <v>49</v>
      </c>
      <c r="E146" s="36">
        <v>83</v>
      </c>
      <c r="F146" s="36">
        <v>8.5</v>
      </c>
    </row>
    <row r="147" spans="3:6" x14ac:dyDescent="0.3">
      <c r="C147" s="35">
        <v>6</v>
      </c>
      <c r="D147" s="35" t="s">
        <v>49</v>
      </c>
      <c r="E147" s="36">
        <v>58</v>
      </c>
      <c r="F147" s="36">
        <v>10</v>
      </c>
    </row>
    <row r="148" spans="3:6" x14ac:dyDescent="0.3">
      <c r="C148" s="35">
        <v>6</v>
      </c>
      <c r="D148" s="35" t="s">
        <v>55</v>
      </c>
      <c r="E148" s="36">
        <v>58.5</v>
      </c>
      <c r="F148" s="36">
        <v>9</v>
      </c>
    </row>
    <row r="149" spans="3:6" x14ac:dyDescent="0.3">
      <c r="C149" s="35">
        <v>7</v>
      </c>
      <c r="D149" s="35" t="s">
        <v>49</v>
      </c>
      <c r="E149" s="36">
        <v>27.7</v>
      </c>
      <c r="F149" s="36">
        <v>7</v>
      </c>
    </row>
    <row r="150" spans="3:6" x14ac:dyDescent="0.3">
      <c r="C150" s="35">
        <v>7</v>
      </c>
      <c r="D150" s="35" t="s">
        <v>63</v>
      </c>
      <c r="E150" s="36">
        <v>18</v>
      </c>
      <c r="F150" s="36">
        <v>4.3</v>
      </c>
    </row>
    <row r="151" spans="3:6" x14ac:dyDescent="0.3">
      <c r="C151" s="35">
        <v>7</v>
      </c>
      <c r="D151" s="35" t="s">
        <v>46</v>
      </c>
      <c r="E151" s="36">
        <v>112</v>
      </c>
      <c r="F151" s="36">
        <v>10</v>
      </c>
    </row>
    <row r="152" spans="3:6" x14ac:dyDescent="0.3">
      <c r="C152" s="35">
        <v>7</v>
      </c>
      <c r="D152" s="35" t="s">
        <v>49</v>
      </c>
      <c r="E152" s="36">
        <v>93.5</v>
      </c>
      <c r="F152" s="36">
        <v>10.5</v>
      </c>
    </row>
    <row r="153" spans="3:6" x14ac:dyDescent="0.3">
      <c r="C153" s="35">
        <v>7</v>
      </c>
      <c r="D153" s="35" t="s">
        <v>49</v>
      </c>
      <c r="E153" s="36">
        <v>111.4</v>
      </c>
      <c r="F153" s="36">
        <v>10</v>
      </c>
    </row>
    <row r="154" spans="3:6" x14ac:dyDescent="0.3">
      <c r="C154" s="35">
        <v>7</v>
      </c>
      <c r="D154" s="35" t="s">
        <v>49</v>
      </c>
      <c r="E154" s="36">
        <v>37</v>
      </c>
      <c r="F154" s="36">
        <v>9.5</v>
      </c>
    </row>
    <row r="155" spans="3:6" x14ac:dyDescent="0.3">
      <c r="C155" s="35">
        <v>8</v>
      </c>
      <c r="D155" s="35" t="s">
        <v>49</v>
      </c>
      <c r="E155" s="36">
        <v>94.1</v>
      </c>
      <c r="F155" s="36">
        <v>11</v>
      </c>
    </row>
    <row r="156" spans="3:6" x14ac:dyDescent="0.3">
      <c r="C156" s="35">
        <v>8</v>
      </c>
      <c r="D156" s="35" t="s">
        <v>49</v>
      </c>
      <c r="E156" s="36">
        <v>63</v>
      </c>
      <c r="F156" s="36">
        <v>7.5</v>
      </c>
    </row>
    <row r="157" spans="3:6" x14ac:dyDescent="0.3">
      <c r="C157" s="35">
        <v>8</v>
      </c>
      <c r="D157" s="35" t="s">
        <v>46</v>
      </c>
      <c r="E157" s="36">
        <v>15.5</v>
      </c>
      <c r="F157" s="36">
        <v>6</v>
      </c>
    </row>
    <row r="158" spans="3:6" x14ac:dyDescent="0.3">
      <c r="C158" s="35">
        <v>8</v>
      </c>
      <c r="D158" s="35" t="s">
        <v>46</v>
      </c>
      <c r="E158" s="36">
        <v>31.2</v>
      </c>
      <c r="F158" s="36">
        <v>6</v>
      </c>
    </row>
    <row r="159" spans="3:6" x14ac:dyDescent="0.3">
      <c r="C159" s="35">
        <v>8</v>
      </c>
      <c r="D159" s="35" t="s">
        <v>57</v>
      </c>
      <c r="E159" s="36">
        <v>20</v>
      </c>
      <c r="F159" s="36">
        <v>1.5</v>
      </c>
    </row>
    <row r="160" spans="3:6" x14ac:dyDescent="0.3">
      <c r="C160" s="35">
        <v>8</v>
      </c>
      <c r="D160" s="35" t="s">
        <v>67</v>
      </c>
      <c r="E160" s="36">
        <v>29.5</v>
      </c>
      <c r="F160" s="36">
        <v>3.5</v>
      </c>
    </row>
    <row r="161" spans="3:6" x14ac:dyDescent="0.3">
      <c r="C161" s="35">
        <v>8</v>
      </c>
      <c r="D161" s="35" t="s">
        <v>64</v>
      </c>
      <c r="E161" s="36">
        <v>72.3</v>
      </c>
      <c r="F161" s="36">
        <v>6</v>
      </c>
    </row>
    <row r="162" spans="3:6" x14ac:dyDescent="0.3">
      <c r="C162" s="35">
        <v>8</v>
      </c>
      <c r="D162" s="35" t="s">
        <v>63</v>
      </c>
      <c r="E162" s="36">
        <v>21.3</v>
      </c>
      <c r="F162" s="36">
        <v>4.5</v>
      </c>
    </row>
    <row r="163" spans="3:6" x14ac:dyDescent="0.3">
      <c r="C163" s="35">
        <v>8</v>
      </c>
      <c r="D163" s="35" t="s">
        <v>63</v>
      </c>
      <c r="E163" s="36">
        <v>24.2</v>
      </c>
      <c r="F163" s="36">
        <v>5</v>
      </c>
    </row>
    <row r="164" spans="3:6" x14ac:dyDescent="0.3">
      <c r="C164" s="35">
        <v>8</v>
      </c>
      <c r="D164" s="35" t="s">
        <v>68</v>
      </c>
      <c r="E164" s="36">
        <v>26.1</v>
      </c>
      <c r="F164" s="36">
        <v>5.5</v>
      </c>
    </row>
    <row r="165" spans="3:6" x14ac:dyDescent="0.3">
      <c r="C165" s="35">
        <v>8</v>
      </c>
      <c r="D165" s="35" t="s">
        <v>49</v>
      </c>
      <c r="E165" s="36">
        <v>37.1</v>
      </c>
      <c r="F165" s="36">
        <v>9</v>
      </c>
    </row>
    <row r="166" spans="3:6" x14ac:dyDescent="0.3">
      <c r="C166" s="35">
        <v>8</v>
      </c>
      <c r="D166" s="35" t="s">
        <v>49</v>
      </c>
      <c r="E166" s="36">
        <v>79.900000000000006</v>
      </c>
      <c r="F166" s="36">
        <v>9</v>
      </c>
    </row>
    <row r="167" spans="3:6" x14ac:dyDescent="0.3">
      <c r="C167" s="35">
        <v>8</v>
      </c>
      <c r="D167" s="35" t="s">
        <v>49</v>
      </c>
      <c r="E167" s="36">
        <v>87</v>
      </c>
      <c r="F167" s="36">
        <v>9</v>
      </c>
    </row>
    <row r="168" spans="3:6" x14ac:dyDescent="0.3">
      <c r="C168" s="35">
        <v>8</v>
      </c>
      <c r="D168" s="35" t="s">
        <v>49</v>
      </c>
      <c r="E168" s="36">
        <v>51.3</v>
      </c>
      <c r="F168" s="36">
        <v>10</v>
      </c>
    </row>
    <row r="169" spans="3:6" x14ac:dyDescent="0.3">
      <c r="C169" s="35">
        <v>8</v>
      </c>
      <c r="D169" s="35" t="s">
        <v>49</v>
      </c>
      <c r="E169" s="36">
        <v>57.2</v>
      </c>
      <c r="F169" s="36">
        <v>9</v>
      </c>
    </row>
    <row r="170" spans="3:6" x14ac:dyDescent="0.3">
      <c r="C170" s="35">
        <v>8</v>
      </c>
      <c r="D170" s="35" t="s">
        <v>49</v>
      </c>
      <c r="E170" s="36">
        <v>43.7</v>
      </c>
      <c r="F170" s="36">
        <v>8</v>
      </c>
    </row>
    <row r="171" spans="3:6" x14ac:dyDescent="0.3">
      <c r="C171" s="35">
        <v>8</v>
      </c>
      <c r="D171" s="35" t="s">
        <v>49</v>
      </c>
      <c r="E171" s="36">
        <v>83</v>
      </c>
      <c r="F171" s="36">
        <v>9</v>
      </c>
    </row>
    <row r="172" spans="3:6" x14ac:dyDescent="0.3">
      <c r="C172" s="35">
        <v>8</v>
      </c>
      <c r="D172" s="35" t="s">
        <v>49</v>
      </c>
      <c r="E172" s="36">
        <v>83.7</v>
      </c>
      <c r="F172" s="36">
        <v>8</v>
      </c>
    </row>
    <row r="173" spans="3:6" x14ac:dyDescent="0.3">
      <c r="C173" s="35">
        <v>9</v>
      </c>
      <c r="D173" s="35" t="s">
        <v>47</v>
      </c>
      <c r="E173" s="36">
        <v>36.5</v>
      </c>
      <c r="F173" s="36">
        <v>1.8</v>
      </c>
    </row>
    <row r="174" spans="3:6" x14ac:dyDescent="0.3">
      <c r="C174" s="35">
        <v>9</v>
      </c>
      <c r="D174" s="35" t="s">
        <v>69</v>
      </c>
      <c r="E174" s="36">
        <v>41.1</v>
      </c>
      <c r="F174" s="36">
        <v>2.5</v>
      </c>
    </row>
    <row r="175" spans="3:6" x14ac:dyDescent="0.3">
      <c r="C175" s="35">
        <v>9</v>
      </c>
      <c r="D175" s="35" t="s">
        <v>69</v>
      </c>
      <c r="E175" s="36">
        <v>26.4</v>
      </c>
      <c r="F175" s="36">
        <v>2.5</v>
      </c>
    </row>
    <row r="176" spans="3:6" x14ac:dyDescent="0.3">
      <c r="C176" s="35">
        <v>9</v>
      </c>
      <c r="D176" s="35" t="s">
        <v>69</v>
      </c>
      <c r="E176" s="36">
        <v>22.1</v>
      </c>
      <c r="F176" s="36">
        <v>2</v>
      </c>
    </row>
    <row r="177" spans="3:6" x14ac:dyDescent="0.3">
      <c r="C177" s="35">
        <v>9</v>
      </c>
      <c r="D177" s="35" t="s">
        <v>69</v>
      </c>
      <c r="E177" s="36">
        <v>43.9</v>
      </c>
      <c r="F177" s="36">
        <v>2.2999999999999998</v>
      </c>
    </row>
    <row r="178" spans="3:6" x14ac:dyDescent="0.3">
      <c r="C178" s="35">
        <v>9</v>
      </c>
      <c r="D178" s="35" t="s">
        <v>69</v>
      </c>
      <c r="E178" s="36">
        <v>41.9</v>
      </c>
      <c r="F178" s="36">
        <v>2.2999999999999998</v>
      </c>
    </row>
    <row r="179" spans="3:6" x14ac:dyDescent="0.3">
      <c r="C179" s="35">
        <v>9</v>
      </c>
      <c r="D179" s="35" t="s">
        <v>49</v>
      </c>
      <c r="E179" s="36">
        <v>64</v>
      </c>
      <c r="F179" s="36">
        <v>5</v>
      </c>
    </row>
    <row r="180" spans="3:6" x14ac:dyDescent="0.3">
      <c r="C180" s="35">
        <v>9</v>
      </c>
      <c r="D180" s="35" t="s">
        <v>49</v>
      </c>
      <c r="E180" s="36">
        <v>35.5</v>
      </c>
      <c r="F180" s="36">
        <v>6.5</v>
      </c>
    </row>
    <row r="181" spans="3:6" x14ac:dyDescent="0.3">
      <c r="C181" s="35">
        <v>9</v>
      </c>
      <c r="D181" s="35" t="s">
        <v>63</v>
      </c>
      <c r="E181" s="36">
        <v>26.7</v>
      </c>
      <c r="F181" s="36">
        <v>5.5</v>
      </c>
    </row>
    <row r="182" spans="3:6" x14ac:dyDescent="0.3">
      <c r="C182" s="35">
        <v>9</v>
      </c>
      <c r="D182" s="35" t="s">
        <v>46</v>
      </c>
      <c r="E182" s="36">
        <v>62</v>
      </c>
      <c r="F182" s="36">
        <v>10</v>
      </c>
    </row>
    <row r="183" spans="3:6" x14ac:dyDescent="0.3">
      <c r="C183" s="35">
        <v>9</v>
      </c>
      <c r="D183" s="35" t="s">
        <v>49</v>
      </c>
      <c r="E183" s="36">
        <v>54.3</v>
      </c>
      <c r="F183" s="36">
        <v>9</v>
      </c>
    </row>
    <row r="184" spans="3:6" x14ac:dyDescent="0.3">
      <c r="C184" s="35">
        <v>9</v>
      </c>
      <c r="D184" s="35" t="s">
        <v>49</v>
      </c>
      <c r="E184" s="36">
        <v>52.3</v>
      </c>
      <c r="F184" s="36">
        <v>9</v>
      </c>
    </row>
    <row r="185" spans="3:6" x14ac:dyDescent="0.3">
      <c r="C185" s="35">
        <v>9</v>
      </c>
      <c r="D185" s="35" t="s">
        <v>49</v>
      </c>
      <c r="E185" s="36">
        <v>110</v>
      </c>
      <c r="F185" s="36">
        <v>10</v>
      </c>
    </row>
    <row r="186" spans="3:6" x14ac:dyDescent="0.3">
      <c r="C186" s="35">
        <v>9</v>
      </c>
      <c r="D186" s="35" t="s">
        <v>49</v>
      </c>
      <c r="E186" s="36">
        <v>93.2</v>
      </c>
      <c r="F186" s="36">
        <v>9.5</v>
      </c>
    </row>
    <row r="187" spans="3:6" x14ac:dyDescent="0.3">
      <c r="C187" s="35">
        <v>9</v>
      </c>
      <c r="D187" s="35" t="s">
        <v>49</v>
      </c>
      <c r="E187" s="36">
        <v>117.7</v>
      </c>
      <c r="F187" s="36">
        <v>10</v>
      </c>
    </row>
    <row r="188" spans="3:6" x14ac:dyDescent="0.3">
      <c r="C188" s="35">
        <v>9</v>
      </c>
      <c r="D188" s="35" t="s">
        <v>49</v>
      </c>
      <c r="E188" s="36">
        <v>73.5</v>
      </c>
      <c r="F188" s="36">
        <v>8</v>
      </c>
    </row>
    <row r="189" spans="3:6" x14ac:dyDescent="0.3">
      <c r="C189" s="35">
        <v>9</v>
      </c>
      <c r="D189" s="35" t="s">
        <v>70</v>
      </c>
      <c r="E189" s="36">
        <v>43</v>
      </c>
      <c r="F189" s="36">
        <v>10</v>
      </c>
    </row>
    <row r="190" spans="3:6" x14ac:dyDescent="0.3">
      <c r="C190" s="35">
        <v>9</v>
      </c>
      <c r="D190" s="35" t="s">
        <v>50</v>
      </c>
      <c r="E190" s="36">
        <v>22.4</v>
      </c>
      <c r="F190" s="36">
        <v>8</v>
      </c>
    </row>
    <row r="191" spans="3:6" x14ac:dyDescent="0.3">
      <c r="C191" s="35">
        <v>10</v>
      </c>
      <c r="D191" s="35" t="s">
        <v>49</v>
      </c>
      <c r="E191" s="36">
        <v>88</v>
      </c>
      <c r="F191" s="36">
        <v>11</v>
      </c>
    </row>
    <row r="192" spans="3:6" x14ac:dyDescent="0.3">
      <c r="C192" s="35">
        <v>10</v>
      </c>
      <c r="D192" s="35" t="s">
        <v>49</v>
      </c>
      <c r="E192" s="36">
        <v>106.5</v>
      </c>
      <c r="F192" s="36">
        <v>11</v>
      </c>
    </row>
    <row r="193" spans="3:6" x14ac:dyDescent="0.3">
      <c r="C193" s="35">
        <v>10</v>
      </c>
      <c r="D193" s="35" t="s">
        <v>49</v>
      </c>
      <c r="E193" s="36">
        <v>98</v>
      </c>
      <c r="F193" s="36">
        <v>12</v>
      </c>
    </row>
    <row r="194" spans="3:6" x14ac:dyDescent="0.3">
      <c r="C194" s="35">
        <v>10</v>
      </c>
      <c r="D194" s="35" t="s">
        <v>64</v>
      </c>
      <c r="E194" s="36">
        <v>125.5</v>
      </c>
      <c r="F194" s="36">
        <v>12</v>
      </c>
    </row>
    <row r="195" spans="3:6" x14ac:dyDescent="0.3">
      <c r="C195" s="35">
        <v>10</v>
      </c>
      <c r="D195" s="35" t="s">
        <v>46</v>
      </c>
      <c r="E195" s="36">
        <v>29.4</v>
      </c>
      <c r="F195" s="36">
        <v>7</v>
      </c>
    </row>
    <row r="196" spans="3:6" x14ac:dyDescent="0.3">
      <c r="C196" s="35">
        <v>10</v>
      </c>
      <c r="D196" s="35" t="s">
        <v>46</v>
      </c>
      <c r="E196" s="36">
        <v>25.5</v>
      </c>
      <c r="F196" s="36">
        <v>6</v>
      </c>
    </row>
    <row r="197" spans="3:6" x14ac:dyDescent="0.3">
      <c r="C197" s="35">
        <v>10</v>
      </c>
      <c r="D197" s="35" t="s">
        <v>69</v>
      </c>
      <c r="E197" s="36">
        <v>23</v>
      </c>
      <c r="F197" s="36">
        <v>2.2999999999999998</v>
      </c>
    </row>
    <row r="198" spans="3:6" x14ac:dyDescent="0.3">
      <c r="C198" s="35">
        <v>10</v>
      </c>
      <c r="D198" s="35" t="s">
        <v>69</v>
      </c>
      <c r="E198" s="36">
        <v>18.899999999999999</v>
      </c>
      <c r="F198" s="36">
        <v>2.2999999999999998</v>
      </c>
    </row>
    <row r="199" spans="3:6" x14ac:dyDescent="0.3">
      <c r="C199" s="35">
        <v>10</v>
      </c>
      <c r="D199" s="35" t="s">
        <v>69</v>
      </c>
      <c r="E199" s="36">
        <v>17</v>
      </c>
      <c r="F199" s="36">
        <v>1.7</v>
      </c>
    </row>
    <row r="200" spans="3:6" x14ac:dyDescent="0.3">
      <c r="C200" s="35">
        <v>10</v>
      </c>
      <c r="D200" s="35" t="s">
        <v>69</v>
      </c>
      <c r="E200" s="36">
        <v>37.5</v>
      </c>
      <c r="F200" s="36">
        <v>4</v>
      </c>
    </row>
    <row r="201" spans="3:6" x14ac:dyDescent="0.3">
      <c r="C201" s="35">
        <v>10</v>
      </c>
      <c r="D201" s="35" t="s">
        <v>69</v>
      </c>
      <c r="E201" s="36">
        <v>28.1</v>
      </c>
      <c r="F201" s="36">
        <v>3</v>
      </c>
    </row>
    <row r="202" spans="3:6" x14ac:dyDescent="0.3">
      <c r="C202" s="35">
        <v>10</v>
      </c>
      <c r="D202" s="35" t="s">
        <v>49</v>
      </c>
      <c r="E202" s="36">
        <v>65.099999999999994</v>
      </c>
      <c r="F202" s="36">
        <v>6</v>
      </c>
    </row>
    <row r="203" spans="3:6" x14ac:dyDescent="0.3">
      <c r="C203" s="35">
        <v>10</v>
      </c>
      <c r="D203" s="35" t="s">
        <v>63</v>
      </c>
      <c r="E203" s="36">
        <v>19.5</v>
      </c>
      <c r="F203" s="36">
        <v>4.5</v>
      </c>
    </row>
    <row r="204" spans="3:6" x14ac:dyDescent="0.3">
      <c r="C204" s="35">
        <v>10</v>
      </c>
      <c r="D204" s="35" t="s">
        <v>63</v>
      </c>
      <c r="E204" s="36">
        <v>24.2</v>
      </c>
      <c r="F204" s="36">
        <v>6</v>
      </c>
    </row>
    <row r="205" spans="3:6" x14ac:dyDescent="0.3">
      <c r="C205" s="35">
        <v>10</v>
      </c>
      <c r="D205" s="35" t="s">
        <v>63</v>
      </c>
      <c r="E205" s="36">
        <v>21.2</v>
      </c>
      <c r="F205" s="36">
        <v>6</v>
      </c>
    </row>
    <row r="206" spans="3:6" x14ac:dyDescent="0.3">
      <c r="C206" s="35">
        <v>10</v>
      </c>
      <c r="D206" s="35" t="s">
        <v>63</v>
      </c>
      <c r="E206" s="36">
        <v>23.8</v>
      </c>
      <c r="F206" s="36">
        <v>5.5</v>
      </c>
    </row>
    <row r="207" spans="3:6" x14ac:dyDescent="0.3">
      <c r="C207" s="35">
        <v>10</v>
      </c>
      <c r="D207" s="35" t="s">
        <v>63</v>
      </c>
      <c r="E207" s="36">
        <v>17.5</v>
      </c>
      <c r="F207" s="36">
        <v>6</v>
      </c>
    </row>
    <row r="208" spans="3:6" x14ac:dyDescent="0.3">
      <c r="C208" s="35">
        <v>10</v>
      </c>
      <c r="D208" s="35" t="s">
        <v>63</v>
      </c>
      <c r="E208" s="36">
        <v>34.6</v>
      </c>
      <c r="F208" s="36">
        <v>6</v>
      </c>
    </row>
    <row r="209" spans="3:6" x14ac:dyDescent="0.3">
      <c r="C209" s="35">
        <v>10</v>
      </c>
      <c r="D209" s="35" t="s">
        <v>63</v>
      </c>
      <c r="E209" s="36">
        <v>27</v>
      </c>
      <c r="F209" s="36">
        <v>5</v>
      </c>
    </row>
    <row r="210" spans="3:6" x14ac:dyDescent="0.3">
      <c r="C210" s="35">
        <v>10</v>
      </c>
      <c r="D210" s="35" t="s">
        <v>63</v>
      </c>
      <c r="E210" s="36">
        <v>29.4</v>
      </c>
      <c r="F210" s="36">
        <v>6</v>
      </c>
    </row>
    <row r="211" spans="3:6" x14ac:dyDescent="0.3">
      <c r="C211" s="35">
        <v>10</v>
      </c>
      <c r="D211" s="35" t="s">
        <v>63</v>
      </c>
      <c r="E211" s="36">
        <v>47.8</v>
      </c>
      <c r="F211" s="36">
        <v>6</v>
      </c>
    </row>
    <row r="212" spans="3:6" x14ac:dyDescent="0.3">
      <c r="C212" s="35">
        <v>10</v>
      </c>
      <c r="D212" s="35" t="s">
        <v>63</v>
      </c>
      <c r="E212" s="36">
        <v>18</v>
      </c>
      <c r="F212" s="36">
        <v>3.5</v>
      </c>
    </row>
    <row r="213" spans="3:6" x14ac:dyDescent="0.3">
      <c r="C213" s="35">
        <v>10</v>
      </c>
      <c r="D213" s="35" t="s">
        <v>46</v>
      </c>
      <c r="E213" s="36">
        <v>66</v>
      </c>
      <c r="F213" s="36">
        <v>9</v>
      </c>
    </row>
    <row r="214" spans="3:6" x14ac:dyDescent="0.3">
      <c r="C214" s="35">
        <v>10</v>
      </c>
      <c r="D214" s="35" t="s">
        <v>47</v>
      </c>
      <c r="E214" s="36">
        <v>52</v>
      </c>
      <c r="F214" s="36">
        <v>9.5</v>
      </c>
    </row>
    <row r="215" spans="3:6" x14ac:dyDescent="0.3">
      <c r="C215" s="35">
        <v>10</v>
      </c>
      <c r="D215" s="35" t="s">
        <v>49</v>
      </c>
      <c r="E215" s="36">
        <v>71.5</v>
      </c>
      <c r="F215" s="36">
        <v>10</v>
      </c>
    </row>
    <row r="216" spans="3:6" x14ac:dyDescent="0.3">
      <c r="C216" s="35">
        <v>10</v>
      </c>
      <c r="D216" s="35" t="s">
        <v>49</v>
      </c>
      <c r="E216" s="36">
        <v>37.700000000000003</v>
      </c>
      <c r="F216" s="36">
        <v>10</v>
      </c>
    </row>
    <row r="217" spans="3:6" x14ac:dyDescent="0.3">
      <c r="C217" s="35">
        <v>10</v>
      </c>
      <c r="D217" s="35" t="s">
        <v>49</v>
      </c>
      <c r="E217" s="36">
        <v>120.4</v>
      </c>
      <c r="F217" s="36">
        <v>10</v>
      </c>
    </row>
    <row r="218" spans="3:6" x14ac:dyDescent="0.3">
      <c r="C218" s="35">
        <v>10</v>
      </c>
      <c r="D218" s="35" t="s">
        <v>49</v>
      </c>
      <c r="E218" s="36">
        <v>78.7</v>
      </c>
      <c r="F218" s="36">
        <v>8</v>
      </c>
    </row>
    <row r="219" spans="3:6" x14ac:dyDescent="0.3">
      <c r="C219" s="35">
        <v>10</v>
      </c>
      <c r="D219" s="35" t="s">
        <v>49</v>
      </c>
      <c r="E219" s="36">
        <v>114.4</v>
      </c>
      <c r="F219" s="36">
        <v>8</v>
      </c>
    </row>
    <row r="220" spans="3:6" x14ac:dyDescent="0.3">
      <c r="C220" s="35">
        <v>10</v>
      </c>
      <c r="D220" s="35" t="s">
        <v>71</v>
      </c>
      <c r="E220" s="36">
        <v>43.5</v>
      </c>
      <c r="F220" s="36">
        <v>10</v>
      </c>
    </row>
    <row r="221" spans="3:6" x14ac:dyDescent="0.3">
      <c r="C221" s="35">
        <v>11</v>
      </c>
      <c r="D221" s="35" t="s">
        <v>47</v>
      </c>
      <c r="E221" s="36">
        <v>49</v>
      </c>
      <c r="F221" s="36">
        <v>12</v>
      </c>
    </row>
    <row r="222" spans="3:6" x14ac:dyDescent="0.3">
      <c r="C222" s="35">
        <v>11</v>
      </c>
      <c r="D222" s="35" t="s">
        <v>49</v>
      </c>
      <c r="E222" s="36">
        <v>97</v>
      </c>
      <c r="F222" s="36">
        <v>12</v>
      </c>
    </row>
    <row r="223" spans="3:6" x14ac:dyDescent="0.3">
      <c r="C223" s="35">
        <v>11</v>
      </c>
      <c r="D223" s="35" t="s">
        <v>49</v>
      </c>
      <c r="E223" s="36">
        <v>145.5</v>
      </c>
      <c r="F223" s="36">
        <v>12</v>
      </c>
    </row>
    <row r="224" spans="3:6" x14ac:dyDescent="0.3">
      <c r="C224" s="35">
        <v>11</v>
      </c>
      <c r="D224" s="35" t="s">
        <v>49</v>
      </c>
      <c r="E224" s="36">
        <v>157.4</v>
      </c>
      <c r="F224" s="36">
        <v>12</v>
      </c>
    </row>
    <row r="225" spans="3:6" x14ac:dyDescent="0.3">
      <c r="C225" s="35">
        <v>11</v>
      </c>
      <c r="D225" s="35" t="s">
        <v>49</v>
      </c>
      <c r="E225" s="36">
        <v>63.9</v>
      </c>
      <c r="F225" s="36">
        <v>12</v>
      </c>
    </row>
    <row r="226" spans="3:6" x14ac:dyDescent="0.3">
      <c r="C226" s="35">
        <v>11</v>
      </c>
      <c r="D226" s="35" t="s">
        <v>49</v>
      </c>
      <c r="E226" s="36">
        <v>71.8</v>
      </c>
      <c r="F226" s="36">
        <v>12</v>
      </c>
    </row>
    <row r="227" spans="3:6" x14ac:dyDescent="0.3">
      <c r="C227" s="35">
        <v>11</v>
      </c>
      <c r="D227" s="35" t="s">
        <v>49</v>
      </c>
      <c r="E227" s="36">
        <v>113.2</v>
      </c>
      <c r="F227" s="36">
        <v>12</v>
      </c>
    </row>
    <row r="228" spans="3:6" x14ac:dyDescent="0.3">
      <c r="C228" s="35">
        <v>11</v>
      </c>
      <c r="D228" s="35" t="s">
        <v>63</v>
      </c>
      <c r="E228" s="36">
        <v>30.3</v>
      </c>
      <c r="F228" s="36">
        <v>7</v>
      </c>
    </row>
    <row r="229" spans="3:6" x14ac:dyDescent="0.3">
      <c r="C229" s="35">
        <v>11</v>
      </c>
      <c r="D229" s="35" t="s">
        <v>55</v>
      </c>
      <c r="E229" s="36">
        <v>39</v>
      </c>
      <c r="F229" s="36">
        <v>7</v>
      </c>
    </row>
    <row r="230" spans="3:6" x14ac:dyDescent="0.3">
      <c r="C230" s="35">
        <v>11</v>
      </c>
      <c r="D230" s="35" t="s">
        <v>55</v>
      </c>
      <c r="E230" s="36">
        <v>63</v>
      </c>
      <c r="F230" s="36">
        <v>7</v>
      </c>
    </row>
    <row r="231" spans="3:6" x14ac:dyDescent="0.3">
      <c r="C231" s="35">
        <v>11</v>
      </c>
      <c r="D231" s="35" t="s">
        <v>46</v>
      </c>
      <c r="E231" s="36">
        <v>20.6</v>
      </c>
      <c r="F231" s="36">
        <v>5</v>
      </c>
    </row>
    <row r="232" spans="3:6" x14ac:dyDescent="0.3">
      <c r="C232" s="35">
        <v>11</v>
      </c>
      <c r="D232" s="35" t="s">
        <v>69</v>
      </c>
      <c r="E232" s="36">
        <v>19.5</v>
      </c>
      <c r="F232" s="36">
        <v>2.2000000000000002</v>
      </c>
    </row>
    <row r="233" spans="3:6" x14ac:dyDescent="0.3">
      <c r="C233" s="35">
        <v>11</v>
      </c>
      <c r="D233" s="35" t="s">
        <v>72</v>
      </c>
      <c r="E233" s="36">
        <v>15.5</v>
      </c>
      <c r="F233" s="36">
        <v>3.5</v>
      </c>
    </row>
    <row r="234" spans="3:6" x14ac:dyDescent="0.3">
      <c r="C234" s="35">
        <v>11</v>
      </c>
      <c r="D234" s="35" t="s">
        <v>49</v>
      </c>
      <c r="E234" s="36">
        <v>24.2</v>
      </c>
      <c r="F234" s="36">
        <v>5</v>
      </c>
    </row>
    <row r="235" spans="3:6" x14ac:dyDescent="0.3">
      <c r="C235" s="35">
        <v>11</v>
      </c>
      <c r="D235" s="35" t="s">
        <v>63</v>
      </c>
      <c r="E235" s="36">
        <v>21.5</v>
      </c>
      <c r="F235" s="36">
        <v>3.5</v>
      </c>
    </row>
    <row r="236" spans="3:6" x14ac:dyDescent="0.3">
      <c r="C236" s="35">
        <v>11</v>
      </c>
      <c r="D236" s="35" t="s">
        <v>63</v>
      </c>
      <c r="E236" s="36">
        <v>34.700000000000003</v>
      </c>
      <c r="F236" s="36">
        <v>6.5</v>
      </c>
    </row>
    <row r="237" spans="3:6" x14ac:dyDescent="0.3">
      <c r="C237" s="35">
        <v>11</v>
      </c>
      <c r="D237" s="35" t="s">
        <v>63</v>
      </c>
      <c r="E237" s="36">
        <v>22.8</v>
      </c>
      <c r="F237" s="36">
        <v>6</v>
      </c>
    </row>
    <row r="238" spans="3:6" x14ac:dyDescent="0.3">
      <c r="C238" s="35">
        <v>11</v>
      </c>
      <c r="D238" s="35" t="s">
        <v>63</v>
      </c>
      <c r="E238" s="36">
        <v>18</v>
      </c>
      <c r="F238" s="36">
        <v>6</v>
      </c>
    </row>
    <row r="239" spans="3:6" x14ac:dyDescent="0.3">
      <c r="C239" s="35">
        <v>11</v>
      </c>
      <c r="D239" s="35" t="s">
        <v>63</v>
      </c>
      <c r="E239" s="36">
        <v>34.299999999999997</v>
      </c>
      <c r="F239" s="36">
        <v>6.5</v>
      </c>
    </row>
    <row r="240" spans="3:6" x14ac:dyDescent="0.3">
      <c r="C240" s="35">
        <v>11</v>
      </c>
      <c r="D240" s="35" t="s">
        <v>55</v>
      </c>
      <c r="E240" s="36">
        <v>18.5</v>
      </c>
      <c r="F240" s="36">
        <v>3.5</v>
      </c>
    </row>
    <row r="241" spans="3:6" x14ac:dyDescent="0.3">
      <c r="C241" s="35">
        <v>11</v>
      </c>
      <c r="D241" s="35" t="s">
        <v>46</v>
      </c>
      <c r="E241" s="36">
        <v>33.5</v>
      </c>
      <c r="F241" s="36">
        <v>10</v>
      </c>
    </row>
    <row r="242" spans="3:6" x14ac:dyDescent="0.3">
      <c r="C242" s="35">
        <v>11</v>
      </c>
      <c r="D242" s="35" t="s">
        <v>73</v>
      </c>
      <c r="E242" s="36">
        <v>29</v>
      </c>
      <c r="F242" s="36">
        <v>10</v>
      </c>
    </row>
    <row r="243" spans="3:6" x14ac:dyDescent="0.3">
      <c r="C243" s="35">
        <v>11</v>
      </c>
      <c r="D243" s="35" t="s">
        <v>74</v>
      </c>
      <c r="E243" s="36">
        <v>65.599999999999994</v>
      </c>
      <c r="F243" s="36">
        <v>9.5</v>
      </c>
    </row>
    <row r="244" spans="3:6" x14ac:dyDescent="0.3">
      <c r="C244" s="35">
        <v>11</v>
      </c>
      <c r="D244" s="35" t="s">
        <v>49</v>
      </c>
      <c r="E244" s="36">
        <v>30</v>
      </c>
      <c r="F244" s="36">
        <v>10</v>
      </c>
    </row>
    <row r="245" spans="3:6" x14ac:dyDescent="0.3">
      <c r="C245" s="35">
        <v>11</v>
      </c>
      <c r="D245" s="35" t="s">
        <v>49</v>
      </c>
      <c r="E245" s="36">
        <v>66.099999999999994</v>
      </c>
      <c r="F245" s="36">
        <v>9</v>
      </c>
    </row>
    <row r="246" spans="3:6" x14ac:dyDescent="0.3">
      <c r="C246" s="35">
        <v>11</v>
      </c>
      <c r="D246" s="35" t="s">
        <v>49</v>
      </c>
      <c r="E246" s="36">
        <v>68.599999999999994</v>
      </c>
      <c r="F246" s="36">
        <v>8</v>
      </c>
    </row>
    <row r="247" spans="3:6" x14ac:dyDescent="0.3">
      <c r="C247" s="35">
        <v>11</v>
      </c>
      <c r="D247" s="35" t="s">
        <v>75</v>
      </c>
      <c r="E247" s="36">
        <v>31</v>
      </c>
      <c r="F247" s="36">
        <v>9</v>
      </c>
    </row>
    <row r="248" spans="3:6" x14ac:dyDescent="0.3">
      <c r="C248" s="35">
        <v>11</v>
      </c>
      <c r="D248" s="35" t="s">
        <v>64</v>
      </c>
      <c r="E248" s="36">
        <v>126</v>
      </c>
      <c r="F248" s="36">
        <v>10</v>
      </c>
    </row>
    <row r="249" spans="3:6" x14ac:dyDescent="0.3">
      <c r="C249" s="35">
        <v>11</v>
      </c>
      <c r="D249" s="35" t="s">
        <v>55</v>
      </c>
      <c r="E249" s="36">
        <v>87</v>
      </c>
      <c r="F249" s="36">
        <v>8.5</v>
      </c>
    </row>
    <row r="250" spans="3:6" x14ac:dyDescent="0.3">
      <c r="C250" s="35">
        <v>11</v>
      </c>
      <c r="D250" s="35" t="s">
        <v>55</v>
      </c>
      <c r="E250" s="36">
        <v>32.5</v>
      </c>
      <c r="F250" s="36">
        <v>8.5</v>
      </c>
    </row>
    <row r="251" spans="3:6" x14ac:dyDescent="0.3">
      <c r="C251" s="35">
        <v>11</v>
      </c>
      <c r="D251" s="35" t="s">
        <v>55</v>
      </c>
      <c r="E251" s="36">
        <v>54.7</v>
      </c>
      <c r="F251" s="36">
        <v>8</v>
      </c>
    </row>
    <row r="252" spans="3:6" x14ac:dyDescent="0.3">
      <c r="C252" s="35">
        <v>12</v>
      </c>
      <c r="D252" s="35" t="s">
        <v>60</v>
      </c>
      <c r="E252" s="36">
        <v>20.2</v>
      </c>
      <c r="F252" s="36">
        <v>12</v>
      </c>
    </row>
    <row r="253" spans="3:6" x14ac:dyDescent="0.3">
      <c r="C253" s="35">
        <v>12</v>
      </c>
      <c r="D253" s="35" t="s">
        <v>49</v>
      </c>
      <c r="E253" s="36">
        <v>109</v>
      </c>
      <c r="F253" s="36">
        <v>13</v>
      </c>
    </row>
    <row r="254" spans="3:6" x14ac:dyDescent="0.3">
      <c r="C254" s="35">
        <v>12</v>
      </c>
      <c r="D254" s="35" t="s">
        <v>49</v>
      </c>
      <c r="E254" s="36">
        <v>85.7</v>
      </c>
      <c r="F254" s="36">
        <v>12</v>
      </c>
    </row>
    <row r="255" spans="3:6" x14ac:dyDescent="0.3">
      <c r="C255" s="35">
        <v>12</v>
      </c>
      <c r="D255" s="35" t="s">
        <v>49</v>
      </c>
      <c r="E255" s="36">
        <v>82.1</v>
      </c>
      <c r="F255" s="36">
        <v>12</v>
      </c>
    </row>
    <row r="256" spans="3:6" x14ac:dyDescent="0.3">
      <c r="C256" s="35">
        <v>12</v>
      </c>
      <c r="D256" s="35" t="s">
        <v>71</v>
      </c>
      <c r="E256" s="36">
        <v>37.700000000000003</v>
      </c>
      <c r="F256" s="36">
        <v>12</v>
      </c>
    </row>
    <row r="257" spans="3:6" x14ac:dyDescent="0.3">
      <c r="C257" s="35">
        <v>12</v>
      </c>
      <c r="D257" s="35" t="s">
        <v>49</v>
      </c>
      <c r="E257" s="36">
        <v>46</v>
      </c>
      <c r="F257" s="36">
        <v>7</v>
      </c>
    </row>
    <row r="258" spans="3:6" x14ac:dyDescent="0.3">
      <c r="C258" s="35">
        <v>12</v>
      </c>
      <c r="D258" s="35" t="s">
        <v>49</v>
      </c>
      <c r="E258" s="36">
        <v>55</v>
      </c>
      <c r="F258" s="36">
        <v>7.5</v>
      </c>
    </row>
    <row r="259" spans="3:6" x14ac:dyDescent="0.3">
      <c r="C259" s="35">
        <v>12</v>
      </c>
      <c r="D259" s="35" t="s">
        <v>49</v>
      </c>
      <c r="E259" s="36">
        <v>26.3</v>
      </c>
      <c r="F259" s="36">
        <v>7</v>
      </c>
    </row>
    <row r="260" spans="3:6" x14ac:dyDescent="0.3">
      <c r="C260" s="35">
        <v>12</v>
      </c>
      <c r="D260" s="35" t="s">
        <v>57</v>
      </c>
      <c r="E260" s="36">
        <v>19</v>
      </c>
      <c r="F260" s="36">
        <v>7</v>
      </c>
    </row>
    <row r="261" spans="3:6" x14ac:dyDescent="0.3">
      <c r="C261" s="35">
        <v>12</v>
      </c>
      <c r="D261" s="35" t="s">
        <v>64</v>
      </c>
      <c r="E261" s="36">
        <v>82</v>
      </c>
      <c r="F261" s="36">
        <v>7</v>
      </c>
    </row>
    <row r="262" spans="3:6" x14ac:dyDescent="0.3">
      <c r="C262" s="35">
        <v>12</v>
      </c>
      <c r="D262" s="35" t="s">
        <v>49</v>
      </c>
      <c r="E262" s="36">
        <v>22</v>
      </c>
      <c r="F262" s="36">
        <v>4</v>
      </c>
    </row>
    <row r="263" spans="3:6" x14ac:dyDescent="0.3">
      <c r="C263" s="35">
        <v>12</v>
      </c>
      <c r="D263" s="35" t="s">
        <v>49</v>
      </c>
      <c r="E263" s="36">
        <v>49.7</v>
      </c>
      <c r="F263" s="36">
        <v>6</v>
      </c>
    </row>
    <row r="264" spans="3:6" x14ac:dyDescent="0.3">
      <c r="C264" s="35">
        <v>12</v>
      </c>
      <c r="D264" s="35" t="s">
        <v>49</v>
      </c>
      <c r="E264" s="36">
        <v>51.5</v>
      </c>
      <c r="F264" s="36">
        <v>6</v>
      </c>
    </row>
    <row r="265" spans="3:6" x14ac:dyDescent="0.3">
      <c r="C265" s="35">
        <v>12</v>
      </c>
      <c r="D265" s="35" t="s">
        <v>63</v>
      </c>
      <c r="E265" s="36">
        <v>26</v>
      </c>
      <c r="F265" s="36">
        <v>3.5</v>
      </c>
    </row>
    <row r="266" spans="3:6" x14ac:dyDescent="0.3">
      <c r="C266" s="35">
        <v>12</v>
      </c>
      <c r="D266" s="35" t="s">
        <v>63</v>
      </c>
      <c r="E266" s="36">
        <v>26.5</v>
      </c>
      <c r="F266" s="36">
        <v>6</v>
      </c>
    </row>
    <row r="267" spans="3:6" x14ac:dyDescent="0.3">
      <c r="C267" s="35">
        <v>12</v>
      </c>
      <c r="D267" s="35" t="s">
        <v>63</v>
      </c>
      <c r="E267" s="36">
        <v>23.8</v>
      </c>
      <c r="F267" s="36">
        <v>6</v>
      </c>
    </row>
    <row r="268" spans="3:6" x14ac:dyDescent="0.3">
      <c r="C268" s="35">
        <v>12</v>
      </c>
      <c r="D268" s="35" t="s">
        <v>63</v>
      </c>
      <c r="E268" s="36">
        <v>25.8</v>
      </c>
      <c r="F268" s="36">
        <v>4</v>
      </c>
    </row>
    <row r="269" spans="3:6" x14ac:dyDescent="0.3">
      <c r="C269" s="35">
        <v>12</v>
      </c>
      <c r="D269" s="35" t="s">
        <v>63</v>
      </c>
      <c r="E269" s="36">
        <v>17.5</v>
      </c>
      <c r="F269" s="36">
        <v>4</v>
      </c>
    </row>
    <row r="270" spans="3:6" x14ac:dyDescent="0.3">
      <c r="C270" s="35">
        <v>12</v>
      </c>
      <c r="D270" s="35" t="s">
        <v>63</v>
      </c>
      <c r="E270" s="36">
        <v>21.9</v>
      </c>
      <c r="F270" s="36">
        <v>4.5</v>
      </c>
    </row>
    <row r="271" spans="3:6" x14ac:dyDescent="0.3">
      <c r="C271" s="35">
        <v>12</v>
      </c>
      <c r="D271" s="35" t="s">
        <v>63</v>
      </c>
      <c r="E271" s="36">
        <v>27.8</v>
      </c>
      <c r="F271" s="36">
        <v>5</v>
      </c>
    </row>
    <row r="272" spans="3:6" x14ac:dyDescent="0.3">
      <c r="C272" s="35">
        <v>12</v>
      </c>
      <c r="D272" s="35" t="s">
        <v>46</v>
      </c>
      <c r="E272" s="36">
        <v>28</v>
      </c>
      <c r="F272" s="36">
        <v>8</v>
      </c>
    </row>
    <row r="273" spans="3:6" x14ac:dyDescent="0.3">
      <c r="C273" s="35">
        <v>12</v>
      </c>
      <c r="D273" s="35" t="s">
        <v>49</v>
      </c>
      <c r="E273" s="36">
        <v>62.6</v>
      </c>
      <c r="F273" s="36">
        <v>9</v>
      </c>
    </row>
    <row r="274" spans="3:6" x14ac:dyDescent="0.3">
      <c r="C274" s="35">
        <v>12</v>
      </c>
      <c r="D274" s="35" t="s">
        <v>49</v>
      </c>
      <c r="E274" s="36">
        <v>41.8</v>
      </c>
      <c r="F274" s="36">
        <v>8</v>
      </c>
    </row>
    <row r="275" spans="3:6" x14ac:dyDescent="0.3">
      <c r="C275" s="35">
        <v>12</v>
      </c>
      <c r="D275" s="35" t="s">
        <v>49</v>
      </c>
      <c r="E275" s="36">
        <v>30.1</v>
      </c>
      <c r="F275" s="36">
        <v>8</v>
      </c>
    </row>
    <row r="276" spans="3:6" x14ac:dyDescent="0.3">
      <c r="C276" s="35">
        <v>12</v>
      </c>
      <c r="D276" s="35" t="s">
        <v>49</v>
      </c>
      <c r="E276" s="36">
        <v>101</v>
      </c>
      <c r="F276" s="36">
        <v>9</v>
      </c>
    </row>
    <row r="277" spans="3:6" x14ac:dyDescent="0.3">
      <c r="C277" s="35">
        <v>12</v>
      </c>
      <c r="D277" s="35" t="s">
        <v>49</v>
      </c>
      <c r="E277" s="36">
        <v>76</v>
      </c>
      <c r="F277" s="36">
        <v>9</v>
      </c>
    </row>
    <row r="278" spans="3:6" x14ac:dyDescent="0.3">
      <c r="C278" s="35">
        <v>12</v>
      </c>
      <c r="D278" s="35" t="s">
        <v>49</v>
      </c>
      <c r="E278" s="36">
        <v>50.8</v>
      </c>
      <c r="F278" s="36">
        <v>9</v>
      </c>
    </row>
    <row r="279" spans="3:6" x14ac:dyDescent="0.3">
      <c r="C279" s="35">
        <v>12</v>
      </c>
      <c r="D279" s="35" t="s">
        <v>49</v>
      </c>
      <c r="E279" s="36">
        <v>32</v>
      </c>
      <c r="F279" s="36">
        <v>8</v>
      </c>
    </row>
    <row r="280" spans="3:6" x14ac:dyDescent="0.3">
      <c r="C280" s="35">
        <v>12</v>
      </c>
      <c r="D280" s="35" t="s">
        <v>63</v>
      </c>
      <c r="E280" s="36">
        <v>23.2</v>
      </c>
      <c r="F280" s="36">
        <v>8</v>
      </c>
    </row>
    <row r="281" spans="3:6" x14ac:dyDescent="0.3">
      <c r="C281" s="35">
        <v>12</v>
      </c>
      <c r="D281" s="35" t="s">
        <v>63</v>
      </c>
      <c r="E281" s="36">
        <v>33</v>
      </c>
      <c r="F281" s="36">
        <v>8</v>
      </c>
    </row>
    <row r="282" spans="3:6" x14ac:dyDescent="0.3">
      <c r="C282" s="35">
        <v>13</v>
      </c>
      <c r="D282" s="35" t="s">
        <v>76</v>
      </c>
      <c r="E282" s="36">
        <v>19.399999999999999</v>
      </c>
      <c r="F282" s="36">
        <v>11</v>
      </c>
    </row>
    <row r="283" spans="3:6" x14ac:dyDescent="0.3">
      <c r="C283" s="35">
        <v>13</v>
      </c>
      <c r="D283" s="35" t="s">
        <v>49</v>
      </c>
      <c r="E283" s="36">
        <v>95.1</v>
      </c>
      <c r="F283" s="36">
        <v>12</v>
      </c>
    </row>
    <row r="284" spans="3:6" x14ac:dyDescent="0.3">
      <c r="C284" s="35">
        <v>13</v>
      </c>
      <c r="D284" s="35" t="s">
        <v>49</v>
      </c>
      <c r="E284" s="36">
        <v>80.2</v>
      </c>
      <c r="F284" s="36">
        <v>11</v>
      </c>
    </row>
    <row r="285" spans="3:6" x14ac:dyDescent="0.3">
      <c r="C285" s="35">
        <v>13</v>
      </c>
      <c r="D285" s="35" t="s">
        <v>49</v>
      </c>
      <c r="E285" s="36">
        <v>94.3</v>
      </c>
      <c r="F285" s="36">
        <v>11</v>
      </c>
    </row>
    <row r="286" spans="3:6" x14ac:dyDescent="0.3">
      <c r="C286" s="35">
        <v>13</v>
      </c>
      <c r="D286" s="35" t="s">
        <v>50</v>
      </c>
      <c r="E286" s="36">
        <v>115</v>
      </c>
      <c r="F286" s="36">
        <v>11</v>
      </c>
    </row>
    <row r="287" spans="3:6" x14ac:dyDescent="0.3">
      <c r="C287" s="35">
        <v>13</v>
      </c>
      <c r="D287" s="35" t="s">
        <v>49</v>
      </c>
      <c r="E287" s="36">
        <v>64.900000000000006</v>
      </c>
      <c r="F287" s="36">
        <v>7.5</v>
      </c>
    </row>
    <row r="288" spans="3:6" x14ac:dyDescent="0.3">
      <c r="C288" s="35">
        <v>13</v>
      </c>
      <c r="D288" s="35" t="s">
        <v>63</v>
      </c>
      <c r="E288" s="36">
        <v>27.5</v>
      </c>
      <c r="F288" s="36">
        <v>7.5</v>
      </c>
    </row>
    <row r="289" spans="3:6" x14ac:dyDescent="0.3">
      <c r="C289" s="35">
        <v>13</v>
      </c>
      <c r="D289" s="35" t="s">
        <v>69</v>
      </c>
      <c r="E289" s="36">
        <v>15.7</v>
      </c>
      <c r="F289" s="36">
        <v>1.9</v>
      </c>
    </row>
    <row r="290" spans="3:6" x14ac:dyDescent="0.3">
      <c r="C290" s="35">
        <v>13</v>
      </c>
      <c r="D290" s="35" t="s">
        <v>49</v>
      </c>
      <c r="E290" s="36">
        <v>21</v>
      </c>
      <c r="F290" s="36">
        <v>4</v>
      </c>
    </row>
    <row r="291" spans="3:6" x14ac:dyDescent="0.3">
      <c r="C291" s="35">
        <v>13</v>
      </c>
      <c r="D291" s="35" t="s">
        <v>49</v>
      </c>
      <c r="E291" s="36">
        <v>31.6</v>
      </c>
      <c r="F291" s="36">
        <v>5.5</v>
      </c>
    </row>
    <row r="292" spans="3:6" x14ac:dyDescent="0.3">
      <c r="C292" s="35">
        <v>13</v>
      </c>
      <c r="D292" s="35" t="s">
        <v>63</v>
      </c>
      <c r="E292" s="36">
        <v>21</v>
      </c>
      <c r="F292" s="36">
        <v>5</v>
      </c>
    </row>
    <row r="293" spans="3:6" x14ac:dyDescent="0.3">
      <c r="C293" s="35">
        <v>13</v>
      </c>
      <c r="D293" s="35" t="s">
        <v>63</v>
      </c>
      <c r="E293" s="36">
        <v>23.2</v>
      </c>
      <c r="F293" s="36">
        <v>5</v>
      </c>
    </row>
    <row r="294" spans="3:6" x14ac:dyDescent="0.3">
      <c r="C294" s="35">
        <v>14</v>
      </c>
      <c r="D294" s="35" t="s">
        <v>76</v>
      </c>
      <c r="E294" s="36">
        <v>25.6</v>
      </c>
      <c r="F294" s="36">
        <v>11</v>
      </c>
    </row>
    <row r="295" spans="3:6" x14ac:dyDescent="0.3">
      <c r="C295" s="35">
        <v>14</v>
      </c>
      <c r="D295" s="35" t="s">
        <v>49</v>
      </c>
      <c r="E295" s="36">
        <v>73.5</v>
      </c>
      <c r="F295" s="36">
        <v>11</v>
      </c>
    </row>
    <row r="296" spans="3:6" x14ac:dyDescent="0.3">
      <c r="C296" s="35">
        <v>14</v>
      </c>
      <c r="D296" s="35" t="s">
        <v>77</v>
      </c>
      <c r="E296" s="36">
        <v>99.2</v>
      </c>
      <c r="F296" s="36">
        <v>11</v>
      </c>
    </row>
    <row r="297" spans="3:6" x14ac:dyDescent="0.3">
      <c r="C297" s="35">
        <v>14</v>
      </c>
      <c r="D297" s="35" t="s">
        <v>49</v>
      </c>
      <c r="E297" s="36">
        <v>47.8</v>
      </c>
      <c r="F297" s="36">
        <v>7</v>
      </c>
    </row>
    <row r="298" spans="3:6" x14ac:dyDescent="0.3">
      <c r="C298" s="35">
        <v>14</v>
      </c>
      <c r="D298" s="35" t="s">
        <v>49</v>
      </c>
      <c r="E298" s="36">
        <v>98.6</v>
      </c>
      <c r="F298" s="36">
        <v>7</v>
      </c>
    </row>
    <row r="299" spans="3:6" x14ac:dyDescent="0.3">
      <c r="C299" s="35">
        <v>14</v>
      </c>
      <c r="D299" s="35" t="s">
        <v>63</v>
      </c>
      <c r="E299" s="36">
        <v>20.7</v>
      </c>
      <c r="F299" s="36">
        <v>7</v>
      </c>
    </row>
    <row r="300" spans="3:6" x14ac:dyDescent="0.3">
      <c r="C300" s="35">
        <v>14</v>
      </c>
      <c r="D300" s="35" t="s">
        <v>51</v>
      </c>
      <c r="E300" s="36">
        <v>42.8</v>
      </c>
      <c r="F300" s="36">
        <v>7</v>
      </c>
    </row>
    <row r="301" spans="3:6" x14ac:dyDescent="0.3">
      <c r="C301" s="35">
        <v>14</v>
      </c>
      <c r="D301" s="35" t="s">
        <v>73</v>
      </c>
      <c r="E301" s="36">
        <v>21.8</v>
      </c>
      <c r="F301" s="36">
        <v>3</v>
      </c>
    </row>
    <row r="302" spans="3:6" x14ac:dyDescent="0.3">
      <c r="C302" s="35">
        <v>14</v>
      </c>
      <c r="D302" s="35" t="s">
        <v>49</v>
      </c>
      <c r="E302" s="36">
        <v>84</v>
      </c>
      <c r="F302" s="36">
        <v>6</v>
      </c>
    </row>
    <row r="303" spans="3:6" x14ac:dyDescent="0.3">
      <c r="C303" s="35">
        <v>14</v>
      </c>
      <c r="D303" s="35" t="s">
        <v>49</v>
      </c>
      <c r="E303" s="36">
        <v>41.7</v>
      </c>
      <c r="F303" s="36">
        <v>6.5</v>
      </c>
    </row>
    <row r="304" spans="3:6" x14ac:dyDescent="0.3">
      <c r="C304" s="35">
        <v>14</v>
      </c>
      <c r="D304" s="35" t="s">
        <v>46</v>
      </c>
      <c r="E304" s="36">
        <v>26</v>
      </c>
      <c r="F304" s="36">
        <v>8</v>
      </c>
    </row>
    <row r="305" spans="3:6" x14ac:dyDescent="0.3">
      <c r="C305" s="35">
        <v>14</v>
      </c>
      <c r="D305" s="35" t="s">
        <v>49</v>
      </c>
      <c r="E305" s="36">
        <v>46.9</v>
      </c>
      <c r="F305" s="36">
        <v>10</v>
      </c>
    </row>
    <row r="306" spans="3:6" x14ac:dyDescent="0.3">
      <c r="C306" s="35">
        <v>14</v>
      </c>
      <c r="D306" s="35" t="s">
        <v>78</v>
      </c>
      <c r="E306" s="36">
        <v>57.2</v>
      </c>
      <c r="F306" s="36">
        <v>10</v>
      </c>
    </row>
    <row r="307" spans="3:6" x14ac:dyDescent="0.3">
      <c r="C307" s="35">
        <v>15</v>
      </c>
      <c r="D307" s="35" t="s">
        <v>49</v>
      </c>
      <c r="E307" s="36">
        <v>69.3</v>
      </c>
      <c r="F307" s="36">
        <v>12</v>
      </c>
    </row>
    <row r="308" spans="3:6" x14ac:dyDescent="0.3">
      <c r="C308" s="35">
        <v>15</v>
      </c>
      <c r="D308" s="35" t="s">
        <v>65</v>
      </c>
      <c r="E308" s="36">
        <v>101.5</v>
      </c>
      <c r="F308" s="36">
        <v>13</v>
      </c>
    </row>
    <row r="309" spans="3:6" x14ac:dyDescent="0.3">
      <c r="C309" s="35">
        <v>15</v>
      </c>
      <c r="D309" s="35" t="s">
        <v>64</v>
      </c>
      <c r="E309" s="36">
        <v>100</v>
      </c>
      <c r="F309" s="36">
        <v>5</v>
      </c>
    </row>
    <row r="310" spans="3:6" x14ac:dyDescent="0.3">
      <c r="C310" s="35">
        <v>15</v>
      </c>
      <c r="D310" s="35" t="s">
        <v>63</v>
      </c>
      <c r="E310" s="36">
        <v>17.5</v>
      </c>
      <c r="F310" s="36">
        <v>5.5</v>
      </c>
    </row>
    <row r="311" spans="3:6" x14ac:dyDescent="0.3">
      <c r="C311" s="35">
        <v>15</v>
      </c>
      <c r="D311" s="35" t="s">
        <v>63</v>
      </c>
      <c r="E311" s="36">
        <v>21</v>
      </c>
      <c r="F311" s="36">
        <v>4</v>
      </c>
    </row>
    <row r="312" spans="3:6" x14ac:dyDescent="0.3">
      <c r="C312" s="35">
        <v>15</v>
      </c>
      <c r="D312" s="35" t="s">
        <v>63</v>
      </c>
      <c r="E312" s="36">
        <v>19.3</v>
      </c>
      <c r="F312" s="36">
        <v>5</v>
      </c>
    </row>
    <row r="313" spans="3:6" x14ac:dyDescent="0.3">
      <c r="C313" s="35">
        <v>15</v>
      </c>
      <c r="D313" s="35" t="s">
        <v>63</v>
      </c>
      <c r="E313" s="36">
        <v>27.2</v>
      </c>
      <c r="F313" s="36">
        <v>4</v>
      </c>
    </row>
    <row r="314" spans="3:6" x14ac:dyDescent="0.3">
      <c r="C314" s="35">
        <v>15</v>
      </c>
      <c r="D314" s="35" t="s">
        <v>55</v>
      </c>
      <c r="E314" s="36">
        <v>16</v>
      </c>
      <c r="F314" s="36">
        <v>6</v>
      </c>
    </row>
    <row r="315" spans="3:6" x14ac:dyDescent="0.3">
      <c r="C315" s="35">
        <v>15</v>
      </c>
      <c r="D315" s="35" t="s">
        <v>55</v>
      </c>
      <c r="E315" s="36">
        <v>17.8</v>
      </c>
      <c r="F315" s="36">
        <v>5</v>
      </c>
    </row>
    <row r="316" spans="3:6" x14ac:dyDescent="0.3">
      <c r="C316" s="35">
        <v>15</v>
      </c>
      <c r="D316" s="35" t="s">
        <v>46</v>
      </c>
      <c r="E316" s="36">
        <v>66</v>
      </c>
      <c r="F316" s="36">
        <v>9.5</v>
      </c>
    </row>
    <row r="317" spans="3:6" x14ac:dyDescent="0.3">
      <c r="C317" s="35">
        <v>15</v>
      </c>
      <c r="D317" s="35" t="s">
        <v>49</v>
      </c>
      <c r="E317" s="36">
        <v>76.400000000000006</v>
      </c>
      <c r="F317" s="36">
        <v>9.5</v>
      </c>
    </row>
    <row r="318" spans="3:6" x14ac:dyDescent="0.3">
      <c r="C318" s="35">
        <v>15</v>
      </c>
      <c r="D318" s="35" t="s">
        <v>49</v>
      </c>
      <c r="E318" s="36">
        <v>58</v>
      </c>
      <c r="F318" s="36">
        <v>10</v>
      </c>
    </row>
    <row r="319" spans="3:6" x14ac:dyDescent="0.3">
      <c r="C319" s="35">
        <v>15</v>
      </c>
      <c r="D319" s="35" t="s">
        <v>49</v>
      </c>
      <c r="E319" s="36">
        <v>62.2</v>
      </c>
      <c r="F319" s="36">
        <v>10</v>
      </c>
    </row>
    <row r="320" spans="3:6" x14ac:dyDescent="0.3">
      <c r="C320" s="35">
        <v>15</v>
      </c>
      <c r="D320" s="35" t="s">
        <v>49</v>
      </c>
      <c r="E320" s="36">
        <v>118.8</v>
      </c>
      <c r="F320" s="36">
        <v>10</v>
      </c>
    </row>
    <row r="321" spans="3:6" x14ac:dyDescent="0.3">
      <c r="C321" s="35">
        <v>15</v>
      </c>
      <c r="D321" s="35" t="s">
        <v>49</v>
      </c>
      <c r="E321" s="36">
        <v>71</v>
      </c>
      <c r="F321" s="36">
        <v>8</v>
      </c>
    </row>
    <row r="322" spans="3:6" x14ac:dyDescent="0.3">
      <c r="C322" s="35">
        <v>15</v>
      </c>
      <c r="D322" s="35" t="s">
        <v>49</v>
      </c>
      <c r="E322" s="36">
        <v>55.3</v>
      </c>
      <c r="F322" s="36">
        <v>8</v>
      </c>
    </row>
    <row r="323" spans="3:6" x14ac:dyDescent="0.3">
      <c r="C323" s="35">
        <v>16</v>
      </c>
      <c r="D323" s="35" t="s">
        <v>49</v>
      </c>
      <c r="E323" s="36">
        <v>84.5</v>
      </c>
      <c r="F323" s="36">
        <v>11</v>
      </c>
    </row>
    <row r="324" spans="3:6" x14ac:dyDescent="0.3">
      <c r="C324" s="35">
        <v>16</v>
      </c>
      <c r="D324" s="35" t="s">
        <v>50</v>
      </c>
      <c r="E324" s="36">
        <v>186</v>
      </c>
      <c r="F324" s="36">
        <v>14</v>
      </c>
    </row>
    <row r="325" spans="3:6" x14ac:dyDescent="0.3">
      <c r="C325" s="35">
        <v>16</v>
      </c>
      <c r="D325" s="35" t="s">
        <v>71</v>
      </c>
      <c r="E325" s="36">
        <v>43</v>
      </c>
      <c r="F325" s="36">
        <v>13</v>
      </c>
    </row>
    <row r="326" spans="3:6" x14ac:dyDescent="0.3">
      <c r="C326" s="35">
        <v>16</v>
      </c>
      <c r="D326" s="35" t="s">
        <v>47</v>
      </c>
      <c r="E326" s="36">
        <v>20.3</v>
      </c>
      <c r="F326" s="36">
        <v>7</v>
      </c>
    </row>
    <row r="327" spans="3:6" x14ac:dyDescent="0.3">
      <c r="C327" s="35">
        <v>16</v>
      </c>
      <c r="D327" s="35" t="s">
        <v>49</v>
      </c>
      <c r="E327" s="36">
        <v>54</v>
      </c>
      <c r="F327" s="36">
        <v>7</v>
      </c>
    </row>
    <row r="328" spans="3:6" x14ac:dyDescent="0.3">
      <c r="C328" s="35">
        <v>16</v>
      </c>
      <c r="D328" s="35" t="s">
        <v>49</v>
      </c>
      <c r="E328" s="36">
        <v>63</v>
      </c>
      <c r="F328" s="36">
        <v>7</v>
      </c>
    </row>
    <row r="329" spans="3:6" x14ac:dyDescent="0.3">
      <c r="C329" s="35">
        <v>16</v>
      </c>
      <c r="D329" s="35" t="s">
        <v>63</v>
      </c>
      <c r="E329" s="36">
        <v>21.2</v>
      </c>
      <c r="F329" s="36">
        <v>7</v>
      </c>
    </row>
    <row r="330" spans="3:6" x14ac:dyDescent="0.3">
      <c r="C330" s="35">
        <v>16</v>
      </c>
      <c r="D330" s="35" t="s">
        <v>63</v>
      </c>
      <c r="E330" s="36">
        <v>30.2</v>
      </c>
      <c r="F330" s="36">
        <v>7</v>
      </c>
    </row>
    <row r="331" spans="3:6" x14ac:dyDescent="0.3">
      <c r="C331" s="35">
        <v>16</v>
      </c>
      <c r="D331" s="35" t="s">
        <v>51</v>
      </c>
      <c r="E331" s="36">
        <v>52.2</v>
      </c>
      <c r="F331" s="36">
        <v>7</v>
      </c>
    </row>
    <row r="332" spans="3:6" x14ac:dyDescent="0.3">
      <c r="C332" s="35">
        <v>16</v>
      </c>
      <c r="D332" s="35" t="s">
        <v>55</v>
      </c>
      <c r="E332" s="36">
        <v>31.5</v>
      </c>
      <c r="F332" s="36">
        <v>7</v>
      </c>
    </row>
    <row r="333" spans="3:6" x14ac:dyDescent="0.3">
      <c r="C333" s="35">
        <v>16</v>
      </c>
      <c r="D333" s="35" t="s">
        <v>69</v>
      </c>
      <c r="E333" s="36">
        <v>16.2</v>
      </c>
      <c r="F333" s="36">
        <v>2</v>
      </c>
    </row>
    <row r="334" spans="3:6" x14ac:dyDescent="0.3">
      <c r="C334" s="35">
        <v>16</v>
      </c>
      <c r="D334" s="35" t="s">
        <v>56</v>
      </c>
      <c r="E334" s="36">
        <v>17</v>
      </c>
      <c r="F334" s="36">
        <v>4</v>
      </c>
    </row>
    <row r="335" spans="3:6" x14ac:dyDescent="0.3">
      <c r="C335" s="35">
        <v>16</v>
      </c>
      <c r="D335" s="35" t="s">
        <v>49</v>
      </c>
      <c r="E335" s="36">
        <v>34</v>
      </c>
      <c r="F335" s="36">
        <v>4</v>
      </c>
    </row>
    <row r="336" spans="3:6" x14ac:dyDescent="0.3">
      <c r="C336" s="35">
        <v>16</v>
      </c>
      <c r="D336" s="35" t="s">
        <v>52</v>
      </c>
      <c r="E336" s="36">
        <v>42.5</v>
      </c>
      <c r="F336" s="36">
        <v>5.5</v>
      </c>
    </row>
    <row r="337" spans="3:6" x14ac:dyDescent="0.3">
      <c r="C337" s="35">
        <v>16</v>
      </c>
      <c r="D337" s="35" t="s">
        <v>79</v>
      </c>
      <c r="E337" s="36">
        <v>66.3</v>
      </c>
      <c r="F337" s="36">
        <v>8.5</v>
      </c>
    </row>
    <row r="338" spans="3:6" x14ac:dyDescent="0.3">
      <c r="C338" s="35">
        <v>16</v>
      </c>
      <c r="D338" s="35" t="s">
        <v>49</v>
      </c>
      <c r="E338" s="36">
        <v>86.8</v>
      </c>
      <c r="F338" s="36">
        <v>9</v>
      </c>
    </row>
    <row r="339" spans="3:6" x14ac:dyDescent="0.3">
      <c r="C339" s="35">
        <v>16</v>
      </c>
      <c r="D339" s="35" t="s">
        <v>49</v>
      </c>
      <c r="E339" s="36">
        <v>86.3</v>
      </c>
      <c r="F339" s="36">
        <v>10</v>
      </c>
    </row>
    <row r="340" spans="3:6" x14ac:dyDescent="0.3">
      <c r="C340" s="35">
        <v>16</v>
      </c>
      <c r="D340" s="35" t="s">
        <v>49</v>
      </c>
      <c r="E340" s="36">
        <v>85</v>
      </c>
      <c r="F340" s="36">
        <v>10</v>
      </c>
    </row>
    <row r="341" spans="3:6" x14ac:dyDescent="0.3">
      <c r="C341" s="35">
        <v>16</v>
      </c>
      <c r="D341" s="35" t="s">
        <v>80</v>
      </c>
      <c r="E341" s="36">
        <v>37.6</v>
      </c>
      <c r="F341" s="36">
        <v>10</v>
      </c>
    </row>
    <row r="342" spans="3:6" x14ac:dyDescent="0.3">
      <c r="C342" s="35">
        <v>16</v>
      </c>
      <c r="D342" s="35" t="s">
        <v>81</v>
      </c>
      <c r="E342" s="36">
        <v>42</v>
      </c>
      <c r="F342" s="36">
        <v>8</v>
      </c>
    </row>
    <row r="343" spans="3:6" x14ac:dyDescent="0.3">
      <c r="C343" s="35">
        <v>16</v>
      </c>
      <c r="D343" s="35" t="s">
        <v>64</v>
      </c>
      <c r="E343" s="36">
        <v>108.5</v>
      </c>
      <c r="F343" s="36">
        <v>8</v>
      </c>
    </row>
    <row r="344" spans="3:6" x14ac:dyDescent="0.3">
      <c r="C344" s="35">
        <v>16</v>
      </c>
      <c r="D344" s="35" t="s">
        <v>64</v>
      </c>
      <c r="E344" s="36">
        <v>113.3</v>
      </c>
      <c r="F344" s="36">
        <v>10</v>
      </c>
    </row>
    <row r="345" spans="3:6" x14ac:dyDescent="0.3">
      <c r="C345" s="35">
        <v>16</v>
      </c>
      <c r="D345" s="35" t="s">
        <v>51</v>
      </c>
      <c r="E345" s="36">
        <v>52.6</v>
      </c>
      <c r="F345" s="36">
        <v>9</v>
      </c>
    </row>
    <row r="346" spans="3:6" x14ac:dyDescent="0.3">
      <c r="C346" s="35">
        <v>16</v>
      </c>
      <c r="D346" s="35" t="s">
        <v>55</v>
      </c>
      <c r="E346" s="36">
        <v>50.5</v>
      </c>
      <c r="F346" s="36">
        <v>9</v>
      </c>
    </row>
    <row r="347" spans="3:6" x14ac:dyDescent="0.3">
      <c r="C347" s="35">
        <v>17</v>
      </c>
      <c r="D347" s="35" t="s">
        <v>49</v>
      </c>
      <c r="E347" s="36">
        <v>104.3</v>
      </c>
      <c r="F347" s="36">
        <v>11</v>
      </c>
    </row>
    <row r="348" spans="3:6" x14ac:dyDescent="0.3">
      <c r="C348" s="35">
        <v>17</v>
      </c>
      <c r="D348" s="35" t="s">
        <v>49</v>
      </c>
      <c r="E348" s="36">
        <v>80.5</v>
      </c>
      <c r="F348" s="36">
        <v>11</v>
      </c>
    </row>
    <row r="349" spans="3:6" x14ac:dyDescent="0.3">
      <c r="C349" s="35">
        <v>17</v>
      </c>
      <c r="D349" s="35" t="s">
        <v>49</v>
      </c>
      <c r="E349" s="36">
        <v>99.6</v>
      </c>
      <c r="F349" s="36">
        <v>11</v>
      </c>
    </row>
    <row r="350" spans="3:6" x14ac:dyDescent="0.3">
      <c r="C350" s="35">
        <v>17</v>
      </c>
      <c r="D350" s="35" t="s">
        <v>49</v>
      </c>
      <c r="E350" s="36">
        <v>73.5</v>
      </c>
      <c r="F350" s="36">
        <v>11</v>
      </c>
    </row>
    <row r="351" spans="3:6" x14ac:dyDescent="0.3">
      <c r="C351" s="35">
        <v>17</v>
      </c>
      <c r="D351" s="35" t="s">
        <v>49</v>
      </c>
      <c r="E351" s="36">
        <v>91</v>
      </c>
      <c r="F351" s="36">
        <v>11</v>
      </c>
    </row>
    <row r="352" spans="3:6" x14ac:dyDescent="0.3">
      <c r="C352" s="35">
        <v>17</v>
      </c>
      <c r="D352" s="35" t="s">
        <v>50</v>
      </c>
      <c r="E352" s="36">
        <v>171</v>
      </c>
      <c r="F352" s="36">
        <v>14</v>
      </c>
    </row>
    <row r="353" spans="3:6" x14ac:dyDescent="0.3">
      <c r="C353" s="35">
        <v>17</v>
      </c>
      <c r="D353" s="35" t="s">
        <v>71</v>
      </c>
      <c r="E353" s="36">
        <v>38</v>
      </c>
      <c r="F353" s="36">
        <v>12</v>
      </c>
    </row>
    <row r="354" spans="3:6" x14ac:dyDescent="0.3">
      <c r="C354" s="35">
        <v>17</v>
      </c>
      <c r="D354" s="35" t="s">
        <v>49</v>
      </c>
      <c r="E354" s="36">
        <v>62.5</v>
      </c>
      <c r="F354" s="36">
        <v>7.5</v>
      </c>
    </row>
    <row r="355" spans="3:6" x14ac:dyDescent="0.3">
      <c r="C355" s="35">
        <v>17</v>
      </c>
      <c r="D355" s="35" t="s">
        <v>49</v>
      </c>
      <c r="E355" s="36">
        <v>44.2</v>
      </c>
      <c r="F355" s="36">
        <v>7</v>
      </c>
    </row>
    <row r="356" spans="3:6" x14ac:dyDescent="0.3">
      <c r="C356" s="35">
        <v>17</v>
      </c>
      <c r="D356" s="35" t="s">
        <v>68</v>
      </c>
      <c r="E356" s="36">
        <v>22</v>
      </c>
      <c r="F356" s="36">
        <v>7.5</v>
      </c>
    </row>
    <row r="357" spans="3:6" x14ac:dyDescent="0.3">
      <c r="C357" s="35">
        <v>17</v>
      </c>
      <c r="D357" s="35" t="s">
        <v>52</v>
      </c>
      <c r="E357" s="36">
        <v>31</v>
      </c>
      <c r="F357" s="36">
        <v>6</v>
      </c>
    </row>
    <row r="358" spans="3:6" x14ac:dyDescent="0.3">
      <c r="C358" s="35">
        <v>17</v>
      </c>
      <c r="D358" s="35" t="s">
        <v>52</v>
      </c>
      <c r="E358" s="36">
        <v>28.5</v>
      </c>
      <c r="F358" s="36">
        <v>6</v>
      </c>
    </row>
    <row r="359" spans="3:6" x14ac:dyDescent="0.3">
      <c r="C359" s="35">
        <v>17</v>
      </c>
      <c r="D359" s="35" t="s">
        <v>52</v>
      </c>
      <c r="E359" s="36">
        <v>22</v>
      </c>
      <c r="F359" s="36">
        <v>6.5</v>
      </c>
    </row>
    <row r="360" spans="3:6" x14ac:dyDescent="0.3">
      <c r="C360" s="35">
        <v>17</v>
      </c>
      <c r="D360" s="35" t="s">
        <v>52</v>
      </c>
      <c r="E360" s="36">
        <v>14.4</v>
      </c>
      <c r="F360" s="36">
        <v>4</v>
      </c>
    </row>
    <row r="361" spans="3:6" x14ac:dyDescent="0.3">
      <c r="C361" s="35">
        <v>17</v>
      </c>
      <c r="D361" s="35" t="s">
        <v>82</v>
      </c>
      <c r="E361" s="36">
        <v>34</v>
      </c>
      <c r="F361" s="36">
        <v>6</v>
      </c>
    </row>
    <row r="362" spans="3:6" x14ac:dyDescent="0.3">
      <c r="C362" s="35">
        <v>17</v>
      </c>
      <c r="D362" s="35" t="s">
        <v>57</v>
      </c>
      <c r="E362" s="36">
        <v>37.799999999999997</v>
      </c>
      <c r="F362" s="36">
        <v>5</v>
      </c>
    </row>
    <row r="363" spans="3:6" x14ac:dyDescent="0.3">
      <c r="C363" s="35">
        <v>17</v>
      </c>
      <c r="D363" s="35" t="s">
        <v>63</v>
      </c>
      <c r="E363" s="36">
        <v>23.6</v>
      </c>
      <c r="F363" s="36">
        <v>4</v>
      </c>
    </row>
    <row r="364" spans="3:6" x14ac:dyDescent="0.3">
      <c r="C364" s="35">
        <v>17</v>
      </c>
      <c r="D364" s="35" t="s">
        <v>63</v>
      </c>
      <c r="E364" s="36">
        <v>18</v>
      </c>
      <c r="F364" s="36">
        <v>3.5</v>
      </c>
    </row>
    <row r="365" spans="3:6" x14ac:dyDescent="0.3">
      <c r="C365" s="35">
        <v>17</v>
      </c>
      <c r="D365" s="35" t="s">
        <v>63</v>
      </c>
      <c r="E365" s="36">
        <v>17</v>
      </c>
      <c r="F365" s="36">
        <v>4</v>
      </c>
    </row>
    <row r="366" spans="3:6" x14ac:dyDescent="0.3">
      <c r="C366" s="35">
        <v>17</v>
      </c>
      <c r="D366" s="35" t="s">
        <v>63</v>
      </c>
      <c r="E366" s="36">
        <v>18.3</v>
      </c>
      <c r="F366" s="36">
        <v>4.5</v>
      </c>
    </row>
    <row r="367" spans="3:6" x14ac:dyDescent="0.3">
      <c r="C367" s="35">
        <v>17</v>
      </c>
      <c r="D367" s="35" t="s">
        <v>46</v>
      </c>
      <c r="E367" s="36">
        <v>37</v>
      </c>
      <c r="F367" s="36">
        <v>10</v>
      </c>
    </row>
    <row r="368" spans="3:6" x14ac:dyDescent="0.3">
      <c r="C368" s="35">
        <v>17</v>
      </c>
      <c r="D368" s="35" t="s">
        <v>46</v>
      </c>
      <c r="E368" s="36">
        <v>82.3</v>
      </c>
      <c r="F368" s="36">
        <v>9</v>
      </c>
    </row>
    <row r="369" spans="3:6" x14ac:dyDescent="0.3">
      <c r="C369" s="35">
        <v>17</v>
      </c>
      <c r="D369" s="35" t="s">
        <v>49</v>
      </c>
      <c r="E369" s="36">
        <v>80.3</v>
      </c>
      <c r="F369" s="36">
        <v>8</v>
      </c>
    </row>
    <row r="370" spans="3:6" x14ac:dyDescent="0.3">
      <c r="C370" s="35">
        <v>17</v>
      </c>
      <c r="D370" s="35" t="s">
        <v>49</v>
      </c>
      <c r="E370" s="36">
        <v>48</v>
      </c>
      <c r="F370" s="36">
        <v>8</v>
      </c>
    </row>
    <row r="371" spans="3:6" x14ac:dyDescent="0.3">
      <c r="C371" s="35">
        <v>17</v>
      </c>
      <c r="D371" s="35" t="s">
        <v>49</v>
      </c>
      <c r="E371" s="36">
        <v>79.400000000000006</v>
      </c>
      <c r="F371" s="36">
        <v>10</v>
      </c>
    </row>
    <row r="372" spans="3:6" x14ac:dyDescent="0.3">
      <c r="C372" s="35">
        <v>17</v>
      </c>
      <c r="D372" s="35" t="s">
        <v>49</v>
      </c>
      <c r="E372" s="36">
        <v>63.5</v>
      </c>
      <c r="F372" s="36">
        <v>9</v>
      </c>
    </row>
    <row r="373" spans="3:6" x14ac:dyDescent="0.3">
      <c r="C373" s="35">
        <v>17</v>
      </c>
      <c r="D373" s="35" t="s">
        <v>49</v>
      </c>
      <c r="E373" s="36">
        <v>65.599999999999994</v>
      </c>
      <c r="F373" s="36">
        <v>8</v>
      </c>
    </row>
    <row r="374" spans="3:6" x14ac:dyDescent="0.3">
      <c r="C374" s="35">
        <v>17</v>
      </c>
      <c r="D374" s="35" t="s">
        <v>49</v>
      </c>
      <c r="E374" s="36">
        <v>75.599999999999994</v>
      </c>
      <c r="F374" s="36">
        <v>10</v>
      </c>
    </row>
    <row r="375" spans="3:6" x14ac:dyDescent="0.3">
      <c r="C375" s="35">
        <v>17</v>
      </c>
      <c r="D375" s="35" t="s">
        <v>49</v>
      </c>
      <c r="E375" s="36">
        <v>56.7</v>
      </c>
      <c r="F375" s="36">
        <v>9</v>
      </c>
    </row>
    <row r="376" spans="3:6" x14ac:dyDescent="0.3">
      <c r="C376" s="35">
        <v>17</v>
      </c>
      <c r="D376" s="35" t="s">
        <v>49</v>
      </c>
      <c r="E376" s="36">
        <v>69.5</v>
      </c>
      <c r="F376" s="36">
        <v>9</v>
      </c>
    </row>
    <row r="377" spans="3:6" x14ac:dyDescent="0.3">
      <c r="C377" s="35">
        <v>17</v>
      </c>
      <c r="D377" s="35" t="s">
        <v>57</v>
      </c>
      <c r="E377" s="36">
        <v>26</v>
      </c>
      <c r="F377" s="36">
        <v>8</v>
      </c>
    </row>
    <row r="378" spans="3:6" x14ac:dyDescent="0.3">
      <c r="C378" s="35">
        <v>17</v>
      </c>
      <c r="D378" s="35" t="s">
        <v>83</v>
      </c>
      <c r="E378" s="36">
        <v>56</v>
      </c>
      <c r="F378" s="36">
        <v>9</v>
      </c>
    </row>
    <row r="379" spans="3:6" x14ac:dyDescent="0.3">
      <c r="C379" s="35">
        <v>17</v>
      </c>
      <c r="D379" s="35" t="s">
        <v>67</v>
      </c>
      <c r="E379" s="36">
        <v>37.4</v>
      </c>
      <c r="F379" s="36">
        <v>8</v>
      </c>
    </row>
    <row r="380" spans="3:6" x14ac:dyDescent="0.3">
      <c r="C380" s="35">
        <v>17</v>
      </c>
      <c r="D380" s="35" t="s">
        <v>84</v>
      </c>
      <c r="E380" s="36">
        <v>58.8</v>
      </c>
      <c r="F380" s="36">
        <v>8</v>
      </c>
    </row>
    <row r="381" spans="3:6" x14ac:dyDescent="0.3">
      <c r="C381" s="35">
        <v>17</v>
      </c>
      <c r="D381" s="35" t="s">
        <v>63</v>
      </c>
      <c r="E381" s="36">
        <v>19</v>
      </c>
      <c r="F381" s="36">
        <v>8</v>
      </c>
    </row>
    <row r="382" spans="3:6" x14ac:dyDescent="0.3">
      <c r="C382" s="35">
        <v>18</v>
      </c>
      <c r="D382" s="35" t="s">
        <v>46</v>
      </c>
      <c r="E382" s="36">
        <v>85.5</v>
      </c>
      <c r="F382" s="36">
        <v>11</v>
      </c>
    </row>
    <row r="383" spans="3:6" x14ac:dyDescent="0.3">
      <c r="C383" s="35">
        <v>18</v>
      </c>
      <c r="D383" s="35" t="s">
        <v>85</v>
      </c>
      <c r="E383" s="36">
        <v>30.8</v>
      </c>
      <c r="F383" s="36">
        <v>11</v>
      </c>
    </row>
    <row r="384" spans="3:6" x14ac:dyDescent="0.3">
      <c r="C384" s="35">
        <v>18</v>
      </c>
      <c r="D384" s="35" t="s">
        <v>49</v>
      </c>
      <c r="E384" s="36">
        <v>70</v>
      </c>
      <c r="F384" s="36">
        <v>11</v>
      </c>
    </row>
    <row r="385" spans="3:6" x14ac:dyDescent="0.3">
      <c r="C385" s="35">
        <v>18</v>
      </c>
      <c r="D385" s="35" t="s">
        <v>52</v>
      </c>
      <c r="E385" s="36">
        <v>121.5</v>
      </c>
      <c r="F385" s="36">
        <v>11</v>
      </c>
    </row>
    <row r="386" spans="3:6" x14ac:dyDescent="0.3">
      <c r="C386" s="35">
        <v>18</v>
      </c>
      <c r="D386" s="35" t="s">
        <v>66</v>
      </c>
      <c r="E386" s="36">
        <v>76.5</v>
      </c>
      <c r="F386" s="36">
        <v>12</v>
      </c>
    </row>
    <row r="387" spans="3:6" x14ac:dyDescent="0.3">
      <c r="C387" s="35">
        <v>18</v>
      </c>
      <c r="D387" s="35" t="s">
        <v>86</v>
      </c>
      <c r="E387" s="36">
        <v>167.8</v>
      </c>
      <c r="F387" s="36">
        <v>14</v>
      </c>
    </row>
    <row r="388" spans="3:6" x14ac:dyDescent="0.3">
      <c r="C388" s="35">
        <v>18</v>
      </c>
      <c r="D388" s="35" t="s">
        <v>64</v>
      </c>
      <c r="E388" s="36">
        <v>128.19999999999999</v>
      </c>
      <c r="F388" s="36">
        <v>11</v>
      </c>
    </row>
    <row r="389" spans="3:6" x14ac:dyDescent="0.3">
      <c r="C389" s="35">
        <v>18</v>
      </c>
      <c r="D389" s="35" t="s">
        <v>87</v>
      </c>
      <c r="E389" s="36">
        <v>20</v>
      </c>
      <c r="F389" s="36">
        <v>7</v>
      </c>
    </row>
    <row r="390" spans="3:6" x14ac:dyDescent="0.3">
      <c r="C390" s="35">
        <v>18</v>
      </c>
      <c r="D390" s="35" t="s">
        <v>56</v>
      </c>
      <c r="E390" s="36">
        <v>21.5</v>
      </c>
      <c r="F390" s="36">
        <v>7</v>
      </c>
    </row>
    <row r="391" spans="3:6" x14ac:dyDescent="0.3">
      <c r="C391" s="35">
        <v>18</v>
      </c>
      <c r="D391" s="35" t="s">
        <v>56</v>
      </c>
      <c r="E391" s="36">
        <v>25.7</v>
      </c>
      <c r="F391" s="36">
        <v>7.5</v>
      </c>
    </row>
    <row r="392" spans="3:6" x14ac:dyDescent="0.3">
      <c r="C392" s="35">
        <v>18</v>
      </c>
      <c r="D392" s="35" t="s">
        <v>49</v>
      </c>
      <c r="E392" s="36">
        <v>25.2</v>
      </c>
      <c r="F392" s="36">
        <v>7</v>
      </c>
    </row>
    <row r="393" spans="3:6" x14ac:dyDescent="0.3">
      <c r="C393" s="35">
        <v>18</v>
      </c>
      <c r="D393" s="35" t="s">
        <v>57</v>
      </c>
      <c r="E393" s="36">
        <v>23</v>
      </c>
      <c r="F393" s="36">
        <v>7</v>
      </c>
    </row>
    <row r="394" spans="3:6" x14ac:dyDescent="0.3">
      <c r="C394" s="35">
        <v>18</v>
      </c>
      <c r="D394" s="35" t="s">
        <v>57</v>
      </c>
      <c r="E394" s="36">
        <v>33.200000000000003</v>
      </c>
      <c r="F394" s="36">
        <v>7</v>
      </c>
    </row>
    <row r="395" spans="3:6" x14ac:dyDescent="0.3">
      <c r="C395" s="35">
        <v>18</v>
      </c>
      <c r="D395" s="35" t="s">
        <v>46</v>
      </c>
      <c r="E395" s="36">
        <v>30.6</v>
      </c>
      <c r="F395" s="36">
        <v>4.5</v>
      </c>
    </row>
    <row r="396" spans="3:6" x14ac:dyDescent="0.3">
      <c r="C396" s="35">
        <v>18</v>
      </c>
      <c r="D396" s="35" t="s">
        <v>49</v>
      </c>
      <c r="E396" s="36">
        <v>29.3</v>
      </c>
      <c r="F396" s="36">
        <v>5</v>
      </c>
    </row>
    <row r="397" spans="3:6" x14ac:dyDescent="0.3">
      <c r="C397" s="35">
        <v>18</v>
      </c>
      <c r="D397" s="35" t="s">
        <v>63</v>
      </c>
      <c r="E397" s="36">
        <v>43</v>
      </c>
      <c r="F397" s="36">
        <v>6.5</v>
      </c>
    </row>
    <row r="398" spans="3:6" x14ac:dyDescent="0.3">
      <c r="C398" s="35">
        <v>18</v>
      </c>
      <c r="D398" s="35" t="s">
        <v>63</v>
      </c>
      <c r="E398" s="36">
        <v>28.5</v>
      </c>
      <c r="F398" s="36">
        <v>6</v>
      </c>
    </row>
    <row r="399" spans="3:6" x14ac:dyDescent="0.3">
      <c r="C399" s="35">
        <v>18</v>
      </c>
      <c r="D399" s="35" t="s">
        <v>63</v>
      </c>
      <c r="E399" s="36">
        <v>18.600000000000001</v>
      </c>
      <c r="F399" s="36">
        <v>5</v>
      </c>
    </row>
    <row r="400" spans="3:6" x14ac:dyDescent="0.3">
      <c r="C400" s="35">
        <v>18</v>
      </c>
      <c r="D400" s="35" t="s">
        <v>49</v>
      </c>
      <c r="E400" s="36">
        <v>69</v>
      </c>
      <c r="F400" s="36">
        <v>10</v>
      </c>
    </row>
    <row r="401" spans="3:6" x14ac:dyDescent="0.3">
      <c r="C401" s="35">
        <v>18</v>
      </c>
      <c r="D401" s="35" t="s">
        <v>49</v>
      </c>
      <c r="E401" s="36">
        <v>94.3</v>
      </c>
      <c r="F401" s="36">
        <v>10</v>
      </c>
    </row>
    <row r="402" spans="3:6" x14ac:dyDescent="0.3">
      <c r="C402" s="35">
        <v>18</v>
      </c>
      <c r="D402" s="35" t="s">
        <v>49</v>
      </c>
      <c r="E402" s="36">
        <v>50.6</v>
      </c>
      <c r="F402" s="36">
        <v>8</v>
      </c>
    </row>
    <row r="403" spans="3:6" x14ac:dyDescent="0.3">
      <c r="C403" s="35">
        <v>18</v>
      </c>
      <c r="D403" s="35" t="s">
        <v>49</v>
      </c>
      <c r="E403" s="36">
        <v>54</v>
      </c>
      <c r="F403" s="36">
        <v>8</v>
      </c>
    </row>
    <row r="404" spans="3:6" x14ac:dyDescent="0.3">
      <c r="C404" s="35">
        <v>18</v>
      </c>
      <c r="D404" s="35" t="s">
        <v>49</v>
      </c>
      <c r="E404" s="36">
        <v>41.1</v>
      </c>
      <c r="F404" s="36">
        <v>10</v>
      </c>
    </row>
    <row r="405" spans="3:6" x14ac:dyDescent="0.3">
      <c r="C405" s="35">
        <v>18</v>
      </c>
      <c r="D405" s="35" t="s">
        <v>88</v>
      </c>
      <c r="E405" s="36">
        <v>27.3</v>
      </c>
      <c r="F405" s="36">
        <v>8</v>
      </c>
    </row>
    <row r="406" spans="3:6" x14ac:dyDescent="0.3">
      <c r="C406" s="35">
        <v>18</v>
      </c>
      <c r="D406" s="35" t="s">
        <v>67</v>
      </c>
      <c r="E406" s="36">
        <v>53.8</v>
      </c>
      <c r="F406" s="36">
        <v>9</v>
      </c>
    </row>
    <row r="407" spans="3:6" x14ac:dyDescent="0.3">
      <c r="C407" s="35">
        <v>18</v>
      </c>
      <c r="D407" s="35" t="s">
        <v>89</v>
      </c>
      <c r="E407" s="36">
        <v>43.8</v>
      </c>
      <c r="F407" s="36">
        <v>9</v>
      </c>
    </row>
    <row r="408" spans="3:6" x14ac:dyDescent="0.3">
      <c r="C408" s="35">
        <v>18</v>
      </c>
      <c r="D408" s="35" t="s">
        <v>68</v>
      </c>
      <c r="E408" s="36">
        <v>32</v>
      </c>
      <c r="F408" s="36">
        <v>8.5</v>
      </c>
    </row>
    <row r="409" spans="3:6" x14ac:dyDescent="0.3">
      <c r="C409" s="35">
        <v>19</v>
      </c>
      <c r="D409" s="35" t="s">
        <v>46</v>
      </c>
      <c r="E409" s="36">
        <v>80.7</v>
      </c>
      <c r="F409" s="36">
        <v>11</v>
      </c>
    </row>
    <row r="410" spans="3:6" x14ac:dyDescent="0.3">
      <c r="C410" s="35">
        <v>19</v>
      </c>
      <c r="D410" s="35" t="s">
        <v>90</v>
      </c>
      <c r="E410" s="36">
        <v>88.5</v>
      </c>
      <c r="F410" s="36">
        <v>11</v>
      </c>
    </row>
    <row r="411" spans="3:6" x14ac:dyDescent="0.3">
      <c r="C411" s="35">
        <v>19</v>
      </c>
      <c r="D411" s="35" t="s">
        <v>70</v>
      </c>
      <c r="E411" s="36">
        <v>42.2</v>
      </c>
      <c r="F411" s="36">
        <v>13</v>
      </c>
    </row>
    <row r="412" spans="3:6" x14ac:dyDescent="0.3">
      <c r="C412" s="35">
        <v>19</v>
      </c>
      <c r="D412" s="35" t="s">
        <v>56</v>
      </c>
      <c r="E412" s="36">
        <v>30</v>
      </c>
      <c r="F412" s="36">
        <v>7.5</v>
      </c>
    </row>
    <row r="413" spans="3:6" x14ac:dyDescent="0.3">
      <c r="C413" s="35">
        <v>19</v>
      </c>
      <c r="D413" s="35" t="s">
        <v>50</v>
      </c>
      <c r="E413" s="36">
        <v>34</v>
      </c>
      <c r="F413" s="36">
        <v>7.5</v>
      </c>
    </row>
    <row r="414" spans="3:6" x14ac:dyDescent="0.3">
      <c r="C414" s="35">
        <v>19</v>
      </c>
      <c r="D414" s="35" t="s">
        <v>91</v>
      </c>
      <c r="E414" s="36">
        <v>24.8</v>
      </c>
      <c r="F414" s="36">
        <v>6</v>
      </c>
    </row>
    <row r="415" spans="3:6" x14ac:dyDescent="0.3">
      <c r="C415" s="35">
        <v>19</v>
      </c>
      <c r="D415" s="35" t="s">
        <v>49</v>
      </c>
      <c r="E415" s="36">
        <v>61.5</v>
      </c>
      <c r="F415" s="36">
        <v>6</v>
      </c>
    </row>
    <row r="416" spans="3:6" x14ac:dyDescent="0.3">
      <c r="C416" s="35">
        <v>19</v>
      </c>
      <c r="D416" s="35" t="s">
        <v>49</v>
      </c>
      <c r="E416" s="36">
        <v>40.799999999999997</v>
      </c>
      <c r="F416" s="36">
        <v>2</v>
      </c>
    </row>
    <row r="417" spans="3:6" x14ac:dyDescent="0.3">
      <c r="C417" s="35">
        <v>19</v>
      </c>
      <c r="D417" s="35" t="s">
        <v>57</v>
      </c>
      <c r="E417" s="36">
        <v>20.8</v>
      </c>
      <c r="F417" s="36">
        <v>5</v>
      </c>
    </row>
    <row r="418" spans="3:6" x14ac:dyDescent="0.3">
      <c r="C418" s="35">
        <v>19</v>
      </c>
      <c r="D418" s="35" t="s">
        <v>63</v>
      </c>
      <c r="E418" s="36">
        <v>25</v>
      </c>
      <c r="F418" s="36">
        <v>4.5</v>
      </c>
    </row>
    <row r="419" spans="3:6" x14ac:dyDescent="0.3">
      <c r="C419" s="35">
        <v>19</v>
      </c>
      <c r="D419" s="35" t="s">
        <v>63</v>
      </c>
      <c r="E419" s="36">
        <v>21</v>
      </c>
      <c r="F419" s="36">
        <v>4</v>
      </c>
    </row>
    <row r="420" spans="3:6" x14ac:dyDescent="0.3">
      <c r="C420" s="35">
        <v>19</v>
      </c>
      <c r="D420" s="35" t="s">
        <v>63</v>
      </c>
      <c r="E420" s="36">
        <v>22.5</v>
      </c>
      <c r="F420" s="36">
        <v>4.5</v>
      </c>
    </row>
    <row r="421" spans="3:6" x14ac:dyDescent="0.3">
      <c r="C421" s="35">
        <v>19</v>
      </c>
      <c r="D421" s="35" t="s">
        <v>63</v>
      </c>
      <c r="E421" s="36">
        <v>18</v>
      </c>
      <c r="F421" s="36">
        <v>4</v>
      </c>
    </row>
    <row r="422" spans="3:6" x14ac:dyDescent="0.3">
      <c r="C422" s="35">
        <v>19</v>
      </c>
      <c r="D422" s="35" t="s">
        <v>46</v>
      </c>
      <c r="E422" s="36">
        <v>58.4</v>
      </c>
      <c r="F422" s="36">
        <v>10</v>
      </c>
    </row>
    <row r="423" spans="3:6" x14ac:dyDescent="0.3">
      <c r="C423" s="35">
        <v>19</v>
      </c>
      <c r="D423" s="35" t="s">
        <v>49</v>
      </c>
      <c r="E423" s="36">
        <v>94.5</v>
      </c>
      <c r="F423" s="36">
        <v>10</v>
      </c>
    </row>
    <row r="424" spans="3:6" x14ac:dyDescent="0.3">
      <c r="C424" s="35">
        <v>19</v>
      </c>
      <c r="D424" s="35" t="s">
        <v>49</v>
      </c>
      <c r="E424" s="36">
        <v>42.3</v>
      </c>
      <c r="F424" s="36">
        <v>8</v>
      </c>
    </row>
    <row r="425" spans="3:6" x14ac:dyDescent="0.3">
      <c r="C425" s="35">
        <v>19</v>
      </c>
      <c r="D425" s="35" t="s">
        <v>49</v>
      </c>
      <c r="E425" s="36">
        <v>69.7</v>
      </c>
      <c r="F425" s="36">
        <v>9</v>
      </c>
    </row>
    <row r="426" spans="3:6" x14ac:dyDescent="0.3">
      <c r="C426" s="35">
        <v>19</v>
      </c>
      <c r="D426" s="35" t="s">
        <v>49</v>
      </c>
      <c r="E426" s="36">
        <v>59.5</v>
      </c>
      <c r="F426" s="36">
        <v>10</v>
      </c>
    </row>
    <row r="427" spans="3:6" x14ac:dyDescent="0.3">
      <c r="C427" s="35">
        <v>19</v>
      </c>
      <c r="D427" s="35" t="s">
        <v>63</v>
      </c>
      <c r="E427" s="36">
        <v>35.6</v>
      </c>
      <c r="F427" s="36">
        <v>8</v>
      </c>
    </row>
    <row r="428" spans="3:6" x14ac:dyDescent="0.3">
      <c r="C428" s="35">
        <v>20</v>
      </c>
      <c r="D428" s="35" t="s">
        <v>92</v>
      </c>
      <c r="E428" s="36">
        <v>143.6</v>
      </c>
      <c r="F428" s="36">
        <v>14</v>
      </c>
    </row>
    <row r="429" spans="3:6" x14ac:dyDescent="0.3">
      <c r="C429" s="35">
        <v>20</v>
      </c>
      <c r="D429" s="35" t="s">
        <v>49</v>
      </c>
      <c r="E429" s="36">
        <v>64.5</v>
      </c>
      <c r="F429" s="36">
        <v>11</v>
      </c>
    </row>
    <row r="430" spans="3:6" x14ac:dyDescent="0.3">
      <c r="C430" s="35">
        <v>20</v>
      </c>
      <c r="D430" s="35" t="s">
        <v>54</v>
      </c>
      <c r="E430" s="36">
        <v>18.5</v>
      </c>
      <c r="F430" s="36">
        <v>7</v>
      </c>
    </row>
    <row r="431" spans="3:6" x14ac:dyDescent="0.3">
      <c r="C431" s="35">
        <v>20</v>
      </c>
      <c r="D431" s="35" t="s">
        <v>49</v>
      </c>
      <c r="E431" s="36">
        <v>43</v>
      </c>
      <c r="F431" s="36">
        <v>7.5</v>
      </c>
    </row>
    <row r="432" spans="3:6" x14ac:dyDescent="0.3">
      <c r="C432" s="35">
        <v>20</v>
      </c>
      <c r="D432" s="35" t="s">
        <v>49</v>
      </c>
      <c r="E432" s="36">
        <v>25.7</v>
      </c>
      <c r="F432" s="36">
        <v>7</v>
      </c>
    </row>
    <row r="433" spans="3:6" x14ac:dyDescent="0.3">
      <c r="C433" s="35">
        <v>20</v>
      </c>
      <c r="D433" s="35" t="s">
        <v>49</v>
      </c>
      <c r="E433" s="36">
        <v>62</v>
      </c>
      <c r="F433" s="36">
        <v>7</v>
      </c>
    </row>
    <row r="434" spans="3:6" x14ac:dyDescent="0.3">
      <c r="C434" s="35">
        <v>20</v>
      </c>
      <c r="D434" s="35" t="s">
        <v>77</v>
      </c>
      <c r="E434" s="36">
        <v>18.8</v>
      </c>
      <c r="F434" s="36">
        <v>4</v>
      </c>
    </row>
    <row r="435" spans="3:6" x14ac:dyDescent="0.3">
      <c r="C435" s="35">
        <v>20</v>
      </c>
      <c r="D435" s="35" t="s">
        <v>63</v>
      </c>
      <c r="E435" s="36">
        <v>18.8</v>
      </c>
      <c r="F435" s="36">
        <v>5</v>
      </c>
    </row>
    <row r="436" spans="3:6" x14ac:dyDescent="0.3">
      <c r="C436" s="35">
        <v>20</v>
      </c>
      <c r="D436" s="35" t="s">
        <v>63</v>
      </c>
      <c r="E436" s="36">
        <v>17.2</v>
      </c>
      <c r="F436" s="36">
        <v>4.5</v>
      </c>
    </row>
    <row r="437" spans="3:6" x14ac:dyDescent="0.3">
      <c r="C437" s="35">
        <v>20</v>
      </c>
      <c r="D437" s="35" t="s">
        <v>63</v>
      </c>
      <c r="E437" s="36">
        <v>33</v>
      </c>
      <c r="F437" s="36">
        <v>5.5</v>
      </c>
    </row>
    <row r="438" spans="3:6" x14ac:dyDescent="0.3">
      <c r="C438" s="35">
        <v>20</v>
      </c>
      <c r="D438" s="35" t="s">
        <v>63</v>
      </c>
      <c r="E438" s="36">
        <v>19.2</v>
      </c>
      <c r="F438" s="36">
        <v>4</v>
      </c>
    </row>
    <row r="439" spans="3:6" x14ac:dyDescent="0.3">
      <c r="C439" s="35">
        <v>20</v>
      </c>
      <c r="D439" s="35" t="s">
        <v>93</v>
      </c>
      <c r="E439" s="36">
        <v>23.8</v>
      </c>
      <c r="F439" s="36">
        <v>6</v>
      </c>
    </row>
    <row r="440" spans="3:6" x14ac:dyDescent="0.3">
      <c r="C440" s="35">
        <v>20</v>
      </c>
      <c r="D440" s="35" t="s">
        <v>46</v>
      </c>
      <c r="E440" s="36">
        <v>100.8</v>
      </c>
      <c r="F440" s="36">
        <v>10</v>
      </c>
    </row>
    <row r="441" spans="3:6" x14ac:dyDescent="0.3">
      <c r="C441" s="35">
        <v>20</v>
      </c>
      <c r="D441" s="35" t="s">
        <v>49</v>
      </c>
      <c r="E441" s="36">
        <v>64.599999999999994</v>
      </c>
      <c r="F441" s="36">
        <v>10</v>
      </c>
    </row>
    <row r="442" spans="3:6" x14ac:dyDescent="0.3">
      <c r="C442" s="35">
        <v>20</v>
      </c>
      <c r="D442" s="35" t="s">
        <v>49</v>
      </c>
      <c r="E442" s="36">
        <v>80.099999999999994</v>
      </c>
      <c r="F442" s="36">
        <v>10</v>
      </c>
    </row>
    <row r="443" spans="3:6" x14ac:dyDescent="0.3">
      <c r="C443" s="35">
        <v>20</v>
      </c>
      <c r="D443" s="35" t="s">
        <v>49</v>
      </c>
      <c r="E443" s="36">
        <v>81</v>
      </c>
      <c r="F443" s="36">
        <v>10</v>
      </c>
    </row>
    <row r="444" spans="3:6" x14ac:dyDescent="0.3">
      <c r="C444" s="35">
        <v>20</v>
      </c>
      <c r="D444" s="35" t="s">
        <v>49</v>
      </c>
      <c r="E444" s="36">
        <v>66</v>
      </c>
      <c r="F444" s="36">
        <v>9</v>
      </c>
    </row>
    <row r="445" spans="3:6" x14ac:dyDescent="0.3">
      <c r="C445" s="35">
        <v>20</v>
      </c>
      <c r="D445" s="35" t="s">
        <v>49</v>
      </c>
      <c r="E445" s="36">
        <v>74.7</v>
      </c>
      <c r="F445" s="36">
        <v>10</v>
      </c>
    </row>
    <row r="446" spans="3:6" x14ac:dyDescent="0.3">
      <c r="C446" s="35">
        <v>20</v>
      </c>
      <c r="D446" s="35" t="s">
        <v>49</v>
      </c>
      <c r="E446" s="36">
        <v>54.2</v>
      </c>
      <c r="F446" s="36">
        <v>9</v>
      </c>
    </row>
    <row r="447" spans="3:6" x14ac:dyDescent="0.3">
      <c r="C447" s="35">
        <v>20</v>
      </c>
      <c r="D447" s="35" t="s">
        <v>49</v>
      </c>
      <c r="E447" s="36">
        <v>75.2</v>
      </c>
      <c r="F447" s="36">
        <v>8</v>
      </c>
    </row>
    <row r="448" spans="3:6" x14ac:dyDescent="0.3">
      <c r="C448" s="35">
        <v>20</v>
      </c>
      <c r="D448" s="35" t="s">
        <v>68</v>
      </c>
      <c r="E448" s="36">
        <v>52.7</v>
      </c>
      <c r="F448" s="36">
        <v>9</v>
      </c>
    </row>
    <row r="449" spans="3:6" x14ac:dyDescent="0.3">
      <c r="C449" s="35">
        <v>21</v>
      </c>
      <c r="D449" s="35" t="s">
        <v>49</v>
      </c>
      <c r="E449" s="36">
        <v>87.8</v>
      </c>
      <c r="F449" s="36">
        <v>13</v>
      </c>
    </row>
    <row r="450" spans="3:6" x14ac:dyDescent="0.3">
      <c r="C450" s="35">
        <v>21</v>
      </c>
      <c r="D450" s="35" t="s">
        <v>94</v>
      </c>
      <c r="E450" s="36">
        <v>17.899999999999999</v>
      </c>
      <c r="F450" s="36">
        <v>11</v>
      </c>
    </row>
    <row r="451" spans="3:6" x14ac:dyDescent="0.3">
      <c r="C451" s="35">
        <v>21</v>
      </c>
      <c r="D451" s="35" t="s">
        <v>95</v>
      </c>
      <c r="E451" s="36">
        <v>169.5</v>
      </c>
      <c r="F451" s="36">
        <v>14</v>
      </c>
    </row>
    <row r="452" spans="3:6" x14ac:dyDescent="0.3">
      <c r="C452" s="35">
        <v>21</v>
      </c>
      <c r="D452" s="35" t="s">
        <v>91</v>
      </c>
      <c r="E452" s="36">
        <v>31.7</v>
      </c>
      <c r="F452" s="36">
        <v>4</v>
      </c>
    </row>
    <row r="453" spans="3:6" x14ac:dyDescent="0.3">
      <c r="C453" s="35">
        <v>21</v>
      </c>
      <c r="D453" s="35" t="s">
        <v>91</v>
      </c>
      <c r="E453" s="36">
        <v>29.3</v>
      </c>
      <c r="F453" s="36">
        <v>5.5</v>
      </c>
    </row>
    <row r="454" spans="3:6" x14ac:dyDescent="0.3">
      <c r="C454" s="35">
        <v>21</v>
      </c>
      <c r="D454" s="35" t="s">
        <v>95</v>
      </c>
      <c r="E454" s="36">
        <v>23</v>
      </c>
      <c r="F454" s="36">
        <v>5</v>
      </c>
    </row>
    <row r="455" spans="3:6" x14ac:dyDescent="0.3">
      <c r="C455" s="35">
        <v>21</v>
      </c>
      <c r="D455" s="35" t="s">
        <v>95</v>
      </c>
      <c r="E455" s="36">
        <v>18</v>
      </c>
      <c r="F455" s="36">
        <v>4</v>
      </c>
    </row>
    <row r="456" spans="3:6" x14ac:dyDescent="0.3">
      <c r="C456" s="35">
        <v>21</v>
      </c>
      <c r="D456" s="35" t="s">
        <v>63</v>
      </c>
      <c r="E456" s="36">
        <v>20</v>
      </c>
      <c r="F456" s="36">
        <v>5</v>
      </c>
    </row>
    <row r="457" spans="3:6" x14ac:dyDescent="0.3">
      <c r="C457" s="35">
        <v>21</v>
      </c>
      <c r="D457" s="35" t="s">
        <v>63</v>
      </c>
      <c r="E457" s="36">
        <v>22.2</v>
      </c>
      <c r="F457" s="36">
        <v>3.5</v>
      </c>
    </row>
    <row r="458" spans="3:6" x14ac:dyDescent="0.3">
      <c r="C458" s="35">
        <v>21</v>
      </c>
      <c r="D458" s="35" t="s">
        <v>63</v>
      </c>
      <c r="E458" s="36">
        <v>23.7</v>
      </c>
      <c r="F458" s="36">
        <v>5</v>
      </c>
    </row>
    <row r="459" spans="3:6" x14ac:dyDescent="0.3">
      <c r="C459" s="35">
        <v>21</v>
      </c>
      <c r="D459" s="35" t="s">
        <v>46</v>
      </c>
      <c r="E459" s="36">
        <v>121.1</v>
      </c>
      <c r="F459" s="36">
        <v>10</v>
      </c>
    </row>
    <row r="460" spans="3:6" x14ac:dyDescent="0.3">
      <c r="C460" s="35">
        <v>21</v>
      </c>
      <c r="D460" s="35" t="s">
        <v>46</v>
      </c>
      <c r="E460" s="36">
        <v>69.8</v>
      </c>
      <c r="F460" s="36">
        <v>8</v>
      </c>
    </row>
    <row r="461" spans="3:6" x14ac:dyDescent="0.3">
      <c r="C461" s="35">
        <v>21</v>
      </c>
      <c r="D461" s="35" t="s">
        <v>49</v>
      </c>
      <c r="E461" s="36">
        <v>53.7</v>
      </c>
      <c r="F461" s="36">
        <v>8.5</v>
      </c>
    </row>
    <row r="462" spans="3:6" x14ac:dyDescent="0.3">
      <c r="C462" s="35">
        <v>21</v>
      </c>
      <c r="D462" s="35" t="s">
        <v>49</v>
      </c>
      <c r="E462" s="36">
        <v>36.9</v>
      </c>
      <c r="F462" s="36">
        <v>8</v>
      </c>
    </row>
    <row r="463" spans="3:6" x14ac:dyDescent="0.3">
      <c r="C463" s="35">
        <v>21</v>
      </c>
      <c r="D463" s="35" t="s">
        <v>49</v>
      </c>
      <c r="E463" s="36">
        <v>46</v>
      </c>
      <c r="F463" s="36">
        <v>10</v>
      </c>
    </row>
    <row r="464" spans="3:6" x14ac:dyDescent="0.3">
      <c r="C464" s="35">
        <v>21</v>
      </c>
      <c r="D464" s="35" t="s">
        <v>66</v>
      </c>
      <c r="E464" s="36">
        <v>66.2</v>
      </c>
      <c r="F464" s="36">
        <v>10</v>
      </c>
    </row>
    <row r="465" spans="3:6" x14ac:dyDescent="0.3">
      <c r="C465" s="35">
        <v>21</v>
      </c>
      <c r="D465" s="35" t="s">
        <v>57</v>
      </c>
      <c r="E465" s="36">
        <v>64.099999999999994</v>
      </c>
      <c r="F465" s="36">
        <v>9</v>
      </c>
    </row>
    <row r="466" spans="3:6" x14ac:dyDescent="0.3">
      <c r="C466" s="35">
        <v>21</v>
      </c>
      <c r="D466" s="35" t="s">
        <v>83</v>
      </c>
      <c r="E466" s="36">
        <v>44.6</v>
      </c>
      <c r="F466" s="36">
        <v>8.5</v>
      </c>
    </row>
    <row r="467" spans="3:6" x14ac:dyDescent="0.3">
      <c r="C467" s="35">
        <v>21</v>
      </c>
      <c r="D467" s="35" t="s">
        <v>64</v>
      </c>
      <c r="E467" s="36">
        <v>137</v>
      </c>
      <c r="F467" s="36">
        <v>9.5</v>
      </c>
    </row>
    <row r="468" spans="3:6" x14ac:dyDescent="0.3">
      <c r="C468" s="35">
        <v>21</v>
      </c>
      <c r="D468" s="35" t="s">
        <v>64</v>
      </c>
      <c r="E468" s="36">
        <v>71.5</v>
      </c>
      <c r="F468" s="36">
        <v>10</v>
      </c>
    </row>
    <row r="469" spans="3:6" x14ac:dyDescent="0.3">
      <c r="C469" s="35">
        <v>22</v>
      </c>
      <c r="D469" s="35" t="s">
        <v>49</v>
      </c>
      <c r="E469" s="36">
        <v>77.5</v>
      </c>
      <c r="F469" s="36">
        <v>11</v>
      </c>
    </row>
    <row r="470" spans="3:6" x14ac:dyDescent="0.3">
      <c r="C470" s="35">
        <v>22</v>
      </c>
      <c r="D470" s="35" t="s">
        <v>46</v>
      </c>
      <c r="E470" s="36">
        <v>51</v>
      </c>
      <c r="F470" s="36">
        <v>7</v>
      </c>
    </row>
    <row r="471" spans="3:6" x14ac:dyDescent="0.3">
      <c r="C471" s="35">
        <v>22</v>
      </c>
      <c r="D471" s="35" t="s">
        <v>56</v>
      </c>
      <c r="E471" s="36">
        <v>25</v>
      </c>
      <c r="F471" s="36">
        <v>6</v>
      </c>
    </row>
    <row r="472" spans="3:6" x14ac:dyDescent="0.3">
      <c r="C472" s="35">
        <v>22</v>
      </c>
      <c r="D472" s="35" t="s">
        <v>96</v>
      </c>
      <c r="E472" s="36">
        <v>30</v>
      </c>
      <c r="F472" s="36">
        <v>3</v>
      </c>
    </row>
    <row r="473" spans="3:6" x14ac:dyDescent="0.3">
      <c r="C473" s="35">
        <v>22</v>
      </c>
      <c r="D473" s="35" t="s">
        <v>49</v>
      </c>
      <c r="E473" s="36">
        <v>35.5</v>
      </c>
      <c r="F473" s="36">
        <v>6</v>
      </c>
    </row>
    <row r="474" spans="3:6" x14ac:dyDescent="0.3">
      <c r="C474" s="35">
        <v>22</v>
      </c>
      <c r="D474" s="35" t="s">
        <v>49</v>
      </c>
      <c r="E474" s="36">
        <v>22.4</v>
      </c>
      <c r="F474" s="36">
        <v>6.5</v>
      </c>
    </row>
    <row r="475" spans="3:6" x14ac:dyDescent="0.3">
      <c r="C475" s="35">
        <v>22</v>
      </c>
      <c r="D475" s="35" t="s">
        <v>49</v>
      </c>
      <c r="E475" s="36">
        <v>51.2</v>
      </c>
      <c r="F475" s="36">
        <v>5</v>
      </c>
    </row>
    <row r="476" spans="3:6" x14ac:dyDescent="0.3">
      <c r="C476" s="35">
        <v>22</v>
      </c>
      <c r="D476" s="35" t="s">
        <v>49</v>
      </c>
      <c r="E476" s="36">
        <v>34.799999999999997</v>
      </c>
      <c r="F476" s="36">
        <v>5</v>
      </c>
    </row>
    <row r="477" spans="3:6" x14ac:dyDescent="0.3">
      <c r="C477" s="35">
        <v>22</v>
      </c>
      <c r="D477" s="35" t="s">
        <v>49</v>
      </c>
      <c r="E477" s="36">
        <v>29</v>
      </c>
      <c r="F477" s="36">
        <v>6</v>
      </c>
    </row>
    <row r="478" spans="3:6" x14ac:dyDescent="0.3">
      <c r="C478" s="35">
        <v>22</v>
      </c>
      <c r="D478" s="35" t="s">
        <v>61</v>
      </c>
      <c r="E478" s="36">
        <v>16.7</v>
      </c>
      <c r="F478" s="36">
        <v>5</v>
      </c>
    </row>
    <row r="479" spans="3:6" x14ac:dyDescent="0.3">
      <c r="C479" s="35">
        <v>22</v>
      </c>
      <c r="D479" s="35" t="s">
        <v>63</v>
      </c>
      <c r="E479" s="36">
        <v>21.2</v>
      </c>
      <c r="F479" s="36">
        <v>5</v>
      </c>
    </row>
    <row r="480" spans="3:6" x14ac:dyDescent="0.3">
      <c r="C480" s="35">
        <v>22</v>
      </c>
      <c r="D480" s="35" t="s">
        <v>63</v>
      </c>
      <c r="E480" s="36">
        <v>21.1</v>
      </c>
      <c r="F480" s="36">
        <v>4.5</v>
      </c>
    </row>
    <row r="481" spans="3:6" x14ac:dyDescent="0.3">
      <c r="C481" s="35">
        <v>22</v>
      </c>
      <c r="D481" s="35" t="s">
        <v>63</v>
      </c>
      <c r="E481" s="36">
        <v>19.600000000000001</v>
      </c>
      <c r="F481" s="36">
        <v>5</v>
      </c>
    </row>
    <row r="482" spans="3:6" x14ac:dyDescent="0.3">
      <c r="C482" s="35">
        <v>22</v>
      </c>
      <c r="D482" s="35" t="s">
        <v>63</v>
      </c>
      <c r="E482" s="36">
        <v>26</v>
      </c>
      <c r="F482" s="36">
        <v>5</v>
      </c>
    </row>
    <row r="483" spans="3:6" x14ac:dyDescent="0.3">
      <c r="C483" s="35">
        <v>22</v>
      </c>
      <c r="D483" s="35" t="s">
        <v>63</v>
      </c>
      <c r="E483" s="36">
        <v>17.2</v>
      </c>
      <c r="F483" s="36">
        <v>3</v>
      </c>
    </row>
    <row r="484" spans="3:6" x14ac:dyDescent="0.3">
      <c r="C484" s="35">
        <v>22</v>
      </c>
      <c r="D484" s="35" t="s">
        <v>46</v>
      </c>
      <c r="E484" s="36">
        <v>49.9</v>
      </c>
      <c r="F484" s="36">
        <v>9</v>
      </c>
    </row>
    <row r="485" spans="3:6" x14ac:dyDescent="0.3">
      <c r="C485" s="35">
        <v>22</v>
      </c>
      <c r="D485" s="35" t="s">
        <v>49</v>
      </c>
      <c r="E485" s="36">
        <v>52.3</v>
      </c>
      <c r="F485" s="36">
        <v>9</v>
      </c>
    </row>
    <row r="486" spans="3:6" x14ac:dyDescent="0.3">
      <c r="C486" s="35">
        <v>22</v>
      </c>
      <c r="D486" s="35" t="s">
        <v>49</v>
      </c>
      <c r="E486" s="36">
        <v>62.5</v>
      </c>
      <c r="F486" s="36">
        <v>9</v>
      </c>
    </row>
    <row r="487" spans="3:6" x14ac:dyDescent="0.3">
      <c r="C487" s="35">
        <v>22</v>
      </c>
      <c r="D487" s="35" t="s">
        <v>49</v>
      </c>
      <c r="E487" s="36">
        <v>83.2</v>
      </c>
      <c r="F487" s="36">
        <v>8</v>
      </c>
    </row>
    <row r="488" spans="3:6" x14ac:dyDescent="0.3">
      <c r="C488" s="35">
        <v>22</v>
      </c>
      <c r="D488" s="35" t="s">
        <v>49</v>
      </c>
      <c r="E488" s="36">
        <v>39.700000000000003</v>
      </c>
      <c r="F488" s="36">
        <v>8</v>
      </c>
    </row>
    <row r="489" spans="3:6" x14ac:dyDescent="0.3">
      <c r="C489" s="35">
        <v>23</v>
      </c>
      <c r="D489" s="35" t="s">
        <v>46</v>
      </c>
      <c r="E489" s="36">
        <v>129</v>
      </c>
      <c r="F489" s="36">
        <v>12</v>
      </c>
    </row>
    <row r="490" spans="3:6" x14ac:dyDescent="0.3">
      <c r="C490" s="35">
        <v>23</v>
      </c>
      <c r="D490" s="35" t="s">
        <v>91</v>
      </c>
      <c r="E490" s="36">
        <v>24.8</v>
      </c>
      <c r="F490" s="36">
        <v>13</v>
      </c>
    </row>
    <row r="491" spans="3:6" x14ac:dyDescent="0.3">
      <c r="C491" s="35">
        <v>23</v>
      </c>
      <c r="D491" s="35" t="s">
        <v>86</v>
      </c>
      <c r="E491" s="36">
        <v>127.4</v>
      </c>
      <c r="F491" s="36">
        <v>13</v>
      </c>
    </row>
    <row r="492" spans="3:6" x14ac:dyDescent="0.3">
      <c r="C492" s="35">
        <v>23</v>
      </c>
      <c r="D492" s="35" t="s">
        <v>49</v>
      </c>
      <c r="E492" s="36">
        <v>59.7</v>
      </c>
      <c r="F492" s="36">
        <v>7</v>
      </c>
    </row>
    <row r="493" spans="3:6" x14ac:dyDescent="0.3">
      <c r="C493" s="35">
        <v>23</v>
      </c>
      <c r="D493" s="35" t="s">
        <v>49</v>
      </c>
      <c r="E493" s="36">
        <v>44.1</v>
      </c>
      <c r="F493" s="36">
        <v>7</v>
      </c>
    </row>
    <row r="494" spans="3:6" x14ac:dyDescent="0.3">
      <c r="C494" s="35">
        <v>23</v>
      </c>
      <c r="D494" s="35" t="s">
        <v>46</v>
      </c>
      <c r="E494" s="36">
        <v>30.8</v>
      </c>
      <c r="F494" s="36">
        <v>6.5</v>
      </c>
    </row>
    <row r="495" spans="3:6" x14ac:dyDescent="0.3">
      <c r="C495" s="35">
        <v>23</v>
      </c>
      <c r="D495" s="35" t="s">
        <v>46</v>
      </c>
      <c r="E495" s="36">
        <v>28</v>
      </c>
      <c r="F495" s="36">
        <v>6</v>
      </c>
    </row>
    <row r="496" spans="3:6" x14ac:dyDescent="0.3">
      <c r="C496" s="35">
        <v>23</v>
      </c>
      <c r="D496" s="35" t="s">
        <v>63</v>
      </c>
      <c r="E496" s="36">
        <v>25</v>
      </c>
      <c r="F496" s="36">
        <v>5</v>
      </c>
    </row>
    <row r="497" spans="3:6" x14ac:dyDescent="0.3">
      <c r="C497" s="35">
        <v>23</v>
      </c>
      <c r="D497" s="35" t="s">
        <v>63</v>
      </c>
      <c r="E497" s="36">
        <v>16.3</v>
      </c>
      <c r="F497" s="36">
        <v>3.5</v>
      </c>
    </row>
    <row r="498" spans="3:6" x14ac:dyDescent="0.3">
      <c r="C498" s="35">
        <v>23</v>
      </c>
      <c r="D498" s="35" t="s">
        <v>63</v>
      </c>
      <c r="E498" s="36">
        <v>19.3</v>
      </c>
      <c r="F498" s="36">
        <v>4</v>
      </c>
    </row>
    <row r="499" spans="3:6" x14ac:dyDescent="0.3">
      <c r="C499" s="35">
        <v>23</v>
      </c>
      <c r="D499" s="35" t="s">
        <v>46</v>
      </c>
      <c r="E499" s="36">
        <v>54.5</v>
      </c>
      <c r="F499" s="36">
        <v>9</v>
      </c>
    </row>
    <row r="500" spans="3:6" x14ac:dyDescent="0.3">
      <c r="C500" s="35">
        <v>23</v>
      </c>
      <c r="D500" s="35" t="s">
        <v>49</v>
      </c>
      <c r="E500" s="36">
        <v>52.7</v>
      </c>
      <c r="F500" s="36">
        <v>8</v>
      </c>
    </row>
    <row r="501" spans="3:6" x14ac:dyDescent="0.3">
      <c r="C501" s="35">
        <v>24</v>
      </c>
      <c r="D501" s="35" t="s">
        <v>46</v>
      </c>
      <c r="E501" s="36">
        <v>102.5</v>
      </c>
      <c r="F501" s="36">
        <v>13</v>
      </c>
    </row>
    <row r="502" spans="3:6" x14ac:dyDescent="0.3">
      <c r="C502" s="35">
        <v>24</v>
      </c>
      <c r="D502" s="35" t="s">
        <v>85</v>
      </c>
      <c r="E502" s="36">
        <v>37.700000000000003</v>
      </c>
      <c r="F502" s="36">
        <v>13</v>
      </c>
    </row>
    <row r="503" spans="3:6" x14ac:dyDescent="0.3">
      <c r="C503" s="35">
        <v>24</v>
      </c>
      <c r="D503" s="35" t="s">
        <v>49</v>
      </c>
      <c r="E503" s="36">
        <v>87.5</v>
      </c>
      <c r="F503" s="36">
        <v>11</v>
      </c>
    </row>
    <row r="504" spans="3:6" x14ac:dyDescent="0.3">
      <c r="C504" s="35">
        <v>24</v>
      </c>
      <c r="D504" s="35" t="s">
        <v>52</v>
      </c>
      <c r="E504" s="36">
        <v>115.4</v>
      </c>
      <c r="F504" s="36">
        <v>11</v>
      </c>
    </row>
    <row r="505" spans="3:6" x14ac:dyDescent="0.3">
      <c r="C505" s="35">
        <v>24</v>
      </c>
      <c r="D505" s="35" t="s">
        <v>52</v>
      </c>
      <c r="E505" s="36">
        <v>116.6</v>
      </c>
      <c r="F505" s="36">
        <v>11</v>
      </c>
    </row>
    <row r="506" spans="3:6" x14ac:dyDescent="0.3">
      <c r="C506" s="35">
        <v>24</v>
      </c>
      <c r="D506" s="35" t="s">
        <v>71</v>
      </c>
      <c r="E506" s="36">
        <v>20.8</v>
      </c>
      <c r="F506" s="36">
        <v>12</v>
      </c>
    </row>
    <row r="507" spans="3:6" x14ac:dyDescent="0.3">
      <c r="C507" s="35">
        <v>24</v>
      </c>
      <c r="D507" s="35" t="s">
        <v>64</v>
      </c>
      <c r="E507" s="36">
        <v>145.6</v>
      </c>
      <c r="F507" s="36">
        <v>12</v>
      </c>
    </row>
    <row r="508" spans="3:6" x14ac:dyDescent="0.3">
      <c r="C508" s="35">
        <v>24</v>
      </c>
      <c r="D508" s="35" t="s">
        <v>89</v>
      </c>
      <c r="E508" s="36">
        <v>56</v>
      </c>
      <c r="F508" s="36">
        <v>11</v>
      </c>
    </row>
    <row r="509" spans="3:6" x14ac:dyDescent="0.3">
      <c r="C509" s="35">
        <v>24</v>
      </c>
      <c r="D509" s="35" t="s">
        <v>52</v>
      </c>
      <c r="E509" s="36">
        <v>95</v>
      </c>
      <c r="F509" s="36">
        <v>7</v>
      </c>
    </row>
    <row r="510" spans="3:6" x14ac:dyDescent="0.3">
      <c r="C510" s="35">
        <v>24</v>
      </c>
      <c r="D510" s="35" t="s">
        <v>91</v>
      </c>
      <c r="E510" s="36">
        <v>23.3</v>
      </c>
      <c r="F510" s="36">
        <v>5</v>
      </c>
    </row>
    <row r="511" spans="3:6" x14ac:dyDescent="0.3">
      <c r="C511" s="35">
        <v>24</v>
      </c>
      <c r="D511" s="35" t="s">
        <v>49</v>
      </c>
      <c r="E511" s="36">
        <v>24.3</v>
      </c>
      <c r="F511" s="36">
        <v>3.5</v>
      </c>
    </row>
    <row r="512" spans="3:6" x14ac:dyDescent="0.3">
      <c r="C512" s="35">
        <v>24</v>
      </c>
      <c r="D512" s="35" t="s">
        <v>49</v>
      </c>
      <c r="E512" s="36">
        <v>49.2</v>
      </c>
      <c r="F512" s="36">
        <v>2</v>
      </c>
    </row>
    <row r="513" spans="3:6" x14ac:dyDescent="0.3">
      <c r="C513" s="35">
        <v>24</v>
      </c>
      <c r="D513" s="35" t="s">
        <v>49</v>
      </c>
      <c r="E513" s="36">
        <v>35</v>
      </c>
      <c r="F513" s="36">
        <v>5</v>
      </c>
    </row>
    <row r="514" spans="3:6" x14ac:dyDescent="0.3">
      <c r="C514" s="35">
        <v>24</v>
      </c>
      <c r="D514" s="35" t="s">
        <v>57</v>
      </c>
      <c r="E514" s="36">
        <v>19.600000000000001</v>
      </c>
      <c r="F514" s="36">
        <v>5.5</v>
      </c>
    </row>
    <row r="515" spans="3:6" x14ac:dyDescent="0.3">
      <c r="C515" s="35">
        <v>24</v>
      </c>
      <c r="D515" s="35" t="s">
        <v>63</v>
      </c>
      <c r="E515" s="36">
        <v>15</v>
      </c>
      <c r="F515" s="36">
        <v>5</v>
      </c>
    </row>
    <row r="516" spans="3:6" x14ac:dyDescent="0.3">
      <c r="C516" s="35">
        <v>24</v>
      </c>
      <c r="D516" s="35" t="s">
        <v>63</v>
      </c>
      <c r="E516" s="36">
        <v>21.3</v>
      </c>
      <c r="F516" s="36">
        <v>6.5</v>
      </c>
    </row>
    <row r="517" spans="3:6" x14ac:dyDescent="0.3">
      <c r="C517" s="35">
        <v>24</v>
      </c>
      <c r="D517" s="35" t="s">
        <v>68</v>
      </c>
      <c r="E517" s="36">
        <v>30.6</v>
      </c>
      <c r="F517" s="36">
        <v>5.5</v>
      </c>
    </row>
    <row r="518" spans="3:6" x14ac:dyDescent="0.3">
      <c r="C518" s="35">
        <v>24</v>
      </c>
      <c r="D518" s="35" t="s">
        <v>46</v>
      </c>
      <c r="E518" s="36">
        <v>68</v>
      </c>
      <c r="F518" s="36">
        <v>10</v>
      </c>
    </row>
    <row r="519" spans="3:6" x14ac:dyDescent="0.3">
      <c r="C519" s="35">
        <v>24</v>
      </c>
      <c r="D519" s="35" t="s">
        <v>46</v>
      </c>
      <c r="E519" s="36">
        <v>35</v>
      </c>
      <c r="F519" s="36">
        <v>9</v>
      </c>
    </row>
    <row r="520" spans="3:6" x14ac:dyDescent="0.3">
      <c r="C520" s="35">
        <v>24</v>
      </c>
      <c r="D520" s="35" t="s">
        <v>56</v>
      </c>
      <c r="E520" s="36">
        <v>29.4</v>
      </c>
      <c r="F520" s="36">
        <v>8</v>
      </c>
    </row>
    <row r="521" spans="3:6" x14ac:dyDescent="0.3">
      <c r="C521" s="35">
        <v>24</v>
      </c>
      <c r="D521" s="35" t="s">
        <v>49</v>
      </c>
      <c r="E521" s="36">
        <v>67.5</v>
      </c>
      <c r="F521" s="36">
        <v>10</v>
      </c>
    </row>
    <row r="522" spans="3:6" x14ac:dyDescent="0.3">
      <c r="C522" s="35">
        <v>24</v>
      </c>
      <c r="D522" s="35" t="s">
        <v>49</v>
      </c>
      <c r="E522" s="36">
        <v>41.7</v>
      </c>
      <c r="F522" s="36">
        <v>9</v>
      </c>
    </row>
    <row r="523" spans="3:6" x14ac:dyDescent="0.3">
      <c r="C523" s="35">
        <v>24</v>
      </c>
      <c r="D523" s="35" t="s">
        <v>49</v>
      </c>
      <c r="E523" s="36">
        <v>52.7</v>
      </c>
      <c r="F523" s="36">
        <v>8</v>
      </c>
    </row>
    <row r="524" spans="3:6" x14ac:dyDescent="0.3">
      <c r="C524" s="35">
        <v>24</v>
      </c>
      <c r="D524" s="35" t="s">
        <v>49</v>
      </c>
      <c r="E524" s="36">
        <v>80.599999999999994</v>
      </c>
      <c r="F524" s="36">
        <v>10</v>
      </c>
    </row>
    <row r="525" spans="3:6" x14ac:dyDescent="0.3">
      <c r="C525" s="35">
        <v>25</v>
      </c>
      <c r="D525" s="35" t="s">
        <v>94</v>
      </c>
      <c r="E525" s="36">
        <v>18.5</v>
      </c>
      <c r="F525" s="36">
        <v>12</v>
      </c>
    </row>
    <row r="526" spans="3:6" x14ac:dyDescent="0.3">
      <c r="C526" s="35">
        <v>25</v>
      </c>
      <c r="D526" s="35" t="s">
        <v>97</v>
      </c>
      <c r="E526" s="36">
        <v>18.8</v>
      </c>
      <c r="F526" s="36">
        <v>12</v>
      </c>
    </row>
    <row r="527" spans="3:6" x14ac:dyDescent="0.3">
      <c r="C527" s="35">
        <v>25</v>
      </c>
      <c r="D527" s="35" t="s">
        <v>97</v>
      </c>
      <c r="E527" s="36">
        <v>21.6</v>
      </c>
      <c r="F527" s="36">
        <v>12</v>
      </c>
    </row>
    <row r="528" spans="3:6" x14ac:dyDescent="0.3">
      <c r="C528" s="35">
        <v>25</v>
      </c>
      <c r="D528" s="35" t="s">
        <v>49</v>
      </c>
      <c r="E528" s="36">
        <v>75.2</v>
      </c>
      <c r="F528" s="36">
        <v>7</v>
      </c>
    </row>
    <row r="529" spans="3:6" x14ac:dyDescent="0.3">
      <c r="C529" s="35">
        <v>25</v>
      </c>
      <c r="D529" s="35" t="s">
        <v>49</v>
      </c>
      <c r="E529" s="36">
        <v>31.3</v>
      </c>
      <c r="F529" s="36">
        <v>7</v>
      </c>
    </row>
    <row r="530" spans="3:6" x14ac:dyDescent="0.3">
      <c r="C530" s="35">
        <v>25</v>
      </c>
      <c r="D530" s="35" t="s">
        <v>49</v>
      </c>
      <c r="E530" s="36">
        <v>26</v>
      </c>
      <c r="F530" s="36">
        <v>7</v>
      </c>
    </row>
    <row r="531" spans="3:6" x14ac:dyDescent="0.3">
      <c r="C531" s="35">
        <v>25</v>
      </c>
      <c r="D531" s="35" t="s">
        <v>88</v>
      </c>
      <c r="E531" s="36">
        <v>22.8</v>
      </c>
      <c r="F531" s="36">
        <v>7</v>
      </c>
    </row>
    <row r="532" spans="3:6" x14ac:dyDescent="0.3">
      <c r="C532" s="35">
        <v>25</v>
      </c>
      <c r="D532" s="35" t="s">
        <v>68</v>
      </c>
      <c r="E532" s="36">
        <v>37</v>
      </c>
      <c r="F532" s="36">
        <v>7</v>
      </c>
    </row>
    <row r="533" spans="3:6" x14ac:dyDescent="0.3">
      <c r="C533" s="35">
        <v>25</v>
      </c>
      <c r="D533" s="35" t="s">
        <v>49</v>
      </c>
      <c r="E533" s="36">
        <v>60</v>
      </c>
      <c r="F533" s="36">
        <v>6</v>
      </c>
    </row>
    <row r="534" spans="3:6" x14ac:dyDescent="0.3">
      <c r="C534" s="35">
        <v>25</v>
      </c>
      <c r="D534" s="35" t="s">
        <v>52</v>
      </c>
      <c r="E534" s="36">
        <v>19.399999999999999</v>
      </c>
      <c r="F534" s="36">
        <v>6</v>
      </c>
    </row>
    <row r="535" spans="3:6" x14ac:dyDescent="0.3">
      <c r="C535" s="35">
        <v>25</v>
      </c>
      <c r="D535" s="35" t="s">
        <v>63</v>
      </c>
      <c r="E535" s="36">
        <v>19</v>
      </c>
      <c r="F535" s="36">
        <v>4</v>
      </c>
    </row>
    <row r="536" spans="3:6" x14ac:dyDescent="0.3">
      <c r="C536" s="35">
        <v>25</v>
      </c>
      <c r="D536" s="35" t="s">
        <v>63</v>
      </c>
      <c r="E536" s="36">
        <v>20</v>
      </c>
      <c r="F536" s="36">
        <v>5</v>
      </c>
    </row>
    <row r="537" spans="3:6" x14ac:dyDescent="0.3">
      <c r="C537" s="35">
        <v>25</v>
      </c>
      <c r="D537" s="35" t="s">
        <v>49</v>
      </c>
      <c r="E537" s="36">
        <v>83</v>
      </c>
      <c r="F537" s="36">
        <v>10</v>
      </c>
    </row>
    <row r="538" spans="3:6" x14ac:dyDescent="0.3">
      <c r="C538" s="35">
        <v>25</v>
      </c>
      <c r="D538" s="35" t="s">
        <v>52</v>
      </c>
      <c r="E538" s="36">
        <v>32</v>
      </c>
      <c r="F538" s="36">
        <v>10</v>
      </c>
    </row>
    <row r="539" spans="3:6" x14ac:dyDescent="0.3">
      <c r="C539" s="35">
        <v>25</v>
      </c>
      <c r="D539" s="35" t="s">
        <v>52</v>
      </c>
      <c r="E539" s="36">
        <v>70</v>
      </c>
      <c r="F539" s="36">
        <v>10</v>
      </c>
    </row>
    <row r="540" spans="3:6" x14ac:dyDescent="0.3">
      <c r="C540" s="35">
        <v>26</v>
      </c>
      <c r="D540" s="35" t="s">
        <v>46</v>
      </c>
      <c r="E540" s="36">
        <v>74</v>
      </c>
      <c r="F540" s="36">
        <v>11</v>
      </c>
    </row>
    <row r="541" spans="3:6" x14ac:dyDescent="0.3">
      <c r="C541" s="35">
        <v>26</v>
      </c>
      <c r="D541" s="35" t="s">
        <v>46</v>
      </c>
      <c r="E541" s="36">
        <v>58.3</v>
      </c>
      <c r="F541" s="36">
        <v>11</v>
      </c>
    </row>
    <row r="542" spans="3:6" x14ac:dyDescent="0.3">
      <c r="C542" s="35">
        <v>26</v>
      </c>
      <c r="D542" s="35" t="s">
        <v>49</v>
      </c>
      <c r="E542" s="36">
        <v>63</v>
      </c>
      <c r="F542" s="36">
        <v>11</v>
      </c>
    </row>
    <row r="543" spans="3:6" x14ac:dyDescent="0.3">
      <c r="C543" s="35">
        <v>26</v>
      </c>
      <c r="D543" s="35" t="s">
        <v>52</v>
      </c>
      <c r="E543" s="36">
        <v>126.6</v>
      </c>
      <c r="F543" s="36">
        <v>11</v>
      </c>
    </row>
    <row r="544" spans="3:6" x14ac:dyDescent="0.3">
      <c r="C544" s="35">
        <v>26</v>
      </c>
      <c r="D544" s="35" t="s">
        <v>66</v>
      </c>
      <c r="E544" s="36">
        <v>84</v>
      </c>
      <c r="F544" s="36">
        <v>12</v>
      </c>
    </row>
    <row r="545" spans="3:6" x14ac:dyDescent="0.3">
      <c r="C545" s="35">
        <v>26</v>
      </c>
      <c r="D545" s="35" t="s">
        <v>79</v>
      </c>
      <c r="E545" s="36">
        <v>41.9</v>
      </c>
      <c r="F545" s="36">
        <v>7</v>
      </c>
    </row>
    <row r="546" spans="3:6" x14ac:dyDescent="0.3">
      <c r="C546" s="35">
        <v>26</v>
      </c>
      <c r="D546" s="35" t="s">
        <v>60</v>
      </c>
      <c r="E546" s="36">
        <v>33.299999999999997</v>
      </c>
      <c r="F546" s="36">
        <v>7</v>
      </c>
    </row>
    <row r="547" spans="3:6" x14ac:dyDescent="0.3">
      <c r="C547" s="35">
        <v>26</v>
      </c>
      <c r="D547" s="35" t="s">
        <v>49</v>
      </c>
      <c r="E547" s="36">
        <v>60</v>
      </c>
      <c r="F547" s="36">
        <v>7</v>
      </c>
    </row>
    <row r="548" spans="3:6" x14ac:dyDescent="0.3">
      <c r="C548" s="35">
        <v>26</v>
      </c>
      <c r="D548" s="35" t="s">
        <v>82</v>
      </c>
      <c r="E548" s="36">
        <v>27.4</v>
      </c>
      <c r="F548" s="36">
        <v>7</v>
      </c>
    </row>
    <row r="549" spans="3:6" x14ac:dyDescent="0.3">
      <c r="C549" s="35">
        <v>26</v>
      </c>
      <c r="D549" s="35" t="s">
        <v>46</v>
      </c>
      <c r="E549" s="36">
        <v>85.6</v>
      </c>
      <c r="F549" s="36">
        <v>4.5</v>
      </c>
    </row>
    <row r="550" spans="3:6" x14ac:dyDescent="0.3">
      <c r="C550" s="35">
        <v>26</v>
      </c>
      <c r="D550" s="35" t="s">
        <v>46</v>
      </c>
      <c r="E550" s="36">
        <v>22</v>
      </c>
      <c r="F550" s="36">
        <v>6</v>
      </c>
    </row>
    <row r="551" spans="3:6" x14ac:dyDescent="0.3">
      <c r="C551" s="35">
        <v>26</v>
      </c>
      <c r="D551" s="35" t="s">
        <v>49</v>
      </c>
      <c r="E551" s="36">
        <v>98.9</v>
      </c>
      <c r="F551" s="36">
        <v>6</v>
      </c>
    </row>
    <row r="552" spans="3:6" x14ac:dyDescent="0.3">
      <c r="C552" s="35">
        <v>26</v>
      </c>
      <c r="D552" s="35" t="s">
        <v>52</v>
      </c>
      <c r="E552" s="36">
        <v>42.7</v>
      </c>
      <c r="F552" s="36">
        <v>6.5</v>
      </c>
    </row>
    <row r="553" spans="3:6" x14ac:dyDescent="0.3">
      <c r="C553" s="35">
        <v>26</v>
      </c>
      <c r="D553" s="35" t="s">
        <v>65</v>
      </c>
      <c r="E553" s="36">
        <v>21.5</v>
      </c>
      <c r="F553" s="36">
        <v>3</v>
      </c>
    </row>
    <row r="554" spans="3:6" x14ac:dyDescent="0.3">
      <c r="C554" s="35">
        <v>26</v>
      </c>
      <c r="D554" s="35" t="s">
        <v>98</v>
      </c>
      <c r="E554" s="36">
        <v>21.4</v>
      </c>
      <c r="F554" s="36">
        <v>3.6</v>
      </c>
    </row>
    <row r="555" spans="3:6" x14ac:dyDescent="0.3">
      <c r="C555" s="35">
        <v>26</v>
      </c>
      <c r="D555" s="35" t="s">
        <v>63</v>
      </c>
      <c r="E555" s="36">
        <v>21.5</v>
      </c>
      <c r="F555" s="36">
        <v>4.5</v>
      </c>
    </row>
    <row r="556" spans="3:6" x14ac:dyDescent="0.3">
      <c r="C556" s="35">
        <v>26</v>
      </c>
      <c r="D556" s="35" t="s">
        <v>46</v>
      </c>
      <c r="E556" s="36">
        <v>53.7</v>
      </c>
      <c r="F556" s="36">
        <v>8</v>
      </c>
    </row>
    <row r="557" spans="3:6" x14ac:dyDescent="0.3">
      <c r="C557" s="35">
        <v>26</v>
      </c>
      <c r="D557" s="35" t="s">
        <v>49</v>
      </c>
      <c r="E557" s="36">
        <v>42.5</v>
      </c>
      <c r="F557" s="36">
        <v>8</v>
      </c>
    </row>
    <row r="558" spans="3:6" x14ac:dyDescent="0.3">
      <c r="C558" s="35">
        <v>26</v>
      </c>
      <c r="D558" s="35" t="s">
        <v>49</v>
      </c>
      <c r="E558" s="36">
        <v>109</v>
      </c>
      <c r="F558" s="36">
        <v>9</v>
      </c>
    </row>
    <row r="559" spans="3:6" x14ac:dyDescent="0.3">
      <c r="C559" s="35">
        <v>26</v>
      </c>
      <c r="D559" s="35" t="s">
        <v>49</v>
      </c>
      <c r="E559" s="36">
        <v>67</v>
      </c>
      <c r="F559" s="36">
        <v>8</v>
      </c>
    </row>
    <row r="560" spans="3:6" x14ac:dyDescent="0.3">
      <c r="C560" s="35">
        <v>26</v>
      </c>
      <c r="D560" s="35" t="s">
        <v>52</v>
      </c>
      <c r="E560" s="36">
        <v>47.5</v>
      </c>
      <c r="F560" s="36">
        <v>10</v>
      </c>
    </row>
    <row r="561" spans="3:6" x14ac:dyDescent="0.3">
      <c r="C561" s="35">
        <v>26</v>
      </c>
      <c r="D561" s="35" t="s">
        <v>61</v>
      </c>
      <c r="E561" s="36">
        <v>22</v>
      </c>
      <c r="F561" s="36">
        <v>9</v>
      </c>
    </row>
    <row r="562" spans="3:6" x14ac:dyDescent="0.3">
      <c r="C562" s="35">
        <v>26</v>
      </c>
      <c r="D562" s="35" t="s">
        <v>68</v>
      </c>
      <c r="E562" s="36">
        <v>25</v>
      </c>
      <c r="F562" s="36">
        <v>8</v>
      </c>
    </row>
    <row r="563" spans="3:6" x14ac:dyDescent="0.3">
      <c r="C563" s="35">
        <v>27</v>
      </c>
      <c r="D563" s="35" t="s">
        <v>46</v>
      </c>
      <c r="E563" s="36">
        <v>91</v>
      </c>
      <c r="F563" s="36">
        <v>11</v>
      </c>
    </row>
    <row r="564" spans="3:6" x14ac:dyDescent="0.3">
      <c r="C564" s="35">
        <v>27</v>
      </c>
      <c r="D564" s="35" t="s">
        <v>91</v>
      </c>
      <c r="E564" s="36">
        <v>47.1</v>
      </c>
      <c r="F564" s="36">
        <v>12</v>
      </c>
    </row>
    <row r="565" spans="3:6" x14ac:dyDescent="0.3">
      <c r="C565" s="35">
        <v>27</v>
      </c>
      <c r="D565" s="35" t="s">
        <v>70</v>
      </c>
      <c r="E565" s="36">
        <v>23.2</v>
      </c>
      <c r="F565" s="36">
        <v>12</v>
      </c>
    </row>
    <row r="566" spans="3:6" x14ac:dyDescent="0.3">
      <c r="C566" s="35">
        <v>27</v>
      </c>
      <c r="D566" s="35" t="s">
        <v>91</v>
      </c>
      <c r="E566" s="36">
        <v>18</v>
      </c>
      <c r="F566" s="36">
        <v>7</v>
      </c>
    </row>
    <row r="567" spans="3:6" x14ac:dyDescent="0.3">
      <c r="C567" s="35">
        <v>27</v>
      </c>
      <c r="D567" s="35" t="s">
        <v>49</v>
      </c>
      <c r="E567" s="36">
        <v>38.200000000000003</v>
      </c>
      <c r="F567" s="36">
        <v>7</v>
      </c>
    </row>
    <row r="568" spans="3:6" x14ac:dyDescent="0.3">
      <c r="C568" s="35">
        <v>27</v>
      </c>
      <c r="D568" s="35" t="s">
        <v>49</v>
      </c>
      <c r="E568" s="36">
        <v>62.5</v>
      </c>
      <c r="F568" s="36">
        <v>2.2000000000000002</v>
      </c>
    </row>
    <row r="569" spans="3:6" x14ac:dyDescent="0.3">
      <c r="C569" s="35">
        <v>27</v>
      </c>
      <c r="D569" s="35" t="s">
        <v>49</v>
      </c>
      <c r="E569" s="36">
        <v>47.6</v>
      </c>
      <c r="F569" s="36">
        <v>5</v>
      </c>
    </row>
    <row r="570" spans="3:6" x14ac:dyDescent="0.3">
      <c r="C570" s="35">
        <v>27</v>
      </c>
      <c r="D570" s="35" t="s">
        <v>64</v>
      </c>
      <c r="E570" s="36">
        <v>68</v>
      </c>
      <c r="F570" s="36">
        <v>3.5</v>
      </c>
    </row>
    <row r="571" spans="3:6" x14ac:dyDescent="0.3">
      <c r="C571" s="35">
        <v>27</v>
      </c>
      <c r="D571" s="35" t="s">
        <v>64</v>
      </c>
      <c r="E571" s="36">
        <v>90.4</v>
      </c>
      <c r="F571" s="36">
        <v>6</v>
      </c>
    </row>
    <row r="572" spans="3:6" x14ac:dyDescent="0.3">
      <c r="C572" s="35">
        <v>27</v>
      </c>
      <c r="D572" s="35" t="s">
        <v>63</v>
      </c>
      <c r="E572" s="36">
        <v>19.3</v>
      </c>
      <c r="F572" s="36">
        <v>4.5</v>
      </c>
    </row>
    <row r="573" spans="3:6" x14ac:dyDescent="0.3">
      <c r="C573" s="35">
        <v>27</v>
      </c>
      <c r="D573" s="35" t="s">
        <v>63</v>
      </c>
      <c r="E573" s="36">
        <v>21.2</v>
      </c>
      <c r="F573" s="36">
        <v>5</v>
      </c>
    </row>
    <row r="574" spans="3:6" x14ac:dyDescent="0.3">
      <c r="C574" s="35">
        <v>27</v>
      </c>
      <c r="D574" s="35" t="s">
        <v>63</v>
      </c>
      <c r="E574" s="36">
        <v>15.5</v>
      </c>
      <c r="F574" s="36">
        <v>4</v>
      </c>
    </row>
    <row r="575" spans="3:6" x14ac:dyDescent="0.3">
      <c r="C575" s="35">
        <v>27</v>
      </c>
      <c r="D575" s="35" t="s">
        <v>63</v>
      </c>
      <c r="E575" s="36">
        <v>16.600000000000001</v>
      </c>
      <c r="F575" s="36">
        <v>5.5</v>
      </c>
    </row>
    <row r="576" spans="3:6" x14ac:dyDescent="0.3">
      <c r="C576" s="35">
        <v>27</v>
      </c>
      <c r="D576" s="35" t="s">
        <v>63</v>
      </c>
      <c r="E576" s="36">
        <v>17.5</v>
      </c>
      <c r="F576" s="36">
        <v>4.5</v>
      </c>
    </row>
    <row r="577" spans="3:6" x14ac:dyDescent="0.3">
      <c r="C577" s="35">
        <v>27</v>
      </c>
      <c r="D577" s="35" t="s">
        <v>56</v>
      </c>
      <c r="E577" s="36">
        <v>22.2</v>
      </c>
      <c r="F577" s="36">
        <v>8</v>
      </c>
    </row>
    <row r="578" spans="3:6" x14ac:dyDescent="0.3">
      <c r="C578" s="35">
        <v>27</v>
      </c>
      <c r="D578" s="35" t="s">
        <v>91</v>
      </c>
      <c r="E578" s="36">
        <v>24</v>
      </c>
      <c r="F578" s="36">
        <v>8</v>
      </c>
    </row>
    <row r="579" spans="3:6" x14ac:dyDescent="0.3">
      <c r="C579" s="35">
        <v>27</v>
      </c>
      <c r="D579" s="35" t="s">
        <v>49</v>
      </c>
      <c r="E579" s="36">
        <v>53.9</v>
      </c>
      <c r="F579" s="36">
        <v>8.5</v>
      </c>
    </row>
    <row r="580" spans="3:6" x14ac:dyDescent="0.3">
      <c r="C580" s="35">
        <v>27</v>
      </c>
      <c r="D580" s="35" t="s">
        <v>49</v>
      </c>
      <c r="E580" s="36">
        <v>63.6</v>
      </c>
      <c r="F580" s="36">
        <v>9</v>
      </c>
    </row>
    <row r="581" spans="3:6" x14ac:dyDescent="0.3">
      <c r="C581" s="35">
        <v>27</v>
      </c>
      <c r="D581" s="35" t="s">
        <v>64</v>
      </c>
      <c r="E581" s="36">
        <v>69</v>
      </c>
      <c r="F581" s="36">
        <v>8</v>
      </c>
    </row>
    <row r="582" spans="3:6" x14ac:dyDescent="0.3">
      <c r="C582" s="35">
        <v>28</v>
      </c>
      <c r="D582" s="35" t="s">
        <v>49</v>
      </c>
      <c r="E582" s="36">
        <v>115.5</v>
      </c>
      <c r="F582" s="36">
        <v>11</v>
      </c>
    </row>
    <row r="583" spans="3:6" x14ac:dyDescent="0.3">
      <c r="C583" s="35">
        <v>28</v>
      </c>
      <c r="D583" s="35" t="s">
        <v>49</v>
      </c>
      <c r="E583" s="36">
        <v>31.5</v>
      </c>
      <c r="F583" s="36">
        <v>7.5</v>
      </c>
    </row>
    <row r="584" spans="3:6" x14ac:dyDescent="0.3">
      <c r="C584" s="35">
        <v>28</v>
      </c>
      <c r="D584" s="35" t="s">
        <v>56</v>
      </c>
      <c r="E584" s="36">
        <v>36</v>
      </c>
      <c r="F584" s="36">
        <v>6</v>
      </c>
    </row>
    <row r="585" spans="3:6" x14ac:dyDescent="0.3">
      <c r="C585" s="35">
        <v>28</v>
      </c>
      <c r="D585" s="35" t="s">
        <v>56</v>
      </c>
      <c r="E585" s="36">
        <v>23.1</v>
      </c>
      <c r="F585" s="36">
        <v>6</v>
      </c>
    </row>
    <row r="586" spans="3:6" x14ac:dyDescent="0.3">
      <c r="C586" s="35">
        <v>28</v>
      </c>
      <c r="D586" s="35" t="s">
        <v>99</v>
      </c>
      <c r="E586" s="36">
        <v>21.3</v>
      </c>
      <c r="F586" s="36">
        <v>6</v>
      </c>
    </row>
    <row r="587" spans="3:6" x14ac:dyDescent="0.3">
      <c r="C587" s="35">
        <v>28</v>
      </c>
      <c r="D587" s="35" t="s">
        <v>63</v>
      </c>
      <c r="E587" s="36">
        <v>23.1</v>
      </c>
      <c r="F587" s="36">
        <v>3</v>
      </c>
    </row>
    <row r="588" spans="3:6" x14ac:dyDescent="0.3">
      <c r="C588" s="35">
        <v>28</v>
      </c>
      <c r="D588" s="35" t="s">
        <v>100</v>
      </c>
      <c r="E588" s="36">
        <v>48.5</v>
      </c>
      <c r="F588" s="36">
        <v>9.5</v>
      </c>
    </row>
    <row r="589" spans="3:6" x14ac:dyDescent="0.3">
      <c r="C589" s="35">
        <v>28</v>
      </c>
      <c r="D589" s="35" t="s">
        <v>47</v>
      </c>
      <c r="E589" s="36">
        <v>19.5</v>
      </c>
      <c r="F589" s="36">
        <v>8</v>
      </c>
    </row>
    <row r="590" spans="3:6" x14ac:dyDescent="0.3">
      <c r="C590" s="35">
        <v>28</v>
      </c>
      <c r="D590" s="35" t="s">
        <v>79</v>
      </c>
      <c r="E590" s="36">
        <v>61</v>
      </c>
      <c r="F590" s="36">
        <v>9</v>
      </c>
    </row>
    <row r="591" spans="3:6" x14ac:dyDescent="0.3">
      <c r="C591" s="35">
        <v>28</v>
      </c>
      <c r="D591" s="35" t="s">
        <v>92</v>
      </c>
      <c r="E591" s="36">
        <v>115.4</v>
      </c>
      <c r="F591" s="36">
        <v>9</v>
      </c>
    </row>
    <row r="592" spans="3:6" x14ac:dyDescent="0.3">
      <c r="C592" s="35">
        <v>28</v>
      </c>
      <c r="D592" s="35" t="s">
        <v>49</v>
      </c>
      <c r="E592" s="36">
        <v>63.2</v>
      </c>
      <c r="F592" s="36">
        <v>9</v>
      </c>
    </row>
    <row r="593" spans="3:6" x14ac:dyDescent="0.3">
      <c r="C593" s="35">
        <v>28</v>
      </c>
      <c r="D593" s="35" t="s">
        <v>49</v>
      </c>
      <c r="E593" s="36">
        <v>36</v>
      </c>
      <c r="F593" s="36">
        <v>8</v>
      </c>
    </row>
    <row r="594" spans="3:6" x14ac:dyDescent="0.3">
      <c r="C594" s="35">
        <v>28</v>
      </c>
      <c r="D594" s="35" t="s">
        <v>52</v>
      </c>
      <c r="E594" s="36">
        <v>22.9</v>
      </c>
      <c r="F594" s="36">
        <v>8</v>
      </c>
    </row>
    <row r="595" spans="3:6" x14ac:dyDescent="0.3">
      <c r="C595" s="35">
        <v>28</v>
      </c>
      <c r="D595" s="35" t="s">
        <v>71</v>
      </c>
      <c r="E595" s="36">
        <v>24.5</v>
      </c>
      <c r="F595" s="36">
        <v>9</v>
      </c>
    </row>
    <row r="596" spans="3:6" x14ac:dyDescent="0.3">
      <c r="C596" s="35">
        <v>28</v>
      </c>
      <c r="D596" s="35" t="s">
        <v>101</v>
      </c>
      <c r="E596" s="36">
        <v>31.5</v>
      </c>
      <c r="F596" s="36">
        <v>8</v>
      </c>
    </row>
    <row r="597" spans="3:6" x14ac:dyDescent="0.3">
      <c r="C597" s="35">
        <v>28</v>
      </c>
      <c r="D597" s="35" t="s">
        <v>84</v>
      </c>
      <c r="E597" s="36">
        <v>56</v>
      </c>
      <c r="F597" s="36">
        <v>9</v>
      </c>
    </row>
    <row r="598" spans="3:6" x14ac:dyDescent="0.3">
      <c r="C598" s="35">
        <v>28</v>
      </c>
      <c r="D598" s="35" t="s">
        <v>84</v>
      </c>
      <c r="E598" s="36">
        <v>54</v>
      </c>
      <c r="F598" s="36">
        <v>9.5</v>
      </c>
    </row>
    <row r="599" spans="3:6" x14ac:dyDescent="0.3">
      <c r="C599" s="35">
        <v>28</v>
      </c>
      <c r="D599" s="35" t="s">
        <v>64</v>
      </c>
      <c r="E599" s="36">
        <v>72</v>
      </c>
      <c r="F599" s="36">
        <v>9</v>
      </c>
    </row>
    <row r="600" spans="3:6" x14ac:dyDescent="0.3">
      <c r="C600" s="35">
        <v>28</v>
      </c>
      <c r="D600" s="35" t="s">
        <v>64</v>
      </c>
      <c r="E600" s="36">
        <v>105.3</v>
      </c>
      <c r="F600" s="36">
        <v>9.5</v>
      </c>
    </row>
    <row r="601" spans="3:6" x14ac:dyDescent="0.3">
      <c r="C601" s="35">
        <v>28</v>
      </c>
      <c r="D601" s="35" t="s">
        <v>55</v>
      </c>
      <c r="E601" s="36">
        <v>40.5</v>
      </c>
      <c r="F601" s="36">
        <v>8</v>
      </c>
    </row>
    <row r="602" spans="3:6" x14ac:dyDescent="0.3">
      <c r="C602" s="35">
        <v>28</v>
      </c>
      <c r="D602" s="35" t="s">
        <v>55</v>
      </c>
      <c r="E602" s="36">
        <v>34</v>
      </c>
      <c r="F602" s="36">
        <v>8</v>
      </c>
    </row>
    <row r="603" spans="3:6" x14ac:dyDescent="0.3">
      <c r="C603" s="35">
        <v>28</v>
      </c>
      <c r="D603" s="35" t="s">
        <v>55</v>
      </c>
      <c r="E603" s="36">
        <v>65.8</v>
      </c>
      <c r="F603" s="36">
        <v>8</v>
      </c>
    </row>
    <row r="604" spans="3:6" x14ac:dyDescent="0.3">
      <c r="C604" s="35">
        <v>29</v>
      </c>
      <c r="D604" s="35" t="s">
        <v>49</v>
      </c>
      <c r="E604" s="36">
        <v>52.6</v>
      </c>
      <c r="F604" s="36">
        <v>7</v>
      </c>
    </row>
    <row r="605" spans="3:6" x14ac:dyDescent="0.3">
      <c r="C605" s="35">
        <v>29</v>
      </c>
      <c r="D605" s="35" t="s">
        <v>52</v>
      </c>
      <c r="E605" s="36">
        <v>26.7</v>
      </c>
      <c r="F605" s="36">
        <v>7</v>
      </c>
    </row>
    <row r="606" spans="3:6" x14ac:dyDescent="0.3">
      <c r="C606" s="35">
        <v>29</v>
      </c>
      <c r="D606" s="35" t="s">
        <v>56</v>
      </c>
      <c r="E606" s="36">
        <v>19.899999999999999</v>
      </c>
      <c r="F606" s="36">
        <v>3.5</v>
      </c>
    </row>
    <row r="607" spans="3:6" x14ac:dyDescent="0.3">
      <c r="C607" s="35">
        <v>29</v>
      </c>
      <c r="D607" s="35" t="s">
        <v>52</v>
      </c>
      <c r="E607" s="36">
        <v>15.6</v>
      </c>
      <c r="F607" s="36">
        <v>6</v>
      </c>
    </row>
    <row r="608" spans="3:6" x14ac:dyDescent="0.3">
      <c r="C608" s="35">
        <v>29</v>
      </c>
      <c r="D608" s="35" t="s">
        <v>101</v>
      </c>
      <c r="E608" s="36">
        <v>23.3</v>
      </c>
      <c r="F608" s="36">
        <v>5</v>
      </c>
    </row>
    <row r="609" spans="3:6" x14ac:dyDescent="0.3">
      <c r="C609" s="35">
        <v>29</v>
      </c>
      <c r="D609" s="35" t="s">
        <v>64</v>
      </c>
      <c r="E609" s="36">
        <v>31.5</v>
      </c>
      <c r="F609" s="36">
        <v>2</v>
      </c>
    </row>
    <row r="610" spans="3:6" x14ac:dyDescent="0.3">
      <c r="C610" s="35">
        <v>29</v>
      </c>
      <c r="D610" s="35" t="s">
        <v>102</v>
      </c>
      <c r="E610" s="36">
        <v>42.5</v>
      </c>
      <c r="F610" s="36">
        <v>9</v>
      </c>
    </row>
    <row r="611" spans="3:6" x14ac:dyDescent="0.3">
      <c r="C611" s="35">
        <v>29</v>
      </c>
      <c r="D611" s="35" t="s">
        <v>84</v>
      </c>
      <c r="E611" s="36">
        <v>31.5</v>
      </c>
      <c r="F611" s="36">
        <v>9</v>
      </c>
    </row>
    <row r="612" spans="3:6" x14ac:dyDescent="0.3">
      <c r="C612" s="35">
        <v>29</v>
      </c>
      <c r="D612" s="35" t="s">
        <v>64</v>
      </c>
      <c r="E612" s="36">
        <v>61.5</v>
      </c>
      <c r="F612" s="36">
        <v>9</v>
      </c>
    </row>
    <row r="613" spans="3:6" x14ac:dyDescent="0.3">
      <c r="C613" s="35">
        <v>29</v>
      </c>
      <c r="D613" s="35" t="s">
        <v>64</v>
      </c>
      <c r="E613" s="36">
        <v>69.7</v>
      </c>
      <c r="F613" s="36">
        <v>10</v>
      </c>
    </row>
    <row r="614" spans="3:6" x14ac:dyDescent="0.3">
      <c r="C614" s="35">
        <v>29</v>
      </c>
      <c r="D614" s="35" t="s">
        <v>64</v>
      </c>
      <c r="E614" s="36">
        <v>50.8</v>
      </c>
      <c r="F614" s="36">
        <v>10</v>
      </c>
    </row>
    <row r="615" spans="3:6" x14ac:dyDescent="0.3">
      <c r="C615" s="35">
        <v>29</v>
      </c>
      <c r="D615" s="35" t="s">
        <v>55</v>
      </c>
      <c r="E615" s="36">
        <v>50.6</v>
      </c>
      <c r="F615" s="36">
        <v>8</v>
      </c>
    </row>
    <row r="616" spans="3:6" x14ac:dyDescent="0.3">
      <c r="C616" s="35">
        <v>30</v>
      </c>
      <c r="D616" s="35" t="s">
        <v>68</v>
      </c>
      <c r="E616" s="36">
        <v>46.8</v>
      </c>
      <c r="F616" s="36">
        <v>11</v>
      </c>
    </row>
    <row r="617" spans="3:6" x14ac:dyDescent="0.3">
      <c r="C617" s="35">
        <v>30</v>
      </c>
      <c r="D617" s="35" t="s">
        <v>91</v>
      </c>
      <c r="E617" s="36">
        <v>23.8</v>
      </c>
      <c r="F617" s="36">
        <v>7</v>
      </c>
    </row>
    <row r="618" spans="3:6" x14ac:dyDescent="0.3">
      <c r="C618" s="35">
        <v>30</v>
      </c>
      <c r="D618" s="35" t="s">
        <v>46</v>
      </c>
      <c r="E618" s="36">
        <v>20.3</v>
      </c>
      <c r="F618" s="36">
        <v>4.5</v>
      </c>
    </row>
    <row r="619" spans="3:6" x14ac:dyDescent="0.3">
      <c r="C619" s="35">
        <v>30</v>
      </c>
      <c r="D619" s="35" t="s">
        <v>63</v>
      </c>
      <c r="E619" s="36">
        <v>15</v>
      </c>
      <c r="F619" s="36">
        <v>4.5</v>
      </c>
    </row>
    <row r="620" spans="3:6" x14ac:dyDescent="0.3">
      <c r="C620" s="35">
        <v>30</v>
      </c>
      <c r="D620" s="35" t="s">
        <v>63</v>
      </c>
      <c r="E620" s="36">
        <v>16</v>
      </c>
      <c r="F620" s="36">
        <v>5</v>
      </c>
    </row>
    <row r="621" spans="3:6" x14ac:dyDescent="0.3">
      <c r="C621" s="35">
        <v>30</v>
      </c>
      <c r="D621" s="35" t="s">
        <v>92</v>
      </c>
      <c r="E621" s="36">
        <v>176.7</v>
      </c>
      <c r="F621" s="36">
        <v>9</v>
      </c>
    </row>
    <row r="622" spans="3:6" x14ac:dyDescent="0.3">
      <c r="C622" s="35">
        <v>30</v>
      </c>
      <c r="D622" s="35" t="s">
        <v>56</v>
      </c>
      <c r="E622" s="36">
        <v>28.5</v>
      </c>
      <c r="F622" s="36">
        <v>9</v>
      </c>
    </row>
    <row r="623" spans="3:6" x14ac:dyDescent="0.3">
      <c r="C623" s="35">
        <v>30</v>
      </c>
      <c r="D623" s="35" t="s">
        <v>49</v>
      </c>
      <c r="E623" s="36">
        <v>30.1</v>
      </c>
      <c r="F623" s="36">
        <v>9</v>
      </c>
    </row>
    <row r="624" spans="3:6" x14ac:dyDescent="0.3">
      <c r="C624" s="35">
        <v>30</v>
      </c>
      <c r="D624" s="35" t="s">
        <v>49</v>
      </c>
      <c r="E624" s="36">
        <v>36</v>
      </c>
      <c r="F624" s="36">
        <v>8</v>
      </c>
    </row>
    <row r="625" spans="3:6" x14ac:dyDescent="0.3">
      <c r="C625" s="35">
        <v>30</v>
      </c>
      <c r="D625" s="35" t="s">
        <v>49</v>
      </c>
      <c r="E625" s="36">
        <v>44.5</v>
      </c>
      <c r="F625" s="36">
        <v>9</v>
      </c>
    </row>
    <row r="626" spans="3:6" x14ac:dyDescent="0.3">
      <c r="C626" s="35">
        <v>30</v>
      </c>
      <c r="D626" s="35" t="s">
        <v>64</v>
      </c>
      <c r="E626" s="36">
        <v>102.5</v>
      </c>
      <c r="F626" s="36">
        <v>10</v>
      </c>
    </row>
  </sheetData>
  <sheetProtection algorithmName="SHA-512" hashValue="XPtxEndIJY092hFG47Wqnn2dFvIfmge6/tUIy80SJreszCh3+TzOXrG0562qjBZAYf5Rjj/NJGJ9LaVKGKd3TQ==" saltValue="wX+kzykFRRLcuYFEtzLxMg==" spinCount="100000" sheet="1" objects="1" scenarios="1"/>
  <sortState xmlns:xlrd2="http://schemas.microsoft.com/office/spreadsheetml/2017/richdata2" ref="C3:F181">
    <sortCondition ref="C3:C181"/>
  </sortState>
  <mergeCells count="5">
    <mergeCell ref="J18:M19"/>
    <mergeCell ref="J24:M25"/>
    <mergeCell ref="C1:F1"/>
    <mergeCell ref="J16:M17"/>
    <mergeCell ref="J22:M23"/>
  </mergeCells>
  <conditionalFormatting sqref="J18:M19">
    <cfRule type="containsText" dxfId="0" priority="1" operator="containsText" text="não">
      <formula>NOT(ISERROR(SEARCH("não",J18)))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E46F-8E5E-4D74-B304-5C6BEA5B53BA}">
  <dimension ref="A1:AD10000"/>
  <sheetViews>
    <sheetView workbookViewId="0">
      <selection activeCell="E3" sqref="E3"/>
    </sheetView>
  </sheetViews>
  <sheetFormatPr defaultRowHeight="14.4" x14ac:dyDescent="0.3"/>
  <cols>
    <col min="1" max="1" width="36.109375" style="3" customWidth="1"/>
    <col min="2" max="2" width="8.77734375" style="3" customWidth="1"/>
    <col min="3" max="3" width="1.33203125" style="24" customWidth="1"/>
    <col min="4" max="4" width="2.77734375" style="3" customWidth="1"/>
    <col min="5" max="5" width="8.88671875" style="9" customWidth="1"/>
    <col min="6" max="7" width="8.88671875" style="9"/>
    <col min="8" max="8" width="5.33203125" style="3" customWidth="1"/>
    <col min="9" max="9" width="1.33203125" style="24" customWidth="1"/>
    <col min="10" max="10" width="3.109375" style="3" customWidth="1"/>
    <col min="11" max="11" width="11.44140625" style="9" customWidth="1"/>
    <col min="12" max="12" width="12.88671875" style="9" customWidth="1"/>
    <col min="13" max="14" width="8.88671875" style="9"/>
    <col min="15" max="15" width="6.109375" style="3" customWidth="1"/>
    <col min="16" max="16" width="1.33203125" style="24" customWidth="1"/>
    <col min="17" max="17" width="4.77734375" style="3" customWidth="1"/>
    <col min="18" max="18" width="11.77734375" style="9" customWidth="1"/>
    <col min="19" max="19" width="11" style="9" customWidth="1"/>
    <col min="20" max="20" width="5" style="3" customWidth="1"/>
    <col min="21" max="21" width="1.44140625" style="24" customWidth="1"/>
    <col min="22" max="22" width="6.44140625" style="3" customWidth="1"/>
    <col min="23" max="23" width="27.44140625" style="3" customWidth="1"/>
    <col min="24" max="24" width="8.88671875" style="3"/>
    <col min="25" max="25" width="11.77734375" style="3" customWidth="1"/>
    <col min="26" max="26" width="4.77734375" style="3" customWidth="1"/>
    <col min="27" max="27" width="2.109375" style="3" customWidth="1"/>
    <col min="28" max="28" width="4.5546875" style="3" customWidth="1"/>
    <col min="29" max="29" width="27.6640625" style="3" customWidth="1"/>
    <col min="30" max="30" width="11" style="3" bestFit="1" customWidth="1"/>
    <col min="31" max="16384" width="8.88671875" style="3"/>
  </cols>
  <sheetData>
    <row r="1" spans="1:30" s="20" customFormat="1" ht="18" x14ac:dyDescent="0.35">
      <c r="A1" s="20" t="s">
        <v>2</v>
      </c>
      <c r="C1" s="23"/>
      <c r="D1" s="21" t="s">
        <v>36</v>
      </c>
      <c r="F1" s="22"/>
      <c r="G1" s="22"/>
      <c r="I1" s="23"/>
      <c r="J1" s="20" t="s">
        <v>39</v>
      </c>
      <c r="K1" s="22"/>
      <c r="L1" s="22"/>
      <c r="M1" s="27" t="s">
        <v>15</v>
      </c>
      <c r="N1" s="22">
        <v>0.8</v>
      </c>
      <c r="P1" s="23"/>
      <c r="Q1" s="20" t="s">
        <v>37</v>
      </c>
      <c r="R1" s="22"/>
      <c r="S1" s="22"/>
      <c r="U1" s="23"/>
      <c r="V1" s="20" t="s">
        <v>38</v>
      </c>
    </row>
    <row r="2" spans="1:30" x14ac:dyDescent="0.3">
      <c r="A2" s="30" t="s">
        <v>41</v>
      </c>
      <c r="B2" s="2"/>
      <c r="D2" s="1"/>
      <c r="E2" s="2" t="s">
        <v>8</v>
      </c>
      <c r="F2" s="2" t="s">
        <v>10</v>
      </c>
      <c r="G2" s="2" t="s">
        <v>9</v>
      </c>
      <c r="H2" s="1"/>
      <c r="J2" s="1"/>
      <c r="K2" s="2" t="s">
        <v>11</v>
      </c>
      <c r="L2" s="2" t="s">
        <v>12</v>
      </c>
      <c r="M2" s="2" t="s">
        <v>13</v>
      </c>
      <c r="N2" s="2" t="s">
        <v>14</v>
      </c>
      <c r="O2" s="1"/>
      <c r="P2" s="25"/>
      <c r="Q2" s="1"/>
      <c r="R2" s="2" t="s">
        <v>7</v>
      </c>
      <c r="S2" s="2" t="s">
        <v>16</v>
      </c>
      <c r="T2" s="1"/>
      <c r="U2" s="25"/>
      <c r="V2" s="1"/>
      <c r="W2" s="1"/>
      <c r="X2" s="1"/>
      <c r="Y2" s="1"/>
      <c r="Z2" s="1"/>
      <c r="AA2" s="1"/>
      <c r="AB2" s="1"/>
      <c r="AC2" s="1"/>
    </row>
    <row r="3" spans="1:30" x14ac:dyDescent="0.3">
      <c r="A3" s="3" t="s">
        <v>3</v>
      </c>
      <c r="B3" s="3">
        <f>DADOS!K3</f>
        <v>5000</v>
      </c>
      <c r="E3" s="9">
        <f>IF(DADOS!C3="","",DADOS!C3)</f>
        <v>1</v>
      </c>
      <c r="F3" s="9">
        <f>IF(DADOS!E3="","",DADOS!E3)</f>
        <v>19.600000000000001</v>
      </c>
      <c r="G3" s="9">
        <f>IF(DADOS!F3="","",DADOS!F3)</f>
        <v>4.5</v>
      </c>
      <c r="K3" s="6">
        <f>IF(F3="","",F3/PI())</f>
        <v>6.2388737692022982</v>
      </c>
      <c r="L3" s="7">
        <f>IF(K3="","",(PI()*K3^2)/40000)</f>
        <v>3.0570481469091261E-3</v>
      </c>
      <c r="M3" s="7">
        <f t="shared" ref="M3:M66" si="0">IF(L3="","",L3*G3)</f>
        <v>1.3756716661091068E-2</v>
      </c>
      <c r="N3" s="7">
        <f>IF(M3="","",M3*N$1)</f>
        <v>1.1005373328872855E-2</v>
      </c>
      <c r="O3" s="8"/>
      <c r="P3" s="26"/>
      <c r="R3" s="9" cm="1">
        <f t="array" ref="R3:R33">IF(_xlfn.UNIQUE(E3:E10000,FALSE,FALSE)=0,"",_xlfn.UNIQUE(E3:E10000,FALSE,FALSE))</f>
        <v>1</v>
      </c>
      <c r="S3" s="10">
        <f t="shared" ref="S3:S66" si="1">IF(R3="","",SUMIFS($N$3:$N$10000,$E$3:$E$10000,R3))</f>
        <v>2.8930930270716022</v>
      </c>
      <c r="Y3" s="9" t="s">
        <v>19</v>
      </c>
    </row>
    <row r="4" spans="1:30" ht="16.2" x14ac:dyDescent="0.3">
      <c r="A4" s="3" t="s">
        <v>35</v>
      </c>
      <c r="B4" s="3">
        <f>DADOS!K4</f>
        <v>100</v>
      </c>
      <c r="E4" s="9">
        <f>IF(DADOS!C4="","",DADOS!C4)</f>
        <v>1</v>
      </c>
      <c r="F4" s="9">
        <f>IF(DADOS!E4="","",DADOS!E4)</f>
        <v>22.1</v>
      </c>
      <c r="G4" s="9">
        <f>IF(DADOS!F4="","",DADOS!F4)</f>
        <v>4.5</v>
      </c>
      <c r="K4" s="6">
        <f t="shared" ref="K4:K67" si="2">IF(F4="","",F4/PI())</f>
        <v>7.0346484846617745</v>
      </c>
      <c r="L4" s="7">
        <f t="shared" ref="L4:L28" si="3">IF(K4="","",(PI()*K4^2)/40000)</f>
        <v>3.8866432877756301E-3</v>
      </c>
      <c r="M4" s="7">
        <f t="shared" ref="M4:M28" si="4">IF(L4="","",L4*G4)</f>
        <v>1.7489894794990336E-2</v>
      </c>
      <c r="N4" s="7">
        <f t="shared" ref="N4:N28" si="5">IF(M4="","",M4*N$1)</f>
        <v>1.3991915835992269E-2</v>
      </c>
      <c r="O4" s="8"/>
      <c r="P4" s="26"/>
      <c r="R4" s="9">
        <v>2</v>
      </c>
      <c r="S4" s="10">
        <f t="shared" si="1"/>
        <v>3.9618707364169907</v>
      </c>
      <c r="W4" s="3" t="s">
        <v>18</v>
      </c>
      <c r="X4" s="11">
        <f>1-B12</f>
        <v>0.4</v>
      </c>
      <c r="Y4" s="12" t="str">
        <f>IF(X4&gt;=0.98,"Infinita","Finita")</f>
        <v>Finita</v>
      </c>
    </row>
    <row r="5" spans="1:30" x14ac:dyDescent="0.3">
      <c r="A5" s="3" t="s">
        <v>0</v>
      </c>
      <c r="B5" s="3">
        <f>DADOS!K5</f>
        <v>0.2</v>
      </c>
      <c r="E5" s="9">
        <f>IF(DADOS!C5="","",DADOS!C5)</f>
        <v>1</v>
      </c>
      <c r="F5" s="9">
        <f>IF(DADOS!E5="","",DADOS!E5)</f>
        <v>18.100000000000001</v>
      </c>
      <c r="G5" s="9">
        <f>IF(DADOS!F5="","",DADOS!F5)</f>
        <v>4.5</v>
      </c>
      <c r="K5" s="6">
        <f t="shared" si="2"/>
        <v>5.7614089399266115</v>
      </c>
      <c r="L5" s="7">
        <f t="shared" si="3"/>
        <v>2.6070375453167917E-3</v>
      </c>
      <c r="M5" s="7">
        <f t="shared" si="4"/>
        <v>1.1731668953925562E-2</v>
      </c>
      <c r="N5" s="7">
        <f t="shared" si="5"/>
        <v>9.3853351631404507E-3</v>
      </c>
      <c r="O5" s="8"/>
      <c r="P5" s="26"/>
      <c r="R5" s="9">
        <v>3</v>
      </c>
      <c r="S5" s="10">
        <f t="shared" si="1"/>
        <v>5.2577897968807701</v>
      </c>
    </row>
    <row r="6" spans="1:30" x14ac:dyDescent="0.3">
      <c r="A6" s="3" t="s">
        <v>1</v>
      </c>
      <c r="B6" s="3">
        <f>DADOS!K6</f>
        <v>0.9</v>
      </c>
      <c r="E6" s="9">
        <f>IF(DADOS!C6="","",DADOS!C6)</f>
        <v>1</v>
      </c>
      <c r="F6" s="9">
        <f>IF(DADOS!E6="","",DADOS!E6)</f>
        <v>23.4</v>
      </c>
      <c r="G6" s="9">
        <f>IF(DADOS!F6="","",DADOS!F6)</f>
        <v>5</v>
      </c>
      <c r="K6" s="6">
        <f t="shared" si="2"/>
        <v>7.4484513367007015</v>
      </c>
      <c r="L6" s="7">
        <f t="shared" si="3"/>
        <v>4.3573440319699093E-3</v>
      </c>
      <c r="M6" s="7">
        <f t="shared" si="4"/>
        <v>2.1786720159849546E-2</v>
      </c>
      <c r="N6" s="7">
        <f t="shared" si="5"/>
        <v>1.7429376127879637E-2</v>
      </c>
      <c r="O6" s="8"/>
      <c r="P6" s="26"/>
      <c r="R6" s="9">
        <v>4</v>
      </c>
      <c r="S6" s="10">
        <f t="shared" si="1"/>
        <v>2.8186449156231781</v>
      </c>
      <c r="W6" s="3" t="s">
        <v>20</v>
      </c>
      <c r="X6" s="11">
        <f>AVERAGE(S3:S1000)</f>
        <v>4.583618754502039</v>
      </c>
    </row>
    <row r="7" spans="1:30" ht="15" thickBot="1" x14ac:dyDescent="0.35">
      <c r="A7" s="28"/>
      <c r="B7" s="28"/>
      <c r="E7" s="9">
        <f>IF(DADOS!C7="","",DADOS!C7)</f>
        <v>1</v>
      </c>
      <c r="F7" s="9">
        <f>IF(DADOS!E7="","",DADOS!E7)</f>
        <v>27</v>
      </c>
      <c r="G7" s="9">
        <f>IF(DADOS!F7="","",DADOS!F7)</f>
        <v>6</v>
      </c>
      <c r="K7" s="6">
        <f t="shared" si="2"/>
        <v>8.5943669269623477</v>
      </c>
      <c r="L7" s="7">
        <f t="shared" si="3"/>
        <v>5.8011976756995841E-3</v>
      </c>
      <c r="M7" s="7">
        <f t="shared" si="4"/>
        <v>3.4807186054197504E-2</v>
      </c>
      <c r="N7" s="7">
        <f t="shared" si="5"/>
        <v>2.7845748843358005E-2</v>
      </c>
      <c r="O7" s="8"/>
      <c r="P7" s="26"/>
      <c r="R7" s="9">
        <v>5</v>
      </c>
      <c r="S7" s="10">
        <f t="shared" si="1"/>
        <v>10.021156232341614</v>
      </c>
      <c r="W7" s="3" t="s">
        <v>21</v>
      </c>
      <c r="X7" s="11">
        <f>_xlfn.VAR.S(S3:S1000)</f>
        <v>6.1319538395541242</v>
      </c>
    </row>
    <row r="8" spans="1:30" x14ac:dyDescent="0.3">
      <c r="A8" s="3" t="s">
        <v>5</v>
      </c>
      <c r="B8" s="3">
        <f>COUNT(R3:R265)</f>
        <v>30</v>
      </c>
      <c r="E8" s="9">
        <f>IF(DADOS!C8="","",DADOS!C8)</f>
        <v>1</v>
      </c>
      <c r="F8" s="9">
        <f>IF(DADOS!E8="","",DADOS!E8)</f>
        <v>29.8</v>
      </c>
      <c r="G8" s="9">
        <f>IF(DADOS!F8="","",DADOS!F8)</f>
        <v>4</v>
      </c>
      <c r="K8" s="6">
        <f t="shared" si="2"/>
        <v>9.4856346082769623</v>
      </c>
      <c r="L8" s="7">
        <f t="shared" si="3"/>
        <v>7.0667977831663361E-3</v>
      </c>
      <c r="M8" s="7">
        <f t="shared" si="4"/>
        <v>2.8267191132665345E-2</v>
      </c>
      <c r="N8" s="7">
        <f t="shared" si="5"/>
        <v>2.2613752906132278E-2</v>
      </c>
      <c r="O8" s="8"/>
      <c r="P8" s="26"/>
      <c r="R8" s="9">
        <v>6</v>
      </c>
      <c r="S8" s="10">
        <f t="shared" si="1"/>
        <v>3.5355166072559494</v>
      </c>
      <c r="W8" s="3" t="s">
        <v>22</v>
      </c>
      <c r="X8" s="11">
        <f>_xlfn.STDEV.S(S3:S1000)</f>
        <v>2.4762782233735621</v>
      </c>
    </row>
    <row r="9" spans="1:30" x14ac:dyDescent="0.3">
      <c r="A9" s="3" t="s">
        <v>4</v>
      </c>
      <c r="B9" s="3">
        <f>B4/10000</f>
        <v>0.01</v>
      </c>
      <c r="E9" s="9">
        <f>IF(DADOS!C9="","",DADOS!C9)</f>
        <v>1</v>
      </c>
      <c r="F9" s="9">
        <f>IF(DADOS!E9="","",DADOS!E9)</f>
        <v>56.4</v>
      </c>
      <c r="G9" s="9">
        <f>IF(DADOS!F9="","",DADOS!F9)</f>
        <v>6</v>
      </c>
      <c r="K9" s="6">
        <f t="shared" si="2"/>
        <v>17.952677580765794</v>
      </c>
      <c r="L9" s="7">
        <f t="shared" si="3"/>
        <v>2.5313275388879768E-2</v>
      </c>
      <c r="M9" s="7">
        <f t="shared" si="4"/>
        <v>0.1518796523332786</v>
      </c>
      <c r="N9" s="7">
        <f t="shared" si="5"/>
        <v>0.12150372186662289</v>
      </c>
      <c r="O9" s="8"/>
      <c r="P9" s="26"/>
      <c r="R9" s="9">
        <v>7</v>
      </c>
      <c r="S9" s="10">
        <f t="shared" si="1"/>
        <v>2.2988528101336101</v>
      </c>
      <c r="W9" s="3" t="s">
        <v>23</v>
      </c>
      <c r="X9" s="13">
        <f>X8/X6</f>
        <v>0.54024524202440638</v>
      </c>
    </row>
    <row r="10" spans="1:30" x14ac:dyDescent="0.3">
      <c r="A10" s="3" t="s">
        <v>40</v>
      </c>
      <c r="B10" s="3">
        <f>ROUNDUP(B3/B4,0)</f>
        <v>50</v>
      </c>
      <c r="E10" s="9">
        <f>IF(DADOS!C10="","",DADOS!C10)</f>
        <v>1</v>
      </c>
      <c r="F10" s="9">
        <f>IF(DADOS!E10="","",DADOS!E10)</f>
        <v>28.7</v>
      </c>
      <c r="G10" s="9">
        <f>IF(DADOS!F10="","",DADOS!F10)</f>
        <v>5</v>
      </c>
      <c r="K10" s="6">
        <f t="shared" si="2"/>
        <v>9.1354937334747923</v>
      </c>
      <c r="L10" s="7">
        <f t="shared" si="3"/>
        <v>6.5547167537681628E-3</v>
      </c>
      <c r="M10" s="7">
        <f t="shared" si="4"/>
        <v>3.2773583768840812E-2</v>
      </c>
      <c r="N10" s="7">
        <f t="shared" si="5"/>
        <v>2.6218867015072651E-2</v>
      </c>
      <c r="O10" s="8"/>
      <c r="P10" s="26"/>
      <c r="R10" s="9">
        <v>8</v>
      </c>
      <c r="S10" s="10">
        <f t="shared" si="1"/>
        <v>3.2163998373416716</v>
      </c>
    </row>
    <row r="11" spans="1:30" x14ac:dyDescent="0.3">
      <c r="A11" s="3" t="s">
        <v>6</v>
      </c>
      <c r="B11" s="3">
        <f>B8*B9</f>
        <v>0.3</v>
      </c>
      <c r="E11" s="9">
        <f>IF(DADOS!C11="","",DADOS!C11)</f>
        <v>1</v>
      </c>
      <c r="F11" s="9">
        <f>IF(DADOS!E11="","",DADOS!E11)</f>
        <v>16.600000000000001</v>
      </c>
      <c r="G11" s="9">
        <f>IF(DADOS!F11="","",DADOS!F11)</f>
        <v>4</v>
      </c>
      <c r="K11" s="6">
        <f t="shared" si="2"/>
        <v>5.2839441106509257</v>
      </c>
      <c r="L11" s="7">
        <f t="shared" si="3"/>
        <v>2.1928368059201345E-3</v>
      </c>
      <c r="M11" s="7">
        <f t="shared" si="4"/>
        <v>8.7713472236805382E-3</v>
      </c>
      <c r="N11" s="7">
        <f t="shared" si="5"/>
        <v>7.0170777789444307E-3</v>
      </c>
      <c r="O11" s="8"/>
      <c r="P11" s="26"/>
      <c r="R11" s="9">
        <v>9</v>
      </c>
      <c r="S11" s="10">
        <f t="shared" si="1"/>
        <v>3.487222192056501</v>
      </c>
    </row>
    <row r="12" spans="1:30" ht="15" thickBot="1" x14ac:dyDescent="0.35">
      <c r="A12" s="28" t="s">
        <v>17</v>
      </c>
      <c r="B12" s="29">
        <f>ROUNDUP(B8/B10,2)</f>
        <v>0.6</v>
      </c>
      <c r="E12" s="9">
        <f>IF(DADOS!C12="","",DADOS!C12)</f>
        <v>1</v>
      </c>
      <c r="F12" s="9">
        <f>IF(DADOS!E12="","",DADOS!E12)</f>
        <v>22</v>
      </c>
      <c r="G12" s="9">
        <f>IF(DADOS!F12="","",DADOS!F12)</f>
        <v>4</v>
      </c>
      <c r="K12" s="6">
        <f t="shared" si="2"/>
        <v>7.0028174960433951</v>
      </c>
      <c r="L12" s="7">
        <f t="shared" si="3"/>
        <v>3.8515496228238677E-3</v>
      </c>
      <c r="M12" s="7">
        <f t="shared" si="4"/>
        <v>1.5406198491295471E-2</v>
      </c>
      <c r="N12" s="7">
        <f t="shared" si="5"/>
        <v>1.2324958793036377E-2</v>
      </c>
      <c r="O12" s="8"/>
      <c r="P12" s="26"/>
      <c r="R12" s="9">
        <v>10</v>
      </c>
      <c r="S12" s="10">
        <f t="shared" si="1"/>
        <v>6.6984803188770643</v>
      </c>
      <c r="W12" s="3" t="s">
        <v>24</v>
      </c>
      <c r="X12" s="11">
        <f>IF(X4&gt;=0.98,X7/B8,X4*X7/B8)</f>
        <v>8.1759384527388332E-2</v>
      </c>
    </row>
    <row r="13" spans="1:30" x14ac:dyDescent="0.3">
      <c r="E13" s="9">
        <f>IF(DADOS!C13="","",DADOS!C13)</f>
        <v>1</v>
      </c>
      <c r="F13" s="9">
        <f>IF(DADOS!E13="","",DADOS!E13)</f>
        <v>45</v>
      </c>
      <c r="G13" s="9">
        <f>IF(DADOS!F13="","",DADOS!F13)</f>
        <v>6</v>
      </c>
      <c r="K13" s="6">
        <f t="shared" si="2"/>
        <v>14.323944878270581</v>
      </c>
      <c r="L13" s="7">
        <f t="shared" si="3"/>
        <v>1.6114437988054404E-2</v>
      </c>
      <c r="M13" s="7">
        <f t="shared" si="4"/>
        <v>9.6686627928326427E-2</v>
      </c>
      <c r="N13" s="7">
        <f t="shared" si="5"/>
        <v>7.7349302342661144E-2</v>
      </c>
      <c r="O13" s="8"/>
      <c r="P13" s="26"/>
      <c r="R13" s="9">
        <v>11</v>
      </c>
      <c r="S13" s="10">
        <f t="shared" si="1"/>
        <v>9.1913529804715299</v>
      </c>
      <c r="W13" s="3" t="s">
        <v>25</v>
      </c>
      <c r="X13" s="11">
        <f>SQRT(X12)</f>
        <v>0.28593597977062685</v>
      </c>
    </row>
    <row r="14" spans="1:30" x14ac:dyDescent="0.3">
      <c r="E14" s="9">
        <f>IF(DADOS!C14="","",DADOS!C14)</f>
        <v>1</v>
      </c>
      <c r="F14" s="9">
        <f>IF(DADOS!E14="","",DADOS!E14)</f>
        <v>52</v>
      </c>
      <c r="G14" s="9">
        <f>IF(DADOS!F14="","",DADOS!F14)</f>
        <v>5</v>
      </c>
      <c r="K14" s="6">
        <f t="shared" si="2"/>
        <v>16.552114081557114</v>
      </c>
      <c r="L14" s="7">
        <f t="shared" si="3"/>
        <v>2.1517748306024247E-2</v>
      </c>
      <c r="M14" s="7">
        <f t="shared" si="4"/>
        <v>0.10758874153012124</v>
      </c>
      <c r="N14" s="7">
        <f t="shared" si="5"/>
        <v>8.6070993224097003E-2</v>
      </c>
      <c r="O14" s="8"/>
      <c r="P14" s="26"/>
      <c r="R14" s="9">
        <v>12</v>
      </c>
      <c r="S14" s="10">
        <f t="shared" si="1"/>
        <v>4.7168037151690072</v>
      </c>
      <c r="W14" s="3" t="s">
        <v>26</v>
      </c>
      <c r="X14" s="11">
        <f>_xlfn.T.INV.2T(1-B6,B8-1)</f>
        <v>1.6991270265334986</v>
      </c>
      <c r="Y14" s="14"/>
    </row>
    <row r="15" spans="1:30" x14ac:dyDescent="0.3">
      <c r="E15" s="9">
        <f>IF(DADOS!C15="","",DADOS!C15)</f>
        <v>1</v>
      </c>
      <c r="F15" s="9">
        <f>IF(DADOS!E15="","",DADOS!E15)</f>
        <v>21.5</v>
      </c>
      <c r="G15" s="9">
        <f>IF(DADOS!F15="","",DADOS!F15)</f>
        <v>3</v>
      </c>
      <c r="K15" s="6">
        <f t="shared" si="2"/>
        <v>6.8436625529514998</v>
      </c>
      <c r="L15" s="7">
        <f t="shared" si="3"/>
        <v>3.6784686222114311E-3</v>
      </c>
      <c r="M15" s="7">
        <f t="shared" si="4"/>
        <v>1.1035405866634294E-2</v>
      </c>
      <c r="N15" s="7">
        <f t="shared" si="5"/>
        <v>8.828324693307436E-3</v>
      </c>
      <c r="O15" s="8"/>
      <c r="P15" s="26"/>
      <c r="R15" s="9">
        <v>13</v>
      </c>
      <c r="S15" s="10">
        <f t="shared" si="1"/>
        <v>3.0341010025944022</v>
      </c>
      <c r="AD15" s="15"/>
    </row>
    <row r="16" spans="1:30" ht="16.8" thickBot="1" x14ac:dyDescent="0.35">
      <c r="A16" s="9"/>
      <c r="E16" s="9">
        <f>IF(DADOS!C16="","",DADOS!C16)</f>
        <v>1</v>
      </c>
      <c r="F16" s="9">
        <f>IF(DADOS!E16="","",DADOS!E16)</f>
        <v>46.5</v>
      </c>
      <c r="G16" s="9">
        <f>IF(DADOS!F16="","",DADOS!F16)</f>
        <v>8</v>
      </c>
      <c r="K16" s="6">
        <f t="shared" si="2"/>
        <v>14.801409707546267</v>
      </c>
      <c r="L16" s="7">
        <f t="shared" si="3"/>
        <v>1.7206638785022533E-2</v>
      </c>
      <c r="M16" s="7">
        <f t="shared" si="4"/>
        <v>0.13765311028018026</v>
      </c>
      <c r="N16" s="7">
        <f t="shared" si="5"/>
        <v>0.11012248822414422</v>
      </c>
      <c r="O16" s="8"/>
      <c r="P16" s="26"/>
      <c r="R16" s="9">
        <v>14</v>
      </c>
      <c r="S16" s="10">
        <f t="shared" si="1"/>
        <v>2.4824202752984621</v>
      </c>
      <c r="W16" s="3" t="s">
        <v>27</v>
      </c>
      <c r="X16" s="8">
        <f>X14*X13</f>
        <v>0.48584155108660781</v>
      </c>
      <c r="Y16" s="3" t="s">
        <v>28</v>
      </c>
    </row>
    <row r="17" spans="1:25" ht="15" thickBot="1" x14ac:dyDescent="0.35">
      <c r="A17" s="16" t="str">
        <f>IF(X17&lt;=0.2,"Atingiu a suficiência", "Não atingiu a suficiência")</f>
        <v>Atingiu a suficiência</v>
      </c>
      <c r="E17" s="9">
        <f>IF(DADOS!C17="","",DADOS!C17)</f>
        <v>1</v>
      </c>
      <c r="F17" s="9">
        <f>IF(DADOS!E17="","",DADOS!E17)</f>
        <v>149.5</v>
      </c>
      <c r="G17" s="9">
        <f>IF(DADOS!F17="","",DADOS!F17)</f>
        <v>10</v>
      </c>
      <c r="K17" s="6">
        <f t="shared" si="2"/>
        <v>47.587327984476708</v>
      </c>
      <c r="L17" s="7">
        <f t="shared" si="3"/>
        <v>0.17785763834198171</v>
      </c>
      <c r="M17" s="7">
        <f t="shared" si="4"/>
        <v>1.7785763834198169</v>
      </c>
      <c r="N17" s="7">
        <f t="shared" si="5"/>
        <v>1.4228611067358536</v>
      </c>
      <c r="O17" s="8"/>
      <c r="P17" s="26"/>
      <c r="R17" s="9">
        <v>15</v>
      </c>
      <c r="S17" s="10">
        <f t="shared" si="1"/>
        <v>3.9982150727425578</v>
      </c>
      <c r="W17" s="3" t="s">
        <v>29</v>
      </c>
      <c r="X17" s="17">
        <f>X14*X13/X6</f>
        <v>0.1059951922505364</v>
      </c>
    </row>
    <row r="18" spans="1:25" x14ac:dyDescent="0.3">
      <c r="E18" s="9">
        <f>IF(DADOS!C18="","",DADOS!C18)</f>
        <v>1</v>
      </c>
      <c r="F18" s="9">
        <f>IF(DADOS!E18="","",DADOS!E18)</f>
        <v>53.1</v>
      </c>
      <c r="G18" s="9">
        <f>IF(DADOS!F18="","",DADOS!F18)</f>
        <v>8</v>
      </c>
      <c r="K18" s="6">
        <f t="shared" si="2"/>
        <v>16.902254956359286</v>
      </c>
      <c r="L18" s="7">
        <f t="shared" si="3"/>
        <v>2.2437743454566957E-2</v>
      </c>
      <c r="M18" s="7">
        <f t="shared" si="4"/>
        <v>0.17950194763653565</v>
      </c>
      <c r="N18" s="7">
        <f t="shared" si="5"/>
        <v>0.14360155810922853</v>
      </c>
      <c r="O18" s="8"/>
      <c r="P18" s="26"/>
      <c r="R18" s="9">
        <v>16</v>
      </c>
      <c r="S18" s="10">
        <f t="shared" si="1"/>
        <v>7.8962537589506034</v>
      </c>
    </row>
    <row r="19" spans="1:25" ht="15.6" x14ac:dyDescent="0.3">
      <c r="E19" s="9">
        <f>IF(DADOS!C19="","",DADOS!C19)</f>
        <v>1</v>
      </c>
      <c r="F19" s="9">
        <f>IF(DADOS!E19="","",DADOS!E19)</f>
        <v>96.4</v>
      </c>
      <c r="G19" s="9">
        <f>IF(DADOS!F19="","",DADOS!F19)</f>
        <v>9</v>
      </c>
      <c r="K19" s="6">
        <f t="shared" si="2"/>
        <v>30.685073028117422</v>
      </c>
      <c r="L19" s="7">
        <f t="shared" si="3"/>
        <v>7.3951025997762987E-2</v>
      </c>
      <c r="M19" s="7">
        <f t="shared" si="4"/>
        <v>0.66555923397986683</v>
      </c>
      <c r="N19" s="7">
        <f t="shared" si="5"/>
        <v>0.53244738718389351</v>
      </c>
      <c r="O19" s="8"/>
      <c r="P19" s="26"/>
      <c r="R19" s="9">
        <v>17</v>
      </c>
      <c r="S19" s="10">
        <f t="shared" si="1"/>
        <v>9.179831181183312</v>
      </c>
      <c r="W19" s="60"/>
      <c r="X19" s="60"/>
    </row>
    <row r="20" spans="1:25" ht="16.8" thickBot="1" x14ac:dyDescent="0.35">
      <c r="A20" s="9" t="s">
        <v>31</v>
      </c>
      <c r="E20" s="9">
        <f>IF(DADOS!C20="","",DADOS!C20)</f>
        <v>1</v>
      </c>
      <c r="F20" s="9">
        <f>IF(DADOS!E20="","",DADOS!E20)</f>
        <v>69</v>
      </c>
      <c r="G20" s="9">
        <f>IF(DADOS!F20="","",DADOS!F20)</f>
        <v>8</v>
      </c>
      <c r="K20" s="6">
        <f t="shared" si="2"/>
        <v>21.963382146681557</v>
      </c>
      <c r="L20" s="7">
        <f t="shared" si="3"/>
        <v>3.7886834203025681E-2</v>
      </c>
      <c r="M20" s="7">
        <f t="shared" si="4"/>
        <v>0.30309467362420545</v>
      </c>
      <c r="N20" s="7">
        <f t="shared" si="5"/>
        <v>0.24247573889936436</v>
      </c>
      <c r="O20" s="8"/>
      <c r="P20" s="26"/>
      <c r="R20" s="9">
        <v>18</v>
      </c>
      <c r="S20" s="10">
        <f t="shared" si="1"/>
        <v>8.0312405464691654</v>
      </c>
      <c r="W20" s="3" t="s">
        <v>30</v>
      </c>
      <c r="X20" s="11">
        <f>B5*X16/X17</f>
        <v>0.91672375090040781</v>
      </c>
      <c r="Y20" s="3" t="s">
        <v>28</v>
      </c>
    </row>
    <row r="21" spans="1:25" ht="15" thickBot="1" x14ac:dyDescent="0.35">
      <c r="A21" s="18">
        <f>X22</f>
        <v>15</v>
      </c>
      <c r="E21" s="9">
        <f>IF(DADOS!C21="","",DADOS!C21)</f>
        <v>2</v>
      </c>
      <c r="F21" s="9">
        <f>IF(DADOS!E21="","",DADOS!E21)</f>
        <v>24</v>
      </c>
      <c r="G21" s="9">
        <f>IF(DADOS!F21="","",DADOS!F21)</f>
        <v>7</v>
      </c>
      <c r="K21" s="6">
        <f t="shared" si="2"/>
        <v>7.6394372684109761</v>
      </c>
      <c r="L21" s="7">
        <f t="shared" si="3"/>
        <v>4.5836623610465855E-3</v>
      </c>
      <c r="M21" s="7">
        <f t="shared" si="4"/>
        <v>3.20856365273261E-2</v>
      </c>
      <c r="N21" s="7">
        <f t="shared" si="5"/>
        <v>2.5668509221860883E-2</v>
      </c>
      <c r="O21" s="8"/>
      <c r="P21" s="26"/>
      <c r="R21" s="9">
        <v>19</v>
      </c>
      <c r="S21" s="10">
        <f t="shared" si="1"/>
        <v>2.9499465149978321</v>
      </c>
    </row>
    <row r="22" spans="1:25" x14ac:dyDescent="0.3">
      <c r="E22" s="9">
        <f>IF(DADOS!C22="","",DADOS!C22)</f>
        <v>2</v>
      </c>
      <c r="F22" s="9">
        <f>IF(DADOS!E22="","",DADOS!E22)</f>
        <v>56.8</v>
      </c>
      <c r="G22" s="9">
        <f>IF(DADOS!F22="","",DADOS!F22)</f>
        <v>7</v>
      </c>
      <c r="K22" s="6">
        <f t="shared" si="2"/>
        <v>18.080001535239308</v>
      </c>
      <c r="L22" s="7">
        <f t="shared" si="3"/>
        <v>2.5673602180039813E-2</v>
      </c>
      <c r="M22" s="7">
        <f t="shared" si="4"/>
        <v>0.1797152152602787</v>
      </c>
      <c r="N22" s="7">
        <f t="shared" si="5"/>
        <v>0.14377217220822297</v>
      </c>
      <c r="O22" s="8"/>
      <c r="P22" s="26"/>
      <c r="R22" s="9">
        <v>20</v>
      </c>
      <c r="S22" s="10">
        <f t="shared" si="1"/>
        <v>5.4902948605672917</v>
      </c>
      <c r="W22" s="3" t="s">
        <v>31</v>
      </c>
      <c r="X22" s="3">
        <f>IF(X4&gt;=0.98,X23,X24)</f>
        <v>15</v>
      </c>
    </row>
    <row r="23" spans="1:25" x14ac:dyDescent="0.3">
      <c r="E23" s="9">
        <f>IF(DADOS!C23="","",DADOS!C23)</f>
        <v>2</v>
      </c>
      <c r="F23" s="9">
        <f>IF(DADOS!E23="","",DADOS!E23)</f>
        <v>36.799999999999997</v>
      </c>
      <c r="G23" s="9">
        <f>IF(DADOS!F23="","",DADOS!F23)</f>
        <v>7</v>
      </c>
      <c r="K23" s="6">
        <f t="shared" si="2"/>
        <v>11.713803811563496</v>
      </c>
      <c r="L23" s="7">
        <f t="shared" si="3"/>
        <v>1.0776699506638416E-2</v>
      </c>
      <c r="M23" s="7">
        <f t="shared" si="4"/>
        <v>7.5436896546468915E-2</v>
      </c>
      <c r="N23" s="7">
        <f t="shared" si="5"/>
        <v>6.0349517237175132E-2</v>
      </c>
      <c r="O23" s="8"/>
      <c r="P23" s="26"/>
      <c r="R23" s="9">
        <v>21</v>
      </c>
      <c r="S23" s="10">
        <f t="shared" si="1"/>
        <v>6.967872099836617</v>
      </c>
      <c r="W23" s="19" t="s">
        <v>33</v>
      </c>
      <c r="X23" s="19">
        <f>ROUNDUP((X14^2*X7/X20^2),0)</f>
        <v>22</v>
      </c>
    </row>
    <row r="24" spans="1:25" x14ac:dyDescent="0.3">
      <c r="E24" s="9">
        <f>IF(DADOS!C24="","",DADOS!C24)</f>
        <v>2</v>
      </c>
      <c r="F24" s="9">
        <f>IF(DADOS!E24="","",DADOS!E24)</f>
        <v>23.2</v>
      </c>
      <c r="G24" s="9">
        <f>IF(DADOS!F24="","",DADOS!F24)</f>
        <v>5</v>
      </c>
      <c r="K24" s="6">
        <f t="shared" si="2"/>
        <v>7.3847893594639435</v>
      </c>
      <c r="L24" s="7">
        <f t="shared" si="3"/>
        <v>4.2831778284890872E-3</v>
      </c>
      <c r="M24" s="7">
        <f t="shared" si="4"/>
        <v>2.1415889142445438E-2</v>
      </c>
      <c r="N24" s="7">
        <f t="shared" si="5"/>
        <v>1.7132711313956352E-2</v>
      </c>
      <c r="O24" s="8"/>
      <c r="P24" s="26"/>
      <c r="R24" s="9">
        <v>22</v>
      </c>
      <c r="S24" s="10">
        <f t="shared" si="1"/>
        <v>1.8319440279514598</v>
      </c>
      <c r="W24" s="19" t="s">
        <v>32</v>
      </c>
      <c r="X24" s="19">
        <f>ROUNDUP((X14^2*X7)/((X20^2)+(X14^2*X7/B10)),0)</f>
        <v>15</v>
      </c>
    </row>
    <row r="25" spans="1:25" x14ac:dyDescent="0.3">
      <c r="E25" s="9">
        <f>IF(DADOS!C25="","",DADOS!C25)</f>
        <v>2</v>
      </c>
      <c r="F25" s="9">
        <f>IF(DADOS!E25="","",DADOS!E25)</f>
        <v>18.5</v>
      </c>
      <c r="G25" s="9">
        <f>IF(DADOS!F25="","",DADOS!F25)</f>
        <v>5</v>
      </c>
      <c r="K25" s="6">
        <f t="shared" si="2"/>
        <v>5.8887328944001274</v>
      </c>
      <c r="L25" s="7">
        <f t="shared" si="3"/>
        <v>2.7235389636600586E-3</v>
      </c>
      <c r="M25" s="7">
        <f t="shared" si="4"/>
        <v>1.3617694818300293E-2</v>
      </c>
      <c r="N25" s="7">
        <f t="shared" si="5"/>
        <v>1.0894155854640236E-2</v>
      </c>
      <c r="O25" s="8"/>
      <c r="P25" s="26"/>
      <c r="R25" s="9">
        <v>23</v>
      </c>
      <c r="S25" s="10">
        <f t="shared" si="1"/>
        <v>3.3270723650491414</v>
      </c>
      <c r="W25" s="19"/>
      <c r="X25" s="19"/>
    </row>
    <row r="26" spans="1:25" x14ac:dyDescent="0.3">
      <c r="E26" s="9">
        <f>IF(DADOS!C26="","",DADOS!C26)</f>
        <v>2</v>
      </c>
      <c r="F26" s="9">
        <f>IF(DADOS!E26="","",DADOS!E26)</f>
        <v>18</v>
      </c>
      <c r="G26" s="9">
        <f>IF(DADOS!F26="","",DADOS!F26)</f>
        <v>3</v>
      </c>
      <c r="K26" s="6">
        <f t="shared" si="2"/>
        <v>5.7295779513082321</v>
      </c>
      <c r="L26" s="7">
        <f t="shared" si="3"/>
        <v>2.5783100780887042E-3</v>
      </c>
      <c r="M26" s="7">
        <f t="shared" si="4"/>
        <v>7.7349302342661127E-3</v>
      </c>
      <c r="N26" s="7">
        <f t="shared" si="5"/>
        <v>6.1879441874128907E-3</v>
      </c>
      <c r="O26" s="8"/>
      <c r="P26" s="26"/>
      <c r="R26" s="9">
        <v>24</v>
      </c>
      <c r="S26" s="10">
        <f t="shared" si="1"/>
        <v>7.2080018948748066</v>
      </c>
    </row>
    <row r="27" spans="1:25" x14ac:dyDescent="0.3">
      <c r="E27" s="9">
        <f>IF(DADOS!C27="","",DADOS!C27)</f>
        <v>2</v>
      </c>
      <c r="F27" s="9">
        <f>IF(DADOS!E27="","",DADOS!E27)</f>
        <v>17.2</v>
      </c>
      <c r="G27" s="9">
        <f>IF(DADOS!F27="","",DADOS!F27)</f>
        <v>3.5</v>
      </c>
      <c r="K27" s="6">
        <f t="shared" si="2"/>
        <v>5.4749300423611995</v>
      </c>
      <c r="L27" s="7">
        <f t="shared" si="3"/>
        <v>2.3542199182153157E-3</v>
      </c>
      <c r="M27" s="7">
        <f t="shared" si="4"/>
        <v>8.2397697137536058E-3</v>
      </c>
      <c r="N27" s="7">
        <f t="shared" si="5"/>
        <v>6.5918157710028848E-3</v>
      </c>
      <c r="O27" s="8"/>
      <c r="P27" s="26"/>
      <c r="R27" s="9">
        <v>25</v>
      </c>
      <c r="S27" s="10">
        <f t="shared" si="1"/>
        <v>1.4882651939796954</v>
      </c>
    </row>
    <row r="28" spans="1:25" x14ac:dyDescent="0.3">
      <c r="E28" s="9">
        <f>IF(DADOS!C28="","",DADOS!C28)</f>
        <v>2</v>
      </c>
      <c r="F28" s="9">
        <f>IF(DADOS!E28="","",DADOS!E28)</f>
        <v>19.600000000000001</v>
      </c>
      <c r="G28" s="9">
        <f>IF(DADOS!F28="","",DADOS!F28)</f>
        <v>4</v>
      </c>
      <c r="K28" s="6">
        <f t="shared" si="2"/>
        <v>6.2388737692022982</v>
      </c>
      <c r="L28" s="7">
        <f t="shared" si="3"/>
        <v>3.0570481469091261E-3</v>
      </c>
      <c r="M28" s="7">
        <f t="shared" si="4"/>
        <v>1.2228192587636504E-2</v>
      </c>
      <c r="N28" s="7">
        <f t="shared" si="5"/>
        <v>9.7825540701092038E-3</v>
      </c>
      <c r="O28" s="8"/>
      <c r="P28" s="26"/>
      <c r="R28" s="9">
        <v>26</v>
      </c>
      <c r="S28" s="10">
        <f t="shared" si="1"/>
        <v>4.9438305447565503</v>
      </c>
      <c r="X28" s="11"/>
    </row>
    <row r="29" spans="1:25" x14ac:dyDescent="0.3">
      <c r="E29" s="9">
        <f>IF(DADOS!C29="","",DADOS!C29)</f>
        <v>2</v>
      </c>
      <c r="F29" s="9">
        <f>IF(DADOS!E29="","",DADOS!E29)</f>
        <v>18</v>
      </c>
      <c r="G29" s="9">
        <f>IF(DADOS!F29="","",DADOS!F29)</f>
        <v>4</v>
      </c>
      <c r="K29" s="6">
        <f t="shared" si="2"/>
        <v>5.7295779513082321</v>
      </c>
      <c r="L29" s="7">
        <f t="shared" ref="L29:L67" si="6">IF(K29="","",(PI()*K29^2)/40000)</f>
        <v>2.5783100780887042E-3</v>
      </c>
      <c r="M29" s="7">
        <f t="shared" si="0"/>
        <v>1.0313240312354817E-2</v>
      </c>
      <c r="N29" s="7">
        <f t="shared" ref="N29:N67" si="7">IF(M29="","",M29*N$1)</f>
        <v>8.2505922498838542E-3</v>
      </c>
      <c r="O29" s="8"/>
      <c r="P29" s="26"/>
      <c r="R29" s="9">
        <v>27</v>
      </c>
      <c r="S29" s="10">
        <f t="shared" si="1"/>
        <v>2.1473741645949458</v>
      </c>
      <c r="X29" s="11"/>
    </row>
    <row r="30" spans="1:25" x14ac:dyDescent="0.3">
      <c r="E30" s="9">
        <f>IF(DADOS!C30="","",DADOS!C30)</f>
        <v>2</v>
      </c>
      <c r="F30" s="9">
        <f>IF(DADOS!E30="","",DADOS!E30)</f>
        <v>52</v>
      </c>
      <c r="G30" s="9">
        <f>IF(DADOS!F30="","",DADOS!F30)</f>
        <v>6</v>
      </c>
      <c r="K30" s="6">
        <f t="shared" si="2"/>
        <v>16.552114081557114</v>
      </c>
      <c r="L30" s="7">
        <f t="shared" si="6"/>
        <v>2.1517748306024247E-2</v>
      </c>
      <c r="M30" s="7">
        <f t="shared" si="0"/>
        <v>0.12910648983614548</v>
      </c>
      <c r="N30" s="7">
        <f t="shared" si="7"/>
        <v>0.10328519186891638</v>
      </c>
      <c r="O30" s="8"/>
      <c r="P30" s="26"/>
      <c r="R30" s="9">
        <v>28</v>
      </c>
      <c r="S30" s="10">
        <f t="shared" si="1"/>
        <v>4.3098823408975111</v>
      </c>
      <c r="X30" s="11"/>
    </row>
    <row r="31" spans="1:25" x14ac:dyDescent="0.3">
      <c r="E31" s="9">
        <f>IF(DADOS!C31="","",DADOS!C31)</f>
        <v>2</v>
      </c>
      <c r="F31" s="9">
        <f>IF(DADOS!E31="","",DADOS!E31)</f>
        <v>29</v>
      </c>
      <c r="G31" s="9">
        <f>IF(DADOS!F31="","",DADOS!F31)</f>
        <v>6</v>
      </c>
      <c r="K31" s="6">
        <f t="shared" si="2"/>
        <v>9.2309866993299305</v>
      </c>
      <c r="L31" s="7">
        <f t="shared" si="6"/>
        <v>6.6924653570142002E-3</v>
      </c>
      <c r="M31" s="7">
        <f t="shared" si="0"/>
        <v>4.0154792142085199E-2</v>
      </c>
      <c r="N31" s="7">
        <f t="shared" si="7"/>
        <v>3.2123833713668164E-2</v>
      </c>
      <c r="O31" s="8"/>
      <c r="P31" s="26"/>
      <c r="R31" s="9">
        <v>29</v>
      </c>
      <c r="S31" s="10">
        <f t="shared" si="1"/>
        <v>1.184110389279555</v>
      </c>
    </row>
    <row r="32" spans="1:25" x14ac:dyDescent="0.3">
      <c r="E32" s="9">
        <f>IF(DADOS!C32="","",DADOS!C32)</f>
        <v>2</v>
      </c>
      <c r="F32" s="9">
        <f>IF(DADOS!E32="","",DADOS!E32)</f>
        <v>46.5</v>
      </c>
      <c r="G32" s="9">
        <f>IF(DADOS!F32="","",DADOS!F32)</f>
        <v>8</v>
      </c>
      <c r="K32" s="6">
        <f t="shared" si="2"/>
        <v>14.801409707546267</v>
      </c>
      <c r="L32" s="7">
        <f t="shared" si="6"/>
        <v>1.7206638785022533E-2</v>
      </c>
      <c r="M32" s="7">
        <f t="shared" si="0"/>
        <v>0.13765311028018026</v>
      </c>
      <c r="N32" s="7">
        <f t="shared" si="7"/>
        <v>0.11012248822414422</v>
      </c>
      <c r="O32" s="8"/>
      <c r="P32" s="26"/>
      <c r="R32" s="9">
        <v>30</v>
      </c>
      <c r="S32" s="10">
        <f t="shared" si="1"/>
        <v>2.9407232313977469</v>
      </c>
    </row>
    <row r="33" spans="5:19" x14ac:dyDescent="0.3">
      <c r="E33" s="9">
        <f>IF(DADOS!C33="","",DADOS!C33)</f>
        <v>2</v>
      </c>
      <c r="F33" s="9">
        <f>IF(DADOS!E33="","",DADOS!E33)</f>
        <v>50.2</v>
      </c>
      <c r="G33" s="9">
        <f>IF(DADOS!F33="","",DADOS!F33)</f>
        <v>8</v>
      </c>
      <c r="K33" s="6">
        <f t="shared" si="2"/>
        <v>15.979156286426294</v>
      </c>
      <c r="L33" s="7">
        <f t="shared" si="6"/>
        <v>2.0053841139465001E-2</v>
      </c>
      <c r="M33" s="7">
        <f t="shared" si="0"/>
        <v>0.16043072911572001</v>
      </c>
      <c r="N33" s="7">
        <f t="shared" si="7"/>
        <v>0.128344583292576</v>
      </c>
      <c r="O33" s="8"/>
      <c r="P33" s="26"/>
      <c r="R33" s="9" t="str">
        <v/>
      </c>
      <c r="S33" s="10" t="str">
        <f t="shared" si="1"/>
        <v/>
      </c>
    </row>
    <row r="34" spans="5:19" x14ac:dyDescent="0.3">
      <c r="E34" s="9">
        <f>IF(DADOS!C34="","",DADOS!C34)</f>
        <v>2</v>
      </c>
      <c r="F34" s="9">
        <f>IF(DADOS!E34="","",DADOS!E34)</f>
        <v>39.5</v>
      </c>
      <c r="G34" s="9">
        <f>IF(DADOS!F34="","",DADOS!F34)</f>
        <v>8</v>
      </c>
      <c r="K34" s="6">
        <f t="shared" si="2"/>
        <v>12.573240504259733</v>
      </c>
      <c r="L34" s="7">
        <f t="shared" si="6"/>
        <v>1.2416074997956489E-2</v>
      </c>
      <c r="M34" s="7">
        <f t="shared" si="0"/>
        <v>9.9328599983651913E-2</v>
      </c>
      <c r="N34" s="7">
        <f t="shared" si="7"/>
        <v>7.9462879986921531E-2</v>
      </c>
      <c r="O34" s="8"/>
      <c r="P34" s="26"/>
      <c r="S34" s="10" t="str">
        <f t="shared" si="1"/>
        <v/>
      </c>
    </row>
    <row r="35" spans="5:19" x14ac:dyDescent="0.3">
      <c r="E35" s="9">
        <f>IF(DADOS!C35="","",DADOS!C35)</f>
        <v>2</v>
      </c>
      <c r="F35" s="9">
        <f>IF(DADOS!E35="","",DADOS!E35)</f>
        <v>65.2</v>
      </c>
      <c r="G35" s="9">
        <f>IF(DADOS!F35="","",DADOS!F35)</f>
        <v>9</v>
      </c>
      <c r="K35" s="6">
        <f t="shared" si="2"/>
        <v>20.753804579183154</v>
      </c>
      <c r="L35" s="7">
        <f t="shared" si="6"/>
        <v>3.3828701464068543E-2</v>
      </c>
      <c r="M35" s="7">
        <f t="shared" si="0"/>
        <v>0.30445831317661687</v>
      </c>
      <c r="N35" s="7">
        <f t="shared" si="7"/>
        <v>0.24356665054129351</v>
      </c>
      <c r="O35" s="8"/>
      <c r="P35" s="26"/>
      <c r="S35" s="10" t="str">
        <f t="shared" si="1"/>
        <v/>
      </c>
    </row>
    <row r="36" spans="5:19" x14ac:dyDescent="0.3">
      <c r="E36" s="9">
        <f>IF(DADOS!C36="","",DADOS!C36)</f>
        <v>2</v>
      </c>
      <c r="F36" s="9">
        <f>IF(DADOS!E36="","",DADOS!E36)</f>
        <v>85.2</v>
      </c>
      <c r="G36" s="9">
        <f>IF(DADOS!F36="","",DADOS!F36)</f>
        <v>10</v>
      </c>
      <c r="K36" s="6">
        <f t="shared" si="2"/>
        <v>27.120002302858968</v>
      </c>
      <c r="L36" s="7">
        <f t="shared" si="6"/>
        <v>5.7765604905089606E-2</v>
      </c>
      <c r="M36" s="7">
        <f t="shared" si="0"/>
        <v>0.57765604905089607</v>
      </c>
      <c r="N36" s="7">
        <f t="shared" si="7"/>
        <v>0.4621248392407169</v>
      </c>
      <c r="O36" s="8"/>
      <c r="P36" s="26"/>
      <c r="S36" s="10" t="str">
        <f t="shared" si="1"/>
        <v/>
      </c>
    </row>
    <row r="37" spans="5:19" x14ac:dyDescent="0.3">
      <c r="E37" s="9">
        <f>IF(DADOS!C37="","",DADOS!C37)</f>
        <v>2</v>
      </c>
      <c r="F37" s="9">
        <f>IF(DADOS!E37="","",DADOS!E37)</f>
        <v>64.2</v>
      </c>
      <c r="G37" s="9">
        <f>IF(DADOS!F37="","",DADOS!F37)</f>
        <v>8</v>
      </c>
      <c r="K37" s="6">
        <f t="shared" si="2"/>
        <v>20.435494692999363</v>
      </c>
      <c r="L37" s="7">
        <f t="shared" si="6"/>
        <v>3.2798968982263976E-2</v>
      </c>
      <c r="M37" s="7">
        <f t="shared" si="0"/>
        <v>0.26239175185811181</v>
      </c>
      <c r="N37" s="7">
        <f t="shared" si="7"/>
        <v>0.20991340148648946</v>
      </c>
      <c r="O37" s="8"/>
      <c r="P37" s="26"/>
      <c r="S37" s="10" t="str">
        <f t="shared" si="1"/>
        <v/>
      </c>
    </row>
    <row r="38" spans="5:19" x14ac:dyDescent="0.3">
      <c r="E38" s="9">
        <f>IF(DADOS!C38="","",DADOS!C38)</f>
        <v>2</v>
      </c>
      <c r="F38" s="9">
        <f>IF(DADOS!E38="","",DADOS!E38)</f>
        <v>85.2</v>
      </c>
      <c r="G38" s="9">
        <f>IF(DADOS!F38="","",DADOS!F38)</f>
        <v>9</v>
      </c>
      <c r="K38" s="6">
        <f t="shared" si="2"/>
        <v>27.120002302858968</v>
      </c>
      <c r="L38" s="7">
        <f t="shared" si="6"/>
        <v>5.7765604905089606E-2</v>
      </c>
      <c r="M38" s="7">
        <f t="shared" si="0"/>
        <v>0.51989044414580643</v>
      </c>
      <c r="N38" s="7">
        <f t="shared" si="7"/>
        <v>0.41591235531664517</v>
      </c>
      <c r="O38" s="8"/>
      <c r="P38" s="26"/>
      <c r="S38" s="10" t="str">
        <f t="shared" si="1"/>
        <v/>
      </c>
    </row>
    <row r="39" spans="5:19" x14ac:dyDescent="0.3">
      <c r="E39" s="9">
        <f>IF(DADOS!C39="","",DADOS!C39)</f>
        <v>2</v>
      </c>
      <c r="F39" s="9">
        <f>IF(DADOS!E39="","",DADOS!E39)</f>
        <v>55.1</v>
      </c>
      <c r="G39" s="9">
        <f>IF(DADOS!F39="","",DADOS!F39)</f>
        <v>10</v>
      </c>
      <c r="K39" s="6">
        <f t="shared" si="2"/>
        <v>17.538874728726867</v>
      </c>
      <c r="L39" s="7">
        <f t="shared" si="6"/>
        <v>2.4159799938821259E-2</v>
      </c>
      <c r="M39" s="7">
        <f t="shared" si="0"/>
        <v>0.24159799938821258</v>
      </c>
      <c r="N39" s="7">
        <f t="shared" si="7"/>
        <v>0.19327839951057008</v>
      </c>
      <c r="O39" s="8"/>
      <c r="P39" s="26"/>
      <c r="S39" s="10" t="str">
        <f t="shared" si="1"/>
        <v/>
      </c>
    </row>
    <row r="40" spans="5:19" x14ac:dyDescent="0.3">
      <c r="E40" s="9">
        <f>IF(DADOS!C40="","",DADOS!C40)</f>
        <v>2</v>
      </c>
      <c r="F40" s="9">
        <f>IF(DADOS!E40="","",DADOS!E40)</f>
        <v>77.5</v>
      </c>
      <c r="G40" s="9">
        <f>IF(DADOS!F40="","",DADOS!F40)</f>
        <v>9.5</v>
      </c>
      <c r="K40" s="6">
        <f t="shared" si="2"/>
        <v>24.669016179243776</v>
      </c>
      <c r="L40" s="7">
        <f t="shared" si="6"/>
        <v>4.7796218847284806E-2</v>
      </c>
      <c r="M40" s="7">
        <f t="shared" si="0"/>
        <v>0.45406407904920565</v>
      </c>
      <c r="N40" s="7">
        <f t="shared" si="7"/>
        <v>0.36325126323936452</v>
      </c>
      <c r="O40" s="8"/>
      <c r="P40" s="26"/>
      <c r="S40" s="10" t="str">
        <f t="shared" si="1"/>
        <v/>
      </c>
    </row>
    <row r="41" spans="5:19" x14ac:dyDescent="0.3">
      <c r="E41" s="9">
        <f>IF(DADOS!C41="","",DADOS!C41)</f>
        <v>2</v>
      </c>
      <c r="F41" s="9">
        <f>IF(DADOS!E41="","",DADOS!E41)</f>
        <v>60</v>
      </c>
      <c r="G41" s="9">
        <f>IF(DADOS!F41="","",DADOS!F41)</f>
        <v>9</v>
      </c>
      <c r="K41" s="6">
        <f t="shared" si="2"/>
        <v>19.098593171027442</v>
      </c>
      <c r="L41" s="7">
        <f t="shared" si="6"/>
        <v>2.8647889756541166E-2</v>
      </c>
      <c r="M41" s="7">
        <f t="shared" si="0"/>
        <v>0.25783100780887047</v>
      </c>
      <c r="N41" s="7">
        <f t="shared" si="7"/>
        <v>0.20626480624709639</v>
      </c>
      <c r="O41" s="8"/>
      <c r="P41" s="26"/>
      <c r="S41" s="10" t="str">
        <f t="shared" si="1"/>
        <v/>
      </c>
    </row>
    <row r="42" spans="5:19" x14ac:dyDescent="0.3">
      <c r="E42" s="9">
        <f>IF(DADOS!C42="","",DADOS!C42)</f>
        <v>2</v>
      </c>
      <c r="F42" s="9">
        <f>IF(DADOS!E42="","",DADOS!E42)</f>
        <v>76.5</v>
      </c>
      <c r="G42" s="9">
        <f>IF(DADOS!F42="","",DADOS!F42)</f>
        <v>9</v>
      </c>
      <c r="K42" s="6">
        <f t="shared" si="2"/>
        <v>24.350706293059986</v>
      </c>
      <c r="L42" s="7">
        <f t="shared" si="6"/>
        <v>4.6570725785477218E-2</v>
      </c>
      <c r="M42" s="7">
        <f t="shared" si="0"/>
        <v>0.41913653206929496</v>
      </c>
      <c r="N42" s="7">
        <f t="shared" si="7"/>
        <v>0.33530922565543597</v>
      </c>
      <c r="O42" s="8"/>
      <c r="P42" s="26"/>
      <c r="S42" s="10" t="str">
        <f t="shared" si="1"/>
        <v/>
      </c>
    </row>
    <row r="43" spans="5:19" x14ac:dyDescent="0.3">
      <c r="E43" s="9">
        <f>IF(DADOS!C43="","",DADOS!C43)</f>
        <v>2</v>
      </c>
      <c r="F43" s="9">
        <f>IF(DADOS!E43="","",DADOS!E43)</f>
        <v>71.7</v>
      </c>
      <c r="G43" s="9">
        <f>IF(DADOS!F43="","",DADOS!F43)</f>
        <v>10</v>
      </c>
      <c r="K43" s="6">
        <f t="shared" si="2"/>
        <v>22.822818839377792</v>
      </c>
      <c r="L43" s="7">
        <f t="shared" si="6"/>
        <v>4.0909902769584693E-2</v>
      </c>
      <c r="M43" s="7">
        <f t="shared" si="0"/>
        <v>0.40909902769584694</v>
      </c>
      <c r="N43" s="7">
        <f t="shared" si="7"/>
        <v>0.3272792221566776</v>
      </c>
      <c r="O43" s="8"/>
      <c r="P43" s="26"/>
      <c r="S43" s="10" t="str">
        <f t="shared" si="1"/>
        <v/>
      </c>
    </row>
    <row r="44" spans="5:19" x14ac:dyDescent="0.3">
      <c r="E44" s="9">
        <f>IF(DADOS!C44="","",DADOS!C44)</f>
        <v>2</v>
      </c>
      <c r="F44" s="9">
        <f>IF(DADOS!E44="","",DADOS!E44)</f>
        <v>92.5</v>
      </c>
      <c r="G44" s="9">
        <f>IF(DADOS!F44="","",DADOS!F44)</f>
        <v>8.5</v>
      </c>
      <c r="K44" s="6">
        <f t="shared" si="2"/>
        <v>29.443664472000638</v>
      </c>
      <c r="L44" s="7">
        <f t="shared" si="6"/>
        <v>6.8088474091501469E-2</v>
      </c>
      <c r="M44" s="7">
        <f t="shared" si="0"/>
        <v>0.57875202977776252</v>
      </c>
      <c r="N44" s="7">
        <f t="shared" si="7"/>
        <v>0.46300162382221005</v>
      </c>
      <c r="O44" s="8"/>
      <c r="P44" s="26"/>
      <c r="S44" s="10" t="str">
        <f t="shared" si="1"/>
        <v/>
      </c>
    </row>
    <row r="45" spans="5:19" x14ac:dyDescent="0.3">
      <c r="E45" s="9">
        <f>IF(DADOS!C45="","",DADOS!C45)</f>
        <v>3</v>
      </c>
      <c r="F45" s="9">
        <f>IF(DADOS!E45="","",DADOS!E45)</f>
        <v>112.5</v>
      </c>
      <c r="G45" s="9">
        <f>IF(DADOS!F45="","",DADOS!F45)</f>
        <v>11</v>
      </c>
      <c r="K45" s="6">
        <f t="shared" si="2"/>
        <v>35.809862195676452</v>
      </c>
      <c r="L45" s="7">
        <f t="shared" si="6"/>
        <v>0.10071523742534003</v>
      </c>
      <c r="M45" s="7">
        <f t="shared" si="0"/>
        <v>1.1078676116787403</v>
      </c>
      <c r="N45" s="7">
        <f t="shared" si="7"/>
        <v>0.88629408934299225</v>
      </c>
      <c r="O45" s="8"/>
      <c r="P45" s="26"/>
      <c r="S45" s="10" t="str">
        <f t="shared" si="1"/>
        <v/>
      </c>
    </row>
    <row r="46" spans="5:19" x14ac:dyDescent="0.3">
      <c r="E46" s="9">
        <f>IF(DADOS!C46="","",DADOS!C46)</f>
        <v>3</v>
      </c>
      <c r="F46" s="9">
        <f>IF(DADOS!E46="","",DADOS!E46)</f>
        <v>59</v>
      </c>
      <c r="G46" s="9">
        <f>IF(DADOS!F46="","",DADOS!F46)</f>
        <v>13</v>
      </c>
      <c r="K46" s="6">
        <f t="shared" si="2"/>
        <v>18.780283284843652</v>
      </c>
      <c r="L46" s="7">
        <f t="shared" si="6"/>
        <v>2.7700917845144387E-2</v>
      </c>
      <c r="M46" s="7">
        <f t="shared" si="0"/>
        <v>0.36011193198687702</v>
      </c>
      <c r="N46" s="7">
        <f t="shared" si="7"/>
        <v>0.28808954558950162</v>
      </c>
      <c r="O46" s="8"/>
      <c r="P46" s="26"/>
      <c r="S46" s="10" t="str">
        <f t="shared" si="1"/>
        <v/>
      </c>
    </row>
    <row r="47" spans="5:19" x14ac:dyDescent="0.3">
      <c r="E47" s="9">
        <f>IF(DADOS!C47="","",DADOS!C47)</f>
        <v>3</v>
      </c>
      <c r="F47" s="9">
        <f>IF(DADOS!E47="","",DADOS!E47)</f>
        <v>25.5</v>
      </c>
      <c r="G47" s="9">
        <f>IF(DADOS!F47="","",DADOS!F47)</f>
        <v>7</v>
      </c>
      <c r="K47" s="6">
        <f t="shared" si="2"/>
        <v>8.1169020976866619</v>
      </c>
      <c r="L47" s="7">
        <f t="shared" si="6"/>
        <v>5.1745250872752471E-3</v>
      </c>
      <c r="M47" s="7">
        <f t="shared" si="0"/>
        <v>3.6221675610926728E-2</v>
      </c>
      <c r="N47" s="7">
        <f t="shared" si="7"/>
        <v>2.8977340488741385E-2</v>
      </c>
      <c r="O47" s="8"/>
      <c r="P47" s="26"/>
      <c r="S47" s="10" t="str">
        <f t="shared" si="1"/>
        <v/>
      </c>
    </row>
    <row r="48" spans="5:19" x14ac:dyDescent="0.3">
      <c r="E48" s="9">
        <f>IF(DADOS!C48="","",DADOS!C48)</f>
        <v>3</v>
      </c>
      <c r="F48" s="9">
        <f>IF(DADOS!E48="","",DADOS!E48)</f>
        <v>26.1</v>
      </c>
      <c r="G48" s="9">
        <f>IF(DADOS!F48="","",DADOS!F48)</f>
        <v>7</v>
      </c>
      <c r="K48" s="6">
        <f t="shared" si="2"/>
        <v>8.3078880293969366</v>
      </c>
      <c r="L48" s="7">
        <f t="shared" si="6"/>
        <v>5.4208969391815014E-3</v>
      </c>
      <c r="M48" s="7">
        <f t="shared" si="0"/>
        <v>3.7946278574270506E-2</v>
      </c>
      <c r="N48" s="7">
        <f t="shared" si="7"/>
        <v>3.0357022859416407E-2</v>
      </c>
      <c r="O48" s="8"/>
      <c r="P48" s="26"/>
      <c r="S48" s="10" t="str">
        <f t="shared" si="1"/>
        <v/>
      </c>
    </row>
    <row r="49" spans="5:19" x14ac:dyDescent="0.3">
      <c r="E49" s="9">
        <f>IF(DADOS!C49="","",DADOS!C49)</f>
        <v>3</v>
      </c>
      <c r="F49" s="9">
        <f>IF(DADOS!E49="","",DADOS!E49)</f>
        <v>108.6</v>
      </c>
      <c r="G49" s="9">
        <f>IF(DADOS!F49="","",DADOS!F49)</f>
        <v>7</v>
      </c>
      <c r="K49" s="6">
        <f t="shared" si="2"/>
        <v>34.568453639559664</v>
      </c>
      <c r="L49" s="7">
        <f t="shared" si="6"/>
        <v>9.3853351631404472E-2</v>
      </c>
      <c r="M49" s="7">
        <f t="shared" si="0"/>
        <v>0.65697346141983126</v>
      </c>
      <c r="N49" s="7">
        <f t="shared" si="7"/>
        <v>0.52557876913586499</v>
      </c>
      <c r="O49" s="8"/>
      <c r="P49" s="26"/>
      <c r="S49" s="10" t="str">
        <f t="shared" si="1"/>
        <v/>
      </c>
    </row>
    <row r="50" spans="5:19" x14ac:dyDescent="0.3">
      <c r="E50" s="9">
        <f>IF(DADOS!C50="","",DADOS!C50)</f>
        <v>3</v>
      </c>
      <c r="F50" s="9">
        <f>IF(DADOS!E50="","",DADOS!E50)</f>
        <v>72</v>
      </c>
      <c r="G50" s="9">
        <f>IF(DADOS!F50="","",DADOS!F50)</f>
        <v>7.5</v>
      </c>
      <c r="K50" s="6">
        <f t="shared" si="2"/>
        <v>22.918311805232928</v>
      </c>
      <c r="L50" s="7">
        <f t="shared" si="6"/>
        <v>4.1252961249419268E-2</v>
      </c>
      <c r="M50" s="7">
        <f t="shared" si="0"/>
        <v>0.30939720937064452</v>
      </c>
      <c r="N50" s="7">
        <f t="shared" si="7"/>
        <v>0.24751776749651563</v>
      </c>
      <c r="O50" s="8"/>
      <c r="P50" s="26"/>
      <c r="S50" s="10" t="str">
        <f t="shared" si="1"/>
        <v/>
      </c>
    </row>
    <row r="51" spans="5:19" x14ac:dyDescent="0.3">
      <c r="E51" s="9">
        <f>IF(DADOS!C51="","",DADOS!C51)</f>
        <v>3</v>
      </c>
      <c r="F51" s="9">
        <f>IF(DADOS!E51="","",DADOS!E51)</f>
        <v>26.8</v>
      </c>
      <c r="G51" s="9">
        <f>IF(DADOS!F51="","",DADOS!F51)</f>
        <v>7</v>
      </c>
      <c r="K51" s="6">
        <f t="shared" si="2"/>
        <v>8.5307049497255907</v>
      </c>
      <c r="L51" s="7">
        <f t="shared" si="6"/>
        <v>5.7155723163161464E-3</v>
      </c>
      <c r="M51" s="7">
        <f t="shared" si="0"/>
        <v>4.0009006214213022E-2</v>
      </c>
      <c r="N51" s="7">
        <f t="shared" si="7"/>
        <v>3.2007204971370419E-2</v>
      </c>
      <c r="O51" s="8"/>
      <c r="P51" s="26"/>
      <c r="S51" s="10" t="str">
        <f t="shared" si="1"/>
        <v/>
      </c>
    </row>
    <row r="52" spans="5:19" x14ac:dyDescent="0.3">
      <c r="E52" s="9">
        <f>IF(DADOS!C52="","",DADOS!C52)</f>
        <v>3</v>
      </c>
      <c r="F52" s="9">
        <f>IF(DADOS!E52="","",DADOS!E52)</f>
        <v>49</v>
      </c>
      <c r="G52" s="9">
        <f>IF(DADOS!F52="","",DADOS!F52)</f>
        <v>7</v>
      </c>
      <c r="K52" s="6">
        <f t="shared" si="2"/>
        <v>15.597184423005743</v>
      </c>
      <c r="L52" s="7">
        <f t="shared" si="6"/>
        <v>1.9106550918182034E-2</v>
      </c>
      <c r="M52" s="7">
        <f t="shared" si="0"/>
        <v>0.13374585642727424</v>
      </c>
      <c r="N52" s="7">
        <f t="shared" si="7"/>
        <v>0.1069966851418194</v>
      </c>
      <c r="O52" s="8"/>
      <c r="P52" s="26"/>
      <c r="S52" s="10" t="str">
        <f t="shared" si="1"/>
        <v/>
      </c>
    </row>
    <row r="53" spans="5:19" x14ac:dyDescent="0.3">
      <c r="E53" s="9">
        <f>IF(DADOS!C53="","",DADOS!C53)</f>
        <v>3</v>
      </c>
      <c r="F53" s="9">
        <f>IF(DADOS!E53="","",DADOS!E53)</f>
        <v>36.200000000000003</v>
      </c>
      <c r="G53" s="9">
        <f>IF(DADOS!F53="","",DADOS!F53)</f>
        <v>7</v>
      </c>
      <c r="K53" s="6">
        <f t="shared" si="2"/>
        <v>11.522817879853223</v>
      </c>
      <c r="L53" s="7">
        <f t="shared" si="6"/>
        <v>1.0428150181267167E-2</v>
      </c>
      <c r="M53" s="7">
        <f t="shared" si="0"/>
        <v>7.2997051268870169E-2</v>
      </c>
      <c r="N53" s="7">
        <f t="shared" si="7"/>
        <v>5.839764101509614E-2</v>
      </c>
      <c r="O53" s="8"/>
      <c r="P53" s="26"/>
      <c r="S53" s="10" t="str">
        <f t="shared" si="1"/>
        <v/>
      </c>
    </row>
    <row r="54" spans="5:19" x14ac:dyDescent="0.3">
      <c r="E54" s="9">
        <f>IF(DADOS!C54="","",DADOS!C54)</f>
        <v>3</v>
      </c>
      <c r="F54" s="9">
        <f>IF(DADOS!E54="","",DADOS!E54)</f>
        <v>49.4</v>
      </c>
      <c r="G54" s="9">
        <f>IF(DADOS!F54="","",DADOS!F54)</f>
        <v>7</v>
      </c>
      <c r="K54" s="6">
        <f t="shared" si="2"/>
        <v>15.724508377479259</v>
      </c>
      <c r="L54" s="7">
        <f t="shared" si="6"/>
        <v>1.9419767846186882E-2</v>
      </c>
      <c r="M54" s="7">
        <f t="shared" si="0"/>
        <v>0.13593837492330818</v>
      </c>
      <c r="N54" s="7">
        <f t="shared" si="7"/>
        <v>0.10875069993864656</v>
      </c>
      <c r="O54" s="8"/>
      <c r="P54" s="26"/>
      <c r="S54" s="10" t="str">
        <f t="shared" si="1"/>
        <v/>
      </c>
    </row>
    <row r="55" spans="5:19" x14ac:dyDescent="0.3">
      <c r="E55" s="9">
        <f>IF(DADOS!C55="","",DADOS!C55)</f>
        <v>3</v>
      </c>
      <c r="F55" s="9">
        <f>IF(DADOS!E55="","",DADOS!E55)</f>
        <v>17.600000000000001</v>
      </c>
      <c r="G55" s="9">
        <f>IF(DADOS!F55="","",DADOS!F55)</f>
        <v>5</v>
      </c>
      <c r="K55" s="6">
        <f t="shared" si="2"/>
        <v>5.6022539968347163</v>
      </c>
      <c r="L55" s="7">
        <f t="shared" si="6"/>
        <v>2.4649917586072752E-3</v>
      </c>
      <c r="M55" s="7">
        <f t="shared" si="0"/>
        <v>1.2324958793036377E-2</v>
      </c>
      <c r="N55" s="7">
        <f t="shared" si="7"/>
        <v>9.8599670344291027E-3</v>
      </c>
      <c r="O55" s="8"/>
      <c r="P55" s="26"/>
      <c r="S55" s="10" t="str">
        <f t="shared" si="1"/>
        <v/>
      </c>
    </row>
    <row r="56" spans="5:19" x14ac:dyDescent="0.3">
      <c r="E56" s="9">
        <f>IF(DADOS!C56="","",DADOS!C56)</f>
        <v>3</v>
      </c>
      <c r="F56" s="9">
        <f>IF(DADOS!E56="","",DADOS!E56)</f>
        <v>53</v>
      </c>
      <c r="G56" s="9">
        <f>IF(DADOS!F56="","",DADOS!F56)</f>
        <v>5.5</v>
      </c>
      <c r="K56" s="6">
        <f t="shared" si="2"/>
        <v>16.870423967740905</v>
      </c>
      <c r="L56" s="7">
        <f t="shared" si="6"/>
        <v>2.2353311757256696E-2</v>
      </c>
      <c r="M56" s="7">
        <f t="shared" si="0"/>
        <v>0.12294321466491183</v>
      </c>
      <c r="N56" s="7">
        <f t="shared" si="7"/>
        <v>9.8354571731929463E-2</v>
      </c>
      <c r="O56" s="8"/>
      <c r="P56" s="26"/>
      <c r="S56" s="10" t="str">
        <f t="shared" si="1"/>
        <v/>
      </c>
    </row>
    <row r="57" spans="5:19" x14ac:dyDescent="0.3">
      <c r="E57" s="9">
        <f>IF(DADOS!C57="","",DADOS!C57)</f>
        <v>3</v>
      </c>
      <c r="F57" s="9">
        <f>IF(DADOS!E57="","",DADOS!E57)</f>
        <v>71.3</v>
      </c>
      <c r="G57" s="9">
        <f>IF(DADOS!F57="","",DADOS!F57)</f>
        <v>6</v>
      </c>
      <c r="K57" s="6">
        <f t="shared" si="2"/>
        <v>22.695494884904274</v>
      </c>
      <c r="L57" s="7">
        <f t="shared" si="6"/>
        <v>4.0454719632341866E-2</v>
      </c>
      <c r="M57" s="7">
        <f t="shared" si="0"/>
        <v>0.24272831779405118</v>
      </c>
      <c r="N57" s="7">
        <f t="shared" si="7"/>
        <v>0.19418265423524095</v>
      </c>
      <c r="O57" s="8"/>
      <c r="P57" s="26"/>
      <c r="S57" s="10" t="str">
        <f t="shared" si="1"/>
        <v/>
      </c>
    </row>
    <row r="58" spans="5:19" x14ac:dyDescent="0.3">
      <c r="E58" s="9">
        <f>IF(DADOS!C58="","",DADOS!C58)</f>
        <v>3</v>
      </c>
      <c r="F58" s="9">
        <f>IF(DADOS!E58="","",DADOS!E58)</f>
        <v>20</v>
      </c>
      <c r="G58" s="9">
        <f>IF(DADOS!F58="","",DADOS!F58)</f>
        <v>5</v>
      </c>
      <c r="K58" s="6">
        <f t="shared" si="2"/>
        <v>6.366197723675814</v>
      </c>
      <c r="L58" s="7">
        <f t="shared" si="6"/>
        <v>3.1830988618379076E-3</v>
      </c>
      <c r="M58" s="7">
        <f t="shared" si="0"/>
        <v>1.5915494309189537E-2</v>
      </c>
      <c r="N58" s="7">
        <f t="shared" si="7"/>
        <v>1.273239544735163E-2</v>
      </c>
      <c r="O58" s="8"/>
      <c r="P58" s="26"/>
      <c r="S58" s="10" t="str">
        <f t="shared" si="1"/>
        <v/>
      </c>
    </row>
    <row r="59" spans="5:19" x14ac:dyDescent="0.3">
      <c r="E59" s="9">
        <f>IF(DADOS!C59="","",DADOS!C59)</f>
        <v>3</v>
      </c>
      <c r="F59" s="9">
        <f>IF(DADOS!E59="","",DADOS!E59)</f>
        <v>36.200000000000003</v>
      </c>
      <c r="G59" s="9">
        <f>IF(DADOS!F59="","",DADOS!F59)</f>
        <v>8</v>
      </c>
      <c r="K59" s="6">
        <f t="shared" si="2"/>
        <v>11.522817879853223</v>
      </c>
      <c r="L59" s="7">
        <f t="shared" si="6"/>
        <v>1.0428150181267167E-2</v>
      </c>
      <c r="M59" s="7">
        <f t="shared" si="0"/>
        <v>8.3425201450137335E-2</v>
      </c>
      <c r="N59" s="7">
        <f t="shared" si="7"/>
        <v>6.6740161160109876E-2</v>
      </c>
      <c r="O59" s="8"/>
      <c r="P59" s="26"/>
      <c r="S59" s="10" t="str">
        <f t="shared" si="1"/>
        <v/>
      </c>
    </row>
    <row r="60" spans="5:19" x14ac:dyDescent="0.3">
      <c r="E60" s="9">
        <f>IF(DADOS!C60="","",DADOS!C60)</f>
        <v>3</v>
      </c>
      <c r="F60" s="9">
        <f>IF(DADOS!E60="","",DADOS!E60)</f>
        <v>41.9</v>
      </c>
      <c r="G60" s="9">
        <f>IF(DADOS!F60="","",DADOS!F60)</f>
        <v>10</v>
      </c>
      <c r="K60" s="6">
        <f t="shared" si="2"/>
        <v>13.33718423110083</v>
      </c>
      <c r="L60" s="7">
        <f t="shared" si="6"/>
        <v>1.3970700482078121E-2</v>
      </c>
      <c r="M60" s="7">
        <f t="shared" si="0"/>
        <v>0.13970700482078122</v>
      </c>
      <c r="N60" s="7">
        <f t="shared" si="7"/>
        <v>0.11176560385662498</v>
      </c>
      <c r="O60" s="8"/>
      <c r="P60" s="26"/>
      <c r="S60" s="10" t="str">
        <f t="shared" si="1"/>
        <v/>
      </c>
    </row>
    <row r="61" spans="5:19" x14ac:dyDescent="0.3">
      <c r="E61" s="9">
        <f>IF(DADOS!C61="","",DADOS!C61)</f>
        <v>3</v>
      </c>
      <c r="F61" s="9">
        <f>IF(DADOS!E61="","",DADOS!E61)</f>
        <v>86.2</v>
      </c>
      <c r="G61" s="9">
        <f>IF(DADOS!F61="","",DADOS!F61)</f>
        <v>8</v>
      </c>
      <c r="K61" s="6">
        <f t="shared" si="2"/>
        <v>27.438312189042758</v>
      </c>
      <c r="L61" s="7">
        <f t="shared" si="6"/>
        <v>5.9129562767387144E-2</v>
      </c>
      <c r="M61" s="7">
        <f t="shared" si="0"/>
        <v>0.47303650213909715</v>
      </c>
      <c r="N61" s="7">
        <f t="shared" si="7"/>
        <v>0.37842920171127775</v>
      </c>
      <c r="O61" s="8"/>
      <c r="P61" s="26"/>
      <c r="S61" s="10" t="str">
        <f t="shared" si="1"/>
        <v/>
      </c>
    </row>
    <row r="62" spans="5:19" x14ac:dyDescent="0.3">
      <c r="E62" s="9">
        <f>IF(DADOS!C62="","",DADOS!C62)</f>
        <v>3</v>
      </c>
      <c r="F62" s="9">
        <f>IF(DADOS!E62="","",DADOS!E62)</f>
        <v>81.5</v>
      </c>
      <c r="G62" s="9">
        <f>IF(DADOS!F62="","",DADOS!F62)</f>
        <v>9</v>
      </c>
      <c r="K62" s="6">
        <f t="shared" si="2"/>
        <v>25.942255723978942</v>
      </c>
      <c r="L62" s="7">
        <f t="shared" si="6"/>
        <v>5.2857346037607091E-2</v>
      </c>
      <c r="M62" s="7">
        <f t="shared" si="0"/>
        <v>0.47571611433846384</v>
      </c>
      <c r="N62" s="7">
        <f t="shared" si="7"/>
        <v>0.38057289147077111</v>
      </c>
      <c r="O62" s="8"/>
      <c r="P62" s="26"/>
      <c r="S62" s="10" t="str">
        <f t="shared" si="1"/>
        <v/>
      </c>
    </row>
    <row r="63" spans="5:19" x14ac:dyDescent="0.3">
      <c r="E63" s="9">
        <f>IF(DADOS!C63="","",DADOS!C63)</f>
        <v>3</v>
      </c>
      <c r="F63" s="9">
        <f>IF(DADOS!E63="","",DADOS!E63)</f>
        <v>69</v>
      </c>
      <c r="G63" s="9">
        <f>IF(DADOS!F63="","",DADOS!F63)</f>
        <v>9</v>
      </c>
      <c r="K63" s="6">
        <f t="shared" si="2"/>
        <v>21.963382146681557</v>
      </c>
      <c r="L63" s="7">
        <f t="shared" si="6"/>
        <v>3.7886834203025681E-2</v>
      </c>
      <c r="M63" s="7">
        <f t="shared" si="0"/>
        <v>0.34098150782723113</v>
      </c>
      <c r="N63" s="7">
        <f t="shared" si="7"/>
        <v>0.27278520626178493</v>
      </c>
      <c r="O63" s="8"/>
      <c r="P63" s="26"/>
      <c r="S63" s="10" t="str">
        <f t="shared" si="1"/>
        <v/>
      </c>
    </row>
    <row r="64" spans="5:19" x14ac:dyDescent="0.3">
      <c r="E64" s="9">
        <f>IF(DADOS!C64="","",DADOS!C64)</f>
        <v>3</v>
      </c>
      <c r="F64" s="9">
        <f>IF(DADOS!E64="","",DADOS!E64)</f>
        <v>56</v>
      </c>
      <c r="G64" s="9">
        <f>IF(DADOS!F64="","",DADOS!F64)</f>
        <v>8.5</v>
      </c>
      <c r="K64" s="6">
        <f t="shared" si="2"/>
        <v>17.82535362629228</v>
      </c>
      <c r="L64" s="7">
        <f t="shared" si="6"/>
        <v>2.4955495076809196E-2</v>
      </c>
      <c r="M64" s="7">
        <f t="shared" si="0"/>
        <v>0.21212170815287817</v>
      </c>
      <c r="N64" s="7">
        <f t="shared" si="7"/>
        <v>0.16969736652230255</v>
      </c>
      <c r="O64" s="8"/>
      <c r="P64" s="26"/>
      <c r="S64" s="10" t="str">
        <f t="shared" si="1"/>
        <v/>
      </c>
    </row>
    <row r="65" spans="5:19" x14ac:dyDescent="0.3">
      <c r="E65" s="9">
        <f>IF(DADOS!C65="","",DADOS!C65)</f>
        <v>3</v>
      </c>
      <c r="F65" s="9">
        <f>IF(DADOS!E65="","",DADOS!E65)</f>
        <v>93.1</v>
      </c>
      <c r="G65" s="9">
        <f>IF(DADOS!F65="","",DADOS!F65)</f>
        <v>9</v>
      </c>
      <c r="K65" s="6">
        <f t="shared" si="2"/>
        <v>29.634650403710911</v>
      </c>
      <c r="L65" s="7">
        <f t="shared" si="6"/>
        <v>6.8974648814637135E-2</v>
      </c>
      <c r="M65" s="7">
        <f t="shared" si="0"/>
        <v>0.62077183933173419</v>
      </c>
      <c r="N65" s="7">
        <f t="shared" si="7"/>
        <v>0.49661747146538737</v>
      </c>
      <c r="O65" s="8"/>
      <c r="P65" s="26"/>
      <c r="S65" s="10" t="str">
        <f t="shared" si="1"/>
        <v/>
      </c>
    </row>
    <row r="66" spans="5:19" x14ac:dyDescent="0.3">
      <c r="E66" s="9">
        <f>IF(DADOS!C66="","",DADOS!C66)</f>
        <v>3</v>
      </c>
      <c r="F66" s="9">
        <f>IF(DADOS!E66="","",DADOS!E66)</f>
        <v>23</v>
      </c>
      <c r="G66" s="9">
        <f>IF(DADOS!F66="","",DADOS!F66)</f>
        <v>8</v>
      </c>
      <c r="K66" s="6">
        <f t="shared" si="2"/>
        <v>7.3211273822271856</v>
      </c>
      <c r="L66" s="7">
        <f t="shared" si="6"/>
        <v>4.2096482447806314E-3</v>
      </c>
      <c r="M66" s="7">
        <f t="shared" si="0"/>
        <v>3.3677185958245051E-2</v>
      </c>
      <c r="N66" s="7">
        <f t="shared" si="7"/>
        <v>2.6941748766596042E-2</v>
      </c>
      <c r="O66" s="8"/>
      <c r="P66" s="26"/>
      <c r="S66" s="10" t="str">
        <f t="shared" si="1"/>
        <v/>
      </c>
    </row>
    <row r="67" spans="5:19" x14ac:dyDescent="0.3">
      <c r="E67" s="9">
        <f>IF(DADOS!C67="","",DADOS!C67)</f>
        <v>3</v>
      </c>
      <c r="F67" s="9">
        <f>IF(DADOS!E67="","",DADOS!E67)</f>
        <v>106.8</v>
      </c>
      <c r="G67" s="9">
        <f>IF(DADOS!F67="","",DADOS!F67)</f>
        <v>10</v>
      </c>
      <c r="K67" s="6">
        <f t="shared" si="2"/>
        <v>33.995495844428845</v>
      </c>
      <c r="L67" s="7">
        <f t="shared" si="6"/>
        <v>9.0767973904625029E-2</v>
      </c>
      <c r="M67" s="7">
        <f t="shared" ref="M67:M130" si="8">IF(L67="","",L67*G67)</f>
        <v>0.90767973904625032</v>
      </c>
      <c r="N67" s="7">
        <f t="shared" si="7"/>
        <v>0.72614379123700035</v>
      </c>
      <c r="O67" s="8"/>
      <c r="P67" s="26"/>
      <c r="S67" s="10" t="str">
        <f t="shared" ref="S67:S130" si="9">IF(R67="","",SUMIFS($N$3:$N$10000,$E$3:$E$10000,R67))</f>
        <v/>
      </c>
    </row>
    <row r="68" spans="5:19" x14ac:dyDescent="0.3">
      <c r="E68" s="9">
        <f>IF(DADOS!C68="","",DADOS!C68)</f>
        <v>4</v>
      </c>
      <c r="F68" s="9">
        <f>IF(DADOS!E68="","",DADOS!E68)</f>
        <v>42</v>
      </c>
      <c r="G68" s="9">
        <f>IF(DADOS!F68="","",DADOS!F68)</f>
        <v>7.5</v>
      </c>
      <c r="K68" s="6">
        <f t="shared" ref="K68:K131" si="10">IF(F68="","",F68/PI())</f>
        <v>13.369015219719209</v>
      </c>
      <c r="L68" s="7">
        <f t="shared" ref="L68:L131" si="11">IF(K68="","",(PI()*K68^2)/40000)</f>
        <v>1.4037465980705171E-2</v>
      </c>
      <c r="M68" s="7">
        <f t="shared" si="8"/>
        <v>0.10528099485528877</v>
      </c>
      <c r="N68" s="7">
        <f t="shared" ref="N68:N131" si="12">IF(M68="","",M68*N$1)</f>
        <v>8.4224795884231027E-2</v>
      </c>
      <c r="O68" s="8"/>
      <c r="P68" s="26"/>
      <c r="S68" s="10" t="str">
        <f t="shared" si="9"/>
        <v/>
      </c>
    </row>
    <row r="69" spans="5:19" x14ac:dyDescent="0.3">
      <c r="E69" s="9">
        <f>IF(DADOS!C69="","",DADOS!C69)</f>
        <v>4</v>
      </c>
      <c r="F69" s="9">
        <f>IF(DADOS!E69="","",DADOS!E69)</f>
        <v>36.5</v>
      </c>
      <c r="G69" s="9">
        <f>IF(DADOS!F69="","",DADOS!F69)</f>
        <v>7.5</v>
      </c>
      <c r="K69" s="6">
        <f t="shared" si="10"/>
        <v>11.618310845708359</v>
      </c>
      <c r="L69" s="7">
        <f t="shared" si="11"/>
        <v>1.0601708646708877E-2</v>
      </c>
      <c r="M69" s="7">
        <f t="shared" si="8"/>
        <v>7.9512814850316582E-2</v>
      </c>
      <c r="N69" s="7">
        <f t="shared" si="12"/>
        <v>6.3610251880253266E-2</v>
      </c>
      <c r="O69" s="8"/>
      <c r="P69" s="26"/>
      <c r="S69" s="10" t="str">
        <f t="shared" si="9"/>
        <v/>
      </c>
    </row>
    <row r="70" spans="5:19" x14ac:dyDescent="0.3">
      <c r="E70" s="9">
        <f>IF(DADOS!C70="","",DADOS!C70)</f>
        <v>4</v>
      </c>
      <c r="F70" s="9">
        <f>IF(DADOS!E70="","",DADOS!E70)</f>
        <v>50.5</v>
      </c>
      <c r="G70" s="9">
        <f>IF(DADOS!F70="","",DADOS!F70)</f>
        <v>7</v>
      </c>
      <c r="K70" s="6">
        <f t="shared" si="10"/>
        <v>16.074649252281429</v>
      </c>
      <c r="L70" s="7">
        <f t="shared" si="11"/>
        <v>2.02942446810053E-2</v>
      </c>
      <c r="M70" s="7">
        <f t="shared" si="8"/>
        <v>0.14205971276703711</v>
      </c>
      <c r="N70" s="7">
        <f t="shared" si="12"/>
        <v>0.11364777021362969</v>
      </c>
      <c r="O70" s="8"/>
      <c r="P70" s="26"/>
      <c r="S70" s="10" t="str">
        <f t="shared" si="9"/>
        <v/>
      </c>
    </row>
    <row r="71" spans="5:19" x14ac:dyDescent="0.3">
      <c r="E71" s="9">
        <f>IF(DADOS!C71="","",DADOS!C71)</f>
        <v>4</v>
      </c>
      <c r="F71" s="9">
        <f>IF(DADOS!E71="","",DADOS!E71)</f>
        <v>69.7</v>
      </c>
      <c r="G71" s="9">
        <f>IF(DADOS!F71="","",DADOS!F71)</f>
        <v>7</v>
      </c>
      <c r="K71" s="6">
        <f t="shared" si="10"/>
        <v>22.186199067010211</v>
      </c>
      <c r="L71" s="7">
        <f t="shared" si="11"/>
        <v>3.8659451874265297E-2</v>
      </c>
      <c r="M71" s="7">
        <f t="shared" si="8"/>
        <v>0.27061616311985709</v>
      </c>
      <c r="N71" s="7">
        <f t="shared" si="12"/>
        <v>0.21649293049588569</v>
      </c>
      <c r="O71" s="8"/>
      <c r="P71" s="26"/>
      <c r="S71" s="10" t="str">
        <f t="shared" si="9"/>
        <v/>
      </c>
    </row>
    <row r="72" spans="5:19" x14ac:dyDescent="0.3">
      <c r="E72" s="9">
        <f>IF(DADOS!C72="","",DADOS!C72)</f>
        <v>4</v>
      </c>
      <c r="F72" s="9">
        <f>IF(DADOS!E72="","",DADOS!E72)</f>
        <v>42</v>
      </c>
      <c r="G72" s="9">
        <f>IF(DADOS!F72="","",DADOS!F72)</f>
        <v>7.5</v>
      </c>
      <c r="K72" s="6">
        <f t="shared" si="10"/>
        <v>13.369015219719209</v>
      </c>
      <c r="L72" s="7">
        <f t="shared" si="11"/>
        <v>1.4037465980705171E-2</v>
      </c>
      <c r="M72" s="7">
        <f t="shared" si="8"/>
        <v>0.10528099485528877</v>
      </c>
      <c r="N72" s="7">
        <f t="shared" si="12"/>
        <v>8.4224795884231027E-2</v>
      </c>
      <c r="O72" s="8"/>
      <c r="P72" s="26"/>
      <c r="S72" s="10" t="str">
        <f t="shared" si="9"/>
        <v/>
      </c>
    </row>
    <row r="73" spans="5:19" x14ac:dyDescent="0.3">
      <c r="E73" s="9">
        <f>IF(DADOS!C73="","",DADOS!C73)</f>
        <v>4</v>
      </c>
      <c r="F73" s="9">
        <f>IF(DADOS!E73="","",DADOS!E73)</f>
        <v>51.8</v>
      </c>
      <c r="G73" s="9">
        <f>IF(DADOS!F73="","",DADOS!F73)</f>
        <v>7</v>
      </c>
      <c r="K73" s="6">
        <f t="shared" si="10"/>
        <v>16.488452104320356</v>
      </c>
      <c r="L73" s="7">
        <f t="shared" si="11"/>
        <v>2.1352545475094856E-2</v>
      </c>
      <c r="M73" s="7">
        <f t="shared" si="8"/>
        <v>0.149467818325664</v>
      </c>
      <c r="N73" s="7">
        <f t="shared" si="12"/>
        <v>0.1195742546605312</v>
      </c>
      <c r="O73" s="8"/>
      <c r="P73" s="26"/>
      <c r="S73" s="10" t="str">
        <f t="shared" si="9"/>
        <v/>
      </c>
    </row>
    <row r="74" spans="5:19" x14ac:dyDescent="0.3">
      <c r="E74" s="9">
        <f>IF(DADOS!C74="","",DADOS!C74)</f>
        <v>4</v>
      </c>
      <c r="F74" s="9">
        <f>IF(DADOS!E74="","",DADOS!E74)</f>
        <v>18.399999999999999</v>
      </c>
      <c r="G74" s="9">
        <f>IF(DADOS!F74="","",DADOS!F74)</f>
        <v>4.5</v>
      </c>
      <c r="K74" s="6">
        <f t="shared" si="10"/>
        <v>5.856901905781748</v>
      </c>
      <c r="L74" s="7">
        <f t="shared" si="11"/>
        <v>2.694174876659604E-3</v>
      </c>
      <c r="M74" s="7">
        <f t="shared" si="8"/>
        <v>1.2123786944968218E-2</v>
      </c>
      <c r="N74" s="7">
        <f t="shared" si="12"/>
        <v>9.699029555974575E-3</v>
      </c>
      <c r="O74" s="8"/>
      <c r="P74" s="26"/>
      <c r="S74" s="10" t="str">
        <f t="shared" si="9"/>
        <v/>
      </c>
    </row>
    <row r="75" spans="5:19" x14ac:dyDescent="0.3">
      <c r="E75" s="9">
        <f>IF(DADOS!C75="","",DADOS!C75)</f>
        <v>4</v>
      </c>
      <c r="F75" s="9">
        <f>IF(DADOS!E75="","",DADOS!E75)</f>
        <v>20</v>
      </c>
      <c r="G75" s="9">
        <f>IF(DADOS!F75="","",DADOS!F75)</f>
        <v>5</v>
      </c>
      <c r="K75" s="6">
        <f t="shared" si="10"/>
        <v>6.366197723675814</v>
      </c>
      <c r="L75" s="7">
        <f t="shared" si="11"/>
        <v>3.1830988618379076E-3</v>
      </c>
      <c r="M75" s="7">
        <f t="shared" si="8"/>
        <v>1.5915494309189537E-2</v>
      </c>
      <c r="N75" s="7">
        <f t="shared" si="12"/>
        <v>1.273239544735163E-2</v>
      </c>
      <c r="O75" s="8"/>
      <c r="P75" s="26"/>
      <c r="S75" s="10" t="str">
        <f t="shared" si="9"/>
        <v/>
      </c>
    </row>
    <row r="76" spans="5:19" x14ac:dyDescent="0.3">
      <c r="E76" s="9">
        <f>IF(DADOS!C76="","",DADOS!C76)</f>
        <v>4</v>
      </c>
      <c r="F76" s="9">
        <f>IF(DADOS!E76="","",DADOS!E76)</f>
        <v>45</v>
      </c>
      <c r="G76" s="9">
        <f>IF(DADOS!F76="","",DADOS!F76)</f>
        <v>5.5</v>
      </c>
      <c r="K76" s="6">
        <f t="shared" si="10"/>
        <v>14.323944878270581</v>
      </c>
      <c r="L76" s="7">
        <f t="shared" si="11"/>
        <v>1.6114437988054404E-2</v>
      </c>
      <c r="M76" s="7">
        <f t="shared" si="8"/>
        <v>8.8629408934299228E-2</v>
      </c>
      <c r="N76" s="7">
        <f t="shared" si="12"/>
        <v>7.0903527147439388E-2</v>
      </c>
      <c r="O76" s="8"/>
      <c r="P76" s="26"/>
      <c r="S76" s="10" t="str">
        <f t="shared" si="9"/>
        <v/>
      </c>
    </row>
    <row r="77" spans="5:19" x14ac:dyDescent="0.3">
      <c r="E77" s="9">
        <f>IF(DADOS!C77="","",DADOS!C77)</f>
        <v>4</v>
      </c>
      <c r="F77" s="9">
        <f>IF(DADOS!E77="","",DADOS!E77)</f>
        <v>39.799999999999997</v>
      </c>
      <c r="G77" s="9">
        <f>IF(DADOS!F77="","",DADOS!F77)</f>
        <v>6</v>
      </c>
      <c r="K77" s="6">
        <f t="shared" si="10"/>
        <v>12.668733470114868</v>
      </c>
      <c r="L77" s="7">
        <f t="shared" si="11"/>
        <v>1.2605389802764292E-2</v>
      </c>
      <c r="M77" s="7">
        <f t="shared" si="8"/>
        <v>7.5632338816585751E-2</v>
      </c>
      <c r="N77" s="7">
        <f t="shared" si="12"/>
        <v>6.0505871053268601E-2</v>
      </c>
      <c r="O77" s="8"/>
      <c r="P77" s="26"/>
      <c r="S77" s="10" t="str">
        <f t="shared" si="9"/>
        <v/>
      </c>
    </row>
    <row r="78" spans="5:19" x14ac:dyDescent="0.3">
      <c r="E78" s="9">
        <f>IF(DADOS!C78="","",DADOS!C78)</f>
        <v>4</v>
      </c>
      <c r="F78" s="9">
        <f>IF(DADOS!E78="","",DADOS!E78)</f>
        <v>67.5</v>
      </c>
      <c r="G78" s="9">
        <f>IF(DADOS!F78="","",DADOS!F78)</f>
        <v>6.5</v>
      </c>
      <c r="K78" s="6">
        <f t="shared" si="10"/>
        <v>21.485917317405871</v>
      </c>
      <c r="L78" s="7">
        <f t="shared" si="11"/>
        <v>3.6257485473122401E-2</v>
      </c>
      <c r="M78" s="7">
        <f t="shared" si="8"/>
        <v>0.2356736555752956</v>
      </c>
      <c r="N78" s="7">
        <f t="shared" si="12"/>
        <v>0.18853892446023648</v>
      </c>
      <c r="O78" s="8"/>
      <c r="P78" s="26"/>
      <c r="S78" s="10" t="str">
        <f t="shared" si="9"/>
        <v/>
      </c>
    </row>
    <row r="79" spans="5:19" x14ac:dyDescent="0.3">
      <c r="E79" s="9">
        <f>IF(DADOS!C79="","",DADOS!C79)</f>
        <v>4</v>
      </c>
      <c r="F79" s="9">
        <f>IF(DADOS!E79="","",DADOS!E79)</f>
        <v>18.2</v>
      </c>
      <c r="G79" s="9">
        <f>IF(DADOS!F79="","",DADOS!F79)</f>
        <v>5</v>
      </c>
      <c r="K79" s="6">
        <f t="shared" si="10"/>
        <v>5.79323992854499</v>
      </c>
      <c r="L79" s="7">
        <f t="shared" si="11"/>
        <v>2.6359241674879701E-3</v>
      </c>
      <c r="M79" s="7">
        <f t="shared" si="8"/>
        <v>1.317962083743985E-2</v>
      </c>
      <c r="N79" s="7">
        <f t="shared" si="12"/>
        <v>1.054369666995188E-2</v>
      </c>
      <c r="O79" s="8"/>
      <c r="P79" s="26"/>
      <c r="S79" s="10" t="str">
        <f t="shared" si="9"/>
        <v/>
      </c>
    </row>
    <row r="80" spans="5:19" x14ac:dyDescent="0.3">
      <c r="E80" s="9">
        <f>IF(DADOS!C80="","",DADOS!C80)</f>
        <v>4</v>
      </c>
      <c r="F80" s="9">
        <f>IF(DADOS!E80="","",DADOS!E80)</f>
        <v>24.1</v>
      </c>
      <c r="G80" s="9">
        <f>IF(DADOS!F80="","",DADOS!F80)</f>
        <v>4.5</v>
      </c>
      <c r="K80" s="6">
        <f t="shared" si="10"/>
        <v>7.6712682570293556</v>
      </c>
      <c r="L80" s="7">
        <f t="shared" si="11"/>
        <v>4.6219391248601867E-3</v>
      </c>
      <c r="M80" s="7">
        <f t="shared" si="8"/>
        <v>2.0798726061870838E-2</v>
      </c>
      <c r="N80" s="7">
        <f t="shared" si="12"/>
        <v>1.6638980849496672E-2</v>
      </c>
      <c r="O80" s="8"/>
      <c r="P80" s="26"/>
      <c r="S80" s="10" t="str">
        <f t="shared" si="9"/>
        <v/>
      </c>
    </row>
    <row r="81" spans="5:19" x14ac:dyDescent="0.3">
      <c r="E81" s="9">
        <f>IF(DADOS!C81="","",DADOS!C81)</f>
        <v>4</v>
      </c>
      <c r="F81" s="9">
        <f>IF(DADOS!E81="","",DADOS!E81)</f>
        <v>15.3</v>
      </c>
      <c r="G81" s="9">
        <f>IF(DADOS!F81="","",DADOS!F81)</f>
        <v>3</v>
      </c>
      <c r="K81" s="6">
        <f t="shared" si="10"/>
        <v>4.8701412586119979</v>
      </c>
      <c r="L81" s="7">
        <f t="shared" si="11"/>
        <v>1.8628290314190894E-3</v>
      </c>
      <c r="M81" s="7">
        <f t="shared" si="8"/>
        <v>5.5884870942572683E-3</v>
      </c>
      <c r="N81" s="7">
        <f t="shared" si="12"/>
        <v>4.4707896754058148E-3</v>
      </c>
      <c r="O81" s="8"/>
      <c r="P81" s="26"/>
      <c r="S81" s="10" t="str">
        <f t="shared" si="9"/>
        <v/>
      </c>
    </row>
    <row r="82" spans="5:19" x14ac:dyDescent="0.3">
      <c r="E82" s="9">
        <f>IF(DADOS!C82="","",DADOS!C82)</f>
        <v>4</v>
      </c>
      <c r="F82" s="9">
        <f>IF(DADOS!E82="","",DADOS!E82)</f>
        <v>20.2</v>
      </c>
      <c r="G82" s="9">
        <f>IF(DADOS!F82="","",DADOS!F82)</f>
        <v>4.2</v>
      </c>
      <c r="K82" s="6">
        <f t="shared" si="10"/>
        <v>6.429859700912572</v>
      </c>
      <c r="L82" s="7">
        <f t="shared" si="11"/>
        <v>3.2470791489608488E-3</v>
      </c>
      <c r="M82" s="7">
        <f t="shared" si="8"/>
        <v>1.3637732425635566E-2</v>
      </c>
      <c r="N82" s="7">
        <f t="shared" si="12"/>
        <v>1.0910185940508453E-2</v>
      </c>
      <c r="O82" s="8"/>
      <c r="P82" s="26"/>
      <c r="S82" s="10" t="str">
        <f t="shared" si="9"/>
        <v/>
      </c>
    </row>
    <row r="83" spans="5:19" x14ac:dyDescent="0.3">
      <c r="E83" s="9">
        <f>IF(DADOS!C83="","",DADOS!C83)</f>
        <v>4</v>
      </c>
      <c r="F83" s="9">
        <f>IF(DADOS!E83="","",DADOS!E83)</f>
        <v>83</v>
      </c>
      <c r="G83" s="9">
        <f>IF(DADOS!F83="","",DADOS!F83)</f>
        <v>8</v>
      </c>
      <c r="K83" s="6">
        <f t="shared" si="10"/>
        <v>26.419720553254628</v>
      </c>
      <c r="L83" s="7">
        <f t="shared" si="11"/>
        <v>5.4820920148003362E-2</v>
      </c>
      <c r="M83" s="7">
        <f t="shared" si="8"/>
        <v>0.43856736118402689</v>
      </c>
      <c r="N83" s="7">
        <f t="shared" si="12"/>
        <v>0.35085388894722153</v>
      </c>
      <c r="O83" s="8"/>
      <c r="P83" s="26"/>
      <c r="S83" s="10" t="str">
        <f t="shared" si="9"/>
        <v/>
      </c>
    </row>
    <row r="84" spans="5:19" x14ac:dyDescent="0.3">
      <c r="E84" s="9">
        <f>IF(DADOS!C84="","",DADOS!C84)</f>
        <v>4</v>
      </c>
      <c r="F84" s="9">
        <f>IF(DADOS!E84="","",DADOS!E84)</f>
        <v>67.3</v>
      </c>
      <c r="G84" s="9">
        <f>IF(DADOS!F84="","",DADOS!F84)</f>
        <v>8.5</v>
      </c>
      <c r="K84" s="6">
        <f t="shared" si="10"/>
        <v>21.422255340169112</v>
      </c>
      <c r="L84" s="7">
        <f t="shared" si="11"/>
        <v>3.604294460983453E-2</v>
      </c>
      <c r="M84" s="7">
        <f t="shared" si="8"/>
        <v>0.30636502918359348</v>
      </c>
      <c r="N84" s="7">
        <f t="shared" si="12"/>
        <v>0.2450920233468748</v>
      </c>
      <c r="O84" s="8"/>
      <c r="P84" s="26"/>
      <c r="S84" s="10" t="str">
        <f t="shared" si="9"/>
        <v/>
      </c>
    </row>
    <row r="85" spans="5:19" x14ac:dyDescent="0.3">
      <c r="E85" s="9">
        <f>IF(DADOS!C85="","",DADOS!C85)</f>
        <v>4</v>
      </c>
      <c r="F85" s="9">
        <f>IF(DADOS!E85="","",DADOS!E85)</f>
        <v>49</v>
      </c>
      <c r="G85" s="9">
        <f>IF(DADOS!F85="","",DADOS!F85)</f>
        <v>8</v>
      </c>
      <c r="K85" s="6">
        <f t="shared" si="10"/>
        <v>15.597184423005743</v>
      </c>
      <c r="L85" s="7">
        <f t="shared" si="11"/>
        <v>1.9106550918182034E-2</v>
      </c>
      <c r="M85" s="7">
        <f t="shared" si="8"/>
        <v>0.15285240734545627</v>
      </c>
      <c r="N85" s="7">
        <f t="shared" si="12"/>
        <v>0.12228192587636502</v>
      </c>
      <c r="O85" s="8"/>
      <c r="P85" s="26"/>
      <c r="S85" s="10" t="str">
        <f t="shared" si="9"/>
        <v/>
      </c>
    </row>
    <row r="86" spans="5:19" x14ac:dyDescent="0.3">
      <c r="E86" s="9">
        <f>IF(DADOS!C86="","",DADOS!C86)</f>
        <v>4</v>
      </c>
      <c r="F86" s="9">
        <f>IF(DADOS!E86="","",DADOS!E86)</f>
        <v>44.3</v>
      </c>
      <c r="G86" s="9">
        <f>IF(DADOS!F86="","",DADOS!F86)</f>
        <v>8</v>
      </c>
      <c r="K86" s="6">
        <f t="shared" si="10"/>
        <v>14.101127957941927</v>
      </c>
      <c r="L86" s="7">
        <f t="shared" si="11"/>
        <v>1.5616999213420683E-2</v>
      </c>
      <c r="M86" s="7">
        <f t="shared" si="8"/>
        <v>0.12493599370736547</v>
      </c>
      <c r="N86" s="7">
        <f t="shared" si="12"/>
        <v>9.9948794965892374E-2</v>
      </c>
      <c r="O86" s="8"/>
      <c r="P86" s="26"/>
      <c r="S86" s="10" t="str">
        <f t="shared" si="9"/>
        <v/>
      </c>
    </row>
    <row r="87" spans="5:19" x14ac:dyDescent="0.3">
      <c r="E87" s="9">
        <f>IF(DADOS!C87="","",DADOS!C87)</f>
        <v>4</v>
      </c>
      <c r="F87" s="9">
        <f>IF(DADOS!E87="","",DADOS!E87)</f>
        <v>34.5</v>
      </c>
      <c r="G87" s="9">
        <f>IF(DADOS!F87="","",DADOS!F87)</f>
        <v>8</v>
      </c>
      <c r="K87" s="6">
        <f t="shared" si="10"/>
        <v>10.981691073340778</v>
      </c>
      <c r="L87" s="7">
        <f t="shared" si="11"/>
        <v>9.4717085507564202E-3</v>
      </c>
      <c r="M87" s="7">
        <f t="shared" si="8"/>
        <v>7.5773668406051362E-2</v>
      </c>
      <c r="N87" s="7">
        <f t="shared" si="12"/>
        <v>6.0618934724841089E-2</v>
      </c>
      <c r="O87" s="8"/>
      <c r="P87" s="26"/>
      <c r="S87" s="10" t="str">
        <f t="shared" si="9"/>
        <v/>
      </c>
    </row>
    <row r="88" spans="5:19" x14ac:dyDescent="0.3">
      <c r="E88" s="9">
        <f>IF(DADOS!C88="","",DADOS!C88)</f>
        <v>4</v>
      </c>
      <c r="F88" s="9">
        <f>IF(DADOS!E88="","",DADOS!E88)</f>
        <v>70.3</v>
      </c>
      <c r="G88" s="9">
        <f>IF(DADOS!F88="","",DADOS!F88)</f>
        <v>8</v>
      </c>
      <c r="K88" s="6">
        <f t="shared" si="10"/>
        <v>22.377184998720484</v>
      </c>
      <c r="L88" s="7">
        <f t="shared" si="11"/>
        <v>3.9327902635251245E-2</v>
      </c>
      <c r="M88" s="7">
        <f t="shared" si="8"/>
        <v>0.31462322108200996</v>
      </c>
      <c r="N88" s="7">
        <f t="shared" si="12"/>
        <v>0.25169857686560798</v>
      </c>
      <c r="O88" s="8"/>
      <c r="P88" s="26"/>
      <c r="S88" s="10" t="str">
        <f t="shared" si="9"/>
        <v/>
      </c>
    </row>
    <row r="89" spans="5:19" x14ac:dyDescent="0.3">
      <c r="E89" s="9">
        <f>IF(DADOS!C89="","",DADOS!C89)</f>
        <v>4</v>
      </c>
      <c r="F89" s="9">
        <f>IF(DADOS!E89="","",DADOS!E89)</f>
        <v>98.8</v>
      </c>
      <c r="G89" s="9">
        <f>IF(DADOS!F89="","",DADOS!F89)</f>
        <v>10</v>
      </c>
      <c r="K89" s="6">
        <f t="shared" si="10"/>
        <v>31.449016754958517</v>
      </c>
      <c r="L89" s="7">
        <f t="shared" si="11"/>
        <v>7.7679071384747528E-2</v>
      </c>
      <c r="M89" s="7">
        <f t="shared" si="8"/>
        <v>0.77679071384747522</v>
      </c>
      <c r="N89" s="7">
        <f t="shared" si="12"/>
        <v>0.62143257107798022</v>
      </c>
      <c r="O89" s="8"/>
      <c r="P89" s="26"/>
      <c r="S89" s="10" t="str">
        <f t="shared" si="9"/>
        <v/>
      </c>
    </row>
    <row r="90" spans="5:19" x14ac:dyDescent="0.3">
      <c r="E90" s="9">
        <f>IF(DADOS!C90="","",DADOS!C90)</f>
        <v>5</v>
      </c>
      <c r="F90" s="9">
        <f>IF(DADOS!E90="","",DADOS!E90)</f>
        <v>110</v>
      </c>
      <c r="G90" s="9">
        <f>IF(DADOS!F90="","",DADOS!F90)</f>
        <v>12</v>
      </c>
      <c r="K90" s="6">
        <f t="shared" si="10"/>
        <v>35.014087480216972</v>
      </c>
      <c r="L90" s="7">
        <f t="shared" si="11"/>
        <v>9.6288740570596651E-2</v>
      </c>
      <c r="M90" s="7">
        <f t="shared" si="8"/>
        <v>1.1554648868471598</v>
      </c>
      <c r="N90" s="7">
        <f t="shared" si="12"/>
        <v>0.92437190947772785</v>
      </c>
      <c r="O90" s="8"/>
      <c r="P90" s="26"/>
      <c r="S90" s="10" t="str">
        <f t="shared" si="9"/>
        <v/>
      </c>
    </row>
    <row r="91" spans="5:19" x14ac:dyDescent="0.3">
      <c r="E91" s="9">
        <f>IF(DADOS!C91="","",DADOS!C91)</f>
        <v>5</v>
      </c>
      <c r="F91" s="9">
        <f>IF(DADOS!E91="","",DADOS!E91)</f>
        <v>175</v>
      </c>
      <c r="G91" s="9">
        <f>IF(DADOS!F91="","",DADOS!F91)</f>
        <v>11</v>
      </c>
      <c r="K91" s="6">
        <f t="shared" si="10"/>
        <v>55.70423008216337</v>
      </c>
      <c r="L91" s="7">
        <f t="shared" si="11"/>
        <v>0.24370600660946476</v>
      </c>
      <c r="M91" s="7">
        <f t="shared" si="8"/>
        <v>2.6807660727041123</v>
      </c>
      <c r="N91" s="7">
        <f t="shared" si="12"/>
        <v>2.1446128581632897</v>
      </c>
      <c r="O91" s="8"/>
      <c r="P91" s="26"/>
      <c r="S91" s="10" t="str">
        <f t="shared" si="9"/>
        <v/>
      </c>
    </row>
    <row r="92" spans="5:19" x14ac:dyDescent="0.3">
      <c r="E92" s="9">
        <f>IF(DADOS!C92="","",DADOS!C92)</f>
        <v>5</v>
      </c>
      <c r="F92" s="9">
        <f>IF(DADOS!E92="","",DADOS!E92)</f>
        <v>38.700000000000003</v>
      </c>
      <c r="G92" s="9">
        <f>IF(DADOS!F92="","",DADOS!F92)</f>
        <v>7.5</v>
      </c>
      <c r="K92" s="6">
        <f t="shared" si="10"/>
        <v>12.318592595312701</v>
      </c>
      <c r="L92" s="7">
        <f t="shared" si="11"/>
        <v>1.1918238335965038E-2</v>
      </c>
      <c r="M92" s="7">
        <f t="shared" si="8"/>
        <v>8.938678751973779E-2</v>
      </c>
      <c r="N92" s="7">
        <f t="shared" si="12"/>
        <v>7.1509430015790229E-2</v>
      </c>
      <c r="O92" s="8"/>
      <c r="P92" s="26"/>
      <c r="S92" s="10" t="str">
        <f t="shared" si="9"/>
        <v/>
      </c>
    </row>
    <row r="93" spans="5:19" x14ac:dyDescent="0.3">
      <c r="E93" s="9">
        <f>IF(DADOS!C93="","",DADOS!C93)</f>
        <v>5</v>
      </c>
      <c r="F93" s="9">
        <f>IF(DADOS!E93="","",DADOS!E93)</f>
        <v>36.299999999999997</v>
      </c>
      <c r="G93" s="9">
        <f>IF(DADOS!F93="","",DADOS!F93)</f>
        <v>7.5</v>
      </c>
      <c r="K93" s="6">
        <f t="shared" si="10"/>
        <v>11.554648868471601</v>
      </c>
      <c r="L93" s="7">
        <f t="shared" si="11"/>
        <v>1.0485843848137978E-2</v>
      </c>
      <c r="M93" s="7">
        <f t="shared" si="8"/>
        <v>7.864382886103484E-2</v>
      </c>
      <c r="N93" s="7">
        <f t="shared" si="12"/>
        <v>6.2915063088827869E-2</v>
      </c>
      <c r="O93" s="8"/>
      <c r="P93" s="26"/>
      <c r="S93" s="10" t="str">
        <f t="shared" si="9"/>
        <v/>
      </c>
    </row>
    <row r="94" spans="5:19" x14ac:dyDescent="0.3">
      <c r="E94" s="9">
        <f>IF(DADOS!C94="","",DADOS!C94)</f>
        <v>5</v>
      </c>
      <c r="F94" s="9">
        <f>IF(DADOS!E94="","",DADOS!E94)</f>
        <v>86</v>
      </c>
      <c r="G94" s="9">
        <f>IF(DADOS!F94="","",DADOS!F94)</f>
        <v>7</v>
      </c>
      <c r="K94" s="6">
        <f t="shared" si="10"/>
        <v>27.374650211805999</v>
      </c>
      <c r="L94" s="7">
        <f t="shared" si="11"/>
        <v>5.8855497955382897E-2</v>
      </c>
      <c r="M94" s="7">
        <f t="shared" si="8"/>
        <v>0.41198848568768026</v>
      </c>
      <c r="N94" s="7">
        <f t="shared" si="12"/>
        <v>0.32959078855014423</v>
      </c>
      <c r="O94" s="8"/>
      <c r="P94" s="26"/>
      <c r="S94" s="10" t="str">
        <f t="shared" si="9"/>
        <v/>
      </c>
    </row>
    <row r="95" spans="5:19" x14ac:dyDescent="0.3">
      <c r="E95" s="9">
        <f>IF(DADOS!C95="","",DADOS!C95)</f>
        <v>5</v>
      </c>
      <c r="F95" s="9">
        <f>IF(DADOS!E95="","",DADOS!E95)</f>
        <v>45.2</v>
      </c>
      <c r="G95" s="9">
        <f>IF(DADOS!F95="","",DADOS!F95)</f>
        <v>7</v>
      </c>
      <c r="K95" s="6">
        <f t="shared" si="10"/>
        <v>14.38760685550734</v>
      </c>
      <c r="L95" s="7">
        <f t="shared" si="11"/>
        <v>1.6257995746723295E-2</v>
      </c>
      <c r="M95" s="7">
        <f t="shared" si="8"/>
        <v>0.11380597022706307</v>
      </c>
      <c r="N95" s="7">
        <f t="shared" si="12"/>
        <v>9.1044776181650466E-2</v>
      </c>
      <c r="O95" s="8"/>
      <c r="P95" s="26"/>
      <c r="S95" s="10" t="str">
        <f t="shared" si="9"/>
        <v/>
      </c>
    </row>
    <row r="96" spans="5:19" x14ac:dyDescent="0.3">
      <c r="E96" s="9">
        <f>IF(DADOS!C96="","",DADOS!C96)</f>
        <v>5</v>
      </c>
      <c r="F96" s="9">
        <f>IF(DADOS!E96="","",DADOS!E96)</f>
        <v>31</v>
      </c>
      <c r="G96" s="9">
        <f>IF(DADOS!F96="","",DADOS!F96)</f>
        <v>7</v>
      </c>
      <c r="K96" s="6">
        <f t="shared" si="10"/>
        <v>9.8676064716975116</v>
      </c>
      <c r="L96" s="7">
        <f t="shared" si="11"/>
        <v>7.6473950155655727E-3</v>
      </c>
      <c r="M96" s="7">
        <f t="shared" si="8"/>
        <v>5.353176510895901E-2</v>
      </c>
      <c r="N96" s="7">
        <f t="shared" si="12"/>
        <v>4.2825412087167211E-2</v>
      </c>
      <c r="O96" s="8"/>
      <c r="P96" s="26"/>
      <c r="S96" s="10" t="str">
        <f t="shared" si="9"/>
        <v/>
      </c>
    </row>
    <row r="97" spans="5:19" x14ac:dyDescent="0.3">
      <c r="E97" s="9">
        <f>IF(DADOS!C97="","",DADOS!C97)</f>
        <v>5</v>
      </c>
      <c r="F97" s="9">
        <f>IF(DADOS!E97="","",DADOS!E97)</f>
        <v>33</v>
      </c>
      <c r="G97" s="9">
        <f>IF(DADOS!F97="","",DADOS!F97)</f>
        <v>7</v>
      </c>
      <c r="K97" s="6">
        <f t="shared" si="10"/>
        <v>10.504226244065093</v>
      </c>
      <c r="L97" s="7">
        <f t="shared" si="11"/>
        <v>8.6659866513537007E-3</v>
      </c>
      <c r="M97" s="7">
        <f t="shared" si="8"/>
        <v>6.0661906559475905E-2</v>
      </c>
      <c r="N97" s="7">
        <f t="shared" si="12"/>
        <v>4.8529525247580724E-2</v>
      </c>
      <c r="O97" s="8"/>
      <c r="P97" s="26"/>
      <c r="S97" s="10" t="str">
        <f t="shared" si="9"/>
        <v/>
      </c>
    </row>
    <row r="98" spans="5:19" x14ac:dyDescent="0.3">
      <c r="E98" s="9">
        <f>IF(DADOS!C98="","",DADOS!C98)</f>
        <v>5</v>
      </c>
      <c r="F98" s="9">
        <f>IF(DADOS!E98="","",DADOS!E98)</f>
        <v>49.5</v>
      </c>
      <c r="G98" s="9">
        <f>IF(DADOS!F98="","",DADOS!F98)</f>
        <v>6.5</v>
      </c>
      <c r="K98" s="6">
        <f t="shared" si="10"/>
        <v>15.756339366097638</v>
      </c>
      <c r="L98" s="7">
        <f t="shared" si="11"/>
        <v>1.9498469965545825E-2</v>
      </c>
      <c r="M98" s="7">
        <f t="shared" si="8"/>
        <v>0.12674005477604786</v>
      </c>
      <c r="N98" s="7">
        <f t="shared" si="12"/>
        <v>0.10139204382083829</v>
      </c>
      <c r="O98" s="8"/>
      <c r="P98" s="26"/>
      <c r="S98" s="10" t="str">
        <f t="shared" si="9"/>
        <v/>
      </c>
    </row>
    <row r="99" spans="5:19" x14ac:dyDescent="0.3">
      <c r="E99" s="9">
        <f>IF(DADOS!C99="","",DADOS!C99)</f>
        <v>5</v>
      </c>
      <c r="F99" s="9">
        <f>IF(DADOS!E99="","",DADOS!E99)</f>
        <v>37.799999999999997</v>
      </c>
      <c r="G99" s="9">
        <f>IF(DADOS!F99="","",DADOS!F99)</f>
        <v>6.5</v>
      </c>
      <c r="K99" s="6">
        <f t="shared" si="10"/>
        <v>12.032113697747286</v>
      </c>
      <c r="L99" s="7">
        <f t="shared" si="11"/>
        <v>1.1370347444371183E-2</v>
      </c>
      <c r="M99" s="7">
        <f t="shared" si="8"/>
        <v>7.3907258388412694E-2</v>
      </c>
      <c r="N99" s="7">
        <f t="shared" si="12"/>
        <v>5.9125806710730158E-2</v>
      </c>
      <c r="O99" s="8"/>
      <c r="P99" s="26"/>
      <c r="S99" s="10" t="str">
        <f t="shared" si="9"/>
        <v/>
      </c>
    </row>
    <row r="100" spans="5:19" x14ac:dyDescent="0.3">
      <c r="E100" s="9">
        <f>IF(DADOS!C100="","",DADOS!C100)</f>
        <v>5</v>
      </c>
      <c r="F100" s="9">
        <f>IF(DADOS!E100="","",DADOS!E100)</f>
        <v>50.5</v>
      </c>
      <c r="G100" s="9">
        <f>IF(DADOS!F100="","",DADOS!F100)</f>
        <v>6</v>
      </c>
      <c r="K100" s="6">
        <f t="shared" si="10"/>
        <v>16.074649252281429</v>
      </c>
      <c r="L100" s="7">
        <f t="shared" si="11"/>
        <v>2.02942446810053E-2</v>
      </c>
      <c r="M100" s="7">
        <f t="shared" si="8"/>
        <v>0.12176546808603181</v>
      </c>
      <c r="N100" s="7">
        <f t="shared" si="12"/>
        <v>9.7412374468825447E-2</v>
      </c>
      <c r="O100" s="8"/>
      <c r="P100" s="26"/>
      <c r="S100" s="10" t="str">
        <f t="shared" si="9"/>
        <v/>
      </c>
    </row>
    <row r="101" spans="5:19" x14ac:dyDescent="0.3">
      <c r="E101" s="9">
        <f>IF(DADOS!C101="","",DADOS!C101)</f>
        <v>5</v>
      </c>
      <c r="F101" s="9">
        <f>IF(DADOS!E101="","",DADOS!E101)</f>
        <v>41</v>
      </c>
      <c r="G101" s="9">
        <f>IF(DADOS!F101="","",DADOS!F101)</f>
        <v>6.5</v>
      </c>
      <c r="K101" s="6">
        <f t="shared" si="10"/>
        <v>13.050705333535419</v>
      </c>
      <c r="L101" s="7">
        <f t="shared" si="11"/>
        <v>1.3376972966873806E-2</v>
      </c>
      <c r="M101" s="7">
        <f t="shared" si="8"/>
        <v>8.6950324284679734E-2</v>
      </c>
      <c r="N101" s="7">
        <f t="shared" si="12"/>
        <v>6.9560259427743784E-2</v>
      </c>
      <c r="O101" s="8"/>
      <c r="P101" s="26"/>
      <c r="S101" s="10" t="str">
        <f t="shared" si="9"/>
        <v/>
      </c>
    </row>
    <row r="102" spans="5:19" x14ac:dyDescent="0.3">
      <c r="E102" s="9">
        <f>IF(DADOS!C102="","",DADOS!C102)</f>
        <v>5</v>
      </c>
      <c r="F102" s="9">
        <f>IF(DADOS!E102="","",DADOS!E102)</f>
        <v>20.5</v>
      </c>
      <c r="G102" s="9">
        <f>IF(DADOS!F102="","",DADOS!F102)</f>
        <v>5.5</v>
      </c>
      <c r="K102" s="6">
        <f t="shared" si="10"/>
        <v>6.5253526667677093</v>
      </c>
      <c r="L102" s="7">
        <f t="shared" si="11"/>
        <v>3.3442432417184515E-3</v>
      </c>
      <c r="M102" s="7">
        <f t="shared" si="8"/>
        <v>1.8393337829451482E-2</v>
      </c>
      <c r="N102" s="7">
        <f t="shared" si="12"/>
        <v>1.4714670263561186E-2</v>
      </c>
      <c r="O102" s="8"/>
      <c r="P102" s="26"/>
      <c r="S102" s="10" t="str">
        <f t="shared" si="9"/>
        <v/>
      </c>
    </row>
    <row r="103" spans="5:19" x14ac:dyDescent="0.3">
      <c r="E103" s="9">
        <f>IF(DADOS!C103="","",DADOS!C103)</f>
        <v>5</v>
      </c>
      <c r="F103" s="9">
        <f>IF(DADOS!E103="","",DADOS!E103)</f>
        <v>33.700000000000003</v>
      </c>
      <c r="G103" s="9">
        <f>IF(DADOS!F103="","",DADOS!F103)</f>
        <v>6</v>
      </c>
      <c r="K103" s="6">
        <f t="shared" si="10"/>
        <v>10.727043164393747</v>
      </c>
      <c r="L103" s="7">
        <f t="shared" si="11"/>
        <v>9.0375338660017325E-3</v>
      </c>
      <c r="M103" s="7">
        <f t="shared" si="8"/>
        <v>5.4225203196010395E-2</v>
      </c>
      <c r="N103" s="7">
        <f t="shared" si="12"/>
        <v>4.3380162556808322E-2</v>
      </c>
      <c r="O103" s="8"/>
      <c r="P103" s="26"/>
      <c r="S103" s="10" t="str">
        <f t="shared" si="9"/>
        <v/>
      </c>
    </row>
    <row r="104" spans="5:19" x14ac:dyDescent="0.3">
      <c r="E104" s="9">
        <f>IF(DADOS!C104="","",DADOS!C104)</f>
        <v>5</v>
      </c>
      <c r="F104" s="9">
        <f>IF(DADOS!E104="","",DADOS!E104)</f>
        <v>48.3</v>
      </c>
      <c r="G104" s="9">
        <f>IF(DADOS!F104="","",DADOS!F104)</f>
        <v>6</v>
      </c>
      <c r="K104" s="6">
        <f t="shared" si="10"/>
        <v>15.374367502677089</v>
      </c>
      <c r="L104" s="7">
        <f t="shared" si="11"/>
        <v>1.8564548759482581E-2</v>
      </c>
      <c r="M104" s="7">
        <f t="shared" si="8"/>
        <v>0.11138729255689549</v>
      </c>
      <c r="N104" s="7">
        <f t="shared" si="12"/>
        <v>8.9109834045516395E-2</v>
      </c>
      <c r="O104" s="8"/>
      <c r="P104" s="26"/>
      <c r="S104" s="10" t="str">
        <f t="shared" si="9"/>
        <v/>
      </c>
    </row>
    <row r="105" spans="5:19" x14ac:dyDescent="0.3">
      <c r="E105" s="9">
        <f>IF(DADOS!C105="","",DADOS!C105)</f>
        <v>5</v>
      </c>
      <c r="F105" s="9">
        <f>IF(DADOS!E105="","",DADOS!E105)</f>
        <v>32.5</v>
      </c>
      <c r="G105" s="9">
        <f>IF(DADOS!F105="","",DADOS!F105)</f>
        <v>6</v>
      </c>
      <c r="K105" s="6">
        <f t="shared" si="10"/>
        <v>10.345071300973197</v>
      </c>
      <c r="L105" s="7">
        <f t="shared" si="11"/>
        <v>8.4053704320407232E-3</v>
      </c>
      <c r="M105" s="7">
        <f t="shared" si="8"/>
        <v>5.0432222592244336E-2</v>
      </c>
      <c r="N105" s="7">
        <f t="shared" si="12"/>
        <v>4.0345778073795469E-2</v>
      </c>
      <c r="O105" s="8"/>
      <c r="P105" s="26"/>
      <c r="S105" s="10" t="str">
        <f t="shared" si="9"/>
        <v/>
      </c>
    </row>
    <row r="106" spans="5:19" x14ac:dyDescent="0.3">
      <c r="E106" s="9">
        <f>IF(DADOS!C106="","",DADOS!C106)</f>
        <v>5</v>
      </c>
      <c r="F106" s="9">
        <f>IF(DADOS!E106="","",DADOS!E106)</f>
        <v>20.8</v>
      </c>
      <c r="G106" s="9">
        <f>IF(DADOS!F106="","",DADOS!F106)</f>
        <v>6.5</v>
      </c>
      <c r="K106" s="6">
        <f t="shared" si="10"/>
        <v>6.6208456326228466</v>
      </c>
      <c r="L106" s="7">
        <f t="shared" si="11"/>
        <v>3.4428397289638802E-3</v>
      </c>
      <c r="M106" s="7">
        <f t="shared" si="8"/>
        <v>2.237845823826522E-2</v>
      </c>
      <c r="N106" s="7">
        <f t="shared" si="12"/>
        <v>1.7902766590612178E-2</v>
      </c>
      <c r="O106" s="8"/>
      <c r="P106" s="26"/>
      <c r="S106" s="10" t="str">
        <f t="shared" si="9"/>
        <v/>
      </c>
    </row>
    <row r="107" spans="5:19" x14ac:dyDescent="0.3">
      <c r="E107" s="9">
        <f>IF(DADOS!C107="","",DADOS!C107)</f>
        <v>5</v>
      </c>
      <c r="F107" s="9">
        <f>IF(DADOS!E107="","",DADOS!E107)</f>
        <v>30.9</v>
      </c>
      <c r="G107" s="9">
        <f>IF(DADOS!F107="","",DADOS!F107)</f>
        <v>5</v>
      </c>
      <c r="K107" s="6">
        <f t="shared" si="10"/>
        <v>9.8357754830791322</v>
      </c>
      <c r="L107" s="7">
        <f t="shared" si="11"/>
        <v>7.5981365606786295E-3</v>
      </c>
      <c r="M107" s="7">
        <f t="shared" si="8"/>
        <v>3.7990682803393148E-2</v>
      </c>
      <c r="N107" s="7">
        <f t="shared" si="12"/>
        <v>3.0392546242714522E-2</v>
      </c>
      <c r="O107" s="8"/>
      <c r="P107" s="26"/>
      <c r="S107" s="10" t="str">
        <f t="shared" si="9"/>
        <v/>
      </c>
    </row>
    <row r="108" spans="5:19" x14ac:dyDescent="0.3">
      <c r="E108" s="9">
        <f>IF(DADOS!C108="","",DADOS!C108)</f>
        <v>5</v>
      </c>
      <c r="F108" s="9">
        <f>IF(DADOS!E108="","",DADOS!E108)</f>
        <v>24</v>
      </c>
      <c r="G108" s="9">
        <f>IF(DADOS!F108="","",DADOS!F108)</f>
        <v>4</v>
      </c>
      <c r="K108" s="6">
        <f t="shared" si="10"/>
        <v>7.6394372684109761</v>
      </c>
      <c r="L108" s="7">
        <f t="shared" si="11"/>
        <v>4.5836623610465855E-3</v>
      </c>
      <c r="M108" s="7">
        <f t="shared" si="8"/>
        <v>1.8334649444186342E-2</v>
      </c>
      <c r="N108" s="7">
        <f t="shared" si="12"/>
        <v>1.4667719555349075E-2</v>
      </c>
      <c r="O108" s="8"/>
      <c r="P108" s="26"/>
      <c r="S108" s="10" t="str">
        <f t="shared" si="9"/>
        <v/>
      </c>
    </row>
    <row r="109" spans="5:19" x14ac:dyDescent="0.3">
      <c r="E109" s="9">
        <f>IF(DADOS!C109="","",DADOS!C109)</f>
        <v>5</v>
      </c>
      <c r="F109" s="9">
        <f>IF(DADOS!E109="","",DADOS!E109)</f>
        <v>74.599999999999994</v>
      </c>
      <c r="G109" s="9">
        <f>IF(DADOS!F109="","",DADOS!F109)</f>
        <v>8</v>
      </c>
      <c r="K109" s="6">
        <f t="shared" si="10"/>
        <v>23.745917509310782</v>
      </c>
      <c r="L109" s="7">
        <f t="shared" si="11"/>
        <v>4.4286136154864604E-2</v>
      </c>
      <c r="M109" s="7">
        <f t="shared" si="8"/>
        <v>0.35428908923891683</v>
      </c>
      <c r="N109" s="7">
        <f t="shared" si="12"/>
        <v>0.2834312713911335</v>
      </c>
      <c r="O109" s="8"/>
      <c r="P109" s="26"/>
      <c r="S109" s="10" t="str">
        <f t="shared" si="9"/>
        <v/>
      </c>
    </row>
    <row r="110" spans="5:19" x14ac:dyDescent="0.3">
      <c r="E110" s="9">
        <f>IF(DADOS!C110="","",DADOS!C110)</f>
        <v>5</v>
      </c>
      <c r="F110" s="9">
        <f>IF(DADOS!E110="","",DADOS!E110)</f>
        <v>54.6</v>
      </c>
      <c r="G110" s="9">
        <f>IF(DADOS!F110="","",DADOS!F110)</f>
        <v>8</v>
      </c>
      <c r="K110" s="6">
        <f t="shared" si="10"/>
        <v>17.379719785634972</v>
      </c>
      <c r="L110" s="7">
        <f t="shared" si="11"/>
        <v>2.3723317507391734E-2</v>
      </c>
      <c r="M110" s="7">
        <f t="shared" si="8"/>
        <v>0.18978654005913387</v>
      </c>
      <c r="N110" s="7">
        <f t="shared" si="12"/>
        <v>0.15182923204730711</v>
      </c>
      <c r="O110" s="8"/>
      <c r="P110" s="26"/>
      <c r="S110" s="10" t="str">
        <f t="shared" si="9"/>
        <v/>
      </c>
    </row>
    <row r="111" spans="5:19" x14ac:dyDescent="0.3">
      <c r="E111" s="9">
        <f>IF(DADOS!C111="","",DADOS!C111)</f>
        <v>5</v>
      </c>
      <c r="F111" s="9">
        <f>IF(DADOS!E111="","",DADOS!E111)</f>
        <v>71.3</v>
      </c>
      <c r="G111" s="9">
        <f>IF(DADOS!F111="","",DADOS!F111)</f>
        <v>8</v>
      </c>
      <c r="K111" s="6">
        <f t="shared" si="10"/>
        <v>22.695494884904274</v>
      </c>
      <c r="L111" s="7">
        <f t="shared" si="11"/>
        <v>4.0454719632341866E-2</v>
      </c>
      <c r="M111" s="7">
        <f t="shared" si="8"/>
        <v>0.32363775705873493</v>
      </c>
      <c r="N111" s="7">
        <f t="shared" si="12"/>
        <v>0.25891020564698797</v>
      </c>
      <c r="O111" s="8"/>
      <c r="P111" s="26"/>
      <c r="S111" s="10" t="str">
        <f t="shared" si="9"/>
        <v/>
      </c>
    </row>
    <row r="112" spans="5:19" x14ac:dyDescent="0.3">
      <c r="E112" s="9">
        <f>IF(DADOS!C112="","",DADOS!C112)</f>
        <v>5</v>
      </c>
      <c r="F112" s="9">
        <f>IF(DADOS!E112="","",DADOS!E112)</f>
        <v>98.5</v>
      </c>
      <c r="G112" s="9">
        <f>IF(DADOS!F112="","",DADOS!F112)</f>
        <v>8</v>
      </c>
      <c r="K112" s="6">
        <f t="shared" si="10"/>
        <v>31.353523789103381</v>
      </c>
      <c r="L112" s="7">
        <f t="shared" si="11"/>
        <v>7.7208052330667062E-2</v>
      </c>
      <c r="M112" s="7">
        <f t="shared" si="8"/>
        <v>0.6176644186453365</v>
      </c>
      <c r="N112" s="7">
        <f t="shared" si="12"/>
        <v>0.49413153491626921</v>
      </c>
      <c r="O112" s="8"/>
      <c r="P112" s="26"/>
      <c r="S112" s="10" t="str">
        <f t="shared" si="9"/>
        <v/>
      </c>
    </row>
    <row r="113" spans="5:19" x14ac:dyDescent="0.3">
      <c r="E113" s="9">
        <f>IF(DADOS!C113="","",DADOS!C113)</f>
        <v>5</v>
      </c>
      <c r="F113" s="9">
        <f>IF(DADOS!E113="","",DADOS!E113)</f>
        <v>90.8</v>
      </c>
      <c r="G113" s="9">
        <f>IF(DADOS!F113="","",DADOS!F113)</f>
        <v>10</v>
      </c>
      <c r="K113" s="6">
        <f t="shared" si="10"/>
        <v>28.902537665488193</v>
      </c>
      <c r="L113" s="7">
        <f t="shared" si="11"/>
        <v>6.5608760500658198E-2</v>
      </c>
      <c r="M113" s="7">
        <f t="shared" si="8"/>
        <v>0.65608760500658203</v>
      </c>
      <c r="N113" s="7">
        <f t="shared" si="12"/>
        <v>0.52487008400526569</v>
      </c>
      <c r="O113" s="8"/>
      <c r="P113" s="26"/>
      <c r="S113" s="10" t="str">
        <f t="shared" si="9"/>
        <v/>
      </c>
    </row>
    <row r="114" spans="5:19" x14ac:dyDescent="0.3">
      <c r="E114" s="9">
        <f>IF(DADOS!C114="","",DADOS!C114)</f>
        <v>5</v>
      </c>
      <c r="F114" s="9">
        <f>IF(DADOS!E114="","",DADOS!E114)</f>
        <v>147</v>
      </c>
      <c r="G114" s="9">
        <f>IF(DADOS!F114="","",DADOS!F114)</f>
        <v>10</v>
      </c>
      <c r="K114" s="6">
        <f t="shared" si="10"/>
        <v>46.791553269017228</v>
      </c>
      <c r="L114" s="7">
        <f t="shared" si="11"/>
        <v>0.1719589582636383</v>
      </c>
      <c r="M114" s="7">
        <f t="shared" si="8"/>
        <v>1.719589582636383</v>
      </c>
      <c r="N114" s="7">
        <f t="shared" si="12"/>
        <v>1.3756716661091064</v>
      </c>
      <c r="O114" s="8"/>
      <c r="P114" s="26"/>
      <c r="S114" s="10" t="str">
        <f t="shared" si="9"/>
        <v/>
      </c>
    </row>
    <row r="115" spans="5:19" x14ac:dyDescent="0.3">
      <c r="E115" s="9">
        <f>IF(DADOS!C115="","",DADOS!C115)</f>
        <v>5</v>
      </c>
      <c r="F115" s="9">
        <f>IF(DADOS!E115="","",DADOS!E115)</f>
        <v>103</v>
      </c>
      <c r="G115" s="9">
        <f>IF(DADOS!F115="","",DADOS!F115)</f>
        <v>9</v>
      </c>
      <c r="K115" s="6">
        <f t="shared" si="10"/>
        <v>32.785918276930438</v>
      </c>
      <c r="L115" s="7">
        <f t="shared" si="11"/>
        <v>8.4423739563095873E-2</v>
      </c>
      <c r="M115" s="7">
        <f t="shared" si="8"/>
        <v>0.75981365606786289</v>
      </c>
      <c r="N115" s="7">
        <f t="shared" si="12"/>
        <v>0.60785092485429038</v>
      </c>
      <c r="O115" s="8"/>
      <c r="P115" s="26"/>
      <c r="S115" s="10" t="str">
        <f t="shared" si="9"/>
        <v/>
      </c>
    </row>
    <row r="116" spans="5:19" x14ac:dyDescent="0.3">
      <c r="E116" s="9">
        <f>IF(DADOS!C116="","",DADOS!C116)</f>
        <v>5</v>
      </c>
      <c r="F116" s="9">
        <f>IF(DADOS!E116="","",DADOS!E116)</f>
        <v>114.9</v>
      </c>
      <c r="G116" s="9">
        <f>IF(DADOS!F116="","",DADOS!F116)</f>
        <v>10</v>
      </c>
      <c r="K116" s="6">
        <f t="shared" si="10"/>
        <v>36.57380592251755</v>
      </c>
      <c r="L116" s="7">
        <f t="shared" si="11"/>
        <v>0.10505825751243167</v>
      </c>
      <c r="M116" s="7">
        <f t="shared" si="8"/>
        <v>1.0505825751243167</v>
      </c>
      <c r="N116" s="7">
        <f t="shared" si="12"/>
        <v>0.84046606009945346</v>
      </c>
      <c r="O116" s="8"/>
      <c r="P116" s="26"/>
      <c r="S116" s="10" t="str">
        <f t="shared" si="9"/>
        <v/>
      </c>
    </row>
    <row r="117" spans="5:19" x14ac:dyDescent="0.3">
      <c r="E117" s="9">
        <f>IF(DADOS!C117="","",DADOS!C117)</f>
        <v>5</v>
      </c>
      <c r="F117" s="9">
        <f>IF(DADOS!E117="","",DADOS!E117)</f>
        <v>132.6</v>
      </c>
      <c r="G117" s="9">
        <f>IF(DADOS!F117="","",DADOS!F117)</f>
        <v>10</v>
      </c>
      <c r="K117" s="6">
        <f t="shared" si="10"/>
        <v>42.207890907970643</v>
      </c>
      <c r="L117" s="7">
        <f t="shared" si="11"/>
        <v>0.13991915835992266</v>
      </c>
      <c r="M117" s="7">
        <f t="shared" si="8"/>
        <v>1.3991915835992266</v>
      </c>
      <c r="N117" s="7">
        <f t="shared" si="12"/>
        <v>1.1193532668793813</v>
      </c>
      <c r="O117" s="8"/>
      <c r="P117" s="26"/>
      <c r="S117" s="10" t="str">
        <f t="shared" si="9"/>
        <v/>
      </c>
    </row>
    <row r="118" spans="5:19" x14ac:dyDescent="0.3">
      <c r="E118" s="9">
        <f>IF(DADOS!C118="","",DADOS!C118)</f>
        <v>5</v>
      </c>
      <c r="F118" s="9">
        <f>IF(DADOS!E118="","",DADOS!E118)</f>
        <v>37.4</v>
      </c>
      <c r="G118" s="9">
        <f>IF(DADOS!F118="","",DADOS!F118)</f>
        <v>8</v>
      </c>
      <c r="K118" s="6">
        <f t="shared" si="10"/>
        <v>11.904789743273771</v>
      </c>
      <c r="L118" s="7">
        <f t="shared" si="11"/>
        <v>1.1130978409960976E-2</v>
      </c>
      <c r="M118" s="7">
        <f t="shared" si="8"/>
        <v>8.9047827279687811E-2</v>
      </c>
      <c r="N118" s="7">
        <f t="shared" si="12"/>
        <v>7.1238261823750246E-2</v>
      </c>
      <c r="O118" s="8"/>
      <c r="P118" s="26"/>
      <c r="S118" s="10" t="str">
        <f t="shared" si="9"/>
        <v/>
      </c>
    </row>
    <row r="119" spans="5:19" x14ac:dyDescent="0.3">
      <c r="E119" s="9">
        <f>IF(DADOS!C119="","",DADOS!C119)</f>
        <v>6</v>
      </c>
      <c r="F119" s="9">
        <f>IF(DADOS!E119="","",DADOS!E119)</f>
        <v>17</v>
      </c>
      <c r="G119" s="9">
        <f>IF(DADOS!F119="","",DADOS!F119)</f>
        <v>7</v>
      </c>
      <c r="K119" s="6">
        <f t="shared" si="10"/>
        <v>5.4112680651244416</v>
      </c>
      <c r="L119" s="7">
        <f t="shared" si="11"/>
        <v>2.2997889276778873E-3</v>
      </c>
      <c r="M119" s="7">
        <f t="shared" si="8"/>
        <v>1.6098522493745212E-2</v>
      </c>
      <c r="N119" s="7">
        <f t="shared" si="12"/>
        <v>1.287881799499617E-2</v>
      </c>
      <c r="O119" s="8"/>
      <c r="P119" s="26"/>
      <c r="S119" s="10" t="str">
        <f t="shared" si="9"/>
        <v/>
      </c>
    </row>
    <row r="120" spans="5:19" x14ac:dyDescent="0.3">
      <c r="E120" s="9">
        <f>IF(DADOS!C120="","",DADOS!C120)</f>
        <v>6</v>
      </c>
      <c r="F120" s="9">
        <f>IF(DADOS!E120="","",DADOS!E120)</f>
        <v>31.5</v>
      </c>
      <c r="G120" s="9">
        <f>IF(DADOS!F120="","",DADOS!F120)</f>
        <v>7.5</v>
      </c>
      <c r="K120" s="6">
        <f t="shared" si="10"/>
        <v>10.026761414789407</v>
      </c>
      <c r="L120" s="7">
        <f t="shared" si="11"/>
        <v>7.8960746141466583E-3</v>
      </c>
      <c r="M120" s="7">
        <f t="shared" si="8"/>
        <v>5.922055960609994E-2</v>
      </c>
      <c r="N120" s="7">
        <f t="shared" si="12"/>
        <v>4.7376447684879953E-2</v>
      </c>
      <c r="O120" s="8"/>
      <c r="P120" s="26"/>
      <c r="S120" s="10" t="str">
        <f t="shared" si="9"/>
        <v/>
      </c>
    </row>
    <row r="121" spans="5:19" x14ac:dyDescent="0.3">
      <c r="E121" s="9">
        <f>IF(DADOS!C121="","",DADOS!C121)</f>
        <v>6</v>
      </c>
      <c r="F121" s="9">
        <f>IF(DADOS!E121="","",DADOS!E121)</f>
        <v>37.799999999999997</v>
      </c>
      <c r="G121" s="9">
        <f>IF(DADOS!F121="","",DADOS!F121)</f>
        <v>7</v>
      </c>
      <c r="K121" s="6">
        <f t="shared" si="10"/>
        <v>12.032113697747286</v>
      </c>
      <c r="L121" s="7">
        <f t="shared" si="11"/>
        <v>1.1370347444371183E-2</v>
      </c>
      <c r="M121" s="7">
        <f t="shared" si="8"/>
        <v>7.9592432110598285E-2</v>
      </c>
      <c r="N121" s="7">
        <f t="shared" si="12"/>
        <v>6.3673945688478631E-2</v>
      </c>
      <c r="O121" s="8"/>
      <c r="P121" s="26"/>
      <c r="S121" s="10" t="str">
        <f t="shared" si="9"/>
        <v/>
      </c>
    </row>
    <row r="122" spans="5:19" x14ac:dyDescent="0.3">
      <c r="E122" s="9">
        <f>IF(DADOS!C122="","",DADOS!C122)</f>
        <v>6</v>
      </c>
      <c r="F122" s="9">
        <f>IF(DADOS!E122="","",DADOS!E122)</f>
        <v>62.3</v>
      </c>
      <c r="G122" s="9">
        <f>IF(DADOS!F122="","",DADOS!F122)</f>
        <v>7</v>
      </c>
      <c r="K122" s="6">
        <f t="shared" si="10"/>
        <v>19.83070590925016</v>
      </c>
      <c r="L122" s="7">
        <f t="shared" si="11"/>
        <v>3.0886324453657125E-2</v>
      </c>
      <c r="M122" s="7">
        <f t="shared" si="8"/>
        <v>0.21620427117559987</v>
      </c>
      <c r="N122" s="7">
        <f t="shared" si="12"/>
        <v>0.1729634169404799</v>
      </c>
      <c r="O122" s="8"/>
      <c r="P122" s="26"/>
      <c r="S122" s="10" t="str">
        <f t="shared" si="9"/>
        <v/>
      </c>
    </row>
    <row r="123" spans="5:19" x14ac:dyDescent="0.3">
      <c r="E123" s="9">
        <f>IF(DADOS!C123="","",DADOS!C123)</f>
        <v>6</v>
      </c>
      <c r="F123" s="9">
        <f>IF(DADOS!E123="","",DADOS!E123)</f>
        <v>35.200000000000003</v>
      </c>
      <c r="G123" s="9">
        <f>IF(DADOS!F123="","",DADOS!F123)</f>
        <v>7.5</v>
      </c>
      <c r="K123" s="6">
        <f t="shared" si="10"/>
        <v>11.204507993669433</v>
      </c>
      <c r="L123" s="7">
        <f t="shared" si="11"/>
        <v>9.8599670344291009E-3</v>
      </c>
      <c r="M123" s="7">
        <f t="shared" si="8"/>
        <v>7.394975275821826E-2</v>
      </c>
      <c r="N123" s="7">
        <f t="shared" si="12"/>
        <v>5.9159802206574609E-2</v>
      </c>
      <c r="O123" s="8"/>
      <c r="P123" s="26"/>
      <c r="S123" s="10" t="str">
        <f t="shared" si="9"/>
        <v/>
      </c>
    </row>
    <row r="124" spans="5:19" x14ac:dyDescent="0.3">
      <c r="E124" s="9">
        <f>IF(DADOS!C124="","",DADOS!C124)</f>
        <v>6</v>
      </c>
      <c r="F124" s="9">
        <f>IF(DADOS!E124="","",DADOS!E124)</f>
        <v>22.1</v>
      </c>
      <c r="G124" s="9">
        <f>IF(DADOS!F124="","",DADOS!F124)</f>
        <v>7</v>
      </c>
      <c r="K124" s="6">
        <f t="shared" si="10"/>
        <v>7.0346484846617745</v>
      </c>
      <c r="L124" s="7">
        <f t="shared" si="11"/>
        <v>3.8866432877756301E-3</v>
      </c>
      <c r="M124" s="7">
        <f t="shared" si="8"/>
        <v>2.7206503014429409E-2</v>
      </c>
      <c r="N124" s="7">
        <f t="shared" si="12"/>
        <v>2.1765202411543529E-2</v>
      </c>
      <c r="O124" s="8"/>
      <c r="P124" s="26"/>
      <c r="S124" s="10" t="str">
        <f t="shared" si="9"/>
        <v/>
      </c>
    </row>
    <row r="125" spans="5:19" x14ac:dyDescent="0.3">
      <c r="E125" s="9">
        <f>IF(DADOS!C125="","",DADOS!C125)</f>
        <v>6</v>
      </c>
      <c r="F125" s="9">
        <f>IF(DADOS!E125="","",DADOS!E125)</f>
        <v>94.3</v>
      </c>
      <c r="G125" s="9">
        <f>IF(DADOS!F125="","",DADOS!F125)</f>
        <v>7</v>
      </c>
      <c r="K125" s="6">
        <f t="shared" si="10"/>
        <v>30.01662226713146</v>
      </c>
      <c r="L125" s="7">
        <f t="shared" si="11"/>
        <v>7.0764186994762418E-2</v>
      </c>
      <c r="M125" s="7">
        <f t="shared" si="8"/>
        <v>0.49534930896333695</v>
      </c>
      <c r="N125" s="7">
        <f t="shared" si="12"/>
        <v>0.3962794471706696</v>
      </c>
      <c r="O125" s="8"/>
      <c r="P125" s="26"/>
      <c r="S125" s="10" t="str">
        <f t="shared" si="9"/>
        <v/>
      </c>
    </row>
    <row r="126" spans="5:19" x14ac:dyDescent="0.3">
      <c r="E126" s="9">
        <f>IF(DADOS!C126="","",DADOS!C126)</f>
        <v>6</v>
      </c>
      <c r="F126" s="9">
        <f>IF(DADOS!E126="","",DADOS!E126)</f>
        <v>36.4</v>
      </c>
      <c r="G126" s="9">
        <f>IF(DADOS!F126="","",DADOS!F126)</f>
        <v>5</v>
      </c>
      <c r="K126" s="6">
        <f t="shared" si="10"/>
        <v>11.58647985708998</v>
      </c>
      <c r="L126" s="7">
        <f t="shared" si="11"/>
        <v>1.054369666995188E-2</v>
      </c>
      <c r="M126" s="7">
        <f t="shared" si="8"/>
        <v>5.2718483349759399E-2</v>
      </c>
      <c r="N126" s="7">
        <f t="shared" si="12"/>
        <v>4.2174786679807522E-2</v>
      </c>
      <c r="O126" s="8"/>
      <c r="P126" s="26"/>
      <c r="S126" s="10" t="str">
        <f t="shared" si="9"/>
        <v/>
      </c>
    </row>
    <row r="127" spans="5:19" x14ac:dyDescent="0.3">
      <c r="E127" s="9">
        <f>IF(DADOS!C127="","",DADOS!C127)</f>
        <v>6</v>
      </c>
      <c r="F127" s="9">
        <f>IF(DADOS!E127="","",DADOS!E127)</f>
        <v>23.5</v>
      </c>
      <c r="G127" s="9">
        <f>IF(DADOS!F127="","",DADOS!F127)</f>
        <v>5</v>
      </c>
      <c r="K127" s="6">
        <f t="shared" si="10"/>
        <v>7.4802823253190809</v>
      </c>
      <c r="L127" s="7">
        <f t="shared" si="11"/>
        <v>4.3946658661249598E-3</v>
      </c>
      <c r="M127" s="7">
        <f t="shared" si="8"/>
        <v>2.1973329330624798E-2</v>
      </c>
      <c r="N127" s="7">
        <f t="shared" si="12"/>
        <v>1.7578663464499839E-2</v>
      </c>
      <c r="O127" s="8"/>
      <c r="P127" s="26"/>
      <c r="S127" s="10" t="str">
        <f t="shared" si="9"/>
        <v/>
      </c>
    </row>
    <row r="128" spans="5:19" x14ac:dyDescent="0.3">
      <c r="E128" s="9">
        <f>IF(DADOS!C128="","",DADOS!C128)</f>
        <v>6</v>
      </c>
      <c r="F128" s="9">
        <f>IF(DADOS!E128="","",DADOS!E128)</f>
        <v>25.5</v>
      </c>
      <c r="G128" s="9">
        <f>IF(DADOS!F128="","",DADOS!F128)</f>
        <v>5.5</v>
      </c>
      <c r="K128" s="6">
        <f t="shared" si="10"/>
        <v>8.1169020976866619</v>
      </c>
      <c r="L128" s="7">
        <f t="shared" si="11"/>
        <v>5.1745250872752471E-3</v>
      </c>
      <c r="M128" s="7">
        <f t="shared" si="8"/>
        <v>2.8459887980013858E-2</v>
      </c>
      <c r="N128" s="7">
        <f t="shared" si="12"/>
        <v>2.2767910384011089E-2</v>
      </c>
      <c r="O128" s="8"/>
      <c r="P128" s="26"/>
      <c r="S128" s="10" t="str">
        <f t="shared" si="9"/>
        <v/>
      </c>
    </row>
    <row r="129" spans="5:19" x14ac:dyDescent="0.3">
      <c r="E129" s="9">
        <f>IF(DADOS!C129="","",DADOS!C129)</f>
        <v>6</v>
      </c>
      <c r="F129" s="9">
        <f>IF(DADOS!E129="","",DADOS!E129)</f>
        <v>19.5</v>
      </c>
      <c r="G129" s="9">
        <f>IF(DADOS!F129="","",DADOS!F129)</f>
        <v>5</v>
      </c>
      <c r="K129" s="6">
        <f t="shared" si="10"/>
        <v>6.2070427805839179</v>
      </c>
      <c r="L129" s="7">
        <f t="shared" si="11"/>
        <v>3.0259333555346596E-3</v>
      </c>
      <c r="M129" s="7">
        <f t="shared" si="8"/>
        <v>1.5129666777673297E-2</v>
      </c>
      <c r="N129" s="7">
        <f t="shared" si="12"/>
        <v>1.2103733422138638E-2</v>
      </c>
      <c r="O129" s="8"/>
      <c r="P129" s="26"/>
      <c r="S129" s="10" t="str">
        <f t="shared" si="9"/>
        <v/>
      </c>
    </row>
    <row r="130" spans="5:19" x14ac:dyDescent="0.3">
      <c r="E130" s="9">
        <f>IF(DADOS!C130="","",DADOS!C130)</f>
        <v>6</v>
      </c>
      <c r="F130" s="9">
        <f>IF(DADOS!E130="","",DADOS!E130)</f>
        <v>29.7</v>
      </c>
      <c r="G130" s="9">
        <f>IF(DADOS!F130="","",DADOS!F130)</f>
        <v>6</v>
      </c>
      <c r="K130" s="6">
        <f t="shared" si="10"/>
        <v>9.4538036196585828</v>
      </c>
      <c r="L130" s="7">
        <f t="shared" si="11"/>
        <v>7.019449187596497E-3</v>
      </c>
      <c r="M130" s="7">
        <f t="shared" si="8"/>
        <v>4.211669512557898E-2</v>
      </c>
      <c r="N130" s="7">
        <f t="shared" si="12"/>
        <v>3.3693356100463187E-2</v>
      </c>
      <c r="O130" s="8"/>
      <c r="P130" s="26"/>
      <c r="S130" s="10" t="str">
        <f t="shared" si="9"/>
        <v/>
      </c>
    </row>
    <row r="131" spans="5:19" x14ac:dyDescent="0.3">
      <c r="E131" s="9">
        <f>IF(DADOS!C131="","",DADOS!C131)</f>
        <v>6</v>
      </c>
      <c r="F131" s="9">
        <f>IF(DADOS!E131="","",DADOS!E131)</f>
        <v>18.8</v>
      </c>
      <c r="G131" s="9">
        <f>IF(DADOS!F131="","",DADOS!F131)</f>
        <v>6</v>
      </c>
      <c r="K131" s="6">
        <f t="shared" si="10"/>
        <v>5.9842258602552647</v>
      </c>
      <c r="L131" s="7">
        <f t="shared" si="11"/>
        <v>2.8125861543199745E-3</v>
      </c>
      <c r="M131" s="7">
        <f t="shared" ref="M131:M194" si="13">IF(L131="","",L131*G131)</f>
        <v>1.6875516925919848E-2</v>
      </c>
      <c r="N131" s="7">
        <f t="shared" si="12"/>
        <v>1.3500413540735879E-2</v>
      </c>
      <c r="O131" s="8"/>
      <c r="P131" s="26"/>
      <c r="S131" s="10" t="str">
        <f t="shared" ref="S131:S194" si="14">IF(R131="","",SUMIFS($N$3:$N$10000,$E$3:$E$10000,R131))</f>
        <v/>
      </c>
    </row>
    <row r="132" spans="5:19" x14ac:dyDescent="0.3">
      <c r="E132" s="9">
        <f>IF(DADOS!C132="","",DADOS!C132)</f>
        <v>6</v>
      </c>
      <c r="F132" s="9">
        <f>IF(DADOS!E132="","",DADOS!E132)</f>
        <v>27.3</v>
      </c>
      <c r="G132" s="9">
        <f>IF(DADOS!F132="","",DADOS!F132)</f>
        <v>5</v>
      </c>
      <c r="K132" s="6">
        <f t="shared" ref="K132:K195" si="15">IF(F132="","",F132/PI())</f>
        <v>8.6898598928174859</v>
      </c>
      <c r="L132" s="7">
        <f t="shared" ref="L132:L195" si="16">IF(K132="","",(PI()*K132^2)/40000)</f>
        <v>5.9308293768479334E-3</v>
      </c>
      <c r="M132" s="7">
        <f t="shared" si="13"/>
        <v>2.9654146884239667E-2</v>
      </c>
      <c r="N132" s="7">
        <f t="shared" ref="N132:N195" si="17">IF(M132="","",M132*N$1)</f>
        <v>2.3723317507391734E-2</v>
      </c>
      <c r="O132" s="8"/>
      <c r="P132" s="26"/>
      <c r="S132" s="10" t="str">
        <f t="shared" si="14"/>
        <v/>
      </c>
    </row>
    <row r="133" spans="5:19" x14ac:dyDescent="0.3">
      <c r="E133" s="9">
        <f>IF(DADOS!C133="","",DADOS!C133)</f>
        <v>6</v>
      </c>
      <c r="F133" s="9">
        <f>IF(DADOS!E133="","",DADOS!E133)</f>
        <v>24.8</v>
      </c>
      <c r="G133" s="9">
        <f>IF(DADOS!F133="","",DADOS!F133)</f>
        <v>5</v>
      </c>
      <c r="K133" s="6">
        <f t="shared" si="15"/>
        <v>7.8940851773580096</v>
      </c>
      <c r="L133" s="7">
        <f t="shared" si="16"/>
        <v>4.8943328099619659E-3</v>
      </c>
      <c r="M133" s="7">
        <f t="shared" si="13"/>
        <v>2.447166404980983E-2</v>
      </c>
      <c r="N133" s="7">
        <f t="shared" si="17"/>
        <v>1.9577331239847867E-2</v>
      </c>
      <c r="O133" s="8"/>
      <c r="P133" s="26"/>
      <c r="S133" s="10" t="str">
        <f t="shared" si="14"/>
        <v/>
      </c>
    </row>
    <row r="134" spans="5:19" x14ac:dyDescent="0.3">
      <c r="E134" s="9">
        <f>IF(DADOS!C134="","",DADOS!C134)</f>
        <v>6</v>
      </c>
      <c r="F134" s="9">
        <f>IF(DADOS!E134="","",DADOS!E134)</f>
        <v>25.5</v>
      </c>
      <c r="G134" s="9">
        <f>IF(DADOS!F134="","",DADOS!F134)</f>
        <v>5</v>
      </c>
      <c r="K134" s="6">
        <f t="shared" si="15"/>
        <v>8.1169020976866619</v>
      </c>
      <c r="L134" s="7">
        <f t="shared" si="16"/>
        <v>5.1745250872752471E-3</v>
      </c>
      <c r="M134" s="7">
        <f t="shared" si="13"/>
        <v>2.5872625436376237E-2</v>
      </c>
      <c r="N134" s="7">
        <f t="shared" si="17"/>
        <v>2.0698100349100992E-2</v>
      </c>
      <c r="O134" s="8"/>
      <c r="P134" s="26"/>
      <c r="S134" s="10" t="str">
        <f t="shared" si="14"/>
        <v/>
      </c>
    </row>
    <row r="135" spans="5:19" x14ac:dyDescent="0.3">
      <c r="E135" s="9">
        <f>IF(DADOS!C135="","",DADOS!C135)</f>
        <v>6</v>
      </c>
      <c r="F135" s="9">
        <f>IF(DADOS!E135="","",DADOS!E135)</f>
        <v>16</v>
      </c>
      <c r="G135" s="9">
        <f>IF(DADOS!F135="","",DADOS!F135)</f>
        <v>4</v>
      </c>
      <c r="K135" s="6">
        <f t="shared" si="15"/>
        <v>5.0929581789406511</v>
      </c>
      <c r="L135" s="7">
        <f t="shared" si="16"/>
        <v>2.0371832715762603E-3</v>
      </c>
      <c r="M135" s="7">
        <f t="shared" si="13"/>
        <v>8.1487330863050413E-3</v>
      </c>
      <c r="N135" s="7">
        <f t="shared" si="17"/>
        <v>6.5189864690440337E-3</v>
      </c>
      <c r="O135" s="8"/>
      <c r="P135" s="26"/>
      <c r="S135" s="10" t="str">
        <f t="shared" si="14"/>
        <v/>
      </c>
    </row>
    <row r="136" spans="5:19" x14ac:dyDescent="0.3">
      <c r="E136" s="9">
        <f>IF(DADOS!C136="","",DADOS!C136)</f>
        <v>6</v>
      </c>
      <c r="F136" s="9">
        <f>IF(DADOS!E136="","",DADOS!E136)</f>
        <v>22.3</v>
      </c>
      <c r="G136" s="9">
        <f>IF(DADOS!F136="","",DADOS!F136)</f>
        <v>5</v>
      </c>
      <c r="K136" s="6">
        <f t="shared" si="15"/>
        <v>7.0983104618985324</v>
      </c>
      <c r="L136" s="7">
        <f t="shared" si="16"/>
        <v>3.9573080825084329E-3</v>
      </c>
      <c r="M136" s="7">
        <f t="shared" si="13"/>
        <v>1.9786540412542165E-2</v>
      </c>
      <c r="N136" s="7">
        <f t="shared" si="17"/>
        <v>1.5829232330033732E-2</v>
      </c>
      <c r="O136" s="8"/>
      <c r="P136" s="26"/>
      <c r="S136" s="10" t="str">
        <f t="shared" si="14"/>
        <v/>
      </c>
    </row>
    <row r="137" spans="5:19" x14ac:dyDescent="0.3">
      <c r="E137" s="9">
        <f>IF(DADOS!C137="","",DADOS!C137)</f>
        <v>6</v>
      </c>
      <c r="F137" s="9">
        <f>IF(DADOS!E137="","",DADOS!E137)</f>
        <v>24</v>
      </c>
      <c r="G137" s="9">
        <f>IF(DADOS!F137="","",DADOS!F137)</f>
        <v>5</v>
      </c>
      <c r="K137" s="6">
        <f t="shared" si="15"/>
        <v>7.6394372684109761</v>
      </c>
      <c r="L137" s="7">
        <f t="shared" si="16"/>
        <v>4.5836623610465855E-3</v>
      </c>
      <c r="M137" s="7">
        <f t="shared" si="13"/>
        <v>2.2918311805232926E-2</v>
      </c>
      <c r="N137" s="7">
        <f t="shared" si="17"/>
        <v>1.8334649444186342E-2</v>
      </c>
      <c r="O137" s="8"/>
      <c r="P137" s="26"/>
      <c r="S137" s="10" t="str">
        <f t="shared" si="14"/>
        <v/>
      </c>
    </row>
    <row r="138" spans="5:19" x14ac:dyDescent="0.3">
      <c r="E138" s="9">
        <f>IF(DADOS!C138="","",DADOS!C138)</f>
        <v>6</v>
      </c>
      <c r="F138" s="9">
        <f>IF(DADOS!E138="","",DADOS!E138)</f>
        <v>34.1</v>
      </c>
      <c r="G138" s="9">
        <f>IF(DADOS!F138="","",DADOS!F138)</f>
        <v>8.5</v>
      </c>
      <c r="K138" s="6">
        <f t="shared" si="15"/>
        <v>10.854367118867263</v>
      </c>
      <c r="L138" s="7">
        <f t="shared" si="16"/>
        <v>9.2533479688343412E-3</v>
      </c>
      <c r="M138" s="7">
        <f t="shared" si="13"/>
        <v>7.86534577350919E-2</v>
      </c>
      <c r="N138" s="7">
        <f t="shared" si="17"/>
        <v>6.292276618807352E-2</v>
      </c>
      <c r="O138" s="8"/>
      <c r="P138" s="26"/>
      <c r="S138" s="10" t="str">
        <f t="shared" si="14"/>
        <v/>
      </c>
    </row>
    <row r="139" spans="5:19" x14ac:dyDescent="0.3">
      <c r="E139" s="9">
        <f>IF(DADOS!C139="","",DADOS!C139)</f>
        <v>6</v>
      </c>
      <c r="F139" s="9">
        <f>IF(DADOS!E139="","",DADOS!E139)</f>
        <v>55.6</v>
      </c>
      <c r="G139" s="9">
        <f>IF(DADOS!F139="","",DADOS!F139)</f>
        <v>8</v>
      </c>
      <c r="K139" s="6">
        <f t="shared" si="15"/>
        <v>17.698029671818762</v>
      </c>
      <c r="L139" s="7">
        <f t="shared" si="16"/>
        <v>2.4600261243828078E-2</v>
      </c>
      <c r="M139" s="7">
        <f t="shared" si="13"/>
        <v>0.19680208995062462</v>
      </c>
      <c r="N139" s="7">
        <f t="shared" si="17"/>
        <v>0.15744167196049971</v>
      </c>
      <c r="O139" s="8"/>
      <c r="P139" s="26"/>
      <c r="S139" s="10" t="str">
        <f t="shared" si="14"/>
        <v/>
      </c>
    </row>
    <row r="140" spans="5:19" x14ac:dyDescent="0.3">
      <c r="E140" s="9">
        <f>IF(DADOS!C140="","",DADOS!C140)</f>
        <v>6</v>
      </c>
      <c r="F140" s="9">
        <f>IF(DADOS!E140="","",DADOS!E140)</f>
        <v>29.8</v>
      </c>
      <c r="G140" s="9">
        <f>IF(DADOS!F140="","",DADOS!F140)</f>
        <v>9</v>
      </c>
      <c r="K140" s="6">
        <f t="shared" si="15"/>
        <v>9.4856346082769623</v>
      </c>
      <c r="L140" s="7">
        <f t="shared" si="16"/>
        <v>7.0667977831663361E-3</v>
      </c>
      <c r="M140" s="7">
        <f t="shared" si="13"/>
        <v>6.3601180048497019E-2</v>
      </c>
      <c r="N140" s="7">
        <f t="shared" si="17"/>
        <v>5.0880944038797615E-2</v>
      </c>
      <c r="O140" s="8"/>
      <c r="P140" s="26"/>
      <c r="S140" s="10" t="str">
        <f t="shared" si="14"/>
        <v/>
      </c>
    </row>
    <row r="141" spans="5:19" x14ac:dyDescent="0.3">
      <c r="E141" s="9">
        <f>IF(DADOS!C141="","",DADOS!C141)</f>
        <v>6</v>
      </c>
      <c r="F141" s="9">
        <f>IF(DADOS!E141="","",DADOS!E141)</f>
        <v>26.5</v>
      </c>
      <c r="G141" s="9">
        <f>IF(DADOS!F141="","",DADOS!F141)</f>
        <v>8</v>
      </c>
      <c r="K141" s="6">
        <f t="shared" si="15"/>
        <v>8.4352119838704525</v>
      </c>
      <c r="L141" s="7">
        <f t="shared" si="16"/>
        <v>5.5883279393141739E-3</v>
      </c>
      <c r="M141" s="7">
        <f t="shared" si="13"/>
        <v>4.4706623514513391E-2</v>
      </c>
      <c r="N141" s="7">
        <f t="shared" si="17"/>
        <v>3.5765298811610717E-2</v>
      </c>
      <c r="O141" s="8"/>
      <c r="P141" s="26"/>
      <c r="S141" s="10" t="str">
        <f t="shared" si="14"/>
        <v/>
      </c>
    </row>
    <row r="142" spans="5:19" x14ac:dyDescent="0.3">
      <c r="E142" s="9">
        <f>IF(DADOS!C142="","",DADOS!C142)</f>
        <v>6</v>
      </c>
      <c r="F142" s="9">
        <f>IF(DADOS!E142="","",DADOS!E142)</f>
        <v>62.8</v>
      </c>
      <c r="G142" s="9">
        <f>IF(DADOS!F142="","",DADOS!F142)</f>
        <v>9</v>
      </c>
      <c r="K142" s="6">
        <f t="shared" si="15"/>
        <v>19.989860852342055</v>
      </c>
      <c r="L142" s="7">
        <f t="shared" si="16"/>
        <v>3.1384081538177025E-2</v>
      </c>
      <c r="M142" s="7">
        <f t="shared" si="13"/>
        <v>0.28245673384359321</v>
      </c>
      <c r="N142" s="7">
        <f t="shared" si="17"/>
        <v>0.22596538707487457</v>
      </c>
      <c r="O142" s="8"/>
      <c r="P142" s="26"/>
      <c r="S142" s="10" t="str">
        <f t="shared" si="14"/>
        <v/>
      </c>
    </row>
    <row r="143" spans="5:19" x14ac:dyDescent="0.3">
      <c r="E143" s="9">
        <f>IF(DADOS!C143="","",DADOS!C143)</f>
        <v>6</v>
      </c>
      <c r="F143" s="9">
        <f>IF(DADOS!E143="","",DADOS!E143)</f>
        <v>81.8</v>
      </c>
      <c r="G143" s="9">
        <f>IF(DADOS!F143="","",DADOS!F143)</f>
        <v>9</v>
      </c>
      <c r="K143" s="6">
        <f t="shared" si="15"/>
        <v>26.037748689834078</v>
      </c>
      <c r="L143" s="7">
        <f t="shared" si="16"/>
        <v>5.3247196070710684E-2</v>
      </c>
      <c r="M143" s="7">
        <f t="shared" si="13"/>
        <v>0.47922476463639618</v>
      </c>
      <c r="N143" s="7">
        <f t="shared" si="17"/>
        <v>0.38337981170911695</v>
      </c>
      <c r="O143" s="8"/>
      <c r="P143" s="26"/>
      <c r="S143" s="10" t="str">
        <f t="shared" si="14"/>
        <v/>
      </c>
    </row>
    <row r="144" spans="5:19" x14ac:dyDescent="0.3">
      <c r="E144" s="9">
        <f>IF(DADOS!C144="","",DADOS!C144)</f>
        <v>6</v>
      </c>
      <c r="F144" s="9">
        <f>IF(DADOS!E144="","",DADOS!E144)</f>
        <v>42.3</v>
      </c>
      <c r="G144" s="9">
        <f>IF(DADOS!F144="","",DADOS!F144)</f>
        <v>8.5</v>
      </c>
      <c r="K144" s="6">
        <f t="shared" si="15"/>
        <v>13.464508185574346</v>
      </c>
      <c r="L144" s="7">
        <f t="shared" si="16"/>
        <v>1.4238717406244871E-2</v>
      </c>
      <c r="M144" s="7">
        <f t="shared" si="13"/>
        <v>0.12102909795308141</v>
      </c>
      <c r="N144" s="7">
        <f t="shared" si="17"/>
        <v>9.6823278362465126E-2</v>
      </c>
      <c r="O144" s="8"/>
      <c r="P144" s="26"/>
      <c r="S144" s="10" t="str">
        <f t="shared" si="14"/>
        <v/>
      </c>
    </row>
    <row r="145" spans="5:19" x14ac:dyDescent="0.3">
      <c r="E145" s="9">
        <f>IF(DADOS!C145="","",DADOS!C145)</f>
        <v>6</v>
      </c>
      <c r="F145" s="9">
        <f>IF(DADOS!E145="","",DADOS!E145)</f>
        <v>112</v>
      </c>
      <c r="G145" s="9">
        <f>IF(DADOS!F145="","",DADOS!F145)</f>
        <v>9</v>
      </c>
      <c r="K145" s="6">
        <f t="shared" si="15"/>
        <v>35.65070725258456</v>
      </c>
      <c r="L145" s="7">
        <f t="shared" si="16"/>
        <v>9.9821980307236782E-2</v>
      </c>
      <c r="M145" s="7">
        <f t="shared" si="13"/>
        <v>0.89839782276513103</v>
      </c>
      <c r="N145" s="7">
        <f t="shared" si="17"/>
        <v>0.71871825821210489</v>
      </c>
      <c r="O145" s="8"/>
      <c r="P145" s="26"/>
      <c r="S145" s="10" t="str">
        <f t="shared" si="14"/>
        <v/>
      </c>
    </row>
    <row r="146" spans="5:19" x14ac:dyDescent="0.3">
      <c r="E146" s="9">
        <f>IF(DADOS!C146="","",DADOS!C146)</f>
        <v>6</v>
      </c>
      <c r="F146" s="9">
        <f>IF(DADOS!E146="","",DADOS!E146)</f>
        <v>83</v>
      </c>
      <c r="G146" s="9">
        <f>IF(DADOS!F146="","",DADOS!F146)</f>
        <v>8.5</v>
      </c>
      <c r="K146" s="6">
        <f t="shared" si="15"/>
        <v>26.419720553254628</v>
      </c>
      <c r="L146" s="7">
        <f t="shared" si="16"/>
        <v>5.4820920148003362E-2</v>
      </c>
      <c r="M146" s="7">
        <f t="shared" si="13"/>
        <v>0.46597782125802856</v>
      </c>
      <c r="N146" s="7">
        <f t="shared" si="17"/>
        <v>0.37278225700642287</v>
      </c>
      <c r="O146" s="8"/>
      <c r="P146" s="26"/>
      <c r="S146" s="10" t="str">
        <f t="shared" si="14"/>
        <v/>
      </c>
    </row>
    <row r="147" spans="5:19" x14ac:dyDescent="0.3">
      <c r="E147" s="9">
        <f>IF(DADOS!C147="","",DADOS!C147)</f>
        <v>6</v>
      </c>
      <c r="F147" s="9">
        <f>IF(DADOS!E147="","",DADOS!E147)</f>
        <v>58</v>
      </c>
      <c r="G147" s="9">
        <f>IF(DADOS!F147="","",DADOS!F147)</f>
        <v>10</v>
      </c>
      <c r="K147" s="6">
        <f t="shared" si="15"/>
        <v>18.461973398659861</v>
      </c>
      <c r="L147" s="7">
        <f t="shared" si="16"/>
        <v>2.6769861428056801E-2</v>
      </c>
      <c r="M147" s="7">
        <f t="shared" si="13"/>
        <v>0.26769861428056801</v>
      </c>
      <c r="N147" s="7">
        <f t="shared" si="17"/>
        <v>0.21415889142445443</v>
      </c>
      <c r="O147" s="8"/>
      <c r="P147" s="26"/>
      <c r="S147" s="10" t="str">
        <f t="shared" si="14"/>
        <v/>
      </c>
    </row>
    <row r="148" spans="5:19" x14ac:dyDescent="0.3">
      <c r="E148" s="9">
        <f>IF(DADOS!C148="","",DADOS!C148)</f>
        <v>6</v>
      </c>
      <c r="F148" s="9">
        <f>IF(DADOS!E148="","",DADOS!E148)</f>
        <v>58.5</v>
      </c>
      <c r="G148" s="9">
        <f>IF(DADOS!F148="","",DADOS!F148)</f>
        <v>9</v>
      </c>
      <c r="K148" s="6">
        <f t="shared" si="15"/>
        <v>18.621128341751756</v>
      </c>
      <c r="L148" s="7">
        <f t="shared" si="16"/>
        <v>2.7233400199811946E-2</v>
      </c>
      <c r="M148" s="7">
        <f t="shared" si="13"/>
        <v>0.2451006017983075</v>
      </c>
      <c r="N148" s="7">
        <f t="shared" si="17"/>
        <v>0.19608048143864601</v>
      </c>
      <c r="O148" s="8"/>
      <c r="P148" s="26"/>
      <c r="S148" s="10" t="str">
        <f t="shared" si="14"/>
        <v/>
      </c>
    </row>
    <row r="149" spans="5:19" x14ac:dyDescent="0.3">
      <c r="E149" s="9">
        <f>IF(DADOS!C149="","",DADOS!C149)</f>
        <v>7</v>
      </c>
      <c r="F149" s="9">
        <f>IF(DADOS!E149="","",DADOS!E149)</f>
        <v>27.7</v>
      </c>
      <c r="G149" s="9">
        <f>IF(DADOS!F149="","",DADOS!F149)</f>
        <v>7</v>
      </c>
      <c r="K149" s="6">
        <f t="shared" si="15"/>
        <v>8.8171838472910018</v>
      </c>
      <c r="L149" s="7">
        <f t="shared" si="16"/>
        <v>6.1058998142490186E-3</v>
      </c>
      <c r="M149" s="7">
        <f t="shared" si="13"/>
        <v>4.2741298699743129E-2</v>
      </c>
      <c r="N149" s="7">
        <f t="shared" si="17"/>
        <v>3.4193038959794503E-2</v>
      </c>
      <c r="O149" s="8"/>
      <c r="P149" s="26"/>
      <c r="S149" s="10" t="str">
        <f t="shared" si="14"/>
        <v/>
      </c>
    </row>
    <row r="150" spans="5:19" x14ac:dyDescent="0.3">
      <c r="E150" s="9">
        <f>IF(DADOS!C150="","",DADOS!C150)</f>
        <v>7</v>
      </c>
      <c r="F150" s="9">
        <f>IF(DADOS!E150="","",DADOS!E150)</f>
        <v>18</v>
      </c>
      <c r="G150" s="9">
        <f>IF(DADOS!F150="","",DADOS!F150)</f>
        <v>4.3</v>
      </c>
      <c r="K150" s="6">
        <f t="shared" si="15"/>
        <v>5.7295779513082321</v>
      </c>
      <c r="L150" s="7">
        <f t="shared" si="16"/>
        <v>2.5783100780887042E-3</v>
      </c>
      <c r="M150" s="7">
        <f t="shared" si="13"/>
        <v>1.1086733335781428E-2</v>
      </c>
      <c r="N150" s="7">
        <f t="shared" si="17"/>
        <v>8.869386668625143E-3</v>
      </c>
      <c r="O150" s="8"/>
      <c r="P150" s="26"/>
      <c r="S150" s="10" t="str">
        <f t="shared" si="14"/>
        <v/>
      </c>
    </row>
    <row r="151" spans="5:19" x14ac:dyDescent="0.3">
      <c r="E151" s="9">
        <f>IF(DADOS!C151="","",DADOS!C151)</f>
        <v>7</v>
      </c>
      <c r="F151" s="9">
        <f>IF(DADOS!E151="","",DADOS!E151)</f>
        <v>112</v>
      </c>
      <c r="G151" s="9">
        <f>IF(DADOS!F151="","",DADOS!F151)</f>
        <v>10</v>
      </c>
      <c r="K151" s="6">
        <f t="shared" si="15"/>
        <v>35.65070725258456</v>
      </c>
      <c r="L151" s="7">
        <f t="shared" si="16"/>
        <v>9.9821980307236782E-2</v>
      </c>
      <c r="M151" s="7">
        <f t="shared" si="13"/>
        <v>0.9982198030723678</v>
      </c>
      <c r="N151" s="7">
        <f t="shared" si="17"/>
        <v>0.79857584245789426</v>
      </c>
      <c r="O151" s="8"/>
      <c r="P151" s="26"/>
      <c r="S151" s="10" t="str">
        <f t="shared" si="14"/>
        <v/>
      </c>
    </row>
    <row r="152" spans="5:19" x14ac:dyDescent="0.3">
      <c r="E152" s="9">
        <f>IF(DADOS!C152="","",DADOS!C152)</f>
        <v>7</v>
      </c>
      <c r="F152" s="9">
        <f>IF(DADOS!E152="","",DADOS!E152)</f>
        <v>93.5</v>
      </c>
      <c r="G152" s="9">
        <f>IF(DADOS!F152="","",DADOS!F152)</f>
        <v>10.5</v>
      </c>
      <c r="K152" s="6">
        <f t="shared" si="15"/>
        <v>29.761974358184428</v>
      </c>
      <c r="L152" s="7">
        <f t="shared" si="16"/>
        <v>6.9568615062256089E-2</v>
      </c>
      <c r="M152" s="7">
        <f t="shared" si="13"/>
        <v>0.73047045815368894</v>
      </c>
      <c r="N152" s="7">
        <f t="shared" si="17"/>
        <v>0.58437636652295122</v>
      </c>
      <c r="O152" s="8"/>
      <c r="P152" s="26"/>
      <c r="S152" s="10" t="str">
        <f t="shared" si="14"/>
        <v/>
      </c>
    </row>
    <row r="153" spans="5:19" x14ac:dyDescent="0.3">
      <c r="E153" s="9">
        <f>IF(DADOS!C153="","",DADOS!C153)</f>
        <v>7</v>
      </c>
      <c r="F153" s="9">
        <f>IF(DADOS!E153="","",DADOS!E153)</f>
        <v>111.4</v>
      </c>
      <c r="G153" s="9">
        <f>IF(DADOS!F153="","",DADOS!F153)</f>
        <v>10</v>
      </c>
      <c r="K153" s="6">
        <f t="shared" si="15"/>
        <v>35.459721320874287</v>
      </c>
      <c r="L153" s="7">
        <f t="shared" si="16"/>
        <v>9.8755323878634907E-2</v>
      </c>
      <c r="M153" s="7">
        <f t="shared" si="13"/>
        <v>0.98755323878634904</v>
      </c>
      <c r="N153" s="7">
        <f t="shared" si="17"/>
        <v>0.79004259102907926</v>
      </c>
      <c r="O153" s="8"/>
      <c r="P153" s="26"/>
      <c r="S153" s="10" t="str">
        <f t="shared" si="14"/>
        <v/>
      </c>
    </row>
    <row r="154" spans="5:19" x14ac:dyDescent="0.3">
      <c r="E154" s="9">
        <f>IF(DADOS!C154="","",DADOS!C154)</f>
        <v>7</v>
      </c>
      <c r="F154" s="9">
        <f>IF(DADOS!E154="","",DADOS!E154)</f>
        <v>37</v>
      </c>
      <c r="G154" s="9">
        <f>IF(DADOS!F154="","",DADOS!F154)</f>
        <v>9.5</v>
      </c>
      <c r="K154" s="6">
        <f t="shared" si="15"/>
        <v>11.777465788800255</v>
      </c>
      <c r="L154" s="7">
        <f t="shared" si="16"/>
        <v>1.0894155854640234E-2</v>
      </c>
      <c r="M154" s="7">
        <f t="shared" si="13"/>
        <v>0.10349448061908223</v>
      </c>
      <c r="N154" s="7">
        <f t="shared" si="17"/>
        <v>8.2795584495265792E-2</v>
      </c>
      <c r="O154" s="8"/>
      <c r="P154" s="26"/>
      <c r="S154" s="10" t="str">
        <f t="shared" si="14"/>
        <v/>
      </c>
    </row>
    <row r="155" spans="5:19" x14ac:dyDescent="0.3">
      <c r="E155" s="9">
        <f>IF(DADOS!C155="","",DADOS!C155)</f>
        <v>8</v>
      </c>
      <c r="F155" s="9">
        <f>IF(DADOS!E155="","",DADOS!E155)</f>
        <v>94.1</v>
      </c>
      <c r="G155" s="9">
        <f>IF(DADOS!F155="","",DADOS!F155)</f>
        <v>11</v>
      </c>
      <c r="K155" s="6">
        <f t="shared" si="15"/>
        <v>29.952960289894701</v>
      </c>
      <c r="L155" s="7">
        <f t="shared" si="16"/>
        <v>7.0464339081977287E-2</v>
      </c>
      <c r="M155" s="7">
        <f t="shared" si="13"/>
        <v>0.77510772990175014</v>
      </c>
      <c r="N155" s="7">
        <f t="shared" si="17"/>
        <v>0.62008618392140014</v>
      </c>
      <c r="O155" s="8"/>
      <c r="P155" s="26"/>
      <c r="S155" s="10" t="str">
        <f t="shared" si="14"/>
        <v/>
      </c>
    </row>
    <row r="156" spans="5:19" x14ac:dyDescent="0.3">
      <c r="E156" s="9">
        <f>IF(DADOS!C156="","",DADOS!C156)</f>
        <v>8</v>
      </c>
      <c r="F156" s="9">
        <f>IF(DADOS!E156="","",DADOS!E156)</f>
        <v>63</v>
      </c>
      <c r="G156" s="9">
        <f>IF(DADOS!F156="","",DADOS!F156)</f>
        <v>7.5</v>
      </c>
      <c r="K156" s="6">
        <f t="shared" si="15"/>
        <v>20.053522829578814</v>
      </c>
      <c r="L156" s="7">
        <f t="shared" si="16"/>
        <v>3.1584298456586633E-2</v>
      </c>
      <c r="M156" s="7">
        <f t="shared" si="13"/>
        <v>0.23688223842439976</v>
      </c>
      <c r="N156" s="7">
        <f t="shared" si="17"/>
        <v>0.18950579073951981</v>
      </c>
      <c r="O156" s="8"/>
      <c r="P156" s="26"/>
      <c r="S156" s="10" t="str">
        <f t="shared" si="14"/>
        <v/>
      </c>
    </row>
    <row r="157" spans="5:19" x14ac:dyDescent="0.3">
      <c r="E157" s="9">
        <f>IF(DADOS!C157="","",DADOS!C157)</f>
        <v>8</v>
      </c>
      <c r="F157" s="9">
        <f>IF(DADOS!E157="","",DADOS!E157)</f>
        <v>15.5</v>
      </c>
      <c r="G157" s="9">
        <f>IF(DADOS!F157="","",DADOS!F157)</f>
        <v>6</v>
      </c>
      <c r="K157" s="6">
        <f t="shared" si="15"/>
        <v>4.9338032358487558</v>
      </c>
      <c r="L157" s="7">
        <f t="shared" si="16"/>
        <v>1.9118487538913932E-3</v>
      </c>
      <c r="M157" s="7">
        <f t="shared" si="13"/>
        <v>1.147109252334836E-2</v>
      </c>
      <c r="N157" s="7">
        <f t="shared" si="17"/>
        <v>9.1768740186786886E-3</v>
      </c>
      <c r="O157" s="8"/>
      <c r="P157" s="26"/>
      <c r="S157" s="10" t="str">
        <f t="shared" si="14"/>
        <v/>
      </c>
    </row>
    <row r="158" spans="5:19" x14ac:dyDescent="0.3">
      <c r="E158" s="9">
        <f>IF(DADOS!C158="","",DADOS!C158)</f>
        <v>8</v>
      </c>
      <c r="F158" s="9">
        <f>IF(DADOS!E158="","",DADOS!E158)</f>
        <v>31.2</v>
      </c>
      <c r="G158" s="9">
        <f>IF(DADOS!F158="","",DADOS!F158)</f>
        <v>6</v>
      </c>
      <c r="K158" s="6">
        <f t="shared" si="15"/>
        <v>9.9312684489342686</v>
      </c>
      <c r="L158" s="7">
        <f t="shared" si="16"/>
        <v>7.7463893901687283E-3</v>
      </c>
      <c r="M158" s="7">
        <f t="shared" si="13"/>
        <v>4.6478336341012366E-2</v>
      </c>
      <c r="N158" s="7">
        <f t="shared" si="17"/>
        <v>3.7182669072809892E-2</v>
      </c>
      <c r="O158" s="8"/>
      <c r="P158" s="26"/>
      <c r="S158" s="10" t="str">
        <f t="shared" si="14"/>
        <v/>
      </c>
    </row>
    <row r="159" spans="5:19" x14ac:dyDescent="0.3">
      <c r="E159" s="9">
        <f>IF(DADOS!C159="","",DADOS!C159)</f>
        <v>8</v>
      </c>
      <c r="F159" s="9">
        <f>IF(DADOS!E159="","",DADOS!E159)</f>
        <v>20</v>
      </c>
      <c r="G159" s="9">
        <f>IF(DADOS!F159="","",DADOS!F159)</f>
        <v>1.5</v>
      </c>
      <c r="K159" s="6">
        <f t="shared" si="15"/>
        <v>6.366197723675814</v>
      </c>
      <c r="L159" s="7">
        <f t="shared" si="16"/>
        <v>3.1830988618379076E-3</v>
      </c>
      <c r="M159" s="7">
        <f t="shared" si="13"/>
        <v>4.7746482927568615E-3</v>
      </c>
      <c r="N159" s="7">
        <f t="shared" si="17"/>
        <v>3.8197186342054895E-3</v>
      </c>
      <c r="O159" s="8"/>
      <c r="P159" s="26"/>
      <c r="S159" s="10" t="str">
        <f t="shared" si="14"/>
        <v/>
      </c>
    </row>
    <row r="160" spans="5:19" x14ac:dyDescent="0.3">
      <c r="E160" s="9">
        <f>IF(DADOS!C160="","",DADOS!C160)</f>
        <v>8</v>
      </c>
      <c r="F160" s="9">
        <f>IF(DADOS!E160="","",DADOS!E160)</f>
        <v>29.5</v>
      </c>
      <c r="G160" s="9">
        <f>IF(DADOS!F160="","",DADOS!F160)</f>
        <v>3.5</v>
      </c>
      <c r="K160" s="6">
        <f t="shared" si="15"/>
        <v>9.3901416424218258</v>
      </c>
      <c r="L160" s="7">
        <f t="shared" si="16"/>
        <v>6.9252294612860968E-3</v>
      </c>
      <c r="M160" s="7">
        <f t="shared" si="13"/>
        <v>2.4238303114501338E-2</v>
      </c>
      <c r="N160" s="7">
        <f t="shared" si="17"/>
        <v>1.9390642491601072E-2</v>
      </c>
      <c r="O160" s="8"/>
      <c r="P160" s="26"/>
      <c r="S160" s="10" t="str">
        <f t="shared" si="14"/>
        <v/>
      </c>
    </row>
    <row r="161" spans="5:19" x14ac:dyDescent="0.3">
      <c r="E161" s="9">
        <f>IF(DADOS!C161="","",DADOS!C161)</f>
        <v>8</v>
      </c>
      <c r="F161" s="9">
        <f>IF(DADOS!E161="","",DADOS!E161)</f>
        <v>72.3</v>
      </c>
      <c r="G161" s="9">
        <f>IF(DADOS!F161="","",DADOS!F161)</f>
        <v>6</v>
      </c>
      <c r="K161" s="6">
        <f t="shared" si="15"/>
        <v>23.013804771088065</v>
      </c>
      <c r="L161" s="7">
        <f t="shared" si="16"/>
        <v>4.159745212374167E-2</v>
      </c>
      <c r="M161" s="7">
        <f t="shared" si="13"/>
        <v>0.24958471274245003</v>
      </c>
      <c r="N161" s="7">
        <f t="shared" si="17"/>
        <v>0.19966777019396004</v>
      </c>
      <c r="O161" s="8"/>
      <c r="P161" s="26"/>
      <c r="S161" s="10" t="str">
        <f t="shared" si="14"/>
        <v/>
      </c>
    </row>
    <row r="162" spans="5:19" x14ac:dyDescent="0.3">
      <c r="E162" s="9">
        <f>IF(DADOS!C162="","",DADOS!C162)</f>
        <v>8</v>
      </c>
      <c r="F162" s="9">
        <f>IF(DADOS!E162="","",DADOS!E162)</f>
        <v>21.3</v>
      </c>
      <c r="G162" s="9">
        <f>IF(DADOS!F162="","",DADOS!F162)</f>
        <v>4.5</v>
      </c>
      <c r="K162" s="6">
        <f t="shared" si="15"/>
        <v>6.7800005757147419</v>
      </c>
      <c r="L162" s="7">
        <f t="shared" si="16"/>
        <v>3.6103503065681004E-3</v>
      </c>
      <c r="M162" s="7">
        <f t="shared" si="13"/>
        <v>1.6246576379556451E-2</v>
      </c>
      <c r="N162" s="7">
        <f t="shared" si="17"/>
        <v>1.2997261103645161E-2</v>
      </c>
      <c r="O162" s="8"/>
      <c r="P162" s="26"/>
      <c r="S162" s="10" t="str">
        <f t="shared" si="14"/>
        <v/>
      </c>
    </row>
    <row r="163" spans="5:19" x14ac:dyDescent="0.3">
      <c r="E163" s="9">
        <f>IF(DADOS!C163="","",DADOS!C163)</f>
        <v>8</v>
      </c>
      <c r="F163" s="9">
        <f>IF(DADOS!E163="","",DADOS!E163)</f>
        <v>24.2</v>
      </c>
      <c r="G163" s="9">
        <f>IF(DADOS!F163="","",DADOS!F163)</f>
        <v>5</v>
      </c>
      <c r="K163" s="6">
        <f t="shared" si="15"/>
        <v>7.7030992456477341</v>
      </c>
      <c r="L163" s="7">
        <f t="shared" si="16"/>
        <v>4.6603750436168788E-3</v>
      </c>
      <c r="M163" s="7">
        <f t="shared" si="13"/>
        <v>2.3301875218084394E-2</v>
      </c>
      <c r="N163" s="7">
        <f t="shared" si="17"/>
        <v>1.8641500174467515E-2</v>
      </c>
      <c r="O163" s="8"/>
      <c r="P163" s="26"/>
      <c r="S163" s="10" t="str">
        <f t="shared" si="14"/>
        <v/>
      </c>
    </row>
    <row r="164" spans="5:19" x14ac:dyDescent="0.3">
      <c r="E164" s="9">
        <f>IF(DADOS!C164="","",DADOS!C164)</f>
        <v>8</v>
      </c>
      <c r="F164" s="9">
        <f>IF(DADOS!E164="","",DADOS!E164)</f>
        <v>26.1</v>
      </c>
      <c r="G164" s="9">
        <f>IF(DADOS!F164="","",DADOS!F164)</f>
        <v>5.5</v>
      </c>
      <c r="K164" s="6">
        <f t="shared" si="15"/>
        <v>8.3078880293969366</v>
      </c>
      <c r="L164" s="7">
        <f t="shared" si="16"/>
        <v>5.4208969391815014E-3</v>
      </c>
      <c r="M164" s="7">
        <f t="shared" si="13"/>
        <v>2.9814933165498256E-2</v>
      </c>
      <c r="N164" s="7">
        <f t="shared" si="17"/>
        <v>2.3851946532398607E-2</v>
      </c>
      <c r="O164" s="8"/>
      <c r="P164" s="26"/>
      <c r="S164" s="10" t="str">
        <f t="shared" si="14"/>
        <v/>
      </c>
    </row>
    <row r="165" spans="5:19" x14ac:dyDescent="0.3">
      <c r="E165" s="9">
        <f>IF(DADOS!C165="","",DADOS!C165)</f>
        <v>8</v>
      </c>
      <c r="F165" s="9">
        <f>IF(DADOS!E165="","",DADOS!E165)</f>
        <v>37.1</v>
      </c>
      <c r="G165" s="9">
        <f>IF(DADOS!F165="","",DADOS!F165)</f>
        <v>9</v>
      </c>
      <c r="K165" s="6">
        <f t="shared" si="15"/>
        <v>11.809296777418634</v>
      </c>
      <c r="L165" s="7">
        <f t="shared" si="16"/>
        <v>1.0953122761055782E-2</v>
      </c>
      <c r="M165" s="7">
        <f t="shared" si="13"/>
        <v>9.8578104849502038E-2</v>
      </c>
      <c r="N165" s="7">
        <f t="shared" si="17"/>
        <v>7.8862483879601639E-2</v>
      </c>
      <c r="O165" s="8"/>
      <c r="P165" s="26"/>
      <c r="S165" s="10" t="str">
        <f t="shared" si="14"/>
        <v/>
      </c>
    </row>
    <row r="166" spans="5:19" x14ac:dyDescent="0.3">
      <c r="E166" s="9">
        <f>IF(DADOS!C166="","",DADOS!C166)</f>
        <v>8</v>
      </c>
      <c r="F166" s="9">
        <f>IF(DADOS!E166="","",DADOS!E166)</f>
        <v>79.900000000000006</v>
      </c>
      <c r="G166" s="9">
        <f>IF(DADOS!F166="","",DADOS!F166)</f>
        <v>9</v>
      </c>
      <c r="K166" s="6">
        <f t="shared" si="15"/>
        <v>25.432959906084879</v>
      </c>
      <c r="L166" s="7">
        <f t="shared" si="16"/>
        <v>5.0802337412404544E-2</v>
      </c>
      <c r="M166" s="7">
        <f t="shared" si="13"/>
        <v>0.45722103671164088</v>
      </c>
      <c r="N166" s="7">
        <f t="shared" si="17"/>
        <v>0.36577682936931272</v>
      </c>
      <c r="O166" s="8"/>
      <c r="P166" s="26"/>
      <c r="S166" s="10" t="str">
        <f t="shared" si="14"/>
        <v/>
      </c>
    </row>
    <row r="167" spans="5:19" x14ac:dyDescent="0.3">
      <c r="E167" s="9">
        <f>IF(DADOS!C167="","",DADOS!C167)</f>
        <v>8</v>
      </c>
      <c r="F167" s="9">
        <f>IF(DADOS!E167="","",DADOS!E167)</f>
        <v>87</v>
      </c>
      <c r="G167" s="9">
        <f>IF(DADOS!F167="","",DADOS!F167)</f>
        <v>9</v>
      </c>
      <c r="K167" s="6">
        <f t="shared" si="15"/>
        <v>27.69296009798979</v>
      </c>
      <c r="L167" s="7">
        <f t="shared" si="16"/>
        <v>6.0232188213127799E-2</v>
      </c>
      <c r="M167" s="7">
        <f t="shared" si="13"/>
        <v>0.54208969391815021</v>
      </c>
      <c r="N167" s="7">
        <f t="shared" si="17"/>
        <v>0.43367175513452016</v>
      </c>
      <c r="O167" s="8"/>
      <c r="P167" s="26"/>
      <c r="S167" s="10" t="str">
        <f t="shared" si="14"/>
        <v/>
      </c>
    </row>
    <row r="168" spans="5:19" x14ac:dyDescent="0.3">
      <c r="E168" s="9">
        <f>IF(DADOS!C168="","",DADOS!C168)</f>
        <v>8</v>
      </c>
      <c r="F168" s="9">
        <f>IF(DADOS!E168="","",DADOS!E168)</f>
        <v>51.3</v>
      </c>
      <c r="G168" s="9">
        <f>IF(DADOS!F168="","",DADOS!F168)</f>
        <v>10</v>
      </c>
      <c r="K168" s="6">
        <f t="shared" si="15"/>
        <v>16.32929716122846</v>
      </c>
      <c r="L168" s="7">
        <f t="shared" si="16"/>
        <v>2.09423236092755E-2</v>
      </c>
      <c r="M168" s="7">
        <f t="shared" si="13"/>
        <v>0.20942323609275501</v>
      </c>
      <c r="N168" s="7">
        <f t="shared" si="17"/>
        <v>0.16753858887420403</v>
      </c>
      <c r="O168" s="8"/>
      <c r="P168" s="26"/>
      <c r="S168" s="10" t="str">
        <f t="shared" si="14"/>
        <v/>
      </c>
    </row>
    <row r="169" spans="5:19" x14ac:dyDescent="0.3">
      <c r="E169" s="9">
        <f>IF(DADOS!C169="","",DADOS!C169)</f>
        <v>8</v>
      </c>
      <c r="F169" s="9">
        <f>IF(DADOS!E169="","",DADOS!E169)</f>
        <v>57.2</v>
      </c>
      <c r="G169" s="9">
        <f>IF(DADOS!F169="","",DADOS!F169)</f>
        <v>9</v>
      </c>
      <c r="K169" s="6">
        <f t="shared" si="15"/>
        <v>18.207325489712829</v>
      </c>
      <c r="L169" s="7">
        <f t="shared" si="16"/>
        <v>2.6036475450289351E-2</v>
      </c>
      <c r="M169" s="7">
        <f t="shared" si="13"/>
        <v>0.23432827905260417</v>
      </c>
      <c r="N169" s="7">
        <f t="shared" si="17"/>
        <v>0.18746262324208335</v>
      </c>
      <c r="O169" s="8"/>
      <c r="P169" s="26"/>
      <c r="S169" s="10" t="str">
        <f t="shared" si="14"/>
        <v/>
      </c>
    </row>
    <row r="170" spans="5:19" x14ac:dyDescent="0.3">
      <c r="E170" s="9">
        <f>IF(DADOS!C170="","",DADOS!C170)</f>
        <v>8</v>
      </c>
      <c r="F170" s="9">
        <f>IF(DADOS!E170="","",DADOS!E170)</f>
        <v>43.7</v>
      </c>
      <c r="G170" s="9">
        <f>IF(DADOS!F170="","",DADOS!F170)</f>
        <v>8</v>
      </c>
      <c r="K170" s="6">
        <f t="shared" si="15"/>
        <v>13.910142026231654</v>
      </c>
      <c r="L170" s="7">
        <f t="shared" si="16"/>
        <v>1.5196830163658083E-2</v>
      </c>
      <c r="M170" s="7">
        <f t="shared" si="13"/>
        <v>0.12157464130926467</v>
      </c>
      <c r="N170" s="7">
        <f t="shared" si="17"/>
        <v>9.7259713047411739E-2</v>
      </c>
      <c r="O170" s="8"/>
      <c r="P170" s="26"/>
      <c r="S170" s="10" t="str">
        <f t="shared" si="14"/>
        <v/>
      </c>
    </row>
    <row r="171" spans="5:19" x14ac:dyDescent="0.3">
      <c r="E171" s="9">
        <f>IF(DADOS!C171="","",DADOS!C171)</f>
        <v>8</v>
      </c>
      <c r="F171" s="9">
        <f>IF(DADOS!E171="","",DADOS!E171)</f>
        <v>83</v>
      </c>
      <c r="G171" s="9">
        <f>IF(DADOS!F171="","",DADOS!F171)</f>
        <v>9</v>
      </c>
      <c r="K171" s="6">
        <f t="shared" si="15"/>
        <v>26.419720553254628</v>
      </c>
      <c r="L171" s="7">
        <f t="shared" si="16"/>
        <v>5.4820920148003362E-2</v>
      </c>
      <c r="M171" s="7">
        <f t="shared" si="13"/>
        <v>0.49338828133203028</v>
      </c>
      <c r="N171" s="7">
        <f t="shared" si="17"/>
        <v>0.39471062506562427</v>
      </c>
      <c r="O171" s="8"/>
      <c r="P171" s="26"/>
      <c r="S171" s="10" t="str">
        <f t="shared" si="14"/>
        <v/>
      </c>
    </row>
    <row r="172" spans="5:19" x14ac:dyDescent="0.3">
      <c r="E172" s="9">
        <f>IF(DADOS!C172="","",DADOS!C172)</f>
        <v>8</v>
      </c>
      <c r="F172" s="9">
        <f>IF(DADOS!E172="","",DADOS!E172)</f>
        <v>83.7</v>
      </c>
      <c r="G172" s="9">
        <f>IF(DADOS!F172="","",DADOS!F172)</f>
        <v>8</v>
      </c>
      <c r="K172" s="6">
        <f t="shared" si="15"/>
        <v>26.642537473583282</v>
      </c>
      <c r="L172" s="7">
        <f t="shared" si="16"/>
        <v>5.5749509663473022E-2</v>
      </c>
      <c r="M172" s="7">
        <f t="shared" si="13"/>
        <v>0.44599607730778418</v>
      </c>
      <c r="N172" s="7">
        <f t="shared" si="17"/>
        <v>0.35679686184622739</v>
      </c>
      <c r="O172" s="8"/>
      <c r="P172" s="26"/>
      <c r="S172" s="10" t="str">
        <f t="shared" si="14"/>
        <v/>
      </c>
    </row>
    <row r="173" spans="5:19" x14ac:dyDescent="0.3">
      <c r="E173" s="9">
        <f>IF(DADOS!C173="","",DADOS!C173)</f>
        <v>9</v>
      </c>
      <c r="F173" s="9">
        <f>IF(DADOS!E173="","",DADOS!E173)</f>
        <v>36.5</v>
      </c>
      <c r="G173" s="9">
        <f>IF(DADOS!F173="","",DADOS!F173)</f>
        <v>1.8</v>
      </c>
      <c r="K173" s="6">
        <f t="shared" si="15"/>
        <v>11.618310845708359</v>
      </c>
      <c r="L173" s="7">
        <f t="shared" si="16"/>
        <v>1.0601708646708877E-2</v>
      </c>
      <c r="M173" s="7">
        <f t="shared" si="13"/>
        <v>1.9083075564075978E-2</v>
      </c>
      <c r="N173" s="7">
        <f t="shared" si="17"/>
        <v>1.5266460451260783E-2</v>
      </c>
      <c r="O173" s="8"/>
      <c r="P173" s="26"/>
      <c r="S173" s="10" t="str">
        <f t="shared" si="14"/>
        <v/>
      </c>
    </row>
    <row r="174" spans="5:19" x14ac:dyDescent="0.3">
      <c r="E174" s="9">
        <f>IF(DADOS!C174="","",DADOS!C174)</f>
        <v>9</v>
      </c>
      <c r="F174" s="9">
        <f>IF(DADOS!E174="","",DADOS!E174)</f>
        <v>41.1</v>
      </c>
      <c r="G174" s="9">
        <f>IF(DADOS!F174="","",DADOS!F174)</f>
        <v>2.5</v>
      </c>
      <c r="K174" s="6">
        <f t="shared" si="15"/>
        <v>13.082536322153798</v>
      </c>
      <c r="L174" s="7">
        <f t="shared" si="16"/>
        <v>1.3442306071013026E-2</v>
      </c>
      <c r="M174" s="7">
        <f t="shared" si="13"/>
        <v>3.3605765177532568E-2</v>
      </c>
      <c r="N174" s="7">
        <f t="shared" si="17"/>
        <v>2.6884612142026056E-2</v>
      </c>
      <c r="O174" s="8"/>
      <c r="P174" s="26"/>
      <c r="S174" s="10" t="str">
        <f t="shared" si="14"/>
        <v/>
      </c>
    </row>
    <row r="175" spans="5:19" x14ac:dyDescent="0.3">
      <c r="E175" s="9">
        <f>IF(DADOS!C175="","",DADOS!C175)</f>
        <v>9</v>
      </c>
      <c r="F175" s="9">
        <f>IF(DADOS!E175="","",DADOS!E175)</f>
        <v>26.4</v>
      </c>
      <c r="G175" s="9">
        <f>IF(DADOS!F175="","",DADOS!F175)</f>
        <v>2.5</v>
      </c>
      <c r="K175" s="6">
        <f t="shared" si="15"/>
        <v>8.403380995252073</v>
      </c>
      <c r="L175" s="7">
        <f t="shared" si="16"/>
        <v>5.5462314568663672E-3</v>
      </c>
      <c r="M175" s="7">
        <f t="shared" si="13"/>
        <v>1.3865578642165918E-2</v>
      </c>
      <c r="N175" s="7">
        <f t="shared" si="17"/>
        <v>1.1092462913732734E-2</v>
      </c>
      <c r="O175" s="8"/>
      <c r="P175" s="26"/>
      <c r="S175" s="10" t="str">
        <f t="shared" si="14"/>
        <v/>
      </c>
    </row>
    <row r="176" spans="5:19" x14ac:dyDescent="0.3">
      <c r="E176" s="9">
        <f>IF(DADOS!C176="","",DADOS!C176)</f>
        <v>9</v>
      </c>
      <c r="F176" s="9">
        <f>IF(DADOS!E176="","",DADOS!E176)</f>
        <v>22.1</v>
      </c>
      <c r="G176" s="9">
        <f>IF(DADOS!F176="","",DADOS!F176)</f>
        <v>2</v>
      </c>
      <c r="K176" s="6">
        <f t="shared" si="15"/>
        <v>7.0346484846617745</v>
      </c>
      <c r="L176" s="7">
        <f t="shared" si="16"/>
        <v>3.8866432877756301E-3</v>
      </c>
      <c r="M176" s="7">
        <f t="shared" si="13"/>
        <v>7.7732865755512602E-3</v>
      </c>
      <c r="N176" s="7">
        <f t="shared" si="17"/>
        <v>6.2186292604410089E-3</v>
      </c>
      <c r="O176" s="8"/>
      <c r="P176" s="26"/>
      <c r="S176" s="10" t="str">
        <f t="shared" si="14"/>
        <v/>
      </c>
    </row>
    <row r="177" spans="5:19" x14ac:dyDescent="0.3">
      <c r="E177" s="9">
        <f>IF(DADOS!C177="","",DADOS!C177)</f>
        <v>9</v>
      </c>
      <c r="F177" s="9">
        <f>IF(DADOS!E177="","",DADOS!E177)</f>
        <v>43.9</v>
      </c>
      <c r="G177" s="9">
        <f>IF(DADOS!F177="","",DADOS!F177)</f>
        <v>2.2999999999999998</v>
      </c>
      <c r="K177" s="6">
        <f t="shared" si="15"/>
        <v>13.973804003468411</v>
      </c>
      <c r="L177" s="7">
        <f t="shared" si="16"/>
        <v>1.5336249893806579E-2</v>
      </c>
      <c r="M177" s="7">
        <f t="shared" si="13"/>
        <v>3.5273374755755128E-2</v>
      </c>
      <c r="N177" s="7">
        <f t="shared" si="17"/>
        <v>2.8218699804604105E-2</v>
      </c>
      <c r="O177" s="8"/>
      <c r="P177" s="26"/>
      <c r="S177" s="10" t="str">
        <f t="shared" si="14"/>
        <v/>
      </c>
    </row>
    <row r="178" spans="5:19" x14ac:dyDescent="0.3">
      <c r="E178" s="9">
        <f>IF(DADOS!C178="","",DADOS!C178)</f>
        <v>9</v>
      </c>
      <c r="F178" s="9">
        <f>IF(DADOS!E178="","",DADOS!E178)</f>
        <v>41.9</v>
      </c>
      <c r="G178" s="9">
        <f>IF(DADOS!F178="","",DADOS!F178)</f>
        <v>2.2999999999999998</v>
      </c>
      <c r="K178" s="6">
        <f t="shared" si="15"/>
        <v>13.33718423110083</v>
      </c>
      <c r="L178" s="7">
        <f t="shared" si="16"/>
        <v>1.3970700482078121E-2</v>
      </c>
      <c r="M178" s="7">
        <f t="shared" si="13"/>
        <v>3.2132611108779678E-2</v>
      </c>
      <c r="N178" s="7">
        <f t="shared" si="17"/>
        <v>2.5706088887023745E-2</v>
      </c>
      <c r="O178" s="8"/>
      <c r="P178" s="26"/>
      <c r="S178" s="10" t="str">
        <f t="shared" si="14"/>
        <v/>
      </c>
    </row>
    <row r="179" spans="5:19" x14ac:dyDescent="0.3">
      <c r="E179" s="9">
        <f>IF(DADOS!C179="","",DADOS!C179)</f>
        <v>9</v>
      </c>
      <c r="F179" s="9">
        <f>IF(DADOS!E179="","",DADOS!E179)</f>
        <v>64</v>
      </c>
      <c r="G179" s="9">
        <f>IF(DADOS!F179="","",DADOS!F179)</f>
        <v>5</v>
      </c>
      <c r="K179" s="6">
        <f t="shared" si="15"/>
        <v>20.371832715762604</v>
      </c>
      <c r="L179" s="7">
        <f t="shared" si="16"/>
        <v>3.2594932345220165E-2</v>
      </c>
      <c r="M179" s="7">
        <f t="shared" si="13"/>
        <v>0.16297466172610081</v>
      </c>
      <c r="N179" s="7">
        <f t="shared" si="17"/>
        <v>0.13037972938088066</v>
      </c>
      <c r="O179" s="8"/>
      <c r="P179" s="26"/>
      <c r="S179" s="10" t="str">
        <f t="shared" si="14"/>
        <v/>
      </c>
    </row>
    <row r="180" spans="5:19" x14ac:dyDescent="0.3">
      <c r="E180" s="9">
        <f>IF(DADOS!C180="","",DADOS!C180)</f>
        <v>9</v>
      </c>
      <c r="F180" s="9">
        <f>IF(DADOS!E180="","",DADOS!E180)</f>
        <v>35.5</v>
      </c>
      <c r="G180" s="9">
        <f>IF(DADOS!F180="","",DADOS!F180)</f>
        <v>6.5</v>
      </c>
      <c r="K180" s="6">
        <f t="shared" si="15"/>
        <v>11.300000959524569</v>
      </c>
      <c r="L180" s="7">
        <f t="shared" si="16"/>
        <v>1.0028750851578054E-2</v>
      </c>
      <c r="M180" s="7">
        <f t="shared" si="13"/>
        <v>6.5186880535257355E-2</v>
      </c>
      <c r="N180" s="7">
        <f t="shared" si="17"/>
        <v>5.2149504428205887E-2</v>
      </c>
      <c r="O180" s="8"/>
      <c r="P180" s="26"/>
      <c r="S180" s="10" t="str">
        <f t="shared" si="14"/>
        <v/>
      </c>
    </row>
    <row r="181" spans="5:19" x14ac:dyDescent="0.3">
      <c r="E181" s="9">
        <f>IF(DADOS!C181="","",DADOS!C181)</f>
        <v>9</v>
      </c>
      <c r="F181" s="9">
        <f>IF(DADOS!E181="","",DADOS!E181)</f>
        <v>26.7</v>
      </c>
      <c r="G181" s="9">
        <f>IF(DADOS!F181="","",DADOS!F181)</f>
        <v>5.5</v>
      </c>
      <c r="K181" s="6">
        <f t="shared" si="15"/>
        <v>8.4988739611072113</v>
      </c>
      <c r="L181" s="7">
        <f t="shared" si="16"/>
        <v>5.6729983690390643E-3</v>
      </c>
      <c r="M181" s="7">
        <f t="shared" si="13"/>
        <v>3.1201491029714853E-2</v>
      </c>
      <c r="N181" s="7">
        <f t="shared" si="17"/>
        <v>2.4961192823771884E-2</v>
      </c>
      <c r="O181" s="8"/>
      <c r="P181" s="26"/>
      <c r="S181" s="10" t="str">
        <f t="shared" si="14"/>
        <v/>
      </c>
    </row>
    <row r="182" spans="5:19" x14ac:dyDescent="0.3">
      <c r="E182" s="9">
        <f>IF(DADOS!C182="","",DADOS!C182)</f>
        <v>9</v>
      </c>
      <c r="F182" s="9">
        <f>IF(DADOS!E182="","",DADOS!E182)</f>
        <v>62</v>
      </c>
      <c r="G182" s="9">
        <f>IF(DADOS!F182="","",DADOS!F182)</f>
        <v>10</v>
      </c>
      <c r="K182" s="6">
        <f t="shared" si="15"/>
        <v>19.735212943395023</v>
      </c>
      <c r="L182" s="7">
        <f t="shared" si="16"/>
        <v>3.0589580062262291E-2</v>
      </c>
      <c r="M182" s="7">
        <f t="shared" si="13"/>
        <v>0.30589580062262289</v>
      </c>
      <c r="N182" s="7">
        <f t="shared" si="17"/>
        <v>0.24471664049809833</v>
      </c>
      <c r="O182" s="8"/>
      <c r="P182" s="26"/>
      <c r="S182" s="10" t="str">
        <f t="shared" si="14"/>
        <v/>
      </c>
    </row>
    <row r="183" spans="5:19" x14ac:dyDescent="0.3">
      <c r="E183" s="9">
        <f>IF(DADOS!C183="","",DADOS!C183)</f>
        <v>9</v>
      </c>
      <c r="F183" s="9">
        <f>IF(DADOS!E183="","",DADOS!E183)</f>
        <v>54.3</v>
      </c>
      <c r="G183" s="9">
        <f>IF(DADOS!F183="","",DADOS!F183)</f>
        <v>9</v>
      </c>
      <c r="K183" s="6">
        <f t="shared" si="15"/>
        <v>17.284226819779832</v>
      </c>
      <c r="L183" s="7">
        <f t="shared" si="16"/>
        <v>2.3463337907851118E-2</v>
      </c>
      <c r="M183" s="7">
        <f t="shared" si="13"/>
        <v>0.21117004117066007</v>
      </c>
      <c r="N183" s="7">
        <f t="shared" si="17"/>
        <v>0.16893603293652806</v>
      </c>
      <c r="O183" s="8"/>
      <c r="P183" s="26"/>
      <c r="S183" s="10" t="str">
        <f t="shared" si="14"/>
        <v/>
      </c>
    </row>
    <row r="184" spans="5:19" x14ac:dyDescent="0.3">
      <c r="E184" s="9">
        <f>IF(DADOS!C184="","",DADOS!C184)</f>
        <v>9</v>
      </c>
      <c r="F184" s="9">
        <f>IF(DADOS!E184="","",DADOS!E184)</f>
        <v>52.3</v>
      </c>
      <c r="G184" s="9">
        <f>IF(DADOS!F184="","",DADOS!F184)</f>
        <v>9</v>
      </c>
      <c r="K184" s="6">
        <f t="shared" si="15"/>
        <v>16.647607047412251</v>
      </c>
      <c r="L184" s="7">
        <f t="shared" si="16"/>
        <v>2.1766746214491515E-2</v>
      </c>
      <c r="M184" s="7">
        <f t="shared" si="13"/>
        <v>0.19590071593042363</v>
      </c>
      <c r="N184" s="7">
        <f t="shared" si="17"/>
        <v>0.15672057274433893</v>
      </c>
      <c r="O184" s="8"/>
      <c r="P184" s="26"/>
      <c r="S184" s="10" t="str">
        <f t="shared" si="14"/>
        <v/>
      </c>
    </row>
    <row r="185" spans="5:19" x14ac:dyDescent="0.3">
      <c r="E185" s="9">
        <f>IF(DADOS!C185="","",DADOS!C185)</f>
        <v>9</v>
      </c>
      <c r="F185" s="9">
        <f>IF(DADOS!E185="","",DADOS!E185)</f>
        <v>110</v>
      </c>
      <c r="G185" s="9">
        <f>IF(DADOS!F185="","",DADOS!F185)</f>
        <v>10</v>
      </c>
      <c r="K185" s="6">
        <f t="shared" si="15"/>
        <v>35.014087480216972</v>
      </c>
      <c r="L185" s="7">
        <f t="shared" si="16"/>
        <v>9.6288740570596651E-2</v>
      </c>
      <c r="M185" s="7">
        <f t="shared" si="13"/>
        <v>0.96288740570596654</v>
      </c>
      <c r="N185" s="7">
        <f t="shared" si="17"/>
        <v>0.77030992456477332</v>
      </c>
      <c r="O185" s="8"/>
      <c r="P185" s="26"/>
      <c r="S185" s="10" t="str">
        <f t="shared" si="14"/>
        <v/>
      </c>
    </row>
    <row r="186" spans="5:19" x14ac:dyDescent="0.3">
      <c r="E186" s="9">
        <f>IF(DADOS!C186="","",DADOS!C186)</f>
        <v>9</v>
      </c>
      <c r="F186" s="9">
        <f>IF(DADOS!E186="","",DADOS!E186)</f>
        <v>93.2</v>
      </c>
      <c r="G186" s="9">
        <f>IF(DADOS!F186="","",DADOS!F186)</f>
        <v>9.5</v>
      </c>
      <c r="K186" s="6">
        <f t="shared" si="15"/>
        <v>29.666481392329292</v>
      </c>
      <c r="L186" s="7">
        <f t="shared" si="16"/>
        <v>6.9122901644127252E-2</v>
      </c>
      <c r="M186" s="7">
        <f t="shared" si="13"/>
        <v>0.65666756561920891</v>
      </c>
      <c r="N186" s="7">
        <f t="shared" si="17"/>
        <v>0.52533405249536713</v>
      </c>
      <c r="O186" s="8"/>
      <c r="P186" s="26"/>
      <c r="S186" s="10" t="str">
        <f t="shared" si="14"/>
        <v/>
      </c>
    </row>
    <row r="187" spans="5:19" x14ac:dyDescent="0.3">
      <c r="E187" s="9">
        <f>IF(DADOS!C187="","",DADOS!C187)</f>
        <v>9</v>
      </c>
      <c r="F187" s="9">
        <f>IF(DADOS!E187="","",DADOS!E187)</f>
        <v>117.7</v>
      </c>
      <c r="G187" s="9">
        <f>IF(DADOS!F187="","",DADOS!F187)</f>
        <v>10</v>
      </c>
      <c r="K187" s="6">
        <f t="shared" si="15"/>
        <v>37.465073603832167</v>
      </c>
      <c r="L187" s="7">
        <f t="shared" si="16"/>
        <v>0.11024097907927617</v>
      </c>
      <c r="M187" s="7">
        <f t="shared" si="13"/>
        <v>1.1024097907927617</v>
      </c>
      <c r="N187" s="7">
        <f t="shared" si="17"/>
        <v>0.88192783263420937</v>
      </c>
      <c r="O187" s="8"/>
      <c r="P187" s="26"/>
      <c r="S187" s="10" t="str">
        <f t="shared" si="14"/>
        <v/>
      </c>
    </row>
    <row r="188" spans="5:19" x14ac:dyDescent="0.3">
      <c r="E188" s="9">
        <f>IF(DADOS!C188="","",DADOS!C188)</f>
        <v>9</v>
      </c>
      <c r="F188" s="9">
        <f>IF(DADOS!E188="","",DADOS!E188)</f>
        <v>73.5</v>
      </c>
      <c r="G188" s="9">
        <f>IF(DADOS!F188="","",DADOS!F188)</f>
        <v>8</v>
      </c>
      <c r="K188" s="6">
        <f t="shared" si="15"/>
        <v>23.395776634508614</v>
      </c>
      <c r="L188" s="7">
        <f t="shared" si="16"/>
        <v>4.2989739565909575E-2</v>
      </c>
      <c r="M188" s="7">
        <f t="shared" si="13"/>
        <v>0.3439179165272766</v>
      </c>
      <c r="N188" s="7">
        <f t="shared" si="17"/>
        <v>0.27513433322182129</v>
      </c>
      <c r="O188" s="8"/>
      <c r="P188" s="26"/>
      <c r="S188" s="10" t="str">
        <f t="shared" si="14"/>
        <v/>
      </c>
    </row>
    <row r="189" spans="5:19" x14ac:dyDescent="0.3">
      <c r="E189" s="9">
        <f>IF(DADOS!C189="","",DADOS!C189)</f>
        <v>9</v>
      </c>
      <c r="F189" s="9">
        <f>IF(DADOS!E189="","",DADOS!E189)</f>
        <v>43</v>
      </c>
      <c r="G189" s="9">
        <f>IF(DADOS!F189="","",DADOS!F189)</f>
        <v>10</v>
      </c>
      <c r="K189" s="6">
        <f t="shared" si="15"/>
        <v>13.687325105903</v>
      </c>
      <c r="L189" s="7">
        <f t="shared" si="16"/>
        <v>1.4713874488845724E-2</v>
      </c>
      <c r="M189" s="7">
        <f t="shared" si="13"/>
        <v>0.14713874488845724</v>
      </c>
      <c r="N189" s="7">
        <f t="shared" si="17"/>
        <v>0.11771099591076579</v>
      </c>
      <c r="O189" s="8"/>
      <c r="P189" s="26"/>
      <c r="S189" s="10" t="str">
        <f t="shared" si="14"/>
        <v/>
      </c>
    </row>
    <row r="190" spans="5:19" x14ac:dyDescent="0.3">
      <c r="E190" s="9">
        <f>IF(DADOS!C190="","",DADOS!C190)</f>
        <v>9</v>
      </c>
      <c r="F190" s="9">
        <f>IF(DADOS!E190="","",DADOS!E190)</f>
        <v>22.4</v>
      </c>
      <c r="G190" s="9">
        <f>IF(DADOS!F190="","",DADOS!F190)</f>
        <v>8</v>
      </c>
      <c r="K190" s="6">
        <f t="shared" si="15"/>
        <v>7.130141450516911</v>
      </c>
      <c r="L190" s="7">
        <f t="shared" si="16"/>
        <v>3.9928792122894703E-3</v>
      </c>
      <c r="M190" s="7">
        <f t="shared" si="13"/>
        <v>3.1943033698315762E-2</v>
      </c>
      <c r="N190" s="7">
        <f t="shared" si="17"/>
        <v>2.555442695865261E-2</v>
      </c>
      <c r="O190" s="8"/>
      <c r="P190" s="26"/>
      <c r="S190" s="10" t="str">
        <f t="shared" si="14"/>
        <v/>
      </c>
    </row>
    <row r="191" spans="5:19" x14ac:dyDescent="0.3">
      <c r="E191" s="9">
        <f>IF(DADOS!C191="","",DADOS!C191)</f>
        <v>10</v>
      </c>
      <c r="F191" s="9">
        <f>IF(DADOS!E191="","",DADOS!E191)</f>
        <v>88</v>
      </c>
      <c r="G191" s="9">
        <f>IF(DADOS!F191="","",DADOS!F191)</f>
        <v>11</v>
      </c>
      <c r="K191" s="6">
        <f t="shared" si="15"/>
        <v>28.01126998417358</v>
      </c>
      <c r="L191" s="7">
        <f t="shared" si="16"/>
        <v>6.1624793965181883E-2</v>
      </c>
      <c r="M191" s="7">
        <f t="shared" si="13"/>
        <v>0.67787273361700073</v>
      </c>
      <c r="N191" s="7">
        <f t="shared" si="17"/>
        <v>0.54229818689360065</v>
      </c>
      <c r="O191" s="8"/>
      <c r="P191" s="26"/>
      <c r="S191" s="10" t="str">
        <f t="shared" si="14"/>
        <v/>
      </c>
    </row>
    <row r="192" spans="5:19" x14ac:dyDescent="0.3">
      <c r="E192" s="9">
        <f>IF(DADOS!C192="","",DADOS!C192)</f>
        <v>10</v>
      </c>
      <c r="F192" s="9">
        <f>IF(DADOS!E192="","",DADOS!E192)</f>
        <v>106.5</v>
      </c>
      <c r="G192" s="9">
        <f>IF(DADOS!F192="","",DADOS!F192)</f>
        <v>11</v>
      </c>
      <c r="K192" s="6">
        <f t="shared" si="15"/>
        <v>33.900002878573709</v>
      </c>
      <c r="L192" s="7">
        <f t="shared" si="16"/>
        <v>9.0258757664202507E-2</v>
      </c>
      <c r="M192" s="7">
        <f t="shared" si="13"/>
        <v>0.9928463343062276</v>
      </c>
      <c r="N192" s="7">
        <f t="shared" si="17"/>
        <v>0.79427706744498217</v>
      </c>
      <c r="O192" s="8"/>
      <c r="P192" s="26"/>
      <c r="S192" s="10" t="str">
        <f t="shared" si="14"/>
        <v/>
      </c>
    </row>
    <row r="193" spans="5:19" x14ac:dyDescent="0.3">
      <c r="E193" s="9">
        <f>IF(DADOS!C193="","",DADOS!C193)</f>
        <v>10</v>
      </c>
      <c r="F193" s="9">
        <f>IF(DADOS!E193="","",DADOS!E193)</f>
        <v>98</v>
      </c>
      <c r="G193" s="9">
        <f>IF(DADOS!F193="","",DADOS!F193)</f>
        <v>12</v>
      </c>
      <c r="K193" s="6">
        <f t="shared" si="15"/>
        <v>31.194368846011486</v>
      </c>
      <c r="L193" s="7">
        <f t="shared" si="16"/>
        <v>7.6426203672728135E-2</v>
      </c>
      <c r="M193" s="7">
        <f t="shared" si="13"/>
        <v>0.91711444407273768</v>
      </c>
      <c r="N193" s="7">
        <f t="shared" si="17"/>
        <v>0.73369155525819019</v>
      </c>
      <c r="O193" s="8"/>
      <c r="P193" s="26"/>
      <c r="S193" s="10" t="str">
        <f t="shared" si="14"/>
        <v/>
      </c>
    </row>
    <row r="194" spans="5:19" x14ac:dyDescent="0.3">
      <c r="E194" s="9">
        <f>IF(DADOS!C194="","",DADOS!C194)</f>
        <v>10</v>
      </c>
      <c r="F194" s="9">
        <f>IF(DADOS!E194="","",DADOS!E194)</f>
        <v>125.5</v>
      </c>
      <c r="G194" s="9">
        <f>IF(DADOS!F194="","",DADOS!F194)</f>
        <v>12</v>
      </c>
      <c r="K194" s="6">
        <f t="shared" si="15"/>
        <v>39.947890716065729</v>
      </c>
      <c r="L194" s="7">
        <f t="shared" si="16"/>
        <v>0.12533650712165623</v>
      </c>
      <c r="M194" s="7">
        <f t="shared" si="13"/>
        <v>1.5040380854598747</v>
      </c>
      <c r="N194" s="7">
        <f t="shared" si="17"/>
        <v>1.2032304683678998</v>
      </c>
      <c r="O194" s="8"/>
      <c r="P194" s="26"/>
      <c r="S194" s="10" t="str">
        <f t="shared" si="14"/>
        <v/>
      </c>
    </row>
    <row r="195" spans="5:19" x14ac:dyDescent="0.3">
      <c r="E195" s="9">
        <f>IF(DADOS!C195="","",DADOS!C195)</f>
        <v>10</v>
      </c>
      <c r="F195" s="9">
        <f>IF(DADOS!E195="","",DADOS!E195)</f>
        <v>29.4</v>
      </c>
      <c r="G195" s="9">
        <f>IF(DADOS!F195="","",DADOS!F195)</f>
        <v>7</v>
      </c>
      <c r="K195" s="6">
        <f t="shared" si="15"/>
        <v>9.3583106538034464</v>
      </c>
      <c r="L195" s="7">
        <f t="shared" si="16"/>
        <v>6.8783583305455339E-3</v>
      </c>
      <c r="M195" s="7">
        <f t="shared" ref="M195:M258" si="18">IF(L195="","",L195*G195)</f>
        <v>4.8148508313818734E-2</v>
      </c>
      <c r="N195" s="7">
        <f t="shared" si="17"/>
        <v>3.851880665105499E-2</v>
      </c>
      <c r="O195" s="8"/>
      <c r="P195" s="26"/>
      <c r="S195" s="10" t="str">
        <f t="shared" ref="S195:S258" si="19">IF(R195="","",SUMIFS($N$3:$N$10000,$E$3:$E$10000,R195))</f>
        <v/>
      </c>
    </row>
    <row r="196" spans="5:19" x14ac:dyDescent="0.3">
      <c r="E196" s="9">
        <f>IF(DADOS!C196="","",DADOS!C196)</f>
        <v>10</v>
      </c>
      <c r="F196" s="9">
        <f>IF(DADOS!E196="","",DADOS!E196)</f>
        <v>25.5</v>
      </c>
      <c r="G196" s="9">
        <f>IF(DADOS!F196="","",DADOS!F196)</f>
        <v>6</v>
      </c>
      <c r="K196" s="6">
        <f t="shared" ref="K196:K259" si="20">IF(F196="","",F196/PI())</f>
        <v>8.1169020976866619</v>
      </c>
      <c r="L196" s="7">
        <f t="shared" ref="L196:L259" si="21">IF(K196="","",(PI()*K196^2)/40000)</f>
        <v>5.1745250872752471E-3</v>
      </c>
      <c r="M196" s="7">
        <f t="shared" si="18"/>
        <v>3.1047150523651482E-2</v>
      </c>
      <c r="N196" s="7">
        <f t="shared" ref="N196:N259" si="22">IF(M196="","",M196*N$1)</f>
        <v>2.4837720418921187E-2</v>
      </c>
      <c r="O196" s="8"/>
      <c r="P196" s="26"/>
      <c r="S196" s="10" t="str">
        <f t="shared" si="19"/>
        <v/>
      </c>
    </row>
    <row r="197" spans="5:19" x14ac:dyDescent="0.3">
      <c r="E197" s="9">
        <f>IF(DADOS!C197="","",DADOS!C197)</f>
        <v>10</v>
      </c>
      <c r="F197" s="9">
        <f>IF(DADOS!E197="","",DADOS!E197)</f>
        <v>23</v>
      </c>
      <c r="G197" s="9">
        <f>IF(DADOS!F197="","",DADOS!F197)</f>
        <v>2.2999999999999998</v>
      </c>
      <c r="K197" s="6">
        <f t="shared" si="20"/>
        <v>7.3211273822271856</v>
      </c>
      <c r="L197" s="7">
        <f t="shared" si="21"/>
        <v>4.2096482447806314E-3</v>
      </c>
      <c r="M197" s="7">
        <f t="shared" si="18"/>
        <v>9.682190962995451E-3</v>
      </c>
      <c r="N197" s="7">
        <f t="shared" si="22"/>
        <v>7.7457527703963611E-3</v>
      </c>
      <c r="O197" s="8"/>
      <c r="P197" s="26"/>
      <c r="S197" s="10" t="str">
        <f t="shared" si="19"/>
        <v/>
      </c>
    </row>
    <row r="198" spans="5:19" x14ac:dyDescent="0.3">
      <c r="E198" s="9">
        <f>IF(DADOS!C198="","",DADOS!C198)</f>
        <v>10</v>
      </c>
      <c r="F198" s="9">
        <f>IF(DADOS!E198="","",DADOS!E198)</f>
        <v>18.899999999999999</v>
      </c>
      <c r="G198" s="9">
        <f>IF(DADOS!F198="","",DADOS!F198)</f>
        <v>2.2999999999999998</v>
      </c>
      <c r="K198" s="6">
        <f t="shared" si="20"/>
        <v>6.0160568488736432</v>
      </c>
      <c r="L198" s="7">
        <f t="shared" si="21"/>
        <v>2.8425868610927958E-3</v>
      </c>
      <c r="M198" s="7">
        <f t="shared" si="18"/>
        <v>6.5379497805134303E-3</v>
      </c>
      <c r="N198" s="7">
        <f t="shared" si="22"/>
        <v>5.2303598244107449E-3</v>
      </c>
      <c r="O198" s="8"/>
      <c r="P198" s="26"/>
      <c r="S198" s="10" t="str">
        <f t="shared" si="19"/>
        <v/>
      </c>
    </row>
    <row r="199" spans="5:19" x14ac:dyDescent="0.3">
      <c r="E199" s="9">
        <f>IF(DADOS!C199="","",DADOS!C199)</f>
        <v>10</v>
      </c>
      <c r="F199" s="9">
        <f>IF(DADOS!E199="","",DADOS!E199)</f>
        <v>17</v>
      </c>
      <c r="G199" s="9">
        <f>IF(DADOS!F199="","",DADOS!F199)</f>
        <v>1.7</v>
      </c>
      <c r="K199" s="6">
        <f t="shared" si="20"/>
        <v>5.4112680651244416</v>
      </c>
      <c r="L199" s="7">
        <f t="shared" si="21"/>
        <v>2.2997889276778873E-3</v>
      </c>
      <c r="M199" s="7">
        <f t="shared" si="18"/>
        <v>3.9096411770524085E-3</v>
      </c>
      <c r="N199" s="7">
        <f t="shared" si="22"/>
        <v>3.1277129416419271E-3</v>
      </c>
      <c r="O199" s="8"/>
      <c r="P199" s="26"/>
      <c r="S199" s="10" t="str">
        <f t="shared" si="19"/>
        <v/>
      </c>
    </row>
    <row r="200" spans="5:19" x14ac:dyDescent="0.3">
      <c r="E200" s="9">
        <f>IF(DADOS!C200="","",DADOS!C200)</f>
        <v>10</v>
      </c>
      <c r="F200" s="9">
        <f>IF(DADOS!E200="","",DADOS!E200)</f>
        <v>37.5</v>
      </c>
      <c r="G200" s="9">
        <f>IF(DADOS!F200="","",DADOS!F200)</f>
        <v>4</v>
      </c>
      <c r="K200" s="6">
        <f t="shared" si="20"/>
        <v>11.93662073189215</v>
      </c>
      <c r="L200" s="7">
        <f t="shared" si="21"/>
        <v>1.1190581936148889E-2</v>
      </c>
      <c r="M200" s="7">
        <f t="shared" si="18"/>
        <v>4.4762327744595556E-2</v>
      </c>
      <c r="N200" s="7">
        <f t="shared" si="22"/>
        <v>3.5809862195676445E-2</v>
      </c>
      <c r="O200" s="8"/>
      <c r="P200" s="26"/>
      <c r="S200" s="10" t="str">
        <f t="shared" si="19"/>
        <v/>
      </c>
    </row>
    <row r="201" spans="5:19" x14ac:dyDescent="0.3">
      <c r="E201" s="9">
        <f>IF(DADOS!C201="","",DADOS!C201)</f>
        <v>10</v>
      </c>
      <c r="F201" s="9">
        <f>IF(DADOS!E201="","",DADOS!E201)</f>
        <v>28.1</v>
      </c>
      <c r="G201" s="9">
        <f>IF(DADOS!F201="","",DADOS!F201)</f>
        <v>3</v>
      </c>
      <c r="K201" s="6">
        <f t="shared" si="20"/>
        <v>8.9445078017645194</v>
      </c>
      <c r="L201" s="7">
        <f t="shared" si="21"/>
        <v>6.2835167307395768E-3</v>
      </c>
      <c r="M201" s="7">
        <f t="shared" si="18"/>
        <v>1.8850550192218731E-2</v>
      </c>
      <c r="N201" s="7">
        <f t="shared" si="22"/>
        <v>1.5080440153774986E-2</v>
      </c>
      <c r="O201" s="8"/>
      <c r="P201" s="26"/>
      <c r="S201" s="10" t="str">
        <f t="shared" si="19"/>
        <v/>
      </c>
    </row>
    <row r="202" spans="5:19" x14ac:dyDescent="0.3">
      <c r="E202" s="9">
        <f>IF(DADOS!C202="","",DADOS!C202)</f>
        <v>10</v>
      </c>
      <c r="F202" s="9">
        <f>IF(DADOS!E202="","",DADOS!E202)</f>
        <v>65.099999999999994</v>
      </c>
      <c r="G202" s="9">
        <f>IF(DADOS!F202="","",DADOS!F202)</f>
        <v>6</v>
      </c>
      <c r="K202" s="6">
        <f t="shared" si="20"/>
        <v>20.721973590564772</v>
      </c>
      <c r="L202" s="7">
        <f t="shared" si="21"/>
        <v>3.3725012018644161E-2</v>
      </c>
      <c r="M202" s="7">
        <f t="shared" si="18"/>
        <v>0.20235007211186495</v>
      </c>
      <c r="N202" s="7">
        <f t="shared" si="22"/>
        <v>0.16188005768949199</v>
      </c>
      <c r="O202" s="8"/>
      <c r="P202" s="26"/>
      <c r="S202" s="10" t="str">
        <f t="shared" si="19"/>
        <v/>
      </c>
    </row>
    <row r="203" spans="5:19" x14ac:dyDescent="0.3">
      <c r="E203" s="9">
        <f>IF(DADOS!C203="","",DADOS!C203)</f>
        <v>10</v>
      </c>
      <c r="F203" s="9">
        <f>IF(DADOS!E203="","",DADOS!E203)</f>
        <v>19.5</v>
      </c>
      <c r="G203" s="9">
        <f>IF(DADOS!F203="","",DADOS!F203)</f>
        <v>4.5</v>
      </c>
      <c r="K203" s="6">
        <f t="shared" si="20"/>
        <v>6.2070427805839179</v>
      </c>
      <c r="L203" s="7">
        <f t="shared" si="21"/>
        <v>3.0259333555346596E-3</v>
      </c>
      <c r="M203" s="7">
        <f t="shared" si="18"/>
        <v>1.3616700099905968E-2</v>
      </c>
      <c r="N203" s="7">
        <f t="shared" si="22"/>
        <v>1.0893360079924775E-2</v>
      </c>
      <c r="O203" s="8"/>
      <c r="P203" s="26"/>
      <c r="S203" s="10" t="str">
        <f t="shared" si="19"/>
        <v/>
      </c>
    </row>
    <row r="204" spans="5:19" x14ac:dyDescent="0.3">
      <c r="E204" s="9">
        <f>IF(DADOS!C204="","",DADOS!C204)</f>
        <v>10</v>
      </c>
      <c r="F204" s="9">
        <f>IF(DADOS!E204="","",DADOS!E204)</f>
        <v>24.2</v>
      </c>
      <c r="G204" s="9">
        <f>IF(DADOS!F204="","",DADOS!F204)</f>
        <v>6</v>
      </c>
      <c r="K204" s="6">
        <f t="shared" si="20"/>
        <v>7.7030992456477341</v>
      </c>
      <c r="L204" s="7">
        <f t="shared" si="21"/>
        <v>4.6603750436168788E-3</v>
      </c>
      <c r="M204" s="7">
        <f t="shared" si="18"/>
        <v>2.7962250261701273E-2</v>
      </c>
      <c r="N204" s="7">
        <f t="shared" si="22"/>
        <v>2.236980020936102E-2</v>
      </c>
      <c r="O204" s="8"/>
      <c r="P204" s="26"/>
      <c r="S204" s="10" t="str">
        <f t="shared" si="19"/>
        <v/>
      </c>
    </row>
    <row r="205" spans="5:19" x14ac:dyDescent="0.3">
      <c r="E205" s="9">
        <f>IF(DADOS!C205="","",DADOS!C205)</f>
        <v>10</v>
      </c>
      <c r="F205" s="9">
        <f>IF(DADOS!E205="","",DADOS!E205)</f>
        <v>21.2</v>
      </c>
      <c r="G205" s="9">
        <f>IF(DADOS!F205="","",DADOS!F205)</f>
        <v>6</v>
      </c>
      <c r="K205" s="6">
        <f t="shared" si="20"/>
        <v>6.7481695870963625</v>
      </c>
      <c r="L205" s="7">
        <f t="shared" si="21"/>
        <v>3.5765298811610718E-3</v>
      </c>
      <c r="M205" s="7">
        <f t="shared" si="18"/>
        <v>2.1459179286966432E-2</v>
      </c>
      <c r="N205" s="7">
        <f t="shared" si="22"/>
        <v>1.7167343429573146E-2</v>
      </c>
      <c r="O205" s="8"/>
      <c r="P205" s="26"/>
      <c r="S205" s="10" t="str">
        <f t="shared" si="19"/>
        <v/>
      </c>
    </row>
    <row r="206" spans="5:19" x14ac:dyDescent="0.3">
      <c r="E206" s="9">
        <f>IF(DADOS!C206="","",DADOS!C206)</f>
        <v>10</v>
      </c>
      <c r="F206" s="9">
        <f>IF(DADOS!E206="","",DADOS!E206)</f>
        <v>23.8</v>
      </c>
      <c r="G206" s="9">
        <f>IF(DADOS!F206="","",DADOS!F206)</f>
        <v>5.5</v>
      </c>
      <c r="K206" s="6">
        <f t="shared" si="20"/>
        <v>7.5757752911742182</v>
      </c>
      <c r="L206" s="7">
        <f t="shared" si="21"/>
        <v>4.5075862982486602E-3</v>
      </c>
      <c r="M206" s="7">
        <f t="shared" si="18"/>
        <v>2.4791724640367632E-2</v>
      </c>
      <c r="N206" s="7">
        <f t="shared" si="22"/>
        <v>1.9833379712294107E-2</v>
      </c>
      <c r="O206" s="8"/>
      <c r="P206" s="26"/>
      <c r="S206" s="10" t="str">
        <f t="shared" si="19"/>
        <v/>
      </c>
    </row>
    <row r="207" spans="5:19" x14ac:dyDescent="0.3">
      <c r="E207" s="9">
        <f>IF(DADOS!C207="","",DADOS!C207)</f>
        <v>10</v>
      </c>
      <c r="F207" s="9">
        <f>IF(DADOS!E207="","",DADOS!E207)</f>
        <v>17.5</v>
      </c>
      <c r="G207" s="9">
        <f>IF(DADOS!F207="","",DADOS!F207)</f>
        <v>6</v>
      </c>
      <c r="K207" s="6">
        <f t="shared" si="20"/>
        <v>5.5704230082163368</v>
      </c>
      <c r="L207" s="7">
        <f t="shared" si="21"/>
        <v>2.4370600660946471E-3</v>
      </c>
      <c r="M207" s="7">
        <f t="shared" si="18"/>
        <v>1.4622360396567884E-2</v>
      </c>
      <c r="N207" s="7">
        <f t="shared" si="22"/>
        <v>1.1697888317254308E-2</v>
      </c>
      <c r="O207" s="8"/>
      <c r="P207" s="26"/>
      <c r="S207" s="10" t="str">
        <f t="shared" si="19"/>
        <v/>
      </c>
    </row>
    <row r="208" spans="5:19" x14ac:dyDescent="0.3">
      <c r="E208" s="9">
        <f>IF(DADOS!C208="","",DADOS!C208)</f>
        <v>10</v>
      </c>
      <c r="F208" s="9">
        <f>IF(DADOS!E208="","",DADOS!E208)</f>
        <v>34.6</v>
      </c>
      <c r="G208" s="9">
        <f>IF(DADOS!F208="","",DADOS!F208)</f>
        <v>6</v>
      </c>
      <c r="K208" s="6">
        <f t="shared" si="20"/>
        <v>11.013522061959158</v>
      </c>
      <c r="L208" s="7">
        <f t="shared" si="21"/>
        <v>9.526696583594672E-3</v>
      </c>
      <c r="M208" s="7">
        <f t="shared" si="18"/>
        <v>5.7160179501568029E-2</v>
      </c>
      <c r="N208" s="7">
        <f t="shared" si="22"/>
        <v>4.5728143601254427E-2</v>
      </c>
      <c r="O208" s="8"/>
      <c r="P208" s="26"/>
      <c r="S208" s="10" t="str">
        <f t="shared" si="19"/>
        <v/>
      </c>
    </row>
    <row r="209" spans="5:19" x14ac:dyDescent="0.3">
      <c r="E209" s="9">
        <f>IF(DADOS!C209="","",DADOS!C209)</f>
        <v>10</v>
      </c>
      <c r="F209" s="9">
        <f>IF(DADOS!E209="","",DADOS!E209)</f>
        <v>27</v>
      </c>
      <c r="G209" s="9">
        <f>IF(DADOS!F209="","",DADOS!F209)</f>
        <v>5</v>
      </c>
      <c r="K209" s="6">
        <f t="shared" si="20"/>
        <v>8.5943669269623477</v>
      </c>
      <c r="L209" s="7">
        <f t="shared" si="21"/>
        <v>5.8011976756995841E-3</v>
      </c>
      <c r="M209" s="7">
        <f t="shared" si="18"/>
        <v>2.900598837849792E-2</v>
      </c>
      <c r="N209" s="7">
        <f t="shared" si="22"/>
        <v>2.3204790702798336E-2</v>
      </c>
      <c r="O209" s="8"/>
      <c r="P209" s="26"/>
      <c r="S209" s="10" t="str">
        <f t="shared" si="19"/>
        <v/>
      </c>
    </row>
    <row r="210" spans="5:19" x14ac:dyDescent="0.3">
      <c r="E210" s="9">
        <f>IF(DADOS!C210="","",DADOS!C210)</f>
        <v>10</v>
      </c>
      <c r="F210" s="9">
        <f>IF(DADOS!E210="","",DADOS!E210)</f>
        <v>29.4</v>
      </c>
      <c r="G210" s="9">
        <f>IF(DADOS!F210="","",DADOS!F210)</f>
        <v>6</v>
      </c>
      <c r="K210" s="6">
        <f t="shared" si="20"/>
        <v>9.3583106538034464</v>
      </c>
      <c r="L210" s="7">
        <f t="shared" si="21"/>
        <v>6.8783583305455339E-3</v>
      </c>
      <c r="M210" s="7">
        <f t="shared" si="18"/>
        <v>4.1270149983273205E-2</v>
      </c>
      <c r="N210" s="7">
        <f t="shared" si="22"/>
        <v>3.3016119986618568E-2</v>
      </c>
      <c r="O210" s="8"/>
      <c r="P210" s="26"/>
      <c r="S210" s="10" t="str">
        <f t="shared" si="19"/>
        <v/>
      </c>
    </row>
    <row r="211" spans="5:19" x14ac:dyDescent="0.3">
      <c r="E211" s="9">
        <f>IF(DADOS!C211="","",DADOS!C211)</f>
        <v>10</v>
      </c>
      <c r="F211" s="9">
        <f>IF(DADOS!E211="","",DADOS!E211)</f>
        <v>47.8</v>
      </c>
      <c r="G211" s="9">
        <f>IF(DADOS!F211="","",DADOS!F211)</f>
        <v>6</v>
      </c>
      <c r="K211" s="6">
        <f t="shared" si="20"/>
        <v>15.215212559585193</v>
      </c>
      <c r="L211" s="7">
        <f t="shared" si="21"/>
        <v>1.8182179008704308E-2</v>
      </c>
      <c r="M211" s="7">
        <f t="shared" si="18"/>
        <v>0.10909307405222585</v>
      </c>
      <c r="N211" s="7">
        <f t="shared" si="22"/>
        <v>8.7274459241780677E-2</v>
      </c>
      <c r="O211" s="8"/>
      <c r="P211" s="26"/>
      <c r="S211" s="10" t="str">
        <f t="shared" si="19"/>
        <v/>
      </c>
    </row>
    <row r="212" spans="5:19" x14ac:dyDescent="0.3">
      <c r="E212" s="9">
        <f>IF(DADOS!C212="","",DADOS!C212)</f>
        <v>10</v>
      </c>
      <c r="F212" s="9">
        <f>IF(DADOS!E212="","",DADOS!E212)</f>
        <v>18</v>
      </c>
      <c r="G212" s="9">
        <f>IF(DADOS!F212="","",DADOS!F212)</f>
        <v>3.5</v>
      </c>
      <c r="K212" s="6">
        <f t="shared" si="20"/>
        <v>5.7295779513082321</v>
      </c>
      <c r="L212" s="7">
        <f t="shared" si="21"/>
        <v>2.5783100780887042E-3</v>
      </c>
      <c r="M212" s="7">
        <f t="shared" si="18"/>
        <v>9.0240852733104657E-3</v>
      </c>
      <c r="N212" s="7">
        <f t="shared" si="22"/>
        <v>7.2192682186483729E-3</v>
      </c>
      <c r="O212" s="8"/>
      <c r="P212" s="26"/>
      <c r="S212" s="10" t="str">
        <f t="shared" si="19"/>
        <v/>
      </c>
    </row>
    <row r="213" spans="5:19" x14ac:dyDescent="0.3">
      <c r="E213" s="9">
        <f>IF(DADOS!C213="","",DADOS!C213)</f>
        <v>10</v>
      </c>
      <c r="F213" s="9">
        <f>IF(DADOS!E213="","",DADOS!E213)</f>
        <v>66</v>
      </c>
      <c r="G213" s="9">
        <f>IF(DADOS!F213="","",DADOS!F213)</f>
        <v>9</v>
      </c>
      <c r="K213" s="6">
        <f t="shared" si="20"/>
        <v>21.008452488130185</v>
      </c>
      <c r="L213" s="7">
        <f t="shared" si="21"/>
        <v>3.4663946605414803E-2</v>
      </c>
      <c r="M213" s="7">
        <f t="shared" si="18"/>
        <v>0.31197551944873325</v>
      </c>
      <c r="N213" s="7">
        <f t="shared" si="22"/>
        <v>0.24958041555898661</v>
      </c>
      <c r="O213" s="8"/>
      <c r="P213" s="26"/>
      <c r="S213" s="10" t="str">
        <f t="shared" si="19"/>
        <v/>
      </c>
    </row>
    <row r="214" spans="5:19" x14ac:dyDescent="0.3">
      <c r="E214" s="9">
        <f>IF(DADOS!C214="","",DADOS!C214)</f>
        <v>10</v>
      </c>
      <c r="F214" s="9">
        <f>IF(DADOS!E214="","",DADOS!E214)</f>
        <v>52</v>
      </c>
      <c r="G214" s="9">
        <f>IF(DADOS!F214="","",DADOS!F214)</f>
        <v>9.5</v>
      </c>
      <c r="K214" s="6">
        <f t="shared" si="20"/>
        <v>16.552114081557114</v>
      </c>
      <c r="L214" s="7">
        <f t="shared" si="21"/>
        <v>2.1517748306024247E-2</v>
      </c>
      <c r="M214" s="7">
        <f t="shared" si="18"/>
        <v>0.20441860890723035</v>
      </c>
      <c r="N214" s="7">
        <f t="shared" si="22"/>
        <v>0.16353488712578429</v>
      </c>
      <c r="O214" s="8"/>
      <c r="P214" s="26"/>
      <c r="S214" s="10" t="str">
        <f t="shared" si="19"/>
        <v/>
      </c>
    </row>
    <row r="215" spans="5:19" x14ac:dyDescent="0.3">
      <c r="E215" s="9">
        <f>IF(DADOS!C215="","",DADOS!C215)</f>
        <v>10</v>
      </c>
      <c r="F215" s="9">
        <f>IF(DADOS!E215="","",DADOS!E215)</f>
        <v>71.5</v>
      </c>
      <c r="G215" s="9">
        <f>IF(DADOS!F215="","",DADOS!F215)</f>
        <v>10</v>
      </c>
      <c r="K215" s="6">
        <f t="shared" si="20"/>
        <v>22.759156862141033</v>
      </c>
      <c r="L215" s="7">
        <f t="shared" si="21"/>
        <v>4.0681992891077101E-2</v>
      </c>
      <c r="M215" s="7">
        <f t="shared" si="18"/>
        <v>0.40681992891077101</v>
      </c>
      <c r="N215" s="7">
        <f t="shared" si="22"/>
        <v>0.32545594312861681</v>
      </c>
      <c r="O215" s="8"/>
      <c r="P215" s="26"/>
      <c r="S215" s="10" t="str">
        <f t="shared" si="19"/>
        <v/>
      </c>
    </row>
    <row r="216" spans="5:19" x14ac:dyDescent="0.3">
      <c r="E216" s="9">
        <f>IF(DADOS!C216="","",DADOS!C216)</f>
        <v>10</v>
      </c>
      <c r="F216" s="9">
        <f>IF(DADOS!E216="","",DADOS!E216)</f>
        <v>37.700000000000003</v>
      </c>
      <c r="G216" s="9">
        <f>IF(DADOS!F216="","",DADOS!F216)</f>
        <v>10</v>
      </c>
      <c r="K216" s="6">
        <f t="shared" si="20"/>
        <v>12.000282709128909</v>
      </c>
      <c r="L216" s="7">
        <f t="shared" si="21"/>
        <v>1.1310266453353996E-2</v>
      </c>
      <c r="M216" s="7">
        <f t="shared" si="18"/>
        <v>0.11310266453353995</v>
      </c>
      <c r="N216" s="7">
        <f t="shared" si="22"/>
        <v>9.0482131626831969E-2</v>
      </c>
      <c r="O216" s="8"/>
      <c r="P216" s="26"/>
      <c r="S216" s="10" t="str">
        <f t="shared" si="19"/>
        <v/>
      </c>
    </row>
    <row r="217" spans="5:19" x14ac:dyDescent="0.3">
      <c r="E217" s="9">
        <f>IF(DADOS!C217="","",DADOS!C217)</f>
        <v>10</v>
      </c>
      <c r="F217" s="9">
        <f>IF(DADOS!E217="","",DADOS!E217)</f>
        <v>120.4</v>
      </c>
      <c r="G217" s="9">
        <f>IF(DADOS!F217="","",DADOS!F217)</f>
        <v>10</v>
      </c>
      <c r="K217" s="6">
        <f t="shared" si="20"/>
        <v>38.324510296528402</v>
      </c>
      <c r="L217" s="7">
        <f t="shared" si="21"/>
        <v>0.11535677599255049</v>
      </c>
      <c r="M217" s="7">
        <f t="shared" si="18"/>
        <v>1.153567759925505</v>
      </c>
      <c r="N217" s="7">
        <f t="shared" si="22"/>
        <v>0.92285420794040407</v>
      </c>
      <c r="O217" s="8"/>
      <c r="P217" s="26"/>
      <c r="S217" s="10" t="str">
        <f t="shared" si="19"/>
        <v/>
      </c>
    </row>
    <row r="218" spans="5:19" x14ac:dyDescent="0.3">
      <c r="E218" s="9">
        <f>IF(DADOS!C218="","",DADOS!C218)</f>
        <v>10</v>
      </c>
      <c r="F218" s="9">
        <f>IF(DADOS!E218="","",DADOS!E218)</f>
        <v>78.7</v>
      </c>
      <c r="G218" s="9">
        <f>IF(DADOS!F218="","",DADOS!F218)</f>
        <v>8</v>
      </c>
      <c r="K218" s="6">
        <f t="shared" si="20"/>
        <v>25.050988042664329</v>
      </c>
      <c r="L218" s="7">
        <f t="shared" si="21"/>
        <v>4.9287818973942077E-2</v>
      </c>
      <c r="M218" s="7">
        <f t="shared" si="18"/>
        <v>0.39430255179153662</v>
      </c>
      <c r="N218" s="7">
        <f t="shared" si="22"/>
        <v>0.31544204143322929</v>
      </c>
      <c r="O218" s="8"/>
      <c r="P218" s="26"/>
      <c r="S218" s="10" t="str">
        <f t="shared" si="19"/>
        <v/>
      </c>
    </row>
    <row r="219" spans="5:19" x14ac:dyDescent="0.3">
      <c r="E219" s="9">
        <f>IF(DADOS!C219="","",DADOS!C219)</f>
        <v>10</v>
      </c>
      <c r="F219" s="9">
        <f>IF(DADOS!E219="","",DADOS!E219)</f>
        <v>114.4</v>
      </c>
      <c r="G219" s="9">
        <f>IF(DADOS!F219="","",DADOS!F219)</f>
        <v>8</v>
      </c>
      <c r="K219" s="6">
        <f t="shared" si="20"/>
        <v>36.414650979425659</v>
      </c>
      <c r="L219" s="7">
        <f t="shared" si="21"/>
        <v>0.1041459018011574</v>
      </c>
      <c r="M219" s="7">
        <f t="shared" si="18"/>
        <v>0.83316721440925923</v>
      </c>
      <c r="N219" s="7">
        <f t="shared" si="22"/>
        <v>0.66653377152740745</v>
      </c>
      <c r="O219" s="8"/>
      <c r="P219" s="26"/>
      <c r="S219" s="10" t="str">
        <f t="shared" si="19"/>
        <v/>
      </c>
    </row>
    <row r="220" spans="5:19" x14ac:dyDescent="0.3">
      <c r="E220" s="9">
        <f>IF(DADOS!C220="","",DADOS!C220)</f>
        <v>10</v>
      </c>
      <c r="F220" s="9">
        <f>IF(DADOS!E220="","",DADOS!E220)</f>
        <v>43.5</v>
      </c>
      <c r="G220" s="9">
        <f>IF(DADOS!F220="","",DADOS!F220)</f>
        <v>10</v>
      </c>
      <c r="K220" s="6">
        <f t="shared" si="20"/>
        <v>13.846480048994895</v>
      </c>
      <c r="L220" s="7">
        <f t="shared" si="21"/>
        <v>1.505804705328195E-2</v>
      </c>
      <c r="M220" s="7">
        <f t="shared" si="18"/>
        <v>0.1505804705328195</v>
      </c>
      <c r="N220" s="7">
        <f t="shared" si="22"/>
        <v>0.12046437642625561</v>
      </c>
      <c r="O220" s="8"/>
      <c r="P220" s="26"/>
      <c r="S220" s="10" t="str">
        <f t="shared" si="19"/>
        <v/>
      </c>
    </row>
    <row r="221" spans="5:19" x14ac:dyDescent="0.3">
      <c r="E221" s="9">
        <f>IF(DADOS!C221="","",DADOS!C221)</f>
        <v>11</v>
      </c>
      <c r="F221" s="9">
        <f>IF(DADOS!E221="","",DADOS!E221)</f>
        <v>49</v>
      </c>
      <c r="G221" s="9">
        <f>IF(DADOS!F221="","",DADOS!F221)</f>
        <v>12</v>
      </c>
      <c r="K221" s="6">
        <f t="shared" si="20"/>
        <v>15.597184423005743</v>
      </c>
      <c r="L221" s="7">
        <f t="shared" si="21"/>
        <v>1.9106550918182034E-2</v>
      </c>
      <c r="M221" s="7">
        <f t="shared" si="18"/>
        <v>0.22927861101818442</v>
      </c>
      <c r="N221" s="7">
        <f t="shared" si="22"/>
        <v>0.18342288881454755</v>
      </c>
      <c r="O221" s="8"/>
      <c r="P221" s="26"/>
      <c r="S221" s="10" t="str">
        <f t="shared" si="19"/>
        <v/>
      </c>
    </row>
    <row r="222" spans="5:19" x14ac:dyDescent="0.3">
      <c r="E222" s="9">
        <f>IF(DADOS!C222="","",DADOS!C222)</f>
        <v>11</v>
      </c>
      <c r="F222" s="9">
        <f>IF(DADOS!E222="","",DADOS!E222)</f>
        <v>97</v>
      </c>
      <c r="G222" s="9">
        <f>IF(DADOS!F222="","",DADOS!F222)</f>
        <v>12</v>
      </c>
      <c r="K222" s="6">
        <f t="shared" si="20"/>
        <v>30.876058959827695</v>
      </c>
      <c r="L222" s="7">
        <f t="shared" si="21"/>
        <v>7.4874442977582154E-2</v>
      </c>
      <c r="M222" s="7">
        <f t="shared" si="18"/>
        <v>0.89849331573098579</v>
      </c>
      <c r="N222" s="7">
        <f t="shared" si="22"/>
        <v>0.7187946525847887</v>
      </c>
      <c r="O222" s="8"/>
      <c r="P222" s="26"/>
      <c r="S222" s="10" t="str">
        <f t="shared" si="19"/>
        <v/>
      </c>
    </row>
    <row r="223" spans="5:19" x14ac:dyDescent="0.3">
      <c r="E223" s="9">
        <f>IF(DADOS!C223="","",DADOS!C223)</f>
        <v>11</v>
      </c>
      <c r="F223" s="9">
        <f>IF(DADOS!E223="","",DADOS!E223)</f>
        <v>145.5</v>
      </c>
      <c r="G223" s="9">
        <f>IF(DADOS!F223="","",DADOS!F223)</f>
        <v>12</v>
      </c>
      <c r="K223" s="6">
        <f t="shared" si="20"/>
        <v>46.314088439741546</v>
      </c>
      <c r="L223" s="7">
        <f t="shared" si="21"/>
        <v>0.16846749669955988</v>
      </c>
      <c r="M223" s="7">
        <f t="shared" si="18"/>
        <v>2.0216099603947186</v>
      </c>
      <c r="N223" s="7">
        <f t="shared" si="22"/>
        <v>1.617287968315775</v>
      </c>
      <c r="O223" s="8"/>
      <c r="P223" s="26"/>
      <c r="S223" s="10" t="str">
        <f t="shared" si="19"/>
        <v/>
      </c>
    </row>
    <row r="224" spans="5:19" x14ac:dyDescent="0.3">
      <c r="E224" s="9">
        <f>IF(DADOS!C224="","",DADOS!C224)</f>
        <v>11</v>
      </c>
      <c r="F224" s="9">
        <f>IF(DADOS!E224="","",DADOS!E224)</f>
        <v>157.4</v>
      </c>
      <c r="G224" s="9">
        <f>IF(DADOS!F224="","",DADOS!F224)</f>
        <v>12</v>
      </c>
      <c r="K224" s="6">
        <f t="shared" si="20"/>
        <v>50.101976085328658</v>
      </c>
      <c r="L224" s="7">
        <f t="shared" si="21"/>
        <v>0.19715127589576831</v>
      </c>
      <c r="M224" s="7">
        <f t="shared" si="18"/>
        <v>2.3658153107492197</v>
      </c>
      <c r="N224" s="7">
        <f t="shared" si="22"/>
        <v>1.8926522485993758</v>
      </c>
      <c r="O224" s="8"/>
      <c r="P224" s="26"/>
      <c r="S224" s="10" t="str">
        <f t="shared" si="19"/>
        <v/>
      </c>
    </row>
    <row r="225" spans="5:19" x14ac:dyDescent="0.3">
      <c r="E225" s="9">
        <f>IF(DADOS!C225="","",DADOS!C225)</f>
        <v>11</v>
      </c>
      <c r="F225" s="9">
        <f>IF(DADOS!E225="","",DADOS!E225)</f>
        <v>63.9</v>
      </c>
      <c r="G225" s="9">
        <f>IF(DADOS!F225="","",DADOS!F225)</f>
        <v>12</v>
      </c>
      <c r="K225" s="6">
        <f t="shared" si="20"/>
        <v>20.340001727144223</v>
      </c>
      <c r="L225" s="7">
        <f t="shared" si="21"/>
        <v>3.2493152759112895E-2</v>
      </c>
      <c r="M225" s="7">
        <f t="shared" si="18"/>
        <v>0.38991783310935474</v>
      </c>
      <c r="N225" s="7">
        <f t="shared" si="22"/>
        <v>0.31193426648748379</v>
      </c>
      <c r="O225" s="8"/>
      <c r="P225" s="26"/>
      <c r="S225" s="10" t="str">
        <f t="shared" si="19"/>
        <v/>
      </c>
    </row>
    <row r="226" spans="5:19" x14ac:dyDescent="0.3">
      <c r="E226" s="9">
        <f>IF(DADOS!C226="","",DADOS!C226)</f>
        <v>11</v>
      </c>
      <c r="F226" s="9">
        <f>IF(DADOS!E226="","",DADOS!E226)</f>
        <v>71.8</v>
      </c>
      <c r="G226" s="9">
        <f>IF(DADOS!F226="","",DADOS!F226)</f>
        <v>12</v>
      </c>
      <c r="K226" s="6">
        <f t="shared" si="20"/>
        <v>22.85464982799617</v>
      </c>
      <c r="L226" s="7">
        <f t="shared" si="21"/>
        <v>4.1024096441253127E-2</v>
      </c>
      <c r="M226" s="7">
        <f t="shared" si="18"/>
        <v>0.49228915729503753</v>
      </c>
      <c r="N226" s="7">
        <f t="shared" si="22"/>
        <v>0.39383132583603003</v>
      </c>
      <c r="O226" s="8"/>
      <c r="P226" s="26"/>
      <c r="S226" s="10" t="str">
        <f t="shared" si="19"/>
        <v/>
      </c>
    </row>
    <row r="227" spans="5:19" x14ac:dyDescent="0.3">
      <c r="E227" s="9">
        <f>IF(DADOS!C227="","",DADOS!C227)</f>
        <v>11</v>
      </c>
      <c r="F227" s="9">
        <f>IF(DADOS!E227="","",DADOS!E227)</f>
        <v>113.2</v>
      </c>
      <c r="G227" s="9">
        <f>IF(DADOS!F227="","",DADOS!F227)</f>
        <v>12</v>
      </c>
      <c r="K227" s="6">
        <f t="shared" si="20"/>
        <v>36.032679116005106</v>
      </c>
      <c r="L227" s="7">
        <f t="shared" si="21"/>
        <v>0.10197248189829446</v>
      </c>
      <c r="M227" s="7">
        <f t="shared" si="18"/>
        <v>1.2236697827795335</v>
      </c>
      <c r="N227" s="7">
        <f t="shared" si="22"/>
        <v>0.97893582622362685</v>
      </c>
      <c r="O227" s="8"/>
      <c r="P227" s="26"/>
      <c r="S227" s="10" t="str">
        <f t="shared" si="19"/>
        <v/>
      </c>
    </row>
    <row r="228" spans="5:19" x14ac:dyDescent="0.3">
      <c r="E228" s="9">
        <f>IF(DADOS!C228="","",DADOS!C228)</f>
        <v>11</v>
      </c>
      <c r="F228" s="9">
        <f>IF(DADOS!E228="","",DADOS!E228)</f>
        <v>30.3</v>
      </c>
      <c r="G228" s="9">
        <f>IF(DADOS!F228="","",DADOS!F228)</f>
        <v>7</v>
      </c>
      <c r="K228" s="6">
        <f t="shared" si="20"/>
        <v>9.6447895513688575</v>
      </c>
      <c r="L228" s="7">
        <f t="shared" si="21"/>
        <v>7.3059280851619094E-3</v>
      </c>
      <c r="M228" s="7">
        <f t="shared" si="18"/>
        <v>5.1141496596133366E-2</v>
      </c>
      <c r="N228" s="7">
        <f t="shared" si="22"/>
        <v>4.0913197276906697E-2</v>
      </c>
      <c r="O228" s="8"/>
      <c r="P228" s="26"/>
      <c r="S228" s="10" t="str">
        <f t="shared" si="19"/>
        <v/>
      </c>
    </row>
    <row r="229" spans="5:19" x14ac:dyDescent="0.3">
      <c r="E229" s="9">
        <f>IF(DADOS!C229="","",DADOS!C229)</f>
        <v>11</v>
      </c>
      <c r="F229" s="9">
        <f>IF(DADOS!E229="","",DADOS!E229)</f>
        <v>39</v>
      </c>
      <c r="G229" s="9">
        <f>IF(DADOS!F229="","",DADOS!F229)</f>
        <v>7</v>
      </c>
      <c r="K229" s="6">
        <f t="shared" si="20"/>
        <v>12.414085561167836</v>
      </c>
      <c r="L229" s="7">
        <f t="shared" si="21"/>
        <v>1.2103733422138638E-2</v>
      </c>
      <c r="M229" s="7">
        <f t="shared" si="18"/>
        <v>8.4726133954970473E-2</v>
      </c>
      <c r="N229" s="7">
        <f t="shared" si="22"/>
        <v>6.7780907163976375E-2</v>
      </c>
      <c r="O229" s="8"/>
      <c r="P229" s="26"/>
      <c r="S229" s="10" t="str">
        <f t="shared" si="19"/>
        <v/>
      </c>
    </row>
    <row r="230" spans="5:19" x14ac:dyDescent="0.3">
      <c r="E230" s="9">
        <f>IF(DADOS!C230="","",DADOS!C230)</f>
        <v>11</v>
      </c>
      <c r="F230" s="9">
        <f>IF(DADOS!E230="","",DADOS!E230)</f>
        <v>63</v>
      </c>
      <c r="G230" s="9">
        <f>IF(DADOS!F230="","",DADOS!F230)</f>
        <v>7</v>
      </c>
      <c r="K230" s="6">
        <f t="shared" si="20"/>
        <v>20.053522829578814</v>
      </c>
      <c r="L230" s="7">
        <f t="shared" si="21"/>
        <v>3.1584298456586633E-2</v>
      </c>
      <c r="M230" s="7">
        <f t="shared" si="18"/>
        <v>0.22109008919610643</v>
      </c>
      <c r="N230" s="7">
        <f t="shared" si="22"/>
        <v>0.17687207135688515</v>
      </c>
      <c r="O230" s="8"/>
      <c r="P230" s="26"/>
      <c r="S230" s="10" t="str">
        <f t="shared" si="19"/>
        <v/>
      </c>
    </row>
    <row r="231" spans="5:19" x14ac:dyDescent="0.3">
      <c r="E231" s="9">
        <f>IF(DADOS!C231="","",DADOS!C231)</f>
        <v>11</v>
      </c>
      <c r="F231" s="9">
        <f>IF(DADOS!E231="","",DADOS!E231)</f>
        <v>20.6</v>
      </c>
      <c r="G231" s="9">
        <f>IF(DADOS!F231="","",DADOS!F231)</f>
        <v>5</v>
      </c>
      <c r="K231" s="6">
        <f t="shared" si="20"/>
        <v>6.5571836553860887</v>
      </c>
      <c r="L231" s="7">
        <f t="shared" si="21"/>
        <v>3.3769495825238358E-3</v>
      </c>
      <c r="M231" s="7">
        <f t="shared" si="18"/>
        <v>1.688474791261918E-2</v>
      </c>
      <c r="N231" s="7">
        <f t="shared" si="22"/>
        <v>1.3507798330095345E-2</v>
      </c>
      <c r="O231" s="8"/>
      <c r="P231" s="26"/>
      <c r="S231" s="10" t="str">
        <f t="shared" si="19"/>
        <v/>
      </c>
    </row>
    <row r="232" spans="5:19" x14ac:dyDescent="0.3">
      <c r="E232" s="9">
        <f>IF(DADOS!C232="","",DADOS!C232)</f>
        <v>11</v>
      </c>
      <c r="F232" s="9">
        <f>IF(DADOS!E232="","",DADOS!E232)</f>
        <v>19.5</v>
      </c>
      <c r="G232" s="9">
        <f>IF(DADOS!F232="","",DADOS!F232)</f>
        <v>2.2000000000000002</v>
      </c>
      <c r="K232" s="6">
        <f t="shared" si="20"/>
        <v>6.2070427805839179</v>
      </c>
      <c r="L232" s="7">
        <f t="shared" si="21"/>
        <v>3.0259333555346596E-3</v>
      </c>
      <c r="M232" s="7">
        <f t="shared" si="18"/>
        <v>6.657053382176252E-3</v>
      </c>
      <c r="N232" s="7">
        <f t="shared" si="22"/>
        <v>5.3256427057410023E-3</v>
      </c>
      <c r="O232" s="8"/>
      <c r="P232" s="26"/>
      <c r="S232" s="10" t="str">
        <f t="shared" si="19"/>
        <v/>
      </c>
    </row>
    <row r="233" spans="5:19" x14ac:dyDescent="0.3">
      <c r="E233" s="9">
        <f>IF(DADOS!C233="","",DADOS!C233)</f>
        <v>11</v>
      </c>
      <c r="F233" s="9">
        <f>IF(DADOS!E233="","",DADOS!E233)</f>
        <v>15.5</v>
      </c>
      <c r="G233" s="9">
        <f>IF(DADOS!F233="","",DADOS!F233)</f>
        <v>3.5</v>
      </c>
      <c r="K233" s="6">
        <f t="shared" si="20"/>
        <v>4.9338032358487558</v>
      </c>
      <c r="L233" s="7">
        <f t="shared" si="21"/>
        <v>1.9118487538913932E-3</v>
      </c>
      <c r="M233" s="7">
        <f t="shared" si="18"/>
        <v>6.6914706386198763E-3</v>
      </c>
      <c r="N233" s="7">
        <f t="shared" si="22"/>
        <v>5.3531765108959014E-3</v>
      </c>
      <c r="O233" s="8"/>
      <c r="P233" s="26"/>
      <c r="S233" s="10" t="str">
        <f t="shared" si="19"/>
        <v/>
      </c>
    </row>
    <row r="234" spans="5:19" x14ac:dyDescent="0.3">
      <c r="E234" s="9">
        <f>IF(DADOS!C234="","",DADOS!C234)</f>
        <v>11</v>
      </c>
      <c r="F234" s="9">
        <f>IF(DADOS!E234="","",DADOS!E234)</f>
        <v>24.2</v>
      </c>
      <c r="G234" s="9">
        <f>IF(DADOS!F234="","",DADOS!F234)</f>
        <v>5</v>
      </c>
      <c r="K234" s="6">
        <f t="shared" si="20"/>
        <v>7.7030992456477341</v>
      </c>
      <c r="L234" s="7">
        <f t="shared" si="21"/>
        <v>4.6603750436168788E-3</v>
      </c>
      <c r="M234" s="7">
        <f t="shared" si="18"/>
        <v>2.3301875218084394E-2</v>
      </c>
      <c r="N234" s="7">
        <f t="shared" si="22"/>
        <v>1.8641500174467515E-2</v>
      </c>
      <c r="O234" s="8"/>
      <c r="P234" s="26"/>
      <c r="S234" s="10" t="str">
        <f t="shared" si="19"/>
        <v/>
      </c>
    </row>
    <row r="235" spans="5:19" x14ac:dyDescent="0.3">
      <c r="E235" s="9">
        <f>IF(DADOS!C235="","",DADOS!C235)</f>
        <v>11</v>
      </c>
      <c r="F235" s="9">
        <f>IF(DADOS!E235="","",DADOS!E235)</f>
        <v>21.5</v>
      </c>
      <c r="G235" s="9">
        <f>IF(DADOS!F235="","",DADOS!F235)</f>
        <v>3.5</v>
      </c>
      <c r="K235" s="6">
        <f t="shared" si="20"/>
        <v>6.8436625529514998</v>
      </c>
      <c r="L235" s="7">
        <f t="shared" si="21"/>
        <v>3.6784686222114311E-3</v>
      </c>
      <c r="M235" s="7">
        <f t="shared" si="18"/>
        <v>1.2874640177740008E-2</v>
      </c>
      <c r="N235" s="7">
        <f t="shared" si="22"/>
        <v>1.0299712142192007E-2</v>
      </c>
      <c r="O235" s="8"/>
      <c r="P235" s="26"/>
      <c r="S235" s="10" t="str">
        <f t="shared" si="19"/>
        <v/>
      </c>
    </row>
    <row r="236" spans="5:19" x14ac:dyDescent="0.3">
      <c r="E236" s="9">
        <f>IF(DADOS!C236="","",DADOS!C236)</f>
        <v>11</v>
      </c>
      <c r="F236" s="9">
        <f>IF(DADOS!E236="","",DADOS!E236)</f>
        <v>34.700000000000003</v>
      </c>
      <c r="G236" s="9">
        <f>IF(DADOS!F236="","",DADOS!F236)</f>
        <v>6.5</v>
      </c>
      <c r="K236" s="6">
        <f t="shared" si="20"/>
        <v>11.045353050577537</v>
      </c>
      <c r="L236" s="7">
        <f t="shared" si="21"/>
        <v>9.581843771376013E-3</v>
      </c>
      <c r="M236" s="7">
        <f t="shared" si="18"/>
        <v>6.2281984513944087E-2</v>
      </c>
      <c r="N236" s="7">
        <f t="shared" si="22"/>
        <v>4.982558761115527E-2</v>
      </c>
      <c r="O236" s="8"/>
      <c r="P236" s="26"/>
      <c r="S236" s="10" t="str">
        <f t="shared" si="19"/>
        <v/>
      </c>
    </row>
    <row r="237" spans="5:19" x14ac:dyDescent="0.3">
      <c r="E237" s="9">
        <f>IF(DADOS!C237="","",DADOS!C237)</f>
        <v>11</v>
      </c>
      <c r="F237" s="9">
        <f>IF(DADOS!E237="","",DADOS!E237)</f>
        <v>22.8</v>
      </c>
      <c r="G237" s="9">
        <f>IF(DADOS!F237="","",DADOS!F237)</f>
        <v>6</v>
      </c>
      <c r="K237" s="6">
        <f t="shared" si="20"/>
        <v>7.2574654049904277</v>
      </c>
      <c r="L237" s="7">
        <f t="shared" si="21"/>
        <v>4.1367552808445436E-3</v>
      </c>
      <c r="M237" s="7">
        <f t="shared" si="18"/>
        <v>2.482053168506726E-2</v>
      </c>
      <c r="N237" s="7">
        <f t="shared" si="22"/>
        <v>1.9856425348053808E-2</v>
      </c>
      <c r="O237" s="8"/>
      <c r="P237" s="26"/>
      <c r="S237" s="10" t="str">
        <f t="shared" si="19"/>
        <v/>
      </c>
    </row>
    <row r="238" spans="5:19" x14ac:dyDescent="0.3">
      <c r="E238" s="9">
        <f>IF(DADOS!C238="","",DADOS!C238)</f>
        <v>11</v>
      </c>
      <c r="F238" s="9">
        <f>IF(DADOS!E238="","",DADOS!E238)</f>
        <v>18</v>
      </c>
      <c r="G238" s="9">
        <f>IF(DADOS!F238="","",DADOS!F238)</f>
        <v>6</v>
      </c>
      <c r="K238" s="6">
        <f t="shared" si="20"/>
        <v>5.7295779513082321</v>
      </c>
      <c r="L238" s="7">
        <f t="shared" si="21"/>
        <v>2.5783100780887042E-3</v>
      </c>
      <c r="M238" s="7">
        <f t="shared" si="18"/>
        <v>1.5469860468532225E-2</v>
      </c>
      <c r="N238" s="7">
        <f t="shared" si="22"/>
        <v>1.2375888374825781E-2</v>
      </c>
      <c r="O238" s="8"/>
      <c r="P238" s="26"/>
      <c r="S238" s="10" t="str">
        <f t="shared" si="19"/>
        <v/>
      </c>
    </row>
    <row r="239" spans="5:19" x14ac:dyDescent="0.3">
      <c r="E239" s="9">
        <f>IF(DADOS!C239="","",DADOS!C239)</f>
        <v>11</v>
      </c>
      <c r="F239" s="9">
        <f>IF(DADOS!E239="","",DADOS!E239)</f>
        <v>34.299999999999997</v>
      </c>
      <c r="G239" s="9">
        <f>IF(DADOS!F239="","",DADOS!F239)</f>
        <v>6.5</v>
      </c>
      <c r="K239" s="6">
        <f t="shared" si="20"/>
        <v>10.91802909610402</v>
      </c>
      <c r="L239" s="7">
        <f t="shared" si="21"/>
        <v>9.3622099499091962E-3</v>
      </c>
      <c r="M239" s="7">
        <f t="shared" si="18"/>
        <v>6.0854364674409772E-2</v>
      </c>
      <c r="N239" s="7">
        <f t="shared" si="22"/>
        <v>4.8683491739527823E-2</v>
      </c>
      <c r="O239" s="8"/>
      <c r="P239" s="26"/>
      <c r="S239" s="10" t="str">
        <f t="shared" si="19"/>
        <v/>
      </c>
    </row>
    <row r="240" spans="5:19" x14ac:dyDescent="0.3">
      <c r="E240" s="9">
        <f>IF(DADOS!C240="","",DADOS!C240)</f>
        <v>11</v>
      </c>
      <c r="F240" s="9">
        <f>IF(DADOS!E240="","",DADOS!E240)</f>
        <v>18.5</v>
      </c>
      <c r="G240" s="9">
        <f>IF(DADOS!F240="","",DADOS!F240)</f>
        <v>3.5</v>
      </c>
      <c r="K240" s="6">
        <f t="shared" si="20"/>
        <v>5.8887328944001274</v>
      </c>
      <c r="L240" s="7">
        <f t="shared" si="21"/>
        <v>2.7235389636600586E-3</v>
      </c>
      <c r="M240" s="7">
        <f t="shared" si="18"/>
        <v>9.5323863728102049E-3</v>
      </c>
      <c r="N240" s="7">
        <f t="shared" si="22"/>
        <v>7.6259090982481641E-3</v>
      </c>
      <c r="O240" s="8"/>
      <c r="P240" s="26"/>
      <c r="S240" s="10" t="str">
        <f t="shared" si="19"/>
        <v/>
      </c>
    </row>
    <row r="241" spans="5:19" x14ac:dyDescent="0.3">
      <c r="E241" s="9">
        <f>IF(DADOS!C241="","",DADOS!C241)</f>
        <v>11</v>
      </c>
      <c r="F241" s="9">
        <f>IF(DADOS!E241="","",DADOS!E241)</f>
        <v>33.5</v>
      </c>
      <c r="G241" s="9">
        <f>IF(DADOS!F241="","",DADOS!F241)</f>
        <v>10</v>
      </c>
      <c r="K241" s="6">
        <f t="shared" si="20"/>
        <v>10.663381187156988</v>
      </c>
      <c r="L241" s="7">
        <f t="shared" si="21"/>
        <v>8.9305817442439771E-3</v>
      </c>
      <c r="M241" s="7">
        <f t="shared" si="18"/>
        <v>8.9305817442439775E-2</v>
      </c>
      <c r="N241" s="7">
        <f t="shared" si="22"/>
        <v>7.1444653953951817E-2</v>
      </c>
      <c r="O241" s="8"/>
      <c r="P241" s="26"/>
      <c r="S241" s="10" t="str">
        <f t="shared" si="19"/>
        <v/>
      </c>
    </row>
    <row r="242" spans="5:19" x14ac:dyDescent="0.3">
      <c r="E242" s="9">
        <f>IF(DADOS!C242="","",DADOS!C242)</f>
        <v>11</v>
      </c>
      <c r="F242" s="9">
        <f>IF(DADOS!E242="","",DADOS!E242)</f>
        <v>29</v>
      </c>
      <c r="G242" s="9">
        <f>IF(DADOS!F242="","",DADOS!F242)</f>
        <v>10</v>
      </c>
      <c r="K242" s="6">
        <f t="shared" si="20"/>
        <v>9.2309866993299305</v>
      </c>
      <c r="L242" s="7">
        <f t="shared" si="21"/>
        <v>6.6924653570142002E-3</v>
      </c>
      <c r="M242" s="7">
        <f t="shared" si="18"/>
        <v>6.6924653570142004E-2</v>
      </c>
      <c r="N242" s="7">
        <f t="shared" si="22"/>
        <v>5.3539722856113608E-2</v>
      </c>
      <c r="O242" s="8"/>
      <c r="P242" s="26"/>
      <c r="S242" s="10" t="str">
        <f t="shared" si="19"/>
        <v/>
      </c>
    </row>
    <row r="243" spans="5:19" x14ac:dyDescent="0.3">
      <c r="E243" s="9">
        <f>IF(DADOS!C243="","",DADOS!C243)</f>
        <v>11</v>
      </c>
      <c r="F243" s="9">
        <f>IF(DADOS!E243="","",DADOS!E243)</f>
        <v>65.599999999999994</v>
      </c>
      <c r="G243" s="9">
        <f>IF(DADOS!F243="","",DADOS!F243)</f>
        <v>9.5</v>
      </c>
      <c r="K243" s="6">
        <f t="shared" si="20"/>
        <v>20.881128533656668</v>
      </c>
      <c r="L243" s="7">
        <f t="shared" si="21"/>
        <v>3.4245050795196928E-2</v>
      </c>
      <c r="M243" s="7">
        <f t="shared" si="18"/>
        <v>0.32532798255437084</v>
      </c>
      <c r="N243" s="7">
        <f t="shared" si="22"/>
        <v>0.26026238604349666</v>
      </c>
      <c r="O243" s="8"/>
      <c r="P243" s="26"/>
      <c r="S243" s="10" t="str">
        <f t="shared" si="19"/>
        <v/>
      </c>
    </row>
    <row r="244" spans="5:19" x14ac:dyDescent="0.3">
      <c r="E244" s="9">
        <f>IF(DADOS!C244="","",DADOS!C244)</f>
        <v>11</v>
      </c>
      <c r="F244" s="9">
        <f>IF(DADOS!E244="","",DADOS!E244)</f>
        <v>30</v>
      </c>
      <c r="G244" s="9">
        <f>IF(DADOS!F244="","",DADOS!F244)</f>
        <v>10</v>
      </c>
      <c r="K244" s="6">
        <f t="shared" si="20"/>
        <v>9.5492965855137211</v>
      </c>
      <c r="L244" s="7">
        <f t="shared" si="21"/>
        <v>7.1619724391352915E-3</v>
      </c>
      <c r="M244" s="7">
        <f t="shared" si="18"/>
        <v>7.1619724391352918E-2</v>
      </c>
      <c r="N244" s="7">
        <f t="shared" si="22"/>
        <v>5.7295779513082339E-2</v>
      </c>
      <c r="O244" s="8"/>
      <c r="P244" s="26"/>
      <c r="S244" s="10" t="str">
        <f t="shared" si="19"/>
        <v/>
      </c>
    </row>
    <row r="245" spans="5:19" x14ac:dyDescent="0.3">
      <c r="E245" s="9">
        <f>IF(DADOS!C245="","",DADOS!C245)</f>
        <v>11</v>
      </c>
      <c r="F245" s="9">
        <f>IF(DADOS!E245="","",DADOS!E245)</f>
        <v>66.099999999999994</v>
      </c>
      <c r="G245" s="9">
        <f>IF(DADOS!F245="","",DADOS!F245)</f>
        <v>9</v>
      </c>
      <c r="K245" s="6">
        <f t="shared" si="20"/>
        <v>21.040283476748563</v>
      </c>
      <c r="L245" s="7">
        <f t="shared" si="21"/>
        <v>3.4769068445326998E-2</v>
      </c>
      <c r="M245" s="7">
        <f t="shared" si="18"/>
        <v>0.31292161600794299</v>
      </c>
      <c r="N245" s="7">
        <f t="shared" si="22"/>
        <v>0.25033729280635442</v>
      </c>
      <c r="O245" s="8"/>
      <c r="P245" s="26"/>
      <c r="S245" s="10" t="str">
        <f t="shared" si="19"/>
        <v/>
      </c>
    </row>
    <row r="246" spans="5:19" x14ac:dyDescent="0.3">
      <c r="E246" s="9">
        <f>IF(DADOS!C246="","",DADOS!C246)</f>
        <v>11</v>
      </c>
      <c r="F246" s="9">
        <f>IF(DADOS!E246="","",DADOS!E246)</f>
        <v>68.599999999999994</v>
      </c>
      <c r="G246" s="9">
        <f>IF(DADOS!F246="","",DADOS!F246)</f>
        <v>8</v>
      </c>
      <c r="K246" s="6">
        <f t="shared" si="20"/>
        <v>21.836058192208039</v>
      </c>
      <c r="L246" s="7">
        <f t="shared" si="21"/>
        <v>3.7448839799636785E-2</v>
      </c>
      <c r="M246" s="7">
        <f t="shared" si="18"/>
        <v>0.29959071839709428</v>
      </c>
      <c r="N246" s="7">
        <f t="shared" si="22"/>
        <v>0.23967257471767545</v>
      </c>
      <c r="O246" s="8"/>
      <c r="P246" s="26"/>
      <c r="S246" s="10" t="str">
        <f t="shared" si="19"/>
        <v/>
      </c>
    </row>
    <row r="247" spans="5:19" x14ac:dyDescent="0.3">
      <c r="E247" s="9">
        <f>IF(DADOS!C247="","",DADOS!C247)</f>
        <v>11</v>
      </c>
      <c r="F247" s="9">
        <f>IF(DADOS!E247="","",DADOS!E247)</f>
        <v>31</v>
      </c>
      <c r="G247" s="9">
        <f>IF(DADOS!F247="","",DADOS!F247)</f>
        <v>9</v>
      </c>
      <c r="K247" s="6">
        <f t="shared" si="20"/>
        <v>9.8676064716975116</v>
      </c>
      <c r="L247" s="7">
        <f t="shared" si="21"/>
        <v>7.6473950155655727E-3</v>
      </c>
      <c r="M247" s="7">
        <f t="shared" si="18"/>
        <v>6.8826555140090159E-2</v>
      </c>
      <c r="N247" s="7">
        <f t="shared" si="22"/>
        <v>5.5061244112072132E-2</v>
      </c>
      <c r="O247" s="8"/>
      <c r="P247" s="26"/>
      <c r="S247" s="10" t="str">
        <f t="shared" si="19"/>
        <v/>
      </c>
    </row>
    <row r="248" spans="5:19" x14ac:dyDescent="0.3">
      <c r="E248" s="9">
        <f>IF(DADOS!C248="","",DADOS!C248)</f>
        <v>11</v>
      </c>
      <c r="F248" s="9">
        <f>IF(DADOS!E248="","",DADOS!E248)</f>
        <v>126</v>
      </c>
      <c r="G248" s="9">
        <f>IF(DADOS!F248="","",DADOS!F248)</f>
        <v>10</v>
      </c>
      <c r="K248" s="6">
        <f t="shared" si="20"/>
        <v>40.107045659157627</v>
      </c>
      <c r="L248" s="7">
        <f t="shared" si="21"/>
        <v>0.12633719382634653</v>
      </c>
      <c r="M248" s="7">
        <f t="shared" si="18"/>
        <v>1.2633719382634654</v>
      </c>
      <c r="N248" s="7">
        <f t="shared" si="22"/>
        <v>1.0106975506107723</v>
      </c>
      <c r="O248" s="8"/>
      <c r="P248" s="26"/>
      <c r="S248" s="10" t="str">
        <f t="shared" si="19"/>
        <v/>
      </c>
    </row>
    <row r="249" spans="5:19" x14ac:dyDescent="0.3">
      <c r="E249" s="9">
        <f>IF(DADOS!C249="","",DADOS!C249)</f>
        <v>11</v>
      </c>
      <c r="F249" s="9">
        <f>IF(DADOS!E249="","",DADOS!E249)</f>
        <v>87</v>
      </c>
      <c r="G249" s="9">
        <f>IF(DADOS!F249="","",DADOS!F249)</f>
        <v>8.5</v>
      </c>
      <c r="K249" s="6">
        <f t="shared" si="20"/>
        <v>27.69296009798979</v>
      </c>
      <c r="L249" s="7">
        <f t="shared" si="21"/>
        <v>6.0232188213127799E-2</v>
      </c>
      <c r="M249" s="7">
        <f t="shared" si="18"/>
        <v>0.5119735998115863</v>
      </c>
      <c r="N249" s="7">
        <f t="shared" si="22"/>
        <v>0.40957887984926905</v>
      </c>
      <c r="O249" s="8"/>
      <c r="P249" s="26"/>
      <c r="S249" s="10" t="str">
        <f t="shared" si="19"/>
        <v/>
      </c>
    </row>
    <row r="250" spans="5:19" x14ac:dyDescent="0.3">
      <c r="E250" s="9">
        <f>IF(DADOS!C250="","",DADOS!C250)</f>
        <v>11</v>
      </c>
      <c r="F250" s="9">
        <f>IF(DADOS!E250="","",DADOS!E250)</f>
        <v>32.5</v>
      </c>
      <c r="G250" s="9">
        <f>IF(DADOS!F250="","",DADOS!F250)</f>
        <v>8.5</v>
      </c>
      <c r="K250" s="6">
        <f t="shared" si="20"/>
        <v>10.345071300973197</v>
      </c>
      <c r="L250" s="7">
        <f t="shared" si="21"/>
        <v>8.4053704320407232E-3</v>
      </c>
      <c r="M250" s="7">
        <f t="shared" si="18"/>
        <v>7.1445648672346151E-2</v>
      </c>
      <c r="N250" s="7">
        <f t="shared" si="22"/>
        <v>5.7156518937876925E-2</v>
      </c>
      <c r="O250" s="8"/>
      <c r="P250" s="26"/>
      <c r="S250" s="10" t="str">
        <f t="shared" si="19"/>
        <v/>
      </c>
    </row>
    <row r="251" spans="5:19" x14ac:dyDescent="0.3">
      <c r="E251" s="9">
        <f>IF(DADOS!C251="","",DADOS!C251)</f>
        <v>11</v>
      </c>
      <c r="F251" s="9">
        <f>IF(DADOS!E251="","",DADOS!E251)</f>
        <v>54.7</v>
      </c>
      <c r="G251" s="9">
        <f>IF(DADOS!F251="","",DADOS!F251)</f>
        <v>8</v>
      </c>
      <c r="K251" s="6">
        <f t="shared" si="20"/>
        <v>17.411550774253353</v>
      </c>
      <c r="L251" s="7">
        <f t="shared" si="21"/>
        <v>2.3810295683791463E-2</v>
      </c>
      <c r="M251" s="7">
        <f t="shared" si="18"/>
        <v>0.1904823654703317</v>
      </c>
      <c r="N251" s="7">
        <f t="shared" si="22"/>
        <v>0.15238589237626537</v>
      </c>
      <c r="O251" s="8"/>
      <c r="P251" s="26"/>
      <c r="S251" s="10" t="str">
        <f t="shared" si="19"/>
        <v/>
      </c>
    </row>
    <row r="252" spans="5:19" x14ac:dyDescent="0.3">
      <c r="E252" s="9">
        <f>IF(DADOS!C252="","",DADOS!C252)</f>
        <v>12</v>
      </c>
      <c r="F252" s="9">
        <f>IF(DADOS!E252="","",DADOS!E252)</f>
        <v>20.2</v>
      </c>
      <c r="G252" s="9">
        <f>IF(DADOS!F252="","",DADOS!F252)</f>
        <v>12</v>
      </c>
      <c r="K252" s="6">
        <f t="shared" si="20"/>
        <v>6.429859700912572</v>
      </c>
      <c r="L252" s="7">
        <f t="shared" si="21"/>
        <v>3.2470791489608488E-3</v>
      </c>
      <c r="M252" s="7">
        <f t="shared" si="18"/>
        <v>3.8964949787530186E-2</v>
      </c>
      <c r="N252" s="7">
        <f t="shared" si="22"/>
        <v>3.1171959830024149E-2</v>
      </c>
      <c r="O252" s="8"/>
      <c r="P252" s="26"/>
      <c r="S252" s="10" t="str">
        <f t="shared" si="19"/>
        <v/>
      </c>
    </row>
    <row r="253" spans="5:19" x14ac:dyDescent="0.3">
      <c r="E253" s="9">
        <f>IF(DADOS!C253="","",DADOS!C253)</f>
        <v>12</v>
      </c>
      <c r="F253" s="9">
        <f>IF(DADOS!E253="","",DADOS!E253)</f>
        <v>109</v>
      </c>
      <c r="G253" s="9">
        <f>IF(DADOS!F253="","",DADOS!F253)</f>
        <v>13</v>
      </c>
      <c r="K253" s="6">
        <f t="shared" si="20"/>
        <v>34.695777594033181</v>
      </c>
      <c r="L253" s="7">
        <f t="shared" si="21"/>
        <v>9.4545993943740414E-2</v>
      </c>
      <c r="M253" s="7">
        <f t="shared" si="18"/>
        <v>1.2290979212686253</v>
      </c>
      <c r="N253" s="7">
        <f t="shared" si="22"/>
        <v>0.98327833701490031</v>
      </c>
      <c r="O253" s="8"/>
      <c r="P253" s="26"/>
      <c r="S253" s="10" t="str">
        <f t="shared" si="19"/>
        <v/>
      </c>
    </row>
    <row r="254" spans="5:19" x14ac:dyDescent="0.3">
      <c r="E254" s="9">
        <f>IF(DADOS!C254="","",DADOS!C254)</f>
        <v>12</v>
      </c>
      <c r="F254" s="9">
        <f>IF(DADOS!E254="","",DADOS!E254)</f>
        <v>85.7</v>
      </c>
      <c r="G254" s="9">
        <f>IF(DADOS!F254="","",DADOS!F254)</f>
        <v>12</v>
      </c>
      <c r="K254" s="6">
        <f t="shared" si="20"/>
        <v>27.279157245950863</v>
      </c>
      <c r="L254" s="7">
        <f t="shared" si="21"/>
        <v>5.8445594399449727E-2</v>
      </c>
      <c r="M254" s="7">
        <f t="shared" si="18"/>
        <v>0.70134713279339667</v>
      </c>
      <c r="N254" s="7">
        <f t="shared" si="22"/>
        <v>0.56107770623471731</v>
      </c>
      <c r="O254" s="8"/>
      <c r="P254" s="26"/>
      <c r="S254" s="10" t="str">
        <f t="shared" si="19"/>
        <v/>
      </c>
    </row>
    <row r="255" spans="5:19" x14ac:dyDescent="0.3">
      <c r="E255" s="9">
        <f>IF(DADOS!C255="","",DADOS!C255)</f>
        <v>12</v>
      </c>
      <c r="F255" s="9">
        <f>IF(DADOS!E255="","",DADOS!E255)</f>
        <v>82.1</v>
      </c>
      <c r="G255" s="9">
        <f>IF(DADOS!F255="","",DADOS!F255)</f>
        <v>12</v>
      </c>
      <c r="K255" s="6">
        <f t="shared" si="20"/>
        <v>26.133241655689215</v>
      </c>
      <c r="L255" s="7">
        <f t="shared" si="21"/>
        <v>5.3638478498302104E-2</v>
      </c>
      <c r="M255" s="7">
        <f t="shared" si="18"/>
        <v>0.64366174197962522</v>
      </c>
      <c r="N255" s="7">
        <f t="shared" si="22"/>
        <v>0.51492939358370016</v>
      </c>
      <c r="O255" s="8"/>
      <c r="P255" s="26"/>
      <c r="S255" s="10" t="str">
        <f t="shared" si="19"/>
        <v/>
      </c>
    </row>
    <row r="256" spans="5:19" x14ac:dyDescent="0.3">
      <c r="E256" s="9">
        <f>IF(DADOS!C256="","",DADOS!C256)</f>
        <v>12</v>
      </c>
      <c r="F256" s="9">
        <f>IF(DADOS!E256="","",DADOS!E256)</f>
        <v>37.700000000000003</v>
      </c>
      <c r="G256" s="9">
        <f>IF(DADOS!F256="","",DADOS!F256)</f>
        <v>12</v>
      </c>
      <c r="K256" s="6">
        <f t="shared" si="20"/>
        <v>12.000282709128909</v>
      </c>
      <c r="L256" s="7">
        <f t="shared" si="21"/>
        <v>1.1310266453353996E-2</v>
      </c>
      <c r="M256" s="7">
        <f t="shared" si="18"/>
        <v>0.13572319744024797</v>
      </c>
      <c r="N256" s="7">
        <f t="shared" si="22"/>
        <v>0.10857855795219838</v>
      </c>
      <c r="O256" s="8"/>
      <c r="P256" s="26"/>
      <c r="S256" s="10" t="str">
        <f t="shared" si="19"/>
        <v/>
      </c>
    </row>
    <row r="257" spans="5:19" x14ac:dyDescent="0.3">
      <c r="E257" s="9">
        <f>IF(DADOS!C257="","",DADOS!C257)</f>
        <v>12</v>
      </c>
      <c r="F257" s="9">
        <f>IF(DADOS!E257="","",DADOS!E257)</f>
        <v>46</v>
      </c>
      <c r="G257" s="9">
        <f>IF(DADOS!F257="","",DADOS!F257)</f>
        <v>7</v>
      </c>
      <c r="K257" s="6">
        <f t="shared" si="20"/>
        <v>14.642254764454371</v>
      </c>
      <c r="L257" s="7">
        <f t="shared" si="21"/>
        <v>1.6838592979122526E-2</v>
      </c>
      <c r="M257" s="7">
        <f t="shared" si="18"/>
        <v>0.11787015085385769</v>
      </c>
      <c r="N257" s="7">
        <f t="shared" si="22"/>
        <v>9.4296120683086154E-2</v>
      </c>
      <c r="O257" s="8"/>
      <c r="P257" s="26"/>
      <c r="S257" s="10" t="str">
        <f t="shared" si="19"/>
        <v/>
      </c>
    </row>
    <row r="258" spans="5:19" x14ac:dyDescent="0.3">
      <c r="E258" s="9">
        <f>IF(DADOS!C258="","",DADOS!C258)</f>
        <v>12</v>
      </c>
      <c r="F258" s="9">
        <f>IF(DADOS!E258="","",DADOS!E258)</f>
        <v>55</v>
      </c>
      <c r="G258" s="9">
        <f>IF(DADOS!F258="","",DADOS!F258)</f>
        <v>7.5</v>
      </c>
      <c r="K258" s="6">
        <f t="shared" si="20"/>
        <v>17.507043740108486</v>
      </c>
      <c r="L258" s="7">
        <f t="shared" si="21"/>
        <v>2.4072185142649163E-2</v>
      </c>
      <c r="M258" s="7">
        <f t="shared" si="18"/>
        <v>0.18054138856986873</v>
      </c>
      <c r="N258" s="7">
        <f t="shared" si="22"/>
        <v>0.144433110855895</v>
      </c>
      <c r="O258" s="8"/>
      <c r="P258" s="26"/>
      <c r="S258" s="10" t="str">
        <f t="shared" si="19"/>
        <v/>
      </c>
    </row>
    <row r="259" spans="5:19" x14ac:dyDescent="0.3">
      <c r="E259" s="9">
        <f>IF(DADOS!C259="","",DADOS!C259)</f>
        <v>12</v>
      </c>
      <c r="F259" s="9">
        <f>IF(DADOS!E259="","",DADOS!E259)</f>
        <v>26.3</v>
      </c>
      <c r="G259" s="9">
        <f>IF(DADOS!F259="","",DADOS!F259)</f>
        <v>7</v>
      </c>
      <c r="K259" s="6">
        <f t="shared" si="20"/>
        <v>8.3715500066336954</v>
      </c>
      <c r="L259" s="7">
        <f t="shared" si="21"/>
        <v>5.5042941293616558E-3</v>
      </c>
      <c r="M259" s="7">
        <f t="shared" ref="M259:M322" si="23">IF(L259="","",L259*G259)</f>
        <v>3.8530058905531593E-2</v>
      </c>
      <c r="N259" s="7">
        <f t="shared" si="22"/>
        <v>3.0824047124425276E-2</v>
      </c>
      <c r="O259" s="8"/>
      <c r="P259" s="26"/>
      <c r="S259" s="10" t="str">
        <f t="shared" ref="S259:S322" si="24">IF(R259="","",SUMIFS($N$3:$N$10000,$E$3:$E$10000,R259))</f>
        <v/>
      </c>
    </row>
    <row r="260" spans="5:19" x14ac:dyDescent="0.3">
      <c r="E260" s="9">
        <f>IF(DADOS!C260="","",DADOS!C260)</f>
        <v>12</v>
      </c>
      <c r="F260" s="9">
        <f>IF(DADOS!E260="","",DADOS!E260)</f>
        <v>19</v>
      </c>
      <c r="G260" s="9">
        <f>IF(DADOS!F260="","",DADOS!F260)</f>
        <v>7</v>
      </c>
      <c r="K260" s="6">
        <f t="shared" ref="K260:K323" si="25">IF(F260="","",F260/PI())</f>
        <v>6.0478878374920226</v>
      </c>
      <c r="L260" s="7">
        <f t="shared" ref="L260:L323" si="26">IF(K260="","",(PI()*K260^2)/40000)</f>
        <v>2.8727467228087107E-3</v>
      </c>
      <c r="M260" s="7">
        <f t="shared" si="23"/>
        <v>2.0109227059660974E-2</v>
      </c>
      <c r="N260" s="7">
        <f t="shared" ref="N260:N323" si="27">IF(M260="","",M260*N$1)</f>
        <v>1.6087381647728782E-2</v>
      </c>
      <c r="O260" s="8"/>
      <c r="P260" s="26"/>
      <c r="S260" s="10" t="str">
        <f t="shared" si="24"/>
        <v/>
      </c>
    </row>
    <row r="261" spans="5:19" x14ac:dyDescent="0.3">
      <c r="E261" s="9">
        <f>IF(DADOS!C261="","",DADOS!C261)</f>
        <v>12</v>
      </c>
      <c r="F261" s="9">
        <f>IF(DADOS!E261="","",DADOS!E261)</f>
        <v>82</v>
      </c>
      <c r="G261" s="9">
        <f>IF(DADOS!F261="","",DADOS!F261)</f>
        <v>7</v>
      </c>
      <c r="K261" s="6">
        <f t="shared" si="25"/>
        <v>26.101410667070837</v>
      </c>
      <c r="L261" s="7">
        <f t="shared" si="26"/>
        <v>5.3507891867495223E-2</v>
      </c>
      <c r="M261" s="7">
        <f t="shared" si="23"/>
        <v>0.37455524307246657</v>
      </c>
      <c r="N261" s="7">
        <f t="shared" si="27"/>
        <v>0.29964419445797325</v>
      </c>
      <c r="O261" s="8"/>
      <c r="P261" s="26"/>
      <c r="S261" s="10" t="str">
        <f t="shared" si="24"/>
        <v/>
      </c>
    </row>
    <row r="262" spans="5:19" x14ac:dyDescent="0.3">
      <c r="E262" s="9">
        <f>IF(DADOS!C262="","",DADOS!C262)</f>
        <v>12</v>
      </c>
      <c r="F262" s="9">
        <f>IF(DADOS!E262="","",DADOS!E262)</f>
        <v>22</v>
      </c>
      <c r="G262" s="9">
        <f>IF(DADOS!F262="","",DADOS!F262)</f>
        <v>4</v>
      </c>
      <c r="K262" s="6">
        <f t="shared" si="25"/>
        <v>7.0028174960433951</v>
      </c>
      <c r="L262" s="7">
        <f t="shared" si="26"/>
        <v>3.8515496228238677E-3</v>
      </c>
      <c r="M262" s="7">
        <f t="shared" si="23"/>
        <v>1.5406198491295471E-2</v>
      </c>
      <c r="N262" s="7">
        <f t="shared" si="27"/>
        <v>1.2324958793036377E-2</v>
      </c>
      <c r="O262" s="8"/>
      <c r="P262" s="26"/>
      <c r="S262" s="10" t="str">
        <f t="shared" si="24"/>
        <v/>
      </c>
    </row>
    <row r="263" spans="5:19" x14ac:dyDescent="0.3">
      <c r="E263" s="9">
        <f>IF(DADOS!C263="","",DADOS!C263)</f>
        <v>12</v>
      </c>
      <c r="F263" s="9">
        <f>IF(DADOS!E263="","",DADOS!E263)</f>
        <v>49.7</v>
      </c>
      <c r="G263" s="9">
        <f>IF(DADOS!F263="","",DADOS!F263)</f>
        <v>6</v>
      </c>
      <c r="K263" s="6">
        <f t="shared" si="25"/>
        <v>15.820001343334399</v>
      </c>
      <c r="L263" s="7">
        <f t="shared" si="26"/>
        <v>1.9656351669092992E-2</v>
      </c>
      <c r="M263" s="7">
        <f t="shared" si="23"/>
        <v>0.11793811001455795</v>
      </c>
      <c r="N263" s="7">
        <f t="shared" si="27"/>
        <v>9.4350488011646361E-2</v>
      </c>
      <c r="O263" s="8"/>
      <c r="P263" s="26"/>
      <c r="S263" s="10" t="str">
        <f t="shared" si="24"/>
        <v/>
      </c>
    </row>
    <row r="264" spans="5:19" x14ac:dyDescent="0.3">
      <c r="E264" s="9">
        <f>IF(DADOS!C264="","",DADOS!C264)</f>
        <v>12</v>
      </c>
      <c r="F264" s="9">
        <f>IF(DADOS!E264="","",DADOS!E264)</f>
        <v>51.5</v>
      </c>
      <c r="G264" s="9">
        <f>IF(DADOS!F264="","",DADOS!F264)</f>
        <v>6</v>
      </c>
      <c r="K264" s="6">
        <f t="shared" si="25"/>
        <v>16.392959138465219</v>
      </c>
      <c r="L264" s="7">
        <f t="shared" si="26"/>
        <v>2.1105934890773968E-2</v>
      </c>
      <c r="M264" s="7">
        <f t="shared" si="23"/>
        <v>0.1266356093446438</v>
      </c>
      <c r="N264" s="7">
        <f t="shared" si="27"/>
        <v>0.10130848747571504</v>
      </c>
      <c r="O264" s="8"/>
      <c r="P264" s="26"/>
      <c r="S264" s="10" t="str">
        <f t="shared" si="24"/>
        <v/>
      </c>
    </row>
    <row r="265" spans="5:19" x14ac:dyDescent="0.3">
      <c r="E265" s="9">
        <f>IF(DADOS!C265="","",DADOS!C265)</f>
        <v>12</v>
      </c>
      <c r="F265" s="9">
        <f>IF(DADOS!E265="","",DADOS!E265)</f>
        <v>26</v>
      </c>
      <c r="G265" s="9">
        <f>IF(DADOS!F265="","",DADOS!F265)</f>
        <v>3.5</v>
      </c>
      <c r="K265" s="6">
        <f t="shared" si="25"/>
        <v>8.2760570407785572</v>
      </c>
      <c r="L265" s="7">
        <f t="shared" si="26"/>
        <v>5.3794370765060618E-3</v>
      </c>
      <c r="M265" s="7">
        <f t="shared" si="23"/>
        <v>1.8828029767771218E-2</v>
      </c>
      <c r="N265" s="7">
        <f t="shared" si="27"/>
        <v>1.5062423814216975E-2</v>
      </c>
      <c r="O265" s="8"/>
      <c r="P265" s="26"/>
      <c r="S265" s="10" t="str">
        <f t="shared" si="24"/>
        <v/>
      </c>
    </row>
    <row r="266" spans="5:19" x14ac:dyDescent="0.3">
      <c r="E266" s="9">
        <f>IF(DADOS!C266="","",DADOS!C266)</f>
        <v>12</v>
      </c>
      <c r="F266" s="9">
        <f>IF(DADOS!E266="","",DADOS!E266)</f>
        <v>26.5</v>
      </c>
      <c r="G266" s="9">
        <f>IF(DADOS!F266="","",DADOS!F266)</f>
        <v>6</v>
      </c>
      <c r="K266" s="6">
        <f t="shared" si="25"/>
        <v>8.4352119838704525</v>
      </c>
      <c r="L266" s="7">
        <f t="shared" si="26"/>
        <v>5.5883279393141739E-3</v>
      </c>
      <c r="M266" s="7">
        <f t="shared" si="23"/>
        <v>3.3529967635885047E-2</v>
      </c>
      <c r="N266" s="7">
        <f t="shared" si="27"/>
        <v>2.682397410870804E-2</v>
      </c>
      <c r="O266" s="8"/>
      <c r="P266" s="26"/>
      <c r="S266" s="10" t="str">
        <f t="shared" si="24"/>
        <v/>
      </c>
    </row>
    <row r="267" spans="5:19" x14ac:dyDescent="0.3">
      <c r="E267" s="9">
        <f>IF(DADOS!C267="","",DADOS!C267)</f>
        <v>12</v>
      </c>
      <c r="F267" s="9">
        <f>IF(DADOS!E267="","",DADOS!E267)</f>
        <v>23.8</v>
      </c>
      <c r="G267" s="9">
        <f>IF(DADOS!F267="","",DADOS!F267)</f>
        <v>6</v>
      </c>
      <c r="K267" s="6">
        <f t="shared" si="25"/>
        <v>7.5757752911742182</v>
      </c>
      <c r="L267" s="7">
        <f t="shared" si="26"/>
        <v>4.5075862982486602E-3</v>
      </c>
      <c r="M267" s="7">
        <f t="shared" si="23"/>
        <v>2.7045517789491963E-2</v>
      </c>
      <c r="N267" s="7">
        <f t="shared" si="27"/>
        <v>2.163641423159357E-2</v>
      </c>
      <c r="O267" s="8"/>
      <c r="P267" s="26"/>
      <c r="S267" s="10" t="str">
        <f t="shared" si="24"/>
        <v/>
      </c>
    </row>
    <row r="268" spans="5:19" x14ac:dyDescent="0.3">
      <c r="E268" s="9">
        <f>IF(DADOS!C268="","",DADOS!C268)</f>
        <v>12</v>
      </c>
      <c r="F268" s="9">
        <f>IF(DADOS!E268="","",DADOS!E268)</f>
        <v>25.8</v>
      </c>
      <c r="G268" s="9">
        <f>IF(DADOS!F268="","",DADOS!F268)</f>
        <v>4</v>
      </c>
      <c r="K268" s="6">
        <f t="shared" si="25"/>
        <v>8.2123950635418002</v>
      </c>
      <c r="L268" s="7">
        <f t="shared" si="26"/>
        <v>5.2969948159844616E-3</v>
      </c>
      <c r="M268" s="7">
        <f t="shared" si="23"/>
        <v>2.1187979263937846E-2</v>
      </c>
      <c r="N268" s="7">
        <f t="shared" si="27"/>
        <v>1.6950383411150276E-2</v>
      </c>
      <c r="O268" s="8"/>
      <c r="P268" s="26"/>
      <c r="S268" s="10" t="str">
        <f t="shared" si="24"/>
        <v/>
      </c>
    </row>
    <row r="269" spans="5:19" x14ac:dyDescent="0.3">
      <c r="E269" s="9">
        <f>IF(DADOS!C269="","",DADOS!C269)</f>
        <v>12</v>
      </c>
      <c r="F269" s="9">
        <f>IF(DADOS!E269="","",DADOS!E269)</f>
        <v>17.5</v>
      </c>
      <c r="G269" s="9">
        <f>IF(DADOS!F269="","",DADOS!F269)</f>
        <v>4</v>
      </c>
      <c r="K269" s="6">
        <f t="shared" si="25"/>
        <v>5.5704230082163368</v>
      </c>
      <c r="L269" s="7">
        <f t="shared" si="26"/>
        <v>2.4370600660946471E-3</v>
      </c>
      <c r="M269" s="7">
        <f t="shared" si="23"/>
        <v>9.7482402643785885E-3</v>
      </c>
      <c r="N269" s="7">
        <f t="shared" si="27"/>
        <v>7.7985922115028708E-3</v>
      </c>
      <c r="O269" s="8"/>
      <c r="P269" s="26"/>
      <c r="S269" s="10" t="str">
        <f t="shared" si="24"/>
        <v/>
      </c>
    </row>
    <row r="270" spans="5:19" x14ac:dyDescent="0.3">
      <c r="E270" s="9">
        <f>IF(DADOS!C270="","",DADOS!C270)</f>
        <v>12</v>
      </c>
      <c r="F270" s="9">
        <f>IF(DADOS!E270="","",DADOS!E270)</f>
        <v>21.9</v>
      </c>
      <c r="G270" s="9">
        <f>IF(DADOS!F270="","",DADOS!F270)</f>
        <v>4.5</v>
      </c>
      <c r="K270" s="6">
        <f t="shared" si="25"/>
        <v>6.9709865074250157</v>
      </c>
      <c r="L270" s="7">
        <f t="shared" si="26"/>
        <v>3.8166151128151958E-3</v>
      </c>
      <c r="M270" s="7">
        <f t="shared" si="23"/>
        <v>1.717476800766838E-2</v>
      </c>
      <c r="N270" s="7">
        <f t="shared" si="27"/>
        <v>1.3739814406134705E-2</v>
      </c>
      <c r="O270" s="8"/>
      <c r="P270" s="26"/>
      <c r="S270" s="10" t="str">
        <f t="shared" si="24"/>
        <v/>
      </c>
    </row>
    <row r="271" spans="5:19" x14ac:dyDescent="0.3">
      <c r="E271" s="9">
        <f>IF(DADOS!C271="","",DADOS!C271)</f>
        <v>12</v>
      </c>
      <c r="F271" s="9">
        <f>IF(DADOS!E271="","",DADOS!E271)</f>
        <v>27.8</v>
      </c>
      <c r="G271" s="9">
        <f>IF(DADOS!F271="","",DADOS!F271)</f>
        <v>5</v>
      </c>
      <c r="K271" s="6">
        <f t="shared" si="25"/>
        <v>8.8490148359093812</v>
      </c>
      <c r="L271" s="7">
        <f t="shared" si="26"/>
        <v>6.1500653109570194E-3</v>
      </c>
      <c r="M271" s="7">
        <f t="shared" si="23"/>
        <v>3.0750326554785098E-2</v>
      </c>
      <c r="N271" s="7">
        <f t="shared" si="27"/>
        <v>2.4600261243828081E-2</v>
      </c>
      <c r="O271" s="8"/>
      <c r="P271" s="26"/>
      <c r="S271" s="10" t="str">
        <f t="shared" si="24"/>
        <v/>
      </c>
    </row>
    <row r="272" spans="5:19" x14ac:dyDescent="0.3">
      <c r="E272" s="9">
        <f>IF(DADOS!C272="","",DADOS!C272)</f>
        <v>12</v>
      </c>
      <c r="F272" s="9">
        <f>IF(DADOS!E272="","",DADOS!E272)</f>
        <v>28</v>
      </c>
      <c r="G272" s="9">
        <f>IF(DADOS!F272="","",DADOS!F272)</f>
        <v>8</v>
      </c>
      <c r="K272" s="6">
        <f t="shared" si="25"/>
        <v>8.91267681314614</v>
      </c>
      <c r="L272" s="7">
        <f t="shared" si="26"/>
        <v>6.2388737692022989E-3</v>
      </c>
      <c r="M272" s="7">
        <f t="shared" si="23"/>
        <v>4.9910990153618391E-2</v>
      </c>
      <c r="N272" s="7">
        <f t="shared" si="27"/>
        <v>3.9928792122894713E-2</v>
      </c>
      <c r="O272" s="8"/>
      <c r="P272" s="26"/>
      <c r="S272" s="10" t="str">
        <f t="shared" si="24"/>
        <v/>
      </c>
    </row>
    <row r="273" spans="5:19" x14ac:dyDescent="0.3">
      <c r="E273" s="9">
        <f>IF(DADOS!C273="","",DADOS!C273)</f>
        <v>12</v>
      </c>
      <c r="F273" s="9">
        <f>IF(DADOS!E273="","",DADOS!E273)</f>
        <v>62.6</v>
      </c>
      <c r="G273" s="9">
        <f>IF(DADOS!F273="","",DADOS!F273)</f>
        <v>9</v>
      </c>
      <c r="K273" s="6">
        <f t="shared" si="25"/>
        <v>19.926198875105296</v>
      </c>
      <c r="L273" s="7">
        <f t="shared" si="26"/>
        <v>3.1184501239539787E-2</v>
      </c>
      <c r="M273" s="7">
        <f t="shared" si="23"/>
        <v>0.28066051115585811</v>
      </c>
      <c r="N273" s="7">
        <f t="shared" si="27"/>
        <v>0.22452840892468651</v>
      </c>
      <c r="O273" s="8"/>
      <c r="P273" s="26"/>
      <c r="S273" s="10" t="str">
        <f t="shared" si="24"/>
        <v/>
      </c>
    </row>
    <row r="274" spans="5:19" x14ac:dyDescent="0.3">
      <c r="E274" s="9">
        <f>IF(DADOS!C274="","",DADOS!C274)</f>
        <v>12</v>
      </c>
      <c r="F274" s="9">
        <f>IF(DADOS!E274="","",DADOS!E274)</f>
        <v>41.8</v>
      </c>
      <c r="G274" s="9">
        <f>IF(DADOS!F274="","",DADOS!F274)</f>
        <v>8</v>
      </c>
      <c r="K274" s="6">
        <f t="shared" si="25"/>
        <v>13.30535324248245</v>
      </c>
      <c r="L274" s="7">
        <f t="shared" si="26"/>
        <v>1.390409413839416E-2</v>
      </c>
      <c r="M274" s="7">
        <f t="shared" si="23"/>
        <v>0.11123275310715328</v>
      </c>
      <c r="N274" s="7">
        <f t="shared" si="27"/>
        <v>8.8986202485722629E-2</v>
      </c>
      <c r="O274" s="8"/>
      <c r="P274" s="26"/>
      <c r="S274" s="10" t="str">
        <f t="shared" si="24"/>
        <v/>
      </c>
    </row>
    <row r="275" spans="5:19" x14ac:dyDescent="0.3">
      <c r="E275" s="9">
        <f>IF(DADOS!C275="","",DADOS!C275)</f>
        <v>12</v>
      </c>
      <c r="F275" s="9">
        <f>IF(DADOS!E275="","",DADOS!E275)</f>
        <v>30.1</v>
      </c>
      <c r="G275" s="9">
        <f>IF(DADOS!F275="","",DADOS!F275)</f>
        <v>8</v>
      </c>
      <c r="K275" s="6">
        <f t="shared" si="25"/>
        <v>9.5811275741321005</v>
      </c>
      <c r="L275" s="7">
        <f t="shared" si="26"/>
        <v>7.2097984995344059E-3</v>
      </c>
      <c r="M275" s="7">
        <f t="shared" si="23"/>
        <v>5.7678387996275247E-2</v>
      </c>
      <c r="N275" s="7">
        <f t="shared" si="27"/>
        <v>4.6142710397020198E-2</v>
      </c>
      <c r="O275" s="8"/>
      <c r="P275" s="26"/>
      <c r="S275" s="10" t="str">
        <f t="shared" si="24"/>
        <v/>
      </c>
    </row>
    <row r="276" spans="5:19" x14ac:dyDescent="0.3">
      <c r="E276" s="9">
        <f>IF(DADOS!C276="","",DADOS!C276)</f>
        <v>12</v>
      </c>
      <c r="F276" s="9">
        <f>IF(DADOS!E276="","",DADOS!E276)</f>
        <v>101</v>
      </c>
      <c r="G276" s="9">
        <f>IF(DADOS!F276="","",DADOS!F276)</f>
        <v>9</v>
      </c>
      <c r="K276" s="6">
        <f t="shared" si="25"/>
        <v>32.149298504562857</v>
      </c>
      <c r="L276" s="7">
        <f t="shared" si="26"/>
        <v>8.1176978724021201E-2</v>
      </c>
      <c r="M276" s="7">
        <f t="shared" si="23"/>
        <v>0.73059280851619079</v>
      </c>
      <c r="N276" s="7">
        <f t="shared" si="27"/>
        <v>0.58447424681295268</v>
      </c>
      <c r="O276" s="8"/>
      <c r="P276" s="26"/>
      <c r="S276" s="10" t="str">
        <f t="shared" si="24"/>
        <v/>
      </c>
    </row>
    <row r="277" spans="5:19" x14ac:dyDescent="0.3">
      <c r="E277" s="9">
        <f>IF(DADOS!C277="","",DADOS!C277)</f>
        <v>12</v>
      </c>
      <c r="F277" s="9">
        <f>IF(DADOS!E277="","",DADOS!E277)</f>
        <v>76</v>
      </c>
      <c r="G277" s="9">
        <f>IF(DADOS!F277="","",DADOS!F277)</f>
        <v>9</v>
      </c>
      <c r="K277" s="6">
        <f t="shared" si="25"/>
        <v>24.191551349968091</v>
      </c>
      <c r="L277" s="7">
        <f t="shared" si="26"/>
        <v>4.5963947564939371E-2</v>
      </c>
      <c r="M277" s="7">
        <f t="shared" si="23"/>
        <v>0.41367552808445435</v>
      </c>
      <c r="N277" s="7">
        <f t="shared" si="27"/>
        <v>0.3309404224675635</v>
      </c>
      <c r="O277" s="8"/>
      <c r="P277" s="26"/>
      <c r="S277" s="10" t="str">
        <f t="shared" si="24"/>
        <v/>
      </c>
    </row>
    <row r="278" spans="5:19" x14ac:dyDescent="0.3">
      <c r="E278" s="9">
        <f>IF(DADOS!C278="","",DADOS!C278)</f>
        <v>12</v>
      </c>
      <c r="F278" s="9">
        <f>IF(DADOS!E278="","",DADOS!E278)</f>
        <v>50.8</v>
      </c>
      <c r="G278" s="9">
        <f>IF(DADOS!F278="","",DADOS!F278)</f>
        <v>9</v>
      </c>
      <c r="K278" s="6">
        <f t="shared" si="25"/>
        <v>16.170142218136565</v>
      </c>
      <c r="L278" s="7">
        <f t="shared" si="26"/>
        <v>2.0536080617033433E-2</v>
      </c>
      <c r="M278" s="7">
        <f t="shared" si="23"/>
        <v>0.1848247255533009</v>
      </c>
      <c r="N278" s="7">
        <f t="shared" si="27"/>
        <v>0.14785978044264073</v>
      </c>
      <c r="O278" s="8"/>
      <c r="P278" s="26"/>
      <c r="S278" s="10" t="str">
        <f t="shared" si="24"/>
        <v/>
      </c>
    </row>
    <row r="279" spans="5:19" x14ac:dyDescent="0.3">
      <c r="E279" s="9">
        <f>IF(DADOS!C279="","",DADOS!C279)</f>
        <v>12</v>
      </c>
      <c r="F279" s="9">
        <f>IF(DADOS!E279="","",DADOS!E279)</f>
        <v>32</v>
      </c>
      <c r="G279" s="9">
        <f>IF(DADOS!F279="","",DADOS!F279)</f>
        <v>8</v>
      </c>
      <c r="K279" s="6">
        <f t="shared" si="25"/>
        <v>10.185916357881302</v>
      </c>
      <c r="L279" s="7">
        <f t="shared" si="26"/>
        <v>8.1487330863050413E-3</v>
      </c>
      <c r="M279" s="7">
        <f t="shared" si="23"/>
        <v>6.518986469044033E-2</v>
      </c>
      <c r="N279" s="7">
        <f t="shared" si="27"/>
        <v>5.215189175235227E-2</v>
      </c>
      <c r="O279" s="8"/>
      <c r="P279" s="26"/>
      <c r="S279" s="10" t="str">
        <f t="shared" si="24"/>
        <v/>
      </c>
    </row>
    <row r="280" spans="5:19" x14ac:dyDescent="0.3">
      <c r="E280" s="9">
        <f>IF(DADOS!C280="","",DADOS!C280)</f>
        <v>12</v>
      </c>
      <c r="F280" s="9">
        <f>IF(DADOS!E280="","",DADOS!E280)</f>
        <v>23.2</v>
      </c>
      <c r="G280" s="9">
        <f>IF(DADOS!F280="","",DADOS!F280)</f>
        <v>8</v>
      </c>
      <c r="K280" s="6">
        <f t="shared" si="25"/>
        <v>7.3847893594639435</v>
      </c>
      <c r="L280" s="7">
        <f t="shared" si="26"/>
        <v>4.2831778284890872E-3</v>
      </c>
      <c r="M280" s="7">
        <f t="shared" si="23"/>
        <v>3.4265422627912698E-2</v>
      </c>
      <c r="N280" s="7">
        <f t="shared" si="27"/>
        <v>2.741233810233016E-2</v>
      </c>
      <c r="O280" s="8"/>
      <c r="P280" s="26"/>
      <c r="S280" s="10" t="str">
        <f t="shared" si="24"/>
        <v/>
      </c>
    </row>
    <row r="281" spans="5:19" x14ac:dyDescent="0.3">
      <c r="E281" s="9">
        <f>IF(DADOS!C281="","",DADOS!C281)</f>
        <v>12</v>
      </c>
      <c r="F281" s="9">
        <f>IF(DADOS!E281="","",DADOS!E281)</f>
        <v>33</v>
      </c>
      <c r="G281" s="9">
        <f>IF(DADOS!F281="","",DADOS!F281)</f>
        <v>8</v>
      </c>
      <c r="K281" s="6">
        <f t="shared" si="25"/>
        <v>10.504226244065093</v>
      </c>
      <c r="L281" s="7">
        <f t="shared" si="26"/>
        <v>8.6659866513537007E-3</v>
      </c>
      <c r="M281" s="7">
        <f t="shared" si="23"/>
        <v>6.9327893210829605E-2</v>
      </c>
      <c r="N281" s="7">
        <f t="shared" si="27"/>
        <v>5.5462314568663684E-2</v>
      </c>
      <c r="O281" s="8"/>
      <c r="P281" s="26"/>
      <c r="S281" s="10" t="str">
        <f t="shared" si="24"/>
        <v/>
      </c>
    </row>
    <row r="282" spans="5:19" x14ac:dyDescent="0.3">
      <c r="E282" s="9">
        <f>IF(DADOS!C282="","",DADOS!C282)</f>
        <v>13</v>
      </c>
      <c r="F282" s="9">
        <f>IF(DADOS!E282="","",DADOS!E282)</f>
        <v>19.399999999999999</v>
      </c>
      <c r="G282" s="9">
        <f>IF(DADOS!F282="","",DADOS!F282)</f>
        <v>11</v>
      </c>
      <c r="K282" s="6">
        <f t="shared" si="25"/>
        <v>6.1752117919655385</v>
      </c>
      <c r="L282" s="7">
        <f t="shared" si="26"/>
        <v>2.9949777191032863E-3</v>
      </c>
      <c r="M282" s="7">
        <f t="shared" si="23"/>
        <v>3.2944754910136147E-2</v>
      </c>
      <c r="N282" s="7">
        <f t="shared" si="27"/>
        <v>2.635580392810892E-2</v>
      </c>
      <c r="O282" s="8"/>
      <c r="P282" s="26"/>
      <c r="S282" s="10" t="str">
        <f t="shared" si="24"/>
        <v/>
      </c>
    </row>
    <row r="283" spans="5:19" x14ac:dyDescent="0.3">
      <c r="E283" s="9">
        <f>IF(DADOS!C283="","",DADOS!C283)</f>
        <v>13</v>
      </c>
      <c r="F283" s="9">
        <f>IF(DADOS!E283="","",DADOS!E283)</f>
        <v>95.1</v>
      </c>
      <c r="G283" s="9">
        <f>IF(DADOS!F283="","",DADOS!F283)</f>
        <v>12</v>
      </c>
      <c r="K283" s="6">
        <f t="shared" si="25"/>
        <v>30.271270176078492</v>
      </c>
      <c r="L283" s="7">
        <f t="shared" si="26"/>
        <v>7.1969944843626607E-2</v>
      </c>
      <c r="M283" s="7">
        <f t="shared" si="23"/>
        <v>0.86363933812351923</v>
      </c>
      <c r="N283" s="7">
        <f t="shared" si="27"/>
        <v>0.69091147049881541</v>
      </c>
      <c r="O283" s="8"/>
      <c r="P283" s="26"/>
      <c r="S283" s="10" t="str">
        <f t="shared" si="24"/>
        <v/>
      </c>
    </row>
    <row r="284" spans="5:19" x14ac:dyDescent="0.3">
      <c r="E284" s="9">
        <f>IF(DADOS!C284="","",DADOS!C284)</f>
        <v>13</v>
      </c>
      <c r="F284" s="9">
        <f>IF(DADOS!E284="","",DADOS!E284)</f>
        <v>80.2</v>
      </c>
      <c r="G284" s="9">
        <f>IF(DADOS!F284="","",DADOS!F284)</f>
        <v>11</v>
      </c>
      <c r="K284" s="6">
        <f t="shared" si="25"/>
        <v>25.528452871940015</v>
      </c>
      <c r="L284" s="7">
        <f t="shared" si="26"/>
        <v>5.1184548008239732E-2</v>
      </c>
      <c r="M284" s="7">
        <f t="shared" si="23"/>
        <v>0.56303002809063707</v>
      </c>
      <c r="N284" s="7">
        <f t="shared" si="27"/>
        <v>0.45042402247250968</v>
      </c>
      <c r="O284" s="8"/>
      <c r="P284" s="26"/>
      <c r="S284" s="10" t="str">
        <f t="shared" si="24"/>
        <v/>
      </c>
    </row>
    <row r="285" spans="5:19" x14ac:dyDescent="0.3">
      <c r="E285" s="9">
        <f>IF(DADOS!C285="","",DADOS!C285)</f>
        <v>13</v>
      </c>
      <c r="F285" s="9">
        <f>IF(DADOS!E285="","",DADOS!E285)</f>
        <v>94.3</v>
      </c>
      <c r="G285" s="9">
        <f>IF(DADOS!F285="","",DADOS!F285)</f>
        <v>11</v>
      </c>
      <c r="K285" s="6">
        <f t="shared" si="25"/>
        <v>30.01662226713146</v>
      </c>
      <c r="L285" s="7">
        <f t="shared" si="26"/>
        <v>7.0764186994762418E-2</v>
      </c>
      <c r="M285" s="7">
        <f t="shared" si="23"/>
        <v>0.77840605694238663</v>
      </c>
      <c r="N285" s="7">
        <f t="shared" si="27"/>
        <v>0.62272484555390939</v>
      </c>
      <c r="O285" s="8"/>
      <c r="P285" s="26"/>
      <c r="S285" s="10" t="str">
        <f t="shared" si="24"/>
        <v/>
      </c>
    </row>
    <row r="286" spans="5:19" x14ac:dyDescent="0.3">
      <c r="E286" s="9">
        <f>IF(DADOS!C286="","",DADOS!C286)</f>
        <v>13</v>
      </c>
      <c r="F286" s="9">
        <f>IF(DADOS!E286="","",DADOS!E286)</f>
        <v>115</v>
      </c>
      <c r="G286" s="9">
        <f>IF(DADOS!F286="","",DADOS!F286)</f>
        <v>11</v>
      </c>
      <c r="K286" s="6">
        <f t="shared" si="25"/>
        <v>36.605636911135932</v>
      </c>
      <c r="L286" s="7">
        <f t="shared" si="26"/>
        <v>0.10524120611951582</v>
      </c>
      <c r="M286" s="7">
        <f t="shared" si="23"/>
        <v>1.157653267314674</v>
      </c>
      <c r="N286" s="7">
        <f t="shared" si="27"/>
        <v>0.92612261385173922</v>
      </c>
      <c r="O286" s="8"/>
      <c r="P286" s="26"/>
      <c r="S286" s="10" t="str">
        <f t="shared" si="24"/>
        <v/>
      </c>
    </row>
    <row r="287" spans="5:19" x14ac:dyDescent="0.3">
      <c r="E287" s="9">
        <f>IF(DADOS!C287="","",DADOS!C287)</f>
        <v>13</v>
      </c>
      <c r="F287" s="9">
        <f>IF(DADOS!E287="","",DADOS!E287)</f>
        <v>64.900000000000006</v>
      </c>
      <c r="G287" s="9">
        <f>IF(DADOS!F287="","",DADOS!F287)</f>
        <v>7.5</v>
      </c>
      <c r="K287" s="6">
        <f t="shared" si="25"/>
        <v>20.658311613328017</v>
      </c>
      <c r="L287" s="7">
        <f t="shared" si="26"/>
        <v>3.351811059262471E-2</v>
      </c>
      <c r="M287" s="7">
        <f t="shared" si="23"/>
        <v>0.25138582944468535</v>
      </c>
      <c r="N287" s="7">
        <f t="shared" si="27"/>
        <v>0.2011086635557483</v>
      </c>
      <c r="O287" s="8"/>
      <c r="P287" s="26"/>
      <c r="S287" s="10" t="str">
        <f t="shared" si="24"/>
        <v/>
      </c>
    </row>
    <row r="288" spans="5:19" x14ac:dyDescent="0.3">
      <c r="E288" s="9">
        <f>IF(DADOS!C288="","",DADOS!C288)</f>
        <v>13</v>
      </c>
      <c r="F288" s="9">
        <f>IF(DADOS!E288="","",DADOS!E288)</f>
        <v>27.5</v>
      </c>
      <c r="G288" s="9">
        <f>IF(DADOS!F288="","",DADOS!F288)</f>
        <v>7.5</v>
      </c>
      <c r="K288" s="6">
        <f t="shared" si="25"/>
        <v>8.753521870054243</v>
      </c>
      <c r="L288" s="7">
        <f t="shared" si="26"/>
        <v>6.0180462856622907E-3</v>
      </c>
      <c r="M288" s="7">
        <f t="shared" si="23"/>
        <v>4.5135347142467183E-2</v>
      </c>
      <c r="N288" s="7">
        <f t="shared" si="27"/>
        <v>3.6108277713973749E-2</v>
      </c>
      <c r="O288" s="8"/>
      <c r="P288" s="26"/>
      <c r="S288" s="10" t="str">
        <f t="shared" si="24"/>
        <v/>
      </c>
    </row>
    <row r="289" spans="5:19" x14ac:dyDescent="0.3">
      <c r="E289" s="9">
        <f>IF(DADOS!C289="","",DADOS!C289)</f>
        <v>13</v>
      </c>
      <c r="F289" s="9">
        <f>IF(DADOS!E289="","",DADOS!E289)</f>
        <v>15.7</v>
      </c>
      <c r="G289" s="9">
        <f>IF(DADOS!F289="","",DADOS!F289)</f>
        <v>1.9</v>
      </c>
      <c r="K289" s="6">
        <f t="shared" si="25"/>
        <v>4.9974652130855137</v>
      </c>
      <c r="L289" s="7">
        <f t="shared" si="26"/>
        <v>1.9615050961360641E-3</v>
      </c>
      <c r="M289" s="7">
        <f t="shared" si="23"/>
        <v>3.7268596826585216E-3</v>
      </c>
      <c r="N289" s="7">
        <f t="shared" si="27"/>
        <v>2.9814877461268176E-3</v>
      </c>
      <c r="O289" s="8"/>
      <c r="P289" s="26"/>
      <c r="S289" s="10" t="str">
        <f t="shared" si="24"/>
        <v/>
      </c>
    </row>
    <row r="290" spans="5:19" x14ac:dyDescent="0.3">
      <c r="E290" s="9">
        <f>IF(DADOS!C290="","",DADOS!C290)</f>
        <v>13</v>
      </c>
      <c r="F290" s="9">
        <f>IF(DADOS!E290="","",DADOS!E290)</f>
        <v>21</v>
      </c>
      <c r="G290" s="9">
        <f>IF(DADOS!F290="","",DADOS!F290)</f>
        <v>4</v>
      </c>
      <c r="K290" s="6">
        <f t="shared" si="25"/>
        <v>6.6845076098596046</v>
      </c>
      <c r="L290" s="7">
        <f t="shared" si="26"/>
        <v>3.5093664951762926E-3</v>
      </c>
      <c r="M290" s="7">
        <f t="shared" si="23"/>
        <v>1.4037465980705171E-2</v>
      </c>
      <c r="N290" s="7">
        <f t="shared" si="27"/>
        <v>1.1229972784564137E-2</v>
      </c>
      <c r="O290" s="8"/>
      <c r="P290" s="26"/>
      <c r="S290" s="10" t="str">
        <f t="shared" si="24"/>
        <v/>
      </c>
    </row>
    <row r="291" spans="5:19" x14ac:dyDescent="0.3">
      <c r="E291" s="9">
        <f>IF(DADOS!C291="","",DADOS!C291)</f>
        <v>13</v>
      </c>
      <c r="F291" s="9">
        <f>IF(DADOS!E291="","",DADOS!E291)</f>
        <v>31.6</v>
      </c>
      <c r="G291" s="9">
        <f>IF(DADOS!F291="","",DADOS!F291)</f>
        <v>5.5</v>
      </c>
      <c r="K291" s="6">
        <f t="shared" si="25"/>
        <v>10.058592403407786</v>
      </c>
      <c r="L291" s="7">
        <f t="shared" si="26"/>
        <v>7.9462879986921513E-3</v>
      </c>
      <c r="M291" s="7">
        <f t="shared" si="23"/>
        <v>4.3704583992806835E-2</v>
      </c>
      <c r="N291" s="7">
        <f t="shared" si="27"/>
        <v>3.4963667194245471E-2</v>
      </c>
      <c r="O291" s="8"/>
      <c r="P291" s="26"/>
      <c r="S291" s="10" t="str">
        <f t="shared" si="24"/>
        <v/>
      </c>
    </row>
    <row r="292" spans="5:19" x14ac:dyDescent="0.3">
      <c r="E292" s="9">
        <f>IF(DADOS!C292="","",DADOS!C292)</f>
        <v>13</v>
      </c>
      <c r="F292" s="9">
        <f>IF(DADOS!E292="","",DADOS!E292)</f>
        <v>21</v>
      </c>
      <c r="G292" s="9">
        <f>IF(DADOS!F292="","",DADOS!F292)</f>
        <v>5</v>
      </c>
      <c r="K292" s="6">
        <f t="shared" si="25"/>
        <v>6.6845076098596046</v>
      </c>
      <c r="L292" s="7">
        <f t="shared" si="26"/>
        <v>3.5093664951762926E-3</v>
      </c>
      <c r="M292" s="7">
        <f t="shared" si="23"/>
        <v>1.7546832475881464E-2</v>
      </c>
      <c r="N292" s="7">
        <f t="shared" si="27"/>
        <v>1.4037465980705172E-2</v>
      </c>
      <c r="O292" s="8"/>
      <c r="P292" s="26"/>
      <c r="S292" s="10" t="str">
        <f t="shared" si="24"/>
        <v/>
      </c>
    </row>
    <row r="293" spans="5:19" x14ac:dyDescent="0.3">
      <c r="E293" s="9">
        <f>IF(DADOS!C293="","",DADOS!C293)</f>
        <v>13</v>
      </c>
      <c r="F293" s="9">
        <f>IF(DADOS!E293="","",DADOS!E293)</f>
        <v>23.2</v>
      </c>
      <c r="G293" s="9">
        <f>IF(DADOS!F293="","",DADOS!F293)</f>
        <v>5</v>
      </c>
      <c r="K293" s="6">
        <f t="shared" si="25"/>
        <v>7.3847893594639435</v>
      </c>
      <c r="L293" s="7">
        <f t="shared" si="26"/>
        <v>4.2831778284890872E-3</v>
      </c>
      <c r="M293" s="7">
        <f t="shared" si="23"/>
        <v>2.1415889142445438E-2</v>
      </c>
      <c r="N293" s="7">
        <f t="shared" si="27"/>
        <v>1.7132711313956352E-2</v>
      </c>
      <c r="O293" s="8"/>
      <c r="P293" s="26"/>
      <c r="S293" s="10" t="str">
        <f t="shared" si="24"/>
        <v/>
      </c>
    </row>
    <row r="294" spans="5:19" x14ac:dyDescent="0.3">
      <c r="E294" s="9">
        <f>IF(DADOS!C294="","",DADOS!C294)</f>
        <v>14</v>
      </c>
      <c r="F294" s="9">
        <f>IF(DADOS!E294="","",DADOS!E294)</f>
        <v>25.6</v>
      </c>
      <c r="G294" s="9">
        <f>IF(DADOS!F294="","",DADOS!F294)</f>
        <v>11</v>
      </c>
      <c r="K294" s="6">
        <f t="shared" si="25"/>
        <v>8.1487330863050413</v>
      </c>
      <c r="L294" s="7">
        <f t="shared" si="26"/>
        <v>5.2151891752352259E-3</v>
      </c>
      <c r="M294" s="7">
        <f t="shared" si="23"/>
        <v>5.7367080927587487E-2</v>
      </c>
      <c r="N294" s="7">
        <f t="shared" si="27"/>
        <v>4.5893664742069989E-2</v>
      </c>
      <c r="O294" s="8"/>
      <c r="P294" s="26"/>
      <c r="S294" s="10" t="str">
        <f t="shared" si="24"/>
        <v/>
      </c>
    </row>
    <row r="295" spans="5:19" x14ac:dyDescent="0.3">
      <c r="E295" s="9">
        <f>IF(DADOS!C295="","",DADOS!C295)</f>
        <v>14</v>
      </c>
      <c r="F295" s="9">
        <f>IF(DADOS!E295="","",DADOS!E295)</f>
        <v>73.5</v>
      </c>
      <c r="G295" s="9">
        <f>IF(DADOS!F295="","",DADOS!F295)</f>
        <v>11</v>
      </c>
      <c r="K295" s="6">
        <f t="shared" si="25"/>
        <v>23.395776634508614</v>
      </c>
      <c r="L295" s="7">
        <f t="shared" si="26"/>
        <v>4.2989739565909575E-2</v>
      </c>
      <c r="M295" s="7">
        <f t="shared" si="23"/>
        <v>0.47288713522500531</v>
      </c>
      <c r="N295" s="7">
        <f t="shared" si="27"/>
        <v>0.37830970818000426</v>
      </c>
      <c r="O295" s="8"/>
      <c r="P295" s="26"/>
      <c r="S295" s="10" t="str">
        <f t="shared" si="24"/>
        <v/>
      </c>
    </row>
    <row r="296" spans="5:19" x14ac:dyDescent="0.3">
      <c r="E296" s="9">
        <f>IF(DADOS!C296="","",DADOS!C296)</f>
        <v>14</v>
      </c>
      <c r="F296" s="9">
        <f>IF(DADOS!E296="","",DADOS!E296)</f>
        <v>99.2</v>
      </c>
      <c r="G296" s="9">
        <f>IF(DADOS!F296="","",DADOS!F296)</f>
        <v>11</v>
      </c>
      <c r="K296" s="6">
        <f t="shared" si="25"/>
        <v>31.576340709432039</v>
      </c>
      <c r="L296" s="7">
        <f t="shared" si="26"/>
        <v>7.8309324959391455E-2</v>
      </c>
      <c r="M296" s="7">
        <f t="shared" si="23"/>
        <v>0.86140257455330604</v>
      </c>
      <c r="N296" s="7">
        <f t="shared" si="27"/>
        <v>0.68912205964264484</v>
      </c>
      <c r="O296" s="8"/>
      <c r="P296" s="26"/>
      <c r="S296" s="10" t="str">
        <f t="shared" si="24"/>
        <v/>
      </c>
    </row>
    <row r="297" spans="5:19" x14ac:dyDescent="0.3">
      <c r="E297" s="9">
        <f>IF(DADOS!C297="","",DADOS!C297)</f>
        <v>14</v>
      </c>
      <c r="F297" s="9">
        <f>IF(DADOS!E297="","",DADOS!E297)</f>
        <v>47.8</v>
      </c>
      <c r="G297" s="9">
        <f>IF(DADOS!F297="","",DADOS!F297)</f>
        <v>7</v>
      </c>
      <c r="K297" s="6">
        <f t="shared" si="25"/>
        <v>15.215212559585193</v>
      </c>
      <c r="L297" s="7">
        <f t="shared" si="26"/>
        <v>1.8182179008704308E-2</v>
      </c>
      <c r="M297" s="7">
        <f t="shared" si="23"/>
        <v>0.12727525306093015</v>
      </c>
      <c r="N297" s="7">
        <f t="shared" si="27"/>
        <v>0.10182020244874412</v>
      </c>
      <c r="O297" s="8"/>
      <c r="P297" s="26"/>
      <c r="S297" s="10" t="str">
        <f t="shared" si="24"/>
        <v/>
      </c>
    </row>
    <row r="298" spans="5:19" x14ac:dyDescent="0.3">
      <c r="E298" s="9">
        <f>IF(DADOS!C298="","",DADOS!C298)</f>
        <v>14</v>
      </c>
      <c r="F298" s="9">
        <f>IF(DADOS!E298="","",DADOS!E298)</f>
        <v>98.6</v>
      </c>
      <c r="G298" s="9">
        <f>IF(DADOS!F298="","",DADOS!F298)</f>
        <v>7</v>
      </c>
      <c r="K298" s="6">
        <f t="shared" si="25"/>
        <v>31.385354777721759</v>
      </c>
      <c r="L298" s="7">
        <f t="shared" si="26"/>
        <v>7.7364899527084127E-2</v>
      </c>
      <c r="M298" s="7">
        <f t="shared" si="23"/>
        <v>0.54155429668958888</v>
      </c>
      <c r="N298" s="7">
        <f t="shared" si="27"/>
        <v>0.43324343735167115</v>
      </c>
      <c r="O298" s="8"/>
      <c r="P298" s="26"/>
      <c r="S298" s="10" t="str">
        <f t="shared" si="24"/>
        <v/>
      </c>
    </row>
    <row r="299" spans="5:19" x14ac:dyDescent="0.3">
      <c r="E299" s="9">
        <f>IF(DADOS!C299="","",DADOS!C299)</f>
        <v>14</v>
      </c>
      <c r="F299" s="9">
        <f>IF(DADOS!E299="","",DADOS!E299)</f>
        <v>20.7</v>
      </c>
      <c r="G299" s="9">
        <f>IF(DADOS!F299="","",DADOS!F299)</f>
        <v>7</v>
      </c>
      <c r="K299" s="6">
        <f t="shared" si="25"/>
        <v>6.5890146440044672</v>
      </c>
      <c r="L299" s="7">
        <f t="shared" si="26"/>
        <v>3.4098150782723119E-3</v>
      </c>
      <c r="M299" s="7">
        <f t="shared" si="23"/>
        <v>2.3868705547906183E-2</v>
      </c>
      <c r="N299" s="7">
        <f t="shared" si="27"/>
        <v>1.9094964438324948E-2</v>
      </c>
      <c r="O299" s="8"/>
      <c r="P299" s="26"/>
      <c r="S299" s="10" t="str">
        <f t="shared" si="24"/>
        <v/>
      </c>
    </row>
    <row r="300" spans="5:19" x14ac:dyDescent="0.3">
      <c r="E300" s="9">
        <f>IF(DADOS!C300="","",DADOS!C300)</f>
        <v>14</v>
      </c>
      <c r="F300" s="9">
        <f>IF(DADOS!E300="","",DADOS!E300)</f>
        <v>42.8</v>
      </c>
      <c r="G300" s="9">
        <f>IF(DADOS!F300="","",DADOS!F300)</f>
        <v>7</v>
      </c>
      <c r="K300" s="6">
        <f t="shared" si="25"/>
        <v>13.623663128666241</v>
      </c>
      <c r="L300" s="7">
        <f t="shared" si="26"/>
        <v>1.4577319547672878E-2</v>
      </c>
      <c r="M300" s="7">
        <f t="shared" si="23"/>
        <v>0.10204123683371014</v>
      </c>
      <c r="N300" s="7">
        <f t="shared" si="27"/>
        <v>8.163298946696812E-2</v>
      </c>
      <c r="O300" s="8"/>
      <c r="P300" s="26"/>
      <c r="S300" s="10" t="str">
        <f t="shared" si="24"/>
        <v/>
      </c>
    </row>
    <row r="301" spans="5:19" x14ac:dyDescent="0.3">
      <c r="E301" s="9">
        <f>IF(DADOS!C301="","",DADOS!C301)</f>
        <v>14</v>
      </c>
      <c r="F301" s="9">
        <f>IF(DADOS!E301="","",DADOS!E301)</f>
        <v>21.8</v>
      </c>
      <c r="G301" s="9">
        <f>IF(DADOS!F301="","",DADOS!F301)</f>
        <v>3</v>
      </c>
      <c r="K301" s="6">
        <f t="shared" si="25"/>
        <v>6.9391555188066372</v>
      </c>
      <c r="L301" s="7">
        <f t="shared" si="26"/>
        <v>3.7818397577496178E-3</v>
      </c>
      <c r="M301" s="7">
        <f t="shared" si="23"/>
        <v>1.1345519273248852E-2</v>
      </c>
      <c r="N301" s="7">
        <f t="shared" si="27"/>
        <v>9.0764154185990816E-3</v>
      </c>
      <c r="O301" s="8"/>
      <c r="P301" s="26"/>
      <c r="S301" s="10" t="str">
        <f t="shared" si="24"/>
        <v/>
      </c>
    </row>
    <row r="302" spans="5:19" x14ac:dyDescent="0.3">
      <c r="E302" s="9">
        <f>IF(DADOS!C302="","",DADOS!C302)</f>
        <v>14</v>
      </c>
      <c r="F302" s="9">
        <f>IF(DADOS!E302="","",DADOS!E302)</f>
        <v>84</v>
      </c>
      <c r="G302" s="9">
        <f>IF(DADOS!F302="","",DADOS!F302)</f>
        <v>6</v>
      </c>
      <c r="K302" s="6">
        <f t="shared" si="25"/>
        <v>26.738030439438418</v>
      </c>
      <c r="L302" s="7">
        <f t="shared" si="26"/>
        <v>5.6149863922820682E-2</v>
      </c>
      <c r="M302" s="7">
        <f t="shared" si="23"/>
        <v>0.33689918353692411</v>
      </c>
      <c r="N302" s="7">
        <f t="shared" si="27"/>
        <v>0.26951934682953932</v>
      </c>
      <c r="O302" s="8"/>
      <c r="P302" s="26"/>
      <c r="S302" s="10" t="str">
        <f t="shared" si="24"/>
        <v/>
      </c>
    </row>
    <row r="303" spans="5:19" x14ac:dyDescent="0.3">
      <c r="E303" s="9">
        <f>IF(DADOS!C303="","",DADOS!C303)</f>
        <v>14</v>
      </c>
      <c r="F303" s="9">
        <f>IF(DADOS!E303="","",DADOS!E303)</f>
        <v>41.7</v>
      </c>
      <c r="G303" s="9">
        <f>IF(DADOS!F303="","",DADOS!F303)</f>
        <v>6.5</v>
      </c>
      <c r="K303" s="6">
        <f t="shared" si="25"/>
        <v>13.273522253864073</v>
      </c>
      <c r="L303" s="7">
        <f t="shared" si="26"/>
        <v>1.3837646949653296E-2</v>
      </c>
      <c r="M303" s="7">
        <f t="shared" si="23"/>
        <v>8.9944705172746414E-2</v>
      </c>
      <c r="N303" s="7">
        <f t="shared" si="27"/>
        <v>7.195576413819714E-2</v>
      </c>
      <c r="O303" s="8"/>
      <c r="P303" s="26"/>
      <c r="S303" s="10" t="str">
        <f t="shared" si="24"/>
        <v/>
      </c>
    </row>
    <row r="304" spans="5:19" x14ac:dyDescent="0.3">
      <c r="E304" s="9">
        <f>IF(DADOS!C304="","",DADOS!C304)</f>
        <v>14</v>
      </c>
      <c r="F304" s="9">
        <f>IF(DADOS!E304="","",DADOS!E304)</f>
        <v>26</v>
      </c>
      <c r="G304" s="9">
        <f>IF(DADOS!F304="","",DADOS!F304)</f>
        <v>8</v>
      </c>
      <c r="K304" s="6">
        <f t="shared" si="25"/>
        <v>8.2760570407785572</v>
      </c>
      <c r="L304" s="7">
        <f t="shared" si="26"/>
        <v>5.3794370765060618E-3</v>
      </c>
      <c r="M304" s="7">
        <f t="shared" si="23"/>
        <v>4.3035496612048495E-2</v>
      </c>
      <c r="N304" s="7">
        <f t="shared" si="27"/>
        <v>3.4428397289638799E-2</v>
      </c>
      <c r="O304" s="8"/>
      <c r="P304" s="26"/>
      <c r="S304" s="10" t="str">
        <f t="shared" si="24"/>
        <v/>
      </c>
    </row>
    <row r="305" spans="5:19" x14ac:dyDescent="0.3">
      <c r="E305" s="9">
        <f>IF(DADOS!C305="","",DADOS!C305)</f>
        <v>14</v>
      </c>
      <c r="F305" s="9">
        <f>IF(DADOS!E305="","",DADOS!E305)</f>
        <v>46.9</v>
      </c>
      <c r="G305" s="9">
        <f>IF(DADOS!F305="","",DADOS!F305)</f>
        <v>10</v>
      </c>
      <c r="K305" s="6">
        <f t="shared" si="25"/>
        <v>14.928733662019782</v>
      </c>
      <c r="L305" s="7">
        <f t="shared" si="26"/>
        <v>1.7503940218718192E-2</v>
      </c>
      <c r="M305" s="7">
        <f t="shared" si="23"/>
        <v>0.17503940218718192</v>
      </c>
      <c r="N305" s="7">
        <f t="shared" si="27"/>
        <v>0.14003152174974554</v>
      </c>
      <c r="O305" s="8"/>
      <c r="P305" s="26"/>
      <c r="S305" s="10" t="str">
        <f t="shared" si="24"/>
        <v/>
      </c>
    </row>
    <row r="306" spans="5:19" x14ac:dyDescent="0.3">
      <c r="E306" s="9">
        <f>IF(DADOS!C306="","",DADOS!C306)</f>
        <v>14</v>
      </c>
      <c r="F306" s="9">
        <f>IF(DADOS!E306="","",DADOS!E306)</f>
        <v>57.2</v>
      </c>
      <c r="G306" s="9">
        <f>IF(DADOS!F306="","",DADOS!F306)</f>
        <v>10</v>
      </c>
      <c r="K306" s="6">
        <f t="shared" si="25"/>
        <v>18.207325489712829</v>
      </c>
      <c r="L306" s="7">
        <f t="shared" si="26"/>
        <v>2.6036475450289351E-2</v>
      </c>
      <c r="M306" s="7">
        <f t="shared" si="23"/>
        <v>0.26036475450289354</v>
      </c>
      <c r="N306" s="7">
        <f t="shared" si="27"/>
        <v>0.20829180360231483</v>
      </c>
      <c r="O306" s="8"/>
      <c r="P306" s="26"/>
      <c r="S306" s="10" t="str">
        <f t="shared" si="24"/>
        <v/>
      </c>
    </row>
    <row r="307" spans="5:19" x14ac:dyDescent="0.3">
      <c r="E307" s="9">
        <f>IF(DADOS!C307="","",DADOS!C307)</f>
        <v>15</v>
      </c>
      <c r="F307" s="9">
        <f>IF(DADOS!E307="","",DADOS!E307)</f>
        <v>69.3</v>
      </c>
      <c r="G307" s="9">
        <f>IF(DADOS!F307="","",DADOS!F307)</f>
        <v>12</v>
      </c>
      <c r="K307" s="6">
        <f t="shared" si="25"/>
        <v>22.058875112536693</v>
      </c>
      <c r="L307" s="7">
        <f t="shared" si="26"/>
        <v>3.821700113246982E-2</v>
      </c>
      <c r="M307" s="7">
        <f t="shared" si="23"/>
        <v>0.45860401358963787</v>
      </c>
      <c r="N307" s="7">
        <f t="shared" si="27"/>
        <v>0.36688321087171033</v>
      </c>
      <c r="O307" s="8"/>
      <c r="P307" s="26"/>
      <c r="S307" s="10" t="str">
        <f t="shared" si="24"/>
        <v/>
      </c>
    </row>
    <row r="308" spans="5:19" x14ac:dyDescent="0.3">
      <c r="E308" s="9">
        <f>IF(DADOS!C308="","",DADOS!C308)</f>
        <v>15</v>
      </c>
      <c r="F308" s="9">
        <f>IF(DADOS!E308="","",DADOS!E308)</f>
        <v>101.5</v>
      </c>
      <c r="G308" s="9">
        <f>IF(DADOS!F308="","",DADOS!F308)</f>
        <v>13</v>
      </c>
      <c r="K308" s="6">
        <f t="shared" si="25"/>
        <v>32.308453447654756</v>
      </c>
      <c r="L308" s="7">
        <f t="shared" si="26"/>
        <v>8.1982700623423943E-2</v>
      </c>
      <c r="M308" s="7">
        <f t="shared" si="23"/>
        <v>1.0657751081045113</v>
      </c>
      <c r="N308" s="7">
        <f t="shared" si="27"/>
        <v>0.8526200864836091</v>
      </c>
      <c r="O308" s="8"/>
      <c r="P308" s="26"/>
      <c r="S308" s="10" t="str">
        <f t="shared" si="24"/>
        <v/>
      </c>
    </row>
    <row r="309" spans="5:19" x14ac:dyDescent="0.3">
      <c r="E309" s="9">
        <f>IF(DADOS!C309="","",DADOS!C309)</f>
        <v>15</v>
      </c>
      <c r="F309" s="9">
        <f>IF(DADOS!E309="","",DADOS!E309)</f>
        <v>100</v>
      </c>
      <c r="G309" s="9">
        <f>IF(DADOS!F309="","",DADOS!F309)</f>
        <v>5</v>
      </c>
      <c r="K309" s="6">
        <f t="shared" si="25"/>
        <v>31.830988618379067</v>
      </c>
      <c r="L309" s="7">
        <f t="shared" si="26"/>
        <v>7.9577471545947659E-2</v>
      </c>
      <c r="M309" s="7">
        <f t="shared" si="23"/>
        <v>0.39788735772973827</v>
      </c>
      <c r="N309" s="7">
        <f t="shared" si="27"/>
        <v>0.31830988618379064</v>
      </c>
      <c r="O309" s="8"/>
      <c r="P309" s="26"/>
      <c r="S309" s="10" t="str">
        <f t="shared" si="24"/>
        <v/>
      </c>
    </row>
    <row r="310" spans="5:19" x14ac:dyDescent="0.3">
      <c r="E310" s="9">
        <f>IF(DADOS!C310="","",DADOS!C310)</f>
        <v>15</v>
      </c>
      <c r="F310" s="9">
        <f>IF(DADOS!E310="","",DADOS!E310)</f>
        <v>17.5</v>
      </c>
      <c r="G310" s="9">
        <f>IF(DADOS!F310="","",DADOS!F310)</f>
        <v>5.5</v>
      </c>
      <c r="K310" s="6">
        <f t="shared" si="25"/>
        <v>5.5704230082163368</v>
      </c>
      <c r="L310" s="7">
        <f t="shared" si="26"/>
        <v>2.4370600660946471E-3</v>
      </c>
      <c r="M310" s="7">
        <f t="shared" si="23"/>
        <v>1.3403830363520559E-2</v>
      </c>
      <c r="N310" s="7">
        <f t="shared" si="27"/>
        <v>1.0723064290816448E-2</v>
      </c>
      <c r="O310" s="8"/>
      <c r="P310" s="26"/>
      <c r="S310" s="10" t="str">
        <f t="shared" si="24"/>
        <v/>
      </c>
    </row>
    <row r="311" spans="5:19" x14ac:dyDescent="0.3">
      <c r="E311" s="9">
        <f>IF(DADOS!C311="","",DADOS!C311)</f>
        <v>15</v>
      </c>
      <c r="F311" s="9">
        <f>IF(DADOS!E311="","",DADOS!E311)</f>
        <v>21</v>
      </c>
      <c r="G311" s="9">
        <f>IF(DADOS!F311="","",DADOS!F311)</f>
        <v>4</v>
      </c>
      <c r="K311" s="6">
        <f t="shared" si="25"/>
        <v>6.6845076098596046</v>
      </c>
      <c r="L311" s="7">
        <f t="shared" si="26"/>
        <v>3.5093664951762926E-3</v>
      </c>
      <c r="M311" s="7">
        <f t="shared" si="23"/>
        <v>1.4037465980705171E-2</v>
      </c>
      <c r="N311" s="7">
        <f t="shared" si="27"/>
        <v>1.1229972784564137E-2</v>
      </c>
      <c r="O311" s="8"/>
      <c r="P311" s="26"/>
      <c r="S311" s="10" t="str">
        <f t="shared" si="24"/>
        <v/>
      </c>
    </row>
    <row r="312" spans="5:19" x14ac:dyDescent="0.3">
      <c r="E312" s="9">
        <f>IF(DADOS!C312="","",DADOS!C312)</f>
        <v>15</v>
      </c>
      <c r="F312" s="9">
        <f>IF(DADOS!E312="","",DADOS!E312)</f>
        <v>19.3</v>
      </c>
      <c r="G312" s="9">
        <f>IF(DADOS!F312="","",DADOS!F312)</f>
        <v>5</v>
      </c>
      <c r="K312" s="6">
        <f t="shared" si="25"/>
        <v>6.1433808033471609</v>
      </c>
      <c r="L312" s="7">
        <f t="shared" si="26"/>
        <v>2.9641812376150051E-3</v>
      </c>
      <c r="M312" s="7">
        <f t="shared" si="23"/>
        <v>1.4820906188075026E-2</v>
      </c>
      <c r="N312" s="7">
        <f t="shared" si="27"/>
        <v>1.1856724950460022E-2</v>
      </c>
      <c r="O312" s="8"/>
      <c r="P312" s="26"/>
      <c r="S312" s="10" t="str">
        <f t="shared" si="24"/>
        <v/>
      </c>
    </row>
    <row r="313" spans="5:19" x14ac:dyDescent="0.3">
      <c r="E313" s="9">
        <f>IF(DADOS!C313="","",DADOS!C313)</f>
        <v>15</v>
      </c>
      <c r="F313" s="9">
        <f>IF(DADOS!E313="","",DADOS!E313)</f>
        <v>27.2</v>
      </c>
      <c r="G313" s="9">
        <f>IF(DADOS!F313="","",DADOS!F313)</f>
        <v>4</v>
      </c>
      <c r="K313" s="6">
        <f t="shared" si="25"/>
        <v>8.6580289041991065</v>
      </c>
      <c r="L313" s="7">
        <f t="shared" si="26"/>
        <v>5.8874596548553915E-3</v>
      </c>
      <c r="M313" s="7">
        <f t="shared" si="23"/>
        <v>2.3549838619421566E-2</v>
      </c>
      <c r="N313" s="7">
        <f t="shared" si="27"/>
        <v>1.8839870895537254E-2</v>
      </c>
      <c r="O313" s="8"/>
      <c r="P313" s="26"/>
      <c r="S313" s="10" t="str">
        <f t="shared" si="24"/>
        <v/>
      </c>
    </row>
    <row r="314" spans="5:19" x14ac:dyDescent="0.3">
      <c r="E314" s="9">
        <f>IF(DADOS!C314="","",DADOS!C314)</f>
        <v>15</v>
      </c>
      <c r="F314" s="9">
        <f>IF(DADOS!E314="","",DADOS!E314)</f>
        <v>16</v>
      </c>
      <c r="G314" s="9">
        <f>IF(DADOS!F314="","",DADOS!F314)</f>
        <v>6</v>
      </c>
      <c r="K314" s="6">
        <f t="shared" si="25"/>
        <v>5.0929581789406511</v>
      </c>
      <c r="L314" s="7">
        <f t="shared" si="26"/>
        <v>2.0371832715762603E-3</v>
      </c>
      <c r="M314" s="7">
        <f t="shared" si="23"/>
        <v>1.2223099629457562E-2</v>
      </c>
      <c r="N314" s="7">
        <f t="shared" si="27"/>
        <v>9.7784797035660505E-3</v>
      </c>
      <c r="O314" s="8"/>
      <c r="P314" s="26"/>
      <c r="S314" s="10" t="str">
        <f t="shared" si="24"/>
        <v/>
      </c>
    </row>
    <row r="315" spans="5:19" x14ac:dyDescent="0.3">
      <c r="E315" s="9">
        <f>IF(DADOS!C315="","",DADOS!C315)</f>
        <v>15</v>
      </c>
      <c r="F315" s="9">
        <f>IF(DADOS!E315="","",DADOS!E315)</f>
        <v>17.8</v>
      </c>
      <c r="G315" s="9">
        <f>IF(DADOS!F315="","",DADOS!F315)</f>
        <v>5</v>
      </c>
      <c r="K315" s="6">
        <f t="shared" si="25"/>
        <v>5.6659159740714742</v>
      </c>
      <c r="L315" s="7">
        <f t="shared" si="26"/>
        <v>2.5213326084618059E-3</v>
      </c>
      <c r="M315" s="7">
        <f t="shared" si="23"/>
        <v>1.260666304230903E-2</v>
      </c>
      <c r="N315" s="7">
        <f t="shared" si="27"/>
        <v>1.0085330433847225E-2</v>
      </c>
      <c r="O315" s="8"/>
      <c r="P315" s="26"/>
      <c r="S315" s="10" t="str">
        <f t="shared" si="24"/>
        <v/>
      </c>
    </row>
    <row r="316" spans="5:19" x14ac:dyDescent="0.3">
      <c r="E316" s="9">
        <f>IF(DADOS!C316="","",DADOS!C316)</f>
        <v>15</v>
      </c>
      <c r="F316" s="9">
        <f>IF(DADOS!E316="","",DADOS!E316)</f>
        <v>66</v>
      </c>
      <c r="G316" s="9">
        <f>IF(DADOS!F316="","",DADOS!F316)</f>
        <v>9.5</v>
      </c>
      <c r="K316" s="6">
        <f t="shared" si="25"/>
        <v>21.008452488130185</v>
      </c>
      <c r="L316" s="7">
        <f t="shared" si="26"/>
        <v>3.4663946605414803E-2</v>
      </c>
      <c r="M316" s="7">
        <f t="shared" si="23"/>
        <v>0.32930749275144061</v>
      </c>
      <c r="N316" s="7">
        <f t="shared" si="27"/>
        <v>0.2634459942011525</v>
      </c>
      <c r="O316" s="8"/>
      <c r="P316" s="26"/>
      <c r="S316" s="10" t="str">
        <f t="shared" si="24"/>
        <v/>
      </c>
    </row>
    <row r="317" spans="5:19" x14ac:dyDescent="0.3">
      <c r="E317" s="9">
        <f>IF(DADOS!C317="","",DADOS!C317)</f>
        <v>15</v>
      </c>
      <c r="F317" s="9">
        <f>IF(DADOS!E317="","",DADOS!E317)</f>
        <v>76.400000000000006</v>
      </c>
      <c r="G317" s="9">
        <f>IF(DADOS!F317="","",DADOS!F317)</f>
        <v>9.5</v>
      </c>
      <c r="K317" s="6">
        <f t="shared" si="25"/>
        <v>24.318875304441612</v>
      </c>
      <c r="L317" s="7">
        <f t="shared" si="26"/>
        <v>4.6449051831483484E-2</v>
      </c>
      <c r="M317" s="7">
        <f t="shared" si="23"/>
        <v>0.44126599239909309</v>
      </c>
      <c r="N317" s="7">
        <f t="shared" si="27"/>
        <v>0.35301279391927448</v>
      </c>
      <c r="O317" s="8"/>
      <c r="P317" s="26"/>
      <c r="S317" s="10" t="str">
        <f t="shared" si="24"/>
        <v/>
      </c>
    </row>
    <row r="318" spans="5:19" x14ac:dyDescent="0.3">
      <c r="E318" s="9">
        <f>IF(DADOS!C318="","",DADOS!C318)</f>
        <v>15</v>
      </c>
      <c r="F318" s="9">
        <f>IF(DADOS!E318="","",DADOS!E318)</f>
        <v>58</v>
      </c>
      <c r="G318" s="9">
        <f>IF(DADOS!F318="","",DADOS!F318)</f>
        <v>10</v>
      </c>
      <c r="K318" s="6">
        <f t="shared" si="25"/>
        <v>18.461973398659861</v>
      </c>
      <c r="L318" s="7">
        <f t="shared" si="26"/>
        <v>2.6769861428056801E-2</v>
      </c>
      <c r="M318" s="7">
        <f t="shared" si="23"/>
        <v>0.26769861428056801</v>
      </c>
      <c r="N318" s="7">
        <f t="shared" si="27"/>
        <v>0.21415889142445443</v>
      </c>
      <c r="O318" s="8"/>
      <c r="P318" s="26"/>
      <c r="S318" s="10" t="str">
        <f t="shared" si="24"/>
        <v/>
      </c>
    </row>
    <row r="319" spans="5:19" x14ac:dyDescent="0.3">
      <c r="E319" s="9">
        <f>IF(DADOS!C319="","",DADOS!C319)</f>
        <v>15</v>
      </c>
      <c r="F319" s="9">
        <f>IF(DADOS!E319="","",DADOS!E319)</f>
        <v>62.2</v>
      </c>
      <c r="G319" s="9">
        <f>IF(DADOS!F319="","",DADOS!F319)</f>
        <v>10</v>
      </c>
      <c r="K319" s="6">
        <f t="shared" si="25"/>
        <v>19.798874920631782</v>
      </c>
      <c r="L319" s="7">
        <f t="shared" si="26"/>
        <v>3.0787250501582424E-2</v>
      </c>
      <c r="M319" s="7">
        <f t="shared" si="23"/>
        <v>0.30787250501582425</v>
      </c>
      <c r="N319" s="7">
        <f t="shared" si="27"/>
        <v>0.24629800401265942</v>
      </c>
      <c r="O319" s="8"/>
      <c r="P319" s="26"/>
      <c r="S319" s="10" t="str">
        <f t="shared" si="24"/>
        <v/>
      </c>
    </row>
    <row r="320" spans="5:19" x14ac:dyDescent="0.3">
      <c r="E320" s="9">
        <f>IF(DADOS!C320="","",DADOS!C320)</f>
        <v>15</v>
      </c>
      <c r="F320" s="9">
        <f>IF(DADOS!E320="","",DADOS!E320)</f>
        <v>118.8</v>
      </c>
      <c r="G320" s="9">
        <f>IF(DADOS!F320="","",DADOS!F320)</f>
        <v>10</v>
      </c>
      <c r="K320" s="6">
        <f t="shared" si="25"/>
        <v>37.815214478634331</v>
      </c>
      <c r="L320" s="7">
        <f t="shared" si="26"/>
        <v>0.11231118700154395</v>
      </c>
      <c r="M320" s="7">
        <f t="shared" si="23"/>
        <v>1.1231118700154394</v>
      </c>
      <c r="N320" s="7">
        <f t="shared" si="27"/>
        <v>0.89848949601235162</v>
      </c>
      <c r="O320" s="8"/>
      <c r="P320" s="26"/>
      <c r="S320" s="10" t="str">
        <f t="shared" si="24"/>
        <v/>
      </c>
    </row>
    <row r="321" spans="5:19" x14ac:dyDescent="0.3">
      <c r="E321" s="9">
        <f>IF(DADOS!C321="","",DADOS!C321)</f>
        <v>15</v>
      </c>
      <c r="F321" s="9">
        <f>IF(DADOS!E321="","",DADOS!E321)</f>
        <v>71</v>
      </c>
      <c r="G321" s="9">
        <f>IF(DADOS!F321="","",DADOS!F321)</f>
        <v>8</v>
      </c>
      <c r="K321" s="6">
        <f t="shared" si="25"/>
        <v>22.600001919049138</v>
      </c>
      <c r="L321" s="7">
        <f t="shared" si="26"/>
        <v>4.0115003406312216E-2</v>
      </c>
      <c r="M321" s="7">
        <f t="shared" si="23"/>
        <v>0.32092002725049773</v>
      </c>
      <c r="N321" s="7">
        <f t="shared" si="27"/>
        <v>0.25673602180039817</v>
      </c>
      <c r="O321" s="8"/>
      <c r="P321" s="26"/>
      <c r="S321" s="10" t="str">
        <f t="shared" si="24"/>
        <v/>
      </c>
    </row>
    <row r="322" spans="5:19" x14ac:dyDescent="0.3">
      <c r="E322" s="9">
        <f>IF(DADOS!C322="","",DADOS!C322)</f>
        <v>15</v>
      </c>
      <c r="F322" s="9">
        <f>IF(DADOS!E322="","",DADOS!E322)</f>
        <v>55.3</v>
      </c>
      <c r="G322" s="9">
        <f>IF(DADOS!F322="","",DADOS!F322)</f>
        <v>8</v>
      </c>
      <c r="K322" s="6">
        <f t="shared" si="25"/>
        <v>17.602536705963622</v>
      </c>
      <c r="L322" s="7">
        <f t="shared" si="26"/>
        <v>2.4335506995994703E-2</v>
      </c>
      <c r="M322" s="7">
        <f t="shared" si="23"/>
        <v>0.19468405596795763</v>
      </c>
      <c r="N322" s="7">
        <f t="shared" si="27"/>
        <v>0.15574724477436611</v>
      </c>
      <c r="O322" s="8"/>
      <c r="P322" s="26"/>
      <c r="S322" s="10" t="str">
        <f t="shared" si="24"/>
        <v/>
      </c>
    </row>
    <row r="323" spans="5:19" x14ac:dyDescent="0.3">
      <c r="E323" s="9">
        <f>IF(DADOS!C323="","",DADOS!C323)</f>
        <v>16</v>
      </c>
      <c r="F323" s="9">
        <f>IF(DADOS!E323="","",DADOS!E323)</f>
        <v>84.5</v>
      </c>
      <c r="G323" s="9">
        <f>IF(DADOS!F323="","",DADOS!F323)</f>
        <v>11</v>
      </c>
      <c r="K323" s="6">
        <f t="shared" si="25"/>
        <v>26.897185382530314</v>
      </c>
      <c r="L323" s="7">
        <f t="shared" si="26"/>
        <v>5.6820304120595293E-2</v>
      </c>
      <c r="M323" s="7">
        <f t="shared" ref="M323:M386" si="28">IF(L323="","",L323*G323)</f>
        <v>0.62502334532654824</v>
      </c>
      <c r="N323" s="7">
        <f t="shared" si="27"/>
        <v>0.50001867626123864</v>
      </c>
      <c r="O323" s="8"/>
      <c r="P323" s="26"/>
      <c r="S323" s="10" t="str">
        <f t="shared" ref="S323:S386" si="29">IF(R323="","",SUMIFS($N$3:$N$10000,$E$3:$E$10000,R323))</f>
        <v/>
      </c>
    </row>
    <row r="324" spans="5:19" x14ac:dyDescent="0.3">
      <c r="E324" s="9">
        <f>IF(DADOS!C324="","",DADOS!C324)</f>
        <v>16</v>
      </c>
      <c r="F324" s="9">
        <f>IF(DADOS!E324="","",DADOS!E324)</f>
        <v>186</v>
      </c>
      <c r="G324" s="9">
        <f>IF(DADOS!F324="","",DADOS!F324)</f>
        <v>14</v>
      </c>
      <c r="K324" s="6">
        <f t="shared" ref="K324:K387" si="30">IF(F324="","",F324/PI())</f>
        <v>59.205638830185066</v>
      </c>
      <c r="L324" s="7">
        <f t="shared" ref="L324:L387" si="31">IF(K324="","",(PI()*K324^2)/40000)</f>
        <v>0.27530622056036053</v>
      </c>
      <c r="M324" s="7">
        <f t="shared" si="28"/>
        <v>3.8542870878450475</v>
      </c>
      <c r="N324" s="7">
        <f t="shared" ref="N324:N387" si="32">IF(M324="","",M324*N$1)</f>
        <v>3.083429670276038</v>
      </c>
      <c r="O324" s="8"/>
      <c r="P324" s="26"/>
      <c r="S324" s="10" t="str">
        <f t="shared" si="29"/>
        <v/>
      </c>
    </row>
    <row r="325" spans="5:19" x14ac:dyDescent="0.3">
      <c r="E325" s="9">
        <f>IF(DADOS!C325="","",DADOS!C325)</f>
        <v>16</v>
      </c>
      <c r="F325" s="9">
        <f>IF(DADOS!E325="","",DADOS!E325)</f>
        <v>43</v>
      </c>
      <c r="G325" s="9">
        <f>IF(DADOS!F325="","",DADOS!F325)</f>
        <v>13</v>
      </c>
      <c r="K325" s="6">
        <f t="shared" si="30"/>
        <v>13.687325105903</v>
      </c>
      <c r="L325" s="7">
        <f t="shared" si="31"/>
        <v>1.4713874488845724E-2</v>
      </c>
      <c r="M325" s="7">
        <f t="shared" si="28"/>
        <v>0.19128036835499443</v>
      </c>
      <c r="N325" s="7">
        <f t="shared" si="32"/>
        <v>0.15302429468399556</v>
      </c>
      <c r="O325" s="8"/>
      <c r="P325" s="26"/>
      <c r="S325" s="10" t="str">
        <f t="shared" si="29"/>
        <v/>
      </c>
    </row>
    <row r="326" spans="5:19" x14ac:dyDescent="0.3">
      <c r="E326" s="9">
        <f>IF(DADOS!C326="","",DADOS!C326)</f>
        <v>16</v>
      </c>
      <c r="F326" s="9">
        <f>IF(DADOS!E326="","",DADOS!E326)</f>
        <v>20.3</v>
      </c>
      <c r="G326" s="9">
        <f>IF(DADOS!F326="","",DADOS!F326)</f>
        <v>7</v>
      </c>
      <c r="K326" s="6">
        <f t="shared" si="30"/>
        <v>6.4616906895309514</v>
      </c>
      <c r="L326" s="7">
        <f t="shared" si="31"/>
        <v>3.2793080249369582E-3</v>
      </c>
      <c r="M326" s="7">
        <f t="shared" si="28"/>
        <v>2.2955156174558709E-2</v>
      </c>
      <c r="N326" s="7">
        <f t="shared" si="32"/>
        <v>1.8364124939646967E-2</v>
      </c>
      <c r="O326" s="8"/>
      <c r="P326" s="26"/>
      <c r="S326" s="10" t="str">
        <f t="shared" si="29"/>
        <v/>
      </c>
    </row>
    <row r="327" spans="5:19" x14ac:dyDescent="0.3">
      <c r="E327" s="9">
        <f>IF(DADOS!C327="","",DADOS!C327)</f>
        <v>16</v>
      </c>
      <c r="F327" s="9">
        <f>IF(DADOS!E327="","",DADOS!E327)</f>
        <v>54</v>
      </c>
      <c r="G327" s="9">
        <f>IF(DADOS!F327="","",DADOS!F327)</f>
        <v>7</v>
      </c>
      <c r="K327" s="6">
        <f t="shared" si="30"/>
        <v>17.188733853924695</v>
      </c>
      <c r="L327" s="7">
        <f t="shared" si="31"/>
        <v>2.3204790702798336E-2</v>
      </c>
      <c r="M327" s="7">
        <f t="shared" si="28"/>
        <v>0.16243353491958834</v>
      </c>
      <c r="N327" s="7">
        <f t="shared" si="32"/>
        <v>0.12994682793567067</v>
      </c>
      <c r="O327" s="8"/>
      <c r="P327" s="26"/>
      <c r="S327" s="10" t="str">
        <f t="shared" si="29"/>
        <v/>
      </c>
    </row>
    <row r="328" spans="5:19" x14ac:dyDescent="0.3">
      <c r="E328" s="9">
        <f>IF(DADOS!C328="","",DADOS!C328)</f>
        <v>16</v>
      </c>
      <c r="F328" s="9">
        <f>IF(DADOS!E328="","",DADOS!E328)</f>
        <v>63</v>
      </c>
      <c r="G328" s="9">
        <f>IF(DADOS!F328="","",DADOS!F328)</f>
        <v>7</v>
      </c>
      <c r="K328" s="6">
        <f t="shared" si="30"/>
        <v>20.053522829578814</v>
      </c>
      <c r="L328" s="7">
        <f t="shared" si="31"/>
        <v>3.1584298456586633E-2</v>
      </c>
      <c r="M328" s="7">
        <f t="shared" si="28"/>
        <v>0.22109008919610643</v>
      </c>
      <c r="N328" s="7">
        <f t="shared" si="32"/>
        <v>0.17687207135688515</v>
      </c>
      <c r="O328" s="8"/>
      <c r="P328" s="26"/>
      <c r="S328" s="10" t="str">
        <f t="shared" si="29"/>
        <v/>
      </c>
    </row>
    <row r="329" spans="5:19" x14ac:dyDescent="0.3">
      <c r="E329" s="9">
        <f>IF(DADOS!C329="","",DADOS!C329)</f>
        <v>16</v>
      </c>
      <c r="F329" s="9">
        <f>IF(DADOS!E329="","",DADOS!E329)</f>
        <v>21.2</v>
      </c>
      <c r="G329" s="9">
        <f>IF(DADOS!F329="","",DADOS!F329)</f>
        <v>7</v>
      </c>
      <c r="K329" s="6">
        <f t="shared" si="30"/>
        <v>6.7481695870963625</v>
      </c>
      <c r="L329" s="7">
        <f t="shared" si="31"/>
        <v>3.5765298811610718E-3</v>
      </c>
      <c r="M329" s="7">
        <f t="shared" si="28"/>
        <v>2.5035709168127501E-2</v>
      </c>
      <c r="N329" s="7">
        <f t="shared" si="32"/>
        <v>2.0028567334502003E-2</v>
      </c>
      <c r="O329" s="8"/>
      <c r="P329" s="26"/>
      <c r="S329" s="10" t="str">
        <f t="shared" si="29"/>
        <v/>
      </c>
    </row>
    <row r="330" spans="5:19" x14ac:dyDescent="0.3">
      <c r="E330" s="9">
        <f>IF(DADOS!C330="","",DADOS!C330)</f>
        <v>16</v>
      </c>
      <c r="F330" s="9">
        <f>IF(DADOS!E330="","",DADOS!E330)</f>
        <v>30.2</v>
      </c>
      <c r="G330" s="9">
        <f>IF(DADOS!F330="","",DADOS!F330)</f>
        <v>7</v>
      </c>
      <c r="K330" s="6">
        <f t="shared" si="30"/>
        <v>9.6129585627504781</v>
      </c>
      <c r="L330" s="7">
        <f t="shared" si="31"/>
        <v>7.2577837148766105E-3</v>
      </c>
      <c r="M330" s="7">
        <f t="shared" si="28"/>
        <v>5.0804486004136271E-2</v>
      </c>
      <c r="N330" s="7">
        <f t="shared" si="32"/>
        <v>4.0643588803309018E-2</v>
      </c>
      <c r="O330" s="8"/>
      <c r="P330" s="26"/>
      <c r="S330" s="10" t="str">
        <f t="shared" si="29"/>
        <v/>
      </c>
    </row>
    <row r="331" spans="5:19" x14ac:dyDescent="0.3">
      <c r="E331" s="9">
        <f>IF(DADOS!C331="","",DADOS!C331)</f>
        <v>16</v>
      </c>
      <c r="F331" s="9">
        <f>IF(DADOS!E331="","",DADOS!E331)</f>
        <v>52.2</v>
      </c>
      <c r="G331" s="9">
        <f>IF(DADOS!F331="","",DADOS!F331)</f>
        <v>7</v>
      </c>
      <c r="K331" s="6">
        <f t="shared" si="30"/>
        <v>16.615776058793873</v>
      </c>
      <c r="L331" s="7">
        <f t="shared" si="31"/>
        <v>2.1683587756726005E-2</v>
      </c>
      <c r="M331" s="7">
        <f t="shared" si="28"/>
        <v>0.15178511429708202</v>
      </c>
      <c r="N331" s="7">
        <f t="shared" si="32"/>
        <v>0.12142809143766563</v>
      </c>
      <c r="O331" s="8"/>
      <c r="P331" s="26"/>
      <c r="S331" s="10" t="str">
        <f t="shared" si="29"/>
        <v/>
      </c>
    </row>
    <row r="332" spans="5:19" x14ac:dyDescent="0.3">
      <c r="E332" s="9">
        <f>IF(DADOS!C332="","",DADOS!C332)</f>
        <v>16</v>
      </c>
      <c r="F332" s="9">
        <f>IF(DADOS!E332="","",DADOS!E332)</f>
        <v>31.5</v>
      </c>
      <c r="G332" s="9">
        <f>IF(DADOS!F332="","",DADOS!F332)</f>
        <v>7</v>
      </c>
      <c r="K332" s="6">
        <f t="shared" si="30"/>
        <v>10.026761414789407</v>
      </c>
      <c r="L332" s="7">
        <f t="shared" si="31"/>
        <v>7.8960746141466583E-3</v>
      </c>
      <c r="M332" s="7">
        <f t="shared" si="28"/>
        <v>5.5272522299026607E-2</v>
      </c>
      <c r="N332" s="7">
        <f t="shared" si="32"/>
        <v>4.4218017839221288E-2</v>
      </c>
      <c r="O332" s="8"/>
      <c r="P332" s="26"/>
      <c r="S332" s="10" t="str">
        <f t="shared" si="29"/>
        <v/>
      </c>
    </row>
    <row r="333" spans="5:19" x14ac:dyDescent="0.3">
      <c r="E333" s="9">
        <f>IF(DADOS!C333="","",DADOS!C333)</f>
        <v>16</v>
      </c>
      <c r="F333" s="9">
        <f>IF(DADOS!E333="","",DADOS!E333)</f>
        <v>16.2</v>
      </c>
      <c r="G333" s="9">
        <f>IF(DADOS!F333="","",DADOS!F333)</f>
        <v>2</v>
      </c>
      <c r="K333" s="6">
        <f t="shared" si="30"/>
        <v>5.156620156177409</v>
      </c>
      <c r="L333" s="7">
        <f t="shared" si="31"/>
        <v>2.0884311632518508E-3</v>
      </c>
      <c r="M333" s="7">
        <f t="shared" si="28"/>
        <v>4.1768623265037016E-3</v>
      </c>
      <c r="N333" s="7">
        <f t="shared" si="32"/>
        <v>3.3414898612029614E-3</v>
      </c>
      <c r="O333" s="8"/>
      <c r="P333" s="26"/>
      <c r="S333" s="10" t="str">
        <f t="shared" si="29"/>
        <v/>
      </c>
    </row>
    <row r="334" spans="5:19" x14ac:dyDescent="0.3">
      <c r="E334" s="9">
        <f>IF(DADOS!C334="","",DADOS!C334)</f>
        <v>16</v>
      </c>
      <c r="F334" s="9">
        <f>IF(DADOS!E334="","",DADOS!E334)</f>
        <v>17</v>
      </c>
      <c r="G334" s="9">
        <f>IF(DADOS!F334="","",DADOS!F334)</f>
        <v>4</v>
      </c>
      <c r="K334" s="6">
        <f t="shared" si="30"/>
        <v>5.4112680651244416</v>
      </c>
      <c r="L334" s="7">
        <f t="shared" si="31"/>
        <v>2.2997889276778873E-3</v>
      </c>
      <c r="M334" s="7">
        <f t="shared" si="28"/>
        <v>9.1991557107115492E-3</v>
      </c>
      <c r="N334" s="7">
        <f t="shared" si="32"/>
        <v>7.3593245685692399E-3</v>
      </c>
      <c r="O334" s="8"/>
      <c r="P334" s="26"/>
      <c r="S334" s="10" t="str">
        <f t="shared" si="29"/>
        <v/>
      </c>
    </row>
    <row r="335" spans="5:19" x14ac:dyDescent="0.3">
      <c r="E335" s="9">
        <f>IF(DADOS!C335="","",DADOS!C335)</f>
        <v>16</v>
      </c>
      <c r="F335" s="9">
        <f>IF(DADOS!E335="","",DADOS!E335)</f>
        <v>34</v>
      </c>
      <c r="G335" s="9">
        <f>IF(DADOS!F335="","",DADOS!F335)</f>
        <v>4</v>
      </c>
      <c r="K335" s="6">
        <f t="shared" si="30"/>
        <v>10.822536130248883</v>
      </c>
      <c r="L335" s="7">
        <f t="shared" si="31"/>
        <v>9.1991557107115492E-3</v>
      </c>
      <c r="M335" s="7">
        <f t="shared" si="28"/>
        <v>3.6796622842846197E-2</v>
      </c>
      <c r="N335" s="7">
        <f t="shared" si="32"/>
        <v>2.9437298274276959E-2</v>
      </c>
      <c r="O335" s="8"/>
      <c r="P335" s="26"/>
      <c r="S335" s="10" t="str">
        <f t="shared" si="29"/>
        <v/>
      </c>
    </row>
    <row r="336" spans="5:19" x14ac:dyDescent="0.3">
      <c r="E336" s="9">
        <f>IF(DADOS!C336="","",DADOS!C336)</f>
        <v>16</v>
      </c>
      <c r="F336" s="9">
        <f>IF(DADOS!E336="","",DADOS!E336)</f>
        <v>42.5</v>
      </c>
      <c r="G336" s="9">
        <f>IF(DADOS!F336="","",DADOS!F336)</f>
        <v>5.5</v>
      </c>
      <c r="K336" s="6">
        <f t="shared" si="30"/>
        <v>13.528170162811104</v>
      </c>
      <c r="L336" s="7">
        <f t="shared" si="31"/>
        <v>1.43736807979868E-2</v>
      </c>
      <c r="M336" s="7">
        <f t="shared" si="28"/>
        <v>7.9055244388927401E-2</v>
      </c>
      <c r="N336" s="7">
        <f t="shared" si="32"/>
        <v>6.3244195511141924E-2</v>
      </c>
      <c r="O336" s="8"/>
      <c r="P336" s="26"/>
      <c r="S336" s="10" t="str">
        <f t="shared" si="29"/>
        <v/>
      </c>
    </row>
    <row r="337" spans="5:19" x14ac:dyDescent="0.3">
      <c r="E337" s="9">
        <f>IF(DADOS!C337="","",DADOS!C337)</f>
        <v>16</v>
      </c>
      <c r="F337" s="9">
        <f>IF(DADOS!E337="","",DADOS!E337)</f>
        <v>66.3</v>
      </c>
      <c r="G337" s="9">
        <f>IF(DADOS!F337="","",DADOS!F337)</f>
        <v>8.5</v>
      </c>
      <c r="K337" s="6">
        <f t="shared" si="30"/>
        <v>21.103945453985322</v>
      </c>
      <c r="L337" s="7">
        <f t="shared" si="31"/>
        <v>3.4979789589980666E-2</v>
      </c>
      <c r="M337" s="7">
        <f t="shared" si="28"/>
        <v>0.29732821151483568</v>
      </c>
      <c r="N337" s="7">
        <f t="shared" si="32"/>
        <v>0.23786256921186855</v>
      </c>
      <c r="O337" s="8"/>
      <c r="P337" s="26"/>
      <c r="S337" s="10" t="str">
        <f t="shared" si="29"/>
        <v/>
      </c>
    </row>
    <row r="338" spans="5:19" x14ac:dyDescent="0.3">
      <c r="E338" s="9">
        <f>IF(DADOS!C338="","",DADOS!C338)</f>
        <v>16</v>
      </c>
      <c r="F338" s="9">
        <f>IF(DADOS!E338="","",DADOS!E338)</f>
        <v>86.8</v>
      </c>
      <c r="G338" s="9">
        <f>IF(DADOS!F338="","",DADOS!F338)</f>
        <v>9</v>
      </c>
      <c r="K338" s="6">
        <f t="shared" si="30"/>
        <v>27.629298120753031</v>
      </c>
      <c r="L338" s="7">
        <f t="shared" si="31"/>
        <v>5.9955576922034085E-2</v>
      </c>
      <c r="M338" s="7">
        <f t="shared" si="28"/>
        <v>0.5396001922983068</v>
      </c>
      <c r="N338" s="7">
        <f t="shared" si="32"/>
        <v>0.43168015383864544</v>
      </c>
      <c r="O338" s="8"/>
      <c r="P338" s="26"/>
      <c r="S338" s="10" t="str">
        <f t="shared" si="29"/>
        <v/>
      </c>
    </row>
    <row r="339" spans="5:19" x14ac:dyDescent="0.3">
      <c r="E339" s="9">
        <f>IF(DADOS!C339="","",DADOS!C339)</f>
        <v>16</v>
      </c>
      <c r="F339" s="9">
        <f>IF(DADOS!E339="","",DADOS!E339)</f>
        <v>86.3</v>
      </c>
      <c r="G339" s="9">
        <f>IF(DADOS!F339="","",DADOS!F339)</f>
        <v>10</v>
      </c>
      <c r="K339" s="6">
        <f t="shared" si="30"/>
        <v>27.470143177661136</v>
      </c>
      <c r="L339" s="7">
        <f t="shared" si="31"/>
        <v>5.9266833905803902E-2</v>
      </c>
      <c r="M339" s="7">
        <f t="shared" si="28"/>
        <v>0.59266833905803906</v>
      </c>
      <c r="N339" s="7">
        <f t="shared" si="32"/>
        <v>0.47413467124643127</v>
      </c>
      <c r="O339" s="8"/>
      <c r="P339" s="26"/>
      <c r="S339" s="10" t="str">
        <f t="shared" si="29"/>
        <v/>
      </c>
    </row>
    <row r="340" spans="5:19" x14ac:dyDescent="0.3">
      <c r="E340" s="9">
        <f>IF(DADOS!C340="","",DADOS!C340)</f>
        <v>16</v>
      </c>
      <c r="F340" s="9">
        <f>IF(DADOS!E340="","",DADOS!E340)</f>
        <v>85</v>
      </c>
      <c r="G340" s="9">
        <f>IF(DADOS!F340="","",DADOS!F340)</f>
        <v>10</v>
      </c>
      <c r="K340" s="6">
        <f t="shared" si="30"/>
        <v>27.056340325622209</v>
      </c>
      <c r="L340" s="7">
        <f t="shared" si="31"/>
        <v>5.7494723191947199E-2</v>
      </c>
      <c r="M340" s="7">
        <f t="shared" si="28"/>
        <v>0.57494723191947195</v>
      </c>
      <c r="N340" s="7">
        <f t="shared" si="32"/>
        <v>0.45995778553557759</v>
      </c>
      <c r="O340" s="8"/>
      <c r="P340" s="26"/>
      <c r="S340" s="10" t="str">
        <f t="shared" si="29"/>
        <v/>
      </c>
    </row>
    <row r="341" spans="5:19" x14ac:dyDescent="0.3">
      <c r="E341" s="9">
        <f>IF(DADOS!C341="","",DADOS!C341)</f>
        <v>16</v>
      </c>
      <c r="F341" s="9">
        <f>IF(DADOS!E341="","",DADOS!E341)</f>
        <v>37.6</v>
      </c>
      <c r="G341" s="9">
        <f>IF(DADOS!F341="","",DADOS!F341)</f>
        <v>10</v>
      </c>
      <c r="K341" s="6">
        <f t="shared" si="30"/>
        <v>11.968451720510529</v>
      </c>
      <c r="L341" s="7">
        <f t="shared" si="31"/>
        <v>1.1250344617279898E-2</v>
      </c>
      <c r="M341" s="7">
        <f t="shared" si="28"/>
        <v>0.11250344617279898</v>
      </c>
      <c r="N341" s="7">
        <f t="shared" si="32"/>
        <v>9.0002756938239184E-2</v>
      </c>
      <c r="O341" s="8"/>
      <c r="P341" s="26"/>
      <c r="S341" s="10" t="str">
        <f t="shared" si="29"/>
        <v/>
      </c>
    </row>
    <row r="342" spans="5:19" x14ac:dyDescent="0.3">
      <c r="E342" s="9">
        <f>IF(DADOS!C342="","",DADOS!C342)</f>
        <v>16</v>
      </c>
      <c r="F342" s="9">
        <f>IF(DADOS!E342="","",DADOS!E342)</f>
        <v>42</v>
      </c>
      <c r="G342" s="9">
        <f>IF(DADOS!F342="","",DADOS!F342)</f>
        <v>8</v>
      </c>
      <c r="K342" s="6">
        <f t="shared" si="30"/>
        <v>13.369015219719209</v>
      </c>
      <c r="L342" s="7">
        <f t="shared" si="31"/>
        <v>1.4037465980705171E-2</v>
      </c>
      <c r="M342" s="7">
        <f t="shared" si="28"/>
        <v>0.11229972784564136</v>
      </c>
      <c r="N342" s="7">
        <f t="shared" si="32"/>
        <v>8.9839782276513097E-2</v>
      </c>
      <c r="O342" s="8"/>
      <c r="P342" s="26"/>
      <c r="S342" s="10" t="str">
        <f t="shared" si="29"/>
        <v/>
      </c>
    </row>
    <row r="343" spans="5:19" x14ac:dyDescent="0.3">
      <c r="E343" s="9">
        <f>IF(DADOS!C343="","",DADOS!C343)</f>
        <v>16</v>
      </c>
      <c r="F343" s="9">
        <f>IF(DADOS!E343="","",DADOS!E343)</f>
        <v>108.5</v>
      </c>
      <c r="G343" s="9">
        <f>IF(DADOS!F343="","",DADOS!F343)</f>
        <v>8</v>
      </c>
      <c r="K343" s="6">
        <f t="shared" si="30"/>
        <v>34.53662265094129</v>
      </c>
      <c r="L343" s="7">
        <f t="shared" si="31"/>
        <v>9.3680588940678253E-2</v>
      </c>
      <c r="M343" s="7">
        <f t="shared" si="28"/>
        <v>0.74944471152542602</v>
      </c>
      <c r="N343" s="7">
        <f t="shared" si="32"/>
        <v>0.59955576922034082</v>
      </c>
      <c r="O343" s="8"/>
      <c r="P343" s="26"/>
      <c r="S343" s="10" t="str">
        <f t="shared" si="29"/>
        <v/>
      </c>
    </row>
    <row r="344" spans="5:19" x14ac:dyDescent="0.3">
      <c r="E344" s="9">
        <f>IF(DADOS!C344="","",DADOS!C344)</f>
        <v>16</v>
      </c>
      <c r="F344" s="9">
        <f>IF(DADOS!E344="","",DADOS!E344)</f>
        <v>113.3</v>
      </c>
      <c r="G344" s="9">
        <f>IF(DADOS!F344="","",DADOS!F344)</f>
        <v>10</v>
      </c>
      <c r="K344" s="6">
        <f t="shared" si="30"/>
        <v>36.064510104623487</v>
      </c>
      <c r="L344" s="7">
        <f t="shared" si="31"/>
        <v>0.10215272487134604</v>
      </c>
      <c r="M344" s="7">
        <f t="shared" si="28"/>
        <v>1.0215272487134603</v>
      </c>
      <c r="N344" s="7">
        <f t="shared" si="32"/>
        <v>0.8172217989707683</v>
      </c>
      <c r="O344" s="8"/>
      <c r="P344" s="26"/>
      <c r="S344" s="10" t="str">
        <f t="shared" si="29"/>
        <v/>
      </c>
    </row>
    <row r="345" spans="5:19" x14ac:dyDescent="0.3">
      <c r="E345" s="9">
        <f>IF(DADOS!C345="","",DADOS!C345)</f>
        <v>16</v>
      </c>
      <c r="F345" s="9">
        <f>IF(DADOS!E345="","",DADOS!E345)</f>
        <v>52.6</v>
      </c>
      <c r="G345" s="9">
        <f>IF(DADOS!F345="","",DADOS!F345)</f>
        <v>9</v>
      </c>
      <c r="K345" s="6">
        <f t="shared" si="30"/>
        <v>16.743100013267391</v>
      </c>
      <c r="L345" s="7">
        <f t="shared" si="31"/>
        <v>2.2017176517446623E-2</v>
      </c>
      <c r="M345" s="7">
        <f t="shared" si="28"/>
        <v>0.1981545886570196</v>
      </c>
      <c r="N345" s="7">
        <f t="shared" si="32"/>
        <v>0.1585236709256157</v>
      </c>
      <c r="O345" s="8"/>
      <c r="P345" s="26"/>
      <c r="S345" s="10" t="str">
        <f t="shared" si="29"/>
        <v/>
      </c>
    </row>
    <row r="346" spans="5:19" x14ac:dyDescent="0.3">
      <c r="E346" s="9">
        <f>IF(DADOS!C346="","",DADOS!C346)</f>
        <v>16</v>
      </c>
      <c r="F346" s="9">
        <f>IF(DADOS!E346="","",DADOS!E346)</f>
        <v>50.5</v>
      </c>
      <c r="G346" s="9">
        <f>IF(DADOS!F346="","",DADOS!F346)</f>
        <v>9</v>
      </c>
      <c r="K346" s="6">
        <f t="shared" si="30"/>
        <v>16.074649252281429</v>
      </c>
      <c r="L346" s="7">
        <f t="shared" si="31"/>
        <v>2.02942446810053E-2</v>
      </c>
      <c r="M346" s="7">
        <f t="shared" si="28"/>
        <v>0.1826482021290477</v>
      </c>
      <c r="N346" s="7">
        <f t="shared" si="32"/>
        <v>0.14611856170323817</v>
      </c>
      <c r="O346" s="8"/>
      <c r="P346" s="26"/>
      <c r="S346" s="10" t="str">
        <f t="shared" si="29"/>
        <v/>
      </c>
    </row>
    <row r="347" spans="5:19" x14ac:dyDescent="0.3">
      <c r="E347" s="9">
        <f>IF(DADOS!C347="","",DADOS!C347)</f>
        <v>17</v>
      </c>
      <c r="F347" s="9">
        <f>IF(DADOS!E347="","",DADOS!E347)</f>
        <v>104.3</v>
      </c>
      <c r="G347" s="9">
        <f>IF(DADOS!F347="","",DADOS!F347)</f>
        <v>11</v>
      </c>
      <c r="K347" s="6">
        <f t="shared" si="30"/>
        <v>33.199721128969365</v>
      </c>
      <c r="L347" s="7">
        <f t="shared" si="31"/>
        <v>8.6568272843787625E-2</v>
      </c>
      <c r="M347" s="7">
        <f t="shared" si="28"/>
        <v>0.95225100128166384</v>
      </c>
      <c r="N347" s="7">
        <f t="shared" si="32"/>
        <v>0.7618008010253311</v>
      </c>
      <c r="O347" s="8"/>
      <c r="P347" s="26"/>
      <c r="S347" s="10" t="str">
        <f t="shared" si="29"/>
        <v/>
      </c>
    </row>
    <row r="348" spans="5:19" x14ac:dyDescent="0.3">
      <c r="E348" s="9">
        <f>IF(DADOS!C348="","",DADOS!C348)</f>
        <v>17</v>
      </c>
      <c r="F348" s="9">
        <f>IF(DADOS!E348="","",DADOS!E348)</f>
        <v>80.5</v>
      </c>
      <c r="G348" s="9">
        <f>IF(DADOS!F348="","",DADOS!F348)</f>
        <v>11</v>
      </c>
      <c r="K348" s="6">
        <f t="shared" si="30"/>
        <v>25.623945837795151</v>
      </c>
      <c r="L348" s="7">
        <f t="shared" si="31"/>
        <v>5.1568190998562739E-2</v>
      </c>
      <c r="M348" s="7">
        <f t="shared" si="28"/>
        <v>0.56725010098419015</v>
      </c>
      <c r="N348" s="7">
        <f t="shared" si="32"/>
        <v>0.45380008078735212</v>
      </c>
      <c r="O348" s="8"/>
      <c r="P348" s="26"/>
      <c r="S348" s="10" t="str">
        <f t="shared" si="29"/>
        <v/>
      </c>
    </row>
    <row r="349" spans="5:19" x14ac:dyDescent="0.3">
      <c r="E349" s="9">
        <f>IF(DADOS!C349="","",DADOS!C349)</f>
        <v>17</v>
      </c>
      <c r="F349" s="9">
        <f>IF(DADOS!E349="","",DADOS!E349)</f>
        <v>99.6</v>
      </c>
      <c r="G349" s="9">
        <f>IF(DADOS!F349="","",DADOS!F349)</f>
        <v>11</v>
      </c>
      <c r="K349" s="6">
        <f t="shared" si="30"/>
        <v>31.703664663905549</v>
      </c>
      <c r="L349" s="7">
        <f t="shared" si="31"/>
        <v>7.8942125013124809E-2</v>
      </c>
      <c r="M349" s="7">
        <f t="shared" si="28"/>
        <v>0.8683633751443729</v>
      </c>
      <c r="N349" s="7">
        <f t="shared" si="32"/>
        <v>0.69469070011549838</v>
      </c>
      <c r="O349" s="8"/>
      <c r="P349" s="26"/>
      <c r="S349" s="10" t="str">
        <f t="shared" si="29"/>
        <v/>
      </c>
    </row>
    <row r="350" spans="5:19" x14ac:dyDescent="0.3">
      <c r="E350" s="9">
        <f>IF(DADOS!C350="","",DADOS!C350)</f>
        <v>17</v>
      </c>
      <c r="F350" s="9">
        <f>IF(DADOS!E350="","",DADOS!E350)</f>
        <v>73.5</v>
      </c>
      <c r="G350" s="9">
        <f>IF(DADOS!F350="","",DADOS!F350)</f>
        <v>11</v>
      </c>
      <c r="K350" s="6">
        <f t="shared" si="30"/>
        <v>23.395776634508614</v>
      </c>
      <c r="L350" s="7">
        <f t="shared" si="31"/>
        <v>4.2989739565909575E-2</v>
      </c>
      <c r="M350" s="7">
        <f t="shared" si="28"/>
        <v>0.47288713522500531</v>
      </c>
      <c r="N350" s="7">
        <f t="shared" si="32"/>
        <v>0.37830970818000426</v>
      </c>
      <c r="O350" s="8"/>
      <c r="P350" s="26"/>
      <c r="S350" s="10" t="str">
        <f t="shared" si="29"/>
        <v/>
      </c>
    </row>
    <row r="351" spans="5:19" x14ac:dyDescent="0.3">
      <c r="E351" s="9">
        <f>IF(DADOS!C351="","",DADOS!C351)</f>
        <v>17</v>
      </c>
      <c r="F351" s="9">
        <f>IF(DADOS!E351="","",DADOS!E351)</f>
        <v>91</v>
      </c>
      <c r="G351" s="9">
        <f>IF(DADOS!F351="","",DADOS!F351)</f>
        <v>11</v>
      </c>
      <c r="K351" s="6">
        <f t="shared" si="30"/>
        <v>28.966199642724952</v>
      </c>
      <c r="L351" s="7">
        <f t="shared" si="31"/>
        <v>6.5898104187199255E-2</v>
      </c>
      <c r="M351" s="7">
        <f t="shared" si="28"/>
        <v>0.72487914605919179</v>
      </c>
      <c r="N351" s="7">
        <f t="shared" si="32"/>
        <v>0.57990331684735341</v>
      </c>
      <c r="O351" s="8"/>
      <c r="P351" s="26"/>
      <c r="S351" s="10" t="str">
        <f t="shared" si="29"/>
        <v/>
      </c>
    </row>
    <row r="352" spans="5:19" x14ac:dyDescent="0.3">
      <c r="E352" s="9">
        <f>IF(DADOS!C352="","",DADOS!C352)</f>
        <v>17</v>
      </c>
      <c r="F352" s="9">
        <f>IF(DADOS!E352="","",DADOS!E352)</f>
        <v>171</v>
      </c>
      <c r="G352" s="9">
        <f>IF(DADOS!F352="","",DADOS!F352)</f>
        <v>14</v>
      </c>
      <c r="K352" s="6">
        <f t="shared" si="30"/>
        <v>54.430990537428208</v>
      </c>
      <c r="L352" s="7">
        <f t="shared" si="31"/>
        <v>0.2326924845475056</v>
      </c>
      <c r="M352" s="7">
        <f t="shared" si="28"/>
        <v>3.2576947836650785</v>
      </c>
      <c r="N352" s="7">
        <f t="shared" si="32"/>
        <v>2.606155826932063</v>
      </c>
      <c r="O352" s="8"/>
      <c r="P352" s="26"/>
      <c r="S352" s="10" t="str">
        <f t="shared" si="29"/>
        <v/>
      </c>
    </row>
    <row r="353" spans="5:19" x14ac:dyDescent="0.3">
      <c r="E353" s="9">
        <f>IF(DADOS!C353="","",DADOS!C353)</f>
        <v>17</v>
      </c>
      <c r="F353" s="9">
        <f>IF(DADOS!E353="","",DADOS!E353)</f>
        <v>38</v>
      </c>
      <c r="G353" s="9">
        <f>IF(DADOS!F353="","",DADOS!F353)</f>
        <v>12</v>
      </c>
      <c r="K353" s="6">
        <f t="shared" si="30"/>
        <v>12.095775674984045</v>
      </c>
      <c r="L353" s="7">
        <f t="shared" si="31"/>
        <v>1.1490986891234843E-2</v>
      </c>
      <c r="M353" s="7">
        <f t="shared" si="28"/>
        <v>0.13789184269481811</v>
      </c>
      <c r="N353" s="7">
        <f t="shared" si="32"/>
        <v>0.11031347415585449</v>
      </c>
      <c r="O353" s="8"/>
      <c r="P353" s="26"/>
      <c r="S353" s="10" t="str">
        <f t="shared" si="29"/>
        <v/>
      </c>
    </row>
    <row r="354" spans="5:19" x14ac:dyDescent="0.3">
      <c r="E354" s="9">
        <f>IF(DADOS!C354="","",DADOS!C354)</f>
        <v>17</v>
      </c>
      <c r="F354" s="9">
        <f>IF(DADOS!E354="","",DADOS!E354)</f>
        <v>62.5</v>
      </c>
      <c r="G354" s="9">
        <f>IF(DADOS!F354="","",DADOS!F354)</f>
        <v>7.5</v>
      </c>
      <c r="K354" s="6">
        <f t="shared" si="30"/>
        <v>19.894367886486918</v>
      </c>
      <c r="L354" s="7">
        <f t="shared" si="31"/>
        <v>3.1084949822635811E-2</v>
      </c>
      <c r="M354" s="7">
        <f t="shared" si="28"/>
        <v>0.23313712366976858</v>
      </c>
      <c r="N354" s="7">
        <f t="shared" si="32"/>
        <v>0.18650969893581487</v>
      </c>
      <c r="O354" s="8"/>
      <c r="P354" s="26"/>
      <c r="S354" s="10" t="str">
        <f t="shared" si="29"/>
        <v/>
      </c>
    </row>
    <row r="355" spans="5:19" x14ac:dyDescent="0.3">
      <c r="E355" s="9">
        <f>IF(DADOS!C355="","",DADOS!C355)</f>
        <v>17</v>
      </c>
      <c r="F355" s="9">
        <f>IF(DADOS!E355="","",DADOS!E355)</f>
        <v>44.2</v>
      </c>
      <c r="G355" s="9">
        <f>IF(DADOS!F355="","",DADOS!F355)</f>
        <v>7</v>
      </c>
      <c r="K355" s="6">
        <f t="shared" si="30"/>
        <v>14.069296969323549</v>
      </c>
      <c r="L355" s="7">
        <f t="shared" si="31"/>
        <v>1.554657315110252E-2</v>
      </c>
      <c r="M355" s="7">
        <f t="shared" si="28"/>
        <v>0.10882601205771764</v>
      </c>
      <c r="N355" s="7">
        <f t="shared" si="32"/>
        <v>8.7060809646174117E-2</v>
      </c>
      <c r="O355" s="8"/>
      <c r="P355" s="26"/>
      <c r="S355" s="10" t="str">
        <f t="shared" si="29"/>
        <v/>
      </c>
    </row>
    <row r="356" spans="5:19" x14ac:dyDescent="0.3">
      <c r="E356" s="9">
        <f>IF(DADOS!C356="","",DADOS!C356)</f>
        <v>17</v>
      </c>
      <c r="F356" s="9">
        <f>IF(DADOS!E356="","",DADOS!E356)</f>
        <v>22</v>
      </c>
      <c r="G356" s="9">
        <f>IF(DADOS!F356="","",DADOS!F356)</f>
        <v>7.5</v>
      </c>
      <c r="K356" s="6">
        <f t="shared" si="30"/>
        <v>7.0028174960433951</v>
      </c>
      <c r="L356" s="7">
        <f t="shared" si="31"/>
        <v>3.8515496228238677E-3</v>
      </c>
      <c r="M356" s="7">
        <f t="shared" si="28"/>
        <v>2.8886622171179009E-2</v>
      </c>
      <c r="N356" s="7">
        <f t="shared" si="32"/>
        <v>2.3109297736943209E-2</v>
      </c>
      <c r="O356" s="8"/>
      <c r="P356" s="26"/>
      <c r="S356" s="10" t="str">
        <f t="shared" si="29"/>
        <v/>
      </c>
    </row>
    <row r="357" spans="5:19" x14ac:dyDescent="0.3">
      <c r="E357" s="9">
        <f>IF(DADOS!C357="","",DADOS!C357)</f>
        <v>17</v>
      </c>
      <c r="F357" s="9">
        <f>IF(DADOS!E357="","",DADOS!E357)</f>
        <v>31</v>
      </c>
      <c r="G357" s="9">
        <f>IF(DADOS!F357="","",DADOS!F357)</f>
        <v>6</v>
      </c>
      <c r="K357" s="6">
        <f t="shared" si="30"/>
        <v>9.8676064716975116</v>
      </c>
      <c r="L357" s="7">
        <f t="shared" si="31"/>
        <v>7.6473950155655727E-3</v>
      </c>
      <c r="M357" s="7">
        <f t="shared" si="28"/>
        <v>4.588437009339344E-2</v>
      </c>
      <c r="N357" s="7">
        <f t="shared" si="32"/>
        <v>3.6707496074714754E-2</v>
      </c>
      <c r="O357" s="8"/>
      <c r="P357" s="26"/>
      <c r="S357" s="10" t="str">
        <f t="shared" si="29"/>
        <v/>
      </c>
    </row>
    <row r="358" spans="5:19" x14ac:dyDescent="0.3">
      <c r="E358" s="9">
        <f>IF(DADOS!C358="","",DADOS!C358)</f>
        <v>17</v>
      </c>
      <c r="F358" s="9">
        <f>IF(DADOS!E358="","",DADOS!E358)</f>
        <v>28.5</v>
      </c>
      <c r="G358" s="9">
        <f>IF(DADOS!F358="","",DADOS!F358)</f>
        <v>6</v>
      </c>
      <c r="K358" s="6">
        <f t="shared" si="30"/>
        <v>9.0718317562380353</v>
      </c>
      <c r="L358" s="7">
        <f t="shared" si="31"/>
        <v>6.4636801263196009E-3</v>
      </c>
      <c r="M358" s="7">
        <f t="shared" si="28"/>
        <v>3.8782080757917607E-2</v>
      </c>
      <c r="N358" s="7">
        <f t="shared" si="32"/>
        <v>3.1025664606334089E-2</v>
      </c>
      <c r="O358" s="8"/>
      <c r="P358" s="26"/>
      <c r="S358" s="10" t="str">
        <f t="shared" si="29"/>
        <v/>
      </c>
    </row>
    <row r="359" spans="5:19" x14ac:dyDescent="0.3">
      <c r="E359" s="9">
        <f>IF(DADOS!C359="","",DADOS!C359)</f>
        <v>17</v>
      </c>
      <c r="F359" s="9">
        <f>IF(DADOS!E359="","",DADOS!E359)</f>
        <v>22</v>
      </c>
      <c r="G359" s="9">
        <f>IF(DADOS!F359="","",DADOS!F359)</f>
        <v>6.5</v>
      </c>
      <c r="K359" s="6">
        <f t="shared" si="30"/>
        <v>7.0028174960433951</v>
      </c>
      <c r="L359" s="7">
        <f t="shared" si="31"/>
        <v>3.8515496228238677E-3</v>
      </c>
      <c r="M359" s="7">
        <f t="shared" si="28"/>
        <v>2.5035072548355141E-2</v>
      </c>
      <c r="N359" s="7">
        <f t="shared" si="32"/>
        <v>2.0028058038684113E-2</v>
      </c>
      <c r="O359" s="8"/>
      <c r="P359" s="26"/>
      <c r="S359" s="10" t="str">
        <f t="shared" si="29"/>
        <v/>
      </c>
    </row>
    <row r="360" spans="5:19" x14ac:dyDescent="0.3">
      <c r="E360" s="9">
        <f>IF(DADOS!C360="","",DADOS!C360)</f>
        <v>17</v>
      </c>
      <c r="F360" s="9">
        <f>IF(DADOS!E360="","",DADOS!E360)</f>
        <v>14.4</v>
      </c>
      <c r="G360" s="9">
        <f>IF(DADOS!F360="","",DADOS!F360)</f>
        <v>4</v>
      </c>
      <c r="K360" s="6">
        <f t="shared" si="30"/>
        <v>4.5836623610465859</v>
      </c>
      <c r="L360" s="7">
        <f t="shared" si="31"/>
        <v>1.6501184499767706E-3</v>
      </c>
      <c r="M360" s="7">
        <f t="shared" si="28"/>
        <v>6.6004737999070823E-3</v>
      </c>
      <c r="N360" s="7">
        <f t="shared" si="32"/>
        <v>5.280379039925666E-3</v>
      </c>
      <c r="O360" s="8"/>
      <c r="P360" s="26"/>
      <c r="S360" s="10" t="str">
        <f t="shared" si="29"/>
        <v/>
      </c>
    </row>
    <row r="361" spans="5:19" x14ac:dyDescent="0.3">
      <c r="E361" s="9">
        <f>IF(DADOS!C361="","",DADOS!C361)</f>
        <v>17</v>
      </c>
      <c r="F361" s="9">
        <f>IF(DADOS!E361="","",DADOS!E361)</f>
        <v>34</v>
      </c>
      <c r="G361" s="9">
        <f>IF(DADOS!F361="","",DADOS!F361)</f>
        <v>6</v>
      </c>
      <c r="K361" s="6">
        <f t="shared" si="30"/>
        <v>10.822536130248883</v>
      </c>
      <c r="L361" s="7">
        <f t="shared" si="31"/>
        <v>9.1991557107115492E-3</v>
      </c>
      <c r="M361" s="7">
        <f t="shared" si="28"/>
        <v>5.5194934264269295E-2</v>
      </c>
      <c r="N361" s="7">
        <f t="shared" si="32"/>
        <v>4.4155947411415437E-2</v>
      </c>
      <c r="O361" s="8"/>
      <c r="P361" s="26"/>
      <c r="S361" s="10" t="str">
        <f t="shared" si="29"/>
        <v/>
      </c>
    </row>
    <row r="362" spans="5:19" x14ac:dyDescent="0.3">
      <c r="E362" s="9">
        <f>IF(DADOS!C362="","",DADOS!C362)</f>
        <v>17</v>
      </c>
      <c r="F362" s="9">
        <f>IF(DADOS!E362="","",DADOS!E362)</f>
        <v>37.799999999999997</v>
      </c>
      <c r="G362" s="9">
        <f>IF(DADOS!F362="","",DADOS!F362)</f>
        <v>5</v>
      </c>
      <c r="K362" s="6">
        <f t="shared" si="30"/>
        <v>12.032113697747286</v>
      </c>
      <c r="L362" s="7">
        <f t="shared" si="31"/>
        <v>1.1370347444371183E-2</v>
      </c>
      <c r="M362" s="7">
        <f t="shared" si="28"/>
        <v>5.6851737221855915E-2</v>
      </c>
      <c r="N362" s="7">
        <f t="shared" si="32"/>
        <v>4.5481389777484733E-2</v>
      </c>
      <c r="O362" s="8"/>
      <c r="P362" s="26"/>
      <c r="S362" s="10" t="str">
        <f t="shared" si="29"/>
        <v/>
      </c>
    </row>
    <row r="363" spans="5:19" x14ac:dyDescent="0.3">
      <c r="E363" s="9">
        <f>IF(DADOS!C363="","",DADOS!C363)</f>
        <v>17</v>
      </c>
      <c r="F363" s="9">
        <f>IF(DADOS!E363="","",DADOS!E363)</f>
        <v>23.6</v>
      </c>
      <c r="G363" s="9">
        <f>IF(DADOS!F363="","",DADOS!F363)</f>
        <v>4</v>
      </c>
      <c r="K363" s="6">
        <f t="shared" si="30"/>
        <v>7.5121133139374603</v>
      </c>
      <c r="L363" s="7">
        <f t="shared" si="31"/>
        <v>4.4321468552231012E-3</v>
      </c>
      <c r="M363" s="7">
        <f t="shared" si="28"/>
        <v>1.7728587420892405E-2</v>
      </c>
      <c r="N363" s="7">
        <f t="shared" si="32"/>
        <v>1.4182869936713924E-2</v>
      </c>
      <c r="O363" s="8"/>
      <c r="P363" s="26"/>
      <c r="S363" s="10" t="str">
        <f t="shared" si="29"/>
        <v/>
      </c>
    </row>
    <row r="364" spans="5:19" x14ac:dyDescent="0.3">
      <c r="E364" s="9">
        <f>IF(DADOS!C364="","",DADOS!C364)</f>
        <v>17</v>
      </c>
      <c r="F364" s="9">
        <f>IF(DADOS!E364="","",DADOS!E364)</f>
        <v>18</v>
      </c>
      <c r="G364" s="9">
        <f>IF(DADOS!F364="","",DADOS!F364)</f>
        <v>3.5</v>
      </c>
      <c r="K364" s="6">
        <f t="shared" si="30"/>
        <v>5.7295779513082321</v>
      </c>
      <c r="L364" s="7">
        <f t="shared" si="31"/>
        <v>2.5783100780887042E-3</v>
      </c>
      <c r="M364" s="7">
        <f t="shared" si="28"/>
        <v>9.0240852733104657E-3</v>
      </c>
      <c r="N364" s="7">
        <f t="shared" si="32"/>
        <v>7.2192682186483729E-3</v>
      </c>
      <c r="O364" s="8"/>
      <c r="P364" s="26"/>
      <c r="S364" s="10" t="str">
        <f t="shared" si="29"/>
        <v/>
      </c>
    </row>
    <row r="365" spans="5:19" x14ac:dyDescent="0.3">
      <c r="E365" s="9">
        <f>IF(DADOS!C365="","",DADOS!C365)</f>
        <v>17</v>
      </c>
      <c r="F365" s="9">
        <f>IF(DADOS!E365="","",DADOS!E365)</f>
        <v>17</v>
      </c>
      <c r="G365" s="9">
        <f>IF(DADOS!F365="","",DADOS!F365)</f>
        <v>4</v>
      </c>
      <c r="K365" s="6">
        <f t="shared" si="30"/>
        <v>5.4112680651244416</v>
      </c>
      <c r="L365" s="7">
        <f t="shared" si="31"/>
        <v>2.2997889276778873E-3</v>
      </c>
      <c r="M365" s="7">
        <f t="shared" si="28"/>
        <v>9.1991557107115492E-3</v>
      </c>
      <c r="N365" s="7">
        <f t="shared" si="32"/>
        <v>7.3593245685692399E-3</v>
      </c>
      <c r="O365" s="8"/>
      <c r="P365" s="26"/>
      <c r="S365" s="10" t="str">
        <f t="shared" si="29"/>
        <v/>
      </c>
    </row>
    <row r="366" spans="5:19" x14ac:dyDescent="0.3">
      <c r="E366" s="9">
        <f>IF(DADOS!C366="","",DADOS!C366)</f>
        <v>17</v>
      </c>
      <c r="F366" s="9">
        <f>IF(DADOS!E366="","",DADOS!E366)</f>
        <v>18.3</v>
      </c>
      <c r="G366" s="9">
        <f>IF(DADOS!F366="","",DADOS!F366)</f>
        <v>4.5</v>
      </c>
      <c r="K366" s="6">
        <f t="shared" si="30"/>
        <v>5.8250709171633694</v>
      </c>
      <c r="L366" s="7">
        <f t="shared" si="31"/>
        <v>2.6649699446022416E-3</v>
      </c>
      <c r="M366" s="7">
        <f t="shared" si="28"/>
        <v>1.1992364750710086E-2</v>
      </c>
      <c r="N366" s="7">
        <f t="shared" si="32"/>
        <v>9.5938918005680704E-3</v>
      </c>
      <c r="O366" s="8"/>
      <c r="P366" s="26"/>
      <c r="S366" s="10" t="str">
        <f t="shared" si="29"/>
        <v/>
      </c>
    </row>
    <row r="367" spans="5:19" x14ac:dyDescent="0.3">
      <c r="E367" s="9">
        <f>IF(DADOS!C367="","",DADOS!C367)</f>
        <v>17</v>
      </c>
      <c r="F367" s="9">
        <f>IF(DADOS!E367="","",DADOS!E367)</f>
        <v>37</v>
      </c>
      <c r="G367" s="9">
        <f>IF(DADOS!F367="","",DADOS!F367)</f>
        <v>10</v>
      </c>
      <c r="K367" s="6">
        <f t="shared" si="30"/>
        <v>11.777465788800255</v>
      </c>
      <c r="L367" s="7">
        <f t="shared" si="31"/>
        <v>1.0894155854640234E-2</v>
      </c>
      <c r="M367" s="7">
        <f t="shared" si="28"/>
        <v>0.10894155854640235</v>
      </c>
      <c r="N367" s="7">
        <f t="shared" si="32"/>
        <v>8.7153246837121889E-2</v>
      </c>
      <c r="O367" s="8"/>
      <c r="P367" s="26"/>
      <c r="S367" s="10" t="str">
        <f t="shared" si="29"/>
        <v/>
      </c>
    </row>
    <row r="368" spans="5:19" x14ac:dyDescent="0.3">
      <c r="E368" s="9">
        <f>IF(DADOS!C368="","",DADOS!C368)</f>
        <v>17</v>
      </c>
      <c r="F368" s="9">
        <f>IF(DADOS!E368="","",DADOS!E368)</f>
        <v>82.3</v>
      </c>
      <c r="G368" s="9">
        <f>IF(DADOS!F368="","",DADOS!F368)</f>
        <v>9</v>
      </c>
      <c r="K368" s="6">
        <f t="shared" si="30"/>
        <v>26.196903632925974</v>
      </c>
      <c r="L368" s="7">
        <f t="shared" si="31"/>
        <v>5.3900129224745193E-2</v>
      </c>
      <c r="M368" s="7">
        <f t="shared" si="28"/>
        <v>0.48510116302270673</v>
      </c>
      <c r="N368" s="7">
        <f t="shared" si="32"/>
        <v>0.38808093041816538</v>
      </c>
      <c r="O368" s="8"/>
      <c r="P368" s="26"/>
      <c r="S368" s="10" t="str">
        <f t="shared" si="29"/>
        <v/>
      </c>
    </row>
    <row r="369" spans="5:19" x14ac:dyDescent="0.3">
      <c r="E369" s="9">
        <f>IF(DADOS!C369="","",DADOS!C369)</f>
        <v>17</v>
      </c>
      <c r="F369" s="9">
        <f>IF(DADOS!E369="","",DADOS!E369)</f>
        <v>80.3</v>
      </c>
      <c r="G369" s="9">
        <f>IF(DADOS!F369="","",DADOS!F369)</f>
        <v>8</v>
      </c>
      <c r="K369" s="6">
        <f t="shared" si="30"/>
        <v>25.560283860558393</v>
      </c>
      <c r="L369" s="7">
        <f t="shared" si="31"/>
        <v>5.131226985007098E-2</v>
      </c>
      <c r="M369" s="7">
        <f t="shared" si="28"/>
        <v>0.41049815880056784</v>
      </c>
      <c r="N369" s="7">
        <f t="shared" si="32"/>
        <v>0.3283985270404543</v>
      </c>
      <c r="O369" s="8"/>
      <c r="P369" s="26"/>
      <c r="S369" s="10" t="str">
        <f t="shared" si="29"/>
        <v/>
      </c>
    </row>
    <row r="370" spans="5:19" x14ac:dyDescent="0.3">
      <c r="E370" s="9">
        <f>IF(DADOS!C370="","",DADOS!C370)</f>
        <v>17</v>
      </c>
      <c r="F370" s="9">
        <f>IF(DADOS!E370="","",DADOS!E370)</f>
        <v>48</v>
      </c>
      <c r="G370" s="9">
        <f>IF(DADOS!F370="","",DADOS!F370)</f>
        <v>8</v>
      </c>
      <c r="K370" s="6">
        <f t="shared" si="30"/>
        <v>15.278874536821952</v>
      </c>
      <c r="L370" s="7">
        <f t="shared" si="31"/>
        <v>1.8334649444186342E-2</v>
      </c>
      <c r="M370" s="7">
        <f t="shared" si="28"/>
        <v>0.14667719555349074</v>
      </c>
      <c r="N370" s="7">
        <f t="shared" si="32"/>
        <v>0.1173417564427926</v>
      </c>
      <c r="O370" s="8"/>
      <c r="P370" s="26"/>
      <c r="S370" s="10" t="str">
        <f t="shared" si="29"/>
        <v/>
      </c>
    </row>
    <row r="371" spans="5:19" x14ac:dyDescent="0.3">
      <c r="E371" s="9">
        <f>IF(DADOS!C371="","",DADOS!C371)</f>
        <v>17</v>
      </c>
      <c r="F371" s="9">
        <f>IF(DADOS!E371="","",DADOS!E371)</f>
        <v>79.400000000000006</v>
      </c>
      <c r="G371" s="9">
        <f>IF(DADOS!F371="","",DADOS!F371)</f>
        <v>10</v>
      </c>
      <c r="K371" s="6">
        <f t="shared" si="30"/>
        <v>25.273804962992983</v>
      </c>
      <c r="L371" s="7">
        <f t="shared" si="31"/>
        <v>5.0168502851541077E-2</v>
      </c>
      <c r="M371" s="7">
        <f t="shared" si="28"/>
        <v>0.50168502851541075</v>
      </c>
      <c r="N371" s="7">
        <f t="shared" si="32"/>
        <v>0.40134802281232862</v>
      </c>
      <c r="O371" s="8"/>
      <c r="P371" s="26"/>
      <c r="S371" s="10" t="str">
        <f t="shared" si="29"/>
        <v/>
      </c>
    </row>
    <row r="372" spans="5:19" x14ac:dyDescent="0.3">
      <c r="E372" s="9">
        <f>IF(DADOS!C372="","",DADOS!C372)</f>
        <v>17</v>
      </c>
      <c r="F372" s="9">
        <f>IF(DADOS!E372="","",DADOS!E372)</f>
        <v>63.5</v>
      </c>
      <c r="G372" s="9">
        <f>IF(DADOS!F372="","",DADOS!F372)</f>
        <v>9</v>
      </c>
      <c r="K372" s="6">
        <f t="shared" si="30"/>
        <v>20.212677772670709</v>
      </c>
      <c r="L372" s="7">
        <f t="shared" si="31"/>
        <v>3.2087625964114748E-2</v>
      </c>
      <c r="M372" s="7">
        <f t="shared" si="28"/>
        <v>0.28878863367703272</v>
      </c>
      <c r="N372" s="7">
        <f t="shared" si="32"/>
        <v>0.2310309069416262</v>
      </c>
      <c r="O372" s="8"/>
      <c r="P372" s="26"/>
      <c r="S372" s="10" t="str">
        <f t="shared" si="29"/>
        <v/>
      </c>
    </row>
    <row r="373" spans="5:19" x14ac:dyDescent="0.3">
      <c r="E373" s="9">
        <f>IF(DADOS!C373="","",DADOS!C373)</f>
        <v>17</v>
      </c>
      <c r="F373" s="9">
        <f>IF(DADOS!E373="","",DADOS!E373)</f>
        <v>65.599999999999994</v>
      </c>
      <c r="G373" s="9">
        <f>IF(DADOS!F373="","",DADOS!F373)</f>
        <v>8</v>
      </c>
      <c r="K373" s="6">
        <f t="shared" si="30"/>
        <v>20.881128533656668</v>
      </c>
      <c r="L373" s="7">
        <f t="shared" si="31"/>
        <v>3.4245050795196928E-2</v>
      </c>
      <c r="M373" s="7">
        <f t="shared" si="28"/>
        <v>0.27396040636157543</v>
      </c>
      <c r="N373" s="7">
        <f t="shared" si="32"/>
        <v>0.21916832508926035</v>
      </c>
      <c r="O373" s="8"/>
      <c r="P373" s="26"/>
      <c r="S373" s="10" t="str">
        <f t="shared" si="29"/>
        <v/>
      </c>
    </row>
    <row r="374" spans="5:19" x14ac:dyDescent="0.3">
      <c r="E374" s="9">
        <f>IF(DADOS!C374="","",DADOS!C374)</f>
        <v>17</v>
      </c>
      <c r="F374" s="9">
        <f>IF(DADOS!E374="","",DADOS!E374)</f>
        <v>75.599999999999994</v>
      </c>
      <c r="G374" s="9">
        <f>IF(DADOS!F374="","",DADOS!F374)</f>
        <v>10</v>
      </c>
      <c r="K374" s="6">
        <f t="shared" si="30"/>
        <v>24.064227395494573</v>
      </c>
      <c r="L374" s="7">
        <f t="shared" si="31"/>
        <v>4.5481389777484733E-2</v>
      </c>
      <c r="M374" s="7">
        <f t="shared" si="28"/>
        <v>0.45481389777484732</v>
      </c>
      <c r="N374" s="7">
        <f t="shared" si="32"/>
        <v>0.36385111821987787</v>
      </c>
      <c r="O374" s="8"/>
      <c r="P374" s="26"/>
      <c r="S374" s="10" t="str">
        <f t="shared" si="29"/>
        <v/>
      </c>
    </row>
    <row r="375" spans="5:19" x14ac:dyDescent="0.3">
      <c r="E375" s="9">
        <f>IF(DADOS!C375="","",DADOS!C375)</f>
        <v>17</v>
      </c>
      <c r="F375" s="9">
        <f>IF(DADOS!E375="","",DADOS!E375)</f>
        <v>56.7</v>
      </c>
      <c r="G375" s="9">
        <f>IF(DADOS!F375="","",DADOS!F375)</f>
        <v>9</v>
      </c>
      <c r="K375" s="6">
        <f t="shared" si="30"/>
        <v>18.048170546620934</v>
      </c>
      <c r="L375" s="7">
        <f t="shared" si="31"/>
        <v>2.5583281749835176E-2</v>
      </c>
      <c r="M375" s="7">
        <f t="shared" si="28"/>
        <v>0.23024953574851659</v>
      </c>
      <c r="N375" s="7">
        <f t="shared" si="32"/>
        <v>0.18419962859881328</v>
      </c>
      <c r="O375" s="8"/>
      <c r="P375" s="26"/>
      <c r="S375" s="10" t="str">
        <f t="shared" si="29"/>
        <v/>
      </c>
    </row>
    <row r="376" spans="5:19" x14ac:dyDescent="0.3">
      <c r="E376" s="9">
        <f>IF(DADOS!C376="","",DADOS!C376)</f>
        <v>17</v>
      </c>
      <c r="F376" s="9">
        <f>IF(DADOS!E376="","",DADOS!E376)</f>
        <v>69.5</v>
      </c>
      <c r="G376" s="9">
        <f>IF(DADOS!F376="","",DADOS!F376)</f>
        <v>9</v>
      </c>
      <c r="K376" s="6">
        <f t="shared" si="30"/>
        <v>22.122537089773452</v>
      </c>
      <c r="L376" s="7">
        <f t="shared" si="31"/>
        <v>3.843790819348137E-2</v>
      </c>
      <c r="M376" s="7">
        <f t="shared" si="28"/>
        <v>0.34594117374133232</v>
      </c>
      <c r="N376" s="7">
        <f t="shared" si="32"/>
        <v>0.27675293899306586</v>
      </c>
      <c r="O376" s="8"/>
      <c r="P376" s="26"/>
      <c r="S376" s="10" t="str">
        <f t="shared" si="29"/>
        <v/>
      </c>
    </row>
    <row r="377" spans="5:19" x14ac:dyDescent="0.3">
      <c r="E377" s="9">
        <f>IF(DADOS!C377="","",DADOS!C377)</f>
        <v>17</v>
      </c>
      <c r="F377" s="9">
        <f>IF(DADOS!E377="","",DADOS!E377)</f>
        <v>26</v>
      </c>
      <c r="G377" s="9">
        <f>IF(DADOS!F377="","",DADOS!F377)</f>
        <v>8</v>
      </c>
      <c r="K377" s="6">
        <f t="shared" si="30"/>
        <v>8.2760570407785572</v>
      </c>
      <c r="L377" s="7">
        <f t="shared" si="31"/>
        <v>5.3794370765060618E-3</v>
      </c>
      <c r="M377" s="7">
        <f t="shared" si="28"/>
        <v>4.3035496612048495E-2</v>
      </c>
      <c r="N377" s="7">
        <f t="shared" si="32"/>
        <v>3.4428397289638799E-2</v>
      </c>
      <c r="O377" s="8"/>
      <c r="P377" s="26"/>
      <c r="S377" s="10" t="str">
        <f t="shared" si="29"/>
        <v/>
      </c>
    </row>
    <row r="378" spans="5:19" x14ac:dyDescent="0.3">
      <c r="E378" s="9">
        <f>IF(DADOS!C378="","",DADOS!C378)</f>
        <v>17</v>
      </c>
      <c r="F378" s="9">
        <f>IF(DADOS!E378="","",DADOS!E378)</f>
        <v>56</v>
      </c>
      <c r="G378" s="9">
        <f>IF(DADOS!F378="","",DADOS!F378)</f>
        <v>9</v>
      </c>
      <c r="K378" s="6">
        <f t="shared" si="30"/>
        <v>17.82535362629228</v>
      </c>
      <c r="L378" s="7">
        <f t="shared" si="31"/>
        <v>2.4955495076809196E-2</v>
      </c>
      <c r="M378" s="7">
        <f t="shared" si="28"/>
        <v>0.22459945569128276</v>
      </c>
      <c r="N378" s="7">
        <f t="shared" si="32"/>
        <v>0.17967956455302622</v>
      </c>
      <c r="O378" s="8"/>
      <c r="P378" s="26"/>
      <c r="S378" s="10" t="str">
        <f t="shared" si="29"/>
        <v/>
      </c>
    </row>
    <row r="379" spans="5:19" x14ac:dyDescent="0.3">
      <c r="E379" s="9">
        <f>IF(DADOS!C379="","",DADOS!C379)</f>
        <v>17</v>
      </c>
      <c r="F379" s="9">
        <f>IF(DADOS!E379="","",DADOS!E379)</f>
        <v>37.4</v>
      </c>
      <c r="G379" s="9">
        <f>IF(DADOS!F379="","",DADOS!F379)</f>
        <v>8</v>
      </c>
      <c r="K379" s="6">
        <f t="shared" si="30"/>
        <v>11.904789743273771</v>
      </c>
      <c r="L379" s="7">
        <f t="shared" si="31"/>
        <v>1.1130978409960976E-2</v>
      </c>
      <c r="M379" s="7">
        <f t="shared" si="28"/>
        <v>8.9047827279687811E-2</v>
      </c>
      <c r="N379" s="7">
        <f t="shared" si="32"/>
        <v>7.1238261823750246E-2</v>
      </c>
      <c r="O379" s="8"/>
      <c r="P379" s="26"/>
      <c r="S379" s="10" t="str">
        <f t="shared" si="29"/>
        <v/>
      </c>
    </row>
    <row r="380" spans="5:19" x14ac:dyDescent="0.3">
      <c r="E380" s="9">
        <f>IF(DADOS!C380="","",DADOS!C380)</f>
        <v>17</v>
      </c>
      <c r="F380" s="9">
        <f>IF(DADOS!E380="","",DADOS!E380)</f>
        <v>58.8</v>
      </c>
      <c r="G380" s="9">
        <f>IF(DADOS!F380="","",DADOS!F380)</f>
        <v>8</v>
      </c>
      <c r="K380" s="6">
        <f t="shared" si="30"/>
        <v>18.716621307606893</v>
      </c>
      <c r="L380" s="7">
        <f t="shared" si="31"/>
        <v>2.7513433322182135E-2</v>
      </c>
      <c r="M380" s="7">
        <f t="shared" si="28"/>
        <v>0.22010746657745708</v>
      </c>
      <c r="N380" s="7">
        <f t="shared" si="32"/>
        <v>0.17608597326196568</v>
      </c>
      <c r="O380" s="8"/>
      <c r="P380" s="26"/>
      <c r="S380" s="10" t="str">
        <f t="shared" si="29"/>
        <v/>
      </c>
    </row>
    <row r="381" spans="5:19" x14ac:dyDescent="0.3">
      <c r="E381" s="9">
        <f>IF(DADOS!C381="","",DADOS!C381)</f>
        <v>17</v>
      </c>
      <c r="F381" s="9">
        <f>IF(DADOS!E381="","",DADOS!E381)</f>
        <v>19</v>
      </c>
      <c r="G381" s="9">
        <f>IF(DADOS!F381="","",DADOS!F381)</f>
        <v>8</v>
      </c>
      <c r="K381" s="6">
        <f t="shared" si="30"/>
        <v>6.0478878374920226</v>
      </c>
      <c r="L381" s="7">
        <f t="shared" si="31"/>
        <v>2.8727467228087107E-3</v>
      </c>
      <c r="M381" s="7">
        <f t="shared" si="28"/>
        <v>2.2981973782469686E-2</v>
      </c>
      <c r="N381" s="7">
        <f t="shared" si="32"/>
        <v>1.8385579025975748E-2</v>
      </c>
      <c r="O381" s="8"/>
      <c r="P381" s="26"/>
      <c r="S381" s="10" t="str">
        <f t="shared" si="29"/>
        <v/>
      </c>
    </row>
    <row r="382" spans="5:19" x14ac:dyDescent="0.3">
      <c r="E382" s="9">
        <f>IF(DADOS!C382="","",DADOS!C382)</f>
        <v>18</v>
      </c>
      <c r="F382" s="9">
        <f>IF(DADOS!E382="","",DADOS!E382)</f>
        <v>85.5</v>
      </c>
      <c r="G382" s="9">
        <f>IF(DADOS!F382="","",DADOS!F382)</f>
        <v>11</v>
      </c>
      <c r="K382" s="6">
        <f t="shared" si="30"/>
        <v>27.215495268714104</v>
      </c>
      <c r="L382" s="7">
        <f t="shared" si="31"/>
        <v>5.81731211368764E-2</v>
      </c>
      <c r="M382" s="7">
        <f t="shared" si="28"/>
        <v>0.63990433250564038</v>
      </c>
      <c r="N382" s="7">
        <f t="shared" si="32"/>
        <v>0.51192346600451233</v>
      </c>
      <c r="O382" s="8"/>
      <c r="P382" s="26"/>
      <c r="S382" s="10" t="str">
        <f t="shared" si="29"/>
        <v/>
      </c>
    </row>
    <row r="383" spans="5:19" x14ac:dyDescent="0.3">
      <c r="E383" s="9">
        <f>IF(DADOS!C383="","",DADOS!C383)</f>
        <v>18</v>
      </c>
      <c r="F383" s="9">
        <f>IF(DADOS!E383="","",DADOS!E383)</f>
        <v>30.8</v>
      </c>
      <c r="G383" s="9">
        <f>IF(DADOS!F383="","",DADOS!F383)</f>
        <v>11</v>
      </c>
      <c r="K383" s="6">
        <f t="shared" si="30"/>
        <v>9.8039444944607528</v>
      </c>
      <c r="L383" s="7">
        <f t="shared" si="31"/>
        <v>7.549037260734779E-3</v>
      </c>
      <c r="M383" s="7">
        <f t="shared" si="28"/>
        <v>8.3039409868082573E-2</v>
      </c>
      <c r="N383" s="7">
        <f t="shared" si="32"/>
        <v>6.6431527894466061E-2</v>
      </c>
      <c r="O383" s="8"/>
      <c r="P383" s="26"/>
      <c r="S383" s="10" t="str">
        <f t="shared" si="29"/>
        <v/>
      </c>
    </row>
    <row r="384" spans="5:19" x14ac:dyDescent="0.3">
      <c r="E384" s="9">
        <f>IF(DADOS!C384="","",DADOS!C384)</f>
        <v>18</v>
      </c>
      <c r="F384" s="9">
        <f>IF(DADOS!E384="","",DADOS!E384)</f>
        <v>70</v>
      </c>
      <c r="G384" s="9">
        <f>IF(DADOS!F384="","",DADOS!F384)</f>
        <v>11</v>
      </c>
      <c r="K384" s="6">
        <f t="shared" si="30"/>
        <v>22.281692032865347</v>
      </c>
      <c r="L384" s="7">
        <f t="shared" si="31"/>
        <v>3.8992961057514354E-2</v>
      </c>
      <c r="M384" s="7">
        <f t="shared" si="28"/>
        <v>0.4289225716326579</v>
      </c>
      <c r="N384" s="7">
        <f t="shared" si="32"/>
        <v>0.34313805730612634</v>
      </c>
      <c r="O384" s="8"/>
      <c r="P384" s="26"/>
      <c r="S384" s="10" t="str">
        <f t="shared" si="29"/>
        <v/>
      </c>
    </row>
    <row r="385" spans="5:19" x14ac:dyDescent="0.3">
      <c r="E385" s="9">
        <f>IF(DADOS!C385="","",DADOS!C385)</f>
        <v>18</v>
      </c>
      <c r="F385" s="9">
        <f>IF(DADOS!E385="","",DADOS!E385)</f>
        <v>121.5</v>
      </c>
      <c r="G385" s="9">
        <f>IF(DADOS!F385="","",DADOS!F385)</f>
        <v>11</v>
      </c>
      <c r="K385" s="6">
        <f t="shared" si="30"/>
        <v>38.674651171330567</v>
      </c>
      <c r="L385" s="7">
        <f t="shared" si="31"/>
        <v>0.11747425293291661</v>
      </c>
      <c r="M385" s="7">
        <f t="shared" si="28"/>
        <v>1.2922167822620827</v>
      </c>
      <c r="N385" s="7">
        <f t="shared" si="32"/>
        <v>1.0337734258096662</v>
      </c>
      <c r="O385" s="8"/>
      <c r="P385" s="26"/>
      <c r="S385" s="10" t="str">
        <f t="shared" si="29"/>
        <v/>
      </c>
    </row>
    <row r="386" spans="5:19" x14ac:dyDescent="0.3">
      <c r="E386" s="9">
        <f>IF(DADOS!C386="","",DADOS!C386)</f>
        <v>18</v>
      </c>
      <c r="F386" s="9">
        <f>IF(DADOS!E386="","",DADOS!E386)</f>
        <v>76.5</v>
      </c>
      <c r="G386" s="9">
        <f>IF(DADOS!F386="","",DADOS!F386)</f>
        <v>12</v>
      </c>
      <c r="K386" s="6">
        <f t="shared" si="30"/>
        <v>24.350706293059986</v>
      </c>
      <c r="L386" s="7">
        <f t="shared" si="31"/>
        <v>4.6570725785477218E-2</v>
      </c>
      <c r="M386" s="7">
        <f t="shared" si="28"/>
        <v>0.55884870942572662</v>
      </c>
      <c r="N386" s="7">
        <f t="shared" si="32"/>
        <v>0.4470789675405813</v>
      </c>
      <c r="O386" s="8"/>
      <c r="P386" s="26"/>
      <c r="S386" s="10" t="str">
        <f t="shared" si="29"/>
        <v/>
      </c>
    </row>
    <row r="387" spans="5:19" x14ac:dyDescent="0.3">
      <c r="E387" s="9">
        <f>IF(DADOS!C387="","",DADOS!C387)</f>
        <v>18</v>
      </c>
      <c r="F387" s="9">
        <f>IF(DADOS!E387="","",DADOS!E387)</f>
        <v>167.8</v>
      </c>
      <c r="G387" s="9">
        <f>IF(DADOS!F387="","",DADOS!F387)</f>
        <v>14</v>
      </c>
      <c r="K387" s="6">
        <f t="shared" si="30"/>
        <v>53.412398901640081</v>
      </c>
      <c r="L387" s="7">
        <f t="shared" si="31"/>
        <v>0.22406501339238016</v>
      </c>
      <c r="M387" s="7">
        <f t="shared" ref="M387:M450" si="33">IF(L387="","",L387*G387)</f>
        <v>3.1369101874933225</v>
      </c>
      <c r="N387" s="7">
        <f t="shared" si="32"/>
        <v>2.509528149994658</v>
      </c>
      <c r="O387" s="8"/>
      <c r="P387" s="26"/>
      <c r="S387" s="10" t="str">
        <f t="shared" ref="S387:S450" si="34">IF(R387="","",SUMIFS($N$3:$N$10000,$E$3:$E$10000,R387))</f>
        <v/>
      </c>
    </row>
    <row r="388" spans="5:19" x14ac:dyDescent="0.3">
      <c r="E388" s="9">
        <f>IF(DADOS!C388="","",DADOS!C388)</f>
        <v>18</v>
      </c>
      <c r="F388" s="9">
        <f>IF(DADOS!E388="","",DADOS!E388)</f>
        <v>128.19999999999999</v>
      </c>
      <c r="G388" s="9">
        <f>IF(DADOS!F388="","",DADOS!F388)</f>
        <v>11</v>
      </c>
      <c r="K388" s="6">
        <f t="shared" ref="K388:K451" si="35">IF(F388="","",F388/PI())</f>
        <v>40.807327408761964</v>
      </c>
      <c r="L388" s="7">
        <f t="shared" ref="L388:L451" si="36">IF(K388="","",(PI()*K388^2)/40000)</f>
        <v>0.13078748434508208</v>
      </c>
      <c r="M388" s="7">
        <f t="shared" si="33"/>
        <v>1.438662327795903</v>
      </c>
      <c r="N388" s="7">
        <f t="shared" ref="N388:N451" si="37">IF(M388="","",M388*N$1)</f>
        <v>1.1509298622367223</v>
      </c>
      <c r="O388" s="8"/>
      <c r="P388" s="26"/>
      <c r="S388" s="10" t="str">
        <f t="shared" si="34"/>
        <v/>
      </c>
    </row>
    <row r="389" spans="5:19" x14ac:dyDescent="0.3">
      <c r="E389" s="9">
        <f>IF(DADOS!C389="","",DADOS!C389)</f>
        <v>18</v>
      </c>
      <c r="F389" s="9">
        <f>IF(DADOS!E389="","",DADOS!E389)</f>
        <v>20</v>
      </c>
      <c r="G389" s="9">
        <f>IF(DADOS!F389="","",DADOS!F389)</f>
        <v>7</v>
      </c>
      <c r="K389" s="6">
        <f t="shared" si="35"/>
        <v>6.366197723675814</v>
      </c>
      <c r="L389" s="7">
        <f t="shared" si="36"/>
        <v>3.1830988618379076E-3</v>
      </c>
      <c r="M389" s="7">
        <f t="shared" si="33"/>
        <v>2.2281692032865352E-2</v>
      </c>
      <c r="N389" s="7">
        <f t="shared" si="37"/>
        <v>1.7825353626292281E-2</v>
      </c>
      <c r="O389" s="8"/>
      <c r="P389" s="26"/>
      <c r="S389" s="10" t="str">
        <f t="shared" si="34"/>
        <v/>
      </c>
    </row>
    <row r="390" spans="5:19" x14ac:dyDescent="0.3">
      <c r="E390" s="9">
        <f>IF(DADOS!C390="","",DADOS!C390)</f>
        <v>18</v>
      </c>
      <c r="F390" s="9">
        <f>IF(DADOS!E390="","",DADOS!E390)</f>
        <v>21.5</v>
      </c>
      <c r="G390" s="9">
        <f>IF(DADOS!F390="","",DADOS!F390)</f>
        <v>7</v>
      </c>
      <c r="K390" s="6">
        <f t="shared" si="35"/>
        <v>6.8436625529514998</v>
      </c>
      <c r="L390" s="7">
        <f t="shared" si="36"/>
        <v>3.6784686222114311E-3</v>
      </c>
      <c r="M390" s="7">
        <f t="shared" si="33"/>
        <v>2.5749280355480016E-2</v>
      </c>
      <c r="N390" s="7">
        <f t="shared" si="37"/>
        <v>2.0599424284384014E-2</v>
      </c>
      <c r="O390" s="8"/>
      <c r="P390" s="26"/>
      <c r="S390" s="10" t="str">
        <f t="shared" si="34"/>
        <v/>
      </c>
    </row>
    <row r="391" spans="5:19" x14ac:dyDescent="0.3">
      <c r="E391" s="9">
        <f>IF(DADOS!C391="","",DADOS!C391)</f>
        <v>18</v>
      </c>
      <c r="F391" s="9">
        <f>IF(DADOS!E391="","",DADOS!E391)</f>
        <v>25.7</v>
      </c>
      <c r="G391" s="9">
        <f>IF(DADOS!F391="","",DADOS!F391)</f>
        <v>7.5</v>
      </c>
      <c r="K391" s="6">
        <f t="shared" si="35"/>
        <v>8.1805640749234207</v>
      </c>
      <c r="L391" s="7">
        <f t="shared" si="36"/>
        <v>5.2560124181382983E-3</v>
      </c>
      <c r="M391" s="7">
        <f t="shared" si="33"/>
        <v>3.942009313603724E-2</v>
      </c>
      <c r="N391" s="7">
        <f t="shared" si="37"/>
        <v>3.1536074508829795E-2</v>
      </c>
      <c r="O391" s="8"/>
      <c r="P391" s="26"/>
      <c r="S391" s="10" t="str">
        <f t="shared" si="34"/>
        <v/>
      </c>
    </row>
    <row r="392" spans="5:19" x14ac:dyDescent="0.3">
      <c r="E392" s="9">
        <f>IF(DADOS!C392="","",DADOS!C392)</f>
        <v>18</v>
      </c>
      <c r="F392" s="9">
        <f>IF(DADOS!E392="","",DADOS!E392)</f>
        <v>25.2</v>
      </c>
      <c r="G392" s="9">
        <f>IF(DADOS!F392="","",DADOS!F392)</f>
        <v>7</v>
      </c>
      <c r="K392" s="6">
        <f t="shared" si="35"/>
        <v>8.0214091318315255</v>
      </c>
      <c r="L392" s="7">
        <f t="shared" si="36"/>
        <v>5.0534877530538612E-3</v>
      </c>
      <c r="M392" s="7">
        <f t="shared" si="33"/>
        <v>3.5374414271377025E-2</v>
      </c>
      <c r="N392" s="7">
        <f t="shared" si="37"/>
        <v>2.829953141710162E-2</v>
      </c>
      <c r="O392" s="8"/>
      <c r="P392" s="26"/>
      <c r="S392" s="10" t="str">
        <f t="shared" si="34"/>
        <v/>
      </c>
    </row>
    <row r="393" spans="5:19" x14ac:dyDescent="0.3">
      <c r="E393" s="9">
        <f>IF(DADOS!C393="","",DADOS!C393)</f>
        <v>18</v>
      </c>
      <c r="F393" s="9">
        <f>IF(DADOS!E393="","",DADOS!E393)</f>
        <v>23</v>
      </c>
      <c r="G393" s="9">
        <f>IF(DADOS!F393="","",DADOS!F393)</f>
        <v>7</v>
      </c>
      <c r="K393" s="6">
        <f t="shared" si="35"/>
        <v>7.3211273822271856</v>
      </c>
      <c r="L393" s="7">
        <f t="shared" si="36"/>
        <v>4.2096482447806314E-3</v>
      </c>
      <c r="M393" s="7">
        <f t="shared" si="33"/>
        <v>2.9467537713464421E-2</v>
      </c>
      <c r="N393" s="7">
        <f t="shared" si="37"/>
        <v>2.3574030170771539E-2</v>
      </c>
      <c r="O393" s="8"/>
      <c r="P393" s="26"/>
      <c r="S393" s="10" t="str">
        <f t="shared" si="34"/>
        <v/>
      </c>
    </row>
    <row r="394" spans="5:19" x14ac:dyDescent="0.3">
      <c r="E394" s="9">
        <f>IF(DADOS!C394="","",DADOS!C394)</f>
        <v>18</v>
      </c>
      <c r="F394" s="9">
        <f>IF(DADOS!E394="","",DADOS!E394)</f>
        <v>33.200000000000003</v>
      </c>
      <c r="G394" s="9">
        <f>IF(DADOS!F394="","",DADOS!F394)</f>
        <v>7</v>
      </c>
      <c r="K394" s="6">
        <f t="shared" si="35"/>
        <v>10.567888221301851</v>
      </c>
      <c r="L394" s="7">
        <f t="shared" si="36"/>
        <v>8.7713472236805382E-3</v>
      </c>
      <c r="M394" s="7">
        <f t="shared" si="33"/>
        <v>6.1399430565763767E-2</v>
      </c>
      <c r="N394" s="7">
        <f t="shared" si="37"/>
        <v>4.9119544452611019E-2</v>
      </c>
      <c r="O394" s="8"/>
      <c r="P394" s="26"/>
      <c r="S394" s="10" t="str">
        <f t="shared" si="34"/>
        <v/>
      </c>
    </row>
    <row r="395" spans="5:19" x14ac:dyDescent="0.3">
      <c r="E395" s="9">
        <f>IF(DADOS!C395="","",DADOS!C395)</f>
        <v>18</v>
      </c>
      <c r="F395" s="9">
        <f>IF(DADOS!E395="","",DADOS!E395)</f>
        <v>30.6</v>
      </c>
      <c r="G395" s="9">
        <f>IF(DADOS!F395="","",DADOS!F395)</f>
        <v>4.5</v>
      </c>
      <c r="K395" s="6">
        <f t="shared" si="35"/>
        <v>9.7402825172239957</v>
      </c>
      <c r="L395" s="7">
        <f t="shared" si="36"/>
        <v>7.4513161256763577E-3</v>
      </c>
      <c r="M395" s="7">
        <f t="shared" si="33"/>
        <v>3.353092256554361E-2</v>
      </c>
      <c r="N395" s="7">
        <f t="shared" si="37"/>
        <v>2.6824738052434891E-2</v>
      </c>
      <c r="O395" s="8"/>
      <c r="P395" s="26"/>
      <c r="S395" s="10" t="str">
        <f t="shared" si="34"/>
        <v/>
      </c>
    </row>
    <row r="396" spans="5:19" x14ac:dyDescent="0.3">
      <c r="E396" s="9">
        <f>IF(DADOS!C396="","",DADOS!C396)</f>
        <v>18</v>
      </c>
      <c r="F396" s="9">
        <f>IF(DADOS!E396="","",DADOS!E396)</f>
        <v>29.3</v>
      </c>
      <c r="G396" s="9">
        <f>IF(DADOS!F396="","",DADOS!F396)</f>
        <v>5</v>
      </c>
      <c r="K396" s="6">
        <f t="shared" si="35"/>
        <v>9.326479665185067</v>
      </c>
      <c r="L396" s="7">
        <f t="shared" si="36"/>
        <v>6.831646354748061E-3</v>
      </c>
      <c r="M396" s="7">
        <f t="shared" si="33"/>
        <v>3.4158231773740305E-2</v>
      </c>
      <c r="N396" s="7">
        <f t="shared" si="37"/>
        <v>2.7326585418992244E-2</v>
      </c>
      <c r="O396" s="8"/>
      <c r="P396" s="26"/>
      <c r="S396" s="10" t="str">
        <f t="shared" si="34"/>
        <v/>
      </c>
    </row>
    <row r="397" spans="5:19" x14ac:dyDescent="0.3">
      <c r="E397" s="9">
        <f>IF(DADOS!C397="","",DADOS!C397)</f>
        <v>18</v>
      </c>
      <c r="F397" s="9">
        <f>IF(DADOS!E397="","",DADOS!E397)</f>
        <v>43</v>
      </c>
      <c r="G397" s="9">
        <f>IF(DADOS!F397="","",DADOS!F397)</f>
        <v>6.5</v>
      </c>
      <c r="K397" s="6">
        <f t="shared" si="35"/>
        <v>13.687325105903</v>
      </c>
      <c r="L397" s="7">
        <f t="shared" si="36"/>
        <v>1.4713874488845724E-2</v>
      </c>
      <c r="M397" s="7">
        <f t="shared" si="33"/>
        <v>9.5640184177497214E-2</v>
      </c>
      <c r="N397" s="7">
        <f t="shared" si="37"/>
        <v>7.651214734199778E-2</v>
      </c>
      <c r="O397" s="8"/>
      <c r="P397" s="26"/>
      <c r="S397" s="10" t="str">
        <f t="shared" si="34"/>
        <v/>
      </c>
    </row>
    <row r="398" spans="5:19" x14ac:dyDescent="0.3">
      <c r="E398" s="9">
        <f>IF(DADOS!C398="","",DADOS!C398)</f>
        <v>18</v>
      </c>
      <c r="F398" s="9">
        <f>IF(DADOS!E398="","",DADOS!E398)</f>
        <v>28.5</v>
      </c>
      <c r="G398" s="9">
        <f>IF(DADOS!F398="","",DADOS!F398)</f>
        <v>6</v>
      </c>
      <c r="K398" s="6">
        <f t="shared" si="35"/>
        <v>9.0718317562380353</v>
      </c>
      <c r="L398" s="7">
        <f t="shared" si="36"/>
        <v>6.4636801263196009E-3</v>
      </c>
      <c r="M398" s="7">
        <f t="shared" si="33"/>
        <v>3.8782080757917607E-2</v>
      </c>
      <c r="N398" s="7">
        <f t="shared" si="37"/>
        <v>3.1025664606334089E-2</v>
      </c>
      <c r="O398" s="8"/>
      <c r="P398" s="26"/>
      <c r="S398" s="10" t="str">
        <f t="shared" si="34"/>
        <v/>
      </c>
    </row>
    <row r="399" spans="5:19" x14ac:dyDescent="0.3">
      <c r="E399" s="9">
        <f>IF(DADOS!C399="","",DADOS!C399)</f>
        <v>18</v>
      </c>
      <c r="F399" s="9">
        <f>IF(DADOS!E399="","",DADOS!E399)</f>
        <v>18.600000000000001</v>
      </c>
      <c r="G399" s="9">
        <f>IF(DADOS!F399="","",DADOS!F399)</f>
        <v>5</v>
      </c>
      <c r="K399" s="6">
        <f t="shared" si="35"/>
        <v>5.9205638830185068</v>
      </c>
      <c r="L399" s="7">
        <f t="shared" si="36"/>
        <v>2.7530622056036055E-3</v>
      </c>
      <c r="M399" s="7">
        <f t="shared" si="33"/>
        <v>1.3765311028018028E-2</v>
      </c>
      <c r="N399" s="7">
        <f t="shared" si="37"/>
        <v>1.1012248822414424E-2</v>
      </c>
      <c r="O399" s="8"/>
      <c r="P399" s="26"/>
      <c r="S399" s="10" t="str">
        <f t="shared" si="34"/>
        <v/>
      </c>
    </row>
    <row r="400" spans="5:19" x14ac:dyDescent="0.3">
      <c r="E400" s="9">
        <f>IF(DADOS!C400="","",DADOS!C400)</f>
        <v>18</v>
      </c>
      <c r="F400" s="9">
        <f>IF(DADOS!E400="","",DADOS!E400)</f>
        <v>69</v>
      </c>
      <c r="G400" s="9">
        <f>IF(DADOS!F400="","",DADOS!F400)</f>
        <v>10</v>
      </c>
      <c r="K400" s="6">
        <f t="shared" si="35"/>
        <v>21.963382146681557</v>
      </c>
      <c r="L400" s="7">
        <f t="shared" si="36"/>
        <v>3.7886834203025681E-2</v>
      </c>
      <c r="M400" s="7">
        <f t="shared" si="33"/>
        <v>0.37886834203025682</v>
      </c>
      <c r="N400" s="7">
        <f t="shared" si="37"/>
        <v>0.3030946736242055</v>
      </c>
      <c r="O400" s="8"/>
      <c r="P400" s="26"/>
      <c r="S400" s="10" t="str">
        <f t="shared" si="34"/>
        <v/>
      </c>
    </row>
    <row r="401" spans="5:19" x14ac:dyDescent="0.3">
      <c r="E401" s="9">
        <f>IF(DADOS!C401="","",DADOS!C401)</f>
        <v>18</v>
      </c>
      <c r="F401" s="9">
        <f>IF(DADOS!E401="","",DADOS!E401)</f>
        <v>94.3</v>
      </c>
      <c r="G401" s="9">
        <f>IF(DADOS!F401="","",DADOS!F401)</f>
        <v>10</v>
      </c>
      <c r="K401" s="6">
        <f t="shared" si="35"/>
        <v>30.01662226713146</v>
      </c>
      <c r="L401" s="7">
        <f t="shared" si="36"/>
        <v>7.0764186994762418E-2</v>
      </c>
      <c r="M401" s="7">
        <f t="shared" si="33"/>
        <v>0.70764186994762412</v>
      </c>
      <c r="N401" s="7">
        <f t="shared" si="37"/>
        <v>0.56611349595809934</v>
      </c>
      <c r="O401" s="8"/>
      <c r="P401" s="26"/>
      <c r="S401" s="10" t="str">
        <f t="shared" si="34"/>
        <v/>
      </c>
    </row>
    <row r="402" spans="5:19" x14ac:dyDescent="0.3">
      <c r="E402" s="9">
        <f>IF(DADOS!C402="","",DADOS!C402)</f>
        <v>18</v>
      </c>
      <c r="F402" s="9">
        <f>IF(DADOS!E402="","",DADOS!E402)</f>
        <v>50.6</v>
      </c>
      <c r="G402" s="9">
        <f>IF(DADOS!F402="","",DADOS!F402)</f>
        <v>8</v>
      </c>
      <c r="K402" s="6">
        <f t="shared" si="35"/>
        <v>16.10648024089981</v>
      </c>
      <c r="L402" s="7">
        <f t="shared" si="36"/>
        <v>2.0374697504738259E-2</v>
      </c>
      <c r="M402" s="7">
        <f t="shared" si="33"/>
        <v>0.16299758003790607</v>
      </c>
      <c r="N402" s="7">
        <f t="shared" si="37"/>
        <v>0.13039806403032486</v>
      </c>
      <c r="O402" s="8"/>
      <c r="P402" s="26"/>
      <c r="S402" s="10" t="str">
        <f t="shared" si="34"/>
        <v/>
      </c>
    </row>
    <row r="403" spans="5:19" x14ac:dyDescent="0.3">
      <c r="E403" s="9">
        <f>IF(DADOS!C403="","",DADOS!C403)</f>
        <v>18</v>
      </c>
      <c r="F403" s="9">
        <f>IF(DADOS!E403="","",DADOS!E403)</f>
        <v>54</v>
      </c>
      <c r="G403" s="9">
        <f>IF(DADOS!F403="","",DADOS!F403)</f>
        <v>8</v>
      </c>
      <c r="K403" s="6">
        <f t="shared" si="35"/>
        <v>17.188733853924695</v>
      </c>
      <c r="L403" s="7">
        <f t="shared" si="36"/>
        <v>2.3204790702798336E-2</v>
      </c>
      <c r="M403" s="7">
        <f t="shared" si="33"/>
        <v>0.18563832562238669</v>
      </c>
      <c r="N403" s="7">
        <f t="shared" si="37"/>
        <v>0.14851066049790937</v>
      </c>
      <c r="O403" s="8"/>
      <c r="P403" s="26"/>
      <c r="S403" s="10" t="str">
        <f t="shared" si="34"/>
        <v/>
      </c>
    </row>
    <row r="404" spans="5:19" x14ac:dyDescent="0.3">
      <c r="E404" s="9">
        <f>IF(DADOS!C404="","",DADOS!C404)</f>
        <v>18</v>
      </c>
      <c r="F404" s="9">
        <f>IF(DADOS!E404="","",DADOS!E404)</f>
        <v>41.1</v>
      </c>
      <c r="G404" s="9">
        <f>IF(DADOS!F404="","",DADOS!F404)</f>
        <v>10</v>
      </c>
      <c r="K404" s="6">
        <f t="shared" si="35"/>
        <v>13.082536322153798</v>
      </c>
      <c r="L404" s="7">
        <f t="shared" si="36"/>
        <v>1.3442306071013026E-2</v>
      </c>
      <c r="M404" s="7">
        <f t="shared" si="33"/>
        <v>0.13442306071013027</v>
      </c>
      <c r="N404" s="7">
        <f t="shared" si="37"/>
        <v>0.10753844856810423</v>
      </c>
      <c r="O404" s="8"/>
      <c r="P404" s="26"/>
      <c r="S404" s="10" t="str">
        <f t="shared" si="34"/>
        <v/>
      </c>
    </row>
    <row r="405" spans="5:19" x14ac:dyDescent="0.3">
      <c r="E405" s="9">
        <f>IF(DADOS!C405="","",DADOS!C405)</f>
        <v>18</v>
      </c>
      <c r="F405" s="9">
        <f>IF(DADOS!E405="","",DADOS!E405)</f>
        <v>27.3</v>
      </c>
      <c r="G405" s="9">
        <f>IF(DADOS!F405="","",DADOS!F405)</f>
        <v>8</v>
      </c>
      <c r="K405" s="6">
        <f t="shared" si="35"/>
        <v>8.6898598928174859</v>
      </c>
      <c r="L405" s="7">
        <f t="shared" si="36"/>
        <v>5.9308293768479334E-3</v>
      </c>
      <c r="M405" s="7">
        <f t="shared" si="33"/>
        <v>4.7446635014783467E-2</v>
      </c>
      <c r="N405" s="7">
        <f t="shared" si="37"/>
        <v>3.7957308011826778E-2</v>
      </c>
      <c r="O405" s="8"/>
      <c r="P405" s="26"/>
      <c r="S405" s="10" t="str">
        <f t="shared" si="34"/>
        <v/>
      </c>
    </row>
    <row r="406" spans="5:19" x14ac:dyDescent="0.3">
      <c r="E406" s="9">
        <f>IF(DADOS!C406="","",DADOS!C406)</f>
        <v>18</v>
      </c>
      <c r="F406" s="9">
        <f>IF(DADOS!E406="","",DADOS!E406)</f>
        <v>53.8</v>
      </c>
      <c r="G406" s="9">
        <f>IF(DADOS!F406="","",DADOS!F406)</f>
        <v>9</v>
      </c>
      <c r="K406" s="6">
        <f t="shared" si="35"/>
        <v>17.125071876687937</v>
      </c>
      <c r="L406" s="7">
        <f t="shared" si="36"/>
        <v>2.303322167414527E-2</v>
      </c>
      <c r="M406" s="7">
        <f t="shared" si="33"/>
        <v>0.20729899506730742</v>
      </c>
      <c r="N406" s="7">
        <f t="shared" si="37"/>
        <v>0.16583919605384595</v>
      </c>
      <c r="O406" s="8"/>
      <c r="P406" s="26"/>
      <c r="S406" s="10" t="str">
        <f t="shared" si="34"/>
        <v/>
      </c>
    </row>
    <row r="407" spans="5:19" x14ac:dyDescent="0.3">
      <c r="E407" s="9">
        <f>IF(DADOS!C407="","",DADOS!C407)</f>
        <v>18</v>
      </c>
      <c r="F407" s="9">
        <f>IF(DADOS!E407="","",DADOS!E407)</f>
        <v>43.8</v>
      </c>
      <c r="G407" s="9">
        <f>IF(DADOS!F407="","",DADOS!F407)</f>
        <v>9</v>
      </c>
      <c r="K407" s="6">
        <f t="shared" si="35"/>
        <v>13.941973014850031</v>
      </c>
      <c r="L407" s="7">
        <f t="shared" si="36"/>
        <v>1.5266460451260783E-2</v>
      </c>
      <c r="M407" s="7">
        <f t="shared" si="33"/>
        <v>0.13739814406134704</v>
      </c>
      <c r="N407" s="7">
        <f t="shared" si="37"/>
        <v>0.10991851524907764</v>
      </c>
      <c r="O407" s="8"/>
      <c r="P407" s="26"/>
      <c r="S407" s="10" t="str">
        <f t="shared" si="34"/>
        <v/>
      </c>
    </row>
    <row r="408" spans="5:19" x14ac:dyDescent="0.3">
      <c r="E408" s="9">
        <f>IF(DADOS!C408="","",DADOS!C408)</f>
        <v>18</v>
      </c>
      <c r="F408" s="9">
        <f>IF(DADOS!E408="","",DADOS!E408)</f>
        <v>32</v>
      </c>
      <c r="G408" s="9">
        <f>IF(DADOS!F408="","",DADOS!F408)</f>
        <v>8.5</v>
      </c>
      <c r="K408" s="6">
        <f t="shared" si="35"/>
        <v>10.185916357881302</v>
      </c>
      <c r="L408" s="7">
        <f t="shared" si="36"/>
        <v>8.1487330863050413E-3</v>
      </c>
      <c r="M408" s="7">
        <f t="shared" si="33"/>
        <v>6.9264231233592849E-2</v>
      </c>
      <c r="N408" s="7">
        <f t="shared" si="37"/>
        <v>5.5411384986874285E-2</v>
      </c>
      <c r="O408" s="8"/>
      <c r="P408" s="26"/>
      <c r="S408" s="10" t="str">
        <f t="shared" si="34"/>
        <v/>
      </c>
    </row>
    <row r="409" spans="5:19" x14ac:dyDescent="0.3">
      <c r="E409" s="9">
        <f>IF(DADOS!C409="","",DADOS!C409)</f>
        <v>19</v>
      </c>
      <c r="F409" s="9">
        <f>IF(DADOS!E409="","",DADOS!E409)</f>
        <v>80.7</v>
      </c>
      <c r="G409" s="9">
        <f>IF(DADOS!F409="","",DADOS!F409)</f>
        <v>11</v>
      </c>
      <c r="K409" s="6">
        <f t="shared" si="35"/>
        <v>25.68760781503191</v>
      </c>
      <c r="L409" s="7">
        <f t="shared" si="36"/>
        <v>5.1824748766826884E-2</v>
      </c>
      <c r="M409" s="7">
        <f t="shared" si="33"/>
        <v>0.57007223643509575</v>
      </c>
      <c r="N409" s="7">
        <f t="shared" si="37"/>
        <v>0.4560577891480766</v>
      </c>
      <c r="O409" s="8"/>
      <c r="P409" s="26"/>
      <c r="S409" s="10" t="str">
        <f t="shared" si="34"/>
        <v/>
      </c>
    </row>
    <row r="410" spans="5:19" x14ac:dyDescent="0.3">
      <c r="E410" s="9">
        <f>IF(DADOS!C410="","",DADOS!C410)</f>
        <v>19</v>
      </c>
      <c r="F410" s="9">
        <f>IF(DADOS!E410="","",DADOS!E410)</f>
        <v>88.5</v>
      </c>
      <c r="G410" s="9">
        <f>IF(DADOS!F410="","",DADOS!F410)</f>
        <v>11</v>
      </c>
      <c r="K410" s="6">
        <f t="shared" si="35"/>
        <v>28.170424927265476</v>
      </c>
      <c r="L410" s="7">
        <f t="shared" si="36"/>
        <v>6.2327065151574872E-2</v>
      </c>
      <c r="M410" s="7">
        <f t="shared" si="33"/>
        <v>0.68559771666732361</v>
      </c>
      <c r="N410" s="7">
        <f t="shared" si="37"/>
        <v>0.54847817333385895</v>
      </c>
      <c r="O410" s="8"/>
      <c r="P410" s="26"/>
      <c r="S410" s="10" t="str">
        <f t="shared" si="34"/>
        <v/>
      </c>
    </row>
    <row r="411" spans="5:19" x14ac:dyDescent="0.3">
      <c r="E411" s="9">
        <f>IF(DADOS!C411="","",DADOS!C411)</f>
        <v>19</v>
      </c>
      <c r="F411" s="9">
        <f>IF(DADOS!E411="","",DADOS!E411)</f>
        <v>42.2</v>
      </c>
      <c r="G411" s="9">
        <f>IF(DADOS!F411="","",DADOS!F411)</f>
        <v>13</v>
      </c>
      <c r="K411" s="6">
        <f t="shared" si="35"/>
        <v>13.432677196955968</v>
      </c>
      <c r="L411" s="7">
        <f t="shared" si="36"/>
        <v>1.4171474442788547E-2</v>
      </c>
      <c r="M411" s="7">
        <f t="shared" si="33"/>
        <v>0.18422916775625112</v>
      </c>
      <c r="N411" s="7">
        <f t="shared" si="37"/>
        <v>0.14738333420500091</v>
      </c>
      <c r="O411" s="8"/>
      <c r="P411" s="26"/>
      <c r="S411" s="10" t="str">
        <f t="shared" si="34"/>
        <v/>
      </c>
    </row>
    <row r="412" spans="5:19" x14ac:dyDescent="0.3">
      <c r="E412" s="9">
        <f>IF(DADOS!C412="","",DADOS!C412)</f>
        <v>19</v>
      </c>
      <c r="F412" s="9">
        <f>IF(DADOS!E412="","",DADOS!E412)</f>
        <v>30</v>
      </c>
      <c r="G412" s="9">
        <f>IF(DADOS!F412="","",DADOS!F412)</f>
        <v>7.5</v>
      </c>
      <c r="K412" s="6">
        <f t="shared" si="35"/>
        <v>9.5492965855137211</v>
      </c>
      <c r="L412" s="7">
        <f t="shared" si="36"/>
        <v>7.1619724391352915E-3</v>
      </c>
      <c r="M412" s="7">
        <f t="shared" si="33"/>
        <v>5.3714793293514689E-2</v>
      </c>
      <c r="N412" s="7">
        <f t="shared" si="37"/>
        <v>4.2971834634811752E-2</v>
      </c>
      <c r="O412" s="8"/>
      <c r="P412" s="26"/>
      <c r="S412" s="10" t="str">
        <f t="shared" si="34"/>
        <v/>
      </c>
    </row>
    <row r="413" spans="5:19" x14ac:dyDescent="0.3">
      <c r="E413" s="9">
        <f>IF(DADOS!C413="","",DADOS!C413)</f>
        <v>19</v>
      </c>
      <c r="F413" s="9">
        <f>IF(DADOS!E413="","",DADOS!E413)</f>
        <v>34</v>
      </c>
      <c r="G413" s="9">
        <f>IF(DADOS!F413="","",DADOS!F413)</f>
        <v>7.5</v>
      </c>
      <c r="K413" s="6">
        <f t="shared" si="35"/>
        <v>10.822536130248883</v>
      </c>
      <c r="L413" s="7">
        <f t="shared" si="36"/>
        <v>9.1991557107115492E-3</v>
      </c>
      <c r="M413" s="7">
        <f t="shared" si="33"/>
        <v>6.8993667830336614E-2</v>
      </c>
      <c r="N413" s="7">
        <f t="shared" si="37"/>
        <v>5.5194934264269295E-2</v>
      </c>
      <c r="O413" s="8"/>
      <c r="P413" s="26"/>
      <c r="S413" s="10" t="str">
        <f t="shared" si="34"/>
        <v/>
      </c>
    </row>
    <row r="414" spans="5:19" x14ac:dyDescent="0.3">
      <c r="E414" s="9">
        <f>IF(DADOS!C414="","",DADOS!C414)</f>
        <v>19</v>
      </c>
      <c r="F414" s="9">
        <f>IF(DADOS!E414="","",DADOS!E414)</f>
        <v>24.8</v>
      </c>
      <c r="G414" s="9">
        <f>IF(DADOS!F414="","",DADOS!F414)</f>
        <v>6</v>
      </c>
      <c r="K414" s="6">
        <f t="shared" si="35"/>
        <v>7.8940851773580096</v>
      </c>
      <c r="L414" s="7">
        <f t="shared" si="36"/>
        <v>4.8943328099619659E-3</v>
      </c>
      <c r="M414" s="7">
        <f t="shared" si="33"/>
        <v>2.9365996859771794E-2</v>
      </c>
      <c r="N414" s="7">
        <f t="shared" si="37"/>
        <v>2.3492797487817435E-2</v>
      </c>
      <c r="O414" s="8"/>
      <c r="P414" s="26"/>
      <c r="S414" s="10" t="str">
        <f t="shared" si="34"/>
        <v/>
      </c>
    </row>
    <row r="415" spans="5:19" x14ac:dyDescent="0.3">
      <c r="E415" s="9">
        <f>IF(DADOS!C415="","",DADOS!C415)</f>
        <v>19</v>
      </c>
      <c r="F415" s="9">
        <f>IF(DADOS!E415="","",DADOS!E415)</f>
        <v>61.5</v>
      </c>
      <c r="G415" s="9">
        <f>IF(DADOS!F415="","",DADOS!F415)</f>
        <v>6</v>
      </c>
      <c r="K415" s="6">
        <f t="shared" si="35"/>
        <v>19.576058000303128</v>
      </c>
      <c r="L415" s="7">
        <f t="shared" si="36"/>
        <v>3.0098189175466059E-2</v>
      </c>
      <c r="M415" s="7">
        <f t="shared" si="33"/>
        <v>0.18058913505279636</v>
      </c>
      <c r="N415" s="7">
        <f t="shared" si="37"/>
        <v>0.1444713080422371</v>
      </c>
      <c r="O415" s="8"/>
      <c r="P415" s="26"/>
      <c r="S415" s="10" t="str">
        <f t="shared" si="34"/>
        <v/>
      </c>
    </row>
    <row r="416" spans="5:19" x14ac:dyDescent="0.3">
      <c r="E416" s="9">
        <f>IF(DADOS!C416="","",DADOS!C416)</f>
        <v>19</v>
      </c>
      <c r="F416" s="9">
        <f>IF(DADOS!E416="","",DADOS!E416)</f>
        <v>40.799999999999997</v>
      </c>
      <c r="G416" s="9">
        <f>IF(DADOS!F416="","",DADOS!F416)</f>
        <v>2</v>
      </c>
      <c r="K416" s="6">
        <f t="shared" si="35"/>
        <v>12.98704335629866</v>
      </c>
      <c r="L416" s="7">
        <f t="shared" si="36"/>
        <v>1.3246784223424632E-2</v>
      </c>
      <c r="M416" s="7">
        <f t="shared" si="33"/>
        <v>2.6493568446849265E-2</v>
      </c>
      <c r="N416" s="7">
        <f t="shared" si="37"/>
        <v>2.1194854757479412E-2</v>
      </c>
      <c r="O416" s="8"/>
      <c r="P416" s="26"/>
      <c r="S416" s="10" t="str">
        <f t="shared" si="34"/>
        <v/>
      </c>
    </row>
    <row r="417" spans="5:19" x14ac:dyDescent="0.3">
      <c r="E417" s="9">
        <f>IF(DADOS!C417="","",DADOS!C417)</f>
        <v>19</v>
      </c>
      <c r="F417" s="9">
        <f>IF(DADOS!E417="","",DADOS!E417)</f>
        <v>20.8</v>
      </c>
      <c r="G417" s="9">
        <f>IF(DADOS!F417="","",DADOS!F417)</f>
        <v>5</v>
      </c>
      <c r="K417" s="6">
        <f t="shared" si="35"/>
        <v>6.6208456326228466</v>
      </c>
      <c r="L417" s="7">
        <f t="shared" si="36"/>
        <v>3.4428397289638802E-3</v>
      </c>
      <c r="M417" s="7">
        <f t="shared" si="33"/>
        <v>1.7214198644819399E-2</v>
      </c>
      <c r="N417" s="7">
        <f t="shared" si="37"/>
        <v>1.3771358915855521E-2</v>
      </c>
      <c r="O417" s="8"/>
      <c r="P417" s="26"/>
      <c r="S417" s="10" t="str">
        <f t="shared" si="34"/>
        <v/>
      </c>
    </row>
    <row r="418" spans="5:19" x14ac:dyDescent="0.3">
      <c r="E418" s="9">
        <f>IF(DADOS!C418="","",DADOS!C418)</f>
        <v>19</v>
      </c>
      <c r="F418" s="9">
        <f>IF(DADOS!E418="","",DADOS!E418)</f>
        <v>25</v>
      </c>
      <c r="G418" s="9">
        <f>IF(DADOS!F418="","",DADOS!F418)</f>
        <v>4.5</v>
      </c>
      <c r="K418" s="6">
        <f t="shared" si="35"/>
        <v>7.9577471545947667</v>
      </c>
      <c r="L418" s="7">
        <f t="shared" si="36"/>
        <v>4.9735919716217287E-3</v>
      </c>
      <c r="M418" s="7">
        <f t="shared" si="33"/>
        <v>2.2381163872297778E-2</v>
      </c>
      <c r="N418" s="7">
        <f t="shared" si="37"/>
        <v>1.7904931097838223E-2</v>
      </c>
      <c r="O418" s="8"/>
      <c r="P418" s="26"/>
      <c r="S418" s="10" t="str">
        <f t="shared" si="34"/>
        <v/>
      </c>
    </row>
    <row r="419" spans="5:19" x14ac:dyDescent="0.3">
      <c r="E419" s="9">
        <f>IF(DADOS!C419="","",DADOS!C419)</f>
        <v>19</v>
      </c>
      <c r="F419" s="9">
        <f>IF(DADOS!E419="","",DADOS!E419)</f>
        <v>21</v>
      </c>
      <c r="G419" s="9">
        <f>IF(DADOS!F419="","",DADOS!F419)</f>
        <v>4</v>
      </c>
      <c r="K419" s="6">
        <f t="shared" si="35"/>
        <v>6.6845076098596046</v>
      </c>
      <c r="L419" s="7">
        <f t="shared" si="36"/>
        <v>3.5093664951762926E-3</v>
      </c>
      <c r="M419" s="7">
        <f t="shared" si="33"/>
        <v>1.4037465980705171E-2</v>
      </c>
      <c r="N419" s="7">
        <f t="shared" si="37"/>
        <v>1.1229972784564137E-2</v>
      </c>
      <c r="O419" s="8"/>
      <c r="P419" s="26"/>
      <c r="S419" s="10" t="str">
        <f t="shared" si="34"/>
        <v/>
      </c>
    </row>
    <row r="420" spans="5:19" x14ac:dyDescent="0.3">
      <c r="E420" s="9">
        <f>IF(DADOS!C420="","",DADOS!C420)</f>
        <v>19</v>
      </c>
      <c r="F420" s="9">
        <f>IF(DADOS!E420="","",DADOS!E420)</f>
        <v>22.5</v>
      </c>
      <c r="G420" s="9">
        <f>IF(DADOS!F420="","",DADOS!F420)</f>
        <v>4.5</v>
      </c>
      <c r="K420" s="6">
        <f t="shared" si="35"/>
        <v>7.1619724391352904</v>
      </c>
      <c r="L420" s="7">
        <f t="shared" si="36"/>
        <v>4.0286094970136011E-3</v>
      </c>
      <c r="M420" s="7">
        <f t="shared" si="33"/>
        <v>1.8128742736561204E-2</v>
      </c>
      <c r="N420" s="7">
        <f t="shared" si="37"/>
        <v>1.4502994189248964E-2</v>
      </c>
      <c r="O420" s="8"/>
      <c r="P420" s="26"/>
      <c r="S420" s="10" t="str">
        <f t="shared" si="34"/>
        <v/>
      </c>
    </row>
    <row r="421" spans="5:19" x14ac:dyDescent="0.3">
      <c r="E421" s="9">
        <f>IF(DADOS!C421="","",DADOS!C421)</f>
        <v>19</v>
      </c>
      <c r="F421" s="9">
        <f>IF(DADOS!E421="","",DADOS!E421)</f>
        <v>18</v>
      </c>
      <c r="G421" s="9">
        <f>IF(DADOS!F421="","",DADOS!F421)</f>
        <v>4</v>
      </c>
      <c r="K421" s="6">
        <f t="shared" si="35"/>
        <v>5.7295779513082321</v>
      </c>
      <c r="L421" s="7">
        <f t="shared" si="36"/>
        <v>2.5783100780887042E-3</v>
      </c>
      <c r="M421" s="7">
        <f t="shared" si="33"/>
        <v>1.0313240312354817E-2</v>
      </c>
      <c r="N421" s="7">
        <f t="shared" si="37"/>
        <v>8.2505922498838542E-3</v>
      </c>
      <c r="O421" s="8"/>
      <c r="P421" s="26"/>
      <c r="S421" s="10" t="str">
        <f t="shared" si="34"/>
        <v/>
      </c>
    </row>
    <row r="422" spans="5:19" x14ac:dyDescent="0.3">
      <c r="E422" s="9">
        <f>IF(DADOS!C422="","",DADOS!C422)</f>
        <v>19</v>
      </c>
      <c r="F422" s="9">
        <f>IF(DADOS!E422="","",DADOS!E422)</f>
        <v>58.4</v>
      </c>
      <c r="G422" s="9">
        <f>IF(DADOS!F422="","",DADOS!F422)</f>
        <v>10</v>
      </c>
      <c r="K422" s="6">
        <f t="shared" si="35"/>
        <v>18.589297353133375</v>
      </c>
      <c r="L422" s="7">
        <f t="shared" si="36"/>
        <v>2.7140374135574727E-2</v>
      </c>
      <c r="M422" s="7">
        <f t="shared" si="33"/>
        <v>0.2714037413557473</v>
      </c>
      <c r="N422" s="7">
        <f t="shared" si="37"/>
        <v>0.21712299308459784</v>
      </c>
      <c r="O422" s="8"/>
      <c r="P422" s="26"/>
      <c r="S422" s="10" t="str">
        <f t="shared" si="34"/>
        <v/>
      </c>
    </row>
    <row r="423" spans="5:19" x14ac:dyDescent="0.3">
      <c r="E423" s="9">
        <f>IF(DADOS!C423="","",DADOS!C423)</f>
        <v>19</v>
      </c>
      <c r="F423" s="9">
        <f>IF(DADOS!E423="","",DADOS!E423)</f>
        <v>94.5</v>
      </c>
      <c r="G423" s="9">
        <f>IF(DADOS!F423="","",DADOS!F423)</f>
        <v>10</v>
      </c>
      <c r="K423" s="6">
        <f t="shared" si="35"/>
        <v>30.080284244368219</v>
      </c>
      <c r="L423" s="7">
        <f t="shared" si="36"/>
        <v>7.106467152731992E-2</v>
      </c>
      <c r="M423" s="7">
        <f t="shared" si="33"/>
        <v>0.71064671527319923</v>
      </c>
      <c r="N423" s="7">
        <f t="shared" si="37"/>
        <v>0.56851737221855936</v>
      </c>
      <c r="O423" s="8"/>
      <c r="P423" s="26"/>
      <c r="S423" s="10" t="str">
        <f t="shared" si="34"/>
        <v/>
      </c>
    </row>
    <row r="424" spans="5:19" x14ac:dyDescent="0.3">
      <c r="E424" s="9">
        <f>IF(DADOS!C424="","",DADOS!C424)</f>
        <v>19</v>
      </c>
      <c r="F424" s="9">
        <f>IF(DADOS!E424="","",DADOS!E424)</f>
        <v>42.3</v>
      </c>
      <c r="G424" s="9">
        <f>IF(DADOS!F424="","",DADOS!F424)</f>
        <v>8</v>
      </c>
      <c r="K424" s="6">
        <f t="shared" si="35"/>
        <v>13.464508185574346</v>
      </c>
      <c r="L424" s="7">
        <f t="shared" si="36"/>
        <v>1.4238717406244871E-2</v>
      </c>
      <c r="M424" s="7">
        <f t="shared" si="33"/>
        <v>0.11390973924995897</v>
      </c>
      <c r="N424" s="7">
        <f t="shared" si="37"/>
        <v>9.1127791399967184E-2</v>
      </c>
      <c r="O424" s="8"/>
      <c r="P424" s="26"/>
      <c r="S424" s="10" t="str">
        <f t="shared" si="34"/>
        <v/>
      </c>
    </row>
    <row r="425" spans="5:19" x14ac:dyDescent="0.3">
      <c r="E425" s="9">
        <f>IF(DADOS!C425="","",DADOS!C425)</f>
        <v>19</v>
      </c>
      <c r="F425" s="9">
        <f>IF(DADOS!E425="","",DADOS!E425)</f>
        <v>69.7</v>
      </c>
      <c r="G425" s="9">
        <f>IF(DADOS!F425="","",DADOS!F425)</f>
        <v>9</v>
      </c>
      <c r="K425" s="6">
        <f t="shared" si="35"/>
        <v>22.186199067010211</v>
      </c>
      <c r="L425" s="7">
        <f t="shared" si="36"/>
        <v>3.8659451874265297E-2</v>
      </c>
      <c r="M425" s="7">
        <f t="shared" si="33"/>
        <v>0.34793506686838765</v>
      </c>
      <c r="N425" s="7">
        <f t="shared" si="37"/>
        <v>0.27834805349471015</v>
      </c>
      <c r="O425" s="8"/>
      <c r="P425" s="26"/>
      <c r="S425" s="10" t="str">
        <f t="shared" si="34"/>
        <v/>
      </c>
    </row>
    <row r="426" spans="5:19" x14ac:dyDescent="0.3">
      <c r="E426" s="9">
        <f>IF(DADOS!C426="","",DADOS!C426)</f>
        <v>19</v>
      </c>
      <c r="F426" s="9">
        <f>IF(DADOS!E426="","",DADOS!E426)</f>
        <v>59.5</v>
      </c>
      <c r="G426" s="9">
        <f>IF(DADOS!F426="","",DADOS!F426)</f>
        <v>10</v>
      </c>
      <c r="K426" s="6">
        <f t="shared" si="35"/>
        <v>18.939438227935547</v>
      </c>
      <c r="L426" s="7">
        <f t="shared" si="36"/>
        <v>2.8172414364054127E-2</v>
      </c>
      <c r="M426" s="7">
        <f t="shared" si="33"/>
        <v>0.28172414364054127</v>
      </c>
      <c r="N426" s="7">
        <f t="shared" si="37"/>
        <v>0.22537931491243302</v>
      </c>
      <c r="O426" s="8"/>
      <c r="P426" s="26"/>
      <c r="S426" s="10" t="str">
        <f t="shared" si="34"/>
        <v/>
      </c>
    </row>
    <row r="427" spans="5:19" x14ac:dyDescent="0.3">
      <c r="E427" s="9">
        <f>IF(DADOS!C427="","",DADOS!C427)</f>
        <v>19</v>
      </c>
      <c r="F427" s="9">
        <f>IF(DADOS!E427="","",DADOS!E427)</f>
        <v>35.6</v>
      </c>
      <c r="G427" s="9">
        <f>IF(DADOS!F427="","",DADOS!F427)</f>
        <v>8</v>
      </c>
      <c r="K427" s="6">
        <f t="shared" si="35"/>
        <v>11.331831948142948</v>
      </c>
      <c r="L427" s="7">
        <f t="shared" si="36"/>
        <v>1.0085330433847224E-2</v>
      </c>
      <c r="M427" s="7">
        <f t="shared" si="33"/>
        <v>8.068264347077779E-2</v>
      </c>
      <c r="N427" s="7">
        <f t="shared" si="37"/>
        <v>6.454611477662224E-2</v>
      </c>
      <c r="O427" s="8"/>
      <c r="P427" s="26"/>
      <c r="S427" s="10" t="str">
        <f t="shared" si="34"/>
        <v/>
      </c>
    </row>
    <row r="428" spans="5:19" x14ac:dyDescent="0.3">
      <c r="E428" s="9">
        <f>IF(DADOS!C428="","",DADOS!C428)</f>
        <v>20</v>
      </c>
      <c r="F428" s="9">
        <f>IF(DADOS!E428="","",DADOS!E428)</f>
        <v>143.6</v>
      </c>
      <c r="G428" s="9">
        <f>IF(DADOS!F428="","",DADOS!F428)</f>
        <v>14</v>
      </c>
      <c r="K428" s="6">
        <f t="shared" si="35"/>
        <v>45.709299655992339</v>
      </c>
      <c r="L428" s="7">
        <f t="shared" si="36"/>
        <v>0.16409638576501251</v>
      </c>
      <c r="M428" s="7">
        <f t="shared" si="33"/>
        <v>2.2973494007101749</v>
      </c>
      <c r="N428" s="7">
        <f t="shared" si="37"/>
        <v>1.83787952056814</v>
      </c>
      <c r="O428" s="8"/>
      <c r="P428" s="26"/>
      <c r="S428" s="10" t="str">
        <f t="shared" si="34"/>
        <v/>
      </c>
    </row>
    <row r="429" spans="5:19" x14ac:dyDescent="0.3">
      <c r="E429" s="9">
        <f>IF(DADOS!C429="","",DADOS!C429)</f>
        <v>20</v>
      </c>
      <c r="F429" s="9">
        <f>IF(DADOS!E429="","",DADOS!E429)</f>
        <v>64.5</v>
      </c>
      <c r="G429" s="9">
        <f>IF(DADOS!F429="","",DADOS!F429)</f>
        <v>11</v>
      </c>
      <c r="K429" s="6">
        <f t="shared" si="35"/>
        <v>20.5309876588545</v>
      </c>
      <c r="L429" s="7">
        <f t="shared" si="36"/>
        <v>3.3106217599902878E-2</v>
      </c>
      <c r="M429" s="7">
        <f t="shared" si="33"/>
        <v>0.36416839359893166</v>
      </c>
      <c r="N429" s="7">
        <f t="shared" si="37"/>
        <v>0.29133471487914536</v>
      </c>
      <c r="O429" s="8"/>
      <c r="P429" s="26"/>
      <c r="S429" s="10" t="str">
        <f t="shared" si="34"/>
        <v/>
      </c>
    </row>
    <row r="430" spans="5:19" x14ac:dyDescent="0.3">
      <c r="E430" s="9">
        <f>IF(DADOS!C430="","",DADOS!C430)</f>
        <v>20</v>
      </c>
      <c r="F430" s="9">
        <f>IF(DADOS!E430="","",DADOS!E430)</f>
        <v>18.5</v>
      </c>
      <c r="G430" s="9">
        <f>IF(DADOS!F430="","",DADOS!F430)</f>
        <v>7</v>
      </c>
      <c r="K430" s="6">
        <f t="shared" si="35"/>
        <v>5.8887328944001274</v>
      </c>
      <c r="L430" s="7">
        <f t="shared" si="36"/>
        <v>2.7235389636600586E-3</v>
      </c>
      <c r="M430" s="7">
        <f t="shared" si="33"/>
        <v>1.906477274562041E-2</v>
      </c>
      <c r="N430" s="7">
        <f t="shared" si="37"/>
        <v>1.5251818196496328E-2</v>
      </c>
      <c r="O430" s="8"/>
      <c r="P430" s="26"/>
      <c r="S430" s="10" t="str">
        <f t="shared" si="34"/>
        <v/>
      </c>
    </row>
    <row r="431" spans="5:19" x14ac:dyDescent="0.3">
      <c r="E431" s="9">
        <f>IF(DADOS!C431="","",DADOS!C431)</f>
        <v>20</v>
      </c>
      <c r="F431" s="9">
        <f>IF(DADOS!E431="","",DADOS!E431)</f>
        <v>43</v>
      </c>
      <c r="G431" s="9">
        <f>IF(DADOS!F431="","",DADOS!F431)</f>
        <v>7.5</v>
      </c>
      <c r="K431" s="6">
        <f t="shared" si="35"/>
        <v>13.687325105903</v>
      </c>
      <c r="L431" s="7">
        <f t="shared" si="36"/>
        <v>1.4713874488845724E-2</v>
      </c>
      <c r="M431" s="7">
        <f t="shared" si="33"/>
        <v>0.11035405866634293</v>
      </c>
      <c r="N431" s="7">
        <f t="shared" si="37"/>
        <v>8.828324693307435E-2</v>
      </c>
      <c r="O431" s="8"/>
      <c r="P431" s="26"/>
      <c r="S431" s="10" t="str">
        <f t="shared" si="34"/>
        <v/>
      </c>
    </row>
    <row r="432" spans="5:19" x14ac:dyDescent="0.3">
      <c r="E432" s="9">
        <f>IF(DADOS!C432="","",DADOS!C432)</f>
        <v>20</v>
      </c>
      <c r="F432" s="9">
        <f>IF(DADOS!E432="","",DADOS!E432)</f>
        <v>25.7</v>
      </c>
      <c r="G432" s="9">
        <f>IF(DADOS!F432="","",DADOS!F432)</f>
        <v>7</v>
      </c>
      <c r="K432" s="6">
        <f t="shared" si="35"/>
        <v>8.1805640749234207</v>
      </c>
      <c r="L432" s="7">
        <f t="shared" si="36"/>
        <v>5.2560124181382983E-3</v>
      </c>
      <c r="M432" s="7">
        <f t="shared" si="33"/>
        <v>3.6792086926968087E-2</v>
      </c>
      <c r="N432" s="7">
        <f t="shared" si="37"/>
        <v>2.9433669541574472E-2</v>
      </c>
      <c r="O432" s="8"/>
      <c r="P432" s="26"/>
      <c r="S432" s="10" t="str">
        <f t="shared" si="34"/>
        <v/>
      </c>
    </row>
    <row r="433" spans="5:19" x14ac:dyDescent="0.3">
      <c r="E433" s="9">
        <f>IF(DADOS!C433="","",DADOS!C433)</f>
        <v>20</v>
      </c>
      <c r="F433" s="9">
        <f>IF(DADOS!E433="","",DADOS!E433)</f>
        <v>62</v>
      </c>
      <c r="G433" s="9">
        <f>IF(DADOS!F433="","",DADOS!F433)</f>
        <v>7</v>
      </c>
      <c r="K433" s="6">
        <f t="shared" si="35"/>
        <v>19.735212943395023</v>
      </c>
      <c r="L433" s="7">
        <f t="shared" si="36"/>
        <v>3.0589580062262291E-2</v>
      </c>
      <c r="M433" s="7">
        <f t="shared" si="33"/>
        <v>0.21412706043583604</v>
      </c>
      <c r="N433" s="7">
        <f t="shared" si="37"/>
        <v>0.17130164834866884</v>
      </c>
      <c r="O433" s="8"/>
      <c r="P433" s="26"/>
      <c r="S433" s="10" t="str">
        <f t="shared" si="34"/>
        <v/>
      </c>
    </row>
    <row r="434" spans="5:19" x14ac:dyDescent="0.3">
      <c r="E434" s="9">
        <f>IF(DADOS!C434="","",DADOS!C434)</f>
        <v>20</v>
      </c>
      <c r="F434" s="9">
        <f>IF(DADOS!E434="","",DADOS!E434)</f>
        <v>18.8</v>
      </c>
      <c r="G434" s="9">
        <f>IF(DADOS!F434="","",DADOS!F434)</f>
        <v>4</v>
      </c>
      <c r="K434" s="6">
        <f t="shared" si="35"/>
        <v>5.9842258602552647</v>
      </c>
      <c r="L434" s="7">
        <f t="shared" si="36"/>
        <v>2.8125861543199745E-3</v>
      </c>
      <c r="M434" s="7">
        <f t="shared" si="33"/>
        <v>1.1250344617279898E-2</v>
      </c>
      <c r="N434" s="7">
        <f t="shared" si="37"/>
        <v>9.0002756938239187E-3</v>
      </c>
      <c r="O434" s="8"/>
      <c r="P434" s="26"/>
      <c r="S434" s="10" t="str">
        <f t="shared" si="34"/>
        <v/>
      </c>
    </row>
    <row r="435" spans="5:19" x14ac:dyDescent="0.3">
      <c r="E435" s="9">
        <f>IF(DADOS!C435="","",DADOS!C435)</f>
        <v>20</v>
      </c>
      <c r="F435" s="9">
        <f>IF(DADOS!E435="","",DADOS!E435)</f>
        <v>18.8</v>
      </c>
      <c r="G435" s="9">
        <f>IF(DADOS!F435="","",DADOS!F435)</f>
        <v>5</v>
      </c>
      <c r="K435" s="6">
        <f t="shared" si="35"/>
        <v>5.9842258602552647</v>
      </c>
      <c r="L435" s="7">
        <f t="shared" si="36"/>
        <v>2.8125861543199745E-3</v>
      </c>
      <c r="M435" s="7">
        <f t="shared" si="33"/>
        <v>1.4062930771599872E-2</v>
      </c>
      <c r="N435" s="7">
        <f t="shared" si="37"/>
        <v>1.1250344617279898E-2</v>
      </c>
      <c r="O435" s="8"/>
      <c r="P435" s="26"/>
      <c r="S435" s="10" t="str">
        <f t="shared" si="34"/>
        <v/>
      </c>
    </row>
    <row r="436" spans="5:19" x14ac:dyDescent="0.3">
      <c r="E436" s="9">
        <f>IF(DADOS!C436="","",DADOS!C436)</f>
        <v>20</v>
      </c>
      <c r="F436" s="9">
        <f>IF(DADOS!E436="","",DADOS!E436)</f>
        <v>17.2</v>
      </c>
      <c r="G436" s="9">
        <f>IF(DADOS!F436="","",DADOS!F436)</f>
        <v>4.5</v>
      </c>
      <c r="K436" s="6">
        <f t="shared" si="35"/>
        <v>5.4749300423611995</v>
      </c>
      <c r="L436" s="7">
        <f t="shared" si="36"/>
        <v>2.3542199182153157E-3</v>
      </c>
      <c r="M436" s="7">
        <f t="shared" si="33"/>
        <v>1.059398963196892E-2</v>
      </c>
      <c r="N436" s="7">
        <f t="shared" si="37"/>
        <v>8.4751917055751365E-3</v>
      </c>
      <c r="O436" s="8"/>
      <c r="P436" s="26"/>
      <c r="S436" s="10" t="str">
        <f t="shared" si="34"/>
        <v/>
      </c>
    </row>
    <row r="437" spans="5:19" x14ac:dyDescent="0.3">
      <c r="E437" s="9">
        <f>IF(DADOS!C437="","",DADOS!C437)</f>
        <v>20</v>
      </c>
      <c r="F437" s="9">
        <f>IF(DADOS!E437="","",DADOS!E437)</f>
        <v>33</v>
      </c>
      <c r="G437" s="9">
        <f>IF(DADOS!F437="","",DADOS!F437)</f>
        <v>5.5</v>
      </c>
      <c r="K437" s="6">
        <f t="shared" si="35"/>
        <v>10.504226244065093</v>
      </c>
      <c r="L437" s="7">
        <f t="shared" si="36"/>
        <v>8.6659866513537007E-3</v>
      </c>
      <c r="M437" s="7">
        <f t="shared" si="33"/>
        <v>4.766292658244535E-2</v>
      </c>
      <c r="N437" s="7">
        <f t="shared" si="37"/>
        <v>3.8130341265956283E-2</v>
      </c>
      <c r="O437" s="8"/>
      <c r="P437" s="26"/>
      <c r="S437" s="10" t="str">
        <f t="shared" si="34"/>
        <v/>
      </c>
    </row>
    <row r="438" spans="5:19" x14ac:dyDescent="0.3">
      <c r="E438" s="9">
        <f>IF(DADOS!C438="","",DADOS!C438)</f>
        <v>20</v>
      </c>
      <c r="F438" s="9">
        <f>IF(DADOS!E438="","",DADOS!E438)</f>
        <v>19.2</v>
      </c>
      <c r="G438" s="9">
        <f>IF(DADOS!F438="","",DADOS!F438)</f>
        <v>4</v>
      </c>
      <c r="K438" s="6">
        <f t="shared" si="35"/>
        <v>6.1115498147287806</v>
      </c>
      <c r="L438" s="7">
        <f t="shared" si="36"/>
        <v>2.9335439110698145E-3</v>
      </c>
      <c r="M438" s="7">
        <f t="shared" si="33"/>
        <v>1.1734175644279258E-2</v>
      </c>
      <c r="N438" s="7">
        <f t="shared" si="37"/>
        <v>9.3873405154234063E-3</v>
      </c>
      <c r="O438" s="8"/>
      <c r="P438" s="26"/>
      <c r="S438" s="10" t="str">
        <f t="shared" si="34"/>
        <v/>
      </c>
    </row>
    <row r="439" spans="5:19" x14ac:dyDescent="0.3">
      <c r="E439" s="9">
        <f>IF(DADOS!C439="","",DADOS!C439)</f>
        <v>20</v>
      </c>
      <c r="F439" s="9">
        <f>IF(DADOS!E439="","",DADOS!E439)</f>
        <v>23.8</v>
      </c>
      <c r="G439" s="9">
        <f>IF(DADOS!F439="","",DADOS!F439)</f>
        <v>6</v>
      </c>
      <c r="K439" s="6">
        <f t="shared" si="35"/>
        <v>7.5757752911742182</v>
      </c>
      <c r="L439" s="7">
        <f t="shared" si="36"/>
        <v>4.5075862982486602E-3</v>
      </c>
      <c r="M439" s="7">
        <f t="shared" si="33"/>
        <v>2.7045517789491963E-2</v>
      </c>
      <c r="N439" s="7">
        <f t="shared" si="37"/>
        <v>2.163641423159357E-2</v>
      </c>
      <c r="O439" s="8"/>
      <c r="P439" s="26"/>
      <c r="S439" s="10" t="str">
        <f t="shared" si="34"/>
        <v/>
      </c>
    </row>
    <row r="440" spans="5:19" x14ac:dyDescent="0.3">
      <c r="E440" s="9">
        <f>IF(DADOS!C440="","",DADOS!C440)</f>
        <v>20</v>
      </c>
      <c r="F440" s="9">
        <f>IF(DADOS!E440="","",DADOS!E440)</f>
        <v>100.8</v>
      </c>
      <c r="G440" s="9">
        <f>IF(DADOS!F440="","",DADOS!F440)</f>
        <v>10</v>
      </c>
      <c r="K440" s="6">
        <f t="shared" si="35"/>
        <v>32.085636527326102</v>
      </c>
      <c r="L440" s="7">
        <f t="shared" si="36"/>
        <v>8.0855804048861779E-2</v>
      </c>
      <c r="M440" s="7">
        <f t="shared" si="33"/>
        <v>0.80855804048861779</v>
      </c>
      <c r="N440" s="7">
        <f t="shared" si="37"/>
        <v>0.64684643239089423</v>
      </c>
      <c r="O440" s="8"/>
      <c r="P440" s="26"/>
      <c r="S440" s="10" t="str">
        <f t="shared" si="34"/>
        <v/>
      </c>
    </row>
    <row r="441" spans="5:19" x14ac:dyDescent="0.3">
      <c r="E441" s="9">
        <f>IF(DADOS!C441="","",DADOS!C441)</f>
        <v>20</v>
      </c>
      <c r="F441" s="9">
        <f>IF(DADOS!E441="","",DADOS!E441)</f>
        <v>64.599999999999994</v>
      </c>
      <c r="G441" s="9">
        <f>IF(DADOS!F441="","",DADOS!F441)</f>
        <v>10</v>
      </c>
      <c r="K441" s="6">
        <f t="shared" si="35"/>
        <v>20.562818647472877</v>
      </c>
      <c r="L441" s="7">
        <f t="shared" si="36"/>
        <v>3.3208952115668697E-2</v>
      </c>
      <c r="M441" s="7">
        <f t="shared" si="33"/>
        <v>0.332089521156687</v>
      </c>
      <c r="N441" s="7">
        <f t="shared" si="37"/>
        <v>0.26567161692534963</v>
      </c>
      <c r="O441" s="8"/>
      <c r="P441" s="26"/>
      <c r="S441" s="10" t="str">
        <f t="shared" si="34"/>
        <v/>
      </c>
    </row>
    <row r="442" spans="5:19" x14ac:dyDescent="0.3">
      <c r="E442" s="9">
        <f>IF(DADOS!C442="","",DADOS!C442)</f>
        <v>20</v>
      </c>
      <c r="F442" s="9">
        <f>IF(DADOS!E442="","",DADOS!E442)</f>
        <v>80.099999999999994</v>
      </c>
      <c r="G442" s="9">
        <f>IF(DADOS!F442="","",DADOS!F442)</f>
        <v>10</v>
      </c>
      <c r="K442" s="6">
        <f t="shared" si="35"/>
        <v>25.49662188332163</v>
      </c>
      <c r="L442" s="7">
        <f t="shared" si="36"/>
        <v>5.1056985321351563E-2</v>
      </c>
      <c r="M442" s="7">
        <f t="shared" si="33"/>
        <v>0.51056985321351567</v>
      </c>
      <c r="N442" s="7">
        <f t="shared" si="37"/>
        <v>0.40845588257081256</v>
      </c>
      <c r="O442" s="8"/>
      <c r="P442" s="26"/>
      <c r="S442" s="10" t="str">
        <f t="shared" si="34"/>
        <v/>
      </c>
    </row>
    <row r="443" spans="5:19" x14ac:dyDescent="0.3">
      <c r="E443" s="9">
        <f>IF(DADOS!C443="","",DADOS!C443)</f>
        <v>20</v>
      </c>
      <c r="F443" s="9">
        <f>IF(DADOS!E443="","",DADOS!E443)</f>
        <v>81</v>
      </c>
      <c r="G443" s="9">
        <f>IF(DADOS!F443="","",DADOS!F443)</f>
        <v>10</v>
      </c>
      <c r="K443" s="6">
        <f t="shared" si="35"/>
        <v>25.783100780887047</v>
      </c>
      <c r="L443" s="7">
        <f t="shared" si="36"/>
        <v>5.2210779081296281E-2</v>
      </c>
      <c r="M443" s="7">
        <f t="shared" si="33"/>
        <v>0.52210779081296277</v>
      </c>
      <c r="N443" s="7">
        <f t="shared" si="37"/>
        <v>0.41768623265037025</v>
      </c>
      <c r="O443" s="8"/>
      <c r="P443" s="26"/>
      <c r="S443" s="10" t="str">
        <f t="shared" si="34"/>
        <v/>
      </c>
    </row>
    <row r="444" spans="5:19" x14ac:dyDescent="0.3">
      <c r="E444" s="9">
        <f>IF(DADOS!C444="","",DADOS!C444)</f>
        <v>20</v>
      </c>
      <c r="F444" s="9">
        <f>IF(DADOS!E444="","",DADOS!E444)</f>
        <v>66</v>
      </c>
      <c r="G444" s="9">
        <f>IF(DADOS!F444="","",DADOS!F444)</f>
        <v>9</v>
      </c>
      <c r="K444" s="6">
        <f t="shared" si="35"/>
        <v>21.008452488130185</v>
      </c>
      <c r="L444" s="7">
        <f t="shared" si="36"/>
        <v>3.4663946605414803E-2</v>
      </c>
      <c r="M444" s="7">
        <f t="shared" si="33"/>
        <v>0.31197551944873325</v>
      </c>
      <c r="N444" s="7">
        <f t="shared" si="37"/>
        <v>0.24958041555898661</v>
      </c>
      <c r="O444" s="8"/>
      <c r="P444" s="26"/>
      <c r="S444" s="10" t="str">
        <f t="shared" si="34"/>
        <v/>
      </c>
    </row>
    <row r="445" spans="5:19" x14ac:dyDescent="0.3">
      <c r="E445" s="9">
        <f>IF(DADOS!C445="","",DADOS!C445)</f>
        <v>20</v>
      </c>
      <c r="F445" s="9">
        <f>IF(DADOS!E445="","",DADOS!E445)</f>
        <v>74.7</v>
      </c>
      <c r="G445" s="9">
        <f>IF(DADOS!F445="","",DADOS!F445)</f>
        <v>10</v>
      </c>
      <c r="K445" s="6">
        <f t="shared" si="35"/>
        <v>23.777748497929164</v>
      </c>
      <c r="L445" s="7">
        <f t="shared" si="36"/>
        <v>4.4404945319882712E-2</v>
      </c>
      <c r="M445" s="7">
        <f t="shared" si="33"/>
        <v>0.4440494531988271</v>
      </c>
      <c r="N445" s="7">
        <f t="shared" si="37"/>
        <v>0.35523956255906169</v>
      </c>
      <c r="O445" s="8"/>
      <c r="P445" s="26"/>
      <c r="S445" s="10" t="str">
        <f t="shared" si="34"/>
        <v/>
      </c>
    </row>
    <row r="446" spans="5:19" x14ac:dyDescent="0.3">
      <c r="E446" s="9">
        <f>IF(DADOS!C446="","",DADOS!C446)</f>
        <v>20</v>
      </c>
      <c r="F446" s="9">
        <f>IF(DADOS!E446="","",DADOS!E446)</f>
        <v>54.2</v>
      </c>
      <c r="G446" s="9">
        <f>IF(DADOS!F446="","",DADOS!F446)</f>
        <v>9</v>
      </c>
      <c r="K446" s="6">
        <f t="shared" si="35"/>
        <v>17.252395831161454</v>
      </c>
      <c r="L446" s="7">
        <f t="shared" si="36"/>
        <v>2.3376996351223773E-2</v>
      </c>
      <c r="M446" s="7">
        <f t="shared" si="33"/>
        <v>0.21039296716101397</v>
      </c>
      <c r="N446" s="7">
        <f t="shared" si="37"/>
        <v>0.1683143737288112</v>
      </c>
      <c r="O446" s="8"/>
      <c r="P446" s="26"/>
      <c r="S446" s="10" t="str">
        <f t="shared" si="34"/>
        <v/>
      </c>
    </row>
    <row r="447" spans="5:19" x14ac:dyDescent="0.3">
      <c r="E447" s="9">
        <f>IF(DADOS!C447="","",DADOS!C447)</f>
        <v>20</v>
      </c>
      <c r="F447" s="9">
        <f>IF(DADOS!E447="","",DADOS!E447)</f>
        <v>75.2</v>
      </c>
      <c r="G447" s="9">
        <f>IF(DADOS!F447="","",DADOS!F447)</f>
        <v>8</v>
      </c>
      <c r="K447" s="6">
        <f t="shared" si="35"/>
        <v>23.936903441021059</v>
      </c>
      <c r="L447" s="7">
        <f t="shared" si="36"/>
        <v>4.5001378469119592E-2</v>
      </c>
      <c r="M447" s="7">
        <f t="shared" si="33"/>
        <v>0.36001102775295674</v>
      </c>
      <c r="N447" s="7">
        <f t="shared" si="37"/>
        <v>0.2880088222023654</v>
      </c>
      <c r="O447" s="8"/>
      <c r="P447" s="26"/>
      <c r="S447" s="10" t="str">
        <f t="shared" si="34"/>
        <v/>
      </c>
    </row>
    <row r="448" spans="5:19" x14ac:dyDescent="0.3">
      <c r="E448" s="9">
        <f>IF(DADOS!C448="","",DADOS!C448)</f>
        <v>20</v>
      </c>
      <c r="F448" s="9">
        <f>IF(DADOS!E448="","",DADOS!E448)</f>
        <v>52.7</v>
      </c>
      <c r="G448" s="9">
        <f>IF(DADOS!F448="","",DADOS!F448)</f>
        <v>9</v>
      </c>
      <c r="K448" s="6">
        <f t="shared" si="35"/>
        <v>16.774931001885768</v>
      </c>
      <c r="L448" s="7">
        <f t="shared" si="36"/>
        <v>2.21009715949845E-2</v>
      </c>
      <c r="M448" s="7">
        <f t="shared" si="33"/>
        <v>0.1989087443548605</v>
      </c>
      <c r="N448" s="7">
        <f t="shared" si="37"/>
        <v>0.15912699548388842</v>
      </c>
      <c r="O448" s="8"/>
      <c r="P448" s="26"/>
      <c r="S448" s="10" t="str">
        <f t="shared" si="34"/>
        <v/>
      </c>
    </row>
    <row r="449" spans="5:19" x14ac:dyDescent="0.3">
      <c r="E449" s="9">
        <f>IF(DADOS!C449="","",DADOS!C449)</f>
        <v>21</v>
      </c>
      <c r="F449" s="9">
        <f>IF(DADOS!E449="","",DADOS!E449)</f>
        <v>87.8</v>
      </c>
      <c r="G449" s="9">
        <f>IF(DADOS!F449="","",DADOS!F449)</f>
        <v>13</v>
      </c>
      <c r="K449" s="6">
        <f t="shared" si="35"/>
        <v>27.947608006936822</v>
      </c>
      <c r="L449" s="7">
        <f t="shared" si="36"/>
        <v>6.1344999575226315E-2</v>
      </c>
      <c r="M449" s="7">
        <f t="shared" si="33"/>
        <v>0.79748499447794208</v>
      </c>
      <c r="N449" s="7">
        <f t="shared" si="37"/>
        <v>0.63798799558235375</v>
      </c>
      <c r="O449" s="8"/>
      <c r="P449" s="26"/>
      <c r="S449" s="10" t="str">
        <f t="shared" si="34"/>
        <v/>
      </c>
    </row>
    <row r="450" spans="5:19" x14ac:dyDescent="0.3">
      <c r="E450" s="9">
        <f>IF(DADOS!C450="","",DADOS!C450)</f>
        <v>21</v>
      </c>
      <c r="F450" s="9">
        <f>IF(DADOS!E450="","",DADOS!E450)</f>
        <v>17.899999999999999</v>
      </c>
      <c r="G450" s="9">
        <f>IF(DADOS!F450="","",DADOS!F450)</f>
        <v>11</v>
      </c>
      <c r="K450" s="6">
        <f t="shared" si="35"/>
        <v>5.6977469626898527</v>
      </c>
      <c r="L450" s="7">
        <f t="shared" si="36"/>
        <v>2.5497417658037085E-3</v>
      </c>
      <c r="M450" s="7">
        <f t="shared" si="33"/>
        <v>2.8047159423840794E-2</v>
      </c>
      <c r="N450" s="7">
        <f t="shared" si="37"/>
        <v>2.2437727539072638E-2</v>
      </c>
      <c r="O450" s="8"/>
      <c r="P450" s="26"/>
      <c r="S450" s="10" t="str">
        <f t="shared" si="34"/>
        <v/>
      </c>
    </row>
    <row r="451" spans="5:19" x14ac:dyDescent="0.3">
      <c r="E451" s="9">
        <f>IF(DADOS!C451="","",DADOS!C451)</f>
        <v>21</v>
      </c>
      <c r="F451" s="9">
        <f>IF(DADOS!E451="","",DADOS!E451)</f>
        <v>169.5</v>
      </c>
      <c r="G451" s="9">
        <f>IF(DADOS!F451="","",DADOS!F451)</f>
        <v>14</v>
      </c>
      <c r="K451" s="6">
        <f t="shared" si="35"/>
        <v>53.953525708152519</v>
      </c>
      <c r="L451" s="7">
        <f t="shared" si="36"/>
        <v>0.22862806518829629</v>
      </c>
      <c r="M451" s="7">
        <f t="shared" ref="M451:M514" si="38">IF(L451="","",L451*G451)</f>
        <v>3.2007929126361478</v>
      </c>
      <c r="N451" s="7">
        <f t="shared" si="37"/>
        <v>2.5606343301089183</v>
      </c>
      <c r="O451" s="8"/>
      <c r="P451" s="26"/>
      <c r="S451" s="10" t="str">
        <f t="shared" ref="S451:S514" si="39">IF(R451="","",SUMIFS($N$3:$N$10000,$E$3:$E$10000,R451))</f>
        <v/>
      </c>
    </row>
    <row r="452" spans="5:19" x14ac:dyDescent="0.3">
      <c r="E452" s="9">
        <f>IF(DADOS!C452="","",DADOS!C452)</f>
        <v>21</v>
      </c>
      <c r="F452" s="9">
        <f>IF(DADOS!E452="","",DADOS!E452)</f>
        <v>31.7</v>
      </c>
      <c r="G452" s="9">
        <f>IF(DADOS!F452="","",DADOS!F452)</f>
        <v>4</v>
      </c>
      <c r="K452" s="6">
        <f t="shared" ref="K452:K515" si="40">IF(F452="","",F452/PI())</f>
        <v>10.090423392026164</v>
      </c>
      <c r="L452" s="7">
        <f t="shared" ref="L452:L515" si="41">IF(K452="","",(PI()*K452^2)/40000)</f>
        <v>7.9966605381807335E-3</v>
      </c>
      <c r="M452" s="7">
        <f t="shared" si="38"/>
        <v>3.1986642152722934E-2</v>
      </c>
      <c r="N452" s="7">
        <f t="shared" ref="N452:N515" si="42">IF(M452="","",M452*N$1)</f>
        <v>2.5589313722178347E-2</v>
      </c>
      <c r="O452" s="8"/>
      <c r="P452" s="26"/>
      <c r="S452" s="10" t="str">
        <f t="shared" si="39"/>
        <v/>
      </c>
    </row>
    <row r="453" spans="5:19" x14ac:dyDescent="0.3">
      <c r="E453" s="9">
        <f>IF(DADOS!C453="","",DADOS!C453)</f>
        <v>21</v>
      </c>
      <c r="F453" s="9">
        <f>IF(DADOS!E453="","",DADOS!E453)</f>
        <v>29.3</v>
      </c>
      <c r="G453" s="9">
        <f>IF(DADOS!F453="","",DADOS!F453)</f>
        <v>5.5</v>
      </c>
      <c r="K453" s="6">
        <f t="shared" si="40"/>
        <v>9.326479665185067</v>
      </c>
      <c r="L453" s="7">
        <f t="shared" si="41"/>
        <v>6.831646354748061E-3</v>
      </c>
      <c r="M453" s="7">
        <f t="shared" si="38"/>
        <v>3.7574054951114336E-2</v>
      </c>
      <c r="N453" s="7">
        <f t="shared" si="42"/>
        <v>3.005924396089147E-2</v>
      </c>
      <c r="O453" s="8"/>
      <c r="P453" s="26"/>
      <c r="S453" s="10" t="str">
        <f t="shared" si="39"/>
        <v/>
      </c>
    </row>
    <row r="454" spans="5:19" x14ac:dyDescent="0.3">
      <c r="E454" s="9">
        <f>IF(DADOS!C454="","",DADOS!C454)</f>
        <v>21</v>
      </c>
      <c r="F454" s="9">
        <f>IF(DADOS!E454="","",DADOS!E454)</f>
        <v>23</v>
      </c>
      <c r="G454" s="9">
        <f>IF(DADOS!F454="","",DADOS!F454)</f>
        <v>5</v>
      </c>
      <c r="K454" s="6">
        <f t="shared" si="40"/>
        <v>7.3211273822271856</v>
      </c>
      <c r="L454" s="7">
        <f t="shared" si="41"/>
        <v>4.2096482447806314E-3</v>
      </c>
      <c r="M454" s="7">
        <f t="shared" si="38"/>
        <v>2.1048241223903155E-2</v>
      </c>
      <c r="N454" s="7">
        <f t="shared" si="42"/>
        <v>1.6838592979122526E-2</v>
      </c>
      <c r="O454" s="8"/>
      <c r="P454" s="26"/>
      <c r="S454" s="10" t="str">
        <f t="shared" si="39"/>
        <v/>
      </c>
    </row>
    <row r="455" spans="5:19" x14ac:dyDescent="0.3">
      <c r="E455" s="9">
        <f>IF(DADOS!C455="","",DADOS!C455)</f>
        <v>21</v>
      </c>
      <c r="F455" s="9">
        <f>IF(DADOS!E455="","",DADOS!E455)</f>
        <v>18</v>
      </c>
      <c r="G455" s="9">
        <f>IF(DADOS!F455="","",DADOS!F455)</f>
        <v>4</v>
      </c>
      <c r="K455" s="6">
        <f t="shared" si="40"/>
        <v>5.7295779513082321</v>
      </c>
      <c r="L455" s="7">
        <f t="shared" si="41"/>
        <v>2.5783100780887042E-3</v>
      </c>
      <c r="M455" s="7">
        <f t="shared" si="38"/>
        <v>1.0313240312354817E-2</v>
      </c>
      <c r="N455" s="7">
        <f t="shared" si="42"/>
        <v>8.2505922498838542E-3</v>
      </c>
      <c r="O455" s="8"/>
      <c r="P455" s="26"/>
      <c r="S455" s="10" t="str">
        <f t="shared" si="39"/>
        <v/>
      </c>
    </row>
    <row r="456" spans="5:19" x14ac:dyDescent="0.3">
      <c r="E456" s="9">
        <f>IF(DADOS!C456="","",DADOS!C456)</f>
        <v>21</v>
      </c>
      <c r="F456" s="9">
        <f>IF(DADOS!E456="","",DADOS!E456)</f>
        <v>20</v>
      </c>
      <c r="G456" s="9">
        <f>IF(DADOS!F456="","",DADOS!F456)</f>
        <v>5</v>
      </c>
      <c r="K456" s="6">
        <f t="shared" si="40"/>
        <v>6.366197723675814</v>
      </c>
      <c r="L456" s="7">
        <f t="shared" si="41"/>
        <v>3.1830988618379076E-3</v>
      </c>
      <c r="M456" s="7">
        <f t="shared" si="38"/>
        <v>1.5915494309189537E-2</v>
      </c>
      <c r="N456" s="7">
        <f t="shared" si="42"/>
        <v>1.273239544735163E-2</v>
      </c>
      <c r="O456" s="8"/>
      <c r="P456" s="26"/>
      <c r="S456" s="10" t="str">
        <f t="shared" si="39"/>
        <v/>
      </c>
    </row>
    <row r="457" spans="5:19" x14ac:dyDescent="0.3">
      <c r="E457" s="9">
        <f>IF(DADOS!C457="","",DADOS!C457)</f>
        <v>21</v>
      </c>
      <c r="F457" s="9">
        <f>IF(DADOS!E457="","",DADOS!E457)</f>
        <v>22.2</v>
      </c>
      <c r="G457" s="9">
        <f>IF(DADOS!F457="","",DADOS!F457)</f>
        <v>3.5</v>
      </c>
      <c r="K457" s="6">
        <f t="shared" si="40"/>
        <v>7.066479473280153</v>
      </c>
      <c r="L457" s="7">
        <f t="shared" si="41"/>
        <v>3.9218961076704847E-3</v>
      </c>
      <c r="M457" s="7">
        <f t="shared" si="38"/>
        <v>1.3726636376846697E-2</v>
      </c>
      <c r="N457" s="7">
        <f t="shared" si="42"/>
        <v>1.0981309101477358E-2</v>
      </c>
      <c r="O457" s="8"/>
      <c r="P457" s="26"/>
      <c r="S457" s="10" t="str">
        <f t="shared" si="39"/>
        <v/>
      </c>
    </row>
    <row r="458" spans="5:19" x14ac:dyDescent="0.3">
      <c r="E458" s="9">
        <f>IF(DADOS!C458="","",DADOS!C458)</f>
        <v>21</v>
      </c>
      <c r="F458" s="9">
        <f>IF(DADOS!E458="","",DADOS!E458)</f>
        <v>23.7</v>
      </c>
      <c r="G458" s="9">
        <f>IF(DADOS!F458="","",DADOS!F458)</f>
        <v>5</v>
      </c>
      <c r="K458" s="6">
        <f t="shared" si="40"/>
        <v>7.5439443025558388</v>
      </c>
      <c r="L458" s="7">
        <f t="shared" si="41"/>
        <v>4.4697869992643344E-3</v>
      </c>
      <c r="M458" s="7">
        <f t="shared" si="38"/>
        <v>2.2348934996321672E-2</v>
      </c>
      <c r="N458" s="7">
        <f t="shared" si="42"/>
        <v>1.7879147997057337E-2</v>
      </c>
      <c r="O458" s="8"/>
      <c r="P458" s="26"/>
      <c r="S458" s="10" t="str">
        <f t="shared" si="39"/>
        <v/>
      </c>
    </row>
    <row r="459" spans="5:19" x14ac:dyDescent="0.3">
      <c r="E459" s="9">
        <f>IF(DADOS!C459="","",DADOS!C459)</f>
        <v>21</v>
      </c>
      <c r="F459" s="9">
        <f>IF(DADOS!E459="","",DADOS!E459)</f>
        <v>121.1</v>
      </c>
      <c r="G459" s="9">
        <f>IF(DADOS!F459="","",DADOS!F459)</f>
        <v>10</v>
      </c>
      <c r="K459" s="6">
        <f t="shared" si="40"/>
        <v>38.547327216857049</v>
      </c>
      <c r="L459" s="7">
        <f t="shared" si="41"/>
        <v>0.11670203314903473</v>
      </c>
      <c r="M459" s="7">
        <f t="shared" si="38"/>
        <v>1.1670203314903473</v>
      </c>
      <c r="N459" s="7">
        <f t="shared" si="42"/>
        <v>0.93361626519227792</v>
      </c>
      <c r="O459" s="8"/>
      <c r="P459" s="26"/>
      <c r="S459" s="10" t="str">
        <f t="shared" si="39"/>
        <v/>
      </c>
    </row>
    <row r="460" spans="5:19" x14ac:dyDescent="0.3">
      <c r="E460" s="9">
        <f>IF(DADOS!C460="","",DADOS!C460)</f>
        <v>21</v>
      </c>
      <c r="F460" s="9">
        <f>IF(DADOS!E460="","",DADOS!E460)</f>
        <v>69.8</v>
      </c>
      <c r="G460" s="9">
        <f>IF(DADOS!F460="","",DADOS!F460)</f>
        <v>8</v>
      </c>
      <c r="K460" s="6">
        <f t="shared" si="40"/>
        <v>22.218030055628589</v>
      </c>
      <c r="L460" s="7">
        <f t="shared" si="41"/>
        <v>3.8770462447071885E-2</v>
      </c>
      <c r="M460" s="7">
        <f t="shared" si="38"/>
        <v>0.31016369957657508</v>
      </c>
      <c r="N460" s="7">
        <f t="shared" si="42"/>
        <v>0.24813095966126009</v>
      </c>
      <c r="O460" s="8"/>
      <c r="P460" s="26"/>
      <c r="S460" s="10" t="str">
        <f t="shared" si="39"/>
        <v/>
      </c>
    </row>
    <row r="461" spans="5:19" x14ac:dyDescent="0.3">
      <c r="E461" s="9">
        <f>IF(DADOS!C461="","",DADOS!C461)</f>
        <v>21</v>
      </c>
      <c r="F461" s="9">
        <f>IF(DADOS!E461="","",DADOS!E461)</f>
        <v>53.7</v>
      </c>
      <c r="G461" s="9">
        <f>IF(DADOS!F461="","",DADOS!F461)</f>
        <v>8.5</v>
      </c>
      <c r="K461" s="6">
        <f t="shared" si="40"/>
        <v>17.093240888069559</v>
      </c>
      <c r="L461" s="7">
        <f t="shared" si="41"/>
        <v>2.2947675892233382E-2</v>
      </c>
      <c r="M461" s="7">
        <f t="shared" si="38"/>
        <v>0.19505524508398375</v>
      </c>
      <c r="N461" s="7">
        <f t="shared" si="42"/>
        <v>0.156044196067187</v>
      </c>
      <c r="O461" s="8"/>
      <c r="P461" s="26"/>
      <c r="S461" s="10" t="str">
        <f t="shared" si="39"/>
        <v/>
      </c>
    </row>
    <row r="462" spans="5:19" x14ac:dyDescent="0.3">
      <c r="E462" s="9">
        <f>IF(DADOS!C462="","",DADOS!C462)</f>
        <v>21</v>
      </c>
      <c r="F462" s="9">
        <f>IF(DADOS!E462="","",DADOS!E462)</f>
        <v>36.9</v>
      </c>
      <c r="G462" s="9">
        <f>IF(DADOS!F462="","",DADOS!F462)</f>
        <v>8</v>
      </c>
      <c r="K462" s="6">
        <f t="shared" si="40"/>
        <v>11.745634800181875</v>
      </c>
      <c r="L462" s="7">
        <f t="shared" si="41"/>
        <v>1.083534810316778E-2</v>
      </c>
      <c r="M462" s="7">
        <f t="shared" si="38"/>
        <v>8.6682784825342238E-2</v>
      </c>
      <c r="N462" s="7">
        <f t="shared" si="42"/>
        <v>6.9346227860273793E-2</v>
      </c>
      <c r="O462" s="8"/>
      <c r="P462" s="26"/>
      <c r="S462" s="10" t="str">
        <f t="shared" si="39"/>
        <v/>
      </c>
    </row>
    <row r="463" spans="5:19" x14ac:dyDescent="0.3">
      <c r="E463" s="9">
        <f>IF(DADOS!C463="","",DADOS!C463)</f>
        <v>21</v>
      </c>
      <c r="F463" s="9">
        <f>IF(DADOS!E463="","",DADOS!E463)</f>
        <v>46</v>
      </c>
      <c r="G463" s="9">
        <f>IF(DADOS!F463="","",DADOS!F463)</f>
        <v>10</v>
      </c>
      <c r="K463" s="6">
        <f t="shared" si="40"/>
        <v>14.642254764454371</v>
      </c>
      <c r="L463" s="7">
        <f t="shared" si="41"/>
        <v>1.6838592979122526E-2</v>
      </c>
      <c r="M463" s="7">
        <f t="shared" si="38"/>
        <v>0.16838592979122524</v>
      </c>
      <c r="N463" s="7">
        <f t="shared" si="42"/>
        <v>0.1347087438329802</v>
      </c>
      <c r="O463" s="8"/>
      <c r="P463" s="26"/>
      <c r="S463" s="10" t="str">
        <f t="shared" si="39"/>
        <v/>
      </c>
    </row>
    <row r="464" spans="5:19" x14ac:dyDescent="0.3">
      <c r="E464" s="9">
        <f>IF(DADOS!C464="","",DADOS!C464)</f>
        <v>21</v>
      </c>
      <c r="F464" s="9">
        <f>IF(DADOS!E464="","",DADOS!E464)</f>
        <v>66.2</v>
      </c>
      <c r="G464" s="9">
        <f>IF(DADOS!F464="","",DADOS!F464)</f>
        <v>10</v>
      </c>
      <c r="K464" s="6">
        <f t="shared" si="40"/>
        <v>21.072114465366944</v>
      </c>
      <c r="L464" s="7">
        <f t="shared" si="41"/>
        <v>3.4874349440182292E-2</v>
      </c>
      <c r="M464" s="7">
        <f t="shared" si="38"/>
        <v>0.34874349440182295</v>
      </c>
      <c r="N464" s="7">
        <f t="shared" si="42"/>
        <v>0.27899479552145839</v>
      </c>
      <c r="O464" s="8"/>
      <c r="P464" s="26"/>
      <c r="S464" s="10" t="str">
        <f t="shared" si="39"/>
        <v/>
      </c>
    </row>
    <row r="465" spans="5:19" x14ac:dyDescent="0.3">
      <c r="E465" s="9">
        <f>IF(DADOS!C465="","",DADOS!C465)</f>
        <v>21</v>
      </c>
      <c r="F465" s="9">
        <f>IF(DADOS!E465="","",DADOS!E465)</f>
        <v>64.099999999999994</v>
      </c>
      <c r="G465" s="9">
        <f>IF(DADOS!F465="","",DADOS!F465)</f>
        <v>9</v>
      </c>
      <c r="K465" s="6">
        <f t="shared" si="40"/>
        <v>20.403663704380982</v>
      </c>
      <c r="L465" s="7">
        <f t="shared" si="41"/>
        <v>3.2696871086270521E-2</v>
      </c>
      <c r="M465" s="7">
        <f t="shared" si="38"/>
        <v>0.29427183977643467</v>
      </c>
      <c r="N465" s="7">
        <f t="shared" si="42"/>
        <v>0.23541747182114775</v>
      </c>
      <c r="O465" s="8"/>
      <c r="P465" s="26"/>
      <c r="S465" s="10" t="str">
        <f t="shared" si="39"/>
        <v/>
      </c>
    </row>
    <row r="466" spans="5:19" x14ac:dyDescent="0.3">
      <c r="E466" s="9">
        <f>IF(DADOS!C466="","",DADOS!C466)</f>
        <v>21</v>
      </c>
      <c r="F466" s="9">
        <f>IF(DADOS!E466="","",DADOS!E466)</f>
        <v>44.6</v>
      </c>
      <c r="G466" s="9">
        <f>IF(DADOS!F466="","",DADOS!F466)</f>
        <v>8.5</v>
      </c>
      <c r="K466" s="6">
        <f t="shared" si="40"/>
        <v>14.196620923797065</v>
      </c>
      <c r="L466" s="7">
        <f t="shared" si="41"/>
        <v>1.5829232330033732E-2</v>
      </c>
      <c r="M466" s="7">
        <f t="shared" si="38"/>
        <v>0.13454847480528673</v>
      </c>
      <c r="N466" s="7">
        <f t="shared" si="42"/>
        <v>0.10763877984422938</v>
      </c>
      <c r="O466" s="8"/>
      <c r="P466" s="26"/>
      <c r="S466" s="10" t="str">
        <f t="shared" si="39"/>
        <v/>
      </c>
    </row>
    <row r="467" spans="5:19" x14ac:dyDescent="0.3">
      <c r="E467" s="9">
        <f>IF(DADOS!C467="","",DADOS!C467)</f>
        <v>21</v>
      </c>
      <c r="F467" s="9">
        <f>IF(DADOS!E467="","",DADOS!E467)</f>
        <v>137</v>
      </c>
      <c r="G467" s="9">
        <f>IF(DADOS!F467="","",DADOS!F467)</f>
        <v>9.5</v>
      </c>
      <c r="K467" s="6">
        <f t="shared" si="40"/>
        <v>43.608454407179323</v>
      </c>
      <c r="L467" s="7">
        <f t="shared" si="41"/>
        <v>0.14935895634458918</v>
      </c>
      <c r="M467" s="7">
        <f t="shared" si="38"/>
        <v>1.4189100852735972</v>
      </c>
      <c r="N467" s="7">
        <f t="shared" si="42"/>
        <v>1.1351280682188778</v>
      </c>
      <c r="O467" s="8"/>
      <c r="P467" s="26"/>
      <c r="S467" s="10" t="str">
        <f t="shared" si="39"/>
        <v/>
      </c>
    </row>
    <row r="468" spans="5:19" x14ac:dyDescent="0.3">
      <c r="E468" s="9">
        <f>IF(DADOS!C468="","",DADOS!C468)</f>
        <v>21</v>
      </c>
      <c r="F468" s="9">
        <f>IF(DADOS!E468="","",DADOS!E468)</f>
        <v>71.5</v>
      </c>
      <c r="G468" s="9">
        <f>IF(DADOS!F468="","",DADOS!F468)</f>
        <v>10</v>
      </c>
      <c r="K468" s="6">
        <f t="shared" si="40"/>
        <v>22.759156862141033</v>
      </c>
      <c r="L468" s="7">
        <f t="shared" si="41"/>
        <v>4.0681992891077101E-2</v>
      </c>
      <c r="M468" s="7">
        <f t="shared" si="38"/>
        <v>0.40681992891077101</v>
      </c>
      <c r="N468" s="7">
        <f t="shared" si="42"/>
        <v>0.32545594312861681</v>
      </c>
      <c r="O468" s="8"/>
      <c r="P468" s="26"/>
      <c r="S468" s="10" t="str">
        <f t="shared" si="39"/>
        <v/>
      </c>
    </row>
    <row r="469" spans="5:19" x14ac:dyDescent="0.3">
      <c r="E469" s="9">
        <f>IF(DADOS!C469="","",DADOS!C469)</f>
        <v>22</v>
      </c>
      <c r="F469" s="9">
        <f>IF(DADOS!E469="","",DADOS!E469)</f>
        <v>77.5</v>
      </c>
      <c r="G469" s="9">
        <f>IF(DADOS!F469="","",DADOS!F469)</f>
        <v>11</v>
      </c>
      <c r="K469" s="6">
        <f t="shared" si="40"/>
        <v>24.669016179243776</v>
      </c>
      <c r="L469" s="7">
        <f t="shared" si="41"/>
        <v>4.7796218847284806E-2</v>
      </c>
      <c r="M469" s="7">
        <f t="shared" si="38"/>
        <v>0.5257584073201329</v>
      </c>
      <c r="N469" s="7">
        <f t="shared" si="42"/>
        <v>0.42060672585610637</v>
      </c>
      <c r="O469" s="8"/>
      <c r="P469" s="26"/>
      <c r="S469" s="10" t="str">
        <f t="shared" si="39"/>
        <v/>
      </c>
    </row>
    <row r="470" spans="5:19" x14ac:dyDescent="0.3">
      <c r="E470" s="9">
        <f>IF(DADOS!C470="","",DADOS!C470)</f>
        <v>22</v>
      </c>
      <c r="F470" s="9">
        <f>IF(DADOS!E470="","",DADOS!E470)</f>
        <v>51</v>
      </c>
      <c r="G470" s="9">
        <f>IF(DADOS!F470="","",DADOS!F470)</f>
        <v>7</v>
      </c>
      <c r="K470" s="6">
        <f t="shared" si="40"/>
        <v>16.233804195373324</v>
      </c>
      <c r="L470" s="7">
        <f t="shared" si="41"/>
        <v>2.0698100349100988E-2</v>
      </c>
      <c r="M470" s="7">
        <f t="shared" si="38"/>
        <v>0.14488670244370691</v>
      </c>
      <c r="N470" s="7">
        <f t="shared" si="42"/>
        <v>0.11590936195496554</v>
      </c>
      <c r="O470" s="8"/>
      <c r="P470" s="26"/>
      <c r="S470" s="10" t="str">
        <f t="shared" si="39"/>
        <v/>
      </c>
    </row>
    <row r="471" spans="5:19" x14ac:dyDescent="0.3">
      <c r="E471" s="9">
        <f>IF(DADOS!C471="","",DADOS!C471)</f>
        <v>22</v>
      </c>
      <c r="F471" s="9">
        <f>IF(DADOS!E471="","",DADOS!E471)</f>
        <v>25</v>
      </c>
      <c r="G471" s="9">
        <f>IF(DADOS!F471="","",DADOS!F471)</f>
        <v>6</v>
      </c>
      <c r="K471" s="6">
        <f t="shared" si="40"/>
        <v>7.9577471545947667</v>
      </c>
      <c r="L471" s="7">
        <f t="shared" si="41"/>
        <v>4.9735919716217287E-3</v>
      </c>
      <c r="M471" s="7">
        <f t="shared" si="38"/>
        <v>2.9841551829730372E-2</v>
      </c>
      <c r="N471" s="7">
        <f t="shared" si="42"/>
        <v>2.3873241463784299E-2</v>
      </c>
      <c r="O471" s="8"/>
      <c r="P471" s="26"/>
      <c r="S471" s="10" t="str">
        <f t="shared" si="39"/>
        <v/>
      </c>
    </row>
    <row r="472" spans="5:19" x14ac:dyDescent="0.3">
      <c r="E472" s="9">
        <f>IF(DADOS!C472="","",DADOS!C472)</f>
        <v>22</v>
      </c>
      <c r="F472" s="9">
        <f>IF(DADOS!E472="","",DADOS!E472)</f>
        <v>30</v>
      </c>
      <c r="G472" s="9">
        <f>IF(DADOS!F472="","",DADOS!F472)</f>
        <v>3</v>
      </c>
      <c r="K472" s="6">
        <f t="shared" si="40"/>
        <v>9.5492965855137211</v>
      </c>
      <c r="L472" s="7">
        <f t="shared" si="41"/>
        <v>7.1619724391352915E-3</v>
      </c>
      <c r="M472" s="7">
        <f t="shared" si="38"/>
        <v>2.1485917317405873E-2</v>
      </c>
      <c r="N472" s="7">
        <f t="shared" si="42"/>
        <v>1.7188733853924699E-2</v>
      </c>
      <c r="O472" s="8"/>
      <c r="P472" s="26"/>
      <c r="S472" s="10" t="str">
        <f t="shared" si="39"/>
        <v/>
      </c>
    </row>
    <row r="473" spans="5:19" x14ac:dyDescent="0.3">
      <c r="E473" s="9">
        <f>IF(DADOS!C473="","",DADOS!C473)</f>
        <v>22</v>
      </c>
      <c r="F473" s="9">
        <f>IF(DADOS!E473="","",DADOS!E473)</f>
        <v>35.5</v>
      </c>
      <c r="G473" s="9">
        <f>IF(DADOS!F473="","",DADOS!F473)</f>
        <v>6</v>
      </c>
      <c r="K473" s="6">
        <f t="shared" si="40"/>
        <v>11.300000959524569</v>
      </c>
      <c r="L473" s="7">
        <f t="shared" si="41"/>
        <v>1.0028750851578054E-2</v>
      </c>
      <c r="M473" s="7">
        <f t="shared" si="38"/>
        <v>6.0172505109468324E-2</v>
      </c>
      <c r="N473" s="7">
        <f t="shared" si="42"/>
        <v>4.8138004087574661E-2</v>
      </c>
      <c r="O473" s="8"/>
      <c r="P473" s="26"/>
      <c r="S473" s="10" t="str">
        <f t="shared" si="39"/>
        <v/>
      </c>
    </row>
    <row r="474" spans="5:19" x14ac:dyDescent="0.3">
      <c r="E474" s="9">
        <f>IF(DADOS!C474="","",DADOS!C474)</f>
        <v>22</v>
      </c>
      <c r="F474" s="9">
        <f>IF(DADOS!E474="","",DADOS!E474)</f>
        <v>22.4</v>
      </c>
      <c r="G474" s="9">
        <f>IF(DADOS!F474="","",DADOS!F474)</f>
        <v>6.5</v>
      </c>
      <c r="K474" s="6">
        <f t="shared" si="40"/>
        <v>7.130141450516911</v>
      </c>
      <c r="L474" s="7">
        <f t="shared" si="41"/>
        <v>3.9928792122894703E-3</v>
      </c>
      <c r="M474" s="7">
        <f t="shared" si="38"/>
        <v>2.5953714879881556E-2</v>
      </c>
      <c r="N474" s="7">
        <f t="shared" si="42"/>
        <v>2.0762971903905247E-2</v>
      </c>
      <c r="O474" s="8"/>
      <c r="P474" s="26"/>
      <c r="S474" s="10" t="str">
        <f t="shared" si="39"/>
        <v/>
      </c>
    </row>
    <row r="475" spans="5:19" x14ac:dyDescent="0.3">
      <c r="E475" s="9">
        <f>IF(DADOS!C475="","",DADOS!C475)</f>
        <v>22</v>
      </c>
      <c r="F475" s="9">
        <f>IF(DADOS!E475="","",DADOS!E475)</f>
        <v>51.2</v>
      </c>
      <c r="G475" s="9">
        <f>IF(DADOS!F475="","",DADOS!F475)</f>
        <v>5</v>
      </c>
      <c r="K475" s="6">
        <f t="shared" si="40"/>
        <v>16.297466172610083</v>
      </c>
      <c r="L475" s="7">
        <f t="shared" si="41"/>
        <v>2.0860756700940904E-2</v>
      </c>
      <c r="M475" s="7">
        <f t="shared" si="38"/>
        <v>0.10430378350470451</v>
      </c>
      <c r="N475" s="7">
        <f t="shared" si="42"/>
        <v>8.3443026803763615E-2</v>
      </c>
      <c r="O475" s="8"/>
      <c r="P475" s="26"/>
      <c r="S475" s="10" t="str">
        <f t="shared" si="39"/>
        <v/>
      </c>
    </row>
    <row r="476" spans="5:19" x14ac:dyDescent="0.3">
      <c r="E476" s="9">
        <f>IF(DADOS!C476="","",DADOS!C476)</f>
        <v>22</v>
      </c>
      <c r="F476" s="9">
        <f>IF(DADOS!E476="","",DADOS!E476)</f>
        <v>34.799999999999997</v>
      </c>
      <c r="G476" s="9">
        <f>IF(DADOS!F476="","",DADOS!F476)</f>
        <v>5</v>
      </c>
      <c r="K476" s="6">
        <f t="shared" si="40"/>
        <v>11.077184039195915</v>
      </c>
      <c r="L476" s="7">
        <f t="shared" si="41"/>
        <v>9.6371501141004449E-3</v>
      </c>
      <c r="M476" s="7">
        <f t="shared" si="38"/>
        <v>4.8185750570502228E-2</v>
      </c>
      <c r="N476" s="7">
        <f t="shared" si="42"/>
        <v>3.8548600456401787E-2</v>
      </c>
      <c r="O476" s="8"/>
      <c r="P476" s="26"/>
      <c r="S476" s="10" t="str">
        <f t="shared" si="39"/>
        <v/>
      </c>
    </row>
    <row r="477" spans="5:19" x14ac:dyDescent="0.3">
      <c r="E477" s="9">
        <f>IF(DADOS!C477="","",DADOS!C477)</f>
        <v>22</v>
      </c>
      <c r="F477" s="9">
        <f>IF(DADOS!E477="","",DADOS!E477)</f>
        <v>29</v>
      </c>
      <c r="G477" s="9">
        <f>IF(DADOS!F477="","",DADOS!F477)</f>
        <v>6</v>
      </c>
      <c r="K477" s="6">
        <f t="shared" si="40"/>
        <v>9.2309866993299305</v>
      </c>
      <c r="L477" s="7">
        <f t="shared" si="41"/>
        <v>6.6924653570142002E-3</v>
      </c>
      <c r="M477" s="7">
        <f t="shared" si="38"/>
        <v>4.0154792142085199E-2</v>
      </c>
      <c r="N477" s="7">
        <f t="shared" si="42"/>
        <v>3.2123833713668164E-2</v>
      </c>
      <c r="O477" s="8"/>
      <c r="P477" s="26"/>
      <c r="S477" s="10" t="str">
        <f t="shared" si="39"/>
        <v/>
      </c>
    </row>
    <row r="478" spans="5:19" x14ac:dyDescent="0.3">
      <c r="E478" s="9">
        <f>IF(DADOS!C478="","",DADOS!C478)</f>
        <v>22</v>
      </c>
      <c r="F478" s="9">
        <f>IF(DADOS!E478="","",DADOS!E478)</f>
        <v>16.7</v>
      </c>
      <c r="G478" s="9">
        <f>IF(DADOS!F478="","",DADOS!F478)</f>
        <v>5</v>
      </c>
      <c r="K478" s="6">
        <f t="shared" si="40"/>
        <v>5.3157750992693042</v>
      </c>
      <c r="L478" s="7">
        <f t="shared" si="41"/>
        <v>2.2193361039449344E-3</v>
      </c>
      <c r="M478" s="7">
        <f t="shared" si="38"/>
        <v>1.1096680519724672E-2</v>
      </c>
      <c r="N478" s="7">
        <f t="shared" si="42"/>
        <v>8.8773444157797376E-3</v>
      </c>
      <c r="O478" s="8"/>
      <c r="P478" s="26"/>
      <c r="S478" s="10" t="str">
        <f t="shared" si="39"/>
        <v/>
      </c>
    </row>
    <row r="479" spans="5:19" x14ac:dyDescent="0.3">
      <c r="E479" s="9">
        <f>IF(DADOS!C479="","",DADOS!C479)</f>
        <v>22</v>
      </c>
      <c r="F479" s="9">
        <f>IF(DADOS!E479="","",DADOS!E479)</f>
        <v>21.2</v>
      </c>
      <c r="G479" s="9">
        <f>IF(DADOS!F479="","",DADOS!F479)</f>
        <v>5</v>
      </c>
      <c r="K479" s="6">
        <f t="shared" si="40"/>
        <v>6.7481695870963625</v>
      </c>
      <c r="L479" s="7">
        <f t="shared" si="41"/>
        <v>3.5765298811610718E-3</v>
      </c>
      <c r="M479" s="7">
        <f t="shared" si="38"/>
        <v>1.7882649405805359E-2</v>
      </c>
      <c r="N479" s="7">
        <f t="shared" si="42"/>
        <v>1.4306119524644287E-2</v>
      </c>
      <c r="O479" s="8"/>
      <c r="P479" s="26"/>
      <c r="S479" s="10" t="str">
        <f t="shared" si="39"/>
        <v/>
      </c>
    </row>
    <row r="480" spans="5:19" x14ac:dyDescent="0.3">
      <c r="E480" s="9">
        <f>IF(DADOS!C480="","",DADOS!C480)</f>
        <v>22</v>
      </c>
      <c r="F480" s="9">
        <f>IF(DADOS!E480="","",DADOS!E480)</f>
        <v>21.1</v>
      </c>
      <c r="G480" s="9">
        <f>IF(DADOS!F480="","",DADOS!F480)</f>
        <v>4.5</v>
      </c>
      <c r="K480" s="6">
        <f t="shared" si="40"/>
        <v>6.716338598477984</v>
      </c>
      <c r="L480" s="7">
        <f t="shared" si="41"/>
        <v>3.5428686106971368E-3</v>
      </c>
      <c r="M480" s="7">
        <f t="shared" si="38"/>
        <v>1.5942908748137117E-2</v>
      </c>
      <c r="N480" s="7">
        <f t="shared" si="42"/>
        <v>1.2754326998509695E-2</v>
      </c>
      <c r="O480" s="8"/>
      <c r="P480" s="26"/>
      <c r="S480" s="10" t="str">
        <f t="shared" si="39"/>
        <v/>
      </c>
    </row>
    <row r="481" spans="5:19" x14ac:dyDescent="0.3">
      <c r="E481" s="9">
        <f>IF(DADOS!C481="","",DADOS!C481)</f>
        <v>22</v>
      </c>
      <c r="F481" s="9">
        <f>IF(DADOS!E481="","",DADOS!E481)</f>
        <v>19.600000000000001</v>
      </c>
      <c r="G481" s="9">
        <f>IF(DADOS!F481="","",DADOS!F481)</f>
        <v>5</v>
      </c>
      <c r="K481" s="6">
        <f t="shared" si="40"/>
        <v>6.2388737692022982</v>
      </c>
      <c r="L481" s="7">
        <f t="shared" si="41"/>
        <v>3.0570481469091261E-3</v>
      </c>
      <c r="M481" s="7">
        <f t="shared" si="38"/>
        <v>1.5285240734545631E-2</v>
      </c>
      <c r="N481" s="7">
        <f t="shared" si="42"/>
        <v>1.2228192587636506E-2</v>
      </c>
      <c r="O481" s="8"/>
      <c r="P481" s="26"/>
      <c r="S481" s="10" t="str">
        <f t="shared" si="39"/>
        <v/>
      </c>
    </row>
    <row r="482" spans="5:19" x14ac:dyDescent="0.3">
      <c r="E482" s="9">
        <f>IF(DADOS!C482="","",DADOS!C482)</f>
        <v>22</v>
      </c>
      <c r="F482" s="9">
        <f>IF(DADOS!E482="","",DADOS!E482)</f>
        <v>26</v>
      </c>
      <c r="G482" s="9">
        <f>IF(DADOS!F482="","",DADOS!F482)</f>
        <v>5</v>
      </c>
      <c r="K482" s="6">
        <f t="shared" si="40"/>
        <v>8.2760570407785572</v>
      </c>
      <c r="L482" s="7">
        <f t="shared" si="41"/>
        <v>5.3794370765060618E-3</v>
      </c>
      <c r="M482" s="7">
        <f t="shared" si="38"/>
        <v>2.689718538253031E-2</v>
      </c>
      <c r="N482" s="7">
        <f t="shared" si="42"/>
        <v>2.1517748306024251E-2</v>
      </c>
      <c r="O482" s="8"/>
      <c r="P482" s="26"/>
      <c r="S482" s="10" t="str">
        <f t="shared" si="39"/>
        <v/>
      </c>
    </row>
    <row r="483" spans="5:19" x14ac:dyDescent="0.3">
      <c r="E483" s="9">
        <f>IF(DADOS!C483="","",DADOS!C483)</f>
        <v>22</v>
      </c>
      <c r="F483" s="9">
        <f>IF(DADOS!E483="","",DADOS!E483)</f>
        <v>17.2</v>
      </c>
      <c r="G483" s="9">
        <f>IF(DADOS!F483="","",DADOS!F483)</f>
        <v>3</v>
      </c>
      <c r="K483" s="6">
        <f t="shared" si="40"/>
        <v>5.4749300423611995</v>
      </c>
      <c r="L483" s="7">
        <f t="shared" si="41"/>
        <v>2.3542199182153157E-3</v>
      </c>
      <c r="M483" s="7">
        <f t="shared" si="38"/>
        <v>7.0626597546459471E-3</v>
      </c>
      <c r="N483" s="7">
        <f t="shared" si="42"/>
        <v>5.6501278037167577E-3</v>
      </c>
      <c r="O483" s="8"/>
      <c r="P483" s="26"/>
      <c r="S483" s="10" t="str">
        <f t="shared" si="39"/>
        <v/>
      </c>
    </row>
    <row r="484" spans="5:19" x14ac:dyDescent="0.3">
      <c r="E484" s="9">
        <f>IF(DADOS!C484="","",DADOS!C484)</f>
        <v>22</v>
      </c>
      <c r="F484" s="9">
        <f>IF(DADOS!E484="","",DADOS!E484)</f>
        <v>49.9</v>
      </c>
      <c r="G484" s="9">
        <f>IF(DADOS!F484="","",DADOS!F484)</f>
        <v>9</v>
      </c>
      <c r="K484" s="6">
        <f t="shared" si="40"/>
        <v>15.883663320571154</v>
      </c>
      <c r="L484" s="7">
        <f t="shared" si="41"/>
        <v>1.9814869992412516E-2</v>
      </c>
      <c r="M484" s="7">
        <f t="shared" si="38"/>
        <v>0.17833382993171265</v>
      </c>
      <c r="N484" s="7">
        <f t="shared" si="42"/>
        <v>0.14266706394537013</v>
      </c>
      <c r="O484" s="8"/>
      <c r="P484" s="26"/>
      <c r="S484" s="10" t="str">
        <f t="shared" si="39"/>
        <v/>
      </c>
    </row>
    <row r="485" spans="5:19" x14ac:dyDescent="0.3">
      <c r="E485" s="9">
        <f>IF(DADOS!C485="","",DADOS!C485)</f>
        <v>22</v>
      </c>
      <c r="F485" s="9">
        <f>IF(DADOS!E485="","",DADOS!E485)</f>
        <v>52.3</v>
      </c>
      <c r="G485" s="9">
        <f>IF(DADOS!F485="","",DADOS!F485)</f>
        <v>9</v>
      </c>
      <c r="K485" s="6">
        <f t="shared" si="40"/>
        <v>16.647607047412251</v>
      </c>
      <c r="L485" s="7">
        <f t="shared" si="41"/>
        <v>2.1766746214491515E-2</v>
      </c>
      <c r="M485" s="7">
        <f t="shared" si="38"/>
        <v>0.19590071593042363</v>
      </c>
      <c r="N485" s="7">
        <f t="shared" si="42"/>
        <v>0.15672057274433893</v>
      </c>
      <c r="O485" s="8"/>
      <c r="P485" s="26"/>
      <c r="S485" s="10" t="str">
        <f t="shared" si="39"/>
        <v/>
      </c>
    </row>
    <row r="486" spans="5:19" x14ac:dyDescent="0.3">
      <c r="E486" s="9">
        <f>IF(DADOS!C486="","",DADOS!C486)</f>
        <v>22</v>
      </c>
      <c r="F486" s="9">
        <f>IF(DADOS!E486="","",DADOS!E486)</f>
        <v>62.5</v>
      </c>
      <c r="G486" s="9">
        <f>IF(DADOS!F486="","",DADOS!F486)</f>
        <v>9</v>
      </c>
      <c r="K486" s="6">
        <f t="shared" si="40"/>
        <v>19.894367886486918</v>
      </c>
      <c r="L486" s="7">
        <f t="shared" si="41"/>
        <v>3.1084949822635811E-2</v>
      </c>
      <c r="M486" s="7">
        <f t="shared" si="38"/>
        <v>0.27976454840372228</v>
      </c>
      <c r="N486" s="7">
        <f t="shared" si="42"/>
        <v>0.22381163872297782</v>
      </c>
      <c r="O486" s="8"/>
      <c r="P486" s="26"/>
      <c r="S486" s="10" t="str">
        <f t="shared" si="39"/>
        <v/>
      </c>
    </row>
    <row r="487" spans="5:19" x14ac:dyDescent="0.3">
      <c r="E487" s="9">
        <f>IF(DADOS!C487="","",DADOS!C487)</f>
        <v>22</v>
      </c>
      <c r="F487" s="9">
        <f>IF(DADOS!E487="","",DADOS!E487)</f>
        <v>83.2</v>
      </c>
      <c r="G487" s="9">
        <f>IF(DADOS!F487="","",DADOS!F487)</f>
        <v>8</v>
      </c>
      <c r="K487" s="6">
        <f t="shared" si="40"/>
        <v>26.483382530491387</v>
      </c>
      <c r="L487" s="7">
        <f t="shared" si="41"/>
        <v>5.5085435663422083E-2</v>
      </c>
      <c r="M487" s="7">
        <f t="shared" si="38"/>
        <v>0.44068348530737667</v>
      </c>
      <c r="N487" s="7">
        <f t="shared" si="42"/>
        <v>0.35254678824590135</v>
      </c>
      <c r="O487" s="8"/>
      <c r="P487" s="26"/>
      <c r="S487" s="10" t="str">
        <f t="shared" si="39"/>
        <v/>
      </c>
    </row>
    <row r="488" spans="5:19" x14ac:dyDescent="0.3">
      <c r="E488" s="9">
        <f>IF(DADOS!C488="","",DADOS!C488)</f>
        <v>22</v>
      </c>
      <c r="F488" s="9">
        <f>IF(DADOS!E488="","",DADOS!E488)</f>
        <v>39.700000000000003</v>
      </c>
      <c r="G488" s="9">
        <f>IF(DADOS!F488="","",DADOS!F488)</f>
        <v>8</v>
      </c>
      <c r="K488" s="6">
        <f t="shared" si="40"/>
        <v>12.636902481496492</v>
      </c>
      <c r="L488" s="7">
        <f t="shared" si="41"/>
        <v>1.2542125712885269E-2</v>
      </c>
      <c r="M488" s="7">
        <f t="shared" si="38"/>
        <v>0.10033700570308215</v>
      </c>
      <c r="N488" s="7">
        <f t="shared" si="42"/>
        <v>8.0269604562465735E-2</v>
      </c>
      <c r="O488" s="8"/>
      <c r="P488" s="26"/>
      <c r="S488" s="10" t="str">
        <f t="shared" si="39"/>
        <v/>
      </c>
    </row>
    <row r="489" spans="5:19" x14ac:dyDescent="0.3">
      <c r="E489" s="9">
        <f>IF(DADOS!C489="","",DADOS!C489)</f>
        <v>23</v>
      </c>
      <c r="F489" s="9">
        <f>IF(DADOS!E489="","",DADOS!E489)</f>
        <v>129</v>
      </c>
      <c r="G489" s="9">
        <f>IF(DADOS!F489="","",DADOS!F489)</f>
        <v>12</v>
      </c>
      <c r="K489" s="6">
        <f t="shared" si="40"/>
        <v>41.061975317708999</v>
      </c>
      <c r="L489" s="7">
        <f t="shared" si="41"/>
        <v>0.13242487039961151</v>
      </c>
      <c r="M489" s="7">
        <f t="shared" si="38"/>
        <v>1.5890984447953382</v>
      </c>
      <c r="N489" s="7">
        <f t="shared" si="42"/>
        <v>1.2712787558362706</v>
      </c>
      <c r="O489" s="8"/>
      <c r="P489" s="26"/>
      <c r="S489" s="10" t="str">
        <f t="shared" si="39"/>
        <v/>
      </c>
    </row>
    <row r="490" spans="5:19" x14ac:dyDescent="0.3">
      <c r="E490" s="9">
        <f>IF(DADOS!C490="","",DADOS!C490)</f>
        <v>23</v>
      </c>
      <c r="F490" s="9">
        <f>IF(DADOS!E490="","",DADOS!E490)</f>
        <v>24.8</v>
      </c>
      <c r="G490" s="9">
        <f>IF(DADOS!F490="","",DADOS!F490)</f>
        <v>13</v>
      </c>
      <c r="K490" s="6">
        <f t="shared" si="40"/>
        <v>7.8940851773580096</v>
      </c>
      <c r="L490" s="7">
        <f t="shared" si="41"/>
        <v>4.8943328099619659E-3</v>
      </c>
      <c r="M490" s="7">
        <f t="shared" si="38"/>
        <v>6.3626326529505561E-2</v>
      </c>
      <c r="N490" s="7">
        <f t="shared" si="42"/>
        <v>5.0901061223604452E-2</v>
      </c>
      <c r="O490" s="8"/>
      <c r="P490" s="26"/>
      <c r="S490" s="10" t="str">
        <f t="shared" si="39"/>
        <v/>
      </c>
    </row>
    <row r="491" spans="5:19" x14ac:dyDescent="0.3">
      <c r="E491" s="9">
        <f>IF(DADOS!C491="","",DADOS!C491)</f>
        <v>23</v>
      </c>
      <c r="F491" s="9">
        <f>IF(DADOS!E491="","",DADOS!E491)</f>
        <v>127.4</v>
      </c>
      <c r="G491" s="9">
        <f>IF(DADOS!F491="","",DADOS!F491)</f>
        <v>13</v>
      </c>
      <c r="K491" s="6">
        <f t="shared" si="40"/>
        <v>40.552679499814936</v>
      </c>
      <c r="L491" s="7">
        <f t="shared" si="41"/>
        <v>0.12916028420691059</v>
      </c>
      <c r="M491" s="7">
        <f t="shared" si="38"/>
        <v>1.6790836946898375</v>
      </c>
      <c r="N491" s="7">
        <f t="shared" si="42"/>
        <v>1.3432669557518702</v>
      </c>
      <c r="O491" s="8"/>
      <c r="P491" s="26"/>
      <c r="S491" s="10" t="str">
        <f t="shared" si="39"/>
        <v/>
      </c>
    </row>
    <row r="492" spans="5:19" x14ac:dyDescent="0.3">
      <c r="E492" s="9">
        <f>IF(DADOS!C492="","",DADOS!C492)</f>
        <v>23</v>
      </c>
      <c r="F492" s="9">
        <f>IF(DADOS!E492="","",DADOS!E492)</f>
        <v>59.7</v>
      </c>
      <c r="G492" s="9">
        <f>IF(DADOS!F492="","",DADOS!F492)</f>
        <v>7</v>
      </c>
      <c r="K492" s="6">
        <f t="shared" si="40"/>
        <v>19.003100205172306</v>
      </c>
      <c r="L492" s="7">
        <f t="shared" si="41"/>
        <v>2.8362127056219669E-2</v>
      </c>
      <c r="M492" s="7">
        <f t="shared" si="38"/>
        <v>0.19853488939353769</v>
      </c>
      <c r="N492" s="7">
        <f t="shared" si="42"/>
        <v>0.15882791151483017</v>
      </c>
      <c r="O492" s="8"/>
      <c r="P492" s="26"/>
      <c r="S492" s="10" t="str">
        <f t="shared" si="39"/>
        <v/>
      </c>
    </row>
    <row r="493" spans="5:19" x14ac:dyDescent="0.3">
      <c r="E493" s="9">
        <f>IF(DADOS!C493="","",DADOS!C493)</f>
        <v>23</v>
      </c>
      <c r="F493" s="9">
        <f>IF(DADOS!E493="","",DADOS!E493)</f>
        <v>44.1</v>
      </c>
      <c r="G493" s="9">
        <f>IF(DADOS!F493="","",DADOS!F493)</f>
        <v>7</v>
      </c>
      <c r="K493" s="6">
        <f t="shared" si="40"/>
        <v>14.03746598070517</v>
      </c>
      <c r="L493" s="7">
        <f t="shared" si="41"/>
        <v>1.547630624372745E-2</v>
      </c>
      <c r="M493" s="7">
        <f t="shared" si="38"/>
        <v>0.10833414370609215</v>
      </c>
      <c r="N493" s="7">
        <f t="shared" si="42"/>
        <v>8.6667314964873732E-2</v>
      </c>
      <c r="O493" s="8"/>
      <c r="P493" s="26"/>
      <c r="S493" s="10" t="str">
        <f t="shared" si="39"/>
        <v/>
      </c>
    </row>
    <row r="494" spans="5:19" x14ac:dyDescent="0.3">
      <c r="E494" s="9">
        <f>IF(DADOS!C494="","",DADOS!C494)</f>
        <v>23</v>
      </c>
      <c r="F494" s="9">
        <f>IF(DADOS!E494="","",DADOS!E494)</f>
        <v>30.8</v>
      </c>
      <c r="G494" s="9">
        <f>IF(DADOS!F494="","",DADOS!F494)</f>
        <v>6.5</v>
      </c>
      <c r="K494" s="6">
        <f t="shared" si="40"/>
        <v>9.8039444944607528</v>
      </c>
      <c r="L494" s="7">
        <f t="shared" si="41"/>
        <v>7.549037260734779E-3</v>
      </c>
      <c r="M494" s="7">
        <f t="shared" si="38"/>
        <v>4.9068742194776062E-2</v>
      </c>
      <c r="N494" s="7">
        <f t="shared" si="42"/>
        <v>3.9254993755820852E-2</v>
      </c>
      <c r="O494" s="8"/>
      <c r="P494" s="26"/>
      <c r="S494" s="10" t="str">
        <f t="shared" si="39"/>
        <v/>
      </c>
    </row>
    <row r="495" spans="5:19" x14ac:dyDescent="0.3">
      <c r="E495" s="9">
        <f>IF(DADOS!C495="","",DADOS!C495)</f>
        <v>23</v>
      </c>
      <c r="F495" s="9">
        <f>IF(DADOS!E495="","",DADOS!E495)</f>
        <v>28</v>
      </c>
      <c r="G495" s="9">
        <f>IF(DADOS!F495="","",DADOS!F495)</f>
        <v>6</v>
      </c>
      <c r="K495" s="6">
        <f t="shared" si="40"/>
        <v>8.91267681314614</v>
      </c>
      <c r="L495" s="7">
        <f t="shared" si="41"/>
        <v>6.2388737692022989E-3</v>
      </c>
      <c r="M495" s="7">
        <f t="shared" si="38"/>
        <v>3.7433242615213795E-2</v>
      </c>
      <c r="N495" s="7">
        <f t="shared" si="42"/>
        <v>2.9946594092171038E-2</v>
      </c>
      <c r="O495" s="8"/>
      <c r="P495" s="26"/>
      <c r="S495" s="10" t="str">
        <f t="shared" si="39"/>
        <v/>
      </c>
    </row>
    <row r="496" spans="5:19" x14ac:dyDescent="0.3">
      <c r="E496" s="9">
        <f>IF(DADOS!C496="","",DADOS!C496)</f>
        <v>23</v>
      </c>
      <c r="F496" s="9">
        <f>IF(DADOS!E496="","",DADOS!E496)</f>
        <v>25</v>
      </c>
      <c r="G496" s="9">
        <f>IF(DADOS!F496="","",DADOS!F496)</f>
        <v>5</v>
      </c>
      <c r="K496" s="6">
        <f t="shared" si="40"/>
        <v>7.9577471545947667</v>
      </c>
      <c r="L496" s="7">
        <f t="shared" si="41"/>
        <v>4.9735919716217287E-3</v>
      </c>
      <c r="M496" s="7">
        <f t="shared" si="38"/>
        <v>2.4867959858108642E-2</v>
      </c>
      <c r="N496" s="7">
        <f t="shared" si="42"/>
        <v>1.9894367886486915E-2</v>
      </c>
      <c r="O496" s="8"/>
      <c r="P496" s="26"/>
      <c r="S496" s="10" t="str">
        <f t="shared" si="39"/>
        <v/>
      </c>
    </row>
    <row r="497" spans="5:19" x14ac:dyDescent="0.3">
      <c r="E497" s="9">
        <f>IF(DADOS!C497="","",DADOS!C497)</f>
        <v>23</v>
      </c>
      <c r="F497" s="9">
        <f>IF(DADOS!E497="","",DADOS!E497)</f>
        <v>16.3</v>
      </c>
      <c r="G497" s="9">
        <f>IF(DADOS!F497="","",DADOS!F497)</f>
        <v>3.5</v>
      </c>
      <c r="K497" s="6">
        <f t="shared" si="40"/>
        <v>5.1884511447957884</v>
      </c>
      <c r="L497" s="7">
        <f t="shared" si="41"/>
        <v>2.114293841504284E-3</v>
      </c>
      <c r="M497" s="7">
        <f t="shared" si="38"/>
        <v>7.4000284452649936E-3</v>
      </c>
      <c r="N497" s="7">
        <f t="shared" si="42"/>
        <v>5.9200227562119954E-3</v>
      </c>
      <c r="O497" s="8"/>
      <c r="P497" s="26"/>
      <c r="S497" s="10" t="str">
        <f t="shared" si="39"/>
        <v/>
      </c>
    </row>
    <row r="498" spans="5:19" x14ac:dyDescent="0.3">
      <c r="E498" s="9">
        <f>IF(DADOS!C498="","",DADOS!C498)</f>
        <v>23</v>
      </c>
      <c r="F498" s="9">
        <f>IF(DADOS!E498="","",DADOS!E498)</f>
        <v>19.3</v>
      </c>
      <c r="G498" s="9">
        <f>IF(DADOS!F498="","",DADOS!F498)</f>
        <v>4</v>
      </c>
      <c r="K498" s="6">
        <f t="shared" si="40"/>
        <v>6.1433808033471609</v>
      </c>
      <c r="L498" s="7">
        <f t="shared" si="41"/>
        <v>2.9641812376150051E-3</v>
      </c>
      <c r="M498" s="7">
        <f t="shared" si="38"/>
        <v>1.185672495046002E-2</v>
      </c>
      <c r="N498" s="7">
        <f t="shared" si="42"/>
        <v>9.4853799603680164E-3</v>
      </c>
      <c r="O498" s="8"/>
      <c r="P498" s="26"/>
      <c r="S498" s="10" t="str">
        <f t="shared" si="39"/>
        <v/>
      </c>
    </row>
    <row r="499" spans="5:19" x14ac:dyDescent="0.3">
      <c r="E499" s="9">
        <f>IF(DADOS!C499="","",DADOS!C499)</f>
        <v>23</v>
      </c>
      <c r="F499" s="9">
        <f>IF(DADOS!E499="","",DADOS!E499)</f>
        <v>54.5</v>
      </c>
      <c r="G499" s="9">
        <f>IF(DADOS!F499="","",DADOS!F499)</f>
        <v>9</v>
      </c>
      <c r="K499" s="6">
        <f t="shared" si="40"/>
        <v>17.347888797016591</v>
      </c>
      <c r="L499" s="7">
        <f t="shared" si="41"/>
        <v>2.3636498485935103E-2</v>
      </c>
      <c r="M499" s="7">
        <f t="shared" si="38"/>
        <v>0.21272848637341593</v>
      </c>
      <c r="N499" s="7">
        <f t="shared" si="42"/>
        <v>0.17018278909873275</v>
      </c>
      <c r="O499" s="8"/>
      <c r="P499" s="26"/>
      <c r="S499" s="10" t="str">
        <f t="shared" si="39"/>
        <v/>
      </c>
    </row>
    <row r="500" spans="5:19" x14ac:dyDescent="0.3">
      <c r="E500" s="9">
        <f>IF(DADOS!C500="","",DADOS!C500)</f>
        <v>23</v>
      </c>
      <c r="F500" s="9">
        <f>IF(DADOS!E500="","",DADOS!E500)</f>
        <v>52.7</v>
      </c>
      <c r="G500" s="9">
        <f>IF(DADOS!F500="","",DADOS!F500)</f>
        <v>8</v>
      </c>
      <c r="K500" s="6">
        <f t="shared" si="40"/>
        <v>16.774931001885768</v>
      </c>
      <c r="L500" s="7">
        <f t="shared" si="41"/>
        <v>2.21009715949845E-2</v>
      </c>
      <c r="M500" s="7">
        <f t="shared" si="38"/>
        <v>0.176807772759876</v>
      </c>
      <c r="N500" s="7">
        <f t="shared" si="42"/>
        <v>0.14144621820790079</v>
      </c>
      <c r="O500" s="8"/>
      <c r="P500" s="26"/>
      <c r="S500" s="10" t="str">
        <f t="shared" si="39"/>
        <v/>
      </c>
    </row>
    <row r="501" spans="5:19" x14ac:dyDescent="0.3">
      <c r="E501" s="9">
        <f>IF(DADOS!C501="","",DADOS!C501)</f>
        <v>24</v>
      </c>
      <c r="F501" s="9">
        <f>IF(DADOS!E501="","",DADOS!E501)</f>
        <v>102.5</v>
      </c>
      <c r="G501" s="9">
        <f>IF(DADOS!F501="","",DADOS!F501)</f>
        <v>13</v>
      </c>
      <c r="K501" s="6">
        <f t="shared" si="40"/>
        <v>32.626763333838547</v>
      </c>
      <c r="L501" s="7">
        <f t="shared" si="41"/>
        <v>8.3606081042961286E-2</v>
      </c>
      <c r="M501" s="7">
        <f t="shared" si="38"/>
        <v>1.0868790535584967</v>
      </c>
      <c r="N501" s="7">
        <f t="shared" si="42"/>
        <v>0.86950324284679736</v>
      </c>
      <c r="O501" s="8"/>
      <c r="P501" s="26"/>
      <c r="S501" s="10" t="str">
        <f t="shared" si="39"/>
        <v/>
      </c>
    </row>
    <row r="502" spans="5:19" x14ac:dyDescent="0.3">
      <c r="E502" s="9">
        <f>IF(DADOS!C502="","",DADOS!C502)</f>
        <v>24</v>
      </c>
      <c r="F502" s="9">
        <f>IF(DADOS!E502="","",DADOS!E502)</f>
        <v>37.700000000000003</v>
      </c>
      <c r="G502" s="9">
        <f>IF(DADOS!F502="","",DADOS!F502)</f>
        <v>13</v>
      </c>
      <c r="K502" s="6">
        <f t="shared" si="40"/>
        <v>12.000282709128909</v>
      </c>
      <c r="L502" s="7">
        <f t="shared" si="41"/>
        <v>1.1310266453353996E-2</v>
      </c>
      <c r="M502" s="7">
        <f t="shared" si="38"/>
        <v>0.14703346389360195</v>
      </c>
      <c r="N502" s="7">
        <f t="shared" si="42"/>
        <v>0.11762677111488157</v>
      </c>
      <c r="O502" s="8"/>
      <c r="P502" s="26"/>
      <c r="S502" s="10" t="str">
        <f t="shared" si="39"/>
        <v/>
      </c>
    </row>
    <row r="503" spans="5:19" x14ac:dyDescent="0.3">
      <c r="E503" s="9">
        <f>IF(DADOS!C503="","",DADOS!C503)</f>
        <v>24</v>
      </c>
      <c r="F503" s="9">
        <f>IF(DADOS!E503="","",DADOS!E503)</f>
        <v>87.5</v>
      </c>
      <c r="G503" s="9">
        <f>IF(DADOS!F503="","",DADOS!F503)</f>
        <v>11</v>
      </c>
      <c r="K503" s="6">
        <f t="shared" si="40"/>
        <v>27.852115041081685</v>
      </c>
      <c r="L503" s="7">
        <f t="shared" si="41"/>
        <v>6.092650165236619E-2</v>
      </c>
      <c r="M503" s="7">
        <f t="shared" si="38"/>
        <v>0.67019151817602807</v>
      </c>
      <c r="N503" s="7">
        <f t="shared" si="42"/>
        <v>0.53615321454082243</v>
      </c>
      <c r="O503" s="8"/>
      <c r="P503" s="26"/>
      <c r="S503" s="10" t="str">
        <f t="shared" si="39"/>
        <v/>
      </c>
    </row>
    <row r="504" spans="5:19" x14ac:dyDescent="0.3">
      <c r="E504" s="9">
        <f>IF(DADOS!C504="","",DADOS!C504)</f>
        <v>24</v>
      </c>
      <c r="F504" s="9">
        <f>IF(DADOS!E504="","",DADOS!E504)</f>
        <v>115.4</v>
      </c>
      <c r="G504" s="9">
        <f>IF(DADOS!F504="","",DADOS!F504)</f>
        <v>11</v>
      </c>
      <c r="K504" s="6">
        <f t="shared" si="40"/>
        <v>36.732960865609449</v>
      </c>
      <c r="L504" s="7">
        <f t="shared" si="41"/>
        <v>0.10597459209728327</v>
      </c>
      <c r="M504" s="7">
        <f t="shared" si="38"/>
        <v>1.165720513070116</v>
      </c>
      <c r="N504" s="7">
        <f t="shared" si="42"/>
        <v>0.93257641045609285</v>
      </c>
      <c r="O504" s="8"/>
      <c r="P504" s="26"/>
      <c r="S504" s="10" t="str">
        <f t="shared" si="39"/>
        <v/>
      </c>
    </row>
    <row r="505" spans="5:19" x14ac:dyDescent="0.3">
      <c r="E505" s="9">
        <f>IF(DADOS!C505="","",DADOS!C505)</f>
        <v>24</v>
      </c>
      <c r="F505" s="9">
        <f>IF(DADOS!E505="","",DADOS!E505)</f>
        <v>116.6</v>
      </c>
      <c r="G505" s="9">
        <f>IF(DADOS!F505="","",DADOS!F505)</f>
        <v>11</v>
      </c>
      <c r="K505" s="6">
        <f t="shared" si="40"/>
        <v>37.114932729029995</v>
      </c>
      <c r="L505" s="7">
        <f t="shared" si="41"/>
        <v>0.10819002890512244</v>
      </c>
      <c r="M505" s="7">
        <f t="shared" si="38"/>
        <v>1.1900903179563469</v>
      </c>
      <c r="N505" s="7">
        <f t="shared" si="42"/>
        <v>0.95207225436507759</v>
      </c>
      <c r="O505" s="8"/>
      <c r="P505" s="26"/>
      <c r="S505" s="10" t="str">
        <f t="shared" si="39"/>
        <v/>
      </c>
    </row>
    <row r="506" spans="5:19" x14ac:dyDescent="0.3">
      <c r="E506" s="9">
        <f>IF(DADOS!C506="","",DADOS!C506)</f>
        <v>24</v>
      </c>
      <c r="F506" s="9">
        <f>IF(DADOS!E506="","",DADOS!E506)</f>
        <v>20.8</v>
      </c>
      <c r="G506" s="9">
        <f>IF(DADOS!F506="","",DADOS!F506)</f>
        <v>12</v>
      </c>
      <c r="K506" s="6">
        <f t="shared" si="40"/>
        <v>6.6208456326228466</v>
      </c>
      <c r="L506" s="7">
        <f t="shared" si="41"/>
        <v>3.4428397289638802E-3</v>
      </c>
      <c r="M506" s="7">
        <f t="shared" si="38"/>
        <v>4.1314076747566562E-2</v>
      </c>
      <c r="N506" s="7">
        <f t="shared" si="42"/>
        <v>3.3051261398053249E-2</v>
      </c>
      <c r="O506" s="8"/>
      <c r="P506" s="26"/>
      <c r="S506" s="10" t="str">
        <f t="shared" si="39"/>
        <v/>
      </c>
    </row>
    <row r="507" spans="5:19" x14ac:dyDescent="0.3">
      <c r="E507" s="9">
        <f>IF(DADOS!C507="","",DADOS!C507)</f>
        <v>24</v>
      </c>
      <c r="F507" s="9">
        <f>IF(DADOS!E507="","",DADOS!E507)</f>
        <v>145.6</v>
      </c>
      <c r="G507" s="9">
        <f>IF(DADOS!F507="","",DADOS!F507)</f>
        <v>12</v>
      </c>
      <c r="K507" s="6">
        <f t="shared" si="40"/>
        <v>46.34591942835992</v>
      </c>
      <c r="L507" s="7">
        <f t="shared" si="41"/>
        <v>0.16869914671923009</v>
      </c>
      <c r="M507" s="7">
        <f t="shared" si="38"/>
        <v>2.0243897606307613</v>
      </c>
      <c r="N507" s="7">
        <f t="shared" si="42"/>
        <v>1.6195118085046092</v>
      </c>
      <c r="O507" s="8"/>
      <c r="P507" s="26"/>
      <c r="S507" s="10" t="str">
        <f t="shared" si="39"/>
        <v/>
      </c>
    </row>
    <row r="508" spans="5:19" x14ac:dyDescent="0.3">
      <c r="E508" s="9">
        <f>IF(DADOS!C508="","",DADOS!C508)</f>
        <v>24</v>
      </c>
      <c r="F508" s="9">
        <f>IF(DADOS!E508="","",DADOS!E508)</f>
        <v>56</v>
      </c>
      <c r="G508" s="9">
        <f>IF(DADOS!F508="","",DADOS!F508)</f>
        <v>11</v>
      </c>
      <c r="K508" s="6">
        <f t="shared" si="40"/>
        <v>17.82535362629228</v>
      </c>
      <c r="L508" s="7">
        <f t="shared" si="41"/>
        <v>2.4955495076809196E-2</v>
      </c>
      <c r="M508" s="7">
        <f t="shared" si="38"/>
        <v>0.27451044584490114</v>
      </c>
      <c r="N508" s="7">
        <f t="shared" si="42"/>
        <v>0.21960835667592093</v>
      </c>
      <c r="O508" s="8"/>
      <c r="P508" s="26"/>
      <c r="S508" s="10" t="str">
        <f t="shared" si="39"/>
        <v/>
      </c>
    </row>
    <row r="509" spans="5:19" x14ac:dyDescent="0.3">
      <c r="E509" s="9">
        <f>IF(DADOS!C509="","",DADOS!C509)</f>
        <v>24</v>
      </c>
      <c r="F509" s="9">
        <f>IF(DADOS!E509="","",DADOS!E509)</f>
        <v>95</v>
      </c>
      <c r="G509" s="9">
        <f>IF(DADOS!F509="","",DADOS!F509)</f>
        <v>7</v>
      </c>
      <c r="K509" s="6">
        <f t="shared" si="40"/>
        <v>30.239439187460114</v>
      </c>
      <c r="L509" s="7">
        <f t="shared" si="41"/>
        <v>7.1818668070217764E-2</v>
      </c>
      <c r="M509" s="7">
        <f t="shared" si="38"/>
        <v>0.50273067649152436</v>
      </c>
      <c r="N509" s="7">
        <f t="shared" si="42"/>
        <v>0.4021845411932195</v>
      </c>
      <c r="O509" s="8"/>
      <c r="P509" s="26"/>
      <c r="S509" s="10" t="str">
        <f t="shared" si="39"/>
        <v/>
      </c>
    </row>
    <row r="510" spans="5:19" x14ac:dyDescent="0.3">
      <c r="E510" s="9">
        <f>IF(DADOS!C510="","",DADOS!C510)</f>
        <v>24</v>
      </c>
      <c r="F510" s="9">
        <f>IF(DADOS!E510="","",DADOS!E510)</f>
        <v>23.3</v>
      </c>
      <c r="G510" s="9">
        <f>IF(DADOS!F510="","",DADOS!F510)</f>
        <v>5</v>
      </c>
      <c r="K510" s="6">
        <f t="shared" si="40"/>
        <v>7.416620348082323</v>
      </c>
      <c r="L510" s="7">
        <f t="shared" si="41"/>
        <v>4.3201813527579533E-3</v>
      </c>
      <c r="M510" s="7">
        <f t="shared" si="38"/>
        <v>2.1600906763789767E-2</v>
      </c>
      <c r="N510" s="7">
        <f t="shared" si="42"/>
        <v>1.7280725411031813E-2</v>
      </c>
      <c r="O510" s="8"/>
      <c r="P510" s="26"/>
      <c r="S510" s="10" t="str">
        <f t="shared" si="39"/>
        <v/>
      </c>
    </row>
    <row r="511" spans="5:19" x14ac:dyDescent="0.3">
      <c r="E511" s="9">
        <f>IF(DADOS!C511="","",DADOS!C511)</f>
        <v>24</v>
      </c>
      <c r="F511" s="9">
        <f>IF(DADOS!E511="","",DADOS!E511)</f>
        <v>24.3</v>
      </c>
      <c r="G511" s="9">
        <f>IF(DADOS!F511="","",DADOS!F511)</f>
        <v>3.5</v>
      </c>
      <c r="K511" s="6">
        <f t="shared" si="40"/>
        <v>7.7349302342661135</v>
      </c>
      <c r="L511" s="7">
        <f t="shared" si="41"/>
        <v>4.6989701173166644E-3</v>
      </c>
      <c r="M511" s="7">
        <f t="shared" si="38"/>
        <v>1.6446395410608324E-2</v>
      </c>
      <c r="N511" s="7">
        <f t="shared" si="42"/>
        <v>1.315711632848666E-2</v>
      </c>
      <c r="O511" s="8"/>
      <c r="P511" s="26"/>
      <c r="S511" s="10" t="str">
        <f t="shared" si="39"/>
        <v/>
      </c>
    </row>
    <row r="512" spans="5:19" x14ac:dyDescent="0.3">
      <c r="E512" s="9">
        <f>IF(DADOS!C512="","",DADOS!C512)</f>
        <v>24</v>
      </c>
      <c r="F512" s="9">
        <f>IF(DADOS!E512="","",DADOS!E512)</f>
        <v>49.2</v>
      </c>
      <c r="G512" s="9">
        <f>IF(DADOS!F512="","",DADOS!F512)</f>
        <v>2</v>
      </c>
      <c r="K512" s="6">
        <f t="shared" si="40"/>
        <v>15.660846400242503</v>
      </c>
      <c r="L512" s="7">
        <f t="shared" si="41"/>
        <v>1.9262841072298281E-2</v>
      </c>
      <c r="M512" s="7">
        <f t="shared" si="38"/>
        <v>3.8525682144596562E-2</v>
      </c>
      <c r="N512" s="7">
        <f t="shared" si="42"/>
        <v>3.0820545715677251E-2</v>
      </c>
      <c r="O512" s="8"/>
      <c r="P512" s="26"/>
      <c r="S512" s="10" t="str">
        <f t="shared" si="39"/>
        <v/>
      </c>
    </row>
    <row r="513" spans="5:19" x14ac:dyDescent="0.3">
      <c r="E513" s="9">
        <f>IF(DADOS!C513="","",DADOS!C513)</f>
        <v>24</v>
      </c>
      <c r="F513" s="9">
        <f>IF(DADOS!E513="","",DADOS!E513)</f>
        <v>35</v>
      </c>
      <c r="G513" s="9">
        <f>IF(DADOS!F513="","",DADOS!F513)</f>
        <v>5</v>
      </c>
      <c r="K513" s="6">
        <f t="shared" si="40"/>
        <v>11.140846016432674</v>
      </c>
      <c r="L513" s="7">
        <f t="shared" si="41"/>
        <v>9.7482402643785885E-3</v>
      </c>
      <c r="M513" s="7">
        <f t="shared" si="38"/>
        <v>4.8741201321892941E-2</v>
      </c>
      <c r="N513" s="7">
        <f t="shared" si="42"/>
        <v>3.8992961057514354E-2</v>
      </c>
      <c r="O513" s="8"/>
      <c r="P513" s="26"/>
      <c r="S513" s="10" t="str">
        <f t="shared" si="39"/>
        <v/>
      </c>
    </row>
    <row r="514" spans="5:19" x14ac:dyDescent="0.3">
      <c r="E514" s="9">
        <f>IF(DADOS!C514="","",DADOS!C514)</f>
        <v>24</v>
      </c>
      <c r="F514" s="9">
        <f>IF(DADOS!E514="","",DADOS!E514)</f>
        <v>19.600000000000001</v>
      </c>
      <c r="G514" s="9">
        <f>IF(DADOS!F514="","",DADOS!F514)</f>
        <v>5.5</v>
      </c>
      <c r="K514" s="6">
        <f t="shared" si="40"/>
        <v>6.2388737692022982</v>
      </c>
      <c r="L514" s="7">
        <f t="shared" si="41"/>
        <v>3.0570481469091261E-3</v>
      </c>
      <c r="M514" s="7">
        <f t="shared" si="38"/>
        <v>1.6813764808000193E-2</v>
      </c>
      <c r="N514" s="7">
        <f t="shared" si="42"/>
        <v>1.3451011846400155E-2</v>
      </c>
      <c r="O514" s="8"/>
      <c r="P514" s="26"/>
      <c r="S514" s="10" t="str">
        <f t="shared" si="39"/>
        <v/>
      </c>
    </row>
    <row r="515" spans="5:19" x14ac:dyDescent="0.3">
      <c r="E515" s="9">
        <f>IF(DADOS!C515="","",DADOS!C515)</f>
        <v>24</v>
      </c>
      <c r="F515" s="9">
        <f>IF(DADOS!E515="","",DADOS!E515)</f>
        <v>15</v>
      </c>
      <c r="G515" s="9">
        <f>IF(DADOS!F515="","",DADOS!F515)</f>
        <v>5</v>
      </c>
      <c r="K515" s="6">
        <f t="shared" si="40"/>
        <v>4.7746482927568605</v>
      </c>
      <c r="L515" s="7">
        <f t="shared" si="41"/>
        <v>1.7904931097838229E-3</v>
      </c>
      <c r="M515" s="7">
        <f t="shared" ref="M515:M578" si="43">IF(L515="","",L515*G515)</f>
        <v>8.9524655489191148E-3</v>
      </c>
      <c r="N515" s="7">
        <f t="shared" si="42"/>
        <v>7.1619724391352923E-3</v>
      </c>
      <c r="O515" s="8"/>
      <c r="P515" s="26"/>
      <c r="S515" s="10" t="str">
        <f t="shared" ref="S515:S578" si="44">IF(R515="","",SUMIFS($N$3:$N$10000,$E$3:$E$10000,R515))</f>
        <v/>
      </c>
    </row>
    <row r="516" spans="5:19" x14ac:dyDescent="0.3">
      <c r="E516" s="9">
        <f>IF(DADOS!C516="","",DADOS!C516)</f>
        <v>24</v>
      </c>
      <c r="F516" s="9">
        <f>IF(DADOS!E516="","",DADOS!E516)</f>
        <v>21.3</v>
      </c>
      <c r="G516" s="9">
        <f>IF(DADOS!F516="","",DADOS!F516)</f>
        <v>6.5</v>
      </c>
      <c r="K516" s="6">
        <f t="shared" ref="K516:K579" si="45">IF(F516="","",F516/PI())</f>
        <v>6.7800005757147419</v>
      </c>
      <c r="L516" s="7">
        <f t="shared" ref="L516:L579" si="46">IF(K516="","",(PI()*K516^2)/40000)</f>
        <v>3.6103503065681004E-3</v>
      </c>
      <c r="M516" s="7">
        <f t="shared" si="43"/>
        <v>2.3467276992692652E-2</v>
      </c>
      <c r="N516" s="7">
        <f t="shared" ref="N516:N579" si="47">IF(M516="","",M516*N$1)</f>
        <v>1.8773821594154125E-2</v>
      </c>
      <c r="O516" s="8"/>
      <c r="P516" s="26"/>
      <c r="S516" s="10" t="str">
        <f t="shared" si="44"/>
        <v/>
      </c>
    </row>
    <row r="517" spans="5:19" x14ac:dyDescent="0.3">
      <c r="E517" s="9">
        <f>IF(DADOS!C517="","",DADOS!C517)</f>
        <v>24</v>
      </c>
      <c r="F517" s="9">
        <f>IF(DADOS!E517="","",DADOS!E517)</f>
        <v>30.6</v>
      </c>
      <c r="G517" s="9">
        <f>IF(DADOS!F517="","",DADOS!F517)</f>
        <v>5.5</v>
      </c>
      <c r="K517" s="6">
        <f t="shared" si="45"/>
        <v>9.7402825172239957</v>
      </c>
      <c r="L517" s="7">
        <f t="shared" si="46"/>
        <v>7.4513161256763577E-3</v>
      </c>
      <c r="M517" s="7">
        <f t="shared" si="43"/>
        <v>4.0982238691219967E-2</v>
      </c>
      <c r="N517" s="7">
        <f t="shared" si="47"/>
        <v>3.2785790952975978E-2</v>
      </c>
      <c r="O517" s="8"/>
      <c r="P517" s="26"/>
      <c r="S517" s="10" t="str">
        <f t="shared" si="44"/>
        <v/>
      </c>
    </row>
    <row r="518" spans="5:19" x14ac:dyDescent="0.3">
      <c r="E518" s="9">
        <f>IF(DADOS!C518="","",DADOS!C518)</f>
        <v>24</v>
      </c>
      <c r="F518" s="9">
        <f>IF(DADOS!E518="","",DADOS!E518)</f>
        <v>68</v>
      </c>
      <c r="G518" s="9">
        <f>IF(DADOS!F518="","",DADOS!F518)</f>
        <v>10</v>
      </c>
      <c r="K518" s="6">
        <f t="shared" si="45"/>
        <v>21.645072260497766</v>
      </c>
      <c r="L518" s="7">
        <f t="shared" si="46"/>
        <v>3.6796622842846197E-2</v>
      </c>
      <c r="M518" s="7">
        <f t="shared" si="43"/>
        <v>0.36796622842846194</v>
      </c>
      <c r="N518" s="7">
        <f t="shared" si="47"/>
        <v>0.29437298274276957</v>
      </c>
      <c r="O518" s="8"/>
      <c r="P518" s="26"/>
      <c r="S518" s="10" t="str">
        <f t="shared" si="44"/>
        <v/>
      </c>
    </row>
    <row r="519" spans="5:19" x14ac:dyDescent="0.3">
      <c r="E519" s="9">
        <f>IF(DADOS!C519="","",DADOS!C519)</f>
        <v>24</v>
      </c>
      <c r="F519" s="9">
        <f>IF(DADOS!E519="","",DADOS!E519)</f>
        <v>35</v>
      </c>
      <c r="G519" s="9">
        <f>IF(DADOS!F519="","",DADOS!F519)</f>
        <v>9</v>
      </c>
      <c r="K519" s="6">
        <f t="shared" si="45"/>
        <v>11.140846016432674</v>
      </c>
      <c r="L519" s="7">
        <f t="shared" si="46"/>
        <v>9.7482402643785885E-3</v>
      </c>
      <c r="M519" s="7">
        <f t="shared" si="43"/>
        <v>8.7734162379407302E-2</v>
      </c>
      <c r="N519" s="7">
        <f t="shared" si="47"/>
        <v>7.0187329903525844E-2</v>
      </c>
      <c r="O519" s="8"/>
      <c r="P519" s="26"/>
      <c r="S519" s="10" t="str">
        <f t="shared" si="44"/>
        <v/>
      </c>
    </row>
    <row r="520" spans="5:19" x14ac:dyDescent="0.3">
      <c r="E520" s="9">
        <f>IF(DADOS!C520="","",DADOS!C520)</f>
        <v>24</v>
      </c>
      <c r="F520" s="9">
        <f>IF(DADOS!E520="","",DADOS!E520)</f>
        <v>29.4</v>
      </c>
      <c r="G520" s="9">
        <f>IF(DADOS!F520="","",DADOS!F520)</f>
        <v>8</v>
      </c>
      <c r="K520" s="6">
        <f t="shared" si="45"/>
        <v>9.3583106538034464</v>
      </c>
      <c r="L520" s="7">
        <f t="shared" si="46"/>
        <v>6.8783583305455339E-3</v>
      </c>
      <c r="M520" s="7">
        <f t="shared" si="43"/>
        <v>5.5026866644364271E-2</v>
      </c>
      <c r="N520" s="7">
        <f t="shared" si="47"/>
        <v>4.402149331549142E-2</v>
      </c>
      <c r="O520" s="8"/>
      <c r="P520" s="26"/>
      <c r="S520" s="10" t="str">
        <f t="shared" si="44"/>
        <v/>
      </c>
    </row>
    <row r="521" spans="5:19" x14ac:dyDescent="0.3">
      <c r="E521" s="9">
        <f>IF(DADOS!C521="","",DADOS!C521)</f>
        <v>24</v>
      </c>
      <c r="F521" s="9">
        <f>IF(DADOS!E521="","",DADOS!E521)</f>
        <v>67.5</v>
      </c>
      <c r="G521" s="9">
        <f>IF(DADOS!F521="","",DADOS!F521)</f>
        <v>10</v>
      </c>
      <c r="K521" s="6">
        <f t="shared" si="45"/>
        <v>21.485917317405871</v>
      </c>
      <c r="L521" s="7">
        <f t="shared" si="46"/>
        <v>3.6257485473122401E-2</v>
      </c>
      <c r="M521" s="7">
        <f t="shared" si="43"/>
        <v>0.36257485473122403</v>
      </c>
      <c r="N521" s="7">
        <f t="shared" si="47"/>
        <v>0.29005988378497921</v>
      </c>
      <c r="O521" s="8"/>
      <c r="P521" s="26"/>
      <c r="S521" s="10" t="str">
        <f t="shared" si="44"/>
        <v/>
      </c>
    </row>
    <row r="522" spans="5:19" x14ac:dyDescent="0.3">
      <c r="E522" s="9">
        <f>IF(DADOS!C522="","",DADOS!C522)</f>
        <v>24</v>
      </c>
      <c r="F522" s="9">
        <f>IF(DADOS!E522="","",DADOS!E522)</f>
        <v>41.7</v>
      </c>
      <c r="G522" s="9">
        <f>IF(DADOS!F522="","",DADOS!F522)</f>
        <v>9</v>
      </c>
      <c r="K522" s="6">
        <f t="shared" si="45"/>
        <v>13.273522253864073</v>
      </c>
      <c r="L522" s="7">
        <f t="shared" si="46"/>
        <v>1.3837646949653296E-2</v>
      </c>
      <c r="M522" s="7">
        <f t="shared" si="43"/>
        <v>0.12453882254687966</v>
      </c>
      <c r="N522" s="7">
        <f t="shared" si="47"/>
        <v>9.9631058037503731E-2</v>
      </c>
      <c r="O522" s="8"/>
      <c r="P522" s="26"/>
      <c r="S522" s="10" t="str">
        <f t="shared" si="44"/>
        <v/>
      </c>
    </row>
    <row r="523" spans="5:19" x14ac:dyDescent="0.3">
      <c r="E523" s="9">
        <f>IF(DADOS!C523="","",DADOS!C523)</f>
        <v>24</v>
      </c>
      <c r="F523" s="9">
        <f>IF(DADOS!E523="","",DADOS!E523)</f>
        <v>52.7</v>
      </c>
      <c r="G523" s="9">
        <f>IF(DADOS!F523="","",DADOS!F523)</f>
        <v>8</v>
      </c>
      <c r="K523" s="6">
        <f t="shared" si="45"/>
        <v>16.774931001885768</v>
      </c>
      <c r="L523" s="7">
        <f t="shared" si="46"/>
        <v>2.21009715949845E-2</v>
      </c>
      <c r="M523" s="7">
        <f t="shared" si="43"/>
        <v>0.176807772759876</v>
      </c>
      <c r="N523" s="7">
        <f t="shared" si="47"/>
        <v>0.14144621820790079</v>
      </c>
      <c r="O523" s="8"/>
      <c r="P523" s="26"/>
      <c r="S523" s="10" t="str">
        <f t="shared" si="44"/>
        <v/>
      </c>
    </row>
    <row r="524" spans="5:19" x14ac:dyDescent="0.3">
      <c r="E524" s="9">
        <f>IF(DADOS!C524="","",DADOS!C524)</f>
        <v>24</v>
      </c>
      <c r="F524" s="9">
        <f>IF(DADOS!E524="","",DADOS!E524)</f>
        <v>80.599999999999994</v>
      </c>
      <c r="G524" s="9">
        <f>IF(DADOS!F524="","",DADOS!F524)</f>
        <v>10</v>
      </c>
      <c r="K524" s="6">
        <f t="shared" si="45"/>
        <v>25.655776826413529</v>
      </c>
      <c r="L524" s="7">
        <f t="shared" si="46"/>
        <v>5.1696390305223258E-2</v>
      </c>
      <c r="M524" s="7">
        <f t="shared" si="43"/>
        <v>0.51696390305223261</v>
      </c>
      <c r="N524" s="7">
        <f t="shared" si="47"/>
        <v>0.41357112244178612</v>
      </c>
      <c r="O524" s="8"/>
      <c r="P524" s="26"/>
      <c r="S524" s="10" t="str">
        <f t="shared" si="44"/>
        <v/>
      </c>
    </row>
    <row r="525" spans="5:19" x14ac:dyDescent="0.3">
      <c r="E525" s="9">
        <f>IF(DADOS!C525="","",DADOS!C525)</f>
        <v>25</v>
      </c>
      <c r="F525" s="9">
        <f>IF(DADOS!E525="","",DADOS!E525)</f>
        <v>18.5</v>
      </c>
      <c r="G525" s="9">
        <f>IF(DADOS!F525="","",DADOS!F525)</f>
        <v>12</v>
      </c>
      <c r="K525" s="6">
        <f t="shared" si="45"/>
        <v>5.8887328944001274</v>
      </c>
      <c r="L525" s="7">
        <f t="shared" si="46"/>
        <v>2.7235389636600586E-3</v>
      </c>
      <c r="M525" s="7">
        <f t="shared" si="43"/>
        <v>3.2682467563920702E-2</v>
      </c>
      <c r="N525" s="7">
        <f t="shared" si="47"/>
        <v>2.6145974051136563E-2</v>
      </c>
      <c r="O525" s="8"/>
      <c r="P525" s="26"/>
      <c r="S525" s="10" t="str">
        <f t="shared" si="44"/>
        <v/>
      </c>
    </row>
    <row r="526" spans="5:19" x14ac:dyDescent="0.3">
      <c r="E526" s="9">
        <f>IF(DADOS!C526="","",DADOS!C526)</f>
        <v>25</v>
      </c>
      <c r="F526" s="9">
        <f>IF(DADOS!E526="","",DADOS!E526)</f>
        <v>18.8</v>
      </c>
      <c r="G526" s="9">
        <f>IF(DADOS!F526="","",DADOS!F526)</f>
        <v>12</v>
      </c>
      <c r="K526" s="6">
        <f t="shared" si="45"/>
        <v>5.9842258602552647</v>
      </c>
      <c r="L526" s="7">
        <f t="shared" si="46"/>
        <v>2.8125861543199745E-3</v>
      </c>
      <c r="M526" s="7">
        <f t="shared" si="43"/>
        <v>3.3751033851839696E-2</v>
      </c>
      <c r="N526" s="7">
        <f t="shared" si="47"/>
        <v>2.7000827081471758E-2</v>
      </c>
      <c r="O526" s="8"/>
      <c r="P526" s="26"/>
      <c r="S526" s="10" t="str">
        <f t="shared" si="44"/>
        <v/>
      </c>
    </row>
    <row r="527" spans="5:19" x14ac:dyDescent="0.3">
      <c r="E527" s="9">
        <f>IF(DADOS!C527="","",DADOS!C527)</f>
        <v>25</v>
      </c>
      <c r="F527" s="9">
        <f>IF(DADOS!E527="","",DADOS!E527)</f>
        <v>21.6</v>
      </c>
      <c r="G527" s="9">
        <f>IF(DADOS!F527="","",DADOS!F527)</f>
        <v>12</v>
      </c>
      <c r="K527" s="6">
        <f t="shared" si="45"/>
        <v>6.8754935415698792</v>
      </c>
      <c r="L527" s="7">
        <f t="shared" si="46"/>
        <v>3.7127665124477354E-3</v>
      </c>
      <c r="M527" s="7">
        <f t="shared" si="43"/>
        <v>4.4553198149372822E-2</v>
      </c>
      <c r="N527" s="7">
        <f t="shared" si="47"/>
        <v>3.5642558519498262E-2</v>
      </c>
      <c r="O527" s="8"/>
      <c r="P527" s="26"/>
      <c r="S527" s="10" t="str">
        <f t="shared" si="44"/>
        <v/>
      </c>
    </row>
    <row r="528" spans="5:19" x14ac:dyDescent="0.3">
      <c r="E528" s="9">
        <f>IF(DADOS!C528="","",DADOS!C528)</f>
        <v>25</v>
      </c>
      <c r="F528" s="9">
        <f>IF(DADOS!E528="","",DADOS!E528)</f>
        <v>75.2</v>
      </c>
      <c r="G528" s="9">
        <f>IF(DADOS!F528="","",DADOS!F528)</f>
        <v>7</v>
      </c>
      <c r="K528" s="6">
        <f t="shared" si="45"/>
        <v>23.936903441021059</v>
      </c>
      <c r="L528" s="7">
        <f t="shared" si="46"/>
        <v>4.5001378469119592E-2</v>
      </c>
      <c r="M528" s="7">
        <f t="shared" si="43"/>
        <v>0.31500964928383712</v>
      </c>
      <c r="N528" s="7">
        <f t="shared" si="47"/>
        <v>0.25200771942706973</v>
      </c>
      <c r="O528" s="8"/>
      <c r="P528" s="26"/>
      <c r="S528" s="10" t="str">
        <f t="shared" si="44"/>
        <v/>
      </c>
    </row>
    <row r="529" spans="5:19" x14ac:dyDescent="0.3">
      <c r="E529" s="9">
        <f>IF(DADOS!C529="","",DADOS!C529)</f>
        <v>25</v>
      </c>
      <c r="F529" s="9">
        <f>IF(DADOS!E529="","",DADOS!E529)</f>
        <v>31.3</v>
      </c>
      <c r="G529" s="9">
        <f>IF(DADOS!F529="","",DADOS!F529)</f>
        <v>7</v>
      </c>
      <c r="K529" s="6">
        <f t="shared" si="45"/>
        <v>9.963099437552648</v>
      </c>
      <c r="L529" s="7">
        <f t="shared" si="46"/>
        <v>7.7961253098849468E-3</v>
      </c>
      <c r="M529" s="7">
        <f t="shared" si="43"/>
        <v>5.4572877169194629E-2</v>
      </c>
      <c r="N529" s="7">
        <f t="shared" si="47"/>
        <v>4.3658301735355703E-2</v>
      </c>
      <c r="O529" s="8"/>
      <c r="P529" s="26"/>
      <c r="S529" s="10" t="str">
        <f t="shared" si="44"/>
        <v/>
      </c>
    </row>
    <row r="530" spans="5:19" x14ac:dyDescent="0.3">
      <c r="E530" s="9">
        <f>IF(DADOS!C530="","",DADOS!C530)</f>
        <v>25</v>
      </c>
      <c r="F530" s="9">
        <f>IF(DADOS!E530="","",DADOS!E530)</f>
        <v>26</v>
      </c>
      <c r="G530" s="9">
        <f>IF(DADOS!F530="","",DADOS!F530)</f>
        <v>7</v>
      </c>
      <c r="K530" s="6">
        <f t="shared" si="45"/>
        <v>8.2760570407785572</v>
      </c>
      <c r="L530" s="7">
        <f t="shared" si="46"/>
        <v>5.3794370765060618E-3</v>
      </c>
      <c r="M530" s="7">
        <f t="shared" si="43"/>
        <v>3.7656059535542435E-2</v>
      </c>
      <c r="N530" s="7">
        <f t="shared" si="47"/>
        <v>3.012484762843395E-2</v>
      </c>
      <c r="O530" s="8"/>
      <c r="P530" s="26"/>
      <c r="S530" s="10" t="str">
        <f t="shared" si="44"/>
        <v/>
      </c>
    </row>
    <row r="531" spans="5:19" x14ac:dyDescent="0.3">
      <c r="E531" s="9">
        <f>IF(DADOS!C531="","",DADOS!C531)</f>
        <v>25</v>
      </c>
      <c r="F531" s="9">
        <f>IF(DADOS!E531="","",DADOS!E531)</f>
        <v>22.8</v>
      </c>
      <c r="G531" s="9">
        <f>IF(DADOS!F531="","",DADOS!F531)</f>
        <v>7</v>
      </c>
      <c r="K531" s="6">
        <f t="shared" si="45"/>
        <v>7.2574654049904277</v>
      </c>
      <c r="L531" s="7">
        <f t="shared" si="46"/>
        <v>4.1367552808445436E-3</v>
      </c>
      <c r="M531" s="7">
        <f t="shared" si="43"/>
        <v>2.8957286965911804E-2</v>
      </c>
      <c r="N531" s="7">
        <f t="shared" si="47"/>
        <v>2.3165829572729446E-2</v>
      </c>
      <c r="O531" s="8"/>
      <c r="P531" s="26"/>
      <c r="S531" s="10" t="str">
        <f t="shared" si="44"/>
        <v/>
      </c>
    </row>
    <row r="532" spans="5:19" x14ac:dyDescent="0.3">
      <c r="E532" s="9">
        <f>IF(DADOS!C532="","",DADOS!C532)</f>
        <v>25</v>
      </c>
      <c r="F532" s="9">
        <f>IF(DADOS!E532="","",DADOS!E532)</f>
        <v>37</v>
      </c>
      <c r="G532" s="9">
        <f>IF(DADOS!F532="","",DADOS!F532)</f>
        <v>7</v>
      </c>
      <c r="K532" s="6">
        <f t="shared" si="45"/>
        <v>11.777465788800255</v>
      </c>
      <c r="L532" s="7">
        <f t="shared" si="46"/>
        <v>1.0894155854640234E-2</v>
      </c>
      <c r="M532" s="7">
        <f t="shared" si="43"/>
        <v>7.6259090982481639E-2</v>
      </c>
      <c r="N532" s="7">
        <f t="shared" si="47"/>
        <v>6.1007272785985313E-2</v>
      </c>
      <c r="O532" s="8"/>
      <c r="P532" s="26"/>
      <c r="S532" s="10" t="str">
        <f t="shared" si="44"/>
        <v/>
      </c>
    </row>
    <row r="533" spans="5:19" x14ac:dyDescent="0.3">
      <c r="E533" s="9">
        <f>IF(DADOS!C533="","",DADOS!C533)</f>
        <v>25</v>
      </c>
      <c r="F533" s="9">
        <f>IF(DADOS!E533="","",DADOS!E533)</f>
        <v>60</v>
      </c>
      <c r="G533" s="9">
        <f>IF(DADOS!F533="","",DADOS!F533)</f>
        <v>6</v>
      </c>
      <c r="K533" s="6">
        <f t="shared" si="45"/>
        <v>19.098593171027442</v>
      </c>
      <c r="L533" s="7">
        <f t="shared" si="46"/>
        <v>2.8647889756541166E-2</v>
      </c>
      <c r="M533" s="7">
        <f t="shared" si="43"/>
        <v>0.17188733853924698</v>
      </c>
      <c r="N533" s="7">
        <f t="shared" si="47"/>
        <v>0.1375098708313976</v>
      </c>
      <c r="O533" s="8"/>
      <c r="P533" s="26"/>
      <c r="S533" s="10" t="str">
        <f t="shared" si="44"/>
        <v/>
      </c>
    </row>
    <row r="534" spans="5:19" x14ac:dyDescent="0.3">
      <c r="E534" s="9">
        <f>IF(DADOS!C534="","",DADOS!C534)</f>
        <v>25</v>
      </c>
      <c r="F534" s="9">
        <f>IF(DADOS!E534="","",DADOS!E534)</f>
        <v>19.399999999999999</v>
      </c>
      <c r="G534" s="9">
        <f>IF(DADOS!F534="","",DADOS!F534)</f>
        <v>6</v>
      </c>
      <c r="K534" s="6">
        <f t="shared" si="45"/>
        <v>6.1752117919655385</v>
      </c>
      <c r="L534" s="7">
        <f t="shared" si="46"/>
        <v>2.9949777191032863E-3</v>
      </c>
      <c r="M534" s="7">
        <f t="shared" si="43"/>
        <v>1.7969866314619717E-2</v>
      </c>
      <c r="N534" s="7">
        <f t="shared" si="47"/>
        <v>1.4375893051695773E-2</v>
      </c>
      <c r="O534" s="8"/>
      <c r="P534" s="26"/>
      <c r="S534" s="10" t="str">
        <f t="shared" si="44"/>
        <v/>
      </c>
    </row>
    <row r="535" spans="5:19" x14ac:dyDescent="0.3">
      <c r="E535" s="9">
        <f>IF(DADOS!C535="","",DADOS!C535)</f>
        <v>25</v>
      </c>
      <c r="F535" s="9">
        <f>IF(DADOS!E535="","",DADOS!E535)</f>
        <v>19</v>
      </c>
      <c r="G535" s="9">
        <f>IF(DADOS!F535="","",DADOS!F535)</f>
        <v>4</v>
      </c>
      <c r="K535" s="6">
        <f t="shared" si="45"/>
        <v>6.0478878374920226</v>
      </c>
      <c r="L535" s="7">
        <f t="shared" si="46"/>
        <v>2.8727467228087107E-3</v>
      </c>
      <c r="M535" s="7">
        <f t="shared" si="43"/>
        <v>1.1490986891234843E-2</v>
      </c>
      <c r="N535" s="7">
        <f t="shared" si="47"/>
        <v>9.1927895129878742E-3</v>
      </c>
      <c r="O535" s="8"/>
      <c r="P535" s="26"/>
      <c r="S535" s="10" t="str">
        <f t="shared" si="44"/>
        <v/>
      </c>
    </row>
    <row r="536" spans="5:19" x14ac:dyDescent="0.3">
      <c r="E536" s="9">
        <f>IF(DADOS!C536="","",DADOS!C536)</f>
        <v>25</v>
      </c>
      <c r="F536" s="9">
        <f>IF(DADOS!E536="","",DADOS!E536)</f>
        <v>20</v>
      </c>
      <c r="G536" s="9">
        <f>IF(DADOS!F536="","",DADOS!F536)</f>
        <v>5</v>
      </c>
      <c r="K536" s="6">
        <f t="shared" si="45"/>
        <v>6.366197723675814</v>
      </c>
      <c r="L536" s="7">
        <f t="shared" si="46"/>
        <v>3.1830988618379076E-3</v>
      </c>
      <c r="M536" s="7">
        <f t="shared" si="43"/>
        <v>1.5915494309189537E-2</v>
      </c>
      <c r="N536" s="7">
        <f t="shared" si="47"/>
        <v>1.273239544735163E-2</v>
      </c>
      <c r="O536" s="8"/>
      <c r="P536" s="26"/>
      <c r="S536" s="10" t="str">
        <f t="shared" si="44"/>
        <v/>
      </c>
    </row>
    <row r="537" spans="5:19" x14ac:dyDescent="0.3">
      <c r="E537" s="9">
        <f>IF(DADOS!C537="","",DADOS!C537)</f>
        <v>25</v>
      </c>
      <c r="F537" s="9">
        <f>IF(DADOS!E537="","",DADOS!E537)</f>
        <v>83</v>
      </c>
      <c r="G537" s="9">
        <f>IF(DADOS!F537="","",DADOS!F537)</f>
        <v>10</v>
      </c>
      <c r="K537" s="6">
        <f t="shared" si="45"/>
        <v>26.419720553254628</v>
      </c>
      <c r="L537" s="7">
        <f t="shared" si="46"/>
        <v>5.4820920148003362E-2</v>
      </c>
      <c r="M537" s="7">
        <f t="shared" si="43"/>
        <v>0.5482092014800336</v>
      </c>
      <c r="N537" s="7">
        <f t="shared" si="47"/>
        <v>0.43856736118402689</v>
      </c>
      <c r="O537" s="8"/>
      <c r="P537" s="26"/>
      <c r="S537" s="10" t="str">
        <f t="shared" si="44"/>
        <v/>
      </c>
    </row>
    <row r="538" spans="5:19" x14ac:dyDescent="0.3">
      <c r="E538" s="9">
        <f>IF(DADOS!C538="","",DADOS!C538)</f>
        <v>25</v>
      </c>
      <c r="F538" s="9">
        <f>IF(DADOS!E538="","",DADOS!E538)</f>
        <v>32</v>
      </c>
      <c r="G538" s="9">
        <f>IF(DADOS!F538="","",DADOS!F538)</f>
        <v>10</v>
      </c>
      <c r="K538" s="6">
        <f t="shared" si="45"/>
        <v>10.185916357881302</v>
      </c>
      <c r="L538" s="7">
        <f t="shared" si="46"/>
        <v>8.1487330863050413E-3</v>
      </c>
      <c r="M538" s="7">
        <f t="shared" si="43"/>
        <v>8.1487330863050406E-2</v>
      </c>
      <c r="N538" s="7">
        <f t="shared" si="47"/>
        <v>6.518986469044033E-2</v>
      </c>
      <c r="O538" s="8"/>
      <c r="P538" s="26"/>
      <c r="S538" s="10" t="str">
        <f t="shared" si="44"/>
        <v/>
      </c>
    </row>
    <row r="539" spans="5:19" x14ac:dyDescent="0.3">
      <c r="E539" s="9">
        <f>IF(DADOS!C539="","",DADOS!C539)</f>
        <v>25</v>
      </c>
      <c r="F539" s="9">
        <f>IF(DADOS!E539="","",DADOS!E539)</f>
        <v>70</v>
      </c>
      <c r="G539" s="9">
        <f>IF(DADOS!F539="","",DADOS!F539)</f>
        <v>10</v>
      </c>
      <c r="K539" s="6">
        <f t="shared" si="45"/>
        <v>22.281692032865347</v>
      </c>
      <c r="L539" s="7">
        <f t="shared" si="46"/>
        <v>3.8992961057514354E-2</v>
      </c>
      <c r="M539" s="7">
        <f t="shared" si="43"/>
        <v>0.38992961057514353</v>
      </c>
      <c r="N539" s="7">
        <f t="shared" si="47"/>
        <v>0.31194368846011483</v>
      </c>
      <c r="O539" s="8"/>
      <c r="P539" s="26"/>
      <c r="S539" s="10" t="str">
        <f t="shared" si="44"/>
        <v/>
      </c>
    </row>
    <row r="540" spans="5:19" x14ac:dyDescent="0.3">
      <c r="E540" s="9">
        <f>IF(DADOS!C540="","",DADOS!C540)</f>
        <v>26</v>
      </c>
      <c r="F540" s="9">
        <f>IF(DADOS!E540="","",DADOS!E540)</f>
        <v>74</v>
      </c>
      <c r="G540" s="9">
        <f>IF(DADOS!F540="","",DADOS!F540)</f>
        <v>11</v>
      </c>
      <c r="K540" s="6">
        <f t="shared" si="45"/>
        <v>23.554931577600509</v>
      </c>
      <c r="L540" s="7">
        <f t="shared" si="46"/>
        <v>4.3576623418560938E-2</v>
      </c>
      <c r="M540" s="7">
        <f t="shared" si="43"/>
        <v>0.47934285760417034</v>
      </c>
      <c r="N540" s="7">
        <f t="shared" si="47"/>
        <v>0.38347428608333628</v>
      </c>
      <c r="O540" s="8"/>
      <c r="P540" s="26"/>
      <c r="S540" s="10" t="str">
        <f t="shared" si="44"/>
        <v/>
      </c>
    </row>
    <row r="541" spans="5:19" x14ac:dyDescent="0.3">
      <c r="E541" s="9">
        <f>IF(DADOS!C541="","",DADOS!C541)</f>
        <v>26</v>
      </c>
      <c r="F541" s="9">
        <f>IF(DADOS!E541="","",DADOS!E541)</f>
        <v>58.3</v>
      </c>
      <c r="G541" s="9">
        <f>IF(DADOS!F541="","",DADOS!F541)</f>
        <v>11</v>
      </c>
      <c r="K541" s="6">
        <f t="shared" si="45"/>
        <v>18.557466364514998</v>
      </c>
      <c r="L541" s="7">
        <f t="shared" si="46"/>
        <v>2.7047507226280611E-2</v>
      </c>
      <c r="M541" s="7">
        <f t="shared" si="43"/>
        <v>0.29752257948908672</v>
      </c>
      <c r="N541" s="7">
        <f t="shared" si="47"/>
        <v>0.2380180635912694</v>
      </c>
      <c r="O541" s="8"/>
      <c r="P541" s="26"/>
      <c r="S541" s="10" t="str">
        <f t="shared" si="44"/>
        <v/>
      </c>
    </row>
    <row r="542" spans="5:19" x14ac:dyDescent="0.3">
      <c r="E542" s="9">
        <f>IF(DADOS!C542="","",DADOS!C542)</f>
        <v>26</v>
      </c>
      <c r="F542" s="9">
        <f>IF(DADOS!E542="","",DADOS!E542)</f>
        <v>63</v>
      </c>
      <c r="G542" s="9">
        <f>IF(DADOS!F542="","",DADOS!F542)</f>
        <v>11</v>
      </c>
      <c r="K542" s="6">
        <f t="shared" si="45"/>
        <v>20.053522829578814</v>
      </c>
      <c r="L542" s="7">
        <f t="shared" si="46"/>
        <v>3.1584298456586633E-2</v>
      </c>
      <c r="M542" s="7">
        <f t="shared" si="43"/>
        <v>0.34742728302245296</v>
      </c>
      <c r="N542" s="7">
        <f t="shared" si="47"/>
        <v>0.27794182641796239</v>
      </c>
      <c r="O542" s="8"/>
      <c r="P542" s="26"/>
      <c r="S542" s="10" t="str">
        <f t="shared" si="44"/>
        <v/>
      </c>
    </row>
    <row r="543" spans="5:19" x14ac:dyDescent="0.3">
      <c r="E543" s="9">
        <f>IF(DADOS!C543="","",DADOS!C543)</f>
        <v>26</v>
      </c>
      <c r="F543" s="9">
        <f>IF(DADOS!E543="","",DADOS!E543)</f>
        <v>126.6</v>
      </c>
      <c r="G543" s="9">
        <f>IF(DADOS!F543="","",DADOS!F543)</f>
        <v>11</v>
      </c>
      <c r="K543" s="6">
        <f t="shared" si="45"/>
        <v>40.2980315908679</v>
      </c>
      <c r="L543" s="7">
        <f t="shared" si="46"/>
        <v>0.12754326998509688</v>
      </c>
      <c r="M543" s="7">
        <f t="shared" si="43"/>
        <v>1.4029759698360658</v>
      </c>
      <c r="N543" s="7">
        <f t="shared" si="47"/>
        <v>1.1223807758688527</v>
      </c>
      <c r="O543" s="8"/>
      <c r="P543" s="26"/>
      <c r="S543" s="10" t="str">
        <f t="shared" si="44"/>
        <v/>
      </c>
    </row>
    <row r="544" spans="5:19" x14ac:dyDescent="0.3">
      <c r="E544" s="9">
        <f>IF(DADOS!C544="","",DADOS!C544)</f>
        <v>26</v>
      </c>
      <c r="F544" s="9">
        <f>IF(DADOS!E544="","",DADOS!E544)</f>
        <v>84</v>
      </c>
      <c r="G544" s="9">
        <f>IF(DADOS!F544="","",DADOS!F544)</f>
        <v>12</v>
      </c>
      <c r="K544" s="6">
        <f t="shared" si="45"/>
        <v>26.738030439438418</v>
      </c>
      <c r="L544" s="7">
        <f t="shared" si="46"/>
        <v>5.6149863922820682E-2</v>
      </c>
      <c r="M544" s="7">
        <f t="shared" si="43"/>
        <v>0.67379836707384821</v>
      </c>
      <c r="N544" s="7">
        <f t="shared" si="47"/>
        <v>0.53903869365907864</v>
      </c>
      <c r="O544" s="8"/>
      <c r="P544" s="26"/>
      <c r="S544" s="10" t="str">
        <f t="shared" si="44"/>
        <v/>
      </c>
    </row>
    <row r="545" spans="5:19" x14ac:dyDescent="0.3">
      <c r="E545" s="9">
        <f>IF(DADOS!C545="","",DADOS!C545)</f>
        <v>26</v>
      </c>
      <c r="F545" s="9">
        <f>IF(DADOS!E545="","",DADOS!E545)</f>
        <v>41.9</v>
      </c>
      <c r="G545" s="9">
        <f>IF(DADOS!F545="","",DADOS!F545)</f>
        <v>7</v>
      </c>
      <c r="K545" s="6">
        <f t="shared" si="45"/>
        <v>13.33718423110083</v>
      </c>
      <c r="L545" s="7">
        <f t="shared" si="46"/>
        <v>1.3970700482078121E-2</v>
      </c>
      <c r="M545" s="7">
        <f t="shared" si="43"/>
        <v>9.7794903374546854E-2</v>
      </c>
      <c r="N545" s="7">
        <f t="shared" si="47"/>
        <v>7.8235922699637486E-2</v>
      </c>
      <c r="O545" s="8"/>
      <c r="P545" s="26"/>
      <c r="S545" s="10" t="str">
        <f t="shared" si="44"/>
        <v/>
      </c>
    </row>
    <row r="546" spans="5:19" x14ac:dyDescent="0.3">
      <c r="E546" s="9">
        <f>IF(DADOS!C546="","",DADOS!C546)</f>
        <v>26</v>
      </c>
      <c r="F546" s="9">
        <f>IF(DADOS!E546="","",DADOS!E546)</f>
        <v>33.299999999999997</v>
      </c>
      <c r="G546" s="9">
        <f>IF(DADOS!F546="","",DADOS!F546)</f>
        <v>7</v>
      </c>
      <c r="K546" s="6">
        <f t="shared" si="45"/>
        <v>10.599719209920229</v>
      </c>
      <c r="L546" s="7">
        <f t="shared" si="46"/>
        <v>8.8242662422585889E-3</v>
      </c>
      <c r="M546" s="7">
        <f t="shared" si="43"/>
        <v>6.1769863695810126E-2</v>
      </c>
      <c r="N546" s="7">
        <f t="shared" si="47"/>
        <v>4.9415890956648105E-2</v>
      </c>
      <c r="O546" s="8"/>
      <c r="P546" s="26"/>
      <c r="S546" s="10" t="str">
        <f t="shared" si="44"/>
        <v/>
      </c>
    </row>
    <row r="547" spans="5:19" x14ac:dyDescent="0.3">
      <c r="E547" s="9">
        <f>IF(DADOS!C547="","",DADOS!C547)</f>
        <v>26</v>
      </c>
      <c r="F547" s="9">
        <f>IF(DADOS!E547="","",DADOS!E547)</f>
        <v>60</v>
      </c>
      <c r="G547" s="9">
        <f>IF(DADOS!F547="","",DADOS!F547)</f>
        <v>7</v>
      </c>
      <c r="K547" s="6">
        <f t="shared" si="45"/>
        <v>19.098593171027442</v>
      </c>
      <c r="L547" s="7">
        <f t="shared" si="46"/>
        <v>2.8647889756541166E-2</v>
      </c>
      <c r="M547" s="7">
        <f t="shared" si="43"/>
        <v>0.20053522829578815</v>
      </c>
      <c r="N547" s="7">
        <f t="shared" si="47"/>
        <v>0.16042818263663053</v>
      </c>
      <c r="O547" s="8"/>
      <c r="P547" s="26"/>
      <c r="S547" s="10" t="str">
        <f t="shared" si="44"/>
        <v/>
      </c>
    </row>
    <row r="548" spans="5:19" x14ac:dyDescent="0.3">
      <c r="E548" s="9">
        <f>IF(DADOS!C548="","",DADOS!C548)</f>
        <v>26</v>
      </c>
      <c r="F548" s="9">
        <f>IF(DADOS!E548="","",DADOS!E548)</f>
        <v>27.4</v>
      </c>
      <c r="G548" s="9">
        <f>IF(DADOS!F548="","",DADOS!F548)</f>
        <v>7</v>
      </c>
      <c r="K548" s="6">
        <f t="shared" si="45"/>
        <v>8.7216908814358636</v>
      </c>
      <c r="L548" s="7">
        <f t="shared" si="46"/>
        <v>5.9743582537835653E-3</v>
      </c>
      <c r="M548" s="7">
        <f t="shared" si="43"/>
        <v>4.1820507776484959E-2</v>
      </c>
      <c r="N548" s="7">
        <f t="shared" si="47"/>
        <v>3.3456406221187972E-2</v>
      </c>
      <c r="O548" s="8"/>
      <c r="P548" s="26"/>
      <c r="S548" s="10" t="str">
        <f t="shared" si="44"/>
        <v/>
      </c>
    </row>
    <row r="549" spans="5:19" x14ac:dyDescent="0.3">
      <c r="E549" s="9">
        <f>IF(DADOS!C549="","",DADOS!C549)</f>
        <v>26</v>
      </c>
      <c r="F549" s="9">
        <f>IF(DADOS!E549="","",DADOS!E549)</f>
        <v>85.6</v>
      </c>
      <c r="G549" s="9">
        <f>IF(DADOS!F549="","",DADOS!F549)</f>
        <v>4.5</v>
      </c>
      <c r="K549" s="6">
        <f t="shared" si="45"/>
        <v>27.247326257332482</v>
      </c>
      <c r="L549" s="7">
        <f t="shared" si="46"/>
        <v>5.830927819069151E-2</v>
      </c>
      <c r="M549" s="7">
        <f t="shared" si="43"/>
        <v>0.26239175185811181</v>
      </c>
      <c r="N549" s="7">
        <f t="shared" si="47"/>
        <v>0.20991340148648946</v>
      </c>
      <c r="O549" s="8"/>
      <c r="P549" s="26"/>
      <c r="S549" s="10" t="str">
        <f t="shared" si="44"/>
        <v/>
      </c>
    </row>
    <row r="550" spans="5:19" x14ac:dyDescent="0.3">
      <c r="E550" s="9">
        <f>IF(DADOS!C550="","",DADOS!C550)</f>
        <v>26</v>
      </c>
      <c r="F550" s="9">
        <f>IF(DADOS!E550="","",DADOS!E550)</f>
        <v>22</v>
      </c>
      <c r="G550" s="9">
        <f>IF(DADOS!F550="","",DADOS!F550)</f>
        <v>6</v>
      </c>
      <c r="K550" s="6">
        <f t="shared" si="45"/>
        <v>7.0028174960433951</v>
      </c>
      <c r="L550" s="7">
        <f t="shared" si="46"/>
        <v>3.8515496228238677E-3</v>
      </c>
      <c r="M550" s="7">
        <f t="shared" si="43"/>
        <v>2.3109297736943205E-2</v>
      </c>
      <c r="N550" s="7">
        <f t="shared" si="47"/>
        <v>1.8487438189554565E-2</v>
      </c>
      <c r="O550" s="8"/>
      <c r="P550" s="26"/>
      <c r="S550" s="10" t="str">
        <f t="shared" si="44"/>
        <v/>
      </c>
    </row>
    <row r="551" spans="5:19" x14ac:dyDescent="0.3">
      <c r="E551" s="9">
        <f>IF(DADOS!C551="","",DADOS!C551)</f>
        <v>26</v>
      </c>
      <c r="F551" s="9">
        <f>IF(DADOS!E551="","",DADOS!E551)</f>
        <v>98.9</v>
      </c>
      <c r="G551" s="9">
        <f>IF(DADOS!F551="","",DADOS!F551)</f>
        <v>6</v>
      </c>
      <c r="K551" s="6">
        <f t="shared" si="45"/>
        <v>31.480847743576902</v>
      </c>
      <c r="L551" s="7">
        <f t="shared" si="46"/>
        <v>7.7836396045993905E-2</v>
      </c>
      <c r="M551" s="7">
        <f t="shared" si="43"/>
        <v>0.46701837627596343</v>
      </c>
      <c r="N551" s="7">
        <f t="shared" si="47"/>
        <v>0.37361470102077077</v>
      </c>
      <c r="O551" s="8"/>
      <c r="P551" s="26"/>
      <c r="S551" s="10" t="str">
        <f t="shared" si="44"/>
        <v/>
      </c>
    </row>
    <row r="552" spans="5:19" x14ac:dyDescent="0.3">
      <c r="E552" s="9">
        <f>IF(DADOS!C552="","",DADOS!C552)</f>
        <v>26</v>
      </c>
      <c r="F552" s="9">
        <f>IF(DADOS!E552="","",DADOS!E552)</f>
        <v>42.7</v>
      </c>
      <c r="G552" s="9">
        <f>IF(DADOS!F552="","",DADOS!F552)</f>
        <v>6.5</v>
      </c>
      <c r="K552" s="6">
        <f t="shared" si="45"/>
        <v>13.591832140047863</v>
      </c>
      <c r="L552" s="7">
        <f t="shared" si="46"/>
        <v>1.4509280809501096E-2</v>
      </c>
      <c r="M552" s="7">
        <f t="shared" si="43"/>
        <v>9.4310325261757116E-2</v>
      </c>
      <c r="N552" s="7">
        <f t="shared" si="47"/>
        <v>7.5448260209405704E-2</v>
      </c>
      <c r="O552" s="8"/>
      <c r="P552" s="26"/>
      <c r="S552" s="10" t="str">
        <f t="shared" si="44"/>
        <v/>
      </c>
    </row>
    <row r="553" spans="5:19" x14ac:dyDescent="0.3">
      <c r="E553" s="9">
        <f>IF(DADOS!C553="","",DADOS!C553)</f>
        <v>26</v>
      </c>
      <c r="F553" s="9">
        <f>IF(DADOS!E553="","",DADOS!E553)</f>
        <v>21.5</v>
      </c>
      <c r="G553" s="9">
        <f>IF(DADOS!F553="","",DADOS!F553)</f>
        <v>3</v>
      </c>
      <c r="K553" s="6">
        <f t="shared" si="45"/>
        <v>6.8436625529514998</v>
      </c>
      <c r="L553" s="7">
        <f t="shared" si="46"/>
        <v>3.6784686222114311E-3</v>
      </c>
      <c r="M553" s="7">
        <f t="shared" si="43"/>
        <v>1.1035405866634294E-2</v>
      </c>
      <c r="N553" s="7">
        <f t="shared" si="47"/>
        <v>8.828324693307436E-3</v>
      </c>
      <c r="O553" s="8"/>
      <c r="P553" s="26"/>
      <c r="S553" s="10" t="str">
        <f t="shared" si="44"/>
        <v/>
      </c>
    </row>
    <row r="554" spans="5:19" x14ac:dyDescent="0.3">
      <c r="E554" s="9">
        <f>IF(DADOS!C554="","",DADOS!C554)</f>
        <v>26</v>
      </c>
      <c r="F554" s="9">
        <f>IF(DADOS!E554="","",DADOS!E554)</f>
        <v>21.4</v>
      </c>
      <c r="G554" s="9">
        <f>IF(DADOS!F554="","",DADOS!F554)</f>
        <v>3.6</v>
      </c>
      <c r="K554" s="6">
        <f t="shared" si="45"/>
        <v>6.8118315643331204</v>
      </c>
      <c r="L554" s="7">
        <f t="shared" si="46"/>
        <v>3.6443298869182194E-3</v>
      </c>
      <c r="M554" s="7">
        <f t="shared" si="43"/>
        <v>1.3119587592905589E-2</v>
      </c>
      <c r="N554" s="7">
        <f t="shared" si="47"/>
        <v>1.0495670074324472E-2</v>
      </c>
      <c r="O554" s="8"/>
      <c r="P554" s="26"/>
      <c r="S554" s="10" t="str">
        <f t="shared" si="44"/>
        <v/>
      </c>
    </row>
    <row r="555" spans="5:19" x14ac:dyDescent="0.3">
      <c r="E555" s="9">
        <f>IF(DADOS!C555="","",DADOS!C555)</f>
        <v>26</v>
      </c>
      <c r="F555" s="9">
        <f>IF(DADOS!E555="","",DADOS!E555)</f>
        <v>21.5</v>
      </c>
      <c r="G555" s="9">
        <f>IF(DADOS!F555="","",DADOS!F555)</f>
        <v>4.5</v>
      </c>
      <c r="K555" s="6">
        <f t="shared" si="45"/>
        <v>6.8436625529514998</v>
      </c>
      <c r="L555" s="7">
        <f t="shared" si="46"/>
        <v>3.6784686222114311E-3</v>
      </c>
      <c r="M555" s="7">
        <f t="shared" si="43"/>
        <v>1.6553108799951439E-2</v>
      </c>
      <c r="N555" s="7">
        <f t="shared" si="47"/>
        <v>1.3242487039961151E-2</v>
      </c>
      <c r="O555" s="8"/>
      <c r="P555" s="26"/>
      <c r="S555" s="10" t="str">
        <f t="shared" si="44"/>
        <v/>
      </c>
    </row>
    <row r="556" spans="5:19" x14ac:dyDescent="0.3">
      <c r="E556" s="9">
        <f>IF(DADOS!C556="","",DADOS!C556)</f>
        <v>26</v>
      </c>
      <c r="F556" s="9">
        <f>IF(DADOS!E556="","",DADOS!E556)</f>
        <v>53.7</v>
      </c>
      <c r="G556" s="9">
        <f>IF(DADOS!F556="","",DADOS!F556)</f>
        <v>8</v>
      </c>
      <c r="K556" s="6">
        <f t="shared" si="45"/>
        <v>17.093240888069559</v>
      </c>
      <c r="L556" s="7">
        <f t="shared" si="46"/>
        <v>2.2947675892233382E-2</v>
      </c>
      <c r="M556" s="7">
        <f t="shared" si="43"/>
        <v>0.18358140713786705</v>
      </c>
      <c r="N556" s="7">
        <f t="shared" si="47"/>
        <v>0.14686512571029364</v>
      </c>
      <c r="O556" s="8"/>
      <c r="P556" s="26"/>
      <c r="S556" s="10" t="str">
        <f t="shared" si="44"/>
        <v/>
      </c>
    </row>
    <row r="557" spans="5:19" x14ac:dyDescent="0.3">
      <c r="E557" s="9">
        <f>IF(DADOS!C557="","",DADOS!C557)</f>
        <v>26</v>
      </c>
      <c r="F557" s="9">
        <f>IF(DADOS!E557="","",DADOS!E557)</f>
        <v>42.5</v>
      </c>
      <c r="G557" s="9">
        <f>IF(DADOS!F557="","",DADOS!F557)</f>
        <v>8</v>
      </c>
      <c r="K557" s="6">
        <f t="shared" si="45"/>
        <v>13.528170162811104</v>
      </c>
      <c r="L557" s="7">
        <f t="shared" si="46"/>
        <v>1.43736807979868E-2</v>
      </c>
      <c r="M557" s="7">
        <f t="shared" si="43"/>
        <v>0.1149894463838944</v>
      </c>
      <c r="N557" s="7">
        <f t="shared" si="47"/>
        <v>9.1991557107115526E-2</v>
      </c>
      <c r="O557" s="8"/>
      <c r="P557" s="26"/>
      <c r="S557" s="10" t="str">
        <f t="shared" si="44"/>
        <v/>
      </c>
    </row>
    <row r="558" spans="5:19" x14ac:dyDescent="0.3">
      <c r="E558" s="9">
        <f>IF(DADOS!C558="","",DADOS!C558)</f>
        <v>26</v>
      </c>
      <c r="F558" s="9">
        <f>IF(DADOS!E558="","",DADOS!E558)</f>
        <v>109</v>
      </c>
      <c r="G558" s="9">
        <f>IF(DADOS!F558="","",DADOS!F558)</f>
        <v>9</v>
      </c>
      <c r="K558" s="6">
        <f t="shared" si="45"/>
        <v>34.695777594033181</v>
      </c>
      <c r="L558" s="7">
        <f t="shared" si="46"/>
        <v>9.4545993943740414E-2</v>
      </c>
      <c r="M558" s="7">
        <f t="shared" si="43"/>
        <v>0.85091394549366373</v>
      </c>
      <c r="N558" s="7">
        <f t="shared" si="47"/>
        <v>0.68073115639493098</v>
      </c>
      <c r="O558" s="8"/>
      <c r="P558" s="26"/>
      <c r="S558" s="10" t="str">
        <f t="shared" si="44"/>
        <v/>
      </c>
    </row>
    <row r="559" spans="5:19" x14ac:dyDescent="0.3">
      <c r="E559" s="9">
        <f>IF(DADOS!C559="","",DADOS!C559)</f>
        <v>26</v>
      </c>
      <c r="F559" s="9">
        <f>IF(DADOS!E559="","",DADOS!E559)</f>
        <v>67</v>
      </c>
      <c r="G559" s="9">
        <f>IF(DADOS!F559="","",DADOS!F559)</f>
        <v>8</v>
      </c>
      <c r="K559" s="6">
        <f t="shared" si="45"/>
        <v>21.326762374313976</v>
      </c>
      <c r="L559" s="7">
        <f t="shared" si="46"/>
        <v>3.5722326976975909E-2</v>
      </c>
      <c r="M559" s="7">
        <f t="shared" si="43"/>
        <v>0.28577861581580727</v>
      </c>
      <c r="N559" s="7">
        <f t="shared" si="47"/>
        <v>0.22862289265264582</v>
      </c>
      <c r="O559" s="8"/>
      <c r="P559" s="26"/>
      <c r="S559" s="10" t="str">
        <f t="shared" si="44"/>
        <v/>
      </c>
    </row>
    <row r="560" spans="5:19" x14ac:dyDescent="0.3">
      <c r="E560" s="9">
        <f>IF(DADOS!C560="","",DADOS!C560)</f>
        <v>26</v>
      </c>
      <c r="F560" s="9">
        <f>IF(DADOS!E560="","",DADOS!E560)</f>
        <v>47.5</v>
      </c>
      <c r="G560" s="9">
        <f>IF(DADOS!F560="","",DADOS!F560)</f>
        <v>10</v>
      </c>
      <c r="K560" s="6">
        <f t="shared" si="45"/>
        <v>15.119719593730057</v>
      </c>
      <c r="L560" s="7">
        <f t="shared" si="46"/>
        <v>1.7954667017554441E-2</v>
      </c>
      <c r="M560" s="7">
        <f t="shared" si="43"/>
        <v>0.1795466701755444</v>
      </c>
      <c r="N560" s="7">
        <f t="shared" si="47"/>
        <v>0.14363733614043553</v>
      </c>
      <c r="O560" s="8"/>
      <c r="P560" s="26"/>
      <c r="S560" s="10" t="str">
        <f t="shared" si="44"/>
        <v/>
      </c>
    </row>
    <row r="561" spans="5:19" x14ac:dyDescent="0.3">
      <c r="E561" s="9">
        <f>IF(DADOS!C561="","",DADOS!C561)</f>
        <v>26</v>
      </c>
      <c r="F561" s="9">
        <f>IF(DADOS!E561="","",DADOS!E561)</f>
        <v>22</v>
      </c>
      <c r="G561" s="9">
        <f>IF(DADOS!F561="","",DADOS!F561)</f>
        <v>9</v>
      </c>
      <c r="K561" s="6">
        <f t="shared" si="45"/>
        <v>7.0028174960433951</v>
      </c>
      <c r="L561" s="7">
        <f t="shared" si="46"/>
        <v>3.8515496228238677E-3</v>
      </c>
      <c r="M561" s="7">
        <f t="shared" si="43"/>
        <v>3.466394660541481E-2</v>
      </c>
      <c r="N561" s="7">
        <f t="shared" si="47"/>
        <v>2.7731157284331849E-2</v>
      </c>
      <c r="O561" s="8"/>
      <c r="P561" s="26"/>
      <c r="S561" s="10" t="str">
        <f t="shared" si="44"/>
        <v/>
      </c>
    </row>
    <row r="562" spans="5:19" x14ac:dyDescent="0.3">
      <c r="E562" s="9">
        <f>IF(DADOS!C562="","",DADOS!C562)</f>
        <v>26</v>
      </c>
      <c r="F562" s="9">
        <f>IF(DADOS!E562="","",DADOS!E562)</f>
        <v>25</v>
      </c>
      <c r="G562" s="9">
        <f>IF(DADOS!F562="","",DADOS!F562)</f>
        <v>8</v>
      </c>
      <c r="K562" s="6">
        <f t="shared" si="45"/>
        <v>7.9577471545947667</v>
      </c>
      <c r="L562" s="7">
        <f t="shared" si="46"/>
        <v>4.9735919716217287E-3</v>
      </c>
      <c r="M562" s="7">
        <f t="shared" si="43"/>
        <v>3.9788735772973829E-2</v>
      </c>
      <c r="N562" s="7">
        <f t="shared" si="47"/>
        <v>3.1830988618379068E-2</v>
      </c>
      <c r="O562" s="8"/>
      <c r="P562" s="26"/>
      <c r="S562" s="10" t="str">
        <f t="shared" si="44"/>
        <v/>
      </c>
    </row>
    <row r="563" spans="5:19" x14ac:dyDescent="0.3">
      <c r="E563" s="9">
        <f>IF(DADOS!C563="","",DADOS!C563)</f>
        <v>27</v>
      </c>
      <c r="F563" s="9">
        <f>IF(DADOS!E563="","",DADOS!E563)</f>
        <v>91</v>
      </c>
      <c r="G563" s="9">
        <f>IF(DADOS!F563="","",DADOS!F563)</f>
        <v>11</v>
      </c>
      <c r="K563" s="6">
        <f t="shared" si="45"/>
        <v>28.966199642724952</v>
      </c>
      <c r="L563" s="7">
        <f t="shared" si="46"/>
        <v>6.5898104187199255E-2</v>
      </c>
      <c r="M563" s="7">
        <f t="shared" si="43"/>
        <v>0.72487914605919179</v>
      </c>
      <c r="N563" s="7">
        <f t="shared" si="47"/>
        <v>0.57990331684735341</v>
      </c>
      <c r="O563" s="8"/>
      <c r="P563" s="26"/>
      <c r="S563" s="10" t="str">
        <f t="shared" si="44"/>
        <v/>
      </c>
    </row>
    <row r="564" spans="5:19" x14ac:dyDescent="0.3">
      <c r="E564" s="9">
        <f>IF(DADOS!C564="","",DADOS!C564)</f>
        <v>27</v>
      </c>
      <c r="F564" s="9">
        <f>IF(DADOS!E564="","",DADOS!E564)</f>
        <v>47.1</v>
      </c>
      <c r="G564" s="9">
        <f>IF(DADOS!F564="","",DADOS!F564)</f>
        <v>12</v>
      </c>
      <c r="K564" s="6">
        <f t="shared" si="45"/>
        <v>14.992395639256541</v>
      </c>
      <c r="L564" s="7">
        <f t="shared" si="46"/>
        <v>1.7653545865224576E-2</v>
      </c>
      <c r="M564" s="7">
        <f t="shared" si="43"/>
        <v>0.21184255038269489</v>
      </c>
      <c r="N564" s="7">
        <f t="shared" si="47"/>
        <v>0.16947404030615593</v>
      </c>
      <c r="O564" s="8"/>
      <c r="P564" s="26"/>
      <c r="S564" s="10" t="str">
        <f t="shared" si="44"/>
        <v/>
      </c>
    </row>
    <row r="565" spans="5:19" x14ac:dyDescent="0.3">
      <c r="E565" s="9">
        <f>IF(DADOS!C565="","",DADOS!C565)</f>
        <v>27</v>
      </c>
      <c r="F565" s="9">
        <f>IF(DADOS!E565="","",DADOS!E565)</f>
        <v>23.2</v>
      </c>
      <c r="G565" s="9">
        <f>IF(DADOS!F565="","",DADOS!F565)</f>
        <v>12</v>
      </c>
      <c r="K565" s="6">
        <f t="shared" si="45"/>
        <v>7.3847893594639435</v>
      </c>
      <c r="L565" s="7">
        <f t="shared" si="46"/>
        <v>4.2831778284890872E-3</v>
      </c>
      <c r="M565" s="7">
        <f t="shared" si="43"/>
        <v>5.1398133941869047E-2</v>
      </c>
      <c r="N565" s="7">
        <f t="shared" si="47"/>
        <v>4.1118507153495243E-2</v>
      </c>
      <c r="O565" s="8"/>
      <c r="P565" s="26"/>
      <c r="S565" s="10" t="str">
        <f t="shared" si="44"/>
        <v/>
      </c>
    </row>
    <row r="566" spans="5:19" x14ac:dyDescent="0.3">
      <c r="E566" s="9">
        <f>IF(DADOS!C566="","",DADOS!C566)</f>
        <v>27</v>
      </c>
      <c r="F566" s="9">
        <f>IF(DADOS!E566="","",DADOS!E566)</f>
        <v>18</v>
      </c>
      <c r="G566" s="9">
        <f>IF(DADOS!F566="","",DADOS!F566)</f>
        <v>7</v>
      </c>
      <c r="K566" s="6">
        <f t="shared" si="45"/>
        <v>5.7295779513082321</v>
      </c>
      <c r="L566" s="7">
        <f t="shared" si="46"/>
        <v>2.5783100780887042E-3</v>
      </c>
      <c r="M566" s="7">
        <f t="shared" si="43"/>
        <v>1.8048170546620931E-2</v>
      </c>
      <c r="N566" s="7">
        <f t="shared" si="47"/>
        <v>1.4438536437296746E-2</v>
      </c>
      <c r="O566" s="8"/>
      <c r="P566" s="26"/>
      <c r="S566" s="10" t="str">
        <f t="shared" si="44"/>
        <v/>
      </c>
    </row>
    <row r="567" spans="5:19" x14ac:dyDescent="0.3">
      <c r="E567" s="9">
        <f>IF(DADOS!C567="","",DADOS!C567)</f>
        <v>27</v>
      </c>
      <c r="F567" s="9">
        <f>IF(DADOS!E567="","",DADOS!E567)</f>
        <v>38.200000000000003</v>
      </c>
      <c r="G567" s="9">
        <f>IF(DADOS!F567="","",DADOS!F567)</f>
        <v>7</v>
      </c>
      <c r="K567" s="6">
        <f t="shared" si="45"/>
        <v>12.159437652220806</v>
      </c>
      <c r="L567" s="7">
        <f t="shared" si="46"/>
        <v>1.1612262957870871E-2</v>
      </c>
      <c r="M567" s="7">
        <f t="shared" si="43"/>
        <v>8.1285840705096091E-2</v>
      </c>
      <c r="N567" s="7">
        <f t="shared" si="47"/>
        <v>6.5028672564076878E-2</v>
      </c>
      <c r="O567" s="8"/>
      <c r="P567" s="26"/>
      <c r="S567" s="10" t="str">
        <f t="shared" si="44"/>
        <v/>
      </c>
    </row>
    <row r="568" spans="5:19" x14ac:dyDescent="0.3">
      <c r="E568" s="9">
        <f>IF(DADOS!C568="","",DADOS!C568)</f>
        <v>27</v>
      </c>
      <c r="F568" s="9">
        <f>IF(DADOS!E568="","",DADOS!E568)</f>
        <v>62.5</v>
      </c>
      <c r="G568" s="9">
        <f>IF(DADOS!F568="","",DADOS!F568)</f>
        <v>2.2000000000000002</v>
      </c>
      <c r="K568" s="6">
        <f t="shared" si="45"/>
        <v>19.894367886486918</v>
      </c>
      <c r="L568" s="7">
        <f t="shared" si="46"/>
        <v>3.1084949822635811E-2</v>
      </c>
      <c r="M568" s="7">
        <f t="shared" si="43"/>
        <v>6.8386889609798787E-2</v>
      </c>
      <c r="N568" s="7">
        <f t="shared" si="47"/>
        <v>5.4709511687839031E-2</v>
      </c>
      <c r="O568" s="8"/>
      <c r="P568" s="26"/>
      <c r="S568" s="10" t="str">
        <f t="shared" si="44"/>
        <v/>
      </c>
    </row>
    <row r="569" spans="5:19" x14ac:dyDescent="0.3">
      <c r="E569" s="9">
        <f>IF(DADOS!C569="","",DADOS!C569)</f>
        <v>27</v>
      </c>
      <c r="F569" s="9">
        <f>IF(DADOS!E569="","",DADOS!E569)</f>
        <v>47.6</v>
      </c>
      <c r="G569" s="9">
        <f>IF(DADOS!F569="","",DADOS!F569)</f>
        <v>5</v>
      </c>
      <c r="K569" s="6">
        <f t="shared" si="45"/>
        <v>15.151550582348436</v>
      </c>
      <c r="L569" s="7">
        <f t="shared" si="46"/>
        <v>1.8030345192994641E-2</v>
      </c>
      <c r="M569" s="7">
        <f t="shared" si="43"/>
        <v>9.0151725964973201E-2</v>
      </c>
      <c r="N569" s="7">
        <f t="shared" si="47"/>
        <v>7.2121380771978563E-2</v>
      </c>
      <c r="O569" s="8"/>
      <c r="P569" s="26"/>
      <c r="S569" s="10" t="str">
        <f t="shared" si="44"/>
        <v/>
      </c>
    </row>
    <row r="570" spans="5:19" x14ac:dyDescent="0.3">
      <c r="E570" s="9">
        <f>IF(DADOS!C570="","",DADOS!C570)</f>
        <v>27</v>
      </c>
      <c r="F570" s="9">
        <f>IF(DADOS!E570="","",DADOS!E570)</f>
        <v>68</v>
      </c>
      <c r="G570" s="9">
        <f>IF(DADOS!F570="","",DADOS!F570)</f>
        <v>3.5</v>
      </c>
      <c r="K570" s="6">
        <f t="shared" si="45"/>
        <v>21.645072260497766</v>
      </c>
      <c r="L570" s="7">
        <f t="shared" si="46"/>
        <v>3.6796622842846197E-2</v>
      </c>
      <c r="M570" s="7">
        <f t="shared" si="43"/>
        <v>0.1287881799499617</v>
      </c>
      <c r="N570" s="7">
        <f t="shared" si="47"/>
        <v>0.10303054395996936</v>
      </c>
      <c r="O570" s="8"/>
      <c r="P570" s="26"/>
      <c r="S570" s="10" t="str">
        <f t="shared" si="44"/>
        <v/>
      </c>
    </row>
    <row r="571" spans="5:19" x14ac:dyDescent="0.3">
      <c r="E571" s="9">
        <f>IF(DADOS!C571="","",DADOS!C571)</f>
        <v>27</v>
      </c>
      <c r="F571" s="9">
        <f>IF(DADOS!E571="","",DADOS!E571)</f>
        <v>90.4</v>
      </c>
      <c r="G571" s="9">
        <f>IF(DADOS!F571="","",DADOS!F571)</f>
        <v>6</v>
      </c>
      <c r="K571" s="6">
        <f t="shared" si="45"/>
        <v>28.775213711014679</v>
      </c>
      <c r="L571" s="7">
        <f t="shared" si="46"/>
        <v>6.503198298689318E-2</v>
      </c>
      <c r="M571" s="7">
        <f t="shared" si="43"/>
        <v>0.39019189792135911</v>
      </c>
      <c r="N571" s="7">
        <f t="shared" si="47"/>
        <v>0.31215351833708732</v>
      </c>
      <c r="O571" s="8"/>
      <c r="P571" s="26"/>
      <c r="S571" s="10" t="str">
        <f t="shared" si="44"/>
        <v/>
      </c>
    </row>
    <row r="572" spans="5:19" x14ac:dyDescent="0.3">
      <c r="E572" s="9">
        <f>IF(DADOS!C572="","",DADOS!C572)</f>
        <v>27</v>
      </c>
      <c r="F572" s="9">
        <f>IF(DADOS!E572="","",DADOS!E572)</f>
        <v>19.3</v>
      </c>
      <c r="G572" s="9">
        <f>IF(DADOS!F572="","",DADOS!F572)</f>
        <v>4.5</v>
      </c>
      <c r="K572" s="6">
        <f t="shared" si="45"/>
        <v>6.1433808033471609</v>
      </c>
      <c r="L572" s="7">
        <f t="shared" si="46"/>
        <v>2.9641812376150051E-3</v>
      </c>
      <c r="M572" s="7">
        <f t="shared" si="43"/>
        <v>1.3338815569267522E-2</v>
      </c>
      <c r="N572" s="7">
        <f t="shared" si="47"/>
        <v>1.0671052455414019E-2</v>
      </c>
      <c r="O572" s="8"/>
      <c r="P572" s="26"/>
      <c r="S572" s="10" t="str">
        <f t="shared" si="44"/>
        <v/>
      </c>
    </row>
    <row r="573" spans="5:19" x14ac:dyDescent="0.3">
      <c r="E573" s="9">
        <f>IF(DADOS!C573="","",DADOS!C573)</f>
        <v>27</v>
      </c>
      <c r="F573" s="9">
        <f>IF(DADOS!E573="","",DADOS!E573)</f>
        <v>21.2</v>
      </c>
      <c r="G573" s="9">
        <f>IF(DADOS!F573="","",DADOS!F573)</f>
        <v>5</v>
      </c>
      <c r="K573" s="6">
        <f t="shared" si="45"/>
        <v>6.7481695870963625</v>
      </c>
      <c r="L573" s="7">
        <f t="shared" si="46"/>
        <v>3.5765298811610718E-3</v>
      </c>
      <c r="M573" s="7">
        <f t="shared" si="43"/>
        <v>1.7882649405805359E-2</v>
      </c>
      <c r="N573" s="7">
        <f t="shared" si="47"/>
        <v>1.4306119524644287E-2</v>
      </c>
      <c r="O573" s="8"/>
      <c r="P573" s="26"/>
      <c r="S573" s="10" t="str">
        <f t="shared" si="44"/>
        <v/>
      </c>
    </row>
    <row r="574" spans="5:19" x14ac:dyDescent="0.3">
      <c r="E574" s="9">
        <f>IF(DADOS!C574="","",DADOS!C574)</f>
        <v>27</v>
      </c>
      <c r="F574" s="9">
        <f>IF(DADOS!E574="","",DADOS!E574)</f>
        <v>15.5</v>
      </c>
      <c r="G574" s="9">
        <f>IF(DADOS!F574="","",DADOS!F574)</f>
        <v>4</v>
      </c>
      <c r="K574" s="6">
        <f t="shared" si="45"/>
        <v>4.9338032358487558</v>
      </c>
      <c r="L574" s="7">
        <f t="shared" si="46"/>
        <v>1.9118487538913932E-3</v>
      </c>
      <c r="M574" s="7">
        <f t="shared" si="43"/>
        <v>7.6473950155655727E-3</v>
      </c>
      <c r="N574" s="7">
        <f t="shared" si="47"/>
        <v>6.1179160124524585E-3</v>
      </c>
      <c r="O574" s="8"/>
      <c r="P574" s="26"/>
      <c r="S574" s="10" t="str">
        <f t="shared" si="44"/>
        <v/>
      </c>
    </row>
    <row r="575" spans="5:19" x14ac:dyDescent="0.3">
      <c r="E575" s="9">
        <f>IF(DADOS!C575="","",DADOS!C575)</f>
        <v>27</v>
      </c>
      <c r="F575" s="9">
        <f>IF(DADOS!E575="","",DADOS!E575)</f>
        <v>16.600000000000001</v>
      </c>
      <c r="G575" s="9">
        <f>IF(DADOS!F575="","",DADOS!F575)</f>
        <v>5.5</v>
      </c>
      <c r="K575" s="6">
        <f t="shared" si="45"/>
        <v>5.2839441106509257</v>
      </c>
      <c r="L575" s="7">
        <f t="shared" si="46"/>
        <v>2.1928368059201345E-3</v>
      </c>
      <c r="M575" s="7">
        <f t="shared" si="43"/>
        <v>1.2060602432560741E-2</v>
      </c>
      <c r="N575" s="7">
        <f t="shared" si="47"/>
        <v>9.648481946048594E-3</v>
      </c>
      <c r="O575" s="8"/>
      <c r="P575" s="26"/>
      <c r="S575" s="10" t="str">
        <f t="shared" si="44"/>
        <v/>
      </c>
    </row>
    <row r="576" spans="5:19" x14ac:dyDescent="0.3">
      <c r="E576" s="9">
        <f>IF(DADOS!C576="","",DADOS!C576)</f>
        <v>27</v>
      </c>
      <c r="F576" s="9">
        <f>IF(DADOS!E576="","",DADOS!E576)</f>
        <v>17.5</v>
      </c>
      <c r="G576" s="9">
        <f>IF(DADOS!F576="","",DADOS!F576)</f>
        <v>4.5</v>
      </c>
      <c r="K576" s="6">
        <f t="shared" si="45"/>
        <v>5.5704230082163368</v>
      </c>
      <c r="L576" s="7">
        <f t="shared" si="46"/>
        <v>2.4370600660946471E-3</v>
      </c>
      <c r="M576" s="7">
        <f t="shared" si="43"/>
        <v>1.0966770297425913E-2</v>
      </c>
      <c r="N576" s="7">
        <f t="shared" si="47"/>
        <v>8.7734162379407305E-3</v>
      </c>
      <c r="O576" s="8"/>
      <c r="P576" s="26"/>
      <c r="S576" s="10" t="str">
        <f t="shared" si="44"/>
        <v/>
      </c>
    </row>
    <row r="577" spans="5:19" x14ac:dyDescent="0.3">
      <c r="E577" s="9">
        <f>IF(DADOS!C577="","",DADOS!C577)</f>
        <v>27</v>
      </c>
      <c r="F577" s="9">
        <f>IF(DADOS!E577="","",DADOS!E577)</f>
        <v>22.2</v>
      </c>
      <c r="G577" s="9">
        <f>IF(DADOS!F577="","",DADOS!F577)</f>
        <v>8</v>
      </c>
      <c r="K577" s="6">
        <f t="shared" si="45"/>
        <v>7.066479473280153</v>
      </c>
      <c r="L577" s="7">
        <f t="shared" si="46"/>
        <v>3.9218961076704847E-3</v>
      </c>
      <c r="M577" s="7">
        <f t="shared" si="43"/>
        <v>3.1375168861363878E-2</v>
      </c>
      <c r="N577" s="7">
        <f t="shared" si="47"/>
        <v>2.5100135089091105E-2</v>
      </c>
      <c r="O577" s="8"/>
      <c r="P577" s="26"/>
      <c r="S577" s="10" t="str">
        <f t="shared" si="44"/>
        <v/>
      </c>
    </row>
    <row r="578" spans="5:19" x14ac:dyDescent="0.3">
      <c r="E578" s="9">
        <f>IF(DADOS!C578="","",DADOS!C578)</f>
        <v>27</v>
      </c>
      <c r="F578" s="9">
        <f>IF(DADOS!E578="","",DADOS!E578)</f>
        <v>24</v>
      </c>
      <c r="G578" s="9">
        <f>IF(DADOS!F578="","",DADOS!F578)</f>
        <v>8</v>
      </c>
      <c r="K578" s="6">
        <f t="shared" si="45"/>
        <v>7.6394372684109761</v>
      </c>
      <c r="L578" s="7">
        <f t="shared" si="46"/>
        <v>4.5836623610465855E-3</v>
      </c>
      <c r="M578" s="7">
        <f t="shared" si="43"/>
        <v>3.6669298888372684E-2</v>
      </c>
      <c r="N578" s="7">
        <f t="shared" si="47"/>
        <v>2.933543911069815E-2</v>
      </c>
      <c r="O578" s="8"/>
      <c r="P578" s="26"/>
      <c r="S578" s="10" t="str">
        <f t="shared" si="44"/>
        <v/>
      </c>
    </row>
    <row r="579" spans="5:19" x14ac:dyDescent="0.3">
      <c r="E579" s="9">
        <f>IF(DADOS!C579="","",DADOS!C579)</f>
        <v>27</v>
      </c>
      <c r="F579" s="9">
        <f>IF(DADOS!E579="","",DADOS!E579)</f>
        <v>53.9</v>
      </c>
      <c r="G579" s="9">
        <f>IF(DADOS!F579="","",DADOS!F579)</f>
        <v>8.5</v>
      </c>
      <c r="K579" s="6">
        <f t="shared" si="45"/>
        <v>17.156902865306318</v>
      </c>
      <c r="L579" s="7">
        <f t="shared" si="46"/>
        <v>2.3118926611000266E-2</v>
      </c>
      <c r="M579" s="7">
        <f t="shared" ref="M579:M642" si="48">IF(L579="","",L579*G579)</f>
        <v>0.19651087619350227</v>
      </c>
      <c r="N579" s="7">
        <f t="shared" si="47"/>
        <v>0.15720870095480183</v>
      </c>
      <c r="O579" s="8"/>
      <c r="P579" s="26"/>
      <c r="S579" s="10" t="str">
        <f t="shared" ref="S579:S642" si="49">IF(R579="","",SUMIFS($N$3:$N$10000,$E$3:$E$10000,R579))</f>
        <v/>
      </c>
    </row>
    <row r="580" spans="5:19" x14ac:dyDescent="0.3">
      <c r="E580" s="9">
        <f>IF(DADOS!C580="","",DADOS!C580)</f>
        <v>27</v>
      </c>
      <c r="F580" s="9">
        <f>IF(DADOS!E580="","",DADOS!E580)</f>
        <v>63.6</v>
      </c>
      <c r="G580" s="9">
        <f>IF(DADOS!F580="","",DADOS!F580)</f>
        <v>9</v>
      </c>
      <c r="K580" s="6">
        <f t="shared" ref="K580:K643" si="50">IF(F580="","",F580/PI())</f>
        <v>20.244508761289087</v>
      </c>
      <c r="L580" s="7">
        <f t="shared" ref="L580:L643" si="51">IF(K580="","",(PI()*K580^2)/40000)</f>
        <v>3.2188768930449647E-2</v>
      </c>
      <c r="M580" s="7">
        <f t="shared" si="48"/>
        <v>0.28969892037404682</v>
      </c>
      <c r="N580" s="7">
        <f t="shared" ref="N580:N643" si="52">IF(M580="","",M580*N$1)</f>
        <v>0.23175913629923747</v>
      </c>
      <c r="O580" s="8"/>
      <c r="P580" s="26"/>
      <c r="S580" s="10" t="str">
        <f t="shared" si="49"/>
        <v/>
      </c>
    </row>
    <row r="581" spans="5:19" x14ac:dyDescent="0.3">
      <c r="E581" s="9">
        <f>IF(DADOS!C581="","",DADOS!C581)</f>
        <v>27</v>
      </c>
      <c r="F581" s="9">
        <f>IF(DADOS!E581="","",DADOS!E581)</f>
        <v>69</v>
      </c>
      <c r="G581" s="9">
        <f>IF(DADOS!F581="","",DADOS!F581)</f>
        <v>8</v>
      </c>
      <c r="K581" s="6">
        <f t="shared" si="50"/>
        <v>21.963382146681557</v>
      </c>
      <c r="L581" s="7">
        <f t="shared" si="51"/>
        <v>3.7886834203025681E-2</v>
      </c>
      <c r="M581" s="7">
        <f t="shared" si="48"/>
        <v>0.30309467362420545</v>
      </c>
      <c r="N581" s="7">
        <f t="shared" si="52"/>
        <v>0.24247573889936436</v>
      </c>
      <c r="O581" s="8"/>
      <c r="P581" s="26"/>
      <c r="S581" s="10" t="str">
        <f t="shared" si="49"/>
        <v/>
      </c>
    </row>
    <row r="582" spans="5:19" x14ac:dyDescent="0.3">
      <c r="E582" s="9">
        <f>IF(DADOS!C582="","",DADOS!C582)</f>
        <v>28</v>
      </c>
      <c r="F582" s="9">
        <f>IF(DADOS!E582="","",DADOS!E582)</f>
        <v>115.5</v>
      </c>
      <c r="G582" s="9">
        <f>IF(DADOS!F582="","",DADOS!F582)</f>
        <v>11</v>
      </c>
      <c r="K582" s="6">
        <f t="shared" si="50"/>
        <v>36.764791854227823</v>
      </c>
      <c r="L582" s="7">
        <f t="shared" si="51"/>
        <v>0.10615833647908285</v>
      </c>
      <c r="M582" s="7">
        <f t="shared" si="48"/>
        <v>1.1677417012699114</v>
      </c>
      <c r="N582" s="7">
        <f t="shared" si="52"/>
        <v>0.9341933610159292</v>
      </c>
      <c r="O582" s="8"/>
      <c r="P582" s="26"/>
      <c r="S582" s="10" t="str">
        <f t="shared" si="49"/>
        <v/>
      </c>
    </row>
    <row r="583" spans="5:19" x14ac:dyDescent="0.3">
      <c r="E583" s="9">
        <f>IF(DADOS!C583="","",DADOS!C583)</f>
        <v>28</v>
      </c>
      <c r="F583" s="9">
        <f>IF(DADOS!E583="","",DADOS!E583)</f>
        <v>31.5</v>
      </c>
      <c r="G583" s="9">
        <f>IF(DADOS!F583="","",DADOS!F583)</f>
        <v>7.5</v>
      </c>
      <c r="K583" s="6">
        <f t="shared" si="50"/>
        <v>10.026761414789407</v>
      </c>
      <c r="L583" s="7">
        <f t="shared" si="51"/>
        <v>7.8960746141466583E-3</v>
      </c>
      <c r="M583" s="7">
        <f t="shared" si="48"/>
        <v>5.922055960609994E-2</v>
      </c>
      <c r="N583" s="7">
        <f t="shared" si="52"/>
        <v>4.7376447684879953E-2</v>
      </c>
      <c r="O583" s="8"/>
      <c r="P583" s="26"/>
      <c r="S583" s="10" t="str">
        <f t="shared" si="49"/>
        <v/>
      </c>
    </row>
    <row r="584" spans="5:19" x14ac:dyDescent="0.3">
      <c r="E584" s="9">
        <f>IF(DADOS!C584="","",DADOS!C584)</f>
        <v>28</v>
      </c>
      <c r="F584" s="9">
        <f>IF(DADOS!E584="","",DADOS!E584)</f>
        <v>36</v>
      </c>
      <c r="G584" s="9">
        <f>IF(DADOS!F584="","",DADOS!F584)</f>
        <v>6</v>
      </c>
      <c r="K584" s="6">
        <f t="shared" si="50"/>
        <v>11.459155902616464</v>
      </c>
      <c r="L584" s="7">
        <f t="shared" si="51"/>
        <v>1.0313240312354817E-2</v>
      </c>
      <c r="M584" s="7">
        <f t="shared" si="48"/>
        <v>6.1879441874128902E-2</v>
      </c>
      <c r="N584" s="7">
        <f t="shared" si="52"/>
        <v>4.9503553499303125E-2</v>
      </c>
      <c r="O584" s="8"/>
      <c r="P584" s="26"/>
      <c r="S584" s="10" t="str">
        <f t="shared" si="49"/>
        <v/>
      </c>
    </row>
    <row r="585" spans="5:19" x14ac:dyDescent="0.3">
      <c r="E585" s="9">
        <f>IF(DADOS!C585="","",DADOS!C585)</f>
        <v>28</v>
      </c>
      <c r="F585" s="9">
        <f>IF(DADOS!E585="","",DADOS!E585)</f>
        <v>23.1</v>
      </c>
      <c r="G585" s="9">
        <f>IF(DADOS!F585="","",DADOS!F585)</f>
        <v>6</v>
      </c>
      <c r="K585" s="6">
        <f t="shared" si="50"/>
        <v>7.352958370845565</v>
      </c>
      <c r="L585" s="7">
        <f t="shared" si="51"/>
        <v>4.2463334591633138E-3</v>
      </c>
      <c r="M585" s="7">
        <f t="shared" si="48"/>
        <v>2.5478000754979885E-2</v>
      </c>
      <c r="N585" s="7">
        <f t="shared" si="52"/>
        <v>2.038240060398391E-2</v>
      </c>
      <c r="O585" s="8"/>
      <c r="P585" s="26"/>
      <c r="S585" s="10" t="str">
        <f t="shared" si="49"/>
        <v/>
      </c>
    </row>
    <row r="586" spans="5:19" x14ac:dyDescent="0.3">
      <c r="E586" s="9">
        <f>IF(DADOS!C586="","",DADOS!C586)</f>
        <v>28</v>
      </c>
      <c r="F586" s="9">
        <f>IF(DADOS!E586="","",DADOS!E586)</f>
        <v>21.3</v>
      </c>
      <c r="G586" s="9">
        <f>IF(DADOS!F586="","",DADOS!F586)</f>
        <v>6</v>
      </c>
      <c r="K586" s="6">
        <f t="shared" si="50"/>
        <v>6.7800005757147419</v>
      </c>
      <c r="L586" s="7">
        <f t="shared" si="51"/>
        <v>3.6103503065681004E-3</v>
      </c>
      <c r="M586" s="7">
        <f t="shared" si="48"/>
        <v>2.1662101839408601E-2</v>
      </c>
      <c r="N586" s="7">
        <f t="shared" si="52"/>
        <v>1.7329681471526883E-2</v>
      </c>
      <c r="O586" s="8"/>
      <c r="P586" s="26"/>
      <c r="S586" s="10" t="str">
        <f t="shared" si="49"/>
        <v/>
      </c>
    </row>
    <row r="587" spans="5:19" x14ac:dyDescent="0.3">
      <c r="E587" s="9">
        <f>IF(DADOS!C587="","",DADOS!C587)</f>
        <v>28</v>
      </c>
      <c r="F587" s="9">
        <f>IF(DADOS!E587="","",DADOS!E587)</f>
        <v>23.1</v>
      </c>
      <c r="G587" s="9">
        <f>IF(DADOS!F587="","",DADOS!F587)</f>
        <v>3</v>
      </c>
      <c r="K587" s="6">
        <f t="shared" si="50"/>
        <v>7.352958370845565</v>
      </c>
      <c r="L587" s="7">
        <f t="shared" si="51"/>
        <v>4.2463334591633138E-3</v>
      </c>
      <c r="M587" s="7">
        <f t="shared" si="48"/>
        <v>1.2739000377489942E-2</v>
      </c>
      <c r="N587" s="7">
        <f t="shared" si="52"/>
        <v>1.0191200301991955E-2</v>
      </c>
      <c r="O587" s="8"/>
      <c r="P587" s="26"/>
      <c r="S587" s="10" t="str">
        <f t="shared" si="49"/>
        <v/>
      </c>
    </row>
    <row r="588" spans="5:19" x14ac:dyDescent="0.3">
      <c r="E588" s="9">
        <f>IF(DADOS!C588="","",DADOS!C588)</f>
        <v>28</v>
      </c>
      <c r="F588" s="9">
        <f>IF(DADOS!E588="","",DADOS!E588)</f>
        <v>48.5</v>
      </c>
      <c r="G588" s="9">
        <f>IF(DADOS!F588="","",DADOS!F588)</f>
        <v>9.5</v>
      </c>
      <c r="K588" s="6">
        <f t="shared" si="50"/>
        <v>15.438029479913848</v>
      </c>
      <c r="L588" s="7">
        <f t="shared" si="51"/>
        <v>1.8718610744395538E-2</v>
      </c>
      <c r="M588" s="7">
        <f t="shared" si="48"/>
        <v>0.17782680207175761</v>
      </c>
      <c r="N588" s="7">
        <f t="shared" si="52"/>
        <v>0.14226144165740609</v>
      </c>
      <c r="O588" s="8"/>
      <c r="P588" s="26"/>
      <c r="S588" s="10" t="str">
        <f t="shared" si="49"/>
        <v/>
      </c>
    </row>
    <row r="589" spans="5:19" x14ac:dyDescent="0.3">
      <c r="E589" s="9">
        <f>IF(DADOS!C589="","",DADOS!C589)</f>
        <v>28</v>
      </c>
      <c r="F589" s="9">
        <f>IF(DADOS!E589="","",DADOS!E589)</f>
        <v>19.5</v>
      </c>
      <c r="G589" s="9">
        <f>IF(DADOS!F589="","",DADOS!F589)</f>
        <v>8</v>
      </c>
      <c r="K589" s="6">
        <f t="shared" si="50"/>
        <v>6.2070427805839179</v>
      </c>
      <c r="L589" s="7">
        <f t="shared" si="51"/>
        <v>3.0259333555346596E-3</v>
      </c>
      <c r="M589" s="7">
        <f t="shared" si="48"/>
        <v>2.4207466844277277E-2</v>
      </c>
      <c r="N589" s="7">
        <f t="shared" si="52"/>
        <v>1.9365973475421822E-2</v>
      </c>
      <c r="O589" s="8"/>
      <c r="P589" s="26"/>
      <c r="S589" s="10" t="str">
        <f t="shared" si="49"/>
        <v/>
      </c>
    </row>
    <row r="590" spans="5:19" x14ac:dyDescent="0.3">
      <c r="E590" s="9">
        <f>IF(DADOS!C590="","",DADOS!C590)</f>
        <v>28</v>
      </c>
      <c r="F590" s="9">
        <f>IF(DADOS!E590="","",DADOS!E590)</f>
        <v>61</v>
      </c>
      <c r="G590" s="9">
        <f>IF(DADOS!F590="","",DADOS!F590)</f>
        <v>9</v>
      </c>
      <c r="K590" s="6">
        <f t="shared" si="50"/>
        <v>19.416903057211233</v>
      </c>
      <c r="L590" s="7">
        <f t="shared" si="51"/>
        <v>2.961077716224713E-2</v>
      </c>
      <c r="M590" s="7">
        <f t="shared" si="48"/>
        <v>0.26649699446022418</v>
      </c>
      <c r="N590" s="7">
        <f t="shared" si="52"/>
        <v>0.21319759556817935</v>
      </c>
      <c r="O590" s="8"/>
      <c r="P590" s="26"/>
      <c r="S590" s="10" t="str">
        <f t="shared" si="49"/>
        <v/>
      </c>
    </row>
    <row r="591" spans="5:19" x14ac:dyDescent="0.3">
      <c r="E591" s="9">
        <f>IF(DADOS!C591="","",DADOS!C591)</f>
        <v>28</v>
      </c>
      <c r="F591" s="9">
        <f>IF(DADOS!E591="","",DADOS!E591)</f>
        <v>115.4</v>
      </c>
      <c r="G591" s="9">
        <f>IF(DADOS!F591="","",DADOS!F591)</f>
        <v>9</v>
      </c>
      <c r="K591" s="6">
        <f t="shared" si="50"/>
        <v>36.732960865609449</v>
      </c>
      <c r="L591" s="7">
        <f t="shared" si="51"/>
        <v>0.10597459209728327</v>
      </c>
      <c r="M591" s="7">
        <f t="shared" si="48"/>
        <v>0.95377132887554938</v>
      </c>
      <c r="N591" s="7">
        <f t="shared" si="52"/>
        <v>0.7630170631004396</v>
      </c>
      <c r="O591" s="8"/>
      <c r="P591" s="26"/>
      <c r="S591" s="10" t="str">
        <f t="shared" si="49"/>
        <v/>
      </c>
    </row>
    <row r="592" spans="5:19" x14ac:dyDescent="0.3">
      <c r="E592" s="9">
        <f>IF(DADOS!C592="","",DADOS!C592)</f>
        <v>28</v>
      </c>
      <c r="F592" s="9">
        <f>IF(DADOS!E592="","",DADOS!E592)</f>
        <v>63.2</v>
      </c>
      <c r="G592" s="9">
        <f>IF(DADOS!F592="","",DADOS!F592)</f>
        <v>9</v>
      </c>
      <c r="K592" s="6">
        <f t="shared" si="50"/>
        <v>20.117184806815573</v>
      </c>
      <c r="L592" s="7">
        <f t="shared" si="51"/>
        <v>3.1785151994768605E-2</v>
      </c>
      <c r="M592" s="7">
        <f t="shared" si="48"/>
        <v>0.28606636795291746</v>
      </c>
      <c r="N592" s="7">
        <f t="shared" si="52"/>
        <v>0.22885309436233398</v>
      </c>
      <c r="O592" s="8"/>
      <c r="P592" s="26"/>
      <c r="S592" s="10" t="str">
        <f t="shared" si="49"/>
        <v/>
      </c>
    </row>
    <row r="593" spans="5:19" x14ac:dyDescent="0.3">
      <c r="E593" s="9">
        <f>IF(DADOS!C593="","",DADOS!C593)</f>
        <v>28</v>
      </c>
      <c r="F593" s="9">
        <f>IF(DADOS!E593="","",DADOS!E593)</f>
        <v>36</v>
      </c>
      <c r="G593" s="9">
        <f>IF(DADOS!F593="","",DADOS!F593)</f>
        <v>8</v>
      </c>
      <c r="K593" s="6">
        <f t="shared" si="50"/>
        <v>11.459155902616464</v>
      </c>
      <c r="L593" s="7">
        <f t="shared" si="51"/>
        <v>1.0313240312354817E-2</v>
      </c>
      <c r="M593" s="7">
        <f t="shared" si="48"/>
        <v>8.2505922498838535E-2</v>
      </c>
      <c r="N593" s="7">
        <f t="shared" si="52"/>
        <v>6.6004737999070834E-2</v>
      </c>
      <c r="O593" s="8"/>
      <c r="P593" s="26"/>
      <c r="S593" s="10" t="str">
        <f t="shared" si="49"/>
        <v/>
      </c>
    </row>
    <row r="594" spans="5:19" x14ac:dyDescent="0.3">
      <c r="E594" s="9">
        <f>IF(DADOS!C594="","",DADOS!C594)</f>
        <v>28</v>
      </c>
      <c r="F594" s="9">
        <f>IF(DADOS!E594="","",DADOS!E594)</f>
        <v>22.9</v>
      </c>
      <c r="G594" s="9">
        <f>IF(DADOS!F594="","",DADOS!F594)</f>
        <v>8</v>
      </c>
      <c r="K594" s="6">
        <f t="shared" si="50"/>
        <v>7.2892963936088062</v>
      </c>
      <c r="L594" s="7">
        <f t="shared" si="51"/>
        <v>4.1731221853410407E-3</v>
      </c>
      <c r="M594" s="7">
        <f t="shared" si="48"/>
        <v>3.3384977482728326E-2</v>
      </c>
      <c r="N594" s="7">
        <f t="shared" si="52"/>
        <v>2.6707981986182662E-2</v>
      </c>
      <c r="O594" s="8"/>
      <c r="P594" s="26"/>
      <c r="S594" s="10" t="str">
        <f t="shared" si="49"/>
        <v/>
      </c>
    </row>
    <row r="595" spans="5:19" x14ac:dyDescent="0.3">
      <c r="E595" s="9">
        <f>IF(DADOS!C595="","",DADOS!C595)</f>
        <v>28</v>
      </c>
      <c r="F595" s="9">
        <f>IF(DADOS!E595="","",DADOS!E595)</f>
        <v>24.5</v>
      </c>
      <c r="G595" s="9">
        <f>IF(DADOS!F595="","",DADOS!F595)</f>
        <v>9</v>
      </c>
      <c r="K595" s="6">
        <f t="shared" si="50"/>
        <v>7.7985922115028714</v>
      </c>
      <c r="L595" s="7">
        <f t="shared" si="51"/>
        <v>4.7766377295455084E-3</v>
      </c>
      <c r="M595" s="7">
        <f t="shared" si="48"/>
        <v>4.2989739565909575E-2</v>
      </c>
      <c r="N595" s="7">
        <f t="shared" si="52"/>
        <v>3.4391791652727662E-2</v>
      </c>
      <c r="O595" s="8"/>
      <c r="P595" s="26"/>
      <c r="S595" s="10" t="str">
        <f t="shared" si="49"/>
        <v/>
      </c>
    </row>
    <row r="596" spans="5:19" x14ac:dyDescent="0.3">
      <c r="E596" s="9">
        <f>IF(DADOS!C596="","",DADOS!C596)</f>
        <v>28</v>
      </c>
      <c r="F596" s="9">
        <f>IF(DADOS!E596="","",DADOS!E596)</f>
        <v>31.5</v>
      </c>
      <c r="G596" s="9">
        <f>IF(DADOS!F596="","",DADOS!F596)</f>
        <v>8</v>
      </c>
      <c r="K596" s="6">
        <f t="shared" si="50"/>
        <v>10.026761414789407</v>
      </c>
      <c r="L596" s="7">
        <f t="shared" si="51"/>
        <v>7.8960746141466583E-3</v>
      </c>
      <c r="M596" s="7">
        <f t="shared" si="48"/>
        <v>6.3168596913173267E-2</v>
      </c>
      <c r="N596" s="7">
        <f t="shared" si="52"/>
        <v>5.0534877530538619E-2</v>
      </c>
      <c r="O596" s="8"/>
      <c r="P596" s="26"/>
      <c r="S596" s="10" t="str">
        <f t="shared" si="49"/>
        <v/>
      </c>
    </row>
    <row r="597" spans="5:19" x14ac:dyDescent="0.3">
      <c r="E597" s="9">
        <f>IF(DADOS!C597="","",DADOS!C597)</f>
        <v>28</v>
      </c>
      <c r="F597" s="9">
        <f>IF(DADOS!E597="","",DADOS!E597)</f>
        <v>56</v>
      </c>
      <c r="G597" s="9">
        <f>IF(DADOS!F597="","",DADOS!F597)</f>
        <v>9</v>
      </c>
      <c r="K597" s="6">
        <f t="shared" si="50"/>
        <v>17.82535362629228</v>
      </c>
      <c r="L597" s="7">
        <f t="shared" si="51"/>
        <v>2.4955495076809196E-2</v>
      </c>
      <c r="M597" s="7">
        <f t="shared" si="48"/>
        <v>0.22459945569128276</v>
      </c>
      <c r="N597" s="7">
        <f t="shared" si="52"/>
        <v>0.17967956455302622</v>
      </c>
      <c r="O597" s="8"/>
      <c r="P597" s="26"/>
      <c r="S597" s="10" t="str">
        <f t="shared" si="49"/>
        <v/>
      </c>
    </row>
    <row r="598" spans="5:19" x14ac:dyDescent="0.3">
      <c r="E598" s="9">
        <f>IF(DADOS!C598="","",DADOS!C598)</f>
        <v>28</v>
      </c>
      <c r="F598" s="9">
        <f>IF(DADOS!E598="","",DADOS!E598)</f>
        <v>54</v>
      </c>
      <c r="G598" s="9">
        <f>IF(DADOS!F598="","",DADOS!F598)</f>
        <v>9.5</v>
      </c>
      <c r="K598" s="6">
        <f t="shared" si="50"/>
        <v>17.188733853924695</v>
      </c>
      <c r="L598" s="7">
        <f t="shared" si="51"/>
        <v>2.3204790702798336E-2</v>
      </c>
      <c r="M598" s="7">
        <f t="shared" si="48"/>
        <v>0.22044551167658419</v>
      </c>
      <c r="N598" s="7">
        <f t="shared" si="52"/>
        <v>0.17635640934126737</v>
      </c>
      <c r="O598" s="8"/>
      <c r="P598" s="26"/>
      <c r="S598" s="10" t="str">
        <f t="shared" si="49"/>
        <v/>
      </c>
    </row>
    <row r="599" spans="5:19" x14ac:dyDescent="0.3">
      <c r="E599" s="9">
        <f>IF(DADOS!C599="","",DADOS!C599)</f>
        <v>28</v>
      </c>
      <c r="F599" s="9">
        <f>IF(DADOS!E599="","",DADOS!E599)</f>
        <v>72</v>
      </c>
      <c r="G599" s="9">
        <f>IF(DADOS!F599="","",DADOS!F599)</f>
        <v>9</v>
      </c>
      <c r="K599" s="6">
        <f t="shared" si="50"/>
        <v>22.918311805232928</v>
      </c>
      <c r="L599" s="7">
        <f t="shared" si="51"/>
        <v>4.1252961249419268E-2</v>
      </c>
      <c r="M599" s="7">
        <f t="shared" si="48"/>
        <v>0.37127665124477338</v>
      </c>
      <c r="N599" s="7">
        <f t="shared" si="52"/>
        <v>0.29702132099581874</v>
      </c>
      <c r="O599" s="8"/>
      <c r="P599" s="26"/>
      <c r="S599" s="10" t="str">
        <f t="shared" si="49"/>
        <v/>
      </c>
    </row>
    <row r="600" spans="5:19" x14ac:dyDescent="0.3">
      <c r="E600" s="9">
        <f>IF(DADOS!C600="","",DADOS!C600)</f>
        <v>28</v>
      </c>
      <c r="F600" s="9">
        <f>IF(DADOS!E600="","",DADOS!E600)</f>
        <v>105.3</v>
      </c>
      <c r="G600" s="9">
        <f>IF(DADOS!F600="","",DADOS!F600)</f>
        <v>9.5</v>
      </c>
      <c r="K600" s="6">
        <f t="shared" si="50"/>
        <v>33.518031015153156</v>
      </c>
      <c r="L600" s="7">
        <f t="shared" si="51"/>
        <v>8.8236216647390661E-2</v>
      </c>
      <c r="M600" s="7">
        <f t="shared" si="48"/>
        <v>0.8382440581502113</v>
      </c>
      <c r="N600" s="7">
        <f t="shared" si="52"/>
        <v>0.67059524652016911</v>
      </c>
      <c r="O600" s="8"/>
      <c r="P600" s="26"/>
      <c r="S600" s="10" t="str">
        <f t="shared" si="49"/>
        <v/>
      </c>
    </row>
    <row r="601" spans="5:19" x14ac:dyDescent="0.3">
      <c r="E601" s="9">
        <f>IF(DADOS!C601="","",DADOS!C601)</f>
        <v>28</v>
      </c>
      <c r="F601" s="9">
        <f>IF(DADOS!E601="","",DADOS!E601)</f>
        <v>40.5</v>
      </c>
      <c r="G601" s="9">
        <f>IF(DADOS!F601="","",DADOS!F601)</f>
        <v>8</v>
      </c>
      <c r="K601" s="6">
        <f t="shared" si="50"/>
        <v>12.891550390443523</v>
      </c>
      <c r="L601" s="7">
        <f t="shared" si="51"/>
        <v>1.305269477032407E-2</v>
      </c>
      <c r="M601" s="7">
        <f t="shared" si="48"/>
        <v>0.10442155816259256</v>
      </c>
      <c r="N601" s="7">
        <f t="shared" si="52"/>
        <v>8.353724653007405E-2</v>
      </c>
      <c r="O601" s="8"/>
      <c r="P601" s="26"/>
      <c r="S601" s="10" t="str">
        <f t="shared" si="49"/>
        <v/>
      </c>
    </row>
    <row r="602" spans="5:19" x14ac:dyDescent="0.3">
      <c r="E602" s="9">
        <f>IF(DADOS!C602="","",DADOS!C602)</f>
        <v>28</v>
      </c>
      <c r="F602" s="9">
        <f>IF(DADOS!E602="","",DADOS!E602)</f>
        <v>34</v>
      </c>
      <c r="G602" s="9">
        <f>IF(DADOS!F602="","",DADOS!F602)</f>
        <v>8</v>
      </c>
      <c r="K602" s="6">
        <f t="shared" si="50"/>
        <v>10.822536130248883</v>
      </c>
      <c r="L602" s="7">
        <f t="shared" si="51"/>
        <v>9.1991557107115492E-3</v>
      </c>
      <c r="M602" s="7">
        <f t="shared" si="48"/>
        <v>7.3593245685692393E-2</v>
      </c>
      <c r="N602" s="7">
        <f t="shared" si="52"/>
        <v>5.8874596548553919E-2</v>
      </c>
      <c r="O602" s="8"/>
      <c r="P602" s="26"/>
      <c r="S602" s="10" t="str">
        <f t="shared" si="49"/>
        <v/>
      </c>
    </row>
    <row r="603" spans="5:19" x14ac:dyDescent="0.3">
      <c r="E603" s="9">
        <f>IF(DADOS!C603="","",DADOS!C603)</f>
        <v>28</v>
      </c>
      <c r="F603" s="9">
        <f>IF(DADOS!E603="","",DADOS!E603)</f>
        <v>65.8</v>
      </c>
      <c r="G603" s="9">
        <f>IF(DADOS!F603="","",DADOS!F603)</f>
        <v>8</v>
      </c>
      <c r="K603" s="6">
        <f t="shared" si="50"/>
        <v>20.944790510893426</v>
      </c>
      <c r="L603" s="7">
        <f t="shared" si="51"/>
        <v>3.4454180390419684E-2</v>
      </c>
      <c r="M603" s="7">
        <f t="shared" si="48"/>
        <v>0.27563344312335747</v>
      </c>
      <c r="N603" s="7">
        <f t="shared" si="52"/>
        <v>0.22050675449868598</v>
      </c>
      <c r="O603" s="8"/>
      <c r="P603" s="26"/>
      <c r="S603" s="10" t="str">
        <f t="shared" si="49"/>
        <v/>
      </c>
    </row>
    <row r="604" spans="5:19" x14ac:dyDescent="0.3">
      <c r="E604" s="9">
        <f>IF(DADOS!C604="","",DADOS!C604)</f>
        <v>29</v>
      </c>
      <c r="F604" s="9">
        <f>IF(DADOS!E604="","",DADOS!E604)</f>
        <v>52.6</v>
      </c>
      <c r="G604" s="9">
        <f>IF(DADOS!F604="","",DADOS!F604)</f>
        <v>7</v>
      </c>
      <c r="K604" s="6">
        <f t="shared" si="50"/>
        <v>16.743100013267391</v>
      </c>
      <c r="L604" s="7">
        <f t="shared" si="51"/>
        <v>2.2017176517446623E-2</v>
      </c>
      <c r="M604" s="7">
        <f t="shared" si="48"/>
        <v>0.15412023562212637</v>
      </c>
      <c r="N604" s="7">
        <f t="shared" si="52"/>
        <v>0.1232961884977011</v>
      </c>
      <c r="O604" s="8"/>
      <c r="P604" s="26"/>
      <c r="S604" s="10" t="str">
        <f t="shared" si="49"/>
        <v/>
      </c>
    </row>
    <row r="605" spans="5:19" x14ac:dyDescent="0.3">
      <c r="E605" s="9">
        <f>IF(DADOS!C605="","",DADOS!C605)</f>
        <v>29</v>
      </c>
      <c r="F605" s="9">
        <f>IF(DADOS!E605="","",DADOS!E605)</f>
        <v>26.7</v>
      </c>
      <c r="G605" s="9">
        <f>IF(DADOS!F605="","",DADOS!F605)</f>
        <v>7</v>
      </c>
      <c r="K605" s="6">
        <f t="shared" si="50"/>
        <v>8.4988739611072113</v>
      </c>
      <c r="L605" s="7">
        <f t="shared" si="51"/>
        <v>5.6729983690390643E-3</v>
      </c>
      <c r="M605" s="7">
        <f t="shared" si="48"/>
        <v>3.9710988583273453E-2</v>
      </c>
      <c r="N605" s="7">
        <f t="shared" si="52"/>
        <v>3.1768790866618761E-2</v>
      </c>
      <c r="O605" s="8"/>
      <c r="P605" s="26"/>
      <c r="S605" s="10" t="str">
        <f t="shared" si="49"/>
        <v/>
      </c>
    </row>
    <row r="606" spans="5:19" x14ac:dyDescent="0.3">
      <c r="E606" s="9">
        <f>IF(DADOS!C606="","",DADOS!C606)</f>
        <v>29</v>
      </c>
      <c r="F606" s="9">
        <f>IF(DADOS!E606="","",DADOS!E606)</f>
        <v>19.899999999999999</v>
      </c>
      <c r="G606" s="9">
        <f>IF(DADOS!F606="","",DADOS!F606)</f>
        <v>3.5</v>
      </c>
      <c r="K606" s="6">
        <f t="shared" si="50"/>
        <v>6.3343667350574338</v>
      </c>
      <c r="L606" s="7">
        <f t="shared" si="51"/>
        <v>3.1513474506910731E-3</v>
      </c>
      <c r="M606" s="7">
        <f t="shared" si="48"/>
        <v>1.1029716077418756E-2</v>
      </c>
      <c r="N606" s="7">
        <f t="shared" si="52"/>
        <v>8.8237728619350048E-3</v>
      </c>
      <c r="O606" s="8"/>
      <c r="P606" s="26"/>
      <c r="S606" s="10" t="str">
        <f t="shared" si="49"/>
        <v/>
      </c>
    </row>
    <row r="607" spans="5:19" x14ac:dyDescent="0.3">
      <c r="E607" s="9">
        <f>IF(DADOS!C607="","",DADOS!C607)</f>
        <v>29</v>
      </c>
      <c r="F607" s="9">
        <f>IF(DADOS!E607="","",DADOS!E607)</f>
        <v>15.6</v>
      </c>
      <c r="G607" s="9">
        <f>IF(DADOS!F607="","",DADOS!F607)</f>
        <v>6</v>
      </c>
      <c r="K607" s="6">
        <f t="shared" si="50"/>
        <v>4.9656342244671343</v>
      </c>
      <c r="L607" s="7">
        <f t="shared" si="51"/>
        <v>1.9365973475421821E-3</v>
      </c>
      <c r="M607" s="7">
        <f t="shared" si="48"/>
        <v>1.1619584085253092E-2</v>
      </c>
      <c r="N607" s="7">
        <f t="shared" si="52"/>
        <v>9.2956672682024729E-3</v>
      </c>
      <c r="O607" s="8"/>
      <c r="P607" s="26"/>
      <c r="S607" s="10" t="str">
        <f t="shared" si="49"/>
        <v/>
      </c>
    </row>
    <row r="608" spans="5:19" x14ac:dyDescent="0.3">
      <c r="E608" s="9">
        <f>IF(DADOS!C608="","",DADOS!C608)</f>
        <v>29</v>
      </c>
      <c r="F608" s="9">
        <f>IF(DADOS!E608="","",DADOS!E608)</f>
        <v>23.3</v>
      </c>
      <c r="G608" s="9">
        <f>IF(DADOS!F608="","",DADOS!F608)</f>
        <v>5</v>
      </c>
      <c r="K608" s="6">
        <f t="shared" si="50"/>
        <v>7.416620348082323</v>
      </c>
      <c r="L608" s="7">
        <f t="shared" si="51"/>
        <v>4.3201813527579533E-3</v>
      </c>
      <c r="M608" s="7">
        <f t="shared" si="48"/>
        <v>2.1600906763789767E-2</v>
      </c>
      <c r="N608" s="7">
        <f t="shared" si="52"/>
        <v>1.7280725411031813E-2</v>
      </c>
      <c r="O608" s="8"/>
      <c r="P608" s="26"/>
      <c r="S608" s="10" t="str">
        <f t="shared" si="49"/>
        <v/>
      </c>
    </row>
    <row r="609" spans="5:19" x14ac:dyDescent="0.3">
      <c r="E609" s="9">
        <f>IF(DADOS!C609="","",DADOS!C609)</f>
        <v>29</v>
      </c>
      <c r="F609" s="9">
        <f>IF(DADOS!E609="","",DADOS!E609)</f>
        <v>31.5</v>
      </c>
      <c r="G609" s="9">
        <f>IF(DADOS!F609="","",DADOS!F609)</f>
        <v>2</v>
      </c>
      <c r="K609" s="6">
        <f t="shared" si="50"/>
        <v>10.026761414789407</v>
      </c>
      <c r="L609" s="7">
        <f t="shared" si="51"/>
        <v>7.8960746141466583E-3</v>
      </c>
      <c r="M609" s="7">
        <f t="shared" si="48"/>
        <v>1.5792149228293317E-2</v>
      </c>
      <c r="N609" s="7">
        <f t="shared" si="52"/>
        <v>1.2633719382634655E-2</v>
      </c>
      <c r="O609" s="8"/>
      <c r="P609" s="26"/>
      <c r="S609" s="10" t="str">
        <f t="shared" si="49"/>
        <v/>
      </c>
    </row>
    <row r="610" spans="5:19" x14ac:dyDescent="0.3">
      <c r="E610" s="9">
        <f>IF(DADOS!C610="","",DADOS!C610)</f>
        <v>29</v>
      </c>
      <c r="F610" s="9">
        <f>IF(DADOS!E610="","",DADOS!E610)</f>
        <v>42.5</v>
      </c>
      <c r="G610" s="9">
        <f>IF(DADOS!F610="","",DADOS!F610)</f>
        <v>9</v>
      </c>
      <c r="K610" s="6">
        <f t="shared" si="50"/>
        <v>13.528170162811104</v>
      </c>
      <c r="L610" s="7">
        <f t="shared" si="51"/>
        <v>1.43736807979868E-2</v>
      </c>
      <c r="M610" s="7">
        <f t="shared" si="48"/>
        <v>0.1293631271818812</v>
      </c>
      <c r="N610" s="7">
        <f t="shared" si="52"/>
        <v>0.10349050174550496</v>
      </c>
      <c r="O610" s="8"/>
      <c r="P610" s="26"/>
      <c r="S610" s="10" t="str">
        <f t="shared" si="49"/>
        <v/>
      </c>
    </row>
    <row r="611" spans="5:19" x14ac:dyDescent="0.3">
      <c r="E611" s="9">
        <f>IF(DADOS!C611="","",DADOS!C611)</f>
        <v>29</v>
      </c>
      <c r="F611" s="9">
        <f>IF(DADOS!E611="","",DADOS!E611)</f>
        <v>31.5</v>
      </c>
      <c r="G611" s="9">
        <f>IF(DADOS!F611="","",DADOS!F611)</f>
        <v>9</v>
      </c>
      <c r="K611" s="6">
        <f t="shared" si="50"/>
        <v>10.026761414789407</v>
      </c>
      <c r="L611" s="7">
        <f t="shared" si="51"/>
        <v>7.8960746141466583E-3</v>
      </c>
      <c r="M611" s="7">
        <f t="shared" si="48"/>
        <v>7.106467152731992E-2</v>
      </c>
      <c r="N611" s="7">
        <f t="shared" si="52"/>
        <v>5.6851737221855936E-2</v>
      </c>
      <c r="O611" s="8"/>
      <c r="P611" s="26"/>
      <c r="S611" s="10" t="str">
        <f t="shared" si="49"/>
        <v/>
      </c>
    </row>
    <row r="612" spans="5:19" x14ac:dyDescent="0.3">
      <c r="E612" s="9">
        <f>IF(DADOS!C612="","",DADOS!C612)</f>
        <v>29</v>
      </c>
      <c r="F612" s="9">
        <f>IF(DADOS!E612="","",DADOS!E612)</f>
        <v>61.5</v>
      </c>
      <c r="G612" s="9">
        <f>IF(DADOS!F612="","",DADOS!F612)</f>
        <v>9</v>
      </c>
      <c r="K612" s="6">
        <f t="shared" si="50"/>
        <v>19.576058000303128</v>
      </c>
      <c r="L612" s="7">
        <f t="shared" si="51"/>
        <v>3.0098189175466059E-2</v>
      </c>
      <c r="M612" s="7">
        <f t="shared" si="48"/>
        <v>0.27088370257919453</v>
      </c>
      <c r="N612" s="7">
        <f t="shared" si="52"/>
        <v>0.21670696206335563</v>
      </c>
      <c r="O612" s="8"/>
      <c r="P612" s="26"/>
      <c r="S612" s="10" t="str">
        <f t="shared" si="49"/>
        <v/>
      </c>
    </row>
    <row r="613" spans="5:19" x14ac:dyDescent="0.3">
      <c r="E613" s="9">
        <f>IF(DADOS!C613="","",DADOS!C613)</f>
        <v>29</v>
      </c>
      <c r="F613" s="9">
        <f>IF(DADOS!E613="","",DADOS!E613)</f>
        <v>69.7</v>
      </c>
      <c r="G613" s="9">
        <f>IF(DADOS!F613="","",DADOS!F613)</f>
        <v>10</v>
      </c>
      <c r="K613" s="6">
        <f t="shared" si="50"/>
        <v>22.186199067010211</v>
      </c>
      <c r="L613" s="7">
        <f t="shared" si="51"/>
        <v>3.8659451874265297E-2</v>
      </c>
      <c r="M613" s="7">
        <f t="shared" si="48"/>
        <v>0.38659451874265294</v>
      </c>
      <c r="N613" s="7">
        <f t="shared" si="52"/>
        <v>0.30927561499412237</v>
      </c>
      <c r="O613" s="8"/>
      <c r="P613" s="26"/>
      <c r="S613" s="10" t="str">
        <f t="shared" si="49"/>
        <v/>
      </c>
    </row>
    <row r="614" spans="5:19" x14ac:dyDescent="0.3">
      <c r="E614" s="9">
        <f>IF(DADOS!C614="","",DADOS!C614)</f>
        <v>29</v>
      </c>
      <c r="F614" s="9">
        <f>IF(DADOS!E614="","",DADOS!E614)</f>
        <v>50.8</v>
      </c>
      <c r="G614" s="9">
        <f>IF(DADOS!F614="","",DADOS!F614)</f>
        <v>10</v>
      </c>
      <c r="K614" s="6">
        <f t="shared" si="50"/>
        <v>16.170142218136565</v>
      </c>
      <c r="L614" s="7">
        <f t="shared" si="51"/>
        <v>2.0536080617033433E-2</v>
      </c>
      <c r="M614" s="7">
        <f t="shared" si="48"/>
        <v>0.20536080617033434</v>
      </c>
      <c r="N614" s="7">
        <f t="shared" si="52"/>
        <v>0.16428864493626749</v>
      </c>
      <c r="O614" s="8"/>
      <c r="P614" s="26"/>
      <c r="S614" s="10" t="str">
        <f t="shared" si="49"/>
        <v/>
      </c>
    </row>
    <row r="615" spans="5:19" x14ac:dyDescent="0.3">
      <c r="E615" s="9">
        <f>IF(DADOS!C615="","",DADOS!C615)</f>
        <v>29</v>
      </c>
      <c r="F615" s="9">
        <f>IF(DADOS!E615="","",DADOS!E615)</f>
        <v>50.6</v>
      </c>
      <c r="G615" s="9">
        <f>IF(DADOS!F615="","",DADOS!F615)</f>
        <v>8</v>
      </c>
      <c r="K615" s="6">
        <f t="shared" si="50"/>
        <v>16.10648024089981</v>
      </c>
      <c r="L615" s="7">
        <f t="shared" si="51"/>
        <v>2.0374697504738259E-2</v>
      </c>
      <c r="M615" s="7">
        <f t="shared" si="48"/>
        <v>0.16299758003790607</v>
      </c>
      <c r="N615" s="7">
        <f t="shared" si="52"/>
        <v>0.13039806403032486</v>
      </c>
      <c r="O615" s="8"/>
      <c r="P615" s="26"/>
      <c r="S615" s="10" t="str">
        <f t="shared" si="49"/>
        <v/>
      </c>
    </row>
    <row r="616" spans="5:19" x14ac:dyDescent="0.3">
      <c r="E616" s="9">
        <f>IF(DADOS!C616="","",DADOS!C616)</f>
        <v>30</v>
      </c>
      <c r="F616" s="9">
        <f>IF(DADOS!E616="","",DADOS!E616)</f>
        <v>46.8</v>
      </c>
      <c r="G616" s="9">
        <f>IF(DADOS!F616="","",DADOS!F616)</f>
        <v>11</v>
      </c>
      <c r="K616" s="6">
        <f t="shared" si="50"/>
        <v>14.896902673401403</v>
      </c>
      <c r="L616" s="7">
        <f t="shared" si="51"/>
        <v>1.7429376127879637E-2</v>
      </c>
      <c r="M616" s="7">
        <f t="shared" si="48"/>
        <v>0.19172313740667601</v>
      </c>
      <c r="N616" s="7">
        <f t="shared" si="52"/>
        <v>0.15337850992534083</v>
      </c>
      <c r="O616" s="8"/>
      <c r="P616" s="26"/>
      <c r="S616" s="10" t="str">
        <f t="shared" si="49"/>
        <v/>
      </c>
    </row>
    <row r="617" spans="5:19" x14ac:dyDescent="0.3">
      <c r="E617" s="9">
        <f>IF(DADOS!C617="","",DADOS!C617)</f>
        <v>30</v>
      </c>
      <c r="F617" s="9">
        <f>IF(DADOS!E617="","",DADOS!E617)</f>
        <v>23.8</v>
      </c>
      <c r="G617" s="9">
        <f>IF(DADOS!F617="","",DADOS!F617)</f>
        <v>7</v>
      </c>
      <c r="K617" s="6">
        <f t="shared" si="50"/>
        <v>7.5757752911742182</v>
      </c>
      <c r="L617" s="7">
        <f t="shared" si="51"/>
        <v>4.5075862982486602E-3</v>
      </c>
      <c r="M617" s="7">
        <f t="shared" si="48"/>
        <v>3.1553104087740619E-2</v>
      </c>
      <c r="N617" s="7">
        <f t="shared" si="52"/>
        <v>2.5242483270192496E-2</v>
      </c>
      <c r="O617" s="8"/>
      <c r="P617" s="26"/>
      <c r="S617" s="10" t="str">
        <f t="shared" si="49"/>
        <v/>
      </c>
    </row>
    <row r="618" spans="5:19" x14ac:dyDescent="0.3">
      <c r="E618" s="9">
        <f>IF(DADOS!C618="","",DADOS!C618)</f>
        <v>30</v>
      </c>
      <c r="F618" s="9">
        <f>IF(DADOS!E618="","",DADOS!E618)</f>
        <v>20.3</v>
      </c>
      <c r="G618" s="9">
        <f>IF(DADOS!F618="","",DADOS!F618)</f>
        <v>4.5</v>
      </c>
      <c r="K618" s="6">
        <f t="shared" si="50"/>
        <v>6.4616906895309514</v>
      </c>
      <c r="L618" s="7">
        <f t="shared" si="51"/>
        <v>3.2793080249369582E-3</v>
      </c>
      <c r="M618" s="7">
        <f t="shared" si="48"/>
        <v>1.4756886112216311E-2</v>
      </c>
      <c r="N618" s="7">
        <f t="shared" si="52"/>
        <v>1.180550888977305E-2</v>
      </c>
      <c r="O618" s="8"/>
      <c r="P618" s="26"/>
      <c r="S618" s="10" t="str">
        <f t="shared" si="49"/>
        <v/>
      </c>
    </row>
    <row r="619" spans="5:19" x14ac:dyDescent="0.3">
      <c r="E619" s="9">
        <f>IF(DADOS!C619="","",DADOS!C619)</f>
        <v>30</v>
      </c>
      <c r="F619" s="9">
        <f>IF(DADOS!E619="","",DADOS!E619)</f>
        <v>15</v>
      </c>
      <c r="G619" s="9">
        <f>IF(DADOS!F619="","",DADOS!F619)</f>
        <v>4.5</v>
      </c>
      <c r="K619" s="6">
        <f t="shared" si="50"/>
        <v>4.7746482927568605</v>
      </c>
      <c r="L619" s="7">
        <f t="shared" si="51"/>
        <v>1.7904931097838229E-3</v>
      </c>
      <c r="M619" s="7">
        <f t="shared" si="48"/>
        <v>8.0572189940272022E-3</v>
      </c>
      <c r="N619" s="7">
        <f t="shared" si="52"/>
        <v>6.4457751952217623E-3</v>
      </c>
      <c r="O619" s="8"/>
      <c r="P619" s="26"/>
      <c r="S619" s="10" t="str">
        <f t="shared" si="49"/>
        <v/>
      </c>
    </row>
    <row r="620" spans="5:19" x14ac:dyDescent="0.3">
      <c r="E620" s="9">
        <f>IF(DADOS!C620="","",DADOS!C620)</f>
        <v>30</v>
      </c>
      <c r="F620" s="9">
        <f>IF(DADOS!E620="","",DADOS!E620)</f>
        <v>16</v>
      </c>
      <c r="G620" s="9">
        <f>IF(DADOS!F620="","",DADOS!F620)</f>
        <v>5</v>
      </c>
      <c r="K620" s="6">
        <f t="shared" si="50"/>
        <v>5.0929581789406511</v>
      </c>
      <c r="L620" s="7">
        <f t="shared" si="51"/>
        <v>2.0371832715762603E-3</v>
      </c>
      <c r="M620" s="7">
        <f t="shared" si="48"/>
        <v>1.0185916357881301E-2</v>
      </c>
      <c r="N620" s="7">
        <f t="shared" si="52"/>
        <v>8.1487330863050413E-3</v>
      </c>
      <c r="O620" s="8"/>
      <c r="P620" s="26"/>
      <c r="S620" s="10" t="str">
        <f t="shared" si="49"/>
        <v/>
      </c>
    </row>
    <row r="621" spans="5:19" x14ac:dyDescent="0.3">
      <c r="E621" s="9">
        <f>IF(DADOS!C621="","",DADOS!C621)</f>
        <v>30</v>
      </c>
      <c r="F621" s="9">
        <f>IF(DADOS!E621="","",DADOS!E621)</f>
        <v>176.7</v>
      </c>
      <c r="G621" s="9">
        <f>IF(DADOS!F621="","",DADOS!F621)</f>
        <v>9</v>
      </c>
      <c r="K621" s="6">
        <f t="shared" si="50"/>
        <v>56.245356888675808</v>
      </c>
      <c r="L621" s="7">
        <f t="shared" si="51"/>
        <v>0.24846386405572535</v>
      </c>
      <c r="M621" s="7">
        <f t="shared" si="48"/>
        <v>2.2361747765015281</v>
      </c>
      <c r="N621" s="7">
        <f t="shared" si="52"/>
        <v>1.7889398212012226</v>
      </c>
      <c r="O621" s="8"/>
      <c r="P621" s="26"/>
      <c r="S621" s="10" t="str">
        <f t="shared" si="49"/>
        <v/>
      </c>
    </row>
    <row r="622" spans="5:19" x14ac:dyDescent="0.3">
      <c r="E622" s="9">
        <f>IF(DADOS!C622="","",DADOS!C622)</f>
        <v>30</v>
      </c>
      <c r="F622" s="9">
        <f>IF(DADOS!E622="","",DADOS!E622)</f>
        <v>28.5</v>
      </c>
      <c r="G622" s="9">
        <f>IF(DADOS!F622="","",DADOS!F622)</f>
        <v>9</v>
      </c>
      <c r="K622" s="6">
        <f t="shared" si="50"/>
        <v>9.0718317562380353</v>
      </c>
      <c r="L622" s="7">
        <f t="shared" si="51"/>
        <v>6.4636801263196009E-3</v>
      </c>
      <c r="M622" s="7">
        <f t="shared" si="48"/>
        <v>5.8173121136876407E-2</v>
      </c>
      <c r="N622" s="7">
        <f t="shared" si="52"/>
        <v>4.6538496909501126E-2</v>
      </c>
      <c r="O622" s="8"/>
      <c r="P622" s="26"/>
      <c r="S622" s="10" t="str">
        <f t="shared" si="49"/>
        <v/>
      </c>
    </row>
    <row r="623" spans="5:19" x14ac:dyDescent="0.3">
      <c r="E623" s="9">
        <f>IF(DADOS!C623="","",DADOS!C623)</f>
        <v>30</v>
      </c>
      <c r="F623" s="9">
        <f>IF(DADOS!E623="","",DADOS!E623)</f>
        <v>30.1</v>
      </c>
      <c r="G623" s="9">
        <f>IF(DADOS!F623="","",DADOS!F623)</f>
        <v>9</v>
      </c>
      <c r="K623" s="6">
        <f t="shared" si="50"/>
        <v>9.5811275741321005</v>
      </c>
      <c r="L623" s="7">
        <f t="shared" si="51"/>
        <v>7.2097984995344059E-3</v>
      </c>
      <c r="M623" s="7">
        <f t="shared" si="48"/>
        <v>6.4888186495809658E-2</v>
      </c>
      <c r="N623" s="7">
        <f t="shared" si="52"/>
        <v>5.1910549196647726E-2</v>
      </c>
      <c r="O623" s="8"/>
      <c r="P623" s="26"/>
      <c r="S623" s="10" t="str">
        <f t="shared" si="49"/>
        <v/>
      </c>
    </row>
    <row r="624" spans="5:19" x14ac:dyDescent="0.3">
      <c r="E624" s="9">
        <f>IF(DADOS!C624="","",DADOS!C624)</f>
        <v>30</v>
      </c>
      <c r="F624" s="9">
        <f>IF(DADOS!E624="","",DADOS!E624)</f>
        <v>36</v>
      </c>
      <c r="G624" s="9">
        <f>IF(DADOS!F624="","",DADOS!F624)</f>
        <v>8</v>
      </c>
      <c r="K624" s="6">
        <f t="shared" si="50"/>
        <v>11.459155902616464</v>
      </c>
      <c r="L624" s="7">
        <f t="shared" si="51"/>
        <v>1.0313240312354817E-2</v>
      </c>
      <c r="M624" s="7">
        <f t="shared" si="48"/>
        <v>8.2505922498838535E-2</v>
      </c>
      <c r="N624" s="7">
        <f t="shared" si="52"/>
        <v>6.6004737999070834E-2</v>
      </c>
      <c r="O624" s="8"/>
      <c r="P624" s="26"/>
      <c r="S624" s="10" t="str">
        <f t="shared" si="49"/>
        <v/>
      </c>
    </row>
    <row r="625" spans="5:19" x14ac:dyDescent="0.3">
      <c r="E625" s="9">
        <f>IF(DADOS!C625="","",DADOS!C625)</f>
        <v>30</v>
      </c>
      <c r="F625" s="9">
        <f>IF(DADOS!E625="","",DADOS!E625)</f>
        <v>44.5</v>
      </c>
      <c r="G625" s="9">
        <f>IF(DADOS!F625="","",DADOS!F625)</f>
        <v>9</v>
      </c>
      <c r="K625" s="6">
        <f t="shared" si="50"/>
        <v>14.164789935178685</v>
      </c>
      <c r="L625" s="7">
        <f t="shared" si="51"/>
        <v>1.5758328802886287E-2</v>
      </c>
      <c r="M625" s="7">
        <f t="shared" si="48"/>
        <v>0.1418249592259766</v>
      </c>
      <c r="N625" s="7">
        <f t="shared" si="52"/>
        <v>0.11345996738078129</v>
      </c>
      <c r="O625" s="8"/>
      <c r="P625" s="26"/>
      <c r="S625" s="10" t="str">
        <f t="shared" si="49"/>
        <v/>
      </c>
    </row>
    <row r="626" spans="5:19" x14ac:dyDescent="0.3">
      <c r="E626" s="9">
        <f>IF(DADOS!C626="","",DADOS!C626)</f>
        <v>30</v>
      </c>
      <c r="F626" s="9">
        <f>IF(DADOS!E626="","",DADOS!E626)</f>
        <v>102.5</v>
      </c>
      <c r="G626" s="9">
        <f>IF(DADOS!F626="","",DADOS!F626)</f>
        <v>10</v>
      </c>
      <c r="K626" s="6">
        <f t="shared" si="50"/>
        <v>32.626763333838547</v>
      </c>
      <c r="L626" s="7">
        <f t="shared" si="51"/>
        <v>8.3606081042961286E-2</v>
      </c>
      <c r="M626" s="7">
        <f t="shared" si="48"/>
        <v>0.83606081042961289</v>
      </c>
      <c r="N626" s="7">
        <f t="shared" si="52"/>
        <v>0.6688486483436904</v>
      </c>
      <c r="O626" s="8"/>
      <c r="P626" s="26"/>
      <c r="S626" s="10" t="str">
        <f t="shared" si="49"/>
        <v/>
      </c>
    </row>
    <row r="627" spans="5:19" x14ac:dyDescent="0.3">
      <c r="E627" s="9" t="str">
        <f>IF(DADOS!C627="","",DADOS!C627)</f>
        <v/>
      </c>
      <c r="F627" s="9" t="str">
        <f>IF(DADOS!E627="","",DADOS!E627)</f>
        <v/>
      </c>
      <c r="G627" s="9" t="str">
        <f>IF(DADOS!F627="","",DADOS!F627)</f>
        <v/>
      </c>
      <c r="K627" s="6" t="str">
        <f t="shared" si="50"/>
        <v/>
      </c>
      <c r="L627" s="7" t="str">
        <f t="shared" si="51"/>
        <v/>
      </c>
      <c r="M627" s="7" t="str">
        <f t="shared" si="48"/>
        <v/>
      </c>
      <c r="N627" s="7" t="str">
        <f t="shared" si="52"/>
        <v/>
      </c>
      <c r="O627" s="8"/>
      <c r="P627" s="26"/>
      <c r="S627" s="10" t="str">
        <f t="shared" si="49"/>
        <v/>
      </c>
    </row>
    <row r="628" spans="5:19" x14ac:dyDescent="0.3">
      <c r="E628" s="9" t="str">
        <f>IF(DADOS!C628="","",DADOS!C628)</f>
        <v/>
      </c>
      <c r="F628" s="9" t="str">
        <f>IF(DADOS!E628="","",DADOS!E628)</f>
        <v/>
      </c>
      <c r="G628" s="9" t="str">
        <f>IF(DADOS!F628="","",DADOS!F628)</f>
        <v/>
      </c>
      <c r="K628" s="6" t="str">
        <f t="shared" si="50"/>
        <v/>
      </c>
      <c r="L628" s="7" t="str">
        <f t="shared" si="51"/>
        <v/>
      </c>
      <c r="M628" s="7" t="str">
        <f t="shared" si="48"/>
        <v/>
      </c>
      <c r="N628" s="7" t="str">
        <f t="shared" si="52"/>
        <v/>
      </c>
      <c r="O628" s="8"/>
      <c r="P628" s="26"/>
      <c r="S628" s="10" t="str">
        <f t="shared" si="49"/>
        <v/>
      </c>
    </row>
    <row r="629" spans="5:19" x14ac:dyDescent="0.3">
      <c r="E629" s="9" t="str">
        <f>IF(DADOS!C629="","",DADOS!C629)</f>
        <v/>
      </c>
      <c r="F629" s="9" t="str">
        <f>IF(DADOS!E629="","",DADOS!E629)</f>
        <v/>
      </c>
      <c r="G629" s="9" t="str">
        <f>IF(DADOS!F629="","",DADOS!F629)</f>
        <v/>
      </c>
      <c r="K629" s="6" t="str">
        <f t="shared" si="50"/>
        <v/>
      </c>
      <c r="L629" s="7" t="str">
        <f t="shared" si="51"/>
        <v/>
      </c>
      <c r="M629" s="7" t="str">
        <f t="shared" si="48"/>
        <v/>
      </c>
      <c r="N629" s="7" t="str">
        <f t="shared" si="52"/>
        <v/>
      </c>
      <c r="O629" s="8"/>
      <c r="P629" s="26"/>
      <c r="S629" s="10" t="str">
        <f t="shared" si="49"/>
        <v/>
      </c>
    </row>
    <row r="630" spans="5:19" x14ac:dyDescent="0.3">
      <c r="E630" s="9" t="str">
        <f>IF(DADOS!C630="","",DADOS!C630)</f>
        <v/>
      </c>
      <c r="F630" s="9" t="str">
        <f>IF(DADOS!E630="","",DADOS!E630)</f>
        <v/>
      </c>
      <c r="G630" s="9" t="str">
        <f>IF(DADOS!F630="","",DADOS!F630)</f>
        <v/>
      </c>
      <c r="K630" s="6" t="str">
        <f t="shared" si="50"/>
        <v/>
      </c>
      <c r="L630" s="7" t="str">
        <f t="shared" si="51"/>
        <v/>
      </c>
      <c r="M630" s="7" t="str">
        <f t="shared" si="48"/>
        <v/>
      </c>
      <c r="N630" s="7" t="str">
        <f t="shared" si="52"/>
        <v/>
      </c>
      <c r="O630" s="8"/>
      <c r="P630" s="26"/>
      <c r="S630" s="10" t="str">
        <f t="shared" si="49"/>
        <v/>
      </c>
    </row>
    <row r="631" spans="5:19" x14ac:dyDescent="0.3">
      <c r="E631" s="9" t="str">
        <f>IF(DADOS!C631="","",DADOS!C631)</f>
        <v/>
      </c>
      <c r="F631" s="9" t="str">
        <f>IF(DADOS!E631="","",DADOS!E631)</f>
        <v/>
      </c>
      <c r="G631" s="9" t="str">
        <f>IF(DADOS!F631="","",DADOS!F631)</f>
        <v/>
      </c>
      <c r="K631" s="6" t="str">
        <f t="shared" si="50"/>
        <v/>
      </c>
      <c r="L631" s="7" t="str">
        <f t="shared" si="51"/>
        <v/>
      </c>
      <c r="M631" s="7" t="str">
        <f t="shared" si="48"/>
        <v/>
      </c>
      <c r="N631" s="7" t="str">
        <f t="shared" si="52"/>
        <v/>
      </c>
      <c r="O631" s="8"/>
      <c r="P631" s="26"/>
      <c r="S631" s="10" t="str">
        <f t="shared" si="49"/>
        <v/>
      </c>
    </row>
    <row r="632" spans="5:19" x14ac:dyDescent="0.3">
      <c r="E632" s="9" t="str">
        <f>IF(DADOS!C632="","",DADOS!C632)</f>
        <v/>
      </c>
      <c r="F632" s="9" t="str">
        <f>IF(DADOS!E632="","",DADOS!E632)</f>
        <v/>
      </c>
      <c r="G632" s="9" t="str">
        <f>IF(DADOS!F632="","",DADOS!F632)</f>
        <v/>
      </c>
      <c r="K632" s="6" t="str">
        <f t="shared" si="50"/>
        <v/>
      </c>
      <c r="L632" s="7" t="str">
        <f t="shared" si="51"/>
        <v/>
      </c>
      <c r="M632" s="7" t="str">
        <f t="shared" si="48"/>
        <v/>
      </c>
      <c r="N632" s="7" t="str">
        <f t="shared" si="52"/>
        <v/>
      </c>
      <c r="O632" s="8"/>
      <c r="P632" s="26"/>
      <c r="S632" s="10" t="str">
        <f t="shared" si="49"/>
        <v/>
      </c>
    </row>
    <row r="633" spans="5:19" x14ac:dyDescent="0.3">
      <c r="E633" s="9" t="str">
        <f>IF(DADOS!C633="","",DADOS!C633)</f>
        <v/>
      </c>
      <c r="F633" s="9" t="str">
        <f>IF(DADOS!E633="","",DADOS!E633)</f>
        <v/>
      </c>
      <c r="G633" s="9" t="str">
        <f>IF(DADOS!F633="","",DADOS!F633)</f>
        <v/>
      </c>
      <c r="K633" s="6" t="str">
        <f t="shared" si="50"/>
        <v/>
      </c>
      <c r="L633" s="7" t="str">
        <f t="shared" si="51"/>
        <v/>
      </c>
      <c r="M633" s="7" t="str">
        <f t="shared" si="48"/>
        <v/>
      </c>
      <c r="N633" s="7" t="str">
        <f t="shared" si="52"/>
        <v/>
      </c>
      <c r="O633" s="8"/>
      <c r="P633" s="26"/>
      <c r="S633" s="10" t="str">
        <f t="shared" si="49"/>
        <v/>
      </c>
    </row>
    <row r="634" spans="5:19" x14ac:dyDescent="0.3">
      <c r="E634" s="9" t="str">
        <f>IF(DADOS!C634="","",DADOS!C634)</f>
        <v/>
      </c>
      <c r="F634" s="9" t="str">
        <f>IF(DADOS!E634="","",DADOS!E634)</f>
        <v/>
      </c>
      <c r="G634" s="9" t="str">
        <f>IF(DADOS!F634="","",DADOS!F634)</f>
        <v/>
      </c>
      <c r="K634" s="6" t="str">
        <f t="shared" si="50"/>
        <v/>
      </c>
      <c r="L634" s="7" t="str">
        <f t="shared" si="51"/>
        <v/>
      </c>
      <c r="M634" s="7" t="str">
        <f t="shared" si="48"/>
        <v/>
      </c>
      <c r="N634" s="7" t="str">
        <f t="shared" si="52"/>
        <v/>
      </c>
      <c r="O634" s="8"/>
      <c r="P634" s="26"/>
      <c r="S634" s="10" t="str">
        <f t="shared" si="49"/>
        <v/>
      </c>
    </row>
    <row r="635" spans="5:19" x14ac:dyDescent="0.3">
      <c r="E635" s="9" t="str">
        <f>IF(DADOS!C635="","",DADOS!C635)</f>
        <v/>
      </c>
      <c r="F635" s="9" t="str">
        <f>IF(DADOS!E635="","",DADOS!E635)</f>
        <v/>
      </c>
      <c r="G635" s="9" t="str">
        <f>IF(DADOS!F635="","",DADOS!F635)</f>
        <v/>
      </c>
      <c r="K635" s="6" t="str">
        <f t="shared" si="50"/>
        <v/>
      </c>
      <c r="L635" s="7" t="str">
        <f t="shared" si="51"/>
        <v/>
      </c>
      <c r="M635" s="7" t="str">
        <f t="shared" si="48"/>
        <v/>
      </c>
      <c r="N635" s="7" t="str">
        <f t="shared" si="52"/>
        <v/>
      </c>
      <c r="O635" s="8"/>
      <c r="P635" s="26"/>
      <c r="S635" s="10" t="str">
        <f t="shared" si="49"/>
        <v/>
      </c>
    </row>
    <row r="636" spans="5:19" x14ac:dyDescent="0.3">
      <c r="E636" s="9" t="str">
        <f>IF(DADOS!C636="","",DADOS!C636)</f>
        <v/>
      </c>
      <c r="F636" s="9" t="str">
        <f>IF(DADOS!E636="","",DADOS!E636)</f>
        <v/>
      </c>
      <c r="G636" s="9" t="str">
        <f>IF(DADOS!F636="","",DADOS!F636)</f>
        <v/>
      </c>
      <c r="K636" s="6" t="str">
        <f t="shared" si="50"/>
        <v/>
      </c>
      <c r="L636" s="7" t="str">
        <f t="shared" si="51"/>
        <v/>
      </c>
      <c r="M636" s="7" t="str">
        <f t="shared" si="48"/>
        <v/>
      </c>
      <c r="N636" s="7" t="str">
        <f t="shared" si="52"/>
        <v/>
      </c>
      <c r="O636" s="8"/>
      <c r="P636" s="26"/>
      <c r="S636" s="10" t="str">
        <f t="shared" si="49"/>
        <v/>
      </c>
    </row>
    <row r="637" spans="5:19" x14ac:dyDescent="0.3">
      <c r="E637" s="9" t="str">
        <f>IF(DADOS!C637="","",DADOS!C637)</f>
        <v/>
      </c>
      <c r="F637" s="9" t="str">
        <f>IF(DADOS!E637="","",DADOS!E637)</f>
        <v/>
      </c>
      <c r="G637" s="9" t="str">
        <f>IF(DADOS!F637="","",DADOS!F637)</f>
        <v/>
      </c>
      <c r="K637" s="6" t="str">
        <f t="shared" si="50"/>
        <v/>
      </c>
      <c r="L637" s="7" t="str">
        <f t="shared" si="51"/>
        <v/>
      </c>
      <c r="M637" s="7" t="str">
        <f t="shared" si="48"/>
        <v/>
      </c>
      <c r="N637" s="7" t="str">
        <f t="shared" si="52"/>
        <v/>
      </c>
      <c r="O637" s="8"/>
      <c r="P637" s="26"/>
      <c r="S637" s="10" t="str">
        <f t="shared" si="49"/>
        <v/>
      </c>
    </row>
    <row r="638" spans="5:19" x14ac:dyDescent="0.3">
      <c r="E638" s="9" t="str">
        <f>IF(DADOS!C638="","",DADOS!C638)</f>
        <v/>
      </c>
      <c r="F638" s="9" t="str">
        <f>IF(DADOS!E638="","",DADOS!E638)</f>
        <v/>
      </c>
      <c r="G638" s="9" t="str">
        <f>IF(DADOS!F638="","",DADOS!F638)</f>
        <v/>
      </c>
      <c r="K638" s="6" t="str">
        <f t="shared" si="50"/>
        <v/>
      </c>
      <c r="L638" s="7" t="str">
        <f t="shared" si="51"/>
        <v/>
      </c>
      <c r="M638" s="7" t="str">
        <f t="shared" si="48"/>
        <v/>
      </c>
      <c r="N638" s="7" t="str">
        <f t="shared" si="52"/>
        <v/>
      </c>
      <c r="O638" s="8"/>
      <c r="P638" s="26"/>
      <c r="S638" s="10" t="str">
        <f t="shared" si="49"/>
        <v/>
      </c>
    </row>
    <row r="639" spans="5:19" x14ac:dyDescent="0.3">
      <c r="E639" s="9" t="str">
        <f>IF(DADOS!C639="","",DADOS!C639)</f>
        <v/>
      </c>
      <c r="F639" s="9" t="str">
        <f>IF(DADOS!E639="","",DADOS!E639)</f>
        <v/>
      </c>
      <c r="G639" s="9" t="str">
        <f>IF(DADOS!F639="","",DADOS!F639)</f>
        <v/>
      </c>
      <c r="K639" s="6" t="str">
        <f t="shared" si="50"/>
        <v/>
      </c>
      <c r="L639" s="7" t="str">
        <f t="shared" si="51"/>
        <v/>
      </c>
      <c r="M639" s="7" t="str">
        <f t="shared" si="48"/>
        <v/>
      </c>
      <c r="N639" s="7" t="str">
        <f t="shared" si="52"/>
        <v/>
      </c>
      <c r="O639" s="8"/>
      <c r="P639" s="26"/>
      <c r="S639" s="10" t="str">
        <f t="shared" si="49"/>
        <v/>
      </c>
    </row>
    <row r="640" spans="5:19" x14ac:dyDescent="0.3">
      <c r="E640" s="9" t="str">
        <f>IF(DADOS!C640="","",DADOS!C640)</f>
        <v/>
      </c>
      <c r="F640" s="9" t="str">
        <f>IF(DADOS!E640="","",DADOS!E640)</f>
        <v/>
      </c>
      <c r="G640" s="9" t="str">
        <f>IF(DADOS!F640="","",DADOS!F640)</f>
        <v/>
      </c>
      <c r="K640" s="6" t="str">
        <f t="shared" si="50"/>
        <v/>
      </c>
      <c r="L640" s="7" t="str">
        <f t="shared" si="51"/>
        <v/>
      </c>
      <c r="M640" s="7" t="str">
        <f t="shared" si="48"/>
        <v/>
      </c>
      <c r="N640" s="7" t="str">
        <f t="shared" si="52"/>
        <v/>
      </c>
      <c r="O640" s="8"/>
      <c r="P640" s="26"/>
      <c r="S640" s="10" t="str">
        <f t="shared" si="49"/>
        <v/>
      </c>
    </row>
    <row r="641" spans="5:19" x14ac:dyDescent="0.3">
      <c r="E641" s="9" t="str">
        <f>IF(DADOS!C641="","",DADOS!C641)</f>
        <v/>
      </c>
      <c r="F641" s="9" t="str">
        <f>IF(DADOS!E641="","",DADOS!E641)</f>
        <v/>
      </c>
      <c r="G641" s="9" t="str">
        <f>IF(DADOS!F641="","",DADOS!F641)</f>
        <v/>
      </c>
      <c r="K641" s="6" t="str">
        <f t="shared" si="50"/>
        <v/>
      </c>
      <c r="L641" s="7" t="str">
        <f t="shared" si="51"/>
        <v/>
      </c>
      <c r="M641" s="7" t="str">
        <f t="shared" si="48"/>
        <v/>
      </c>
      <c r="N641" s="7" t="str">
        <f t="shared" si="52"/>
        <v/>
      </c>
      <c r="O641" s="8"/>
      <c r="P641" s="26"/>
      <c r="S641" s="10" t="str">
        <f t="shared" si="49"/>
        <v/>
      </c>
    </row>
    <row r="642" spans="5:19" x14ac:dyDescent="0.3">
      <c r="E642" s="9" t="str">
        <f>IF(DADOS!C642="","",DADOS!C642)</f>
        <v/>
      </c>
      <c r="F642" s="9" t="str">
        <f>IF(DADOS!E642="","",DADOS!E642)</f>
        <v/>
      </c>
      <c r="G642" s="9" t="str">
        <f>IF(DADOS!F642="","",DADOS!F642)</f>
        <v/>
      </c>
      <c r="K642" s="6" t="str">
        <f t="shared" si="50"/>
        <v/>
      </c>
      <c r="L642" s="7" t="str">
        <f t="shared" si="51"/>
        <v/>
      </c>
      <c r="M642" s="7" t="str">
        <f t="shared" si="48"/>
        <v/>
      </c>
      <c r="N642" s="7" t="str">
        <f t="shared" si="52"/>
        <v/>
      </c>
      <c r="O642" s="8"/>
      <c r="P642" s="26"/>
      <c r="S642" s="10" t="str">
        <f t="shared" si="49"/>
        <v/>
      </c>
    </row>
    <row r="643" spans="5:19" x14ac:dyDescent="0.3">
      <c r="E643" s="9" t="str">
        <f>IF(DADOS!C643="","",DADOS!C643)</f>
        <v/>
      </c>
      <c r="F643" s="9" t="str">
        <f>IF(DADOS!E643="","",DADOS!E643)</f>
        <v/>
      </c>
      <c r="G643" s="9" t="str">
        <f>IF(DADOS!F643="","",DADOS!F643)</f>
        <v/>
      </c>
      <c r="K643" s="6" t="str">
        <f t="shared" si="50"/>
        <v/>
      </c>
      <c r="L643" s="7" t="str">
        <f t="shared" si="51"/>
        <v/>
      </c>
      <c r="M643" s="7" t="str">
        <f t="shared" ref="M643:M706" si="53">IF(L643="","",L643*G643)</f>
        <v/>
      </c>
      <c r="N643" s="7" t="str">
        <f t="shared" si="52"/>
        <v/>
      </c>
      <c r="O643" s="8"/>
      <c r="P643" s="26"/>
      <c r="S643" s="10" t="str">
        <f t="shared" ref="S643:S706" si="54">IF(R643="","",SUMIFS($N$3:$N$10000,$E$3:$E$10000,R643))</f>
        <v/>
      </c>
    </row>
    <row r="644" spans="5:19" x14ac:dyDescent="0.3">
      <c r="E644" s="9" t="str">
        <f>IF(DADOS!C644="","",DADOS!C644)</f>
        <v/>
      </c>
      <c r="F644" s="9" t="str">
        <f>IF(DADOS!E644="","",DADOS!E644)</f>
        <v/>
      </c>
      <c r="G644" s="9" t="str">
        <f>IF(DADOS!F644="","",DADOS!F644)</f>
        <v/>
      </c>
      <c r="K644" s="6" t="str">
        <f t="shared" ref="K644:K707" si="55">IF(F644="","",F644/PI())</f>
        <v/>
      </c>
      <c r="L644" s="7" t="str">
        <f t="shared" ref="L644:L707" si="56">IF(K644="","",(PI()*K644^2)/40000)</f>
        <v/>
      </c>
      <c r="M644" s="7" t="str">
        <f t="shared" si="53"/>
        <v/>
      </c>
      <c r="N644" s="7" t="str">
        <f t="shared" ref="N644:N707" si="57">IF(M644="","",M644*N$1)</f>
        <v/>
      </c>
      <c r="O644" s="8"/>
      <c r="P644" s="26"/>
      <c r="S644" s="10" t="str">
        <f t="shared" si="54"/>
        <v/>
      </c>
    </row>
    <row r="645" spans="5:19" x14ac:dyDescent="0.3">
      <c r="E645" s="9" t="str">
        <f>IF(DADOS!C645="","",DADOS!C645)</f>
        <v/>
      </c>
      <c r="F645" s="9" t="str">
        <f>IF(DADOS!E645="","",DADOS!E645)</f>
        <v/>
      </c>
      <c r="G645" s="9" t="str">
        <f>IF(DADOS!F645="","",DADOS!F645)</f>
        <v/>
      </c>
      <c r="K645" s="6" t="str">
        <f t="shared" si="55"/>
        <v/>
      </c>
      <c r="L645" s="7" t="str">
        <f t="shared" si="56"/>
        <v/>
      </c>
      <c r="M645" s="7" t="str">
        <f t="shared" si="53"/>
        <v/>
      </c>
      <c r="N645" s="7" t="str">
        <f t="shared" si="57"/>
        <v/>
      </c>
      <c r="O645" s="8"/>
      <c r="P645" s="26"/>
      <c r="S645" s="10" t="str">
        <f t="shared" si="54"/>
        <v/>
      </c>
    </row>
    <row r="646" spans="5:19" x14ac:dyDescent="0.3">
      <c r="E646" s="9" t="str">
        <f>IF(DADOS!C646="","",DADOS!C646)</f>
        <v/>
      </c>
      <c r="F646" s="9" t="str">
        <f>IF(DADOS!E646="","",DADOS!E646)</f>
        <v/>
      </c>
      <c r="G646" s="9" t="str">
        <f>IF(DADOS!F646="","",DADOS!F646)</f>
        <v/>
      </c>
      <c r="K646" s="6" t="str">
        <f t="shared" si="55"/>
        <v/>
      </c>
      <c r="L646" s="7" t="str">
        <f t="shared" si="56"/>
        <v/>
      </c>
      <c r="M646" s="7" t="str">
        <f t="shared" si="53"/>
        <v/>
      </c>
      <c r="N646" s="7" t="str">
        <f t="shared" si="57"/>
        <v/>
      </c>
      <c r="O646" s="8"/>
      <c r="P646" s="26"/>
      <c r="S646" s="10" t="str">
        <f t="shared" si="54"/>
        <v/>
      </c>
    </row>
    <row r="647" spans="5:19" x14ac:dyDescent="0.3">
      <c r="E647" s="9" t="str">
        <f>IF(DADOS!C647="","",DADOS!C647)</f>
        <v/>
      </c>
      <c r="F647" s="9" t="str">
        <f>IF(DADOS!E647="","",DADOS!E647)</f>
        <v/>
      </c>
      <c r="G647" s="9" t="str">
        <f>IF(DADOS!F647="","",DADOS!F647)</f>
        <v/>
      </c>
      <c r="K647" s="6" t="str">
        <f t="shared" si="55"/>
        <v/>
      </c>
      <c r="L647" s="7" t="str">
        <f t="shared" si="56"/>
        <v/>
      </c>
      <c r="M647" s="7" t="str">
        <f t="shared" si="53"/>
        <v/>
      </c>
      <c r="N647" s="7" t="str">
        <f t="shared" si="57"/>
        <v/>
      </c>
      <c r="O647" s="8"/>
      <c r="P647" s="26"/>
      <c r="S647" s="10" t="str">
        <f t="shared" si="54"/>
        <v/>
      </c>
    </row>
    <row r="648" spans="5:19" x14ac:dyDescent="0.3">
      <c r="E648" s="9" t="str">
        <f>IF(DADOS!C648="","",DADOS!C648)</f>
        <v/>
      </c>
      <c r="F648" s="9" t="str">
        <f>IF(DADOS!E648="","",DADOS!E648)</f>
        <v/>
      </c>
      <c r="G648" s="9" t="str">
        <f>IF(DADOS!F648="","",DADOS!F648)</f>
        <v/>
      </c>
      <c r="K648" s="6" t="str">
        <f t="shared" si="55"/>
        <v/>
      </c>
      <c r="L648" s="7" t="str">
        <f t="shared" si="56"/>
        <v/>
      </c>
      <c r="M648" s="7" t="str">
        <f t="shared" si="53"/>
        <v/>
      </c>
      <c r="N648" s="7" t="str">
        <f t="shared" si="57"/>
        <v/>
      </c>
      <c r="O648" s="8"/>
      <c r="P648" s="26"/>
      <c r="S648" s="10" t="str">
        <f t="shared" si="54"/>
        <v/>
      </c>
    </row>
    <row r="649" spans="5:19" x14ac:dyDescent="0.3">
      <c r="E649" s="9" t="str">
        <f>IF(DADOS!C649="","",DADOS!C649)</f>
        <v/>
      </c>
      <c r="F649" s="9" t="str">
        <f>IF(DADOS!E649="","",DADOS!E649)</f>
        <v/>
      </c>
      <c r="G649" s="9" t="str">
        <f>IF(DADOS!F649="","",DADOS!F649)</f>
        <v/>
      </c>
      <c r="K649" s="6" t="str">
        <f t="shared" si="55"/>
        <v/>
      </c>
      <c r="L649" s="7" t="str">
        <f t="shared" si="56"/>
        <v/>
      </c>
      <c r="M649" s="7" t="str">
        <f t="shared" si="53"/>
        <v/>
      </c>
      <c r="N649" s="7" t="str">
        <f t="shared" si="57"/>
        <v/>
      </c>
      <c r="O649" s="8"/>
      <c r="P649" s="26"/>
      <c r="S649" s="10" t="str">
        <f t="shared" si="54"/>
        <v/>
      </c>
    </row>
    <row r="650" spans="5:19" x14ac:dyDescent="0.3">
      <c r="E650" s="9" t="str">
        <f>IF(DADOS!C650="","",DADOS!C650)</f>
        <v/>
      </c>
      <c r="F650" s="9" t="str">
        <f>IF(DADOS!E650="","",DADOS!E650)</f>
        <v/>
      </c>
      <c r="G650" s="9" t="str">
        <f>IF(DADOS!F650="","",DADOS!F650)</f>
        <v/>
      </c>
      <c r="K650" s="6" t="str">
        <f t="shared" si="55"/>
        <v/>
      </c>
      <c r="L650" s="7" t="str">
        <f t="shared" si="56"/>
        <v/>
      </c>
      <c r="M650" s="7" t="str">
        <f t="shared" si="53"/>
        <v/>
      </c>
      <c r="N650" s="7" t="str">
        <f t="shared" si="57"/>
        <v/>
      </c>
      <c r="O650" s="8"/>
      <c r="P650" s="26"/>
      <c r="S650" s="10" t="str">
        <f t="shared" si="54"/>
        <v/>
      </c>
    </row>
    <row r="651" spans="5:19" x14ac:dyDescent="0.3">
      <c r="E651" s="9" t="str">
        <f>IF(DADOS!C651="","",DADOS!C651)</f>
        <v/>
      </c>
      <c r="F651" s="9" t="str">
        <f>IF(DADOS!E651="","",DADOS!E651)</f>
        <v/>
      </c>
      <c r="G651" s="9" t="str">
        <f>IF(DADOS!F651="","",DADOS!F651)</f>
        <v/>
      </c>
      <c r="K651" s="6" t="str">
        <f t="shared" si="55"/>
        <v/>
      </c>
      <c r="L651" s="7" t="str">
        <f t="shared" si="56"/>
        <v/>
      </c>
      <c r="M651" s="7" t="str">
        <f t="shared" si="53"/>
        <v/>
      </c>
      <c r="N651" s="7" t="str">
        <f t="shared" si="57"/>
        <v/>
      </c>
      <c r="O651" s="8"/>
      <c r="P651" s="26"/>
      <c r="S651" s="10" t="str">
        <f t="shared" si="54"/>
        <v/>
      </c>
    </row>
    <row r="652" spans="5:19" x14ac:dyDescent="0.3">
      <c r="E652" s="9" t="str">
        <f>IF(DADOS!C652="","",DADOS!C652)</f>
        <v/>
      </c>
      <c r="F652" s="9" t="str">
        <f>IF(DADOS!E652="","",DADOS!E652)</f>
        <v/>
      </c>
      <c r="G652" s="9" t="str">
        <f>IF(DADOS!F652="","",DADOS!F652)</f>
        <v/>
      </c>
      <c r="K652" s="6" t="str">
        <f t="shared" si="55"/>
        <v/>
      </c>
      <c r="L652" s="7" t="str">
        <f t="shared" si="56"/>
        <v/>
      </c>
      <c r="M652" s="7" t="str">
        <f t="shared" si="53"/>
        <v/>
      </c>
      <c r="N652" s="7" t="str">
        <f t="shared" si="57"/>
        <v/>
      </c>
      <c r="O652" s="8"/>
      <c r="P652" s="26"/>
      <c r="S652" s="10" t="str">
        <f t="shared" si="54"/>
        <v/>
      </c>
    </row>
    <row r="653" spans="5:19" x14ac:dyDescent="0.3">
      <c r="E653" s="9" t="str">
        <f>IF(DADOS!C653="","",DADOS!C653)</f>
        <v/>
      </c>
      <c r="F653" s="9" t="str">
        <f>IF(DADOS!E653="","",DADOS!E653)</f>
        <v/>
      </c>
      <c r="G653" s="9" t="str">
        <f>IF(DADOS!F653="","",DADOS!F653)</f>
        <v/>
      </c>
      <c r="K653" s="6" t="str">
        <f t="shared" si="55"/>
        <v/>
      </c>
      <c r="L653" s="7" t="str">
        <f t="shared" si="56"/>
        <v/>
      </c>
      <c r="M653" s="7" t="str">
        <f t="shared" si="53"/>
        <v/>
      </c>
      <c r="N653" s="7" t="str">
        <f t="shared" si="57"/>
        <v/>
      </c>
      <c r="O653" s="8"/>
      <c r="P653" s="26"/>
      <c r="S653" s="10" t="str">
        <f t="shared" si="54"/>
        <v/>
      </c>
    </row>
    <row r="654" spans="5:19" x14ac:dyDescent="0.3">
      <c r="E654" s="9" t="str">
        <f>IF(DADOS!C654="","",DADOS!C654)</f>
        <v/>
      </c>
      <c r="F654" s="9" t="str">
        <f>IF(DADOS!E654="","",DADOS!E654)</f>
        <v/>
      </c>
      <c r="G654" s="9" t="str">
        <f>IF(DADOS!F654="","",DADOS!F654)</f>
        <v/>
      </c>
      <c r="K654" s="6" t="str">
        <f t="shared" si="55"/>
        <v/>
      </c>
      <c r="L654" s="7" t="str">
        <f t="shared" si="56"/>
        <v/>
      </c>
      <c r="M654" s="7" t="str">
        <f t="shared" si="53"/>
        <v/>
      </c>
      <c r="N654" s="7" t="str">
        <f t="shared" si="57"/>
        <v/>
      </c>
      <c r="O654" s="8"/>
      <c r="P654" s="26"/>
      <c r="S654" s="10" t="str">
        <f t="shared" si="54"/>
        <v/>
      </c>
    </row>
    <row r="655" spans="5:19" x14ac:dyDescent="0.3">
      <c r="E655" s="9" t="str">
        <f>IF(DADOS!C655="","",DADOS!C655)</f>
        <v/>
      </c>
      <c r="F655" s="9" t="str">
        <f>IF(DADOS!E655="","",DADOS!E655)</f>
        <v/>
      </c>
      <c r="G655" s="9" t="str">
        <f>IF(DADOS!F655="","",DADOS!F655)</f>
        <v/>
      </c>
      <c r="K655" s="6" t="str">
        <f t="shared" si="55"/>
        <v/>
      </c>
      <c r="L655" s="7" t="str">
        <f t="shared" si="56"/>
        <v/>
      </c>
      <c r="M655" s="7" t="str">
        <f t="shared" si="53"/>
        <v/>
      </c>
      <c r="N655" s="7" t="str">
        <f t="shared" si="57"/>
        <v/>
      </c>
      <c r="O655" s="8"/>
      <c r="P655" s="26"/>
      <c r="S655" s="10" t="str">
        <f t="shared" si="54"/>
        <v/>
      </c>
    </row>
    <row r="656" spans="5:19" x14ac:dyDescent="0.3">
      <c r="E656" s="9" t="str">
        <f>IF(DADOS!C656="","",DADOS!C656)</f>
        <v/>
      </c>
      <c r="F656" s="9" t="str">
        <f>IF(DADOS!E656="","",DADOS!E656)</f>
        <v/>
      </c>
      <c r="G656" s="9" t="str">
        <f>IF(DADOS!F656="","",DADOS!F656)</f>
        <v/>
      </c>
      <c r="K656" s="6" t="str">
        <f t="shared" si="55"/>
        <v/>
      </c>
      <c r="L656" s="7" t="str">
        <f t="shared" si="56"/>
        <v/>
      </c>
      <c r="M656" s="7" t="str">
        <f t="shared" si="53"/>
        <v/>
      </c>
      <c r="N656" s="7" t="str">
        <f t="shared" si="57"/>
        <v/>
      </c>
      <c r="O656" s="8"/>
      <c r="P656" s="26"/>
      <c r="S656" s="10" t="str">
        <f t="shared" si="54"/>
        <v/>
      </c>
    </row>
    <row r="657" spans="5:19" x14ac:dyDescent="0.3">
      <c r="E657" s="9" t="str">
        <f>IF(DADOS!C657="","",DADOS!C657)</f>
        <v/>
      </c>
      <c r="F657" s="9" t="str">
        <f>IF(DADOS!E657="","",DADOS!E657)</f>
        <v/>
      </c>
      <c r="G657" s="9" t="str">
        <f>IF(DADOS!F657="","",DADOS!F657)</f>
        <v/>
      </c>
      <c r="K657" s="6" t="str">
        <f t="shared" si="55"/>
        <v/>
      </c>
      <c r="L657" s="7" t="str">
        <f t="shared" si="56"/>
        <v/>
      </c>
      <c r="M657" s="7" t="str">
        <f t="shared" si="53"/>
        <v/>
      </c>
      <c r="N657" s="7" t="str">
        <f t="shared" si="57"/>
        <v/>
      </c>
      <c r="O657" s="8"/>
      <c r="P657" s="26"/>
      <c r="S657" s="10" t="str">
        <f t="shared" si="54"/>
        <v/>
      </c>
    </row>
    <row r="658" spans="5:19" x14ac:dyDescent="0.3">
      <c r="E658" s="9" t="str">
        <f>IF(DADOS!C658="","",DADOS!C658)</f>
        <v/>
      </c>
      <c r="F658" s="9" t="str">
        <f>IF(DADOS!E658="","",DADOS!E658)</f>
        <v/>
      </c>
      <c r="G658" s="9" t="str">
        <f>IF(DADOS!F658="","",DADOS!F658)</f>
        <v/>
      </c>
      <c r="K658" s="6" t="str">
        <f t="shared" si="55"/>
        <v/>
      </c>
      <c r="L658" s="7" t="str">
        <f t="shared" si="56"/>
        <v/>
      </c>
      <c r="M658" s="7" t="str">
        <f t="shared" si="53"/>
        <v/>
      </c>
      <c r="N658" s="7" t="str">
        <f t="shared" si="57"/>
        <v/>
      </c>
      <c r="O658" s="8"/>
      <c r="P658" s="26"/>
      <c r="S658" s="10" t="str">
        <f t="shared" si="54"/>
        <v/>
      </c>
    </row>
    <row r="659" spans="5:19" x14ac:dyDescent="0.3">
      <c r="E659" s="9" t="str">
        <f>IF(DADOS!C659="","",DADOS!C659)</f>
        <v/>
      </c>
      <c r="F659" s="9" t="str">
        <f>IF(DADOS!E659="","",DADOS!E659)</f>
        <v/>
      </c>
      <c r="G659" s="9" t="str">
        <f>IF(DADOS!F659="","",DADOS!F659)</f>
        <v/>
      </c>
      <c r="K659" s="6" t="str">
        <f t="shared" si="55"/>
        <v/>
      </c>
      <c r="L659" s="7" t="str">
        <f t="shared" si="56"/>
        <v/>
      </c>
      <c r="M659" s="7" t="str">
        <f t="shared" si="53"/>
        <v/>
      </c>
      <c r="N659" s="7" t="str">
        <f t="shared" si="57"/>
        <v/>
      </c>
      <c r="O659" s="8"/>
      <c r="P659" s="26"/>
      <c r="S659" s="10" t="str">
        <f t="shared" si="54"/>
        <v/>
      </c>
    </row>
    <row r="660" spans="5:19" x14ac:dyDescent="0.3">
      <c r="E660" s="9" t="str">
        <f>IF(DADOS!C660="","",DADOS!C660)</f>
        <v/>
      </c>
      <c r="F660" s="9" t="str">
        <f>IF(DADOS!E660="","",DADOS!E660)</f>
        <v/>
      </c>
      <c r="G660" s="9" t="str">
        <f>IF(DADOS!F660="","",DADOS!F660)</f>
        <v/>
      </c>
      <c r="K660" s="6" t="str">
        <f t="shared" si="55"/>
        <v/>
      </c>
      <c r="L660" s="7" t="str">
        <f t="shared" si="56"/>
        <v/>
      </c>
      <c r="M660" s="7" t="str">
        <f t="shared" si="53"/>
        <v/>
      </c>
      <c r="N660" s="7" t="str">
        <f t="shared" si="57"/>
        <v/>
      </c>
      <c r="O660" s="8"/>
      <c r="P660" s="26"/>
      <c r="S660" s="10" t="str">
        <f t="shared" si="54"/>
        <v/>
      </c>
    </row>
    <row r="661" spans="5:19" x14ac:dyDescent="0.3">
      <c r="E661" s="9" t="str">
        <f>IF(DADOS!C661="","",DADOS!C661)</f>
        <v/>
      </c>
      <c r="F661" s="9" t="str">
        <f>IF(DADOS!E661="","",DADOS!E661)</f>
        <v/>
      </c>
      <c r="G661" s="9" t="str">
        <f>IF(DADOS!F661="","",DADOS!F661)</f>
        <v/>
      </c>
      <c r="K661" s="6" t="str">
        <f t="shared" si="55"/>
        <v/>
      </c>
      <c r="L661" s="7" t="str">
        <f t="shared" si="56"/>
        <v/>
      </c>
      <c r="M661" s="7" t="str">
        <f t="shared" si="53"/>
        <v/>
      </c>
      <c r="N661" s="7" t="str">
        <f t="shared" si="57"/>
        <v/>
      </c>
      <c r="O661" s="8"/>
      <c r="P661" s="26"/>
      <c r="S661" s="10" t="str">
        <f t="shared" si="54"/>
        <v/>
      </c>
    </row>
    <row r="662" spans="5:19" x14ac:dyDescent="0.3">
      <c r="E662" s="9" t="str">
        <f>IF(DADOS!C662="","",DADOS!C662)</f>
        <v/>
      </c>
      <c r="F662" s="9" t="str">
        <f>IF(DADOS!E662="","",DADOS!E662)</f>
        <v/>
      </c>
      <c r="G662" s="9" t="str">
        <f>IF(DADOS!F662="","",DADOS!F662)</f>
        <v/>
      </c>
      <c r="K662" s="6" t="str">
        <f t="shared" si="55"/>
        <v/>
      </c>
      <c r="L662" s="7" t="str">
        <f t="shared" si="56"/>
        <v/>
      </c>
      <c r="M662" s="7" t="str">
        <f t="shared" si="53"/>
        <v/>
      </c>
      <c r="N662" s="7" t="str">
        <f t="shared" si="57"/>
        <v/>
      </c>
      <c r="O662" s="8"/>
      <c r="P662" s="26"/>
      <c r="S662" s="10" t="str">
        <f t="shared" si="54"/>
        <v/>
      </c>
    </row>
    <row r="663" spans="5:19" x14ac:dyDescent="0.3">
      <c r="E663" s="9" t="str">
        <f>IF(DADOS!C663="","",DADOS!C663)</f>
        <v/>
      </c>
      <c r="F663" s="9" t="str">
        <f>IF(DADOS!E663="","",DADOS!E663)</f>
        <v/>
      </c>
      <c r="G663" s="9" t="str">
        <f>IF(DADOS!F663="","",DADOS!F663)</f>
        <v/>
      </c>
      <c r="K663" s="6" t="str">
        <f t="shared" si="55"/>
        <v/>
      </c>
      <c r="L663" s="7" t="str">
        <f t="shared" si="56"/>
        <v/>
      </c>
      <c r="M663" s="7" t="str">
        <f t="shared" si="53"/>
        <v/>
      </c>
      <c r="N663" s="7" t="str">
        <f t="shared" si="57"/>
        <v/>
      </c>
      <c r="O663" s="8"/>
      <c r="P663" s="26"/>
      <c r="S663" s="10" t="str">
        <f t="shared" si="54"/>
        <v/>
      </c>
    </row>
    <row r="664" spans="5:19" x14ac:dyDescent="0.3">
      <c r="E664" s="9" t="str">
        <f>IF(DADOS!C664="","",DADOS!C664)</f>
        <v/>
      </c>
      <c r="F664" s="9" t="str">
        <f>IF(DADOS!E664="","",DADOS!E664)</f>
        <v/>
      </c>
      <c r="G664" s="9" t="str">
        <f>IF(DADOS!F664="","",DADOS!F664)</f>
        <v/>
      </c>
      <c r="K664" s="6" t="str">
        <f t="shared" si="55"/>
        <v/>
      </c>
      <c r="L664" s="7" t="str">
        <f t="shared" si="56"/>
        <v/>
      </c>
      <c r="M664" s="7" t="str">
        <f t="shared" si="53"/>
        <v/>
      </c>
      <c r="N664" s="7" t="str">
        <f t="shared" si="57"/>
        <v/>
      </c>
      <c r="O664" s="8"/>
      <c r="P664" s="26"/>
      <c r="S664" s="10" t="str">
        <f t="shared" si="54"/>
        <v/>
      </c>
    </row>
    <row r="665" spans="5:19" x14ac:dyDescent="0.3">
      <c r="E665" s="9" t="str">
        <f>IF(DADOS!C665="","",DADOS!C665)</f>
        <v/>
      </c>
      <c r="F665" s="9" t="str">
        <f>IF(DADOS!E665="","",DADOS!E665)</f>
        <v/>
      </c>
      <c r="G665" s="9" t="str">
        <f>IF(DADOS!F665="","",DADOS!F665)</f>
        <v/>
      </c>
      <c r="K665" s="6" t="str">
        <f t="shared" si="55"/>
        <v/>
      </c>
      <c r="L665" s="7" t="str">
        <f t="shared" si="56"/>
        <v/>
      </c>
      <c r="M665" s="7" t="str">
        <f t="shared" si="53"/>
        <v/>
      </c>
      <c r="N665" s="7" t="str">
        <f t="shared" si="57"/>
        <v/>
      </c>
      <c r="O665" s="8"/>
      <c r="P665" s="26"/>
      <c r="S665" s="10" t="str">
        <f t="shared" si="54"/>
        <v/>
      </c>
    </row>
    <row r="666" spans="5:19" x14ac:dyDescent="0.3">
      <c r="E666" s="9" t="str">
        <f>IF(DADOS!C666="","",DADOS!C666)</f>
        <v/>
      </c>
      <c r="F666" s="9" t="str">
        <f>IF(DADOS!E666="","",DADOS!E666)</f>
        <v/>
      </c>
      <c r="G666" s="9" t="str">
        <f>IF(DADOS!F666="","",DADOS!F666)</f>
        <v/>
      </c>
      <c r="K666" s="6" t="str">
        <f t="shared" si="55"/>
        <v/>
      </c>
      <c r="L666" s="7" t="str">
        <f t="shared" si="56"/>
        <v/>
      </c>
      <c r="M666" s="7" t="str">
        <f t="shared" si="53"/>
        <v/>
      </c>
      <c r="N666" s="7" t="str">
        <f t="shared" si="57"/>
        <v/>
      </c>
      <c r="O666" s="8"/>
      <c r="P666" s="26"/>
      <c r="S666" s="10" t="str">
        <f t="shared" si="54"/>
        <v/>
      </c>
    </row>
    <row r="667" spans="5:19" x14ac:dyDescent="0.3">
      <c r="E667" s="9" t="str">
        <f>IF(DADOS!C667="","",DADOS!C667)</f>
        <v/>
      </c>
      <c r="F667" s="9" t="str">
        <f>IF(DADOS!E667="","",DADOS!E667)</f>
        <v/>
      </c>
      <c r="G667" s="9" t="str">
        <f>IF(DADOS!F667="","",DADOS!F667)</f>
        <v/>
      </c>
      <c r="K667" s="6" t="str">
        <f t="shared" si="55"/>
        <v/>
      </c>
      <c r="L667" s="7" t="str">
        <f t="shared" si="56"/>
        <v/>
      </c>
      <c r="M667" s="7" t="str">
        <f t="shared" si="53"/>
        <v/>
      </c>
      <c r="N667" s="7" t="str">
        <f t="shared" si="57"/>
        <v/>
      </c>
      <c r="O667" s="8"/>
      <c r="P667" s="26"/>
      <c r="S667" s="10" t="str">
        <f t="shared" si="54"/>
        <v/>
      </c>
    </row>
    <row r="668" spans="5:19" x14ac:dyDescent="0.3">
      <c r="E668" s="9" t="str">
        <f>IF(DADOS!C668="","",DADOS!C668)</f>
        <v/>
      </c>
      <c r="F668" s="9" t="str">
        <f>IF(DADOS!E668="","",DADOS!E668)</f>
        <v/>
      </c>
      <c r="G668" s="9" t="str">
        <f>IF(DADOS!F668="","",DADOS!F668)</f>
        <v/>
      </c>
      <c r="K668" s="6" t="str">
        <f t="shared" si="55"/>
        <v/>
      </c>
      <c r="L668" s="7" t="str">
        <f t="shared" si="56"/>
        <v/>
      </c>
      <c r="M668" s="7" t="str">
        <f t="shared" si="53"/>
        <v/>
      </c>
      <c r="N668" s="7" t="str">
        <f t="shared" si="57"/>
        <v/>
      </c>
      <c r="O668" s="8"/>
      <c r="P668" s="26"/>
      <c r="S668" s="10" t="str">
        <f t="shared" si="54"/>
        <v/>
      </c>
    </row>
    <row r="669" spans="5:19" x14ac:dyDescent="0.3">
      <c r="E669" s="9" t="str">
        <f>IF(DADOS!C669="","",DADOS!C669)</f>
        <v/>
      </c>
      <c r="F669" s="9" t="str">
        <f>IF(DADOS!E669="","",DADOS!E669)</f>
        <v/>
      </c>
      <c r="G669" s="9" t="str">
        <f>IF(DADOS!F669="","",DADOS!F669)</f>
        <v/>
      </c>
      <c r="K669" s="6" t="str">
        <f t="shared" si="55"/>
        <v/>
      </c>
      <c r="L669" s="7" t="str">
        <f t="shared" si="56"/>
        <v/>
      </c>
      <c r="M669" s="7" t="str">
        <f t="shared" si="53"/>
        <v/>
      </c>
      <c r="N669" s="7" t="str">
        <f t="shared" si="57"/>
        <v/>
      </c>
      <c r="O669" s="8"/>
      <c r="P669" s="26"/>
      <c r="S669" s="10" t="str">
        <f t="shared" si="54"/>
        <v/>
      </c>
    </row>
    <row r="670" spans="5:19" x14ac:dyDescent="0.3">
      <c r="E670" s="9" t="str">
        <f>IF(DADOS!C670="","",DADOS!C670)</f>
        <v/>
      </c>
      <c r="F670" s="9" t="str">
        <f>IF(DADOS!E670="","",DADOS!E670)</f>
        <v/>
      </c>
      <c r="G670" s="9" t="str">
        <f>IF(DADOS!F670="","",DADOS!F670)</f>
        <v/>
      </c>
      <c r="K670" s="6" t="str">
        <f t="shared" si="55"/>
        <v/>
      </c>
      <c r="L670" s="7" t="str">
        <f t="shared" si="56"/>
        <v/>
      </c>
      <c r="M670" s="7" t="str">
        <f t="shared" si="53"/>
        <v/>
      </c>
      <c r="N670" s="7" t="str">
        <f t="shared" si="57"/>
        <v/>
      </c>
      <c r="O670" s="8"/>
      <c r="P670" s="26"/>
      <c r="S670" s="10" t="str">
        <f t="shared" si="54"/>
        <v/>
      </c>
    </row>
    <row r="671" spans="5:19" x14ac:dyDescent="0.3">
      <c r="E671" s="9" t="str">
        <f>IF(DADOS!C671="","",DADOS!C671)</f>
        <v/>
      </c>
      <c r="F671" s="9" t="str">
        <f>IF(DADOS!E671="","",DADOS!E671)</f>
        <v/>
      </c>
      <c r="G671" s="9" t="str">
        <f>IF(DADOS!F671="","",DADOS!F671)</f>
        <v/>
      </c>
      <c r="K671" s="6" t="str">
        <f t="shared" si="55"/>
        <v/>
      </c>
      <c r="L671" s="7" t="str">
        <f t="shared" si="56"/>
        <v/>
      </c>
      <c r="M671" s="7" t="str">
        <f t="shared" si="53"/>
        <v/>
      </c>
      <c r="N671" s="7" t="str">
        <f t="shared" si="57"/>
        <v/>
      </c>
      <c r="O671" s="8"/>
      <c r="P671" s="26"/>
      <c r="S671" s="10" t="str">
        <f t="shared" si="54"/>
        <v/>
      </c>
    </row>
    <row r="672" spans="5:19" x14ac:dyDescent="0.3">
      <c r="E672" s="9" t="str">
        <f>IF(DADOS!C672="","",DADOS!C672)</f>
        <v/>
      </c>
      <c r="F672" s="9" t="str">
        <f>IF(DADOS!E672="","",DADOS!E672)</f>
        <v/>
      </c>
      <c r="G672" s="9" t="str">
        <f>IF(DADOS!F672="","",DADOS!F672)</f>
        <v/>
      </c>
      <c r="K672" s="6" t="str">
        <f t="shared" si="55"/>
        <v/>
      </c>
      <c r="L672" s="7" t="str">
        <f t="shared" si="56"/>
        <v/>
      </c>
      <c r="M672" s="7" t="str">
        <f t="shared" si="53"/>
        <v/>
      </c>
      <c r="N672" s="7" t="str">
        <f t="shared" si="57"/>
        <v/>
      </c>
      <c r="O672" s="8"/>
      <c r="P672" s="26"/>
      <c r="S672" s="10" t="str">
        <f t="shared" si="54"/>
        <v/>
      </c>
    </row>
    <row r="673" spans="5:19" x14ac:dyDescent="0.3">
      <c r="E673" s="9" t="str">
        <f>IF(DADOS!C673="","",DADOS!C673)</f>
        <v/>
      </c>
      <c r="F673" s="9" t="str">
        <f>IF(DADOS!E673="","",DADOS!E673)</f>
        <v/>
      </c>
      <c r="G673" s="9" t="str">
        <f>IF(DADOS!F673="","",DADOS!F673)</f>
        <v/>
      </c>
      <c r="K673" s="6" t="str">
        <f t="shared" si="55"/>
        <v/>
      </c>
      <c r="L673" s="7" t="str">
        <f t="shared" si="56"/>
        <v/>
      </c>
      <c r="M673" s="7" t="str">
        <f t="shared" si="53"/>
        <v/>
      </c>
      <c r="N673" s="7" t="str">
        <f t="shared" si="57"/>
        <v/>
      </c>
      <c r="O673" s="8"/>
      <c r="P673" s="26"/>
      <c r="S673" s="10" t="str">
        <f t="shared" si="54"/>
        <v/>
      </c>
    </row>
    <row r="674" spans="5:19" x14ac:dyDescent="0.3">
      <c r="E674" s="9" t="str">
        <f>IF(DADOS!C674="","",DADOS!C674)</f>
        <v/>
      </c>
      <c r="F674" s="9" t="str">
        <f>IF(DADOS!E674="","",DADOS!E674)</f>
        <v/>
      </c>
      <c r="G674" s="9" t="str">
        <f>IF(DADOS!F674="","",DADOS!F674)</f>
        <v/>
      </c>
      <c r="K674" s="6" t="str">
        <f t="shared" si="55"/>
        <v/>
      </c>
      <c r="L674" s="7" t="str">
        <f t="shared" si="56"/>
        <v/>
      </c>
      <c r="M674" s="7" t="str">
        <f t="shared" si="53"/>
        <v/>
      </c>
      <c r="N674" s="7" t="str">
        <f t="shared" si="57"/>
        <v/>
      </c>
      <c r="O674" s="8"/>
      <c r="P674" s="26"/>
      <c r="S674" s="10" t="str">
        <f t="shared" si="54"/>
        <v/>
      </c>
    </row>
    <row r="675" spans="5:19" x14ac:dyDescent="0.3">
      <c r="E675" s="9" t="str">
        <f>IF(DADOS!C675="","",DADOS!C675)</f>
        <v/>
      </c>
      <c r="F675" s="9" t="str">
        <f>IF(DADOS!E675="","",DADOS!E675)</f>
        <v/>
      </c>
      <c r="G675" s="9" t="str">
        <f>IF(DADOS!F675="","",DADOS!F675)</f>
        <v/>
      </c>
      <c r="K675" s="6" t="str">
        <f t="shared" si="55"/>
        <v/>
      </c>
      <c r="L675" s="7" t="str">
        <f t="shared" si="56"/>
        <v/>
      </c>
      <c r="M675" s="7" t="str">
        <f t="shared" si="53"/>
        <v/>
      </c>
      <c r="N675" s="7" t="str">
        <f t="shared" si="57"/>
        <v/>
      </c>
      <c r="O675" s="8"/>
      <c r="P675" s="26"/>
      <c r="S675" s="10" t="str">
        <f t="shared" si="54"/>
        <v/>
      </c>
    </row>
    <row r="676" spans="5:19" x14ac:dyDescent="0.3">
      <c r="E676" s="9" t="str">
        <f>IF(DADOS!C676="","",DADOS!C676)</f>
        <v/>
      </c>
      <c r="F676" s="9" t="str">
        <f>IF(DADOS!E676="","",DADOS!E676)</f>
        <v/>
      </c>
      <c r="G676" s="9" t="str">
        <f>IF(DADOS!F676="","",DADOS!F676)</f>
        <v/>
      </c>
      <c r="K676" s="6" t="str">
        <f t="shared" si="55"/>
        <v/>
      </c>
      <c r="L676" s="7" t="str">
        <f t="shared" si="56"/>
        <v/>
      </c>
      <c r="M676" s="7" t="str">
        <f t="shared" si="53"/>
        <v/>
      </c>
      <c r="N676" s="7" t="str">
        <f t="shared" si="57"/>
        <v/>
      </c>
      <c r="O676" s="8"/>
      <c r="P676" s="26"/>
      <c r="S676" s="10" t="str">
        <f t="shared" si="54"/>
        <v/>
      </c>
    </row>
    <row r="677" spans="5:19" x14ac:dyDescent="0.3">
      <c r="E677" s="9" t="str">
        <f>IF(DADOS!C677="","",DADOS!C677)</f>
        <v/>
      </c>
      <c r="F677" s="9" t="str">
        <f>IF(DADOS!E677="","",DADOS!E677)</f>
        <v/>
      </c>
      <c r="G677" s="9" t="str">
        <f>IF(DADOS!F677="","",DADOS!F677)</f>
        <v/>
      </c>
      <c r="K677" s="6" t="str">
        <f t="shared" si="55"/>
        <v/>
      </c>
      <c r="L677" s="7" t="str">
        <f t="shared" si="56"/>
        <v/>
      </c>
      <c r="M677" s="7" t="str">
        <f t="shared" si="53"/>
        <v/>
      </c>
      <c r="N677" s="7" t="str">
        <f t="shared" si="57"/>
        <v/>
      </c>
      <c r="O677" s="8"/>
      <c r="P677" s="26"/>
      <c r="S677" s="10" t="str">
        <f t="shared" si="54"/>
        <v/>
      </c>
    </row>
    <row r="678" spans="5:19" x14ac:dyDescent="0.3">
      <c r="E678" s="9" t="str">
        <f>IF(DADOS!C678="","",DADOS!C678)</f>
        <v/>
      </c>
      <c r="F678" s="9" t="str">
        <f>IF(DADOS!E678="","",DADOS!E678)</f>
        <v/>
      </c>
      <c r="G678" s="9" t="str">
        <f>IF(DADOS!F678="","",DADOS!F678)</f>
        <v/>
      </c>
      <c r="K678" s="6" t="str">
        <f t="shared" si="55"/>
        <v/>
      </c>
      <c r="L678" s="7" t="str">
        <f t="shared" si="56"/>
        <v/>
      </c>
      <c r="M678" s="7" t="str">
        <f t="shared" si="53"/>
        <v/>
      </c>
      <c r="N678" s="7" t="str">
        <f t="shared" si="57"/>
        <v/>
      </c>
      <c r="O678" s="8"/>
      <c r="P678" s="26"/>
      <c r="S678" s="10" t="str">
        <f t="shared" si="54"/>
        <v/>
      </c>
    </row>
    <row r="679" spans="5:19" x14ac:dyDescent="0.3">
      <c r="E679" s="9" t="str">
        <f>IF(DADOS!C679="","",DADOS!C679)</f>
        <v/>
      </c>
      <c r="F679" s="9" t="str">
        <f>IF(DADOS!E679="","",DADOS!E679)</f>
        <v/>
      </c>
      <c r="G679" s="9" t="str">
        <f>IF(DADOS!F679="","",DADOS!F679)</f>
        <v/>
      </c>
      <c r="K679" s="6" t="str">
        <f t="shared" si="55"/>
        <v/>
      </c>
      <c r="L679" s="7" t="str">
        <f t="shared" si="56"/>
        <v/>
      </c>
      <c r="M679" s="7" t="str">
        <f t="shared" si="53"/>
        <v/>
      </c>
      <c r="N679" s="7" t="str">
        <f t="shared" si="57"/>
        <v/>
      </c>
      <c r="O679" s="8"/>
      <c r="P679" s="26"/>
      <c r="S679" s="10" t="str">
        <f t="shared" si="54"/>
        <v/>
      </c>
    </row>
    <row r="680" spans="5:19" x14ac:dyDescent="0.3">
      <c r="E680" s="9" t="str">
        <f>IF(DADOS!C680="","",DADOS!C680)</f>
        <v/>
      </c>
      <c r="F680" s="9" t="str">
        <f>IF(DADOS!E680="","",DADOS!E680)</f>
        <v/>
      </c>
      <c r="G680" s="9" t="str">
        <f>IF(DADOS!F680="","",DADOS!F680)</f>
        <v/>
      </c>
      <c r="K680" s="6" t="str">
        <f t="shared" si="55"/>
        <v/>
      </c>
      <c r="L680" s="7" t="str">
        <f t="shared" si="56"/>
        <v/>
      </c>
      <c r="M680" s="7" t="str">
        <f t="shared" si="53"/>
        <v/>
      </c>
      <c r="N680" s="7" t="str">
        <f t="shared" si="57"/>
        <v/>
      </c>
      <c r="O680" s="8"/>
      <c r="P680" s="26"/>
      <c r="S680" s="10" t="str">
        <f t="shared" si="54"/>
        <v/>
      </c>
    </row>
    <row r="681" spans="5:19" x14ac:dyDescent="0.3">
      <c r="E681" s="9" t="str">
        <f>IF(DADOS!C681="","",DADOS!C681)</f>
        <v/>
      </c>
      <c r="F681" s="9" t="str">
        <f>IF(DADOS!E681="","",DADOS!E681)</f>
        <v/>
      </c>
      <c r="G681" s="9" t="str">
        <f>IF(DADOS!F681="","",DADOS!F681)</f>
        <v/>
      </c>
      <c r="K681" s="6" t="str">
        <f t="shared" si="55"/>
        <v/>
      </c>
      <c r="L681" s="7" t="str">
        <f t="shared" si="56"/>
        <v/>
      </c>
      <c r="M681" s="7" t="str">
        <f t="shared" si="53"/>
        <v/>
      </c>
      <c r="N681" s="7" t="str">
        <f t="shared" si="57"/>
        <v/>
      </c>
      <c r="O681" s="8"/>
      <c r="P681" s="26"/>
      <c r="S681" s="10" t="str">
        <f t="shared" si="54"/>
        <v/>
      </c>
    </row>
    <row r="682" spans="5:19" x14ac:dyDescent="0.3">
      <c r="E682" s="9" t="str">
        <f>IF(DADOS!C682="","",DADOS!C682)</f>
        <v/>
      </c>
      <c r="F682" s="9" t="str">
        <f>IF(DADOS!E682="","",DADOS!E682)</f>
        <v/>
      </c>
      <c r="G682" s="9" t="str">
        <f>IF(DADOS!F682="","",DADOS!F682)</f>
        <v/>
      </c>
      <c r="K682" s="6" t="str">
        <f t="shared" si="55"/>
        <v/>
      </c>
      <c r="L682" s="7" t="str">
        <f t="shared" si="56"/>
        <v/>
      </c>
      <c r="M682" s="7" t="str">
        <f t="shared" si="53"/>
        <v/>
      </c>
      <c r="N682" s="7" t="str">
        <f t="shared" si="57"/>
        <v/>
      </c>
      <c r="O682" s="8"/>
      <c r="P682" s="26"/>
      <c r="S682" s="10" t="str">
        <f t="shared" si="54"/>
        <v/>
      </c>
    </row>
    <row r="683" spans="5:19" x14ac:dyDescent="0.3">
      <c r="E683" s="9" t="str">
        <f>IF(DADOS!C683="","",DADOS!C683)</f>
        <v/>
      </c>
      <c r="F683" s="9" t="str">
        <f>IF(DADOS!E683="","",DADOS!E683)</f>
        <v/>
      </c>
      <c r="G683" s="9" t="str">
        <f>IF(DADOS!F683="","",DADOS!F683)</f>
        <v/>
      </c>
      <c r="K683" s="6" t="str">
        <f t="shared" si="55"/>
        <v/>
      </c>
      <c r="L683" s="7" t="str">
        <f t="shared" si="56"/>
        <v/>
      </c>
      <c r="M683" s="7" t="str">
        <f t="shared" si="53"/>
        <v/>
      </c>
      <c r="N683" s="7" t="str">
        <f t="shared" si="57"/>
        <v/>
      </c>
      <c r="O683" s="8"/>
      <c r="P683" s="26"/>
      <c r="S683" s="10" t="str">
        <f t="shared" si="54"/>
        <v/>
      </c>
    </row>
    <row r="684" spans="5:19" x14ac:dyDescent="0.3">
      <c r="E684" s="9" t="str">
        <f>IF(DADOS!C684="","",DADOS!C684)</f>
        <v/>
      </c>
      <c r="F684" s="9" t="str">
        <f>IF(DADOS!E684="","",DADOS!E684)</f>
        <v/>
      </c>
      <c r="G684" s="9" t="str">
        <f>IF(DADOS!F684="","",DADOS!F684)</f>
        <v/>
      </c>
      <c r="K684" s="6" t="str">
        <f t="shared" si="55"/>
        <v/>
      </c>
      <c r="L684" s="7" t="str">
        <f t="shared" si="56"/>
        <v/>
      </c>
      <c r="M684" s="7" t="str">
        <f t="shared" si="53"/>
        <v/>
      </c>
      <c r="N684" s="7" t="str">
        <f t="shared" si="57"/>
        <v/>
      </c>
      <c r="O684" s="8"/>
      <c r="P684" s="26"/>
      <c r="S684" s="10" t="str">
        <f t="shared" si="54"/>
        <v/>
      </c>
    </row>
    <row r="685" spans="5:19" x14ac:dyDescent="0.3">
      <c r="E685" s="9" t="str">
        <f>IF(DADOS!C685="","",DADOS!C685)</f>
        <v/>
      </c>
      <c r="F685" s="9" t="str">
        <f>IF(DADOS!E685="","",DADOS!E685)</f>
        <v/>
      </c>
      <c r="G685" s="9" t="str">
        <f>IF(DADOS!F685="","",DADOS!F685)</f>
        <v/>
      </c>
      <c r="K685" s="6" t="str">
        <f t="shared" si="55"/>
        <v/>
      </c>
      <c r="L685" s="7" t="str">
        <f t="shared" si="56"/>
        <v/>
      </c>
      <c r="M685" s="7" t="str">
        <f t="shared" si="53"/>
        <v/>
      </c>
      <c r="N685" s="7" t="str">
        <f t="shared" si="57"/>
        <v/>
      </c>
      <c r="O685" s="8"/>
      <c r="P685" s="26"/>
      <c r="S685" s="10" t="str">
        <f t="shared" si="54"/>
        <v/>
      </c>
    </row>
    <row r="686" spans="5:19" x14ac:dyDescent="0.3">
      <c r="E686" s="9" t="str">
        <f>IF(DADOS!C686="","",DADOS!C686)</f>
        <v/>
      </c>
      <c r="F686" s="9" t="str">
        <f>IF(DADOS!E686="","",DADOS!E686)</f>
        <v/>
      </c>
      <c r="G686" s="9" t="str">
        <f>IF(DADOS!F686="","",DADOS!F686)</f>
        <v/>
      </c>
      <c r="K686" s="6" t="str">
        <f t="shared" si="55"/>
        <v/>
      </c>
      <c r="L686" s="7" t="str">
        <f t="shared" si="56"/>
        <v/>
      </c>
      <c r="M686" s="7" t="str">
        <f t="shared" si="53"/>
        <v/>
      </c>
      <c r="N686" s="7" t="str">
        <f t="shared" si="57"/>
        <v/>
      </c>
      <c r="O686" s="8"/>
      <c r="P686" s="26"/>
      <c r="S686" s="10" t="str">
        <f t="shared" si="54"/>
        <v/>
      </c>
    </row>
    <row r="687" spans="5:19" x14ac:dyDescent="0.3">
      <c r="E687" s="9" t="str">
        <f>IF(DADOS!C687="","",DADOS!C687)</f>
        <v/>
      </c>
      <c r="F687" s="9" t="str">
        <f>IF(DADOS!E687="","",DADOS!E687)</f>
        <v/>
      </c>
      <c r="G687" s="9" t="str">
        <f>IF(DADOS!F687="","",DADOS!F687)</f>
        <v/>
      </c>
      <c r="K687" s="6" t="str">
        <f t="shared" si="55"/>
        <v/>
      </c>
      <c r="L687" s="7" t="str">
        <f t="shared" si="56"/>
        <v/>
      </c>
      <c r="M687" s="7" t="str">
        <f t="shared" si="53"/>
        <v/>
      </c>
      <c r="N687" s="7" t="str">
        <f t="shared" si="57"/>
        <v/>
      </c>
      <c r="O687" s="8"/>
      <c r="P687" s="26"/>
      <c r="S687" s="10" t="str">
        <f t="shared" si="54"/>
        <v/>
      </c>
    </row>
    <row r="688" spans="5:19" x14ac:dyDescent="0.3">
      <c r="E688" s="9" t="str">
        <f>IF(DADOS!C688="","",DADOS!C688)</f>
        <v/>
      </c>
      <c r="F688" s="9" t="str">
        <f>IF(DADOS!E688="","",DADOS!E688)</f>
        <v/>
      </c>
      <c r="G688" s="9" t="str">
        <f>IF(DADOS!F688="","",DADOS!F688)</f>
        <v/>
      </c>
      <c r="K688" s="6" t="str">
        <f t="shared" si="55"/>
        <v/>
      </c>
      <c r="L688" s="7" t="str">
        <f t="shared" si="56"/>
        <v/>
      </c>
      <c r="M688" s="7" t="str">
        <f t="shared" si="53"/>
        <v/>
      </c>
      <c r="N688" s="7" t="str">
        <f t="shared" si="57"/>
        <v/>
      </c>
      <c r="O688" s="8"/>
      <c r="P688" s="26"/>
      <c r="S688" s="10" t="str">
        <f t="shared" si="54"/>
        <v/>
      </c>
    </row>
    <row r="689" spans="5:19" x14ac:dyDescent="0.3">
      <c r="E689" s="9" t="str">
        <f>IF(DADOS!C689="","",DADOS!C689)</f>
        <v/>
      </c>
      <c r="F689" s="9" t="str">
        <f>IF(DADOS!E689="","",DADOS!E689)</f>
        <v/>
      </c>
      <c r="G689" s="9" t="str">
        <f>IF(DADOS!F689="","",DADOS!F689)</f>
        <v/>
      </c>
      <c r="K689" s="6" t="str">
        <f t="shared" si="55"/>
        <v/>
      </c>
      <c r="L689" s="7" t="str">
        <f t="shared" si="56"/>
        <v/>
      </c>
      <c r="M689" s="7" t="str">
        <f t="shared" si="53"/>
        <v/>
      </c>
      <c r="N689" s="7" t="str">
        <f t="shared" si="57"/>
        <v/>
      </c>
      <c r="O689" s="8"/>
      <c r="P689" s="26"/>
      <c r="S689" s="10" t="str">
        <f t="shared" si="54"/>
        <v/>
      </c>
    </row>
    <row r="690" spans="5:19" x14ac:dyDescent="0.3">
      <c r="E690" s="9" t="str">
        <f>IF(DADOS!C690="","",DADOS!C690)</f>
        <v/>
      </c>
      <c r="F690" s="9" t="str">
        <f>IF(DADOS!E690="","",DADOS!E690)</f>
        <v/>
      </c>
      <c r="G690" s="9" t="str">
        <f>IF(DADOS!F690="","",DADOS!F690)</f>
        <v/>
      </c>
      <c r="K690" s="6" t="str">
        <f t="shared" si="55"/>
        <v/>
      </c>
      <c r="L690" s="7" t="str">
        <f t="shared" si="56"/>
        <v/>
      </c>
      <c r="M690" s="7" t="str">
        <f t="shared" si="53"/>
        <v/>
      </c>
      <c r="N690" s="7" t="str">
        <f t="shared" si="57"/>
        <v/>
      </c>
      <c r="O690" s="8"/>
      <c r="P690" s="26"/>
      <c r="S690" s="10" t="str">
        <f t="shared" si="54"/>
        <v/>
      </c>
    </row>
    <row r="691" spans="5:19" x14ac:dyDescent="0.3">
      <c r="E691" s="9" t="str">
        <f>IF(DADOS!C691="","",DADOS!C691)</f>
        <v/>
      </c>
      <c r="F691" s="9" t="str">
        <f>IF(DADOS!E691="","",DADOS!E691)</f>
        <v/>
      </c>
      <c r="G691" s="9" t="str">
        <f>IF(DADOS!F691="","",DADOS!F691)</f>
        <v/>
      </c>
      <c r="K691" s="6" t="str">
        <f t="shared" si="55"/>
        <v/>
      </c>
      <c r="L691" s="7" t="str">
        <f t="shared" si="56"/>
        <v/>
      </c>
      <c r="M691" s="7" t="str">
        <f t="shared" si="53"/>
        <v/>
      </c>
      <c r="N691" s="7" t="str">
        <f t="shared" si="57"/>
        <v/>
      </c>
      <c r="O691" s="8"/>
      <c r="P691" s="26"/>
      <c r="S691" s="10" t="str">
        <f t="shared" si="54"/>
        <v/>
      </c>
    </row>
    <row r="692" spans="5:19" x14ac:dyDescent="0.3">
      <c r="E692" s="9" t="str">
        <f>IF(DADOS!C692="","",DADOS!C692)</f>
        <v/>
      </c>
      <c r="F692" s="9" t="str">
        <f>IF(DADOS!E692="","",DADOS!E692)</f>
        <v/>
      </c>
      <c r="G692" s="9" t="str">
        <f>IF(DADOS!F692="","",DADOS!F692)</f>
        <v/>
      </c>
      <c r="K692" s="6" t="str">
        <f t="shared" si="55"/>
        <v/>
      </c>
      <c r="L692" s="7" t="str">
        <f t="shared" si="56"/>
        <v/>
      </c>
      <c r="M692" s="7" t="str">
        <f t="shared" si="53"/>
        <v/>
      </c>
      <c r="N692" s="7" t="str">
        <f t="shared" si="57"/>
        <v/>
      </c>
      <c r="O692" s="8"/>
      <c r="P692" s="26"/>
      <c r="S692" s="10" t="str">
        <f t="shared" si="54"/>
        <v/>
      </c>
    </row>
    <row r="693" spans="5:19" x14ac:dyDescent="0.3">
      <c r="E693" s="9" t="str">
        <f>IF(DADOS!C693="","",DADOS!C693)</f>
        <v/>
      </c>
      <c r="F693" s="9" t="str">
        <f>IF(DADOS!E693="","",DADOS!E693)</f>
        <v/>
      </c>
      <c r="G693" s="9" t="str">
        <f>IF(DADOS!F693="","",DADOS!F693)</f>
        <v/>
      </c>
      <c r="K693" s="6" t="str">
        <f t="shared" si="55"/>
        <v/>
      </c>
      <c r="L693" s="7" t="str">
        <f t="shared" si="56"/>
        <v/>
      </c>
      <c r="M693" s="7" t="str">
        <f t="shared" si="53"/>
        <v/>
      </c>
      <c r="N693" s="7" t="str">
        <f t="shared" si="57"/>
        <v/>
      </c>
      <c r="O693" s="8"/>
      <c r="P693" s="26"/>
      <c r="S693" s="10" t="str">
        <f t="shared" si="54"/>
        <v/>
      </c>
    </row>
    <row r="694" spans="5:19" x14ac:dyDescent="0.3">
      <c r="E694" s="9" t="str">
        <f>IF(DADOS!C694="","",DADOS!C694)</f>
        <v/>
      </c>
      <c r="F694" s="9" t="str">
        <f>IF(DADOS!E694="","",DADOS!E694)</f>
        <v/>
      </c>
      <c r="G694" s="9" t="str">
        <f>IF(DADOS!F694="","",DADOS!F694)</f>
        <v/>
      </c>
      <c r="K694" s="6" t="str">
        <f t="shared" si="55"/>
        <v/>
      </c>
      <c r="L694" s="7" t="str">
        <f t="shared" si="56"/>
        <v/>
      </c>
      <c r="M694" s="7" t="str">
        <f t="shared" si="53"/>
        <v/>
      </c>
      <c r="N694" s="7" t="str">
        <f t="shared" si="57"/>
        <v/>
      </c>
      <c r="O694" s="8"/>
      <c r="P694" s="26"/>
      <c r="S694" s="10" t="str">
        <f t="shared" si="54"/>
        <v/>
      </c>
    </row>
    <row r="695" spans="5:19" x14ac:dyDescent="0.3">
      <c r="E695" s="9" t="str">
        <f>IF(DADOS!C695="","",DADOS!C695)</f>
        <v/>
      </c>
      <c r="F695" s="9" t="str">
        <f>IF(DADOS!E695="","",DADOS!E695)</f>
        <v/>
      </c>
      <c r="G695" s="9" t="str">
        <f>IF(DADOS!F695="","",DADOS!F695)</f>
        <v/>
      </c>
      <c r="K695" s="6" t="str">
        <f t="shared" si="55"/>
        <v/>
      </c>
      <c r="L695" s="7" t="str">
        <f t="shared" si="56"/>
        <v/>
      </c>
      <c r="M695" s="7" t="str">
        <f t="shared" si="53"/>
        <v/>
      </c>
      <c r="N695" s="7" t="str">
        <f t="shared" si="57"/>
        <v/>
      </c>
      <c r="O695" s="8"/>
      <c r="P695" s="26"/>
      <c r="S695" s="10" t="str">
        <f t="shared" si="54"/>
        <v/>
      </c>
    </row>
    <row r="696" spans="5:19" x14ac:dyDescent="0.3">
      <c r="E696" s="9" t="str">
        <f>IF(DADOS!C696="","",DADOS!C696)</f>
        <v/>
      </c>
      <c r="F696" s="9" t="str">
        <f>IF(DADOS!E696="","",DADOS!E696)</f>
        <v/>
      </c>
      <c r="G696" s="9" t="str">
        <f>IF(DADOS!F696="","",DADOS!F696)</f>
        <v/>
      </c>
      <c r="K696" s="6" t="str">
        <f t="shared" si="55"/>
        <v/>
      </c>
      <c r="L696" s="7" t="str">
        <f t="shared" si="56"/>
        <v/>
      </c>
      <c r="M696" s="7" t="str">
        <f t="shared" si="53"/>
        <v/>
      </c>
      <c r="N696" s="7" t="str">
        <f t="shared" si="57"/>
        <v/>
      </c>
      <c r="O696" s="8"/>
      <c r="P696" s="26"/>
      <c r="S696" s="10" t="str">
        <f t="shared" si="54"/>
        <v/>
      </c>
    </row>
    <row r="697" spans="5:19" x14ac:dyDescent="0.3">
      <c r="E697" s="9" t="str">
        <f>IF(DADOS!C697="","",DADOS!C697)</f>
        <v/>
      </c>
      <c r="F697" s="9" t="str">
        <f>IF(DADOS!E697="","",DADOS!E697)</f>
        <v/>
      </c>
      <c r="G697" s="9" t="str">
        <f>IF(DADOS!F697="","",DADOS!F697)</f>
        <v/>
      </c>
      <c r="K697" s="6" t="str">
        <f t="shared" si="55"/>
        <v/>
      </c>
      <c r="L697" s="7" t="str">
        <f t="shared" si="56"/>
        <v/>
      </c>
      <c r="M697" s="7" t="str">
        <f t="shared" si="53"/>
        <v/>
      </c>
      <c r="N697" s="7" t="str">
        <f t="shared" si="57"/>
        <v/>
      </c>
      <c r="O697" s="8"/>
      <c r="P697" s="26"/>
      <c r="S697" s="10" t="str">
        <f t="shared" si="54"/>
        <v/>
      </c>
    </row>
    <row r="698" spans="5:19" x14ac:dyDescent="0.3">
      <c r="E698" s="9" t="str">
        <f>IF(DADOS!C698="","",DADOS!C698)</f>
        <v/>
      </c>
      <c r="F698" s="9" t="str">
        <f>IF(DADOS!E698="","",DADOS!E698)</f>
        <v/>
      </c>
      <c r="G698" s="9" t="str">
        <f>IF(DADOS!F698="","",DADOS!F698)</f>
        <v/>
      </c>
      <c r="K698" s="6" t="str">
        <f t="shared" si="55"/>
        <v/>
      </c>
      <c r="L698" s="7" t="str">
        <f t="shared" si="56"/>
        <v/>
      </c>
      <c r="M698" s="7" t="str">
        <f t="shared" si="53"/>
        <v/>
      </c>
      <c r="N698" s="7" t="str">
        <f t="shared" si="57"/>
        <v/>
      </c>
      <c r="O698" s="8"/>
      <c r="P698" s="26"/>
      <c r="S698" s="10" t="str">
        <f t="shared" si="54"/>
        <v/>
      </c>
    </row>
    <row r="699" spans="5:19" x14ac:dyDescent="0.3">
      <c r="E699" s="9" t="str">
        <f>IF(DADOS!C699="","",DADOS!C699)</f>
        <v/>
      </c>
      <c r="F699" s="9" t="str">
        <f>IF(DADOS!E699="","",DADOS!E699)</f>
        <v/>
      </c>
      <c r="G699" s="9" t="str">
        <f>IF(DADOS!F699="","",DADOS!F699)</f>
        <v/>
      </c>
      <c r="K699" s="6" t="str">
        <f t="shared" si="55"/>
        <v/>
      </c>
      <c r="L699" s="7" t="str">
        <f t="shared" si="56"/>
        <v/>
      </c>
      <c r="M699" s="7" t="str">
        <f t="shared" si="53"/>
        <v/>
      </c>
      <c r="N699" s="7" t="str">
        <f t="shared" si="57"/>
        <v/>
      </c>
      <c r="O699" s="8"/>
      <c r="P699" s="26"/>
      <c r="S699" s="10" t="str">
        <f t="shared" si="54"/>
        <v/>
      </c>
    </row>
    <row r="700" spans="5:19" x14ac:dyDescent="0.3">
      <c r="E700" s="9" t="str">
        <f>IF(DADOS!C700="","",DADOS!C700)</f>
        <v/>
      </c>
      <c r="F700" s="9" t="str">
        <f>IF(DADOS!E700="","",DADOS!E700)</f>
        <v/>
      </c>
      <c r="G700" s="9" t="str">
        <f>IF(DADOS!F700="","",DADOS!F700)</f>
        <v/>
      </c>
      <c r="K700" s="6" t="str">
        <f t="shared" si="55"/>
        <v/>
      </c>
      <c r="L700" s="7" t="str">
        <f t="shared" si="56"/>
        <v/>
      </c>
      <c r="M700" s="7" t="str">
        <f t="shared" si="53"/>
        <v/>
      </c>
      <c r="N700" s="7" t="str">
        <f t="shared" si="57"/>
        <v/>
      </c>
      <c r="O700" s="8"/>
      <c r="P700" s="26"/>
      <c r="S700" s="10" t="str">
        <f t="shared" si="54"/>
        <v/>
      </c>
    </row>
    <row r="701" spans="5:19" x14ac:dyDescent="0.3">
      <c r="E701" s="9" t="str">
        <f>IF(DADOS!C701="","",DADOS!C701)</f>
        <v/>
      </c>
      <c r="F701" s="9" t="str">
        <f>IF(DADOS!E701="","",DADOS!E701)</f>
        <v/>
      </c>
      <c r="G701" s="9" t="str">
        <f>IF(DADOS!F701="","",DADOS!F701)</f>
        <v/>
      </c>
      <c r="K701" s="6" t="str">
        <f t="shared" si="55"/>
        <v/>
      </c>
      <c r="L701" s="7" t="str">
        <f t="shared" si="56"/>
        <v/>
      </c>
      <c r="M701" s="7" t="str">
        <f t="shared" si="53"/>
        <v/>
      </c>
      <c r="N701" s="7" t="str">
        <f t="shared" si="57"/>
        <v/>
      </c>
      <c r="O701" s="8"/>
      <c r="P701" s="26"/>
      <c r="S701" s="10" t="str">
        <f t="shared" si="54"/>
        <v/>
      </c>
    </row>
    <row r="702" spans="5:19" x14ac:dyDescent="0.3">
      <c r="E702" s="9" t="str">
        <f>IF(DADOS!C702="","",DADOS!C702)</f>
        <v/>
      </c>
      <c r="F702" s="9" t="str">
        <f>IF(DADOS!E702="","",DADOS!E702)</f>
        <v/>
      </c>
      <c r="G702" s="9" t="str">
        <f>IF(DADOS!F702="","",DADOS!F702)</f>
        <v/>
      </c>
      <c r="K702" s="6" t="str">
        <f t="shared" si="55"/>
        <v/>
      </c>
      <c r="L702" s="7" t="str">
        <f t="shared" si="56"/>
        <v/>
      </c>
      <c r="M702" s="7" t="str">
        <f t="shared" si="53"/>
        <v/>
      </c>
      <c r="N702" s="7" t="str">
        <f t="shared" si="57"/>
        <v/>
      </c>
      <c r="O702" s="8"/>
      <c r="P702" s="26"/>
      <c r="S702" s="10" t="str">
        <f t="shared" si="54"/>
        <v/>
      </c>
    </row>
    <row r="703" spans="5:19" x14ac:dyDescent="0.3">
      <c r="E703" s="9" t="str">
        <f>IF(DADOS!C703="","",DADOS!C703)</f>
        <v/>
      </c>
      <c r="F703" s="9" t="str">
        <f>IF(DADOS!E703="","",DADOS!E703)</f>
        <v/>
      </c>
      <c r="G703" s="9" t="str">
        <f>IF(DADOS!F703="","",DADOS!F703)</f>
        <v/>
      </c>
      <c r="K703" s="6" t="str">
        <f t="shared" si="55"/>
        <v/>
      </c>
      <c r="L703" s="7" t="str">
        <f t="shared" si="56"/>
        <v/>
      </c>
      <c r="M703" s="7" t="str">
        <f t="shared" si="53"/>
        <v/>
      </c>
      <c r="N703" s="7" t="str">
        <f t="shared" si="57"/>
        <v/>
      </c>
      <c r="O703" s="8"/>
      <c r="P703" s="26"/>
      <c r="S703" s="10" t="str">
        <f t="shared" si="54"/>
        <v/>
      </c>
    </row>
    <row r="704" spans="5:19" x14ac:dyDescent="0.3">
      <c r="E704" s="9" t="str">
        <f>IF(DADOS!C704="","",DADOS!C704)</f>
        <v/>
      </c>
      <c r="F704" s="9" t="str">
        <f>IF(DADOS!E704="","",DADOS!E704)</f>
        <v/>
      </c>
      <c r="G704" s="9" t="str">
        <f>IF(DADOS!F704="","",DADOS!F704)</f>
        <v/>
      </c>
      <c r="K704" s="6" t="str">
        <f t="shared" si="55"/>
        <v/>
      </c>
      <c r="L704" s="7" t="str">
        <f t="shared" si="56"/>
        <v/>
      </c>
      <c r="M704" s="7" t="str">
        <f t="shared" si="53"/>
        <v/>
      </c>
      <c r="N704" s="7" t="str">
        <f t="shared" si="57"/>
        <v/>
      </c>
      <c r="O704" s="8"/>
      <c r="P704" s="26"/>
      <c r="S704" s="10" t="str">
        <f t="shared" si="54"/>
        <v/>
      </c>
    </row>
    <row r="705" spans="5:19" x14ac:dyDescent="0.3">
      <c r="E705" s="9" t="str">
        <f>IF(DADOS!C705="","",DADOS!C705)</f>
        <v/>
      </c>
      <c r="F705" s="9" t="str">
        <f>IF(DADOS!E705="","",DADOS!E705)</f>
        <v/>
      </c>
      <c r="G705" s="9" t="str">
        <f>IF(DADOS!F705="","",DADOS!F705)</f>
        <v/>
      </c>
      <c r="K705" s="6" t="str">
        <f t="shared" si="55"/>
        <v/>
      </c>
      <c r="L705" s="7" t="str">
        <f t="shared" si="56"/>
        <v/>
      </c>
      <c r="M705" s="7" t="str">
        <f t="shared" si="53"/>
        <v/>
      </c>
      <c r="N705" s="7" t="str">
        <f t="shared" si="57"/>
        <v/>
      </c>
      <c r="O705" s="8"/>
      <c r="P705" s="26"/>
      <c r="S705" s="10" t="str">
        <f t="shared" si="54"/>
        <v/>
      </c>
    </row>
    <row r="706" spans="5:19" x14ac:dyDescent="0.3">
      <c r="E706" s="9" t="str">
        <f>IF(DADOS!C706="","",DADOS!C706)</f>
        <v/>
      </c>
      <c r="F706" s="9" t="str">
        <f>IF(DADOS!E706="","",DADOS!E706)</f>
        <v/>
      </c>
      <c r="G706" s="9" t="str">
        <f>IF(DADOS!F706="","",DADOS!F706)</f>
        <v/>
      </c>
      <c r="K706" s="6" t="str">
        <f t="shared" si="55"/>
        <v/>
      </c>
      <c r="L706" s="7" t="str">
        <f t="shared" si="56"/>
        <v/>
      </c>
      <c r="M706" s="7" t="str">
        <f t="shared" si="53"/>
        <v/>
      </c>
      <c r="N706" s="7" t="str">
        <f t="shared" si="57"/>
        <v/>
      </c>
      <c r="O706" s="8"/>
      <c r="P706" s="26"/>
      <c r="S706" s="10" t="str">
        <f t="shared" si="54"/>
        <v/>
      </c>
    </row>
    <row r="707" spans="5:19" x14ac:dyDescent="0.3">
      <c r="E707" s="9" t="str">
        <f>IF(DADOS!C707="","",DADOS!C707)</f>
        <v/>
      </c>
      <c r="F707" s="9" t="str">
        <f>IF(DADOS!E707="","",DADOS!E707)</f>
        <v/>
      </c>
      <c r="G707" s="9" t="str">
        <f>IF(DADOS!F707="","",DADOS!F707)</f>
        <v/>
      </c>
      <c r="K707" s="6" t="str">
        <f t="shared" si="55"/>
        <v/>
      </c>
      <c r="L707" s="7" t="str">
        <f t="shared" si="56"/>
        <v/>
      </c>
      <c r="M707" s="7" t="str">
        <f t="shared" ref="M707:M770" si="58">IF(L707="","",L707*G707)</f>
        <v/>
      </c>
      <c r="N707" s="7" t="str">
        <f t="shared" si="57"/>
        <v/>
      </c>
      <c r="O707" s="8"/>
      <c r="P707" s="26"/>
      <c r="S707" s="10" t="str">
        <f t="shared" ref="S707:S770" si="59">IF(R707="","",SUMIFS($N$3:$N$10000,$E$3:$E$10000,R707))</f>
        <v/>
      </c>
    </row>
    <row r="708" spans="5:19" x14ac:dyDescent="0.3">
      <c r="E708" s="9" t="str">
        <f>IF(DADOS!C708="","",DADOS!C708)</f>
        <v/>
      </c>
      <c r="F708" s="9" t="str">
        <f>IF(DADOS!E708="","",DADOS!E708)</f>
        <v/>
      </c>
      <c r="G708" s="9" t="str">
        <f>IF(DADOS!F708="","",DADOS!F708)</f>
        <v/>
      </c>
      <c r="K708" s="6" t="str">
        <f t="shared" ref="K708:K771" si="60">IF(F708="","",F708/PI())</f>
        <v/>
      </c>
      <c r="L708" s="7" t="str">
        <f t="shared" ref="L708:L771" si="61">IF(K708="","",(PI()*K708^2)/40000)</f>
        <v/>
      </c>
      <c r="M708" s="7" t="str">
        <f t="shared" si="58"/>
        <v/>
      </c>
      <c r="N708" s="7" t="str">
        <f t="shared" ref="N708:N771" si="62">IF(M708="","",M708*N$1)</f>
        <v/>
      </c>
      <c r="O708" s="8"/>
      <c r="P708" s="26"/>
      <c r="S708" s="10" t="str">
        <f t="shared" si="59"/>
        <v/>
      </c>
    </row>
    <row r="709" spans="5:19" x14ac:dyDescent="0.3">
      <c r="E709" s="9" t="str">
        <f>IF(DADOS!C709="","",DADOS!C709)</f>
        <v/>
      </c>
      <c r="F709" s="9" t="str">
        <f>IF(DADOS!E709="","",DADOS!E709)</f>
        <v/>
      </c>
      <c r="G709" s="9" t="str">
        <f>IF(DADOS!F709="","",DADOS!F709)</f>
        <v/>
      </c>
      <c r="K709" s="6" t="str">
        <f t="shared" si="60"/>
        <v/>
      </c>
      <c r="L709" s="7" t="str">
        <f t="shared" si="61"/>
        <v/>
      </c>
      <c r="M709" s="7" t="str">
        <f t="shared" si="58"/>
        <v/>
      </c>
      <c r="N709" s="7" t="str">
        <f t="shared" si="62"/>
        <v/>
      </c>
      <c r="O709" s="8"/>
      <c r="P709" s="26"/>
      <c r="S709" s="10" t="str">
        <f t="shared" si="59"/>
        <v/>
      </c>
    </row>
    <row r="710" spans="5:19" x14ac:dyDescent="0.3">
      <c r="E710" s="9" t="str">
        <f>IF(DADOS!C710="","",DADOS!C710)</f>
        <v/>
      </c>
      <c r="F710" s="9" t="str">
        <f>IF(DADOS!E710="","",DADOS!E710)</f>
        <v/>
      </c>
      <c r="G710" s="9" t="str">
        <f>IF(DADOS!F710="","",DADOS!F710)</f>
        <v/>
      </c>
      <c r="K710" s="6" t="str">
        <f t="shared" si="60"/>
        <v/>
      </c>
      <c r="L710" s="7" t="str">
        <f t="shared" si="61"/>
        <v/>
      </c>
      <c r="M710" s="7" t="str">
        <f t="shared" si="58"/>
        <v/>
      </c>
      <c r="N710" s="7" t="str">
        <f t="shared" si="62"/>
        <v/>
      </c>
      <c r="O710" s="8"/>
      <c r="P710" s="26"/>
      <c r="S710" s="10" t="str">
        <f t="shared" si="59"/>
        <v/>
      </c>
    </row>
    <row r="711" spans="5:19" x14ac:dyDescent="0.3">
      <c r="E711" s="9" t="str">
        <f>IF(DADOS!C711="","",DADOS!C711)</f>
        <v/>
      </c>
      <c r="F711" s="9" t="str">
        <f>IF(DADOS!E711="","",DADOS!E711)</f>
        <v/>
      </c>
      <c r="G711" s="9" t="str">
        <f>IF(DADOS!F711="","",DADOS!F711)</f>
        <v/>
      </c>
      <c r="K711" s="6" t="str">
        <f t="shared" si="60"/>
        <v/>
      </c>
      <c r="L711" s="7" t="str">
        <f t="shared" si="61"/>
        <v/>
      </c>
      <c r="M711" s="7" t="str">
        <f t="shared" si="58"/>
        <v/>
      </c>
      <c r="N711" s="7" t="str">
        <f t="shared" si="62"/>
        <v/>
      </c>
      <c r="O711" s="8"/>
      <c r="P711" s="26"/>
      <c r="S711" s="10" t="str">
        <f t="shared" si="59"/>
        <v/>
      </c>
    </row>
    <row r="712" spans="5:19" x14ac:dyDescent="0.3">
      <c r="E712" s="9" t="str">
        <f>IF(DADOS!C712="","",DADOS!C712)</f>
        <v/>
      </c>
      <c r="F712" s="9" t="str">
        <f>IF(DADOS!E712="","",DADOS!E712)</f>
        <v/>
      </c>
      <c r="G712" s="9" t="str">
        <f>IF(DADOS!F712="","",DADOS!F712)</f>
        <v/>
      </c>
      <c r="K712" s="6" t="str">
        <f t="shared" si="60"/>
        <v/>
      </c>
      <c r="L712" s="7" t="str">
        <f t="shared" si="61"/>
        <v/>
      </c>
      <c r="M712" s="7" t="str">
        <f t="shared" si="58"/>
        <v/>
      </c>
      <c r="N712" s="7" t="str">
        <f t="shared" si="62"/>
        <v/>
      </c>
      <c r="O712" s="8"/>
      <c r="P712" s="26"/>
      <c r="S712" s="10" t="str">
        <f t="shared" si="59"/>
        <v/>
      </c>
    </row>
    <row r="713" spans="5:19" x14ac:dyDescent="0.3">
      <c r="E713" s="9" t="str">
        <f>IF(DADOS!C713="","",DADOS!C713)</f>
        <v/>
      </c>
      <c r="F713" s="9" t="str">
        <f>IF(DADOS!E713="","",DADOS!E713)</f>
        <v/>
      </c>
      <c r="G713" s="9" t="str">
        <f>IF(DADOS!F713="","",DADOS!F713)</f>
        <v/>
      </c>
      <c r="K713" s="6" t="str">
        <f t="shared" si="60"/>
        <v/>
      </c>
      <c r="L713" s="7" t="str">
        <f t="shared" si="61"/>
        <v/>
      </c>
      <c r="M713" s="7" t="str">
        <f t="shared" si="58"/>
        <v/>
      </c>
      <c r="N713" s="7" t="str">
        <f t="shared" si="62"/>
        <v/>
      </c>
      <c r="O713" s="8"/>
      <c r="P713" s="26"/>
      <c r="S713" s="10" t="str">
        <f t="shared" si="59"/>
        <v/>
      </c>
    </row>
    <row r="714" spans="5:19" x14ac:dyDescent="0.3">
      <c r="E714" s="9" t="str">
        <f>IF(DADOS!C714="","",DADOS!C714)</f>
        <v/>
      </c>
      <c r="F714" s="9" t="str">
        <f>IF(DADOS!E714="","",DADOS!E714)</f>
        <v/>
      </c>
      <c r="G714" s="9" t="str">
        <f>IF(DADOS!F714="","",DADOS!F714)</f>
        <v/>
      </c>
      <c r="K714" s="6" t="str">
        <f t="shared" si="60"/>
        <v/>
      </c>
      <c r="L714" s="7" t="str">
        <f t="shared" si="61"/>
        <v/>
      </c>
      <c r="M714" s="7" t="str">
        <f t="shared" si="58"/>
        <v/>
      </c>
      <c r="N714" s="7" t="str">
        <f t="shared" si="62"/>
        <v/>
      </c>
      <c r="O714" s="8"/>
      <c r="P714" s="26"/>
      <c r="S714" s="10" t="str">
        <f t="shared" si="59"/>
        <v/>
      </c>
    </row>
    <row r="715" spans="5:19" x14ac:dyDescent="0.3">
      <c r="E715" s="9" t="str">
        <f>IF(DADOS!C715="","",DADOS!C715)</f>
        <v/>
      </c>
      <c r="F715" s="9" t="str">
        <f>IF(DADOS!E715="","",DADOS!E715)</f>
        <v/>
      </c>
      <c r="G715" s="9" t="str">
        <f>IF(DADOS!F715="","",DADOS!F715)</f>
        <v/>
      </c>
      <c r="K715" s="6" t="str">
        <f t="shared" si="60"/>
        <v/>
      </c>
      <c r="L715" s="7" t="str">
        <f t="shared" si="61"/>
        <v/>
      </c>
      <c r="M715" s="7" t="str">
        <f t="shared" si="58"/>
        <v/>
      </c>
      <c r="N715" s="7" t="str">
        <f t="shared" si="62"/>
        <v/>
      </c>
      <c r="O715" s="8"/>
      <c r="P715" s="26"/>
      <c r="S715" s="10" t="str">
        <f t="shared" si="59"/>
        <v/>
      </c>
    </row>
    <row r="716" spans="5:19" x14ac:dyDescent="0.3">
      <c r="E716" s="9" t="str">
        <f>IF(DADOS!C716="","",DADOS!C716)</f>
        <v/>
      </c>
      <c r="F716" s="9" t="str">
        <f>IF(DADOS!E716="","",DADOS!E716)</f>
        <v/>
      </c>
      <c r="G716" s="9" t="str">
        <f>IF(DADOS!F716="","",DADOS!F716)</f>
        <v/>
      </c>
      <c r="K716" s="6" t="str">
        <f t="shared" si="60"/>
        <v/>
      </c>
      <c r="L716" s="7" t="str">
        <f t="shared" si="61"/>
        <v/>
      </c>
      <c r="M716" s="7" t="str">
        <f t="shared" si="58"/>
        <v/>
      </c>
      <c r="N716" s="7" t="str">
        <f t="shared" si="62"/>
        <v/>
      </c>
      <c r="O716" s="8"/>
      <c r="P716" s="26"/>
      <c r="S716" s="10" t="str">
        <f t="shared" si="59"/>
        <v/>
      </c>
    </row>
    <row r="717" spans="5:19" x14ac:dyDescent="0.3">
      <c r="E717" s="9" t="str">
        <f>IF(DADOS!C717="","",DADOS!C717)</f>
        <v/>
      </c>
      <c r="F717" s="9" t="str">
        <f>IF(DADOS!E717="","",DADOS!E717)</f>
        <v/>
      </c>
      <c r="G717" s="9" t="str">
        <f>IF(DADOS!F717="","",DADOS!F717)</f>
        <v/>
      </c>
      <c r="K717" s="6" t="str">
        <f t="shared" si="60"/>
        <v/>
      </c>
      <c r="L717" s="7" t="str">
        <f t="shared" si="61"/>
        <v/>
      </c>
      <c r="M717" s="7" t="str">
        <f t="shared" si="58"/>
        <v/>
      </c>
      <c r="N717" s="7" t="str">
        <f t="shared" si="62"/>
        <v/>
      </c>
      <c r="O717" s="8"/>
      <c r="P717" s="26"/>
      <c r="S717" s="10" t="str">
        <f t="shared" si="59"/>
        <v/>
      </c>
    </row>
    <row r="718" spans="5:19" x14ac:dyDescent="0.3">
      <c r="E718" s="9" t="str">
        <f>IF(DADOS!C718="","",DADOS!C718)</f>
        <v/>
      </c>
      <c r="F718" s="9" t="str">
        <f>IF(DADOS!E718="","",DADOS!E718)</f>
        <v/>
      </c>
      <c r="G718" s="9" t="str">
        <f>IF(DADOS!F718="","",DADOS!F718)</f>
        <v/>
      </c>
      <c r="K718" s="6" t="str">
        <f t="shared" si="60"/>
        <v/>
      </c>
      <c r="L718" s="7" t="str">
        <f t="shared" si="61"/>
        <v/>
      </c>
      <c r="M718" s="7" t="str">
        <f t="shared" si="58"/>
        <v/>
      </c>
      <c r="N718" s="7" t="str">
        <f t="shared" si="62"/>
        <v/>
      </c>
      <c r="O718" s="8"/>
      <c r="P718" s="26"/>
      <c r="S718" s="10" t="str">
        <f t="shared" si="59"/>
        <v/>
      </c>
    </row>
    <row r="719" spans="5:19" x14ac:dyDescent="0.3">
      <c r="E719" s="9" t="str">
        <f>IF(DADOS!C719="","",DADOS!C719)</f>
        <v/>
      </c>
      <c r="F719" s="9" t="str">
        <f>IF(DADOS!E719="","",DADOS!E719)</f>
        <v/>
      </c>
      <c r="G719" s="9" t="str">
        <f>IF(DADOS!F719="","",DADOS!F719)</f>
        <v/>
      </c>
      <c r="K719" s="6" t="str">
        <f t="shared" si="60"/>
        <v/>
      </c>
      <c r="L719" s="7" t="str">
        <f t="shared" si="61"/>
        <v/>
      </c>
      <c r="M719" s="7" t="str">
        <f t="shared" si="58"/>
        <v/>
      </c>
      <c r="N719" s="7" t="str">
        <f t="shared" si="62"/>
        <v/>
      </c>
      <c r="O719" s="8"/>
      <c r="P719" s="26"/>
      <c r="S719" s="10" t="str">
        <f t="shared" si="59"/>
        <v/>
      </c>
    </row>
    <row r="720" spans="5:19" x14ac:dyDescent="0.3">
      <c r="E720" s="9" t="str">
        <f>IF(DADOS!C720="","",DADOS!C720)</f>
        <v/>
      </c>
      <c r="F720" s="9" t="str">
        <f>IF(DADOS!E720="","",DADOS!E720)</f>
        <v/>
      </c>
      <c r="G720" s="9" t="str">
        <f>IF(DADOS!F720="","",DADOS!F720)</f>
        <v/>
      </c>
      <c r="K720" s="6" t="str">
        <f t="shared" si="60"/>
        <v/>
      </c>
      <c r="L720" s="7" t="str">
        <f t="shared" si="61"/>
        <v/>
      </c>
      <c r="M720" s="7" t="str">
        <f t="shared" si="58"/>
        <v/>
      </c>
      <c r="N720" s="7" t="str">
        <f t="shared" si="62"/>
        <v/>
      </c>
      <c r="O720" s="8"/>
      <c r="P720" s="26"/>
      <c r="S720" s="10" t="str">
        <f t="shared" si="59"/>
        <v/>
      </c>
    </row>
    <row r="721" spans="5:19" x14ac:dyDescent="0.3">
      <c r="E721" s="9" t="str">
        <f>IF(DADOS!C721="","",DADOS!C721)</f>
        <v/>
      </c>
      <c r="F721" s="9" t="str">
        <f>IF(DADOS!E721="","",DADOS!E721)</f>
        <v/>
      </c>
      <c r="G721" s="9" t="str">
        <f>IF(DADOS!F721="","",DADOS!F721)</f>
        <v/>
      </c>
      <c r="K721" s="6" t="str">
        <f t="shared" si="60"/>
        <v/>
      </c>
      <c r="L721" s="7" t="str">
        <f t="shared" si="61"/>
        <v/>
      </c>
      <c r="M721" s="7" t="str">
        <f t="shared" si="58"/>
        <v/>
      </c>
      <c r="N721" s="7" t="str">
        <f t="shared" si="62"/>
        <v/>
      </c>
      <c r="O721" s="8"/>
      <c r="P721" s="26"/>
      <c r="S721" s="10" t="str">
        <f t="shared" si="59"/>
        <v/>
      </c>
    </row>
    <row r="722" spans="5:19" x14ac:dyDescent="0.3">
      <c r="E722" s="9" t="str">
        <f>IF(DADOS!C722="","",DADOS!C722)</f>
        <v/>
      </c>
      <c r="F722" s="9" t="str">
        <f>IF(DADOS!E722="","",DADOS!E722)</f>
        <v/>
      </c>
      <c r="G722" s="9" t="str">
        <f>IF(DADOS!F722="","",DADOS!F722)</f>
        <v/>
      </c>
      <c r="K722" s="6" t="str">
        <f t="shared" si="60"/>
        <v/>
      </c>
      <c r="L722" s="7" t="str">
        <f t="shared" si="61"/>
        <v/>
      </c>
      <c r="M722" s="7" t="str">
        <f t="shared" si="58"/>
        <v/>
      </c>
      <c r="N722" s="7" t="str">
        <f t="shared" si="62"/>
        <v/>
      </c>
      <c r="O722" s="8"/>
      <c r="P722" s="26"/>
      <c r="S722" s="10" t="str">
        <f t="shared" si="59"/>
        <v/>
      </c>
    </row>
    <row r="723" spans="5:19" x14ac:dyDescent="0.3">
      <c r="E723" s="9" t="str">
        <f>IF(DADOS!C723="","",DADOS!C723)</f>
        <v/>
      </c>
      <c r="F723" s="9" t="str">
        <f>IF(DADOS!E723="","",DADOS!E723)</f>
        <v/>
      </c>
      <c r="G723" s="9" t="str">
        <f>IF(DADOS!F723="","",DADOS!F723)</f>
        <v/>
      </c>
      <c r="K723" s="6" t="str">
        <f t="shared" si="60"/>
        <v/>
      </c>
      <c r="L723" s="7" t="str">
        <f t="shared" si="61"/>
        <v/>
      </c>
      <c r="M723" s="7" t="str">
        <f t="shared" si="58"/>
        <v/>
      </c>
      <c r="N723" s="7" t="str">
        <f t="shared" si="62"/>
        <v/>
      </c>
      <c r="O723" s="8"/>
      <c r="P723" s="26"/>
      <c r="S723" s="10" t="str">
        <f t="shared" si="59"/>
        <v/>
      </c>
    </row>
    <row r="724" spans="5:19" x14ac:dyDescent="0.3">
      <c r="E724" s="9" t="str">
        <f>IF(DADOS!C724="","",DADOS!C724)</f>
        <v/>
      </c>
      <c r="F724" s="9" t="str">
        <f>IF(DADOS!E724="","",DADOS!E724)</f>
        <v/>
      </c>
      <c r="G724" s="9" t="str">
        <f>IF(DADOS!F724="","",DADOS!F724)</f>
        <v/>
      </c>
      <c r="K724" s="6" t="str">
        <f t="shared" si="60"/>
        <v/>
      </c>
      <c r="L724" s="7" t="str">
        <f t="shared" si="61"/>
        <v/>
      </c>
      <c r="M724" s="7" t="str">
        <f t="shared" si="58"/>
        <v/>
      </c>
      <c r="N724" s="7" t="str">
        <f t="shared" si="62"/>
        <v/>
      </c>
      <c r="O724" s="8"/>
      <c r="P724" s="26"/>
      <c r="S724" s="10" t="str">
        <f t="shared" si="59"/>
        <v/>
      </c>
    </row>
    <row r="725" spans="5:19" x14ac:dyDescent="0.3">
      <c r="E725" s="9" t="str">
        <f>IF(DADOS!C725="","",DADOS!C725)</f>
        <v/>
      </c>
      <c r="F725" s="9" t="str">
        <f>IF(DADOS!E725="","",DADOS!E725)</f>
        <v/>
      </c>
      <c r="G725" s="9" t="str">
        <f>IF(DADOS!F725="","",DADOS!F725)</f>
        <v/>
      </c>
      <c r="K725" s="6" t="str">
        <f t="shared" si="60"/>
        <v/>
      </c>
      <c r="L725" s="7" t="str">
        <f t="shared" si="61"/>
        <v/>
      </c>
      <c r="M725" s="7" t="str">
        <f t="shared" si="58"/>
        <v/>
      </c>
      <c r="N725" s="7" t="str">
        <f t="shared" si="62"/>
        <v/>
      </c>
      <c r="O725" s="8"/>
      <c r="P725" s="26"/>
      <c r="S725" s="10" t="str">
        <f t="shared" si="59"/>
        <v/>
      </c>
    </row>
    <row r="726" spans="5:19" x14ac:dyDescent="0.3">
      <c r="E726" s="9" t="str">
        <f>IF(DADOS!C726="","",DADOS!C726)</f>
        <v/>
      </c>
      <c r="F726" s="9" t="str">
        <f>IF(DADOS!E726="","",DADOS!E726)</f>
        <v/>
      </c>
      <c r="G726" s="9" t="str">
        <f>IF(DADOS!F726="","",DADOS!F726)</f>
        <v/>
      </c>
      <c r="K726" s="6" t="str">
        <f t="shared" si="60"/>
        <v/>
      </c>
      <c r="L726" s="7" t="str">
        <f t="shared" si="61"/>
        <v/>
      </c>
      <c r="M726" s="7" t="str">
        <f t="shared" si="58"/>
        <v/>
      </c>
      <c r="N726" s="7" t="str">
        <f t="shared" si="62"/>
        <v/>
      </c>
      <c r="O726" s="8"/>
      <c r="P726" s="26"/>
      <c r="S726" s="10" t="str">
        <f t="shared" si="59"/>
        <v/>
      </c>
    </row>
    <row r="727" spans="5:19" x14ac:dyDescent="0.3">
      <c r="E727" s="9" t="str">
        <f>IF(DADOS!C727="","",DADOS!C727)</f>
        <v/>
      </c>
      <c r="F727" s="9" t="str">
        <f>IF(DADOS!E727="","",DADOS!E727)</f>
        <v/>
      </c>
      <c r="G727" s="9" t="str">
        <f>IF(DADOS!F727="","",DADOS!F727)</f>
        <v/>
      </c>
      <c r="K727" s="6" t="str">
        <f t="shared" si="60"/>
        <v/>
      </c>
      <c r="L727" s="7" t="str">
        <f t="shared" si="61"/>
        <v/>
      </c>
      <c r="M727" s="7" t="str">
        <f t="shared" si="58"/>
        <v/>
      </c>
      <c r="N727" s="7" t="str">
        <f t="shared" si="62"/>
        <v/>
      </c>
      <c r="O727" s="8"/>
      <c r="P727" s="26"/>
      <c r="S727" s="10" t="str">
        <f t="shared" si="59"/>
        <v/>
      </c>
    </row>
    <row r="728" spans="5:19" x14ac:dyDescent="0.3">
      <c r="E728" s="9" t="str">
        <f>IF(DADOS!C728="","",DADOS!C728)</f>
        <v/>
      </c>
      <c r="F728" s="9" t="str">
        <f>IF(DADOS!E728="","",DADOS!E728)</f>
        <v/>
      </c>
      <c r="G728" s="9" t="str">
        <f>IF(DADOS!F728="","",DADOS!F728)</f>
        <v/>
      </c>
      <c r="K728" s="6" t="str">
        <f t="shared" si="60"/>
        <v/>
      </c>
      <c r="L728" s="7" t="str">
        <f t="shared" si="61"/>
        <v/>
      </c>
      <c r="M728" s="7" t="str">
        <f t="shared" si="58"/>
        <v/>
      </c>
      <c r="N728" s="7" t="str">
        <f t="shared" si="62"/>
        <v/>
      </c>
      <c r="O728" s="8"/>
      <c r="P728" s="26"/>
      <c r="S728" s="10" t="str">
        <f t="shared" si="59"/>
        <v/>
      </c>
    </row>
    <row r="729" spans="5:19" x14ac:dyDescent="0.3">
      <c r="E729" s="9" t="str">
        <f>IF(DADOS!C729="","",DADOS!C729)</f>
        <v/>
      </c>
      <c r="F729" s="9" t="str">
        <f>IF(DADOS!E729="","",DADOS!E729)</f>
        <v/>
      </c>
      <c r="G729" s="9" t="str">
        <f>IF(DADOS!F729="","",DADOS!F729)</f>
        <v/>
      </c>
      <c r="K729" s="6" t="str">
        <f t="shared" si="60"/>
        <v/>
      </c>
      <c r="L729" s="7" t="str">
        <f t="shared" si="61"/>
        <v/>
      </c>
      <c r="M729" s="7" t="str">
        <f t="shared" si="58"/>
        <v/>
      </c>
      <c r="N729" s="7" t="str">
        <f t="shared" si="62"/>
        <v/>
      </c>
      <c r="O729" s="8"/>
      <c r="P729" s="26"/>
      <c r="S729" s="10" t="str">
        <f t="shared" si="59"/>
        <v/>
      </c>
    </row>
    <row r="730" spans="5:19" x14ac:dyDescent="0.3">
      <c r="E730" s="9" t="str">
        <f>IF(DADOS!C730="","",DADOS!C730)</f>
        <v/>
      </c>
      <c r="F730" s="9" t="str">
        <f>IF(DADOS!E730="","",DADOS!E730)</f>
        <v/>
      </c>
      <c r="G730" s="9" t="str">
        <f>IF(DADOS!F730="","",DADOS!F730)</f>
        <v/>
      </c>
      <c r="K730" s="6" t="str">
        <f t="shared" si="60"/>
        <v/>
      </c>
      <c r="L730" s="7" t="str">
        <f t="shared" si="61"/>
        <v/>
      </c>
      <c r="M730" s="7" t="str">
        <f t="shared" si="58"/>
        <v/>
      </c>
      <c r="N730" s="7" t="str">
        <f t="shared" si="62"/>
        <v/>
      </c>
      <c r="O730" s="8"/>
      <c r="P730" s="26"/>
      <c r="S730" s="10" t="str">
        <f t="shared" si="59"/>
        <v/>
      </c>
    </row>
    <row r="731" spans="5:19" x14ac:dyDescent="0.3">
      <c r="E731" s="9" t="str">
        <f>IF(DADOS!C731="","",DADOS!C731)</f>
        <v/>
      </c>
      <c r="F731" s="9" t="str">
        <f>IF(DADOS!E731="","",DADOS!E731)</f>
        <v/>
      </c>
      <c r="G731" s="9" t="str">
        <f>IF(DADOS!F731="","",DADOS!F731)</f>
        <v/>
      </c>
      <c r="K731" s="6" t="str">
        <f t="shared" si="60"/>
        <v/>
      </c>
      <c r="L731" s="7" t="str">
        <f t="shared" si="61"/>
        <v/>
      </c>
      <c r="M731" s="7" t="str">
        <f t="shared" si="58"/>
        <v/>
      </c>
      <c r="N731" s="7" t="str">
        <f t="shared" si="62"/>
        <v/>
      </c>
      <c r="O731" s="8"/>
      <c r="P731" s="26"/>
      <c r="S731" s="10" t="str">
        <f t="shared" si="59"/>
        <v/>
      </c>
    </row>
    <row r="732" spans="5:19" x14ac:dyDescent="0.3">
      <c r="E732" s="9" t="str">
        <f>IF(DADOS!C732="","",DADOS!C732)</f>
        <v/>
      </c>
      <c r="F732" s="9" t="str">
        <f>IF(DADOS!E732="","",DADOS!E732)</f>
        <v/>
      </c>
      <c r="G732" s="9" t="str">
        <f>IF(DADOS!F732="","",DADOS!F732)</f>
        <v/>
      </c>
      <c r="K732" s="6" t="str">
        <f t="shared" si="60"/>
        <v/>
      </c>
      <c r="L732" s="7" t="str">
        <f t="shared" si="61"/>
        <v/>
      </c>
      <c r="M732" s="7" t="str">
        <f t="shared" si="58"/>
        <v/>
      </c>
      <c r="N732" s="7" t="str">
        <f t="shared" si="62"/>
        <v/>
      </c>
      <c r="O732" s="8"/>
      <c r="P732" s="26"/>
      <c r="S732" s="10" t="str">
        <f t="shared" si="59"/>
        <v/>
      </c>
    </row>
    <row r="733" spans="5:19" x14ac:dyDescent="0.3">
      <c r="E733" s="9" t="str">
        <f>IF(DADOS!C733="","",DADOS!C733)</f>
        <v/>
      </c>
      <c r="F733" s="9" t="str">
        <f>IF(DADOS!E733="","",DADOS!E733)</f>
        <v/>
      </c>
      <c r="G733" s="9" t="str">
        <f>IF(DADOS!F733="","",DADOS!F733)</f>
        <v/>
      </c>
      <c r="K733" s="6" t="str">
        <f t="shared" si="60"/>
        <v/>
      </c>
      <c r="L733" s="7" t="str">
        <f t="shared" si="61"/>
        <v/>
      </c>
      <c r="M733" s="7" t="str">
        <f t="shared" si="58"/>
        <v/>
      </c>
      <c r="N733" s="7" t="str">
        <f t="shared" si="62"/>
        <v/>
      </c>
      <c r="O733" s="8"/>
      <c r="P733" s="26"/>
      <c r="S733" s="10" t="str">
        <f t="shared" si="59"/>
        <v/>
      </c>
    </row>
    <row r="734" spans="5:19" x14ac:dyDescent="0.3">
      <c r="E734" s="9" t="str">
        <f>IF(DADOS!C734="","",DADOS!C734)</f>
        <v/>
      </c>
      <c r="F734" s="9" t="str">
        <f>IF(DADOS!E734="","",DADOS!E734)</f>
        <v/>
      </c>
      <c r="G734" s="9" t="str">
        <f>IF(DADOS!F734="","",DADOS!F734)</f>
        <v/>
      </c>
      <c r="K734" s="6" t="str">
        <f t="shared" si="60"/>
        <v/>
      </c>
      <c r="L734" s="7" t="str">
        <f t="shared" si="61"/>
        <v/>
      </c>
      <c r="M734" s="7" t="str">
        <f t="shared" si="58"/>
        <v/>
      </c>
      <c r="N734" s="7" t="str">
        <f t="shared" si="62"/>
        <v/>
      </c>
      <c r="O734" s="8"/>
      <c r="P734" s="26"/>
      <c r="S734" s="10" t="str">
        <f t="shared" si="59"/>
        <v/>
      </c>
    </row>
    <row r="735" spans="5:19" x14ac:dyDescent="0.3">
      <c r="E735" s="9" t="str">
        <f>IF(DADOS!C735="","",DADOS!C735)</f>
        <v/>
      </c>
      <c r="F735" s="9" t="str">
        <f>IF(DADOS!E735="","",DADOS!E735)</f>
        <v/>
      </c>
      <c r="G735" s="9" t="str">
        <f>IF(DADOS!F735="","",DADOS!F735)</f>
        <v/>
      </c>
      <c r="K735" s="6" t="str">
        <f t="shared" si="60"/>
        <v/>
      </c>
      <c r="L735" s="7" t="str">
        <f t="shared" si="61"/>
        <v/>
      </c>
      <c r="M735" s="7" t="str">
        <f t="shared" si="58"/>
        <v/>
      </c>
      <c r="N735" s="7" t="str">
        <f t="shared" si="62"/>
        <v/>
      </c>
      <c r="O735" s="8"/>
      <c r="P735" s="26"/>
      <c r="S735" s="10" t="str">
        <f t="shared" si="59"/>
        <v/>
      </c>
    </row>
    <row r="736" spans="5:19" x14ac:dyDescent="0.3">
      <c r="E736" s="9" t="str">
        <f>IF(DADOS!C736="","",DADOS!C736)</f>
        <v/>
      </c>
      <c r="F736" s="9" t="str">
        <f>IF(DADOS!E736="","",DADOS!E736)</f>
        <v/>
      </c>
      <c r="G736" s="9" t="str">
        <f>IF(DADOS!F736="","",DADOS!F736)</f>
        <v/>
      </c>
      <c r="K736" s="6" t="str">
        <f t="shared" si="60"/>
        <v/>
      </c>
      <c r="L736" s="7" t="str">
        <f t="shared" si="61"/>
        <v/>
      </c>
      <c r="M736" s="7" t="str">
        <f t="shared" si="58"/>
        <v/>
      </c>
      <c r="N736" s="7" t="str">
        <f t="shared" si="62"/>
        <v/>
      </c>
      <c r="O736" s="8"/>
      <c r="P736" s="26"/>
      <c r="S736" s="10" t="str">
        <f t="shared" si="59"/>
        <v/>
      </c>
    </row>
    <row r="737" spans="5:19" x14ac:dyDescent="0.3">
      <c r="E737" s="9" t="str">
        <f>IF(DADOS!C737="","",DADOS!C737)</f>
        <v/>
      </c>
      <c r="F737" s="9" t="str">
        <f>IF(DADOS!E737="","",DADOS!E737)</f>
        <v/>
      </c>
      <c r="G737" s="9" t="str">
        <f>IF(DADOS!F737="","",DADOS!F737)</f>
        <v/>
      </c>
      <c r="K737" s="6" t="str">
        <f t="shared" si="60"/>
        <v/>
      </c>
      <c r="L737" s="7" t="str">
        <f t="shared" si="61"/>
        <v/>
      </c>
      <c r="M737" s="7" t="str">
        <f t="shared" si="58"/>
        <v/>
      </c>
      <c r="N737" s="7" t="str">
        <f t="shared" si="62"/>
        <v/>
      </c>
      <c r="O737" s="8"/>
      <c r="P737" s="26"/>
      <c r="S737" s="10" t="str">
        <f t="shared" si="59"/>
        <v/>
      </c>
    </row>
    <row r="738" spans="5:19" x14ac:dyDescent="0.3">
      <c r="E738" s="9" t="str">
        <f>IF(DADOS!C738="","",DADOS!C738)</f>
        <v/>
      </c>
      <c r="F738" s="9" t="str">
        <f>IF(DADOS!E738="","",DADOS!E738)</f>
        <v/>
      </c>
      <c r="G738" s="9" t="str">
        <f>IF(DADOS!F738="","",DADOS!F738)</f>
        <v/>
      </c>
      <c r="K738" s="6" t="str">
        <f t="shared" si="60"/>
        <v/>
      </c>
      <c r="L738" s="7" t="str">
        <f t="shared" si="61"/>
        <v/>
      </c>
      <c r="M738" s="7" t="str">
        <f t="shared" si="58"/>
        <v/>
      </c>
      <c r="N738" s="7" t="str">
        <f t="shared" si="62"/>
        <v/>
      </c>
      <c r="O738" s="8"/>
      <c r="P738" s="26"/>
      <c r="S738" s="10" t="str">
        <f t="shared" si="59"/>
        <v/>
      </c>
    </row>
    <row r="739" spans="5:19" x14ac:dyDescent="0.3">
      <c r="E739" s="9" t="str">
        <f>IF(DADOS!C739="","",DADOS!C739)</f>
        <v/>
      </c>
      <c r="F739" s="9" t="str">
        <f>IF(DADOS!E739="","",DADOS!E739)</f>
        <v/>
      </c>
      <c r="G739" s="9" t="str">
        <f>IF(DADOS!F739="","",DADOS!F739)</f>
        <v/>
      </c>
      <c r="K739" s="6" t="str">
        <f t="shared" si="60"/>
        <v/>
      </c>
      <c r="L739" s="7" t="str">
        <f t="shared" si="61"/>
        <v/>
      </c>
      <c r="M739" s="7" t="str">
        <f t="shared" si="58"/>
        <v/>
      </c>
      <c r="N739" s="7" t="str">
        <f t="shared" si="62"/>
        <v/>
      </c>
      <c r="O739" s="8"/>
      <c r="P739" s="26"/>
      <c r="S739" s="10" t="str">
        <f t="shared" si="59"/>
        <v/>
      </c>
    </row>
    <row r="740" spans="5:19" x14ac:dyDescent="0.3">
      <c r="E740" s="9" t="str">
        <f>IF(DADOS!C740="","",DADOS!C740)</f>
        <v/>
      </c>
      <c r="F740" s="9" t="str">
        <f>IF(DADOS!E740="","",DADOS!E740)</f>
        <v/>
      </c>
      <c r="G740" s="9" t="str">
        <f>IF(DADOS!F740="","",DADOS!F740)</f>
        <v/>
      </c>
      <c r="K740" s="6" t="str">
        <f t="shared" si="60"/>
        <v/>
      </c>
      <c r="L740" s="7" t="str">
        <f t="shared" si="61"/>
        <v/>
      </c>
      <c r="M740" s="7" t="str">
        <f t="shared" si="58"/>
        <v/>
      </c>
      <c r="N740" s="7" t="str">
        <f t="shared" si="62"/>
        <v/>
      </c>
      <c r="O740" s="8"/>
      <c r="P740" s="26"/>
      <c r="S740" s="10" t="str">
        <f t="shared" si="59"/>
        <v/>
      </c>
    </row>
    <row r="741" spans="5:19" x14ac:dyDescent="0.3">
      <c r="E741" s="9" t="str">
        <f>IF(DADOS!C741="","",DADOS!C741)</f>
        <v/>
      </c>
      <c r="F741" s="9" t="str">
        <f>IF(DADOS!E741="","",DADOS!E741)</f>
        <v/>
      </c>
      <c r="G741" s="9" t="str">
        <f>IF(DADOS!F741="","",DADOS!F741)</f>
        <v/>
      </c>
      <c r="K741" s="6" t="str">
        <f t="shared" si="60"/>
        <v/>
      </c>
      <c r="L741" s="7" t="str">
        <f t="shared" si="61"/>
        <v/>
      </c>
      <c r="M741" s="7" t="str">
        <f t="shared" si="58"/>
        <v/>
      </c>
      <c r="N741" s="7" t="str">
        <f t="shared" si="62"/>
        <v/>
      </c>
      <c r="O741" s="8"/>
      <c r="P741" s="26"/>
      <c r="S741" s="10" t="str">
        <f t="shared" si="59"/>
        <v/>
      </c>
    </row>
    <row r="742" spans="5:19" x14ac:dyDescent="0.3">
      <c r="E742" s="9" t="str">
        <f>IF(DADOS!C742="","",DADOS!C742)</f>
        <v/>
      </c>
      <c r="F742" s="9" t="str">
        <f>IF(DADOS!E742="","",DADOS!E742)</f>
        <v/>
      </c>
      <c r="G742" s="9" t="str">
        <f>IF(DADOS!F742="","",DADOS!F742)</f>
        <v/>
      </c>
      <c r="K742" s="6" t="str">
        <f t="shared" si="60"/>
        <v/>
      </c>
      <c r="L742" s="7" t="str">
        <f t="shared" si="61"/>
        <v/>
      </c>
      <c r="M742" s="7" t="str">
        <f t="shared" si="58"/>
        <v/>
      </c>
      <c r="N742" s="7" t="str">
        <f t="shared" si="62"/>
        <v/>
      </c>
      <c r="O742" s="8"/>
      <c r="P742" s="26"/>
      <c r="S742" s="10" t="str">
        <f t="shared" si="59"/>
        <v/>
      </c>
    </row>
    <row r="743" spans="5:19" x14ac:dyDescent="0.3">
      <c r="E743" s="9" t="str">
        <f>IF(DADOS!C743="","",DADOS!C743)</f>
        <v/>
      </c>
      <c r="F743" s="9" t="str">
        <f>IF(DADOS!E743="","",DADOS!E743)</f>
        <v/>
      </c>
      <c r="G743" s="9" t="str">
        <f>IF(DADOS!F743="","",DADOS!F743)</f>
        <v/>
      </c>
      <c r="K743" s="6" t="str">
        <f t="shared" si="60"/>
        <v/>
      </c>
      <c r="L743" s="7" t="str">
        <f t="shared" si="61"/>
        <v/>
      </c>
      <c r="M743" s="7" t="str">
        <f t="shared" si="58"/>
        <v/>
      </c>
      <c r="N743" s="7" t="str">
        <f t="shared" si="62"/>
        <v/>
      </c>
      <c r="O743" s="8"/>
      <c r="P743" s="26"/>
      <c r="S743" s="10" t="str">
        <f t="shared" si="59"/>
        <v/>
      </c>
    </row>
    <row r="744" spans="5:19" x14ac:dyDescent="0.3">
      <c r="E744" s="9" t="str">
        <f>IF(DADOS!C744="","",DADOS!C744)</f>
        <v/>
      </c>
      <c r="F744" s="9" t="str">
        <f>IF(DADOS!E744="","",DADOS!E744)</f>
        <v/>
      </c>
      <c r="G744" s="9" t="str">
        <f>IF(DADOS!F744="","",DADOS!F744)</f>
        <v/>
      </c>
      <c r="K744" s="6" t="str">
        <f t="shared" si="60"/>
        <v/>
      </c>
      <c r="L744" s="7" t="str">
        <f t="shared" si="61"/>
        <v/>
      </c>
      <c r="M744" s="7" t="str">
        <f t="shared" si="58"/>
        <v/>
      </c>
      <c r="N744" s="7" t="str">
        <f t="shared" si="62"/>
        <v/>
      </c>
      <c r="O744" s="8"/>
      <c r="P744" s="26"/>
      <c r="S744" s="10" t="str">
        <f t="shared" si="59"/>
        <v/>
      </c>
    </row>
    <row r="745" spans="5:19" x14ac:dyDescent="0.3">
      <c r="E745" s="9" t="str">
        <f>IF(DADOS!C745="","",DADOS!C745)</f>
        <v/>
      </c>
      <c r="F745" s="9" t="str">
        <f>IF(DADOS!E745="","",DADOS!E745)</f>
        <v/>
      </c>
      <c r="G745" s="9" t="str">
        <f>IF(DADOS!F745="","",DADOS!F745)</f>
        <v/>
      </c>
      <c r="K745" s="6" t="str">
        <f t="shared" si="60"/>
        <v/>
      </c>
      <c r="L745" s="7" t="str">
        <f t="shared" si="61"/>
        <v/>
      </c>
      <c r="M745" s="7" t="str">
        <f t="shared" si="58"/>
        <v/>
      </c>
      <c r="N745" s="7" t="str">
        <f t="shared" si="62"/>
        <v/>
      </c>
      <c r="O745" s="8"/>
      <c r="P745" s="26"/>
      <c r="S745" s="10" t="str">
        <f t="shared" si="59"/>
        <v/>
      </c>
    </row>
    <row r="746" spans="5:19" x14ac:dyDescent="0.3">
      <c r="E746" s="9" t="str">
        <f>IF(DADOS!C746="","",DADOS!C746)</f>
        <v/>
      </c>
      <c r="F746" s="9" t="str">
        <f>IF(DADOS!E746="","",DADOS!E746)</f>
        <v/>
      </c>
      <c r="G746" s="9" t="str">
        <f>IF(DADOS!F746="","",DADOS!F746)</f>
        <v/>
      </c>
      <c r="K746" s="6" t="str">
        <f t="shared" si="60"/>
        <v/>
      </c>
      <c r="L746" s="7" t="str">
        <f t="shared" si="61"/>
        <v/>
      </c>
      <c r="M746" s="7" t="str">
        <f t="shared" si="58"/>
        <v/>
      </c>
      <c r="N746" s="7" t="str">
        <f t="shared" si="62"/>
        <v/>
      </c>
      <c r="O746" s="8"/>
      <c r="P746" s="26"/>
      <c r="S746" s="10" t="str">
        <f t="shared" si="59"/>
        <v/>
      </c>
    </row>
    <row r="747" spans="5:19" x14ac:dyDescent="0.3">
      <c r="E747" s="9" t="str">
        <f>IF(DADOS!C747="","",DADOS!C747)</f>
        <v/>
      </c>
      <c r="F747" s="9" t="str">
        <f>IF(DADOS!E747="","",DADOS!E747)</f>
        <v/>
      </c>
      <c r="G747" s="9" t="str">
        <f>IF(DADOS!F747="","",DADOS!F747)</f>
        <v/>
      </c>
      <c r="K747" s="6" t="str">
        <f t="shared" si="60"/>
        <v/>
      </c>
      <c r="L747" s="7" t="str">
        <f t="shared" si="61"/>
        <v/>
      </c>
      <c r="M747" s="7" t="str">
        <f t="shared" si="58"/>
        <v/>
      </c>
      <c r="N747" s="7" t="str">
        <f t="shared" si="62"/>
        <v/>
      </c>
      <c r="O747" s="8"/>
      <c r="P747" s="26"/>
      <c r="S747" s="10" t="str">
        <f t="shared" si="59"/>
        <v/>
      </c>
    </row>
    <row r="748" spans="5:19" x14ac:dyDescent="0.3">
      <c r="E748" s="9" t="str">
        <f>IF(DADOS!C748="","",DADOS!C748)</f>
        <v/>
      </c>
      <c r="F748" s="9" t="str">
        <f>IF(DADOS!E748="","",DADOS!E748)</f>
        <v/>
      </c>
      <c r="G748" s="9" t="str">
        <f>IF(DADOS!F748="","",DADOS!F748)</f>
        <v/>
      </c>
      <c r="K748" s="6" t="str">
        <f t="shared" si="60"/>
        <v/>
      </c>
      <c r="L748" s="7" t="str">
        <f t="shared" si="61"/>
        <v/>
      </c>
      <c r="M748" s="7" t="str">
        <f t="shared" si="58"/>
        <v/>
      </c>
      <c r="N748" s="7" t="str">
        <f t="shared" si="62"/>
        <v/>
      </c>
      <c r="O748" s="8"/>
      <c r="P748" s="26"/>
      <c r="S748" s="10" t="str">
        <f t="shared" si="59"/>
        <v/>
      </c>
    </row>
    <row r="749" spans="5:19" x14ac:dyDescent="0.3">
      <c r="E749" s="9" t="str">
        <f>IF(DADOS!C749="","",DADOS!C749)</f>
        <v/>
      </c>
      <c r="F749" s="9" t="str">
        <f>IF(DADOS!E749="","",DADOS!E749)</f>
        <v/>
      </c>
      <c r="G749" s="9" t="str">
        <f>IF(DADOS!F749="","",DADOS!F749)</f>
        <v/>
      </c>
      <c r="K749" s="6" t="str">
        <f t="shared" si="60"/>
        <v/>
      </c>
      <c r="L749" s="7" t="str">
        <f t="shared" si="61"/>
        <v/>
      </c>
      <c r="M749" s="7" t="str">
        <f t="shared" si="58"/>
        <v/>
      </c>
      <c r="N749" s="7" t="str">
        <f t="shared" si="62"/>
        <v/>
      </c>
      <c r="O749" s="8"/>
      <c r="P749" s="26"/>
      <c r="S749" s="10" t="str">
        <f t="shared" si="59"/>
        <v/>
      </c>
    </row>
    <row r="750" spans="5:19" x14ac:dyDescent="0.3">
      <c r="E750" s="9" t="str">
        <f>IF(DADOS!C750="","",DADOS!C750)</f>
        <v/>
      </c>
      <c r="F750" s="9" t="str">
        <f>IF(DADOS!E750="","",DADOS!E750)</f>
        <v/>
      </c>
      <c r="G750" s="9" t="str">
        <f>IF(DADOS!F750="","",DADOS!F750)</f>
        <v/>
      </c>
      <c r="K750" s="6" t="str">
        <f t="shared" si="60"/>
        <v/>
      </c>
      <c r="L750" s="7" t="str">
        <f t="shared" si="61"/>
        <v/>
      </c>
      <c r="M750" s="7" t="str">
        <f t="shared" si="58"/>
        <v/>
      </c>
      <c r="N750" s="7" t="str">
        <f t="shared" si="62"/>
        <v/>
      </c>
      <c r="O750" s="8"/>
      <c r="P750" s="26"/>
      <c r="S750" s="10" t="str">
        <f t="shared" si="59"/>
        <v/>
      </c>
    </row>
    <row r="751" spans="5:19" x14ac:dyDescent="0.3">
      <c r="E751" s="9" t="str">
        <f>IF(DADOS!C751="","",DADOS!C751)</f>
        <v/>
      </c>
      <c r="F751" s="9" t="str">
        <f>IF(DADOS!E751="","",DADOS!E751)</f>
        <v/>
      </c>
      <c r="G751" s="9" t="str">
        <f>IF(DADOS!F751="","",DADOS!F751)</f>
        <v/>
      </c>
      <c r="K751" s="6" t="str">
        <f t="shared" si="60"/>
        <v/>
      </c>
      <c r="L751" s="7" t="str">
        <f t="shared" si="61"/>
        <v/>
      </c>
      <c r="M751" s="7" t="str">
        <f t="shared" si="58"/>
        <v/>
      </c>
      <c r="N751" s="7" t="str">
        <f t="shared" si="62"/>
        <v/>
      </c>
      <c r="O751" s="8"/>
      <c r="P751" s="26"/>
      <c r="S751" s="10" t="str">
        <f t="shared" si="59"/>
        <v/>
      </c>
    </row>
    <row r="752" spans="5:19" x14ac:dyDescent="0.3">
      <c r="E752" s="9" t="str">
        <f>IF(DADOS!C752="","",DADOS!C752)</f>
        <v/>
      </c>
      <c r="F752" s="9" t="str">
        <f>IF(DADOS!E752="","",DADOS!E752)</f>
        <v/>
      </c>
      <c r="G752" s="9" t="str">
        <f>IF(DADOS!F752="","",DADOS!F752)</f>
        <v/>
      </c>
      <c r="K752" s="6" t="str">
        <f t="shared" si="60"/>
        <v/>
      </c>
      <c r="L752" s="7" t="str">
        <f t="shared" si="61"/>
        <v/>
      </c>
      <c r="M752" s="7" t="str">
        <f t="shared" si="58"/>
        <v/>
      </c>
      <c r="N752" s="7" t="str">
        <f t="shared" si="62"/>
        <v/>
      </c>
      <c r="O752" s="8"/>
      <c r="P752" s="26"/>
      <c r="S752" s="10" t="str">
        <f t="shared" si="59"/>
        <v/>
      </c>
    </row>
    <row r="753" spans="5:19" x14ac:dyDescent="0.3">
      <c r="E753" s="9" t="str">
        <f>IF(DADOS!C753="","",DADOS!C753)</f>
        <v/>
      </c>
      <c r="F753" s="9" t="str">
        <f>IF(DADOS!E753="","",DADOS!E753)</f>
        <v/>
      </c>
      <c r="G753" s="9" t="str">
        <f>IF(DADOS!F753="","",DADOS!F753)</f>
        <v/>
      </c>
      <c r="K753" s="6" t="str">
        <f t="shared" si="60"/>
        <v/>
      </c>
      <c r="L753" s="7" t="str">
        <f t="shared" si="61"/>
        <v/>
      </c>
      <c r="M753" s="7" t="str">
        <f t="shared" si="58"/>
        <v/>
      </c>
      <c r="N753" s="7" t="str">
        <f t="shared" si="62"/>
        <v/>
      </c>
      <c r="O753" s="8"/>
      <c r="P753" s="26"/>
      <c r="S753" s="10" t="str">
        <f t="shared" si="59"/>
        <v/>
      </c>
    </row>
    <row r="754" spans="5:19" x14ac:dyDescent="0.3">
      <c r="E754" s="9" t="str">
        <f>IF(DADOS!C754="","",DADOS!C754)</f>
        <v/>
      </c>
      <c r="F754" s="9" t="str">
        <f>IF(DADOS!E754="","",DADOS!E754)</f>
        <v/>
      </c>
      <c r="G754" s="9" t="str">
        <f>IF(DADOS!F754="","",DADOS!F754)</f>
        <v/>
      </c>
      <c r="K754" s="6" t="str">
        <f t="shared" si="60"/>
        <v/>
      </c>
      <c r="L754" s="7" t="str">
        <f t="shared" si="61"/>
        <v/>
      </c>
      <c r="M754" s="7" t="str">
        <f t="shared" si="58"/>
        <v/>
      </c>
      <c r="N754" s="7" t="str">
        <f t="shared" si="62"/>
        <v/>
      </c>
      <c r="O754" s="8"/>
      <c r="P754" s="26"/>
      <c r="S754" s="10" t="str">
        <f t="shared" si="59"/>
        <v/>
      </c>
    </row>
    <row r="755" spans="5:19" x14ac:dyDescent="0.3">
      <c r="E755" s="9" t="str">
        <f>IF(DADOS!C755="","",DADOS!C755)</f>
        <v/>
      </c>
      <c r="F755" s="9" t="str">
        <f>IF(DADOS!E755="","",DADOS!E755)</f>
        <v/>
      </c>
      <c r="G755" s="9" t="str">
        <f>IF(DADOS!F755="","",DADOS!F755)</f>
        <v/>
      </c>
      <c r="K755" s="6" t="str">
        <f t="shared" si="60"/>
        <v/>
      </c>
      <c r="L755" s="7" t="str">
        <f t="shared" si="61"/>
        <v/>
      </c>
      <c r="M755" s="7" t="str">
        <f t="shared" si="58"/>
        <v/>
      </c>
      <c r="N755" s="7" t="str">
        <f t="shared" si="62"/>
        <v/>
      </c>
      <c r="O755" s="8"/>
      <c r="P755" s="26"/>
      <c r="S755" s="10" t="str">
        <f t="shared" si="59"/>
        <v/>
      </c>
    </row>
    <row r="756" spans="5:19" x14ac:dyDescent="0.3">
      <c r="E756" s="9" t="str">
        <f>IF(DADOS!C756="","",DADOS!C756)</f>
        <v/>
      </c>
      <c r="F756" s="9" t="str">
        <f>IF(DADOS!E756="","",DADOS!E756)</f>
        <v/>
      </c>
      <c r="G756" s="9" t="str">
        <f>IF(DADOS!F756="","",DADOS!F756)</f>
        <v/>
      </c>
      <c r="K756" s="6" t="str">
        <f t="shared" si="60"/>
        <v/>
      </c>
      <c r="L756" s="7" t="str">
        <f t="shared" si="61"/>
        <v/>
      </c>
      <c r="M756" s="7" t="str">
        <f t="shared" si="58"/>
        <v/>
      </c>
      <c r="N756" s="7" t="str">
        <f t="shared" si="62"/>
        <v/>
      </c>
      <c r="O756" s="8"/>
      <c r="P756" s="26"/>
      <c r="S756" s="10" t="str">
        <f t="shared" si="59"/>
        <v/>
      </c>
    </row>
    <row r="757" spans="5:19" x14ac:dyDescent="0.3">
      <c r="E757" s="9" t="str">
        <f>IF(DADOS!C757="","",DADOS!C757)</f>
        <v/>
      </c>
      <c r="F757" s="9" t="str">
        <f>IF(DADOS!E757="","",DADOS!E757)</f>
        <v/>
      </c>
      <c r="G757" s="9" t="str">
        <f>IF(DADOS!F757="","",DADOS!F757)</f>
        <v/>
      </c>
      <c r="K757" s="6" t="str">
        <f t="shared" si="60"/>
        <v/>
      </c>
      <c r="L757" s="7" t="str">
        <f t="shared" si="61"/>
        <v/>
      </c>
      <c r="M757" s="7" t="str">
        <f t="shared" si="58"/>
        <v/>
      </c>
      <c r="N757" s="7" t="str">
        <f t="shared" si="62"/>
        <v/>
      </c>
      <c r="O757" s="8"/>
      <c r="P757" s="26"/>
      <c r="S757" s="10" t="str">
        <f t="shared" si="59"/>
        <v/>
      </c>
    </row>
    <row r="758" spans="5:19" x14ac:dyDescent="0.3">
      <c r="E758" s="9" t="str">
        <f>IF(DADOS!C758="","",DADOS!C758)</f>
        <v/>
      </c>
      <c r="F758" s="9" t="str">
        <f>IF(DADOS!E758="","",DADOS!E758)</f>
        <v/>
      </c>
      <c r="G758" s="9" t="str">
        <f>IF(DADOS!F758="","",DADOS!F758)</f>
        <v/>
      </c>
      <c r="K758" s="6" t="str">
        <f t="shared" si="60"/>
        <v/>
      </c>
      <c r="L758" s="7" t="str">
        <f t="shared" si="61"/>
        <v/>
      </c>
      <c r="M758" s="7" t="str">
        <f t="shared" si="58"/>
        <v/>
      </c>
      <c r="N758" s="7" t="str">
        <f t="shared" si="62"/>
        <v/>
      </c>
      <c r="O758" s="8"/>
      <c r="P758" s="26"/>
      <c r="S758" s="10" t="str">
        <f t="shared" si="59"/>
        <v/>
      </c>
    </row>
    <row r="759" spans="5:19" x14ac:dyDescent="0.3">
      <c r="E759" s="9" t="str">
        <f>IF(DADOS!C759="","",DADOS!C759)</f>
        <v/>
      </c>
      <c r="F759" s="9" t="str">
        <f>IF(DADOS!E759="","",DADOS!E759)</f>
        <v/>
      </c>
      <c r="G759" s="9" t="str">
        <f>IF(DADOS!F759="","",DADOS!F759)</f>
        <v/>
      </c>
      <c r="K759" s="6" t="str">
        <f t="shared" si="60"/>
        <v/>
      </c>
      <c r="L759" s="7" t="str">
        <f t="shared" si="61"/>
        <v/>
      </c>
      <c r="M759" s="7" t="str">
        <f t="shared" si="58"/>
        <v/>
      </c>
      <c r="N759" s="7" t="str">
        <f t="shared" si="62"/>
        <v/>
      </c>
      <c r="O759" s="8"/>
      <c r="P759" s="26"/>
      <c r="S759" s="10" t="str">
        <f t="shared" si="59"/>
        <v/>
      </c>
    </row>
    <row r="760" spans="5:19" x14ac:dyDescent="0.3">
      <c r="E760" s="9" t="str">
        <f>IF(DADOS!C760="","",DADOS!C760)</f>
        <v/>
      </c>
      <c r="F760" s="9" t="str">
        <f>IF(DADOS!E760="","",DADOS!E760)</f>
        <v/>
      </c>
      <c r="G760" s="9" t="str">
        <f>IF(DADOS!F760="","",DADOS!F760)</f>
        <v/>
      </c>
      <c r="K760" s="6" t="str">
        <f t="shared" si="60"/>
        <v/>
      </c>
      <c r="L760" s="7" t="str">
        <f t="shared" si="61"/>
        <v/>
      </c>
      <c r="M760" s="7" t="str">
        <f t="shared" si="58"/>
        <v/>
      </c>
      <c r="N760" s="7" t="str">
        <f t="shared" si="62"/>
        <v/>
      </c>
      <c r="O760" s="8"/>
      <c r="P760" s="26"/>
      <c r="S760" s="10" t="str">
        <f t="shared" si="59"/>
        <v/>
      </c>
    </row>
    <row r="761" spans="5:19" x14ac:dyDescent="0.3">
      <c r="E761" s="9" t="str">
        <f>IF(DADOS!C761="","",DADOS!C761)</f>
        <v/>
      </c>
      <c r="F761" s="9" t="str">
        <f>IF(DADOS!E761="","",DADOS!E761)</f>
        <v/>
      </c>
      <c r="G761" s="9" t="str">
        <f>IF(DADOS!F761="","",DADOS!F761)</f>
        <v/>
      </c>
      <c r="K761" s="6" t="str">
        <f t="shared" si="60"/>
        <v/>
      </c>
      <c r="L761" s="7" t="str">
        <f t="shared" si="61"/>
        <v/>
      </c>
      <c r="M761" s="7" t="str">
        <f t="shared" si="58"/>
        <v/>
      </c>
      <c r="N761" s="7" t="str">
        <f t="shared" si="62"/>
        <v/>
      </c>
      <c r="O761" s="8"/>
      <c r="P761" s="26"/>
      <c r="S761" s="10" t="str">
        <f t="shared" si="59"/>
        <v/>
      </c>
    </row>
    <row r="762" spans="5:19" x14ac:dyDescent="0.3">
      <c r="E762" s="9" t="str">
        <f>IF(DADOS!C762="","",DADOS!C762)</f>
        <v/>
      </c>
      <c r="F762" s="9" t="str">
        <f>IF(DADOS!E762="","",DADOS!E762)</f>
        <v/>
      </c>
      <c r="G762" s="9" t="str">
        <f>IF(DADOS!F762="","",DADOS!F762)</f>
        <v/>
      </c>
      <c r="K762" s="6" t="str">
        <f t="shared" si="60"/>
        <v/>
      </c>
      <c r="L762" s="7" t="str">
        <f t="shared" si="61"/>
        <v/>
      </c>
      <c r="M762" s="7" t="str">
        <f t="shared" si="58"/>
        <v/>
      </c>
      <c r="N762" s="7" t="str">
        <f t="shared" si="62"/>
        <v/>
      </c>
      <c r="O762" s="8"/>
      <c r="P762" s="26"/>
      <c r="S762" s="10" t="str">
        <f t="shared" si="59"/>
        <v/>
      </c>
    </row>
    <row r="763" spans="5:19" x14ac:dyDescent="0.3">
      <c r="E763" s="9" t="str">
        <f>IF(DADOS!C763="","",DADOS!C763)</f>
        <v/>
      </c>
      <c r="F763" s="9" t="str">
        <f>IF(DADOS!E763="","",DADOS!E763)</f>
        <v/>
      </c>
      <c r="G763" s="9" t="str">
        <f>IF(DADOS!F763="","",DADOS!F763)</f>
        <v/>
      </c>
      <c r="K763" s="6" t="str">
        <f t="shared" si="60"/>
        <v/>
      </c>
      <c r="L763" s="7" t="str">
        <f t="shared" si="61"/>
        <v/>
      </c>
      <c r="M763" s="7" t="str">
        <f t="shared" si="58"/>
        <v/>
      </c>
      <c r="N763" s="7" t="str">
        <f t="shared" si="62"/>
        <v/>
      </c>
      <c r="O763" s="8"/>
      <c r="P763" s="26"/>
      <c r="S763" s="10" t="str">
        <f t="shared" si="59"/>
        <v/>
      </c>
    </row>
    <row r="764" spans="5:19" x14ac:dyDescent="0.3">
      <c r="E764" s="9" t="str">
        <f>IF(DADOS!C764="","",DADOS!C764)</f>
        <v/>
      </c>
      <c r="F764" s="9" t="str">
        <f>IF(DADOS!E764="","",DADOS!E764)</f>
        <v/>
      </c>
      <c r="G764" s="9" t="str">
        <f>IF(DADOS!F764="","",DADOS!F764)</f>
        <v/>
      </c>
      <c r="K764" s="6" t="str">
        <f t="shared" si="60"/>
        <v/>
      </c>
      <c r="L764" s="7" t="str">
        <f t="shared" si="61"/>
        <v/>
      </c>
      <c r="M764" s="7" t="str">
        <f t="shared" si="58"/>
        <v/>
      </c>
      <c r="N764" s="7" t="str">
        <f t="shared" si="62"/>
        <v/>
      </c>
      <c r="O764" s="8"/>
      <c r="P764" s="26"/>
      <c r="S764" s="10" t="str">
        <f t="shared" si="59"/>
        <v/>
      </c>
    </row>
    <row r="765" spans="5:19" x14ac:dyDescent="0.3">
      <c r="E765" s="9" t="str">
        <f>IF(DADOS!C765="","",DADOS!C765)</f>
        <v/>
      </c>
      <c r="F765" s="9" t="str">
        <f>IF(DADOS!E765="","",DADOS!E765)</f>
        <v/>
      </c>
      <c r="G765" s="9" t="str">
        <f>IF(DADOS!F765="","",DADOS!F765)</f>
        <v/>
      </c>
      <c r="K765" s="6" t="str">
        <f t="shared" si="60"/>
        <v/>
      </c>
      <c r="L765" s="7" t="str">
        <f t="shared" si="61"/>
        <v/>
      </c>
      <c r="M765" s="7" t="str">
        <f t="shared" si="58"/>
        <v/>
      </c>
      <c r="N765" s="7" t="str">
        <f t="shared" si="62"/>
        <v/>
      </c>
      <c r="O765" s="8"/>
      <c r="P765" s="26"/>
      <c r="S765" s="10" t="str">
        <f t="shared" si="59"/>
        <v/>
      </c>
    </row>
    <row r="766" spans="5:19" x14ac:dyDescent="0.3">
      <c r="E766" s="9" t="str">
        <f>IF(DADOS!C766="","",DADOS!C766)</f>
        <v/>
      </c>
      <c r="F766" s="9" t="str">
        <f>IF(DADOS!E766="","",DADOS!E766)</f>
        <v/>
      </c>
      <c r="G766" s="9" t="str">
        <f>IF(DADOS!F766="","",DADOS!F766)</f>
        <v/>
      </c>
      <c r="K766" s="6" t="str">
        <f t="shared" si="60"/>
        <v/>
      </c>
      <c r="L766" s="7" t="str">
        <f t="shared" si="61"/>
        <v/>
      </c>
      <c r="M766" s="7" t="str">
        <f t="shared" si="58"/>
        <v/>
      </c>
      <c r="N766" s="7" t="str">
        <f t="shared" si="62"/>
        <v/>
      </c>
      <c r="O766" s="8"/>
      <c r="P766" s="26"/>
      <c r="S766" s="10" t="str">
        <f t="shared" si="59"/>
        <v/>
      </c>
    </row>
    <row r="767" spans="5:19" x14ac:dyDescent="0.3">
      <c r="E767" s="9" t="str">
        <f>IF(DADOS!C767="","",DADOS!C767)</f>
        <v/>
      </c>
      <c r="F767" s="9" t="str">
        <f>IF(DADOS!E767="","",DADOS!E767)</f>
        <v/>
      </c>
      <c r="G767" s="9" t="str">
        <f>IF(DADOS!F767="","",DADOS!F767)</f>
        <v/>
      </c>
      <c r="K767" s="6" t="str">
        <f t="shared" si="60"/>
        <v/>
      </c>
      <c r="L767" s="7" t="str">
        <f t="shared" si="61"/>
        <v/>
      </c>
      <c r="M767" s="7" t="str">
        <f t="shared" si="58"/>
        <v/>
      </c>
      <c r="N767" s="7" t="str">
        <f t="shared" si="62"/>
        <v/>
      </c>
      <c r="O767" s="8"/>
      <c r="P767" s="26"/>
      <c r="S767" s="10" t="str">
        <f t="shared" si="59"/>
        <v/>
      </c>
    </row>
    <row r="768" spans="5:19" x14ac:dyDescent="0.3">
      <c r="E768" s="9" t="str">
        <f>IF(DADOS!C768="","",DADOS!C768)</f>
        <v/>
      </c>
      <c r="F768" s="9" t="str">
        <f>IF(DADOS!E768="","",DADOS!E768)</f>
        <v/>
      </c>
      <c r="G768" s="9" t="str">
        <f>IF(DADOS!F768="","",DADOS!F768)</f>
        <v/>
      </c>
      <c r="K768" s="6" t="str">
        <f t="shared" si="60"/>
        <v/>
      </c>
      <c r="L768" s="7" t="str">
        <f t="shared" si="61"/>
        <v/>
      </c>
      <c r="M768" s="7" t="str">
        <f t="shared" si="58"/>
        <v/>
      </c>
      <c r="N768" s="7" t="str">
        <f t="shared" si="62"/>
        <v/>
      </c>
      <c r="O768" s="8"/>
      <c r="P768" s="26"/>
      <c r="S768" s="10" t="str">
        <f t="shared" si="59"/>
        <v/>
      </c>
    </row>
    <row r="769" spans="5:19" x14ac:dyDescent="0.3">
      <c r="E769" s="9" t="str">
        <f>IF(DADOS!C769="","",DADOS!C769)</f>
        <v/>
      </c>
      <c r="F769" s="9" t="str">
        <f>IF(DADOS!E769="","",DADOS!E769)</f>
        <v/>
      </c>
      <c r="G769" s="9" t="str">
        <f>IF(DADOS!F769="","",DADOS!F769)</f>
        <v/>
      </c>
      <c r="K769" s="6" t="str">
        <f t="shared" si="60"/>
        <v/>
      </c>
      <c r="L769" s="7" t="str">
        <f t="shared" si="61"/>
        <v/>
      </c>
      <c r="M769" s="7" t="str">
        <f t="shared" si="58"/>
        <v/>
      </c>
      <c r="N769" s="7" t="str">
        <f t="shared" si="62"/>
        <v/>
      </c>
      <c r="O769" s="8"/>
      <c r="P769" s="26"/>
      <c r="S769" s="10" t="str">
        <f t="shared" si="59"/>
        <v/>
      </c>
    </row>
    <row r="770" spans="5:19" x14ac:dyDescent="0.3">
      <c r="E770" s="9" t="str">
        <f>IF(DADOS!C770="","",DADOS!C770)</f>
        <v/>
      </c>
      <c r="F770" s="9" t="str">
        <f>IF(DADOS!E770="","",DADOS!E770)</f>
        <v/>
      </c>
      <c r="G770" s="9" t="str">
        <f>IF(DADOS!F770="","",DADOS!F770)</f>
        <v/>
      </c>
      <c r="K770" s="6" t="str">
        <f t="shared" si="60"/>
        <v/>
      </c>
      <c r="L770" s="7" t="str">
        <f t="shared" si="61"/>
        <v/>
      </c>
      <c r="M770" s="7" t="str">
        <f t="shared" si="58"/>
        <v/>
      </c>
      <c r="N770" s="7" t="str">
        <f t="shared" si="62"/>
        <v/>
      </c>
      <c r="O770" s="8"/>
      <c r="P770" s="26"/>
      <c r="S770" s="10" t="str">
        <f t="shared" si="59"/>
        <v/>
      </c>
    </row>
    <row r="771" spans="5:19" x14ac:dyDescent="0.3">
      <c r="E771" s="9" t="str">
        <f>IF(DADOS!C771="","",DADOS!C771)</f>
        <v/>
      </c>
      <c r="F771" s="9" t="str">
        <f>IF(DADOS!E771="","",DADOS!E771)</f>
        <v/>
      </c>
      <c r="G771" s="9" t="str">
        <f>IF(DADOS!F771="","",DADOS!F771)</f>
        <v/>
      </c>
      <c r="K771" s="6" t="str">
        <f t="shared" si="60"/>
        <v/>
      </c>
      <c r="L771" s="7" t="str">
        <f t="shared" si="61"/>
        <v/>
      </c>
      <c r="M771" s="7" t="str">
        <f t="shared" ref="M771:M834" si="63">IF(L771="","",L771*G771)</f>
        <v/>
      </c>
      <c r="N771" s="7" t="str">
        <f t="shared" si="62"/>
        <v/>
      </c>
      <c r="O771" s="8"/>
      <c r="P771" s="26"/>
      <c r="S771" s="10" t="str">
        <f t="shared" ref="S771:S834" si="64">IF(R771="","",SUMIFS($N$3:$N$10000,$E$3:$E$10000,R771))</f>
        <v/>
      </c>
    </row>
    <row r="772" spans="5:19" x14ac:dyDescent="0.3">
      <c r="E772" s="9" t="str">
        <f>IF(DADOS!C772="","",DADOS!C772)</f>
        <v/>
      </c>
      <c r="F772" s="9" t="str">
        <f>IF(DADOS!E772="","",DADOS!E772)</f>
        <v/>
      </c>
      <c r="G772" s="9" t="str">
        <f>IF(DADOS!F772="","",DADOS!F772)</f>
        <v/>
      </c>
      <c r="K772" s="6" t="str">
        <f t="shared" ref="K772:K835" si="65">IF(F772="","",F772/PI())</f>
        <v/>
      </c>
      <c r="L772" s="7" t="str">
        <f t="shared" ref="L772:L835" si="66">IF(K772="","",(PI()*K772^2)/40000)</f>
        <v/>
      </c>
      <c r="M772" s="7" t="str">
        <f t="shared" si="63"/>
        <v/>
      </c>
      <c r="N772" s="7" t="str">
        <f t="shared" ref="N772:N835" si="67">IF(M772="","",M772*N$1)</f>
        <v/>
      </c>
      <c r="O772" s="8"/>
      <c r="P772" s="26"/>
      <c r="S772" s="10" t="str">
        <f t="shared" si="64"/>
        <v/>
      </c>
    </row>
    <row r="773" spans="5:19" x14ac:dyDescent="0.3">
      <c r="E773" s="9" t="str">
        <f>IF(DADOS!C773="","",DADOS!C773)</f>
        <v/>
      </c>
      <c r="F773" s="9" t="str">
        <f>IF(DADOS!E773="","",DADOS!E773)</f>
        <v/>
      </c>
      <c r="G773" s="9" t="str">
        <f>IF(DADOS!F773="","",DADOS!F773)</f>
        <v/>
      </c>
      <c r="K773" s="6" t="str">
        <f t="shared" si="65"/>
        <v/>
      </c>
      <c r="L773" s="7" t="str">
        <f t="shared" si="66"/>
        <v/>
      </c>
      <c r="M773" s="7" t="str">
        <f t="shared" si="63"/>
        <v/>
      </c>
      <c r="N773" s="7" t="str">
        <f t="shared" si="67"/>
        <v/>
      </c>
      <c r="O773" s="8"/>
      <c r="P773" s="26"/>
      <c r="S773" s="10" t="str">
        <f t="shared" si="64"/>
        <v/>
      </c>
    </row>
    <row r="774" spans="5:19" x14ac:dyDescent="0.3">
      <c r="E774" s="9" t="str">
        <f>IF(DADOS!C774="","",DADOS!C774)</f>
        <v/>
      </c>
      <c r="F774" s="9" t="str">
        <f>IF(DADOS!E774="","",DADOS!E774)</f>
        <v/>
      </c>
      <c r="G774" s="9" t="str">
        <f>IF(DADOS!F774="","",DADOS!F774)</f>
        <v/>
      </c>
      <c r="K774" s="6" t="str">
        <f t="shared" si="65"/>
        <v/>
      </c>
      <c r="L774" s="7" t="str">
        <f t="shared" si="66"/>
        <v/>
      </c>
      <c r="M774" s="7" t="str">
        <f t="shared" si="63"/>
        <v/>
      </c>
      <c r="N774" s="7" t="str">
        <f t="shared" si="67"/>
        <v/>
      </c>
      <c r="O774" s="8"/>
      <c r="P774" s="26"/>
      <c r="S774" s="10" t="str">
        <f t="shared" si="64"/>
        <v/>
      </c>
    </row>
    <row r="775" spans="5:19" x14ac:dyDescent="0.3">
      <c r="E775" s="9" t="str">
        <f>IF(DADOS!C775="","",DADOS!C775)</f>
        <v/>
      </c>
      <c r="F775" s="9" t="str">
        <f>IF(DADOS!E775="","",DADOS!E775)</f>
        <v/>
      </c>
      <c r="G775" s="9" t="str">
        <f>IF(DADOS!F775="","",DADOS!F775)</f>
        <v/>
      </c>
      <c r="K775" s="6" t="str">
        <f t="shared" si="65"/>
        <v/>
      </c>
      <c r="L775" s="7" t="str">
        <f t="shared" si="66"/>
        <v/>
      </c>
      <c r="M775" s="7" t="str">
        <f t="shared" si="63"/>
        <v/>
      </c>
      <c r="N775" s="7" t="str">
        <f t="shared" si="67"/>
        <v/>
      </c>
      <c r="O775" s="8"/>
      <c r="P775" s="26"/>
      <c r="S775" s="10" t="str">
        <f t="shared" si="64"/>
        <v/>
      </c>
    </row>
    <row r="776" spans="5:19" x14ac:dyDescent="0.3">
      <c r="E776" s="9" t="str">
        <f>IF(DADOS!C776="","",DADOS!C776)</f>
        <v/>
      </c>
      <c r="F776" s="9" t="str">
        <f>IF(DADOS!E776="","",DADOS!E776)</f>
        <v/>
      </c>
      <c r="G776" s="9" t="str">
        <f>IF(DADOS!F776="","",DADOS!F776)</f>
        <v/>
      </c>
      <c r="K776" s="6" t="str">
        <f t="shared" si="65"/>
        <v/>
      </c>
      <c r="L776" s="7" t="str">
        <f t="shared" si="66"/>
        <v/>
      </c>
      <c r="M776" s="7" t="str">
        <f t="shared" si="63"/>
        <v/>
      </c>
      <c r="N776" s="7" t="str">
        <f t="shared" si="67"/>
        <v/>
      </c>
      <c r="O776" s="8"/>
      <c r="P776" s="26"/>
      <c r="S776" s="10" t="str">
        <f t="shared" si="64"/>
        <v/>
      </c>
    </row>
    <row r="777" spans="5:19" x14ac:dyDescent="0.3">
      <c r="E777" s="9" t="str">
        <f>IF(DADOS!C777="","",DADOS!C777)</f>
        <v/>
      </c>
      <c r="F777" s="9" t="str">
        <f>IF(DADOS!E777="","",DADOS!E777)</f>
        <v/>
      </c>
      <c r="G777" s="9" t="str">
        <f>IF(DADOS!F777="","",DADOS!F777)</f>
        <v/>
      </c>
      <c r="K777" s="6" t="str">
        <f t="shared" si="65"/>
        <v/>
      </c>
      <c r="L777" s="7" t="str">
        <f t="shared" si="66"/>
        <v/>
      </c>
      <c r="M777" s="7" t="str">
        <f t="shared" si="63"/>
        <v/>
      </c>
      <c r="N777" s="7" t="str">
        <f t="shared" si="67"/>
        <v/>
      </c>
      <c r="O777" s="8"/>
      <c r="P777" s="26"/>
      <c r="S777" s="10" t="str">
        <f t="shared" si="64"/>
        <v/>
      </c>
    </row>
    <row r="778" spans="5:19" x14ac:dyDescent="0.3">
      <c r="E778" s="9" t="str">
        <f>IF(DADOS!C778="","",DADOS!C778)</f>
        <v/>
      </c>
      <c r="F778" s="9" t="str">
        <f>IF(DADOS!E778="","",DADOS!E778)</f>
        <v/>
      </c>
      <c r="G778" s="9" t="str">
        <f>IF(DADOS!F778="","",DADOS!F778)</f>
        <v/>
      </c>
      <c r="K778" s="6" t="str">
        <f t="shared" si="65"/>
        <v/>
      </c>
      <c r="L778" s="7" t="str">
        <f t="shared" si="66"/>
        <v/>
      </c>
      <c r="M778" s="7" t="str">
        <f t="shared" si="63"/>
        <v/>
      </c>
      <c r="N778" s="7" t="str">
        <f t="shared" si="67"/>
        <v/>
      </c>
      <c r="O778" s="8"/>
      <c r="P778" s="26"/>
      <c r="S778" s="10" t="str">
        <f t="shared" si="64"/>
        <v/>
      </c>
    </row>
    <row r="779" spans="5:19" x14ac:dyDescent="0.3">
      <c r="E779" s="9" t="str">
        <f>IF(DADOS!C779="","",DADOS!C779)</f>
        <v/>
      </c>
      <c r="F779" s="9" t="str">
        <f>IF(DADOS!E779="","",DADOS!E779)</f>
        <v/>
      </c>
      <c r="G779" s="9" t="str">
        <f>IF(DADOS!F779="","",DADOS!F779)</f>
        <v/>
      </c>
      <c r="K779" s="6" t="str">
        <f t="shared" si="65"/>
        <v/>
      </c>
      <c r="L779" s="7" t="str">
        <f t="shared" si="66"/>
        <v/>
      </c>
      <c r="M779" s="7" t="str">
        <f t="shared" si="63"/>
        <v/>
      </c>
      <c r="N779" s="7" t="str">
        <f t="shared" si="67"/>
        <v/>
      </c>
      <c r="O779" s="8"/>
      <c r="P779" s="26"/>
      <c r="S779" s="10" t="str">
        <f t="shared" si="64"/>
        <v/>
      </c>
    </row>
    <row r="780" spans="5:19" x14ac:dyDescent="0.3">
      <c r="E780" s="9" t="str">
        <f>IF(DADOS!C780="","",DADOS!C780)</f>
        <v/>
      </c>
      <c r="F780" s="9" t="str">
        <f>IF(DADOS!E780="","",DADOS!E780)</f>
        <v/>
      </c>
      <c r="G780" s="9" t="str">
        <f>IF(DADOS!F780="","",DADOS!F780)</f>
        <v/>
      </c>
      <c r="K780" s="6" t="str">
        <f t="shared" si="65"/>
        <v/>
      </c>
      <c r="L780" s="7" t="str">
        <f t="shared" si="66"/>
        <v/>
      </c>
      <c r="M780" s="7" t="str">
        <f t="shared" si="63"/>
        <v/>
      </c>
      <c r="N780" s="7" t="str">
        <f t="shared" si="67"/>
        <v/>
      </c>
      <c r="O780" s="8"/>
      <c r="P780" s="26"/>
      <c r="S780" s="10" t="str">
        <f t="shared" si="64"/>
        <v/>
      </c>
    </row>
    <row r="781" spans="5:19" x14ac:dyDescent="0.3">
      <c r="E781" s="9" t="str">
        <f>IF(DADOS!C781="","",DADOS!C781)</f>
        <v/>
      </c>
      <c r="F781" s="9" t="str">
        <f>IF(DADOS!E781="","",DADOS!E781)</f>
        <v/>
      </c>
      <c r="G781" s="9" t="str">
        <f>IF(DADOS!F781="","",DADOS!F781)</f>
        <v/>
      </c>
      <c r="K781" s="6" t="str">
        <f t="shared" si="65"/>
        <v/>
      </c>
      <c r="L781" s="7" t="str">
        <f t="shared" si="66"/>
        <v/>
      </c>
      <c r="M781" s="7" t="str">
        <f t="shared" si="63"/>
        <v/>
      </c>
      <c r="N781" s="7" t="str">
        <f t="shared" si="67"/>
        <v/>
      </c>
      <c r="O781" s="8"/>
      <c r="P781" s="26"/>
      <c r="S781" s="10" t="str">
        <f t="shared" si="64"/>
        <v/>
      </c>
    </row>
    <row r="782" spans="5:19" x14ac:dyDescent="0.3">
      <c r="E782" s="9" t="str">
        <f>IF(DADOS!C782="","",DADOS!C782)</f>
        <v/>
      </c>
      <c r="F782" s="9" t="str">
        <f>IF(DADOS!E782="","",DADOS!E782)</f>
        <v/>
      </c>
      <c r="G782" s="9" t="str">
        <f>IF(DADOS!F782="","",DADOS!F782)</f>
        <v/>
      </c>
      <c r="K782" s="6" t="str">
        <f t="shared" si="65"/>
        <v/>
      </c>
      <c r="L782" s="7" t="str">
        <f t="shared" si="66"/>
        <v/>
      </c>
      <c r="M782" s="7" t="str">
        <f t="shared" si="63"/>
        <v/>
      </c>
      <c r="N782" s="7" t="str">
        <f t="shared" si="67"/>
        <v/>
      </c>
      <c r="O782" s="8"/>
      <c r="P782" s="26"/>
      <c r="S782" s="10" t="str">
        <f t="shared" si="64"/>
        <v/>
      </c>
    </row>
    <row r="783" spans="5:19" x14ac:dyDescent="0.3">
      <c r="E783" s="9" t="str">
        <f>IF(DADOS!C783="","",DADOS!C783)</f>
        <v/>
      </c>
      <c r="F783" s="9" t="str">
        <f>IF(DADOS!E783="","",DADOS!E783)</f>
        <v/>
      </c>
      <c r="G783" s="9" t="str">
        <f>IF(DADOS!F783="","",DADOS!F783)</f>
        <v/>
      </c>
      <c r="K783" s="6" t="str">
        <f t="shared" si="65"/>
        <v/>
      </c>
      <c r="L783" s="7" t="str">
        <f t="shared" si="66"/>
        <v/>
      </c>
      <c r="M783" s="7" t="str">
        <f t="shared" si="63"/>
        <v/>
      </c>
      <c r="N783" s="7" t="str">
        <f t="shared" si="67"/>
        <v/>
      </c>
      <c r="O783" s="8"/>
      <c r="P783" s="26"/>
      <c r="S783" s="10" t="str">
        <f t="shared" si="64"/>
        <v/>
      </c>
    </row>
    <row r="784" spans="5:19" x14ac:dyDescent="0.3">
      <c r="E784" s="9" t="str">
        <f>IF(DADOS!C784="","",DADOS!C784)</f>
        <v/>
      </c>
      <c r="F784" s="9" t="str">
        <f>IF(DADOS!E784="","",DADOS!E784)</f>
        <v/>
      </c>
      <c r="G784" s="9" t="str">
        <f>IF(DADOS!F784="","",DADOS!F784)</f>
        <v/>
      </c>
      <c r="K784" s="6" t="str">
        <f t="shared" si="65"/>
        <v/>
      </c>
      <c r="L784" s="7" t="str">
        <f t="shared" si="66"/>
        <v/>
      </c>
      <c r="M784" s="7" t="str">
        <f t="shared" si="63"/>
        <v/>
      </c>
      <c r="N784" s="7" t="str">
        <f t="shared" si="67"/>
        <v/>
      </c>
      <c r="O784" s="8"/>
      <c r="P784" s="26"/>
      <c r="S784" s="10" t="str">
        <f t="shared" si="64"/>
        <v/>
      </c>
    </row>
    <row r="785" spans="5:19" x14ac:dyDescent="0.3">
      <c r="E785" s="9" t="str">
        <f>IF(DADOS!C785="","",DADOS!C785)</f>
        <v/>
      </c>
      <c r="F785" s="9" t="str">
        <f>IF(DADOS!E785="","",DADOS!E785)</f>
        <v/>
      </c>
      <c r="G785" s="9" t="str">
        <f>IF(DADOS!F785="","",DADOS!F785)</f>
        <v/>
      </c>
      <c r="K785" s="6" t="str">
        <f t="shared" si="65"/>
        <v/>
      </c>
      <c r="L785" s="7" t="str">
        <f t="shared" si="66"/>
        <v/>
      </c>
      <c r="M785" s="7" t="str">
        <f t="shared" si="63"/>
        <v/>
      </c>
      <c r="N785" s="7" t="str">
        <f t="shared" si="67"/>
        <v/>
      </c>
      <c r="O785" s="8"/>
      <c r="P785" s="26"/>
      <c r="S785" s="10" t="str">
        <f t="shared" si="64"/>
        <v/>
      </c>
    </row>
    <row r="786" spans="5:19" x14ac:dyDescent="0.3">
      <c r="E786" s="9" t="str">
        <f>IF(DADOS!C786="","",DADOS!C786)</f>
        <v/>
      </c>
      <c r="F786" s="9" t="str">
        <f>IF(DADOS!E786="","",DADOS!E786)</f>
        <v/>
      </c>
      <c r="G786" s="9" t="str">
        <f>IF(DADOS!F786="","",DADOS!F786)</f>
        <v/>
      </c>
      <c r="K786" s="6" t="str">
        <f t="shared" si="65"/>
        <v/>
      </c>
      <c r="L786" s="7" t="str">
        <f t="shared" si="66"/>
        <v/>
      </c>
      <c r="M786" s="7" t="str">
        <f t="shared" si="63"/>
        <v/>
      </c>
      <c r="N786" s="7" t="str">
        <f t="shared" si="67"/>
        <v/>
      </c>
      <c r="O786" s="8"/>
      <c r="P786" s="26"/>
      <c r="S786" s="10" t="str">
        <f t="shared" si="64"/>
        <v/>
      </c>
    </row>
    <row r="787" spans="5:19" x14ac:dyDescent="0.3">
      <c r="E787" s="9" t="str">
        <f>IF(DADOS!C787="","",DADOS!C787)</f>
        <v/>
      </c>
      <c r="F787" s="9" t="str">
        <f>IF(DADOS!E787="","",DADOS!E787)</f>
        <v/>
      </c>
      <c r="G787" s="9" t="str">
        <f>IF(DADOS!F787="","",DADOS!F787)</f>
        <v/>
      </c>
      <c r="K787" s="6" t="str">
        <f t="shared" si="65"/>
        <v/>
      </c>
      <c r="L787" s="7" t="str">
        <f t="shared" si="66"/>
        <v/>
      </c>
      <c r="M787" s="7" t="str">
        <f t="shared" si="63"/>
        <v/>
      </c>
      <c r="N787" s="7" t="str">
        <f t="shared" si="67"/>
        <v/>
      </c>
      <c r="O787" s="8"/>
      <c r="P787" s="26"/>
      <c r="S787" s="10" t="str">
        <f t="shared" si="64"/>
        <v/>
      </c>
    </row>
    <row r="788" spans="5:19" x14ac:dyDescent="0.3">
      <c r="E788" s="9" t="str">
        <f>IF(DADOS!C788="","",DADOS!C788)</f>
        <v/>
      </c>
      <c r="F788" s="9" t="str">
        <f>IF(DADOS!E788="","",DADOS!E788)</f>
        <v/>
      </c>
      <c r="G788" s="9" t="str">
        <f>IF(DADOS!F788="","",DADOS!F788)</f>
        <v/>
      </c>
      <c r="K788" s="6" t="str">
        <f t="shared" si="65"/>
        <v/>
      </c>
      <c r="L788" s="7" t="str">
        <f t="shared" si="66"/>
        <v/>
      </c>
      <c r="M788" s="7" t="str">
        <f t="shared" si="63"/>
        <v/>
      </c>
      <c r="N788" s="7" t="str">
        <f t="shared" si="67"/>
        <v/>
      </c>
      <c r="O788" s="8"/>
      <c r="P788" s="26"/>
      <c r="S788" s="10" t="str">
        <f t="shared" si="64"/>
        <v/>
      </c>
    </row>
    <row r="789" spans="5:19" x14ac:dyDescent="0.3">
      <c r="E789" s="9" t="str">
        <f>IF(DADOS!C789="","",DADOS!C789)</f>
        <v/>
      </c>
      <c r="F789" s="9" t="str">
        <f>IF(DADOS!E789="","",DADOS!E789)</f>
        <v/>
      </c>
      <c r="G789" s="9" t="str">
        <f>IF(DADOS!F789="","",DADOS!F789)</f>
        <v/>
      </c>
      <c r="K789" s="6" t="str">
        <f t="shared" si="65"/>
        <v/>
      </c>
      <c r="L789" s="7" t="str">
        <f t="shared" si="66"/>
        <v/>
      </c>
      <c r="M789" s="7" t="str">
        <f t="shared" si="63"/>
        <v/>
      </c>
      <c r="N789" s="7" t="str">
        <f t="shared" si="67"/>
        <v/>
      </c>
      <c r="O789" s="8"/>
      <c r="P789" s="26"/>
      <c r="S789" s="10" t="str">
        <f t="shared" si="64"/>
        <v/>
      </c>
    </row>
    <row r="790" spans="5:19" x14ac:dyDescent="0.3">
      <c r="E790" s="9" t="str">
        <f>IF(DADOS!C790="","",DADOS!C790)</f>
        <v/>
      </c>
      <c r="F790" s="9" t="str">
        <f>IF(DADOS!E790="","",DADOS!E790)</f>
        <v/>
      </c>
      <c r="G790" s="9" t="str">
        <f>IF(DADOS!F790="","",DADOS!F790)</f>
        <v/>
      </c>
      <c r="K790" s="6" t="str">
        <f t="shared" si="65"/>
        <v/>
      </c>
      <c r="L790" s="7" t="str">
        <f t="shared" si="66"/>
        <v/>
      </c>
      <c r="M790" s="7" t="str">
        <f t="shared" si="63"/>
        <v/>
      </c>
      <c r="N790" s="7" t="str">
        <f t="shared" si="67"/>
        <v/>
      </c>
      <c r="O790" s="8"/>
      <c r="P790" s="26"/>
      <c r="S790" s="10" t="str">
        <f t="shared" si="64"/>
        <v/>
      </c>
    </row>
    <row r="791" spans="5:19" x14ac:dyDescent="0.3">
      <c r="E791" s="9" t="str">
        <f>IF(DADOS!C791="","",DADOS!C791)</f>
        <v/>
      </c>
      <c r="F791" s="9" t="str">
        <f>IF(DADOS!E791="","",DADOS!E791)</f>
        <v/>
      </c>
      <c r="G791" s="9" t="str">
        <f>IF(DADOS!F791="","",DADOS!F791)</f>
        <v/>
      </c>
      <c r="K791" s="6" t="str">
        <f t="shared" si="65"/>
        <v/>
      </c>
      <c r="L791" s="7" t="str">
        <f t="shared" si="66"/>
        <v/>
      </c>
      <c r="M791" s="7" t="str">
        <f t="shared" si="63"/>
        <v/>
      </c>
      <c r="N791" s="7" t="str">
        <f t="shared" si="67"/>
        <v/>
      </c>
      <c r="O791" s="8"/>
      <c r="P791" s="26"/>
      <c r="S791" s="10" t="str">
        <f t="shared" si="64"/>
        <v/>
      </c>
    </row>
    <row r="792" spans="5:19" x14ac:dyDescent="0.3">
      <c r="E792" s="9" t="str">
        <f>IF(DADOS!C792="","",DADOS!C792)</f>
        <v/>
      </c>
      <c r="F792" s="9" t="str">
        <f>IF(DADOS!E792="","",DADOS!E792)</f>
        <v/>
      </c>
      <c r="G792" s="9" t="str">
        <f>IF(DADOS!F792="","",DADOS!F792)</f>
        <v/>
      </c>
      <c r="K792" s="6" t="str">
        <f t="shared" si="65"/>
        <v/>
      </c>
      <c r="L792" s="7" t="str">
        <f t="shared" si="66"/>
        <v/>
      </c>
      <c r="M792" s="7" t="str">
        <f t="shared" si="63"/>
        <v/>
      </c>
      <c r="N792" s="7" t="str">
        <f t="shared" si="67"/>
        <v/>
      </c>
      <c r="O792" s="8"/>
      <c r="P792" s="26"/>
      <c r="S792" s="10" t="str">
        <f t="shared" si="64"/>
        <v/>
      </c>
    </row>
    <row r="793" spans="5:19" x14ac:dyDescent="0.3">
      <c r="E793" s="9" t="str">
        <f>IF(DADOS!C793="","",DADOS!C793)</f>
        <v/>
      </c>
      <c r="F793" s="9" t="str">
        <f>IF(DADOS!E793="","",DADOS!E793)</f>
        <v/>
      </c>
      <c r="G793" s="9" t="str">
        <f>IF(DADOS!F793="","",DADOS!F793)</f>
        <v/>
      </c>
      <c r="K793" s="6" t="str">
        <f t="shared" si="65"/>
        <v/>
      </c>
      <c r="L793" s="7" t="str">
        <f t="shared" si="66"/>
        <v/>
      </c>
      <c r="M793" s="7" t="str">
        <f t="shared" si="63"/>
        <v/>
      </c>
      <c r="N793" s="7" t="str">
        <f t="shared" si="67"/>
        <v/>
      </c>
      <c r="O793" s="8"/>
      <c r="P793" s="26"/>
      <c r="S793" s="10" t="str">
        <f t="shared" si="64"/>
        <v/>
      </c>
    </row>
    <row r="794" spans="5:19" x14ac:dyDescent="0.3">
      <c r="E794" s="9" t="str">
        <f>IF(DADOS!C794="","",DADOS!C794)</f>
        <v/>
      </c>
      <c r="F794" s="9" t="str">
        <f>IF(DADOS!E794="","",DADOS!E794)</f>
        <v/>
      </c>
      <c r="G794" s="9" t="str">
        <f>IF(DADOS!F794="","",DADOS!F794)</f>
        <v/>
      </c>
      <c r="K794" s="6" t="str">
        <f t="shared" si="65"/>
        <v/>
      </c>
      <c r="L794" s="7" t="str">
        <f t="shared" si="66"/>
        <v/>
      </c>
      <c r="M794" s="7" t="str">
        <f t="shared" si="63"/>
        <v/>
      </c>
      <c r="N794" s="7" t="str">
        <f t="shared" si="67"/>
        <v/>
      </c>
      <c r="O794" s="8"/>
      <c r="P794" s="26"/>
      <c r="S794" s="10" t="str">
        <f t="shared" si="64"/>
        <v/>
      </c>
    </row>
    <row r="795" spans="5:19" x14ac:dyDescent="0.3">
      <c r="E795" s="9" t="str">
        <f>IF(DADOS!C795="","",DADOS!C795)</f>
        <v/>
      </c>
      <c r="F795" s="9" t="str">
        <f>IF(DADOS!E795="","",DADOS!E795)</f>
        <v/>
      </c>
      <c r="G795" s="9" t="str">
        <f>IF(DADOS!F795="","",DADOS!F795)</f>
        <v/>
      </c>
      <c r="K795" s="6" t="str">
        <f t="shared" si="65"/>
        <v/>
      </c>
      <c r="L795" s="7" t="str">
        <f t="shared" si="66"/>
        <v/>
      </c>
      <c r="M795" s="7" t="str">
        <f t="shared" si="63"/>
        <v/>
      </c>
      <c r="N795" s="7" t="str">
        <f t="shared" si="67"/>
        <v/>
      </c>
      <c r="O795" s="8"/>
      <c r="P795" s="26"/>
      <c r="S795" s="10" t="str">
        <f t="shared" si="64"/>
        <v/>
      </c>
    </row>
    <row r="796" spans="5:19" x14ac:dyDescent="0.3">
      <c r="E796" s="9" t="str">
        <f>IF(DADOS!C796="","",DADOS!C796)</f>
        <v/>
      </c>
      <c r="F796" s="9" t="str">
        <f>IF(DADOS!E796="","",DADOS!E796)</f>
        <v/>
      </c>
      <c r="G796" s="9" t="str">
        <f>IF(DADOS!F796="","",DADOS!F796)</f>
        <v/>
      </c>
      <c r="K796" s="6" t="str">
        <f t="shared" si="65"/>
        <v/>
      </c>
      <c r="L796" s="7" t="str">
        <f t="shared" si="66"/>
        <v/>
      </c>
      <c r="M796" s="7" t="str">
        <f t="shared" si="63"/>
        <v/>
      </c>
      <c r="N796" s="7" t="str">
        <f t="shared" si="67"/>
        <v/>
      </c>
      <c r="O796" s="8"/>
      <c r="P796" s="26"/>
      <c r="S796" s="10" t="str">
        <f t="shared" si="64"/>
        <v/>
      </c>
    </row>
    <row r="797" spans="5:19" x14ac:dyDescent="0.3">
      <c r="E797" s="9" t="str">
        <f>IF(DADOS!C797="","",DADOS!C797)</f>
        <v/>
      </c>
      <c r="F797" s="9" t="str">
        <f>IF(DADOS!E797="","",DADOS!E797)</f>
        <v/>
      </c>
      <c r="G797" s="9" t="str">
        <f>IF(DADOS!F797="","",DADOS!F797)</f>
        <v/>
      </c>
      <c r="K797" s="6" t="str">
        <f t="shared" si="65"/>
        <v/>
      </c>
      <c r="L797" s="7" t="str">
        <f t="shared" si="66"/>
        <v/>
      </c>
      <c r="M797" s="7" t="str">
        <f t="shared" si="63"/>
        <v/>
      </c>
      <c r="N797" s="7" t="str">
        <f t="shared" si="67"/>
        <v/>
      </c>
      <c r="O797" s="8"/>
      <c r="P797" s="26"/>
      <c r="S797" s="10" t="str">
        <f t="shared" si="64"/>
        <v/>
      </c>
    </row>
    <row r="798" spans="5:19" x14ac:dyDescent="0.3">
      <c r="E798" s="9" t="str">
        <f>IF(DADOS!C798="","",DADOS!C798)</f>
        <v/>
      </c>
      <c r="F798" s="9" t="str">
        <f>IF(DADOS!E798="","",DADOS!E798)</f>
        <v/>
      </c>
      <c r="G798" s="9" t="str">
        <f>IF(DADOS!F798="","",DADOS!F798)</f>
        <v/>
      </c>
      <c r="K798" s="6" t="str">
        <f t="shared" si="65"/>
        <v/>
      </c>
      <c r="L798" s="7" t="str">
        <f t="shared" si="66"/>
        <v/>
      </c>
      <c r="M798" s="7" t="str">
        <f t="shared" si="63"/>
        <v/>
      </c>
      <c r="N798" s="7" t="str">
        <f t="shared" si="67"/>
        <v/>
      </c>
      <c r="O798" s="8"/>
      <c r="P798" s="26"/>
      <c r="S798" s="10" t="str">
        <f t="shared" si="64"/>
        <v/>
      </c>
    </row>
    <row r="799" spans="5:19" x14ac:dyDescent="0.3">
      <c r="E799" s="9" t="str">
        <f>IF(DADOS!C799="","",DADOS!C799)</f>
        <v/>
      </c>
      <c r="F799" s="9" t="str">
        <f>IF(DADOS!E799="","",DADOS!E799)</f>
        <v/>
      </c>
      <c r="G799" s="9" t="str">
        <f>IF(DADOS!F799="","",DADOS!F799)</f>
        <v/>
      </c>
      <c r="K799" s="6" t="str">
        <f t="shared" si="65"/>
        <v/>
      </c>
      <c r="L799" s="7" t="str">
        <f t="shared" si="66"/>
        <v/>
      </c>
      <c r="M799" s="7" t="str">
        <f t="shared" si="63"/>
        <v/>
      </c>
      <c r="N799" s="7" t="str">
        <f t="shared" si="67"/>
        <v/>
      </c>
      <c r="O799" s="8"/>
      <c r="P799" s="26"/>
      <c r="S799" s="10" t="str">
        <f t="shared" si="64"/>
        <v/>
      </c>
    </row>
    <row r="800" spans="5:19" x14ac:dyDescent="0.3">
      <c r="E800" s="9" t="str">
        <f>IF(DADOS!C800="","",DADOS!C800)</f>
        <v/>
      </c>
      <c r="F800" s="9" t="str">
        <f>IF(DADOS!E800="","",DADOS!E800)</f>
        <v/>
      </c>
      <c r="G800" s="9" t="str">
        <f>IF(DADOS!F800="","",DADOS!F800)</f>
        <v/>
      </c>
      <c r="K800" s="6" t="str">
        <f t="shared" si="65"/>
        <v/>
      </c>
      <c r="L800" s="7" t="str">
        <f t="shared" si="66"/>
        <v/>
      </c>
      <c r="M800" s="7" t="str">
        <f t="shared" si="63"/>
        <v/>
      </c>
      <c r="N800" s="7" t="str">
        <f t="shared" si="67"/>
        <v/>
      </c>
      <c r="O800" s="8"/>
      <c r="P800" s="26"/>
      <c r="S800" s="10" t="str">
        <f t="shared" si="64"/>
        <v/>
      </c>
    </row>
    <row r="801" spans="5:19" x14ac:dyDescent="0.3">
      <c r="E801" s="9" t="str">
        <f>IF(DADOS!C801="","",DADOS!C801)</f>
        <v/>
      </c>
      <c r="F801" s="9" t="str">
        <f>IF(DADOS!E801="","",DADOS!E801)</f>
        <v/>
      </c>
      <c r="G801" s="9" t="str">
        <f>IF(DADOS!F801="","",DADOS!F801)</f>
        <v/>
      </c>
      <c r="K801" s="6" t="str">
        <f t="shared" si="65"/>
        <v/>
      </c>
      <c r="L801" s="7" t="str">
        <f t="shared" si="66"/>
        <v/>
      </c>
      <c r="M801" s="7" t="str">
        <f t="shared" si="63"/>
        <v/>
      </c>
      <c r="N801" s="7" t="str">
        <f t="shared" si="67"/>
        <v/>
      </c>
      <c r="O801" s="8"/>
      <c r="P801" s="26"/>
      <c r="S801" s="10" t="str">
        <f t="shared" si="64"/>
        <v/>
      </c>
    </row>
    <row r="802" spans="5:19" x14ac:dyDescent="0.3">
      <c r="E802" s="9" t="str">
        <f>IF(DADOS!C802="","",DADOS!C802)</f>
        <v/>
      </c>
      <c r="F802" s="9" t="str">
        <f>IF(DADOS!E802="","",DADOS!E802)</f>
        <v/>
      </c>
      <c r="G802" s="9" t="str">
        <f>IF(DADOS!F802="","",DADOS!F802)</f>
        <v/>
      </c>
      <c r="K802" s="6" t="str">
        <f t="shared" si="65"/>
        <v/>
      </c>
      <c r="L802" s="7" t="str">
        <f t="shared" si="66"/>
        <v/>
      </c>
      <c r="M802" s="7" t="str">
        <f t="shared" si="63"/>
        <v/>
      </c>
      <c r="N802" s="7" t="str">
        <f t="shared" si="67"/>
        <v/>
      </c>
      <c r="O802" s="8"/>
      <c r="P802" s="26"/>
      <c r="S802" s="10" t="str">
        <f t="shared" si="64"/>
        <v/>
      </c>
    </row>
    <row r="803" spans="5:19" x14ac:dyDescent="0.3">
      <c r="E803" s="9" t="str">
        <f>IF(DADOS!C803="","",DADOS!C803)</f>
        <v/>
      </c>
      <c r="F803" s="9" t="str">
        <f>IF(DADOS!E803="","",DADOS!E803)</f>
        <v/>
      </c>
      <c r="G803" s="9" t="str">
        <f>IF(DADOS!F803="","",DADOS!F803)</f>
        <v/>
      </c>
      <c r="K803" s="6" t="str">
        <f t="shared" si="65"/>
        <v/>
      </c>
      <c r="L803" s="7" t="str">
        <f t="shared" si="66"/>
        <v/>
      </c>
      <c r="M803" s="7" t="str">
        <f t="shared" si="63"/>
        <v/>
      </c>
      <c r="N803" s="7" t="str">
        <f t="shared" si="67"/>
        <v/>
      </c>
      <c r="O803" s="8"/>
      <c r="P803" s="26"/>
      <c r="S803" s="10" t="str">
        <f t="shared" si="64"/>
        <v/>
      </c>
    </row>
    <row r="804" spans="5:19" x14ac:dyDescent="0.3">
      <c r="E804" s="9" t="str">
        <f>IF(DADOS!C804="","",DADOS!C804)</f>
        <v/>
      </c>
      <c r="F804" s="9" t="str">
        <f>IF(DADOS!E804="","",DADOS!E804)</f>
        <v/>
      </c>
      <c r="G804" s="9" t="str">
        <f>IF(DADOS!F804="","",DADOS!F804)</f>
        <v/>
      </c>
      <c r="K804" s="6" t="str">
        <f t="shared" si="65"/>
        <v/>
      </c>
      <c r="L804" s="7" t="str">
        <f t="shared" si="66"/>
        <v/>
      </c>
      <c r="M804" s="7" t="str">
        <f t="shared" si="63"/>
        <v/>
      </c>
      <c r="N804" s="7" t="str">
        <f t="shared" si="67"/>
        <v/>
      </c>
      <c r="O804" s="8"/>
      <c r="P804" s="26"/>
      <c r="S804" s="10" t="str">
        <f t="shared" si="64"/>
        <v/>
      </c>
    </row>
    <row r="805" spans="5:19" x14ac:dyDescent="0.3">
      <c r="E805" s="9" t="str">
        <f>IF(DADOS!C805="","",DADOS!C805)</f>
        <v/>
      </c>
      <c r="F805" s="9" t="str">
        <f>IF(DADOS!E805="","",DADOS!E805)</f>
        <v/>
      </c>
      <c r="G805" s="9" t="str">
        <f>IF(DADOS!F805="","",DADOS!F805)</f>
        <v/>
      </c>
      <c r="K805" s="6" t="str">
        <f t="shared" si="65"/>
        <v/>
      </c>
      <c r="L805" s="7" t="str">
        <f t="shared" si="66"/>
        <v/>
      </c>
      <c r="M805" s="7" t="str">
        <f t="shared" si="63"/>
        <v/>
      </c>
      <c r="N805" s="7" t="str">
        <f t="shared" si="67"/>
        <v/>
      </c>
      <c r="O805" s="8"/>
      <c r="P805" s="26"/>
      <c r="S805" s="10" t="str">
        <f t="shared" si="64"/>
        <v/>
      </c>
    </row>
    <row r="806" spans="5:19" x14ac:dyDescent="0.3">
      <c r="E806" s="9" t="str">
        <f>IF(DADOS!C806="","",DADOS!C806)</f>
        <v/>
      </c>
      <c r="F806" s="9" t="str">
        <f>IF(DADOS!E806="","",DADOS!E806)</f>
        <v/>
      </c>
      <c r="G806" s="9" t="str">
        <f>IF(DADOS!F806="","",DADOS!F806)</f>
        <v/>
      </c>
      <c r="K806" s="6" t="str">
        <f t="shared" si="65"/>
        <v/>
      </c>
      <c r="L806" s="7" t="str">
        <f t="shared" si="66"/>
        <v/>
      </c>
      <c r="M806" s="7" t="str">
        <f t="shared" si="63"/>
        <v/>
      </c>
      <c r="N806" s="7" t="str">
        <f t="shared" si="67"/>
        <v/>
      </c>
      <c r="O806" s="8"/>
      <c r="P806" s="26"/>
      <c r="S806" s="10" t="str">
        <f t="shared" si="64"/>
        <v/>
      </c>
    </row>
    <row r="807" spans="5:19" x14ac:dyDescent="0.3">
      <c r="E807" s="9" t="str">
        <f>IF(DADOS!C807="","",DADOS!C807)</f>
        <v/>
      </c>
      <c r="F807" s="9" t="str">
        <f>IF(DADOS!E807="","",DADOS!E807)</f>
        <v/>
      </c>
      <c r="G807" s="9" t="str">
        <f>IF(DADOS!F807="","",DADOS!F807)</f>
        <v/>
      </c>
      <c r="K807" s="6" t="str">
        <f t="shared" si="65"/>
        <v/>
      </c>
      <c r="L807" s="7" t="str">
        <f t="shared" si="66"/>
        <v/>
      </c>
      <c r="M807" s="7" t="str">
        <f t="shared" si="63"/>
        <v/>
      </c>
      <c r="N807" s="7" t="str">
        <f t="shared" si="67"/>
        <v/>
      </c>
      <c r="O807" s="8"/>
      <c r="P807" s="26"/>
      <c r="S807" s="10" t="str">
        <f t="shared" si="64"/>
        <v/>
      </c>
    </row>
    <row r="808" spans="5:19" x14ac:dyDescent="0.3">
      <c r="E808" s="9" t="str">
        <f>IF(DADOS!C808="","",DADOS!C808)</f>
        <v/>
      </c>
      <c r="F808" s="9" t="str">
        <f>IF(DADOS!E808="","",DADOS!E808)</f>
        <v/>
      </c>
      <c r="G808" s="9" t="str">
        <f>IF(DADOS!F808="","",DADOS!F808)</f>
        <v/>
      </c>
      <c r="K808" s="6" t="str">
        <f t="shared" si="65"/>
        <v/>
      </c>
      <c r="L808" s="7" t="str">
        <f t="shared" si="66"/>
        <v/>
      </c>
      <c r="M808" s="7" t="str">
        <f t="shared" si="63"/>
        <v/>
      </c>
      <c r="N808" s="7" t="str">
        <f t="shared" si="67"/>
        <v/>
      </c>
      <c r="O808" s="8"/>
      <c r="P808" s="26"/>
      <c r="S808" s="10" t="str">
        <f t="shared" si="64"/>
        <v/>
      </c>
    </row>
    <row r="809" spans="5:19" x14ac:dyDescent="0.3">
      <c r="E809" s="9" t="str">
        <f>IF(DADOS!C809="","",DADOS!C809)</f>
        <v/>
      </c>
      <c r="F809" s="9" t="str">
        <f>IF(DADOS!E809="","",DADOS!E809)</f>
        <v/>
      </c>
      <c r="G809" s="9" t="str">
        <f>IF(DADOS!F809="","",DADOS!F809)</f>
        <v/>
      </c>
      <c r="K809" s="6" t="str">
        <f t="shared" si="65"/>
        <v/>
      </c>
      <c r="L809" s="7" t="str">
        <f t="shared" si="66"/>
        <v/>
      </c>
      <c r="M809" s="7" t="str">
        <f t="shared" si="63"/>
        <v/>
      </c>
      <c r="N809" s="7" t="str">
        <f t="shared" si="67"/>
        <v/>
      </c>
      <c r="O809" s="8"/>
      <c r="P809" s="26"/>
      <c r="S809" s="10" t="str">
        <f t="shared" si="64"/>
        <v/>
      </c>
    </row>
    <row r="810" spans="5:19" x14ac:dyDescent="0.3">
      <c r="E810" s="9" t="str">
        <f>IF(DADOS!C810="","",DADOS!C810)</f>
        <v/>
      </c>
      <c r="F810" s="9" t="str">
        <f>IF(DADOS!E810="","",DADOS!E810)</f>
        <v/>
      </c>
      <c r="G810" s="9" t="str">
        <f>IF(DADOS!F810="","",DADOS!F810)</f>
        <v/>
      </c>
      <c r="K810" s="6" t="str">
        <f t="shared" si="65"/>
        <v/>
      </c>
      <c r="L810" s="7" t="str">
        <f t="shared" si="66"/>
        <v/>
      </c>
      <c r="M810" s="7" t="str">
        <f t="shared" si="63"/>
        <v/>
      </c>
      <c r="N810" s="7" t="str">
        <f t="shared" si="67"/>
        <v/>
      </c>
      <c r="O810" s="8"/>
      <c r="P810" s="26"/>
      <c r="S810" s="10" t="str">
        <f t="shared" si="64"/>
        <v/>
      </c>
    </row>
    <row r="811" spans="5:19" x14ac:dyDescent="0.3">
      <c r="E811" s="9" t="str">
        <f>IF(DADOS!C811="","",DADOS!C811)</f>
        <v/>
      </c>
      <c r="F811" s="9" t="str">
        <f>IF(DADOS!E811="","",DADOS!E811)</f>
        <v/>
      </c>
      <c r="G811" s="9" t="str">
        <f>IF(DADOS!F811="","",DADOS!F811)</f>
        <v/>
      </c>
      <c r="K811" s="6" t="str">
        <f t="shared" si="65"/>
        <v/>
      </c>
      <c r="L811" s="7" t="str">
        <f t="shared" si="66"/>
        <v/>
      </c>
      <c r="M811" s="7" t="str">
        <f t="shared" si="63"/>
        <v/>
      </c>
      <c r="N811" s="7" t="str">
        <f t="shared" si="67"/>
        <v/>
      </c>
      <c r="O811" s="8"/>
      <c r="P811" s="26"/>
      <c r="S811" s="10" t="str">
        <f t="shared" si="64"/>
        <v/>
      </c>
    </row>
    <row r="812" spans="5:19" x14ac:dyDescent="0.3">
      <c r="E812" s="9" t="str">
        <f>IF(DADOS!C812="","",DADOS!C812)</f>
        <v/>
      </c>
      <c r="F812" s="9" t="str">
        <f>IF(DADOS!E812="","",DADOS!E812)</f>
        <v/>
      </c>
      <c r="G812" s="9" t="str">
        <f>IF(DADOS!F812="","",DADOS!F812)</f>
        <v/>
      </c>
      <c r="K812" s="6" t="str">
        <f t="shared" si="65"/>
        <v/>
      </c>
      <c r="L812" s="7" t="str">
        <f t="shared" si="66"/>
        <v/>
      </c>
      <c r="M812" s="7" t="str">
        <f t="shared" si="63"/>
        <v/>
      </c>
      <c r="N812" s="7" t="str">
        <f t="shared" si="67"/>
        <v/>
      </c>
      <c r="O812" s="8"/>
      <c r="P812" s="26"/>
      <c r="S812" s="10" t="str">
        <f t="shared" si="64"/>
        <v/>
      </c>
    </row>
    <row r="813" spans="5:19" x14ac:dyDescent="0.3">
      <c r="E813" s="9" t="str">
        <f>IF(DADOS!C813="","",DADOS!C813)</f>
        <v/>
      </c>
      <c r="F813" s="9" t="str">
        <f>IF(DADOS!E813="","",DADOS!E813)</f>
        <v/>
      </c>
      <c r="G813" s="9" t="str">
        <f>IF(DADOS!F813="","",DADOS!F813)</f>
        <v/>
      </c>
      <c r="K813" s="6" t="str">
        <f t="shared" si="65"/>
        <v/>
      </c>
      <c r="L813" s="7" t="str">
        <f t="shared" si="66"/>
        <v/>
      </c>
      <c r="M813" s="7" t="str">
        <f t="shared" si="63"/>
        <v/>
      </c>
      <c r="N813" s="7" t="str">
        <f t="shared" si="67"/>
        <v/>
      </c>
      <c r="O813" s="8"/>
      <c r="P813" s="26"/>
      <c r="S813" s="10" t="str">
        <f t="shared" si="64"/>
        <v/>
      </c>
    </row>
    <row r="814" spans="5:19" x14ac:dyDescent="0.3">
      <c r="E814" s="9" t="str">
        <f>IF(DADOS!C814="","",DADOS!C814)</f>
        <v/>
      </c>
      <c r="F814" s="9" t="str">
        <f>IF(DADOS!E814="","",DADOS!E814)</f>
        <v/>
      </c>
      <c r="G814" s="9" t="str">
        <f>IF(DADOS!F814="","",DADOS!F814)</f>
        <v/>
      </c>
      <c r="K814" s="6" t="str">
        <f t="shared" si="65"/>
        <v/>
      </c>
      <c r="L814" s="7" t="str">
        <f t="shared" si="66"/>
        <v/>
      </c>
      <c r="M814" s="7" t="str">
        <f t="shared" si="63"/>
        <v/>
      </c>
      <c r="N814" s="7" t="str">
        <f t="shared" si="67"/>
        <v/>
      </c>
      <c r="O814" s="8"/>
      <c r="P814" s="26"/>
      <c r="S814" s="10" t="str">
        <f t="shared" si="64"/>
        <v/>
      </c>
    </row>
    <row r="815" spans="5:19" x14ac:dyDescent="0.3">
      <c r="E815" s="9" t="str">
        <f>IF(DADOS!C815="","",DADOS!C815)</f>
        <v/>
      </c>
      <c r="F815" s="9" t="str">
        <f>IF(DADOS!E815="","",DADOS!E815)</f>
        <v/>
      </c>
      <c r="G815" s="9" t="str">
        <f>IF(DADOS!F815="","",DADOS!F815)</f>
        <v/>
      </c>
      <c r="K815" s="6" t="str">
        <f t="shared" si="65"/>
        <v/>
      </c>
      <c r="L815" s="7" t="str">
        <f t="shared" si="66"/>
        <v/>
      </c>
      <c r="M815" s="7" t="str">
        <f t="shared" si="63"/>
        <v/>
      </c>
      <c r="N815" s="7" t="str">
        <f t="shared" si="67"/>
        <v/>
      </c>
      <c r="O815" s="8"/>
      <c r="P815" s="26"/>
      <c r="S815" s="10" t="str">
        <f t="shared" si="64"/>
        <v/>
      </c>
    </row>
    <row r="816" spans="5:19" x14ac:dyDescent="0.3">
      <c r="E816" s="9" t="str">
        <f>IF(DADOS!C816="","",DADOS!C816)</f>
        <v/>
      </c>
      <c r="F816" s="9" t="str">
        <f>IF(DADOS!E816="","",DADOS!E816)</f>
        <v/>
      </c>
      <c r="G816" s="9" t="str">
        <f>IF(DADOS!F816="","",DADOS!F816)</f>
        <v/>
      </c>
      <c r="K816" s="6" t="str">
        <f t="shared" si="65"/>
        <v/>
      </c>
      <c r="L816" s="7" t="str">
        <f t="shared" si="66"/>
        <v/>
      </c>
      <c r="M816" s="7" t="str">
        <f t="shared" si="63"/>
        <v/>
      </c>
      <c r="N816" s="7" t="str">
        <f t="shared" si="67"/>
        <v/>
      </c>
      <c r="O816" s="8"/>
      <c r="P816" s="26"/>
      <c r="S816" s="10" t="str">
        <f t="shared" si="64"/>
        <v/>
      </c>
    </row>
    <row r="817" spans="5:19" x14ac:dyDescent="0.3">
      <c r="E817" s="9" t="str">
        <f>IF(DADOS!C817="","",DADOS!C817)</f>
        <v/>
      </c>
      <c r="F817" s="9" t="str">
        <f>IF(DADOS!E817="","",DADOS!E817)</f>
        <v/>
      </c>
      <c r="G817" s="9" t="str">
        <f>IF(DADOS!F817="","",DADOS!F817)</f>
        <v/>
      </c>
      <c r="K817" s="6" t="str">
        <f t="shared" si="65"/>
        <v/>
      </c>
      <c r="L817" s="7" t="str">
        <f t="shared" si="66"/>
        <v/>
      </c>
      <c r="M817" s="7" t="str">
        <f t="shared" si="63"/>
        <v/>
      </c>
      <c r="N817" s="7" t="str">
        <f t="shared" si="67"/>
        <v/>
      </c>
      <c r="O817" s="8"/>
      <c r="P817" s="26"/>
      <c r="S817" s="10" t="str">
        <f t="shared" si="64"/>
        <v/>
      </c>
    </row>
    <row r="818" spans="5:19" x14ac:dyDescent="0.3">
      <c r="E818" s="9" t="str">
        <f>IF(DADOS!C818="","",DADOS!C818)</f>
        <v/>
      </c>
      <c r="F818" s="9" t="str">
        <f>IF(DADOS!E818="","",DADOS!E818)</f>
        <v/>
      </c>
      <c r="G818" s="9" t="str">
        <f>IF(DADOS!F818="","",DADOS!F818)</f>
        <v/>
      </c>
      <c r="K818" s="6" t="str">
        <f t="shared" si="65"/>
        <v/>
      </c>
      <c r="L818" s="7" t="str">
        <f t="shared" si="66"/>
        <v/>
      </c>
      <c r="M818" s="7" t="str">
        <f t="shared" si="63"/>
        <v/>
      </c>
      <c r="N818" s="7" t="str">
        <f t="shared" si="67"/>
        <v/>
      </c>
      <c r="O818" s="8"/>
      <c r="P818" s="26"/>
      <c r="S818" s="10" t="str">
        <f t="shared" si="64"/>
        <v/>
      </c>
    </row>
    <row r="819" spans="5:19" x14ac:dyDescent="0.3">
      <c r="E819" s="9" t="str">
        <f>IF(DADOS!C819="","",DADOS!C819)</f>
        <v/>
      </c>
      <c r="F819" s="9" t="str">
        <f>IF(DADOS!E819="","",DADOS!E819)</f>
        <v/>
      </c>
      <c r="G819" s="9" t="str">
        <f>IF(DADOS!F819="","",DADOS!F819)</f>
        <v/>
      </c>
      <c r="K819" s="6" t="str">
        <f t="shared" si="65"/>
        <v/>
      </c>
      <c r="L819" s="7" t="str">
        <f t="shared" si="66"/>
        <v/>
      </c>
      <c r="M819" s="7" t="str">
        <f t="shared" si="63"/>
        <v/>
      </c>
      <c r="N819" s="7" t="str">
        <f t="shared" si="67"/>
        <v/>
      </c>
      <c r="O819" s="8"/>
      <c r="P819" s="26"/>
      <c r="S819" s="10" t="str">
        <f t="shared" si="64"/>
        <v/>
      </c>
    </row>
    <row r="820" spans="5:19" x14ac:dyDescent="0.3">
      <c r="E820" s="9" t="str">
        <f>IF(DADOS!C820="","",DADOS!C820)</f>
        <v/>
      </c>
      <c r="F820" s="9" t="str">
        <f>IF(DADOS!E820="","",DADOS!E820)</f>
        <v/>
      </c>
      <c r="G820" s="9" t="str">
        <f>IF(DADOS!F820="","",DADOS!F820)</f>
        <v/>
      </c>
      <c r="K820" s="6" t="str">
        <f t="shared" si="65"/>
        <v/>
      </c>
      <c r="L820" s="7" t="str">
        <f t="shared" si="66"/>
        <v/>
      </c>
      <c r="M820" s="7" t="str">
        <f t="shared" si="63"/>
        <v/>
      </c>
      <c r="N820" s="7" t="str">
        <f t="shared" si="67"/>
        <v/>
      </c>
      <c r="O820" s="8"/>
      <c r="P820" s="26"/>
      <c r="S820" s="10" t="str">
        <f t="shared" si="64"/>
        <v/>
      </c>
    </row>
    <row r="821" spans="5:19" x14ac:dyDescent="0.3">
      <c r="E821" s="9" t="str">
        <f>IF(DADOS!C821="","",DADOS!C821)</f>
        <v/>
      </c>
      <c r="F821" s="9" t="str">
        <f>IF(DADOS!E821="","",DADOS!E821)</f>
        <v/>
      </c>
      <c r="G821" s="9" t="str">
        <f>IF(DADOS!F821="","",DADOS!F821)</f>
        <v/>
      </c>
      <c r="K821" s="6" t="str">
        <f t="shared" si="65"/>
        <v/>
      </c>
      <c r="L821" s="7" t="str">
        <f t="shared" si="66"/>
        <v/>
      </c>
      <c r="M821" s="7" t="str">
        <f t="shared" si="63"/>
        <v/>
      </c>
      <c r="N821" s="7" t="str">
        <f t="shared" si="67"/>
        <v/>
      </c>
      <c r="O821" s="8"/>
      <c r="P821" s="26"/>
      <c r="S821" s="10" t="str">
        <f t="shared" si="64"/>
        <v/>
      </c>
    </row>
    <row r="822" spans="5:19" x14ac:dyDescent="0.3">
      <c r="E822" s="9" t="str">
        <f>IF(DADOS!C822="","",DADOS!C822)</f>
        <v/>
      </c>
      <c r="F822" s="9" t="str">
        <f>IF(DADOS!E822="","",DADOS!E822)</f>
        <v/>
      </c>
      <c r="G822" s="9" t="str">
        <f>IF(DADOS!F822="","",DADOS!F822)</f>
        <v/>
      </c>
      <c r="K822" s="6" t="str">
        <f t="shared" si="65"/>
        <v/>
      </c>
      <c r="L822" s="7" t="str">
        <f t="shared" si="66"/>
        <v/>
      </c>
      <c r="M822" s="7" t="str">
        <f t="shared" si="63"/>
        <v/>
      </c>
      <c r="N822" s="7" t="str">
        <f t="shared" si="67"/>
        <v/>
      </c>
      <c r="O822" s="8"/>
      <c r="P822" s="26"/>
      <c r="S822" s="10" t="str">
        <f t="shared" si="64"/>
        <v/>
      </c>
    </row>
    <row r="823" spans="5:19" x14ac:dyDescent="0.3">
      <c r="E823" s="9" t="str">
        <f>IF(DADOS!C823="","",DADOS!C823)</f>
        <v/>
      </c>
      <c r="F823" s="9" t="str">
        <f>IF(DADOS!E823="","",DADOS!E823)</f>
        <v/>
      </c>
      <c r="G823" s="9" t="str">
        <f>IF(DADOS!F823="","",DADOS!F823)</f>
        <v/>
      </c>
      <c r="K823" s="6" t="str">
        <f t="shared" si="65"/>
        <v/>
      </c>
      <c r="L823" s="7" t="str">
        <f t="shared" si="66"/>
        <v/>
      </c>
      <c r="M823" s="7" t="str">
        <f t="shared" si="63"/>
        <v/>
      </c>
      <c r="N823" s="7" t="str">
        <f t="shared" si="67"/>
        <v/>
      </c>
      <c r="O823" s="8"/>
      <c r="P823" s="26"/>
      <c r="S823" s="10" t="str">
        <f t="shared" si="64"/>
        <v/>
      </c>
    </row>
    <row r="824" spans="5:19" x14ac:dyDescent="0.3">
      <c r="E824" s="9" t="str">
        <f>IF(DADOS!C824="","",DADOS!C824)</f>
        <v/>
      </c>
      <c r="F824" s="9" t="str">
        <f>IF(DADOS!E824="","",DADOS!E824)</f>
        <v/>
      </c>
      <c r="G824" s="9" t="str">
        <f>IF(DADOS!F824="","",DADOS!F824)</f>
        <v/>
      </c>
      <c r="K824" s="6" t="str">
        <f t="shared" si="65"/>
        <v/>
      </c>
      <c r="L824" s="7" t="str">
        <f t="shared" si="66"/>
        <v/>
      </c>
      <c r="M824" s="7" t="str">
        <f t="shared" si="63"/>
        <v/>
      </c>
      <c r="N824" s="7" t="str">
        <f t="shared" si="67"/>
        <v/>
      </c>
      <c r="O824" s="8"/>
      <c r="P824" s="26"/>
      <c r="S824" s="10" t="str">
        <f t="shared" si="64"/>
        <v/>
      </c>
    </row>
    <row r="825" spans="5:19" x14ac:dyDescent="0.3">
      <c r="E825" s="9" t="str">
        <f>IF(DADOS!C825="","",DADOS!C825)</f>
        <v/>
      </c>
      <c r="F825" s="9" t="str">
        <f>IF(DADOS!E825="","",DADOS!E825)</f>
        <v/>
      </c>
      <c r="G825" s="9" t="str">
        <f>IF(DADOS!F825="","",DADOS!F825)</f>
        <v/>
      </c>
      <c r="K825" s="6" t="str">
        <f t="shared" si="65"/>
        <v/>
      </c>
      <c r="L825" s="7" t="str">
        <f t="shared" si="66"/>
        <v/>
      </c>
      <c r="M825" s="7" t="str">
        <f t="shared" si="63"/>
        <v/>
      </c>
      <c r="N825" s="7" t="str">
        <f t="shared" si="67"/>
        <v/>
      </c>
      <c r="O825" s="8"/>
      <c r="P825" s="26"/>
      <c r="S825" s="10" t="str">
        <f t="shared" si="64"/>
        <v/>
      </c>
    </row>
    <row r="826" spans="5:19" x14ac:dyDescent="0.3">
      <c r="E826" s="9" t="str">
        <f>IF(DADOS!C826="","",DADOS!C826)</f>
        <v/>
      </c>
      <c r="F826" s="9" t="str">
        <f>IF(DADOS!E826="","",DADOS!E826)</f>
        <v/>
      </c>
      <c r="G826" s="9" t="str">
        <f>IF(DADOS!F826="","",DADOS!F826)</f>
        <v/>
      </c>
      <c r="K826" s="6" t="str">
        <f t="shared" si="65"/>
        <v/>
      </c>
      <c r="L826" s="7" t="str">
        <f t="shared" si="66"/>
        <v/>
      </c>
      <c r="M826" s="7" t="str">
        <f t="shared" si="63"/>
        <v/>
      </c>
      <c r="N826" s="7" t="str">
        <f t="shared" si="67"/>
        <v/>
      </c>
      <c r="O826" s="8"/>
      <c r="P826" s="26"/>
      <c r="S826" s="10" t="str">
        <f t="shared" si="64"/>
        <v/>
      </c>
    </row>
    <row r="827" spans="5:19" x14ac:dyDescent="0.3">
      <c r="E827" s="9" t="str">
        <f>IF(DADOS!C827="","",DADOS!C827)</f>
        <v/>
      </c>
      <c r="F827" s="9" t="str">
        <f>IF(DADOS!E827="","",DADOS!E827)</f>
        <v/>
      </c>
      <c r="G827" s="9" t="str">
        <f>IF(DADOS!F827="","",DADOS!F827)</f>
        <v/>
      </c>
      <c r="K827" s="6" t="str">
        <f t="shared" si="65"/>
        <v/>
      </c>
      <c r="L827" s="7" t="str">
        <f t="shared" si="66"/>
        <v/>
      </c>
      <c r="M827" s="7" t="str">
        <f t="shared" si="63"/>
        <v/>
      </c>
      <c r="N827" s="7" t="str">
        <f t="shared" si="67"/>
        <v/>
      </c>
      <c r="O827" s="8"/>
      <c r="P827" s="26"/>
      <c r="S827" s="10" t="str">
        <f t="shared" si="64"/>
        <v/>
      </c>
    </row>
    <row r="828" spans="5:19" x14ac:dyDescent="0.3">
      <c r="E828" s="9" t="str">
        <f>IF(DADOS!C828="","",DADOS!C828)</f>
        <v/>
      </c>
      <c r="F828" s="9" t="str">
        <f>IF(DADOS!E828="","",DADOS!E828)</f>
        <v/>
      </c>
      <c r="G828" s="9" t="str">
        <f>IF(DADOS!F828="","",DADOS!F828)</f>
        <v/>
      </c>
      <c r="K828" s="6" t="str">
        <f t="shared" si="65"/>
        <v/>
      </c>
      <c r="L828" s="7" t="str">
        <f t="shared" si="66"/>
        <v/>
      </c>
      <c r="M828" s="7" t="str">
        <f t="shared" si="63"/>
        <v/>
      </c>
      <c r="N828" s="7" t="str">
        <f t="shared" si="67"/>
        <v/>
      </c>
      <c r="O828" s="8"/>
      <c r="P828" s="26"/>
      <c r="S828" s="10" t="str">
        <f t="shared" si="64"/>
        <v/>
      </c>
    </row>
    <row r="829" spans="5:19" x14ac:dyDescent="0.3">
      <c r="E829" s="9" t="str">
        <f>IF(DADOS!C829="","",DADOS!C829)</f>
        <v/>
      </c>
      <c r="F829" s="9" t="str">
        <f>IF(DADOS!E829="","",DADOS!E829)</f>
        <v/>
      </c>
      <c r="G829" s="9" t="str">
        <f>IF(DADOS!F829="","",DADOS!F829)</f>
        <v/>
      </c>
      <c r="K829" s="6" t="str">
        <f t="shared" si="65"/>
        <v/>
      </c>
      <c r="L829" s="7" t="str">
        <f t="shared" si="66"/>
        <v/>
      </c>
      <c r="M829" s="7" t="str">
        <f t="shared" si="63"/>
        <v/>
      </c>
      <c r="N829" s="7" t="str">
        <f t="shared" si="67"/>
        <v/>
      </c>
      <c r="O829" s="8"/>
      <c r="P829" s="26"/>
      <c r="S829" s="10" t="str">
        <f t="shared" si="64"/>
        <v/>
      </c>
    </row>
    <row r="830" spans="5:19" x14ac:dyDescent="0.3">
      <c r="E830" s="9" t="str">
        <f>IF(DADOS!C830="","",DADOS!C830)</f>
        <v/>
      </c>
      <c r="F830" s="9" t="str">
        <f>IF(DADOS!E830="","",DADOS!E830)</f>
        <v/>
      </c>
      <c r="G830" s="9" t="str">
        <f>IF(DADOS!F830="","",DADOS!F830)</f>
        <v/>
      </c>
      <c r="K830" s="6" t="str">
        <f t="shared" si="65"/>
        <v/>
      </c>
      <c r="L830" s="7" t="str">
        <f t="shared" si="66"/>
        <v/>
      </c>
      <c r="M830" s="7" t="str">
        <f t="shared" si="63"/>
        <v/>
      </c>
      <c r="N830" s="7" t="str">
        <f t="shared" si="67"/>
        <v/>
      </c>
      <c r="O830" s="8"/>
      <c r="P830" s="26"/>
      <c r="S830" s="10" t="str">
        <f t="shared" si="64"/>
        <v/>
      </c>
    </row>
    <row r="831" spans="5:19" x14ac:dyDescent="0.3">
      <c r="E831" s="9" t="str">
        <f>IF(DADOS!C831="","",DADOS!C831)</f>
        <v/>
      </c>
      <c r="F831" s="9" t="str">
        <f>IF(DADOS!E831="","",DADOS!E831)</f>
        <v/>
      </c>
      <c r="G831" s="9" t="str">
        <f>IF(DADOS!F831="","",DADOS!F831)</f>
        <v/>
      </c>
      <c r="K831" s="6" t="str">
        <f t="shared" si="65"/>
        <v/>
      </c>
      <c r="L831" s="7" t="str">
        <f t="shared" si="66"/>
        <v/>
      </c>
      <c r="M831" s="7" t="str">
        <f t="shared" si="63"/>
        <v/>
      </c>
      <c r="N831" s="7" t="str">
        <f t="shared" si="67"/>
        <v/>
      </c>
      <c r="O831" s="8"/>
      <c r="P831" s="26"/>
      <c r="S831" s="10" t="str">
        <f t="shared" si="64"/>
        <v/>
      </c>
    </row>
    <row r="832" spans="5:19" x14ac:dyDescent="0.3">
      <c r="E832" s="9" t="str">
        <f>IF(DADOS!C832="","",DADOS!C832)</f>
        <v/>
      </c>
      <c r="F832" s="9" t="str">
        <f>IF(DADOS!E832="","",DADOS!E832)</f>
        <v/>
      </c>
      <c r="G832" s="9" t="str">
        <f>IF(DADOS!F832="","",DADOS!F832)</f>
        <v/>
      </c>
      <c r="K832" s="6" t="str">
        <f t="shared" si="65"/>
        <v/>
      </c>
      <c r="L832" s="7" t="str">
        <f t="shared" si="66"/>
        <v/>
      </c>
      <c r="M832" s="7" t="str">
        <f t="shared" si="63"/>
        <v/>
      </c>
      <c r="N832" s="7" t="str">
        <f t="shared" si="67"/>
        <v/>
      </c>
      <c r="O832" s="8"/>
      <c r="P832" s="26"/>
      <c r="S832" s="10" t="str">
        <f t="shared" si="64"/>
        <v/>
      </c>
    </row>
    <row r="833" spans="5:19" x14ac:dyDescent="0.3">
      <c r="E833" s="9" t="str">
        <f>IF(DADOS!C833="","",DADOS!C833)</f>
        <v/>
      </c>
      <c r="F833" s="9" t="str">
        <f>IF(DADOS!E833="","",DADOS!E833)</f>
        <v/>
      </c>
      <c r="G833" s="9" t="str">
        <f>IF(DADOS!F833="","",DADOS!F833)</f>
        <v/>
      </c>
      <c r="K833" s="6" t="str">
        <f t="shared" si="65"/>
        <v/>
      </c>
      <c r="L833" s="7" t="str">
        <f t="shared" si="66"/>
        <v/>
      </c>
      <c r="M833" s="7" t="str">
        <f t="shared" si="63"/>
        <v/>
      </c>
      <c r="N833" s="7" t="str">
        <f t="shared" si="67"/>
        <v/>
      </c>
      <c r="O833" s="8"/>
      <c r="P833" s="26"/>
      <c r="S833" s="10" t="str">
        <f t="shared" si="64"/>
        <v/>
      </c>
    </row>
    <row r="834" spans="5:19" x14ac:dyDescent="0.3">
      <c r="E834" s="9" t="str">
        <f>IF(DADOS!C834="","",DADOS!C834)</f>
        <v/>
      </c>
      <c r="F834" s="9" t="str">
        <f>IF(DADOS!E834="","",DADOS!E834)</f>
        <v/>
      </c>
      <c r="G834" s="9" t="str">
        <f>IF(DADOS!F834="","",DADOS!F834)</f>
        <v/>
      </c>
      <c r="K834" s="6" t="str">
        <f t="shared" si="65"/>
        <v/>
      </c>
      <c r="L834" s="7" t="str">
        <f t="shared" si="66"/>
        <v/>
      </c>
      <c r="M834" s="7" t="str">
        <f t="shared" si="63"/>
        <v/>
      </c>
      <c r="N834" s="7" t="str">
        <f t="shared" si="67"/>
        <v/>
      </c>
      <c r="O834" s="8"/>
      <c r="P834" s="26"/>
      <c r="S834" s="10" t="str">
        <f t="shared" si="64"/>
        <v/>
      </c>
    </row>
    <row r="835" spans="5:19" x14ac:dyDescent="0.3">
      <c r="E835" s="9" t="str">
        <f>IF(DADOS!C835="","",DADOS!C835)</f>
        <v/>
      </c>
      <c r="F835" s="9" t="str">
        <f>IF(DADOS!E835="","",DADOS!E835)</f>
        <v/>
      </c>
      <c r="G835" s="9" t="str">
        <f>IF(DADOS!F835="","",DADOS!F835)</f>
        <v/>
      </c>
      <c r="K835" s="6" t="str">
        <f t="shared" si="65"/>
        <v/>
      </c>
      <c r="L835" s="7" t="str">
        <f t="shared" si="66"/>
        <v/>
      </c>
      <c r="M835" s="7" t="str">
        <f t="shared" ref="M835:M898" si="68">IF(L835="","",L835*G835)</f>
        <v/>
      </c>
      <c r="N835" s="7" t="str">
        <f t="shared" si="67"/>
        <v/>
      </c>
      <c r="O835" s="8"/>
      <c r="P835" s="26"/>
      <c r="S835" s="10" t="str">
        <f t="shared" ref="S835:S898" si="69">IF(R835="","",SUMIFS($N$3:$N$10000,$E$3:$E$10000,R835))</f>
        <v/>
      </c>
    </row>
    <row r="836" spans="5:19" x14ac:dyDescent="0.3">
      <c r="E836" s="9" t="str">
        <f>IF(DADOS!C836="","",DADOS!C836)</f>
        <v/>
      </c>
      <c r="F836" s="9" t="str">
        <f>IF(DADOS!E836="","",DADOS!E836)</f>
        <v/>
      </c>
      <c r="G836" s="9" t="str">
        <f>IF(DADOS!F836="","",DADOS!F836)</f>
        <v/>
      </c>
      <c r="K836" s="6" t="str">
        <f t="shared" ref="K836:K899" si="70">IF(F836="","",F836/PI())</f>
        <v/>
      </c>
      <c r="L836" s="7" t="str">
        <f t="shared" ref="L836:L899" si="71">IF(K836="","",(PI()*K836^2)/40000)</f>
        <v/>
      </c>
      <c r="M836" s="7" t="str">
        <f t="shared" si="68"/>
        <v/>
      </c>
      <c r="N836" s="7" t="str">
        <f t="shared" ref="N836:N899" si="72">IF(M836="","",M836*N$1)</f>
        <v/>
      </c>
      <c r="O836" s="8"/>
      <c r="P836" s="26"/>
      <c r="S836" s="10" t="str">
        <f t="shared" si="69"/>
        <v/>
      </c>
    </row>
    <row r="837" spans="5:19" x14ac:dyDescent="0.3">
      <c r="E837" s="9" t="str">
        <f>IF(DADOS!C837="","",DADOS!C837)</f>
        <v/>
      </c>
      <c r="F837" s="9" t="str">
        <f>IF(DADOS!E837="","",DADOS!E837)</f>
        <v/>
      </c>
      <c r="G837" s="9" t="str">
        <f>IF(DADOS!F837="","",DADOS!F837)</f>
        <v/>
      </c>
      <c r="K837" s="6" t="str">
        <f t="shared" si="70"/>
        <v/>
      </c>
      <c r="L837" s="7" t="str">
        <f t="shared" si="71"/>
        <v/>
      </c>
      <c r="M837" s="7" t="str">
        <f t="shared" si="68"/>
        <v/>
      </c>
      <c r="N837" s="7" t="str">
        <f t="shared" si="72"/>
        <v/>
      </c>
      <c r="O837" s="8"/>
      <c r="P837" s="26"/>
      <c r="S837" s="10" t="str">
        <f t="shared" si="69"/>
        <v/>
      </c>
    </row>
    <row r="838" spans="5:19" x14ac:dyDescent="0.3">
      <c r="E838" s="9" t="str">
        <f>IF(DADOS!C838="","",DADOS!C838)</f>
        <v/>
      </c>
      <c r="F838" s="9" t="str">
        <f>IF(DADOS!E838="","",DADOS!E838)</f>
        <v/>
      </c>
      <c r="G838" s="9" t="str">
        <f>IF(DADOS!F838="","",DADOS!F838)</f>
        <v/>
      </c>
      <c r="K838" s="6" t="str">
        <f t="shared" si="70"/>
        <v/>
      </c>
      <c r="L838" s="7" t="str">
        <f t="shared" si="71"/>
        <v/>
      </c>
      <c r="M838" s="7" t="str">
        <f t="shared" si="68"/>
        <v/>
      </c>
      <c r="N838" s="7" t="str">
        <f t="shared" si="72"/>
        <v/>
      </c>
      <c r="O838" s="8"/>
      <c r="P838" s="26"/>
      <c r="S838" s="10" t="str">
        <f t="shared" si="69"/>
        <v/>
      </c>
    </row>
    <row r="839" spans="5:19" x14ac:dyDescent="0.3">
      <c r="E839" s="9" t="str">
        <f>IF(DADOS!C839="","",DADOS!C839)</f>
        <v/>
      </c>
      <c r="F839" s="9" t="str">
        <f>IF(DADOS!E839="","",DADOS!E839)</f>
        <v/>
      </c>
      <c r="G839" s="9" t="str">
        <f>IF(DADOS!F839="","",DADOS!F839)</f>
        <v/>
      </c>
      <c r="K839" s="6" t="str">
        <f t="shared" si="70"/>
        <v/>
      </c>
      <c r="L839" s="7" t="str">
        <f t="shared" si="71"/>
        <v/>
      </c>
      <c r="M839" s="7" t="str">
        <f t="shared" si="68"/>
        <v/>
      </c>
      <c r="N839" s="7" t="str">
        <f t="shared" si="72"/>
        <v/>
      </c>
      <c r="O839" s="8"/>
      <c r="P839" s="26"/>
      <c r="S839" s="10" t="str">
        <f t="shared" si="69"/>
        <v/>
      </c>
    </row>
    <row r="840" spans="5:19" x14ac:dyDescent="0.3">
      <c r="E840" s="9" t="str">
        <f>IF(DADOS!C840="","",DADOS!C840)</f>
        <v/>
      </c>
      <c r="F840" s="9" t="str">
        <f>IF(DADOS!E840="","",DADOS!E840)</f>
        <v/>
      </c>
      <c r="G840" s="9" t="str">
        <f>IF(DADOS!F840="","",DADOS!F840)</f>
        <v/>
      </c>
      <c r="K840" s="6" t="str">
        <f t="shared" si="70"/>
        <v/>
      </c>
      <c r="L840" s="7" t="str">
        <f t="shared" si="71"/>
        <v/>
      </c>
      <c r="M840" s="7" t="str">
        <f t="shared" si="68"/>
        <v/>
      </c>
      <c r="N840" s="7" t="str">
        <f t="shared" si="72"/>
        <v/>
      </c>
      <c r="O840" s="8"/>
      <c r="P840" s="26"/>
      <c r="S840" s="10" t="str">
        <f t="shared" si="69"/>
        <v/>
      </c>
    </row>
    <row r="841" spans="5:19" x14ac:dyDescent="0.3">
      <c r="E841" s="9" t="str">
        <f>IF(DADOS!C841="","",DADOS!C841)</f>
        <v/>
      </c>
      <c r="F841" s="9" t="str">
        <f>IF(DADOS!E841="","",DADOS!E841)</f>
        <v/>
      </c>
      <c r="G841" s="9" t="str">
        <f>IF(DADOS!F841="","",DADOS!F841)</f>
        <v/>
      </c>
      <c r="K841" s="6" t="str">
        <f t="shared" si="70"/>
        <v/>
      </c>
      <c r="L841" s="7" t="str">
        <f t="shared" si="71"/>
        <v/>
      </c>
      <c r="M841" s="7" t="str">
        <f t="shared" si="68"/>
        <v/>
      </c>
      <c r="N841" s="7" t="str">
        <f t="shared" si="72"/>
        <v/>
      </c>
      <c r="O841" s="8"/>
      <c r="P841" s="26"/>
      <c r="S841" s="10" t="str">
        <f t="shared" si="69"/>
        <v/>
      </c>
    </row>
    <row r="842" spans="5:19" x14ac:dyDescent="0.3">
      <c r="E842" s="9" t="str">
        <f>IF(DADOS!C842="","",DADOS!C842)</f>
        <v/>
      </c>
      <c r="F842" s="9" t="str">
        <f>IF(DADOS!E842="","",DADOS!E842)</f>
        <v/>
      </c>
      <c r="G842" s="9" t="str">
        <f>IF(DADOS!F842="","",DADOS!F842)</f>
        <v/>
      </c>
      <c r="K842" s="6" t="str">
        <f t="shared" si="70"/>
        <v/>
      </c>
      <c r="L842" s="7" t="str">
        <f t="shared" si="71"/>
        <v/>
      </c>
      <c r="M842" s="7" t="str">
        <f t="shared" si="68"/>
        <v/>
      </c>
      <c r="N842" s="7" t="str">
        <f t="shared" si="72"/>
        <v/>
      </c>
      <c r="O842" s="8"/>
      <c r="P842" s="26"/>
      <c r="S842" s="10" t="str">
        <f t="shared" si="69"/>
        <v/>
      </c>
    </row>
    <row r="843" spans="5:19" x14ac:dyDescent="0.3">
      <c r="E843" s="9" t="str">
        <f>IF(DADOS!C843="","",DADOS!C843)</f>
        <v/>
      </c>
      <c r="F843" s="9" t="str">
        <f>IF(DADOS!E843="","",DADOS!E843)</f>
        <v/>
      </c>
      <c r="G843" s="9" t="str">
        <f>IF(DADOS!F843="","",DADOS!F843)</f>
        <v/>
      </c>
      <c r="K843" s="6" t="str">
        <f t="shared" si="70"/>
        <v/>
      </c>
      <c r="L843" s="7" t="str">
        <f t="shared" si="71"/>
        <v/>
      </c>
      <c r="M843" s="7" t="str">
        <f t="shared" si="68"/>
        <v/>
      </c>
      <c r="N843" s="7" t="str">
        <f t="shared" si="72"/>
        <v/>
      </c>
      <c r="O843" s="8"/>
      <c r="P843" s="26"/>
      <c r="S843" s="10" t="str">
        <f t="shared" si="69"/>
        <v/>
      </c>
    </row>
    <row r="844" spans="5:19" x14ac:dyDescent="0.3">
      <c r="E844" s="9" t="str">
        <f>IF(DADOS!C844="","",DADOS!C844)</f>
        <v/>
      </c>
      <c r="F844" s="9" t="str">
        <f>IF(DADOS!E844="","",DADOS!E844)</f>
        <v/>
      </c>
      <c r="G844" s="9" t="str">
        <f>IF(DADOS!F844="","",DADOS!F844)</f>
        <v/>
      </c>
      <c r="K844" s="6" t="str">
        <f t="shared" si="70"/>
        <v/>
      </c>
      <c r="L844" s="7" t="str">
        <f t="shared" si="71"/>
        <v/>
      </c>
      <c r="M844" s="7" t="str">
        <f t="shared" si="68"/>
        <v/>
      </c>
      <c r="N844" s="7" t="str">
        <f t="shared" si="72"/>
        <v/>
      </c>
      <c r="O844" s="8"/>
      <c r="P844" s="26"/>
      <c r="S844" s="10" t="str">
        <f t="shared" si="69"/>
        <v/>
      </c>
    </row>
    <row r="845" spans="5:19" x14ac:dyDescent="0.3">
      <c r="E845" s="9" t="str">
        <f>IF(DADOS!C845="","",DADOS!C845)</f>
        <v/>
      </c>
      <c r="F845" s="9" t="str">
        <f>IF(DADOS!E845="","",DADOS!E845)</f>
        <v/>
      </c>
      <c r="G845" s="9" t="str">
        <f>IF(DADOS!F845="","",DADOS!F845)</f>
        <v/>
      </c>
      <c r="K845" s="6" t="str">
        <f t="shared" si="70"/>
        <v/>
      </c>
      <c r="L845" s="7" t="str">
        <f t="shared" si="71"/>
        <v/>
      </c>
      <c r="M845" s="7" t="str">
        <f t="shared" si="68"/>
        <v/>
      </c>
      <c r="N845" s="7" t="str">
        <f t="shared" si="72"/>
        <v/>
      </c>
      <c r="O845" s="8"/>
      <c r="P845" s="26"/>
      <c r="S845" s="10" t="str">
        <f t="shared" si="69"/>
        <v/>
      </c>
    </row>
    <row r="846" spans="5:19" x14ac:dyDescent="0.3">
      <c r="E846" s="9" t="str">
        <f>IF(DADOS!C846="","",DADOS!C846)</f>
        <v/>
      </c>
      <c r="F846" s="9" t="str">
        <f>IF(DADOS!E846="","",DADOS!E846)</f>
        <v/>
      </c>
      <c r="G846" s="9" t="str">
        <f>IF(DADOS!F846="","",DADOS!F846)</f>
        <v/>
      </c>
      <c r="K846" s="6" t="str">
        <f t="shared" si="70"/>
        <v/>
      </c>
      <c r="L846" s="7" t="str">
        <f t="shared" si="71"/>
        <v/>
      </c>
      <c r="M846" s="7" t="str">
        <f t="shared" si="68"/>
        <v/>
      </c>
      <c r="N846" s="7" t="str">
        <f t="shared" si="72"/>
        <v/>
      </c>
      <c r="O846" s="8"/>
      <c r="P846" s="26"/>
      <c r="S846" s="10" t="str">
        <f t="shared" si="69"/>
        <v/>
      </c>
    </row>
    <row r="847" spans="5:19" x14ac:dyDescent="0.3">
      <c r="E847" s="9" t="str">
        <f>IF(DADOS!C847="","",DADOS!C847)</f>
        <v/>
      </c>
      <c r="F847" s="9" t="str">
        <f>IF(DADOS!E847="","",DADOS!E847)</f>
        <v/>
      </c>
      <c r="G847" s="9" t="str">
        <f>IF(DADOS!F847="","",DADOS!F847)</f>
        <v/>
      </c>
      <c r="K847" s="6" t="str">
        <f t="shared" si="70"/>
        <v/>
      </c>
      <c r="L847" s="7" t="str">
        <f t="shared" si="71"/>
        <v/>
      </c>
      <c r="M847" s="7" t="str">
        <f t="shared" si="68"/>
        <v/>
      </c>
      <c r="N847" s="7" t="str">
        <f t="shared" si="72"/>
        <v/>
      </c>
      <c r="O847" s="8"/>
      <c r="P847" s="26"/>
      <c r="S847" s="10" t="str">
        <f t="shared" si="69"/>
        <v/>
      </c>
    </row>
    <row r="848" spans="5:19" x14ac:dyDescent="0.3">
      <c r="E848" s="9" t="str">
        <f>IF(DADOS!C848="","",DADOS!C848)</f>
        <v/>
      </c>
      <c r="F848" s="9" t="str">
        <f>IF(DADOS!E848="","",DADOS!E848)</f>
        <v/>
      </c>
      <c r="G848" s="9" t="str">
        <f>IF(DADOS!F848="","",DADOS!F848)</f>
        <v/>
      </c>
      <c r="K848" s="6" t="str">
        <f t="shared" si="70"/>
        <v/>
      </c>
      <c r="L848" s="7" t="str">
        <f t="shared" si="71"/>
        <v/>
      </c>
      <c r="M848" s="7" t="str">
        <f t="shared" si="68"/>
        <v/>
      </c>
      <c r="N848" s="7" t="str">
        <f t="shared" si="72"/>
        <v/>
      </c>
      <c r="O848" s="8"/>
      <c r="P848" s="26"/>
      <c r="S848" s="10" t="str">
        <f t="shared" si="69"/>
        <v/>
      </c>
    </row>
    <row r="849" spans="5:19" x14ac:dyDescent="0.3">
      <c r="E849" s="9" t="str">
        <f>IF(DADOS!C849="","",DADOS!C849)</f>
        <v/>
      </c>
      <c r="F849" s="9" t="str">
        <f>IF(DADOS!E849="","",DADOS!E849)</f>
        <v/>
      </c>
      <c r="G849" s="9" t="str">
        <f>IF(DADOS!F849="","",DADOS!F849)</f>
        <v/>
      </c>
      <c r="K849" s="6" t="str">
        <f t="shared" si="70"/>
        <v/>
      </c>
      <c r="L849" s="7" t="str">
        <f t="shared" si="71"/>
        <v/>
      </c>
      <c r="M849" s="7" t="str">
        <f t="shared" si="68"/>
        <v/>
      </c>
      <c r="N849" s="7" t="str">
        <f t="shared" si="72"/>
        <v/>
      </c>
      <c r="O849" s="8"/>
      <c r="P849" s="26"/>
      <c r="S849" s="10" t="str">
        <f t="shared" si="69"/>
        <v/>
      </c>
    </row>
    <row r="850" spans="5:19" x14ac:dyDescent="0.3">
      <c r="E850" s="9" t="str">
        <f>IF(DADOS!C850="","",DADOS!C850)</f>
        <v/>
      </c>
      <c r="F850" s="9" t="str">
        <f>IF(DADOS!E850="","",DADOS!E850)</f>
        <v/>
      </c>
      <c r="G850" s="9" t="str">
        <f>IF(DADOS!F850="","",DADOS!F850)</f>
        <v/>
      </c>
      <c r="K850" s="6" t="str">
        <f t="shared" si="70"/>
        <v/>
      </c>
      <c r="L850" s="7" t="str">
        <f t="shared" si="71"/>
        <v/>
      </c>
      <c r="M850" s="7" t="str">
        <f t="shared" si="68"/>
        <v/>
      </c>
      <c r="N850" s="7" t="str">
        <f t="shared" si="72"/>
        <v/>
      </c>
      <c r="O850" s="8"/>
      <c r="P850" s="26"/>
      <c r="S850" s="10" t="str">
        <f t="shared" si="69"/>
        <v/>
      </c>
    </row>
    <row r="851" spans="5:19" x14ac:dyDescent="0.3">
      <c r="E851" s="9" t="str">
        <f>IF(DADOS!C851="","",DADOS!C851)</f>
        <v/>
      </c>
      <c r="F851" s="9" t="str">
        <f>IF(DADOS!E851="","",DADOS!E851)</f>
        <v/>
      </c>
      <c r="G851" s="9" t="str">
        <f>IF(DADOS!F851="","",DADOS!F851)</f>
        <v/>
      </c>
      <c r="K851" s="6" t="str">
        <f t="shared" si="70"/>
        <v/>
      </c>
      <c r="L851" s="7" t="str">
        <f t="shared" si="71"/>
        <v/>
      </c>
      <c r="M851" s="7" t="str">
        <f t="shared" si="68"/>
        <v/>
      </c>
      <c r="N851" s="7" t="str">
        <f t="shared" si="72"/>
        <v/>
      </c>
      <c r="O851" s="8"/>
      <c r="P851" s="26"/>
      <c r="S851" s="10" t="str">
        <f t="shared" si="69"/>
        <v/>
      </c>
    </row>
    <row r="852" spans="5:19" x14ac:dyDescent="0.3">
      <c r="E852" s="9" t="str">
        <f>IF(DADOS!C852="","",DADOS!C852)</f>
        <v/>
      </c>
      <c r="F852" s="9" t="str">
        <f>IF(DADOS!E852="","",DADOS!E852)</f>
        <v/>
      </c>
      <c r="G852" s="9" t="str">
        <f>IF(DADOS!F852="","",DADOS!F852)</f>
        <v/>
      </c>
      <c r="K852" s="6" t="str">
        <f t="shared" si="70"/>
        <v/>
      </c>
      <c r="L852" s="7" t="str">
        <f t="shared" si="71"/>
        <v/>
      </c>
      <c r="M852" s="7" t="str">
        <f t="shared" si="68"/>
        <v/>
      </c>
      <c r="N852" s="7" t="str">
        <f t="shared" si="72"/>
        <v/>
      </c>
      <c r="O852" s="8"/>
      <c r="P852" s="26"/>
      <c r="S852" s="10" t="str">
        <f t="shared" si="69"/>
        <v/>
      </c>
    </row>
    <row r="853" spans="5:19" x14ac:dyDescent="0.3">
      <c r="E853" s="9" t="str">
        <f>IF(DADOS!C853="","",DADOS!C853)</f>
        <v/>
      </c>
      <c r="F853" s="9" t="str">
        <f>IF(DADOS!E853="","",DADOS!E853)</f>
        <v/>
      </c>
      <c r="G853" s="9" t="str">
        <f>IF(DADOS!F853="","",DADOS!F853)</f>
        <v/>
      </c>
      <c r="K853" s="6" t="str">
        <f t="shared" si="70"/>
        <v/>
      </c>
      <c r="L853" s="7" t="str">
        <f t="shared" si="71"/>
        <v/>
      </c>
      <c r="M853" s="7" t="str">
        <f t="shared" si="68"/>
        <v/>
      </c>
      <c r="N853" s="7" t="str">
        <f t="shared" si="72"/>
        <v/>
      </c>
      <c r="O853" s="8"/>
      <c r="P853" s="26"/>
      <c r="S853" s="10" t="str">
        <f t="shared" si="69"/>
        <v/>
      </c>
    </row>
    <row r="854" spans="5:19" x14ac:dyDescent="0.3">
      <c r="E854" s="9" t="str">
        <f>IF(DADOS!C854="","",DADOS!C854)</f>
        <v/>
      </c>
      <c r="F854" s="9" t="str">
        <f>IF(DADOS!E854="","",DADOS!E854)</f>
        <v/>
      </c>
      <c r="G854" s="9" t="str">
        <f>IF(DADOS!F854="","",DADOS!F854)</f>
        <v/>
      </c>
      <c r="K854" s="6" t="str">
        <f t="shared" si="70"/>
        <v/>
      </c>
      <c r="L854" s="7" t="str">
        <f t="shared" si="71"/>
        <v/>
      </c>
      <c r="M854" s="7" t="str">
        <f t="shared" si="68"/>
        <v/>
      </c>
      <c r="N854" s="7" t="str">
        <f t="shared" si="72"/>
        <v/>
      </c>
      <c r="O854" s="8"/>
      <c r="P854" s="26"/>
      <c r="S854" s="10" t="str">
        <f t="shared" si="69"/>
        <v/>
      </c>
    </row>
    <row r="855" spans="5:19" x14ac:dyDescent="0.3">
      <c r="E855" s="9" t="str">
        <f>IF(DADOS!C855="","",DADOS!C855)</f>
        <v/>
      </c>
      <c r="F855" s="9" t="str">
        <f>IF(DADOS!E855="","",DADOS!E855)</f>
        <v/>
      </c>
      <c r="G855" s="9" t="str">
        <f>IF(DADOS!F855="","",DADOS!F855)</f>
        <v/>
      </c>
      <c r="K855" s="6" t="str">
        <f t="shared" si="70"/>
        <v/>
      </c>
      <c r="L855" s="7" t="str">
        <f t="shared" si="71"/>
        <v/>
      </c>
      <c r="M855" s="7" t="str">
        <f t="shared" si="68"/>
        <v/>
      </c>
      <c r="N855" s="7" t="str">
        <f t="shared" si="72"/>
        <v/>
      </c>
      <c r="O855" s="8"/>
      <c r="P855" s="26"/>
      <c r="S855" s="10" t="str">
        <f t="shared" si="69"/>
        <v/>
      </c>
    </row>
    <row r="856" spans="5:19" x14ac:dyDescent="0.3">
      <c r="E856" s="9" t="str">
        <f>IF(DADOS!C856="","",DADOS!C856)</f>
        <v/>
      </c>
      <c r="F856" s="9" t="str">
        <f>IF(DADOS!E856="","",DADOS!E856)</f>
        <v/>
      </c>
      <c r="G856" s="9" t="str">
        <f>IF(DADOS!F856="","",DADOS!F856)</f>
        <v/>
      </c>
      <c r="K856" s="6" t="str">
        <f t="shared" si="70"/>
        <v/>
      </c>
      <c r="L856" s="7" t="str">
        <f t="shared" si="71"/>
        <v/>
      </c>
      <c r="M856" s="7" t="str">
        <f t="shared" si="68"/>
        <v/>
      </c>
      <c r="N856" s="7" t="str">
        <f t="shared" si="72"/>
        <v/>
      </c>
      <c r="O856" s="8"/>
      <c r="P856" s="26"/>
      <c r="S856" s="10" t="str">
        <f t="shared" si="69"/>
        <v/>
      </c>
    </row>
    <row r="857" spans="5:19" x14ac:dyDescent="0.3">
      <c r="E857" s="9" t="str">
        <f>IF(DADOS!C857="","",DADOS!C857)</f>
        <v/>
      </c>
      <c r="F857" s="9" t="str">
        <f>IF(DADOS!E857="","",DADOS!E857)</f>
        <v/>
      </c>
      <c r="G857" s="9" t="str">
        <f>IF(DADOS!F857="","",DADOS!F857)</f>
        <v/>
      </c>
      <c r="K857" s="6" t="str">
        <f t="shared" si="70"/>
        <v/>
      </c>
      <c r="L857" s="7" t="str">
        <f t="shared" si="71"/>
        <v/>
      </c>
      <c r="M857" s="7" t="str">
        <f t="shared" si="68"/>
        <v/>
      </c>
      <c r="N857" s="7" t="str">
        <f t="shared" si="72"/>
        <v/>
      </c>
      <c r="O857" s="8"/>
      <c r="P857" s="26"/>
      <c r="S857" s="10" t="str">
        <f t="shared" si="69"/>
        <v/>
      </c>
    </row>
    <row r="858" spans="5:19" x14ac:dyDescent="0.3">
      <c r="E858" s="9" t="str">
        <f>IF(DADOS!C858="","",DADOS!C858)</f>
        <v/>
      </c>
      <c r="F858" s="9" t="str">
        <f>IF(DADOS!E858="","",DADOS!E858)</f>
        <v/>
      </c>
      <c r="G858" s="9" t="str">
        <f>IF(DADOS!F858="","",DADOS!F858)</f>
        <v/>
      </c>
      <c r="K858" s="6" t="str">
        <f t="shared" si="70"/>
        <v/>
      </c>
      <c r="L858" s="7" t="str">
        <f t="shared" si="71"/>
        <v/>
      </c>
      <c r="M858" s="7" t="str">
        <f t="shared" si="68"/>
        <v/>
      </c>
      <c r="N858" s="7" t="str">
        <f t="shared" si="72"/>
        <v/>
      </c>
      <c r="O858" s="8"/>
      <c r="P858" s="26"/>
      <c r="S858" s="10" t="str">
        <f t="shared" si="69"/>
        <v/>
      </c>
    </row>
    <row r="859" spans="5:19" x14ac:dyDescent="0.3">
      <c r="E859" s="9" t="str">
        <f>IF(DADOS!C859="","",DADOS!C859)</f>
        <v/>
      </c>
      <c r="F859" s="9" t="str">
        <f>IF(DADOS!E859="","",DADOS!E859)</f>
        <v/>
      </c>
      <c r="G859" s="9" t="str">
        <f>IF(DADOS!F859="","",DADOS!F859)</f>
        <v/>
      </c>
      <c r="K859" s="6" t="str">
        <f t="shared" si="70"/>
        <v/>
      </c>
      <c r="L859" s="7" t="str">
        <f t="shared" si="71"/>
        <v/>
      </c>
      <c r="M859" s="7" t="str">
        <f t="shared" si="68"/>
        <v/>
      </c>
      <c r="N859" s="7" t="str">
        <f t="shared" si="72"/>
        <v/>
      </c>
      <c r="O859" s="8"/>
      <c r="P859" s="26"/>
      <c r="S859" s="10" t="str">
        <f t="shared" si="69"/>
        <v/>
      </c>
    </row>
    <row r="860" spans="5:19" x14ac:dyDescent="0.3">
      <c r="E860" s="9" t="str">
        <f>IF(DADOS!C860="","",DADOS!C860)</f>
        <v/>
      </c>
      <c r="F860" s="9" t="str">
        <f>IF(DADOS!E860="","",DADOS!E860)</f>
        <v/>
      </c>
      <c r="G860" s="9" t="str">
        <f>IF(DADOS!F860="","",DADOS!F860)</f>
        <v/>
      </c>
      <c r="K860" s="6" t="str">
        <f t="shared" si="70"/>
        <v/>
      </c>
      <c r="L860" s="7" t="str">
        <f t="shared" si="71"/>
        <v/>
      </c>
      <c r="M860" s="7" t="str">
        <f t="shared" si="68"/>
        <v/>
      </c>
      <c r="N860" s="7" t="str">
        <f t="shared" si="72"/>
        <v/>
      </c>
      <c r="O860" s="8"/>
      <c r="P860" s="26"/>
      <c r="S860" s="10" t="str">
        <f t="shared" si="69"/>
        <v/>
      </c>
    </row>
    <row r="861" spans="5:19" x14ac:dyDescent="0.3">
      <c r="E861" s="9" t="str">
        <f>IF(DADOS!C861="","",DADOS!C861)</f>
        <v/>
      </c>
      <c r="F861" s="9" t="str">
        <f>IF(DADOS!E861="","",DADOS!E861)</f>
        <v/>
      </c>
      <c r="G861" s="9" t="str">
        <f>IF(DADOS!F861="","",DADOS!F861)</f>
        <v/>
      </c>
      <c r="K861" s="6" t="str">
        <f t="shared" si="70"/>
        <v/>
      </c>
      <c r="L861" s="7" t="str">
        <f t="shared" si="71"/>
        <v/>
      </c>
      <c r="M861" s="7" t="str">
        <f t="shared" si="68"/>
        <v/>
      </c>
      <c r="N861" s="7" t="str">
        <f t="shared" si="72"/>
        <v/>
      </c>
      <c r="O861" s="8"/>
      <c r="P861" s="26"/>
      <c r="S861" s="10" t="str">
        <f t="shared" si="69"/>
        <v/>
      </c>
    </row>
    <row r="862" spans="5:19" x14ac:dyDescent="0.3">
      <c r="E862" s="9" t="str">
        <f>IF(DADOS!C862="","",DADOS!C862)</f>
        <v/>
      </c>
      <c r="F862" s="9" t="str">
        <f>IF(DADOS!E862="","",DADOS!E862)</f>
        <v/>
      </c>
      <c r="G862" s="9" t="str">
        <f>IF(DADOS!F862="","",DADOS!F862)</f>
        <v/>
      </c>
      <c r="K862" s="6" t="str">
        <f t="shared" si="70"/>
        <v/>
      </c>
      <c r="L862" s="7" t="str">
        <f t="shared" si="71"/>
        <v/>
      </c>
      <c r="M862" s="7" t="str">
        <f t="shared" si="68"/>
        <v/>
      </c>
      <c r="N862" s="7" t="str">
        <f t="shared" si="72"/>
        <v/>
      </c>
      <c r="O862" s="8"/>
      <c r="P862" s="26"/>
      <c r="S862" s="10" t="str">
        <f t="shared" si="69"/>
        <v/>
      </c>
    </row>
    <row r="863" spans="5:19" x14ac:dyDescent="0.3">
      <c r="E863" s="9" t="str">
        <f>IF(DADOS!C863="","",DADOS!C863)</f>
        <v/>
      </c>
      <c r="F863" s="9" t="str">
        <f>IF(DADOS!E863="","",DADOS!E863)</f>
        <v/>
      </c>
      <c r="G863" s="9" t="str">
        <f>IF(DADOS!F863="","",DADOS!F863)</f>
        <v/>
      </c>
      <c r="K863" s="6" t="str">
        <f t="shared" si="70"/>
        <v/>
      </c>
      <c r="L863" s="7" t="str">
        <f t="shared" si="71"/>
        <v/>
      </c>
      <c r="M863" s="7" t="str">
        <f t="shared" si="68"/>
        <v/>
      </c>
      <c r="N863" s="7" t="str">
        <f t="shared" si="72"/>
        <v/>
      </c>
      <c r="O863" s="8"/>
      <c r="P863" s="26"/>
      <c r="S863" s="10" t="str">
        <f t="shared" si="69"/>
        <v/>
      </c>
    </row>
    <row r="864" spans="5:19" x14ac:dyDescent="0.3">
      <c r="E864" s="9" t="str">
        <f>IF(DADOS!C864="","",DADOS!C864)</f>
        <v/>
      </c>
      <c r="F864" s="9" t="str">
        <f>IF(DADOS!E864="","",DADOS!E864)</f>
        <v/>
      </c>
      <c r="G864" s="9" t="str">
        <f>IF(DADOS!F864="","",DADOS!F864)</f>
        <v/>
      </c>
      <c r="K864" s="6" t="str">
        <f t="shared" si="70"/>
        <v/>
      </c>
      <c r="L864" s="7" t="str">
        <f t="shared" si="71"/>
        <v/>
      </c>
      <c r="M864" s="7" t="str">
        <f t="shared" si="68"/>
        <v/>
      </c>
      <c r="N864" s="7" t="str">
        <f t="shared" si="72"/>
        <v/>
      </c>
      <c r="O864" s="8"/>
      <c r="P864" s="26"/>
      <c r="S864" s="10" t="str">
        <f t="shared" si="69"/>
        <v/>
      </c>
    </row>
    <row r="865" spans="5:19" x14ac:dyDescent="0.3">
      <c r="E865" s="9" t="str">
        <f>IF(DADOS!C865="","",DADOS!C865)</f>
        <v/>
      </c>
      <c r="F865" s="9" t="str">
        <f>IF(DADOS!E865="","",DADOS!E865)</f>
        <v/>
      </c>
      <c r="G865" s="9" t="str">
        <f>IF(DADOS!F865="","",DADOS!F865)</f>
        <v/>
      </c>
      <c r="K865" s="6" t="str">
        <f t="shared" si="70"/>
        <v/>
      </c>
      <c r="L865" s="7" t="str">
        <f t="shared" si="71"/>
        <v/>
      </c>
      <c r="M865" s="7" t="str">
        <f t="shared" si="68"/>
        <v/>
      </c>
      <c r="N865" s="7" t="str">
        <f t="shared" si="72"/>
        <v/>
      </c>
      <c r="O865" s="8"/>
      <c r="P865" s="26"/>
      <c r="S865" s="10" t="str">
        <f t="shared" si="69"/>
        <v/>
      </c>
    </row>
    <row r="866" spans="5:19" x14ac:dyDescent="0.3">
      <c r="E866" s="9" t="str">
        <f>IF(DADOS!C866="","",DADOS!C866)</f>
        <v/>
      </c>
      <c r="F866" s="9" t="str">
        <f>IF(DADOS!E866="","",DADOS!E866)</f>
        <v/>
      </c>
      <c r="G866" s="9" t="str">
        <f>IF(DADOS!F866="","",DADOS!F866)</f>
        <v/>
      </c>
      <c r="K866" s="6" t="str">
        <f t="shared" si="70"/>
        <v/>
      </c>
      <c r="L866" s="7" t="str">
        <f t="shared" si="71"/>
        <v/>
      </c>
      <c r="M866" s="7" t="str">
        <f t="shared" si="68"/>
        <v/>
      </c>
      <c r="N866" s="7" t="str">
        <f t="shared" si="72"/>
        <v/>
      </c>
      <c r="O866" s="8"/>
      <c r="P866" s="26"/>
      <c r="S866" s="10" t="str">
        <f t="shared" si="69"/>
        <v/>
      </c>
    </row>
    <row r="867" spans="5:19" x14ac:dyDescent="0.3">
      <c r="E867" s="9" t="str">
        <f>IF(DADOS!C867="","",DADOS!C867)</f>
        <v/>
      </c>
      <c r="F867" s="9" t="str">
        <f>IF(DADOS!E867="","",DADOS!E867)</f>
        <v/>
      </c>
      <c r="G867" s="9" t="str">
        <f>IF(DADOS!F867="","",DADOS!F867)</f>
        <v/>
      </c>
      <c r="K867" s="6" t="str">
        <f t="shared" si="70"/>
        <v/>
      </c>
      <c r="L867" s="7" t="str">
        <f t="shared" si="71"/>
        <v/>
      </c>
      <c r="M867" s="7" t="str">
        <f t="shared" si="68"/>
        <v/>
      </c>
      <c r="N867" s="7" t="str">
        <f t="shared" si="72"/>
        <v/>
      </c>
      <c r="O867" s="8"/>
      <c r="P867" s="26"/>
      <c r="S867" s="10" t="str">
        <f t="shared" si="69"/>
        <v/>
      </c>
    </row>
    <row r="868" spans="5:19" x14ac:dyDescent="0.3">
      <c r="E868" s="9" t="str">
        <f>IF(DADOS!C868="","",DADOS!C868)</f>
        <v/>
      </c>
      <c r="F868" s="9" t="str">
        <f>IF(DADOS!E868="","",DADOS!E868)</f>
        <v/>
      </c>
      <c r="G868" s="9" t="str">
        <f>IF(DADOS!F868="","",DADOS!F868)</f>
        <v/>
      </c>
      <c r="K868" s="6" t="str">
        <f t="shared" si="70"/>
        <v/>
      </c>
      <c r="L868" s="7" t="str">
        <f t="shared" si="71"/>
        <v/>
      </c>
      <c r="M868" s="7" t="str">
        <f t="shared" si="68"/>
        <v/>
      </c>
      <c r="N868" s="7" t="str">
        <f t="shared" si="72"/>
        <v/>
      </c>
      <c r="O868" s="8"/>
      <c r="P868" s="26"/>
      <c r="S868" s="10" t="str">
        <f t="shared" si="69"/>
        <v/>
      </c>
    </row>
    <row r="869" spans="5:19" x14ac:dyDescent="0.3">
      <c r="E869" s="9" t="str">
        <f>IF(DADOS!C869="","",DADOS!C869)</f>
        <v/>
      </c>
      <c r="F869" s="9" t="str">
        <f>IF(DADOS!E869="","",DADOS!E869)</f>
        <v/>
      </c>
      <c r="G869" s="9" t="str">
        <f>IF(DADOS!F869="","",DADOS!F869)</f>
        <v/>
      </c>
      <c r="K869" s="6" t="str">
        <f t="shared" si="70"/>
        <v/>
      </c>
      <c r="L869" s="7" t="str">
        <f t="shared" si="71"/>
        <v/>
      </c>
      <c r="M869" s="7" t="str">
        <f t="shared" si="68"/>
        <v/>
      </c>
      <c r="N869" s="7" t="str">
        <f t="shared" si="72"/>
        <v/>
      </c>
      <c r="O869" s="8"/>
      <c r="P869" s="26"/>
      <c r="S869" s="10" t="str">
        <f t="shared" si="69"/>
        <v/>
      </c>
    </row>
    <row r="870" spans="5:19" x14ac:dyDescent="0.3">
      <c r="E870" s="9" t="str">
        <f>IF(DADOS!C870="","",DADOS!C870)</f>
        <v/>
      </c>
      <c r="F870" s="9" t="str">
        <f>IF(DADOS!E870="","",DADOS!E870)</f>
        <v/>
      </c>
      <c r="G870" s="9" t="str">
        <f>IF(DADOS!F870="","",DADOS!F870)</f>
        <v/>
      </c>
      <c r="K870" s="6" t="str">
        <f t="shared" si="70"/>
        <v/>
      </c>
      <c r="L870" s="7" t="str">
        <f t="shared" si="71"/>
        <v/>
      </c>
      <c r="M870" s="7" t="str">
        <f t="shared" si="68"/>
        <v/>
      </c>
      <c r="N870" s="7" t="str">
        <f t="shared" si="72"/>
        <v/>
      </c>
      <c r="O870" s="8"/>
      <c r="P870" s="26"/>
      <c r="S870" s="10" t="str">
        <f t="shared" si="69"/>
        <v/>
      </c>
    </row>
    <row r="871" spans="5:19" x14ac:dyDescent="0.3">
      <c r="E871" s="9" t="str">
        <f>IF(DADOS!C871="","",DADOS!C871)</f>
        <v/>
      </c>
      <c r="F871" s="9" t="str">
        <f>IF(DADOS!E871="","",DADOS!E871)</f>
        <v/>
      </c>
      <c r="G871" s="9" t="str">
        <f>IF(DADOS!F871="","",DADOS!F871)</f>
        <v/>
      </c>
      <c r="K871" s="6" t="str">
        <f t="shared" si="70"/>
        <v/>
      </c>
      <c r="L871" s="7" t="str">
        <f t="shared" si="71"/>
        <v/>
      </c>
      <c r="M871" s="7" t="str">
        <f t="shared" si="68"/>
        <v/>
      </c>
      <c r="N871" s="7" t="str">
        <f t="shared" si="72"/>
        <v/>
      </c>
      <c r="O871" s="8"/>
      <c r="P871" s="26"/>
      <c r="S871" s="10" t="str">
        <f t="shared" si="69"/>
        <v/>
      </c>
    </row>
    <row r="872" spans="5:19" x14ac:dyDescent="0.3">
      <c r="E872" s="9" t="str">
        <f>IF(DADOS!C872="","",DADOS!C872)</f>
        <v/>
      </c>
      <c r="F872" s="9" t="str">
        <f>IF(DADOS!E872="","",DADOS!E872)</f>
        <v/>
      </c>
      <c r="G872" s="9" t="str">
        <f>IF(DADOS!F872="","",DADOS!F872)</f>
        <v/>
      </c>
      <c r="K872" s="6" t="str">
        <f t="shared" si="70"/>
        <v/>
      </c>
      <c r="L872" s="7" t="str">
        <f t="shared" si="71"/>
        <v/>
      </c>
      <c r="M872" s="7" t="str">
        <f t="shared" si="68"/>
        <v/>
      </c>
      <c r="N872" s="7" t="str">
        <f t="shared" si="72"/>
        <v/>
      </c>
      <c r="O872" s="8"/>
      <c r="P872" s="26"/>
      <c r="S872" s="10" t="str">
        <f t="shared" si="69"/>
        <v/>
      </c>
    </row>
    <row r="873" spans="5:19" x14ac:dyDescent="0.3">
      <c r="E873" s="9" t="str">
        <f>IF(DADOS!C873="","",DADOS!C873)</f>
        <v/>
      </c>
      <c r="F873" s="9" t="str">
        <f>IF(DADOS!E873="","",DADOS!E873)</f>
        <v/>
      </c>
      <c r="G873" s="9" t="str">
        <f>IF(DADOS!F873="","",DADOS!F873)</f>
        <v/>
      </c>
      <c r="K873" s="6" t="str">
        <f t="shared" si="70"/>
        <v/>
      </c>
      <c r="L873" s="7" t="str">
        <f t="shared" si="71"/>
        <v/>
      </c>
      <c r="M873" s="7" t="str">
        <f t="shared" si="68"/>
        <v/>
      </c>
      <c r="N873" s="7" t="str">
        <f t="shared" si="72"/>
        <v/>
      </c>
      <c r="O873" s="8"/>
      <c r="P873" s="26"/>
      <c r="S873" s="10" t="str">
        <f t="shared" si="69"/>
        <v/>
      </c>
    </row>
    <row r="874" spans="5:19" x14ac:dyDescent="0.3">
      <c r="E874" s="9" t="str">
        <f>IF(DADOS!C874="","",DADOS!C874)</f>
        <v/>
      </c>
      <c r="F874" s="9" t="str">
        <f>IF(DADOS!E874="","",DADOS!E874)</f>
        <v/>
      </c>
      <c r="G874" s="9" t="str">
        <f>IF(DADOS!F874="","",DADOS!F874)</f>
        <v/>
      </c>
      <c r="K874" s="6" t="str">
        <f t="shared" si="70"/>
        <v/>
      </c>
      <c r="L874" s="7" t="str">
        <f t="shared" si="71"/>
        <v/>
      </c>
      <c r="M874" s="7" t="str">
        <f t="shared" si="68"/>
        <v/>
      </c>
      <c r="N874" s="7" t="str">
        <f t="shared" si="72"/>
        <v/>
      </c>
      <c r="O874" s="8"/>
      <c r="P874" s="26"/>
      <c r="S874" s="10" t="str">
        <f t="shared" si="69"/>
        <v/>
      </c>
    </row>
    <row r="875" spans="5:19" x14ac:dyDescent="0.3">
      <c r="E875" s="9" t="str">
        <f>IF(DADOS!C875="","",DADOS!C875)</f>
        <v/>
      </c>
      <c r="F875" s="9" t="str">
        <f>IF(DADOS!E875="","",DADOS!E875)</f>
        <v/>
      </c>
      <c r="G875" s="9" t="str">
        <f>IF(DADOS!F875="","",DADOS!F875)</f>
        <v/>
      </c>
      <c r="K875" s="6" t="str">
        <f t="shared" si="70"/>
        <v/>
      </c>
      <c r="L875" s="7" t="str">
        <f t="shared" si="71"/>
        <v/>
      </c>
      <c r="M875" s="7" t="str">
        <f t="shared" si="68"/>
        <v/>
      </c>
      <c r="N875" s="7" t="str">
        <f t="shared" si="72"/>
        <v/>
      </c>
      <c r="O875" s="8"/>
      <c r="P875" s="26"/>
      <c r="S875" s="10" t="str">
        <f t="shared" si="69"/>
        <v/>
      </c>
    </row>
    <row r="876" spans="5:19" x14ac:dyDescent="0.3">
      <c r="E876" s="9" t="str">
        <f>IF(DADOS!C876="","",DADOS!C876)</f>
        <v/>
      </c>
      <c r="F876" s="9" t="str">
        <f>IF(DADOS!E876="","",DADOS!E876)</f>
        <v/>
      </c>
      <c r="G876" s="9" t="str">
        <f>IF(DADOS!F876="","",DADOS!F876)</f>
        <v/>
      </c>
      <c r="K876" s="6" t="str">
        <f t="shared" si="70"/>
        <v/>
      </c>
      <c r="L876" s="7" t="str">
        <f t="shared" si="71"/>
        <v/>
      </c>
      <c r="M876" s="7" t="str">
        <f t="shared" si="68"/>
        <v/>
      </c>
      <c r="N876" s="7" t="str">
        <f t="shared" si="72"/>
        <v/>
      </c>
      <c r="O876" s="8"/>
      <c r="P876" s="26"/>
      <c r="S876" s="10" t="str">
        <f t="shared" si="69"/>
        <v/>
      </c>
    </row>
    <row r="877" spans="5:19" x14ac:dyDescent="0.3">
      <c r="E877" s="9" t="str">
        <f>IF(DADOS!C877="","",DADOS!C877)</f>
        <v/>
      </c>
      <c r="F877" s="9" t="str">
        <f>IF(DADOS!E877="","",DADOS!E877)</f>
        <v/>
      </c>
      <c r="G877" s="9" t="str">
        <f>IF(DADOS!F877="","",DADOS!F877)</f>
        <v/>
      </c>
      <c r="K877" s="6" t="str">
        <f t="shared" si="70"/>
        <v/>
      </c>
      <c r="L877" s="7" t="str">
        <f t="shared" si="71"/>
        <v/>
      </c>
      <c r="M877" s="7" t="str">
        <f t="shared" si="68"/>
        <v/>
      </c>
      <c r="N877" s="7" t="str">
        <f t="shared" si="72"/>
        <v/>
      </c>
      <c r="O877" s="8"/>
      <c r="P877" s="26"/>
      <c r="S877" s="10" t="str">
        <f t="shared" si="69"/>
        <v/>
      </c>
    </row>
    <row r="878" spans="5:19" x14ac:dyDescent="0.3">
      <c r="E878" s="9" t="str">
        <f>IF(DADOS!C878="","",DADOS!C878)</f>
        <v/>
      </c>
      <c r="F878" s="9" t="str">
        <f>IF(DADOS!E878="","",DADOS!E878)</f>
        <v/>
      </c>
      <c r="G878" s="9" t="str">
        <f>IF(DADOS!F878="","",DADOS!F878)</f>
        <v/>
      </c>
      <c r="K878" s="6" t="str">
        <f t="shared" si="70"/>
        <v/>
      </c>
      <c r="L878" s="7" t="str">
        <f t="shared" si="71"/>
        <v/>
      </c>
      <c r="M878" s="7" t="str">
        <f t="shared" si="68"/>
        <v/>
      </c>
      <c r="N878" s="7" t="str">
        <f t="shared" si="72"/>
        <v/>
      </c>
      <c r="O878" s="8"/>
      <c r="P878" s="26"/>
      <c r="S878" s="10" t="str">
        <f t="shared" si="69"/>
        <v/>
      </c>
    </row>
    <row r="879" spans="5:19" x14ac:dyDescent="0.3">
      <c r="E879" s="9" t="str">
        <f>IF(DADOS!C879="","",DADOS!C879)</f>
        <v/>
      </c>
      <c r="F879" s="9" t="str">
        <f>IF(DADOS!E879="","",DADOS!E879)</f>
        <v/>
      </c>
      <c r="G879" s="9" t="str">
        <f>IF(DADOS!F879="","",DADOS!F879)</f>
        <v/>
      </c>
      <c r="K879" s="6" t="str">
        <f t="shared" si="70"/>
        <v/>
      </c>
      <c r="L879" s="7" t="str">
        <f t="shared" si="71"/>
        <v/>
      </c>
      <c r="M879" s="7" t="str">
        <f t="shared" si="68"/>
        <v/>
      </c>
      <c r="N879" s="7" t="str">
        <f t="shared" si="72"/>
        <v/>
      </c>
      <c r="O879" s="8"/>
      <c r="P879" s="26"/>
      <c r="S879" s="10" t="str">
        <f t="shared" si="69"/>
        <v/>
      </c>
    </row>
    <row r="880" spans="5:19" x14ac:dyDescent="0.3">
      <c r="E880" s="9" t="str">
        <f>IF(DADOS!C880="","",DADOS!C880)</f>
        <v/>
      </c>
      <c r="F880" s="9" t="str">
        <f>IF(DADOS!E880="","",DADOS!E880)</f>
        <v/>
      </c>
      <c r="G880" s="9" t="str">
        <f>IF(DADOS!F880="","",DADOS!F880)</f>
        <v/>
      </c>
      <c r="K880" s="6" t="str">
        <f t="shared" si="70"/>
        <v/>
      </c>
      <c r="L880" s="7" t="str">
        <f t="shared" si="71"/>
        <v/>
      </c>
      <c r="M880" s="7" t="str">
        <f t="shared" si="68"/>
        <v/>
      </c>
      <c r="N880" s="7" t="str">
        <f t="shared" si="72"/>
        <v/>
      </c>
      <c r="O880" s="8"/>
      <c r="P880" s="26"/>
      <c r="S880" s="10" t="str">
        <f t="shared" si="69"/>
        <v/>
      </c>
    </row>
    <row r="881" spans="5:19" x14ac:dyDescent="0.3">
      <c r="E881" s="9" t="str">
        <f>IF(DADOS!C881="","",DADOS!C881)</f>
        <v/>
      </c>
      <c r="F881" s="9" t="str">
        <f>IF(DADOS!E881="","",DADOS!E881)</f>
        <v/>
      </c>
      <c r="G881" s="9" t="str">
        <f>IF(DADOS!F881="","",DADOS!F881)</f>
        <v/>
      </c>
      <c r="K881" s="6" t="str">
        <f t="shared" si="70"/>
        <v/>
      </c>
      <c r="L881" s="7" t="str">
        <f t="shared" si="71"/>
        <v/>
      </c>
      <c r="M881" s="7" t="str">
        <f t="shared" si="68"/>
        <v/>
      </c>
      <c r="N881" s="7" t="str">
        <f t="shared" si="72"/>
        <v/>
      </c>
      <c r="O881" s="8"/>
      <c r="P881" s="26"/>
      <c r="S881" s="10" t="str">
        <f t="shared" si="69"/>
        <v/>
      </c>
    </row>
    <row r="882" spans="5:19" x14ac:dyDescent="0.3">
      <c r="E882" s="9" t="str">
        <f>IF(DADOS!C882="","",DADOS!C882)</f>
        <v/>
      </c>
      <c r="F882" s="9" t="str">
        <f>IF(DADOS!E882="","",DADOS!E882)</f>
        <v/>
      </c>
      <c r="G882" s="9" t="str">
        <f>IF(DADOS!F882="","",DADOS!F882)</f>
        <v/>
      </c>
      <c r="K882" s="6" t="str">
        <f t="shared" si="70"/>
        <v/>
      </c>
      <c r="L882" s="7" t="str">
        <f t="shared" si="71"/>
        <v/>
      </c>
      <c r="M882" s="7" t="str">
        <f t="shared" si="68"/>
        <v/>
      </c>
      <c r="N882" s="7" t="str">
        <f t="shared" si="72"/>
        <v/>
      </c>
      <c r="O882" s="8"/>
      <c r="P882" s="26"/>
      <c r="S882" s="10" t="str">
        <f t="shared" si="69"/>
        <v/>
      </c>
    </row>
    <row r="883" spans="5:19" x14ac:dyDescent="0.3">
      <c r="E883" s="9" t="str">
        <f>IF(DADOS!C883="","",DADOS!C883)</f>
        <v/>
      </c>
      <c r="F883" s="9" t="str">
        <f>IF(DADOS!E883="","",DADOS!E883)</f>
        <v/>
      </c>
      <c r="G883" s="9" t="str">
        <f>IF(DADOS!F883="","",DADOS!F883)</f>
        <v/>
      </c>
      <c r="K883" s="6" t="str">
        <f t="shared" si="70"/>
        <v/>
      </c>
      <c r="L883" s="7" t="str">
        <f t="shared" si="71"/>
        <v/>
      </c>
      <c r="M883" s="7" t="str">
        <f t="shared" si="68"/>
        <v/>
      </c>
      <c r="N883" s="7" t="str">
        <f t="shared" si="72"/>
        <v/>
      </c>
      <c r="O883" s="8"/>
      <c r="P883" s="26"/>
      <c r="S883" s="10" t="str">
        <f t="shared" si="69"/>
        <v/>
      </c>
    </row>
    <row r="884" spans="5:19" x14ac:dyDescent="0.3">
      <c r="E884" s="9" t="str">
        <f>IF(DADOS!C884="","",DADOS!C884)</f>
        <v/>
      </c>
      <c r="F884" s="9" t="str">
        <f>IF(DADOS!E884="","",DADOS!E884)</f>
        <v/>
      </c>
      <c r="G884" s="9" t="str">
        <f>IF(DADOS!F884="","",DADOS!F884)</f>
        <v/>
      </c>
      <c r="K884" s="6" t="str">
        <f t="shared" si="70"/>
        <v/>
      </c>
      <c r="L884" s="7" t="str">
        <f t="shared" si="71"/>
        <v/>
      </c>
      <c r="M884" s="7" t="str">
        <f t="shared" si="68"/>
        <v/>
      </c>
      <c r="N884" s="7" t="str">
        <f t="shared" si="72"/>
        <v/>
      </c>
      <c r="O884" s="8"/>
      <c r="P884" s="26"/>
      <c r="S884" s="10" t="str">
        <f t="shared" si="69"/>
        <v/>
      </c>
    </row>
    <row r="885" spans="5:19" x14ac:dyDescent="0.3">
      <c r="E885" s="9" t="str">
        <f>IF(DADOS!C885="","",DADOS!C885)</f>
        <v/>
      </c>
      <c r="F885" s="9" t="str">
        <f>IF(DADOS!E885="","",DADOS!E885)</f>
        <v/>
      </c>
      <c r="G885" s="9" t="str">
        <f>IF(DADOS!F885="","",DADOS!F885)</f>
        <v/>
      </c>
      <c r="K885" s="6" t="str">
        <f t="shared" si="70"/>
        <v/>
      </c>
      <c r="L885" s="7" t="str">
        <f t="shared" si="71"/>
        <v/>
      </c>
      <c r="M885" s="7" t="str">
        <f t="shared" si="68"/>
        <v/>
      </c>
      <c r="N885" s="7" t="str">
        <f t="shared" si="72"/>
        <v/>
      </c>
      <c r="O885" s="8"/>
      <c r="P885" s="26"/>
      <c r="S885" s="10" t="str">
        <f t="shared" si="69"/>
        <v/>
      </c>
    </row>
    <row r="886" spans="5:19" x14ac:dyDescent="0.3">
      <c r="E886" s="9" t="str">
        <f>IF(DADOS!C886="","",DADOS!C886)</f>
        <v/>
      </c>
      <c r="F886" s="9" t="str">
        <f>IF(DADOS!E886="","",DADOS!E886)</f>
        <v/>
      </c>
      <c r="G886" s="9" t="str">
        <f>IF(DADOS!F886="","",DADOS!F886)</f>
        <v/>
      </c>
      <c r="K886" s="6" t="str">
        <f t="shared" si="70"/>
        <v/>
      </c>
      <c r="L886" s="7" t="str">
        <f t="shared" si="71"/>
        <v/>
      </c>
      <c r="M886" s="7" t="str">
        <f t="shared" si="68"/>
        <v/>
      </c>
      <c r="N886" s="7" t="str">
        <f t="shared" si="72"/>
        <v/>
      </c>
      <c r="O886" s="8"/>
      <c r="P886" s="26"/>
      <c r="S886" s="10" t="str">
        <f t="shared" si="69"/>
        <v/>
      </c>
    </row>
    <row r="887" spans="5:19" x14ac:dyDescent="0.3">
      <c r="E887" s="9" t="str">
        <f>IF(DADOS!C887="","",DADOS!C887)</f>
        <v/>
      </c>
      <c r="F887" s="9" t="str">
        <f>IF(DADOS!E887="","",DADOS!E887)</f>
        <v/>
      </c>
      <c r="G887" s="9" t="str">
        <f>IF(DADOS!F887="","",DADOS!F887)</f>
        <v/>
      </c>
      <c r="K887" s="6" t="str">
        <f t="shared" si="70"/>
        <v/>
      </c>
      <c r="L887" s="7" t="str">
        <f t="shared" si="71"/>
        <v/>
      </c>
      <c r="M887" s="7" t="str">
        <f t="shared" si="68"/>
        <v/>
      </c>
      <c r="N887" s="7" t="str">
        <f t="shared" si="72"/>
        <v/>
      </c>
      <c r="O887" s="8"/>
      <c r="P887" s="26"/>
      <c r="S887" s="10" t="str">
        <f t="shared" si="69"/>
        <v/>
      </c>
    </row>
    <row r="888" spans="5:19" x14ac:dyDescent="0.3">
      <c r="E888" s="9" t="str">
        <f>IF(DADOS!C888="","",DADOS!C888)</f>
        <v/>
      </c>
      <c r="F888" s="9" t="str">
        <f>IF(DADOS!E888="","",DADOS!E888)</f>
        <v/>
      </c>
      <c r="G888" s="9" t="str">
        <f>IF(DADOS!F888="","",DADOS!F888)</f>
        <v/>
      </c>
      <c r="K888" s="6" t="str">
        <f t="shared" si="70"/>
        <v/>
      </c>
      <c r="L888" s="7" t="str">
        <f t="shared" si="71"/>
        <v/>
      </c>
      <c r="M888" s="7" t="str">
        <f t="shared" si="68"/>
        <v/>
      </c>
      <c r="N888" s="7" t="str">
        <f t="shared" si="72"/>
        <v/>
      </c>
      <c r="O888" s="8"/>
      <c r="P888" s="26"/>
      <c r="S888" s="10" t="str">
        <f t="shared" si="69"/>
        <v/>
      </c>
    </row>
    <row r="889" spans="5:19" x14ac:dyDescent="0.3">
      <c r="E889" s="9" t="str">
        <f>IF(DADOS!C889="","",DADOS!C889)</f>
        <v/>
      </c>
      <c r="F889" s="9" t="str">
        <f>IF(DADOS!E889="","",DADOS!E889)</f>
        <v/>
      </c>
      <c r="G889" s="9" t="str">
        <f>IF(DADOS!F889="","",DADOS!F889)</f>
        <v/>
      </c>
      <c r="K889" s="6" t="str">
        <f t="shared" si="70"/>
        <v/>
      </c>
      <c r="L889" s="7" t="str">
        <f t="shared" si="71"/>
        <v/>
      </c>
      <c r="M889" s="7" t="str">
        <f t="shared" si="68"/>
        <v/>
      </c>
      <c r="N889" s="7" t="str">
        <f t="shared" si="72"/>
        <v/>
      </c>
      <c r="O889" s="8"/>
      <c r="P889" s="26"/>
      <c r="S889" s="10" t="str">
        <f t="shared" si="69"/>
        <v/>
      </c>
    </row>
    <row r="890" spans="5:19" x14ac:dyDescent="0.3">
      <c r="E890" s="9" t="str">
        <f>IF(DADOS!C890="","",DADOS!C890)</f>
        <v/>
      </c>
      <c r="F890" s="9" t="str">
        <f>IF(DADOS!E890="","",DADOS!E890)</f>
        <v/>
      </c>
      <c r="G890" s="9" t="str">
        <f>IF(DADOS!F890="","",DADOS!F890)</f>
        <v/>
      </c>
      <c r="K890" s="6" t="str">
        <f t="shared" si="70"/>
        <v/>
      </c>
      <c r="L890" s="7" t="str">
        <f t="shared" si="71"/>
        <v/>
      </c>
      <c r="M890" s="7" t="str">
        <f t="shared" si="68"/>
        <v/>
      </c>
      <c r="N890" s="7" t="str">
        <f t="shared" si="72"/>
        <v/>
      </c>
      <c r="O890" s="8"/>
      <c r="P890" s="26"/>
      <c r="S890" s="10" t="str">
        <f t="shared" si="69"/>
        <v/>
      </c>
    </row>
    <row r="891" spans="5:19" x14ac:dyDescent="0.3">
      <c r="E891" s="9" t="str">
        <f>IF(DADOS!C891="","",DADOS!C891)</f>
        <v/>
      </c>
      <c r="F891" s="9" t="str">
        <f>IF(DADOS!E891="","",DADOS!E891)</f>
        <v/>
      </c>
      <c r="G891" s="9" t="str">
        <f>IF(DADOS!F891="","",DADOS!F891)</f>
        <v/>
      </c>
      <c r="K891" s="6" t="str">
        <f t="shared" si="70"/>
        <v/>
      </c>
      <c r="L891" s="7" t="str">
        <f t="shared" si="71"/>
        <v/>
      </c>
      <c r="M891" s="7" t="str">
        <f t="shared" si="68"/>
        <v/>
      </c>
      <c r="N891" s="7" t="str">
        <f t="shared" si="72"/>
        <v/>
      </c>
      <c r="O891" s="8"/>
      <c r="P891" s="26"/>
      <c r="S891" s="10" t="str">
        <f t="shared" si="69"/>
        <v/>
      </c>
    </row>
    <row r="892" spans="5:19" x14ac:dyDescent="0.3">
      <c r="E892" s="9" t="str">
        <f>IF(DADOS!C892="","",DADOS!C892)</f>
        <v/>
      </c>
      <c r="F892" s="9" t="str">
        <f>IF(DADOS!E892="","",DADOS!E892)</f>
        <v/>
      </c>
      <c r="G892" s="9" t="str">
        <f>IF(DADOS!F892="","",DADOS!F892)</f>
        <v/>
      </c>
      <c r="K892" s="6" t="str">
        <f t="shared" si="70"/>
        <v/>
      </c>
      <c r="L892" s="7" t="str">
        <f t="shared" si="71"/>
        <v/>
      </c>
      <c r="M892" s="7" t="str">
        <f t="shared" si="68"/>
        <v/>
      </c>
      <c r="N892" s="7" t="str">
        <f t="shared" si="72"/>
        <v/>
      </c>
      <c r="O892" s="8"/>
      <c r="P892" s="26"/>
      <c r="S892" s="10" t="str">
        <f t="shared" si="69"/>
        <v/>
      </c>
    </row>
    <row r="893" spans="5:19" x14ac:dyDescent="0.3">
      <c r="E893" s="9" t="str">
        <f>IF(DADOS!C893="","",DADOS!C893)</f>
        <v/>
      </c>
      <c r="F893" s="9" t="str">
        <f>IF(DADOS!E893="","",DADOS!E893)</f>
        <v/>
      </c>
      <c r="G893" s="9" t="str">
        <f>IF(DADOS!F893="","",DADOS!F893)</f>
        <v/>
      </c>
      <c r="K893" s="6" t="str">
        <f t="shared" si="70"/>
        <v/>
      </c>
      <c r="L893" s="7" t="str">
        <f t="shared" si="71"/>
        <v/>
      </c>
      <c r="M893" s="7" t="str">
        <f t="shared" si="68"/>
        <v/>
      </c>
      <c r="N893" s="7" t="str">
        <f t="shared" si="72"/>
        <v/>
      </c>
      <c r="O893" s="8"/>
      <c r="P893" s="26"/>
      <c r="S893" s="10" t="str">
        <f t="shared" si="69"/>
        <v/>
      </c>
    </row>
    <row r="894" spans="5:19" x14ac:dyDescent="0.3">
      <c r="E894" s="9" t="str">
        <f>IF(DADOS!C894="","",DADOS!C894)</f>
        <v/>
      </c>
      <c r="F894" s="9" t="str">
        <f>IF(DADOS!E894="","",DADOS!E894)</f>
        <v/>
      </c>
      <c r="G894" s="9" t="str">
        <f>IF(DADOS!F894="","",DADOS!F894)</f>
        <v/>
      </c>
      <c r="K894" s="6" t="str">
        <f t="shared" si="70"/>
        <v/>
      </c>
      <c r="L894" s="7" t="str">
        <f t="shared" si="71"/>
        <v/>
      </c>
      <c r="M894" s="7" t="str">
        <f t="shared" si="68"/>
        <v/>
      </c>
      <c r="N894" s="7" t="str">
        <f t="shared" si="72"/>
        <v/>
      </c>
      <c r="O894" s="8"/>
      <c r="P894" s="26"/>
      <c r="S894" s="10" t="str">
        <f t="shared" si="69"/>
        <v/>
      </c>
    </row>
    <row r="895" spans="5:19" x14ac:dyDescent="0.3">
      <c r="E895" s="9" t="str">
        <f>IF(DADOS!C895="","",DADOS!C895)</f>
        <v/>
      </c>
      <c r="F895" s="9" t="str">
        <f>IF(DADOS!E895="","",DADOS!E895)</f>
        <v/>
      </c>
      <c r="G895" s="9" t="str">
        <f>IF(DADOS!F895="","",DADOS!F895)</f>
        <v/>
      </c>
      <c r="K895" s="6" t="str">
        <f t="shared" si="70"/>
        <v/>
      </c>
      <c r="L895" s="7" t="str">
        <f t="shared" si="71"/>
        <v/>
      </c>
      <c r="M895" s="7" t="str">
        <f t="shared" si="68"/>
        <v/>
      </c>
      <c r="N895" s="7" t="str">
        <f t="shared" si="72"/>
        <v/>
      </c>
      <c r="O895" s="8"/>
      <c r="P895" s="26"/>
      <c r="S895" s="10" t="str">
        <f t="shared" si="69"/>
        <v/>
      </c>
    </row>
    <row r="896" spans="5:19" x14ac:dyDescent="0.3">
      <c r="E896" s="9" t="str">
        <f>IF(DADOS!C896="","",DADOS!C896)</f>
        <v/>
      </c>
      <c r="F896" s="9" t="str">
        <f>IF(DADOS!E896="","",DADOS!E896)</f>
        <v/>
      </c>
      <c r="G896" s="9" t="str">
        <f>IF(DADOS!F896="","",DADOS!F896)</f>
        <v/>
      </c>
      <c r="K896" s="6" t="str">
        <f t="shared" si="70"/>
        <v/>
      </c>
      <c r="L896" s="7" t="str">
        <f t="shared" si="71"/>
        <v/>
      </c>
      <c r="M896" s="7" t="str">
        <f t="shared" si="68"/>
        <v/>
      </c>
      <c r="N896" s="7" t="str">
        <f t="shared" si="72"/>
        <v/>
      </c>
      <c r="O896" s="8"/>
      <c r="P896" s="26"/>
      <c r="S896" s="10" t="str">
        <f t="shared" si="69"/>
        <v/>
      </c>
    </row>
    <row r="897" spans="5:19" x14ac:dyDescent="0.3">
      <c r="E897" s="9" t="str">
        <f>IF(DADOS!C897="","",DADOS!C897)</f>
        <v/>
      </c>
      <c r="F897" s="9" t="str">
        <f>IF(DADOS!E897="","",DADOS!E897)</f>
        <v/>
      </c>
      <c r="G897" s="9" t="str">
        <f>IF(DADOS!F897="","",DADOS!F897)</f>
        <v/>
      </c>
      <c r="K897" s="6" t="str">
        <f t="shared" si="70"/>
        <v/>
      </c>
      <c r="L897" s="7" t="str">
        <f t="shared" si="71"/>
        <v/>
      </c>
      <c r="M897" s="7" t="str">
        <f t="shared" si="68"/>
        <v/>
      </c>
      <c r="N897" s="7" t="str">
        <f t="shared" si="72"/>
        <v/>
      </c>
      <c r="O897" s="8"/>
      <c r="P897" s="26"/>
      <c r="S897" s="10" t="str">
        <f t="shared" si="69"/>
        <v/>
      </c>
    </row>
    <row r="898" spans="5:19" x14ac:dyDescent="0.3">
      <c r="E898" s="9" t="str">
        <f>IF(DADOS!C898="","",DADOS!C898)</f>
        <v/>
      </c>
      <c r="F898" s="9" t="str">
        <f>IF(DADOS!E898="","",DADOS!E898)</f>
        <v/>
      </c>
      <c r="G898" s="9" t="str">
        <f>IF(DADOS!F898="","",DADOS!F898)</f>
        <v/>
      </c>
      <c r="K898" s="6" t="str">
        <f t="shared" si="70"/>
        <v/>
      </c>
      <c r="L898" s="7" t="str">
        <f t="shared" si="71"/>
        <v/>
      </c>
      <c r="M898" s="7" t="str">
        <f t="shared" si="68"/>
        <v/>
      </c>
      <c r="N898" s="7" t="str">
        <f t="shared" si="72"/>
        <v/>
      </c>
      <c r="O898" s="8"/>
      <c r="P898" s="26"/>
      <c r="S898" s="10" t="str">
        <f t="shared" si="69"/>
        <v/>
      </c>
    </row>
    <row r="899" spans="5:19" x14ac:dyDescent="0.3">
      <c r="E899" s="9" t="str">
        <f>IF(DADOS!C899="","",DADOS!C899)</f>
        <v/>
      </c>
      <c r="F899" s="9" t="str">
        <f>IF(DADOS!E899="","",DADOS!E899)</f>
        <v/>
      </c>
      <c r="G899" s="9" t="str">
        <f>IF(DADOS!F899="","",DADOS!F899)</f>
        <v/>
      </c>
      <c r="K899" s="6" t="str">
        <f t="shared" si="70"/>
        <v/>
      </c>
      <c r="L899" s="7" t="str">
        <f t="shared" si="71"/>
        <v/>
      </c>
      <c r="M899" s="7" t="str">
        <f t="shared" ref="M899:M962" si="73">IF(L899="","",L899*G899)</f>
        <v/>
      </c>
      <c r="N899" s="7" t="str">
        <f t="shared" si="72"/>
        <v/>
      </c>
      <c r="O899" s="8"/>
      <c r="P899" s="26"/>
      <c r="S899" s="10" t="str">
        <f t="shared" ref="S899:S962" si="74">IF(R899="","",SUMIFS($N$3:$N$10000,$E$3:$E$10000,R899))</f>
        <v/>
      </c>
    </row>
    <row r="900" spans="5:19" x14ac:dyDescent="0.3">
      <c r="E900" s="9" t="str">
        <f>IF(DADOS!C900="","",DADOS!C900)</f>
        <v/>
      </c>
      <c r="F900" s="9" t="str">
        <f>IF(DADOS!E900="","",DADOS!E900)</f>
        <v/>
      </c>
      <c r="G900" s="9" t="str">
        <f>IF(DADOS!F900="","",DADOS!F900)</f>
        <v/>
      </c>
      <c r="K900" s="6" t="str">
        <f t="shared" ref="K900:K963" si="75">IF(F900="","",F900/PI())</f>
        <v/>
      </c>
      <c r="L900" s="7" t="str">
        <f t="shared" ref="L900:L963" si="76">IF(K900="","",(PI()*K900^2)/40000)</f>
        <v/>
      </c>
      <c r="M900" s="7" t="str">
        <f t="shared" si="73"/>
        <v/>
      </c>
      <c r="N900" s="7" t="str">
        <f t="shared" ref="N900:N963" si="77">IF(M900="","",M900*N$1)</f>
        <v/>
      </c>
      <c r="O900" s="8"/>
      <c r="P900" s="26"/>
      <c r="S900" s="10" t="str">
        <f t="shared" si="74"/>
        <v/>
      </c>
    </row>
    <row r="901" spans="5:19" x14ac:dyDescent="0.3">
      <c r="E901" s="9" t="str">
        <f>IF(DADOS!C901="","",DADOS!C901)</f>
        <v/>
      </c>
      <c r="F901" s="9" t="str">
        <f>IF(DADOS!E901="","",DADOS!E901)</f>
        <v/>
      </c>
      <c r="G901" s="9" t="str">
        <f>IF(DADOS!F901="","",DADOS!F901)</f>
        <v/>
      </c>
      <c r="K901" s="6" t="str">
        <f t="shared" si="75"/>
        <v/>
      </c>
      <c r="L901" s="7" t="str">
        <f t="shared" si="76"/>
        <v/>
      </c>
      <c r="M901" s="7" t="str">
        <f t="shared" si="73"/>
        <v/>
      </c>
      <c r="N901" s="7" t="str">
        <f t="shared" si="77"/>
        <v/>
      </c>
      <c r="O901" s="8"/>
      <c r="P901" s="26"/>
      <c r="S901" s="10" t="str">
        <f t="shared" si="74"/>
        <v/>
      </c>
    </row>
    <row r="902" spans="5:19" x14ac:dyDescent="0.3">
      <c r="E902" s="9" t="str">
        <f>IF(DADOS!C902="","",DADOS!C902)</f>
        <v/>
      </c>
      <c r="F902" s="9" t="str">
        <f>IF(DADOS!E902="","",DADOS!E902)</f>
        <v/>
      </c>
      <c r="G902" s="9" t="str">
        <f>IF(DADOS!F902="","",DADOS!F902)</f>
        <v/>
      </c>
      <c r="K902" s="6" t="str">
        <f t="shared" si="75"/>
        <v/>
      </c>
      <c r="L902" s="7" t="str">
        <f t="shared" si="76"/>
        <v/>
      </c>
      <c r="M902" s="7" t="str">
        <f t="shared" si="73"/>
        <v/>
      </c>
      <c r="N902" s="7" t="str">
        <f t="shared" si="77"/>
        <v/>
      </c>
      <c r="O902" s="8"/>
      <c r="P902" s="26"/>
      <c r="S902" s="10" t="str">
        <f t="shared" si="74"/>
        <v/>
      </c>
    </row>
    <row r="903" spans="5:19" x14ac:dyDescent="0.3">
      <c r="E903" s="9" t="str">
        <f>IF(DADOS!C903="","",DADOS!C903)</f>
        <v/>
      </c>
      <c r="F903" s="9" t="str">
        <f>IF(DADOS!E903="","",DADOS!E903)</f>
        <v/>
      </c>
      <c r="G903" s="9" t="str">
        <f>IF(DADOS!F903="","",DADOS!F903)</f>
        <v/>
      </c>
      <c r="K903" s="6" t="str">
        <f t="shared" si="75"/>
        <v/>
      </c>
      <c r="L903" s="7" t="str">
        <f t="shared" si="76"/>
        <v/>
      </c>
      <c r="M903" s="7" t="str">
        <f t="shared" si="73"/>
        <v/>
      </c>
      <c r="N903" s="7" t="str">
        <f t="shared" si="77"/>
        <v/>
      </c>
      <c r="O903" s="8"/>
      <c r="P903" s="26"/>
      <c r="S903" s="10" t="str">
        <f t="shared" si="74"/>
        <v/>
      </c>
    </row>
    <row r="904" spans="5:19" x14ac:dyDescent="0.3">
      <c r="E904" s="9" t="str">
        <f>IF(DADOS!C904="","",DADOS!C904)</f>
        <v/>
      </c>
      <c r="F904" s="9" t="str">
        <f>IF(DADOS!E904="","",DADOS!E904)</f>
        <v/>
      </c>
      <c r="G904" s="9" t="str">
        <f>IF(DADOS!F904="","",DADOS!F904)</f>
        <v/>
      </c>
      <c r="K904" s="6" t="str">
        <f t="shared" si="75"/>
        <v/>
      </c>
      <c r="L904" s="7" t="str">
        <f t="shared" si="76"/>
        <v/>
      </c>
      <c r="M904" s="7" t="str">
        <f t="shared" si="73"/>
        <v/>
      </c>
      <c r="N904" s="7" t="str">
        <f t="shared" si="77"/>
        <v/>
      </c>
      <c r="O904" s="8"/>
      <c r="P904" s="26"/>
      <c r="S904" s="10" t="str">
        <f t="shared" si="74"/>
        <v/>
      </c>
    </row>
    <row r="905" spans="5:19" x14ac:dyDescent="0.3">
      <c r="E905" s="9" t="str">
        <f>IF(DADOS!C905="","",DADOS!C905)</f>
        <v/>
      </c>
      <c r="F905" s="9" t="str">
        <f>IF(DADOS!E905="","",DADOS!E905)</f>
        <v/>
      </c>
      <c r="G905" s="9" t="str">
        <f>IF(DADOS!F905="","",DADOS!F905)</f>
        <v/>
      </c>
      <c r="K905" s="6" t="str">
        <f t="shared" si="75"/>
        <v/>
      </c>
      <c r="L905" s="7" t="str">
        <f t="shared" si="76"/>
        <v/>
      </c>
      <c r="M905" s="7" t="str">
        <f t="shared" si="73"/>
        <v/>
      </c>
      <c r="N905" s="7" t="str">
        <f t="shared" si="77"/>
        <v/>
      </c>
      <c r="O905" s="8"/>
      <c r="P905" s="26"/>
      <c r="S905" s="10" t="str">
        <f t="shared" si="74"/>
        <v/>
      </c>
    </row>
    <row r="906" spans="5:19" x14ac:dyDescent="0.3">
      <c r="E906" s="9" t="str">
        <f>IF(DADOS!C906="","",DADOS!C906)</f>
        <v/>
      </c>
      <c r="F906" s="9" t="str">
        <f>IF(DADOS!E906="","",DADOS!E906)</f>
        <v/>
      </c>
      <c r="G906" s="9" t="str">
        <f>IF(DADOS!F906="","",DADOS!F906)</f>
        <v/>
      </c>
      <c r="K906" s="6" t="str">
        <f t="shared" si="75"/>
        <v/>
      </c>
      <c r="L906" s="7" t="str">
        <f t="shared" si="76"/>
        <v/>
      </c>
      <c r="M906" s="7" t="str">
        <f t="shared" si="73"/>
        <v/>
      </c>
      <c r="N906" s="7" t="str">
        <f t="shared" si="77"/>
        <v/>
      </c>
      <c r="O906" s="8"/>
      <c r="P906" s="26"/>
      <c r="S906" s="10" t="str">
        <f t="shared" si="74"/>
        <v/>
      </c>
    </row>
    <row r="907" spans="5:19" x14ac:dyDescent="0.3">
      <c r="E907" s="9" t="str">
        <f>IF(DADOS!C907="","",DADOS!C907)</f>
        <v/>
      </c>
      <c r="F907" s="9" t="str">
        <f>IF(DADOS!E907="","",DADOS!E907)</f>
        <v/>
      </c>
      <c r="G907" s="9" t="str">
        <f>IF(DADOS!F907="","",DADOS!F907)</f>
        <v/>
      </c>
      <c r="K907" s="6" t="str">
        <f t="shared" si="75"/>
        <v/>
      </c>
      <c r="L907" s="7" t="str">
        <f t="shared" si="76"/>
        <v/>
      </c>
      <c r="M907" s="7" t="str">
        <f t="shared" si="73"/>
        <v/>
      </c>
      <c r="N907" s="7" t="str">
        <f t="shared" si="77"/>
        <v/>
      </c>
      <c r="O907" s="8"/>
      <c r="P907" s="26"/>
      <c r="S907" s="10" t="str">
        <f t="shared" si="74"/>
        <v/>
      </c>
    </row>
    <row r="908" spans="5:19" x14ac:dyDescent="0.3">
      <c r="E908" s="9" t="str">
        <f>IF(DADOS!C908="","",DADOS!C908)</f>
        <v/>
      </c>
      <c r="F908" s="9" t="str">
        <f>IF(DADOS!E908="","",DADOS!E908)</f>
        <v/>
      </c>
      <c r="G908" s="9" t="str">
        <f>IF(DADOS!F908="","",DADOS!F908)</f>
        <v/>
      </c>
      <c r="K908" s="6" t="str">
        <f t="shared" si="75"/>
        <v/>
      </c>
      <c r="L908" s="7" t="str">
        <f t="shared" si="76"/>
        <v/>
      </c>
      <c r="M908" s="7" t="str">
        <f t="shared" si="73"/>
        <v/>
      </c>
      <c r="N908" s="7" t="str">
        <f t="shared" si="77"/>
        <v/>
      </c>
      <c r="O908" s="8"/>
      <c r="P908" s="26"/>
      <c r="S908" s="10" t="str">
        <f t="shared" si="74"/>
        <v/>
      </c>
    </row>
    <row r="909" spans="5:19" x14ac:dyDescent="0.3">
      <c r="E909" s="9" t="str">
        <f>IF(DADOS!C909="","",DADOS!C909)</f>
        <v/>
      </c>
      <c r="F909" s="9" t="str">
        <f>IF(DADOS!E909="","",DADOS!E909)</f>
        <v/>
      </c>
      <c r="G909" s="9" t="str">
        <f>IF(DADOS!F909="","",DADOS!F909)</f>
        <v/>
      </c>
      <c r="K909" s="6" t="str">
        <f t="shared" si="75"/>
        <v/>
      </c>
      <c r="L909" s="7" t="str">
        <f t="shared" si="76"/>
        <v/>
      </c>
      <c r="M909" s="7" t="str">
        <f t="shared" si="73"/>
        <v/>
      </c>
      <c r="N909" s="7" t="str">
        <f t="shared" si="77"/>
        <v/>
      </c>
      <c r="O909" s="8"/>
      <c r="P909" s="26"/>
      <c r="S909" s="10" t="str">
        <f t="shared" si="74"/>
        <v/>
      </c>
    </row>
    <row r="910" spans="5:19" x14ac:dyDescent="0.3">
      <c r="E910" s="9" t="str">
        <f>IF(DADOS!C910="","",DADOS!C910)</f>
        <v/>
      </c>
      <c r="F910" s="9" t="str">
        <f>IF(DADOS!E910="","",DADOS!E910)</f>
        <v/>
      </c>
      <c r="G910" s="9" t="str">
        <f>IF(DADOS!F910="","",DADOS!F910)</f>
        <v/>
      </c>
      <c r="K910" s="6" t="str">
        <f t="shared" si="75"/>
        <v/>
      </c>
      <c r="L910" s="7" t="str">
        <f t="shared" si="76"/>
        <v/>
      </c>
      <c r="M910" s="7" t="str">
        <f t="shared" si="73"/>
        <v/>
      </c>
      <c r="N910" s="7" t="str">
        <f t="shared" si="77"/>
        <v/>
      </c>
      <c r="O910" s="8"/>
      <c r="P910" s="26"/>
      <c r="S910" s="10" t="str">
        <f t="shared" si="74"/>
        <v/>
      </c>
    </row>
    <row r="911" spans="5:19" x14ac:dyDescent="0.3">
      <c r="E911" s="9" t="str">
        <f>IF(DADOS!C911="","",DADOS!C911)</f>
        <v/>
      </c>
      <c r="F911" s="9" t="str">
        <f>IF(DADOS!E911="","",DADOS!E911)</f>
        <v/>
      </c>
      <c r="G911" s="9" t="str">
        <f>IF(DADOS!F911="","",DADOS!F911)</f>
        <v/>
      </c>
      <c r="K911" s="6" t="str">
        <f t="shared" si="75"/>
        <v/>
      </c>
      <c r="L911" s="7" t="str">
        <f t="shared" si="76"/>
        <v/>
      </c>
      <c r="M911" s="7" t="str">
        <f t="shared" si="73"/>
        <v/>
      </c>
      <c r="N911" s="7" t="str">
        <f t="shared" si="77"/>
        <v/>
      </c>
      <c r="O911" s="8"/>
      <c r="P911" s="26"/>
      <c r="S911" s="10" t="str">
        <f t="shared" si="74"/>
        <v/>
      </c>
    </row>
    <row r="912" spans="5:19" x14ac:dyDescent="0.3">
      <c r="E912" s="9" t="str">
        <f>IF(DADOS!C912="","",DADOS!C912)</f>
        <v/>
      </c>
      <c r="F912" s="9" t="str">
        <f>IF(DADOS!E912="","",DADOS!E912)</f>
        <v/>
      </c>
      <c r="G912" s="9" t="str">
        <f>IF(DADOS!F912="","",DADOS!F912)</f>
        <v/>
      </c>
      <c r="K912" s="6" t="str">
        <f t="shared" si="75"/>
        <v/>
      </c>
      <c r="L912" s="7" t="str">
        <f t="shared" si="76"/>
        <v/>
      </c>
      <c r="M912" s="7" t="str">
        <f t="shared" si="73"/>
        <v/>
      </c>
      <c r="N912" s="7" t="str">
        <f t="shared" si="77"/>
        <v/>
      </c>
      <c r="O912" s="8"/>
      <c r="P912" s="26"/>
      <c r="S912" s="10" t="str">
        <f t="shared" si="74"/>
        <v/>
      </c>
    </row>
    <row r="913" spans="5:19" x14ac:dyDescent="0.3">
      <c r="E913" s="9" t="str">
        <f>IF(DADOS!C913="","",DADOS!C913)</f>
        <v/>
      </c>
      <c r="F913" s="9" t="str">
        <f>IF(DADOS!E913="","",DADOS!E913)</f>
        <v/>
      </c>
      <c r="G913" s="9" t="str">
        <f>IF(DADOS!F913="","",DADOS!F913)</f>
        <v/>
      </c>
      <c r="K913" s="6" t="str">
        <f t="shared" si="75"/>
        <v/>
      </c>
      <c r="L913" s="7" t="str">
        <f t="shared" si="76"/>
        <v/>
      </c>
      <c r="M913" s="7" t="str">
        <f t="shared" si="73"/>
        <v/>
      </c>
      <c r="N913" s="7" t="str">
        <f t="shared" si="77"/>
        <v/>
      </c>
      <c r="O913" s="8"/>
      <c r="P913" s="26"/>
      <c r="S913" s="10" t="str">
        <f t="shared" si="74"/>
        <v/>
      </c>
    </row>
    <row r="914" spans="5:19" x14ac:dyDescent="0.3">
      <c r="E914" s="9" t="str">
        <f>IF(DADOS!C914="","",DADOS!C914)</f>
        <v/>
      </c>
      <c r="F914" s="9" t="str">
        <f>IF(DADOS!E914="","",DADOS!E914)</f>
        <v/>
      </c>
      <c r="G914" s="9" t="str">
        <f>IF(DADOS!F914="","",DADOS!F914)</f>
        <v/>
      </c>
      <c r="K914" s="6" t="str">
        <f t="shared" si="75"/>
        <v/>
      </c>
      <c r="L914" s="7" t="str">
        <f t="shared" si="76"/>
        <v/>
      </c>
      <c r="M914" s="7" t="str">
        <f t="shared" si="73"/>
        <v/>
      </c>
      <c r="N914" s="7" t="str">
        <f t="shared" si="77"/>
        <v/>
      </c>
      <c r="O914" s="8"/>
      <c r="P914" s="26"/>
      <c r="S914" s="10" t="str">
        <f t="shared" si="74"/>
        <v/>
      </c>
    </row>
    <row r="915" spans="5:19" x14ac:dyDescent="0.3">
      <c r="E915" s="9" t="str">
        <f>IF(DADOS!C915="","",DADOS!C915)</f>
        <v/>
      </c>
      <c r="F915" s="9" t="str">
        <f>IF(DADOS!E915="","",DADOS!E915)</f>
        <v/>
      </c>
      <c r="G915" s="9" t="str">
        <f>IF(DADOS!F915="","",DADOS!F915)</f>
        <v/>
      </c>
      <c r="K915" s="6" t="str">
        <f t="shared" si="75"/>
        <v/>
      </c>
      <c r="L915" s="7" t="str">
        <f t="shared" si="76"/>
        <v/>
      </c>
      <c r="M915" s="7" t="str">
        <f t="shared" si="73"/>
        <v/>
      </c>
      <c r="N915" s="7" t="str">
        <f t="shared" si="77"/>
        <v/>
      </c>
      <c r="O915" s="8"/>
      <c r="P915" s="26"/>
      <c r="S915" s="10" t="str">
        <f t="shared" si="74"/>
        <v/>
      </c>
    </row>
    <row r="916" spans="5:19" x14ac:dyDescent="0.3">
      <c r="E916" s="9" t="str">
        <f>IF(DADOS!C916="","",DADOS!C916)</f>
        <v/>
      </c>
      <c r="F916" s="9" t="str">
        <f>IF(DADOS!E916="","",DADOS!E916)</f>
        <v/>
      </c>
      <c r="G916" s="9" t="str">
        <f>IF(DADOS!F916="","",DADOS!F916)</f>
        <v/>
      </c>
      <c r="K916" s="6" t="str">
        <f t="shared" si="75"/>
        <v/>
      </c>
      <c r="L916" s="7" t="str">
        <f t="shared" si="76"/>
        <v/>
      </c>
      <c r="M916" s="7" t="str">
        <f t="shared" si="73"/>
        <v/>
      </c>
      <c r="N916" s="7" t="str">
        <f t="shared" si="77"/>
        <v/>
      </c>
      <c r="O916" s="8"/>
      <c r="P916" s="26"/>
      <c r="S916" s="10" t="str">
        <f t="shared" si="74"/>
        <v/>
      </c>
    </row>
    <row r="917" spans="5:19" x14ac:dyDescent="0.3">
      <c r="E917" s="9" t="str">
        <f>IF(DADOS!C917="","",DADOS!C917)</f>
        <v/>
      </c>
      <c r="F917" s="9" t="str">
        <f>IF(DADOS!E917="","",DADOS!E917)</f>
        <v/>
      </c>
      <c r="G917" s="9" t="str">
        <f>IF(DADOS!F917="","",DADOS!F917)</f>
        <v/>
      </c>
      <c r="K917" s="6" t="str">
        <f t="shared" si="75"/>
        <v/>
      </c>
      <c r="L917" s="7" t="str">
        <f t="shared" si="76"/>
        <v/>
      </c>
      <c r="M917" s="7" t="str">
        <f t="shared" si="73"/>
        <v/>
      </c>
      <c r="N917" s="7" t="str">
        <f t="shared" si="77"/>
        <v/>
      </c>
      <c r="O917" s="8"/>
      <c r="P917" s="26"/>
      <c r="S917" s="10" t="str">
        <f t="shared" si="74"/>
        <v/>
      </c>
    </row>
    <row r="918" spans="5:19" x14ac:dyDescent="0.3">
      <c r="E918" s="9" t="str">
        <f>IF(DADOS!C918="","",DADOS!C918)</f>
        <v/>
      </c>
      <c r="F918" s="9" t="str">
        <f>IF(DADOS!E918="","",DADOS!E918)</f>
        <v/>
      </c>
      <c r="G918" s="9" t="str">
        <f>IF(DADOS!F918="","",DADOS!F918)</f>
        <v/>
      </c>
      <c r="K918" s="6" t="str">
        <f t="shared" si="75"/>
        <v/>
      </c>
      <c r="L918" s="7" t="str">
        <f t="shared" si="76"/>
        <v/>
      </c>
      <c r="M918" s="7" t="str">
        <f t="shared" si="73"/>
        <v/>
      </c>
      <c r="N918" s="7" t="str">
        <f t="shared" si="77"/>
        <v/>
      </c>
      <c r="O918" s="8"/>
      <c r="P918" s="26"/>
      <c r="S918" s="10" t="str">
        <f t="shared" si="74"/>
        <v/>
      </c>
    </row>
    <row r="919" spans="5:19" x14ac:dyDescent="0.3">
      <c r="E919" s="9" t="str">
        <f>IF(DADOS!C919="","",DADOS!C919)</f>
        <v/>
      </c>
      <c r="F919" s="9" t="str">
        <f>IF(DADOS!E919="","",DADOS!E919)</f>
        <v/>
      </c>
      <c r="G919" s="9" t="str">
        <f>IF(DADOS!F919="","",DADOS!F919)</f>
        <v/>
      </c>
      <c r="K919" s="6" t="str">
        <f t="shared" si="75"/>
        <v/>
      </c>
      <c r="L919" s="7" t="str">
        <f t="shared" si="76"/>
        <v/>
      </c>
      <c r="M919" s="7" t="str">
        <f t="shared" si="73"/>
        <v/>
      </c>
      <c r="N919" s="7" t="str">
        <f t="shared" si="77"/>
        <v/>
      </c>
      <c r="O919" s="8"/>
      <c r="P919" s="26"/>
      <c r="S919" s="10" t="str">
        <f t="shared" si="74"/>
        <v/>
      </c>
    </row>
    <row r="920" spans="5:19" x14ac:dyDescent="0.3">
      <c r="E920" s="9" t="str">
        <f>IF(DADOS!C920="","",DADOS!C920)</f>
        <v/>
      </c>
      <c r="F920" s="9" t="str">
        <f>IF(DADOS!E920="","",DADOS!E920)</f>
        <v/>
      </c>
      <c r="G920" s="9" t="str">
        <f>IF(DADOS!F920="","",DADOS!F920)</f>
        <v/>
      </c>
      <c r="K920" s="6" t="str">
        <f t="shared" si="75"/>
        <v/>
      </c>
      <c r="L920" s="7" t="str">
        <f t="shared" si="76"/>
        <v/>
      </c>
      <c r="M920" s="7" t="str">
        <f t="shared" si="73"/>
        <v/>
      </c>
      <c r="N920" s="7" t="str">
        <f t="shared" si="77"/>
        <v/>
      </c>
      <c r="O920" s="8"/>
      <c r="P920" s="26"/>
      <c r="S920" s="10" t="str">
        <f t="shared" si="74"/>
        <v/>
      </c>
    </row>
    <row r="921" spans="5:19" x14ac:dyDescent="0.3">
      <c r="E921" s="9" t="str">
        <f>IF(DADOS!C921="","",DADOS!C921)</f>
        <v/>
      </c>
      <c r="F921" s="9" t="str">
        <f>IF(DADOS!E921="","",DADOS!E921)</f>
        <v/>
      </c>
      <c r="G921" s="9" t="str">
        <f>IF(DADOS!F921="","",DADOS!F921)</f>
        <v/>
      </c>
      <c r="K921" s="6" t="str">
        <f t="shared" si="75"/>
        <v/>
      </c>
      <c r="L921" s="7" t="str">
        <f t="shared" si="76"/>
        <v/>
      </c>
      <c r="M921" s="7" t="str">
        <f t="shared" si="73"/>
        <v/>
      </c>
      <c r="N921" s="7" t="str">
        <f t="shared" si="77"/>
        <v/>
      </c>
      <c r="O921" s="8"/>
      <c r="P921" s="26"/>
      <c r="S921" s="10" t="str">
        <f t="shared" si="74"/>
        <v/>
      </c>
    </row>
    <row r="922" spans="5:19" x14ac:dyDescent="0.3">
      <c r="E922" s="9" t="str">
        <f>IF(DADOS!C922="","",DADOS!C922)</f>
        <v/>
      </c>
      <c r="F922" s="9" t="str">
        <f>IF(DADOS!E922="","",DADOS!E922)</f>
        <v/>
      </c>
      <c r="G922" s="9" t="str">
        <f>IF(DADOS!F922="","",DADOS!F922)</f>
        <v/>
      </c>
      <c r="K922" s="6" t="str">
        <f t="shared" si="75"/>
        <v/>
      </c>
      <c r="L922" s="7" t="str">
        <f t="shared" si="76"/>
        <v/>
      </c>
      <c r="M922" s="7" t="str">
        <f t="shared" si="73"/>
        <v/>
      </c>
      <c r="N922" s="7" t="str">
        <f t="shared" si="77"/>
        <v/>
      </c>
      <c r="O922" s="8"/>
      <c r="P922" s="26"/>
      <c r="S922" s="10" t="str">
        <f t="shared" si="74"/>
        <v/>
      </c>
    </row>
    <row r="923" spans="5:19" x14ac:dyDescent="0.3">
      <c r="E923" s="9" t="str">
        <f>IF(DADOS!C923="","",DADOS!C923)</f>
        <v/>
      </c>
      <c r="F923" s="9" t="str">
        <f>IF(DADOS!E923="","",DADOS!E923)</f>
        <v/>
      </c>
      <c r="G923" s="9" t="str">
        <f>IF(DADOS!F923="","",DADOS!F923)</f>
        <v/>
      </c>
      <c r="K923" s="6" t="str">
        <f t="shared" si="75"/>
        <v/>
      </c>
      <c r="L923" s="7" t="str">
        <f t="shared" si="76"/>
        <v/>
      </c>
      <c r="M923" s="7" t="str">
        <f t="shared" si="73"/>
        <v/>
      </c>
      <c r="N923" s="7" t="str">
        <f t="shared" si="77"/>
        <v/>
      </c>
      <c r="O923" s="8"/>
      <c r="P923" s="26"/>
      <c r="S923" s="10" t="str">
        <f t="shared" si="74"/>
        <v/>
      </c>
    </row>
    <row r="924" spans="5:19" x14ac:dyDescent="0.3">
      <c r="E924" s="9" t="str">
        <f>IF(DADOS!C924="","",DADOS!C924)</f>
        <v/>
      </c>
      <c r="F924" s="9" t="str">
        <f>IF(DADOS!E924="","",DADOS!E924)</f>
        <v/>
      </c>
      <c r="G924" s="9" t="str">
        <f>IF(DADOS!F924="","",DADOS!F924)</f>
        <v/>
      </c>
      <c r="K924" s="6" t="str">
        <f t="shared" si="75"/>
        <v/>
      </c>
      <c r="L924" s="7" t="str">
        <f t="shared" si="76"/>
        <v/>
      </c>
      <c r="M924" s="7" t="str">
        <f t="shared" si="73"/>
        <v/>
      </c>
      <c r="N924" s="7" t="str">
        <f t="shared" si="77"/>
        <v/>
      </c>
      <c r="O924" s="8"/>
      <c r="P924" s="26"/>
      <c r="S924" s="10" t="str">
        <f t="shared" si="74"/>
        <v/>
      </c>
    </row>
    <row r="925" spans="5:19" x14ac:dyDescent="0.3">
      <c r="E925" s="9" t="str">
        <f>IF(DADOS!C925="","",DADOS!C925)</f>
        <v/>
      </c>
      <c r="F925" s="9" t="str">
        <f>IF(DADOS!E925="","",DADOS!E925)</f>
        <v/>
      </c>
      <c r="G925" s="9" t="str">
        <f>IF(DADOS!F925="","",DADOS!F925)</f>
        <v/>
      </c>
      <c r="K925" s="6" t="str">
        <f t="shared" si="75"/>
        <v/>
      </c>
      <c r="L925" s="7" t="str">
        <f t="shared" si="76"/>
        <v/>
      </c>
      <c r="M925" s="7" t="str">
        <f t="shared" si="73"/>
        <v/>
      </c>
      <c r="N925" s="7" t="str">
        <f t="shared" si="77"/>
        <v/>
      </c>
      <c r="O925" s="8"/>
      <c r="P925" s="26"/>
      <c r="S925" s="10" t="str">
        <f t="shared" si="74"/>
        <v/>
      </c>
    </row>
    <row r="926" spans="5:19" x14ac:dyDescent="0.3">
      <c r="E926" s="9" t="str">
        <f>IF(DADOS!C926="","",DADOS!C926)</f>
        <v/>
      </c>
      <c r="F926" s="9" t="str">
        <f>IF(DADOS!E926="","",DADOS!E926)</f>
        <v/>
      </c>
      <c r="G926" s="9" t="str">
        <f>IF(DADOS!F926="","",DADOS!F926)</f>
        <v/>
      </c>
      <c r="K926" s="6" t="str">
        <f t="shared" si="75"/>
        <v/>
      </c>
      <c r="L926" s="7" t="str">
        <f t="shared" si="76"/>
        <v/>
      </c>
      <c r="M926" s="7" t="str">
        <f t="shared" si="73"/>
        <v/>
      </c>
      <c r="N926" s="7" t="str">
        <f t="shared" si="77"/>
        <v/>
      </c>
      <c r="O926" s="8"/>
      <c r="P926" s="26"/>
      <c r="S926" s="10" t="str">
        <f t="shared" si="74"/>
        <v/>
      </c>
    </row>
    <row r="927" spans="5:19" x14ac:dyDescent="0.3">
      <c r="E927" s="9" t="str">
        <f>IF(DADOS!C927="","",DADOS!C927)</f>
        <v/>
      </c>
      <c r="F927" s="9" t="str">
        <f>IF(DADOS!E927="","",DADOS!E927)</f>
        <v/>
      </c>
      <c r="G927" s="9" t="str">
        <f>IF(DADOS!F927="","",DADOS!F927)</f>
        <v/>
      </c>
      <c r="K927" s="6" t="str">
        <f t="shared" si="75"/>
        <v/>
      </c>
      <c r="L927" s="7" t="str">
        <f t="shared" si="76"/>
        <v/>
      </c>
      <c r="M927" s="7" t="str">
        <f t="shared" si="73"/>
        <v/>
      </c>
      <c r="N927" s="7" t="str">
        <f t="shared" si="77"/>
        <v/>
      </c>
      <c r="O927" s="8"/>
      <c r="P927" s="26"/>
      <c r="S927" s="10" t="str">
        <f t="shared" si="74"/>
        <v/>
      </c>
    </row>
    <row r="928" spans="5:19" x14ac:dyDescent="0.3">
      <c r="E928" s="9" t="str">
        <f>IF(DADOS!C928="","",DADOS!C928)</f>
        <v/>
      </c>
      <c r="F928" s="9" t="str">
        <f>IF(DADOS!E928="","",DADOS!E928)</f>
        <v/>
      </c>
      <c r="G928" s="9" t="str">
        <f>IF(DADOS!F928="","",DADOS!F928)</f>
        <v/>
      </c>
      <c r="K928" s="6" t="str">
        <f t="shared" si="75"/>
        <v/>
      </c>
      <c r="L928" s="7" t="str">
        <f t="shared" si="76"/>
        <v/>
      </c>
      <c r="M928" s="7" t="str">
        <f t="shared" si="73"/>
        <v/>
      </c>
      <c r="N928" s="7" t="str">
        <f t="shared" si="77"/>
        <v/>
      </c>
      <c r="O928" s="8"/>
      <c r="P928" s="26"/>
      <c r="S928" s="10" t="str">
        <f t="shared" si="74"/>
        <v/>
      </c>
    </row>
    <row r="929" spans="5:19" x14ac:dyDescent="0.3">
      <c r="E929" s="9" t="str">
        <f>IF(DADOS!C929="","",DADOS!C929)</f>
        <v/>
      </c>
      <c r="F929" s="9" t="str">
        <f>IF(DADOS!E929="","",DADOS!E929)</f>
        <v/>
      </c>
      <c r="G929" s="9" t="str">
        <f>IF(DADOS!F929="","",DADOS!F929)</f>
        <v/>
      </c>
      <c r="K929" s="6" t="str">
        <f t="shared" si="75"/>
        <v/>
      </c>
      <c r="L929" s="7" t="str">
        <f t="shared" si="76"/>
        <v/>
      </c>
      <c r="M929" s="7" t="str">
        <f t="shared" si="73"/>
        <v/>
      </c>
      <c r="N929" s="7" t="str">
        <f t="shared" si="77"/>
        <v/>
      </c>
      <c r="O929" s="8"/>
      <c r="P929" s="26"/>
      <c r="S929" s="10" t="str">
        <f t="shared" si="74"/>
        <v/>
      </c>
    </row>
    <row r="930" spans="5:19" x14ac:dyDescent="0.3">
      <c r="E930" s="9" t="str">
        <f>IF(DADOS!C930="","",DADOS!C930)</f>
        <v/>
      </c>
      <c r="F930" s="9" t="str">
        <f>IF(DADOS!E930="","",DADOS!E930)</f>
        <v/>
      </c>
      <c r="G930" s="9" t="str">
        <f>IF(DADOS!F930="","",DADOS!F930)</f>
        <v/>
      </c>
      <c r="K930" s="6" t="str">
        <f t="shared" si="75"/>
        <v/>
      </c>
      <c r="L930" s="7" t="str">
        <f t="shared" si="76"/>
        <v/>
      </c>
      <c r="M930" s="7" t="str">
        <f t="shared" si="73"/>
        <v/>
      </c>
      <c r="N930" s="7" t="str">
        <f t="shared" si="77"/>
        <v/>
      </c>
      <c r="O930" s="8"/>
      <c r="P930" s="26"/>
      <c r="S930" s="10" t="str">
        <f t="shared" si="74"/>
        <v/>
      </c>
    </row>
    <row r="931" spans="5:19" x14ac:dyDescent="0.3">
      <c r="E931" s="9" t="str">
        <f>IF(DADOS!C931="","",DADOS!C931)</f>
        <v/>
      </c>
      <c r="F931" s="9" t="str">
        <f>IF(DADOS!E931="","",DADOS!E931)</f>
        <v/>
      </c>
      <c r="G931" s="9" t="str">
        <f>IF(DADOS!F931="","",DADOS!F931)</f>
        <v/>
      </c>
      <c r="K931" s="6" t="str">
        <f t="shared" si="75"/>
        <v/>
      </c>
      <c r="L931" s="7" t="str">
        <f t="shared" si="76"/>
        <v/>
      </c>
      <c r="M931" s="7" t="str">
        <f t="shared" si="73"/>
        <v/>
      </c>
      <c r="N931" s="7" t="str">
        <f t="shared" si="77"/>
        <v/>
      </c>
      <c r="O931" s="8"/>
      <c r="P931" s="26"/>
      <c r="S931" s="10" t="str">
        <f t="shared" si="74"/>
        <v/>
      </c>
    </row>
    <row r="932" spans="5:19" x14ac:dyDescent="0.3">
      <c r="E932" s="9" t="str">
        <f>IF(DADOS!C932="","",DADOS!C932)</f>
        <v/>
      </c>
      <c r="F932" s="9" t="str">
        <f>IF(DADOS!E932="","",DADOS!E932)</f>
        <v/>
      </c>
      <c r="G932" s="9" t="str">
        <f>IF(DADOS!F932="","",DADOS!F932)</f>
        <v/>
      </c>
      <c r="K932" s="6" t="str">
        <f t="shared" si="75"/>
        <v/>
      </c>
      <c r="L932" s="7" t="str">
        <f t="shared" si="76"/>
        <v/>
      </c>
      <c r="M932" s="7" t="str">
        <f t="shared" si="73"/>
        <v/>
      </c>
      <c r="N932" s="7" t="str">
        <f t="shared" si="77"/>
        <v/>
      </c>
      <c r="O932" s="8"/>
      <c r="P932" s="26"/>
      <c r="S932" s="10" t="str">
        <f t="shared" si="74"/>
        <v/>
      </c>
    </row>
    <row r="933" spans="5:19" x14ac:dyDescent="0.3">
      <c r="E933" s="9" t="str">
        <f>IF(DADOS!C933="","",DADOS!C933)</f>
        <v/>
      </c>
      <c r="F933" s="9" t="str">
        <f>IF(DADOS!E933="","",DADOS!E933)</f>
        <v/>
      </c>
      <c r="G933" s="9" t="str">
        <f>IF(DADOS!F933="","",DADOS!F933)</f>
        <v/>
      </c>
      <c r="K933" s="6" t="str">
        <f t="shared" si="75"/>
        <v/>
      </c>
      <c r="L933" s="7" t="str">
        <f t="shared" si="76"/>
        <v/>
      </c>
      <c r="M933" s="7" t="str">
        <f t="shared" si="73"/>
        <v/>
      </c>
      <c r="N933" s="7" t="str">
        <f t="shared" si="77"/>
        <v/>
      </c>
      <c r="O933" s="8"/>
      <c r="P933" s="26"/>
      <c r="S933" s="10" t="str">
        <f t="shared" si="74"/>
        <v/>
      </c>
    </row>
    <row r="934" spans="5:19" x14ac:dyDescent="0.3">
      <c r="E934" s="9" t="str">
        <f>IF(DADOS!C934="","",DADOS!C934)</f>
        <v/>
      </c>
      <c r="F934" s="9" t="str">
        <f>IF(DADOS!E934="","",DADOS!E934)</f>
        <v/>
      </c>
      <c r="G934" s="9" t="str">
        <f>IF(DADOS!F934="","",DADOS!F934)</f>
        <v/>
      </c>
      <c r="K934" s="6" t="str">
        <f t="shared" si="75"/>
        <v/>
      </c>
      <c r="L934" s="7" t="str">
        <f t="shared" si="76"/>
        <v/>
      </c>
      <c r="M934" s="7" t="str">
        <f t="shared" si="73"/>
        <v/>
      </c>
      <c r="N934" s="7" t="str">
        <f t="shared" si="77"/>
        <v/>
      </c>
      <c r="O934" s="8"/>
      <c r="P934" s="26"/>
      <c r="S934" s="10" t="str">
        <f t="shared" si="74"/>
        <v/>
      </c>
    </row>
    <row r="935" spans="5:19" x14ac:dyDescent="0.3">
      <c r="E935" s="9" t="str">
        <f>IF(DADOS!C935="","",DADOS!C935)</f>
        <v/>
      </c>
      <c r="F935" s="9" t="str">
        <f>IF(DADOS!E935="","",DADOS!E935)</f>
        <v/>
      </c>
      <c r="G935" s="9" t="str">
        <f>IF(DADOS!F935="","",DADOS!F935)</f>
        <v/>
      </c>
      <c r="K935" s="6" t="str">
        <f t="shared" si="75"/>
        <v/>
      </c>
      <c r="L935" s="7" t="str">
        <f t="shared" si="76"/>
        <v/>
      </c>
      <c r="M935" s="7" t="str">
        <f t="shared" si="73"/>
        <v/>
      </c>
      <c r="N935" s="7" t="str">
        <f t="shared" si="77"/>
        <v/>
      </c>
      <c r="O935" s="8"/>
      <c r="P935" s="26"/>
      <c r="S935" s="10" t="str">
        <f t="shared" si="74"/>
        <v/>
      </c>
    </row>
    <row r="936" spans="5:19" x14ac:dyDescent="0.3">
      <c r="E936" s="9" t="str">
        <f>IF(DADOS!C936="","",DADOS!C936)</f>
        <v/>
      </c>
      <c r="F936" s="9" t="str">
        <f>IF(DADOS!E936="","",DADOS!E936)</f>
        <v/>
      </c>
      <c r="G936" s="9" t="str">
        <f>IF(DADOS!F936="","",DADOS!F936)</f>
        <v/>
      </c>
      <c r="K936" s="6" t="str">
        <f t="shared" si="75"/>
        <v/>
      </c>
      <c r="L936" s="7" t="str">
        <f t="shared" si="76"/>
        <v/>
      </c>
      <c r="M936" s="7" t="str">
        <f t="shared" si="73"/>
        <v/>
      </c>
      <c r="N936" s="7" t="str">
        <f t="shared" si="77"/>
        <v/>
      </c>
      <c r="O936" s="8"/>
      <c r="P936" s="26"/>
      <c r="S936" s="10" t="str">
        <f t="shared" si="74"/>
        <v/>
      </c>
    </row>
    <row r="937" spans="5:19" x14ac:dyDescent="0.3">
      <c r="E937" s="9" t="str">
        <f>IF(DADOS!C937="","",DADOS!C937)</f>
        <v/>
      </c>
      <c r="F937" s="9" t="str">
        <f>IF(DADOS!E937="","",DADOS!E937)</f>
        <v/>
      </c>
      <c r="G937" s="9" t="str">
        <f>IF(DADOS!F937="","",DADOS!F937)</f>
        <v/>
      </c>
      <c r="K937" s="6" t="str">
        <f t="shared" si="75"/>
        <v/>
      </c>
      <c r="L937" s="7" t="str">
        <f t="shared" si="76"/>
        <v/>
      </c>
      <c r="M937" s="7" t="str">
        <f t="shared" si="73"/>
        <v/>
      </c>
      <c r="N937" s="7" t="str">
        <f t="shared" si="77"/>
        <v/>
      </c>
      <c r="O937" s="8"/>
      <c r="P937" s="26"/>
      <c r="S937" s="10" t="str">
        <f t="shared" si="74"/>
        <v/>
      </c>
    </row>
    <row r="938" spans="5:19" x14ac:dyDescent="0.3">
      <c r="E938" s="9" t="str">
        <f>IF(DADOS!C938="","",DADOS!C938)</f>
        <v/>
      </c>
      <c r="F938" s="9" t="str">
        <f>IF(DADOS!E938="","",DADOS!E938)</f>
        <v/>
      </c>
      <c r="G938" s="9" t="str">
        <f>IF(DADOS!F938="","",DADOS!F938)</f>
        <v/>
      </c>
      <c r="K938" s="6" t="str">
        <f t="shared" si="75"/>
        <v/>
      </c>
      <c r="L938" s="7" t="str">
        <f t="shared" si="76"/>
        <v/>
      </c>
      <c r="M938" s="7" t="str">
        <f t="shared" si="73"/>
        <v/>
      </c>
      <c r="N938" s="7" t="str">
        <f t="shared" si="77"/>
        <v/>
      </c>
      <c r="O938" s="8"/>
      <c r="P938" s="26"/>
      <c r="S938" s="10" t="str">
        <f t="shared" si="74"/>
        <v/>
      </c>
    </row>
    <row r="939" spans="5:19" x14ac:dyDescent="0.3">
      <c r="E939" s="9" t="str">
        <f>IF(DADOS!C939="","",DADOS!C939)</f>
        <v/>
      </c>
      <c r="F939" s="9" t="str">
        <f>IF(DADOS!E939="","",DADOS!E939)</f>
        <v/>
      </c>
      <c r="G939" s="9" t="str">
        <f>IF(DADOS!F939="","",DADOS!F939)</f>
        <v/>
      </c>
      <c r="K939" s="6" t="str">
        <f t="shared" si="75"/>
        <v/>
      </c>
      <c r="L939" s="7" t="str">
        <f t="shared" si="76"/>
        <v/>
      </c>
      <c r="M939" s="7" t="str">
        <f t="shared" si="73"/>
        <v/>
      </c>
      <c r="N939" s="7" t="str">
        <f t="shared" si="77"/>
        <v/>
      </c>
      <c r="O939" s="8"/>
      <c r="P939" s="26"/>
      <c r="S939" s="10" t="str">
        <f t="shared" si="74"/>
        <v/>
      </c>
    </row>
    <row r="940" spans="5:19" x14ac:dyDescent="0.3">
      <c r="E940" s="9" t="str">
        <f>IF(DADOS!C940="","",DADOS!C940)</f>
        <v/>
      </c>
      <c r="F940" s="9" t="str">
        <f>IF(DADOS!E940="","",DADOS!E940)</f>
        <v/>
      </c>
      <c r="G940" s="9" t="str">
        <f>IF(DADOS!F940="","",DADOS!F940)</f>
        <v/>
      </c>
      <c r="K940" s="6" t="str">
        <f t="shared" si="75"/>
        <v/>
      </c>
      <c r="L940" s="7" t="str">
        <f t="shared" si="76"/>
        <v/>
      </c>
      <c r="M940" s="7" t="str">
        <f t="shared" si="73"/>
        <v/>
      </c>
      <c r="N940" s="7" t="str">
        <f t="shared" si="77"/>
        <v/>
      </c>
      <c r="O940" s="8"/>
      <c r="P940" s="26"/>
      <c r="S940" s="10" t="str">
        <f t="shared" si="74"/>
        <v/>
      </c>
    </row>
    <row r="941" spans="5:19" x14ac:dyDescent="0.3">
      <c r="E941" s="9" t="str">
        <f>IF(DADOS!C941="","",DADOS!C941)</f>
        <v/>
      </c>
      <c r="F941" s="9" t="str">
        <f>IF(DADOS!E941="","",DADOS!E941)</f>
        <v/>
      </c>
      <c r="G941" s="9" t="str">
        <f>IF(DADOS!F941="","",DADOS!F941)</f>
        <v/>
      </c>
      <c r="K941" s="6" t="str">
        <f t="shared" si="75"/>
        <v/>
      </c>
      <c r="L941" s="7" t="str">
        <f t="shared" si="76"/>
        <v/>
      </c>
      <c r="M941" s="7" t="str">
        <f t="shared" si="73"/>
        <v/>
      </c>
      <c r="N941" s="7" t="str">
        <f t="shared" si="77"/>
        <v/>
      </c>
      <c r="O941" s="8"/>
      <c r="P941" s="26"/>
      <c r="S941" s="10" t="str">
        <f t="shared" si="74"/>
        <v/>
      </c>
    </row>
    <row r="942" spans="5:19" x14ac:dyDescent="0.3">
      <c r="E942" s="9" t="str">
        <f>IF(DADOS!C942="","",DADOS!C942)</f>
        <v/>
      </c>
      <c r="F942" s="9" t="str">
        <f>IF(DADOS!E942="","",DADOS!E942)</f>
        <v/>
      </c>
      <c r="G942" s="9" t="str">
        <f>IF(DADOS!F942="","",DADOS!F942)</f>
        <v/>
      </c>
      <c r="K942" s="6" t="str">
        <f t="shared" si="75"/>
        <v/>
      </c>
      <c r="L942" s="7" t="str">
        <f t="shared" si="76"/>
        <v/>
      </c>
      <c r="M942" s="7" t="str">
        <f t="shared" si="73"/>
        <v/>
      </c>
      <c r="N942" s="7" t="str">
        <f t="shared" si="77"/>
        <v/>
      </c>
      <c r="O942" s="8"/>
      <c r="P942" s="26"/>
      <c r="S942" s="10" t="str">
        <f t="shared" si="74"/>
        <v/>
      </c>
    </row>
    <row r="943" spans="5:19" x14ac:dyDescent="0.3">
      <c r="E943" s="9" t="str">
        <f>IF(DADOS!C943="","",DADOS!C943)</f>
        <v/>
      </c>
      <c r="F943" s="9" t="str">
        <f>IF(DADOS!E943="","",DADOS!E943)</f>
        <v/>
      </c>
      <c r="G943" s="9" t="str">
        <f>IF(DADOS!F943="","",DADOS!F943)</f>
        <v/>
      </c>
      <c r="K943" s="6" t="str">
        <f t="shared" si="75"/>
        <v/>
      </c>
      <c r="L943" s="7" t="str">
        <f t="shared" si="76"/>
        <v/>
      </c>
      <c r="M943" s="7" t="str">
        <f t="shared" si="73"/>
        <v/>
      </c>
      <c r="N943" s="7" t="str">
        <f t="shared" si="77"/>
        <v/>
      </c>
      <c r="O943" s="8"/>
      <c r="P943" s="26"/>
      <c r="S943" s="10" t="str">
        <f t="shared" si="74"/>
        <v/>
      </c>
    </row>
    <row r="944" spans="5:19" x14ac:dyDescent="0.3">
      <c r="E944" s="9" t="str">
        <f>IF(DADOS!C944="","",DADOS!C944)</f>
        <v/>
      </c>
      <c r="F944" s="9" t="str">
        <f>IF(DADOS!E944="","",DADOS!E944)</f>
        <v/>
      </c>
      <c r="G944" s="9" t="str">
        <f>IF(DADOS!F944="","",DADOS!F944)</f>
        <v/>
      </c>
      <c r="K944" s="6" t="str">
        <f t="shared" si="75"/>
        <v/>
      </c>
      <c r="L944" s="7" t="str">
        <f t="shared" si="76"/>
        <v/>
      </c>
      <c r="M944" s="7" t="str">
        <f t="shared" si="73"/>
        <v/>
      </c>
      <c r="N944" s="7" t="str">
        <f t="shared" si="77"/>
        <v/>
      </c>
      <c r="O944" s="8"/>
      <c r="P944" s="26"/>
      <c r="S944" s="10" t="str">
        <f t="shared" si="74"/>
        <v/>
      </c>
    </row>
    <row r="945" spans="5:19" x14ac:dyDescent="0.3">
      <c r="E945" s="9" t="str">
        <f>IF(DADOS!C945="","",DADOS!C945)</f>
        <v/>
      </c>
      <c r="F945" s="9" t="str">
        <f>IF(DADOS!E945="","",DADOS!E945)</f>
        <v/>
      </c>
      <c r="G945" s="9" t="str">
        <f>IF(DADOS!F945="","",DADOS!F945)</f>
        <v/>
      </c>
      <c r="K945" s="6" t="str">
        <f t="shared" si="75"/>
        <v/>
      </c>
      <c r="L945" s="7" t="str">
        <f t="shared" si="76"/>
        <v/>
      </c>
      <c r="M945" s="7" t="str">
        <f t="shared" si="73"/>
        <v/>
      </c>
      <c r="N945" s="7" t="str">
        <f t="shared" si="77"/>
        <v/>
      </c>
      <c r="O945" s="8"/>
      <c r="P945" s="26"/>
      <c r="S945" s="10" t="str">
        <f t="shared" si="74"/>
        <v/>
      </c>
    </row>
    <row r="946" spans="5:19" x14ac:dyDescent="0.3">
      <c r="E946" s="9" t="str">
        <f>IF(DADOS!C946="","",DADOS!C946)</f>
        <v/>
      </c>
      <c r="F946" s="9" t="str">
        <f>IF(DADOS!E946="","",DADOS!E946)</f>
        <v/>
      </c>
      <c r="G946" s="9" t="str">
        <f>IF(DADOS!F946="","",DADOS!F946)</f>
        <v/>
      </c>
      <c r="K946" s="6" t="str">
        <f t="shared" si="75"/>
        <v/>
      </c>
      <c r="L946" s="7" t="str">
        <f t="shared" si="76"/>
        <v/>
      </c>
      <c r="M946" s="7" t="str">
        <f t="shared" si="73"/>
        <v/>
      </c>
      <c r="N946" s="7" t="str">
        <f t="shared" si="77"/>
        <v/>
      </c>
      <c r="O946" s="8"/>
      <c r="P946" s="26"/>
      <c r="S946" s="10" t="str">
        <f t="shared" si="74"/>
        <v/>
      </c>
    </row>
    <row r="947" spans="5:19" x14ac:dyDescent="0.3">
      <c r="E947" s="9" t="str">
        <f>IF(DADOS!C947="","",DADOS!C947)</f>
        <v/>
      </c>
      <c r="F947" s="9" t="str">
        <f>IF(DADOS!E947="","",DADOS!E947)</f>
        <v/>
      </c>
      <c r="G947" s="9" t="str">
        <f>IF(DADOS!F947="","",DADOS!F947)</f>
        <v/>
      </c>
      <c r="K947" s="6" t="str">
        <f t="shared" si="75"/>
        <v/>
      </c>
      <c r="L947" s="7" t="str">
        <f t="shared" si="76"/>
        <v/>
      </c>
      <c r="M947" s="7" t="str">
        <f t="shared" si="73"/>
        <v/>
      </c>
      <c r="N947" s="7" t="str">
        <f t="shared" si="77"/>
        <v/>
      </c>
      <c r="O947" s="8"/>
      <c r="P947" s="26"/>
      <c r="S947" s="10" t="str">
        <f t="shared" si="74"/>
        <v/>
      </c>
    </row>
    <row r="948" spans="5:19" x14ac:dyDescent="0.3">
      <c r="E948" s="9" t="str">
        <f>IF(DADOS!C948="","",DADOS!C948)</f>
        <v/>
      </c>
      <c r="F948" s="9" t="str">
        <f>IF(DADOS!E948="","",DADOS!E948)</f>
        <v/>
      </c>
      <c r="G948" s="9" t="str">
        <f>IF(DADOS!F948="","",DADOS!F948)</f>
        <v/>
      </c>
      <c r="K948" s="6" t="str">
        <f t="shared" si="75"/>
        <v/>
      </c>
      <c r="L948" s="7" t="str">
        <f t="shared" si="76"/>
        <v/>
      </c>
      <c r="M948" s="7" t="str">
        <f t="shared" si="73"/>
        <v/>
      </c>
      <c r="N948" s="7" t="str">
        <f t="shared" si="77"/>
        <v/>
      </c>
      <c r="O948" s="8"/>
      <c r="P948" s="26"/>
      <c r="S948" s="10" t="str">
        <f t="shared" si="74"/>
        <v/>
      </c>
    </row>
    <row r="949" spans="5:19" x14ac:dyDescent="0.3">
      <c r="E949" s="9" t="str">
        <f>IF(DADOS!C949="","",DADOS!C949)</f>
        <v/>
      </c>
      <c r="F949" s="9" t="str">
        <f>IF(DADOS!E949="","",DADOS!E949)</f>
        <v/>
      </c>
      <c r="G949" s="9" t="str">
        <f>IF(DADOS!F949="","",DADOS!F949)</f>
        <v/>
      </c>
      <c r="K949" s="6" t="str">
        <f t="shared" si="75"/>
        <v/>
      </c>
      <c r="L949" s="7" t="str">
        <f t="shared" si="76"/>
        <v/>
      </c>
      <c r="M949" s="7" t="str">
        <f t="shared" si="73"/>
        <v/>
      </c>
      <c r="N949" s="7" t="str">
        <f t="shared" si="77"/>
        <v/>
      </c>
      <c r="O949" s="8"/>
      <c r="P949" s="26"/>
      <c r="S949" s="10" t="str">
        <f t="shared" si="74"/>
        <v/>
      </c>
    </row>
    <row r="950" spans="5:19" x14ac:dyDescent="0.3">
      <c r="E950" s="9" t="str">
        <f>IF(DADOS!C950="","",DADOS!C950)</f>
        <v/>
      </c>
      <c r="F950" s="9" t="str">
        <f>IF(DADOS!E950="","",DADOS!E950)</f>
        <v/>
      </c>
      <c r="G950" s="9" t="str">
        <f>IF(DADOS!F950="","",DADOS!F950)</f>
        <v/>
      </c>
      <c r="K950" s="6" t="str">
        <f t="shared" si="75"/>
        <v/>
      </c>
      <c r="L950" s="7" t="str">
        <f t="shared" si="76"/>
        <v/>
      </c>
      <c r="M950" s="7" t="str">
        <f t="shared" si="73"/>
        <v/>
      </c>
      <c r="N950" s="7" t="str">
        <f t="shared" si="77"/>
        <v/>
      </c>
      <c r="O950" s="8"/>
      <c r="P950" s="26"/>
      <c r="S950" s="10" t="str">
        <f t="shared" si="74"/>
        <v/>
      </c>
    </row>
    <row r="951" spans="5:19" x14ac:dyDescent="0.3">
      <c r="E951" s="9" t="str">
        <f>IF(DADOS!C951="","",DADOS!C951)</f>
        <v/>
      </c>
      <c r="F951" s="9" t="str">
        <f>IF(DADOS!E951="","",DADOS!E951)</f>
        <v/>
      </c>
      <c r="G951" s="9" t="str">
        <f>IF(DADOS!F951="","",DADOS!F951)</f>
        <v/>
      </c>
      <c r="K951" s="6" t="str">
        <f t="shared" si="75"/>
        <v/>
      </c>
      <c r="L951" s="7" t="str">
        <f t="shared" si="76"/>
        <v/>
      </c>
      <c r="M951" s="7" t="str">
        <f t="shared" si="73"/>
        <v/>
      </c>
      <c r="N951" s="7" t="str">
        <f t="shared" si="77"/>
        <v/>
      </c>
      <c r="O951" s="8"/>
      <c r="P951" s="26"/>
      <c r="S951" s="10" t="str">
        <f t="shared" si="74"/>
        <v/>
      </c>
    </row>
    <row r="952" spans="5:19" x14ac:dyDescent="0.3">
      <c r="E952" s="9" t="str">
        <f>IF(DADOS!C952="","",DADOS!C952)</f>
        <v/>
      </c>
      <c r="F952" s="9" t="str">
        <f>IF(DADOS!E952="","",DADOS!E952)</f>
        <v/>
      </c>
      <c r="G952" s="9" t="str">
        <f>IF(DADOS!F952="","",DADOS!F952)</f>
        <v/>
      </c>
      <c r="K952" s="6" t="str">
        <f t="shared" si="75"/>
        <v/>
      </c>
      <c r="L952" s="7" t="str">
        <f t="shared" si="76"/>
        <v/>
      </c>
      <c r="M952" s="7" t="str">
        <f t="shared" si="73"/>
        <v/>
      </c>
      <c r="N952" s="7" t="str">
        <f t="shared" si="77"/>
        <v/>
      </c>
      <c r="O952" s="8"/>
      <c r="P952" s="26"/>
      <c r="S952" s="10" t="str">
        <f t="shared" si="74"/>
        <v/>
      </c>
    </row>
    <row r="953" spans="5:19" x14ac:dyDescent="0.3">
      <c r="E953" s="9" t="str">
        <f>IF(DADOS!C953="","",DADOS!C953)</f>
        <v/>
      </c>
      <c r="F953" s="9" t="str">
        <f>IF(DADOS!E953="","",DADOS!E953)</f>
        <v/>
      </c>
      <c r="G953" s="9" t="str">
        <f>IF(DADOS!F953="","",DADOS!F953)</f>
        <v/>
      </c>
      <c r="K953" s="6" t="str">
        <f t="shared" si="75"/>
        <v/>
      </c>
      <c r="L953" s="7" t="str">
        <f t="shared" si="76"/>
        <v/>
      </c>
      <c r="M953" s="7" t="str">
        <f t="shared" si="73"/>
        <v/>
      </c>
      <c r="N953" s="7" t="str">
        <f t="shared" si="77"/>
        <v/>
      </c>
      <c r="O953" s="8"/>
      <c r="P953" s="26"/>
      <c r="S953" s="10" t="str">
        <f t="shared" si="74"/>
        <v/>
      </c>
    </row>
    <row r="954" spans="5:19" x14ac:dyDescent="0.3">
      <c r="E954" s="9" t="str">
        <f>IF(DADOS!C954="","",DADOS!C954)</f>
        <v/>
      </c>
      <c r="F954" s="9" t="str">
        <f>IF(DADOS!E954="","",DADOS!E954)</f>
        <v/>
      </c>
      <c r="G954" s="9" t="str">
        <f>IF(DADOS!F954="","",DADOS!F954)</f>
        <v/>
      </c>
      <c r="K954" s="6" t="str">
        <f t="shared" si="75"/>
        <v/>
      </c>
      <c r="L954" s="7" t="str">
        <f t="shared" si="76"/>
        <v/>
      </c>
      <c r="M954" s="7" t="str">
        <f t="shared" si="73"/>
        <v/>
      </c>
      <c r="N954" s="7" t="str">
        <f t="shared" si="77"/>
        <v/>
      </c>
      <c r="O954" s="8"/>
      <c r="P954" s="26"/>
      <c r="S954" s="10" t="str">
        <f t="shared" si="74"/>
        <v/>
      </c>
    </row>
    <row r="955" spans="5:19" x14ac:dyDescent="0.3">
      <c r="E955" s="9" t="str">
        <f>IF(DADOS!C955="","",DADOS!C955)</f>
        <v/>
      </c>
      <c r="F955" s="9" t="str">
        <f>IF(DADOS!E955="","",DADOS!E955)</f>
        <v/>
      </c>
      <c r="G955" s="9" t="str">
        <f>IF(DADOS!F955="","",DADOS!F955)</f>
        <v/>
      </c>
      <c r="K955" s="6" t="str">
        <f t="shared" si="75"/>
        <v/>
      </c>
      <c r="L955" s="7" t="str">
        <f t="shared" si="76"/>
        <v/>
      </c>
      <c r="M955" s="7" t="str">
        <f t="shared" si="73"/>
        <v/>
      </c>
      <c r="N955" s="7" t="str">
        <f t="shared" si="77"/>
        <v/>
      </c>
      <c r="O955" s="8"/>
      <c r="P955" s="26"/>
      <c r="S955" s="10" t="str">
        <f t="shared" si="74"/>
        <v/>
      </c>
    </row>
    <row r="956" spans="5:19" x14ac:dyDescent="0.3">
      <c r="E956" s="9" t="str">
        <f>IF(DADOS!C956="","",DADOS!C956)</f>
        <v/>
      </c>
      <c r="F956" s="9" t="str">
        <f>IF(DADOS!E956="","",DADOS!E956)</f>
        <v/>
      </c>
      <c r="G956" s="9" t="str">
        <f>IF(DADOS!F956="","",DADOS!F956)</f>
        <v/>
      </c>
      <c r="K956" s="6" t="str">
        <f t="shared" si="75"/>
        <v/>
      </c>
      <c r="L956" s="7" t="str">
        <f t="shared" si="76"/>
        <v/>
      </c>
      <c r="M956" s="7" t="str">
        <f t="shared" si="73"/>
        <v/>
      </c>
      <c r="N956" s="7" t="str">
        <f t="shared" si="77"/>
        <v/>
      </c>
      <c r="O956" s="8"/>
      <c r="P956" s="26"/>
      <c r="S956" s="10" t="str">
        <f t="shared" si="74"/>
        <v/>
      </c>
    </row>
    <row r="957" spans="5:19" x14ac:dyDescent="0.3">
      <c r="E957" s="9" t="str">
        <f>IF(DADOS!C957="","",DADOS!C957)</f>
        <v/>
      </c>
      <c r="F957" s="9" t="str">
        <f>IF(DADOS!E957="","",DADOS!E957)</f>
        <v/>
      </c>
      <c r="G957" s="9" t="str">
        <f>IF(DADOS!F957="","",DADOS!F957)</f>
        <v/>
      </c>
      <c r="K957" s="6" t="str">
        <f t="shared" si="75"/>
        <v/>
      </c>
      <c r="L957" s="7" t="str">
        <f t="shared" si="76"/>
        <v/>
      </c>
      <c r="M957" s="7" t="str">
        <f t="shared" si="73"/>
        <v/>
      </c>
      <c r="N957" s="7" t="str">
        <f t="shared" si="77"/>
        <v/>
      </c>
      <c r="O957" s="8"/>
      <c r="P957" s="26"/>
      <c r="S957" s="10" t="str">
        <f t="shared" si="74"/>
        <v/>
      </c>
    </row>
    <row r="958" spans="5:19" x14ac:dyDescent="0.3">
      <c r="E958" s="9" t="str">
        <f>IF(DADOS!C958="","",DADOS!C958)</f>
        <v/>
      </c>
      <c r="F958" s="9" t="str">
        <f>IF(DADOS!E958="","",DADOS!E958)</f>
        <v/>
      </c>
      <c r="G958" s="9" t="str">
        <f>IF(DADOS!F958="","",DADOS!F958)</f>
        <v/>
      </c>
      <c r="K958" s="6" t="str">
        <f t="shared" si="75"/>
        <v/>
      </c>
      <c r="L958" s="7" t="str">
        <f t="shared" si="76"/>
        <v/>
      </c>
      <c r="M958" s="7" t="str">
        <f t="shared" si="73"/>
        <v/>
      </c>
      <c r="N958" s="7" t="str">
        <f t="shared" si="77"/>
        <v/>
      </c>
      <c r="O958" s="8"/>
      <c r="P958" s="26"/>
      <c r="S958" s="10" t="str">
        <f t="shared" si="74"/>
        <v/>
      </c>
    </row>
    <row r="959" spans="5:19" x14ac:dyDescent="0.3">
      <c r="E959" s="9" t="str">
        <f>IF(DADOS!C959="","",DADOS!C959)</f>
        <v/>
      </c>
      <c r="F959" s="9" t="str">
        <f>IF(DADOS!E959="","",DADOS!E959)</f>
        <v/>
      </c>
      <c r="G959" s="9" t="str">
        <f>IF(DADOS!F959="","",DADOS!F959)</f>
        <v/>
      </c>
      <c r="K959" s="6" t="str">
        <f t="shared" si="75"/>
        <v/>
      </c>
      <c r="L959" s="7" t="str">
        <f t="shared" si="76"/>
        <v/>
      </c>
      <c r="M959" s="7" t="str">
        <f t="shared" si="73"/>
        <v/>
      </c>
      <c r="N959" s="7" t="str">
        <f t="shared" si="77"/>
        <v/>
      </c>
      <c r="O959" s="8"/>
      <c r="P959" s="26"/>
      <c r="S959" s="10" t="str">
        <f t="shared" si="74"/>
        <v/>
      </c>
    </row>
    <row r="960" spans="5:19" x14ac:dyDescent="0.3">
      <c r="E960" s="9" t="str">
        <f>IF(DADOS!C960="","",DADOS!C960)</f>
        <v/>
      </c>
      <c r="F960" s="9" t="str">
        <f>IF(DADOS!E960="","",DADOS!E960)</f>
        <v/>
      </c>
      <c r="G960" s="9" t="str">
        <f>IF(DADOS!F960="","",DADOS!F960)</f>
        <v/>
      </c>
      <c r="K960" s="6" t="str">
        <f t="shared" si="75"/>
        <v/>
      </c>
      <c r="L960" s="7" t="str">
        <f t="shared" si="76"/>
        <v/>
      </c>
      <c r="M960" s="7" t="str">
        <f t="shared" si="73"/>
        <v/>
      </c>
      <c r="N960" s="7" t="str">
        <f t="shared" si="77"/>
        <v/>
      </c>
      <c r="O960" s="8"/>
      <c r="P960" s="26"/>
      <c r="S960" s="10" t="str">
        <f t="shared" si="74"/>
        <v/>
      </c>
    </row>
    <row r="961" spans="5:19" x14ac:dyDescent="0.3">
      <c r="E961" s="9" t="str">
        <f>IF(DADOS!C961="","",DADOS!C961)</f>
        <v/>
      </c>
      <c r="F961" s="9" t="str">
        <f>IF(DADOS!E961="","",DADOS!E961)</f>
        <v/>
      </c>
      <c r="G961" s="9" t="str">
        <f>IF(DADOS!F961="","",DADOS!F961)</f>
        <v/>
      </c>
      <c r="K961" s="6" t="str">
        <f t="shared" si="75"/>
        <v/>
      </c>
      <c r="L961" s="7" t="str">
        <f t="shared" si="76"/>
        <v/>
      </c>
      <c r="M961" s="7" t="str">
        <f t="shared" si="73"/>
        <v/>
      </c>
      <c r="N961" s="7" t="str">
        <f t="shared" si="77"/>
        <v/>
      </c>
      <c r="O961" s="8"/>
      <c r="P961" s="26"/>
      <c r="S961" s="10" t="str">
        <f t="shared" si="74"/>
        <v/>
      </c>
    </row>
    <row r="962" spans="5:19" x14ac:dyDescent="0.3">
      <c r="E962" s="9" t="str">
        <f>IF(DADOS!C962="","",DADOS!C962)</f>
        <v/>
      </c>
      <c r="F962" s="9" t="str">
        <f>IF(DADOS!E962="","",DADOS!E962)</f>
        <v/>
      </c>
      <c r="G962" s="9" t="str">
        <f>IF(DADOS!F962="","",DADOS!F962)</f>
        <v/>
      </c>
      <c r="K962" s="6" t="str">
        <f t="shared" si="75"/>
        <v/>
      </c>
      <c r="L962" s="7" t="str">
        <f t="shared" si="76"/>
        <v/>
      </c>
      <c r="M962" s="7" t="str">
        <f t="shared" si="73"/>
        <v/>
      </c>
      <c r="N962" s="7" t="str">
        <f t="shared" si="77"/>
        <v/>
      </c>
      <c r="O962" s="8"/>
      <c r="P962" s="26"/>
      <c r="S962" s="10" t="str">
        <f t="shared" si="74"/>
        <v/>
      </c>
    </row>
    <row r="963" spans="5:19" x14ac:dyDescent="0.3">
      <c r="E963" s="9" t="str">
        <f>IF(DADOS!C963="","",DADOS!C963)</f>
        <v/>
      </c>
      <c r="F963" s="9" t="str">
        <f>IF(DADOS!E963="","",DADOS!E963)</f>
        <v/>
      </c>
      <c r="G963" s="9" t="str">
        <f>IF(DADOS!F963="","",DADOS!F963)</f>
        <v/>
      </c>
      <c r="K963" s="6" t="str">
        <f t="shared" si="75"/>
        <v/>
      </c>
      <c r="L963" s="7" t="str">
        <f t="shared" si="76"/>
        <v/>
      </c>
      <c r="M963" s="7" t="str">
        <f t="shared" ref="M963:M1026" si="78">IF(L963="","",L963*G963)</f>
        <v/>
      </c>
      <c r="N963" s="7" t="str">
        <f t="shared" si="77"/>
        <v/>
      </c>
      <c r="O963" s="8"/>
      <c r="P963" s="26"/>
      <c r="S963" s="10" t="str">
        <f t="shared" ref="S963:S1026" si="79">IF(R963="","",SUMIFS($N$3:$N$10000,$E$3:$E$10000,R963))</f>
        <v/>
      </c>
    </row>
    <row r="964" spans="5:19" x14ac:dyDescent="0.3">
      <c r="E964" s="9" t="str">
        <f>IF(DADOS!C964="","",DADOS!C964)</f>
        <v/>
      </c>
      <c r="F964" s="9" t="str">
        <f>IF(DADOS!E964="","",DADOS!E964)</f>
        <v/>
      </c>
      <c r="G964" s="9" t="str">
        <f>IF(DADOS!F964="","",DADOS!F964)</f>
        <v/>
      </c>
      <c r="K964" s="6" t="str">
        <f t="shared" ref="K964:K1027" si="80">IF(F964="","",F964/PI())</f>
        <v/>
      </c>
      <c r="L964" s="7" t="str">
        <f t="shared" ref="L964:L1027" si="81">IF(K964="","",(PI()*K964^2)/40000)</f>
        <v/>
      </c>
      <c r="M964" s="7" t="str">
        <f t="shared" si="78"/>
        <v/>
      </c>
      <c r="N964" s="7" t="str">
        <f t="shared" ref="N964:N1027" si="82">IF(M964="","",M964*N$1)</f>
        <v/>
      </c>
      <c r="O964" s="8"/>
      <c r="P964" s="26"/>
      <c r="S964" s="10" t="str">
        <f t="shared" si="79"/>
        <v/>
      </c>
    </row>
    <row r="965" spans="5:19" x14ac:dyDescent="0.3">
      <c r="E965" s="9" t="str">
        <f>IF(DADOS!C965="","",DADOS!C965)</f>
        <v/>
      </c>
      <c r="F965" s="9" t="str">
        <f>IF(DADOS!E965="","",DADOS!E965)</f>
        <v/>
      </c>
      <c r="G965" s="9" t="str">
        <f>IF(DADOS!F965="","",DADOS!F965)</f>
        <v/>
      </c>
      <c r="K965" s="6" t="str">
        <f t="shared" si="80"/>
        <v/>
      </c>
      <c r="L965" s="7" t="str">
        <f t="shared" si="81"/>
        <v/>
      </c>
      <c r="M965" s="7" t="str">
        <f t="shared" si="78"/>
        <v/>
      </c>
      <c r="N965" s="7" t="str">
        <f t="shared" si="82"/>
        <v/>
      </c>
      <c r="O965" s="8"/>
      <c r="P965" s="26"/>
      <c r="S965" s="10" t="str">
        <f t="shared" si="79"/>
        <v/>
      </c>
    </row>
    <row r="966" spans="5:19" x14ac:dyDescent="0.3">
      <c r="E966" s="9" t="str">
        <f>IF(DADOS!C966="","",DADOS!C966)</f>
        <v/>
      </c>
      <c r="F966" s="9" t="str">
        <f>IF(DADOS!E966="","",DADOS!E966)</f>
        <v/>
      </c>
      <c r="G966" s="9" t="str">
        <f>IF(DADOS!F966="","",DADOS!F966)</f>
        <v/>
      </c>
      <c r="K966" s="6" t="str">
        <f t="shared" si="80"/>
        <v/>
      </c>
      <c r="L966" s="7" t="str">
        <f t="shared" si="81"/>
        <v/>
      </c>
      <c r="M966" s="7" t="str">
        <f t="shared" si="78"/>
        <v/>
      </c>
      <c r="N966" s="7" t="str">
        <f t="shared" si="82"/>
        <v/>
      </c>
      <c r="O966" s="8"/>
      <c r="P966" s="26"/>
      <c r="S966" s="10" t="str">
        <f t="shared" si="79"/>
        <v/>
      </c>
    </row>
    <row r="967" spans="5:19" x14ac:dyDescent="0.3">
      <c r="E967" s="9" t="str">
        <f>IF(DADOS!C967="","",DADOS!C967)</f>
        <v/>
      </c>
      <c r="F967" s="9" t="str">
        <f>IF(DADOS!E967="","",DADOS!E967)</f>
        <v/>
      </c>
      <c r="G967" s="9" t="str">
        <f>IF(DADOS!F967="","",DADOS!F967)</f>
        <v/>
      </c>
      <c r="K967" s="6" t="str">
        <f t="shared" si="80"/>
        <v/>
      </c>
      <c r="L967" s="7" t="str">
        <f t="shared" si="81"/>
        <v/>
      </c>
      <c r="M967" s="7" t="str">
        <f t="shared" si="78"/>
        <v/>
      </c>
      <c r="N967" s="7" t="str">
        <f t="shared" si="82"/>
        <v/>
      </c>
      <c r="O967" s="8"/>
      <c r="P967" s="26"/>
      <c r="S967" s="10" t="str">
        <f t="shared" si="79"/>
        <v/>
      </c>
    </row>
    <row r="968" spans="5:19" x14ac:dyDescent="0.3">
      <c r="E968" s="9" t="str">
        <f>IF(DADOS!C968="","",DADOS!C968)</f>
        <v/>
      </c>
      <c r="F968" s="9" t="str">
        <f>IF(DADOS!E968="","",DADOS!E968)</f>
        <v/>
      </c>
      <c r="G968" s="9" t="str">
        <f>IF(DADOS!F968="","",DADOS!F968)</f>
        <v/>
      </c>
      <c r="K968" s="6" t="str">
        <f t="shared" si="80"/>
        <v/>
      </c>
      <c r="L968" s="7" t="str">
        <f t="shared" si="81"/>
        <v/>
      </c>
      <c r="M968" s="7" t="str">
        <f t="shared" si="78"/>
        <v/>
      </c>
      <c r="N968" s="7" t="str">
        <f t="shared" si="82"/>
        <v/>
      </c>
      <c r="O968" s="8"/>
      <c r="P968" s="26"/>
      <c r="S968" s="10" t="str">
        <f t="shared" si="79"/>
        <v/>
      </c>
    </row>
    <row r="969" spans="5:19" x14ac:dyDescent="0.3">
      <c r="E969" s="9" t="str">
        <f>IF(DADOS!C969="","",DADOS!C969)</f>
        <v/>
      </c>
      <c r="F969" s="9" t="str">
        <f>IF(DADOS!E969="","",DADOS!E969)</f>
        <v/>
      </c>
      <c r="G969" s="9" t="str">
        <f>IF(DADOS!F969="","",DADOS!F969)</f>
        <v/>
      </c>
      <c r="K969" s="6" t="str">
        <f t="shared" si="80"/>
        <v/>
      </c>
      <c r="L969" s="7" t="str">
        <f t="shared" si="81"/>
        <v/>
      </c>
      <c r="M969" s="7" t="str">
        <f t="shared" si="78"/>
        <v/>
      </c>
      <c r="N969" s="7" t="str">
        <f t="shared" si="82"/>
        <v/>
      </c>
      <c r="O969" s="8"/>
      <c r="P969" s="26"/>
      <c r="S969" s="10" t="str">
        <f t="shared" si="79"/>
        <v/>
      </c>
    </row>
    <row r="970" spans="5:19" x14ac:dyDescent="0.3">
      <c r="E970" s="9" t="str">
        <f>IF(DADOS!C970="","",DADOS!C970)</f>
        <v/>
      </c>
      <c r="F970" s="9" t="str">
        <f>IF(DADOS!E970="","",DADOS!E970)</f>
        <v/>
      </c>
      <c r="G970" s="9" t="str">
        <f>IF(DADOS!F970="","",DADOS!F970)</f>
        <v/>
      </c>
      <c r="K970" s="6" t="str">
        <f t="shared" si="80"/>
        <v/>
      </c>
      <c r="L970" s="7" t="str">
        <f t="shared" si="81"/>
        <v/>
      </c>
      <c r="M970" s="7" t="str">
        <f t="shared" si="78"/>
        <v/>
      </c>
      <c r="N970" s="7" t="str">
        <f t="shared" si="82"/>
        <v/>
      </c>
      <c r="O970" s="8"/>
      <c r="P970" s="26"/>
      <c r="S970" s="10" t="str">
        <f t="shared" si="79"/>
        <v/>
      </c>
    </row>
    <row r="971" spans="5:19" x14ac:dyDescent="0.3">
      <c r="E971" s="9" t="str">
        <f>IF(DADOS!C971="","",DADOS!C971)</f>
        <v/>
      </c>
      <c r="F971" s="9" t="str">
        <f>IF(DADOS!E971="","",DADOS!E971)</f>
        <v/>
      </c>
      <c r="G971" s="9" t="str">
        <f>IF(DADOS!F971="","",DADOS!F971)</f>
        <v/>
      </c>
      <c r="K971" s="6" t="str">
        <f t="shared" si="80"/>
        <v/>
      </c>
      <c r="L971" s="7" t="str">
        <f t="shared" si="81"/>
        <v/>
      </c>
      <c r="M971" s="7" t="str">
        <f t="shared" si="78"/>
        <v/>
      </c>
      <c r="N971" s="7" t="str">
        <f t="shared" si="82"/>
        <v/>
      </c>
      <c r="O971" s="8"/>
      <c r="P971" s="26"/>
      <c r="S971" s="10" t="str">
        <f t="shared" si="79"/>
        <v/>
      </c>
    </row>
    <row r="972" spans="5:19" x14ac:dyDescent="0.3">
      <c r="E972" s="9" t="str">
        <f>IF(DADOS!C972="","",DADOS!C972)</f>
        <v/>
      </c>
      <c r="F972" s="9" t="str">
        <f>IF(DADOS!E972="","",DADOS!E972)</f>
        <v/>
      </c>
      <c r="G972" s="9" t="str">
        <f>IF(DADOS!F972="","",DADOS!F972)</f>
        <v/>
      </c>
      <c r="K972" s="6" t="str">
        <f t="shared" si="80"/>
        <v/>
      </c>
      <c r="L972" s="7" t="str">
        <f t="shared" si="81"/>
        <v/>
      </c>
      <c r="M972" s="7" t="str">
        <f t="shared" si="78"/>
        <v/>
      </c>
      <c r="N972" s="7" t="str">
        <f t="shared" si="82"/>
        <v/>
      </c>
      <c r="O972" s="8"/>
      <c r="P972" s="26"/>
      <c r="S972" s="10" t="str">
        <f t="shared" si="79"/>
        <v/>
      </c>
    </row>
    <row r="973" spans="5:19" x14ac:dyDescent="0.3">
      <c r="E973" s="9" t="str">
        <f>IF(DADOS!C973="","",DADOS!C973)</f>
        <v/>
      </c>
      <c r="F973" s="9" t="str">
        <f>IF(DADOS!E973="","",DADOS!E973)</f>
        <v/>
      </c>
      <c r="G973" s="9" t="str">
        <f>IF(DADOS!F973="","",DADOS!F973)</f>
        <v/>
      </c>
      <c r="K973" s="6" t="str">
        <f t="shared" si="80"/>
        <v/>
      </c>
      <c r="L973" s="7" t="str">
        <f t="shared" si="81"/>
        <v/>
      </c>
      <c r="M973" s="7" t="str">
        <f t="shared" si="78"/>
        <v/>
      </c>
      <c r="N973" s="7" t="str">
        <f t="shared" si="82"/>
        <v/>
      </c>
      <c r="O973" s="8"/>
      <c r="P973" s="26"/>
      <c r="S973" s="10" t="str">
        <f t="shared" si="79"/>
        <v/>
      </c>
    </row>
    <row r="974" spans="5:19" x14ac:dyDescent="0.3">
      <c r="E974" s="9" t="str">
        <f>IF(DADOS!C974="","",DADOS!C974)</f>
        <v/>
      </c>
      <c r="F974" s="9" t="str">
        <f>IF(DADOS!E974="","",DADOS!E974)</f>
        <v/>
      </c>
      <c r="G974" s="9" t="str">
        <f>IF(DADOS!F974="","",DADOS!F974)</f>
        <v/>
      </c>
      <c r="K974" s="6" t="str">
        <f t="shared" si="80"/>
        <v/>
      </c>
      <c r="L974" s="7" t="str">
        <f t="shared" si="81"/>
        <v/>
      </c>
      <c r="M974" s="7" t="str">
        <f t="shared" si="78"/>
        <v/>
      </c>
      <c r="N974" s="7" t="str">
        <f t="shared" si="82"/>
        <v/>
      </c>
      <c r="O974" s="8"/>
      <c r="P974" s="26"/>
      <c r="S974" s="10" t="str">
        <f t="shared" si="79"/>
        <v/>
      </c>
    </row>
    <row r="975" spans="5:19" x14ac:dyDescent="0.3">
      <c r="E975" s="9" t="str">
        <f>IF(DADOS!C975="","",DADOS!C975)</f>
        <v/>
      </c>
      <c r="F975" s="9" t="str">
        <f>IF(DADOS!E975="","",DADOS!E975)</f>
        <v/>
      </c>
      <c r="G975" s="9" t="str">
        <f>IF(DADOS!F975="","",DADOS!F975)</f>
        <v/>
      </c>
      <c r="K975" s="6" t="str">
        <f t="shared" si="80"/>
        <v/>
      </c>
      <c r="L975" s="7" t="str">
        <f t="shared" si="81"/>
        <v/>
      </c>
      <c r="M975" s="7" t="str">
        <f t="shared" si="78"/>
        <v/>
      </c>
      <c r="N975" s="7" t="str">
        <f t="shared" si="82"/>
        <v/>
      </c>
      <c r="O975" s="8"/>
      <c r="P975" s="26"/>
      <c r="S975" s="10" t="str">
        <f t="shared" si="79"/>
        <v/>
      </c>
    </row>
    <row r="976" spans="5:19" x14ac:dyDescent="0.3">
      <c r="E976" s="9" t="str">
        <f>IF(DADOS!C976="","",DADOS!C976)</f>
        <v/>
      </c>
      <c r="F976" s="9" t="str">
        <f>IF(DADOS!E976="","",DADOS!E976)</f>
        <v/>
      </c>
      <c r="G976" s="9" t="str">
        <f>IF(DADOS!F976="","",DADOS!F976)</f>
        <v/>
      </c>
      <c r="K976" s="6" t="str">
        <f t="shared" si="80"/>
        <v/>
      </c>
      <c r="L976" s="7" t="str">
        <f t="shared" si="81"/>
        <v/>
      </c>
      <c r="M976" s="7" t="str">
        <f t="shared" si="78"/>
        <v/>
      </c>
      <c r="N976" s="7" t="str">
        <f t="shared" si="82"/>
        <v/>
      </c>
      <c r="O976" s="8"/>
      <c r="P976" s="26"/>
      <c r="S976" s="10" t="str">
        <f t="shared" si="79"/>
        <v/>
      </c>
    </row>
    <row r="977" spans="5:19" x14ac:dyDescent="0.3">
      <c r="E977" s="9" t="str">
        <f>IF(DADOS!C977="","",DADOS!C977)</f>
        <v/>
      </c>
      <c r="F977" s="9" t="str">
        <f>IF(DADOS!E977="","",DADOS!E977)</f>
        <v/>
      </c>
      <c r="G977" s="9" t="str">
        <f>IF(DADOS!F977="","",DADOS!F977)</f>
        <v/>
      </c>
      <c r="K977" s="6" t="str">
        <f t="shared" si="80"/>
        <v/>
      </c>
      <c r="L977" s="7" t="str">
        <f t="shared" si="81"/>
        <v/>
      </c>
      <c r="M977" s="7" t="str">
        <f t="shared" si="78"/>
        <v/>
      </c>
      <c r="N977" s="7" t="str">
        <f t="shared" si="82"/>
        <v/>
      </c>
      <c r="O977" s="8"/>
      <c r="P977" s="26"/>
      <c r="S977" s="10" t="str">
        <f t="shared" si="79"/>
        <v/>
      </c>
    </row>
    <row r="978" spans="5:19" x14ac:dyDescent="0.3">
      <c r="E978" s="9" t="str">
        <f>IF(DADOS!C978="","",DADOS!C978)</f>
        <v/>
      </c>
      <c r="F978" s="9" t="str">
        <f>IF(DADOS!E978="","",DADOS!E978)</f>
        <v/>
      </c>
      <c r="G978" s="9" t="str">
        <f>IF(DADOS!F978="","",DADOS!F978)</f>
        <v/>
      </c>
      <c r="K978" s="6" t="str">
        <f t="shared" si="80"/>
        <v/>
      </c>
      <c r="L978" s="7" t="str">
        <f t="shared" si="81"/>
        <v/>
      </c>
      <c r="M978" s="7" t="str">
        <f t="shared" si="78"/>
        <v/>
      </c>
      <c r="N978" s="7" t="str">
        <f t="shared" si="82"/>
        <v/>
      </c>
      <c r="O978" s="8"/>
      <c r="P978" s="26"/>
      <c r="S978" s="10" t="str">
        <f t="shared" si="79"/>
        <v/>
      </c>
    </row>
    <row r="979" spans="5:19" x14ac:dyDescent="0.3">
      <c r="E979" s="9" t="str">
        <f>IF(DADOS!C979="","",DADOS!C979)</f>
        <v/>
      </c>
      <c r="F979" s="9" t="str">
        <f>IF(DADOS!E979="","",DADOS!E979)</f>
        <v/>
      </c>
      <c r="G979" s="9" t="str">
        <f>IF(DADOS!F979="","",DADOS!F979)</f>
        <v/>
      </c>
      <c r="K979" s="6" t="str">
        <f t="shared" si="80"/>
        <v/>
      </c>
      <c r="L979" s="7" t="str">
        <f t="shared" si="81"/>
        <v/>
      </c>
      <c r="M979" s="7" t="str">
        <f t="shared" si="78"/>
        <v/>
      </c>
      <c r="N979" s="7" t="str">
        <f t="shared" si="82"/>
        <v/>
      </c>
      <c r="O979" s="8"/>
      <c r="P979" s="26"/>
      <c r="S979" s="10" t="str">
        <f t="shared" si="79"/>
        <v/>
      </c>
    </row>
    <row r="980" spans="5:19" x14ac:dyDescent="0.3">
      <c r="E980" s="9" t="str">
        <f>IF(DADOS!C980="","",DADOS!C980)</f>
        <v/>
      </c>
      <c r="F980" s="9" t="str">
        <f>IF(DADOS!E980="","",DADOS!E980)</f>
        <v/>
      </c>
      <c r="G980" s="9" t="str">
        <f>IF(DADOS!F980="","",DADOS!F980)</f>
        <v/>
      </c>
      <c r="K980" s="6" t="str">
        <f t="shared" si="80"/>
        <v/>
      </c>
      <c r="L980" s="7" t="str">
        <f t="shared" si="81"/>
        <v/>
      </c>
      <c r="M980" s="7" t="str">
        <f t="shared" si="78"/>
        <v/>
      </c>
      <c r="N980" s="7" t="str">
        <f t="shared" si="82"/>
        <v/>
      </c>
      <c r="O980" s="8"/>
      <c r="P980" s="26"/>
      <c r="S980" s="10" t="str">
        <f t="shared" si="79"/>
        <v/>
      </c>
    </row>
    <row r="981" spans="5:19" x14ac:dyDescent="0.3">
      <c r="E981" s="9" t="str">
        <f>IF(DADOS!C981="","",DADOS!C981)</f>
        <v/>
      </c>
      <c r="F981" s="9" t="str">
        <f>IF(DADOS!E981="","",DADOS!E981)</f>
        <v/>
      </c>
      <c r="G981" s="9" t="str">
        <f>IF(DADOS!F981="","",DADOS!F981)</f>
        <v/>
      </c>
      <c r="K981" s="6" t="str">
        <f t="shared" si="80"/>
        <v/>
      </c>
      <c r="L981" s="7" t="str">
        <f t="shared" si="81"/>
        <v/>
      </c>
      <c r="M981" s="7" t="str">
        <f t="shared" si="78"/>
        <v/>
      </c>
      <c r="N981" s="7" t="str">
        <f t="shared" si="82"/>
        <v/>
      </c>
      <c r="O981" s="8"/>
      <c r="P981" s="26"/>
      <c r="S981" s="10" t="str">
        <f t="shared" si="79"/>
        <v/>
      </c>
    </row>
    <row r="982" spans="5:19" x14ac:dyDescent="0.3">
      <c r="E982" s="9" t="str">
        <f>IF(DADOS!C982="","",DADOS!C982)</f>
        <v/>
      </c>
      <c r="F982" s="9" t="str">
        <f>IF(DADOS!E982="","",DADOS!E982)</f>
        <v/>
      </c>
      <c r="G982" s="9" t="str">
        <f>IF(DADOS!F982="","",DADOS!F982)</f>
        <v/>
      </c>
      <c r="K982" s="6" t="str">
        <f t="shared" si="80"/>
        <v/>
      </c>
      <c r="L982" s="7" t="str">
        <f t="shared" si="81"/>
        <v/>
      </c>
      <c r="M982" s="7" t="str">
        <f t="shared" si="78"/>
        <v/>
      </c>
      <c r="N982" s="7" t="str">
        <f t="shared" si="82"/>
        <v/>
      </c>
      <c r="O982" s="8"/>
      <c r="P982" s="26"/>
      <c r="S982" s="10" t="str">
        <f t="shared" si="79"/>
        <v/>
      </c>
    </row>
    <row r="983" spans="5:19" x14ac:dyDescent="0.3">
      <c r="E983" s="9" t="str">
        <f>IF(DADOS!C983="","",DADOS!C983)</f>
        <v/>
      </c>
      <c r="F983" s="9" t="str">
        <f>IF(DADOS!E983="","",DADOS!E983)</f>
        <v/>
      </c>
      <c r="G983" s="9" t="str">
        <f>IF(DADOS!F983="","",DADOS!F983)</f>
        <v/>
      </c>
      <c r="K983" s="6" t="str">
        <f t="shared" si="80"/>
        <v/>
      </c>
      <c r="L983" s="7" t="str">
        <f t="shared" si="81"/>
        <v/>
      </c>
      <c r="M983" s="7" t="str">
        <f t="shared" si="78"/>
        <v/>
      </c>
      <c r="N983" s="7" t="str">
        <f t="shared" si="82"/>
        <v/>
      </c>
      <c r="O983" s="8"/>
      <c r="P983" s="26"/>
      <c r="S983" s="10" t="str">
        <f t="shared" si="79"/>
        <v/>
      </c>
    </row>
    <row r="984" spans="5:19" x14ac:dyDescent="0.3">
      <c r="E984" s="9" t="str">
        <f>IF(DADOS!C984="","",DADOS!C984)</f>
        <v/>
      </c>
      <c r="F984" s="9" t="str">
        <f>IF(DADOS!E984="","",DADOS!E984)</f>
        <v/>
      </c>
      <c r="G984" s="9" t="str">
        <f>IF(DADOS!F984="","",DADOS!F984)</f>
        <v/>
      </c>
      <c r="K984" s="6" t="str">
        <f t="shared" si="80"/>
        <v/>
      </c>
      <c r="L984" s="7" t="str">
        <f t="shared" si="81"/>
        <v/>
      </c>
      <c r="M984" s="7" t="str">
        <f t="shared" si="78"/>
        <v/>
      </c>
      <c r="N984" s="7" t="str">
        <f t="shared" si="82"/>
        <v/>
      </c>
      <c r="O984" s="8"/>
      <c r="P984" s="26"/>
      <c r="S984" s="10" t="str">
        <f t="shared" si="79"/>
        <v/>
      </c>
    </row>
    <row r="985" spans="5:19" x14ac:dyDescent="0.3">
      <c r="E985" s="9" t="str">
        <f>IF(DADOS!C985="","",DADOS!C985)</f>
        <v/>
      </c>
      <c r="F985" s="9" t="str">
        <f>IF(DADOS!E985="","",DADOS!E985)</f>
        <v/>
      </c>
      <c r="G985" s="9" t="str">
        <f>IF(DADOS!F985="","",DADOS!F985)</f>
        <v/>
      </c>
      <c r="K985" s="6" t="str">
        <f t="shared" si="80"/>
        <v/>
      </c>
      <c r="L985" s="7" t="str">
        <f t="shared" si="81"/>
        <v/>
      </c>
      <c r="M985" s="7" t="str">
        <f t="shared" si="78"/>
        <v/>
      </c>
      <c r="N985" s="7" t="str">
        <f t="shared" si="82"/>
        <v/>
      </c>
      <c r="O985" s="8"/>
      <c r="P985" s="26"/>
      <c r="S985" s="10" t="str">
        <f t="shared" si="79"/>
        <v/>
      </c>
    </row>
    <row r="986" spans="5:19" x14ac:dyDescent="0.3">
      <c r="E986" s="9" t="str">
        <f>IF(DADOS!C986="","",DADOS!C986)</f>
        <v/>
      </c>
      <c r="F986" s="9" t="str">
        <f>IF(DADOS!E986="","",DADOS!E986)</f>
        <v/>
      </c>
      <c r="G986" s="9" t="str">
        <f>IF(DADOS!F986="","",DADOS!F986)</f>
        <v/>
      </c>
      <c r="K986" s="6" t="str">
        <f t="shared" si="80"/>
        <v/>
      </c>
      <c r="L986" s="7" t="str">
        <f t="shared" si="81"/>
        <v/>
      </c>
      <c r="M986" s="7" t="str">
        <f t="shared" si="78"/>
        <v/>
      </c>
      <c r="N986" s="7" t="str">
        <f t="shared" si="82"/>
        <v/>
      </c>
      <c r="O986" s="8"/>
      <c r="P986" s="26"/>
      <c r="S986" s="10" t="str">
        <f t="shared" si="79"/>
        <v/>
      </c>
    </row>
    <row r="987" spans="5:19" x14ac:dyDescent="0.3">
      <c r="E987" s="9" t="str">
        <f>IF(DADOS!C987="","",DADOS!C987)</f>
        <v/>
      </c>
      <c r="F987" s="9" t="str">
        <f>IF(DADOS!E987="","",DADOS!E987)</f>
        <v/>
      </c>
      <c r="G987" s="9" t="str">
        <f>IF(DADOS!F987="","",DADOS!F987)</f>
        <v/>
      </c>
      <c r="K987" s="6" t="str">
        <f t="shared" si="80"/>
        <v/>
      </c>
      <c r="L987" s="7" t="str">
        <f t="shared" si="81"/>
        <v/>
      </c>
      <c r="M987" s="7" t="str">
        <f t="shared" si="78"/>
        <v/>
      </c>
      <c r="N987" s="7" t="str">
        <f t="shared" si="82"/>
        <v/>
      </c>
      <c r="O987" s="8"/>
      <c r="P987" s="26"/>
      <c r="S987" s="10" t="str">
        <f t="shared" si="79"/>
        <v/>
      </c>
    </row>
    <row r="988" spans="5:19" x14ac:dyDescent="0.3">
      <c r="E988" s="9" t="str">
        <f>IF(DADOS!C988="","",DADOS!C988)</f>
        <v/>
      </c>
      <c r="F988" s="9" t="str">
        <f>IF(DADOS!E988="","",DADOS!E988)</f>
        <v/>
      </c>
      <c r="G988" s="9" t="str">
        <f>IF(DADOS!F988="","",DADOS!F988)</f>
        <v/>
      </c>
      <c r="K988" s="6" t="str">
        <f t="shared" si="80"/>
        <v/>
      </c>
      <c r="L988" s="7" t="str">
        <f t="shared" si="81"/>
        <v/>
      </c>
      <c r="M988" s="7" t="str">
        <f t="shared" si="78"/>
        <v/>
      </c>
      <c r="N988" s="7" t="str">
        <f t="shared" si="82"/>
        <v/>
      </c>
      <c r="O988" s="8"/>
      <c r="P988" s="26"/>
      <c r="S988" s="10" t="str">
        <f t="shared" si="79"/>
        <v/>
      </c>
    </row>
    <row r="989" spans="5:19" x14ac:dyDescent="0.3">
      <c r="E989" s="9" t="str">
        <f>IF(DADOS!C989="","",DADOS!C989)</f>
        <v/>
      </c>
      <c r="F989" s="9" t="str">
        <f>IF(DADOS!E989="","",DADOS!E989)</f>
        <v/>
      </c>
      <c r="G989" s="9" t="str">
        <f>IF(DADOS!F989="","",DADOS!F989)</f>
        <v/>
      </c>
      <c r="K989" s="6" t="str">
        <f t="shared" si="80"/>
        <v/>
      </c>
      <c r="L989" s="7" t="str">
        <f t="shared" si="81"/>
        <v/>
      </c>
      <c r="M989" s="7" t="str">
        <f t="shared" si="78"/>
        <v/>
      </c>
      <c r="N989" s="7" t="str">
        <f t="shared" si="82"/>
        <v/>
      </c>
      <c r="O989" s="8"/>
      <c r="P989" s="26"/>
      <c r="S989" s="10" t="str">
        <f t="shared" si="79"/>
        <v/>
      </c>
    </row>
    <row r="990" spans="5:19" x14ac:dyDescent="0.3">
      <c r="E990" s="9" t="str">
        <f>IF(DADOS!C990="","",DADOS!C990)</f>
        <v/>
      </c>
      <c r="F990" s="9" t="str">
        <f>IF(DADOS!E990="","",DADOS!E990)</f>
        <v/>
      </c>
      <c r="G990" s="9" t="str">
        <f>IF(DADOS!F990="","",DADOS!F990)</f>
        <v/>
      </c>
      <c r="K990" s="6" t="str">
        <f t="shared" si="80"/>
        <v/>
      </c>
      <c r="L990" s="7" t="str">
        <f t="shared" si="81"/>
        <v/>
      </c>
      <c r="M990" s="7" t="str">
        <f t="shared" si="78"/>
        <v/>
      </c>
      <c r="N990" s="7" t="str">
        <f t="shared" si="82"/>
        <v/>
      </c>
      <c r="O990" s="8"/>
      <c r="P990" s="26"/>
      <c r="S990" s="10" t="str">
        <f t="shared" si="79"/>
        <v/>
      </c>
    </row>
    <row r="991" spans="5:19" x14ac:dyDescent="0.3">
      <c r="E991" s="9" t="str">
        <f>IF(DADOS!C991="","",DADOS!C991)</f>
        <v/>
      </c>
      <c r="F991" s="9" t="str">
        <f>IF(DADOS!E991="","",DADOS!E991)</f>
        <v/>
      </c>
      <c r="G991" s="9" t="str">
        <f>IF(DADOS!F991="","",DADOS!F991)</f>
        <v/>
      </c>
      <c r="K991" s="6" t="str">
        <f t="shared" si="80"/>
        <v/>
      </c>
      <c r="L991" s="7" t="str">
        <f t="shared" si="81"/>
        <v/>
      </c>
      <c r="M991" s="7" t="str">
        <f t="shared" si="78"/>
        <v/>
      </c>
      <c r="N991" s="7" t="str">
        <f t="shared" si="82"/>
        <v/>
      </c>
      <c r="O991" s="8"/>
      <c r="P991" s="26"/>
      <c r="S991" s="10" t="str">
        <f t="shared" si="79"/>
        <v/>
      </c>
    </row>
    <row r="992" spans="5:19" x14ac:dyDescent="0.3">
      <c r="E992" s="9" t="str">
        <f>IF(DADOS!C992="","",DADOS!C992)</f>
        <v/>
      </c>
      <c r="F992" s="9" t="str">
        <f>IF(DADOS!E992="","",DADOS!E992)</f>
        <v/>
      </c>
      <c r="G992" s="9" t="str">
        <f>IF(DADOS!F992="","",DADOS!F992)</f>
        <v/>
      </c>
      <c r="K992" s="6" t="str">
        <f t="shared" si="80"/>
        <v/>
      </c>
      <c r="L992" s="7" t="str">
        <f t="shared" si="81"/>
        <v/>
      </c>
      <c r="M992" s="7" t="str">
        <f t="shared" si="78"/>
        <v/>
      </c>
      <c r="N992" s="7" t="str">
        <f t="shared" si="82"/>
        <v/>
      </c>
      <c r="O992" s="8"/>
      <c r="P992" s="26"/>
      <c r="S992" s="10" t="str">
        <f t="shared" si="79"/>
        <v/>
      </c>
    </row>
    <row r="993" spans="5:19" x14ac:dyDescent="0.3">
      <c r="E993" s="9" t="str">
        <f>IF(DADOS!C993="","",DADOS!C993)</f>
        <v/>
      </c>
      <c r="F993" s="9" t="str">
        <f>IF(DADOS!E993="","",DADOS!E993)</f>
        <v/>
      </c>
      <c r="G993" s="9" t="str">
        <f>IF(DADOS!F993="","",DADOS!F993)</f>
        <v/>
      </c>
      <c r="K993" s="6" t="str">
        <f t="shared" si="80"/>
        <v/>
      </c>
      <c r="L993" s="7" t="str">
        <f t="shared" si="81"/>
        <v/>
      </c>
      <c r="M993" s="7" t="str">
        <f t="shared" si="78"/>
        <v/>
      </c>
      <c r="N993" s="7" t="str">
        <f t="shared" si="82"/>
        <v/>
      </c>
      <c r="O993" s="8"/>
      <c r="P993" s="26"/>
      <c r="S993" s="10" t="str">
        <f t="shared" si="79"/>
        <v/>
      </c>
    </row>
    <row r="994" spans="5:19" x14ac:dyDescent="0.3">
      <c r="E994" s="9" t="str">
        <f>IF(DADOS!C994="","",DADOS!C994)</f>
        <v/>
      </c>
      <c r="F994" s="9" t="str">
        <f>IF(DADOS!E994="","",DADOS!E994)</f>
        <v/>
      </c>
      <c r="G994" s="9" t="str">
        <f>IF(DADOS!F994="","",DADOS!F994)</f>
        <v/>
      </c>
      <c r="K994" s="6" t="str">
        <f t="shared" si="80"/>
        <v/>
      </c>
      <c r="L994" s="7" t="str">
        <f t="shared" si="81"/>
        <v/>
      </c>
      <c r="M994" s="7" t="str">
        <f t="shared" si="78"/>
        <v/>
      </c>
      <c r="N994" s="7" t="str">
        <f t="shared" si="82"/>
        <v/>
      </c>
      <c r="O994" s="8"/>
      <c r="P994" s="26"/>
      <c r="S994" s="10" t="str">
        <f t="shared" si="79"/>
        <v/>
      </c>
    </row>
    <row r="995" spans="5:19" x14ac:dyDescent="0.3">
      <c r="E995" s="9" t="str">
        <f>IF(DADOS!C995="","",DADOS!C995)</f>
        <v/>
      </c>
      <c r="F995" s="9" t="str">
        <f>IF(DADOS!E995="","",DADOS!E995)</f>
        <v/>
      </c>
      <c r="G995" s="9" t="str">
        <f>IF(DADOS!F995="","",DADOS!F995)</f>
        <v/>
      </c>
      <c r="K995" s="6" t="str">
        <f t="shared" si="80"/>
        <v/>
      </c>
      <c r="L995" s="7" t="str">
        <f t="shared" si="81"/>
        <v/>
      </c>
      <c r="M995" s="7" t="str">
        <f t="shared" si="78"/>
        <v/>
      </c>
      <c r="N995" s="7" t="str">
        <f t="shared" si="82"/>
        <v/>
      </c>
      <c r="O995" s="8"/>
      <c r="P995" s="26"/>
      <c r="S995" s="10" t="str">
        <f t="shared" si="79"/>
        <v/>
      </c>
    </row>
    <row r="996" spans="5:19" x14ac:dyDescent="0.3">
      <c r="E996" s="9" t="str">
        <f>IF(DADOS!C996="","",DADOS!C996)</f>
        <v/>
      </c>
      <c r="F996" s="9" t="str">
        <f>IF(DADOS!E996="","",DADOS!E996)</f>
        <v/>
      </c>
      <c r="G996" s="9" t="str">
        <f>IF(DADOS!F996="","",DADOS!F996)</f>
        <v/>
      </c>
      <c r="K996" s="6" t="str">
        <f t="shared" si="80"/>
        <v/>
      </c>
      <c r="L996" s="7" t="str">
        <f t="shared" si="81"/>
        <v/>
      </c>
      <c r="M996" s="7" t="str">
        <f t="shared" si="78"/>
        <v/>
      </c>
      <c r="N996" s="7" t="str">
        <f t="shared" si="82"/>
        <v/>
      </c>
      <c r="O996" s="8"/>
      <c r="P996" s="26"/>
      <c r="S996" s="10" t="str">
        <f t="shared" si="79"/>
        <v/>
      </c>
    </row>
    <row r="997" spans="5:19" x14ac:dyDescent="0.3">
      <c r="E997" s="9" t="str">
        <f>IF(DADOS!C997="","",DADOS!C997)</f>
        <v/>
      </c>
      <c r="F997" s="9" t="str">
        <f>IF(DADOS!E997="","",DADOS!E997)</f>
        <v/>
      </c>
      <c r="G997" s="9" t="str">
        <f>IF(DADOS!F997="","",DADOS!F997)</f>
        <v/>
      </c>
      <c r="K997" s="6" t="str">
        <f t="shared" si="80"/>
        <v/>
      </c>
      <c r="L997" s="7" t="str">
        <f t="shared" si="81"/>
        <v/>
      </c>
      <c r="M997" s="7" t="str">
        <f t="shared" si="78"/>
        <v/>
      </c>
      <c r="N997" s="7" t="str">
        <f t="shared" si="82"/>
        <v/>
      </c>
      <c r="O997" s="8"/>
      <c r="P997" s="26"/>
      <c r="S997" s="10" t="str">
        <f t="shared" si="79"/>
        <v/>
      </c>
    </row>
    <row r="998" spans="5:19" x14ac:dyDescent="0.3">
      <c r="E998" s="9" t="str">
        <f>IF(DADOS!C998="","",DADOS!C998)</f>
        <v/>
      </c>
      <c r="F998" s="9" t="str">
        <f>IF(DADOS!E998="","",DADOS!E998)</f>
        <v/>
      </c>
      <c r="G998" s="9" t="str">
        <f>IF(DADOS!F998="","",DADOS!F998)</f>
        <v/>
      </c>
      <c r="K998" s="6" t="str">
        <f t="shared" si="80"/>
        <v/>
      </c>
      <c r="L998" s="7" t="str">
        <f t="shared" si="81"/>
        <v/>
      </c>
      <c r="M998" s="7" t="str">
        <f t="shared" si="78"/>
        <v/>
      </c>
      <c r="N998" s="7" t="str">
        <f t="shared" si="82"/>
        <v/>
      </c>
      <c r="O998" s="8"/>
      <c r="P998" s="26"/>
      <c r="S998" s="10" t="str">
        <f t="shared" si="79"/>
        <v/>
      </c>
    </row>
    <row r="999" spans="5:19" x14ac:dyDescent="0.3">
      <c r="E999" s="9" t="str">
        <f>IF(DADOS!C999="","",DADOS!C999)</f>
        <v/>
      </c>
      <c r="F999" s="9" t="str">
        <f>IF(DADOS!E999="","",DADOS!E999)</f>
        <v/>
      </c>
      <c r="G999" s="9" t="str">
        <f>IF(DADOS!F999="","",DADOS!F999)</f>
        <v/>
      </c>
      <c r="K999" s="6" t="str">
        <f t="shared" si="80"/>
        <v/>
      </c>
      <c r="L999" s="7" t="str">
        <f t="shared" si="81"/>
        <v/>
      </c>
      <c r="M999" s="7" t="str">
        <f t="shared" si="78"/>
        <v/>
      </c>
      <c r="N999" s="7" t="str">
        <f t="shared" si="82"/>
        <v/>
      </c>
      <c r="O999" s="8"/>
      <c r="P999" s="26"/>
      <c r="S999" s="10" t="str">
        <f t="shared" si="79"/>
        <v/>
      </c>
    </row>
    <row r="1000" spans="5:19" x14ac:dyDescent="0.3">
      <c r="E1000" s="9" t="str">
        <f>IF(DADOS!C1000="","",DADOS!C1000)</f>
        <v/>
      </c>
      <c r="F1000" s="9" t="str">
        <f>IF(DADOS!E1000="","",DADOS!E1000)</f>
        <v/>
      </c>
      <c r="G1000" s="9" t="str">
        <f>IF(DADOS!F1000="","",DADOS!F1000)</f>
        <v/>
      </c>
      <c r="K1000" s="6" t="str">
        <f t="shared" si="80"/>
        <v/>
      </c>
      <c r="L1000" s="7" t="str">
        <f t="shared" si="81"/>
        <v/>
      </c>
      <c r="M1000" s="7" t="str">
        <f t="shared" si="78"/>
        <v/>
      </c>
      <c r="N1000" s="7" t="str">
        <f t="shared" si="82"/>
        <v/>
      </c>
      <c r="O1000" s="8"/>
      <c r="P1000" s="26"/>
      <c r="S1000" s="10" t="str">
        <f t="shared" si="79"/>
        <v/>
      </c>
    </row>
    <row r="1001" spans="5:19" x14ac:dyDescent="0.3">
      <c r="E1001" s="9" t="str">
        <f>IF(DADOS!C1001="","",DADOS!C1001)</f>
        <v/>
      </c>
      <c r="F1001" s="9" t="str">
        <f>IF(DADOS!E1001="","",DADOS!E1001)</f>
        <v/>
      </c>
      <c r="G1001" s="9" t="str">
        <f>IF(DADOS!F1001="","",DADOS!F1001)</f>
        <v/>
      </c>
      <c r="K1001" s="6" t="str">
        <f t="shared" si="80"/>
        <v/>
      </c>
      <c r="L1001" s="7" t="str">
        <f t="shared" si="81"/>
        <v/>
      </c>
      <c r="M1001" s="7" t="str">
        <f t="shared" si="78"/>
        <v/>
      </c>
      <c r="N1001" s="7" t="str">
        <f t="shared" si="82"/>
        <v/>
      </c>
      <c r="O1001" s="8"/>
      <c r="P1001" s="26"/>
      <c r="S1001" s="10" t="str">
        <f t="shared" si="79"/>
        <v/>
      </c>
    </row>
    <row r="1002" spans="5:19" x14ac:dyDescent="0.3">
      <c r="E1002" s="9" t="str">
        <f>IF(DADOS!C1002="","",DADOS!C1002)</f>
        <v/>
      </c>
      <c r="F1002" s="9" t="str">
        <f>IF(DADOS!E1002="","",DADOS!E1002)</f>
        <v/>
      </c>
      <c r="G1002" s="9" t="str">
        <f>IF(DADOS!F1002="","",DADOS!F1002)</f>
        <v/>
      </c>
      <c r="K1002" s="6" t="str">
        <f t="shared" si="80"/>
        <v/>
      </c>
      <c r="L1002" s="7" t="str">
        <f t="shared" si="81"/>
        <v/>
      </c>
      <c r="M1002" s="7" t="str">
        <f t="shared" si="78"/>
        <v/>
      </c>
      <c r="N1002" s="7" t="str">
        <f t="shared" si="82"/>
        <v/>
      </c>
      <c r="O1002" s="8"/>
      <c r="P1002" s="26"/>
      <c r="S1002" s="10" t="str">
        <f t="shared" si="79"/>
        <v/>
      </c>
    </row>
    <row r="1003" spans="5:19" x14ac:dyDescent="0.3">
      <c r="E1003" s="9" t="str">
        <f>IF(DADOS!C1003="","",DADOS!C1003)</f>
        <v/>
      </c>
      <c r="F1003" s="9" t="str">
        <f>IF(DADOS!E1003="","",DADOS!E1003)</f>
        <v/>
      </c>
      <c r="G1003" s="9" t="str">
        <f>IF(DADOS!F1003="","",DADOS!F1003)</f>
        <v/>
      </c>
      <c r="K1003" s="6" t="str">
        <f t="shared" si="80"/>
        <v/>
      </c>
      <c r="L1003" s="7" t="str">
        <f t="shared" si="81"/>
        <v/>
      </c>
      <c r="M1003" s="7" t="str">
        <f t="shared" si="78"/>
        <v/>
      </c>
      <c r="N1003" s="7" t="str">
        <f t="shared" si="82"/>
        <v/>
      </c>
      <c r="O1003" s="8"/>
      <c r="P1003" s="26"/>
      <c r="S1003" s="10" t="str">
        <f t="shared" si="79"/>
        <v/>
      </c>
    </row>
    <row r="1004" spans="5:19" x14ac:dyDescent="0.3">
      <c r="E1004" s="9" t="str">
        <f>IF(DADOS!C1004="","",DADOS!C1004)</f>
        <v/>
      </c>
      <c r="F1004" s="9" t="str">
        <f>IF(DADOS!E1004="","",DADOS!E1004)</f>
        <v/>
      </c>
      <c r="G1004" s="9" t="str">
        <f>IF(DADOS!F1004="","",DADOS!F1004)</f>
        <v/>
      </c>
      <c r="K1004" s="6" t="str">
        <f t="shared" si="80"/>
        <v/>
      </c>
      <c r="L1004" s="7" t="str">
        <f t="shared" si="81"/>
        <v/>
      </c>
      <c r="M1004" s="7" t="str">
        <f t="shared" si="78"/>
        <v/>
      </c>
      <c r="N1004" s="7" t="str">
        <f t="shared" si="82"/>
        <v/>
      </c>
      <c r="O1004" s="8"/>
      <c r="P1004" s="26"/>
      <c r="S1004" s="10" t="str">
        <f t="shared" si="79"/>
        <v/>
      </c>
    </row>
    <row r="1005" spans="5:19" x14ac:dyDescent="0.3">
      <c r="E1005" s="9" t="str">
        <f>IF(DADOS!C1005="","",DADOS!C1005)</f>
        <v/>
      </c>
      <c r="F1005" s="9" t="str">
        <f>IF(DADOS!E1005="","",DADOS!E1005)</f>
        <v/>
      </c>
      <c r="G1005" s="9" t="str">
        <f>IF(DADOS!F1005="","",DADOS!F1005)</f>
        <v/>
      </c>
      <c r="K1005" s="6" t="str">
        <f t="shared" si="80"/>
        <v/>
      </c>
      <c r="L1005" s="7" t="str">
        <f t="shared" si="81"/>
        <v/>
      </c>
      <c r="M1005" s="7" t="str">
        <f t="shared" si="78"/>
        <v/>
      </c>
      <c r="N1005" s="7" t="str">
        <f t="shared" si="82"/>
        <v/>
      </c>
      <c r="O1005" s="8"/>
      <c r="P1005" s="26"/>
      <c r="S1005" s="10" t="str">
        <f t="shared" si="79"/>
        <v/>
      </c>
    </row>
    <row r="1006" spans="5:19" x14ac:dyDescent="0.3">
      <c r="E1006" s="9" t="str">
        <f>IF(DADOS!C1006="","",DADOS!C1006)</f>
        <v/>
      </c>
      <c r="F1006" s="9" t="str">
        <f>IF(DADOS!E1006="","",DADOS!E1006)</f>
        <v/>
      </c>
      <c r="G1006" s="9" t="str">
        <f>IF(DADOS!F1006="","",DADOS!F1006)</f>
        <v/>
      </c>
      <c r="K1006" s="6" t="str">
        <f t="shared" si="80"/>
        <v/>
      </c>
      <c r="L1006" s="7" t="str">
        <f t="shared" si="81"/>
        <v/>
      </c>
      <c r="M1006" s="7" t="str">
        <f t="shared" si="78"/>
        <v/>
      </c>
      <c r="N1006" s="7" t="str">
        <f t="shared" si="82"/>
        <v/>
      </c>
      <c r="O1006" s="8"/>
      <c r="P1006" s="26"/>
      <c r="S1006" s="10" t="str">
        <f t="shared" si="79"/>
        <v/>
      </c>
    </row>
    <row r="1007" spans="5:19" x14ac:dyDescent="0.3">
      <c r="E1007" s="9" t="str">
        <f>IF(DADOS!C1007="","",DADOS!C1007)</f>
        <v/>
      </c>
      <c r="F1007" s="9" t="str">
        <f>IF(DADOS!E1007="","",DADOS!E1007)</f>
        <v/>
      </c>
      <c r="G1007" s="9" t="str">
        <f>IF(DADOS!F1007="","",DADOS!F1007)</f>
        <v/>
      </c>
      <c r="K1007" s="6" t="str">
        <f t="shared" si="80"/>
        <v/>
      </c>
      <c r="L1007" s="7" t="str">
        <f t="shared" si="81"/>
        <v/>
      </c>
      <c r="M1007" s="7" t="str">
        <f t="shared" si="78"/>
        <v/>
      </c>
      <c r="N1007" s="7" t="str">
        <f t="shared" si="82"/>
        <v/>
      </c>
      <c r="O1007" s="8"/>
      <c r="P1007" s="26"/>
      <c r="S1007" s="10" t="str">
        <f t="shared" si="79"/>
        <v/>
      </c>
    </row>
    <row r="1008" spans="5:19" x14ac:dyDescent="0.3">
      <c r="E1008" s="9" t="str">
        <f>IF(DADOS!C1008="","",DADOS!C1008)</f>
        <v/>
      </c>
      <c r="F1008" s="9" t="str">
        <f>IF(DADOS!E1008="","",DADOS!E1008)</f>
        <v/>
      </c>
      <c r="G1008" s="9" t="str">
        <f>IF(DADOS!F1008="","",DADOS!F1008)</f>
        <v/>
      </c>
      <c r="K1008" s="6" t="str">
        <f t="shared" si="80"/>
        <v/>
      </c>
      <c r="L1008" s="7" t="str">
        <f t="shared" si="81"/>
        <v/>
      </c>
      <c r="M1008" s="7" t="str">
        <f t="shared" si="78"/>
        <v/>
      </c>
      <c r="N1008" s="7" t="str">
        <f t="shared" si="82"/>
        <v/>
      </c>
      <c r="O1008" s="8"/>
      <c r="P1008" s="26"/>
      <c r="S1008" s="10" t="str">
        <f t="shared" si="79"/>
        <v/>
      </c>
    </row>
    <row r="1009" spans="5:19" x14ac:dyDescent="0.3">
      <c r="E1009" s="9" t="str">
        <f>IF(DADOS!C1009="","",DADOS!C1009)</f>
        <v/>
      </c>
      <c r="F1009" s="9" t="str">
        <f>IF(DADOS!E1009="","",DADOS!E1009)</f>
        <v/>
      </c>
      <c r="G1009" s="9" t="str">
        <f>IF(DADOS!F1009="","",DADOS!F1009)</f>
        <v/>
      </c>
      <c r="K1009" s="6" t="str">
        <f t="shared" si="80"/>
        <v/>
      </c>
      <c r="L1009" s="7" t="str">
        <f t="shared" si="81"/>
        <v/>
      </c>
      <c r="M1009" s="7" t="str">
        <f t="shared" si="78"/>
        <v/>
      </c>
      <c r="N1009" s="7" t="str">
        <f t="shared" si="82"/>
        <v/>
      </c>
      <c r="O1009" s="8"/>
      <c r="P1009" s="26"/>
      <c r="S1009" s="10" t="str">
        <f t="shared" si="79"/>
        <v/>
      </c>
    </row>
    <row r="1010" spans="5:19" x14ac:dyDescent="0.3">
      <c r="E1010" s="9" t="str">
        <f>IF(DADOS!C1010="","",DADOS!C1010)</f>
        <v/>
      </c>
      <c r="F1010" s="9" t="str">
        <f>IF(DADOS!E1010="","",DADOS!E1010)</f>
        <v/>
      </c>
      <c r="G1010" s="9" t="str">
        <f>IF(DADOS!F1010="","",DADOS!F1010)</f>
        <v/>
      </c>
      <c r="K1010" s="6" t="str">
        <f t="shared" si="80"/>
        <v/>
      </c>
      <c r="L1010" s="7" t="str">
        <f t="shared" si="81"/>
        <v/>
      </c>
      <c r="M1010" s="7" t="str">
        <f t="shared" si="78"/>
        <v/>
      </c>
      <c r="N1010" s="7" t="str">
        <f t="shared" si="82"/>
        <v/>
      </c>
      <c r="O1010" s="8"/>
      <c r="P1010" s="26"/>
      <c r="S1010" s="10" t="str">
        <f t="shared" si="79"/>
        <v/>
      </c>
    </row>
    <row r="1011" spans="5:19" x14ac:dyDescent="0.3">
      <c r="E1011" s="9" t="str">
        <f>IF(DADOS!C1011="","",DADOS!C1011)</f>
        <v/>
      </c>
      <c r="F1011" s="9" t="str">
        <f>IF(DADOS!E1011="","",DADOS!E1011)</f>
        <v/>
      </c>
      <c r="G1011" s="9" t="str">
        <f>IF(DADOS!F1011="","",DADOS!F1011)</f>
        <v/>
      </c>
      <c r="K1011" s="6" t="str">
        <f t="shared" si="80"/>
        <v/>
      </c>
      <c r="L1011" s="7" t="str">
        <f t="shared" si="81"/>
        <v/>
      </c>
      <c r="M1011" s="7" t="str">
        <f t="shared" si="78"/>
        <v/>
      </c>
      <c r="N1011" s="7" t="str">
        <f t="shared" si="82"/>
        <v/>
      </c>
      <c r="O1011" s="8"/>
      <c r="P1011" s="26"/>
      <c r="S1011" s="10" t="str">
        <f t="shared" si="79"/>
        <v/>
      </c>
    </row>
    <row r="1012" spans="5:19" x14ac:dyDescent="0.3">
      <c r="E1012" s="9" t="str">
        <f>IF(DADOS!C1012="","",DADOS!C1012)</f>
        <v/>
      </c>
      <c r="F1012" s="9" t="str">
        <f>IF(DADOS!E1012="","",DADOS!E1012)</f>
        <v/>
      </c>
      <c r="G1012" s="9" t="str">
        <f>IF(DADOS!F1012="","",DADOS!F1012)</f>
        <v/>
      </c>
      <c r="K1012" s="6" t="str">
        <f t="shared" si="80"/>
        <v/>
      </c>
      <c r="L1012" s="7" t="str">
        <f t="shared" si="81"/>
        <v/>
      </c>
      <c r="M1012" s="7" t="str">
        <f t="shared" si="78"/>
        <v/>
      </c>
      <c r="N1012" s="7" t="str">
        <f t="shared" si="82"/>
        <v/>
      </c>
      <c r="O1012" s="8"/>
      <c r="P1012" s="26"/>
      <c r="S1012" s="10" t="str">
        <f t="shared" si="79"/>
        <v/>
      </c>
    </row>
    <row r="1013" spans="5:19" x14ac:dyDescent="0.3">
      <c r="E1013" s="9" t="str">
        <f>IF(DADOS!C1013="","",DADOS!C1013)</f>
        <v/>
      </c>
      <c r="F1013" s="9" t="str">
        <f>IF(DADOS!E1013="","",DADOS!E1013)</f>
        <v/>
      </c>
      <c r="G1013" s="9" t="str">
        <f>IF(DADOS!F1013="","",DADOS!F1013)</f>
        <v/>
      </c>
      <c r="K1013" s="6" t="str">
        <f t="shared" si="80"/>
        <v/>
      </c>
      <c r="L1013" s="7" t="str">
        <f t="shared" si="81"/>
        <v/>
      </c>
      <c r="M1013" s="7" t="str">
        <f t="shared" si="78"/>
        <v/>
      </c>
      <c r="N1013" s="7" t="str">
        <f t="shared" si="82"/>
        <v/>
      </c>
      <c r="O1013" s="8"/>
      <c r="P1013" s="26"/>
      <c r="S1013" s="10" t="str">
        <f t="shared" si="79"/>
        <v/>
      </c>
    </row>
    <row r="1014" spans="5:19" x14ac:dyDescent="0.3">
      <c r="E1014" s="9" t="str">
        <f>IF(DADOS!C1014="","",DADOS!C1014)</f>
        <v/>
      </c>
      <c r="F1014" s="9" t="str">
        <f>IF(DADOS!E1014="","",DADOS!E1014)</f>
        <v/>
      </c>
      <c r="G1014" s="9" t="str">
        <f>IF(DADOS!F1014="","",DADOS!F1014)</f>
        <v/>
      </c>
      <c r="K1014" s="6" t="str">
        <f t="shared" si="80"/>
        <v/>
      </c>
      <c r="L1014" s="7" t="str">
        <f t="shared" si="81"/>
        <v/>
      </c>
      <c r="M1014" s="7" t="str">
        <f t="shared" si="78"/>
        <v/>
      </c>
      <c r="N1014" s="7" t="str">
        <f t="shared" si="82"/>
        <v/>
      </c>
      <c r="O1014" s="8"/>
      <c r="P1014" s="26"/>
      <c r="S1014" s="10" t="str">
        <f t="shared" si="79"/>
        <v/>
      </c>
    </row>
    <row r="1015" spans="5:19" x14ac:dyDescent="0.3">
      <c r="E1015" s="9" t="str">
        <f>IF(DADOS!C1015="","",DADOS!C1015)</f>
        <v/>
      </c>
      <c r="F1015" s="9" t="str">
        <f>IF(DADOS!E1015="","",DADOS!E1015)</f>
        <v/>
      </c>
      <c r="G1015" s="9" t="str">
        <f>IF(DADOS!F1015="","",DADOS!F1015)</f>
        <v/>
      </c>
      <c r="K1015" s="6" t="str">
        <f t="shared" si="80"/>
        <v/>
      </c>
      <c r="L1015" s="7" t="str">
        <f t="shared" si="81"/>
        <v/>
      </c>
      <c r="M1015" s="7" t="str">
        <f t="shared" si="78"/>
        <v/>
      </c>
      <c r="N1015" s="7" t="str">
        <f t="shared" si="82"/>
        <v/>
      </c>
      <c r="O1015" s="8"/>
      <c r="P1015" s="26"/>
      <c r="S1015" s="10" t="str">
        <f t="shared" si="79"/>
        <v/>
      </c>
    </row>
    <row r="1016" spans="5:19" x14ac:dyDescent="0.3">
      <c r="E1016" s="9" t="str">
        <f>IF(DADOS!C1016="","",DADOS!C1016)</f>
        <v/>
      </c>
      <c r="F1016" s="9" t="str">
        <f>IF(DADOS!E1016="","",DADOS!E1016)</f>
        <v/>
      </c>
      <c r="G1016" s="9" t="str">
        <f>IF(DADOS!F1016="","",DADOS!F1016)</f>
        <v/>
      </c>
      <c r="K1016" s="6" t="str">
        <f t="shared" si="80"/>
        <v/>
      </c>
      <c r="L1016" s="7" t="str">
        <f t="shared" si="81"/>
        <v/>
      </c>
      <c r="M1016" s="7" t="str">
        <f t="shared" si="78"/>
        <v/>
      </c>
      <c r="N1016" s="7" t="str">
        <f t="shared" si="82"/>
        <v/>
      </c>
      <c r="O1016" s="8"/>
      <c r="P1016" s="26"/>
      <c r="S1016" s="10" t="str">
        <f t="shared" si="79"/>
        <v/>
      </c>
    </row>
    <row r="1017" spans="5:19" x14ac:dyDescent="0.3">
      <c r="E1017" s="9" t="str">
        <f>IF(DADOS!C1017="","",DADOS!C1017)</f>
        <v/>
      </c>
      <c r="F1017" s="9" t="str">
        <f>IF(DADOS!E1017="","",DADOS!E1017)</f>
        <v/>
      </c>
      <c r="G1017" s="9" t="str">
        <f>IF(DADOS!F1017="","",DADOS!F1017)</f>
        <v/>
      </c>
      <c r="K1017" s="6" t="str">
        <f t="shared" si="80"/>
        <v/>
      </c>
      <c r="L1017" s="7" t="str">
        <f t="shared" si="81"/>
        <v/>
      </c>
      <c r="M1017" s="7" t="str">
        <f t="shared" si="78"/>
        <v/>
      </c>
      <c r="N1017" s="7" t="str">
        <f t="shared" si="82"/>
        <v/>
      </c>
      <c r="O1017" s="8"/>
      <c r="P1017" s="26"/>
      <c r="S1017" s="10" t="str">
        <f t="shared" si="79"/>
        <v/>
      </c>
    </row>
    <row r="1018" spans="5:19" x14ac:dyDescent="0.3">
      <c r="E1018" s="9" t="str">
        <f>IF(DADOS!C1018="","",DADOS!C1018)</f>
        <v/>
      </c>
      <c r="F1018" s="9" t="str">
        <f>IF(DADOS!E1018="","",DADOS!E1018)</f>
        <v/>
      </c>
      <c r="G1018" s="9" t="str">
        <f>IF(DADOS!F1018="","",DADOS!F1018)</f>
        <v/>
      </c>
      <c r="K1018" s="6" t="str">
        <f t="shared" si="80"/>
        <v/>
      </c>
      <c r="L1018" s="7" t="str">
        <f t="shared" si="81"/>
        <v/>
      </c>
      <c r="M1018" s="7" t="str">
        <f t="shared" si="78"/>
        <v/>
      </c>
      <c r="N1018" s="7" t="str">
        <f t="shared" si="82"/>
        <v/>
      </c>
      <c r="O1018" s="8"/>
      <c r="P1018" s="26"/>
      <c r="S1018" s="10" t="str">
        <f t="shared" si="79"/>
        <v/>
      </c>
    </row>
    <row r="1019" spans="5:19" x14ac:dyDescent="0.3">
      <c r="E1019" s="9" t="str">
        <f>IF(DADOS!C1019="","",DADOS!C1019)</f>
        <v/>
      </c>
      <c r="F1019" s="9" t="str">
        <f>IF(DADOS!E1019="","",DADOS!E1019)</f>
        <v/>
      </c>
      <c r="G1019" s="9" t="str">
        <f>IF(DADOS!F1019="","",DADOS!F1019)</f>
        <v/>
      </c>
      <c r="K1019" s="6" t="str">
        <f t="shared" si="80"/>
        <v/>
      </c>
      <c r="L1019" s="7" t="str">
        <f t="shared" si="81"/>
        <v/>
      </c>
      <c r="M1019" s="7" t="str">
        <f t="shared" si="78"/>
        <v/>
      </c>
      <c r="N1019" s="7" t="str">
        <f t="shared" si="82"/>
        <v/>
      </c>
      <c r="O1019" s="8"/>
      <c r="P1019" s="26"/>
      <c r="S1019" s="10" t="str">
        <f t="shared" si="79"/>
        <v/>
      </c>
    </row>
    <row r="1020" spans="5:19" x14ac:dyDescent="0.3">
      <c r="E1020" s="9" t="str">
        <f>IF(DADOS!C1020="","",DADOS!C1020)</f>
        <v/>
      </c>
      <c r="F1020" s="9" t="str">
        <f>IF(DADOS!E1020="","",DADOS!E1020)</f>
        <v/>
      </c>
      <c r="G1020" s="9" t="str">
        <f>IF(DADOS!F1020="","",DADOS!F1020)</f>
        <v/>
      </c>
      <c r="K1020" s="6" t="str">
        <f t="shared" si="80"/>
        <v/>
      </c>
      <c r="L1020" s="7" t="str">
        <f t="shared" si="81"/>
        <v/>
      </c>
      <c r="M1020" s="7" t="str">
        <f t="shared" si="78"/>
        <v/>
      </c>
      <c r="N1020" s="7" t="str">
        <f t="shared" si="82"/>
        <v/>
      </c>
      <c r="O1020" s="8"/>
      <c r="P1020" s="26"/>
      <c r="S1020" s="10" t="str">
        <f t="shared" si="79"/>
        <v/>
      </c>
    </row>
    <row r="1021" spans="5:19" x14ac:dyDescent="0.3">
      <c r="E1021" s="9" t="str">
        <f>IF(DADOS!C1021="","",DADOS!C1021)</f>
        <v/>
      </c>
      <c r="F1021" s="9" t="str">
        <f>IF(DADOS!E1021="","",DADOS!E1021)</f>
        <v/>
      </c>
      <c r="G1021" s="9" t="str">
        <f>IF(DADOS!F1021="","",DADOS!F1021)</f>
        <v/>
      </c>
      <c r="K1021" s="6" t="str">
        <f t="shared" si="80"/>
        <v/>
      </c>
      <c r="L1021" s="7" t="str">
        <f t="shared" si="81"/>
        <v/>
      </c>
      <c r="M1021" s="7" t="str">
        <f t="shared" si="78"/>
        <v/>
      </c>
      <c r="N1021" s="7" t="str">
        <f t="shared" si="82"/>
        <v/>
      </c>
      <c r="O1021" s="8"/>
      <c r="P1021" s="26"/>
      <c r="S1021" s="10" t="str">
        <f t="shared" si="79"/>
        <v/>
      </c>
    </row>
    <row r="1022" spans="5:19" x14ac:dyDescent="0.3">
      <c r="E1022" s="9" t="str">
        <f>IF(DADOS!C1022="","",DADOS!C1022)</f>
        <v/>
      </c>
      <c r="F1022" s="9" t="str">
        <f>IF(DADOS!E1022="","",DADOS!E1022)</f>
        <v/>
      </c>
      <c r="G1022" s="9" t="str">
        <f>IF(DADOS!F1022="","",DADOS!F1022)</f>
        <v/>
      </c>
      <c r="K1022" s="6" t="str">
        <f t="shared" si="80"/>
        <v/>
      </c>
      <c r="L1022" s="7" t="str">
        <f t="shared" si="81"/>
        <v/>
      </c>
      <c r="M1022" s="7" t="str">
        <f t="shared" si="78"/>
        <v/>
      </c>
      <c r="N1022" s="7" t="str">
        <f t="shared" si="82"/>
        <v/>
      </c>
      <c r="O1022" s="8"/>
      <c r="P1022" s="26"/>
      <c r="S1022" s="10" t="str">
        <f t="shared" si="79"/>
        <v/>
      </c>
    </row>
    <row r="1023" spans="5:19" x14ac:dyDescent="0.3">
      <c r="E1023" s="9" t="str">
        <f>IF(DADOS!C1023="","",DADOS!C1023)</f>
        <v/>
      </c>
      <c r="F1023" s="9" t="str">
        <f>IF(DADOS!E1023="","",DADOS!E1023)</f>
        <v/>
      </c>
      <c r="G1023" s="9" t="str">
        <f>IF(DADOS!F1023="","",DADOS!F1023)</f>
        <v/>
      </c>
      <c r="K1023" s="6" t="str">
        <f t="shared" si="80"/>
        <v/>
      </c>
      <c r="L1023" s="7" t="str">
        <f t="shared" si="81"/>
        <v/>
      </c>
      <c r="M1023" s="7" t="str">
        <f t="shared" si="78"/>
        <v/>
      </c>
      <c r="N1023" s="7" t="str">
        <f t="shared" si="82"/>
        <v/>
      </c>
      <c r="O1023" s="8"/>
      <c r="P1023" s="26"/>
      <c r="S1023" s="10" t="str">
        <f t="shared" si="79"/>
        <v/>
      </c>
    </row>
    <row r="1024" spans="5:19" x14ac:dyDescent="0.3">
      <c r="E1024" s="9" t="str">
        <f>IF(DADOS!C1024="","",DADOS!C1024)</f>
        <v/>
      </c>
      <c r="F1024" s="9" t="str">
        <f>IF(DADOS!E1024="","",DADOS!E1024)</f>
        <v/>
      </c>
      <c r="G1024" s="9" t="str">
        <f>IF(DADOS!F1024="","",DADOS!F1024)</f>
        <v/>
      </c>
      <c r="K1024" s="6" t="str">
        <f t="shared" si="80"/>
        <v/>
      </c>
      <c r="L1024" s="7" t="str">
        <f t="shared" si="81"/>
        <v/>
      </c>
      <c r="M1024" s="7" t="str">
        <f t="shared" si="78"/>
        <v/>
      </c>
      <c r="N1024" s="7" t="str">
        <f t="shared" si="82"/>
        <v/>
      </c>
      <c r="O1024" s="8"/>
      <c r="P1024" s="26"/>
      <c r="S1024" s="10" t="str">
        <f t="shared" si="79"/>
        <v/>
      </c>
    </row>
    <row r="1025" spans="5:19" x14ac:dyDescent="0.3">
      <c r="E1025" s="9" t="str">
        <f>IF(DADOS!C1025="","",DADOS!C1025)</f>
        <v/>
      </c>
      <c r="F1025" s="9" t="str">
        <f>IF(DADOS!E1025="","",DADOS!E1025)</f>
        <v/>
      </c>
      <c r="G1025" s="9" t="str">
        <f>IF(DADOS!F1025="","",DADOS!F1025)</f>
        <v/>
      </c>
      <c r="K1025" s="6" t="str">
        <f t="shared" si="80"/>
        <v/>
      </c>
      <c r="L1025" s="7" t="str">
        <f t="shared" si="81"/>
        <v/>
      </c>
      <c r="M1025" s="7" t="str">
        <f t="shared" si="78"/>
        <v/>
      </c>
      <c r="N1025" s="7" t="str">
        <f t="shared" si="82"/>
        <v/>
      </c>
      <c r="O1025" s="8"/>
      <c r="P1025" s="26"/>
      <c r="S1025" s="10" t="str">
        <f t="shared" si="79"/>
        <v/>
      </c>
    </row>
    <row r="1026" spans="5:19" x14ac:dyDescent="0.3">
      <c r="E1026" s="9" t="str">
        <f>IF(DADOS!C1026="","",DADOS!C1026)</f>
        <v/>
      </c>
      <c r="F1026" s="9" t="str">
        <f>IF(DADOS!E1026="","",DADOS!E1026)</f>
        <v/>
      </c>
      <c r="G1026" s="9" t="str">
        <f>IF(DADOS!F1026="","",DADOS!F1026)</f>
        <v/>
      </c>
      <c r="K1026" s="6" t="str">
        <f t="shared" si="80"/>
        <v/>
      </c>
      <c r="L1026" s="7" t="str">
        <f t="shared" si="81"/>
        <v/>
      </c>
      <c r="M1026" s="7" t="str">
        <f t="shared" si="78"/>
        <v/>
      </c>
      <c r="N1026" s="7" t="str">
        <f t="shared" si="82"/>
        <v/>
      </c>
      <c r="O1026" s="8"/>
      <c r="P1026" s="26"/>
      <c r="S1026" s="10" t="str">
        <f t="shared" si="79"/>
        <v/>
      </c>
    </row>
    <row r="1027" spans="5:19" x14ac:dyDescent="0.3">
      <c r="E1027" s="9" t="str">
        <f>IF(DADOS!C1027="","",DADOS!C1027)</f>
        <v/>
      </c>
      <c r="F1027" s="9" t="str">
        <f>IF(DADOS!E1027="","",DADOS!E1027)</f>
        <v/>
      </c>
      <c r="G1027" s="9" t="str">
        <f>IF(DADOS!F1027="","",DADOS!F1027)</f>
        <v/>
      </c>
      <c r="K1027" s="6" t="str">
        <f t="shared" si="80"/>
        <v/>
      </c>
      <c r="L1027" s="7" t="str">
        <f t="shared" si="81"/>
        <v/>
      </c>
      <c r="M1027" s="7" t="str">
        <f t="shared" ref="M1027:M1090" si="83">IF(L1027="","",L1027*G1027)</f>
        <v/>
      </c>
      <c r="N1027" s="7" t="str">
        <f t="shared" si="82"/>
        <v/>
      </c>
      <c r="O1027" s="8"/>
      <c r="P1027" s="26"/>
      <c r="S1027" s="10" t="str">
        <f t="shared" ref="S1027:S1090" si="84">IF(R1027="","",SUMIFS($N$3:$N$10000,$E$3:$E$10000,R1027))</f>
        <v/>
      </c>
    </row>
    <row r="1028" spans="5:19" x14ac:dyDescent="0.3">
      <c r="E1028" s="9" t="str">
        <f>IF(DADOS!C1028="","",DADOS!C1028)</f>
        <v/>
      </c>
      <c r="F1028" s="9" t="str">
        <f>IF(DADOS!E1028="","",DADOS!E1028)</f>
        <v/>
      </c>
      <c r="G1028" s="9" t="str">
        <f>IF(DADOS!F1028="","",DADOS!F1028)</f>
        <v/>
      </c>
      <c r="K1028" s="6" t="str">
        <f t="shared" ref="K1028:K1091" si="85">IF(F1028="","",F1028/PI())</f>
        <v/>
      </c>
      <c r="L1028" s="7" t="str">
        <f t="shared" ref="L1028:L1091" si="86">IF(K1028="","",(PI()*K1028^2)/40000)</f>
        <v/>
      </c>
      <c r="M1028" s="7" t="str">
        <f t="shared" si="83"/>
        <v/>
      </c>
      <c r="N1028" s="7" t="str">
        <f t="shared" ref="N1028:N1091" si="87">IF(M1028="","",M1028*N$1)</f>
        <v/>
      </c>
      <c r="O1028" s="8"/>
      <c r="P1028" s="26"/>
      <c r="S1028" s="10" t="str">
        <f t="shared" si="84"/>
        <v/>
      </c>
    </row>
    <row r="1029" spans="5:19" x14ac:dyDescent="0.3">
      <c r="E1029" s="9" t="str">
        <f>IF(DADOS!C1029="","",DADOS!C1029)</f>
        <v/>
      </c>
      <c r="F1029" s="9" t="str">
        <f>IF(DADOS!E1029="","",DADOS!E1029)</f>
        <v/>
      </c>
      <c r="G1029" s="9" t="str">
        <f>IF(DADOS!F1029="","",DADOS!F1029)</f>
        <v/>
      </c>
      <c r="K1029" s="6" t="str">
        <f t="shared" si="85"/>
        <v/>
      </c>
      <c r="L1029" s="7" t="str">
        <f t="shared" si="86"/>
        <v/>
      </c>
      <c r="M1029" s="7" t="str">
        <f t="shared" si="83"/>
        <v/>
      </c>
      <c r="N1029" s="7" t="str">
        <f t="shared" si="87"/>
        <v/>
      </c>
      <c r="O1029" s="8"/>
      <c r="P1029" s="26"/>
      <c r="S1029" s="10" t="str">
        <f t="shared" si="84"/>
        <v/>
      </c>
    </row>
    <row r="1030" spans="5:19" x14ac:dyDescent="0.3">
      <c r="E1030" s="9" t="str">
        <f>IF(DADOS!C1030="","",DADOS!C1030)</f>
        <v/>
      </c>
      <c r="F1030" s="9" t="str">
        <f>IF(DADOS!E1030="","",DADOS!E1030)</f>
        <v/>
      </c>
      <c r="G1030" s="9" t="str">
        <f>IF(DADOS!F1030="","",DADOS!F1030)</f>
        <v/>
      </c>
      <c r="K1030" s="6" t="str">
        <f t="shared" si="85"/>
        <v/>
      </c>
      <c r="L1030" s="7" t="str">
        <f t="shared" si="86"/>
        <v/>
      </c>
      <c r="M1030" s="7" t="str">
        <f t="shared" si="83"/>
        <v/>
      </c>
      <c r="N1030" s="7" t="str">
        <f t="shared" si="87"/>
        <v/>
      </c>
      <c r="O1030" s="8"/>
      <c r="P1030" s="26"/>
      <c r="S1030" s="10" t="str">
        <f t="shared" si="84"/>
        <v/>
      </c>
    </row>
    <row r="1031" spans="5:19" x14ac:dyDescent="0.3">
      <c r="E1031" s="9" t="str">
        <f>IF(DADOS!C1031="","",DADOS!C1031)</f>
        <v/>
      </c>
      <c r="F1031" s="9" t="str">
        <f>IF(DADOS!E1031="","",DADOS!E1031)</f>
        <v/>
      </c>
      <c r="G1031" s="9" t="str">
        <f>IF(DADOS!F1031="","",DADOS!F1031)</f>
        <v/>
      </c>
      <c r="K1031" s="6" t="str">
        <f t="shared" si="85"/>
        <v/>
      </c>
      <c r="L1031" s="7" t="str">
        <f t="shared" si="86"/>
        <v/>
      </c>
      <c r="M1031" s="7" t="str">
        <f t="shared" si="83"/>
        <v/>
      </c>
      <c r="N1031" s="7" t="str">
        <f t="shared" si="87"/>
        <v/>
      </c>
      <c r="O1031" s="8"/>
      <c r="P1031" s="26"/>
      <c r="S1031" s="10" t="str">
        <f t="shared" si="84"/>
        <v/>
      </c>
    </row>
    <row r="1032" spans="5:19" x14ac:dyDescent="0.3">
      <c r="E1032" s="9" t="str">
        <f>IF(DADOS!C1032="","",DADOS!C1032)</f>
        <v/>
      </c>
      <c r="F1032" s="9" t="str">
        <f>IF(DADOS!E1032="","",DADOS!E1032)</f>
        <v/>
      </c>
      <c r="G1032" s="9" t="str">
        <f>IF(DADOS!F1032="","",DADOS!F1032)</f>
        <v/>
      </c>
      <c r="K1032" s="6" t="str">
        <f t="shared" si="85"/>
        <v/>
      </c>
      <c r="L1032" s="7" t="str">
        <f t="shared" si="86"/>
        <v/>
      </c>
      <c r="M1032" s="7" t="str">
        <f t="shared" si="83"/>
        <v/>
      </c>
      <c r="N1032" s="7" t="str">
        <f t="shared" si="87"/>
        <v/>
      </c>
      <c r="O1032" s="8"/>
      <c r="P1032" s="26"/>
      <c r="S1032" s="10" t="str">
        <f t="shared" si="84"/>
        <v/>
      </c>
    </row>
    <row r="1033" spans="5:19" x14ac:dyDescent="0.3">
      <c r="E1033" s="9" t="str">
        <f>IF(DADOS!C1033="","",DADOS!C1033)</f>
        <v/>
      </c>
      <c r="F1033" s="9" t="str">
        <f>IF(DADOS!E1033="","",DADOS!E1033)</f>
        <v/>
      </c>
      <c r="G1033" s="9" t="str">
        <f>IF(DADOS!F1033="","",DADOS!F1033)</f>
        <v/>
      </c>
      <c r="K1033" s="6" t="str">
        <f t="shared" si="85"/>
        <v/>
      </c>
      <c r="L1033" s="7" t="str">
        <f t="shared" si="86"/>
        <v/>
      </c>
      <c r="M1033" s="7" t="str">
        <f t="shared" si="83"/>
        <v/>
      </c>
      <c r="N1033" s="7" t="str">
        <f t="shared" si="87"/>
        <v/>
      </c>
      <c r="O1033" s="8"/>
      <c r="P1033" s="26"/>
      <c r="S1033" s="10" t="str">
        <f t="shared" si="84"/>
        <v/>
      </c>
    </row>
    <row r="1034" spans="5:19" x14ac:dyDescent="0.3">
      <c r="E1034" s="9" t="str">
        <f>IF(DADOS!C1034="","",DADOS!C1034)</f>
        <v/>
      </c>
      <c r="F1034" s="9" t="str">
        <f>IF(DADOS!E1034="","",DADOS!E1034)</f>
        <v/>
      </c>
      <c r="G1034" s="9" t="str">
        <f>IF(DADOS!F1034="","",DADOS!F1034)</f>
        <v/>
      </c>
      <c r="K1034" s="6" t="str">
        <f t="shared" si="85"/>
        <v/>
      </c>
      <c r="L1034" s="7" t="str">
        <f t="shared" si="86"/>
        <v/>
      </c>
      <c r="M1034" s="7" t="str">
        <f t="shared" si="83"/>
        <v/>
      </c>
      <c r="N1034" s="7" t="str">
        <f t="shared" si="87"/>
        <v/>
      </c>
      <c r="O1034" s="8"/>
      <c r="P1034" s="26"/>
      <c r="S1034" s="10" t="str">
        <f t="shared" si="84"/>
        <v/>
      </c>
    </row>
    <row r="1035" spans="5:19" x14ac:dyDescent="0.3">
      <c r="E1035" s="9" t="str">
        <f>IF(DADOS!C1035="","",DADOS!C1035)</f>
        <v/>
      </c>
      <c r="F1035" s="9" t="str">
        <f>IF(DADOS!E1035="","",DADOS!E1035)</f>
        <v/>
      </c>
      <c r="G1035" s="9" t="str">
        <f>IF(DADOS!F1035="","",DADOS!F1035)</f>
        <v/>
      </c>
      <c r="K1035" s="6" t="str">
        <f t="shared" si="85"/>
        <v/>
      </c>
      <c r="L1035" s="7" t="str">
        <f t="shared" si="86"/>
        <v/>
      </c>
      <c r="M1035" s="7" t="str">
        <f t="shared" si="83"/>
        <v/>
      </c>
      <c r="N1035" s="7" t="str">
        <f t="shared" si="87"/>
        <v/>
      </c>
      <c r="O1035" s="8"/>
      <c r="P1035" s="26"/>
      <c r="S1035" s="10" t="str">
        <f t="shared" si="84"/>
        <v/>
      </c>
    </row>
    <row r="1036" spans="5:19" x14ac:dyDescent="0.3">
      <c r="E1036" s="9" t="str">
        <f>IF(DADOS!C1036="","",DADOS!C1036)</f>
        <v/>
      </c>
      <c r="F1036" s="9" t="str">
        <f>IF(DADOS!E1036="","",DADOS!E1036)</f>
        <v/>
      </c>
      <c r="G1036" s="9" t="str">
        <f>IF(DADOS!F1036="","",DADOS!F1036)</f>
        <v/>
      </c>
      <c r="K1036" s="6" t="str">
        <f t="shared" si="85"/>
        <v/>
      </c>
      <c r="L1036" s="7" t="str">
        <f t="shared" si="86"/>
        <v/>
      </c>
      <c r="M1036" s="7" t="str">
        <f t="shared" si="83"/>
        <v/>
      </c>
      <c r="N1036" s="7" t="str">
        <f t="shared" si="87"/>
        <v/>
      </c>
      <c r="O1036" s="8"/>
      <c r="P1036" s="26"/>
      <c r="S1036" s="10" t="str">
        <f t="shared" si="84"/>
        <v/>
      </c>
    </row>
    <row r="1037" spans="5:19" x14ac:dyDescent="0.3">
      <c r="E1037" s="9" t="str">
        <f>IF(DADOS!C1037="","",DADOS!C1037)</f>
        <v/>
      </c>
      <c r="F1037" s="9" t="str">
        <f>IF(DADOS!E1037="","",DADOS!E1037)</f>
        <v/>
      </c>
      <c r="G1037" s="9" t="str">
        <f>IF(DADOS!F1037="","",DADOS!F1037)</f>
        <v/>
      </c>
      <c r="K1037" s="6" t="str">
        <f t="shared" si="85"/>
        <v/>
      </c>
      <c r="L1037" s="7" t="str">
        <f t="shared" si="86"/>
        <v/>
      </c>
      <c r="M1037" s="7" t="str">
        <f t="shared" si="83"/>
        <v/>
      </c>
      <c r="N1037" s="7" t="str">
        <f t="shared" si="87"/>
        <v/>
      </c>
      <c r="O1037" s="8"/>
      <c r="P1037" s="26"/>
      <c r="S1037" s="10" t="str">
        <f t="shared" si="84"/>
        <v/>
      </c>
    </row>
    <row r="1038" spans="5:19" x14ac:dyDescent="0.3">
      <c r="E1038" s="9" t="str">
        <f>IF(DADOS!C1038="","",DADOS!C1038)</f>
        <v/>
      </c>
      <c r="F1038" s="9" t="str">
        <f>IF(DADOS!E1038="","",DADOS!E1038)</f>
        <v/>
      </c>
      <c r="G1038" s="9" t="str">
        <f>IF(DADOS!F1038="","",DADOS!F1038)</f>
        <v/>
      </c>
      <c r="K1038" s="6" t="str">
        <f t="shared" si="85"/>
        <v/>
      </c>
      <c r="L1038" s="7" t="str">
        <f t="shared" si="86"/>
        <v/>
      </c>
      <c r="M1038" s="7" t="str">
        <f t="shared" si="83"/>
        <v/>
      </c>
      <c r="N1038" s="7" t="str">
        <f t="shared" si="87"/>
        <v/>
      </c>
      <c r="O1038" s="8"/>
      <c r="P1038" s="26"/>
      <c r="S1038" s="10" t="str">
        <f t="shared" si="84"/>
        <v/>
      </c>
    </row>
    <row r="1039" spans="5:19" x14ac:dyDescent="0.3">
      <c r="E1039" s="9" t="str">
        <f>IF(DADOS!C1039="","",DADOS!C1039)</f>
        <v/>
      </c>
      <c r="F1039" s="9" t="str">
        <f>IF(DADOS!E1039="","",DADOS!E1039)</f>
        <v/>
      </c>
      <c r="G1039" s="9" t="str">
        <f>IF(DADOS!F1039="","",DADOS!F1039)</f>
        <v/>
      </c>
      <c r="K1039" s="6" t="str">
        <f t="shared" si="85"/>
        <v/>
      </c>
      <c r="L1039" s="7" t="str">
        <f t="shared" si="86"/>
        <v/>
      </c>
      <c r="M1039" s="7" t="str">
        <f t="shared" si="83"/>
        <v/>
      </c>
      <c r="N1039" s="7" t="str">
        <f t="shared" si="87"/>
        <v/>
      </c>
      <c r="O1039" s="8"/>
      <c r="P1039" s="26"/>
      <c r="S1039" s="10" t="str">
        <f t="shared" si="84"/>
        <v/>
      </c>
    </row>
    <row r="1040" spans="5:19" x14ac:dyDescent="0.3">
      <c r="E1040" s="9" t="str">
        <f>IF(DADOS!C1040="","",DADOS!C1040)</f>
        <v/>
      </c>
      <c r="F1040" s="9" t="str">
        <f>IF(DADOS!E1040="","",DADOS!E1040)</f>
        <v/>
      </c>
      <c r="G1040" s="9" t="str">
        <f>IF(DADOS!F1040="","",DADOS!F1040)</f>
        <v/>
      </c>
      <c r="K1040" s="6" t="str">
        <f t="shared" si="85"/>
        <v/>
      </c>
      <c r="L1040" s="7" t="str">
        <f t="shared" si="86"/>
        <v/>
      </c>
      <c r="M1040" s="7" t="str">
        <f t="shared" si="83"/>
        <v/>
      </c>
      <c r="N1040" s="7" t="str">
        <f t="shared" si="87"/>
        <v/>
      </c>
      <c r="O1040" s="8"/>
      <c r="P1040" s="26"/>
      <c r="S1040" s="10" t="str">
        <f t="shared" si="84"/>
        <v/>
      </c>
    </row>
    <row r="1041" spans="5:19" x14ac:dyDescent="0.3">
      <c r="E1041" s="9" t="str">
        <f>IF(DADOS!C1041="","",DADOS!C1041)</f>
        <v/>
      </c>
      <c r="F1041" s="9" t="str">
        <f>IF(DADOS!E1041="","",DADOS!E1041)</f>
        <v/>
      </c>
      <c r="G1041" s="9" t="str">
        <f>IF(DADOS!F1041="","",DADOS!F1041)</f>
        <v/>
      </c>
      <c r="K1041" s="6" t="str">
        <f t="shared" si="85"/>
        <v/>
      </c>
      <c r="L1041" s="7" t="str">
        <f t="shared" si="86"/>
        <v/>
      </c>
      <c r="M1041" s="7" t="str">
        <f t="shared" si="83"/>
        <v/>
      </c>
      <c r="N1041" s="7" t="str">
        <f t="shared" si="87"/>
        <v/>
      </c>
      <c r="O1041" s="8"/>
      <c r="P1041" s="26"/>
      <c r="S1041" s="10" t="str">
        <f t="shared" si="84"/>
        <v/>
      </c>
    </row>
    <row r="1042" spans="5:19" x14ac:dyDescent="0.3">
      <c r="E1042" s="9" t="str">
        <f>IF(DADOS!C1042="","",DADOS!C1042)</f>
        <v/>
      </c>
      <c r="F1042" s="9" t="str">
        <f>IF(DADOS!E1042="","",DADOS!E1042)</f>
        <v/>
      </c>
      <c r="G1042" s="9" t="str">
        <f>IF(DADOS!F1042="","",DADOS!F1042)</f>
        <v/>
      </c>
      <c r="K1042" s="6" t="str">
        <f t="shared" si="85"/>
        <v/>
      </c>
      <c r="L1042" s="7" t="str">
        <f t="shared" si="86"/>
        <v/>
      </c>
      <c r="M1042" s="7" t="str">
        <f t="shared" si="83"/>
        <v/>
      </c>
      <c r="N1042" s="7" t="str">
        <f t="shared" si="87"/>
        <v/>
      </c>
      <c r="O1042" s="8"/>
      <c r="P1042" s="26"/>
      <c r="S1042" s="10" t="str">
        <f t="shared" si="84"/>
        <v/>
      </c>
    </row>
    <row r="1043" spans="5:19" x14ac:dyDescent="0.3">
      <c r="E1043" s="9" t="str">
        <f>IF(DADOS!C1043="","",DADOS!C1043)</f>
        <v/>
      </c>
      <c r="F1043" s="9" t="str">
        <f>IF(DADOS!E1043="","",DADOS!E1043)</f>
        <v/>
      </c>
      <c r="G1043" s="9" t="str">
        <f>IF(DADOS!F1043="","",DADOS!F1043)</f>
        <v/>
      </c>
      <c r="K1043" s="6" t="str">
        <f t="shared" si="85"/>
        <v/>
      </c>
      <c r="L1043" s="7" t="str">
        <f t="shared" si="86"/>
        <v/>
      </c>
      <c r="M1043" s="7" t="str">
        <f t="shared" si="83"/>
        <v/>
      </c>
      <c r="N1043" s="7" t="str">
        <f t="shared" si="87"/>
        <v/>
      </c>
      <c r="O1043" s="8"/>
      <c r="P1043" s="26"/>
      <c r="S1043" s="10" t="str">
        <f t="shared" si="84"/>
        <v/>
      </c>
    </row>
    <row r="1044" spans="5:19" x14ac:dyDescent="0.3">
      <c r="E1044" s="9" t="str">
        <f>IF(DADOS!C1044="","",DADOS!C1044)</f>
        <v/>
      </c>
      <c r="F1044" s="9" t="str">
        <f>IF(DADOS!E1044="","",DADOS!E1044)</f>
        <v/>
      </c>
      <c r="G1044" s="9" t="str">
        <f>IF(DADOS!F1044="","",DADOS!F1044)</f>
        <v/>
      </c>
      <c r="K1044" s="6" t="str">
        <f t="shared" si="85"/>
        <v/>
      </c>
      <c r="L1044" s="7" t="str">
        <f t="shared" si="86"/>
        <v/>
      </c>
      <c r="M1044" s="7" t="str">
        <f t="shared" si="83"/>
        <v/>
      </c>
      <c r="N1044" s="7" t="str">
        <f t="shared" si="87"/>
        <v/>
      </c>
      <c r="O1044" s="8"/>
      <c r="P1044" s="26"/>
      <c r="S1044" s="10" t="str">
        <f t="shared" si="84"/>
        <v/>
      </c>
    </row>
    <row r="1045" spans="5:19" x14ac:dyDescent="0.3">
      <c r="E1045" s="9" t="str">
        <f>IF(DADOS!C1045="","",DADOS!C1045)</f>
        <v/>
      </c>
      <c r="F1045" s="9" t="str">
        <f>IF(DADOS!E1045="","",DADOS!E1045)</f>
        <v/>
      </c>
      <c r="G1045" s="9" t="str">
        <f>IF(DADOS!F1045="","",DADOS!F1045)</f>
        <v/>
      </c>
      <c r="K1045" s="6" t="str">
        <f t="shared" si="85"/>
        <v/>
      </c>
      <c r="L1045" s="7" t="str">
        <f t="shared" si="86"/>
        <v/>
      </c>
      <c r="M1045" s="7" t="str">
        <f t="shared" si="83"/>
        <v/>
      </c>
      <c r="N1045" s="7" t="str">
        <f t="shared" si="87"/>
        <v/>
      </c>
      <c r="O1045" s="8"/>
      <c r="P1045" s="26"/>
      <c r="S1045" s="10" t="str">
        <f t="shared" si="84"/>
        <v/>
      </c>
    </row>
    <row r="1046" spans="5:19" x14ac:dyDescent="0.3">
      <c r="E1046" s="9" t="str">
        <f>IF(DADOS!C1046="","",DADOS!C1046)</f>
        <v/>
      </c>
      <c r="F1046" s="9" t="str">
        <f>IF(DADOS!E1046="","",DADOS!E1046)</f>
        <v/>
      </c>
      <c r="G1046" s="9" t="str">
        <f>IF(DADOS!F1046="","",DADOS!F1046)</f>
        <v/>
      </c>
      <c r="K1046" s="6" t="str">
        <f t="shared" si="85"/>
        <v/>
      </c>
      <c r="L1046" s="7" t="str">
        <f t="shared" si="86"/>
        <v/>
      </c>
      <c r="M1046" s="7" t="str">
        <f t="shared" si="83"/>
        <v/>
      </c>
      <c r="N1046" s="7" t="str">
        <f t="shared" si="87"/>
        <v/>
      </c>
      <c r="O1046" s="8"/>
      <c r="P1046" s="26"/>
      <c r="S1046" s="10" t="str">
        <f t="shared" si="84"/>
        <v/>
      </c>
    </row>
    <row r="1047" spans="5:19" x14ac:dyDescent="0.3">
      <c r="E1047" s="9" t="str">
        <f>IF(DADOS!C1047="","",DADOS!C1047)</f>
        <v/>
      </c>
      <c r="F1047" s="9" t="str">
        <f>IF(DADOS!E1047="","",DADOS!E1047)</f>
        <v/>
      </c>
      <c r="G1047" s="9" t="str">
        <f>IF(DADOS!F1047="","",DADOS!F1047)</f>
        <v/>
      </c>
      <c r="K1047" s="6" t="str">
        <f t="shared" si="85"/>
        <v/>
      </c>
      <c r="L1047" s="7" t="str">
        <f t="shared" si="86"/>
        <v/>
      </c>
      <c r="M1047" s="7" t="str">
        <f t="shared" si="83"/>
        <v/>
      </c>
      <c r="N1047" s="7" t="str">
        <f t="shared" si="87"/>
        <v/>
      </c>
      <c r="O1047" s="8"/>
      <c r="P1047" s="26"/>
      <c r="S1047" s="10" t="str">
        <f t="shared" si="84"/>
        <v/>
      </c>
    </row>
    <row r="1048" spans="5:19" x14ac:dyDescent="0.3">
      <c r="E1048" s="9" t="str">
        <f>IF(DADOS!C1048="","",DADOS!C1048)</f>
        <v/>
      </c>
      <c r="F1048" s="9" t="str">
        <f>IF(DADOS!E1048="","",DADOS!E1048)</f>
        <v/>
      </c>
      <c r="G1048" s="9" t="str">
        <f>IF(DADOS!F1048="","",DADOS!F1048)</f>
        <v/>
      </c>
      <c r="K1048" s="6" t="str">
        <f t="shared" si="85"/>
        <v/>
      </c>
      <c r="L1048" s="7" t="str">
        <f t="shared" si="86"/>
        <v/>
      </c>
      <c r="M1048" s="7" t="str">
        <f t="shared" si="83"/>
        <v/>
      </c>
      <c r="N1048" s="7" t="str">
        <f t="shared" si="87"/>
        <v/>
      </c>
      <c r="O1048" s="8"/>
      <c r="P1048" s="26"/>
      <c r="S1048" s="10" t="str">
        <f t="shared" si="84"/>
        <v/>
      </c>
    </row>
    <row r="1049" spans="5:19" x14ac:dyDescent="0.3">
      <c r="E1049" s="9" t="str">
        <f>IF(DADOS!C1049="","",DADOS!C1049)</f>
        <v/>
      </c>
      <c r="F1049" s="9" t="str">
        <f>IF(DADOS!E1049="","",DADOS!E1049)</f>
        <v/>
      </c>
      <c r="G1049" s="9" t="str">
        <f>IF(DADOS!F1049="","",DADOS!F1049)</f>
        <v/>
      </c>
      <c r="K1049" s="6" t="str">
        <f t="shared" si="85"/>
        <v/>
      </c>
      <c r="L1049" s="7" t="str">
        <f t="shared" si="86"/>
        <v/>
      </c>
      <c r="M1049" s="7" t="str">
        <f t="shared" si="83"/>
        <v/>
      </c>
      <c r="N1049" s="7" t="str">
        <f t="shared" si="87"/>
        <v/>
      </c>
      <c r="O1049" s="8"/>
      <c r="P1049" s="26"/>
      <c r="S1049" s="10" t="str">
        <f t="shared" si="84"/>
        <v/>
      </c>
    </row>
    <row r="1050" spans="5:19" x14ac:dyDescent="0.3">
      <c r="E1050" s="9" t="str">
        <f>IF(DADOS!C1050="","",DADOS!C1050)</f>
        <v/>
      </c>
      <c r="F1050" s="9" t="str">
        <f>IF(DADOS!E1050="","",DADOS!E1050)</f>
        <v/>
      </c>
      <c r="G1050" s="9" t="str">
        <f>IF(DADOS!F1050="","",DADOS!F1050)</f>
        <v/>
      </c>
      <c r="K1050" s="6" t="str">
        <f t="shared" si="85"/>
        <v/>
      </c>
      <c r="L1050" s="7" t="str">
        <f t="shared" si="86"/>
        <v/>
      </c>
      <c r="M1050" s="7" t="str">
        <f t="shared" si="83"/>
        <v/>
      </c>
      <c r="N1050" s="7" t="str">
        <f t="shared" si="87"/>
        <v/>
      </c>
      <c r="O1050" s="8"/>
      <c r="P1050" s="26"/>
      <c r="S1050" s="10" t="str">
        <f t="shared" si="84"/>
        <v/>
      </c>
    </row>
    <row r="1051" spans="5:19" x14ac:dyDescent="0.3">
      <c r="E1051" s="9" t="str">
        <f>IF(DADOS!C1051="","",DADOS!C1051)</f>
        <v/>
      </c>
      <c r="F1051" s="9" t="str">
        <f>IF(DADOS!E1051="","",DADOS!E1051)</f>
        <v/>
      </c>
      <c r="G1051" s="9" t="str">
        <f>IF(DADOS!F1051="","",DADOS!F1051)</f>
        <v/>
      </c>
      <c r="K1051" s="6" t="str">
        <f t="shared" si="85"/>
        <v/>
      </c>
      <c r="L1051" s="7" t="str">
        <f t="shared" si="86"/>
        <v/>
      </c>
      <c r="M1051" s="7" t="str">
        <f t="shared" si="83"/>
        <v/>
      </c>
      <c r="N1051" s="7" t="str">
        <f t="shared" si="87"/>
        <v/>
      </c>
      <c r="O1051" s="8"/>
      <c r="P1051" s="26"/>
      <c r="S1051" s="10" t="str">
        <f t="shared" si="84"/>
        <v/>
      </c>
    </row>
    <row r="1052" spans="5:19" x14ac:dyDescent="0.3">
      <c r="E1052" s="9" t="str">
        <f>IF(DADOS!C1052="","",DADOS!C1052)</f>
        <v/>
      </c>
      <c r="F1052" s="9" t="str">
        <f>IF(DADOS!E1052="","",DADOS!E1052)</f>
        <v/>
      </c>
      <c r="G1052" s="9" t="str">
        <f>IF(DADOS!F1052="","",DADOS!F1052)</f>
        <v/>
      </c>
      <c r="K1052" s="6" t="str">
        <f t="shared" si="85"/>
        <v/>
      </c>
      <c r="L1052" s="7" t="str">
        <f t="shared" si="86"/>
        <v/>
      </c>
      <c r="M1052" s="7" t="str">
        <f t="shared" si="83"/>
        <v/>
      </c>
      <c r="N1052" s="7" t="str">
        <f t="shared" si="87"/>
        <v/>
      </c>
      <c r="O1052" s="8"/>
      <c r="P1052" s="26"/>
      <c r="S1052" s="10" t="str">
        <f t="shared" si="84"/>
        <v/>
      </c>
    </row>
    <row r="1053" spans="5:19" x14ac:dyDescent="0.3">
      <c r="E1053" s="9" t="str">
        <f>IF(DADOS!C1053="","",DADOS!C1053)</f>
        <v/>
      </c>
      <c r="F1053" s="9" t="str">
        <f>IF(DADOS!E1053="","",DADOS!E1053)</f>
        <v/>
      </c>
      <c r="G1053" s="9" t="str">
        <f>IF(DADOS!F1053="","",DADOS!F1053)</f>
        <v/>
      </c>
      <c r="K1053" s="6" t="str">
        <f t="shared" si="85"/>
        <v/>
      </c>
      <c r="L1053" s="7" t="str">
        <f t="shared" si="86"/>
        <v/>
      </c>
      <c r="M1053" s="7" t="str">
        <f t="shared" si="83"/>
        <v/>
      </c>
      <c r="N1053" s="7" t="str">
        <f t="shared" si="87"/>
        <v/>
      </c>
      <c r="O1053" s="8"/>
      <c r="P1053" s="26"/>
      <c r="S1053" s="10" t="str">
        <f t="shared" si="84"/>
        <v/>
      </c>
    </row>
    <row r="1054" spans="5:19" x14ac:dyDescent="0.3">
      <c r="E1054" s="9" t="str">
        <f>IF(DADOS!C1054="","",DADOS!C1054)</f>
        <v/>
      </c>
      <c r="F1054" s="9" t="str">
        <f>IF(DADOS!E1054="","",DADOS!E1054)</f>
        <v/>
      </c>
      <c r="G1054" s="9" t="str">
        <f>IF(DADOS!F1054="","",DADOS!F1054)</f>
        <v/>
      </c>
      <c r="K1054" s="6" t="str">
        <f t="shared" si="85"/>
        <v/>
      </c>
      <c r="L1054" s="7" t="str">
        <f t="shared" si="86"/>
        <v/>
      </c>
      <c r="M1054" s="7" t="str">
        <f t="shared" si="83"/>
        <v/>
      </c>
      <c r="N1054" s="7" t="str">
        <f t="shared" si="87"/>
        <v/>
      </c>
      <c r="O1054" s="8"/>
      <c r="P1054" s="26"/>
      <c r="S1054" s="10" t="str">
        <f t="shared" si="84"/>
        <v/>
      </c>
    </row>
    <row r="1055" spans="5:19" x14ac:dyDescent="0.3">
      <c r="E1055" s="9" t="str">
        <f>IF(DADOS!C1055="","",DADOS!C1055)</f>
        <v/>
      </c>
      <c r="F1055" s="9" t="str">
        <f>IF(DADOS!E1055="","",DADOS!E1055)</f>
        <v/>
      </c>
      <c r="G1055" s="9" t="str">
        <f>IF(DADOS!F1055="","",DADOS!F1055)</f>
        <v/>
      </c>
      <c r="K1055" s="6" t="str">
        <f t="shared" si="85"/>
        <v/>
      </c>
      <c r="L1055" s="7" t="str">
        <f t="shared" si="86"/>
        <v/>
      </c>
      <c r="M1055" s="7" t="str">
        <f t="shared" si="83"/>
        <v/>
      </c>
      <c r="N1055" s="7" t="str">
        <f t="shared" si="87"/>
        <v/>
      </c>
      <c r="O1055" s="8"/>
      <c r="P1055" s="26"/>
      <c r="S1055" s="10" t="str">
        <f t="shared" si="84"/>
        <v/>
      </c>
    </row>
    <row r="1056" spans="5:19" x14ac:dyDescent="0.3">
      <c r="E1056" s="9" t="str">
        <f>IF(DADOS!C1056="","",DADOS!C1056)</f>
        <v/>
      </c>
      <c r="F1056" s="9" t="str">
        <f>IF(DADOS!E1056="","",DADOS!E1056)</f>
        <v/>
      </c>
      <c r="G1056" s="9" t="str">
        <f>IF(DADOS!F1056="","",DADOS!F1056)</f>
        <v/>
      </c>
      <c r="K1056" s="6" t="str">
        <f t="shared" si="85"/>
        <v/>
      </c>
      <c r="L1056" s="7" t="str">
        <f t="shared" si="86"/>
        <v/>
      </c>
      <c r="M1056" s="7" t="str">
        <f t="shared" si="83"/>
        <v/>
      </c>
      <c r="N1056" s="7" t="str">
        <f t="shared" si="87"/>
        <v/>
      </c>
      <c r="O1056" s="8"/>
      <c r="P1056" s="26"/>
      <c r="S1056" s="10" t="str">
        <f t="shared" si="84"/>
        <v/>
      </c>
    </row>
    <row r="1057" spans="5:19" x14ac:dyDescent="0.3">
      <c r="E1057" s="9" t="str">
        <f>IF(DADOS!C1057="","",DADOS!C1057)</f>
        <v/>
      </c>
      <c r="F1057" s="9" t="str">
        <f>IF(DADOS!E1057="","",DADOS!E1057)</f>
        <v/>
      </c>
      <c r="G1057" s="9" t="str">
        <f>IF(DADOS!F1057="","",DADOS!F1057)</f>
        <v/>
      </c>
      <c r="K1057" s="6" t="str">
        <f t="shared" si="85"/>
        <v/>
      </c>
      <c r="L1057" s="7" t="str">
        <f t="shared" si="86"/>
        <v/>
      </c>
      <c r="M1057" s="7" t="str">
        <f t="shared" si="83"/>
        <v/>
      </c>
      <c r="N1057" s="7" t="str">
        <f t="shared" si="87"/>
        <v/>
      </c>
      <c r="O1057" s="8"/>
      <c r="P1057" s="26"/>
      <c r="S1057" s="10" t="str">
        <f t="shared" si="84"/>
        <v/>
      </c>
    </row>
    <row r="1058" spans="5:19" x14ac:dyDescent="0.3">
      <c r="E1058" s="9" t="str">
        <f>IF(DADOS!C1058="","",DADOS!C1058)</f>
        <v/>
      </c>
      <c r="F1058" s="9" t="str">
        <f>IF(DADOS!E1058="","",DADOS!E1058)</f>
        <v/>
      </c>
      <c r="G1058" s="9" t="str">
        <f>IF(DADOS!F1058="","",DADOS!F1058)</f>
        <v/>
      </c>
      <c r="K1058" s="6" t="str">
        <f t="shared" si="85"/>
        <v/>
      </c>
      <c r="L1058" s="7" t="str">
        <f t="shared" si="86"/>
        <v/>
      </c>
      <c r="M1058" s="7" t="str">
        <f t="shared" si="83"/>
        <v/>
      </c>
      <c r="N1058" s="7" t="str">
        <f t="shared" si="87"/>
        <v/>
      </c>
      <c r="O1058" s="8"/>
      <c r="P1058" s="26"/>
      <c r="S1058" s="10" t="str">
        <f t="shared" si="84"/>
        <v/>
      </c>
    </row>
    <row r="1059" spans="5:19" x14ac:dyDescent="0.3">
      <c r="E1059" s="9" t="str">
        <f>IF(DADOS!C1059="","",DADOS!C1059)</f>
        <v/>
      </c>
      <c r="F1059" s="9" t="str">
        <f>IF(DADOS!E1059="","",DADOS!E1059)</f>
        <v/>
      </c>
      <c r="G1059" s="9" t="str">
        <f>IF(DADOS!F1059="","",DADOS!F1059)</f>
        <v/>
      </c>
      <c r="K1059" s="6" t="str">
        <f t="shared" si="85"/>
        <v/>
      </c>
      <c r="L1059" s="7" t="str">
        <f t="shared" si="86"/>
        <v/>
      </c>
      <c r="M1059" s="7" t="str">
        <f t="shared" si="83"/>
        <v/>
      </c>
      <c r="N1059" s="7" t="str">
        <f t="shared" si="87"/>
        <v/>
      </c>
      <c r="O1059" s="8"/>
      <c r="P1059" s="26"/>
      <c r="S1059" s="10" t="str">
        <f t="shared" si="84"/>
        <v/>
      </c>
    </row>
    <row r="1060" spans="5:19" x14ac:dyDescent="0.3">
      <c r="E1060" s="9" t="str">
        <f>IF(DADOS!C1060="","",DADOS!C1060)</f>
        <v/>
      </c>
      <c r="F1060" s="9" t="str">
        <f>IF(DADOS!E1060="","",DADOS!E1060)</f>
        <v/>
      </c>
      <c r="G1060" s="9" t="str">
        <f>IF(DADOS!F1060="","",DADOS!F1060)</f>
        <v/>
      </c>
      <c r="K1060" s="6" t="str">
        <f t="shared" si="85"/>
        <v/>
      </c>
      <c r="L1060" s="7" t="str">
        <f t="shared" si="86"/>
        <v/>
      </c>
      <c r="M1060" s="7" t="str">
        <f t="shared" si="83"/>
        <v/>
      </c>
      <c r="N1060" s="7" t="str">
        <f t="shared" si="87"/>
        <v/>
      </c>
      <c r="O1060" s="8"/>
      <c r="P1060" s="26"/>
      <c r="S1060" s="10" t="str">
        <f t="shared" si="84"/>
        <v/>
      </c>
    </row>
    <row r="1061" spans="5:19" x14ac:dyDescent="0.3">
      <c r="E1061" s="9" t="str">
        <f>IF(DADOS!C1061="","",DADOS!C1061)</f>
        <v/>
      </c>
      <c r="F1061" s="9" t="str">
        <f>IF(DADOS!E1061="","",DADOS!E1061)</f>
        <v/>
      </c>
      <c r="G1061" s="9" t="str">
        <f>IF(DADOS!F1061="","",DADOS!F1061)</f>
        <v/>
      </c>
      <c r="K1061" s="6" t="str">
        <f t="shared" si="85"/>
        <v/>
      </c>
      <c r="L1061" s="7" t="str">
        <f t="shared" si="86"/>
        <v/>
      </c>
      <c r="M1061" s="7" t="str">
        <f t="shared" si="83"/>
        <v/>
      </c>
      <c r="N1061" s="7" t="str">
        <f t="shared" si="87"/>
        <v/>
      </c>
      <c r="O1061" s="8"/>
      <c r="P1061" s="26"/>
      <c r="S1061" s="10" t="str">
        <f t="shared" si="84"/>
        <v/>
      </c>
    </row>
    <row r="1062" spans="5:19" x14ac:dyDescent="0.3">
      <c r="E1062" s="9" t="str">
        <f>IF(DADOS!C1062="","",DADOS!C1062)</f>
        <v/>
      </c>
      <c r="F1062" s="9" t="str">
        <f>IF(DADOS!E1062="","",DADOS!E1062)</f>
        <v/>
      </c>
      <c r="G1062" s="9" t="str">
        <f>IF(DADOS!F1062="","",DADOS!F1062)</f>
        <v/>
      </c>
      <c r="K1062" s="6" t="str">
        <f t="shared" si="85"/>
        <v/>
      </c>
      <c r="L1062" s="7" t="str">
        <f t="shared" si="86"/>
        <v/>
      </c>
      <c r="M1062" s="7" t="str">
        <f t="shared" si="83"/>
        <v/>
      </c>
      <c r="N1062" s="7" t="str">
        <f t="shared" si="87"/>
        <v/>
      </c>
      <c r="O1062" s="8"/>
      <c r="P1062" s="26"/>
      <c r="S1062" s="10" t="str">
        <f t="shared" si="84"/>
        <v/>
      </c>
    </row>
    <row r="1063" spans="5:19" x14ac:dyDescent="0.3">
      <c r="E1063" s="9" t="str">
        <f>IF(DADOS!C1063="","",DADOS!C1063)</f>
        <v/>
      </c>
      <c r="F1063" s="9" t="str">
        <f>IF(DADOS!E1063="","",DADOS!E1063)</f>
        <v/>
      </c>
      <c r="G1063" s="9" t="str">
        <f>IF(DADOS!F1063="","",DADOS!F1063)</f>
        <v/>
      </c>
      <c r="K1063" s="6" t="str">
        <f t="shared" si="85"/>
        <v/>
      </c>
      <c r="L1063" s="7" t="str">
        <f t="shared" si="86"/>
        <v/>
      </c>
      <c r="M1063" s="7" t="str">
        <f t="shared" si="83"/>
        <v/>
      </c>
      <c r="N1063" s="7" t="str">
        <f t="shared" si="87"/>
        <v/>
      </c>
      <c r="O1063" s="8"/>
      <c r="P1063" s="26"/>
      <c r="S1063" s="10" t="str">
        <f t="shared" si="84"/>
        <v/>
      </c>
    </row>
    <row r="1064" spans="5:19" x14ac:dyDescent="0.3">
      <c r="E1064" s="9" t="str">
        <f>IF(DADOS!C1064="","",DADOS!C1064)</f>
        <v/>
      </c>
      <c r="F1064" s="9" t="str">
        <f>IF(DADOS!E1064="","",DADOS!E1064)</f>
        <v/>
      </c>
      <c r="G1064" s="9" t="str">
        <f>IF(DADOS!F1064="","",DADOS!F1064)</f>
        <v/>
      </c>
      <c r="K1064" s="6" t="str">
        <f t="shared" si="85"/>
        <v/>
      </c>
      <c r="L1064" s="7" t="str">
        <f t="shared" si="86"/>
        <v/>
      </c>
      <c r="M1064" s="7" t="str">
        <f t="shared" si="83"/>
        <v/>
      </c>
      <c r="N1064" s="7" t="str">
        <f t="shared" si="87"/>
        <v/>
      </c>
      <c r="O1064" s="8"/>
      <c r="P1064" s="26"/>
      <c r="S1064" s="10" t="str">
        <f t="shared" si="84"/>
        <v/>
      </c>
    </row>
    <row r="1065" spans="5:19" x14ac:dyDescent="0.3">
      <c r="E1065" s="9" t="str">
        <f>IF(DADOS!C1065="","",DADOS!C1065)</f>
        <v/>
      </c>
      <c r="F1065" s="9" t="str">
        <f>IF(DADOS!E1065="","",DADOS!E1065)</f>
        <v/>
      </c>
      <c r="G1065" s="9" t="str">
        <f>IF(DADOS!F1065="","",DADOS!F1065)</f>
        <v/>
      </c>
      <c r="K1065" s="6" t="str">
        <f t="shared" si="85"/>
        <v/>
      </c>
      <c r="L1065" s="7" t="str">
        <f t="shared" si="86"/>
        <v/>
      </c>
      <c r="M1065" s="7" t="str">
        <f t="shared" si="83"/>
        <v/>
      </c>
      <c r="N1065" s="7" t="str">
        <f t="shared" si="87"/>
        <v/>
      </c>
      <c r="O1065" s="8"/>
      <c r="P1065" s="26"/>
      <c r="S1065" s="10" t="str">
        <f t="shared" si="84"/>
        <v/>
      </c>
    </row>
    <row r="1066" spans="5:19" x14ac:dyDescent="0.3">
      <c r="E1066" s="9" t="str">
        <f>IF(DADOS!C1066="","",DADOS!C1066)</f>
        <v/>
      </c>
      <c r="F1066" s="9" t="str">
        <f>IF(DADOS!E1066="","",DADOS!E1066)</f>
        <v/>
      </c>
      <c r="G1066" s="9" t="str">
        <f>IF(DADOS!F1066="","",DADOS!F1066)</f>
        <v/>
      </c>
      <c r="K1066" s="6" t="str">
        <f t="shared" si="85"/>
        <v/>
      </c>
      <c r="L1066" s="7" t="str">
        <f t="shared" si="86"/>
        <v/>
      </c>
      <c r="M1066" s="7" t="str">
        <f t="shared" si="83"/>
        <v/>
      </c>
      <c r="N1066" s="7" t="str">
        <f t="shared" si="87"/>
        <v/>
      </c>
      <c r="O1066" s="8"/>
      <c r="P1066" s="26"/>
      <c r="S1066" s="10" t="str">
        <f t="shared" si="84"/>
        <v/>
      </c>
    </row>
    <row r="1067" spans="5:19" x14ac:dyDescent="0.3">
      <c r="E1067" s="9" t="str">
        <f>IF(DADOS!C1067="","",DADOS!C1067)</f>
        <v/>
      </c>
      <c r="F1067" s="9" t="str">
        <f>IF(DADOS!E1067="","",DADOS!E1067)</f>
        <v/>
      </c>
      <c r="G1067" s="9" t="str">
        <f>IF(DADOS!F1067="","",DADOS!F1067)</f>
        <v/>
      </c>
      <c r="K1067" s="6" t="str">
        <f t="shared" si="85"/>
        <v/>
      </c>
      <c r="L1067" s="7" t="str">
        <f t="shared" si="86"/>
        <v/>
      </c>
      <c r="M1067" s="7" t="str">
        <f t="shared" si="83"/>
        <v/>
      </c>
      <c r="N1067" s="7" t="str">
        <f t="shared" si="87"/>
        <v/>
      </c>
      <c r="O1067" s="8"/>
      <c r="P1067" s="26"/>
      <c r="S1067" s="10" t="str">
        <f t="shared" si="84"/>
        <v/>
      </c>
    </row>
    <row r="1068" spans="5:19" x14ac:dyDescent="0.3">
      <c r="E1068" s="9" t="str">
        <f>IF(DADOS!C1068="","",DADOS!C1068)</f>
        <v/>
      </c>
      <c r="F1068" s="9" t="str">
        <f>IF(DADOS!E1068="","",DADOS!E1068)</f>
        <v/>
      </c>
      <c r="G1068" s="9" t="str">
        <f>IF(DADOS!F1068="","",DADOS!F1068)</f>
        <v/>
      </c>
      <c r="K1068" s="6" t="str">
        <f t="shared" si="85"/>
        <v/>
      </c>
      <c r="L1068" s="7" t="str">
        <f t="shared" si="86"/>
        <v/>
      </c>
      <c r="M1068" s="7" t="str">
        <f t="shared" si="83"/>
        <v/>
      </c>
      <c r="N1068" s="7" t="str">
        <f t="shared" si="87"/>
        <v/>
      </c>
      <c r="O1068" s="8"/>
      <c r="P1068" s="26"/>
      <c r="S1068" s="10" t="str">
        <f t="shared" si="84"/>
        <v/>
      </c>
    </row>
    <row r="1069" spans="5:19" x14ac:dyDescent="0.3">
      <c r="E1069" s="9" t="str">
        <f>IF(DADOS!C1069="","",DADOS!C1069)</f>
        <v/>
      </c>
      <c r="F1069" s="9" t="str">
        <f>IF(DADOS!E1069="","",DADOS!E1069)</f>
        <v/>
      </c>
      <c r="G1069" s="9" t="str">
        <f>IF(DADOS!F1069="","",DADOS!F1069)</f>
        <v/>
      </c>
      <c r="K1069" s="6" t="str">
        <f t="shared" si="85"/>
        <v/>
      </c>
      <c r="L1069" s="7" t="str">
        <f t="shared" si="86"/>
        <v/>
      </c>
      <c r="M1069" s="7" t="str">
        <f t="shared" si="83"/>
        <v/>
      </c>
      <c r="N1069" s="7" t="str">
        <f t="shared" si="87"/>
        <v/>
      </c>
      <c r="O1069" s="8"/>
      <c r="P1069" s="26"/>
      <c r="S1069" s="10" t="str">
        <f t="shared" si="84"/>
        <v/>
      </c>
    </row>
    <row r="1070" spans="5:19" x14ac:dyDescent="0.3">
      <c r="E1070" s="9" t="str">
        <f>IF(DADOS!C1070="","",DADOS!C1070)</f>
        <v/>
      </c>
      <c r="F1070" s="9" t="str">
        <f>IF(DADOS!E1070="","",DADOS!E1070)</f>
        <v/>
      </c>
      <c r="G1070" s="9" t="str">
        <f>IF(DADOS!F1070="","",DADOS!F1070)</f>
        <v/>
      </c>
      <c r="K1070" s="6" t="str">
        <f t="shared" si="85"/>
        <v/>
      </c>
      <c r="L1070" s="7" t="str">
        <f t="shared" si="86"/>
        <v/>
      </c>
      <c r="M1070" s="7" t="str">
        <f t="shared" si="83"/>
        <v/>
      </c>
      <c r="N1070" s="7" t="str">
        <f t="shared" si="87"/>
        <v/>
      </c>
      <c r="O1070" s="8"/>
      <c r="P1070" s="26"/>
      <c r="S1070" s="10" t="str">
        <f t="shared" si="84"/>
        <v/>
      </c>
    </row>
    <row r="1071" spans="5:19" x14ac:dyDescent="0.3">
      <c r="E1071" s="9" t="str">
        <f>IF(DADOS!C1071="","",DADOS!C1071)</f>
        <v/>
      </c>
      <c r="F1071" s="9" t="str">
        <f>IF(DADOS!E1071="","",DADOS!E1071)</f>
        <v/>
      </c>
      <c r="G1071" s="9" t="str">
        <f>IF(DADOS!F1071="","",DADOS!F1071)</f>
        <v/>
      </c>
      <c r="K1071" s="6" t="str">
        <f t="shared" si="85"/>
        <v/>
      </c>
      <c r="L1071" s="7" t="str">
        <f t="shared" si="86"/>
        <v/>
      </c>
      <c r="M1071" s="7" t="str">
        <f t="shared" si="83"/>
        <v/>
      </c>
      <c r="N1071" s="7" t="str">
        <f t="shared" si="87"/>
        <v/>
      </c>
      <c r="O1071" s="8"/>
      <c r="P1071" s="26"/>
      <c r="S1071" s="10" t="str">
        <f t="shared" si="84"/>
        <v/>
      </c>
    </row>
    <row r="1072" spans="5:19" x14ac:dyDescent="0.3">
      <c r="E1072" s="9" t="str">
        <f>IF(DADOS!C1072="","",DADOS!C1072)</f>
        <v/>
      </c>
      <c r="F1072" s="9" t="str">
        <f>IF(DADOS!E1072="","",DADOS!E1072)</f>
        <v/>
      </c>
      <c r="G1072" s="9" t="str">
        <f>IF(DADOS!F1072="","",DADOS!F1072)</f>
        <v/>
      </c>
      <c r="K1072" s="6" t="str">
        <f t="shared" si="85"/>
        <v/>
      </c>
      <c r="L1072" s="7" t="str">
        <f t="shared" si="86"/>
        <v/>
      </c>
      <c r="M1072" s="7" t="str">
        <f t="shared" si="83"/>
        <v/>
      </c>
      <c r="N1072" s="7" t="str">
        <f t="shared" si="87"/>
        <v/>
      </c>
      <c r="O1072" s="8"/>
      <c r="P1072" s="26"/>
      <c r="S1072" s="10" t="str">
        <f t="shared" si="84"/>
        <v/>
      </c>
    </row>
    <row r="1073" spans="5:19" x14ac:dyDescent="0.3">
      <c r="E1073" s="9" t="str">
        <f>IF(DADOS!C1073="","",DADOS!C1073)</f>
        <v/>
      </c>
      <c r="F1073" s="9" t="str">
        <f>IF(DADOS!E1073="","",DADOS!E1073)</f>
        <v/>
      </c>
      <c r="G1073" s="9" t="str">
        <f>IF(DADOS!F1073="","",DADOS!F1073)</f>
        <v/>
      </c>
      <c r="K1073" s="6" t="str">
        <f t="shared" si="85"/>
        <v/>
      </c>
      <c r="L1073" s="7" t="str">
        <f t="shared" si="86"/>
        <v/>
      </c>
      <c r="M1073" s="7" t="str">
        <f t="shared" si="83"/>
        <v/>
      </c>
      <c r="N1073" s="7" t="str">
        <f t="shared" si="87"/>
        <v/>
      </c>
      <c r="O1073" s="8"/>
      <c r="P1073" s="26"/>
      <c r="S1073" s="10" t="str">
        <f t="shared" si="84"/>
        <v/>
      </c>
    </row>
    <row r="1074" spans="5:19" x14ac:dyDescent="0.3">
      <c r="E1074" s="9" t="str">
        <f>IF(DADOS!C1074="","",DADOS!C1074)</f>
        <v/>
      </c>
      <c r="F1074" s="9" t="str">
        <f>IF(DADOS!E1074="","",DADOS!E1074)</f>
        <v/>
      </c>
      <c r="G1074" s="9" t="str">
        <f>IF(DADOS!F1074="","",DADOS!F1074)</f>
        <v/>
      </c>
      <c r="K1074" s="6" t="str">
        <f t="shared" si="85"/>
        <v/>
      </c>
      <c r="L1074" s="7" t="str">
        <f t="shared" si="86"/>
        <v/>
      </c>
      <c r="M1074" s="7" t="str">
        <f t="shared" si="83"/>
        <v/>
      </c>
      <c r="N1074" s="7" t="str">
        <f t="shared" si="87"/>
        <v/>
      </c>
      <c r="O1074" s="8"/>
      <c r="P1074" s="26"/>
      <c r="S1074" s="10" t="str">
        <f t="shared" si="84"/>
        <v/>
      </c>
    </row>
    <row r="1075" spans="5:19" x14ac:dyDescent="0.3">
      <c r="E1075" s="9" t="str">
        <f>IF(DADOS!C1075="","",DADOS!C1075)</f>
        <v/>
      </c>
      <c r="F1075" s="9" t="str">
        <f>IF(DADOS!E1075="","",DADOS!E1075)</f>
        <v/>
      </c>
      <c r="G1075" s="9" t="str">
        <f>IF(DADOS!F1075="","",DADOS!F1075)</f>
        <v/>
      </c>
      <c r="K1075" s="6" t="str">
        <f t="shared" si="85"/>
        <v/>
      </c>
      <c r="L1075" s="7" t="str">
        <f t="shared" si="86"/>
        <v/>
      </c>
      <c r="M1075" s="7" t="str">
        <f t="shared" si="83"/>
        <v/>
      </c>
      <c r="N1075" s="7" t="str">
        <f t="shared" si="87"/>
        <v/>
      </c>
      <c r="O1075" s="8"/>
      <c r="P1075" s="26"/>
      <c r="S1075" s="10" t="str">
        <f t="shared" si="84"/>
        <v/>
      </c>
    </row>
    <row r="1076" spans="5:19" x14ac:dyDescent="0.3">
      <c r="E1076" s="9" t="str">
        <f>IF(DADOS!C1076="","",DADOS!C1076)</f>
        <v/>
      </c>
      <c r="F1076" s="9" t="str">
        <f>IF(DADOS!E1076="","",DADOS!E1076)</f>
        <v/>
      </c>
      <c r="G1076" s="9" t="str">
        <f>IF(DADOS!F1076="","",DADOS!F1076)</f>
        <v/>
      </c>
      <c r="K1076" s="6" t="str">
        <f t="shared" si="85"/>
        <v/>
      </c>
      <c r="L1076" s="7" t="str">
        <f t="shared" si="86"/>
        <v/>
      </c>
      <c r="M1076" s="7" t="str">
        <f t="shared" si="83"/>
        <v/>
      </c>
      <c r="N1076" s="7" t="str">
        <f t="shared" si="87"/>
        <v/>
      </c>
      <c r="O1076" s="8"/>
      <c r="P1076" s="26"/>
      <c r="S1076" s="10" t="str">
        <f t="shared" si="84"/>
        <v/>
      </c>
    </row>
    <row r="1077" spans="5:19" x14ac:dyDescent="0.3">
      <c r="E1077" s="9" t="str">
        <f>IF(DADOS!C1077="","",DADOS!C1077)</f>
        <v/>
      </c>
      <c r="F1077" s="9" t="str">
        <f>IF(DADOS!E1077="","",DADOS!E1077)</f>
        <v/>
      </c>
      <c r="G1077" s="9" t="str">
        <f>IF(DADOS!F1077="","",DADOS!F1077)</f>
        <v/>
      </c>
      <c r="K1077" s="6" t="str">
        <f t="shared" si="85"/>
        <v/>
      </c>
      <c r="L1077" s="7" t="str">
        <f t="shared" si="86"/>
        <v/>
      </c>
      <c r="M1077" s="7" t="str">
        <f t="shared" si="83"/>
        <v/>
      </c>
      <c r="N1077" s="7" t="str">
        <f t="shared" si="87"/>
        <v/>
      </c>
      <c r="O1077" s="8"/>
      <c r="P1077" s="26"/>
      <c r="S1077" s="10" t="str">
        <f t="shared" si="84"/>
        <v/>
      </c>
    </row>
    <row r="1078" spans="5:19" x14ac:dyDescent="0.3">
      <c r="E1078" s="9" t="str">
        <f>IF(DADOS!C1078="","",DADOS!C1078)</f>
        <v/>
      </c>
      <c r="F1078" s="9" t="str">
        <f>IF(DADOS!E1078="","",DADOS!E1078)</f>
        <v/>
      </c>
      <c r="G1078" s="9" t="str">
        <f>IF(DADOS!F1078="","",DADOS!F1078)</f>
        <v/>
      </c>
      <c r="K1078" s="6" t="str">
        <f t="shared" si="85"/>
        <v/>
      </c>
      <c r="L1078" s="7" t="str">
        <f t="shared" si="86"/>
        <v/>
      </c>
      <c r="M1078" s="7" t="str">
        <f t="shared" si="83"/>
        <v/>
      </c>
      <c r="N1078" s="7" t="str">
        <f t="shared" si="87"/>
        <v/>
      </c>
      <c r="O1078" s="8"/>
      <c r="P1078" s="26"/>
      <c r="S1078" s="10" t="str">
        <f t="shared" si="84"/>
        <v/>
      </c>
    </row>
    <row r="1079" spans="5:19" x14ac:dyDescent="0.3">
      <c r="E1079" s="9" t="str">
        <f>IF(DADOS!C1079="","",DADOS!C1079)</f>
        <v/>
      </c>
      <c r="F1079" s="9" t="str">
        <f>IF(DADOS!E1079="","",DADOS!E1079)</f>
        <v/>
      </c>
      <c r="G1079" s="9" t="str">
        <f>IF(DADOS!F1079="","",DADOS!F1079)</f>
        <v/>
      </c>
      <c r="K1079" s="6" t="str">
        <f t="shared" si="85"/>
        <v/>
      </c>
      <c r="L1079" s="7" t="str">
        <f t="shared" si="86"/>
        <v/>
      </c>
      <c r="M1079" s="7" t="str">
        <f t="shared" si="83"/>
        <v/>
      </c>
      <c r="N1079" s="7" t="str">
        <f t="shared" si="87"/>
        <v/>
      </c>
      <c r="O1079" s="8"/>
      <c r="P1079" s="26"/>
      <c r="S1079" s="10" t="str">
        <f t="shared" si="84"/>
        <v/>
      </c>
    </row>
    <row r="1080" spans="5:19" x14ac:dyDescent="0.3">
      <c r="E1080" s="9" t="str">
        <f>IF(DADOS!C1080="","",DADOS!C1080)</f>
        <v/>
      </c>
      <c r="F1080" s="9" t="str">
        <f>IF(DADOS!E1080="","",DADOS!E1080)</f>
        <v/>
      </c>
      <c r="G1080" s="9" t="str">
        <f>IF(DADOS!F1080="","",DADOS!F1080)</f>
        <v/>
      </c>
      <c r="K1080" s="6" t="str">
        <f t="shared" si="85"/>
        <v/>
      </c>
      <c r="L1080" s="7" t="str">
        <f t="shared" si="86"/>
        <v/>
      </c>
      <c r="M1080" s="7" t="str">
        <f t="shared" si="83"/>
        <v/>
      </c>
      <c r="N1080" s="7" t="str">
        <f t="shared" si="87"/>
        <v/>
      </c>
      <c r="O1080" s="8"/>
      <c r="P1080" s="26"/>
      <c r="S1080" s="10" t="str">
        <f t="shared" si="84"/>
        <v/>
      </c>
    </row>
    <row r="1081" spans="5:19" x14ac:dyDescent="0.3">
      <c r="E1081" s="9" t="str">
        <f>IF(DADOS!C1081="","",DADOS!C1081)</f>
        <v/>
      </c>
      <c r="F1081" s="9" t="str">
        <f>IF(DADOS!E1081="","",DADOS!E1081)</f>
        <v/>
      </c>
      <c r="G1081" s="9" t="str">
        <f>IF(DADOS!F1081="","",DADOS!F1081)</f>
        <v/>
      </c>
      <c r="K1081" s="6" t="str">
        <f t="shared" si="85"/>
        <v/>
      </c>
      <c r="L1081" s="7" t="str">
        <f t="shared" si="86"/>
        <v/>
      </c>
      <c r="M1081" s="7" t="str">
        <f t="shared" si="83"/>
        <v/>
      </c>
      <c r="N1081" s="7" t="str">
        <f t="shared" si="87"/>
        <v/>
      </c>
      <c r="O1081" s="8"/>
      <c r="P1081" s="26"/>
      <c r="S1081" s="10" t="str">
        <f t="shared" si="84"/>
        <v/>
      </c>
    </row>
    <row r="1082" spans="5:19" x14ac:dyDescent="0.3">
      <c r="E1082" s="9" t="str">
        <f>IF(DADOS!C1082="","",DADOS!C1082)</f>
        <v/>
      </c>
      <c r="F1082" s="9" t="str">
        <f>IF(DADOS!E1082="","",DADOS!E1082)</f>
        <v/>
      </c>
      <c r="G1082" s="9" t="str">
        <f>IF(DADOS!F1082="","",DADOS!F1082)</f>
        <v/>
      </c>
      <c r="K1082" s="6" t="str">
        <f t="shared" si="85"/>
        <v/>
      </c>
      <c r="L1082" s="7" t="str">
        <f t="shared" si="86"/>
        <v/>
      </c>
      <c r="M1082" s="7" t="str">
        <f t="shared" si="83"/>
        <v/>
      </c>
      <c r="N1082" s="7" t="str">
        <f t="shared" si="87"/>
        <v/>
      </c>
      <c r="O1082" s="8"/>
      <c r="P1082" s="26"/>
      <c r="S1082" s="10" t="str">
        <f t="shared" si="84"/>
        <v/>
      </c>
    </row>
    <row r="1083" spans="5:19" x14ac:dyDescent="0.3">
      <c r="E1083" s="9" t="str">
        <f>IF(DADOS!C1083="","",DADOS!C1083)</f>
        <v/>
      </c>
      <c r="F1083" s="9" t="str">
        <f>IF(DADOS!E1083="","",DADOS!E1083)</f>
        <v/>
      </c>
      <c r="G1083" s="9" t="str">
        <f>IF(DADOS!F1083="","",DADOS!F1083)</f>
        <v/>
      </c>
      <c r="K1083" s="6" t="str">
        <f t="shared" si="85"/>
        <v/>
      </c>
      <c r="L1083" s="7" t="str">
        <f t="shared" si="86"/>
        <v/>
      </c>
      <c r="M1083" s="7" t="str">
        <f t="shared" si="83"/>
        <v/>
      </c>
      <c r="N1083" s="7" t="str">
        <f t="shared" si="87"/>
        <v/>
      </c>
      <c r="O1083" s="8"/>
      <c r="P1083" s="26"/>
      <c r="S1083" s="10" t="str">
        <f t="shared" si="84"/>
        <v/>
      </c>
    </row>
    <row r="1084" spans="5:19" x14ac:dyDescent="0.3">
      <c r="E1084" s="9" t="str">
        <f>IF(DADOS!C1084="","",DADOS!C1084)</f>
        <v/>
      </c>
      <c r="F1084" s="9" t="str">
        <f>IF(DADOS!E1084="","",DADOS!E1084)</f>
        <v/>
      </c>
      <c r="G1084" s="9" t="str">
        <f>IF(DADOS!F1084="","",DADOS!F1084)</f>
        <v/>
      </c>
      <c r="K1084" s="6" t="str">
        <f t="shared" si="85"/>
        <v/>
      </c>
      <c r="L1084" s="7" t="str">
        <f t="shared" si="86"/>
        <v/>
      </c>
      <c r="M1084" s="7" t="str">
        <f t="shared" si="83"/>
        <v/>
      </c>
      <c r="N1084" s="7" t="str">
        <f t="shared" si="87"/>
        <v/>
      </c>
      <c r="O1084" s="8"/>
      <c r="P1084" s="26"/>
      <c r="S1084" s="10" t="str">
        <f t="shared" si="84"/>
        <v/>
      </c>
    </row>
    <row r="1085" spans="5:19" x14ac:dyDescent="0.3">
      <c r="E1085" s="9" t="str">
        <f>IF(DADOS!C1085="","",DADOS!C1085)</f>
        <v/>
      </c>
      <c r="F1085" s="9" t="str">
        <f>IF(DADOS!E1085="","",DADOS!E1085)</f>
        <v/>
      </c>
      <c r="G1085" s="9" t="str">
        <f>IF(DADOS!F1085="","",DADOS!F1085)</f>
        <v/>
      </c>
      <c r="K1085" s="6" t="str">
        <f t="shared" si="85"/>
        <v/>
      </c>
      <c r="L1085" s="7" t="str">
        <f t="shared" si="86"/>
        <v/>
      </c>
      <c r="M1085" s="7" t="str">
        <f t="shared" si="83"/>
        <v/>
      </c>
      <c r="N1085" s="7" t="str">
        <f t="shared" si="87"/>
        <v/>
      </c>
      <c r="O1085" s="8"/>
      <c r="P1085" s="26"/>
      <c r="S1085" s="10" t="str">
        <f t="shared" si="84"/>
        <v/>
      </c>
    </row>
    <row r="1086" spans="5:19" x14ac:dyDescent="0.3">
      <c r="E1086" s="9" t="str">
        <f>IF(DADOS!C1086="","",DADOS!C1086)</f>
        <v/>
      </c>
      <c r="F1086" s="9" t="str">
        <f>IF(DADOS!E1086="","",DADOS!E1086)</f>
        <v/>
      </c>
      <c r="G1086" s="9" t="str">
        <f>IF(DADOS!F1086="","",DADOS!F1086)</f>
        <v/>
      </c>
      <c r="K1086" s="6" t="str">
        <f t="shared" si="85"/>
        <v/>
      </c>
      <c r="L1086" s="7" t="str">
        <f t="shared" si="86"/>
        <v/>
      </c>
      <c r="M1086" s="7" t="str">
        <f t="shared" si="83"/>
        <v/>
      </c>
      <c r="N1086" s="7" t="str">
        <f t="shared" si="87"/>
        <v/>
      </c>
      <c r="O1086" s="8"/>
      <c r="P1086" s="26"/>
      <c r="S1086" s="10" t="str">
        <f t="shared" si="84"/>
        <v/>
      </c>
    </row>
    <row r="1087" spans="5:19" x14ac:dyDescent="0.3">
      <c r="E1087" s="9" t="str">
        <f>IF(DADOS!C1087="","",DADOS!C1087)</f>
        <v/>
      </c>
      <c r="F1087" s="9" t="str">
        <f>IF(DADOS!E1087="","",DADOS!E1087)</f>
        <v/>
      </c>
      <c r="G1087" s="9" t="str">
        <f>IF(DADOS!F1087="","",DADOS!F1087)</f>
        <v/>
      </c>
      <c r="K1087" s="6" t="str">
        <f t="shared" si="85"/>
        <v/>
      </c>
      <c r="L1087" s="7" t="str">
        <f t="shared" si="86"/>
        <v/>
      </c>
      <c r="M1087" s="7" t="str">
        <f t="shared" si="83"/>
        <v/>
      </c>
      <c r="N1087" s="7" t="str">
        <f t="shared" si="87"/>
        <v/>
      </c>
      <c r="O1087" s="8"/>
      <c r="P1087" s="26"/>
      <c r="S1087" s="10" t="str">
        <f t="shared" si="84"/>
        <v/>
      </c>
    </row>
    <row r="1088" spans="5:19" x14ac:dyDescent="0.3">
      <c r="E1088" s="9" t="str">
        <f>IF(DADOS!C1088="","",DADOS!C1088)</f>
        <v/>
      </c>
      <c r="F1088" s="9" t="str">
        <f>IF(DADOS!E1088="","",DADOS!E1088)</f>
        <v/>
      </c>
      <c r="G1088" s="9" t="str">
        <f>IF(DADOS!F1088="","",DADOS!F1088)</f>
        <v/>
      </c>
      <c r="K1088" s="6" t="str">
        <f t="shared" si="85"/>
        <v/>
      </c>
      <c r="L1088" s="7" t="str">
        <f t="shared" si="86"/>
        <v/>
      </c>
      <c r="M1088" s="7" t="str">
        <f t="shared" si="83"/>
        <v/>
      </c>
      <c r="N1088" s="7" t="str">
        <f t="shared" si="87"/>
        <v/>
      </c>
      <c r="O1088" s="8"/>
      <c r="P1088" s="26"/>
      <c r="S1088" s="10" t="str">
        <f t="shared" si="84"/>
        <v/>
      </c>
    </row>
    <row r="1089" spans="5:19" x14ac:dyDescent="0.3">
      <c r="E1089" s="9" t="str">
        <f>IF(DADOS!C1089="","",DADOS!C1089)</f>
        <v/>
      </c>
      <c r="F1089" s="9" t="str">
        <f>IF(DADOS!E1089="","",DADOS!E1089)</f>
        <v/>
      </c>
      <c r="G1089" s="9" t="str">
        <f>IF(DADOS!F1089="","",DADOS!F1089)</f>
        <v/>
      </c>
      <c r="K1089" s="6" t="str">
        <f t="shared" si="85"/>
        <v/>
      </c>
      <c r="L1089" s="7" t="str">
        <f t="shared" si="86"/>
        <v/>
      </c>
      <c r="M1089" s="7" t="str">
        <f t="shared" si="83"/>
        <v/>
      </c>
      <c r="N1089" s="7" t="str">
        <f t="shared" si="87"/>
        <v/>
      </c>
      <c r="O1089" s="8"/>
      <c r="P1089" s="26"/>
      <c r="S1089" s="10" t="str">
        <f t="shared" si="84"/>
        <v/>
      </c>
    </row>
    <row r="1090" spans="5:19" x14ac:dyDescent="0.3">
      <c r="E1090" s="9" t="str">
        <f>IF(DADOS!C1090="","",DADOS!C1090)</f>
        <v/>
      </c>
      <c r="F1090" s="9" t="str">
        <f>IF(DADOS!E1090="","",DADOS!E1090)</f>
        <v/>
      </c>
      <c r="G1090" s="9" t="str">
        <f>IF(DADOS!F1090="","",DADOS!F1090)</f>
        <v/>
      </c>
      <c r="K1090" s="6" t="str">
        <f t="shared" si="85"/>
        <v/>
      </c>
      <c r="L1090" s="7" t="str">
        <f t="shared" si="86"/>
        <v/>
      </c>
      <c r="M1090" s="7" t="str">
        <f t="shared" si="83"/>
        <v/>
      </c>
      <c r="N1090" s="7" t="str">
        <f t="shared" si="87"/>
        <v/>
      </c>
      <c r="O1090" s="8"/>
      <c r="P1090" s="26"/>
      <c r="S1090" s="10" t="str">
        <f t="shared" si="84"/>
        <v/>
      </c>
    </row>
    <row r="1091" spans="5:19" x14ac:dyDescent="0.3">
      <c r="E1091" s="9" t="str">
        <f>IF(DADOS!C1091="","",DADOS!C1091)</f>
        <v/>
      </c>
      <c r="F1091" s="9" t="str">
        <f>IF(DADOS!E1091="","",DADOS!E1091)</f>
        <v/>
      </c>
      <c r="G1091" s="9" t="str">
        <f>IF(DADOS!F1091="","",DADOS!F1091)</f>
        <v/>
      </c>
      <c r="K1091" s="6" t="str">
        <f t="shared" si="85"/>
        <v/>
      </c>
      <c r="L1091" s="7" t="str">
        <f t="shared" si="86"/>
        <v/>
      </c>
      <c r="M1091" s="7" t="str">
        <f t="shared" ref="M1091:M1154" si="88">IF(L1091="","",L1091*G1091)</f>
        <v/>
      </c>
      <c r="N1091" s="7" t="str">
        <f t="shared" si="87"/>
        <v/>
      </c>
      <c r="O1091" s="8"/>
      <c r="P1091" s="26"/>
      <c r="S1091" s="10" t="str">
        <f t="shared" ref="S1091:S1154" si="89">IF(R1091="","",SUMIFS($N$3:$N$10000,$E$3:$E$10000,R1091))</f>
        <v/>
      </c>
    </row>
    <row r="1092" spans="5:19" x14ac:dyDescent="0.3">
      <c r="E1092" s="9" t="str">
        <f>IF(DADOS!C1092="","",DADOS!C1092)</f>
        <v/>
      </c>
      <c r="F1092" s="9" t="str">
        <f>IF(DADOS!E1092="","",DADOS!E1092)</f>
        <v/>
      </c>
      <c r="G1092" s="9" t="str">
        <f>IF(DADOS!F1092="","",DADOS!F1092)</f>
        <v/>
      </c>
      <c r="K1092" s="6" t="str">
        <f t="shared" ref="K1092:K1155" si="90">IF(F1092="","",F1092/PI())</f>
        <v/>
      </c>
      <c r="L1092" s="7" t="str">
        <f t="shared" ref="L1092:L1155" si="91">IF(K1092="","",(PI()*K1092^2)/40000)</f>
        <v/>
      </c>
      <c r="M1092" s="7" t="str">
        <f t="shared" si="88"/>
        <v/>
      </c>
      <c r="N1092" s="7" t="str">
        <f t="shared" ref="N1092:N1155" si="92">IF(M1092="","",M1092*N$1)</f>
        <v/>
      </c>
      <c r="O1092" s="8"/>
      <c r="P1092" s="26"/>
      <c r="S1092" s="10" t="str">
        <f t="shared" si="89"/>
        <v/>
      </c>
    </row>
    <row r="1093" spans="5:19" x14ac:dyDescent="0.3">
      <c r="E1093" s="9" t="str">
        <f>IF(DADOS!C1093="","",DADOS!C1093)</f>
        <v/>
      </c>
      <c r="F1093" s="9" t="str">
        <f>IF(DADOS!E1093="","",DADOS!E1093)</f>
        <v/>
      </c>
      <c r="G1093" s="9" t="str">
        <f>IF(DADOS!F1093="","",DADOS!F1093)</f>
        <v/>
      </c>
      <c r="K1093" s="6" t="str">
        <f t="shared" si="90"/>
        <v/>
      </c>
      <c r="L1093" s="7" t="str">
        <f t="shared" si="91"/>
        <v/>
      </c>
      <c r="M1093" s="7" t="str">
        <f t="shared" si="88"/>
        <v/>
      </c>
      <c r="N1093" s="7" t="str">
        <f t="shared" si="92"/>
        <v/>
      </c>
      <c r="O1093" s="8"/>
      <c r="P1093" s="26"/>
      <c r="S1093" s="10" t="str">
        <f t="shared" si="89"/>
        <v/>
      </c>
    </row>
    <row r="1094" spans="5:19" x14ac:dyDescent="0.3">
      <c r="E1094" s="9" t="str">
        <f>IF(DADOS!C1094="","",DADOS!C1094)</f>
        <v/>
      </c>
      <c r="F1094" s="9" t="str">
        <f>IF(DADOS!E1094="","",DADOS!E1094)</f>
        <v/>
      </c>
      <c r="G1094" s="9" t="str">
        <f>IF(DADOS!F1094="","",DADOS!F1094)</f>
        <v/>
      </c>
      <c r="K1094" s="6" t="str">
        <f t="shared" si="90"/>
        <v/>
      </c>
      <c r="L1094" s="7" t="str">
        <f t="shared" si="91"/>
        <v/>
      </c>
      <c r="M1094" s="7" t="str">
        <f t="shared" si="88"/>
        <v/>
      </c>
      <c r="N1094" s="7" t="str">
        <f t="shared" si="92"/>
        <v/>
      </c>
      <c r="O1094" s="8"/>
      <c r="P1094" s="26"/>
      <c r="S1094" s="10" t="str">
        <f t="shared" si="89"/>
        <v/>
      </c>
    </row>
    <row r="1095" spans="5:19" x14ac:dyDescent="0.3">
      <c r="E1095" s="9" t="str">
        <f>IF(DADOS!C1095="","",DADOS!C1095)</f>
        <v/>
      </c>
      <c r="F1095" s="9" t="str">
        <f>IF(DADOS!E1095="","",DADOS!E1095)</f>
        <v/>
      </c>
      <c r="G1095" s="9" t="str">
        <f>IF(DADOS!F1095="","",DADOS!F1095)</f>
        <v/>
      </c>
      <c r="K1095" s="6" t="str">
        <f t="shared" si="90"/>
        <v/>
      </c>
      <c r="L1095" s="7" t="str">
        <f t="shared" si="91"/>
        <v/>
      </c>
      <c r="M1095" s="7" t="str">
        <f t="shared" si="88"/>
        <v/>
      </c>
      <c r="N1095" s="7" t="str">
        <f t="shared" si="92"/>
        <v/>
      </c>
      <c r="O1095" s="8"/>
      <c r="P1095" s="26"/>
      <c r="S1095" s="10" t="str">
        <f t="shared" si="89"/>
        <v/>
      </c>
    </row>
    <row r="1096" spans="5:19" x14ac:dyDescent="0.3">
      <c r="E1096" s="9" t="str">
        <f>IF(DADOS!C1096="","",DADOS!C1096)</f>
        <v/>
      </c>
      <c r="F1096" s="9" t="str">
        <f>IF(DADOS!E1096="","",DADOS!E1096)</f>
        <v/>
      </c>
      <c r="G1096" s="9" t="str">
        <f>IF(DADOS!F1096="","",DADOS!F1096)</f>
        <v/>
      </c>
      <c r="K1096" s="6" t="str">
        <f t="shared" si="90"/>
        <v/>
      </c>
      <c r="L1096" s="7" t="str">
        <f t="shared" si="91"/>
        <v/>
      </c>
      <c r="M1096" s="7" t="str">
        <f t="shared" si="88"/>
        <v/>
      </c>
      <c r="N1096" s="7" t="str">
        <f t="shared" si="92"/>
        <v/>
      </c>
      <c r="O1096" s="8"/>
      <c r="P1096" s="26"/>
      <c r="S1096" s="10" t="str">
        <f t="shared" si="89"/>
        <v/>
      </c>
    </row>
    <row r="1097" spans="5:19" x14ac:dyDescent="0.3">
      <c r="E1097" s="9" t="str">
        <f>IF(DADOS!C1097="","",DADOS!C1097)</f>
        <v/>
      </c>
      <c r="F1097" s="9" t="str">
        <f>IF(DADOS!E1097="","",DADOS!E1097)</f>
        <v/>
      </c>
      <c r="G1097" s="9" t="str">
        <f>IF(DADOS!F1097="","",DADOS!F1097)</f>
        <v/>
      </c>
      <c r="K1097" s="6" t="str">
        <f t="shared" si="90"/>
        <v/>
      </c>
      <c r="L1097" s="7" t="str">
        <f t="shared" si="91"/>
        <v/>
      </c>
      <c r="M1097" s="7" t="str">
        <f t="shared" si="88"/>
        <v/>
      </c>
      <c r="N1097" s="7" t="str">
        <f t="shared" si="92"/>
        <v/>
      </c>
      <c r="O1097" s="8"/>
      <c r="P1097" s="26"/>
      <c r="S1097" s="10" t="str">
        <f t="shared" si="89"/>
        <v/>
      </c>
    </row>
    <row r="1098" spans="5:19" x14ac:dyDescent="0.3">
      <c r="E1098" s="9" t="str">
        <f>IF(DADOS!C1098="","",DADOS!C1098)</f>
        <v/>
      </c>
      <c r="F1098" s="9" t="str">
        <f>IF(DADOS!E1098="","",DADOS!E1098)</f>
        <v/>
      </c>
      <c r="G1098" s="9" t="str">
        <f>IF(DADOS!F1098="","",DADOS!F1098)</f>
        <v/>
      </c>
      <c r="K1098" s="6" t="str">
        <f t="shared" si="90"/>
        <v/>
      </c>
      <c r="L1098" s="7" t="str">
        <f t="shared" si="91"/>
        <v/>
      </c>
      <c r="M1098" s="7" t="str">
        <f t="shared" si="88"/>
        <v/>
      </c>
      <c r="N1098" s="7" t="str">
        <f t="shared" si="92"/>
        <v/>
      </c>
      <c r="O1098" s="8"/>
      <c r="P1098" s="26"/>
      <c r="S1098" s="10" t="str">
        <f t="shared" si="89"/>
        <v/>
      </c>
    </row>
    <row r="1099" spans="5:19" x14ac:dyDescent="0.3">
      <c r="E1099" s="9" t="str">
        <f>IF(DADOS!C1099="","",DADOS!C1099)</f>
        <v/>
      </c>
      <c r="F1099" s="9" t="str">
        <f>IF(DADOS!E1099="","",DADOS!E1099)</f>
        <v/>
      </c>
      <c r="G1099" s="9" t="str">
        <f>IF(DADOS!F1099="","",DADOS!F1099)</f>
        <v/>
      </c>
      <c r="K1099" s="6" t="str">
        <f t="shared" si="90"/>
        <v/>
      </c>
      <c r="L1099" s="7" t="str">
        <f t="shared" si="91"/>
        <v/>
      </c>
      <c r="M1099" s="7" t="str">
        <f t="shared" si="88"/>
        <v/>
      </c>
      <c r="N1099" s="7" t="str">
        <f t="shared" si="92"/>
        <v/>
      </c>
      <c r="O1099" s="8"/>
      <c r="P1099" s="26"/>
      <c r="S1099" s="10" t="str">
        <f t="shared" si="89"/>
        <v/>
      </c>
    </row>
    <row r="1100" spans="5:19" x14ac:dyDescent="0.3">
      <c r="E1100" s="9" t="str">
        <f>IF(DADOS!C1100="","",DADOS!C1100)</f>
        <v/>
      </c>
      <c r="F1100" s="9" t="str">
        <f>IF(DADOS!E1100="","",DADOS!E1100)</f>
        <v/>
      </c>
      <c r="G1100" s="9" t="str">
        <f>IF(DADOS!F1100="","",DADOS!F1100)</f>
        <v/>
      </c>
      <c r="K1100" s="6" t="str">
        <f t="shared" si="90"/>
        <v/>
      </c>
      <c r="L1100" s="7" t="str">
        <f t="shared" si="91"/>
        <v/>
      </c>
      <c r="M1100" s="7" t="str">
        <f t="shared" si="88"/>
        <v/>
      </c>
      <c r="N1100" s="7" t="str">
        <f t="shared" si="92"/>
        <v/>
      </c>
      <c r="O1100" s="8"/>
      <c r="P1100" s="26"/>
      <c r="S1100" s="10" t="str">
        <f t="shared" si="89"/>
        <v/>
      </c>
    </row>
    <row r="1101" spans="5:19" x14ac:dyDescent="0.3">
      <c r="E1101" s="9" t="str">
        <f>IF(DADOS!C1101="","",DADOS!C1101)</f>
        <v/>
      </c>
      <c r="F1101" s="9" t="str">
        <f>IF(DADOS!E1101="","",DADOS!E1101)</f>
        <v/>
      </c>
      <c r="G1101" s="9" t="str">
        <f>IF(DADOS!F1101="","",DADOS!F1101)</f>
        <v/>
      </c>
      <c r="K1101" s="6" t="str">
        <f t="shared" si="90"/>
        <v/>
      </c>
      <c r="L1101" s="7" t="str">
        <f t="shared" si="91"/>
        <v/>
      </c>
      <c r="M1101" s="7" t="str">
        <f t="shared" si="88"/>
        <v/>
      </c>
      <c r="N1101" s="7" t="str">
        <f t="shared" si="92"/>
        <v/>
      </c>
      <c r="O1101" s="8"/>
      <c r="P1101" s="26"/>
      <c r="S1101" s="10" t="str">
        <f t="shared" si="89"/>
        <v/>
      </c>
    </row>
    <row r="1102" spans="5:19" x14ac:dyDescent="0.3">
      <c r="E1102" s="9" t="str">
        <f>IF(DADOS!C1102="","",DADOS!C1102)</f>
        <v/>
      </c>
      <c r="F1102" s="9" t="str">
        <f>IF(DADOS!E1102="","",DADOS!E1102)</f>
        <v/>
      </c>
      <c r="G1102" s="9" t="str">
        <f>IF(DADOS!F1102="","",DADOS!F1102)</f>
        <v/>
      </c>
      <c r="K1102" s="6" t="str">
        <f t="shared" si="90"/>
        <v/>
      </c>
      <c r="L1102" s="7" t="str">
        <f t="shared" si="91"/>
        <v/>
      </c>
      <c r="M1102" s="7" t="str">
        <f t="shared" si="88"/>
        <v/>
      </c>
      <c r="N1102" s="7" t="str">
        <f t="shared" si="92"/>
        <v/>
      </c>
      <c r="O1102" s="8"/>
      <c r="P1102" s="26"/>
      <c r="S1102" s="10" t="str">
        <f t="shared" si="89"/>
        <v/>
      </c>
    </row>
    <row r="1103" spans="5:19" x14ac:dyDescent="0.3">
      <c r="E1103" s="9" t="str">
        <f>IF(DADOS!C1103="","",DADOS!C1103)</f>
        <v/>
      </c>
      <c r="F1103" s="9" t="str">
        <f>IF(DADOS!E1103="","",DADOS!E1103)</f>
        <v/>
      </c>
      <c r="G1103" s="9" t="str">
        <f>IF(DADOS!F1103="","",DADOS!F1103)</f>
        <v/>
      </c>
      <c r="K1103" s="6" t="str">
        <f t="shared" si="90"/>
        <v/>
      </c>
      <c r="L1103" s="7" t="str">
        <f t="shared" si="91"/>
        <v/>
      </c>
      <c r="M1103" s="7" t="str">
        <f t="shared" si="88"/>
        <v/>
      </c>
      <c r="N1103" s="7" t="str">
        <f t="shared" si="92"/>
        <v/>
      </c>
      <c r="O1103" s="8"/>
      <c r="P1103" s="26"/>
      <c r="S1103" s="10" t="str">
        <f t="shared" si="89"/>
        <v/>
      </c>
    </row>
    <row r="1104" spans="5:19" x14ac:dyDescent="0.3">
      <c r="E1104" s="9" t="str">
        <f>IF(DADOS!C1104="","",DADOS!C1104)</f>
        <v/>
      </c>
      <c r="F1104" s="9" t="str">
        <f>IF(DADOS!E1104="","",DADOS!E1104)</f>
        <v/>
      </c>
      <c r="G1104" s="9" t="str">
        <f>IF(DADOS!F1104="","",DADOS!F1104)</f>
        <v/>
      </c>
      <c r="K1104" s="6" t="str">
        <f t="shared" si="90"/>
        <v/>
      </c>
      <c r="L1104" s="7" t="str">
        <f t="shared" si="91"/>
        <v/>
      </c>
      <c r="M1104" s="7" t="str">
        <f t="shared" si="88"/>
        <v/>
      </c>
      <c r="N1104" s="7" t="str">
        <f t="shared" si="92"/>
        <v/>
      </c>
      <c r="O1104" s="8"/>
      <c r="P1104" s="26"/>
      <c r="S1104" s="10" t="str">
        <f t="shared" si="89"/>
        <v/>
      </c>
    </row>
    <row r="1105" spans="5:19" x14ac:dyDescent="0.3">
      <c r="E1105" s="9" t="str">
        <f>IF(DADOS!C1105="","",DADOS!C1105)</f>
        <v/>
      </c>
      <c r="F1105" s="9" t="str">
        <f>IF(DADOS!E1105="","",DADOS!E1105)</f>
        <v/>
      </c>
      <c r="G1105" s="9" t="str">
        <f>IF(DADOS!F1105="","",DADOS!F1105)</f>
        <v/>
      </c>
      <c r="K1105" s="6" t="str">
        <f t="shared" si="90"/>
        <v/>
      </c>
      <c r="L1105" s="7" t="str">
        <f t="shared" si="91"/>
        <v/>
      </c>
      <c r="M1105" s="7" t="str">
        <f t="shared" si="88"/>
        <v/>
      </c>
      <c r="N1105" s="7" t="str">
        <f t="shared" si="92"/>
        <v/>
      </c>
      <c r="O1105" s="8"/>
      <c r="P1105" s="26"/>
      <c r="S1105" s="10" t="str">
        <f t="shared" si="89"/>
        <v/>
      </c>
    </row>
    <row r="1106" spans="5:19" x14ac:dyDescent="0.3">
      <c r="E1106" s="9" t="str">
        <f>IF(DADOS!C1106="","",DADOS!C1106)</f>
        <v/>
      </c>
      <c r="F1106" s="9" t="str">
        <f>IF(DADOS!E1106="","",DADOS!E1106)</f>
        <v/>
      </c>
      <c r="G1106" s="9" t="str">
        <f>IF(DADOS!F1106="","",DADOS!F1106)</f>
        <v/>
      </c>
      <c r="K1106" s="6" t="str">
        <f t="shared" si="90"/>
        <v/>
      </c>
      <c r="L1106" s="7" t="str">
        <f t="shared" si="91"/>
        <v/>
      </c>
      <c r="M1106" s="7" t="str">
        <f t="shared" si="88"/>
        <v/>
      </c>
      <c r="N1106" s="7" t="str">
        <f t="shared" si="92"/>
        <v/>
      </c>
      <c r="O1106" s="8"/>
      <c r="P1106" s="26"/>
      <c r="S1106" s="10" t="str">
        <f t="shared" si="89"/>
        <v/>
      </c>
    </row>
    <row r="1107" spans="5:19" x14ac:dyDescent="0.3">
      <c r="E1107" s="9" t="str">
        <f>IF(DADOS!C1107="","",DADOS!C1107)</f>
        <v/>
      </c>
      <c r="F1107" s="9" t="str">
        <f>IF(DADOS!E1107="","",DADOS!E1107)</f>
        <v/>
      </c>
      <c r="G1107" s="9" t="str">
        <f>IF(DADOS!F1107="","",DADOS!F1107)</f>
        <v/>
      </c>
      <c r="K1107" s="6" t="str">
        <f t="shared" si="90"/>
        <v/>
      </c>
      <c r="L1107" s="7" t="str">
        <f t="shared" si="91"/>
        <v/>
      </c>
      <c r="M1107" s="7" t="str">
        <f t="shared" si="88"/>
        <v/>
      </c>
      <c r="N1107" s="7" t="str">
        <f t="shared" si="92"/>
        <v/>
      </c>
      <c r="O1107" s="8"/>
      <c r="P1107" s="26"/>
      <c r="S1107" s="10" t="str">
        <f t="shared" si="89"/>
        <v/>
      </c>
    </row>
    <row r="1108" spans="5:19" x14ac:dyDescent="0.3">
      <c r="E1108" s="9" t="str">
        <f>IF(DADOS!C1108="","",DADOS!C1108)</f>
        <v/>
      </c>
      <c r="F1108" s="9" t="str">
        <f>IF(DADOS!E1108="","",DADOS!E1108)</f>
        <v/>
      </c>
      <c r="G1108" s="9" t="str">
        <f>IF(DADOS!F1108="","",DADOS!F1108)</f>
        <v/>
      </c>
      <c r="K1108" s="6" t="str">
        <f t="shared" si="90"/>
        <v/>
      </c>
      <c r="L1108" s="7" t="str">
        <f t="shared" si="91"/>
        <v/>
      </c>
      <c r="M1108" s="7" t="str">
        <f t="shared" si="88"/>
        <v/>
      </c>
      <c r="N1108" s="7" t="str">
        <f t="shared" si="92"/>
        <v/>
      </c>
      <c r="O1108" s="8"/>
      <c r="P1108" s="26"/>
      <c r="S1108" s="10" t="str">
        <f t="shared" si="89"/>
        <v/>
      </c>
    </row>
    <row r="1109" spans="5:19" x14ac:dyDescent="0.3">
      <c r="E1109" s="9" t="str">
        <f>IF(DADOS!C1109="","",DADOS!C1109)</f>
        <v/>
      </c>
      <c r="F1109" s="9" t="str">
        <f>IF(DADOS!E1109="","",DADOS!E1109)</f>
        <v/>
      </c>
      <c r="G1109" s="9" t="str">
        <f>IF(DADOS!F1109="","",DADOS!F1109)</f>
        <v/>
      </c>
      <c r="K1109" s="6" t="str">
        <f t="shared" si="90"/>
        <v/>
      </c>
      <c r="L1109" s="7" t="str">
        <f t="shared" si="91"/>
        <v/>
      </c>
      <c r="M1109" s="7" t="str">
        <f t="shared" si="88"/>
        <v/>
      </c>
      <c r="N1109" s="7" t="str">
        <f t="shared" si="92"/>
        <v/>
      </c>
      <c r="O1109" s="8"/>
      <c r="P1109" s="26"/>
      <c r="S1109" s="10" t="str">
        <f t="shared" si="89"/>
        <v/>
      </c>
    </row>
    <row r="1110" spans="5:19" x14ac:dyDescent="0.3">
      <c r="E1110" s="9" t="str">
        <f>IF(DADOS!C1110="","",DADOS!C1110)</f>
        <v/>
      </c>
      <c r="F1110" s="9" t="str">
        <f>IF(DADOS!E1110="","",DADOS!E1110)</f>
        <v/>
      </c>
      <c r="G1110" s="9" t="str">
        <f>IF(DADOS!F1110="","",DADOS!F1110)</f>
        <v/>
      </c>
      <c r="K1110" s="6" t="str">
        <f t="shared" si="90"/>
        <v/>
      </c>
      <c r="L1110" s="7" t="str">
        <f t="shared" si="91"/>
        <v/>
      </c>
      <c r="M1110" s="7" t="str">
        <f t="shared" si="88"/>
        <v/>
      </c>
      <c r="N1110" s="7" t="str">
        <f t="shared" si="92"/>
        <v/>
      </c>
      <c r="O1110" s="8"/>
      <c r="P1110" s="26"/>
      <c r="S1110" s="10" t="str">
        <f t="shared" si="89"/>
        <v/>
      </c>
    </row>
    <row r="1111" spans="5:19" x14ac:dyDescent="0.3">
      <c r="E1111" s="9" t="str">
        <f>IF(DADOS!C1111="","",DADOS!C1111)</f>
        <v/>
      </c>
      <c r="F1111" s="9" t="str">
        <f>IF(DADOS!E1111="","",DADOS!E1111)</f>
        <v/>
      </c>
      <c r="G1111" s="9" t="str">
        <f>IF(DADOS!F1111="","",DADOS!F1111)</f>
        <v/>
      </c>
      <c r="K1111" s="6" t="str">
        <f t="shared" si="90"/>
        <v/>
      </c>
      <c r="L1111" s="7" t="str">
        <f t="shared" si="91"/>
        <v/>
      </c>
      <c r="M1111" s="7" t="str">
        <f t="shared" si="88"/>
        <v/>
      </c>
      <c r="N1111" s="7" t="str">
        <f t="shared" si="92"/>
        <v/>
      </c>
      <c r="O1111" s="8"/>
      <c r="P1111" s="26"/>
      <c r="S1111" s="10" t="str">
        <f t="shared" si="89"/>
        <v/>
      </c>
    </row>
    <row r="1112" spans="5:19" x14ac:dyDescent="0.3">
      <c r="E1112" s="9" t="str">
        <f>IF(DADOS!C1112="","",DADOS!C1112)</f>
        <v/>
      </c>
      <c r="F1112" s="9" t="str">
        <f>IF(DADOS!E1112="","",DADOS!E1112)</f>
        <v/>
      </c>
      <c r="G1112" s="9" t="str">
        <f>IF(DADOS!F1112="","",DADOS!F1112)</f>
        <v/>
      </c>
      <c r="K1112" s="6" t="str">
        <f t="shared" si="90"/>
        <v/>
      </c>
      <c r="L1112" s="7" t="str">
        <f t="shared" si="91"/>
        <v/>
      </c>
      <c r="M1112" s="7" t="str">
        <f t="shared" si="88"/>
        <v/>
      </c>
      <c r="N1112" s="7" t="str">
        <f t="shared" si="92"/>
        <v/>
      </c>
      <c r="O1112" s="8"/>
      <c r="P1112" s="26"/>
      <c r="S1112" s="10" t="str">
        <f t="shared" si="89"/>
        <v/>
      </c>
    </row>
    <row r="1113" spans="5:19" x14ac:dyDescent="0.3">
      <c r="E1113" s="9" t="str">
        <f>IF(DADOS!C1113="","",DADOS!C1113)</f>
        <v/>
      </c>
      <c r="F1113" s="9" t="str">
        <f>IF(DADOS!E1113="","",DADOS!E1113)</f>
        <v/>
      </c>
      <c r="G1113" s="9" t="str">
        <f>IF(DADOS!F1113="","",DADOS!F1113)</f>
        <v/>
      </c>
      <c r="K1113" s="6" t="str">
        <f t="shared" si="90"/>
        <v/>
      </c>
      <c r="L1113" s="7" t="str">
        <f t="shared" si="91"/>
        <v/>
      </c>
      <c r="M1113" s="7" t="str">
        <f t="shared" si="88"/>
        <v/>
      </c>
      <c r="N1113" s="7" t="str">
        <f t="shared" si="92"/>
        <v/>
      </c>
      <c r="O1113" s="8"/>
      <c r="P1113" s="26"/>
      <c r="S1113" s="10" t="str">
        <f t="shared" si="89"/>
        <v/>
      </c>
    </row>
    <row r="1114" spans="5:19" x14ac:dyDescent="0.3">
      <c r="E1114" s="9" t="str">
        <f>IF(DADOS!C1114="","",DADOS!C1114)</f>
        <v/>
      </c>
      <c r="F1114" s="9" t="str">
        <f>IF(DADOS!E1114="","",DADOS!E1114)</f>
        <v/>
      </c>
      <c r="G1114" s="9" t="str">
        <f>IF(DADOS!F1114="","",DADOS!F1114)</f>
        <v/>
      </c>
      <c r="K1114" s="6" t="str">
        <f t="shared" si="90"/>
        <v/>
      </c>
      <c r="L1114" s="7" t="str">
        <f t="shared" si="91"/>
        <v/>
      </c>
      <c r="M1114" s="7" t="str">
        <f t="shared" si="88"/>
        <v/>
      </c>
      <c r="N1114" s="7" t="str">
        <f t="shared" si="92"/>
        <v/>
      </c>
      <c r="O1114" s="8"/>
      <c r="P1114" s="26"/>
      <c r="S1114" s="10" t="str">
        <f t="shared" si="89"/>
        <v/>
      </c>
    </row>
    <row r="1115" spans="5:19" x14ac:dyDescent="0.3">
      <c r="E1115" s="9" t="str">
        <f>IF(DADOS!C1115="","",DADOS!C1115)</f>
        <v/>
      </c>
      <c r="F1115" s="9" t="str">
        <f>IF(DADOS!E1115="","",DADOS!E1115)</f>
        <v/>
      </c>
      <c r="G1115" s="9" t="str">
        <f>IF(DADOS!F1115="","",DADOS!F1115)</f>
        <v/>
      </c>
      <c r="K1115" s="6" t="str">
        <f t="shared" si="90"/>
        <v/>
      </c>
      <c r="L1115" s="7" t="str">
        <f t="shared" si="91"/>
        <v/>
      </c>
      <c r="M1115" s="7" t="str">
        <f t="shared" si="88"/>
        <v/>
      </c>
      <c r="N1115" s="7" t="str">
        <f t="shared" si="92"/>
        <v/>
      </c>
      <c r="O1115" s="8"/>
      <c r="P1115" s="26"/>
      <c r="S1115" s="10" t="str">
        <f t="shared" si="89"/>
        <v/>
      </c>
    </row>
    <row r="1116" spans="5:19" x14ac:dyDescent="0.3">
      <c r="E1116" s="9" t="str">
        <f>IF(DADOS!C1116="","",DADOS!C1116)</f>
        <v/>
      </c>
      <c r="F1116" s="9" t="str">
        <f>IF(DADOS!E1116="","",DADOS!E1116)</f>
        <v/>
      </c>
      <c r="G1116" s="9" t="str">
        <f>IF(DADOS!F1116="","",DADOS!F1116)</f>
        <v/>
      </c>
      <c r="K1116" s="6" t="str">
        <f t="shared" si="90"/>
        <v/>
      </c>
      <c r="L1116" s="7" t="str">
        <f t="shared" si="91"/>
        <v/>
      </c>
      <c r="M1116" s="7" t="str">
        <f t="shared" si="88"/>
        <v/>
      </c>
      <c r="N1116" s="7" t="str">
        <f t="shared" si="92"/>
        <v/>
      </c>
      <c r="O1116" s="8"/>
      <c r="P1116" s="26"/>
      <c r="S1116" s="10" t="str">
        <f t="shared" si="89"/>
        <v/>
      </c>
    </row>
    <row r="1117" spans="5:19" x14ac:dyDescent="0.3">
      <c r="E1117" s="9" t="str">
        <f>IF(DADOS!C1117="","",DADOS!C1117)</f>
        <v/>
      </c>
      <c r="F1117" s="9" t="str">
        <f>IF(DADOS!E1117="","",DADOS!E1117)</f>
        <v/>
      </c>
      <c r="G1117" s="9" t="str">
        <f>IF(DADOS!F1117="","",DADOS!F1117)</f>
        <v/>
      </c>
      <c r="K1117" s="6" t="str">
        <f t="shared" si="90"/>
        <v/>
      </c>
      <c r="L1117" s="7" t="str">
        <f t="shared" si="91"/>
        <v/>
      </c>
      <c r="M1117" s="7" t="str">
        <f t="shared" si="88"/>
        <v/>
      </c>
      <c r="N1117" s="7" t="str">
        <f t="shared" si="92"/>
        <v/>
      </c>
      <c r="O1117" s="8"/>
      <c r="P1117" s="26"/>
      <c r="S1117" s="10" t="str">
        <f t="shared" si="89"/>
        <v/>
      </c>
    </row>
    <row r="1118" spans="5:19" x14ac:dyDescent="0.3">
      <c r="E1118" s="9" t="str">
        <f>IF(DADOS!C1118="","",DADOS!C1118)</f>
        <v/>
      </c>
      <c r="F1118" s="9" t="str">
        <f>IF(DADOS!E1118="","",DADOS!E1118)</f>
        <v/>
      </c>
      <c r="G1118" s="9" t="str">
        <f>IF(DADOS!F1118="","",DADOS!F1118)</f>
        <v/>
      </c>
      <c r="K1118" s="6" t="str">
        <f t="shared" si="90"/>
        <v/>
      </c>
      <c r="L1118" s="7" t="str">
        <f t="shared" si="91"/>
        <v/>
      </c>
      <c r="M1118" s="7" t="str">
        <f t="shared" si="88"/>
        <v/>
      </c>
      <c r="N1118" s="7" t="str">
        <f t="shared" si="92"/>
        <v/>
      </c>
      <c r="O1118" s="8"/>
      <c r="P1118" s="26"/>
      <c r="S1118" s="10" t="str">
        <f t="shared" si="89"/>
        <v/>
      </c>
    </row>
    <row r="1119" spans="5:19" x14ac:dyDescent="0.3">
      <c r="E1119" s="9" t="str">
        <f>IF(DADOS!C1119="","",DADOS!C1119)</f>
        <v/>
      </c>
      <c r="F1119" s="9" t="str">
        <f>IF(DADOS!E1119="","",DADOS!E1119)</f>
        <v/>
      </c>
      <c r="G1119" s="9" t="str">
        <f>IF(DADOS!F1119="","",DADOS!F1119)</f>
        <v/>
      </c>
      <c r="K1119" s="6" t="str">
        <f t="shared" si="90"/>
        <v/>
      </c>
      <c r="L1119" s="7" t="str">
        <f t="shared" si="91"/>
        <v/>
      </c>
      <c r="M1119" s="7" t="str">
        <f t="shared" si="88"/>
        <v/>
      </c>
      <c r="N1119" s="7" t="str">
        <f t="shared" si="92"/>
        <v/>
      </c>
      <c r="O1119" s="8"/>
      <c r="P1119" s="26"/>
      <c r="S1119" s="10" t="str">
        <f t="shared" si="89"/>
        <v/>
      </c>
    </row>
    <row r="1120" spans="5:19" x14ac:dyDescent="0.3">
      <c r="E1120" s="9" t="str">
        <f>IF(DADOS!C1120="","",DADOS!C1120)</f>
        <v/>
      </c>
      <c r="F1120" s="9" t="str">
        <f>IF(DADOS!E1120="","",DADOS!E1120)</f>
        <v/>
      </c>
      <c r="G1120" s="9" t="str">
        <f>IF(DADOS!F1120="","",DADOS!F1120)</f>
        <v/>
      </c>
      <c r="K1120" s="6" t="str">
        <f t="shared" si="90"/>
        <v/>
      </c>
      <c r="L1120" s="7" t="str">
        <f t="shared" si="91"/>
        <v/>
      </c>
      <c r="M1120" s="7" t="str">
        <f t="shared" si="88"/>
        <v/>
      </c>
      <c r="N1120" s="7" t="str">
        <f t="shared" si="92"/>
        <v/>
      </c>
      <c r="O1120" s="8"/>
      <c r="P1120" s="26"/>
      <c r="S1120" s="10" t="str">
        <f t="shared" si="89"/>
        <v/>
      </c>
    </row>
    <row r="1121" spans="5:19" x14ac:dyDescent="0.3">
      <c r="E1121" s="9" t="str">
        <f>IF(DADOS!C1121="","",DADOS!C1121)</f>
        <v/>
      </c>
      <c r="F1121" s="9" t="str">
        <f>IF(DADOS!E1121="","",DADOS!E1121)</f>
        <v/>
      </c>
      <c r="G1121" s="9" t="str">
        <f>IF(DADOS!F1121="","",DADOS!F1121)</f>
        <v/>
      </c>
      <c r="K1121" s="6" t="str">
        <f t="shared" si="90"/>
        <v/>
      </c>
      <c r="L1121" s="7" t="str">
        <f t="shared" si="91"/>
        <v/>
      </c>
      <c r="M1121" s="7" t="str">
        <f t="shared" si="88"/>
        <v/>
      </c>
      <c r="N1121" s="7" t="str">
        <f t="shared" si="92"/>
        <v/>
      </c>
      <c r="O1121" s="8"/>
      <c r="P1121" s="26"/>
      <c r="S1121" s="10" t="str">
        <f t="shared" si="89"/>
        <v/>
      </c>
    </row>
    <row r="1122" spans="5:19" x14ac:dyDescent="0.3">
      <c r="E1122" s="9" t="str">
        <f>IF(DADOS!C1122="","",DADOS!C1122)</f>
        <v/>
      </c>
      <c r="F1122" s="9" t="str">
        <f>IF(DADOS!E1122="","",DADOS!E1122)</f>
        <v/>
      </c>
      <c r="G1122" s="9" t="str">
        <f>IF(DADOS!F1122="","",DADOS!F1122)</f>
        <v/>
      </c>
      <c r="K1122" s="6" t="str">
        <f t="shared" si="90"/>
        <v/>
      </c>
      <c r="L1122" s="7" t="str">
        <f t="shared" si="91"/>
        <v/>
      </c>
      <c r="M1122" s="7" t="str">
        <f t="shared" si="88"/>
        <v/>
      </c>
      <c r="N1122" s="7" t="str">
        <f t="shared" si="92"/>
        <v/>
      </c>
      <c r="O1122" s="8"/>
      <c r="P1122" s="26"/>
      <c r="S1122" s="10" t="str">
        <f t="shared" si="89"/>
        <v/>
      </c>
    </row>
    <row r="1123" spans="5:19" x14ac:dyDescent="0.3">
      <c r="E1123" s="9" t="str">
        <f>IF(DADOS!C1123="","",DADOS!C1123)</f>
        <v/>
      </c>
      <c r="F1123" s="9" t="str">
        <f>IF(DADOS!E1123="","",DADOS!E1123)</f>
        <v/>
      </c>
      <c r="G1123" s="9" t="str">
        <f>IF(DADOS!F1123="","",DADOS!F1123)</f>
        <v/>
      </c>
      <c r="K1123" s="6" t="str">
        <f t="shared" si="90"/>
        <v/>
      </c>
      <c r="L1123" s="7" t="str">
        <f t="shared" si="91"/>
        <v/>
      </c>
      <c r="M1123" s="7" t="str">
        <f t="shared" si="88"/>
        <v/>
      </c>
      <c r="N1123" s="7" t="str">
        <f t="shared" si="92"/>
        <v/>
      </c>
      <c r="O1123" s="8"/>
      <c r="P1123" s="26"/>
      <c r="S1123" s="10" t="str">
        <f t="shared" si="89"/>
        <v/>
      </c>
    </row>
    <row r="1124" spans="5:19" x14ac:dyDescent="0.3">
      <c r="E1124" s="9" t="str">
        <f>IF(DADOS!C1124="","",DADOS!C1124)</f>
        <v/>
      </c>
      <c r="F1124" s="9" t="str">
        <f>IF(DADOS!E1124="","",DADOS!E1124)</f>
        <v/>
      </c>
      <c r="G1124" s="9" t="str">
        <f>IF(DADOS!F1124="","",DADOS!F1124)</f>
        <v/>
      </c>
      <c r="K1124" s="6" t="str">
        <f t="shared" si="90"/>
        <v/>
      </c>
      <c r="L1124" s="7" t="str">
        <f t="shared" si="91"/>
        <v/>
      </c>
      <c r="M1124" s="7" t="str">
        <f t="shared" si="88"/>
        <v/>
      </c>
      <c r="N1124" s="7" t="str">
        <f t="shared" si="92"/>
        <v/>
      </c>
      <c r="O1124" s="8"/>
      <c r="P1124" s="26"/>
      <c r="S1124" s="10" t="str">
        <f t="shared" si="89"/>
        <v/>
      </c>
    </row>
    <row r="1125" spans="5:19" x14ac:dyDescent="0.3">
      <c r="E1125" s="9" t="str">
        <f>IF(DADOS!C1125="","",DADOS!C1125)</f>
        <v/>
      </c>
      <c r="F1125" s="9" t="str">
        <f>IF(DADOS!E1125="","",DADOS!E1125)</f>
        <v/>
      </c>
      <c r="G1125" s="9" t="str">
        <f>IF(DADOS!F1125="","",DADOS!F1125)</f>
        <v/>
      </c>
      <c r="K1125" s="6" t="str">
        <f t="shared" si="90"/>
        <v/>
      </c>
      <c r="L1125" s="7" t="str">
        <f t="shared" si="91"/>
        <v/>
      </c>
      <c r="M1125" s="7" t="str">
        <f t="shared" si="88"/>
        <v/>
      </c>
      <c r="N1125" s="7" t="str">
        <f t="shared" si="92"/>
        <v/>
      </c>
      <c r="O1125" s="8"/>
      <c r="P1125" s="26"/>
      <c r="S1125" s="10" t="str">
        <f t="shared" si="89"/>
        <v/>
      </c>
    </row>
    <row r="1126" spans="5:19" x14ac:dyDescent="0.3">
      <c r="E1126" s="9" t="str">
        <f>IF(DADOS!C1126="","",DADOS!C1126)</f>
        <v/>
      </c>
      <c r="F1126" s="9" t="str">
        <f>IF(DADOS!E1126="","",DADOS!E1126)</f>
        <v/>
      </c>
      <c r="G1126" s="9" t="str">
        <f>IF(DADOS!F1126="","",DADOS!F1126)</f>
        <v/>
      </c>
      <c r="K1126" s="6" t="str">
        <f t="shared" si="90"/>
        <v/>
      </c>
      <c r="L1126" s="7" t="str">
        <f t="shared" si="91"/>
        <v/>
      </c>
      <c r="M1126" s="7" t="str">
        <f t="shared" si="88"/>
        <v/>
      </c>
      <c r="N1126" s="7" t="str">
        <f t="shared" si="92"/>
        <v/>
      </c>
      <c r="O1126" s="8"/>
      <c r="P1126" s="26"/>
      <c r="S1126" s="10" t="str">
        <f t="shared" si="89"/>
        <v/>
      </c>
    </row>
    <row r="1127" spans="5:19" x14ac:dyDescent="0.3">
      <c r="E1127" s="9" t="str">
        <f>IF(DADOS!C1127="","",DADOS!C1127)</f>
        <v/>
      </c>
      <c r="F1127" s="9" t="str">
        <f>IF(DADOS!E1127="","",DADOS!E1127)</f>
        <v/>
      </c>
      <c r="G1127" s="9" t="str">
        <f>IF(DADOS!F1127="","",DADOS!F1127)</f>
        <v/>
      </c>
      <c r="K1127" s="6" t="str">
        <f t="shared" si="90"/>
        <v/>
      </c>
      <c r="L1127" s="7" t="str">
        <f t="shared" si="91"/>
        <v/>
      </c>
      <c r="M1127" s="7" t="str">
        <f t="shared" si="88"/>
        <v/>
      </c>
      <c r="N1127" s="7" t="str">
        <f t="shared" si="92"/>
        <v/>
      </c>
      <c r="O1127" s="8"/>
      <c r="P1127" s="26"/>
      <c r="S1127" s="10" t="str">
        <f t="shared" si="89"/>
        <v/>
      </c>
    </row>
    <row r="1128" spans="5:19" x14ac:dyDescent="0.3">
      <c r="E1128" s="9" t="str">
        <f>IF(DADOS!C1128="","",DADOS!C1128)</f>
        <v/>
      </c>
      <c r="F1128" s="9" t="str">
        <f>IF(DADOS!E1128="","",DADOS!E1128)</f>
        <v/>
      </c>
      <c r="G1128" s="9" t="str">
        <f>IF(DADOS!F1128="","",DADOS!F1128)</f>
        <v/>
      </c>
      <c r="K1128" s="6" t="str">
        <f t="shared" si="90"/>
        <v/>
      </c>
      <c r="L1128" s="7" t="str">
        <f t="shared" si="91"/>
        <v/>
      </c>
      <c r="M1128" s="7" t="str">
        <f t="shared" si="88"/>
        <v/>
      </c>
      <c r="N1128" s="7" t="str">
        <f t="shared" si="92"/>
        <v/>
      </c>
      <c r="O1128" s="8"/>
      <c r="P1128" s="26"/>
      <c r="S1128" s="10" t="str">
        <f t="shared" si="89"/>
        <v/>
      </c>
    </row>
    <row r="1129" spans="5:19" x14ac:dyDescent="0.3">
      <c r="E1129" s="9" t="str">
        <f>IF(DADOS!C1129="","",DADOS!C1129)</f>
        <v/>
      </c>
      <c r="F1129" s="9" t="str">
        <f>IF(DADOS!E1129="","",DADOS!E1129)</f>
        <v/>
      </c>
      <c r="G1129" s="9" t="str">
        <f>IF(DADOS!F1129="","",DADOS!F1129)</f>
        <v/>
      </c>
      <c r="K1129" s="6" t="str">
        <f t="shared" si="90"/>
        <v/>
      </c>
      <c r="L1129" s="7" t="str">
        <f t="shared" si="91"/>
        <v/>
      </c>
      <c r="M1129" s="7" t="str">
        <f t="shared" si="88"/>
        <v/>
      </c>
      <c r="N1129" s="7" t="str">
        <f t="shared" si="92"/>
        <v/>
      </c>
      <c r="O1129" s="8"/>
      <c r="P1129" s="26"/>
      <c r="S1129" s="10" t="str">
        <f t="shared" si="89"/>
        <v/>
      </c>
    </row>
    <row r="1130" spans="5:19" x14ac:dyDescent="0.3">
      <c r="E1130" s="9" t="str">
        <f>IF(DADOS!C1130="","",DADOS!C1130)</f>
        <v/>
      </c>
      <c r="F1130" s="9" t="str">
        <f>IF(DADOS!E1130="","",DADOS!E1130)</f>
        <v/>
      </c>
      <c r="G1130" s="9" t="str">
        <f>IF(DADOS!F1130="","",DADOS!F1130)</f>
        <v/>
      </c>
      <c r="K1130" s="6" t="str">
        <f t="shared" si="90"/>
        <v/>
      </c>
      <c r="L1130" s="7" t="str">
        <f t="shared" si="91"/>
        <v/>
      </c>
      <c r="M1130" s="7" t="str">
        <f t="shared" si="88"/>
        <v/>
      </c>
      <c r="N1130" s="7" t="str">
        <f t="shared" si="92"/>
        <v/>
      </c>
      <c r="O1130" s="8"/>
      <c r="P1130" s="26"/>
      <c r="S1130" s="10" t="str">
        <f t="shared" si="89"/>
        <v/>
      </c>
    </row>
    <row r="1131" spans="5:19" x14ac:dyDescent="0.3">
      <c r="E1131" s="9" t="str">
        <f>IF(DADOS!C1131="","",DADOS!C1131)</f>
        <v/>
      </c>
      <c r="F1131" s="9" t="str">
        <f>IF(DADOS!E1131="","",DADOS!E1131)</f>
        <v/>
      </c>
      <c r="G1131" s="9" t="str">
        <f>IF(DADOS!F1131="","",DADOS!F1131)</f>
        <v/>
      </c>
      <c r="K1131" s="6" t="str">
        <f t="shared" si="90"/>
        <v/>
      </c>
      <c r="L1131" s="7" t="str">
        <f t="shared" si="91"/>
        <v/>
      </c>
      <c r="M1131" s="7" t="str">
        <f t="shared" si="88"/>
        <v/>
      </c>
      <c r="N1131" s="7" t="str">
        <f t="shared" si="92"/>
        <v/>
      </c>
      <c r="O1131" s="8"/>
      <c r="P1131" s="26"/>
      <c r="S1131" s="10" t="str">
        <f t="shared" si="89"/>
        <v/>
      </c>
    </row>
    <row r="1132" spans="5:19" x14ac:dyDescent="0.3">
      <c r="E1132" s="9" t="str">
        <f>IF(DADOS!C1132="","",DADOS!C1132)</f>
        <v/>
      </c>
      <c r="F1132" s="9" t="str">
        <f>IF(DADOS!E1132="","",DADOS!E1132)</f>
        <v/>
      </c>
      <c r="G1132" s="9" t="str">
        <f>IF(DADOS!F1132="","",DADOS!F1132)</f>
        <v/>
      </c>
      <c r="K1132" s="6" t="str">
        <f t="shared" si="90"/>
        <v/>
      </c>
      <c r="L1132" s="7" t="str">
        <f t="shared" si="91"/>
        <v/>
      </c>
      <c r="M1132" s="7" t="str">
        <f t="shared" si="88"/>
        <v/>
      </c>
      <c r="N1132" s="7" t="str">
        <f t="shared" si="92"/>
        <v/>
      </c>
      <c r="O1132" s="8"/>
      <c r="P1132" s="26"/>
      <c r="S1132" s="10" t="str">
        <f t="shared" si="89"/>
        <v/>
      </c>
    </row>
    <row r="1133" spans="5:19" x14ac:dyDescent="0.3">
      <c r="E1133" s="9" t="str">
        <f>IF(DADOS!C1133="","",DADOS!C1133)</f>
        <v/>
      </c>
      <c r="F1133" s="9" t="str">
        <f>IF(DADOS!E1133="","",DADOS!E1133)</f>
        <v/>
      </c>
      <c r="G1133" s="9" t="str">
        <f>IF(DADOS!F1133="","",DADOS!F1133)</f>
        <v/>
      </c>
      <c r="K1133" s="6" t="str">
        <f t="shared" si="90"/>
        <v/>
      </c>
      <c r="L1133" s="7" t="str">
        <f t="shared" si="91"/>
        <v/>
      </c>
      <c r="M1133" s="7" t="str">
        <f t="shared" si="88"/>
        <v/>
      </c>
      <c r="N1133" s="7" t="str">
        <f t="shared" si="92"/>
        <v/>
      </c>
      <c r="O1133" s="8"/>
      <c r="P1133" s="26"/>
      <c r="S1133" s="10" t="str">
        <f t="shared" si="89"/>
        <v/>
      </c>
    </row>
    <row r="1134" spans="5:19" x14ac:dyDescent="0.3">
      <c r="E1134" s="9" t="str">
        <f>IF(DADOS!C1134="","",DADOS!C1134)</f>
        <v/>
      </c>
      <c r="F1134" s="9" t="str">
        <f>IF(DADOS!E1134="","",DADOS!E1134)</f>
        <v/>
      </c>
      <c r="G1134" s="9" t="str">
        <f>IF(DADOS!F1134="","",DADOS!F1134)</f>
        <v/>
      </c>
      <c r="K1134" s="6" t="str">
        <f t="shared" si="90"/>
        <v/>
      </c>
      <c r="L1134" s="7" t="str">
        <f t="shared" si="91"/>
        <v/>
      </c>
      <c r="M1134" s="7" t="str">
        <f t="shared" si="88"/>
        <v/>
      </c>
      <c r="N1134" s="7" t="str">
        <f t="shared" si="92"/>
        <v/>
      </c>
      <c r="O1134" s="8"/>
      <c r="P1134" s="26"/>
      <c r="S1134" s="10" t="str">
        <f t="shared" si="89"/>
        <v/>
      </c>
    </row>
    <row r="1135" spans="5:19" x14ac:dyDescent="0.3">
      <c r="E1135" s="9" t="str">
        <f>IF(DADOS!C1135="","",DADOS!C1135)</f>
        <v/>
      </c>
      <c r="F1135" s="9" t="str">
        <f>IF(DADOS!E1135="","",DADOS!E1135)</f>
        <v/>
      </c>
      <c r="G1135" s="9" t="str">
        <f>IF(DADOS!F1135="","",DADOS!F1135)</f>
        <v/>
      </c>
      <c r="K1135" s="6" t="str">
        <f t="shared" si="90"/>
        <v/>
      </c>
      <c r="L1135" s="7" t="str">
        <f t="shared" si="91"/>
        <v/>
      </c>
      <c r="M1135" s="7" t="str">
        <f t="shared" si="88"/>
        <v/>
      </c>
      <c r="N1135" s="7" t="str">
        <f t="shared" si="92"/>
        <v/>
      </c>
      <c r="O1135" s="8"/>
      <c r="P1135" s="26"/>
      <c r="S1135" s="10" t="str">
        <f t="shared" si="89"/>
        <v/>
      </c>
    </row>
    <row r="1136" spans="5:19" x14ac:dyDescent="0.3">
      <c r="E1136" s="9" t="str">
        <f>IF(DADOS!C1136="","",DADOS!C1136)</f>
        <v/>
      </c>
      <c r="F1136" s="9" t="str">
        <f>IF(DADOS!E1136="","",DADOS!E1136)</f>
        <v/>
      </c>
      <c r="G1136" s="9" t="str">
        <f>IF(DADOS!F1136="","",DADOS!F1136)</f>
        <v/>
      </c>
      <c r="K1136" s="6" t="str">
        <f t="shared" si="90"/>
        <v/>
      </c>
      <c r="L1136" s="7" t="str">
        <f t="shared" si="91"/>
        <v/>
      </c>
      <c r="M1136" s="7" t="str">
        <f t="shared" si="88"/>
        <v/>
      </c>
      <c r="N1136" s="7" t="str">
        <f t="shared" si="92"/>
        <v/>
      </c>
      <c r="O1136" s="8"/>
      <c r="P1136" s="26"/>
      <c r="S1136" s="10" t="str">
        <f t="shared" si="89"/>
        <v/>
      </c>
    </row>
    <row r="1137" spans="5:19" x14ac:dyDescent="0.3">
      <c r="E1137" s="9" t="str">
        <f>IF(DADOS!C1137="","",DADOS!C1137)</f>
        <v/>
      </c>
      <c r="F1137" s="9" t="str">
        <f>IF(DADOS!E1137="","",DADOS!E1137)</f>
        <v/>
      </c>
      <c r="G1137" s="9" t="str">
        <f>IF(DADOS!F1137="","",DADOS!F1137)</f>
        <v/>
      </c>
      <c r="K1137" s="6" t="str">
        <f t="shared" si="90"/>
        <v/>
      </c>
      <c r="L1137" s="7" t="str">
        <f t="shared" si="91"/>
        <v/>
      </c>
      <c r="M1137" s="7" t="str">
        <f t="shared" si="88"/>
        <v/>
      </c>
      <c r="N1137" s="7" t="str">
        <f t="shared" si="92"/>
        <v/>
      </c>
      <c r="O1137" s="8"/>
      <c r="P1137" s="26"/>
      <c r="S1137" s="10" t="str">
        <f t="shared" si="89"/>
        <v/>
      </c>
    </row>
    <row r="1138" spans="5:19" x14ac:dyDescent="0.3">
      <c r="E1138" s="9" t="str">
        <f>IF(DADOS!C1138="","",DADOS!C1138)</f>
        <v/>
      </c>
      <c r="F1138" s="9" t="str">
        <f>IF(DADOS!E1138="","",DADOS!E1138)</f>
        <v/>
      </c>
      <c r="G1138" s="9" t="str">
        <f>IF(DADOS!F1138="","",DADOS!F1138)</f>
        <v/>
      </c>
      <c r="K1138" s="6" t="str">
        <f t="shared" si="90"/>
        <v/>
      </c>
      <c r="L1138" s="7" t="str">
        <f t="shared" si="91"/>
        <v/>
      </c>
      <c r="M1138" s="7" t="str">
        <f t="shared" si="88"/>
        <v/>
      </c>
      <c r="N1138" s="7" t="str">
        <f t="shared" si="92"/>
        <v/>
      </c>
      <c r="O1138" s="8"/>
      <c r="P1138" s="26"/>
      <c r="S1138" s="10" t="str">
        <f t="shared" si="89"/>
        <v/>
      </c>
    </row>
    <row r="1139" spans="5:19" x14ac:dyDescent="0.3">
      <c r="E1139" s="9" t="str">
        <f>IF(DADOS!C1139="","",DADOS!C1139)</f>
        <v/>
      </c>
      <c r="F1139" s="9" t="str">
        <f>IF(DADOS!E1139="","",DADOS!E1139)</f>
        <v/>
      </c>
      <c r="G1139" s="9" t="str">
        <f>IF(DADOS!F1139="","",DADOS!F1139)</f>
        <v/>
      </c>
      <c r="K1139" s="6" t="str">
        <f t="shared" si="90"/>
        <v/>
      </c>
      <c r="L1139" s="7" t="str">
        <f t="shared" si="91"/>
        <v/>
      </c>
      <c r="M1139" s="7" t="str">
        <f t="shared" si="88"/>
        <v/>
      </c>
      <c r="N1139" s="7" t="str">
        <f t="shared" si="92"/>
        <v/>
      </c>
      <c r="O1139" s="8"/>
      <c r="P1139" s="26"/>
      <c r="S1139" s="10" t="str">
        <f t="shared" si="89"/>
        <v/>
      </c>
    </row>
    <row r="1140" spans="5:19" x14ac:dyDescent="0.3">
      <c r="E1140" s="9" t="str">
        <f>IF(DADOS!C1140="","",DADOS!C1140)</f>
        <v/>
      </c>
      <c r="F1140" s="9" t="str">
        <f>IF(DADOS!E1140="","",DADOS!E1140)</f>
        <v/>
      </c>
      <c r="G1140" s="9" t="str">
        <f>IF(DADOS!F1140="","",DADOS!F1140)</f>
        <v/>
      </c>
      <c r="K1140" s="6" t="str">
        <f t="shared" si="90"/>
        <v/>
      </c>
      <c r="L1140" s="7" t="str">
        <f t="shared" si="91"/>
        <v/>
      </c>
      <c r="M1140" s="7" t="str">
        <f t="shared" si="88"/>
        <v/>
      </c>
      <c r="N1140" s="7" t="str">
        <f t="shared" si="92"/>
        <v/>
      </c>
      <c r="O1140" s="8"/>
      <c r="P1140" s="26"/>
      <c r="S1140" s="10" t="str">
        <f t="shared" si="89"/>
        <v/>
      </c>
    </row>
    <row r="1141" spans="5:19" x14ac:dyDescent="0.3">
      <c r="E1141" s="9" t="str">
        <f>IF(DADOS!C1141="","",DADOS!C1141)</f>
        <v/>
      </c>
      <c r="F1141" s="9" t="str">
        <f>IF(DADOS!E1141="","",DADOS!E1141)</f>
        <v/>
      </c>
      <c r="G1141" s="9" t="str">
        <f>IF(DADOS!F1141="","",DADOS!F1141)</f>
        <v/>
      </c>
      <c r="K1141" s="6" t="str">
        <f t="shared" si="90"/>
        <v/>
      </c>
      <c r="L1141" s="7" t="str">
        <f t="shared" si="91"/>
        <v/>
      </c>
      <c r="M1141" s="7" t="str">
        <f t="shared" si="88"/>
        <v/>
      </c>
      <c r="N1141" s="7" t="str">
        <f t="shared" si="92"/>
        <v/>
      </c>
      <c r="O1141" s="8"/>
      <c r="P1141" s="26"/>
      <c r="S1141" s="10" t="str">
        <f t="shared" si="89"/>
        <v/>
      </c>
    </row>
    <row r="1142" spans="5:19" x14ac:dyDescent="0.3">
      <c r="E1142" s="9" t="str">
        <f>IF(DADOS!C1142="","",DADOS!C1142)</f>
        <v/>
      </c>
      <c r="F1142" s="9" t="str">
        <f>IF(DADOS!E1142="","",DADOS!E1142)</f>
        <v/>
      </c>
      <c r="G1142" s="9" t="str">
        <f>IF(DADOS!F1142="","",DADOS!F1142)</f>
        <v/>
      </c>
      <c r="K1142" s="6" t="str">
        <f t="shared" si="90"/>
        <v/>
      </c>
      <c r="L1142" s="7" t="str">
        <f t="shared" si="91"/>
        <v/>
      </c>
      <c r="M1142" s="7" t="str">
        <f t="shared" si="88"/>
        <v/>
      </c>
      <c r="N1142" s="7" t="str">
        <f t="shared" si="92"/>
        <v/>
      </c>
      <c r="O1142" s="8"/>
      <c r="P1142" s="26"/>
      <c r="S1142" s="10" t="str">
        <f t="shared" si="89"/>
        <v/>
      </c>
    </row>
    <row r="1143" spans="5:19" x14ac:dyDescent="0.3">
      <c r="E1143" s="9" t="str">
        <f>IF(DADOS!C1143="","",DADOS!C1143)</f>
        <v/>
      </c>
      <c r="F1143" s="9" t="str">
        <f>IF(DADOS!E1143="","",DADOS!E1143)</f>
        <v/>
      </c>
      <c r="G1143" s="9" t="str">
        <f>IF(DADOS!F1143="","",DADOS!F1143)</f>
        <v/>
      </c>
      <c r="K1143" s="6" t="str">
        <f t="shared" si="90"/>
        <v/>
      </c>
      <c r="L1143" s="7" t="str">
        <f t="shared" si="91"/>
        <v/>
      </c>
      <c r="M1143" s="7" t="str">
        <f t="shared" si="88"/>
        <v/>
      </c>
      <c r="N1143" s="7" t="str">
        <f t="shared" si="92"/>
        <v/>
      </c>
      <c r="O1143" s="8"/>
      <c r="P1143" s="26"/>
      <c r="S1143" s="10" t="str">
        <f t="shared" si="89"/>
        <v/>
      </c>
    </row>
    <row r="1144" spans="5:19" x14ac:dyDescent="0.3">
      <c r="E1144" s="9" t="str">
        <f>IF(DADOS!C1144="","",DADOS!C1144)</f>
        <v/>
      </c>
      <c r="F1144" s="9" t="str">
        <f>IF(DADOS!E1144="","",DADOS!E1144)</f>
        <v/>
      </c>
      <c r="G1144" s="9" t="str">
        <f>IF(DADOS!F1144="","",DADOS!F1144)</f>
        <v/>
      </c>
      <c r="K1144" s="6" t="str">
        <f t="shared" si="90"/>
        <v/>
      </c>
      <c r="L1144" s="7" t="str">
        <f t="shared" si="91"/>
        <v/>
      </c>
      <c r="M1144" s="7" t="str">
        <f t="shared" si="88"/>
        <v/>
      </c>
      <c r="N1144" s="7" t="str">
        <f t="shared" si="92"/>
        <v/>
      </c>
      <c r="O1144" s="8"/>
      <c r="P1144" s="26"/>
      <c r="S1144" s="10" t="str">
        <f t="shared" si="89"/>
        <v/>
      </c>
    </row>
    <row r="1145" spans="5:19" x14ac:dyDescent="0.3">
      <c r="E1145" s="9" t="str">
        <f>IF(DADOS!C1145="","",DADOS!C1145)</f>
        <v/>
      </c>
      <c r="F1145" s="9" t="str">
        <f>IF(DADOS!E1145="","",DADOS!E1145)</f>
        <v/>
      </c>
      <c r="G1145" s="9" t="str">
        <f>IF(DADOS!F1145="","",DADOS!F1145)</f>
        <v/>
      </c>
      <c r="K1145" s="6" t="str">
        <f t="shared" si="90"/>
        <v/>
      </c>
      <c r="L1145" s="7" t="str">
        <f t="shared" si="91"/>
        <v/>
      </c>
      <c r="M1145" s="7" t="str">
        <f t="shared" si="88"/>
        <v/>
      </c>
      <c r="N1145" s="7" t="str">
        <f t="shared" si="92"/>
        <v/>
      </c>
      <c r="O1145" s="8"/>
      <c r="P1145" s="26"/>
      <c r="S1145" s="10" t="str">
        <f t="shared" si="89"/>
        <v/>
      </c>
    </row>
    <row r="1146" spans="5:19" x14ac:dyDescent="0.3">
      <c r="E1146" s="9" t="str">
        <f>IF(DADOS!C1146="","",DADOS!C1146)</f>
        <v/>
      </c>
      <c r="F1146" s="9" t="str">
        <f>IF(DADOS!E1146="","",DADOS!E1146)</f>
        <v/>
      </c>
      <c r="G1146" s="9" t="str">
        <f>IF(DADOS!F1146="","",DADOS!F1146)</f>
        <v/>
      </c>
      <c r="K1146" s="6" t="str">
        <f t="shared" si="90"/>
        <v/>
      </c>
      <c r="L1146" s="7" t="str">
        <f t="shared" si="91"/>
        <v/>
      </c>
      <c r="M1146" s="7" t="str">
        <f t="shared" si="88"/>
        <v/>
      </c>
      <c r="N1146" s="7" t="str">
        <f t="shared" si="92"/>
        <v/>
      </c>
      <c r="O1146" s="8"/>
      <c r="P1146" s="26"/>
      <c r="S1146" s="10" t="str">
        <f t="shared" si="89"/>
        <v/>
      </c>
    </row>
    <row r="1147" spans="5:19" x14ac:dyDescent="0.3">
      <c r="E1147" s="9" t="str">
        <f>IF(DADOS!C1147="","",DADOS!C1147)</f>
        <v/>
      </c>
      <c r="F1147" s="9" t="str">
        <f>IF(DADOS!E1147="","",DADOS!E1147)</f>
        <v/>
      </c>
      <c r="G1147" s="9" t="str">
        <f>IF(DADOS!F1147="","",DADOS!F1147)</f>
        <v/>
      </c>
      <c r="K1147" s="6" t="str">
        <f t="shared" si="90"/>
        <v/>
      </c>
      <c r="L1147" s="7" t="str">
        <f t="shared" si="91"/>
        <v/>
      </c>
      <c r="M1147" s="7" t="str">
        <f t="shared" si="88"/>
        <v/>
      </c>
      <c r="N1147" s="7" t="str">
        <f t="shared" si="92"/>
        <v/>
      </c>
      <c r="O1147" s="8"/>
      <c r="P1147" s="26"/>
      <c r="S1147" s="10" t="str">
        <f t="shared" si="89"/>
        <v/>
      </c>
    </row>
    <row r="1148" spans="5:19" x14ac:dyDescent="0.3">
      <c r="E1148" s="9" t="str">
        <f>IF(DADOS!C1148="","",DADOS!C1148)</f>
        <v/>
      </c>
      <c r="F1148" s="9" t="str">
        <f>IF(DADOS!E1148="","",DADOS!E1148)</f>
        <v/>
      </c>
      <c r="G1148" s="9" t="str">
        <f>IF(DADOS!F1148="","",DADOS!F1148)</f>
        <v/>
      </c>
      <c r="K1148" s="6" t="str">
        <f t="shared" si="90"/>
        <v/>
      </c>
      <c r="L1148" s="7" t="str">
        <f t="shared" si="91"/>
        <v/>
      </c>
      <c r="M1148" s="7" t="str">
        <f t="shared" si="88"/>
        <v/>
      </c>
      <c r="N1148" s="7" t="str">
        <f t="shared" si="92"/>
        <v/>
      </c>
      <c r="O1148" s="8"/>
      <c r="P1148" s="26"/>
      <c r="S1148" s="10" t="str">
        <f t="shared" si="89"/>
        <v/>
      </c>
    </row>
    <row r="1149" spans="5:19" x14ac:dyDescent="0.3">
      <c r="E1149" s="9" t="str">
        <f>IF(DADOS!C1149="","",DADOS!C1149)</f>
        <v/>
      </c>
      <c r="F1149" s="9" t="str">
        <f>IF(DADOS!E1149="","",DADOS!E1149)</f>
        <v/>
      </c>
      <c r="G1149" s="9" t="str">
        <f>IF(DADOS!F1149="","",DADOS!F1149)</f>
        <v/>
      </c>
      <c r="K1149" s="6" t="str">
        <f t="shared" si="90"/>
        <v/>
      </c>
      <c r="L1149" s="7" t="str">
        <f t="shared" si="91"/>
        <v/>
      </c>
      <c r="M1149" s="7" t="str">
        <f t="shared" si="88"/>
        <v/>
      </c>
      <c r="N1149" s="7" t="str">
        <f t="shared" si="92"/>
        <v/>
      </c>
      <c r="O1149" s="8"/>
      <c r="P1149" s="26"/>
      <c r="S1149" s="10" t="str">
        <f t="shared" si="89"/>
        <v/>
      </c>
    </row>
    <row r="1150" spans="5:19" x14ac:dyDescent="0.3">
      <c r="E1150" s="9" t="str">
        <f>IF(DADOS!C1150="","",DADOS!C1150)</f>
        <v/>
      </c>
      <c r="F1150" s="9" t="str">
        <f>IF(DADOS!E1150="","",DADOS!E1150)</f>
        <v/>
      </c>
      <c r="G1150" s="9" t="str">
        <f>IF(DADOS!F1150="","",DADOS!F1150)</f>
        <v/>
      </c>
      <c r="K1150" s="6" t="str">
        <f t="shared" si="90"/>
        <v/>
      </c>
      <c r="L1150" s="7" t="str">
        <f t="shared" si="91"/>
        <v/>
      </c>
      <c r="M1150" s="7" t="str">
        <f t="shared" si="88"/>
        <v/>
      </c>
      <c r="N1150" s="7" t="str">
        <f t="shared" si="92"/>
        <v/>
      </c>
      <c r="O1150" s="8"/>
      <c r="P1150" s="26"/>
      <c r="S1150" s="10" t="str">
        <f t="shared" si="89"/>
        <v/>
      </c>
    </row>
    <row r="1151" spans="5:19" x14ac:dyDescent="0.3">
      <c r="E1151" s="9" t="str">
        <f>IF(DADOS!C1151="","",DADOS!C1151)</f>
        <v/>
      </c>
      <c r="F1151" s="9" t="str">
        <f>IF(DADOS!E1151="","",DADOS!E1151)</f>
        <v/>
      </c>
      <c r="G1151" s="9" t="str">
        <f>IF(DADOS!F1151="","",DADOS!F1151)</f>
        <v/>
      </c>
      <c r="K1151" s="6" t="str">
        <f t="shared" si="90"/>
        <v/>
      </c>
      <c r="L1151" s="7" t="str">
        <f t="shared" si="91"/>
        <v/>
      </c>
      <c r="M1151" s="7" t="str">
        <f t="shared" si="88"/>
        <v/>
      </c>
      <c r="N1151" s="7" t="str">
        <f t="shared" si="92"/>
        <v/>
      </c>
      <c r="O1151" s="8"/>
      <c r="P1151" s="26"/>
      <c r="S1151" s="10" t="str">
        <f t="shared" si="89"/>
        <v/>
      </c>
    </row>
    <row r="1152" spans="5:19" x14ac:dyDescent="0.3">
      <c r="E1152" s="9" t="str">
        <f>IF(DADOS!C1152="","",DADOS!C1152)</f>
        <v/>
      </c>
      <c r="F1152" s="9" t="str">
        <f>IF(DADOS!E1152="","",DADOS!E1152)</f>
        <v/>
      </c>
      <c r="G1152" s="9" t="str">
        <f>IF(DADOS!F1152="","",DADOS!F1152)</f>
        <v/>
      </c>
      <c r="K1152" s="6" t="str">
        <f t="shared" si="90"/>
        <v/>
      </c>
      <c r="L1152" s="7" t="str">
        <f t="shared" si="91"/>
        <v/>
      </c>
      <c r="M1152" s="7" t="str">
        <f t="shared" si="88"/>
        <v/>
      </c>
      <c r="N1152" s="7" t="str">
        <f t="shared" si="92"/>
        <v/>
      </c>
      <c r="O1152" s="8"/>
      <c r="P1152" s="26"/>
      <c r="S1152" s="10" t="str">
        <f t="shared" si="89"/>
        <v/>
      </c>
    </row>
    <row r="1153" spans="5:19" x14ac:dyDescent="0.3">
      <c r="E1153" s="9" t="str">
        <f>IF(DADOS!C1153="","",DADOS!C1153)</f>
        <v/>
      </c>
      <c r="F1153" s="9" t="str">
        <f>IF(DADOS!E1153="","",DADOS!E1153)</f>
        <v/>
      </c>
      <c r="G1153" s="9" t="str">
        <f>IF(DADOS!F1153="","",DADOS!F1153)</f>
        <v/>
      </c>
      <c r="K1153" s="6" t="str">
        <f t="shared" si="90"/>
        <v/>
      </c>
      <c r="L1153" s="7" t="str">
        <f t="shared" si="91"/>
        <v/>
      </c>
      <c r="M1153" s="7" t="str">
        <f t="shared" si="88"/>
        <v/>
      </c>
      <c r="N1153" s="7" t="str">
        <f t="shared" si="92"/>
        <v/>
      </c>
      <c r="O1153" s="8"/>
      <c r="P1153" s="26"/>
      <c r="S1153" s="10" t="str">
        <f t="shared" si="89"/>
        <v/>
      </c>
    </row>
    <row r="1154" spans="5:19" x14ac:dyDescent="0.3">
      <c r="E1154" s="9" t="str">
        <f>IF(DADOS!C1154="","",DADOS!C1154)</f>
        <v/>
      </c>
      <c r="F1154" s="9" t="str">
        <f>IF(DADOS!E1154="","",DADOS!E1154)</f>
        <v/>
      </c>
      <c r="G1154" s="9" t="str">
        <f>IF(DADOS!F1154="","",DADOS!F1154)</f>
        <v/>
      </c>
      <c r="K1154" s="6" t="str">
        <f t="shared" si="90"/>
        <v/>
      </c>
      <c r="L1154" s="7" t="str">
        <f t="shared" si="91"/>
        <v/>
      </c>
      <c r="M1154" s="7" t="str">
        <f t="shared" si="88"/>
        <v/>
      </c>
      <c r="N1154" s="7" t="str">
        <f t="shared" si="92"/>
        <v/>
      </c>
      <c r="O1154" s="8"/>
      <c r="P1154" s="26"/>
      <c r="S1154" s="10" t="str">
        <f t="shared" si="89"/>
        <v/>
      </c>
    </row>
    <row r="1155" spans="5:19" x14ac:dyDescent="0.3">
      <c r="E1155" s="9" t="str">
        <f>IF(DADOS!C1155="","",DADOS!C1155)</f>
        <v/>
      </c>
      <c r="F1155" s="9" t="str">
        <f>IF(DADOS!E1155="","",DADOS!E1155)</f>
        <v/>
      </c>
      <c r="G1155" s="9" t="str">
        <f>IF(DADOS!F1155="","",DADOS!F1155)</f>
        <v/>
      </c>
      <c r="K1155" s="6" t="str">
        <f t="shared" si="90"/>
        <v/>
      </c>
      <c r="L1155" s="7" t="str">
        <f t="shared" si="91"/>
        <v/>
      </c>
      <c r="M1155" s="7" t="str">
        <f t="shared" ref="M1155:M1218" si="93">IF(L1155="","",L1155*G1155)</f>
        <v/>
      </c>
      <c r="N1155" s="7" t="str">
        <f t="shared" si="92"/>
        <v/>
      </c>
      <c r="O1155" s="8"/>
      <c r="P1155" s="26"/>
      <c r="S1155" s="10" t="str">
        <f t="shared" ref="S1155:S1218" si="94">IF(R1155="","",SUMIFS($N$3:$N$10000,$E$3:$E$10000,R1155))</f>
        <v/>
      </c>
    </row>
    <row r="1156" spans="5:19" x14ac:dyDescent="0.3">
      <c r="E1156" s="9" t="str">
        <f>IF(DADOS!C1156="","",DADOS!C1156)</f>
        <v/>
      </c>
      <c r="F1156" s="9" t="str">
        <f>IF(DADOS!E1156="","",DADOS!E1156)</f>
        <v/>
      </c>
      <c r="G1156" s="9" t="str">
        <f>IF(DADOS!F1156="","",DADOS!F1156)</f>
        <v/>
      </c>
      <c r="K1156" s="6" t="str">
        <f t="shared" ref="K1156:K1219" si="95">IF(F1156="","",F1156/PI())</f>
        <v/>
      </c>
      <c r="L1156" s="7" t="str">
        <f t="shared" ref="L1156:L1219" si="96">IF(K1156="","",(PI()*K1156^2)/40000)</f>
        <v/>
      </c>
      <c r="M1156" s="7" t="str">
        <f t="shared" si="93"/>
        <v/>
      </c>
      <c r="N1156" s="7" t="str">
        <f t="shared" ref="N1156:N1219" si="97">IF(M1156="","",M1156*N$1)</f>
        <v/>
      </c>
      <c r="O1156" s="8"/>
      <c r="P1156" s="26"/>
      <c r="S1156" s="10" t="str">
        <f t="shared" si="94"/>
        <v/>
      </c>
    </row>
    <row r="1157" spans="5:19" x14ac:dyDescent="0.3">
      <c r="E1157" s="9" t="str">
        <f>IF(DADOS!C1157="","",DADOS!C1157)</f>
        <v/>
      </c>
      <c r="F1157" s="9" t="str">
        <f>IF(DADOS!E1157="","",DADOS!E1157)</f>
        <v/>
      </c>
      <c r="G1157" s="9" t="str">
        <f>IF(DADOS!F1157="","",DADOS!F1157)</f>
        <v/>
      </c>
      <c r="K1157" s="6" t="str">
        <f t="shared" si="95"/>
        <v/>
      </c>
      <c r="L1157" s="7" t="str">
        <f t="shared" si="96"/>
        <v/>
      </c>
      <c r="M1157" s="7" t="str">
        <f t="shared" si="93"/>
        <v/>
      </c>
      <c r="N1157" s="7" t="str">
        <f t="shared" si="97"/>
        <v/>
      </c>
      <c r="O1157" s="8"/>
      <c r="P1157" s="26"/>
      <c r="S1157" s="10" t="str">
        <f t="shared" si="94"/>
        <v/>
      </c>
    </row>
    <row r="1158" spans="5:19" x14ac:dyDescent="0.3">
      <c r="E1158" s="9" t="str">
        <f>IF(DADOS!C1158="","",DADOS!C1158)</f>
        <v/>
      </c>
      <c r="F1158" s="9" t="str">
        <f>IF(DADOS!E1158="","",DADOS!E1158)</f>
        <v/>
      </c>
      <c r="G1158" s="9" t="str">
        <f>IF(DADOS!F1158="","",DADOS!F1158)</f>
        <v/>
      </c>
      <c r="K1158" s="6" t="str">
        <f t="shared" si="95"/>
        <v/>
      </c>
      <c r="L1158" s="7" t="str">
        <f t="shared" si="96"/>
        <v/>
      </c>
      <c r="M1158" s="7" t="str">
        <f t="shared" si="93"/>
        <v/>
      </c>
      <c r="N1158" s="7" t="str">
        <f t="shared" si="97"/>
        <v/>
      </c>
      <c r="O1158" s="8"/>
      <c r="P1158" s="26"/>
      <c r="S1158" s="10" t="str">
        <f t="shared" si="94"/>
        <v/>
      </c>
    </row>
    <row r="1159" spans="5:19" x14ac:dyDescent="0.3">
      <c r="E1159" s="9" t="str">
        <f>IF(DADOS!C1159="","",DADOS!C1159)</f>
        <v/>
      </c>
      <c r="F1159" s="9" t="str">
        <f>IF(DADOS!E1159="","",DADOS!E1159)</f>
        <v/>
      </c>
      <c r="G1159" s="9" t="str">
        <f>IF(DADOS!F1159="","",DADOS!F1159)</f>
        <v/>
      </c>
      <c r="K1159" s="6" t="str">
        <f t="shared" si="95"/>
        <v/>
      </c>
      <c r="L1159" s="7" t="str">
        <f t="shared" si="96"/>
        <v/>
      </c>
      <c r="M1159" s="7" t="str">
        <f t="shared" si="93"/>
        <v/>
      </c>
      <c r="N1159" s="7" t="str">
        <f t="shared" si="97"/>
        <v/>
      </c>
      <c r="O1159" s="8"/>
      <c r="P1159" s="26"/>
      <c r="S1159" s="10" t="str">
        <f t="shared" si="94"/>
        <v/>
      </c>
    </row>
    <row r="1160" spans="5:19" x14ac:dyDescent="0.3">
      <c r="E1160" s="9" t="str">
        <f>IF(DADOS!C1160="","",DADOS!C1160)</f>
        <v/>
      </c>
      <c r="F1160" s="9" t="str">
        <f>IF(DADOS!E1160="","",DADOS!E1160)</f>
        <v/>
      </c>
      <c r="G1160" s="9" t="str">
        <f>IF(DADOS!F1160="","",DADOS!F1160)</f>
        <v/>
      </c>
      <c r="K1160" s="6" t="str">
        <f t="shared" si="95"/>
        <v/>
      </c>
      <c r="L1160" s="7" t="str">
        <f t="shared" si="96"/>
        <v/>
      </c>
      <c r="M1160" s="7" t="str">
        <f t="shared" si="93"/>
        <v/>
      </c>
      <c r="N1160" s="7" t="str">
        <f t="shared" si="97"/>
        <v/>
      </c>
      <c r="O1160" s="8"/>
      <c r="P1160" s="26"/>
      <c r="S1160" s="10" t="str">
        <f t="shared" si="94"/>
        <v/>
      </c>
    </row>
    <row r="1161" spans="5:19" x14ac:dyDescent="0.3">
      <c r="E1161" s="9" t="str">
        <f>IF(DADOS!C1161="","",DADOS!C1161)</f>
        <v/>
      </c>
      <c r="F1161" s="9" t="str">
        <f>IF(DADOS!E1161="","",DADOS!E1161)</f>
        <v/>
      </c>
      <c r="G1161" s="9" t="str">
        <f>IF(DADOS!F1161="","",DADOS!F1161)</f>
        <v/>
      </c>
      <c r="K1161" s="6" t="str">
        <f t="shared" si="95"/>
        <v/>
      </c>
      <c r="L1161" s="7" t="str">
        <f t="shared" si="96"/>
        <v/>
      </c>
      <c r="M1161" s="7" t="str">
        <f t="shared" si="93"/>
        <v/>
      </c>
      <c r="N1161" s="7" t="str">
        <f t="shared" si="97"/>
        <v/>
      </c>
      <c r="O1161" s="8"/>
      <c r="P1161" s="26"/>
      <c r="S1161" s="10" t="str">
        <f t="shared" si="94"/>
        <v/>
      </c>
    </row>
    <row r="1162" spans="5:19" x14ac:dyDescent="0.3">
      <c r="E1162" s="9" t="str">
        <f>IF(DADOS!C1162="","",DADOS!C1162)</f>
        <v/>
      </c>
      <c r="F1162" s="9" t="str">
        <f>IF(DADOS!E1162="","",DADOS!E1162)</f>
        <v/>
      </c>
      <c r="G1162" s="9" t="str">
        <f>IF(DADOS!F1162="","",DADOS!F1162)</f>
        <v/>
      </c>
      <c r="K1162" s="6" t="str">
        <f t="shared" si="95"/>
        <v/>
      </c>
      <c r="L1162" s="7" t="str">
        <f t="shared" si="96"/>
        <v/>
      </c>
      <c r="M1162" s="7" t="str">
        <f t="shared" si="93"/>
        <v/>
      </c>
      <c r="N1162" s="7" t="str">
        <f t="shared" si="97"/>
        <v/>
      </c>
      <c r="O1162" s="8"/>
      <c r="P1162" s="26"/>
      <c r="S1162" s="10" t="str">
        <f t="shared" si="94"/>
        <v/>
      </c>
    </row>
    <row r="1163" spans="5:19" x14ac:dyDescent="0.3">
      <c r="E1163" s="9" t="str">
        <f>IF(DADOS!C1163="","",DADOS!C1163)</f>
        <v/>
      </c>
      <c r="F1163" s="9" t="str">
        <f>IF(DADOS!E1163="","",DADOS!E1163)</f>
        <v/>
      </c>
      <c r="G1163" s="9" t="str">
        <f>IF(DADOS!F1163="","",DADOS!F1163)</f>
        <v/>
      </c>
      <c r="K1163" s="6" t="str">
        <f t="shared" si="95"/>
        <v/>
      </c>
      <c r="L1163" s="7" t="str">
        <f t="shared" si="96"/>
        <v/>
      </c>
      <c r="M1163" s="7" t="str">
        <f t="shared" si="93"/>
        <v/>
      </c>
      <c r="N1163" s="7" t="str">
        <f t="shared" si="97"/>
        <v/>
      </c>
      <c r="O1163" s="8"/>
      <c r="P1163" s="26"/>
      <c r="S1163" s="10" t="str">
        <f t="shared" si="94"/>
        <v/>
      </c>
    </row>
    <row r="1164" spans="5:19" x14ac:dyDescent="0.3">
      <c r="E1164" s="9" t="str">
        <f>IF(DADOS!C1164="","",DADOS!C1164)</f>
        <v/>
      </c>
      <c r="F1164" s="9" t="str">
        <f>IF(DADOS!E1164="","",DADOS!E1164)</f>
        <v/>
      </c>
      <c r="G1164" s="9" t="str">
        <f>IF(DADOS!F1164="","",DADOS!F1164)</f>
        <v/>
      </c>
      <c r="K1164" s="6" t="str">
        <f t="shared" si="95"/>
        <v/>
      </c>
      <c r="L1164" s="7" t="str">
        <f t="shared" si="96"/>
        <v/>
      </c>
      <c r="M1164" s="7" t="str">
        <f t="shared" si="93"/>
        <v/>
      </c>
      <c r="N1164" s="7" t="str">
        <f t="shared" si="97"/>
        <v/>
      </c>
      <c r="O1164" s="8"/>
      <c r="P1164" s="26"/>
      <c r="S1164" s="10" t="str">
        <f t="shared" si="94"/>
        <v/>
      </c>
    </row>
    <row r="1165" spans="5:19" x14ac:dyDescent="0.3">
      <c r="E1165" s="9" t="str">
        <f>IF(DADOS!C1165="","",DADOS!C1165)</f>
        <v/>
      </c>
      <c r="F1165" s="9" t="str">
        <f>IF(DADOS!E1165="","",DADOS!E1165)</f>
        <v/>
      </c>
      <c r="G1165" s="9" t="str">
        <f>IF(DADOS!F1165="","",DADOS!F1165)</f>
        <v/>
      </c>
      <c r="K1165" s="6" t="str">
        <f t="shared" si="95"/>
        <v/>
      </c>
      <c r="L1165" s="7" t="str">
        <f t="shared" si="96"/>
        <v/>
      </c>
      <c r="M1165" s="7" t="str">
        <f t="shared" si="93"/>
        <v/>
      </c>
      <c r="N1165" s="7" t="str">
        <f t="shared" si="97"/>
        <v/>
      </c>
      <c r="O1165" s="8"/>
      <c r="P1165" s="26"/>
      <c r="S1165" s="10" t="str">
        <f t="shared" si="94"/>
        <v/>
      </c>
    </row>
    <row r="1166" spans="5:19" x14ac:dyDescent="0.3">
      <c r="E1166" s="9" t="str">
        <f>IF(DADOS!C1166="","",DADOS!C1166)</f>
        <v/>
      </c>
      <c r="F1166" s="9" t="str">
        <f>IF(DADOS!E1166="","",DADOS!E1166)</f>
        <v/>
      </c>
      <c r="G1166" s="9" t="str">
        <f>IF(DADOS!F1166="","",DADOS!F1166)</f>
        <v/>
      </c>
      <c r="K1166" s="6" t="str">
        <f t="shared" si="95"/>
        <v/>
      </c>
      <c r="L1166" s="7" t="str">
        <f t="shared" si="96"/>
        <v/>
      </c>
      <c r="M1166" s="7" t="str">
        <f t="shared" si="93"/>
        <v/>
      </c>
      <c r="N1166" s="7" t="str">
        <f t="shared" si="97"/>
        <v/>
      </c>
      <c r="O1166" s="8"/>
      <c r="P1166" s="26"/>
      <c r="S1166" s="10" t="str">
        <f t="shared" si="94"/>
        <v/>
      </c>
    </row>
    <row r="1167" spans="5:19" x14ac:dyDescent="0.3">
      <c r="E1167" s="9" t="str">
        <f>IF(DADOS!C1167="","",DADOS!C1167)</f>
        <v/>
      </c>
      <c r="F1167" s="9" t="str">
        <f>IF(DADOS!E1167="","",DADOS!E1167)</f>
        <v/>
      </c>
      <c r="G1167" s="9" t="str">
        <f>IF(DADOS!F1167="","",DADOS!F1167)</f>
        <v/>
      </c>
      <c r="K1167" s="6" t="str">
        <f t="shared" si="95"/>
        <v/>
      </c>
      <c r="L1167" s="7" t="str">
        <f t="shared" si="96"/>
        <v/>
      </c>
      <c r="M1167" s="7" t="str">
        <f t="shared" si="93"/>
        <v/>
      </c>
      <c r="N1167" s="7" t="str">
        <f t="shared" si="97"/>
        <v/>
      </c>
      <c r="O1167" s="8"/>
      <c r="P1167" s="26"/>
      <c r="S1167" s="10" t="str">
        <f t="shared" si="94"/>
        <v/>
      </c>
    </row>
    <row r="1168" spans="5:19" x14ac:dyDescent="0.3">
      <c r="E1168" s="9" t="str">
        <f>IF(DADOS!C1168="","",DADOS!C1168)</f>
        <v/>
      </c>
      <c r="F1168" s="9" t="str">
        <f>IF(DADOS!E1168="","",DADOS!E1168)</f>
        <v/>
      </c>
      <c r="G1168" s="9" t="str">
        <f>IF(DADOS!F1168="","",DADOS!F1168)</f>
        <v/>
      </c>
      <c r="K1168" s="6" t="str">
        <f t="shared" si="95"/>
        <v/>
      </c>
      <c r="L1168" s="7" t="str">
        <f t="shared" si="96"/>
        <v/>
      </c>
      <c r="M1168" s="7" t="str">
        <f t="shared" si="93"/>
        <v/>
      </c>
      <c r="N1168" s="7" t="str">
        <f t="shared" si="97"/>
        <v/>
      </c>
      <c r="O1168" s="8"/>
      <c r="P1168" s="26"/>
      <c r="S1168" s="10" t="str">
        <f t="shared" si="94"/>
        <v/>
      </c>
    </row>
    <row r="1169" spans="5:19" x14ac:dyDescent="0.3">
      <c r="E1169" s="9" t="str">
        <f>IF(DADOS!C1169="","",DADOS!C1169)</f>
        <v/>
      </c>
      <c r="F1169" s="9" t="str">
        <f>IF(DADOS!E1169="","",DADOS!E1169)</f>
        <v/>
      </c>
      <c r="G1169" s="9" t="str">
        <f>IF(DADOS!F1169="","",DADOS!F1169)</f>
        <v/>
      </c>
      <c r="K1169" s="6" t="str">
        <f t="shared" si="95"/>
        <v/>
      </c>
      <c r="L1169" s="7" t="str">
        <f t="shared" si="96"/>
        <v/>
      </c>
      <c r="M1169" s="7" t="str">
        <f t="shared" si="93"/>
        <v/>
      </c>
      <c r="N1169" s="7" t="str">
        <f t="shared" si="97"/>
        <v/>
      </c>
      <c r="O1169" s="8"/>
      <c r="P1169" s="26"/>
      <c r="S1169" s="10" t="str">
        <f t="shared" si="94"/>
        <v/>
      </c>
    </row>
    <row r="1170" spans="5:19" x14ac:dyDescent="0.3">
      <c r="E1170" s="9" t="str">
        <f>IF(DADOS!C1170="","",DADOS!C1170)</f>
        <v/>
      </c>
      <c r="F1170" s="9" t="str">
        <f>IF(DADOS!E1170="","",DADOS!E1170)</f>
        <v/>
      </c>
      <c r="G1170" s="9" t="str">
        <f>IF(DADOS!F1170="","",DADOS!F1170)</f>
        <v/>
      </c>
      <c r="K1170" s="6" t="str">
        <f t="shared" si="95"/>
        <v/>
      </c>
      <c r="L1170" s="7" t="str">
        <f t="shared" si="96"/>
        <v/>
      </c>
      <c r="M1170" s="7" t="str">
        <f t="shared" si="93"/>
        <v/>
      </c>
      <c r="N1170" s="7" t="str">
        <f t="shared" si="97"/>
        <v/>
      </c>
      <c r="O1170" s="8"/>
      <c r="P1170" s="26"/>
      <c r="S1170" s="10" t="str">
        <f t="shared" si="94"/>
        <v/>
      </c>
    </row>
    <row r="1171" spans="5:19" x14ac:dyDescent="0.3">
      <c r="E1171" s="9" t="str">
        <f>IF(DADOS!C1171="","",DADOS!C1171)</f>
        <v/>
      </c>
      <c r="F1171" s="9" t="str">
        <f>IF(DADOS!E1171="","",DADOS!E1171)</f>
        <v/>
      </c>
      <c r="G1171" s="9" t="str">
        <f>IF(DADOS!F1171="","",DADOS!F1171)</f>
        <v/>
      </c>
      <c r="K1171" s="6" t="str">
        <f t="shared" si="95"/>
        <v/>
      </c>
      <c r="L1171" s="7" t="str">
        <f t="shared" si="96"/>
        <v/>
      </c>
      <c r="M1171" s="7" t="str">
        <f t="shared" si="93"/>
        <v/>
      </c>
      <c r="N1171" s="7" t="str">
        <f t="shared" si="97"/>
        <v/>
      </c>
      <c r="O1171" s="8"/>
      <c r="P1171" s="26"/>
      <c r="S1171" s="10" t="str">
        <f t="shared" si="94"/>
        <v/>
      </c>
    </row>
    <row r="1172" spans="5:19" x14ac:dyDescent="0.3">
      <c r="E1172" s="9" t="str">
        <f>IF(DADOS!C1172="","",DADOS!C1172)</f>
        <v/>
      </c>
      <c r="F1172" s="9" t="str">
        <f>IF(DADOS!E1172="","",DADOS!E1172)</f>
        <v/>
      </c>
      <c r="G1172" s="9" t="str">
        <f>IF(DADOS!F1172="","",DADOS!F1172)</f>
        <v/>
      </c>
      <c r="K1172" s="6" t="str">
        <f t="shared" si="95"/>
        <v/>
      </c>
      <c r="L1172" s="7" t="str">
        <f t="shared" si="96"/>
        <v/>
      </c>
      <c r="M1172" s="7" t="str">
        <f t="shared" si="93"/>
        <v/>
      </c>
      <c r="N1172" s="7" t="str">
        <f t="shared" si="97"/>
        <v/>
      </c>
      <c r="O1172" s="8"/>
      <c r="P1172" s="26"/>
      <c r="S1172" s="10" t="str">
        <f t="shared" si="94"/>
        <v/>
      </c>
    </row>
    <row r="1173" spans="5:19" x14ac:dyDescent="0.3">
      <c r="E1173" s="9" t="str">
        <f>IF(DADOS!C1173="","",DADOS!C1173)</f>
        <v/>
      </c>
      <c r="F1173" s="9" t="str">
        <f>IF(DADOS!E1173="","",DADOS!E1173)</f>
        <v/>
      </c>
      <c r="G1173" s="9" t="str">
        <f>IF(DADOS!F1173="","",DADOS!F1173)</f>
        <v/>
      </c>
      <c r="K1173" s="6" t="str">
        <f t="shared" si="95"/>
        <v/>
      </c>
      <c r="L1173" s="7" t="str">
        <f t="shared" si="96"/>
        <v/>
      </c>
      <c r="M1173" s="7" t="str">
        <f t="shared" si="93"/>
        <v/>
      </c>
      <c r="N1173" s="7" t="str">
        <f t="shared" si="97"/>
        <v/>
      </c>
      <c r="O1173" s="8"/>
      <c r="P1173" s="26"/>
      <c r="S1173" s="10" t="str">
        <f t="shared" si="94"/>
        <v/>
      </c>
    </row>
    <row r="1174" spans="5:19" x14ac:dyDescent="0.3">
      <c r="E1174" s="9" t="str">
        <f>IF(DADOS!C1174="","",DADOS!C1174)</f>
        <v/>
      </c>
      <c r="F1174" s="9" t="str">
        <f>IF(DADOS!E1174="","",DADOS!E1174)</f>
        <v/>
      </c>
      <c r="G1174" s="9" t="str">
        <f>IF(DADOS!F1174="","",DADOS!F1174)</f>
        <v/>
      </c>
      <c r="K1174" s="6" t="str">
        <f t="shared" si="95"/>
        <v/>
      </c>
      <c r="L1174" s="7" t="str">
        <f t="shared" si="96"/>
        <v/>
      </c>
      <c r="M1174" s="7" t="str">
        <f t="shared" si="93"/>
        <v/>
      </c>
      <c r="N1174" s="7" t="str">
        <f t="shared" si="97"/>
        <v/>
      </c>
      <c r="O1174" s="8"/>
      <c r="P1174" s="26"/>
      <c r="S1174" s="10" t="str">
        <f t="shared" si="94"/>
        <v/>
      </c>
    </row>
    <row r="1175" spans="5:19" x14ac:dyDescent="0.3">
      <c r="E1175" s="9" t="str">
        <f>IF(DADOS!C1175="","",DADOS!C1175)</f>
        <v/>
      </c>
      <c r="F1175" s="9" t="str">
        <f>IF(DADOS!E1175="","",DADOS!E1175)</f>
        <v/>
      </c>
      <c r="G1175" s="9" t="str">
        <f>IF(DADOS!F1175="","",DADOS!F1175)</f>
        <v/>
      </c>
      <c r="K1175" s="6" t="str">
        <f t="shared" si="95"/>
        <v/>
      </c>
      <c r="L1175" s="7" t="str">
        <f t="shared" si="96"/>
        <v/>
      </c>
      <c r="M1175" s="7" t="str">
        <f t="shared" si="93"/>
        <v/>
      </c>
      <c r="N1175" s="7" t="str">
        <f t="shared" si="97"/>
        <v/>
      </c>
      <c r="O1175" s="8"/>
      <c r="P1175" s="26"/>
      <c r="S1175" s="10" t="str">
        <f t="shared" si="94"/>
        <v/>
      </c>
    </row>
    <row r="1176" spans="5:19" x14ac:dyDescent="0.3">
      <c r="E1176" s="9" t="str">
        <f>IF(DADOS!C1176="","",DADOS!C1176)</f>
        <v/>
      </c>
      <c r="F1176" s="9" t="str">
        <f>IF(DADOS!E1176="","",DADOS!E1176)</f>
        <v/>
      </c>
      <c r="G1176" s="9" t="str">
        <f>IF(DADOS!F1176="","",DADOS!F1176)</f>
        <v/>
      </c>
      <c r="K1176" s="6" t="str">
        <f t="shared" si="95"/>
        <v/>
      </c>
      <c r="L1176" s="7" t="str">
        <f t="shared" si="96"/>
        <v/>
      </c>
      <c r="M1176" s="7" t="str">
        <f t="shared" si="93"/>
        <v/>
      </c>
      <c r="N1176" s="7" t="str">
        <f t="shared" si="97"/>
        <v/>
      </c>
      <c r="O1176" s="8"/>
      <c r="P1176" s="26"/>
      <c r="S1176" s="10" t="str">
        <f t="shared" si="94"/>
        <v/>
      </c>
    </row>
    <row r="1177" spans="5:19" x14ac:dyDescent="0.3">
      <c r="E1177" s="9" t="str">
        <f>IF(DADOS!C1177="","",DADOS!C1177)</f>
        <v/>
      </c>
      <c r="F1177" s="9" t="str">
        <f>IF(DADOS!E1177="","",DADOS!E1177)</f>
        <v/>
      </c>
      <c r="G1177" s="9" t="str">
        <f>IF(DADOS!F1177="","",DADOS!F1177)</f>
        <v/>
      </c>
      <c r="K1177" s="6" t="str">
        <f t="shared" si="95"/>
        <v/>
      </c>
      <c r="L1177" s="7" t="str">
        <f t="shared" si="96"/>
        <v/>
      </c>
      <c r="M1177" s="7" t="str">
        <f t="shared" si="93"/>
        <v/>
      </c>
      <c r="N1177" s="7" t="str">
        <f t="shared" si="97"/>
        <v/>
      </c>
      <c r="O1177" s="8"/>
      <c r="P1177" s="26"/>
      <c r="S1177" s="10" t="str">
        <f t="shared" si="94"/>
        <v/>
      </c>
    </row>
    <row r="1178" spans="5:19" x14ac:dyDescent="0.3">
      <c r="E1178" s="9" t="str">
        <f>IF(DADOS!C1178="","",DADOS!C1178)</f>
        <v/>
      </c>
      <c r="F1178" s="9" t="str">
        <f>IF(DADOS!E1178="","",DADOS!E1178)</f>
        <v/>
      </c>
      <c r="G1178" s="9" t="str">
        <f>IF(DADOS!F1178="","",DADOS!F1178)</f>
        <v/>
      </c>
      <c r="K1178" s="6" t="str">
        <f t="shared" si="95"/>
        <v/>
      </c>
      <c r="L1178" s="7" t="str">
        <f t="shared" si="96"/>
        <v/>
      </c>
      <c r="M1178" s="7" t="str">
        <f t="shared" si="93"/>
        <v/>
      </c>
      <c r="N1178" s="7" t="str">
        <f t="shared" si="97"/>
        <v/>
      </c>
      <c r="O1178" s="8"/>
      <c r="P1178" s="26"/>
      <c r="S1178" s="10" t="str">
        <f t="shared" si="94"/>
        <v/>
      </c>
    </row>
    <row r="1179" spans="5:19" x14ac:dyDescent="0.3">
      <c r="E1179" s="9" t="str">
        <f>IF(DADOS!C1179="","",DADOS!C1179)</f>
        <v/>
      </c>
      <c r="F1179" s="9" t="str">
        <f>IF(DADOS!E1179="","",DADOS!E1179)</f>
        <v/>
      </c>
      <c r="G1179" s="9" t="str">
        <f>IF(DADOS!F1179="","",DADOS!F1179)</f>
        <v/>
      </c>
      <c r="K1179" s="6" t="str">
        <f t="shared" si="95"/>
        <v/>
      </c>
      <c r="L1179" s="7" t="str">
        <f t="shared" si="96"/>
        <v/>
      </c>
      <c r="M1179" s="7" t="str">
        <f t="shared" si="93"/>
        <v/>
      </c>
      <c r="N1179" s="7" t="str">
        <f t="shared" si="97"/>
        <v/>
      </c>
      <c r="O1179" s="8"/>
      <c r="P1179" s="26"/>
      <c r="S1179" s="10" t="str">
        <f t="shared" si="94"/>
        <v/>
      </c>
    </row>
    <row r="1180" spans="5:19" x14ac:dyDescent="0.3">
      <c r="E1180" s="9" t="str">
        <f>IF(DADOS!C1180="","",DADOS!C1180)</f>
        <v/>
      </c>
      <c r="F1180" s="9" t="str">
        <f>IF(DADOS!E1180="","",DADOS!E1180)</f>
        <v/>
      </c>
      <c r="G1180" s="9" t="str">
        <f>IF(DADOS!F1180="","",DADOS!F1180)</f>
        <v/>
      </c>
      <c r="K1180" s="6" t="str">
        <f t="shared" si="95"/>
        <v/>
      </c>
      <c r="L1180" s="7" t="str">
        <f t="shared" si="96"/>
        <v/>
      </c>
      <c r="M1180" s="7" t="str">
        <f t="shared" si="93"/>
        <v/>
      </c>
      <c r="N1180" s="7" t="str">
        <f t="shared" si="97"/>
        <v/>
      </c>
      <c r="O1180" s="8"/>
      <c r="P1180" s="26"/>
      <c r="S1180" s="10" t="str">
        <f t="shared" si="94"/>
        <v/>
      </c>
    </row>
    <row r="1181" spans="5:19" x14ac:dyDescent="0.3">
      <c r="E1181" s="9" t="str">
        <f>IF(DADOS!C1181="","",DADOS!C1181)</f>
        <v/>
      </c>
      <c r="F1181" s="9" t="str">
        <f>IF(DADOS!E1181="","",DADOS!E1181)</f>
        <v/>
      </c>
      <c r="G1181" s="9" t="str">
        <f>IF(DADOS!F1181="","",DADOS!F1181)</f>
        <v/>
      </c>
      <c r="K1181" s="6" t="str">
        <f t="shared" si="95"/>
        <v/>
      </c>
      <c r="L1181" s="7" t="str">
        <f t="shared" si="96"/>
        <v/>
      </c>
      <c r="M1181" s="7" t="str">
        <f t="shared" si="93"/>
        <v/>
      </c>
      <c r="N1181" s="7" t="str">
        <f t="shared" si="97"/>
        <v/>
      </c>
      <c r="O1181" s="8"/>
      <c r="P1181" s="26"/>
      <c r="S1181" s="10" t="str">
        <f t="shared" si="94"/>
        <v/>
      </c>
    </row>
    <row r="1182" spans="5:19" x14ac:dyDescent="0.3">
      <c r="E1182" s="9" t="str">
        <f>IF(DADOS!C1182="","",DADOS!C1182)</f>
        <v/>
      </c>
      <c r="F1182" s="9" t="str">
        <f>IF(DADOS!E1182="","",DADOS!E1182)</f>
        <v/>
      </c>
      <c r="G1182" s="9" t="str">
        <f>IF(DADOS!F1182="","",DADOS!F1182)</f>
        <v/>
      </c>
      <c r="K1182" s="6" t="str">
        <f t="shared" si="95"/>
        <v/>
      </c>
      <c r="L1182" s="7" t="str">
        <f t="shared" si="96"/>
        <v/>
      </c>
      <c r="M1182" s="7" t="str">
        <f t="shared" si="93"/>
        <v/>
      </c>
      <c r="N1182" s="7" t="str">
        <f t="shared" si="97"/>
        <v/>
      </c>
      <c r="O1182" s="8"/>
      <c r="P1182" s="26"/>
      <c r="S1182" s="10" t="str">
        <f t="shared" si="94"/>
        <v/>
      </c>
    </row>
    <row r="1183" spans="5:19" x14ac:dyDescent="0.3">
      <c r="E1183" s="9" t="str">
        <f>IF(DADOS!C1183="","",DADOS!C1183)</f>
        <v/>
      </c>
      <c r="F1183" s="9" t="str">
        <f>IF(DADOS!E1183="","",DADOS!E1183)</f>
        <v/>
      </c>
      <c r="G1183" s="9" t="str">
        <f>IF(DADOS!F1183="","",DADOS!F1183)</f>
        <v/>
      </c>
      <c r="K1183" s="6" t="str">
        <f t="shared" si="95"/>
        <v/>
      </c>
      <c r="L1183" s="7" t="str">
        <f t="shared" si="96"/>
        <v/>
      </c>
      <c r="M1183" s="7" t="str">
        <f t="shared" si="93"/>
        <v/>
      </c>
      <c r="N1183" s="7" t="str">
        <f t="shared" si="97"/>
        <v/>
      </c>
      <c r="O1183" s="8"/>
      <c r="P1183" s="26"/>
      <c r="S1183" s="10" t="str">
        <f t="shared" si="94"/>
        <v/>
      </c>
    </row>
    <row r="1184" spans="5:19" x14ac:dyDescent="0.3">
      <c r="E1184" s="9" t="str">
        <f>IF(DADOS!C1184="","",DADOS!C1184)</f>
        <v/>
      </c>
      <c r="F1184" s="9" t="str">
        <f>IF(DADOS!E1184="","",DADOS!E1184)</f>
        <v/>
      </c>
      <c r="G1184" s="9" t="str">
        <f>IF(DADOS!F1184="","",DADOS!F1184)</f>
        <v/>
      </c>
      <c r="K1184" s="6" t="str">
        <f t="shared" si="95"/>
        <v/>
      </c>
      <c r="L1184" s="7" t="str">
        <f t="shared" si="96"/>
        <v/>
      </c>
      <c r="M1184" s="7" t="str">
        <f t="shared" si="93"/>
        <v/>
      </c>
      <c r="N1184" s="7" t="str">
        <f t="shared" si="97"/>
        <v/>
      </c>
      <c r="O1184" s="8"/>
      <c r="P1184" s="26"/>
      <c r="S1184" s="10" t="str">
        <f t="shared" si="94"/>
        <v/>
      </c>
    </row>
    <row r="1185" spans="5:19" x14ac:dyDescent="0.3">
      <c r="E1185" s="9" t="str">
        <f>IF(DADOS!C1185="","",DADOS!C1185)</f>
        <v/>
      </c>
      <c r="F1185" s="9" t="str">
        <f>IF(DADOS!E1185="","",DADOS!E1185)</f>
        <v/>
      </c>
      <c r="G1185" s="9" t="str">
        <f>IF(DADOS!F1185="","",DADOS!F1185)</f>
        <v/>
      </c>
      <c r="K1185" s="6" t="str">
        <f t="shared" si="95"/>
        <v/>
      </c>
      <c r="L1185" s="7" t="str">
        <f t="shared" si="96"/>
        <v/>
      </c>
      <c r="M1185" s="7" t="str">
        <f t="shared" si="93"/>
        <v/>
      </c>
      <c r="N1185" s="7" t="str">
        <f t="shared" si="97"/>
        <v/>
      </c>
      <c r="O1185" s="8"/>
      <c r="P1185" s="26"/>
      <c r="S1185" s="10" t="str">
        <f t="shared" si="94"/>
        <v/>
      </c>
    </row>
    <row r="1186" spans="5:19" x14ac:dyDescent="0.3">
      <c r="E1186" s="9" t="str">
        <f>IF(DADOS!C1186="","",DADOS!C1186)</f>
        <v/>
      </c>
      <c r="F1186" s="9" t="str">
        <f>IF(DADOS!E1186="","",DADOS!E1186)</f>
        <v/>
      </c>
      <c r="G1186" s="9" t="str">
        <f>IF(DADOS!F1186="","",DADOS!F1186)</f>
        <v/>
      </c>
      <c r="K1186" s="6" t="str">
        <f t="shared" si="95"/>
        <v/>
      </c>
      <c r="L1186" s="7" t="str">
        <f t="shared" si="96"/>
        <v/>
      </c>
      <c r="M1186" s="7" t="str">
        <f t="shared" si="93"/>
        <v/>
      </c>
      <c r="N1186" s="7" t="str">
        <f t="shared" si="97"/>
        <v/>
      </c>
      <c r="O1186" s="8"/>
      <c r="P1186" s="26"/>
      <c r="S1186" s="10" t="str">
        <f t="shared" si="94"/>
        <v/>
      </c>
    </row>
    <row r="1187" spans="5:19" x14ac:dyDescent="0.3">
      <c r="E1187" s="9" t="str">
        <f>IF(DADOS!C1187="","",DADOS!C1187)</f>
        <v/>
      </c>
      <c r="F1187" s="9" t="str">
        <f>IF(DADOS!E1187="","",DADOS!E1187)</f>
        <v/>
      </c>
      <c r="G1187" s="9" t="str">
        <f>IF(DADOS!F1187="","",DADOS!F1187)</f>
        <v/>
      </c>
      <c r="K1187" s="6" t="str">
        <f t="shared" si="95"/>
        <v/>
      </c>
      <c r="L1187" s="7" t="str">
        <f t="shared" si="96"/>
        <v/>
      </c>
      <c r="M1187" s="7" t="str">
        <f t="shared" si="93"/>
        <v/>
      </c>
      <c r="N1187" s="7" t="str">
        <f t="shared" si="97"/>
        <v/>
      </c>
      <c r="O1187" s="8"/>
      <c r="P1187" s="26"/>
      <c r="S1187" s="10" t="str">
        <f t="shared" si="94"/>
        <v/>
      </c>
    </row>
    <row r="1188" spans="5:19" x14ac:dyDescent="0.3">
      <c r="E1188" s="9" t="str">
        <f>IF(DADOS!C1188="","",DADOS!C1188)</f>
        <v/>
      </c>
      <c r="F1188" s="9" t="str">
        <f>IF(DADOS!E1188="","",DADOS!E1188)</f>
        <v/>
      </c>
      <c r="G1188" s="9" t="str">
        <f>IF(DADOS!F1188="","",DADOS!F1188)</f>
        <v/>
      </c>
      <c r="K1188" s="6" t="str">
        <f t="shared" si="95"/>
        <v/>
      </c>
      <c r="L1188" s="7" t="str">
        <f t="shared" si="96"/>
        <v/>
      </c>
      <c r="M1188" s="7" t="str">
        <f t="shared" si="93"/>
        <v/>
      </c>
      <c r="N1188" s="7" t="str">
        <f t="shared" si="97"/>
        <v/>
      </c>
      <c r="O1188" s="8"/>
      <c r="P1188" s="26"/>
      <c r="S1188" s="10" t="str">
        <f t="shared" si="94"/>
        <v/>
      </c>
    </row>
    <row r="1189" spans="5:19" x14ac:dyDescent="0.3">
      <c r="E1189" s="9" t="str">
        <f>IF(DADOS!C1189="","",DADOS!C1189)</f>
        <v/>
      </c>
      <c r="F1189" s="9" t="str">
        <f>IF(DADOS!E1189="","",DADOS!E1189)</f>
        <v/>
      </c>
      <c r="G1189" s="9" t="str">
        <f>IF(DADOS!F1189="","",DADOS!F1189)</f>
        <v/>
      </c>
      <c r="K1189" s="6" t="str">
        <f t="shared" si="95"/>
        <v/>
      </c>
      <c r="L1189" s="7" t="str">
        <f t="shared" si="96"/>
        <v/>
      </c>
      <c r="M1189" s="7" t="str">
        <f t="shared" si="93"/>
        <v/>
      </c>
      <c r="N1189" s="7" t="str">
        <f t="shared" si="97"/>
        <v/>
      </c>
      <c r="O1189" s="8"/>
      <c r="P1189" s="26"/>
      <c r="S1189" s="10" t="str">
        <f t="shared" si="94"/>
        <v/>
      </c>
    </row>
    <row r="1190" spans="5:19" x14ac:dyDescent="0.3">
      <c r="E1190" s="9" t="str">
        <f>IF(DADOS!C1190="","",DADOS!C1190)</f>
        <v/>
      </c>
      <c r="F1190" s="9" t="str">
        <f>IF(DADOS!E1190="","",DADOS!E1190)</f>
        <v/>
      </c>
      <c r="G1190" s="9" t="str">
        <f>IF(DADOS!F1190="","",DADOS!F1190)</f>
        <v/>
      </c>
      <c r="K1190" s="6" t="str">
        <f t="shared" si="95"/>
        <v/>
      </c>
      <c r="L1190" s="7" t="str">
        <f t="shared" si="96"/>
        <v/>
      </c>
      <c r="M1190" s="7" t="str">
        <f t="shared" si="93"/>
        <v/>
      </c>
      <c r="N1190" s="7" t="str">
        <f t="shared" si="97"/>
        <v/>
      </c>
      <c r="O1190" s="8"/>
      <c r="P1190" s="26"/>
      <c r="S1190" s="10" t="str">
        <f t="shared" si="94"/>
        <v/>
      </c>
    </row>
    <row r="1191" spans="5:19" x14ac:dyDescent="0.3">
      <c r="E1191" s="9" t="str">
        <f>IF(DADOS!C1191="","",DADOS!C1191)</f>
        <v/>
      </c>
      <c r="F1191" s="9" t="str">
        <f>IF(DADOS!E1191="","",DADOS!E1191)</f>
        <v/>
      </c>
      <c r="G1191" s="9" t="str">
        <f>IF(DADOS!F1191="","",DADOS!F1191)</f>
        <v/>
      </c>
      <c r="K1191" s="6" t="str">
        <f t="shared" si="95"/>
        <v/>
      </c>
      <c r="L1191" s="7" t="str">
        <f t="shared" si="96"/>
        <v/>
      </c>
      <c r="M1191" s="7" t="str">
        <f t="shared" si="93"/>
        <v/>
      </c>
      <c r="N1191" s="7" t="str">
        <f t="shared" si="97"/>
        <v/>
      </c>
      <c r="O1191" s="8"/>
      <c r="P1191" s="26"/>
      <c r="S1191" s="10" t="str">
        <f t="shared" si="94"/>
        <v/>
      </c>
    </row>
    <row r="1192" spans="5:19" x14ac:dyDescent="0.3">
      <c r="E1192" s="9" t="str">
        <f>IF(DADOS!C1192="","",DADOS!C1192)</f>
        <v/>
      </c>
      <c r="F1192" s="9" t="str">
        <f>IF(DADOS!E1192="","",DADOS!E1192)</f>
        <v/>
      </c>
      <c r="G1192" s="9" t="str">
        <f>IF(DADOS!F1192="","",DADOS!F1192)</f>
        <v/>
      </c>
      <c r="K1192" s="6" t="str">
        <f t="shared" si="95"/>
        <v/>
      </c>
      <c r="L1192" s="7" t="str">
        <f t="shared" si="96"/>
        <v/>
      </c>
      <c r="M1192" s="7" t="str">
        <f t="shared" si="93"/>
        <v/>
      </c>
      <c r="N1192" s="7" t="str">
        <f t="shared" si="97"/>
        <v/>
      </c>
      <c r="O1192" s="8"/>
      <c r="P1192" s="26"/>
      <c r="S1192" s="10" t="str">
        <f t="shared" si="94"/>
        <v/>
      </c>
    </row>
    <row r="1193" spans="5:19" x14ac:dyDescent="0.3">
      <c r="E1193" s="9" t="str">
        <f>IF(DADOS!C1193="","",DADOS!C1193)</f>
        <v/>
      </c>
      <c r="F1193" s="9" t="str">
        <f>IF(DADOS!E1193="","",DADOS!E1193)</f>
        <v/>
      </c>
      <c r="G1193" s="9" t="str">
        <f>IF(DADOS!F1193="","",DADOS!F1193)</f>
        <v/>
      </c>
      <c r="K1193" s="6" t="str">
        <f t="shared" si="95"/>
        <v/>
      </c>
      <c r="L1193" s="7" t="str">
        <f t="shared" si="96"/>
        <v/>
      </c>
      <c r="M1193" s="7" t="str">
        <f t="shared" si="93"/>
        <v/>
      </c>
      <c r="N1193" s="7" t="str">
        <f t="shared" si="97"/>
        <v/>
      </c>
      <c r="O1193" s="8"/>
      <c r="P1193" s="26"/>
      <c r="S1193" s="10" t="str">
        <f t="shared" si="94"/>
        <v/>
      </c>
    </row>
    <row r="1194" spans="5:19" x14ac:dyDescent="0.3">
      <c r="E1194" s="9" t="str">
        <f>IF(DADOS!C1194="","",DADOS!C1194)</f>
        <v/>
      </c>
      <c r="F1194" s="9" t="str">
        <f>IF(DADOS!E1194="","",DADOS!E1194)</f>
        <v/>
      </c>
      <c r="G1194" s="9" t="str">
        <f>IF(DADOS!F1194="","",DADOS!F1194)</f>
        <v/>
      </c>
      <c r="K1194" s="6" t="str">
        <f t="shared" si="95"/>
        <v/>
      </c>
      <c r="L1194" s="7" t="str">
        <f t="shared" si="96"/>
        <v/>
      </c>
      <c r="M1194" s="7" t="str">
        <f t="shared" si="93"/>
        <v/>
      </c>
      <c r="N1194" s="7" t="str">
        <f t="shared" si="97"/>
        <v/>
      </c>
      <c r="O1194" s="8"/>
      <c r="P1194" s="26"/>
      <c r="S1194" s="10" t="str">
        <f t="shared" si="94"/>
        <v/>
      </c>
    </row>
    <row r="1195" spans="5:19" x14ac:dyDescent="0.3">
      <c r="E1195" s="9" t="str">
        <f>IF(DADOS!C1195="","",DADOS!C1195)</f>
        <v/>
      </c>
      <c r="F1195" s="9" t="str">
        <f>IF(DADOS!E1195="","",DADOS!E1195)</f>
        <v/>
      </c>
      <c r="G1195" s="9" t="str">
        <f>IF(DADOS!F1195="","",DADOS!F1195)</f>
        <v/>
      </c>
      <c r="K1195" s="6" t="str">
        <f t="shared" si="95"/>
        <v/>
      </c>
      <c r="L1195" s="7" t="str">
        <f t="shared" si="96"/>
        <v/>
      </c>
      <c r="M1195" s="7" t="str">
        <f t="shared" si="93"/>
        <v/>
      </c>
      <c r="N1195" s="7" t="str">
        <f t="shared" si="97"/>
        <v/>
      </c>
      <c r="O1195" s="8"/>
      <c r="P1195" s="26"/>
      <c r="S1195" s="10" t="str">
        <f t="shared" si="94"/>
        <v/>
      </c>
    </row>
    <row r="1196" spans="5:19" x14ac:dyDescent="0.3">
      <c r="E1196" s="9" t="str">
        <f>IF(DADOS!C1196="","",DADOS!C1196)</f>
        <v/>
      </c>
      <c r="F1196" s="9" t="str">
        <f>IF(DADOS!E1196="","",DADOS!E1196)</f>
        <v/>
      </c>
      <c r="G1196" s="9" t="str">
        <f>IF(DADOS!F1196="","",DADOS!F1196)</f>
        <v/>
      </c>
      <c r="K1196" s="6" t="str">
        <f t="shared" si="95"/>
        <v/>
      </c>
      <c r="L1196" s="7" t="str">
        <f t="shared" si="96"/>
        <v/>
      </c>
      <c r="M1196" s="7" t="str">
        <f t="shared" si="93"/>
        <v/>
      </c>
      <c r="N1196" s="7" t="str">
        <f t="shared" si="97"/>
        <v/>
      </c>
      <c r="O1196" s="8"/>
      <c r="P1196" s="26"/>
      <c r="S1196" s="10" t="str">
        <f t="shared" si="94"/>
        <v/>
      </c>
    </row>
    <row r="1197" spans="5:19" x14ac:dyDescent="0.3">
      <c r="E1197" s="9" t="str">
        <f>IF(DADOS!C1197="","",DADOS!C1197)</f>
        <v/>
      </c>
      <c r="F1197" s="9" t="str">
        <f>IF(DADOS!E1197="","",DADOS!E1197)</f>
        <v/>
      </c>
      <c r="G1197" s="9" t="str">
        <f>IF(DADOS!F1197="","",DADOS!F1197)</f>
        <v/>
      </c>
      <c r="K1197" s="6" t="str">
        <f t="shared" si="95"/>
        <v/>
      </c>
      <c r="L1197" s="7" t="str">
        <f t="shared" si="96"/>
        <v/>
      </c>
      <c r="M1197" s="7" t="str">
        <f t="shared" si="93"/>
        <v/>
      </c>
      <c r="N1197" s="7" t="str">
        <f t="shared" si="97"/>
        <v/>
      </c>
      <c r="O1197" s="8"/>
      <c r="P1197" s="26"/>
      <c r="S1197" s="10" t="str">
        <f t="shared" si="94"/>
        <v/>
      </c>
    </row>
    <row r="1198" spans="5:19" x14ac:dyDescent="0.3">
      <c r="E1198" s="9" t="str">
        <f>IF(DADOS!C1198="","",DADOS!C1198)</f>
        <v/>
      </c>
      <c r="F1198" s="9" t="str">
        <f>IF(DADOS!E1198="","",DADOS!E1198)</f>
        <v/>
      </c>
      <c r="G1198" s="9" t="str">
        <f>IF(DADOS!F1198="","",DADOS!F1198)</f>
        <v/>
      </c>
      <c r="K1198" s="6" t="str">
        <f t="shared" si="95"/>
        <v/>
      </c>
      <c r="L1198" s="7" t="str">
        <f t="shared" si="96"/>
        <v/>
      </c>
      <c r="M1198" s="7" t="str">
        <f t="shared" si="93"/>
        <v/>
      </c>
      <c r="N1198" s="7" t="str">
        <f t="shared" si="97"/>
        <v/>
      </c>
      <c r="O1198" s="8"/>
      <c r="P1198" s="26"/>
      <c r="S1198" s="10" t="str">
        <f t="shared" si="94"/>
        <v/>
      </c>
    </row>
    <row r="1199" spans="5:19" x14ac:dyDescent="0.3">
      <c r="E1199" s="9" t="str">
        <f>IF(DADOS!C1199="","",DADOS!C1199)</f>
        <v/>
      </c>
      <c r="F1199" s="9" t="str">
        <f>IF(DADOS!E1199="","",DADOS!E1199)</f>
        <v/>
      </c>
      <c r="G1199" s="9" t="str">
        <f>IF(DADOS!F1199="","",DADOS!F1199)</f>
        <v/>
      </c>
      <c r="K1199" s="6" t="str">
        <f t="shared" si="95"/>
        <v/>
      </c>
      <c r="L1199" s="7" t="str">
        <f t="shared" si="96"/>
        <v/>
      </c>
      <c r="M1199" s="7" t="str">
        <f t="shared" si="93"/>
        <v/>
      </c>
      <c r="N1199" s="7" t="str">
        <f t="shared" si="97"/>
        <v/>
      </c>
      <c r="O1199" s="8"/>
      <c r="P1199" s="26"/>
      <c r="S1199" s="10" t="str">
        <f t="shared" si="94"/>
        <v/>
      </c>
    </row>
    <row r="1200" spans="5:19" x14ac:dyDescent="0.3">
      <c r="E1200" s="9" t="str">
        <f>IF(DADOS!C1200="","",DADOS!C1200)</f>
        <v/>
      </c>
      <c r="F1200" s="9" t="str">
        <f>IF(DADOS!E1200="","",DADOS!E1200)</f>
        <v/>
      </c>
      <c r="G1200" s="9" t="str">
        <f>IF(DADOS!F1200="","",DADOS!F1200)</f>
        <v/>
      </c>
      <c r="K1200" s="6" t="str">
        <f t="shared" si="95"/>
        <v/>
      </c>
      <c r="L1200" s="7" t="str">
        <f t="shared" si="96"/>
        <v/>
      </c>
      <c r="M1200" s="7" t="str">
        <f t="shared" si="93"/>
        <v/>
      </c>
      <c r="N1200" s="7" t="str">
        <f t="shared" si="97"/>
        <v/>
      </c>
      <c r="O1200" s="8"/>
      <c r="P1200" s="26"/>
      <c r="S1200" s="10" t="str">
        <f t="shared" si="94"/>
        <v/>
      </c>
    </row>
    <row r="1201" spans="5:19" x14ac:dyDescent="0.3">
      <c r="E1201" s="9" t="str">
        <f>IF(DADOS!C1201="","",DADOS!C1201)</f>
        <v/>
      </c>
      <c r="F1201" s="9" t="str">
        <f>IF(DADOS!E1201="","",DADOS!E1201)</f>
        <v/>
      </c>
      <c r="G1201" s="9" t="str">
        <f>IF(DADOS!F1201="","",DADOS!F1201)</f>
        <v/>
      </c>
      <c r="K1201" s="6" t="str">
        <f t="shared" si="95"/>
        <v/>
      </c>
      <c r="L1201" s="7" t="str">
        <f t="shared" si="96"/>
        <v/>
      </c>
      <c r="M1201" s="7" t="str">
        <f t="shared" si="93"/>
        <v/>
      </c>
      <c r="N1201" s="7" t="str">
        <f t="shared" si="97"/>
        <v/>
      </c>
      <c r="O1201" s="8"/>
      <c r="P1201" s="26"/>
      <c r="S1201" s="10" t="str">
        <f t="shared" si="94"/>
        <v/>
      </c>
    </row>
    <row r="1202" spans="5:19" x14ac:dyDescent="0.3">
      <c r="E1202" s="9" t="str">
        <f>IF(DADOS!C1202="","",DADOS!C1202)</f>
        <v/>
      </c>
      <c r="F1202" s="9" t="str">
        <f>IF(DADOS!E1202="","",DADOS!E1202)</f>
        <v/>
      </c>
      <c r="G1202" s="9" t="str">
        <f>IF(DADOS!F1202="","",DADOS!F1202)</f>
        <v/>
      </c>
      <c r="K1202" s="6" t="str">
        <f t="shared" si="95"/>
        <v/>
      </c>
      <c r="L1202" s="7" t="str">
        <f t="shared" si="96"/>
        <v/>
      </c>
      <c r="M1202" s="7" t="str">
        <f t="shared" si="93"/>
        <v/>
      </c>
      <c r="N1202" s="7" t="str">
        <f t="shared" si="97"/>
        <v/>
      </c>
      <c r="O1202" s="8"/>
      <c r="P1202" s="26"/>
      <c r="S1202" s="10" t="str">
        <f t="shared" si="94"/>
        <v/>
      </c>
    </row>
    <row r="1203" spans="5:19" x14ac:dyDescent="0.3">
      <c r="E1203" s="9" t="str">
        <f>IF(DADOS!C1203="","",DADOS!C1203)</f>
        <v/>
      </c>
      <c r="F1203" s="9" t="str">
        <f>IF(DADOS!E1203="","",DADOS!E1203)</f>
        <v/>
      </c>
      <c r="G1203" s="9" t="str">
        <f>IF(DADOS!F1203="","",DADOS!F1203)</f>
        <v/>
      </c>
      <c r="K1203" s="6" t="str">
        <f t="shared" si="95"/>
        <v/>
      </c>
      <c r="L1203" s="7" t="str">
        <f t="shared" si="96"/>
        <v/>
      </c>
      <c r="M1203" s="7" t="str">
        <f t="shared" si="93"/>
        <v/>
      </c>
      <c r="N1203" s="7" t="str">
        <f t="shared" si="97"/>
        <v/>
      </c>
      <c r="O1203" s="8"/>
      <c r="P1203" s="26"/>
      <c r="S1203" s="10" t="str">
        <f t="shared" si="94"/>
        <v/>
      </c>
    </row>
    <row r="1204" spans="5:19" x14ac:dyDescent="0.3">
      <c r="E1204" s="9" t="str">
        <f>IF(DADOS!C1204="","",DADOS!C1204)</f>
        <v/>
      </c>
      <c r="F1204" s="9" t="str">
        <f>IF(DADOS!E1204="","",DADOS!E1204)</f>
        <v/>
      </c>
      <c r="G1204" s="9" t="str">
        <f>IF(DADOS!F1204="","",DADOS!F1204)</f>
        <v/>
      </c>
      <c r="K1204" s="6" t="str">
        <f t="shared" si="95"/>
        <v/>
      </c>
      <c r="L1204" s="7" t="str">
        <f t="shared" si="96"/>
        <v/>
      </c>
      <c r="M1204" s="7" t="str">
        <f t="shared" si="93"/>
        <v/>
      </c>
      <c r="N1204" s="7" t="str">
        <f t="shared" si="97"/>
        <v/>
      </c>
      <c r="O1204" s="8"/>
      <c r="P1204" s="26"/>
      <c r="S1204" s="10" t="str">
        <f t="shared" si="94"/>
        <v/>
      </c>
    </row>
    <row r="1205" spans="5:19" x14ac:dyDescent="0.3">
      <c r="E1205" s="9" t="str">
        <f>IF(DADOS!C1205="","",DADOS!C1205)</f>
        <v/>
      </c>
      <c r="F1205" s="9" t="str">
        <f>IF(DADOS!E1205="","",DADOS!E1205)</f>
        <v/>
      </c>
      <c r="G1205" s="9" t="str">
        <f>IF(DADOS!F1205="","",DADOS!F1205)</f>
        <v/>
      </c>
      <c r="K1205" s="6" t="str">
        <f t="shared" si="95"/>
        <v/>
      </c>
      <c r="L1205" s="7" t="str">
        <f t="shared" si="96"/>
        <v/>
      </c>
      <c r="M1205" s="7" t="str">
        <f t="shared" si="93"/>
        <v/>
      </c>
      <c r="N1205" s="7" t="str">
        <f t="shared" si="97"/>
        <v/>
      </c>
      <c r="O1205" s="8"/>
      <c r="P1205" s="26"/>
      <c r="S1205" s="10" t="str">
        <f t="shared" si="94"/>
        <v/>
      </c>
    </row>
    <row r="1206" spans="5:19" x14ac:dyDescent="0.3">
      <c r="E1206" s="9" t="str">
        <f>IF(DADOS!C1206="","",DADOS!C1206)</f>
        <v/>
      </c>
      <c r="F1206" s="9" t="str">
        <f>IF(DADOS!E1206="","",DADOS!E1206)</f>
        <v/>
      </c>
      <c r="G1206" s="9" t="str">
        <f>IF(DADOS!F1206="","",DADOS!F1206)</f>
        <v/>
      </c>
      <c r="K1206" s="6" t="str">
        <f t="shared" si="95"/>
        <v/>
      </c>
      <c r="L1206" s="7" t="str">
        <f t="shared" si="96"/>
        <v/>
      </c>
      <c r="M1206" s="7" t="str">
        <f t="shared" si="93"/>
        <v/>
      </c>
      <c r="N1206" s="7" t="str">
        <f t="shared" si="97"/>
        <v/>
      </c>
      <c r="O1206" s="8"/>
      <c r="P1206" s="26"/>
      <c r="S1206" s="10" t="str">
        <f t="shared" si="94"/>
        <v/>
      </c>
    </row>
    <row r="1207" spans="5:19" x14ac:dyDescent="0.3">
      <c r="E1207" s="9" t="str">
        <f>IF(DADOS!C1207="","",DADOS!C1207)</f>
        <v/>
      </c>
      <c r="F1207" s="9" t="str">
        <f>IF(DADOS!E1207="","",DADOS!E1207)</f>
        <v/>
      </c>
      <c r="G1207" s="9" t="str">
        <f>IF(DADOS!F1207="","",DADOS!F1207)</f>
        <v/>
      </c>
      <c r="K1207" s="6" t="str">
        <f t="shared" si="95"/>
        <v/>
      </c>
      <c r="L1207" s="7" t="str">
        <f t="shared" si="96"/>
        <v/>
      </c>
      <c r="M1207" s="7" t="str">
        <f t="shared" si="93"/>
        <v/>
      </c>
      <c r="N1207" s="7" t="str">
        <f t="shared" si="97"/>
        <v/>
      </c>
      <c r="O1207" s="8"/>
      <c r="P1207" s="26"/>
      <c r="S1207" s="10" t="str">
        <f t="shared" si="94"/>
        <v/>
      </c>
    </row>
    <row r="1208" spans="5:19" x14ac:dyDescent="0.3">
      <c r="E1208" s="9" t="str">
        <f>IF(DADOS!C1208="","",DADOS!C1208)</f>
        <v/>
      </c>
      <c r="F1208" s="9" t="str">
        <f>IF(DADOS!E1208="","",DADOS!E1208)</f>
        <v/>
      </c>
      <c r="G1208" s="9" t="str">
        <f>IF(DADOS!F1208="","",DADOS!F1208)</f>
        <v/>
      </c>
      <c r="K1208" s="6" t="str">
        <f t="shared" si="95"/>
        <v/>
      </c>
      <c r="L1208" s="7" t="str">
        <f t="shared" si="96"/>
        <v/>
      </c>
      <c r="M1208" s="7" t="str">
        <f t="shared" si="93"/>
        <v/>
      </c>
      <c r="N1208" s="7" t="str">
        <f t="shared" si="97"/>
        <v/>
      </c>
      <c r="O1208" s="8"/>
      <c r="P1208" s="26"/>
      <c r="S1208" s="10" t="str">
        <f t="shared" si="94"/>
        <v/>
      </c>
    </row>
    <row r="1209" spans="5:19" x14ac:dyDescent="0.3">
      <c r="E1209" s="9" t="str">
        <f>IF(DADOS!C1209="","",DADOS!C1209)</f>
        <v/>
      </c>
      <c r="F1209" s="9" t="str">
        <f>IF(DADOS!E1209="","",DADOS!E1209)</f>
        <v/>
      </c>
      <c r="G1209" s="9" t="str">
        <f>IF(DADOS!F1209="","",DADOS!F1209)</f>
        <v/>
      </c>
      <c r="K1209" s="6" t="str">
        <f t="shared" si="95"/>
        <v/>
      </c>
      <c r="L1209" s="7" t="str">
        <f t="shared" si="96"/>
        <v/>
      </c>
      <c r="M1209" s="7" t="str">
        <f t="shared" si="93"/>
        <v/>
      </c>
      <c r="N1209" s="7" t="str">
        <f t="shared" si="97"/>
        <v/>
      </c>
      <c r="O1209" s="8"/>
      <c r="P1209" s="26"/>
      <c r="S1209" s="10" t="str">
        <f t="shared" si="94"/>
        <v/>
      </c>
    </row>
    <row r="1210" spans="5:19" x14ac:dyDescent="0.3">
      <c r="E1210" s="9" t="str">
        <f>IF(DADOS!C1210="","",DADOS!C1210)</f>
        <v/>
      </c>
      <c r="F1210" s="9" t="str">
        <f>IF(DADOS!E1210="","",DADOS!E1210)</f>
        <v/>
      </c>
      <c r="G1210" s="9" t="str">
        <f>IF(DADOS!F1210="","",DADOS!F1210)</f>
        <v/>
      </c>
      <c r="K1210" s="6" t="str">
        <f t="shared" si="95"/>
        <v/>
      </c>
      <c r="L1210" s="7" t="str">
        <f t="shared" si="96"/>
        <v/>
      </c>
      <c r="M1210" s="7" t="str">
        <f t="shared" si="93"/>
        <v/>
      </c>
      <c r="N1210" s="7" t="str">
        <f t="shared" si="97"/>
        <v/>
      </c>
      <c r="O1210" s="8"/>
      <c r="P1210" s="26"/>
      <c r="S1210" s="10" t="str">
        <f t="shared" si="94"/>
        <v/>
      </c>
    </row>
    <row r="1211" spans="5:19" x14ac:dyDescent="0.3">
      <c r="E1211" s="9" t="str">
        <f>IF(DADOS!C1211="","",DADOS!C1211)</f>
        <v/>
      </c>
      <c r="F1211" s="9" t="str">
        <f>IF(DADOS!E1211="","",DADOS!E1211)</f>
        <v/>
      </c>
      <c r="G1211" s="9" t="str">
        <f>IF(DADOS!F1211="","",DADOS!F1211)</f>
        <v/>
      </c>
      <c r="K1211" s="6" t="str">
        <f t="shared" si="95"/>
        <v/>
      </c>
      <c r="L1211" s="7" t="str">
        <f t="shared" si="96"/>
        <v/>
      </c>
      <c r="M1211" s="7" t="str">
        <f t="shared" si="93"/>
        <v/>
      </c>
      <c r="N1211" s="7" t="str">
        <f t="shared" si="97"/>
        <v/>
      </c>
      <c r="O1211" s="8"/>
      <c r="P1211" s="26"/>
      <c r="S1211" s="10" t="str">
        <f t="shared" si="94"/>
        <v/>
      </c>
    </row>
    <row r="1212" spans="5:19" x14ac:dyDescent="0.3">
      <c r="E1212" s="9" t="str">
        <f>IF(DADOS!C1212="","",DADOS!C1212)</f>
        <v/>
      </c>
      <c r="F1212" s="9" t="str">
        <f>IF(DADOS!E1212="","",DADOS!E1212)</f>
        <v/>
      </c>
      <c r="G1212" s="9" t="str">
        <f>IF(DADOS!F1212="","",DADOS!F1212)</f>
        <v/>
      </c>
      <c r="K1212" s="6" t="str">
        <f t="shared" si="95"/>
        <v/>
      </c>
      <c r="L1212" s="7" t="str">
        <f t="shared" si="96"/>
        <v/>
      </c>
      <c r="M1212" s="7" t="str">
        <f t="shared" si="93"/>
        <v/>
      </c>
      <c r="N1212" s="7" t="str">
        <f t="shared" si="97"/>
        <v/>
      </c>
      <c r="O1212" s="8"/>
      <c r="P1212" s="26"/>
      <c r="S1212" s="10" t="str">
        <f t="shared" si="94"/>
        <v/>
      </c>
    </row>
    <row r="1213" spans="5:19" x14ac:dyDescent="0.3">
      <c r="E1213" s="9" t="str">
        <f>IF(DADOS!C1213="","",DADOS!C1213)</f>
        <v/>
      </c>
      <c r="F1213" s="9" t="str">
        <f>IF(DADOS!E1213="","",DADOS!E1213)</f>
        <v/>
      </c>
      <c r="G1213" s="9" t="str">
        <f>IF(DADOS!F1213="","",DADOS!F1213)</f>
        <v/>
      </c>
      <c r="K1213" s="6" t="str">
        <f t="shared" si="95"/>
        <v/>
      </c>
      <c r="L1213" s="7" t="str">
        <f t="shared" si="96"/>
        <v/>
      </c>
      <c r="M1213" s="7" t="str">
        <f t="shared" si="93"/>
        <v/>
      </c>
      <c r="N1213" s="7" t="str">
        <f t="shared" si="97"/>
        <v/>
      </c>
      <c r="O1213" s="8"/>
      <c r="P1213" s="26"/>
      <c r="S1213" s="10" t="str">
        <f t="shared" si="94"/>
        <v/>
      </c>
    </row>
    <row r="1214" spans="5:19" x14ac:dyDescent="0.3">
      <c r="E1214" s="9" t="str">
        <f>IF(DADOS!C1214="","",DADOS!C1214)</f>
        <v/>
      </c>
      <c r="F1214" s="9" t="str">
        <f>IF(DADOS!E1214="","",DADOS!E1214)</f>
        <v/>
      </c>
      <c r="G1214" s="9" t="str">
        <f>IF(DADOS!F1214="","",DADOS!F1214)</f>
        <v/>
      </c>
      <c r="K1214" s="6" t="str">
        <f t="shared" si="95"/>
        <v/>
      </c>
      <c r="L1214" s="7" t="str">
        <f t="shared" si="96"/>
        <v/>
      </c>
      <c r="M1214" s="7" t="str">
        <f t="shared" si="93"/>
        <v/>
      </c>
      <c r="N1214" s="7" t="str">
        <f t="shared" si="97"/>
        <v/>
      </c>
      <c r="O1214" s="8"/>
      <c r="P1214" s="26"/>
      <c r="S1214" s="10" t="str">
        <f t="shared" si="94"/>
        <v/>
      </c>
    </row>
    <row r="1215" spans="5:19" x14ac:dyDescent="0.3">
      <c r="E1215" s="9" t="str">
        <f>IF(DADOS!C1215="","",DADOS!C1215)</f>
        <v/>
      </c>
      <c r="F1215" s="9" t="str">
        <f>IF(DADOS!E1215="","",DADOS!E1215)</f>
        <v/>
      </c>
      <c r="G1215" s="9" t="str">
        <f>IF(DADOS!F1215="","",DADOS!F1215)</f>
        <v/>
      </c>
      <c r="K1215" s="6" t="str">
        <f t="shared" si="95"/>
        <v/>
      </c>
      <c r="L1215" s="7" t="str">
        <f t="shared" si="96"/>
        <v/>
      </c>
      <c r="M1215" s="7" t="str">
        <f t="shared" si="93"/>
        <v/>
      </c>
      <c r="N1215" s="7" t="str">
        <f t="shared" si="97"/>
        <v/>
      </c>
      <c r="O1215" s="8"/>
      <c r="P1215" s="26"/>
      <c r="S1215" s="10" t="str">
        <f t="shared" si="94"/>
        <v/>
      </c>
    </row>
    <row r="1216" spans="5:19" x14ac:dyDescent="0.3">
      <c r="E1216" s="9" t="str">
        <f>IF(DADOS!C1216="","",DADOS!C1216)</f>
        <v/>
      </c>
      <c r="F1216" s="9" t="str">
        <f>IF(DADOS!E1216="","",DADOS!E1216)</f>
        <v/>
      </c>
      <c r="G1216" s="9" t="str">
        <f>IF(DADOS!F1216="","",DADOS!F1216)</f>
        <v/>
      </c>
      <c r="K1216" s="6" t="str">
        <f t="shared" si="95"/>
        <v/>
      </c>
      <c r="L1216" s="7" t="str">
        <f t="shared" si="96"/>
        <v/>
      </c>
      <c r="M1216" s="7" t="str">
        <f t="shared" si="93"/>
        <v/>
      </c>
      <c r="N1216" s="7" t="str">
        <f t="shared" si="97"/>
        <v/>
      </c>
      <c r="O1216" s="8"/>
      <c r="P1216" s="26"/>
      <c r="S1216" s="10" t="str">
        <f t="shared" si="94"/>
        <v/>
      </c>
    </row>
    <row r="1217" spans="5:19" x14ac:dyDescent="0.3">
      <c r="E1217" s="9" t="str">
        <f>IF(DADOS!C1217="","",DADOS!C1217)</f>
        <v/>
      </c>
      <c r="F1217" s="9" t="str">
        <f>IF(DADOS!E1217="","",DADOS!E1217)</f>
        <v/>
      </c>
      <c r="G1217" s="9" t="str">
        <f>IF(DADOS!F1217="","",DADOS!F1217)</f>
        <v/>
      </c>
      <c r="K1217" s="6" t="str">
        <f t="shared" si="95"/>
        <v/>
      </c>
      <c r="L1217" s="7" t="str">
        <f t="shared" si="96"/>
        <v/>
      </c>
      <c r="M1217" s="7" t="str">
        <f t="shared" si="93"/>
        <v/>
      </c>
      <c r="N1217" s="7" t="str">
        <f t="shared" si="97"/>
        <v/>
      </c>
      <c r="O1217" s="8"/>
      <c r="P1217" s="26"/>
      <c r="S1217" s="10" t="str">
        <f t="shared" si="94"/>
        <v/>
      </c>
    </row>
    <row r="1218" spans="5:19" x14ac:dyDescent="0.3">
      <c r="E1218" s="9" t="str">
        <f>IF(DADOS!C1218="","",DADOS!C1218)</f>
        <v/>
      </c>
      <c r="F1218" s="9" t="str">
        <f>IF(DADOS!E1218="","",DADOS!E1218)</f>
        <v/>
      </c>
      <c r="G1218" s="9" t="str">
        <f>IF(DADOS!F1218="","",DADOS!F1218)</f>
        <v/>
      </c>
      <c r="K1218" s="6" t="str">
        <f t="shared" si="95"/>
        <v/>
      </c>
      <c r="L1218" s="7" t="str">
        <f t="shared" si="96"/>
        <v/>
      </c>
      <c r="M1218" s="7" t="str">
        <f t="shared" si="93"/>
        <v/>
      </c>
      <c r="N1218" s="7" t="str">
        <f t="shared" si="97"/>
        <v/>
      </c>
      <c r="O1218" s="8"/>
      <c r="P1218" s="26"/>
      <c r="S1218" s="10" t="str">
        <f t="shared" si="94"/>
        <v/>
      </c>
    </row>
    <row r="1219" spans="5:19" x14ac:dyDescent="0.3">
      <c r="E1219" s="9" t="str">
        <f>IF(DADOS!C1219="","",DADOS!C1219)</f>
        <v/>
      </c>
      <c r="F1219" s="9" t="str">
        <f>IF(DADOS!E1219="","",DADOS!E1219)</f>
        <v/>
      </c>
      <c r="G1219" s="9" t="str">
        <f>IF(DADOS!F1219="","",DADOS!F1219)</f>
        <v/>
      </c>
      <c r="K1219" s="6" t="str">
        <f t="shared" si="95"/>
        <v/>
      </c>
      <c r="L1219" s="7" t="str">
        <f t="shared" si="96"/>
        <v/>
      </c>
      <c r="M1219" s="7" t="str">
        <f t="shared" ref="M1219:M1282" si="98">IF(L1219="","",L1219*G1219)</f>
        <v/>
      </c>
      <c r="N1219" s="7" t="str">
        <f t="shared" si="97"/>
        <v/>
      </c>
      <c r="O1219" s="8"/>
      <c r="P1219" s="26"/>
      <c r="S1219" s="10" t="str">
        <f t="shared" ref="S1219:S1282" si="99">IF(R1219="","",SUMIFS($N$3:$N$10000,$E$3:$E$10000,R1219))</f>
        <v/>
      </c>
    </row>
    <row r="1220" spans="5:19" x14ac:dyDescent="0.3">
      <c r="E1220" s="9" t="str">
        <f>IF(DADOS!C1220="","",DADOS!C1220)</f>
        <v/>
      </c>
      <c r="F1220" s="9" t="str">
        <f>IF(DADOS!E1220="","",DADOS!E1220)</f>
        <v/>
      </c>
      <c r="G1220" s="9" t="str">
        <f>IF(DADOS!F1220="","",DADOS!F1220)</f>
        <v/>
      </c>
      <c r="K1220" s="6" t="str">
        <f t="shared" ref="K1220:K1283" si="100">IF(F1220="","",F1220/PI())</f>
        <v/>
      </c>
      <c r="L1220" s="7" t="str">
        <f t="shared" ref="L1220:L1283" si="101">IF(K1220="","",(PI()*K1220^2)/40000)</f>
        <v/>
      </c>
      <c r="M1220" s="7" t="str">
        <f t="shared" si="98"/>
        <v/>
      </c>
      <c r="N1220" s="7" t="str">
        <f t="shared" ref="N1220:N1283" si="102">IF(M1220="","",M1220*N$1)</f>
        <v/>
      </c>
      <c r="O1220" s="8"/>
      <c r="P1220" s="26"/>
      <c r="S1220" s="10" t="str">
        <f t="shared" si="99"/>
        <v/>
      </c>
    </row>
    <row r="1221" spans="5:19" x14ac:dyDescent="0.3">
      <c r="E1221" s="9" t="str">
        <f>IF(DADOS!C1221="","",DADOS!C1221)</f>
        <v/>
      </c>
      <c r="F1221" s="9" t="str">
        <f>IF(DADOS!E1221="","",DADOS!E1221)</f>
        <v/>
      </c>
      <c r="G1221" s="9" t="str">
        <f>IF(DADOS!F1221="","",DADOS!F1221)</f>
        <v/>
      </c>
      <c r="K1221" s="6" t="str">
        <f t="shared" si="100"/>
        <v/>
      </c>
      <c r="L1221" s="7" t="str">
        <f t="shared" si="101"/>
        <v/>
      </c>
      <c r="M1221" s="7" t="str">
        <f t="shared" si="98"/>
        <v/>
      </c>
      <c r="N1221" s="7" t="str">
        <f t="shared" si="102"/>
        <v/>
      </c>
      <c r="O1221" s="8"/>
      <c r="P1221" s="26"/>
      <c r="S1221" s="10" t="str">
        <f t="shared" si="99"/>
        <v/>
      </c>
    </row>
    <row r="1222" spans="5:19" x14ac:dyDescent="0.3">
      <c r="E1222" s="9" t="str">
        <f>IF(DADOS!C1222="","",DADOS!C1222)</f>
        <v/>
      </c>
      <c r="F1222" s="9" t="str">
        <f>IF(DADOS!E1222="","",DADOS!E1222)</f>
        <v/>
      </c>
      <c r="G1222" s="9" t="str">
        <f>IF(DADOS!F1222="","",DADOS!F1222)</f>
        <v/>
      </c>
      <c r="K1222" s="6" t="str">
        <f t="shared" si="100"/>
        <v/>
      </c>
      <c r="L1222" s="7" t="str">
        <f t="shared" si="101"/>
        <v/>
      </c>
      <c r="M1222" s="7" t="str">
        <f t="shared" si="98"/>
        <v/>
      </c>
      <c r="N1222" s="7" t="str">
        <f t="shared" si="102"/>
        <v/>
      </c>
      <c r="O1222" s="8"/>
      <c r="P1222" s="26"/>
      <c r="S1222" s="10" t="str">
        <f t="shared" si="99"/>
        <v/>
      </c>
    </row>
    <row r="1223" spans="5:19" x14ac:dyDescent="0.3">
      <c r="E1223" s="9" t="str">
        <f>IF(DADOS!C1223="","",DADOS!C1223)</f>
        <v/>
      </c>
      <c r="F1223" s="9" t="str">
        <f>IF(DADOS!E1223="","",DADOS!E1223)</f>
        <v/>
      </c>
      <c r="G1223" s="9" t="str">
        <f>IF(DADOS!F1223="","",DADOS!F1223)</f>
        <v/>
      </c>
      <c r="K1223" s="6" t="str">
        <f t="shared" si="100"/>
        <v/>
      </c>
      <c r="L1223" s="7" t="str">
        <f t="shared" si="101"/>
        <v/>
      </c>
      <c r="M1223" s="7" t="str">
        <f t="shared" si="98"/>
        <v/>
      </c>
      <c r="N1223" s="7" t="str">
        <f t="shared" si="102"/>
        <v/>
      </c>
      <c r="O1223" s="8"/>
      <c r="P1223" s="26"/>
      <c r="S1223" s="10" t="str">
        <f t="shared" si="99"/>
        <v/>
      </c>
    </row>
    <row r="1224" spans="5:19" x14ac:dyDescent="0.3">
      <c r="E1224" s="9" t="str">
        <f>IF(DADOS!C1224="","",DADOS!C1224)</f>
        <v/>
      </c>
      <c r="F1224" s="9" t="str">
        <f>IF(DADOS!E1224="","",DADOS!E1224)</f>
        <v/>
      </c>
      <c r="G1224" s="9" t="str">
        <f>IF(DADOS!F1224="","",DADOS!F1224)</f>
        <v/>
      </c>
      <c r="K1224" s="6" t="str">
        <f t="shared" si="100"/>
        <v/>
      </c>
      <c r="L1224" s="7" t="str">
        <f t="shared" si="101"/>
        <v/>
      </c>
      <c r="M1224" s="7" t="str">
        <f t="shared" si="98"/>
        <v/>
      </c>
      <c r="N1224" s="7" t="str">
        <f t="shared" si="102"/>
        <v/>
      </c>
      <c r="O1224" s="8"/>
      <c r="P1224" s="26"/>
      <c r="S1224" s="10" t="str">
        <f t="shared" si="99"/>
        <v/>
      </c>
    </row>
    <row r="1225" spans="5:19" x14ac:dyDescent="0.3">
      <c r="E1225" s="9" t="str">
        <f>IF(DADOS!C1225="","",DADOS!C1225)</f>
        <v/>
      </c>
      <c r="F1225" s="9" t="str">
        <f>IF(DADOS!E1225="","",DADOS!E1225)</f>
        <v/>
      </c>
      <c r="G1225" s="9" t="str">
        <f>IF(DADOS!F1225="","",DADOS!F1225)</f>
        <v/>
      </c>
      <c r="K1225" s="6" t="str">
        <f t="shared" si="100"/>
        <v/>
      </c>
      <c r="L1225" s="7" t="str">
        <f t="shared" si="101"/>
        <v/>
      </c>
      <c r="M1225" s="7" t="str">
        <f t="shared" si="98"/>
        <v/>
      </c>
      <c r="N1225" s="7" t="str">
        <f t="shared" si="102"/>
        <v/>
      </c>
      <c r="O1225" s="8"/>
      <c r="P1225" s="26"/>
      <c r="S1225" s="10" t="str">
        <f t="shared" si="99"/>
        <v/>
      </c>
    </row>
    <row r="1226" spans="5:19" x14ac:dyDescent="0.3">
      <c r="E1226" s="9" t="str">
        <f>IF(DADOS!C1226="","",DADOS!C1226)</f>
        <v/>
      </c>
      <c r="F1226" s="9" t="str">
        <f>IF(DADOS!E1226="","",DADOS!E1226)</f>
        <v/>
      </c>
      <c r="G1226" s="9" t="str">
        <f>IF(DADOS!F1226="","",DADOS!F1226)</f>
        <v/>
      </c>
      <c r="K1226" s="6" t="str">
        <f t="shared" si="100"/>
        <v/>
      </c>
      <c r="L1226" s="7" t="str">
        <f t="shared" si="101"/>
        <v/>
      </c>
      <c r="M1226" s="7" t="str">
        <f t="shared" si="98"/>
        <v/>
      </c>
      <c r="N1226" s="7" t="str">
        <f t="shared" si="102"/>
        <v/>
      </c>
      <c r="O1226" s="8"/>
      <c r="P1226" s="26"/>
      <c r="S1226" s="10" t="str">
        <f t="shared" si="99"/>
        <v/>
      </c>
    </row>
    <row r="1227" spans="5:19" x14ac:dyDescent="0.3">
      <c r="E1227" s="9" t="str">
        <f>IF(DADOS!C1227="","",DADOS!C1227)</f>
        <v/>
      </c>
      <c r="F1227" s="9" t="str">
        <f>IF(DADOS!E1227="","",DADOS!E1227)</f>
        <v/>
      </c>
      <c r="G1227" s="9" t="str">
        <f>IF(DADOS!F1227="","",DADOS!F1227)</f>
        <v/>
      </c>
      <c r="K1227" s="6" t="str">
        <f t="shared" si="100"/>
        <v/>
      </c>
      <c r="L1227" s="7" t="str">
        <f t="shared" si="101"/>
        <v/>
      </c>
      <c r="M1227" s="7" t="str">
        <f t="shared" si="98"/>
        <v/>
      </c>
      <c r="N1227" s="7" t="str">
        <f t="shared" si="102"/>
        <v/>
      </c>
      <c r="O1227" s="8"/>
      <c r="P1227" s="26"/>
      <c r="S1227" s="10" t="str">
        <f t="shared" si="99"/>
        <v/>
      </c>
    </row>
    <row r="1228" spans="5:19" x14ac:dyDescent="0.3">
      <c r="E1228" s="9" t="str">
        <f>IF(DADOS!C1228="","",DADOS!C1228)</f>
        <v/>
      </c>
      <c r="F1228" s="9" t="str">
        <f>IF(DADOS!E1228="","",DADOS!E1228)</f>
        <v/>
      </c>
      <c r="G1228" s="9" t="str">
        <f>IF(DADOS!F1228="","",DADOS!F1228)</f>
        <v/>
      </c>
      <c r="K1228" s="6" t="str">
        <f t="shared" si="100"/>
        <v/>
      </c>
      <c r="L1228" s="7" t="str">
        <f t="shared" si="101"/>
        <v/>
      </c>
      <c r="M1228" s="7" t="str">
        <f t="shared" si="98"/>
        <v/>
      </c>
      <c r="N1228" s="7" t="str">
        <f t="shared" si="102"/>
        <v/>
      </c>
      <c r="O1228" s="8"/>
      <c r="P1228" s="26"/>
      <c r="S1228" s="10" t="str">
        <f t="shared" si="99"/>
        <v/>
      </c>
    </row>
    <row r="1229" spans="5:19" x14ac:dyDescent="0.3">
      <c r="E1229" s="9" t="str">
        <f>IF(DADOS!C1229="","",DADOS!C1229)</f>
        <v/>
      </c>
      <c r="F1229" s="9" t="str">
        <f>IF(DADOS!E1229="","",DADOS!E1229)</f>
        <v/>
      </c>
      <c r="G1229" s="9" t="str">
        <f>IF(DADOS!F1229="","",DADOS!F1229)</f>
        <v/>
      </c>
      <c r="K1229" s="6" t="str">
        <f t="shared" si="100"/>
        <v/>
      </c>
      <c r="L1229" s="7" t="str">
        <f t="shared" si="101"/>
        <v/>
      </c>
      <c r="M1229" s="7" t="str">
        <f t="shared" si="98"/>
        <v/>
      </c>
      <c r="N1229" s="7" t="str">
        <f t="shared" si="102"/>
        <v/>
      </c>
      <c r="O1229" s="8"/>
      <c r="P1229" s="26"/>
      <c r="S1229" s="10" t="str">
        <f t="shared" si="99"/>
        <v/>
      </c>
    </row>
    <row r="1230" spans="5:19" x14ac:dyDescent="0.3">
      <c r="E1230" s="9" t="str">
        <f>IF(DADOS!C1230="","",DADOS!C1230)</f>
        <v/>
      </c>
      <c r="F1230" s="9" t="str">
        <f>IF(DADOS!E1230="","",DADOS!E1230)</f>
        <v/>
      </c>
      <c r="G1230" s="9" t="str">
        <f>IF(DADOS!F1230="","",DADOS!F1230)</f>
        <v/>
      </c>
      <c r="K1230" s="6" t="str">
        <f t="shared" si="100"/>
        <v/>
      </c>
      <c r="L1230" s="7" t="str">
        <f t="shared" si="101"/>
        <v/>
      </c>
      <c r="M1230" s="7" t="str">
        <f t="shared" si="98"/>
        <v/>
      </c>
      <c r="N1230" s="7" t="str">
        <f t="shared" si="102"/>
        <v/>
      </c>
      <c r="O1230" s="8"/>
      <c r="P1230" s="26"/>
      <c r="S1230" s="10" t="str">
        <f t="shared" si="99"/>
        <v/>
      </c>
    </row>
    <row r="1231" spans="5:19" x14ac:dyDescent="0.3">
      <c r="E1231" s="9" t="str">
        <f>IF(DADOS!C1231="","",DADOS!C1231)</f>
        <v/>
      </c>
      <c r="F1231" s="9" t="str">
        <f>IF(DADOS!E1231="","",DADOS!E1231)</f>
        <v/>
      </c>
      <c r="G1231" s="9" t="str">
        <f>IF(DADOS!F1231="","",DADOS!F1231)</f>
        <v/>
      </c>
      <c r="K1231" s="6" t="str">
        <f t="shared" si="100"/>
        <v/>
      </c>
      <c r="L1231" s="7" t="str">
        <f t="shared" si="101"/>
        <v/>
      </c>
      <c r="M1231" s="7" t="str">
        <f t="shared" si="98"/>
        <v/>
      </c>
      <c r="N1231" s="7" t="str">
        <f t="shared" si="102"/>
        <v/>
      </c>
      <c r="O1231" s="8"/>
      <c r="P1231" s="26"/>
      <c r="S1231" s="10" t="str">
        <f t="shared" si="99"/>
        <v/>
      </c>
    </row>
    <row r="1232" spans="5:19" x14ac:dyDescent="0.3">
      <c r="E1232" s="9" t="str">
        <f>IF(DADOS!C1232="","",DADOS!C1232)</f>
        <v/>
      </c>
      <c r="F1232" s="9" t="str">
        <f>IF(DADOS!E1232="","",DADOS!E1232)</f>
        <v/>
      </c>
      <c r="G1232" s="9" t="str">
        <f>IF(DADOS!F1232="","",DADOS!F1232)</f>
        <v/>
      </c>
      <c r="K1232" s="6" t="str">
        <f t="shared" si="100"/>
        <v/>
      </c>
      <c r="L1232" s="7" t="str">
        <f t="shared" si="101"/>
        <v/>
      </c>
      <c r="M1232" s="7" t="str">
        <f t="shared" si="98"/>
        <v/>
      </c>
      <c r="N1232" s="7" t="str">
        <f t="shared" si="102"/>
        <v/>
      </c>
      <c r="O1232" s="8"/>
      <c r="P1232" s="26"/>
      <c r="S1232" s="10" t="str">
        <f t="shared" si="99"/>
        <v/>
      </c>
    </row>
    <row r="1233" spans="5:19" x14ac:dyDescent="0.3">
      <c r="E1233" s="9" t="str">
        <f>IF(DADOS!C1233="","",DADOS!C1233)</f>
        <v/>
      </c>
      <c r="F1233" s="9" t="str">
        <f>IF(DADOS!E1233="","",DADOS!E1233)</f>
        <v/>
      </c>
      <c r="G1233" s="9" t="str">
        <f>IF(DADOS!F1233="","",DADOS!F1233)</f>
        <v/>
      </c>
      <c r="K1233" s="6" t="str">
        <f t="shared" si="100"/>
        <v/>
      </c>
      <c r="L1233" s="7" t="str">
        <f t="shared" si="101"/>
        <v/>
      </c>
      <c r="M1233" s="7" t="str">
        <f t="shared" si="98"/>
        <v/>
      </c>
      <c r="N1233" s="7" t="str">
        <f t="shared" si="102"/>
        <v/>
      </c>
      <c r="O1233" s="8"/>
      <c r="P1233" s="26"/>
      <c r="S1233" s="10" t="str">
        <f t="shared" si="99"/>
        <v/>
      </c>
    </row>
    <row r="1234" spans="5:19" x14ac:dyDescent="0.3">
      <c r="E1234" s="9" t="str">
        <f>IF(DADOS!C1234="","",DADOS!C1234)</f>
        <v/>
      </c>
      <c r="F1234" s="9" t="str">
        <f>IF(DADOS!E1234="","",DADOS!E1234)</f>
        <v/>
      </c>
      <c r="G1234" s="9" t="str">
        <f>IF(DADOS!F1234="","",DADOS!F1234)</f>
        <v/>
      </c>
      <c r="K1234" s="6" t="str">
        <f t="shared" si="100"/>
        <v/>
      </c>
      <c r="L1234" s="7" t="str">
        <f t="shared" si="101"/>
        <v/>
      </c>
      <c r="M1234" s="7" t="str">
        <f t="shared" si="98"/>
        <v/>
      </c>
      <c r="N1234" s="7" t="str">
        <f t="shared" si="102"/>
        <v/>
      </c>
      <c r="O1234" s="8"/>
      <c r="P1234" s="26"/>
      <c r="S1234" s="10" t="str">
        <f t="shared" si="99"/>
        <v/>
      </c>
    </row>
    <row r="1235" spans="5:19" x14ac:dyDescent="0.3">
      <c r="E1235" s="9" t="str">
        <f>IF(DADOS!C1235="","",DADOS!C1235)</f>
        <v/>
      </c>
      <c r="F1235" s="9" t="str">
        <f>IF(DADOS!E1235="","",DADOS!E1235)</f>
        <v/>
      </c>
      <c r="G1235" s="9" t="str">
        <f>IF(DADOS!F1235="","",DADOS!F1235)</f>
        <v/>
      </c>
      <c r="K1235" s="6" t="str">
        <f t="shared" si="100"/>
        <v/>
      </c>
      <c r="L1235" s="7" t="str">
        <f t="shared" si="101"/>
        <v/>
      </c>
      <c r="M1235" s="7" t="str">
        <f t="shared" si="98"/>
        <v/>
      </c>
      <c r="N1235" s="7" t="str">
        <f t="shared" si="102"/>
        <v/>
      </c>
      <c r="O1235" s="8"/>
      <c r="P1235" s="26"/>
      <c r="S1235" s="10" t="str">
        <f t="shared" si="99"/>
        <v/>
      </c>
    </row>
    <row r="1236" spans="5:19" x14ac:dyDescent="0.3">
      <c r="E1236" s="9" t="str">
        <f>IF(DADOS!C1236="","",DADOS!C1236)</f>
        <v/>
      </c>
      <c r="F1236" s="9" t="str">
        <f>IF(DADOS!E1236="","",DADOS!E1236)</f>
        <v/>
      </c>
      <c r="G1236" s="9" t="str">
        <f>IF(DADOS!F1236="","",DADOS!F1236)</f>
        <v/>
      </c>
      <c r="K1236" s="6" t="str">
        <f t="shared" si="100"/>
        <v/>
      </c>
      <c r="L1236" s="7" t="str">
        <f t="shared" si="101"/>
        <v/>
      </c>
      <c r="M1236" s="7" t="str">
        <f t="shared" si="98"/>
        <v/>
      </c>
      <c r="N1236" s="7" t="str">
        <f t="shared" si="102"/>
        <v/>
      </c>
      <c r="O1236" s="8"/>
      <c r="P1236" s="26"/>
      <c r="S1236" s="10" t="str">
        <f t="shared" si="99"/>
        <v/>
      </c>
    </row>
    <row r="1237" spans="5:19" x14ac:dyDescent="0.3">
      <c r="E1237" s="9" t="str">
        <f>IF(DADOS!C1237="","",DADOS!C1237)</f>
        <v/>
      </c>
      <c r="F1237" s="9" t="str">
        <f>IF(DADOS!E1237="","",DADOS!E1237)</f>
        <v/>
      </c>
      <c r="G1237" s="9" t="str">
        <f>IF(DADOS!F1237="","",DADOS!F1237)</f>
        <v/>
      </c>
      <c r="K1237" s="6" t="str">
        <f t="shared" si="100"/>
        <v/>
      </c>
      <c r="L1237" s="7" t="str">
        <f t="shared" si="101"/>
        <v/>
      </c>
      <c r="M1237" s="7" t="str">
        <f t="shared" si="98"/>
        <v/>
      </c>
      <c r="N1237" s="7" t="str">
        <f t="shared" si="102"/>
        <v/>
      </c>
      <c r="O1237" s="8"/>
      <c r="P1237" s="26"/>
      <c r="S1237" s="10" t="str">
        <f t="shared" si="99"/>
        <v/>
      </c>
    </row>
    <row r="1238" spans="5:19" x14ac:dyDescent="0.3">
      <c r="E1238" s="9" t="str">
        <f>IF(DADOS!C1238="","",DADOS!C1238)</f>
        <v/>
      </c>
      <c r="F1238" s="9" t="str">
        <f>IF(DADOS!E1238="","",DADOS!E1238)</f>
        <v/>
      </c>
      <c r="G1238" s="9" t="str">
        <f>IF(DADOS!F1238="","",DADOS!F1238)</f>
        <v/>
      </c>
      <c r="K1238" s="6" t="str">
        <f t="shared" si="100"/>
        <v/>
      </c>
      <c r="L1238" s="7" t="str">
        <f t="shared" si="101"/>
        <v/>
      </c>
      <c r="M1238" s="7" t="str">
        <f t="shared" si="98"/>
        <v/>
      </c>
      <c r="N1238" s="7" t="str">
        <f t="shared" si="102"/>
        <v/>
      </c>
      <c r="O1238" s="8"/>
      <c r="P1238" s="26"/>
      <c r="S1238" s="10" t="str">
        <f t="shared" si="99"/>
        <v/>
      </c>
    </row>
    <row r="1239" spans="5:19" x14ac:dyDescent="0.3">
      <c r="E1239" s="9" t="str">
        <f>IF(DADOS!C1239="","",DADOS!C1239)</f>
        <v/>
      </c>
      <c r="F1239" s="9" t="str">
        <f>IF(DADOS!E1239="","",DADOS!E1239)</f>
        <v/>
      </c>
      <c r="G1239" s="9" t="str">
        <f>IF(DADOS!F1239="","",DADOS!F1239)</f>
        <v/>
      </c>
      <c r="K1239" s="6" t="str">
        <f t="shared" si="100"/>
        <v/>
      </c>
      <c r="L1239" s="7" t="str">
        <f t="shared" si="101"/>
        <v/>
      </c>
      <c r="M1239" s="7" t="str">
        <f t="shared" si="98"/>
        <v/>
      </c>
      <c r="N1239" s="7" t="str">
        <f t="shared" si="102"/>
        <v/>
      </c>
      <c r="O1239" s="8"/>
      <c r="P1239" s="26"/>
      <c r="S1239" s="10" t="str">
        <f t="shared" si="99"/>
        <v/>
      </c>
    </row>
    <row r="1240" spans="5:19" x14ac:dyDescent="0.3">
      <c r="E1240" s="9" t="str">
        <f>IF(DADOS!C1240="","",DADOS!C1240)</f>
        <v/>
      </c>
      <c r="F1240" s="9" t="str">
        <f>IF(DADOS!E1240="","",DADOS!E1240)</f>
        <v/>
      </c>
      <c r="G1240" s="9" t="str">
        <f>IF(DADOS!F1240="","",DADOS!F1240)</f>
        <v/>
      </c>
      <c r="K1240" s="6" t="str">
        <f t="shared" si="100"/>
        <v/>
      </c>
      <c r="L1240" s="7" t="str">
        <f t="shared" si="101"/>
        <v/>
      </c>
      <c r="M1240" s="7" t="str">
        <f t="shared" si="98"/>
        <v/>
      </c>
      <c r="N1240" s="7" t="str">
        <f t="shared" si="102"/>
        <v/>
      </c>
      <c r="O1240" s="8"/>
      <c r="P1240" s="26"/>
      <c r="S1240" s="10" t="str">
        <f t="shared" si="99"/>
        <v/>
      </c>
    </row>
    <row r="1241" spans="5:19" x14ac:dyDescent="0.3">
      <c r="E1241" s="9" t="str">
        <f>IF(DADOS!C1241="","",DADOS!C1241)</f>
        <v/>
      </c>
      <c r="F1241" s="9" t="str">
        <f>IF(DADOS!E1241="","",DADOS!E1241)</f>
        <v/>
      </c>
      <c r="G1241" s="9" t="str">
        <f>IF(DADOS!F1241="","",DADOS!F1241)</f>
        <v/>
      </c>
      <c r="K1241" s="6" t="str">
        <f t="shared" si="100"/>
        <v/>
      </c>
      <c r="L1241" s="7" t="str">
        <f t="shared" si="101"/>
        <v/>
      </c>
      <c r="M1241" s="7" t="str">
        <f t="shared" si="98"/>
        <v/>
      </c>
      <c r="N1241" s="7" t="str">
        <f t="shared" si="102"/>
        <v/>
      </c>
      <c r="O1241" s="8"/>
      <c r="P1241" s="26"/>
      <c r="S1241" s="10" t="str">
        <f t="shared" si="99"/>
        <v/>
      </c>
    </row>
    <row r="1242" spans="5:19" x14ac:dyDescent="0.3">
      <c r="E1242" s="9" t="str">
        <f>IF(DADOS!C1242="","",DADOS!C1242)</f>
        <v/>
      </c>
      <c r="F1242" s="9" t="str">
        <f>IF(DADOS!E1242="","",DADOS!E1242)</f>
        <v/>
      </c>
      <c r="G1242" s="9" t="str">
        <f>IF(DADOS!F1242="","",DADOS!F1242)</f>
        <v/>
      </c>
      <c r="K1242" s="6" t="str">
        <f t="shared" si="100"/>
        <v/>
      </c>
      <c r="L1242" s="7" t="str">
        <f t="shared" si="101"/>
        <v/>
      </c>
      <c r="M1242" s="7" t="str">
        <f t="shared" si="98"/>
        <v/>
      </c>
      <c r="N1242" s="7" t="str">
        <f t="shared" si="102"/>
        <v/>
      </c>
      <c r="O1242" s="8"/>
      <c r="P1242" s="26"/>
      <c r="S1242" s="10" t="str">
        <f t="shared" si="99"/>
        <v/>
      </c>
    </row>
    <row r="1243" spans="5:19" x14ac:dyDescent="0.3">
      <c r="E1243" s="9" t="str">
        <f>IF(DADOS!C1243="","",DADOS!C1243)</f>
        <v/>
      </c>
      <c r="F1243" s="9" t="str">
        <f>IF(DADOS!E1243="","",DADOS!E1243)</f>
        <v/>
      </c>
      <c r="G1243" s="9" t="str">
        <f>IF(DADOS!F1243="","",DADOS!F1243)</f>
        <v/>
      </c>
      <c r="K1243" s="6" t="str">
        <f t="shared" si="100"/>
        <v/>
      </c>
      <c r="L1243" s="7" t="str">
        <f t="shared" si="101"/>
        <v/>
      </c>
      <c r="M1243" s="7" t="str">
        <f t="shared" si="98"/>
        <v/>
      </c>
      <c r="N1243" s="7" t="str">
        <f t="shared" si="102"/>
        <v/>
      </c>
      <c r="O1243" s="8"/>
      <c r="P1243" s="26"/>
      <c r="S1243" s="10" t="str">
        <f t="shared" si="99"/>
        <v/>
      </c>
    </row>
    <row r="1244" spans="5:19" x14ac:dyDescent="0.3">
      <c r="E1244" s="9" t="str">
        <f>IF(DADOS!C1244="","",DADOS!C1244)</f>
        <v/>
      </c>
      <c r="F1244" s="9" t="str">
        <f>IF(DADOS!E1244="","",DADOS!E1244)</f>
        <v/>
      </c>
      <c r="G1244" s="9" t="str">
        <f>IF(DADOS!F1244="","",DADOS!F1244)</f>
        <v/>
      </c>
      <c r="K1244" s="6" t="str">
        <f t="shared" si="100"/>
        <v/>
      </c>
      <c r="L1244" s="7" t="str">
        <f t="shared" si="101"/>
        <v/>
      </c>
      <c r="M1244" s="7" t="str">
        <f t="shared" si="98"/>
        <v/>
      </c>
      <c r="N1244" s="7" t="str">
        <f t="shared" si="102"/>
        <v/>
      </c>
      <c r="O1244" s="8"/>
      <c r="P1244" s="26"/>
      <c r="S1244" s="10" t="str">
        <f t="shared" si="99"/>
        <v/>
      </c>
    </row>
    <row r="1245" spans="5:19" x14ac:dyDescent="0.3">
      <c r="E1245" s="9" t="str">
        <f>IF(DADOS!C1245="","",DADOS!C1245)</f>
        <v/>
      </c>
      <c r="F1245" s="9" t="str">
        <f>IF(DADOS!E1245="","",DADOS!E1245)</f>
        <v/>
      </c>
      <c r="G1245" s="9" t="str">
        <f>IF(DADOS!F1245="","",DADOS!F1245)</f>
        <v/>
      </c>
      <c r="K1245" s="6" t="str">
        <f t="shared" si="100"/>
        <v/>
      </c>
      <c r="L1245" s="7" t="str">
        <f t="shared" si="101"/>
        <v/>
      </c>
      <c r="M1245" s="7" t="str">
        <f t="shared" si="98"/>
        <v/>
      </c>
      <c r="N1245" s="7" t="str">
        <f t="shared" si="102"/>
        <v/>
      </c>
      <c r="O1245" s="8"/>
      <c r="P1245" s="26"/>
      <c r="S1245" s="10" t="str">
        <f t="shared" si="99"/>
        <v/>
      </c>
    </row>
    <row r="1246" spans="5:19" x14ac:dyDescent="0.3">
      <c r="E1246" s="9" t="str">
        <f>IF(DADOS!C1246="","",DADOS!C1246)</f>
        <v/>
      </c>
      <c r="F1246" s="9" t="str">
        <f>IF(DADOS!E1246="","",DADOS!E1246)</f>
        <v/>
      </c>
      <c r="G1246" s="9" t="str">
        <f>IF(DADOS!F1246="","",DADOS!F1246)</f>
        <v/>
      </c>
      <c r="K1246" s="6" t="str">
        <f t="shared" si="100"/>
        <v/>
      </c>
      <c r="L1246" s="7" t="str">
        <f t="shared" si="101"/>
        <v/>
      </c>
      <c r="M1246" s="7" t="str">
        <f t="shared" si="98"/>
        <v/>
      </c>
      <c r="N1246" s="7" t="str">
        <f t="shared" si="102"/>
        <v/>
      </c>
      <c r="O1246" s="8"/>
      <c r="P1246" s="26"/>
      <c r="S1246" s="10" t="str">
        <f t="shared" si="99"/>
        <v/>
      </c>
    </row>
    <row r="1247" spans="5:19" x14ac:dyDescent="0.3">
      <c r="E1247" s="9" t="str">
        <f>IF(DADOS!C1247="","",DADOS!C1247)</f>
        <v/>
      </c>
      <c r="F1247" s="9" t="str">
        <f>IF(DADOS!E1247="","",DADOS!E1247)</f>
        <v/>
      </c>
      <c r="G1247" s="9" t="str">
        <f>IF(DADOS!F1247="","",DADOS!F1247)</f>
        <v/>
      </c>
      <c r="K1247" s="6" t="str">
        <f t="shared" si="100"/>
        <v/>
      </c>
      <c r="L1247" s="7" t="str">
        <f t="shared" si="101"/>
        <v/>
      </c>
      <c r="M1247" s="7" t="str">
        <f t="shared" si="98"/>
        <v/>
      </c>
      <c r="N1247" s="7" t="str">
        <f t="shared" si="102"/>
        <v/>
      </c>
      <c r="O1247" s="8"/>
      <c r="P1247" s="26"/>
      <c r="S1247" s="10" t="str">
        <f t="shared" si="99"/>
        <v/>
      </c>
    </row>
    <row r="1248" spans="5:19" x14ac:dyDescent="0.3">
      <c r="E1248" s="9" t="str">
        <f>IF(DADOS!C1248="","",DADOS!C1248)</f>
        <v/>
      </c>
      <c r="F1248" s="9" t="str">
        <f>IF(DADOS!E1248="","",DADOS!E1248)</f>
        <v/>
      </c>
      <c r="G1248" s="9" t="str">
        <f>IF(DADOS!F1248="","",DADOS!F1248)</f>
        <v/>
      </c>
      <c r="K1248" s="6" t="str">
        <f t="shared" si="100"/>
        <v/>
      </c>
      <c r="L1248" s="7" t="str">
        <f t="shared" si="101"/>
        <v/>
      </c>
      <c r="M1248" s="7" t="str">
        <f t="shared" si="98"/>
        <v/>
      </c>
      <c r="N1248" s="7" t="str">
        <f t="shared" si="102"/>
        <v/>
      </c>
      <c r="O1248" s="8"/>
      <c r="P1248" s="26"/>
      <c r="S1248" s="10" t="str">
        <f t="shared" si="99"/>
        <v/>
      </c>
    </row>
    <row r="1249" spans="5:19" x14ac:dyDescent="0.3">
      <c r="E1249" s="9" t="str">
        <f>IF(DADOS!C1249="","",DADOS!C1249)</f>
        <v/>
      </c>
      <c r="F1249" s="9" t="str">
        <f>IF(DADOS!E1249="","",DADOS!E1249)</f>
        <v/>
      </c>
      <c r="G1249" s="9" t="str">
        <f>IF(DADOS!F1249="","",DADOS!F1249)</f>
        <v/>
      </c>
      <c r="K1249" s="6" t="str">
        <f t="shared" si="100"/>
        <v/>
      </c>
      <c r="L1249" s="7" t="str">
        <f t="shared" si="101"/>
        <v/>
      </c>
      <c r="M1249" s="7" t="str">
        <f t="shared" si="98"/>
        <v/>
      </c>
      <c r="N1249" s="7" t="str">
        <f t="shared" si="102"/>
        <v/>
      </c>
      <c r="O1249" s="8"/>
      <c r="P1249" s="26"/>
      <c r="S1249" s="10" t="str">
        <f t="shared" si="99"/>
        <v/>
      </c>
    </row>
    <row r="1250" spans="5:19" x14ac:dyDescent="0.3">
      <c r="E1250" s="9" t="str">
        <f>IF(DADOS!C1250="","",DADOS!C1250)</f>
        <v/>
      </c>
      <c r="F1250" s="9" t="str">
        <f>IF(DADOS!E1250="","",DADOS!E1250)</f>
        <v/>
      </c>
      <c r="G1250" s="9" t="str">
        <f>IF(DADOS!F1250="","",DADOS!F1250)</f>
        <v/>
      </c>
      <c r="K1250" s="6" t="str">
        <f t="shared" si="100"/>
        <v/>
      </c>
      <c r="L1250" s="7" t="str">
        <f t="shared" si="101"/>
        <v/>
      </c>
      <c r="M1250" s="7" t="str">
        <f t="shared" si="98"/>
        <v/>
      </c>
      <c r="N1250" s="7" t="str">
        <f t="shared" si="102"/>
        <v/>
      </c>
      <c r="O1250" s="8"/>
      <c r="P1250" s="26"/>
      <c r="S1250" s="10" t="str">
        <f t="shared" si="99"/>
        <v/>
      </c>
    </row>
    <row r="1251" spans="5:19" x14ac:dyDescent="0.3">
      <c r="E1251" s="9" t="str">
        <f>IF(DADOS!C1251="","",DADOS!C1251)</f>
        <v/>
      </c>
      <c r="F1251" s="9" t="str">
        <f>IF(DADOS!E1251="","",DADOS!E1251)</f>
        <v/>
      </c>
      <c r="G1251" s="9" t="str">
        <f>IF(DADOS!F1251="","",DADOS!F1251)</f>
        <v/>
      </c>
      <c r="K1251" s="6" t="str">
        <f t="shared" si="100"/>
        <v/>
      </c>
      <c r="L1251" s="7" t="str">
        <f t="shared" si="101"/>
        <v/>
      </c>
      <c r="M1251" s="7" t="str">
        <f t="shared" si="98"/>
        <v/>
      </c>
      <c r="N1251" s="7" t="str">
        <f t="shared" si="102"/>
        <v/>
      </c>
      <c r="O1251" s="8"/>
      <c r="P1251" s="26"/>
      <c r="S1251" s="10" t="str">
        <f t="shared" si="99"/>
        <v/>
      </c>
    </row>
    <row r="1252" spans="5:19" x14ac:dyDescent="0.3">
      <c r="E1252" s="9" t="str">
        <f>IF(DADOS!C1252="","",DADOS!C1252)</f>
        <v/>
      </c>
      <c r="F1252" s="9" t="str">
        <f>IF(DADOS!E1252="","",DADOS!E1252)</f>
        <v/>
      </c>
      <c r="G1252" s="9" t="str">
        <f>IF(DADOS!F1252="","",DADOS!F1252)</f>
        <v/>
      </c>
      <c r="K1252" s="6" t="str">
        <f t="shared" si="100"/>
        <v/>
      </c>
      <c r="L1252" s="7" t="str">
        <f t="shared" si="101"/>
        <v/>
      </c>
      <c r="M1252" s="7" t="str">
        <f t="shared" si="98"/>
        <v/>
      </c>
      <c r="N1252" s="7" t="str">
        <f t="shared" si="102"/>
        <v/>
      </c>
      <c r="O1252" s="8"/>
      <c r="P1252" s="26"/>
      <c r="S1252" s="10" t="str">
        <f t="shared" si="99"/>
        <v/>
      </c>
    </row>
    <row r="1253" spans="5:19" x14ac:dyDescent="0.3">
      <c r="E1253" s="9" t="str">
        <f>IF(DADOS!C1253="","",DADOS!C1253)</f>
        <v/>
      </c>
      <c r="F1253" s="9" t="str">
        <f>IF(DADOS!E1253="","",DADOS!E1253)</f>
        <v/>
      </c>
      <c r="G1253" s="9" t="str">
        <f>IF(DADOS!F1253="","",DADOS!F1253)</f>
        <v/>
      </c>
      <c r="K1253" s="6" t="str">
        <f t="shared" si="100"/>
        <v/>
      </c>
      <c r="L1253" s="7" t="str">
        <f t="shared" si="101"/>
        <v/>
      </c>
      <c r="M1253" s="7" t="str">
        <f t="shared" si="98"/>
        <v/>
      </c>
      <c r="N1253" s="7" t="str">
        <f t="shared" si="102"/>
        <v/>
      </c>
      <c r="O1253" s="8"/>
      <c r="P1253" s="26"/>
      <c r="S1253" s="10" t="str">
        <f t="shared" si="99"/>
        <v/>
      </c>
    </row>
    <row r="1254" spans="5:19" x14ac:dyDescent="0.3">
      <c r="E1254" s="9" t="str">
        <f>IF(DADOS!C1254="","",DADOS!C1254)</f>
        <v/>
      </c>
      <c r="F1254" s="9" t="str">
        <f>IF(DADOS!E1254="","",DADOS!E1254)</f>
        <v/>
      </c>
      <c r="G1254" s="9" t="str">
        <f>IF(DADOS!F1254="","",DADOS!F1254)</f>
        <v/>
      </c>
      <c r="K1254" s="6" t="str">
        <f t="shared" si="100"/>
        <v/>
      </c>
      <c r="L1254" s="7" t="str">
        <f t="shared" si="101"/>
        <v/>
      </c>
      <c r="M1254" s="7" t="str">
        <f t="shared" si="98"/>
        <v/>
      </c>
      <c r="N1254" s="7" t="str">
        <f t="shared" si="102"/>
        <v/>
      </c>
      <c r="O1254" s="8"/>
      <c r="P1254" s="26"/>
      <c r="S1254" s="10" t="str">
        <f t="shared" si="99"/>
        <v/>
      </c>
    </row>
    <row r="1255" spans="5:19" x14ac:dyDescent="0.3">
      <c r="E1255" s="9" t="str">
        <f>IF(DADOS!C1255="","",DADOS!C1255)</f>
        <v/>
      </c>
      <c r="F1255" s="9" t="str">
        <f>IF(DADOS!E1255="","",DADOS!E1255)</f>
        <v/>
      </c>
      <c r="G1255" s="9" t="str">
        <f>IF(DADOS!F1255="","",DADOS!F1255)</f>
        <v/>
      </c>
      <c r="K1255" s="6" t="str">
        <f t="shared" si="100"/>
        <v/>
      </c>
      <c r="L1255" s="7" t="str">
        <f t="shared" si="101"/>
        <v/>
      </c>
      <c r="M1255" s="7" t="str">
        <f t="shared" si="98"/>
        <v/>
      </c>
      <c r="N1255" s="7" t="str">
        <f t="shared" si="102"/>
        <v/>
      </c>
      <c r="O1255" s="8"/>
      <c r="P1255" s="26"/>
      <c r="S1255" s="10" t="str">
        <f t="shared" si="99"/>
        <v/>
      </c>
    </row>
    <row r="1256" spans="5:19" x14ac:dyDescent="0.3">
      <c r="E1256" s="9" t="str">
        <f>IF(DADOS!C1256="","",DADOS!C1256)</f>
        <v/>
      </c>
      <c r="F1256" s="9" t="str">
        <f>IF(DADOS!E1256="","",DADOS!E1256)</f>
        <v/>
      </c>
      <c r="G1256" s="9" t="str">
        <f>IF(DADOS!F1256="","",DADOS!F1256)</f>
        <v/>
      </c>
      <c r="K1256" s="6" t="str">
        <f t="shared" si="100"/>
        <v/>
      </c>
      <c r="L1256" s="7" t="str">
        <f t="shared" si="101"/>
        <v/>
      </c>
      <c r="M1256" s="7" t="str">
        <f t="shared" si="98"/>
        <v/>
      </c>
      <c r="N1256" s="7" t="str">
        <f t="shared" si="102"/>
        <v/>
      </c>
      <c r="O1256" s="8"/>
      <c r="P1256" s="26"/>
      <c r="S1256" s="10" t="str">
        <f t="shared" si="99"/>
        <v/>
      </c>
    </row>
    <row r="1257" spans="5:19" x14ac:dyDescent="0.3">
      <c r="E1257" s="9" t="str">
        <f>IF(DADOS!C1257="","",DADOS!C1257)</f>
        <v/>
      </c>
      <c r="F1257" s="9" t="str">
        <f>IF(DADOS!E1257="","",DADOS!E1257)</f>
        <v/>
      </c>
      <c r="G1257" s="9" t="str">
        <f>IF(DADOS!F1257="","",DADOS!F1257)</f>
        <v/>
      </c>
      <c r="K1257" s="6" t="str">
        <f t="shared" si="100"/>
        <v/>
      </c>
      <c r="L1257" s="7" t="str">
        <f t="shared" si="101"/>
        <v/>
      </c>
      <c r="M1257" s="7" t="str">
        <f t="shared" si="98"/>
        <v/>
      </c>
      <c r="N1257" s="7" t="str">
        <f t="shared" si="102"/>
        <v/>
      </c>
      <c r="O1257" s="8"/>
      <c r="P1257" s="26"/>
      <c r="S1257" s="10" t="str">
        <f t="shared" si="99"/>
        <v/>
      </c>
    </row>
    <row r="1258" spans="5:19" x14ac:dyDescent="0.3">
      <c r="E1258" s="9" t="str">
        <f>IF(DADOS!C1258="","",DADOS!C1258)</f>
        <v/>
      </c>
      <c r="F1258" s="9" t="str">
        <f>IF(DADOS!E1258="","",DADOS!E1258)</f>
        <v/>
      </c>
      <c r="G1258" s="9" t="str">
        <f>IF(DADOS!F1258="","",DADOS!F1258)</f>
        <v/>
      </c>
      <c r="K1258" s="6" t="str">
        <f t="shared" si="100"/>
        <v/>
      </c>
      <c r="L1258" s="7" t="str">
        <f t="shared" si="101"/>
        <v/>
      </c>
      <c r="M1258" s="7" t="str">
        <f t="shared" si="98"/>
        <v/>
      </c>
      <c r="N1258" s="7" t="str">
        <f t="shared" si="102"/>
        <v/>
      </c>
      <c r="O1258" s="8"/>
      <c r="P1258" s="26"/>
      <c r="S1258" s="10" t="str">
        <f t="shared" si="99"/>
        <v/>
      </c>
    </row>
    <row r="1259" spans="5:19" x14ac:dyDescent="0.3">
      <c r="E1259" s="9" t="str">
        <f>IF(DADOS!C1259="","",DADOS!C1259)</f>
        <v/>
      </c>
      <c r="F1259" s="9" t="str">
        <f>IF(DADOS!E1259="","",DADOS!E1259)</f>
        <v/>
      </c>
      <c r="G1259" s="9" t="str">
        <f>IF(DADOS!F1259="","",DADOS!F1259)</f>
        <v/>
      </c>
      <c r="K1259" s="6" t="str">
        <f t="shared" si="100"/>
        <v/>
      </c>
      <c r="L1259" s="7" t="str">
        <f t="shared" si="101"/>
        <v/>
      </c>
      <c r="M1259" s="7" t="str">
        <f t="shared" si="98"/>
        <v/>
      </c>
      <c r="N1259" s="7" t="str">
        <f t="shared" si="102"/>
        <v/>
      </c>
      <c r="O1259" s="8"/>
      <c r="P1259" s="26"/>
      <c r="S1259" s="10" t="str">
        <f t="shared" si="99"/>
        <v/>
      </c>
    </row>
    <row r="1260" spans="5:19" x14ac:dyDescent="0.3">
      <c r="E1260" s="9" t="str">
        <f>IF(DADOS!C1260="","",DADOS!C1260)</f>
        <v/>
      </c>
      <c r="F1260" s="9" t="str">
        <f>IF(DADOS!E1260="","",DADOS!E1260)</f>
        <v/>
      </c>
      <c r="G1260" s="9" t="str">
        <f>IF(DADOS!F1260="","",DADOS!F1260)</f>
        <v/>
      </c>
      <c r="K1260" s="6" t="str">
        <f t="shared" si="100"/>
        <v/>
      </c>
      <c r="L1260" s="7" t="str">
        <f t="shared" si="101"/>
        <v/>
      </c>
      <c r="M1260" s="7" t="str">
        <f t="shared" si="98"/>
        <v/>
      </c>
      <c r="N1260" s="7" t="str">
        <f t="shared" si="102"/>
        <v/>
      </c>
      <c r="O1260" s="8"/>
      <c r="P1260" s="26"/>
      <c r="S1260" s="10" t="str">
        <f t="shared" si="99"/>
        <v/>
      </c>
    </row>
    <row r="1261" spans="5:19" x14ac:dyDescent="0.3">
      <c r="E1261" s="9" t="str">
        <f>IF(DADOS!C1261="","",DADOS!C1261)</f>
        <v/>
      </c>
      <c r="F1261" s="9" t="str">
        <f>IF(DADOS!E1261="","",DADOS!E1261)</f>
        <v/>
      </c>
      <c r="G1261" s="9" t="str">
        <f>IF(DADOS!F1261="","",DADOS!F1261)</f>
        <v/>
      </c>
      <c r="K1261" s="6" t="str">
        <f t="shared" si="100"/>
        <v/>
      </c>
      <c r="L1261" s="7" t="str">
        <f t="shared" si="101"/>
        <v/>
      </c>
      <c r="M1261" s="7" t="str">
        <f t="shared" si="98"/>
        <v/>
      </c>
      <c r="N1261" s="7" t="str">
        <f t="shared" si="102"/>
        <v/>
      </c>
      <c r="O1261" s="8"/>
      <c r="P1261" s="26"/>
      <c r="S1261" s="10" t="str">
        <f t="shared" si="99"/>
        <v/>
      </c>
    </row>
    <row r="1262" spans="5:19" x14ac:dyDescent="0.3">
      <c r="E1262" s="9" t="str">
        <f>IF(DADOS!C1262="","",DADOS!C1262)</f>
        <v/>
      </c>
      <c r="F1262" s="9" t="str">
        <f>IF(DADOS!E1262="","",DADOS!E1262)</f>
        <v/>
      </c>
      <c r="G1262" s="9" t="str">
        <f>IF(DADOS!F1262="","",DADOS!F1262)</f>
        <v/>
      </c>
      <c r="K1262" s="6" t="str">
        <f t="shared" si="100"/>
        <v/>
      </c>
      <c r="L1262" s="7" t="str">
        <f t="shared" si="101"/>
        <v/>
      </c>
      <c r="M1262" s="7" t="str">
        <f t="shared" si="98"/>
        <v/>
      </c>
      <c r="N1262" s="7" t="str">
        <f t="shared" si="102"/>
        <v/>
      </c>
      <c r="O1262" s="8"/>
      <c r="P1262" s="26"/>
      <c r="S1262" s="10" t="str">
        <f t="shared" si="99"/>
        <v/>
      </c>
    </row>
    <row r="1263" spans="5:19" x14ac:dyDescent="0.3">
      <c r="E1263" s="9" t="str">
        <f>IF(DADOS!C1263="","",DADOS!C1263)</f>
        <v/>
      </c>
      <c r="F1263" s="9" t="str">
        <f>IF(DADOS!E1263="","",DADOS!E1263)</f>
        <v/>
      </c>
      <c r="G1263" s="9" t="str">
        <f>IF(DADOS!F1263="","",DADOS!F1263)</f>
        <v/>
      </c>
      <c r="K1263" s="6" t="str">
        <f t="shared" si="100"/>
        <v/>
      </c>
      <c r="L1263" s="7" t="str">
        <f t="shared" si="101"/>
        <v/>
      </c>
      <c r="M1263" s="7" t="str">
        <f t="shared" si="98"/>
        <v/>
      </c>
      <c r="N1263" s="7" t="str">
        <f t="shared" si="102"/>
        <v/>
      </c>
      <c r="O1263" s="8"/>
      <c r="P1263" s="26"/>
      <c r="S1263" s="10" t="str">
        <f t="shared" si="99"/>
        <v/>
      </c>
    </row>
    <row r="1264" spans="5:19" x14ac:dyDescent="0.3">
      <c r="E1264" s="9" t="str">
        <f>IF(DADOS!C1264="","",DADOS!C1264)</f>
        <v/>
      </c>
      <c r="F1264" s="9" t="str">
        <f>IF(DADOS!E1264="","",DADOS!E1264)</f>
        <v/>
      </c>
      <c r="G1264" s="9" t="str">
        <f>IF(DADOS!F1264="","",DADOS!F1264)</f>
        <v/>
      </c>
      <c r="K1264" s="6" t="str">
        <f t="shared" si="100"/>
        <v/>
      </c>
      <c r="L1264" s="7" t="str">
        <f t="shared" si="101"/>
        <v/>
      </c>
      <c r="M1264" s="7" t="str">
        <f t="shared" si="98"/>
        <v/>
      </c>
      <c r="N1264" s="7" t="str">
        <f t="shared" si="102"/>
        <v/>
      </c>
      <c r="O1264" s="8"/>
      <c r="P1264" s="26"/>
      <c r="S1264" s="10" t="str">
        <f t="shared" si="99"/>
        <v/>
      </c>
    </row>
    <row r="1265" spans="5:19" x14ac:dyDescent="0.3">
      <c r="E1265" s="9" t="str">
        <f>IF(DADOS!C1265="","",DADOS!C1265)</f>
        <v/>
      </c>
      <c r="F1265" s="9" t="str">
        <f>IF(DADOS!E1265="","",DADOS!E1265)</f>
        <v/>
      </c>
      <c r="G1265" s="9" t="str">
        <f>IF(DADOS!F1265="","",DADOS!F1265)</f>
        <v/>
      </c>
      <c r="K1265" s="6" t="str">
        <f t="shared" si="100"/>
        <v/>
      </c>
      <c r="L1265" s="7" t="str">
        <f t="shared" si="101"/>
        <v/>
      </c>
      <c r="M1265" s="7" t="str">
        <f t="shared" si="98"/>
        <v/>
      </c>
      <c r="N1265" s="7" t="str">
        <f t="shared" si="102"/>
        <v/>
      </c>
      <c r="O1265" s="8"/>
      <c r="P1265" s="26"/>
      <c r="S1265" s="10" t="str">
        <f t="shared" si="99"/>
        <v/>
      </c>
    </row>
    <row r="1266" spans="5:19" x14ac:dyDescent="0.3">
      <c r="E1266" s="9" t="str">
        <f>IF(DADOS!C1266="","",DADOS!C1266)</f>
        <v/>
      </c>
      <c r="F1266" s="9" t="str">
        <f>IF(DADOS!E1266="","",DADOS!E1266)</f>
        <v/>
      </c>
      <c r="G1266" s="9" t="str">
        <f>IF(DADOS!F1266="","",DADOS!F1266)</f>
        <v/>
      </c>
      <c r="K1266" s="6" t="str">
        <f t="shared" si="100"/>
        <v/>
      </c>
      <c r="L1266" s="7" t="str">
        <f t="shared" si="101"/>
        <v/>
      </c>
      <c r="M1266" s="7" t="str">
        <f t="shared" si="98"/>
        <v/>
      </c>
      <c r="N1266" s="7" t="str">
        <f t="shared" si="102"/>
        <v/>
      </c>
      <c r="O1266" s="8"/>
      <c r="P1266" s="26"/>
      <c r="S1266" s="10" t="str">
        <f t="shared" si="99"/>
        <v/>
      </c>
    </row>
    <row r="1267" spans="5:19" x14ac:dyDescent="0.3">
      <c r="E1267" s="9" t="str">
        <f>IF(DADOS!C1267="","",DADOS!C1267)</f>
        <v/>
      </c>
      <c r="F1267" s="9" t="str">
        <f>IF(DADOS!E1267="","",DADOS!E1267)</f>
        <v/>
      </c>
      <c r="G1267" s="9" t="str">
        <f>IF(DADOS!F1267="","",DADOS!F1267)</f>
        <v/>
      </c>
      <c r="K1267" s="6" t="str">
        <f t="shared" si="100"/>
        <v/>
      </c>
      <c r="L1267" s="7" t="str">
        <f t="shared" si="101"/>
        <v/>
      </c>
      <c r="M1267" s="7" t="str">
        <f t="shared" si="98"/>
        <v/>
      </c>
      <c r="N1267" s="7" t="str">
        <f t="shared" si="102"/>
        <v/>
      </c>
      <c r="O1267" s="8"/>
      <c r="P1267" s="26"/>
      <c r="S1267" s="10" t="str">
        <f t="shared" si="99"/>
        <v/>
      </c>
    </row>
    <row r="1268" spans="5:19" x14ac:dyDescent="0.3">
      <c r="E1268" s="9" t="str">
        <f>IF(DADOS!C1268="","",DADOS!C1268)</f>
        <v/>
      </c>
      <c r="F1268" s="9" t="str">
        <f>IF(DADOS!E1268="","",DADOS!E1268)</f>
        <v/>
      </c>
      <c r="G1268" s="9" t="str">
        <f>IF(DADOS!F1268="","",DADOS!F1268)</f>
        <v/>
      </c>
      <c r="K1268" s="6" t="str">
        <f t="shared" si="100"/>
        <v/>
      </c>
      <c r="L1268" s="7" t="str">
        <f t="shared" si="101"/>
        <v/>
      </c>
      <c r="M1268" s="7" t="str">
        <f t="shared" si="98"/>
        <v/>
      </c>
      <c r="N1268" s="7" t="str">
        <f t="shared" si="102"/>
        <v/>
      </c>
      <c r="O1268" s="8"/>
      <c r="P1268" s="26"/>
      <c r="S1268" s="10" t="str">
        <f t="shared" si="99"/>
        <v/>
      </c>
    </row>
    <row r="1269" spans="5:19" x14ac:dyDescent="0.3">
      <c r="E1269" s="9" t="str">
        <f>IF(DADOS!C1269="","",DADOS!C1269)</f>
        <v/>
      </c>
      <c r="F1269" s="9" t="str">
        <f>IF(DADOS!E1269="","",DADOS!E1269)</f>
        <v/>
      </c>
      <c r="G1269" s="9" t="str">
        <f>IF(DADOS!F1269="","",DADOS!F1269)</f>
        <v/>
      </c>
      <c r="K1269" s="6" t="str">
        <f t="shared" si="100"/>
        <v/>
      </c>
      <c r="L1269" s="7" t="str">
        <f t="shared" si="101"/>
        <v/>
      </c>
      <c r="M1269" s="7" t="str">
        <f t="shared" si="98"/>
        <v/>
      </c>
      <c r="N1269" s="7" t="str">
        <f t="shared" si="102"/>
        <v/>
      </c>
      <c r="O1269" s="8"/>
      <c r="P1269" s="26"/>
      <c r="S1269" s="10" t="str">
        <f t="shared" si="99"/>
        <v/>
      </c>
    </row>
    <row r="1270" spans="5:19" x14ac:dyDescent="0.3">
      <c r="E1270" s="9" t="str">
        <f>IF(DADOS!C1270="","",DADOS!C1270)</f>
        <v/>
      </c>
      <c r="F1270" s="9" t="str">
        <f>IF(DADOS!E1270="","",DADOS!E1270)</f>
        <v/>
      </c>
      <c r="G1270" s="9" t="str">
        <f>IF(DADOS!F1270="","",DADOS!F1270)</f>
        <v/>
      </c>
      <c r="K1270" s="6" t="str">
        <f t="shared" si="100"/>
        <v/>
      </c>
      <c r="L1270" s="7" t="str">
        <f t="shared" si="101"/>
        <v/>
      </c>
      <c r="M1270" s="7" t="str">
        <f t="shared" si="98"/>
        <v/>
      </c>
      <c r="N1270" s="7" t="str">
        <f t="shared" si="102"/>
        <v/>
      </c>
      <c r="O1270" s="8"/>
      <c r="P1270" s="26"/>
      <c r="S1270" s="10" t="str">
        <f t="shared" si="99"/>
        <v/>
      </c>
    </row>
    <row r="1271" spans="5:19" x14ac:dyDescent="0.3">
      <c r="E1271" s="9" t="str">
        <f>IF(DADOS!C1271="","",DADOS!C1271)</f>
        <v/>
      </c>
      <c r="F1271" s="9" t="str">
        <f>IF(DADOS!E1271="","",DADOS!E1271)</f>
        <v/>
      </c>
      <c r="G1271" s="9" t="str">
        <f>IF(DADOS!F1271="","",DADOS!F1271)</f>
        <v/>
      </c>
      <c r="K1271" s="6" t="str">
        <f t="shared" si="100"/>
        <v/>
      </c>
      <c r="L1271" s="7" t="str">
        <f t="shared" si="101"/>
        <v/>
      </c>
      <c r="M1271" s="7" t="str">
        <f t="shared" si="98"/>
        <v/>
      </c>
      <c r="N1271" s="7" t="str">
        <f t="shared" si="102"/>
        <v/>
      </c>
      <c r="O1271" s="8"/>
      <c r="P1271" s="26"/>
      <c r="S1271" s="10" t="str">
        <f t="shared" si="99"/>
        <v/>
      </c>
    </row>
    <row r="1272" spans="5:19" x14ac:dyDescent="0.3">
      <c r="E1272" s="9" t="str">
        <f>IF(DADOS!C1272="","",DADOS!C1272)</f>
        <v/>
      </c>
      <c r="F1272" s="9" t="str">
        <f>IF(DADOS!E1272="","",DADOS!E1272)</f>
        <v/>
      </c>
      <c r="G1272" s="9" t="str">
        <f>IF(DADOS!F1272="","",DADOS!F1272)</f>
        <v/>
      </c>
      <c r="K1272" s="6" t="str">
        <f t="shared" si="100"/>
        <v/>
      </c>
      <c r="L1272" s="7" t="str">
        <f t="shared" si="101"/>
        <v/>
      </c>
      <c r="M1272" s="7" t="str">
        <f t="shared" si="98"/>
        <v/>
      </c>
      <c r="N1272" s="7" t="str">
        <f t="shared" si="102"/>
        <v/>
      </c>
      <c r="O1272" s="8"/>
      <c r="P1272" s="26"/>
      <c r="S1272" s="10" t="str">
        <f t="shared" si="99"/>
        <v/>
      </c>
    </row>
    <row r="1273" spans="5:19" x14ac:dyDescent="0.3">
      <c r="E1273" s="9" t="str">
        <f>IF(DADOS!C1273="","",DADOS!C1273)</f>
        <v/>
      </c>
      <c r="F1273" s="9" t="str">
        <f>IF(DADOS!E1273="","",DADOS!E1273)</f>
        <v/>
      </c>
      <c r="G1273" s="9" t="str">
        <f>IF(DADOS!F1273="","",DADOS!F1273)</f>
        <v/>
      </c>
      <c r="K1273" s="6" t="str">
        <f t="shared" si="100"/>
        <v/>
      </c>
      <c r="L1273" s="7" t="str">
        <f t="shared" si="101"/>
        <v/>
      </c>
      <c r="M1273" s="7" t="str">
        <f t="shared" si="98"/>
        <v/>
      </c>
      <c r="N1273" s="7" t="str">
        <f t="shared" si="102"/>
        <v/>
      </c>
      <c r="O1273" s="8"/>
      <c r="P1273" s="26"/>
      <c r="S1273" s="10" t="str">
        <f t="shared" si="99"/>
        <v/>
      </c>
    </row>
    <row r="1274" spans="5:19" x14ac:dyDescent="0.3">
      <c r="E1274" s="9" t="str">
        <f>IF(DADOS!C1274="","",DADOS!C1274)</f>
        <v/>
      </c>
      <c r="F1274" s="9" t="str">
        <f>IF(DADOS!E1274="","",DADOS!E1274)</f>
        <v/>
      </c>
      <c r="G1274" s="9" t="str">
        <f>IF(DADOS!F1274="","",DADOS!F1274)</f>
        <v/>
      </c>
      <c r="K1274" s="6" t="str">
        <f t="shared" si="100"/>
        <v/>
      </c>
      <c r="L1274" s="7" t="str">
        <f t="shared" si="101"/>
        <v/>
      </c>
      <c r="M1274" s="7" t="str">
        <f t="shared" si="98"/>
        <v/>
      </c>
      <c r="N1274" s="7" t="str">
        <f t="shared" si="102"/>
        <v/>
      </c>
      <c r="O1274" s="8"/>
      <c r="P1274" s="26"/>
      <c r="S1274" s="10" t="str">
        <f t="shared" si="99"/>
        <v/>
      </c>
    </row>
    <row r="1275" spans="5:19" x14ac:dyDescent="0.3">
      <c r="E1275" s="9" t="str">
        <f>IF(DADOS!C1275="","",DADOS!C1275)</f>
        <v/>
      </c>
      <c r="F1275" s="9" t="str">
        <f>IF(DADOS!E1275="","",DADOS!E1275)</f>
        <v/>
      </c>
      <c r="G1275" s="9" t="str">
        <f>IF(DADOS!F1275="","",DADOS!F1275)</f>
        <v/>
      </c>
      <c r="K1275" s="6" t="str">
        <f t="shared" si="100"/>
        <v/>
      </c>
      <c r="L1275" s="7" t="str">
        <f t="shared" si="101"/>
        <v/>
      </c>
      <c r="M1275" s="7" t="str">
        <f t="shared" si="98"/>
        <v/>
      </c>
      <c r="N1275" s="7" t="str">
        <f t="shared" si="102"/>
        <v/>
      </c>
      <c r="O1275" s="8"/>
      <c r="P1275" s="26"/>
      <c r="S1275" s="10" t="str">
        <f t="shared" si="99"/>
        <v/>
      </c>
    </row>
    <row r="1276" spans="5:19" x14ac:dyDescent="0.3">
      <c r="E1276" s="9" t="str">
        <f>IF(DADOS!C1276="","",DADOS!C1276)</f>
        <v/>
      </c>
      <c r="F1276" s="9" t="str">
        <f>IF(DADOS!E1276="","",DADOS!E1276)</f>
        <v/>
      </c>
      <c r="G1276" s="9" t="str">
        <f>IF(DADOS!F1276="","",DADOS!F1276)</f>
        <v/>
      </c>
      <c r="K1276" s="6" t="str">
        <f t="shared" si="100"/>
        <v/>
      </c>
      <c r="L1276" s="7" t="str">
        <f t="shared" si="101"/>
        <v/>
      </c>
      <c r="M1276" s="7" t="str">
        <f t="shared" si="98"/>
        <v/>
      </c>
      <c r="N1276" s="7" t="str">
        <f t="shared" si="102"/>
        <v/>
      </c>
      <c r="O1276" s="8"/>
      <c r="P1276" s="26"/>
      <c r="S1276" s="10" t="str">
        <f t="shared" si="99"/>
        <v/>
      </c>
    </row>
    <row r="1277" spans="5:19" x14ac:dyDescent="0.3">
      <c r="E1277" s="9" t="str">
        <f>IF(DADOS!C1277="","",DADOS!C1277)</f>
        <v/>
      </c>
      <c r="F1277" s="9" t="str">
        <f>IF(DADOS!E1277="","",DADOS!E1277)</f>
        <v/>
      </c>
      <c r="G1277" s="9" t="str">
        <f>IF(DADOS!F1277="","",DADOS!F1277)</f>
        <v/>
      </c>
      <c r="K1277" s="6" t="str">
        <f t="shared" si="100"/>
        <v/>
      </c>
      <c r="L1277" s="7" t="str">
        <f t="shared" si="101"/>
        <v/>
      </c>
      <c r="M1277" s="7" t="str">
        <f t="shared" si="98"/>
        <v/>
      </c>
      <c r="N1277" s="7" t="str">
        <f t="shared" si="102"/>
        <v/>
      </c>
      <c r="O1277" s="8"/>
      <c r="P1277" s="26"/>
      <c r="S1277" s="10" t="str">
        <f t="shared" si="99"/>
        <v/>
      </c>
    </row>
    <row r="1278" spans="5:19" x14ac:dyDescent="0.3">
      <c r="E1278" s="9" t="str">
        <f>IF(DADOS!C1278="","",DADOS!C1278)</f>
        <v/>
      </c>
      <c r="F1278" s="9" t="str">
        <f>IF(DADOS!E1278="","",DADOS!E1278)</f>
        <v/>
      </c>
      <c r="G1278" s="9" t="str">
        <f>IF(DADOS!F1278="","",DADOS!F1278)</f>
        <v/>
      </c>
      <c r="K1278" s="6" t="str">
        <f t="shared" si="100"/>
        <v/>
      </c>
      <c r="L1278" s="7" t="str">
        <f t="shared" si="101"/>
        <v/>
      </c>
      <c r="M1278" s="7" t="str">
        <f t="shared" si="98"/>
        <v/>
      </c>
      <c r="N1278" s="7" t="str">
        <f t="shared" si="102"/>
        <v/>
      </c>
      <c r="O1278" s="8"/>
      <c r="P1278" s="26"/>
      <c r="S1278" s="10" t="str">
        <f t="shared" si="99"/>
        <v/>
      </c>
    </row>
    <row r="1279" spans="5:19" x14ac:dyDescent="0.3">
      <c r="E1279" s="9" t="str">
        <f>IF(DADOS!C1279="","",DADOS!C1279)</f>
        <v/>
      </c>
      <c r="F1279" s="9" t="str">
        <f>IF(DADOS!E1279="","",DADOS!E1279)</f>
        <v/>
      </c>
      <c r="G1279" s="9" t="str">
        <f>IF(DADOS!F1279="","",DADOS!F1279)</f>
        <v/>
      </c>
      <c r="K1279" s="6" t="str">
        <f t="shared" si="100"/>
        <v/>
      </c>
      <c r="L1279" s="7" t="str">
        <f t="shared" si="101"/>
        <v/>
      </c>
      <c r="M1279" s="7" t="str">
        <f t="shared" si="98"/>
        <v/>
      </c>
      <c r="N1279" s="7" t="str">
        <f t="shared" si="102"/>
        <v/>
      </c>
      <c r="O1279" s="8"/>
      <c r="P1279" s="26"/>
      <c r="S1279" s="10" t="str">
        <f t="shared" si="99"/>
        <v/>
      </c>
    </row>
    <row r="1280" spans="5:19" x14ac:dyDescent="0.3">
      <c r="E1280" s="9" t="str">
        <f>IF(DADOS!C1280="","",DADOS!C1280)</f>
        <v/>
      </c>
      <c r="F1280" s="9" t="str">
        <f>IF(DADOS!E1280="","",DADOS!E1280)</f>
        <v/>
      </c>
      <c r="G1280" s="9" t="str">
        <f>IF(DADOS!F1280="","",DADOS!F1280)</f>
        <v/>
      </c>
      <c r="K1280" s="6" t="str">
        <f t="shared" si="100"/>
        <v/>
      </c>
      <c r="L1280" s="7" t="str">
        <f t="shared" si="101"/>
        <v/>
      </c>
      <c r="M1280" s="7" t="str">
        <f t="shared" si="98"/>
        <v/>
      </c>
      <c r="N1280" s="7" t="str">
        <f t="shared" si="102"/>
        <v/>
      </c>
      <c r="O1280" s="8"/>
      <c r="P1280" s="26"/>
      <c r="S1280" s="10" t="str">
        <f t="shared" si="99"/>
        <v/>
      </c>
    </row>
    <row r="1281" spans="5:19" x14ac:dyDescent="0.3">
      <c r="E1281" s="9" t="str">
        <f>IF(DADOS!C1281="","",DADOS!C1281)</f>
        <v/>
      </c>
      <c r="F1281" s="9" t="str">
        <f>IF(DADOS!E1281="","",DADOS!E1281)</f>
        <v/>
      </c>
      <c r="G1281" s="9" t="str">
        <f>IF(DADOS!F1281="","",DADOS!F1281)</f>
        <v/>
      </c>
      <c r="K1281" s="6" t="str">
        <f t="shared" si="100"/>
        <v/>
      </c>
      <c r="L1281" s="7" t="str">
        <f t="shared" si="101"/>
        <v/>
      </c>
      <c r="M1281" s="7" t="str">
        <f t="shared" si="98"/>
        <v/>
      </c>
      <c r="N1281" s="7" t="str">
        <f t="shared" si="102"/>
        <v/>
      </c>
      <c r="O1281" s="8"/>
      <c r="P1281" s="26"/>
      <c r="S1281" s="10" t="str">
        <f t="shared" si="99"/>
        <v/>
      </c>
    </row>
    <row r="1282" spans="5:19" x14ac:dyDescent="0.3">
      <c r="E1282" s="9" t="str">
        <f>IF(DADOS!C1282="","",DADOS!C1282)</f>
        <v/>
      </c>
      <c r="F1282" s="9" t="str">
        <f>IF(DADOS!E1282="","",DADOS!E1282)</f>
        <v/>
      </c>
      <c r="G1282" s="9" t="str">
        <f>IF(DADOS!F1282="","",DADOS!F1282)</f>
        <v/>
      </c>
      <c r="K1282" s="6" t="str">
        <f t="shared" si="100"/>
        <v/>
      </c>
      <c r="L1282" s="7" t="str">
        <f t="shared" si="101"/>
        <v/>
      </c>
      <c r="M1282" s="7" t="str">
        <f t="shared" si="98"/>
        <v/>
      </c>
      <c r="N1282" s="7" t="str">
        <f t="shared" si="102"/>
        <v/>
      </c>
      <c r="O1282" s="8"/>
      <c r="P1282" s="26"/>
      <c r="S1282" s="10" t="str">
        <f t="shared" si="99"/>
        <v/>
      </c>
    </row>
    <row r="1283" spans="5:19" x14ac:dyDescent="0.3">
      <c r="E1283" s="9" t="str">
        <f>IF(DADOS!C1283="","",DADOS!C1283)</f>
        <v/>
      </c>
      <c r="F1283" s="9" t="str">
        <f>IF(DADOS!E1283="","",DADOS!E1283)</f>
        <v/>
      </c>
      <c r="G1283" s="9" t="str">
        <f>IF(DADOS!F1283="","",DADOS!F1283)</f>
        <v/>
      </c>
      <c r="K1283" s="6" t="str">
        <f t="shared" si="100"/>
        <v/>
      </c>
      <c r="L1283" s="7" t="str">
        <f t="shared" si="101"/>
        <v/>
      </c>
      <c r="M1283" s="7" t="str">
        <f t="shared" ref="M1283:M1346" si="103">IF(L1283="","",L1283*G1283)</f>
        <v/>
      </c>
      <c r="N1283" s="7" t="str">
        <f t="shared" si="102"/>
        <v/>
      </c>
      <c r="O1283" s="8"/>
      <c r="P1283" s="26"/>
      <c r="S1283" s="10" t="str">
        <f t="shared" ref="S1283:S1346" si="104">IF(R1283="","",SUMIFS($N$3:$N$10000,$E$3:$E$10000,R1283))</f>
        <v/>
      </c>
    </row>
    <row r="1284" spans="5:19" x14ac:dyDescent="0.3">
      <c r="E1284" s="9" t="str">
        <f>IF(DADOS!C1284="","",DADOS!C1284)</f>
        <v/>
      </c>
      <c r="F1284" s="9" t="str">
        <f>IF(DADOS!E1284="","",DADOS!E1284)</f>
        <v/>
      </c>
      <c r="G1284" s="9" t="str">
        <f>IF(DADOS!F1284="","",DADOS!F1284)</f>
        <v/>
      </c>
      <c r="K1284" s="6" t="str">
        <f t="shared" ref="K1284:K1347" si="105">IF(F1284="","",F1284/PI())</f>
        <v/>
      </c>
      <c r="L1284" s="7" t="str">
        <f t="shared" ref="L1284:L1347" si="106">IF(K1284="","",(PI()*K1284^2)/40000)</f>
        <v/>
      </c>
      <c r="M1284" s="7" t="str">
        <f t="shared" si="103"/>
        <v/>
      </c>
      <c r="N1284" s="7" t="str">
        <f t="shared" ref="N1284:N1347" si="107">IF(M1284="","",M1284*N$1)</f>
        <v/>
      </c>
      <c r="O1284" s="8"/>
      <c r="P1284" s="26"/>
      <c r="S1284" s="10" t="str">
        <f t="shared" si="104"/>
        <v/>
      </c>
    </row>
    <row r="1285" spans="5:19" x14ac:dyDescent="0.3">
      <c r="E1285" s="9" t="str">
        <f>IF(DADOS!C1285="","",DADOS!C1285)</f>
        <v/>
      </c>
      <c r="F1285" s="9" t="str">
        <f>IF(DADOS!E1285="","",DADOS!E1285)</f>
        <v/>
      </c>
      <c r="G1285" s="9" t="str">
        <f>IF(DADOS!F1285="","",DADOS!F1285)</f>
        <v/>
      </c>
      <c r="K1285" s="6" t="str">
        <f t="shared" si="105"/>
        <v/>
      </c>
      <c r="L1285" s="7" t="str">
        <f t="shared" si="106"/>
        <v/>
      </c>
      <c r="M1285" s="7" t="str">
        <f t="shared" si="103"/>
        <v/>
      </c>
      <c r="N1285" s="7" t="str">
        <f t="shared" si="107"/>
        <v/>
      </c>
      <c r="O1285" s="8"/>
      <c r="P1285" s="26"/>
      <c r="S1285" s="10" t="str">
        <f t="shared" si="104"/>
        <v/>
      </c>
    </row>
    <row r="1286" spans="5:19" x14ac:dyDescent="0.3">
      <c r="E1286" s="9" t="str">
        <f>IF(DADOS!C1286="","",DADOS!C1286)</f>
        <v/>
      </c>
      <c r="F1286" s="9" t="str">
        <f>IF(DADOS!E1286="","",DADOS!E1286)</f>
        <v/>
      </c>
      <c r="G1286" s="9" t="str">
        <f>IF(DADOS!F1286="","",DADOS!F1286)</f>
        <v/>
      </c>
      <c r="K1286" s="6" t="str">
        <f t="shared" si="105"/>
        <v/>
      </c>
      <c r="L1286" s="7" t="str">
        <f t="shared" si="106"/>
        <v/>
      </c>
      <c r="M1286" s="7" t="str">
        <f t="shared" si="103"/>
        <v/>
      </c>
      <c r="N1286" s="7" t="str">
        <f t="shared" si="107"/>
        <v/>
      </c>
      <c r="O1286" s="8"/>
      <c r="P1286" s="26"/>
      <c r="S1286" s="10" t="str">
        <f t="shared" si="104"/>
        <v/>
      </c>
    </row>
    <row r="1287" spans="5:19" x14ac:dyDescent="0.3">
      <c r="E1287" s="9" t="str">
        <f>IF(DADOS!C1287="","",DADOS!C1287)</f>
        <v/>
      </c>
      <c r="F1287" s="9" t="str">
        <f>IF(DADOS!E1287="","",DADOS!E1287)</f>
        <v/>
      </c>
      <c r="G1287" s="9" t="str">
        <f>IF(DADOS!F1287="","",DADOS!F1287)</f>
        <v/>
      </c>
      <c r="K1287" s="6" t="str">
        <f t="shared" si="105"/>
        <v/>
      </c>
      <c r="L1287" s="7" t="str">
        <f t="shared" si="106"/>
        <v/>
      </c>
      <c r="M1287" s="7" t="str">
        <f t="shared" si="103"/>
        <v/>
      </c>
      <c r="N1287" s="7" t="str">
        <f t="shared" si="107"/>
        <v/>
      </c>
      <c r="O1287" s="8"/>
      <c r="P1287" s="26"/>
      <c r="S1287" s="10" t="str">
        <f t="shared" si="104"/>
        <v/>
      </c>
    </row>
    <row r="1288" spans="5:19" x14ac:dyDescent="0.3">
      <c r="E1288" s="9" t="str">
        <f>IF(DADOS!C1288="","",DADOS!C1288)</f>
        <v/>
      </c>
      <c r="F1288" s="9" t="str">
        <f>IF(DADOS!E1288="","",DADOS!E1288)</f>
        <v/>
      </c>
      <c r="G1288" s="9" t="str">
        <f>IF(DADOS!F1288="","",DADOS!F1288)</f>
        <v/>
      </c>
      <c r="K1288" s="6" t="str">
        <f t="shared" si="105"/>
        <v/>
      </c>
      <c r="L1288" s="7" t="str">
        <f t="shared" si="106"/>
        <v/>
      </c>
      <c r="M1288" s="7" t="str">
        <f t="shared" si="103"/>
        <v/>
      </c>
      <c r="N1288" s="7" t="str">
        <f t="shared" si="107"/>
        <v/>
      </c>
      <c r="O1288" s="8"/>
      <c r="P1288" s="26"/>
      <c r="S1288" s="10" t="str">
        <f t="shared" si="104"/>
        <v/>
      </c>
    </row>
    <row r="1289" spans="5:19" x14ac:dyDescent="0.3">
      <c r="E1289" s="9" t="str">
        <f>IF(DADOS!C1289="","",DADOS!C1289)</f>
        <v/>
      </c>
      <c r="F1289" s="9" t="str">
        <f>IF(DADOS!E1289="","",DADOS!E1289)</f>
        <v/>
      </c>
      <c r="G1289" s="9" t="str">
        <f>IF(DADOS!F1289="","",DADOS!F1289)</f>
        <v/>
      </c>
      <c r="K1289" s="6" t="str">
        <f t="shared" si="105"/>
        <v/>
      </c>
      <c r="L1289" s="7" t="str">
        <f t="shared" si="106"/>
        <v/>
      </c>
      <c r="M1289" s="7" t="str">
        <f t="shared" si="103"/>
        <v/>
      </c>
      <c r="N1289" s="7" t="str">
        <f t="shared" si="107"/>
        <v/>
      </c>
      <c r="O1289" s="8"/>
      <c r="P1289" s="26"/>
      <c r="S1289" s="10" t="str">
        <f t="shared" si="104"/>
        <v/>
      </c>
    </row>
    <row r="1290" spans="5:19" x14ac:dyDescent="0.3">
      <c r="E1290" s="9" t="str">
        <f>IF(DADOS!C1290="","",DADOS!C1290)</f>
        <v/>
      </c>
      <c r="F1290" s="9" t="str">
        <f>IF(DADOS!E1290="","",DADOS!E1290)</f>
        <v/>
      </c>
      <c r="G1290" s="9" t="str">
        <f>IF(DADOS!F1290="","",DADOS!F1290)</f>
        <v/>
      </c>
      <c r="K1290" s="6" t="str">
        <f t="shared" si="105"/>
        <v/>
      </c>
      <c r="L1290" s="7" t="str">
        <f t="shared" si="106"/>
        <v/>
      </c>
      <c r="M1290" s="7" t="str">
        <f t="shared" si="103"/>
        <v/>
      </c>
      <c r="N1290" s="7" t="str">
        <f t="shared" si="107"/>
        <v/>
      </c>
      <c r="O1290" s="8"/>
      <c r="P1290" s="26"/>
      <c r="S1290" s="10" t="str">
        <f t="shared" si="104"/>
        <v/>
      </c>
    </row>
    <row r="1291" spans="5:19" x14ac:dyDescent="0.3">
      <c r="E1291" s="9" t="str">
        <f>IF(DADOS!C1291="","",DADOS!C1291)</f>
        <v/>
      </c>
      <c r="F1291" s="9" t="str">
        <f>IF(DADOS!E1291="","",DADOS!E1291)</f>
        <v/>
      </c>
      <c r="G1291" s="9" t="str">
        <f>IF(DADOS!F1291="","",DADOS!F1291)</f>
        <v/>
      </c>
      <c r="K1291" s="6" t="str">
        <f t="shared" si="105"/>
        <v/>
      </c>
      <c r="L1291" s="7" t="str">
        <f t="shared" si="106"/>
        <v/>
      </c>
      <c r="M1291" s="7" t="str">
        <f t="shared" si="103"/>
        <v/>
      </c>
      <c r="N1291" s="7" t="str">
        <f t="shared" si="107"/>
        <v/>
      </c>
      <c r="O1291" s="8"/>
      <c r="P1291" s="26"/>
      <c r="S1291" s="10" t="str">
        <f t="shared" si="104"/>
        <v/>
      </c>
    </row>
    <row r="1292" spans="5:19" x14ac:dyDescent="0.3">
      <c r="E1292" s="9" t="str">
        <f>IF(DADOS!C1292="","",DADOS!C1292)</f>
        <v/>
      </c>
      <c r="F1292" s="9" t="str">
        <f>IF(DADOS!E1292="","",DADOS!E1292)</f>
        <v/>
      </c>
      <c r="G1292" s="9" t="str">
        <f>IF(DADOS!F1292="","",DADOS!F1292)</f>
        <v/>
      </c>
      <c r="K1292" s="6" t="str">
        <f t="shared" si="105"/>
        <v/>
      </c>
      <c r="L1292" s="7" t="str">
        <f t="shared" si="106"/>
        <v/>
      </c>
      <c r="M1292" s="7" t="str">
        <f t="shared" si="103"/>
        <v/>
      </c>
      <c r="N1292" s="7" t="str">
        <f t="shared" si="107"/>
        <v/>
      </c>
      <c r="O1292" s="8"/>
      <c r="P1292" s="26"/>
      <c r="S1292" s="10" t="str">
        <f t="shared" si="104"/>
        <v/>
      </c>
    </row>
    <row r="1293" spans="5:19" x14ac:dyDescent="0.3">
      <c r="E1293" s="9" t="str">
        <f>IF(DADOS!C1293="","",DADOS!C1293)</f>
        <v/>
      </c>
      <c r="F1293" s="9" t="str">
        <f>IF(DADOS!E1293="","",DADOS!E1293)</f>
        <v/>
      </c>
      <c r="G1293" s="9" t="str">
        <f>IF(DADOS!F1293="","",DADOS!F1293)</f>
        <v/>
      </c>
      <c r="K1293" s="6" t="str">
        <f t="shared" si="105"/>
        <v/>
      </c>
      <c r="L1293" s="7" t="str">
        <f t="shared" si="106"/>
        <v/>
      </c>
      <c r="M1293" s="7" t="str">
        <f t="shared" si="103"/>
        <v/>
      </c>
      <c r="N1293" s="7" t="str">
        <f t="shared" si="107"/>
        <v/>
      </c>
      <c r="O1293" s="8"/>
      <c r="P1293" s="26"/>
      <c r="S1293" s="10" t="str">
        <f t="shared" si="104"/>
        <v/>
      </c>
    </row>
    <row r="1294" spans="5:19" x14ac:dyDescent="0.3">
      <c r="E1294" s="9" t="str">
        <f>IF(DADOS!C1294="","",DADOS!C1294)</f>
        <v/>
      </c>
      <c r="F1294" s="9" t="str">
        <f>IF(DADOS!E1294="","",DADOS!E1294)</f>
        <v/>
      </c>
      <c r="G1294" s="9" t="str">
        <f>IF(DADOS!F1294="","",DADOS!F1294)</f>
        <v/>
      </c>
      <c r="K1294" s="6" t="str">
        <f t="shared" si="105"/>
        <v/>
      </c>
      <c r="L1294" s="7" t="str">
        <f t="shared" si="106"/>
        <v/>
      </c>
      <c r="M1294" s="7" t="str">
        <f t="shared" si="103"/>
        <v/>
      </c>
      <c r="N1294" s="7" t="str">
        <f t="shared" si="107"/>
        <v/>
      </c>
      <c r="O1294" s="8"/>
      <c r="P1294" s="26"/>
      <c r="S1294" s="10" t="str">
        <f t="shared" si="104"/>
        <v/>
      </c>
    </row>
    <row r="1295" spans="5:19" x14ac:dyDescent="0.3">
      <c r="E1295" s="9" t="str">
        <f>IF(DADOS!C1295="","",DADOS!C1295)</f>
        <v/>
      </c>
      <c r="F1295" s="9" t="str">
        <f>IF(DADOS!E1295="","",DADOS!E1295)</f>
        <v/>
      </c>
      <c r="G1295" s="9" t="str">
        <f>IF(DADOS!F1295="","",DADOS!F1295)</f>
        <v/>
      </c>
      <c r="K1295" s="6" t="str">
        <f t="shared" si="105"/>
        <v/>
      </c>
      <c r="L1295" s="7" t="str">
        <f t="shared" si="106"/>
        <v/>
      </c>
      <c r="M1295" s="7" t="str">
        <f t="shared" si="103"/>
        <v/>
      </c>
      <c r="N1295" s="7" t="str">
        <f t="shared" si="107"/>
        <v/>
      </c>
      <c r="O1295" s="8"/>
      <c r="P1295" s="26"/>
      <c r="S1295" s="10" t="str">
        <f t="shared" si="104"/>
        <v/>
      </c>
    </row>
    <row r="1296" spans="5:19" x14ac:dyDescent="0.3">
      <c r="E1296" s="9" t="str">
        <f>IF(DADOS!C1296="","",DADOS!C1296)</f>
        <v/>
      </c>
      <c r="F1296" s="9" t="str">
        <f>IF(DADOS!E1296="","",DADOS!E1296)</f>
        <v/>
      </c>
      <c r="G1296" s="9" t="str">
        <f>IF(DADOS!F1296="","",DADOS!F1296)</f>
        <v/>
      </c>
      <c r="K1296" s="6" t="str">
        <f t="shared" si="105"/>
        <v/>
      </c>
      <c r="L1296" s="7" t="str">
        <f t="shared" si="106"/>
        <v/>
      </c>
      <c r="M1296" s="7" t="str">
        <f t="shared" si="103"/>
        <v/>
      </c>
      <c r="N1296" s="7" t="str">
        <f t="shared" si="107"/>
        <v/>
      </c>
      <c r="O1296" s="8"/>
      <c r="P1296" s="26"/>
      <c r="S1296" s="10" t="str">
        <f t="shared" si="104"/>
        <v/>
      </c>
    </row>
    <row r="1297" spans="5:19" x14ac:dyDescent="0.3">
      <c r="E1297" s="9" t="str">
        <f>IF(DADOS!C1297="","",DADOS!C1297)</f>
        <v/>
      </c>
      <c r="F1297" s="9" t="str">
        <f>IF(DADOS!E1297="","",DADOS!E1297)</f>
        <v/>
      </c>
      <c r="G1297" s="9" t="str">
        <f>IF(DADOS!F1297="","",DADOS!F1297)</f>
        <v/>
      </c>
      <c r="K1297" s="6" t="str">
        <f t="shared" si="105"/>
        <v/>
      </c>
      <c r="L1297" s="7" t="str">
        <f t="shared" si="106"/>
        <v/>
      </c>
      <c r="M1297" s="7" t="str">
        <f t="shared" si="103"/>
        <v/>
      </c>
      <c r="N1297" s="7" t="str">
        <f t="shared" si="107"/>
        <v/>
      </c>
      <c r="O1297" s="8"/>
      <c r="P1297" s="26"/>
      <c r="S1297" s="10" t="str">
        <f t="shared" si="104"/>
        <v/>
      </c>
    </row>
    <row r="1298" spans="5:19" x14ac:dyDescent="0.3">
      <c r="E1298" s="9" t="str">
        <f>IF(DADOS!C1298="","",DADOS!C1298)</f>
        <v/>
      </c>
      <c r="F1298" s="9" t="str">
        <f>IF(DADOS!E1298="","",DADOS!E1298)</f>
        <v/>
      </c>
      <c r="G1298" s="9" t="str">
        <f>IF(DADOS!F1298="","",DADOS!F1298)</f>
        <v/>
      </c>
      <c r="K1298" s="6" t="str">
        <f t="shared" si="105"/>
        <v/>
      </c>
      <c r="L1298" s="7" t="str">
        <f t="shared" si="106"/>
        <v/>
      </c>
      <c r="M1298" s="7" t="str">
        <f t="shared" si="103"/>
        <v/>
      </c>
      <c r="N1298" s="7" t="str">
        <f t="shared" si="107"/>
        <v/>
      </c>
      <c r="O1298" s="8"/>
      <c r="P1298" s="26"/>
      <c r="S1298" s="10" t="str">
        <f t="shared" si="104"/>
        <v/>
      </c>
    </row>
    <row r="1299" spans="5:19" x14ac:dyDescent="0.3">
      <c r="E1299" s="9" t="str">
        <f>IF(DADOS!C1299="","",DADOS!C1299)</f>
        <v/>
      </c>
      <c r="F1299" s="9" t="str">
        <f>IF(DADOS!E1299="","",DADOS!E1299)</f>
        <v/>
      </c>
      <c r="G1299" s="9" t="str">
        <f>IF(DADOS!F1299="","",DADOS!F1299)</f>
        <v/>
      </c>
      <c r="K1299" s="6" t="str">
        <f t="shared" si="105"/>
        <v/>
      </c>
      <c r="L1299" s="7" t="str">
        <f t="shared" si="106"/>
        <v/>
      </c>
      <c r="M1299" s="7" t="str">
        <f t="shared" si="103"/>
        <v/>
      </c>
      <c r="N1299" s="7" t="str">
        <f t="shared" si="107"/>
        <v/>
      </c>
      <c r="O1299" s="8"/>
      <c r="P1299" s="26"/>
      <c r="S1299" s="10" t="str">
        <f t="shared" si="104"/>
        <v/>
      </c>
    </row>
    <row r="1300" spans="5:19" x14ac:dyDescent="0.3">
      <c r="E1300" s="9" t="str">
        <f>IF(DADOS!C1300="","",DADOS!C1300)</f>
        <v/>
      </c>
      <c r="F1300" s="9" t="str">
        <f>IF(DADOS!E1300="","",DADOS!E1300)</f>
        <v/>
      </c>
      <c r="G1300" s="9" t="str">
        <f>IF(DADOS!F1300="","",DADOS!F1300)</f>
        <v/>
      </c>
      <c r="K1300" s="6" t="str">
        <f t="shared" si="105"/>
        <v/>
      </c>
      <c r="L1300" s="7" t="str">
        <f t="shared" si="106"/>
        <v/>
      </c>
      <c r="M1300" s="7" t="str">
        <f t="shared" si="103"/>
        <v/>
      </c>
      <c r="N1300" s="7" t="str">
        <f t="shared" si="107"/>
        <v/>
      </c>
      <c r="O1300" s="8"/>
      <c r="P1300" s="26"/>
      <c r="S1300" s="10" t="str">
        <f t="shared" si="104"/>
        <v/>
      </c>
    </row>
    <row r="1301" spans="5:19" x14ac:dyDescent="0.3">
      <c r="E1301" s="9" t="str">
        <f>IF(DADOS!C1301="","",DADOS!C1301)</f>
        <v/>
      </c>
      <c r="F1301" s="9" t="str">
        <f>IF(DADOS!E1301="","",DADOS!E1301)</f>
        <v/>
      </c>
      <c r="G1301" s="9" t="str">
        <f>IF(DADOS!F1301="","",DADOS!F1301)</f>
        <v/>
      </c>
      <c r="K1301" s="6" t="str">
        <f t="shared" si="105"/>
        <v/>
      </c>
      <c r="L1301" s="7" t="str">
        <f t="shared" si="106"/>
        <v/>
      </c>
      <c r="M1301" s="7" t="str">
        <f t="shared" si="103"/>
        <v/>
      </c>
      <c r="N1301" s="7" t="str">
        <f t="shared" si="107"/>
        <v/>
      </c>
      <c r="O1301" s="8"/>
      <c r="P1301" s="26"/>
      <c r="S1301" s="10" t="str">
        <f t="shared" si="104"/>
        <v/>
      </c>
    </row>
    <row r="1302" spans="5:19" x14ac:dyDescent="0.3">
      <c r="E1302" s="9" t="str">
        <f>IF(DADOS!C1302="","",DADOS!C1302)</f>
        <v/>
      </c>
      <c r="F1302" s="9" t="str">
        <f>IF(DADOS!E1302="","",DADOS!E1302)</f>
        <v/>
      </c>
      <c r="G1302" s="9" t="str">
        <f>IF(DADOS!F1302="","",DADOS!F1302)</f>
        <v/>
      </c>
      <c r="K1302" s="6" t="str">
        <f t="shared" si="105"/>
        <v/>
      </c>
      <c r="L1302" s="7" t="str">
        <f t="shared" si="106"/>
        <v/>
      </c>
      <c r="M1302" s="7" t="str">
        <f t="shared" si="103"/>
        <v/>
      </c>
      <c r="N1302" s="7" t="str">
        <f t="shared" si="107"/>
        <v/>
      </c>
      <c r="O1302" s="8"/>
      <c r="P1302" s="26"/>
      <c r="S1302" s="10" t="str">
        <f t="shared" si="104"/>
        <v/>
      </c>
    </row>
    <row r="1303" spans="5:19" x14ac:dyDescent="0.3">
      <c r="E1303" s="9" t="str">
        <f>IF(DADOS!C1303="","",DADOS!C1303)</f>
        <v/>
      </c>
      <c r="F1303" s="9" t="str">
        <f>IF(DADOS!E1303="","",DADOS!E1303)</f>
        <v/>
      </c>
      <c r="G1303" s="9" t="str">
        <f>IF(DADOS!F1303="","",DADOS!F1303)</f>
        <v/>
      </c>
      <c r="K1303" s="6" t="str">
        <f t="shared" si="105"/>
        <v/>
      </c>
      <c r="L1303" s="7" t="str">
        <f t="shared" si="106"/>
        <v/>
      </c>
      <c r="M1303" s="7" t="str">
        <f t="shared" si="103"/>
        <v/>
      </c>
      <c r="N1303" s="7" t="str">
        <f t="shared" si="107"/>
        <v/>
      </c>
      <c r="O1303" s="8"/>
      <c r="P1303" s="26"/>
      <c r="S1303" s="10" t="str">
        <f t="shared" si="104"/>
        <v/>
      </c>
    </row>
    <row r="1304" spans="5:19" x14ac:dyDescent="0.3">
      <c r="E1304" s="9" t="str">
        <f>IF(DADOS!C1304="","",DADOS!C1304)</f>
        <v/>
      </c>
      <c r="F1304" s="9" t="str">
        <f>IF(DADOS!E1304="","",DADOS!E1304)</f>
        <v/>
      </c>
      <c r="G1304" s="9" t="str">
        <f>IF(DADOS!F1304="","",DADOS!F1304)</f>
        <v/>
      </c>
      <c r="K1304" s="6" t="str">
        <f t="shared" si="105"/>
        <v/>
      </c>
      <c r="L1304" s="7" t="str">
        <f t="shared" si="106"/>
        <v/>
      </c>
      <c r="M1304" s="7" t="str">
        <f t="shared" si="103"/>
        <v/>
      </c>
      <c r="N1304" s="7" t="str">
        <f t="shared" si="107"/>
        <v/>
      </c>
      <c r="O1304" s="8"/>
      <c r="P1304" s="26"/>
      <c r="S1304" s="10" t="str">
        <f t="shared" si="104"/>
        <v/>
      </c>
    </row>
    <row r="1305" spans="5:19" x14ac:dyDescent="0.3">
      <c r="E1305" s="9" t="str">
        <f>IF(DADOS!C1305="","",DADOS!C1305)</f>
        <v/>
      </c>
      <c r="F1305" s="9" t="str">
        <f>IF(DADOS!E1305="","",DADOS!E1305)</f>
        <v/>
      </c>
      <c r="G1305" s="9" t="str">
        <f>IF(DADOS!F1305="","",DADOS!F1305)</f>
        <v/>
      </c>
      <c r="K1305" s="6" t="str">
        <f t="shared" si="105"/>
        <v/>
      </c>
      <c r="L1305" s="7" t="str">
        <f t="shared" si="106"/>
        <v/>
      </c>
      <c r="M1305" s="7" t="str">
        <f t="shared" si="103"/>
        <v/>
      </c>
      <c r="N1305" s="7" t="str">
        <f t="shared" si="107"/>
        <v/>
      </c>
      <c r="O1305" s="8"/>
      <c r="P1305" s="26"/>
      <c r="S1305" s="10" t="str">
        <f t="shared" si="104"/>
        <v/>
      </c>
    </row>
    <row r="1306" spans="5:19" x14ac:dyDescent="0.3">
      <c r="E1306" s="9" t="str">
        <f>IF(DADOS!C1306="","",DADOS!C1306)</f>
        <v/>
      </c>
      <c r="F1306" s="9" t="str">
        <f>IF(DADOS!E1306="","",DADOS!E1306)</f>
        <v/>
      </c>
      <c r="G1306" s="9" t="str">
        <f>IF(DADOS!F1306="","",DADOS!F1306)</f>
        <v/>
      </c>
      <c r="K1306" s="6" t="str">
        <f t="shared" si="105"/>
        <v/>
      </c>
      <c r="L1306" s="7" t="str">
        <f t="shared" si="106"/>
        <v/>
      </c>
      <c r="M1306" s="7" t="str">
        <f t="shared" si="103"/>
        <v/>
      </c>
      <c r="N1306" s="7" t="str">
        <f t="shared" si="107"/>
        <v/>
      </c>
      <c r="O1306" s="8"/>
      <c r="P1306" s="26"/>
      <c r="S1306" s="10" t="str">
        <f t="shared" si="104"/>
        <v/>
      </c>
    </row>
    <row r="1307" spans="5:19" x14ac:dyDescent="0.3">
      <c r="E1307" s="9" t="str">
        <f>IF(DADOS!C1307="","",DADOS!C1307)</f>
        <v/>
      </c>
      <c r="F1307" s="9" t="str">
        <f>IF(DADOS!E1307="","",DADOS!E1307)</f>
        <v/>
      </c>
      <c r="G1307" s="9" t="str">
        <f>IF(DADOS!F1307="","",DADOS!F1307)</f>
        <v/>
      </c>
      <c r="K1307" s="6" t="str">
        <f t="shared" si="105"/>
        <v/>
      </c>
      <c r="L1307" s="7" t="str">
        <f t="shared" si="106"/>
        <v/>
      </c>
      <c r="M1307" s="7" t="str">
        <f t="shared" si="103"/>
        <v/>
      </c>
      <c r="N1307" s="7" t="str">
        <f t="shared" si="107"/>
        <v/>
      </c>
      <c r="O1307" s="8"/>
      <c r="P1307" s="26"/>
      <c r="S1307" s="10" t="str">
        <f t="shared" si="104"/>
        <v/>
      </c>
    </row>
    <row r="1308" spans="5:19" x14ac:dyDescent="0.3">
      <c r="E1308" s="9" t="str">
        <f>IF(DADOS!C1308="","",DADOS!C1308)</f>
        <v/>
      </c>
      <c r="F1308" s="9" t="str">
        <f>IF(DADOS!E1308="","",DADOS!E1308)</f>
        <v/>
      </c>
      <c r="G1308" s="9" t="str">
        <f>IF(DADOS!F1308="","",DADOS!F1308)</f>
        <v/>
      </c>
      <c r="K1308" s="6" t="str">
        <f t="shared" si="105"/>
        <v/>
      </c>
      <c r="L1308" s="7" t="str">
        <f t="shared" si="106"/>
        <v/>
      </c>
      <c r="M1308" s="7" t="str">
        <f t="shared" si="103"/>
        <v/>
      </c>
      <c r="N1308" s="7" t="str">
        <f t="shared" si="107"/>
        <v/>
      </c>
      <c r="O1308" s="8"/>
      <c r="P1308" s="26"/>
      <c r="S1308" s="10" t="str">
        <f t="shared" si="104"/>
        <v/>
      </c>
    </row>
    <row r="1309" spans="5:19" x14ac:dyDescent="0.3">
      <c r="E1309" s="9" t="str">
        <f>IF(DADOS!C1309="","",DADOS!C1309)</f>
        <v/>
      </c>
      <c r="F1309" s="9" t="str">
        <f>IF(DADOS!E1309="","",DADOS!E1309)</f>
        <v/>
      </c>
      <c r="G1309" s="9" t="str">
        <f>IF(DADOS!F1309="","",DADOS!F1309)</f>
        <v/>
      </c>
      <c r="K1309" s="6" t="str">
        <f t="shared" si="105"/>
        <v/>
      </c>
      <c r="L1309" s="7" t="str">
        <f t="shared" si="106"/>
        <v/>
      </c>
      <c r="M1309" s="7" t="str">
        <f t="shared" si="103"/>
        <v/>
      </c>
      <c r="N1309" s="7" t="str">
        <f t="shared" si="107"/>
        <v/>
      </c>
      <c r="O1309" s="8"/>
      <c r="P1309" s="26"/>
      <c r="S1309" s="10" t="str">
        <f t="shared" si="104"/>
        <v/>
      </c>
    </row>
    <row r="1310" spans="5:19" x14ac:dyDescent="0.3">
      <c r="E1310" s="9" t="str">
        <f>IF(DADOS!C1310="","",DADOS!C1310)</f>
        <v/>
      </c>
      <c r="F1310" s="9" t="str">
        <f>IF(DADOS!E1310="","",DADOS!E1310)</f>
        <v/>
      </c>
      <c r="G1310" s="9" t="str">
        <f>IF(DADOS!F1310="","",DADOS!F1310)</f>
        <v/>
      </c>
      <c r="K1310" s="6" t="str">
        <f t="shared" si="105"/>
        <v/>
      </c>
      <c r="L1310" s="7" t="str">
        <f t="shared" si="106"/>
        <v/>
      </c>
      <c r="M1310" s="7" t="str">
        <f t="shared" si="103"/>
        <v/>
      </c>
      <c r="N1310" s="7" t="str">
        <f t="shared" si="107"/>
        <v/>
      </c>
      <c r="O1310" s="8"/>
      <c r="P1310" s="26"/>
      <c r="S1310" s="10" t="str">
        <f t="shared" si="104"/>
        <v/>
      </c>
    </row>
    <row r="1311" spans="5:19" x14ac:dyDescent="0.3">
      <c r="E1311" s="9" t="str">
        <f>IF(DADOS!C1311="","",DADOS!C1311)</f>
        <v/>
      </c>
      <c r="F1311" s="9" t="str">
        <f>IF(DADOS!E1311="","",DADOS!E1311)</f>
        <v/>
      </c>
      <c r="G1311" s="9" t="str">
        <f>IF(DADOS!F1311="","",DADOS!F1311)</f>
        <v/>
      </c>
      <c r="K1311" s="6" t="str">
        <f t="shared" si="105"/>
        <v/>
      </c>
      <c r="L1311" s="7" t="str">
        <f t="shared" si="106"/>
        <v/>
      </c>
      <c r="M1311" s="7" t="str">
        <f t="shared" si="103"/>
        <v/>
      </c>
      <c r="N1311" s="7" t="str">
        <f t="shared" si="107"/>
        <v/>
      </c>
      <c r="O1311" s="8"/>
      <c r="P1311" s="26"/>
      <c r="S1311" s="10" t="str">
        <f t="shared" si="104"/>
        <v/>
      </c>
    </row>
    <row r="1312" spans="5:19" x14ac:dyDescent="0.3">
      <c r="E1312" s="9" t="str">
        <f>IF(DADOS!C1312="","",DADOS!C1312)</f>
        <v/>
      </c>
      <c r="F1312" s="9" t="str">
        <f>IF(DADOS!E1312="","",DADOS!E1312)</f>
        <v/>
      </c>
      <c r="G1312" s="9" t="str">
        <f>IF(DADOS!F1312="","",DADOS!F1312)</f>
        <v/>
      </c>
      <c r="K1312" s="6" t="str">
        <f t="shared" si="105"/>
        <v/>
      </c>
      <c r="L1312" s="7" t="str">
        <f t="shared" si="106"/>
        <v/>
      </c>
      <c r="M1312" s="7" t="str">
        <f t="shared" si="103"/>
        <v/>
      </c>
      <c r="N1312" s="7" t="str">
        <f t="shared" si="107"/>
        <v/>
      </c>
      <c r="O1312" s="8"/>
      <c r="P1312" s="26"/>
      <c r="S1312" s="10" t="str">
        <f t="shared" si="104"/>
        <v/>
      </c>
    </row>
    <row r="1313" spans="5:19" x14ac:dyDescent="0.3">
      <c r="E1313" s="9" t="str">
        <f>IF(DADOS!C1313="","",DADOS!C1313)</f>
        <v/>
      </c>
      <c r="F1313" s="9" t="str">
        <f>IF(DADOS!E1313="","",DADOS!E1313)</f>
        <v/>
      </c>
      <c r="G1313" s="9" t="str">
        <f>IF(DADOS!F1313="","",DADOS!F1313)</f>
        <v/>
      </c>
      <c r="K1313" s="6" t="str">
        <f t="shared" si="105"/>
        <v/>
      </c>
      <c r="L1313" s="7" t="str">
        <f t="shared" si="106"/>
        <v/>
      </c>
      <c r="M1313" s="7" t="str">
        <f t="shared" si="103"/>
        <v/>
      </c>
      <c r="N1313" s="7" t="str">
        <f t="shared" si="107"/>
        <v/>
      </c>
      <c r="O1313" s="8"/>
      <c r="P1313" s="26"/>
      <c r="S1313" s="10" t="str">
        <f t="shared" si="104"/>
        <v/>
      </c>
    </row>
    <row r="1314" spans="5:19" x14ac:dyDescent="0.3">
      <c r="E1314" s="9" t="str">
        <f>IF(DADOS!C1314="","",DADOS!C1314)</f>
        <v/>
      </c>
      <c r="F1314" s="9" t="str">
        <f>IF(DADOS!E1314="","",DADOS!E1314)</f>
        <v/>
      </c>
      <c r="G1314" s="9" t="str">
        <f>IF(DADOS!F1314="","",DADOS!F1314)</f>
        <v/>
      </c>
      <c r="K1314" s="6" t="str">
        <f t="shared" si="105"/>
        <v/>
      </c>
      <c r="L1314" s="7" t="str">
        <f t="shared" si="106"/>
        <v/>
      </c>
      <c r="M1314" s="7" t="str">
        <f t="shared" si="103"/>
        <v/>
      </c>
      <c r="N1314" s="7" t="str">
        <f t="shared" si="107"/>
        <v/>
      </c>
      <c r="O1314" s="8"/>
      <c r="P1314" s="26"/>
      <c r="S1314" s="10" t="str">
        <f t="shared" si="104"/>
        <v/>
      </c>
    </row>
    <row r="1315" spans="5:19" x14ac:dyDescent="0.3">
      <c r="E1315" s="9" t="str">
        <f>IF(DADOS!C1315="","",DADOS!C1315)</f>
        <v/>
      </c>
      <c r="F1315" s="9" t="str">
        <f>IF(DADOS!E1315="","",DADOS!E1315)</f>
        <v/>
      </c>
      <c r="G1315" s="9" t="str">
        <f>IF(DADOS!F1315="","",DADOS!F1315)</f>
        <v/>
      </c>
      <c r="K1315" s="6" t="str">
        <f t="shared" si="105"/>
        <v/>
      </c>
      <c r="L1315" s="7" t="str">
        <f t="shared" si="106"/>
        <v/>
      </c>
      <c r="M1315" s="7" t="str">
        <f t="shared" si="103"/>
        <v/>
      </c>
      <c r="N1315" s="7" t="str">
        <f t="shared" si="107"/>
        <v/>
      </c>
      <c r="O1315" s="8"/>
      <c r="P1315" s="26"/>
      <c r="S1315" s="10" t="str">
        <f t="shared" si="104"/>
        <v/>
      </c>
    </row>
    <row r="1316" spans="5:19" x14ac:dyDescent="0.3">
      <c r="E1316" s="9" t="str">
        <f>IF(DADOS!C1316="","",DADOS!C1316)</f>
        <v/>
      </c>
      <c r="F1316" s="9" t="str">
        <f>IF(DADOS!E1316="","",DADOS!E1316)</f>
        <v/>
      </c>
      <c r="G1316" s="9" t="str">
        <f>IF(DADOS!F1316="","",DADOS!F1316)</f>
        <v/>
      </c>
      <c r="K1316" s="6" t="str">
        <f t="shared" si="105"/>
        <v/>
      </c>
      <c r="L1316" s="7" t="str">
        <f t="shared" si="106"/>
        <v/>
      </c>
      <c r="M1316" s="7" t="str">
        <f t="shared" si="103"/>
        <v/>
      </c>
      <c r="N1316" s="7" t="str">
        <f t="shared" si="107"/>
        <v/>
      </c>
      <c r="O1316" s="8"/>
      <c r="P1316" s="26"/>
      <c r="S1316" s="10" t="str">
        <f t="shared" si="104"/>
        <v/>
      </c>
    </row>
    <row r="1317" spans="5:19" x14ac:dyDescent="0.3">
      <c r="E1317" s="9" t="str">
        <f>IF(DADOS!C1317="","",DADOS!C1317)</f>
        <v/>
      </c>
      <c r="F1317" s="9" t="str">
        <f>IF(DADOS!E1317="","",DADOS!E1317)</f>
        <v/>
      </c>
      <c r="G1317" s="9" t="str">
        <f>IF(DADOS!F1317="","",DADOS!F1317)</f>
        <v/>
      </c>
      <c r="K1317" s="6" t="str">
        <f t="shared" si="105"/>
        <v/>
      </c>
      <c r="L1317" s="7" t="str">
        <f t="shared" si="106"/>
        <v/>
      </c>
      <c r="M1317" s="7" t="str">
        <f t="shared" si="103"/>
        <v/>
      </c>
      <c r="N1317" s="7" t="str">
        <f t="shared" si="107"/>
        <v/>
      </c>
      <c r="O1317" s="8"/>
      <c r="P1317" s="26"/>
      <c r="S1317" s="10" t="str">
        <f t="shared" si="104"/>
        <v/>
      </c>
    </row>
    <row r="1318" spans="5:19" x14ac:dyDescent="0.3">
      <c r="E1318" s="9" t="str">
        <f>IF(DADOS!C1318="","",DADOS!C1318)</f>
        <v/>
      </c>
      <c r="F1318" s="9" t="str">
        <f>IF(DADOS!E1318="","",DADOS!E1318)</f>
        <v/>
      </c>
      <c r="G1318" s="9" t="str">
        <f>IF(DADOS!F1318="","",DADOS!F1318)</f>
        <v/>
      </c>
      <c r="K1318" s="6" t="str">
        <f t="shared" si="105"/>
        <v/>
      </c>
      <c r="L1318" s="7" t="str">
        <f t="shared" si="106"/>
        <v/>
      </c>
      <c r="M1318" s="7" t="str">
        <f t="shared" si="103"/>
        <v/>
      </c>
      <c r="N1318" s="7" t="str">
        <f t="shared" si="107"/>
        <v/>
      </c>
      <c r="O1318" s="8"/>
      <c r="P1318" s="26"/>
      <c r="S1318" s="10" t="str">
        <f t="shared" si="104"/>
        <v/>
      </c>
    </row>
    <row r="1319" spans="5:19" x14ac:dyDescent="0.3">
      <c r="E1319" s="9" t="str">
        <f>IF(DADOS!C1319="","",DADOS!C1319)</f>
        <v/>
      </c>
      <c r="F1319" s="9" t="str">
        <f>IF(DADOS!E1319="","",DADOS!E1319)</f>
        <v/>
      </c>
      <c r="G1319" s="9" t="str">
        <f>IF(DADOS!F1319="","",DADOS!F1319)</f>
        <v/>
      </c>
      <c r="K1319" s="6" t="str">
        <f t="shared" si="105"/>
        <v/>
      </c>
      <c r="L1319" s="7" t="str">
        <f t="shared" si="106"/>
        <v/>
      </c>
      <c r="M1319" s="7" t="str">
        <f t="shared" si="103"/>
        <v/>
      </c>
      <c r="N1319" s="7" t="str">
        <f t="shared" si="107"/>
        <v/>
      </c>
      <c r="O1319" s="8"/>
      <c r="P1319" s="26"/>
      <c r="S1319" s="10" t="str">
        <f t="shared" si="104"/>
        <v/>
      </c>
    </row>
    <row r="1320" spans="5:19" x14ac:dyDescent="0.3">
      <c r="E1320" s="9" t="str">
        <f>IF(DADOS!C1320="","",DADOS!C1320)</f>
        <v/>
      </c>
      <c r="F1320" s="9" t="str">
        <f>IF(DADOS!E1320="","",DADOS!E1320)</f>
        <v/>
      </c>
      <c r="G1320" s="9" t="str">
        <f>IF(DADOS!F1320="","",DADOS!F1320)</f>
        <v/>
      </c>
      <c r="K1320" s="6" t="str">
        <f t="shared" si="105"/>
        <v/>
      </c>
      <c r="L1320" s="7" t="str">
        <f t="shared" si="106"/>
        <v/>
      </c>
      <c r="M1320" s="7" t="str">
        <f t="shared" si="103"/>
        <v/>
      </c>
      <c r="N1320" s="7" t="str">
        <f t="shared" si="107"/>
        <v/>
      </c>
      <c r="O1320" s="8"/>
      <c r="P1320" s="26"/>
      <c r="S1320" s="10" t="str">
        <f t="shared" si="104"/>
        <v/>
      </c>
    </row>
    <row r="1321" spans="5:19" x14ac:dyDescent="0.3">
      <c r="E1321" s="9" t="str">
        <f>IF(DADOS!C1321="","",DADOS!C1321)</f>
        <v/>
      </c>
      <c r="F1321" s="9" t="str">
        <f>IF(DADOS!E1321="","",DADOS!E1321)</f>
        <v/>
      </c>
      <c r="G1321" s="9" t="str">
        <f>IF(DADOS!F1321="","",DADOS!F1321)</f>
        <v/>
      </c>
      <c r="K1321" s="6" t="str">
        <f t="shared" si="105"/>
        <v/>
      </c>
      <c r="L1321" s="7" t="str">
        <f t="shared" si="106"/>
        <v/>
      </c>
      <c r="M1321" s="7" t="str">
        <f t="shared" si="103"/>
        <v/>
      </c>
      <c r="N1321" s="7" t="str">
        <f t="shared" si="107"/>
        <v/>
      </c>
      <c r="O1321" s="8"/>
      <c r="P1321" s="26"/>
      <c r="S1321" s="10" t="str">
        <f t="shared" si="104"/>
        <v/>
      </c>
    </row>
    <row r="1322" spans="5:19" x14ac:dyDescent="0.3">
      <c r="E1322" s="9" t="str">
        <f>IF(DADOS!C1322="","",DADOS!C1322)</f>
        <v/>
      </c>
      <c r="F1322" s="9" t="str">
        <f>IF(DADOS!E1322="","",DADOS!E1322)</f>
        <v/>
      </c>
      <c r="G1322" s="9" t="str">
        <f>IF(DADOS!F1322="","",DADOS!F1322)</f>
        <v/>
      </c>
      <c r="K1322" s="6" t="str">
        <f t="shared" si="105"/>
        <v/>
      </c>
      <c r="L1322" s="7" t="str">
        <f t="shared" si="106"/>
        <v/>
      </c>
      <c r="M1322" s="7" t="str">
        <f t="shared" si="103"/>
        <v/>
      </c>
      <c r="N1322" s="7" t="str">
        <f t="shared" si="107"/>
        <v/>
      </c>
      <c r="O1322" s="8"/>
      <c r="P1322" s="26"/>
      <c r="S1322" s="10" t="str">
        <f t="shared" si="104"/>
        <v/>
      </c>
    </row>
    <row r="1323" spans="5:19" x14ac:dyDescent="0.3">
      <c r="E1323" s="9" t="str">
        <f>IF(DADOS!C1323="","",DADOS!C1323)</f>
        <v/>
      </c>
      <c r="F1323" s="9" t="str">
        <f>IF(DADOS!E1323="","",DADOS!E1323)</f>
        <v/>
      </c>
      <c r="G1323" s="9" t="str">
        <f>IF(DADOS!F1323="","",DADOS!F1323)</f>
        <v/>
      </c>
      <c r="K1323" s="6" t="str">
        <f t="shared" si="105"/>
        <v/>
      </c>
      <c r="L1323" s="7" t="str">
        <f t="shared" si="106"/>
        <v/>
      </c>
      <c r="M1323" s="7" t="str">
        <f t="shared" si="103"/>
        <v/>
      </c>
      <c r="N1323" s="7" t="str">
        <f t="shared" si="107"/>
        <v/>
      </c>
      <c r="O1323" s="8"/>
      <c r="P1323" s="26"/>
      <c r="S1323" s="10" t="str">
        <f t="shared" si="104"/>
        <v/>
      </c>
    </row>
    <row r="1324" spans="5:19" x14ac:dyDescent="0.3">
      <c r="E1324" s="9" t="str">
        <f>IF(DADOS!C1324="","",DADOS!C1324)</f>
        <v/>
      </c>
      <c r="F1324" s="9" t="str">
        <f>IF(DADOS!E1324="","",DADOS!E1324)</f>
        <v/>
      </c>
      <c r="G1324" s="9" t="str">
        <f>IF(DADOS!F1324="","",DADOS!F1324)</f>
        <v/>
      </c>
      <c r="K1324" s="6" t="str">
        <f t="shared" si="105"/>
        <v/>
      </c>
      <c r="L1324" s="7" t="str">
        <f t="shared" si="106"/>
        <v/>
      </c>
      <c r="M1324" s="7" t="str">
        <f t="shared" si="103"/>
        <v/>
      </c>
      <c r="N1324" s="7" t="str">
        <f t="shared" si="107"/>
        <v/>
      </c>
      <c r="O1324" s="8"/>
      <c r="P1324" s="26"/>
      <c r="S1324" s="10" t="str">
        <f t="shared" si="104"/>
        <v/>
      </c>
    </row>
    <row r="1325" spans="5:19" x14ac:dyDescent="0.3">
      <c r="E1325" s="9" t="str">
        <f>IF(DADOS!C1325="","",DADOS!C1325)</f>
        <v/>
      </c>
      <c r="F1325" s="9" t="str">
        <f>IF(DADOS!E1325="","",DADOS!E1325)</f>
        <v/>
      </c>
      <c r="G1325" s="9" t="str">
        <f>IF(DADOS!F1325="","",DADOS!F1325)</f>
        <v/>
      </c>
      <c r="K1325" s="6" t="str">
        <f t="shared" si="105"/>
        <v/>
      </c>
      <c r="L1325" s="7" t="str">
        <f t="shared" si="106"/>
        <v/>
      </c>
      <c r="M1325" s="7" t="str">
        <f t="shared" si="103"/>
        <v/>
      </c>
      <c r="N1325" s="7" t="str">
        <f t="shared" si="107"/>
        <v/>
      </c>
      <c r="O1325" s="8"/>
      <c r="P1325" s="26"/>
      <c r="S1325" s="10" t="str">
        <f t="shared" si="104"/>
        <v/>
      </c>
    </row>
    <row r="1326" spans="5:19" x14ac:dyDescent="0.3">
      <c r="E1326" s="9" t="str">
        <f>IF(DADOS!C1326="","",DADOS!C1326)</f>
        <v/>
      </c>
      <c r="F1326" s="9" t="str">
        <f>IF(DADOS!E1326="","",DADOS!E1326)</f>
        <v/>
      </c>
      <c r="G1326" s="9" t="str">
        <f>IF(DADOS!F1326="","",DADOS!F1326)</f>
        <v/>
      </c>
      <c r="K1326" s="6" t="str">
        <f t="shared" si="105"/>
        <v/>
      </c>
      <c r="L1326" s="7" t="str">
        <f t="shared" si="106"/>
        <v/>
      </c>
      <c r="M1326" s="7" t="str">
        <f t="shared" si="103"/>
        <v/>
      </c>
      <c r="N1326" s="7" t="str">
        <f t="shared" si="107"/>
        <v/>
      </c>
      <c r="O1326" s="8"/>
      <c r="P1326" s="26"/>
      <c r="S1326" s="10" t="str">
        <f t="shared" si="104"/>
        <v/>
      </c>
    </row>
    <row r="1327" spans="5:19" x14ac:dyDescent="0.3">
      <c r="E1327" s="9" t="str">
        <f>IF(DADOS!C1327="","",DADOS!C1327)</f>
        <v/>
      </c>
      <c r="F1327" s="9" t="str">
        <f>IF(DADOS!E1327="","",DADOS!E1327)</f>
        <v/>
      </c>
      <c r="G1327" s="9" t="str">
        <f>IF(DADOS!F1327="","",DADOS!F1327)</f>
        <v/>
      </c>
      <c r="K1327" s="6" t="str">
        <f t="shared" si="105"/>
        <v/>
      </c>
      <c r="L1327" s="7" t="str">
        <f t="shared" si="106"/>
        <v/>
      </c>
      <c r="M1327" s="7" t="str">
        <f t="shared" si="103"/>
        <v/>
      </c>
      <c r="N1327" s="7" t="str">
        <f t="shared" si="107"/>
        <v/>
      </c>
      <c r="O1327" s="8"/>
      <c r="P1327" s="26"/>
      <c r="S1327" s="10" t="str">
        <f t="shared" si="104"/>
        <v/>
      </c>
    </row>
    <row r="1328" spans="5:19" x14ac:dyDescent="0.3">
      <c r="E1328" s="9" t="str">
        <f>IF(DADOS!C1328="","",DADOS!C1328)</f>
        <v/>
      </c>
      <c r="F1328" s="9" t="str">
        <f>IF(DADOS!E1328="","",DADOS!E1328)</f>
        <v/>
      </c>
      <c r="G1328" s="9" t="str">
        <f>IF(DADOS!F1328="","",DADOS!F1328)</f>
        <v/>
      </c>
      <c r="K1328" s="6" t="str">
        <f t="shared" si="105"/>
        <v/>
      </c>
      <c r="L1328" s="7" t="str">
        <f t="shared" si="106"/>
        <v/>
      </c>
      <c r="M1328" s="7" t="str">
        <f t="shared" si="103"/>
        <v/>
      </c>
      <c r="N1328" s="7" t="str">
        <f t="shared" si="107"/>
        <v/>
      </c>
      <c r="O1328" s="8"/>
      <c r="P1328" s="26"/>
      <c r="S1328" s="10" t="str">
        <f t="shared" si="104"/>
        <v/>
      </c>
    </row>
    <row r="1329" spans="5:19" x14ac:dyDescent="0.3">
      <c r="E1329" s="9" t="str">
        <f>IF(DADOS!C1329="","",DADOS!C1329)</f>
        <v/>
      </c>
      <c r="F1329" s="9" t="str">
        <f>IF(DADOS!E1329="","",DADOS!E1329)</f>
        <v/>
      </c>
      <c r="G1329" s="9" t="str">
        <f>IF(DADOS!F1329="","",DADOS!F1329)</f>
        <v/>
      </c>
      <c r="K1329" s="6" t="str">
        <f t="shared" si="105"/>
        <v/>
      </c>
      <c r="L1329" s="7" t="str">
        <f t="shared" si="106"/>
        <v/>
      </c>
      <c r="M1329" s="7" t="str">
        <f t="shared" si="103"/>
        <v/>
      </c>
      <c r="N1329" s="7" t="str">
        <f t="shared" si="107"/>
        <v/>
      </c>
      <c r="O1329" s="8"/>
      <c r="P1329" s="26"/>
      <c r="S1329" s="10" t="str">
        <f t="shared" si="104"/>
        <v/>
      </c>
    </row>
    <row r="1330" spans="5:19" x14ac:dyDescent="0.3">
      <c r="E1330" s="9" t="str">
        <f>IF(DADOS!C1330="","",DADOS!C1330)</f>
        <v/>
      </c>
      <c r="F1330" s="9" t="str">
        <f>IF(DADOS!E1330="","",DADOS!E1330)</f>
        <v/>
      </c>
      <c r="G1330" s="9" t="str">
        <f>IF(DADOS!F1330="","",DADOS!F1330)</f>
        <v/>
      </c>
      <c r="K1330" s="6" t="str">
        <f t="shared" si="105"/>
        <v/>
      </c>
      <c r="L1330" s="7" t="str">
        <f t="shared" si="106"/>
        <v/>
      </c>
      <c r="M1330" s="7" t="str">
        <f t="shared" si="103"/>
        <v/>
      </c>
      <c r="N1330" s="7" t="str">
        <f t="shared" si="107"/>
        <v/>
      </c>
      <c r="O1330" s="8"/>
      <c r="P1330" s="26"/>
      <c r="S1330" s="10" t="str">
        <f t="shared" si="104"/>
        <v/>
      </c>
    </row>
    <row r="1331" spans="5:19" x14ac:dyDescent="0.3">
      <c r="E1331" s="9" t="str">
        <f>IF(DADOS!C1331="","",DADOS!C1331)</f>
        <v/>
      </c>
      <c r="F1331" s="9" t="str">
        <f>IF(DADOS!E1331="","",DADOS!E1331)</f>
        <v/>
      </c>
      <c r="G1331" s="9" t="str">
        <f>IF(DADOS!F1331="","",DADOS!F1331)</f>
        <v/>
      </c>
      <c r="K1331" s="6" t="str">
        <f t="shared" si="105"/>
        <v/>
      </c>
      <c r="L1331" s="7" t="str">
        <f t="shared" si="106"/>
        <v/>
      </c>
      <c r="M1331" s="7" t="str">
        <f t="shared" si="103"/>
        <v/>
      </c>
      <c r="N1331" s="7" t="str">
        <f t="shared" si="107"/>
        <v/>
      </c>
      <c r="O1331" s="8"/>
      <c r="P1331" s="26"/>
      <c r="S1331" s="10" t="str">
        <f t="shared" si="104"/>
        <v/>
      </c>
    </row>
    <row r="1332" spans="5:19" x14ac:dyDescent="0.3">
      <c r="E1332" s="9" t="str">
        <f>IF(DADOS!C1332="","",DADOS!C1332)</f>
        <v/>
      </c>
      <c r="F1332" s="9" t="str">
        <f>IF(DADOS!E1332="","",DADOS!E1332)</f>
        <v/>
      </c>
      <c r="G1332" s="9" t="str">
        <f>IF(DADOS!F1332="","",DADOS!F1332)</f>
        <v/>
      </c>
      <c r="K1332" s="6" t="str">
        <f t="shared" si="105"/>
        <v/>
      </c>
      <c r="L1332" s="7" t="str">
        <f t="shared" si="106"/>
        <v/>
      </c>
      <c r="M1332" s="7" t="str">
        <f t="shared" si="103"/>
        <v/>
      </c>
      <c r="N1332" s="7" t="str">
        <f t="shared" si="107"/>
        <v/>
      </c>
      <c r="O1332" s="8"/>
      <c r="P1332" s="26"/>
      <c r="S1332" s="10" t="str">
        <f t="shared" si="104"/>
        <v/>
      </c>
    </row>
    <row r="1333" spans="5:19" x14ac:dyDescent="0.3">
      <c r="E1333" s="9" t="str">
        <f>IF(DADOS!C1333="","",DADOS!C1333)</f>
        <v/>
      </c>
      <c r="F1333" s="9" t="str">
        <f>IF(DADOS!E1333="","",DADOS!E1333)</f>
        <v/>
      </c>
      <c r="G1333" s="9" t="str">
        <f>IF(DADOS!F1333="","",DADOS!F1333)</f>
        <v/>
      </c>
      <c r="K1333" s="6" t="str">
        <f t="shared" si="105"/>
        <v/>
      </c>
      <c r="L1333" s="7" t="str">
        <f t="shared" si="106"/>
        <v/>
      </c>
      <c r="M1333" s="7" t="str">
        <f t="shared" si="103"/>
        <v/>
      </c>
      <c r="N1333" s="7" t="str">
        <f t="shared" si="107"/>
        <v/>
      </c>
      <c r="O1333" s="8"/>
      <c r="P1333" s="26"/>
      <c r="S1333" s="10" t="str">
        <f t="shared" si="104"/>
        <v/>
      </c>
    </row>
    <row r="1334" spans="5:19" x14ac:dyDescent="0.3">
      <c r="E1334" s="9" t="str">
        <f>IF(DADOS!C1334="","",DADOS!C1334)</f>
        <v/>
      </c>
      <c r="F1334" s="9" t="str">
        <f>IF(DADOS!E1334="","",DADOS!E1334)</f>
        <v/>
      </c>
      <c r="G1334" s="9" t="str">
        <f>IF(DADOS!F1334="","",DADOS!F1334)</f>
        <v/>
      </c>
      <c r="K1334" s="6" t="str">
        <f t="shared" si="105"/>
        <v/>
      </c>
      <c r="L1334" s="7" t="str">
        <f t="shared" si="106"/>
        <v/>
      </c>
      <c r="M1334" s="7" t="str">
        <f t="shared" si="103"/>
        <v/>
      </c>
      <c r="N1334" s="7" t="str">
        <f t="shared" si="107"/>
        <v/>
      </c>
      <c r="O1334" s="8"/>
      <c r="P1334" s="26"/>
      <c r="S1334" s="10" t="str">
        <f t="shared" si="104"/>
        <v/>
      </c>
    </row>
    <row r="1335" spans="5:19" x14ac:dyDescent="0.3">
      <c r="E1335" s="9" t="str">
        <f>IF(DADOS!C1335="","",DADOS!C1335)</f>
        <v/>
      </c>
      <c r="F1335" s="9" t="str">
        <f>IF(DADOS!E1335="","",DADOS!E1335)</f>
        <v/>
      </c>
      <c r="G1335" s="9" t="str">
        <f>IF(DADOS!F1335="","",DADOS!F1335)</f>
        <v/>
      </c>
      <c r="K1335" s="6" t="str">
        <f t="shared" si="105"/>
        <v/>
      </c>
      <c r="L1335" s="7" t="str">
        <f t="shared" si="106"/>
        <v/>
      </c>
      <c r="M1335" s="7" t="str">
        <f t="shared" si="103"/>
        <v/>
      </c>
      <c r="N1335" s="7" t="str">
        <f t="shared" si="107"/>
        <v/>
      </c>
      <c r="O1335" s="8"/>
      <c r="P1335" s="26"/>
      <c r="S1335" s="10" t="str">
        <f t="shared" si="104"/>
        <v/>
      </c>
    </row>
    <row r="1336" spans="5:19" x14ac:dyDescent="0.3">
      <c r="E1336" s="9" t="str">
        <f>IF(DADOS!C1336="","",DADOS!C1336)</f>
        <v/>
      </c>
      <c r="F1336" s="9" t="str">
        <f>IF(DADOS!E1336="","",DADOS!E1336)</f>
        <v/>
      </c>
      <c r="G1336" s="9" t="str">
        <f>IF(DADOS!F1336="","",DADOS!F1336)</f>
        <v/>
      </c>
      <c r="K1336" s="6" t="str">
        <f t="shared" si="105"/>
        <v/>
      </c>
      <c r="L1336" s="7" t="str">
        <f t="shared" si="106"/>
        <v/>
      </c>
      <c r="M1336" s="7" t="str">
        <f t="shared" si="103"/>
        <v/>
      </c>
      <c r="N1336" s="7" t="str">
        <f t="shared" si="107"/>
        <v/>
      </c>
      <c r="O1336" s="8"/>
      <c r="P1336" s="26"/>
      <c r="S1336" s="10" t="str">
        <f t="shared" si="104"/>
        <v/>
      </c>
    </row>
    <row r="1337" spans="5:19" x14ac:dyDescent="0.3">
      <c r="E1337" s="9" t="str">
        <f>IF(DADOS!C1337="","",DADOS!C1337)</f>
        <v/>
      </c>
      <c r="F1337" s="9" t="str">
        <f>IF(DADOS!E1337="","",DADOS!E1337)</f>
        <v/>
      </c>
      <c r="G1337" s="9" t="str">
        <f>IF(DADOS!F1337="","",DADOS!F1337)</f>
        <v/>
      </c>
      <c r="K1337" s="6" t="str">
        <f t="shared" si="105"/>
        <v/>
      </c>
      <c r="L1337" s="7" t="str">
        <f t="shared" si="106"/>
        <v/>
      </c>
      <c r="M1337" s="7" t="str">
        <f t="shared" si="103"/>
        <v/>
      </c>
      <c r="N1337" s="7" t="str">
        <f t="shared" si="107"/>
        <v/>
      </c>
      <c r="O1337" s="8"/>
      <c r="P1337" s="26"/>
      <c r="S1337" s="10" t="str">
        <f t="shared" si="104"/>
        <v/>
      </c>
    </row>
    <row r="1338" spans="5:19" x14ac:dyDescent="0.3">
      <c r="E1338" s="9" t="str">
        <f>IF(DADOS!C1338="","",DADOS!C1338)</f>
        <v/>
      </c>
      <c r="F1338" s="9" t="str">
        <f>IF(DADOS!E1338="","",DADOS!E1338)</f>
        <v/>
      </c>
      <c r="G1338" s="9" t="str">
        <f>IF(DADOS!F1338="","",DADOS!F1338)</f>
        <v/>
      </c>
      <c r="K1338" s="6" t="str">
        <f t="shared" si="105"/>
        <v/>
      </c>
      <c r="L1338" s="7" t="str">
        <f t="shared" si="106"/>
        <v/>
      </c>
      <c r="M1338" s="7" t="str">
        <f t="shared" si="103"/>
        <v/>
      </c>
      <c r="N1338" s="7" t="str">
        <f t="shared" si="107"/>
        <v/>
      </c>
      <c r="O1338" s="8"/>
      <c r="P1338" s="26"/>
      <c r="S1338" s="10" t="str">
        <f t="shared" si="104"/>
        <v/>
      </c>
    </row>
    <row r="1339" spans="5:19" x14ac:dyDescent="0.3">
      <c r="E1339" s="9" t="str">
        <f>IF(DADOS!C1339="","",DADOS!C1339)</f>
        <v/>
      </c>
      <c r="F1339" s="9" t="str">
        <f>IF(DADOS!E1339="","",DADOS!E1339)</f>
        <v/>
      </c>
      <c r="G1339" s="9" t="str">
        <f>IF(DADOS!F1339="","",DADOS!F1339)</f>
        <v/>
      </c>
      <c r="K1339" s="6" t="str">
        <f t="shared" si="105"/>
        <v/>
      </c>
      <c r="L1339" s="7" t="str">
        <f t="shared" si="106"/>
        <v/>
      </c>
      <c r="M1339" s="7" t="str">
        <f t="shared" si="103"/>
        <v/>
      </c>
      <c r="N1339" s="7" t="str">
        <f t="shared" si="107"/>
        <v/>
      </c>
      <c r="O1339" s="8"/>
      <c r="P1339" s="26"/>
      <c r="S1339" s="10" t="str">
        <f t="shared" si="104"/>
        <v/>
      </c>
    </row>
    <row r="1340" spans="5:19" x14ac:dyDescent="0.3">
      <c r="E1340" s="9" t="str">
        <f>IF(DADOS!C1340="","",DADOS!C1340)</f>
        <v/>
      </c>
      <c r="F1340" s="9" t="str">
        <f>IF(DADOS!E1340="","",DADOS!E1340)</f>
        <v/>
      </c>
      <c r="G1340" s="9" t="str">
        <f>IF(DADOS!F1340="","",DADOS!F1340)</f>
        <v/>
      </c>
      <c r="K1340" s="6" t="str">
        <f t="shared" si="105"/>
        <v/>
      </c>
      <c r="L1340" s="7" t="str">
        <f t="shared" si="106"/>
        <v/>
      </c>
      <c r="M1340" s="7" t="str">
        <f t="shared" si="103"/>
        <v/>
      </c>
      <c r="N1340" s="7" t="str">
        <f t="shared" si="107"/>
        <v/>
      </c>
      <c r="O1340" s="8"/>
      <c r="P1340" s="26"/>
      <c r="S1340" s="10" t="str">
        <f t="shared" si="104"/>
        <v/>
      </c>
    </row>
    <row r="1341" spans="5:19" x14ac:dyDescent="0.3">
      <c r="E1341" s="9" t="str">
        <f>IF(DADOS!C1341="","",DADOS!C1341)</f>
        <v/>
      </c>
      <c r="F1341" s="9" t="str">
        <f>IF(DADOS!E1341="","",DADOS!E1341)</f>
        <v/>
      </c>
      <c r="G1341" s="9" t="str">
        <f>IF(DADOS!F1341="","",DADOS!F1341)</f>
        <v/>
      </c>
      <c r="K1341" s="6" t="str">
        <f t="shared" si="105"/>
        <v/>
      </c>
      <c r="L1341" s="7" t="str">
        <f t="shared" si="106"/>
        <v/>
      </c>
      <c r="M1341" s="7" t="str">
        <f t="shared" si="103"/>
        <v/>
      </c>
      <c r="N1341" s="7" t="str">
        <f t="shared" si="107"/>
        <v/>
      </c>
      <c r="O1341" s="8"/>
      <c r="P1341" s="26"/>
      <c r="S1341" s="10" t="str">
        <f t="shared" si="104"/>
        <v/>
      </c>
    </row>
    <row r="1342" spans="5:19" x14ac:dyDescent="0.3">
      <c r="E1342" s="9" t="str">
        <f>IF(DADOS!C1342="","",DADOS!C1342)</f>
        <v/>
      </c>
      <c r="F1342" s="9" t="str">
        <f>IF(DADOS!E1342="","",DADOS!E1342)</f>
        <v/>
      </c>
      <c r="G1342" s="9" t="str">
        <f>IF(DADOS!F1342="","",DADOS!F1342)</f>
        <v/>
      </c>
      <c r="K1342" s="6" t="str">
        <f t="shared" si="105"/>
        <v/>
      </c>
      <c r="L1342" s="7" t="str">
        <f t="shared" si="106"/>
        <v/>
      </c>
      <c r="M1342" s="7" t="str">
        <f t="shared" si="103"/>
        <v/>
      </c>
      <c r="N1342" s="7" t="str">
        <f t="shared" si="107"/>
        <v/>
      </c>
      <c r="O1342" s="8"/>
      <c r="P1342" s="26"/>
      <c r="S1342" s="10" t="str">
        <f t="shared" si="104"/>
        <v/>
      </c>
    </row>
    <row r="1343" spans="5:19" x14ac:dyDescent="0.3">
      <c r="E1343" s="9" t="str">
        <f>IF(DADOS!C1343="","",DADOS!C1343)</f>
        <v/>
      </c>
      <c r="F1343" s="9" t="str">
        <f>IF(DADOS!E1343="","",DADOS!E1343)</f>
        <v/>
      </c>
      <c r="G1343" s="9" t="str">
        <f>IF(DADOS!F1343="","",DADOS!F1343)</f>
        <v/>
      </c>
      <c r="K1343" s="6" t="str">
        <f t="shared" si="105"/>
        <v/>
      </c>
      <c r="L1343" s="7" t="str">
        <f t="shared" si="106"/>
        <v/>
      </c>
      <c r="M1343" s="7" t="str">
        <f t="shared" si="103"/>
        <v/>
      </c>
      <c r="N1343" s="7" t="str">
        <f t="shared" si="107"/>
        <v/>
      </c>
      <c r="O1343" s="8"/>
      <c r="P1343" s="26"/>
      <c r="S1343" s="10" t="str">
        <f t="shared" si="104"/>
        <v/>
      </c>
    </row>
    <row r="1344" spans="5:19" x14ac:dyDescent="0.3">
      <c r="E1344" s="9" t="str">
        <f>IF(DADOS!C1344="","",DADOS!C1344)</f>
        <v/>
      </c>
      <c r="F1344" s="9" t="str">
        <f>IF(DADOS!E1344="","",DADOS!E1344)</f>
        <v/>
      </c>
      <c r="G1344" s="9" t="str">
        <f>IF(DADOS!F1344="","",DADOS!F1344)</f>
        <v/>
      </c>
      <c r="K1344" s="6" t="str">
        <f t="shared" si="105"/>
        <v/>
      </c>
      <c r="L1344" s="7" t="str">
        <f t="shared" si="106"/>
        <v/>
      </c>
      <c r="M1344" s="7" t="str">
        <f t="shared" si="103"/>
        <v/>
      </c>
      <c r="N1344" s="7" t="str">
        <f t="shared" si="107"/>
        <v/>
      </c>
      <c r="O1344" s="8"/>
      <c r="P1344" s="26"/>
      <c r="S1344" s="10" t="str">
        <f t="shared" si="104"/>
        <v/>
      </c>
    </row>
    <row r="1345" spans="5:19" x14ac:dyDescent="0.3">
      <c r="E1345" s="9" t="str">
        <f>IF(DADOS!C1345="","",DADOS!C1345)</f>
        <v/>
      </c>
      <c r="F1345" s="9" t="str">
        <f>IF(DADOS!E1345="","",DADOS!E1345)</f>
        <v/>
      </c>
      <c r="G1345" s="9" t="str">
        <f>IF(DADOS!F1345="","",DADOS!F1345)</f>
        <v/>
      </c>
      <c r="K1345" s="6" t="str">
        <f t="shared" si="105"/>
        <v/>
      </c>
      <c r="L1345" s="7" t="str">
        <f t="shared" si="106"/>
        <v/>
      </c>
      <c r="M1345" s="7" t="str">
        <f t="shared" si="103"/>
        <v/>
      </c>
      <c r="N1345" s="7" t="str">
        <f t="shared" si="107"/>
        <v/>
      </c>
      <c r="O1345" s="8"/>
      <c r="P1345" s="26"/>
      <c r="S1345" s="10" t="str">
        <f t="shared" si="104"/>
        <v/>
      </c>
    </row>
    <row r="1346" spans="5:19" x14ac:dyDescent="0.3">
      <c r="E1346" s="9" t="str">
        <f>IF(DADOS!C1346="","",DADOS!C1346)</f>
        <v/>
      </c>
      <c r="F1346" s="9" t="str">
        <f>IF(DADOS!E1346="","",DADOS!E1346)</f>
        <v/>
      </c>
      <c r="G1346" s="9" t="str">
        <f>IF(DADOS!F1346="","",DADOS!F1346)</f>
        <v/>
      </c>
      <c r="K1346" s="6" t="str">
        <f t="shared" si="105"/>
        <v/>
      </c>
      <c r="L1346" s="7" t="str">
        <f t="shared" si="106"/>
        <v/>
      </c>
      <c r="M1346" s="7" t="str">
        <f t="shared" si="103"/>
        <v/>
      </c>
      <c r="N1346" s="7" t="str">
        <f t="shared" si="107"/>
        <v/>
      </c>
      <c r="O1346" s="8"/>
      <c r="P1346" s="26"/>
      <c r="S1346" s="10" t="str">
        <f t="shared" si="104"/>
        <v/>
      </c>
    </row>
    <row r="1347" spans="5:19" x14ac:dyDescent="0.3">
      <c r="E1347" s="9" t="str">
        <f>IF(DADOS!C1347="","",DADOS!C1347)</f>
        <v/>
      </c>
      <c r="F1347" s="9" t="str">
        <f>IF(DADOS!E1347="","",DADOS!E1347)</f>
        <v/>
      </c>
      <c r="G1347" s="9" t="str">
        <f>IF(DADOS!F1347="","",DADOS!F1347)</f>
        <v/>
      </c>
      <c r="K1347" s="6" t="str">
        <f t="shared" si="105"/>
        <v/>
      </c>
      <c r="L1347" s="7" t="str">
        <f t="shared" si="106"/>
        <v/>
      </c>
      <c r="M1347" s="7" t="str">
        <f t="shared" ref="M1347:M1410" si="108">IF(L1347="","",L1347*G1347)</f>
        <v/>
      </c>
      <c r="N1347" s="7" t="str">
        <f t="shared" si="107"/>
        <v/>
      </c>
      <c r="O1347" s="8"/>
      <c r="P1347" s="26"/>
      <c r="S1347" s="10" t="str">
        <f t="shared" ref="S1347:S1410" si="109">IF(R1347="","",SUMIFS($N$3:$N$10000,$E$3:$E$10000,R1347))</f>
        <v/>
      </c>
    </row>
    <row r="1348" spans="5:19" x14ac:dyDescent="0.3">
      <c r="E1348" s="9" t="str">
        <f>IF(DADOS!C1348="","",DADOS!C1348)</f>
        <v/>
      </c>
      <c r="F1348" s="9" t="str">
        <f>IF(DADOS!E1348="","",DADOS!E1348)</f>
        <v/>
      </c>
      <c r="G1348" s="9" t="str">
        <f>IF(DADOS!F1348="","",DADOS!F1348)</f>
        <v/>
      </c>
      <c r="K1348" s="6" t="str">
        <f t="shared" ref="K1348:K1411" si="110">IF(F1348="","",F1348/PI())</f>
        <v/>
      </c>
      <c r="L1348" s="7" t="str">
        <f t="shared" ref="L1348:L1411" si="111">IF(K1348="","",(PI()*K1348^2)/40000)</f>
        <v/>
      </c>
      <c r="M1348" s="7" t="str">
        <f t="shared" si="108"/>
        <v/>
      </c>
      <c r="N1348" s="7" t="str">
        <f t="shared" ref="N1348:N1411" si="112">IF(M1348="","",M1348*N$1)</f>
        <v/>
      </c>
      <c r="O1348" s="8"/>
      <c r="P1348" s="26"/>
      <c r="S1348" s="10" t="str">
        <f t="shared" si="109"/>
        <v/>
      </c>
    </row>
    <row r="1349" spans="5:19" x14ac:dyDescent="0.3">
      <c r="E1349" s="9" t="str">
        <f>IF(DADOS!C1349="","",DADOS!C1349)</f>
        <v/>
      </c>
      <c r="F1349" s="9" t="str">
        <f>IF(DADOS!E1349="","",DADOS!E1349)</f>
        <v/>
      </c>
      <c r="G1349" s="9" t="str">
        <f>IF(DADOS!F1349="","",DADOS!F1349)</f>
        <v/>
      </c>
      <c r="K1349" s="6" t="str">
        <f t="shared" si="110"/>
        <v/>
      </c>
      <c r="L1349" s="7" t="str">
        <f t="shared" si="111"/>
        <v/>
      </c>
      <c r="M1349" s="7" t="str">
        <f t="shared" si="108"/>
        <v/>
      </c>
      <c r="N1349" s="7" t="str">
        <f t="shared" si="112"/>
        <v/>
      </c>
      <c r="O1349" s="8"/>
      <c r="P1349" s="26"/>
      <c r="S1349" s="10" t="str">
        <f t="shared" si="109"/>
        <v/>
      </c>
    </row>
    <row r="1350" spans="5:19" x14ac:dyDescent="0.3">
      <c r="E1350" s="9" t="str">
        <f>IF(DADOS!C1350="","",DADOS!C1350)</f>
        <v/>
      </c>
      <c r="F1350" s="9" t="str">
        <f>IF(DADOS!E1350="","",DADOS!E1350)</f>
        <v/>
      </c>
      <c r="G1350" s="9" t="str">
        <f>IF(DADOS!F1350="","",DADOS!F1350)</f>
        <v/>
      </c>
      <c r="K1350" s="6" t="str">
        <f t="shared" si="110"/>
        <v/>
      </c>
      <c r="L1350" s="7" t="str">
        <f t="shared" si="111"/>
        <v/>
      </c>
      <c r="M1350" s="7" t="str">
        <f t="shared" si="108"/>
        <v/>
      </c>
      <c r="N1350" s="7" t="str">
        <f t="shared" si="112"/>
        <v/>
      </c>
      <c r="O1350" s="8"/>
      <c r="P1350" s="26"/>
      <c r="S1350" s="10" t="str">
        <f t="shared" si="109"/>
        <v/>
      </c>
    </row>
    <row r="1351" spans="5:19" x14ac:dyDescent="0.3">
      <c r="E1351" s="9" t="str">
        <f>IF(DADOS!C1351="","",DADOS!C1351)</f>
        <v/>
      </c>
      <c r="F1351" s="9" t="str">
        <f>IF(DADOS!E1351="","",DADOS!E1351)</f>
        <v/>
      </c>
      <c r="G1351" s="9" t="str">
        <f>IF(DADOS!F1351="","",DADOS!F1351)</f>
        <v/>
      </c>
      <c r="K1351" s="6" t="str">
        <f t="shared" si="110"/>
        <v/>
      </c>
      <c r="L1351" s="7" t="str">
        <f t="shared" si="111"/>
        <v/>
      </c>
      <c r="M1351" s="7" t="str">
        <f t="shared" si="108"/>
        <v/>
      </c>
      <c r="N1351" s="7" t="str">
        <f t="shared" si="112"/>
        <v/>
      </c>
      <c r="O1351" s="8"/>
      <c r="P1351" s="26"/>
      <c r="S1351" s="10" t="str">
        <f t="shared" si="109"/>
        <v/>
      </c>
    </row>
    <row r="1352" spans="5:19" x14ac:dyDescent="0.3">
      <c r="E1352" s="9" t="str">
        <f>IF(DADOS!C1352="","",DADOS!C1352)</f>
        <v/>
      </c>
      <c r="F1352" s="9" t="str">
        <f>IF(DADOS!E1352="","",DADOS!E1352)</f>
        <v/>
      </c>
      <c r="G1352" s="9" t="str">
        <f>IF(DADOS!F1352="","",DADOS!F1352)</f>
        <v/>
      </c>
      <c r="K1352" s="6" t="str">
        <f t="shared" si="110"/>
        <v/>
      </c>
      <c r="L1352" s="7" t="str">
        <f t="shared" si="111"/>
        <v/>
      </c>
      <c r="M1352" s="7" t="str">
        <f t="shared" si="108"/>
        <v/>
      </c>
      <c r="N1352" s="7" t="str">
        <f t="shared" si="112"/>
        <v/>
      </c>
      <c r="O1352" s="8"/>
      <c r="P1352" s="26"/>
      <c r="S1352" s="10" t="str">
        <f t="shared" si="109"/>
        <v/>
      </c>
    </row>
    <row r="1353" spans="5:19" x14ac:dyDescent="0.3">
      <c r="E1353" s="9" t="str">
        <f>IF(DADOS!C1353="","",DADOS!C1353)</f>
        <v/>
      </c>
      <c r="F1353" s="9" t="str">
        <f>IF(DADOS!E1353="","",DADOS!E1353)</f>
        <v/>
      </c>
      <c r="G1353" s="9" t="str">
        <f>IF(DADOS!F1353="","",DADOS!F1353)</f>
        <v/>
      </c>
      <c r="K1353" s="6" t="str">
        <f t="shared" si="110"/>
        <v/>
      </c>
      <c r="L1353" s="7" t="str">
        <f t="shared" si="111"/>
        <v/>
      </c>
      <c r="M1353" s="7" t="str">
        <f t="shared" si="108"/>
        <v/>
      </c>
      <c r="N1353" s="7" t="str">
        <f t="shared" si="112"/>
        <v/>
      </c>
      <c r="O1353" s="8"/>
      <c r="P1353" s="26"/>
      <c r="S1353" s="10" t="str">
        <f t="shared" si="109"/>
        <v/>
      </c>
    </row>
    <row r="1354" spans="5:19" x14ac:dyDescent="0.3">
      <c r="E1354" s="9" t="str">
        <f>IF(DADOS!C1354="","",DADOS!C1354)</f>
        <v/>
      </c>
      <c r="F1354" s="9" t="str">
        <f>IF(DADOS!E1354="","",DADOS!E1354)</f>
        <v/>
      </c>
      <c r="G1354" s="9" t="str">
        <f>IF(DADOS!F1354="","",DADOS!F1354)</f>
        <v/>
      </c>
      <c r="K1354" s="6" t="str">
        <f t="shared" si="110"/>
        <v/>
      </c>
      <c r="L1354" s="7" t="str">
        <f t="shared" si="111"/>
        <v/>
      </c>
      <c r="M1354" s="7" t="str">
        <f t="shared" si="108"/>
        <v/>
      </c>
      <c r="N1354" s="7" t="str">
        <f t="shared" si="112"/>
        <v/>
      </c>
      <c r="O1354" s="8"/>
      <c r="P1354" s="26"/>
      <c r="S1354" s="10" t="str">
        <f t="shared" si="109"/>
        <v/>
      </c>
    </row>
    <row r="1355" spans="5:19" x14ac:dyDescent="0.3">
      <c r="E1355" s="9" t="str">
        <f>IF(DADOS!C1355="","",DADOS!C1355)</f>
        <v/>
      </c>
      <c r="F1355" s="9" t="str">
        <f>IF(DADOS!E1355="","",DADOS!E1355)</f>
        <v/>
      </c>
      <c r="G1355" s="9" t="str">
        <f>IF(DADOS!F1355="","",DADOS!F1355)</f>
        <v/>
      </c>
      <c r="K1355" s="6" t="str">
        <f t="shared" si="110"/>
        <v/>
      </c>
      <c r="L1355" s="7" t="str">
        <f t="shared" si="111"/>
        <v/>
      </c>
      <c r="M1355" s="7" t="str">
        <f t="shared" si="108"/>
        <v/>
      </c>
      <c r="N1355" s="7" t="str">
        <f t="shared" si="112"/>
        <v/>
      </c>
      <c r="O1355" s="8"/>
      <c r="P1355" s="26"/>
      <c r="S1355" s="10" t="str">
        <f t="shared" si="109"/>
        <v/>
      </c>
    </row>
    <row r="1356" spans="5:19" x14ac:dyDescent="0.3">
      <c r="E1356" s="9" t="str">
        <f>IF(DADOS!C1356="","",DADOS!C1356)</f>
        <v/>
      </c>
      <c r="F1356" s="9" t="str">
        <f>IF(DADOS!E1356="","",DADOS!E1356)</f>
        <v/>
      </c>
      <c r="G1356" s="9" t="str">
        <f>IF(DADOS!F1356="","",DADOS!F1356)</f>
        <v/>
      </c>
      <c r="K1356" s="6" t="str">
        <f t="shared" si="110"/>
        <v/>
      </c>
      <c r="L1356" s="7" t="str">
        <f t="shared" si="111"/>
        <v/>
      </c>
      <c r="M1356" s="7" t="str">
        <f t="shared" si="108"/>
        <v/>
      </c>
      <c r="N1356" s="7" t="str">
        <f t="shared" si="112"/>
        <v/>
      </c>
      <c r="O1356" s="8"/>
      <c r="P1356" s="26"/>
      <c r="S1356" s="10" t="str">
        <f t="shared" si="109"/>
        <v/>
      </c>
    </row>
    <row r="1357" spans="5:19" x14ac:dyDescent="0.3">
      <c r="E1357" s="9" t="str">
        <f>IF(DADOS!C1357="","",DADOS!C1357)</f>
        <v/>
      </c>
      <c r="F1357" s="9" t="str">
        <f>IF(DADOS!E1357="","",DADOS!E1357)</f>
        <v/>
      </c>
      <c r="G1357" s="9" t="str">
        <f>IF(DADOS!F1357="","",DADOS!F1357)</f>
        <v/>
      </c>
      <c r="K1357" s="6" t="str">
        <f t="shared" si="110"/>
        <v/>
      </c>
      <c r="L1357" s="7" t="str">
        <f t="shared" si="111"/>
        <v/>
      </c>
      <c r="M1357" s="7" t="str">
        <f t="shared" si="108"/>
        <v/>
      </c>
      <c r="N1357" s="7" t="str">
        <f t="shared" si="112"/>
        <v/>
      </c>
      <c r="O1357" s="8"/>
      <c r="P1357" s="26"/>
      <c r="S1357" s="10" t="str">
        <f t="shared" si="109"/>
        <v/>
      </c>
    </row>
    <row r="1358" spans="5:19" x14ac:dyDescent="0.3">
      <c r="E1358" s="9" t="str">
        <f>IF(DADOS!C1358="","",DADOS!C1358)</f>
        <v/>
      </c>
      <c r="F1358" s="9" t="str">
        <f>IF(DADOS!E1358="","",DADOS!E1358)</f>
        <v/>
      </c>
      <c r="G1358" s="9" t="str">
        <f>IF(DADOS!F1358="","",DADOS!F1358)</f>
        <v/>
      </c>
      <c r="K1358" s="6" t="str">
        <f t="shared" si="110"/>
        <v/>
      </c>
      <c r="L1358" s="7" t="str">
        <f t="shared" si="111"/>
        <v/>
      </c>
      <c r="M1358" s="7" t="str">
        <f t="shared" si="108"/>
        <v/>
      </c>
      <c r="N1358" s="7" t="str">
        <f t="shared" si="112"/>
        <v/>
      </c>
      <c r="O1358" s="8"/>
      <c r="P1358" s="26"/>
      <c r="S1358" s="10" t="str">
        <f t="shared" si="109"/>
        <v/>
      </c>
    </row>
    <row r="1359" spans="5:19" x14ac:dyDescent="0.3">
      <c r="E1359" s="9" t="str">
        <f>IF(DADOS!C1359="","",DADOS!C1359)</f>
        <v/>
      </c>
      <c r="F1359" s="9" t="str">
        <f>IF(DADOS!E1359="","",DADOS!E1359)</f>
        <v/>
      </c>
      <c r="G1359" s="9" t="str">
        <f>IF(DADOS!F1359="","",DADOS!F1359)</f>
        <v/>
      </c>
      <c r="K1359" s="6" t="str">
        <f t="shared" si="110"/>
        <v/>
      </c>
      <c r="L1359" s="7" t="str">
        <f t="shared" si="111"/>
        <v/>
      </c>
      <c r="M1359" s="7" t="str">
        <f t="shared" si="108"/>
        <v/>
      </c>
      <c r="N1359" s="7" t="str">
        <f t="shared" si="112"/>
        <v/>
      </c>
      <c r="O1359" s="8"/>
      <c r="P1359" s="26"/>
      <c r="S1359" s="10" t="str">
        <f t="shared" si="109"/>
        <v/>
      </c>
    </row>
    <row r="1360" spans="5:19" x14ac:dyDescent="0.3">
      <c r="E1360" s="9" t="str">
        <f>IF(DADOS!C1360="","",DADOS!C1360)</f>
        <v/>
      </c>
      <c r="F1360" s="9" t="str">
        <f>IF(DADOS!E1360="","",DADOS!E1360)</f>
        <v/>
      </c>
      <c r="G1360" s="9" t="str">
        <f>IF(DADOS!F1360="","",DADOS!F1360)</f>
        <v/>
      </c>
      <c r="K1360" s="6" t="str">
        <f t="shared" si="110"/>
        <v/>
      </c>
      <c r="L1360" s="7" t="str">
        <f t="shared" si="111"/>
        <v/>
      </c>
      <c r="M1360" s="7" t="str">
        <f t="shared" si="108"/>
        <v/>
      </c>
      <c r="N1360" s="7" t="str">
        <f t="shared" si="112"/>
        <v/>
      </c>
      <c r="O1360" s="8"/>
      <c r="P1360" s="26"/>
      <c r="S1360" s="10" t="str">
        <f t="shared" si="109"/>
        <v/>
      </c>
    </row>
    <row r="1361" spans="5:19" x14ac:dyDescent="0.3">
      <c r="E1361" s="9" t="str">
        <f>IF(DADOS!C1361="","",DADOS!C1361)</f>
        <v/>
      </c>
      <c r="F1361" s="9" t="str">
        <f>IF(DADOS!E1361="","",DADOS!E1361)</f>
        <v/>
      </c>
      <c r="G1361" s="9" t="str">
        <f>IF(DADOS!F1361="","",DADOS!F1361)</f>
        <v/>
      </c>
      <c r="K1361" s="6" t="str">
        <f t="shared" si="110"/>
        <v/>
      </c>
      <c r="L1361" s="7" t="str">
        <f t="shared" si="111"/>
        <v/>
      </c>
      <c r="M1361" s="7" t="str">
        <f t="shared" si="108"/>
        <v/>
      </c>
      <c r="N1361" s="7" t="str">
        <f t="shared" si="112"/>
        <v/>
      </c>
      <c r="O1361" s="8"/>
      <c r="P1361" s="26"/>
      <c r="S1361" s="10" t="str">
        <f t="shared" si="109"/>
        <v/>
      </c>
    </row>
    <row r="1362" spans="5:19" x14ac:dyDescent="0.3">
      <c r="E1362" s="9" t="str">
        <f>IF(DADOS!C1362="","",DADOS!C1362)</f>
        <v/>
      </c>
      <c r="F1362" s="9" t="str">
        <f>IF(DADOS!E1362="","",DADOS!E1362)</f>
        <v/>
      </c>
      <c r="G1362" s="9" t="str">
        <f>IF(DADOS!F1362="","",DADOS!F1362)</f>
        <v/>
      </c>
      <c r="K1362" s="6" t="str">
        <f t="shared" si="110"/>
        <v/>
      </c>
      <c r="L1362" s="7" t="str">
        <f t="shared" si="111"/>
        <v/>
      </c>
      <c r="M1362" s="7" t="str">
        <f t="shared" si="108"/>
        <v/>
      </c>
      <c r="N1362" s="7" t="str">
        <f t="shared" si="112"/>
        <v/>
      </c>
      <c r="O1362" s="8"/>
      <c r="P1362" s="26"/>
      <c r="S1362" s="10" t="str">
        <f t="shared" si="109"/>
        <v/>
      </c>
    </row>
    <row r="1363" spans="5:19" x14ac:dyDescent="0.3">
      <c r="E1363" s="9" t="str">
        <f>IF(DADOS!C1363="","",DADOS!C1363)</f>
        <v/>
      </c>
      <c r="F1363" s="9" t="str">
        <f>IF(DADOS!E1363="","",DADOS!E1363)</f>
        <v/>
      </c>
      <c r="G1363" s="9" t="str">
        <f>IF(DADOS!F1363="","",DADOS!F1363)</f>
        <v/>
      </c>
      <c r="K1363" s="6" t="str">
        <f t="shared" si="110"/>
        <v/>
      </c>
      <c r="L1363" s="7" t="str">
        <f t="shared" si="111"/>
        <v/>
      </c>
      <c r="M1363" s="7" t="str">
        <f t="shared" si="108"/>
        <v/>
      </c>
      <c r="N1363" s="7" t="str">
        <f t="shared" si="112"/>
        <v/>
      </c>
      <c r="O1363" s="8"/>
      <c r="P1363" s="26"/>
      <c r="S1363" s="10" t="str">
        <f t="shared" si="109"/>
        <v/>
      </c>
    </row>
    <row r="1364" spans="5:19" x14ac:dyDescent="0.3">
      <c r="E1364" s="9" t="str">
        <f>IF(DADOS!C1364="","",DADOS!C1364)</f>
        <v/>
      </c>
      <c r="F1364" s="9" t="str">
        <f>IF(DADOS!E1364="","",DADOS!E1364)</f>
        <v/>
      </c>
      <c r="G1364" s="9" t="str">
        <f>IF(DADOS!F1364="","",DADOS!F1364)</f>
        <v/>
      </c>
      <c r="K1364" s="6" t="str">
        <f t="shared" si="110"/>
        <v/>
      </c>
      <c r="L1364" s="7" t="str">
        <f t="shared" si="111"/>
        <v/>
      </c>
      <c r="M1364" s="7" t="str">
        <f t="shared" si="108"/>
        <v/>
      </c>
      <c r="N1364" s="7" t="str">
        <f t="shared" si="112"/>
        <v/>
      </c>
      <c r="O1364" s="8"/>
      <c r="P1364" s="26"/>
      <c r="S1364" s="10" t="str">
        <f t="shared" si="109"/>
        <v/>
      </c>
    </row>
    <row r="1365" spans="5:19" x14ac:dyDescent="0.3">
      <c r="E1365" s="9" t="str">
        <f>IF(DADOS!C1365="","",DADOS!C1365)</f>
        <v/>
      </c>
      <c r="F1365" s="9" t="str">
        <f>IF(DADOS!E1365="","",DADOS!E1365)</f>
        <v/>
      </c>
      <c r="G1365" s="9" t="str">
        <f>IF(DADOS!F1365="","",DADOS!F1365)</f>
        <v/>
      </c>
      <c r="K1365" s="6" t="str">
        <f t="shared" si="110"/>
        <v/>
      </c>
      <c r="L1365" s="7" t="str">
        <f t="shared" si="111"/>
        <v/>
      </c>
      <c r="M1365" s="7" t="str">
        <f t="shared" si="108"/>
        <v/>
      </c>
      <c r="N1365" s="7" t="str">
        <f t="shared" si="112"/>
        <v/>
      </c>
      <c r="O1365" s="8"/>
      <c r="P1365" s="26"/>
      <c r="S1365" s="10" t="str">
        <f t="shared" si="109"/>
        <v/>
      </c>
    </row>
    <row r="1366" spans="5:19" x14ac:dyDescent="0.3">
      <c r="E1366" s="9" t="str">
        <f>IF(DADOS!C1366="","",DADOS!C1366)</f>
        <v/>
      </c>
      <c r="F1366" s="9" t="str">
        <f>IF(DADOS!E1366="","",DADOS!E1366)</f>
        <v/>
      </c>
      <c r="G1366" s="9" t="str">
        <f>IF(DADOS!F1366="","",DADOS!F1366)</f>
        <v/>
      </c>
      <c r="K1366" s="6" t="str">
        <f t="shared" si="110"/>
        <v/>
      </c>
      <c r="L1366" s="7" t="str">
        <f t="shared" si="111"/>
        <v/>
      </c>
      <c r="M1366" s="7" t="str">
        <f t="shared" si="108"/>
        <v/>
      </c>
      <c r="N1366" s="7" t="str">
        <f t="shared" si="112"/>
        <v/>
      </c>
      <c r="O1366" s="8"/>
      <c r="P1366" s="26"/>
      <c r="S1366" s="10" t="str">
        <f t="shared" si="109"/>
        <v/>
      </c>
    </row>
    <row r="1367" spans="5:19" x14ac:dyDescent="0.3">
      <c r="E1367" s="9" t="str">
        <f>IF(DADOS!C1367="","",DADOS!C1367)</f>
        <v/>
      </c>
      <c r="F1367" s="9" t="str">
        <f>IF(DADOS!E1367="","",DADOS!E1367)</f>
        <v/>
      </c>
      <c r="G1367" s="9" t="str">
        <f>IF(DADOS!F1367="","",DADOS!F1367)</f>
        <v/>
      </c>
      <c r="K1367" s="6" t="str">
        <f t="shared" si="110"/>
        <v/>
      </c>
      <c r="L1367" s="7" t="str">
        <f t="shared" si="111"/>
        <v/>
      </c>
      <c r="M1367" s="7" t="str">
        <f t="shared" si="108"/>
        <v/>
      </c>
      <c r="N1367" s="7" t="str">
        <f t="shared" si="112"/>
        <v/>
      </c>
      <c r="O1367" s="8"/>
      <c r="P1367" s="26"/>
      <c r="S1367" s="10" t="str">
        <f t="shared" si="109"/>
        <v/>
      </c>
    </row>
    <row r="1368" spans="5:19" x14ac:dyDescent="0.3">
      <c r="E1368" s="9" t="str">
        <f>IF(DADOS!C1368="","",DADOS!C1368)</f>
        <v/>
      </c>
      <c r="F1368" s="9" t="str">
        <f>IF(DADOS!E1368="","",DADOS!E1368)</f>
        <v/>
      </c>
      <c r="G1368" s="9" t="str">
        <f>IF(DADOS!F1368="","",DADOS!F1368)</f>
        <v/>
      </c>
      <c r="K1368" s="6" t="str">
        <f t="shared" si="110"/>
        <v/>
      </c>
      <c r="L1368" s="7" t="str">
        <f t="shared" si="111"/>
        <v/>
      </c>
      <c r="M1368" s="7" t="str">
        <f t="shared" si="108"/>
        <v/>
      </c>
      <c r="N1368" s="7" t="str">
        <f t="shared" si="112"/>
        <v/>
      </c>
      <c r="O1368" s="8"/>
      <c r="P1368" s="26"/>
      <c r="S1368" s="10" t="str">
        <f t="shared" si="109"/>
        <v/>
      </c>
    </row>
    <row r="1369" spans="5:19" x14ac:dyDescent="0.3">
      <c r="E1369" s="9" t="str">
        <f>IF(DADOS!C1369="","",DADOS!C1369)</f>
        <v/>
      </c>
      <c r="F1369" s="9" t="str">
        <f>IF(DADOS!E1369="","",DADOS!E1369)</f>
        <v/>
      </c>
      <c r="G1369" s="9" t="str">
        <f>IF(DADOS!F1369="","",DADOS!F1369)</f>
        <v/>
      </c>
      <c r="K1369" s="6" t="str">
        <f t="shared" si="110"/>
        <v/>
      </c>
      <c r="L1369" s="7" t="str">
        <f t="shared" si="111"/>
        <v/>
      </c>
      <c r="M1369" s="7" t="str">
        <f t="shared" si="108"/>
        <v/>
      </c>
      <c r="N1369" s="7" t="str">
        <f t="shared" si="112"/>
        <v/>
      </c>
      <c r="O1369" s="8"/>
      <c r="P1369" s="26"/>
      <c r="S1369" s="10" t="str">
        <f t="shared" si="109"/>
        <v/>
      </c>
    </row>
    <row r="1370" spans="5:19" x14ac:dyDescent="0.3">
      <c r="E1370" s="9" t="str">
        <f>IF(DADOS!C1370="","",DADOS!C1370)</f>
        <v/>
      </c>
      <c r="F1370" s="9" t="str">
        <f>IF(DADOS!E1370="","",DADOS!E1370)</f>
        <v/>
      </c>
      <c r="G1370" s="9" t="str">
        <f>IF(DADOS!F1370="","",DADOS!F1370)</f>
        <v/>
      </c>
      <c r="K1370" s="6" t="str">
        <f t="shared" si="110"/>
        <v/>
      </c>
      <c r="L1370" s="7" t="str">
        <f t="shared" si="111"/>
        <v/>
      </c>
      <c r="M1370" s="7" t="str">
        <f t="shared" si="108"/>
        <v/>
      </c>
      <c r="N1370" s="7" t="str">
        <f t="shared" si="112"/>
        <v/>
      </c>
      <c r="O1370" s="8"/>
      <c r="P1370" s="26"/>
      <c r="S1370" s="10" t="str">
        <f t="shared" si="109"/>
        <v/>
      </c>
    </row>
    <row r="1371" spans="5:19" x14ac:dyDescent="0.3">
      <c r="E1371" s="9" t="str">
        <f>IF(DADOS!C1371="","",DADOS!C1371)</f>
        <v/>
      </c>
      <c r="F1371" s="9" t="str">
        <f>IF(DADOS!E1371="","",DADOS!E1371)</f>
        <v/>
      </c>
      <c r="G1371" s="9" t="str">
        <f>IF(DADOS!F1371="","",DADOS!F1371)</f>
        <v/>
      </c>
      <c r="K1371" s="6" t="str">
        <f t="shared" si="110"/>
        <v/>
      </c>
      <c r="L1371" s="7" t="str">
        <f t="shared" si="111"/>
        <v/>
      </c>
      <c r="M1371" s="7" t="str">
        <f t="shared" si="108"/>
        <v/>
      </c>
      <c r="N1371" s="7" t="str">
        <f t="shared" si="112"/>
        <v/>
      </c>
      <c r="O1371" s="8"/>
      <c r="P1371" s="26"/>
      <c r="S1371" s="10" t="str">
        <f t="shared" si="109"/>
        <v/>
      </c>
    </row>
    <row r="1372" spans="5:19" x14ac:dyDescent="0.3">
      <c r="E1372" s="9" t="str">
        <f>IF(DADOS!C1372="","",DADOS!C1372)</f>
        <v/>
      </c>
      <c r="F1372" s="9" t="str">
        <f>IF(DADOS!E1372="","",DADOS!E1372)</f>
        <v/>
      </c>
      <c r="G1372" s="9" t="str">
        <f>IF(DADOS!F1372="","",DADOS!F1372)</f>
        <v/>
      </c>
      <c r="K1372" s="6" t="str">
        <f t="shared" si="110"/>
        <v/>
      </c>
      <c r="L1372" s="7" t="str">
        <f t="shared" si="111"/>
        <v/>
      </c>
      <c r="M1372" s="7" t="str">
        <f t="shared" si="108"/>
        <v/>
      </c>
      <c r="N1372" s="7" t="str">
        <f t="shared" si="112"/>
        <v/>
      </c>
      <c r="O1372" s="8"/>
      <c r="P1372" s="26"/>
      <c r="S1372" s="10" t="str">
        <f t="shared" si="109"/>
        <v/>
      </c>
    </row>
    <row r="1373" spans="5:19" x14ac:dyDescent="0.3">
      <c r="E1373" s="9" t="str">
        <f>IF(DADOS!C1373="","",DADOS!C1373)</f>
        <v/>
      </c>
      <c r="F1373" s="9" t="str">
        <f>IF(DADOS!E1373="","",DADOS!E1373)</f>
        <v/>
      </c>
      <c r="G1373" s="9" t="str">
        <f>IF(DADOS!F1373="","",DADOS!F1373)</f>
        <v/>
      </c>
      <c r="K1373" s="6" t="str">
        <f t="shared" si="110"/>
        <v/>
      </c>
      <c r="L1373" s="7" t="str">
        <f t="shared" si="111"/>
        <v/>
      </c>
      <c r="M1373" s="7" t="str">
        <f t="shared" si="108"/>
        <v/>
      </c>
      <c r="N1373" s="7" t="str">
        <f t="shared" si="112"/>
        <v/>
      </c>
      <c r="O1373" s="8"/>
      <c r="P1373" s="26"/>
      <c r="S1373" s="10" t="str">
        <f t="shared" si="109"/>
        <v/>
      </c>
    </row>
    <row r="1374" spans="5:19" x14ac:dyDescent="0.3">
      <c r="E1374" s="9" t="str">
        <f>IF(DADOS!C1374="","",DADOS!C1374)</f>
        <v/>
      </c>
      <c r="F1374" s="9" t="str">
        <f>IF(DADOS!E1374="","",DADOS!E1374)</f>
        <v/>
      </c>
      <c r="G1374" s="9" t="str">
        <f>IF(DADOS!F1374="","",DADOS!F1374)</f>
        <v/>
      </c>
      <c r="K1374" s="6" t="str">
        <f t="shared" si="110"/>
        <v/>
      </c>
      <c r="L1374" s="7" t="str">
        <f t="shared" si="111"/>
        <v/>
      </c>
      <c r="M1374" s="7" t="str">
        <f t="shared" si="108"/>
        <v/>
      </c>
      <c r="N1374" s="7" t="str">
        <f t="shared" si="112"/>
        <v/>
      </c>
      <c r="O1374" s="8"/>
      <c r="P1374" s="26"/>
      <c r="S1374" s="10" t="str">
        <f t="shared" si="109"/>
        <v/>
      </c>
    </row>
    <row r="1375" spans="5:19" x14ac:dyDescent="0.3">
      <c r="E1375" s="9" t="str">
        <f>IF(DADOS!C1375="","",DADOS!C1375)</f>
        <v/>
      </c>
      <c r="F1375" s="9" t="str">
        <f>IF(DADOS!E1375="","",DADOS!E1375)</f>
        <v/>
      </c>
      <c r="G1375" s="9" t="str">
        <f>IF(DADOS!F1375="","",DADOS!F1375)</f>
        <v/>
      </c>
      <c r="K1375" s="6" t="str">
        <f t="shared" si="110"/>
        <v/>
      </c>
      <c r="L1375" s="7" t="str">
        <f t="shared" si="111"/>
        <v/>
      </c>
      <c r="M1375" s="7" t="str">
        <f t="shared" si="108"/>
        <v/>
      </c>
      <c r="N1375" s="7" t="str">
        <f t="shared" si="112"/>
        <v/>
      </c>
      <c r="O1375" s="8"/>
      <c r="P1375" s="26"/>
      <c r="S1375" s="10" t="str">
        <f t="shared" si="109"/>
        <v/>
      </c>
    </row>
    <row r="1376" spans="5:19" x14ac:dyDescent="0.3">
      <c r="E1376" s="9" t="str">
        <f>IF(DADOS!C1376="","",DADOS!C1376)</f>
        <v/>
      </c>
      <c r="F1376" s="9" t="str">
        <f>IF(DADOS!E1376="","",DADOS!E1376)</f>
        <v/>
      </c>
      <c r="G1376" s="9" t="str">
        <f>IF(DADOS!F1376="","",DADOS!F1376)</f>
        <v/>
      </c>
      <c r="K1376" s="6" t="str">
        <f t="shared" si="110"/>
        <v/>
      </c>
      <c r="L1376" s="7" t="str">
        <f t="shared" si="111"/>
        <v/>
      </c>
      <c r="M1376" s="7" t="str">
        <f t="shared" si="108"/>
        <v/>
      </c>
      <c r="N1376" s="7" t="str">
        <f t="shared" si="112"/>
        <v/>
      </c>
      <c r="O1376" s="8"/>
      <c r="P1376" s="26"/>
      <c r="S1376" s="10" t="str">
        <f t="shared" si="109"/>
        <v/>
      </c>
    </row>
    <row r="1377" spans="5:19" x14ac:dyDescent="0.3">
      <c r="E1377" s="9" t="str">
        <f>IF(DADOS!C1377="","",DADOS!C1377)</f>
        <v/>
      </c>
      <c r="F1377" s="9" t="str">
        <f>IF(DADOS!E1377="","",DADOS!E1377)</f>
        <v/>
      </c>
      <c r="G1377" s="9" t="str">
        <f>IF(DADOS!F1377="","",DADOS!F1377)</f>
        <v/>
      </c>
      <c r="K1377" s="6" t="str">
        <f t="shared" si="110"/>
        <v/>
      </c>
      <c r="L1377" s="7" t="str">
        <f t="shared" si="111"/>
        <v/>
      </c>
      <c r="M1377" s="7" t="str">
        <f t="shared" si="108"/>
        <v/>
      </c>
      <c r="N1377" s="7" t="str">
        <f t="shared" si="112"/>
        <v/>
      </c>
      <c r="O1377" s="8"/>
      <c r="P1377" s="26"/>
      <c r="S1377" s="10" t="str">
        <f t="shared" si="109"/>
        <v/>
      </c>
    </row>
    <row r="1378" spans="5:19" x14ac:dyDescent="0.3">
      <c r="E1378" s="9" t="str">
        <f>IF(DADOS!C1378="","",DADOS!C1378)</f>
        <v/>
      </c>
      <c r="F1378" s="9" t="str">
        <f>IF(DADOS!E1378="","",DADOS!E1378)</f>
        <v/>
      </c>
      <c r="G1378" s="9" t="str">
        <f>IF(DADOS!F1378="","",DADOS!F1378)</f>
        <v/>
      </c>
      <c r="K1378" s="6" t="str">
        <f t="shared" si="110"/>
        <v/>
      </c>
      <c r="L1378" s="7" t="str">
        <f t="shared" si="111"/>
        <v/>
      </c>
      <c r="M1378" s="7" t="str">
        <f t="shared" si="108"/>
        <v/>
      </c>
      <c r="N1378" s="7" t="str">
        <f t="shared" si="112"/>
        <v/>
      </c>
      <c r="O1378" s="8"/>
      <c r="P1378" s="26"/>
      <c r="S1378" s="10" t="str">
        <f t="shared" si="109"/>
        <v/>
      </c>
    </row>
    <row r="1379" spans="5:19" x14ac:dyDescent="0.3">
      <c r="E1379" s="9" t="str">
        <f>IF(DADOS!C1379="","",DADOS!C1379)</f>
        <v/>
      </c>
      <c r="F1379" s="9" t="str">
        <f>IF(DADOS!E1379="","",DADOS!E1379)</f>
        <v/>
      </c>
      <c r="G1379" s="9" t="str">
        <f>IF(DADOS!F1379="","",DADOS!F1379)</f>
        <v/>
      </c>
      <c r="K1379" s="6" t="str">
        <f t="shared" si="110"/>
        <v/>
      </c>
      <c r="L1379" s="7" t="str">
        <f t="shared" si="111"/>
        <v/>
      </c>
      <c r="M1379" s="7" t="str">
        <f t="shared" si="108"/>
        <v/>
      </c>
      <c r="N1379" s="7" t="str">
        <f t="shared" si="112"/>
        <v/>
      </c>
      <c r="O1379" s="8"/>
      <c r="P1379" s="26"/>
      <c r="S1379" s="10" t="str">
        <f t="shared" si="109"/>
        <v/>
      </c>
    </row>
    <row r="1380" spans="5:19" x14ac:dyDescent="0.3">
      <c r="E1380" s="9" t="str">
        <f>IF(DADOS!C1380="","",DADOS!C1380)</f>
        <v/>
      </c>
      <c r="F1380" s="9" t="str">
        <f>IF(DADOS!E1380="","",DADOS!E1380)</f>
        <v/>
      </c>
      <c r="G1380" s="9" t="str">
        <f>IF(DADOS!F1380="","",DADOS!F1380)</f>
        <v/>
      </c>
      <c r="K1380" s="6" t="str">
        <f t="shared" si="110"/>
        <v/>
      </c>
      <c r="L1380" s="7" t="str">
        <f t="shared" si="111"/>
        <v/>
      </c>
      <c r="M1380" s="7" t="str">
        <f t="shared" si="108"/>
        <v/>
      </c>
      <c r="N1380" s="7" t="str">
        <f t="shared" si="112"/>
        <v/>
      </c>
      <c r="O1380" s="8"/>
      <c r="P1380" s="26"/>
      <c r="S1380" s="10" t="str">
        <f t="shared" si="109"/>
        <v/>
      </c>
    </row>
    <row r="1381" spans="5:19" x14ac:dyDescent="0.3">
      <c r="E1381" s="9" t="str">
        <f>IF(DADOS!C1381="","",DADOS!C1381)</f>
        <v/>
      </c>
      <c r="F1381" s="9" t="str">
        <f>IF(DADOS!E1381="","",DADOS!E1381)</f>
        <v/>
      </c>
      <c r="G1381" s="9" t="str">
        <f>IF(DADOS!F1381="","",DADOS!F1381)</f>
        <v/>
      </c>
      <c r="K1381" s="6" t="str">
        <f t="shared" si="110"/>
        <v/>
      </c>
      <c r="L1381" s="7" t="str">
        <f t="shared" si="111"/>
        <v/>
      </c>
      <c r="M1381" s="7" t="str">
        <f t="shared" si="108"/>
        <v/>
      </c>
      <c r="N1381" s="7" t="str">
        <f t="shared" si="112"/>
        <v/>
      </c>
      <c r="O1381" s="8"/>
      <c r="P1381" s="26"/>
      <c r="S1381" s="10" t="str">
        <f t="shared" si="109"/>
        <v/>
      </c>
    </row>
    <row r="1382" spans="5:19" x14ac:dyDescent="0.3">
      <c r="E1382" s="9" t="str">
        <f>IF(DADOS!C1382="","",DADOS!C1382)</f>
        <v/>
      </c>
      <c r="F1382" s="9" t="str">
        <f>IF(DADOS!E1382="","",DADOS!E1382)</f>
        <v/>
      </c>
      <c r="G1382" s="9" t="str">
        <f>IF(DADOS!F1382="","",DADOS!F1382)</f>
        <v/>
      </c>
      <c r="K1382" s="6" t="str">
        <f t="shared" si="110"/>
        <v/>
      </c>
      <c r="L1382" s="7" t="str">
        <f t="shared" si="111"/>
        <v/>
      </c>
      <c r="M1382" s="7" t="str">
        <f t="shared" si="108"/>
        <v/>
      </c>
      <c r="N1382" s="7" t="str">
        <f t="shared" si="112"/>
        <v/>
      </c>
      <c r="O1382" s="8"/>
      <c r="P1382" s="26"/>
      <c r="S1382" s="10" t="str">
        <f t="shared" si="109"/>
        <v/>
      </c>
    </row>
    <row r="1383" spans="5:19" x14ac:dyDescent="0.3">
      <c r="E1383" s="9" t="str">
        <f>IF(DADOS!C1383="","",DADOS!C1383)</f>
        <v/>
      </c>
      <c r="F1383" s="9" t="str">
        <f>IF(DADOS!E1383="","",DADOS!E1383)</f>
        <v/>
      </c>
      <c r="G1383" s="9" t="str">
        <f>IF(DADOS!F1383="","",DADOS!F1383)</f>
        <v/>
      </c>
      <c r="K1383" s="6" t="str">
        <f t="shared" si="110"/>
        <v/>
      </c>
      <c r="L1383" s="7" t="str">
        <f t="shared" si="111"/>
        <v/>
      </c>
      <c r="M1383" s="7" t="str">
        <f t="shared" si="108"/>
        <v/>
      </c>
      <c r="N1383" s="7" t="str">
        <f t="shared" si="112"/>
        <v/>
      </c>
      <c r="O1383" s="8"/>
      <c r="P1383" s="26"/>
      <c r="S1383" s="10" t="str">
        <f t="shared" si="109"/>
        <v/>
      </c>
    </row>
    <row r="1384" spans="5:19" x14ac:dyDescent="0.3">
      <c r="E1384" s="9" t="str">
        <f>IF(DADOS!C1384="","",DADOS!C1384)</f>
        <v/>
      </c>
      <c r="F1384" s="9" t="str">
        <f>IF(DADOS!E1384="","",DADOS!E1384)</f>
        <v/>
      </c>
      <c r="G1384" s="9" t="str">
        <f>IF(DADOS!F1384="","",DADOS!F1384)</f>
        <v/>
      </c>
      <c r="K1384" s="6" t="str">
        <f t="shared" si="110"/>
        <v/>
      </c>
      <c r="L1384" s="7" t="str">
        <f t="shared" si="111"/>
        <v/>
      </c>
      <c r="M1384" s="7" t="str">
        <f t="shared" si="108"/>
        <v/>
      </c>
      <c r="N1384" s="7" t="str">
        <f t="shared" si="112"/>
        <v/>
      </c>
      <c r="O1384" s="8"/>
      <c r="P1384" s="26"/>
      <c r="S1384" s="10" t="str">
        <f t="shared" si="109"/>
        <v/>
      </c>
    </row>
    <row r="1385" spans="5:19" x14ac:dyDescent="0.3">
      <c r="E1385" s="9" t="str">
        <f>IF(DADOS!C1385="","",DADOS!C1385)</f>
        <v/>
      </c>
      <c r="F1385" s="9" t="str">
        <f>IF(DADOS!E1385="","",DADOS!E1385)</f>
        <v/>
      </c>
      <c r="G1385" s="9" t="str">
        <f>IF(DADOS!F1385="","",DADOS!F1385)</f>
        <v/>
      </c>
      <c r="K1385" s="6" t="str">
        <f t="shared" si="110"/>
        <v/>
      </c>
      <c r="L1385" s="7" t="str">
        <f t="shared" si="111"/>
        <v/>
      </c>
      <c r="M1385" s="7" t="str">
        <f t="shared" si="108"/>
        <v/>
      </c>
      <c r="N1385" s="7" t="str">
        <f t="shared" si="112"/>
        <v/>
      </c>
      <c r="O1385" s="8"/>
      <c r="P1385" s="26"/>
      <c r="S1385" s="10" t="str">
        <f t="shared" si="109"/>
        <v/>
      </c>
    </row>
    <row r="1386" spans="5:19" x14ac:dyDescent="0.3">
      <c r="E1386" s="9" t="str">
        <f>IF(DADOS!C1386="","",DADOS!C1386)</f>
        <v/>
      </c>
      <c r="F1386" s="9" t="str">
        <f>IF(DADOS!E1386="","",DADOS!E1386)</f>
        <v/>
      </c>
      <c r="G1386" s="9" t="str">
        <f>IF(DADOS!F1386="","",DADOS!F1386)</f>
        <v/>
      </c>
      <c r="K1386" s="6" t="str">
        <f t="shared" si="110"/>
        <v/>
      </c>
      <c r="L1386" s="7" t="str">
        <f t="shared" si="111"/>
        <v/>
      </c>
      <c r="M1386" s="7" t="str">
        <f t="shared" si="108"/>
        <v/>
      </c>
      <c r="N1386" s="7" t="str">
        <f t="shared" si="112"/>
        <v/>
      </c>
      <c r="O1386" s="8"/>
      <c r="P1386" s="26"/>
      <c r="S1386" s="10" t="str">
        <f t="shared" si="109"/>
        <v/>
      </c>
    </row>
    <row r="1387" spans="5:19" x14ac:dyDescent="0.3">
      <c r="E1387" s="9" t="str">
        <f>IF(DADOS!C1387="","",DADOS!C1387)</f>
        <v/>
      </c>
      <c r="F1387" s="9" t="str">
        <f>IF(DADOS!E1387="","",DADOS!E1387)</f>
        <v/>
      </c>
      <c r="G1387" s="9" t="str">
        <f>IF(DADOS!F1387="","",DADOS!F1387)</f>
        <v/>
      </c>
      <c r="K1387" s="6" t="str">
        <f t="shared" si="110"/>
        <v/>
      </c>
      <c r="L1387" s="7" t="str">
        <f t="shared" si="111"/>
        <v/>
      </c>
      <c r="M1387" s="7" t="str">
        <f t="shared" si="108"/>
        <v/>
      </c>
      <c r="N1387" s="7" t="str">
        <f t="shared" si="112"/>
        <v/>
      </c>
      <c r="O1387" s="8"/>
      <c r="P1387" s="26"/>
      <c r="S1387" s="10" t="str">
        <f t="shared" si="109"/>
        <v/>
      </c>
    </row>
    <row r="1388" spans="5:19" x14ac:dyDescent="0.3">
      <c r="E1388" s="9" t="str">
        <f>IF(DADOS!C1388="","",DADOS!C1388)</f>
        <v/>
      </c>
      <c r="F1388" s="9" t="str">
        <f>IF(DADOS!E1388="","",DADOS!E1388)</f>
        <v/>
      </c>
      <c r="G1388" s="9" t="str">
        <f>IF(DADOS!F1388="","",DADOS!F1388)</f>
        <v/>
      </c>
      <c r="K1388" s="6" t="str">
        <f t="shared" si="110"/>
        <v/>
      </c>
      <c r="L1388" s="7" t="str">
        <f t="shared" si="111"/>
        <v/>
      </c>
      <c r="M1388" s="7" t="str">
        <f t="shared" si="108"/>
        <v/>
      </c>
      <c r="N1388" s="7" t="str">
        <f t="shared" si="112"/>
        <v/>
      </c>
      <c r="O1388" s="8"/>
      <c r="P1388" s="26"/>
      <c r="S1388" s="10" t="str">
        <f t="shared" si="109"/>
        <v/>
      </c>
    </row>
    <row r="1389" spans="5:19" x14ac:dyDescent="0.3">
      <c r="E1389" s="9" t="str">
        <f>IF(DADOS!C1389="","",DADOS!C1389)</f>
        <v/>
      </c>
      <c r="F1389" s="9" t="str">
        <f>IF(DADOS!E1389="","",DADOS!E1389)</f>
        <v/>
      </c>
      <c r="G1389" s="9" t="str">
        <f>IF(DADOS!F1389="","",DADOS!F1389)</f>
        <v/>
      </c>
      <c r="K1389" s="6" t="str">
        <f t="shared" si="110"/>
        <v/>
      </c>
      <c r="L1389" s="7" t="str">
        <f t="shared" si="111"/>
        <v/>
      </c>
      <c r="M1389" s="7" t="str">
        <f t="shared" si="108"/>
        <v/>
      </c>
      <c r="N1389" s="7" t="str">
        <f t="shared" si="112"/>
        <v/>
      </c>
      <c r="O1389" s="8"/>
      <c r="P1389" s="26"/>
      <c r="S1389" s="10" t="str">
        <f t="shared" si="109"/>
        <v/>
      </c>
    </row>
    <row r="1390" spans="5:19" x14ac:dyDescent="0.3">
      <c r="E1390" s="9" t="str">
        <f>IF(DADOS!C1390="","",DADOS!C1390)</f>
        <v/>
      </c>
      <c r="F1390" s="9" t="str">
        <f>IF(DADOS!E1390="","",DADOS!E1390)</f>
        <v/>
      </c>
      <c r="G1390" s="9" t="str">
        <f>IF(DADOS!F1390="","",DADOS!F1390)</f>
        <v/>
      </c>
      <c r="K1390" s="6" t="str">
        <f t="shared" si="110"/>
        <v/>
      </c>
      <c r="L1390" s="7" t="str">
        <f t="shared" si="111"/>
        <v/>
      </c>
      <c r="M1390" s="7" t="str">
        <f t="shared" si="108"/>
        <v/>
      </c>
      <c r="N1390" s="7" t="str">
        <f t="shared" si="112"/>
        <v/>
      </c>
      <c r="O1390" s="8"/>
      <c r="P1390" s="26"/>
      <c r="S1390" s="10" t="str">
        <f t="shared" si="109"/>
        <v/>
      </c>
    </row>
    <row r="1391" spans="5:19" x14ac:dyDescent="0.3">
      <c r="E1391" s="9" t="str">
        <f>IF(DADOS!C1391="","",DADOS!C1391)</f>
        <v/>
      </c>
      <c r="F1391" s="9" t="str">
        <f>IF(DADOS!E1391="","",DADOS!E1391)</f>
        <v/>
      </c>
      <c r="G1391" s="9" t="str">
        <f>IF(DADOS!F1391="","",DADOS!F1391)</f>
        <v/>
      </c>
      <c r="K1391" s="6" t="str">
        <f t="shared" si="110"/>
        <v/>
      </c>
      <c r="L1391" s="7" t="str">
        <f t="shared" si="111"/>
        <v/>
      </c>
      <c r="M1391" s="7" t="str">
        <f t="shared" si="108"/>
        <v/>
      </c>
      <c r="N1391" s="7" t="str">
        <f t="shared" si="112"/>
        <v/>
      </c>
      <c r="O1391" s="8"/>
      <c r="P1391" s="26"/>
      <c r="S1391" s="10" t="str">
        <f t="shared" si="109"/>
        <v/>
      </c>
    </row>
    <row r="1392" spans="5:19" x14ac:dyDescent="0.3">
      <c r="E1392" s="9" t="str">
        <f>IF(DADOS!C1392="","",DADOS!C1392)</f>
        <v/>
      </c>
      <c r="F1392" s="9" t="str">
        <f>IF(DADOS!E1392="","",DADOS!E1392)</f>
        <v/>
      </c>
      <c r="G1392" s="9" t="str">
        <f>IF(DADOS!F1392="","",DADOS!F1392)</f>
        <v/>
      </c>
      <c r="K1392" s="6" t="str">
        <f t="shared" si="110"/>
        <v/>
      </c>
      <c r="L1392" s="7" t="str">
        <f t="shared" si="111"/>
        <v/>
      </c>
      <c r="M1392" s="7" t="str">
        <f t="shared" si="108"/>
        <v/>
      </c>
      <c r="N1392" s="7" t="str">
        <f t="shared" si="112"/>
        <v/>
      </c>
      <c r="O1392" s="8"/>
      <c r="P1392" s="26"/>
      <c r="S1392" s="10" t="str">
        <f t="shared" si="109"/>
        <v/>
      </c>
    </row>
    <row r="1393" spans="5:19" x14ac:dyDescent="0.3">
      <c r="E1393" s="9" t="str">
        <f>IF(DADOS!C1393="","",DADOS!C1393)</f>
        <v/>
      </c>
      <c r="F1393" s="9" t="str">
        <f>IF(DADOS!E1393="","",DADOS!E1393)</f>
        <v/>
      </c>
      <c r="G1393" s="9" t="str">
        <f>IF(DADOS!F1393="","",DADOS!F1393)</f>
        <v/>
      </c>
      <c r="K1393" s="6" t="str">
        <f t="shared" si="110"/>
        <v/>
      </c>
      <c r="L1393" s="7" t="str">
        <f t="shared" si="111"/>
        <v/>
      </c>
      <c r="M1393" s="7" t="str">
        <f t="shared" si="108"/>
        <v/>
      </c>
      <c r="N1393" s="7" t="str">
        <f t="shared" si="112"/>
        <v/>
      </c>
      <c r="O1393" s="8"/>
      <c r="P1393" s="26"/>
      <c r="S1393" s="10" t="str">
        <f t="shared" si="109"/>
        <v/>
      </c>
    </row>
    <row r="1394" spans="5:19" x14ac:dyDescent="0.3">
      <c r="E1394" s="9" t="str">
        <f>IF(DADOS!C1394="","",DADOS!C1394)</f>
        <v/>
      </c>
      <c r="F1394" s="9" t="str">
        <f>IF(DADOS!E1394="","",DADOS!E1394)</f>
        <v/>
      </c>
      <c r="G1394" s="9" t="str">
        <f>IF(DADOS!F1394="","",DADOS!F1394)</f>
        <v/>
      </c>
      <c r="K1394" s="6" t="str">
        <f t="shared" si="110"/>
        <v/>
      </c>
      <c r="L1394" s="7" t="str">
        <f t="shared" si="111"/>
        <v/>
      </c>
      <c r="M1394" s="7" t="str">
        <f t="shared" si="108"/>
        <v/>
      </c>
      <c r="N1394" s="7" t="str">
        <f t="shared" si="112"/>
        <v/>
      </c>
      <c r="O1394" s="8"/>
      <c r="P1394" s="26"/>
      <c r="S1394" s="10" t="str">
        <f t="shared" si="109"/>
        <v/>
      </c>
    </row>
    <row r="1395" spans="5:19" x14ac:dyDescent="0.3">
      <c r="E1395" s="9" t="str">
        <f>IF(DADOS!C1395="","",DADOS!C1395)</f>
        <v/>
      </c>
      <c r="F1395" s="9" t="str">
        <f>IF(DADOS!E1395="","",DADOS!E1395)</f>
        <v/>
      </c>
      <c r="G1395" s="9" t="str">
        <f>IF(DADOS!F1395="","",DADOS!F1395)</f>
        <v/>
      </c>
      <c r="K1395" s="6" t="str">
        <f t="shared" si="110"/>
        <v/>
      </c>
      <c r="L1395" s="7" t="str">
        <f t="shared" si="111"/>
        <v/>
      </c>
      <c r="M1395" s="7" t="str">
        <f t="shared" si="108"/>
        <v/>
      </c>
      <c r="N1395" s="7" t="str">
        <f t="shared" si="112"/>
        <v/>
      </c>
      <c r="O1395" s="8"/>
      <c r="P1395" s="26"/>
      <c r="S1395" s="10" t="str">
        <f t="shared" si="109"/>
        <v/>
      </c>
    </row>
    <row r="1396" spans="5:19" x14ac:dyDescent="0.3">
      <c r="E1396" s="9" t="str">
        <f>IF(DADOS!C1396="","",DADOS!C1396)</f>
        <v/>
      </c>
      <c r="F1396" s="9" t="str">
        <f>IF(DADOS!E1396="","",DADOS!E1396)</f>
        <v/>
      </c>
      <c r="G1396" s="9" t="str">
        <f>IF(DADOS!F1396="","",DADOS!F1396)</f>
        <v/>
      </c>
      <c r="K1396" s="6" t="str">
        <f t="shared" si="110"/>
        <v/>
      </c>
      <c r="L1396" s="7" t="str">
        <f t="shared" si="111"/>
        <v/>
      </c>
      <c r="M1396" s="7" t="str">
        <f t="shared" si="108"/>
        <v/>
      </c>
      <c r="N1396" s="7" t="str">
        <f t="shared" si="112"/>
        <v/>
      </c>
      <c r="O1396" s="8"/>
      <c r="P1396" s="26"/>
      <c r="S1396" s="10" t="str">
        <f t="shared" si="109"/>
        <v/>
      </c>
    </row>
    <row r="1397" spans="5:19" x14ac:dyDescent="0.3">
      <c r="E1397" s="9" t="str">
        <f>IF(DADOS!C1397="","",DADOS!C1397)</f>
        <v/>
      </c>
      <c r="F1397" s="9" t="str">
        <f>IF(DADOS!E1397="","",DADOS!E1397)</f>
        <v/>
      </c>
      <c r="G1397" s="9" t="str">
        <f>IF(DADOS!F1397="","",DADOS!F1397)</f>
        <v/>
      </c>
      <c r="K1397" s="6" t="str">
        <f t="shared" si="110"/>
        <v/>
      </c>
      <c r="L1397" s="7" t="str">
        <f t="shared" si="111"/>
        <v/>
      </c>
      <c r="M1397" s="7" t="str">
        <f t="shared" si="108"/>
        <v/>
      </c>
      <c r="N1397" s="7" t="str">
        <f t="shared" si="112"/>
        <v/>
      </c>
      <c r="O1397" s="8"/>
      <c r="P1397" s="26"/>
      <c r="S1397" s="10" t="str">
        <f t="shared" si="109"/>
        <v/>
      </c>
    </row>
    <row r="1398" spans="5:19" x14ac:dyDescent="0.3">
      <c r="E1398" s="9" t="str">
        <f>IF(DADOS!C1398="","",DADOS!C1398)</f>
        <v/>
      </c>
      <c r="F1398" s="9" t="str">
        <f>IF(DADOS!E1398="","",DADOS!E1398)</f>
        <v/>
      </c>
      <c r="G1398" s="9" t="str">
        <f>IF(DADOS!F1398="","",DADOS!F1398)</f>
        <v/>
      </c>
      <c r="K1398" s="6" t="str">
        <f t="shared" si="110"/>
        <v/>
      </c>
      <c r="L1398" s="7" t="str">
        <f t="shared" si="111"/>
        <v/>
      </c>
      <c r="M1398" s="7" t="str">
        <f t="shared" si="108"/>
        <v/>
      </c>
      <c r="N1398" s="7" t="str">
        <f t="shared" si="112"/>
        <v/>
      </c>
      <c r="O1398" s="8"/>
      <c r="P1398" s="26"/>
      <c r="S1398" s="10" t="str">
        <f t="shared" si="109"/>
        <v/>
      </c>
    </row>
    <row r="1399" spans="5:19" x14ac:dyDescent="0.3">
      <c r="E1399" s="9" t="str">
        <f>IF(DADOS!C1399="","",DADOS!C1399)</f>
        <v/>
      </c>
      <c r="F1399" s="9" t="str">
        <f>IF(DADOS!E1399="","",DADOS!E1399)</f>
        <v/>
      </c>
      <c r="G1399" s="9" t="str">
        <f>IF(DADOS!F1399="","",DADOS!F1399)</f>
        <v/>
      </c>
      <c r="K1399" s="6" t="str">
        <f t="shared" si="110"/>
        <v/>
      </c>
      <c r="L1399" s="7" t="str">
        <f t="shared" si="111"/>
        <v/>
      </c>
      <c r="M1399" s="7" t="str">
        <f t="shared" si="108"/>
        <v/>
      </c>
      <c r="N1399" s="7" t="str">
        <f t="shared" si="112"/>
        <v/>
      </c>
      <c r="O1399" s="8"/>
      <c r="P1399" s="26"/>
      <c r="S1399" s="10" t="str">
        <f t="shared" si="109"/>
        <v/>
      </c>
    </row>
    <row r="1400" spans="5:19" x14ac:dyDescent="0.3">
      <c r="E1400" s="9" t="str">
        <f>IF(DADOS!C1400="","",DADOS!C1400)</f>
        <v/>
      </c>
      <c r="F1400" s="9" t="str">
        <f>IF(DADOS!E1400="","",DADOS!E1400)</f>
        <v/>
      </c>
      <c r="G1400" s="9" t="str">
        <f>IF(DADOS!F1400="","",DADOS!F1400)</f>
        <v/>
      </c>
      <c r="K1400" s="6" t="str">
        <f t="shared" si="110"/>
        <v/>
      </c>
      <c r="L1400" s="7" t="str">
        <f t="shared" si="111"/>
        <v/>
      </c>
      <c r="M1400" s="7" t="str">
        <f t="shared" si="108"/>
        <v/>
      </c>
      <c r="N1400" s="7" t="str">
        <f t="shared" si="112"/>
        <v/>
      </c>
      <c r="O1400" s="8"/>
      <c r="P1400" s="26"/>
      <c r="S1400" s="10" t="str">
        <f t="shared" si="109"/>
        <v/>
      </c>
    </row>
    <row r="1401" spans="5:19" x14ac:dyDescent="0.3">
      <c r="E1401" s="9" t="str">
        <f>IF(DADOS!C1401="","",DADOS!C1401)</f>
        <v/>
      </c>
      <c r="F1401" s="9" t="str">
        <f>IF(DADOS!E1401="","",DADOS!E1401)</f>
        <v/>
      </c>
      <c r="G1401" s="9" t="str">
        <f>IF(DADOS!F1401="","",DADOS!F1401)</f>
        <v/>
      </c>
      <c r="K1401" s="6" t="str">
        <f t="shared" si="110"/>
        <v/>
      </c>
      <c r="L1401" s="7" t="str">
        <f t="shared" si="111"/>
        <v/>
      </c>
      <c r="M1401" s="7" t="str">
        <f t="shared" si="108"/>
        <v/>
      </c>
      <c r="N1401" s="7" t="str">
        <f t="shared" si="112"/>
        <v/>
      </c>
      <c r="O1401" s="8"/>
      <c r="P1401" s="26"/>
      <c r="S1401" s="10" t="str">
        <f t="shared" si="109"/>
        <v/>
      </c>
    </row>
    <row r="1402" spans="5:19" x14ac:dyDescent="0.3">
      <c r="E1402" s="9" t="str">
        <f>IF(DADOS!C1402="","",DADOS!C1402)</f>
        <v/>
      </c>
      <c r="F1402" s="9" t="str">
        <f>IF(DADOS!E1402="","",DADOS!E1402)</f>
        <v/>
      </c>
      <c r="G1402" s="9" t="str">
        <f>IF(DADOS!F1402="","",DADOS!F1402)</f>
        <v/>
      </c>
      <c r="K1402" s="6" t="str">
        <f t="shared" si="110"/>
        <v/>
      </c>
      <c r="L1402" s="7" t="str">
        <f t="shared" si="111"/>
        <v/>
      </c>
      <c r="M1402" s="7" t="str">
        <f t="shared" si="108"/>
        <v/>
      </c>
      <c r="N1402" s="7" t="str">
        <f t="shared" si="112"/>
        <v/>
      </c>
      <c r="O1402" s="8"/>
      <c r="P1402" s="26"/>
      <c r="S1402" s="10" t="str">
        <f t="shared" si="109"/>
        <v/>
      </c>
    </row>
    <row r="1403" spans="5:19" x14ac:dyDescent="0.3">
      <c r="E1403" s="9" t="str">
        <f>IF(DADOS!C1403="","",DADOS!C1403)</f>
        <v/>
      </c>
      <c r="F1403" s="9" t="str">
        <f>IF(DADOS!E1403="","",DADOS!E1403)</f>
        <v/>
      </c>
      <c r="G1403" s="9" t="str">
        <f>IF(DADOS!F1403="","",DADOS!F1403)</f>
        <v/>
      </c>
      <c r="K1403" s="6" t="str">
        <f t="shared" si="110"/>
        <v/>
      </c>
      <c r="L1403" s="7" t="str">
        <f t="shared" si="111"/>
        <v/>
      </c>
      <c r="M1403" s="7" t="str">
        <f t="shared" si="108"/>
        <v/>
      </c>
      <c r="N1403" s="7" t="str">
        <f t="shared" si="112"/>
        <v/>
      </c>
      <c r="O1403" s="8"/>
      <c r="P1403" s="26"/>
      <c r="S1403" s="10" t="str">
        <f t="shared" si="109"/>
        <v/>
      </c>
    </row>
    <row r="1404" spans="5:19" x14ac:dyDescent="0.3">
      <c r="E1404" s="9" t="str">
        <f>IF(DADOS!C1404="","",DADOS!C1404)</f>
        <v/>
      </c>
      <c r="F1404" s="9" t="str">
        <f>IF(DADOS!E1404="","",DADOS!E1404)</f>
        <v/>
      </c>
      <c r="G1404" s="9" t="str">
        <f>IF(DADOS!F1404="","",DADOS!F1404)</f>
        <v/>
      </c>
      <c r="K1404" s="6" t="str">
        <f t="shared" si="110"/>
        <v/>
      </c>
      <c r="L1404" s="7" t="str">
        <f t="shared" si="111"/>
        <v/>
      </c>
      <c r="M1404" s="7" t="str">
        <f t="shared" si="108"/>
        <v/>
      </c>
      <c r="N1404" s="7" t="str">
        <f t="shared" si="112"/>
        <v/>
      </c>
      <c r="O1404" s="8"/>
      <c r="P1404" s="26"/>
      <c r="S1404" s="10" t="str">
        <f t="shared" si="109"/>
        <v/>
      </c>
    </row>
    <row r="1405" spans="5:19" x14ac:dyDescent="0.3">
      <c r="E1405" s="9" t="str">
        <f>IF(DADOS!C1405="","",DADOS!C1405)</f>
        <v/>
      </c>
      <c r="F1405" s="9" t="str">
        <f>IF(DADOS!E1405="","",DADOS!E1405)</f>
        <v/>
      </c>
      <c r="G1405" s="9" t="str">
        <f>IF(DADOS!F1405="","",DADOS!F1405)</f>
        <v/>
      </c>
      <c r="K1405" s="6" t="str">
        <f t="shared" si="110"/>
        <v/>
      </c>
      <c r="L1405" s="7" t="str">
        <f t="shared" si="111"/>
        <v/>
      </c>
      <c r="M1405" s="7" t="str">
        <f t="shared" si="108"/>
        <v/>
      </c>
      <c r="N1405" s="7" t="str">
        <f t="shared" si="112"/>
        <v/>
      </c>
      <c r="O1405" s="8"/>
      <c r="P1405" s="26"/>
      <c r="S1405" s="10" t="str">
        <f t="shared" si="109"/>
        <v/>
      </c>
    </row>
    <row r="1406" spans="5:19" x14ac:dyDescent="0.3">
      <c r="E1406" s="9" t="str">
        <f>IF(DADOS!C1406="","",DADOS!C1406)</f>
        <v/>
      </c>
      <c r="F1406" s="9" t="str">
        <f>IF(DADOS!E1406="","",DADOS!E1406)</f>
        <v/>
      </c>
      <c r="G1406" s="9" t="str">
        <f>IF(DADOS!F1406="","",DADOS!F1406)</f>
        <v/>
      </c>
      <c r="K1406" s="6" t="str">
        <f t="shared" si="110"/>
        <v/>
      </c>
      <c r="L1406" s="7" t="str">
        <f t="shared" si="111"/>
        <v/>
      </c>
      <c r="M1406" s="7" t="str">
        <f t="shared" si="108"/>
        <v/>
      </c>
      <c r="N1406" s="7" t="str">
        <f t="shared" si="112"/>
        <v/>
      </c>
      <c r="O1406" s="8"/>
      <c r="P1406" s="26"/>
      <c r="S1406" s="10" t="str">
        <f t="shared" si="109"/>
        <v/>
      </c>
    </row>
    <row r="1407" spans="5:19" x14ac:dyDescent="0.3">
      <c r="E1407" s="9" t="str">
        <f>IF(DADOS!C1407="","",DADOS!C1407)</f>
        <v/>
      </c>
      <c r="F1407" s="9" t="str">
        <f>IF(DADOS!E1407="","",DADOS!E1407)</f>
        <v/>
      </c>
      <c r="G1407" s="9" t="str">
        <f>IF(DADOS!F1407="","",DADOS!F1407)</f>
        <v/>
      </c>
      <c r="K1407" s="6" t="str">
        <f t="shared" si="110"/>
        <v/>
      </c>
      <c r="L1407" s="7" t="str">
        <f t="shared" si="111"/>
        <v/>
      </c>
      <c r="M1407" s="7" t="str">
        <f t="shared" si="108"/>
        <v/>
      </c>
      <c r="N1407" s="7" t="str">
        <f t="shared" si="112"/>
        <v/>
      </c>
      <c r="O1407" s="8"/>
      <c r="P1407" s="26"/>
      <c r="S1407" s="10" t="str">
        <f t="shared" si="109"/>
        <v/>
      </c>
    </row>
    <row r="1408" spans="5:19" x14ac:dyDescent="0.3">
      <c r="E1408" s="9" t="str">
        <f>IF(DADOS!C1408="","",DADOS!C1408)</f>
        <v/>
      </c>
      <c r="F1408" s="9" t="str">
        <f>IF(DADOS!E1408="","",DADOS!E1408)</f>
        <v/>
      </c>
      <c r="G1408" s="9" t="str">
        <f>IF(DADOS!F1408="","",DADOS!F1408)</f>
        <v/>
      </c>
      <c r="K1408" s="6" t="str">
        <f t="shared" si="110"/>
        <v/>
      </c>
      <c r="L1408" s="7" t="str">
        <f t="shared" si="111"/>
        <v/>
      </c>
      <c r="M1408" s="7" t="str">
        <f t="shared" si="108"/>
        <v/>
      </c>
      <c r="N1408" s="7" t="str">
        <f t="shared" si="112"/>
        <v/>
      </c>
      <c r="O1408" s="8"/>
      <c r="P1408" s="26"/>
      <c r="S1408" s="10" t="str">
        <f t="shared" si="109"/>
        <v/>
      </c>
    </row>
    <row r="1409" spans="5:19" x14ac:dyDescent="0.3">
      <c r="E1409" s="9" t="str">
        <f>IF(DADOS!C1409="","",DADOS!C1409)</f>
        <v/>
      </c>
      <c r="F1409" s="9" t="str">
        <f>IF(DADOS!E1409="","",DADOS!E1409)</f>
        <v/>
      </c>
      <c r="G1409" s="9" t="str">
        <f>IF(DADOS!F1409="","",DADOS!F1409)</f>
        <v/>
      </c>
      <c r="K1409" s="6" t="str">
        <f t="shared" si="110"/>
        <v/>
      </c>
      <c r="L1409" s="7" t="str">
        <f t="shared" si="111"/>
        <v/>
      </c>
      <c r="M1409" s="7" t="str">
        <f t="shared" si="108"/>
        <v/>
      </c>
      <c r="N1409" s="7" t="str">
        <f t="shared" si="112"/>
        <v/>
      </c>
      <c r="O1409" s="8"/>
      <c r="P1409" s="26"/>
      <c r="S1409" s="10" t="str">
        <f t="shared" si="109"/>
        <v/>
      </c>
    </row>
    <row r="1410" spans="5:19" x14ac:dyDescent="0.3">
      <c r="E1410" s="9" t="str">
        <f>IF(DADOS!C1410="","",DADOS!C1410)</f>
        <v/>
      </c>
      <c r="F1410" s="9" t="str">
        <f>IF(DADOS!E1410="","",DADOS!E1410)</f>
        <v/>
      </c>
      <c r="G1410" s="9" t="str">
        <f>IF(DADOS!F1410="","",DADOS!F1410)</f>
        <v/>
      </c>
      <c r="K1410" s="6" t="str">
        <f t="shared" si="110"/>
        <v/>
      </c>
      <c r="L1410" s="7" t="str">
        <f t="shared" si="111"/>
        <v/>
      </c>
      <c r="M1410" s="7" t="str">
        <f t="shared" si="108"/>
        <v/>
      </c>
      <c r="N1410" s="7" t="str">
        <f t="shared" si="112"/>
        <v/>
      </c>
      <c r="O1410" s="8"/>
      <c r="P1410" s="26"/>
      <c r="S1410" s="10" t="str">
        <f t="shared" si="109"/>
        <v/>
      </c>
    </row>
    <row r="1411" spans="5:19" x14ac:dyDescent="0.3">
      <c r="E1411" s="9" t="str">
        <f>IF(DADOS!C1411="","",DADOS!C1411)</f>
        <v/>
      </c>
      <c r="F1411" s="9" t="str">
        <f>IF(DADOS!E1411="","",DADOS!E1411)</f>
        <v/>
      </c>
      <c r="G1411" s="9" t="str">
        <f>IF(DADOS!F1411="","",DADOS!F1411)</f>
        <v/>
      </c>
      <c r="K1411" s="6" t="str">
        <f t="shared" si="110"/>
        <v/>
      </c>
      <c r="L1411" s="7" t="str">
        <f t="shared" si="111"/>
        <v/>
      </c>
      <c r="M1411" s="7" t="str">
        <f t="shared" ref="M1411:M1474" si="113">IF(L1411="","",L1411*G1411)</f>
        <v/>
      </c>
      <c r="N1411" s="7" t="str">
        <f t="shared" si="112"/>
        <v/>
      </c>
      <c r="O1411" s="8"/>
      <c r="P1411" s="26"/>
      <c r="S1411" s="10" t="str">
        <f t="shared" ref="S1411:S1474" si="114">IF(R1411="","",SUMIFS($N$3:$N$10000,$E$3:$E$10000,R1411))</f>
        <v/>
      </c>
    </row>
    <row r="1412" spans="5:19" x14ac:dyDescent="0.3">
      <c r="E1412" s="9" t="str">
        <f>IF(DADOS!C1412="","",DADOS!C1412)</f>
        <v/>
      </c>
      <c r="F1412" s="9" t="str">
        <f>IF(DADOS!E1412="","",DADOS!E1412)</f>
        <v/>
      </c>
      <c r="G1412" s="9" t="str">
        <f>IF(DADOS!F1412="","",DADOS!F1412)</f>
        <v/>
      </c>
      <c r="K1412" s="6" t="str">
        <f t="shared" ref="K1412:K1475" si="115">IF(F1412="","",F1412/PI())</f>
        <v/>
      </c>
      <c r="L1412" s="7" t="str">
        <f t="shared" ref="L1412:L1475" si="116">IF(K1412="","",(PI()*K1412^2)/40000)</f>
        <v/>
      </c>
      <c r="M1412" s="7" t="str">
        <f t="shared" si="113"/>
        <v/>
      </c>
      <c r="N1412" s="7" t="str">
        <f t="shared" ref="N1412:N1475" si="117">IF(M1412="","",M1412*N$1)</f>
        <v/>
      </c>
      <c r="O1412" s="8"/>
      <c r="P1412" s="26"/>
      <c r="S1412" s="10" t="str">
        <f t="shared" si="114"/>
        <v/>
      </c>
    </row>
    <row r="1413" spans="5:19" x14ac:dyDescent="0.3">
      <c r="E1413" s="9" t="str">
        <f>IF(DADOS!C1413="","",DADOS!C1413)</f>
        <v/>
      </c>
      <c r="F1413" s="9" t="str">
        <f>IF(DADOS!E1413="","",DADOS!E1413)</f>
        <v/>
      </c>
      <c r="G1413" s="9" t="str">
        <f>IF(DADOS!F1413="","",DADOS!F1413)</f>
        <v/>
      </c>
      <c r="K1413" s="6" t="str">
        <f t="shared" si="115"/>
        <v/>
      </c>
      <c r="L1413" s="7" t="str">
        <f t="shared" si="116"/>
        <v/>
      </c>
      <c r="M1413" s="7" t="str">
        <f t="shared" si="113"/>
        <v/>
      </c>
      <c r="N1413" s="7" t="str">
        <f t="shared" si="117"/>
        <v/>
      </c>
      <c r="O1413" s="8"/>
      <c r="P1413" s="26"/>
      <c r="S1413" s="10" t="str">
        <f t="shared" si="114"/>
        <v/>
      </c>
    </row>
    <row r="1414" spans="5:19" x14ac:dyDescent="0.3">
      <c r="E1414" s="9" t="str">
        <f>IF(DADOS!C1414="","",DADOS!C1414)</f>
        <v/>
      </c>
      <c r="F1414" s="9" t="str">
        <f>IF(DADOS!E1414="","",DADOS!E1414)</f>
        <v/>
      </c>
      <c r="G1414" s="9" t="str">
        <f>IF(DADOS!F1414="","",DADOS!F1414)</f>
        <v/>
      </c>
      <c r="K1414" s="6" t="str">
        <f t="shared" si="115"/>
        <v/>
      </c>
      <c r="L1414" s="7" t="str">
        <f t="shared" si="116"/>
        <v/>
      </c>
      <c r="M1414" s="7" t="str">
        <f t="shared" si="113"/>
        <v/>
      </c>
      <c r="N1414" s="7" t="str">
        <f t="shared" si="117"/>
        <v/>
      </c>
      <c r="O1414" s="8"/>
      <c r="P1414" s="26"/>
      <c r="S1414" s="10" t="str">
        <f t="shared" si="114"/>
        <v/>
      </c>
    </row>
    <row r="1415" spans="5:19" x14ac:dyDescent="0.3">
      <c r="E1415" s="9" t="str">
        <f>IF(DADOS!C1415="","",DADOS!C1415)</f>
        <v/>
      </c>
      <c r="F1415" s="9" t="str">
        <f>IF(DADOS!E1415="","",DADOS!E1415)</f>
        <v/>
      </c>
      <c r="G1415" s="9" t="str">
        <f>IF(DADOS!F1415="","",DADOS!F1415)</f>
        <v/>
      </c>
      <c r="K1415" s="6" t="str">
        <f t="shared" si="115"/>
        <v/>
      </c>
      <c r="L1415" s="7" t="str">
        <f t="shared" si="116"/>
        <v/>
      </c>
      <c r="M1415" s="7" t="str">
        <f t="shared" si="113"/>
        <v/>
      </c>
      <c r="N1415" s="7" t="str">
        <f t="shared" si="117"/>
        <v/>
      </c>
      <c r="O1415" s="8"/>
      <c r="P1415" s="26"/>
      <c r="S1415" s="10" t="str">
        <f t="shared" si="114"/>
        <v/>
      </c>
    </row>
    <row r="1416" spans="5:19" x14ac:dyDescent="0.3">
      <c r="E1416" s="9" t="str">
        <f>IF(DADOS!C1416="","",DADOS!C1416)</f>
        <v/>
      </c>
      <c r="F1416" s="9" t="str">
        <f>IF(DADOS!E1416="","",DADOS!E1416)</f>
        <v/>
      </c>
      <c r="G1416" s="9" t="str">
        <f>IF(DADOS!F1416="","",DADOS!F1416)</f>
        <v/>
      </c>
      <c r="K1416" s="6" t="str">
        <f t="shared" si="115"/>
        <v/>
      </c>
      <c r="L1416" s="7" t="str">
        <f t="shared" si="116"/>
        <v/>
      </c>
      <c r="M1416" s="7" t="str">
        <f t="shared" si="113"/>
        <v/>
      </c>
      <c r="N1416" s="7" t="str">
        <f t="shared" si="117"/>
        <v/>
      </c>
      <c r="O1416" s="8"/>
      <c r="P1416" s="26"/>
      <c r="S1416" s="10" t="str">
        <f t="shared" si="114"/>
        <v/>
      </c>
    </row>
    <row r="1417" spans="5:19" x14ac:dyDescent="0.3">
      <c r="E1417" s="9" t="str">
        <f>IF(DADOS!C1417="","",DADOS!C1417)</f>
        <v/>
      </c>
      <c r="F1417" s="9" t="str">
        <f>IF(DADOS!E1417="","",DADOS!E1417)</f>
        <v/>
      </c>
      <c r="G1417" s="9" t="str">
        <f>IF(DADOS!F1417="","",DADOS!F1417)</f>
        <v/>
      </c>
      <c r="K1417" s="6" t="str">
        <f t="shared" si="115"/>
        <v/>
      </c>
      <c r="L1417" s="7" t="str">
        <f t="shared" si="116"/>
        <v/>
      </c>
      <c r="M1417" s="7" t="str">
        <f t="shared" si="113"/>
        <v/>
      </c>
      <c r="N1417" s="7" t="str">
        <f t="shared" si="117"/>
        <v/>
      </c>
      <c r="O1417" s="8"/>
      <c r="P1417" s="26"/>
      <c r="S1417" s="10" t="str">
        <f t="shared" si="114"/>
        <v/>
      </c>
    </row>
    <row r="1418" spans="5:19" x14ac:dyDescent="0.3">
      <c r="E1418" s="9" t="str">
        <f>IF(DADOS!C1418="","",DADOS!C1418)</f>
        <v/>
      </c>
      <c r="F1418" s="9" t="str">
        <f>IF(DADOS!E1418="","",DADOS!E1418)</f>
        <v/>
      </c>
      <c r="G1418" s="9" t="str">
        <f>IF(DADOS!F1418="","",DADOS!F1418)</f>
        <v/>
      </c>
      <c r="K1418" s="6" t="str">
        <f t="shared" si="115"/>
        <v/>
      </c>
      <c r="L1418" s="7" t="str">
        <f t="shared" si="116"/>
        <v/>
      </c>
      <c r="M1418" s="7" t="str">
        <f t="shared" si="113"/>
        <v/>
      </c>
      <c r="N1418" s="7" t="str">
        <f t="shared" si="117"/>
        <v/>
      </c>
      <c r="O1418" s="8"/>
      <c r="P1418" s="26"/>
      <c r="S1418" s="10" t="str">
        <f t="shared" si="114"/>
        <v/>
      </c>
    </row>
    <row r="1419" spans="5:19" x14ac:dyDescent="0.3">
      <c r="E1419" s="9" t="str">
        <f>IF(DADOS!C1419="","",DADOS!C1419)</f>
        <v/>
      </c>
      <c r="F1419" s="9" t="str">
        <f>IF(DADOS!E1419="","",DADOS!E1419)</f>
        <v/>
      </c>
      <c r="G1419" s="9" t="str">
        <f>IF(DADOS!F1419="","",DADOS!F1419)</f>
        <v/>
      </c>
      <c r="K1419" s="6" t="str">
        <f t="shared" si="115"/>
        <v/>
      </c>
      <c r="L1419" s="7" t="str">
        <f t="shared" si="116"/>
        <v/>
      </c>
      <c r="M1419" s="7" t="str">
        <f t="shared" si="113"/>
        <v/>
      </c>
      <c r="N1419" s="7" t="str">
        <f t="shared" si="117"/>
        <v/>
      </c>
      <c r="O1419" s="8"/>
      <c r="P1419" s="26"/>
      <c r="S1419" s="10" t="str">
        <f t="shared" si="114"/>
        <v/>
      </c>
    </row>
    <row r="1420" spans="5:19" x14ac:dyDescent="0.3">
      <c r="E1420" s="9" t="str">
        <f>IF(DADOS!C1420="","",DADOS!C1420)</f>
        <v/>
      </c>
      <c r="F1420" s="9" t="str">
        <f>IF(DADOS!E1420="","",DADOS!E1420)</f>
        <v/>
      </c>
      <c r="G1420" s="9" t="str">
        <f>IF(DADOS!F1420="","",DADOS!F1420)</f>
        <v/>
      </c>
      <c r="K1420" s="6" t="str">
        <f t="shared" si="115"/>
        <v/>
      </c>
      <c r="L1420" s="7" t="str">
        <f t="shared" si="116"/>
        <v/>
      </c>
      <c r="M1420" s="7" t="str">
        <f t="shared" si="113"/>
        <v/>
      </c>
      <c r="N1420" s="7" t="str">
        <f t="shared" si="117"/>
        <v/>
      </c>
      <c r="O1420" s="8"/>
      <c r="P1420" s="26"/>
      <c r="S1420" s="10" t="str">
        <f t="shared" si="114"/>
        <v/>
      </c>
    </row>
    <row r="1421" spans="5:19" x14ac:dyDescent="0.3">
      <c r="E1421" s="9" t="str">
        <f>IF(DADOS!C1421="","",DADOS!C1421)</f>
        <v/>
      </c>
      <c r="F1421" s="9" t="str">
        <f>IF(DADOS!E1421="","",DADOS!E1421)</f>
        <v/>
      </c>
      <c r="G1421" s="9" t="str">
        <f>IF(DADOS!F1421="","",DADOS!F1421)</f>
        <v/>
      </c>
      <c r="K1421" s="6" t="str">
        <f t="shared" si="115"/>
        <v/>
      </c>
      <c r="L1421" s="7" t="str">
        <f t="shared" si="116"/>
        <v/>
      </c>
      <c r="M1421" s="7" t="str">
        <f t="shared" si="113"/>
        <v/>
      </c>
      <c r="N1421" s="7" t="str">
        <f t="shared" si="117"/>
        <v/>
      </c>
      <c r="O1421" s="8"/>
      <c r="P1421" s="26"/>
      <c r="S1421" s="10" t="str">
        <f t="shared" si="114"/>
        <v/>
      </c>
    </row>
    <row r="1422" spans="5:19" x14ac:dyDescent="0.3">
      <c r="E1422" s="9" t="str">
        <f>IF(DADOS!C1422="","",DADOS!C1422)</f>
        <v/>
      </c>
      <c r="F1422" s="9" t="str">
        <f>IF(DADOS!E1422="","",DADOS!E1422)</f>
        <v/>
      </c>
      <c r="G1422" s="9" t="str">
        <f>IF(DADOS!F1422="","",DADOS!F1422)</f>
        <v/>
      </c>
      <c r="K1422" s="6" t="str">
        <f t="shared" si="115"/>
        <v/>
      </c>
      <c r="L1422" s="7" t="str">
        <f t="shared" si="116"/>
        <v/>
      </c>
      <c r="M1422" s="7" t="str">
        <f t="shared" si="113"/>
        <v/>
      </c>
      <c r="N1422" s="7" t="str">
        <f t="shared" si="117"/>
        <v/>
      </c>
      <c r="O1422" s="8"/>
      <c r="P1422" s="26"/>
      <c r="S1422" s="10" t="str">
        <f t="shared" si="114"/>
        <v/>
      </c>
    </row>
    <row r="1423" spans="5:19" x14ac:dyDescent="0.3">
      <c r="E1423" s="9" t="str">
        <f>IF(DADOS!C1423="","",DADOS!C1423)</f>
        <v/>
      </c>
      <c r="F1423" s="9" t="str">
        <f>IF(DADOS!E1423="","",DADOS!E1423)</f>
        <v/>
      </c>
      <c r="G1423" s="9" t="str">
        <f>IF(DADOS!F1423="","",DADOS!F1423)</f>
        <v/>
      </c>
      <c r="K1423" s="6" t="str">
        <f t="shared" si="115"/>
        <v/>
      </c>
      <c r="L1423" s="7" t="str">
        <f t="shared" si="116"/>
        <v/>
      </c>
      <c r="M1423" s="7" t="str">
        <f t="shared" si="113"/>
        <v/>
      </c>
      <c r="N1423" s="7" t="str">
        <f t="shared" si="117"/>
        <v/>
      </c>
      <c r="O1423" s="8"/>
      <c r="P1423" s="26"/>
      <c r="S1423" s="10" t="str">
        <f t="shared" si="114"/>
        <v/>
      </c>
    </row>
    <row r="1424" spans="5:19" x14ac:dyDescent="0.3">
      <c r="E1424" s="9" t="str">
        <f>IF(DADOS!C1424="","",DADOS!C1424)</f>
        <v/>
      </c>
      <c r="F1424" s="9" t="str">
        <f>IF(DADOS!E1424="","",DADOS!E1424)</f>
        <v/>
      </c>
      <c r="G1424" s="9" t="str">
        <f>IF(DADOS!F1424="","",DADOS!F1424)</f>
        <v/>
      </c>
      <c r="K1424" s="6" t="str">
        <f t="shared" si="115"/>
        <v/>
      </c>
      <c r="L1424" s="7" t="str">
        <f t="shared" si="116"/>
        <v/>
      </c>
      <c r="M1424" s="7" t="str">
        <f t="shared" si="113"/>
        <v/>
      </c>
      <c r="N1424" s="7" t="str">
        <f t="shared" si="117"/>
        <v/>
      </c>
      <c r="O1424" s="8"/>
      <c r="P1424" s="26"/>
      <c r="S1424" s="10" t="str">
        <f t="shared" si="114"/>
        <v/>
      </c>
    </row>
    <row r="1425" spans="5:19" x14ac:dyDescent="0.3">
      <c r="E1425" s="9" t="str">
        <f>IF(DADOS!C1425="","",DADOS!C1425)</f>
        <v/>
      </c>
      <c r="F1425" s="9" t="str">
        <f>IF(DADOS!E1425="","",DADOS!E1425)</f>
        <v/>
      </c>
      <c r="G1425" s="9" t="str">
        <f>IF(DADOS!F1425="","",DADOS!F1425)</f>
        <v/>
      </c>
      <c r="K1425" s="6" t="str">
        <f t="shared" si="115"/>
        <v/>
      </c>
      <c r="L1425" s="7" t="str">
        <f t="shared" si="116"/>
        <v/>
      </c>
      <c r="M1425" s="7" t="str">
        <f t="shared" si="113"/>
        <v/>
      </c>
      <c r="N1425" s="7" t="str">
        <f t="shared" si="117"/>
        <v/>
      </c>
      <c r="O1425" s="8"/>
      <c r="P1425" s="26"/>
      <c r="S1425" s="10" t="str">
        <f t="shared" si="114"/>
        <v/>
      </c>
    </row>
    <row r="1426" spans="5:19" x14ac:dyDescent="0.3">
      <c r="E1426" s="9" t="str">
        <f>IF(DADOS!C1426="","",DADOS!C1426)</f>
        <v/>
      </c>
      <c r="F1426" s="9" t="str">
        <f>IF(DADOS!E1426="","",DADOS!E1426)</f>
        <v/>
      </c>
      <c r="G1426" s="9" t="str">
        <f>IF(DADOS!F1426="","",DADOS!F1426)</f>
        <v/>
      </c>
      <c r="K1426" s="6" t="str">
        <f t="shared" si="115"/>
        <v/>
      </c>
      <c r="L1426" s="7" t="str">
        <f t="shared" si="116"/>
        <v/>
      </c>
      <c r="M1426" s="7" t="str">
        <f t="shared" si="113"/>
        <v/>
      </c>
      <c r="N1426" s="7" t="str">
        <f t="shared" si="117"/>
        <v/>
      </c>
      <c r="O1426" s="8"/>
      <c r="P1426" s="26"/>
      <c r="S1426" s="10" t="str">
        <f t="shared" si="114"/>
        <v/>
      </c>
    </row>
    <row r="1427" spans="5:19" x14ac:dyDescent="0.3">
      <c r="E1427" s="9" t="str">
        <f>IF(DADOS!C1427="","",DADOS!C1427)</f>
        <v/>
      </c>
      <c r="F1427" s="9" t="str">
        <f>IF(DADOS!E1427="","",DADOS!E1427)</f>
        <v/>
      </c>
      <c r="G1427" s="9" t="str">
        <f>IF(DADOS!F1427="","",DADOS!F1427)</f>
        <v/>
      </c>
      <c r="K1427" s="6" t="str">
        <f t="shared" si="115"/>
        <v/>
      </c>
      <c r="L1427" s="7" t="str">
        <f t="shared" si="116"/>
        <v/>
      </c>
      <c r="M1427" s="7" t="str">
        <f t="shared" si="113"/>
        <v/>
      </c>
      <c r="N1427" s="7" t="str">
        <f t="shared" si="117"/>
        <v/>
      </c>
      <c r="O1427" s="8"/>
      <c r="P1427" s="26"/>
      <c r="S1427" s="10" t="str">
        <f t="shared" si="114"/>
        <v/>
      </c>
    </row>
    <row r="1428" spans="5:19" x14ac:dyDescent="0.3">
      <c r="E1428" s="9" t="str">
        <f>IF(DADOS!C1428="","",DADOS!C1428)</f>
        <v/>
      </c>
      <c r="F1428" s="9" t="str">
        <f>IF(DADOS!E1428="","",DADOS!E1428)</f>
        <v/>
      </c>
      <c r="G1428" s="9" t="str">
        <f>IF(DADOS!F1428="","",DADOS!F1428)</f>
        <v/>
      </c>
      <c r="K1428" s="6" t="str">
        <f t="shared" si="115"/>
        <v/>
      </c>
      <c r="L1428" s="7" t="str">
        <f t="shared" si="116"/>
        <v/>
      </c>
      <c r="M1428" s="7" t="str">
        <f t="shared" si="113"/>
        <v/>
      </c>
      <c r="N1428" s="7" t="str">
        <f t="shared" si="117"/>
        <v/>
      </c>
      <c r="O1428" s="8"/>
      <c r="P1428" s="26"/>
      <c r="S1428" s="10" t="str">
        <f t="shared" si="114"/>
        <v/>
      </c>
    </row>
    <row r="1429" spans="5:19" x14ac:dyDescent="0.3">
      <c r="E1429" s="9" t="str">
        <f>IF(DADOS!C1429="","",DADOS!C1429)</f>
        <v/>
      </c>
      <c r="F1429" s="9" t="str">
        <f>IF(DADOS!E1429="","",DADOS!E1429)</f>
        <v/>
      </c>
      <c r="G1429" s="9" t="str">
        <f>IF(DADOS!F1429="","",DADOS!F1429)</f>
        <v/>
      </c>
      <c r="K1429" s="6" t="str">
        <f t="shared" si="115"/>
        <v/>
      </c>
      <c r="L1429" s="7" t="str">
        <f t="shared" si="116"/>
        <v/>
      </c>
      <c r="M1429" s="7" t="str">
        <f t="shared" si="113"/>
        <v/>
      </c>
      <c r="N1429" s="7" t="str">
        <f t="shared" si="117"/>
        <v/>
      </c>
      <c r="O1429" s="8"/>
      <c r="P1429" s="26"/>
      <c r="S1429" s="10" t="str">
        <f t="shared" si="114"/>
        <v/>
      </c>
    </row>
    <row r="1430" spans="5:19" x14ac:dyDescent="0.3">
      <c r="E1430" s="9" t="str">
        <f>IF(DADOS!C1430="","",DADOS!C1430)</f>
        <v/>
      </c>
      <c r="F1430" s="9" t="str">
        <f>IF(DADOS!E1430="","",DADOS!E1430)</f>
        <v/>
      </c>
      <c r="G1430" s="9" t="str">
        <f>IF(DADOS!F1430="","",DADOS!F1430)</f>
        <v/>
      </c>
      <c r="K1430" s="6" t="str">
        <f t="shared" si="115"/>
        <v/>
      </c>
      <c r="L1430" s="7" t="str">
        <f t="shared" si="116"/>
        <v/>
      </c>
      <c r="M1430" s="7" t="str">
        <f t="shared" si="113"/>
        <v/>
      </c>
      <c r="N1430" s="7" t="str">
        <f t="shared" si="117"/>
        <v/>
      </c>
      <c r="O1430" s="8"/>
      <c r="P1430" s="26"/>
      <c r="S1430" s="10" t="str">
        <f t="shared" si="114"/>
        <v/>
      </c>
    </row>
    <row r="1431" spans="5:19" x14ac:dyDescent="0.3">
      <c r="E1431" s="9" t="str">
        <f>IF(DADOS!C1431="","",DADOS!C1431)</f>
        <v/>
      </c>
      <c r="F1431" s="9" t="str">
        <f>IF(DADOS!E1431="","",DADOS!E1431)</f>
        <v/>
      </c>
      <c r="G1431" s="9" t="str">
        <f>IF(DADOS!F1431="","",DADOS!F1431)</f>
        <v/>
      </c>
      <c r="K1431" s="6" t="str">
        <f t="shared" si="115"/>
        <v/>
      </c>
      <c r="L1431" s="7" t="str">
        <f t="shared" si="116"/>
        <v/>
      </c>
      <c r="M1431" s="7" t="str">
        <f t="shared" si="113"/>
        <v/>
      </c>
      <c r="N1431" s="7" t="str">
        <f t="shared" si="117"/>
        <v/>
      </c>
      <c r="O1431" s="8"/>
      <c r="P1431" s="26"/>
      <c r="S1431" s="10" t="str">
        <f t="shared" si="114"/>
        <v/>
      </c>
    </row>
    <row r="1432" spans="5:19" x14ac:dyDescent="0.3">
      <c r="E1432" s="9" t="str">
        <f>IF(DADOS!C1432="","",DADOS!C1432)</f>
        <v/>
      </c>
      <c r="F1432" s="9" t="str">
        <f>IF(DADOS!E1432="","",DADOS!E1432)</f>
        <v/>
      </c>
      <c r="G1432" s="9" t="str">
        <f>IF(DADOS!F1432="","",DADOS!F1432)</f>
        <v/>
      </c>
      <c r="K1432" s="6" t="str">
        <f t="shared" si="115"/>
        <v/>
      </c>
      <c r="L1432" s="7" t="str">
        <f t="shared" si="116"/>
        <v/>
      </c>
      <c r="M1432" s="7" t="str">
        <f t="shared" si="113"/>
        <v/>
      </c>
      <c r="N1432" s="7" t="str">
        <f t="shared" si="117"/>
        <v/>
      </c>
      <c r="O1432" s="8"/>
      <c r="P1432" s="26"/>
      <c r="S1432" s="10" t="str">
        <f t="shared" si="114"/>
        <v/>
      </c>
    </row>
    <row r="1433" spans="5:19" x14ac:dyDescent="0.3">
      <c r="E1433" s="9" t="str">
        <f>IF(DADOS!C1433="","",DADOS!C1433)</f>
        <v/>
      </c>
      <c r="F1433" s="9" t="str">
        <f>IF(DADOS!E1433="","",DADOS!E1433)</f>
        <v/>
      </c>
      <c r="G1433" s="9" t="str">
        <f>IF(DADOS!F1433="","",DADOS!F1433)</f>
        <v/>
      </c>
      <c r="K1433" s="6" t="str">
        <f t="shared" si="115"/>
        <v/>
      </c>
      <c r="L1433" s="7" t="str">
        <f t="shared" si="116"/>
        <v/>
      </c>
      <c r="M1433" s="7" t="str">
        <f t="shared" si="113"/>
        <v/>
      </c>
      <c r="N1433" s="7" t="str">
        <f t="shared" si="117"/>
        <v/>
      </c>
      <c r="O1433" s="8"/>
      <c r="P1433" s="26"/>
      <c r="S1433" s="10" t="str">
        <f t="shared" si="114"/>
        <v/>
      </c>
    </row>
    <row r="1434" spans="5:19" x14ac:dyDescent="0.3">
      <c r="E1434" s="9" t="str">
        <f>IF(DADOS!C1434="","",DADOS!C1434)</f>
        <v/>
      </c>
      <c r="F1434" s="9" t="str">
        <f>IF(DADOS!E1434="","",DADOS!E1434)</f>
        <v/>
      </c>
      <c r="G1434" s="9" t="str">
        <f>IF(DADOS!F1434="","",DADOS!F1434)</f>
        <v/>
      </c>
      <c r="K1434" s="6" t="str">
        <f t="shared" si="115"/>
        <v/>
      </c>
      <c r="L1434" s="7" t="str">
        <f t="shared" si="116"/>
        <v/>
      </c>
      <c r="M1434" s="7" t="str">
        <f t="shared" si="113"/>
        <v/>
      </c>
      <c r="N1434" s="7" t="str">
        <f t="shared" si="117"/>
        <v/>
      </c>
      <c r="O1434" s="8"/>
      <c r="P1434" s="26"/>
      <c r="S1434" s="10" t="str">
        <f t="shared" si="114"/>
        <v/>
      </c>
    </row>
    <row r="1435" spans="5:19" x14ac:dyDescent="0.3">
      <c r="E1435" s="9" t="str">
        <f>IF(DADOS!C1435="","",DADOS!C1435)</f>
        <v/>
      </c>
      <c r="F1435" s="9" t="str">
        <f>IF(DADOS!E1435="","",DADOS!E1435)</f>
        <v/>
      </c>
      <c r="G1435" s="9" t="str">
        <f>IF(DADOS!F1435="","",DADOS!F1435)</f>
        <v/>
      </c>
      <c r="K1435" s="6" t="str">
        <f t="shared" si="115"/>
        <v/>
      </c>
      <c r="L1435" s="7" t="str">
        <f t="shared" si="116"/>
        <v/>
      </c>
      <c r="M1435" s="7" t="str">
        <f t="shared" si="113"/>
        <v/>
      </c>
      <c r="N1435" s="7" t="str">
        <f t="shared" si="117"/>
        <v/>
      </c>
      <c r="O1435" s="8"/>
      <c r="P1435" s="26"/>
      <c r="S1435" s="10" t="str">
        <f t="shared" si="114"/>
        <v/>
      </c>
    </row>
    <row r="1436" spans="5:19" x14ac:dyDescent="0.3">
      <c r="E1436" s="9" t="str">
        <f>IF(DADOS!C1436="","",DADOS!C1436)</f>
        <v/>
      </c>
      <c r="F1436" s="9" t="str">
        <f>IF(DADOS!E1436="","",DADOS!E1436)</f>
        <v/>
      </c>
      <c r="G1436" s="9" t="str">
        <f>IF(DADOS!F1436="","",DADOS!F1436)</f>
        <v/>
      </c>
      <c r="K1436" s="6" t="str">
        <f t="shared" si="115"/>
        <v/>
      </c>
      <c r="L1436" s="7" t="str">
        <f t="shared" si="116"/>
        <v/>
      </c>
      <c r="M1436" s="7" t="str">
        <f t="shared" si="113"/>
        <v/>
      </c>
      <c r="N1436" s="7" t="str">
        <f t="shared" si="117"/>
        <v/>
      </c>
      <c r="O1436" s="8"/>
      <c r="P1436" s="26"/>
      <c r="S1436" s="10" t="str">
        <f t="shared" si="114"/>
        <v/>
      </c>
    </row>
    <row r="1437" spans="5:19" x14ac:dyDescent="0.3">
      <c r="E1437" s="9" t="str">
        <f>IF(DADOS!C1437="","",DADOS!C1437)</f>
        <v/>
      </c>
      <c r="F1437" s="9" t="str">
        <f>IF(DADOS!E1437="","",DADOS!E1437)</f>
        <v/>
      </c>
      <c r="G1437" s="9" t="str">
        <f>IF(DADOS!F1437="","",DADOS!F1437)</f>
        <v/>
      </c>
      <c r="K1437" s="6" t="str">
        <f t="shared" si="115"/>
        <v/>
      </c>
      <c r="L1437" s="7" t="str">
        <f t="shared" si="116"/>
        <v/>
      </c>
      <c r="M1437" s="7" t="str">
        <f t="shared" si="113"/>
        <v/>
      </c>
      <c r="N1437" s="7" t="str">
        <f t="shared" si="117"/>
        <v/>
      </c>
      <c r="O1437" s="8"/>
      <c r="P1437" s="26"/>
      <c r="S1437" s="10" t="str">
        <f t="shared" si="114"/>
        <v/>
      </c>
    </row>
    <row r="1438" spans="5:19" x14ac:dyDescent="0.3">
      <c r="E1438" s="9" t="str">
        <f>IF(DADOS!C1438="","",DADOS!C1438)</f>
        <v/>
      </c>
      <c r="F1438" s="9" t="str">
        <f>IF(DADOS!E1438="","",DADOS!E1438)</f>
        <v/>
      </c>
      <c r="G1438" s="9" t="str">
        <f>IF(DADOS!F1438="","",DADOS!F1438)</f>
        <v/>
      </c>
      <c r="K1438" s="6" t="str">
        <f t="shared" si="115"/>
        <v/>
      </c>
      <c r="L1438" s="7" t="str">
        <f t="shared" si="116"/>
        <v/>
      </c>
      <c r="M1438" s="7" t="str">
        <f t="shared" si="113"/>
        <v/>
      </c>
      <c r="N1438" s="7" t="str">
        <f t="shared" si="117"/>
        <v/>
      </c>
      <c r="O1438" s="8"/>
      <c r="P1438" s="26"/>
      <c r="S1438" s="10" t="str">
        <f t="shared" si="114"/>
        <v/>
      </c>
    </row>
    <row r="1439" spans="5:19" x14ac:dyDescent="0.3">
      <c r="E1439" s="9" t="str">
        <f>IF(DADOS!C1439="","",DADOS!C1439)</f>
        <v/>
      </c>
      <c r="F1439" s="9" t="str">
        <f>IF(DADOS!E1439="","",DADOS!E1439)</f>
        <v/>
      </c>
      <c r="G1439" s="9" t="str">
        <f>IF(DADOS!F1439="","",DADOS!F1439)</f>
        <v/>
      </c>
      <c r="K1439" s="6" t="str">
        <f t="shared" si="115"/>
        <v/>
      </c>
      <c r="L1439" s="7" t="str">
        <f t="shared" si="116"/>
        <v/>
      </c>
      <c r="M1439" s="7" t="str">
        <f t="shared" si="113"/>
        <v/>
      </c>
      <c r="N1439" s="7" t="str">
        <f t="shared" si="117"/>
        <v/>
      </c>
      <c r="O1439" s="8"/>
      <c r="P1439" s="26"/>
      <c r="S1439" s="10" t="str">
        <f t="shared" si="114"/>
        <v/>
      </c>
    </row>
    <row r="1440" spans="5:19" x14ac:dyDescent="0.3">
      <c r="E1440" s="9" t="str">
        <f>IF(DADOS!C1440="","",DADOS!C1440)</f>
        <v/>
      </c>
      <c r="F1440" s="9" t="str">
        <f>IF(DADOS!E1440="","",DADOS!E1440)</f>
        <v/>
      </c>
      <c r="G1440" s="9" t="str">
        <f>IF(DADOS!F1440="","",DADOS!F1440)</f>
        <v/>
      </c>
      <c r="K1440" s="6" t="str">
        <f t="shared" si="115"/>
        <v/>
      </c>
      <c r="L1440" s="7" t="str">
        <f t="shared" si="116"/>
        <v/>
      </c>
      <c r="M1440" s="7" t="str">
        <f t="shared" si="113"/>
        <v/>
      </c>
      <c r="N1440" s="7" t="str">
        <f t="shared" si="117"/>
        <v/>
      </c>
      <c r="O1440" s="8"/>
      <c r="P1440" s="26"/>
      <c r="S1440" s="10" t="str">
        <f t="shared" si="114"/>
        <v/>
      </c>
    </row>
    <row r="1441" spans="5:19" x14ac:dyDescent="0.3">
      <c r="E1441" s="9" t="str">
        <f>IF(DADOS!C1441="","",DADOS!C1441)</f>
        <v/>
      </c>
      <c r="F1441" s="9" t="str">
        <f>IF(DADOS!E1441="","",DADOS!E1441)</f>
        <v/>
      </c>
      <c r="G1441" s="9" t="str">
        <f>IF(DADOS!F1441="","",DADOS!F1441)</f>
        <v/>
      </c>
      <c r="K1441" s="6" t="str">
        <f t="shared" si="115"/>
        <v/>
      </c>
      <c r="L1441" s="7" t="str">
        <f t="shared" si="116"/>
        <v/>
      </c>
      <c r="M1441" s="7" t="str">
        <f t="shared" si="113"/>
        <v/>
      </c>
      <c r="N1441" s="7" t="str">
        <f t="shared" si="117"/>
        <v/>
      </c>
      <c r="O1441" s="8"/>
      <c r="P1441" s="26"/>
      <c r="S1441" s="10" t="str">
        <f t="shared" si="114"/>
        <v/>
      </c>
    </row>
    <row r="1442" spans="5:19" x14ac:dyDescent="0.3">
      <c r="E1442" s="9" t="str">
        <f>IF(DADOS!C1442="","",DADOS!C1442)</f>
        <v/>
      </c>
      <c r="F1442" s="9" t="str">
        <f>IF(DADOS!E1442="","",DADOS!E1442)</f>
        <v/>
      </c>
      <c r="G1442" s="9" t="str">
        <f>IF(DADOS!F1442="","",DADOS!F1442)</f>
        <v/>
      </c>
      <c r="K1442" s="6" t="str">
        <f t="shared" si="115"/>
        <v/>
      </c>
      <c r="L1442" s="7" t="str">
        <f t="shared" si="116"/>
        <v/>
      </c>
      <c r="M1442" s="7" t="str">
        <f t="shared" si="113"/>
        <v/>
      </c>
      <c r="N1442" s="7" t="str">
        <f t="shared" si="117"/>
        <v/>
      </c>
      <c r="O1442" s="8"/>
      <c r="P1442" s="26"/>
      <c r="S1442" s="10" t="str">
        <f t="shared" si="114"/>
        <v/>
      </c>
    </row>
    <row r="1443" spans="5:19" x14ac:dyDescent="0.3">
      <c r="E1443" s="9" t="str">
        <f>IF(DADOS!C1443="","",DADOS!C1443)</f>
        <v/>
      </c>
      <c r="F1443" s="9" t="str">
        <f>IF(DADOS!E1443="","",DADOS!E1443)</f>
        <v/>
      </c>
      <c r="G1443" s="9" t="str">
        <f>IF(DADOS!F1443="","",DADOS!F1443)</f>
        <v/>
      </c>
      <c r="K1443" s="6" t="str">
        <f t="shared" si="115"/>
        <v/>
      </c>
      <c r="L1443" s="7" t="str">
        <f t="shared" si="116"/>
        <v/>
      </c>
      <c r="M1443" s="7" t="str">
        <f t="shared" si="113"/>
        <v/>
      </c>
      <c r="N1443" s="7" t="str">
        <f t="shared" si="117"/>
        <v/>
      </c>
      <c r="O1443" s="8"/>
      <c r="P1443" s="26"/>
      <c r="S1443" s="10" t="str">
        <f t="shared" si="114"/>
        <v/>
      </c>
    </row>
    <row r="1444" spans="5:19" x14ac:dyDescent="0.3">
      <c r="E1444" s="9" t="str">
        <f>IF(DADOS!C1444="","",DADOS!C1444)</f>
        <v/>
      </c>
      <c r="F1444" s="9" t="str">
        <f>IF(DADOS!E1444="","",DADOS!E1444)</f>
        <v/>
      </c>
      <c r="G1444" s="9" t="str">
        <f>IF(DADOS!F1444="","",DADOS!F1444)</f>
        <v/>
      </c>
      <c r="K1444" s="6" t="str">
        <f t="shared" si="115"/>
        <v/>
      </c>
      <c r="L1444" s="7" t="str">
        <f t="shared" si="116"/>
        <v/>
      </c>
      <c r="M1444" s="7" t="str">
        <f t="shared" si="113"/>
        <v/>
      </c>
      <c r="N1444" s="7" t="str">
        <f t="shared" si="117"/>
        <v/>
      </c>
      <c r="O1444" s="8"/>
      <c r="P1444" s="26"/>
      <c r="S1444" s="10" t="str">
        <f t="shared" si="114"/>
        <v/>
      </c>
    </row>
    <row r="1445" spans="5:19" x14ac:dyDescent="0.3">
      <c r="E1445" s="9" t="str">
        <f>IF(DADOS!C1445="","",DADOS!C1445)</f>
        <v/>
      </c>
      <c r="F1445" s="9" t="str">
        <f>IF(DADOS!E1445="","",DADOS!E1445)</f>
        <v/>
      </c>
      <c r="G1445" s="9" t="str">
        <f>IF(DADOS!F1445="","",DADOS!F1445)</f>
        <v/>
      </c>
      <c r="K1445" s="6" t="str">
        <f t="shared" si="115"/>
        <v/>
      </c>
      <c r="L1445" s="7" t="str">
        <f t="shared" si="116"/>
        <v/>
      </c>
      <c r="M1445" s="7" t="str">
        <f t="shared" si="113"/>
        <v/>
      </c>
      <c r="N1445" s="7" t="str">
        <f t="shared" si="117"/>
        <v/>
      </c>
      <c r="O1445" s="8"/>
      <c r="P1445" s="26"/>
      <c r="S1445" s="10" t="str">
        <f t="shared" si="114"/>
        <v/>
      </c>
    </row>
    <row r="1446" spans="5:19" x14ac:dyDescent="0.3">
      <c r="E1446" s="9" t="str">
        <f>IF(DADOS!C1446="","",DADOS!C1446)</f>
        <v/>
      </c>
      <c r="F1446" s="9" t="str">
        <f>IF(DADOS!E1446="","",DADOS!E1446)</f>
        <v/>
      </c>
      <c r="G1446" s="9" t="str">
        <f>IF(DADOS!F1446="","",DADOS!F1446)</f>
        <v/>
      </c>
      <c r="K1446" s="6" t="str">
        <f t="shared" si="115"/>
        <v/>
      </c>
      <c r="L1446" s="7" t="str">
        <f t="shared" si="116"/>
        <v/>
      </c>
      <c r="M1446" s="7" t="str">
        <f t="shared" si="113"/>
        <v/>
      </c>
      <c r="N1446" s="7" t="str">
        <f t="shared" si="117"/>
        <v/>
      </c>
      <c r="O1446" s="8"/>
      <c r="P1446" s="26"/>
      <c r="S1446" s="10" t="str">
        <f t="shared" si="114"/>
        <v/>
      </c>
    </row>
    <row r="1447" spans="5:19" x14ac:dyDescent="0.3">
      <c r="E1447" s="9" t="str">
        <f>IF(DADOS!C1447="","",DADOS!C1447)</f>
        <v/>
      </c>
      <c r="F1447" s="9" t="str">
        <f>IF(DADOS!E1447="","",DADOS!E1447)</f>
        <v/>
      </c>
      <c r="G1447" s="9" t="str">
        <f>IF(DADOS!F1447="","",DADOS!F1447)</f>
        <v/>
      </c>
      <c r="K1447" s="6" t="str">
        <f t="shared" si="115"/>
        <v/>
      </c>
      <c r="L1447" s="7" t="str">
        <f t="shared" si="116"/>
        <v/>
      </c>
      <c r="M1447" s="7" t="str">
        <f t="shared" si="113"/>
        <v/>
      </c>
      <c r="N1447" s="7" t="str">
        <f t="shared" si="117"/>
        <v/>
      </c>
      <c r="O1447" s="8"/>
      <c r="P1447" s="26"/>
      <c r="S1447" s="10" t="str">
        <f t="shared" si="114"/>
        <v/>
      </c>
    </row>
    <row r="1448" spans="5:19" x14ac:dyDescent="0.3">
      <c r="E1448" s="9" t="str">
        <f>IF(DADOS!C1448="","",DADOS!C1448)</f>
        <v/>
      </c>
      <c r="F1448" s="9" t="str">
        <f>IF(DADOS!E1448="","",DADOS!E1448)</f>
        <v/>
      </c>
      <c r="G1448" s="9" t="str">
        <f>IF(DADOS!F1448="","",DADOS!F1448)</f>
        <v/>
      </c>
      <c r="K1448" s="6" t="str">
        <f t="shared" si="115"/>
        <v/>
      </c>
      <c r="L1448" s="7" t="str">
        <f t="shared" si="116"/>
        <v/>
      </c>
      <c r="M1448" s="7" t="str">
        <f t="shared" si="113"/>
        <v/>
      </c>
      <c r="N1448" s="7" t="str">
        <f t="shared" si="117"/>
        <v/>
      </c>
      <c r="O1448" s="8"/>
      <c r="P1448" s="26"/>
      <c r="S1448" s="10" t="str">
        <f t="shared" si="114"/>
        <v/>
      </c>
    </row>
    <row r="1449" spans="5:19" x14ac:dyDescent="0.3">
      <c r="E1449" s="9" t="str">
        <f>IF(DADOS!C1449="","",DADOS!C1449)</f>
        <v/>
      </c>
      <c r="F1449" s="9" t="str">
        <f>IF(DADOS!E1449="","",DADOS!E1449)</f>
        <v/>
      </c>
      <c r="G1449" s="9" t="str">
        <f>IF(DADOS!F1449="","",DADOS!F1449)</f>
        <v/>
      </c>
      <c r="K1449" s="6" t="str">
        <f t="shared" si="115"/>
        <v/>
      </c>
      <c r="L1449" s="7" t="str">
        <f t="shared" si="116"/>
        <v/>
      </c>
      <c r="M1449" s="7" t="str">
        <f t="shared" si="113"/>
        <v/>
      </c>
      <c r="N1449" s="7" t="str">
        <f t="shared" si="117"/>
        <v/>
      </c>
      <c r="O1449" s="8"/>
      <c r="P1449" s="26"/>
      <c r="S1449" s="10" t="str">
        <f t="shared" si="114"/>
        <v/>
      </c>
    </row>
    <row r="1450" spans="5:19" x14ac:dyDescent="0.3">
      <c r="E1450" s="9" t="str">
        <f>IF(DADOS!C1450="","",DADOS!C1450)</f>
        <v/>
      </c>
      <c r="F1450" s="9" t="str">
        <f>IF(DADOS!E1450="","",DADOS!E1450)</f>
        <v/>
      </c>
      <c r="G1450" s="9" t="str">
        <f>IF(DADOS!F1450="","",DADOS!F1450)</f>
        <v/>
      </c>
      <c r="K1450" s="6" t="str">
        <f t="shared" si="115"/>
        <v/>
      </c>
      <c r="L1450" s="7" t="str">
        <f t="shared" si="116"/>
        <v/>
      </c>
      <c r="M1450" s="7" t="str">
        <f t="shared" si="113"/>
        <v/>
      </c>
      <c r="N1450" s="7" t="str">
        <f t="shared" si="117"/>
        <v/>
      </c>
      <c r="O1450" s="8"/>
      <c r="P1450" s="26"/>
      <c r="S1450" s="10" t="str">
        <f t="shared" si="114"/>
        <v/>
      </c>
    </row>
    <row r="1451" spans="5:19" x14ac:dyDescent="0.3">
      <c r="E1451" s="9" t="str">
        <f>IF(DADOS!C1451="","",DADOS!C1451)</f>
        <v/>
      </c>
      <c r="F1451" s="9" t="str">
        <f>IF(DADOS!E1451="","",DADOS!E1451)</f>
        <v/>
      </c>
      <c r="G1451" s="9" t="str">
        <f>IF(DADOS!F1451="","",DADOS!F1451)</f>
        <v/>
      </c>
      <c r="K1451" s="6" t="str">
        <f t="shared" si="115"/>
        <v/>
      </c>
      <c r="L1451" s="7" t="str">
        <f t="shared" si="116"/>
        <v/>
      </c>
      <c r="M1451" s="7" t="str">
        <f t="shared" si="113"/>
        <v/>
      </c>
      <c r="N1451" s="7" t="str">
        <f t="shared" si="117"/>
        <v/>
      </c>
      <c r="O1451" s="8"/>
      <c r="P1451" s="26"/>
      <c r="S1451" s="10" t="str">
        <f t="shared" si="114"/>
        <v/>
      </c>
    </row>
    <row r="1452" spans="5:19" x14ac:dyDescent="0.3">
      <c r="E1452" s="9" t="str">
        <f>IF(DADOS!C1452="","",DADOS!C1452)</f>
        <v/>
      </c>
      <c r="F1452" s="9" t="str">
        <f>IF(DADOS!E1452="","",DADOS!E1452)</f>
        <v/>
      </c>
      <c r="G1452" s="9" t="str">
        <f>IF(DADOS!F1452="","",DADOS!F1452)</f>
        <v/>
      </c>
      <c r="K1452" s="6" t="str">
        <f t="shared" si="115"/>
        <v/>
      </c>
      <c r="L1452" s="7" t="str">
        <f t="shared" si="116"/>
        <v/>
      </c>
      <c r="M1452" s="7" t="str">
        <f t="shared" si="113"/>
        <v/>
      </c>
      <c r="N1452" s="7" t="str">
        <f t="shared" si="117"/>
        <v/>
      </c>
      <c r="O1452" s="8"/>
      <c r="P1452" s="26"/>
      <c r="S1452" s="10" t="str">
        <f t="shared" si="114"/>
        <v/>
      </c>
    </row>
    <row r="1453" spans="5:19" x14ac:dyDescent="0.3">
      <c r="E1453" s="9" t="str">
        <f>IF(DADOS!C1453="","",DADOS!C1453)</f>
        <v/>
      </c>
      <c r="F1453" s="9" t="str">
        <f>IF(DADOS!E1453="","",DADOS!E1453)</f>
        <v/>
      </c>
      <c r="G1453" s="9" t="str">
        <f>IF(DADOS!F1453="","",DADOS!F1453)</f>
        <v/>
      </c>
      <c r="K1453" s="6" t="str">
        <f t="shared" si="115"/>
        <v/>
      </c>
      <c r="L1453" s="7" t="str">
        <f t="shared" si="116"/>
        <v/>
      </c>
      <c r="M1453" s="7" t="str">
        <f t="shared" si="113"/>
        <v/>
      </c>
      <c r="N1453" s="7" t="str">
        <f t="shared" si="117"/>
        <v/>
      </c>
      <c r="O1453" s="8"/>
      <c r="P1453" s="26"/>
      <c r="S1453" s="10" t="str">
        <f t="shared" si="114"/>
        <v/>
      </c>
    </row>
    <row r="1454" spans="5:19" x14ac:dyDescent="0.3">
      <c r="E1454" s="9" t="str">
        <f>IF(DADOS!C1454="","",DADOS!C1454)</f>
        <v/>
      </c>
      <c r="F1454" s="9" t="str">
        <f>IF(DADOS!E1454="","",DADOS!E1454)</f>
        <v/>
      </c>
      <c r="G1454" s="9" t="str">
        <f>IF(DADOS!F1454="","",DADOS!F1454)</f>
        <v/>
      </c>
      <c r="K1454" s="6" t="str">
        <f t="shared" si="115"/>
        <v/>
      </c>
      <c r="L1454" s="7" t="str">
        <f t="shared" si="116"/>
        <v/>
      </c>
      <c r="M1454" s="7" t="str">
        <f t="shared" si="113"/>
        <v/>
      </c>
      <c r="N1454" s="7" t="str">
        <f t="shared" si="117"/>
        <v/>
      </c>
      <c r="O1454" s="8"/>
      <c r="P1454" s="26"/>
      <c r="S1454" s="10" t="str">
        <f t="shared" si="114"/>
        <v/>
      </c>
    </row>
    <row r="1455" spans="5:19" x14ac:dyDescent="0.3">
      <c r="E1455" s="9" t="str">
        <f>IF(DADOS!C1455="","",DADOS!C1455)</f>
        <v/>
      </c>
      <c r="F1455" s="9" t="str">
        <f>IF(DADOS!E1455="","",DADOS!E1455)</f>
        <v/>
      </c>
      <c r="G1455" s="9" t="str">
        <f>IF(DADOS!F1455="","",DADOS!F1455)</f>
        <v/>
      </c>
      <c r="K1455" s="6" t="str">
        <f t="shared" si="115"/>
        <v/>
      </c>
      <c r="L1455" s="7" t="str">
        <f t="shared" si="116"/>
        <v/>
      </c>
      <c r="M1455" s="7" t="str">
        <f t="shared" si="113"/>
        <v/>
      </c>
      <c r="N1455" s="7" t="str">
        <f t="shared" si="117"/>
        <v/>
      </c>
      <c r="O1455" s="8"/>
      <c r="P1455" s="26"/>
      <c r="S1455" s="10" t="str">
        <f t="shared" si="114"/>
        <v/>
      </c>
    </row>
    <row r="1456" spans="5:19" x14ac:dyDescent="0.3">
      <c r="E1456" s="9" t="str">
        <f>IF(DADOS!C1456="","",DADOS!C1456)</f>
        <v/>
      </c>
      <c r="F1456" s="9" t="str">
        <f>IF(DADOS!E1456="","",DADOS!E1456)</f>
        <v/>
      </c>
      <c r="G1456" s="9" t="str">
        <f>IF(DADOS!F1456="","",DADOS!F1456)</f>
        <v/>
      </c>
      <c r="K1456" s="6" t="str">
        <f t="shared" si="115"/>
        <v/>
      </c>
      <c r="L1456" s="7" t="str">
        <f t="shared" si="116"/>
        <v/>
      </c>
      <c r="M1456" s="7" t="str">
        <f t="shared" si="113"/>
        <v/>
      </c>
      <c r="N1456" s="7" t="str">
        <f t="shared" si="117"/>
        <v/>
      </c>
      <c r="O1456" s="8"/>
      <c r="P1456" s="26"/>
      <c r="S1456" s="10" t="str">
        <f t="shared" si="114"/>
        <v/>
      </c>
    </row>
    <row r="1457" spans="5:19" x14ac:dyDescent="0.3">
      <c r="E1457" s="9" t="str">
        <f>IF(DADOS!C1457="","",DADOS!C1457)</f>
        <v/>
      </c>
      <c r="F1457" s="9" t="str">
        <f>IF(DADOS!E1457="","",DADOS!E1457)</f>
        <v/>
      </c>
      <c r="G1457" s="9" t="str">
        <f>IF(DADOS!F1457="","",DADOS!F1457)</f>
        <v/>
      </c>
      <c r="K1457" s="6" t="str">
        <f t="shared" si="115"/>
        <v/>
      </c>
      <c r="L1457" s="7" t="str">
        <f t="shared" si="116"/>
        <v/>
      </c>
      <c r="M1457" s="7" t="str">
        <f t="shared" si="113"/>
        <v/>
      </c>
      <c r="N1457" s="7" t="str">
        <f t="shared" si="117"/>
        <v/>
      </c>
      <c r="O1457" s="8"/>
      <c r="P1457" s="26"/>
      <c r="S1457" s="10" t="str">
        <f t="shared" si="114"/>
        <v/>
      </c>
    </row>
    <row r="1458" spans="5:19" x14ac:dyDescent="0.3">
      <c r="E1458" s="9" t="str">
        <f>IF(DADOS!C1458="","",DADOS!C1458)</f>
        <v/>
      </c>
      <c r="F1458" s="9" t="str">
        <f>IF(DADOS!E1458="","",DADOS!E1458)</f>
        <v/>
      </c>
      <c r="G1458" s="9" t="str">
        <f>IF(DADOS!F1458="","",DADOS!F1458)</f>
        <v/>
      </c>
      <c r="K1458" s="6" t="str">
        <f t="shared" si="115"/>
        <v/>
      </c>
      <c r="L1458" s="7" t="str">
        <f t="shared" si="116"/>
        <v/>
      </c>
      <c r="M1458" s="7" t="str">
        <f t="shared" si="113"/>
        <v/>
      </c>
      <c r="N1458" s="7" t="str">
        <f t="shared" si="117"/>
        <v/>
      </c>
      <c r="O1458" s="8"/>
      <c r="P1458" s="26"/>
      <c r="S1458" s="10" t="str">
        <f t="shared" si="114"/>
        <v/>
      </c>
    </row>
    <row r="1459" spans="5:19" x14ac:dyDescent="0.3">
      <c r="E1459" s="9" t="str">
        <f>IF(DADOS!C1459="","",DADOS!C1459)</f>
        <v/>
      </c>
      <c r="F1459" s="9" t="str">
        <f>IF(DADOS!E1459="","",DADOS!E1459)</f>
        <v/>
      </c>
      <c r="G1459" s="9" t="str">
        <f>IF(DADOS!F1459="","",DADOS!F1459)</f>
        <v/>
      </c>
      <c r="K1459" s="6" t="str">
        <f t="shared" si="115"/>
        <v/>
      </c>
      <c r="L1459" s="7" t="str">
        <f t="shared" si="116"/>
        <v/>
      </c>
      <c r="M1459" s="7" t="str">
        <f t="shared" si="113"/>
        <v/>
      </c>
      <c r="N1459" s="7" t="str">
        <f t="shared" si="117"/>
        <v/>
      </c>
      <c r="O1459" s="8"/>
      <c r="P1459" s="26"/>
      <c r="S1459" s="10" t="str">
        <f t="shared" si="114"/>
        <v/>
      </c>
    </row>
    <row r="1460" spans="5:19" x14ac:dyDescent="0.3">
      <c r="E1460" s="9" t="str">
        <f>IF(DADOS!C1460="","",DADOS!C1460)</f>
        <v/>
      </c>
      <c r="F1460" s="9" t="str">
        <f>IF(DADOS!E1460="","",DADOS!E1460)</f>
        <v/>
      </c>
      <c r="G1460" s="9" t="str">
        <f>IF(DADOS!F1460="","",DADOS!F1460)</f>
        <v/>
      </c>
      <c r="K1460" s="6" t="str">
        <f t="shared" si="115"/>
        <v/>
      </c>
      <c r="L1460" s="7" t="str">
        <f t="shared" si="116"/>
        <v/>
      </c>
      <c r="M1460" s="7" t="str">
        <f t="shared" si="113"/>
        <v/>
      </c>
      <c r="N1460" s="7" t="str">
        <f t="shared" si="117"/>
        <v/>
      </c>
      <c r="O1460" s="8"/>
      <c r="P1460" s="26"/>
      <c r="S1460" s="10" t="str">
        <f t="shared" si="114"/>
        <v/>
      </c>
    </row>
    <row r="1461" spans="5:19" x14ac:dyDescent="0.3">
      <c r="E1461" s="9" t="str">
        <f>IF(DADOS!C1461="","",DADOS!C1461)</f>
        <v/>
      </c>
      <c r="F1461" s="9" t="str">
        <f>IF(DADOS!E1461="","",DADOS!E1461)</f>
        <v/>
      </c>
      <c r="G1461" s="9" t="str">
        <f>IF(DADOS!F1461="","",DADOS!F1461)</f>
        <v/>
      </c>
      <c r="K1461" s="6" t="str">
        <f t="shared" si="115"/>
        <v/>
      </c>
      <c r="L1461" s="7" t="str">
        <f t="shared" si="116"/>
        <v/>
      </c>
      <c r="M1461" s="7" t="str">
        <f t="shared" si="113"/>
        <v/>
      </c>
      <c r="N1461" s="7" t="str">
        <f t="shared" si="117"/>
        <v/>
      </c>
      <c r="O1461" s="8"/>
      <c r="P1461" s="26"/>
      <c r="S1461" s="10" t="str">
        <f t="shared" si="114"/>
        <v/>
      </c>
    </row>
    <row r="1462" spans="5:19" x14ac:dyDescent="0.3">
      <c r="E1462" s="9" t="str">
        <f>IF(DADOS!C1462="","",DADOS!C1462)</f>
        <v/>
      </c>
      <c r="F1462" s="9" t="str">
        <f>IF(DADOS!E1462="","",DADOS!E1462)</f>
        <v/>
      </c>
      <c r="G1462" s="9" t="str">
        <f>IF(DADOS!F1462="","",DADOS!F1462)</f>
        <v/>
      </c>
      <c r="K1462" s="6" t="str">
        <f t="shared" si="115"/>
        <v/>
      </c>
      <c r="L1462" s="7" t="str">
        <f t="shared" si="116"/>
        <v/>
      </c>
      <c r="M1462" s="7" t="str">
        <f t="shared" si="113"/>
        <v/>
      </c>
      <c r="N1462" s="7" t="str">
        <f t="shared" si="117"/>
        <v/>
      </c>
      <c r="O1462" s="8"/>
      <c r="P1462" s="26"/>
      <c r="S1462" s="10" t="str">
        <f t="shared" si="114"/>
        <v/>
      </c>
    </row>
    <row r="1463" spans="5:19" x14ac:dyDescent="0.3">
      <c r="E1463" s="9" t="str">
        <f>IF(DADOS!C1463="","",DADOS!C1463)</f>
        <v/>
      </c>
      <c r="F1463" s="9" t="str">
        <f>IF(DADOS!E1463="","",DADOS!E1463)</f>
        <v/>
      </c>
      <c r="G1463" s="9" t="str">
        <f>IF(DADOS!F1463="","",DADOS!F1463)</f>
        <v/>
      </c>
      <c r="K1463" s="6" t="str">
        <f t="shared" si="115"/>
        <v/>
      </c>
      <c r="L1463" s="7" t="str">
        <f t="shared" si="116"/>
        <v/>
      </c>
      <c r="M1463" s="7" t="str">
        <f t="shared" si="113"/>
        <v/>
      </c>
      <c r="N1463" s="7" t="str">
        <f t="shared" si="117"/>
        <v/>
      </c>
      <c r="O1463" s="8"/>
      <c r="P1463" s="26"/>
      <c r="S1463" s="10" t="str">
        <f t="shared" si="114"/>
        <v/>
      </c>
    </row>
    <row r="1464" spans="5:19" x14ac:dyDescent="0.3">
      <c r="E1464" s="9" t="str">
        <f>IF(DADOS!C1464="","",DADOS!C1464)</f>
        <v/>
      </c>
      <c r="F1464" s="9" t="str">
        <f>IF(DADOS!E1464="","",DADOS!E1464)</f>
        <v/>
      </c>
      <c r="G1464" s="9" t="str">
        <f>IF(DADOS!F1464="","",DADOS!F1464)</f>
        <v/>
      </c>
      <c r="K1464" s="6" t="str">
        <f t="shared" si="115"/>
        <v/>
      </c>
      <c r="L1464" s="7" t="str">
        <f t="shared" si="116"/>
        <v/>
      </c>
      <c r="M1464" s="7" t="str">
        <f t="shared" si="113"/>
        <v/>
      </c>
      <c r="N1464" s="7" t="str">
        <f t="shared" si="117"/>
        <v/>
      </c>
      <c r="O1464" s="8"/>
      <c r="P1464" s="26"/>
      <c r="S1464" s="10" t="str">
        <f t="shared" si="114"/>
        <v/>
      </c>
    </row>
    <row r="1465" spans="5:19" x14ac:dyDescent="0.3">
      <c r="E1465" s="9" t="str">
        <f>IF(DADOS!C1465="","",DADOS!C1465)</f>
        <v/>
      </c>
      <c r="F1465" s="9" t="str">
        <f>IF(DADOS!E1465="","",DADOS!E1465)</f>
        <v/>
      </c>
      <c r="G1465" s="9" t="str">
        <f>IF(DADOS!F1465="","",DADOS!F1465)</f>
        <v/>
      </c>
      <c r="K1465" s="6" t="str">
        <f t="shared" si="115"/>
        <v/>
      </c>
      <c r="L1465" s="7" t="str">
        <f t="shared" si="116"/>
        <v/>
      </c>
      <c r="M1465" s="7" t="str">
        <f t="shared" si="113"/>
        <v/>
      </c>
      <c r="N1465" s="7" t="str">
        <f t="shared" si="117"/>
        <v/>
      </c>
      <c r="O1465" s="8"/>
      <c r="P1465" s="26"/>
      <c r="S1465" s="10" t="str">
        <f t="shared" si="114"/>
        <v/>
      </c>
    </row>
    <row r="1466" spans="5:19" x14ac:dyDescent="0.3">
      <c r="E1466" s="9" t="str">
        <f>IF(DADOS!C1466="","",DADOS!C1466)</f>
        <v/>
      </c>
      <c r="F1466" s="9" t="str">
        <f>IF(DADOS!E1466="","",DADOS!E1466)</f>
        <v/>
      </c>
      <c r="G1466" s="9" t="str">
        <f>IF(DADOS!F1466="","",DADOS!F1466)</f>
        <v/>
      </c>
      <c r="K1466" s="6" t="str">
        <f t="shared" si="115"/>
        <v/>
      </c>
      <c r="L1466" s="7" t="str">
        <f t="shared" si="116"/>
        <v/>
      </c>
      <c r="M1466" s="7" t="str">
        <f t="shared" si="113"/>
        <v/>
      </c>
      <c r="N1466" s="7" t="str">
        <f t="shared" si="117"/>
        <v/>
      </c>
      <c r="O1466" s="8"/>
      <c r="P1466" s="26"/>
      <c r="S1466" s="10" t="str">
        <f t="shared" si="114"/>
        <v/>
      </c>
    </row>
    <row r="1467" spans="5:19" x14ac:dyDescent="0.3">
      <c r="E1467" s="9" t="str">
        <f>IF(DADOS!C1467="","",DADOS!C1467)</f>
        <v/>
      </c>
      <c r="F1467" s="9" t="str">
        <f>IF(DADOS!E1467="","",DADOS!E1467)</f>
        <v/>
      </c>
      <c r="G1467" s="9" t="str">
        <f>IF(DADOS!F1467="","",DADOS!F1467)</f>
        <v/>
      </c>
      <c r="K1467" s="6" t="str">
        <f t="shared" si="115"/>
        <v/>
      </c>
      <c r="L1467" s="7" t="str">
        <f t="shared" si="116"/>
        <v/>
      </c>
      <c r="M1467" s="7" t="str">
        <f t="shared" si="113"/>
        <v/>
      </c>
      <c r="N1467" s="7" t="str">
        <f t="shared" si="117"/>
        <v/>
      </c>
      <c r="O1467" s="8"/>
      <c r="P1467" s="26"/>
      <c r="S1467" s="10" t="str">
        <f t="shared" si="114"/>
        <v/>
      </c>
    </row>
    <row r="1468" spans="5:19" x14ac:dyDescent="0.3">
      <c r="E1468" s="9" t="str">
        <f>IF(DADOS!C1468="","",DADOS!C1468)</f>
        <v/>
      </c>
      <c r="F1468" s="9" t="str">
        <f>IF(DADOS!E1468="","",DADOS!E1468)</f>
        <v/>
      </c>
      <c r="G1468" s="9" t="str">
        <f>IF(DADOS!F1468="","",DADOS!F1468)</f>
        <v/>
      </c>
      <c r="K1468" s="6" t="str">
        <f t="shared" si="115"/>
        <v/>
      </c>
      <c r="L1468" s="7" t="str">
        <f t="shared" si="116"/>
        <v/>
      </c>
      <c r="M1468" s="7" t="str">
        <f t="shared" si="113"/>
        <v/>
      </c>
      <c r="N1468" s="7" t="str">
        <f t="shared" si="117"/>
        <v/>
      </c>
      <c r="O1468" s="8"/>
      <c r="P1468" s="26"/>
      <c r="S1468" s="10" t="str">
        <f t="shared" si="114"/>
        <v/>
      </c>
    </row>
    <row r="1469" spans="5:19" x14ac:dyDescent="0.3">
      <c r="E1469" s="9" t="str">
        <f>IF(DADOS!C1469="","",DADOS!C1469)</f>
        <v/>
      </c>
      <c r="F1469" s="9" t="str">
        <f>IF(DADOS!E1469="","",DADOS!E1469)</f>
        <v/>
      </c>
      <c r="G1469" s="9" t="str">
        <f>IF(DADOS!F1469="","",DADOS!F1469)</f>
        <v/>
      </c>
      <c r="K1469" s="6" t="str">
        <f t="shared" si="115"/>
        <v/>
      </c>
      <c r="L1469" s="7" t="str">
        <f t="shared" si="116"/>
        <v/>
      </c>
      <c r="M1469" s="7" t="str">
        <f t="shared" si="113"/>
        <v/>
      </c>
      <c r="N1469" s="7" t="str">
        <f t="shared" si="117"/>
        <v/>
      </c>
      <c r="O1469" s="8"/>
      <c r="P1469" s="26"/>
      <c r="S1469" s="10" t="str">
        <f t="shared" si="114"/>
        <v/>
      </c>
    </row>
    <row r="1470" spans="5:19" x14ac:dyDescent="0.3">
      <c r="E1470" s="9" t="str">
        <f>IF(DADOS!C1470="","",DADOS!C1470)</f>
        <v/>
      </c>
      <c r="F1470" s="9" t="str">
        <f>IF(DADOS!E1470="","",DADOS!E1470)</f>
        <v/>
      </c>
      <c r="G1470" s="9" t="str">
        <f>IF(DADOS!F1470="","",DADOS!F1470)</f>
        <v/>
      </c>
      <c r="K1470" s="6" t="str">
        <f t="shared" si="115"/>
        <v/>
      </c>
      <c r="L1470" s="7" t="str">
        <f t="shared" si="116"/>
        <v/>
      </c>
      <c r="M1470" s="7" t="str">
        <f t="shared" si="113"/>
        <v/>
      </c>
      <c r="N1470" s="7" t="str">
        <f t="shared" si="117"/>
        <v/>
      </c>
      <c r="O1470" s="8"/>
      <c r="P1470" s="26"/>
      <c r="S1470" s="10" t="str">
        <f t="shared" si="114"/>
        <v/>
      </c>
    </row>
    <row r="1471" spans="5:19" x14ac:dyDescent="0.3">
      <c r="E1471" s="9" t="str">
        <f>IF(DADOS!C1471="","",DADOS!C1471)</f>
        <v/>
      </c>
      <c r="F1471" s="9" t="str">
        <f>IF(DADOS!E1471="","",DADOS!E1471)</f>
        <v/>
      </c>
      <c r="G1471" s="9" t="str">
        <f>IF(DADOS!F1471="","",DADOS!F1471)</f>
        <v/>
      </c>
      <c r="K1471" s="6" t="str">
        <f t="shared" si="115"/>
        <v/>
      </c>
      <c r="L1471" s="7" t="str">
        <f t="shared" si="116"/>
        <v/>
      </c>
      <c r="M1471" s="7" t="str">
        <f t="shared" si="113"/>
        <v/>
      </c>
      <c r="N1471" s="7" t="str">
        <f t="shared" si="117"/>
        <v/>
      </c>
      <c r="O1471" s="8"/>
      <c r="P1471" s="26"/>
      <c r="S1471" s="10" t="str">
        <f t="shared" si="114"/>
        <v/>
      </c>
    </row>
    <row r="1472" spans="5:19" x14ac:dyDescent="0.3">
      <c r="E1472" s="9" t="str">
        <f>IF(DADOS!C1472="","",DADOS!C1472)</f>
        <v/>
      </c>
      <c r="F1472" s="9" t="str">
        <f>IF(DADOS!E1472="","",DADOS!E1472)</f>
        <v/>
      </c>
      <c r="G1472" s="9" t="str">
        <f>IF(DADOS!F1472="","",DADOS!F1472)</f>
        <v/>
      </c>
      <c r="K1472" s="6" t="str">
        <f t="shared" si="115"/>
        <v/>
      </c>
      <c r="L1472" s="7" t="str">
        <f t="shared" si="116"/>
        <v/>
      </c>
      <c r="M1472" s="7" t="str">
        <f t="shared" si="113"/>
        <v/>
      </c>
      <c r="N1472" s="7" t="str">
        <f t="shared" si="117"/>
        <v/>
      </c>
      <c r="O1472" s="8"/>
      <c r="P1472" s="26"/>
      <c r="S1472" s="10" t="str">
        <f t="shared" si="114"/>
        <v/>
      </c>
    </row>
    <row r="1473" spans="5:19" x14ac:dyDescent="0.3">
      <c r="E1473" s="9" t="str">
        <f>IF(DADOS!C1473="","",DADOS!C1473)</f>
        <v/>
      </c>
      <c r="F1473" s="9" t="str">
        <f>IF(DADOS!E1473="","",DADOS!E1473)</f>
        <v/>
      </c>
      <c r="G1473" s="9" t="str">
        <f>IF(DADOS!F1473="","",DADOS!F1473)</f>
        <v/>
      </c>
      <c r="K1473" s="6" t="str">
        <f t="shared" si="115"/>
        <v/>
      </c>
      <c r="L1473" s="7" t="str">
        <f t="shared" si="116"/>
        <v/>
      </c>
      <c r="M1473" s="7" t="str">
        <f t="shared" si="113"/>
        <v/>
      </c>
      <c r="N1473" s="7" t="str">
        <f t="shared" si="117"/>
        <v/>
      </c>
      <c r="O1473" s="8"/>
      <c r="P1473" s="26"/>
      <c r="S1473" s="10" t="str">
        <f t="shared" si="114"/>
        <v/>
      </c>
    </row>
    <row r="1474" spans="5:19" x14ac:dyDescent="0.3">
      <c r="E1474" s="9" t="str">
        <f>IF(DADOS!C1474="","",DADOS!C1474)</f>
        <v/>
      </c>
      <c r="F1474" s="9" t="str">
        <f>IF(DADOS!E1474="","",DADOS!E1474)</f>
        <v/>
      </c>
      <c r="G1474" s="9" t="str">
        <f>IF(DADOS!F1474="","",DADOS!F1474)</f>
        <v/>
      </c>
      <c r="K1474" s="6" t="str">
        <f t="shared" si="115"/>
        <v/>
      </c>
      <c r="L1474" s="7" t="str">
        <f t="shared" si="116"/>
        <v/>
      </c>
      <c r="M1474" s="7" t="str">
        <f t="shared" si="113"/>
        <v/>
      </c>
      <c r="N1474" s="7" t="str">
        <f t="shared" si="117"/>
        <v/>
      </c>
      <c r="O1474" s="8"/>
      <c r="P1474" s="26"/>
      <c r="S1474" s="10" t="str">
        <f t="shared" si="114"/>
        <v/>
      </c>
    </row>
    <row r="1475" spans="5:19" x14ac:dyDescent="0.3">
      <c r="E1475" s="9" t="str">
        <f>IF(DADOS!C1475="","",DADOS!C1475)</f>
        <v/>
      </c>
      <c r="F1475" s="9" t="str">
        <f>IF(DADOS!E1475="","",DADOS!E1475)</f>
        <v/>
      </c>
      <c r="G1475" s="9" t="str">
        <f>IF(DADOS!F1475="","",DADOS!F1475)</f>
        <v/>
      </c>
      <c r="K1475" s="6" t="str">
        <f t="shared" si="115"/>
        <v/>
      </c>
      <c r="L1475" s="7" t="str">
        <f t="shared" si="116"/>
        <v/>
      </c>
      <c r="M1475" s="7" t="str">
        <f t="shared" ref="M1475:M1538" si="118">IF(L1475="","",L1475*G1475)</f>
        <v/>
      </c>
      <c r="N1475" s="7" t="str">
        <f t="shared" si="117"/>
        <v/>
      </c>
      <c r="O1475" s="8"/>
      <c r="P1475" s="26"/>
      <c r="S1475" s="10" t="str">
        <f t="shared" ref="S1475:S1538" si="119">IF(R1475="","",SUMIFS($N$3:$N$10000,$E$3:$E$10000,R1475))</f>
        <v/>
      </c>
    </row>
    <row r="1476" spans="5:19" x14ac:dyDescent="0.3">
      <c r="E1476" s="9" t="str">
        <f>IF(DADOS!C1476="","",DADOS!C1476)</f>
        <v/>
      </c>
      <c r="F1476" s="9" t="str">
        <f>IF(DADOS!E1476="","",DADOS!E1476)</f>
        <v/>
      </c>
      <c r="G1476" s="9" t="str">
        <f>IF(DADOS!F1476="","",DADOS!F1476)</f>
        <v/>
      </c>
      <c r="K1476" s="6" t="str">
        <f t="shared" ref="K1476:K1539" si="120">IF(F1476="","",F1476/PI())</f>
        <v/>
      </c>
      <c r="L1476" s="7" t="str">
        <f t="shared" ref="L1476:L1539" si="121">IF(K1476="","",(PI()*K1476^2)/40000)</f>
        <v/>
      </c>
      <c r="M1476" s="7" t="str">
        <f t="shared" si="118"/>
        <v/>
      </c>
      <c r="N1476" s="7" t="str">
        <f t="shared" ref="N1476:N1539" si="122">IF(M1476="","",M1476*N$1)</f>
        <v/>
      </c>
      <c r="O1476" s="8"/>
      <c r="P1476" s="26"/>
      <c r="S1476" s="10" t="str">
        <f t="shared" si="119"/>
        <v/>
      </c>
    </row>
    <row r="1477" spans="5:19" x14ac:dyDescent="0.3">
      <c r="E1477" s="9" t="str">
        <f>IF(DADOS!C1477="","",DADOS!C1477)</f>
        <v/>
      </c>
      <c r="F1477" s="9" t="str">
        <f>IF(DADOS!E1477="","",DADOS!E1477)</f>
        <v/>
      </c>
      <c r="G1477" s="9" t="str">
        <f>IF(DADOS!F1477="","",DADOS!F1477)</f>
        <v/>
      </c>
      <c r="K1477" s="6" t="str">
        <f t="shared" si="120"/>
        <v/>
      </c>
      <c r="L1477" s="7" t="str">
        <f t="shared" si="121"/>
        <v/>
      </c>
      <c r="M1477" s="7" t="str">
        <f t="shared" si="118"/>
        <v/>
      </c>
      <c r="N1477" s="7" t="str">
        <f t="shared" si="122"/>
        <v/>
      </c>
      <c r="O1477" s="8"/>
      <c r="P1477" s="26"/>
      <c r="S1477" s="10" t="str">
        <f t="shared" si="119"/>
        <v/>
      </c>
    </row>
    <row r="1478" spans="5:19" x14ac:dyDescent="0.3">
      <c r="E1478" s="9" t="str">
        <f>IF(DADOS!C1478="","",DADOS!C1478)</f>
        <v/>
      </c>
      <c r="F1478" s="9" t="str">
        <f>IF(DADOS!E1478="","",DADOS!E1478)</f>
        <v/>
      </c>
      <c r="G1478" s="9" t="str">
        <f>IF(DADOS!F1478="","",DADOS!F1478)</f>
        <v/>
      </c>
      <c r="K1478" s="6" t="str">
        <f t="shared" si="120"/>
        <v/>
      </c>
      <c r="L1478" s="7" t="str">
        <f t="shared" si="121"/>
        <v/>
      </c>
      <c r="M1478" s="7" t="str">
        <f t="shared" si="118"/>
        <v/>
      </c>
      <c r="N1478" s="7" t="str">
        <f t="shared" si="122"/>
        <v/>
      </c>
      <c r="O1478" s="8"/>
      <c r="P1478" s="26"/>
      <c r="S1478" s="10" t="str">
        <f t="shared" si="119"/>
        <v/>
      </c>
    </row>
    <row r="1479" spans="5:19" x14ac:dyDescent="0.3">
      <c r="E1479" s="9" t="str">
        <f>IF(DADOS!C1479="","",DADOS!C1479)</f>
        <v/>
      </c>
      <c r="F1479" s="9" t="str">
        <f>IF(DADOS!E1479="","",DADOS!E1479)</f>
        <v/>
      </c>
      <c r="G1479" s="9" t="str">
        <f>IF(DADOS!F1479="","",DADOS!F1479)</f>
        <v/>
      </c>
      <c r="K1479" s="6" t="str">
        <f t="shared" si="120"/>
        <v/>
      </c>
      <c r="L1479" s="7" t="str">
        <f t="shared" si="121"/>
        <v/>
      </c>
      <c r="M1479" s="7" t="str">
        <f t="shared" si="118"/>
        <v/>
      </c>
      <c r="N1479" s="7" t="str">
        <f t="shared" si="122"/>
        <v/>
      </c>
      <c r="O1479" s="8"/>
      <c r="P1479" s="26"/>
      <c r="S1479" s="10" t="str">
        <f t="shared" si="119"/>
        <v/>
      </c>
    </row>
    <row r="1480" spans="5:19" x14ac:dyDescent="0.3">
      <c r="E1480" s="9" t="str">
        <f>IF(DADOS!C1480="","",DADOS!C1480)</f>
        <v/>
      </c>
      <c r="F1480" s="9" t="str">
        <f>IF(DADOS!E1480="","",DADOS!E1480)</f>
        <v/>
      </c>
      <c r="G1480" s="9" t="str">
        <f>IF(DADOS!F1480="","",DADOS!F1480)</f>
        <v/>
      </c>
      <c r="K1480" s="6" t="str">
        <f t="shared" si="120"/>
        <v/>
      </c>
      <c r="L1480" s="7" t="str">
        <f t="shared" si="121"/>
        <v/>
      </c>
      <c r="M1480" s="7" t="str">
        <f t="shared" si="118"/>
        <v/>
      </c>
      <c r="N1480" s="7" t="str">
        <f t="shared" si="122"/>
        <v/>
      </c>
      <c r="O1480" s="8"/>
      <c r="P1480" s="26"/>
      <c r="S1480" s="10" t="str">
        <f t="shared" si="119"/>
        <v/>
      </c>
    </row>
    <row r="1481" spans="5:19" x14ac:dyDescent="0.3">
      <c r="E1481" s="9" t="str">
        <f>IF(DADOS!C1481="","",DADOS!C1481)</f>
        <v/>
      </c>
      <c r="F1481" s="9" t="str">
        <f>IF(DADOS!E1481="","",DADOS!E1481)</f>
        <v/>
      </c>
      <c r="G1481" s="9" t="str">
        <f>IF(DADOS!F1481="","",DADOS!F1481)</f>
        <v/>
      </c>
      <c r="K1481" s="6" t="str">
        <f t="shared" si="120"/>
        <v/>
      </c>
      <c r="L1481" s="7" t="str">
        <f t="shared" si="121"/>
        <v/>
      </c>
      <c r="M1481" s="7" t="str">
        <f t="shared" si="118"/>
        <v/>
      </c>
      <c r="N1481" s="7" t="str">
        <f t="shared" si="122"/>
        <v/>
      </c>
      <c r="O1481" s="8"/>
      <c r="P1481" s="26"/>
      <c r="S1481" s="10" t="str">
        <f t="shared" si="119"/>
        <v/>
      </c>
    </row>
    <row r="1482" spans="5:19" x14ac:dyDescent="0.3">
      <c r="E1482" s="9" t="str">
        <f>IF(DADOS!C1482="","",DADOS!C1482)</f>
        <v/>
      </c>
      <c r="F1482" s="9" t="str">
        <f>IF(DADOS!E1482="","",DADOS!E1482)</f>
        <v/>
      </c>
      <c r="G1482" s="9" t="str">
        <f>IF(DADOS!F1482="","",DADOS!F1482)</f>
        <v/>
      </c>
      <c r="K1482" s="6" t="str">
        <f t="shared" si="120"/>
        <v/>
      </c>
      <c r="L1482" s="7" t="str">
        <f t="shared" si="121"/>
        <v/>
      </c>
      <c r="M1482" s="7" t="str">
        <f t="shared" si="118"/>
        <v/>
      </c>
      <c r="N1482" s="7" t="str">
        <f t="shared" si="122"/>
        <v/>
      </c>
      <c r="O1482" s="8"/>
      <c r="P1482" s="26"/>
      <c r="S1482" s="10" t="str">
        <f t="shared" si="119"/>
        <v/>
      </c>
    </row>
    <row r="1483" spans="5:19" x14ac:dyDescent="0.3">
      <c r="E1483" s="9" t="str">
        <f>IF(DADOS!C1483="","",DADOS!C1483)</f>
        <v/>
      </c>
      <c r="F1483" s="9" t="str">
        <f>IF(DADOS!E1483="","",DADOS!E1483)</f>
        <v/>
      </c>
      <c r="G1483" s="9" t="str">
        <f>IF(DADOS!F1483="","",DADOS!F1483)</f>
        <v/>
      </c>
      <c r="K1483" s="6" t="str">
        <f t="shared" si="120"/>
        <v/>
      </c>
      <c r="L1483" s="7" t="str">
        <f t="shared" si="121"/>
        <v/>
      </c>
      <c r="M1483" s="7" t="str">
        <f t="shared" si="118"/>
        <v/>
      </c>
      <c r="N1483" s="7" t="str">
        <f t="shared" si="122"/>
        <v/>
      </c>
      <c r="O1483" s="8"/>
      <c r="P1483" s="26"/>
      <c r="S1483" s="10" t="str">
        <f t="shared" si="119"/>
        <v/>
      </c>
    </row>
    <row r="1484" spans="5:19" x14ac:dyDescent="0.3">
      <c r="E1484" s="9" t="str">
        <f>IF(DADOS!C1484="","",DADOS!C1484)</f>
        <v/>
      </c>
      <c r="F1484" s="9" t="str">
        <f>IF(DADOS!E1484="","",DADOS!E1484)</f>
        <v/>
      </c>
      <c r="G1484" s="9" t="str">
        <f>IF(DADOS!F1484="","",DADOS!F1484)</f>
        <v/>
      </c>
      <c r="K1484" s="6" t="str">
        <f t="shared" si="120"/>
        <v/>
      </c>
      <c r="L1484" s="7" t="str">
        <f t="shared" si="121"/>
        <v/>
      </c>
      <c r="M1484" s="7" t="str">
        <f t="shared" si="118"/>
        <v/>
      </c>
      <c r="N1484" s="7" t="str">
        <f t="shared" si="122"/>
        <v/>
      </c>
      <c r="O1484" s="8"/>
      <c r="P1484" s="26"/>
      <c r="S1484" s="10" t="str">
        <f t="shared" si="119"/>
        <v/>
      </c>
    </row>
    <row r="1485" spans="5:19" x14ac:dyDescent="0.3">
      <c r="E1485" s="9" t="str">
        <f>IF(DADOS!C1485="","",DADOS!C1485)</f>
        <v/>
      </c>
      <c r="F1485" s="9" t="str">
        <f>IF(DADOS!E1485="","",DADOS!E1485)</f>
        <v/>
      </c>
      <c r="G1485" s="9" t="str">
        <f>IF(DADOS!F1485="","",DADOS!F1485)</f>
        <v/>
      </c>
      <c r="K1485" s="6" t="str">
        <f t="shared" si="120"/>
        <v/>
      </c>
      <c r="L1485" s="7" t="str">
        <f t="shared" si="121"/>
        <v/>
      </c>
      <c r="M1485" s="7" t="str">
        <f t="shared" si="118"/>
        <v/>
      </c>
      <c r="N1485" s="7" t="str">
        <f t="shared" si="122"/>
        <v/>
      </c>
      <c r="O1485" s="8"/>
      <c r="P1485" s="26"/>
      <c r="S1485" s="10" t="str">
        <f t="shared" si="119"/>
        <v/>
      </c>
    </row>
    <row r="1486" spans="5:19" x14ac:dyDescent="0.3">
      <c r="E1486" s="9" t="str">
        <f>IF(DADOS!C1486="","",DADOS!C1486)</f>
        <v/>
      </c>
      <c r="F1486" s="9" t="str">
        <f>IF(DADOS!E1486="","",DADOS!E1486)</f>
        <v/>
      </c>
      <c r="G1486" s="9" t="str">
        <f>IF(DADOS!F1486="","",DADOS!F1486)</f>
        <v/>
      </c>
      <c r="K1486" s="6" t="str">
        <f t="shared" si="120"/>
        <v/>
      </c>
      <c r="L1486" s="7" t="str">
        <f t="shared" si="121"/>
        <v/>
      </c>
      <c r="M1486" s="7" t="str">
        <f t="shared" si="118"/>
        <v/>
      </c>
      <c r="N1486" s="7" t="str">
        <f t="shared" si="122"/>
        <v/>
      </c>
      <c r="O1486" s="8"/>
      <c r="P1486" s="26"/>
      <c r="S1486" s="10" t="str">
        <f t="shared" si="119"/>
        <v/>
      </c>
    </row>
    <row r="1487" spans="5:19" x14ac:dyDescent="0.3">
      <c r="E1487" s="9" t="str">
        <f>IF(DADOS!C1487="","",DADOS!C1487)</f>
        <v/>
      </c>
      <c r="F1487" s="9" t="str">
        <f>IF(DADOS!E1487="","",DADOS!E1487)</f>
        <v/>
      </c>
      <c r="G1487" s="9" t="str">
        <f>IF(DADOS!F1487="","",DADOS!F1487)</f>
        <v/>
      </c>
      <c r="K1487" s="6" t="str">
        <f t="shared" si="120"/>
        <v/>
      </c>
      <c r="L1487" s="7" t="str">
        <f t="shared" si="121"/>
        <v/>
      </c>
      <c r="M1487" s="7" t="str">
        <f t="shared" si="118"/>
        <v/>
      </c>
      <c r="N1487" s="7" t="str">
        <f t="shared" si="122"/>
        <v/>
      </c>
      <c r="O1487" s="8"/>
      <c r="P1487" s="26"/>
      <c r="S1487" s="10" t="str">
        <f t="shared" si="119"/>
        <v/>
      </c>
    </row>
    <row r="1488" spans="5:19" x14ac:dyDescent="0.3">
      <c r="E1488" s="9" t="str">
        <f>IF(DADOS!C1488="","",DADOS!C1488)</f>
        <v/>
      </c>
      <c r="F1488" s="9" t="str">
        <f>IF(DADOS!E1488="","",DADOS!E1488)</f>
        <v/>
      </c>
      <c r="G1488" s="9" t="str">
        <f>IF(DADOS!F1488="","",DADOS!F1488)</f>
        <v/>
      </c>
      <c r="K1488" s="6" t="str">
        <f t="shared" si="120"/>
        <v/>
      </c>
      <c r="L1488" s="7" t="str">
        <f t="shared" si="121"/>
        <v/>
      </c>
      <c r="M1488" s="7" t="str">
        <f t="shared" si="118"/>
        <v/>
      </c>
      <c r="N1488" s="7" t="str">
        <f t="shared" si="122"/>
        <v/>
      </c>
      <c r="O1488" s="8"/>
      <c r="P1488" s="26"/>
      <c r="S1488" s="10" t="str">
        <f t="shared" si="119"/>
        <v/>
      </c>
    </row>
    <row r="1489" spans="5:19" x14ac:dyDescent="0.3">
      <c r="E1489" s="9" t="str">
        <f>IF(DADOS!C1489="","",DADOS!C1489)</f>
        <v/>
      </c>
      <c r="F1489" s="9" t="str">
        <f>IF(DADOS!E1489="","",DADOS!E1489)</f>
        <v/>
      </c>
      <c r="G1489" s="9" t="str">
        <f>IF(DADOS!F1489="","",DADOS!F1489)</f>
        <v/>
      </c>
      <c r="K1489" s="6" t="str">
        <f t="shared" si="120"/>
        <v/>
      </c>
      <c r="L1489" s="7" t="str">
        <f t="shared" si="121"/>
        <v/>
      </c>
      <c r="M1489" s="7" t="str">
        <f t="shared" si="118"/>
        <v/>
      </c>
      <c r="N1489" s="7" t="str">
        <f t="shared" si="122"/>
        <v/>
      </c>
      <c r="O1489" s="8"/>
      <c r="P1489" s="26"/>
      <c r="S1489" s="10" t="str">
        <f t="shared" si="119"/>
        <v/>
      </c>
    </row>
    <row r="1490" spans="5:19" x14ac:dyDescent="0.3">
      <c r="E1490" s="9" t="str">
        <f>IF(DADOS!C1490="","",DADOS!C1490)</f>
        <v/>
      </c>
      <c r="F1490" s="9" t="str">
        <f>IF(DADOS!E1490="","",DADOS!E1490)</f>
        <v/>
      </c>
      <c r="G1490" s="9" t="str">
        <f>IF(DADOS!F1490="","",DADOS!F1490)</f>
        <v/>
      </c>
      <c r="K1490" s="6" t="str">
        <f t="shared" si="120"/>
        <v/>
      </c>
      <c r="L1490" s="7" t="str">
        <f t="shared" si="121"/>
        <v/>
      </c>
      <c r="M1490" s="7" t="str">
        <f t="shared" si="118"/>
        <v/>
      </c>
      <c r="N1490" s="7" t="str">
        <f t="shared" si="122"/>
        <v/>
      </c>
      <c r="O1490" s="8"/>
      <c r="P1490" s="26"/>
      <c r="S1490" s="10" t="str">
        <f t="shared" si="119"/>
        <v/>
      </c>
    </row>
    <row r="1491" spans="5:19" x14ac:dyDescent="0.3">
      <c r="E1491" s="9" t="str">
        <f>IF(DADOS!C1491="","",DADOS!C1491)</f>
        <v/>
      </c>
      <c r="F1491" s="9" t="str">
        <f>IF(DADOS!E1491="","",DADOS!E1491)</f>
        <v/>
      </c>
      <c r="G1491" s="9" t="str">
        <f>IF(DADOS!F1491="","",DADOS!F1491)</f>
        <v/>
      </c>
      <c r="K1491" s="6" t="str">
        <f t="shared" si="120"/>
        <v/>
      </c>
      <c r="L1491" s="7" t="str">
        <f t="shared" si="121"/>
        <v/>
      </c>
      <c r="M1491" s="7" t="str">
        <f t="shared" si="118"/>
        <v/>
      </c>
      <c r="N1491" s="7" t="str">
        <f t="shared" si="122"/>
        <v/>
      </c>
      <c r="O1491" s="8"/>
      <c r="P1491" s="26"/>
      <c r="S1491" s="10" t="str">
        <f t="shared" si="119"/>
        <v/>
      </c>
    </row>
    <row r="1492" spans="5:19" x14ac:dyDescent="0.3">
      <c r="E1492" s="9" t="str">
        <f>IF(DADOS!C1492="","",DADOS!C1492)</f>
        <v/>
      </c>
      <c r="F1492" s="9" t="str">
        <f>IF(DADOS!E1492="","",DADOS!E1492)</f>
        <v/>
      </c>
      <c r="G1492" s="9" t="str">
        <f>IF(DADOS!F1492="","",DADOS!F1492)</f>
        <v/>
      </c>
      <c r="K1492" s="6" t="str">
        <f t="shared" si="120"/>
        <v/>
      </c>
      <c r="L1492" s="7" t="str">
        <f t="shared" si="121"/>
        <v/>
      </c>
      <c r="M1492" s="7" t="str">
        <f t="shared" si="118"/>
        <v/>
      </c>
      <c r="N1492" s="7" t="str">
        <f t="shared" si="122"/>
        <v/>
      </c>
      <c r="O1492" s="8"/>
      <c r="P1492" s="26"/>
      <c r="S1492" s="10" t="str">
        <f t="shared" si="119"/>
        <v/>
      </c>
    </row>
    <row r="1493" spans="5:19" x14ac:dyDescent="0.3">
      <c r="E1493" s="9" t="str">
        <f>IF(DADOS!C1493="","",DADOS!C1493)</f>
        <v/>
      </c>
      <c r="F1493" s="9" t="str">
        <f>IF(DADOS!E1493="","",DADOS!E1493)</f>
        <v/>
      </c>
      <c r="G1493" s="9" t="str">
        <f>IF(DADOS!F1493="","",DADOS!F1493)</f>
        <v/>
      </c>
      <c r="K1493" s="6" t="str">
        <f t="shared" si="120"/>
        <v/>
      </c>
      <c r="L1493" s="7" t="str">
        <f t="shared" si="121"/>
        <v/>
      </c>
      <c r="M1493" s="7" t="str">
        <f t="shared" si="118"/>
        <v/>
      </c>
      <c r="N1493" s="7" t="str">
        <f t="shared" si="122"/>
        <v/>
      </c>
      <c r="O1493" s="8"/>
      <c r="P1493" s="26"/>
      <c r="S1493" s="10" t="str">
        <f t="shared" si="119"/>
        <v/>
      </c>
    </row>
    <row r="1494" spans="5:19" x14ac:dyDescent="0.3">
      <c r="E1494" s="9" t="str">
        <f>IF(DADOS!C1494="","",DADOS!C1494)</f>
        <v/>
      </c>
      <c r="F1494" s="9" t="str">
        <f>IF(DADOS!E1494="","",DADOS!E1494)</f>
        <v/>
      </c>
      <c r="G1494" s="9" t="str">
        <f>IF(DADOS!F1494="","",DADOS!F1494)</f>
        <v/>
      </c>
      <c r="K1494" s="6" t="str">
        <f t="shared" si="120"/>
        <v/>
      </c>
      <c r="L1494" s="7" t="str">
        <f t="shared" si="121"/>
        <v/>
      </c>
      <c r="M1494" s="7" t="str">
        <f t="shared" si="118"/>
        <v/>
      </c>
      <c r="N1494" s="7" t="str">
        <f t="shared" si="122"/>
        <v/>
      </c>
      <c r="O1494" s="8"/>
      <c r="P1494" s="26"/>
      <c r="S1494" s="10" t="str">
        <f t="shared" si="119"/>
        <v/>
      </c>
    </row>
    <row r="1495" spans="5:19" x14ac:dyDescent="0.3">
      <c r="E1495" s="9" t="str">
        <f>IF(DADOS!C1495="","",DADOS!C1495)</f>
        <v/>
      </c>
      <c r="F1495" s="9" t="str">
        <f>IF(DADOS!E1495="","",DADOS!E1495)</f>
        <v/>
      </c>
      <c r="G1495" s="9" t="str">
        <f>IF(DADOS!F1495="","",DADOS!F1495)</f>
        <v/>
      </c>
      <c r="K1495" s="6" t="str">
        <f t="shared" si="120"/>
        <v/>
      </c>
      <c r="L1495" s="7" t="str">
        <f t="shared" si="121"/>
        <v/>
      </c>
      <c r="M1495" s="7" t="str">
        <f t="shared" si="118"/>
        <v/>
      </c>
      <c r="N1495" s="7" t="str">
        <f t="shared" si="122"/>
        <v/>
      </c>
      <c r="O1495" s="8"/>
      <c r="P1495" s="26"/>
      <c r="S1495" s="10" t="str">
        <f t="shared" si="119"/>
        <v/>
      </c>
    </row>
    <row r="1496" spans="5:19" x14ac:dyDescent="0.3">
      <c r="E1496" s="9" t="str">
        <f>IF(DADOS!C1496="","",DADOS!C1496)</f>
        <v/>
      </c>
      <c r="F1496" s="9" t="str">
        <f>IF(DADOS!E1496="","",DADOS!E1496)</f>
        <v/>
      </c>
      <c r="G1496" s="9" t="str">
        <f>IF(DADOS!F1496="","",DADOS!F1496)</f>
        <v/>
      </c>
      <c r="K1496" s="6" t="str">
        <f t="shared" si="120"/>
        <v/>
      </c>
      <c r="L1496" s="7" t="str">
        <f t="shared" si="121"/>
        <v/>
      </c>
      <c r="M1496" s="7" t="str">
        <f t="shared" si="118"/>
        <v/>
      </c>
      <c r="N1496" s="7" t="str">
        <f t="shared" si="122"/>
        <v/>
      </c>
      <c r="O1496" s="8"/>
      <c r="P1496" s="26"/>
      <c r="S1496" s="10" t="str">
        <f t="shared" si="119"/>
        <v/>
      </c>
    </row>
    <row r="1497" spans="5:19" x14ac:dyDescent="0.3">
      <c r="E1497" s="9" t="str">
        <f>IF(DADOS!C1497="","",DADOS!C1497)</f>
        <v/>
      </c>
      <c r="F1497" s="9" t="str">
        <f>IF(DADOS!E1497="","",DADOS!E1497)</f>
        <v/>
      </c>
      <c r="G1497" s="9" t="str">
        <f>IF(DADOS!F1497="","",DADOS!F1497)</f>
        <v/>
      </c>
      <c r="K1497" s="6" t="str">
        <f t="shared" si="120"/>
        <v/>
      </c>
      <c r="L1497" s="7" t="str">
        <f t="shared" si="121"/>
        <v/>
      </c>
      <c r="M1497" s="7" t="str">
        <f t="shared" si="118"/>
        <v/>
      </c>
      <c r="N1497" s="7" t="str">
        <f t="shared" si="122"/>
        <v/>
      </c>
      <c r="O1497" s="8"/>
      <c r="P1497" s="26"/>
      <c r="S1497" s="10" t="str">
        <f t="shared" si="119"/>
        <v/>
      </c>
    </row>
    <row r="1498" spans="5:19" x14ac:dyDescent="0.3">
      <c r="E1498" s="9" t="str">
        <f>IF(DADOS!C1498="","",DADOS!C1498)</f>
        <v/>
      </c>
      <c r="F1498" s="9" t="str">
        <f>IF(DADOS!E1498="","",DADOS!E1498)</f>
        <v/>
      </c>
      <c r="G1498" s="9" t="str">
        <f>IF(DADOS!F1498="","",DADOS!F1498)</f>
        <v/>
      </c>
      <c r="K1498" s="6" t="str">
        <f t="shared" si="120"/>
        <v/>
      </c>
      <c r="L1498" s="7" t="str">
        <f t="shared" si="121"/>
        <v/>
      </c>
      <c r="M1498" s="7" t="str">
        <f t="shared" si="118"/>
        <v/>
      </c>
      <c r="N1498" s="7" t="str">
        <f t="shared" si="122"/>
        <v/>
      </c>
      <c r="O1498" s="8"/>
      <c r="P1498" s="26"/>
      <c r="S1498" s="10" t="str">
        <f t="shared" si="119"/>
        <v/>
      </c>
    </row>
    <row r="1499" spans="5:19" x14ac:dyDescent="0.3">
      <c r="E1499" s="9" t="str">
        <f>IF(DADOS!C1499="","",DADOS!C1499)</f>
        <v/>
      </c>
      <c r="F1499" s="9" t="str">
        <f>IF(DADOS!E1499="","",DADOS!E1499)</f>
        <v/>
      </c>
      <c r="G1499" s="9" t="str">
        <f>IF(DADOS!F1499="","",DADOS!F1499)</f>
        <v/>
      </c>
      <c r="K1499" s="6" t="str">
        <f t="shared" si="120"/>
        <v/>
      </c>
      <c r="L1499" s="7" t="str">
        <f t="shared" si="121"/>
        <v/>
      </c>
      <c r="M1499" s="7" t="str">
        <f t="shared" si="118"/>
        <v/>
      </c>
      <c r="N1499" s="7" t="str">
        <f t="shared" si="122"/>
        <v/>
      </c>
      <c r="O1499" s="8"/>
      <c r="P1499" s="26"/>
      <c r="S1499" s="10" t="str">
        <f t="shared" si="119"/>
        <v/>
      </c>
    </row>
    <row r="1500" spans="5:19" x14ac:dyDescent="0.3">
      <c r="E1500" s="9" t="str">
        <f>IF(DADOS!C1500="","",DADOS!C1500)</f>
        <v/>
      </c>
      <c r="F1500" s="9" t="str">
        <f>IF(DADOS!E1500="","",DADOS!E1500)</f>
        <v/>
      </c>
      <c r="G1500" s="9" t="str">
        <f>IF(DADOS!F1500="","",DADOS!F1500)</f>
        <v/>
      </c>
      <c r="K1500" s="6" t="str">
        <f t="shared" si="120"/>
        <v/>
      </c>
      <c r="L1500" s="7" t="str">
        <f t="shared" si="121"/>
        <v/>
      </c>
      <c r="M1500" s="7" t="str">
        <f t="shared" si="118"/>
        <v/>
      </c>
      <c r="N1500" s="7" t="str">
        <f t="shared" si="122"/>
        <v/>
      </c>
      <c r="O1500" s="8"/>
      <c r="P1500" s="26"/>
      <c r="S1500" s="10" t="str">
        <f t="shared" si="119"/>
        <v/>
      </c>
    </row>
    <row r="1501" spans="5:19" x14ac:dyDescent="0.3">
      <c r="E1501" s="9" t="str">
        <f>IF(DADOS!C1501="","",DADOS!C1501)</f>
        <v/>
      </c>
      <c r="F1501" s="9" t="str">
        <f>IF(DADOS!E1501="","",DADOS!E1501)</f>
        <v/>
      </c>
      <c r="G1501" s="9" t="str">
        <f>IF(DADOS!F1501="","",DADOS!F1501)</f>
        <v/>
      </c>
      <c r="K1501" s="6" t="str">
        <f t="shared" si="120"/>
        <v/>
      </c>
      <c r="L1501" s="7" t="str">
        <f t="shared" si="121"/>
        <v/>
      </c>
      <c r="M1501" s="7" t="str">
        <f t="shared" si="118"/>
        <v/>
      </c>
      <c r="N1501" s="7" t="str">
        <f t="shared" si="122"/>
        <v/>
      </c>
      <c r="O1501" s="8"/>
      <c r="P1501" s="26"/>
      <c r="S1501" s="10" t="str">
        <f t="shared" si="119"/>
        <v/>
      </c>
    </row>
    <row r="1502" spans="5:19" x14ac:dyDescent="0.3">
      <c r="E1502" s="9" t="str">
        <f>IF(DADOS!C1502="","",DADOS!C1502)</f>
        <v/>
      </c>
      <c r="F1502" s="9" t="str">
        <f>IF(DADOS!E1502="","",DADOS!E1502)</f>
        <v/>
      </c>
      <c r="G1502" s="9" t="str">
        <f>IF(DADOS!F1502="","",DADOS!F1502)</f>
        <v/>
      </c>
      <c r="K1502" s="6" t="str">
        <f t="shared" si="120"/>
        <v/>
      </c>
      <c r="L1502" s="7" t="str">
        <f t="shared" si="121"/>
        <v/>
      </c>
      <c r="M1502" s="7" t="str">
        <f t="shared" si="118"/>
        <v/>
      </c>
      <c r="N1502" s="7" t="str">
        <f t="shared" si="122"/>
        <v/>
      </c>
      <c r="O1502" s="8"/>
      <c r="P1502" s="26"/>
      <c r="S1502" s="10" t="str">
        <f t="shared" si="119"/>
        <v/>
      </c>
    </row>
    <row r="1503" spans="5:19" x14ac:dyDescent="0.3">
      <c r="E1503" s="9" t="str">
        <f>IF(DADOS!C1503="","",DADOS!C1503)</f>
        <v/>
      </c>
      <c r="F1503" s="9" t="str">
        <f>IF(DADOS!E1503="","",DADOS!E1503)</f>
        <v/>
      </c>
      <c r="G1503" s="9" t="str">
        <f>IF(DADOS!F1503="","",DADOS!F1503)</f>
        <v/>
      </c>
      <c r="K1503" s="6" t="str">
        <f t="shared" si="120"/>
        <v/>
      </c>
      <c r="L1503" s="7" t="str">
        <f t="shared" si="121"/>
        <v/>
      </c>
      <c r="M1503" s="7" t="str">
        <f t="shared" si="118"/>
        <v/>
      </c>
      <c r="N1503" s="7" t="str">
        <f t="shared" si="122"/>
        <v/>
      </c>
      <c r="O1503" s="8"/>
      <c r="P1503" s="26"/>
      <c r="S1503" s="10" t="str">
        <f t="shared" si="119"/>
        <v/>
      </c>
    </row>
    <row r="1504" spans="5:19" x14ac:dyDescent="0.3">
      <c r="E1504" s="9" t="str">
        <f>IF(DADOS!C1504="","",DADOS!C1504)</f>
        <v/>
      </c>
      <c r="F1504" s="9" t="str">
        <f>IF(DADOS!E1504="","",DADOS!E1504)</f>
        <v/>
      </c>
      <c r="G1504" s="9" t="str">
        <f>IF(DADOS!F1504="","",DADOS!F1504)</f>
        <v/>
      </c>
      <c r="K1504" s="6" t="str">
        <f t="shared" si="120"/>
        <v/>
      </c>
      <c r="L1504" s="7" t="str">
        <f t="shared" si="121"/>
        <v/>
      </c>
      <c r="M1504" s="7" t="str">
        <f t="shared" si="118"/>
        <v/>
      </c>
      <c r="N1504" s="7" t="str">
        <f t="shared" si="122"/>
        <v/>
      </c>
      <c r="O1504" s="8"/>
      <c r="P1504" s="26"/>
      <c r="S1504" s="10" t="str">
        <f t="shared" si="119"/>
        <v/>
      </c>
    </row>
    <row r="1505" spans="5:19" x14ac:dyDescent="0.3">
      <c r="E1505" s="9" t="str">
        <f>IF(DADOS!C1505="","",DADOS!C1505)</f>
        <v/>
      </c>
      <c r="F1505" s="9" t="str">
        <f>IF(DADOS!E1505="","",DADOS!E1505)</f>
        <v/>
      </c>
      <c r="G1505" s="9" t="str">
        <f>IF(DADOS!F1505="","",DADOS!F1505)</f>
        <v/>
      </c>
      <c r="K1505" s="6" t="str">
        <f t="shared" si="120"/>
        <v/>
      </c>
      <c r="L1505" s="7" t="str">
        <f t="shared" si="121"/>
        <v/>
      </c>
      <c r="M1505" s="7" t="str">
        <f t="shared" si="118"/>
        <v/>
      </c>
      <c r="N1505" s="7" t="str">
        <f t="shared" si="122"/>
        <v/>
      </c>
      <c r="O1505" s="8"/>
      <c r="P1505" s="26"/>
      <c r="S1505" s="10" t="str">
        <f t="shared" si="119"/>
        <v/>
      </c>
    </row>
    <row r="1506" spans="5:19" x14ac:dyDescent="0.3">
      <c r="E1506" s="9" t="str">
        <f>IF(DADOS!C1506="","",DADOS!C1506)</f>
        <v/>
      </c>
      <c r="F1506" s="9" t="str">
        <f>IF(DADOS!E1506="","",DADOS!E1506)</f>
        <v/>
      </c>
      <c r="G1506" s="9" t="str">
        <f>IF(DADOS!F1506="","",DADOS!F1506)</f>
        <v/>
      </c>
      <c r="K1506" s="6" t="str">
        <f t="shared" si="120"/>
        <v/>
      </c>
      <c r="L1506" s="7" t="str">
        <f t="shared" si="121"/>
        <v/>
      </c>
      <c r="M1506" s="7" t="str">
        <f t="shared" si="118"/>
        <v/>
      </c>
      <c r="N1506" s="7" t="str">
        <f t="shared" si="122"/>
        <v/>
      </c>
      <c r="O1506" s="8"/>
      <c r="P1506" s="26"/>
      <c r="S1506" s="10" t="str">
        <f t="shared" si="119"/>
        <v/>
      </c>
    </row>
    <row r="1507" spans="5:19" x14ac:dyDescent="0.3">
      <c r="E1507" s="9" t="str">
        <f>IF(DADOS!C1507="","",DADOS!C1507)</f>
        <v/>
      </c>
      <c r="F1507" s="9" t="str">
        <f>IF(DADOS!E1507="","",DADOS!E1507)</f>
        <v/>
      </c>
      <c r="G1507" s="9" t="str">
        <f>IF(DADOS!F1507="","",DADOS!F1507)</f>
        <v/>
      </c>
      <c r="K1507" s="6" t="str">
        <f t="shared" si="120"/>
        <v/>
      </c>
      <c r="L1507" s="7" t="str">
        <f t="shared" si="121"/>
        <v/>
      </c>
      <c r="M1507" s="7" t="str">
        <f t="shared" si="118"/>
        <v/>
      </c>
      <c r="N1507" s="7" t="str">
        <f t="shared" si="122"/>
        <v/>
      </c>
      <c r="O1507" s="8"/>
      <c r="P1507" s="26"/>
      <c r="S1507" s="10" t="str">
        <f t="shared" si="119"/>
        <v/>
      </c>
    </row>
    <row r="1508" spans="5:19" x14ac:dyDescent="0.3">
      <c r="E1508" s="9" t="str">
        <f>IF(DADOS!C1508="","",DADOS!C1508)</f>
        <v/>
      </c>
      <c r="F1508" s="9" t="str">
        <f>IF(DADOS!E1508="","",DADOS!E1508)</f>
        <v/>
      </c>
      <c r="G1508" s="9" t="str">
        <f>IF(DADOS!F1508="","",DADOS!F1508)</f>
        <v/>
      </c>
      <c r="K1508" s="6" t="str">
        <f t="shared" si="120"/>
        <v/>
      </c>
      <c r="L1508" s="7" t="str">
        <f t="shared" si="121"/>
        <v/>
      </c>
      <c r="M1508" s="7" t="str">
        <f t="shared" si="118"/>
        <v/>
      </c>
      <c r="N1508" s="7" t="str">
        <f t="shared" si="122"/>
        <v/>
      </c>
      <c r="O1508" s="8"/>
      <c r="P1508" s="26"/>
      <c r="S1508" s="10" t="str">
        <f t="shared" si="119"/>
        <v/>
      </c>
    </row>
    <row r="1509" spans="5:19" x14ac:dyDescent="0.3">
      <c r="E1509" s="9" t="str">
        <f>IF(DADOS!C1509="","",DADOS!C1509)</f>
        <v/>
      </c>
      <c r="F1509" s="9" t="str">
        <f>IF(DADOS!E1509="","",DADOS!E1509)</f>
        <v/>
      </c>
      <c r="G1509" s="9" t="str">
        <f>IF(DADOS!F1509="","",DADOS!F1509)</f>
        <v/>
      </c>
      <c r="K1509" s="6" t="str">
        <f t="shared" si="120"/>
        <v/>
      </c>
      <c r="L1509" s="7" t="str">
        <f t="shared" si="121"/>
        <v/>
      </c>
      <c r="M1509" s="7" t="str">
        <f t="shared" si="118"/>
        <v/>
      </c>
      <c r="N1509" s="7" t="str">
        <f t="shared" si="122"/>
        <v/>
      </c>
      <c r="O1509" s="8"/>
      <c r="P1509" s="26"/>
      <c r="S1509" s="10" t="str">
        <f t="shared" si="119"/>
        <v/>
      </c>
    </row>
    <row r="1510" spans="5:19" x14ac:dyDescent="0.3">
      <c r="E1510" s="9" t="str">
        <f>IF(DADOS!C1510="","",DADOS!C1510)</f>
        <v/>
      </c>
      <c r="F1510" s="9" t="str">
        <f>IF(DADOS!E1510="","",DADOS!E1510)</f>
        <v/>
      </c>
      <c r="G1510" s="9" t="str">
        <f>IF(DADOS!F1510="","",DADOS!F1510)</f>
        <v/>
      </c>
      <c r="K1510" s="6" t="str">
        <f t="shared" si="120"/>
        <v/>
      </c>
      <c r="L1510" s="7" t="str">
        <f t="shared" si="121"/>
        <v/>
      </c>
      <c r="M1510" s="7" t="str">
        <f t="shared" si="118"/>
        <v/>
      </c>
      <c r="N1510" s="7" t="str">
        <f t="shared" si="122"/>
        <v/>
      </c>
      <c r="O1510" s="8"/>
      <c r="P1510" s="26"/>
      <c r="S1510" s="10" t="str">
        <f t="shared" si="119"/>
        <v/>
      </c>
    </row>
    <row r="1511" spans="5:19" x14ac:dyDescent="0.3">
      <c r="E1511" s="9" t="str">
        <f>IF(DADOS!C1511="","",DADOS!C1511)</f>
        <v/>
      </c>
      <c r="F1511" s="9" t="str">
        <f>IF(DADOS!E1511="","",DADOS!E1511)</f>
        <v/>
      </c>
      <c r="G1511" s="9" t="str">
        <f>IF(DADOS!F1511="","",DADOS!F1511)</f>
        <v/>
      </c>
      <c r="K1511" s="6" t="str">
        <f t="shared" si="120"/>
        <v/>
      </c>
      <c r="L1511" s="7" t="str">
        <f t="shared" si="121"/>
        <v/>
      </c>
      <c r="M1511" s="7" t="str">
        <f t="shared" si="118"/>
        <v/>
      </c>
      <c r="N1511" s="7" t="str">
        <f t="shared" si="122"/>
        <v/>
      </c>
      <c r="O1511" s="8"/>
      <c r="P1511" s="26"/>
      <c r="S1511" s="10" t="str">
        <f t="shared" si="119"/>
        <v/>
      </c>
    </row>
    <row r="1512" spans="5:19" x14ac:dyDescent="0.3">
      <c r="E1512" s="9" t="str">
        <f>IF(DADOS!C1512="","",DADOS!C1512)</f>
        <v/>
      </c>
      <c r="F1512" s="9" t="str">
        <f>IF(DADOS!E1512="","",DADOS!E1512)</f>
        <v/>
      </c>
      <c r="G1512" s="9" t="str">
        <f>IF(DADOS!F1512="","",DADOS!F1512)</f>
        <v/>
      </c>
      <c r="K1512" s="6" t="str">
        <f t="shared" si="120"/>
        <v/>
      </c>
      <c r="L1512" s="7" t="str">
        <f t="shared" si="121"/>
        <v/>
      </c>
      <c r="M1512" s="7" t="str">
        <f t="shared" si="118"/>
        <v/>
      </c>
      <c r="N1512" s="7" t="str">
        <f t="shared" si="122"/>
        <v/>
      </c>
      <c r="O1512" s="8"/>
      <c r="P1512" s="26"/>
      <c r="S1512" s="10" t="str">
        <f t="shared" si="119"/>
        <v/>
      </c>
    </row>
    <row r="1513" spans="5:19" x14ac:dyDescent="0.3">
      <c r="E1513" s="9" t="str">
        <f>IF(DADOS!C1513="","",DADOS!C1513)</f>
        <v/>
      </c>
      <c r="F1513" s="9" t="str">
        <f>IF(DADOS!E1513="","",DADOS!E1513)</f>
        <v/>
      </c>
      <c r="G1513" s="9" t="str">
        <f>IF(DADOS!F1513="","",DADOS!F1513)</f>
        <v/>
      </c>
      <c r="K1513" s="6" t="str">
        <f t="shared" si="120"/>
        <v/>
      </c>
      <c r="L1513" s="7" t="str">
        <f t="shared" si="121"/>
        <v/>
      </c>
      <c r="M1513" s="7" t="str">
        <f t="shared" si="118"/>
        <v/>
      </c>
      <c r="N1513" s="7" t="str">
        <f t="shared" si="122"/>
        <v/>
      </c>
      <c r="O1513" s="8"/>
      <c r="P1513" s="26"/>
      <c r="S1513" s="10" t="str">
        <f t="shared" si="119"/>
        <v/>
      </c>
    </row>
    <row r="1514" spans="5:19" x14ac:dyDescent="0.3">
      <c r="E1514" s="9" t="str">
        <f>IF(DADOS!C1514="","",DADOS!C1514)</f>
        <v/>
      </c>
      <c r="F1514" s="9" t="str">
        <f>IF(DADOS!E1514="","",DADOS!E1514)</f>
        <v/>
      </c>
      <c r="G1514" s="9" t="str">
        <f>IF(DADOS!F1514="","",DADOS!F1514)</f>
        <v/>
      </c>
      <c r="K1514" s="6" t="str">
        <f t="shared" si="120"/>
        <v/>
      </c>
      <c r="L1514" s="7" t="str">
        <f t="shared" si="121"/>
        <v/>
      </c>
      <c r="M1514" s="7" t="str">
        <f t="shared" si="118"/>
        <v/>
      </c>
      <c r="N1514" s="7" t="str">
        <f t="shared" si="122"/>
        <v/>
      </c>
      <c r="O1514" s="8"/>
      <c r="P1514" s="26"/>
      <c r="S1514" s="10" t="str">
        <f t="shared" si="119"/>
        <v/>
      </c>
    </row>
    <row r="1515" spans="5:19" x14ac:dyDescent="0.3">
      <c r="E1515" s="9" t="str">
        <f>IF(DADOS!C1515="","",DADOS!C1515)</f>
        <v/>
      </c>
      <c r="F1515" s="9" t="str">
        <f>IF(DADOS!E1515="","",DADOS!E1515)</f>
        <v/>
      </c>
      <c r="G1515" s="9" t="str">
        <f>IF(DADOS!F1515="","",DADOS!F1515)</f>
        <v/>
      </c>
      <c r="K1515" s="6" t="str">
        <f t="shared" si="120"/>
        <v/>
      </c>
      <c r="L1515" s="7" t="str">
        <f t="shared" si="121"/>
        <v/>
      </c>
      <c r="M1515" s="7" t="str">
        <f t="shared" si="118"/>
        <v/>
      </c>
      <c r="N1515" s="7" t="str">
        <f t="shared" si="122"/>
        <v/>
      </c>
      <c r="O1515" s="8"/>
      <c r="P1515" s="26"/>
      <c r="S1515" s="10" t="str">
        <f t="shared" si="119"/>
        <v/>
      </c>
    </row>
    <row r="1516" spans="5:19" x14ac:dyDescent="0.3">
      <c r="E1516" s="9" t="str">
        <f>IF(DADOS!C1516="","",DADOS!C1516)</f>
        <v/>
      </c>
      <c r="F1516" s="9" t="str">
        <f>IF(DADOS!E1516="","",DADOS!E1516)</f>
        <v/>
      </c>
      <c r="G1516" s="9" t="str">
        <f>IF(DADOS!F1516="","",DADOS!F1516)</f>
        <v/>
      </c>
      <c r="K1516" s="6" t="str">
        <f t="shared" si="120"/>
        <v/>
      </c>
      <c r="L1516" s="7" t="str">
        <f t="shared" si="121"/>
        <v/>
      </c>
      <c r="M1516" s="7" t="str">
        <f t="shared" si="118"/>
        <v/>
      </c>
      <c r="N1516" s="7" t="str">
        <f t="shared" si="122"/>
        <v/>
      </c>
      <c r="O1516" s="8"/>
      <c r="P1516" s="26"/>
      <c r="S1516" s="10" t="str">
        <f t="shared" si="119"/>
        <v/>
      </c>
    </row>
    <row r="1517" spans="5:19" x14ac:dyDescent="0.3">
      <c r="E1517" s="9" t="str">
        <f>IF(DADOS!C1517="","",DADOS!C1517)</f>
        <v/>
      </c>
      <c r="F1517" s="9" t="str">
        <f>IF(DADOS!E1517="","",DADOS!E1517)</f>
        <v/>
      </c>
      <c r="G1517" s="9" t="str">
        <f>IF(DADOS!F1517="","",DADOS!F1517)</f>
        <v/>
      </c>
      <c r="K1517" s="6" t="str">
        <f t="shared" si="120"/>
        <v/>
      </c>
      <c r="L1517" s="7" t="str">
        <f t="shared" si="121"/>
        <v/>
      </c>
      <c r="M1517" s="7" t="str">
        <f t="shared" si="118"/>
        <v/>
      </c>
      <c r="N1517" s="7" t="str">
        <f t="shared" si="122"/>
        <v/>
      </c>
      <c r="O1517" s="8"/>
      <c r="P1517" s="26"/>
      <c r="S1517" s="10" t="str">
        <f t="shared" si="119"/>
        <v/>
      </c>
    </row>
    <row r="1518" spans="5:19" x14ac:dyDescent="0.3">
      <c r="E1518" s="9" t="str">
        <f>IF(DADOS!C1518="","",DADOS!C1518)</f>
        <v/>
      </c>
      <c r="F1518" s="9" t="str">
        <f>IF(DADOS!E1518="","",DADOS!E1518)</f>
        <v/>
      </c>
      <c r="G1518" s="9" t="str">
        <f>IF(DADOS!F1518="","",DADOS!F1518)</f>
        <v/>
      </c>
      <c r="K1518" s="6" t="str">
        <f t="shared" si="120"/>
        <v/>
      </c>
      <c r="L1518" s="7" t="str">
        <f t="shared" si="121"/>
        <v/>
      </c>
      <c r="M1518" s="7" t="str">
        <f t="shared" si="118"/>
        <v/>
      </c>
      <c r="N1518" s="7" t="str">
        <f t="shared" si="122"/>
        <v/>
      </c>
      <c r="O1518" s="8"/>
      <c r="P1518" s="26"/>
      <c r="S1518" s="10" t="str">
        <f t="shared" si="119"/>
        <v/>
      </c>
    </row>
    <row r="1519" spans="5:19" x14ac:dyDescent="0.3">
      <c r="E1519" s="9" t="str">
        <f>IF(DADOS!C1519="","",DADOS!C1519)</f>
        <v/>
      </c>
      <c r="F1519" s="9" t="str">
        <f>IF(DADOS!E1519="","",DADOS!E1519)</f>
        <v/>
      </c>
      <c r="G1519" s="9" t="str">
        <f>IF(DADOS!F1519="","",DADOS!F1519)</f>
        <v/>
      </c>
      <c r="K1519" s="6" t="str">
        <f t="shared" si="120"/>
        <v/>
      </c>
      <c r="L1519" s="7" t="str">
        <f t="shared" si="121"/>
        <v/>
      </c>
      <c r="M1519" s="7" t="str">
        <f t="shared" si="118"/>
        <v/>
      </c>
      <c r="N1519" s="7" t="str">
        <f t="shared" si="122"/>
        <v/>
      </c>
      <c r="O1519" s="8"/>
      <c r="P1519" s="26"/>
      <c r="S1519" s="10" t="str">
        <f t="shared" si="119"/>
        <v/>
      </c>
    </row>
    <row r="1520" spans="5:19" x14ac:dyDescent="0.3">
      <c r="E1520" s="9" t="str">
        <f>IF(DADOS!C1520="","",DADOS!C1520)</f>
        <v/>
      </c>
      <c r="F1520" s="9" t="str">
        <f>IF(DADOS!E1520="","",DADOS!E1520)</f>
        <v/>
      </c>
      <c r="G1520" s="9" t="str">
        <f>IF(DADOS!F1520="","",DADOS!F1520)</f>
        <v/>
      </c>
      <c r="K1520" s="6" t="str">
        <f t="shared" si="120"/>
        <v/>
      </c>
      <c r="L1520" s="7" t="str">
        <f t="shared" si="121"/>
        <v/>
      </c>
      <c r="M1520" s="7" t="str">
        <f t="shared" si="118"/>
        <v/>
      </c>
      <c r="N1520" s="7" t="str">
        <f t="shared" si="122"/>
        <v/>
      </c>
      <c r="O1520" s="8"/>
      <c r="P1520" s="26"/>
      <c r="S1520" s="10" t="str">
        <f t="shared" si="119"/>
        <v/>
      </c>
    </row>
    <row r="1521" spans="5:19" x14ac:dyDescent="0.3">
      <c r="E1521" s="9" t="str">
        <f>IF(DADOS!C1521="","",DADOS!C1521)</f>
        <v/>
      </c>
      <c r="F1521" s="9" t="str">
        <f>IF(DADOS!E1521="","",DADOS!E1521)</f>
        <v/>
      </c>
      <c r="G1521" s="9" t="str">
        <f>IF(DADOS!F1521="","",DADOS!F1521)</f>
        <v/>
      </c>
      <c r="K1521" s="6" t="str">
        <f t="shared" si="120"/>
        <v/>
      </c>
      <c r="L1521" s="7" t="str">
        <f t="shared" si="121"/>
        <v/>
      </c>
      <c r="M1521" s="7" t="str">
        <f t="shared" si="118"/>
        <v/>
      </c>
      <c r="N1521" s="7" t="str">
        <f t="shared" si="122"/>
        <v/>
      </c>
      <c r="O1521" s="8"/>
      <c r="P1521" s="26"/>
      <c r="S1521" s="10" t="str">
        <f t="shared" si="119"/>
        <v/>
      </c>
    </row>
    <row r="1522" spans="5:19" x14ac:dyDescent="0.3">
      <c r="E1522" s="9" t="str">
        <f>IF(DADOS!C1522="","",DADOS!C1522)</f>
        <v/>
      </c>
      <c r="F1522" s="9" t="str">
        <f>IF(DADOS!E1522="","",DADOS!E1522)</f>
        <v/>
      </c>
      <c r="G1522" s="9" t="str">
        <f>IF(DADOS!F1522="","",DADOS!F1522)</f>
        <v/>
      </c>
      <c r="K1522" s="6" t="str">
        <f t="shared" si="120"/>
        <v/>
      </c>
      <c r="L1522" s="7" t="str">
        <f t="shared" si="121"/>
        <v/>
      </c>
      <c r="M1522" s="7" t="str">
        <f t="shared" si="118"/>
        <v/>
      </c>
      <c r="N1522" s="7" t="str">
        <f t="shared" si="122"/>
        <v/>
      </c>
      <c r="O1522" s="8"/>
      <c r="P1522" s="26"/>
      <c r="S1522" s="10" t="str">
        <f t="shared" si="119"/>
        <v/>
      </c>
    </row>
    <row r="1523" spans="5:19" x14ac:dyDescent="0.3">
      <c r="E1523" s="9" t="str">
        <f>IF(DADOS!C1523="","",DADOS!C1523)</f>
        <v/>
      </c>
      <c r="F1523" s="9" t="str">
        <f>IF(DADOS!E1523="","",DADOS!E1523)</f>
        <v/>
      </c>
      <c r="G1523" s="9" t="str">
        <f>IF(DADOS!F1523="","",DADOS!F1523)</f>
        <v/>
      </c>
      <c r="K1523" s="6" t="str">
        <f t="shared" si="120"/>
        <v/>
      </c>
      <c r="L1523" s="7" t="str">
        <f t="shared" si="121"/>
        <v/>
      </c>
      <c r="M1523" s="7" t="str">
        <f t="shared" si="118"/>
        <v/>
      </c>
      <c r="N1523" s="7" t="str">
        <f t="shared" si="122"/>
        <v/>
      </c>
      <c r="O1523" s="8"/>
      <c r="P1523" s="26"/>
      <c r="S1523" s="10" t="str">
        <f t="shared" si="119"/>
        <v/>
      </c>
    </row>
    <row r="1524" spans="5:19" x14ac:dyDescent="0.3">
      <c r="E1524" s="9" t="str">
        <f>IF(DADOS!C1524="","",DADOS!C1524)</f>
        <v/>
      </c>
      <c r="F1524" s="9" t="str">
        <f>IF(DADOS!E1524="","",DADOS!E1524)</f>
        <v/>
      </c>
      <c r="G1524" s="9" t="str">
        <f>IF(DADOS!F1524="","",DADOS!F1524)</f>
        <v/>
      </c>
      <c r="K1524" s="6" t="str">
        <f t="shared" si="120"/>
        <v/>
      </c>
      <c r="L1524" s="7" t="str">
        <f t="shared" si="121"/>
        <v/>
      </c>
      <c r="M1524" s="7" t="str">
        <f t="shared" si="118"/>
        <v/>
      </c>
      <c r="N1524" s="7" t="str">
        <f t="shared" si="122"/>
        <v/>
      </c>
      <c r="O1524" s="8"/>
      <c r="P1524" s="26"/>
      <c r="S1524" s="10" t="str">
        <f t="shared" si="119"/>
        <v/>
      </c>
    </row>
    <row r="1525" spans="5:19" x14ac:dyDescent="0.3">
      <c r="E1525" s="9" t="str">
        <f>IF(DADOS!C1525="","",DADOS!C1525)</f>
        <v/>
      </c>
      <c r="F1525" s="9" t="str">
        <f>IF(DADOS!E1525="","",DADOS!E1525)</f>
        <v/>
      </c>
      <c r="G1525" s="9" t="str">
        <f>IF(DADOS!F1525="","",DADOS!F1525)</f>
        <v/>
      </c>
      <c r="K1525" s="6" t="str">
        <f t="shared" si="120"/>
        <v/>
      </c>
      <c r="L1525" s="7" t="str">
        <f t="shared" si="121"/>
        <v/>
      </c>
      <c r="M1525" s="7" t="str">
        <f t="shared" si="118"/>
        <v/>
      </c>
      <c r="N1525" s="7" t="str">
        <f t="shared" si="122"/>
        <v/>
      </c>
      <c r="O1525" s="8"/>
      <c r="P1525" s="26"/>
      <c r="S1525" s="10" t="str">
        <f t="shared" si="119"/>
        <v/>
      </c>
    </row>
    <row r="1526" spans="5:19" x14ac:dyDescent="0.3">
      <c r="E1526" s="9" t="str">
        <f>IF(DADOS!C1526="","",DADOS!C1526)</f>
        <v/>
      </c>
      <c r="F1526" s="9" t="str">
        <f>IF(DADOS!E1526="","",DADOS!E1526)</f>
        <v/>
      </c>
      <c r="G1526" s="9" t="str">
        <f>IF(DADOS!F1526="","",DADOS!F1526)</f>
        <v/>
      </c>
      <c r="K1526" s="6" t="str">
        <f t="shared" si="120"/>
        <v/>
      </c>
      <c r="L1526" s="7" t="str">
        <f t="shared" si="121"/>
        <v/>
      </c>
      <c r="M1526" s="7" t="str">
        <f t="shared" si="118"/>
        <v/>
      </c>
      <c r="N1526" s="7" t="str">
        <f t="shared" si="122"/>
        <v/>
      </c>
      <c r="O1526" s="8"/>
      <c r="P1526" s="26"/>
      <c r="S1526" s="10" t="str">
        <f t="shared" si="119"/>
        <v/>
      </c>
    </row>
    <row r="1527" spans="5:19" x14ac:dyDescent="0.3">
      <c r="E1527" s="9" t="str">
        <f>IF(DADOS!C1527="","",DADOS!C1527)</f>
        <v/>
      </c>
      <c r="F1527" s="9" t="str">
        <f>IF(DADOS!E1527="","",DADOS!E1527)</f>
        <v/>
      </c>
      <c r="G1527" s="9" t="str">
        <f>IF(DADOS!F1527="","",DADOS!F1527)</f>
        <v/>
      </c>
      <c r="K1527" s="6" t="str">
        <f t="shared" si="120"/>
        <v/>
      </c>
      <c r="L1527" s="7" t="str">
        <f t="shared" si="121"/>
        <v/>
      </c>
      <c r="M1527" s="7" t="str">
        <f t="shared" si="118"/>
        <v/>
      </c>
      <c r="N1527" s="7" t="str">
        <f t="shared" si="122"/>
        <v/>
      </c>
      <c r="O1527" s="8"/>
      <c r="P1527" s="26"/>
      <c r="S1527" s="10" t="str">
        <f t="shared" si="119"/>
        <v/>
      </c>
    </row>
    <row r="1528" spans="5:19" x14ac:dyDescent="0.3">
      <c r="E1528" s="9" t="str">
        <f>IF(DADOS!C1528="","",DADOS!C1528)</f>
        <v/>
      </c>
      <c r="F1528" s="9" t="str">
        <f>IF(DADOS!E1528="","",DADOS!E1528)</f>
        <v/>
      </c>
      <c r="G1528" s="9" t="str">
        <f>IF(DADOS!F1528="","",DADOS!F1528)</f>
        <v/>
      </c>
      <c r="K1528" s="6" t="str">
        <f t="shared" si="120"/>
        <v/>
      </c>
      <c r="L1528" s="7" t="str">
        <f t="shared" si="121"/>
        <v/>
      </c>
      <c r="M1528" s="7" t="str">
        <f t="shared" si="118"/>
        <v/>
      </c>
      <c r="N1528" s="7" t="str">
        <f t="shared" si="122"/>
        <v/>
      </c>
      <c r="O1528" s="8"/>
      <c r="P1528" s="26"/>
      <c r="S1528" s="10" t="str">
        <f t="shared" si="119"/>
        <v/>
      </c>
    </row>
    <row r="1529" spans="5:19" x14ac:dyDescent="0.3">
      <c r="E1529" s="9" t="str">
        <f>IF(DADOS!C1529="","",DADOS!C1529)</f>
        <v/>
      </c>
      <c r="F1529" s="9" t="str">
        <f>IF(DADOS!E1529="","",DADOS!E1529)</f>
        <v/>
      </c>
      <c r="G1529" s="9" t="str">
        <f>IF(DADOS!F1529="","",DADOS!F1529)</f>
        <v/>
      </c>
      <c r="K1529" s="6" t="str">
        <f t="shared" si="120"/>
        <v/>
      </c>
      <c r="L1529" s="7" t="str">
        <f t="shared" si="121"/>
        <v/>
      </c>
      <c r="M1529" s="7" t="str">
        <f t="shared" si="118"/>
        <v/>
      </c>
      <c r="N1529" s="7" t="str">
        <f t="shared" si="122"/>
        <v/>
      </c>
      <c r="O1529" s="8"/>
      <c r="P1529" s="26"/>
      <c r="S1529" s="10" t="str">
        <f t="shared" si="119"/>
        <v/>
      </c>
    </row>
    <row r="1530" spans="5:19" x14ac:dyDescent="0.3">
      <c r="E1530" s="9" t="str">
        <f>IF(DADOS!C1530="","",DADOS!C1530)</f>
        <v/>
      </c>
      <c r="F1530" s="9" t="str">
        <f>IF(DADOS!E1530="","",DADOS!E1530)</f>
        <v/>
      </c>
      <c r="G1530" s="9" t="str">
        <f>IF(DADOS!F1530="","",DADOS!F1530)</f>
        <v/>
      </c>
      <c r="K1530" s="6" t="str">
        <f t="shared" si="120"/>
        <v/>
      </c>
      <c r="L1530" s="7" t="str">
        <f t="shared" si="121"/>
        <v/>
      </c>
      <c r="M1530" s="7" t="str">
        <f t="shared" si="118"/>
        <v/>
      </c>
      <c r="N1530" s="7" t="str">
        <f t="shared" si="122"/>
        <v/>
      </c>
      <c r="O1530" s="8"/>
      <c r="P1530" s="26"/>
      <c r="S1530" s="10" t="str">
        <f t="shared" si="119"/>
        <v/>
      </c>
    </row>
    <row r="1531" spans="5:19" x14ac:dyDescent="0.3">
      <c r="E1531" s="9" t="str">
        <f>IF(DADOS!C1531="","",DADOS!C1531)</f>
        <v/>
      </c>
      <c r="F1531" s="9" t="str">
        <f>IF(DADOS!E1531="","",DADOS!E1531)</f>
        <v/>
      </c>
      <c r="G1531" s="9" t="str">
        <f>IF(DADOS!F1531="","",DADOS!F1531)</f>
        <v/>
      </c>
      <c r="K1531" s="6" t="str">
        <f t="shared" si="120"/>
        <v/>
      </c>
      <c r="L1531" s="7" t="str">
        <f t="shared" si="121"/>
        <v/>
      </c>
      <c r="M1531" s="7" t="str">
        <f t="shared" si="118"/>
        <v/>
      </c>
      <c r="N1531" s="7" t="str">
        <f t="shared" si="122"/>
        <v/>
      </c>
      <c r="O1531" s="8"/>
      <c r="P1531" s="26"/>
      <c r="S1531" s="10" t="str">
        <f t="shared" si="119"/>
        <v/>
      </c>
    </row>
    <row r="1532" spans="5:19" x14ac:dyDescent="0.3">
      <c r="E1532" s="9" t="str">
        <f>IF(DADOS!C1532="","",DADOS!C1532)</f>
        <v/>
      </c>
      <c r="F1532" s="9" t="str">
        <f>IF(DADOS!E1532="","",DADOS!E1532)</f>
        <v/>
      </c>
      <c r="G1532" s="9" t="str">
        <f>IF(DADOS!F1532="","",DADOS!F1532)</f>
        <v/>
      </c>
      <c r="K1532" s="6" t="str">
        <f t="shared" si="120"/>
        <v/>
      </c>
      <c r="L1532" s="7" t="str">
        <f t="shared" si="121"/>
        <v/>
      </c>
      <c r="M1532" s="7" t="str">
        <f t="shared" si="118"/>
        <v/>
      </c>
      <c r="N1532" s="7" t="str">
        <f t="shared" si="122"/>
        <v/>
      </c>
      <c r="O1532" s="8"/>
      <c r="P1532" s="26"/>
      <c r="S1532" s="10" t="str">
        <f t="shared" si="119"/>
        <v/>
      </c>
    </row>
    <row r="1533" spans="5:19" x14ac:dyDescent="0.3">
      <c r="E1533" s="9" t="str">
        <f>IF(DADOS!C1533="","",DADOS!C1533)</f>
        <v/>
      </c>
      <c r="F1533" s="9" t="str">
        <f>IF(DADOS!E1533="","",DADOS!E1533)</f>
        <v/>
      </c>
      <c r="G1533" s="9" t="str">
        <f>IF(DADOS!F1533="","",DADOS!F1533)</f>
        <v/>
      </c>
      <c r="K1533" s="6" t="str">
        <f t="shared" si="120"/>
        <v/>
      </c>
      <c r="L1533" s="7" t="str">
        <f t="shared" si="121"/>
        <v/>
      </c>
      <c r="M1533" s="7" t="str">
        <f t="shared" si="118"/>
        <v/>
      </c>
      <c r="N1533" s="7" t="str">
        <f t="shared" si="122"/>
        <v/>
      </c>
      <c r="O1533" s="8"/>
      <c r="P1533" s="26"/>
      <c r="S1533" s="10" t="str">
        <f t="shared" si="119"/>
        <v/>
      </c>
    </row>
    <row r="1534" spans="5:19" x14ac:dyDescent="0.3">
      <c r="E1534" s="9" t="str">
        <f>IF(DADOS!C1534="","",DADOS!C1534)</f>
        <v/>
      </c>
      <c r="F1534" s="9" t="str">
        <f>IF(DADOS!E1534="","",DADOS!E1534)</f>
        <v/>
      </c>
      <c r="G1534" s="9" t="str">
        <f>IF(DADOS!F1534="","",DADOS!F1534)</f>
        <v/>
      </c>
      <c r="K1534" s="6" t="str">
        <f t="shared" si="120"/>
        <v/>
      </c>
      <c r="L1534" s="7" t="str">
        <f t="shared" si="121"/>
        <v/>
      </c>
      <c r="M1534" s="7" t="str">
        <f t="shared" si="118"/>
        <v/>
      </c>
      <c r="N1534" s="7" t="str">
        <f t="shared" si="122"/>
        <v/>
      </c>
      <c r="O1534" s="8"/>
      <c r="P1534" s="26"/>
      <c r="S1534" s="10" t="str">
        <f t="shared" si="119"/>
        <v/>
      </c>
    </row>
    <row r="1535" spans="5:19" x14ac:dyDescent="0.3">
      <c r="E1535" s="9" t="str">
        <f>IF(DADOS!C1535="","",DADOS!C1535)</f>
        <v/>
      </c>
      <c r="F1535" s="9" t="str">
        <f>IF(DADOS!E1535="","",DADOS!E1535)</f>
        <v/>
      </c>
      <c r="G1535" s="9" t="str">
        <f>IF(DADOS!F1535="","",DADOS!F1535)</f>
        <v/>
      </c>
      <c r="K1535" s="6" t="str">
        <f t="shared" si="120"/>
        <v/>
      </c>
      <c r="L1535" s="7" t="str">
        <f t="shared" si="121"/>
        <v/>
      </c>
      <c r="M1535" s="7" t="str">
        <f t="shared" si="118"/>
        <v/>
      </c>
      <c r="N1535" s="7" t="str">
        <f t="shared" si="122"/>
        <v/>
      </c>
      <c r="O1535" s="8"/>
      <c r="P1535" s="26"/>
      <c r="S1535" s="10" t="str">
        <f t="shared" si="119"/>
        <v/>
      </c>
    </row>
    <row r="1536" spans="5:19" x14ac:dyDescent="0.3">
      <c r="E1536" s="9" t="str">
        <f>IF(DADOS!C1536="","",DADOS!C1536)</f>
        <v/>
      </c>
      <c r="F1536" s="9" t="str">
        <f>IF(DADOS!E1536="","",DADOS!E1536)</f>
        <v/>
      </c>
      <c r="G1536" s="9" t="str">
        <f>IF(DADOS!F1536="","",DADOS!F1536)</f>
        <v/>
      </c>
      <c r="K1536" s="6" t="str">
        <f t="shared" si="120"/>
        <v/>
      </c>
      <c r="L1536" s="7" t="str">
        <f t="shared" si="121"/>
        <v/>
      </c>
      <c r="M1536" s="7" t="str">
        <f t="shared" si="118"/>
        <v/>
      </c>
      <c r="N1536" s="7" t="str">
        <f t="shared" si="122"/>
        <v/>
      </c>
      <c r="O1536" s="8"/>
      <c r="P1536" s="26"/>
      <c r="S1536" s="10" t="str">
        <f t="shared" si="119"/>
        <v/>
      </c>
    </row>
    <row r="1537" spans="5:19" x14ac:dyDescent="0.3">
      <c r="E1537" s="9" t="str">
        <f>IF(DADOS!C1537="","",DADOS!C1537)</f>
        <v/>
      </c>
      <c r="F1537" s="9" t="str">
        <f>IF(DADOS!E1537="","",DADOS!E1537)</f>
        <v/>
      </c>
      <c r="G1537" s="9" t="str">
        <f>IF(DADOS!F1537="","",DADOS!F1537)</f>
        <v/>
      </c>
      <c r="K1537" s="6" t="str">
        <f t="shared" si="120"/>
        <v/>
      </c>
      <c r="L1537" s="7" t="str">
        <f t="shared" si="121"/>
        <v/>
      </c>
      <c r="M1537" s="7" t="str">
        <f t="shared" si="118"/>
        <v/>
      </c>
      <c r="N1537" s="7" t="str">
        <f t="shared" si="122"/>
        <v/>
      </c>
      <c r="O1537" s="8"/>
      <c r="P1537" s="26"/>
      <c r="S1537" s="10" t="str">
        <f t="shared" si="119"/>
        <v/>
      </c>
    </row>
    <row r="1538" spans="5:19" x14ac:dyDescent="0.3">
      <c r="E1538" s="9" t="str">
        <f>IF(DADOS!C1538="","",DADOS!C1538)</f>
        <v/>
      </c>
      <c r="F1538" s="9" t="str">
        <f>IF(DADOS!E1538="","",DADOS!E1538)</f>
        <v/>
      </c>
      <c r="G1538" s="9" t="str">
        <f>IF(DADOS!F1538="","",DADOS!F1538)</f>
        <v/>
      </c>
      <c r="K1538" s="6" t="str">
        <f t="shared" si="120"/>
        <v/>
      </c>
      <c r="L1538" s="7" t="str">
        <f t="shared" si="121"/>
        <v/>
      </c>
      <c r="M1538" s="7" t="str">
        <f t="shared" si="118"/>
        <v/>
      </c>
      <c r="N1538" s="7" t="str">
        <f t="shared" si="122"/>
        <v/>
      </c>
      <c r="O1538" s="8"/>
      <c r="P1538" s="26"/>
      <c r="S1538" s="10" t="str">
        <f t="shared" si="119"/>
        <v/>
      </c>
    </row>
    <row r="1539" spans="5:19" x14ac:dyDescent="0.3">
      <c r="E1539" s="9" t="str">
        <f>IF(DADOS!C1539="","",DADOS!C1539)</f>
        <v/>
      </c>
      <c r="F1539" s="9" t="str">
        <f>IF(DADOS!E1539="","",DADOS!E1539)</f>
        <v/>
      </c>
      <c r="G1539" s="9" t="str">
        <f>IF(DADOS!F1539="","",DADOS!F1539)</f>
        <v/>
      </c>
      <c r="K1539" s="6" t="str">
        <f t="shared" si="120"/>
        <v/>
      </c>
      <c r="L1539" s="7" t="str">
        <f t="shared" si="121"/>
        <v/>
      </c>
      <c r="M1539" s="7" t="str">
        <f t="shared" ref="M1539:M1602" si="123">IF(L1539="","",L1539*G1539)</f>
        <v/>
      </c>
      <c r="N1539" s="7" t="str">
        <f t="shared" si="122"/>
        <v/>
      </c>
      <c r="O1539" s="8"/>
      <c r="P1539" s="26"/>
      <c r="S1539" s="10" t="str">
        <f t="shared" ref="S1539:S1602" si="124">IF(R1539="","",SUMIFS($N$3:$N$10000,$E$3:$E$10000,R1539))</f>
        <v/>
      </c>
    </row>
    <row r="1540" spans="5:19" x14ac:dyDescent="0.3">
      <c r="E1540" s="9" t="str">
        <f>IF(DADOS!C1540="","",DADOS!C1540)</f>
        <v/>
      </c>
      <c r="F1540" s="9" t="str">
        <f>IF(DADOS!E1540="","",DADOS!E1540)</f>
        <v/>
      </c>
      <c r="G1540" s="9" t="str">
        <f>IF(DADOS!F1540="","",DADOS!F1540)</f>
        <v/>
      </c>
      <c r="K1540" s="6" t="str">
        <f t="shared" ref="K1540:K1603" si="125">IF(F1540="","",F1540/PI())</f>
        <v/>
      </c>
      <c r="L1540" s="7" t="str">
        <f t="shared" ref="L1540:L1603" si="126">IF(K1540="","",(PI()*K1540^2)/40000)</f>
        <v/>
      </c>
      <c r="M1540" s="7" t="str">
        <f t="shared" si="123"/>
        <v/>
      </c>
      <c r="N1540" s="7" t="str">
        <f t="shared" ref="N1540:N1603" si="127">IF(M1540="","",M1540*N$1)</f>
        <v/>
      </c>
      <c r="O1540" s="8"/>
      <c r="P1540" s="26"/>
      <c r="S1540" s="10" t="str">
        <f t="shared" si="124"/>
        <v/>
      </c>
    </row>
    <row r="1541" spans="5:19" x14ac:dyDescent="0.3">
      <c r="E1541" s="9" t="str">
        <f>IF(DADOS!C1541="","",DADOS!C1541)</f>
        <v/>
      </c>
      <c r="F1541" s="9" t="str">
        <f>IF(DADOS!E1541="","",DADOS!E1541)</f>
        <v/>
      </c>
      <c r="G1541" s="9" t="str">
        <f>IF(DADOS!F1541="","",DADOS!F1541)</f>
        <v/>
      </c>
      <c r="K1541" s="6" t="str">
        <f t="shared" si="125"/>
        <v/>
      </c>
      <c r="L1541" s="7" t="str">
        <f t="shared" si="126"/>
        <v/>
      </c>
      <c r="M1541" s="7" t="str">
        <f t="shared" si="123"/>
        <v/>
      </c>
      <c r="N1541" s="7" t="str">
        <f t="shared" si="127"/>
        <v/>
      </c>
      <c r="O1541" s="8"/>
      <c r="P1541" s="26"/>
      <c r="S1541" s="10" t="str">
        <f t="shared" si="124"/>
        <v/>
      </c>
    </row>
    <row r="1542" spans="5:19" x14ac:dyDescent="0.3">
      <c r="E1542" s="9" t="str">
        <f>IF(DADOS!C1542="","",DADOS!C1542)</f>
        <v/>
      </c>
      <c r="F1542" s="9" t="str">
        <f>IF(DADOS!E1542="","",DADOS!E1542)</f>
        <v/>
      </c>
      <c r="G1542" s="9" t="str">
        <f>IF(DADOS!F1542="","",DADOS!F1542)</f>
        <v/>
      </c>
      <c r="K1542" s="6" t="str">
        <f t="shared" si="125"/>
        <v/>
      </c>
      <c r="L1542" s="7" t="str">
        <f t="shared" si="126"/>
        <v/>
      </c>
      <c r="M1542" s="7" t="str">
        <f t="shared" si="123"/>
        <v/>
      </c>
      <c r="N1542" s="7" t="str">
        <f t="shared" si="127"/>
        <v/>
      </c>
      <c r="O1542" s="8"/>
      <c r="P1542" s="26"/>
      <c r="S1542" s="10" t="str">
        <f t="shared" si="124"/>
        <v/>
      </c>
    </row>
    <row r="1543" spans="5:19" x14ac:dyDescent="0.3">
      <c r="E1543" s="9" t="str">
        <f>IF(DADOS!C1543="","",DADOS!C1543)</f>
        <v/>
      </c>
      <c r="F1543" s="9" t="str">
        <f>IF(DADOS!E1543="","",DADOS!E1543)</f>
        <v/>
      </c>
      <c r="G1543" s="9" t="str">
        <f>IF(DADOS!F1543="","",DADOS!F1543)</f>
        <v/>
      </c>
      <c r="K1543" s="6" t="str">
        <f t="shared" si="125"/>
        <v/>
      </c>
      <c r="L1543" s="7" t="str">
        <f t="shared" si="126"/>
        <v/>
      </c>
      <c r="M1543" s="7" t="str">
        <f t="shared" si="123"/>
        <v/>
      </c>
      <c r="N1543" s="7" t="str">
        <f t="shared" si="127"/>
        <v/>
      </c>
      <c r="O1543" s="8"/>
      <c r="P1543" s="26"/>
      <c r="S1543" s="10" t="str">
        <f t="shared" si="124"/>
        <v/>
      </c>
    </row>
    <row r="1544" spans="5:19" x14ac:dyDescent="0.3">
      <c r="E1544" s="9" t="str">
        <f>IF(DADOS!C1544="","",DADOS!C1544)</f>
        <v/>
      </c>
      <c r="F1544" s="9" t="str">
        <f>IF(DADOS!E1544="","",DADOS!E1544)</f>
        <v/>
      </c>
      <c r="G1544" s="9" t="str">
        <f>IF(DADOS!F1544="","",DADOS!F1544)</f>
        <v/>
      </c>
      <c r="K1544" s="6" t="str">
        <f t="shared" si="125"/>
        <v/>
      </c>
      <c r="L1544" s="7" t="str">
        <f t="shared" si="126"/>
        <v/>
      </c>
      <c r="M1544" s="7" t="str">
        <f t="shared" si="123"/>
        <v/>
      </c>
      <c r="N1544" s="7" t="str">
        <f t="shared" si="127"/>
        <v/>
      </c>
      <c r="O1544" s="8"/>
      <c r="P1544" s="26"/>
      <c r="S1544" s="10" t="str">
        <f t="shared" si="124"/>
        <v/>
      </c>
    </row>
    <row r="1545" spans="5:19" x14ac:dyDescent="0.3">
      <c r="E1545" s="9" t="str">
        <f>IF(DADOS!C1545="","",DADOS!C1545)</f>
        <v/>
      </c>
      <c r="F1545" s="9" t="str">
        <f>IF(DADOS!E1545="","",DADOS!E1545)</f>
        <v/>
      </c>
      <c r="G1545" s="9" t="str">
        <f>IF(DADOS!F1545="","",DADOS!F1545)</f>
        <v/>
      </c>
      <c r="K1545" s="6" t="str">
        <f t="shared" si="125"/>
        <v/>
      </c>
      <c r="L1545" s="7" t="str">
        <f t="shared" si="126"/>
        <v/>
      </c>
      <c r="M1545" s="7" t="str">
        <f t="shared" si="123"/>
        <v/>
      </c>
      <c r="N1545" s="7" t="str">
        <f t="shared" si="127"/>
        <v/>
      </c>
      <c r="O1545" s="8"/>
      <c r="P1545" s="26"/>
      <c r="S1545" s="10" t="str">
        <f t="shared" si="124"/>
        <v/>
      </c>
    </row>
    <row r="1546" spans="5:19" x14ac:dyDescent="0.3">
      <c r="E1546" s="9" t="str">
        <f>IF(DADOS!C1546="","",DADOS!C1546)</f>
        <v/>
      </c>
      <c r="F1546" s="9" t="str">
        <f>IF(DADOS!E1546="","",DADOS!E1546)</f>
        <v/>
      </c>
      <c r="G1546" s="9" t="str">
        <f>IF(DADOS!F1546="","",DADOS!F1546)</f>
        <v/>
      </c>
      <c r="K1546" s="6" t="str">
        <f t="shared" si="125"/>
        <v/>
      </c>
      <c r="L1546" s="7" t="str">
        <f t="shared" si="126"/>
        <v/>
      </c>
      <c r="M1546" s="7" t="str">
        <f t="shared" si="123"/>
        <v/>
      </c>
      <c r="N1546" s="7" t="str">
        <f t="shared" si="127"/>
        <v/>
      </c>
      <c r="O1546" s="8"/>
      <c r="P1546" s="26"/>
      <c r="S1546" s="10" t="str">
        <f t="shared" si="124"/>
        <v/>
      </c>
    </row>
    <row r="1547" spans="5:19" x14ac:dyDescent="0.3">
      <c r="E1547" s="9" t="str">
        <f>IF(DADOS!C1547="","",DADOS!C1547)</f>
        <v/>
      </c>
      <c r="F1547" s="9" t="str">
        <f>IF(DADOS!E1547="","",DADOS!E1547)</f>
        <v/>
      </c>
      <c r="G1547" s="9" t="str">
        <f>IF(DADOS!F1547="","",DADOS!F1547)</f>
        <v/>
      </c>
      <c r="K1547" s="6" t="str">
        <f t="shared" si="125"/>
        <v/>
      </c>
      <c r="L1547" s="7" t="str">
        <f t="shared" si="126"/>
        <v/>
      </c>
      <c r="M1547" s="7" t="str">
        <f t="shared" si="123"/>
        <v/>
      </c>
      <c r="N1547" s="7" t="str">
        <f t="shared" si="127"/>
        <v/>
      </c>
      <c r="O1547" s="8"/>
      <c r="P1547" s="26"/>
      <c r="S1547" s="10" t="str">
        <f t="shared" si="124"/>
        <v/>
      </c>
    </row>
    <row r="1548" spans="5:19" x14ac:dyDescent="0.3">
      <c r="E1548" s="9" t="str">
        <f>IF(DADOS!C1548="","",DADOS!C1548)</f>
        <v/>
      </c>
      <c r="F1548" s="9" t="str">
        <f>IF(DADOS!E1548="","",DADOS!E1548)</f>
        <v/>
      </c>
      <c r="G1548" s="9" t="str">
        <f>IF(DADOS!F1548="","",DADOS!F1548)</f>
        <v/>
      </c>
      <c r="K1548" s="6" t="str">
        <f t="shared" si="125"/>
        <v/>
      </c>
      <c r="L1548" s="7" t="str">
        <f t="shared" si="126"/>
        <v/>
      </c>
      <c r="M1548" s="7" t="str">
        <f t="shared" si="123"/>
        <v/>
      </c>
      <c r="N1548" s="7" t="str">
        <f t="shared" si="127"/>
        <v/>
      </c>
      <c r="O1548" s="8"/>
      <c r="P1548" s="26"/>
      <c r="S1548" s="10" t="str">
        <f t="shared" si="124"/>
        <v/>
      </c>
    </row>
    <row r="1549" spans="5:19" x14ac:dyDescent="0.3">
      <c r="E1549" s="9" t="str">
        <f>IF(DADOS!C1549="","",DADOS!C1549)</f>
        <v/>
      </c>
      <c r="F1549" s="9" t="str">
        <f>IF(DADOS!E1549="","",DADOS!E1549)</f>
        <v/>
      </c>
      <c r="G1549" s="9" t="str">
        <f>IF(DADOS!F1549="","",DADOS!F1549)</f>
        <v/>
      </c>
      <c r="K1549" s="6" t="str">
        <f t="shared" si="125"/>
        <v/>
      </c>
      <c r="L1549" s="7" t="str">
        <f t="shared" si="126"/>
        <v/>
      </c>
      <c r="M1549" s="7" t="str">
        <f t="shared" si="123"/>
        <v/>
      </c>
      <c r="N1549" s="7" t="str">
        <f t="shared" si="127"/>
        <v/>
      </c>
      <c r="O1549" s="8"/>
      <c r="P1549" s="26"/>
      <c r="S1549" s="10" t="str">
        <f t="shared" si="124"/>
        <v/>
      </c>
    </row>
    <row r="1550" spans="5:19" x14ac:dyDescent="0.3">
      <c r="E1550" s="9" t="str">
        <f>IF(DADOS!C1550="","",DADOS!C1550)</f>
        <v/>
      </c>
      <c r="F1550" s="9" t="str">
        <f>IF(DADOS!E1550="","",DADOS!E1550)</f>
        <v/>
      </c>
      <c r="G1550" s="9" t="str">
        <f>IF(DADOS!F1550="","",DADOS!F1550)</f>
        <v/>
      </c>
      <c r="K1550" s="6" t="str">
        <f t="shared" si="125"/>
        <v/>
      </c>
      <c r="L1550" s="7" t="str">
        <f t="shared" si="126"/>
        <v/>
      </c>
      <c r="M1550" s="7" t="str">
        <f t="shared" si="123"/>
        <v/>
      </c>
      <c r="N1550" s="7" t="str">
        <f t="shared" si="127"/>
        <v/>
      </c>
      <c r="O1550" s="8"/>
      <c r="P1550" s="26"/>
      <c r="S1550" s="10" t="str">
        <f t="shared" si="124"/>
        <v/>
      </c>
    </row>
    <row r="1551" spans="5:19" x14ac:dyDescent="0.3">
      <c r="E1551" s="9" t="str">
        <f>IF(DADOS!C1551="","",DADOS!C1551)</f>
        <v/>
      </c>
      <c r="F1551" s="9" t="str">
        <f>IF(DADOS!E1551="","",DADOS!E1551)</f>
        <v/>
      </c>
      <c r="G1551" s="9" t="str">
        <f>IF(DADOS!F1551="","",DADOS!F1551)</f>
        <v/>
      </c>
      <c r="K1551" s="6" t="str">
        <f t="shared" si="125"/>
        <v/>
      </c>
      <c r="L1551" s="7" t="str">
        <f t="shared" si="126"/>
        <v/>
      </c>
      <c r="M1551" s="7" t="str">
        <f t="shared" si="123"/>
        <v/>
      </c>
      <c r="N1551" s="7" t="str">
        <f t="shared" si="127"/>
        <v/>
      </c>
      <c r="O1551" s="8"/>
      <c r="P1551" s="26"/>
      <c r="S1551" s="10" t="str">
        <f t="shared" si="124"/>
        <v/>
      </c>
    </row>
    <row r="1552" spans="5:19" x14ac:dyDescent="0.3">
      <c r="E1552" s="9" t="str">
        <f>IF(DADOS!C1552="","",DADOS!C1552)</f>
        <v/>
      </c>
      <c r="F1552" s="9" t="str">
        <f>IF(DADOS!E1552="","",DADOS!E1552)</f>
        <v/>
      </c>
      <c r="G1552" s="9" t="str">
        <f>IF(DADOS!F1552="","",DADOS!F1552)</f>
        <v/>
      </c>
      <c r="K1552" s="6" t="str">
        <f t="shared" si="125"/>
        <v/>
      </c>
      <c r="L1552" s="7" t="str">
        <f t="shared" si="126"/>
        <v/>
      </c>
      <c r="M1552" s="7" t="str">
        <f t="shared" si="123"/>
        <v/>
      </c>
      <c r="N1552" s="7" t="str">
        <f t="shared" si="127"/>
        <v/>
      </c>
      <c r="O1552" s="8"/>
      <c r="P1552" s="26"/>
      <c r="S1552" s="10" t="str">
        <f t="shared" si="124"/>
        <v/>
      </c>
    </row>
    <row r="1553" spans="5:19" x14ac:dyDescent="0.3">
      <c r="E1553" s="9" t="str">
        <f>IF(DADOS!C1553="","",DADOS!C1553)</f>
        <v/>
      </c>
      <c r="F1553" s="9" t="str">
        <f>IF(DADOS!E1553="","",DADOS!E1553)</f>
        <v/>
      </c>
      <c r="G1553" s="9" t="str">
        <f>IF(DADOS!F1553="","",DADOS!F1553)</f>
        <v/>
      </c>
      <c r="K1553" s="6" t="str">
        <f t="shared" si="125"/>
        <v/>
      </c>
      <c r="L1553" s="7" t="str">
        <f t="shared" si="126"/>
        <v/>
      </c>
      <c r="M1553" s="7" t="str">
        <f t="shared" si="123"/>
        <v/>
      </c>
      <c r="N1553" s="7" t="str">
        <f t="shared" si="127"/>
        <v/>
      </c>
      <c r="O1553" s="8"/>
      <c r="P1553" s="26"/>
      <c r="S1553" s="10" t="str">
        <f t="shared" si="124"/>
        <v/>
      </c>
    </row>
    <row r="1554" spans="5:19" x14ac:dyDescent="0.3">
      <c r="E1554" s="9" t="str">
        <f>IF(DADOS!C1554="","",DADOS!C1554)</f>
        <v/>
      </c>
      <c r="F1554" s="9" t="str">
        <f>IF(DADOS!E1554="","",DADOS!E1554)</f>
        <v/>
      </c>
      <c r="G1554" s="9" t="str">
        <f>IF(DADOS!F1554="","",DADOS!F1554)</f>
        <v/>
      </c>
      <c r="K1554" s="6" t="str">
        <f t="shared" si="125"/>
        <v/>
      </c>
      <c r="L1554" s="7" t="str">
        <f t="shared" si="126"/>
        <v/>
      </c>
      <c r="M1554" s="7" t="str">
        <f t="shared" si="123"/>
        <v/>
      </c>
      <c r="N1554" s="7" t="str">
        <f t="shared" si="127"/>
        <v/>
      </c>
      <c r="O1554" s="8"/>
      <c r="P1554" s="26"/>
      <c r="S1554" s="10" t="str">
        <f t="shared" si="124"/>
        <v/>
      </c>
    </row>
    <row r="1555" spans="5:19" x14ac:dyDescent="0.3">
      <c r="E1555" s="9" t="str">
        <f>IF(DADOS!C1555="","",DADOS!C1555)</f>
        <v/>
      </c>
      <c r="F1555" s="9" t="str">
        <f>IF(DADOS!E1555="","",DADOS!E1555)</f>
        <v/>
      </c>
      <c r="G1555" s="9" t="str">
        <f>IF(DADOS!F1555="","",DADOS!F1555)</f>
        <v/>
      </c>
      <c r="K1555" s="6" t="str">
        <f t="shared" si="125"/>
        <v/>
      </c>
      <c r="L1555" s="7" t="str">
        <f t="shared" si="126"/>
        <v/>
      </c>
      <c r="M1555" s="7" t="str">
        <f t="shared" si="123"/>
        <v/>
      </c>
      <c r="N1555" s="7" t="str">
        <f t="shared" si="127"/>
        <v/>
      </c>
      <c r="O1555" s="8"/>
      <c r="P1555" s="26"/>
      <c r="S1555" s="10" t="str">
        <f t="shared" si="124"/>
        <v/>
      </c>
    </row>
    <row r="1556" spans="5:19" x14ac:dyDescent="0.3">
      <c r="E1556" s="9" t="str">
        <f>IF(DADOS!C1556="","",DADOS!C1556)</f>
        <v/>
      </c>
      <c r="F1556" s="9" t="str">
        <f>IF(DADOS!E1556="","",DADOS!E1556)</f>
        <v/>
      </c>
      <c r="G1556" s="9" t="str">
        <f>IF(DADOS!F1556="","",DADOS!F1556)</f>
        <v/>
      </c>
      <c r="K1556" s="6" t="str">
        <f t="shared" si="125"/>
        <v/>
      </c>
      <c r="L1556" s="7" t="str">
        <f t="shared" si="126"/>
        <v/>
      </c>
      <c r="M1556" s="7" t="str">
        <f t="shared" si="123"/>
        <v/>
      </c>
      <c r="N1556" s="7" t="str">
        <f t="shared" si="127"/>
        <v/>
      </c>
      <c r="O1556" s="8"/>
      <c r="P1556" s="26"/>
      <c r="S1556" s="10" t="str">
        <f t="shared" si="124"/>
        <v/>
      </c>
    </row>
    <row r="1557" spans="5:19" x14ac:dyDescent="0.3">
      <c r="E1557" s="9" t="str">
        <f>IF(DADOS!C1557="","",DADOS!C1557)</f>
        <v/>
      </c>
      <c r="F1557" s="9" t="str">
        <f>IF(DADOS!E1557="","",DADOS!E1557)</f>
        <v/>
      </c>
      <c r="G1557" s="9" t="str">
        <f>IF(DADOS!F1557="","",DADOS!F1557)</f>
        <v/>
      </c>
      <c r="K1557" s="6" t="str">
        <f t="shared" si="125"/>
        <v/>
      </c>
      <c r="L1557" s="7" t="str">
        <f t="shared" si="126"/>
        <v/>
      </c>
      <c r="M1557" s="7" t="str">
        <f t="shared" si="123"/>
        <v/>
      </c>
      <c r="N1557" s="7" t="str">
        <f t="shared" si="127"/>
        <v/>
      </c>
      <c r="O1557" s="8"/>
      <c r="P1557" s="26"/>
      <c r="S1557" s="10" t="str">
        <f t="shared" si="124"/>
        <v/>
      </c>
    </row>
    <row r="1558" spans="5:19" x14ac:dyDescent="0.3">
      <c r="E1558" s="9" t="str">
        <f>IF(DADOS!C1558="","",DADOS!C1558)</f>
        <v/>
      </c>
      <c r="F1558" s="9" t="str">
        <f>IF(DADOS!E1558="","",DADOS!E1558)</f>
        <v/>
      </c>
      <c r="G1558" s="9" t="str">
        <f>IF(DADOS!F1558="","",DADOS!F1558)</f>
        <v/>
      </c>
      <c r="K1558" s="6" t="str">
        <f t="shared" si="125"/>
        <v/>
      </c>
      <c r="L1558" s="7" t="str">
        <f t="shared" si="126"/>
        <v/>
      </c>
      <c r="M1558" s="7" t="str">
        <f t="shared" si="123"/>
        <v/>
      </c>
      <c r="N1558" s="7" t="str">
        <f t="shared" si="127"/>
        <v/>
      </c>
      <c r="O1558" s="8"/>
      <c r="P1558" s="26"/>
      <c r="S1558" s="10" t="str">
        <f t="shared" si="124"/>
        <v/>
      </c>
    </row>
    <row r="1559" spans="5:19" x14ac:dyDescent="0.3">
      <c r="E1559" s="9" t="str">
        <f>IF(DADOS!C1559="","",DADOS!C1559)</f>
        <v/>
      </c>
      <c r="F1559" s="9" t="str">
        <f>IF(DADOS!E1559="","",DADOS!E1559)</f>
        <v/>
      </c>
      <c r="G1559" s="9" t="str">
        <f>IF(DADOS!F1559="","",DADOS!F1559)</f>
        <v/>
      </c>
      <c r="K1559" s="6" t="str">
        <f t="shared" si="125"/>
        <v/>
      </c>
      <c r="L1559" s="7" t="str">
        <f t="shared" si="126"/>
        <v/>
      </c>
      <c r="M1559" s="7" t="str">
        <f t="shared" si="123"/>
        <v/>
      </c>
      <c r="N1559" s="7" t="str">
        <f t="shared" si="127"/>
        <v/>
      </c>
      <c r="O1559" s="8"/>
      <c r="P1559" s="26"/>
      <c r="S1559" s="10" t="str">
        <f t="shared" si="124"/>
        <v/>
      </c>
    </row>
    <row r="1560" spans="5:19" x14ac:dyDescent="0.3">
      <c r="E1560" s="9" t="str">
        <f>IF(DADOS!C1560="","",DADOS!C1560)</f>
        <v/>
      </c>
      <c r="F1560" s="9" t="str">
        <f>IF(DADOS!E1560="","",DADOS!E1560)</f>
        <v/>
      </c>
      <c r="G1560" s="9" t="str">
        <f>IF(DADOS!F1560="","",DADOS!F1560)</f>
        <v/>
      </c>
      <c r="K1560" s="6" t="str">
        <f t="shared" si="125"/>
        <v/>
      </c>
      <c r="L1560" s="7" t="str">
        <f t="shared" si="126"/>
        <v/>
      </c>
      <c r="M1560" s="7" t="str">
        <f t="shared" si="123"/>
        <v/>
      </c>
      <c r="N1560" s="7" t="str">
        <f t="shared" si="127"/>
        <v/>
      </c>
      <c r="O1560" s="8"/>
      <c r="P1560" s="26"/>
      <c r="S1560" s="10" t="str">
        <f t="shared" si="124"/>
        <v/>
      </c>
    </row>
    <row r="1561" spans="5:19" x14ac:dyDescent="0.3">
      <c r="E1561" s="9" t="str">
        <f>IF(DADOS!C1561="","",DADOS!C1561)</f>
        <v/>
      </c>
      <c r="F1561" s="9" t="str">
        <f>IF(DADOS!E1561="","",DADOS!E1561)</f>
        <v/>
      </c>
      <c r="G1561" s="9" t="str">
        <f>IF(DADOS!F1561="","",DADOS!F1561)</f>
        <v/>
      </c>
      <c r="K1561" s="6" t="str">
        <f t="shared" si="125"/>
        <v/>
      </c>
      <c r="L1561" s="7" t="str">
        <f t="shared" si="126"/>
        <v/>
      </c>
      <c r="M1561" s="7" t="str">
        <f t="shared" si="123"/>
        <v/>
      </c>
      <c r="N1561" s="7" t="str">
        <f t="shared" si="127"/>
        <v/>
      </c>
      <c r="O1561" s="8"/>
      <c r="P1561" s="26"/>
      <c r="S1561" s="10" t="str">
        <f t="shared" si="124"/>
        <v/>
      </c>
    </row>
    <row r="1562" spans="5:19" x14ac:dyDescent="0.3">
      <c r="E1562" s="9" t="str">
        <f>IF(DADOS!C1562="","",DADOS!C1562)</f>
        <v/>
      </c>
      <c r="F1562" s="9" t="str">
        <f>IF(DADOS!E1562="","",DADOS!E1562)</f>
        <v/>
      </c>
      <c r="G1562" s="9" t="str">
        <f>IF(DADOS!F1562="","",DADOS!F1562)</f>
        <v/>
      </c>
      <c r="K1562" s="6" t="str">
        <f t="shared" si="125"/>
        <v/>
      </c>
      <c r="L1562" s="7" t="str">
        <f t="shared" si="126"/>
        <v/>
      </c>
      <c r="M1562" s="7" t="str">
        <f t="shared" si="123"/>
        <v/>
      </c>
      <c r="N1562" s="7" t="str">
        <f t="shared" si="127"/>
        <v/>
      </c>
      <c r="O1562" s="8"/>
      <c r="P1562" s="26"/>
      <c r="S1562" s="10" t="str">
        <f t="shared" si="124"/>
        <v/>
      </c>
    </row>
    <row r="1563" spans="5:19" x14ac:dyDescent="0.3">
      <c r="E1563" s="9" t="str">
        <f>IF(DADOS!C1563="","",DADOS!C1563)</f>
        <v/>
      </c>
      <c r="F1563" s="9" t="str">
        <f>IF(DADOS!E1563="","",DADOS!E1563)</f>
        <v/>
      </c>
      <c r="G1563" s="9" t="str">
        <f>IF(DADOS!F1563="","",DADOS!F1563)</f>
        <v/>
      </c>
      <c r="K1563" s="6" t="str">
        <f t="shared" si="125"/>
        <v/>
      </c>
      <c r="L1563" s="7" t="str">
        <f t="shared" si="126"/>
        <v/>
      </c>
      <c r="M1563" s="7" t="str">
        <f t="shared" si="123"/>
        <v/>
      </c>
      <c r="N1563" s="7" t="str">
        <f t="shared" si="127"/>
        <v/>
      </c>
      <c r="O1563" s="8"/>
      <c r="P1563" s="26"/>
      <c r="S1563" s="10" t="str">
        <f t="shared" si="124"/>
        <v/>
      </c>
    </row>
    <row r="1564" spans="5:19" x14ac:dyDescent="0.3">
      <c r="E1564" s="9" t="str">
        <f>IF(DADOS!C1564="","",DADOS!C1564)</f>
        <v/>
      </c>
      <c r="F1564" s="9" t="str">
        <f>IF(DADOS!E1564="","",DADOS!E1564)</f>
        <v/>
      </c>
      <c r="G1564" s="9" t="str">
        <f>IF(DADOS!F1564="","",DADOS!F1564)</f>
        <v/>
      </c>
      <c r="K1564" s="6" t="str">
        <f t="shared" si="125"/>
        <v/>
      </c>
      <c r="L1564" s="7" t="str">
        <f t="shared" si="126"/>
        <v/>
      </c>
      <c r="M1564" s="7" t="str">
        <f t="shared" si="123"/>
        <v/>
      </c>
      <c r="N1564" s="7" t="str">
        <f t="shared" si="127"/>
        <v/>
      </c>
      <c r="O1564" s="8"/>
      <c r="P1564" s="26"/>
      <c r="S1564" s="10" t="str">
        <f t="shared" si="124"/>
        <v/>
      </c>
    </row>
    <row r="1565" spans="5:19" x14ac:dyDescent="0.3">
      <c r="E1565" s="9" t="str">
        <f>IF(DADOS!C1565="","",DADOS!C1565)</f>
        <v/>
      </c>
      <c r="F1565" s="9" t="str">
        <f>IF(DADOS!E1565="","",DADOS!E1565)</f>
        <v/>
      </c>
      <c r="G1565" s="9" t="str">
        <f>IF(DADOS!F1565="","",DADOS!F1565)</f>
        <v/>
      </c>
      <c r="K1565" s="6" t="str">
        <f t="shared" si="125"/>
        <v/>
      </c>
      <c r="L1565" s="7" t="str">
        <f t="shared" si="126"/>
        <v/>
      </c>
      <c r="M1565" s="7" t="str">
        <f t="shared" si="123"/>
        <v/>
      </c>
      <c r="N1565" s="7" t="str">
        <f t="shared" si="127"/>
        <v/>
      </c>
      <c r="O1565" s="8"/>
      <c r="P1565" s="26"/>
      <c r="S1565" s="10" t="str">
        <f t="shared" si="124"/>
        <v/>
      </c>
    </row>
    <row r="1566" spans="5:19" x14ac:dyDescent="0.3">
      <c r="E1566" s="9" t="str">
        <f>IF(DADOS!C1566="","",DADOS!C1566)</f>
        <v/>
      </c>
      <c r="F1566" s="9" t="str">
        <f>IF(DADOS!E1566="","",DADOS!E1566)</f>
        <v/>
      </c>
      <c r="G1566" s="9" t="str">
        <f>IF(DADOS!F1566="","",DADOS!F1566)</f>
        <v/>
      </c>
      <c r="K1566" s="6" t="str">
        <f t="shared" si="125"/>
        <v/>
      </c>
      <c r="L1566" s="7" t="str">
        <f t="shared" si="126"/>
        <v/>
      </c>
      <c r="M1566" s="7" t="str">
        <f t="shared" si="123"/>
        <v/>
      </c>
      <c r="N1566" s="7" t="str">
        <f t="shared" si="127"/>
        <v/>
      </c>
      <c r="O1566" s="8"/>
      <c r="P1566" s="26"/>
      <c r="S1566" s="10" t="str">
        <f t="shared" si="124"/>
        <v/>
      </c>
    </row>
    <row r="1567" spans="5:19" x14ac:dyDescent="0.3">
      <c r="E1567" s="9" t="str">
        <f>IF(DADOS!C1567="","",DADOS!C1567)</f>
        <v/>
      </c>
      <c r="F1567" s="9" t="str">
        <f>IF(DADOS!E1567="","",DADOS!E1567)</f>
        <v/>
      </c>
      <c r="G1567" s="9" t="str">
        <f>IF(DADOS!F1567="","",DADOS!F1567)</f>
        <v/>
      </c>
      <c r="K1567" s="6" t="str">
        <f t="shared" si="125"/>
        <v/>
      </c>
      <c r="L1567" s="7" t="str">
        <f t="shared" si="126"/>
        <v/>
      </c>
      <c r="M1567" s="7" t="str">
        <f t="shared" si="123"/>
        <v/>
      </c>
      <c r="N1567" s="7" t="str">
        <f t="shared" si="127"/>
        <v/>
      </c>
      <c r="O1567" s="8"/>
      <c r="P1567" s="26"/>
      <c r="S1567" s="10" t="str">
        <f t="shared" si="124"/>
        <v/>
      </c>
    </row>
    <row r="1568" spans="5:19" x14ac:dyDescent="0.3">
      <c r="E1568" s="9" t="str">
        <f>IF(DADOS!C1568="","",DADOS!C1568)</f>
        <v/>
      </c>
      <c r="F1568" s="9" t="str">
        <f>IF(DADOS!E1568="","",DADOS!E1568)</f>
        <v/>
      </c>
      <c r="G1568" s="9" t="str">
        <f>IF(DADOS!F1568="","",DADOS!F1568)</f>
        <v/>
      </c>
      <c r="K1568" s="6" t="str">
        <f t="shared" si="125"/>
        <v/>
      </c>
      <c r="L1568" s="7" t="str">
        <f t="shared" si="126"/>
        <v/>
      </c>
      <c r="M1568" s="7" t="str">
        <f t="shared" si="123"/>
        <v/>
      </c>
      <c r="N1568" s="7" t="str">
        <f t="shared" si="127"/>
        <v/>
      </c>
      <c r="O1568" s="8"/>
      <c r="P1568" s="26"/>
      <c r="S1568" s="10" t="str">
        <f t="shared" si="124"/>
        <v/>
      </c>
    </row>
    <row r="1569" spans="5:19" x14ac:dyDescent="0.3">
      <c r="E1569" s="9" t="str">
        <f>IF(DADOS!C1569="","",DADOS!C1569)</f>
        <v/>
      </c>
      <c r="F1569" s="9" t="str">
        <f>IF(DADOS!E1569="","",DADOS!E1569)</f>
        <v/>
      </c>
      <c r="G1569" s="9" t="str">
        <f>IF(DADOS!F1569="","",DADOS!F1569)</f>
        <v/>
      </c>
      <c r="K1569" s="6" t="str">
        <f t="shared" si="125"/>
        <v/>
      </c>
      <c r="L1569" s="7" t="str">
        <f t="shared" si="126"/>
        <v/>
      </c>
      <c r="M1569" s="7" t="str">
        <f t="shared" si="123"/>
        <v/>
      </c>
      <c r="N1569" s="7" t="str">
        <f t="shared" si="127"/>
        <v/>
      </c>
      <c r="O1569" s="8"/>
      <c r="P1569" s="26"/>
      <c r="S1569" s="10" t="str">
        <f t="shared" si="124"/>
        <v/>
      </c>
    </row>
    <row r="1570" spans="5:19" x14ac:dyDescent="0.3">
      <c r="E1570" s="9" t="str">
        <f>IF(DADOS!C1570="","",DADOS!C1570)</f>
        <v/>
      </c>
      <c r="F1570" s="9" t="str">
        <f>IF(DADOS!E1570="","",DADOS!E1570)</f>
        <v/>
      </c>
      <c r="G1570" s="9" t="str">
        <f>IF(DADOS!F1570="","",DADOS!F1570)</f>
        <v/>
      </c>
      <c r="K1570" s="6" t="str">
        <f t="shared" si="125"/>
        <v/>
      </c>
      <c r="L1570" s="7" t="str">
        <f t="shared" si="126"/>
        <v/>
      </c>
      <c r="M1570" s="7" t="str">
        <f t="shared" si="123"/>
        <v/>
      </c>
      <c r="N1570" s="7" t="str">
        <f t="shared" si="127"/>
        <v/>
      </c>
      <c r="O1570" s="8"/>
      <c r="P1570" s="26"/>
      <c r="S1570" s="10" t="str">
        <f t="shared" si="124"/>
        <v/>
      </c>
    </row>
    <row r="1571" spans="5:19" x14ac:dyDescent="0.3">
      <c r="E1571" s="9" t="str">
        <f>IF(DADOS!C1571="","",DADOS!C1571)</f>
        <v/>
      </c>
      <c r="F1571" s="9" t="str">
        <f>IF(DADOS!E1571="","",DADOS!E1571)</f>
        <v/>
      </c>
      <c r="G1571" s="9" t="str">
        <f>IF(DADOS!F1571="","",DADOS!F1571)</f>
        <v/>
      </c>
      <c r="K1571" s="6" t="str">
        <f t="shared" si="125"/>
        <v/>
      </c>
      <c r="L1571" s="7" t="str">
        <f t="shared" si="126"/>
        <v/>
      </c>
      <c r="M1571" s="7" t="str">
        <f t="shared" si="123"/>
        <v/>
      </c>
      <c r="N1571" s="7" t="str">
        <f t="shared" si="127"/>
        <v/>
      </c>
      <c r="O1571" s="8"/>
      <c r="P1571" s="26"/>
      <c r="S1571" s="10" t="str">
        <f t="shared" si="124"/>
        <v/>
      </c>
    </row>
    <row r="1572" spans="5:19" x14ac:dyDescent="0.3">
      <c r="E1572" s="9" t="str">
        <f>IF(DADOS!C1572="","",DADOS!C1572)</f>
        <v/>
      </c>
      <c r="F1572" s="9" t="str">
        <f>IF(DADOS!E1572="","",DADOS!E1572)</f>
        <v/>
      </c>
      <c r="G1572" s="9" t="str">
        <f>IF(DADOS!F1572="","",DADOS!F1572)</f>
        <v/>
      </c>
      <c r="K1572" s="6" t="str">
        <f t="shared" si="125"/>
        <v/>
      </c>
      <c r="L1572" s="7" t="str">
        <f t="shared" si="126"/>
        <v/>
      </c>
      <c r="M1572" s="7" t="str">
        <f t="shared" si="123"/>
        <v/>
      </c>
      <c r="N1572" s="7" t="str">
        <f t="shared" si="127"/>
        <v/>
      </c>
      <c r="O1572" s="8"/>
      <c r="P1572" s="26"/>
      <c r="S1572" s="10" t="str">
        <f t="shared" si="124"/>
        <v/>
      </c>
    </row>
    <row r="1573" spans="5:19" x14ac:dyDescent="0.3">
      <c r="E1573" s="9" t="str">
        <f>IF(DADOS!C1573="","",DADOS!C1573)</f>
        <v/>
      </c>
      <c r="F1573" s="9" t="str">
        <f>IF(DADOS!E1573="","",DADOS!E1573)</f>
        <v/>
      </c>
      <c r="G1573" s="9" t="str">
        <f>IF(DADOS!F1573="","",DADOS!F1573)</f>
        <v/>
      </c>
      <c r="K1573" s="6" t="str">
        <f t="shared" si="125"/>
        <v/>
      </c>
      <c r="L1573" s="7" t="str">
        <f t="shared" si="126"/>
        <v/>
      </c>
      <c r="M1573" s="7" t="str">
        <f t="shared" si="123"/>
        <v/>
      </c>
      <c r="N1573" s="7" t="str">
        <f t="shared" si="127"/>
        <v/>
      </c>
      <c r="O1573" s="8"/>
      <c r="P1573" s="26"/>
      <c r="S1573" s="10" t="str">
        <f t="shared" si="124"/>
        <v/>
      </c>
    </row>
    <row r="1574" spans="5:19" x14ac:dyDescent="0.3">
      <c r="E1574" s="9" t="str">
        <f>IF(DADOS!C1574="","",DADOS!C1574)</f>
        <v/>
      </c>
      <c r="F1574" s="9" t="str">
        <f>IF(DADOS!E1574="","",DADOS!E1574)</f>
        <v/>
      </c>
      <c r="G1574" s="9" t="str">
        <f>IF(DADOS!F1574="","",DADOS!F1574)</f>
        <v/>
      </c>
      <c r="K1574" s="6" t="str">
        <f t="shared" si="125"/>
        <v/>
      </c>
      <c r="L1574" s="7" t="str">
        <f t="shared" si="126"/>
        <v/>
      </c>
      <c r="M1574" s="7" t="str">
        <f t="shared" si="123"/>
        <v/>
      </c>
      <c r="N1574" s="7" t="str">
        <f t="shared" si="127"/>
        <v/>
      </c>
      <c r="O1574" s="8"/>
      <c r="P1574" s="26"/>
      <c r="S1574" s="10" t="str">
        <f t="shared" si="124"/>
        <v/>
      </c>
    </row>
    <row r="1575" spans="5:19" x14ac:dyDescent="0.3">
      <c r="E1575" s="9" t="str">
        <f>IF(DADOS!C1575="","",DADOS!C1575)</f>
        <v/>
      </c>
      <c r="F1575" s="9" t="str">
        <f>IF(DADOS!E1575="","",DADOS!E1575)</f>
        <v/>
      </c>
      <c r="G1575" s="9" t="str">
        <f>IF(DADOS!F1575="","",DADOS!F1575)</f>
        <v/>
      </c>
      <c r="K1575" s="6" t="str">
        <f t="shared" si="125"/>
        <v/>
      </c>
      <c r="L1575" s="7" t="str">
        <f t="shared" si="126"/>
        <v/>
      </c>
      <c r="M1575" s="7" t="str">
        <f t="shared" si="123"/>
        <v/>
      </c>
      <c r="N1575" s="7" t="str">
        <f t="shared" si="127"/>
        <v/>
      </c>
      <c r="O1575" s="8"/>
      <c r="P1575" s="26"/>
      <c r="S1575" s="10" t="str">
        <f t="shared" si="124"/>
        <v/>
      </c>
    </row>
    <row r="1576" spans="5:19" x14ac:dyDescent="0.3">
      <c r="E1576" s="9" t="str">
        <f>IF(DADOS!C1576="","",DADOS!C1576)</f>
        <v/>
      </c>
      <c r="F1576" s="9" t="str">
        <f>IF(DADOS!E1576="","",DADOS!E1576)</f>
        <v/>
      </c>
      <c r="G1576" s="9" t="str">
        <f>IF(DADOS!F1576="","",DADOS!F1576)</f>
        <v/>
      </c>
      <c r="K1576" s="6" t="str">
        <f t="shared" si="125"/>
        <v/>
      </c>
      <c r="L1576" s="7" t="str">
        <f t="shared" si="126"/>
        <v/>
      </c>
      <c r="M1576" s="7" t="str">
        <f t="shared" si="123"/>
        <v/>
      </c>
      <c r="N1576" s="7" t="str">
        <f t="shared" si="127"/>
        <v/>
      </c>
      <c r="O1576" s="8"/>
      <c r="P1576" s="26"/>
      <c r="S1576" s="10" t="str">
        <f t="shared" si="124"/>
        <v/>
      </c>
    </row>
    <row r="1577" spans="5:19" x14ac:dyDescent="0.3">
      <c r="E1577" s="9" t="str">
        <f>IF(DADOS!C1577="","",DADOS!C1577)</f>
        <v/>
      </c>
      <c r="F1577" s="9" t="str">
        <f>IF(DADOS!E1577="","",DADOS!E1577)</f>
        <v/>
      </c>
      <c r="G1577" s="9" t="str">
        <f>IF(DADOS!F1577="","",DADOS!F1577)</f>
        <v/>
      </c>
      <c r="K1577" s="6" t="str">
        <f t="shared" si="125"/>
        <v/>
      </c>
      <c r="L1577" s="7" t="str">
        <f t="shared" si="126"/>
        <v/>
      </c>
      <c r="M1577" s="7" t="str">
        <f t="shared" si="123"/>
        <v/>
      </c>
      <c r="N1577" s="7" t="str">
        <f t="shared" si="127"/>
        <v/>
      </c>
      <c r="O1577" s="8"/>
      <c r="P1577" s="26"/>
      <c r="S1577" s="10" t="str">
        <f t="shared" si="124"/>
        <v/>
      </c>
    </row>
    <row r="1578" spans="5:19" x14ac:dyDescent="0.3">
      <c r="E1578" s="9" t="str">
        <f>IF(DADOS!C1578="","",DADOS!C1578)</f>
        <v/>
      </c>
      <c r="F1578" s="9" t="str">
        <f>IF(DADOS!E1578="","",DADOS!E1578)</f>
        <v/>
      </c>
      <c r="G1578" s="9" t="str">
        <f>IF(DADOS!F1578="","",DADOS!F1578)</f>
        <v/>
      </c>
      <c r="K1578" s="6" t="str">
        <f t="shared" si="125"/>
        <v/>
      </c>
      <c r="L1578" s="7" t="str">
        <f t="shared" si="126"/>
        <v/>
      </c>
      <c r="M1578" s="7" t="str">
        <f t="shared" si="123"/>
        <v/>
      </c>
      <c r="N1578" s="7" t="str">
        <f t="shared" si="127"/>
        <v/>
      </c>
      <c r="O1578" s="8"/>
      <c r="P1578" s="26"/>
      <c r="S1578" s="10" t="str">
        <f t="shared" si="124"/>
        <v/>
      </c>
    </row>
    <row r="1579" spans="5:19" x14ac:dyDescent="0.3">
      <c r="E1579" s="9" t="str">
        <f>IF(DADOS!C1579="","",DADOS!C1579)</f>
        <v/>
      </c>
      <c r="F1579" s="9" t="str">
        <f>IF(DADOS!E1579="","",DADOS!E1579)</f>
        <v/>
      </c>
      <c r="G1579" s="9" t="str">
        <f>IF(DADOS!F1579="","",DADOS!F1579)</f>
        <v/>
      </c>
      <c r="K1579" s="6" t="str">
        <f t="shared" si="125"/>
        <v/>
      </c>
      <c r="L1579" s="7" t="str">
        <f t="shared" si="126"/>
        <v/>
      </c>
      <c r="M1579" s="7" t="str">
        <f t="shared" si="123"/>
        <v/>
      </c>
      <c r="N1579" s="7" t="str">
        <f t="shared" si="127"/>
        <v/>
      </c>
      <c r="O1579" s="8"/>
      <c r="P1579" s="26"/>
      <c r="S1579" s="10" t="str">
        <f t="shared" si="124"/>
        <v/>
      </c>
    </row>
    <row r="1580" spans="5:19" x14ac:dyDescent="0.3">
      <c r="E1580" s="9" t="str">
        <f>IF(DADOS!C1580="","",DADOS!C1580)</f>
        <v/>
      </c>
      <c r="F1580" s="9" t="str">
        <f>IF(DADOS!E1580="","",DADOS!E1580)</f>
        <v/>
      </c>
      <c r="G1580" s="9" t="str">
        <f>IF(DADOS!F1580="","",DADOS!F1580)</f>
        <v/>
      </c>
      <c r="K1580" s="6" t="str">
        <f t="shared" si="125"/>
        <v/>
      </c>
      <c r="L1580" s="7" t="str">
        <f t="shared" si="126"/>
        <v/>
      </c>
      <c r="M1580" s="7" t="str">
        <f t="shared" si="123"/>
        <v/>
      </c>
      <c r="N1580" s="7" t="str">
        <f t="shared" si="127"/>
        <v/>
      </c>
      <c r="O1580" s="8"/>
      <c r="P1580" s="26"/>
      <c r="S1580" s="10" t="str">
        <f t="shared" si="124"/>
        <v/>
      </c>
    </row>
    <row r="1581" spans="5:19" x14ac:dyDescent="0.3">
      <c r="E1581" s="9" t="str">
        <f>IF(DADOS!C1581="","",DADOS!C1581)</f>
        <v/>
      </c>
      <c r="F1581" s="9" t="str">
        <f>IF(DADOS!E1581="","",DADOS!E1581)</f>
        <v/>
      </c>
      <c r="G1581" s="9" t="str">
        <f>IF(DADOS!F1581="","",DADOS!F1581)</f>
        <v/>
      </c>
      <c r="K1581" s="6" t="str">
        <f t="shared" si="125"/>
        <v/>
      </c>
      <c r="L1581" s="7" t="str">
        <f t="shared" si="126"/>
        <v/>
      </c>
      <c r="M1581" s="7" t="str">
        <f t="shared" si="123"/>
        <v/>
      </c>
      <c r="N1581" s="7" t="str">
        <f t="shared" si="127"/>
        <v/>
      </c>
      <c r="O1581" s="8"/>
      <c r="P1581" s="26"/>
      <c r="S1581" s="10" t="str">
        <f t="shared" si="124"/>
        <v/>
      </c>
    </row>
    <row r="1582" spans="5:19" x14ac:dyDescent="0.3">
      <c r="E1582" s="9" t="str">
        <f>IF(DADOS!C1582="","",DADOS!C1582)</f>
        <v/>
      </c>
      <c r="F1582" s="9" t="str">
        <f>IF(DADOS!E1582="","",DADOS!E1582)</f>
        <v/>
      </c>
      <c r="G1582" s="9" t="str">
        <f>IF(DADOS!F1582="","",DADOS!F1582)</f>
        <v/>
      </c>
      <c r="K1582" s="6" t="str">
        <f t="shared" si="125"/>
        <v/>
      </c>
      <c r="L1582" s="7" t="str">
        <f t="shared" si="126"/>
        <v/>
      </c>
      <c r="M1582" s="7" t="str">
        <f t="shared" si="123"/>
        <v/>
      </c>
      <c r="N1582" s="7" t="str">
        <f t="shared" si="127"/>
        <v/>
      </c>
      <c r="O1582" s="8"/>
      <c r="P1582" s="26"/>
      <c r="S1582" s="10" t="str">
        <f t="shared" si="124"/>
        <v/>
      </c>
    </row>
    <row r="1583" spans="5:19" x14ac:dyDescent="0.3">
      <c r="E1583" s="9" t="str">
        <f>IF(DADOS!C1583="","",DADOS!C1583)</f>
        <v/>
      </c>
      <c r="F1583" s="9" t="str">
        <f>IF(DADOS!E1583="","",DADOS!E1583)</f>
        <v/>
      </c>
      <c r="G1583" s="9" t="str">
        <f>IF(DADOS!F1583="","",DADOS!F1583)</f>
        <v/>
      </c>
      <c r="K1583" s="6" t="str">
        <f t="shared" si="125"/>
        <v/>
      </c>
      <c r="L1583" s="7" t="str">
        <f t="shared" si="126"/>
        <v/>
      </c>
      <c r="M1583" s="7" t="str">
        <f t="shared" si="123"/>
        <v/>
      </c>
      <c r="N1583" s="7" t="str">
        <f t="shared" si="127"/>
        <v/>
      </c>
      <c r="O1583" s="8"/>
      <c r="P1583" s="26"/>
      <c r="S1583" s="10" t="str">
        <f t="shared" si="124"/>
        <v/>
      </c>
    </row>
    <row r="1584" spans="5:19" x14ac:dyDescent="0.3">
      <c r="E1584" s="9" t="str">
        <f>IF(DADOS!C1584="","",DADOS!C1584)</f>
        <v/>
      </c>
      <c r="F1584" s="9" t="str">
        <f>IF(DADOS!E1584="","",DADOS!E1584)</f>
        <v/>
      </c>
      <c r="G1584" s="9" t="str">
        <f>IF(DADOS!F1584="","",DADOS!F1584)</f>
        <v/>
      </c>
      <c r="K1584" s="6" t="str">
        <f t="shared" si="125"/>
        <v/>
      </c>
      <c r="L1584" s="7" t="str">
        <f t="shared" si="126"/>
        <v/>
      </c>
      <c r="M1584" s="7" t="str">
        <f t="shared" si="123"/>
        <v/>
      </c>
      <c r="N1584" s="7" t="str">
        <f t="shared" si="127"/>
        <v/>
      </c>
      <c r="O1584" s="8"/>
      <c r="P1584" s="26"/>
      <c r="S1584" s="10" t="str">
        <f t="shared" si="124"/>
        <v/>
      </c>
    </row>
    <row r="1585" spans="5:19" x14ac:dyDescent="0.3">
      <c r="E1585" s="9" t="str">
        <f>IF(DADOS!C1585="","",DADOS!C1585)</f>
        <v/>
      </c>
      <c r="F1585" s="9" t="str">
        <f>IF(DADOS!E1585="","",DADOS!E1585)</f>
        <v/>
      </c>
      <c r="G1585" s="9" t="str">
        <f>IF(DADOS!F1585="","",DADOS!F1585)</f>
        <v/>
      </c>
      <c r="K1585" s="6" t="str">
        <f t="shared" si="125"/>
        <v/>
      </c>
      <c r="L1585" s="7" t="str">
        <f t="shared" si="126"/>
        <v/>
      </c>
      <c r="M1585" s="7" t="str">
        <f t="shared" si="123"/>
        <v/>
      </c>
      <c r="N1585" s="7" t="str">
        <f t="shared" si="127"/>
        <v/>
      </c>
      <c r="O1585" s="8"/>
      <c r="P1585" s="26"/>
      <c r="S1585" s="10" t="str">
        <f t="shared" si="124"/>
        <v/>
      </c>
    </row>
    <row r="1586" spans="5:19" x14ac:dyDescent="0.3">
      <c r="E1586" s="9" t="str">
        <f>IF(DADOS!C1586="","",DADOS!C1586)</f>
        <v/>
      </c>
      <c r="F1586" s="9" t="str">
        <f>IF(DADOS!E1586="","",DADOS!E1586)</f>
        <v/>
      </c>
      <c r="G1586" s="9" t="str">
        <f>IF(DADOS!F1586="","",DADOS!F1586)</f>
        <v/>
      </c>
      <c r="K1586" s="6" t="str">
        <f t="shared" si="125"/>
        <v/>
      </c>
      <c r="L1586" s="7" t="str">
        <f t="shared" si="126"/>
        <v/>
      </c>
      <c r="M1586" s="7" t="str">
        <f t="shared" si="123"/>
        <v/>
      </c>
      <c r="N1586" s="7" t="str">
        <f t="shared" si="127"/>
        <v/>
      </c>
      <c r="O1586" s="8"/>
      <c r="P1586" s="26"/>
      <c r="S1586" s="10" t="str">
        <f t="shared" si="124"/>
        <v/>
      </c>
    </row>
    <row r="1587" spans="5:19" x14ac:dyDescent="0.3">
      <c r="E1587" s="9" t="str">
        <f>IF(DADOS!C1587="","",DADOS!C1587)</f>
        <v/>
      </c>
      <c r="F1587" s="9" t="str">
        <f>IF(DADOS!E1587="","",DADOS!E1587)</f>
        <v/>
      </c>
      <c r="G1587" s="9" t="str">
        <f>IF(DADOS!F1587="","",DADOS!F1587)</f>
        <v/>
      </c>
      <c r="K1587" s="6" t="str">
        <f t="shared" si="125"/>
        <v/>
      </c>
      <c r="L1587" s="7" t="str">
        <f t="shared" si="126"/>
        <v/>
      </c>
      <c r="M1587" s="7" t="str">
        <f t="shared" si="123"/>
        <v/>
      </c>
      <c r="N1587" s="7" t="str">
        <f t="shared" si="127"/>
        <v/>
      </c>
      <c r="O1587" s="8"/>
      <c r="P1587" s="26"/>
      <c r="S1587" s="10" t="str">
        <f t="shared" si="124"/>
        <v/>
      </c>
    </row>
    <row r="1588" spans="5:19" x14ac:dyDescent="0.3">
      <c r="E1588" s="9" t="str">
        <f>IF(DADOS!C1588="","",DADOS!C1588)</f>
        <v/>
      </c>
      <c r="F1588" s="9" t="str">
        <f>IF(DADOS!E1588="","",DADOS!E1588)</f>
        <v/>
      </c>
      <c r="G1588" s="9" t="str">
        <f>IF(DADOS!F1588="","",DADOS!F1588)</f>
        <v/>
      </c>
      <c r="K1588" s="6" t="str">
        <f t="shared" si="125"/>
        <v/>
      </c>
      <c r="L1588" s="7" t="str">
        <f t="shared" si="126"/>
        <v/>
      </c>
      <c r="M1588" s="7" t="str">
        <f t="shared" si="123"/>
        <v/>
      </c>
      <c r="N1588" s="7" t="str">
        <f t="shared" si="127"/>
        <v/>
      </c>
      <c r="O1588" s="8"/>
      <c r="P1588" s="26"/>
      <c r="S1588" s="10" t="str">
        <f t="shared" si="124"/>
        <v/>
      </c>
    </row>
    <row r="1589" spans="5:19" x14ac:dyDescent="0.3">
      <c r="E1589" s="9" t="str">
        <f>IF(DADOS!C1589="","",DADOS!C1589)</f>
        <v/>
      </c>
      <c r="F1589" s="9" t="str">
        <f>IF(DADOS!E1589="","",DADOS!E1589)</f>
        <v/>
      </c>
      <c r="G1589" s="9" t="str">
        <f>IF(DADOS!F1589="","",DADOS!F1589)</f>
        <v/>
      </c>
      <c r="K1589" s="6" t="str">
        <f t="shared" si="125"/>
        <v/>
      </c>
      <c r="L1589" s="7" t="str">
        <f t="shared" si="126"/>
        <v/>
      </c>
      <c r="M1589" s="7" t="str">
        <f t="shared" si="123"/>
        <v/>
      </c>
      <c r="N1589" s="7" t="str">
        <f t="shared" si="127"/>
        <v/>
      </c>
      <c r="O1589" s="8"/>
      <c r="P1589" s="26"/>
      <c r="S1589" s="10" t="str">
        <f t="shared" si="124"/>
        <v/>
      </c>
    </row>
    <row r="1590" spans="5:19" x14ac:dyDescent="0.3">
      <c r="E1590" s="9" t="str">
        <f>IF(DADOS!C1590="","",DADOS!C1590)</f>
        <v/>
      </c>
      <c r="F1590" s="9" t="str">
        <f>IF(DADOS!E1590="","",DADOS!E1590)</f>
        <v/>
      </c>
      <c r="G1590" s="9" t="str">
        <f>IF(DADOS!F1590="","",DADOS!F1590)</f>
        <v/>
      </c>
      <c r="K1590" s="6" t="str">
        <f t="shared" si="125"/>
        <v/>
      </c>
      <c r="L1590" s="7" t="str">
        <f t="shared" si="126"/>
        <v/>
      </c>
      <c r="M1590" s="7" t="str">
        <f t="shared" si="123"/>
        <v/>
      </c>
      <c r="N1590" s="7" t="str">
        <f t="shared" si="127"/>
        <v/>
      </c>
      <c r="O1590" s="8"/>
      <c r="P1590" s="26"/>
      <c r="S1590" s="10" t="str">
        <f t="shared" si="124"/>
        <v/>
      </c>
    </row>
    <row r="1591" spans="5:19" x14ac:dyDescent="0.3">
      <c r="E1591" s="9" t="str">
        <f>IF(DADOS!C1591="","",DADOS!C1591)</f>
        <v/>
      </c>
      <c r="F1591" s="9" t="str">
        <f>IF(DADOS!E1591="","",DADOS!E1591)</f>
        <v/>
      </c>
      <c r="G1591" s="9" t="str">
        <f>IF(DADOS!F1591="","",DADOS!F1591)</f>
        <v/>
      </c>
      <c r="K1591" s="6" t="str">
        <f t="shared" si="125"/>
        <v/>
      </c>
      <c r="L1591" s="7" t="str">
        <f t="shared" si="126"/>
        <v/>
      </c>
      <c r="M1591" s="7" t="str">
        <f t="shared" si="123"/>
        <v/>
      </c>
      <c r="N1591" s="7" t="str">
        <f t="shared" si="127"/>
        <v/>
      </c>
      <c r="O1591" s="8"/>
      <c r="P1591" s="26"/>
      <c r="S1591" s="10" t="str">
        <f t="shared" si="124"/>
        <v/>
      </c>
    </row>
    <row r="1592" spans="5:19" x14ac:dyDescent="0.3">
      <c r="E1592" s="9" t="str">
        <f>IF(DADOS!C1592="","",DADOS!C1592)</f>
        <v/>
      </c>
      <c r="F1592" s="9" t="str">
        <f>IF(DADOS!E1592="","",DADOS!E1592)</f>
        <v/>
      </c>
      <c r="G1592" s="9" t="str">
        <f>IF(DADOS!F1592="","",DADOS!F1592)</f>
        <v/>
      </c>
      <c r="K1592" s="6" t="str">
        <f t="shared" si="125"/>
        <v/>
      </c>
      <c r="L1592" s="7" t="str">
        <f t="shared" si="126"/>
        <v/>
      </c>
      <c r="M1592" s="7" t="str">
        <f t="shared" si="123"/>
        <v/>
      </c>
      <c r="N1592" s="7" t="str">
        <f t="shared" si="127"/>
        <v/>
      </c>
      <c r="O1592" s="8"/>
      <c r="P1592" s="26"/>
      <c r="S1592" s="10" t="str">
        <f t="shared" si="124"/>
        <v/>
      </c>
    </row>
    <row r="1593" spans="5:19" x14ac:dyDescent="0.3">
      <c r="E1593" s="9" t="str">
        <f>IF(DADOS!C1593="","",DADOS!C1593)</f>
        <v/>
      </c>
      <c r="F1593" s="9" t="str">
        <f>IF(DADOS!E1593="","",DADOS!E1593)</f>
        <v/>
      </c>
      <c r="G1593" s="9" t="str">
        <f>IF(DADOS!F1593="","",DADOS!F1593)</f>
        <v/>
      </c>
      <c r="K1593" s="6" t="str">
        <f t="shared" si="125"/>
        <v/>
      </c>
      <c r="L1593" s="7" t="str">
        <f t="shared" si="126"/>
        <v/>
      </c>
      <c r="M1593" s="7" t="str">
        <f t="shared" si="123"/>
        <v/>
      </c>
      <c r="N1593" s="7" t="str">
        <f t="shared" si="127"/>
        <v/>
      </c>
      <c r="O1593" s="8"/>
      <c r="P1593" s="26"/>
      <c r="S1593" s="10" t="str">
        <f t="shared" si="124"/>
        <v/>
      </c>
    </row>
    <row r="1594" spans="5:19" x14ac:dyDescent="0.3">
      <c r="E1594" s="9" t="str">
        <f>IF(DADOS!C1594="","",DADOS!C1594)</f>
        <v/>
      </c>
      <c r="F1594" s="9" t="str">
        <f>IF(DADOS!E1594="","",DADOS!E1594)</f>
        <v/>
      </c>
      <c r="G1594" s="9" t="str">
        <f>IF(DADOS!F1594="","",DADOS!F1594)</f>
        <v/>
      </c>
      <c r="K1594" s="6" t="str">
        <f t="shared" si="125"/>
        <v/>
      </c>
      <c r="L1594" s="7" t="str">
        <f t="shared" si="126"/>
        <v/>
      </c>
      <c r="M1594" s="7" t="str">
        <f t="shared" si="123"/>
        <v/>
      </c>
      <c r="N1594" s="7" t="str">
        <f t="shared" si="127"/>
        <v/>
      </c>
      <c r="O1594" s="8"/>
      <c r="P1594" s="26"/>
      <c r="S1594" s="10" t="str">
        <f t="shared" si="124"/>
        <v/>
      </c>
    </row>
    <row r="1595" spans="5:19" x14ac:dyDescent="0.3">
      <c r="E1595" s="9" t="str">
        <f>IF(DADOS!C1595="","",DADOS!C1595)</f>
        <v/>
      </c>
      <c r="F1595" s="9" t="str">
        <f>IF(DADOS!E1595="","",DADOS!E1595)</f>
        <v/>
      </c>
      <c r="G1595" s="9" t="str">
        <f>IF(DADOS!F1595="","",DADOS!F1595)</f>
        <v/>
      </c>
      <c r="K1595" s="6" t="str">
        <f t="shared" si="125"/>
        <v/>
      </c>
      <c r="L1595" s="7" t="str">
        <f t="shared" si="126"/>
        <v/>
      </c>
      <c r="M1595" s="7" t="str">
        <f t="shared" si="123"/>
        <v/>
      </c>
      <c r="N1595" s="7" t="str">
        <f t="shared" si="127"/>
        <v/>
      </c>
      <c r="O1595" s="8"/>
      <c r="P1595" s="26"/>
      <c r="S1595" s="10" t="str">
        <f t="shared" si="124"/>
        <v/>
      </c>
    </row>
    <row r="1596" spans="5:19" x14ac:dyDescent="0.3">
      <c r="E1596" s="9" t="str">
        <f>IF(DADOS!C1596="","",DADOS!C1596)</f>
        <v/>
      </c>
      <c r="F1596" s="9" t="str">
        <f>IF(DADOS!E1596="","",DADOS!E1596)</f>
        <v/>
      </c>
      <c r="G1596" s="9" t="str">
        <f>IF(DADOS!F1596="","",DADOS!F1596)</f>
        <v/>
      </c>
      <c r="K1596" s="6" t="str">
        <f t="shared" si="125"/>
        <v/>
      </c>
      <c r="L1596" s="7" t="str">
        <f t="shared" si="126"/>
        <v/>
      </c>
      <c r="M1596" s="7" t="str">
        <f t="shared" si="123"/>
        <v/>
      </c>
      <c r="N1596" s="7" t="str">
        <f t="shared" si="127"/>
        <v/>
      </c>
      <c r="O1596" s="8"/>
      <c r="P1596" s="26"/>
      <c r="S1596" s="10" t="str">
        <f t="shared" si="124"/>
        <v/>
      </c>
    </row>
    <row r="1597" spans="5:19" x14ac:dyDescent="0.3">
      <c r="E1597" s="9" t="str">
        <f>IF(DADOS!C1597="","",DADOS!C1597)</f>
        <v/>
      </c>
      <c r="F1597" s="9" t="str">
        <f>IF(DADOS!E1597="","",DADOS!E1597)</f>
        <v/>
      </c>
      <c r="G1597" s="9" t="str">
        <f>IF(DADOS!F1597="","",DADOS!F1597)</f>
        <v/>
      </c>
      <c r="K1597" s="6" t="str">
        <f t="shared" si="125"/>
        <v/>
      </c>
      <c r="L1597" s="7" t="str">
        <f t="shared" si="126"/>
        <v/>
      </c>
      <c r="M1597" s="7" t="str">
        <f t="shared" si="123"/>
        <v/>
      </c>
      <c r="N1597" s="7" t="str">
        <f t="shared" si="127"/>
        <v/>
      </c>
      <c r="O1597" s="8"/>
      <c r="P1597" s="26"/>
      <c r="S1597" s="10" t="str">
        <f t="shared" si="124"/>
        <v/>
      </c>
    </row>
    <row r="1598" spans="5:19" x14ac:dyDescent="0.3">
      <c r="E1598" s="9" t="str">
        <f>IF(DADOS!C1598="","",DADOS!C1598)</f>
        <v/>
      </c>
      <c r="F1598" s="9" t="str">
        <f>IF(DADOS!E1598="","",DADOS!E1598)</f>
        <v/>
      </c>
      <c r="G1598" s="9" t="str">
        <f>IF(DADOS!F1598="","",DADOS!F1598)</f>
        <v/>
      </c>
      <c r="K1598" s="6" t="str">
        <f t="shared" si="125"/>
        <v/>
      </c>
      <c r="L1598" s="7" t="str">
        <f t="shared" si="126"/>
        <v/>
      </c>
      <c r="M1598" s="7" t="str">
        <f t="shared" si="123"/>
        <v/>
      </c>
      <c r="N1598" s="7" t="str">
        <f t="shared" si="127"/>
        <v/>
      </c>
      <c r="O1598" s="8"/>
      <c r="P1598" s="26"/>
      <c r="S1598" s="10" t="str">
        <f t="shared" si="124"/>
        <v/>
      </c>
    </row>
    <row r="1599" spans="5:19" x14ac:dyDescent="0.3">
      <c r="E1599" s="9" t="str">
        <f>IF(DADOS!C1599="","",DADOS!C1599)</f>
        <v/>
      </c>
      <c r="F1599" s="9" t="str">
        <f>IF(DADOS!E1599="","",DADOS!E1599)</f>
        <v/>
      </c>
      <c r="G1599" s="9" t="str">
        <f>IF(DADOS!F1599="","",DADOS!F1599)</f>
        <v/>
      </c>
      <c r="K1599" s="6" t="str">
        <f t="shared" si="125"/>
        <v/>
      </c>
      <c r="L1599" s="7" t="str">
        <f t="shared" si="126"/>
        <v/>
      </c>
      <c r="M1599" s="7" t="str">
        <f t="shared" si="123"/>
        <v/>
      </c>
      <c r="N1599" s="7" t="str">
        <f t="shared" si="127"/>
        <v/>
      </c>
      <c r="O1599" s="8"/>
      <c r="P1599" s="26"/>
      <c r="S1599" s="10" t="str">
        <f t="shared" si="124"/>
        <v/>
      </c>
    </row>
    <row r="1600" spans="5:19" x14ac:dyDescent="0.3">
      <c r="E1600" s="9" t="str">
        <f>IF(DADOS!C1600="","",DADOS!C1600)</f>
        <v/>
      </c>
      <c r="F1600" s="9" t="str">
        <f>IF(DADOS!E1600="","",DADOS!E1600)</f>
        <v/>
      </c>
      <c r="G1600" s="9" t="str">
        <f>IF(DADOS!F1600="","",DADOS!F1600)</f>
        <v/>
      </c>
      <c r="K1600" s="6" t="str">
        <f t="shared" si="125"/>
        <v/>
      </c>
      <c r="L1600" s="7" t="str">
        <f t="shared" si="126"/>
        <v/>
      </c>
      <c r="M1600" s="7" t="str">
        <f t="shared" si="123"/>
        <v/>
      </c>
      <c r="N1600" s="7" t="str">
        <f t="shared" si="127"/>
        <v/>
      </c>
      <c r="O1600" s="8"/>
      <c r="P1600" s="26"/>
      <c r="S1600" s="10" t="str">
        <f t="shared" si="124"/>
        <v/>
      </c>
    </row>
    <row r="1601" spans="5:19" x14ac:dyDescent="0.3">
      <c r="E1601" s="9" t="str">
        <f>IF(DADOS!C1601="","",DADOS!C1601)</f>
        <v/>
      </c>
      <c r="F1601" s="9" t="str">
        <f>IF(DADOS!E1601="","",DADOS!E1601)</f>
        <v/>
      </c>
      <c r="G1601" s="9" t="str">
        <f>IF(DADOS!F1601="","",DADOS!F1601)</f>
        <v/>
      </c>
      <c r="K1601" s="6" t="str">
        <f t="shared" si="125"/>
        <v/>
      </c>
      <c r="L1601" s="7" t="str">
        <f t="shared" si="126"/>
        <v/>
      </c>
      <c r="M1601" s="7" t="str">
        <f t="shared" si="123"/>
        <v/>
      </c>
      <c r="N1601" s="7" t="str">
        <f t="shared" si="127"/>
        <v/>
      </c>
      <c r="O1601" s="8"/>
      <c r="P1601" s="26"/>
      <c r="S1601" s="10" t="str">
        <f t="shared" si="124"/>
        <v/>
      </c>
    </row>
    <row r="1602" spans="5:19" x14ac:dyDescent="0.3">
      <c r="E1602" s="9" t="str">
        <f>IF(DADOS!C1602="","",DADOS!C1602)</f>
        <v/>
      </c>
      <c r="F1602" s="9" t="str">
        <f>IF(DADOS!E1602="","",DADOS!E1602)</f>
        <v/>
      </c>
      <c r="G1602" s="9" t="str">
        <f>IF(DADOS!F1602="","",DADOS!F1602)</f>
        <v/>
      </c>
      <c r="K1602" s="6" t="str">
        <f t="shared" si="125"/>
        <v/>
      </c>
      <c r="L1602" s="7" t="str">
        <f t="shared" si="126"/>
        <v/>
      </c>
      <c r="M1602" s="7" t="str">
        <f t="shared" si="123"/>
        <v/>
      </c>
      <c r="N1602" s="7" t="str">
        <f t="shared" si="127"/>
        <v/>
      </c>
      <c r="O1602" s="8"/>
      <c r="P1602" s="26"/>
      <c r="S1602" s="10" t="str">
        <f t="shared" si="124"/>
        <v/>
      </c>
    </row>
    <row r="1603" spans="5:19" x14ac:dyDescent="0.3">
      <c r="E1603" s="9" t="str">
        <f>IF(DADOS!C1603="","",DADOS!C1603)</f>
        <v/>
      </c>
      <c r="F1603" s="9" t="str">
        <f>IF(DADOS!E1603="","",DADOS!E1603)</f>
        <v/>
      </c>
      <c r="G1603" s="9" t="str">
        <f>IF(DADOS!F1603="","",DADOS!F1603)</f>
        <v/>
      </c>
      <c r="K1603" s="6" t="str">
        <f t="shared" si="125"/>
        <v/>
      </c>
      <c r="L1603" s="7" t="str">
        <f t="shared" si="126"/>
        <v/>
      </c>
      <c r="M1603" s="7" t="str">
        <f t="shared" ref="M1603:M1666" si="128">IF(L1603="","",L1603*G1603)</f>
        <v/>
      </c>
      <c r="N1603" s="7" t="str">
        <f t="shared" si="127"/>
        <v/>
      </c>
      <c r="O1603" s="8"/>
      <c r="P1603" s="26"/>
      <c r="S1603" s="10" t="str">
        <f t="shared" ref="S1603:S1666" si="129">IF(R1603="","",SUMIFS($N$3:$N$10000,$E$3:$E$10000,R1603))</f>
        <v/>
      </c>
    </row>
    <row r="1604" spans="5:19" x14ac:dyDescent="0.3">
      <c r="E1604" s="9" t="str">
        <f>IF(DADOS!C1604="","",DADOS!C1604)</f>
        <v/>
      </c>
      <c r="F1604" s="9" t="str">
        <f>IF(DADOS!E1604="","",DADOS!E1604)</f>
        <v/>
      </c>
      <c r="G1604" s="9" t="str">
        <f>IF(DADOS!F1604="","",DADOS!F1604)</f>
        <v/>
      </c>
      <c r="K1604" s="6" t="str">
        <f t="shared" ref="K1604:K1667" si="130">IF(F1604="","",F1604/PI())</f>
        <v/>
      </c>
      <c r="L1604" s="7" t="str">
        <f t="shared" ref="L1604:L1667" si="131">IF(K1604="","",(PI()*K1604^2)/40000)</f>
        <v/>
      </c>
      <c r="M1604" s="7" t="str">
        <f t="shared" si="128"/>
        <v/>
      </c>
      <c r="N1604" s="7" t="str">
        <f t="shared" ref="N1604:N1667" si="132">IF(M1604="","",M1604*N$1)</f>
        <v/>
      </c>
      <c r="O1604" s="8"/>
      <c r="P1604" s="26"/>
      <c r="S1604" s="10" t="str">
        <f t="shared" si="129"/>
        <v/>
      </c>
    </row>
    <row r="1605" spans="5:19" x14ac:dyDescent="0.3">
      <c r="E1605" s="9" t="str">
        <f>IF(DADOS!C1605="","",DADOS!C1605)</f>
        <v/>
      </c>
      <c r="F1605" s="9" t="str">
        <f>IF(DADOS!E1605="","",DADOS!E1605)</f>
        <v/>
      </c>
      <c r="G1605" s="9" t="str">
        <f>IF(DADOS!F1605="","",DADOS!F1605)</f>
        <v/>
      </c>
      <c r="K1605" s="6" t="str">
        <f t="shared" si="130"/>
        <v/>
      </c>
      <c r="L1605" s="7" t="str">
        <f t="shared" si="131"/>
        <v/>
      </c>
      <c r="M1605" s="7" t="str">
        <f t="shared" si="128"/>
        <v/>
      </c>
      <c r="N1605" s="7" t="str">
        <f t="shared" si="132"/>
        <v/>
      </c>
      <c r="O1605" s="8"/>
      <c r="P1605" s="26"/>
      <c r="S1605" s="10" t="str">
        <f t="shared" si="129"/>
        <v/>
      </c>
    </row>
    <row r="1606" spans="5:19" x14ac:dyDescent="0.3">
      <c r="E1606" s="9" t="str">
        <f>IF(DADOS!C1606="","",DADOS!C1606)</f>
        <v/>
      </c>
      <c r="F1606" s="9" t="str">
        <f>IF(DADOS!E1606="","",DADOS!E1606)</f>
        <v/>
      </c>
      <c r="G1606" s="9" t="str">
        <f>IF(DADOS!F1606="","",DADOS!F1606)</f>
        <v/>
      </c>
      <c r="K1606" s="6" t="str">
        <f t="shared" si="130"/>
        <v/>
      </c>
      <c r="L1606" s="7" t="str">
        <f t="shared" si="131"/>
        <v/>
      </c>
      <c r="M1606" s="7" t="str">
        <f t="shared" si="128"/>
        <v/>
      </c>
      <c r="N1606" s="7" t="str">
        <f t="shared" si="132"/>
        <v/>
      </c>
      <c r="O1606" s="8"/>
      <c r="P1606" s="26"/>
      <c r="S1606" s="10" t="str">
        <f t="shared" si="129"/>
        <v/>
      </c>
    </row>
    <row r="1607" spans="5:19" x14ac:dyDescent="0.3">
      <c r="E1607" s="9" t="str">
        <f>IF(DADOS!C1607="","",DADOS!C1607)</f>
        <v/>
      </c>
      <c r="F1607" s="9" t="str">
        <f>IF(DADOS!E1607="","",DADOS!E1607)</f>
        <v/>
      </c>
      <c r="G1607" s="9" t="str">
        <f>IF(DADOS!F1607="","",DADOS!F1607)</f>
        <v/>
      </c>
      <c r="K1607" s="6" t="str">
        <f t="shared" si="130"/>
        <v/>
      </c>
      <c r="L1607" s="7" t="str">
        <f t="shared" si="131"/>
        <v/>
      </c>
      <c r="M1607" s="7" t="str">
        <f t="shared" si="128"/>
        <v/>
      </c>
      <c r="N1607" s="7" t="str">
        <f t="shared" si="132"/>
        <v/>
      </c>
      <c r="O1607" s="8"/>
      <c r="P1607" s="26"/>
      <c r="S1607" s="10" t="str">
        <f t="shared" si="129"/>
        <v/>
      </c>
    </row>
    <row r="1608" spans="5:19" x14ac:dyDescent="0.3">
      <c r="E1608" s="9" t="str">
        <f>IF(DADOS!C1608="","",DADOS!C1608)</f>
        <v/>
      </c>
      <c r="F1608" s="9" t="str">
        <f>IF(DADOS!E1608="","",DADOS!E1608)</f>
        <v/>
      </c>
      <c r="G1608" s="9" t="str">
        <f>IF(DADOS!F1608="","",DADOS!F1608)</f>
        <v/>
      </c>
      <c r="K1608" s="6" t="str">
        <f t="shared" si="130"/>
        <v/>
      </c>
      <c r="L1608" s="7" t="str">
        <f t="shared" si="131"/>
        <v/>
      </c>
      <c r="M1608" s="7" t="str">
        <f t="shared" si="128"/>
        <v/>
      </c>
      <c r="N1608" s="7" t="str">
        <f t="shared" si="132"/>
        <v/>
      </c>
      <c r="O1608" s="8"/>
      <c r="P1608" s="26"/>
      <c r="S1608" s="10" t="str">
        <f t="shared" si="129"/>
        <v/>
      </c>
    </row>
    <row r="1609" spans="5:19" x14ac:dyDescent="0.3">
      <c r="E1609" s="9" t="str">
        <f>IF(DADOS!C1609="","",DADOS!C1609)</f>
        <v/>
      </c>
      <c r="F1609" s="9" t="str">
        <f>IF(DADOS!E1609="","",DADOS!E1609)</f>
        <v/>
      </c>
      <c r="G1609" s="9" t="str">
        <f>IF(DADOS!F1609="","",DADOS!F1609)</f>
        <v/>
      </c>
      <c r="K1609" s="6" t="str">
        <f t="shared" si="130"/>
        <v/>
      </c>
      <c r="L1609" s="7" t="str">
        <f t="shared" si="131"/>
        <v/>
      </c>
      <c r="M1609" s="7" t="str">
        <f t="shared" si="128"/>
        <v/>
      </c>
      <c r="N1609" s="7" t="str">
        <f t="shared" si="132"/>
        <v/>
      </c>
      <c r="O1609" s="8"/>
      <c r="P1609" s="26"/>
      <c r="S1609" s="10" t="str">
        <f t="shared" si="129"/>
        <v/>
      </c>
    </row>
    <row r="1610" spans="5:19" x14ac:dyDescent="0.3">
      <c r="E1610" s="9" t="str">
        <f>IF(DADOS!C1610="","",DADOS!C1610)</f>
        <v/>
      </c>
      <c r="F1610" s="9" t="str">
        <f>IF(DADOS!E1610="","",DADOS!E1610)</f>
        <v/>
      </c>
      <c r="G1610" s="9" t="str">
        <f>IF(DADOS!F1610="","",DADOS!F1610)</f>
        <v/>
      </c>
      <c r="K1610" s="6" t="str">
        <f t="shared" si="130"/>
        <v/>
      </c>
      <c r="L1610" s="7" t="str">
        <f t="shared" si="131"/>
        <v/>
      </c>
      <c r="M1610" s="7" t="str">
        <f t="shared" si="128"/>
        <v/>
      </c>
      <c r="N1610" s="7" t="str">
        <f t="shared" si="132"/>
        <v/>
      </c>
      <c r="O1610" s="8"/>
      <c r="P1610" s="26"/>
      <c r="S1610" s="10" t="str">
        <f t="shared" si="129"/>
        <v/>
      </c>
    </row>
    <row r="1611" spans="5:19" x14ac:dyDescent="0.3">
      <c r="E1611" s="9" t="str">
        <f>IF(DADOS!C1611="","",DADOS!C1611)</f>
        <v/>
      </c>
      <c r="F1611" s="9" t="str">
        <f>IF(DADOS!E1611="","",DADOS!E1611)</f>
        <v/>
      </c>
      <c r="G1611" s="9" t="str">
        <f>IF(DADOS!F1611="","",DADOS!F1611)</f>
        <v/>
      </c>
      <c r="K1611" s="6" t="str">
        <f t="shared" si="130"/>
        <v/>
      </c>
      <c r="L1611" s="7" t="str">
        <f t="shared" si="131"/>
        <v/>
      </c>
      <c r="M1611" s="7" t="str">
        <f t="shared" si="128"/>
        <v/>
      </c>
      <c r="N1611" s="7" t="str">
        <f t="shared" si="132"/>
        <v/>
      </c>
      <c r="O1611" s="8"/>
      <c r="P1611" s="26"/>
      <c r="S1611" s="10" t="str">
        <f t="shared" si="129"/>
        <v/>
      </c>
    </row>
    <row r="1612" spans="5:19" x14ac:dyDescent="0.3">
      <c r="E1612" s="9" t="str">
        <f>IF(DADOS!C1612="","",DADOS!C1612)</f>
        <v/>
      </c>
      <c r="F1612" s="9" t="str">
        <f>IF(DADOS!E1612="","",DADOS!E1612)</f>
        <v/>
      </c>
      <c r="G1612" s="9" t="str">
        <f>IF(DADOS!F1612="","",DADOS!F1612)</f>
        <v/>
      </c>
      <c r="K1612" s="6" t="str">
        <f t="shared" si="130"/>
        <v/>
      </c>
      <c r="L1612" s="7" t="str">
        <f t="shared" si="131"/>
        <v/>
      </c>
      <c r="M1612" s="7" t="str">
        <f t="shared" si="128"/>
        <v/>
      </c>
      <c r="N1612" s="7" t="str">
        <f t="shared" si="132"/>
        <v/>
      </c>
      <c r="O1612" s="8"/>
      <c r="P1612" s="26"/>
      <c r="S1612" s="10" t="str">
        <f t="shared" si="129"/>
        <v/>
      </c>
    </row>
    <row r="1613" spans="5:19" x14ac:dyDescent="0.3">
      <c r="E1613" s="9" t="str">
        <f>IF(DADOS!C1613="","",DADOS!C1613)</f>
        <v/>
      </c>
      <c r="F1613" s="9" t="str">
        <f>IF(DADOS!E1613="","",DADOS!E1613)</f>
        <v/>
      </c>
      <c r="G1613" s="9" t="str">
        <f>IF(DADOS!F1613="","",DADOS!F1613)</f>
        <v/>
      </c>
      <c r="K1613" s="6" t="str">
        <f t="shared" si="130"/>
        <v/>
      </c>
      <c r="L1613" s="7" t="str">
        <f t="shared" si="131"/>
        <v/>
      </c>
      <c r="M1613" s="7" t="str">
        <f t="shared" si="128"/>
        <v/>
      </c>
      <c r="N1613" s="7" t="str">
        <f t="shared" si="132"/>
        <v/>
      </c>
      <c r="O1613" s="8"/>
      <c r="P1613" s="26"/>
      <c r="S1613" s="10" t="str">
        <f t="shared" si="129"/>
        <v/>
      </c>
    </row>
    <row r="1614" spans="5:19" x14ac:dyDescent="0.3">
      <c r="E1614" s="9" t="str">
        <f>IF(DADOS!C1614="","",DADOS!C1614)</f>
        <v/>
      </c>
      <c r="F1614" s="9" t="str">
        <f>IF(DADOS!E1614="","",DADOS!E1614)</f>
        <v/>
      </c>
      <c r="G1614" s="9" t="str">
        <f>IF(DADOS!F1614="","",DADOS!F1614)</f>
        <v/>
      </c>
      <c r="K1614" s="6" t="str">
        <f t="shared" si="130"/>
        <v/>
      </c>
      <c r="L1614" s="7" t="str">
        <f t="shared" si="131"/>
        <v/>
      </c>
      <c r="M1614" s="7" t="str">
        <f t="shared" si="128"/>
        <v/>
      </c>
      <c r="N1614" s="7" t="str">
        <f t="shared" si="132"/>
        <v/>
      </c>
      <c r="O1614" s="8"/>
      <c r="P1614" s="26"/>
      <c r="S1614" s="10" t="str">
        <f t="shared" si="129"/>
        <v/>
      </c>
    </row>
    <row r="1615" spans="5:19" x14ac:dyDescent="0.3">
      <c r="E1615" s="9" t="str">
        <f>IF(DADOS!C1615="","",DADOS!C1615)</f>
        <v/>
      </c>
      <c r="F1615" s="9" t="str">
        <f>IF(DADOS!E1615="","",DADOS!E1615)</f>
        <v/>
      </c>
      <c r="G1615" s="9" t="str">
        <f>IF(DADOS!F1615="","",DADOS!F1615)</f>
        <v/>
      </c>
      <c r="K1615" s="6" t="str">
        <f t="shared" si="130"/>
        <v/>
      </c>
      <c r="L1615" s="7" t="str">
        <f t="shared" si="131"/>
        <v/>
      </c>
      <c r="M1615" s="7" t="str">
        <f t="shared" si="128"/>
        <v/>
      </c>
      <c r="N1615" s="7" t="str">
        <f t="shared" si="132"/>
        <v/>
      </c>
      <c r="O1615" s="8"/>
      <c r="P1615" s="26"/>
      <c r="S1615" s="10" t="str">
        <f t="shared" si="129"/>
        <v/>
      </c>
    </row>
    <row r="1616" spans="5:19" x14ac:dyDescent="0.3">
      <c r="E1616" s="9" t="str">
        <f>IF(DADOS!C1616="","",DADOS!C1616)</f>
        <v/>
      </c>
      <c r="F1616" s="9" t="str">
        <f>IF(DADOS!E1616="","",DADOS!E1616)</f>
        <v/>
      </c>
      <c r="G1616" s="9" t="str">
        <f>IF(DADOS!F1616="","",DADOS!F1616)</f>
        <v/>
      </c>
      <c r="K1616" s="6" t="str">
        <f t="shared" si="130"/>
        <v/>
      </c>
      <c r="L1616" s="7" t="str">
        <f t="shared" si="131"/>
        <v/>
      </c>
      <c r="M1616" s="7" t="str">
        <f t="shared" si="128"/>
        <v/>
      </c>
      <c r="N1616" s="7" t="str">
        <f t="shared" si="132"/>
        <v/>
      </c>
      <c r="O1616" s="8"/>
      <c r="P1616" s="26"/>
      <c r="S1616" s="10" t="str">
        <f t="shared" si="129"/>
        <v/>
      </c>
    </row>
    <row r="1617" spans="5:19" x14ac:dyDescent="0.3">
      <c r="E1617" s="9" t="str">
        <f>IF(DADOS!C1617="","",DADOS!C1617)</f>
        <v/>
      </c>
      <c r="F1617" s="9" t="str">
        <f>IF(DADOS!E1617="","",DADOS!E1617)</f>
        <v/>
      </c>
      <c r="G1617" s="9" t="str">
        <f>IF(DADOS!F1617="","",DADOS!F1617)</f>
        <v/>
      </c>
      <c r="K1617" s="6" t="str">
        <f t="shared" si="130"/>
        <v/>
      </c>
      <c r="L1617" s="7" t="str">
        <f t="shared" si="131"/>
        <v/>
      </c>
      <c r="M1617" s="7" t="str">
        <f t="shared" si="128"/>
        <v/>
      </c>
      <c r="N1617" s="7" t="str">
        <f t="shared" si="132"/>
        <v/>
      </c>
      <c r="O1617" s="8"/>
      <c r="P1617" s="26"/>
      <c r="S1617" s="10" t="str">
        <f t="shared" si="129"/>
        <v/>
      </c>
    </row>
    <row r="1618" spans="5:19" x14ac:dyDescent="0.3">
      <c r="E1618" s="9" t="str">
        <f>IF(DADOS!C1618="","",DADOS!C1618)</f>
        <v/>
      </c>
      <c r="F1618" s="9" t="str">
        <f>IF(DADOS!E1618="","",DADOS!E1618)</f>
        <v/>
      </c>
      <c r="G1618" s="9" t="str">
        <f>IF(DADOS!F1618="","",DADOS!F1618)</f>
        <v/>
      </c>
      <c r="K1618" s="6" t="str">
        <f t="shared" si="130"/>
        <v/>
      </c>
      <c r="L1618" s="7" t="str">
        <f t="shared" si="131"/>
        <v/>
      </c>
      <c r="M1618" s="7" t="str">
        <f t="shared" si="128"/>
        <v/>
      </c>
      <c r="N1618" s="7" t="str">
        <f t="shared" si="132"/>
        <v/>
      </c>
      <c r="O1618" s="8"/>
      <c r="P1618" s="26"/>
      <c r="S1618" s="10" t="str">
        <f t="shared" si="129"/>
        <v/>
      </c>
    </row>
    <row r="1619" spans="5:19" x14ac:dyDescent="0.3">
      <c r="E1619" s="9" t="str">
        <f>IF(DADOS!C1619="","",DADOS!C1619)</f>
        <v/>
      </c>
      <c r="F1619" s="9" t="str">
        <f>IF(DADOS!E1619="","",DADOS!E1619)</f>
        <v/>
      </c>
      <c r="G1619" s="9" t="str">
        <f>IF(DADOS!F1619="","",DADOS!F1619)</f>
        <v/>
      </c>
      <c r="K1619" s="6" t="str">
        <f t="shared" si="130"/>
        <v/>
      </c>
      <c r="L1619" s="7" t="str">
        <f t="shared" si="131"/>
        <v/>
      </c>
      <c r="M1619" s="7" t="str">
        <f t="shared" si="128"/>
        <v/>
      </c>
      <c r="N1619" s="7" t="str">
        <f t="shared" si="132"/>
        <v/>
      </c>
      <c r="O1619" s="8"/>
      <c r="P1619" s="26"/>
      <c r="S1619" s="10" t="str">
        <f t="shared" si="129"/>
        <v/>
      </c>
    </row>
    <row r="1620" spans="5:19" x14ac:dyDescent="0.3">
      <c r="E1620" s="9" t="str">
        <f>IF(DADOS!C1620="","",DADOS!C1620)</f>
        <v/>
      </c>
      <c r="F1620" s="9" t="str">
        <f>IF(DADOS!E1620="","",DADOS!E1620)</f>
        <v/>
      </c>
      <c r="G1620" s="9" t="str">
        <f>IF(DADOS!F1620="","",DADOS!F1620)</f>
        <v/>
      </c>
      <c r="K1620" s="6" t="str">
        <f t="shared" si="130"/>
        <v/>
      </c>
      <c r="L1620" s="7" t="str">
        <f t="shared" si="131"/>
        <v/>
      </c>
      <c r="M1620" s="7" t="str">
        <f t="shared" si="128"/>
        <v/>
      </c>
      <c r="N1620" s="7" t="str">
        <f t="shared" si="132"/>
        <v/>
      </c>
      <c r="O1620" s="8"/>
      <c r="P1620" s="26"/>
      <c r="S1620" s="10" t="str">
        <f t="shared" si="129"/>
        <v/>
      </c>
    </row>
    <row r="1621" spans="5:19" x14ac:dyDescent="0.3">
      <c r="E1621" s="9" t="str">
        <f>IF(DADOS!C1621="","",DADOS!C1621)</f>
        <v/>
      </c>
      <c r="F1621" s="9" t="str">
        <f>IF(DADOS!E1621="","",DADOS!E1621)</f>
        <v/>
      </c>
      <c r="G1621" s="9" t="str">
        <f>IF(DADOS!F1621="","",DADOS!F1621)</f>
        <v/>
      </c>
      <c r="K1621" s="6" t="str">
        <f t="shared" si="130"/>
        <v/>
      </c>
      <c r="L1621" s="7" t="str">
        <f t="shared" si="131"/>
        <v/>
      </c>
      <c r="M1621" s="7" t="str">
        <f t="shared" si="128"/>
        <v/>
      </c>
      <c r="N1621" s="7" t="str">
        <f t="shared" si="132"/>
        <v/>
      </c>
      <c r="O1621" s="8"/>
      <c r="P1621" s="26"/>
      <c r="S1621" s="10" t="str">
        <f t="shared" si="129"/>
        <v/>
      </c>
    </row>
    <row r="1622" spans="5:19" x14ac:dyDescent="0.3">
      <c r="E1622" s="9" t="str">
        <f>IF(DADOS!C1622="","",DADOS!C1622)</f>
        <v/>
      </c>
      <c r="F1622" s="9" t="str">
        <f>IF(DADOS!E1622="","",DADOS!E1622)</f>
        <v/>
      </c>
      <c r="G1622" s="9" t="str">
        <f>IF(DADOS!F1622="","",DADOS!F1622)</f>
        <v/>
      </c>
      <c r="K1622" s="6" t="str">
        <f t="shared" si="130"/>
        <v/>
      </c>
      <c r="L1622" s="7" t="str">
        <f t="shared" si="131"/>
        <v/>
      </c>
      <c r="M1622" s="7" t="str">
        <f t="shared" si="128"/>
        <v/>
      </c>
      <c r="N1622" s="7" t="str">
        <f t="shared" si="132"/>
        <v/>
      </c>
      <c r="O1622" s="8"/>
      <c r="P1622" s="26"/>
      <c r="S1622" s="10" t="str">
        <f t="shared" si="129"/>
        <v/>
      </c>
    </row>
    <row r="1623" spans="5:19" x14ac:dyDescent="0.3">
      <c r="E1623" s="9" t="str">
        <f>IF(DADOS!C1623="","",DADOS!C1623)</f>
        <v/>
      </c>
      <c r="F1623" s="9" t="str">
        <f>IF(DADOS!E1623="","",DADOS!E1623)</f>
        <v/>
      </c>
      <c r="G1623" s="9" t="str">
        <f>IF(DADOS!F1623="","",DADOS!F1623)</f>
        <v/>
      </c>
      <c r="K1623" s="6" t="str">
        <f t="shared" si="130"/>
        <v/>
      </c>
      <c r="L1623" s="7" t="str">
        <f t="shared" si="131"/>
        <v/>
      </c>
      <c r="M1623" s="7" t="str">
        <f t="shared" si="128"/>
        <v/>
      </c>
      <c r="N1623" s="7" t="str">
        <f t="shared" si="132"/>
        <v/>
      </c>
      <c r="O1623" s="8"/>
      <c r="P1623" s="26"/>
      <c r="S1623" s="10" t="str">
        <f t="shared" si="129"/>
        <v/>
      </c>
    </row>
    <row r="1624" spans="5:19" x14ac:dyDescent="0.3">
      <c r="E1624" s="9" t="str">
        <f>IF(DADOS!C1624="","",DADOS!C1624)</f>
        <v/>
      </c>
      <c r="F1624" s="9" t="str">
        <f>IF(DADOS!E1624="","",DADOS!E1624)</f>
        <v/>
      </c>
      <c r="G1624" s="9" t="str">
        <f>IF(DADOS!F1624="","",DADOS!F1624)</f>
        <v/>
      </c>
      <c r="K1624" s="6" t="str">
        <f t="shared" si="130"/>
        <v/>
      </c>
      <c r="L1624" s="7" t="str">
        <f t="shared" si="131"/>
        <v/>
      </c>
      <c r="M1624" s="7" t="str">
        <f t="shared" si="128"/>
        <v/>
      </c>
      <c r="N1624" s="7" t="str">
        <f t="shared" si="132"/>
        <v/>
      </c>
      <c r="O1624" s="8"/>
      <c r="P1624" s="26"/>
      <c r="S1624" s="10" t="str">
        <f t="shared" si="129"/>
        <v/>
      </c>
    </row>
    <row r="1625" spans="5:19" x14ac:dyDescent="0.3">
      <c r="E1625" s="9" t="str">
        <f>IF(DADOS!C1625="","",DADOS!C1625)</f>
        <v/>
      </c>
      <c r="F1625" s="9" t="str">
        <f>IF(DADOS!E1625="","",DADOS!E1625)</f>
        <v/>
      </c>
      <c r="G1625" s="9" t="str">
        <f>IF(DADOS!F1625="","",DADOS!F1625)</f>
        <v/>
      </c>
      <c r="K1625" s="6" t="str">
        <f t="shared" si="130"/>
        <v/>
      </c>
      <c r="L1625" s="7" t="str">
        <f t="shared" si="131"/>
        <v/>
      </c>
      <c r="M1625" s="7" t="str">
        <f t="shared" si="128"/>
        <v/>
      </c>
      <c r="N1625" s="7" t="str">
        <f t="shared" si="132"/>
        <v/>
      </c>
      <c r="O1625" s="8"/>
      <c r="P1625" s="26"/>
      <c r="S1625" s="10" t="str">
        <f t="shared" si="129"/>
        <v/>
      </c>
    </row>
    <row r="1626" spans="5:19" x14ac:dyDescent="0.3">
      <c r="E1626" s="9" t="str">
        <f>IF(DADOS!C1626="","",DADOS!C1626)</f>
        <v/>
      </c>
      <c r="F1626" s="9" t="str">
        <f>IF(DADOS!E1626="","",DADOS!E1626)</f>
        <v/>
      </c>
      <c r="G1626" s="9" t="str">
        <f>IF(DADOS!F1626="","",DADOS!F1626)</f>
        <v/>
      </c>
      <c r="K1626" s="6" t="str">
        <f t="shared" si="130"/>
        <v/>
      </c>
      <c r="L1626" s="7" t="str">
        <f t="shared" si="131"/>
        <v/>
      </c>
      <c r="M1626" s="7" t="str">
        <f t="shared" si="128"/>
        <v/>
      </c>
      <c r="N1626" s="7" t="str">
        <f t="shared" si="132"/>
        <v/>
      </c>
      <c r="O1626" s="8"/>
      <c r="P1626" s="26"/>
      <c r="S1626" s="10" t="str">
        <f t="shared" si="129"/>
        <v/>
      </c>
    </row>
    <row r="1627" spans="5:19" x14ac:dyDescent="0.3">
      <c r="E1627" s="9" t="str">
        <f>IF(DADOS!C1627="","",DADOS!C1627)</f>
        <v/>
      </c>
      <c r="F1627" s="9" t="str">
        <f>IF(DADOS!E1627="","",DADOS!E1627)</f>
        <v/>
      </c>
      <c r="G1627" s="9" t="str">
        <f>IF(DADOS!F1627="","",DADOS!F1627)</f>
        <v/>
      </c>
      <c r="K1627" s="6" t="str">
        <f t="shared" si="130"/>
        <v/>
      </c>
      <c r="L1627" s="7" t="str">
        <f t="shared" si="131"/>
        <v/>
      </c>
      <c r="M1627" s="7" t="str">
        <f t="shared" si="128"/>
        <v/>
      </c>
      <c r="N1627" s="7" t="str">
        <f t="shared" si="132"/>
        <v/>
      </c>
      <c r="O1627" s="8"/>
      <c r="P1627" s="26"/>
      <c r="S1627" s="10" t="str">
        <f t="shared" si="129"/>
        <v/>
      </c>
    </row>
    <row r="1628" spans="5:19" x14ac:dyDescent="0.3">
      <c r="E1628" s="9" t="str">
        <f>IF(DADOS!C1628="","",DADOS!C1628)</f>
        <v/>
      </c>
      <c r="F1628" s="9" t="str">
        <f>IF(DADOS!E1628="","",DADOS!E1628)</f>
        <v/>
      </c>
      <c r="G1628" s="9" t="str">
        <f>IF(DADOS!F1628="","",DADOS!F1628)</f>
        <v/>
      </c>
      <c r="K1628" s="6" t="str">
        <f t="shared" si="130"/>
        <v/>
      </c>
      <c r="L1628" s="7" t="str">
        <f t="shared" si="131"/>
        <v/>
      </c>
      <c r="M1628" s="7" t="str">
        <f t="shared" si="128"/>
        <v/>
      </c>
      <c r="N1628" s="7" t="str">
        <f t="shared" si="132"/>
        <v/>
      </c>
      <c r="O1628" s="8"/>
      <c r="P1628" s="26"/>
      <c r="S1628" s="10" t="str">
        <f t="shared" si="129"/>
        <v/>
      </c>
    </row>
    <row r="1629" spans="5:19" x14ac:dyDescent="0.3">
      <c r="E1629" s="9" t="str">
        <f>IF(DADOS!C1629="","",DADOS!C1629)</f>
        <v/>
      </c>
      <c r="F1629" s="9" t="str">
        <f>IF(DADOS!E1629="","",DADOS!E1629)</f>
        <v/>
      </c>
      <c r="G1629" s="9" t="str">
        <f>IF(DADOS!F1629="","",DADOS!F1629)</f>
        <v/>
      </c>
      <c r="K1629" s="6" t="str">
        <f t="shared" si="130"/>
        <v/>
      </c>
      <c r="L1629" s="7" t="str">
        <f t="shared" si="131"/>
        <v/>
      </c>
      <c r="M1629" s="7" t="str">
        <f t="shared" si="128"/>
        <v/>
      </c>
      <c r="N1629" s="7" t="str">
        <f t="shared" si="132"/>
        <v/>
      </c>
      <c r="O1629" s="8"/>
      <c r="P1629" s="26"/>
      <c r="S1629" s="10" t="str">
        <f t="shared" si="129"/>
        <v/>
      </c>
    </row>
    <row r="1630" spans="5:19" x14ac:dyDescent="0.3">
      <c r="E1630" s="9" t="str">
        <f>IF(DADOS!C1630="","",DADOS!C1630)</f>
        <v/>
      </c>
      <c r="F1630" s="9" t="str">
        <f>IF(DADOS!E1630="","",DADOS!E1630)</f>
        <v/>
      </c>
      <c r="G1630" s="9" t="str">
        <f>IF(DADOS!F1630="","",DADOS!F1630)</f>
        <v/>
      </c>
      <c r="K1630" s="6" t="str">
        <f t="shared" si="130"/>
        <v/>
      </c>
      <c r="L1630" s="7" t="str">
        <f t="shared" si="131"/>
        <v/>
      </c>
      <c r="M1630" s="7" t="str">
        <f t="shared" si="128"/>
        <v/>
      </c>
      <c r="N1630" s="7" t="str">
        <f t="shared" si="132"/>
        <v/>
      </c>
      <c r="O1630" s="8"/>
      <c r="P1630" s="26"/>
      <c r="S1630" s="10" t="str">
        <f t="shared" si="129"/>
        <v/>
      </c>
    </row>
    <row r="1631" spans="5:19" x14ac:dyDescent="0.3">
      <c r="E1631" s="9" t="str">
        <f>IF(DADOS!C1631="","",DADOS!C1631)</f>
        <v/>
      </c>
      <c r="F1631" s="9" t="str">
        <f>IF(DADOS!E1631="","",DADOS!E1631)</f>
        <v/>
      </c>
      <c r="G1631" s="9" t="str">
        <f>IF(DADOS!F1631="","",DADOS!F1631)</f>
        <v/>
      </c>
      <c r="K1631" s="6" t="str">
        <f t="shared" si="130"/>
        <v/>
      </c>
      <c r="L1631" s="7" t="str">
        <f t="shared" si="131"/>
        <v/>
      </c>
      <c r="M1631" s="7" t="str">
        <f t="shared" si="128"/>
        <v/>
      </c>
      <c r="N1631" s="7" t="str">
        <f t="shared" si="132"/>
        <v/>
      </c>
      <c r="O1631" s="8"/>
      <c r="P1631" s="26"/>
      <c r="S1631" s="10" t="str">
        <f t="shared" si="129"/>
        <v/>
      </c>
    </row>
    <row r="1632" spans="5:19" x14ac:dyDescent="0.3">
      <c r="E1632" s="9" t="str">
        <f>IF(DADOS!C1632="","",DADOS!C1632)</f>
        <v/>
      </c>
      <c r="F1632" s="9" t="str">
        <f>IF(DADOS!E1632="","",DADOS!E1632)</f>
        <v/>
      </c>
      <c r="G1632" s="9" t="str">
        <f>IF(DADOS!F1632="","",DADOS!F1632)</f>
        <v/>
      </c>
      <c r="K1632" s="6" t="str">
        <f t="shared" si="130"/>
        <v/>
      </c>
      <c r="L1632" s="7" t="str">
        <f t="shared" si="131"/>
        <v/>
      </c>
      <c r="M1632" s="7" t="str">
        <f t="shared" si="128"/>
        <v/>
      </c>
      <c r="N1632" s="7" t="str">
        <f t="shared" si="132"/>
        <v/>
      </c>
      <c r="O1632" s="8"/>
      <c r="P1632" s="26"/>
      <c r="S1632" s="10" t="str">
        <f t="shared" si="129"/>
        <v/>
      </c>
    </row>
    <row r="1633" spans="5:19" x14ac:dyDescent="0.3">
      <c r="E1633" s="9" t="str">
        <f>IF(DADOS!C1633="","",DADOS!C1633)</f>
        <v/>
      </c>
      <c r="F1633" s="9" t="str">
        <f>IF(DADOS!E1633="","",DADOS!E1633)</f>
        <v/>
      </c>
      <c r="G1633" s="9" t="str">
        <f>IF(DADOS!F1633="","",DADOS!F1633)</f>
        <v/>
      </c>
      <c r="K1633" s="6" t="str">
        <f t="shared" si="130"/>
        <v/>
      </c>
      <c r="L1633" s="7" t="str">
        <f t="shared" si="131"/>
        <v/>
      </c>
      <c r="M1633" s="7" t="str">
        <f t="shared" si="128"/>
        <v/>
      </c>
      <c r="N1633" s="7" t="str">
        <f t="shared" si="132"/>
        <v/>
      </c>
      <c r="O1633" s="8"/>
      <c r="P1633" s="26"/>
      <c r="S1633" s="10" t="str">
        <f t="shared" si="129"/>
        <v/>
      </c>
    </row>
    <row r="1634" spans="5:19" x14ac:dyDescent="0.3">
      <c r="E1634" s="9" t="str">
        <f>IF(DADOS!C1634="","",DADOS!C1634)</f>
        <v/>
      </c>
      <c r="F1634" s="9" t="str">
        <f>IF(DADOS!E1634="","",DADOS!E1634)</f>
        <v/>
      </c>
      <c r="G1634" s="9" t="str">
        <f>IF(DADOS!F1634="","",DADOS!F1634)</f>
        <v/>
      </c>
      <c r="K1634" s="6" t="str">
        <f t="shared" si="130"/>
        <v/>
      </c>
      <c r="L1634" s="7" t="str">
        <f t="shared" si="131"/>
        <v/>
      </c>
      <c r="M1634" s="7" t="str">
        <f t="shared" si="128"/>
        <v/>
      </c>
      <c r="N1634" s="7" t="str">
        <f t="shared" si="132"/>
        <v/>
      </c>
      <c r="O1634" s="8"/>
      <c r="P1634" s="26"/>
      <c r="S1634" s="10" t="str">
        <f t="shared" si="129"/>
        <v/>
      </c>
    </row>
    <row r="1635" spans="5:19" x14ac:dyDescent="0.3">
      <c r="E1635" s="9" t="str">
        <f>IF(DADOS!C1635="","",DADOS!C1635)</f>
        <v/>
      </c>
      <c r="F1635" s="9" t="str">
        <f>IF(DADOS!E1635="","",DADOS!E1635)</f>
        <v/>
      </c>
      <c r="G1635" s="9" t="str">
        <f>IF(DADOS!F1635="","",DADOS!F1635)</f>
        <v/>
      </c>
      <c r="K1635" s="6" t="str">
        <f t="shared" si="130"/>
        <v/>
      </c>
      <c r="L1635" s="7" t="str">
        <f t="shared" si="131"/>
        <v/>
      </c>
      <c r="M1635" s="7" t="str">
        <f t="shared" si="128"/>
        <v/>
      </c>
      <c r="N1635" s="7" t="str">
        <f t="shared" si="132"/>
        <v/>
      </c>
      <c r="O1635" s="8"/>
      <c r="P1635" s="26"/>
      <c r="S1635" s="10" t="str">
        <f t="shared" si="129"/>
        <v/>
      </c>
    </row>
    <row r="1636" spans="5:19" x14ac:dyDescent="0.3">
      <c r="E1636" s="9" t="str">
        <f>IF(DADOS!C1636="","",DADOS!C1636)</f>
        <v/>
      </c>
      <c r="F1636" s="9" t="str">
        <f>IF(DADOS!E1636="","",DADOS!E1636)</f>
        <v/>
      </c>
      <c r="G1636" s="9" t="str">
        <f>IF(DADOS!F1636="","",DADOS!F1636)</f>
        <v/>
      </c>
      <c r="K1636" s="6" t="str">
        <f t="shared" si="130"/>
        <v/>
      </c>
      <c r="L1636" s="7" t="str">
        <f t="shared" si="131"/>
        <v/>
      </c>
      <c r="M1636" s="7" t="str">
        <f t="shared" si="128"/>
        <v/>
      </c>
      <c r="N1636" s="7" t="str">
        <f t="shared" si="132"/>
        <v/>
      </c>
      <c r="O1636" s="8"/>
      <c r="P1636" s="26"/>
      <c r="S1636" s="10" t="str">
        <f t="shared" si="129"/>
        <v/>
      </c>
    </row>
    <row r="1637" spans="5:19" x14ac:dyDescent="0.3">
      <c r="E1637" s="9" t="str">
        <f>IF(DADOS!C1637="","",DADOS!C1637)</f>
        <v/>
      </c>
      <c r="F1637" s="9" t="str">
        <f>IF(DADOS!E1637="","",DADOS!E1637)</f>
        <v/>
      </c>
      <c r="G1637" s="9" t="str">
        <f>IF(DADOS!F1637="","",DADOS!F1637)</f>
        <v/>
      </c>
      <c r="K1637" s="6" t="str">
        <f t="shared" si="130"/>
        <v/>
      </c>
      <c r="L1637" s="7" t="str">
        <f t="shared" si="131"/>
        <v/>
      </c>
      <c r="M1637" s="7" t="str">
        <f t="shared" si="128"/>
        <v/>
      </c>
      <c r="N1637" s="7" t="str">
        <f t="shared" si="132"/>
        <v/>
      </c>
      <c r="O1637" s="8"/>
      <c r="P1637" s="26"/>
      <c r="S1637" s="10" t="str">
        <f t="shared" si="129"/>
        <v/>
      </c>
    </row>
    <row r="1638" spans="5:19" x14ac:dyDescent="0.3">
      <c r="E1638" s="9" t="str">
        <f>IF(DADOS!C1638="","",DADOS!C1638)</f>
        <v/>
      </c>
      <c r="F1638" s="9" t="str">
        <f>IF(DADOS!E1638="","",DADOS!E1638)</f>
        <v/>
      </c>
      <c r="G1638" s="9" t="str">
        <f>IF(DADOS!F1638="","",DADOS!F1638)</f>
        <v/>
      </c>
      <c r="K1638" s="6" t="str">
        <f t="shared" si="130"/>
        <v/>
      </c>
      <c r="L1638" s="7" t="str">
        <f t="shared" si="131"/>
        <v/>
      </c>
      <c r="M1638" s="7" t="str">
        <f t="shared" si="128"/>
        <v/>
      </c>
      <c r="N1638" s="7" t="str">
        <f t="shared" si="132"/>
        <v/>
      </c>
      <c r="O1638" s="8"/>
      <c r="P1638" s="26"/>
      <c r="S1638" s="10" t="str">
        <f t="shared" si="129"/>
        <v/>
      </c>
    </row>
    <row r="1639" spans="5:19" x14ac:dyDescent="0.3">
      <c r="E1639" s="9" t="str">
        <f>IF(DADOS!C1639="","",DADOS!C1639)</f>
        <v/>
      </c>
      <c r="F1639" s="9" t="str">
        <f>IF(DADOS!E1639="","",DADOS!E1639)</f>
        <v/>
      </c>
      <c r="G1639" s="9" t="str">
        <f>IF(DADOS!F1639="","",DADOS!F1639)</f>
        <v/>
      </c>
      <c r="K1639" s="6" t="str">
        <f t="shared" si="130"/>
        <v/>
      </c>
      <c r="L1639" s="7" t="str">
        <f t="shared" si="131"/>
        <v/>
      </c>
      <c r="M1639" s="7" t="str">
        <f t="shared" si="128"/>
        <v/>
      </c>
      <c r="N1639" s="7" t="str">
        <f t="shared" si="132"/>
        <v/>
      </c>
      <c r="O1639" s="8"/>
      <c r="P1639" s="26"/>
      <c r="S1639" s="10" t="str">
        <f t="shared" si="129"/>
        <v/>
      </c>
    </row>
    <row r="1640" spans="5:19" x14ac:dyDescent="0.3">
      <c r="E1640" s="9" t="str">
        <f>IF(DADOS!C1640="","",DADOS!C1640)</f>
        <v/>
      </c>
      <c r="F1640" s="9" t="str">
        <f>IF(DADOS!E1640="","",DADOS!E1640)</f>
        <v/>
      </c>
      <c r="G1640" s="9" t="str">
        <f>IF(DADOS!F1640="","",DADOS!F1640)</f>
        <v/>
      </c>
      <c r="K1640" s="6" t="str">
        <f t="shared" si="130"/>
        <v/>
      </c>
      <c r="L1640" s="7" t="str">
        <f t="shared" si="131"/>
        <v/>
      </c>
      <c r="M1640" s="7" t="str">
        <f t="shared" si="128"/>
        <v/>
      </c>
      <c r="N1640" s="7" t="str">
        <f t="shared" si="132"/>
        <v/>
      </c>
      <c r="O1640" s="8"/>
      <c r="P1640" s="26"/>
      <c r="S1640" s="10" t="str">
        <f t="shared" si="129"/>
        <v/>
      </c>
    </row>
    <row r="1641" spans="5:19" x14ac:dyDescent="0.3">
      <c r="E1641" s="9" t="str">
        <f>IF(DADOS!C1641="","",DADOS!C1641)</f>
        <v/>
      </c>
      <c r="F1641" s="9" t="str">
        <f>IF(DADOS!E1641="","",DADOS!E1641)</f>
        <v/>
      </c>
      <c r="G1641" s="9" t="str">
        <f>IF(DADOS!F1641="","",DADOS!F1641)</f>
        <v/>
      </c>
      <c r="K1641" s="6" t="str">
        <f t="shared" si="130"/>
        <v/>
      </c>
      <c r="L1641" s="7" t="str">
        <f t="shared" si="131"/>
        <v/>
      </c>
      <c r="M1641" s="7" t="str">
        <f t="shared" si="128"/>
        <v/>
      </c>
      <c r="N1641" s="7" t="str">
        <f t="shared" si="132"/>
        <v/>
      </c>
      <c r="O1641" s="8"/>
      <c r="P1641" s="26"/>
      <c r="S1641" s="10" t="str">
        <f t="shared" si="129"/>
        <v/>
      </c>
    </row>
    <row r="1642" spans="5:19" x14ac:dyDescent="0.3">
      <c r="E1642" s="9" t="str">
        <f>IF(DADOS!C1642="","",DADOS!C1642)</f>
        <v/>
      </c>
      <c r="F1642" s="9" t="str">
        <f>IF(DADOS!E1642="","",DADOS!E1642)</f>
        <v/>
      </c>
      <c r="G1642" s="9" t="str">
        <f>IF(DADOS!F1642="","",DADOS!F1642)</f>
        <v/>
      </c>
      <c r="K1642" s="6" t="str">
        <f t="shared" si="130"/>
        <v/>
      </c>
      <c r="L1642" s="7" t="str">
        <f t="shared" si="131"/>
        <v/>
      </c>
      <c r="M1642" s="7" t="str">
        <f t="shared" si="128"/>
        <v/>
      </c>
      <c r="N1642" s="7" t="str">
        <f t="shared" si="132"/>
        <v/>
      </c>
      <c r="O1642" s="8"/>
      <c r="P1642" s="26"/>
      <c r="S1642" s="10" t="str">
        <f t="shared" si="129"/>
        <v/>
      </c>
    </row>
    <row r="1643" spans="5:19" x14ac:dyDescent="0.3">
      <c r="E1643" s="9" t="str">
        <f>IF(DADOS!C1643="","",DADOS!C1643)</f>
        <v/>
      </c>
      <c r="F1643" s="9" t="str">
        <f>IF(DADOS!E1643="","",DADOS!E1643)</f>
        <v/>
      </c>
      <c r="G1643" s="9" t="str">
        <f>IF(DADOS!F1643="","",DADOS!F1643)</f>
        <v/>
      </c>
      <c r="K1643" s="6" t="str">
        <f t="shared" si="130"/>
        <v/>
      </c>
      <c r="L1643" s="7" t="str">
        <f t="shared" si="131"/>
        <v/>
      </c>
      <c r="M1643" s="7" t="str">
        <f t="shared" si="128"/>
        <v/>
      </c>
      <c r="N1643" s="7" t="str">
        <f t="shared" si="132"/>
        <v/>
      </c>
      <c r="O1643" s="8"/>
      <c r="P1643" s="26"/>
      <c r="S1643" s="10" t="str">
        <f t="shared" si="129"/>
        <v/>
      </c>
    </row>
    <row r="1644" spans="5:19" x14ac:dyDescent="0.3">
      <c r="E1644" s="9" t="str">
        <f>IF(DADOS!C1644="","",DADOS!C1644)</f>
        <v/>
      </c>
      <c r="F1644" s="9" t="str">
        <f>IF(DADOS!E1644="","",DADOS!E1644)</f>
        <v/>
      </c>
      <c r="G1644" s="9" t="str">
        <f>IF(DADOS!F1644="","",DADOS!F1644)</f>
        <v/>
      </c>
      <c r="K1644" s="6" t="str">
        <f t="shared" si="130"/>
        <v/>
      </c>
      <c r="L1644" s="7" t="str">
        <f t="shared" si="131"/>
        <v/>
      </c>
      <c r="M1644" s="7" t="str">
        <f t="shared" si="128"/>
        <v/>
      </c>
      <c r="N1644" s="7" t="str">
        <f t="shared" si="132"/>
        <v/>
      </c>
      <c r="O1644" s="8"/>
      <c r="P1644" s="26"/>
      <c r="S1644" s="10" t="str">
        <f t="shared" si="129"/>
        <v/>
      </c>
    </row>
    <row r="1645" spans="5:19" x14ac:dyDescent="0.3">
      <c r="E1645" s="9" t="str">
        <f>IF(DADOS!C1645="","",DADOS!C1645)</f>
        <v/>
      </c>
      <c r="F1645" s="9" t="str">
        <f>IF(DADOS!E1645="","",DADOS!E1645)</f>
        <v/>
      </c>
      <c r="G1645" s="9" t="str">
        <f>IF(DADOS!F1645="","",DADOS!F1645)</f>
        <v/>
      </c>
      <c r="K1645" s="6" t="str">
        <f t="shared" si="130"/>
        <v/>
      </c>
      <c r="L1645" s="7" t="str">
        <f t="shared" si="131"/>
        <v/>
      </c>
      <c r="M1645" s="7" t="str">
        <f t="shared" si="128"/>
        <v/>
      </c>
      <c r="N1645" s="7" t="str">
        <f t="shared" si="132"/>
        <v/>
      </c>
      <c r="O1645" s="8"/>
      <c r="P1645" s="26"/>
      <c r="S1645" s="10" t="str">
        <f t="shared" si="129"/>
        <v/>
      </c>
    </row>
    <row r="1646" spans="5:19" x14ac:dyDescent="0.3">
      <c r="E1646" s="9" t="str">
        <f>IF(DADOS!C1646="","",DADOS!C1646)</f>
        <v/>
      </c>
      <c r="F1646" s="9" t="str">
        <f>IF(DADOS!E1646="","",DADOS!E1646)</f>
        <v/>
      </c>
      <c r="G1646" s="9" t="str">
        <f>IF(DADOS!F1646="","",DADOS!F1646)</f>
        <v/>
      </c>
      <c r="K1646" s="6" t="str">
        <f t="shared" si="130"/>
        <v/>
      </c>
      <c r="L1646" s="7" t="str">
        <f t="shared" si="131"/>
        <v/>
      </c>
      <c r="M1646" s="7" t="str">
        <f t="shared" si="128"/>
        <v/>
      </c>
      <c r="N1646" s="7" t="str">
        <f t="shared" si="132"/>
        <v/>
      </c>
      <c r="O1646" s="8"/>
      <c r="P1646" s="26"/>
      <c r="S1646" s="10" t="str">
        <f t="shared" si="129"/>
        <v/>
      </c>
    </row>
    <row r="1647" spans="5:19" x14ac:dyDescent="0.3">
      <c r="E1647" s="9" t="str">
        <f>IF(DADOS!C1647="","",DADOS!C1647)</f>
        <v/>
      </c>
      <c r="F1647" s="9" t="str">
        <f>IF(DADOS!E1647="","",DADOS!E1647)</f>
        <v/>
      </c>
      <c r="G1647" s="9" t="str">
        <f>IF(DADOS!F1647="","",DADOS!F1647)</f>
        <v/>
      </c>
      <c r="K1647" s="6" t="str">
        <f t="shared" si="130"/>
        <v/>
      </c>
      <c r="L1647" s="7" t="str">
        <f t="shared" si="131"/>
        <v/>
      </c>
      <c r="M1647" s="7" t="str">
        <f t="shared" si="128"/>
        <v/>
      </c>
      <c r="N1647" s="7" t="str">
        <f t="shared" si="132"/>
        <v/>
      </c>
      <c r="O1647" s="8"/>
      <c r="P1647" s="26"/>
      <c r="S1647" s="10" t="str">
        <f t="shared" si="129"/>
        <v/>
      </c>
    </row>
    <row r="1648" spans="5:19" x14ac:dyDescent="0.3">
      <c r="E1648" s="9" t="str">
        <f>IF(DADOS!C1648="","",DADOS!C1648)</f>
        <v/>
      </c>
      <c r="F1648" s="9" t="str">
        <f>IF(DADOS!E1648="","",DADOS!E1648)</f>
        <v/>
      </c>
      <c r="G1648" s="9" t="str">
        <f>IF(DADOS!F1648="","",DADOS!F1648)</f>
        <v/>
      </c>
      <c r="K1648" s="6" t="str">
        <f t="shared" si="130"/>
        <v/>
      </c>
      <c r="L1648" s="7" t="str">
        <f t="shared" si="131"/>
        <v/>
      </c>
      <c r="M1648" s="7" t="str">
        <f t="shared" si="128"/>
        <v/>
      </c>
      <c r="N1648" s="7" t="str">
        <f t="shared" si="132"/>
        <v/>
      </c>
      <c r="O1648" s="8"/>
      <c r="P1648" s="26"/>
      <c r="S1648" s="10" t="str">
        <f t="shared" si="129"/>
        <v/>
      </c>
    </row>
    <row r="1649" spans="5:19" x14ac:dyDescent="0.3">
      <c r="E1649" s="9" t="str">
        <f>IF(DADOS!C1649="","",DADOS!C1649)</f>
        <v/>
      </c>
      <c r="F1649" s="9" t="str">
        <f>IF(DADOS!E1649="","",DADOS!E1649)</f>
        <v/>
      </c>
      <c r="G1649" s="9" t="str">
        <f>IF(DADOS!F1649="","",DADOS!F1649)</f>
        <v/>
      </c>
      <c r="K1649" s="6" t="str">
        <f t="shared" si="130"/>
        <v/>
      </c>
      <c r="L1649" s="7" t="str">
        <f t="shared" si="131"/>
        <v/>
      </c>
      <c r="M1649" s="7" t="str">
        <f t="shared" si="128"/>
        <v/>
      </c>
      <c r="N1649" s="7" t="str">
        <f t="shared" si="132"/>
        <v/>
      </c>
      <c r="O1649" s="8"/>
      <c r="P1649" s="26"/>
      <c r="S1649" s="10" t="str">
        <f t="shared" si="129"/>
        <v/>
      </c>
    </row>
    <row r="1650" spans="5:19" x14ac:dyDescent="0.3">
      <c r="E1650" s="9" t="str">
        <f>IF(DADOS!C1650="","",DADOS!C1650)</f>
        <v/>
      </c>
      <c r="F1650" s="9" t="str">
        <f>IF(DADOS!E1650="","",DADOS!E1650)</f>
        <v/>
      </c>
      <c r="G1650" s="9" t="str">
        <f>IF(DADOS!F1650="","",DADOS!F1650)</f>
        <v/>
      </c>
      <c r="K1650" s="6" t="str">
        <f t="shared" si="130"/>
        <v/>
      </c>
      <c r="L1650" s="7" t="str">
        <f t="shared" si="131"/>
        <v/>
      </c>
      <c r="M1650" s="7" t="str">
        <f t="shared" si="128"/>
        <v/>
      </c>
      <c r="N1650" s="7" t="str">
        <f t="shared" si="132"/>
        <v/>
      </c>
      <c r="O1650" s="8"/>
      <c r="P1650" s="26"/>
      <c r="S1650" s="10" t="str">
        <f t="shared" si="129"/>
        <v/>
      </c>
    </row>
    <row r="1651" spans="5:19" x14ac:dyDescent="0.3">
      <c r="E1651" s="9" t="str">
        <f>IF(DADOS!C1651="","",DADOS!C1651)</f>
        <v/>
      </c>
      <c r="F1651" s="9" t="str">
        <f>IF(DADOS!E1651="","",DADOS!E1651)</f>
        <v/>
      </c>
      <c r="G1651" s="9" t="str">
        <f>IF(DADOS!F1651="","",DADOS!F1651)</f>
        <v/>
      </c>
      <c r="K1651" s="6" t="str">
        <f t="shared" si="130"/>
        <v/>
      </c>
      <c r="L1651" s="7" t="str">
        <f t="shared" si="131"/>
        <v/>
      </c>
      <c r="M1651" s="7" t="str">
        <f t="shared" si="128"/>
        <v/>
      </c>
      <c r="N1651" s="7" t="str">
        <f t="shared" si="132"/>
        <v/>
      </c>
      <c r="O1651" s="8"/>
      <c r="P1651" s="26"/>
      <c r="S1651" s="10" t="str">
        <f t="shared" si="129"/>
        <v/>
      </c>
    </row>
    <row r="1652" spans="5:19" x14ac:dyDescent="0.3">
      <c r="E1652" s="9" t="str">
        <f>IF(DADOS!C1652="","",DADOS!C1652)</f>
        <v/>
      </c>
      <c r="F1652" s="9" t="str">
        <f>IF(DADOS!E1652="","",DADOS!E1652)</f>
        <v/>
      </c>
      <c r="G1652" s="9" t="str">
        <f>IF(DADOS!F1652="","",DADOS!F1652)</f>
        <v/>
      </c>
      <c r="K1652" s="6" t="str">
        <f t="shared" si="130"/>
        <v/>
      </c>
      <c r="L1652" s="7" t="str">
        <f t="shared" si="131"/>
        <v/>
      </c>
      <c r="M1652" s="7" t="str">
        <f t="shared" si="128"/>
        <v/>
      </c>
      <c r="N1652" s="7" t="str">
        <f t="shared" si="132"/>
        <v/>
      </c>
      <c r="O1652" s="8"/>
      <c r="P1652" s="26"/>
      <c r="S1652" s="10" t="str">
        <f t="shared" si="129"/>
        <v/>
      </c>
    </row>
    <row r="1653" spans="5:19" x14ac:dyDescent="0.3">
      <c r="E1653" s="9" t="str">
        <f>IF(DADOS!C1653="","",DADOS!C1653)</f>
        <v/>
      </c>
      <c r="F1653" s="9" t="str">
        <f>IF(DADOS!E1653="","",DADOS!E1653)</f>
        <v/>
      </c>
      <c r="G1653" s="9" t="str">
        <f>IF(DADOS!F1653="","",DADOS!F1653)</f>
        <v/>
      </c>
      <c r="K1653" s="6" t="str">
        <f t="shared" si="130"/>
        <v/>
      </c>
      <c r="L1653" s="7" t="str">
        <f t="shared" si="131"/>
        <v/>
      </c>
      <c r="M1653" s="7" t="str">
        <f t="shared" si="128"/>
        <v/>
      </c>
      <c r="N1653" s="7" t="str">
        <f t="shared" si="132"/>
        <v/>
      </c>
      <c r="O1653" s="8"/>
      <c r="P1653" s="26"/>
      <c r="S1653" s="10" t="str">
        <f t="shared" si="129"/>
        <v/>
      </c>
    </row>
    <row r="1654" spans="5:19" x14ac:dyDescent="0.3">
      <c r="E1654" s="9" t="str">
        <f>IF(DADOS!C1654="","",DADOS!C1654)</f>
        <v/>
      </c>
      <c r="F1654" s="9" t="str">
        <f>IF(DADOS!E1654="","",DADOS!E1654)</f>
        <v/>
      </c>
      <c r="G1654" s="9" t="str">
        <f>IF(DADOS!F1654="","",DADOS!F1654)</f>
        <v/>
      </c>
      <c r="K1654" s="6" t="str">
        <f t="shared" si="130"/>
        <v/>
      </c>
      <c r="L1654" s="7" t="str">
        <f t="shared" si="131"/>
        <v/>
      </c>
      <c r="M1654" s="7" t="str">
        <f t="shared" si="128"/>
        <v/>
      </c>
      <c r="N1654" s="7" t="str">
        <f t="shared" si="132"/>
        <v/>
      </c>
      <c r="O1654" s="8"/>
      <c r="P1654" s="26"/>
      <c r="S1654" s="10" t="str">
        <f t="shared" si="129"/>
        <v/>
      </c>
    </row>
    <row r="1655" spans="5:19" x14ac:dyDescent="0.3">
      <c r="E1655" s="9" t="str">
        <f>IF(DADOS!C1655="","",DADOS!C1655)</f>
        <v/>
      </c>
      <c r="F1655" s="9" t="str">
        <f>IF(DADOS!E1655="","",DADOS!E1655)</f>
        <v/>
      </c>
      <c r="G1655" s="9" t="str">
        <f>IF(DADOS!F1655="","",DADOS!F1655)</f>
        <v/>
      </c>
      <c r="K1655" s="6" t="str">
        <f t="shared" si="130"/>
        <v/>
      </c>
      <c r="L1655" s="7" t="str">
        <f t="shared" si="131"/>
        <v/>
      </c>
      <c r="M1655" s="7" t="str">
        <f t="shared" si="128"/>
        <v/>
      </c>
      <c r="N1655" s="7" t="str">
        <f t="shared" si="132"/>
        <v/>
      </c>
      <c r="O1655" s="8"/>
      <c r="P1655" s="26"/>
      <c r="S1655" s="10" t="str">
        <f t="shared" si="129"/>
        <v/>
      </c>
    </row>
    <row r="1656" spans="5:19" x14ac:dyDescent="0.3">
      <c r="E1656" s="9" t="str">
        <f>IF(DADOS!C1656="","",DADOS!C1656)</f>
        <v/>
      </c>
      <c r="F1656" s="9" t="str">
        <f>IF(DADOS!E1656="","",DADOS!E1656)</f>
        <v/>
      </c>
      <c r="G1656" s="9" t="str">
        <f>IF(DADOS!F1656="","",DADOS!F1656)</f>
        <v/>
      </c>
      <c r="K1656" s="6" t="str">
        <f t="shared" si="130"/>
        <v/>
      </c>
      <c r="L1656" s="7" t="str">
        <f t="shared" si="131"/>
        <v/>
      </c>
      <c r="M1656" s="7" t="str">
        <f t="shared" si="128"/>
        <v/>
      </c>
      <c r="N1656" s="7" t="str">
        <f t="shared" si="132"/>
        <v/>
      </c>
      <c r="O1656" s="8"/>
      <c r="P1656" s="26"/>
      <c r="S1656" s="10" t="str">
        <f t="shared" si="129"/>
        <v/>
      </c>
    </row>
    <row r="1657" spans="5:19" x14ac:dyDescent="0.3">
      <c r="E1657" s="9" t="str">
        <f>IF(DADOS!C1657="","",DADOS!C1657)</f>
        <v/>
      </c>
      <c r="F1657" s="9" t="str">
        <f>IF(DADOS!E1657="","",DADOS!E1657)</f>
        <v/>
      </c>
      <c r="G1657" s="9" t="str">
        <f>IF(DADOS!F1657="","",DADOS!F1657)</f>
        <v/>
      </c>
      <c r="K1657" s="6" t="str">
        <f t="shared" si="130"/>
        <v/>
      </c>
      <c r="L1657" s="7" t="str">
        <f t="shared" si="131"/>
        <v/>
      </c>
      <c r="M1657" s="7" t="str">
        <f t="shared" si="128"/>
        <v/>
      </c>
      <c r="N1657" s="7" t="str">
        <f t="shared" si="132"/>
        <v/>
      </c>
      <c r="O1657" s="8"/>
      <c r="P1657" s="26"/>
      <c r="S1657" s="10" t="str">
        <f t="shared" si="129"/>
        <v/>
      </c>
    </row>
    <row r="1658" spans="5:19" x14ac:dyDescent="0.3">
      <c r="E1658" s="9" t="str">
        <f>IF(DADOS!C1658="","",DADOS!C1658)</f>
        <v/>
      </c>
      <c r="F1658" s="9" t="str">
        <f>IF(DADOS!E1658="","",DADOS!E1658)</f>
        <v/>
      </c>
      <c r="G1658" s="9" t="str">
        <f>IF(DADOS!F1658="","",DADOS!F1658)</f>
        <v/>
      </c>
      <c r="K1658" s="6" t="str">
        <f t="shared" si="130"/>
        <v/>
      </c>
      <c r="L1658" s="7" t="str">
        <f t="shared" si="131"/>
        <v/>
      </c>
      <c r="M1658" s="7" t="str">
        <f t="shared" si="128"/>
        <v/>
      </c>
      <c r="N1658" s="7" t="str">
        <f t="shared" si="132"/>
        <v/>
      </c>
      <c r="O1658" s="8"/>
      <c r="P1658" s="26"/>
      <c r="S1658" s="10" t="str">
        <f t="shared" si="129"/>
        <v/>
      </c>
    </row>
    <row r="1659" spans="5:19" x14ac:dyDescent="0.3">
      <c r="E1659" s="9" t="str">
        <f>IF(DADOS!C1659="","",DADOS!C1659)</f>
        <v/>
      </c>
      <c r="F1659" s="9" t="str">
        <f>IF(DADOS!E1659="","",DADOS!E1659)</f>
        <v/>
      </c>
      <c r="G1659" s="9" t="str">
        <f>IF(DADOS!F1659="","",DADOS!F1659)</f>
        <v/>
      </c>
      <c r="K1659" s="6" t="str">
        <f t="shared" si="130"/>
        <v/>
      </c>
      <c r="L1659" s="7" t="str">
        <f t="shared" si="131"/>
        <v/>
      </c>
      <c r="M1659" s="7" t="str">
        <f t="shared" si="128"/>
        <v/>
      </c>
      <c r="N1659" s="7" t="str">
        <f t="shared" si="132"/>
        <v/>
      </c>
      <c r="O1659" s="8"/>
      <c r="P1659" s="26"/>
      <c r="S1659" s="10" t="str">
        <f t="shared" si="129"/>
        <v/>
      </c>
    </row>
    <row r="1660" spans="5:19" x14ac:dyDescent="0.3">
      <c r="E1660" s="9" t="str">
        <f>IF(DADOS!C1660="","",DADOS!C1660)</f>
        <v/>
      </c>
      <c r="F1660" s="9" t="str">
        <f>IF(DADOS!E1660="","",DADOS!E1660)</f>
        <v/>
      </c>
      <c r="G1660" s="9" t="str">
        <f>IF(DADOS!F1660="","",DADOS!F1660)</f>
        <v/>
      </c>
      <c r="K1660" s="6" t="str">
        <f t="shared" si="130"/>
        <v/>
      </c>
      <c r="L1660" s="7" t="str">
        <f t="shared" si="131"/>
        <v/>
      </c>
      <c r="M1660" s="7" t="str">
        <f t="shared" si="128"/>
        <v/>
      </c>
      <c r="N1660" s="7" t="str">
        <f t="shared" si="132"/>
        <v/>
      </c>
      <c r="O1660" s="8"/>
      <c r="P1660" s="26"/>
      <c r="S1660" s="10" t="str">
        <f t="shared" si="129"/>
        <v/>
      </c>
    </row>
    <row r="1661" spans="5:19" x14ac:dyDescent="0.3">
      <c r="E1661" s="9" t="str">
        <f>IF(DADOS!C1661="","",DADOS!C1661)</f>
        <v/>
      </c>
      <c r="F1661" s="9" t="str">
        <f>IF(DADOS!E1661="","",DADOS!E1661)</f>
        <v/>
      </c>
      <c r="G1661" s="9" t="str">
        <f>IF(DADOS!F1661="","",DADOS!F1661)</f>
        <v/>
      </c>
      <c r="K1661" s="6" t="str">
        <f t="shared" si="130"/>
        <v/>
      </c>
      <c r="L1661" s="7" t="str">
        <f t="shared" si="131"/>
        <v/>
      </c>
      <c r="M1661" s="7" t="str">
        <f t="shared" si="128"/>
        <v/>
      </c>
      <c r="N1661" s="7" t="str">
        <f t="shared" si="132"/>
        <v/>
      </c>
      <c r="O1661" s="8"/>
      <c r="P1661" s="26"/>
      <c r="S1661" s="10" t="str">
        <f t="shared" si="129"/>
        <v/>
      </c>
    </row>
    <row r="1662" spans="5:19" x14ac:dyDescent="0.3">
      <c r="E1662" s="9" t="str">
        <f>IF(DADOS!C1662="","",DADOS!C1662)</f>
        <v/>
      </c>
      <c r="F1662" s="9" t="str">
        <f>IF(DADOS!E1662="","",DADOS!E1662)</f>
        <v/>
      </c>
      <c r="G1662" s="9" t="str">
        <f>IF(DADOS!F1662="","",DADOS!F1662)</f>
        <v/>
      </c>
      <c r="K1662" s="6" t="str">
        <f t="shared" si="130"/>
        <v/>
      </c>
      <c r="L1662" s="7" t="str">
        <f t="shared" si="131"/>
        <v/>
      </c>
      <c r="M1662" s="7" t="str">
        <f t="shared" si="128"/>
        <v/>
      </c>
      <c r="N1662" s="7" t="str">
        <f t="shared" si="132"/>
        <v/>
      </c>
      <c r="O1662" s="8"/>
      <c r="P1662" s="26"/>
      <c r="S1662" s="10" t="str">
        <f t="shared" si="129"/>
        <v/>
      </c>
    </row>
    <row r="1663" spans="5:19" x14ac:dyDescent="0.3">
      <c r="E1663" s="9" t="str">
        <f>IF(DADOS!C1663="","",DADOS!C1663)</f>
        <v/>
      </c>
      <c r="F1663" s="9" t="str">
        <f>IF(DADOS!E1663="","",DADOS!E1663)</f>
        <v/>
      </c>
      <c r="G1663" s="9" t="str">
        <f>IF(DADOS!F1663="","",DADOS!F1663)</f>
        <v/>
      </c>
      <c r="K1663" s="6" t="str">
        <f t="shared" si="130"/>
        <v/>
      </c>
      <c r="L1663" s="7" t="str">
        <f t="shared" si="131"/>
        <v/>
      </c>
      <c r="M1663" s="7" t="str">
        <f t="shared" si="128"/>
        <v/>
      </c>
      <c r="N1663" s="7" t="str">
        <f t="shared" si="132"/>
        <v/>
      </c>
      <c r="O1663" s="8"/>
      <c r="P1663" s="26"/>
      <c r="S1663" s="10" t="str">
        <f t="shared" si="129"/>
        <v/>
      </c>
    </row>
    <row r="1664" spans="5:19" x14ac:dyDescent="0.3">
      <c r="E1664" s="9" t="str">
        <f>IF(DADOS!C1664="","",DADOS!C1664)</f>
        <v/>
      </c>
      <c r="F1664" s="9" t="str">
        <f>IF(DADOS!E1664="","",DADOS!E1664)</f>
        <v/>
      </c>
      <c r="G1664" s="9" t="str">
        <f>IF(DADOS!F1664="","",DADOS!F1664)</f>
        <v/>
      </c>
      <c r="K1664" s="6" t="str">
        <f t="shared" si="130"/>
        <v/>
      </c>
      <c r="L1664" s="7" t="str">
        <f t="shared" si="131"/>
        <v/>
      </c>
      <c r="M1664" s="7" t="str">
        <f t="shared" si="128"/>
        <v/>
      </c>
      <c r="N1664" s="7" t="str">
        <f t="shared" si="132"/>
        <v/>
      </c>
      <c r="O1664" s="8"/>
      <c r="P1664" s="26"/>
      <c r="S1664" s="10" t="str">
        <f t="shared" si="129"/>
        <v/>
      </c>
    </row>
    <row r="1665" spans="5:19" x14ac:dyDescent="0.3">
      <c r="E1665" s="9" t="str">
        <f>IF(DADOS!C1665="","",DADOS!C1665)</f>
        <v/>
      </c>
      <c r="F1665" s="9" t="str">
        <f>IF(DADOS!E1665="","",DADOS!E1665)</f>
        <v/>
      </c>
      <c r="G1665" s="9" t="str">
        <f>IF(DADOS!F1665="","",DADOS!F1665)</f>
        <v/>
      </c>
      <c r="K1665" s="6" t="str">
        <f t="shared" si="130"/>
        <v/>
      </c>
      <c r="L1665" s="7" t="str">
        <f t="shared" si="131"/>
        <v/>
      </c>
      <c r="M1665" s="7" t="str">
        <f t="shared" si="128"/>
        <v/>
      </c>
      <c r="N1665" s="7" t="str">
        <f t="shared" si="132"/>
        <v/>
      </c>
      <c r="O1665" s="8"/>
      <c r="P1665" s="26"/>
      <c r="S1665" s="10" t="str">
        <f t="shared" si="129"/>
        <v/>
      </c>
    </row>
    <row r="1666" spans="5:19" x14ac:dyDescent="0.3">
      <c r="E1666" s="9" t="str">
        <f>IF(DADOS!C1666="","",DADOS!C1666)</f>
        <v/>
      </c>
      <c r="F1666" s="9" t="str">
        <f>IF(DADOS!E1666="","",DADOS!E1666)</f>
        <v/>
      </c>
      <c r="G1666" s="9" t="str">
        <f>IF(DADOS!F1666="","",DADOS!F1666)</f>
        <v/>
      </c>
      <c r="K1666" s="6" t="str">
        <f t="shared" si="130"/>
        <v/>
      </c>
      <c r="L1666" s="7" t="str">
        <f t="shared" si="131"/>
        <v/>
      </c>
      <c r="M1666" s="7" t="str">
        <f t="shared" si="128"/>
        <v/>
      </c>
      <c r="N1666" s="7" t="str">
        <f t="shared" si="132"/>
        <v/>
      </c>
      <c r="O1666" s="8"/>
      <c r="P1666" s="26"/>
      <c r="S1666" s="10" t="str">
        <f t="shared" si="129"/>
        <v/>
      </c>
    </row>
    <row r="1667" spans="5:19" x14ac:dyDescent="0.3">
      <c r="E1667" s="9" t="str">
        <f>IF(DADOS!C1667="","",DADOS!C1667)</f>
        <v/>
      </c>
      <c r="F1667" s="9" t="str">
        <f>IF(DADOS!E1667="","",DADOS!E1667)</f>
        <v/>
      </c>
      <c r="G1667" s="9" t="str">
        <f>IF(DADOS!F1667="","",DADOS!F1667)</f>
        <v/>
      </c>
      <c r="K1667" s="6" t="str">
        <f t="shared" si="130"/>
        <v/>
      </c>
      <c r="L1667" s="7" t="str">
        <f t="shared" si="131"/>
        <v/>
      </c>
      <c r="M1667" s="7" t="str">
        <f t="shared" ref="M1667:M1730" si="133">IF(L1667="","",L1667*G1667)</f>
        <v/>
      </c>
      <c r="N1667" s="7" t="str">
        <f t="shared" si="132"/>
        <v/>
      </c>
      <c r="O1667" s="8"/>
      <c r="P1667" s="26"/>
      <c r="S1667" s="10" t="str">
        <f t="shared" ref="S1667:S1730" si="134">IF(R1667="","",SUMIFS($N$3:$N$10000,$E$3:$E$10000,R1667))</f>
        <v/>
      </c>
    </row>
    <row r="1668" spans="5:19" x14ac:dyDescent="0.3">
      <c r="E1668" s="9" t="str">
        <f>IF(DADOS!C1668="","",DADOS!C1668)</f>
        <v/>
      </c>
      <c r="F1668" s="9" t="str">
        <f>IF(DADOS!E1668="","",DADOS!E1668)</f>
        <v/>
      </c>
      <c r="G1668" s="9" t="str">
        <f>IF(DADOS!F1668="","",DADOS!F1668)</f>
        <v/>
      </c>
      <c r="K1668" s="6" t="str">
        <f t="shared" ref="K1668:K1731" si="135">IF(F1668="","",F1668/PI())</f>
        <v/>
      </c>
      <c r="L1668" s="7" t="str">
        <f t="shared" ref="L1668:L1731" si="136">IF(K1668="","",(PI()*K1668^2)/40000)</f>
        <v/>
      </c>
      <c r="M1668" s="7" t="str">
        <f t="shared" si="133"/>
        <v/>
      </c>
      <c r="N1668" s="7" t="str">
        <f t="shared" ref="N1668:N1731" si="137">IF(M1668="","",M1668*N$1)</f>
        <v/>
      </c>
      <c r="O1668" s="8"/>
      <c r="P1668" s="26"/>
      <c r="S1668" s="10" t="str">
        <f t="shared" si="134"/>
        <v/>
      </c>
    </row>
    <row r="1669" spans="5:19" x14ac:dyDescent="0.3">
      <c r="E1669" s="9" t="str">
        <f>IF(DADOS!C1669="","",DADOS!C1669)</f>
        <v/>
      </c>
      <c r="F1669" s="9" t="str">
        <f>IF(DADOS!E1669="","",DADOS!E1669)</f>
        <v/>
      </c>
      <c r="G1669" s="9" t="str">
        <f>IF(DADOS!F1669="","",DADOS!F1669)</f>
        <v/>
      </c>
      <c r="K1669" s="6" t="str">
        <f t="shared" si="135"/>
        <v/>
      </c>
      <c r="L1669" s="7" t="str">
        <f t="shared" si="136"/>
        <v/>
      </c>
      <c r="M1669" s="7" t="str">
        <f t="shared" si="133"/>
        <v/>
      </c>
      <c r="N1669" s="7" t="str">
        <f t="shared" si="137"/>
        <v/>
      </c>
      <c r="O1669" s="8"/>
      <c r="P1669" s="26"/>
      <c r="S1669" s="10" t="str">
        <f t="shared" si="134"/>
        <v/>
      </c>
    </row>
    <row r="1670" spans="5:19" x14ac:dyDescent="0.3">
      <c r="E1670" s="9" t="str">
        <f>IF(DADOS!C1670="","",DADOS!C1670)</f>
        <v/>
      </c>
      <c r="F1670" s="9" t="str">
        <f>IF(DADOS!E1670="","",DADOS!E1670)</f>
        <v/>
      </c>
      <c r="G1670" s="9" t="str">
        <f>IF(DADOS!F1670="","",DADOS!F1670)</f>
        <v/>
      </c>
      <c r="K1670" s="6" t="str">
        <f t="shared" si="135"/>
        <v/>
      </c>
      <c r="L1670" s="7" t="str">
        <f t="shared" si="136"/>
        <v/>
      </c>
      <c r="M1670" s="7" t="str">
        <f t="shared" si="133"/>
        <v/>
      </c>
      <c r="N1670" s="7" t="str">
        <f t="shared" si="137"/>
        <v/>
      </c>
      <c r="O1670" s="8"/>
      <c r="P1670" s="26"/>
      <c r="S1670" s="10" t="str">
        <f t="shared" si="134"/>
        <v/>
      </c>
    </row>
    <row r="1671" spans="5:19" x14ac:dyDescent="0.3">
      <c r="E1671" s="9" t="str">
        <f>IF(DADOS!C1671="","",DADOS!C1671)</f>
        <v/>
      </c>
      <c r="F1671" s="9" t="str">
        <f>IF(DADOS!E1671="","",DADOS!E1671)</f>
        <v/>
      </c>
      <c r="G1671" s="9" t="str">
        <f>IF(DADOS!F1671="","",DADOS!F1671)</f>
        <v/>
      </c>
      <c r="K1671" s="6" t="str">
        <f t="shared" si="135"/>
        <v/>
      </c>
      <c r="L1671" s="7" t="str">
        <f t="shared" si="136"/>
        <v/>
      </c>
      <c r="M1671" s="7" t="str">
        <f t="shared" si="133"/>
        <v/>
      </c>
      <c r="N1671" s="7" t="str">
        <f t="shared" si="137"/>
        <v/>
      </c>
      <c r="O1671" s="8"/>
      <c r="P1671" s="26"/>
      <c r="S1671" s="10" t="str">
        <f t="shared" si="134"/>
        <v/>
      </c>
    </row>
    <row r="1672" spans="5:19" x14ac:dyDescent="0.3">
      <c r="E1672" s="9" t="str">
        <f>IF(DADOS!C1672="","",DADOS!C1672)</f>
        <v/>
      </c>
      <c r="F1672" s="9" t="str">
        <f>IF(DADOS!E1672="","",DADOS!E1672)</f>
        <v/>
      </c>
      <c r="G1672" s="9" t="str">
        <f>IF(DADOS!F1672="","",DADOS!F1672)</f>
        <v/>
      </c>
      <c r="K1672" s="6" t="str">
        <f t="shared" si="135"/>
        <v/>
      </c>
      <c r="L1672" s="7" t="str">
        <f t="shared" si="136"/>
        <v/>
      </c>
      <c r="M1672" s="7" t="str">
        <f t="shared" si="133"/>
        <v/>
      </c>
      <c r="N1672" s="7" t="str">
        <f t="shared" si="137"/>
        <v/>
      </c>
      <c r="O1672" s="8"/>
      <c r="P1672" s="26"/>
      <c r="S1672" s="10" t="str">
        <f t="shared" si="134"/>
        <v/>
      </c>
    </row>
    <row r="1673" spans="5:19" x14ac:dyDescent="0.3">
      <c r="E1673" s="9" t="str">
        <f>IF(DADOS!C1673="","",DADOS!C1673)</f>
        <v/>
      </c>
      <c r="F1673" s="9" t="str">
        <f>IF(DADOS!E1673="","",DADOS!E1673)</f>
        <v/>
      </c>
      <c r="G1673" s="9" t="str">
        <f>IF(DADOS!F1673="","",DADOS!F1673)</f>
        <v/>
      </c>
      <c r="K1673" s="6" t="str">
        <f t="shared" si="135"/>
        <v/>
      </c>
      <c r="L1673" s="7" t="str">
        <f t="shared" si="136"/>
        <v/>
      </c>
      <c r="M1673" s="7" t="str">
        <f t="shared" si="133"/>
        <v/>
      </c>
      <c r="N1673" s="7" t="str">
        <f t="shared" si="137"/>
        <v/>
      </c>
      <c r="O1673" s="8"/>
      <c r="P1673" s="26"/>
      <c r="S1673" s="10" t="str">
        <f t="shared" si="134"/>
        <v/>
      </c>
    </row>
    <row r="1674" spans="5:19" x14ac:dyDescent="0.3">
      <c r="E1674" s="9" t="str">
        <f>IF(DADOS!C1674="","",DADOS!C1674)</f>
        <v/>
      </c>
      <c r="F1674" s="9" t="str">
        <f>IF(DADOS!E1674="","",DADOS!E1674)</f>
        <v/>
      </c>
      <c r="G1674" s="9" t="str">
        <f>IF(DADOS!F1674="","",DADOS!F1674)</f>
        <v/>
      </c>
      <c r="K1674" s="6" t="str">
        <f t="shared" si="135"/>
        <v/>
      </c>
      <c r="L1674" s="7" t="str">
        <f t="shared" si="136"/>
        <v/>
      </c>
      <c r="M1674" s="7" t="str">
        <f t="shared" si="133"/>
        <v/>
      </c>
      <c r="N1674" s="7" t="str">
        <f t="shared" si="137"/>
        <v/>
      </c>
      <c r="O1674" s="8"/>
      <c r="P1674" s="26"/>
      <c r="S1674" s="10" t="str">
        <f t="shared" si="134"/>
        <v/>
      </c>
    </row>
    <row r="1675" spans="5:19" x14ac:dyDescent="0.3">
      <c r="E1675" s="9" t="str">
        <f>IF(DADOS!C1675="","",DADOS!C1675)</f>
        <v/>
      </c>
      <c r="F1675" s="9" t="str">
        <f>IF(DADOS!E1675="","",DADOS!E1675)</f>
        <v/>
      </c>
      <c r="G1675" s="9" t="str">
        <f>IF(DADOS!F1675="","",DADOS!F1675)</f>
        <v/>
      </c>
      <c r="K1675" s="6" t="str">
        <f t="shared" si="135"/>
        <v/>
      </c>
      <c r="L1675" s="7" t="str">
        <f t="shared" si="136"/>
        <v/>
      </c>
      <c r="M1675" s="7" t="str">
        <f t="shared" si="133"/>
        <v/>
      </c>
      <c r="N1675" s="7" t="str">
        <f t="shared" si="137"/>
        <v/>
      </c>
      <c r="O1675" s="8"/>
      <c r="P1675" s="26"/>
      <c r="S1675" s="10" t="str">
        <f t="shared" si="134"/>
        <v/>
      </c>
    </row>
    <row r="1676" spans="5:19" x14ac:dyDescent="0.3">
      <c r="E1676" s="9" t="str">
        <f>IF(DADOS!C1676="","",DADOS!C1676)</f>
        <v/>
      </c>
      <c r="F1676" s="9" t="str">
        <f>IF(DADOS!E1676="","",DADOS!E1676)</f>
        <v/>
      </c>
      <c r="G1676" s="9" t="str">
        <f>IF(DADOS!F1676="","",DADOS!F1676)</f>
        <v/>
      </c>
      <c r="K1676" s="6" t="str">
        <f t="shared" si="135"/>
        <v/>
      </c>
      <c r="L1676" s="7" t="str">
        <f t="shared" si="136"/>
        <v/>
      </c>
      <c r="M1676" s="7" t="str">
        <f t="shared" si="133"/>
        <v/>
      </c>
      <c r="N1676" s="7" t="str">
        <f t="shared" si="137"/>
        <v/>
      </c>
      <c r="O1676" s="8"/>
      <c r="P1676" s="26"/>
      <c r="S1676" s="10" t="str">
        <f t="shared" si="134"/>
        <v/>
      </c>
    </row>
    <row r="1677" spans="5:19" x14ac:dyDescent="0.3">
      <c r="E1677" s="9" t="str">
        <f>IF(DADOS!C1677="","",DADOS!C1677)</f>
        <v/>
      </c>
      <c r="F1677" s="9" t="str">
        <f>IF(DADOS!E1677="","",DADOS!E1677)</f>
        <v/>
      </c>
      <c r="G1677" s="9" t="str">
        <f>IF(DADOS!F1677="","",DADOS!F1677)</f>
        <v/>
      </c>
      <c r="K1677" s="6" t="str">
        <f t="shared" si="135"/>
        <v/>
      </c>
      <c r="L1677" s="7" t="str">
        <f t="shared" si="136"/>
        <v/>
      </c>
      <c r="M1677" s="7" t="str">
        <f t="shared" si="133"/>
        <v/>
      </c>
      <c r="N1677" s="7" t="str">
        <f t="shared" si="137"/>
        <v/>
      </c>
      <c r="O1677" s="8"/>
      <c r="P1677" s="26"/>
      <c r="S1677" s="10" t="str">
        <f t="shared" si="134"/>
        <v/>
      </c>
    </row>
    <row r="1678" spans="5:19" x14ac:dyDescent="0.3">
      <c r="E1678" s="9" t="str">
        <f>IF(DADOS!C1678="","",DADOS!C1678)</f>
        <v/>
      </c>
      <c r="F1678" s="9" t="str">
        <f>IF(DADOS!E1678="","",DADOS!E1678)</f>
        <v/>
      </c>
      <c r="G1678" s="9" t="str">
        <f>IF(DADOS!F1678="","",DADOS!F1678)</f>
        <v/>
      </c>
      <c r="K1678" s="6" t="str">
        <f t="shared" si="135"/>
        <v/>
      </c>
      <c r="L1678" s="7" t="str">
        <f t="shared" si="136"/>
        <v/>
      </c>
      <c r="M1678" s="7" t="str">
        <f t="shared" si="133"/>
        <v/>
      </c>
      <c r="N1678" s="7" t="str">
        <f t="shared" si="137"/>
        <v/>
      </c>
      <c r="O1678" s="8"/>
      <c r="P1678" s="26"/>
      <c r="S1678" s="10" t="str">
        <f t="shared" si="134"/>
        <v/>
      </c>
    </row>
    <row r="1679" spans="5:19" x14ac:dyDescent="0.3">
      <c r="E1679" s="9" t="str">
        <f>IF(DADOS!C1679="","",DADOS!C1679)</f>
        <v/>
      </c>
      <c r="F1679" s="9" t="str">
        <f>IF(DADOS!E1679="","",DADOS!E1679)</f>
        <v/>
      </c>
      <c r="G1679" s="9" t="str">
        <f>IF(DADOS!F1679="","",DADOS!F1679)</f>
        <v/>
      </c>
      <c r="K1679" s="6" t="str">
        <f t="shared" si="135"/>
        <v/>
      </c>
      <c r="L1679" s="7" t="str">
        <f t="shared" si="136"/>
        <v/>
      </c>
      <c r="M1679" s="7" t="str">
        <f t="shared" si="133"/>
        <v/>
      </c>
      <c r="N1679" s="7" t="str">
        <f t="shared" si="137"/>
        <v/>
      </c>
      <c r="O1679" s="8"/>
      <c r="P1679" s="26"/>
      <c r="S1679" s="10" t="str">
        <f t="shared" si="134"/>
        <v/>
      </c>
    </row>
    <row r="1680" spans="5:19" x14ac:dyDescent="0.3">
      <c r="E1680" s="9" t="str">
        <f>IF(DADOS!C1680="","",DADOS!C1680)</f>
        <v/>
      </c>
      <c r="F1680" s="9" t="str">
        <f>IF(DADOS!E1680="","",DADOS!E1680)</f>
        <v/>
      </c>
      <c r="G1680" s="9" t="str">
        <f>IF(DADOS!F1680="","",DADOS!F1680)</f>
        <v/>
      </c>
      <c r="K1680" s="6" t="str">
        <f t="shared" si="135"/>
        <v/>
      </c>
      <c r="L1680" s="7" t="str">
        <f t="shared" si="136"/>
        <v/>
      </c>
      <c r="M1680" s="7" t="str">
        <f t="shared" si="133"/>
        <v/>
      </c>
      <c r="N1680" s="7" t="str">
        <f t="shared" si="137"/>
        <v/>
      </c>
      <c r="O1680" s="8"/>
      <c r="P1680" s="26"/>
      <c r="S1680" s="10" t="str">
        <f t="shared" si="134"/>
        <v/>
      </c>
    </row>
    <row r="1681" spans="5:19" x14ac:dyDescent="0.3">
      <c r="E1681" s="9" t="str">
        <f>IF(DADOS!C1681="","",DADOS!C1681)</f>
        <v/>
      </c>
      <c r="F1681" s="9" t="str">
        <f>IF(DADOS!E1681="","",DADOS!E1681)</f>
        <v/>
      </c>
      <c r="G1681" s="9" t="str">
        <f>IF(DADOS!F1681="","",DADOS!F1681)</f>
        <v/>
      </c>
      <c r="K1681" s="6" t="str">
        <f t="shared" si="135"/>
        <v/>
      </c>
      <c r="L1681" s="7" t="str">
        <f t="shared" si="136"/>
        <v/>
      </c>
      <c r="M1681" s="7" t="str">
        <f t="shared" si="133"/>
        <v/>
      </c>
      <c r="N1681" s="7" t="str">
        <f t="shared" si="137"/>
        <v/>
      </c>
      <c r="O1681" s="8"/>
      <c r="P1681" s="26"/>
      <c r="S1681" s="10" t="str">
        <f t="shared" si="134"/>
        <v/>
      </c>
    </row>
    <row r="1682" spans="5:19" x14ac:dyDescent="0.3">
      <c r="E1682" s="9" t="str">
        <f>IF(DADOS!C1682="","",DADOS!C1682)</f>
        <v/>
      </c>
      <c r="F1682" s="9" t="str">
        <f>IF(DADOS!E1682="","",DADOS!E1682)</f>
        <v/>
      </c>
      <c r="G1682" s="9" t="str">
        <f>IF(DADOS!F1682="","",DADOS!F1682)</f>
        <v/>
      </c>
      <c r="K1682" s="6" t="str">
        <f t="shared" si="135"/>
        <v/>
      </c>
      <c r="L1682" s="7" t="str">
        <f t="shared" si="136"/>
        <v/>
      </c>
      <c r="M1682" s="7" t="str">
        <f t="shared" si="133"/>
        <v/>
      </c>
      <c r="N1682" s="7" t="str">
        <f t="shared" si="137"/>
        <v/>
      </c>
      <c r="O1682" s="8"/>
      <c r="P1682" s="26"/>
      <c r="S1682" s="10" t="str">
        <f t="shared" si="134"/>
        <v/>
      </c>
    </row>
    <row r="1683" spans="5:19" x14ac:dyDescent="0.3">
      <c r="E1683" s="9" t="str">
        <f>IF(DADOS!C1683="","",DADOS!C1683)</f>
        <v/>
      </c>
      <c r="F1683" s="9" t="str">
        <f>IF(DADOS!E1683="","",DADOS!E1683)</f>
        <v/>
      </c>
      <c r="G1683" s="9" t="str">
        <f>IF(DADOS!F1683="","",DADOS!F1683)</f>
        <v/>
      </c>
      <c r="K1683" s="6" t="str">
        <f t="shared" si="135"/>
        <v/>
      </c>
      <c r="L1683" s="7" t="str">
        <f t="shared" si="136"/>
        <v/>
      </c>
      <c r="M1683" s="7" t="str">
        <f t="shared" si="133"/>
        <v/>
      </c>
      <c r="N1683" s="7" t="str">
        <f t="shared" si="137"/>
        <v/>
      </c>
      <c r="O1683" s="8"/>
      <c r="P1683" s="26"/>
      <c r="S1683" s="10" t="str">
        <f t="shared" si="134"/>
        <v/>
      </c>
    </row>
    <row r="1684" spans="5:19" x14ac:dyDescent="0.3">
      <c r="E1684" s="9" t="str">
        <f>IF(DADOS!C1684="","",DADOS!C1684)</f>
        <v/>
      </c>
      <c r="F1684" s="9" t="str">
        <f>IF(DADOS!E1684="","",DADOS!E1684)</f>
        <v/>
      </c>
      <c r="G1684" s="9" t="str">
        <f>IF(DADOS!F1684="","",DADOS!F1684)</f>
        <v/>
      </c>
      <c r="K1684" s="6" t="str">
        <f t="shared" si="135"/>
        <v/>
      </c>
      <c r="L1684" s="7" t="str">
        <f t="shared" si="136"/>
        <v/>
      </c>
      <c r="M1684" s="7" t="str">
        <f t="shared" si="133"/>
        <v/>
      </c>
      <c r="N1684" s="7" t="str">
        <f t="shared" si="137"/>
        <v/>
      </c>
      <c r="O1684" s="8"/>
      <c r="P1684" s="26"/>
      <c r="S1684" s="10" t="str">
        <f t="shared" si="134"/>
        <v/>
      </c>
    </row>
    <row r="1685" spans="5:19" x14ac:dyDescent="0.3">
      <c r="E1685" s="9" t="str">
        <f>IF(DADOS!C1685="","",DADOS!C1685)</f>
        <v/>
      </c>
      <c r="F1685" s="9" t="str">
        <f>IF(DADOS!E1685="","",DADOS!E1685)</f>
        <v/>
      </c>
      <c r="G1685" s="9" t="str">
        <f>IF(DADOS!F1685="","",DADOS!F1685)</f>
        <v/>
      </c>
      <c r="K1685" s="6" t="str">
        <f t="shared" si="135"/>
        <v/>
      </c>
      <c r="L1685" s="7" t="str">
        <f t="shared" si="136"/>
        <v/>
      </c>
      <c r="M1685" s="7" t="str">
        <f t="shared" si="133"/>
        <v/>
      </c>
      <c r="N1685" s="7" t="str">
        <f t="shared" si="137"/>
        <v/>
      </c>
      <c r="O1685" s="8"/>
      <c r="P1685" s="26"/>
      <c r="S1685" s="10" t="str">
        <f t="shared" si="134"/>
        <v/>
      </c>
    </row>
    <row r="1686" spans="5:19" x14ac:dyDescent="0.3">
      <c r="E1686" s="9" t="str">
        <f>IF(DADOS!C1686="","",DADOS!C1686)</f>
        <v/>
      </c>
      <c r="F1686" s="9" t="str">
        <f>IF(DADOS!E1686="","",DADOS!E1686)</f>
        <v/>
      </c>
      <c r="G1686" s="9" t="str">
        <f>IF(DADOS!F1686="","",DADOS!F1686)</f>
        <v/>
      </c>
      <c r="K1686" s="6" t="str">
        <f t="shared" si="135"/>
        <v/>
      </c>
      <c r="L1686" s="7" t="str">
        <f t="shared" si="136"/>
        <v/>
      </c>
      <c r="M1686" s="7" t="str">
        <f t="shared" si="133"/>
        <v/>
      </c>
      <c r="N1686" s="7" t="str">
        <f t="shared" si="137"/>
        <v/>
      </c>
      <c r="O1686" s="8"/>
      <c r="P1686" s="26"/>
      <c r="S1686" s="10" t="str">
        <f t="shared" si="134"/>
        <v/>
      </c>
    </row>
    <row r="1687" spans="5:19" x14ac:dyDescent="0.3">
      <c r="E1687" s="9" t="str">
        <f>IF(DADOS!C1687="","",DADOS!C1687)</f>
        <v/>
      </c>
      <c r="F1687" s="9" t="str">
        <f>IF(DADOS!E1687="","",DADOS!E1687)</f>
        <v/>
      </c>
      <c r="G1687" s="9" t="str">
        <f>IF(DADOS!F1687="","",DADOS!F1687)</f>
        <v/>
      </c>
      <c r="K1687" s="6" t="str">
        <f t="shared" si="135"/>
        <v/>
      </c>
      <c r="L1687" s="7" t="str">
        <f t="shared" si="136"/>
        <v/>
      </c>
      <c r="M1687" s="7" t="str">
        <f t="shared" si="133"/>
        <v/>
      </c>
      <c r="N1687" s="7" t="str">
        <f t="shared" si="137"/>
        <v/>
      </c>
      <c r="O1687" s="8"/>
      <c r="P1687" s="26"/>
      <c r="S1687" s="10" t="str">
        <f t="shared" si="134"/>
        <v/>
      </c>
    </row>
    <row r="1688" spans="5:19" x14ac:dyDescent="0.3">
      <c r="E1688" s="9" t="str">
        <f>IF(DADOS!C1688="","",DADOS!C1688)</f>
        <v/>
      </c>
      <c r="F1688" s="9" t="str">
        <f>IF(DADOS!E1688="","",DADOS!E1688)</f>
        <v/>
      </c>
      <c r="G1688" s="9" t="str">
        <f>IF(DADOS!F1688="","",DADOS!F1688)</f>
        <v/>
      </c>
      <c r="K1688" s="6" t="str">
        <f t="shared" si="135"/>
        <v/>
      </c>
      <c r="L1688" s="7" t="str">
        <f t="shared" si="136"/>
        <v/>
      </c>
      <c r="M1688" s="7" t="str">
        <f t="shared" si="133"/>
        <v/>
      </c>
      <c r="N1688" s="7" t="str">
        <f t="shared" si="137"/>
        <v/>
      </c>
      <c r="O1688" s="8"/>
      <c r="P1688" s="26"/>
      <c r="S1688" s="10" t="str">
        <f t="shared" si="134"/>
        <v/>
      </c>
    </row>
    <row r="1689" spans="5:19" x14ac:dyDescent="0.3">
      <c r="E1689" s="9" t="str">
        <f>IF(DADOS!C1689="","",DADOS!C1689)</f>
        <v/>
      </c>
      <c r="F1689" s="9" t="str">
        <f>IF(DADOS!E1689="","",DADOS!E1689)</f>
        <v/>
      </c>
      <c r="G1689" s="9" t="str">
        <f>IF(DADOS!F1689="","",DADOS!F1689)</f>
        <v/>
      </c>
      <c r="K1689" s="6" t="str">
        <f t="shared" si="135"/>
        <v/>
      </c>
      <c r="L1689" s="7" t="str">
        <f t="shared" si="136"/>
        <v/>
      </c>
      <c r="M1689" s="7" t="str">
        <f t="shared" si="133"/>
        <v/>
      </c>
      <c r="N1689" s="7" t="str">
        <f t="shared" si="137"/>
        <v/>
      </c>
      <c r="O1689" s="8"/>
      <c r="P1689" s="26"/>
      <c r="S1689" s="10" t="str">
        <f t="shared" si="134"/>
        <v/>
      </c>
    </row>
    <row r="1690" spans="5:19" x14ac:dyDescent="0.3">
      <c r="E1690" s="9" t="str">
        <f>IF(DADOS!C1690="","",DADOS!C1690)</f>
        <v/>
      </c>
      <c r="F1690" s="9" t="str">
        <f>IF(DADOS!E1690="","",DADOS!E1690)</f>
        <v/>
      </c>
      <c r="G1690" s="9" t="str">
        <f>IF(DADOS!F1690="","",DADOS!F1690)</f>
        <v/>
      </c>
      <c r="K1690" s="6" t="str">
        <f t="shared" si="135"/>
        <v/>
      </c>
      <c r="L1690" s="7" t="str">
        <f t="shared" si="136"/>
        <v/>
      </c>
      <c r="M1690" s="7" t="str">
        <f t="shared" si="133"/>
        <v/>
      </c>
      <c r="N1690" s="7" t="str">
        <f t="shared" si="137"/>
        <v/>
      </c>
      <c r="O1690" s="8"/>
      <c r="P1690" s="26"/>
      <c r="S1690" s="10" t="str">
        <f t="shared" si="134"/>
        <v/>
      </c>
    </row>
    <row r="1691" spans="5:19" x14ac:dyDescent="0.3">
      <c r="E1691" s="9" t="str">
        <f>IF(DADOS!C1691="","",DADOS!C1691)</f>
        <v/>
      </c>
      <c r="F1691" s="9" t="str">
        <f>IF(DADOS!E1691="","",DADOS!E1691)</f>
        <v/>
      </c>
      <c r="G1691" s="9" t="str">
        <f>IF(DADOS!F1691="","",DADOS!F1691)</f>
        <v/>
      </c>
      <c r="K1691" s="6" t="str">
        <f t="shared" si="135"/>
        <v/>
      </c>
      <c r="L1691" s="7" t="str">
        <f t="shared" si="136"/>
        <v/>
      </c>
      <c r="M1691" s="7" t="str">
        <f t="shared" si="133"/>
        <v/>
      </c>
      <c r="N1691" s="7" t="str">
        <f t="shared" si="137"/>
        <v/>
      </c>
      <c r="O1691" s="8"/>
      <c r="P1691" s="26"/>
      <c r="S1691" s="10" t="str">
        <f t="shared" si="134"/>
        <v/>
      </c>
    </row>
    <row r="1692" spans="5:19" x14ac:dyDescent="0.3">
      <c r="E1692" s="9" t="str">
        <f>IF(DADOS!C1692="","",DADOS!C1692)</f>
        <v/>
      </c>
      <c r="F1692" s="9" t="str">
        <f>IF(DADOS!E1692="","",DADOS!E1692)</f>
        <v/>
      </c>
      <c r="G1692" s="9" t="str">
        <f>IF(DADOS!F1692="","",DADOS!F1692)</f>
        <v/>
      </c>
      <c r="K1692" s="6" t="str">
        <f t="shared" si="135"/>
        <v/>
      </c>
      <c r="L1692" s="7" t="str">
        <f t="shared" si="136"/>
        <v/>
      </c>
      <c r="M1692" s="7" t="str">
        <f t="shared" si="133"/>
        <v/>
      </c>
      <c r="N1692" s="7" t="str">
        <f t="shared" si="137"/>
        <v/>
      </c>
      <c r="O1692" s="8"/>
      <c r="P1692" s="26"/>
      <c r="S1692" s="10" t="str">
        <f t="shared" si="134"/>
        <v/>
      </c>
    </row>
    <row r="1693" spans="5:19" x14ac:dyDescent="0.3">
      <c r="E1693" s="9" t="str">
        <f>IF(DADOS!C1693="","",DADOS!C1693)</f>
        <v/>
      </c>
      <c r="F1693" s="9" t="str">
        <f>IF(DADOS!E1693="","",DADOS!E1693)</f>
        <v/>
      </c>
      <c r="G1693" s="9" t="str">
        <f>IF(DADOS!F1693="","",DADOS!F1693)</f>
        <v/>
      </c>
      <c r="K1693" s="6" t="str">
        <f t="shared" si="135"/>
        <v/>
      </c>
      <c r="L1693" s="7" t="str">
        <f t="shared" si="136"/>
        <v/>
      </c>
      <c r="M1693" s="7" t="str">
        <f t="shared" si="133"/>
        <v/>
      </c>
      <c r="N1693" s="7" t="str">
        <f t="shared" si="137"/>
        <v/>
      </c>
      <c r="O1693" s="8"/>
      <c r="P1693" s="26"/>
      <c r="S1693" s="10" t="str">
        <f t="shared" si="134"/>
        <v/>
      </c>
    </row>
    <row r="1694" spans="5:19" x14ac:dyDescent="0.3">
      <c r="E1694" s="9" t="str">
        <f>IF(DADOS!C1694="","",DADOS!C1694)</f>
        <v/>
      </c>
      <c r="F1694" s="9" t="str">
        <f>IF(DADOS!E1694="","",DADOS!E1694)</f>
        <v/>
      </c>
      <c r="G1694" s="9" t="str">
        <f>IF(DADOS!F1694="","",DADOS!F1694)</f>
        <v/>
      </c>
      <c r="K1694" s="6" t="str">
        <f t="shared" si="135"/>
        <v/>
      </c>
      <c r="L1694" s="7" t="str">
        <f t="shared" si="136"/>
        <v/>
      </c>
      <c r="M1694" s="7" t="str">
        <f t="shared" si="133"/>
        <v/>
      </c>
      <c r="N1694" s="7" t="str">
        <f t="shared" si="137"/>
        <v/>
      </c>
      <c r="O1694" s="8"/>
      <c r="P1694" s="26"/>
      <c r="S1694" s="10" t="str">
        <f t="shared" si="134"/>
        <v/>
      </c>
    </row>
    <row r="1695" spans="5:19" x14ac:dyDescent="0.3">
      <c r="E1695" s="9" t="str">
        <f>IF(DADOS!C1695="","",DADOS!C1695)</f>
        <v/>
      </c>
      <c r="F1695" s="9" t="str">
        <f>IF(DADOS!E1695="","",DADOS!E1695)</f>
        <v/>
      </c>
      <c r="G1695" s="9" t="str">
        <f>IF(DADOS!F1695="","",DADOS!F1695)</f>
        <v/>
      </c>
      <c r="K1695" s="6" t="str">
        <f t="shared" si="135"/>
        <v/>
      </c>
      <c r="L1695" s="7" t="str">
        <f t="shared" si="136"/>
        <v/>
      </c>
      <c r="M1695" s="7" t="str">
        <f t="shared" si="133"/>
        <v/>
      </c>
      <c r="N1695" s="7" t="str">
        <f t="shared" si="137"/>
        <v/>
      </c>
      <c r="O1695" s="8"/>
      <c r="P1695" s="26"/>
      <c r="S1695" s="10" t="str">
        <f t="shared" si="134"/>
        <v/>
      </c>
    </row>
    <row r="1696" spans="5:19" x14ac:dyDescent="0.3">
      <c r="E1696" s="9" t="str">
        <f>IF(DADOS!C1696="","",DADOS!C1696)</f>
        <v/>
      </c>
      <c r="F1696" s="9" t="str">
        <f>IF(DADOS!E1696="","",DADOS!E1696)</f>
        <v/>
      </c>
      <c r="G1696" s="9" t="str">
        <f>IF(DADOS!F1696="","",DADOS!F1696)</f>
        <v/>
      </c>
      <c r="K1696" s="6" t="str">
        <f t="shared" si="135"/>
        <v/>
      </c>
      <c r="L1696" s="7" t="str">
        <f t="shared" si="136"/>
        <v/>
      </c>
      <c r="M1696" s="7" t="str">
        <f t="shared" si="133"/>
        <v/>
      </c>
      <c r="N1696" s="7" t="str">
        <f t="shared" si="137"/>
        <v/>
      </c>
      <c r="O1696" s="8"/>
      <c r="P1696" s="26"/>
      <c r="S1696" s="10" t="str">
        <f t="shared" si="134"/>
        <v/>
      </c>
    </row>
    <row r="1697" spans="5:19" x14ac:dyDescent="0.3">
      <c r="E1697" s="9" t="str">
        <f>IF(DADOS!C1697="","",DADOS!C1697)</f>
        <v/>
      </c>
      <c r="F1697" s="9" t="str">
        <f>IF(DADOS!E1697="","",DADOS!E1697)</f>
        <v/>
      </c>
      <c r="G1697" s="9" t="str">
        <f>IF(DADOS!F1697="","",DADOS!F1697)</f>
        <v/>
      </c>
      <c r="K1697" s="6" t="str">
        <f t="shared" si="135"/>
        <v/>
      </c>
      <c r="L1697" s="7" t="str">
        <f t="shared" si="136"/>
        <v/>
      </c>
      <c r="M1697" s="7" t="str">
        <f t="shared" si="133"/>
        <v/>
      </c>
      <c r="N1697" s="7" t="str">
        <f t="shared" si="137"/>
        <v/>
      </c>
      <c r="O1697" s="8"/>
      <c r="P1697" s="26"/>
      <c r="S1697" s="10" t="str">
        <f t="shared" si="134"/>
        <v/>
      </c>
    </row>
    <row r="1698" spans="5:19" x14ac:dyDescent="0.3">
      <c r="E1698" s="9" t="str">
        <f>IF(DADOS!C1698="","",DADOS!C1698)</f>
        <v/>
      </c>
      <c r="F1698" s="9" t="str">
        <f>IF(DADOS!E1698="","",DADOS!E1698)</f>
        <v/>
      </c>
      <c r="G1698" s="9" t="str">
        <f>IF(DADOS!F1698="","",DADOS!F1698)</f>
        <v/>
      </c>
      <c r="K1698" s="6" t="str">
        <f t="shared" si="135"/>
        <v/>
      </c>
      <c r="L1698" s="7" t="str">
        <f t="shared" si="136"/>
        <v/>
      </c>
      <c r="M1698" s="7" t="str">
        <f t="shared" si="133"/>
        <v/>
      </c>
      <c r="N1698" s="7" t="str">
        <f t="shared" si="137"/>
        <v/>
      </c>
      <c r="O1698" s="8"/>
      <c r="P1698" s="26"/>
      <c r="S1698" s="10" t="str">
        <f t="shared" si="134"/>
        <v/>
      </c>
    </row>
    <row r="1699" spans="5:19" x14ac:dyDescent="0.3">
      <c r="E1699" s="9" t="str">
        <f>IF(DADOS!C1699="","",DADOS!C1699)</f>
        <v/>
      </c>
      <c r="F1699" s="9" t="str">
        <f>IF(DADOS!E1699="","",DADOS!E1699)</f>
        <v/>
      </c>
      <c r="G1699" s="9" t="str">
        <f>IF(DADOS!F1699="","",DADOS!F1699)</f>
        <v/>
      </c>
      <c r="K1699" s="6" t="str">
        <f t="shared" si="135"/>
        <v/>
      </c>
      <c r="L1699" s="7" t="str">
        <f t="shared" si="136"/>
        <v/>
      </c>
      <c r="M1699" s="7" t="str">
        <f t="shared" si="133"/>
        <v/>
      </c>
      <c r="N1699" s="7" t="str">
        <f t="shared" si="137"/>
        <v/>
      </c>
      <c r="O1699" s="8"/>
      <c r="P1699" s="26"/>
      <c r="S1699" s="10" t="str">
        <f t="shared" si="134"/>
        <v/>
      </c>
    </row>
    <row r="1700" spans="5:19" x14ac:dyDescent="0.3">
      <c r="E1700" s="9" t="str">
        <f>IF(DADOS!C1700="","",DADOS!C1700)</f>
        <v/>
      </c>
      <c r="F1700" s="9" t="str">
        <f>IF(DADOS!E1700="","",DADOS!E1700)</f>
        <v/>
      </c>
      <c r="G1700" s="9" t="str">
        <f>IF(DADOS!F1700="","",DADOS!F1700)</f>
        <v/>
      </c>
      <c r="K1700" s="6" t="str">
        <f t="shared" si="135"/>
        <v/>
      </c>
      <c r="L1700" s="7" t="str">
        <f t="shared" si="136"/>
        <v/>
      </c>
      <c r="M1700" s="7" t="str">
        <f t="shared" si="133"/>
        <v/>
      </c>
      <c r="N1700" s="7" t="str">
        <f t="shared" si="137"/>
        <v/>
      </c>
      <c r="O1700" s="8"/>
      <c r="P1700" s="26"/>
      <c r="S1700" s="10" t="str">
        <f t="shared" si="134"/>
        <v/>
      </c>
    </row>
    <row r="1701" spans="5:19" x14ac:dyDescent="0.3">
      <c r="E1701" s="9" t="str">
        <f>IF(DADOS!C1701="","",DADOS!C1701)</f>
        <v/>
      </c>
      <c r="F1701" s="9" t="str">
        <f>IF(DADOS!E1701="","",DADOS!E1701)</f>
        <v/>
      </c>
      <c r="G1701" s="9" t="str">
        <f>IF(DADOS!F1701="","",DADOS!F1701)</f>
        <v/>
      </c>
      <c r="K1701" s="6" t="str">
        <f t="shared" si="135"/>
        <v/>
      </c>
      <c r="L1701" s="7" t="str">
        <f t="shared" si="136"/>
        <v/>
      </c>
      <c r="M1701" s="7" t="str">
        <f t="shared" si="133"/>
        <v/>
      </c>
      <c r="N1701" s="7" t="str">
        <f t="shared" si="137"/>
        <v/>
      </c>
      <c r="O1701" s="8"/>
      <c r="P1701" s="26"/>
      <c r="S1701" s="10" t="str">
        <f t="shared" si="134"/>
        <v/>
      </c>
    </row>
    <row r="1702" spans="5:19" x14ac:dyDescent="0.3">
      <c r="E1702" s="9" t="str">
        <f>IF(DADOS!C1702="","",DADOS!C1702)</f>
        <v/>
      </c>
      <c r="F1702" s="9" t="str">
        <f>IF(DADOS!E1702="","",DADOS!E1702)</f>
        <v/>
      </c>
      <c r="G1702" s="9" t="str">
        <f>IF(DADOS!F1702="","",DADOS!F1702)</f>
        <v/>
      </c>
      <c r="K1702" s="6" t="str">
        <f t="shared" si="135"/>
        <v/>
      </c>
      <c r="L1702" s="7" t="str">
        <f t="shared" si="136"/>
        <v/>
      </c>
      <c r="M1702" s="7" t="str">
        <f t="shared" si="133"/>
        <v/>
      </c>
      <c r="N1702" s="7" t="str">
        <f t="shared" si="137"/>
        <v/>
      </c>
      <c r="O1702" s="8"/>
      <c r="P1702" s="26"/>
      <c r="S1702" s="10" t="str">
        <f t="shared" si="134"/>
        <v/>
      </c>
    </row>
    <row r="1703" spans="5:19" x14ac:dyDescent="0.3">
      <c r="E1703" s="9" t="str">
        <f>IF(DADOS!C1703="","",DADOS!C1703)</f>
        <v/>
      </c>
      <c r="F1703" s="9" t="str">
        <f>IF(DADOS!E1703="","",DADOS!E1703)</f>
        <v/>
      </c>
      <c r="G1703" s="9" t="str">
        <f>IF(DADOS!F1703="","",DADOS!F1703)</f>
        <v/>
      </c>
      <c r="K1703" s="6" t="str">
        <f t="shared" si="135"/>
        <v/>
      </c>
      <c r="L1703" s="7" t="str">
        <f t="shared" si="136"/>
        <v/>
      </c>
      <c r="M1703" s="7" t="str">
        <f t="shared" si="133"/>
        <v/>
      </c>
      <c r="N1703" s="7" t="str">
        <f t="shared" si="137"/>
        <v/>
      </c>
      <c r="O1703" s="8"/>
      <c r="P1703" s="26"/>
      <c r="S1703" s="10" t="str">
        <f t="shared" si="134"/>
        <v/>
      </c>
    </row>
    <row r="1704" spans="5:19" x14ac:dyDescent="0.3">
      <c r="E1704" s="9" t="str">
        <f>IF(DADOS!C1704="","",DADOS!C1704)</f>
        <v/>
      </c>
      <c r="F1704" s="9" t="str">
        <f>IF(DADOS!E1704="","",DADOS!E1704)</f>
        <v/>
      </c>
      <c r="G1704" s="9" t="str">
        <f>IF(DADOS!F1704="","",DADOS!F1704)</f>
        <v/>
      </c>
      <c r="K1704" s="6" t="str">
        <f t="shared" si="135"/>
        <v/>
      </c>
      <c r="L1704" s="7" t="str">
        <f t="shared" si="136"/>
        <v/>
      </c>
      <c r="M1704" s="7" t="str">
        <f t="shared" si="133"/>
        <v/>
      </c>
      <c r="N1704" s="7" t="str">
        <f t="shared" si="137"/>
        <v/>
      </c>
      <c r="O1704" s="8"/>
      <c r="P1704" s="26"/>
      <c r="S1704" s="10" t="str">
        <f t="shared" si="134"/>
        <v/>
      </c>
    </row>
    <row r="1705" spans="5:19" x14ac:dyDescent="0.3">
      <c r="E1705" s="9" t="str">
        <f>IF(DADOS!C1705="","",DADOS!C1705)</f>
        <v/>
      </c>
      <c r="F1705" s="9" t="str">
        <f>IF(DADOS!E1705="","",DADOS!E1705)</f>
        <v/>
      </c>
      <c r="G1705" s="9" t="str">
        <f>IF(DADOS!F1705="","",DADOS!F1705)</f>
        <v/>
      </c>
      <c r="K1705" s="6" t="str">
        <f t="shared" si="135"/>
        <v/>
      </c>
      <c r="L1705" s="7" t="str">
        <f t="shared" si="136"/>
        <v/>
      </c>
      <c r="M1705" s="7" t="str">
        <f t="shared" si="133"/>
        <v/>
      </c>
      <c r="N1705" s="7" t="str">
        <f t="shared" si="137"/>
        <v/>
      </c>
      <c r="O1705" s="8"/>
      <c r="P1705" s="26"/>
      <c r="S1705" s="10" t="str">
        <f t="shared" si="134"/>
        <v/>
      </c>
    </row>
    <row r="1706" spans="5:19" x14ac:dyDescent="0.3">
      <c r="E1706" s="9" t="str">
        <f>IF(DADOS!C1706="","",DADOS!C1706)</f>
        <v/>
      </c>
      <c r="F1706" s="9" t="str">
        <f>IF(DADOS!E1706="","",DADOS!E1706)</f>
        <v/>
      </c>
      <c r="G1706" s="9" t="str">
        <f>IF(DADOS!F1706="","",DADOS!F1706)</f>
        <v/>
      </c>
      <c r="K1706" s="6" t="str">
        <f t="shared" si="135"/>
        <v/>
      </c>
      <c r="L1706" s="7" t="str">
        <f t="shared" si="136"/>
        <v/>
      </c>
      <c r="M1706" s="7" t="str">
        <f t="shared" si="133"/>
        <v/>
      </c>
      <c r="N1706" s="7" t="str">
        <f t="shared" si="137"/>
        <v/>
      </c>
      <c r="O1706" s="8"/>
      <c r="P1706" s="26"/>
      <c r="S1706" s="10" t="str">
        <f t="shared" si="134"/>
        <v/>
      </c>
    </row>
    <row r="1707" spans="5:19" x14ac:dyDescent="0.3">
      <c r="E1707" s="9" t="str">
        <f>IF(DADOS!C1707="","",DADOS!C1707)</f>
        <v/>
      </c>
      <c r="F1707" s="9" t="str">
        <f>IF(DADOS!E1707="","",DADOS!E1707)</f>
        <v/>
      </c>
      <c r="G1707" s="9" t="str">
        <f>IF(DADOS!F1707="","",DADOS!F1707)</f>
        <v/>
      </c>
      <c r="K1707" s="6" t="str">
        <f t="shared" si="135"/>
        <v/>
      </c>
      <c r="L1707" s="7" t="str">
        <f t="shared" si="136"/>
        <v/>
      </c>
      <c r="M1707" s="7" t="str">
        <f t="shared" si="133"/>
        <v/>
      </c>
      <c r="N1707" s="7" t="str">
        <f t="shared" si="137"/>
        <v/>
      </c>
      <c r="O1707" s="8"/>
      <c r="P1707" s="26"/>
      <c r="S1707" s="10" t="str">
        <f t="shared" si="134"/>
        <v/>
      </c>
    </row>
    <row r="1708" spans="5:19" x14ac:dyDescent="0.3">
      <c r="E1708" s="9" t="str">
        <f>IF(DADOS!C1708="","",DADOS!C1708)</f>
        <v/>
      </c>
      <c r="F1708" s="9" t="str">
        <f>IF(DADOS!E1708="","",DADOS!E1708)</f>
        <v/>
      </c>
      <c r="G1708" s="9" t="str">
        <f>IF(DADOS!F1708="","",DADOS!F1708)</f>
        <v/>
      </c>
      <c r="K1708" s="6" t="str">
        <f t="shared" si="135"/>
        <v/>
      </c>
      <c r="L1708" s="7" t="str">
        <f t="shared" si="136"/>
        <v/>
      </c>
      <c r="M1708" s="7" t="str">
        <f t="shared" si="133"/>
        <v/>
      </c>
      <c r="N1708" s="7" t="str">
        <f t="shared" si="137"/>
        <v/>
      </c>
      <c r="O1708" s="8"/>
      <c r="P1708" s="26"/>
      <c r="S1708" s="10" t="str">
        <f t="shared" si="134"/>
        <v/>
      </c>
    </row>
    <row r="1709" spans="5:19" x14ac:dyDescent="0.3">
      <c r="E1709" s="9" t="str">
        <f>IF(DADOS!C1709="","",DADOS!C1709)</f>
        <v/>
      </c>
      <c r="F1709" s="9" t="str">
        <f>IF(DADOS!E1709="","",DADOS!E1709)</f>
        <v/>
      </c>
      <c r="G1709" s="9" t="str">
        <f>IF(DADOS!F1709="","",DADOS!F1709)</f>
        <v/>
      </c>
      <c r="K1709" s="6" t="str">
        <f t="shared" si="135"/>
        <v/>
      </c>
      <c r="L1709" s="7" t="str">
        <f t="shared" si="136"/>
        <v/>
      </c>
      <c r="M1709" s="7" t="str">
        <f t="shared" si="133"/>
        <v/>
      </c>
      <c r="N1709" s="7" t="str">
        <f t="shared" si="137"/>
        <v/>
      </c>
      <c r="O1709" s="8"/>
      <c r="P1709" s="26"/>
      <c r="S1709" s="10" t="str">
        <f t="shared" si="134"/>
        <v/>
      </c>
    </row>
    <row r="1710" spans="5:19" x14ac:dyDescent="0.3">
      <c r="E1710" s="9" t="str">
        <f>IF(DADOS!C1710="","",DADOS!C1710)</f>
        <v/>
      </c>
      <c r="F1710" s="9" t="str">
        <f>IF(DADOS!E1710="","",DADOS!E1710)</f>
        <v/>
      </c>
      <c r="G1710" s="9" t="str">
        <f>IF(DADOS!F1710="","",DADOS!F1710)</f>
        <v/>
      </c>
      <c r="K1710" s="6" t="str">
        <f t="shared" si="135"/>
        <v/>
      </c>
      <c r="L1710" s="7" t="str">
        <f t="shared" si="136"/>
        <v/>
      </c>
      <c r="M1710" s="7" t="str">
        <f t="shared" si="133"/>
        <v/>
      </c>
      <c r="N1710" s="7" t="str">
        <f t="shared" si="137"/>
        <v/>
      </c>
      <c r="O1710" s="8"/>
      <c r="P1710" s="26"/>
      <c r="S1710" s="10" t="str">
        <f t="shared" si="134"/>
        <v/>
      </c>
    </row>
    <row r="1711" spans="5:19" x14ac:dyDescent="0.3">
      <c r="E1711" s="9" t="str">
        <f>IF(DADOS!C1711="","",DADOS!C1711)</f>
        <v/>
      </c>
      <c r="F1711" s="9" t="str">
        <f>IF(DADOS!E1711="","",DADOS!E1711)</f>
        <v/>
      </c>
      <c r="G1711" s="9" t="str">
        <f>IF(DADOS!F1711="","",DADOS!F1711)</f>
        <v/>
      </c>
      <c r="K1711" s="6" t="str">
        <f t="shared" si="135"/>
        <v/>
      </c>
      <c r="L1711" s="7" t="str">
        <f t="shared" si="136"/>
        <v/>
      </c>
      <c r="M1711" s="7" t="str">
        <f t="shared" si="133"/>
        <v/>
      </c>
      <c r="N1711" s="7" t="str">
        <f t="shared" si="137"/>
        <v/>
      </c>
      <c r="O1711" s="8"/>
      <c r="P1711" s="26"/>
      <c r="S1711" s="10" t="str">
        <f t="shared" si="134"/>
        <v/>
      </c>
    </row>
    <row r="1712" spans="5:19" x14ac:dyDescent="0.3">
      <c r="E1712" s="9" t="str">
        <f>IF(DADOS!C1712="","",DADOS!C1712)</f>
        <v/>
      </c>
      <c r="F1712" s="9" t="str">
        <f>IF(DADOS!E1712="","",DADOS!E1712)</f>
        <v/>
      </c>
      <c r="G1712" s="9" t="str">
        <f>IF(DADOS!F1712="","",DADOS!F1712)</f>
        <v/>
      </c>
      <c r="K1712" s="6" t="str">
        <f t="shared" si="135"/>
        <v/>
      </c>
      <c r="L1712" s="7" t="str">
        <f t="shared" si="136"/>
        <v/>
      </c>
      <c r="M1712" s="7" t="str">
        <f t="shared" si="133"/>
        <v/>
      </c>
      <c r="N1712" s="7" t="str">
        <f t="shared" si="137"/>
        <v/>
      </c>
      <c r="O1712" s="8"/>
      <c r="P1712" s="26"/>
      <c r="S1712" s="10" t="str">
        <f t="shared" si="134"/>
        <v/>
      </c>
    </row>
    <row r="1713" spans="5:19" x14ac:dyDescent="0.3">
      <c r="E1713" s="9" t="str">
        <f>IF(DADOS!C1713="","",DADOS!C1713)</f>
        <v/>
      </c>
      <c r="F1713" s="9" t="str">
        <f>IF(DADOS!E1713="","",DADOS!E1713)</f>
        <v/>
      </c>
      <c r="G1713" s="9" t="str">
        <f>IF(DADOS!F1713="","",DADOS!F1713)</f>
        <v/>
      </c>
      <c r="K1713" s="6" t="str">
        <f t="shared" si="135"/>
        <v/>
      </c>
      <c r="L1713" s="7" t="str">
        <f t="shared" si="136"/>
        <v/>
      </c>
      <c r="M1713" s="7" t="str">
        <f t="shared" si="133"/>
        <v/>
      </c>
      <c r="N1713" s="7" t="str">
        <f t="shared" si="137"/>
        <v/>
      </c>
      <c r="O1713" s="8"/>
      <c r="P1713" s="26"/>
      <c r="S1713" s="10" t="str">
        <f t="shared" si="134"/>
        <v/>
      </c>
    </row>
    <row r="1714" spans="5:19" x14ac:dyDescent="0.3">
      <c r="E1714" s="9" t="str">
        <f>IF(DADOS!C1714="","",DADOS!C1714)</f>
        <v/>
      </c>
      <c r="F1714" s="9" t="str">
        <f>IF(DADOS!E1714="","",DADOS!E1714)</f>
        <v/>
      </c>
      <c r="G1714" s="9" t="str">
        <f>IF(DADOS!F1714="","",DADOS!F1714)</f>
        <v/>
      </c>
      <c r="K1714" s="6" t="str">
        <f t="shared" si="135"/>
        <v/>
      </c>
      <c r="L1714" s="7" t="str">
        <f t="shared" si="136"/>
        <v/>
      </c>
      <c r="M1714" s="7" t="str">
        <f t="shared" si="133"/>
        <v/>
      </c>
      <c r="N1714" s="7" t="str">
        <f t="shared" si="137"/>
        <v/>
      </c>
      <c r="O1714" s="8"/>
      <c r="P1714" s="26"/>
      <c r="S1714" s="10" t="str">
        <f t="shared" si="134"/>
        <v/>
      </c>
    </row>
    <row r="1715" spans="5:19" x14ac:dyDescent="0.3">
      <c r="E1715" s="9" t="str">
        <f>IF(DADOS!C1715="","",DADOS!C1715)</f>
        <v/>
      </c>
      <c r="F1715" s="9" t="str">
        <f>IF(DADOS!E1715="","",DADOS!E1715)</f>
        <v/>
      </c>
      <c r="G1715" s="9" t="str">
        <f>IF(DADOS!F1715="","",DADOS!F1715)</f>
        <v/>
      </c>
      <c r="K1715" s="6" t="str">
        <f t="shared" si="135"/>
        <v/>
      </c>
      <c r="L1715" s="7" t="str">
        <f t="shared" si="136"/>
        <v/>
      </c>
      <c r="M1715" s="7" t="str">
        <f t="shared" si="133"/>
        <v/>
      </c>
      <c r="N1715" s="7" t="str">
        <f t="shared" si="137"/>
        <v/>
      </c>
      <c r="O1715" s="8"/>
      <c r="P1715" s="26"/>
      <c r="S1715" s="10" t="str">
        <f t="shared" si="134"/>
        <v/>
      </c>
    </row>
    <row r="1716" spans="5:19" x14ac:dyDescent="0.3">
      <c r="E1716" s="9" t="str">
        <f>IF(DADOS!C1716="","",DADOS!C1716)</f>
        <v/>
      </c>
      <c r="F1716" s="9" t="str">
        <f>IF(DADOS!E1716="","",DADOS!E1716)</f>
        <v/>
      </c>
      <c r="G1716" s="9" t="str">
        <f>IF(DADOS!F1716="","",DADOS!F1716)</f>
        <v/>
      </c>
      <c r="K1716" s="6" t="str">
        <f t="shared" si="135"/>
        <v/>
      </c>
      <c r="L1716" s="7" t="str">
        <f t="shared" si="136"/>
        <v/>
      </c>
      <c r="M1716" s="7" t="str">
        <f t="shared" si="133"/>
        <v/>
      </c>
      <c r="N1716" s="7" t="str">
        <f t="shared" si="137"/>
        <v/>
      </c>
      <c r="O1716" s="8"/>
      <c r="P1716" s="26"/>
      <c r="S1716" s="10" t="str">
        <f t="shared" si="134"/>
        <v/>
      </c>
    </row>
    <row r="1717" spans="5:19" x14ac:dyDescent="0.3">
      <c r="E1717" s="9" t="str">
        <f>IF(DADOS!C1717="","",DADOS!C1717)</f>
        <v/>
      </c>
      <c r="F1717" s="9" t="str">
        <f>IF(DADOS!E1717="","",DADOS!E1717)</f>
        <v/>
      </c>
      <c r="G1717" s="9" t="str">
        <f>IF(DADOS!F1717="","",DADOS!F1717)</f>
        <v/>
      </c>
      <c r="K1717" s="6" t="str">
        <f t="shared" si="135"/>
        <v/>
      </c>
      <c r="L1717" s="7" t="str">
        <f t="shared" si="136"/>
        <v/>
      </c>
      <c r="M1717" s="7" t="str">
        <f t="shared" si="133"/>
        <v/>
      </c>
      <c r="N1717" s="7" t="str">
        <f t="shared" si="137"/>
        <v/>
      </c>
      <c r="O1717" s="8"/>
      <c r="P1717" s="26"/>
      <c r="S1717" s="10" t="str">
        <f t="shared" si="134"/>
        <v/>
      </c>
    </row>
    <row r="1718" spans="5:19" x14ac:dyDescent="0.3">
      <c r="E1718" s="9" t="str">
        <f>IF(DADOS!C1718="","",DADOS!C1718)</f>
        <v/>
      </c>
      <c r="F1718" s="9" t="str">
        <f>IF(DADOS!E1718="","",DADOS!E1718)</f>
        <v/>
      </c>
      <c r="G1718" s="9" t="str">
        <f>IF(DADOS!F1718="","",DADOS!F1718)</f>
        <v/>
      </c>
      <c r="K1718" s="6" t="str">
        <f t="shared" si="135"/>
        <v/>
      </c>
      <c r="L1718" s="7" t="str">
        <f t="shared" si="136"/>
        <v/>
      </c>
      <c r="M1718" s="7" t="str">
        <f t="shared" si="133"/>
        <v/>
      </c>
      <c r="N1718" s="7" t="str">
        <f t="shared" si="137"/>
        <v/>
      </c>
      <c r="O1718" s="8"/>
      <c r="P1718" s="26"/>
      <c r="S1718" s="10" t="str">
        <f t="shared" si="134"/>
        <v/>
      </c>
    </row>
    <row r="1719" spans="5:19" x14ac:dyDescent="0.3">
      <c r="E1719" s="9" t="str">
        <f>IF(DADOS!C1719="","",DADOS!C1719)</f>
        <v/>
      </c>
      <c r="F1719" s="9" t="str">
        <f>IF(DADOS!E1719="","",DADOS!E1719)</f>
        <v/>
      </c>
      <c r="G1719" s="9" t="str">
        <f>IF(DADOS!F1719="","",DADOS!F1719)</f>
        <v/>
      </c>
      <c r="K1719" s="6" t="str">
        <f t="shared" si="135"/>
        <v/>
      </c>
      <c r="L1719" s="7" t="str">
        <f t="shared" si="136"/>
        <v/>
      </c>
      <c r="M1719" s="7" t="str">
        <f t="shared" si="133"/>
        <v/>
      </c>
      <c r="N1719" s="7" t="str">
        <f t="shared" si="137"/>
        <v/>
      </c>
      <c r="O1719" s="8"/>
      <c r="P1719" s="26"/>
      <c r="S1719" s="10" t="str">
        <f t="shared" si="134"/>
        <v/>
      </c>
    </row>
    <row r="1720" spans="5:19" x14ac:dyDescent="0.3">
      <c r="E1720" s="9" t="str">
        <f>IF(DADOS!C1720="","",DADOS!C1720)</f>
        <v/>
      </c>
      <c r="F1720" s="9" t="str">
        <f>IF(DADOS!E1720="","",DADOS!E1720)</f>
        <v/>
      </c>
      <c r="G1720" s="9" t="str">
        <f>IF(DADOS!F1720="","",DADOS!F1720)</f>
        <v/>
      </c>
      <c r="K1720" s="6" t="str">
        <f t="shared" si="135"/>
        <v/>
      </c>
      <c r="L1720" s="7" t="str">
        <f t="shared" si="136"/>
        <v/>
      </c>
      <c r="M1720" s="7" t="str">
        <f t="shared" si="133"/>
        <v/>
      </c>
      <c r="N1720" s="7" t="str">
        <f t="shared" si="137"/>
        <v/>
      </c>
      <c r="O1720" s="8"/>
      <c r="P1720" s="26"/>
      <c r="S1720" s="10" t="str">
        <f t="shared" si="134"/>
        <v/>
      </c>
    </row>
    <row r="1721" spans="5:19" x14ac:dyDescent="0.3">
      <c r="E1721" s="9" t="str">
        <f>IF(DADOS!C1721="","",DADOS!C1721)</f>
        <v/>
      </c>
      <c r="F1721" s="9" t="str">
        <f>IF(DADOS!E1721="","",DADOS!E1721)</f>
        <v/>
      </c>
      <c r="G1721" s="9" t="str">
        <f>IF(DADOS!F1721="","",DADOS!F1721)</f>
        <v/>
      </c>
      <c r="K1721" s="6" t="str">
        <f t="shared" si="135"/>
        <v/>
      </c>
      <c r="L1721" s="7" t="str">
        <f t="shared" si="136"/>
        <v/>
      </c>
      <c r="M1721" s="7" t="str">
        <f t="shared" si="133"/>
        <v/>
      </c>
      <c r="N1721" s="7" t="str">
        <f t="shared" si="137"/>
        <v/>
      </c>
      <c r="O1721" s="8"/>
      <c r="P1721" s="26"/>
      <c r="S1721" s="10" t="str">
        <f t="shared" si="134"/>
        <v/>
      </c>
    </row>
    <row r="1722" spans="5:19" x14ac:dyDescent="0.3">
      <c r="E1722" s="9" t="str">
        <f>IF(DADOS!C1722="","",DADOS!C1722)</f>
        <v/>
      </c>
      <c r="F1722" s="9" t="str">
        <f>IF(DADOS!E1722="","",DADOS!E1722)</f>
        <v/>
      </c>
      <c r="G1722" s="9" t="str">
        <f>IF(DADOS!F1722="","",DADOS!F1722)</f>
        <v/>
      </c>
      <c r="K1722" s="6" t="str">
        <f t="shared" si="135"/>
        <v/>
      </c>
      <c r="L1722" s="7" t="str">
        <f t="shared" si="136"/>
        <v/>
      </c>
      <c r="M1722" s="7" t="str">
        <f t="shared" si="133"/>
        <v/>
      </c>
      <c r="N1722" s="7" t="str">
        <f t="shared" si="137"/>
        <v/>
      </c>
      <c r="O1722" s="8"/>
      <c r="P1722" s="26"/>
      <c r="S1722" s="10" t="str">
        <f t="shared" si="134"/>
        <v/>
      </c>
    </row>
    <row r="1723" spans="5:19" x14ac:dyDescent="0.3">
      <c r="E1723" s="9" t="str">
        <f>IF(DADOS!C1723="","",DADOS!C1723)</f>
        <v/>
      </c>
      <c r="F1723" s="9" t="str">
        <f>IF(DADOS!E1723="","",DADOS!E1723)</f>
        <v/>
      </c>
      <c r="G1723" s="9" t="str">
        <f>IF(DADOS!F1723="","",DADOS!F1723)</f>
        <v/>
      </c>
      <c r="K1723" s="6" t="str">
        <f t="shared" si="135"/>
        <v/>
      </c>
      <c r="L1723" s="7" t="str">
        <f t="shared" si="136"/>
        <v/>
      </c>
      <c r="M1723" s="7" t="str">
        <f t="shared" si="133"/>
        <v/>
      </c>
      <c r="N1723" s="7" t="str">
        <f t="shared" si="137"/>
        <v/>
      </c>
      <c r="O1723" s="8"/>
      <c r="P1723" s="26"/>
      <c r="S1723" s="10" t="str">
        <f t="shared" si="134"/>
        <v/>
      </c>
    </row>
    <row r="1724" spans="5:19" x14ac:dyDescent="0.3">
      <c r="E1724" s="9" t="str">
        <f>IF(DADOS!C1724="","",DADOS!C1724)</f>
        <v/>
      </c>
      <c r="F1724" s="9" t="str">
        <f>IF(DADOS!E1724="","",DADOS!E1724)</f>
        <v/>
      </c>
      <c r="G1724" s="9" t="str">
        <f>IF(DADOS!F1724="","",DADOS!F1724)</f>
        <v/>
      </c>
      <c r="K1724" s="6" t="str">
        <f t="shared" si="135"/>
        <v/>
      </c>
      <c r="L1724" s="7" t="str">
        <f t="shared" si="136"/>
        <v/>
      </c>
      <c r="M1724" s="7" t="str">
        <f t="shared" si="133"/>
        <v/>
      </c>
      <c r="N1724" s="7" t="str">
        <f t="shared" si="137"/>
        <v/>
      </c>
      <c r="O1724" s="8"/>
      <c r="P1724" s="26"/>
      <c r="S1724" s="10" t="str">
        <f t="shared" si="134"/>
        <v/>
      </c>
    </row>
    <row r="1725" spans="5:19" x14ac:dyDescent="0.3">
      <c r="E1725" s="9" t="str">
        <f>IF(DADOS!C1725="","",DADOS!C1725)</f>
        <v/>
      </c>
      <c r="F1725" s="9" t="str">
        <f>IF(DADOS!E1725="","",DADOS!E1725)</f>
        <v/>
      </c>
      <c r="G1725" s="9" t="str">
        <f>IF(DADOS!F1725="","",DADOS!F1725)</f>
        <v/>
      </c>
      <c r="K1725" s="6" t="str">
        <f t="shared" si="135"/>
        <v/>
      </c>
      <c r="L1725" s="7" t="str">
        <f t="shared" si="136"/>
        <v/>
      </c>
      <c r="M1725" s="7" t="str">
        <f t="shared" si="133"/>
        <v/>
      </c>
      <c r="N1725" s="7" t="str">
        <f t="shared" si="137"/>
        <v/>
      </c>
      <c r="O1725" s="8"/>
      <c r="P1725" s="26"/>
      <c r="S1725" s="10" t="str">
        <f t="shared" si="134"/>
        <v/>
      </c>
    </row>
    <row r="1726" spans="5:19" x14ac:dyDescent="0.3">
      <c r="E1726" s="9" t="str">
        <f>IF(DADOS!C1726="","",DADOS!C1726)</f>
        <v/>
      </c>
      <c r="F1726" s="9" t="str">
        <f>IF(DADOS!E1726="","",DADOS!E1726)</f>
        <v/>
      </c>
      <c r="G1726" s="9" t="str">
        <f>IF(DADOS!F1726="","",DADOS!F1726)</f>
        <v/>
      </c>
      <c r="K1726" s="6" t="str">
        <f t="shared" si="135"/>
        <v/>
      </c>
      <c r="L1726" s="7" t="str">
        <f t="shared" si="136"/>
        <v/>
      </c>
      <c r="M1726" s="7" t="str">
        <f t="shared" si="133"/>
        <v/>
      </c>
      <c r="N1726" s="7" t="str">
        <f t="shared" si="137"/>
        <v/>
      </c>
      <c r="O1726" s="8"/>
      <c r="P1726" s="26"/>
      <c r="S1726" s="10" t="str">
        <f t="shared" si="134"/>
        <v/>
      </c>
    </row>
    <row r="1727" spans="5:19" x14ac:dyDescent="0.3">
      <c r="E1727" s="9" t="str">
        <f>IF(DADOS!C1727="","",DADOS!C1727)</f>
        <v/>
      </c>
      <c r="F1727" s="9" t="str">
        <f>IF(DADOS!E1727="","",DADOS!E1727)</f>
        <v/>
      </c>
      <c r="G1727" s="9" t="str">
        <f>IF(DADOS!F1727="","",DADOS!F1727)</f>
        <v/>
      </c>
      <c r="K1727" s="6" t="str">
        <f t="shared" si="135"/>
        <v/>
      </c>
      <c r="L1727" s="7" t="str">
        <f t="shared" si="136"/>
        <v/>
      </c>
      <c r="M1727" s="7" t="str">
        <f t="shared" si="133"/>
        <v/>
      </c>
      <c r="N1727" s="7" t="str">
        <f t="shared" si="137"/>
        <v/>
      </c>
      <c r="O1727" s="8"/>
      <c r="P1727" s="26"/>
      <c r="S1727" s="10" t="str">
        <f t="shared" si="134"/>
        <v/>
      </c>
    </row>
    <row r="1728" spans="5:19" x14ac:dyDescent="0.3">
      <c r="E1728" s="9" t="str">
        <f>IF(DADOS!C1728="","",DADOS!C1728)</f>
        <v/>
      </c>
      <c r="F1728" s="9" t="str">
        <f>IF(DADOS!E1728="","",DADOS!E1728)</f>
        <v/>
      </c>
      <c r="G1728" s="9" t="str">
        <f>IF(DADOS!F1728="","",DADOS!F1728)</f>
        <v/>
      </c>
      <c r="K1728" s="6" t="str">
        <f t="shared" si="135"/>
        <v/>
      </c>
      <c r="L1728" s="7" t="str">
        <f t="shared" si="136"/>
        <v/>
      </c>
      <c r="M1728" s="7" t="str">
        <f t="shared" si="133"/>
        <v/>
      </c>
      <c r="N1728" s="7" t="str">
        <f t="shared" si="137"/>
        <v/>
      </c>
      <c r="O1728" s="8"/>
      <c r="P1728" s="26"/>
      <c r="S1728" s="10" t="str">
        <f t="shared" si="134"/>
        <v/>
      </c>
    </row>
    <row r="1729" spans="5:19" x14ac:dyDescent="0.3">
      <c r="E1729" s="9" t="str">
        <f>IF(DADOS!C1729="","",DADOS!C1729)</f>
        <v/>
      </c>
      <c r="F1729" s="9" t="str">
        <f>IF(DADOS!E1729="","",DADOS!E1729)</f>
        <v/>
      </c>
      <c r="G1729" s="9" t="str">
        <f>IF(DADOS!F1729="","",DADOS!F1729)</f>
        <v/>
      </c>
      <c r="K1729" s="6" t="str">
        <f t="shared" si="135"/>
        <v/>
      </c>
      <c r="L1729" s="7" t="str">
        <f t="shared" si="136"/>
        <v/>
      </c>
      <c r="M1729" s="7" t="str">
        <f t="shared" si="133"/>
        <v/>
      </c>
      <c r="N1729" s="7" t="str">
        <f t="shared" si="137"/>
        <v/>
      </c>
      <c r="O1729" s="8"/>
      <c r="P1729" s="26"/>
      <c r="S1729" s="10" t="str">
        <f t="shared" si="134"/>
        <v/>
      </c>
    </row>
    <row r="1730" spans="5:19" x14ac:dyDescent="0.3">
      <c r="E1730" s="9" t="str">
        <f>IF(DADOS!C1730="","",DADOS!C1730)</f>
        <v/>
      </c>
      <c r="F1730" s="9" t="str">
        <f>IF(DADOS!E1730="","",DADOS!E1730)</f>
        <v/>
      </c>
      <c r="G1730" s="9" t="str">
        <f>IF(DADOS!F1730="","",DADOS!F1730)</f>
        <v/>
      </c>
      <c r="K1730" s="6" t="str">
        <f t="shared" si="135"/>
        <v/>
      </c>
      <c r="L1730" s="7" t="str">
        <f t="shared" si="136"/>
        <v/>
      </c>
      <c r="M1730" s="7" t="str">
        <f t="shared" si="133"/>
        <v/>
      </c>
      <c r="N1730" s="7" t="str">
        <f t="shared" si="137"/>
        <v/>
      </c>
      <c r="O1730" s="8"/>
      <c r="P1730" s="26"/>
      <c r="S1730" s="10" t="str">
        <f t="shared" si="134"/>
        <v/>
      </c>
    </row>
    <row r="1731" spans="5:19" x14ac:dyDescent="0.3">
      <c r="E1731" s="9" t="str">
        <f>IF(DADOS!C1731="","",DADOS!C1731)</f>
        <v/>
      </c>
      <c r="F1731" s="9" t="str">
        <f>IF(DADOS!E1731="","",DADOS!E1731)</f>
        <v/>
      </c>
      <c r="G1731" s="9" t="str">
        <f>IF(DADOS!F1731="","",DADOS!F1731)</f>
        <v/>
      </c>
      <c r="K1731" s="6" t="str">
        <f t="shared" si="135"/>
        <v/>
      </c>
      <c r="L1731" s="7" t="str">
        <f t="shared" si="136"/>
        <v/>
      </c>
      <c r="M1731" s="7" t="str">
        <f t="shared" ref="M1731:M1794" si="138">IF(L1731="","",L1731*G1731)</f>
        <v/>
      </c>
      <c r="N1731" s="7" t="str">
        <f t="shared" si="137"/>
        <v/>
      </c>
      <c r="O1731" s="8"/>
      <c r="P1731" s="26"/>
      <c r="S1731" s="10" t="str">
        <f t="shared" ref="S1731:S1794" si="139">IF(R1731="","",SUMIFS($N$3:$N$10000,$E$3:$E$10000,R1731))</f>
        <v/>
      </c>
    </row>
    <row r="1732" spans="5:19" x14ac:dyDescent="0.3">
      <c r="E1732" s="9" t="str">
        <f>IF(DADOS!C1732="","",DADOS!C1732)</f>
        <v/>
      </c>
      <c r="F1732" s="9" t="str">
        <f>IF(DADOS!E1732="","",DADOS!E1732)</f>
        <v/>
      </c>
      <c r="G1732" s="9" t="str">
        <f>IF(DADOS!F1732="","",DADOS!F1732)</f>
        <v/>
      </c>
      <c r="K1732" s="6" t="str">
        <f t="shared" ref="K1732:K1795" si="140">IF(F1732="","",F1732/PI())</f>
        <v/>
      </c>
      <c r="L1732" s="7" t="str">
        <f t="shared" ref="L1732:L1795" si="141">IF(K1732="","",(PI()*K1732^2)/40000)</f>
        <v/>
      </c>
      <c r="M1732" s="7" t="str">
        <f t="shared" si="138"/>
        <v/>
      </c>
      <c r="N1732" s="7" t="str">
        <f t="shared" ref="N1732:N1795" si="142">IF(M1732="","",M1732*N$1)</f>
        <v/>
      </c>
      <c r="O1732" s="8"/>
      <c r="P1732" s="26"/>
      <c r="S1732" s="10" t="str">
        <f t="shared" si="139"/>
        <v/>
      </c>
    </row>
    <row r="1733" spans="5:19" x14ac:dyDescent="0.3">
      <c r="E1733" s="9" t="str">
        <f>IF(DADOS!C1733="","",DADOS!C1733)</f>
        <v/>
      </c>
      <c r="F1733" s="9" t="str">
        <f>IF(DADOS!E1733="","",DADOS!E1733)</f>
        <v/>
      </c>
      <c r="G1733" s="9" t="str">
        <f>IF(DADOS!F1733="","",DADOS!F1733)</f>
        <v/>
      </c>
      <c r="K1733" s="6" t="str">
        <f t="shared" si="140"/>
        <v/>
      </c>
      <c r="L1733" s="7" t="str">
        <f t="shared" si="141"/>
        <v/>
      </c>
      <c r="M1733" s="7" t="str">
        <f t="shared" si="138"/>
        <v/>
      </c>
      <c r="N1733" s="7" t="str">
        <f t="shared" si="142"/>
        <v/>
      </c>
      <c r="O1733" s="8"/>
      <c r="P1733" s="26"/>
      <c r="S1733" s="10" t="str">
        <f t="shared" si="139"/>
        <v/>
      </c>
    </row>
    <row r="1734" spans="5:19" x14ac:dyDescent="0.3">
      <c r="E1734" s="9" t="str">
        <f>IF(DADOS!C1734="","",DADOS!C1734)</f>
        <v/>
      </c>
      <c r="F1734" s="9" t="str">
        <f>IF(DADOS!E1734="","",DADOS!E1734)</f>
        <v/>
      </c>
      <c r="G1734" s="9" t="str">
        <f>IF(DADOS!F1734="","",DADOS!F1734)</f>
        <v/>
      </c>
      <c r="K1734" s="6" t="str">
        <f t="shared" si="140"/>
        <v/>
      </c>
      <c r="L1734" s="7" t="str">
        <f t="shared" si="141"/>
        <v/>
      </c>
      <c r="M1734" s="7" t="str">
        <f t="shared" si="138"/>
        <v/>
      </c>
      <c r="N1734" s="7" t="str">
        <f t="shared" si="142"/>
        <v/>
      </c>
      <c r="O1734" s="8"/>
      <c r="P1734" s="26"/>
      <c r="S1734" s="10" t="str">
        <f t="shared" si="139"/>
        <v/>
      </c>
    </row>
    <row r="1735" spans="5:19" x14ac:dyDescent="0.3">
      <c r="E1735" s="9" t="str">
        <f>IF(DADOS!C1735="","",DADOS!C1735)</f>
        <v/>
      </c>
      <c r="F1735" s="9" t="str">
        <f>IF(DADOS!E1735="","",DADOS!E1735)</f>
        <v/>
      </c>
      <c r="G1735" s="9" t="str">
        <f>IF(DADOS!F1735="","",DADOS!F1735)</f>
        <v/>
      </c>
      <c r="K1735" s="6" t="str">
        <f t="shared" si="140"/>
        <v/>
      </c>
      <c r="L1735" s="7" t="str">
        <f t="shared" si="141"/>
        <v/>
      </c>
      <c r="M1735" s="7" t="str">
        <f t="shared" si="138"/>
        <v/>
      </c>
      <c r="N1735" s="7" t="str">
        <f t="shared" si="142"/>
        <v/>
      </c>
      <c r="O1735" s="8"/>
      <c r="P1735" s="26"/>
      <c r="S1735" s="10" t="str">
        <f t="shared" si="139"/>
        <v/>
      </c>
    </row>
    <row r="1736" spans="5:19" x14ac:dyDescent="0.3">
      <c r="E1736" s="9" t="str">
        <f>IF(DADOS!C1736="","",DADOS!C1736)</f>
        <v/>
      </c>
      <c r="F1736" s="9" t="str">
        <f>IF(DADOS!E1736="","",DADOS!E1736)</f>
        <v/>
      </c>
      <c r="G1736" s="9" t="str">
        <f>IF(DADOS!F1736="","",DADOS!F1736)</f>
        <v/>
      </c>
      <c r="K1736" s="6" t="str">
        <f t="shared" si="140"/>
        <v/>
      </c>
      <c r="L1736" s="7" t="str">
        <f t="shared" si="141"/>
        <v/>
      </c>
      <c r="M1736" s="7" t="str">
        <f t="shared" si="138"/>
        <v/>
      </c>
      <c r="N1736" s="7" t="str">
        <f t="shared" si="142"/>
        <v/>
      </c>
      <c r="O1736" s="8"/>
      <c r="P1736" s="26"/>
      <c r="S1736" s="10" t="str">
        <f t="shared" si="139"/>
        <v/>
      </c>
    </row>
    <row r="1737" spans="5:19" x14ac:dyDescent="0.3">
      <c r="E1737" s="9" t="str">
        <f>IF(DADOS!C1737="","",DADOS!C1737)</f>
        <v/>
      </c>
      <c r="F1737" s="9" t="str">
        <f>IF(DADOS!E1737="","",DADOS!E1737)</f>
        <v/>
      </c>
      <c r="G1737" s="9" t="str">
        <f>IF(DADOS!F1737="","",DADOS!F1737)</f>
        <v/>
      </c>
      <c r="K1737" s="6" t="str">
        <f t="shared" si="140"/>
        <v/>
      </c>
      <c r="L1737" s="7" t="str">
        <f t="shared" si="141"/>
        <v/>
      </c>
      <c r="M1737" s="7" t="str">
        <f t="shared" si="138"/>
        <v/>
      </c>
      <c r="N1737" s="7" t="str">
        <f t="shared" si="142"/>
        <v/>
      </c>
      <c r="O1737" s="8"/>
      <c r="P1737" s="26"/>
      <c r="S1737" s="10" t="str">
        <f t="shared" si="139"/>
        <v/>
      </c>
    </row>
    <row r="1738" spans="5:19" x14ac:dyDescent="0.3">
      <c r="E1738" s="9" t="str">
        <f>IF(DADOS!C1738="","",DADOS!C1738)</f>
        <v/>
      </c>
      <c r="F1738" s="9" t="str">
        <f>IF(DADOS!E1738="","",DADOS!E1738)</f>
        <v/>
      </c>
      <c r="G1738" s="9" t="str">
        <f>IF(DADOS!F1738="","",DADOS!F1738)</f>
        <v/>
      </c>
      <c r="K1738" s="6" t="str">
        <f t="shared" si="140"/>
        <v/>
      </c>
      <c r="L1738" s="7" t="str">
        <f t="shared" si="141"/>
        <v/>
      </c>
      <c r="M1738" s="7" t="str">
        <f t="shared" si="138"/>
        <v/>
      </c>
      <c r="N1738" s="7" t="str">
        <f t="shared" si="142"/>
        <v/>
      </c>
      <c r="O1738" s="8"/>
      <c r="P1738" s="26"/>
      <c r="S1738" s="10" t="str">
        <f t="shared" si="139"/>
        <v/>
      </c>
    </row>
    <row r="1739" spans="5:19" x14ac:dyDescent="0.3">
      <c r="E1739" s="9" t="str">
        <f>IF(DADOS!C1739="","",DADOS!C1739)</f>
        <v/>
      </c>
      <c r="F1739" s="9" t="str">
        <f>IF(DADOS!E1739="","",DADOS!E1739)</f>
        <v/>
      </c>
      <c r="G1739" s="9" t="str">
        <f>IF(DADOS!F1739="","",DADOS!F1739)</f>
        <v/>
      </c>
      <c r="K1739" s="6" t="str">
        <f t="shared" si="140"/>
        <v/>
      </c>
      <c r="L1739" s="7" t="str">
        <f t="shared" si="141"/>
        <v/>
      </c>
      <c r="M1739" s="7" t="str">
        <f t="shared" si="138"/>
        <v/>
      </c>
      <c r="N1739" s="7" t="str">
        <f t="shared" si="142"/>
        <v/>
      </c>
      <c r="O1739" s="8"/>
      <c r="P1739" s="26"/>
      <c r="S1739" s="10" t="str">
        <f t="shared" si="139"/>
        <v/>
      </c>
    </row>
    <row r="1740" spans="5:19" x14ac:dyDescent="0.3">
      <c r="E1740" s="9" t="str">
        <f>IF(DADOS!C1740="","",DADOS!C1740)</f>
        <v/>
      </c>
      <c r="F1740" s="9" t="str">
        <f>IF(DADOS!E1740="","",DADOS!E1740)</f>
        <v/>
      </c>
      <c r="G1740" s="9" t="str">
        <f>IF(DADOS!F1740="","",DADOS!F1740)</f>
        <v/>
      </c>
      <c r="K1740" s="6" t="str">
        <f t="shared" si="140"/>
        <v/>
      </c>
      <c r="L1740" s="7" t="str">
        <f t="shared" si="141"/>
        <v/>
      </c>
      <c r="M1740" s="7" t="str">
        <f t="shared" si="138"/>
        <v/>
      </c>
      <c r="N1740" s="7" t="str">
        <f t="shared" si="142"/>
        <v/>
      </c>
      <c r="O1740" s="8"/>
      <c r="P1740" s="26"/>
      <c r="S1740" s="10" t="str">
        <f t="shared" si="139"/>
        <v/>
      </c>
    </row>
    <row r="1741" spans="5:19" x14ac:dyDescent="0.3">
      <c r="E1741" s="9" t="str">
        <f>IF(DADOS!C1741="","",DADOS!C1741)</f>
        <v/>
      </c>
      <c r="F1741" s="9" t="str">
        <f>IF(DADOS!E1741="","",DADOS!E1741)</f>
        <v/>
      </c>
      <c r="G1741" s="9" t="str">
        <f>IF(DADOS!F1741="","",DADOS!F1741)</f>
        <v/>
      </c>
      <c r="K1741" s="6" t="str">
        <f t="shared" si="140"/>
        <v/>
      </c>
      <c r="L1741" s="7" t="str">
        <f t="shared" si="141"/>
        <v/>
      </c>
      <c r="M1741" s="7" t="str">
        <f t="shared" si="138"/>
        <v/>
      </c>
      <c r="N1741" s="7" t="str">
        <f t="shared" si="142"/>
        <v/>
      </c>
      <c r="O1741" s="8"/>
      <c r="P1741" s="26"/>
      <c r="S1741" s="10" t="str">
        <f t="shared" si="139"/>
        <v/>
      </c>
    </row>
    <row r="1742" spans="5:19" x14ac:dyDescent="0.3">
      <c r="E1742" s="9" t="str">
        <f>IF(DADOS!C1742="","",DADOS!C1742)</f>
        <v/>
      </c>
      <c r="F1742" s="9" t="str">
        <f>IF(DADOS!E1742="","",DADOS!E1742)</f>
        <v/>
      </c>
      <c r="G1742" s="9" t="str">
        <f>IF(DADOS!F1742="","",DADOS!F1742)</f>
        <v/>
      </c>
      <c r="K1742" s="6" t="str">
        <f t="shared" si="140"/>
        <v/>
      </c>
      <c r="L1742" s="7" t="str">
        <f t="shared" si="141"/>
        <v/>
      </c>
      <c r="M1742" s="7" t="str">
        <f t="shared" si="138"/>
        <v/>
      </c>
      <c r="N1742" s="7" t="str">
        <f t="shared" si="142"/>
        <v/>
      </c>
      <c r="O1742" s="8"/>
      <c r="P1742" s="26"/>
      <c r="S1742" s="10" t="str">
        <f t="shared" si="139"/>
        <v/>
      </c>
    </row>
    <row r="1743" spans="5:19" x14ac:dyDescent="0.3">
      <c r="E1743" s="9" t="str">
        <f>IF(DADOS!C1743="","",DADOS!C1743)</f>
        <v/>
      </c>
      <c r="F1743" s="9" t="str">
        <f>IF(DADOS!E1743="","",DADOS!E1743)</f>
        <v/>
      </c>
      <c r="G1743" s="9" t="str">
        <f>IF(DADOS!F1743="","",DADOS!F1743)</f>
        <v/>
      </c>
      <c r="K1743" s="6" t="str">
        <f t="shared" si="140"/>
        <v/>
      </c>
      <c r="L1743" s="7" t="str">
        <f t="shared" si="141"/>
        <v/>
      </c>
      <c r="M1743" s="7" t="str">
        <f t="shared" si="138"/>
        <v/>
      </c>
      <c r="N1743" s="7" t="str">
        <f t="shared" si="142"/>
        <v/>
      </c>
      <c r="O1743" s="8"/>
      <c r="P1743" s="26"/>
      <c r="S1743" s="10" t="str">
        <f t="shared" si="139"/>
        <v/>
      </c>
    </row>
    <row r="1744" spans="5:19" x14ac:dyDescent="0.3">
      <c r="E1744" s="9" t="str">
        <f>IF(DADOS!C1744="","",DADOS!C1744)</f>
        <v/>
      </c>
      <c r="F1744" s="9" t="str">
        <f>IF(DADOS!E1744="","",DADOS!E1744)</f>
        <v/>
      </c>
      <c r="G1744" s="9" t="str">
        <f>IF(DADOS!F1744="","",DADOS!F1744)</f>
        <v/>
      </c>
      <c r="K1744" s="6" t="str">
        <f t="shared" si="140"/>
        <v/>
      </c>
      <c r="L1744" s="7" t="str">
        <f t="shared" si="141"/>
        <v/>
      </c>
      <c r="M1744" s="7" t="str">
        <f t="shared" si="138"/>
        <v/>
      </c>
      <c r="N1744" s="7" t="str">
        <f t="shared" si="142"/>
        <v/>
      </c>
      <c r="O1744" s="8"/>
      <c r="P1744" s="26"/>
      <c r="S1744" s="10" t="str">
        <f t="shared" si="139"/>
        <v/>
      </c>
    </row>
    <row r="1745" spans="5:19" x14ac:dyDescent="0.3">
      <c r="E1745" s="9" t="str">
        <f>IF(DADOS!C1745="","",DADOS!C1745)</f>
        <v/>
      </c>
      <c r="F1745" s="9" t="str">
        <f>IF(DADOS!E1745="","",DADOS!E1745)</f>
        <v/>
      </c>
      <c r="G1745" s="9" t="str">
        <f>IF(DADOS!F1745="","",DADOS!F1745)</f>
        <v/>
      </c>
      <c r="K1745" s="6" t="str">
        <f t="shared" si="140"/>
        <v/>
      </c>
      <c r="L1745" s="7" t="str">
        <f t="shared" si="141"/>
        <v/>
      </c>
      <c r="M1745" s="7" t="str">
        <f t="shared" si="138"/>
        <v/>
      </c>
      <c r="N1745" s="7" t="str">
        <f t="shared" si="142"/>
        <v/>
      </c>
      <c r="O1745" s="8"/>
      <c r="P1745" s="26"/>
      <c r="S1745" s="10" t="str">
        <f t="shared" si="139"/>
        <v/>
      </c>
    </row>
    <row r="1746" spans="5:19" x14ac:dyDescent="0.3">
      <c r="E1746" s="9" t="str">
        <f>IF(DADOS!C1746="","",DADOS!C1746)</f>
        <v/>
      </c>
      <c r="F1746" s="9" t="str">
        <f>IF(DADOS!E1746="","",DADOS!E1746)</f>
        <v/>
      </c>
      <c r="G1746" s="9" t="str">
        <f>IF(DADOS!F1746="","",DADOS!F1746)</f>
        <v/>
      </c>
      <c r="K1746" s="6" t="str">
        <f t="shared" si="140"/>
        <v/>
      </c>
      <c r="L1746" s="7" t="str">
        <f t="shared" si="141"/>
        <v/>
      </c>
      <c r="M1746" s="7" t="str">
        <f t="shared" si="138"/>
        <v/>
      </c>
      <c r="N1746" s="7" t="str">
        <f t="shared" si="142"/>
        <v/>
      </c>
      <c r="O1746" s="8"/>
      <c r="P1746" s="26"/>
      <c r="S1746" s="10" t="str">
        <f t="shared" si="139"/>
        <v/>
      </c>
    </row>
    <row r="1747" spans="5:19" x14ac:dyDescent="0.3">
      <c r="E1747" s="9" t="str">
        <f>IF(DADOS!C1747="","",DADOS!C1747)</f>
        <v/>
      </c>
      <c r="F1747" s="9" t="str">
        <f>IF(DADOS!E1747="","",DADOS!E1747)</f>
        <v/>
      </c>
      <c r="G1747" s="9" t="str">
        <f>IF(DADOS!F1747="","",DADOS!F1747)</f>
        <v/>
      </c>
      <c r="K1747" s="6" t="str">
        <f t="shared" si="140"/>
        <v/>
      </c>
      <c r="L1747" s="7" t="str">
        <f t="shared" si="141"/>
        <v/>
      </c>
      <c r="M1747" s="7" t="str">
        <f t="shared" si="138"/>
        <v/>
      </c>
      <c r="N1747" s="7" t="str">
        <f t="shared" si="142"/>
        <v/>
      </c>
      <c r="O1747" s="8"/>
      <c r="P1747" s="26"/>
      <c r="S1747" s="10" t="str">
        <f t="shared" si="139"/>
        <v/>
      </c>
    </row>
    <row r="1748" spans="5:19" x14ac:dyDescent="0.3">
      <c r="E1748" s="9" t="str">
        <f>IF(DADOS!C1748="","",DADOS!C1748)</f>
        <v/>
      </c>
      <c r="F1748" s="9" t="str">
        <f>IF(DADOS!E1748="","",DADOS!E1748)</f>
        <v/>
      </c>
      <c r="G1748" s="9" t="str">
        <f>IF(DADOS!F1748="","",DADOS!F1748)</f>
        <v/>
      </c>
      <c r="K1748" s="6" t="str">
        <f t="shared" si="140"/>
        <v/>
      </c>
      <c r="L1748" s="7" t="str">
        <f t="shared" si="141"/>
        <v/>
      </c>
      <c r="M1748" s="7" t="str">
        <f t="shared" si="138"/>
        <v/>
      </c>
      <c r="N1748" s="7" t="str">
        <f t="shared" si="142"/>
        <v/>
      </c>
      <c r="O1748" s="8"/>
      <c r="P1748" s="26"/>
      <c r="S1748" s="10" t="str">
        <f t="shared" si="139"/>
        <v/>
      </c>
    </row>
    <row r="1749" spans="5:19" x14ac:dyDescent="0.3">
      <c r="E1749" s="9" t="str">
        <f>IF(DADOS!C1749="","",DADOS!C1749)</f>
        <v/>
      </c>
      <c r="F1749" s="9" t="str">
        <f>IF(DADOS!E1749="","",DADOS!E1749)</f>
        <v/>
      </c>
      <c r="G1749" s="9" t="str">
        <f>IF(DADOS!F1749="","",DADOS!F1749)</f>
        <v/>
      </c>
      <c r="K1749" s="6" t="str">
        <f t="shared" si="140"/>
        <v/>
      </c>
      <c r="L1749" s="7" t="str">
        <f t="shared" si="141"/>
        <v/>
      </c>
      <c r="M1749" s="7" t="str">
        <f t="shared" si="138"/>
        <v/>
      </c>
      <c r="N1749" s="7" t="str">
        <f t="shared" si="142"/>
        <v/>
      </c>
      <c r="O1749" s="8"/>
      <c r="P1749" s="26"/>
      <c r="S1749" s="10" t="str">
        <f t="shared" si="139"/>
        <v/>
      </c>
    </row>
    <row r="1750" spans="5:19" x14ac:dyDescent="0.3">
      <c r="E1750" s="9" t="str">
        <f>IF(DADOS!C1750="","",DADOS!C1750)</f>
        <v/>
      </c>
      <c r="F1750" s="9" t="str">
        <f>IF(DADOS!E1750="","",DADOS!E1750)</f>
        <v/>
      </c>
      <c r="G1750" s="9" t="str">
        <f>IF(DADOS!F1750="","",DADOS!F1750)</f>
        <v/>
      </c>
      <c r="K1750" s="6" t="str">
        <f t="shared" si="140"/>
        <v/>
      </c>
      <c r="L1750" s="7" t="str">
        <f t="shared" si="141"/>
        <v/>
      </c>
      <c r="M1750" s="7" t="str">
        <f t="shared" si="138"/>
        <v/>
      </c>
      <c r="N1750" s="7" t="str">
        <f t="shared" si="142"/>
        <v/>
      </c>
      <c r="O1750" s="8"/>
      <c r="P1750" s="26"/>
      <c r="S1750" s="10" t="str">
        <f t="shared" si="139"/>
        <v/>
      </c>
    </row>
    <row r="1751" spans="5:19" x14ac:dyDescent="0.3">
      <c r="E1751" s="9" t="str">
        <f>IF(DADOS!C1751="","",DADOS!C1751)</f>
        <v/>
      </c>
      <c r="F1751" s="9" t="str">
        <f>IF(DADOS!E1751="","",DADOS!E1751)</f>
        <v/>
      </c>
      <c r="G1751" s="9" t="str">
        <f>IF(DADOS!F1751="","",DADOS!F1751)</f>
        <v/>
      </c>
      <c r="K1751" s="6" t="str">
        <f t="shared" si="140"/>
        <v/>
      </c>
      <c r="L1751" s="7" t="str">
        <f t="shared" si="141"/>
        <v/>
      </c>
      <c r="M1751" s="7" t="str">
        <f t="shared" si="138"/>
        <v/>
      </c>
      <c r="N1751" s="7" t="str">
        <f t="shared" si="142"/>
        <v/>
      </c>
      <c r="O1751" s="8"/>
      <c r="P1751" s="26"/>
      <c r="S1751" s="10" t="str">
        <f t="shared" si="139"/>
        <v/>
      </c>
    </row>
    <row r="1752" spans="5:19" x14ac:dyDescent="0.3">
      <c r="E1752" s="9" t="str">
        <f>IF(DADOS!C1752="","",DADOS!C1752)</f>
        <v/>
      </c>
      <c r="F1752" s="9" t="str">
        <f>IF(DADOS!E1752="","",DADOS!E1752)</f>
        <v/>
      </c>
      <c r="G1752" s="9" t="str">
        <f>IF(DADOS!F1752="","",DADOS!F1752)</f>
        <v/>
      </c>
      <c r="K1752" s="6" t="str">
        <f t="shared" si="140"/>
        <v/>
      </c>
      <c r="L1752" s="7" t="str">
        <f t="shared" si="141"/>
        <v/>
      </c>
      <c r="M1752" s="7" t="str">
        <f t="shared" si="138"/>
        <v/>
      </c>
      <c r="N1752" s="7" t="str">
        <f t="shared" si="142"/>
        <v/>
      </c>
      <c r="O1752" s="8"/>
      <c r="P1752" s="26"/>
      <c r="S1752" s="10" t="str">
        <f t="shared" si="139"/>
        <v/>
      </c>
    </row>
    <row r="1753" spans="5:19" x14ac:dyDescent="0.3">
      <c r="E1753" s="9" t="str">
        <f>IF(DADOS!C1753="","",DADOS!C1753)</f>
        <v/>
      </c>
      <c r="F1753" s="9" t="str">
        <f>IF(DADOS!E1753="","",DADOS!E1753)</f>
        <v/>
      </c>
      <c r="G1753" s="9" t="str">
        <f>IF(DADOS!F1753="","",DADOS!F1753)</f>
        <v/>
      </c>
      <c r="K1753" s="6" t="str">
        <f t="shared" si="140"/>
        <v/>
      </c>
      <c r="L1753" s="7" t="str">
        <f t="shared" si="141"/>
        <v/>
      </c>
      <c r="M1753" s="7" t="str">
        <f t="shared" si="138"/>
        <v/>
      </c>
      <c r="N1753" s="7" t="str">
        <f t="shared" si="142"/>
        <v/>
      </c>
      <c r="O1753" s="8"/>
      <c r="P1753" s="26"/>
      <c r="S1753" s="10" t="str">
        <f t="shared" si="139"/>
        <v/>
      </c>
    </row>
    <row r="1754" spans="5:19" x14ac:dyDescent="0.3">
      <c r="E1754" s="9" t="str">
        <f>IF(DADOS!C1754="","",DADOS!C1754)</f>
        <v/>
      </c>
      <c r="F1754" s="9" t="str">
        <f>IF(DADOS!E1754="","",DADOS!E1754)</f>
        <v/>
      </c>
      <c r="G1754" s="9" t="str">
        <f>IF(DADOS!F1754="","",DADOS!F1754)</f>
        <v/>
      </c>
      <c r="K1754" s="6" t="str">
        <f t="shared" si="140"/>
        <v/>
      </c>
      <c r="L1754" s="7" t="str">
        <f t="shared" si="141"/>
        <v/>
      </c>
      <c r="M1754" s="7" t="str">
        <f t="shared" si="138"/>
        <v/>
      </c>
      <c r="N1754" s="7" t="str">
        <f t="shared" si="142"/>
        <v/>
      </c>
      <c r="O1754" s="8"/>
      <c r="P1754" s="26"/>
      <c r="S1754" s="10" t="str">
        <f t="shared" si="139"/>
        <v/>
      </c>
    </row>
    <row r="1755" spans="5:19" x14ac:dyDescent="0.3">
      <c r="E1755" s="9" t="str">
        <f>IF(DADOS!C1755="","",DADOS!C1755)</f>
        <v/>
      </c>
      <c r="F1755" s="9" t="str">
        <f>IF(DADOS!E1755="","",DADOS!E1755)</f>
        <v/>
      </c>
      <c r="G1755" s="9" t="str">
        <f>IF(DADOS!F1755="","",DADOS!F1755)</f>
        <v/>
      </c>
      <c r="K1755" s="6" t="str">
        <f t="shared" si="140"/>
        <v/>
      </c>
      <c r="L1755" s="7" t="str">
        <f t="shared" si="141"/>
        <v/>
      </c>
      <c r="M1755" s="7" t="str">
        <f t="shared" si="138"/>
        <v/>
      </c>
      <c r="N1755" s="7" t="str">
        <f t="shared" si="142"/>
        <v/>
      </c>
      <c r="O1755" s="8"/>
      <c r="P1755" s="26"/>
      <c r="S1755" s="10" t="str">
        <f t="shared" si="139"/>
        <v/>
      </c>
    </row>
    <row r="1756" spans="5:19" x14ac:dyDescent="0.3">
      <c r="E1756" s="9" t="str">
        <f>IF(DADOS!C1756="","",DADOS!C1756)</f>
        <v/>
      </c>
      <c r="F1756" s="9" t="str">
        <f>IF(DADOS!E1756="","",DADOS!E1756)</f>
        <v/>
      </c>
      <c r="G1756" s="9" t="str">
        <f>IF(DADOS!F1756="","",DADOS!F1756)</f>
        <v/>
      </c>
      <c r="K1756" s="6" t="str">
        <f t="shared" si="140"/>
        <v/>
      </c>
      <c r="L1756" s="7" t="str">
        <f t="shared" si="141"/>
        <v/>
      </c>
      <c r="M1756" s="7" t="str">
        <f t="shared" si="138"/>
        <v/>
      </c>
      <c r="N1756" s="7" t="str">
        <f t="shared" si="142"/>
        <v/>
      </c>
      <c r="O1756" s="8"/>
      <c r="P1756" s="26"/>
      <c r="S1756" s="10" t="str">
        <f t="shared" si="139"/>
        <v/>
      </c>
    </row>
    <row r="1757" spans="5:19" x14ac:dyDescent="0.3">
      <c r="E1757" s="9" t="str">
        <f>IF(DADOS!C1757="","",DADOS!C1757)</f>
        <v/>
      </c>
      <c r="F1757" s="9" t="str">
        <f>IF(DADOS!E1757="","",DADOS!E1757)</f>
        <v/>
      </c>
      <c r="G1757" s="9" t="str">
        <f>IF(DADOS!F1757="","",DADOS!F1757)</f>
        <v/>
      </c>
      <c r="K1757" s="6" t="str">
        <f t="shared" si="140"/>
        <v/>
      </c>
      <c r="L1757" s="7" t="str">
        <f t="shared" si="141"/>
        <v/>
      </c>
      <c r="M1757" s="7" t="str">
        <f t="shared" si="138"/>
        <v/>
      </c>
      <c r="N1757" s="7" t="str">
        <f t="shared" si="142"/>
        <v/>
      </c>
      <c r="O1757" s="8"/>
      <c r="P1757" s="26"/>
      <c r="S1757" s="10" t="str">
        <f t="shared" si="139"/>
        <v/>
      </c>
    </row>
    <row r="1758" spans="5:19" x14ac:dyDescent="0.3">
      <c r="E1758" s="9" t="str">
        <f>IF(DADOS!C1758="","",DADOS!C1758)</f>
        <v/>
      </c>
      <c r="F1758" s="9" t="str">
        <f>IF(DADOS!E1758="","",DADOS!E1758)</f>
        <v/>
      </c>
      <c r="G1758" s="9" t="str">
        <f>IF(DADOS!F1758="","",DADOS!F1758)</f>
        <v/>
      </c>
      <c r="K1758" s="6" t="str">
        <f t="shared" si="140"/>
        <v/>
      </c>
      <c r="L1758" s="7" t="str">
        <f t="shared" si="141"/>
        <v/>
      </c>
      <c r="M1758" s="7" t="str">
        <f t="shared" si="138"/>
        <v/>
      </c>
      <c r="N1758" s="7" t="str">
        <f t="shared" si="142"/>
        <v/>
      </c>
      <c r="O1758" s="8"/>
      <c r="P1758" s="26"/>
      <c r="S1758" s="10" t="str">
        <f t="shared" si="139"/>
        <v/>
      </c>
    </row>
    <row r="1759" spans="5:19" x14ac:dyDescent="0.3">
      <c r="E1759" s="9" t="str">
        <f>IF(DADOS!C1759="","",DADOS!C1759)</f>
        <v/>
      </c>
      <c r="F1759" s="9" t="str">
        <f>IF(DADOS!E1759="","",DADOS!E1759)</f>
        <v/>
      </c>
      <c r="G1759" s="9" t="str">
        <f>IF(DADOS!F1759="","",DADOS!F1759)</f>
        <v/>
      </c>
      <c r="K1759" s="6" t="str">
        <f t="shared" si="140"/>
        <v/>
      </c>
      <c r="L1759" s="7" t="str">
        <f t="shared" si="141"/>
        <v/>
      </c>
      <c r="M1759" s="7" t="str">
        <f t="shared" si="138"/>
        <v/>
      </c>
      <c r="N1759" s="7" t="str">
        <f t="shared" si="142"/>
        <v/>
      </c>
      <c r="O1759" s="8"/>
      <c r="P1759" s="26"/>
      <c r="S1759" s="10" t="str">
        <f t="shared" si="139"/>
        <v/>
      </c>
    </row>
    <row r="1760" spans="5:19" x14ac:dyDescent="0.3">
      <c r="E1760" s="9" t="str">
        <f>IF(DADOS!C1760="","",DADOS!C1760)</f>
        <v/>
      </c>
      <c r="F1760" s="9" t="str">
        <f>IF(DADOS!E1760="","",DADOS!E1760)</f>
        <v/>
      </c>
      <c r="G1760" s="9" t="str">
        <f>IF(DADOS!F1760="","",DADOS!F1760)</f>
        <v/>
      </c>
      <c r="K1760" s="6" t="str">
        <f t="shared" si="140"/>
        <v/>
      </c>
      <c r="L1760" s="7" t="str">
        <f t="shared" si="141"/>
        <v/>
      </c>
      <c r="M1760" s="7" t="str">
        <f t="shared" si="138"/>
        <v/>
      </c>
      <c r="N1760" s="7" t="str">
        <f t="shared" si="142"/>
        <v/>
      </c>
      <c r="O1760" s="8"/>
      <c r="P1760" s="26"/>
      <c r="S1760" s="10" t="str">
        <f t="shared" si="139"/>
        <v/>
      </c>
    </row>
    <row r="1761" spans="5:19" x14ac:dyDescent="0.3">
      <c r="E1761" s="9" t="str">
        <f>IF(DADOS!C1761="","",DADOS!C1761)</f>
        <v/>
      </c>
      <c r="F1761" s="9" t="str">
        <f>IF(DADOS!E1761="","",DADOS!E1761)</f>
        <v/>
      </c>
      <c r="G1761" s="9" t="str">
        <f>IF(DADOS!F1761="","",DADOS!F1761)</f>
        <v/>
      </c>
      <c r="K1761" s="6" t="str">
        <f t="shared" si="140"/>
        <v/>
      </c>
      <c r="L1761" s="7" t="str">
        <f t="shared" si="141"/>
        <v/>
      </c>
      <c r="M1761" s="7" t="str">
        <f t="shared" si="138"/>
        <v/>
      </c>
      <c r="N1761" s="7" t="str">
        <f t="shared" si="142"/>
        <v/>
      </c>
      <c r="O1761" s="8"/>
      <c r="P1761" s="26"/>
      <c r="S1761" s="10" t="str">
        <f t="shared" si="139"/>
        <v/>
      </c>
    </row>
    <row r="1762" spans="5:19" x14ac:dyDescent="0.3">
      <c r="E1762" s="9" t="str">
        <f>IF(DADOS!C1762="","",DADOS!C1762)</f>
        <v/>
      </c>
      <c r="F1762" s="9" t="str">
        <f>IF(DADOS!E1762="","",DADOS!E1762)</f>
        <v/>
      </c>
      <c r="G1762" s="9" t="str">
        <f>IF(DADOS!F1762="","",DADOS!F1762)</f>
        <v/>
      </c>
      <c r="K1762" s="6" t="str">
        <f t="shared" si="140"/>
        <v/>
      </c>
      <c r="L1762" s="7" t="str">
        <f t="shared" si="141"/>
        <v/>
      </c>
      <c r="M1762" s="7" t="str">
        <f t="shared" si="138"/>
        <v/>
      </c>
      <c r="N1762" s="7" t="str">
        <f t="shared" si="142"/>
        <v/>
      </c>
      <c r="O1762" s="8"/>
      <c r="P1762" s="26"/>
      <c r="S1762" s="10" t="str">
        <f t="shared" si="139"/>
        <v/>
      </c>
    </row>
    <row r="1763" spans="5:19" x14ac:dyDescent="0.3">
      <c r="E1763" s="9" t="str">
        <f>IF(DADOS!C1763="","",DADOS!C1763)</f>
        <v/>
      </c>
      <c r="F1763" s="9" t="str">
        <f>IF(DADOS!E1763="","",DADOS!E1763)</f>
        <v/>
      </c>
      <c r="G1763" s="9" t="str">
        <f>IF(DADOS!F1763="","",DADOS!F1763)</f>
        <v/>
      </c>
      <c r="K1763" s="6" t="str">
        <f t="shared" si="140"/>
        <v/>
      </c>
      <c r="L1763" s="7" t="str">
        <f t="shared" si="141"/>
        <v/>
      </c>
      <c r="M1763" s="7" t="str">
        <f t="shared" si="138"/>
        <v/>
      </c>
      <c r="N1763" s="7" t="str">
        <f t="shared" si="142"/>
        <v/>
      </c>
      <c r="O1763" s="8"/>
      <c r="P1763" s="26"/>
      <c r="S1763" s="10" t="str">
        <f t="shared" si="139"/>
        <v/>
      </c>
    </row>
    <row r="1764" spans="5:19" x14ac:dyDescent="0.3">
      <c r="E1764" s="9" t="str">
        <f>IF(DADOS!C1764="","",DADOS!C1764)</f>
        <v/>
      </c>
      <c r="F1764" s="9" t="str">
        <f>IF(DADOS!E1764="","",DADOS!E1764)</f>
        <v/>
      </c>
      <c r="G1764" s="9" t="str">
        <f>IF(DADOS!F1764="","",DADOS!F1764)</f>
        <v/>
      </c>
      <c r="K1764" s="6" t="str">
        <f t="shared" si="140"/>
        <v/>
      </c>
      <c r="L1764" s="7" t="str">
        <f t="shared" si="141"/>
        <v/>
      </c>
      <c r="M1764" s="7" t="str">
        <f t="shared" si="138"/>
        <v/>
      </c>
      <c r="N1764" s="7" t="str">
        <f t="shared" si="142"/>
        <v/>
      </c>
      <c r="O1764" s="8"/>
      <c r="P1764" s="26"/>
      <c r="S1764" s="10" t="str">
        <f t="shared" si="139"/>
        <v/>
      </c>
    </row>
    <row r="1765" spans="5:19" x14ac:dyDescent="0.3">
      <c r="E1765" s="9" t="str">
        <f>IF(DADOS!C1765="","",DADOS!C1765)</f>
        <v/>
      </c>
      <c r="F1765" s="9" t="str">
        <f>IF(DADOS!E1765="","",DADOS!E1765)</f>
        <v/>
      </c>
      <c r="G1765" s="9" t="str">
        <f>IF(DADOS!F1765="","",DADOS!F1765)</f>
        <v/>
      </c>
      <c r="K1765" s="6" t="str">
        <f t="shared" si="140"/>
        <v/>
      </c>
      <c r="L1765" s="7" t="str">
        <f t="shared" si="141"/>
        <v/>
      </c>
      <c r="M1765" s="7" t="str">
        <f t="shared" si="138"/>
        <v/>
      </c>
      <c r="N1765" s="7" t="str">
        <f t="shared" si="142"/>
        <v/>
      </c>
      <c r="O1765" s="8"/>
      <c r="P1765" s="26"/>
      <c r="S1765" s="10" t="str">
        <f t="shared" si="139"/>
        <v/>
      </c>
    </row>
    <row r="1766" spans="5:19" x14ac:dyDescent="0.3">
      <c r="E1766" s="9" t="str">
        <f>IF(DADOS!C1766="","",DADOS!C1766)</f>
        <v/>
      </c>
      <c r="F1766" s="9" t="str">
        <f>IF(DADOS!E1766="","",DADOS!E1766)</f>
        <v/>
      </c>
      <c r="G1766" s="9" t="str">
        <f>IF(DADOS!F1766="","",DADOS!F1766)</f>
        <v/>
      </c>
      <c r="K1766" s="6" t="str">
        <f t="shared" si="140"/>
        <v/>
      </c>
      <c r="L1766" s="7" t="str">
        <f t="shared" si="141"/>
        <v/>
      </c>
      <c r="M1766" s="7" t="str">
        <f t="shared" si="138"/>
        <v/>
      </c>
      <c r="N1766" s="7" t="str">
        <f t="shared" si="142"/>
        <v/>
      </c>
      <c r="O1766" s="8"/>
      <c r="P1766" s="26"/>
      <c r="S1766" s="10" t="str">
        <f t="shared" si="139"/>
        <v/>
      </c>
    </row>
    <row r="1767" spans="5:19" x14ac:dyDescent="0.3">
      <c r="E1767" s="9" t="str">
        <f>IF(DADOS!C1767="","",DADOS!C1767)</f>
        <v/>
      </c>
      <c r="F1767" s="9" t="str">
        <f>IF(DADOS!E1767="","",DADOS!E1767)</f>
        <v/>
      </c>
      <c r="G1767" s="9" t="str">
        <f>IF(DADOS!F1767="","",DADOS!F1767)</f>
        <v/>
      </c>
      <c r="K1767" s="6" t="str">
        <f t="shared" si="140"/>
        <v/>
      </c>
      <c r="L1767" s="7" t="str">
        <f t="shared" si="141"/>
        <v/>
      </c>
      <c r="M1767" s="7" t="str">
        <f t="shared" si="138"/>
        <v/>
      </c>
      <c r="N1767" s="7" t="str">
        <f t="shared" si="142"/>
        <v/>
      </c>
      <c r="O1767" s="8"/>
      <c r="P1767" s="26"/>
      <c r="S1767" s="10" t="str">
        <f t="shared" si="139"/>
        <v/>
      </c>
    </row>
    <row r="1768" spans="5:19" x14ac:dyDescent="0.3">
      <c r="E1768" s="9" t="str">
        <f>IF(DADOS!C1768="","",DADOS!C1768)</f>
        <v/>
      </c>
      <c r="F1768" s="9" t="str">
        <f>IF(DADOS!E1768="","",DADOS!E1768)</f>
        <v/>
      </c>
      <c r="G1768" s="9" t="str">
        <f>IF(DADOS!F1768="","",DADOS!F1768)</f>
        <v/>
      </c>
      <c r="K1768" s="6" t="str">
        <f t="shared" si="140"/>
        <v/>
      </c>
      <c r="L1768" s="7" t="str">
        <f t="shared" si="141"/>
        <v/>
      </c>
      <c r="M1768" s="7" t="str">
        <f t="shared" si="138"/>
        <v/>
      </c>
      <c r="N1768" s="7" t="str">
        <f t="shared" si="142"/>
        <v/>
      </c>
      <c r="O1768" s="8"/>
      <c r="P1768" s="26"/>
      <c r="S1768" s="10" t="str">
        <f t="shared" si="139"/>
        <v/>
      </c>
    </row>
    <row r="1769" spans="5:19" x14ac:dyDescent="0.3">
      <c r="E1769" s="9" t="str">
        <f>IF(DADOS!C1769="","",DADOS!C1769)</f>
        <v/>
      </c>
      <c r="F1769" s="9" t="str">
        <f>IF(DADOS!E1769="","",DADOS!E1769)</f>
        <v/>
      </c>
      <c r="G1769" s="9" t="str">
        <f>IF(DADOS!F1769="","",DADOS!F1769)</f>
        <v/>
      </c>
      <c r="K1769" s="6" t="str">
        <f t="shared" si="140"/>
        <v/>
      </c>
      <c r="L1769" s="7" t="str">
        <f t="shared" si="141"/>
        <v/>
      </c>
      <c r="M1769" s="7" t="str">
        <f t="shared" si="138"/>
        <v/>
      </c>
      <c r="N1769" s="7" t="str">
        <f t="shared" si="142"/>
        <v/>
      </c>
      <c r="O1769" s="8"/>
      <c r="P1769" s="26"/>
      <c r="S1769" s="10" t="str">
        <f t="shared" si="139"/>
        <v/>
      </c>
    </row>
    <row r="1770" spans="5:19" x14ac:dyDescent="0.3">
      <c r="E1770" s="9" t="str">
        <f>IF(DADOS!C1770="","",DADOS!C1770)</f>
        <v/>
      </c>
      <c r="F1770" s="9" t="str">
        <f>IF(DADOS!E1770="","",DADOS!E1770)</f>
        <v/>
      </c>
      <c r="G1770" s="9" t="str">
        <f>IF(DADOS!F1770="","",DADOS!F1770)</f>
        <v/>
      </c>
      <c r="K1770" s="6" t="str">
        <f t="shared" si="140"/>
        <v/>
      </c>
      <c r="L1770" s="7" t="str">
        <f t="shared" si="141"/>
        <v/>
      </c>
      <c r="M1770" s="7" t="str">
        <f t="shared" si="138"/>
        <v/>
      </c>
      <c r="N1770" s="7" t="str">
        <f t="shared" si="142"/>
        <v/>
      </c>
      <c r="O1770" s="8"/>
      <c r="P1770" s="26"/>
      <c r="S1770" s="10" t="str">
        <f t="shared" si="139"/>
        <v/>
      </c>
    </row>
    <row r="1771" spans="5:19" x14ac:dyDescent="0.3">
      <c r="E1771" s="9" t="str">
        <f>IF(DADOS!C1771="","",DADOS!C1771)</f>
        <v/>
      </c>
      <c r="F1771" s="9" t="str">
        <f>IF(DADOS!E1771="","",DADOS!E1771)</f>
        <v/>
      </c>
      <c r="G1771" s="9" t="str">
        <f>IF(DADOS!F1771="","",DADOS!F1771)</f>
        <v/>
      </c>
      <c r="K1771" s="6" t="str">
        <f t="shared" si="140"/>
        <v/>
      </c>
      <c r="L1771" s="7" t="str">
        <f t="shared" si="141"/>
        <v/>
      </c>
      <c r="M1771" s="7" t="str">
        <f t="shared" si="138"/>
        <v/>
      </c>
      <c r="N1771" s="7" t="str">
        <f t="shared" si="142"/>
        <v/>
      </c>
      <c r="O1771" s="8"/>
      <c r="P1771" s="26"/>
      <c r="S1771" s="10" t="str">
        <f t="shared" si="139"/>
        <v/>
      </c>
    </row>
    <row r="1772" spans="5:19" x14ac:dyDescent="0.3">
      <c r="E1772" s="9" t="str">
        <f>IF(DADOS!C1772="","",DADOS!C1772)</f>
        <v/>
      </c>
      <c r="F1772" s="9" t="str">
        <f>IF(DADOS!E1772="","",DADOS!E1772)</f>
        <v/>
      </c>
      <c r="G1772" s="9" t="str">
        <f>IF(DADOS!F1772="","",DADOS!F1772)</f>
        <v/>
      </c>
      <c r="K1772" s="6" t="str">
        <f t="shared" si="140"/>
        <v/>
      </c>
      <c r="L1772" s="7" t="str">
        <f t="shared" si="141"/>
        <v/>
      </c>
      <c r="M1772" s="7" t="str">
        <f t="shared" si="138"/>
        <v/>
      </c>
      <c r="N1772" s="7" t="str">
        <f t="shared" si="142"/>
        <v/>
      </c>
      <c r="O1772" s="8"/>
      <c r="P1772" s="26"/>
      <c r="S1772" s="10" t="str">
        <f t="shared" si="139"/>
        <v/>
      </c>
    </row>
    <row r="1773" spans="5:19" x14ac:dyDescent="0.3">
      <c r="E1773" s="9" t="str">
        <f>IF(DADOS!C1773="","",DADOS!C1773)</f>
        <v/>
      </c>
      <c r="F1773" s="9" t="str">
        <f>IF(DADOS!E1773="","",DADOS!E1773)</f>
        <v/>
      </c>
      <c r="G1773" s="9" t="str">
        <f>IF(DADOS!F1773="","",DADOS!F1773)</f>
        <v/>
      </c>
      <c r="K1773" s="6" t="str">
        <f t="shared" si="140"/>
        <v/>
      </c>
      <c r="L1773" s="7" t="str">
        <f t="shared" si="141"/>
        <v/>
      </c>
      <c r="M1773" s="7" t="str">
        <f t="shared" si="138"/>
        <v/>
      </c>
      <c r="N1773" s="7" t="str">
        <f t="shared" si="142"/>
        <v/>
      </c>
      <c r="O1773" s="8"/>
      <c r="P1773" s="26"/>
      <c r="S1773" s="10" t="str">
        <f t="shared" si="139"/>
        <v/>
      </c>
    </row>
    <row r="1774" spans="5:19" x14ac:dyDescent="0.3">
      <c r="E1774" s="9" t="str">
        <f>IF(DADOS!C1774="","",DADOS!C1774)</f>
        <v/>
      </c>
      <c r="F1774" s="9" t="str">
        <f>IF(DADOS!E1774="","",DADOS!E1774)</f>
        <v/>
      </c>
      <c r="G1774" s="9" t="str">
        <f>IF(DADOS!F1774="","",DADOS!F1774)</f>
        <v/>
      </c>
      <c r="K1774" s="6" t="str">
        <f t="shared" si="140"/>
        <v/>
      </c>
      <c r="L1774" s="7" t="str">
        <f t="shared" si="141"/>
        <v/>
      </c>
      <c r="M1774" s="7" t="str">
        <f t="shared" si="138"/>
        <v/>
      </c>
      <c r="N1774" s="7" t="str">
        <f t="shared" si="142"/>
        <v/>
      </c>
      <c r="O1774" s="8"/>
      <c r="P1774" s="26"/>
      <c r="S1774" s="10" t="str">
        <f t="shared" si="139"/>
        <v/>
      </c>
    </row>
    <row r="1775" spans="5:19" x14ac:dyDescent="0.3">
      <c r="E1775" s="9" t="str">
        <f>IF(DADOS!C1775="","",DADOS!C1775)</f>
        <v/>
      </c>
      <c r="F1775" s="9" t="str">
        <f>IF(DADOS!E1775="","",DADOS!E1775)</f>
        <v/>
      </c>
      <c r="G1775" s="9" t="str">
        <f>IF(DADOS!F1775="","",DADOS!F1775)</f>
        <v/>
      </c>
      <c r="K1775" s="6" t="str">
        <f t="shared" si="140"/>
        <v/>
      </c>
      <c r="L1775" s="7" t="str">
        <f t="shared" si="141"/>
        <v/>
      </c>
      <c r="M1775" s="7" t="str">
        <f t="shared" si="138"/>
        <v/>
      </c>
      <c r="N1775" s="7" t="str">
        <f t="shared" si="142"/>
        <v/>
      </c>
      <c r="O1775" s="8"/>
      <c r="P1775" s="26"/>
      <c r="S1775" s="10" t="str">
        <f t="shared" si="139"/>
        <v/>
      </c>
    </row>
    <row r="1776" spans="5:19" x14ac:dyDescent="0.3">
      <c r="E1776" s="9" t="str">
        <f>IF(DADOS!C1776="","",DADOS!C1776)</f>
        <v/>
      </c>
      <c r="F1776" s="9" t="str">
        <f>IF(DADOS!E1776="","",DADOS!E1776)</f>
        <v/>
      </c>
      <c r="G1776" s="9" t="str">
        <f>IF(DADOS!F1776="","",DADOS!F1776)</f>
        <v/>
      </c>
      <c r="K1776" s="6" t="str">
        <f t="shared" si="140"/>
        <v/>
      </c>
      <c r="L1776" s="7" t="str">
        <f t="shared" si="141"/>
        <v/>
      </c>
      <c r="M1776" s="7" t="str">
        <f t="shared" si="138"/>
        <v/>
      </c>
      <c r="N1776" s="7" t="str">
        <f t="shared" si="142"/>
        <v/>
      </c>
      <c r="O1776" s="8"/>
      <c r="P1776" s="26"/>
      <c r="S1776" s="10" t="str">
        <f t="shared" si="139"/>
        <v/>
      </c>
    </row>
    <row r="1777" spans="5:19" x14ac:dyDescent="0.3">
      <c r="E1777" s="9" t="str">
        <f>IF(DADOS!C1777="","",DADOS!C1777)</f>
        <v/>
      </c>
      <c r="F1777" s="9" t="str">
        <f>IF(DADOS!E1777="","",DADOS!E1777)</f>
        <v/>
      </c>
      <c r="G1777" s="9" t="str">
        <f>IF(DADOS!F1777="","",DADOS!F1777)</f>
        <v/>
      </c>
      <c r="K1777" s="6" t="str">
        <f t="shared" si="140"/>
        <v/>
      </c>
      <c r="L1777" s="7" t="str">
        <f t="shared" si="141"/>
        <v/>
      </c>
      <c r="M1777" s="7" t="str">
        <f t="shared" si="138"/>
        <v/>
      </c>
      <c r="N1777" s="7" t="str">
        <f t="shared" si="142"/>
        <v/>
      </c>
      <c r="O1777" s="8"/>
      <c r="P1777" s="26"/>
      <c r="S1777" s="10" t="str">
        <f t="shared" si="139"/>
        <v/>
      </c>
    </row>
    <row r="1778" spans="5:19" x14ac:dyDescent="0.3">
      <c r="E1778" s="9" t="str">
        <f>IF(DADOS!C1778="","",DADOS!C1778)</f>
        <v/>
      </c>
      <c r="F1778" s="9" t="str">
        <f>IF(DADOS!E1778="","",DADOS!E1778)</f>
        <v/>
      </c>
      <c r="G1778" s="9" t="str">
        <f>IF(DADOS!F1778="","",DADOS!F1778)</f>
        <v/>
      </c>
      <c r="K1778" s="6" t="str">
        <f t="shared" si="140"/>
        <v/>
      </c>
      <c r="L1778" s="7" t="str">
        <f t="shared" si="141"/>
        <v/>
      </c>
      <c r="M1778" s="7" t="str">
        <f t="shared" si="138"/>
        <v/>
      </c>
      <c r="N1778" s="7" t="str">
        <f t="shared" si="142"/>
        <v/>
      </c>
      <c r="O1778" s="8"/>
      <c r="P1778" s="26"/>
      <c r="S1778" s="10" t="str">
        <f t="shared" si="139"/>
        <v/>
      </c>
    </row>
    <row r="1779" spans="5:19" x14ac:dyDescent="0.3">
      <c r="E1779" s="9" t="str">
        <f>IF(DADOS!C1779="","",DADOS!C1779)</f>
        <v/>
      </c>
      <c r="F1779" s="9" t="str">
        <f>IF(DADOS!E1779="","",DADOS!E1779)</f>
        <v/>
      </c>
      <c r="G1779" s="9" t="str">
        <f>IF(DADOS!F1779="","",DADOS!F1779)</f>
        <v/>
      </c>
      <c r="K1779" s="6" t="str">
        <f t="shared" si="140"/>
        <v/>
      </c>
      <c r="L1779" s="7" t="str">
        <f t="shared" si="141"/>
        <v/>
      </c>
      <c r="M1779" s="7" t="str">
        <f t="shared" si="138"/>
        <v/>
      </c>
      <c r="N1779" s="7" t="str">
        <f t="shared" si="142"/>
        <v/>
      </c>
      <c r="O1779" s="8"/>
      <c r="P1779" s="26"/>
      <c r="S1779" s="10" t="str">
        <f t="shared" si="139"/>
        <v/>
      </c>
    </row>
    <row r="1780" spans="5:19" x14ac:dyDescent="0.3">
      <c r="E1780" s="9" t="str">
        <f>IF(DADOS!C1780="","",DADOS!C1780)</f>
        <v/>
      </c>
      <c r="F1780" s="9" t="str">
        <f>IF(DADOS!E1780="","",DADOS!E1780)</f>
        <v/>
      </c>
      <c r="G1780" s="9" t="str">
        <f>IF(DADOS!F1780="","",DADOS!F1780)</f>
        <v/>
      </c>
      <c r="K1780" s="6" t="str">
        <f t="shared" si="140"/>
        <v/>
      </c>
      <c r="L1780" s="7" t="str">
        <f t="shared" si="141"/>
        <v/>
      </c>
      <c r="M1780" s="7" t="str">
        <f t="shared" si="138"/>
        <v/>
      </c>
      <c r="N1780" s="7" t="str">
        <f t="shared" si="142"/>
        <v/>
      </c>
      <c r="O1780" s="8"/>
      <c r="P1780" s="26"/>
      <c r="S1780" s="10" t="str">
        <f t="shared" si="139"/>
        <v/>
      </c>
    </row>
    <row r="1781" spans="5:19" x14ac:dyDescent="0.3">
      <c r="E1781" s="9" t="str">
        <f>IF(DADOS!C1781="","",DADOS!C1781)</f>
        <v/>
      </c>
      <c r="F1781" s="9" t="str">
        <f>IF(DADOS!E1781="","",DADOS!E1781)</f>
        <v/>
      </c>
      <c r="G1781" s="9" t="str">
        <f>IF(DADOS!F1781="","",DADOS!F1781)</f>
        <v/>
      </c>
      <c r="K1781" s="6" t="str">
        <f t="shared" si="140"/>
        <v/>
      </c>
      <c r="L1781" s="7" t="str">
        <f t="shared" si="141"/>
        <v/>
      </c>
      <c r="M1781" s="7" t="str">
        <f t="shared" si="138"/>
        <v/>
      </c>
      <c r="N1781" s="7" t="str">
        <f t="shared" si="142"/>
        <v/>
      </c>
      <c r="O1781" s="8"/>
      <c r="P1781" s="26"/>
      <c r="S1781" s="10" t="str">
        <f t="shared" si="139"/>
        <v/>
      </c>
    </row>
    <row r="1782" spans="5:19" x14ac:dyDescent="0.3">
      <c r="E1782" s="9" t="str">
        <f>IF(DADOS!C1782="","",DADOS!C1782)</f>
        <v/>
      </c>
      <c r="F1782" s="9" t="str">
        <f>IF(DADOS!E1782="","",DADOS!E1782)</f>
        <v/>
      </c>
      <c r="G1782" s="9" t="str">
        <f>IF(DADOS!F1782="","",DADOS!F1782)</f>
        <v/>
      </c>
      <c r="K1782" s="6" t="str">
        <f t="shared" si="140"/>
        <v/>
      </c>
      <c r="L1782" s="7" t="str">
        <f t="shared" si="141"/>
        <v/>
      </c>
      <c r="M1782" s="7" t="str">
        <f t="shared" si="138"/>
        <v/>
      </c>
      <c r="N1782" s="7" t="str">
        <f t="shared" si="142"/>
        <v/>
      </c>
      <c r="O1782" s="8"/>
      <c r="P1782" s="26"/>
      <c r="S1782" s="10" t="str">
        <f t="shared" si="139"/>
        <v/>
      </c>
    </row>
    <row r="1783" spans="5:19" x14ac:dyDescent="0.3">
      <c r="E1783" s="9" t="str">
        <f>IF(DADOS!C1783="","",DADOS!C1783)</f>
        <v/>
      </c>
      <c r="F1783" s="9" t="str">
        <f>IF(DADOS!E1783="","",DADOS!E1783)</f>
        <v/>
      </c>
      <c r="G1783" s="9" t="str">
        <f>IF(DADOS!F1783="","",DADOS!F1783)</f>
        <v/>
      </c>
      <c r="K1783" s="6" t="str">
        <f t="shared" si="140"/>
        <v/>
      </c>
      <c r="L1783" s="7" t="str">
        <f t="shared" si="141"/>
        <v/>
      </c>
      <c r="M1783" s="7" t="str">
        <f t="shared" si="138"/>
        <v/>
      </c>
      <c r="N1783" s="7" t="str">
        <f t="shared" si="142"/>
        <v/>
      </c>
      <c r="O1783" s="8"/>
      <c r="P1783" s="26"/>
      <c r="S1783" s="10" t="str">
        <f t="shared" si="139"/>
        <v/>
      </c>
    </row>
    <row r="1784" spans="5:19" x14ac:dyDescent="0.3">
      <c r="E1784" s="9" t="str">
        <f>IF(DADOS!C1784="","",DADOS!C1784)</f>
        <v/>
      </c>
      <c r="F1784" s="9" t="str">
        <f>IF(DADOS!E1784="","",DADOS!E1784)</f>
        <v/>
      </c>
      <c r="G1784" s="9" t="str">
        <f>IF(DADOS!F1784="","",DADOS!F1784)</f>
        <v/>
      </c>
      <c r="K1784" s="6" t="str">
        <f t="shared" si="140"/>
        <v/>
      </c>
      <c r="L1784" s="7" t="str">
        <f t="shared" si="141"/>
        <v/>
      </c>
      <c r="M1784" s="7" t="str">
        <f t="shared" si="138"/>
        <v/>
      </c>
      <c r="N1784" s="7" t="str">
        <f t="shared" si="142"/>
        <v/>
      </c>
      <c r="O1784" s="8"/>
      <c r="P1784" s="26"/>
      <c r="S1784" s="10" t="str">
        <f t="shared" si="139"/>
        <v/>
      </c>
    </row>
    <row r="1785" spans="5:19" x14ac:dyDescent="0.3">
      <c r="E1785" s="9" t="str">
        <f>IF(DADOS!C1785="","",DADOS!C1785)</f>
        <v/>
      </c>
      <c r="F1785" s="9" t="str">
        <f>IF(DADOS!E1785="","",DADOS!E1785)</f>
        <v/>
      </c>
      <c r="G1785" s="9" t="str">
        <f>IF(DADOS!F1785="","",DADOS!F1785)</f>
        <v/>
      </c>
      <c r="K1785" s="6" t="str">
        <f t="shared" si="140"/>
        <v/>
      </c>
      <c r="L1785" s="7" t="str">
        <f t="shared" si="141"/>
        <v/>
      </c>
      <c r="M1785" s="7" t="str">
        <f t="shared" si="138"/>
        <v/>
      </c>
      <c r="N1785" s="7" t="str">
        <f t="shared" si="142"/>
        <v/>
      </c>
      <c r="O1785" s="8"/>
      <c r="P1785" s="26"/>
      <c r="S1785" s="10" t="str">
        <f t="shared" si="139"/>
        <v/>
      </c>
    </row>
    <row r="1786" spans="5:19" x14ac:dyDescent="0.3">
      <c r="E1786" s="9" t="str">
        <f>IF(DADOS!C1786="","",DADOS!C1786)</f>
        <v/>
      </c>
      <c r="F1786" s="9" t="str">
        <f>IF(DADOS!E1786="","",DADOS!E1786)</f>
        <v/>
      </c>
      <c r="G1786" s="9" t="str">
        <f>IF(DADOS!F1786="","",DADOS!F1786)</f>
        <v/>
      </c>
      <c r="K1786" s="6" t="str">
        <f t="shared" si="140"/>
        <v/>
      </c>
      <c r="L1786" s="7" t="str">
        <f t="shared" si="141"/>
        <v/>
      </c>
      <c r="M1786" s="7" t="str">
        <f t="shared" si="138"/>
        <v/>
      </c>
      <c r="N1786" s="7" t="str">
        <f t="shared" si="142"/>
        <v/>
      </c>
      <c r="O1786" s="8"/>
      <c r="P1786" s="26"/>
      <c r="S1786" s="10" t="str">
        <f t="shared" si="139"/>
        <v/>
      </c>
    </row>
    <row r="1787" spans="5:19" x14ac:dyDescent="0.3">
      <c r="E1787" s="9" t="str">
        <f>IF(DADOS!C1787="","",DADOS!C1787)</f>
        <v/>
      </c>
      <c r="F1787" s="9" t="str">
        <f>IF(DADOS!E1787="","",DADOS!E1787)</f>
        <v/>
      </c>
      <c r="G1787" s="9" t="str">
        <f>IF(DADOS!F1787="","",DADOS!F1787)</f>
        <v/>
      </c>
      <c r="K1787" s="6" t="str">
        <f t="shared" si="140"/>
        <v/>
      </c>
      <c r="L1787" s="7" t="str">
        <f t="shared" si="141"/>
        <v/>
      </c>
      <c r="M1787" s="7" t="str">
        <f t="shared" si="138"/>
        <v/>
      </c>
      <c r="N1787" s="7" t="str">
        <f t="shared" si="142"/>
        <v/>
      </c>
      <c r="O1787" s="8"/>
      <c r="P1787" s="26"/>
      <c r="S1787" s="10" t="str">
        <f t="shared" si="139"/>
        <v/>
      </c>
    </row>
    <row r="1788" spans="5:19" x14ac:dyDescent="0.3">
      <c r="E1788" s="9" t="str">
        <f>IF(DADOS!C1788="","",DADOS!C1788)</f>
        <v/>
      </c>
      <c r="F1788" s="9" t="str">
        <f>IF(DADOS!E1788="","",DADOS!E1788)</f>
        <v/>
      </c>
      <c r="G1788" s="9" t="str">
        <f>IF(DADOS!F1788="","",DADOS!F1788)</f>
        <v/>
      </c>
      <c r="K1788" s="6" t="str">
        <f t="shared" si="140"/>
        <v/>
      </c>
      <c r="L1788" s="7" t="str">
        <f t="shared" si="141"/>
        <v/>
      </c>
      <c r="M1788" s="7" t="str">
        <f t="shared" si="138"/>
        <v/>
      </c>
      <c r="N1788" s="7" t="str">
        <f t="shared" si="142"/>
        <v/>
      </c>
      <c r="O1788" s="8"/>
      <c r="P1788" s="26"/>
      <c r="S1788" s="10" t="str">
        <f t="shared" si="139"/>
        <v/>
      </c>
    </row>
    <row r="1789" spans="5:19" x14ac:dyDescent="0.3">
      <c r="E1789" s="9" t="str">
        <f>IF(DADOS!C1789="","",DADOS!C1789)</f>
        <v/>
      </c>
      <c r="F1789" s="9" t="str">
        <f>IF(DADOS!E1789="","",DADOS!E1789)</f>
        <v/>
      </c>
      <c r="G1789" s="9" t="str">
        <f>IF(DADOS!F1789="","",DADOS!F1789)</f>
        <v/>
      </c>
      <c r="K1789" s="6" t="str">
        <f t="shared" si="140"/>
        <v/>
      </c>
      <c r="L1789" s="7" t="str">
        <f t="shared" si="141"/>
        <v/>
      </c>
      <c r="M1789" s="7" t="str">
        <f t="shared" si="138"/>
        <v/>
      </c>
      <c r="N1789" s="7" t="str">
        <f t="shared" si="142"/>
        <v/>
      </c>
      <c r="O1789" s="8"/>
      <c r="P1789" s="26"/>
      <c r="S1789" s="10" t="str">
        <f t="shared" si="139"/>
        <v/>
      </c>
    </row>
    <row r="1790" spans="5:19" x14ac:dyDescent="0.3">
      <c r="E1790" s="9" t="str">
        <f>IF(DADOS!C1790="","",DADOS!C1790)</f>
        <v/>
      </c>
      <c r="F1790" s="9" t="str">
        <f>IF(DADOS!E1790="","",DADOS!E1790)</f>
        <v/>
      </c>
      <c r="G1790" s="9" t="str">
        <f>IF(DADOS!F1790="","",DADOS!F1790)</f>
        <v/>
      </c>
      <c r="K1790" s="6" t="str">
        <f t="shared" si="140"/>
        <v/>
      </c>
      <c r="L1790" s="7" t="str">
        <f t="shared" si="141"/>
        <v/>
      </c>
      <c r="M1790" s="7" t="str">
        <f t="shared" si="138"/>
        <v/>
      </c>
      <c r="N1790" s="7" t="str">
        <f t="shared" si="142"/>
        <v/>
      </c>
      <c r="O1790" s="8"/>
      <c r="P1790" s="26"/>
      <c r="S1790" s="10" t="str">
        <f t="shared" si="139"/>
        <v/>
      </c>
    </row>
    <row r="1791" spans="5:19" x14ac:dyDescent="0.3">
      <c r="E1791" s="9" t="str">
        <f>IF(DADOS!C1791="","",DADOS!C1791)</f>
        <v/>
      </c>
      <c r="F1791" s="9" t="str">
        <f>IF(DADOS!E1791="","",DADOS!E1791)</f>
        <v/>
      </c>
      <c r="G1791" s="9" t="str">
        <f>IF(DADOS!F1791="","",DADOS!F1791)</f>
        <v/>
      </c>
      <c r="K1791" s="6" t="str">
        <f t="shared" si="140"/>
        <v/>
      </c>
      <c r="L1791" s="7" t="str">
        <f t="shared" si="141"/>
        <v/>
      </c>
      <c r="M1791" s="7" t="str">
        <f t="shared" si="138"/>
        <v/>
      </c>
      <c r="N1791" s="7" t="str">
        <f t="shared" si="142"/>
        <v/>
      </c>
      <c r="O1791" s="8"/>
      <c r="P1791" s="26"/>
      <c r="S1791" s="10" t="str">
        <f t="shared" si="139"/>
        <v/>
      </c>
    </row>
    <row r="1792" spans="5:19" x14ac:dyDescent="0.3">
      <c r="E1792" s="9" t="str">
        <f>IF(DADOS!C1792="","",DADOS!C1792)</f>
        <v/>
      </c>
      <c r="F1792" s="9" t="str">
        <f>IF(DADOS!E1792="","",DADOS!E1792)</f>
        <v/>
      </c>
      <c r="G1792" s="9" t="str">
        <f>IF(DADOS!F1792="","",DADOS!F1792)</f>
        <v/>
      </c>
      <c r="K1792" s="6" t="str">
        <f t="shared" si="140"/>
        <v/>
      </c>
      <c r="L1792" s="7" t="str">
        <f t="shared" si="141"/>
        <v/>
      </c>
      <c r="M1792" s="7" t="str">
        <f t="shared" si="138"/>
        <v/>
      </c>
      <c r="N1792" s="7" t="str">
        <f t="shared" si="142"/>
        <v/>
      </c>
      <c r="O1792" s="8"/>
      <c r="P1792" s="26"/>
      <c r="S1792" s="10" t="str">
        <f t="shared" si="139"/>
        <v/>
      </c>
    </row>
    <row r="1793" spans="5:19" x14ac:dyDescent="0.3">
      <c r="E1793" s="9" t="str">
        <f>IF(DADOS!C1793="","",DADOS!C1793)</f>
        <v/>
      </c>
      <c r="F1793" s="9" t="str">
        <f>IF(DADOS!E1793="","",DADOS!E1793)</f>
        <v/>
      </c>
      <c r="G1793" s="9" t="str">
        <f>IF(DADOS!F1793="","",DADOS!F1793)</f>
        <v/>
      </c>
      <c r="K1793" s="6" t="str">
        <f t="shared" si="140"/>
        <v/>
      </c>
      <c r="L1793" s="7" t="str">
        <f t="shared" si="141"/>
        <v/>
      </c>
      <c r="M1793" s="7" t="str">
        <f t="shared" si="138"/>
        <v/>
      </c>
      <c r="N1793" s="7" t="str">
        <f t="shared" si="142"/>
        <v/>
      </c>
      <c r="O1793" s="8"/>
      <c r="P1793" s="26"/>
      <c r="S1793" s="10" t="str">
        <f t="shared" si="139"/>
        <v/>
      </c>
    </row>
    <row r="1794" spans="5:19" x14ac:dyDescent="0.3">
      <c r="E1794" s="9" t="str">
        <f>IF(DADOS!C1794="","",DADOS!C1794)</f>
        <v/>
      </c>
      <c r="F1794" s="9" t="str">
        <f>IF(DADOS!E1794="","",DADOS!E1794)</f>
        <v/>
      </c>
      <c r="G1794" s="9" t="str">
        <f>IF(DADOS!F1794="","",DADOS!F1794)</f>
        <v/>
      </c>
      <c r="K1794" s="6" t="str">
        <f t="shared" si="140"/>
        <v/>
      </c>
      <c r="L1794" s="7" t="str">
        <f t="shared" si="141"/>
        <v/>
      </c>
      <c r="M1794" s="7" t="str">
        <f t="shared" si="138"/>
        <v/>
      </c>
      <c r="N1794" s="7" t="str">
        <f t="shared" si="142"/>
        <v/>
      </c>
      <c r="O1794" s="8"/>
      <c r="P1794" s="26"/>
      <c r="S1794" s="10" t="str">
        <f t="shared" si="139"/>
        <v/>
      </c>
    </row>
    <row r="1795" spans="5:19" x14ac:dyDescent="0.3">
      <c r="E1795" s="9" t="str">
        <f>IF(DADOS!C1795="","",DADOS!C1795)</f>
        <v/>
      </c>
      <c r="F1795" s="9" t="str">
        <f>IF(DADOS!E1795="","",DADOS!E1795)</f>
        <v/>
      </c>
      <c r="G1795" s="9" t="str">
        <f>IF(DADOS!F1795="","",DADOS!F1795)</f>
        <v/>
      </c>
      <c r="K1795" s="6" t="str">
        <f t="shared" si="140"/>
        <v/>
      </c>
      <c r="L1795" s="7" t="str">
        <f t="shared" si="141"/>
        <v/>
      </c>
      <c r="M1795" s="7" t="str">
        <f t="shared" ref="M1795:M1858" si="143">IF(L1795="","",L1795*G1795)</f>
        <v/>
      </c>
      <c r="N1795" s="7" t="str">
        <f t="shared" si="142"/>
        <v/>
      </c>
      <c r="O1795" s="8"/>
      <c r="P1795" s="26"/>
      <c r="S1795" s="10" t="str">
        <f t="shared" ref="S1795:S1858" si="144">IF(R1795="","",SUMIFS($N$3:$N$10000,$E$3:$E$10000,R1795))</f>
        <v/>
      </c>
    </row>
    <row r="1796" spans="5:19" x14ac:dyDescent="0.3">
      <c r="E1796" s="9" t="str">
        <f>IF(DADOS!C1796="","",DADOS!C1796)</f>
        <v/>
      </c>
      <c r="F1796" s="9" t="str">
        <f>IF(DADOS!E1796="","",DADOS!E1796)</f>
        <v/>
      </c>
      <c r="G1796" s="9" t="str">
        <f>IF(DADOS!F1796="","",DADOS!F1796)</f>
        <v/>
      </c>
      <c r="K1796" s="6" t="str">
        <f t="shared" ref="K1796:K1859" si="145">IF(F1796="","",F1796/PI())</f>
        <v/>
      </c>
      <c r="L1796" s="7" t="str">
        <f t="shared" ref="L1796:L1859" si="146">IF(K1796="","",(PI()*K1796^2)/40000)</f>
        <v/>
      </c>
      <c r="M1796" s="7" t="str">
        <f t="shared" si="143"/>
        <v/>
      </c>
      <c r="N1796" s="7" t="str">
        <f t="shared" ref="N1796:N1859" si="147">IF(M1796="","",M1796*N$1)</f>
        <v/>
      </c>
      <c r="O1796" s="8"/>
      <c r="P1796" s="26"/>
      <c r="S1796" s="10" t="str">
        <f t="shared" si="144"/>
        <v/>
      </c>
    </row>
    <row r="1797" spans="5:19" x14ac:dyDescent="0.3">
      <c r="E1797" s="9" t="str">
        <f>IF(DADOS!C1797="","",DADOS!C1797)</f>
        <v/>
      </c>
      <c r="F1797" s="9" t="str">
        <f>IF(DADOS!E1797="","",DADOS!E1797)</f>
        <v/>
      </c>
      <c r="G1797" s="9" t="str">
        <f>IF(DADOS!F1797="","",DADOS!F1797)</f>
        <v/>
      </c>
      <c r="K1797" s="6" t="str">
        <f t="shared" si="145"/>
        <v/>
      </c>
      <c r="L1797" s="7" t="str">
        <f t="shared" si="146"/>
        <v/>
      </c>
      <c r="M1797" s="7" t="str">
        <f t="shared" si="143"/>
        <v/>
      </c>
      <c r="N1797" s="7" t="str">
        <f t="shared" si="147"/>
        <v/>
      </c>
      <c r="O1797" s="8"/>
      <c r="P1797" s="26"/>
      <c r="S1797" s="10" t="str">
        <f t="shared" si="144"/>
        <v/>
      </c>
    </row>
    <row r="1798" spans="5:19" x14ac:dyDescent="0.3">
      <c r="E1798" s="9" t="str">
        <f>IF(DADOS!C1798="","",DADOS!C1798)</f>
        <v/>
      </c>
      <c r="F1798" s="9" t="str">
        <f>IF(DADOS!E1798="","",DADOS!E1798)</f>
        <v/>
      </c>
      <c r="G1798" s="9" t="str">
        <f>IF(DADOS!F1798="","",DADOS!F1798)</f>
        <v/>
      </c>
      <c r="K1798" s="6" t="str">
        <f t="shared" si="145"/>
        <v/>
      </c>
      <c r="L1798" s="7" t="str">
        <f t="shared" si="146"/>
        <v/>
      </c>
      <c r="M1798" s="7" t="str">
        <f t="shared" si="143"/>
        <v/>
      </c>
      <c r="N1798" s="7" t="str">
        <f t="shared" si="147"/>
        <v/>
      </c>
      <c r="O1798" s="8"/>
      <c r="P1798" s="26"/>
      <c r="S1798" s="10" t="str">
        <f t="shared" si="144"/>
        <v/>
      </c>
    </row>
    <row r="1799" spans="5:19" x14ac:dyDescent="0.3">
      <c r="E1799" s="9" t="str">
        <f>IF(DADOS!C1799="","",DADOS!C1799)</f>
        <v/>
      </c>
      <c r="F1799" s="9" t="str">
        <f>IF(DADOS!E1799="","",DADOS!E1799)</f>
        <v/>
      </c>
      <c r="G1799" s="9" t="str">
        <f>IF(DADOS!F1799="","",DADOS!F1799)</f>
        <v/>
      </c>
      <c r="K1799" s="6" t="str">
        <f t="shared" si="145"/>
        <v/>
      </c>
      <c r="L1799" s="7" t="str">
        <f t="shared" si="146"/>
        <v/>
      </c>
      <c r="M1799" s="7" t="str">
        <f t="shared" si="143"/>
        <v/>
      </c>
      <c r="N1799" s="7" t="str">
        <f t="shared" si="147"/>
        <v/>
      </c>
      <c r="O1799" s="8"/>
      <c r="P1799" s="26"/>
      <c r="S1799" s="10" t="str">
        <f t="shared" si="144"/>
        <v/>
      </c>
    </row>
    <row r="1800" spans="5:19" x14ac:dyDescent="0.3">
      <c r="E1800" s="9" t="str">
        <f>IF(DADOS!C1800="","",DADOS!C1800)</f>
        <v/>
      </c>
      <c r="F1800" s="9" t="str">
        <f>IF(DADOS!E1800="","",DADOS!E1800)</f>
        <v/>
      </c>
      <c r="G1800" s="9" t="str">
        <f>IF(DADOS!F1800="","",DADOS!F1800)</f>
        <v/>
      </c>
      <c r="K1800" s="6" t="str">
        <f t="shared" si="145"/>
        <v/>
      </c>
      <c r="L1800" s="7" t="str">
        <f t="shared" si="146"/>
        <v/>
      </c>
      <c r="M1800" s="7" t="str">
        <f t="shared" si="143"/>
        <v/>
      </c>
      <c r="N1800" s="7" t="str">
        <f t="shared" si="147"/>
        <v/>
      </c>
      <c r="O1800" s="8"/>
      <c r="P1800" s="26"/>
      <c r="S1800" s="10" t="str">
        <f t="shared" si="144"/>
        <v/>
      </c>
    </row>
    <row r="1801" spans="5:19" x14ac:dyDescent="0.3">
      <c r="E1801" s="9" t="str">
        <f>IF(DADOS!C1801="","",DADOS!C1801)</f>
        <v/>
      </c>
      <c r="F1801" s="9" t="str">
        <f>IF(DADOS!E1801="","",DADOS!E1801)</f>
        <v/>
      </c>
      <c r="G1801" s="9" t="str">
        <f>IF(DADOS!F1801="","",DADOS!F1801)</f>
        <v/>
      </c>
      <c r="K1801" s="6" t="str">
        <f t="shared" si="145"/>
        <v/>
      </c>
      <c r="L1801" s="7" t="str">
        <f t="shared" si="146"/>
        <v/>
      </c>
      <c r="M1801" s="7" t="str">
        <f t="shared" si="143"/>
        <v/>
      </c>
      <c r="N1801" s="7" t="str">
        <f t="shared" si="147"/>
        <v/>
      </c>
      <c r="O1801" s="8"/>
      <c r="P1801" s="26"/>
      <c r="S1801" s="10" t="str">
        <f t="shared" si="144"/>
        <v/>
      </c>
    </row>
    <row r="1802" spans="5:19" x14ac:dyDescent="0.3">
      <c r="E1802" s="9" t="str">
        <f>IF(DADOS!C1802="","",DADOS!C1802)</f>
        <v/>
      </c>
      <c r="F1802" s="9" t="str">
        <f>IF(DADOS!E1802="","",DADOS!E1802)</f>
        <v/>
      </c>
      <c r="G1802" s="9" t="str">
        <f>IF(DADOS!F1802="","",DADOS!F1802)</f>
        <v/>
      </c>
      <c r="K1802" s="6" t="str">
        <f t="shared" si="145"/>
        <v/>
      </c>
      <c r="L1802" s="7" t="str">
        <f t="shared" si="146"/>
        <v/>
      </c>
      <c r="M1802" s="7" t="str">
        <f t="shared" si="143"/>
        <v/>
      </c>
      <c r="N1802" s="7" t="str">
        <f t="shared" si="147"/>
        <v/>
      </c>
      <c r="O1802" s="8"/>
      <c r="P1802" s="26"/>
      <c r="S1802" s="10" t="str">
        <f t="shared" si="144"/>
        <v/>
      </c>
    </row>
    <row r="1803" spans="5:19" x14ac:dyDescent="0.3">
      <c r="E1803" s="9" t="str">
        <f>IF(DADOS!C1803="","",DADOS!C1803)</f>
        <v/>
      </c>
      <c r="F1803" s="9" t="str">
        <f>IF(DADOS!E1803="","",DADOS!E1803)</f>
        <v/>
      </c>
      <c r="G1803" s="9" t="str">
        <f>IF(DADOS!F1803="","",DADOS!F1803)</f>
        <v/>
      </c>
      <c r="K1803" s="6" t="str">
        <f t="shared" si="145"/>
        <v/>
      </c>
      <c r="L1803" s="7" t="str">
        <f t="shared" si="146"/>
        <v/>
      </c>
      <c r="M1803" s="7" t="str">
        <f t="shared" si="143"/>
        <v/>
      </c>
      <c r="N1803" s="7" t="str">
        <f t="shared" si="147"/>
        <v/>
      </c>
      <c r="O1803" s="8"/>
      <c r="P1803" s="26"/>
      <c r="S1803" s="10" t="str">
        <f t="shared" si="144"/>
        <v/>
      </c>
    </row>
    <row r="1804" spans="5:19" x14ac:dyDescent="0.3">
      <c r="E1804" s="9" t="str">
        <f>IF(DADOS!C1804="","",DADOS!C1804)</f>
        <v/>
      </c>
      <c r="F1804" s="9" t="str">
        <f>IF(DADOS!E1804="","",DADOS!E1804)</f>
        <v/>
      </c>
      <c r="G1804" s="9" t="str">
        <f>IF(DADOS!F1804="","",DADOS!F1804)</f>
        <v/>
      </c>
      <c r="K1804" s="6" t="str">
        <f t="shared" si="145"/>
        <v/>
      </c>
      <c r="L1804" s="7" t="str">
        <f t="shared" si="146"/>
        <v/>
      </c>
      <c r="M1804" s="7" t="str">
        <f t="shared" si="143"/>
        <v/>
      </c>
      <c r="N1804" s="7" t="str">
        <f t="shared" si="147"/>
        <v/>
      </c>
      <c r="O1804" s="8"/>
      <c r="P1804" s="26"/>
      <c r="S1804" s="10" t="str">
        <f t="shared" si="144"/>
        <v/>
      </c>
    </row>
    <row r="1805" spans="5:19" x14ac:dyDescent="0.3">
      <c r="E1805" s="9" t="str">
        <f>IF(DADOS!C1805="","",DADOS!C1805)</f>
        <v/>
      </c>
      <c r="F1805" s="9" t="str">
        <f>IF(DADOS!E1805="","",DADOS!E1805)</f>
        <v/>
      </c>
      <c r="G1805" s="9" t="str">
        <f>IF(DADOS!F1805="","",DADOS!F1805)</f>
        <v/>
      </c>
      <c r="K1805" s="6" t="str">
        <f t="shared" si="145"/>
        <v/>
      </c>
      <c r="L1805" s="7" t="str">
        <f t="shared" si="146"/>
        <v/>
      </c>
      <c r="M1805" s="7" t="str">
        <f t="shared" si="143"/>
        <v/>
      </c>
      <c r="N1805" s="7" t="str">
        <f t="shared" si="147"/>
        <v/>
      </c>
      <c r="O1805" s="8"/>
      <c r="P1805" s="26"/>
      <c r="S1805" s="10" t="str">
        <f t="shared" si="144"/>
        <v/>
      </c>
    </row>
    <row r="1806" spans="5:19" x14ac:dyDescent="0.3">
      <c r="E1806" s="9" t="str">
        <f>IF(DADOS!C1806="","",DADOS!C1806)</f>
        <v/>
      </c>
      <c r="F1806" s="9" t="str">
        <f>IF(DADOS!E1806="","",DADOS!E1806)</f>
        <v/>
      </c>
      <c r="G1806" s="9" t="str">
        <f>IF(DADOS!F1806="","",DADOS!F1806)</f>
        <v/>
      </c>
      <c r="K1806" s="6" t="str">
        <f t="shared" si="145"/>
        <v/>
      </c>
      <c r="L1806" s="7" t="str">
        <f t="shared" si="146"/>
        <v/>
      </c>
      <c r="M1806" s="7" t="str">
        <f t="shared" si="143"/>
        <v/>
      </c>
      <c r="N1806" s="7" t="str">
        <f t="shared" si="147"/>
        <v/>
      </c>
      <c r="O1806" s="8"/>
      <c r="P1806" s="26"/>
      <c r="S1806" s="10" t="str">
        <f t="shared" si="144"/>
        <v/>
      </c>
    </row>
    <row r="1807" spans="5:19" x14ac:dyDescent="0.3">
      <c r="E1807" s="9" t="str">
        <f>IF(DADOS!C1807="","",DADOS!C1807)</f>
        <v/>
      </c>
      <c r="F1807" s="9" t="str">
        <f>IF(DADOS!E1807="","",DADOS!E1807)</f>
        <v/>
      </c>
      <c r="G1807" s="9" t="str">
        <f>IF(DADOS!F1807="","",DADOS!F1807)</f>
        <v/>
      </c>
      <c r="K1807" s="6" t="str">
        <f t="shared" si="145"/>
        <v/>
      </c>
      <c r="L1807" s="7" t="str">
        <f t="shared" si="146"/>
        <v/>
      </c>
      <c r="M1807" s="7" t="str">
        <f t="shared" si="143"/>
        <v/>
      </c>
      <c r="N1807" s="7" t="str">
        <f t="shared" si="147"/>
        <v/>
      </c>
      <c r="O1807" s="8"/>
      <c r="P1807" s="26"/>
      <c r="S1807" s="10" t="str">
        <f t="shared" si="144"/>
        <v/>
      </c>
    </row>
    <row r="1808" spans="5:19" x14ac:dyDescent="0.3">
      <c r="E1808" s="9" t="str">
        <f>IF(DADOS!C1808="","",DADOS!C1808)</f>
        <v/>
      </c>
      <c r="F1808" s="9" t="str">
        <f>IF(DADOS!E1808="","",DADOS!E1808)</f>
        <v/>
      </c>
      <c r="G1808" s="9" t="str">
        <f>IF(DADOS!F1808="","",DADOS!F1808)</f>
        <v/>
      </c>
      <c r="K1808" s="6" t="str">
        <f t="shared" si="145"/>
        <v/>
      </c>
      <c r="L1808" s="7" t="str">
        <f t="shared" si="146"/>
        <v/>
      </c>
      <c r="M1808" s="7" t="str">
        <f t="shared" si="143"/>
        <v/>
      </c>
      <c r="N1808" s="7" t="str">
        <f t="shared" si="147"/>
        <v/>
      </c>
      <c r="O1808" s="8"/>
      <c r="P1808" s="26"/>
      <c r="S1808" s="10" t="str">
        <f t="shared" si="144"/>
        <v/>
      </c>
    </row>
    <row r="1809" spans="5:19" x14ac:dyDescent="0.3">
      <c r="E1809" s="9" t="str">
        <f>IF(DADOS!C1809="","",DADOS!C1809)</f>
        <v/>
      </c>
      <c r="F1809" s="9" t="str">
        <f>IF(DADOS!E1809="","",DADOS!E1809)</f>
        <v/>
      </c>
      <c r="G1809" s="9" t="str">
        <f>IF(DADOS!F1809="","",DADOS!F1809)</f>
        <v/>
      </c>
      <c r="K1809" s="6" t="str">
        <f t="shared" si="145"/>
        <v/>
      </c>
      <c r="L1809" s="7" t="str">
        <f t="shared" si="146"/>
        <v/>
      </c>
      <c r="M1809" s="7" t="str">
        <f t="shared" si="143"/>
        <v/>
      </c>
      <c r="N1809" s="7" t="str">
        <f t="shared" si="147"/>
        <v/>
      </c>
      <c r="O1809" s="8"/>
      <c r="P1809" s="26"/>
      <c r="S1809" s="10" t="str">
        <f t="shared" si="144"/>
        <v/>
      </c>
    </row>
    <row r="1810" spans="5:19" x14ac:dyDescent="0.3">
      <c r="E1810" s="9" t="str">
        <f>IF(DADOS!C1810="","",DADOS!C1810)</f>
        <v/>
      </c>
      <c r="F1810" s="9" t="str">
        <f>IF(DADOS!E1810="","",DADOS!E1810)</f>
        <v/>
      </c>
      <c r="G1810" s="9" t="str">
        <f>IF(DADOS!F1810="","",DADOS!F1810)</f>
        <v/>
      </c>
      <c r="K1810" s="6" t="str">
        <f t="shared" si="145"/>
        <v/>
      </c>
      <c r="L1810" s="7" t="str">
        <f t="shared" si="146"/>
        <v/>
      </c>
      <c r="M1810" s="7" t="str">
        <f t="shared" si="143"/>
        <v/>
      </c>
      <c r="N1810" s="7" t="str">
        <f t="shared" si="147"/>
        <v/>
      </c>
      <c r="O1810" s="8"/>
      <c r="P1810" s="26"/>
      <c r="S1810" s="10" t="str">
        <f t="shared" si="144"/>
        <v/>
      </c>
    </row>
    <row r="1811" spans="5:19" x14ac:dyDescent="0.3">
      <c r="E1811" s="9" t="str">
        <f>IF(DADOS!C1811="","",DADOS!C1811)</f>
        <v/>
      </c>
      <c r="F1811" s="9" t="str">
        <f>IF(DADOS!E1811="","",DADOS!E1811)</f>
        <v/>
      </c>
      <c r="G1811" s="9" t="str">
        <f>IF(DADOS!F1811="","",DADOS!F1811)</f>
        <v/>
      </c>
      <c r="K1811" s="6" t="str">
        <f t="shared" si="145"/>
        <v/>
      </c>
      <c r="L1811" s="7" t="str">
        <f t="shared" si="146"/>
        <v/>
      </c>
      <c r="M1811" s="7" t="str">
        <f t="shared" si="143"/>
        <v/>
      </c>
      <c r="N1811" s="7" t="str">
        <f t="shared" si="147"/>
        <v/>
      </c>
      <c r="O1811" s="8"/>
      <c r="P1811" s="26"/>
      <c r="S1811" s="10" t="str">
        <f t="shared" si="144"/>
        <v/>
      </c>
    </row>
    <row r="1812" spans="5:19" x14ac:dyDescent="0.3">
      <c r="E1812" s="9" t="str">
        <f>IF(DADOS!C1812="","",DADOS!C1812)</f>
        <v/>
      </c>
      <c r="F1812" s="9" t="str">
        <f>IF(DADOS!E1812="","",DADOS!E1812)</f>
        <v/>
      </c>
      <c r="G1812" s="9" t="str">
        <f>IF(DADOS!F1812="","",DADOS!F1812)</f>
        <v/>
      </c>
      <c r="K1812" s="6" t="str">
        <f t="shared" si="145"/>
        <v/>
      </c>
      <c r="L1812" s="7" t="str">
        <f t="shared" si="146"/>
        <v/>
      </c>
      <c r="M1812" s="7" t="str">
        <f t="shared" si="143"/>
        <v/>
      </c>
      <c r="N1812" s="7" t="str">
        <f t="shared" si="147"/>
        <v/>
      </c>
      <c r="O1812" s="8"/>
      <c r="P1812" s="26"/>
      <c r="S1812" s="10" t="str">
        <f t="shared" si="144"/>
        <v/>
      </c>
    </row>
    <row r="1813" spans="5:19" x14ac:dyDescent="0.3">
      <c r="E1813" s="9" t="str">
        <f>IF(DADOS!C1813="","",DADOS!C1813)</f>
        <v/>
      </c>
      <c r="F1813" s="9" t="str">
        <f>IF(DADOS!E1813="","",DADOS!E1813)</f>
        <v/>
      </c>
      <c r="G1813" s="9" t="str">
        <f>IF(DADOS!F1813="","",DADOS!F1813)</f>
        <v/>
      </c>
      <c r="K1813" s="6" t="str">
        <f t="shared" si="145"/>
        <v/>
      </c>
      <c r="L1813" s="7" t="str">
        <f t="shared" si="146"/>
        <v/>
      </c>
      <c r="M1813" s="7" t="str">
        <f t="shared" si="143"/>
        <v/>
      </c>
      <c r="N1813" s="7" t="str">
        <f t="shared" si="147"/>
        <v/>
      </c>
      <c r="O1813" s="8"/>
      <c r="P1813" s="26"/>
      <c r="S1813" s="10" t="str">
        <f t="shared" si="144"/>
        <v/>
      </c>
    </row>
    <row r="1814" spans="5:19" x14ac:dyDescent="0.3">
      <c r="E1814" s="9" t="str">
        <f>IF(DADOS!C1814="","",DADOS!C1814)</f>
        <v/>
      </c>
      <c r="F1814" s="9" t="str">
        <f>IF(DADOS!E1814="","",DADOS!E1814)</f>
        <v/>
      </c>
      <c r="G1814" s="9" t="str">
        <f>IF(DADOS!F1814="","",DADOS!F1814)</f>
        <v/>
      </c>
      <c r="K1814" s="6" t="str">
        <f t="shared" si="145"/>
        <v/>
      </c>
      <c r="L1814" s="7" t="str">
        <f t="shared" si="146"/>
        <v/>
      </c>
      <c r="M1814" s="7" t="str">
        <f t="shared" si="143"/>
        <v/>
      </c>
      <c r="N1814" s="7" t="str">
        <f t="shared" si="147"/>
        <v/>
      </c>
      <c r="O1814" s="8"/>
      <c r="P1814" s="26"/>
      <c r="S1814" s="10" t="str">
        <f t="shared" si="144"/>
        <v/>
      </c>
    </row>
    <row r="1815" spans="5:19" x14ac:dyDescent="0.3">
      <c r="E1815" s="9" t="str">
        <f>IF(DADOS!C1815="","",DADOS!C1815)</f>
        <v/>
      </c>
      <c r="F1815" s="9" t="str">
        <f>IF(DADOS!E1815="","",DADOS!E1815)</f>
        <v/>
      </c>
      <c r="G1815" s="9" t="str">
        <f>IF(DADOS!F1815="","",DADOS!F1815)</f>
        <v/>
      </c>
      <c r="K1815" s="6" t="str">
        <f t="shared" si="145"/>
        <v/>
      </c>
      <c r="L1815" s="7" t="str">
        <f t="shared" si="146"/>
        <v/>
      </c>
      <c r="M1815" s="7" t="str">
        <f t="shared" si="143"/>
        <v/>
      </c>
      <c r="N1815" s="7" t="str">
        <f t="shared" si="147"/>
        <v/>
      </c>
      <c r="O1815" s="8"/>
      <c r="P1815" s="26"/>
      <c r="S1815" s="10" t="str">
        <f t="shared" si="144"/>
        <v/>
      </c>
    </row>
    <row r="1816" spans="5:19" x14ac:dyDescent="0.3">
      <c r="E1816" s="9" t="str">
        <f>IF(DADOS!C1816="","",DADOS!C1816)</f>
        <v/>
      </c>
      <c r="F1816" s="9" t="str">
        <f>IF(DADOS!E1816="","",DADOS!E1816)</f>
        <v/>
      </c>
      <c r="G1816" s="9" t="str">
        <f>IF(DADOS!F1816="","",DADOS!F1816)</f>
        <v/>
      </c>
      <c r="K1816" s="6" t="str">
        <f t="shared" si="145"/>
        <v/>
      </c>
      <c r="L1816" s="7" t="str">
        <f t="shared" si="146"/>
        <v/>
      </c>
      <c r="M1816" s="7" t="str">
        <f t="shared" si="143"/>
        <v/>
      </c>
      <c r="N1816" s="7" t="str">
        <f t="shared" si="147"/>
        <v/>
      </c>
      <c r="O1816" s="8"/>
      <c r="P1816" s="26"/>
      <c r="S1816" s="10" t="str">
        <f t="shared" si="144"/>
        <v/>
      </c>
    </row>
    <row r="1817" spans="5:19" x14ac:dyDescent="0.3">
      <c r="E1817" s="9" t="str">
        <f>IF(DADOS!C1817="","",DADOS!C1817)</f>
        <v/>
      </c>
      <c r="F1817" s="9" t="str">
        <f>IF(DADOS!E1817="","",DADOS!E1817)</f>
        <v/>
      </c>
      <c r="G1817" s="9" t="str">
        <f>IF(DADOS!F1817="","",DADOS!F1817)</f>
        <v/>
      </c>
      <c r="K1817" s="6" t="str">
        <f t="shared" si="145"/>
        <v/>
      </c>
      <c r="L1817" s="7" t="str">
        <f t="shared" si="146"/>
        <v/>
      </c>
      <c r="M1817" s="7" t="str">
        <f t="shared" si="143"/>
        <v/>
      </c>
      <c r="N1817" s="7" t="str">
        <f t="shared" si="147"/>
        <v/>
      </c>
      <c r="O1817" s="8"/>
      <c r="P1817" s="26"/>
      <c r="S1817" s="10" t="str">
        <f t="shared" si="144"/>
        <v/>
      </c>
    </row>
    <row r="1818" spans="5:19" x14ac:dyDescent="0.3">
      <c r="E1818" s="9" t="str">
        <f>IF(DADOS!C1818="","",DADOS!C1818)</f>
        <v/>
      </c>
      <c r="F1818" s="9" t="str">
        <f>IF(DADOS!E1818="","",DADOS!E1818)</f>
        <v/>
      </c>
      <c r="G1818" s="9" t="str">
        <f>IF(DADOS!F1818="","",DADOS!F1818)</f>
        <v/>
      </c>
      <c r="K1818" s="6" t="str">
        <f t="shared" si="145"/>
        <v/>
      </c>
      <c r="L1818" s="7" t="str">
        <f t="shared" si="146"/>
        <v/>
      </c>
      <c r="M1818" s="7" t="str">
        <f t="shared" si="143"/>
        <v/>
      </c>
      <c r="N1818" s="7" t="str">
        <f t="shared" si="147"/>
        <v/>
      </c>
      <c r="O1818" s="8"/>
      <c r="P1818" s="26"/>
      <c r="S1818" s="10" t="str">
        <f t="shared" si="144"/>
        <v/>
      </c>
    </row>
    <row r="1819" spans="5:19" x14ac:dyDescent="0.3">
      <c r="E1819" s="9" t="str">
        <f>IF(DADOS!C1819="","",DADOS!C1819)</f>
        <v/>
      </c>
      <c r="F1819" s="9" t="str">
        <f>IF(DADOS!E1819="","",DADOS!E1819)</f>
        <v/>
      </c>
      <c r="G1819" s="9" t="str">
        <f>IF(DADOS!F1819="","",DADOS!F1819)</f>
        <v/>
      </c>
      <c r="K1819" s="6" t="str">
        <f t="shared" si="145"/>
        <v/>
      </c>
      <c r="L1819" s="7" t="str">
        <f t="shared" si="146"/>
        <v/>
      </c>
      <c r="M1819" s="7" t="str">
        <f t="shared" si="143"/>
        <v/>
      </c>
      <c r="N1819" s="7" t="str">
        <f t="shared" si="147"/>
        <v/>
      </c>
      <c r="O1819" s="8"/>
      <c r="P1819" s="26"/>
      <c r="S1819" s="10" t="str">
        <f t="shared" si="144"/>
        <v/>
      </c>
    </row>
    <row r="1820" spans="5:19" x14ac:dyDescent="0.3">
      <c r="E1820" s="9" t="str">
        <f>IF(DADOS!C1820="","",DADOS!C1820)</f>
        <v/>
      </c>
      <c r="F1820" s="9" t="str">
        <f>IF(DADOS!E1820="","",DADOS!E1820)</f>
        <v/>
      </c>
      <c r="G1820" s="9" t="str">
        <f>IF(DADOS!F1820="","",DADOS!F1820)</f>
        <v/>
      </c>
      <c r="K1820" s="6" t="str">
        <f t="shared" si="145"/>
        <v/>
      </c>
      <c r="L1820" s="7" t="str">
        <f t="shared" si="146"/>
        <v/>
      </c>
      <c r="M1820" s="7" t="str">
        <f t="shared" si="143"/>
        <v/>
      </c>
      <c r="N1820" s="7" t="str">
        <f t="shared" si="147"/>
        <v/>
      </c>
      <c r="O1820" s="8"/>
      <c r="P1820" s="26"/>
      <c r="S1820" s="10" t="str">
        <f t="shared" si="144"/>
        <v/>
      </c>
    </row>
    <row r="1821" spans="5:19" x14ac:dyDescent="0.3">
      <c r="E1821" s="9" t="str">
        <f>IF(DADOS!C1821="","",DADOS!C1821)</f>
        <v/>
      </c>
      <c r="F1821" s="9" t="str">
        <f>IF(DADOS!E1821="","",DADOS!E1821)</f>
        <v/>
      </c>
      <c r="G1821" s="9" t="str">
        <f>IF(DADOS!F1821="","",DADOS!F1821)</f>
        <v/>
      </c>
      <c r="K1821" s="6" t="str">
        <f t="shared" si="145"/>
        <v/>
      </c>
      <c r="L1821" s="7" t="str">
        <f t="shared" si="146"/>
        <v/>
      </c>
      <c r="M1821" s="7" t="str">
        <f t="shared" si="143"/>
        <v/>
      </c>
      <c r="N1821" s="7" t="str">
        <f t="shared" si="147"/>
        <v/>
      </c>
      <c r="O1821" s="8"/>
      <c r="P1821" s="26"/>
      <c r="S1821" s="10" t="str">
        <f t="shared" si="144"/>
        <v/>
      </c>
    </row>
    <row r="1822" spans="5:19" x14ac:dyDescent="0.3">
      <c r="E1822" s="9" t="str">
        <f>IF(DADOS!C1822="","",DADOS!C1822)</f>
        <v/>
      </c>
      <c r="F1822" s="9" t="str">
        <f>IF(DADOS!E1822="","",DADOS!E1822)</f>
        <v/>
      </c>
      <c r="G1822" s="9" t="str">
        <f>IF(DADOS!F1822="","",DADOS!F1822)</f>
        <v/>
      </c>
      <c r="K1822" s="6" t="str">
        <f t="shared" si="145"/>
        <v/>
      </c>
      <c r="L1822" s="7" t="str">
        <f t="shared" si="146"/>
        <v/>
      </c>
      <c r="M1822" s="7" t="str">
        <f t="shared" si="143"/>
        <v/>
      </c>
      <c r="N1822" s="7" t="str">
        <f t="shared" si="147"/>
        <v/>
      </c>
      <c r="O1822" s="8"/>
      <c r="P1822" s="26"/>
      <c r="S1822" s="10" t="str">
        <f t="shared" si="144"/>
        <v/>
      </c>
    </row>
    <row r="1823" spans="5:19" x14ac:dyDescent="0.3">
      <c r="E1823" s="9" t="str">
        <f>IF(DADOS!C1823="","",DADOS!C1823)</f>
        <v/>
      </c>
      <c r="F1823" s="9" t="str">
        <f>IF(DADOS!E1823="","",DADOS!E1823)</f>
        <v/>
      </c>
      <c r="G1823" s="9" t="str">
        <f>IF(DADOS!F1823="","",DADOS!F1823)</f>
        <v/>
      </c>
      <c r="K1823" s="6" t="str">
        <f t="shared" si="145"/>
        <v/>
      </c>
      <c r="L1823" s="7" t="str">
        <f t="shared" si="146"/>
        <v/>
      </c>
      <c r="M1823" s="7" t="str">
        <f t="shared" si="143"/>
        <v/>
      </c>
      <c r="N1823" s="7" t="str">
        <f t="shared" si="147"/>
        <v/>
      </c>
      <c r="O1823" s="8"/>
      <c r="P1823" s="26"/>
      <c r="S1823" s="10" t="str">
        <f t="shared" si="144"/>
        <v/>
      </c>
    </row>
    <row r="1824" spans="5:19" x14ac:dyDescent="0.3">
      <c r="E1824" s="9" t="str">
        <f>IF(DADOS!C1824="","",DADOS!C1824)</f>
        <v/>
      </c>
      <c r="F1824" s="9" t="str">
        <f>IF(DADOS!E1824="","",DADOS!E1824)</f>
        <v/>
      </c>
      <c r="G1824" s="9" t="str">
        <f>IF(DADOS!F1824="","",DADOS!F1824)</f>
        <v/>
      </c>
      <c r="K1824" s="6" t="str">
        <f t="shared" si="145"/>
        <v/>
      </c>
      <c r="L1824" s="7" t="str">
        <f t="shared" si="146"/>
        <v/>
      </c>
      <c r="M1824" s="7" t="str">
        <f t="shared" si="143"/>
        <v/>
      </c>
      <c r="N1824" s="7" t="str">
        <f t="shared" si="147"/>
        <v/>
      </c>
      <c r="O1824" s="8"/>
      <c r="P1824" s="26"/>
      <c r="S1824" s="10" t="str">
        <f t="shared" si="144"/>
        <v/>
      </c>
    </row>
    <row r="1825" spans="5:19" x14ac:dyDescent="0.3">
      <c r="E1825" s="9" t="str">
        <f>IF(DADOS!C1825="","",DADOS!C1825)</f>
        <v/>
      </c>
      <c r="F1825" s="9" t="str">
        <f>IF(DADOS!E1825="","",DADOS!E1825)</f>
        <v/>
      </c>
      <c r="G1825" s="9" t="str">
        <f>IF(DADOS!F1825="","",DADOS!F1825)</f>
        <v/>
      </c>
      <c r="K1825" s="6" t="str">
        <f t="shared" si="145"/>
        <v/>
      </c>
      <c r="L1825" s="7" t="str">
        <f t="shared" si="146"/>
        <v/>
      </c>
      <c r="M1825" s="7" t="str">
        <f t="shared" si="143"/>
        <v/>
      </c>
      <c r="N1825" s="7" t="str">
        <f t="shared" si="147"/>
        <v/>
      </c>
      <c r="O1825" s="8"/>
      <c r="P1825" s="26"/>
      <c r="S1825" s="10" t="str">
        <f t="shared" si="144"/>
        <v/>
      </c>
    </row>
    <row r="1826" spans="5:19" x14ac:dyDescent="0.3">
      <c r="E1826" s="9" t="str">
        <f>IF(DADOS!C1826="","",DADOS!C1826)</f>
        <v/>
      </c>
      <c r="F1826" s="9" t="str">
        <f>IF(DADOS!E1826="","",DADOS!E1826)</f>
        <v/>
      </c>
      <c r="G1826" s="9" t="str">
        <f>IF(DADOS!F1826="","",DADOS!F1826)</f>
        <v/>
      </c>
      <c r="K1826" s="6" t="str">
        <f t="shared" si="145"/>
        <v/>
      </c>
      <c r="L1826" s="7" t="str">
        <f t="shared" si="146"/>
        <v/>
      </c>
      <c r="M1826" s="7" t="str">
        <f t="shared" si="143"/>
        <v/>
      </c>
      <c r="N1826" s="7" t="str">
        <f t="shared" si="147"/>
        <v/>
      </c>
      <c r="O1826" s="8"/>
      <c r="P1826" s="26"/>
      <c r="S1826" s="10" t="str">
        <f t="shared" si="144"/>
        <v/>
      </c>
    </row>
    <row r="1827" spans="5:19" x14ac:dyDescent="0.3">
      <c r="E1827" s="9" t="str">
        <f>IF(DADOS!C1827="","",DADOS!C1827)</f>
        <v/>
      </c>
      <c r="F1827" s="9" t="str">
        <f>IF(DADOS!E1827="","",DADOS!E1827)</f>
        <v/>
      </c>
      <c r="G1827" s="9" t="str">
        <f>IF(DADOS!F1827="","",DADOS!F1827)</f>
        <v/>
      </c>
      <c r="K1827" s="6" t="str">
        <f t="shared" si="145"/>
        <v/>
      </c>
      <c r="L1827" s="7" t="str">
        <f t="shared" si="146"/>
        <v/>
      </c>
      <c r="M1827" s="7" t="str">
        <f t="shared" si="143"/>
        <v/>
      </c>
      <c r="N1827" s="7" t="str">
        <f t="shared" si="147"/>
        <v/>
      </c>
      <c r="O1827" s="8"/>
      <c r="P1827" s="26"/>
      <c r="S1827" s="10" t="str">
        <f t="shared" si="144"/>
        <v/>
      </c>
    </row>
    <row r="1828" spans="5:19" x14ac:dyDescent="0.3">
      <c r="E1828" s="9" t="str">
        <f>IF(DADOS!C1828="","",DADOS!C1828)</f>
        <v/>
      </c>
      <c r="F1828" s="9" t="str">
        <f>IF(DADOS!E1828="","",DADOS!E1828)</f>
        <v/>
      </c>
      <c r="G1828" s="9" t="str">
        <f>IF(DADOS!F1828="","",DADOS!F1828)</f>
        <v/>
      </c>
      <c r="K1828" s="6" t="str">
        <f t="shared" si="145"/>
        <v/>
      </c>
      <c r="L1828" s="7" t="str">
        <f t="shared" si="146"/>
        <v/>
      </c>
      <c r="M1828" s="7" t="str">
        <f t="shared" si="143"/>
        <v/>
      </c>
      <c r="N1828" s="7" t="str">
        <f t="shared" si="147"/>
        <v/>
      </c>
      <c r="O1828" s="8"/>
      <c r="P1828" s="26"/>
      <c r="S1828" s="10" t="str">
        <f t="shared" si="144"/>
        <v/>
      </c>
    </row>
    <row r="1829" spans="5:19" x14ac:dyDescent="0.3">
      <c r="E1829" s="9" t="str">
        <f>IF(DADOS!C1829="","",DADOS!C1829)</f>
        <v/>
      </c>
      <c r="F1829" s="9" t="str">
        <f>IF(DADOS!E1829="","",DADOS!E1829)</f>
        <v/>
      </c>
      <c r="G1829" s="9" t="str">
        <f>IF(DADOS!F1829="","",DADOS!F1829)</f>
        <v/>
      </c>
      <c r="K1829" s="6" t="str">
        <f t="shared" si="145"/>
        <v/>
      </c>
      <c r="L1829" s="7" t="str">
        <f t="shared" si="146"/>
        <v/>
      </c>
      <c r="M1829" s="7" t="str">
        <f t="shared" si="143"/>
        <v/>
      </c>
      <c r="N1829" s="7" t="str">
        <f t="shared" si="147"/>
        <v/>
      </c>
      <c r="O1829" s="8"/>
      <c r="P1829" s="26"/>
      <c r="S1829" s="10" t="str">
        <f t="shared" si="144"/>
        <v/>
      </c>
    </row>
    <row r="1830" spans="5:19" x14ac:dyDescent="0.3">
      <c r="E1830" s="9" t="str">
        <f>IF(DADOS!C1830="","",DADOS!C1830)</f>
        <v/>
      </c>
      <c r="F1830" s="9" t="str">
        <f>IF(DADOS!E1830="","",DADOS!E1830)</f>
        <v/>
      </c>
      <c r="G1830" s="9" t="str">
        <f>IF(DADOS!F1830="","",DADOS!F1830)</f>
        <v/>
      </c>
      <c r="K1830" s="6" t="str">
        <f t="shared" si="145"/>
        <v/>
      </c>
      <c r="L1830" s="7" t="str">
        <f t="shared" si="146"/>
        <v/>
      </c>
      <c r="M1830" s="7" t="str">
        <f t="shared" si="143"/>
        <v/>
      </c>
      <c r="N1830" s="7" t="str">
        <f t="shared" si="147"/>
        <v/>
      </c>
      <c r="O1830" s="8"/>
      <c r="P1830" s="26"/>
      <c r="S1830" s="10" t="str">
        <f t="shared" si="144"/>
        <v/>
      </c>
    </row>
    <row r="1831" spans="5:19" x14ac:dyDescent="0.3">
      <c r="E1831" s="9" t="str">
        <f>IF(DADOS!C1831="","",DADOS!C1831)</f>
        <v/>
      </c>
      <c r="F1831" s="9" t="str">
        <f>IF(DADOS!E1831="","",DADOS!E1831)</f>
        <v/>
      </c>
      <c r="G1831" s="9" t="str">
        <f>IF(DADOS!F1831="","",DADOS!F1831)</f>
        <v/>
      </c>
      <c r="K1831" s="6" t="str">
        <f t="shared" si="145"/>
        <v/>
      </c>
      <c r="L1831" s="7" t="str">
        <f t="shared" si="146"/>
        <v/>
      </c>
      <c r="M1831" s="7" t="str">
        <f t="shared" si="143"/>
        <v/>
      </c>
      <c r="N1831" s="7" t="str">
        <f t="shared" si="147"/>
        <v/>
      </c>
      <c r="O1831" s="8"/>
      <c r="P1831" s="26"/>
      <c r="S1831" s="10" t="str">
        <f t="shared" si="144"/>
        <v/>
      </c>
    </row>
    <row r="1832" spans="5:19" x14ac:dyDescent="0.3">
      <c r="E1832" s="9" t="str">
        <f>IF(DADOS!C1832="","",DADOS!C1832)</f>
        <v/>
      </c>
      <c r="F1832" s="9" t="str">
        <f>IF(DADOS!E1832="","",DADOS!E1832)</f>
        <v/>
      </c>
      <c r="G1832" s="9" t="str">
        <f>IF(DADOS!F1832="","",DADOS!F1832)</f>
        <v/>
      </c>
      <c r="K1832" s="6" t="str">
        <f t="shared" si="145"/>
        <v/>
      </c>
      <c r="L1832" s="7" t="str">
        <f t="shared" si="146"/>
        <v/>
      </c>
      <c r="M1832" s="7" t="str">
        <f t="shared" si="143"/>
        <v/>
      </c>
      <c r="N1832" s="7" t="str">
        <f t="shared" si="147"/>
        <v/>
      </c>
      <c r="O1832" s="8"/>
      <c r="P1832" s="26"/>
      <c r="S1832" s="10" t="str">
        <f t="shared" si="144"/>
        <v/>
      </c>
    </row>
    <row r="1833" spans="5:19" x14ac:dyDescent="0.3">
      <c r="E1833" s="9" t="str">
        <f>IF(DADOS!C1833="","",DADOS!C1833)</f>
        <v/>
      </c>
      <c r="F1833" s="9" t="str">
        <f>IF(DADOS!E1833="","",DADOS!E1833)</f>
        <v/>
      </c>
      <c r="G1833" s="9" t="str">
        <f>IF(DADOS!F1833="","",DADOS!F1833)</f>
        <v/>
      </c>
      <c r="K1833" s="6" t="str">
        <f t="shared" si="145"/>
        <v/>
      </c>
      <c r="L1833" s="7" t="str">
        <f t="shared" si="146"/>
        <v/>
      </c>
      <c r="M1833" s="7" t="str">
        <f t="shared" si="143"/>
        <v/>
      </c>
      <c r="N1833" s="7" t="str">
        <f t="shared" si="147"/>
        <v/>
      </c>
      <c r="O1833" s="8"/>
      <c r="P1833" s="26"/>
      <c r="S1833" s="10" t="str">
        <f t="shared" si="144"/>
        <v/>
      </c>
    </row>
    <row r="1834" spans="5:19" x14ac:dyDescent="0.3">
      <c r="E1834" s="9" t="str">
        <f>IF(DADOS!C1834="","",DADOS!C1834)</f>
        <v/>
      </c>
      <c r="F1834" s="9" t="str">
        <f>IF(DADOS!E1834="","",DADOS!E1834)</f>
        <v/>
      </c>
      <c r="G1834" s="9" t="str">
        <f>IF(DADOS!F1834="","",DADOS!F1834)</f>
        <v/>
      </c>
      <c r="K1834" s="6" t="str">
        <f t="shared" si="145"/>
        <v/>
      </c>
      <c r="L1834" s="7" t="str">
        <f t="shared" si="146"/>
        <v/>
      </c>
      <c r="M1834" s="7" t="str">
        <f t="shared" si="143"/>
        <v/>
      </c>
      <c r="N1834" s="7" t="str">
        <f t="shared" si="147"/>
        <v/>
      </c>
      <c r="O1834" s="8"/>
      <c r="P1834" s="26"/>
      <c r="S1834" s="10" t="str">
        <f t="shared" si="144"/>
        <v/>
      </c>
    </row>
    <row r="1835" spans="5:19" x14ac:dyDescent="0.3">
      <c r="E1835" s="9" t="str">
        <f>IF(DADOS!C1835="","",DADOS!C1835)</f>
        <v/>
      </c>
      <c r="F1835" s="9" t="str">
        <f>IF(DADOS!E1835="","",DADOS!E1835)</f>
        <v/>
      </c>
      <c r="G1835" s="9" t="str">
        <f>IF(DADOS!F1835="","",DADOS!F1835)</f>
        <v/>
      </c>
      <c r="K1835" s="6" t="str">
        <f t="shared" si="145"/>
        <v/>
      </c>
      <c r="L1835" s="7" t="str">
        <f t="shared" si="146"/>
        <v/>
      </c>
      <c r="M1835" s="7" t="str">
        <f t="shared" si="143"/>
        <v/>
      </c>
      <c r="N1835" s="7" t="str">
        <f t="shared" si="147"/>
        <v/>
      </c>
      <c r="O1835" s="8"/>
      <c r="P1835" s="26"/>
      <c r="S1835" s="10" t="str">
        <f t="shared" si="144"/>
        <v/>
      </c>
    </row>
    <row r="1836" spans="5:19" x14ac:dyDescent="0.3">
      <c r="E1836" s="9" t="str">
        <f>IF(DADOS!C1836="","",DADOS!C1836)</f>
        <v/>
      </c>
      <c r="F1836" s="9" t="str">
        <f>IF(DADOS!E1836="","",DADOS!E1836)</f>
        <v/>
      </c>
      <c r="G1836" s="9" t="str">
        <f>IF(DADOS!F1836="","",DADOS!F1836)</f>
        <v/>
      </c>
      <c r="K1836" s="6" t="str">
        <f t="shared" si="145"/>
        <v/>
      </c>
      <c r="L1836" s="7" t="str">
        <f t="shared" si="146"/>
        <v/>
      </c>
      <c r="M1836" s="7" t="str">
        <f t="shared" si="143"/>
        <v/>
      </c>
      <c r="N1836" s="7" t="str">
        <f t="shared" si="147"/>
        <v/>
      </c>
      <c r="O1836" s="8"/>
      <c r="P1836" s="26"/>
      <c r="S1836" s="10" t="str">
        <f t="shared" si="144"/>
        <v/>
      </c>
    </row>
    <row r="1837" spans="5:19" x14ac:dyDescent="0.3">
      <c r="E1837" s="9" t="str">
        <f>IF(DADOS!C1837="","",DADOS!C1837)</f>
        <v/>
      </c>
      <c r="F1837" s="9" t="str">
        <f>IF(DADOS!E1837="","",DADOS!E1837)</f>
        <v/>
      </c>
      <c r="G1837" s="9" t="str">
        <f>IF(DADOS!F1837="","",DADOS!F1837)</f>
        <v/>
      </c>
      <c r="K1837" s="6" t="str">
        <f t="shared" si="145"/>
        <v/>
      </c>
      <c r="L1837" s="7" t="str">
        <f t="shared" si="146"/>
        <v/>
      </c>
      <c r="M1837" s="7" t="str">
        <f t="shared" si="143"/>
        <v/>
      </c>
      <c r="N1837" s="7" t="str">
        <f t="shared" si="147"/>
        <v/>
      </c>
      <c r="O1837" s="8"/>
      <c r="P1837" s="26"/>
      <c r="S1837" s="10" t="str">
        <f t="shared" si="144"/>
        <v/>
      </c>
    </row>
    <row r="1838" spans="5:19" x14ac:dyDescent="0.3">
      <c r="E1838" s="9" t="str">
        <f>IF(DADOS!C1838="","",DADOS!C1838)</f>
        <v/>
      </c>
      <c r="F1838" s="9" t="str">
        <f>IF(DADOS!E1838="","",DADOS!E1838)</f>
        <v/>
      </c>
      <c r="G1838" s="9" t="str">
        <f>IF(DADOS!F1838="","",DADOS!F1838)</f>
        <v/>
      </c>
      <c r="K1838" s="6" t="str">
        <f t="shared" si="145"/>
        <v/>
      </c>
      <c r="L1838" s="7" t="str">
        <f t="shared" si="146"/>
        <v/>
      </c>
      <c r="M1838" s="7" t="str">
        <f t="shared" si="143"/>
        <v/>
      </c>
      <c r="N1838" s="7" t="str">
        <f t="shared" si="147"/>
        <v/>
      </c>
      <c r="O1838" s="8"/>
      <c r="P1838" s="26"/>
      <c r="S1838" s="10" t="str">
        <f t="shared" si="144"/>
        <v/>
      </c>
    </row>
    <row r="1839" spans="5:19" x14ac:dyDescent="0.3">
      <c r="E1839" s="9" t="str">
        <f>IF(DADOS!C1839="","",DADOS!C1839)</f>
        <v/>
      </c>
      <c r="F1839" s="9" t="str">
        <f>IF(DADOS!E1839="","",DADOS!E1839)</f>
        <v/>
      </c>
      <c r="G1839" s="9" t="str">
        <f>IF(DADOS!F1839="","",DADOS!F1839)</f>
        <v/>
      </c>
      <c r="K1839" s="6" t="str">
        <f t="shared" si="145"/>
        <v/>
      </c>
      <c r="L1839" s="7" t="str">
        <f t="shared" si="146"/>
        <v/>
      </c>
      <c r="M1839" s="7" t="str">
        <f t="shared" si="143"/>
        <v/>
      </c>
      <c r="N1839" s="7" t="str">
        <f t="shared" si="147"/>
        <v/>
      </c>
      <c r="O1839" s="8"/>
      <c r="P1839" s="26"/>
      <c r="S1839" s="10" t="str">
        <f t="shared" si="144"/>
        <v/>
      </c>
    </row>
    <row r="1840" spans="5:19" x14ac:dyDescent="0.3">
      <c r="E1840" s="9" t="str">
        <f>IF(DADOS!C1840="","",DADOS!C1840)</f>
        <v/>
      </c>
      <c r="F1840" s="9" t="str">
        <f>IF(DADOS!E1840="","",DADOS!E1840)</f>
        <v/>
      </c>
      <c r="G1840" s="9" t="str">
        <f>IF(DADOS!F1840="","",DADOS!F1840)</f>
        <v/>
      </c>
      <c r="K1840" s="6" t="str">
        <f t="shared" si="145"/>
        <v/>
      </c>
      <c r="L1840" s="7" t="str">
        <f t="shared" si="146"/>
        <v/>
      </c>
      <c r="M1840" s="7" t="str">
        <f t="shared" si="143"/>
        <v/>
      </c>
      <c r="N1840" s="7" t="str">
        <f t="shared" si="147"/>
        <v/>
      </c>
      <c r="O1840" s="8"/>
      <c r="P1840" s="26"/>
      <c r="S1840" s="10" t="str">
        <f t="shared" si="144"/>
        <v/>
      </c>
    </row>
    <row r="1841" spans="5:19" x14ac:dyDescent="0.3">
      <c r="E1841" s="9" t="str">
        <f>IF(DADOS!C1841="","",DADOS!C1841)</f>
        <v/>
      </c>
      <c r="F1841" s="9" t="str">
        <f>IF(DADOS!E1841="","",DADOS!E1841)</f>
        <v/>
      </c>
      <c r="G1841" s="9" t="str">
        <f>IF(DADOS!F1841="","",DADOS!F1841)</f>
        <v/>
      </c>
      <c r="K1841" s="6" t="str">
        <f t="shared" si="145"/>
        <v/>
      </c>
      <c r="L1841" s="7" t="str">
        <f t="shared" si="146"/>
        <v/>
      </c>
      <c r="M1841" s="7" t="str">
        <f t="shared" si="143"/>
        <v/>
      </c>
      <c r="N1841" s="7" t="str">
        <f t="shared" si="147"/>
        <v/>
      </c>
      <c r="O1841" s="8"/>
      <c r="P1841" s="26"/>
      <c r="S1841" s="10" t="str">
        <f t="shared" si="144"/>
        <v/>
      </c>
    </row>
    <row r="1842" spans="5:19" x14ac:dyDescent="0.3">
      <c r="E1842" s="9" t="str">
        <f>IF(DADOS!C1842="","",DADOS!C1842)</f>
        <v/>
      </c>
      <c r="F1842" s="9" t="str">
        <f>IF(DADOS!E1842="","",DADOS!E1842)</f>
        <v/>
      </c>
      <c r="G1842" s="9" t="str">
        <f>IF(DADOS!F1842="","",DADOS!F1842)</f>
        <v/>
      </c>
      <c r="K1842" s="6" t="str">
        <f t="shared" si="145"/>
        <v/>
      </c>
      <c r="L1842" s="7" t="str">
        <f t="shared" si="146"/>
        <v/>
      </c>
      <c r="M1842" s="7" t="str">
        <f t="shared" si="143"/>
        <v/>
      </c>
      <c r="N1842" s="7" t="str">
        <f t="shared" si="147"/>
        <v/>
      </c>
      <c r="O1842" s="8"/>
      <c r="P1842" s="26"/>
      <c r="S1842" s="10" t="str">
        <f t="shared" si="144"/>
        <v/>
      </c>
    </row>
    <row r="1843" spans="5:19" x14ac:dyDescent="0.3">
      <c r="E1843" s="9" t="str">
        <f>IF(DADOS!C1843="","",DADOS!C1843)</f>
        <v/>
      </c>
      <c r="F1843" s="9" t="str">
        <f>IF(DADOS!E1843="","",DADOS!E1843)</f>
        <v/>
      </c>
      <c r="G1843" s="9" t="str">
        <f>IF(DADOS!F1843="","",DADOS!F1843)</f>
        <v/>
      </c>
      <c r="K1843" s="6" t="str">
        <f t="shared" si="145"/>
        <v/>
      </c>
      <c r="L1843" s="7" t="str">
        <f t="shared" si="146"/>
        <v/>
      </c>
      <c r="M1843" s="7" t="str">
        <f t="shared" si="143"/>
        <v/>
      </c>
      <c r="N1843" s="7" t="str">
        <f t="shared" si="147"/>
        <v/>
      </c>
      <c r="O1843" s="8"/>
      <c r="P1843" s="26"/>
      <c r="S1843" s="10" t="str">
        <f t="shared" si="144"/>
        <v/>
      </c>
    </row>
    <row r="1844" spans="5:19" x14ac:dyDescent="0.3">
      <c r="E1844" s="9" t="str">
        <f>IF(DADOS!C1844="","",DADOS!C1844)</f>
        <v/>
      </c>
      <c r="F1844" s="9" t="str">
        <f>IF(DADOS!E1844="","",DADOS!E1844)</f>
        <v/>
      </c>
      <c r="G1844" s="9" t="str">
        <f>IF(DADOS!F1844="","",DADOS!F1844)</f>
        <v/>
      </c>
      <c r="K1844" s="6" t="str">
        <f t="shared" si="145"/>
        <v/>
      </c>
      <c r="L1844" s="7" t="str">
        <f t="shared" si="146"/>
        <v/>
      </c>
      <c r="M1844" s="7" t="str">
        <f t="shared" si="143"/>
        <v/>
      </c>
      <c r="N1844" s="7" t="str">
        <f t="shared" si="147"/>
        <v/>
      </c>
      <c r="O1844" s="8"/>
      <c r="P1844" s="26"/>
      <c r="S1844" s="10" t="str">
        <f t="shared" si="144"/>
        <v/>
      </c>
    </row>
    <row r="1845" spans="5:19" x14ac:dyDescent="0.3">
      <c r="E1845" s="9" t="str">
        <f>IF(DADOS!C1845="","",DADOS!C1845)</f>
        <v/>
      </c>
      <c r="F1845" s="9" t="str">
        <f>IF(DADOS!E1845="","",DADOS!E1845)</f>
        <v/>
      </c>
      <c r="G1845" s="9" t="str">
        <f>IF(DADOS!F1845="","",DADOS!F1845)</f>
        <v/>
      </c>
      <c r="K1845" s="6" t="str">
        <f t="shared" si="145"/>
        <v/>
      </c>
      <c r="L1845" s="7" t="str">
        <f t="shared" si="146"/>
        <v/>
      </c>
      <c r="M1845" s="7" t="str">
        <f t="shared" si="143"/>
        <v/>
      </c>
      <c r="N1845" s="7" t="str">
        <f t="shared" si="147"/>
        <v/>
      </c>
      <c r="O1845" s="8"/>
      <c r="P1845" s="26"/>
      <c r="S1845" s="10" t="str">
        <f t="shared" si="144"/>
        <v/>
      </c>
    </row>
    <row r="1846" spans="5:19" x14ac:dyDescent="0.3">
      <c r="E1846" s="9" t="str">
        <f>IF(DADOS!C1846="","",DADOS!C1846)</f>
        <v/>
      </c>
      <c r="F1846" s="9" t="str">
        <f>IF(DADOS!E1846="","",DADOS!E1846)</f>
        <v/>
      </c>
      <c r="G1846" s="9" t="str">
        <f>IF(DADOS!F1846="","",DADOS!F1846)</f>
        <v/>
      </c>
      <c r="K1846" s="6" t="str">
        <f t="shared" si="145"/>
        <v/>
      </c>
      <c r="L1846" s="7" t="str">
        <f t="shared" si="146"/>
        <v/>
      </c>
      <c r="M1846" s="7" t="str">
        <f t="shared" si="143"/>
        <v/>
      </c>
      <c r="N1846" s="7" t="str">
        <f t="shared" si="147"/>
        <v/>
      </c>
      <c r="O1846" s="8"/>
      <c r="P1846" s="26"/>
      <c r="S1846" s="10" t="str">
        <f t="shared" si="144"/>
        <v/>
      </c>
    </row>
    <row r="1847" spans="5:19" x14ac:dyDescent="0.3">
      <c r="E1847" s="9" t="str">
        <f>IF(DADOS!C1847="","",DADOS!C1847)</f>
        <v/>
      </c>
      <c r="F1847" s="9" t="str">
        <f>IF(DADOS!E1847="","",DADOS!E1847)</f>
        <v/>
      </c>
      <c r="G1847" s="9" t="str">
        <f>IF(DADOS!F1847="","",DADOS!F1847)</f>
        <v/>
      </c>
      <c r="K1847" s="6" t="str">
        <f t="shared" si="145"/>
        <v/>
      </c>
      <c r="L1847" s="7" t="str">
        <f t="shared" si="146"/>
        <v/>
      </c>
      <c r="M1847" s="7" t="str">
        <f t="shared" si="143"/>
        <v/>
      </c>
      <c r="N1847" s="7" t="str">
        <f t="shared" si="147"/>
        <v/>
      </c>
      <c r="O1847" s="8"/>
      <c r="P1847" s="26"/>
      <c r="S1847" s="10" t="str">
        <f t="shared" si="144"/>
        <v/>
      </c>
    </row>
    <row r="1848" spans="5:19" x14ac:dyDescent="0.3">
      <c r="E1848" s="9" t="str">
        <f>IF(DADOS!C1848="","",DADOS!C1848)</f>
        <v/>
      </c>
      <c r="F1848" s="9" t="str">
        <f>IF(DADOS!E1848="","",DADOS!E1848)</f>
        <v/>
      </c>
      <c r="G1848" s="9" t="str">
        <f>IF(DADOS!F1848="","",DADOS!F1848)</f>
        <v/>
      </c>
      <c r="K1848" s="6" t="str">
        <f t="shared" si="145"/>
        <v/>
      </c>
      <c r="L1848" s="7" t="str">
        <f t="shared" si="146"/>
        <v/>
      </c>
      <c r="M1848" s="7" t="str">
        <f t="shared" si="143"/>
        <v/>
      </c>
      <c r="N1848" s="7" t="str">
        <f t="shared" si="147"/>
        <v/>
      </c>
      <c r="O1848" s="8"/>
      <c r="P1848" s="26"/>
      <c r="S1848" s="10" t="str">
        <f t="shared" si="144"/>
        <v/>
      </c>
    </row>
    <row r="1849" spans="5:19" x14ac:dyDescent="0.3">
      <c r="E1849" s="9" t="str">
        <f>IF(DADOS!C1849="","",DADOS!C1849)</f>
        <v/>
      </c>
      <c r="F1849" s="9" t="str">
        <f>IF(DADOS!E1849="","",DADOS!E1849)</f>
        <v/>
      </c>
      <c r="G1849" s="9" t="str">
        <f>IF(DADOS!F1849="","",DADOS!F1849)</f>
        <v/>
      </c>
      <c r="K1849" s="6" t="str">
        <f t="shared" si="145"/>
        <v/>
      </c>
      <c r="L1849" s="7" t="str">
        <f t="shared" si="146"/>
        <v/>
      </c>
      <c r="M1849" s="7" t="str">
        <f t="shared" si="143"/>
        <v/>
      </c>
      <c r="N1849" s="7" t="str">
        <f t="shared" si="147"/>
        <v/>
      </c>
      <c r="O1849" s="8"/>
      <c r="P1849" s="26"/>
      <c r="S1849" s="10" t="str">
        <f t="shared" si="144"/>
        <v/>
      </c>
    </row>
    <row r="1850" spans="5:19" x14ac:dyDescent="0.3">
      <c r="E1850" s="9" t="str">
        <f>IF(DADOS!C1850="","",DADOS!C1850)</f>
        <v/>
      </c>
      <c r="F1850" s="9" t="str">
        <f>IF(DADOS!E1850="","",DADOS!E1850)</f>
        <v/>
      </c>
      <c r="G1850" s="9" t="str">
        <f>IF(DADOS!F1850="","",DADOS!F1850)</f>
        <v/>
      </c>
      <c r="K1850" s="6" t="str">
        <f t="shared" si="145"/>
        <v/>
      </c>
      <c r="L1850" s="7" t="str">
        <f t="shared" si="146"/>
        <v/>
      </c>
      <c r="M1850" s="7" t="str">
        <f t="shared" si="143"/>
        <v/>
      </c>
      <c r="N1850" s="7" t="str">
        <f t="shared" si="147"/>
        <v/>
      </c>
      <c r="O1850" s="8"/>
      <c r="P1850" s="26"/>
      <c r="S1850" s="10" t="str">
        <f t="shared" si="144"/>
        <v/>
      </c>
    </row>
    <row r="1851" spans="5:19" x14ac:dyDescent="0.3">
      <c r="E1851" s="9" t="str">
        <f>IF(DADOS!C1851="","",DADOS!C1851)</f>
        <v/>
      </c>
      <c r="F1851" s="9" t="str">
        <f>IF(DADOS!E1851="","",DADOS!E1851)</f>
        <v/>
      </c>
      <c r="G1851" s="9" t="str">
        <f>IF(DADOS!F1851="","",DADOS!F1851)</f>
        <v/>
      </c>
      <c r="K1851" s="6" t="str">
        <f t="shared" si="145"/>
        <v/>
      </c>
      <c r="L1851" s="7" t="str">
        <f t="shared" si="146"/>
        <v/>
      </c>
      <c r="M1851" s="7" t="str">
        <f t="shared" si="143"/>
        <v/>
      </c>
      <c r="N1851" s="7" t="str">
        <f t="shared" si="147"/>
        <v/>
      </c>
      <c r="O1851" s="8"/>
      <c r="P1851" s="26"/>
      <c r="S1851" s="10" t="str">
        <f t="shared" si="144"/>
        <v/>
      </c>
    </row>
    <row r="1852" spans="5:19" x14ac:dyDescent="0.3">
      <c r="E1852" s="9" t="str">
        <f>IF(DADOS!C1852="","",DADOS!C1852)</f>
        <v/>
      </c>
      <c r="F1852" s="9" t="str">
        <f>IF(DADOS!E1852="","",DADOS!E1852)</f>
        <v/>
      </c>
      <c r="G1852" s="9" t="str">
        <f>IF(DADOS!F1852="","",DADOS!F1852)</f>
        <v/>
      </c>
      <c r="K1852" s="6" t="str">
        <f t="shared" si="145"/>
        <v/>
      </c>
      <c r="L1852" s="7" t="str">
        <f t="shared" si="146"/>
        <v/>
      </c>
      <c r="M1852" s="7" t="str">
        <f t="shared" si="143"/>
        <v/>
      </c>
      <c r="N1852" s="7" t="str">
        <f t="shared" si="147"/>
        <v/>
      </c>
      <c r="O1852" s="8"/>
      <c r="P1852" s="26"/>
      <c r="S1852" s="10" t="str">
        <f t="shared" si="144"/>
        <v/>
      </c>
    </row>
    <row r="1853" spans="5:19" x14ac:dyDescent="0.3">
      <c r="E1853" s="9" t="str">
        <f>IF(DADOS!C1853="","",DADOS!C1853)</f>
        <v/>
      </c>
      <c r="F1853" s="9" t="str">
        <f>IF(DADOS!E1853="","",DADOS!E1853)</f>
        <v/>
      </c>
      <c r="G1853" s="9" t="str">
        <f>IF(DADOS!F1853="","",DADOS!F1853)</f>
        <v/>
      </c>
      <c r="K1853" s="6" t="str">
        <f t="shared" si="145"/>
        <v/>
      </c>
      <c r="L1853" s="7" t="str">
        <f t="shared" si="146"/>
        <v/>
      </c>
      <c r="M1853" s="7" t="str">
        <f t="shared" si="143"/>
        <v/>
      </c>
      <c r="N1853" s="7" t="str">
        <f t="shared" si="147"/>
        <v/>
      </c>
      <c r="O1853" s="8"/>
      <c r="P1853" s="26"/>
      <c r="S1853" s="10" t="str">
        <f t="shared" si="144"/>
        <v/>
      </c>
    </row>
    <row r="1854" spans="5:19" x14ac:dyDescent="0.3">
      <c r="E1854" s="9" t="str">
        <f>IF(DADOS!C1854="","",DADOS!C1854)</f>
        <v/>
      </c>
      <c r="F1854" s="9" t="str">
        <f>IF(DADOS!E1854="","",DADOS!E1854)</f>
        <v/>
      </c>
      <c r="G1854" s="9" t="str">
        <f>IF(DADOS!F1854="","",DADOS!F1854)</f>
        <v/>
      </c>
      <c r="K1854" s="6" t="str">
        <f t="shared" si="145"/>
        <v/>
      </c>
      <c r="L1854" s="7" t="str">
        <f t="shared" si="146"/>
        <v/>
      </c>
      <c r="M1854" s="7" t="str">
        <f t="shared" si="143"/>
        <v/>
      </c>
      <c r="N1854" s="7" t="str">
        <f t="shared" si="147"/>
        <v/>
      </c>
      <c r="O1854" s="8"/>
      <c r="P1854" s="26"/>
      <c r="S1854" s="10" t="str">
        <f t="shared" si="144"/>
        <v/>
      </c>
    </row>
    <row r="1855" spans="5:19" x14ac:dyDescent="0.3">
      <c r="E1855" s="9" t="str">
        <f>IF(DADOS!C1855="","",DADOS!C1855)</f>
        <v/>
      </c>
      <c r="F1855" s="9" t="str">
        <f>IF(DADOS!E1855="","",DADOS!E1855)</f>
        <v/>
      </c>
      <c r="G1855" s="9" t="str">
        <f>IF(DADOS!F1855="","",DADOS!F1855)</f>
        <v/>
      </c>
      <c r="K1855" s="6" t="str">
        <f t="shared" si="145"/>
        <v/>
      </c>
      <c r="L1855" s="7" t="str">
        <f t="shared" si="146"/>
        <v/>
      </c>
      <c r="M1855" s="7" t="str">
        <f t="shared" si="143"/>
        <v/>
      </c>
      <c r="N1855" s="7" t="str">
        <f t="shared" si="147"/>
        <v/>
      </c>
      <c r="O1855" s="8"/>
      <c r="P1855" s="26"/>
      <c r="S1855" s="10" t="str">
        <f t="shared" si="144"/>
        <v/>
      </c>
    </row>
    <row r="1856" spans="5:19" x14ac:dyDescent="0.3">
      <c r="E1856" s="9" t="str">
        <f>IF(DADOS!C1856="","",DADOS!C1856)</f>
        <v/>
      </c>
      <c r="F1856" s="9" t="str">
        <f>IF(DADOS!E1856="","",DADOS!E1856)</f>
        <v/>
      </c>
      <c r="G1856" s="9" t="str">
        <f>IF(DADOS!F1856="","",DADOS!F1856)</f>
        <v/>
      </c>
      <c r="K1856" s="6" t="str">
        <f t="shared" si="145"/>
        <v/>
      </c>
      <c r="L1856" s="7" t="str">
        <f t="shared" si="146"/>
        <v/>
      </c>
      <c r="M1856" s="7" t="str">
        <f t="shared" si="143"/>
        <v/>
      </c>
      <c r="N1856" s="7" t="str">
        <f t="shared" si="147"/>
        <v/>
      </c>
      <c r="O1856" s="8"/>
      <c r="P1856" s="26"/>
      <c r="S1856" s="10" t="str">
        <f t="shared" si="144"/>
        <v/>
      </c>
    </row>
    <row r="1857" spans="5:19" x14ac:dyDescent="0.3">
      <c r="E1857" s="9" t="str">
        <f>IF(DADOS!C1857="","",DADOS!C1857)</f>
        <v/>
      </c>
      <c r="F1857" s="9" t="str">
        <f>IF(DADOS!E1857="","",DADOS!E1857)</f>
        <v/>
      </c>
      <c r="G1857" s="9" t="str">
        <f>IF(DADOS!F1857="","",DADOS!F1857)</f>
        <v/>
      </c>
      <c r="K1857" s="6" t="str">
        <f t="shared" si="145"/>
        <v/>
      </c>
      <c r="L1857" s="7" t="str">
        <f t="shared" si="146"/>
        <v/>
      </c>
      <c r="M1857" s="7" t="str">
        <f t="shared" si="143"/>
        <v/>
      </c>
      <c r="N1857" s="7" t="str">
        <f t="shared" si="147"/>
        <v/>
      </c>
      <c r="O1857" s="8"/>
      <c r="P1857" s="26"/>
      <c r="S1857" s="10" t="str">
        <f t="shared" si="144"/>
        <v/>
      </c>
    </row>
    <row r="1858" spans="5:19" x14ac:dyDescent="0.3">
      <c r="E1858" s="9" t="str">
        <f>IF(DADOS!C1858="","",DADOS!C1858)</f>
        <v/>
      </c>
      <c r="F1858" s="9" t="str">
        <f>IF(DADOS!E1858="","",DADOS!E1858)</f>
        <v/>
      </c>
      <c r="G1858" s="9" t="str">
        <f>IF(DADOS!F1858="","",DADOS!F1858)</f>
        <v/>
      </c>
      <c r="K1858" s="6" t="str">
        <f t="shared" si="145"/>
        <v/>
      </c>
      <c r="L1858" s="7" t="str">
        <f t="shared" si="146"/>
        <v/>
      </c>
      <c r="M1858" s="7" t="str">
        <f t="shared" si="143"/>
        <v/>
      </c>
      <c r="N1858" s="7" t="str">
        <f t="shared" si="147"/>
        <v/>
      </c>
      <c r="O1858" s="8"/>
      <c r="P1858" s="26"/>
      <c r="S1858" s="10" t="str">
        <f t="shared" si="144"/>
        <v/>
      </c>
    </row>
    <row r="1859" spans="5:19" x14ac:dyDescent="0.3">
      <c r="E1859" s="9" t="str">
        <f>IF(DADOS!C1859="","",DADOS!C1859)</f>
        <v/>
      </c>
      <c r="F1859" s="9" t="str">
        <f>IF(DADOS!E1859="","",DADOS!E1859)</f>
        <v/>
      </c>
      <c r="G1859" s="9" t="str">
        <f>IF(DADOS!F1859="","",DADOS!F1859)</f>
        <v/>
      </c>
      <c r="K1859" s="6" t="str">
        <f t="shared" si="145"/>
        <v/>
      </c>
      <c r="L1859" s="7" t="str">
        <f t="shared" si="146"/>
        <v/>
      </c>
      <c r="M1859" s="7" t="str">
        <f t="shared" ref="M1859:M1922" si="148">IF(L1859="","",L1859*G1859)</f>
        <v/>
      </c>
      <c r="N1859" s="7" t="str">
        <f t="shared" si="147"/>
        <v/>
      </c>
      <c r="O1859" s="8"/>
      <c r="P1859" s="26"/>
      <c r="S1859" s="10" t="str">
        <f t="shared" ref="S1859:S1922" si="149">IF(R1859="","",SUMIFS($N$3:$N$10000,$E$3:$E$10000,R1859))</f>
        <v/>
      </c>
    </row>
    <row r="1860" spans="5:19" x14ac:dyDescent="0.3">
      <c r="E1860" s="9" t="str">
        <f>IF(DADOS!C1860="","",DADOS!C1860)</f>
        <v/>
      </c>
      <c r="F1860" s="9" t="str">
        <f>IF(DADOS!E1860="","",DADOS!E1860)</f>
        <v/>
      </c>
      <c r="G1860" s="9" t="str">
        <f>IF(DADOS!F1860="","",DADOS!F1860)</f>
        <v/>
      </c>
      <c r="K1860" s="6" t="str">
        <f t="shared" ref="K1860:K1923" si="150">IF(F1860="","",F1860/PI())</f>
        <v/>
      </c>
      <c r="L1860" s="7" t="str">
        <f t="shared" ref="L1860:L1923" si="151">IF(K1860="","",(PI()*K1860^2)/40000)</f>
        <v/>
      </c>
      <c r="M1860" s="7" t="str">
        <f t="shared" si="148"/>
        <v/>
      </c>
      <c r="N1860" s="7" t="str">
        <f t="shared" ref="N1860:N1923" si="152">IF(M1860="","",M1860*N$1)</f>
        <v/>
      </c>
      <c r="O1860" s="8"/>
      <c r="P1860" s="26"/>
      <c r="S1860" s="10" t="str">
        <f t="shared" si="149"/>
        <v/>
      </c>
    </row>
    <row r="1861" spans="5:19" x14ac:dyDescent="0.3">
      <c r="E1861" s="9" t="str">
        <f>IF(DADOS!C1861="","",DADOS!C1861)</f>
        <v/>
      </c>
      <c r="F1861" s="9" t="str">
        <f>IF(DADOS!E1861="","",DADOS!E1861)</f>
        <v/>
      </c>
      <c r="G1861" s="9" t="str">
        <f>IF(DADOS!F1861="","",DADOS!F1861)</f>
        <v/>
      </c>
      <c r="K1861" s="6" t="str">
        <f t="shared" si="150"/>
        <v/>
      </c>
      <c r="L1861" s="7" t="str">
        <f t="shared" si="151"/>
        <v/>
      </c>
      <c r="M1861" s="7" t="str">
        <f t="shared" si="148"/>
        <v/>
      </c>
      <c r="N1861" s="7" t="str">
        <f t="shared" si="152"/>
        <v/>
      </c>
      <c r="O1861" s="8"/>
      <c r="P1861" s="26"/>
      <c r="S1861" s="10" t="str">
        <f t="shared" si="149"/>
        <v/>
      </c>
    </row>
    <row r="1862" spans="5:19" x14ac:dyDescent="0.3">
      <c r="E1862" s="9" t="str">
        <f>IF(DADOS!C1862="","",DADOS!C1862)</f>
        <v/>
      </c>
      <c r="F1862" s="9" t="str">
        <f>IF(DADOS!E1862="","",DADOS!E1862)</f>
        <v/>
      </c>
      <c r="G1862" s="9" t="str">
        <f>IF(DADOS!F1862="","",DADOS!F1862)</f>
        <v/>
      </c>
      <c r="K1862" s="6" t="str">
        <f t="shared" si="150"/>
        <v/>
      </c>
      <c r="L1862" s="7" t="str">
        <f t="shared" si="151"/>
        <v/>
      </c>
      <c r="M1862" s="7" t="str">
        <f t="shared" si="148"/>
        <v/>
      </c>
      <c r="N1862" s="7" t="str">
        <f t="shared" si="152"/>
        <v/>
      </c>
      <c r="O1862" s="8"/>
      <c r="P1862" s="26"/>
      <c r="S1862" s="10" t="str">
        <f t="shared" si="149"/>
        <v/>
      </c>
    </row>
    <row r="1863" spans="5:19" x14ac:dyDescent="0.3">
      <c r="E1863" s="9" t="str">
        <f>IF(DADOS!C1863="","",DADOS!C1863)</f>
        <v/>
      </c>
      <c r="F1863" s="9" t="str">
        <f>IF(DADOS!E1863="","",DADOS!E1863)</f>
        <v/>
      </c>
      <c r="G1863" s="9" t="str">
        <f>IF(DADOS!F1863="","",DADOS!F1863)</f>
        <v/>
      </c>
      <c r="K1863" s="6" t="str">
        <f t="shared" si="150"/>
        <v/>
      </c>
      <c r="L1863" s="7" t="str">
        <f t="shared" si="151"/>
        <v/>
      </c>
      <c r="M1863" s="7" t="str">
        <f t="shared" si="148"/>
        <v/>
      </c>
      <c r="N1863" s="7" t="str">
        <f t="shared" si="152"/>
        <v/>
      </c>
      <c r="O1863" s="8"/>
      <c r="P1863" s="26"/>
      <c r="S1863" s="10" t="str">
        <f t="shared" si="149"/>
        <v/>
      </c>
    </row>
    <row r="1864" spans="5:19" x14ac:dyDescent="0.3">
      <c r="E1864" s="9" t="str">
        <f>IF(DADOS!C1864="","",DADOS!C1864)</f>
        <v/>
      </c>
      <c r="F1864" s="9" t="str">
        <f>IF(DADOS!E1864="","",DADOS!E1864)</f>
        <v/>
      </c>
      <c r="G1864" s="9" t="str">
        <f>IF(DADOS!F1864="","",DADOS!F1864)</f>
        <v/>
      </c>
      <c r="K1864" s="6" t="str">
        <f t="shared" si="150"/>
        <v/>
      </c>
      <c r="L1864" s="7" t="str">
        <f t="shared" si="151"/>
        <v/>
      </c>
      <c r="M1864" s="7" t="str">
        <f t="shared" si="148"/>
        <v/>
      </c>
      <c r="N1864" s="7" t="str">
        <f t="shared" si="152"/>
        <v/>
      </c>
      <c r="O1864" s="8"/>
      <c r="P1864" s="26"/>
      <c r="S1864" s="10" t="str">
        <f t="shared" si="149"/>
        <v/>
      </c>
    </row>
    <row r="1865" spans="5:19" x14ac:dyDescent="0.3">
      <c r="E1865" s="9" t="str">
        <f>IF(DADOS!C1865="","",DADOS!C1865)</f>
        <v/>
      </c>
      <c r="F1865" s="9" t="str">
        <f>IF(DADOS!E1865="","",DADOS!E1865)</f>
        <v/>
      </c>
      <c r="G1865" s="9" t="str">
        <f>IF(DADOS!F1865="","",DADOS!F1865)</f>
        <v/>
      </c>
      <c r="K1865" s="6" t="str">
        <f t="shared" si="150"/>
        <v/>
      </c>
      <c r="L1865" s="7" t="str">
        <f t="shared" si="151"/>
        <v/>
      </c>
      <c r="M1865" s="7" t="str">
        <f t="shared" si="148"/>
        <v/>
      </c>
      <c r="N1865" s="7" t="str">
        <f t="shared" si="152"/>
        <v/>
      </c>
      <c r="O1865" s="8"/>
      <c r="P1865" s="26"/>
      <c r="S1865" s="10" t="str">
        <f t="shared" si="149"/>
        <v/>
      </c>
    </row>
    <row r="1866" spans="5:19" x14ac:dyDescent="0.3">
      <c r="E1866" s="9" t="str">
        <f>IF(DADOS!C1866="","",DADOS!C1866)</f>
        <v/>
      </c>
      <c r="F1866" s="9" t="str">
        <f>IF(DADOS!E1866="","",DADOS!E1866)</f>
        <v/>
      </c>
      <c r="G1866" s="9" t="str">
        <f>IF(DADOS!F1866="","",DADOS!F1866)</f>
        <v/>
      </c>
      <c r="K1866" s="6" t="str">
        <f t="shared" si="150"/>
        <v/>
      </c>
      <c r="L1866" s="7" t="str">
        <f t="shared" si="151"/>
        <v/>
      </c>
      <c r="M1866" s="7" t="str">
        <f t="shared" si="148"/>
        <v/>
      </c>
      <c r="N1866" s="7" t="str">
        <f t="shared" si="152"/>
        <v/>
      </c>
      <c r="O1866" s="8"/>
      <c r="P1866" s="26"/>
      <c r="S1866" s="10" t="str">
        <f t="shared" si="149"/>
        <v/>
      </c>
    </row>
    <row r="1867" spans="5:19" x14ac:dyDescent="0.3">
      <c r="E1867" s="9" t="str">
        <f>IF(DADOS!C1867="","",DADOS!C1867)</f>
        <v/>
      </c>
      <c r="F1867" s="9" t="str">
        <f>IF(DADOS!E1867="","",DADOS!E1867)</f>
        <v/>
      </c>
      <c r="G1867" s="9" t="str">
        <f>IF(DADOS!F1867="","",DADOS!F1867)</f>
        <v/>
      </c>
      <c r="K1867" s="6" t="str">
        <f t="shared" si="150"/>
        <v/>
      </c>
      <c r="L1867" s="7" t="str">
        <f t="shared" si="151"/>
        <v/>
      </c>
      <c r="M1867" s="7" t="str">
        <f t="shared" si="148"/>
        <v/>
      </c>
      <c r="N1867" s="7" t="str">
        <f t="shared" si="152"/>
        <v/>
      </c>
      <c r="O1867" s="8"/>
      <c r="P1867" s="26"/>
      <c r="S1867" s="10" t="str">
        <f t="shared" si="149"/>
        <v/>
      </c>
    </row>
    <row r="1868" spans="5:19" x14ac:dyDescent="0.3">
      <c r="E1868" s="9" t="str">
        <f>IF(DADOS!C1868="","",DADOS!C1868)</f>
        <v/>
      </c>
      <c r="F1868" s="9" t="str">
        <f>IF(DADOS!E1868="","",DADOS!E1868)</f>
        <v/>
      </c>
      <c r="G1868" s="9" t="str">
        <f>IF(DADOS!F1868="","",DADOS!F1868)</f>
        <v/>
      </c>
      <c r="K1868" s="6" t="str">
        <f t="shared" si="150"/>
        <v/>
      </c>
      <c r="L1868" s="7" t="str">
        <f t="shared" si="151"/>
        <v/>
      </c>
      <c r="M1868" s="7" t="str">
        <f t="shared" si="148"/>
        <v/>
      </c>
      <c r="N1868" s="7" t="str">
        <f t="shared" si="152"/>
        <v/>
      </c>
      <c r="O1868" s="8"/>
      <c r="P1868" s="26"/>
      <c r="S1868" s="10" t="str">
        <f t="shared" si="149"/>
        <v/>
      </c>
    </row>
    <row r="1869" spans="5:19" x14ac:dyDescent="0.3">
      <c r="E1869" s="9" t="str">
        <f>IF(DADOS!C1869="","",DADOS!C1869)</f>
        <v/>
      </c>
      <c r="F1869" s="9" t="str">
        <f>IF(DADOS!E1869="","",DADOS!E1869)</f>
        <v/>
      </c>
      <c r="G1869" s="9" t="str">
        <f>IF(DADOS!F1869="","",DADOS!F1869)</f>
        <v/>
      </c>
      <c r="K1869" s="6" t="str">
        <f t="shared" si="150"/>
        <v/>
      </c>
      <c r="L1869" s="7" t="str">
        <f t="shared" si="151"/>
        <v/>
      </c>
      <c r="M1869" s="7" t="str">
        <f t="shared" si="148"/>
        <v/>
      </c>
      <c r="N1869" s="7" t="str">
        <f t="shared" si="152"/>
        <v/>
      </c>
      <c r="O1869" s="8"/>
      <c r="P1869" s="26"/>
      <c r="S1869" s="10" t="str">
        <f t="shared" si="149"/>
        <v/>
      </c>
    </row>
    <row r="1870" spans="5:19" x14ac:dyDescent="0.3">
      <c r="E1870" s="9" t="str">
        <f>IF(DADOS!C1870="","",DADOS!C1870)</f>
        <v/>
      </c>
      <c r="F1870" s="9" t="str">
        <f>IF(DADOS!E1870="","",DADOS!E1870)</f>
        <v/>
      </c>
      <c r="G1870" s="9" t="str">
        <f>IF(DADOS!F1870="","",DADOS!F1870)</f>
        <v/>
      </c>
      <c r="K1870" s="6" t="str">
        <f t="shared" si="150"/>
        <v/>
      </c>
      <c r="L1870" s="7" t="str">
        <f t="shared" si="151"/>
        <v/>
      </c>
      <c r="M1870" s="7" t="str">
        <f t="shared" si="148"/>
        <v/>
      </c>
      <c r="N1870" s="7" t="str">
        <f t="shared" si="152"/>
        <v/>
      </c>
      <c r="O1870" s="8"/>
      <c r="P1870" s="26"/>
      <c r="S1870" s="10" t="str">
        <f t="shared" si="149"/>
        <v/>
      </c>
    </row>
    <row r="1871" spans="5:19" x14ac:dyDescent="0.3">
      <c r="E1871" s="9" t="str">
        <f>IF(DADOS!C1871="","",DADOS!C1871)</f>
        <v/>
      </c>
      <c r="F1871" s="9" t="str">
        <f>IF(DADOS!E1871="","",DADOS!E1871)</f>
        <v/>
      </c>
      <c r="G1871" s="9" t="str">
        <f>IF(DADOS!F1871="","",DADOS!F1871)</f>
        <v/>
      </c>
      <c r="K1871" s="6" t="str">
        <f t="shared" si="150"/>
        <v/>
      </c>
      <c r="L1871" s="7" t="str">
        <f t="shared" si="151"/>
        <v/>
      </c>
      <c r="M1871" s="7" t="str">
        <f t="shared" si="148"/>
        <v/>
      </c>
      <c r="N1871" s="7" t="str">
        <f t="shared" si="152"/>
        <v/>
      </c>
      <c r="O1871" s="8"/>
      <c r="P1871" s="26"/>
      <c r="S1871" s="10" t="str">
        <f t="shared" si="149"/>
        <v/>
      </c>
    </row>
    <row r="1872" spans="5:19" x14ac:dyDescent="0.3">
      <c r="E1872" s="9" t="str">
        <f>IF(DADOS!C1872="","",DADOS!C1872)</f>
        <v/>
      </c>
      <c r="F1872" s="9" t="str">
        <f>IF(DADOS!E1872="","",DADOS!E1872)</f>
        <v/>
      </c>
      <c r="G1872" s="9" t="str">
        <f>IF(DADOS!F1872="","",DADOS!F1872)</f>
        <v/>
      </c>
      <c r="K1872" s="6" t="str">
        <f t="shared" si="150"/>
        <v/>
      </c>
      <c r="L1872" s="7" t="str">
        <f t="shared" si="151"/>
        <v/>
      </c>
      <c r="M1872" s="7" t="str">
        <f t="shared" si="148"/>
        <v/>
      </c>
      <c r="N1872" s="7" t="str">
        <f t="shared" si="152"/>
        <v/>
      </c>
      <c r="O1872" s="8"/>
      <c r="P1872" s="26"/>
      <c r="S1872" s="10" t="str">
        <f t="shared" si="149"/>
        <v/>
      </c>
    </row>
    <row r="1873" spans="5:19" x14ac:dyDescent="0.3">
      <c r="E1873" s="9" t="str">
        <f>IF(DADOS!C1873="","",DADOS!C1873)</f>
        <v/>
      </c>
      <c r="F1873" s="9" t="str">
        <f>IF(DADOS!E1873="","",DADOS!E1873)</f>
        <v/>
      </c>
      <c r="G1873" s="9" t="str">
        <f>IF(DADOS!F1873="","",DADOS!F1873)</f>
        <v/>
      </c>
      <c r="K1873" s="6" t="str">
        <f t="shared" si="150"/>
        <v/>
      </c>
      <c r="L1873" s="7" t="str">
        <f t="shared" si="151"/>
        <v/>
      </c>
      <c r="M1873" s="7" t="str">
        <f t="shared" si="148"/>
        <v/>
      </c>
      <c r="N1873" s="7" t="str">
        <f t="shared" si="152"/>
        <v/>
      </c>
      <c r="O1873" s="8"/>
      <c r="P1873" s="26"/>
      <c r="S1873" s="10" t="str">
        <f t="shared" si="149"/>
        <v/>
      </c>
    </row>
    <row r="1874" spans="5:19" x14ac:dyDescent="0.3">
      <c r="E1874" s="9" t="str">
        <f>IF(DADOS!C1874="","",DADOS!C1874)</f>
        <v/>
      </c>
      <c r="F1874" s="9" t="str">
        <f>IF(DADOS!E1874="","",DADOS!E1874)</f>
        <v/>
      </c>
      <c r="G1874" s="9" t="str">
        <f>IF(DADOS!F1874="","",DADOS!F1874)</f>
        <v/>
      </c>
      <c r="K1874" s="6" t="str">
        <f t="shared" si="150"/>
        <v/>
      </c>
      <c r="L1874" s="7" t="str">
        <f t="shared" si="151"/>
        <v/>
      </c>
      <c r="M1874" s="7" t="str">
        <f t="shared" si="148"/>
        <v/>
      </c>
      <c r="N1874" s="7" t="str">
        <f t="shared" si="152"/>
        <v/>
      </c>
      <c r="O1874" s="8"/>
      <c r="P1874" s="26"/>
      <c r="S1874" s="10" t="str">
        <f t="shared" si="149"/>
        <v/>
      </c>
    </row>
    <row r="1875" spans="5:19" x14ac:dyDescent="0.3">
      <c r="E1875" s="9" t="str">
        <f>IF(DADOS!C1875="","",DADOS!C1875)</f>
        <v/>
      </c>
      <c r="F1875" s="9" t="str">
        <f>IF(DADOS!E1875="","",DADOS!E1875)</f>
        <v/>
      </c>
      <c r="G1875" s="9" t="str">
        <f>IF(DADOS!F1875="","",DADOS!F1875)</f>
        <v/>
      </c>
      <c r="K1875" s="6" t="str">
        <f t="shared" si="150"/>
        <v/>
      </c>
      <c r="L1875" s="7" t="str">
        <f t="shared" si="151"/>
        <v/>
      </c>
      <c r="M1875" s="7" t="str">
        <f t="shared" si="148"/>
        <v/>
      </c>
      <c r="N1875" s="7" t="str">
        <f t="shared" si="152"/>
        <v/>
      </c>
      <c r="O1875" s="8"/>
      <c r="P1875" s="26"/>
      <c r="S1875" s="10" t="str">
        <f t="shared" si="149"/>
        <v/>
      </c>
    </row>
    <row r="1876" spans="5:19" x14ac:dyDescent="0.3">
      <c r="E1876" s="9" t="str">
        <f>IF(DADOS!C1876="","",DADOS!C1876)</f>
        <v/>
      </c>
      <c r="F1876" s="9" t="str">
        <f>IF(DADOS!E1876="","",DADOS!E1876)</f>
        <v/>
      </c>
      <c r="G1876" s="9" t="str">
        <f>IF(DADOS!F1876="","",DADOS!F1876)</f>
        <v/>
      </c>
      <c r="K1876" s="6" t="str">
        <f t="shared" si="150"/>
        <v/>
      </c>
      <c r="L1876" s="7" t="str">
        <f t="shared" si="151"/>
        <v/>
      </c>
      <c r="M1876" s="7" t="str">
        <f t="shared" si="148"/>
        <v/>
      </c>
      <c r="N1876" s="7" t="str">
        <f t="shared" si="152"/>
        <v/>
      </c>
      <c r="O1876" s="8"/>
      <c r="P1876" s="26"/>
      <c r="S1876" s="10" t="str">
        <f t="shared" si="149"/>
        <v/>
      </c>
    </row>
    <row r="1877" spans="5:19" x14ac:dyDescent="0.3">
      <c r="E1877" s="9" t="str">
        <f>IF(DADOS!C1877="","",DADOS!C1877)</f>
        <v/>
      </c>
      <c r="F1877" s="9" t="str">
        <f>IF(DADOS!E1877="","",DADOS!E1877)</f>
        <v/>
      </c>
      <c r="G1877" s="9" t="str">
        <f>IF(DADOS!F1877="","",DADOS!F1877)</f>
        <v/>
      </c>
      <c r="K1877" s="6" t="str">
        <f t="shared" si="150"/>
        <v/>
      </c>
      <c r="L1877" s="7" t="str">
        <f t="shared" si="151"/>
        <v/>
      </c>
      <c r="M1877" s="7" t="str">
        <f t="shared" si="148"/>
        <v/>
      </c>
      <c r="N1877" s="7" t="str">
        <f t="shared" si="152"/>
        <v/>
      </c>
      <c r="O1877" s="8"/>
      <c r="P1877" s="26"/>
      <c r="S1877" s="10" t="str">
        <f t="shared" si="149"/>
        <v/>
      </c>
    </row>
    <row r="1878" spans="5:19" x14ac:dyDescent="0.3">
      <c r="E1878" s="9" t="str">
        <f>IF(DADOS!C1878="","",DADOS!C1878)</f>
        <v/>
      </c>
      <c r="F1878" s="9" t="str">
        <f>IF(DADOS!E1878="","",DADOS!E1878)</f>
        <v/>
      </c>
      <c r="G1878" s="9" t="str">
        <f>IF(DADOS!F1878="","",DADOS!F1878)</f>
        <v/>
      </c>
      <c r="K1878" s="6" t="str">
        <f t="shared" si="150"/>
        <v/>
      </c>
      <c r="L1878" s="7" t="str">
        <f t="shared" si="151"/>
        <v/>
      </c>
      <c r="M1878" s="7" t="str">
        <f t="shared" si="148"/>
        <v/>
      </c>
      <c r="N1878" s="7" t="str">
        <f t="shared" si="152"/>
        <v/>
      </c>
      <c r="O1878" s="8"/>
      <c r="P1878" s="26"/>
      <c r="S1878" s="10" t="str">
        <f t="shared" si="149"/>
        <v/>
      </c>
    </row>
    <row r="1879" spans="5:19" x14ac:dyDescent="0.3">
      <c r="E1879" s="9" t="str">
        <f>IF(DADOS!C1879="","",DADOS!C1879)</f>
        <v/>
      </c>
      <c r="F1879" s="9" t="str">
        <f>IF(DADOS!E1879="","",DADOS!E1879)</f>
        <v/>
      </c>
      <c r="G1879" s="9" t="str">
        <f>IF(DADOS!F1879="","",DADOS!F1879)</f>
        <v/>
      </c>
      <c r="K1879" s="6" t="str">
        <f t="shared" si="150"/>
        <v/>
      </c>
      <c r="L1879" s="7" t="str">
        <f t="shared" si="151"/>
        <v/>
      </c>
      <c r="M1879" s="7" t="str">
        <f t="shared" si="148"/>
        <v/>
      </c>
      <c r="N1879" s="7" t="str">
        <f t="shared" si="152"/>
        <v/>
      </c>
      <c r="O1879" s="8"/>
      <c r="P1879" s="26"/>
      <c r="S1879" s="10" t="str">
        <f t="shared" si="149"/>
        <v/>
      </c>
    </row>
    <row r="1880" spans="5:19" x14ac:dyDescent="0.3">
      <c r="E1880" s="9" t="str">
        <f>IF(DADOS!C1880="","",DADOS!C1880)</f>
        <v/>
      </c>
      <c r="F1880" s="9" t="str">
        <f>IF(DADOS!E1880="","",DADOS!E1880)</f>
        <v/>
      </c>
      <c r="G1880" s="9" t="str">
        <f>IF(DADOS!F1880="","",DADOS!F1880)</f>
        <v/>
      </c>
      <c r="K1880" s="6" t="str">
        <f t="shared" si="150"/>
        <v/>
      </c>
      <c r="L1880" s="7" t="str">
        <f t="shared" si="151"/>
        <v/>
      </c>
      <c r="M1880" s="7" t="str">
        <f t="shared" si="148"/>
        <v/>
      </c>
      <c r="N1880" s="7" t="str">
        <f t="shared" si="152"/>
        <v/>
      </c>
      <c r="O1880" s="8"/>
      <c r="P1880" s="26"/>
      <c r="S1880" s="10" t="str">
        <f t="shared" si="149"/>
        <v/>
      </c>
    </row>
    <row r="1881" spans="5:19" x14ac:dyDescent="0.3">
      <c r="E1881" s="9" t="str">
        <f>IF(DADOS!C1881="","",DADOS!C1881)</f>
        <v/>
      </c>
      <c r="F1881" s="9" t="str">
        <f>IF(DADOS!E1881="","",DADOS!E1881)</f>
        <v/>
      </c>
      <c r="G1881" s="9" t="str">
        <f>IF(DADOS!F1881="","",DADOS!F1881)</f>
        <v/>
      </c>
      <c r="K1881" s="6" t="str">
        <f t="shared" si="150"/>
        <v/>
      </c>
      <c r="L1881" s="7" t="str">
        <f t="shared" si="151"/>
        <v/>
      </c>
      <c r="M1881" s="7" t="str">
        <f t="shared" si="148"/>
        <v/>
      </c>
      <c r="N1881" s="7" t="str">
        <f t="shared" si="152"/>
        <v/>
      </c>
      <c r="O1881" s="8"/>
      <c r="P1881" s="26"/>
      <c r="S1881" s="10" t="str">
        <f t="shared" si="149"/>
        <v/>
      </c>
    </row>
    <row r="1882" spans="5:19" x14ac:dyDescent="0.3">
      <c r="E1882" s="9" t="str">
        <f>IF(DADOS!C1882="","",DADOS!C1882)</f>
        <v/>
      </c>
      <c r="F1882" s="9" t="str">
        <f>IF(DADOS!E1882="","",DADOS!E1882)</f>
        <v/>
      </c>
      <c r="G1882" s="9" t="str">
        <f>IF(DADOS!F1882="","",DADOS!F1882)</f>
        <v/>
      </c>
      <c r="K1882" s="6" t="str">
        <f t="shared" si="150"/>
        <v/>
      </c>
      <c r="L1882" s="7" t="str">
        <f t="shared" si="151"/>
        <v/>
      </c>
      <c r="M1882" s="7" t="str">
        <f t="shared" si="148"/>
        <v/>
      </c>
      <c r="N1882" s="7" t="str">
        <f t="shared" si="152"/>
        <v/>
      </c>
      <c r="O1882" s="8"/>
      <c r="P1882" s="26"/>
      <c r="S1882" s="10" t="str">
        <f t="shared" si="149"/>
        <v/>
      </c>
    </row>
    <row r="1883" spans="5:19" x14ac:dyDescent="0.3">
      <c r="E1883" s="9" t="str">
        <f>IF(DADOS!C1883="","",DADOS!C1883)</f>
        <v/>
      </c>
      <c r="F1883" s="9" t="str">
        <f>IF(DADOS!E1883="","",DADOS!E1883)</f>
        <v/>
      </c>
      <c r="G1883" s="9" t="str">
        <f>IF(DADOS!F1883="","",DADOS!F1883)</f>
        <v/>
      </c>
      <c r="K1883" s="6" t="str">
        <f t="shared" si="150"/>
        <v/>
      </c>
      <c r="L1883" s="7" t="str">
        <f t="shared" si="151"/>
        <v/>
      </c>
      <c r="M1883" s="7" t="str">
        <f t="shared" si="148"/>
        <v/>
      </c>
      <c r="N1883" s="7" t="str">
        <f t="shared" si="152"/>
        <v/>
      </c>
      <c r="O1883" s="8"/>
      <c r="P1883" s="26"/>
      <c r="S1883" s="10" t="str">
        <f t="shared" si="149"/>
        <v/>
      </c>
    </row>
    <row r="1884" spans="5:19" x14ac:dyDescent="0.3">
      <c r="E1884" s="9" t="str">
        <f>IF(DADOS!C1884="","",DADOS!C1884)</f>
        <v/>
      </c>
      <c r="F1884" s="9" t="str">
        <f>IF(DADOS!E1884="","",DADOS!E1884)</f>
        <v/>
      </c>
      <c r="G1884" s="9" t="str">
        <f>IF(DADOS!F1884="","",DADOS!F1884)</f>
        <v/>
      </c>
      <c r="K1884" s="6" t="str">
        <f t="shared" si="150"/>
        <v/>
      </c>
      <c r="L1884" s="7" t="str">
        <f t="shared" si="151"/>
        <v/>
      </c>
      <c r="M1884" s="7" t="str">
        <f t="shared" si="148"/>
        <v/>
      </c>
      <c r="N1884" s="7" t="str">
        <f t="shared" si="152"/>
        <v/>
      </c>
      <c r="O1884" s="8"/>
      <c r="P1884" s="26"/>
      <c r="S1884" s="10" t="str">
        <f t="shared" si="149"/>
        <v/>
      </c>
    </row>
    <row r="1885" spans="5:19" x14ac:dyDescent="0.3">
      <c r="E1885" s="9" t="str">
        <f>IF(DADOS!C1885="","",DADOS!C1885)</f>
        <v/>
      </c>
      <c r="F1885" s="9" t="str">
        <f>IF(DADOS!E1885="","",DADOS!E1885)</f>
        <v/>
      </c>
      <c r="G1885" s="9" t="str">
        <f>IF(DADOS!F1885="","",DADOS!F1885)</f>
        <v/>
      </c>
      <c r="K1885" s="6" t="str">
        <f t="shared" si="150"/>
        <v/>
      </c>
      <c r="L1885" s="7" t="str">
        <f t="shared" si="151"/>
        <v/>
      </c>
      <c r="M1885" s="7" t="str">
        <f t="shared" si="148"/>
        <v/>
      </c>
      <c r="N1885" s="7" t="str">
        <f t="shared" si="152"/>
        <v/>
      </c>
      <c r="O1885" s="8"/>
      <c r="P1885" s="26"/>
      <c r="S1885" s="10" t="str">
        <f t="shared" si="149"/>
        <v/>
      </c>
    </row>
    <row r="1886" spans="5:19" x14ac:dyDescent="0.3">
      <c r="E1886" s="9" t="str">
        <f>IF(DADOS!C1886="","",DADOS!C1886)</f>
        <v/>
      </c>
      <c r="F1886" s="9" t="str">
        <f>IF(DADOS!E1886="","",DADOS!E1886)</f>
        <v/>
      </c>
      <c r="G1886" s="9" t="str">
        <f>IF(DADOS!F1886="","",DADOS!F1886)</f>
        <v/>
      </c>
      <c r="K1886" s="6" t="str">
        <f t="shared" si="150"/>
        <v/>
      </c>
      <c r="L1886" s="7" t="str">
        <f t="shared" si="151"/>
        <v/>
      </c>
      <c r="M1886" s="7" t="str">
        <f t="shared" si="148"/>
        <v/>
      </c>
      <c r="N1886" s="7" t="str">
        <f t="shared" si="152"/>
        <v/>
      </c>
      <c r="O1886" s="8"/>
      <c r="P1886" s="26"/>
      <c r="S1886" s="10" t="str">
        <f t="shared" si="149"/>
        <v/>
      </c>
    </row>
    <row r="1887" spans="5:19" x14ac:dyDescent="0.3">
      <c r="E1887" s="9" t="str">
        <f>IF(DADOS!C1887="","",DADOS!C1887)</f>
        <v/>
      </c>
      <c r="F1887" s="9" t="str">
        <f>IF(DADOS!E1887="","",DADOS!E1887)</f>
        <v/>
      </c>
      <c r="G1887" s="9" t="str">
        <f>IF(DADOS!F1887="","",DADOS!F1887)</f>
        <v/>
      </c>
      <c r="K1887" s="6" t="str">
        <f t="shared" si="150"/>
        <v/>
      </c>
      <c r="L1887" s="7" t="str">
        <f t="shared" si="151"/>
        <v/>
      </c>
      <c r="M1887" s="7" t="str">
        <f t="shared" si="148"/>
        <v/>
      </c>
      <c r="N1887" s="7" t="str">
        <f t="shared" si="152"/>
        <v/>
      </c>
      <c r="O1887" s="8"/>
      <c r="P1887" s="26"/>
      <c r="S1887" s="10" t="str">
        <f t="shared" si="149"/>
        <v/>
      </c>
    </row>
    <row r="1888" spans="5:19" x14ac:dyDescent="0.3">
      <c r="E1888" s="9" t="str">
        <f>IF(DADOS!C1888="","",DADOS!C1888)</f>
        <v/>
      </c>
      <c r="F1888" s="9" t="str">
        <f>IF(DADOS!E1888="","",DADOS!E1888)</f>
        <v/>
      </c>
      <c r="G1888" s="9" t="str">
        <f>IF(DADOS!F1888="","",DADOS!F1888)</f>
        <v/>
      </c>
      <c r="K1888" s="6" t="str">
        <f t="shared" si="150"/>
        <v/>
      </c>
      <c r="L1888" s="7" t="str">
        <f t="shared" si="151"/>
        <v/>
      </c>
      <c r="M1888" s="7" t="str">
        <f t="shared" si="148"/>
        <v/>
      </c>
      <c r="N1888" s="7" t="str">
        <f t="shared" si="152"/>
        <v/>
      </c>
      <c r="O1888" s="8"/>
      <c r="P1888" s="26"/>
      <c r="S1888" s="10" t="str">
        <f t="shared" si="149"/>
        <v/>
      </c>
    </row>
    <row r="1889" spans="5:19" x14ac:dyDescent="0.3">
      <c r="E1889" s="9" t="str">
        <f>IF(DADOS!C1889="","",DADOS!C1889)</f>
        <v/>
      </c>
      <c r="F1889" s="9" t="str">
        <f>IF(DADOS!E1889="","",DADOS!E1889)</f>
        <v/>
      </c>
      <c r="G1889" s="9" t="str">
        <f>IF(DADOS!F1889="","",DADOS!F1889)</f>
        <v/>
      </c>
      <c r="K1889" s="6" t="str">
        <f t="shared" si="150"/>
        <v/>
      </c>
      <c r="L1889" s="7" t="str">
        <f t="shared" si="151"/>
        <v/>
      </c>
      <c r="M1889" s="7" t="str">
        <f t="shared" si="148"/>
        <v/>
      </c>
      <c r="N1889" s="7" t="str">
        <f t="shared" si="152"/>
        <v/>
      </c>
      <c r="O1889" s="8"/>
      <c r="P1889" s="26"/>
      <c r="S1889" s="10" t="str">
        <f t="shared" si="149"/>
        <v/>
      </c>
    </row>
    <row r="1890" spans="5:19" x14ac:dyDescent="0.3">
      <c r="E1890" s="9" t="str">
        <f>IF(DADOS!C1890="","",DADOS!C1890)</f>
        <v/>
      </c>
      <c r="F1890" s="9" t="str">
        <f>IF(DADOS!E1890="","",DADOS!E1890)</f>
        <v/>
      </c>
      <c r="G1890" s="9" t="str">
        <f>IF(DADOS!F1890="","",DADOS!F1890)</f>
        <v/>
      </c>
      <c r="K1890" s="6" t="str">
        <f t="shared" si="150"/>
        <v/>
      </c>
      <c r="L1890" s="7" t="str">
        <f t="shared" si="151"/>
        <v/>
      </c>
      <c r="M1890" s="7" t="str">
        <f t="shared" si="148"/>
        <v/>
      </c>
      <c r="N1890" s="7" t="str">
        <f t="shared" si="152"/>
        <v/>
      </c>
      <c r="O1890" s="8"/>
      <c r="P1890" s="26"/>
      <c r="S1890" s="10" t="str">
        <f t="shared" si="149"/>
        <v/>
      </c>
    </row>
    <row r="1891" spans="5:19" x14ac:dyDescent="0.3">
      <c r="E1891" s="9" t="str">
        <f>IF(DADOS!C1891="","",DADOS!C1891)</f>
        <v/>
      </c>
      <c r="F1891" s="9" t="str">
        <f>IF(DADOS!E1891="","",DADOS!E1891)</f>
        <v/>
      </c>
      <c r="G1891" s="9" t="str">
        <f>IF(DADOS!F1891="","",DADOS!F1891)</f>
        <v/>
      </c>
      <c r="K1891" s="6" t="str">
        <f t="shared" si="150"/>
        <v/>
      </c>
      <c r="L1891" s="7" t="str">
        <f t="shared" si="151"/>
        <v/>
      </c>
      <c r="M1891" s="7" t="str">
        <f t="shared" si="148"/>
        <v/>
      </c>
      <c r="N1891" s="7" t="str">
        <f t="shared" si="152"/>
        <v/>
      </c>
      <c r="O1891" s="8"/>
      <c r="P1891" s="26"/>
      <c r="S1891" s="10" t="str">
        <f t="shared" si="149"/>
        <v/>
      </c>
    </row>
    <row r="1892" spans="5:19" x14ac:dyDescent="0.3">
      <c r="E1892" s="9" t="str">
        <f>IF(DADOS!C1892="","",DADOS!C1892)</f>
        <v/>
      </c>
      <c r="F1892" s="9" t="str">
        <f>IF(DADOS!E1892="","",DADOS!E1892)</f>
        <v/>
      </c>
      <c r="G1892" s="9" t="str">
        <f>IF(DADOS!F1892="","",DADOS!F1892)</f>
        <v/>
      </c>
      <c r="K1892" s="6" t="str">
        <f t="shared" si="150"/>
        <v/>
      </c>
      <c r="L1892" s="7" t="str">
        <f t="shared" si="151"/>
        <v/>
      </c>
      <c r="M1892" s="7" t="str">
        <f t="shared" si="148"/>
        <v/>
      </c>
      <c r="N1892" s="7" t="str">
        <f t="shared" si="152"/>
        <v/>
      </c>
      <c r="O1892" s="8"/>
      <c r="P1892" s="26"/>
      <c r="S1892" s="10" t="str">
        <f t="shared" si="149"/>
        <v/>
      </c>
    </row>
    <row r="1893" spans="5:19" x14ac:dyDescent="0.3">
      <c r="E1893" s="9" t="str">
        <f>IF(DADOS!C1893="","",DADOS!C1893)</f>
        <v/>
      </c>
      <c r="F1893" s="9" t="str">
        <f>IF(DADOS!E1893="","",DADOS!E1893)</f>
        <v/>
      </c>
      <c r="G1893" s="9" t="str">
        <f>IF(DADOS!F1893="","",DADOS!F1893)</f>
        <v/>
      </c>
      <c r="K1893" s="6" t="str">
        <f t="shared" si="150"/>
        <v/>
      </c>
      <c r="L1893" s="7" t="str">
        <f t="shared" si="151"/>
        <v/>
      </c>
      <c r="M1893" s="7" t="str">
        <f t="shared" si="148"/>
        <v/>
      </c>
      <c r="N1893" s="7" t="str">
        <f t="shared" si="152"/>
        <v/>
      </c>
      <c r="O1893" s="8"/>
      <c r="P1893" s="26"/>
      <c r="S1893" s="10" t="str">
        <f t="shared" si="149"/>
        <v/>
      </c>
    </row>
    <row r="1894" spans="5:19" x14ac:dyDescent="0.3">
      <c r="E1894" s="9" t="str">
        <f>IF(DADOS!C1894="","",DADOS!C1894)</f>
        <v/>
      </c>
      <c r="F1894" s="9" t="str">
        <f>IF(DADOS!E1894="","",DADOS!E1894)</f>
        <v/>
      </c>
      <c r="G1894" s="9" t="str">
        <f>IF(DADOS!F1894="","",DADOS!F1894)</f>
        <v/>
      </c>
      <c r="K1894" s="6" t="str">
        <f t="shared" si="150"/>
        <v/>
      </c>
      <c r="L1894" s="7" t="str">
        <f t="shared" si="151"/>
        <v/>
      </c>
      <c r="M1894" s="7" t="str">
        <f t="shared" si="148"/>
        <v/>
      </c>
      <c r="N1894" s="7" t="str">
        <f t="shared" si="152"/>
        <v/>
      </c>
      <c r="O1894" s="8"/>
      <c r="P1894" s="26"/>
      <c r="S1894" s="10" t="str">
        <f t="shared" si="149"/>
        <v/>
      </c>
    </row>
    <row r="1895" spans="5:19" x14ac:dyDescent="0.3">
      <c r="E1895" s="9" t="str">
        <f>IF(DADOS!C1895="","",DADOS!C1895)</f>
        <v/>
      </c>
      <c r="F1895" s="9" t="str">
        <f>IF(DADOS!E1895="","",DADOS!E1895)</f>
        <v/>
      </c>
      <c r="G1895" s="9" t="str">
        <f>IF(DADOS!F1895="","",DADOS!F1895)</f>
        <v/>
      </c>
      <c r="K1895" s="6" t="str">
        <f t="shared" si="150"/>
        <v/>
      </c>
      <c r="L1895" s="7" t="str">
        <f t="shared" si="151"/>
        <v/>
      </c>
      <c r="M1895" s="7" t="str">
        <f t="shared" si="148"/>
        <v/>
      </c>
      <c r="N1895" s="7" t="str">
        <f t="shared" si="152"/>
        <v/>
      </c>
      <c r="O1895" s="8"/>
      <c r="P1895" s="26"/>
      <c r="S1895" s="10" t="str">
        <f t="shared" si="149"/>
        <v/>
      </c>
    </row>
    <row r="1896" spans="5:19" x14ac:dyDescent="0.3">
      <c r="E1896" s="9" t="str">
        <f>IF(DADOS!C1896="","",DADOS!C1896)</f>
        <v/>
      </c>
      <c r="F1896" s="9" t="str">
        <f>IF(DADOS!E1896="","",DADOS!E1896)</f>
        <v/>
      </c>
      <c r="G1896" s="9" t="str">
        <f>IF(DADOS!F1896="","",DADOS!F1896)</f>
        <v/>
      </c>
      <c r="K1896" s="6" t="str">
        <f t="shared" si="150"/>
        <v/>
      </c>
      <c r="L1896" s="7" t="str">
        <f t="shared" si="151"/>
        <v/>
      </c>
      <c r="M1896" s="7" t="str">
        <f t="shared" si="148"/>
        <v/>
      </c>
      <c r="N1896" s="7" t="str">
        <f t="shared" si="152"/>
        <v/>
      </c>
      <c r="O1896" s="8"/>
      <c r="P1896" s="26"/>
      <c r="S1896" s="10" t="str">
        <f t="shared" si="149"/>
        <v/>
      </c>
    </row>
    <row r="1897" spans="5:19" x14ac:dyDescent="0.3">
      <c r="E1897" s="9" t="str">
        <f>IF(DADOS!C1897="","",DADOS!C1897)</f>
        <v/>
      </c>
      <c r="F1897" s="9" t="str">
        <f>IF(DADOS!E1897="","",DADOS!E1897)</f>
        <v/>
      </c>
      <c r="G1897" s="9" t="str">
        <f>IF(DADOS!F1897="","",DADOS!F1897)</f>
        <v/>
      </c>
      <c r="K1897" s="6" t="str">
        <f t="shared" si="150"/>
        <v/>
      </c>
      <c r="L1897" s="7" t="str">
        <f t="shared" si="151"/>
        <v/>
      </c>
      <c r="M1897" s="7" t="str">
        <f t="shared" si="148"/>
        <v/>
      </c>
      <c r="N1897" s="7" t="str">
        <f t="shared" si="152"/>
        <v/>
      </c>
      <c r="O1897" s="8"/>
      <c r="P1897" s="26"/>
      <c r="S1897" s="10" t="str">
        <f t="shared" si="149"/>
        <v/>
      </c>
    </row>
    <row r="1898" spans="5:19" x14ac:dyDescent="0.3">
      <c r="E1898" s="9" t="str">
        <f>IF(DADOS!C1898="","",DADOS!C1898)</f>
        <v/>
      </c>
      <c r="F1898" s="9" t="str">
        <f>IF(DADOS!E1898="","",DADOS!E1898)</f>
        <v/>
      </c>
      <c r="G1898" s="9" t="str">
        <f>IF(DADOS!F1898="","",DADOS!F1898)</f>
        <v/>
      </c>
      <c r="K1898" s="6" t="str">
        <f t="shared" si="150"/>
        <v/>
      </c>
      <c r="L1898" s="7" t="str">
        <f t="shared" si="151"/>
        <v/>
      </c>
      <c r="M1898" s="7" t="str">
        <f t="shared" si="148"/>
        <v/>
      </c>
      <c r="N1898" s="7" t="str">
        <f t="shared" si="152"/>
        <v/>
      </c>
      <c r="O1898" s="8"/>
      <c r="P1898" s="26"/>
      <c r="S1898" s="10" t="str">
        <f t="shared" si="149"/>
        <v/>
      </c>
    </row>
    <row r="1899" spans="5:19" x14ac:dyDescent="0.3">
      <c r="E1899" s="9" t="str">
        <f>IF(DADOS!C1899="","",DADOS!C1899)</f>
        <v/>
      </c>
      <c r="F1899" s="9" t="str">
        <f>IF(DADOS!E1899="","",DADOS!E1899)</f>
        <v/>
      </c>
      <c r="G1899" s="9" t="str">
        <f>IF(DADOS!F1899="","",DADOS!F1899)</f>
        <v/>
      </c>
      <c r="K1899" s="6" t="str">
        <f t="shared" si="150"/>
        <v/>
      </c>
      <c r="L1899" s="7" t="str">
        <f t="shared" si="151"/>
        <v/>
      </c>
      <c r="M1899" s="7" t="str">
        <f t="shared" si="148"/>
        <v/>
      </c>
      <c r="N1899" s="7" t="str">
        <f t="shared" si="152"/>
        <v/>
      </c>
      <c r="O1899" s="8"/>
      <c r="P1899" s="26"/>
      <c r="S1899" s="10" t="str">
        <f t="shared" si="149"/>
        <v/>
      </c>
    </row>
    <row r="1900" spans="5:19" x14ac:dyDescent="0.3">
      <c r="E1900" s="9" t="str">
        <f>IF(DADOS!C1900="","",DADOS!C1900)</f>
        <v/>
      </c>
      <c r="F1900" s="9" t="str">
        <f>IF(DADOS!E1900="","",DADOS!E1900)</f>
        <v/>
      </c>
      <c r="G1900" s="9" t="str">
        <f>IF(DADOS!F1900="","",DADOS!F1900)</f>
        <v/>
      </c>
      <c r="K1900" s="6" t="str">
        <f t="shared" si="150"/>
        <v/>
      </c>
      <c r="L1900" s="7" t="str">
        <f t="shared" si="151"/>
        <v/>
      </c>
      <c r="M1900" s="7" t="str">
        <f t="shared" si="148"/>
        <v/>
      </c>
      <c r="N1900" s="7" t="str">
        <f t="shared" si="152"/>
        <v/>
      </c>
      <c r="O1900" s="8"/>
      <c r="P1900" s="26"/>
      <c r="S1900" s="10" t="str">
        <f t="shared" si="149"/>
        <v/>
      </c>
    </row>
    <row r="1901" spans="5:19" x14ac:dyDescent="0.3">
      <c r="E1901" s="9" t="str">
        <f>IF(DADOS!C1901="","",DADOS!C1901)</f>
        <v/>
      </c>
      <c r="F1901" s="9" t="str">
        <f>IF(DADOS!E1901="","",DADOS!E1901)</f>
        <v/>
      </c>
      <c r="G1901" s="9" t="str">
        <f>IF(DADOS!F1901="","",DADOS!F1901)</f>
        <v/>
      </c>
      <c r="K1901" s="6" t="str">
        <f t="shared" si="150"/>
        <v/>
      </c>
      <c r="L1901" s="7" t="str">
        <f t="shared" si="151"/>
        <v/>
      </c>
      <c r="M1901" s="7" t="str">
        <f t="shared" si="148"/>
        <v/>
      </c>
      <c r="N1901" s="7" t="str">
        <f t="shared" si="152"/>
        <v/>
      </c>
      <c r="O1901" s="8"/>
      <c r="P1901" s="26"/>
      <c r="S1901" s="10" t="str">
        <f t="shared" si="149"/>
        <v/>
      </c>
    </row>
    <row r="1902" spans="5:19" x14ac:dyDescent="0.3">
      <c r="E1902" s="9" t="str">
        <f>IF(DADOS!C1902="","",DADOS!C1902)</f>
        <v/>
      </c>
      <c r="F1902" s="9" t="str">
        <f>IF(DADOS!E1902="","",DADOS!E1902)</f>
        <v/>
      </c>
      <c r="G1902" s="9" t="str">
        <f>IF(DADOS!F1902="","",DADOS!F1902)</f>
        <v/>
      </c>
      <c r="K1902" s="6" t="str">
        <f t="shared" si="150"/>
        <v/>
      </c>
      <c r="L1902" s="7" t="str">
        <f t="shared" si="151"/>
        <v/>
      </c>
      <c r="M1902" s="7" t="str">
        <f t="shared" si="148"/>
        <v/>
      </c>
      <c r="N1902" s="7" t="str">
        <f t="shared" si="152"/>
        <v/>
      </c>
      <c r="O1902" s="8"/>
      <c r="P1902" s="26"/>
      <c r="S1902" s="10" t="str">
        <f t="shared" si="149"/>
        <v/>
      </c>
    </row>
    <row r="1903" spans="5:19" x14ac:dyDescent="0.3">
      <c r="E1903" s="9" t="str">
        <f>IF(DADOS!C1903="","",DADOS!C1903)</f>
        <v/>
      </c>
      <c r="F1903" s="9" t="str">
        <f>IF(DADOS!E1903="","",DADOS!E1903)</f>
        <v/>
      </c>
      <c r="G1903" s="9" t="str">
        <f>IF(DADOS!F1903="","",DADOS!F1903)</f>
        <v/>
      </c>
      <c r="K1903" s="6" t="str">
        <f t="shared" si="150"/>
        <v/>
      </c>
      <c r="L1903" s="7" t="str">
        <f t="shared" si="151"/>
        <v/>
      </c>
      <c r="M1903" s="7" t="str">
        <f t="shared" si="148"/>
        <v/>
      </c>
      <c r="N1903" s="7" t="str">
        <f t="shared" si="152"/>
        <v/>
      </c>
      <c r="O1903" s="8"/>
      <c r="P1903" s="26"/>
      <c r="S1903" s="10" t="str">
        <f t="shared" si="149"/>
        <v/>
      </c>
    </row>
    <row r="1904" spans="5:19" x14ac:dyDescent="0.3">
      <c r="E1904" s="9" t="str">
        <f>IF(DADOS!C1904="","",DADOS!C1904)</f>
        <v/>
      </c>
      <c r="F1904" s="9" t="str">
        <f>IF(DADOS!E1904="","",DADOS!E1904)</f>
        <v/>
      </c>
      <c r="G1904" s="9" t="str">
        <f>IF(DADOS!F1904="","",DADOS!F1904)</f>
        <v/>
      </c>
      <c r="K1904" s="6" t="str">
        <f t="shared" si="150"/>
        <v/>
      </c>
      <c r="L1904" s="7" t="str">
        <f t="shared" si="151"/>
        <v/>
      </c>
      <c r="M1904" s="7" t="str">
        <f t="shared" si="148"/>
        <v/>
      </c>
      <c r="N1904" s="7" t="str">
        <f t="shared" si="152"/>
        <v/>
      </c>
      <c r="O1904" s="8"/>
      <c r="P1904" s="26"/>
      <c r="S1904" s="10" t="str">
        <f t="shared" si="149"/>
        <v/>
      </c>
    </row>
    <row r="1905" spans="5:19" x14ac:dyDescent="0.3">
      <c r="E1905" s="9" t="str">
        <f>IF(DADOS!C1905="","",DADOS!C1905)</f>
        <v/>
      </c>
      <c r="F1905" s="9" t="str">
        <f>IF(DADOS!E1905="","",DADOS!E1905)</f>
        <v/>
      </c>
      <c r="G1905" s="9" t="str">
        <f>IF(DADOS!F1905="","",DADOS!F1905)</f>
        <v/>
      </c>
      <c r="K1905" s="6" t="str">
        <f t="shared" si="150"/>
        <v/>
      </c>
      <c r="L1905" s="7" t="str">
        <f t="shared" si="151"/>
        <v/>
      </c>
      <c r="M1905" s="7" t="str">
        <f t="shared" si="148"/>
        <v/>
      </c>
      <c r="N1905" s="7" t="str">
        <f t="shared" si="152"/>
        <v/>
      </c>
      <c r="O1905" s="8"/>
      <c r="P1905" s="26"/>
      <c r="S1905" s="10" t="str">
        <f t="shared" si="149"/>
        <v/>
      </c>
    </row>
    <row r="1906" spans="5:19" x14ac:dyDescent="0.3">
      <c r="E1906" s="9" t="str">
        <f>IF(DADOS!C1906="","",DADOS!C1906)</f>
        <v/>
      </c>
      <c r="F1906" s="9" t="str">
        <f>IF(DADOS!E1906="","",DADOS!E1906)</f>
        <v/>
      </c>
      <c r="G1906" s="9" t="str">
        <f>IF(DADOS!F1906="","",DADOS!F1906)</f>
        <v/>
      </c>
      <c r="K1906" s="6" t="str">
        <f t="shared" si="150"/>
        <v/>
      </c>
      <c r="L1906" s="7" t="str">
        <f t="shared" si="151"/>
        <v/>
      </c>
      <c r="M1906" s="7" t="str">
        <f t="shared" si="148"/>
        <v/>
      </c>
      <c r="N1906" s="7" t="str">
        <f t="shared" si="152"/>
        <v/>
      </c>
      <c r="O1906" s="8"/>
      <c r="P1906" s="26"/>
      <c r="S1906" s="10" t="str">
        <f t="shared" si="149"/>
        <v/>
      </c>
    </row>
    <row r="1907" spans="5:19" x14ac:dyDescent="0.3">
      <c r="E1907" s="9" t="str">
        <f>IF(DADOS!C1907="","",DADOS!C1907)</f>
        <v/>
      </c>
      <c r="F1907" s="9" t="str">
        <f>IF(DADOS!E1907="","",DADOS!E1907)</f>
        <v/>
      </c>
      <c r="G1907" s="9" t="str">
        <f>IF(DADOS!F1907="","",DADOS!F1907)</f>
        <v/>
      </c>
      <c r="K1907" s="6" t="str">
        <f t="shared" si="150"/>
        <v/>
      </c>
      <c r="L1907" s="7" t="str">
        <f t="shared" si="151"/>
        <v/>
      </c>
      <c r="M1907" s="7" t="str">
        <f t="shared" si="148"/>
        <v/>
      </c>
      <c r="N1907" s="7" t="str">
        <f t="shared" si="152"/>
        <v/>
      </c>
      <c r="O1907" s="8"/>
      <c r="P1907" s="26"/>
      <c r="S1907" s="10" t="str">
        <f t="shared" si="149"/>
        <v/>
      </c>
    </row>
    <row r="1908" spans="5:19" x14ac:dyDescent="0.3">
      <c r="E1908" s="9" t="str">
        <f>IF(DADOS!C1908="","",DADOS!C1908)</f>
        <v/>
      </c>
      <c r="F1908" s="9" t="str">
        <f>IF(DADOS!E1908="","",DADOS!E1908)</f>
        <v/>
      </c>
      <c r="G1908" s="9" t="str">
        <f>IF(DADOS!F1908="","",DADOS!F1908)</f>
        <v/>
      </c>
      <c r="K1908" s="6" t="str">
        <f t="shared" si="150"/>
        <v/>
      </c>
      <c r="L1908" s="7" t="str">
        <f t="shared" si="151"/>
        <v/>
      </c>
      <c r="M1908" s="7" t="str">
        <f t="shared" si="148"/>
        <v/>
      </c>
      <c r="N1908" s="7" t="str">
        <f t="shared" si="152"/>
        <v/>
      </c>
      <c r="O1908" s="8"/>
      <c r="P1908" s="26"/>
      <c r="S1908" s="10" t="str">
        <f t="shared" si="149"/>
        <v/>
      </c>
    </row>
    <row r="1909" spans="5:19" x14ac:dyDescent="0.3">
      <c r="E1909" s="9" t="str">
        <f>IF(DADOS!C1909="","",DADOS!C1909)</f>
        <v/>
      </c>
      <c r="F1909" s="9" t="str">
        <f>IF(DADOS!E1909="","",DADOS!E1909)</f>
        <v/>
      </c>
      <c r="G1909" s="9" t="str">
        <f>IF(DADOS!F1909="","",DADOS!F1909)</f>
        <v/>
      </c>
      <c r="K1909" s="6" t="str">
        <f t="shared" si="150"/>
        <v/>
      </c>
      <c r="L1909" s="7" t="str">
        <f t="shared" si="151"/>
        <v/>
      </c>
      <c r="M1909" s="7" t="str">
        <f t="shared" si="148"/>
        <v/>
      </c>
      <c r="N1909" s="7" t="str">
        <f t="shared" si="152"/>
        <v/>
      </c>
      <c r="O1909" s="8"/>
      <c r="P1909" s="26"/>
      <c r="S1909" s="10" t="str">
        <f t="shared" si="149"/>
        <v/>
      </c>
    </row>
    <row r="1910" spans="5:19" x14ac:dyDescent="0.3">
      <c r="E1910" s="9" t="str">
        <f>IF(DADOS!C1910="","",DADOS!C1910)</f>
        <v/>
      </c>
      <c r="F1910" s="9" t="str">
        <f>IF(DADOS!E1910="","",DADOS!E1910)</f>
        <v/>
      </c>
      <c r="G1910" s="9" t="str">
        <f>IF(DADOS!F1910="","",DADOS!F1910)</f>
        <v/>
      </c>
      <c r="K1910" s="6" t="str">
        <f t="shared" si="150"/>
        <v/>
      </c>
      <c r="L1910" s="7" t="str">
        <f t="shared" si="151"/>
        <v/>
      </c>
      <c r="M1910" s="7" t="str">
        <f t="shared" si="148"/>
        <v/>
      </c>
      <c r="N1910" s="7" t="str">
        <f t="shared" si="152"/>
        <v/>
      </c>
      <c r="O1910" s="8"/>
      <c r="P1910" s="26"/>
      <c r="S1910" s="10" t="str">
        <f t="shared" si="149"/>
        <v/>
      </c>
    </row>
    <row r="1911" spans="5:19" x14ac:dyDescent="0.3">
      <c r="E1911" s="9" t="str">
        <f>IF(DADOS!C1911="","",DADOS!C1911)</f>
        <v/>
      </c>
      <c r="F1911" s="9" t="str">
        <f>IF(DADOS!E1911="","",DADOS!E1911)</f>
        <v/>
      </c>
      <c r="G1911" s="9" t="str">
        <f>IF(DADOS!F1911="","",DADOS!F1911)</f>
        <v/>
      </c>
      <c r="K1911" s="6" t="str">
        <f t="shared" si="150"/>
        <v/>
      </c>
      <c r="L1911" s="7" t="str">
        <f t="shared" si="151"/>
        <v/>
      </c>
      <c r="M1911" s="7" t="str">
        <f t="shared" si="148"/>
        <v/>
      </c>
      <c r="N1911" s="7" t="str">
        <f t="shared" si="152"/>
        <v/>
      </c>
      <c r="O1911" s="8"/>
      <c r="P1911" s="26"/>
      <c r="S1911" s="10" t="str">
        <f t="shared" si="149"/>
        <v/>
      </c>
    </row>
    <row r="1912" spans="5:19" x14ac:dyDescent="0.3">
      <c r="E1912" s="9" t="str">
        <f>IF(DADOS!C1912="","",DADOS!C1912)</f>
        <v/>
      </c>
      <c r="F1912" s="9" t="str">
        <f>IF(DADOS!E1912="","",DADOS!E1912)</f>
        <v/>
      </c>
      <c r="G1912" s="9" t="str">
        <f>IF(DADOS!F1912="","",DADOS!F1912)</f>
        <v/>
      </c>
      <c r="K1912" s="6" t="str">
        <f t="shared" si="150"/>
        <v/>
      </c>
      <c r="L1912" s="7" t="str">
        <f t="shared" si="151"/>
        <v/>
      </c>
      <c r="M1912" s="7" t="str">
        <f t="shared" si="148"/>
        <v/>
      </c>
      <c r="N1912" s="7" t="str">
        <f t="shared" si="152"/>
        <v/>
      </c>
      <c r="O1912" s="8"/>
      <c r="P1912" s="26"/>
      <c r="S1912" s="10" t="str">
        <f t="shared" si="149"/>
        <v/>
      </c>
    </row>
    <row r="1913" spans="5:19" x14ac:dyDescent="0.3">
      <c r="E1913" s="9" t="str">
        <f>IF(DADOS!C1913="","",DADOS!C1913)</f>
        <v/>
      </c>
      <c r="F1913" s="9" t="str">
        <f>IF(DADOS!E1913="","",DADOS!E1913)</f>
        <v/>
      </c>
      <c r="G1913" s="9" t="str">
        <f>IF(DADOS!F1913="","",DADOS!F1913)</f>
        <v/>
      </c>
      <c r="K1913" s="6" t="str">
        <f t="shared" si="150"/>
        <v/>
      </c>
      <c r="L1913" s="7" t="str">
        <f t="shared" si="151"/>
        <v/>
      </c>
      <c r="M1913" s="7" t="str">
        <f t="shared" si="148"/>
        <v/>
      </c>
      <c r="N1913" s="7" t="str">
        <f t="shared" si="152"/>
        <v/>
      </c>
      <c r="O1913" s="8"/>
      <c r="P1913" s="26"/>
      <c r="S1913" s="10" t="str">
        <f t="shared" si="149"/>
        <v/>
      </c>
    </row>
    <row r="1914" spans="5:19" x14ac:dyDescent="0.3">
      <c r="E1914" s="9" t="str">
        <f>IF(DADOS!C1914="","",DADOS!C1914)</f>
        <v/>
      </c>
      <c r="F1914" s="9" t="str">
        <f>IF(DADOS!E1914="","",DADOS!E1914)</f>
        <v/>
      </c>
      <c r="G1914" s="9" t="str">
        <f>IF(DADOS!F1914="","",DADOS!F1914)</f>
        <v/>
      </c>
      <c r="K1914" s="6" t="str">
        <f t="shared" si="150"/>
        <v/>
      </c>
      <c r="L1914" s="7" t="str">
        <f t="shared" si="151"/>
        <v/>
      </c>
      <c r="M1914" s="7" t="str">
        <f t="shared" si="148"/>
        <v/>
      </c>
      <c r="N1914" s="7" t="str">
        <f t="shared" si="152"/>
        <v/>
      </c>
      <c r="O1914" s="8"/>
      <c r="P1914" s="26"/>
      <c r="S1914" s="10" t="str">
        <f t="shared" si="149"/>
        <v/>
      </c>
    </row>
    <row r="1915" spans="5:19" x14ac:dyDescent="0.3">
      <c r="E1915" s="9" t="str">
        <f>IF(DADOS!C1915="","",DADOS!C1915)</f>
        <v/>
      </c>
      <c r="F1915" s="9" t="str">
        <f>IF(DADOS!E1915="","",DADOS!E1915)</f>
        <v/>
      </c>
      <c r="G1915" s="9" t="str">
        <f>IF(DADOS!F1915="","",DADOS!F1915)</f>
        <v/>
      </c>
      <c r="K1915" s="6" t="str">
        <f t="shared" si="150"/>
        <v/>
      </c>
      <c r="L1915" s="7" t="str">
        <f t="shared" si="151"/>
        <v/>
      </c>
      <c r="M1915" s="7" t="str">
        <f t="shared" si="148"/>
        <v/>
      </c>
      <c r="N1915" s="7" t="str">
        <f t="shared" si="152"/>
        <v/>
      </c>
      <c r="O1915" s="8"/>
      <c r="P1915" s="26"/>
      <c r="S1915" s="10" t="str">
        <f t="shared" si="149"/>
        <v/>
      </c>
    </row>
    <row r="1916" spans="5:19" x14ac:dyDescent="0.3">
      <c r="E1916" s="9" t="str">
        <f>IF(DADOS!C1916="","",DADOS!C1916)</f>
        <v/>
      </c>
      <c r="F1916" s="9" t="str">
        <f>IF(DADOS!E1916="","",DADOS!E1916)</f>
        <v/>
      </c>
      <c r="G1916" s="9" t="str">
        <f>IF(DADOS!F1916="","",DADOS!F1916)</f>
        <v/>
      </c>
      <c r="K1916" s="6" t="str">
        <f t="shared" si="150"/>
        <v/>
      </c>
      <c r="L1916" s="7" t="str">
        <f t="shared" si="151"/>
        <v/>
      </c>
      <c r="M1916" s="7" t="str">
        <f t="shared" si="148"/>
        <v/>
      </c>
      <c r="N1916" s="7" t="str">
        <f t="shared" si="152"/>
        <v/>
      </c>
      <c r="O1916" s="8"/>
      <c r="P1916" s="26"/>
      <c r="S1916" s="10" t="str">
        <f t="shared" si="149"/>
        <v/>
      </c>
    </row>
    <row r="1917" spans="5:19" x14ac:dyDescent="0.3">
      <c r="E1917" s="9" t="str">
        <f>IF(DADOS!C1917="","",DADOS!C1917)</f>
        <v/>
      </c>
      <c r="F1917" s="9" t="str">
        <f>IF(DADOS!E1917="","",DADOS!E1917)</f>
        <v/>
      </c>
      <c r="G1917" s="9" t="str">
        <f>IF(DADOS!F1917="","",DADOS!F1917)</f>
        <v/>
      </c>
      <c r="K1917" s="6" t="str">
        <f t="shared" si="150"/>
        <v/>
      </c>
      <c r="L1917" s="7" t="str">
        <f t="shared" si="151"/>
        <v/>
      </c>
      <c r="M1917" s="7" t="str">
        <f t="shared" si="148"/>
        <v/>
      </c>
      <c r="N1917" s="7" t="str">
        <f t="shared" si="152"/>
        <v/>
      </c>
      <c r="O1917" s="8"/>
      <c r="P1917" s="26"/>
      <c r="S1917" s="10" t="str">
        <f t="shared" si="149"/>
        <v/>
      </c>
    </row>
    <row r="1918" spans="5:19" x14ac:dyDescent="0.3">
      <c r="E1918" s="9" t="str">
        <f>IF(DADOS!C1918="","",DADOS!C1918)</f>
        <v/>
      </c>
      <c r="F1918" s="9" t="str">
        <f>IF(DADOS!E1918="","",DADOS!E1918)</f>
        <v/>
      </c>
      <c r="G1918" s="9" t="str">
        <f>IF(DADOS!F1918="","",DADOS!F1918)</f>
        <v/>
      </c>
      <c r="K1918" s="6" t="str">
        <f t="shared" si="150"/>
        <v/>
      </c>
      <c r="L1918" s="7" t="str">
        <f t="shared" si="151"/>
        <v/>
      </c>
      <c r="M1918" s="7" t="str">
        <f t="shared" si="148"/>
        <v/>
      </c>
      <c r="N1918" s="7" t="str">
        <f t="shared" si="152"/>
        <v/>
      </c>
      <c r="O1918" s="8"/>
      <c r="P1918" s="26"/>
      <c r="S1918" s="10" t="str">
        <f t="shared" si="149"/>
        <v/>
      </c>
    </row>
    <row r="1919" spans="5:19" x14ac:dyDescent="0.3">
      <c r="E1919" s="9" t="str">
        <f>IF(DADOS!C1919="","",DADOS!C1919)</f>
        <v/>
      </c>
      <c r="F1919" s="9" t="str">
        <f>IF(DADOS!E1919="","",DADOS!E1919)</f>
        <v/>
      </c>
      <c r="G1919" s="9" t="str">
        <f>IF(DADOS!F1919="","",DADOS!F1919)</f>
        <v/>
      </c>
      <c r="K1919" s="6" t="str">
        <f t="shared" si="150"/>
        <v/>
      </c>
      <c r="L1919" s="7" t="str">
        <f t="shared" si="151"/>
        <v/>
      </c>
      <c r="M1919" s="7" t="str">
        <f t="shared" si="148"/>
        <v/>
      </c>
      <c r="N1919" s="7" t="str">
        <f t="shared" si="152"/>
        <v/>
      </c>
      <c r="O1919" s="8"/>
      <c r="P1919" s="26"/>
      <c r="S1919" s="10" t="str">
        <f t="shared" si="149"/>
        <v/>
      </c>
    </row>
    <row r="1920" spans="5:19" x14ac:dyDescent="0.3">
      <c r="E1920" s="9" t="str">
        <f>IF(DADOS!C1920="","",DADOS!C1920)</f>
        <v/>
      </c>
      <c r="F1920" s="9" t="str">
        <f>IF(DADOS!E1920="","",DADOS!E1920)</f>
        <v/>
      </c>
      <c r="G1920" s="9" t="str">
        <f>IF(DADOS!F1920="","",DADOS!F1920)</f>
        <v/>
      </c>
      <c r="K1920" s="6" t="str">
        <f t="shared" si="150"/>
        <v/>
      </c>
      <c r="L1920" s="7" t="str">
        <f t="shared" si="151"/>
        <v/>
      </c>
      <c r="M1920" s="7" t="str">
        <f t="shared" si="148"/>
        <v/>
      </c>
      <c r="N1920" s="7" t="str">
        <f t="shared" si="152"/>
        <v/>
      </c>
      <c r="O1920" s="8"/>
      <c r="P1920" s="26"/>
      <c r="S1920" s="10" t="str">
        <f t="shared" si="149"/>
        <v/>
      </c>
    </row>
    <row r="1921" spans="5:19" x14ac:dyDescent="0.3">
      <c r="E1921" s="9" t="str">
        <f>IF(DADOS!C1921="","",DADOS!C1921)</f>
        <v/>
      </c>
      <c r="F1921" s="9" t="str">
        <f>IF(DADOS!E1921="","",DADOS!E1921)</f>
        <v/>
      </c>
      <c r="G1921" s="9" t="str">
        <f>IF(DADOS!F1921="","",DADOS!F1921)</f>
        <v/>
      </c>
      <c r="K1921" s="6" t="str">
        <f t="shared" si="150"/>
        <v/>
      </c>
      <c r="L1921" s="7" t="str">
        <f t="shared" si="151"/>
        <v/>
      </c>
      <c r="M1921" s="7" t="str">
        <f t="shared" si="148"/>
        <v/>
      </c>
      <c r="N1921" s="7" t="str">
        <f t="shared" si="152"/>
        <v/>
      </c>
      <c r="O1921" s="8"/>
      <c r="P1921" s="26"/>
      <c r="S1921" s="10" t="str">
        <f t="shared" si="149"/>
        <v/>
      </c>
    </row>
    <row r="1922" spans="5:19" x14ac:dyDescent="0.3">
      <c r="E1922" s="9" t="str">
        <f>IF(DADOS!C1922="","",DADOS!C1922)</f>
        <v/>
      </c>
      <c r="F1922" s="9" t="str">
        <f>IF(DADOS!E1922="","",DADOS!E1922)</f>
        <v/>
      </c>
      <c r="G1922" s="9" t="str">
        <f>IF(DADOS!F1922="","",DADOS!F1922)</f>
        <v/>
      </c>
      <c r="K1922" s="6" t="str">
        <f t="shared" si="150"/>
        <v/>
      </c>
      <c r="L1922" s="7" t="str">
        <f t="shared" si="151"/>
        <v/>
      </c>
      <c r="M1922" s="7" t="str">
        <f t="shared" si="148"/>
        <v/>
      </c>
      <c r="N1922" s="7" t="str">
        <f t="shared" si="152"/>
        <v/>
      </c>
      <c r="O1922" s="8"/>
      <c r="P1922" s="26"/>
      <c r="S1922" s="10" t="str">
        <f t="shared" si="149"/>
        <v/>
      </c>
    </row>
    <row r="1923" spans="5:19" x14ac:dyDescent="0.3">
      <c r="E1923" s="9" t="str">
        <f>IF(DADOS!C1923="","",DADOS!C1923)</f>
        <v/>
      </c>
      <c r="F1923" s="9" t="str">
        <f>IF(DADOS!E1923="","",DADOS!E1923)</f>
        <v/>
      </c>
      <c r="G1923" s="9" t="str">
        <f>IF(DADOS!F1923="","",DADOS!F1923)</f>
        <v/>
      </c>
      <c r="K1923" s="6" t="str">
        <f t="shared" si="150"/>
        <v/>
      </c>
      <c r="L1923" s="7" t="str">
        <f t="shared" si="151"/>
        <v/>
      </c>
      <c r="M1923" s="7" t="str">
        <f t="shared" ref="M1923:M1986" si="153">IF(L1923="","",L1923*G1923)</f>
        <v/>
      </c>
      <c r="N1923" s="7" t="str">
        <f t="shared" si="152"/>
        <v/>
      </c>
      <c r="O1923" s="8"/>
      <c r="P1923" s="26"/>
      <c r="S1923" s="10" t="str">
        <f t="shared" ref="S1923:S1986" si="154">IF(R1923="","",SUMIFS($N$3:$N$10000,$E$3:$E$10000,R1923))</f>
        <v/>
      </c>
    </row>
    <row r="1924" spans="5:19" x14ac:dyDescent="0.3">
      <c r="E1924" s="9" t="str">
        <f>IF(DADOS!C1924="","",DADOS!C1924)</f>
        <v/>
      </c>
      <c r="F1924" s="9" t="str">
        <f>IF(DADOS!E1924="","",DADOS!E1924)</f>
        <v/>
      </c>
      <c r="G1924" s="9" t="str">
        <f>IF(DADOS!F1924="","",DADOS!F1924)</f>
        <v/>
      </c>
      <c r="K1924" s="6" t="str">
        <f t="shared" ref="K1924:K1987" si="155">IF(F1924="","",F1924/PI())</f>
        <v/>
      </c>
      <c r="L1924" s="7" t="str">
        <f t="shared" ref="L1924:L1987" si="156">IF(K1924="","",(PI()*K1924^2)/40000)</f>
        <v/>
      </c>
      <c r="M1924" s="7" t="str">
        <f t="shared" si="153"/>
        <v/>
      </c>
      <c r="N1924" s="7" t="str">
        <f t="shared" ref="N1924:N1987" si="157">IF(M1924="","",M1924*N$1)</f>
        <v/>
      </c>
      <c r="O1924" s="8"/>
      <c r="P1924" s="26"/>
      <c r="S1924" s="10" t="str">
        <f t="shared" si="154"/>
        <v/>
      </c>
    </row>
    <row r="1925" spans="5:19" x14ac:dyDescent="0.3">
      <c r="E1925" s="9" t="str">
        <f>IF(DADOS!C1925="","",DADOS!C1925)</f>
        <v/>
      </c>
      <c r="F1925" s="9" t="str">
        <f>IF(DADOS!E1925="","",DADOS!E1925)</f>
        <v/>
      </c>
      <c r="G1925" s="9" t="str">
        <f>IF(DADOS!F1925="","",DADOS!F1925)</f>
        <v/>
      </c>
      <c r="K1925" s="6" t="str">
        <f t="shared" si="155"/>
        <v/>
      </c>
      <c r="L1925" s="7" t="str">
        <f t="shared" si="156"/>
        <v/>
      </c>
      <c r="M1925" s="7" t="str">
        <f t="shared" si="153"/>
        <v/>
      </c>
      <c r="N1925" s="7" t="str">
        <f t="shared" si="157"/>
        <v/>
      </c>
      <c r="O1925" s="8"/>
      <c r="P1925" s="26"/>
      <c r="S1925" s="10" t="str">
        <f t="shared" si="154"/>
        <v/>
      </c>
    </row>
    <row r="1926" spans="5:19" x14ac:dyDescent="0.3">
      <c r="E1926" s="9" t="str">
        <f>IF(DADOS!C1926="","",DADOS!C1926)</f>
        <v/>
      </c>
      <c r="F1926" s="9" t="str">
        <f>IF(DADOS!E1926="","",DADOS!E1926)</f>
        <v/>
      </c>
      <c r="G1926" s="9" t="str">
        <f>IF(DADOS!F1926="","",DADOS!F1926)</f>
        <v/>
      </c>
      <c r="K1926" s="6" t="str">
        <f t="shared" si="155"/>
        <v/>
      </c>
      <c r="L1926" s="7" t="str">
        <f t="shared" si="156"/>
        <v/>
      </c>
      <c r="M1926" s="7" t="str">
        <f t="shared" si="153"/>
        <v/>
      </c>
      <c r="N1926" s="7" t="str">
        <f t="shared" si="157"/>
        <v/>
      </c>
      <c r="O1926" s="8"/>
      <c r="P1926" s="26"/>
      <c r="S1926" s="10" t="str">
        <f t="shared" si="154"/>
        <v/>
      </c>
    </row>
    <row r="1927" spans="5:19" x14ac:dyDescent="0.3">
      <c r="E1927" s="9" t="str">
        <f>IF(DADOS!C1927="","",DADOS!C1927)</f>
        <v/>
      </c>
      <c r="F1927" s="9" t="str">
        <f>IF(DADOS!E1927="","",DADOS!E1927)</f>
        <v/>
      </c>
      <c r="G1927" s="9" t="str">
        <f>IF(DADOS!F1927="","",DADOS!F1927)</f>
        <v/>
      </c>
      <c r="K1927" s="6" t="str">
        <f t="shared" si="155"/>
        <v/>
      </c>
      <c r="L1927" s="7" t="str">
        <f t="shared" si="156"/>
        <v/>
      </c>
      <c r="M1927" s="7" t="str">
        <f t="shared" si="153"/>
        <v/>
      </c>
      <c r="N1927" s="7" t="str">
        <f t="shared" si="157"/>
        <v/>
      </c>
      <c r="O1927" s="8"/>
      <c r="P1927" s="26"/>
      <c r="S1927" s="10" t="str">
        <f t="shared" si="154"/>
        <v/>
      </c>
    </row>
    <row r="1928" spans="5:19" x14ac:dyDescent="0.3">
      <c r="E1928" s="9" t="str">
        <f>IF(DADOS!C1928="","",DADOS!C1928)</f>
        <v/>
      </c>
      <c r="F1928" s="9" t="str">
        <f>IF(DADOS!E1928="","",DADOS!E1928)</f>
        <v/>
      </c>
      <c r="G1928" s="9" t="str">
        <f>IF(DADOS!F1928="","",DADOS!F1928)</f>
        <v/>
      </c>
      <c r="K1928" s="6" t="str">
        <f t="shared" si="155"/>
        <v/>
      </c>
      <c r="L1928" s="7" t="str">
        <f t="shared" si="156"/>
        <v/>
      </c>
      <c r="M1928" s="7" t="str">
        <f t="shared" si="153"/>
        <v/>
      </c>
      <c r="N1928" s="7" t="str">
        <f t="shared" si="157"/>
        <v/>
      </c>
      <c r="O1928" s="8"/>
      <c r="P1928" s="26"/>
      <c r="S1928" s="10" t="str">
        <f t="shared" si="154"/>
        <v/>
      </c>
    </row>
    <row r="1929" spans="5:19" x14ac:dyDescent="0.3">
      <c r="E1929" s="9" t="str">
        <f>IF(DADOS!C1929="","",DADOS!C1929)</f>
        <v/>
      </c>
      <c r="F1929" s="9" t="str">
        <f>IF(DADOS!E1929="","",DADOS!E1929)</f>
        <v/>
      </c>
      <c r="G1929" s="9" t="str">
        <f>IF(DADOS!F1929="","",DADOS!F1929)</f>
        <v/>
      </c>
      <c r="K1929" s="6" t="str">
        <f t="shared" si="155"/>
        <v/>
      </c>
      <c r="L1929" s="7" t="str">
        <f t="shared" si="156"/>
        <v/>
      </c>
      <c r="M1929" s="7" t="str">
        <f t="shared" si="153"/>
        <v/>
      </c>
      <c r="N1929" s="7" t="str">
        <f t="shared" si="157"/>
        <v/>
      </c>
      <c r="O1929" s="8"/>
      <c r="P1929" s="26"/>
      <c r="S1929" s="10" t="str">
        <f t="shared" si="154"/>
        <v/>
      </c>
    </row>
    <row r="1930" spans="5:19" x14ac:dyDescent="0.3">
      <c r="E1930" s="9" t="str">
        <f>IF(DADOS!C1930="","",DADOS!C1930)</f>
        <v/>
      </c>
      <c r="F1930" s="9" t="str">
        <f>IF(DADOS!E1930="","",DADOS!E1930)</f>
        <v/>
      </c>
      <c r="G1930" s="9" t="str">
        <f>IF(DADOS!F1930="","",DADOS!F1930)</f>
        <v/>
      </c>
      <c r="K1930" s="6" t="str">
        <f t="shared" si="155"/>
        <v/>
      </c>
      <c r="L1930" s="7" t="str">
        <f t="shared" si="156"/>
        <v/>
      </c>
      <c r="M1930" s="7" t="str">
        <f t="shared" si="153"/>
        <v/>
      </c>
      <c r="N1930" s="7" t="str">
        <f t="shared" si="157"/>
        <v/>
      </c>
      <c r="O1930" s="8"/>
      <c r="P1930" s="26"/>
      <c r="S1930" s="10" t="str">
        <f t="shared" si="154"/>
        <v/>
      </c>
    </row>
    <row r="1931" spans="5:19" x14ac:dyDescent="0.3">
      <c r="E1931" s="9" t="str">
        <f>IF(DADOS!C1931="","",DADOS!C1931)</f>
        <v/>
      </c>
      <c r="F1931" s="9" t="str">
        <f>IF(DADOS!E1931="","",DADOS!E1931)</f>
        <v/>
      </c>
      <c r="G1931" s="9" t="str">
        <f>IF(DADOS!F1931="","",DADOS!F1931)</f>
        <v/>
      </c>
      <c r="K1931" s="6" t="str">
        <f t="shared" si="155"/>
        <v/>
      </c>
      <c r="L1931" s="7" t="str">
        <f t="shared" si="156"/>
        <v/>
      </c>
      <c r="M1931" s="7" t="str">
        <f t="shared" si="153"/>
        <v/>
      </c>
      <c r="N1931" s="7" t="str">
        <f t="shared" si="157"/>
        <v/>
      </c>
      <c r="O1931" s="8"/>
      <c r="P1931" s="26"/>
      <c r="S1931" s="10" t="str">
        <f t="shared" si="154"/>
        <v/>
      </c>
    </row>
    <row r="1932" spans="5:19" x14ac:dyDescent="0.3">
      <c r="E1932" s="9" t="str">
        <f>IF(DADOS!C1932="","",DADOS!C1932)</f>
        <v/>
      </c>
      <c r="F1932" s="9" t="str">
        <f>IF(DADOS!E1932="","",DADOS!E1932)</f>
        <v/>
      </c>
      <c r="G1932" s="9" t="str">
        <f>IF(DADOS!F1932="","",DADOS!F1932)</f>
        <v/>
      </c>
      <c r="K1932" s="6" t="str">
        <f t="shared" si="155"/>
        <v/>
      </c>
      <c r="L1932" s="7" t="str">
        <f t="shared" si="156"/>
        <v/>
      </c>
      <c r="M1932" s="7" t="str">
        <f t="shared" si="153"/>
        <v/>
      </c>
      <c r="N1932" s="7" t="str">
        <f t="shared" si="157"/>
        <v/>
      </c>
      <c r="O1932" s="8"/>
      <c r="P1932" s="26"/>
      <c r="S1932" s="10" t="str">
        <f t="shared" si="154"/>
        <v/>
      </c>
    </row>
    <row r="1933" spans="5:19" x14ac:dyDescent="0.3">
      <c r="E1933" s="9" t="str">
        <f>IF(DADOS!C1933="","",DADOS!C1933)</f>
        <v/>
      </c>
      <c r="F1933" s="9" t="str">
        <f>IF(DADOS!E1933="","",DADOS!E1933)</f>
        <v/>
      </c>
      <c r="G1933" s="9" t="str">
        <f>IF(DADOS!F1933="","",DADOS!F1933)</f>
        <v/>
      </c>
      <c r="K1933" s="6" t="str">
        <f t="shared" si="155"/>
        <v/>
      </c>
      <c r="L1933" s="7" t="str">
        <f t="shared" si="156"/>
        <v/>
      </c>
      <c r="M1933" s="7" t="str">
        <f t="shared" si="153"/>
        <v/>
      </c>
      <c r="N1933" s="7" t="str">
        <f t="shared" si="157"/>
        <v/>
      </c>
      <c r="O1933" s="8"/>
      <c r="P1933" s="26"/>
      <c r="S1933" s="10" t="str">
        <f t="shared" si="154"/>
        <v/>
      </c>
    </row>
    <row r="1934" spans="5:19" x14ac:dyDescent="0.3">
      <c r="E1934" s="9" t="str">
        <f>IF(DADOS!C1934="","",DADOS!C1934)</f>
        <v/>
      </c>
      <c r="F1934" s="9" t="str">
        <f>IF(DADOS!E1934="","",DADOS!E1934)</f>
        <v/>
      </c>
      <c r="G1934" s="9" t="str">
        <f>IF(DADOS!F1934="","",DADOS!F1934)</f>
        <v/>
      </c>
      <c r="K1934" s="6" t="str">
        <f t="shared" si="155"/>
        <v/>
      </c>
      <c r="L1934" s="7" t="str">
        <f t="shared" si="156"/>
        <v/>
      </c>
      <c r="M1934" s="7" t="str">
        <f t="shared" si="153"/>
        <v/>
      </c>
      <c r="N1934" s="7" t="str">
        <f t="shared" si="157"/>
        <v/>
      </c>
      <c r="O1934" s="8"/>
      <c r="P1934" s="26"/>
      <c r="S1934" s="10" t="str">
        <f t="shared" si="154"/>
        <v/>
      </c>
    </row>
    <row r="1935" spans="5:19" x14ac:dyDescent="0.3">
      <c r="E1935" s="9" t="str">
        <f>IF(DADOS!C1935="","",DADOS!C1935)</f>
        <v/>
      </c>
      <c r="F1935" s="9" t="str">
        <f>IF(DADOS!E1935="","",DADOS!E1935)</f>
        <v/>
      </c>
      <c r="G1935" s="9" t="str">
        <f>IF(DADOS!F1935="","",DADOS!F1935)</f>
        <v/>
      </c>
      <c r="K1935" s="6" t="str">
        <f t="shared" si="155"/>
        <v/>
      </c>
      <c r="L1935" s="7" t="str">
        <f t="shared" si="156"/>
        <v/>
      </c>
      <c r="M1935" s="7" t="str">
        <f t="shared" si="153"/>
        <v/>
      </c>
      <c r="N1935" s="7" t="str">
        <f t="shared" si="157"/>
        <v/>
      </c>
      <c r="O1935" s="8"/>
      <c r="P1935" s="26"/>
      <c r="S1935" s="10" t="str">
        <f t="shared" si="154"/>
        <v/>
      </c>
    </row>
    <row r="1936" spans="5:19" x14ac:dyDescent="0.3">
      <c r="E1936" s="9" t="str">
        <f>IF(DADOS!C1936="","",DADOS!C1936)</f>
        <v/>
      </c>
      <c r="F1936" s="9" t="str">
        <f>IF(DADOS!E1936="","",DADOS!E1936)</f>
        <v/>
      </c>
      <c r="G1936" s="9" t="str">
        <f>IF(DADOS!F1936="","",DADOS!F1936)</f>
        <v/>
      </c>
      <c r="K1936" s="6" t="str">
        <f t="shared" si="155"/>
        <v/>
      </c>
      <c r="L1936" s="7" t="str">
        <f t="shared" si="156"/>
        <v/>
      </c>
      <c r="M1936" s="7" t="str">
        <f t="shared" si="153"/>
        <v/>
      </c>
      <c r="N1936" s="7" t="str">
        <f t="shared" si="157"/>
        <v/>
      </c>
      <c r="O1936" s="8"/>
      <c r="P1936" s="26"/>
      <c r="S1936" s="10" t="str">
        <f t="shared" si="154"/>
        <v/>
      </c>
    </row>
    <row r="1937" spans="5:19" x14ac:dyDescent="0.3">
      <c r="E1937" s="9" t="str">
        <f>IF(DADOS!C1937="","",DADOS!C1937)</f>
        <v/>
      </c>
      <c r="F1937" s="9" t="str">
        <f>IF(DADOS!E1937="","",DADOS!E1937)</f>
        <v/>
      </c>
      <c r="G1937" s="9" t="str">
        <f>IF(DADOS!F1937="","",DADOS!F1937)</f>
        <v/>
      </c>
      <c r="K1937" s="6" t="str">
        <f t="shared" si="155"/>
        <v/>
      </c>
      <c r="L1937" s="7" t="str">
        <f t="shared" si="156"/>
        <v/>
      </c>
      <c r="M1937" s="7" t="str">
        <f t="shared" si="153"/>
        <v/>
      </c>
      <c r="N1937" s="7" t="str">
        <f t="shared" si="157"/>
        <v/>
      </c>
      <c r="O1937" s="8"/>
      <c r="P1937" s="26"/>
      <c r="S1937" s="10" t="str">
        <f t="shared" si="154"/>
        <v/>
      </c>
    </row>
    <row r="1938" spans="5:19" x14ac:dyDescent="0.3">
      <c r="E1938" s="9" t="str">
        <f>IF(DADOS!C1938="","",DADOS!C1938)</f>
        <v/>
      </c>
      <c r="F1938" s="9" t="str">
        <f>IF(DADOS!E1938="","",DADOS!E1938)</f>
        <v/>
      </c>
      <c r="G1938" s="9" t="str">
        <f>IF(DADOS!F1938="","",DADOS!F1938)</f>
        <v/>
      </c>
      <c r="K1938" s="6" t="str">
        <f t="shared" si="155"/>
        <v/>
      </c>
      <c r="L1938" s="7" t="str">
        <f t="shared" si="156"/>
        <v/>
      </c>
      <c r="M1938" s="7" t="str">
        <f t="shared" si="153"/>
        <v/>
      </c>
      <c r="N1938" s="7" t="str">
        <f t="shared" si="157"/>
        <v/>
      </c>
      <c r="O1938" s="8"/>
      <c r="P1938" s="26"/>
      <c r="S1938" s="10" t="str">
        <f t="shared" si="154"/>
        <v/>
      </c>
    </row>
    <row r="1939" spans="5:19" x14ac:dyDescent="0.3">
      <c r="E1939" s="9" t="str">
        <f>IF(DADOS!C1939="","",DADOS!C1939)</f>
        <v/>
      </c>
      <c r="F1939" s="9" t="str">
        <f>IF(DADOS!E1939="","",DADOS!E1939)</f>
        <v/>
      </c>
      <c r="G1939" s="9" t="str">
        <f>IF(DADOS!F1939="","",DADOS!F1939)</f>
        <v/>
      </c>
      <c r="K1939" s="6" t="str">
        <f t="shared" si="155"/>
        <v/>
      </c>
      <c r="L1939" s="7" t="str">
        <f t="shared" si="156"/>
        <v/>
      </c>
      <c r="M1939" s="7" t="str">
        <f t="shared" si="153"/>
        <v/>
      </c>
      <c r="N1939" s="7" t="str">
        <f t="shared" si="157"/>
        <v/>
      </c>
      <c r="O1939" s="8"/>
      <c r="P1939" s="26"/>
      <c r="S1939" s="10" t="str">
        <f t="shared" si="154"/>
        <v/>
      </c>
    </row>
    <row r="1940" spans="5:19" x14ac:dyDescent="0.3">
      <c r="E1940" s="9" t="str">
        <f>IF(DADOS!C1940="","",DADOS!C1940)</f>
        <v/>
      </c>
      <c r="F1940" s="9" t="str">
        <f>IF(DADOS!E1940="","",DADOS!E1940)</f>
        <v/>
      </c>
      <c r="G1940" s="9" t="str">
        <f>IF(DADOS!F1940="","",DADOS!F1940)</f>
        <v/>
      </c>
      <c r="K1940" s="6" t="str">
        <f t="shared" si="155"/>
        <v/>
      </c>
      <c r="L1940" s="7" t="str">
        <f t="shared" si="156"/>
        <v/>
      </c>
      <c r="M1940" s="7" t="str">
        <f t="shared" si="153"/>
        <v/>
      </c>
      <c r="N1940" s="7" t="str">
        <f t="shared" si="157"/>
        <v/>
      </c>
      <c r="O1940" s="8"/>
      <c r="P1940" s="26"/>
      <c r="S1940" s="10" t="str">
        <f t="shared" si="154"/>
        <v/>
      </c>
    </row>
    <row r="1941" spans="5:19" x14ac:dyDescent="0.3">
      <c r="E1941" s="9" t="str">
        <f>IF(DADOS!C1941="","",DADOS!C1941)</f>
        <v/>
      </c>
      <c r="F1941" s="9" t="str">
        <f>IF(DADOS!E1941="","",DADOS!E1941)</f>
        <v/>
      </c>
      <c r="G1941" s="9" t="str">
        <f>IF(DADOS!F1941="","",DADOS!F1941)</f>
        <v/>
      </c>
      <c r="K1941" s="6" t="str">
        <f t="shared" si="155"/>
        <v/>
      </c>
      <c r="L1941" s="7" t="str">
        <f t="shared" si="156"/>
        <v/>
      </c>
      <c r="M1941" s="7" t="str">
        <f t="shared" si="153"/>
        <v/>
      </c>
      <c r="N1941" s="7" t="str">
        <f t="shared" si="157"/>
        <v/>
      </c>
      <c r="O1941" s="8"/>
      <c r="P1941" s="26"/>
      <c r="S1941" s="10" t="str">
        <f t="shared" si="154"/>
        <v/>
      </c>
    </row>
    <row r="1942" spans="5:19" x14ac:dyDescent="0.3">
      <c r="E1942" s="9" t="str">
        <f>IF(DADOS!C1942="","",DADOS!C1942)</f>
        <v/>
      </c>
      <c r="F1942" s="9" t="str">
        <f>IF(DADOS!E1942="","",DADOS!E1942)</f>
        <v/>
      </c>
      <c r="G1942" s="9" t="str">
        <f>IF(DADOS!F1942="","",DADOS!F1942)</f>
        <v/>
      </c>
      <c r="K1942" s="6" t="str">
        <f t="shared" si="155"/>
        <v/>
      </c>
      <c r="L1942" s="7" t="str">
        <f t="shared" si="156"/>
        <v/>
      </c>
      <c r="M1942" s="7" t="str">
        <f t="shared" si="153"/>
        <v/>
      </c>
      <c r="N1942" s="7" t="str">
        <f t="shared" si="157"/>
        <v/>
      </c>
      <c r="O1942" s="8"/>
      <c r="P1942" s="26"/>
      <c r="S1942" s="10" t="str">
        <f t="shared" si="154"/>
        <v/>
      </c>
    </row>
    <row r="1943" spans="5:19" x14ac:dyDescent="0.3">
      <c r="E1943" s="9" t="str">
        <f>IF(DADOS!C1943="","",DADOS!C1943)</f>
        <v/>
      </c>
      <c r="F1943" s="9" t="str">
        <f>IF(DADOS!E1943="","",DADOS!E1943)</f>
        <v/>
      </c>
      <c r="G1943" s="9" t="str">
        <f>IF(DADOS!F1943="","",DADOS!F1943)</f>
        <v/>
      </c>
      <c r="K1943" s="6" t="str">
        <f t="shared" si="155"/>
        <v/>
      </c>
      <c r="L1943" s="7" t="str">
        <f t="shared" si="156"/>
        <v/>
      </c>
      <c r="M1943" s="7" t="str">
        <f t="shared" si="153"/>
        <v/>
      </c>
      <c r="N1943" s="7" t="str">
        <f t="shared" si="157"/>
        <v/>
      </c>
      <c r="O1943" s="8"/>
      <c r="P1943" s="26"/>
      <c r="S1943" s="10" t="str">
        <f t="shared" si="154"/>
        <v/>
      </c>
    </row>
    <row r="1944" spans="5:19" x14ac:dyDescent="0.3">
      <c r="E1944" s="9" t="str">
        <f>IF(DADOS!C1944="","",DADOS!C1944)</f>
        <v/>
      </c>
      <c r="F1944" s="9" t="str">
        <f>IF(DADOS!E1944="","",DADOS!E1944)</f>
        <v/>
      </c>
      <c r="G1944" s="9" t="str">
        <f>IF(DADOS!F1944="","",DADOS!F1944)</f>
        <v/>
      </c>
      <c r="K1944" s="6" t="str">
        <f t="shared" si="155"/>
        <v/>
      </c>
      <c r="L1944" s="7" t="str">
        <f t="shared" si="156"/>
        <v/>
      </c>
      <c r="M1944" s="7" t="str">
        <f t="shared" si="153"/>
        <v/>
      </c>
      <c r="N1944" s="7" t="str">
        <f t="shared" si="157"/>
        <v/>
      </c>
      <c r="O1944" s="8"/>
      <c r="P1944" s="26"/>
      <c r="S1944" s="10" t="str">
        <f t="shared" si="154"/>
        <v/>
      </c>
    </row>
    <row r="1945" spans="5:19" x14ac:dyDescent="0.3">
      <c r="E1945" s="9" t="str">
        <f>IF(DADOS!C1945="","",DADOS!C1945)</f>
        <v/>
      </c>
      <c r="F1945" s="9" t="str">
        <f>IF(DADOS!E1945="","",DADOS!E1945)</f>
        <v/>
      </c>
      <c r="G1945" s="9" t="str">
        <f>IF(DADOS!F1945="","",DADOS!F1945)</f>
        <v/>
      </c>
      <c r="K1945" s="6" t="str">
        <f t="shared" si="155"/>
        <v/>
      </c>
      <c r="L1945" s="7" t="str">
        <f t="shared" si="156"/>
        <v/>
      </c>
      <c r="M1945" s="7" t="str">
        <f t="shared" si="153"/>
        <v/>
      </c>
      <c r="N1945" s="7" t="str">
        <f t="shared" si="157"/>
        <v/>
      </c>
      <c r="O1945" s="8"/>
      <c r="P1945" s="26"/>
      <c r="S1945" s="10" t="str">
        <f t="shared" si="154"/>
        <v/>
      </c>
    </row>
    <row r="1946" spans="5:19" x14ac:dyDescent="0.3">
      <c r="E1946" s="9" t="str">
        <f>IF(DADOS!C1946="","",DADOS!C1946)</f>
        <v/>
      </c>
      <c r="F1946" s="9" t="str">
        <f>IF(DADOS!E1946="","",DADOS!E1946)</f>
        <v/>
      </c>
      <c r="G1946" s="9" t="str">
        <f>IF(DADOS!F1946="","",DADOS!F1946)</f>
        <v/>
      </c>
      <c r="K1946" s="6" t="str">
        <f t="shared" si="155"/>
        <v/>
      </c>
      <c r="L1946" s="7" t="str">
        <f t="shared" si="156"/>
        <v/>
      </c>
      <c r="M1946" s="7" t="str">
        <f t="shared" si="153"/>
        <v/>
      </c>
      <c r="N1946" s="7" t="str">
        <f t="shared" si="157"/>
        <v/>
      </c>
      <c r="O1946" s="8"/>
      <c r="P1946" s="26"/>
      <c r="S1946" s="10" t="str">
        <f t="shared" si="154"/>
        <v/>
      </c>
    </row>
    <row r="1947" spans="5:19" x14ac:dyDescent="0.3">
      <c r="E1947" s="9" t="str">
        <f>IF(DADOS!C1947="","",DADOS!C1947)</f>
        <v/>
      </c>
      <c r="F1947" s="9" t="str">
        <f>IF(DADOS!E1947="","",DADOS!E1947)</f>
        <v/>
      </c>
      <c r="G1947" s="9" t="str">
        <f>IF(DADOS!F1947="","",DADOS!F1947)</f>
        <v/>
      </c>
      <c r="K1947" s="6" t="str">
        <f t="shared" si="155"/>
        <v/>
      </c>
      <c r="L1947" s="7" t="str">
        <f t="shared" si="156"/>
        <v/>
      </c>
      <c r="M1947" s="7" t="str">
        <f t="shared" si="153"/>
        <v/>
      </c>
      <c r="N1947" s="7" t="str">
        <f t="shared" si="157"/>
        <v/>
      </c>
      <c r="O1947" s="8"/>
      <c r="P1947" s="26"/>
      <c r="S1947" s="10" t="str">
        <f t="shared" si="154"/>
        <v/>
      </c>
    </row>
    <row r="1948" spans="5:19" x14ac:dyDescent="0.3">
      <c r="E1948" s="9" t="str">
        <f>IF(DADOS!C1948="","",DADOS!C1948)</f>
        <v/>
      </c>
      <c r="F1948" s="9" t="str">
        <f>IF(DADOS!E1948="","",DADOS!E1948)</f>
        <v/>
      </c>
      <c r="G1948" s="9" t="str">
        <f>IF(DADOS!F1948="","",DADOS!F1948)</f>
        <v/>
      </c>
      <c r="K1948" s="6" t="str">
        <f t="shared" si="155"/>
        <v/>
      </c>
      <c r="L1948" s="7" t="str">
        <f t="shared" si="156"/>
        <v/>
      </c>
      <c r="M1948" s="7" t="str">
        <f t="shared" si="153"/>
        <v/>
      </c>
      <c r="N1948" s="7" t="str">
        <f t="shared" si="157"/>
        <v/>
      </c>
      <c r="O1948" s="8"/>
      <c r="P1948" s="26"/>
      <c r="S1948" s="10" t="str">
        <f t="shared" si="154"/>
        <v/>
      </c>
    </row>
    <row r="1949" spans="5:19" x14ac:dyDescent="0.3">
      <c r="E1949" s="9" t="str">
        <f>IF(DADOS!C1949="","",DADOS!C1949)</f>
        <v/>
      </c>
      <c r="F1949" s="9" t="str">
        <f>IF(DADOS!E1949="","",DADOS!E1949)</f>
        <v/>
      </c>
      <c r="G1949" s="9" t="str">
        <f>IF(DADOS!F1949="","",DADOS!F1949)</f>
        <v/>
      </c>
      <c r="K1949" s="6" t="str">
        <f t="shared" si="155"/>
        <v/>
      </c>
      <c r="L1949" s="7" t="str">
        <f t="shared" si="156"/>
        <v/>
      </c>
      <c r="M1949" s="7" t="str">
        <f t="shared" si="153"/>
        <v/>
      </c>
      <c r="N1949" s="7" t="str">
        <f t="shared" si="157"/>
        <v/>
      </c>
      <c r="O1949" s="8"/>
      <c r="P1949" s="26"/>
      <c r="S1949" s="10" t="str">
        <f t="shared" si="154"/>
        <v/>
      </c>
    </row>
    <row r="1950" spans="5:19" x14ac:dyDescent="0.3">
      <c r="E1950" s="9" t="str">
        <f>IF(DADOS!C1950="","",DADOS!C1950)</f>
        <v/>
      </c>
      <c r="F1950" s="9" t="str">
        <f>IF(DADOS!E1950="","",DADOS!E1950)</f>
        <v/>
      </c>
      <c r="G1950" s="9" t="str">
        <f>IF(DADOS!F1950="","",DADOS!F1950)</f>
        <v/>
      </c>
      <c r="K1950" s="6" t="str">
        <f t="shared" si="155"/>
        <v/>
      </c>
      <c r="L1950" s="7" t="str">
        <f t="shared" si="156"/>
        <v/>
      </c>
      <c r="M1950" s="7" t="str">
        <f t="shared" si="153"/>
        <v/>
      </c>
      <c r="N1950" s="7" t="str">
        <f t="shared" si="157"/>
        <v/>
      </c>
      <c r="O1950" s="8"/>
      <c r="P1950" s="26"/>
      <c r="S1950" s="10" t="str">
        <f t="shared" si="154"/>
        <v/>
      </c>
    </row>
    <row r="1951" spans="5:19" x14ac:dyDescent="0.3">
      <c r="E1951" s="9" t="str">
        <f>IF(DADOS!C1951="","",DADOS!C1951)</f>
        <v/>
      </c>
      <c r="F1951" s="9" t="str">
        <f>IF(DADOS!E1951="","",DADOS!E1951)</f>
        <v/>
      </c>
      <c r="G1951" s="9" t="str">
        <f>IF(DADOS!F1951="","",DADOS!F1951)</f>
        <v/>
      </c>
      <c r="K1951" s="6" t="str">
        <f t="shared" si="155"/>
        <v/>
      </c>
      <c r="L1951" s="7" t="str">
        <f t="shared" si="156"/>
        <v/>
      </c>
      <c r="M1951" s="7" t="str">
        <f t="shared" si="153"/>
        <v/>
      </c>
      <c r="N1951" s="7" t="str">
        <f t="shared" si="157"/>
        <v/>
      </c>
      <c r="O1951" s="8"/>
      <c r="P1951" s="26"/>
      <c r="S1951" s="10" t="str">
        <f t="shared" si="154"/>
        <v/>
      </c>
    </row>
    <row r="1952" spans="5:19" x14ac:dyDescent="0.3">
      <c r="E1952" s="9" t="str">
        <f>IF(DADOS!C1952="","",DADOS!C1952)</f>
        <v/>
      </c>
      <c r="F1952" s="9" t="str">
        <f>IF(DADOS!E1952="","",DADOS!E1952)</f>
        <v/>
      </c>
      <c r="G1952" s="9" t="str">
        <f>IF(DADOS!F1952="","",DADOS!F1952)</f>
        <v/>
      </c>
      <c r="K1952" s="6" t="str">
        <f t="shared" si="155"/>
        <v/>
      </c>
      <c r="L1952" s="7" t="str">
        <f t="shared" si="156"/>
        <v/>
      </c>
      <c r="M1952" s="7" t="str">
        <f t="shared" si="153"/>
        <v/>
      </c>
      <c r="N1952" s="7" t="str">
        <f t="shared" si="157"/>
        <v/>
      </c>
      <c r="O1952" s="8"/>
      <c r="P1952" s="26"/>
      <c r="S1952" s="10" t="str">
        <f t="shared" si="154"/>
        <v/>
      </c>
    </row>
    <row r="1953" spans="5:19" x14ac:dyDescent="0.3">
      <c r="E1953" s="9" t="str">
        <f>IF(DADOS!C1953="","",DADOS!C1953)</f>
        <v/>
      </c>
      <c r="F1953" s="9" t="str">
        <f>IF(DADOS!E1953="","",DADOS!E1953)</f>
        <v/>
      </c>
      <c r="G1953" s="9" t="str">
        <f>IF(DADOS!F1953="","",DADOS!F1953)</f>
        <v/>
      </c>
      <c r="K1953" s="6" t="str">
        <f t="shared" si="155"/>
        <v/>
      </c>
      <c r="L1953" s="7" t="str">
        <f t="shared" si="156"/>
        <v/>
      </c>
      <c r="M1953" s="7" t="str">
        <f t="shared" si="153"/>
        <v/>
      </c>
      <c r="N1953" s="7" t="str">
        <f t="shared" si="157"/>
        <v/>
      </c>
      <c r="O1953" s="8"/>
      <c r="P1953" s="26"/>
      <c r="S1953" s="10" t="str">
        <f t="shared" si="154"/>
        <v/>
      </c>
    </row>
    <row r="1954" spans="5:19" x14ac:dyDescent="0.3">
      <c r="E1954" s="9" t="str">
        <f>IF(DADOS!C1954="","",DADOS!C1954)</f>
        <v/>
      </c>
      <c r="F1954" s="9" t="str">
        <f>IF(DADOS!E1954="","",DADOS!E1954)</f>
        <v/>
      </c>
      <c r="G1954" s="9" t="str">
        <f>IF(DADOS!F1954="","",DADOS!F1954)</f>
        <v/>
      </c>
      <c r="K1954" s="6" t="str">
        <f t="shared" si="155"/>
        <v/>
      </c>
      <c r="L1954" s="7" t="str">
        <f t="shared" si="156"/>
        <v/>
      </c>
      <c r="M1954" s="7" t="str">
        <f t="shared" si="153"/>
        <v/>
      </c>
      <c r="N1954" s="7" t="str">
        <f t="shared" si="157"/>
        <v/>
      </c>
      <c r="O1954" s="8"/>
      <c r="P1954" s="26"/>
      <c r="S1954" s="10" t="str">
        <f t="shared" si="154"/>
        <v/>
      </c>
    </row>
    <row r="1955" spans="5:19" x14ac:dyDescent="0.3">
      <c r="E1955" s="9" t="str">
        <f>IF(DADOS!C1955="","",DADOS!C1955)</f>
        <v/>
      </c>
      <c r="F1955" s="9" t="str">
        <f>IF(DADOS!E1955="","",DADOS!E1955)</f>
        <v/>
      </c>
      <c r="G1955" s="9" t="str">
        <f>IF(DADOS!F1955="","",DADOS!F1955)</f>
        <v/>
      </c>
      <c r="K1955" s="6" t="str">
        <f t="shared" si="155"/>
        <v/>
      </c>
      <c r="L1955" s="7" t="str">
        <f t="shared" si="156"/>
        <v/>
      </c>
      <c r="M1955" s="7" t="str">
        <f t="shared" si="153"/>
        <v/>
      </c>
      <c r="N1955" s="7" t="str">
        <f t="shared" si="157"/>
        <v/>
      </c>
      <c r="O1955" s="8"/>
      <c r="P1955" s="26"/>
      <c r="S1955" s="10" t="str">
        <f t="shared" si="154"/>
        <v/>
      </c>
    </row>
    <row r="1956" spans="5:19" x14ac:dyDescent="0.3">
      <c r="E1956" s="9" t="str">
        <f>IF(DADOS!C1956="","",DADOS!C1956)</f>
        <v/>
      </c>
      <c r="F1956" s="9" t="str">
        <f>IF(DADOS!E1956="","",DADOS!E1956)</f>
        <v/>
      </c>
      <c r="G1956" s="9" t="str">
        <f>IF(DADOS!F1956="","",DADOS!F1956)</f>
        <v/>
      </c>
      <c r="K1956" s="6" t="str">
        <f t="shared" si="155"/>
        <v/>
      </c>
      <c r="L1956" s="7" t="str">
        <f t="shared" si="156"/>
        <v/>
      </c>
      <c r="M1956" s="7" t="str">
        <f t="shared" si="153"/>
        <v/>
      </c>
      <c r="N1956" s="7" t="str">
        <f t="shared" si="157"/>
        <v/>
      </c>
      <c r="O1956" s="8"/>
      <c r="P1956" s="26"/>
      <c r="S1956" s="10" t="str">
        <f t="shared" si="154"/>
        <v/>
      </c>
    </row>
    <row r="1957" spans="5:19" x14ac:dyDescent="0.3">
      <c r="E1957" s="9" t="str">
        <f>IF(DADOS!C1957="","",DADOS!C1957)</f>
        <v/>
      </c>
      <c r="F1957" s="9" t="str">
        <f>IF(DADOS!E1957="","",DADOS!E1957)</f>
        <v/>
      </c>
      <c r="G1957" s="9" t="str">
        <f>IF(DADOS!F1957="","",DADOS!F1957)</f>
        <v/>
      </c>
      <c r="K1957" s="6" t="str">
        <f t="shared" si="155"/>
        <v/>
      </c>
      <c r="L1957" s="7" t="str">
        <f t="shared" si="156"/>
        <v/>
      </c>
      <c r="M1957" s="7" t="str">
        <f t="shared" si="153"/>
        <v/>
      </c>
      <c r="N1957" s="7" t="str">
        <f t="shared" si="157"/>
        <v/>
      </c>
      <c r="O1957" s="8"/>
      <c r="P1957" s="26"/>
      <c r="S1957" s="10" t="str">
        <f t="shared" si="154"/>
        <v/>
      </c>
    </row>
    <row r="1958" spans="5:19" x14ac:dyDescent="0.3">
      <c r="E1958" s="9" t="str">
        <f>IF(DADOS!C1958="","",DADOS!C1958)</f>
        <v/>
      </c>
      <c r="F1958" s="9" t="str">
        <f>IF(DADOS!E1958="","",DADOS!E1958)</f>
        <v/>
      </c>
      <c r="G1958" s="9" t="str">
        <f>IF(DADOS!F1958="","",DADOS!F1958)</f>
        <v/>
      </c>
      <c r="K1958" s="6" t="str">
        <f t="shared" si="155"/>
        <v/>
      </c>
      <c r="L1958" s="7" t="str">
        <f t="shared" si="156"/>
        <v/>
      </c>
      <c r="M1958" s="7" t="str">
        <f t="shared" si="153"/>
        <v/>
      </c>
      <c r="N1958" s="7" t="str">
        <f t="shared" si="157"/>
        <v/>
      </c>
      <c r="O1958" s="8"/>
      <c r="P1958" s="26"/>
      <c r="S1958" s="10" t="str">
        <f t="shared" si="154"/>
        <v/>
      </c>
    </row>
    <row r="1959" spans="5:19" x14ac:dyDescent="0.3">
      <c r="E1959" s="9" t="str">
        <f>IF(DADOS!C1959="","",DADOS!C1959)</f>
        <v/>
      </c>
      <c r="F1959" s="9" t="str">
        <f>IF(DADOS!E1959="","",DADOS!E1959)</f>
        <v/>
      </c>
      <c r="G1959" s="9" t="str">
        <f>IF(DADOS!F1959="","",DADOS!F1959)</f>
        <v/>
      </c>
      <c r="K1959" s="6" t="str">
        <f t="shared" si="155"/>
        <v/>
      </c>
      <c r="L1959" s="7" t="str">
        <f t="shared" si="156"/>
        <v/>
      </c>
      <c r="M1959" s="7" t="str">
        <f t="shared" si="153"/>
        <v/>
      </c>
      <c r="N1959" s="7" t="str">
        <f t="shared" si="157"/>
        <v/>
      </c>
      <c r="O1959" s="8"/>
      <c r="P1959" s="26"/>
      <c r="S1959" s="10" t="str">
        <f t="shared" si="154"/>
        <v/>
      </c>
    </row>
    <row r="1960" spans="5:19" x14ac:dyDescent="0.3">
      <c r="E1960" s="9" t="str">
        <f>IF(DADOS!C1960="","",DADOS!C1960)</f>
        <v/>
      </c>
      <c r="F1960" s="9" t="str">
        <f>IF(DADOS!E1960="","",DADOS!E1960)</f>
        <v/>
      </c>
      <c r="G1960" s="9" t="str">
        <f>IF(DADOS!F1960="","",DADOS!F1960)</f>
        <v/>
      </c>
      <c r="K1960" s="6" t="str">
        <f t="shared" si="155"/>
        <v/>
      </c>
      <c r="L1960" s="7" t="str">
        <f t="shared" si="156"/>
        <v/>
      </c>
      <c r="M1960" s="7" t="str">
        <f t="shared" si="153"/>
        <v/>
      </c>
      <c r="N1960" s="7" t="str">
        <f t="shared" si="157"/>
        <v/>
      </c>
      <c r="O1960" s="8"/>
      <c r="P1960" s="26"/>
      <c r="S1960" s="10" t="str">
        <f t="shared" si="154"/>
        <v/>
      </c>
    </row>
    <row r="1961" spans="5:19" x14ac:dyDescent="0.3">
      <c r="E1961" s="9" t="str">
        <f>IF(DADOS!C1961="","",DADOS!C1961)</f>
        <v/>
      </c>
      <c r="F1961" s="9" t="str">
        <f>IF(DADOS!E1961="","",DADOS!E1961)</f>
        <v/>
      </c>
      <c r="G1961" s="9" t="str">
        <f>IF(DADOS!F1961="","",DADOS!F1961)</f>
        <v/>
      </c>
      <c r="K1961" s="6" t="str">
        <f t="shared" si="155"/>
        <v/>
      </c>
      <c r="L1961" s="7" t="str">
        <f t="shared" si="156"/>
        <v/>
      </c>
      <c r="M1961" s="7" t="str">
        <f t="shared" si="153"/>
        <v/>
      </c>
      <c r="N1961" s="7" t="str">
        <f t="shared" si="157"/>
        <v/>
      </c>
      <c r="O1961" s="8"/>
      <c r="P1961" s="26"/>
      <c r="S1961" s="10" t="str">
        <f t="shared" si="154"/>
        <v/>
      </c>
    </row>
    <row r="1962" spans="5:19" x14ac:dyDescent="0.3">
      <c r="E1962" s="9" t="str">
        <f>IF(DADOS!C1962="","",DADOS!C1962)</f>
        <v/>
      </c>
      <c r="F1962" s="9" t="str">
        <f>IF(DADOS!E1962="","",DADOS!E1962)</f>
        <v/>
      </c>
      <c r="G1962" s="9" t="str">
        <f>IF(DADOS!F1962="","",DADOS!F1962)</f>
        <v/>
      </c>
      <c r="K1962" s="6" t="str">
        <f t="shared" si="155"/>
        <v/>
      </c>
      <c r="L1962" s="7" t="str">
        <f t="shared" si="156"/>
        <v/>
      </c>
      <c r="M1962" s="7" t="str">
        <f t="shared" si="153"/>
        <v/>
      </c>
      <c r="N1962" s="7" t="str">
        <f t="shared" si="157"/>
        <v/>
      </c>
      <c r="O1962" s="8"/>
      <c r="P1962" s="26"/>
      <c r="S1962" s="10" t="str">
        <f t="shared" si="154"/>
        <v/>
      </c>
    </row>
    <row r="1963" spans="5:19" x14ac:dyDescent="0.3">
      <c r="E1963" s="9" t="str">
        <f>IF(DADOS!C1963="","",DADOS!C1963)</f>
        <v/>
      </c>
      <c r="F1963" s="9" t="str">
        <f>IF(DADOS!E1963="","",DADOS!E1963)</f>
        <v/>
      </c>
      <c r="G1963" s="9" t="str">
        <f>IF(DADOS!F1963="","",DADOS!F1963)</f>
        <v/>
      </c>
      <c r="K1963" s="6" t="str">
        <f t="shared" si="155"/>
        <v/>
      </c>
      <c r="L1963" s="7" t="str">
        <f t="shared" si="156"/>
        <v/>
      </c>
      <c r="M1963" s="7" t="str">
        <f t="shared" si="153"/>
        <v/>
      </c>
      <c r="N1963" s="7" t="str">
        <f t="shared" si="157"/>
        <v/>
      </c>
      <c r="O1963" s="8"/>
      <c r="P1963" s="26"/>
      <c r="S1963" s="10" t="str">
        <f t="shared" si="154"/>
        <v/>
      </c>
    </row>
    <row r="1964" spans="5:19" x14ac:dyDescent="0.3">
      <c r="E1964" s="9" t="str">
        <f>IF(DADOS!C1964="","",DADOS!C1964)</f>
        <v/>
      </c>
      <c r="F1964" s="9" t="str">
        <f>IF(DADOS!E1964="","",DADOS!E1964)</f>
        <v/>
      </c>
      <c r="G1964" s="9" t="str">
        <f>IF(DADOS!F1964="","",DADOS!F1964)</f>
        <v/>
      </c>
      <c r="K1964" s="6" t="str">
        <f t="shared" si="155"/>
        <v/>
      </c>
      <c r="L1964" s="7" t="str">
        <f t="shared" si="156"/>
        <v/>
      </c>
      <c r="M1964" s="7" t="str">
        <f t="shared" si="153"/>
        <v/>
      </c>
      <c r="N1964" s="7" t="str">
        <f t="shared" si="157"/>
        <v/>
      </c>
      <c r="O1964" s="8"/>
      <c r="P1964" s="26"/>
      <c r="S1964" s="10" t="str">
        <f t="shared" si="154"/>
        <v/>
      </c>
    </row>
    <row r="1965" spans="5:19" x14ac:dyDescent="0.3">
      <c r="E1965" s="9" t="str">
        <f>IF(DADOS!C1965="","",DADOS!C1965)</f>
        <v/>
      </c>
      <c r="F1965" s="9" t="str">
        <f>IF(DADOS!E1965="","",DADOS!E1965)</f>
        <v/>
      </c>
      <c r="G1965" s="9" t="str">
        <f>IF(DADOS!F1965="","",DADOS!F1965)</f>
        <v/>
      </c>
      <c r="K1965" s="6" t="str">
        <f t="shared" si="155"/>
        <v/>
      </c>
      <c r="L1965" s="7" t="str">
        <f t="shared" si="156"/>
        <v/>
      </c>
      <c r="M1965" s="7" t="str">
        <f t="shared" si="153"/>
        <v/>
      </c>
      <c r="N1965" s="7" t="str">
        <f t="shared" si="157"/>
        <v/>
      </c>
      <c r="O1965" s="8"/>
      <c r="P1965" s="26"/>
      <c r="S1965" s="10" t="str">
        <f t="shared" si="154"/>
        <v/>
      </c>
    </row>
    <row r="1966" spans="5:19" x14ac:dyDescent="0.3">
      <c r="E1966" s="9" t="str">
        <f>IF(DADOS!C1966="","",DADOS!C1966)</f>
        <v/>
      </c>
      <c r="F1966" s="9" t="str">
        <f>IF(DADOS!E1966="","",DADOS!E1966)</f>
        <v/>
      </c>
      <c r="G1966" s="9" t="str">
        <f>IF(DADOS!F1966="","",DADOS!F1966)</f>
        <v/>
      </c>
      <c r="K1966" s="6" t="str">
        <f t="shared" si="155"/>
        <v/>
      </c>
      <c r="L1966" s="7" t="str">
        <f t="shared" si="156"/>
        <v/>
      </c>
      <c r="M1966" s="7" t="str">
        <f t="shared" si="153"/>
        <v/>
      </c>
      <c r="N1966" s="7" t="str">
        <f t="shared" si="157"/>
        <v/>
      </c>
      <c r="O1966" s="8"/>
      <c r="P1966" s="26"/>
      <c r="S1966" s="10" t="str">
        <f t="shared" si="154"/>
        <v/>
      </c>
    </row>
    <row r="1967" spans="5:19" x14ac:dyDescent="0.3">
      <c r="E1967" s="9" t="str">
        <f>IF(DADOS!C1967="","",DADOS!C1967)</f>
        <v/>
      </c>
      <c r="F1967" s="9" t="str">
        <f>IF(DADOS!E1967="","",DADOS!E1967)</f>
        <v/>
      </c>
      <c r="G1967" s="9" t="str">
        <f>IF(DADOS!F1967="","",DADOS!F1967)</f>
        <v/>
      </c>
      <c r="K1967" s="6" t="str">
        <f t="shared" si="155"/>
        <v/>
      </c>
      <c r="L1967" s="7" t="str">
        <f t="shared" si="156"/>
        <v/>
      </c>
      <c r="M1967" s="7" t="str">
        <f t="shared" si="153"/>
        <v/>
      </c>
      <c r="N1967" s="7" t="str">
        <f t="shared" si="157"/>
        <v/>
      </c>
      <c r="O1967" s="8"/>
      <c r="P1967" s="26"/>
      <c r="S1967" s="10" t="str">
        <f t="shared" si="154"/>
        <v/>
      </c>
    </row>
    <row r="1968" spans="5:19" x14ac:dyDescent="0.3">
      <c r="E1968" s="9" t="str">
        <f>IF(DADOS!C1968="","",DADOS!C1968)</f>
        <v/>
      </c>
      <c r="F1968" s="9" t="str">
        <f>IF(DADOS!E1968="","",DADOS!E1968)</f>
        <v/>
      </c>
      <c r="G1968" s="9" t="str">
        <f>IF(DADOS!F1968="","",DADOS!F1968)</f>
        <v/>
      </c>
      <c r="K1968" s="6" t="str">
        <f t="shared" si="155"/>
        <v/>
      </c>
      <c r="L1968" s="7" t="str">
        <f t="shared" si="156"/>
        <v/>
      </c>
      <c r="M1968" s="7" t="str">
        <f t="shared" si="153"/>
        <v/>
      </c>
      <c r="N1968" s="7" t="str">
        <f t="shared" si="157"/>
        <v/>
      </c>
      <c r="O1968" s="8"/>
      <c r="P1968" s="26"/>
      <c r="S1968" s="10" t="str">
        <f t="shared" si="154"/>
        <v/>
      </c>
    </row>
    <row r="1969" spans="5:19" x14ac:dyDescent="0.3">
      <c r="E1969" s="9" t="str">
        <f>IF(DADOS!C1969="","",DADOS!C1969)</f>
        <v/>
      </c>
      <c r="F1969" s="9" t="str">
        <f>IF(DADOS!E1969="","",DADOS!E1969)</f>
        <v/>
      </c>
      <c r="G1969" s="9" t="str">
        <f>IF(DADOS!F1969="","",DADOS!F1969)</f>
        <v/>
      </c>
      <c r="K1969" s="6" t="str">
        <f t="shared" si="155"/>
        <v/>
      </c>
      <c r="L1969" s="7" t="str">
        <f t="shared" si="156"/>
        <v/>
      </c>
      <c r="M1969" s="7" t="str">
        <f t="shared" si="153"/>
        <v/>
      </c>
      <c r="N1969" s="7" t="str">
        <f t="shared" si="157"/>
        <v/>
      </c>
      <c r="O1969" s="8"/>
      <c r="P1969" s="26"/>
      <c r="S1969" s="10" t="str">
        <f t="shared" si="154"/>
        <v/>
      </c>
    </row>
    <row r="1970" spans="5:19" x14ac:dyDescent="0.3">
      <c r="E1970" s="9" t="str">
        <f>IF(DADOS!C1970="","",DADOS!C1970)</f>
        <v/>
      </c>
      <c r="F1970" s="9" t="str">
        <f>IF(DADOS!E1970="","",DADOS!E1970)</f>
        <v/>
      </c>
      <c r="G1970" s="9" t="str">
        <f>IF(DADOS!F1970="","",DADOS!F1970)</f>
        <v/>
      </c>
      <c r="K1970" s="6" t="str">
        <f t="shared" si="155"/>
        <v/>
      </c>
      <c r="L1970" s="7" t="str">
        <f t="shared" si="156"/>
        <v/>
      </c>
      <c r="M1970" s="7" t="str">
        <f t="shared" si="153"/>
        <v/>
      </c>
      <c r="N1970" s="7" t="str">
        <f t="shared" si="157"/>
        <v/>
      </c>
      <c r="O1970" s="8"/>
      <c r="P1970" s="26"/>
      <c r="S1970" s="10" t="str">
        <f t="shared" si="154"/>
        <v/>
      </c>
    </row>
    <row r="1971" spans="5:19" x14ac:dyDescent="0.3">
      <c r="E1971" s="9" t="str">
        <f>IF(DADOS!C1971="","",DADOS!C1971)</f>
        <v/>
      </c>
      <c r="F1971" s="9" t="str">
        <f>IF(DADOS!E1971="","",DADOS!E1971)</f>
        <v/>
      </c>
      <c r="G1971" s="9" t="str">
        <f>IF(DADOS!F1971="","",DADOS!F1971)</f>
        <v/>
      </c>
      <c r="K1971" s="6" t="str">
        <f t="shared" si="155"/>
        <v/>
      </c>
      <c r="L1971" s="7" t="str">
        <f t="shared" si="156"/>
        <v/>
      </c>
      <c r="M1971" s="7" t="str">
        <f t="shared" si="153"/>
        <v/>
      </c>
      <c r="N1971" s="7" t="str">
        <f t="shared" si="157"/>
        <v/>
      </c>
      <c r="O1971" s="8"/>
      <c r="P1971" s="26"/>
      <c r="S1971" s="10" t="str">
        <f t="shared" si="154"/>
        <v/>
      </c>
    </row>
    <row r="1972" spans="5:19" x14ac:dyDescent="0.3">
      <c r="E1972" s="9" t="str">
        <f>IF(DADOS!C1972="","",DADOS!C1972)</f>
        <v/>
      </c>
      <c r="F1972" s="9" t="str">
        <f>IF(DADOS!E1972="","",DADOS!E1972)</f>
        <v/>
      </c>
      <c r="G1972" s="9" t="str">
        <f>IF(DADOS!F1972="","",DADOS!F1972)</f>
        <v/>
      </c>
      <c r="K1972" s="6" t="str">
        <f t="shared" si="155"/>
        <v/>
      </c>
      <c r="L1972" s="7" t="str">
        <f t="shared" si="156"/>
        <v/>
      </c>
      <c r="M1972" s="7" t="str">
        <f t="shared" si="153"/>
        <v/>
      </c>
      <c r="N1972" s="7" t="str">
        <f t="shared" si="157"/>
        <v/>
      </c>
      <c r="O1972" s="8"/>
      <c r="P1972" s="26"/>
      <c r="S1972" s="10" t="str">
        <f t="shared" si="154"/>
        <v/>
      </c>
    </row>
    <row r="1973" spans="5:19" x14ac:dyDescent="0.3">
      <c r="E1973" s="9" t="str">
        <f>IF(DADOS!C1973="","",DADOS!C1973)</f>
        <v/>
      </c>
      <c r="F1973" s="9" t="str">
        <f>IF(DADOS!E1973="","",DADOS!E1973)</f>
        <v/>
      </c>
      <c r="G1973" s="9" t="str">
        <f>IF(DADOS!F1973="","",DADOS!F1973)</f>
        <v/>
      </c>
      <c r="K1973" s="6" t="str">
        <f t="shared" si="155"/>
        <v/>
      </c>
      <c r="L1973" s="7" t="str">
        <f t="shared" si="156"/>
        <v/>
      </c>
      <c r="M1973" s="7" t="str">
        <f t="shared" si="153"/>
        <v/>
      </c>
      <c r="N1973" s="7" t="str">
        <f t="shared" si="157"/>
        <v/>
      </c>
      <c r="O1973" s="8"/>
      <c r="P1973" s="26"/>
      <c r="S1973" s="10" t="str">
        <f t="shared" si="154"/>
        <v/>
      </c>
    </row>
    <row r="1974" spans="5:19" x14ac:dyDescent="0.3">
      <c r="E1974" s="9" t="str">
        <f>IF(DADOS!C1974="","",DADOS!C1974)</f>
        <v/>
      </c>
      <c r="F1974" s="9" t="str">
        <f>IF(DADOS!E1974="","",DADOS!E1974)</f>
        <v/>
      </c>
      <c r="G1974" s="9" t="str">
        <f>IF(DADOS!F1974="","",DADOS!F1974)</f>
        <v/>
      </c>
      <c r="K1974" s="6" t="str">
        <f t="shared" si="155"/>
        <v/>
      </c>
      <c r="L1974" s="7" t="str">
        <f t="shared" si="156"/>
        <v/>
      </c>
      <c r="M1974" s="7" t="str">
        <f t="shared" si="153"/>
        <v/>
      </c>
      <c r="N1974" s="7" t="str">
        <f t="shared" si="157"/>
        <v/>
      </c>
      <c r="O1974" s="8"/>
      <c r="P1974" s="26"/>
      <c r="S1974" s="10" t="str">
        <f t="shared" si="154"/>
        <v/>
      </c>
    </row>
    <row r="1975" spans="5:19" x14ac:dyDescent="0.3">
      <c r="E1975" s="9" t="str">
        <f>IF(DADOS!C1975="","",DADOS!C1975)</f>
        <v/>
      </c>
      <c r="F1975" s="9" t="str">
        <f>IF(DADOS!E1975="","",DADOS!E1975)</f>
        <v/>
      </c>
      <c r="G1975" s="9" t="str">
        <f>IF(DADOS!F1975="","",DADOS!F1975)</f>
        <v/>
      </c>
      <c r="K1975" s="6" t="str">
        <f t="shared" si="155"/>
        <v/>
      </c>
      <c r="L1975" s="7" t="str">
        <f t="shared" si="156"/>
        <v/>
      </c>
      <c r="M1975" s="7" t="str">
        <f t="shared" si="153"/>
        <v/>
      </c>
      <c r="N1975" s="7" t="str">
        <f t="shared" si="157"/>
        <v/>
      </c>
      <c r="O1975" s="8"/>
      <c r="P1975" s="26"/>
      <c r="S1975" s="10" t="str">
        <f t="shared" si="154"/>
        <v/>
      </c>
    </row>
    <row r="1976" spans="5:19" x14ac:dyDescent="0.3">
      <c r="E1976" s="9" t="str">
        <f>IF(DADOS!C1976="","",DADOS!C1976)</f>
        <v/>
      </c>
      <c r="F1976" s="9" t="str">
        <f>IF(DADOS!E1976="","",DADOS!E1976)</f>
        <v/>
      </c>
      <c r="G1976" s="9" t="str">
        <f>IF(DADOS!F1976="","",DADOS!F1976)</f>
        <v/>
      </c>
      <c r="K1976" s="6" t="str">
        <f t="shared" si="155"/>
        <v/>
      </c>
      <c r="L1976" s="7" t="str">
        <f t="shared" si="156"/>
        <v/>
      </c>
      <c r="M1976" s="7" t="str">
        <f t="shared" si="153"/>
        <v/>
      </c>
      <c r="N1976" s="7" t="str">
        <f t="shared" si="157"/>
        <v/>
      </c>
      <c r="O1976" s="8"/>
      <c r="P1976" s="26"/>
      <c r="S1976" s="10" t="str">
        <f t="shared" si="154"/>
        <v/>
      </c>
    </row>
    <row r="1977" spans="5:19" x14ac:dyDescent="0.3">
      <c r="E1977" s="9" t="str">
        <f>IF(DADOS!C1977="","",DADOS!C1977)</f>
        <v/>
      </c>
      <c r="F1977" s="9" t="str">
        <f>IF(DADOS!E1977="","",DADOS!E1977)</f>
        <v/>
      </c>
      <c r="G1977" s="9" t="str">
        <f>IF(DADOS!F1977="","",DADOS!F1977)</f>
        <v/>
      </c>
      <c r="K1977" s="6" t="str">
        <f t="shared" si="155"/>
        <v/>
      </c>
      <c r="L1977" s="7" t="str">
        <f t="shared" si="156"/>
        <v/>
      </c>
      <c r="M1977" s="7" t="str">
        <f t="shared" si="153"/>
        <v/>
      </c>
      <c r="N1977" s="7" t="str">
        <f t="shared" si="157"/>
        <v/>
      </c>
      <c r="O1977" s="8"/>
      <c r="P1977" s="26"/>
      <c r="S1977" s="10" t="str">
        <f t="shared" si="154"/>
        <v/>
      </c>
    </row>
    <row r="1978" spans="5:19" x14ac:dyDescent="0.3">
      <c r="E1978" s="9" t="str">
        <f>IF(DADOS!C1978="","",DADOS!C1978)</f>
        <v/>
      </c>
      <c r="F1978" s="9" t="str">
        <f>IF(DADOS!E1978="","",DADOS!E1978)</f>
        <v/>
      </c>
      <c r="G1978" s="9" t="str">
        <f>IF(DADOS!F1978="","",DADOS!F1978)</f>
        <v/>
      </c>
      <c r="K1978" s="6" t="str">
        <f t="shared" si="155"/>
        <v/>
      </c>
      <c r="L1978" s="7" t="str">
        <f t="shared" si="156"/>
        <v/>
      </c>
      <c r="M1978" s="7" t="str">
        <f t="shared" si="153"/>
        <v/>
      </c>
      <c r="N1978" s="7" t="str">
        <f t="shared" si="157"/>
        <v/>
      </c>
      <c r="O1978" s="8"/>
      <c r="P1978" s="26"/>
      <c r="S1978" s="10" t="str">
        <f t="shared" si="154"/>
        <v/>
      </c>
    </row>
    <row r="1979" spans="5:19" x14ac:dyDescent="0.3">
      <c r="E1979" s="9" t="str">
        <f>IF(DADOS!C1979="","",DADOS!C1979)</f>
        <v/>
      </c>
      <c r="F1979" s="9" t="str">
        <f>IF(DADOS!E1979="","",DADOS!E1979)</f>
        <v/>
      </c>
      <c r="G1979" s="9" t="str">
        <f>IF(DADOS!F1979="","",DADOS!F1979)</f>
        <v/>
      </c>
      <c r="K1979" s="6" t="str">
        <f t="shared" si="155"/>
        <v/>
      </c>
      <c r="L1979" s="7" t="str">
        <f t="shared" si="156"/>
        <v/>
      </c>
      <c r="M1979" s="7" t="str">
        <f t="shared" si="153"/>
        <v/>
      </c>
      <c r="N1979" s="7" t="str">
        <f t="shared" si="157"/>
        <v/>
      </c>
      <c r="O1979" s="8"/>
      <c r="P1979" s="26"/>
      <c r="S1979" s="10" t="str">
        <f t="shared" si="154"/>
        <v/>
      </c>
    </row>
    <row r="1980" spans="5:19" x14ac:dyDescent="0.3">
      <c r="E1980" s="9" t="str">
        <f>IF(DADOS!C1980="","",DADOS!C1980)</f>
        <v/>
      </c>
      <c r="F1980" s="9" t="str">
        <f>IF(DADOS!E1980="","",DADOS!E1980)</f>
        <v/>
      </c>
      <c r="G1980" s="9" t="str">
        <f>IF(DADOS!F1980="","",DADOS!F1980)</f>
        <v/>
      </c>
      <c r="K1980" s="6" t="str">
        <f t="shared" si="155"/>
        <v/>
      </c>
      <c r="L1980" s="7" t="str">
        <f t="shared" si="156"/>
        <v/>
      </c>
      <c r="M1980" s="7" t="str">
        <f t="shared" si="153"/>
        <v/>
      </c>
      <c r="N1980" s="7" t="str">
        <f t="shared" si="157"/>
        <v/>
      </c>
      <c r="O1980" s="8"/>
      <c r="P1980" s="26"/>
      <c r="S1980" s="10" t="str">
        <f t="shared" si="154"/>
        <v/>
      </c>
    </row>
    <row r="1981" spans="5:19" x14ac:dyDescent="0.3">
      <c r="E1981" s="9" t="str">
        <f>IF(DADOS!C1981="","",DADOS!C1981)</f>
        <v/>
      </c>
      <c r="F1981" s="9" t="str">
        <f>IF(DADOS!E1981="","",DADOS!E1981)</f>
        <v/>
      </c>
      <c r="G1981" s="9" t="str">
        <f>IF(DADOS!F1981="","",DADOS!F1981)</f>
        <v/>
      </c>
      <c r="K1981" s="6" t="str">
        <f t="shared" si="155"/>
        <v/>
      </c>
      <c r="L1981" s="7" t="str">
        <f t="shared" si="156"/>
        <v/>
      </c>
      <c r="M1981" s="7" t="str">
        <f t="shared" si="153"/>
        <v/>
      </c>
      <c r="N1981" s="7" t="str">
        <f t="shared" si="157"/>
        <v/>
      </c>
      <c r="O1981" s="8"/>
      <c r="P1981" s="26"/>
      <c r="S1981" s="10" t="str">
        <f t="shared" si="154"/>
        <v/>
      </c>
    </row>
    <row r="1982" spans="5:19" x14ac:dyDescent="0.3">
      <c r="E1982" s="9" t="str">
        <f>IF(DADOS!C1982="","",DADOS!C1982)</f>
        <v/>
      </c>
      <c r="F1982" s="9" t="str">
        <f>IF(DADOS!E1982="","",DADOS!E1982)</f>
        <v/>
      </c>
      <c r="G1982" s="9" t="str">
        <f>IF(DADOS!F1982="","",DADOS!F1982)</f>
        <v/>
      </c>
      <c r="K1982" s="6" t="str">
        <f t="shared" si="155"/>
        <v/>
      </c>
      <c r="L1982" s="7" t="str">
        <f t="shared" si="156"/>
        <v/>
      </c>
      <c r="M1982" s="7" t="str">
        <f t="shared" si="153"/>
        <v/>
      </c>
      <c r="N1982" s="7" t="str">
        <f t="shared" si="157"/>
        <v/>
      </c>
      <c r="O1982" s="8"/>
      <c r="P1982" s="26"/>
      <c r="S1982" s="10" t="str">
        <f t="shared" si="154"/>
        <v/>
      </c>
    </row>
    <row r="1983" spans="5:19" x14ac:dyDescent="0.3">
      <c r="E1983" s="9" t="str">
        <f>IF(DADOS!C1983="","",DADOS!C1983)</f>
        <v/>
      </c>
      <c r="F1983" s="9" t="str">
        <f>IF(DADOS!E1983="","",DADOS!E1983)</f>
        <v/>
      </c>
      <c r="G1983" s="9" t="str">
        <f>IF(DADOS!F1983="","",DADOS!F1983)</f>
        <v/>
      </c>
      <c r="K1983" s="6" t="str">
        <f t="shared" si="155"/>
        <v/>
      </c>
      <c r="L1983" s="7" t="str">
        <f t="shared" si="156"/>
        <v/>
      </c>
      <c r="M1983" s="7" t="str">
        <f t="shared" si="153"/>
        <v/>
      </c>
      <c r="N1983" s="7" t="str">
        <f t="shared" si="157"/>
        <v/>
      </c>
      <c r="O1983" s="8"/>
      <c r="P1983" s="26"/>
      <c r="S1983" s="10" t="str">
        <f t="shared" si="154"/>
        <v/>
      </c>
    </row>
    <row r="1984" spans="5:19" x14ac:dyDescent="0.3">
      <c r="E1984" s="9" t="str">
        <f>IF(DADOS!C1984="","",DADOS!C1984)</f>
        <v/>
      </c>
      <c r="F1984" s="9" t="str">
        <f>IF(DADOS!E1984="","",DADOS!E1984)</f>
        <v/>
      </c>
      <c r="G1984" s="9" t="str">
        <f>IF(DADOS!F1984="","",DADOS!F1984)</f>
        <v/>
      </c>
      <c r="K1984" s="6" t="str">
        <f t="shared" si="155"/>
        <v/>
      </c>
      <c r="L1984" s="7" t="str">
        <f t="shared" si="156"/>
        <v/>
      </c>
      <c r="M1984" s="7" t="str">
        <f t="shared" si="153"/>
        <v/>
      </c>
      <c r="N1984" s="7" t="str">
        <f t="shared" si="157"/>
        <v/>
      </c>
      <c r="O1984" s="8"/>
      <c r="P1984" s="26"/>
      <c r="S1984" s="10" t="str">
        <f t="shared" si="154"/>
        <v/>
      </c>
    </row>
    <row r="1985" spans="5:19" x14ac:dyDescent="0.3">
      <c r="E1985" s="9" t="str">
        <f>IF(DADOS!C1985="","",DADOS!C1985)</f>
        <v/>
      </c>
      <c r="F1985" s="9" t="str">
        <f>IF(DADOS!E1985="","",DADOS!E1985)</f>
        <v/>
      </c>
      <c r="G1985" s="9" t="str">
        <f>IF(DADOS!F1985="","",DADOS!F1985)</f>
        <v/>
      </c>
      <c r="K1985" s="6" t="str">
        <f t="shared" si="155"/>
        <v/>
      </c>
      <c r="L1985" s="7" t="str">
        <f t="shared" si="156"/>
        <v/>
      </c>
      <c r="M1985" s="7" t="str">
        <f t="shared" si="153"/>
        <v/>
      </c>
      <c r="N1985" s="7" t="str">
        <f t="shared" si="157"/>
        <v/>
      </c>
      <c r="O1985" s="8"/>
      <c r="P1985" s="26"/>
      <c r="S1985" s="10" t="str">
        <f t="shared" si="154"/>
        <v/>
      </c>
    </row>
    <row r="1986" spans="5:19" x14ac:dyDescent="0.3">
      <c r="E1986" s="9" t="str">
        <f>IF(DADOS!C1986="","",DADOS!C1986)</f>
        <v/>
      </c>
      <c r="F1986" s="9" t="str">
        <f>IF(DADOS!E1986="","",DADOS!E1986)</f>
        <v/>
      </c>
      <c r="G1986" s="9" t="str">
        <f>IF(DADOS!F1986="","",DADOS!F1986)</f>
        <v/>
      </c>
      <c r="K1986" s="6" t="str">
        <f t="shared" si="155"/>
        <v/>
      </c>
      <c r="L1986" s="7" t="str">
        <f t="shared" si="156"/>
        <v/>
      </c>
      <c r="M1986" s="7" t="str">
        <f t="shared" si="153"/>
        <v/>
      </c>
      <c r="N1986" s="7" t="str">
        <f t="shared" si="157"/>
        <v/>
      </c>
      <c r="O1986" s="8"/>
      <c r="P1986" s="26"/>
      <c r="S1986" s="10" t="str">
        <f t="shared" si="154"/>
        <v/>
      </c>
    </row>
    <row r="1987" spans="5:19" x14ac:dyDescent="0.3">
      <c r="E1987" s="9" t="str">
        <f>IF(DADOS!C1987="","",DADOS!C1987)</f>
        <v/>
      </c>
      <c r="F1987" s="9" t="str">
        <f>IF(DADOS!E1987="","",DADOS!E1987)</f>
        <v/>
      </c>
      <c r="G1987" s="9" t="str">
        <f>IF(DADOS!F1987="","",DADOS!F1987)</f>
        <v/>
      </c>
      <c r="K1987" s="6" t="str">
        <f t="shared" si="155"/>
        <v/>
      </c>
      <c r="L1987" s="7" t="str">
        <f t="shared" si="156"/>
        <v/>
      </c>
      <c r="M1987" s="7" t="str">
        <f t="shared" ref="M1987:M2050" si="158">IF(L1987="","",L1987*G1987)</f>
        <v/>
      </c>
      <c r="N1987" s="7" t="str">
        <f t="shared" si="157"/>
        <v/>
      </c>
      <c r="O1987" s="8"/>
      <c r="P1987" s="26"/>
      <c r="S1987" s="10" t="str">
        <f t="shared" ref="S1987:S2050" si="159">IF(R1987="","",SUMIFS($N$3:$N$10000,$E$3:$E$10000,R1987))</f>
        <v/>
      </c>
    </row>
    <row r="1988" spans="5:19" x14ac:dyDescent="0.3">
      <c r="E1988" s="9" t="str">
        <f>IF(DADOS!C1988="","",DADOS!C1988)</f>
        <v/>
      </c>
      <c r="F1988" s="9" t="str">
        <f>IF(DADOS!E1988="","",DADOS!E1988)</f>
        <v/>
      </c>
      <c r="G1988" s="9" t="str">
        <f>IF(DADOS!F1988="","",DADOS!F1988)</f>
        <v/>
      </c>
      <c r="K1988" s="6" t="str">
        <f t="shared" ref="K1988:K2051" si="160">IF(F1988="","",F1988/PI())</f>
        <v/>
      </c>
      <c r="L1988" s="7" t="str">
        <f t="shared" ref="L1988:L2051" si="161">IF(K1988="","",(PI()*K1988^2)/40000)</f>
        <v/>
      </c>
      <c r="M1988" s="7" t="str">
        <f t="shared" si="158"/>
        <v/>
      </c>
      <c r="N1988" s="7" t="str">
        <f t="shared" ref="N1988:N2051" si="162">IF(M1988="","",M1988*N$1)</f>
        <v/>
      </c>
      <c r="O1988" s="8"/>
      <c r="P1988" s="26"/>
      <c r="S1988" s="10" t="str">
        <f t="shared" si="159"/>
        <v/>
      </c>
    </row>
    <row r="1989" spans="5:19" x14ac:dyDescent="0.3">
      <c r="E1989" s="9" t="str">
        <f>IF(DADOS!C1989="","",DADOS!C1989)</f>
        <v/>
      </c>
      <c r="F1989" s="9" t="str">
        <f>IF(DADOS!E1989="","",DADOS!E1989)</f>
        <v/>
      </c>
      <c r="G1989" s="9" t="str">
        <f>IF(DADOS!F1989="","",DADOS!F1989)</f>
        <v/>
      </c>
      <c r="K1989" s="6" t="str">
        <f t="shared" si="160"/>
        <v/>
      </c>
      <c r="L1989" s="7" t="str">
        <f t="shared" si="161"/>
        <v/>
      </c>
      <c r="M1989" s="7" t="str">
        <f t="shared" si="158"/>
        <v/>
      </c>
      <c r="N1989" s="7" t="str">
        <f t="shared" si="162"/>
        <v/>
      </c>
      <c r="O1989" s="8"/>
      <c r="P1989" s="26"/>
      <c r="S1989" s="10" t="str">
        <f t="shared" si="159"/>
        <v/>
      </c>
    </row>
    <row r="1990" spans="5:19" x14ac:dyDescent="0.3">
      <c r="E1990" s="9" t="str">
        <f>IF(DADOS!C1990="","",DADOS!C1990)</f>
        <v/>
      </c>
      <c r="F1990" s="9" t="str">
        <f>IF(DADOS!E1990="","",DADOS!E1990)</f>
        <v/>
      </c>
      <c r="G1990" s="9" t="str">
        <f>IF(DADOS!F1990="","",DADOS!F1990)</f>
        <v/>
      </c>
      <c r="K1990" s="6" t="str">
        <f t="shared" si="160"/>
        <v/>
      </c>
      <c r="L1990" s="7" t="str">
        <f t="shared" si="161"/>
        <v/>
      </c>
      <c r="M1990" s="7" t="str">
        <f t="shared" si="158"/>
        <v/>
      </c>
      <c r="N1990" s="7" t="str">
        <f t="shared" si="162"/>
        <v/>
      </c>
      <c r="O1990" s="8"/>
      <c r="P1990" s="26"/>
      <c r="S1990" s="10" t="str">
        <f t="shared" si="159"/>
        <v/>
      </c>
    </row>
    <row r="1991" spans="5:19" x14ac:dyDescent="0.3">
      <c r="E1991" s="9" t="str">
        <f>IF(DADOS!C1991="","",DADOS!C1991)</f>
        <v/>
      </c>
      <c r="F1991" s="9" t="str">
        <f>IF(DADOS!E1991="","",DADOS!E1991)</f>
        <v/>
      </c>
      <c r="G1991" s="9" t="str">
        <f>IF(DADOS!F1991="","",DADOS!F1991)</f>
        <v/>
      </c>
      <c r="K1991" s="6" t="str">
        <f t="shared" si="160"/>
        <v/>
      </c>
      <c r="L1991" s="7" t="str">
        <f t="shared" si="161"/>
        <v/>
      </c>
      <c r="M1991" s="7" t="str">
        <f t="shared" si="158"/>
        <v/>
      </c>
      <c r="N1991" s="7" t="str">
        <f t="shared" si="162"/>
        <v/>
      </c>
      <c r="O1991" s="8"/>
      <c r="P1991" s="26"/>
      <c r="S1991" s="10" t="str">
        <f t="shared" si="159"/>
        <v/>
      </c>
    </row>
    <row r="1992" spans="5:19" x14ac:dyDescent="0.3">
      <c r="E1992" s="9" t="str">
        <f>IF(DADOS!C1992="","",DADOS!C1992)</f>
        <v/>
      </c>
      <c r="F1992" s="9" t="str">
        <f>IF(DADOS!E1992="","",DADOS!E1992)</f>
        <v/>
      </c>
      <c r="G1992" s="9" t="str">
        <f>IF(DADOS!F1992="","",DADOS!F1992)</f>
        <v/>
      </c>
      <c r="K1992" s="6" t="str">
        <f t="shared" si="160"/>
        <v/>
      </c>
      <c r="L1992" s="7" t="str">
        <f t="shared" si="161"/>
        <v/>
      </c>
      <c r="M1992" s="7" t="str">
        <f t="shared" si="158"/>
        <v/>
      </c>
      <c r="N1992" s="7" t="str">
        <f t="shared" si="162"/>
        <v/>
      </c>
      <c r="O1992" s="8"/>
      <c r="P1992" s="26"/>
      <c r="S1992" s="10" t="str">
        <f t="shared" si="159"/>
        <v/>
      </c>
    </row>
    <row r="1993" spans="5:19" x14ac:dyDescent="0.3">
      <c r="E1993" s="9" t="str">
        <f>IF(DADOS!C1993="","",DADOS!C1993)</f>
        <v/>
      </c>
      <c r="F1993" s="9" t="str">
        <f>IF(DADOS!E1993="","",DADOS!E1993)</f>
        <v/>
      </c>
      <c r="G1993" s="9" t="str">
        <f>IF(DADOS!F1993="","",DADOS!F1993)</f>
        <v/>
      </c>
      <c r="K1993" s="6" t="str">
        <f t="shared" si="160"/>
        <v/>
      </c>
      <c r="L1993" s="7" t="str">
        <f t="shared" si="161"/>
        <v/>
      </c>
      <c r="M1993" s="7" t="str">
        <f t="shared" si="158"/>
        <v/>
      </c>
      <c r="N1993" s="7" t="str">
        <f t="shared" si="162"/>
        <v/>
      </c>
      <c r="O1993" s="8"/>
      <c r="P1993" s="26"/>
      <c r="S1993" s="10" t="str">
        <f t="shared" si="159"/>
        <v/>
      </c>
    </row>
    <row r="1994" spans="5:19" x14ac:dyDescent="0.3">
      <c r="E1994" s="9" t="str">
        <f>IF(DADOS!C1994="","",DADOS!C1994)</f>
        <v/>
      </c>
      <c r="F1994" s="9" t="str">
        <f>IF(DADOS!E1994="","",DADOS!E1994)</f>
        <v/>
      </c>
      <c r="G1994" s="9" t="str">
        <f>IF(DADOS!F1994="","",DADOS!F1994)</f>
        <v/>
      </c>
      <c r="K1994" s="6" t="str">
        <f t="shared" si="160"/>
        <v/>
      </c>
      <c r="L1994" s="7" t="str">
        <f t="shared" si="161"/>
        <v/>
      </c>
      <c r="M1994" s="7" t="str">
        <f t="shared" si="158"/>
        <v/>
      </c>
      <c r="N1994" s="7" t="str">
        <f t="shared" si="162"/>
        <v/>
      </c>
      <c r="O1994" s="8"/>
      <c r="P1994" s="26"/>
      <c r="S1994" s="10" t="str">
        <f t="shared" si="159"/>
        <v/>
      </c>
    </row>
    <row r="1995" spans="5:19" x14ac:dyDescent="0.3">
      <c r="E1995" s="9" t="str">
        <f>IF(DADOS!C1995="","",DADOS!C1995)</f>
        <v/>
      </c>
      <c r="F1995" s="9" t="str">
        <f>IF(DADOS!E1995="","",DADOS!E1995)</f>
        <v/>
      </c>
      <c r="G1995" s="9" t="str">
        <f>IF(DADOS!F1995="","",DADOS!F1995)</f>
        <v/>
      </c>
      <c r="K1995" s="6" t="str">
        <f t="shared" si="160"/>
        <v/>
      </c>
      <c r="L1995" s="7" t="str">
        <f t="shared" si="161"/>
        <v/>
      </c>
      <c r="M1995" s="7" t="str">
        <f t="shared" si="158"/>
        <v/>
      </c>
      <c r="N1995" s="7" t="str">
        <f t="shared" si="162"/>
        <v/>
      </c>
      <c r="O1995" s="8"/>
      <c r="P1995" s="26"/>
      <c r="S1995" s="10" t="str">
        <f t="shared" si="159"/>
        <v/>
      </c>
    </row>
    <row r="1996" spans="5:19" x14ac:dyDescent="0.3">
      <c r="E1996" s="9" t="str">
        <f>IF(DADOS!C1996="","",DADOS!C1996)</f>
        <v/>
      </c>
      <c r="F1996" s="9" t="str">
        <f>IF(DADOS!E1996="","",DADOS!E1996)</f>
        <v/>
      </c>
      <c r="G1996" s="9" t="str">
        <f>IF(DADOS!F1996="","",DADOS!F1996)</f>
        <v/>
      </c>
      <c r="K1996" s="6" t="str">
        <f t="shared" si="160"/>
        <v/>
      </c>
      <c r="L1996" s="7" t="str">
        <f t="shared" si="161"/>
        <v/>
      </c>
      <c r="M1996" s="7" t="str">
        <f t="shared" si="158"/>
        <v/>
      </c>
      <c r="N1996" s="7" t="str">
        <f t="shared" si="162"/>
        <v/>
      </c>
      <c r="O1996" s="8"/>
      <c r="P1996" s="26"/>
      <c r="S1996" s="10" t="str">
        <f t="shared" si="159"/>
        <v/>
      </c>
    </row>
    <row r="1997" spans="5:19" x14ac:dyDescent="0.3">
      <c r="E1997" s="9" t="str">
        <f>IF(DADOS!C1997="","",DADOS!C1997)</f>
        <v/>
      </c>
      <c r="F1997" s="9" t="str">
        <f>IF(DADOS!E1997="","",DADOS!E1997)</f>
        <v/>
      </c>
      <c r="G1997" s="9" t="str">
        <f>IF(DADOS!F1997="","",DADOS!F1997)</f>
        <v/>
      </c>
      <c r="K1997" s="6" t="str">
        <f t="shared" si="160"/>
        <v/>
      </c>
      <c r="L1997" s="7" t="str">
        <f t="shared" si="161"/>
        <v/>
      </c>
      <c r="M1997" s="7" t="str">
        <f t="shared" si="158"/>
        <v/>
      </c>
      <c r="N1997" s="7" t="str">
        <f t="shared" si="162"/>
        <v/>
      </c>
      <c r="O1997" s="8"/>
      <c r="P1997" s="26"/>
      <c r="S1997" s="10" t="str">
        <f t="shared" si="159"/>
        <v/>
      </c>
    </row>
    <row r="1998" spans="5:19" x14ac:dyDescent="0.3">
      <c r="E1998" s="9" t="str">
        <f>IF(DADOS!C1998="","",DADOS!C1998)</f>
        <v/>
      </c>
      <c r="F1998" s="9" t="str">
        <f>IF(DADOS!E1998="","",DADOS!E1998)</f>
        <v/>
      </c>
      <c r="G1998" s="9" t="str">
        <f>IF(DADOS!F1998="","",DADOS!F1998)</f>
        <v/>
      </c>
      <c r="K1998" s="6" t="str">
        <f t="shared" si="160"/>
        <v/>
      </c>
      <c r="L1998" s="7" t="str">
        <f t="shared" si="161"/>
        <v/>
      </c>
      <c r="M1998" s="7" t="str">
        <f t="shared" si="158"/>
        <v/>
      </c>
      <c r="N1998" s="7" t="str">
        <f t="shared" si="162"/>
        <v/>
      </c>
      <c r="O1998" s="8"/>
      <c r="P1998" s="26"/>
      <c r="S1998" s="10" t="str">
        <f t="shared" si="159"/>
        <v/>
      </c>
    </row>
    <row r="1999" spans="5:19" x14ac:dyDescent="0.3">
      <c r="E1999" s="9" t="str">
        <f>IF(DADOS!C1999="","",DADOS!C1999)</f>
        <v/>
      </c>
      <c r="F1999" s="9" t="str">
        <f>IF(DADOS!E1999="","",DADOS!E1999)</f>
        <v/>
      </c>
      <c r="G1999" s="9" t="str">
        <f>IF(DADOS!F1999="","",DADOS!F1999)</f>
        <v/>
      </c>
      <c r="K1999" s="6" t="str">
        <f t="shared" si="160"/>
        <v/>
      </c>
      <c r="L1999" s="7" t="str">
        <f t="shared" si="161"/>
        <v/>
      </c>
      <c r="M1999" s="7" t="str">
        <f t="shared" si="158"/>
        <v/>
      </c>
      <c r="N1999" s="7" t="str">
        <f t="shared" si="162"/>
        <v/>
      </c>
      <c r="O1999" s="8"/>
      <c r="P1999" s="26"/>
      <c r="S1999" s="10" t="str">
        <f t="shared" si="159"/>
        <v/>
      </c>
    </row>
    <row r="2000" spans="5:19" x14ac:dyDescent="0.3">
      <c r="E2000" s="9" t="str">
        <f>IF(DADOS!C2000="","",DADOS!C2000)</f>
        <v/>
      </c>
      <c r="F2000" s="9" t="str">
        <f>IF(DADOS!E2000="","",DADOS!E2000)</f>
        <v/>
      </c>
      <c r="G2000" s="9" t="str">
        <f>IF(DADOS!F2000="","",DADOS!F2000)</f>
        <v/>
      </c>
      <c r="K2000" s="6" t="str">
        <f t="shared" si="160"/>
        <v/>
      </c>
      <c r="L2000" s="7" t="str">
        <f t="shared" si="161"/>
        <v/>
      </c>
      <c r="M2000" s="7" t="str">
        <f t="shared" si="158"/>
        <v/>
      </c>
      <c r="N2000" s="7" t="str">
        <f t="shared" si="162"/>
        <v/>
      </c>
      <c r="O2000" s="8"/>
      <c r="P2000" s="26"/>
      <c r="S2000" s="10" t="str">
        <f t="shared" si="159"/>
        <v/>
      </c>
    </row>
    <row r="2001" spans="5:19" x14ac:dyDescent="0.3">
      <c r="E2001" s="9" t="str">
        <f>IF(DADOS!C2001="","",DADOS!C2001)</f>
        <v/>
      </c>
      <c r="F2001" s="9" t="str">
        <f>IF(DADOS!E2001="","",DADOS!E2001)</f>
        <v/>
      </c>
      <c r="G2001" s="9" t="str">
        <f>IF(DADOS!F2001="","",DADOS!F2001)</f>
        <v/>
      </c>
      <c r="K2001" s="6" t="str">
        <f t="shared" si="160"/>
        <v/>
      </c>
      <c r="L2001" s="7" t="str">
        <f t="shared" si="161"/>
        <v/>
      </c>
      <c r="M2001" s="7" t="str">
        <f t="shared" si="158"/>
        <v/>
      </c>
      <c r="N2001" s="7" t="str">
        <f t="shared" si="162"/>
        <v/>
      </c>
      <c r="O2001" s="8"/>
      <c r="P2001" s="26"/>
      <c r="S2001" s="10" t="str">
        <f t="shared" si="159"/>
        <v/>
      </c>
    </row>
    <row r="2002" spans="5:19" x14ac:dyDescent="0.3">
      <c r="E2002" s="9" t="str">
        <f>IF(DADOS!C2002="","",DADOS!C2002)</f>
        <v/>
      </c>
      <c r="F2002" s="9" t="str">
        <f>IF(DADOS!E2002="","",DADOS!E2002)</f>
        <v/>
      </c>
      <c r="G2002" s="9" t="str">
        <f>IF(DADOS!F2002="","",DADOS!F2002)</f>
        <v/>
      </c>
      <c r="K2002" s="6" t="str">
        <f t="shared" si="160"/>
        <v/>
      </c>
      <c r="L2002" s="7" t="str">
        <f t="shared" si="161"/>
        <v/>
      </c>
      <c r="M2002" s="7" t="str">
        <f t="shared" si="158"/>
        <v/>
      </c>
      <c r="N2002" s="7" t="str">
        <f t="shared" si="162"/>
        <v/>
      </c>
      <c r="O2002" s="8"/>
      <c r="P2002" s="26"/>
      <c r="S2002" s="10" t="str">
        <f t="shared" si="159"/>
        <v/>
      </c>
    </row>
    <row r="2003" spans="5:19" x14ac:dyDescent="0.3">
      <c r="E2003" s="9" t="str">
        <f>IF(DADOS!C2003="","",DADOS!C2003)</f>
        <v/>
      </c>
      <c r="F2003" s="9" t="str">
        <f>IF(DADOS!E2003="","",DADOS!E2003)</f>
        <v/>
      </c>
      <c r="G2003" s="9" t="str">
        <f>IF(DADOS!F2003="","",DADOS!F2003)</f>
        <v/>
      </c>
      <c r="K2003" s="6" t="str">
        <f t="shared" si="160"/>
        <v/>
      </c>
      <c r="L2003" s="7" t="str">
        <f t="shared" si="161"/>
        <v/>
      </c>
      <c r="M2003" s="7" t="str">
        <f t="shared" si="158"/>
        <v/>
      </c>
      <c r="N2003" s="7" t="str">
        <f t="shared" si="162"/>
        <v/>
      </c>
      <c r="O2003" s="8"/>
      <c r="P2003" s="26"/>
      <c r="S2003" s="10" t="str">
        <f t="shared" si="159"/>
        <v/>
      </c>
    </row>
    <row r="2004" spans="5:19" x14ac:dyDescent="0.3">
      <c r="E2004" s="9" t="str">
        <f>IF(DADOS!C2004="","",DADOS!C2004)</f>
        <v/>
      </c>
      <c r="F2004" s="9" t="str">
        <f>IF(DADOS!E2004="","",DADOS!E2004)</f>
        <v/>
      </c>
      <c r="G2004" s="9" t="str">
        <f>IF(DADOS!F2004="","",DADOS!F2004)</f>
        <v/>
      </c>
      <c r="K2004" s="6" t="str">
        <f t="shared" si="160"/>
        <v/>
      </c>
      <c r="L2004" s="7" t="str">
        <f t="shared" si="161"/>
        <v/>
      </c>
      <c r="M2004" s="7" t="str">
        <f t="shared" si="158"/>
        <v/>
      </c>
      <c r="N2004" s="7" t="str">
        <f t="shared" si="162"/>
        <v/>
      </c>
      <c r="O2004" s="8"/>
      <c r="P2004" s="26"/>
      <c r="S2004" s="10" t="str">
        <f t="shared" si="159"/>
        <v/>
      </c>
    </row>
    <row r="2005" spans="5:19" x14ac:dyDescent="0.3">
      <c r="E2005" s="9" t="str">
        <f>IF(DADOS!C2005="","",DADOS!C2005)</f>
        <v/>
      </c>
      <c r="F2005" s="9" t="str">
        <f>IF(DADOS!E2005="","",DADOS!E2005)</f>
        <v/>
      </c>
      <c r="G2005" s="9" t="str">
        <f>IF(DADOS!F2005="","",DADOS!F2005)</f>
        <v/>
      </c>
      <c r="K2005" s="6" t="str">
        <f t="shared" si="160"/>
        <v/>
      </c>
      <c r="L2005" s="7" t="str">
        <f t="shared" si="161"/>
        <v/>
      </c>
      <c r="M2005" s="7" t="str">
        <f t="shared" si="158"/>
        <v/>
      </c>
      <c r="N2005" s="7" t="str">
        <f t="shared" si="162"/>
        <v/>
      </c>
      <c r="O2005" s="8"/>
      <c r="P2005" s="26"/>
      <c r="S2005" s="10" t="str">
        <f t="shared" si="159"/>
        <v/>
      </c>
    </row>
    <row r="2006" spans="5:19" x14ac:dyDescent="0.3">
      <c r="E2006" s="9" t="str">
        <f>IF(DADOS!C2006="","",DADOS!C2006)</f>
        <v/>
      </c>
      <c r="F2006" s="9" t="str">
        <f>IF(DADOS!E2006="","",DADOS!E2006)</f>
        <v/>
      </c>
      <c r="G2006" s="9" t="str">
        <f>IF(DADOS!F2006="","",DADOS!F2006)</f>
        <v/>
      </c>
      <c r="K2006" s="6" t="str">
        <f t="shared" si="160"/>
        <v/>
      </c>
      <c r="L2006" s="7" t="str">
        <f t="shared" si="161"/>
        <v/>
      </c>
      <c r="M2006" s="7" t="str">
        <f t="shared" si="158"/>
        <v/>
      </c>
      <c r="N2006" s="7" t="str">
        <f t="shared" si="162"/>
        <v/>
      </c>
      <c r="O2006" s="8"/>
      <c r="P2006" s="26"/>
      <c r="S2006" s="10" t="str">
        <f t="shared" si="159"/>
        <v/>
      </c>
    </row>
    <row r="2007" spans="5:19" x14ac:dyDescent="0.3">
      <c r="E2007" s="9" t="str">
        <f>IF(DADOS!C2007="","",DADOS!C2007)</f>
        <v/>
      </c>
      <c r="F2007" s="9" t="str">
        <f>IF(DADOS!E2007="","",DADOS!E2007)</f>
        <v/>
      </c>
      <c r="G2007" s="9" t="str">
        <f>IF(DADOS!F2007="","",DADOS!F2007)</f>
        <v/>
      </c>
      <c r="K2007" s="6" t="str">
        <f t="shared" si="160"/>
        <v/>
      </c>
      <c r="L2007" s="7" t="str">
        <f t="shared" si="161"/>
        <v/>
      </c>
      <c r="M2007" s="7" t="str">
        <f t="shared" si="158"/>
        <v/>
      </c>
      <c r="N2007" s="7" t="str">
        <f t="shared" si="162"/>
        <v/>
      </c>
      <c r="O2007" s="8"/>
      <c r="P2007" s="26"/>
      <c r="S2007" s="10" t="str">
        <f t="shared" si="159"/>
        <v/>
      </c>
    </row>
    <row r="2008" spans="5:19" x14ac:dyDescent="0.3">
      <c r="E2008" s="9" t="str">
        <f>IF(DADOS!C2008="","",DADOS!C2008)</f>
        <v/>
      </c>
      <c r="F2008" s="9" t="str">
        <f>IF(DADOS!E2008="","",DADOS!E2008)</f>
        <v/>
      </c>
      <c r="G2008" s="9" t="str">
        <f>IF(DADOS!F2008="","",DADOS!F2008)</f>
        <v/>
      </c>
      <c r="K2008" s="6" t="str">
        <f t="shared" si="160"/>
        <v/>
      </c>
      <c r="L2008" s="7" t="str">
        <f t="shared" si="161"/>
        <v/>
      </c>
      <c r="M2008" s="7" t="str">
        <f t="shared" si="158"/>
        <v/>
      </c>
      <c r="N2008" s="7" t="str">
        <f t="shared" si="162"/>
        <v/>
      </c>
      <c r="O2008" s="8"/>
      <c r="P2008" s="26"/>
      <c r="S2008" s="10" t="str">
        <f t="shared" si="159"/>
        <v/>
      </c>
    </row>
    <row r="2009" spans="5:19" x14ac:dyDescent="0.3">
      <c r="E2009" s="9" t="str">
        <f>IF(DADOS!C2009="","",DADOS!C2009)</f>
        <v/>
      </c>
      <c r="F2009" s="9" t="str">
        <f>IF(DADOS!E2009="","",DADOS!E2009)</f>
        <v/>
      </c>
      <c r="G2009" s="9" t="str">
        <f>IF(DADOS!F2009="","",DADOS!F2009)</f>
        <v/>
      </c>
      <c r="K2009" s="6" t="str">
        <f t="shared" si="160"/>
        <v/>
      </c>
      <c r="L2009" s="7" t="str">
        <f t="shared" si="161"/>
        <v/>
      </c>
      <c r="M2009" s="7" t="str">
        <f t="shared" si="158"/>
        <v/>
      </c>
      <c r="N2009" s="7" t="str">
        <f t="shared" si="162"/>
        <v/>
      </c>
      <c r="O2009" s="8"/>
      <c r="P2009" s="26"/>
      <c r="S2009" s="10" t="str">
        <f t="shared" si="159"/>
        <v/>
      </c>
    </row>
    <row r="2010" spans="5:19" x14ac:dyDescent="0.3">
      <c r="E2010" s="9" t="str">
        <f>IF(DADOS!C2010="","",DADOS!C2010)</f>
        <v/>
      </c>
      <c r="F2010" s="9" t="str">
        <f>IF(DADOS!E2010="","",DADOS!E2010)</f>
        <v/>
      </c>
      <c r="G2010" s="9" t="str">
        <f>IF(DADOS!F2010="","",DADOS!F2010)</f>
        <v/>
      </c>
      <c r="K2010" s="6" t="str">
        <f t="shared" si="160"/>
        <v/>
      </c>
      <c r="L2010" s="7" t="str">
        <f t="shared" si="161"/>
        <v/>
      </c>
      <c r="M2010" s="7" t="str">
        <f t="shared" si="158"/>
        <v/>
      </c>
      <c r="N2010" s="7" t="str">
        <f t="shared" si="162"/>
        <v/>
      </c>
      <c r="O2010" s="8"/>
      <c r="P2010" s="26"/>
      <c r="S2010" s="10" t="str">
        <f t="shared" si="159"/>
        <v/>
      </c>
    </row>
    <row r="2011" spans="5:19" x14ac:dyDescent="0.3">
      <c r="E2011" s="9" t="str">
        <f>IF(DADOS!C2011="","",DADOS!C2011)</f>
        <v/>
      </c>
      <c r="F2011" s="9" t="str">
        <f>IF(DADOS!E2011="","",DADOS!E2011)</f>
        <v/>
      </c>
      <c r="G2011" s="9" t="str">
        <f>IF(DADOS!F2011="","",DADOS!F2011)</f>
        <v/>
      </c>
      <c r="K2011" s="6" t="str">
        <f t="shared" si="160"/>
        <v/>
      </c>
      <c r="L2011" s="7" t="str">
        <f t="shared" si="161"/>
        <v/>
      </c>
      <c r="M2011" s="7" t="str">
        <f t="shared" si="158"/>
        <v/>
      </c>
      <c r="N2011" s="7" t="str">
        <f t="shared" si="162"/>
        <v/>
      </c>
      <c r="O2011" s="8"/>
      <c r="P2011" s="26"/>
      <c r="S2011" s="10" t="str">
        <f t="shared" si="159"/>
        <v/>
      </c>
    </row>
    <row r="2012" spans="5:19" x14ac:dyDescent="0.3">
      <c r="E2012" s="9" t="str">
        <f>IF(DADOS!C2012="","",DADOS!C2012)</f>
        <v/>
      </c>
      <c r="F2012" s="9" t="str">
        <f>IF(DADOS!E2012="","",DADOS!E2012)</f>
        <v/>
      </c>
      <c r="G2012" s="9" t="str">
        <f>IF(DADOS!F2012="","",DADOS!F2012)</f>
        <v/>
      </c>
      <c r="K2012" s="6" t="str">
        <f t="shared" si="160"/>
        <v/>
      </c>
      <c r="L2012" s="7" t="str">
        <f t="shared" si="161"/>
        <v/>
      </c>
      <c r="M2012" s="7" t="str">
        <f t="shared" si="158"/>
        <v/>
      </c>
      <c r="N2012" s="7" t="str">
        <f t="shared" si="162"/>
        <v/>
      </c>
      <c r="O2012" s="8"/>
      <c r="P2012" s="26"/>
      <c r="S2012" s="10" t="str">
        <f t="shared" si="159"/>
        <v/>
      </c>
    </row>
    <row r="2013" spans="5:19" x14ac:dyDescent="0.3">
      <c r="E2013" s="9" t="str">
        <f>IF(DADOS!C2013="","",DADOS!C2013)</f>
        <v/>
      </c>
      <c r="F2013" s="9" t="str">
        <f>IF(DADOS!E2013="","",DADOS!E2013)</f>
        <v/>
      </c>
      <c r="G2013" s="9" t="str">
        <f>IF(DADOS!F2013="","",DADOS!F2013)</f>
        <v/>
      </c>
      <c r="K2013" s="6" t="str">
        <f t="shared" si="160"/>
        <v/>
      </c>
      <c r="L2013" s="7" t="str">
        <f t="shared" si="161"/>
        <v/>
      </c>
      <c r="M2013" s="7" t="str">
        <f t="shared" si="158"/>
        <v/>
      </c>
      <c r="N2013" s="7" t="str">
        <f t="shared" si="162"/>
        <v/>
      </c>
      <c r="O2013" s="8"/>
      <c r="P2013" s="26"/>
      <c r="S2013" s="10" t="str">
        <f t="shared" si="159"/>
        <v/>
      </c>
    </row>
    <row r="2014" spans="5:19" x14ac:dyDescent="0.3">
      <c r="E2014" s="9" t="str">
        <f>IF(DADOS!C2014="","",DADOS!C2014)</f>
        <v/>
      </c>
      <c r="F2014" s="9" t="str">
        <f>IF(DADOS!E2014="","",DADOS!E2014)</f>
        <v/>
      </c>
      <c r="G2014" s="9" t="str">
        <f>IF(DADOS!F2014="","",DADOS!F2014)</f>
        <v/>
      </c>
      <c r="K2014" s="6" t="str">
        <f t="shared" si="160"/>
        <v/>
      </c>
      <c r="L2014" s="7" t="str">
        <f t="shared" si="161"/>
        <v/>
      </c>
      <c r="M2014" s="7" t="str">
        <f t="shared" si="158"/>
        <v/>
      </c>
      <c r="N2014" s="7" t="str">
        <f t="shared" si="162"/>
        <v/>
      </c>
      <c r="O2014" s="8"/>
      <c r="P2014" s="26"/>
      <c r="S2014" s="10" t="str">
        <f t="shared" si="159"/>
        <v/>
      </c>
    </row>
    <row r="2015" spans="5:19" x14ac:dyDescent="0.3">
      <c r="E2015" s="9" t="str">
        <f>IF(DADOS!C2015="","",DADOS!C2015)</f>
        <v/>
      </c>
      <c r="F2015" s="9" t="str">
        <f>IF(DADOS!E2015="","",DADOS!E2015)</f>
        <v/>
      </c>
      <c r="G2015" s="9" t="str">
        <f>IF(DADOS!F2015="","",DADOS!F2015)</f>
        <v/>
      </c>
      <c r="K2015" s="6" t="str">
        <f t="shared" si="160"/>
        <v/>
      </c>
      <c r="L2015" s="7" t="str">
        <f t="shared" si="161"/>
        <v/>
      </c>
      <c r="M2015" s="7" t="str">
        <f t="shared" si="158"/>
        <v/>
      </c>
      <c r="N2015" s="7" t="str">
        <f t="shared" si="162"/>
        <v/>
      </c>
      <c r="O2015" s="8"/>
      <c r="P2015" s="26"/>
      <c r="S2015" s="10" t="str">
        <f t="shared" si="159"/>
        <v/>
      </c>
    </row>
    <row r="2016" spans="5:19" x14ac:dyDescent="0.3">
      <c r="E2016" s="9" t="str">
        <f>IF(DADOS!C2016="","",DADOS!C2016)</f>
        <v/>
      </c>
      <c r="F2016" s="9" t="str">
        <f>IF(DADOS!E2016="","",DADOS!E2016)</f>
        <v/>
      </c>
      <c r="G2016" s="9" t="str">
        <f>IF(DADOS!F2016="","",DADOS!F2016)</f>
        <v/>
      </c>
      <c r="K2016" s="6" t="str">
        <f t="shared" si="160"/>
        <v/>
      </c>
      <c r="L2016" s="7" t="str">
        <f t="shared" si="161"/>
        <v/>
      </c>
      <c r="M2016" s="7" t="str">
        <f t="shared" si="158"/>
        <v/>
      </c>
      <c r="N2016" s="7" t="str">
        <f t="shared" si="162"/>
        <v/>
      </c>
      <c r="O2016" s="8"/>
      <c r="P2016" s="26"/>
      <c r="S2016" s="10" t="str">
        <f t="shared" si="159"/>
        <v/>
      </c>
    </row>
    <row r="2017" spans="5:19" x14ac:dyDescent="0.3">
      <c r="E2017" s="9" t="str">
        <f>IF(DADOS!C2017="","",DADOS!C2017)</f>
        <v/>
      </c>
      <c r="F2017" s="9" t="str">
        <f>IF(DADOS!E2017="","",DADOS!E2017)</f>
        <v/>
      </c>
      <c r="G2017" s="9" t="str">
        <f>IF(DADOS!F2017="","",DADOS!F2017)</f>
        <v/>
      </c>
      <c r="K2017" s="6" t="str">
        <f t="shared" si="160"/>
        <v/>
      </c>
      <c r="L2017" s="7" t="str">
        <f t="shared" si="161"/>
        <v/>
      </c>
      <c r="M2017" s="7" t="str">
        <f t="shared" si="158"/>
        <v/>
      </c>
      <c r="N2017" s="7" t="str">
        <f t="shared" si="162"/>
        <v/>
      </c>
      <c r="O2017" s="8"/>
      <c r="P2017" s="26"/>
      <c r="S2017" s="10" t="str">
        <f t="shared" si="159"/>
        <v/>
      </c>
    </row>
    <row r="2018" spans="5:19" x14ac:dyDescent="0.3">
      <c r="E2018" s="9" t="str">
        <f>IF(DADOS!C2018="","",DADOS!C2018)</f>
        <v/>
      </c>
      <c r="F2018" s="9" t="str">
        <f>IF(DADOS!E2018="","",DADOS!E2018)</f>
        <v/>
      </c>
      <c r="G2018" s="9" t="str">
        <f>IF(DADOS!F2018="","",DADOS!F2018)</f>
        <v/>
      </c>
      <c r="K2018" s="6" t="str">
        <f t="shared" si="160"/>
        <v/>
      </c>
      <c r="L2018" s="7" t="str">
        <f t="shared" si="161"/>
        <v/>
      </c>
      <c r="M2018" s="7" t="str">
        <f t="shared" si="158"/>
        <v/>
      </c>
      <c r="N2018" s="7" t="str">
        <f t="shared" si="162"/>
        <v/>
      </c>
      <c r="O2018" s="8"/>
      <c r="P2018" s="26"/>
      <c r="S2018" s="10" t="str">
        <f t="shared" si="159"/>
        <v/>
      </c>
    </row>
    <row r="2019" spans="5:19" x14ac:dyDescent="0.3">
      <c r="E2019" s="9" t="str">
        <f>IF(DADOS!C2019="","",DADOS!C2019)</f>
        <v/>
      </c>
      <c r="F2019" s="9" t="str">
        <f>IF(DADOS!E2019="","",DADOS!E2019)</f>
        <v/>
      </c>
      <c r="G2019" s="9" t="str">
        <f>IF(DADOS!F2019="","",DADOS!F2019)</f>
        <v/>
      </c>
      <c r="K2019" s="6" t="str">
        <f t="shared" si="160"/>
        <v/>
      </c>
      <c r="L2019" s="7" t="str">
        <f t="shared" si="161"/>
        <v/>
      </c>
      <c r="M2019" s="7" t="str">
        <f t="shared" si="158"/>
        <v/>
      </c>
      <c r="N2019" s="7" t="str">
        <f t="shared" si="162"/>
        <v/>
      </c>
      <c r="O2019" s="8"/>
      <c r="P2019" s="26"/>
      <c r="S2019" s="10" t="str">
        <f t="shared" si="159"/>
        <v/>
      </c>
    </row>
    <row r="2020" spans="5:19" x14ac:dyDescent="0.3">
      <c r="E2020" s="9" t="str">
        <f>IF(DADOS!C2020="","",DADOS!C2020)</f>
        <v/>
      </c>
      <c r="F2020" s="9" t="str">
        <f>IF(DADOS!E2020="","",DADOS!E2020)</f>
        <v/>
      </c>
      <c r="G2020" s="9" t="str">
        <f>IF(DADOS!F2020="","",DADOS!F2020)</f>
        <v/>
      </c>
      <c r="K2020" s="6" t="str">
        <f t="shared" si="160"/>
        <v/>
      </c>
      <c r="L2020" s="7" t="str">
        <f t="shared" si="161"/>
        <v/>
      </c>
      <c r="M2020" s="7" t="str">
        <f t="shared" si="158"/>
        <v/>
      </c>
      <c r="N2020" s="7" t="str">
        <f t="shared" si="162"/>
        <v/>
      </c>
      <c r="O2020" s="8"/>
      <c r="P2020" s="26"/>
      <c r="S2020" s="10" t="str">
        <f t="shared" si="159"/>
        <v/>
      </c>
    </row>
    <row r="2021" spans="5:19" x14ac:dyDescent="0.3">
      <c r="E2021" s="9" t="str">
        <f>IF(DADOS!C2021="","",DADOS!C2021)</f>
        <v/>
      </c>
      <c r="F2021" s="9" t="str">
        <f>IF(DADOS!E2021="","",DADOS!E2021)</f>
        <v/>
      </c>
      <c r="G2021" s="9" t="str">
        <f>IF(DADOS!F2021="","",DADOS!F2021)</f>
        <v/>
      </c>
      <c r="K2021" s="6" t="str">
        <f t="shared" si="160"/>
        <v/>
      </c>
      <c r="L2021" s="7" t="str">
        <f t="shared" si="161"/>
        <v/>
      </c>
      <c r="M2021" s="7" t="str">
        <f t="shared" si="158"/>
        <v/>
      </c>
      <c r="N2021" s="7" t="str">
        <f t="shared" si="162"/>
        <v/>
      </c>
      <c r="O2021" s="8"/>
      <c r="P2021" s="26"/>
      <c r="S2021" s="10" t="str">
        <f t="shared" si="159"/>
        <v/>
      </c>
    </row>
    <row r="2022" spans="5:19" x14ac:dyDescent="0.3">
      <c r="E2022" s="9" t="str">
        <f>IF(DADOS!C2022="","",DADOS!C2022)</f>
        <v/>
      </c>
      <c r="F2022" s="9" t="str">
        <f>IF(DADOS!E2022="","",DADOS!E2022)</f>
        <v/>
      </c>
      <c r="G2022" s="9" t="str">
        <f>IF(DADOS!F2022="","",DADOS!F2022)</f>
        <v/>
      </c>
      <c r="K2022" s="6" t="str">
        <f t="shared" si="160"/>
        <v/>
      </c>
      <c r="L2022" s="7" t="str">
        <f t="shared" si="161"/>
        <v/>
      </c>
      <c r="M2022" s="7" t="str">
        <f t="shared" si="158"/>
        <v/>
      </c>
      <c r="N2022" s="7" t="str">
        <f t="shared" si="162"/>
        <v/>
      </c>
      <c r="O2022" s="8"/>
      <c r="P2022" s="26"/>
      <c r="S2022" s="10" t="str">
        <f t="shared" si="159"/>
        <v/>
      </c>
    </row>
    <row r="2023" spans="5:19" x14ac:dyDescent="0.3">
      <c r="E2023" s="9" t="str">
        <f>IF(DADOS!C2023="","",DADOS!C2023)</f>
        <v/>
      </c>
      <c r="F2023" s="9" t="str">
        <f>IF(DADOS!E2023="","",DADOS!E2023)</f>
        <v/>
      </c>
      <c r="G2023" s="9" t="str">
        <f>IF(DADOS!F2023="","",DADOS!F2023)</f>
        <v/>
      </c>
      <c r="K2023" s="6" t="str">
        <f t="shared" si="160"/>
        <v/>
      </c>
      <c r="L2023" s="7" t="str">
        <f t="shared" si="161"/>
        <v/>
      </c>
      <c r="M2023" s="7" t="str">
        <f t="shared" si="158"/>
        <v/>
      </c>
      <c r="N2023" s="7" t="str">
        <f t="shared" si="162"/>
        <v/>
      </c>
      <c r="O2023" s="8"/>
      <c r="P2023" s="26"/>
      <c r="S2023" s="10" t="str">
        <f t="shared" si="159"/>
        <v/>
      </c>
    </row>
    <row r="2024" spans="5:19" x14ac:dyDescent="0.3">
      <c r="E2024" s="9" t="str">
        <f>IF(DADOS!C2024="","",DADOS!C2024)</f>
        <v/>
      </c>
      <c r="F2024" s="9" t="str">
        <f>IF(DADOS!E2024="","",DADOS!E2024)</f>
        <v/>
      </c>
      <c r="G2024" s="9" t="str">
        <f>IF(DADOS!F2024="","",DADOS!F2024)</f>
        <v/>
      </c>
      <c r="K2024" s="6" t="str">
        <f t="shared" si="160"/>
        <v/>
      </c>
      <c r="L2024" s="7" t="str">
        <f t="shared" si="161"/>
        <v/>
      </c>
      <c r="M2024" s="7" t="str">
        <f t="shared" si="158"/>
        <v/>
      </c>
      <c r="N2024" s="7" t="str">
        <f t="shared" si="162"/>
        <v/>
      </c>
      <c r="O2024" s="8"/>
      <c r="P2024" s="26"/>
      <c r="S2024" s="10" t="str">
        <f t="shared" si="159"/>
        <v/>
      </c>
    </row>
    <row r="2025" spans="5:19" x14ac:dyDescent="0.3">
      <c r="E2025" s="9" t="str">
        <f>IF(DADOS!C2025="","",DADOS!C2025)</f>
        <v/>
      </c>
      <c r="F2025" s="9" t="str">
        <f>IF(DADOS!E2025="","",DADOS!E2025)</f>
        <v/>
      </c>
      <c r="G2025" s="9" t="str">
        <f>IF(DADOS!F2025="","",DADOS!F2025)</f>
        <v/>
      </c>
      <c r="K2025" s="6" t="str">
        <f t="shared" si="160"/>
        <v/>
      </c>
      <c r="L2025" s="7" t="str">
        <f t="shared" si="161"/>
        <v/>
      </c>
      <c r="M2025" s="7" t="str">
        <f t="shared" si="158"/>
        <v/>
      </c>
      <c r="N2025" s="7" t="str">
        <f t="shared" si="162"/>
        <v/>
      </c>
      <c r="O2025" s="8"/>
      <c r="P2025" s="26"/>
      <c r="S2025" s="10" t="str">
        <f t="shared" si="159"/>
        <v/>
      </c>
    </row>
    <row r="2026" spans="5:19" x14ac:dyDescent="0.3">
      <c r="E2026" s="9" t="str">
        <f>IF(DADOS!C2026="","",DADOS!C2026)</f>
        <v/>
      </c>
      <c r="F2026" s="9" t="str">
        <f>IF(DADOS!E2026="","",DADOS!E2026)</f>
        <v/>
      </c>
      <c r="G2026" s="9" t="str">
        <f>IF(DADOS!F2026="","",DADOS!F2026)</f>
        <v/>
      </c>
      <c r="K2026" s="6" t="str">
        <f t="shared" si="160"/>
        <v/>
      </c>
      <c r="L2026" s="7" t="str">
        <f t="shared" si="161"/>
        <v/>
      </c>
      <c r="M2026" s="7" t="str">
        <f t="shared" si="158"/>
        <v/>
      </c>
      <c r="N2026" s="7" t="str">
        <f t="shared" si="162"/>
        <v/>
      </c>
      <c r="O2026" s="8"/>
      <c r="P2026" s="26"/>
      <c r="S2026" s="10" t="str">
        <f t="shared" si="159"/>
        <v/>
      </c>
    </row>
    <row r="2027" spans="5:19" x14ac:dyDescent="0.3">
      <c r="E2027" s="9" t="str">
        <f>IF(DADOS!C2027="","",DADOS!C2027)</f>
        <v/>
      </c>
      <c r="F2027" s="9" t="str">
        <f>IF(DADOS!E2027="","",DADOS!E2027)</f>
        <v/>
      </c>
      <c r="G2027" s="9" t="str">
        <f>IF(DADOS!F2027="","",DADOS!F2027)</f>
        <v/>
      </c>
      <c r="K2027" s="6" t="str">
        <f t="shared" si="160"/>
        <v/>
      </c>
      <c r="L2027" s="7" t="str">
        <f t="shared" si="161"/>
        <v/>
      </c>
      <c r="M2027" s="7" t="str">
        <f t="shared" si="158"/>
        <v/>
      </c>
      <c r="N2027" s="7" t="str">
        <f t="shared" si="162"/>
        <v/>
      </c>
      <c r="O2027" s="8"/>
      <c r="P2027" s="26"/>
      <c r="S2027" s="10" t="str">
        <f t="shared" si="159"/>
        <v/>
      </c>
    </row>
    <row r="2028" spans="5:19" x14ac:dyDescent="0.3">
      <c r="E2028" s="9" t="str">
        <f>IF(DADOS!C2028="","",DADOS!C2028)</f>
        <v/>
      </c>
      <c r="F2028" s="9" t="str">
        <f>IF(DADOS!E2028="","",DADOS!E2028)</f>
        <v/>
      </c>
      <c r="G2028" s="9" t="str">
        <f>IF(DADOS!F2028="","",DADOS!F2028)</f>
        <v/>
      </c>
      <c r="K2028" s="6" t="str">
        <f t="shared" si="160"/>
        <v/>
      </c>
      <c r="L2028" s="7" t="str">
        <f t="shared" si="161"/>
        <v/>
      </c>
      <c r="M2028" s="7" t="str">
        <f t="shared" si="158"/>
        <v/>
      </c>
      <c r="N2028" s="7" t="str">
        <f t="shared" si="162"/>
        <v/>
      </c>
      <c r="O2028" s="8"/>
      <c r="P2028" s="26"/>
      <c r="S2028" s="10" t="str">
        <f t="shared" si="159"/>
        <v/>
      </c>
    </row>
    <row r="2029" spans="5:19" x14ac:dyDescent="0.3">
      <c r="E2029" s="9" t="str">
        <f>IF(DADOS!C2029="","",DADOS!C2029)</f>
        <v/>
      </c>
      <c r="F2029" s="9" t="str">
        <f>IF(DADOS!E2029="","",DADOS!E2029)</f>
        <v/>
      </c>
      <c r="G2029" s="9" t="str">
        <f>IF(DADOS!F2029="","",DADOS!F2029)</f>
        <v/>
      </c>
      <c r="K2029" s="6" t="str">
        <f t="shared" si="160"/>
        <v/>
      </c>
      <c r="L2029" s="7" t="str">
        <f t="shared" si="161"/>
        <v/>
      </c>
      <c r="M2029" s="7" t="str">
        <f t="shared" si="158"/>
        <v/>
      </c>
      <c r="N2029" s="7" t="str">
        <f t="shared" si="162"/>
        <v/>
      </c>
      <c r="O2029" s="8"/>
      <c r="P2029" s="26"/>
      <c r="S2029" s="10" t="str">
        <f t="shared" si="159"/>
        <v/>
      </c>
    </row>
    <row r="2030" spans="5:19" x14ac:dyDescent="0.3">
      <c r="E2030" s="9" t="str">
        <f>IF(DADOS!C2030="","",DADOS!C2030)</f>
        <v/>
      </c>
      <c r="F2030" s="9" t="str">
        <f>IF(DADOS!E2030="","",DADOS!E2030)</f>
        <v/>
      </c>
      <c r="G2030" s="9" t="str">
        <f>IF(DADOS!F2030="","",DADOS!F2030)</f>
        <v/>
      </c>
      <c r="K2030" s="6" t="str">
        <f t="shared" si="160"/>
        <v/>
      </c>
      <c r="L2030" s="7" t="str">
        <f t="shared" si="161"/>
        <v/>
      </c>
      <c r="M2030" s="7" t="str">
        <f t="shared" si="158"/>
        <v/>
      </c>
      <c r="N2030" s="7" t="str">
        <f t="shared" si="162"/>
        <v/>
      </c>
      <c r="O2030" s="8"/>
      <c r="P2030" s="26"/>
      <c r="S2030" s="10" t="str">
        <f t="shared" si="159"/>
        <v/>
      </c>
    </row>
    <row r="2031" spans="5:19" x14ac:dyDescent="0.3">
      <c r="E2031" s="9" t="str">
        <f>IF(DADOS!C2031="","",DADOS!C2031)</f>
        <v/>
      </c>
      <c r="F2031" s="9" t="str">
        <f>IF(DADOS!E2031="","",DADOS!E2031)</f>
        <v/>
      </c>
      <c r="G2031" s="9" t="str">
        <f>IF(DADOS!F2031="","",DADOS!F2031)</f>
        <v/>
      </c>
      <c r="K2031" s="6" t="str">
        <f t="shared" si="160"/>
        <v/>
      </c>
      <c r="L2031" s="7" t="str">
        <f t="shared" si="161"/>
        <v/>
      </c>
      <c r="M2031" s="7" t="str">
        <f t="shared" si="158"/>
        <v/>
      </c>
      <c r="N2031" s="7" t="str">
        <f t="shared" si="162"/>
        <v/>
      </c>
      <c r="O2031" s="8"/>
      <c r="P2031" s="26"/>
      <c r="S2031" s="10" t="str">
        <f t="shared" si="159"/>
        <v/>
      </c>
    </row>
    <row r="2032" spans="5:19" x14ac:dyDescent="0.3">
      <c r="E2032" s="9" t="str">
        <f>IF(DADOS!C2032="","",DADOS!C2032)</f>
        <v/>
      </c>
      <c r="F2032" s="9" t="str">
        <f>IF(DADOS!E2032="","",DADOS!E2032)</f>
        <v/>
      </c>
      <c r="G2032" s="9" t="str">
        <f>IF(DADOS!F2032="","",DADOS!F2032)</f>
        <v/>
      </c>
      <c r="K2032" s="6" t="str">
        <f t="shared" si="160"/>
        <v/>
      </c>
      <c r="L2032" s="7" t="str">
        <f t="shared" si="161"/>
        <v/>
      </c>
      <c r="M2032" s="7" t="str">
        <f t="shared" si="158"/>
        <v/>
      </c>
      <c r="N2032" s="7" t="str">
        <f t="shared" si="162"/>
        <v/>
      </c>
      <c r="O2032" s="8"/>
      <c r="P2032" s="26"/>
      <c r="S2032" s="10" t="str">
        <f t="shared" si="159"/>
        <v/>
      </c>
    </row>
    <row r="2033" spans="5:19" x14ac:dyDescent="0.3">
      <c r="E2033" s="9" t="str">
        <f>IF(DADOS!C2033="","",DADOS!C2033)</f>
        <v/>
      </c>
      <c r="F2033" s="9" t="str">
        <f>IF(DADOS!E2033="","",DADOS!E2033)</f>
        <v/>
      </c>
      <c r="G2033" s="9" t="str">
        <f>IF(DADOS!F2033="","",DADOS!F2033)</f>
        <v/>
      </c>
      <c r="K2033" s="6" t="str">
        <f t="shared" si="160"/>
        <v/>
      </c>
      <c r="L2033" s="7" t="str">
        <f t="shared" si="161"/>
        <v/>
      </c>
      <c r="M2033" s="7" t="str">
        <f t="shared" si="158"/>
        <v/>
      </c>
      <c r="N2033" s="7" t="str">
        <f t="shared" si="162"/>
        <v/>
      </c>
      <c r="O2033" s="8"/>
      <c r="P2033" s="26"/>
      <c r="S2033" s="10" t="str">
        <f t="shared" si="159"/>
        <v/>
      </c>
    </row>
    <row r="2034" spans="5:19" x14ac:dyDescent="0.3">
      <c r="E2034" s="9" t="str">
        <f>IF(DADOS!C2034="","",DADOS!C2034)</f>
        <v/>
      </c>
      <c r="F2034" s="9" t="str">
        <f>IF(DADOS!E2034="","",DADOS!E2034)</f>
        <v/>
      </c>
      <c r="G2034" s="9" t="str">
        <f>IF(DADOS!F2034="","",DADOS!F2034)</f>
        <v/>
      </c>
      <c r="K2034" s="6" t="str">
        <f t="shared" si="160"/>
        <v/>
      </c>
      <c r="L2034" s="7" t="str">
        <f t="shared" si="161"/>
        <v/>
      </c>
      <c r="M2034" s="7" t="str">
        <f t="shared" si="158"/>
        <v/>
      </c>
      <c r="N2034" s="7" t="str">
        <f t="shared" si="162"/>
        <v/>
      </c>
      <c r="O2034" s="8"/>
      <c r="P2034" s="26"/>
      <c r="S2034" s="10" t="str">
        <f t="shared" si="159"/>
        <v/>
      </c>
    </row>
    <row r="2035" spans="5:19" x14ac:dyDescent="0.3">
      <c r="E2035" s="9" t="str">
        <f>IF(DADOS!C2035="","",DADOS!C2035)</f>
        <v/>
      </c>
      <c r="F2035" s="9" t="str">
        <f>IF(DADOS!E2035="","",DADOS!E2035)</f>
        <v/>
      </c>
      <c r="G2035" s="9" t="str">
        <f>IF(DADOS!F2035="","",DADOS!F2035)</f>
        <v/>
      </c>
      <c r="K2035" s="6" t="str">
        <f t="shared" si="160"/>
        <v/>
      </c>
      <c r="L2035" s="7" t="str">
        <f t="shared" si="161"/>
        <v/>
      </c>
      <c r="M2035" s="7" t="str">
        <f t="shared" si="158"/>
        <v/>
      </c>
      <c r="N2035" s="7" t="str">
        <f t="shared" si="162"/>
        <v/>
      </c>
      <c r="O2035" s="8"/>
      <c r="P2035" s="26"/>
      <c r="S2035" s="10" t="str">
        <f t="shared" si="159"/>
        <v/>
      </c>
    </row>
    <row r="2036" spans="5:19" x14ac:dyDescent="0.3">
      <c r="E2036" s="9" t="str">
        <f>IF(DADOS!C2036="","",DADOS!C2036)</f>
        <v/>
      </c>
      <c r="F2036" s="9" t="str">
        <f>IF(DADOS!E2036="","",DADOS!E2036)</f>
        <v/>
      </c>
      <c r="G2036" s="9" t="str">
        <f>IF(DADOS!F2036="","",DADOS!F2036)</f>
        <v/>
      </c>
      <c r="K2036" s="6" t="str">
        <f t="shared" si="160"/>
        <v/>
      </c>
      <c r="L2036" s="7" t="str">
        <f t="shared" si="161"/>
        <v/>
      </c>
      <c r="M2036" s="7" t="str">
        <f t="shared" si="158"/>
        <v/>
      </c>
      <c r="N2036" s="7" t="str">
        <f t="shared" si="162"/>
        <v/>
      </c>
      <c r="O2036" s="8"/>
      <c r="P2036" s="26"/>
      <c r="S2036" s="10" t="str">
        <f t="shared" si="159"/>
        <v/>
      </c>
    </row>
    <row r="2037" spans="5:19" x14ac:dyDescent="0.3">
      <c r="E2037" s="9" t="str">
        <f>IF(DADOS!C2037="","",DADOS!C2037)</f>
        <v/>
      </c>
      <c r="F2037" s="9" t="str">
        <f>IF(DADOS!E2037="","",DADOS!E2037)</f>
        <v/>
      </c>
      <c r="G2037" s="9" t="str">
        <f>IF(DADOS!F2037="","",DADOS!F2037)</f>
        <v/>
      </c>
      <c r="K2037" s="6" t="str">
        <f t="shared" si="160"/>
        <v/>
      </c>
      <c r="L2037" s="7" t="str">
        <f t="shared" si="161"/>
        <v/>
      </c>
      <c r="M2037" s="7" t="str">
        <f t="shared" si="158"/>
        <v/>
      </c>
      <c r="N2037" s="7" t="str">
        <f t="shared" si="162"/>
        <v/>
      </c>
      <c r="O2037" s="8"/>
      <c r="P2037" s="26"/>
      <c r="S2037" s="10" t="str">
        <f t="shared" si="159"/>
        <v/>
      </c>
    </row>
    <row r="2038" spans="5:19" x14ac:dyDescent="0.3">
      <c r="E2038" s="9" t="str">
        <f>IF(DADOS!C2038="","",DADOS!C2038)</f>
        <v/>
      </c>
      <c r="F2038" s="9" t="str">
        <f>IF(DADOS!E2038="","",DADOS!E2038)</f>
        <v/>
      </c>
      <c r="G2038" s="9" t="str">
        <f>IF(DADOS!F2038="","",DADOS!F2038)</f>
        <v/>
      </c>
      <c r="K2038" s="6" t="str">
        <f t="shared" si="160"/>
        <v/>
      </c>
      <c r="L2038" s="7" t="str">
        <f t="shared" si="161"/>
        <v/>
      </c>
      <c r="M2038" s="7" t="str">
        <f t="shared" si="158"/>
        <v/>
      </c>
      <c r="N2038" s="7" t="str">
        <f t="shared" si="162"/>
        <v/>
      </c>
      <c r="O2038" s="8"/>
      <c r="P2038" s="26"/>
      <c r="S2038" s="10" t="str">
        <f t="shared" si="159"/>
        <v/>
      </c>
    </row>
    <row r="2039" spans="5:19" x14ac:dyDescent="0.3">
      <c r="E2039" s="9" t="str">
        <f>IF(DADOS!C2039="","",DADOS!C2039)</f>
        <v/>
      </c>
      <c r="F2039" s="9" t="str">
        <f>IF(DADOS!E2039="","",DADOS!E2039)</f>
        <v/>
      </c>
      <c r="G2039" s="9" t="str">
        <f>IF(DADOS!F2039="","",DADOS!F2039)</f>
        <v/>
      </c>
      <c r="K2039" s="6" t="str">
        <f t="shared" si="160"/>
        <v/>
      </c>
      <c r="L2039" s="7" t="str">
        <f t="shared" si="161"/>
        <v/>
      </c>
      <c r="M2039" s="7" t="str">
        <f t="shared" si="158"/>
        <v/>
      </c>
      <c r="N2039" s="7" t="str">
        <f t="shared" si="162"/>
        <v/>
      </c>
      <c r="O2039" s="8"/>
      <c r="P2039" s="26"/>
      <c r="S2039" s="10" t="str">
        <f t="shared" si="159"/>
        <v/>
      </c>
    </row>
    <row r="2040" spans="5:19" x14ac:dyDescent="0.3">
      <c r="E2040" s="9" t="str">
        <f>IF(DADOS!C2040="","",DADOS!C2040)</f>
        <v/>
      </c>
      <c r="F2040" s="9" t="str">
        <f>IF(DADOS!E2040="","",DADOS!E2040)</f>
        <v/>
      </c>
      <c r="G2040" s="9" t="str">
        <f>IF(DADOS!F2040="","",DADOS!F2040)</f>
        <v/>
      </c>
      <c r="K2040" s="6" t="str">
        <f t="shared" si="160"/>
        <v/>
      </c>
      <c r="L2040" s="7" t="str">
        <f t="shared" si="161"/>
        <v/>
      </c>
      <c r="M2040" s="7" t="str">
        <f t="shared" si="158"/>
        <v/>
      </c>
      <c r="N2040" s="7" t="str">
        <f t="shared" si="162"/>
        <v/>
      </c>
      <c r="O2040" s="8"/>
      <c r="P2040" s="26"/>
      <c r="S2040" s="10" t="str">
        <f t="shared" si="159"/>
        <v/>
      </c>
    </row>
    <row r="2041" spans="5:19" x14ac:dyDescent="0.3">
      <c r="E2041" s="9" t="str">
        <f>IF(DADOS!C2041="","",DADOS!C2041)</f>
        <v/>
      </c>
      <c r="F2041" s="9" t="str">
        <f>IF(DADOS!E2041="","",DADOS!E2041)</f>
        <v/>
      </c>
      <c r="G2041" s="9" t="str">
        <f>IF(DADOS!F2041="","",DADOS!F2041)</f>
        <v/>
      </c>
      <c r="K2041" s="6" t="str">
        <f t="shared" si="160"/>
        <v/>
      </c>
      <c r="L2041" s="7" t="str">
        <f t="shared" si="161"/>
        <v/>
      </c>
      <c r="M2041" s="7" t="str">
        <f t="shared" si="158"/>
        <v/>
      </c>
      <c r="N2041" s="7" t="str">
        <f t="shared" si="162"/>
        <v/>
      </c>
      <c r="O2041" s="8"/>
      <c r="P2041" s="26"/>
      <c r="S2041" s="10" t="str">
        <f t="shared" si="159"/>
        <v/>
      </c>
    </row>
    <row r="2042" spans="5:19" x14ac:dyDescent="0.3">
      <c r="E2042" s="9" t="str">
        <f>IF(DADOS!C2042="","",DADOS!C2042)</f>
        <v/>
      </c>
      <c r="F2042" s="9" t="str">
        <f>IF(DADOS!E2042="","",DADOS!E2042)</f>
        <v/>
      </c>
      <c r="G2042" s="9" t="str">
        <f>IF(DADOS!F2042="","",DADOS!F2042)</f>
        <v/>
      </c>
      <c r="K2042" s="6" t="str">
        <f t="shared" si="160"/>
        <v/>
      </c>
      <c r="L2042" s="7" t="str">
        <f t="shared" si="161"/>
        <v/>
      </c>
      <c r="M2042" s="7" t="str">
        <f t="shared" si="158"/>
        <v/>
      </c>
      <c r="N2042" s="7" t="str">
        <f t="shared" si="162"/>
        <v/>
      </c>
      <c r="O2042" s="8"/>
      <c r="P2042" s="26"/>
      <c r="S2042" s="10" t="str">
        <f t="shared" si="159"/>
        <v/>
      </c>
    </row>
    <row r="2043" spans="5:19" x14ac:dyDescent="0.3">
      <c r="E2043" s="9" t="str">
        <f>IF(DADOS!C2043="","",DADOS!C2043)</f>
        <v/>
      </c>
      <c r="F2043" s="9" t="str">
        <f>IF(DADOS!E2043="","",DADOS!E2043)</f>
        <v/>
      </c>
      <c r="G2043" s="9" t="str">
        <f>IF(DADOS!F2043="","",DADOS!F2043)</f>
        <v/>
      </c>
      <c r="K2043" s="6" t="str">
        <f t="shared" si="160"/>
        <v/>
      </c>
      <c r="L2043" s="7" t="str">
        <f t="shared" si="161"/>
        <v/>
      </c>
      <c r="M2043" s="7" t="str">
        <f t="shared" si="158"/>
        <v/>
      </c>
      <c r="N2043" s="7" t="str">
        <f t="shared" si="162"/>
        <v/>
      </c>
      <c r="O2043" s="8"/>
      <c r="P2043" s="26"/>
      <c r="S2043" s="10" t="str">
        <f t="shared" si="159"/>
        <v/>
      </c>
    </row>
    <row r="2044" spans="5:19" x14ac:dyDescent="0.3">
      <c r="E2044" s="9" t="str">
        <f>IF(DADOS!C2044="","",DADOS!C2044)</f>
        <v/>
      </c>
      <c r="F2044" s="9" t="str">
        <f>IF(DADOS!E2044="","",DADOS!E2044)</f>
        <v/>
      </c>
      <c r="G2044" s="9" t="str">
        <f>IF(DADOS!F2044="","",DADOS!F2044)</f>
        <v/>
      </c>
      <c r="K2044" s="6" t="str">
        <f t="shared" si="160"/>
        <v/>
      </c>
      <c r="L2044" s="7" t="str">
        <f t="shared" si="161"/>
        <v/>
      </c>
      <c r="M2044" s="7" t="str">
        <f t="shared" si="158"/>
        <v/>
      </c>
      <c r="N2044" s="7" t="str">
        <f t="shared" si="162"/>
        <v/>
      </c>
      <c r="O2044" s="8"/>
      <c r="P2044" s="26"/>
      <c r="S2044" s="10" t="str">
        <f t="shared" si="159"/>
        <v/>
      </c>
    </row>
    <row r="2045" spans="5:19" x14ac:dyDescent="0.3">
      <c r="E2045" s="9" t="str">
        <f>IF(DADOS!C2045="","",DADOS!C2045)</f>
        <v/>
      </c>
      <c r="F2045" s="9" t="str">
        <f>IF(DADOS!E2045="","",DADOS!E2045)</f>
        <v/>
      </c>
      <c r="G2045" s="9" t="str">
        <f>IF(DADOS!F2045="","",DADOS!F2045)</f>
        <v/>
      </c>
      <c r="K2045" s="6" t="str">
        <f t="shared" si="160"/>
        <v/>
      </c>
      <c r="L2045" s="7" t="str">
        <f t="shared" si="161"/>
        <v/>
      </c>
      <c r="M2045" s="7" t="str">
        <f t="shared" si="158"/>
        <v/>
      </c>
      <c r="N2045" s="7" t="str">
        <f t="shared" si="162"/>
        <v/>
      </c>
      <c r="O2045" s="8"/>
      <c r="P2045" s="26"/>
      <c r="S2045" s="10" t="str">
        <f t="shared" si="159"/>
        <v/>
      </c>
    </row>
    <row r="2046" spans="5:19" x14ac:dyDescent="0.3">
      <c r="E2046" s="9" t="str">
        <f>IF(DADOS!C2046="","",DADOS!C2046)</f>
        <v/>
      </c>
      <c r="F2046" s="9" t="str">
        <f>IF(DADOS!E2046="","",DADOS!E2046)</f>
        <v/>
      </c>
      <c r="G2046" s="9" t="str">
        <f>IF(DADOS!F2046="","",DADOS!F2046)</f>
        <v/>
      </c>
      <c r="K2046" s="6" t="str">
        <f t="shared" si="160"/>
        <v/>
      </c>
      <c r="L2046" s="7" t="str">
        <f t="shared" si="161"/>
        <v/>
      </c>
      <c r="M2046" s="7" t="str">
        <f t="shared" si="158"/>
        <v/>
      </c>
      <c r="N2046" s="7" t="str">
        <f t="shared" si="162"/>
        <v/>
      </c>
      <c r="O2046" s="8"/>
      <c r="P2046" s="26"/>
      <c r="S2046" s="10" t="str">
        <f t="shared" si="159"/>
        <v/>
      </c>
    </row>
    <row r="2047" spans="5:19" x14ac:dyDescent="0.3">
      <c r="E2047" s="9" t="str">
        <f>IF(DADOS!C2047="","",DADOS!C2047)</f>
        <v/>
      </c>
      <c r="F2047" s="9" t="str">
        <f>IF(DADOS!E2047="","",DADOS!E2047)</f>
        <v/>
      </c>
      <c r="G2047" s="9" t="str">
        <f>IF(DADOS!F2047="","",DADOS!F2047)</f>
        <v/>
      </c>
      <c r="K2047" s="6" t="str">
        <f t="shared" si="160"/>
        <v/>
      </c>
      <c r="L2047" s="7" t="str">
        <f t="shared" si="161"/>
        <v/>
      </c>
      <c r="M2047" s="7" t="str">
        <f t="shared" si="158"/>
        <v/>
      </c>
      <c r="N2047" s="7" t="str">
        <f t="shared" si="162"/>
        <v/>
      </c>
      <c r="O2047" s="8"/>
      <c r="P2047" s="26"/>
      <c r="S2047" s="10" t="str">
        <f t="shared" si="159"/>
        <v/>
      </c>
    </row>
    <row r="2048" spans="5:19" x14ac:dyDescent="0.3">
      <c r="E2048" s="9" t="str">
        <f>IF(DADOS!C2048="","",DADOS!C2048)</f>
        <v/>
      </c>
      <c r="F2048" s="9" t="str">
        <f>IF(DADOS!E2048="","",DADOS!E2048)</f>
        <v/>
      </c>
      <c r="G2048" s="9" t="str">
        <f>IF(DADOS!F2048="","",DADOS!F2048)</f>
        <v/>
      </c>
      <c r="K2048" s="6" t="str">
        <f t="shared" si="160"/>
        <v/>
      </c>
      <c r="L2048" s="7" t="str">
        <f t="shared" si="161"/>
        <v/>
      </c>
      <c r="M2048" s="7" t="str">
        <f t="shared" si="158"/>
        <v/>
      </c>
      <c r="N2048" s="7" t="str">
        <f t="shared" si="162"/>
        <v/>
      </c>
      <c r="O2048" s="8"/>
      <c r="P2048" s="26"/>
      <c r="S2048" s="10" t="str">
        <f t="shared" si="159"/>
        <v/>
      </c>
    </row>
    <row r="2049" spans="5:19" x14ac:dyDescent="0.3">
      <c r="E2049" s="9" t="str">
        <f>IF(DADOS!C2049="","",DADOS!C2049)</f>
        <v/>
      </c>
      <c r="F2049" s="9" t="str">
        <f>IF(DADOS!E2049="","",DADOS!E2049)</f>
        <v/>
      </c>
      <c r="G2049" s="9" t="str">
        <f>IF(DADOS!F2049="","",DADOS!F2049)</f>
        <v/>
      </c>
      <c r="K2049" s="6" t="str">
        <f t="shared" si="160"/>
        <v/>
      </c>
      <c r="L2049" s="7" t="str">
        <f t="shared" si="161"/>
        <v/>
      </c>
      <c r="M2049" s="7" t="str">
        <f t="shared" si="158"/>
        <v/>
      </c>
      <c r="N2049" s="7" t="str">
        <f t="shared" si="162"/>
        <v/>
      </c>
      <c r="O2049" s="8"/>
      <c r="P2049" s="26"/>
      <c r="S2049" s="10" t="str">
        <f t="shared" si="159"/>
        <v/>
      </c>
    </row>
    <row r="2050" spans="5:19" x14ac:dyDescent="0.3">
      <c r="E2050" s="9" t="str">
        <f>IF(DADOS!C2050="","",DADOS!C2050)</f>
        <v/>
      </c>
      <c r="F2050" s="9" t="str">
        <f>IF(DADOS!E2050="","",DADOS!E2050)</f>
        <v/>
      </c>
      <c r="G2050" s="9" t="str">
        <f>IF(DADOS!F2050="","",DADOS!F2050)</f>
        <v/>
      </c>
      <c r="K2050" s="6" t="str">
        <f t="shared" si="160"/>
        <v/>
      </c>
      <c r="L2050" s="7" t="str">
        <f t="shared" si="161"/>
        <v/>
      </c>
      <c r="M2050" s="7" t="str">
        <f t="shared" si="158"/>
        <v/>
      </c>
      <c r="N2050" s="7" t="str">
        <f t="shared" si="162"/>
        <v/>
      </c>
      <c r="O2050" s="8"/>
      <c r="P2050" s="26"/>
      <c r="S2050" s="10" t="str">
        <f t="shared" si="159"/>
        <v/>
      </c>
    </row>
    <row r="2051" spans="5:19" x14ac:dyDescent="0.3">
      <c r="E2051" s="9" t="str">
        <f>IF(DADOS!C2051="","",DADOS!C2051)</f>
        <v/>
      </c>
      <c r="F2051" s="9" t="str">
        <f>IF(DADOS!E2051="","",DADOS!E2051)</f>
        <v/>
      </c>
      <c r="G2051" s="9" t="str">
        <f>IF(DADOS!F2051="","",DADOS!F2051)</f>
        <v/>
      </c>
      <c r="K2051" s="6" t="str">
        <f t="shared" si="160"/>
        <v/>
      </c>
      <c r="L2051" s="7" t="str">
        <f t="shared" si="161"/>
        <v/>
      </c>
      <c r="M2051" s="7" t="str">
        <f t="shared" ref="M2051:M2114" si="163">IF(L2051="","",L2051*G2051)</f>
        <v/>
      </c>
      <c r="N2051" s="7" t="str">
        <f t="shared" si="162"/>
        <v/>
      </c>
      <c r="O2051" s="8"/>
      <c r="P2051" s="26"/>
      <c r="S2051" s="10" t="str">
        <f t="shared" ref="S2051:S2114" si="164">IF(R2051="","",SUMIFS($N$3:$N$10000,$E$3:$E$10000,R2051))</f>
        <v/>
      </c>
    </row>
    <row r="2052" spans="5:19" x14ac:dyDescent="0.3">
      <c r="E2052" s="9" t="str">
        <f>IF(DADOS!C2052="","",DADOS!C2052)</f>
        <v/>
      </c>
      <c r="F2052" s="9" t="str">
        <f>IF(DADOS!E2052="","",DADOS!E2052)</f>
        <v/>
      </c>
      <c r="G2052" s="9" t="str">
        <f>IF(DADOS!F2052="","",DADOS!F2052)</f>
        <v/>
      </c>
      <c r="K2052" s="6" t="str">
        <f t="shared" ref="K2052:K2115" si="165">IF(F2052="","",F2052/PI())</f>
        <v/>
      </c>
      <c r="L2052" s="7" t="str">
        <f t="shared" ref="L2052:L2115" si="166">IF(K2052="","",(PI()*K2052^2)/40000)</f>
        <v/>
      </c>
      <c r="M2052" s="7" t="str">
        <f t="shared" si="163"/>
        <v/>
      </c>
      <c r="N2052" s="7" t="str">
        <f t="shared" ref="N2052:N2115" si="167">IF(M2052="","",M2052*N$1)</f>
        <v/>
      </c>
      <c r="O2052" s="8"/>
      <c r="P2052" s="26"/>
      <c r="S2052" s="10" t="str">
        <f t="shared" si="164"/>
        <v/>
      </c>
    </row>
    <row r="2053" spans="5:19" x14ac:dyDescent="0.3">
      <c r="E2053" s="9" t="str">
        <f>IF(DADOS!C2053="","",DADOS!C2053)</f>
        <v/>
      </c>
      <c r="F2053" s="9" t="str">
        <f>IF(DADOS!E2053="","",DADOS!E2053)</f>
        <v/>
      </c>
      <c r="G2053" s="9" t="str">
        <f>IF(DADOS!F2053="","",DADOS!F2053)</f>
        <v/>
      </c>
      <c r="K2053" s="6" t="str">
        <f t="shared" si="165"/>
        <v/>
      </c>
      <c r="L2053" s="7" t="str">
        <f t="shared" si="166"/>
        <v/>
      </c>
      <c r="M2053" s="7" t="str">
        <f t="shared" si="163"/>
        <v/>
      </c>
      <c r="N2053" s="7" t="str">
        <f t="shared" si="167"/>
        <v/>
      </c>
      <c r="O2053" s="8"/>
      <c r="P2053" s="26"/>
      <c r="S2053" s="10" t="str">
        <f t="shared" si="164"/>
        <v/>
      </c>
    </row>
    <row r="2054" spans="5:19" x14ac:dyDescent="0.3">
      <c r="E2054" s="9" t="str">
        <f>IF(DADOS!C2054="","",DADOS!C2054)</f>
        <v/>
      </c>
      <c r="F2054" s="9" t="str">
        <f>IF(DADOS!E2054="","",DADOS!E2054)</f>
        <v/>
      </c>
      <c r="G2054" s="9" t="str">
        <f>IF(DADOS!F2054="","",DADOS!F2054)</f>
        <v/>
      </c>
      <c r="K2054" s="6" t="str">
        <f t="shared" si="165"/>
        <v/>
      </c>
      <c r="L2054" s="7" t="str">
        <f t="shared" si="166"/>
        <v/>
      </c>
      <c r="M2054" s="7" t="str">
        <f t="shared" si="163"/>
        <v/>
      </c>
      <c r="N2054" s="7" t="str">
        <f t="shared" si="167"/>
        <v/>
      </c>
      <c r="O2054" s="8"/>
      <c r="P2054" s="26"/>
      <c r="S2054" s="10" t="str">
        <f t="shared" si="164"/>
        <v/>
      </c>
    </row>
    <row r="2055" spans="5:19" x14ac:dyDescent="0.3">
      <c r="E2055" s="9" t="str">
        <f>IF(DADOS!C2055="","",DADOS!C2055)</f>
        <v/>
      </c>
      <c r="F2055" s="9" t="str">
        <f>IF(DADOS!E2055="","",DADOS!E2055)</f>
        <v/>
      </c>
      <c r="G2055" s="9" t="str">
        <f>IF(DADOS!F2055="","",DADOS!F2055)</f>
        <v/>
      </c>
      <c r="K2055" s="6" t="str">
        <f t="shared" si="165"/>
        <v/>
      </c>
      <c r="L2055" s="7" t="str">
        <f t="shared" si="166"/>
        <v/>
      </c>
      <c r="M2055" s="7" t="str">
        <f t="shared" si="163"/>
        <v/>
      </c>
      <c r="N2055" s="7" t="str">
        <f t="shared" si="167"/>
        <v/>
      </c>
      <c r="O2055" s="8"/>
      <c r="P2055" s="26"/>
      <c r="S2055" s="10" t="str">
        <f t="shared" si="164"/>
        <v/>
      </c>
    </row>
    <row r="2056" spans="5:19" x14ac:dyDescent="0.3">
      <c r="E2056" s="9" t="str">
        <f>IF(DADOS!C2056="","",DADOS!C2056)</f>
        <v/>
      </c>
      <c r="F2056" s="9" t="str">
        <f>IF(DADOS!E2056="","",DADOS!E2056)</f>
        <v/>
      </c>
      <c r="G2056" s="9" t="str">
        <f>IF(DADOS!F2056="","",DADOS!F2056)</f>
        <v/>
      </c>
      <c r="K2056" s="6" t="str">
        <f t="shared" si="165"/>
        <v/>
      </c>
      <c r="L2056" s="7" t="str">
        <f t="shared" si="166"/>
        <v/>
      </c>
      <c r="M2056" s="7" t="str">
        <f t="shared" si="163"/>
        <v/>
      </c>
      <c r="N2056" s="7" t="str">
        <f t="shared" si="167"/>
        <v/>
      </c>
      <c r="O2056" s="8"/>
      <c r="P2056" s="26"/>
      <c r="S2056" s="10" t="str">
        <f t="shared" si="164"/>
        <v/>
      </c>
    </row>
    <row r="2057" spans="5:19" x14ac:dyDescent="0.3">
      <c r="E2057" s="9" t="str">
        <f>IF(DADOS!C2057="","",DADOS!C2057)</f>
        <v/>
      </c>
      <c r="F2057" s="9" t="str">
        <f>IF(DADOS!E2057="","",DADOS!E2057)</f>
        <v/>
      </c>
      <c r="G2057" s="9" t="str">
        <f>IF(DADOS!F2057="","",DADOS!F2057)</f>
        <v/>
      </c>
      <c r="K2057" s="6" t="str">
        <f t="shared" si="165"/>
        <v/>
      </c>
      <c r="L2057" s="7" t="str">
        <f t="shared" si="166"/>
        <v/>
      </c>
      <c r="M2057" s="7" t="str">
        <f t="shared" si="163"/>
        <v/>
      </c>
      <c r="N2057" s="7" t="str">
        <f t="shared" si="167"/>
        <v/>
      </c>
      <c r="O2057" s="8"/>
      <c r="P2057" s="26"/>
      <c r="S2057" s="10" t="str">
        <f t="shared" si="164"/>
        <v/>
      </c>
    </row>
    <row r="2058" spans="5:19" x14ac:dyDescent="0.3">
      <c r="E2058" s="9" t="str">
        <f>IF(DADOS!C2058="","",DADOS!C2058)</f>
        <v/>
      </c>
      <c r="F2058" s="9" t="str">
        <f>IF(DADOS!E2058="","",DADOS!E2058)</f>
        <v/>
      </c>
      <c r="G2058" s="9" t="str">
        <f>IF(DADOS!F2058="","",DADOS!F2058)</f>
        <v/>
      </c>
      <c r="K2058" s="6" t="str">
        <f t="shared" si="165"/>
        <v/>
      </c>
      <c r="L2058" s="7" t="str">
        <f t="shared" si="166"/>
        <v/>
      </c>
      <c r="M2058" s="7" t="str">
        <f t="shared" si="163"/>
        <v/>
      </c>
      <c r="N2058" s="7" t="str">
        <f t="shared" si="167"/>
        <v/>
      </c>
      <c r="O2058" s="8"/>
      <c r="P2058" s="26"/>
      <c r="S2058" s="10" t="str">
        <f t="shared" si="164"/>
        <v/>
      </c>
    </row>
    <row r="2059" spans="5:19" x14ac:dyDescent="0.3">
      <c r="E2059" s="9" t="str">
        <f>IF(DADOS!C2059="","",DADOS!C2059)</f>
        <v/>
      </c>
      <c r="F2059" s="9" t="str">
        <f>IF(DADOS!E2059="","",DADOS!E2059)</f>
        <v/>
      </c>
      <c r="G2059" s="9" t="str">
        <f>IF(DADOS!F2059="","",DADOS!F2059)</f>
        <v/>
      </c>
      <c r="K2059" s="6" t="str">
        <f t="shared" si="165"/>
        <v/>
      </c>
      <c r="L2059" s="7" t="str">
        <f t="shared" si="166"/>
        <v/>
      </c>
      <c r="M2059" s="7" t="str">
        <f t="shared" si="163"/>
        <v/>
      </c>
      <c r="N2059" s="7" t="str">
        <f t="shared" si="167"/>
        <v/>
      </c>
      <c r="O2059" s="8"/>
      <c r="P2059" s="26"/>
      <c r="S2059" s="10" t="str">
        <f t="shared" si="164"/>
        <v/>
      </c>
    </row>
    <row r="2060" spans="5:19" x14ac:dyDescent="0.3">
      <c r="E2060" s="9" t="str">
        <f>IF(DADOS!C2060="","",DADOS!C2060)</f>
        <v/>
      </c>
      <c r="F2060" s="9" t="str">
        <f>IF(DADOS!E2060="","",DADOS!E2060)</f>
        <v/>
      </c>
      <c r="G2060" s="9" t="str">
        <f>IF(DADOS!F2060="","",DADOS!F2060)</f>
        <v/>
      </c>
      <c r="K2060" s="6" t="str">
        <f t="shared" si="165"/>
        <v/>
      </c>
      <c r="L2060" s="7" t="str">
        <f t="shared" si="166"/>
        <v/>
      </c>
      <c r="M2060" s="7" t="str">
        <f t="shared" si="163"/>
        <v/>
      </c>
      <c r="N2060" s="7" t="str">
        <f t="shared" si="167"/>
        <v/>
      </c>
      <c r="O2060" s="8"/>
      <c r="P2060" s="26"/>
      <c r="S2060" s="10" t="str">
        <f t="shared" si="164"/>
        <v/>
      </c>
    </row>
    <row r="2061" spans="5:19" x14ac:dyDescent="0.3">
      <c r="E2061" s="9" t="str">
        <f>IF(DADOS!C2061="","",DADOS!C2061)</f>
        <v/>
      </c>
      <c r="F2061" s="9" t="str">
        <f>IF(DADOS!E2061="","",DADOS!E2061)</f>
        <v/>
      </c>
      <c r="G2061" s="9" t="str">
        <f>IF(DADOS!F2061="","",DADOS!F2061)</f>
        <v/>
      </c>
      <c r="K2061" s="6" t="str">
        <f t="shared" si="165"/>
        <v/>
      </c>
      <c r="L2061" s="7" t="str">
        <f t="shared" si="166"/>
        <v/>
      </c>
      <c r="M2061" s="7" t="str">
        <f t="shared" si="163"/>
        <v/>
      </c>
      <c r="N2061" s="7" t="str">
        <f t="shared" si="167"/>
        <v/>
      </c>
      <c r="O2061" s="8"/>
      <c r="P2061" s="26"/>
      <c r="S2061" s="10" t="str">
        <f t="shared" si="164"/>
        <v/>
      </c>
    </row>
    <row r="2062" spans="5:19" x14ac:dyDescent="0.3">
      <c r="E2062" s="9" t="str">
        <f>IF(DADOS!C2062="","",DADOS!C2062)</f>
        <v/>
      </c>
      <c r="F2062" s="9" t="str">
        <f>IF(DADOS!E2062="","",DADOS!E2062)</f>
        <v/>
      </c>
      <c r="G2062" s="9" t="str">
        <f>IF(DADOS!F2062="","",DADOS!F2062)</f>
        <v/>
      </c>
      <c r="K2062" s="6" t="str">
        <f t="shared" si="165"/>
        <v/>
      </c>
      <c r="L2062" s="7" t="str">
        <f t="shared" si="166"/>
        <v/>
      </c>
      <c r="M2062" s="7" t="str">
        <f t="shared" si="163"/>
        <v/>
      </c>
      <c r="N2062" s="7" t="str">
        <f t="shared" si="167"/>
        <v/>
      </c>
      <c r="O2062" s="8"/>
      <c r="P2062" s="26"/>
      <c r="S2062" s="10" t="str">
        <f t="shared" si="164"/>
        <v/>
      </c>
    </row>
    <row r="2063" spans="5:19" x14ac:dyDescent="0.3">
      <c r="E2063" s="9" t="str">
        <f>IF(DADOS!C2063="","",DADOS!C2063)</f>
        <v/>
      </c>
      <c r="F2063" s="9" t="str">
        <f>IF(DADOS!E2063="","",DADOS!E2063)</f>
        <v/>
      </c>
      <c r="G2063" s="9" t="str">
        <f>IF(DADOS!F2063="","",DADOS!F2063)</f>
        <v/>
      </c>
      <c r="K2063" s="6" t="str">
        <f t="shared" si="165"/>
        <v/>
      </c>
      <c r="L2063" s="7" t="str">
        <f t="shared" si="166"/>
        <v/>
      </c>
      <c r="M2063" s="7" t="str">
        <f t="shared" si="163"/>
        <v/>
      </c>
      <c r="N2063" s="7" t="str">
        <f t="shared" si="167"/>
        <v/>
      </c>
      <c r="O2063" s="8"/>
      <c r="P2063" s="26"/>
      <c r="S2063" s="10" t="str">
        <f t="shared" si="164"/>
        <v/>
      </c>
    </row>
    <row r="2064" spans="5:19" x14ac:dyDescent="0.3">
      <c r="E2064" s="9" t="str">
        <f>IF(DADOS!C2064="","",DADOS!C2064)</f>
        <v/>
      </c>
      <c r="F2064" s="9" t="str">
        <f>IF(DADOS!E2064="","",DADOS!E2064)</f>
        <v/>
      </c>
      <c r="G2064" s="9" t="str">
        <f>IF(DADOS!F2064="","",DADOS!F2064)</f>
        <v/>
      </c>
      <c r="K2064" s="6" t="str">
        <f t="shared" si="165"/>
        <v/>
      </c>
      <c r="L2064" s="7" t="str">
        <f t="shared" si="166"/>
        <v/>
      </c>
      <c r="M2064" s="7" t="str">
        <f t="shared" si="163"/>
        <v/>
      </c>
      <c r="N2064" s="7" t="str">
        <f t="shared" si="167"/>
        <v/>
      </c>
      <c r="O2064" s="8"/>
      <c r="P2064" s="26"/>
      <c r="S2064" s="10" t="str">
        <f t="shared" si="164"/>
        <v/>
      </c>
    </row>
    <row r="2065" spans="5:19" x14ac:dyDescent="0.3">
      <c r="E2065" s="9" t="str">
        <f>IF(DADOS!C2065="","",DADOS!C2065)</f>
        <v/>
      </c>
      <c r="F2065" s="9" t="str">
        <f>IF(DADOS!E2065="","",DADOS!E2065)</f>
        <v/>
      </c>
      <c r="G2065" s="9" t="str">
        <f>IF(DADOS!F2065="","",DADOS!F2065)</f>
        <v/>
      </c>
      <c r="K2065" s="6" t="str">
        <f t="shared" si="165"/>
        <v/>
      </c>
      <c r="L2065" s="7" t="str">
        <f t="shared" si="166"/>
        <v/>
      </c>
      <c r="M2065" s="7" t="str">
        <f t="shared" si="163"/>
        <v/>
      </c>
      <c r="N2065" s="7" t="str">
        <f t="shared" si="167"/>
        <v/>
      </c>
      <c r="O2065" s="8"/>
      <c r="P2065" s="26"/>
      <c r="S2065" s="10" t="str">
        <f t="shared" si="164"/>
        <v/>
      </c>
    </row>
    <row r="2066" spans="5:19" x14ac:dyDescent="0.3">
      <c r="E2066" s="9" t="str">
        <f>IF(DADOS!C2066="","",DADOS!C2066)</f>
        <v/>
      </c>
      <c r="F2066" s="9" t="str">
        <f>IF(DADOS!E2066="","",DADOS!E2066)</f>
        <v/>
      </c>
      <c r="G2066" s="9" t="str">
        <f>IF(DADOS!F2066="","",DADOS!F2066)</f>
        <v/>
      </c>
      <c r="K2066" s="6" t="str">
        <f t="shared" si="165"/>
        <v/>
      </c>
      <c r="L2066" s="7" t="str">
        <f t="shared" si="166"/>
        <v/>
      </c>
      <c r="M2066" s="7" t="str">
        <f t="shared" si="163"/>
        <v/>
      </c>
      <c r="N2066" s="7" t="str">
        <f t="shared" si="167"/>
        <v/>
      </c>
      <c r="O2066" s="8"/>
      <c r="P2066" s="26"/>
      <c r="S2066" s="10" t="str">
        <f t="shared" si="164"/>
        <v/>
      </c>
    </row>
    <row r="2067" spans="5:19" x14ac:dyDescent="0.3">
      <c r="E2067" s="9" t="str">
        <f>IF(DADOS!C2067="","",DADOS!C2067)</f>
        <v/>
      </c>
      <c r="F2067" s="9" t="str">
        <f>IF(DADOS!E2067="","",DADOS!E2067)</f>
        <v/>
      </c>
      <c r="G2067" s="9" t="str">
        <f>IF(DADOS!F2067="","",DADOS!F2067)</f>
        <v/>
      </c>
      <c r="K2067" s="6" t="str">
        <f t="shared" si="165"/>
        <v/>
      </c>
      <c r="L2067" s="7" t="str">
        <f t="shared" si="166"/>
        <v/>
      </c>
      <c r="M2067" s="7" t="str">
        <f t="shared" si="163"/>
        <v/>
      </c>
      <c r="N2067" s="7" t="str">
        <f t="shared" si="167"/>
        <v/>
      </c>
      <c r="O2067" s="8"/>
      <c r="P2067" s="26"/>
      <c r="S2067" s="10" t="str">
        <f t="shared" si="164"/>
        <v/>
      </c>
    </row>
    <row r="2068" spans="5:19" x14ac:dyDescent="0.3">
      <c r="E2068" s="9" t="str">
        <f>IF(DADOS!C2068="","",DADOS!C2068)</f>
        <v/>
      </c>
      <c r="F2068" s="9" t="str">
        <f>IF(DADOS!E2068="","",DADOS!E2068)</f>
        <v/>
      </c>
      <c r="G2068" s="9" t="str">
        <f>IF(DADOS!F2068="","",DADOS!F2068)</f>
        <v/>
      </c>
      <c r="K2068" s="6" t="str">
        <f t="shared" si="165"/>
        <v/>
      </c>
      <c r="L2068" s="7" t="str">
        <f t="shared" si="166"/>
        <v/>
      </c>
      <c r="M2068" s="7" t="str">
        <f t="shared" si="163"/>
        <v/>
      </c>
      <c r="N2068" s="7" t="str">
        <f t="shared" si="167"/>
        <v/>
      </c>
      <c r="O2068" s="8"/>
      <c r="P2068" s="26"/>
      <c r="S2068" s="10" t="str">
        <f t="shared" si="164"/>
        <v/>
      </c>
    </row>
    <row r="2069" spans="5:19" x14ac:dyDescent="0.3">
      <c r="E2069" s="9" t="str">
        <f>IF(DADOS!C2069="","",DADOS!C2069)</f>
        <v/>
      </c>
      <c r="F2069" s="9" t="str">
        <f>IF(DADOS!E2069="","",DADOS!E2069)</f>
        <v/>
      </c>
      <c r="G2069" s="9" t="str">
        <f>IF(DADOS!F2069="","",DADOS!F2069)</f>
        <v/>
      </c>
      <c r="K2069" s="6" t="str">
        <f t="shared" si="165"/>
        <v/>
      </c>
      <c r="L2069" s="7" t="str">
        <f t="shared" si="166"/>
        <v/>
      </c>
      <c r="M2069" s="7" t="str">
        <f t="shared" si="163"/>
        <v/>
      </c>
      <c r="N2069" s="7" t="str">
        <f t="shared" si="167"/>
        <v/>
      </c>
      <c r="O2069" s="8"/>
      <c r="P2069" s="26"/>
      <c r="S2069" s="10" t="str">
        <f t="shared" si="164"/>
        <v/>
      </c>
    </row>
    <row r="2070" spans="5:19" x14ac:dyDescent="0.3">
      <c r="E2070" s="9" t="str">
        <f>IF(DADOS!C2070="","",DADOS!C2070)</f>
        <v/>
      </c>
      <c r="F2070" s="9" t="str">
        <f>IF(DADOS!E2070="","",DADOS!E2070)</f>
        <v/>
      </c>
      <c r="G2070" s="9" t="str">
        <f>IF(DADOS!F2070="","",DADOS!F2070)</f>
        <v/>
      </c>
      <c r="K2070" s="6" t="str">
        <f t="shared" si="165"/>
        <v/>
      </c>
      <c r="L2070" s="7" t="str">
        <f t="shared" si="166"/>
        <v/>
      </c>
      <c r="M2070" s="7" t="str">
        <f t="shared" si="163"/>
        <v/>
      </c>
      <c r="N2070" s="7" t="str">
        <f t="shared" si="167"/>
        <v/>
      </c>
      <c r="O2070" s="8"/>
      <c r="P2070" s="26"/>
      <c r="S2070" s="10" t="str">
        <f t="shared" si="164"/>
        <v/>
      </c>
    </row>
    <row r="2071" spans="5:19" x14ac:dyDescent="0.3">
      <c r="E2071" s="9" t="str">
        <f>IF(DADOS!C2071="","",DADOS!C2071)</f>
        <v/>
      </c>
      <c r="F2071" s="9" t="str">
        <f>IF(DADOS!E2071="","",DADOS!E2071)</f>
        <v/>
      </c>
      <c r="G2071" s="9" t="str">
        <f>IF(DADOS!F2071="","",DADOS!F2071)</f>
        <v/>
      </c>
      <c r="K2071" s="6" t="str">
        <f t="shared" si="165"/>
        <v/>
      </c>
      <c r="L2071" s="7" t="str">
        <f t="shared" si="166"/>
        <v/>
      </c>
      <c r="M2071" s="7" t="str">
        <f t="shared" si="163"/>
        <v/>
      </c>
      <c r="N2071" s="7" t="str">
        <f t="shared" si="167"/>
        <v/>
      </c>
      <c r="O2071" s="8"/>
      <c r="P2071" s="26"/>
      <c r="S2071" s="10" t="str">
        <f t="shared" si="164"/>
        <v/>
      </c>
    </row>
    <row r="2072" spans="5:19" x14ac:dyDescent="0.3">
      <c r="E2072" s="9" t="str">
        <f>IF(DADOS!C2072="","",DADOS!C2072)</f>
        <v/>
      </c>
      <c r="F2072" s="9" t="str">
        <f>IF(DADOS!E2072="","",DADOS!E2072)</f>
        <v/>
      </c>
      <c r="G2072" s="9" t="str">
        <f>IF(DADOS!F2072="","",DADOS!F2072)</f>
        <v/>
      </c>
      <c r="K2072" s="6" t="str">
        <f t="shared" si="165"/>
        <v/>
      </c>
      <c r="L2072" s="7" t="str">
        <f t="shared" si="166"/>
        <v/>
      </c>
      <c r="M2072" s="7" t="str">
        <f t="shared" si="163"/>
        <v/>
      </c>
      <c r="N2072" s="7" t="str">
        <f t="shared" si="167"/>
        <v/>
      </c>
      <c r="O2072" s="8"/>
      <c r="P2072" s="26"/>
      <c r="S2072" s="10" t="str">
        <f t="shared" si="164"/>
        <v/>
      </c>
    </row>
    <row r="2073" spans="5:19" x14ac:dyDescent="0.3">
      <c r="E2073" s="9" t="str">
        <f>IF(DADOS!C2073="","",DADOS!C2073)</f>
        <v/>
      </c>
      <c r="F2073" s="9" t="str">
        <f>IF(DADOS!E2073="","",DADOS!E2073)</f>
        <v/>
      </c>
      <c r="G2073" s="9" t="str">
        <f>IF(DADOS!F2073="","",DADOS!F2073)</f>
        <v/>
      </c>
      <c r="K2073" s="6" t="str">
        <f t="shared" si="165"/>
        <v/>
      </c>
      <c r="L2073" s="7" t="str">
        <f t="shared" si="166"/>
        <v/>
      </c>
      <c r="M2073" s="7" t="str">
        <f t="shared" si="163"/>
        <v/>
      </c>
      <c r="N2073" s="7" t="str">
        <f t="shared" si="167"/>
        <v/>
      </c>
      <c r="O2073" s="8"/>
      <c r="P2073" s="26"/>
      <c r="S2073" s="10" t="str">
        <f t="shared" si="164"/>
        <v/>
      </c>
    </row>
    <row r="2074" spans="5:19" x14ac:dyDescent="0.3">
      <c r="E2074" s="9" t="str">
        <f>IF(DADOS!C2074="","",DADOS!C2074)</f>
        <v/>
      </c>
      <c r="F2074" s="9" t="str">
        <f>IF(DADOS!E2074="","",DADOS!E2074)</f>
        <v/>
      </c>
      <c r="G2074" s="9" t="str">
        <f>IF(DADOS!F2074="","",DADOS!F2074)</f>
        <v/>
      </c>
      <c r="K2074" s="6" t="str">
        <f t="shared" si="165"/>
        <v/>
      </c>
      <c r="L2074" s="7" t="str">
        <f t="shared" si="166"/>
        <v/>
      </c>
      <c r="M2074" s="7" t="str">
        <f t="shared" si="163"/>
        <v/>
      </c>
      <c r="N2074" s="7" t="str">
        <f t="shared" si="167"/>
        <v/>
      </c>
      <c r="O2074" s="8"/>
      <c r="P2074" s="26"/>
      <c r="S2074" s="10" t="str">
        <f t="shared" si="164"/>
        <v/>
      </c>
    </row>
    <row r="2075" spans="5:19" x14ac:dyDescent="0.3">
      <c r="E2075" s="9" t="str">
        <f>IF(DADOS!C2075="","",DADOS!C2075)</f>
        <v/>
      </c>
      <c r="F2075" s="9" t="str">
        <f>IF(DADOS!E2075="","",DADOS!E2075)</f>
        <v/>
      </c>
      <c r="G2075" s="9" t="str">
        <f>IF(DADOS!F2075="","",DADOS!F2075)</f>
        <v/>
      </c>
      <c r="K2075" s="6" t="str">
        <f t="shared" si="165"/>
        <v/>
      </c>
      <c r="L2075" s="7" t="str">
        <f t="shared" si="166"/>
        <v/>
      </c>
      <c r="M2075" s="7" t="str">
        <f t="shared" si="163"/>
        <v/>
      </c>
      <c r="N2075" s="7" t="str">
        <f t="shared" si="167"/>
        <v/>
      </c>
      <c r="O2075" s="8"/>
      <c r="P2075" s="26"/>
      <c r="S2075" s="10" t="str">
        <f t="shared" si="164"/>
        <v/>
      </c>
    </row>
    <row r="2076" spans="5:19" x14ac:dyDescent="0.3">
      <c r="E2076" s="9" t="str">
        <f>IF(DADOS!C2076="","",DADOS!C2076)</f>
        <v/>
      </c>
      <c r="F2076" s="9" t="str">
        <f>IF(DADOS!E2076="","",DADOS!E2076)</f>
        <v/>
      </c>
      <c r="G2076" s="9" t="str">
        <f>IF(DADOS!F2076="","",DADOS!F2076)</f>
        <v/>
      </c>
      <c r="K2076" s="6" t="str">
        <f t="shared" si="165"/>
        <v/>
      </c>
      <c r="L2076" s="7" t="str">
        <f t="shared" si="166"/>
        <v/>
      </c>
      <c r="M2076" s="7" t="str">
        <f t="shared" si="163"/>
        <v/>
      </c>
      <c r="N2076" s="7" t="str">
        <f t="shared" si="167"/>
        <v/>
      </c>
      <c r="O2076" s="8"/>
      <c r="P2076" s="26"/>
      <c r="S2076" s="10" t="str">
        <f t="shared" si="164"/>
        <v/>
      </c>
    </row>
    <row r="2077" spans="5:19" x14ac:dyDescent="0.3">
      <c r="E2077" s="9" t="str">
        <f>IF(DADOS!C2077="","",DADOS!C2077)</f>
        <v/>
      </c>
      <c r="F2077" s="9" t="str">
        <f>IF(DADOS!E2077="","",DADOS!E2077)</f>
        <v/>
      </c>
      <c r="G2077" s="9" t="str">
        <f>IF(DADOS!F2077="","",DADOS!F2077)</f>
        <v/>
      </c>
      <c r="K2077" s="6" t="str">
        <f t="shared" si="165"/>
        <v/>
      </c>
      <c r="L2077" s="7" t="str">
        <f t="shared" si="166"/>
        <v/>
      </c>
      <c r="M2077" s="7" t="str">
        <f t="shared" si="163"/>
        <v/>
      </c>
      <c r="N2077" s="7" t="str">
        <f t="shared" si="167"/>
        <v/>
      </c>
      <c r="O2077" s="8"/>
      <c r="P2077" s="26"/>
      <c r="S2077" s="10" t="str">
        <f t="shared" si="164"/>
        <v/>
      </c>
    </row>
    <row r="2078" spans="5:19" x14ac:dyDescent="0.3">
      <c r="E2078" s="9" t="str">
        <f>IF(DADOS!C2078="","",DADOS!C2078)</f>
        <v/>
      </c>
      <c r="F2078" s="9" t="str">
        <f>IF(DADOS!E2078="","",DADOS!E2078)</f>
        <v/>
      </c>
      <c r="G2078" s="9" t="str">
        <f>IF(DADOS!F2078="","",DADOS!F2078)</f>
        <v/>
      </c>
      <c r="K2078" s="6" t="str">
        <f t="shared" si="165"/>
        <v/>
      </c>
      <c r="L2078" s="7" t="str">
        <f t="shared" si="166"/>
        <v/>
      </c>
      <c r="M2078" s="7" t="str">
        <f t="shared" si="163"/>
        <v/>
      </c>
      <c r="N2078" s="7" t="str">
        <f t="shared" si="167"/>
        <v/>
      </c>
      <c r="O2078" s="8"/>
      <c r="P2078" s="26"/>
      <c r="S2078" s="10" t="str">
        <f t="shared" si="164"/>
        <v/>
      </c>
    </row>
    <row r="2079" spans="5:19" x14ac:dyDescent="0.3">
      <c r="E2079" s="9" t="str">
        <f>IF(DADOS!C2079="","",DADOS!C2079)</f>
        <v/>
      </c>
      <c r="F2079" s="9" t="str">
        <f>IF(DADOS!E2079="","",DADOS!E2079)</f>
        <v/>
      </c>
      <c r="G2079" s="9" t="str">
        <f>IF(DADOS!F2079="","",DADOS!F2079)</f>
        <v/>
      </c>
      <c r="K2079" s="6" t="str">
        <f t="shared" si="165"/>
        <v/>
      </c>
      <c r="L2079" s="7" t="str">
        <f t="shared" si="166"/>
        <v/>
      </c>
      <c r="M2079" s="7" t="str">
        <f t="shared" si="163"/>
        <v/>
      </c>
      <c r="N2079" s="7" t="str">
        <f t="shared" si="167"/>
        <v/>
      </c>
      <c r="O2079" s="8"/>
      <c r="P2079" s="26"/>
      <c r="S2079" s="10" t="str">
        <f t="shared" si="164"/>
        <v/>
      </c>
    </row>
    <row r="2080" spans="5:19" x14ac:dyDescent="0.3">
      <c r="E2080" s="9" t="str">
        <f>IF(DADOS!C2080="","",DADOS!C2080)</f>
        <v/>
      </c>
      <c r="F2080" s="9" t="str">
        <f>IF(DADOS!E2080="","",DADOS!E2080)</f>
        <v/>
      </c>
      <c r="G2080" s="9" t="str">
        <f>IF(DADOS!F2080="","",DADOS!F2080)</f>
        <v/>
      </c>
      <c r="K2080" s="6" t="str">
        <f t="shared" si="165"/>
        <v/>
      </c>
      <c r="L2080" s="7" t="str">
        <f t="shared" si="166"/>
        <v/>
      </c>
      <c r="M2080" s="7" t="str">
        <f t="shared" si="163"/>
        <v/>
      </c>
      <c r="N2080" s="7" t="str">
        <f t="shared" si="167"/>
        <v/>
      </c>
      <c r="O2080" s="8"/>
      <c r="P2080" s="26"/>
      <c r="S2080" s="10" t="str">
        <f t="shared" si="164"/>
        <v/>
      </c>
    </row>
    <row r="2081" spans="5:19" x14ac:dyDescent="0.3">
      <c r="E2081" s="9" t="str">
        <f>IF(DADOS!C2081="","",DADOS!C2081)</f>
        <v/>
      </c>
      <c r="F2081" s="9" t="str">
        <f>IF(DADOS!E2081="","",DADOS!E2081)</f>
        <v/>
      </c>
      <c r="G2081" s="9" t="str">
        <f>IF(DADOS!F2081="","",DADOS!F2081)</f>
        <v/>
      </c>
      <c r="K2081" s="6" t="str">
        <f t="shared" si="165"/>
        <v/>
      </c>
      <c r="L2081" s="7" t="str">
        <f t="shared" si="166"/>
        <v/>
      </c>
      <c r="M2081" s="7" t="str">
        <f t="shared" si="163"/>
        <v/>
      </c>
      <c r="N2081" s="7" t="str">
        <f t="shared" si="167"/>
        <v/>
      </c>
      <c r="O2081" s="8"/>
      <c r="P2081" s="26"/>
      <c r="S2081" s="10" t="str">
        <f t="shared" si="164"/>
        <v/>
      </c>
    </row>
    <row r="2082" spans="5:19" x14ac:dyDescent="0.3">
      <c r="E2082" s="9" t="str">
        <f>IF(DADOS!C2082="","",DADOS!C2082)</f>
        <v/>
      </c>
      <c r="F2082" s="9" t="str">
        <f>IF(DADOS!E2082="","",DADOS!E2082)</f>
        <v/>
      </c>
      <c r="G2082" s="9" t="str">
        <f>IF(DADOS!F2082="","",DADOS!F2082)</f>
        <v/>
      </c>
      <c r="K2082" s="6" t="str">
        <f t="shared" si="165"/>
        <v/>
      </c>
      <c r="L2082" s="7" t="str">
        <f t="shared" si="166"/>
        <v/>
      </c>
      <c r="M2082" s="7" t="str">
        <f t="shared" si="163"/>
        <v/>
      </c>
      <c r="N2082" s="7" t="str">
        <f t="shared" si="167"/>
        <v/>
      </c>
      <c r="O2082" s="8"/>
      <c r="P2082" s="26"/>
      <c r="S2082" s="10" t="str">
        <f t="shared" si="164"/>
        <v/>
      </c>
    </row>
    <row r="2083" spans="5:19" x14ac:dyDescent="0.3">
      <c r="E2083" s="9" t="str">
        <f>IF(DADOS!C2083="","",DADOS!C2083)</f>
        <v/>
      </c>
      <c r="F2083" s="9" t="str">
        <f>IF(DADOS!E2083="","",DADOS!E2083)</f>
        <v/>
      </c>
      <c r="G2083" s="9" t="str">
        <f>IF(DADOS!F2083="","",DADOS!F2083)</f>
        <v/>
      </c>
      <c r="K2083" s="6" t="str">
        <f t="shared" si="165"/>
        <v/>
      </c>
      <c r="L2083" s="7" t="str">
        <f t="shared" si="166"/>
        <v/>
      </c>
      <c r="M2083" s="7" t="str">
        <f t="shared" si="163"/>
        <v/>
      </c>
      <c r="N2083" s="7" t="str">
        <f t="shared" si="167"/>
        <v/>
      </c>
      <c r="O2083" s="8"/>
      <c r="P2083" s="26"/>
      <c r="S2083" s="10" t="str">
        <f t="shared" si="164"/>
        <v/>
      </c>
    </row>
    <row r="2084" spans="5:19" x14ac:dyDescent="0.3">
      <c r="E2084" s="9" t="str">
        <f>IF(DADOS!C2084="","",DADOS!C2084)</f>
        <v/>
      </c>
      <c r="F2084" s="9" t="str">
        <f>IF(DADOS!E2084="","",DADOS!E2084)</f>
        <v/>
      </c>
      <c r="G2084" s="9" t="str">
        <f>IF(DADOS!F2084="","",DADOS!F2084)</f>
        <v/>
      </c>
      <c r="K2084" s="6" t="str">
        <f t="shared" si="165"/>
        <v/>
      </c>
      <c r="L2084" s="7" t="str">
        <f t="shared" si="166"/>
        <v/>
      </c>
      <c r="M2084" s="7" t="str">
        <f t="shared" si="163"/>
        <v/>
      </c>
      <c r="N2084" s="7" t="str">
        <f t="shared" si="167"/>
        <v/>
      </c>
      <c r="O2084" s="8"/>
      <c r="P2084" s="26"/>
      <c r="S2084" s="10" t="str">
        <f t="shared" si="164"/>
        <v/>
      </c>
    </row>
    <row r="2085" spans="5:19" x14ac:dyDescent="0.3">
      <c r="E2085" s="9" t="str">
        <f>IF(DADOS!C2085="","",DADOS!C2085)</f>
        <v/>
      </c>
      <c r="F2085" s="9" t="str">
        <f>IF(DADOS!E2085="","",DADOS!E2085)</f>
        <v/>
      </c>
      <c r="G2085" s="9" t="str">
        <f>IF(DADOS!F2085="","",DADOS!F2085)</f>
        <v/>
      </c>
      <c r="K2085" s="6" t="str">
        <f t="shared" si="165"/>
        <v/>
      </c>
      <c r="L2085" s="7" t="str">
        <f t="shared" si="166"/>
        <v/>
      </c>
      <c r="M2085" s="7" t="str">
        <f t="shared" si="163"/>
        <v/>
      </c>
      <c r="N2085" s="7" t="str">
        <f t="shared" si="167"/>
        <v/>
      </c>
      <c r="O2085" s="8"/>
      <c r="P2085" s="26"/>
      <c r="S2085" s="10" t="str">
        <f t="shared" si="164"/>
        <v/>
      </c>
    </row>
    <row r="2086" spans="5:19" x14ac:dyDescent="0.3">
      <c r="E2086" s="9" t="str">
        <f>IF(DADOS!C2086="","",DADOS!C2086)</f>
        <v/>
      </c>
      <c r="F2086" s="9" t="str">
        <f>IF(DADOS!E2086="","",DADOS!E2086)</f>
        <v/>
      </c>
      <c r="G2086" s="9" t="str">
        <f>IF(DADOS!F2086="","",DADOS!F2086)</f>
        <v/>
      </c>
      <c r="K2086" s="6" t="str">
        <f t="shared" si="165"/>
        <v/>
      </c>
      <c r="L2086" s="7" t="str">
        <f t="shared" si="166"/>
        <v/>
      </c>
      <c r="M2086" s="7" t="str">
        <f t="shared" si="163"/>
        <v/>
      </c>
      <c r="N2086" s="7" t="str">
        <f t="shared" si="167"/>
        <v/>
      </c>
      <c r="O2086" s="8"/>
      <c r="P2086" s="26"/>
      <c r="S2086" s="10" t="str">
        <f t="shared" si="164"/>
        <v/>
      </c>
    </row>
    <row r="2087" spans="5:19" x14ac:dyDescent="0.3">
      <c r="E2087" s="9" t="str">
        <f>IF(DADOS!C2087="","",DADOS!C2087)</f>
        <v/>
      </c>
      <c r="F2087" s="9" t="str">
        <f>IF(DADOS!E2087="","",DADOS!E2087)</f>
        <v/>
      </c>
      <c r="G2087" s="9" t="str">
        <f>IF(DADOS!F2087="","",DADOS!F2087)</f>
        <v/>
      </c>
      <c r="K2087" s="6" t="str">
        <f t="shared" si="165"/>
        <v/>
      </c>
      <c r="L2087" s="7" t="str">
        <f t="shared" si="166"/>
        <v/>
      </c>
      <c r="M2087" s="7" t="str">
        <f t="shared" si="163"/>
        <v/>
      </c>
      <c r="N2087" s="7" t="str">
        <f t="shared" si="167"/>
        <v/>
      </c>
      <c r="O2087" s="8"/>
      <c r="P2087" s="26"/>
      <c r="S2087" s="10" t="str">
        <f t="shared" si="164"/>
        <v/>
      </c>
    </row>
    <row r="2088" spans="5:19" x14ac:dyDescent="0.3">
      <c r="E2088" s="9" t="str">
        <f>IF(DADOS!C2088="","",DADOS!C2088)</f>
        <v/>
      </c>
      <c r="F2088" s="9" t="str">
        <f>IF(DADOS!E2088="","",DADOS!E2088)</f>
        <v/>
      </c>
      <c r="G2088" s="9" t="str">
        <f>IF(DADOS!F2088="","",DADOS!F2088)</f>
        <v/>
      </c>
      <c r="K2088" s="6" t="str">
        <f t="shared" si="165"/>
        <v/>
      </c>
      <c r="L2088" s="7" t="str">
        <f t="shared" si="166"/>
        <v/>
      </c>
      <c r="M2088" s="7" t="str">
        <f t="shared" si="163"/>
        <v/>
      </c>
      <c r="N2088" s="7" t="str">
        <f t="shared" si="167"/>
        <v/>
      </c>
      <c r="O2088" s="8"/>
      <c r="P2088" s="26"/>
      <c r="S2088" s="10" t="str">
        <f t="shared" si="164"/>
        <v/>
      </c>
    </row>
    <row r="2089" spans="5:19" x14ac:dyDescent="0.3">
      <c r="E2089" s="9" t="str">
        <f>IF(DADOS!C2089="","",DADOS!C2089)</f>
        <v/>
      </c>
      <c r="F2089" s="9" t="str">
        <f>IF(DADOS!E2089="","",DADOS!E2089)</f>
        <v/>
      </c>
      <c r="G2089" s="9" t="str">
        <f>IF(DADOS!F2089="","",DADOS!F2089)</f>
        <v/>
      </c>
      <c r="K2089" s="6" t="str">
        <f t="shared" si="165"/>
        <v/>
      </c>
      <c r="L2089" s="7" t="str">
        <f t="shared" si="166"/>
        <v/>
      </c>
      <c r="M2089" s="7" t="str">
        <f t="shared" si="163"/>
        <v/>
      </c>
      <c r="N2089" s="7" t="str">
        <f t="shared" si="167"/>
        <v/>
      </c>
      <c r="O2089" s="8"/>
      <c r="P2089" s="26"/>
      <c r="S2089" s="10" t="str">
        <f t="shared" si="164"/>
        <v/>
      </c>
    </row>
    <row r="2090" spans="5:19" x14ac:dyDescent="0.3">
      <c r="E2090" s="9" t="str">
        <f>IF(DADOS!C2090="","",DADOS!C2090)</f>
        <v/>
      </c>
      <c r="F2090" s="9" t="str">
        <f>IF(DADOS!E2090="","",DADOS!E2090)</f>
        <v/>
      </c>
      <c r="G2090" s="9" t="str">
        <f>IF(DADOS!F2090="","",DADOS!F2090)</f>
        <v/>
      </c>
      <c r="K2090" s="6" t="str">
        <f t="shared" si="165"/>
        <v/>
      </c>
      <c r="L2090" s="7" t="str">
        <f t="shared" si="166"/>
        <v/>
      </c>
      <c r="M2090" s="7" t="str">
        <f t="shared" si="163"/>
        <v/>
      </c>
      <c r="N2090" s="7" t="str">
        <f t="shared" si="167"/>
        <v/>
      </c>
      <c r="O2090" s="8"/>
      <c r="P2090" s="26"/>
      <c r="S2090" s="10" t="str">
        <f t="shared" si="164"/>
        <v/>
      </c>
    </row>
    <row r="2091" spans="5:19" x14ac:dyDescent="0.3">
      <c r="E2091" s="9" t="str">
        <f>IF(DADOS!C2091="","",DADOS!C2091)</f>
        <v/>
      </c>
      <c r="F2091" s="9" t="str">
        <f>IF(DADOS!E2091="","",DADOS!E2091)</f>
        <v/>
      </c>
      <c r="G2091" s="9" t="str">
        <f>IF(DADOS!F2091="","",DADOS!F2091)</f>
        <v/>
      </c>
      <c r="K2091" s="6" t="str">
        <f t="shared" si="165"/>
        <v/>
      </c>
      <c r="L2091" s="7" t="str">
        <f t="shared" si="166"/>
        <v/>
      </c>
      <c r="M2091" s="7" t="str">
        <f t="shared" si="163"/>
        <v/>
      </c>
      <c r="N2091" s="7" t="str">
        <f t="shared" si="167"/>
        <v/>
      </c>
      <c r="O2091" s="8"/>
      <c r="P2091" s="26"/>
      <c r="S2091" s="10" t="str">
        <f t="shared" si="164"/>
        <v/>
      </c>
    </row>
    <row r="2092" spans="5:19" x14ac:dyDescent="0.3">
      <c r="E2092" s="9" t="str">
        <f>IF(DADOS!C2092="","",DADOS!C2092)</f>
        <v/>
      </c>
      <c r="F2092" s="9" t="str">
        <f>IF(DADOS!E2092="","",DADOS!E2092)</f>
        <v/>
      </c>
      <c r="G2092" s="9" t="str">
        <f>IF(DADOS!F2092="","",DADOS!F2092)</f>
        <v/>
      </c>
      <c r="K2092" s="6" t="str">
        <f t="shared" si="165"/>
        <v/>
      </c>
      <c r="L2092" s="7" t="str">
        <f t="shared" si="166"/>
        <v/>
      </c>
      <c r="M2092" s="7" t="str">
        <f t="shared" si="163"/>
        <v/>
      </c>
      <c r="N2092" s="7" t="str">
        <f t="shared" si="167"/>
        <v/>
      </c>
      <c r="O2092" s="8"/>
      <c r="P2092" s="26"/>
      <c r="S2092" s="10" t="str">
        <f t="shared" si="164"/>
        <v/>
      </c>
    </row>
    <row r="2093" spans="5:19" x14ac:dyDescent="0.3">
      <c r="E2093" s="9" t="str">
        <f>IF(DADOS!C2093="","",DADOS!C2093)</f>
        <v/>
      </c>
      <c r="F2093" s="9" t="str">
        <f>IF(DADOS!E2093="","",DADOS!E2093)</f>
        <v/>
      </c>
      <c r="G2093" s="9" t="str">
        <f>IF(DADOS!F2093="","",DADOS!F2093)</f>
        <v/>
      </c>
      <c r="K2093" s="6" t="str">
        <f t="shared" si="165"/>
        <v/>
      </c>
      <c r="L2093" s="7" t="str">
        <f t="shared" si="166"/>
        <v/>
      </c>
      <c r="M2093" s="7" t="str">
        <f t="shared" si="163"/>
        <v/>
      </c>
      <c r="N2093" s="7" t="str">
        <f t="shared" si="167"/>
        <v/>
      </c>
      <c r="O2093" s="8"/>
      <c r="P2093" s="26"/>
      <c r="S2093" s="10" t="str">
        <f t="shared" si="164"/>
        <v/>
      </c>
    </row>
    <row r="2094" spans="5:19" x14ac:dyDescent="0.3">
      <c r="E2094" s="9" t="str">
        <f>IF(DADOS!C2094="","",DADOS!C2094)</f>
        <v/>
      </c>
      <c r="F2094" s="9" t="str">
        <f>IF(DADOS!E2094="","",DADOS!E2094)</f>
        <v/>
      </c>
      <c r="G2094" s="9" t="str">
        <f>IF(DADOS!F2094="","",DADOS!F2094)</f>
        <v/>
      </c>
      <c r="K2094" s="6" t="str">
        <f t="shared" si="165"/>
        <v/>
      </c>
      <c r="L2094" s="7" t="str">
        <f t="shared" si="166"/>
        <v/>
      </c>
      <c r="M2094" s="7" t="str">
        <f t="shared" si="163"/>
        <v/>
      </c>
      <c r="N2094" s="7" t="str">
        <f t="shared" si="167"/>
        <v/>
      </c>
      <c r="O2094" s="8"/>
      <c r="P2094" s="26"/>
      <c r="S2094" s="10" t="str">
        <f t="shared" si="164"/>
        <v/>
      </c>
    </row>
    <row r="2095" spans="5:19" x14ac:dyDescent="0.3">
      <c r="E2095" s="9" t="str">
        <f>IF(DADOS!C2095="","",DADOS!C2095)</f>
        <v/>
      </c>
      <c r="F2095" s="9" t="str">
        <f>IF(DADOS!E2095="","",DADOS!E2095)</f>
        <v/>
      </c>
      <c r="G2095" s="9" t="str">
        <f>IF(DADOS!F2095="","",DADOS!F2095)</f>
        <v/>
      </c>
      <c r="K2095" s="6" t="str">
        <f t="shared" si="165"/>
        <v/>
      </c>
      <c r="L2095" s="7" t="str">
        <f t="shared" si="166"/>
        <v/>
      </c>
      <c r="M2095" s="7" t="str">
        <f t="shared" si="163"/>
        <v/>
      </c>
      <c r="N2095" s="7" t="str">
        <f t="shared" si="167"/>
        <v/>
      </c>
      <c r="O2095" s="8"/>
      <c r="P2095" s="26"/>
      <c r="S2095" s="10" t="str">
        <f t="shared" si="164"/>
        <v/>
      </c>
    </row>
    <row r="2096" spans="5:19" x14ac:dyDescent="0.3">
      <c r="E2096" s="9" t="str">
        <f>IF(DADOS!C2096="","",DADOS!C2096)</f>
        <v/>
      </c>
      <c r="F2096" s="9" t="str">
        <f>IF(DADOS!E2096="","",DADOS!E2096)</f>
        <v/>
      </c>
      <c r="G2096" s="9" t="str">
        <f>IF(DADOS!F2096="","",DADOS!F2096)</f>
        <v/>
      </c>
      <c r="K2096" s="6" t="str">
        <f t="shared" si="165"/>
        <v/>
      </c>
      <c r="L2096" s="7" t="str">
        <f t="shared" si="166"/>
        <v/>
      </c>
      <c r="M2096" s="7" t="str">
        <f t="shared" si="163"/>
        <v/>
      </c>
      <c r="N2096" s="7" t="str">
        <f t="shared" si="167"/>
        <v/>
      </c>
      <c r="O2096" s="8"/>
      <c r="P2096" s="26"/>
      <c r="S2096" s="10" t="str">
        <f t="shared" si="164"/>
        <v/>
      </c>
    </row>
    <row r="2097" spans="5:19" x14ac:dyDescent="0.3">
      <c r="E2097" s="9" t="str">
        <f>IF(DADOS!C2097="","",DADOS!C2097)</f>
        <v/>
      </c>
      <c r="F2097" s="9" t="str">
        <f>IF(DADOS!E2097="","",DADOS!E2097)</f>
        <v/>
      </c>
      <c r="G2097" s="9" t="str">
        <f>IF(DADOS!F2097="","",DADOS!F2097)</f>
        <v/>
      </c>
      <c r="K2097" s="6" t="str">
        <f t="shared" si="165"/>
        <v/>
      </c>
      <c r="L2097" s="7" t="str">
        <f t="shared" si="166"/>
        <v/>
      </c>
      <c r="M2097" s="7" t="str">
        <f t="shared" si="163"/>
        <v/>
      </c>
      <c r="N2097" s="7" t="str">
        <f t="shared" si="167"/>
        <v/>
      </c>
      <c r="O2097" s="8"/>
      <c r="P2097" s="26"/>
      <c r="S2097" s="10" t="str">
        <f t="shared" si="164"/>
        <v/>
      </c>
    </row>
    <row r="2098" spans="5:19" x14ac:dyDescent="0.3">
      <c r="E2098" s="9" t="str">
        <f>IF(DADOS!C2098="","",DADOS!C2098)</f>
        <v/>
      </c>
      <c r="F2098" s="9" t="str">
        <f>IF(DADOS!E2098="","",DADOS!E2098)</f>
        <v/>
      </c>
      <c r="G2098" s="9" t="str">
        <f>IF(DADOS!F2098="","",DADOS!F2098)</f>
        <v/>
      </c>
      <c r="K2098" s="6" t="str">
        <f t="shared" si="165"/>
        <v/>
      </c>
      <c r="L2098" s="7" t="str">
        <f t="shared" si="166"/>
        <v/>
      </c>
      <c r="M2098" s="7" t="str">
        <f t="shared" si="163"/>
        <v/>
      </c>
      <c r="N2098" s="7" t="str">
        <f t="shared" si="167"/>
        <v/>
      </c>
      <c r="O2098" s="8"/>
      <c r="P2098" s="26"/>
      <c r="S2098" s="10" t="str">
        <f t="shared" si="164"/>
        <v/>
      </c>
    </row>
    <row r="2099" spans="5:19" x14ac:dyDescent="0.3">
      <c r="E2099" s="9" t="str">
        <f>IF(DADOS!C2099="","",DADOS!C2099)</f>
        <v/>
      </c>
      <c r="F2099" s="9" t="str">
        <f>IF(DADOS!E2099="","",DADOS!E2099)</f>
        <v/>
      </c>
      <c r="G2099" s="9" t="str">
        <f>IF(DADOS!F2099="","",DADOS!F2099)</f>
        <v/>
      </c>
      <c r="K2099" s="6" t="str">
        <f t="shared" si="165"/>
        <v/>
      </c>
      <c r="L2099" s="7" t="str">
        <f t="shared" si="166"/>
        <v/>
      </c>
      <c r="M2099" s="7" t="str">
        <f t="shared" si="163"/>
        <v/>
      </c>
      <c r="N2099" s="7" t="str">
        <f t="shared" si="167"/>
        <v/>
      </c>
      <c r="O2099" s="8"/>
      <c r="P2099" s="26"/>
      <c r="S2099" s="10" t="str">
        <f t="shared" si="164"/>
        <v/>
      </c>
    </row>
    <row r="2100" spans="5:19" x14ac:dyDescent="0.3">
      <c r="E2100" s="9" t="str">
        <f>IF(DADOS!C2100="","",DADOS!C2100)</f>
        <v/>
      </c>
      <c r="F2100" s="9" t="str">
        <f>IF(DADOS!E2100="","",DADOS!E2100)</f>
        <v/>
      </c>
      <c r="G2100" s="9" t="str">
        <f>IF(DADOS!F2100="","",DADOS!F2100)</f>
        <v/>
      </c>
      <c r="K2100" s="6" t="str">
        <f t="shared" si="165"/>
        <v/>
      </c>
      <c r="L2100" s="7" t="str">
        <f t="shared" si="166"/>
        <v/>
      </c>
      <c r="M2100" s="7" t="str">
        <f t="shared" si="163"/>
        <v/>
      </c>
      <c r="N2100" s="7" t="str">
        <f t="shared" si="167"/>
        <v/>
      </c>
      <c r="O2100" s="8"/>
      <c r="P2100" s="26"/>
      <c r="S2100" s="10" t="str">
        <f t="shared" si="164"/>
        <v/>
      </c>
    </row>
    <row r="2101" spans="5:19" x14ac:dyDescent="0.3">
      <c r="E2101" s="9" t="str">
        <f>IF(DADOS!C2101="","",DADOS!C2101)</f>
        <v/>
      </c>
      <c r="F2101" s="9" t="str">
        <f>IF(DADOS!E2101="","",DADOS!E2101)</f>
        <v/>
      </c>
      <c r="G2101" s="9" t="str">
        <f>IF(DADOS!F2101="","",DADOS!F2101)</f>
        <v/>
      </c>
      <c r="K2101" s="6" t="str">
        <f t="shared" si="165"/>
        <v/>
      </c>
      <c r="L2101" s="7" t="str">
        <f t="shared" si="166"/>
        <v/>
      </c>
      <c r="M2101" s="7" t="str">
        <f t="shared" si="163"/>
        <v/>
      </c>
      <c r="N2101" s="7" t="str">
        <f t="shared" si="167"/>
        <v/>
      </c>
      <c r="O2101" s="8"/>
      <c r="P2101" s="26"/>
      <c r="S2101" s="10" t="str">
        <f t="shared" si="164"/>
        <v/>
      </c>
    </row>
    <row r="2102" spans="5:19" x14ac:dyDescent="0.3">
      <c r="E2102" s="9" t="str">
        <f>IF(DADOS!C2102="","",DADOS!C2102)</f>
        <v/>
      </c>
      <c r="F2102" s="9" t="str">
        <f>IF(DADOS!E2102="","",DADOS!E2102)</f>
        <v/>
      </c>
      <c r="G2102" s="9" t="str">
        <f>IF(DADOS!F2102="","",DADOS!F2102)</f>
        <v/>
      </c>
      <c r="K2102" s="6" t="str">
        <f t="shared" si="165"/>
        <v/>
      </c>
      <c r="L2102" s="7" t="str">
        <f t="shared" si="166"/>
        <v/>
      </c>
      <c r="M2102" s="7" t="str">
        <f t="shared" si="163"/>
        <v/>
      </c>
      <c r="N2102" s="7" t="str">
        <f t="shared" si="167"/>
        <v/>
      </c>
      <c r="O2102" s="8"/>
      <c r="P2102" s="26"/>
      <c r="S2102" s="10" t="str">
        <f t="shared" si="164"/>
        <v/>
      </c>
    </row>
    <row r="2103" spans="5:19" x14ac:dyDescent="0.3">
      <c r="E2103" s="9" t="str">
        <f>IF(DADOS!C2103="","",DADOS!C2103)</f>
        <v/>
      </c>
      <c r="F2103" s="9" t="str">
        <f>IF(DADOS!E2103="","",DADOS!E2103)</f>
        <v/>
      </c>
      <c r="G2103" s="9" t="str">
        <f>IF(DADOS!F2103="","",DADOS!F2103)</f>
        <v/>
      </c>
      <c r="K2103" s="6" t="str">
        <f t="shared" si="165"/>
        <v/>
      </c>
      <c r="L2103" s="7" t="str">
        <f t="shared" si="166"/>
        <v/>
      </c>
      <c r="M2103" s="7" t="str">
        <f t="shared" si="163"/>
        <v/>
      </c>
      <c r="N2103" s="7" t="str">
        <f t="shared" si="167"/>
        <v/>
      </c>
      <c r="O2103" s="8"/>
      <c r="P2103" s="26"/>
      <c r="S2103" s="10" t="str">
        <f t="shared" si="164"/>
        <v/>
      </c>
    </row>
    <row r="2104" spans="5:19" x14ac:dyDescent="0.3">
      <c r="E2104" s="9" t="str">
        <f>IF(DADOS!C2104="","",DADOS!C2104)</f>
        <v/>
      </c>
      <c r="F2104" s="9" t="str">
        <f>IF(DADOS!E2104="","",DADOS!E2104)</f>
        <v/>
      </c>
      <c r="G2104" s="9" t="str">
        <f>IF(DADOS!F2104="","",DADOS!F2104)</f>
        <v/>
      </c>
      <c r="K2104" s="6" t="str">
        <f t="shared" si="165"/>
        <v/>
      </c>
      <c r="L2104" s="7" t="str">
        <f t="shared" si="166"/>
        <v/>
      </c>
      <c r="M2104" s="7" t="str">
        <f t="shared" si="163"/>
        <v/>
      </c>
      <c r="N2104" s="7" t="str">
        <f t="shared" si="167"/>
        <v/>
      </c>
      <c r="O2104" s="8"/>
      <c r="P2104" s="26"/>
      <c r="S2104" s="10" t="str">
        <f t="shared" si="164"/>
        <v/>
      </c>
    </row>
    <row r="2105" spans="5:19" x14ac:dyDescent="0.3">
      <c r="E2105" s="9" t="str">
        <f>IF(DADOS!C2105="","",DADOS!C2105)</f>
        <v/>
      </c>
      <c r="F2105" s="9" t="str">
        <f>IF(DADOS!E2105="","",DADOS!E2105)</f>
        <v/>
      </c>
      <c r="G2105" s="9" t="str">
        <f>IF(DADOS!F2105="","",DADOS!F2105)</f>
        <v/>
      </c>
      <c r="K2105" s="6" t="str">
        <f t="shared" si="165"/>
        <v/>
      </c>
      <c r="L2105" s="7" t="str">
        <f t="shared" si="166"/>
        <v/>
      </c>
      <c r="M2105" s="7" t="str">
        <f t="shared" si="163"/>
        <v/>
      </c>
      <c r="N2105" s="7" t="str">
        <f t="shared" si="167"/>
        <v/>
      </c>
      <c r="O2105" s="8"/>
      <c r="P2105" s="26"/>
      <c r="S2105" s="10" t="str">
        <f t="shared" si="164"/>
        <v/>
      </c>
    </row>
    <row r="2106" spans="5:19" x14ac:dyDescent="0.3">
      <c r="E2106" s="9" t="str">
        <f>IF(DADOS!C2106="","",DADOS!C2106)</f>
        <v/>
      </c>
      <c r="F2106" s="9" t="str">
        <f>IF(DADOS!E2106="","",DADOS!E2106)</f>
        <v/>
      </c>
      <c r="G2106" s="9" t="str">
        <f>IF(DADOS!F2106="","",DADOS!F2106)</f>
        <v/>
      </c>
      <c r="K2106" s="6" t="str">
        <f t="shared" si="165"/>
        <v/>
      </c>
      <c r="L2106" s="7" t="str">
        <f t="shared" si="166"/>
        <v/>
      </c>
      <c r="M2106" s="7" t="str">
        <f t="shared" si="163"/>
        <v/>
      </c>
      <c r="N2106" s="7" t="str">
        <f t="shared" si="167"/>
        <v/>
      </c>
      <c r="O2106" s="8"/>
      <c r="P2106" s="26"/>
      <c r="S2106" s="10" t="str">
        <f t="shared" si="164"/>
        <v/>
      </c>
    </row>
    <row r="2107" spans="5:19" x14ac:dyDescent="0.3">
      <c r="E2107" s="9" t="str">
        <f>IF(DADOS!C2107="","",DADOS!C2107)</f>
        <v/>
      </c>
      <c r="F2107" s="9" t="str">
        <f>IF(DADOS!E2107="","",DADOS!E2107)</f>
        <v/>
      </c>
      <c r="G2107" s="9" t="str">
        <f>IF(DADOS!F2107="","",DADOS!F2107)</f>
        <v/>
      </c>
      <c r="K2107" s="6" t="str">
        <f t="shared" si="165"/>
        <v/>
      </c>
      <c r="L2107" s="7" t="str">
        <f t="shared" si="166"/>
        <v/>
      </c>
      <c r="M2107" s="7" t="str">
        <f t="shared" si="163"/>
        <v/>
      </c>
      <c r="N2107" s="7" t="str">
        <f t="shared" si="167"/>
        <v/>
      </c>
      <c r="O2107" s="8"/>
      <c r="P2107" s="26"/>
      <c r="S2107" s="10" t="str">
        <f t="shared" si="164"/>
        <v/>
      </c>
    </row>
    <row r="2108" spans="5:19" x14ac:dyDescent="0.3">
      <c r="E2108" s="9" t="str">
        <f>IF(DADOS!C2108="","",DADOS!C2108)</f>
        <v/>
      </c>
      <c r="F2108" s="9" t="str">
        <f>IF(DADOS!E2108="","",DADOS!E2108)</f>
        <v/>
      </c>
      <c r="G2108" s="9" t="str">
        <f>IF(DADOS!F2108="","",DADOS!F2108)</f>
        <v/>
      </c>
      <c r="K2108" s="6" t="str">
        <f t="shared" si="165"/>
        <v/>
      </c>
      <c r="L2108" s="7" t="str">
        <f t="shared" si="166"/>
        <v/>
      </c>
      <c r="M2108" s="7" t="str">
        <f t="shared" si="163"/>
        <v/>
      </c>
      <c r="N2108" s="7" t="str">
        <f t="shared" si="167"/>
        <v/>
      </c>
      <c r="O2108" s="8"/>
      <c r="P2108" s="26"/>
      <c r="S2108" s="10" t="str">
        <f t="shared" si="164"/>
        <v/>
      </c>
    </row>
    <row r="2109" spans="5:19" x14ac:dyDescent="0.3">
      <c r="E2109" s="9" t="str">
        <f>IF(DADOS!C2109="","",DADOS!C2109)</f>
        <v/>
      </c>
      <c r="F2109" s="9" t="str">
        <f>IF(DADOS!E2109="","",DADOS!E2109)</f>
        <v/>
      </c>
      <c r="G2109" s="9" t="str">
        <f>IF(DADOS!F2109="","",DADOS!F2109)</f>
        <v/>
      </c>
      <c r="K2109" s="6" t="str">
        <f t="shared" si="165"/>
        <v/>
      </c>
      <c r="L2109" s="7" t="str">
        <f t="shared" si="166"/>
        <v/>
      </c>
      <c r="M2109" s="7" t="str">
        <f t="shared" si="163"/>
        <v/>
      </c>
      <c r="N2109" s="7" t="str">
        <f t="shared" si="167"/>
        <v/>
      </c>
      <c r="O2109" s="8"/>
      <c r="P2109" s="26"/>
      <c r="S2109" s="10" t="str">
        <f t="shared" si="164"/>
        <v/>
      </c>
    </row>
    <row r="2110" spans="5:19" x14ac:dyDescent="0.3">
      <c r="E2110" s="9" t="str">
        <f>IF(DADOS!C2110="","",DADOS!C2110)</f>
        <v/>
      </c>
      <c r="F2110" s="9" t="str">
        <f>IF(DADOS!E2110="","",DADOS!E2110)</f>
        <v/>
      </c>
      <c r="G2110" s="9" t="str">
        <f>IF(DADOS!F2110="","",DADOS!F2110)</f>
        <v/>
      </c>
      <c r="K2110" s="6" t="str">
        <f t="shared" si="165"/>
        <v/>
      </c>
      <c r="L2110" s="7" t="str">
        <f t="shared" si="166"/>
        <v/>
      </c>
      <c r="M2110" s="7" t="str">
        <f t="shared" si="163"/>
        <v/>
      </c>
      <c r="N2110" s="7" t="str">
        <f t="shared" si="167"/>
        <v/>
      </c>
      <c r="O2110" s="8"/>
      <c r="P2110" s="26"/>
      <c r="S2110" s="10" t="str">
        <f t="shared" si="164"/>
        <v/>
      </c>
    </row>
    <row r="2111" spans="5:19" x14ac:dyDescent="0.3">
      <c r="E2111" s="9" t="str">
        <f>IF(DADOS!C2111="","",DADOS!C2111)</f>
        <v/>
      </c>
      <c r="F2111" s="9" t="str">
        <f>IF(DADOS!E2111="","",DADOS!E2111)</f>
        <v/>
      </c>
      <c r="G2111" s="9" t="str">
        <f>IF(DADOS!F2111="","",DADOS!F2111)</f>
        <v/>
      </c>
      <c r="K2111" s="6" t="str">
        <f t="shared" si="165"/>
        <v/>
      </c>
      <c r="L2111" s="7" t="str">
        <f t="shared" si="166"/>
        <v/>
      </c>
      <c r="M2111" s="7" t="str">
        <f t="shared" si="163"/>
        <v/>
      </c>
      <c r="N2111" s="7" t="str">
        <f t="shared" si="167"/>
        <v/>
      </c>
      <c r="O2111" s="8"/>
      <c r="P2111" s="26"/>
      <c r="S2111" s="10" t="str">
        <f t="shared" si="164"/>
        <v/>
      </c>
    </row>
    <row r="2112" spans="5:19" x14ac:dyDescent="0.3">
      <c r="E2112" s="9" t="str">
        <f>IF(DADOS!C2112="","",DADOS!C2112)</f>
        <v/>
      </c>
      <c r="F2112" s="9" t="str">
        <f>IF(DADOS!E2112="","",DADOS!E2112)</f>
        <v/>
      </c>
      <c r="G2112" s="9" t="str">
        <f>IF(DADOS!F2112="","",DADOS!F2112)</f>
        <v/>
      </c>
      <c r="K2112" s="6" t="str">
        <f t="shared" si="165"/>
        <v/>
      </c>
      <c r="L2112" s="7" t="str">
        <f t="shared" si="166"/>
        <v/>
      </c>
      <c r="M2112" s="7" t="str">
        <f t="shared" si="163"/>
        <v/>
      </c>
      <c r="N2112" s="7" t="str">
        <f t="shared" si="167"/>
        <v/>
      </c>
      <c r="O2112" s="8"/>
      <c r="P2112" s="26"/>
      <c r="S2112" s="10" t="str">
        <f t="shared" si="164"/>
        <v/>
      </c>
    </row>
    <row r="2113" spans="5:19" x14ac:dyDescent="0.3">
      <c r="E2113" s="9" t="str">
        <f>IF(DADOS!C2113="","",DADOS!C2113)</f>
        <v/>
      </c>
      <c r="F2113" s="9" t="str">
        <f>IF(DADOS!E2113="","",DADOS!E2113)</f>
        <v/>
      </c>
      <c r="G2113" s="9" t="str">
        <f>IF(DADOS!F2113="","",DADOS!F2113)</f>
        <v/>
      </c>
      <c r="K2113" s="6" t="str">
        <f t="shared" si="165"/>
        <v/>
      </c>
      <c r="L2113" s="7" t="str">
        <f t="shared" si="166"/>
        <v/>
      </c>
      <c r="M2113" s="7" t="str">
        <f t="shared" si="163"/>
        <v/>
      </c>
      <c r="N2113" s="7" t="str">
        <f t="shared" si="167"/>
        <v/>
      </c>
      <c r="O2113" s="8"/>
      <c r="P2113" s="26"/>
      <c r="S2113" s="10" t="str">
        <f t="shared" si="164"/>
        <v/>
      </c>
    </row>
    <row r="2114" spans="5:19" x14ac:dyDescent="0.3">
      <c r="E2114" s="9" t="str">
        <f>IF(DADOS!C2114="","",DADOS!C2114)</f>
        <v/>
      </c>
      <c r="F2114" s="9" t="str">
        <f>IF(DADOS!E2114="","",DADOS!E2114)</f>
        <v/>
      </c>
      <c r="G2114" s="9" t="str">
        <f>IF(DADOS!F2114="","",DADOS!F2114)</f>
        <v/>
      </c>
      <c r="K2114" s="6" t="str">
        <f t="shared" si="165"/>
        <v/>
      </c>
      <c r="L2114" s="7" t="str">
        <f t="shared" si="166"/>
        <v/>
      </c>
      <c r="M2114" s="7" t="str">
        <f t="shared" si="163"/>
        <v/>
      </c>
      <c r="N2114" s="7" t="str">
        <f t="shared" si="167"/>
        <v/>
      </c>
      <c r="O2114" s="8"/>
      <c r="P2114" s="26"/>
      <c r="S2114" s="10" t="str">
        <f t="shared" si="164"/>
        <v/>
      </c>
    </row>
    <row r="2115" spans="5:19" x14ac:dyDescent="0.3">
      <c r="E2115" s="9" t="str">
        <f>IF(DADOS!C2115="","",DADOS!C2115)</f>
        <v/>
      </c>
      <c r="F2115" s="9" t="str">
        <f>IF(DADOS!E2115="","",DADOS!E2115)</f>
        <v/>
      </c>
      <c r="G2115" s="9" t="str">
        <f>IF(DADOS!F2115="","",DADOS!F2115)</f>
        <v/>
      </c>
      <c r="K2115" s="6" t="str">
        <f t="shared" si="165"/>
        <v/>
      </c>
      <c r="L2115" s="7" t="str">
        <f t="shared" si="166"/>
        <v/>
      </c>
      <c r="M2115" s="7" t="str">
        <f t="shared" ref="M2115:M2178" si="168">IF(L2115="","",L2115*G2115)</f>
        <v/>
      </c>
      <c r="N2115" s="7" t="str">
        <f t="shared" si="167"/>
        <v/>
      </c>
      <c r="O2115" s="8"/>
      <c r="P2115" s="26"/>
      <c r="S2115" s="10" t="str">
        <f t="shared" ref="S2115:S2178" si="169">IF(R2115="","",SUMIFS($N$3:$N$10000,$E$3:$E$10000,R2115))</f>
        <v/>
      </c>
    </row>
    <row r="2116" spans="5:19" x14ac:dyDescent="0.3">
      <c r="E2116" s="9" t="str">
        <f>IF(DADOS!C2116="","",DADOS!C2116)</f>
        <v/>
      </c>
      <c r="F2116" s="9" t="str">
        <f>IF(DADOS!E2116="","",DADOS!E2116)</f>
        <v/>
      </c>
      <c r="G2116" s="9" t="str">
        <f>IF(DADOS!F2116="","",DADOS!F2116)</f>
        <v/>
      </c>
      <c r="K2116" s="6" t="str">
        <f t="shared" ref="K2116:K2179" si="170">IF(F2116="","",F2116/PI())</f>
        <v/>
      </c>
      <c r="L2116" s="7" t="str">
        <f t="shared" ref="L2116:L2179" si="171">IF(K2116="","",(PI()*K2116^2)/40000)</f>
        <v/>
      </c>
      <c r="M2116" s="7" t="str">
        <f t="shared" si="168"/>
        <v/>
      </c>
      <c r="N2116" s="7" t="str">
        <f t="shared" ref="N2116:N2179" si="172">IF(M2116="","",M2116*N$1)</f>
        <v/>
      </c>
      <c r="O2116" s="8"/>
      <c r="P2116" s="26"/>
      <c r="S2116" s="10" t="str">
        <f t="shared" si="169"/>
        <v/>
      </c>
    </row>
    <row r="2117" spans="5:19" x14ac:dyDescent="0.3">
      <c r="E2117" s="9" t="str">
        <f>IF(DADOS!C2117="","",DADOS!C2117)</f>
        <v/>
      </c>
      <c r="F2117" s="9" t="str">
        <f>IF(DADOS!E2117="","",DADOS!E2117)</f>
        <v/>
      </c>
      <c r="G2117" s="9" t="str">
        <f>IF(DADOS!F2117="","",DADOS!F2117)</f>
        <v/>
      </c>
      <c r="K2117" s="6" t="str">
        <f t="shared" si="170"/>
        <v/>
      </c>
      <c r="L2117" s="7" t="str">
        <f t="shared" si="171"/>
        <v/>
      </c>
      <c r="M2117" s="7" t="str">
        <f t="shared" si="168"/>
        <v/>
      </c>
      <c r="N2117" s="7" t="str">
        <f t="shared" si="172"/>
        <v/>
      </c>
      <c r="O2117" s="8"/>
      <c r="P2117" s="26"/>
      <c r="S2117" s="10" t="str">
        <f t="shared" si="169"/>
        <v/>
      </c>
    </row>
    <row r="2118" spans="5:19" x14ac:dyDescent="0.3">
      <c r="E2118" s="9" t="str">
        <f>IF(DADOS!C2118="","",DADOS!C2118)</f>
        <v/>
      </c>
      <c r="F2118" s="9" t="str">
        <f>IF(DADOS!E2118="","",DADOS!E2118)</f>
        <v/>
      </c>
      <c r="G2118" s="9" t="str">
        <f>IF(DADOS!F2118="","",DADOS!F2118)</f>
        <v/>
      </c>
      <c r="K2118" s="6" t="str">
        <f t="shared" si="170"/>
        <v/>
      </c>
      <c r="L2118" s="7" t="str">
        <f t="shared" si="171"/>
        <v/>
      </c>
      <c r="M2118" s="7" t="str">
        <f t="shared" si="168"/>
        <v/>
      </c>
      <c r="N2118" s="7" t="str">
        <f t="shared" si="172"/>
        <v/>
      </c>
      <c r="O2118" s="8"/>
      <c r="P2118" s="26"/>
      <c r="S2118" s="10" t="str">
        <f t="shared" si="169"/>
        <v/>
      </c>
    </row>
    <row r="2119" spans="5:19" x14ac:dyDescent="0.3">
      <c r="E2119" s="9" t="str">
        <f>IF(DADOS!C2119="","",DADOS!C2119)</f>
        <v/>
      </c>
      <c r="F2119" s="9" t="str">
        <f>IF(DADOS!E2119="","",DADOS!E2119)</f>
        <v/>
      </c>
      <c r="G2119" s="9" t="str">
        <f>IF(DADOS!F2119="","",DADOS!F2119)</f>
        <v/>
      </c>
      <c r="K2119" s="6" t="str">
        <f t="shared" si="170"/>
        <v/>
      </c>
      <c r="L2119" s="7" t="str">
        <f t="shared" si="171"/>
        <v/>
      </c>
      <c r="M2119" s="7" t="str">
        <f t="shared" si="168"/>
        <v/>
      </c>
      <c r="N2119" s="7" t="str">
        <f t="shared" si="172"/>
        <v/>
      </c>
      <c r="O2119" s="8"/>
      <c r="P2119" s="26"/>
      <c r="S2119" s="10" t="str">
        <f t="shared" si="169"/>
        <v/>
      </c>
    </row>
    <row r="2120" spans="5:19" x14ac:dyDescent="0.3">
      <c r="E2120" s="9" t="str">
        <f>IF(DADOS!C2120="","",DADOS!C2120)</f>
        <v/>
      </c>
      <c r="F2120" s="9" t="str">
        <f>IF(DADOS!E2120="","",DADOS!E2120)</f>
        <v/>
      </c>
      <c r="G2120" s="9" t="str">
        <f>IF(DADOS!F2120="","",DADOS!F2120)</f>
        <v/>
      </c>
      <c r="K2120" s="6" t="str">
        <f t="shared" si="170"/>
        <v/>
      </c>
      <c r="L2120" s="7" t="str">
        <f t="shared" si="171"/>
        <v/>
      </c>
      <c r="M2120" s="7" t="str">
        <f t="shared" si="168"/>
        <v/>
      </c>
      <c r="N2120" s="7" t="str">
        <f t="shared" si="172"/>
        <v/>
      </c>
      <c r="O2120" s="8"/>
      <c r="P2120" s="26"/>
      <c r="S2120" s="10" t="str">
        <f t="shared" si="169"/>
        <v/>
      </c>
    </row>
    <row r="2121" spans="5:19" x14ac:dyDescent="0.3">
      <c r="E2121" s="9" t="str">
        <f>IF(DADOS!C2121="","",DADOS!C2121)</f>
        <v/>
      </c>
      <c r="F2121" s="9" t="str">
        <f>IF(DADOS!E2121="","",DADOS!E2121)</f>
        <v/>
      </c>
      <c r="G2121" s="9" t="str">
        <f>IF(DADOS!F2121="","",DADOS!F2121)</f>
        <v/>
      </c>
      <c r="K2121" s="6" t="str">
        <f t="shared" si="170"/>
        <v/>
      </c>
      <c r="L2121" s="7" t="str">
        <f t="shared" si="171"/>
        <v/>
      </c>
      <c r="M2121" s="7" t="str">
        <f t="shared" si="168"/>
        <v/>
      </c>
      <c r="N2121" s="7" t="str">
        <f t="shared" si="172"/>
        <v/>
      </c>
      <c r="O2121" s="8"/>
      <c r="P2121" s="26"/>
      <c r="S2121" s="10" t="str">
        <f t="shared" si="169"/>
        <v/>
      </c>
    </row>
    <row r="2122" spans="5:19" x14ac:dyDescent="0.3">
      <c r="E2122" s="9" t="str">
        <f>IF(DADOS!C2122="","",DADOS!C2122)</f>
        <v/>
      </c>
      <c r="F2122" s="9" t="str">
        <f>IF(DADOS!E2122="","",DADOS!E2122)</f>
        <v/>
      </c>
      <c r="G2122" s="9" t="str">
        <f>IF(DADOS!F2122="","",DADOS!F2122)</f>
        <v/>
      </c>
      <c r="K2122" s="6" t="str">
        <f t="shared" si="170"/>
        <v/>
      </c>
      <c r="L2122" s="7" t="str">
        <f t="shared" si="171"/>
        <v/>
      </c>
      <c r="M2122" s="7" t="str">
        <f t="shared" si="168"/>
        <v/>
      </c>
      <c r="N2122" s="7" t="str">
        <f t="shared" si="172"/>
        <v/>
      </c>
      <c r="O2122" s="8"/>
      <c r="P2122" s="26"/>
      <c r="S2122" s="10" t="str">
        <f t="shared" si="169"/>
        <v/>
      </c>
    </row>
    <row r="2123" spans="5:19" x14ac:dyDescent="0.3">
      <c r="E2123" s="9" t="str">
        <f>IF(DADOS!C2123="","",DADOS!C2123)</f>
        <v/>
      </c>
      <c r="F2123" s="9" t="str">
        <f>IF(DADOS!E2123="","",DADOS!E2123)</f>
        <v/>
      </c>
      <c r="G2123" s="9" t="str">
        <f>IF(DADOS!F2123="","",DADOS!F2123)</f>
        <v/>
      </c>
      <c r="K2123" s="6" t="str">
        <f t="shared" si="170"/>
        <v/>
      </c>
      <c r="L2123" s="7" t="str">
        <f t="shared" si="171"/>
        <v/>
      </c>
      <c r="M2123" s="7" t="str">
        <f t="shared" si="168"/>
        <v/>
      </c>
      <c r="N2123" s="7" t="str">
        <f t="shared" si="172"/>
        <v/>
      </c>
      <c r="O2123" s="8"/>
      <c r="P2123" s="26"/>
      <c r="S2123" s="10" t="str">
        <f t="shared" si="169"/>
        <v/>
      </c>
    </row>
    <row r="2124" spans="5:19" x14ac:dyDescent="0.3">
      <c r="E2124" s="9" t="str">
        <f>IF(DADOS!C2124="","",DADOS!C2124)</f>
        <v/>
      </c>
      <c r="F2124" s="9" t="str">
        <f>IF(DADOS!E2124="","",DADOS!E2124)</f>
        <v/>
      </c>
      <c r="G2124" s="9" t="str">
        <f>IF(DADOS!F2124="","",DADOS!F2124)</f>
        <v/>
      </c>
      <c r="K2124" s="6" t="str">
        <f t="shared" si="170"/>
        <v/>
      </c>
      <c r="L2124" s="7" t="str">
        <f t="shared" si="171"/>
        <v/>
      </c>
      <c r="M2124" s="7" t="str">
        <f t="shared" si="168"/>
        <v/>
      </c>
      <c r="N2124" s="7" t="str">
        <f t="shared" si="172"/>
        <v/>
      </c>
      <c r="O2124" s="8"/>
      <c r="P2124" s="26"/>
      <c r="S2124" s="10" t="str">
        <f t="shared" si="169"/>
        <v/>
      </c>
    </row>
    <row r="2125" spans="5:19" x14ac:dyDescent="0.3">
      <c r="E2125" s="9" t="str">
        <f>IF(DADOS!C2125="","",DADOS!C2125)</f>
        <v/>
      </c>
      <c r="F2125" s="9" t="str">
        <f>IF(DADOS!E2125="","",DADOS!E2125)</f>
        <v/>
      </c>
      <c r="G2125" s="9" t="str">
        <f>IF(DADOS!F2125="","",DADOS!F2125)</f>
        <v/>
      </c>
      <c r="K2125" s="6" t="str">
        <f t="shared" si="170"/>
        <v/>
      </c>
      <c r="L2125" s="7" t="str">
        <f t="shared" si="171"/>
        <v/>
      </c>
      <c r="M2125" s="7" t="str">
        <f t="shared" si="168"/>
        <v/>
      </c>
      <c r="N2125" s="7" t="str">
        <f t="shared" si="172"/>
        <v/>
      </c>
      <c r="O2125" s="8"/>
      <c r="P2125" s="26"/>
      <c r="S2125" s="10" t="str">
        <f t="shared" si="169"/>
        <v/>
      </c>
    </row>
    <row r="2126" spans="5:19" x14ac:dyDescent="0.3">
      <c r="E2126" s="9" t="str">
        <f>IF(DADOS!C2126="","",DADOS!C2126)</f>
        <v/>
      </c>
      <c r="F2126" s="9" t="str">
        <f>IF(DADOS!E2126="","",DADOS!E2126)</f>
        <v/>
      </c>
      <c r="G2126" s="9" t="str">
        <f>IF(DADOS!F2126="","",DADOS!F2126)</f>
        <v/>
      </c>
      <c r="K2126" s="6" t="str">
        <f t="shared" si="170"/>
        <v/>
      </c>
      <c r="L2126" s="7" t="str">
        <f t="shared" si="171"/>
        <v/>
      </c>
      <c r="M2126" s="7" t="str">
        <f t="shared" si="168"/>
        <v/>
      </c>
      <c r="N2126" s="7" t="str">
        <f t="shared" si="172"/>
        <v/>
      </c>
      <c r="O2126" s="8"/>
      <c r="P2126" s="26"/>
      <c r="S2126" s="10" t="str">
        <f t="shared" si="169"/>
        <v/>
      </c>
    </row>
    <row r="2127" spans="5:19" x14ac:dyDescent="0.3">
      <c r="E2127" s="9" t="str">
        <f>IF(DADOS!C2127="","",DADOS!C2127)</f>
        <v/>
      </c>
      <c r="F2127" s="9" t="str">
        <f>IF(DADOS!E2127="","",DADOS!E2127)</f>
        <v/>
      </c>
      <c r="G2127" s="9" t="str">
        <f>IF(DADOS!F2127="","",DADOS!F2127)</f>
        <v/>
      </c>
      <c r="K2127" s="6" t="str">
        <f t="shared" si="170"/>
        <v/>
      </c>
      <c r="L2127" s="7" t="str">
        <f t="shared" si="171"/>
        <v/>
      </c>
      <c r="M2127" s="7" t="str">
        <f t="shared" si="168"/>
        <v/>
      </c>
      <c r="N2127" s="7" t="str">
        <f t="shared" si="172"/>
        <v/>
      </c>
      <c r="O2127" s="8"/>
      <c r="P2127" s="26"/>
      <c r="S2127" s="10" t="str">
        <f t="shared" si="169"/>
        <v/>
      </c>
    </row>
    <row r="2128" spans="5:19" x14ac:dyDescent="0.3">
      <c r="E2128" s="9" t="str">
        <f>IF(DADOS!C2128="","",DADOS!C2128)</f>
        <v/>
      </c>
      <c r="F2128" s="9" t="str">
        <f>IF(DADOS!E2128="","",DADOS!E2128)</f>
        <v/>
      </c>
      <c r="G2128" s="9" t="str">
        <f>IF(DADOS!F2128="","",DADOS!F2128)</f>
        <v/>
      </c>
      <c r="K2128" s="6" t="str">
        <f t="shared" si="170"/>
        <v/>
      </c>
      <c r="L2128" s="7" t="str">
        <f t="shared" si="171"/>
        <v/>
      </c>
      <c r="M2128" s="7" t="str">
        <f t="shared" si="168"/>
        <v/>
      </c>
      <c r="N2128" s="7" t="str">
        <f t="shared" si="172"/>
        <v/>
      </c>
      <c r="O2128" s="8"/>
      <c r="P2128" s="26"/>
      <c r="S2128" s="10" t="str">
        <f t="shared" si="169"/>
        <v/>
      </c>
    </row>
    <row r="2129" spans="5:19" x14ac:dyDescent="0.3">
      <c r="E2129" s="9" t="str">
        <f>IF(DADOS!C2129="","",DADOS!C2129)</f>
        <v/>
      </c>
      <c r="F2129" s="9" t="str">
        <f>IF(DADOS!E2129="","",DADOS!E2129)</f>
        <v/>
      </c>
      <c r="G2129" s="9" t="str">
        <f>IF(DADOS!F2129="","",DADOS!F2129)</f>
        <v/>
      </c>
      <c r="K2129" s="6" t="str">
        <f t="shared" si="170"/>
        <v/>
      </c>
      <c r="L2129" s="7" t="str">
        <f t="shared" si="171"/>
        <v/>
      </c>
      <c r="M2129" s="7" t="str">
        <f t="shared" si="168"/>
        <v/>
      </c>
      <c r="N2129" s="7" t="str">
        <f t="shared" si="172"/>
        <v/>
      </c>
      <c r="O2129" s="8"/>
      <c r="P2129" s="26"/>
      <c r="S2129" s="10" t="str">
        <f t="shared" si="169"/>
        <v/>
      </c>
    </row>
    <row r="2130" spans="5:19" x14ac:dyDescent="0.3">
      <c r="E2130" s="9" t="str">
        <f>IF(DADOS!C2130="","",DADOS!C2130)</f>
        <v/>
      </c>
      <c r="F2130" s="9" t="str">
        <f>IF(DADOS!E2130="","",DADOS!E2130)</f>
        <v/>
      </c>
      <c r="G2130" s="9" t="str">
        <f>IF(DADOS!F2130="","",DADOS!F2130)</f>
        <v/>
      </c>
      <c r="K2130" s="6" t="str">
        <f t="shared" si="170"/>
        <v/>
      </c>
      <c r="L2130" s="7" t="str">
        <f t="shared" si="171"/>
        <v/>
      </c>
      <c r="M2130" s="7" t="str">
        <f t="shared" si="168"/>
        <v/>
      </c>
      <c r="N2130" s="7" t="str">
        <f t="shared" si="172"/>
        <v/>
      </c>
      <c r="O2130" s="8"/>
      <c r="P2130" s="26"/>
      <c r="S2130" s="10" t="str">
        <f t="shared" si="169"/>
        <v/>
      </c>
    </row>
    <row r="2131" spans="5:19" x14ac:dyDescent="0.3">
      <c r="E2131" s="9" t="str">
        <f>IF(DADOS!C2131="","",DADOS!C2131)</f>
        <v/>
      </c>
      <c r="F2131" s="9" t="str">
        <f>IF(DADOS!E2131="","",DADOS!E2131)</f>
        <v/>
      </c>
      <c r="G2131" s="9" t="str">
        <f>IF(DADOS!F2131="","",DADOS!F2131)</f>
        <v/>
      </c>
      <c r="K2131" s="6" t="str">
        <f t="shared" si="170"/>
        <v/>
      </c>
      <c r="L2131" s="7" t="str">
        <f t="shared" si="171"/>
        <v/>
      </c>
      <c r="M2131" s="7" t="str">
        <f t="shared" si="168"/>
        <v/>
      </c>
      <c r="N2131" s="7" t="str">
        <f t="shared" si="172"/>
        <v/>
      </c>
      <c r="O2131" s="8"/>
      <c r="P2131" s="26"/>
      <c r="S2131" s="10" t="str">
        <f t="shared" si="169"/>
        <v/>
      </c>
    </row>
    <row r="2132" spans="5:19" x14ac:dyDescent="0.3">
      <c r="E2132" s="9" t="str">
        <f>IF(DADOS!C2132="","",DADOS!C2132)</f>
        <v/>
      </c>
      <c r="F2132" s="9" t="str">
        <f>IF(DADOS!E2132="","",DADOS!E2132)</f>
        <v/>
      </c>
      <c r="G2132" s="9" t="str">
        <f>IF(DADOS!F2132="","",DADOS!F2132)</f>
        <v/>
      </c>
      <c r="K2132" s="6" t="str">
        <f t="shared" si="170"/>
        <v/>
      </c>
      <c r="L2132" s="7" t="str">
        <f t="shared" si="171"/>
        <v/>
      </c>
      <c r="M2132" s="7" t="str">
        <f t="shared" si="168"/>
        <v/>
      </c>
      <c r="N2132" s="7" t="str">
        <f t="shared" si="172"/>
        <v/>
      </c>
      <c r="O2132" s="8"/>
      <c r="P2132" s="26"/>
      <c r="S2132" s="10" t="str">
        <f t="shared" si="169"/>
        <v/>
      </c>
    </row>
    <row r="2133" spans="5:19" x14ac:dyDescent="0.3">
      <c r="E2133" s="9" t="str">
        <f>IF(DADOS!C2133="","",DADOS!C2133)</f>
        <v/>
      </c>
      <c r="F2133" s="9" t="str">
        <f>IF(DADOS!E2133="","",DADOS!E2133)</f>
        <v/>
      </c>
      <c r="G2133" s="9" t="str">
        <f>IF(DADOS!F2133="","",DADOS!F2133)</f>
        <v/>
      </c>
      <c r="K2133" s="6" t="str">
        <f t="shared" si="170"/>
        <v/>
      </c>
      <c r="L2133" s="7" t="str">
        <f t="shared" si="171"/>
        <v/>
      </c>
      <c r="M2133" s="7" t="str">
        <f t="shared" si="168"/>
        <v/>
      </c>
      <c r="N2133" s="7" t="str">
        <f t="shared" si="172"/>
        <v/>
      </c>
      <c r="O2133" s="8"/>
      <c r="P2133" s="26"/>
      <c r="S2133" s="10" t="str">
        <f t="shared" si="169"/>
        <v/>
      </c>
    </row>
    <row r="2134" spans="5:19" x14ac:dyDescent="0.3">
      <c r="E2134" s="9" t="str">
        <f>IF(DADOS!C2134="","",DADOS!C2134)</f>
        <v/>
      </c>
      <c r="F2134" s="9" t="str">
        <f>IF(DADOS!E2134="","",DADOS!E2134)</f>
        <v/>
      </c>
      <c r="G2134" s="9" t="str">
        <f>IF(DADOS!F2134="","",DADOS!F2134)</f>
        <v/>
      </c>
      <c r="K2134" s="6" t="str">
        <f t="shared" si="170"/>
        <v/>
      </c>
      <c r="L2134" s="7" t="str">
        <f t="shared" si="171"/>
        <v/>
      </c>
      <c r="M2134" s="7" t="str">
        <f t="shared" si="168"/>
        <v/>
      </c>
      <c r="N2134" s="7" t="str">
        <f t="shared" si="172"/>
        <v/>
      </c>
      <c r="O2134" s="8"/>
      <c r="P2134" s="26"/>
      <c r="S2134" s="10" t="str">
        <f t="shared" si="169"/>
        <v/>
      </c>
    </row>
    <row r="2135" spans="5:19" x14ac:dyDescent="0.3">
      <c r="E2135" s="9" t="str">
        <f>IF(DADOS!C2135="","",DADOS!C2135)</f>
        <v/>
      </c>
      <c r="F2135" s="9" t="str">
        <f>IF(DADOS!E2135="","",DADOS!E2135)</f>
        <v/>
      </c>
      <c r="G2135" s="9" t="str">
        <f>IF(DADOS!F2135="","",DADOS!F2135)</f>
        <v/>
      </c>
      <c r="K2135" s="6" t="str">
        <f t="shared" si="170"/>
        <v/>
      </c>
      <c r="L2135" s="7" t="str">
        <f t="shared" si="171"/>
        <v/>
      </c>
      <c r="M2135" s="7" t="str">
        <f t="shared" si="168"/>
        <v/>
      </c>
      <c r="N2135" s="7" t="str">
        <f t="shared" si="172"/>
        <v/>
      </c>
      <c r="O2135" s="8"/>
      <c r="P2135" s="26"/>
      <c r="S2135" s="10" t="str">
        <f t="shared" si="169"/>
        <v/>
      </c>
    </row>
    <row r="2136" spans="5:19" x14ac:dyDescent="0.3">
      <c r="E2136" s="9" t="str">
        <f>IF(DADOS!C2136="","",DADOS!C2136)</f>
        <v/>
      </c>
      <c r="F2136" s="9" t="str">
        <f>IF(DADOS!E2136="","",DADOS!E2136)</f>
        <v/>
      </c>
      <c r="G2136" s="9" t="str">
        <f>IF(DADOS!F2136="","",DADOS!F2136)</f>
        <v/>
      </c>
      <c r="K2136" s="6" t="str">
        <f t="shared" si="170"/>
        <v/>
      </c>
      <c r="L2136" s="7" t="str">
        <f t="shared" si="171"/>
        <v/>
      </c>
      <c r="M2136" s="7" t="str">
        <f t="shared" si="168"/>
        <v/>
      </c>
      <c r="N2136" s="7" t="str">
        <f t="shared" si="172"/>
        <v/>
      </c>
      <c r="O2136" s="8"/>
      <c r="P2136" s="26"/>
      <c r="S2136" s="10" t="str">
        <f t="shared" si="169"/>
        <v/>
      </c>
    </row>
    <row r="2137" spans="5:19" x14ac:dyDescent="0.3">
      <c r="E2137" s="9" t="str">
        <f>IF(DADOS!C2137="","",DADOS!C2137)</f>
        <v/>
      </c>
      <c r="F2137" s="9" t="str">
        <f>IF(DADOS!E2137="","",DADOS!E2137)</f>
        <v/>
      </c>
      <c r="G2137" s="9" t="str">
        <f>IF(DADOS!F2137="","",DADOS!F2137)</f>
        <v/>
      </c>
      <c r="K2137" s="6" t="str">
        <f t="shared" si="170"/>
        <v/>
      </c>
      <c r="L2137" s="7" t="str">
        <f t="shared" si="171"/>
        <v/>
      </c>
      <c r="M2137" s="7" t="str">
        <f t="shared" si="168"/>
        <v/>
      </c>
      <c r="N2137" s="7" t="str">
        <f t="shared" si="172"/>
        <v/>
      </c>
      <c r="O2137" s="8"/>
      <c r="P2137" s="26"/>
      <c r="S2137" s="10" t="str">
        <f t="shared" si="169"/>
        <v/>
      </c>
    </row>
    <row r="2138" spans="5:19" x14ac:dyDescent="0.3">
      <c r="E2138" s="9" t="str">
        <f>IF(DADOS!C2138="","",DADOS!C2138)</f>
        <v/>
      </c>
      <c r="F2138" s="9" t="str">
        <f>IF(DADOS!E2138="","",DADOS!E2138)</f>
        <v/>
      </c>
      <c r="G2138" s="9" t="str">
        <f>IF(DADOS!F2138="","",DADOS!F2138)</f>
        <v/>
      </c>
      <c r="K2138" s="6" t="str">
        <f t="shared" si="170"/>
        <v/>
      </c>
      <c r="L2138" s="7" t="str">
        <f t="shared" si="171"/>
        <v/>
      </c>
      <c r="M2138" s="7" t="str">
        <f t="shared" si="168"/>
        <v/>
      </c>
      <c r="N2138" s="7" t="str">
        <f t="shared" si="172"/>
        <v/>
      </c>
      <c r="O2138" s="8"/>
      <c r="P2138" s="26"/>
      <c r="S2138" s="10" t="str">
        <f t="shared" si="169"/>
        <v/>
      </c>
    </row>
    <row r="2139" spans="5:19" x14ac:dyDescent="0.3">
      <c r="E2139" s="9" t="str">
        <f>IF(DADOS!C2139="","",DADOS!C2139)</f>
        <v/>
      </c>
      <c r="F2139" s="9" t="str">
        <f>IF(DADOS!E2139="","",DADOS!E2139)</f>
        <v/>
      </c>
      <c r="G2139" s="9" t="str">
        <f>IF(DADOS!F2139="","",DADOS!F2139)</f>
        <v/>
      </c>
      <c r="K2139" s="6" t="str">
        <f t="shared" si="170"/>
        <v/>
      </c>
      <c r="L2139" s="7" t="str">
        <f t="shared" si="171"/>
        <v/>
      </c>
      <c r="M2139" s="7" t="str">
        <f t="shared" si="168"/>
        <v/>
      </c>
      <c r="N2139" s="7" t="str">
        <f t="shared" si="172"/>
        <v/>
      </c>
      <c r="O2139" s="8"/>
      <c r="P2139" s="26"/>
      <c r="S2139" s="10" t="str">
        <f t="shared" si="169"/>
        <v/>
      </c>
    </row>
    <row r="2140" spans="5:19" x14ac:dyDescent="0.3">
      <c r="E2140" s="9" t="str">
        <f>IF(DADOS!C2140="","",DADOS!C2140)</f>
        <v/>
      </c>
      <c r="F2140" s="9" t="str">
        <f>IF(DADOS!E2140="","",DADOS!E2140)</f>
        <v/>
      </c>
      <c r="G2140" s="9" t="str">
        <f>IF(DADOS!F2140="","",DADOS!F2140)</f>
        <v/>
      </c>
      <c r="K2140" s="6" t="str">
        <f t="shared" si="170"/>
        <v/>
      </c>
      <c r="L2140" s="7" t="str">
        <f t="shared" si="171"/>
        <v/>
      </c>
      <c r="M2140" s="7" t="str">
        <f t="shared" si="168"/>
        <v/>
      </c>
      <c r="N2140" s="7" t="str">
        <f t="shared" si="172"/>
        <v/>
      </c>
      <c r="O2140" s="8"/>
      <c r="P2140" s="26"/>
      <c r="S2140" s="10" t="str">
        <f t="shared" si="169"/>
        <v/>
      </c>
    </row>
    <row r="2141" spans="5:19" x14ac:dyDescent="0.3">
      <c r="E2141" s="9" t="str">
        <f>IF(DADOS!C2141="","",DADOS!C2141)</f>
        <v/>
      </c>
      <c r="F2141" s="9" t="str">
        <f>IF(DADOS!E2141="","",DADOS!E2141)</f>
        <v/>
      </c>
      <c r="G2141" s="9" t="str">
        <f>IF(DADOS!F2141="","",DADOS!F2141)</f>
        <v/>
      </c>
      <c r="K2141" s="6" t="str">
        <f t="shared" si="170"/>
        <v/>
      </c>
      <c r="L2141" s="7" t="str">
        <f t="shared" si="171"/>
        <v/>
      </c>
      <c r="M2141" s="7" t="str">
        <f t="shared" si="168"/>
        <v/>
      </c>
      <c r="N2141" s="7" t="str">
        <f t="shared" si="172"/>
        <v/>
      </c>
      <c r="O2141" s="8"/>
      <c r="P2141" s="26"/>
      <c r="S2141" s="10" t="str">
        <f t="shared" si="169"/>
        <v/>
      </c>
    </row>
    <row r="2142" spans="5:19" x14ac:dyDescent="0.3">
      <c r="E2142" s="9" t="str">
        <f>IF(DADOS!C2142="","",DADOS!C2142)</f>
        <v/>
      </c>
      <c r="F2142" s="9" t="str">
        <f>IF(DADOS!E2142="","",DADOS!E2142)</f>
        <v/>
      </c>
      <c r="G2142" s="9" t="str">
        <f>IF(DADOS!F2142="","",DADOS!F2142)</f>
        <v/>
      </c>
      <c r="K2142" s="6" t="str">
        <f t="shared" si="170"/>
        <v/>
      </c>
      <c r="L2142" s="7" t="str">
        <f t="shared" si="171"/>
        <v/>
      </c>
      <c r="M2142" s="7" t="str">
        <f t="shared" si="168"/>
        <v/>
      </c>
      <c r="N2142" s="7" t="str">
        <f t="shared" si="172"/>
        <v/>
      </c>
      <c r="O2142" s="8"/>
      <c r="P2142" s="26"/>
      <c r="S2142" s="10" t="str">
        <f t="shared" si="169"/>
        <v/>
      </c>
    </row>
    <row r="2143" spans="5:19" x14ac:dyDescent="0.3">
      <c r="E2143" s="9" t="str">
        <f>IF(DADOS!C2143="","",DADOS!C2143)</f>
        <v/>
      </c>
      <c r="F2143" s="9" t="str">
        <f>IF(DADOS!E2143="","",DADOS!E2143)</f>
        <v/>
      </c>
      <c r="G2143" s="9" t="str">
        <f>IF(DADOS!F2143="","",DADOS!F2143)</f>
        <v/>
      </c>
      <c r="K2143" s="6" t="str">
        <f t="shared" si="170"/>
        <v/>
      </c>
      <c r="L2143" s="7" t="str">
        <f t="shared" si="171"/>
        <v/>
      </c>
      <c r="M2143" s="7" t="str">
        <f t="shared" si="168"/>
        <v/>
      </c>
      <c r="N2143" s="7" t="str">
        <f t="shared" si="172"/>
        <v/>
      </c>
      <c r="O2143" s="8"/>
      <c r="P2143" s="26"/>
      <c r="S2143" s="10" t="str">
        <f t="shared" si="169"/>
        <v/>
      </c>
    </row>
    <row r="2144" spans="5:19" x14ac:dyDescent="0.3">
      <c r="E2144" s="9" t="str">
        <f>IF(DADOS!C2144="","",DADOS!C2144)</f>
        <v/>
      </c>
      <c r="F2144" s="9" t="str">
        <f>IF(DADOS!E2144="","",DADOS!E2144)</f>
        <v/>
      </c>
      <c r="G2144" s="9" t="str">
        <f>IF(DADOS!F2144="","",DADOS!F2144)</f>
        <v/>
      </c>
      <c r="K2144" s="6" t="str">
        <f t="shared" si="170"/>
        <v/>
      </c>
      <c r="L2144" s="7" t="str">
        <f t="shared" si="171"/>
        <v/>
      </c>
      <c r="M2144" s="7" t="str">
        <f t="shared" si="168"/>
        <v/>
      </c>
      <c r="N2144" s="7" t="str">
        <f t="shared" si="172"/>
        <v/>
      </c>
      <c r="O2144" s="8"/>
      <c r="P2144" s="26"/>
      <c r="S2144" s="10" t="str">
        <f t="shared" si="169"/>
        <v/>
      </c>
    </row>
    <row r="2145" spans="5:19" x14ac:dyDescent="0.3">
      <c r="E2145" s="9" t="str">
        <f>IF(DADOS!C2145="","",DADOS!C2145)</f>
        <v/>
      </c>
      <c r="F2145" s="9" t="str">
        <f>IF(DADOS!E2145="","",DADOS!E2145)</f>
        <v/>
      </c>
      <c r="G2145" s="9" t="str">
        <f>IF(DADOS!F2145="","",DADOS!F2145)</f>
        <v/>
      </c>
      <c r="K2145" s="6" t="str">
        <f t="shared" si="170"/>
        <v/>
      </c>
      <c r="L2145" s="7" t="str">
        <f t="shared" si="171"/>
        <v/>
      </c>
      <c r="M2145" s="7" t="str">
        <f t="shared" si="168"/>
        <v/>
      </c>
      <c r="N2145" s="7" t="str">
        <f t="shared" si="172"/>
        <v/>
      </c>
      <c r="O2145" s="8"/>
      <c r="P2145" s="26"/>
      <c r="S2145" s="10" t="str">
        <f t="shared" si="169"/>
        <v/>
      </c>
    </row>
    <row r="2146" spans="5:19" x14ac:dyDescent="0.3">
      <c r="E2146" s="9" t="str">
        <f>IF(DADOS!C2146="","",DADOS!C2146)</f>
        <v/>
      </c>
      <c r="F2146" s="9" t="str">
        <f>IF(DADOS!E2146="","",DADOS!E2146)</f>
        <v/>
      </c>
      <c r="G2146" s="9" t="str">
        <f>IF(DADOS!F2146="","",DADOS!F2146)</f>
        <v/>
      </c>
      <c r="K2146" s="6" t="str">
        <f t="shared" si="170"/>
        <v/>
      </c>
      <c r="L2146" s="7" t="str">
        <f t="shared" si="171"/>
        <v/>
      </c>
      <c r="M2146" s="7" t="str">
        <f t="shared" si="168"/>
        <v/>
      </c>
      <c r="N2146" s="7" t="str">
        <f t="shared" si="172"/>
        <v/>
      </c>
      <c r="O2146" s="8"/>
      <c r="P2146" s="26"/>
      <c r="S2146" s="10" t="str">
        <f t="shared" si="169"/>
        <v/>
      </c>
    </row>
    <row r="2147" spans="5:19" x14ac:dyDescent="0.3">
      <c r="E2147" s="9" t="str">
        <f>IF(DADOS!C2147="","",DADOS!C2147)</f>
        <v/>
      </c>
      <c r="F2147" s="9" t="str">
        <f>IF(DADOS!E2147="","",DADOS!E2147)</f>
        <v/>
      </c>
      <c r="G2147" s="9" t="str">
        <f>IF(DADOS!F2147="","",DADOS!F2147)</f>
        <v/>
      </c>
      <c r="K2147" s="6" t="str">
        <f t="shared" si="170"/>
        <v/>
      </c>
      <c r="L2147" s="7" t="str">
        <f t="shared" si="171"/>
        <v/>
      </c>
      <c r="M2147" s="7" t="str">
        <f t="shared" si="168"/>
        <v/>
      </c>
      <c r="N2147" s="7" t="str">
        <f t="shared" si="172"/>
        <v/>
      </c>
      <c r="O2147" s="8"/>
      <c r="P2147" s="26"/>
      <c r="S2147" s="10" t="str">
        <f t="shared" si="169"/>
        <v/>
      </c>
    </row>
    <row r="2148" spans="5:19" x14ac:dyDescent="0.3">
      <c r="E2148" s="9" t="str">
        <f>IF(DADOS!C2148="","",DADOS!C2148)</f>
        <v/>
      </c>
      <c r="F2148" s="9" t="str">
        <f>IF(DADOS!E2148="","",DADOS!E2148)</f>
        <v/>
      </c>
      <c r="G2148" s="9" t="str">
        <f>IF(DADOS!F2148="","",DADOS!F2148)</f>
        <v/>
      </c>
      <c r="K2148" s="6" t="str">
        <f t="shared" si="170"/>
        <v/>
      </c>
      <c r="L2148" s="7" t="str">
        <f t="shared" si="171"/>
        <v/>
      </c>
      <c r="M2148" s="7" t="str">
        <f t="shared" si="168"/>
        <v/>
      </c>
      <c r="N2148" s="7" t="str">
        <f t="shared" si="172"/>
        <v/>
      </c>
      <c r="O2148" s="8"/>
      <c r="P2148" s="26"/>
      <c r="S2148" s="10" t="str">
        <f t="shared" si="169"/>
        <v/>
      </c>
    </row>
    <row r="2149" spans="5:19" x14ac:dyDescent="0.3">
      <c r="E2149" s="9" t="str">
        <f>IF(DADOS!C2149="","",DADOS!C2149)</f>
        <v/>
      </c>
      <c r="F2149" s="9" t="str">
        <f>IF(DADOS!E2149="","",DADOS!E2149)</f>
        <v/>
      </c>
      <c r="G2149" s="9" t="str">
        <f>IF(DADOS!F2149="","",DADOS!F2149)</f>
        <v/>
      </c>
      <c r="K2149" s="6" t="str">
        <f t="shared" si="170"/>
        <v/>
      </c>
      <c r="L2149" s="7" t="str">
        <f t="shared" si="171"/>
        <v/>
      </c>
      <c r="M2149" s="7" t="str">
        <f t="shared" si="168"/>
        <v/>
      </c>
      <c r="N2149" s="7" t="str">
        <f t="shared" si="172"/>
        <v/>
      </c>
      <c r="O2149" s="8"/>
      <c r="P2149" s="26"/>
      <c r="S2149" s="10" t="str">
        <f t="shared" si="169"/>
        <v/>
      </c>
    </row>
    <row r="2150" spans="5:19" x14ac:dyDescent="0.3">
      <c r="E2150" s="9" t="str">
        <f>IF(DADOS!C2150="","",DADOS!C2150)</f>
        <v/>
      </c>
      <c r="F2150" s="9" t="str">
        <f>IF(DADOS!E2150="","",DADOS!E2150)</f>
        <v/>
      </c>
      <c r="G2150" s="9" t="str">
        <f>IF(DADOS!F2150="","",DADOS!F2150)</f>
        <v/>
      </c>
      <c r="K2150" s="6" t="str">
        <f t="shared" si="170"/>
        <v/>
      </c>
      <c r="L2150" s="7" t="str">
        <f t="shared" si="171"/>
        <v/>
      </c>
      <c r="M2150" s="7" t="str">
        <f t="shared" si="168"/>
        <v/>
      </c>
      <c r="N2150" s="7" t="str">
        <f t="shared" si="172"/>
        <v/>
      </c>
      <c r="O2150" s="8"/>
      <c r="P2150" s="26"/>
      <c r="S2150" s="10" t="str">
        <f t="shared" si="169"/>
        <v/>
      </c>
    </row>
    <row r="2151" spans="5:19" x14ac:dyDescent="0.3">
      <c r="E2151" s="9" t="str">
        <f>IF(DADOS!C2151="","",DADOS!C2151)</f>
        <v/>
      </c>
      <c r="F2151" s="9" t="str">
        <f>IF(DADOS!E2151="","",DADOS!E2151)</f>
        <v/>
      </c>
      <c r="G2151" s="9" t="str">
        <f>IF(DADOS!F2151="","",DADOS!F2151)</f>
        <v/>
      </c>
      <c r="K2151" s="6" t="str">
        <f t="shared" si="170"/>
        <v/>
      </c>
      <c r="L2151" s="7" t="str">
        <f t="shared" si="171"/>
        <v/>
      </c>
      <c r="M2151" s="7" t="str">
        <f t="shared" si="168"/>
        <v/>
      </c>
      <c r="N2151" s="7" t="str">
        <f t="shared" si="172"/>
        <v/>
      </c>
      <c r="O2151" s="8"/>
      <c r="P2151" s="26"/>
      <c r="S2151" s="10" t="str">
        <f t="shared" si="169"/>
        <v/>
      </c>
    </row>
    <row r="2152" spans="5:19" x14ac:dyDescent="0.3">
      <c r="E2152" s="9" t="str">
        <f>IF(DADOS!C2152="","",DADOS!C2152)</f>
        <v/>
      </c>
      <c r="F2152" s="9" t="str">
        <f>IF(DADOS!E2152="","",DADOS!E2152)</f>
        <v/>
      </c>
      <c r="G2152" s="9" t="str">
        <f>IF(DADOS!F2152="","",DADOS!F2152)</f>
        <v/>
      </c>
      <c r="K2152" s="6" t="str">
        <f t="shared" si="170"/>
        <v/>
      </c>
      <c r="L2152" s="7" t="str">
        <f t="shared" si="171"/>
        <v/>
      </c>
      <c r="M2152" s="7" t="str">
        <f t="shared" si="168"/>
        <v/>
      </c>
      <c r="N2152" s="7" t="str">
        <f t="shared" si="172"/>
        <v/>
      </c>
      <c r="O2152" s="8"/>
      <c r="P2152" s="26"/>
      <c r="S2152" s="10" t="str">
        <f t="shared" si="169"/>
        <v/>
      </c>
    </row>
    <row r="2153" spans="5:19" x14ac:dyDescent="0.3">
      <c r="E2153" s="9" t="str">
        <f>IF(DADOS!C2153="","",DADOS!C2153)</f>
        <v/>
      </c>
      <c r="F2153" s="9" t="str">
        <f>IF(DADOS!E2153="","",DADOS!E2153)</f>
        <v/>
      </c>
      <c r="G2153" s="9" t="str">
        <f>IF(DADOS!F2153="","",DADOS!F2153)</f>
        <v/>
      </c>
      <c r="K2153" s="6" t="str">
        <f t="shared" si="170"/>
        <v/>
      </c>
      <c r="L2153" s="7" t="str">
        <f t="shared" si="171"/>
        <v/>
      </c>
      <c r="M2153" s="7" t="str">
        <f t="shared" si="168"/>
        <v/>
      </c>
      <c r="N2153" s="7" t="str">
        <f t="shared" si="172"/>
        <v/>
      </c>
      <c r="O2153" s="8"/>
      <c r="P2153" s="26"/>
      <c r="S2153" s="10" t="str">
        <f t="shared" si="169"/>
        <v/>
      </c>
    </row>
    <row r="2154" spans="5:19" x14ac:dyDescent="0.3">
      <c r="E2154" s="9" t="str">
        <f>IF(DADOS!C2154="","",DADOS!C2154)</f>
        <v/>
      </c>
      <c r="F2154" s="9" t="str">
        <f>IF(DADOS!E2154="","",DADOS!E2154)</f>
        <v/>
      </c>
      <c r="G2154" s="9" t="str">
        <f>IF(DADOS!F2154="","",DADOS!F2154)</f>
        <v/>
      </c>
      <c r="K2154" s="6" t="str">
        <f t="shared" si="170"/>
        <v/>
      </c>
      <c r="L2154" s="7" t="str">
        <f t="shared" si="171"/>
        <v/>
      </c>
      <c r="M2154" s="7" t="str">
        <f t="shared" si="168"/>
        <v/>
      </c>
      <c r="N2154" s="7" t="str">
        <f t="shared" si="172"/>
        <v/>
      </c>
      <c r="O2154" s="8"/>
      <c r="P2154" s="26"/>
      <c r="S2154" s="10" t="str">
        <f t="shared" si="169"/>
        <v/>
      </c>
    </row>
    <row r="2155" spans="5:19" x14ac:dyDescent="0.3">
      <c r="E2155" s="9" t="str">
        <f>IF(DADOS!C2155="","",DADOS!C2155)</f>
        <v/>
      </c>
      <c r="F2155" s="9" t="str">
        <f>IF(DADOS!E2155="","",DADOS!E2155)</f>
        <v/>
      </c>
      <c r="G2155" s="9" t="str">
        <f>IF(DADOS!F2155="","",DADOS!F2155)</f>
        <v/>
      </c>
      <c r="K2155" s="6" t="str">
        <f t="shared" si="170"/>
        <v/>
      </c>
      <c r="L2155" s="7" t="str">
        <f t="shared" si="171"/>
        <v/>
      </c>
      <c r="M2155" s="7" t="str">
        <f t="shared" si="168"/>
        <v/>
      </c>
      <c r="N2155" s="7" t="str">
        <f t="shared" si="172"/>
        <v/>
      </c>
      <c r="O2155" s="8"/>
      <c r="P2155" s="26"/>
      <c r="S2155" s="10" t="str">
        <f t="shared" si="169"/>
        <v/>
      </c>
    </row>
    <row r="2156" spans="5:19" x14ac:dyDescent="0.3">
      <c r="E2156" s="9" t="str">
        <f>IF(DADOS!C2156="","",DADOS!C2156)</f>
        <v/>
      </c>
      <c r="F2156" s="9" t="str">
        <f>IF(DADOS!E2156="","",DADOS!E2156)</f>
        <v/>
      </c>
      <c r="G2156" s="9" t="str">
        <f>IF(DADOS!F2156="","",DADOS!F2156)</f>
        <v/>
      </c>
      <c r="K2156" s="6" t="str">
        <f t="shared" si="170"/>
        <v/>
      </c>
      <c r="L2156" s="7" t="str">
        <f t="shared" si="171"/>
        <v/>
      </c>
      <c r="M2156" s="7" t="str">
        <f t="shared" si="168"/>
        <v/>
      </c>
      <c r="N2156" s="7" t="str">
        <f t="shared" si="172"/>
        <v/>
      </c>
      <c r="O2156" s="8"/>
      <c r="P2156" s="26"/>
      <c r="S2156" s="10" t="str">
        <f t="shared" si="169"/>
        <v/>
      </c>
    </row>
    <row r="2157" spans="5:19" x14ac:dyDescent="0.3">
      <c r="E2157" s="9" t="str">
        <f>IF(DADOS!C2157="","",DADOS!C2157)</f>
        <v/>
      </c>
      <c r="F2157" s="9" t="str">
        <f>IF(DADOS!E2157="","",DADOS!E2157)</f>
        <v/>
      </c>
      <c r="G2157" s="9" t="str">
        <f>IF(DADOS!F2157="","",DADOS!F2157)</f>
        <v/>
      </c>
      <c r="K2157" s="6" t="str">
        <f t="shared" si="170"/>
        <v/>
      </c>
      <c r="L2157" s="7" t="str">
        <f t="shared" si="171"/>
        <v/>
      </c>
      <c r="M2157" s="7" t="str">
        <f t="shared" si="168"/>
        <v/>
      </c>
      <c r="N2157" s="7" t="str">
        <f t="shared" si="172"/>
        <v/>
      </c>
      <c r="O2157" s="8"/>
      <c r="P2157" s="26"/>
      <c r="S2157" s="10" t="str">
        <f t="shared" si="169"/>
        <v/>
      </c>
    </row>
    <row r="2158" spans="5:19" x14ac:dyDescent="0.3">
      <c r="E2158" s="9" t="str">
        <f>IF(DADOS!C2158="","",DADOS!C2158)</f>
        <v/>
      </c>
      <c r="F2158" s="9" t="str">
        <f>IF(DADOS!E2158="","",DADOS!E2158)</f>
        <v/>
      </c>
      <c r="G2158" s="9" t="str">
        <f>IF(DADOS!F2158="","",DADOS!F2158)</f>
        <v/>
      </c>
      <c r="K2158" s="6" t="str">
        <f t="shared" si="170"/>
        <v/>
      </c>
      <c r="L2158" s="7" t="str">
        <f t="shared" si="171"/>
        <v/>
      </c>
      <c r="M2158" s="7" t="str">
        <f t="shared" si="168"/>
        <v/>
      </c>
      <c r="N2158" s="7" t="str">
        <f t="shared" si="172"/>
        <v/>
      </c>
      <c r="O2158" s="8"/>
      <c r="P2158" s="26"/>
      <c r="S2158" s="10" t="str">
        <f t="shared" si="169"/>
        <v/>
      </c>
    </row>
    <row r="2159" spans="5:19" x14ac:dyDescent="0.3">
      <c r="E2159" s="9" t="str">
        <f>IF(DADOS!C2159="","",DADOS!C2159)</f>
        <v/>
      </c>
      <c r="F2159" s="9" t="str">
        <f>IF(DADOS!E2159="","",DADOS!E2159)</f>
        <v/>
      </c>
      <c r="G2159" s="9" t="str">
        <f>IF(DADOS!F2159="","",DADOS!F2159)</f>
        <v/>
      </c>
      <c r="K2159" s="6" t="str">
        <f t="shared" si="170"/>
        <v/>
      </c>
      <c r="L2159" s="7" t="str">
        <f t="shared" si="171"/>
        <v/>
      </c>
      <c r="M2159" s="7" t="str">
        <f t="shared" si="168"/>
        <v/>
      </c>
      <c r="N2159" s="7" t="str">
        <f t="shared" si="172"/>
        <v/>
      </c>
      <c r="O2159" s="8"/>
      <c r="P2159" s="26"/>
      <c r="S2159" s="10" t="str">
        <f t="shared" si="169"/>
        <v/>
      </c>
    </row>
    <row r="2160" spans="5:19" x14ac:dyDescent="0.3">
      <c r="E2160" s="9" t="str">
        <f>IF(DADOS!C2160="","",DADOS!C2160)</f>
        <v/>
      </c>
      <c r="F2160" s="9" t="str">
        <f>IF(DADOS!E2160="","",DADOS!E2160)</f>
        <v/>
      </c>
      <c r="G2160" s="9" t="str">
        <f>IF(DADOS!F2160="","",DADOS!F2160)</f>
        <v/>
      </c>
      <c r="K2160" s="6" t="str">
        <f t="shared" si="170"/>
        <v/>
      </c>
      <c r="L2160" s="7" t="str">
        <f t="shared" si="171"/>
        <v/>
      </c>
      <c r="M2160" s="7" t="str">
        <f t="shared" si="168"/>
        <v/>
      </c>
      <c r="N2160" s="7" t="str">
        <f t="shared" si="172"/>
        <v/>
      </c>
      <c r="O2160" s="8"/>
      <c r="P2160" s="26"/>
      <c r="S2160" s="10" t="str">
        <f t="shared" si="169"/>
        <v/>
      </c>
    </row>
    <row r="2161" spans="5:19" x14ac:dyDescent="0.3">
      <c r="E2161" s="9" t="str">
        <f>IF(DADOS!C2161="","",DADOS!C2161)</f>
        <v/>
      </c>
      <c r="F2161" s="9" t="str">
        <f>IF(DADOS!E2161="","",DADOS!E2161)</f>
        <v/>
      </c>
      <c r="G2161" s="9" t="str">
        <f>IF(DADOS!F2161="","",DADOS!F2161)</f>
        <v/>
      </c>
      <c r="K2161" s="6" t="str">
        <f t="shared" si="170"/>
        <v/>
      </c>
      <c r="L2161" s="7" t="str">
        <f t="shared" si="171"/>
        <v/>
      </c>
      <c r="M2161" s="7" t="str">
        <f t="shared" si="168"/>
        <v/>
      </c>
      <c r="N2161" s="7" t="str">
        <f t="shared" si="172"/>
        <v/>
      </c>
      <c r="O2161" s="8"/>
      <c r="P2161" s="26"/>
      <c r="S2161" s="10" t="str">
        <f t="shared" si="169"/>
        <v/>
      </c>
    </row>
    <row r="2162" spans="5:19" x14ac:dyDescent="0.3">
      <c r="E2162" s="9" t="str">
        <f>IF(DADOS!C2162="","",DADOS!C2162)</f>
        <v/>
      </c>
      <c r="F2162" s="9" t="str">
        <f>IF(DADOS!E2162="","",DADOS!E2162)</f>
        <v/>
      </c>
      <c r="G2162" s="9" t="str">
        <f>IF(DADOS!F2162="","",DADOS!F2162)</f>
        <v/>
      </c>
      <c r="K2162" s="6" t="str">
        <f t="shared" si="170"/>
        <v/>
      </c>
      <c r="L2162" s="7" t="str">
        <f t="shared" si="171"/>
        <v/>
      </c>
      <c r="M2162" s="7" t="str">
        <f t="shared" si="168"/>
        <v/>
      </c>
      <c r="N2162" s="7" t="str">
        <f t="shared" si="172"/>
        <v/>
      </c>
      <c r="O2162" s="8"/>
      <c r="P2162" s="26"/>
      <c r="S2162" s="10" t="str">
        <f t="shared" si="169"/>
        <v/>
      </c>
    </row>
    <row r="2163" spans="5:19" x14ac:dyDescent="0.3">
      <c r="E2163" s="9" t="str">
        <f>IF(DADOS!C2163="","",DADOS!C2163)</f>
        <v/>
      </c>
      <c r="F2163" s="9" t="str">
        <f>IF(DADOS!E2163="","",DADOS!E2163)</f>
        <v/>
      </c>
      <c r="G2163" s="9" t="str">
        <f>IF(DADOS!F2163="","",DADOS!F2163)</f>
        <v/>
      </c>
      <c r="K2163" s="6" t="str">
        <f t="shared" si="170"/>
        <v/>
      </c>
      <c r="L2163" s="7" t="str">
        <f t="shared" si="171"/>
        <v/>
      </c>
      <c r="M2163" s="7" t="str">
        <f t="shared" si="168"/>
        <v/>
      </c>
      <c r="N2163" s="7" t="str">
        <f t="shared" si="172"/>
        <v/>
      </c>
      <c r="O2163" s="8"/>
      <c r="P2163" s="26"/>
      <c r="S2163" s="10" t="str">
        <f t="shared" si="169"/>
        <v/>
      </c>
    </row>
    <row r="2164" spans="5:19" x14ac:dyDescent="0.3">
      <c r="E2164" s="9" t="str">
        <f>IF(DADOS!C2164="","",DADOS!C2164)</f>
        <v/>
      </c>
      <c r="F2164" s="9" t="str">
        <f>IF(DADOS!E2164="","",DADOS!E2164)</f>
        <v/>
      </c>
      <c r="G2164" s="9" t="str">
        <f>IF(DADOS!F2164="","",DADOS!F2164)</f>
        <v/>
      </c>
      <c r="K2164" s="6" t="str">
        <f t="shared" si="170"/>
        <v/>
      </c>
      <c r="L2164" s="7" t="str">
        <f t="shared" si="171"/>
        <v/>
      </c>
      <c r="M2164" s="7" t="str">
        <f t="shared" si="168"/>
        <v/>
      </c>
      <c r="N2164" s="7" t="str">
        <f t="shared" si="172"/>
        <v/>
      </c>
      <c r="O2164" s="8"/>
      <c r="P2164" s="26"/>
      <c r="S2164" s="10" t="str">
        <f t="shared" si="169"/>
        <v/>
      </c>
    </row>
    <row r="2165" spans="5:19" x14ac:dyDescent="0.3">
      <c r="E2165" s="9" t="str">
        <f>IF(DADOS!C2165="","",DADOS!C2165)</f>
        <v/>
      </c>
      <c r="F2165" s="9" t="str">
        <f>IF(DADOS!E2165="","",DADOS!E2165)</f>
        <v/>
      </c>
      <c r="G2165" s="9" t="str">
        <f>IF(DADOS!F2165="","",DADOS!F2165)</f>
        <v/>
      </c>
      <c r="K2165" s="6" t="str">
        <f t="shared" si="170"/>
        <v/>
      </c>
      <c r="L2165" s="7" t="str">
        <f t="shared" si="171"/>
        <v/>
      </c>
      <c r="M2165" s="7" t="str">
        <f t="shared" si="168"/>
        <v/>
      </c>
      <c r="N2165" s="7" t="str">
        <f t="shared" si="172"/>
        <v/>
      </c>
      <c r="O2165" s="8"/>
      <c r="P2165" s="26"/>
      <c r="S2165" s="10" t="str">
        <f t="shared" si="169"/>
        <v/>
      </c>
    </row>
    <row r="2166" spans="5:19" x14ac:dyDescent="0.3">
      <c r="E2166" s="9" t="str">
        <f>IF(DADOS!C2166="","",DADOS!C2166)</f>
        <v/>
      </c>
      <c r="F2166" s="9" t="str">
        <f>IF(DADOS!E2166="","",DADOS!E2166)</f>
        <v/>
      </c>
      <c r="G2166" s="9" t="str">
        <f>IF(DADOS!F2166="","",DADOS!F2166)</f>
        <v/>
      </c>
      <c r="K2166" s="6" t="str">
        <f t="shared" si="170"/>
        <v/>
      </c>
      <c r="L2166" s="7" t="str">
        <f t="shared" si="171"/>
        <v/>
      </c>
      <c r="M2166" s="7" t="str">
        <f t="shared" si="168"/>
        <v/>
      </c>
      <c r="N2166" s="7" t="str">
        <f t="shared" si="172"/>
        <v/>
      </c>
      <c r="O2166" s="8"/>
      <c r="P2166" s="26"/>
      <c r="S2166" s="10" t="str">
        <f t="shared" si="169"/>
        <v/>
      </c>
    </row>
    <row r="2167" spans="5:19" x14ac:dyDescent="0.3">
      <c r="E2167" s="9" t="str">
        <f>IF(DADOS!C2167="","",DADOS!C2167)</f>
        <v/>
      </c>
      <c r="F2167" s="9" t="str">
        <f>IF(DADOS!E2167="","",DADOS!E2167)</f>
        <v/>
      </c>
      <c r="G2167" s="9" t="str">
        <f>IF(DADOS!F2167="","",DADOS!F2167)</f>
        <v/>
      </c>
      <c r="K2167" s="6" t="str">
        <f t="shared" si="170"/>
        <v/>
      </c>
      <c r="L2167" s="7" t="str">
        <f t="shared" si="171"/>
        <v/>
      </c>
      <c r="M2167" s="7" t="str">
        <f t="shared" si="168"/>
        <v/>
      </c>
      <c r="N2167" s="7" t="str">
        <f t="shared" si="172"/>
        <v/>
      </c>
      <c r="O2167" s="8"/>
      <c r="P2167" s="26"/>
      <c r="S2167" s="10" t="str">
        <f t="shared" si="169"/>
        <v/>
      </c>
    </row>
    <row r="2168" spans="5:19" x14ac:dyDescent="0.3">
      <c r="E2168" s="9" t="str">
        <f>IF(DADOS!C2168="","",DADOS!C2168)</f>
        <v/>
      </c>
      <c r="F2168" s="9" t="str">
        <f>IF(DADOS!E2168="","",DADOS!E2168)</f>
        <v/>
      </c>
      <c r="G2168" s="9" t="str">
        <f>IF(DADOS!F2168="","",DADOS!F2168)</f>
        <v/>
      </c>
      <c r="K2168" s="6" t="str">
        <f t="shared" si="170"/>
        <v/>
      </c>
      <c r="L2168" s="7" t="str">
        <f t="shared" si="171"/>
        <v/>
      </c>
      <c r="M2168" s="7" t="str">
        <f t="shared" si="168"/>
        <v/>
      </c>
      <c r="N2168" s="7" t="str">
        <f t="shared" si="172"/>
        <v/>
      </c>
      <c r="O2168" s="8"/>
      <c r="P2168" s="26"/>
      <c r="S2168" s="10" t="str">
        <f t="shared" si="169"/>
        <v/>
      </c>
    </row>
    <row r="2169" spans="5:19" x14ac:dyDescent="0.3">
      <c r="E2169" s="9" t="str">
        <f>IF(DADOS!C2169="","",DADOS!C2169)</f>
        <v/>
      </c>
      <c r="F2169" s="9" t="str">
        <f>IF(DADOS!E2169="","",DADOS!E2169)</f>
        <v/>
      </c>
      <c r="G2169" s="9" t="str">
        <f>IF(DADOS!F2169="","",DADOS!F2169)</f>
        <v/>
      </c>
      <c r="K2169" s="6" t="str">
        <f t="shared" si="170"/>
        <v/>
      </c>
      <c r="L2169" s="7" t="str">
        <f t="shared" si="171"/>
        <v/>
      </c>
      <c r="M2169" s="7" t="str">
        <f t="shared" si="168"/>
        <v/>
      </c>
      <c r="N2169" s="7" t="str">
        <f t="shared" si="172"/>
        <v/>
      </c>
      <c r="O2169" s="8"/>
      <c r="P2169" s="26"/>
      <c r="S2169" s="10" t="str">
        <f t="shared" si="169"/>
        <v/>
      </c>
    </row>
    <row r="2170" spans="5:19" x14ac:dyDescent="0.3">
      <c r="E2170" s="9" t="str">
        <f>IF(DADOS!C2170="","",DADOS!C2170)</f>
        <v/>
      </c>
      <c r="F2170" s="9" t="str">
        <f>IF(DADOS!E2170="","",DADOS!E2170)</f>
        <v/>
      </c>
      <c r="G2170" s="9" t="str">
        <f>IF(DADOS!F2170="","",DADOS!F2170)</f>
        <v/>
      </c>
      <c r="K2170" s="6" t="str">
        <f t="shared" si="170"/>
        <v/>
      </c>
      <c r="L2170" s="7" t="str">
        <f t="shared" si="171"/>
        <v/>
      </c>
      <c r="M2170" s="7" t="str">
        <f t="shared" si="168"/>
        <v/>
      </c>
      <c r="N2170" s="7" t="str">
        <f t="shared" si="172"/>
        <v/>
      </c>
      <c r="O2170" s="8"/>
      <c r="P2170" s="26"/>
      <c r="S2170" s="10" t="str">
        <f t="shared" si="169"/>
        <v/>
      </c>
    </row>
    <row r="2171" spans="5:19" x14ac:dyDescent="0.3">
      <c r="E2171" s="9" t="str">
        <f>IF(DADOS!C2171="","",DADOS!C2171)</f>
        <v/>
      </c>
      <c r="F2171" s="9" t="str">
        <f>IF(DADOS!E2171="","",DADOS!E2171)</f>
        <v/>
      </c>
      <c r="G2171" s="9" t="str">
        <f>IF(DADOS!F2171="","",DADOS!F2171)</f>
        <v/>
      </c>
      <c r="K2171" s="6" t="str">
        <f t="shared" si="170"/>
        <v/>
      </c>
      <c r="L2171" s="7" t="str">
        <f t="shared" si="171"/>
        <v/>
      </c>
      <c r="M2171" s="7" t="str">
        <f t="shared" si="168"/>
        <v/>
      </c>
      <c r="N2171" s="7" t="str">
        <f t="shared" si="172"/>
        <v/>
      </c>
      <c r="O2171" s="8"/>
      <c r="P2171" s="26"/>
      <c r="S2171" s="10" t="str">
        <f t="shared" si="169"/>
        <v/>
      </c>
    </row>
    <row r="2172" spans="5:19" x14ac:dyDescent="0.3">
      <c r="E2172" s="9" t="str">
        <f>IF(DADOS!C2172="","",DADOS!C2172)</f>
        <v/>
      </c>
      <c r="F2172" s="9" t="str">
        <f>IF(DADOS!E2172="","",DADOS!E2172)</f>
        <v/>
      </c>
      <c r="G2172" s="9" t="str">
        <f>IF(DADOS!F2172="","",DADOS!F2172)</f>
        <v/>
      </c>
      <c r="K2172" s="6" t="str">
        <f t="shared" si="170"/>
        <v/>
      </c>
      <c r="L2172" s="7" t="str">
        <f t="shared" si="171"/>
        <v/>
      </c>
      <c r="M2172" s="7" t="str">
        <f t="shared" si="168"/>
        <v/>
      </c>
      <c r="N2172" s="7" t="str">
        <f t="shared" si="172"/>
        <v/>
      </c>
      <c r="O2172" s="8"/>
      <c r="P2172" s="26"/>
      <c r="S2172" s="10" t="str">
        <f t="shared" si="169"/>
        <v/>
      </c>
    </row>
    <row r="2173" spans="5:19" x14ac:dyDescent="0.3">
      <c r="E2173" s="9" t="str">
        <f>IF(DADOS!C2173="","",DADOS!C2173)</f>
        <v/>
      </c>
      <c r="F2173" s="9" t="str">
        <f>IF(DADOS!E2173="","",DADOS!E2173)</f>
        <v/>
      </c>
      <c r="G2173" s="9" t="str">
        <f>IF(DADOS!F2173="","",DADOS!F2173)</f>
        <v/>
      </c>
      <c r="K2173" s="6" t="str">
        <f t="shared" si="170"/>
        <v/>
      </c>
      <c r="L2173" s="7" t="str">
        <f t="shared" si="171"/>
        <v/>
      </c>
      <c r="M2173" s="7" t="str">
        <f t="shared" si="168"/>
        <v/>
      </c>
      <c r="N2173" s="7" t="str">
        <f t="shared" si="172"/>
        <v/>
      </c>
      <c r="O2173" s="8"/>
      <c r="P2173" s="26"/>
      <c r="S2173" s="10" t="str">
        <f t="shared" si="169"/>
        <v/>
      </c>
    </row>
    <row r="2174" spans="5:19" x14ac:dyDescent="0.3">
      <c r="E2174" s="9" t="str">
        <f>IF(DADOS!C2174="","",DADOS!C2174)</f>
        <v/>
      </c>
      <c r="F2174" s="9" t="str">
        <f>IF(DADOS!E2174="","",DADOS!E2174)</f>
        <v/>
      </c>
      <c r="G2174" s="9" t="str">
        <f>IF(DADOS!F2174="","",DADOS!F2174)</f>
        <v/>
      </c>
      <c r="K2174" s="6" t="str">
        <f t="shared" si="170"/>
        <v/>
      </c>
      <c r="L2174" s="7" t="str">
        <f t="shared" si="171"/>
        <v/>
      </c>
      <c r="M2174" s="7" t="str">
        <f t="shared" si="168"/>
        <v/>
      </c>
      <c r="N2174" s="7" t="str">
        <f t="shared" si="172"/>
        <v/>
      </c>
      <c r="O2174" s="8"/>
      <c r="P2174" s="26"/>
      <c r="S2174" s="10" t="str">
        <f t="shared" si="169"/>
        <v/>
      </c>
    </row>
    <row r="2175" spans="5:19" x14ac:dyDescent="0.3">
      <c r="E2175" s="9" t="str">
        <f>IF(DADOS!C2175="","",DADOS!C2175)</f>
        <v/>
      </c>
      <c r="F2175" s="9" t="str">
        <f>IF(DADOS!E2175="","",DADOS!E2175)</f>
        <v/>
      </c>
      <c r="G2175" s="9" t="str">
        <f>IF(DADOS!F2175="","",DADOS!F2175)</f>
        <v/>
      </c>
      <c r="K2175" s="6" t="str">
        <f t="shared" si="170"/>
        <v/>
      </c>
      <c r="L2175" s="7" t="str">
        <f t="shared" si="171"/>
        <v/>
      </c>
      <c r="M2175" s="7" t="str">
        <f t="shared" si="168"/>
        <v/>
      </c>
      <c r="N2175" s="7" t="str">
        <f t="shared" si="172"/>
        <v/>
      </c>
      <c r="O2175" s="8"/>
      <c r="P2175" s="26"/>
      <c r="S2175" s="10" t="str">
        <f t="shared" si="169"/>
        <v/>
      </c>
    </row>
    <row r="2176" spans="5:19" x14ac:dyDescent="0.3">
      <c r="E2176" s="9" t="str">
        <f>IF(DADOS!C2176="","",DADOS!C2176)</f>
        <v/>
      </c>
      <c r="F2176" s="9" t="str">
        <f>IF(DADOS!E2176="","",DADOS!E2176)</f>
        <v/>
      </c>
      <c r="G2176" s="9" t="str">
        <f>IF(DADOS!F2176="","",DADOS!F2176)</f>
        <v/>
      </c>
      <c r="K2176" s="6" t="str">
        <f t="shared" si="170"/>
        <v/>
      </c>
      <c r="L2176" s="7" t="str">
        <f t="shared" si="171"/>
        <v/>
      </c>
      <c r="M2176" s="7" t="str">
        <f t="shared" si="168"/>
        <v/>
      </c>
      <c r="N2176" s="7" t="str">
        <f t="shared" si="172"/>
        <v/>
      </c>
      <c r="O2176" s="8"/>
      <c r="P2176" s="26"/>
      <c r="S2176" s="10" t="str">
        <f t="shared" si="169"/>
        <v/>
      </c>
    </row>
    <row r="2177" spans="5:19" x14ac:dyDescent="0.3">
      <c r="E2177" s="9" t="str">
        <f>IF(DADOS!C2177="","",DADOS!C2177)</f>
        <v/>
      </c>
      <c r="F2177" s="9" t="str">
        <f>IF(DADOS!E2177="","",DADOS!E2177)</f>
        <v/>
      </c>
      <c r="G2177" s="9" t="str">
        <f>IF(DADOS!F2177="","",DADOS!F2177)</f>
        <v/>
      </c>
      <c r="K2177" s="6" t="str">
        <f t="shared" si="170"/>
        <v/>
      </c>
      <c r="L2177" s="7" t="str">
        <f t="shared" si="171"/>
        <v/>
      </c>
      <c r="M2177" s="7" t="str">
        <f t="shared" si="168"/>
        <v/>
      </c>
      <c r="N2177" s="7" t="str">
        <f t="shared" si="172"/>
        <v/>
      </c>
      <c r="O2177" s="8"/>
      <c r="P2177" s="26"/>
      <c r="S2177" s="10" t="str">
        <f t="shared" si="169"/>
        <v/>
      </c>
    </row>
    <row r="2178" spans="5:19" x14ac:dyDescent="0.3">
      <c r="E2178" s="9" t="str">
        <f>IF(DADOS!C2178="","",DADOS!C2178)</f>
        <v/>
      </c>
      <c r="F2178" s="9" t="str">
        <f>IF(DADOS!E2178="","",DADOS!E2178)</f>
        <v/>
      </c>
      <c r="G2178" s="9" t="str">
        <f>IF(DADOS!F2178="","",DADOS!F2178)</f>
        <v/>
      </c>
      <c r="K2178" s="6" t="str">
        <f t="shared" si="170"/>
        <v/>
      </c>
      <c r="L2178" s="7" t="str">
        <f t="shared" si="171"/>
        <v/>
      </c>
      <c r="M2178" s="7" t="str">
        <f t="shared" si="168"/>
        <v/>
      </c>
      <c r="N2178" s="7" t="str">
        <f t="shared" si="172"/>
        <v/>
      </c>
      <c r="O2178" s="8"/>
      <c r="P2178" s="26"/>
      <c r="S2178" s="10" t="str">
        <f t="shared" si="169"/>
        <v/>
      </c>
    </row>
    <row r="2179" spans="5:19" x14ac:dyDescent="0.3">
      <c r="E2179" s="9" t="str">
        <f>IF(DADOS!C2179="","",DADOS!C2179)</f>
        <v/>
      </c>
      <c r="F2179" s="9" t="str">
        <f>IF(DADOS!E2179="","",DADOS!E2179)</f>
        <v/>
      </c>
      <c r="G2179" s="9" t="str">
        <f>IF(DADOS!F2179="","",DADOS!F2179)</f>
        <v/>
      </c>
      <c r="K2179" s="6" t="str">
        <f t="shared" si="170"/>
        <v/>
      </c>
      <c r="L2179" s="7" t="str">
        <f t="shared" si="171"/>
        <v/>
      </c>
      <c r="M2179" s="7" t="str">
        <f t="shared" ref="M2179:M2242" si="173">IF(L2179="","",L2179*G2179)</f>
        <v/>
      </c>
      <c r="N2179" s="7" t="str">
        <f t="shared" si="172"/>
        <v/>
      </c>
      <c r="O2179" s="8"/>
      <c r="P2179" s="26"/>
      <c r="S2179" s="10" t="str">
        <f t="shared" ref="S2179:S2242" si="174">IF(R2179="","",SUMIFS($N$3:$N$10000,$E$3:$E$10000,R2179))</f>
        <v/>
      </c>
    </row>
    <row r="2180" spans="5:19" x14ac:dyDescent="0.3">
      <c r="E2180" s="9" t="str">
        <f>IF(DADOS!C2180="","",DADOS!C2180)</f>
        <v/>
      </c>
      <c r="F2180" s="9" t="str">
        <f>IF(DADOS!E2180="","",DADOS!E2180)</f>
        <v/>
      </c>
      <c r="G2180" s="9" t="str">
        <f>IF(DADOS!F2180="","",DADOS!F2180)</f>
        <v/>
      </c>
      <c r="K2180" s="6" t="str">
        <f t="shared" ref="K2180:K2243" si="175">IF(F2180="","",F2180/PI())</f>
        <v/>
      </c>
      <c r="L2180" s="7" t="str">
        <f t="shared" ref="L2180:L2243" si="176">IF(K2180="","",(PI()*K2180^2)/40000)</f>
        <v/>
      </c>
      <c r="M2180" s="7" t="str">
        <f t="shared" si="173"/>
        <v/>
      </c>
      <c r="N2180" s="7" t="str">
        <f t="shared" ref="N2180:N2243" si="177">IF(M2180="","",M2180*N$1)</f>
        <v/>
      </c>
      <c r="O2180" s="8"/>
      <c r="P2180" s="26"/>
      <c r="S2180" s="10" t="str">
        <f t="shared" si="174"/>
        <v/>
      </c>
    </row>
    <row r="2181" spans="5:19" x14ac:dyDescent="0.3">
      <c r="E2181" s="9" t="str">
        <f>IF(DADOS!C2181="","",DADOS!C2181)</f>
        <v/>
      </c>
      <c r="F2181" s="9" t="str">
        <f>IF(DADOS!E2181="","",DADOS!E2181)</f>
        <v/>
      </c>
      <c r="G2181" s="9" t="str">
        <f>IF(DADOS!F2181="","",DADOS!F2181)</f>
        <v/>
      </c>
      <c r="K2181" s="6" t="str">
        <f t="shared" si="175"/>
        <v/>
      </c>
      <c r="L2181" s="7" t="str">
        <f t="shared" si="176"/>
        <v/>
      </c>
      <c r="M2181" s="7" t="str">
        <f t="shared" si="173"/>
        <v/>
      </c>
      <c r="N2181" s="7" t="str">
        <f t="shared" si="177"/>
        <v/>
      </c>
      <c r="O2181" s="8"/>
      <c r="P2181" s="26"/>
      <c r="S2181" s="10" t="str">
        <f t="shared" si="174"/>
        <v/>
      </c>
    </row>
    <row r="2182" spans="5:19" x14ac:dyDescent="0.3">
      <c r="E2182" s="9" t="str">
        <f>IF(DADOS!C2182="","",DADOS!C2182)</f>
        <v/>
      </c>
      <c r="F2182" s="9" t="str">
        <f>IF(DADOS!E2182="","",DADOS!E2182)</f>
        <v/>
      </c>
      <c r="G2182" s="9" t="str">
        <f>IF(DADOS!F2182="","",DADOS!F2182)</f>
        <v/>
      </c>
      <c r="K2182" s="6" t="str">
        <f t="shared" si="175"/>
        <v/>
      </c>
      <c r="L2182" s="7" t="str">
        <f t="shared" si="176"/>
        <v/>
      </c>
      <c r="M2182" s="7" t="str">
        <f t="shared" si="173"/>
        <v/>
      </c>
      <c r="N2182" s="7" t="str">
        <f t="shared" si="177"/>
        <v/>
      </c>
      <c r="O2182" s="8"/>
      <c r="P2182" s="26"/>
      <c r="S2182" s="10" t="str">
        <f t="shared" si="174"/>
        <v/>
      </c>
    </row>
    <row r="2183" spans="5:19" x14ac:dyDescent="0.3">
      <c r="E2183" s="9" t="str">
        <f>IF(DADOS!C2183="","",DADOS!C2183)</f>
        <v/>
      </c>
      <c r="F2183" s="9" t="str">
        <f>IF(DADOS!E2183="","",DADOS!E2183)</f>
        <v/>
      </c>
      <c r="G2183" s="9" t="str">
        <f>IF(DADOS!F2183="","",DADOS!F2183)</f>
        <v/>
      </c>
      <c r="K2183" s="6" t="str">
        <f t="shared" si="175"/>
        <v/>
      </c>
      <c r="L2183" s="7" t="str">
        <f t="shared" si="176"/>
        <v/>
      </c>
      <c r="M2183" s="7" t="str">
        <f t="shared" si="173"/>
        <v/>
      </c>
      <c r="N2183" s="7" t="str">
        <f t="shared" si="177"/>
        <v/>
      </c>
      <c r="O2183" s="8"/>
      <c r="P2183" s="26"/>
      <c r="S2183" s="10" t="str">
        <f t="shared" si="174"/>
        <v/>
      </c>
    </row>
    <row r="2184" spans="5:19" x14ac:dyDescent="0.3">
      <c r="E2184" s="9" t="str">
        <f>IF(DADOS!C2184="","",DADOS!C2184)</f>
        <v/>
      </c>
      <c r="F2184" s="9" t="str">
        <f>IF(DADOS!E2184="","",DADOS!E2184)</f>
        <v/>
      </c>
      <c r="G2184" s="9" t="str">
        <f>IF(DADOS!F2184="","",DADOS!F2184)</f>
        <v/>
      </c>
      <c r="K2184" s="6" t="str">
        <f t="shared" si="175"/>
        <v/>
      </c>
      <c r="L2184" s="7" t="str">
        <f t="shared" si="176"/>
        <v/>
      </c>
      <c r="M2184" s="7" t="str">
        <f t="shared" si="173"/>
        <v/>
      </c>
      <c r="N2184" s="7" t="str">
        <f t="shared" si="177"/>
        <v/>
      </c>
      <c r="O2184" s="8"/>
      <c r="P2184" s="26"/>
      <c r="S2184" s="10" t="str">
        <f t="shared" si="174"/>
        <v/>
      </c>
    </row>
    <row r="2185" spans="5:19" x14ac:dyDescent="0.3">
      <c r="E2185" s="9" t="str">
        <f>IF(DADOS!C2185="","",DADOS!C2185)</f>
        <v/>
      </c>
      <c r="F2185" s="9" t="str">
        <f>IF(DADOS!E2185="","",DADOS!E2185)</f>
        <v/>
      </c>
      <c r="G2185" s="9" t="str">
        <f>IF(DADOS!F2185="","",DADOS!F2185)</f>
        <v/>
      </c>
      <c r="K2185" s="6" t="str">
        <f t="shared" si="175"/>
        <v/>
      </c>
      <c r="L2185" s="7" t="str">
        <f t="shared" si="176"/>
        <v/>
      </c>
      <c r="M2185" s="7" t="str">
        <f t="shared" si="173"/>
        <v/>
      </c>
      <c r="N2185" s="7" t="str">
        <f t="shared" si="177"/>
        <v/>
      </c>
      <c r="O2185" s="8"/>
      <c r="P2185" s="26"/>
      <c r="S2185" s="10" t="str">
        <f t="shared" si="174"/>
        <v/>
      </c>
    </row>
    <row r="2186" spans="5:19" x14ac:dyDescent="0.3">
      <c r="E2186" s="9" t="str">
        <f>IF(DADOS!C2186="","",DADOS!C2186)</f>
        <v/>
      </c>
      <c r="F2186" s="9" t="str">
        <f>IF(DADOS!E2186="","",DADOS!E2186)</f>
        <v/>
      </c>
      <c r="G2186" s="9" t="str">
        <f>IF(DADOS!F2186="","",DADOS!F2186)</f>
        <v/>
      </c>
      <c r="K2186" s="6" t="str">
        <f t="shared" si="175"/>
        <v/>
      </c>
      <c r="L2186" s="7" t="str">
        <f t="shared" si="176"/>
        <v/>
      </c>
      <c r="M2186" s="7" t="str">
        <f t="shared" si="173"/>
        <v/>
      </c>
      <c r="N2186" s="7" t="str">
        <f t="shared" si="177"/>
        <v/>
      </c>
      <c r="O2186" s="8"/>
      <c r="P2186" s="26"/>
      <c r="S2186" s="10" t="str">
        <f t="shared" si="174"/>
        <v/>
      </c>
    </row>
    <row r="2187" spans="5:19" x14ac:dyDescent="0.3">
      <c r="E2187" s="9" t="str">
        <f>IF(DADOS!C2187="","",DADOS!C2187)</f>
        <v/>
      </c>
      <c r="F2187" s="9" t="str">
        <f>IF(DADOS!E2187="","",DADOS!E2187)</f>
        <v/>
      </c>
      <c r="G2187" s="9" t="str">
        <f>IF(DADOS!F2187="","",DADOS!F2187)</f>
        <v/>
      </c>
      <c r="K2187" s="6" t="str">
        <f t="shared" si="175"/>
        <v/>
      </c>
      <c r="L2187" s="7" t="str">
        <f t="shared" si="176"/>
        <v/>
      </c>
      <c r="M2187" s="7" t="str">
        <f t="shared" si="173"/>
        <v/>
      </c>
      <c r="N2187" s="7" t="str">
        <f t="shared" si="177"/>
        <v/>
      </c>
      <c r="O2187" s="8"/>
      <c r="P2187" s="26"/>
      <c r="S2187" s="10" t="str">
        <f t="shared" si="174"/>
        <v/>
      </c>
    </row>
    <row r="2188" spans="5:19" x14ac:dyDescent="0.3">
      <c r="E2188" s="9" t="str">
        <f>IF(DADOS!C2188="","",DADOS!C2188)</f>
        <v/>
      </c>
      <c r="F2188" s="9" t="str">
        <f>IF(DADOS!E2188="","",DADOS!E2188)</f>
        <v/>
      </c>
      <c r="G2188" s="9" t="str">
        <f>IF(DADOS!F2188="","",DADOS!F2188)</f>
        <v/>
      </c>
      <c r="K2188" s="6" t="str">
        <f t="shared" si="175"/>
        <v/>
      </c>
      <c r="L2188" s="7" t="str">
        <f t="shared" si="176"/>
        <v/>
      </c>
      <c r="M2188" s="7" t="str">
        <f t="shared" si="173"/>
        <v/>
      </c>
      <c r="N2188" s="7" t="str">
        <f t="shared" si="177"/>
        <v/>
      </c>
      <c r="O2188" s="8"/>
      <c r="P2188" s="26"/>
      <c r="S2188" s="10" t="str">
        <f t="shared" si="174"/>
        <v/>
      </c>
    </row>
    <row r="2189" spans="5:19" x14ac:dyDescent="0.3">
      <c r="E2189" s="9" t="str">
        <f>IF(DADOS!C2189="","",DADOS!C2189)</f>
        <v/>
      </c>
      <c r="F2189" s="9" t="str">
        <f>IF(DADOS!E2189="","",DADOS!E2189)</f>
        <v/>
      </c>
      <c r="G2189" s="9" t="str">
        <f>IF(DADOS!F2189="","",DADOS!F2189)</f>
        <v/>
      </c>
      <c r="K2189" s="6" t="str">
        <f t="shared" si="175"/>
        <v/>
      </c>
      <c r="L2189" s="7" t="str">
        <f t="shared" si="176"/>
        <v/>
      </c>
      <c r="M2189" s="7" t="str">
        <f t="shared" si="173"/>
        <v/>
      </c>
      <c r="N2189" s="7" t="str">
        <f t="shared" si="177"/>
        <v/>
      </c>
      <c r="O2189" s="8"/>
      <c r="P2189" s="26"/>
      <c r="S2189" s="10" t="str">
        <f t="shared" si="174"/>
        <v/>
      </c>
    </row>
    <row r="2190" spans="5:19" x14ac:dyDescent="0.3">
      <c r="E2190" s="9" t="str">
        <f>IF(DADOS!C2190="","",DADOS!C2190)</f>
        <v/>
      </c>
      <c r="F2190" s="9" t="str">
        <f>IF(DADOS!E2190="","",DADOS!E2190)</f>
        <v/>
      </c>
      <c r="G2190" s="9" t="str">
        <f>IF(DADOS!F2190="","",DADOS!F2190)</f>
        <v/>
      </c>
      <c r="K2190" s="6" t="str">
        <f t="shared" si="175"/>
        <v/>
      </c>
      <c r="L2190" s="7" t="str">
        <f t="shared" si="176"/>
        <v/>
      </c>
      <c r="M2190" s="7" t="str">
        <f t="shared" si="173"/>
        <v/>
      </c>
      <c r="N2190" s="7" t="str">
        <f t="shared" si="177"/>
        <v/>
      </c>
      <c r="O2190" s="8"/>
      <c r="P2190" s="26"/>
      <c r="S2190" s="10" t="str">
        <f t="shared" si="174"/>
        <v/>
      </c>
    </row>
    <row r="2191" spans="5:19" x14ac:dyDescent="0.3">
      <c r="E2191" s="9" t="str">
        <f>IF(DADOS!C2191="","",DADOS!C2191)</f>
        <v/>
      </c>
      <c r="F2191" s="9" t="str">
        <f>IF(DADOS!E2191="","",DADOS!E2191)</f>
        <v/>
      </c>
      <c r="G2191" s="9" t="str">
        <f>IF(DADOS!F2191="","",DADOS!F2191)</f>
        <v/>
      </c>
      <c r="K2191" s="6" t="str">
        <f t="shared" si="175"/>
        <v/>
      </c>
      <c r="L2191" s="7" t="str">
        <f t="shared" si="176"/>
        <v/>
      </c>
      <c r="M2191" s="7" t="str">
        <f t="shared" si="173"/>
        <v/>
      </c>
      <c r="N2191" s="7" t="str">
        <f t="shared" si="177"/>
        <v/>
      </c>
      <c r="O2191" s="8"/>
      <c r="P2191" s="26"/>
      <c r="S2191" s="10" t="str">
        <f t="shared" si="174"/>
        <v/>
      </c>
    </row>
    <row r="2192" spans="5:19" x14ac:dyDescent="0.3">
      <c r="E2192" s="9" t="str">
        <f>IF(DADOS!C2192="","",DADOS!C2192)</f>
        <v/>
      </c>
      <c r="F2192" s="9" t="str">
        <f>IF(DADOS!E2192="","",DADOS!E2192)</f>
        <v/>
      </c>
      <c r="G2192" s="9" t="str">
        <f>IF(DADOS!F2192="","",DADOS!F2192)</f>
        <v/>
      </c>
      <c r="K2192" s="6" t="str">
        <f t="shared" si="175"/>
        <v/>
      </c>
      <c r="L2192" s="7" t="str">
        <f t="shared" si="176"/>
        <v/>
      </c>
      <c r="M2192" s="7" t="str">
        <f t="shared" si="173"/>
        <v/>
      </c>
      <c r="N2192" s="7" t="str">
        <f t="shared" si="177"/>
        <v/>
      </c>
      <c r="O2192" s="8"/>
      <c r="P2192" s="26"/>
      <c r="S2192" s="10" t="str">
        <f t="shared" si="174"/>
        <v/>
      </c>
    </row>
    <row r="2193" spans="5:19" x14ac:dyDescent="0.3">
      <c r="E2193" s="9" t="str">
        <f>IF(DADOS!C2193="","",DADOS!C2193)</f>
        <v/>
      </c>
      <c r="F2193" s="9" t="str">
        <f>IF(DADOS!E2193="","",DADOS!E2193)</f>
        <v/>
      </c>
      <c r="G2193" s="9" t="str">
        <f>IF(DADOS!F2193="","",DADOS!F2193)</f>
        <v/>
      </c>
      <c r="K2193" s="6" t="str">
        <f t="shared" si="175"/>
        <v/>
      </c>
      <c r="L2193" s="7" t="str">
        <f t="shared" si="176"/>
        <v/>
      </c>
      <c r="M2193" s="7" t="str">
        <f t="shared" si="173"/>
        <v/>
      </c>
      <c r="N2193" s="7" t="str">
        <f t="shared" si="177"/>
        <v/>
      </c>
      <c r="O2193" s="8"/>
      <c r="P2193" s="26"/>
      <c r="S2193" s="10" t="str">
        <f t="shared" si="174"/>
        <v/>
      </c>
    </row>
    <row r="2194" spans="5:19" x14ac:dyDescent="0.3">
      <c r="E2194" s="9" t="str">
        <f>IF(DADOS!C2194="","",DADOS!C2194)</f>
        <v/>
      </c>
      <c r="F2194" s="9" t="str">
        <f>IF(DADOS!E2194="","",DADOS!E2194)</f>
        <v/>
      </c>
      <c r="G2194" s="9" t="str">
        <f>IF(DADOS!F2194="","",DADOS!F2194)</f>
        <v/>
      </c>
      <c r="K2194" s="6" t="str">
        <f t="shared" si="175"/>
        <v/>
      </c>
      <c r="L2194" s="7" t="str">
        <f t="shared" si="176"/>
        <v/>
      </c>
      <c r="M2194" s="7" t="str">
        <f t="shared" si="173"/>
        <v/>
      </c>
      <c r="N2194" s="7" t="str">
        <f t="shared" si="177"/>
        <v/>
      </c>
      <c r="O2194" s="8"/>
      <c r="P2194" s="26"/>
      <c r="S2194" s="10" t="str">
        <f t="shared" si="174"/>
        <v/>
      </c>
    </row>
    <row r="2195" spans="5:19" x14ac:dyDescent="0.3">
      <c r="E2195" s="9" t="str">
        <f>IF(DADOS!C2195="","",DADOS!C2195)</f>
        <v/>
      </c>
      <c r="F2195" s="9" t="str">
        <f>IF(DADOS!E2195="","",DADOS!E2195)</f>
        <v/>
      </c>
      <c r="G2195" s="9" t="str">
        <f>IF(DADOS!F2195="","",DADOS!F2195)</f>
        <v/>
      </c>
      <c r="K2195" s="6" t="str">
        <f t="shared" si="175"/>
        <v/>
      </c>
      <c r="L2195" s="7" t="str">
        <f t="shared" si="176"/>
        <v/>
      </c>
      <c r="M2195" s="7" t="str">
        <f t="shared" si="173"/>
        <v/>
      </c>
      <c r="N2195" s="7" t="str">
        <f t="shared" si="177"/>
        <v/>
      </c>
      <c r="O2195" s="8"/>
      <c r="P2195" s="26"/>
      <c r="S2195" s="10" t="str">
        <f t="shared" si="174"/>
        <v/>
      </c>
    </row>
    <row r="2196" spans="5:19" x14ac:dyDescent="0.3">
      <c r="E2196" s="9" t="str">
        <f>IF(DADOS!C2196="","",DADOS!C2196)</f>
        <v/>
      </c>
      <c r="F2196" s="9" t="str">
        <f>IF(DADOS!E2196="","",DADOS!E2196)</f>
        <v/>
      </c>
      <c r="G2196" s="9" t="str">
        <f>IF(DADOS!F2196="","",DADOS!F2196)</f>
        <v/>
      </c>
      <c r="K2196" s="6" t="str">
        <f t="shared" si="175"/>
        <v/>
      </c>
      <c r="L2196" s="7" t="str">
        <f t="shared" si="176"/>
        <v/>
      </c>
      <c r="M2196" s="7" t="str">
        <f t="shared" si="173"/>
        <v/>
      </c>
      <c r="N2196" s="7" t="str">
        <f t="shared" si="177"/>
        <v/>
      </c>
      <c r="O2196" s="8"/>
      <c r="P2196" s="26"/>
      <c r="S2196" s="10" t="str">
        <f t="shared" si="174"/>
        <v/>
      </c>
    </row>
    <row r="2197" spans="5:19" x14ac:dyDescent="0.3">
      <c r="E2197" s="9" t="str">
        <f>IF(DADOS!C2197="","",DADOS!C2197)</f>
        <v/>
      </c>
      <c r="F2197" s="9" t="str">
        <f>IF(DADOS!E2197="","",DADOS!E2197)</f>
        <v/>
      </c>
      <c r="G2197" s="9" t="str">
        <f>IF(DADOS!F2197="","",DADOS!F2197)</f>
        <v/>
      </c>
      <c r="K2197" s="6" t="str">
        <f t="shared" si="175"/>
        <v/>
      </c>
      <c r="L2197" s="7" t="str">
        <f t="shared" si="176"/>
        <v/>
      </c>
      <c r="M2197" s="7" t="str">
        <f t="shared" si="173"/>
        <v/>
      </c>
      <c r="N2197" s="7" t="str">
        <f t="shared" si="177"/>
        <v/>
      </c>
      <c r="O2197" s="8"/>
      <c r="P2197" s="26"/>
      <c r="S2197" s="10" t="str">
        <f t="shared" si="174"/>
        <v/>
      </c>
    </row>
    <row r="2198" spans="5:19" x14ac:dyDescent="0.3">
      <c r="E2198" s="9" t="str">
        <f>IF(DADOS!C2198="","",DADOS!C2198)</f>
        <v/>
      </c>
      <c r="F2198" s="9" t="str">
        <f>IF(DADOS!E2198="","",DADOS!E2198)</f>
        <v/>
      </c>
      <c r="G2198" s="9" t="str">
        <f>IF(DADOS!F2198="","",DADOS!F2198)</f>
        <v/>
      </c>
      <c r="K2198" s="6" t="str">
        <f t="shared" si="175"/>
        <v/>
      </c>
      <c r="L2198" s="7" t="str">
        <f t="shared" si="176"/>
        <v/>
      </c>
      <c r="M2198" s="7" t="str">
        <f t="shared" si="173"/>
        <v/>
      </c>
      <c r="N2198" s="7" t="str">
        <f t="shared" si="177"/>
        <v/>
      </c>
      <c r="O2198" s="8"/>
      <c r="P2198" s="26"/>
      <c r="S2198" s="10" t="str">
        <f t="shared" si="174"/>
        <v/>
      </c>
    </row>
    <row r="2199" spans="5:19" x14ac:dyDescent="0.3">
      <c r="E2199" s="9" t="str">
        <f>IF(DADOS!C2199="","",DADOS!C2199)</f>
        <v/>
      </c>
      <c r="F2199" s="9" t="str">
        <f>IF(DADOS!E2199="","",DADOS!E2199)</f>
        <v/>
      </c>
      <c r="G2199" s="9" t="str">
        <f>IF(DADOS!F2199="","",DADOS!F2199)</f>
        <v/>
      </c>
      <c r="K2199" s="6" t="str">
        <f t="shared" si="175"/>
        <v/>
      </c>
      <c r="L2199" s="7" t="str">
        <f t="shared" si="176"/>
        <v/>
      </c>
      <c r="M2199" s="7" t="str">
        <f t="shared" si="173"/>
        <v/>
      </c>
      <c r="N2199" s="7" t="str">
        <f t="shared" si="177"/>
        <v/>
      </c>
      <c r="O2199" s="8"/>
      <c r="P2199" s="26"/>
      <c r="S2199" s="10" t="str">
        <f t="shared" si="174"/>
        <v/>
      </c>
    </row>
    <row r="2200" spans="5:19" x14ac:dyDescent="0.3">
      <c r="E2200" s="9" t="str">
        <f>IF(DADOS!C2200="","",DADOS!C2200)</f>
        <v/>
      </c>
      <c r="F2200" s="9" t="str">
        <f>IF(DADOS!E2200="","",DADOS!E2200)</f>
        <v/>
      </c>
      <c r="G2200" s="9" t="str">
        <f>IF(DADOS!F2200="","",DADOS!F2200)</f>
        <v/>
      </c>
      <c r="K2200" s="6" t="str">
        <f t="shared" si="175"/>
        <v/>
      </c>
      <c r="L2200" s="7" t="str">
        <f t="shared" si="176"/>
        <v/>
      </c>
      <c r="M2200" s="7" t="str">
        <f t="shared" si="173"/>
        <v/>
      </c>
      <c r="N2200" s="7" t="str">
        <f t="shared" si="177"/>
        <v/>
      </c>
      <c r="O2200" s="8"/>
      <c r="P2200" s="26"/>
      <c r="S2200" s="10" t="str">
        <f t="shared" si="174"/>
        <v/>
      </c>
    </row>
    <row r="2201" spans="5:19" x14ac:dyDescent="0.3">
      <c r="E2201" s="9" t="str">
        <f>IF(DADOS!C2201="","",DADOS!C2201)</f>
        <v/>
      </c>
      <c r="F2201" s="9" t="str">
        <f>IF(DADOS!E2201="","",DADOS!E2201)</f>
        <v/>
      </c>
      <c r="G2201" s="9" t="str">
        <f>IF(DADOS!F2201="","",DADOS!F2201)</f>
        <v/>
      </c>
      <c r="K2201" s="6" t="str">
        <f t="shared" si="175"/>
        <v/>
      </c>
      <c r="L2201" s="7" t="str">
        <f t="shared" si="176"/>
        <v/>
      </c>
      <c r="M2201" s="7" t="str">
        <f t="shared" si="173"/>
        <v/>
      </c>
      <c r="N2201" s="7" t="str">
        <f t="shared" si="177"/>
        <v/>
      </c>
      <c r="O2201" s="8"/>
      <c r="P2201" s="26"/>
      <c r="S2201" s="10" t="str">
        <f t="shared" si="174"/>
        <v/>
      </c>
    </row>
    <row r="2202" spans="5:19" x14ac:dyDescent="0.3">
      <c r="E2202" s="9" t="str">
        <f>IF(DADOS!C2202="","",DADOS!C2202)</f>
        <v/>
      </c>
      <c r="F2202" s="9" t="str">
        <f>IF(DADOS!E2202="","",DADOS!E2202)</f>
        <v/>
      </c>
      <c r="G2202" s="9" t="str">
        <f>IF(DADOS!F2202="","",DADOS!F2202)</f>
        <v/>
      </c>
      <c r="K2202" s="6" t="str">
        <f t="shared" si="175"/>
        <v/>
      </c>
      <c r="L2202" s="7" t="str">
        <f t="shared" si="176"/>
        <v/>
      </c>
      <c r="M2202" s="7" t="str">
        <f t="shared" si="173"/>
        <v/>
      </c>
      <c r="N2202" s="7" t="str">
        <f t="shared" si="177"/>
        <v/>
      </c>
      <c r="O2202" s="8"/>
      <c r="P2202" s="26"/>
      <c r="S2202" s="10" t="str">
        <f t="shared" si="174"/>
        <v/>
      </c>
    </row>
    <row r="2203" spans="5:19" x14ac:dyDescent="0.3">
      <c r="E2203" s="9" t="str">
        <f>IF(DADOS!C2203="","",DADOS!C2203)</f>
        <v/>
      </c>
      <c r="F2203" s="9" t="str">
        <f>IF(DADOS!E2203="","",DADOS!E2203)</f>
        <v/>
      </c>
      <c r="G2203" s="9" t="str">
        <f>IF(DADOS!F2203="","",DADOS!F2203)</f>
        <v/>
      </c>
      <c r="K2203" s="6" t="str">
        <f t="shared" si="175"/>
        <v/>
      </c>
      <c r="L2203" s="7" t="str">
        <f t="shared" si="176"/>
        <v/>
      </c>
      <c r="M2203" s="7" t="str">
        <f t="shared" si="173"/>
        <v/>
      </c>
      <c r="N2203" s="7" t="str">
        <f t="shared" si="177"/>
        <v/>
      </c>
      <c r="O2203" s="8"/>
      <c r="P2203" s="26"/>
      <c r="S2203" s="10" t="str">
        <f t="shared" si="174"/>
        <v/>
      </c>
    </row>
    <row r="2204" spans="5:19" x14ac:dyDescent="0.3">
      <c r="E2204" s="9" t="str">
        <f>IF(DADOS!C2204="","",DADOS!C2204)</f>
        <v/>
      </c>
      <c r="F2204" s="9" t="str">
        <f>IF(DADOS!E2204="","",DADOS!E2204)</f>
        <v/>
      </c>
      <c r="G2204" s="9" t="str">
        <f>IF(DADOS!F2204="","",DADOS!F2204)</f>
        <v/>
      </c>
      <c r="K2204" s="6" t="str">
        <f t="shared" si="175"/>
        <v/>
      </c>
      <c r="L2204" s="7" t="str">
        <f t="shared" si="176"/>
        <v/>
      </c>
      <c r="M2204" s="7" t="str">
        <f t="shared" si="173"/>
        <v/>
      </c>
      <c r="N2204" s="7" t="str">
        <f t="shared" si="177"/>
        <v/>
      </c>
      <c r="O2204" s="8"/>
      <c r="P2204" s="26"/>
      <c r="S2204" s="10" t="str">
        <f t="shared" si="174"/>
        <v/>
      </c>
    </row>
    <row r="2205" spans="5:19" x14ac:dyDescent="0.3">
      <c r="E2205" s="9" t="str">
        <f>IF(DADOS!C2205="","",DADOS!C2205)</f>
        <v/>
      </c>
      <c r="F2205" s="9" t="str">
        <f>IF(DADOS!E2205="","",DADOS!E2205)</f>
        <v/>
      </c>
      <c r="G2205" s="9" t="str">
        <f>IF(DADOS!F2205="","",DADOS!F2205)</f>
        <v/>
      </c>
      <c r="K2205" s="6" t="str">
        <f t="shared" si="175"/>
        <v/>
      </c>
      <c r="L2205" s="7" t="str">
        <f t="shared" si="176"/>
        <v/>
      </c>
      <c r="M2205" s="7" t="str">
        <f t="shared" si="173"/>
        <v/>
      </c>
      <c r="N2205" s="7" t="str">
        <f t="shared" si="177"/>
        <v/>
      </c>
      <c r="O2205" s="8"/>
      <c r="P2205" s="26"/>
      <c r="S2205" s="10" t="str">
        <f t="shared" si="174"/>
        <v/>
      </c>
    </row>
    <row r="2206" spans="5:19" x14ac:dyDescent="0.3">
      <c r="E2206" s="9" t="str">
        <f>IF(DADOS!C2206="","",DADOS!C2206)</f>
        <v/>
      </c>
      <c r="F2206" s="9" t="str">
        <f>IF(DADOS!E2206="","",DADOS!E2206)</f>
        <v/>
      </c>
      <c r="G2206" s="9" t="str">
        <f>IF(DADOS!F2206="","",DADOS!F2206)</f>
        <v/>
      </c>
      <c r="K2206" s="6" t="str">
        <f t="shared" si="175"/>
        <v/>
      </c>
      <c r="L2206" s="7" t="str">
        <f t="shared" si="176"/>
        <v/>
      </c>
      <c r="M2206" s="7" t="str">
        <f t="shared" si="173"/>
        <v/>
      </c>
      <c r="N2206" s="7" t="str">
        <f t="shared" si="177"/>
        <v/>
      </c>
      <c r="O2206" s="8"/>
      <c r="P2206" s="26"/>
      <c r="S2206" s="10" t="str">
        <f t="shared" si="174"/>
        <v/>
      </c>
    </row>
    <row r="2207" spans="5:19" x14ac:dyDescent="0.3">
      <c r="E2207" s="9" t="str">
        <f>IF(DADOS!C2207="","",DADOS!C2207)</f>
        <v/>
      </c>
      <c r="F2207" s="9" t="str">
        <f>IF(DADOS!E2207="","",DADOS!E2207)</f>
        <v/>
      </c>
      <c r="G2207" s="9" t="str">
        <f>IF(DADOS!F2207="","",DADOS!F2207)</f>
        <v/>
      </c>
      <c r="K2207" s="6" t="str">
        <f t="shared" si="175"/>
        <v/>
      </c>
      <c r="L2207" s="7" t="str">
        <f t="shared" si="176"/>
        <v/>
      </c>
      <c r="M2207" s="7" t="str">
        <f t="shared" si="173"/>
        <v/>
      </c>
      <c r="N2207" s="7" t="str">
        <f t="shared" si="177"/>
        <v/>
      </c>
      <c r="O2207" s="8"/>
      <c r="P2207" s="26"/>
      <c r="S2207" s="10" t="str">
        <f t="shared" si="174"/>
        <v/>
      </c>
    </row>
    <row r="2208" spans="5:19" x14ac:dyDescent="0.3">
      <c r="E2208" s="9" t="str">
        <f>IF(DADOS!C2208="","",DADOS!C2208)</f>
        <v/>
      </c>
      <c r="F2208" s="9" t="str">
        <f>IF(DADOS!E2208="","",DADOS!E2208)</f>
        <v/>
      </c>
      <c r="G2208" s="9" t="str">
        <f>IF(DADOS!F2208="","",DADOS!F2208)</f>
        <v/>
      </c>
      <c r="K2208" s="6" t="str">
        <f t="shared" si="175"/>
        <v/>
      </c>
      <c r="L2208" s="7" t="str">
        <f t="shared" si="176"/>
        <v/>
      </c>
      <c r="M2208" s="7" t="str">
        <f t="shared" si="173"/>
        <v/>
      </c>
      <c r="N2208" s="7" t="str">
        <f t="shared" si="177"/>
        <v/>
      </c>
      <c r="O2208" s="8"/>
      <c r="P2208" s="26"/>
      <c r="S2208" s="10" t="str">
        <f t="shared" si="174"/>
        <v/>
      </c>
    </row>
    <row r="2209" spans="5:19" x14ac:dyDescent="0.3">
      <c r="E2209" s="9" t="str">
        <f>IF(DADOS!C2209="","",DADOS!C2209)</f>
        <v/>
      </c>
      <c r="F2209" s="9" t="str">
        <f>IF(DADOS!E2209="","",DADOS!E2209)</f>
        <v/>
      </c>
      <c r="G2209" s="9" t="str">
        <f>IF(DADOS!F2209="","",DADOS!F2209)</f>
        <v/>
      </c>
      <c r="K2209" s="6" t="str">
        <f t="shared" si="175"/>
        <v/>
      </c>
      <c r="L2209" s="7" t="str">
        <f t="shared" si="176"/>
        <v/>
      </c>
      <c r="M2209" s="7" t="str">
        <f t="shared" si="173"/>
        <v/>
      </c>
      <c r="N2209" s="7" t="str">
        <f t="shared" si="177"/>
        <v/>
      </c>
      <c r="O2209" s="8"/>
      <c r="P2209" s="26"/>
      <c r="S2209" s="10" t="str">
        <f t="shared" si="174"/>
        <v/>
      </c>
    </row>
    <row r="2210" spans="5:19" x14ac:dyDescent="0.3">
      <c r="E2210" s="9" t="str">
        <f>IF(DADOS!C2210="","",DADOS!C2210)</f>
        <v/>
      </c>
      <c r="F2210" s="9" t="str">
        <f>IF(DADOS!E2210="","",DADOS!E2210)</f>
        <v/>
      </c>
      <c r="G2210" s="9" t="str">
        <f>IF(DADOS!F2210="","",DADOS!F2210)</f>
        <v/>
      </c>
      <c r="K2210" s="6" t="str">
        <f t="shared" si="175"/>
        <v/>
      </c>
      <c r="L2210" s="7" t="str">
        <f t="shared" si="176"/>
        <v/>
      </c>
      <c r="M2210" s="7" t="str">
        <f t="shared" si="173"/>
        <v/>
      </c>
      <c r="N2210" s="7" t="str">
        <f t="shared" si="177"/>
        <v/>
      </c>
      <c r="O2210" s="8"/>
      <c r="P2210" s="26"/>
      <c r="S2210" s="10" t="str">
        <f t="shared" si="174"/>
        <v/>
      </c>
    </row>
    <row r="2211" spans="5:19" x14ac:dyDescent="0.3">
      <c r="E2211" s="9" t="str">
        <f>IF(DADOS!C2211="","",DADOS!C2211)</f>
        <v/>
      </c>
      <c r="F2211" s="9" t="str">
        <f>IF(DADOS!E2211="","",DADOS!E2211)</f>
        <v/>
      </c>
      <c r="G2211" s="9" t="str">
        <f>IF(DADOS!F2211="","",DADOS!F2211)</f>
        <v/>
      </c>
      <c r="K2211" s="6" t="str">
        <f t="shared" si="175"/>
        <v/>
      </c>
      <c r="L2211" s="7" t="str">
        <f t="shared" si="176"/>
        <v/>
      </c>
      <c r="M2211" s="7" t="str">
        <f t="shared" si="173"/>
        <v/>
      </c>
      <c r="N2211" s="7" t="str">
        <f t="shared" si="177"/>
        <v/>
      </c>
      <c r="O2211" s="8"/>
      <c r="P2211" s="26"/>
      <c r="S2211" s="10" t="str">
        <f t="shared" si="174"/>
        <v/>
      </c>
    </row>
    <row r="2212" spans="5:19" x14ac:dyDescent="0.3">
      <c r="E2212" s="9" t="str">
        <f>IF(DADOS!C2212="","",DADOS!C2212)</f>
        <v/>
      </c>
      <c r="F2212" s="9" t="str">
        <f>IF(DADOS!E2212="","",DADOS!E2212)</f>
        <v/>
      </c>
      <c r="G2212" s="9" t="str">
        <f>IF(DADOS!F2212="","",DADOS!F2212)</f>
        <v/>
      </c>
      <c r="K2212" s="6" t="str">
        <f t="shared" si="175"/>
        <v/>
      </c>
      <c r="L2212" s="7" t="str">
        <f t="shared" si="176"/>
        <v/>
      </c>
      <c r="M2212" s="7" t="str">
        <f t="shared" si="173"/>
        <v/>
      </c>
      <c r="N2212" s="7" t="str">
        <f t="shared" si="177"/>
        <v/>
      </c>
      <c r="O2212" s="8"/>
      <c r="P2212" s="26"/>
      <c r="S2212" s="10" t="str">
        <f t="shared" si="174"/>
        <v/>
      </c>
    </row>
    <row r="2213" spans="5:19" x14ac:dyDescent="0.3">
      <c r="E2213" s="9" t="str">
        <f>IF(DADOS!C2213="","",DADOS!C2213)</f>
        <v/>
      </c>
      <c r="F2213" s="9" t="str">
        <f>IF(DADOS!E2213="","",DADOS!E2213)</f>
        <v/>
      </c>
      <c r="G2213" s="9" t="str">
        <f>IF(DADOS!F2213="","",DADOS!F2213)</f>
        <v/>
      </c>
      <c r="K2213" s="6" t="str">
        <f t="shared" si="175"/>
        <v/>
      </c>
      <c r="L2213" s="7" t="str">
        <f t="shared" si="176"/>
        <v/>
      </c>
      <c r="M2213" s="7" t="str">
        <f t="shared" si="173"/>
        <v/>
      </c>
      <c r="N2213" s="7" t="str">
        <f t="shared" si="177"/>
        <v/>
      </c>
      <c r="O2213" s="8"/>
      <c r="P2213" s="26"/>
      <c r="S2213" s="10" t="str">
        <f t="shared" si="174"/>
        <v/>
      </c>
    </row>
    <row r="2214" spans="5:19" x14ac:dyDescent="0.3">
      <c r="E2214" s="9" t="str">
        <f>IF(DADOS!C2214="","",DADOS!C2214)</f>
        <v/>
      </c>
      <c r="F2214" s="9" t="str">
        <f>IF(DADOS!E2214="","",DADOS!E2214)</f>
        <v/>
      </c>
      <c r="G2214" s="9" t="str">
        <f>IF(DADOS!F2214="","",DADOS!F2214)</f>
        <v/>
      </c>
      <c r="K2214" s="6" t="str">
        <f t="shared" si="175"/>
        <v/>
      </c>
      <c r="L2214" s="7" t="str">
        <f t="shared" si="176"/>
        <v/>
      </c>
      <c r="M2214" s="7" t="str">
        <f t="shared" si="173"/>
        <v/>
      </c>
      <c r="N2214" s="7" t="str">
        <f t="shared" si="177"/>
        <v/>
      </c>
      <c r="O2214" s="8"/>
      <c r="P2214" s="26"/>
      <c r="S2214" s="10" t="str">
        <f t="shared" si="174"/>
        <v/>
      </c>
    </row>
    <row r="2215" spans="5:19" x14ac:dyDescent="0.3">
      <c r="E2215" s="9" t="str">
        <f>IF(DADOS!C2215="","",DADOS!C2215)</f>
        <v/>
      </c>
      <c r="F2215" s="9" t="str">
        <f>IF(DADOS!E2215="","",DADOS!E2215)</f>
        <v/>
      </c>
      <c r="G2215" s="9" t="str">
        <f>IF(DADOS!F2215="","",DADOS!F2215)</f>
        <v/>
      </c>
      <c r="K2215" s="6" t="str">
        <f t="shared" si="175"/>
        <v/>
      </c>
      <c r="L2215" s="7" t="str">
        <f t="shared" si="176"/>
        <v/>
      </c>
      <c r="M2215" s="7" t="str">
        <f t="shared" si="173"/>
        <v/>
      </c>
      <c r="N2215" s="7" t="str">
        <f t="shared" si="177"/>
        <v/>
      </c>
      <c r="O2215" s="8"/>
      <c r="P2215" s="26"/>
      <c r="S2215" s="10" t="str">
        <f t="shared" si="174"/>
        <v/>
      </c>
    </row>
    <row r="2216" spans="5:19" x14ac:dyDescent="0.3">
      <c r="E2216" s="9" t="str">
        <f>IF(DADOS!C2216="","",DADOS!C2216)</f>
        <v/>
      </c>
      <c r="F2216" s="9" t="str">
        <f>IF(DADOS!E2216="","",DADOS!E2216)</f>
        <v/>
      </c>
      <c r="G2216" s="9" t="str">
        <f>IF(DADOS!F2216="","",DADOS!F2216)</f>
        <v/>
      </c>
      <c r="K2216" s="6" t="str">
        <f t="shared" si="175"/>
        <v/>
      </c>
      <c r="L2216" s="7" t="str">
        <f t="shared" si="176"/>
        <v/>
      </c>
      <c r="M2216" s="7" t="str">
        <f t="shared" si="173"/>
        <v/>
      </c>
      <c r="N2216" s="7" t="str">
        <f t="shared" si="177"/>
        <v/>
      </c>
      <c r="O2216" s="8"/>
      <c r="P2216" s="26"/>
      <c r="S2216" s="10" t="str">
        <f t="shared" si="174"/>
        <v/>
      </c>
    </row>
    <row r="2217" spans="5:19" x14ac:dyDescent="0.3">
      <c r="E2217" s="9" t="str">
        <f>IF(DADOS!C2217="","",DADOS!C2217)</f>
        <v/>
      </c>
      <c r="F2217" s="9" t="str">
        <f>IF(DADOS!E2217="","",DADOS!E2217)</f>
        <v/>
      </c>
      <c r="G2217" s="9" t="str">
        <f>IF(DADOS!F2217="","",DADOS!F2217)</f>
        <v/>
      </c>
      <c r="K2217" s="6" t="str">
        <f t="shared" si="175"/>
        <v/>
      </c>
      <c r="L2217" s="7" t="str">
        <f t="shared" si="176"/>
        <v/>
      </c>
      <c r="M2217" s="7" t="str">
        <f t="shared" si="173"/>
        <v/>
      </c>
      <c r="N2217" s="7" t="str">
        <f t="shared" si="177"/>
        <v/>
      </c>
      <c r="O2217" s="8"/>
      <c r="P2217" s="26"/>
      <c r="S2217" s="10" t="str">
        <f t="shared" si="174"/>
        <v/>
      </c>
    </row>
    <row r="2218" spans="5:19" x14ac:dyDescent="0.3">
      <c r="E2218" s="9" t="str">
        <f>IF(DADOS!C2218="","",DADOS!C2218)</f>
        <v/>
      </c>
      <c r="F2218" s="9" t="str">
        <f>IF(DADOS!E2218="","",DADOS!E2218)</f>
        <v/>
      </c>
      <c r="G2218" s="9" t="str">
        <f>IF(DADOS!F2218="","",DADOS!F2218)</f>
        <v/>
      </c>
      <c r="K2218" s="6" t="str">
        <f t="shared" si="175"/>
        <v/>
      </c>
      <c r="L2218" s="7" t="str">
        <f t="shared" si="176"/>
        <v/>
      </c>
      <c r="M2218" s="7" t="str">
        <f t="shared" si="173"/>
        <v/>
      </c>
      <c r="N2218" s="7" t="str">
        <f t="shared" si="177"/>
        <v/>
      </c>
      <c r="O2218" s="8"/>
      <c r="P2218" s="26"/>
      <c r="S2218" s="10" t="str">
        <f t="shared" si="174"/>
        <v/>
      </c>
    </row>
    <row r="2219" spans="5:19" x14ac:dyDescent="0.3">
      <c r="E2219" s="9" t="str">
        <f>IF(DADOS!C2219="","",DADOS!C2219)</f>
        <v/>
      </c>
      <c r="F2219" s="9" t="str">
        <f>IF(DADOS!E2219="","",DADOS!E2219)</f>
        <v/>
      </c>
      <c r="G2219" s="9" t="str">
        <f>IF(DADOS!F2219="","",DADOS!F2219)</f>
        <v/>
      </c>
      <c r="K2219" s="6" t="str">
        <f t="shared" si="175"/>
        <v/>
      </c>
      <c r="L2219" s="7" t="str">
        <f t="shared" si="176"/>
        <v/>
      </c>
      <c r="M2219" s="7" t="str">
        <f t="shared" si="173"/>
        <v/>
      </c>
      <c r="N2219" s="7" t="str">
        <f t="shared" si="177"/>
        <v/>
      </c>
      <c r="O2219" s="8"/>
      <c r="P2219" s="26"/>
      <c r="S2219" s="10" t="str">
        <f t="shared" si="174"/>
        <v/>
      </c>
    </row>
    <row r="2220" spans="5:19" x14ac:dyDescent="0.3">
      <c r="E2220" s="9" t="str">
        <f>IF(DADOS!C2220="","",DADOS!C2220)</f>
        <v/>
      </c>
      <c r="F2220" s="9" t="str">
        <f>IF(DADOS!E2220="","",DADOS!E2220)</f>
        <v/>
      </c>
      <c r="G2220" s="9" t="str">
        <f>IF(DADOS!F2220="","",DADOS!F2220)</f>
        <v/>
      </c>
      <c r="K2220" s="6" t="str">
        <f t="shared" si="175"/>
        <v/>
      </c>
      <c r="L2220" s="7" t="str">
        <f t="shared" si="176"/>
        <v/>
      </c>
      <c r="M2220" s="7" t="str">
        <f t="shared" si="173"/>
        <v/>
      </c>
      <c r="N2220" s="7" t="str">
        <f t="shared" si="177"/>
        <v/>
      </c>
      <c r="O2220" s="8"/>
      <c r="P2220" s="26"/>
      <c r="S2220" s="10" t="str">
        <f t="shared" si="174"/>
        <v/>
      </c>
    </row>
    <row r="2221" spans="5:19" x14ac:dyDescent="0.3">
      <c r="E2221" s="9" t="str">
        <f>IF(DADOS!C2221="","",DADOS!C2221)</f>
        <v/>
      </c>
      <c r="F2221" s="9" t="str">
        <f>IF(DADOS!E2221="","",DADOS!E2221)</f>
        <v/>
      </c>
      <c r="G2221" s="9" t="str">
        <f>IF(DADOS!F2221="","",DADOS!F2221)</f>
        <v/>
      </c>
      <c r="K2221" s="6" t="str">
        <f t="shared" si="175"/>
        <v/>
      </c>
      <c r="L2221" s="7" t="str">
        <f t="shared" si="176"/>
        <v/>
      </c>
      <c r="M2221" s="7" t="str">
        <f t="shared" si="173"/>
        <v/>
      </c>
      <c r="N2221" s="7" t="str">
        <f t="shared" si="177"/>
        <v/>
      </c>
      <c r="O2221" s="8"/>
      <c r="P2221" s="26"/>
      <c r="S2221" s="10" t="str">
        <f t="shared" si="174"/>
        <v/>
      </c>
    </row>
    <row r="2222" spans="5:19" x14ac:dyDescent="0.3">
      <c r="E2222" s="9" t="str">
        <f>IF(DADOS!C2222="","",DADOS!C2222)</f>
        <v/>
      </c>
      <c r="F2222" s="9" t="str">
        <f>IF(DADOS!E2222="","",DADOS!E2222)</f>
        <v/>
      </c>
      <c r="G2222" s="9" t="str">
        <f>IF(DADOS!F2222="","",DADOS!F2222)</f>
        <v/>
      </c>
      <c r="K2222" s="6" t="str">
        <f t="shared" si="175"/>
        <v/>
      </c>
      <c r="L2222" s="7" t="str">
        <f t="shared" si="176"/>
        <v/>
      </c>
      <c r="M2222" s="7" t="str">
        <f t="shared" si="173"/>
        <v/>
      </c>
      <c r="N2222" s="7" t="str">
        <f t="shared" si="177"/>
        <v/>
      </c>
      <c r="O2222" s="8"/>
      <c r="P2222" s="26"/>
      <c r="S2222" s="10" t="str">
        <f t="shared" si="174"/>
        <v/>
      </c>
    </row>
    <row r="2223" spans="5:19" x14ac:dyDescent="0.3">
      <c r="E2223" s="9" t="str">
        <f>IF(DADOS!C2223="","",DADOS!C2223)</f>
        <v/>
      </c>
      <c r="F2223" s="9" t="str">
        <f>IF(DADOS!E2223="","",DADOS!E2223)</f>
        <v/>
      </c>
      <c r="G2223" s="9" t="str">
        <f>IF(DADOS!F2223="","",DADOS!F2223)</f>
        <v/>
      </c>
      <c r="K2223" s="6" t="str">
        <f t="shared" si="175"/>
        <v/>
      </c>
      <c r="L2223" s="7" t="str">
        <f t="shared" si="176"/>
        <v/>
      </c>
      <c r="M2223" s="7" t="str">
        <f t="shared" si="173"/>
        <v/>
      </c>
      <c r="N2223" s="7" t="str">
        <f t="shared" si="177"/>
        <v/>
      </c>
      <c r="O2223" s="8"/>
      <c r="P2223" s="26"/>
      <c r="S2223" s="10" t="str">
        <f t="shared" si="174"/>
        <v/>
      </c>
    </row>
    <row r="2224" spans="5:19" x14ac:dyDescent="0.3">
      <c r="E2224" s="9" t="str">
        <f>IF(DADOS!C2224="","",DADOS!C2224)</f>
        <v/>
      </c>
      <c r="F2224" s="9" t="str">
        <f>IF(DADOS!E2224="","",DADOS!E2224)</f>
        <v/>
      </c>
      <c r="G2224" s="9" t="str">
        <f>IF(DADOS!F2224="","",DADOS!F2224)</f>
        <v/>
      </c>
      <c r="K2224" s="6" t="str">
        <f t="shared" si="175"/>
        <v/>
      </c>
      <c r="L2224" s="7" t="str">
        <f t="shared" si="176"/>
        <v/>
      </c>
      <c r="M2224" s="7" t="str">
        <f t="shared" si="173"/>
        <v/>
      </c>
      <c r="N2224" s="7" t="str">
        <f t="shared" si="177"/>
        <v/>
      </c>
      <c r="O2224" s="8"/>
      <c r="P2224" s="26"/>
      <c r="S2224" s="10" t="str">
        <f t="shared" si="174"/>
        <v/>
      </c>
    </row>
    <row r="2225" spans="5:19" x14ac:dyDescent="0.3">
      <c r="E2225" s="9" t="str">
        <f>IF(DADOS!C2225="","",DADOS!C2225)</f>
        <v/>
      </c>
      <c r="F2225" s="9" t="str">
        <f>IF(DADOS!E2225="","",DADOS!E2225)</f>
        <v/>
      </c>
      <c r="G2225" s="9" t="str">
        <f>IF(DADOS!F2225="","",DADOS!F2225)</f>
        <v/>
      </c>
      <c r="K2225" s="6" t="str">
        <f t="shared" si="175"/>
        <v/>
      </c>
      <c r="L2225" s="7" t="str">
        <f t="shared" si="176"/>
        <v/>
      </c>
      <c r="M2225" s="7" t="str">
        <f t="shared" si="173"/>
        <v/>
      </c>
      <c r="N2225" s="7" t="str">
        <f t="shared" si="177"/>
        <v/>
      </c>
      <c r="O2225" s="8"/>
      <c r="P2225" s="26"/>
      <c r="S2225" s="10" t="str">
        <f t="shared" si="174"/>
        <v/>
      </c>
    </row>
    <row r="2226" spans="5:19" x14ac:dyDescent="0.3">
      <c r="E2226" s="9" t="str">
        <f>IF(DADOS!C2226="","",DADOS!C2226)</f>
        <v/>
      </c>
      <c r="F2226" s="9" t="str">
        <f>IF(DADOS!E2226="","",DADOS!E2226)</f>
        <v/>
      </c>
      <c r="G2226" s="9" t="str">
        <f>IF(DADOS!F2226="","",DADOS!F2226)</f>
        <v/>
      </c>
      <c r="K2226" s="6" t="str">
        <f t="shared" si="175"/>
        <v/>
      </c>
      <c r="L2226" s="7" t="str">
        <f t="shared" si="176"/>
        <v/>
      </c>
      <c r="M2226" s="7" t="str">
        <f t="shared" si="173"/>
        <v/>
      </c>
      <c r="N2226" s="7" t="str">
        <f t="shared" si="177"/>
        <v/>
      </c>
      <c r="O2226" s="8"/>
      <c r="P2226" s="26"/>
      <c r="S2226" s="10" t="str">
        <f t="shared" si="174"/>
        <v/>
      </c>
    </row>
    <row r="2227" spans="5:19" x14ac:dyDescent="0.3">
      <c r="E2227" s="9" t="str">
        <f>IF(DADOS!C2227="","",DADOS!C2227)</f>
        <v/>
      </c>
      <c r="F2227" s="9" t="str">
        <f>IF(DADOS!E2227="","",DADOS!E2227)</f>
        <v/>
      </c>
      <c r="G2227" s="9" t="str">
        <f>IF(DADOS!F2227="","",DADOS!F2227)</f>
        <v/>
      </c>
      <c r="K2227" s="6" t="str">
        <f t="shared" si="175"/>
        <v/>
      </c>
      <c r="L2227" s="7" t="str">
        <f t="shared" si="176"/>
        <v/>
      </c>
      <c r="M2227" s="7" t="str">
        <f t="shared" si="173"/>
        <v/>
      </c>
      <c r="N2227" s="7" t="str">
        <f t="shared" si="177"/>
        <v/>
      </c>
      <c r="O2227" s="8"/>
      <c r="P2227" s="26"/>
      <c r="S2227" s="10" t="str">
        <f t="shared" si="174"/>
        <v/>
      </c>
    </row>
    <row r="2228" spans="5:19" x14ac:dyDescent="0.3">
      <c r="E2228" s="9" t="str">
        <f>IF(DADOS!C2228="","",DADOS!C2228)</f>
        <v/>
      </c>
      <c r="F2228" s="9" t="str">
        <f>IF(DADOS!E2228="","",DADOS!E2228)</f>
        <v/>
      </c>
      <c r="G2228" s="9" t="str">
        <f>IF(DADOS!F2228="","",DADOS!F2228)</f>
        <v/>
      </c>
      <c r="K2228" s="6" t="str">
        <f t="shared" si="175"/>
        <v/>
      </c>
      <c r="L2228" s="7" t="str">
        <f t="shared" si="176"/>
        <v/>
      </c>
      <c r="M2228" s="7" t="str">
        <f t="shared" si="173"/>
        <v/>
      </c>
      <c r="N2228" s="7" t="str">
        <f t="shared" si="177"/>
        <v/>
      </c>
      <c r="O2228" s="8"/>
      <c r="P2228" s="26"/>
      <c r="S2228" s="10" t="str">
        <f t="shared" si="174"/>
        <v/>
      </c>
    </row>
    <row r="2229" spans="5:19" x14ac:dyDescent="0.3">
      <c r="E2229" s="9" t="str">
        <f>IF(DADOS!C2229="","",DADOS!C2229)</f>
        <v/>
      </c>
      <c r="F2229" s="9" t="str">
        <f>IF(DADOS!E2229="","",DADOS!E2229)</f>
        <v/>
      </c>
      <c r="G2229" s="9" t="str">
        <f>IF(DADOS!F2229="","",DADOS!F2229)</f>
        <v/>
      </c>
      <c r="K2229" s="6" t="str">
        <f t="shared" si="175"/>
        <v/>
      </c>
      <c r="L2229" s="7" t="str">
        <f t="shared" si="176"/>
        <v/>
      </c>
      <c r="M2229" s="7" t="str">
        <f t="shared" si="173"/>
        <v/>
      </c>
      <c r="N2229" s="7" t="str">
        <f t="shared" si="177"/>
        <v/>
      </c>
      <c r="O2229" s="8"/>
      <c r="P2229" s="26"/>
      <c r="S2229" s="10" t="str">
        <f t="shared" si="174"/>
        <v/>
      </c>
    </row>
    <row r="2230" spans="5:19" x14ac:dyDescent="0.3">
      <c r="E2230" s="9" t="str">
        <f>IF(DADOS!C2230="","",DADOS!C2230)</f>
        <v/>
      </c>
      <c r="F2230" s="9" t="str">
        <f>IF(DADOS!E2230="","",DADOS!E2230)</f>
        <v/>
      </c>
      <c r="G2230" s="9" t="str">
        <f>IF(DADOS!F2230="","",DADOS!F2230)</f>
        <v/>
      </c>
      <c r="K2230" s="6" t="str">
        <f t="shared" si="175"/>
        <v/>
      </c>
      <c r="L2230" s="7" t="str">
        <f t="shared" si="176"/>
        <v/>
      </c>
      <c r="M2230" s="7" t="str">
        <f t="shared" si="173"/>
        <v/>
      </c>
      <c r="N2230" s="7" t="str">
        <f t="shared" si="177"/>
        <v/>
      </c>
      <c r="O2230" s="8"/>
      <c r="P2230" s="26"/>
      <c r="S2230" s="10" t="str">
        <f t="shared" si="174"/>
        <v/>
      </c>
    </row>
    <row r="2231" spans="5:19" x14ac:dyDescent="0.3">
      <c r="E2231" s="9" t="str">
        <f>IF(DADOS!C2231="","",DADOS!C2231)</f>
        <v/>
      </c>
      <c r="F2231" s="9" t="str">
        <f>IF(DADOS!E2231="","",DADOS!E2231)</f>
        <v/>
      </c>
      <c r="G2231" s="9" t="str">
        <f>IF(DADOS!F2231="","",DADOS!F2231)</f>
        <v/>
      </c>
      <c r="K2231" s="6" t="str">
        <f t="shared" si="175"/>
        <v/>
      </c>
      <c r="L2231" s="7" t="str">
        <f t="shared" si="176"/>
        <v/>
      </c>
      <c r="M2231" s="7" t="str">
        <f t="shared" si="173"/>
        <v/>
      </c>
      <c r="N2231" s="7" t="str">
        <f t="shared" si="177"/>
        <v/>
      </c>
      <c r="O2231" s="8"/>
      <c r="P2231" s="26"/>
      <c r="S2231" s="10" t="str">
        <f t="shared" si="174"/>
        <v/>
      </c>
    </row>
    <row r="2232" spans="5:19" x14ac:dyDescent="0.3">
      <c r="E2232" s="9" t="str">
        <f>IF(DADOS!C2232="","",DADOS!C2232)</f>
        <v/>
      </c>
      <c r="F2232" s="9" t="str">
        <f>IF(DADOS!E2232="","",DADOS!E2232)</f>
        <v/>
      </c>
      <c r="G2232" s="9" t="str">
        <f>IF(DADOS!F2232="","",DADOS!F2232)</f>
        <v/>
      </c>
      <c r="K2232" s="6" t="str">
        <f t="shared" si="175"/>
        <v/>
      </c>
      <c r="L2232" s="7" t="str">
        <f t="shared" si="176"/>
        <v/>
      </c>
      <c r="M2232" s="7" t="str">
        <f t="shared" si="173"/>
        <v/>
      </c>
      <c r="N2232" s="7" t="str">
        <f t="shared" si="177"/>
        <v/>
      </c>
      <c r="O2232" s="8"/>
      <c r="P2232" s="26"/>
      <c r="S2232" s="10" t="str">
        <f t="shared" si="174"/>
        <v/>
      </c>
    </row>
    <row r="2233" spans="5:19" x14ac:dyDescent="0.3">
      <c r="E2233" s="9" t="str">
        <f>IF(DADOS!C2233="","",DADOS!C2233)</f>
        <v/>
      </c>
      <c r="F2233" s="9" t="str">
        <f>IF(DADOS!E2233="","",DADOS!E2233)</f>
        <v/>
      </c>
      <c r="G2233" s="9" t="str">
        <f>IF(DADOS!F2233="","",DADOS!F2233)</f>
        <v/>
      </c>
      <c r="K2233" s="6" t="str">
        <f t="shared" si="175"/>
        <v/>
      </c>
      <c r="L2233" s="7" t="str">
        <f t="shared" si="176"/>
        <v/>
      </c>
      <c r="M2233" s="7" t="str">
        <f t="shared" si="173"/>
        <v/>
      </c>
      <c r="N2233" s="7" t="str">
        <f t="shared" si="177"/>
        <v/>
      </c>
      <c r="O2233" s="8"/>
      <c r="P2233" s="26"/>
      <c r="S2233" s="10" t="str">
        <f t="shared" si="174"/>
        <v/>
      </c>
    </row>
    <row r="2234" spans="5:19" x14ac:dyDescent="0.3">
      <c r="E2234" s="9" t="str">
        <f>IF(DADOS!C2234="","",DADOS!C2234)</f>
        <v/>
      </c>
      <c r="F2234" s="9" t="str">
        <f>IF(DADOS!E2234="","",DADOS!E2234)</f>
        <v/>
      </c>
      <c r="G2234" s="9" t="str">
        <f>IF(DADOS!F2234="","",DADOS!F2234)</f>
        <v/>
      </c>
      <c r="K2234" s="6" t="str">
        <f t="shared" si="175"/>
        <v/>
      </c>
      <c r="L2234" s="7" t="str">
        <f t="shared" si="176"/>
        <v/>
      </c>
      <c r="M2234" s="7" t="str">
        <f t="shared" si="173"/>
        <v/>
      </c>
      <c r="N2234" s="7" t="str">
        <f t="shared" si="177"/>
        <v/>
      </c>
      <c r="O2234" s="8"/>
      <c r="P2234" s="26"/>
      <c r="S2234" s="10" t="str">
        <f t="shared" si="174"/>
        <v/>
      </c>
    </row>
    <row r="2235" spans="5:19" x14ac:dyDescent="0.3">
      <c r="E2235" s="9" t="str">
        <f>IF(DADOS!C2235="","",DADOS!C2235)</f>
        <v/>
      </c>
      <c r="F2235" s="9" t="str">
        <f>IF(DADOS!E2235="","",DADOS!E2235)</f>
        <v/>
      </c>
      <c r="G2235" s="9" t="str">
        <f>IF(DADOS!F2235="","",DADOS!F2235)</f>
        <v/>
      </c>
      <c r="K2235" s="6" t="str">
        <f t="shared" si="175"/>
        <v/>
      </c>
      <c r="L2235" s="7" t="str">
        <f t="shared" si="176"/>
        <v/>
      </c>
      <c r="M2235" s="7" t="str">
        <f t="shared" si="173"/>
        <v/>
      </c>
      <c r="N2235" s="7" t="str">
        <f t="shared" si="177"/>
        <v/>
      </c>
      <c r="O2235" s="8"/>
      <c r="P2235" s="26"/>
      <c r="S2235" s="10" t="str">
        <f t="shared" si="174"/>
        <v/>
      </c>
    </row>
    <row r="2236" spans="5:19" x14ac:dyDescent="0.3">
      <c r="E2236" s="9" t="str">
        <f>IF(DADOS!C2236="","",DADOS!C2236)</f>
        <v/>
      </c>
      <c r="F2236" s="9" t="str">
        <f>IF(DADOS!E2236="","",DADOS!E2236)</f>
        <v/>
      </c>
      <c r="G2236" s="9" t="str">
        <f>IF(DADOS!F2236="","",DADOS!F2236)</f>
        <v/>
      </c>
      <c r="K2236" s="6" t="str">
        <f t="shared" si="175"/>
        <v/>
      </c>
      <c r="L2236" s="7" t="str">
        <f t="shared" si="176"/>
        <v/>
      </c>
      <c r="M2236" s="7" t="str">
        <f t="shared" si="173"/>
        <v/>
      </c>
      <c r="N2236" s="7" t="str">
        <f t="shared" si="177"/>
        <v/>
      </c>
      <c r="O2236" s="8"/>
      <c r="P2236" s="26"/>
      <c r="S2236" s="10" t="str">
        <f t="shared" si="174"/>
        <v/>
      </c>
    </row>
    <row r="2237" spans="5:19" x14ac:dyDescent="0.3">
      <c r="E2237" s="9" t="str">
        <f>IF(DADOS!C2237="","",DADOS!C2237)</f>
        <v/>
      </c>
      <c r="F2237" s="9" t="str">
        <f>IF(DADOS!E2237="","",DADOS!E2237)</f>
        <v/>
      </c>
      <c r="G2237" s="9" t="str">
        <f>IF(DADOS!F2237="","",DADOS!F2237)</f>
        <v/>
      </c>
      <c r="K2237" s="6" t="str">
        <f t="shared" si="175"/>
        <v/>
      </c>
      <c r="L2237" s="7" t="str">
        <f t="shared" si="176"/>
        <v/>
      </c>
      <c r="M2237" s="7" t="str">
        <f t="shared" si="173"/>
        <v/>
      </c>
      <c r="N2237" s="7" t="str">
        <f t="shared" si="177"/>
        <v/>
      </c>
      <c r="O2237" s="8"/>
      <c r="P2237" s="26"/>
      <c r="S2237" s="10" t="str">
        <f t="shared" si="174"/>
        <v/>
      </c>
    </row>
    <row r="2238" spans="5:19" x14ac:dyDescent="0.3">
      <c r="E2238" s="9" t="str">
        <f>IF(DADOS!C2238="","",DADOS!C2238)</f>
        <v/>
      </c>
      <c r="F2238" s="9" t="str">
        <f>IF(DADOS!E2238="","",DADOS!E2238)</f>
        <v/>
      </c>
      <c r="G2238" s="9" t="str">
        <f>IF(DADOS!F2238="","",DADOS!F2238)</f>
        <v/>
      </c>
      <c r="K2238" s="6" t="str">
        <f t="shared" si="175"/>
        <v/>
      </c>
      <c r="L2238" s="7" t="str">
        <f t="shared" si="176"/>
        <v/>
      </c>
      <c r="M2238" s="7" t="str">
        <f t="shared" si="173"/>
        <v/>
      </c>
      <c r="N2238" s="7" t="str">
        <f t="shared" si="177"/>
        <v/>
      </c>
      <c r="O2238" s="8"/>
      <c r="P2238" s="26"/>
      <c r="S2238" s="10" t="str">
        <f t="shared" si="174"/>
        <v/>
      </c>
    </row>
    <row r="2239" spans="5:19" x14ac:dyDescent="0.3">
      <c r="E2239" s="9" t="str">
        <f>IF(DADOS!C2239="","",DADOS!C2239)</f>
        <v/>
      </c>
      <c r="F2239" s="9" t="str">
        <f>IF(DADOS!E2239="","",DADOS!E2239)</f>
        <v/>
      </c>
      <c r="G2239" s="9" t="str">
        <f>IF(DADOS!F2239="","",DADOS!F2239)</f>
        <v/>
      </c>
      <c r="K2239" s="6" t="str">
        <f t="shared" si="175"/>
        <v/>
      </c>
      <c r="L2239" s="7" t="str">
        <f t="shared" si="176"/>
        <v/>
      </c>
      <c r="M2239" s="7" t="str">
        <f t="shared" si="173"/>
        <v/>
      </c>
      <c r="N2239" s="7" t="str">
        <f t="shared" si="177"/>
        <v/>
      </c>
      <c r="O2239" s="8"/>
      <c r="P2239" s="26"/>
      <c r="S2239" s="10" t="str">
        <f t="shared" si="174"/>
        <v/>
      </c>
    </row>
    <row r="2240" spans="5:19" x14ac:dyDescent="0.3">
      <c r="E2240" s="9" t="str">
        <f>IF(DADOS!C2240="","",DADOS!C2240)</f>
        <v/>
      </c>
      <c r="F2240" s="9" t="str">
        <f>IF(DADOS!E2240="","",DADOS!E2240)</f>
        <v/>
      </c>
      <c r="G2240" s="9" t="str">
        <f>IF(DADOS!F2240="","",DADOS!F2240)</f>
        <v/>
      </c>
      <c r="K2240" s="6" t="str">
        <f t="shared" si="175"/>
        <v/>
      </c>
      <c r="L2240" s="7" t="str">
        <f t="shared" si="176"/>
        <v/>
      </c>
      <c r="M2240" s="7" t="str">
        <f t="shared" si="173"/>
        <v/>
      </c>
      <c r="N2240" s="7" t="str">
        <f t="shared" si="177"/>
        <v/>
      </c>
      <c r="O2240" s="8"/>
      <c r="P2240" s="26"/>
      <c r="S2240" s="10" t="str">
        <f t="shared" si="174"/>
        <v/>
      </c>
    </row>
    <row r="2241" spans="5:19" x14ac:dyDescent="0.3">
      <c r="E2241" s="9" t="str">
        <f>IF(DADOS!C2241="","",DADOS!C2241)</f>
        <v/>
      </c>
      <c r="F2241" s="9" t="str">
        <f>IF(DADOS!E2241="","",DADOS!E2241)</f>
        <v/>
      </c>
      <c r="G2241" s="9" t="str">
        <f>IF(DADOS!F2241="","",DADOS!F2241)</f>
        <v/>
      </c>
      <c r="K2241" s="6" t="str">
        <f t="shared" si="175"/>
        <v/>
      </c>
      <c r="L2241" s="7" t="str">
        <f t="shared" si="176"/>
        <v/>
      </c>
      <c r="M2241" s="7" t="str">
        <f t="shared" si="173"/>
        <v/>
      </c>
      <c r="N2241" s="7" t="str">
        <f t="shared" si="177"/>
        <v/>
      </c>
      <c r="O2241" s="8"/>
      <c r="P2241" s="26"/>
      <c r="S2241" s="10" t="str">
        <f t="shared" si="174"/>
        <v/>
      </c>
    </row>
    <row r="2242" spans="5:19" x14ac:dyDescent="0.3">
      <c r="E2242" s="9" t="str">
        <f>IF(DADOS!C2242="","",DADOS!C2242)</f>
        <v/>
      </c>
      <c r="F2242" s="9" t="str">
        <f>IF(DADOS!E2242="","",DADOS!E2242)</f>
        <v/>
      </c>
      <c r="G2242" s="9" t="str">
        <f>IF(DADOS!F2242="","",DADOS!F2242)</f>
        <v/>
      </c>
      <c r="K2242" s="6" t="str">
        <f t="shared" si="175"/>
        <v/>
      </c>
      <c r="L2242" s="7" t="str">
        <f t="shared" si="176"/>
        <v/>
      </c>
      <c r="M2242" s="7" t="str">
        <f t="shared" si="173"/>
        <v/>
      </c>
      <c r="N2242" s="7" t="str">
        <f t="shared" si="177"/>
        <v/>
      </c>
      <c r="O2242" s="8"/>
      <c r="P2242" s="26"/>
      <c r="S2242" s="10" t="str">
        <f t="shared" si="174"/>
        <v/>
      </c>
    </row>
    <row r="2243" spans="5:19" x14ac:dyDescent="0.3">
      <c r="E2243" s="9" t="str">
        <f>IF(DADOS!C2243="","",DADOS!C2243)</f>
        <v/>
      </c>
      <c r="F2243" s="9" t="str">
        <f>IF(DADOS!E2243="","",DADOS!E2243)</f>
        <v/>
      </c>
      <c r="G2243" s="9" t="str">
        <f>IF(DADOS!F2243="","",DADOS!F2243)</f>
        <v/>
      </c>
      <c r="K2243" s="6" t="str">
        <f t="shared" si="175"/>
        <v/>
      </c>
      <c r="L2243" s="7" t="str">
        <f t="shared" si="176"/>
        <v/>
      </c>
      <c r="M2243" s="7" t="str">
        <f t="shared" ref="M2243:M2306" si="178">IF(L2243="","",L2243*G2243)</f>
        <v/>
      </c>
      <c r="N2243" s="7" t="str">
        <f t="shared" si="177"/>
        <v/>
      </c>
      <c r="O2243" s="8"/>
      <c r="P2243" s="26"/>
      <c r="S2243" s="10" t="str">
        <f t="shared" ref="S2243:S2306" si="179">IF(R2243="","",SUMIFS($N$3:$N$10000,$E$3:$E$10000,R2243))</f>
        <v/>
      </c>
    </row>
    <row r="2244" spans="5:19" x14ac:dyDescent="0.3">
      <c r="E2244" s="9" t="str">
        <f>IF(DADOS!C2244="","",DADOS!C2244)</f>
        <v/>
      </c>
      <c r="F2244" s="9" t="str">
        <f>IF(DADOS!E2244="","",DADOS!E2244)</f>
        <v/>
      </c>
      <c r="G2244" s="9" t="str">
        <f>IF(DADOS!F2244="","",DADOS!F2244)</f>
        <v/>
      </c>
      <c r="K2244" s="6" t="str">
        <f t="shared" ref="K2244:K2307" si="180">IF(F2244="","",F2244/PI())</f>
        <v/>
      </c>
      <c r="L2244" s="7" t="str">
        <f t="shared" ref="L2244:L2307" si="181">IF(K2244="","",(PI()*K2244^2)/40000)</f>
        <v/>
      </c>
      <c r="M2244" s="7" t="str">
        <f t="shared" si="178"/>
        <v/>
      </c>
      <c r="N2244" s="7" t="str">
        <f t="shared" ref="N2244:N2307" si="182">IF(M2244="","",M2244*N$1)</f>
        <v/>
      </c>
      <c r="O2244" s="8"/>
      <c r="P2244" s="26"/>
      <c r="S2244" s="10" t="str">
        <f t="shared" si="179"/>
        <v/>
      </c>
    </row>
    <row r="2245" spans="5:19" x14ac:dyDescent="0.3">
      <c r="E2245" s="9" t="str">
        <f>IF(DADOS!C2245="","",DADOS!C2245)</f>
        <v/>
      </c>
      <c r="F2245" s="9" t="str">
        <f>IF(DADOS!E2245="","",DADOS!E2245)</f>
        <v/>
      </c>
      <c r="G2245" s="9" t="str">
        <f>IF(DADOS!F2245="","",DADOS!F2245)</f>
        <v/>
      </c>
      <c r="K2245" s="6" t="str">
        <f t="shared" si="180"/>
        <v/>
      </c>
      <c r="L2245" s="7" t="str">
        <f t="shared" si="181"/>
        <v/>
      </c>
      <c r="M2245" s="7" t="str">
        <f t="shared" si="178"/>
        <v/>
      </c>
      <c r="N2245" s="7" t="str">
        <f t="shared" si="182"/>
        <v/>
      </c>
      <c r="O2245" s="8"/>
      <c r="P2245" s="26"/>
      <c r="S2245" s="10" t="str">
        <f t="shared" si="179"/>
        <v/>
      </c>
    </row>
    <row r="2246" spans="5:19" x14ac:dyDescent="0.3">
      <c r="E2246" s="9" t="str">
        <f>IF(DADOS!C2246="","",DADOS!C2246)</f>
        <v/>
      </c>
      <c r="F2246" s="9" t="str">
        <f>IF(DADOS!E2246="","",DADOS!E2246)</f>
        <v/>
      </c>
      <c r="G2246" s="9" t="str">
        <f>IF(DADOS!F2246="","",DADOS!F2246)</f>
        <v/>
      </c>
      <c r="K2246" s="6" t="str">
        <f t="shared" si="180"/>
        <v/>
      </c>
      <c r="L2246" s="7" t="str">
        <f t="shared" si="181"/>
        <v/>
      </c>
      <c r="M2246" s="7" t="str">
        <f t="shared" si="178"/>
        <v/>
      </c>
      <c r="N2246" s="7" t="str">
        <f t="shared" si="182"/>
        <v/>
      </c>
      <c r="O2246" s="8"/>
      <c r="P2246" s="26"/>
      <c r="S2246" s="10" t="str">
        <f t="shared" si="179"/>
        <v/>
      </c>
    </row>
    <row r="2247" spans="5:19" x14ac:dyDescent="0.3">
      <c r="E2247" s="9" t="str">
        <f>IF(DADOS!C2247="","",DADOS!C2247)</f>
        <v/>
      </c>
      <c r="F2247" s="9" t="str">
        <f>IF(DADOS!E2247="","",DADOS!E2247)</f>
        <v/>
      </c>
      <c r="G2247" s="9" t="str">
        <f>IF(DADOS!F2247="","",DADOS!F2247)</f>
        <v/>
      </c>
      <c r="K2247" s="6" t="str">
        <f t="shared" si="180"/>
        <v/>
      </c>
      <c r="L2247" s="7" t="str">
        <f t="shared" si="181"/>
        <v/>
      </c>
      <c r="M2247" s="7" t="str">
        <f t="shared" si="178"/>
        <v/>
      </c>
      <c r="N2247" s="7" t="str">
        <f t="shared" si="182"/>
        <v/>
      </c>
      <c r="O2247" s="8"/>
      <c r="P2247" s="26"/>
      <c r="S2247" s="10" t="str">
        <f t="shared" si="179"/>
        <v/>
      </c>
    </row>
    <row r="2248" spans="5:19" x14ac:dyDescent="0.3">
      <c r="E2248" s="9" t="str">
        <f>IF(DADOS!C2248="","",DADOS!C2248)</f>
        <v/>
      </c>
      <c r="F2248" s="9" t="str">
        <f>IF(DADOS!E2248="","",DADOS!E2248)</f>
        <v/>
      </c>
      <c r="G2248" s="9" t="str">
        <f>IF(DADOS!F2248="","",DADOS!F2248)</f>
        <v/>
      </c>
      <c r="K2248" s="6" t="str">
        <f t="shared" si="180"/>
        <v/>
      </c>
      <c r="L2248" s="7" t="str">
        <f t="shared" si="181"/>
        <v/>
      </c>
      <c r="M2248" s="7" t="str">
        <f t="shared" si="178"/>
        <v/>
      </c>
      <c r="N2248" s="7" t="str">
        <f t="shared" si="182"/>
        <v/>
      </c>
      <c r="O2248" s="8"/>
      <c r="P2248" s="26"/>
      <c r="S2248" s="10" t="str">
        <f t="shared" si="179"/>
        <v/>
      </c>
    </row>
    <row r="2249" spans="5:19" x14ac:dyDescent="0.3">
      <c r="E2249" s="9" t="str">
        <f>IF(DADOS!C2249="","",DADOS!C2249)</f>
        <v/>
      </c>
      <c r="F2249" s="9" t="str">
        <f>IF(DADOS!E2249="","",DADOS!E2249)</f>
        <v/>
      </c>
      <c r="G2249" s="9" t="str">
        <f>IF(DADOS!F2249="","",DADOS!F2249)</f>
        <v/>
      </c>
      <c r="K2249" s="6" t="str">
        <f t="shared" si="180"/>
        <v/>
      </c>
      <c r="L2249" s="7" t="str">
        <f t="shared" si="181"/>
        <v/>
      </c>
      <c r="M2249" s="7" t="str">
        <f t="shared" si="178"/>
        <v/>
      </c>
      <c r="N2249" s="7" t="str">
        <f t="shared" si="182"/>
        <v/>
      </c>
      <c r="O2249" s="8"/>
      <c r="P2249" s="26"/>
      <c r="S2249" s="10" t="str">
        <f t="shared" si="179"/>
        <v/>
      </c>
    </row>
    <row r="2250" spans="5:19" x14ac:dyDescent="0.3">
      <c r="E2250" s="9" t="str">
        <f>IF(DADOS!C2250="","",DADOS!C2250)</f>
        <v/>
      </c>
      <c r="F2250" s="9" t="str">
        <f>IF(DADOS!E2250="","",DADOS!E2250)</f>
        <v/>
      </c>
      <c r="G2250" s="9" t="str">
        <f>IF(DADOS!F2250="","",DADOS!F2250)</f>
        <v/>
      </c>
      <c r="K2250" s="6" t="str">
        <f t="shared" si="180"/>
        <v/>
      </c>
      <c r="L2250" s="7" t="str">
        <f t="shared" si="181"/>
        <v/>
      </c>
      <c r="M2250" s="7" t="str">
        <f t="shared" si="178"/>
        <v/>
      </c>
      <c r="N2250" s="7" t="str">
        <f t="shared" si="182"/>
        <v/>
      </c>
      <c r="O2250" s="8"/>
      <c r="P2250" s="26"/>
      <c r="S2250" s="10" t="str">
        <f t="shared" si="179"/>
        <v/>
      </c>
    </row>
    <row r="2251" spans="5:19" x14ac:dyDescent="0.3">
      <c r="E2251" s="9" t="str">
        <f>IF(DADOS!C2251="","",DADOS!C2251)</f>
        <v/>
      </c>
      <c r="F2251" s="9" t="str">
        <f>IF(DADOS!E2251="","",DADOS!E2251)</f>
        <v/>
      </c>
      <c r="G2251" s="9" t="str">
        <f>IF(DADOS!F2251="","",DADOS!F2251)</f>
        <v/>
      </c>
      <c r="K2251" s="6" t="str">
        <f t="shared" si="180"/>
        <v/>
      </c>
      <c r="L2251" s="7" t="str">
        <f t="shared" si="181"/>
        <v/>
      </c>
      <c r="M2251" s="7" t="str">
        <f t="shared" si="178"/>
        <v/>
      </c>
      <c r="N2251" s="7" t="str">
        <f t="shared" si="182"/>
        <v/>
      </c>
      <c r="O2251" s="8"/>
      <c r="P2251" s="26"/>
      <c r="S2251" s="10" t="str">
        <f t="shared" si="179"/>
        <v/>
      </c>
    </row>
    <row r="2252" spans="5:19" x14ac:dyDescent="0.3">
      <c r="E2252" s="9" t="str">
        <f>IF(DADOS!C2252="","",DADOS!C2252)</f>
        <v/>
      </c>
      <c r="F2252" s="9" t="str">
        <f>IF(DADOS!E2252="","",DADOS!E2252)</f>
        <v/>
      </c>
      <c r="G2252" s="9" t="str">
        <f>IF(DADOS!F2252="","",DADOS!F2252)</f>
        <v/>
      </c>
      <c r="K2252" s="6" t="str">
        <f t="shared" si="180"/>
        <v/>
      </c>
      <c r="L2252" s="7" t="str">
        <f t="shared" si="181"/>
        <v/>
      </c>
      <c r="M2252" s="7" t="str">
        <f t="shared" si="178"/>
        <v/>
      </c>
      <c r="N2252" s="7" t="str">
        <f t="shared" si="182"/>
        <v/>
      </c>
      <c r="O2252" s="8"/>
      <c r="P2252" s="26"/>
      <c r="S2252" s="10" t="str">
        <f t="shared" si="179"/>
        <v/>
      </c>
    </row>
    <row r="2253" spans="5:19" x14ac:dyDescent="0.3">
      <c r="E2253" s="9" t="str">
        <f>IF(DADOS!C2253="","",DADOS!C2253)</f>
        <v/>
      </c>
      <c r="F2253" s="9" t="str">
        <f>IF(DADOS!E2253="","",DADOS!E2253)</f>
        <v/>
      </c>
      <c r="G2253" s="9" t="str">
        <f>IF(DADOS!F2253="","",DADOS!F2253)</f>
        <v/>
      </c>
      <c r="K2253" s="6" t="str">
        <f t="shared" si="180"/>
        <v/>
      </c>
      <c r="L2253" s="7" t="str">
        <f t="shared" si="181"/>
        <v/>
      </c>
      <c r="M2253" s="7" t="str">
        <f t="shared" si="178"/>
        <v/>
      </c>
      <c r="N2253" s="7" t="str">
        <f t="shared" si="182"/>
        <v/>
      </c>
      <c r="O2253" s="8"/>
      <c r="P2253" s="26"/>
      <c r="S2253" s="10" t="str">
        <f t="shared" si="179"/>
        <v/>
      </c>
    </row>
    <row r="2254" spans="5:19" x14ac:dyDescent="0.3">
      <c r="E2254" s="9" t="str">
        <f>IF(DADOS!C2254="","",DADOS!C2254)</f>
        <v/>
      </c>
      <c r="F2254" s="9" t="str">
        <f>IF(DADOS!E2254="","",DADOS!E2254)</f>
        <v/>
      </c>
      <c r="G2254" s="9" t="str">
        <f>IF(DADOS!F2254="","",DADOS!F2254)</f>
        <v/>
      </c>
      <c r="K2254" s="6" t="str">
        <f t="shared" si="180"/>
        <v/>
      </c>
      <c r="L2254" s="7" t="str">
        <f t="shared" si="181"/>
        <v/>
      </c>
      <c r="M2254" s="7" t="str">
        <f t="shared" si="178"/>
        <v/>
      </c>
      <c r="N2254" s="7" t="str">
        <f t="shared" si="182"/>
        <v/>
      </c>
      <c r="O2254" s="8"/>
      <c r="P2254" s="26"/>
      <c r="S2254" s="10" t="str">
        <f t="shared" si="179"/>
        <v/>
      </c>
    </row>
    <row r="2255" spans="5:19" x14ac:dyDescent="0.3">
      <c r="E2255" s="9" t="str">
        <f>IF(DADOS!C2255="","",DADOS!C2255)</f>
        <v/>
      </c>
      <c r="F2255" s="9" t="str">
        <f>IF(DADOS!E2255="","",DADOS!E2255)</f>
        <v/>
      </c>
      <c r="G2255" s="9" t="str">
        <f>IF(DADOS!F2255="","",DADOS!F2255)</f>
        <v/>
      </c>
      <c r="K2255" s="6" t="str">
        <f t="shared" si="180"/>
        <v/>
      </c>
      <c r="L2255" s="7" t="str">
        <f t="shared" si="181"/>
        <v/>
      </c>
      <c r="M2255" s="7" t="str">
        <f t="shared" si="178"/>
        <v/>
      </c>
      <c r="N2255" s="7" t="str">
        <f t="shared" si="182"/>
        <v/>
      </c>
      <c r="O2255" s="8"/>
      <c r="P2255" s="26"/>
      <c r="S2255" s="10" t="str">
        <f t="shared" si="179"/>
        <v/>
      </c>
    </row>
    <row r="2256" spans="5:19" x14ac:dyDescent="0.3">
      <c r="E2256" s="9" t="str">
        <f>IF(DADOS!C2256="","",DADOS!C2256)</f>
        <v/>
      </c>
      <c r="F2256" s="9" t="str">
        <f>IF(DADOS!E2256="","",DADOS!E2256)</f>
        <v/>
      </c>
      <c r="G2256" s="9" t="str">
        <f>IF(DADOS!F2256="","",DADOS!F2256)</f>
        <v/>
      </c>
      <c r="K2256" s="6" t="str">
        <f t="shared" si="180"/>
        <v/>
      </c>
      <c r="L2256" s="7" t="str">
        <f t="shared" si="181"/>
        <v/>
      </c>
      <c r="M2256" s="7" t="str">
        <f t="shared" si="178"/>
        <v/>
      </c>
      <c r="N2256" s="7" t="str">
        <f t="shared" si="182"/>
        <v/>
      </c>
      <c r="O2256" s="8"/>
      <c r="P2256" s="26"/>
      <c r="S2256" s="10" t="str">
        <f t="shared" si="179"/>
        <v/>
      </c>
    </row>
    <row r="2257" spans="5:19" x14ac:dyDescent="0.3">
      <c r="E2257" s="9" t="str">
        <f>IF(DADOS!C2257="","",DADOS!C2257)</f>
        <v/>
      </c>
      <c r="F2257" s="9" t="str">
        <f>IF(DADOS!E2257="","",DADOS!E2257)</f>
        <v/>
      </c>
      <c r="G2257" s="9" t="str">
        <f>IF(DADOS!F2257="","",DADOS!F2257)</f>
        <v/>
      </c>
      <c r="K2257" s="6" t="str">
        <f t="shared" si="180"/>
        <v/>
      </c>
      <c r="L2257" s="7" t="str">
        <f t="shared" si="181"/>
        <v/>
      </c>
      <c r="M2257" s="7" t="str">
        <f t="shared" si="178"/>
        <v/>
      </c>
      <c r="N2257" s="7" t="str">
        <f t="shared" si="182"/>
        <v/>
      </c>
      <c r="O2257" s="8"/>
      <c r="P2257" s="26"/>
      <c r="S2257" s="10" t="str">
        <f t="shared" si="179"/>
        <v/>
      </c>
    </row>
    <row r="2258" spans="5:19" x14ac:dyDescent="0.3">
      <c r="E2258" s="9" t="str">
        <f>IF(DADOS!C2258="","",DADOS!C2258)</f>
        <v/>
      </c>
      <c r="F2258" s="9" t="str">
        <f>IF(DADOS!E2258="","",DADOS!E2258)</f>
        <v/>
      </c>
      <c r="G2258" s="9" t="str">
        <f>IF(DADOS!F2258="","",DADOS!F2258)</f>
        <v/>
      </c>
      <c r="K2258" s="6" t="str">
        <f t="shared" si="180"/>
        <v/>
      </c>
      <c r="L2258" s="7" t="str">
        <f t="shared" si="181"/>
        <v/>
      </c>
      <c r="M2258" s="7" t="str">
        <f t="shared" si="178"/>
        <v/>
      </c>
      <c r="N2258" s="7" t="str">
        <f t="shared" si="182"/>
        <v/>
      </c>
      <c r="O2258" s="8"/>
      <c r="P2258" s="26"/>
      <c r="S2258" s="10" t="str">
        <f t="shared" si="179"/>
        <v/>
      </c>
    </row>
    <row r="2259" spans="5:19" x14ac:dyDescent="0.3">
      <c r="E2259" s="9" t="str">
        <f>IF(DADOS!C2259="","",DADOS!C2259)</f>
        <v/>
      </c>
      <c r="F2259" s="9" t="str">
        <f>IF(DADOS!E2259="","",DADOS!E2259)</f>
        <v/>
      </c>
      <c r="G2259" s="9" t="str">
        <f>IF(DADOS!F2259="","",DADOS!F2259)</f>
        <v/>
      </c>
      <c r="K2259" s="6" t="str">
        <f t="shared" si="180"/>
        <v/>
      </c>
      <c r="L2259" s="7" t="str">
        <f t="shared" si="181"/>
        <v/>
      </c>
      <c r="M2259" s="7" t="str">
        <f t="shared" si="178"/>
        <v/>
      </c>
      <c r="N2259" s="7" t="str">
        <f t="shared" si="182"/>
        <v/>
      </c>
      <c r="O2259" s="8"/>
      <c r="P2259" s="26"/>
      <c r="S2259" s="10" t="str">
        <f t="shared" si="179"/>
        <v/>
      </c>
    </row>
    <row r="2260" spans="5:19" x14ac:dyDescent="0.3">
      <c r="E2260" s="9" t="str">
        <f>IF(DADOS!C2260="","",DADOS!C2260)</f>
        <v/>
      </c>
      <c r="F2260" s="9" t="str">
        <f>IF(DADOS!E2260="","",DADOS!E2260)</f>
        <v/>
      </c>
      <c r="G2260" s="9" t="str">
        <f>IF(DADOS!F2260="","",DADOS!F2260)</f>
        <v/>
      </c>
      <c r="K2260" s="6" t="str">
        <f t="shared" si="180"/>
        <v/>
      </c>
      <c r="L2260" s="7" t="str">
        <f t="shared" si="181"/>
        <v/>
      </c>
      <c r="M2260" s="7" t="str">
        <f t="shared" si="178"/>
        <v/>
      </c>
      <c r="N2260" s="7" t="str">
        <f t="shared" si="182"/>
        <v/>
      </c>
      <c r="O2260" s="8"/>
      <c r="P2260" s="26"/>
      <c r="S2260" s="10" t="str">
        <f t="shared" si="179"/>
        <v/>
      </c>
    </row>
    <row r="2261" spans="5:19" x14ac:dyDescent="0.3">
      <c r="E2261" s="9" t="str">
        <f>IF(DADOS!C2261="","",DADOS!C2261)</f>
        <v/>
      </c>
      <c r="F2261" s="9" t="str">
        <f>IF(DADOS!E2261="","",DADOS!E2261)</f>
        <v/>
      </c>
      <c r="G2261" s="9" t="str">
        <f>IF(DADOS!F2261="","",DADOS!F2261)</f>
        <v/>
      </c>
      <c r="K2261" s="6" t="str">
        <f t="shared" si="180"/>
        <v/>
      </c>
      <c r="L2261" s="7" t="str">
        <f t="shared" si="181"/>
        <v/>
      </c>
      <c r="M2261" s="7" t="str">
        <f t="shared" si="178"/>
        <v/>
      </c>
      <c r="N2261" s="7" t="str">
        <f t="shared" si="182"/>
        <v/>
      </c>
      <c r="O2261" s="8"/>
      <c r="P2261" s="26"/>
      <c r="S2261" s="10" t="str">
        <f t="shared" si="179"/>
        <v/>
      </c>
    </row>
    <row r="2262" spans="5:19" x14ac:dyDescent="0.3">
      <c r="E2262" s="9" t="str">
        <f>IF(DADOS!C2262="","",DADOS!C2262)</f>
        <v/>
      </c>
      <c r="F2262" s="9" t="str">
        <f>IF(DADOS!E2262="","",DADOS!E2262)</f>
        <v/>
      </c>
      <c r="G2262" s="9" t="str">
        <f>IF(DADOS!F2262="","",DADOS!F2262)</f>
        <v/>
      </c>
      <c r="K2262" s="6" t="str">
        <f t="shared" si="180"/>
        <v/>
      </c>
      <c r="L2262" s="7" t="str">
        <f t="shared" si="181"/>
        <v/>
      </c>
      <c r="M2262" s="7" t="str">
        <f t="shared" si="178"/>
        <v/>
      </c>
      <c r="N2262" s="7" t="str">
        <f t="shared" si="182"/>
        <v/>
      </c>
      <c r="O2262" s="8"/>
      <c r="P2262" s="26"/>
      <c r="S2262" s="10" t="str">
        <f t="shared" si="179"/>
        <v/>
      </c>
    </row>
    <row r="2263" spans="5:19" x14ac:dyDescent="0.3">
      <c r="E2263" s="9" t="str">
        <f>IF(DADOS!C2263="","",DADOS!C2263)</f>
        <v/>
      </c>
      <c r="F2263" s="9" t="str">
        <f>IF(DADOS!E2263="","",DADOS!E2263)</f>
        <v/>
      </c>
      <c r="G2263" s="9" t="str">
        <f>IF(DADOS!F2263="","",DADOS!F2263)</f>
        <v/>
      </c>
      <c r="K2263" s="6" t="str">
        <f t="shared" si="180"/>
        <v/>
      </c>
      <c r="L2263" s="7" t="str">
        <f t="shared" si="181"/>
        <v/>
      </c>
      <c r="M2263" s="7" t="str">
        <f t="shared" si="178"/>
        <v/>
      </c>
      <c r="N2263" s="7" t="str">
        <f t="shared" si="182"/>
        <v/>
      </c>
      <c r="O2263" s="8"/>
      <c r="P2263" s="26"/>
      <c r="S2263" s="10" t="str">
        <f t="shared" si="179"/>
        <v/>
      </c>
    </row>
    <row r="2264" spans="5:19" x14ac:dyDescent="0.3">
      <c r="E2264" s="9" t="str">
        <f>IF(DADOS!C2264="","",DADOS!C2264)</f>
        <v/>
      </c>
      <c r="F2264" s="9" t="str">
        <f>IF(DADOS!E2264="","",DADOS!E2264)</f>
        <v/>
      </c>
      <c r="G2264" s="9" t="str">
        <f>IF(DADOS!F2264="","",DADOS!F2264)</f>
        <v/>
      </c>
      <c r="K2264" s="6" t="str">
        <f t="shared" si="180"/>
        <v/>
      </c>
      <c r="L2264" s="7" t="str">
        <f t="shared" si="181"/>
        <v/>
      </c>
      <c r="M2264" s="7" t="str">
        <f t="shared" si="178"/>
        <v/>
      </c>
      <c r="N2264" s="7" t="str">
        <f t="shared" si="182"/>
        <v/>
      </c>
      <c r="O2264" s="8"/>
      <c r="P2264" s="26"/>
      <c r="S2264" s="10" t="str">
        <f t="shared" si="179"/>
        <v/>
      </c>
    </row>
    <row r="2265" spans="5:19" x14ac:dyDescent="0.3">
      <c r="E2265" s="9" t="str">
        <f>IF(DADOS!C2265="","",DADOS!C2265)</f>
        <v/>
      </c>
      <c r="F2265" s="9" t="str">
        <f>IF(DADOS!E2265="","",DADOS!E2265)</f>
        <v/>
      </c>
      <c r="G2265" s="9" t="str">
        <f>IF(DADOS!F2265="","",DADOS!F2265)</f>
        <v/>
      </c>
      <c r="K2265" s="6" t="str">
        <f t="shared" si="180"/>
        <v/>
      </c>
      <c r="L2265" s="7" t="str">
        <f t="shared" si="181"/>
        <v/>
      </c>
      <c r="M2265" s="7" t="str">
        <f t="shared" si="178"/>
        <v/>
      </c>
      <c r="N2265" s="7" t="str">
        <f t="shared" si="182"/>
        <v/>
      </c>
      <c r="O2265" s="8"/>
      <c r="P2265" s="26"/>
      <c r="S2265" s="10" t="str">
        <f t="shared" si="179"/>
        <v/>
      </c>
    </row>
    <row r="2266" spans="5:19" x14ac:dyDescent="0.3">
      <c r="E2266" s="9" t="str">
        <f>IF(DADOS!C2266="","",DADOS!C2266)</f>
        <v/>
      </c>
      <c r="F2266" s="9" t="str">
        <f>IF(DADOS!E2266="","",DADOS!E2266)</f>
        <v/>
      </c>
      <c r="G2266" s="9" t="str">
        <f>IF(DADOS!F2266="","",DADOS!F2266)</f>
        <v/>
      </c>
      <c r="K2266" s="6" t="str">
        <f t="shared" si="180"/>
        <v/>
      </c>
      <c r="L2266" s="7" t="str">
        <f t="shared" si="181"/>
        <v/>
      </c>
      <c r="M2266" s="7" t="str">
        <f t="shared" si="178"/>
        <v/>
      </c>
      <c r="N2266" s="7" t="str">
        <f t="shared" si="182"/>
        <v/>
      </c>
      <c r="O2266" s="8"/>
      <c r="P2266" s="26"/>
      <c r="S2266" s="10" t="str">
        <f t="shared" si="179"/>
        <v/>
      </c>
    </row>
    <row r="2267" spans="5:19" x14ac:dyDescent="0.3">
      <c r="E2267" s="9" t="str">
        <f>IF(DADOS!C2267="","",DADOS!C2267)</f>
        <v/>
      </c>
      <c r="F2267" s="9" t="str">
        <f>IF(DADOS!E2267="","",DADOS!E2267)</f>
        <v/>
      </c>
      <c r="G2267" s="9" t="str">
        <f>IF(DADOS!F2267="","",DADOS!F2267)</f>
        <v/>
      </c>
      <c r="K2267" s="6" t="str">
        <f t="shared" si="180"/>
        <v/>
      </c>
      <c r="L2267" s="7" t="str">
        <f t="shared" si="181"/>
        <v/>
      </c>
      <c r="M2267" s="7" t="str">
        <f t="shared" si="178"/>
        <v/>
      </c>
      <c r="N2267" s="7" t="str">
        <f t="shared" si="182"/>
        <v/>
      </c>
      <c r="O2267" s="8"/>
      <c r="P2267" s="26"/>
      <c r="S2267" s="10" t="str">
        <f t="shared" si="179"/>
        <v/>
      </c>
    </row>
    <row r="2268" spans="5:19" x14ac:dyDescent="0.3">
      <c r="E2268" s="9" t="str">
        <f>IF(DADOS!C2268="","",DADOS!C2268)</f>
        <v/>
      </c>
      <c r="F2268" s="9" t="str">
        <f>IF(DADOS!E2268="","",DADOS!E2268)</f>
        <v/>
      </c>
      <c r="G2268" s="9" t="str">
        <f>IF(DADOS!F2268="","",DADOS!F2268)</f>
        <v/>
      </c>
      <c r="K2268" s="6" t="str">
        <f t="shared" si="180"/>
        <v/>
      </c>
      <c r="L2268" s="7" t="str">
        <f t="shared" si="181"/>
        <v/>
      </c>
      <c r="M2268" s="7" t="str">
        <f t="shared" si="178"/>
        <v/>
      </c>
      <c r="N2268" s="7" t="str">
        <f t="shared" si="182"/>
        <v/>
      </c>
      <c r="O2268" s="8"/>
      <c r="P2268" s="26"/>
      <c r="S2268" s="10" t="str">
        <f t="shared" si="179"/>
        <v/>
      </c>
    </row>
    <row r="2269" spans="5:19" x14ac:dyDescent="0.3">
      <c r="E2269" s="9" t="str">
        <f>IF(DADOS!C2269="","",DADOS!C2269)</f>
        <v/>
      </c>
      <c r="F2269" s="9" t="str">
        <f>IF(DADOS!E2269="","",DADOS!E2269)</f>
        <v/>
      </c>
      <c r="G2269" s="9" t="str">
        <f>IF(DADOS!F2269="","",DADOS!F2269)</f>
        <v/>
      </c>
      <c r="K2269" s="6" t="str">
        <f t="shared" si="180"/>
        <v/>
      </c>
      <c r="L2269" s="7" t="str">
        <f t="shared" si="181"/>
        <v/>
      </c>
      <c r="M2269" s="7" t="str">
        <f t="shared" si="178"/>
        <v/>
      </c>
      <c r="N2269" s="7" t="str">
        <f t="shared" si="182"/>
        <v/>
      </c>
      <c r="O2269" s="8"/>
      <c r="P2269" s="26"/>
      <c r="S2269" s="10" t="str">
        <f t="shared" si="179"/>
        <v/>
      </c>
    </row>
    <row r="2270" spans="5:19" x14ac:dyDescent="0.3">
      <c r="E2270" s="9" t="str">
        <f>IF(DADOS!C2270="","",DADOS!C2270)</f>
        <v/>
      </c>
      <c r="F2270" s="9" t="str">
        <f>IF(DADOS!E2270="","",DADOS!E2270)</f>
        <v/>
      </c>
      <c r="G2270" s="9" t="str">
        <f>IF(DADOS!F2270="","",DADOS!F2270)</f>
        <v/>
      </c>
      <c r="K2270" s="6" t="str">
        <f t="shared" si="180"/>
        <v/>
      </c>
      <c r="L2270" s="7" t="str">
        <f t="shared" si="181"/>
        <v/>
      </c>
      <c r="M2270" s="7" t="str">
        <f t="shared" si="178"/>
        <v/>
      </c>
      <c r="N2270" s="7" t="str">
        <f t="shared" si="182"/>
        <v/>
      </c>
      <c r="O2270" s="8"/>
      <c r="P2270" s="26"/>
      <c r="S2270" s="10" t="str">
        <f t="shared" si="179"/>
        <v/>
      </c>
    </row>
    <row r="2271" spans="5:19" x14ac:dyDescent="0.3">
      <c r="E2271" s="9" t="str">
        <f>IF(DADOS!C2271="","",DADOS!C2271)</f>
        <v/>
      </c>
      <c r="F2271" s="9" t="str">
        <f>IF(DADOS!E2271="","",DADOS!E2271)</f>
        <v/>
      </c>
      <c r="G2271" s="9" t="str">
        <f>IF(DADOS!F2271="","",DADOS!F2271)</f>
        <v/>
      </c>
      <c r="K2271" s="6" t="str">
        <f t="shared" si="180"/>
        <v/>
      </c>
      <c r="L2271" s="7" t="str">
        <f t="shared" si="181"/>
        <v/>
      </c>
      <c r="M2271" s="7" t="str">
        <f t="shared" si="178"/>
        <v/>
      </c>
      <c r="N2271" s="7" t="str">
        <f t="shared" si="182"/>
        <v/>
      </c>
      <c r="O2271" s="8"/>
      <c r="P2271" s="26"/>
      <c r="S2271" s="10" t="str">
        <f t="shared" si="179"/>
        <v/>
      </c>
    </row>
    <row r="2272" spans="5:19" x14ac:dyDescent="0.3">
      <c r="E2272" s="9" t="str">
        <f>IF(DADOS!C2272="","",DADOS!C2272)</f>
        <v/>
      </c>
      <c r="F2272" s="9" t="str">
        <f>IF(DADOS!E2272="","",DADOS!E2272)</f>
        <v/>
      </c>
      <c r="G2272" s="9" t="str">
        <f>IF(DADOS!F2272="","",DADOS!F2272)</f>
        <v/>
      </c>
      <c r="K2272" s="6" t="str">
        <f t="shared" si="180"/>
        <v/>
      </c>
      <c r="L2272" s="7" t="str">
        <f t="shared" si="181"/>
        <v/>
      </c>
      <c r="M2272" s="7" t="str">
        <f t="shared" si="178"/>
        <v/>
      </c>
      <c r="N2272" s="7" t="str">
        <f t="shared" si="182"/>
        <v/>
      </c>
      <c r="O2272" s="8"/>
      <c r="P2272" s="26"/>
      <c r="S2272" s="10" t="str">
        <f t="shared" si="179"/>
        <v/>
      </c>
    </row>
    <row r="2273" spans="5:19" x14ac:dyDescent="0.3">
      <c r="E2273" s="9" t="str">
        <f>IF(DADOS!C2273="","",DADOS!C2273)</f>
        <v/>
      </c>
      <c r="F2273" s="9" t="str">
        <f>IF(DADOS!E2273="","",DADOS!E2273)</f>
        <v/>
      </c>
      <c r="G2273" s="9" t="str">
        <f>IF(DADOS!F2273="","",DADOS!F2273)</f>
        <v/>
      </c>
      <c r="K2273" s="6" t="str">
        <f t="shared" si="180"/>
        <v/>
      </c>
      <c r="L2273" s="7" t="str">
        <f t="shared" si="181"/>
        <v/>
      </c>
      <c r="M2273" s="7" t="str">
        <f t="shared" si="178"/>
        <v/>
      </c>
      <c r="N2273" s="7" t="str">
        <f t="shared" si="182"/>
        <v/>
      </c>
      <c r="O2273" s="8"/>
      <c r="P2273" s="26"/>
      <c r="S2273" s="10" t="str">
        <f t="shared" si="179"/>
        <v/>
      </c>
    </row>
    <row r="2274" spans="5:19" x14ac:dyDescent="0.3">
      <c r="E2274" s="9" t="str">
        <f>IF(DADOS!C2274="","",DADOS!C2274)</f>
        <v/>
      </c>
      <c r="F2274" s="9" t="str">
        <f>IF(DADOS!E2274="","",DADOS!E2274)</f>
        <v/>
      </c>
      <c r="G2274" s="9" t="str">
        <f>IF(DADOS!F2274="","",DADOS!F2274)</f>
        <v/>
      </c>
      <c r="K2274" s="6" t="str">
        <f t="shared" si="180"/>
        <v/>
      </c>
      <c r="L2274" s="7" t="str">
        <f t="shared" si="181"/>
        <v/>
      </c>
      <c r="M2274" s="7" t="str">
        <f t="shared" si="178"/>
        <v/>
      </c>
      <c r="N2274" s="7" t="str">
        <f t="shared" si="182"/>
        <v/>
      </c>
      <c r="O2274" s="8"/>
      <c r="P2274" s="26"/>
      <c r="S2274" s="10" t="str">
        <f t="shared" si="179"/>
        <v/>
      </c>
    </row>
    <row r="2275" spans="5:19" x14ac:dyDescent="0.3">
      <c r="E2275" s="9" t="str">
        <f>IF(DADOS!C2275="","",DADOS!C2275)</f>
        <v/>
      </c>
      <c r="F2275" s="9" t="str">
        <f>IF(DADOS!E2275="","",DADOS!E2275)</f>
        <v/>
      </c>
      <c r="G2275" s="9" t="str">
        <f>IF(DADOS!F2275="","",DADOS!F2275)</f>
        <v/>
      </c>
      <c r="K2275" s="6" t="str">
        <f t="shared" si="180"/>
        <v/>
      </c>
      <c r="L2275" s="7" t="str">
        <f t="shared" si="181"/>
        <v/>
      </c>
      <c r="M2275" s="7" t="str">
        <f t="shared" si="178"/>
        <v/>
      </c>
      <c r="N2275" s="7" t="str">
        <f t="shared" si="182"/>
        <v/>
      </c>
      <c r="O2275" s="8"/>
      <c r="P2275" s="26"/>
      <c r="S2275" s="10" t="str">
        <f t="shared" si="179"/>
        <v/>
      </c>
    </row>
    <row r="2276" spans="5:19" x14ac:dyDescent="0.3">
      <c r="E2276" s="9" t="str">
        <f>IF(DADOS!C2276="","",DADOS!C2276)</f>
        <v/>
      </c>
      <c r="F2276" s="9" t="str">
        <f>IF(DADOS!E2276="","",DADOS!E2276)</f>
        <v/>
      </c>
      <c r="G2276" s="9" t="str">
        <f>IF(DADOS!F2276="","",DADOS!F2276)</f>
        <v/>
      </c>
      <c r="K2276" s="6" t="str">
        <f t="shared" si="180"/>
        <v/>
      </c>
      <c r="L2276" s="7" t="str">
        <f t="shared" si="181"/>
        <v/>
      </c>
      <c r="M2276" s="7" t="str">
        <f t="shared" si="178"/>
        <v/>
      </c>
      <c r="N2276" s="7" t="str">
        <f t="shared" si="182"/>
        <v/>
      </c>
      <c r="O2276" s="8"/>
      <c r="P2276" s="26"/>
      <c r="S2276" s="10" t="str">
        <f t="shared" si="179"/>
        <v/>
      </c>
    </row>
    <row r="2277" spans="5:19" x14ac:dyDescent="0.3">
      <c r="E2277" s="9" t="str">
        <f>IF(DADOS!C2277="","",DADOS!C2277)</f>
        <v/>
      </c>
      <c r="F2277" s="9" t="str">
        <f>IF(DADOS!E2277="","",DADOS!E2277)</f>
        <v/>
      </c>
      <c r="G2277" s="9" t="str">
        <f>IF(DADOS!F2277="","",DADOS!F2277)</f>
        <v/>
      </c>
      <c r="K2277" s="6" t="str">
        <f t="shared" si="180"/>
        <v/>
      </c>
      <c r="L2277" s="7" t="str">
        <f t="shared" si="181"/>
        <v/>
      </c>
      <c r="M2277" s="7" t="str">
        <f t="shared" si="178"/>
        <v/>
      </c>
      <c r="N2277" s="7" t="str">
        <f t="shared" si="182"/>
        <v/>
      </c>
      <c r="O2277" s="8"/>
      <c r="P2277" s="26"/>
      <c r="S2277" s="10" t="str">
        <f t="shared" si="179"/>
        <v/>
      </c>
    </row>
    <row r="2278" spans="5:19" x14ac:dyDescent="0.3">
      <c r="E2278" s="9" t="str">
        <f>IF(DADOS!C2278="","",DADOS!C2278)</f>
        <v/>
      </c>
      <c r="F2278" s="9" t="str">
        <f>IF(DADOS!E2278="","",DADOS!E2278)</f>
        <v/>
      </c>
      <c r="G2278" s="9" t="str">
        <f>IF(DADOS!F2278="","",DADOS!F2278)</f>
        <v/>
      </c>
      <c r="K2278" s="6" t="str">
        <f t="shared" si="180"/>
        <v/>
      </c>
      <c r="L2278" s="7" t="str">
        <f t="shared" si="181"/>
        <v/>
      </c>
      <c r="M2278" s="7" t="str">
        <f t="shared" si="178"/>
        <v/>
      </c>
      <c r="N2278" s="7" t="str">
        <f t="shared" si="182"/>
        <v/>
      </c>
      <c r="O2278" s="8"/>
      <c r="P2278" s="26"/>
      <c r="S2278" s="10" t="str">
        <f t="shared" si="179"/>
        <v/>
      </c>
    </row>
    <row r="2279" spans="5:19" x14ac:dyDescent="0.3">
      <c r="E2279" s="9" t="str">
        <f>IF(DADOS!C2279="","",DADOS!C2279)</f>
        <v/>
      </c>
      <c r="F2279" s="9" t="str">
        <f>IF(DADOS!E2279="","",DADOS!E2279)</f>
        <v/>
      </c>
      <c r="G2279" s="9" t="str">
        <f>IF(DADOS!F2279="","",DADOS!F2279)</f>
        <v/>
      </c>
      <c r="K2279" s="6" t="str">
        <f t="shared" si="180"/>
        <v/>
      </c>
      <c r="L2279" s="7" t="str">
        <f t="shared" si="181"/>
        <v/>
      </c>
      <c r="M2279" s="7" t="str">
        <f t="shared" si="178"/>
        <v/>
      </c>
      <c r="N2279" s="7" t="str">
        <f t="shared" si="182"/>
        <v/>
      </c>
      <c r="O2279" s="8"/>
      <c r="P2279" s="26"/>
      <c r="S2279" s="10" t="str">
        <f t="shared" si="179"/>
        <v/>
      </c>
    </row>
    <row r="2280" spans="5:19" x14ac:dyDescent="0.3">
      <c r="E2280" s="9" t="str">
        <f>IF(DADOS!C2280="","",DADOS!C2280)</f>
        <v/>
      </c>
      <c r="F2280" s="9" t="str">
        <f>IF(DADOS!E2280="","",DADOS!E2280)</f>
        <v/>
      </c>
      <c r="G2280" s="9" t="str">
        <f>IF(DADOS!F2280="","",DADOS!F2280)</f>
        <v/>
      </c>
      <c r="K2280" s="6" t="str">
        <f t="shared" si="180"/>
        <v/>
      </c>
      <c r="L2280" s="7" t="str">
        <f t="shared" si="181"/>
        <v/>
      </c>
      <c r="M2280" s="7" t="str">
        <f t="shared" si="178"/>
        <v/>
      </c>
      <c r="N2280" s="7" t="str">
        <f t="shared" si="182"/>
        <v/>
      </c>
      <c r="O2280" s="8"/>
      <c r="P2280" s="26"/>
      <c r="S2280" s="10" t="str">
        <f t="shared" si="179"/>
        <v/>
      </c>
    </row>
    <row r="2281" spans="5:19" x14ac:dyDescent="0.3">
      <c r="E2281" s="9" t="str">
        <f>IF(DADOS!C2281="","",DADOS!C2281)</f>
        <v/>
      </c>
      <c r="F2281" s="9" t="str">
        <f>IF(DADOS!E2281="","",DADOS!E2281)</f>
        <v/>
      </c>
      <c r="G2281" s="9" t="str">
        <f>IF(DADOS!F2281="","",DADOS!F2281)</f>
        <v/>
      </c>
      <c r="K2281" s="6" t="str">
        <f t="shared" si="180"/>
        <v/>
      </c>
      <c r="L2281" s="7" t="str">
        <f t="shared" si="181"/>
        <v/>
      </c>
      <c r="M2281" s="7" t="str">
        <f t="shared" si="178"/>
        <v/>
      </c>
      <c r="N2281" s="7" t="str">
        <f t="shared" si="182"/>
        <v/>
      </c>
      <c r="O2281" s="8"/>
      <c r="P2281" s="26"/>
      <c r="S2281" s="10" t="str">
        <f t="shared" si="179"/>
        <v/>
      </c>
    </row>
    <row r="2282" spans="5:19" x14ac:dyDescent="0.3">
      <c r="E2282" s="9" t="str">
        <f>IF(DADOS!C2282="","",DADOS!C2282)</f>
        <v/>
      </c>
      <c r="F2282" s="9" t="str">
        <f>IF(DADOS!E2282="","",DADOS!E2282)</f>
        <v/>
      </c>
      <c r="G2282" s="9" t="str">
        <f>IF(DADOS!F2282="","",DADOS!F2282)</f>
        <v/>
      </c>
      <c r="K2282" s="6" t="str">
        <f t="shared" si="180"/>
        <v/>
      </c>
      <c r="L2282" s="7" t="str">
        <f t="shared" si="181"/>
        <v/>
      </c>
      <c r="M2282" s="7" t="str">
        <f t="shared" si="178"/>
        <v/>
      </c>
      <c r="N2282" s="7" t="str">
        <f t="shared" si="182"/>
        <v/>
      </c>
      <c r="O2282" s="8"/>
      <c r="P2282" s="26"/>
      <c r="S2282" s="10" t="str">
        <f t="shared" si="179"/>
        <v/>
      </c>
    </row>
    <row r="2283" spans="5:19" x14ac:dyDescent="0.3">
      <c r="E2283" s="9" t="str">
        <f>IF(DADOS!C2283="","",DADOS!C2283)</f>
        <v/>
      </c>
      <c r="F2283" s="9" t="str">
        <f>IF(DADOS!E2283="","",DADOS!E2283)</f>
        <v/>
      </c>
      <c r="G2283" s="9" t="str">
        <f>IF(DADOS!F2283="","",DADOS!F2283)</f>
        <v/>
      </c>
      <c r="K2283" s="6" t="str">
        <f t="shared" si="180"/>
        <v/>
      </c>
      <c r="L2283" s="7" t="str">
        <f t="shared" si="181"/>
        <v/>
      </c>
      <c r="M2283" s="7" t="str">
        <f t="shared" si="178"/>
        <v/>
      </c>
      <c r="N2283" s="7" t="str">
        <f t="shared" si="182"/>
        <v/>
      </c>
      <c r="O2283" s="8"/>
      <c r="P2283" s="26"/>
      <c r="S2283" s="10" t="str">
        <f t="shared" si="179"/>
        <v/>
      </c>
    </row>
    <row r="2284" spans="5:19" x14ac:dyDescent="0.3">
      <c r="E2284" s="9" t="str">
        <f>IF(DADOS!C2284="","",DADOS!C2284)</f>
        <v/>
      </c>
      <c r="F2284" s="9" t="str">
        <f>IF(DADOS!E2284="","",DADOS!E2284)</f>
        <v/>
      </c>
      <c r="G2284" s="9" t="str">
        <f>IF(DADOS!F2284="","",DADOS!F2284)</f>
        <v/>
      </c>
      <c r="K2284" s="6" t="str">
        <f t="shared" si="180"/>
        <v/>
      </c>
      <c r="L2284" s="7" t="str">
        <f t="shared" si="181"/>
        <v/>
      </c>
      <c r="M2284" s="7" t="str">
        <f t="shared" si="178"/>
        <v/>
      </c>
      <c r="N2284" s="7" t="str">
        <f t="shared" si="182"/>
        <v/>
      </c>
      <c r="O2284" s="8"/>
      <c r="P2284" s="26"/>
      <c r="S2284" s="10" t="str">
        <f t="shared" si="179"/>
        <v/>
      </c>
    </row>
    <row r="2285" spans="5:19" x14ac:dyDescent="0.3">
      <c r="E2285" s="9" t="str">
        <f>IF(DADOS!C2285="","",DADOS!C2285)</f>
        <v/>
      </c>
      <c r="F2285" s="9" t="str">
        <f>IF(DADOS!E2285="","",DADOS!E2285)</f>
        <v/>
      </c>
      <c r="G2285" s="9" t="str">
        <f>IF(DADOS!F2285="","",DADOS!F2285)</f>
        <v/>
      </c>
      <c r="K2285" s="6" t="str">
        <f t="shared" si="180"/>
        <v/>
      </c>
      <c r="L2285" s="7" t="str">
        <f t="shared" si="181"/>
        <v/>
      </c>
      <c r="M2285" s="7" t="str">
        <f t="shared" si="178"/>
        <v/>
      </c>
      <c r="N2285" s="7" t="str">
        <f t="shared" si="182"/>
        <v/>
      </c>
      <c r="O2285" s="8"/>
      <c r="P2285" s="26"/>
      <c r="S2285" s="10" t="str">
        <f t="shared" si="179"/>
        <v/>
      </c>
    </row>
    <row r="2286" spans="5:19" x14ac:dyDescent="0.3">
      <c r="E2286" s="9" t="str">
        <f>IF(DADOS!C2286="","",DADOS!C2286)</f>
        <v/>
      </c>
      <c r="F2286" s="9" t="str">
        <f>IF(DADOS!E2286="","",DADOS!E2286)</f>
        <v/>
      </c>
      <c r="G2286" s="9" t="str">
        <f>IF(DADOS!F2286="","",DADOS!F2286)</f>
        <v/>
      </c>
      <c r="K2286" s="6" t="str">
        <f t="shared" si="180"/>
        <v/>
      </c>
      <c r="L2286" s="7" t="str">
        <f t="shared" si="181"/>
        <v/>
      </c>
      <c r="M2286" s="7" t="str">
        <f t="shared" si="178"/>
        <v/>
      </c>
      <c r="N2286" s="7" t="str">
        <f t="shared" si="182"/>
        <v/>
      </c>
      <c r="O2286" s="8"/>
      <c r="P2286" s="26"/>
      <c r="S2286" s="10" t="str">
        <f t="shared" si="179"/>
        <v/>
      </c>
    </row>
    <row r="2287" spans="5:19" x14ac:dyDescent="0.3">
      <c r="E2287" s="9" t="str">
        <f>IF(DADOS!C2287="","",DADOS!C2287)</f>
        <v/>
      </c>
      <c r="F2287" s="9" t="str">
        <f>IF(DADOS!E2287="","",DADOS!E2287)</f>
        <v/>
      </c>
      <c r="G2287" s="9" t="str">
        <f>IF(DADOS!F2287="","",DADOS!F2287)</f>
        <v/>
      </c>
      <c r="K2287" s="6" t="str">
        <f t="shared" si="180"/>
        <v/>
      </c>
      <c r="L2287" s="7" t="str">
        <f t="shared" si="181"/>
        <v/>
      </c>
      <c r="M2287" s="7" t="str">
        <f t="shared" si="178"/>
        <v/>
      </c>
      <c r="N2287" s="7" t="str">
        <f t="shared" si="182"/>
        <v/>
      </c>
      <c r="O2287" s="8"/>
      <c r="P2287" s="26"/>
      <c r="S2287" s="10" t="str">
        <f t="shared" si="179"/>
        <v/>
      </c>
    </row>
    <row r="2288" spans="5:19" x14ac:dyDescent="0.3">
      <c r="E2288" s="9" t="str">
        <f>IF(DADOS!C2288="","",DADOS!C2288)</f>
        <v/>
      </c>
      <c r="F2288" s="9" t="str">
        <f>IF(DADOS!E2288="","",DADOS!E2288)</f>
        <v/>
      </c>
      <c r="G2288" s="9" t="str">
        <f>IF(DADOS!F2288="","",DADOS!F2288)</f>
        <v/>
      </c>
      <c r="K2288" s="6" t="str">
        <f t="shared" si="180"/>
        <v/>
      </c>
      <c r="L2288" s="7" t="str">
        <f t="shared" si="181"/>
        <v/>
      </c>
      <c r="M2288" s="7" t="str">
        <f t="shared" si="178"/>
        <v/>
      </c>
      <c r="N2288" s="7" t="str">
        <f t="shared" si="182"/>
        <v/>
      </c>
      <c r="O2288" s="8"/>
      <c r="P2288" s="26"/>
      <c r="S2288" s="10" t="str">
        <f t="shared" si="179"/>
        <v/>
      </c>
    </row>
    <row r="2289" spans="5:19" x14ac:dyDescent="0.3">
      <c r="E2289" s="9" t="str">
        <f>IF(DADOS!C2289="","",DADOS!C2289)</f>
        <v/>
      </c>
      <c r="F2289" s="9" t="str">
        <f>IF(DADOS!E2289="","",DADOS!E2289)</f>
        <v/>
      </c>
      <c r="G2289" s="9" t="str">
        <f>IF(DADOS!F2289="","",DADOS!F2289)</f>
        <v/>
      </c>
      <c r="K2289" s="6" t="str">
        <f t="shared" si="180"/>
        <v/>
      </c>
      <c r="L2289" s="7" t="str">
        <f t="shared" si="181"/>
        <v/>
      </c>
      <c r="M2289" s="7" t="str">
        <f t="shared" si="178"/>
        <v/>
      </c>
      <c r="N2289" s="7" t="str">
        <f t="shared" si="182"/>
        <v/>
      </c>
      <c r="O2289" s="8"/>
      <c r="P2289" s="26"/>
      <c r="S2289" s="10" t="str">
        <f t="shared" si="179"/>
        <v/>
      </c>
    </row>
    <row r="2290" spans="5:19" x14ac:dyDescent="0.3">
      <c r="E2290" s="9" t="str">
        <f>IF(DADOS!C2290="","",DADOS!C2290)</f>
        <v/>
      </c>
      <c r="F2290" s="9" t="str">
        <f>IF(DADOS!E2290="","",DADOS!E2290)</f>
        <v/>
      </c>
      <c r="G2290" s="9" t="str">
        <f>IF(DADOS!F2290="","",DADOS!F2290)</f>
        <v/>
      </c>
      <c r="K2290" s="6" t="str">
        <f t="shared" si="180"/>
        <v/>
      </c>
      <c r="L2290" s="7" t="str">
        <f t="shared" si="181"/>
        <v/>
      </c>
      <c r="M2290" s="7" t="str">
        <f t="shared" si="178"/>
        <v/>
      </c>
      <c r="N2290" s="7" t="str">
        <f t="shared" si="182"/>
        <v/>
      </c>
      <c r="O2290" s="8"/>
      <c r="P2290" s="26"/>
      <c r="S2290" s="10" t="str">
        <f t="shared" si="179"/>
        <v/>
      </c>
    </row>
    <row r="2291" spans="5:19" x14ac:dyDescent="0.3">
      <c r="E2291" s="9" t="str">
        <f>IF(DADOS!C2291="","",DADOS!C2291)</f>
        <v/>
      </c>
      <c r="F2291" s="9" t="str">
        <f>IF(DADOS!E2291="","",DADOS!E2291)</f>
        <v/>
      </c>
      <c r="G2291" s="9" t="str">
        <f>IF(DADOS!F2291="","",DADOS!F2291)</f>
        <v/>
      </c>
      <c r="K2291" s="6" t="str">
        <f t="shared" si="180"/>
        <v/>
      </c>
      <c r="L2291" s="7" t="str">
        <f t="shared" si="181"/>
        <v/>
      </c>
      <c r="M2291" s="7" t="str">
        <f t="shared" si="178"/>
        <v/>
      </c>
      <c r="N2291" s="7" t="str">
        <f t="shared" si="182"/>
        <v/>
      </c>
      <c r="O2291" s="8"/>
      <c r="P2291" s="26"/>
      <c r="S2291" s="10" t="str">
        <f t="shared" si="179"/>
        <v/>
      </c>
    </row>
    <row r="2292" spans="5:19" x14ac:dyDescent="0.3">
      <c r="E2292" s="9" t="str">
        <f>IF(DADOS!C2292="","",DADOS!C2292)</f>
        <v/>
      </c>
      <c r="F2292" s="9" t="str">
        <f>IF(DADOS!E2292="","",DADOS!E2292)</f>
        <v/>
      </c>
      <c r="G2292" s="9" t="str">
        <f>IF(DADOS!F2292="","",DADOS!F2292)</f>
        <v/>
      </c>
      <c r="K2292" s="6" t="str">
        <f t="shared" si="180"/>
        <v/>
      </c>
      <c r="L2292" s="7" t="str">
        <f t="shared" si="181"/>
        <v/>
      </c>
      <c r="M2292" s="7" t="str">
        <f t="shared" si="178"/>
        <v/>
      </c>
      <c r="N2292" s="7" t="str">
        <f t="shared" si="182"/>
        <v/>
      </c>
      <c r="O2292" s="8"/>
      <c r="P2292" s="26"/>
      <c r="S2292" s="10" t="str">
        <f t="shared" si="179"/>
        <v/>
      </c>
    </row>
    <row r="2293" spans="5:19" x14ac:dyDescent="0.3">
      <c r="E2293" s="9" t="str">
        <f>IF(DADOS!C2293="","",DADOS!C2293)</f>
        <v/>
      </c>
      <c r="F2293" s="9" t="str">
        <f>IF(DADOS!E2293="","",DADOS!E2293)</f>
        <v/>
      </c>
      <c r="G2293" s="9" t="str">
        <f>IF(DADOS!F2293="","",DADOS!F2293)</f>
        <v/>
      </c>
      <c r="K2293" s="6" t="str">
        <f t="shared" si="180"/>
        <v/>
      </c>
      <c r="L2293" s="7" t="str">
        <f t="shared" si="181"/>
        <v/>
      </c>
      <c r="M2293" s="7" t="str">
        <f t="shared" si="178"/>
        <v/>
      </c>
      <c r="N2293" s="7" t="str">
        <f t="shared" si="182"/>
        <v/>
      </c>
      <c r="O2293" s="8"/>
      <c r="P2293" s="26"/>
      <c r="S2293" s="10" t="str">
        <f t="shared" si="179"/>
        <v/>
      </c>
    </row>
    <row r="2294" spans="5:19" x14ac:dyDescent="0.3">
      <c r="E2294" s="9" t="str">
        <f>IF(DADOS!C2294="","",DADOS!C2294)</f>
        <v/>
      </c>
      <c r="F2294" s="9" t="str">
        <f>IF(DADOS!E2294="","",DADOS!E2294)</f>
        <v/>
      </c>
      <c r="G2294" s="9" t="str">
        <f>IF(DADOS!F2294="","",DADOS!F2294)</f>
        <v/>
      </c>
      <c r="K2294" s="6" t="str">
        <f t="shared" si="180"/>
        <v/>
      </c>
      <c r="L2294" s="7" t="str">
        <f t="shared" si="181"/>
        <v/>
      </c>
      <c r="M2294" s="7" t="str">
        <f t="shared" si="178"/>
        <v/>
      </c>
      <c r="N2294" s="7" t="str">
        <f t="shared" si="182"/>
        <v/>
      </c>
      <c r="O2294" s="8"/>
      <c r="P2294" s="26"/>
      <c r="S2294" s="10" t="str">
        <f t="shared" si="179"/>
        <v/>
      </c>
    </row>
    <row r="2295" spans="5:19" x14ac:dyDescent="0.3">
      <c r="E2295" s="9" t="str">
        <f>IF(DADOS!C2295="","",DADOS!C2295)</f>
        <v/>
      </c>
      <c r="F2295" s="9" t="str">
        <f>IF(DADOS!E2295="","",DADOS!E2295)</f>
        <v/>
      </c>
      <c r="G2295" s="9" t="str">
        <f>IF(DADOS!F2295="","",DADOS!F2295)</f>
        <v/>
      </c>
      <c r="K2295" s="6" t="str">
        <f t="shared" si="180"/>
        <v/>
      </c>
      <c r="L2295" s="7" t="str">
        <f t="shared" si="181"/>
        <v/>
      </c>
      <c r="M2295" s="7" t="str">
        <f t="shared" si="178"/>
        <v/>
      </c>
      <c r="N2295" s="7" t="str">
        <f t="shared" si="182"/>
        <v/>
      </c>
      <c r="O2295" s="8"/>
      <c r="P2295" s="26"/>
      <c r="S2295" s="10" t="str">
        <f t="shared" si="179"/>
        <v/>
      </c>
    </row>
    <row r="2296" spans="5:19" x14ac:dyDescent="0.3">
      <c r="E2296" s="9" t="str">
        <f>IF(DADOS!C2296="","",DADOS!C2296)</f>
        <v/>
      </c>
      <c r="F2296" s="9" t="str">
        <f>IF(DADOS!E2296="","",DADOS!E2296)</f>
        <v/>
      </c>
      <c r="G2296" s="9" t="str">
        <f>IF(DADOS!F2296="","",DADOS!F2296)</f>
        <v/>
      </c>
      <c r="K2296" s="6" t="str">
        <f t="shared" si="180"/>
        <v/>
      </c>
      <c r="L2296" s="7" t="str">
        <f t="shared" si="181"/>
        <v/>
      </c>
      <c r="M2296" s="7" t="str">
        <f t="shared" si="178"/>
        <v/>
      </c>
      <c r="N2296" s="7" t="str">
        <f t="shared" si="182"/>
        <v/>
      </c>
      <c r="O2296" s="8"/>
      <c r="P2296" s="26"/>
      <c r="S2296" s="10" t="str">
        <f t="shared" si="179"/>
        <v/>
      </c>
    </row>
    <row r="2297" spans="5:19" x14ac:dyDescent="0.3">
      <c r="E2297" s="9" t="str">
        <f>IF(DADOS!C2297="","",DADOS!C2297)</f>
        <v/>
      </c>
      <c r="F2297" s="9" t="str">
        <f>IF(DADOS!E2297="","",DADOS!E2297)</f>
        <v/>
      </c>
      <c r="G2297" s="9" t="str">
        <f>IF(DADOS!F2297="","",DADOS!F2297)</f>
        <v/>
      </c>
      <c r="K2297" s="6" t="str">
        <f t="shared" si="180"/>
        <v/>
      </c>
      <c r="L2297" s="7" t="str">
        <f t="shared" si="181"/>
        <v/>
      </c>
      <c r="M2297" s="7" t="str">
        <f t="shared" si="178"/>
        <v/>
      </c>
      <c r="N2297" s="7" t="str">
        <f t="shared" si="182"/>
        <v/>
      </c>
      <c r="O2297" s="8"/>
      <c r="P2297" s="26"/>
      <c r="S2297" s="10" t="str">
        <f t="shared" si="179"/>
        <v/>
      </c>
    </row>
    <row r="2298" spans="5:19" x14ac:dyDescent="0.3">
      <c r="E2298" s="9" t="str">
        <f>IF(DADOS!C2298="","",DADOS!C2298)</f>
        <v/>
      </c>
      <c r="F2298" s="9" t="str">
        <f>IF(DADOS!E2298="","",DADOS!E2298)</f>
        <v/>
      </c>
      <c r="G2298" s="9" t="str">
        <f>IF(DADOS!F2298="","",DADOS!F2298)</f>
        <v/>
      </c>
      <c r="K2298" s="6" t="str">
        <f t="shared" si="180"/>
        <v/>
      </c>
      <c r="L2298" s="7" t="str">
        <f t="shared" si="181"/>
        <v/>
      </c>
      <c r="M2298" s="7" t="str">
        <f t="shared" si="178"/>
        <v/>
      </c>
      <c r="N2298" s="7" t="str">
        <f t="shared" si="182"/>
        <v/>
      </c>
      <c r="O2298" s="8"/>
      <c r="P2298" s="26"/>
      <c r="S2298" s="10" t="str">
        <f t="shared" si="179"/>
        <v/>
      </c>
    </row>
    <row r="2299" spans="5:19" x14ac:dyDescent="0.3">
      <c r="E2299" s="9" t="str">
        <f>IF(DADOS!C2299="","",DADOS!C2299)</f>
        <v/>
      </c>
      <c r="F2299" s="9" t="str">
        <f>IF(DADOS!E2299="","",DADOS!E2299)</f>
        <v/>
      </c>
      <c r="G2299" s="9" t="str">
        <f>IF(DADOS!F2299="","",DADOS!F2299)</f>
        <v/>
      </c>
      <c r="K2299" s="6" t="str">
        <f t="shared" si="180"/>
        <v/>
      </c>
      <c r="L2299" s="7" t="str">
        <f t="shared" si="181"/>
        <v/>
      </c>
      <c r="M2299" s="7" t="str">
        <f t="shared" si="178"/>
        <v/>
      </c>
      <c r="N2299" s="7" t="str">
        <f t="shared" si="182"/>
        <v/>
      </c>
      <c r="O2299" s="8"/>
      <c r="P2299" s="26"/>
      <c r="S2299" s="10" t="str">
        <f t="shared" si="179"/>
        <v/>
      </c>
    </row>
    <row r="2300" spans="5:19" x14ac:dyDescent="0.3">
      <c r="E2300" s="9" t="str">
        <f>IF(DADOS!C2300="","",DADOS!C2300)</f>
        <v/>
      </c>
      <c r="F2300" s="9" t="str">
        <f>IF(DADOS!E2300="","",DADOS!E2300)</f>
        <v/>
      </c>
      <c r="G2300" s="9" t="str">
        <f>IF(DADOS!F2300="","",DADOS!F2300)</f>
        <v/>
      </c>
      <c r="K2300" s="6" t="str">
        <f t="shared" si="180"/>
        <v/>
      </c>
      <c r="L2300" s="7" t="str">
        <f t="shared" si="181"/>
        <v/>
      </c>
      <c r="M2300" s="7" t="str">
        <f t="shared" si="178"/>
        <v/>
      </c>
      <c r="N2300" s="7" t="str">
        <f t="shared" si="182"/>
        <v/>
      </c>
      <c r="O2300" s="8"/>
      <c r="P2300" s="26"/>
      <c r="S2300" s="10" t="str">
        <f t="shared" si="179"/>
        <v/>
      </c>
    </row>
    <row r="2301" spans="5:19" x14ac:dyDescent="0.3">
      <c r="E2301" s="9" t="str">
        <f>IF(DADOS!C2301="","",DADOS!C2301)</f>
        <v/>
      </c>
      <c r="F2301" s="9" t="str">
        <f>IF(DADOS!E2301="","",DADOS!E2301)</f>
        <v/>
      </c>
      <c r="G2301" s="9" t="str">
        <f>IF(DADOS!F2301="","",DADOS!F2301)</f>
        <v/>
      </c>
      <c r="K2301" s="6" t="str">
        <f t="shared" si="180"/>
        <v/>
      </c>
      <c r="L2301" s="7" t="str">
        <f t="shared" si="181"/>
        <v/>
      </c>
      <c r="M2301" s="7" t="str">
        <f t="shared" si="178"/>
        <v/>
      </c>
      <c r="N2301" s="7" t="str">
        <f t="shared" si="182"/>
        <v/>
      </c>
      <c r="O2301" s="8"/>
      <c r="P2301" s="26"/>
      <c r="S2301" s="10" t="str">
        <f t="shared" si="179"/>
        <v/>
      </c>
    </row>
    <row r="2302" spans="5:19" x14ac:dyDescent="0.3">
      <c r="E2302" s="9" t="str">
        <f>IF(DADOS!C2302="","",DADOS!C2302)</f>
        <v/>
      </c>
      <c r="F2302" s="9" t="str">
        <f>IF(DADOS!E2302="","",DADOS!E2302)</f>
        <v/>
      </c>
      <c r="G2302" s="9" t="str">
        <f>IF(DADOS!F2302="","",DADOS!F2302)</f>
        <v/>
      </c>
      <c r="K2302" s="6" t="str">
        <f t="shared" si="180"/>
        <v/>
      </c>
      <c r="L2302" s="7" t="str">
        <f t="shared" si="181"/>
        <v/>
      </c>
      <c r="M2302" s="7" t="str">
        <f t="shared" si="178"/>
        <v/>
      </c>
      <c r="N2302" s="7" t="str">
        <f t="shared" si="182"/>
        <v/>
      </c>
      <c r="O2302" s="8"/>
      <c r="P2302" s="26"/>
      <c r="S2302" s="10" t="str">
        <f t="shared" si="179"/>
        <v/>
      </c>
    </row>
    <row r="2303" spans="5:19" x14ac:dyDescent="0.3">
      <c r="E2303" s="9" t="str">
        <f>IF(DADOS!C2303="","",DADOS!C2303)</f>
        <v/>
      </c>
      <c r="F2303" s="9" t="str">
        <f>IF(DADOS!E2303="","",DADOS!E2303)</f>
        <v/>
      </c>
      <c r="G2303" s="9" t="str">
        <f>IF(DADOS!F2303="","",DADOS!F2303)</f>
        <v/>
      </c>
      <c r="K2303" s="6" t="str">
        <f t="shared" si="180"/>
        <v/>
      </c>
      <c r="L2303" s="7" t="str">
        <f t="shared" si="181"/>
        <v/>
      </c>
      <c r="M2303" s="7" t="str">
        <f t="shared" si="178"/>
        <v/>
      </c>
      <c r="N2303" s="7" t="str">
        <f t="shared" si="182"/>
        <v/>
      </c>
      <c r="O2303" s="8"/>
      <c r="P2303" s="26"/>
      <c r="S2303" s="10" t="str">
        <f t="shared" si="179"/>
        <v/>
      </c>
    </row>
    <row r="2304" spans="5:19" x14ac:dyDescent="0.3">
      <c r="E2304" s="9" t="str">
        <f>IF(DADOS!C2304="","",DADOS!C2304)</f>
        <v/>
      </c>
      <c r="F2304" s="9" t="str">
        <f>IF(DADOS!E2304="","",DADOS!E2304)</f>
        <v/>
      </c>
      <c r="G2304" s="9" t="str">
        <f>IF(DADOS!F2304="","",DADOS!F2304)</f>
        <v/>
      </c>
      <c r="K2304" s="6" t="str">
        <f t="shared" si="180"/>
        <v/>
      </c>
      <c r="L2304" s="7" t="str">
        <f t="shared" si="181"/>
        <v/>
      </c>
      <c r="M2304" s="7" t="str">
        <f t="shared" si="178"/>
        <v/>
      </c>
      <c r="N2304" s="7" t="str">
        <f t="shared" si="182"/>
        <v/>
      </c>
      <c r="O2304" s="8"/>
      <c r="P2304" s="26"/>
      <c r="S2304" s="10" t="str">
        <f t="shared" si="179"/>
        <v/>
      </c>
    </row>
    <row r="2305" spans="5:19" x14ac:dyDescent="0.3">
      <c r="E2305" s="9" t="str">
        <f>IF(DADOS!C2305="","",DADOS!C2305)</f>
        <v/>
      </c>
      <c r="F2305" s="9" t="str">
        <f>IF(DADOS!E2305="","",DADOS!E2305)</f>
        <v/>
      </c>
      <c r="G2305" s="9" t="str">
        <f>IF(DADOS!F2305="","",DADOS!F2305)</f>
        <v/>
      </c>
      <c r="K2305" s="6" t="str">
        <f t="shared" si="180"/>
        <v/>
      </c>
      <c r="L2305" s="7" t="str">
        <f t="shared" si="181"/>
        <v/>
      </c>
      <c r="M2305" s="7" t="str">
        <f t="shared" si="178"/>
        <v/>
      </c>
      <c r="N2305" s="7" t="str">
        <f t="shared" si="182"/>
        <v/>
      </c>
      <c r="O2305" s="8"/>
      <c r="P2305" s="26"/>
      <c r="S2305" s="10" t="str">
        <f t="shared" si="179"/>
        <v/>
      </c>
    </row>
    <row r="2306" spans="5:19" x14ac:dyDescent="0.3">
      <c r="E2306" s="9" t="str">
        <f>IF(DADOS!C2306="","",DADOS!C2306)</f>
        <v/>
      </c>
      <c r="F2306" s="9" t="str">
        <f>IF(DADOS!E2306="","",DADOS!E2306)</f>
        <v/>
      </c>
      <c r="G2306" s="9" t="str">
        <f>IF(DADOS!F2306="","",DADOS!F2306)</f>
        <v/>
      </c>
      <c r="K2306" s="6" t="str">
        <f t="shared" si="180"/>
        <v/>
      </c>
      <c r="L2306" s="7" t="str">
        <f t="shared" si="181"/>
        <v/>
      </c>
      <c r="M2306" s="7" t="str">
        <f t="shared" si="178"/>
        <v/>
      </c>
      <c r="N2306" s="7" t="str">
        <f t="shared" si="182"/>
        <v/>
      </c>
      <c r="O2306" s="8"/>
      <c r="P2306" s="26"/>
      <c r="S2306" s="10" t="str">
        <f t="shared" si="179"/>
        <v/>
      </c>
    </row>
    <row r="2307" spans="5:19" x14ac:dyDescent="0.3">
      <c r="E2307" s="9" t="str">
        <f>IF(DADOS!C2307="","",DADOS!C2307)</f>
        <v/>
      </c>
      <c r="F2307" s="9" t="str">
        <f>IF(DADOS!E2307="","",DADOS!E2307)</f>
        <v/>
      </c>
      <c r="G2307" s="9" t="str">
        <f>IF(DADOS!F2307="","",DADOS!F2307)</f>
        <v/>
      </c>
      <c r="K2307" s="6" t="str">
        <f t="shared" si="180"/>
        <v/>
      </c>
      <c r="L2307" s="7" t="str">
        <f t="shared" si="181"/>
        <v/>
      </c>
      <c r="M2307" s="7" t="str">
        <f t="shared" ref="M2307:M2370" si="183">IF(L2307="","",L2307*G2307)</f>
        <v/>
      </c>
      <c r="N2307" s="7" t="str">
        <f t="shared" si="182"/>
        <v/>
      </c>
      <c r="O2307" s="8"/>
      <c r="P2307" s="26"/>
      <c r="S2307" s="10" t="str">
        <f t="shared" ref="S2307:S2370" si="184">IF(R2307="","",SUMIFS($N$3:$N$10000,$E$3:$E$10000,R2307))</f>
        <v/>
      </c>
    </row>
    <row r="2308" spans="5:19" x14ac:dyDescent="0.3">
      <c r="E2308" s="9" t="str">
        <f>IF(DADOS!C2308="","",DADOS!C2308)</f>
        <v/>
      </c>
      <c r="F2308" s="9" t="str">
        <f>IF(DADOS!E2308="","",DADOS!E2308)</f>
        <v/>
      </c>
      <c r="G2308" s="9" t="str">
        <f>IF(DADOS!F2308="","",DADOS!F2308)</f>
        <v/>
      </c>
      <c r="K2308" s="6" t="str">
        <f t="shared" ref="K2308:K2371" si="185">IF(F2308="","",F2308/PI())</f>
        <v/>
      </c>
      <c r="L2308" s="7" t="str">
        <f t="shared" ref="L2308:L2371" si="186">IF(K2308="","",(PI()*K2308^2)/40000)</f>
        <v/>
      </c>
      <c r="M2308" s="7" t="str">
        <f t="shared" si="183"/>
        <v/>
      </c>
      <c r="N2308" s="7" t="str">
        <f t="shared" ref="N2308:N2371" si="187">IF(M2308="","",M2308*N$1)</f>
        <v/>
      </c>
      <c r="O2308" s="8"/>
      <c r="P2308" s="26"/>
      <c r="S2308" s="10" t="str">
        <f t="shared" si="184"/>
        <v/>
      </c>
    </row>
    <row r="2309" spans="5:19" x14ac:dyDescent="0.3">
      <c r="E2309" s="9" t="str">
        <f>IF(DADOS!C2309="","",DADOS!C2309)</f>
        <v/>
      </c>
      <c r="F2309" s="9" t="str">
        <f>IF(DADOS!E2309="","",DADOS!E2309)</f>
        <v/>
      </c>
      <c r="G2309" s="9" t="str">
        <f>IF(DADOS!F2309="","",DADOS!F2309)</f>
        <v/>
      </c>
      <c r="K2309" s="6" t="str">
        <f t="shared" si="185"/>
        <v/>
      </c>
      <c r="L2309" s="7" t="str">
        <f t="shared" si="186"/>
        <v/>
      </c>
      <c r="M2309" s="7" t="str">
        <f t="shared" si="183"/>
        <v/>
      </c>
      <c r="N2309" s="7" t="str">
        <f t="shared" si="187"/>
        <v/>
      </c>
      <c r="O2309" s="8"/>
      <c r="P2309" s="26"/>
      <c r="S2309" s="10" t="str">
        <f t="shared" si="184"/>
        <v/>
      </c>
    </row>
    <row r="2310" spans="5:19" x14ac:dyDescent="0.3">
      <c r="E2310" s="9" t="str">
        <f>IF(DADOS!C2310="","",DADOS!C2310)</f>
        <v/>
      </c>
      <c r="F2310" s="9" t="str">
        <f>IF(DADOS!E2310="","",DADOS!E2310)</f>
        <v/>
      </c>
      <c r="G2310" s="9" t="str">
        <f>IF(DADOS!F2310="","",DADOS!F2310)</f>
        <v/>
      </c>
      <c r="K2310" s="6" t="str">
        <f t="shared" si="185"/>
        <v/>
      </c>
      <c r="L2310" s="7" t="str">
        <f t="shared" si="186"/>
        <v/>
      </c>
      <c r="M2310" s="7" t="str">
        <f t="shared" si="183"/>
        <v/>
      </c>
      <c r="N2310" s="7" t="str">
        <f t="shared" si="187"/>
        <v/>
      </c>
      <c r="O2310" s="8"/>
      <c r="P2310" s="26"/>
      <c r="S2310" s="10" t="str">
        <f t="shared" si="184"/>
        <v/>
      </c>
    </row>
    <row r="2311" spans="5:19" x14ac:dyDescent="0.3">
      <c r="E2311" s="9" t="str">
        <f>IF(DADOS!C2311="","",DADOS!C2311)</f>
        <v/>
      </c>
      <c r="F2311" s="9" t="str">
        <f>IF(DADOS!E2311="","",DADOS!E2311)</f>
        <v/>
      </c>
      <c r="G2311" s="9" t="str">
        <f>IF(DADOS!F2311="","",DADOS!F2311)</f>
        <v/>
      </c>
      <c r="K2311" s="6" t="str">
        <f t="shared" si="185"/>
        <v/>
      </c>
      <c r="L2311" s="7" t="str">
        <f t="shared" si="186"/>
        <v/>
      </c>
      <c r="M2311" s="7" t="str">
        <f t="shared" si="183"/>
        <v/>
      </c>
      <c r="N2311" s="7" t="str">
        <f t="shared" si="187"/>
        <v/>
      </c>
      <c r="O2311" s="8"/>
      <c r="P2311" s="26"/>
      <c r="S2311" s="10" t="str">
        <f t="shared" si="184"/>
        <v/>
      </c>
    </row>
    <row r="2312" spans="5:19" x14ac:dyDescent="0.3">
      <c r="E2312" s="9" t="str">
        <f>IF(DADOS!C2312="","",DADOS!C2312)</f>
        <v/>
      </c>
      <c r="F2312" s="9" t="str">
        <f>IF(DADOS!E2312="","",DADOS!E2312)</f>
        <v/>
      </c>
      <c r="G2312" s="9" t="str">
        <f>IF(DADOS!F2312="","",DADOS!F2312)</f>
        <v/>
      </c>
      <c r="K2312" s="6" t="str">
        <f t="shared" si="185"/>
        <v/>
      </c>
      <c r="L2312" s="7" t="str">
        <f t="shared" si="186"/>
        <v/>
      </c>
      <c r="M2312" s="7" t="str">
        <f t="shared" si="183"/>
        <v/>
      </c>
      <c r="N2312" s="7" t="str">
        <f t="shared" si="187"/>
        <v/>
      </c>
      <c r="O2312" s="8"/>
      <c r="P2312" s="26"/>
      <c r="S2312" s="10" t="str">
        <f t="shared" si="184"/>
        <v/>
      </c>
    </row>
    <row r="2313" spans="5:19" x14ac:dyDescent="0.3">
      <c r="E2313" s="9" t="str">
        <f>IF(DADOS!C2313="","",DADOS!C2313)</f>
        <v/>
      </c>
      <c r="F2313" s="9" t="str">
        <f>IF(DADOS!E2313="","",DADOS!E2313)</f>
        <v/>
      </c>
      <c r="G2313" s="9" t="str">
        <f>IF(DADOS!F2313="","",DADOS!F2313)</f>
        <v/>
      </c>
      <c r="K2313" s="6" t="str">
        <f t="shared" si="185"/>
        <v/>
      </c>
      <c r="L2313" s="7" t="str">
        <f t="shared" si="186"/>
        <v/>
      </c>
      <c r="M2313" s="7" t="str">
        <f t="shared" si="183"/>
        <v/>
      </c>
      <c r="N2313" s="7" t="str">
        <f t="shared" si="187"/>
        <v/>
      </c>
      <c r="O2313" s="8"/>
      <c r="P2313" s="26"/>
      <c r="S2313" s="10" t="str">
        <f t="shared" si="184"/>
        <v/>
      </c>
    </row>
    <row r="2314" spans="5:19" x14ac:dyDescent="0.3">
      <c r="E2314" s="9" t="str">
        <f>IF(DADOS!C2314="","",DADOS!C2314)</f>
        <v/>
      </c>
      <c r="F2314" s="9" t="str">
        <f>IF(DADOS!E2314="","",DADOS!E2314)</f>
        <v/>
      </c>
      <c r="G2314" s="9" t="str">
        <f>IF(DADOS!F2314="","",DADOS!F2314)</f>
        <v/>
      </c>
      <c r="K2314" s="6" t="str">
        <f t="shared" si="185"/>
        <v/>
      </c>
      <c r="L2314" s="7" t="str">
        <f t="shared" si="186"/>
        <v/>
      </c>
      <c r="M2314" s="7" t="str">
        <f t="shared" si="183"/>
        <v/>
      </c>
      <c r="N2314" s="7" t="str">
        <f t="shared" si="187"/>
        <v/>
      </c>
      <c r="O2314" s="8"/>
      <c r="P2314" s="26"/>
      <c r="S2314" s="10" t="str">
        <f t="shared" si="184"/>
        <v/>
      </c>
    </row>
    <row r="2315" spans="5:19" x14ac:dyDescent="0.3">
      <c r="E2315" s="9" t="str">
        <f>IF(DADOS!C2315="","",DADOS!C2315)</f>
        <v/>
      </c>
      <c r="F2315" s="9" t="str">
        <f>IF(DADOS!E2315="","",DADOS!E2315)</f>
        <v/>
      </c>
      <c r="G2315" s="9" t="str">
        <f>IF(DADOS!F2315="","",DADOS!F2315)</f>
        <v/>
      </c>
      <c r="K2315" s="6" t="str">
        <f t="shared" si="185"/>
        <v/>
      </c>
      <c r="L2315" s="7" t="str">
        <f t="shared" si="186"/>
        <v/>
      </c>
      <c r="M2315" s="7" t="str">
        <f t="shared" si="183"/>
        <v/>
      </c>
      <c r="N2315" s="7" t="str">
        <f t="shared" si="187"/>
        <v/>
      </c>
      <c r="O2315" s="8"/>
      <c r="P2315" s="26"/>
      <c r="S2315" s="10" t="str">
        <f t="shared" si="184"/>
        <v/>
      </c>
    </row>
    <row r="2316" spans="5:19" x14ac:dyDescent="0.3">
      <c r="E2316" s="9" t="str">
        <f>IF(DADOS!C2316="","",DADOS!C2316)</f>
        <v/>
      </c>
      <c r="F2316" s="9" t="str">
        <f>IF(DADOS!E2316="","",DADOS!E2316)</f>
        <v/>
      </c>
      <c r="G2316" s="9" t="str">
        <f>IF(DADOS!F2316="","",DADOS!F2316)</f>
        <v/>
      </c>
      <c r="K2316" s="6" t="str">
        <f t="shared" si="185"/>
        <v/>
      </c>
      <c r="L2316" s="7" t="str">
        <f t="shared" si="186"/>
        <v/>
      </c>
      <c r="M2316" s="7" t="str">
        <f t="shared" si="183"/>
        <v/>
      </c>
      <c r="N2316" s="7" t="str">
        <f t="shared" si="187"/>
        <v/>
      </c>
      <c r="O2316" s="8"/>
      <c r="P2316" s="26"/>
      <c r="S2316" s="10" t="str">
        <f t="shared" si="184"/>
        <v/>
      </c>
    </row>
    <row r="2317" spans="5:19" x14ac:dyDescent="0.3">
      <c r="E2317" s="9" t="str">
        <f>IF(DADOS!C2317="","",DADOS!C2317)</f>
        <v/>
      </c>
      <c r="F2317" s="9" t="str">
        <f>IF(DADOS!E2317="","",DADOS!E2317)</f>
        <v/>
      </c>
      <c r="G2317" s="9" t="str">
        <f>IF(DADOS!F2317="","",DADOS!F2317)</f>
        <v/>
      </c>
      <c r="K2317" s="6" t="str">
        <f t="shared" si="185"/>
        <v/>
      </c>
      <c r="L2317" s="7" t="str">
        <f t="shared" si="186"/>
        <v/>
      </c>
      <c r="M2317" s="7" t="str">
        <f t="shared" si="183"/>
        <v/>
      </c>
      <c r="N2317" s="7" t="str">
        <f t="shared" si="187"/>
        <v/>
      </c>
      <c r="O2317" s="8"/>
      <c r="P2317" s="26"/>
      <c r="S2317" s="10" t="str">
        <f t="shared" si="184"/>
        <v/>
      </c>
    </row>
    <row r="2318" spans="5:19" x14ac:dyDescent="0.3">
      <c r="E2318" s="9" t="str">
        <f>IF(DADOS!C2318="","",DADOS!C2318)</f>
        <v/>
      </c>
      <c r="F2318" s="9" t="str">
        <f>IF(DADOS!E2318="","",DADOS!E2318)</f>
        <v/>
      </c>
      <c r="G2318" s="9" t="str">
        <f>IF(DADOS!F2318="","",DADOS!F2318)</f>
        <v/>
      </c>
      <c r="K2318" s="6" t="str">
        <f t="shared" si="185"/>
        <v/>
      </c>
      <c r="L2318" s="7" t="str">
        <f t="shared" si="186"/>
        <v/>
      </c>
      <c r="M2318" s="7" t="str">
        <f t="shared" si="183"/>
        <v/>
      </c>
      <c r="N2318" s="7" t="str">
        <f t="shared" si="187"/>
        <v/>
      </c>
      <c r="O2318" s="8"/>
      <c r="P2318" s="26"/>
      <c r="S2318" s="10" t="str">
        <f t="shared" si="184"/>
        <v/>
      </c>
    </row>
    <row r="2319" spans="5:19" x14ac:dyDescent="0.3">
      <c r="E2319" s="9" t="str">
        <f>IF(DADOS!C2319="","",DADOS!C2319)</f>
        <v/>
      </c>
      <c r="F2319" s="9" t="str">
        <f>IF(DADOS!E2319="","",DADOS!E2319)</f>
        <v/>
      </c>
      <c r="G2319" s="9" t="str">
        <f>IF(DADOS!F2319="","",DADOS!F2319)</f>
        <v/>
      </c>
      <c r="K2319" s="6" t="str">
        <f t="shared" si="185"/>
        <v/>
      </c>
      <c r="L2319" s="7" t="str">
        <f t="shared" si="186"/>
        <v/>
      </c>
      <c r="M2319" s="7" t="str">
        <f t="shared" si="183"/>
        <v/>
      </c>
      <c r="N2319" s="7" t="str">
        <f t="shared" si="187"/>
        <v/>
      </c>
      <c r="O2319" s="8"/>
      <c r="P2319" s="26"/>
      <c r="S2319" s="10" t="str">
        <f t="shared" si="184"/>
        <v/>
      </c>
    </row>
    <row r="2320" spans="5:19" x14ac:dyDescent="0.3">
      <c r="E2320" s="9" t="str">
        <f>IF(DADOS!C2320="","",DADOS!C2320)</f>
        <v/>
      </c>
      <c r="F2320" s="9" t="str">
        <f>IF(DADOS!E2320="","",DADOS!E2320)</f>
        <v/>
      </c>
      <c r="G2320" s="9" t="str">
        <f>IF(DADOS!F2320="","",DADOS!F2320)</f>
        <v/>
      </c>
      <c r="K2320" s="6" t="str">
        <f t="shared" si="185"/>
        <v/>
      </c>
      <c r="L2320" s="7" t="str">
        <f t="shared" si="186"/>
        <v/>
      </c>
      <c r="M2320" s="7" t="str">
        <f t="shared" si="183"/>
        <v/>
      </c>
      <c r="N2320" s="7" t="str">
        <f t="shared" si="187"/>
        <v/>
      </c>
      <c r="O2320" s="8"/>
      <c r="P2320" s="26"/>
      <c r="S2320" s="10" t="str">
        <f t="shared" si="184"/>
        <v/>
      </c>
    </row>
    <row r="2321" spans="5:19" x14ac:dyDescent="0.3">
      <c r="E2321" s="9" t="str">
        <f>IF(DADOS!C2321="","",DADOS!C2321)</f>
        <v/>
      </c>
      <c r="F2321" s="9" t="str">
        <f>IF(DADOS!E2321="","",DADOS!E2321)</f>
        <v/>
      </c>
      <c r="G2321" s="9" t="str">
        <f>IF(DADOS!F2321="","",DADOS!F2321)</f>
        <v/>
      </c>
      <c r="K2321" s="6" t="str">
        <f t="shared" si="185"/>
        <v/>
      </c>
      <c r="L2321" s="7" t="str">
        <f t="shared" si="186"/>
        <v/>
      </c>
      <c r="M2321" s="7" t="str">
        <f t="shared" si="183"/>
        <v/>
      </c>
      <c r="N2321" s="7" t="str">
        <f t="shared" si="187"/>
        <v/>
      </c>
      <c r="O2321" s="8"/>
      <c r="P2321" s="26"/>
      <c r="S2321" s="10" t="str">
        <f t="shared" si="184"/>
        <v/>
      </c>
    </row>
    <row r="2322" spans="5:19" x14ac:dyDescent="0.3">
      <c r="E2322" s="9" t="str">
        <f>IF(DADOS!C2322="","",DADOS!C2322)</f>
        <v/>
      </c>
      <c r="F2322" s="9" t="str">
        <f>IF(DADOS!E2322="","",DADOS!E2322)</f>
        <v/>
      </c>
      <c r="G2322" s="9" t="str">
        <f>IF(DADOS!F2322="","",DADOS!F2322)</f>
        <v/>
      </c>
      <c r="K2322" s="6" t="str">
        <f t="shared" si="185"/>
        <v/>
      </c>
      <c r="L2322" s="7" t="str">
        <f t="shared" si="186"/>
        <v/>
      </c>
      <c r="M2322" s="7" t="str">
        <f t="shared" si="183"/>
        <v/>
      </c>
      <c r="N2322" s="7" t="str">
        <f t="shared" si="187"/>
        <v/>
      </c>
      <c r="O2322" s="8"/>
      <c r="P2322" s="26"/>
      <c r="S2322" s="10" t="str">
        <f t="shared" si="184"/>
        <v/>
      </c>
    </row>
    <row r="2323" spans="5:19" x14ac:dyDescent="0.3">
      <c r="E2323" s="9" t="str">
        <f>IF(DADOS!C2323="","",DADOS!C2323)</f>
        <v/>
      </c>
      <c r="F2323" s="9" t="str">
        <f>IF(DADOS!E2323="","",DADOS!E2323)</f>
        <v/>
      </c>
      <c r="G2323" s="9" t="str">
        <f>IF(DADOS!F2323="","",DADOS!F2323)</f>
        <v/>
      </c>
      <c r="K2323" s="6" t="str">
        <f t="shared" si="185"/>
        <v/>
      </c>
      <c r="L2323" s="7" t="str">
        <f t="shared" si="186"/>
        <v/>
      </c>
      <c r="M2323" s="7" t="str">
        <f t="shared" si="183"/>
        <v/>
      </c>
      <c r="N2323" s="7" t="str">
        <f t="shared" si="187"/>
        <v/>
      </c>
      <c r="O2323" s="8"/>
      <c r="P2323" s="26"/>
      <c r="S2323" s="10" t="str">
        <f t="shared" si="184"/>
        <v/>
      </c>
    </row>
    <row r="2324" spans="5:19" x14ac:dyDescent="0.3">
      <c r="E2324" s="9" t="str">
        <f>IF(DADOS!C2324="","",DADOS!C2324)</f>
        <v/>
      </c>
      <c r="F2324" s="9" t="str">
        <f>IF(DADOS!E2324="","",DADOS!E2324)</f>
        <v/>
      </c>
      <c r="G2324" s="9" t="str">
        <f>IF(DADOS!F2324="","",DADOS!F2324)</f>
        <v/>
      </c>
      <c r="K2324" s="6" t="str">
        <f t="shared" si="185"/>
        <v/>
      </c>
      <c r="L2324" s="7" t="str">
        <f t="shared" si="186"/>
        <v/>
      </c>
      <c r="M2324" s="7" t="str">
        <f t="shared" si="183"/>
        <v/>
      </c>
      <c r="N2324" s="7" t="str">
        <f t="shared" si="187"/>
        <v/>
      </c>
      <c r="O2324" s="8"/>
      <c r="P2324" s="26"/>
      <c r="S2324" s="10" t="str">
        <f t="shared" si="184"/>
        <v/>
      </c>
    </row>
    <row r="2325" spans="5:19" x14ac:dyDescent="0.3">
      <c r="E2325" s="9" t="str">
        <f>IF(DADOS!C2325="","",DADOS!C2325)</f>
        <v/>
      </c>
      <c r="F2325" s="9" t="str">
        <f>IF(DADOS!E2325="","",DADOS!E2325)</f>
        <v/>
      </c>
      <c r="G2325" s="9" t="str">
        <f>IF(DADOS!F2325="","",DADOS!F2325)</f>
        <v/>
      </c>
      <c r="K2325" s="6" t="str">
        <f t="shared" si="185"/>
        <v/>
      </c>
      <c r="L2325" s="7" t="str">
        <f t="shared" si="186"/>
        <v/>
      </c>
      <c r="M2325" s="7" t="str">
        <f t="shared" si="183"/>
        <v/>
      </c>
      <c r="N2325" s="7" t="str">
        <f t="shared" si="187"/>
        <v/>
      </c>
      <c r="O2325" s="8"/>
      <c r="P2325" s="26"/>
      <c r="S2325" s="10" t="str">
        <f t="shared" si="184"/>
        <v/>
      </c>
    </row>
    <row r="2326" spans="5:19" x14ac:dyDescent="0.3">
      <c r="E2326" s="9" t="str">
        <f>IF(DADOS!C2326="","",DADOS!C2326)</f>
        <v/>
      </c>
      <c r="F2326" s="9" t="str">
        <f>IF(DADOS!E2326="","",DADOS!E2326)</f>
        <v/>
      </c>
      <c r="G2326" s="9" t="str">
        <f>IF(DADOS!F2326="","",DADOS!F2326)</f>
        <v/>
      </c>
      <c r="K2326" s="6" t="str">
        <f t="shared" si="185"/>
        <v/>
      </c>
      <c r="L2326" s="7" t="str">
        <f t="shared" si="186"/>
        <v/>
      </c>
      <c r="M2326" s="7" t="str">
        <f t="shared" si="183"/>
        <v/>
      </c>
      <c r="N2326" s="7" t="str">
        <f t="shared" si="187"/>
        <v/>
      </c>
      <c r="O2326" s="8"/>
      <c r="P2326" s="26"/>
      <c r="S2326" s="10" t="str">
        <f t="shared" si="184"/>
        <v/>
      </c>
    </row>
    <row r="2327" spans="5:19" x14ac:dyDescent="0.3">
      <c r="E2327" s="9" t="str">
        <f>IF(DADOS!C2327="","",DADOS!C2327)</f>
        <v/>
      </c>
      <c r="F2327" s="9" t="str">
        <f>IF(DADOS!E2327="","",DADOS!E2327)</f>
        <v/>
      </c>
      <c r="G2327" s="9" t="str">
        <f>IF(DADOS!F2327="","",DADOS!F2327)</f>
        <v/>
      </c>
      <c r="K2327" s="6" t="str">
        <f t="shared" si="185"/>
        <v/>
      </c>
      <c r="L2327" s="7" t="str">
        <f t="shared" si="186"/>
        <v/>
      </c>
      <c r="M2327" s="7" t="str">
        <f t="shared" si="183"/>
        <v/>
      </c>
      <c r="N2327" s="7" t="str">
        <f t="shared" si="187"/>
        <v/>
      </c>
      <c r="O2327" s="8"/>
      <c r="P2327" s="26"/>
      <c r="S2327" s="10" t="str">
        <f t="shared" si="184"/>
        <v/>
      </c>
    </row>
    <row r="2328" spans="5:19" x14ac:dyDescent="0.3">
      <c r="E2328" s="9" t="str">
        <f>IF(DADOS!C2328="","",DADOS!C2328)</f>
        <v/>
      </c>
      <c r="F2328" s="9" t="str">
        <f>IF(DADOS!E2328="","",DADOS!E2328)</f>
        <v/>
      </c>
      <c r="G2328" s="9" t="str">
        <f>IF(DADOS!F2328="","",DADOS!F2328)</f>
        <v/>
      </c>
      <c r="K2328" s="6" t="str">
        <f t="shared" si="185"/>
        <v/>
      </c>
      <c r="L2328" s="7" t="str">
        <f t="shared" si="186"/>
        <v/>
      </c>
      <c r="M2328" s="7" t="str">
        <f t="shared" si="183"/>
        <v/>
      </c>
      <c r="N2328" s="7" t="str">
        <f t="shared" si="187"/>
        <v/>
      </c>
      <c r="O2328" s="8"/>
      <c r="P2328" s="26"/>
      <c r="S2328" s="10" t="str">
        <f t="shared" si="184"/>
        <v/>
      </c>
    </row>
    <row r="2329" spans="5:19" x14ac:dyDescent="0.3">
      <c r="E2329" s="9" t="str">
        <f>IF(DADOS!C2329="","",DADOS!C2329)</f>
        <v/>
      </c>
      <c r="F2329" s="9" t="str">
        <f>IF(DADOS!E2329="","",DADOS!E2329)</f>
        <v/>
      </c>
      <c r="G2329" s="9" t="str">
        <f>IF(DADOS!F2329="","",DADOS!F2329)</f>
        <v/>
      </c>
      <c r="K2329" s="6" t="str">
        <f t="shared" si="185"/>
        <v/>
      </c>
      <c r="L2329" s="7" t="str">
        <f t="shared" si="186"/>
        <v/>
      </c>
      <c r="M2329" s="7" t="str">
        <f t="shared" si="183"/>
        <v/>
      </c>
      <c r="N2329" s="7" t="str">
        <f t="shared" si="187"/>
        <v/>
      </c>
      <c r="O2329" s="8"/>
      <c r="P2329" s="26"/>
      <c r="S2329" s="10" t="str">
        <f t="shared" si="184"/>
        <v/>
      </c>
    </row>
    <row r="2330" spans="5:19" x14ac:dyDescent="0.3">
      <c r="E2330" s="9" t="str">
        <f>IF(DADOS!C2330="","",DADOS!C2330)</f>
        <v/>
      </c>
      <c r="F2330" s="9" t="str">
        <f>IF(DADOS!E2330="","",DADOS!E2330)</f>
        <v/>
      </c>
      <c r="G2330" s="9" t="str">
        <f>IF(DADOS!F2330="","",DADOS!F2330)</f>
        <v/>
      </c>
      <c r="K2330" s="6" t="str">
        <f t="shared" si="185"/>
        <v/>
      </c>
      <c r="L2330" s="7" t="str">
        <f t="shared" si="186"/>
        <v/>
      </c>
      <c r="M2330" s="7" t="str">
        <f t="shared" si="183"/>
        <v/>
      </c>
      <c r="N2330" s="7" t="str">
        <f t="shared" si="187"/>
        <v/>
      </c>
      <c r="O2330" s="8"/>
      <c r="P2330" s="26"/>
      <c r="S2330" s="10" t="str">
        <f t="shared" si="184"/>
        <v/>
      </c>
    </row>
    <row r="2331" spans="5:19" x14ac:dyDescent="0.3">
      <c r="E2331" s="9" t="str">
        <f>IF(DADOS!C2331="","",DADOS!C2331)</f>
        <v/>
      </c>
      <c r="F2331" s="9" t="str">
        <f>IF(DADOS!E2331="","",DADOS!E2331)</f>
        <v/>
      </c>
      <c r="G2331" s="9" t="str">
        <f>IF(DADOS!F2331="","",DADOS!F2331)</f>
        <v/>
      </c>
      <c r="K2331" s="6" t="str">
        <f t="shared" si="185"/>
        <v/>
      </c>
      <c r="L2331" s="7" t="str">
        <f t="shared" si="186"/>
        <v/>
      </c>
      <c r="M2331" s="7" t="str">
        <f t="shared" si="183"/>
        <v/>
      </c>
      <c r="N2331" s="7" t="str">
        <f t="shared" si="187"/>
        <v/>
      </c>
      <c r="O2331" s="8"/>
      <c r="P2331" s="26"/>
      <c r="S2331" s="10" t="str">
        <f t="shared" si="184"/>
        <v/>
      </c>
    </row>
    <row r="2332" spans="5:19" x14ac:dyDescent="0.3">
      <c r="E2332" s="9" t="str">
        <f>IF(DADOS!C2332="","",DADOS!C2332)</f>
        <v/>
      </c>
      <c r="F2332" s="9" t="str">
        <f>IF(DADOS!E2332="","",DADOS!E2332)</f>
        <v/>
      </c>
      <c r="G2332" s="9" t="str">
        <f>IF(DADOS!F2332="","",DADOS!F2332)</f>
        <v/>
      </c>
      <c r="K2332" s="6" t="str">
        <f t="shared" si="185"/>
        <v/>
      </c>
      <c r="L2332" s="7" t="str">
        <f t="shared" si="186"/>
        <v/>
      </c>
      <c r="M2332" s="7" t="str">
        <f t="shared" si="183"/>
        <v/>
      </c>
      <c r="N2332" s="7" t="str">
        <f t="shared" si="187"/>
        <v/>
      </c>
      <c r="O2332" s="8"/>
      <c r="P2332" s="26"/>
      <c r="S2332" s="10" t="str">
        <f t="shared" si="184"/>
        <v/>
      </c>
    </row>
    <row r="2333" spans="5:19" x14ac:dyDescent="0.3">
      <c r="E2333" s="9" t="str">
        <f>IF(DADOS!C2333="","",DADOS!C2333)</f>
        <v/>
      </c>
      <c r="F2333" s="9" t="str">
        <f>IF(DADOS!E2333="","",DADOS!E2333)</f>
        <v/>
      </c>
      <c r="G2333" s="9" t="str">
        <f>IF(DADOS!F2333="","",DADOS!F2333)</f>
        <v/>
      </c>
      <c r="K2333" s="6" t="str">
        <f t="shared" si="185"/>
        <v/>
      </c>
      <c r="L2333" s="7" t="str">
        <f t="shared" si="186"/>
        <v/>
      </c>
      <c r="M2333" s="7" t="str">
        <f t="shared" si="183"/>
        <v/>
      </c>
      <c r="N2333" s="7" t="str">
        <f t="shared" si="187"/>
        <v/>
      </c>
      <c r="O2333" s="8"/>
      <c r="P2333" s="26"/>
      <c r="S2333" s="10" t="str">
        <f t="shared" si="184"/>
        <v/>
      </c>
    </row>
    <row r="2334" spans="5:19" x14ac:dyDescent="0.3">
      <c r="E2334" s="9" t="str">
        <f>IF(DADOS!C2334="","",DADOS!C2334)</f>
        <v/>
      </c>
      <c r="F2334" s="9" t="str">
        <f>IF(DADOS!E2334="","",DADOS!E2334)</f>
        <v/>
      </c>
      <c r="G2334" s="9" t="str">
        <f>IF(DADOS!F2334="","",DADOS!F2334)</f>
        <v/>
      </c>
      <c r="K2334" s="6" t="str">
        <f t="shared" si="185"/>
        <v/>
      </c>
      <c r="L2334" s="7" t="str">
        <f t="shared" si="186"/>
        <v/>
      </c>
      <c r="M2334" s="7" t="str">
        <f t="shared" si="183"/>
        <v/>
      </c>
      <c r="N2334" s="7" t="str">
        <f t="shared" si="187"/>
        <v/>
      </c>
      <c r="O2334" s="8"/>
      <c r="P2334" s="26"/>
      <c r="S2334" s="10" t="str">
        <f t="shared" si="184"/>
        <v/>
      </c>
    </row>
    <row r="2335" spans="5:19" x14ac:dyDescent="0.3">
      <c r="E2335" s="9" t="str">
        <f>IF(DADOS!C2335="","",DADOS!C2335)</f>
        <v/>
      </c>
      <c r="F2335" s="9" t="str">
        <f>IF(DADOS!E2335="","",DADOS!E2335)</f>
        <v/>
      </c>
      <c r="G2335" s="9" t="str">
        <f>IF(DADOS!F2335="","",DADOS!F2335)</f>
        <v/>
      </c>
      <c r="K2335" s="6" t="str">
        <f t="shared" si="185"/>
        <v/>
      </c>
      <c r="L2335" s="7" t="str">
        <f t="shared" si="186"/>
        <v/>
      </c>
      <c r="M2335" s="7" t="str">
        <f t="shared" si="183"/>
        <v/>
      </c>
      <c r="N2335" s="7" t="str">
        <f t="shared" si="187"/>
        <v/>
      </c>
      <c r="O2335" s="8"/>
      <c r="P2335" s="26"/>
      <c r="S2335" s="10" t="str">
        <f t="shared" si="184"/>
        <v/>
      </c>
    </row>
    <row r="2336" spans="5:19" x14ac:dyDescent="0.3">
      <c r="E2336" s="9" t="str">
        <f>IF(DADOS!C2336="","",DADOS!C2336)</f>
        <v/>
      </c>
      <c r="F2336" s="9" t="str">
        <f>IF(DADOS!E2336="","",DADOS!E2336)</f>
        <v/>
      </c>
      <c r="G2336" s="9" t="str">
        <f>IF(DADOS!F2336="","",DADOS!F2336)</f>
        <v/>
      </c>
      <c r="K2336" s="6" t="str">
        <f t="shared" si="185"/>
        <v/>
      </c>
      <c r="L2336" s="7" t="str">
        <f t="shared" si="186"/>
        <v/>
      </c>
      <c r="M2336" s="7" t="str">
        <f t="shared" si="183"/>
        <v/>
      </c>
      <c r="N2336" s="7" t="str">
        <f t="shared" si="187"/>
        <v/>
      </c>
      <c r="O2336" s="8"/>
      <c r="P2336" s="26"/>
      <c r="S2336" s="10" t="str">
        <f t="shared" si="184"/>
        <v/>
      </c>
    </row>
    <row r="2337" spans="5:19" x14ac:dyDescent="0.3">
      <c r="E2337" s="9" t="str">
        <f>IF(DADOS!C2337="","",DADOS!C2337)</f>
        <v/>
      </c>
      <c r="F2337" s="9" t="str">
        <f>IF(DADOS!E2337="","",DADOS!E2337)</f>
        <v/>
      </c>
      <c r="G2337" s="9" t="str">
        <f>IF(DADOS!F2337="","",DADOS!F2337)</f>
        <v/>
      </c>
      <c r="K2337" s="6" t="str">
        <f t="shared" si="185"/>
        <v/>
      </c>
      <c r="L2337" s="7" t="str">
        <f t="shared" si="186"/>
        <v/>
      </c>
      <c r="M2337" s="7" t="str">
        <f t="shared" si="183"/>
        <v/>
      </c>
      <c r="N2337" s="7" t="str">
        <f t="shared" si="187"/>
        <v/>
      </c>
      <c r="O2337" s="8"/>
      <c r="P2337" s="26"/>
      <c r="S2337" s="10" t="str">
        <f t="shared" si="184"/>
        <v/>
      </c>
    </row>
    <row r="2338" spans="5:19" x14ac:dyDescent="0.3">
      <c r="E2338" s="9" t="str">
        <f>IF(DADOS!C2338="","",DADOS!C2338)</f>
        <v/>
      </c>
      <c r="F2338" s="9" t="str">
        <f>IF(DADOS!E2338="","",DADOS!E2338)</f>
        <v/>
      </c>
      <c r="G2338" s="9" t="str">
        <f>IF(DADOS!F2338="","",DADOS!F2338)</f>
        <v/>
      </c>
      <c r="K2338" s="6" t="str">
        <f t="shared" si="185"/>
        <v/>
      </c>
      <c r="L2338" s="7" t="str">
        <f t="shared" si="186"/>
        <v/>
      </c>
      <c r="M2338" s="7" t="str">
        <f t="shared" si="183"/>
        <v/>
      </c>
      <c r="N2338" s="7" t="str">
        <f t="shared" si="187"/>
        <v/>
      </c>
      <c r="O2338" s="8"/>
      <c r="P2338" s="26"/>
      <c r="S2338" s="10" t="str">
        <f t="shared" si="184"/>
        <v/>
      </c>
    </row>
    <row r="2339" spans="5:19" x14ac:dyDescent="0.3">
      <c r="E2339" s="9" t="str">
        <f>IF(DADOS!C2339="","",DADOS!C2339)</f>
        <v/>
      </c>
      <c r="F2339" s="9" t="str">
        <f>IF(DADOS!E2339="","",DADOS!E2339)</f>
        <v/>
      </c>
      <c r="G2339" s="9" t="str">
        <f>IF(DADOS!F2339="","",DADOS!F2339)</f>
        <v/>
      </c>
      <c r="K2339" s="6" t="str">
        <f t="shared" si="185"/>
        <v/>
      </c>
      <c r="L2339" s="7" t="str">
        <f t="shared" si="186"/>
        <v/>
      </c>
      <c r="M2339" s="7" t="str">
        <f t="shared" si="183"/>
        <v/>
      </c>
      <c r="N2339" s="7" t="str">
        <f t="shared" si="187"/>
        <v/>
      </c>
      <c r="O2339" s="8"/>
      <c r="P2339" s="26"/>
      <c r="S2339" s="10" t="str">
        <f t="shared" si="184"/>
        <v/>
      </c>
    </row>
    <row r="2340" spans="5:19" x14ac:dyDescent="0.3">
      <c r="E2340" s="9" t="str">
        <f>IF(DADOS!C2340="","",DADOS!C2340)</f>
        <v/>
      </c>
      <c r="F2340" s="9" t="str">
        <f>IF(DADOS!E2340="","",DADOS!E2340)</f>
        <v/>
      </c>
      <c r="G2340" s="9" t="str">
        <f>IF(DADOS!F2340="","",DADOS!F2340)</f>
        <v/>
      </c>
      <c r="K2340" s="6" t="str">
        <f t="shared" si="185"/>
        <v/>
      </c>
      <c r="L2340" s="7" t="str">
        <f t="shared" si="186"/>
        <v/>
      </c>
      <c r="M2340" s="7" t="str">
        <f t="shared" si="183"/>
        <v/>
      </c>
      <c r="N2340" s="7" t="str">
        <f t="shared" si="187"/>
        <v/>
      </c>
      <c r="O2340" s="8"/>
      <c r="P2340" s="26"/>
      <c r="S2340" s="10" t="str">
        <f t="shared" si="184"/>
        <v/>
      </c>
    </row>
    <row r="2341" spans="5:19" x14ac:dyDescent="0.3">
      <c r="E2341" s="9" t="str">
        <f>IF(DADOS!C2341="","",DADOS!C2341)</f>
        <v/>
      </c>
      <c r="F2341" s="9" t="str">
        <f>IF(DADOS!E2341="","",DADOS!E2341)</f>
        <v/>
      </c>
      <c r="G2341" s="9" t="str">
        <f>IF(DADOS!F2341="","",DADOS!F2341)</f>
        <v/>
      </c>
      <c r="K2341" s="6" t="str">
        <f t="shared" si="185"/>
        <v/>
      </c>
      <c r="L2341" s="7" t="str">
        <f t="shared" si="186"/>
        <v/>
      </c>
      <c r="M2341" s="7" t="str">
        <f t="shared" si="183"/>
        <v/>
      </c>
      <c r="N2341" s="7" t="str">
        <f t="shared" si="187"/>
        <v/>
      </c>
      <c r="O2341" s="8"/>
      <c r="P2341" s="26"/>
      <c r="S2341" s="10" t="str">
        <f t="shared" si="184"/>
        <v/>
      </c>
    </row>
    <row r="2342" spans="5:19" x14ac:dyDescent="0.3">
      <c r="E2342" s="9" t="str">
        <f>IF(DADOS!C2342="","",DADOS!C2342)</f>
        <v/>
      </c>
      <c r="F2342" s="9" t="str">
        <f>IF(DADOS!E2342="","",DADOS!E2342)</f>
        <v/>
      </c>
      <c r="G2342" s="9" t="str">
        <f>IF(DADOS!F2342="","",DADOS!F2342)</f>
        <v/>
      </c>
      <c r="K2342" s="6" t="str">
        <f t="shared" si="185"/>
        <v/>
      </c>
      <c r="L2342" s="7" t="str">
        <f t="shared" si="186"/>
        <v/>
      </c>
      <c r="M2342" s="7" t="str">
        <f t="shared" si="183"/>
        <v/>
      </c>
      <c r="N2342" s="7" t="str">
        <f t="shared" si="187"/>
        <v/>
      </c>
      <c r="O2342" s="8"/>
      <c r="P2342" s="26"/>
      <c r="S2342" s="10" t="str">
        <f t="shared" si="184"/>
        <v/>
      </c>
    </row>
    <row r="2343" spans="5:19" x14ac:dyDescent="0.3">
      <c r="E2343" s="9" t="str">
        <f>IF(DADOS!C2343="","",DADOS!C2343)</f>
        <v/>
      </c>
      <c r="F2343" s="9" t="str">
        <f>IF(DADOS!E2343="","",DADOS!E2343)</f>
        <v/>
      </c>
      <c r="G2343" s="9" t="str">
        <f>IF(DADOS!F2343="","",DADOS!F2343)</f>
        <v/>
      </c>
      <c r="K2343" s="6" t="str">
        <f t="shared" si="185"/>
        <v/>
      </c>
      <c r="L2343" s="7" t="str">
        <f t="shared" si="186"/>
        <v/>
      </c>
      <c r="M2343" s="7" t="str">
        <f t="shared" si="183"/>
        <v/>
      </c>
      <c r="N2343" s="7" t="str">
        <f t="shared" si="187"/>
        <v/>
      </c>
      <c r="O2343" s="8"/>
      <c r="P2343" s="26"/>
      <c r="S2343" s="10" t="str">
        <f t="shared" si="184"/>
        <v/>
      </c>
    </row>
    <row r="2344" spans="5:19" x14ac:dyDescent="0.3">
      <c r="E2344" s="9" t="str">
        <f>IF(DADOS!C2344="","",DADOS!C2344)</f>
        <v/>
      </c>
      <c r="F2344" s="9" t="str">
        <f>IF(DADOS!E2344="","",DADOS!E2344)</f>
        <v/>
      </c>
      <c r="G2344" s="9" t="str">
        <f>IF(DADOS!F2344="","",DADOS!F2344)</f>
        <v/>
      </c>
      <c r="K2344" s="6" t="str">
        <f t="shared" si="185"/>
        <v/>
      </c>
      <c r="L2344" s="7" t="str">
        <f t="shared" si="186"/>
        <v/>
      </c>
      <c r="M2344" s="7" t="str">
        <f t="shared" si="183"/>
        <v/>
      </c>
      <c r="N2344" s="7" t="str">
        <f t="shared" si="187"/>
        <v/>
      </c>
      <c r="O2344" s="8"/>
      <c r="P2344" s="26"/>
      <c r="S2344" s="10" t="str">
        <f t="shared" si="184"/>
        <v/>
      </c>
    </row>
    <row r="2345" spans="5:19" x14ac:dyDescent="0.3">
      <c r="E2345" s="9" t="str">
        <f>IF(DADOS!C2345="","",DADOS!C2345)</f>
        <v/>
      </c>
      <c r="F2345" s="9" t="str">
        <f>IF(DADOS!E2345="","",DADOS!E2345)</f>
        <v/>
      </c>
      <c r="G2345" s="9" t="str">
        <f>IF(DADOS!F2345="","",DADOS!F2345)</f>
        <v/>
      </c>
      <c r="K2345" s="6" t="str">
        <f t="shared" si="185"/>
        <v/>
      </c>
      <c r="L2345" s="7" t="str">
        <f t="shared" si="186"/>
        <v/>
      </c>
      <c r="M2345" s="7" t="str">
        <f t="shared" si="183"/>
        <v/>
      </c>
      <c r="N2345" s="7" t="str">
        <f t="shared" si="187"/>
        <v/>
      </c>
      <c r="O2345" s="8"/>
      <c r="P2345" s="26"/>
      <c r="S2345" s="10" t="str">
        <f t="shared" si="184"/>
        <v/>
      </c>
    </row>
    <row r="2346" spans="5:19" x14ac:dyDescent="0.3">
      <c r="E2346" s="9" t="str">
        <f>IF(DADOS!C2346="","",DADOS!C2346)</f>
        <v/>
      </c>
      <c r="F2346" s="9" t="str">
        <f>IF(DADOS!E2346="","",DADOS!E2346)</f>
        <v/>
      </c>
      <c r="G2346" s="9" t="str">
        <f>IF(DADOS!F2346="","",DADOS!F2346)</f>
        <v/>
      </c>
      <c r="K2346" s="6" t="str">
        <f t="shared" si="185"/>
        <v/>
      </c>
      <c r="L2346" s="7" t="str">
        <f t="shared" si="186"/>
        <v/>
      </c>
      <c r="M2346" s="7" t="str">
        <f t="shared" si="183"/>
        <v/>
      </c>
      <c r="N2346" s="7" t="str">
        <f t="shared" si="187"/>
        <v/>
      </c>
      <c r="O2346" s="8"/>
      <c r="P2346" s="26"/>
      <c r="S2346" s="10" t="str">
        <f t="shared" si="184"/>
        <v/>
      </c>
    </row>
    <row r="2347" spans="5:19" x14ac:dyDescent="0.3">
      <c r="E2347" s="9" t="str">
        <f>IF(DADOS!C2347="","",DADOS!C2347)</f>
        <v/>
      </c>
      <c r="F2347" s="9" t="str">
        <f>IF(DADOS!E2347="","",DADOS!E2347)</f>
        <v/>
      </c>
      <c r="G2347" s="9" t="str">
        <f>IF(DADOS!F2347="","",DADOS!F2347)</f>
        <v/>
      </c>
      <c r="K2347" s="6" t="str">
        <f t="shared" si="185"/>
        <v/>
      </c>
      <c r="L2347" s="7" t="str">
        <f t="shared" si="186"/>
        <v/>
      </c>
      <c r="M2347" s="7" t="str">
        <f t="shared" si="183"/>
        <v/>
      </c>
      <c r="N2347" s="7" t="str">
        <f t="shared" si="187"/>
        <v/>
      </c>
      <c r="O2347" s="8"/>
      <c r="P2347" s="26"/>
      <c r="S2347" s="10" t="str">
        <f t="shared" si="184"/>
        <v/>
      </c>
    </row>
    <row r="2348" spans="5:19" x14ac:dyDescent="0.3">
      <c r="E2348" s="9" t="str">
        <f>IF(DADOS!C2348="","",DADOS!C2348)</f>
        <v/>
      </c>
      <c r="F2348" s="9" t="str">
        <f>IF(DADOS!E2348="","",DADOS!E2348)</f>
        <v/>
      </c>
      <c r="G2348" s="9" t="str">
        <f>IF(DADOS!F2348="","",DADOS!F2348)</f>
        <v/>
      </c>
      <c r="K2348" s="6" t="str">
        <f t="shared" si="185"/>
        <v/>
      </c>
      <c r="L2348" s="7" t="str">
        <f t="shared" si="186"/>
        <v/>
      </c>
      <c r="M2348" s="7" t="str">
        <f t="shared" si="183"/>
        <v/>
      </c>
      <c r="N2348" s="7" t="str">
        <f t="shared" si="187"/>
        <v/>
      </c>
      <c r="O2348" s="8"/>
      <c r="P2348" s="26"/>
      <c r="S2348" s="10" t="str">
        <f t="shared" si="184"/>
        <v/>
      </c>
    </row>
    <row r="2349" spans="5:19" x14ac:dyDescent="0.3">
      <c r="E2349" s="9" t="str">
        <f>IF(DADOS!C2349="","",DADOS!C2349)</f>
        <v/>
      </c>
      <c r="F2349" s="9" t="str">
        <f>IF(DADOS!E2349="","",DADOS!E2349)</f>
        <v/>
      </c>
      <c r="G2349" s="9" t="str">
        <f>IF(DADOS!F2349="","",DADOS!F2349)</f>
        <v/>
      </c>
      <c r="K2349" s="6" t="str">
        <f t="shared" si="185"/>
        <v/>
      </c>
      <c r="L2349" s="7" t="str">
        <f t="shared" si="186"/>
        <v/>
      </c>
      <c r="M2349" s="7" t="str">
        <f t="shared" si="183"/>
        <v/>
      </c>
      <c r="N2349" s="7" t="str">
        <f t="shared" si="187"/>
        <v/>
      </c>
      <c r="O2349" s="8"/>
      <c r="P2349" s="26"/>
      <c r="S2349" s="10" t="str">
        <f t="shared" si="184"/>
        <v/>
      </c>
    </row>
    <row r="2350" spans="5:19" x14ac:dyDescent="0.3">
      <c r="E2350" s="9" t="str">
        <f>IF(DADOS!C2350="","",DADOS!C2350)</f>
        <v/>
      </c>
      <c r="F2350" s="9" t="str">
        <f>IF(DADOS!E2350="","",DADOS!E2350)</f>
        <v/>
      </c>
      <c r="G2350" s="9" t="str">
        <f>IF(DADOS!F2350="","",DADOS!F2350)</f>
        <v/>
      </c>
      <c r="K2350" s="6" t="str">
        <f t="shared" si="185"/>
        <v/>
      </c>
      <c r="L2350" s="7" t="str">
        <f t="shared" si="186"/>
        <v/>
      </c>
      <c r="M2350" s="7" t="str">
        <f t="shared" si="183"/>
        <v/>
      </c>
      <c r="N2350" s="7" t="str">
        <f t="shared" si="187"/>
        <v/>
      </c>
      <c r="O2350" s="8"/>
      <c r="P2350" s="26"/>
      <c r="S2350" s="10" t="str">
        <f t="shared" si="184"/>
        <v/>
      </c>
    </row>
    <row r="2351" spans="5:19" x14ac:dyDescent="0.3">
      <c r="E2351" s="9" t="str">
        <f>IF(DADOS!C2351="","",DADOS!C2351)</f>
        <v/>
      </c>
      <c r="F2351" s="9" t="str">
        <f>IF(DADOS!E2351="","",DADOS!E2351)</f>
        <v/>
      </c>
      <c r="G2351" s="9" t="str">
        <f>IF(DADOS!F2351="","",DADOS!F2351)</f>
        <v/>
      </c>
      <c r="K2351" s="6" t="str">
        <f t="shared" si="185"/>
        <v/>
      </c>
      <c r="L2351" s="7" t="str">
        <f t="shared" si="186"/>
        <v/>
      </c>
      <c r="M2351" s="7" t="str">
        <f t="shared" si="183"/>
        <v/>
      </c>
      <c r="N2351" s="7" t="str">
        <f t="shared" si="187"/>
        <v/>
      </c>
      <c r="O2351" s="8"/>
      <c r="P2351" s="26"/>
      <c r="S2351" s="10" t="str">
        <f t="shared" si="184"/>
        <v/>
      </c>
    </row>
    <row r="2352" spans="5:19" x14ac:dyDescent="0.3">
      <c r="E2352" s="9" t="str">
        <f>IF(DADOS!C2352="","",DADOS!C2352)</f>
        <v/>
      </c>
      <c r="F2352" s="9" t="str">
        <f>IF(DADOS!E2352="","",DADOS!E2352)</f>
        <v/>
      </c>
      <c r="G2352" s="9" t="str">
        <f>IF(DADOS!F2352="","",DADOS!F2352)</f>
        <v/>
      </c>
      <c r="K2352" s="6" t="str">
        <f t="shared" si="185"/>
        <v/>
      </c>
      <c r="L2352" s="7" t="str">
        <f t="shared" si="186"/>
        <v/>
      </c>
      <c r="M2352" s="7" t="str">
        <f t="shared" si="183"/>
        <v/>
      </c>
      <c r="N2352" s="7" t="str">
        <f t="shared" si="187"/>
        <v/>
      </c>
      <c r="O2352" s="8"/>
      <c r="P2352" s="26"/>
      <c r="S2352" s="10" t="str">
        <f t="shared" si="184"/>
        <v/>
      </c>
    </row>
    <row r="2353" spans="5:19" x14ac:dyDescent="0.3">
      <c r="E2353" s="9" t="str">
        <f>IF(DADOS!C2353="","",DADOS!C2353)</f>
        <v/>
      </c>
      <c r="F2353" s="9" t="str">
        <f>IF(DADOS!E2353="","",DADOS!E2353)</f>
        <v/>
      </c>
      <c r="G2353" s="9" t="str">
        <f>IF(DADOS!F2353="","",DADOS!F2353)</f>
        <v/>
      </c>
      <c r="K2353" s="6" t="str">
        <f t="shared" si="185"/>
        <v/>
      </c>
      <c r="L2353" s="7" t="str">
        <f t="shared" si="186"/>
        <v/>
      </c>
      <c r="M2353" s="7" t="str">
        <f t="shared" si="183"/>
        <v/>
      </c>
      <c r="N2353" s="7" t="str">
        <f t="shared" si="187"/>
        <v/>
      </c>
      <c r="O2353" s="8"/>
      <c r="P2353" s="26"/>
      <c r="S2353" s="10" t="str">
        <f t="shared" si="184"/>
        <v/>
      </c>
    </row>
    <row r="2354" spans="5:19" x14ac:dyDescent="0.3">
      <c r="E2354" s="9" t="str">
        <f>IF(DADOS!C2354="","",DADOS!C2354)</f>
        <v/>
      </c>
      <c r="F2354" s="9" t="str">
        <f>IF(DADOS!E2354="","",DADOS!E2354)</f>
        <v/>
      </c>
      <c r="G2354" s="9" t="str">
        <f>IF(DADOS!F2354="","",DADOS!F2354)</f>
        <v/>
      </c>
      <c r="K2354" s="6" t="str">
        <f t="shared" si="185"/>
        <v/>
      </c>
      <c r="L2354" s="7" t="str">
        <f t="shared" si="186"/>
        <v/>
      </c>
      <c r="M2354" s="7" t="str">
        <f t="shared" si="183"/>
        <v/>
      </c>
      <c r="N2354" s="7" t="str">
        <f t="shared" si="187"/>
        <v/>
      </c>
      <c r="O2354" s="8"/>
      <c r="P2354" s="26"/>
      <c r="S2354" s="10" t="str">
        <f t="shared" si="184"/>
        <v/>
      </c>
    </row>
    <row r="2355" spans="5:19" x14ac:dyDescent="0.3">
      <c r="E2355" s="9" t="str">
        <f>IF(DADOS!C2355="","",DADOS!C2355)</f>
        <v/>
      </c>
      <c r="F2355" s="9" t="str">
        <f>IF(DADOS!E2355="","",DADOS!E2355)</f>
        <v/>
      </c>
      <c r="G2355" s="9" t="str">
        <f>IF(DADOS!F2355="","",DADOS!F2355)</f>
        <v/>
      </c>
      <c r="K2355" s="6" t="str">
        <f t="shared" si="185"/>
        <v/>
      </c>
      <c r="L2355" s="7" t="str">
        <f t="shared" si="186"/>
        <v/>
      </c>
      <c r="M2355" s="7" t="str">
        <f t="shared" si="183"/>
        <v/>
      </c>
      <c r="N2355" s="7" t="str">
        <f t="shared" si="187"/>
        <v/>
      </c>
      <c r="O2355" s="8"/>
      <c r="P2355" s="26"/>
      <c r="S2355" s="10" t="str">
        <f t="shared" si="184"/>
        <v/>
      </c>
    </row>
    <row r="2356" spans="5:19" x14ac:dyDescent="0.3">
      <c r="E2356" s="9" t="str">
        <f>IF(DADOS!C2356="","",DADOS!C2356)</f>
        <v/>
      </c>
      <c r="F2356" s="9" t="str">
        <f>IF(DADOS!E2356="","",DADOS!E2356)</f>
        <v/>
      </c>
      <c r="G2356" s="9" t="str">
        <f>IF(DADOS!F2356="","",DADOS!F2356)</f>
        <v/>
      </c>
      <c r="K2356" s="6" t="str">
        <f t="shared" si="185"/>
        <v/>
      </c>
      <c r="L2356" s="7" t="str">
        <f t="shared" si="186"/>
        <v/>
      </c>
      <c r="M2356" s="7" t="str">
        <f t="shared" si="183"/>
        <v/>
      </c>
      <c r="N2356" s="7" t="str">
        <f t="shared" si="187"/>
        <v/>
      </c>
      <c r="O2356" s="8"/>
      <c r="P2356" s="26"/>
      <c r="S2356" s="10" t="str">
        <f t="shared" si="184"/>
        <v/>
      </c>
    </row>
    <row r="2357" spans="5:19" x14ac:dyDescent="0.3">
      <c r="E2357" s="9" t="str">
        <f>IF(DADOS!C2357="","",DADOS!C2357)</f>
        <v/>
      </c>
      <c r="F2357" s="9" t="str">
        <f>IF(DADOS!E2357="","",DADOS!E2357)</f>
        <v/>
      </c>
      <c r="G2357" s="9" t="str">
        <f>IF(DADOS!F2357="","",DADOS!F2357)</f>
        <v/>
      </c>
      <c r="K2357" s="6" t="str">
        <f t="shared" si="185"/>
        <v/>
      </c>
      <c r="L2357" s="7" t="str">
        <f t="shared" si="186"/>
        <v/>
      </c>
      <c r="M2357" s="7" t="str">
        <f t="shared" si="183"/>
        <v/>
      </c>
      <c r="N2357" s="7" t="str">
        <f t="shared" si="187"/>
        <v/>
      </c>
      <c r="O2357" s="8"/>
      <c r="P2357" s="26"/>
      <c r="S2357" s="10" t="str">
        <f t="shared" si="184"/>
        <v/>
      </c>
    </row>
    <row r="2358" spans="5:19" x14ac:dyDescent="0.3">
      <c r="E2358" s="9" t="str">
        <f>IF(DADOS!C2358="","",DADOS!C2358)</f>
        <v/>
      </c>
      <c r="F2358" s="9" t="str">
        <f>IF(DADOS!E2358="","",DADOS!E2358)</f>
        <v/>
      </c>
      <c r="G2358" s="9" t="str">
        <f>IF(DADOS!F2358="","",DADOS!F2358)</f>
        <v/>
      </c>
      <c r="K2358" s="6" t="str">
        <f t="shared" si="185"/>
        <v/>
      </c>
      <c r="L2358" s="7" t="str">
        <f t="shared" si="186"/>
        <v/>
      </c>
      <c r="M2358" s="7" t="str">
        <f t="shared" si="183"/>
        <v/>
      </c>
      <c r="N2358" s="7" t="str">
        <f t="shared" si="187"/>
        <v/>
      </c>
      <c r="O2358" s="8"/>
      <c r="P2358" s="26"/>
      <c r="S2358" s="10" t="str">
        <f t="shared" si="184"/>
        <v/>
      </c>
    </row>
    <row r="2359" spans="5:19" x14ac:dyDescent="0.3">
      <c r="E2359" s="9" t="str">
        <f>IF(DADOS!C2359="","",DADOS!C2359)</f>
        <v/>
      </c>
      <c r="F2359" s="9" t="str">
        <f>IF(DADOS!E2359="","",DADOS!E2359)</f>
        <v/>
      </c>
      <c r="G2359" s="9" t="str">
        <f>IF(DADOS!F2359="","",DADOS!F2359)</f>
        <v/>
      </c>
      <c r="K2359" s="6" t="str">
        <f t="shared" si="185"/>
        <v/>
      </c>
      <c r="L2359" s="7" t="str">
        <f t="shared" si="186"/>
        <v/>
      </c>
      <c r="M2359" s="7" t="str">
        <f t="shared" si="183"/>
        <v/>
      </c>
      <c r="N2359" s="7" t="str">
        <f t="shared" si="187"/>
        <v/>
      </c>
      <c r="O2359" s="8"/>
      <c r="P2359" s="26"/>
      <c r="S2359" s="10" t="str">
        <f t="shared" si="184"/>
        <v/>
      </c>
    </row>
    <row r="2360" spans="5:19" x14ac:dyDescent="0.3">
      <c r="E2360" s="9" t="str">
        <f>IF(DADOS!C2360="","",DADOS!C2360)</f>
        <v/>
      </c>
      <c r="F2360" s="9" t="str">
        <f>IF(DADOS!E2360="","",DADOS!E2360)</f>
        <v/>
      </c>
      <c r="G2360" s="9" t="str">
        <f>IF(DADOS!F2360="","",DADOS!F2360)</f>
        <v/>
      </c>
      <c r="K2360" s="6" t="str">
        <f t="shared" si="185"/>
        <v/>
      </c>
      <c r="L2360" s="7" t="str">
        <f t="shared" si="186"/>
        <v/>
      </c>
      <c r="M2360" s="7" t="str">
        <f t="shared" si="183"/>
        <v/>
      </c>
      <c r="N2360" s="7" t="str">
        <f t="shared" si="187"/>
        <v/>
      </c>
      <c r="O2360" s="8"/>
      <c r="P2360" s="26"/>
      <c r="S2360" s="10" t="str">
        <f t="shared" si="184"/>
        <v/>
      </c>
    </row>
    <row r="2361" spans="5:19" x14ac:dyDescent="0.3">
      <c r="E2361" s="9" t="str">
        <f>IF(DADOS!C2361="","",DADOS!C2361)</f>
        <v/>
      </c>
      <c r="F2361" s="9" t="str">
        <f>IF(DADOS!E2361="","",DADOS!E2361)</f>
        <v/>
      </c>
      <c r="G2361" s="9" t="str">
        <f>IF(DADOS!F2361="","",DADOS!F2361)</f>
        <v/>
      </c>
      <c r="K2361" s="6" t="str">
        <f t="shared" si="185"/>
        <v/>
      </c>
      <c r="L2361" s="7" t="str">
        <f t="shared" si="186"/>
        <v/>
      </c>
      <c r="M2361" s="7" t="str">
        <f t="shared" si="183"/>
        <v/>
      </c>
      <c r="N2361" s="7" t="str">
        <f t="shared" si="187"/>
        <v/>
      </c>
      <c r="O2361" s="8"/>
      <c r="P2361" s="26"/>
      <c r="S2361" s="10" t="str">
        <f t="shared" si="184"/>
        <v/>
      </c>
    </row>
    <row r="2362" spans="5:19" x14ac:dyDescent="0.3">
      <c r="E2362" s="9" t="str">
        <f>IF(DADOS!C2362="","",DADOS!C2362)</f>
        <v/>
      </c>
      <c r="F2362" s="9" t="str">
        <f>IF(DADOS!E2362="","",DADOS!E2362)</f>
        <v/>
      </c>
      <c r="G2362" s="9" t="str">
        <f>IF(DADOS!F2362="","",DADOS!F2362)</f>
        <v/>
      </c>
      <c r="K2362" s="6" t="str">
        <f t="shared" si="185"/>
        <v/>
      </c>
      <c r="L2362" s="7" t="str">
        <f t="shared" si="186"/>
        <v/>
      </c>
      <c r="M2362" s="7" t="str">
        <f t="shared" si="183"/>
        <v/>
      </c>
      <c r="N2362" s="7" t="str">
        <f t="shared" si="187"/>
        <v/>
      </c>
      <c r="O2362" s="8"/>
      <c r="P2362" s="26"/>
      <c r="S2362" s="10" t="str">
        <f t="shared" si="184"/>
        <v/>
      </c>
    </row>
    <row r="2363" spans="5:19" x14ac:dyDescent="0.3">
      <c r="E2363" s="9" t="str">
        <f>IF(DADOS!C2363="","",DADOS!C2363)</f>
        <v/>
      </c>
      <c r="F2363" s="9" t="str">
        <f>IF(DADOS!E2363="","",DADOS!E2363)</f>
        <v/>
      </c>
      <c r="G2363" s="9" t="str">
        <f>IF(DADOS!F2363="","",DADOS!F2363)</f>
        <v/>
      </c>
      <c r="K2363" s="6" t="str">
        <f t="shared" si="185"/>
        <v/>
      </c>
      <c r="L2363" s="7" t="str">
        <f t="shared" si="186"/>
        <v/>
      </c>
      <c r="M2363" s="7" t="str">
        <f t="shared" si="183"/>
        <v/>
      </c>
      <c r="N2363" s="7" t="str">
        <f t="shared" si="187"/>
        <v/>
      </c>
      <c r="O2363" s="8"/>
      <c r="P2363" s="26"/>
      <c r="S2363" s="10" t="str">
        <f t="shared" si="184"/>
        <v/>
      </c>
    </row>
    <row r="2364" spans="5:19" x14ac:dyDescent="0.3">
      <c r="E2364" s="9" t="str">
        <f>IF(DADOS!C2364="","",DADOS!C2364)</f>
        <v/>
      </c>
      <c r="F2364" s="9" t="str">
        <f>IF(DADOS!E2364="","",DADOS!E2364)</f>
        <v/>
      </c>
      <c r="G2364" s="9" t="str">
        <f>IF(DADOS!F2364="","",DADOS!F2364)</f>
        <v/>
      </c>
      <c r="K2364" s="6" t="str">
        <f t="shared" si="185"/>
        <v/>
      </c>
      <c r="L2364" s="7" t="str">
        <f t="shared" si="186"/>
        <v/>
      </c>
      <c r="M2364" s="7" t="str">
        <f t="shared" si="183"/>
        <v/>
      </c>
      <c r="N2364" s="7" t="str">
        <f t="shared" si="187"/>
        <v/>
      </c>
      <c r="O2364" s="8"/>
      <c r="P2364" s="26"/>
      <c r="S2364" s="10" t="str">
        <f t="shared" si="184"/>
        <v/>
      </c>
    </row>
    <row r="2365" spans="5:19" x14ac:dyDescent="0.3">
      <c r="E2365" s="9" t="str">
        <f>IF(DADOS!C2365="","",DADOS!C2365)</f>
        <v/>
      </c>
      <c r="F2365" s="9" t="str">
        <f>IF(DADOS!E2365="","",DADOS!E2365)</f>
        <v/>
      </c>
      <c r="G2365" s="9" t="str">
        <f>IF(DADOS!F2365="","",DADOS!F2365)</f>
        <v/>
      </c>
      <c r="K2365" s="6" t="str">
        <f t="shared" si="185"/>
        <v/>
      </c>
      <c r="L2365" s="7" t="str">
        <f t="shared" si="186"/>
        <v/>
      </c>
      <c r="M2365" s="7" t="str">
        <f t="shared" si="183"/>
        <v/>
      </c>
      <c r="N2365" s="7" t="str">
        <f t="shared" si="187"/>
        <v/>
      </c>
      <c r="O2365" s="8"/>
      <c r="P2365" s="26"/>
      <c r="S2365" s="10" t="str">
        <f t="shared" si="184"/>
        <v/>
      </c>
    </row>
    <row r="2366" spans="5:19" x14ac:dyDescent="0.3">
      <c r="E2366" s="9" t="str">
        <f>IF(DADOS!C2366="","",DADOS!C2366)</f>
        <v/>
      </c>
      <c r="F2366" s="9" t="str">
        <f>IF(DADOS!E2366="","",DADOS!E2366)</f>
        <v/>
      </c>
      <c r="G2366" s="9" t="str">
        <f>IF(DADOS!F2366="","",DADOS!F2366)</f>
        <v/>
      </c>
      <c r="K2366" s="6" t="str">
        <f t="shared" si="185"/>
        <v/>
      </c>
      <c r="L2366" s="7" t="str">
        <f t="shared" si="186"/>
        <v/>
      </c>
      <c r="M2366" s="7" t="str">
        <f t="shared" si="183"/>
        <v/>
      </c>
      <c r="N2366" s="7" t="str">
        <f t="shared" si="187"/>
        <v/>
      </c>
      <c r="O2366" s="8"/>
      <c r="P2366" s="26"/>
      <c r="S2366" s="10" t="str">
        <f t="shared" si="184"/>
        <v/>
      </c>
    </row>
    <row r="2367" spans="5:19" x14ac:dyDescent="0.3">
      <c r="E2367" s="9" t="str">
        <f>IF(DADOS!C2367="","",DADOS!C2367)</f>
        <v/>
      </c>
      <c r="F2367" s="9" t="str">
        <f>IF(DADOS!E2367="","",DADOS!E2367)</f>
        <v/>
      </c>
      <c r="G2367" s="9" t="str">
        <f>IF(DADOS!F2367="","",DADOS!F2367)</f>
        <v/>
      </c>
      <c r="K2367" s="6" t="str">
        <f t="shared" si="185"/>
        <v/>
      </c>
      <c r="L2367" s="7" t="str">
        <f t="shared" si="186"/>
        <v/>
      </c>
      <c r="M2367" s="7" t="str">
        <f t="shared" si="183"/>
        <v/>
      </c>
      <c r="N2367" s="7" t="str">
        <f t="shared" si="187"/>
        <v/>
      </c>
      <c r="O2367" s="8"/>
      <c r="P2367" s="26"/>
      <c r="S2367" s="10" t="str">
        <f t="shared" si="184"/>
        <v/>
      </c>
    </row>
    <row r="2368" spans="5:19" x14ac:dyDescent="0.3">
      <c r="E2368" s="9" t="str">
        <f>IF(DADOS!C2368="","",DADOS!C2368)</f>
        <v/>
      </c>
      <c r="F2368" s="9" t="str">
        <f>IF(DADOS!E2368="","",DADOS!E2368)</f>
        <v/>
      </c>
      <c r="G2368" s="9" t="str">
        <f>IF(DADOS!F2368="","",DADOS!F2368)</f>
        <v/>
      </c>
      <c r="K2368" s="6" t="str">
        <f t="shared" si="185"/>
        <v/>
      </c>
      <c r="L2368" s="7" t="str">
        <f t="shared" si="186"/>
        <v/>
      </c>
      <c r="M2368" s="7" t="str">
        <f t="shared" si="183"/>
        <v/>
      </c>
      <c r="N2368" s="7" t="str">
        <f t="shared" si="187"/>
        <v/>
      </c>
      <c r="O2368" s="8"/>
      <c r="P2368" s="26"/>
      <c r="S2368" s="10" t="str">
        <f t="shared" si="184"/>
        <v/>
      </c>
    </row>
    <row r="2369" spans="5:19" x14ac:dyDescent="0.3">
      <c r="E2369" s="9" t="str">
        <f>IF(DADOS!C2369="","",DADOS!C2369)</f>
        <v/>
      </c>
      <c r="F2369" s="9" t="str">
        <f>IF(DADOS!E2369="","",DADOS!E2369)</f>
        <v/>
      </c>
      <c r="G2369" s="9" t="str">
        <f>IF(DADOS!F2369="","",DADOS!F2369)</f>
        <v/>
      </c>
      <c r="K2369" s="6" t="str">
        <f t="shared" si="185"/>
        <v/>
      </c>
      <c r="L2369" s="7" t="str">
        <f t="shared" si="186"/>
        <v/>
      </c>
      <c r="M2369" s="7" t="str">
        <f t="shared" si="183"/>
        <v/>
      </c>
      <c r="N2369" s="7" t="str">
        <f t="shared" si="187"/>
        <v/>
      </c>
      <c r="O2369" s="8"/>
      <c r="P2369" s="26"/>
      <c r="S2369" s="10" t="str">
        <f t="shared" si="184"/>
        <v/>
      </c>
    </row>
    <row r="2370" spans="5:19" x14ac:dyDescent="0.3">
      <c r="E2370" s="9" t="str">
        <f>IF(DADOS!C2370="","",DADOS!C2370)</f>
        <v/>
      </c>
      <c r="F2370" s="9" t="str">
        <f>IF(DADOS!E2370="","",DADOS!E2370)</f>
        <v/>
      </c>
      <c r="G2370" s="9" t="str">
        <f>IF(DADOS!F2370="","",DADOS!F2370)</f>
        <v/>
      </c>
      <c r="K2370" s="6" t="str">
        <f t="shared" si="185"/>
        <v/>
      </c>
      <c r="L2370" s="7" t="str">
        <f t="shared" si="186"/>
        <v/>
      </c>
      <c r="M2370" s="7" t="str">
        <f t="shared" si="183"/>
        <v/>
      </c>
      <c r="N2370" s="7" t="str">
        <f t="shared" si="187"/>
        <v/>
      </c>
      <c r="O2370" s="8"/>
      <c r="P2370" s="26"/>
      <c r="S2370" s="10" t="str">
        <f t="shared" si="184"/>
        <v/>
      </c>
    </row>
    <row r="2371" spans="5:19" x14ac:dyDescent="0.3">
      <c r="E2371" s="9" t="str">
        <f>IF(DADOS!C2371="","",DADOS!C2371)</f>
        <v/>
      </c>
      <c r="F2371" s="9" t="str">
        <f>IF(DADOS!E2371="","",DADOS!E2371)</f>
        <v/>
      </c>
      <c r="G2371" s="9" t="str">
        <f>IF(DADOS!F2371="","",DADOS!F2371)</f>
        <v/>
      </c>
      <c r="K2371" s="6" t="str">
        <f t="shared" si="185"/>
        <v/>
      </c>
      <c r="L2371" s="7" t="str">
        <f t="shared" si="186"/>
        <v/>
      </c>
      <c r="M2371" s="7" t="str">
        <f t="shared" ref="M2371:M2434" si="188">IF(L2371="","",L2371*G2371)</f>
        <v/>
      </c>
      <c r="N2371" s="7" t="str">
        <f t="shared" si="187"/>
        <v/>
      </c>
      <c r="O2371" s="8"/>
      <c r="P2371" s="26"/>
      <c r="S2371" s="10" t="str">
        <f t="shared" ref="S2371:S2434" si="189">IF(R2371="","",SUMIFS($N$3:$N$10000,$E$3:$E$10000,R2371))</f>
        <v/>
      </c>
    </row>
    <row r="2372" spans="5:19" x14ac:dyDescent="0.3">
      <c r="E2372" s="9" t="str">
        <f>IF(DADOS!C2372="","",DADOS!C2372)</f>
        <v/>
      </c>
      <c r="F2372" s="9" t="str">
        <f>IF(DADOS!E2372="","",DADOS!E2372)</f>
        <v/>
      </c>
      <c r="G2372" s="9" t="str">
        <f>IF(DADOS!F2372="","",DADOS!F2372)</f>
        <v/>
      </c>
      <c r="K2372" s="6" t="str">
        <f t="shared" ref="K2372:K2435" si="190">IF(F2372="","",F2372/PI())</f>
        <v/>
      </c>
      <c r="L2372" s="7" t="str">
        <f t="shared" ref="L2372:L2435" si="191">IF(K2372="","",(PI()*K2372^2)/40000)</f>
        <v/>
      </c>
      <c r="M2372" s="7" t="str">
        <f t="shared" si="188"/>
        <v/>
      </c>
      <c r="N2372" s="7" t="str">
        <f t="shared" ref="N2372:N2435" si="192">IF(M2372="","",M2372*N$1)</f>
        <v/>
      </c>
      <c r="O2372" s="8"/>
      <c r="P2372" s="26"/>
      <c r="S2372" s="10" t="str">
        <f t="shared" si="189"/>
        <v/>
      </c>
    </row>
    <row r="2373" spans="5:19" x14ac:dyDescent="0.3">
      <c r="E2373" s="9" t="str">
        <f>IF(DADOS!C2373="","",DADOS!C2373)</f>
        <v/>
      </c>
      <c r="F2373" s="9" t="str">
        <f>IF(DADOS!E2373="","",DADOS!E2373)</f>
        <v/>
      </c>
      <c r="G2373" s="9" t="str">
        <f>IF(DADOS!F2373="","",DADOS!F2373)</f>
        <v/>
      </c>
      <c r="K2373" s="6" t="str">
        <f t="shared" si="190"/>
        <v/>
      </c>
      <c r="L2373" s="7" t="str">
        <f t="shared" si="191"/>
        <v/>
      </c>
      <c r="M2373" s="7" t="str">
        <f t="shared" si="188"/>
        <v/>
      </c>
      <c r="N2373" s="7" t="str">
        <f t="shared" si="192"/>
        <v/>
      </c>
      <c r="O2373" s="8"/>
      <c r="P2373" s="26"/>
      <c r="S2373" s="10" t="str">
        <f t="shared" si="189"/>
        <v/>
      </c>
    </row>
    <row r="2374" spans="5:19" x14ac:dyDescent="0.3">
      <c r="E2374" s="9" t="str">
        <f>IF(DADOS!C2374="","",DADOS!C2374)</f>
        <v/>
      </c>
      <c r="F2374" s="9" t="str">
        <f>IF(DADOS!E2374="","",DADOS!E2374)</f>
        <v/>
      </c>
      <c r="G2374" s="9" t="str">
        <f>IF(DADOS!F2374="","",DADOS!F2374)</f>
        <v/>
      </c>
      <c r="K2374" s="6" t="str">
        <f t="shared" si="190"/>
        <v/>
      </c>
      <c r="L2374" s="7" t="str">
        <f t="shared" si="191"/>
        <v/>
      </c>
      <c r="M2374" s="7" t="str">
        <f t="shared" si="188"/>
        <v/>
      </c>
      <c r="N2374" s="7" t="str">
        <f t="shared" si="192"/>
        <v/>
      </c>
      <c r="O2374" s="8"/>
      <c r="P2374" s="26"/>
      <c r="S2374" s="10" t="str">
        <f t="shared" si="189"/>
        <v/>
      </c>
    </row>
    <row r="2375" spans="5:19" x14ac:dyDescent="0.3">
      <c r="E2375" s="9" t="str">
        <f>IF(DADOS!C2375="","",DADOS!C2375)</f>
        <v/>
      </c>
      <c r="F2375" s="9" t="str">
        <f>IF(DADOS!E2375="","",DADOS!E2375)</f>
        <v/>
      </c>
      <c r="G2375" s="9" t="str">
        <f>IF(DADOS!F2375="","",DADOS!F2375)</f>
        <v/>
      </c>
      <c r="K2375" s="6" t="str">
        <f t="shared" si="190"/>
        <v/>
      </c>
      <c r="L2375" s="7" t="str">
        <f t="shared" si="191"/>
        <v/>
      </c>
      <c r="M2375" s="7" t="str">
        <f t="shared" si="188"/>
        <v/>
      </c>
      <c r="N2375" s="7" t="str">
        <f t="shared" si="192"/>
        <v/>
      </c>
      <c r="O2375" s="8"/>
      <c r="P2375" s="26"/>
      <c r="S2375" s="10" t="str">
        <f t="shared" si="189"/>
        <v/>
      </c>
    </row>
    <row r="2376" spans="5:19" x14ac:dyDescent="0.3">
      <c r="E2376" s="9" t="str">
        <f>IF(DADOS!C2376="","",DADOS!C2376)</f>
        <v/>
      </c>
      <c r="F2376" s="9" t="str">
        <f>IF(DADOS!E2376="","",DADOS!E2376)</f>
        <v/>
      </c>
      <c r="G2376" s="9" t="str">
        <f>IF(DADOS!F2376="","",DADOS!F2376)</f>
        <v/>
      </c>
      <c r="K2376" s="6" t="str">
        <f t="shared" si="190"/>
        <v/>
      </c>
      <c r="L2376" s="7" t="str">
        <f t="shared" si="191"/>
        <v/>
      </c>
      <c r="M2376" s="7" t="str">
        <f t="shared" si="188"/>
        <v/>
      </c>
      <c r="N2376" s="7" t="str">
        <f t="shared" si="192"/>
        <v/>
      </c>
      <c r="O2376" s="8"/>
      <c r="P2376" s="26"/>
      <c r="S2376" s="10" t="str">
        <f t="shared" si="189"/>
        <v/>
      </c>
    </row>
    <row r="2377" spans="5:19" x14ac:dyDescent="0.3">
      <c r="E2377" s="9" t="str">
        <f>IF(DADOS!C2377="","",DADOS!C2377)</f>
        <v/>
      </c>
      <c r="F2377" s="9" t="str">
        <f>IF(DADOS!E2377="","",DADOS!E2377)</f>
        <v/>
      </c>
      <c r="G2377" s="9" t="str">
        <f>IF(DADOS!F2377="","",DADOS!F2377)</f>
        <v/>
      </c>
      <c r="K2377" s="6" t="str">
        <f t="shared" si="190"/>
        <v/>
      </c>
      <c r="L2377" s="7" t="str">
        <f t="shared" si="191"/>
        <v/>
      </c>
      <c r="M2377" s="7" t="str">
        <f t="shared" si="188"/>
        <v/>
      </c>
      <c r="N2377" s="7" t="str">
        <f t="shared" si="192"/>
        <v/>
      </c>
      <c r="O2377" s="8"/>
      <c r="P2377" s="26"/>
      <c r="S2377" s="10" t="str">
        <f t="shared" si="189"/>
        <v/>
      </c>
    </row>
    <row r="2378" spans="5:19" x14ac:dyDescent="0.3">
      <c r="E2378" s="9" t="str">
        <f>IF(DADOS!C2378="","",DADOS!C2378)</f>
        <v/>
      </c>
      <c r="F2378" s="9" t="str">
        <f>IF(DADOS!E2378="","",DADOS!E2378)</f>
        <v/>
      </c>
      <c r="G2378" s="9" t="str">
        <f>IF(DADOS!F2378="","",DADOS!F2378)</f>
        <v/>
      </c>
      <c r="K2378" s="6" t="str">
        <f t="shared" si="190"/>
        <v/>
      </c>
      <c r="L2378" s="7" t="str">
        <f t="shared" si="191"/>
        <v/>
      </c>
      <c r="M2378" s="7" t="str">
        <f t="shared" si="188"/>
        <v/>
      </c>
      <c r="N2378" s="7" t="str">
        <f t="shared" si="192"/>
        <v/>
      </c>
      <c r="O2378" s="8"/>
      <c r="P2378" s="26"/>
      <c r="S2378" s="10" t="str">
        <f t="shared" si="189"/>
        <v/>
      </c>
    </row>
    <row r="2379" spans="5:19" x14ac:dyDescent="0.3">
      <c r="E2379" s="9" t="str">
        <f>IF(DADOS!C2379="","",DADOS!C2379)</f>
        <v/>
      </c>
      <c r="F2379" s="9" t="str">
        <f>IF(DADOS!E2379="","",DADOS!E2379)</f>
        <v/>
      </c>
      <c r="G2379" s="9" t="str">
        <f>IF(DADOS!F2379="","",DADOS!F2379)</f>
        <v/>
      </c>
      <c r="K2379" s="6" t="str">
        <f t="shared" si="190"/>
        <v/>
      </c>
      <c r="L2379" s="7" t="str">
        <f t="shared" si="191"/>
        <v/>
      </c>
      <c r="M2379" s="7" t="str">
        <f t="shared" si="188"/>
        <v/>
      </c>
      <c r="N2379" s="7" t="str">
        <f t="shared" si="192"/>
        <v/>
      </c>
      <c r="O2379" s="8"/>
      <c r="P2379" s="26"/>
      <c r="S2379" s="10" t="str">
        <f t="shared" si="189"/>
        <v/>
      </c>
    </row>
    <row r="2380" spans="5:19" x14ac:dyDescent="0.3">
      <c r="E2380" s="9" t="str">
        <f>IF(DADOS!C2380="","",DADOS!C2380)</f>
        <v/>
      </c>
      <c r="F2380" s="9" t="str">
        <f>IF(DADOS!E2380="","",DADOS!E2380)</f>
        <v/>
      </c>
      <c r="G2380" s="9" t="str">
        <f>IF(DADOS!F2380="","",DADOS!F2380)</f>
        <v/>
      </c>
      <c r="K2380" s="6" t="str">
        <f t="shared" si="190"/>
        <v/>
      </c>
      <c r="L2380" s="7" t="str">
        <f t="shared" si="191"/>
        <v/>
      </c>
      <c r="M2380" s="7" t="str">
        <f t="shared" si="188"/>
        <v/>
      </c>
      <c r="N2380" s="7" t="str">
        <f t="shared" si="192"/>
        <v/>
      </c>
      <c r="O2380" s="8"/>
      <c r="P2380" s="26"/>
      <c r="S2380" s="10" t="str">
        <f t="shared" si="189"/>
        <v/>
      </c>
    </row>
    <row r="2381" spans="5:19" x14ac:dyDescent="0.3">
      <c r="E2381" s="9" t="str">
        <f>IF(DADOS!C2381="","",DADOS!C2381)</f>
        <v/>
      </c>
      <c r="F2381" s="9" t="str">
        <f>IF(DADOS!E2381="","",DADOS!E2381)</f>
        <v/>
      </c>
      <c r="G2381" s="9" t="str">
        <f>IF(DADOS!F2381="","",DADOS!F2381)</f>
        <v/>
      </c>
      <c r="K2381" s="6" t="str">
        <f t="shared" si="190"/>
        <v/>
      </c>
      <c r="L2381" s="7" t="str">
        <f t="shared" si="191"/>
        <v/>
      </c>
      <c r="M2381" s="7" t="str">
        <f t="shared" si="188"/>
        <v/>
      </c>
      <c r="N2381" s="7" t="str">
        <f t="shared" si="192"/>
        <v/>
      </c>
      <c r="O2381" s="8"/>
      <c r="P2381" s="26"/>
      <c r="S2381" s="10" t="str">
        <f t="shared" si="189"/>
        <v/>
      </c>
    </row>
    <row r="2382" spans="5:19" x14ac:dyDescent="0.3">
      <c r="E2382" s="9" t="str">
        <f>IF(DADOS!C2382="","",DADOS!C2382)</f>
        <v/>
      </c>
      <c r="F2382" s="9" t="str">
        <f>IF(DADOS!E2382="","",DADOS!E2382)</f>
        <v/>
      </c>
      <c r="G2382" s="9" t="str">
        <f>IF(DADOS!F2382="","",DADOS!F2382)</f>
        <v/>
      </c>
      <c r="K2382" s="6" t="str">
        <f t="shared" si="190"/>
        <v/>
      </c>
      <c r="L2382" s="7" t="str">
        <f t="shared" si="191"/>
        <v/>
      </c>
      <c r="M2382" s="7" t="str">
        <f t="shared" si="188"/>
        <v/>
      </c>
      <c r="N2382" s="7" t="str">
        <f t="shared" si="192"/>
        <v/>
      </c>
      <c r="O2382" s="8"/>
      <c r="P2382" s="26"/>
      <c r="S2382" s="10" t="str">
        <f t="shared" si="189"/>
        <v/>
      </c>
    </row>
    <row r="2383" spans="5:19" x14ac:dyDescent="0.3">
      <c r="E2383" s="9" t="str">
        <f>IF(DADOS!C2383="","",DADOS!C2383)</f>
        <v/>
      </c>
      <c r="F2383" s="9" t="str">
        <f>IF(DADOS!E2383="","",DADOS!E2383)</f>
        <v/>
      </c>
      <c r="G2383" s="9" t="str">
        <f>IF(DADOS!F2383="","",DADOS!F2383)</f>
        <v/>
      </c>
      <c r="K2383" s="6" t="str">
        <f t="shared" si="190"/>
        <v/>
      </c>
      <c r="L2383" s="7" t="str">
        <f t="shared" si="191"/>
        <v/>
      </c>
      <c r="M2383" s="7" t="str">
        <f t="shared" si="188"/>
        <v/>
      </c>
      <c r="N2383" s="7" t="str">
        <f t="shared" si="192"/>
        <v/>
      </c>
      <c r="O2383" s="8"/>
      <c r="P2383" s="26"/>
      <c r="S2383" s="10" t="str">
        <f t="shared" si="189"/>
        <v/>
      </c>
    </row>
    <row r="2384" spans="5:19" x14ac:dyDescent="0.3">
      <c r="E2384" s="9" t="str">
        <f>IF(DADOS!C2384="","",DADOS!C2384)</f>
        <v/>
      </c>
      <c r="F2384" s="9" t="str">
        <f>IF(DADOS!E2384="","",DADOS!E2384)</f>
        <v/>
      </c>
      <c r="G2384" s="9" t="str">
        <f>IF(DADOS!F2384="","",DADOS!F2384)</f>
        <v/>
      </c>
      <c r="K2384" s="6" t="str">
        <f t="shared" si="190"/>
        <v/>
      </c>
      <c r="L2384" s="7" t="str">
        <f t="shared" si="191"/>
        <v/>
      </c>
      <c r="M2384" s="7" t="str">
        <f t="shared" si="188"/>
        <v/>
      </c>
      <c r="N2384" s="7" t="str">
        <f t="shared" si="192"/>
        <v/>
      </c>
      <c r="O2384" s="8"/>
      <c r="P2384" s="26"/>
      <c r="S2384" s="10" t="str">
        <f t="shared" si="189"/>
        <v/>
      </c>
    </row>
    <row r="2385" spans="5:19" x14ac:dyDescent="0.3">
      <c r="E2385" s="9" t="str">
        <f>IF(DADOS!C2385="","",DADOS!C2385)</f>
        <v/>
      </c>
      <c r="F2385" s="9" t="str">
        <f>IF(DADOS!E2385="","",DADOS!E2385)</f>
        <v/>
      </c>
      <c r="G2385" s="9" t="str">
        <f>IF(DADOS!F2385="","",DADOS!F2385)</f>
        <v/>
      </c>
      <c r="K2385" s="6" t="str">
        <f t="shared" si="190"/>
        <v/>
      </c>
      <c r="L2385" s="7" t="str">
        <f t="shared" si="191"/>
        <v/>
      </c>
      <c r="M2385" s="7" t="str">
        <f t="shared" si="188"/>
        <v/>
      </c>
      <c r="N2385" s="7" t="str">
        <f t="shared" si="192"/>
        <v/>
      </c>
      <c r="O2385" s="8"/>
      <c r="P2385" s="26"/>
      <c r="S2385" s="10" t="str">
        <f t="shared" si="189"/>
        <v/>
      </c>
    </row>
    <row r="2386" spans="5:19" x14ac:dyDescent="0.3">
      <c r="E2386" s="9" t="str">
        <f>IF(DADOS!C2386="","",DADOS!C2386)</f>
        <v/>
      </c>
      <c r="F2386" s="9" t="str">
        <f>IF(DADOS!E2386="","",DADOS!E2386)</f>
        <v/>
      </c>
      <c r="G2386" s="9" t="str">
        <f>IF(DADOS!F2386="","",DADOS!F2386)</f>
        <v/>
      </c>
      <c r="K2386" s="6" t="str">
        <f t="shared" si="190"/>
        <v/>
      </c>
      <c r="L2386" s="7" t="str">
        <f t="shared" si="191"/>
        <v/>
      </c>
      <c r="M2386" s="7" t="str">
        <f t="shared" si="188"/>
        <v/>
      </c>
      <c r="N2386" s="7" t="str">
        <f t="shared" si="192"/>
        <v/>
      </c>
      <c r="O2386" s="8"/>
      <c r="P2386" s="26"/>
      <c r="S2386" s="10" t="str">
        <f t="shared" si="189"/>
        <v/>
      </c>
    </row>
    <row r="2387" spans="5:19" x14ac:dyDescent="0.3">
      <c r="E2387" s="9" t="str">
        <f>IF(DADOS!C2387="","",DADOS!C2387)</f>
        <v/>
      </c>
      <c r="F2387" s="9" t="str">
        <f>IF(DADOS!E2387="","",DADOS!E2387)</f>
        <v/>
      </c>
      <c r="G2387" s="9" t="str">
        <f>IF(DADOS!F2387="","",DADOS!F2387)</f>
        <v/>
      </c>
      <c r="K2387" s="6" t="str">
        <f t="shared" si="190"/>
        <v/>
      </c>
      <c r="L2387" s="7" t="str">
        <f t="shared" si="191"/>
        <v/>
      </c>
      <c r="M2387" s="7" t="str">
        <f t="shared" si="188"/>
        <v/>
      </c>
      <c r="N2387" s="7" t="str">
        <f t="shared" si="192"/>
        <v/>
      </c>
      <c r="O2387" s="8"/>
      <c r="P2387" s="26"/>
      <c r="S2387" s="10" t="str">
        <f t="shared" si="189"/>
        <v/>
      </c>
    </row>
    <row r="2388" spans="5:19" x14ac:dyDescent="0.3">
      <c r="E2388" s="9" t="str">
        <f>IF(DADOS!C2388="","",DADOS!C2388)</f>
        <v/>
      </c>
      <c r="F2388" s="9" t="str">
        <f>IF(DADOS!E2388="","",DADOS!E2388)</f>
        <v/>
      </c>
      <c r="G2388" s="9" t="str">
        <f>IF(DADOS!F2388="","",DADOS!F2388)</f>
        <v/>
      </c>
      <c r="K2388" s="6" t="str">
        <f t="shared" si="190"/>
        <v/>
      </c>
      <c r="L2388" s="7" t="str">
        <f t="shared" si="191"/>
        <v/>
      </c>
      <c r="M2388" s="7" t="str">
        <f t="shared" si="188"/>
        <v/>
      </c>
      <c r="N2388" s="7" t="str">
        <f t="shared" si="192"/>
        <v/>
      </c>
      <c r="O2388" s="8"/>
      <c r="P2388" s="26"/>
      <c r="S2388" s="10" t="str">
        <f t="shared" si="189"/>
        <v/>
      </c>
    </row>
    <row r="2389" spans="5:19" x14ac:dyDescent="0.3">
      <c r="E2389" s="9" t="str">
        <f>IF(DADOS!C2389="","",DADOS!C2389)</f>
        <v/>
      </c>
      <c r="F2389" s="9" t="str">
        <f>IF(DADOS!E2389="","",DADOS!E2389)</f>
        <v/>
      </c>
      <c r="G2389" s="9" t="str">
        <f>IF(DADOS!F2389="","",DADOS!F2389)</f>
        <v/>
      </c>
      <c r="K2389" s="6" t="str">
        <f t="shared" si="190"/>
        <v/>
      </c>
      <c r="L2389" s="7" t="str">
        <f t="shared" si="191"/>
        <v/>
      </c>
      <c r="M2389" s="7" t="str">
        <f t="shared" si="188"/>
        <v/>
      </c>
      <c r="N2389" s="7" t="str">
        <f t="shared" si="192"/>
        <v/>
      </c>
      <c r="O2389" s="8"/>
      <c r="P2389" s="26"/>
      <c r="S2389" s="10" t="str">
        <f t="shared" si="189"/>
        <v/>
      </c>
    </row>
    <row r="2390" spans="5:19" x14ac:dyDescent="0.3">
      <c r="E2390" s="9" t="str">
        <f>IF(DADOS!C2390="","",DADOS!C2390)</f>
        <v/>
      </c>
      <c r="F2390" s="9" t="str">
        <f>IF(DADOS!E2390="","",DADOS!E2390)</f>
        <v/>
      </c>
      <c r="G2390" s="9" t="str">
        <f>IF(DADOS!F2390="","",DADOS!F2390)</f>
        <v/>
      </c>
      <c r="K2390" s="6" t="str">
        <f t="shared" si="190"/>
        <v/>
      </c>
      <c r="L2390" s="7" t="str">
        <f t="shared" si="191"/>
        <v/>
      </c>
      <c r="M2390" s="7" t="str">
        <f t="shared" si="188"/>
        <v/>
      </c>
      <c r="N2390" s="7" t="str">
        <f t="shared" si="192"/>
        <v/>
      </c>
      <c r="O2390" s="8"/>
      <c r="P2390" s="26"/>
      <c r="S2390" s="10" t="str">
        <f t="shared" si="189"/>
        <v/>
      </c>
    </row>
    <row r="2391" spans="5:19" x14ac:dyDescent="0.3">
      <c r="E2391" s="9" t="str">
        <f>IF(DADOS!C2391="","",DADOS!C2391)</f>
        <v/>
      </c>
      <c r="F2391" s="9" t="str">
        <f>IF(DADOS!E2391="","",DADOS!E2391)</f>
        <v/>
      </c>
      <c r="G2391" s="9" t="str">
        <f>IF(DADOS!F2391="","",DADOS!F2391)</f>
        <v/>
      </c>
      <c r="K2391" s="6" t="str">
        <f t="shared" si="190"/>
        <v/>
      </c>
      <c r="L2391" s="7" t="str">
        <f t="shared" si="191"/>
        <v/>
      </c>
      <c r="M2391" s="7" t="str">
        <f t="shared" si="188"/>
        <v/>
      </c>
      <c r="N2391" s="7" t="str">
        <f t="shared" si="192"/>
        <v/>
      </c>
      <c r="O2391" s="8"/>
      <c r="P2391" s="26"/>
      <c r="S2391" s="10" t="str">
        <f t="shared" si="189"/>
        <v/>
      </c>
    </row>
    <row r="2392" spans="5:19" x14ac:dyDescent="0.3">
      <c r="E2392" s="9" t="str">
        <f>IF(DADOS!C2392="","",DADOS!C2392)</f>
        <v/>
      </c>
      <c r="F2392" s="9" t="str">
        <f>IF(DADOS!E2392="","",DADOS!E2392)</f>
        <v/>
      </c>
      <c r="G2392" s="9" t="str">
        <f>IF(DADOS!F2392="","",DADOS!F2392)</f>
        <v/>
      </c>
      <c r="K2392" s="6" t="str">
        <f t="shared" si="190"/>
        <v/>
      </c>
      <c r="L2392" s="7" t="str">
        <f t="shared" si="191"/>
        <v/>
      </c>
      <c r="M2392" s="7" t="str">
        <f t="shared" si="188"/>
        <v/>
      </c>
      <c r="N2392" s="7" t="str">
        <f t="shared" si="192"/>
        <v/>
      </c>
      <c r="O2392" s="8"/>
      <c r="P2392" s="26"/>
      <c r="S2392" s="10" t="str">
        <f t="shared" si="189"/>
        <v/>
      </c>
    </row>
    <row r="2393" spans="5:19" x14ac:dyDescent="0.3">
      <c r="E2393" s="9" t="str">
        <f>IF(DADOS!C2393="","",DADOS!C2393)</f>
        <v/>
      </c>
      <c r="F2393" s="9" t="str">
        <f>IF(DADOS!E2393="","",DADOS!E2393)</f>
        <v/>
      </c>
      <c r="G2393" s="9" t="str">
        <f>IF(DADOS!F2393="","",DADOS!F2393)</f>
        <v/>
      </c>
      <c r="K2393" s="6" t="str">
        <f t="shared" si="190"/>
        <v/>
      </c>
      <c r="L2393" s="7" t="str">
        <f t="shared" si="191"/>
        <v/>
      </c>
      <c r="M2393" s="7" t="str">
        <f t="shared" si="188"/>
        <v/>
      </c>
      <c r="N2393" s="7" t="str">
        <f t="shared" si="192"/>
        <v/>
      </c>
      <c r="O2393" s="8"/>
      <c r="P2393" s="26"/>
      <c r="S2393" s="10" t="str">
        <f t="shared" si="189"/>
        <v/>
      </c>
    </row>
    <row r="2394" spans="5:19" x14ac:dyDescent="0.3">
      <c r="E2394" s="9" t="str">
        <f>IF(DADOS!C2394="","",DADOS!C2394)</f>
        <v/>
      </c>
      <c r="F2394" s="9" t="str">
        <f>IF(DADOS!E2394="","",DADOS!E2394)</f>
        <v/>
      </c>
      <c r="G2394" s="9" t="str">
        <f>IF(DADOS!F2394="","",DADOS!F2394)</f>
        <v/>
      </c>
      <c r="K2394" s="6" t="str">
        <f t="shared" si="190"/>
        <v/>
      </c>
      <c r="L2394" s="7" t="str">
        <f t="shared" si="191"/>
        <v/>
      </c>
      <c r="M2394" s="7" t="str">
        <f t="shared" si="188"/>
        <v/>
      </c>
      <c r="N2394" s="7" t="str">
        <f t="shared" si="192"/>
        <v/>
      </c>
      <c r="O2394" s="8"/>
      <c r="P2394" s="26"/>
      <c r="S2394" s="10" t="str">
        <f t="shared" si="189"/>
        <v/>
      </c>
    </row>
    <row r="2395" spans="5:19" x14ac:dyDescent="0.3">
      <c r="E2395" s="9" t="str">
        <f>IF(DADOS!C2395="","",DADOS!C2395)</f>
        <v/>
      </c>
      <c r="F2395" s="9" t="str">
        <f>IF(DADOS!E2395="","",DADOS!E2395)</f>
        <v/>
      </c>
      <c r="G2395" s="9" t="str">
        <f>IF(DADOS!F2395="","",DADOS!F2395)</f>
        <v/>
      </c>
      <c r="K2395" s="6" t="str">
        <f t="shared" si="190"/>
        <v/>
      </c>
      <c r="L2395" s="7" t="str">
        <f t="shared" si="191"/>
        <v/>
      </c>
      <c r="M2395" s="7" t="str">
        <f t="shared" si="188"/>
        <v/>
      </c>
      <c r="N2395" s="7" t="str">
        <f t="shared" si="192"/>
        <v/>
      </c>
      <c r="O2395" s="8"/>
      <c r="P2395" s="26"/>
      <c r="S2395" s="10" t="str">
        <f t="shared" si="189"/>
        <v/>
      </c>
    </row>
    <row r="2396" spans="5:19" x14ac:dyDescent="0.3">
      <c r="E2396" s="9" t="str">
        <f>IF(DADOS!C2396="","",DADOS!C2396)</f>
        <v/>
      </c>
      <c r="F2396" s="9" t="str">
        <f>IF(DADOS!E2396="","",DADOS!E2396)</f>
        <v/>
      </c>
      <c r="G2396" s="9" t="str">
        <f>IF(DADOS!F2396="","",DADOS!F2396)</f>
        <v/>
      </c>
      <c r="K2396" s="6" t="str">
        <f t="shared" si="190"/>
        <v/>
      </c>
      <c r="L2396" s="7" t="str">
        <f t="shared" si="191"/>
        <v/>
      </c>
      <c r="M2396" s="7" t="str">
        <f t="shared" si="188"/>
        <v/>
      </c>
      <c r="N2396" s="7" t="str">
        <f t="shared" si="192"/>
        <v/>
      </c>
      <c r="O2396" s="8"/>
      <c r="P2396" s="26"/>
      <c r="S2396" s="10" t="str">
        <f t="shared" si="189"/>
        <v/>
      </c>
    </row>
    <row r="2397" spans="5:19" x14ac:dyDescent="0.3">
      <c r="E2397" s="9" t="str">
        <f>IF(DADOS!C2397="","",DADOS!C2397)</f>
        <v/>
      </c>
      <c r="F2397" s="9" t="str">
        <f>IF(DADOS!E2397="","",DADOS!E2397)</f>
        <v/>
      </c>
      <c r="G2397" s="9" t="str">
        <f>IF(DADOS!F2397="","",DADOS!F2397)</f>
        <v/>
      </c>
      <c r="K2397" s="6" t="str">
        <f t="shared" si="190"/>
        <v/>
      </c>
      <c r="L2397" s="7" t="str">
        <f t="shared" si="191"/>
        <v/>
      </c>
      <c r="M2397" s="7" t="str">
        <f t="shared" si="188"/>
        <v/>
      </c>
      <c r="N2397" s="7" t="str">
        <f t="shared" si="192"/>
        <v/>
      </c>
      <c r="O2397" s="8"/>
      <c r="P2397" s="26"/>
      <c r="S2397" s="10" t="str">
        <f t="shared" si="189"/>
        <v/>
      </c>
    </row>
    <row r="2398" spans="5:19" x14ac:dyDescent="0.3">
      <c r="E2398" s="9" t="str">
        <f>IF(DADOS!C2398="","",DADOS!C2398)</f>
        <v/>
      </c>
      <c r="F2398" s="9" t="str">
        <f>IF(DADOS!E2398="","",DADOS!E2398)</f>
        <v/>
      </c>
      <c r="G2398" s="9" t="str">
        <f>IF(DADOS!F2398="","",DADOS!F2398)</f>
        <v/>
      </c>
      <c r="K2398" s="6" t="str">
        <f t="shared" si="190"/>
        <v/>
      </c>
      <c r="L2398" s="7" t="str">
        <f t="shared" si="191"/>
        <v/>
      </c>
      <c r="M2398" s="7" t="str">
        <f t="shared" si="188"/>
        <v/>
      </c>
      <c r="N2398" s="7" t="str">
        <f t="shared" si="192"/>
        <v/>
      </c>
      <c r="O2398" s="8"/>
      <c r="P2398" s="26"/>
      <c r="S2398" s="10" t="str">
        <f t="shared" si="189"/>
        <v/>
      </c>
    </row>
    <row r="2399" spans="5:19" x14ac:dyDescent="0.3">
      <c r="E2399" s="9" t="str">
        <f>IF(DADOS!C2399="","",DADOS!C2399)</f>
        <v/>
      </c>
      <c r="F2399" s="9" t="str">
        <f>IF(DADOS!E2399="","",DADOS!E2399)</f>
        <v/>
      </c>
      <c r="G2399" s="9" t="str">
        <f>IF(DADOS!F2399="","",DADOS!F2399)</f>
        <v/>
      </c>
      <c r="K2399" s="6" t="str">
        <f t="shared" si="190"/>
        <v/>
      </c>
      <c r="L2399" s="7" t="str">
        <f t="shared" si="191"/>
        <v/>
      </c>
      <c r="M2399" s="7" t="str">
        <f t="shared" si="188"/>
        <v/>
      </c>
      <c r="N2399" s="7" t="str">
        <f t="shared" si="192"/>
        <v/>
      </c>
      <c r="O2399" s="8"/>
      <c r="P2399" s="26"/>
      <c r="S2399" s="10" t="str">
        <f t="shared" si="189"/>
        <v/>
      </c>
    </row>
    <row r="2400" spans="5:19" x14ac:dyDescent="0.3">
      <c r="E2400" s="9" t="str">
        <f>IF(DADOS!C2400="","",DADOS!C2400)</f>
        <v/>
      </c>
      <c r="F2400" s="9" t="str">
        <f>IF(DADOS!E2400="","",DADOS!E2400)</f>
        <v/>
      </c>
      <c r="G2400" s="9" t="str">
        <f>IF(DADOS!F2400="","",DADOS!F2400)</f>
        <v/>
      </c>
      <c r="K2400" s="6" t="str">
        <f t="shared" si="190"/>
        <v/>
      </c>
      <c r="L2400" s="7" t="str">
        <f t="shared" si="191"/>
        <v/>
      </c>
      <c r="M2400" s="7" t="str">
        <f t="shared" si="188"/>
        <v/>
      </c>
      <c r="N2400" s="7" t="str">
        <f t="shared" si="192"/>
        <v/>
      </c>
      <c r="O2400" s="8"/>
      <c r="P2400" s="26"/>
      <c r="S2400" s="10" t="str">
        <f t="shared" si="189"/>
        <v/>
      </c>
    </row>
    <row r="2401" spans="5:19" x14ac:dyDescent="0.3">
      <c r="E2401" s="9" t="str">
        <f>IF(DADOS!C2401="","",DADOS!C2401)</f>
        <v/>
      </c>
      <c r="F2401" s="9" t="str">
        <f>IF(DADOS!E2401="","",DADOS!E2401)</f>
        <v/>
      </c>
      <c r="G2401" s="9" t="str">
        <f>IF(DADOS!F2401="","",DADOS!F2401)</f>
        <v/>
      </c>
      <c r="K2401" s="6" t="str">
        <f t="shared" si="190"/>
        <v/>
      </c>
      <c r="L2401" s="7" t="str">
        <f t="shared" si="191"/>
        <v/>
      </c>
      <c r="M2401" s="7" t="str">
        <f t="shared" si="188"/>
        <v/>
      </c>
      <c r="N2401" s="7" t="str">
        <f t="shared" si="192"/>
        <v/>
      </c>
      <c r="O2401" s="8"/>
      <c r="P2401" s="26"/>
      <c r="S2401" s="10" t="str">
        <f t="shared" si="189"/>
        <v/>
      </c>
    </row>
    <row r="2402" spans="5:19" x14ac:dyDescent="0.3">
      <c r="E2402" s="9" t="str">
        <f>IF(DADOS!C2402="","",DADOS!C2402)</f>
        <v/>
      </c>
      <c r="F2402" s="9" t="str">
        <f>IF(DADOS!E2402="","",DADOS!E2402)</f>
        <v/>
      </c>
      <c r="G2402" s="9" t="str">
        <f>IF(DADOS!F2402="","",DADOS!F2402)</f>
        <v/>
      </c>
      <c r="K2402" s="6" t="str">
        <f t="shared" si="190"/>
        <v/>
      </c>
      <c r="L2402" s="7" t="str">
        <f t="shared" si="191"/>
        <v/>
      </c>
      <c r="M2402" s="7" t="str">
        <f t="shared" si="188"/>
        <v/>
      </c>
      <c r="N2402" s="7" t="str">
        <f t="shared" si="192"/>
        <v/>
      </c>
      <c r="O2402" s="8"/>
      <c r="P2402" s="26"/>
      <c r="S2402" s="10" t="str">
        <f t="shared" si="189"/>
        <v/>
      </c>
    </row>
    <row r="2403" spans="5:19" x14ac:dyDescent="0.3">
      <c r="E2403" s="9" t="str">
        <f>IF(DADOS!C2403="","",DADOS!C2403)</f>
        <v/>
      </c>
      <c r="F2403" s="9" t="str">
        <f>IF(DADOS!E2403="","",DADOS!E2403)</f>
        <v/>
      </c>
      <c r="G2403" s="9" t="str">
        <f>IF(DADOS!F2403="","",DADOS!F2403)</f>
        <v/>
      </c>
      <c r="K2403" s="6" t="str">
        <f t="shared" si="190"/>
        <v/>
      </c>
      <c r="L2403" s="7" t="str">
        <f t="shared" si="191"/>
        <v/>
      </c>
      <c r="M2403" s="7" t="str">
        <f t="shared" si="188"/>
        <v/>
      </c>
      <c r="N2403" s="7" t="str">
        <f t="shared" si="192"/>
        <v/>
      </c>
      <c r="O2403" s="8"/>
      <c r="P2403" s="26"/>
      <c r="S2403" s="10" t="str">
        <f t="shared" si="189"/>
        <v/>
      </c>
    </row>
    <row r="2404" spans="5:19" x14ac:dyDescent="0.3">
      <c r="E2404" s="9" t="str">
        <f>IF(DADOS!C2404="","",DADOS!C2404)</f>
        <v/>
      </c>
      <c r="F2404" s="9" t="str">
        <f>IF(DADOS!E2404="","",DADOS!E2404)</f>
        <v/>
      </c>
      <c r="G2404" s="9" t="str">
        <f>IF(DADOS!F2404="","",DADOS!F2404)</f>
        <v/>
      </c>
      <c r="K2404" s="6" t="str">
        <f t="shared" si="190"/>
        <v/>
      </c>
      <c r="L2404" s="7" t="str">
        <f t="shared" si="191"/>
        <v/>
      </c>
      <c r="M2404" s="7" t="str">
        <f t="shared" si="188"/>
        <v/>
      </c>
      <c r="N2404" s="7" t="str">
        <f t="shared" si="192"/>
        <v/>
      </c>
      <c r="O2404" s="8"/>
      <c r="P2404" s="26"/>
      <c r="S2404" s="10" t="str">
        <f t="shared" si="189"/>
        <v/>
      </c>
    </row>
    <row r="2405" spans="5:19" x14ac:dyDescent="0.3">
      <c r="E2405" s="9" t="str">
        <f>IF(DADOS!C2405="","",DADOS!C2405)</f>
        <v/>
      </c>
      <c r="F2405" s="9" t="str">
        <f>IF(DADOS!E2405="","",DADOS!E2405)</f>
        <v/>
      </c>
      <c r="G2405" s="9" t="str">
        <f>IF(DADOS!F2405="","",DADOS!F2405)</f>
        <v/>
      </c>
      <c r="K2405" s="6" t="str">
        <f t="shared" si="190"/>
        <v/>
      </c>
      <c r="L2405" s="7" t="str">
        <f t="shared" si="191"/>
        <v/>
      </c>
      <c r="M2405" s="7" t="str">
        <f t="shared" si="188"/>
        <v/>
      </c>
      <c r="N2405" s="7" t="str">
        <f t="shared" si="192"/>
        <v/>
      </c>
      <c r="O2405" s="8"/>
      <c r="P2405" s="26"/>
      <c r="S2405" s="10" t="str">
        <f t="shared" si="189"/>
        <v/>
      </c>
    </row>
    <row r="2406" spans="5:19" x14ac:dyDescent="0.3">
      <c r="E2406" s="9" t="str">
        <f>IF(DADOS!C2406="","",DADOS!C2406)</f>
        <v/>
      </c>
      <c r="F2406" s="9" t="str">
        <f>IF(DADOS!E2406="","",DADOS!E2406)</f>
        <v/>
      </c>
      <c r="G2406" s="9" t="str">
        <f>IF(DADOS!F2406="","",DADOS!F2406)</f>
        <v/>
      </c>
      <c r="K2406" s="6" t="str">
        <f t="shared" si="190"/>
        <v/>
      </c>
      <c r="L2406" s="7" t="str">
        <f t="shared" si="191"/>
        <v/>
      </c>
      <c r="M2406" s="7" t="str">
        <f t="shared" si="188"/>
        <v/>
      </c>
      <c r="N2406" s="7" t="str">
        <f t="shared" si="192"/>
        <v/>
      </c>
      <c r="O2406" s="8"/>
      <c r="P2406" s="26"/>
      <c r="S2406" s="10" t="str">
        <f t="shared" si="189"/>
        <v/>
      </c>
    </row>
    <row r="2407" spans="5:19" x14ac:dyDescent="0.3">
      <c r="E2407" s="9" t="str">
        <f>IF(DADOS!C2407="","",DADOS!C2407)</f>
        <v/>
      </c>
      <c r="F2407" s="9" t="str">
        <f>IF(DADOS!E2407="","",DADOS!E2407)</f>
        <v/>
      </c>
      <c r="G2407" s="9" t="str">
        <f>IF(DADOS!F2407="","",DADOS!F2407)</f>
        <v/>
      </c>
      <c r="K2407" s="6" t="str">
        <f t="shared" si="190"/>
        <v/>
      </c>
      <c r="L2407" s="7" t="str">
        <f t="shared" si="191"/>
        <v/>
      </c>
      <c r="M2407" s="7" t="str">
        <f t="shared" si="188"/>
        <v/>
      </c>
      <c r="N2407" s="7" t="str">
        <f t="shared" si="192"/>
        <v/>
      </c>
      <c r="O2407" s="8"/>
      <c r="P2407" s="26"/>
      <c r="S2407" s="10" t="str">
        <f t="shared" si="189"/>
        <v/>
      </c>
    </row>
    <row r="2408" spans="5:19" x14ac:dyDescent="0.3">
      <c r="E2408" s="9" t="str">
        <f>IF(DADOS!C2408="","",DADOS!C2408)</f>
        <v/>
      </c>
      <c r="F2408" s="9" t="str">
        <f>IF(DADOS!E2408="","",DADOS!E2408)</f>
        <v/>
      </c>
      <c r="G2408" s="9" t="str">
        <f>IF(DADOS!F2408="","",DADOS!F2408)</f>
        <v/>
      </c>
      <c r="K2408" s="6" t="str">
        <f t="shared" si="190"/>
        <v/>
      </c>
      <c r="L2408" s="7" t="str">
        <f t="shared" si="191"/>
        <v/>
      </c>
      <c r="M2408" s="7" t="str">
        <f t="shared" si="188"/>
        <v/>
      </c>
      <c r="N2408" s="7" t="str">
        <f t="shared" si="192"/>
        <v/>
      </c>
      <c r="O2408" s="8"/>
      <c r="P2408" s="26"/>
      <c r="S2408" s="10" t="str">
        <f t="shared" si="189"/>
        <v/>
      </c>
    </row>
    <row r="2409" spans="5:19" x14ac:dyDescent="0.3">
      <c r="E2409" s="9" t="str">
        <f>IF(DADOS!C2409="","",DADOS!C2409)</f>
        <v/>
      </c>
      <c r="F2409" s="9" t="str">
        <f>IF(DADOS!E2409="","",DADOS!E2409)</f>
        <v/>
      </c>
      <c r="G2409" s="9" t="str">
        <f>IF(DADOS!F2409="","",DADOS!F2409)</f>
        <v/>
      </c>
      <c r="K2409" s="6" t="str">
        <f t="shared" si="190"/>
        <v/>
      </c>
      <c r="L2409" s="7" t="str">
        <f t="shared" si="191"/>
        <v/>
      </c>
      <c r="M2409" s="7" t="str">
        <f t="shared" si="188"/>
        <v/>
      </c>
      <c r="N2409" s="7" t="str">
        <f t="shared" si="192"/>
        <v/>
      </c>
      <c r="O2409" s="8"/>
      <c r="P2409" s="26"/>
      <c r="S2409" s="10" t="str">
        <f t="shared" si="189"/>
        <v/>
      </c>
    </row>
    <row r="2410" spans="5:19" x14ac:dyDescent="0.3">
      <c r="E2410" s="9" t="str">
        <f>IF(DADOS!C2410="","",DADOS!C2410)</f>
        <v/>
      </c>
      <c r="F2410" s="9" t="str">
        <f>IF(DADOS!E2410="","",DADOS!E2410)</f>
        <v/>
      </c>
      <c r="G2410" s="9" t="str">
        <f>IF(DADOS!F2410="","",DADOS!F2410)</f>
        <v/>
      </c>
      <c r="K2410" s="6" t="str">
        <f t="shared" si="190"/>
        <v/>
      </c>
      <c r="L2410" s="7" t="str">
        <f t="shared" si="191"/>
        <v/>
      </c>
      <c r="M2410" s="7" t="str">
        <f t="shared" si="188"/>
        <v/>
      </c>
      <c r="N2410" s="7" t="str">
        <f t="shared" si="192"/>
        <v/>
      </c>
      <c r="O2410" s="8"/>
      <c r="P2410" s="26"/>
      <c r="S2410" s="10" t="str">
        <f t="shared" si="189"/>
        <v/>
      </c>
    </row>
    <row r="2411" spans="5:19" x14ac:dyDescent="0.3">
      <c r="E2411" s="9" t="str">
        <f>IF(DADOS!C2411="","",DADOS!C2411)</f>
        <v/>
      </c>
      <c r="F2411" s="9" t="str">
        <f>IF(DADOS!E2411="","",DADOS!E2411)</f>
        <v/>
      </c>
      <c r="G2411" s="9" t="str">
        <f>IF(DADOS!F2411="","",DADOS!F2411)</f>
        <v/>
      </c>
      <c r="K2411" s="6" t="str">
        <f t="shared" si="190"/>
        <v/>
      </c>
      <c r="L2411" s="7" t="str">
        <f t="shared" si="191"/>
        <v/>
      </c>
      <c r="M2411" s="7" t="str">
        <f t="shared" si="188"/>
        <v/>
      </c>
      <c r="N2411" s="7" t="str">
        <f t="shared" si="192"/>
        <v/>
      </c>
      <c r="O2411" s="8"/>
      <c r="P2411" s="26"/>
      <c r="S2411" s="10" t="str">
        <f t="shared" si="189"/>
        <v/>
      </c>
    </row>
    <row r="2412" spans="5:19" x14ac:dyDescent="0.3">
      <c r="E2412" s="9" t="str">
        <f>IF(DADOS!C2412="","",DADOS!C2412)</f>
        <v/>
      </c>
      <c r="F2412" s="9" t="str">
        <f>IF(DADOS!E2412="","",DADOS!E2412)</f>
        <v/>
      </c>
      <c r="G2412" s="9" t="str">
        <f>IF(DADOS!F2412="","",DADOS!F2412)</f>
        <v/>
      </c>
      <c r="K2412" s="6" t="str">
        <f t="shared" si="190"/>
        <v/>
      </c>
      <c r="L2412" s="7" t="str">
        <f t="shared" si="191"/>
        <v/>
      </c>
      <c r="M2412" s="7" t="str">
        <f t="shared" si="188"/>
        <v/>
      </c>
      <c r="N2412" s="7" t="str">
        <f t="shared" si="192"/>
        <v/>
      </c>
      <c r="O2412" s="8"/>
      <c r="P2412" s="26"/>
      <c r="S2412" s="10" t="str">
        <f t="shared" si="189"/>
        <v/>
      </c>
    </row>
    <row r="2413" spans="5:19" x14ac:dyDescent="0.3">
      <c r="E2413" s="9" t="str">
        <f>IF(DADOS!C2413="","",DADOS!C2413)</f>
        <v/>
      </c>
      <c r="F2413" s="9" t="str">
        <f>IF(DADOS!E2413="","",DADOS!E2413)</f>
        <v/>
      </c>
      <c r="G2413" s="9" t="str">
        <f>IF(DADOS!F2413="","",DADOS!F2413)</f>
        <v/>
      </c>
      <c r="K2413" s="6" t="str">
        <f t="shared" si="190"/>
        <v/>
      </c>
      <c r="L2413" s="7" t="str">
        <f t="shared" si="191"/>
        <v/>
      </c>
      <c r="M2413" s="7" t="str">
        <f t="shared" si="188"/>
        <v/>
      </c>
      <c r="N2413" s="7" t="str">
        <f t="shared" si="192"/>
        <v/>
      </c>
      <c r="O2413" s="8"/>
      <c r="P2413" s="26"/>
      <c r="S2413" s="10" t="str">
        <f t="shared" si="189"/>
        <v/>
      </c>
    </row>
    <row r="2414" spans="5:19" x14ac:dyDescent="0.3">
      <c r="E2414" s="9" t="str">
        <f>IF(DADOS!C2414="","",DADOS!C2414)</f>
        <v/>
      </c>
      <c r="F2414" s="9" t="str">
        <f>IF(DADOS!E2414="","",DADOS!E2414)</f>
        <v/>
      </c>
      <c r="G2414" s="9" t="str">
        <f>IF(DADOS!F2414="","",DADOS!F2414)</f>
        <v/>
      </c>
      <c r="K2414" s="6" t="str">
        <f t="shared" si="190"/>
        <v/>
      </c>
      <c r="L2414" s="7" t="str">
        <f t="shared" si="191"/>
        <v/>
      </c>
      <c r="M2414" s="7" t="str">
        <f t="shared" si="188"/>
        <v/>
      </c>
      <c r="N2414" s="7" t="str">
        <f t="shared" si="192"/>
        <v/>
      </c>
      <c r="O2414" s="8"/>
      <c r="P2414" s="26"/>
      <c r="S2414" s="10" t="str">
        <f t="shared" si="189"/>
        <v/>
      </c>
    </row>
    <row r="2415" spans="5:19" x14ac:dyDescent="0.3">
      <c r="E2415" s="9" t="str">
        <f>IF(DADOS!C2415="","",DADOS!C2415)</f>
        <v/>
      </c>
      <c r="F2415" s="9" t="str">
        <f>IF(DADOS!E2415="","",DADOS!E2415)</f>
        <v/>
      </c>
      <c r="G2415" s="9" t="str">
        <f>IF(DADOS!F2415="","",DADOS!F2415)</f>
        <v/>
      </c>
      <c r="K2415" s="6" t="str">
        <f t="shared" si="190"/>
        <v/>
      </c>
      <c r="L2415" s="7" t="str">
        <f t="shared" si="191"/>
        <v/>
      </c>
      <c r="M2415" s="7" t="str">
        <f t="shared" si="188"/>
        <v/>
      </c>
      <c r="N2415" s="7" t="str">
        <f t="shared" si="192"/>
        <v/>
      </c>
      <c r="O2415" s="8"/>
      <c r="P2415" s="26"/>
      <c r="S2415" s="10" t="str">
        <f t="shared" si="189"/>
        <v/>
      </c>
    </row>
    <row r="2416" spans="5:19" x14ac:dyDescent="0.3">
      <c r="E2416" s="9" t="str">
        <f>IF(DADOS!C2416="","",DADOS!C2416)</f>
        <v/>
      </c>
      <c r="F2416" s="9" t="str">
        <f>IF(DADOS!E2416="","",DADOS!E2416)</f>
        <v/>
      </c>
      <c r="G2416" s="9" t="str">
        <f>IF(DADOS!F2416="","",DADOS!F2416)</f>
        <v/>
      </c>
      <c r="K2416" s="6" t="str">
        <f t="shared" si="190"/>
        <v/>
      </c>
      <c r="L2416" s="7" t="str">
        <f t="shared" si="191"/>
        <v/>
      </c>
      <c r="M2416" s="7" t="str">
        <f t="shared" si="188"/>
        <v/>
      </c>
      <c r="N2416" s="7" t="str">
        <f t="shared" si="192"/>
        <v/>
      </c>
      <c r="O2416" s="8"/>
      <c r="P2416" s="26"/>
      <c r="S2416" s="10" t="str">
        <f t="shared" si="189"/>
        <v/>
      </c>
    </row>
    <row r="2417" spans="5:19" x14ac:dyDescent="0.3">
      <c r="E2417" s="9" t="str">
        <f>IF(DADOS!C2417="","",DADOS!C2417)</f>
        <v/>
      </c>
      <c r="F2417" s="9" t="str">
        <f>IF(DADOS!E2417="","",DADOS!E2417)</f>
        <v/>
      </c>
      <c r="G2417" s="9" t="str">
        <f>IF(DADOS!F2417="","",DADOS!F2417)</f>
        <v/>
      </c>
      <c r="K2417" s="6" t="str">
        <f t="shared" si="190"/>
        <v/>
      </c>
      <c r="L2417" s="7" t="str">
        <f t="shared" si="191"/>
        <v/>
      </c>
      <c r="M2417" s="7" t="str">
        <f t="shared" si="188"/>
        <v/>
      </c>
      <c r="N2417" s="7" t="str">
        <f t="shared" si="192"/>
        <v/>
      </c>
      <c r="O2417" s="8"/>
      <c r="P2417" s="26"/>
      <c r="S2417" s="10" t="str">
        <f t="shared" si="189"/>
        <v/>
      </c>
    </row>
    <row r="2418" spans="5:19" x14ac:dyDescent="0.3">
      <c r="E2418" s="9" t="str">
        <f>IF(DADOS!C2418="","",DADOS!C2418)</f>
        <v/>
      </c>
      <c r="F2418" s="9" t="str">
        <f>IF(DADOS!E2418="","",DADOS!E2418)</f>
        <v/>
      </c>
      <c r="G2418" s="9" t="str">
        <f>IF(DADOS!F2418="","",DADOS!F2418)</f>
        <v/>
      </c>
      <c r="K2418" s="6" t="str">
        <f t="shared" si="190"/>
        <v/>
      </c>
      <c r="L2418" s="7" t="str">
        <f t="shared" si="191"/>
        <v/>
      </c>
      <c r="M2418" s="7" t="str">
        <f t="shared" si="188"/>
        <v/>
      </c>
      <c r="N2418" s="7" t="str">
        <f t="shared" si="192"/>
        <v/>
      </c>
      <c r="O2418" s="8"/>
      <c r="P2418" s="26"/>
      <c r="S2418" s="10" t="str">
        <f t="shared" si="189"/>
        <v/>
      </c>
    </row>
    <row r="2419" spans="5:19" x14ac:dyDescent="0.3">
      <c r="E2419" s="9" t="str">
        <f>IF(DADOS!C2419="","",DADOS!C2419)</f>
        <v/>
      </c>
      <c r="F2419" s="9" t="str">
        <f>IF(DADOS!E2419="","",DADOS!E2419)</f>
        <v/>
      </c>
      <c r="G2419" s="9" t="str">
        <f>IF(DADOS!F2419="","",DADOS!F2419)</f>
        <v/>
      </c>
      <c r="K2419" s="6" t="str">
        <f t="shared" si="190"/>
        <v/>
      </c>
      <c r="L2419" s="7" t="str">
        <f t="shared" si="191"/>
        <v/>
      </c>
      <c r="M2419" s="7" t="str">
        <f t="shared" si="188"/>
        <v/>
      </c>
      <c r="N2419" s="7" t="str">
        <f t="shared" si="192"/>
        <v/>
      </c>
      <c r="O2419" s="8"/>
      <c r="P2419" s="26"/>
      <c r="S2419" s="10" t="str">
        <f t="shared" si="189"/>
        <v/>
      </c>
    </row>
    <row r="2420" spans="5:19" x14ac:dyDescent="0.3">
      <c r="E2420" s="9" t="str">
        <f>IF(DADOS!C2420="","",DADOS!C2420)</f>
        <v/>
      </c>
      <c r="F2420" s="9" t="str">
        <f>IF(DADOS!E2420="","",DADOS!E2420)</f>
        <v/>
      </c>
      <c r="G2420" s="9" t="str">
        <f>IF(DADOS!F2420="","",DADOS!F2420)</f>
        <v/>
      </c>
      <c r="K2420" s="6" t="str">
        <f t="shared" si="190"/>
        <v/>
      </c>
      <c r="L2420" s="7" t="str">
        <f t="shared" si="191"/>
        <v/>
      </c>
      <c r="M2420" s="7" t="str">
        <f t="shared" si="188"/>
        <v/>
      </c>
      <c r="N2420" s="7" t="str">
        <f t="shared" si="192"/>
        <v/>
      </c>
      <c r="O2420" s="8"/>
      <c r="P2420" s="26"/>
      <c r="S2420" s="10" t="str">
        <f t="shared" si="189"/>
        <v/>
      </c>
    </row>
    <row r="2421" spans="5:19" x14ac:dyDescent="0.3">
      <c r="E2421" s="9" t="str">
        <f>IF(DADOS!C2421="","",DADOS!C2421)</f>
        <v/>
      </c>
      <c r="F2421" s="9" t="str">
        <f>IF(DADOS!E2421="","",DADOS!E2421)</f>
        <v/>
      </c>
      <c r="G2421" s="9" t="str">
        <f>IF(DADOS!F2421="","",DADOS!F2421)</f>
        <v/>
      </c>
      <c r="K2421" s="6" t="str">
        <f t="shared" si="190"/>
        <v/>
      </c>
      <c r="L2421" s="7" t="str">
        <f t="shared" si="191"/>
        <v/>
      </c>
      <c r="M2421" s="7" t="str">
        <f t="shared" si="188"/>
        <v/>
      </c>
      <c r="N2421" s="7" t="str">
        <f t="shared" si="192"/>
        <v/>
      </c>
      <c r="O2421" s="8"/>
      <c r="P2421" s="26"/>
      <c r="S2421" s="10" t="str">
        <f t="shared" si="189"/>
        <v/>
      </c>
    </row>
    <row r="2422" spans="5:19" x14ac:dyDescent="0.3">
      <c r="E2422" s="9" t="str">
        <f>IF(DADOS!C2422="","",DADOS!C2422)</f>
        <v/>
      </c>
      <c r="F2422" s="9" t="str">
        <f>IF(DADOS!E2422="","",DADOS!E2422)</f>
        <v/>
      </c>
      <c r="G2422" s="9" t="str">
        <f>IF(DADOS!F2422="","",DADOS!F2422)</f>
        <v/>
      </c>
      <c r="K2422" s="6" t="str">
        <f t="shared" si="190"/>
        <v/>
      </c>
      <c r="L2422" s="7" t="str">
        <f t="shared" si="191"/>
        <v/>
      </c>
      <c r="M2422" s="7" t="str">
        <f t="shared" si="188"/>
        <v/>
      </c>
      <c r="N2422" s="7" t="str">
        <f t="shared" si="192"/>
        <v/>
      </c>
      <c r="O2422" s="8"/>
      <c r="P2422" s="26"/>
      <c r="S2422" s="10" t="str">
        <f t="shared" si="189"/>
        <v/>
      </c>
    </row>
    <row r="2423" spans="5:19" x14ac:dyDescent="0.3">
      <c r="E2423" s="9" t="str">
        <f>IF(DADOS!C2423="","",DADOS!C2423)</f>
        <v/>
      </c>
      <c r="F2423" s="9" t="str">
        <f>IF(DADOS!E2423="","",DADOS!E2423)</f>
        <v/>
      </c>
      <c r="G2423" s="9" t="str">
        <f>IF(DADOS!F2423="","",DADOS!F2423)</f>
        <v/>
      </c>
      <c r="K2423" s="6" t="str">
        <f t="shared" si="190"/>
        <v/>
      </c>
      <c r="L2423" s="7" t="str">
        <f t="shared" si="191"/>
        <v/>
      </c>
      <c r="M2423" s="7" t="str">
        <f t="shared" si="188"/>
        <v/>
      </c>
      <c r="N2423" s="7" t="str">
        <f t="shared" si="192"/>
        <v/>
      </c>
      <c r="O2423" s="8"/>
      <c r="P2423" s="26"/>
      <c r="S2423" s="10" t="str">
        <f t="shared" si="189"/>
        <v/>
      </c>
    </row>
    <row r="2424" spans="5:19" x14ac:dyDescent="0.3">
      <c r="E2424" s="9" t="str">
        <f>IF(DADOS!C2424="","",DADOS!C2424)</f>
        <v/>
      </c>
      <c r="F2424" s="9" t="str">
        <f>IF(DADOS!E2424="","",DADOS!E2424)</f>
        <v/>
      </c>
      <c r="G2424" s="9" t="str">
        <f>IF(DADOS!F2424="","",DADOS!F2424)</f>
        <v/>
      </c>
      <c r="K2424" s="6" t="str">
        <f t="shared" si="190"/>
        <v/>
      </c>
      <c r="L2424" s="7" t="str">
        <f t="shared" si="191"/>
        <v/>
      </c>
      <c r="M2424" s="7" t="str">
        <f t="shared" si="188"/>
        <v/>
      </c>
      <c r="N2424" s="7" t="str">
        <f t="shared" si="192"/>
        <v/>
      </c>
      <c r="O2424" s="8"/>
      <c r="P2424" s="26"/>
      <c r="S2424" s="10" t="str">
        <f t="shared" si="189"/>
        <v/>
      </c>
    </row>
    <row r="2425" spans="5:19" x14ac:dyDescent="0.3">
      <c r="E2425" s="9" t="str">
        <f>IF(DADOS!C2425="","",DADOS!C2425)</f>
        <v/>
      </c>
      <c r="F2425" s="9" t="str">
        <f>IF(DADOS!E2425="","",DADOS!E2425)</f>
        <v/>
      </c>
      <c r="G2425" s="9" t="str">
        <f>IF(DADOS!F2425="","",DADOS!F2425)</f>
        <v/>
      </c>
      <c r="K2425" s="6" t="str">
        <f t="shared" si="190"/>
        <v/>
      </c>
      <c r="L2425" s="7" t="str">
        <f t="shared" si="191"/>
        <v/>
      </c>
      <c r="M2425" s="7" t="str">
        <f t="shared" si="188"/>
        <v/>
      </c>
      <c r="N2425" s="7" t="str">
        <f t="shared" si="192"/>
        <v/>
      </c>
      <c r="O2425" s="8"/>
      <c r="P2425" s="26"/>
      <c r="S2425" s="10" t="str">
        <f t="shared" si="189"/>
        <v/>
      </c>
    </row>
    <row r="2426" spans="5:19" x14ac:dyDescent="0.3">
      <c r="E2426" s="9" t="str">
        <f>IF(DADOS!C2426="","",DADOS!C2426)</f>
        <v/>
      </c>
      <c r="F2426" s="9" t="str">
        <f>IF(DADOS!E2426="","",DADOS!E2426)</f>
        <v/>
      </c>
      <c r="G2426" s="9" t="str">
        <f>IF(DADOS!F2426="","",DADOS!F2426)</f>
        <v/>
      </c>
      <c r="K2426" s="6" t="str">
        <f t="shared" si="190"/>
        <v/>
      </c>
      <c r="L2426" s="7" t="str">
        <f t="shared" si="191"/>
        <v/>
      </c>
      <c r="M2426" s="7" t="str">
        <f t="shared" si="188"/>
        <v/>
      </c>
      <c r="N2426" s="7" t="str">
        <f t="shared" si="192"/>
        <v/>
      </c>
      <c r="O2426" s="8"/>
      <c r="P2426" s="26"/>
      <c r="S2426" s="10" t="str">
        <f t="shared" si="189"/>
        <v/>
      </c>
    </row>
    <row r="2427" spans="5:19" x14ac:dyDescent="0.3">
      <c r="E2427" s="9" t="str">
        <f>IF(DADOS!C2427="","",DADOS!C2427)</f>
        <v/>
      </c>
      <c r="F2427" s="9" t="str">
        <f>IF(DADOS!E2427="","",DADOS!E2427)</f>
        <v/>
      </c>
      <c r="G2427" s="9" t="str">
        <f>IF(DADOS!F2427="","",DADOS!F2427)</f>
        <v/>
      </c>
      <c r="K2427" s="6" t="str">
        <f t="shared" si="190"/>
        <v/>
      </c>
      <c r="L2427" s="7" t="str">
        <f t="shared" si="191"/>
        <v/>
      </c>
      <c r="M2427" s="7" t="str">
        <f t="shared" si="188"/>
        <v/>
      </c>
      <c r="N2427" s="7" t="str">
        <f t="shared" si="192"/>
        <v/>
      </c>
      <c r="O2427" s="8"/>
      <c r="P2427" s="26"/>
      <c r="S2427" s="10" t="str">
        <f t="shared" si="189"/>
        <v/>
      </c>
    </row>
    <row r="2428" spans="5:19" x14ac:dyDescent="0.3">
      <c r="E2428" s="9" t="str">
        <f>IF(DADOS!C2428="","",DADOS!C2428)</f>
        <v/>
      </c>
      <c r="F2428" s="9" t="str">
        <f>IF(DADOS!E2428="","",DADOS!E2428)</f>
        <v/>
      </c>
      <c r="G2428" s="9" t="str">
        <f>IF(DADOS!F2428="","",DADOS!F2428)</f>
        <v/>
      </c>
      <c r="K2428" s="6" t="str">
        <f t="shared" si="190"/>
        <v/>
      </c>
      <c r="L2428" s="7" t="str">
        <f t="shared" si="191"/>
        <v/>
      </c>
      <c r="M2428" s="7" t="str">
        <f t="shared" si="188"/>
        <v/>
      </c>
      <c r="N2428" s="7" t="str">
        <f t="shared" si="192"/>
        <v/>
      </c>
      <c r="O2428" s="8"/>
      <c r="P2428" s="26"/>
      <c r="S2428" s="10" t="str">
        <f t="shared" si="189"/>
        <v/>
      </c>
    </row>
    <row r="2429" spans="5:19" x14ac:dyDescent="0.3">
      <c r="E2429" s="9" t="str">
        <f>IF(DADOS!C2429="","",DADOS!C2429)</f>
        <v/>
      </c>
      <c r="F2429" s="9" t="str">
        <f>IF(DADOS!E2429="","",DADOS!E2429)</f>
        <v/>
      </c>
      <c r="G2429" s="9" t="str">
        <f>IF(DADOS!F2429="","",DADOS!F2429)</f>
        <v/>
      </c>
      <c r="K2429" s="6" t="str">
        <f t="shared" si="190"/>
        <v/>
      </c>
      <c r="L2429" s="7" t="str">
        <f t="shared" si="191"/>
        <v/>
      </c>
      <c r="M2429" s="7" t="str">
        <f t="shared" si="188"/>
        <v/>
      </c>
      <c r="N2429" s="7" t="str">
        <f t="shared" si="192"/>
        <v/>
      </c>
      <c r="O2429" s="8"/>
      <c r="P2429" s="26"/>
      <c r="S2429" s="10" t="str">
        <f t="shared" si="189"/>
        <v/>
      </c>
    </row>
    <row r="2430" spans="5:19" x14ac:dyDescent="0.3">
      <c r="E2430" s="9" t="str">
        <f>IF(DADOS!C2430="","",DADOS!C2430)</f>
        <v/>
      </c>
      <c r="F2430" s="9" t="str">
        <f>IF(DADOS!E2430="","",DADOS!E2430)</f>
        <v/>
      </c>
      <c r="G2430" s="9" t="str">
        <f>IF(DADOS!F2430="","",DADOS!F2430)</f>
        <v/>
      </c>
      <c r="K2430" s="6" t="str">
        <f t="shared" si="190"/>
        <v/>
      </c>
      <c r="L2430" s="7" t="str">
        <f t="shared" si="191"/>
        <v/>
      </c>
      <c r="M2430" s="7" t="str">
        <f t="shared" si="188"/>
        <v/>
      </c>
      <c r="N2430" s="7" t="str">
        <f t="shared" si="192"/>
        <v/>
      </c>
      <c r="O2430" s="8"/>
      <c r="P2430" s="26"/>
      <c r="S2430" s="10" t="str">
        <f t="shared" si="189"/>
        <v/>
      </c>
    </row>
    <row r="2431" spans="5:19" x14ac:dyDescent="0.3">
      <c r="E2431" s="9" t="str">
        <f>IF(DADOS!C2431="","",DADOS!C2431)</f>
        <v/>
      </c>
      <c r="F2431" s="9" t="str">
        <f>IF(DADOS!E2431="","",DADOS!E2431)</f>
        <v/>
      </c>
      <c r="G2431" s="9" t="str">
        <f>IF(DADOS!F2431="","",DADOS!F2431)</f>
        <v/>
      </c>
      <c r="K2431" s="6" t="str">
        <f t="shared" si="190"/>
        <v/>
      </c>
      <c r="L2431" s="7" t="str">
        <f t="shared" si="191"/>
        <v/>
      </c>
      <c r="M2431" s="7" t="str">
        <f t="shared" si="188"/>
        <v/>
      </c>
      <c r="N2431" s="7" t="str">
        <f t="shared" si="192"/>
        <v/>
      </c>
      <c r="O2431" s="8"/>
      <c r="P2431" s="26"/>
      <c r="S2431" s="10" t="str">
        <f t="shared" si="189"/>
        <v/>
      </c>
    </row>
    <row r="2432" spans="5:19" x14ac:dyDescent="0.3">
      <c r="E2432" s="9" t="str">
        <f>IF(DADOS!C2432="","",DADOS!C2432)</f>
        <v/>
      </c>
      <c r="F2432" s="9" t="str">
        <f>IF(DADOS!E2432="","",DADOS!E2432)</f>
        <v/>
      </c>
      <c r="G2432" s="9" t="str">
        <f>IF(DADOS!F2432="","",DADOS!F2432)</f>
        <v/>
      </c>
      <c r="K2432" s="6" t="str">
        <f t="shared" si="190"/>
        <v/>
      </c>
      <c r="L2432" s="7" t="str">
        <f t="shared" si="191"/>
        <v/>
      </c>
      <c r="M2432" s="7" t="str">
        <f t="shared" si="188"/>
        <v/>
      </c>
      <c r="N2432" s="7" t="str">
        <f t="shared" si="192"/>
        <v/>
      </c>
      <c r="O2432" s="8"/>
      <c r="P2432" s="26"/>
      <c r="S2432" s="10" t="str">
        <f t="shared" si="189"/>
        <v/>
      </c>
    </row>
    <row r="2433" spans="5:19" x14ac:dyDescent="0.3">
      <c r="E2433" s="9" t="str">
        <f>IF(DADOS!C2433="","",DADOS!C2433)</f>
        <v/>
      </c>
      <c r="F2433" s="9" t="str">
        <f>IF(DADOS!E2433="","",DADOS!E2433)</f>
        <v/>
      </c>
      <c r="G2433" s="9" t="str">
        <f>IF(DADOS!F2433="","",DADOS!F2433)</f>
        <v/>
      </c>
      <c r="K2433" s="6" t="str">
        <f t="shared" si="190"/>
        <v/>
      </c>
      <c r="L2433" s="7" t="str">
        <f t="shared" si="191"/>
        <v/>
      </c>
      <c r="M2433" s="7" t="str">
        <f t="shared" si="188"/>
        <v/>
      </c>
      <c r="N2433" s="7" t="str">
        <f t="shared" si="192"/>
        <v/>
      </c>
      <c r="O2433" s="8"/>
      <c r="P2433" s="26"/>
      <c r="S2433" s="10" t="str">
        <f t="shared" si="189"/>
        <v/>
      </c>
    </row>
    <row r="2434" spans="5:19" x14ac:dyDescent="0.3">
      <c r="E2434" s="9" t="str">
        <f>IF(DADOS!C2434="","",DADOS!C2434)</f>
        <v/>
      </c>
      <c r="F2434" s="9" t="str">
        <f>IF(DADOS!E2434="","",DADOS!E2434)</f>
        <v/>
      </c>
      <c r="G2434" s="9" t="str">
        <f>IF(DADOS!F2434="","",DADOS!F2434)</f>
        <v/>
      </c>
      <c r="K2434" s="6" t="str">
        <f t="shared" si="190"/>
        <v/>
      </c>
      <c r="L2434" s="7" t="str">
        <f t="shared" si="191"/>
        <v/>
      </c>
      <c r="M2434" s="7" t="str">
        <f t="shared" si="188"/>
        <v/>
      </c>
      <c r="N2434" s="7" t="str">
        <f t="shared" si="192"/>
        <v/>
      </c>
      <c r="O2434" s="8"/>
      <c r="P2434" s="26"/>
      <c r="S2434" s="10" t="str">
        <f t="shared" si="189"/>
        <v/>
      </c>
    </row>
    <row r="2435" spans="5:19" x14ac:dyDescent="0.3">
      <c r="E2435" s="9" t="str">
        <f>IF(DADOS!C2435="","",DADOS!C2435)</f>
        <v/>
      </c>
      <c r="F2435" s="9" t="str">
        <f>IF(DADOS!E2435="","",DADOS!E2435)</f>
        <v/>
      </c>
      <c r="G2435" s="9" t="str">
        <f>IF(DADOS!F2435="","",DADOS!F2435)</f>
        <v/>
      </c>
      <c r="K2435" s="6" t="str">
        <f t="shared" si="190"/>
        <v/>
      </c>
      <c r="L2435" s="7" t="str">
        <f t="shared" si="191"/>
        <v/>
      </c>
      <c r="M2435" s="7" t="str">
        <f t="shared" ref="M2435:M2498" si="193">IF(L2435="","",L2435*G2435)</f>
        <v/>
      </c>
      <c r="N2435" s="7" t="str">
        <f t="shared" si="192"/>
        <v/>
      </c>
      <c r="O2435" s="8"/>
      <c r="P2435" s="26"/>
      <c r="S2435" s="10" t="str">
        <f t="shared" ref="S2435:S2498" si="194">IF(R2435="","",SUMIFS($N$3:$N$10000,$E$3:$E$10000,R2435))</f>
        <v/>
      </c>
    </row>
    <row r="2436" spans="5:19" x14ac:dyDescent="0.3">
      <c r="E2436" s="9" t="str">
        <f>IF(DADOS!C2436="","",DADOS!C2436)</f>
        <v/>
      </c>
      <c r="F2436" s="9" t="str">
        <f>IF(DADOS!E2436="","",DADOS!E2436)</f>
        <v/>
      </c>
      <c r="G2436" s="9" t="str">
        <f>IF(DADOS!F2436="","",DADOS!F2436)</f>
        <v/>
      </c>
      <c r="K2436" s="6" t="str">
        <f t="shared" ref="K2436:K2499" si="195">IF(F2436="","",F2436/PI())</f>
        <v/>
      </c>
      <c r="L2436" s="7" t="str">
        <f t="shared" ref="L2436:L2499" si="196">IF(K2436="","",(PI()*K2436^2)/40000)</f>
        <v/>
      </c>
      <c r="M2436" s="7" t="str">
        <f t="shared" si="193"/>
        <v/>
      </c>
      <c r="N2436" s="7" t="str">
        <f t="shared" ref="N2436:N2499" si="197">IF(M2436="","",M2436*N$1)</f>
        <v/>
      </c>
      <c r="O2436" s="8"/>
      <c r="P2436" s="26"/>
      <c r="S2436" s="10" t="str">
        <f t="shared" si="194"/>
        <v/>
      </c>
    </row>
    <row r="2437" spans="5:19" x14ac:dyDescent="0.3">
      <c r="E2437" s="9" t="str">
        <f>IF(DADOS!C2437="","",DADOS!C2437)</f>
        <v/>
      </c>
      <c r="F2437" s="9" t="str">
        <f>IF(DADOS!E2437="","",DADOS!E2437)</f>
        <v/>
      </c>
      <c r="G2437" s="9" t="str">
        <f>IF(DADOS!F2437="","",DADOS!F2437)</f>
        <v/>
      </c>
      <c r="K2437" s="6" t="str">
        <f t="shared" si="195"/>
        <v/>
      </c>
      <c r="L2437" s="7" t="str">
        <f t="shared" si="196"/>
        <v/>
      </c>
      <c r="M2437" s="7" t="str">
        <f t="shared" si="193"/>
        <v/>
      </c>
      <c r="N2437" s="7" t="str">
        <f t="shared" si="197"/>
        <v/>
      </c>
      <c r="O2437" s="8"/>
      <c r="P2437" s="26"/>
      <c r="S2437" s="10" t="str">
        <f t="shared" si="194"/>
        <v/>
      </c>
    </row>
    <row r="2438" spans="5:19" x14ac:dyDescent="0.3">
      <c r="E2438" s="9" t="str">
        <f>IF(DADOS!C2438="","",DADOS!C2438)</f>
        <v/>
      </c>
      <c r="F2438" s="9" t="str">
        <f>IF(DADOS!E2438="","",DADOS!E2438)</f>
        <v/>
      </c>
      <c r="G2438" s="9" t="str">
        <f>IF(DADOS!F2438="","",DADOS!F2438)</f>
        <v/>
      </c>
      <c r="K2438" s="6" t="str">
        <f t="shared" si="195"/>
        <v/>
      </c>
      <c r="L2438" s="7" t="str">
        <f t="shared" si="196"/>
        <v/>
      </c>
      <c r="M2438" s="7" t="str">
        <f t="shared" si="193"/>
        <v/>
      </c>
      <c r="N2438" s="7" t="str">
        <f t="shared" si="197"/>
        <v/>
      </c>
      <c r="O2438" s="8"/>
      <c r="P2438" s="26"/>
      <c r="S2438" s="10" t="str">
        <f t="shared" si="194"/>
        <v/>
      </c>
    </row>
    <row r="2439" spans="5:19" x14ac:dyDescent="0.3">
      <c r="E2439" s="9" t="str">
        <f>IF(DADOS!C2439="","",DADOS!C2439)</f>
        <v/>
      </c>
      <c r="F2439" s="9" t="str">
        <f>IF(DADOS!E2439="","",DADOS!E2439)</f>
        <v/>
      </c>
      <c r="G2439" s="9" t="str">
        <f>IF(DADOS!F2439="","",DADOS!F2439)</f>
        <v/>
      </c>
      <c r="K2439" s="6" t="str">
        <f t="shared" si="195"/>
        <v/>
      </c>
      <c r="L2439" s="7" t="str">
        <f t="shared" si="196"/>
        <v/>
      </c>
      <c r="M2439" s="7" t="str">
        <f t="shared" si="193"/>
        <v/>
      </c>
      <c r="N2439" s="7" t="str">
        <f t="shared" si="197"/>
        <v/>
      </c>
      <c r="O2439" s="8"/>
      <c r="P2439" s="26"/>
      <c r="S2439" s="10" t="str">
        <f t="shared" si="194"/>
        <v/>
      </c>
    </row>
    <row r="2440" spans="5:19" x14ac:dyDescent="0.3">
      <c r="E2440" s="9" t="str">
        <f>IF(DADOS!C2440="","",DADOS!C2440)</f>
        <v/>
      </c>
      <c r="F2440" s="9" t="str">
        <f>IF(DADOS!E2440="","",DADOS!E2440)</f>
        <v/>
      </c>
      <c r="G2440" s="9" t="str">
        <f>IF(DADOS!F2440="","",DADOS!F2440)</f>
        <v/>
      </c>
      <c r="K2440" s="6" t="str">
        <f t="shared" si="195"/>
        <v/>
      </c>
      <c r="L2440" s="7" t="str">
        <f t="shared" si="196"/>
        <v/>
      </c>
      <c r="M2440" s="7" t="str">
        <f t="shared" si="193"/>
        <v/>
      </c>
      <c r="N2440" s="7" t="str">
        <f t="shared" si="197"/>
        <v/>
      </c>
      <c r="O2440" s="8"/>
      <c r="P2440" s="26"/>
      <c r="S2440" s="10" t="str">
        <f t="shared" si="194"/>
        <v/>
      </c>
    </row>
    <row r="2441" spans="5:19" x14ac:dyDescent="0.3">
      <c r="E2441" s="9" t="str">
        <f>IF(DADOS!C2441="","",DADOS!C2441)</f>
        <v/>
      </c>
      <c r="F2441" s="9" t="str">
        <f>IF(DADOS!E2441="","",DADOS!E2441)</f>
        <v/>
      </c>
      <c r="G2441" s="9" t="str">
        <f>IF(DADOS!F2441="","",DADOS!F2441)</f>
        <v/>
      </c>
      <c r="K2441" s="6" t="str">
        <f t="shared" si="195"/>
        <v/>
      </c>
      <c r="L2441" s="7" t="str">
        <f t="shared" si="196"/>
        <v/>
      </c>
      <c r="M2441" s="7" t="str">
        <f t="shared" si="193"/>
        <v/>
      </c>
      <c r="N2441" s="7" t="str">
        <f t="shared" si="197"/>
        <v/>
      </c>
      <c r="O2441" s="8"/>
      <c r="P2441" s="26"/>
      <c r="S2441" s="10" t="str">
        <f t="shared" si="194"/>
        <v/>
      </c>
    </row>
    <row r="2442" spans="5:19" x14ac:dyDescent="0.3">
      <c r="E2442" s="9" t="str">
        <f>IF(DADOS!C2442="","",DADOS!C2442)</f>
        <v/>
      </c>
      <c r="F2442" s="9" t="str">
        <f>IF(DADOS!E2442="","",DADOS!E2442)</f>
        <v/>
      </c>
      <c r="G2442" s="9" t="str">
        <f>IF(DADOS!F2442="","",DADOS!F2442)</f>
        <v/>
      </c>
      <c r="K2442" s="6" t="str">
        <f t="shared" si="195"/>
        <v/>
      </c>
      <c r="L2442" s="7" t="str">
        <f t="shared" si="196"/>
        <v/>
      </c>
      <c r="M2442" s="7" t="str">
        <f t="shared" si="193"/>
        <v/>
      </c>
      <c r="N2442" s="7" t="str">
        <f t="shared" si="197"/>
        <v/>
      </c>
      <c r="O2442" s="8"/>
      <c r="P2442" s="26"/>
      <c r="S2442" s="10" t="str">
        <f t="shared" si="194"/>
        <v/>
      </c>
    </row>
    <row r="2443" spans="5:19" x14ac:dyDescent="0.3">
      <c r="E2443" s="9" t="str">
        <f>IF(DADOS!C2443="","",DADOS!C2443)</f>
        <v/>
      </c>
      <c r="F2443" s="9" t="str">
        <f>IF(DADOS!E2443="","",DADOS!E2443)</f>
        <v/>
      </c>
      <c r="G2443" s="9" t="str">
        <f>IF(DADOS!F2443="","",DADOS!F2443)</f>
        <v/>
      </c>
      <c r="K2443" s="6" t="str">
        <f t="shared" si="195"/>
        <v/>
      </c>
      <c r="L2443" s="7" t="str">
        <f t="shared" si="196"/>
        <v/>
      </c>
      <c r="M2443" s="7" t="str">
        <f t="shared" si="193"/>
        <v/>
      </c>
      <c r="N2443" s="7" t="str">
        <f t="shared" si="197"/>
        <v/>
      </c>
      <c r="O2443" s="8"/>
      <c r="P2443" s="26"/>
      <c r="S2443" s="10" t="str">
        <f t="shared" si="194"/>
        <v/>
      </c>
    </row>
    <row r="2444" spans="5:19" x14ac:dyDescent="0.3">
      <c r="E2444" s="9" t="str">
        <f>IF(DADOS!C2444="","",DADOS!C2444)</f>
        <v/>
      </c>
      <c r="F2444" s="9" t="str">
        <f>IF(DADOS!E2444="","",DADOS!E2444)</f>
        <v/>
      </c>
      <c r="G2444" s="9" t="str">
        <f>IF(DADOS!F2444="","",DADOS!F2444)</f>
        <v/>
      </c>
      <c r="K2444" s="6" t="str">
        <f t="shared" si="195"/>
        <v/>
      </c>
      <c r="L2444" s="7" t="str">
        <f t="shared" si="196"/>
        <v/>
      </c>
      <c r="M2444" s="7" t="str">
        <f t="shared" si="193"/>
        <v/>
      </c>
      <c r="N2444" s="7" t="str">
        <f t="shared" si="197"/>
        <v/>
      </c>
      <c r="O2444" s="8"/>
      <c r="P2444" s="26"/>
      <c r="S2444" s="10" t="str">
        <f t="shared" si="194"/>
        <v/>
      </c>
    </row>
    <row r="2445" spans="5:19" x14ac:dyDescent="0.3">
      <c r="E2445" s="9" t="str">
        <f>IF(DADOS!C2445="","",DADOS!C2445)</f>
        <v/>
      </c>
      <c r="F2445" s="9" t="str">
        <f>IF(DADOS!E2445="","",DADOS!E2445)</f>
        <v/>
      </c>
      <c r="G2445" s="9" t="str">
        <f>IF(DADOS!F2445="","",DADOS!F2445)</f>
        <v/>
      </c>
      <c r="K2445" s="6" t="str">
        <f t="shared" si="195"/>
        <v/>
      </c>
      <c r="L2445" s="7" t="str">
        <f t="shared" si="196"/>
        <v/>
      </c>
      <c r="M2445" s="7" t="str">
        <f t="shared" si="193"/>
        <v/>
      </c>
      <c r="N2445" s="7" t="str">
        <f t="shared" si="197"/>
        <v/>
      </c>
      <c r="O2445" s="8"/>
      <c r="P2445" s="26"/>
      <c r="S2445" s="10" t="str">
        <f t="shared" si="194"/>
        <v/>
      </c>
    </row>
    <row r="2446" spans="5:19" x14ac:dyDescent="0.3">
      <c r="E2446" s="9" t="str">
        <f>IF(DADOS!C2446="","",DADOS!C2446)</f>
        <v/>
      </c>
      <c r="F2446" s="9" t="str">
        <f>IF(DADOS!E2446="","",DADOS!E2446)</f>
        <v/>
      </c>
      <c r="G2446" s="9" t="str">
        <f>IF(DADOS!F2446="","",DADOS!F2446)</f>
        <v/>
      </c>
      <c r="K2446" s="6" t="str">
        <f t="shared" si="195"/>
        <v/>
      </c>
      <c r="L2446" s="7" t="str">
        <f t="shared" si="196"/>
        <v/>
      </c>
      <c r="M2446" s="7" t="str">
        <f t="shared" si="193"/>
        <v/>
      </c>
      <c r="N2446" s="7" t="str">
        <f t="shared" si="197"/>
        <v/>
      </c>
      <c r="O2446" s="8"/>
      <c r="P2446" s="26"/>
      <c r="S2446" s="10" t="str">
        <f t="shared" si="194"/>
        <v/>
      </c>
    </row>
    <row r="2447" spans="5:19" x14ac:dyDescent="0.3">
      <c r="E2447" s="9" t="str">
        <f>IF(DADOS!C2447="","",DADOS!C2447)</f>
        <v/>
      </c>
      <c r="F2447" s="9" t="str">
        <f>IF(DADOS!E2447="","",DADOS!E2447)</f>
        <v/>
      </c>
      <c r="G2447" s="9" t="str">
        <f>IF(DADOS!F2447="","",DADOS!F2447)</f>
        <v/>
      </c>
      <c r="K2447" s="6" t="str">
        <f t="shared" si="195"/>
        <v/>
      </c>
      <c r="L2447" s="7" t="str">
        <f t="shared" si="196"/>
        <v/>
      </c>
      <c r="M2447" s="7" t="str">
        <f t="shared" si="193"/>
        <v/>
      </c>
      <c r="N2447" s="7" t="str">
        <f t="shared" si="197"/>
        <v/>
      </c>
      <c r="O2447" s="8"/>
      <c r="P2447" s="26"/>
      <c r="S2447" s="10" t="str">
        <f t="shared" si="194"/>
        <v/>
      </c>
    </row>
    <row r="2448" spans="5:19" x14ac:dyDescent="0.3">
      <c r="E2448" s="9" t="str">
        <f>IF(DADOS!C2448="","",DADOS!C2448)</f>
        <v/>
      </c>
      <c r="F2448" s="9" t="str">
        <f>IF(DADOS!E2448="","",DADOS!E2448)</f>
        <v/>
      </c>
      <c r="G2448" s="9" t="str">
        <f>IF(DADOS!F2448="","",DADOS!F2448)</f>
        <v/>
      </c>
      <c r="K2448" s="6" t="str">
        <f t="shared" si="195"/>
        <v/>
      </c>
      <c r="L2448" s="7" t="str">
        <f t="shared" si="196"/>
        <v/>
      </c>
      <c r="M2448" s="7" t="str">
        <f t="shared" si="193"/>
        <v/>
      </c>
      <c r="N2448" s="7" t="str">
        <f t="shared" si="197"/>
        <v/>
      </c>
      <c r="O2448" s="8"/>
      <c r="P2448" s="26"/>
      <c r="S2448" s="10" t="str">
        <f t="shared" si="194"/>
        <v/>
      </c>
    </row>
    <row r="2449" spans="5:19" x14ac:dyDescent="0.3">
      <c r="E2449" s="9" t="str">
        <f>IF(DADOS!C2449="","",DADOS!C2449)</f>
        <v/>
      </c>
      <c r="F2449" s="9" t="str">
        <f>IF(DADOS!E2449="","",DADOS!E2449)</f>
        <v/>
      </c>
      <c r="G2449" s="9" t="str">
        <f>IF(DADOS!F2449="","",DADOS!F2449)</f>
        <v/>
      </c>
      <c r="K2449" s="6" t="str">
        <f t="shared" si="195"/>
        <v/>
      </c>
      <c r="L2449" s="7" t="str">
        <f t="shared" si="196"/>
        <v/>
      </c>
      <c r="M2449" s="7" t="str">
        <f t="shared" si="193"/>
        <v/>
      </c>
      <c r="N2449" s="7" t="str">
        <f t="shared" si="197"/>
        <v/>
      </c>
      <c r="O2449" s="8"/>
      <c r="P2449" s="26"/>
      <c r="S2449" s="10" t="str">
        <f t="shared" si="194"/>
        <v/>
      </c>
    </row>
    <row r="2450" spans="5:19" x14ac:dyDescent="0.3">
      <c r="E2450" s="9" t="str">
        <f>IF(DADOS!C2450="","",DADOS!C2450)</f>
        <v/>
      </c>
      <c r="F2450" s="9" t="str">
        <f>IF(DADOS!E2450="","",DADOS!E2450)</f>
        <v/>
      </c>
      <c r="G2450" s="9" t="str">
        <f>IF(DADOS!F2450="","",DADOS!F2450)</f>
        <v/>
      </c>
      <c r="K2450" s="6" t="str">
        <f t="shared" si="195"/>
        <v/>
      </c>
      <c r="L2450" s="7" t="str">
        <f t="shared" si="196"/>
        <v/>
      </c>
      <c r="M2450" s="7" t="str">
        <f t="shared" si="193"/>
        <v/>
      </c>
      <c r="N2450" s="7" t="str">
        <f t="shared" si="197"/>
        <v/>
      </c>
      <c r="O2450" s="8"/>
      <c r="P2450" s="26"/>
      <c r="S2450" s="10" t="str">
        <f t="shared" si="194"/>
        <v/>
      </c>
    </row>
    <row r="2451" spans="5:19" x14ac:dyDescent="0.3">
      <c r="E2451" s="9" t="str">
        <f>IF(DADOS!C2451="","",DADOS!C2451)</f>
        <v/>
      </c>
      <c r="F2451" s="9" t="str">
        <f>IF(DADOS!E2451="","",DADOS!E2451)</f>
        <v/>
      </c>
      <c r="G2451" s="9" t="str">
        <f>IF(DADOS!F2451="","",DADOS!F2451)</f>
        <v/>
      </c>
      <c r="K2451" s="6" t="str">
        <f t="shared" si="195"/>
        <v/>
      </c>
      <c r="L2451" s="7" t="str">
        <f t="shared" si="196"/>
        <v/>
      </c>
      <c r="M2451" s="7" t="str">
        <f t="shared" si="193"/>
        <v/>
      </c>
      <c r="N2451" s="7" t="str">
        <f t="shared" si="197"/>
        <v/>
      </c>
      <c r="O2451" s="8"/>
      <c r="P2451" s="26"/>
      <c r="S2451" s="10" t="str">
        <f t="shared" si="194"/>
        <v/>
      </c>
    </row>
    <row r="2452" spans="5:19" x14ac:dyDescent="0.3">
      <c r="E2452" s="9" t="str">
        <f>IF(DADOS!C2452="","",DADOS!C2452)</f>
        <v/>
      </c>
      <c r="F2452" s="9" t="str">
        <f>IF(DADOS!E2452="","",DADOS!E2452)</f>
        <v/>
      </c>
      <c r="G2452" s="9" t="str">
        <f>IF(DADOS!F2452="","",DADOS!F2452)</f>
        <v/>
      </c>
      <c r="K2452" s="6" t="str">
        <f t="shared" si="195"/>
        <v/>
      </c>
      <c r="L2452" s="7" t="str">
        <f t="shared" si="196"/>
        <v/>
      </c>
      <c r="M2452" s="7" t="str">
        <f t="shared" si="193"/>
        <v/>
      </c>
      <c r="N2452" s="7" t="str">
        <f t="shared" si="197"/>
        <v/>
      </c>
      <c r="O2452" s="8"/>
      <c r="P2452" s="26"/>
      <c r="S2452" s="10" t="str">
        <f t="shared" si="194"/>
        <v/>
      </c>
    </row>
    <row r="2453" spans="5:19" x14ac:dyDescent="0.3">
      <c r="E2453" s="9" t="str">
        <f>IF(DADOS!C2453="","",DADOS!C2453)</f>
        <v/>
      </c>
      <c r="F2453" s="9" t="str">
        <f>IF(DADOS!E2453="","",DADOS!E2453)</f>
        <v/>
      </c>
      <c r="G2453" s="9" t="str">
        <f>IF(DADOS!F2453="","",DADOS!F2453)</f>
        <v/>
      </c>
      <c r="K2453" s="6" t="str">
        <f t="shared" si="195"/>
        <v/>
      </c>
      <c r="L2453" s="7" t="str">
        <f t="shared" si="196"/>
        <v/>
      </c>
      <c r="M2453" s="7" t="str">
        <f t="shared" si="193"/>
        <v/>
      </c>
      <c r="N2453" s="7" t="str">
        <f t="shared" si="197"/>
        <v/>
      </c>
      <c r="O2453" s="8"/>
      <c r="P2453" s="26"/>
      <c r="S2453" s="10" t="str">
        <f t="shared" si="194"/>
        <v/>
      </c>
    </row>
    <row r="2454" spans="5:19" x14ac:dyDescent="0.3">
      <c r="E2454" s="9" t="str">
        <f>IF(DADOS!C2454="","",DADOS!C2454)</f>
        <v/>
      </c>
      <c r="F2454" s="9" t="str">
        <f>IF(DADOS!E2454="","",DADOS!E2454)</f>
        <v/>
      </c>
      <c r="G2454" s="9" t="str">
        <f>IF(DADOS!F2454="","",DADOS!F2454)</f>
        <v/>
      </c>
      <c r="K2454" s="6" t="str">
        <f t="shared" si="195"/>
        <v/>
      </c>
      <c r="L2454" s="7" t="str">
        <f t="shared" si="196"/>
        <v/>
      </c>
      <c r="M2454" s="7" t="str">
        <f t="shared" si="193"/>
        <v/>
      </c>
      <c r="N2454" s="7" t="str">
        <f t="shared" si="197"/>
        <v/>
      </c>
      <c r="O2454" s="8"/>
      <c r="P2454" s="26"/>
      <c r="S2454" s="10" t="str">
        <f t="shared" si="194"/>
        <v/>
      </c>
    </row>
    <row r="2455" spans="5:19" x14ac:dyDescent="0.3">
      <c r="E2455" s="9" t="str">
        <f>IF(DADOS!C2455="","",DADOS!C2455)</f>
        <v/>
      </c>
      <c r="F2455" s="9" t="str">
        <f>IF(DADOS!E2455="","",DADOS!E2455)</f>
        <v/>
      </c>
      <c r="G2455" s="9" t="str">
        <f>IF(DADOS!F2455="","",DADOS!F2455)</f>
        <v/>
      </c>
      <c r="K2455" s="6" t="str">
        <f t="shared" si="195"/>
        <v/>
      </c>
      <c r="L2455" s="7" t="str">
        <f t="shared" si="196"/>
        <v/>
      </c>
      <c r="M2455" s="7" t="str">
        <f t="shared" si="193"/>
        <v/>
      </c>
      <c r="N2455" s="7" t="str">
        <f t="shared" si="197"/>
        <v/>
      </c>
      <c r="O2455" s="8"/>
      <c r="P2455" s="26"/>
      <c r="S2455" s="10" t="str">
        <f t="shared" si="194"/>
        <v/>
      </c>
    </row>
    <row r="2456" spans="5:19" x14ac:dyDescent="0.3">
      <c r="E2456" s="9" t="str">
        <f>IF(DADOS!C2456="","",DADOS!C2456)</f>
        <v/>
      </c>
      <c r="F2456" s="9" t="str">
        <f>IF(DADOS!E2456="","",DADOS!E2456)</f>
        <v/>
      </c>
      <c r="G2456" s="9" t="str">
        <f>IF(DADOS!F2456="","",DADOS!F2456)</f>
        <v/>
      </c>
      <c r="K2456" s="6" t="str">
        <f t="shared" si="195"/>
        <v/>
      </c>
      <c r="L2456" s="7" t="str">
        <f t="shared" si="196"/>
        <v/>
      </c>
      <c r="M2456" s="7" t="str">
        <f t="shared" si="193"/>
        <v/>
      </c>
      <c r="N2456" s="7" t="str">
        <f t="shared" si="197"/>
        <v/>
      </c>
      <c r="O2456" s="8"/>
      <c r="P2456" s="26"/>
      <c r="S2456" s="10" t="str">
        <f t="shared" si="194"/>
        <v/>
      </c>
    </row>
    <row r="2457" spans="5:19" x14ac:dyDescent="0.3">
      <c r="E2457" s="9" t="str">
        <f>IF(DADOS!C2457="","",DADOS!C2457)</f>
        <v/>
      </c>
      <c r="F2457" s="9" t="str">
        <f>IF(DADOS!E2457="","",DADOS!E2457)</f>
        <v/>
      </c>
      <c r="G2457" s="9" t="str">
        <f>IF(DADOS!F2457="","",DADOS!F2457)</f>
        <v/>
      </c>
      <c r="K2457" s="6" t="str">
        <f t="shared" si="195"/>
        <v/>
      </c>
      <c r="L2457" s="7" t="str">
        <f t="shared" si="196"/>
        <v/>
      </c>
      <c r="M2457" s="7" t="str">
        <f t="shared" si="193"/>
        <v/>
      </c>
      <c r="N2457" s="7" t="str">
        <f t="shared" si="197"/>
        <v/>
      </c>
      <c r="O2457" s="8"/>
      <c r="P2457" s="26"/>
      <c r="S2457" s="10" t="str">
        <f t="shared" si="194"/>
        <v/>
      </c>
    </row>
    <row r="2458" spans="5:19" x14ac:dyDescent="0.3">
      <c r="E2458" s="9" t="str">
        <f>IF(DADOS!C2458="","",DADOS!C2458)</f>
        <v/>
      </c>
      <c r="F2458" s="9" t="str">
        <f>IF(DADOS!E2458="","",DADOS!E2458)</f>
        <v/>
      </c>
      <c r="G2458" s="9" t="str">
        <f>IF(DADOS!F2458="","",DADOS!F2458)</f>
        <v/>
      </c>
      <c r="K2458" s="6" t="str">
        <f t="shared" si="195"/>
        <v/>
      </c>
      <c r="L2458" s="7" t="str">
        <f t="shared" si="196"/>
        <v/>
      </c>
      <c r="M2458" s="7" t="str">
        <f t="shared" si="193"/>
        <v/>
      </c>
      <c r="N2458" s="7" t="str">
        <f t="shared" si="197"/>
        <v/>
      </c>
      <c r="O2458" s="8"/>
      <c r="P2458" s="26"/>
      <c r="S2458" s="10" t="str">
        <f t="shared" si="194"/>
        <v/>
      </c>
    </row>
    <row r="2459" spans="5:19" x14ac:dyDescent="0.3">
      <c r="E2459" s="9" t="str">
        <f>IF(DADOS!C2459="","",DADOS!C2459)</f>
        <v/>
      </c>
      <c r="F2459" s="9" t="str">
        <f>IF(DADOS!E2459="","",DADOS!E2459)</f>
        <v/>
      </c>
      <c r="G2459" s="9" t="str">
        <f>IF(DADOS!F2459="","",DADOS!F2459)</f>
        <v/>
      </c>
      <c r="K2459" s="6" t="str">
        <f t="shared" si="195"/>
        <v/>
      </c>
      <c r="L2459" s="7" t="str">
        <f t="shared" si="196"/>
        <v/>
      </c>
      <c r="M2459" s="7" t="str">
        <f t="shared" si="193"/>
        <v/>
      </c>
      <c r="N2459" s="7" t="str">
        <f t="shared" si="197"/>
        <v/>
      </c>
      <c r="O2459" s="8"/>
      <c r="P2459" s="26"/>
      <c r="S2459" s="10" t="str">
        <f t="shared" si="194"/>
        <v/>
      </c>
    </row>
    <row r="2460" spans="5:19" x14ac:dyDescent="0.3">
      <c r="E2460" s="9" t="str">
        <f>IF(DADOS!C2460="","",DADOS!C2460)</f>
        <v/>
      </c>
      <c r="F2460" s="9" t="str">
        <f>IF(DADOS!E2460="","",DADOS!E2460)</f>
        <v/>
      </c>
      <c r="G2460" s="9" t="str">
        <f>IF(DADOS!F2460="","",DADOS!F2460)</f>
        <v/>
      </c>
      <c r="K2460" s="6" t="str">
        <f t="shared" si="195"/>
        <v/>
      </c>
      <c r="L2460" s="7" t="str">
        <f t="shared" si="196"/>
        <v/>
      </c>
      <c r="M2460" s="7" t="str">
        <f t="shared" si="193"/>
        <v/>
      </c>
      <c r="N2460" s="7" t="str">
        <f t="shared" si="197"/>
        <v/>
      </c>
      <c r="O2460" s="8"/>
      <c r="P2460" s="26"/>
      <c r="S2460" s="10" t="str">
        <f t="shared" si="194"/>
        <v/>
      </c>
    </row>
    <row r="2461" spans="5:19" x14ac:dyDescent="0.3">
      <c r="E2461" s="9" t="str">
        <f>IF(DADOS!C2461="","",DADOS!C2461)</f>
        <v/>
      </c>
      <c r="F2461" s="9" t="str">
        <f>IF(DADOS!E2461="","",DADOS!E2461)</f>
        <v/>
      </c>
      <c r="G2461" s="9" t="str">
        <f>IF(DADOS!F2461="","",DADOS!F2461)</f>
        <v/>
      </c>
      <c r="K2461" s="6" t="str">
        <f t="shared" si="195"/>
        <v/>
      </c>
      <c r="L2461" s="7" t="str">
        <f t="shared" si="196"/>
        <v/>
      </c>
      <c r="M2461" s="7" t="str">
        <f t="shared" si="193"/>
        <v/>
      </c>
      <c r="N2461" s="7" t="str">
        <f t="shared" si="197"/>
        <v/>
      </c>
      <c r="O2461" s="8"/>
      <c r="P2461" s="26"/>
      <c r="S2461" s="10" t="str">
        <f t="shared" si="194"/>
        <v/>
      </c>
    </row>
    <row r="2462" spans="5:19" x14ac:dyDescent="0.3">
      <c r="E2462" s="9" t="str">
        <f>IF(DADOS!C2462="","",DADOS!C2462)</f>
        <v/>
      </c>
      <c r="F2462" s="9" t="str">
        <f>IF(DADOS!E2462="","",DADOS!E2462)</f>
        <v/>
      </c>
      <c r="G2462" s="9" t="str">
        <f>IF(DADOS!F2462="","",DADOS!F2462)</f>
        <v/>
      </c>
      <c r="K2462" s="6" t="str">
        <f t="shared" si="195"/>
        <v/>
      </c>
      <c r="L2462" s="7" t="str">
        <f t="shared" si="196"/>
        <v/>
      </c>
      <c r="M2462" s="7" t="str">
        <f t="shared" si="193"/>
        <v/>
      </c>
      <c r="N2462" s="7" t="str">
        <f t="shared" si="197"/>
        <v/>
      </c>
      <c r="O2462" s="8"/>
      <c r="P2462" s="26"/>
      <c r="S2462" s="10" t="str">
        <f t="shared" si="194"/>
        <v/>
      </c>
    </row>
    <row r="2463" spans="5:19" x14ac:dyDescent="0.3">
      <c r="E2463" s="9" t="str">
        <f>IF(DADOS!C2463="","",DADOS!C2463)</f>
        <v/>
      </c>
      <c r="F2463" s="9" t="str">
        <f>IF(DADOS!E2463="","",DADOS!E2463)</f>
        <v/>
      </c>
      <c r="G2463" s="9" t="str">
        <f>IF(DADOS!F2463="","",DADOS!F2463)</f>
        <v/>
      </c>
      <c r="K2463" s="6" t="str">
        <f t="shared" si="195"/>
        <v/>
      </c>
      <c r="L2463" s="7" t="str">
        <f t="shared" si="196"/>
        <v/>
      </c>
      <c r="M2463" s="7" t="str">
        <f t="shared" si="193"/>
        <v/>
      </c>
      <c r="N2463" s="7" t="str">
        <f t="shared" si="197"/>
        <v/>
      </c>
      <c r="O2463" s="8"/>
      <c r="P2463" s="26"/>
      <c r="S2463" s="10" t="str">
        <f t="shared" si="194"/>
        <v/>
      </c>
    </row>
    <row r="2464" spans="5:19" x14ac:dyDescent="0.3">
      <c r="E2464" s="9" t="str">
        <f>IF(DADOS!C2464="","",DADOS!C2464)</f>
        <v/>
      </c>
      <c r="F2464" s="9" t="str">
        <f>IF(DADOS!E2464="","",DADOS!E2464)</f>
        <v/>
      </c>
      <c r="G2464" s="9" t="str">
        <f>IF(DADOS!F2464="","",DADOS!F2464)</f>
        <v/>
      </c>
      <c r="K2464" s="6" t="str">
        <f t="shared" si="195"/>
        <v/>
      </c>
      <c r="L2464" s="7" t="str">
        <f t="shared" si="196"/>
        <v/>
      </c>
      <c r="M2464" s="7" t="str">
        <f t="shared" si="193"/>
        <v/>
      </c>
      <c r="N2464" s="7" t="str">
        <f t="shared" si="197"/>
        <v/>
      </c>
      <c r="O2464" s="8"/>
      <c r="P2464" s="26"/>
      <c r="S2464" s="10" t="str">
        <f t="shared" si="194"/>
        <v/>
      </c>
    </row>
    <row r="2465" spans="5:19" x14ac:dyDescent="0.3">
      <c r="E2465" s="9" t="str">
        <f>IF(DADOS!C2465="","",DADOS!C2465)</f>
        <v/>
      </c>
      <c r="F2465" s="9" t="str">
        <f>IF(DADOS!E2465="","",DADOS!E2465)</f>
        <v/>
      </c>
      <c r="G2465" s="9" t="str">
        <f>IF(DADOS!F2465="","",DADOS!F2465)</f>
        <v/>
      </c>
      <c r="K2465" s="6" t="str">
        <f t="shared" si="195"/>
        <v/>
      </c>
      <c r="L2465" s="7" t="str">
        <f t="shared" si="196"/>
        <v/>
      </c>
      <c r="M2465" s="7" t="str">
        <f t="shared" si="193"/>
        <v/>
      </c>
      <c r="N2465" s="7" t="str">
        <f t="shared" si="197"/>
        <v/>
      </c>
      <c r="O2465" s="8"/>
      <c r="P2465" s="26"/>
      <c r="S2465" s="10" t="str">
        <f t="shared" si="194"/>
        <v/>
      </c>
    </row>
    <row r="2466" spans="5:19" x14ac:dyDescent="0.3">
      <c r="E2466" s="9" t="str">
        <f>IF(DADOS!C2466="","",DADOS!C2466)</f>
        <v/>
      </c>
      <c r="F2466" s="9" t="str">
        <f>IF(DADOS!E2466="","",DADOS!E2466)</f>
        <v/>
      </c>
      <c r="G2466" s="9" t="str">
        <f>IF(DADOS!F2466="","",DADOS!F2466)</f>
        <v/>
      </c>
      <c r="K2466" s="6" t="str">
        <f t="shared" si="195"/>
        <v/>
      </c>
      <c r="L2466" s="7" t="str">
        <f t="shared" si="196"/>
        <v/>
      </c>
      <c r="M2466" s="7" t="str">
        <f t="shared" si="193"/>
        <v/>
      </c>
      <c r="N2466" s="7" t="str">
        <f t="shared" si="197"/>
        <v/>
      </c>
      <c r="O2466" s="8"/>
      <c r="P2466" s="26"/>
      <c r="S2466" s="10" t="str">
        <f t="shared" si="194"/>
        <v/>
      </c>
    </row>
    <row r="2467" spans="5:19" x14ac:dyDescent="0.3">
      <c r="E2467" s="9" t="str">
        <f>IF(DADOS!C2467="","",DADOS!C2467)</f>
        <v/>
      </c>
      <c r="F2467" s="9" t="str">
        <f>IF(DADOS!E2467="","",DADOS!E2467)</f>
        <v/>
      </c>
      <c r="G2467" s="9" t="str">
        <f>IF(DADOS!F2467="","",DADOS!F2467)</f>
        <v/>
      </c>
      <c r="K2467" s="6" t="str">
        <f t="shared" si="195"/>
        <v/>
      </c>
      <c r="L2467" s="7" t="str">
        <f t="shared" si="196"/>
        <v/>
      </c>
      <c r="M2467" s="7" t="str">
        <f t="shared" si="193"/>
        <v/>
      </c>
      <c r="N2467" s="7" t="str">
        <f t="shared" si="197"/>
        <v/>
      </c>
      <c r="O2467" s="8"/>
      <c r="P2467" s="26"/>
      <c r="S2467" s="10" t="str">
        <f t="shared" si="194"/>
        <v/>
      </c>
    </row>
    <row r="2468" spans="5:19" x14ac:dyDescent="0.3">
      <c r="E2468" s="9" t="str">
        <f>IF(DADOS!C2468="","",DADOS!C2468)</f>
        <v/>
      </c>
      <c r="F2468" s="9" t="str">
        <f>IF(DADOS!E2468="","",DADOS!E2468)</f>
        <v/>
      </c>
      <c r="G2468" s="9" t="str">
        <f>IF(DADOS!F2468="","",DADOS!F2468)</f>
        <v/>
      </c>
      <c r="K2468" s="6" t="str">
        <f t="shared" si="195"/>
        <v/>
      </c>
      <c r="L2468" s="7" t="str">
        <f t="shared" si="196"/>
        <v/>
      </c>
      <c r="M2468" s="7" t="str">
        <f t="shared" si="193"/>
        <v/>
      </c>
      <c r="N2468" s="7" t="str">
        <f t="shared" si="197"/>
        <v/>
      </c>
      <c r="O2468" s="8"/>
      <c r="P2468" s="26"/>
      <c r="S2468" s="10" t="str">
        <f t="shared" si="194"/>
        <v/>
      </c>
    </row>
    <row r="2469" spans="5:19" x14ac:dyDescent="0.3">
      <c r="E2469" s="9" t="str">
        <f>IF(DADOS!C2469="","",DADOS!C2469)</f>
        <v/>
      </c>
      <c r="F2469" s="9" t="str">
        <f>IF(DADOS!E2469="","",DADOS!E2469)</f>
        <v/>
      </c>
      <c r="G2469" s="9" t="str">
        <f>IF(DADOS!F2469="","",DADOS!F2469)</f>
        <v/>
      </c>
      <c r="K2469" s="6" t="str">
        <f t="shared" si="195"/>
        <v/>
      </c>
      <c r="L2469" s="7" t="str">
        <f t="shared" si="196"/>
        <v/>
      </c>
      <c r="M2469" s="7" t="str">
        <f t="shared" si="193"/>
        <v/>
      </c>
      <c r="N2469" s="7" t="str">
        <f t="shared" si="197"/>
        <v/>
      </c>
      <c r="O2469" s="8"/>
      <c r="P2469" s="26"/>
      <c r="S2469" s="10" t="str">
        <f t="shared" si="194"/>
        <v/>
      </c>
    </row>
    <row r="2470" spans="5:19" x14ac:dyDescent="0.3">
      <c r="E2470" s="9" t="str">
        <f>IF(DADOS!C2470="","",DADOS!C2470)</f>
        <v/>
      </c>
      <c r="F2470" s="9" t="str">
        <f>IF(DADOS!E2470="","",DADOS!E2470)</f>
        <v/>
      </c>
      <c r="G2470" s="9" t="str">
        <f>IF(DADOS!F2470="","",DADOS!F2470)</f>
        <v/>
      </c>
      <c r="K2470" s="6" t="str">
        <f t="shared" si="195"/>
        <v/>
      </c>
      <c r="L2470" s="7" t="str">
        <f t="shared" si="196"/>
        <v/>
      </c>
      <c r="M2470" s="7" t="str">
        <f t="shared" si="193"/>
        <v/>
      </c>
      <c r="N2470" s="7" t="str">
        <f t="shared" si="197"/>
        <v/>
      </c>
      <c r="O2470" s="8"/>
      <c r="P2470" s="26"/>
      <c r="S2470" s="10" t="str">
        <f t="shared" si="194"/>
        <v/>
      </c>
    </row>
    <row r="2471" spans="5:19" x14ac:dyDescent="0.3">
      <c r="E2471" s="9" t="str">
        <f>IF(DADOS!C2471="","",DADOS!C2471)</f>
        <v/>
      </c>
      <c r="F2471" s="9" t="str">
        <f>IF(DADOS!E2471="","",DADOS!E2471)</f>
        <v/>
      </c>
      <c r="G2471" s="9" t="str">
        <f>IF(DADOS!F2471="","",DADOS!F2471)</f>
        <v/>
      </c>
      <c r="K2471" s="6" t="str">
        <f t="shared" si="195"/>
        <v/>
      </c>
      <c r="L2471" s="7" t="str">
        <f t="shared" si="196"/>
        <v/>
      </c>
      <c r="M2471" s="7" t="str">
        <f t="shared" si="193"/>
        <v/>
      </c>
      <c r="N2471" s="7" t="str">
        <f t="shared" si="197"/>
        <v/>
      </c>
      <c r="O2471" s="8"/>
      <c r="P2471" s="26"/>
      <c r="S2471" s="10" t="str">
        <f t="shared" si="194"/>
        <v/>
      </c>
    </row>
    <row r="2472" spans="5:19" x14ac:dyDescent="0.3">
      <c r="E2472" s="9" t="str">
        <f>IF(DADOS!C2472="","",DADOS!C2472)</f>
        <v/>
      </c>
      <c r="F2472" s="9" t="str">
        <f>IF(DADOS!E2472="","",DADOS!E2472)</f>
        <v/>
      </c>
      <c r="G2472" s="9" t="str">
        <f>IF(DADOS!F2472="","",DADOS!F2472)</f>
        <v/>
      </c>
      <c r="K2472" s="6" t="str">
        <f t="shared" si="195"/>
        <v/>
      </c>
      <c r="L2472" s="7" t="str">
        <f t="shared" si="196"/>
        <v/>
      </c>
      <c r="M2472" s="7" t="str">
        <f t="shared" si="193"/>
        <v/>
      </c>
      <c r="N2472" s="7" t="str">
        <f t="shared" si="197"/>
        <v/>
      </c>
      <c r="O2472" s="8"/>
      <c r="P2472" s="26"/>
      <c r="S2472" s="10" t="str">
        <f t="shared" si="194"/>
        <v/>
      </c>
    </row>
    <row r="2473" spans="5:19" x14ac:dyDescent="0.3">
      <c r="E2473" s="9" t="str">
        <f>IF(DADOS!C2473="","",DADOS!C2473)</f>
        <v/>
      </c>
      <c r="F2473" s="9" t="str">
        <f>IF(DADOS!E2473="","",DADOS!E2473)</f>
        <v/>
      </c>
      <c r="G2473" s="9" t="str">
        <f>IF(DADOS!F2473="","",DADOS!F2473)</f>
        <v/>
      </c>
      <c r="K2473" s="6" t="str">
        <f t="shared" si="195"/>
        <v/>
      </c>
      <c r="L2473" s="7" t="str">
        <f t="shared" si="196"/>
        <v/>
      </c>
      <c r="M2473" s="7" t="str">
        <f t="shared" si="193"/>
        <v/>
      </c>
      <c r="N2473" s="7" t="str">
        <f t="shared" si="197"/>
        <v/>
      </c>
      <c r="O2473" s="8"/>
      <c r="P2473" s="26"/>
      <c r="S2473" s="10" t="str">
        <f t="shared" si="194"/>
        <v/>
      </c>
    </row>
    <row r="2474" spans="5:19" x14ac:dyDescent="0.3">
      <c r="E2474" s="9" t="str">
        <f>IF(DADOS!C2474="","",DADOS!C2474)</f>
        <v/>
      </c>
      <c r="F2474" s="9" t="str">
        <f>IF(DADOS!E2474="","",DADOS!E2474)</f>
        <v/>
      </c>
      <c r="G2474" s="9" t="str">
        <f>IF(DADOS!F2474="","",DADOS!F2474)</f>
        <v/>
      </c>
      <c r="K2474" s="6" t="str">
        <f t="shared" si="195"/>
        <v/>
      </c>
      <c r="L2474" s="7" t="str">
        <f t="shared" si="196"/>
        <v/>
      </c>
      <c r="M2474" s="7" t="str">
        <f t="shared" si="193"/>
        <v/>
      </c>
      <c r="N2474" s="7" t="str">
        <f t="shared" si="197"/>
        <v/>
      </c>
      <c r="O2474" s="8"/>
      <c r="P2474" s="26"/>
      <c r="S2474" s="10" t="str">
        <f t="shared" si="194"/>
        <v/>
      </c>
    </row>
    <row r="2475" spans="5:19" x14ac:dyDescent="0.3">
      <c r="E2475" s="9" t="str">
        <f>IF(DADOS!C2475="","",DADOS!C2475)</f>
        <v/>
      </c>
      <c r="F2475" s="9" t="str">
        <f>IF(DADOS!E2475="","",DADOS!E2475)</f>
        <v/>
      </c>
      <c r="G2475" s="9" t="str">
        <f>IF(DADOS!F2475="","",DADOS!F2475)</f>
        <v/>
      </c>
      <c r="K2475" s="6" t="str">
        <f t="shared" si="195"/>
        <v/>
      </c>
      <c r="L2475" s="7" t="str">
        <f t="shared" si="196"/>
        <v/>
      </c>
      <c r="M2475" s="7" t="str">
        <f t="shared" si="193"/>
        <v/>
      </c>
      <c r="N2475" s="7" t="str">
        <f t="shared" si="197"/>
        <v/>
      </c>
      <c r="O2475" s="8"/>
      <c r="P2475" s="26"/>
      <c r="S2475" s="10" t="str">
        <f t="shared" si="194"/>
        <v/>
      </c>
    </row>
    <row r="2476" spans="5:19" x14ac:dyDescent="0.3">
      <c r="E2476" s="9" t="str">
        <f>IF(DADOS!C2476="","",DADOS!C2476)</f>
        <v/>
      </c>
      <c r="F2476" s="9" t="str">
        <f>IF(DADOS!E2476="","",DADOS!E2476)</f>
        <v/>
      </c>
      <c r="G2476" s="9" t="str">
        <f>IF(DADOS!F2476="","",DADOS!F2476)</f>
        <v/>
      </c>
      <c r="K2476" s="6" t="str">
        <f t="shared" si="195"/>
        <v/>
      </c>
      <c r="L2476" s="7" t="str">
        <f t="shared" si="196"/>
        <v/>
      </c>
      <c r="M2476" s="7" t="str">
        <f t="shared" si="193"/>
        <v/>
      </c>
      <c r="N2476" s="7" t="str">
        <f t="shared" si="197"/>
        <v/>
      </c>
      <c r="O2476" s="8"/>
      <c r="P2476" s="26"/>
      <c r="S2476" s="10" t="str">
        <f t="shared" si="194"/>
        <v/>
      </c>
    </row>
    <row r="2477" spans="5:19" x14ac:dyDescent="0.3">
      <c r="E2477" s="9" t="str">
        <f>IF(DADOS!C2477="","",DADOS!C2477)</f>
        <v/>
      </c>
      <c r="F2477" s="9" t="str">
        <f>IF(DADOS!E2477="","",DADOS!E2477)</f>
        <v/>
      </c>
      <c r="G2477" s="9" t="str">
        <f>IF(DADOS!F2477="","",DADOS!F2477)</f>
        <v/>
      </c>
      <c r="K2477" s="6" t="str">
        <f t="shared" si="195"/>
        <v/>
      </c>
      <c r="L2477" s="7" t="str">
        <f t="shared" si="196"/>
        <v/>
      </c>
      <c r="M2477" s="7" t="str">
        <f t="shared" si="193"/>
        <v/>
      </c>
      <c r="N2477" s="7" t="str">
        <f t="shared" si="197"/>
        <v/>
      </c>
      <c r="O2477" s="8"/>
      <c r="P2477" s="26"/>
      <c r="S2477" s="10" t="str">
        <f t="shared" si="194"/>
        <v/>
      </c>
    </row>
    <row r="2478" spans="5:19" x14ac:dyDescent="0.3">
      <c r="E2478" s="9" t="str">
        <f>IF(DADOS!C2478="","",DADOS!C2478)</f>
        <v/>
      </c>
      <c r="F2478" s="9" t="str">
        <f>IF(DADOS!E2478="","",DADOS!E2478)</f>
        <v/>
      </c>
      <c r="G2478" s="9" t="str">
        <f>IF(DADOS!F2478="","",DADOS!F2478)</f>
        <v/>
      </c>
      <c r="K2478" s="6" t="str">
        <f t="shared" si="195"/>
        <v/>
      </c>
      <c r="L2478" s="7" t="str">
        <f t="shared" si="196"/>
        <v/>
      </c>
      <c r="M2478" s="7" t="str">
        <f t="shared" si="193"/>
        <v/>
      </c>
      <c r="N2478" s="7" t="str">
        <f t="shared" si="197"/>
        <v/>
      </c>
      <c r="O2478" s="8"/>
      <c r="P2478" s="26"/>
      <c r="S2478" s="10" t="str">
        <f t="shared" si="194"/>
        <v/>
      </c>
    </row>
    <row r="2479" spans="5:19" x14ac:dyDescent="0.3">
      <c r="E2479" s="9" t="str">
        <f>IF(DADOS!C2479="","",DADOS!C2479)</f>
        <v/>
      </c>
      <c r="F2479" s="9" t="str">
        <f>IF(DADOS!E2479="","",DADOS!E2479)</f>
        <v/>
      </c>
      <c r="G2479" s="9" t="str">
        <f>IF(DADOS!F2479="","",DADOS!F2479)</f>
        <v/>
      </c>
      <c r="K2479" s="6" t="str">
        <f t="shared" si="195"/>
        <v/>
      </c>
      <c r="L2479" s="7" t="str">
        <f t="shared" si="196"/>
        <v/>
      </c>
      <c r="M2479" s="7" t="str">
        <f t="shared" si="193"/>
        <v/>
      </c>
      <c r="N2479" s="7" t="str">
        <f t="shared" si="197"/>
        <v/>
      </c>
      <c r="O2479" s="8"/>
      <c r="P2479" s="26"/>
      <c r="S2479" s="10" t="str">
        <f t="shared" si="194"/>
        <v/>
      </c>
    </row>
    <row r="2480" spans="5:19" x14ac:dyDescent="0.3">
      <c r="E2480" s="9" t="str">
        <f>IF(DADOS!C2480="","",DADOS!C2480)</f>
        <v/>
      </c>
      <c r="F2480" s="9" t="str">
        <f>IF(DADOS!E2480="","",DADOS!E2480)</f>
        <v/>
      </c>
      <c r="G2480" s="9" t="str">
        <f>IF(DADOS!F2480="","",DADOS!F2480)</f>
        <v/>
      </c>
      <c r="K2480" s="6" t="str">
        <f t="shared" si="195"/>
        <v/>
      </c>
      <c r="L2480" s="7" t="str">
        <f t="shared" si="196"/>
        <v/>
      </c>
      <c r="M2480" s="7" t="str">
        <f t="shared" si="193"/>
        <v/>
      </c>
      <c r="N2480" s="7" t="str">
        <f t="shared" si="197"/>
        <v/>
      </c>
      <c r="O2480" s="8"/>
      <c r="P2480" s="26"/>
      <c r="S2480" s="10" t="str">
        <f t="shared" si="194"/>
        <v/>
      </c>
    </row>
    <row r="2481" spans="5:19" x14ac:dyDescent="0.3">
      <c r="E2481" s="9" t="str">
        <f>IF(DADOS!C2481="","",DADOS!C2481)</f>
        <v/>
      </c>
      <c r="F2481" s="9" t="str">
        <f>IF(DADOS!E2481="","",DADOS!E2481)</f>
        <v/>
      </c>
      <c r="G2481" s="9" t="str">
        <f>IF(DADOS!F2481="","",DADOS!F2481)</f>
        <v/>
      </c>
      <c r="K2481" s="6" t="str">
        <f t="shared" si="195"/>
        <v/>
      </c>
      <c r="L2481" s="7" t="str">
        <f t="shared" si="196"/>
        <v/>
      </c>
      <c r="M2481" s="7" t="str">
        <f t="shared" si="193"/>
        <v/>
      </c>
      <c r="N2481" s="7" t="str">
        <f t="shared" si="197"/>
        <v/>
      </c>
      <c r="O2481" s="8"/>
      <c r="P2481" s="26"/>
      <c r="S2481" s="10" t="str">
        <f t="shared" si="194"/>
        <v/>
      </c>
    </row>
    <row r="2482" spans="5:19" x14ac:dyDescent="0.3">
      <c r="E2482" s="9" t="str">
        <f>IF(DADOS!C2482="","",DADOS!C2482)</f>
        <v/>
      </c>
      <c r="F2482" s="9" t="str">
        <f>IF(DADOS!E2482="","",DADOS!E2482)</f>
        <v/>
      </c>
      <c r="G2482" s="9" t="str">
        <f>IF(DADOS!F2482="","",DADOS!F2482)</f>
        <v/>
      </c>
      <c r="K2482" s="6" t="str">
        <f t="shared" si="195"/>
        <v/>
      </c>
      <c r="L2482" s="7" t="str">
        <f t="shared" si="196"/>
        <v/>
      </c>
      <c r="M2482" s="7" t="str">
        <f t="shared" si="193"/>
        <v/>
      </c>
      <c r="N2482" s="7" t="str">
        <f t="shared" si="197"/>
        <v/>
      </c>
      <c r="O2482" s="8"/>
      <c r="P2482" s="26"/>
      <c r="S2482" s="10" t="str">
        <f t="shared" si="194"/>
        <v/>
      </c>
    </row>
    <row r="2483" spans="5:19" x14ac:dyDescent="0.3">
      <c r="E2483" s="9" t="str">
        <f>IF(DADOS!C2483="","",DADOS!C2483)</f>
        <v/>
      </c>
      <c r="F2483" s="9" t="str">
        <f>IF(DADOS!E2483="","",DADOS!E2483)</f>
        <v/>
      </c>
      <c r="G2483" s="9" t="str">
        <f>IF(DADOS!F2483="","",DADOS!F2483)</f>
        <v/>
      </c>
      <c r="K2483" s="6" t="str">
        <f t="shared" si="195"/>
        <v/>
      </c>
      <c r="L2483" s="7" t="str">
        <f t="shared" si="196"/>
        <v/>
      </c>
      <c r="M2483" s="7" t="str">
        <f t="shared" si="193"/>
        <v/>
      </c>
      <c r="N2483" s="7" t="str">
        <f t="shared" si="197"/>
        <v/>
      </c>
      <c r="O2483" s="8"/>
      <c r="P2483" s="26"/>
      <c r="S2483" s="10" t="str">
        <f t="shared" si="194"/>
        <v/>
      </c>
    </row>
    <row r="2484" spans="5:19" x14ac:dyDescent="0.3">
      <c r="E2484" s="9" t="str">
        <f>IF(DADOS!C2484="","",DADOS!C2484)</f>
        <v/>
      </c>
      <c r="F2484" s="9" t="str">
        <f>IF(DADOS!E2484="","",DADOS!E2484)</f>
        <v/>
      </c>
      <c r="G2484" s="9" t="str">
        <f>IF(DADOS!F2484="","",DADOS!F2484)</f>
        <v/>
      </c>
      <c r="K2484" s="6" t="str">
        <f t="shared" si="195"/>
        <v/>
      </c>
      <c r="L2484" s="7" t="str">
        <f t="shared" si="196"/>
        <v/>
      </c>
      <c r="M2484" s="7" t="str">
        <f t="shared" si="193"/>
        <v/>
      </c>
      <c r="N2484" s="7" t="str">
        <f t="shared" si="197"/>
        <v/>
      </c>
      <c r="O2484" s="8"/>
      <c r="P2484" s="26"/>
      <c r="S2484" s="10" t="str">
        <f t="shared" si="194"/>
        <v/>
      </c>
    </row>
    <row r="2485" spans="5:19" x14ac:dyDescent="0.3">
      <c r="E2485" s="9" t="str">
        <f>IF(DADOS!C2485="","",DADOS!C2485)</f>
        <v/>
      </c>
      <c r="F2485" s="9" t="str">
        <f>IF(DADOS!E2485="","",DADOS!E2485)</f>
        <v/>
      </c>
      <c r="G2485" s="9" t="str">
        <f>IF(DADOS!F2485="","",DADOS!F2485)</f>
        <v/>
      </c>
      <c r="K2485" s="6" t="str">
        <f t="shared" si="195"/>
        <v/>
      </c>
      <c r="L2485" s="7" t="str">
        <f t="shared" si="196"/>
        <v/>
      </c>
      <c r="M2485" s="7" t="str">
        <f t="shared" si="193"/>
        <v/>
      </c>
      <c r="N2485" s="7" t="str">
        <f t="shared" si="197"/>
        <v/>
      </c>
      <c r="O2485" s="8"/>
      <c r="P2485" s="26"/>
      <c r="S2485" s="10" t="str">
        <f t="shared" si="194"/>
        <v/>
      </c>
    </row>
    <row r="2486" spans="5:19" x14ac:dyDescent="0.3">
      <c r="E2486" s="9" t="str">
        <f>IF(DADOS!C2486="","",DADOS!C2486)</f>
        <v/>
      </c>
      <c r="F2486" s="9" t="str">
        <f>IF(DADOS!E2486="","",DADOS!E2486)</f>
        <v/>
      </c>
      <c r="G2486" s="9" t="str">
        <f>IF(DADOS!F2486="","",DADOS!F2486)</f>
        <v/>
      </c>
      <c r="K2486" s="6" t="str">
        <f t="shared" si="195"/>
        <v/>
      </c>
      <c r="L2486" s="7" t="str">
        <f t="shared" si="196"/>
        <v/>
      </c>
      <c r="M2486" s="7" t="str">
        <f t="shared" si="193"/>
        <v/>
      </c>
      <c r="N2486" s="7" t="str">
        <f t="shared" si="197"/>
        <v/>
      </c>
      <c r="O2486" s="8"/>
      <c r="P2486" s="26"/>
      <c r="S2486" s="10" t="str">
        <f t="shared" si="194"/>
        <v/>
      </c>
    </row>
    <row r="2487" spans="5:19" x14ac:dyDescent="0.3">
      <c r="E2487" s="9" t="str">
        <f>IF(DADOS!C2487="","",DADOS!C2487)</f>
        <v/>
      </c>
      <c r="F2487" s="9" t="str">
        <f>IF(DADOS!E2487="","",DADOS!E2487)</f>
        <v/>
      </c>
      <c r="G2487" s="9" t="str">
        <f>IF(DADOS!F2487="","",DADOS!F2487)</f>
        <v/>
      </c>
      <c r="K2487" s="6" t="str">
        <f t="shared" si="195"/>
        <v/>
      </c>
      <c r="L2487" s="7" t="str">
        <f t="shared" si="196"/>
        <v/>
      </c>
      <c r="M2487" s="7" t="str">
        <f t="shared" si="193"/>
        <v/>
      </c>
      <c r="N2487" s="7" t="str">
        <f t="shared" si="197"/>
        <v/>
      </c>
      <c r="O2487" s="8"/>
      <c r="P2487" s="26"/>
      <c r="S2487" s="10" t="str">
        <f t="shared" si="194"/>
        <v/>
      </c>
    </row>
    <row r="2488" spans="5:19" x14ac:dyDescent="0.3">
      <c r="E2488" s="9" t="str">
        <f>IF(DADOS!C2488="","",DADOS!C2488)</f>
        <v/>
      </c>
      <c r="F2488" s="9" t="str">
        <f>IF(DADOS!E2488="","",DADOS!E2488)</f>
        <v/>
      </c>
      <c r="G2488" s="9" t="str">
        <f>IF(DADOS!F2488="","",DADOS!F2488)</f>
        <v/>
      </c>
      <c r="K2488" s="6" t="str">
        <f t="shared" si="195"/>
        <v/>
      </c>
      <c r="L2488" s="7" t="str">
        <f t="shared" si="196"/>
        <v/>
      </c>
      <c r="M2488" s="7" t="str">
        <f t="shared" si="193"/>
        <v/>
      </c>
      <c r="N2488" s="7" t="str">
        <f t="shared" si="197"/>
        <v/>
      </c>
      <c r="O2488" s="8"/>
      <c r="P2488" s="26"/>
      <c r="S2488" s="10" t="str">
        <f t="shared" si="194"/>
        <v/>
      </c>
    </row>
    <row r="2489" spans="5:19" x14ac:dyDescent="0.3">
      <c r="E2489" s="9" t="str">
        <f>IF(DADOS!C2489="","",DADOS!C2489)</f>
        <v/>
      </c>
      <c r="F2489" s="9" t="str">
        <f>IF(DADOS!E2489="","",DADOS!E2489)</f>
        <v/>
      </c>
      <c r="G2489" s="9" t="str">
        <f>IF(DADOS!F2489="","",DADOS!F2489)</f>
        <v/>
      </c>
      <c r="K2489" s="6" t="str">
        <f t="shared" si="195"/>
        <v/>
      </c>
      <c r="L2489" s="7" t="str">
        <f t="shared" si="196"/>
        <v/>
      </c>
      <c r="M2489" s="7" t="str">
        <f t="shared" si="193"/>
        <v/>
      </c>
      <c r="N2489" s="7" t="str">
        <f t="shared" si="197"/>
        <v/>
      </c>
      <c r="O2489" s="8"/>
      <c r="P2489" s="26"/>
      <c r="S2489" s="10" t="str">
        <f t="shared" si="194"/>
        <v/>
      </c>
    </row>
    <row r="2490" spans="5:19" x14ac:dyDescent="0.3">
      <c r="E2490" s="9" t="str">
        <f>IF(DADOS!C2490="","",DADOS!C2490)</f>
        <v/>
      </c>
      <c r="F2490" s="9" t="str">
        <f>IF(DADOS!E2490="","",DADOS!E2490)</f>
        <v/>
      </c>
      <c r="G2490" s="9" t="str">
        <f>IF(DADOS!F2490="","",DADOS!F2490)</f>
        <v/>
      </c>
      <c r="K2490" s="6" t="str">
        <f t="shared" si="195"/>
        <v/>
      </c>
      <c r="L2490" s="7" t="str">
        <f t="shared" si="196"/>
        <v/>
      </c>
      <c r="M2490" s="7" t="str">
        <f t="shared" si="193"/>
        <v/>
      </c>
      <c r="N2490" s="7" t="str">
        <f t="shared" si="197"/>
        <v/>
      </c>
      <c r="O2490" s="8"/>
      <c r="P2490" s="26"/>
      <c r="S2490" s="10" t="str">
        <f t="shared" si="194"/>
        <v/>
      </c>
    </row>
    <row r="2491" spans="5:19" x14ac:dyDescent="0.3">
      <c r="E2491" s="9" t="str">
        <f>IF(DADOS!C2491="","",DADOS!C2491)</f>
        <v/>
      </c>
      <c r="F2491" s="9" t="str">
        <f>IF(DADOS!E2491="","",DADOS!E2491)</f>
        <v/>
      </c>
      <c r="G2491" s="9" t="str">
        <f>IF(DADOS!F2491="","",DADOS!F2491)</f>
        <v/>
      </c>
      <c r="K2491" s="6" t="str">
        <f t="shared" si="195"/>
        <v/>
      </c>
      <c r="L2491" s="7" t="str">
        <f t="shared" si="196"/>
        <v/>
      </c>
      <c r="M2491" s="7" t="str">
        <f t="shared" si="193"/>
        <v/>
      </c>
      <c r="N2491" s="7" t="str">
        <f t="shared" si="197"/>
        <v/>
      </c>
      <c r="O2491" s="8"/>
      <c r="P2491" s="26"/>
      <c r="S2491" s="10" t="str">
        <f t="shared" si="194"/>
        <v/>
      </c>
    </row>
    <row r="2492" spans="5:19" x14ac:dyDescent="0.3">
      <c r="E2492" s="9" t="str">
        <f>IF(DADOS!C2492="","",DADOS!C2492)</f>
        <v/>
      </c>
      <c r="F2492" s="9" t="str">
        <f>IF(DADOS!E2492="","",DADOS!E2492)</f>
        <v/>
      </c>
      <c r="G2492" s="9" t="str">
        <f>IF(DADOS!F2492="","",DADOS!F2492)</f>
        <v/>
      </c>
      <c r="K2492" s="6" t="str">
        <f t="shared" si="195"/>
        <v/>
      </c>
      <c r="L2492" s="7" t="str">
        <f t="shared" si="196"/>
        <v/>
      </c>
      <c r="M2492" s="7" t="str">
        <f t="shared" si="193"/>
        <v/>
      </c>
      <c r="N2492" s="7" t="str">
        <f t="shared" si="197"/>
        <v/>
      </c>
      <c r="O2492" s="8"/>
      <c r="P2492" s="26"/>
      <c r="S2492" s="10" t="str">
        <f t="shared" si="194"/>
        <v/>
      </c>
    </row>
    <row r="2493" spans="5:19" x14ac:dyDescent="0.3">
      <c r="E2493" s="9" t="str">
        <f>IF(DADOS!C2493="","",DADOS!C2493)</f>
        <v/>
      </c>
      <c r="F2493" s="9" t="str">
        <f>IF(DADOS!E2493="","",DADOS!E2493)</f>
        <v/>
      </c>
      <c r="G2493" s="9" t="str">
        <f>IF(DADOS!F2493="","",DADOS!F2493)</f>
        <v/>
      </c>
      <c r="K2493" s="6" t="str">
        <f t="shared" si="195"/>
        <v/>
      </c>
      <c r="L2493" s="7" t="str">
        <f t="shared" si="196"/>
        <v/>
      </c>
      <c r="M2493" s="7" t="str">
        <f t="shared" si="193"/>
        <v/>
      </c>
      <c r="N2493" s="7" t="str">
        <f t="shared" si="197"/>
        <v/>
      </c>
      <c r="O2493" s="8"/>
      <c r="P2493" s="26"/>
      <c r="S2493" s="10" t="str">
        <f t="shared" si="194"/>
        <v/>
      </c>
    </row>
    <row r="2494" spans="5:19" x14ac:dyDescent="0.3">
      <c r="E2494" s="9" t="str">
        <f>IF(DADOS!C2494="","",DADOS!C2494)</f>
        <v/>
      </c>
      <c r="F2494" s="9" t="str">
        <f>IF(DADOS!E2494="","",DADOS!E2494)</f>
        <v/>
      </c>
      <c r="G2494" s="9" t="str">
        <f>IF(DADOS!F2494="","",DADOS!F2494)</f>
        <v/>
      </c>
      <c r="K2494" s="6" t="str">
        <f t="shared" si="195"/>
        <v/>
      </c>
      <c r="L2494" s="7" t="str">
        <f t="shared" si="196"/>
        <v/>
      </c>
      <c r="M2494" s="7" t="str">
        <f t="shared" si="193"/>
        <v/>
      </c>
      <c r="N2494" s="7" t="str">
        <f t="shared" si="197"/>
        <v/>
      </c>
      <c r="O2494" s="8"/>
      <c r="P2494" s="26"/>
      <c r="S2494" s="10" t="str">
        <f t="shared" si="194"/>
        <v/>
      </c>
    </row>
    <row r="2495" spans="5:19" x14ac:dyDescent="0.3">
      <c r="E2495" s="9" t="str">
        <f>IF(DADOS!C2495="","",DADOS!C2495)</f>
        <v/>
      </c>
      <c r="F2495" s="9" t="str">
        <f>IF(DADOS!E2495="","",DADOS!E2495)</f>
        <v/>
      </c>
      <c r="G2495" s="9" t="str">
        <f>IF(DADOS!F2495="","",DADOS!F2495)</f>
        <v/>
      </c>
      <c r="K2495" s="6" t="str">
        <f t="shared" si="195"/>
        <v/>
      </c>
      <c r="L2495" s="7" t="str">
        <f t="shared" si="196"/>
        <v/>
      </c>
      <c r="M2495" s="7" t="str">
        <f t="shared" si="193"/>
        <v/>
      </c>
      <c r="N2495" s="7" t="str">
        <f t="shared" si="197"/>
        <v/>
      </c>
      <c r="O2495" s="8"/>
      <c r="P2495" s="26"/>
      <c r="S2495" s="10" t="str">
        <f t="shared" si="194"/>
        <v/>
      </c>
    </row>
    <row r="2496" spans="5:19" x14ac:dyDescent="0.3">
      <c r="E2496" s="9" t="str">
        <f>IF(DADOS!C2496="","",DADOS!C2496)</f>
        <v/>
      </c>
      <c r="F2496" s="9" t="str">
        <f>IF(DADOS!E2496="","",DADOS!E2496)</f>
        <v/>
      </c>
      <c r="G2496" s="9" t="str">
        <f>IF(DADOS!F2496="","",DADOS!F2496)</f>
        <v/>
      </c>
      <c r="K2496" s="6" t="str">
        <f t="shared" si="195"/>
        <v/>
      </c>
      <c r="L2496" s="7" t="str">
        <f t="shared" si="196"/>
        <v/>
      </c>
      <c r="M2496" s="7" t="str">
        <f t="shared" si="193"/>
        <v/>
      </c>
      <c r="N2496" s="7" t="str">
        <f t="shared" si="197"/>
        <v/>
      </c>
      <c r="O2496" s="8"/>
      <c r="P2496" s="26"/>
      <c r="S2496" s="10" t="str">
        <f t="shared" si="194"/>
        <v/>
      </c>
    </row>
    <row r="2497" spans="5:19" x14ac:dyDescent="0.3">
      <c r="E2497" s="9" t="str">
        <f>IF(DADOS!C2497="","",DADOS!C2497)</f>
        <v/>
      </c>
      <c r="F2497" s="9" t="str">
        <f>IF(DADOS!E2497="","",DADOS!E2497)</f>
        <v/>
      </c>
      <c r="G2497" s="9" t="str">
        <f>IF(DADOS!F2497="","",DADOS!F2497)</f>
        <v/>
      </c>
      <c r="K2497" s="6" t="str">
        <f t="shared" si="195"/>
        <v/>
      </c>
      <c r="L2497" s="7" t="str">
        <f t="shared" si="196"/>
        <v/>
      </c>
      <c r="M2497" s="7" t="str">
        <f t="shared" si="193"/>
        <v/>
      </c>
      <c r="N2497" s="7" t="str">
        <f t="shared" si="197"/>
        <v/>
      </c>
      <c r="O2497" s="8"/>
      <c r="P2497" s="26"/>
      <c r="S2497" s="10" t="str">
        <f t="shared" si="194"/>
        <v/>
      </c>
    </row>
    <row r="2498" spans="5:19" x14ac:dyDescent="0.3">
      <c r="E2498" s="9" t="str">
        <f>IF(DADOS!C2498="","",DADOS!C2498)</f>
        <v/>
      </c>
      <c r="F2498" s="9" t="str">
        <f>IF(DADOS!E2498="","",DADOS!E2498)</f>
        <v/>
      </c>
      <c r="G2498" s="9" t="str">
        <f>IF(DADOS!F2498="","",DADOS!F2498)</f>
        <v/>
      </c>
      <c r="K2498" s="6" t="str">
        <f t="shared" si="195"/>
        <v/>
      </c>
      <c r="L2498" s="7" t="str">
        <f t="shared" si="196"/>
        <v/>
      </c>
      <c r="M2498" s="7" t="str">
        <f t="shared" si="193"/>
        <v/>
      </c>
      <c r="N2498" s="7" t="str">
        <f t="shared" si="197"/>
        <v/>
      </c>
      <c r="O2498" s="8"/>
      <c r="P2498" s="26"/>
      <c r="S2498" s="10" t="str">
        <f t="shared" si="194"/>
        <v/>
      </c>
    </row>
    <row r="2499" spans="5:19" x14ac:dyDescent="0.3">
      <c r="E2499" s="9" t="str">
        <f>IF(DADOS!C2499="","",DADOS!C2499)</f>
        <v/>
      </c>
      <c r="F2499" s="9" t="str">
        <f>IF(DADOS!E2499="","",DADOS!E2499)</f>
        <v/>
      </c>
      <c r="G2499" s="9" t="str">
        <f>IF(DADOS!F2499="","",DADOS!F2499)</f>
        <v/>
      </c>
      <c r="K2499" s="6" t="str">
        <f t="shared" si="195"/>
        <v/>
      </c>
      <c r="L2499" s="7" t="str">
        <f t="shared" si="196"/>
        <v/>
      </c>
      <c r="M2499" s="7" t="str">
        <f t="shared" ref="M2499:M2562" si="198">IF(L2499="","",L2499*G2499)</f>
        <v/>
      </c>
      <c r="N2499" s="7" t="str">
        <f t="shared" si="197"/>
        <v/>
      </c>
      <c r="O2499" s="8"/>
      <c r="P2499" s="26"/>
      <c r="S2499" s="10" t="str">
        <f t="shared" ref="S2499:S2562" si="199">IF(R2499="","",SUMIFS($N$3:$N$10000,$E$3:$E$10000,R2499))</f>
        <v/>
      </c>
    </row>
    <row r="2500" spans="5:19" x14ac:dyDescent="0.3">
      <c r="E2500" s="9" t="str">
        <f>IF(DADOS!C2500="","",DADOS!C2500)</f>
        <v/>
      </c>
      <c r="F2500" s="9" t="str">
        <f>IF(DADOS!E2500="","",DADOS!E2500)</f>
        <v/>
      </c>
      <c r="G2500" s="9" t="str">
        <f>IF(DADOS!F2500="","",DADOS!F2500)</f>
        <v/>
      </c>
      <c r="K2500" s="6" t="str">
        <f t="shared" ref="K2500:K2563" si="200">IF(F2500="","",F2500/PI())</f>
        <v/>
      </c>
      <c r="L2500" s="7" t="str">
        <f t="shared" ref="L2500:L2563" si="201">IF(K2500="","",(PI()*K2500^2)/40000)</f>
        <v/>
      </c>
      <c r="M2500" s="7" t="str">
        <f t="shared" si="198"/>
        <v/>
      </c>
      <c r="N2500" s="7" t="str">
        <f t="shared" ref="N2500:N2563" si="202">IF(M2500="","",M2500*N$1)</f>
        <v/>
      </c>
      <c r="O2500" s="8"/>
      <c r="P2500" s="26"/>
      <c r="S2500" s="10" t="str">
        <f t="shared" si="199"/>
        <v/>
      </c>
    </row>
    <row r="2501" spans="5:19" x14ac:dyDescent="0.3">
      <c r="E2501" s="9" t="str">
        <f>IF(DADOS!C2501="","",DADOS!C2501)</f>
        <v/>
      </c>
      <c r="F2501" s="9" t="str">
        <f>IF(DADOS!E2501="","",DADOS!E2501)</f>
        <v/>
      </c>
      <c r="G2501" s="9" t="str">
        <f>IF(DADOS!F2501="","",DADOS!F2501)</f>
        <v/>
      </c>
      <c r="K2501" s="6" t="str">
        <f t="shared" si="200"/>
        <v/>
      </c>
      <c r="L2501" s="7" t="str">
        <f t="shared" si="201"/>
        <v/>
      </c>
      <c r="M2501" s="7" t="str">
        <f t="shared" si="198"/>
        <v/>
      </c>
      <c r="N2501" s="7" t="str">
        <f t="shared" si="202"/>
        <v/>
      </c>
      <c r="O2501" s="8"/>
      <c r="P2501" s="26"/>
      <c r="S2501" s="10" t="str">
        <f t="shared" si="199"/>
        <v/>
      </c>
    </row>
    <row r="2502" spans="5:19" x14ac:dyDescent="0.3">
      <c r="E2502" s="9" t="str">
        <f>IF(DADOS!C2502="","",DADOS!C2502)</f>
        <v/>
      </c>
      <c r="F2502" s="9" t="str">
        <f>IF(DADOS!E2502="","",DADOS!E2502)</f>
        <v/>
      </c>
      <c r="G2502" s="9" t="str">
        <f>IF(DADOS!F2502="","",DADOS!F2502)</f>
        <v/>
      </c>
      <c r="K2502" s="6" t="str">
        <f t="shared" si="200"/>
        <v/>
      </c>
      <c r="L2502" s="7" t="str">
        <f t="shared" si="201"/>
        <v/>
      </c>
      <c r="M2502" s="7" t="str">
        <f t="shared" si="198"/>
        <v/>
      </c>
      <c r="N2502" s="7" t="str">
        <f t="shared" si="202"/>
        <v/>
      </c>
      <c r="O2502" s="8"/>
      <c r="P2502" s="26"/>
      <c r="S2502" s="10" t="str">
        <f t="shared" si="199"/>
        <v/>
      </c>
    </row>
    <row r="2503" spans="5:19" x14ac:dyDescent="0.3">
      <c r="E2503" s="9" t="str">
        <f>IF(DADOS!C2503="","",DADOS!C2503)</f>
        <v/>
      </c>
      <c r="F2503" s="9" t="str">
        <f>IF(DADOS!E2503="","",DADOS!E2503)</f>
        <v/>
      </c>
      <c r="G2503" s="9" t="str">
        <f>IF(DADOS!F2503="","",DADOS!F2503)</f>
        <v/>
      </c>
      <c r="K2503" s="6" t="str">
        <f t="shared" si="200"/>
        <v/>
      </c>
      <c r="L2503" s="7" t="str">
        <f t="shared" si="201"/>
        <v/>
      </c>
      <c r="M2503" s="7" t="str">
        <f t="shared" si="198"/>
        <v/>
      </c>
      <c r="N2503" s="7" t="str">
        <f t="shared" si="202"/>
        <v/>
      </c>
      <c r="O2503" s="8"/>
      <c r="P2503" s="26"/>
      <c r="S2503" s="10" t="str">
        <f t="shared" si="199"/>
        <v/>
      </c>
    </row>
    <row r="2504" spans="5:19" x14ac:dyDescent="0.3">
      <c r="E2504" s="9" t="str">
        <f>IF(DADOS!C2504="","",DADOS!C2504)</f>
        <v/>
      </c>
      <c r="F2504" s="9" t="str">
        <f>IF(DADOS!E2504="","",DADOS!E2504)</f>
        <v/>
      </c>
      <c r="G2504" s="9" t="str">
        <f>IF(DADOS!F2504="","",DADOS!F2504)</f>
        <v/>
      </c>
      <c r="K2504" s="6" t="str">
        <f t="shared" si="200"/>
        <v/>
      </c>
      <c r="L2504" s="7" t="str">
        <f t="shared" si="201"/>
        <v/>
      </c>
      <c r="M2504" s="7" t="str">
        <f t="shared" si="198"/>
        <v/>
      </c>
      <c r="N2504" s="7" t="str">
        <f t="shared" si="202"/>
        <v/>
      </c>
      <c r="O2504" s="8"/>
      <c r="P2504" s="26"/>
      <c r="S2504" s="10" t="str">
        <f t="shared" si="199"/>
        <v/>
      </c>
    </row>
    <row r="2505" spans="5:19" x14ac:dyDescent="0.3">
      <c r="E2505" s="9" t="str">
        <f>IF(DADOS!C2505="","",DADOS!C2505)</f>
        <v/>
      </c>
      <c r="F2505" s="9" t="str">
        <f>IF(DADOS!E2505="","",DADOS!E2505)</f>
        <v/>
      </c>
      <c r="G2505" s="9" t="str">
        <f>IF(DADOS!F2505="","",DADOS!F2505)</f>
        <v/>
      </c>
      <c r="K2505" s="6" t="str">
        <f t="shared" si="200"/>
        <v/>
      </c>
      <c r="L2505" s="7" t="str">
        <f t="shared" si="201"/>
        <v/>
      </c>
      <c r="M2505" s="7" t="str">
        <f t="shared" si="198"/>
        <v/>
      </c>
      <c r="N2505" s="7" t="str">
        <f t="shared" si="202"/>
        <v/>
      </c>
      <c r="O2505" s="8"/>
      <c r="P2505" s="26"/>
      <c r="S2505" s="10" t="str">
        <f t="shared" si="199"/>
        <v/>
      </c>
    </row>
    <row r="2506" spans="5:19" x14ac:dyDescent="0.3">
      <c r="E2506" s="9" t="str">
        <f>IF(DADOS!C2506="","",DADOS!C2506)</f>
        <v/>
      </c>
      <c r="F2506" s="9" t="str">
        <f>IF(DADOS!E2506="","",DADOS!E2506)</f>
        <v/>
      </c>
      <c r="G2506" s="9" t="str">
        <f>IF(DADOS!F2506="","",DADOS!F2506)</f>
        <v/>
      </c>
      <c r="K2506" s="6" t="str">
        <f t="shared" si="200"/>
        <v/>
      </c>
      <c r="L2506" s="7" t="str">
        <f t="shared" si="201"/>
        <v/>
      </c>
      <c r="M2506" s="7" t="str">
        <f t="shared" si="198"/>
        <v/>
      </c>
      <c r="N2506" s="7" t="str">
        <f t="shared" si="202"/>
        <v/>
      </c>
      <c r="O2506" s="8"/>
      <c r="P2506" s="26"/>
      <c r="S2506" s="10" t="str">
        <f t="shared" si="199"/>
        <v/>
      </c>
    </row>
    <row r="2507" spans="5:19" x14ac:dyDescent="0.3">
      <c r="E2507" s="9" t="str">
        <f>IF(DADOS!C2507="","",DADOS!C2507)</f>
        <v/>
      </c>
      <c r="F2507" s="9" t="str">
        <f>IF(DADOS!E2507="","",DADOS!E2507)</f>
        <v/>
      </c>
      <c r="G2507" s="9" t="str">
        <f>IF(DADOS!F2507="","",DADOS!F2507)</f>
        <v/>
      </c>
      <c r="K2507" s="6" t="str">
        <f t="shared" si="200"/>
        <v/>
      </c>
      <c r="L2507" s="7" t="str">
        <f t="shared" si="201"/>
        <v/>
      </c>
      <c r="M2507" s="7" t="str">
        <f t="shared" si="198"/>
        <v/>
      </c>
      <c r="N2507" s="7" t="str">
        <f t="shared" si="202"/>
        <v/>
      </c>
      <c r="O2507" s="8"/>
      <c r="P2507" s="26"/>
      <c r="S2507" s="10" t="str">
        <f t="shared" si="199"/>
        <v/>
      </c>
    </row>
    <row r="2508" spans="5:19" x14ac:dyDescent="0.3">
      <c r="E2508" s="9" t="str">
        <f>IF(DADOS!C2508="","",DADOS!C2508)</f>
        <v/>
      </c>
      <c r="F2508" s="9" t="str">
        <f>IF(DADOS!E2508="","",DADOS!E2508)</f>
        <v/>
      </c>
      <c r="G2508" s="9" t="str">
        <f>IF(DADOS!F2508="","",DADOS!F2508)</f>
        <v/>
      </c>
      <c r="K2508" s="6" t="str">
        <f t="shared" si="200"/>
        <v/>
      </c>
      <c r="L2508" s="7" t="str">
        <f t="shared" si="201"/>
        <v/>
      </c>
      <c r="M2508" s="7" t="str">
        <f t="shared" si="198"/>
        <v/>
      </c>
      <c r="N2508" s="7" t="str">
        <f t="shared" si="202"/>
        <v/>
      </c>
      <c r="O2508" s="8"/>
      <c r="P2508" s="26"/>
      <c r="S2508" s="10" t="str">
        <f t="shared" si="199"/>
        <v/>
      </c>
    </row>
    <row r="2509" spans="5:19" x14ac:dyDescent="0.3">
      <c r="E2509" s="9" t="str">
        <f>IF(DADOS!C2509="","",DADOS!C2509)</f>
        <v/>
      </c>
      <c r="F2509" s="9" t="str">
        <f>IF(DADOS!E2509="","",DADOS!E2509)</f>
        <v/>
      </c>
      <c r="G2509" s="9" t="str">
        <f>IF(DADOS!F2509="","",DADOS!F2509)</f>
        <v/>
      </c>
      <c r="K2509" s="6" t="str">
        <f t="shared" si="200"/>
        <v/>
      </c>
      <c r="L2509" s="7" t="str">
        <f t="shared" si="201"/>
        <v/>
      </c>
      <c r="M2509" s="7" t="str">
        <f t="shared" si="198"/>
        <v/>
      </c>
      <c r="N2509" s="7" t="str">
        <f t="shared" si="202"/>
        <v/>
      </c>
      <c r="O2509" s="8"/>
      <c r="P2509" s="26"/>
      <c r="S2509" s="10" t="str">
        <f t="shared" si="199"/>
        <v/>
      </c>
    </row>
    <row r="2510" spans="5:19" x14ac:dyDescent="0.3">
      <c r="E2510" s="9" t="str">
        <f>IF(DADOS!C2510="","",DADOS!C2510)</f>
        <v/>
      </c>
      <c r="F2510" s="9" t="str">
        <f>IF(DADOS!E2510="","",DADOS!E2510)</f>
        <v/>
      </c>
      <c r="G2510" s="9" t="str">
        <f>IF(DADOS!F2510="","",DADOS!F2510)</f>
        <v/>
      </c>
      <c r="K2510" s="6" t="str">
        <f t="shared" si="200"/>
        <v/>
      </c>
      <c r="L2510" s="7" t="str">
        <f t="shared" si="201"/>
        <v/>
      </c>
      <c r="M2510" s="7" t="str">
        <f t="shared" si="198"/>
        <v/>
      </c>
      <c r="N2510" s="7" t="str">
        <f t="shared" si="202"/>
        <v/>
      </c>
      <c r="O2510" s="8"/>
      <c r="P2510" s="26"/>
      <c r="S2510" s="10" t="str">
        <f t="shared" si="199"/>
        <v/>
      </c>
    </row>
    <row r="2511" spans="5:19" x14ac:dyDescent="0.3">
      <c r="E2511" s="9" t="str">
        <f>IF(DADOS!C2511="","",DADOS!C2511)</f>
        <v/>
      </c>
      <c r="F2511" s="9" t="str">
        <f>IF(DADOS!E2511="","",DADOS!E2511)</f>
        <v/>
      </c>
      <c r="G2511" s="9" t="str">
        <f>IF(DADOS!F2511="","",DADOS!F2511)</f>
        <v/>
      </c>
      <c r="K2511" s="6" t="str">
        <f t="shared" si="200"/>
        <v/>
      </c>
      <c r="L2511" s="7" t="str">
        <f t="shared" si="201"/>
        <v/>
      </c>
      <c r="M2511" s="7" t="str">
        <f t="shared" si="198"/>
        <v/>
      </c>
      <c r="N2511" s="7" t="str">
        <f t="shared" si="202"/>
        <v/>
      </c>
      <c r="O2511" s="8"/>
      <c r="P2511" s="26"/>
      <c r="S2511" s="10" t="str">
        <f t="shared" si="199"/>
        <v/>
      </c>
    </row>
    <row r="2512" spans="5:19" x14ac:dyDescent="0.3">
      <c r="E2512" s="9" t="str">
        <f>IF(DADOS!C2512="","",DADOS!C2512)</f>
        <v/>
      </c>
      <c r="F2512" s="9" t="str">
        <f>IF(DADOS!E2512="","",DADOS!E2512)</f>
        <v/>
      </c>
      <c r="G2512" s="9" t="str">
        <f>IF(DADOS!F2512="","",DADOS!F2512)</f>
        <v/>
      </c>
      <c r="K2512" s="6" t="str">
        <f t="shared" si="200"/>
        <v/>
      </c>
      <c r="L2512" s="7" t="str">
        <f t="shared" si="201"/>
        <v/>
      </c>
      <c r="M2512" s="7" t="str">
        <f t="shared" si="198"/>
        <v/>
      </c>
      <c r="N2512" s="7" t="str">
        <f t="shared" si="202"/>
        <v/>
      </c>
      <c r="O2512" s="8"/>
      <c r="P2512" s="26"/>
      <c r="S2512" s="10" t="str">
        <f t="shared" si="199"/>
        <v/>
      </c>
    </row>
    <row r="2513" spans="5:19" x14ac:dyDescent="0.3">
      <c r="E2513" s="9" t="str">
        <f>IF(DADOS!C2513="","",DADOS!C2513)</f>
        <v/>
      </c>
      <c r="F2513" s="9" t="str">
        <f>IF(DADOS!E2513="","",DADOS!E2513)</f>
        <v/>
      </c>
      <c r="G2513" s="9" t="str">
        <f>IF(DADOS!F2513="","",DADOS!F2513)</f>
        <v/>
      </c>
      <c r="K2513" s="6" t="str">
        <f t="shared" si="200"/>
        <v/>
      </c>
      <c r="L2513" s="7" t="str">
        <f t="shared" si="201"/>
        <v/>
      </c>
      <c r="M2513" s="7" t="str">
        <f t="shared" si="198"/>
        <v/>
      </c>
      <c r="N2513" s="7" t="str">
        <f t="shared" si="202"/>
        <v/>
      </c>
      <c r="O2513" s="8"/>
      <c r="P2513" s="26"/>
      <c r="S2513" s="10" t="str">
        <f t="shared" si="199"/>
        <v/>
      </c>
    </row>
    <row r="2514" spans="5:19" x14ac:dyDescent="0.3">
      <c r="E2514" s="9" t="str">
        <f>IF(DADOS!C2514="","",DADOS!C2514)</f>
        <v/>
      </c>
      <c r="F2514" s="9" t="str">
        <f>IF(DADOS!E2514="","",DADOS!E2514)</f>
        <v/>
      </c>
      <c r="G2514" s="9" t="str">
        <f>IF(DADOS!F2514="","",DADOS!F2514)</f>
        <v/>
      </c>
      <c r="K2514" s="6" t="str">
        <f t="shared" si="200"/>
        <v/>
      </c>
      <c r="L2514" s="7" t="str">
        <f t="shared" si="201"/>
        <v/>
      </c>
      <c r="M2514" s="7" t="str">
        <f t="shared" si="198"/>
        <v/>
      </c>
      <c r="N2514" s="7" t="str">
        <f t="shared" si="202"/>
        <v/>
      </c>
      <c r="O2514" s="8"/>
      <c r="P2514" s="26"/>
      <c r="S2514" s="10" t="str">
        <f t="shared" si="199"/>
        <v/>
      </c>
    </row>
    <row r="2515" spans="5:19" x14ac:dyDescent="0.3">
      <c r="E2515" s="9" t="str">
        <f>IF(DADOS!C2515="","",DADOS!C2515)</f>
        <v/>
      </c>
      <c r="F2515" s="9" t="str">
        <f>IF(DADOS!E2515="","",DADOS!E2515)</f>
        <v/>
      </c>
      <c r="G2515" s="9" t="str">
        <f>IF(DADOS!F2515="","",DADOS!F2515)</f>
        <v/>
      </c>
      <c r="K2515" s="6" t="str">
        <f t="shared" si="200"/>
        <v/>
      </c>
      <c r="L2515" s="7" t="str">
        <f t="shared" si="201"/>
        <v/>
      </c>
      <c r="M2515" s="7" t="str">
        <f t="shared" si="198"/>
        <v/>
      </c>
      <c r="N2515" s="7" t="str">
        <f t="shared" si="202"/>
        <v/>
      </c>
      <c r="O2515" s="8"/>
      <c r="P2515" s="26"/>
      <c r="S2515" s="10" t="str">
        <f t="shared" si="199"/>
        <v/>
      </c>
    </row>
    <row r="2516" spans="5:19" x14ac:dyDescent="0.3">
      <c r="E2516" s="9" t="str">
        <f>IF(DADOS!C2516="","",DADOS!C2516)</f>
        <v/>
      </c>
      <c r="F2516" s="9" t="str">
        <f>IF(DADOS!E2516="","",DADOS!E2516)</f>
        <v/>
      </c>
      <c r="G2516" s="9" t="str">
        <f>IF(DADOS!F2516="","",DADOS!F2516)</f>
        <v/>
      </c>
      <c r="K2516" s="6" t="str">
        <f t="shared" si="200"/>
        <v/>
      </c>
      <c r="L2516" s="7" t="str">
        <f t="shared" si="201"/>
        <v/>
      </c>
      <c r="M2516" s="7" t="str">
        <f t="shared" si="198"/>
        <v/>
      </c>
      <c r="N2516" s="7" t="str">
        <f t="shared" si="202"/>
        <v/>
      </c>
      <c r="O2516" s="8"/>
      <c r="P2516" s="26"/>
      <c r="S2516" s="10" t="str">
        <f t="shared" si="199"/>
        <v/>
      </c>
    </row>
    <row r="2517" spans="5:19" x14ac:dyDescent="0.3">
      <c r="E2517" s="9" t="str">
        <f>IF(DADOS!C2517="","",DADOS!C2517)</f>
        <v/>
      </c>
      <c r="F2517" s="9" t="str">
        <f>IF(DADOS!E2517="","",DADOS!E2517)</f>
        <v/>
      </c>
      <c r="G2517" s="9" t="str">
        <f>IF(DADOS!F2517="","",DADOS!F2517)</f>
        <v/>
      </c>
      <c r="K2517" s="6" t="str">
        <f t="shared" si="200"/>
        <v/>
      </c>
      <c r="L2517" s="7" t="str">
        <f t="shared" si="201"/>
        <v/>
      </c>
      <c r="M2517" s="7" t="str">
        <f t="shared" si="198"/>
        <v/>
      </c>
      <c r="N2517" s="7" t="str">
        <f t="shared" si="202"/>
        <v/>
      </c>
      <c r="O2517" s="8"/>
      <c r="P2517" s="26"/>
      <c r="S2517" s="10" t="str">
        <f t="shared" si="199"/>
        <v/>
      </c>
    </row>
    <row r="2518" spans="5:19" x14ac:dyDescent="0.3">
      <c r="E2518" s="9" t="str">
        <f>IF(DADOS!C2518="","",DADOS!C2518)</f>
        <v/>
      </c>
      <c r="F2518" s="9" t="str">
        <f>IF(DADOS!E2518="","",DADOS!E2518)</f>
        <v/>
      </c>
      <c r="G2518" s="9" t="str">
        <f>IF(DADOS!F2518="","",DADOS!F2518)</f>
        <v/>
      </c>
      <c r="K2518" s="6" t="str">
        <f t="shared" si="200"/>
        <v/>
      </c>
      <c r="L2518" s="7" t="str">
        <f t="shared" si="201"/>
        <v/>
      </c>
      <c r="M2518" s="7" t="str">
        <f t="shared" si="198"/>
        <v/>
      </c>
      <c r="N2518" s="7" t="str">
        <f t="shared" si="202"/>
        <v/>
      </c>
      <c r="O2518" s="8"/>
      <c r="P2518" s="26"/>
      <c r="S2518" s="10" t="str">
        <f t="shared" si="199"/>
        <v/>
      </c>
    </row>
    <row r="2519" spans="5:19" x14ac:dyDescent="0.3">
      <c r="E2519" s="9" t="str">
        <f>IF(DADOS!C2519="","",DADOS!C2519)</f>
        <v/>
      </c>
      <c r="F2519" s="9" t="str">
        <f>IF(DADOS!E2519="","",DADOS!E2519)</f>
        <v/>
      </c>
      <c r="G2519" s="9" t="str">
        <f>IF(DADOS!F2519="","",DADOS!F2519)</f>
        <v/>
      </c>
      <c r="K2519" s="6" t="str">
        <f t="shared" si="200"/>
        <v/>
      </c>
      <c r="L2519" s="7" t="str">
        <f t="shared" si="201"/>
        <v/>
      </c>
      <c r="M2519" s="7" t="str">
        <f t="shared" si="198"/>
        <v/>
      </c>
      <c r="N2519" s="7" t="str">
        <f t="shared" si="202"/>
        <v/>
      </c>
      <c r="O2519" s="8"/>
      <c r="P2519" s="26"/>
      <c r="S2519" s="10" t="str">
        <f t="shared" si="199"/>
        <v/>
      </c>
    </row>
    <row r="2520" spans="5:19" x14ac:dyDescent="0.3">
      <c r="E2520" s="9" t="str">
        <f>IF(DADOS!C2520="","",DADOS!C2520)</f>
        <v/>
      </c>
      <c r="F2520" s="9" t="str">
        <f>IF(DADOS!E2520="","",DADOS!E2520)</f>
        <v/>
      </c>
      <c r="G2520" s="9" t="str">
        <f>IF(DADOS!F2520="","",DADOS!F2520)</f>
        <v/>
      </c>
      <c r="K2520" s="6" t="str">
        <f t="shared" si="200"/>
        <v/>
      </c>
      <c r="L2520" s="7" t="str">
        <f t="shared" si="201"/>
        <v/>
      </c>
      <c r="M2520" s="7" t="str">
        <f t="shared" si="198"/>
        <v/>
      </c>
      <c r="N2520" s="7" t="str">
        <f t="shared" si="202"/>
        <v/>
      </c>
      <c r="O2520" s="8"/>
      <c r="P2520" s="26"/>
      <c r="S2520" s="10" t="str">
        <f t="shared" si="199"/>
        <v/>
      </c>
    </row>
    <row r="2521" spans="5:19" x14ac:dyDescent="0.3">
      <c r="E2521" s="9" t="str">
        <f>IF(DADOS!C2521="","",DADOS!C2521)</f>
        <v/>
      </c>
      <c r="F2521" s="9" t="str">
        <f>IF(DADOS!E2521="","",DADOS!E2521)</f>
        <v/>
      </c>
      <c r="G2521" s="9" t="str">
        <f>IF(DADOS!F2521="","",DADOS!F2521)</f>
        <v/>
      </c>
      <c r="K2521" s="6" t="str">
        <f t="shared" si="200"/>
        <v/>
      </c>
      <c r="L2521" s="7" t="str">
        <f t="shared" si="201"/>
        <v/>
      </c>
      <c r="M2521" s="7" t="str">
        <f t="shared" si="198"/>
        <v/>
      </c>
      <c r="N2521" s="7" t="str">
        <f t="shared" si="202"/>
        <v/>
      </c>
      <c r="O2521" s="8"/>
      <c r="P2521" s="26"/>
      <c r="S2521" s="10" t="str">
        <f t="shared" si="199"/>
        <v/>
      </c>
    </row>
    <row r="2522" spans="5:19" x14ac:dyDescent="0.3">
      <c r="E2522" s="9" t="str">
        <f>IF(DADOS!C2522="","",DADOS!C2522)</f>
        <v/>
      </c>
      <c r="F2522" s="9" t="str">
        <f>IF(DADOS!E2522="","",DADOS!E2522)</f>
        <v/>
      </c>
      <c r="G2522" s="9" t="str">
        <f>IF(DADOS!F2522="","",DADOS!F2522)</f>
        <v/>
      </c>
      <c r="K2522" s="6" t="str">
        <f t="shared" si="200"/>
        <v/>
      </c>
      <c r="L2522" s="7" t="str">
        <f t="shared" si="201"/>
        <v/>
      </c>
      <c r="M2522" s="7" t="str">
        <f t="shared" si="198"/>
        <v/>
      </c>
      <c r="N2522" s="7" t="str">
        <f t="shared" si="202"/>
        <v/>
      </c>
      <c r="O2522" s="8"/>
      <c r="P2522" s="26"/>
      <c r="S2522" s="10" t="str">
        <f t="shared" si="199"/>
        <v/>
      </c>
    </row>
    <row r="2523" spans="5:19" x14ac:dyDescent="0.3">
      <c r="E2523" s="9" t="str">
        <f>IF(DADOS!C2523="","",DADOS!C2523)</f>
        <v/>
      </c>
      <c r="F2523" s="9" t="str">
        <f>IF(DADOS!E2523="","",DADOS!E2523)</f>
        <v/>
      </c>
      <c r="G2523" s="9" t="str">
        <f>IF(DADOS!F2523="","",DADOS!F2523)</f>
        <v/>
      </c>
      <c r="K2523" s="6" t="str">
        <f t="shared" si="200"/>
        <v/>
      </c>
      <c r="L2523" s="7" t="str">
        <f t="shared" si="201"/>
        <v/>
      </c>
      <c r="M2523" s="7" t="str">
        <f t="shared" si="198"/>
        <v/>
      </c>
      <c r="N2523" s="7" t="str">
        <f t="shared" si="202"/>
        <v/>
      </c>
      <c r="O2523" s="8"/>
      <c r="P2523" s="26"/>
      <c r="S2523" s="10" t="str">
        <f t="shared" si="199"/>
        <v/>
      </c>
    </row>
    <row r="2524" spans="5:19" x14ac:dyDescent="0.3">
      <c r="E2524" s="9" t="str">
        <f>IF(DADOS!C2524="","",DADOS!C2524)</f>
        <v/>
      </c>
      <c r="F2524" s="9" t="str">
        <f>IF(DADOS!E2524="","",DADOS!E2524)</f>
        <v/>
      </c>
      <c r="G2524" s="9" t="str">
        <f>IF(DADOS!F2524="","",DADOS!F2524)</f>
        <v/>
      </c>
      <c r="K2524" s="6" t="str">
        <f t="shared" si="200"/>
        <v/>
      </c>
      <c r="L2524" s="7" t="str">
        <f t="shared" si="201"/>
        <v/>
      </c>
      <c r="M2524" s="7" t="str">
        <f t="shared" si="198"/>
        <v/>
      </c>
      <c r="N2524" s="7" t="str">
        <f t="shared" si="202"/>
        <v/>
      </c>
      <c r="O2524" s="8"/>
      <c r="P2524" s="26"/>
      <c r="S2524" s="10" t="str">
        <f t="shared" si="199"/>
        <v/>
      </c>
    </row>
    <row r="2525" spans="5:19" x14ac:dyDescent="0.3">
      <c r="E2525" s="9" t="str">
        <f>IF(DADOS!C2525="","",DADOS!C2525)</f>
        <v/>
      </c>
      <c r="F2525" s="9" t="str">
        <f>IF(DADOS!E2525="","",DADOS!E2525)</f>
        <v/>
      </c>
      <c r="G2525" s="9" t="str">
        <f>IF(DADOS!F2525="","",DADOS!F2525)</f>
        <v/>
      </c>
      <c r="K2525" s="6" t="str">
        <f t="shared" si="200"/>
        <v/>
      </c>
      <c r="L2525" s="7" t="str">
        <f t="shared" si="201"/>
        <v/>
      </c>
      <c r="M2525" s="7" t="str">
        <f t="shared" si="198"/>
        <v/>
      </c>
      <c r="N2525" s="7" t="str">
        <f t="shared" si="202"/>
        <v/>
      </c>
      <c r="O2525" s="8"/>
      <c r="P2525" s="26"/>
      <c r="S2525" s="10" t="str">
        <f t="shared" si="199"/>
        <v/>
      </c>
    </row>
    <row r="2526" spans="5:19" x14ac:dyDescent="0.3">
      <c r="E2526" s="9" t="str">
        <f>IF(DADOS!C2526="","",DADOS!C2526)</f>
        <v/>
      </c>
      <c r="F2526" s="9" t="str">
        <f>IF(DADOS!E2526="","",DADOS!E2526)</f>
        <v/>
      </c>
      <c r="G2526" s="9" t="str">
        <f>IF(DADOS!F2526="","",DADOS!F2526)</f>
        <v/>
      </c>
      <c r="K2526" s="6" t="str">
        <f t="shared" si="200"/>
        <v/>
      </c>
      <c r="L2526" s="7" t="str">
        <f t="shared" si="201"/>
        <v/>
      </c>
      <c r="M2526" s="7" t="str">
        <f t="shared" si="198"/>
        <v/>
      </c>
      <c r="N2526" s="7" t="str">
        <f t="shared" si="202"/>
        <v/>
      </c>
      <c r="O2526" s="8"/>
      <c r="P2526" s="26"/>
      <c r="S2526" s="10" t="str">
        <f t="shared" si="199"/>
        <v/>
      </c>
    </row>
    <row r="2527" spans="5:19" x14ac:dyDescent="0.3">
      <c r="E2527" s="9" t="str">
        <f>IF(DADOS!C2527="","",DADOS!C2527)</f>
        <v/>
      </c>
      <c r="F2527" s="9" t="str">
        <f>IF(DADOS!E2527="","",DADOS!E2527)</f>
        <v/>
      </c>
      <c r="G2527" s="9" t="str">
        <f>IF(DADOS!F2527="","",DADOS!F2527)</f>
        <v/>
      </c>
      <c r="K2527" s="6" t="str">
        <f t="shared" si="200"/>
        <v/>
      </c>
      <c r="L2527" s="7" t="str">
        <f t="shared" si="201"/>
        <v/>
      </c>
      <c r="M2527" s="7" t="str">
        <f t="shared" si="198"/>
        <v/>
      </c>
      <c r="N2527" s="7" t="str">
        <f t="shared" si="202"/>
        <v/>
      </c>
      <c r="O2527" s="8"/>
      <c r="P2527" s="26"/>
      <c r="S2527" s="10" t="str">
        <f t="shared" si="199"/>
        <v/>
      </c>
    </row>
    <row r="2528" spans="5:19" x14ac:dyDescent="0.3">
      <c r="E2528" s="9" t="str">
        <f>IF(DADOS!C2528="","",DADOS!C2528)</f>
        <v/>
      </c>
      <c r="F2528" s="9" t="str">
        <f>IF(DADOS!E2528="","",DADOS!E2528)</f>
        <v/>
      </c>
      <c r="G2528" s="9" t="str">
        <f>IF(DADOS!F2528="","",DADOS!F2528)</f>
        <v/>
      </c>
      <c r="K2528" s="6" t="str">
        <f t="shared" si="200"/>
        <v/>
      </c>
      <c r="L2528" s="7" t="str">
        <f t="shared" si="201"/>
        <v/>
      </c>
      <c r="M2528" s="7" t="str">
        <f t="shared" si="198"/>
        <v/>
      </c>
      <c r="N2528" s="7" t="str">
        <f t="shared" si="202"/>
        <v/>
      </c>
      <c r="O2528" s="8"/>
      <c r="P2528" s="26"/>
      <c r="S2528" s="10" t="str">
        <f t="shared" si="199"/>
        <v/>
      </c>
    </row>
    <row r="2529" spans="5:19" x14ac:dyDescent="0.3">
      <c r="E2529" s="9" t="str">
        <f>IF(DADOS!C2529="","",DADOS!C2529)</f>
        <v/>
      </c>
      <c r="F2529" s="9" t="str">
        <f>IF(DADOS!E2529="","",DADOS!E2529)</f>
        <v/>
      </c>
      <c r="G2529" s="9" t="str">
        <f>IF(DADOS!F2529="","",DADOS!F2529)</f>
        <v/>
      </c>
      <c r="K2529" s="6" t="str">
        <f t="shared" si="200"/>
        <v/>
      </c>
      <c r="L2529" s="7" t="str">
        <f t="shared" si="201"/>
        <v/>
      </c>
      <c r="M2529" s="7" t="str">
        <f t="shared" si="198"/>
        <v/>
      </c>
      <c r="N2529" s="7" t="str">
        <f t="shared" si="202"/>
        <v/>
      </c>
      <c r="O2529" s="8"/>
      <c r="P2529" s="26"/>
      <c r="S2529" s="10" t="str">
        <f t="shared" si="199"/>
        <v/>
      </c>
    </row>
    <row r="2530" spans="5:19" x14ac:dyDescent="0.3">
      <c r="E2530" s="9" t="str">
        <f>IF(DADOS!C2530="","",DADOS!C2530)</f>
        <v/>
      </c>
      <c r="F2530" s="9" t="str">
        <f>IF(DADOS!E2530="","",DADOS!E2530)</f>
        <v/>
      </c>
      <c r="G2530" s="9" t="str">
        <f>IF(DADOS!F2530="","",DADOS!F2530)</f>
        <v/>
      </c>
      <c r="K2530" s="6" t="str">
        <f t="shared" si="200"/>
        <v/>
      </c>
      <c r="L2530" s="7" t="str">
        <f t="shared" si="201"/>
        <v/>
      </c>
      <c r="M2530" s="7" t="str">
        <f t="shared" si="198"/>
        <v/>
      </c>
      <c r="N2530" s="7" t="str">
        <f t="shared" si="202"/>
        <v/>
      </c>
      <c r="O2530" s="8"/>
      <c r="P2530" s="26"/>
      <c r="S2530" s="10" t="str">
        <f t="shared" si="199"/>
        <v/>
      </c>
    </row>
    <row r="2531" spans="5:19" x14ac:dyDescent="0.3">
      <c r="E2531" s="9" t="str">
        <f>IF(DADOS!C2531="","",DADOS!C2531)</f>
        <v/>
      </c>
      <c r="F2531" s="9" t="str">
        <f>IF(DADOS!E2531="","",DADOS!E2531)</f>
        <v/>
      </c>
      <c r="G2531" s="9" t="str">
        <f>IF(DADOS!F2531="","",DADOS!F2531)</f>
        <v/>
      </c>
      <c r="K2531" s="6" t="str">
        <f t="shared" si="200"/>
        <v/>
      </c>
      <c r="L2531" s="7" t="str">
        <f t="shared" si="201"/>
        <v/>
      </c>
      <c r="M2531" s="7" t="str">
        <f t="shared" si="198"/>
        <v/>
      </c>
      <c r="N2531" s="7" t="str">
        <f t="shared" si="202"/>
        <v/>
      </c>
      <c r="O2531" s="8"/>
      <c r="P2531" s="26"/>
      <c r="S2531" s="10" t="str">
        <f t="shared" si="199"/>
        <v/>
      </c>
    </row>
    <row r="2532" spans="5:19" x14ac:dyDescent="0.3">
      <c r="E2532" s="9" t="str">
        <f>IF(DADOS!C2532="","",DADOS!C2532)</f>
        <v/>
      </c>
      <c r="F2532" s="9" t="str">
        <f>IF(DADOS!E2532="","",DADOS!E2532)</f>
        <v/>
      </c>
      <c r="G2532" s="9" t="str">
        <f>IF(DADOS!F2532="","",DADOS!F2532)</f>
        <v/>
      </c>
      <c r="K2532" s="6" t="str">
        <f t="shared" si="200"/>
        <v/>
      </c>
      <c r="L2532" s="7" t="str">
        <f t="shared" si="201"/>
        <v/>
      </c>
      <c r="M2532" s="7" t="str">
        <f t="shared" si="198"/>
        <v/>
      </c>
      <c r="N2532" s="7" t="str">
        <f t="shared" si="202"/>
        <v/>
      </c>
      <c r="O2532" s="8"/>
      <c r="P2532" s="26"/>
      <c r="S2532" s="10" t="str">
        <f t="shared" si="199"/>
        <v/>
      </c>
    </row>
    <row r="2533" spans="5:19" x14ac:dyDescent="0.3">
      <c r="E2533" s="9" t="str">
        <f>IF(DADOS!C2533="","",DADOS!C2533)</f>
        <v/>
      </c>
      <c r="F2533" s="9" t="str">
        <f>IF(DADOS!E2533="","",DADOS!E2533)</f>
        <v/>
      </c>
      <c r="G2533" s="9" t="str">
        <f>IF(DADOS!F2533="","",DADOS!F2533)</f>
        <v/>
      </c>
      <c r="K2533" s="6" t="str">
        <f t="shared" si="200"/>
        <v/>
      </c>
      <c r="L2533" s="7" t="str">
        <f t="shared" si="201"/>
        <v/>
      </c>
      <c r="M2533" s="7" t="str">
        <f t="shared" si="198"/>
        <v/>
      </c>
      <c r="N2533" s="7" t="str">
        <f t="shared" si="202"/>
        <v/>
      </c>
      <c r="O2533" s="8"/>
      <c r="P2533" s="26"/>
      <c r="S2533" s="10" t="str">
        <f t="shared" si="199"/>
        <v/>
      </c>
    </row>
    <row r="2534" spans="5:19" x14ac:dyDescent="0.3">
      <c r="E2534" s="9" t="str">
        <f>IF(DADOS!C2534="","",DADOS!C2534)</f>
        <v/>
      </c>
      <c r="F2534" s="9" t="str">
        <f>IF(DADOS!E2534="","",DADOS!E2534)</f>
        <v/>
      </c>
      <c r="G2534" s="9" t="str">
        <f>IF(DADOS!F2534="","",DADOS!F2534)</f>
        <v/>
      </c>
      <c r="K2534" s="6" t="str">
        <f t="shared" si="200"/>
        <v/>
      </c>
      <c r="L2534" s="7" t="str">
        <f t="shared" si="201"/>
        <v/>
      </c>
      <c r="M2534" s="7" t="str">
        <f t="shared" si="198"/>
        <v/>
      </c>
      <c r="N2534" s="7" t="str">
        <f t="shared" si="202"/>
        <v/>
      </c>
      <c r="O2534" s="8"/>
      <c r="P2534" s="26"/>
      <c r="S2534" s="10" t="str">
        <f t="shared" si="199"/>
        <v/>
      </c>
    </row>
    <row r="2535" spans="5:19" x14ac:dyDescent="0.3">
      <c r="E2535" s="9" t="str">
        <f>IF(DADOS!C2535="","",DADOS!C2535)</f>
        <v/>
      </c>
      <c r="F2535" s="9" t="str">
        <f>IF(DADOS!E2535="","",DADOS!E2535)</f>
        <v/>
      </c>
      <c r="G2535" s="9" t="str">
        <f>IF(DADOS!F2535="","",DADOS!F2535)</f>
        <v/>
      </c>
      <c r="K2535" s="6" t="str">
        <f t="shared" si="200"/>
        <v/>
      </c>
      <c r="L2535" s="7" t="str">
        <f t="shared" si="201"/>
        <v/>
      </c>
      <c r="M2535" s="7" t="str">
        <f t="shared" si="198"/>
        <v/>
      </c>
      <c r="N2535" s="7" t="str">
        <f t="shared" si="202"/>
        <v/>
      </c>
      <c r="O2535" s="8"/>
      <c r="P2535" s="26"/>
      <c r="S2535" s="10" t="str">
        <f t="shared" si="199"/>
        <v/>
      </c>
    </row>
    <row r="2536" spans="5:19" x14ac:dyDescent="0.3">
      <c r="E2536" s="9" t="str">
        <f>IF(DADOS!C2536="","",DADOS!C2536)</f>
        <v/>
      </c>
      <c r="F2536" s="9" t="str">
        <f>IF(DADOS!E2536="","",DADOS!E2536)</f>
        <v/>
      </c>
      <c r="G2536" s="9" t="str">
        <f>IF(DADOS!F2536="","",DADOS!F2536)</f>
        <v/>
      </c>
      <c r="K2536" s="6" t="str">
        <f t="shared" si="200"/>
        <v/>
      </c>
      <c r="L2536" s="7" t="str">
        <f t="shared" si="201"/>
        <v/>
      </c>
      <c r="M2536" s="7" t="str">
        <f t="shared" si="198"/>
        <v/>
      </c>
      <c r="N2536" s="7" t="str">
        <f t="shared" si="202"/>
        <v/>
      </c>
      <c r="O2536" s="8"/>
      <c r="P2536" s="26"/>
      <c r="S2536" s="10" t="str">
        <f t="shared" si="199"/>
        <v/>
      </c>
    </row>
    <row r="2537" spans="5:19" x14ac:dyDescent="0.3">
      <c r="E2537" s="9" t="str">
        <f>IF(DADOS!C2537="","",DADOS!C2537)</f>
        <v/>
      </c>
      <c r="F2537" s="9" t="str">
        <f>IF(DADOS!E2537="","",DADOS!E2537)</f>
        <v/>
      </c>
      <c r="G2537" s="9" t="str">
        <f>IF(DADOS!F2537="","",DADOS!F2537)</f>
        <v/>
      </c>
      <c r="K2537" s="6" t="str">
        <f t="shared" si="200"/>
        <v/>
      </c>
      <c r="L2537" s="7" t="str">
        <f t="shared" si="201"/>
        <v/>
      </c>
      <c r="M2537" s="7" t="str">
        <f t="shared" si="198"/>
        <v/>
      </c>
      <c r="N2537" s="7" t="str">
        <f t="shared" si="202"/>
        <v/>
      </c>
      <c r="O2537" s="8"/>
      <c r="P2537" s="26"/>
      <c r="S2537" s="10" t="str">
        <f t="shared" si="199"/>
        <v/>
      </c>
    </row>
    <row r="2538" spans="5:19" x14ac:dyDescent="0.3">
      <c r="E2538" s="9" t="str">
        <f>IF(DADOS!C2538="","",DADOS!C2538)</f>
        <v/>
      </c>
      <c r="F2538" s="9" t="str">
        <f>IF(DADOS!E2538="","",DADOS!E2538)</f>
        <v/>
      </c>
      <c r="G2538" s="9" t="str">
        <f>IF(DADOS!F2538="","",DADOS!F2538)</f>
        <v/>
      </c>
      <c r="K2538" s="6" t="str">
        <f t="shared" si="200"/>
        <v/>
      </c>
      <c r="L2538" s="7" t="str">
        <f t="shared" si="201"/>
        <v/>
      </c>
      <c r="M2538" s="7" t="str">
        <f t="shared" si="198"/>
        <v/>
      </c>
      <c r="N2538" s="7" t="str">
        <f t="shared" si="202"/>
        <v/>
      </c>
      <c r="O2538" s="8"/>
      <c r="P2538" s="26"/>
      <c r="S2538" s="10" t="str">
        <f t="shared" si="199"/>
        <v/>
      </c>
    </row>
    <row r="2539" spans="5:19" x14ac:dyDescent="0.3">
      <c r="E2539" s="9" t="str">
        <f>IF(DADOS!C2539="","",DADOS!C2539)</f>
        <v/>
      </c>
      <c r="F2539" s="9" t="str">
        <f>IF(DADOS!E2539="","",DADOS!E2539)</f>
        <v/>
      </c>
      <c r="G2539" s="9" t="str">
        <f>IF(DADOS!F2539="","",DADOS!F2539)</f>
        <v/>
      </c>
      <c r="K2539" s="6" t="str">
        <f t="shared" si="200"/>
        <v/>
      </c>
      <c r="L2539" s="7" t="str">
        <f t="shared" si="201"/>
        <v/>
      </c>
      <c r="M2539" s="7" t="str">
        <f t="shared" si="198"/>
        <v/>
      </c>
      <c r="N2539" s="7" t="str">
        <f t="shared" si="202"/>
        <v/>
      </c>
      <c r="O2539" s="8"/>
      <c r="P2539" s="26"/>
      <c r="S2539" s="10" t="str">
        <f t="shared" si="199"/>
        <v/>
      </c>
    </row>
    <row r="2540" spans="5:19" x14ac:dyDescent="0.3">
      <c r="E2540" s="9" t="str">
        <f>IF(DADOS!C2540="","",DADOS!C2540)</f>
        <v/>
      </c>
      <c r="F2540" s="9" t="str">
        <f>IF(DADOS!E2540="","",DADOS!E2540)</f>
        <v/>
      </c>
      <c r="G2540" s="9" t="str">
        <f>IF(DADOS!F2540="","",DADOS!F2540)</f>
        <v/>
      </c>
      <c r="K2540" s="6" t="str">
        <f t="shared" si="200"/>
        <v/>
      </c>
      <c r="L2540" s="7" t="str">
        <f t="shared" si="201"/>
        <v/>
      </c>
      <c r="M2540" s="7" t="str">
        <f t="shared" si="198"/>
        <v/>
      </c>
      <c r="N2540" s="7" t="str">
        <f t="shared" si="202"/>
        <v/>
      </c>
      <c r="O2540" s="8"/>
      <c r="P2540" s="26"/>
      <c r="S2540" s="10" t="str">
        <f t="shared" si="199"/>
        <v/>
      </c>
    </row>
    <row r="2541" spans="5:19" x14ac:dyDescent="0.3">
      <c r="E2541" s="9" t="str">
        <f>IF(DADOS!C2541="","",DADOS!C2541)</f>
        <v/>
      </c>
      <c r="F2541" s="9" t="str">
        <f>IF(DADOS!E2541="","",DADOS!E2541)</f>
        <v/>
      </c>
      <c r="G2541" s="9" t="str">
        <f>IF(DADOS!F2541="","",DADOS!F2541)</f>
        <v/>
      </c>
      <c r="K2541" s="6" t="str">
        <f t="shared" si="200"/>
        <v/>
      </c>
      <c r="L2541" s="7" t="str">
        <f t="shared" si="201"/>
        <v/>
      </c>
      <c r="M2541" s="7" t="str">
        <f t="shared" si="198"/>
        <v/>
      </c>
      <c r="N2541" s="7" t="str">
        <f t="shared" si="202"/>
        <v/>
      </c>
      <c r="O2541" s="8"/>
      <c r="P2541" s="26"/>
      <c r="S2541" s="10" t="str">
        <f t="shared" si="199"/>
        <v/>
      </c>
    </row>
    <row r="2542" spans="5:19" x14ac:dyDescent="0.3">
      <c r="E2542" s="9" t="str">
        <f>IF(DADOS!C2542="","",DADOS!C2542)</f>
        <v/>
      </c>
      <c r="F2542" s="9" t="str">
        <f>IF(DADOS!E2542="","",DADOS!E2542)</f>
        <v/>
      </c>
      <c r="G2542" s="9" t="str">
        <f>IF(DADOS!F2542="","",DADOS!F2542)</f>
        <v/>
      </c>
      <c r="K2542" s="6" t="str">
        <f t="shared" si="200"/>
        <v/>
      </c>
      <c r="L2542" s="7" t="str">
        <f t="shared" si="201"/>
        <v/>
      </c>
      <c r="M2542" s="7" t="str">
        <f t="shared" si="198"/>
        <v/>
      </c>
      <c r="N2542" s="7" t="str">
        <f t="shared" si="202"/>
        <v/>
      </c>
      <c r="O2542" s="8"/>
      <c r="P2542" s="26"/>
      <c r="S2542" s="10" t="str">
        <f t="shared" si="199"/>
        <v/>
      </c>
    </row>
    <row r="2543" spans="5:19" x14ac:dyDescent="0.3">
      <c r="E2543" s="9" t="str">
        <f>IF(DADOS!C2543="","",DADOS!C2543)</f>
        <v/>
      </c>
      <c r="F2543" s="9" t="str">
        <f>IF(DADOS!E2543="","",DADOS!E2543)</f>
        <v/>
      </c>
      <c r="G2543" s="9" t="str">
        <f>IF(DADOS!F2543="","",DADOS!F2543)</f>
        <v/>
      </c>
      <c r="K2543" s="6" t="str">
        <f t="shared" si="200"/>
        <v/>
      </c>
      <c r="L2543" s="7" t="str">
        <f t="shared" si="201"/>
        <v/>
      </c>
      <c r="M2543" s="7" t="str">
        <f t="shared" si="198"/>
        <v/>
      </c>
      <c r="N2543" s="7" t="str">
        <f t="shared" si="202"/>
        <v/>
      </c>
      <c r="O2543" s="8"/>
      <c r="P2543" s="26"/>
      <c r="S2543" s="10" t="str">
        <f t="shared" si="199"/>
        <v/>
      </c>
    </row>
    <row r="2544" spans="5:19" x14ac:dyDescent="0.3">
      <c r="E2544" s="9" t="str">
        <f>IF(DADOS!C2544="","",DADOS!C2544)</f>
        <v/>
      </c>
      <c r="F2544" s="9" t="str">
        <f>IF(DADOS!E2544="","",DADOS!E2544)</f>
        <v/>
      </c>
      <c r="G2544" s="9" t="str">
        <f>IF(DADOS!F2544="","",DADOS!F2544)</f>
        <v/>
      </c>
      <c r="K2544" s="6" t="str">
        <f t="shared" si="200"/>
        <v/>
      </c>
      <c r="L2544" s="7" t="str">
        <f t="shared" si="201"/>
        <v/>
      </c>
      <c r="M2544" s="7" t="str">
        <f t="shared" si="198"/>
        <v/>
      </c>
      <c r="N2544" s="7" t="str">
        <f t="shared" si="202"/>
        <v/>
      </c>
      <c r="O2544" s="8"/>
      <c r="P2544" s="26"/>
      <c r="S2544" s="10" t="str">
        <f t="shared" si="199"/>
        <v/>
      </c>
    </row>
    <row r="2545" spans="5:19" x14ac:dyDescent="0.3">
      <c r="E2545" s="9" t="str">
        <f>IF(DADOS!C2545="","",DADOS!C2545)</f>
        <v/>
      </c>
      <c r="F2545" s="9" t="str">
        <f>IF(DADOS!E2545="","",DADOS!E2545)</f>
        <v/>
      </c>
      <c r="G2545" s="9" t="str">
        <f>IF(DADOS!F2545="","",DADOS!F2545)</f>
        <v/>
      </c>
      <c r="K2545" s="6" t="str">
        <f t="shared" si="200"/>
        <v/>
      </c>
      <c r="L2545" s="7" t="str">
        <f t="shared" si="201"/>
        <v/>
      </c>
      <c r="M2545" s="7" t="str">
        <f t="shared" si="198"/>
        <v/>
      </c>
      <c r="N2545" s="7" t="str">
        <f t="shared" si="202"/>
        <v/>
      </c>
      <c r="O2545" s="8"/>
      <c r="P2545" s="26"/>
      <c r="S2545" s="10" t="str">
        <f t="shared" si="199"/>
        <v/>
      </c>
    </row>
    <row r="2546" spans="5:19" x14ac:dyDescent="0.3">
      <c r="E2546" s="9" t="str">
        <f>IF(DADOS!C2546="","",DADOS!C2546)</f>
        <v/>
      </c>
      <c r="F2546" s="9" t="str">
        <f>IF(DADOS!E2546="","",DADOS!E2546)</f>
        <v/>
      </c>
      <c r="G2546" s="9" t="str">
        <f>IF(DADOS!F2546="","",DADOS!F2546)</f>
        <v/>
      </c>
      <c r="K2546" s="6" t="str">
        <f t="shared" si="200"/>
        <v/>
      </c>
      <c r="L2546" s="7" t="str">
        <f t="shared" si="201"/>
        <v/>
      </c>
      <c r="M2546" s="7" t="str">
        <f t="shared" si="198"/>
        <v/>
      </c>
      <c r="N2546" s="7" t="str">
        <f t="shared" si="202"/>
        <v/>
      </c>
      <c r="O2546" s="8"/>
      <c r="P2546" s="26"/>
      <c r="S2546" s="10" t="str">
        <f t="shared" si="199"/>
        <v/>
      </c>
    </row>
    <row r="2547" spans="5:19" x14ac:dyDescent="0.3">
      <c r="E2547" s="9" t="str">
        <f>IF(DADOS!C2547="","",DADOS!C2547)</f>
        <v/>
      </c>
      <c r="F2547" s="9" t="str">
        <f>IF(DADOS!E2547="","",DADOS!E2547)</f>
        <v/>
      </c>
      <c r="G2547" s="9" t="str">
        <f>IF(DADOS!F2547="","",DADOS!F2547)</f>
        <v/>
      </c>
      <c r="K2547" s="6" t="str">
        <f t="shared" si="200"/>
        <v/>
      </c>
      <c r="L2547" s="7" t="str">
        <f t="shared" si="201"/>
        <v/>
      </c>
      <c r="M2547" s="7" t="str">
        <f t="shared" si="198"/>
        <v/>
      </c>
      <c r="N2547" s="7" t="str">
        <f t="shared" si="202"/>
        <v/>
      </c>
      <c r="O2547" s="8"/>
      <c r="P2547" s="26"/>
      <c r="S2547" s="10" t="str">
        <f t="shared" si="199"/>
        <v/>
      </c>
    </row>
    <row r="2548" spans="5:19" x14ac:dyDescent="0.3">
      <c r="E2548" s="9" t="str">
        <f>IF(DADOS!C2548="","",DADOS!C2548)</f>
        <v/>
      </c>
      <c r="F2548" s="9" t="str">
        <f>IF(DADOS!E2548="","",DADOS!E2548)</f>
        <v/>
      </c>
      <c r="G2548" s="9" t="str">
        <f>IF(DADOS!F2548="","",DADOS!F2548)</f>
        <v/>
      </c>
      <c r="K2548" s="6" t="str">
        <f t="shared" si="200"/>
        <v/>
      </c>
      <c r="L2548" s="7" t="str">
        <f t="shared" si="201"/>
        <v/>
      </c>
      <c r="M2548" s="7" t="str">
        <f t="shared" si="198"/>
        <v/>
      </c>
      <c r="N2548" s="7" t="str">
        <f t="shared" si="202"/>
        <v/>
      </c>
      <c r="O2548" s="8"/>
      <c r="P2548" s="26"/>
      <c r="S2548" s="10" t="str">
        <f t="shared" si="199"/>
        <v/>
      </c>
    </row>
    <row r="2549" spans="5:19" x14ac:dyDescent="0.3">
      <c r="E2549" s="9" t="str">
        <f>IF(DADOS!C2549="","",DADOS!C2549)</f>
        <v/>
      </c>
      <c r="F2549" s="9" t="str">
        <f>IF(DADOS!E2549="","",DADOS!E2549)</f>
        <v/>
      </c>
      <c r="G2549" s="9" t="str">
        <f>IF(DADOS!F2549="","",DADOS!F2549)</f>
        <v/>
      </c>
      <c r="K2549" s="6" t="str">
        <f t="shared" si="200"/>
        <v/>
      </c>
      <c r="L2549" s="7" t="str">
        <f t="shared" si="201"/>
        <v/>
      </c>
      <c r="M2549" s="7" t="str">
        <f t="shared" si="198"/>
        <v/>
      </c>
      <c r="N2549" s="7" t="str">
        <f t="shared" si="202"/>
        <v/>
      </c>
      <c r="O2549" s="8"/>
      <c r="P2549" s="26"/>
      <c r="S2549" s="10" t="str">
        <f t="shared" si="199"/>
        <v/>
      </c>
    </row>
    <row r="2550" spans="5:19" x14ac:dyDescent="0.3">
      <c r="E2550" s="9" t="str">
        <f>IF(DADOS!C2550="","",DADOS!C2550)</f>
        <v/>
      </c>
      <c r="F2550" s="9" t="str">
        <f>IF(DADOS!E2550="","",DADOS!E2550)</f>
        <v/>
      </c>
      <c r="G2550" s="9" t="str">
        <f>IF(DADOS!F2550="","",DADOS!F2550)</f>
        <v/>
      </c>
      <c r="K2550" s="6" t="str">
        <f t="shared" si="200"/>
        <v/>
      </c>
      <c r="L2550" s="7" t="str">
        <f t="shared" si="201"/>
        <v/>
      </c>
      <c r="M2550" s="7" t="str">
        <f t="shared" si="198"/>
        <v/>
      </c>
      <c r="N2550" s="7" t="str">
        <f t="shared" si="202"/>
        <v/>
      </c>
      <c r="O2550" s="8"/>
      <c r="P2550" s="26"/>
      <c r="S2550" s="10" t="str">
        <f t="shared" si="199"/>
        <v/>
      </c>
    </row>
    <row r="2551" spans="5:19" x14ac:dyDescent="0.3">
      <c r="E2551" s="9" t="str">
        <f>IF(DADOS!C2551="","",DADOS!C2551)</f>
        <v/>
      </c>
      <c r="F2551" s="9" t="str">
        <f>IF(DADOS!E2551="","",DADOS!E2551)</f>
        <v/>
      </c>
      <c r="G2551" s="9" t="str">
        <f>IF(DADOS!F2551="","",DADOS!F2551)</f>
        <v/>
      </c>
      <c r="K2551" s="6" t="str">
        <f t="shared" si="200"/>
        <v/>
      </c>
      <c r="L2551" s="7" t="str">
        <f t="shared" si="201"/>
        <v/>
      </c>
      <c r="M2551" s="7" t="str">
        <f t="shared" si="198"/>
        <v/>
      </c>
      <c r="N2551" s="7" t="str">
        <f t="shared" si="202"/>
        <v/>
      </c>
      <c r="O2551" s="8"/>
      <c r="P2551" s="26"/>
      <c r="S2551" s="10" t="str">
        <f t="shared" si="199"/>
        <v/>
      </c>
    </row>
    <row r="2552" spans="5:19" x14ac:dyDescent="0.3">
      <c r="E2552" s="9" t="str">
        <f>IF(DADOS!C2552="","",DADOS!C2552)</f>
        <v/>
      </c>
      <c r="F2552" s="9" t="str">
        <f>IF(DADOS!E2552="","",DADOS!E2552)</f>
        <v/>
      </c>
      <c r="G2552" s="9" t="str">
        <f>IF(DADOS!F2552="","",DADOS!F2552)</f>
        <v/>
      </c>
      <c r="K2552" s="6" t="str">
        <f t="shared" si="200"/>
        <v/>
      </c>
      <c r="L2552" s="7" t="str">
        <f t="shared" si="201"/>
        <v/>
      </c>
      <c r="M2552" s="7" t="str">
        <f t="shared" si="198"/>
        <v/>
      </c>
      <c r="N2552" s="7" t="str">
        <f t="shared" si="202"/>
        <v/>
      </c>
      <c r="O2552" s="8"/>
      <c r="P2552" s="26"/>
      <c r="S2552" s="10" t="str">
        <f t="shared" si="199"/>
        <v/>
      </c>
    </row>
    <row r="2553" spans="5:19" x14ac:dyDescent="0.3">
      <c r="E2553" s="9" t="str">
        <f>IF(DADOS!C2553="","",DADOS!C2553)</f>
        <v/>
      </c>
      <c r="F2553" s="9" t="str">
        <f>IF(DADOS!E2553="","",DADOS!E2553)</f>
        <v/>
      </c>
      <c r="G2553" s="9" t="str">
        <f>IF(DADOS!F2553="","",DADOS!F2553)</f>
        <v/>
      </c>
      <c r="K2553" s="6" t="str">
        <f t="shared" si="200"/>
        <v/>
      </c>
      <c r="L2553" s="7" t="str">
        <f t="shared" si="201"/>
        <v/>
      </c>
      <c r="M2553" s="7" t="str">
        <f t="shared" si="198"/>
        <v/>
      </c>
      <c r="N2553" s="7" t="str">
        <f t="shared" si="202"/>
        <v/>
      </c>
      <c r="O2553" s="8"/>
      <c r="P2553" s="26"/>
      <c r="S2553" s="10" t="str">
        <f t="shared" si="199"/>
        <v/>
      </c>
    </row>
    <row r="2554" spans="5:19" x14ac:dyDescent="0.3">
      <c r="E2554" s="9" t="str">
        <f>IF(DADOS!C2554="","",DADOS!C2554)</f>
        <v/>
      </c>
      <c r="F2554" s="9" t="str">
        <f>IF(DADOS!E2554="","",DADOS!E2554)</f>
        <v/>
      </c>
      <c r="G2554" s="9" t="str">
        <f>IF(DADOS!F2554="","",DADOS!F2554)</f>
        <v/>
      </c>
      <c r="K2554" s="6" t="str">
        <f t="shared" si="200"/>
        <v/>
      </c>
      <c r="L2554" s="7" t="str">
        <f t="shared" si="201"/>
        <v/>
      </c>
      <c r="M2554" s="7" t="str">
        <f t="shared" si="198"/>
        <v/>
      </c>
      <c r="N2554" s="7" t="str">
        <f t="shared" si="202"/>
        <v/>
      </c>
      <c r="O2554" s="8"/>
      <c r="P2554" s="26"/>
      <c r="S2554" s="10" t="str">
        <f t="shared" si="199"/>
        <v/>
      </c>
    </row>
    <row r="2555" spans="5:19" x14ac:dyDescent="0.3">
      <c r="E2555" s="9" t="str">
        <f>IF(DADOS!C2555="","",DADOS!C2555)</f>
        <v/>
      </c>
      <c r="F2555" s="9" t="str">
        <f>IF(DADOS!E2555="","",DADOS!E2555)</f>
        <v/>
      </c>
      <c r="G2555" s="9" t="str">
        <f>IF(DADOS!F2555="","",DADOS!F2555)</f>
        <v/>
      </c>
      <c r="K2555" s="6" t="str">
        <f t="shared" si="200"/>
        <v/>
      </c>
      <c r="L2555" s="7" t="str">
        <f t="shared" si="201"/>
        <v/>
      </c>
      <c r="M2555" s="7" t="str">
        <f t="shared" si="198"/>
        <v/>
      </c>
      <c r="N2555" s="7" t="str">
        <f t="shared" si="202"/>
        <v/>
      </c>
      <c r="O2555" s="8"/>
      <c r="P2555" s="26"/>
      <c r="S2555" s="10" t="str">
        <f t="shared" si="199"/>
        <v/>
      </c>
    </row>
    <row r="2556" spans="5:19" x14ac:dyDescent="0.3">
      <c r="E2556" s="9" t="str">
        <f>IF(DADOS!C2556="","",DADOS!C2556)</f>
        <v/>
      </c>
      <c r="F2556" s="9" t="str">
        <f>IF(DADOS!E2556="","",DADOS!E2556)</f>
        <v/>
      </c>
      <c r="G2556" s="9" t="str">
        <f>IF(DADOS!F2556="","",DADOS!F2556)</f>
        <v/>
      </c>
      <c r="K2556" s="6" t="str">
        <f t="shared" si="200"/>
        <v/>
      </c>
      <c r="L2556" s="7" t="str">
        <f t="shared" si="201"/>
        <v/>
      </c>
      <c r="M2556" s="7" t="str">
        <f t="shared" si="198"/>
        <v/>
      </c>
      <c r="N2556" s="7" t="str">
        <f t="shared" si="202"/>
        <v/>
      </c>
      <c r="O2556" s="8"/>
      <c r="P2556" s="26"/>
      <c r="S2556" s="10" t="str">
        <f t="shared" si="199"/>
        <v/>
      </c>
    </row>
    <row r="2557" spans="5:19" x14ac:dyDescent="0.3">
      <c r="E2557" s="9" t="str">
        <f>IF(DADOS!C2557="","",DADOS!C2557)</f>
        <v/>
      </c>
      <c r="F2557" s="9" t="str">
        <f>IF(DADOS!E2557="","",DADOS!E2557)</f>
        <v/>
      </c>
      <c r="G2557" s="9" t="str">
        <f>IF(DADOS!F2557="","",DADOS!F2557)</f>
        <v/>
      </c>
      <c r="K2557" s="6" t="str">
        <f t="shared" si="200"/>
        <v/>
      </c>
      <c r="L2557" s="7" t="str">
        <f t="shared" si="201"/>
        <v/>
      </c>
      <c r="M2557" s="7" t="str">
        <f t="shared" si="198"/>
        <v/>
      </c>
      <c r="N2557" s="7" t="str">
        <f t="shared" si="202"/>
        <v/>
      </c>
      <c r="O2557" s="8"/>
      <c r="P2557" s="26"/>
      <c r="S2557" s="10" t="str">
        <f t="shared" si="199"/>
        <v/>
      </c>
    </row>
    <row r="2558" spans="5:19" x14ac:dyDescent="0.3">
      <c r="E2558" s="9" t="str">
        <f>IF(DADOS!C2558="","",DADOS!C2558)</f>
        <v/>
      </c>
      <c r="F2558" s="9" t="str">
        <f>IF(DADOS!E2558="","",DADOS!E2558)</f>
        <v/>
      </c>
      <c r="G2558" s="9" t="str">
        <f>IF(DADOS!F2558="","",DADOS!F2558)</f>
        <v/>
      </c>
      <c r="K2558" s="6" t="str">
        <f t="shared" si="200"/>
        <v/>
      </c>
      <c r="L2558" s="7" t="str">
        <f t="shared" si="201"/>
        <v/>
      </c>
      <c r="M2558" s="7" t="str">
        <f t="shared" si="198"/>
        <v/>
      </c>
      <c r="N2558" s="7" t="str">
        <f t="shared" si="202"/>
        <v/>
      </c>
      <c r="O2558" s="8"/>
      <c r="P2558" s="26"/>
      <c r="S2558" s="10" t="str">
        <f t="shared" si="199"/>
        <v/>
      </c>
    </row>
    <row r="2559" spans="5:19" x14ac:dyDescent="0.3">
      <c r="E2559" s="9" t="str">
        <f>IF(DADOS!C2559="","",DADOS!C2559)</f>
        <v/>
      </c>
      <c r="F2559" s="9" t="str">
        <f>IF(DADOS!E2559="","",DADOS!E2559)</f>
        <v/>
      </c>
      <c r="G2559" s="9" t="str">
        <f>IF(DADOS!F2559="","",DADOS!F2559)</f>
        <v/>
      </c>
      <c r="K2559" s="6" t="str">
        <f t="shared" si="200"/>
        <v/>
      </c>
      <c r="L2559" s="7" t="str">
        <f t="shared" si="201"/>
        <v/>
      </c>
      <c r="M2559" s="7" t="str">
        <f t="shared" si="198"/>
        <v/>
      </c>
      <c r="N2559" s="7" t="str">
        <f t="shared" si="202"/>
        <v/>
      </c>
      <c r="O2559" s="8"/>
      <c r="P2559" s="26"/>
      <c r="S2559" s="10" t="str">
        <f t="shared" si="199"/>
        <v/>
      </c>
    </row>
    <row r="2560" spans="5:19" x14ac:dyDescent="0.3">
      <c r="E2560" s="9" t="str">
        <f>IF(DADOS!C2560="","",DADOS!C2560)</f>
        <v/>
      </c>
      <c r="F2560" s="9" t="str">
        <f>IF(DADOS!E2560="","",DADOS!E2560)</f>
        <v/>
      </c>
      <c r="G2560" s="9" t="str">
        <f>IF(DADOS!F2560="","",DADOS!F2560)</f>
        <v/>
      </c>
      <c r="K2560" s="6" t="str">
        <f t="shared" si="200"/>
        <v/>
      </c>
      <c r="L2560" s="7" t="str">
        <f t="shared" si="201"/>
        <v/>
      </c>
      <c r="M2560" s="7" t="str">
        <f t="shared" si="198"/>
        <v/>
      </c>
      <c r="N2560" s="7" t="str">
        <f t="shared" si="202"/>
        <v/>
      </c>
      <c r="O2560" s="8"/>
      <c r="P2560" s="26"/>
      <c r="S2560" s="10" t="str">
        <f t="shared" si="199"/>
        <v/>
      </c>
    </row>
    <row r="2561" spans="5:19" x14ac:dyDescent="0.3">
      <c r="E2561" s="9" t="str">
        <f>IF(DADOS!C2561="","",DADOS!C2561)</f>
        <v/>
      </c>
      <c r="F2561" s="9" t="str">
        <f>IF(DADOS!E2561="","",DADOS!E2561)</f>
        <v/>
      </c>
      <c r="G2561" s="9" t="str">
        <f>IF(DADOS!F2561="","",DADOS!F2561)</f>
        <v/>
      </c>
      <c r="K2561" s="6" t="str">
        <f t="shared" si="200"/>
        <v/>
      </c>
      <c r="L2561" s="7" t="str">
        <f t="shared" si="201"/>
        <v/>
      </c>
      <c r="M2561" s="7" t="str">
        <f t="shared" si="198"/>
        <v/>
      </c>
      <c r="N2561" s="7" t="str">
        <f t="shared" si="202"/>
        <v/>
      </c>
      <c r="O2561" s="8"/>
      <c r="P2561" s="26"/>
      <c r="S2561" s="10" t="str">
        <f t="shared" si="199"/>
        <v/>
      </c>
    </row>
    <row r="2562" spans="5:19" x14ac:dyDescent="0.3">
      <c r="E2562" s="9" t="str">
        <f>IF(DADOS!C2562="","",DADOS!C2562)</f>
        <v/>
      </c>
      <c r="F2562" s="9" t="str">
        <f>IF(DADOS!E2562="","",DADOS!E2562)</f>
        <v/>
      </c>
      <c r="G2562" s="9" t="str">
        <f>IF(DADOS!F2562="","",DADOS!F2562)</f>
        <v/>
      </c>
      <c r="K2562" s="6" t="str">
        <f t="shared" si="200"/>
        <v/>
      </c>
      <c r="L2562" s="7" t="str">
        <f t="shared" si="201"/>
        <v/>
      </c>
      <c r="M2562" s="7" t="str">
        <f t="shared" si="198"/>
        <v/>
      </c>
      <c r="N2562" s="7" t="str">
        <f t="shared" si="202"/>
        <v/>
      </c>
      <c r="O2562" s="8"/>
      <c r="P2562" s="26"/>
      <c r="S2562" s="10" t="str">
        <f t="shared" si="199"/>
        <v/>
      </c>
    </row>
    <row r="2563" spans="5:19" x14ac:dyDescent="0.3">
      <c r="E2563" s="9" t="str">
        <f>IF(DADOS!C2563="","",DADOS!C2563)</f>
        <v/>
      </c>
      <c r="F2563" s="9" t="str">
        <f>IF(DADOS!E2563="","",DADOS!E2563)</f>
        <v/>
      </c>
      <c r="G2563" s="9" t="str">
        <f>IF(DADOS!F2563="","",DADOS!F2563)</f>
        <v/>
      </c>
      <c r="K2563" s="6" t="str">
        <f t="shared" si="200"/>
        <v/>
      </c>
      <c r="L2563" s="7" t="str">
        <f t="shared" si="201"/>
        <v/>
      </c>
      <c r="M2563" s="7" t="str">
        <f t="shared" ref="M2563:M2626" si="203">IF(L2563="","",L2563*G2563)</f>
        <v/>
      </c>
      <c r="N2563" s="7" t="str">
        <f t="shared" si="202"/>
        <v/>
      </c>
      <c r="O2563" s="8"/>
      <c r="P2563" s="26"/>
      <c r="S2563" s="10" t="str">
        <f t="shared" ref="S2563:S2626" si="204">IF(R2563="","",SUMIFS($N$3:$N$10000,$E$3:$E$10000,R2563))</f>
        <v/>
      </c>
    </row>
    <row r="2564" spans="5:19" x14ac:dyDescent="0.3">
      <c r="E2564" s="9" t="str">
        <f>IF(DADOS!C2564="","",DADOS!C2564)</f>
        <v/>
      </c>
      <c r="F2564" s="9" t="str">
        <f>IF(DADOS!E2564="","",DADOS!E2564)</f>
        <v/>
      </c>
      <c r="G2564" s="9" t="str">
        <f>IF(DADOS!F2564="","",DADOS!F2564)</f>
        <v/>
      </c>
      <c r="K2564" s="6" t="str">
        <f t="shared" ref="K2564:K2627" si="205">IF(F2564="","",F2564/PI())</f>
        <v/>
      </c>
      <c r="L2564" s="7" t="str">
        <f t="shared" ref="L2564:L2627" si="206">IF(K2564="","",(PI()*K2564^2)/40000)</f>
        <v/>
      </c>
      <c r="M2564" s="7" t="str">
        <f t="shared" si="203"/>
        <v/>
      </c>
      <c r="N2564" s="7" t="str">
        <f t="shared" ref="N2564:N2627" si="207">IF(M2564="","",M2564*N$1)</f>
        <v/>
      </c>
      <c r="O2564" s="8"/>
      <c r="P2564" s="26"/>
      <c r="S2564" s="10" t="str">
        <f t="shared" si="204"/>
        <v/>
      </c>
    </row>
    <row r="2565" spans="5:19" x14ac:dyDescent="0.3">
      <c r="E2565" s="9" t="str">
        <f>IF(DADOS!C2565="","",DADOS!C2565)</f>
        <v/>
      </c>
      <c r="F2565" s="9" t="str">
        <f>IF(DADOS!E2565="","",DADOS!E2565)</f>
        <v/>
      </c>
      <c r="G2565" s="9" t="str">
        <f>IF(DADOS!F2565="","",DADOS!F2565)</f>
        <v/>
      </c>
      <c r="K2565" s="6" t="str">
        <f t="shared" si="205"/>
        <v/>
      </c>
      <c r="L2565" s="7" t="str">
        <f t="shared" si="206"/>
        <v/>
      </c>
      <c r="M2565" s="7" t="str">
        <f t="shared" si="203"/>
        <v/>
      </c>
      <c r="N2565" s="7" t="str">
        <f t="shared" si="207"/>
        <v/>
      </c>
      <c r="O2565" s="8"/>
      <c r="P2565" s="26"/>
      <c r="S2565" s="10" t="str">
        <f t="shared" si="204"/>
        <v/>
      </c>
    </row>
    <row r="2566" spans="5:19" x14ac:dyDescent="0.3">
      <c r="E2566" s="9" t="str">
        <f>IF(DADOS!C2566="","",DADOS!C2566)</f>
        <v/>
      </c>
      <c r="F2566" s="9" t="str">
        <f>IF(DADOS!E2566="","",DADOS!E2566)</f>
        <v/>
      </c>
      <c r="G2566" s="9" t="str">
        <f>IF(DADOS!F2566="","",DADOS!F2566)</f>
        <v/>
      </c>
      <c r="K2566" s="6" t="str">
        <f t="shared" si="205"/>
        <v/>
      </c>
      <c r="L2566" s="7" t="str">
        <f t="shared" si="206"/>
        <v/>
      </c>
      <c r="M2566" s="7" t="str">
        <f t="shared" si="203"/>
        <v/>
      </c>
      <c r="N2566" s="7" t="str">
        <f t="shared" si="207"/>
        <v/>
      </c>
      <c r="O2566" s="8"/>
      <c r="P2566" s="26"/>
      <c r="S2566" s="10" t="str">
        <f t="shared" si="204"/>
        <v/>
      </c>
    </row>
    <row r="2567" spans="5:19" x14ac:dyDescent="0.3">
      <c r="E2567" s="9" t="str">
        <f>IF(DADOS!C2567="","",DADOS!C2567)</f>
        <v/>
      </c>
      <c r="F2567" s="9" t="str">
        <f>IF(DADOS!E2567="","",DADOS!E2567)</f>
        <v/>
      </c>
      <c r="G2567" s="9" t="str">
        <f>IF(DADOS!F2567="","",DADOS!F2567)</f>
        <v/>
      </c>
      <c r="K2567" s="6" t="str">
        <f t="shared" si="205"/>
        <v/>
      </c>
      <c r="L2567" s="7" t="str">
        <f t="shared" si="206"/>
        <v/>
      </c>
      <c r="M2567" s="7" t="str">
        <f t="shared" si="203"/>
        <v/>
      </c>
      <c r="N2567" s="7" t="str">
        <f t="shared" si="207"/>
        <v/>
      </c>
      <c r="O2567" s="8"/>
      <c r="P2567" s="26"/>
      <c r="S2567" s="10" t="str">
        <f t="shared" si="204"/>
        <v/>
      </c>
    </row>
    <row r="2568" spans="5:19" x14ac:dyDescent="0.3">
      <c r="E2568" s="9" t="str">
        <f>IF(DADOS!C2568="","",DADOS!C2568)</f>
        <v/>
      </c>
      <c r="F2568" s="9" t="str">
        <f>IF(DADOS!E2568="","",DADOS!E2568)</f>
        <v/>
      </c>
      <c r="G2568" s="9" t="str">
        <f>IF(DADOS!F2568="","",DADOS!F2568)</f>
        <v/>
      </c>
      <c r="K2568" s="6" t="str">
        <f t="shared" si="205"/>
        <v/>
      </c>
      <c r="L2568" s="7" t="str">
        <f t="shared" si="206"/>
        <v/>
      </c>
      <c r="M2568" s="7" t="str">
        <f t="shared" si="203"/>
        <v/>
      </c>
      <c r="N2568" s="7" t="str">
        <f t="shared" si="207"/>
        <v/>
      </c>
      <c r="O2568" s="8"/>
      <c r="P2568" s="26"/>
      <c r="S2568" s="10" t="str">
        <f t="shared" si="204"/>
        <v/>
      </c>
    </row>
    <row r="2569" spans="5:19" x14ac:dyDescent="0.3">
      <c r="E2569" s="9" t="str">
        <f>IF(DADOS!C2569="","",DADOS!C2569)</f>
        <v/>
      </c>
      <c r="F2569" s="9" t="str">
        <f>IF(DADOS!E2569="","",DADOS!E2569)</f>
        <v/>
      </c>
      <c r="G2569" s="9" t="str">
        <f>IF(DADOS!F2569="","",DADOS!F2569)</f>
        <v/>
      </c>
      <c r="K2569" s="6" t="str">
        <f t="shared" si="205"/>
        <v/>
      </c>
      <c r="L2569" s="7" t="str">
        <f t="shared" si="206"/>
        <v/>
      </c>
      <c r="M2569" s="7" t="str">
        <f t="shared" si="203"/>
        <v/>
      </c>
      <c r="N2569" s="7" t="str">
        <f t="shared" si="207"/>
        <v/>
      </c>
      <c r="O2569" s="8"/>
      <c r="P2569" s="26"/>
      <c r="S2569" s="10" t="str">
        <f t="shared" si="204"/>
        <v/>
      </c>
    </row>
    <row r="2570" spans="5:19" x14ac:dyDescent="0.3">
      <c r="E2570" s="9" t="str">
        <f>IF(DADOS!C2570="","",DADOS!C2570)</f>
        <v/>
      </c>
      <c r="F2570" s="9" t="str">
        <f>IF(DADOS!E2570="","",DADOS!E2570)</f>
        <v/>
      </c>
      <c r="G2570" s="9" t="str">
        <f>IF(DADOS!F2570="","",DADOS!F2570)</f>
        <v/>
      </c>
      <c r="K2570" s="6" t="str">
        <f t="shared" si="205"/>
        <v/>
      </c>
      <c r="L2570" s="7" t="str">
        <f t="shared" si="206"/>
        <v/>
      </c>
      <c r="M2570" s="7" t="str">
        <f t="shared" si="203"/>
        <v/>
      </c>
      <c r="N2570" s="7" t="str">
        <f t="shared" si="207"/>
        <v/>
      </c>
      <c r="O2570" s="8"/>
      <c r="P2570" s="26"/>
      <c r="S2570" s="10" t="str">
        <f t="shared" si="204"/>
        <v/>
      </c>
    </row>
    <row r="2571" spans="5:19" x14ac:dyDescent="0.3">
      <c r="E2571" s="9" t="str">
        <f>IF(DADOS!C2571="","",DADOS!C2571)</f>
        <v/>
      </c>
      <c r="F2571" s="9" t="str">
        <f>IF(DADOS!E2571="","",DADOS!E2571)</f>
        <v/>
      </c>
      <c r="G2571" s="9" t="str">
        <f>IF(DADOS!F2571="","",DADOS!F2571)</f>
        <v/>
      </c>
      <c r="K2571" s="6" t="str">
        <f t="shared" si="205"/>
        <v/>
      </c>
      <c r="L2571" s="7" t="str">
        <f t="shared" si="206"/>
        <v/>
      </c>
      <c r="M2571" s="7" t="str">
        <f t="shared" si="203"/>
        <v/>
      </c>
      <c r="N2571" s="7" t="str">
        <f t="shared" si="207"/>
        <v/>
      </c>
      <c r="O2571" s="8"/>
      <c r="P2571" s="26"/>
      <c r="S2571" s="10" t="str">
        <f t="shared" si="204"/>
        <v/>
      </c>
    </row>
    <row r="2572" spans="5:19" x14ac:dyDescent="0.3">
      <c r="E2572" s="9" t="str">
        <f>IF(DADOS!C2572="","",DADOS!C2572)</f>
        <v/>
      </c>
      <c r="F2572" s="9" t="str">
        <f>IF(DADOS!E2572="","",DADOS!E2572)</f>
        <v/>
      </c>
      <c r="G2572" s="9" t="str">
        <f>IF(DADOS!F2572="","",DADOS!F2572)</f>
        <v/>
      </c>
      <c r="K2572" s="6" t="str">
        <f t="shared" si="205"/>
        <v/>
      </c>
      <c r="L2572" s="7" t="str">
        <f t="shared" si="206"/>
        <v/>
      </c>
      <c r="M2572" s="7" t="str">
        <f t="shared" si="203"/>
        <v/>
      </c>
      <c r="N2572" s="7" t="str">
        <f t="shared" si="207"/>
        <v/>
      </c>
      <c r="O2572" s="8"/>
      <c r="P2572" s="26"/>
      <c r="S2572" s="10" t="str">
        <f t="shared" si="204"/>
        <v/>
      </c>
    </row>
    <row r="2573" spans="5:19" x14ac:dyDescent="0.3">
      <c r="E2573" s="9" t="str">
        <f>IF(DADOS!C2573="","",DADOS!C2573)</f>
        <v/>
      </c>
      <c r="F2573" s="9" t="str">
        <f>IF(DADOS!E2573="","",DADOS!E2573)</f>
        <v/>
      </c>
      <c r="G2573" s="9" t="str">
        <f>IF(DADOS!F2573="","",DADOS!F2573)</f>
        <v/>
      </c>
      <c r="K2573" s="6" t="str">
        <f t="shared" si="205"/>
        <v/>
      </c>
      <c r="L2573" s="7" t="str">
        <f t="shared" si="206"/>
        <v/>
      </c>
      <c r="M2573" s="7" t="str">
        <f t="shared" si="203"/>
        <v/>
      </c>
      <c r="N2573" s="7" t="str">
        <f t="shared" si="207"/>
        <v/>
      </c>
      <c r="O2573" s="8"/>
      <c r="P2573" s="26"/>
      <c r="S2573" s="10" t="str">
        <f t="shared" si="204"/>
        <v/>
      </c>
    </row>
    <row r="2574" spans="5:19" x14ac:dyDescent="0.3">
      <c r="E2574" s="9" t="str">
        <f>IF(DADOS!C2574="","",DADOS!C2574)</f>
        <v/>
      </c>
      <c r="F2574" s="9" t="str">
        <f>IF(DADOS!E2574="","",DADOS!E2574)</f>
        <v/>
      </c>
      <c r="G2574" s="9" t="str">
        <f>IF(DADOS!F2574="","",DADOS!F2574)</f>
        <v/>
      </c>
      <c r="K2574" s="6" t="str">
        <f t="shared" si="205"/>
        <v/>
      </c>
      <c r="L2574" s="7" t="str">
        <f t="shared" si="206"/>
        <v/>
      </c>
      <c r="M2574" s="7" t="str">
        <f t="shared" si="203"/>
        <v/>
      </c>
      <c r="N2574" s="7" t="str">
        <f t="shared" si="207"/>
        <v/>
      </c>
      <c r="O2574" s="8"/>
      <c r="P2574" s="26"/>
      <c r="S2574" s="10" t="str">
        <f t="shared" si="204"/>
        <v/>
      </c>
    </row>
    <row r="2575" spans="5:19" x14ac:dyDescent="0.3">
      <c r="E2575" s="9" t="str">
        <f>IF(DADOS!C2575="","",DADOS!C2575)</f>
        <v/>
      </c>
      <c r="F2575" s="9" t="str">
        <f>IF(DADOS!E2575="","",DADOS!E2575)</f>
        <v/>
      </c>
      <c r="G2575" s="9" t="str">
        <f>IF(DADOS!F2575="","",DADOS!F2575)</f>
        <v/>
      </c>
      <c r="K2575" s="6" t="str">
        <f t="shared" si="205"/>
        <v/>
      </c>
      <c r="L2575" s="7" t="str">
        <f t="shared" si="206"/>
        <v/>
      </c>
      <c r="M2575" s="7" t="str">
        <f t="shared" si="203"/>
        <v/>
      </c>
      <c r="N2575" s="7" t="str">
        <f t="shared" si="207"/>
        <v/>
      </c>
      <c r="O2575" s="8"/>
      <c r="P2575" s="26"/>
      <c r="S2575" s="10" t="str">
        <f t="shared" si="204"/>
        <v/>
      </c>
    </row>
    <row r="2576" spans="5:19" x14ac:dyDescent="0.3">
      <c r="E2576" s="9" t="str">
        <f>IF(DADOS!C2576="","",DADOS!C2576)</f>
        <v/>
      </c>
      <c r="F2576" s="9" t="str">
        <f>IF(DADOS!E2576="","",DADOS!E2576)</f>
        <v/>
      </c>
      <c r="G2576" s="9" t="str">
        <f>IF(DADOS!F2576="","",DADOS!F2576)</f>
        <v/>
      </c>
      <c r="K2576" s="6" t="str">
        <f t="shared" si="205"/>
        <v/>
      </c>
      <c r="L2576" s="7" t="str">
        <f t="shared" si="206"/>
        <v/>
      </c>
      <c r="M2576" s="7" t="str">
        <f t="shared" si="203"/>
        <v/>
      </c>
      <c r="N2576" s="7" t="str">
        <f t="shared" si="207"/>
        <v/>
      </c>
      <c r="O2576" s="8"/>
      <c r="P2576" s="26"/>
      <c r="S2576" s="10" t="str">
        <f t="shared" si="204"/>
        <v/>
      </c>
    </row>
    <row r="2577" spans="5:19" x14ac:dyDescent="0.3">
      <c r="E2577" s="9" t="str">
        <f>IF(DADOS!C2577="","",DADOS!C2577)</f>
        <v/>
      </c>
      <c r="F2577" s="9" t="str">
        <f>IF(DADOS!E2577="","",DADOS!E2577)</f>
        <v/>
      </c>
      <c r="G2577" s="9" t="str">
        <f>IF(DADOS!F2577="","",DADOS!F2577)</f>
        <v/>
      </c>
      <c r="K2577" s="6" t="str">
        <f t="shared" si="205"/>
        <v/>
      </c>
      <c r="L2577" s="7" t="str">
        <f t="shared" si="206"/>
        <v/>
      </c>
      <c r="M2577" s="7" t="str">
        <f t="shared" si="203"/>
        <v/>
      </c>
      <c r="N2577" s="7" t="str">
        <f t="shared" si="207"/>
        <v/>
      </c>
      <c r="O2577" s="8"/>
      <c r="P2577" s="26"/>
      <c r="S2577" s="10" t="str">
        <f t="shared" si="204"/>
        <v/>
      </c>
    </row>
    <row r="2578" spans="5:19" x14ac:dyDescent="0.3">
      <c r="E2578" s="9" t="str">
        <f>IF(DADOS!C2578="","",DADOS!C2578)</f>
        <v/>
      </c>
      <c r="F2578" s="9" t="str">
        <f>IF(DADOS!E2578="","",DADOS!E2578)</f>
        <v/>
      </c>
      <c r="G2578" s="9" t="str">
        <f>IF(DADOS!F2578="","",DADOS!F2578)</f>
        <v/>
      </c>
      <c r="K2578" s="6" t="str">
        <f t="shared" si="205"/>
        <v/>
      </c>
      <c r="L2578" s="7" t="str">
        <f t="shared" si="206"/>
        <v/>
      </c>
      <c r="M2578" s="7" t="str">
        <f t="shared" si="203"/>
        <v/>
      </c>
      <c r="N2578" s="7" t="str">
        <f t="shared" si="207"/>
        <v/>
      </c>
      <c r="O2578" s="8"/>
      <c r="P2578" s="26"/>
      <c r="S2578" s="10" t="str">
        <f t="shared" si="204"/>
        <v/>
      </c>
    </row>
    <row r="2579" spans="5:19" x14ac:dyDescent="0.3">
      <c r="E2579" s="9" t="str">
        <f>IF(DADOS!C2579="","",DADOS!C2579)</f>
        <v/>
      </c>
      <c r="F2579" s="9" t="str">
        <f>IF(DADOS!E2579="","",DADOS!E2579)</f>
        <v/>
      </c>
      <c r="G2579" s="9" t="str">
        <f>IF(DADOS!F2579="","",DADOS!F2579)</f>
        <v/>
      </c>
      <c r="K2579" s="6" t="str">
        <f t="shared" si="205"/>
        <v/>
      </c>
      <c r="L2579" s="7" t="str">
        <f t="shared" si="206"/>
        <v/>
      </c>
      <c r="M2579" s="7" t="str">
        <f t="shared" si="203"/>
        <v/>
      </c>
      <c r="N2579" s="7" t="str">
        <f t="shared" si="207"/>
        <v/>
      </c>
      <c r="O2579" s="8"/>
      <c r="P2579" s="26"/>
      <c r="S2579" s="10" t="str">
        <f t="shared" si="204"/>
        <v/>
      </c>
    </row>
    <row r="2580" spans="5:19" x14ac:dyDescent="0.3">
      <c r="E2580" s="9" t="str">
        <f>IF(DADOS!C2580="","",DADOS!C2580)</f>
        <v/>
      </c>
      <c r="F2580" s="9" t="str">
        <f>IF(DADOS!E2580="","",DADOS!E2580)</f>
        <v/>
      </c>
      <c r="G2580" s="9" t="str">
        <f>IF(DADOS!F2580="","",DADOS!F2580)</f>
        <v/>
      </c>
      <c r="K2580" s="6" t="str">
        <f t="shared" si="205"/>
        <v/>
      </c>
      <c r="L2580" s="7" t="str">
        <f t="shared" si="206"/>
        <v/>
      </c>
      <c r="M2580" s="7" t="str">
        <f t="shared" si="203"/>
        <v/>
      </c>
      <c r="N2580" s="7" t="str">
        <f t="shared" si="207"/>
        <v/>
      </c>
      <c r="O2580" s="8"/>
      <c r="P2580" s="26"/>
      <c r="S2580" s="10" t="str">
        <f t="shared" si="204"/>
        <v/>
      </c>
    </row>
    <row r="2581" spans="5:19" x14ac:dyDescent="0.3">
      <c r="E2581" s="9" t="str">
        <f>IF(DADOS!C2581="","",DADOS!C2581)</f>
        <v/>
      </c>
      <c r="F2581" s="9" t="str">
        <f>IF(DADOS!E2581="","",DADOS!E2581)</f>
        <v/>
      </c>
      <c r="G2581" s="9" t="str">
        <f>IF(DADOS!F2581="","",DADOS!F2581)</f>
        <v/>
      </c>
      <c r="K2581" s="6" t="str">
        <f t="shared" si="205"/>
        <v/>
      </c>
      <c r="L2581" s="7" t="str">
        <f t="shared" si="206"/>
        <v/>
      </c>
      <c r="M2581" s="7" t="str">
        <f t="shared" si="203"/>
        <v/>
      </c>
      <c r="N2581" s="7" t="str">
        <f t="shared" si="207"/>
        <v/>
      </c>
      <c r="O2581" s="8"/>
      <c r="P2581" s="26"/>
      <c r="S2581" s="10" t="str">
        <f t="shared" si="204"/>
        <v/>
      </c>
    </row>
    <row r="2582" spans="5:19" x14ac:dyDescent="0.3">
      <c r="E2582" s="9" t="str">
        <f>IF(DADOS!C2582="","",DADOS!C2582)</f>
        <v/>
      </c>
      <c r="F2582" s="9" t="str">
        <f>IF(DADOS!E2582="","",DADOS!E2582)</f>
        <v/>
      </c>
      <c r="G2582" s="9" t="str">
        <f>IF(DADOS!F2582="","",DADOS!F2582)</f>
        <v/>
      </c>
      <c r="K2582" s="6" t="str">
        <f t="shared" si="205"/>
        <v/>
      </c>
      <c r="L2582" s="7" t="str">
        <f t="shared" si="206"/>
        <v/>
      </c>
      <c r="M2582" s="7" t="str">
        <f t="shared" si="203"/>
        <v/>
      </c>
      <c r="N2582" s="7" t="str">
        <f t="shared" si="207"/>
        <v/>
      </c>
      <c r="O2582" s="8"/>
      <c r="P2582" s="26"/>
      <c r="S2582" s="10" t="str">
        <f t="shared" si="204"/>
        <v/>
      </c>
    </row>
    <row r="2583" spans="5:19" x14ac:dyDescent="0.3">
      <c r="E2583" s="9" t="str">
        <f>IF(DADOS!C2583="","",DADOS!C2583)</f>
        <v/>
      </c>
      <c r="F2583" s="9" t="str">
        <f>IF(DADOS!E2583="","",DADOS!E2583)</f>
        <v/>
      </c>
      <c r="G2583" s="9" t="str">
        <f>IF(DADOS!F2583="","",DADOS!F2583)</f>
        <v/>
      </c>
      <c r="K2583" s="6" t="str">
        <f t="shared" si="205"/>
        <v/>
      </c>
      <c r="L2583" s="7" t="str">
        <f t="shared" si="206"/>
        <v/>
      </c>
      <c r="M2583" s="7" t="str">
        <f t="shared" si="203"/>
        <v/>
      </c>
      <c r="N2583" s="7" t="str">
        <f t="shared" si="207"/>
        <v/>
      </c>
      <c r="O2583" s="8"/>
      <c r="P2583" s="26"/>
      <c r="S2583" s="10" t="str">
        <f t="shared" si="204"/>
        <v/>
      </c>
    </row>
    <row r="2584" spans="5:19" x14ac:dyDescent="0.3">
      <c r="E2584" s="9" t="str">
        <f>IF(DADOS!C2584="","",DADOS!C2584)</f>
        <v/>
      </c>
      <c r="F2584" s="9" t="str">
        <f>IF(DADOS!E2584="","",DADOS!E2584)</f>
        <v/>
      </c>
      <c r="G2584" s="9" t="str">
        <f>IF(DADOS!F2584="","",DADOS!F2584)</f>
        <v/>
      </c>
      <c r="K2584" s="6" t="str">
        <f t="shared" si="205"/>
        <v/>
      </c>
      <c r="L2584" s="7" t="str">
        <f t="shared" si="206"/>
        <v/>
      </c>
      <c r="M2584" s="7" t="str">
        <f t="shared" si="203"/>
        <v/>
      </c>
      <c r="N2584" s="7" t="str">
        <f t="shared" si="207"/>
        <v/>
      </c>
      <c r="O2584" s="8"/>
      <c r="P2584" s="26"/>
      <c r="S2584" s="10" t="str">
        <f t="shared" si="204"/>
        <v/>
      </c>
    </row>
    <row r="2585" spans="5:19" x14ac:dyDescent="0.3">
      <c r="E2585" s="9" t="str">
        <f>IF(DADOS!C2585="","",DADOS!C2585)</f>
        <v/>
      </c>
      <c r="F2585" s="9" t="str">
        <f>IF(DADOS!E2585="","",DADOS!E2585)</f>
        <v/>
      </c>
      <c r="G2585" s="9" t="str">
        <f>IF(DADOS!F2585="","",DADOS!F2585)</f>
        <v/>
      </c>
      <c r="K2585" s="6" t="str">
        <f t="shared" si="205"/>
        <v/>
      </c>
      <c r="L2585" s="7" t="str">
        <f t="shared" si="206"/>
        <v/>
      </c>
      <c r="M2585" s="7" t="str">
        <f t="shared" si="203"/>
        <v/>
      </c>
      <c r="N2585" s="7" t="str">
        <f t="shared" si="207"/>
        <v/>
      </c>
      <c r="O2585" s="8"/>
      <c r="P2585" s="26"/>
      <c r="S2585" s="10" t="str">
        <f t="shared" si="204"/>
        <v/>
      </c>
    </row>
    <row r="2586" spans="5:19" x14ac:dyDescent="0.3">
      <c r="E2586" s="9" t="str">
        <f>IF(DADOS!C2586="","",DADOS!C2586)</f>
        <v/>
      </c>
      <c r="F2586" s="9" t="str">
        <f>IF(DADOS!E2586="","",DADOS!E2586)</f>
        <v/>
      </c>
      <c r="G2586" s="9" t="str">
        <f>IF(DADOS!F2586="","",DADOS!F2586)</f>
        <v/>
      </c>
      <c r="K2586" s="6" t="str">
        <f t="shared" si="205"/>
        <v/>
      </c>
      <c r="L2586" s="7" t="str">
        <f t="shared" si="206"/>
        <v/>
      </c>
      <c r="M2586" s="7" t="str">
        <f t="shared" si="203"/>
        <v/>
      </c>
      <c r="N2586" s="7" t="str">
        <f t="shared" si="207"/>
        <v/>
      </c>
      <c r="O2586" s="8"/>
      <c r="P2586" s="26"/>
      <c r="S2586" s="10" t="str">
        <f t="shared" si="204"/>
        <v/>
      </c>
    </row>
    <row r="2587" spans="5:19" x14ac:dyDescent="0.3">
      <c r="E2587" s="9" t="str">
        <f>IF(DADOS!C2587="","",DADOS!C2587)</f>
        <v/>
      </c>
      <c r="F2587" s="9" t="str">
        <f>IF(DADOS!E2587="","",DADOS!E2587)</f>
        <v/>
      </c>
      <c r="G2587" s="9" t="str">
        <f>IF(DADOS!F2587="","",DADOS!F2587)</f>
        <v/>
      </c>
      <c r="K2587" s="6" t="str">
        <f t="shared" si="205"/>
        <v/>
      </c>
      <c r="L2587" s="7" t="str">
        <f t="shared" si="206"/>
        <v/>
      </c>
      <c r="M2587" s="7" t="str">
        <f t="shared" si="203"/>
        <v/>
      </c>
      <c r="N2587" s="7" t="str">
        <f t="shared" si="207"/>
        <v/>
      </c>
      <c r="O2587" s="8"/>
      <c r="P2587" s="26"/>
      <c r="S2587" s="10" t="str">
        <f t="shared" si="204"/>
        <v/>
      </c>
    </row>
    <row r="2588" spans="5:19" x14ac:dyDescent="0.3">
      <c r="E2588" s="9" t="str">
        <f>IF(DADOS!C2588="","",DADOS!C2588)</f>
        <v/>
      </c>
      <c r="F2588" s="9" t="str">
        <f>IF(DADOS!E2588="","",DADOS!E2588)</f>
        <v/>
      </c>
      <c r="G2588" s="9" t="str">
        <f>IF(DADOS!F2588="","",DADOS!F2588)</f>
        <v/>
      </c>
      <c r="K2588" s="6" t="str">
        <f t="shared" si="205"/>
        <v/>
      </c>
      <c r="L2588" s="7" t="str">
        <f t="shared" si="206"/>
        <v/>
      </c>
      <c r="M2588" s="7" t="str">
        <f t="shared" si="203"/>
        <v/>
      </c>
      <c r="N2588" s="7" t="str">
        <f t="shared" si="207"/>
        <v/>
      </c>
      <c r="O2588" s="8"/>
      <c r="P2588" s="26"/>
      <c r="S2588" s="10" t="str">
        <f t="shared" si="204"/>
        <v/>
      </c>
    </row>
    <row r="2589" spans="5:19" x14ac:dyDescent="0.3">
      <c r="E2589" s="9" t="str">
        <f>IF(DADOS!C2589="","",DADOS!C2589)</f>
        <v/>
      </c>
      <c r="F2589" s="9" t="str">
        <f>IF(DADOS!E2589="","",DADOS!E2589)</f>
        <v/>
      </c>
      <c r="G2589" s="9" t="str">
        <f>IF(DADOS!F2589="","",DADOS!F2589)</f>
        <v/>
      </c>
      <c r="K2589" s="6" t="str">
        <f t="shared" si="205"/>
        <v/>
      </c>
      <c r="L2589" s="7" t="str">
        <f t="shared" si="206"/>
        <v/>
      </c>
      <c r="M2589" s="7" t="str">
        <f t="shared" si="203"/>
        <v/>
      </c>
      <c r="N2589" s="7" t="str">
        <f t="shared" si="207"/>
        <v/>
      </c>
      <c r="O2589" s="8"/>
      <c r="P2589" s="26"/>
      <c r="S2589" s="10" t="str">
        <f t="shared" si="204"/>
        <v/>
      </c>
    </row>
    <row r="2590" spans="5:19" x14ac:dyDescent="0.3">
      <c r="E2590" s="9" t="str">
        <f>IF(DADOS!C2590="","",DADOS!C2590)</f>
        <v/>
      </c>
      <c r="F2590" s="9" t="str">
        <f>IF(DADOS!E2590="","",DADOS!E2590)</f>
        <v/>
      </c>
      <c r="G2590" s="9" t="str">
        <f>IF(DADOS!F2590="","",DADOS!F2590)</f>
        <v/>
      </c>
      <c r="K2590" s="6" t="str">
        <f t="shared" si="205"/>
        <v/>
      </c>
      <c r="L2590" s="7" t="str">
        <f t="shared" si="206"/>
        <v/>
      </c>
      <c r="M2590" s="7" t="str">
        <f t="shared" si="203"/>
        <v/>
      </c>
      <c r="N2590" s="7" t="str">
        <f t="shared" si="207"/>
        <v/>
      </c>
      <c r="O2590" s="8"/>
      <c r="P2590" s="26"/>
      <c r="S2590" s="10" t="str">
        <f t="shared" si="204"/>
        <v/>
      </c>
    </row>
    <row r="2591" spans="5:19" x14ac:dyDescent="0.3">
      <c r="E2591" s="9" t="str">
        <f>IF(DADOS!C2591="","",DADOS!C2591)</f>
        <v/>
      </c>
      <c r="F2591" s="9" t="str">
        <f>IF(DADOS!E2591="","",DADOS!E2591)</f>
        <v/>
      </c>
      <c r="G2591" s="9" t="str">
        <f>IF(DADOS!F2591="","",DADOS!F2591)</f>
        <v/>
      </c>
      <c r="K2591" s="6" t="str">
        <f t="shared" si="205"/>
        <v/>
      </c>
      <c r="L2591" s="7" t="str">
        <f t="shared" si="206"/>
        <v/>
      </c>
      <c r="M2591" s="7" t="str">
        <f t="shared" si="203"/>
        <v/>
      </c>
      <c r="N2591" s="7" t="str">
        <f t="shared" si="207"/>
        <v/>
      </c>
      <c r="O2591" s="8"/>
      <c r="P2591" s="26"/>
      <c r="S2591" s="10" t="str">
        <f t="shared" si="204"/>
        <v/>
      </c>
    </row>
    <row r="2592" spans="5:19" x14ac:dyDescent="0.3">
      <c r="E2592" s="9" t="str">
        <f>IF(DADOS!C2592="","",DADOS!C2592)</f>
        <v/>
      </c>
      <c r="F2592" s="9" t="str">
        <f>IF(DADOS!E2592="","",DADOS!E2592)</f>
        <v/>
      </c>
      <c r="G2592" s="9" t="str">
        <f>IF(DADOS!F2592="","",DADOS!F2592)</f>
        <v/>
      </c>
      <c r="K2592" s="6" t="str">
        <f t="shared" si="205"/>
        <v/>
      </c>
      <c r="L2592" s="7" t="str">
        <f t="shared" si="206"/>
        <v/>
      </c>
      <c r="M2592" s="7" t="str">
        <f t="shared" si="203"/>
        <v/>
      </c>
      <c r="N2592" s="7" t="str">
        <f t="shared" si="207"/>
        <v/>
      </c>
      <c r="O2592" s="8"/>
      <c r="P2592" s="26"/>
      <c r="S2592" s="10" t="str">
        <f t="shared" si="204"/>
        <v/>
      </c>
    </row>
    <row r="2593" spans="5:19" x14ac:dyDescent="0.3">
      <c r="E2593" s="9" t="str">
        <f>IF(DADOS!C2593="","",DADOS!C2593)</f>
        <v/>
      </c>
      <c r="F2593" s="9" t="str">
        <f>IF(DADOS!E2593="","",DADOS!E2593)</f>
        <v/>
      </c>
      <c r="G2593" s="9" t="str">
        <f>IF(DADOS!F2593="","",DADOS!F2593)</f>
        <v/>
      </c>
      <c r="K2593" s="6" t="str">
        <f t="shared" si="205"/>
        <v/>
      </c>
      <c r="L2593" s="7" t="str">
        <f t="shared" si="206"/>
        <v/>
      </c>
      <c r="M2593" s="7" t="str">
        <f t="shared" si="203"/>
        <v/>
      </c>
      <c r="N2593" s="7" t="str">
        <f t="shared" si="207"/>
        <v/>
      </c>
      <c r="O2593" s="8"/>
      <c r="P2593" s="26"/>
      <c r="S2593" s="10" t="str">
        <f t="shared" si="204"/>
        <v/>
      </c>
    </row>
    <row r="2594" spans="5:19" x14ac:dyDescent="0.3">
      <c r="E2594" s="9" t="str">
        <f>IF(DADOS!C2594="","",DADOS!C2594)</f>
        <v/>
      </c>
      <c r="F2594" s="9" t="str">
        <f>IF(DADOS!E2594="","",DADOS!E2594)</f>
        <v/>
      </c>
      <c r="G2594" s="9" t="str">
        <f>IF(DADOS!F2594="","",DADOS!F2594)</f>
        <v/>
      </c>
      <c r="K2594" s="6" t="str">
        <f t="shared" si="205"/>
        <v/>
      </c>
      <c r="L2594" s="7" t="str">
        <f t="shared" si="206"/>
        <v/>
      </c>
      <c r="M2594" s="7" t="str">
        <f t="shared" si="203"/>
        <v/>
      </c>
      <c r="N2594" s="7" t="str">
        <f t="shared" si="207"/>
        <v/>
      </c>
      <c r="O2594" s="8"/>
      <c r="P2594" s="26"/>
      <c r="S2594" s="10" t="str">
        <f t="shared" si="204"/>
        <v/>
      </c>
    </row>
    <row r="2595" spans="5:19" x14ac:dyDescent="0.3">
      <c r="E2595" s="9" t="str">
        <f>IF(DADOS!C2595="","",DADOS!C2595)</f>
        <v/>
      </c>
      <c r="F2595" s="9" t="str">
        <f>IF(DADOS!E2595="","",DADOS!E2595)</f>
        <v/>
      </c>
      <c r="G2595" s="9" t="str">
        <f>IF(DADOS!F2595="","",DADOS!F2595)</f>
        <v/>
      </c>
      <c r="K2595" s="6" t="str">
        <f t="shared" si="205"/>
        <v/>
      </c>
      <c r="L2595" s="7" t="str">
        <f t="shared" si="206"/>
        <v/>
      </c>
      <c r="M2595" s="7" t="str">
        <f t="shared" si="203"/>
        <v/>
      </c>
      <c r="N2595" s="7" t="str">
        <f t="shared" si="207"/>
        <v/>
      </c>
      <c r="O2595" s="8"/>
      <c r="P2595" s="26"/>
      <c r="S2595" s="10" t="str">
        <f t="shared" si="204"/>
        <v/>
      </c>
    </row>
    <row r="2596" spans="5:19" x14ac:dyDescent="0.3">
      <c r="E2596" s="9" t="str">
        <f>IF(DADOS!C2596="","",DADOS!C2596)</f>
        <v/>
      </c>
      <c r="F2596" s="9" t="str">
        <f>IF(DADOS!E2596="","",DADOS!E2596)</f>
        <v/>
      </c>
      <c r="G2596" s="9" t="str">
        <f>IF(DADOS!F2596="","",DADOS!F2596)</f>
        <v/>
      </c>
      <c r="K2596" s="6" t="str">
        <f t="shared" si="205"/>
        <v/>
      </c>
      <c r="L2596" s="7" t="str">
        <f t="shared" si="206"/>
        <v/>
      </c>
      <c r="M2596" s="7" t="str">
        <f t="shared" si="203"/>
        <v/>
      </c>
      <c r="N2596" s="7" t="str">
        <f t="shared" si="207"/>
        <v/>
      </c>
      <c r="O2596" s="8"/>
      <c r="P2596" s="26"/>
      <c r="S2596" s="10" t="str">
        <f t="shared" si="204"/>
        <v/>
      </c>
    </row>
    <row r="2597" spans="5:19" x14ac:dyDescent="0.3">
      <c r="E2597" s="9" t="str">
        <f>IF(DADOS!C2597="","",DADOS!C2597)</f>
        <v/>
      </c>
      <c r="F2597" s="9" t="str">
        <f>IF(DADOS!E2597="","",DADOS!E2597)</f>
        <v/>
      </c>
      <c r="G2597" s="9" t="str">
        <f>IF(DADOS!F2597="","",DADOS!F2597)</f>
        <v/>
      </c>
      <c r="K2597" s="6" t="str">
        <f t="shared" si="205"/>
        <v/>
      </c>
      <c r="L2597" s="7" t="str">
        <f t="shared" si="206"/>
        <v/>
      </c>
      <c r="M2597" s="7" t="str">
        <f t="shared" si="203"/>
        <v/>
      </c>
      <c r="N2597" s="7" t="str">
        <f t="shared" si="207"/>
        <v/>
      </c>
      <c r="O2597" s="8"/>
      <c r="P2597" s="26"/>
      <c r="S2597" s="10" t="str">
        <f t="shared" si="204"/>
        <v/>
      </c>
    </row>
    <row r="2598" spans="5:19" x14ac:dyDescent="0.3">
      <c r="E2598" s="9" t="str">
        <f>IF(DADOS!C2598="","",DADOS!C2598)</f>
        <v/>
      </c>
      <c r="F2598" s="9" t="str">
        <f>IF(DADOS!E2598="","",DADOS!E2598)</f>
        <v/>
      </c>
      <c r="G2598" s="9" t="str">
        <f>IF(DADOS!F2598="","",DADOS!F2598)</f>
        <v/>
      </c>
      <c r="K2598" s="6" t="str">
        <f t="shared" si="205"/>
        <v/>
      </c>
      <c r="L2598" s="7" t="str">
        <f t="shared" si="206"/>
        <v/>
      </c>
      <c r="M2598" s="7" t="str">
        <f t="shared" si="203"/>
        <v/>
      </c>
      <c r="N2598" s="7" t="str">
        <f t="shared" si="207"/>
        <v/>
      </c>
      <c r="O2598" s="8"/>
      <c r="P2598" s="26"/>
      <c r="S2598" s="10" t="str">
        <f t="shared" si="204"/>
        <v/>
      </c>
    </row>
    <row r="2599" spans="5:19" x14ac:dyDescent="0.3">
      <c r="E2599" s="9" t="str">
        <f>IF(DADOS!C2599="","",DADOS!C2599)</f>
        <v/>
      </c>
      <c r="F2599" s="9" t="str">
        <f>IF(DADOS!E2599="","",DADOS!E2599)</f>
        <v/>
      </c>
      <c r="G2599" s="9" t="str">
        <f>IF(DADOS!F2599="","",DADOS!F2599)</f>
        <v/>
      </c>
      <c r="K2599" s="6" t="str">
        <f t="shared" si="205"/>
        <v/>
      </c>
      <c r="L2599" s="7" t="str">
        <f t="shared" si="206"/>
        <v/>
      </c>
      <c r="M2599" s="7" t="str">
        <f t="shared" si="203"/>
        <v/>
      </c>
      <c r="N2599" s="7" t="str">
        <f t="shared" si="207"/>
        <v/>
      </c>
      <c r="O2599" s="8"/>
      <c r="P2599" s="26"/>
      <c r="S2599" s="10" t="str">
        <f t="shared" si="204"/>
        <v/>
      </c>
    </row>
    <row r="2600" spans="5:19" x14ac:dyDescent="0.3">
      <c r="E2600" s="9" t="str">
        <f>IF(DADOS!C2600="","",DADOS!C2600)</f>
        <v/>
      </c>
      <c r="F2600" s="9" t="str">
        <f>IF(DADOS!E2600="","",DADOS!E2600)</f>
        <v/>
      </c>
      <c r="G2600" s="9" t="str">
        <f>IF(DADOS!F2600="","",DADOS!F2600)</f>
        <v/>
      </c>
      <c r="K2600" s="6" t="str">
        <f t="shared" si="205"/>
        <v/>
      </c>
      <c r="L2600" s="7" t="str">
        <f t="shared" si="206"/>
        <v/>
      </c>
      <c r="M2600" s="7" t="str">
        <f t="shared" si="203"/>
        <v/>
      </c>
      <c r="N2600" s="7" t="str">
        <f t="shared" si="207"/>
        <v/>
      </c>
      <c r="O2600" s="8"/>
      <c r="P2600" s="26"/>
      <c r="S2600" s="10" t="str">
        <f t="shared" si="204"/>
        <v/>
      </c>
    </row>
    <row r="2601" spans="5:19" x14ac:dyDescent="0.3">
      <c r="E2601" s="9" t="str">
        <f>IF(DADOS!C2601="","",DADOS!C2601)</f>
        <v/>
      </c>
      <c r="F2601" s="9" t="str">
        <f>IF(DADOS!E2601="","",DADOS!E2601)</f>
        <v/>
      </c>
      <c r="G2601" s="9" t="str">
        <f>IF(DADOS!F2601="","",DADOS!F2601)</f>
        <v/>
      </c>
      <c r="K2601" s="6" t="str">
        <f t="shared" si="205"/>
        <v/>
      </c>
      <c r="L2601" s="7" t="str">
        <f t="shared" si="206"/>
        <v/>
      </c>
      <c r="M2601" s="7" t="str">
        <f t="shared" si="203"/>
        <v/>
      </c>
      <c r="N2601" s="7" t="str">
        <f t="shared" si="207"/>
        <v/>
      </c>
      <c r="O2601" s="8"/>
      <c r="P2601" s="26"/>
      <c r="S2601" s="10" t="str">
        <f t="shared" si="204"/>
        <v/>
      </c>
    </row>
    <row r="2602" spans="5:19" x14ac:dyDescent="0.3">
      <c r="E2602" s="9" t="str">
        <f>IF(DADOS!C2602="","",DADOS!C2602)</f>
        <v/>
      </c>
      <c r="F2602" s="9" t="str">
        <f>IF(DADOS!E2602="","",DADOS!E2602)</f>
        <v/>
      </c>
      <c r="G2602" s="9" t="str">
        <f>IF(DADOS!F2602="","",DADOS!F2602)</f>
        <v/>
      </c>
      <c r="K2602" s="6" t="str">
        <f t="shared" si="205"/>
        <v/>
      </c>
      <c r="L2602" s="7" t="str">
        <f t="shared" si="206"/>
        <v/>
      </c>
      <c r="M2602" s="7" t="str">
        <f t="shared" si="203"/>
        <v/>
      </c>
      <c r="N2602" s="7" t="str">
        <f t="shared" si="207"/>
        <v/>
      </c>
      <c r="O2602" s="8"/>
      <c r="P2602" s="26"/>
      <c r="S2602" s="10" t="str">
        <f t="shared" si="204"/>
        <v/>
      </c>
    </row>
    <row r="2603" spans="5:19" x14ac:dyDescent="0.3">
      <c r="E2603" s="9" t="str">
        <f>IF(DADOS!C2603="","",DADOS!C2603)</f>
        <v/>
      </c>
      <c r="F2603" s="9" t="str">
        <f>IF(DADOS!E2603="","",DADOS!E2603)</f>
        <v/>
      </c>
      <c r="G2603" s="9" t="str">
        <f>IF(DADOS!F2603="","",DADOS!F2603)</f>
        <v/>
      </c>
      <c r="K2603" s="6" t="str">
        <f t="shared" si="205"/>
        <v/>
      </c>
      <c r="L2603" s="7" t="str">
        <f t="shared" si="206"/>
        <v/>
      </c>
      <c r="M2603" s="7" t="str">
        <f t="shared" si="203"/>
        <v/>
      </c>
      <c r="N2603" s="7" t="str">
        <f t="shared" si="207"/>
        <v/>
      </c>
      <c r="O2603" s="8"/>
      <c r="P2603" s="26"/>
      <c r="S2603" s="10" t="str">
        <f t="shared" si="204"/>
        <v/>
      </c>
    </row>
    <row r="2604" spans="5:19" x14ac:dyDescent="0.3">
      <c r="E2604" s="9" t="str">
        <f>IF(DADOS!C2604="","",DADOS!C2604)</f>
        <v/>
      </c>
      <c r="F2604" s="9" t="str">
        <f>IF(DADOS!E2604="","",DADOS!E2604)</f>
        <v/>
      </c>
      <c r="G2604" s="9" t="str">
        <f>IF(DADOS!F2604="","",DADOS!F2604)</f>
        <v/>
      </c>
      <c r="K2604" s="6" t="str">
        <f t="shared" si="205"/>
        <v/>
      </c>
      <c r="L2604" s="7" t="str">
        <f t="shared" si="206"/>
        <v/>
      </c>
      <c r="M2604" s="7" t="str">
        <f t="shared" si="203"/>
        <v/>
      </c>
      <c r="N2604" s="7" t="str">
        <f t="shared" si="207"/>
        <v/>
      </c>
      <c r="O2604" s="8"/>
      <c r="P2604" s="26"/>
      <c r="S2604" s="10" t="str">
        <f t="shared" si="204"/>
        <v/>
      </c>
    </row>
    <row r="2605" spans="5:19" x14ac:dyDescent="0.3">
      <c r="E2605" s="9" t="str">
        <f>IF(DADOS!C2605="","",DADOS!C2605)</f>
        <v/>
      </c>
      <c r="F2605" s="9" t="str">
        <f>IF(DADOS!E2605="","",DADOS!E2605)</f>
        <v/>
      </c>
      <c r="G2605" s="9" t="str">
        <f>IF(DADOS!F2605="","",DADOS!F2605)</f>
        <v/>
      </c>
      <c r="K2605" s="6" t="str">
        <f t="shared" si="205"/>
        <v/>
      </c>
      <c r="L2605" s="7" t="str">
        <f t="shared" si="206"/>
        <v/>
      </c>
      <c r="M2605" s="7" t="str">
        <f t="shared" si="203"/>
        <v/>
      </c>
      <c r="N2605" s="7" t="str">
        <f t="shared" si="207"/>
        <v/>
      </c>
      <c r="O2605" s="8"/>
      <c r="P2605" s="26"/>
      <c r="S2605" s="10" t="str">
        <f t="shared" si="204"/>
        <v/>
      </c>
    </row>
    <row r="2606" spans="5:19" x14ac:dyDescent="0.3">
      <c r="E2606" s="9" t="str">
        <f>IF(DADOS!C2606="","",DADOS!C2606)</f>
        <v/>
      </c>
      <c r="F2606" s="9" t="str">
        <f>IF(DADOS!E2606="","",DADOS!E2606)</f>
        <v/>
      </c>
      <c r="G2606" s="9" t="str">
        <f>IF(DADOS!F2606="","",DADOS!F2606)</f>
        <v/>
      </c>
      <c r="K2606" s="6" t="str">
        <f t="shared" si="205"/>
        <v/>
      </c>
      <c r="L2606" s="7" t="str">
        <f t="shared" si="206"/>
        <v/>
      </c>
      <c r="M2606" s="7" t="str">
        <f t="shared" si="203"/>
        <v/>
      </c>
      <c r="N2606" s="7" t="str">
        <f t="shared" si="207"/>
        <v/>
      </c>
      <c r="O2606" s="8"/>
      <c r="P2606" s="26"/>
      <c r="S2606" s="10" t="str">
        <f t="shared" si="204"/>
        <v/>
      </c>
    </row>
    <row r="2607" spans="5:19" x14ac:dyDescent="0.3">
      <c r="E2607" s="9" t="str">
        <f>IF(DADOS!C2607="","",DADOS!C2607)</f>
        <v/>
      </c>
      <c r="F2607" s="9" t="str">
        <f>IF(DADOS!E2607="","",DADOS!E2607)</f>
        <v/>
      </c>
      <c r="G2607" s="9" t="str">
        <f>IF(DADOS!F2607="","",DADOS!F2607)</f>
        <v/>
      </c>
      <c r="K2607" s="6" t="str">
        <f t="shared" si="205"/>
        <v/>
      </c>
      <c r="L2607" s="7" t="str">
        <f t="shared" si="206"/>
        <v/>
      </c>
      <c r="M2607" s="7" t="str">
        <f t="shared" si="203"/>
        <v/>
      </c>
      <c r="N2607" s="7" t="str">
        <f t="shared" si="207"/>
        <v/>
      </c>
      <c r="O2607" s="8"/>
      <c r="P2607" s="26"/>
      <c r="S2607" s="10" t="str">
        <f t="shared" si="204"/>
        <v/>
      </c>
    </row>
    <row r="2608" spans="5:19" x14ac:dyDescent="0.3">
      <c r="E2608" s="9" t="str">
        <f>IF(DADOS!C2608="","",DADOS!C2608)</f>
        <v/>
      </c>
      <c r="F2608" s="9" t="str">
        <f>IF(DADOS!E2608="","",DADOS!E2608)</f>
        <v/>
      </c>
      <c r="G2608" s="9" t="str">
        <f>IF(DADOS!F2608="","",DADOS!F2608)</f>
        <v/>
      </c>
      <c r="K2608" s="6" t="str">
        <f t="shared" si="205"/>
        <v/>
      </c>
      <c r="L2608" s="7" t="str">
        <f t="shared" si="206"/>
        <v/>
      </c>
      <c r="M2608" s="7" t="str">
        <f t="shared" si="203"/>
        <v/>
      </c>
      <c r="N2608" s="7" t="str">
        <f t="shared" si="207"/>
        <v/>
      </c>
      <c r="O2608" s="8"/>
      <c r="P2608" s="26"/>
      <c r="S2608" s="10" t="str">
        <f t="shared" si="204"/>
        <v/>
      </c>
    </row>
    <row r="2609" spans="5:19" x14ac:dyDescent="0.3">
      <c r="E2609" s="9" t="str">
        <f>IF(DADOS!C2609="","",DADOS!C2609)</f>
        <v/>
      </c>
      <c r="F2609" s="9" t="str">
        <f>IF(DADOS!E2609="","",DADOS!E2609)</f>
        <v/>
      </c>
      <c r="G2609" s="9" t="str">
        <f>IF(DADOS!F2609="","",DADOS!F2609)</f>
        <v/>
      </c>
      <c r="K2609" s="6" t="str">
        <f t="shared" si="205"/>
        <v/>
      </c>
      <c r="L2609" s="7" t="str">
        <f t="shared" si="206"/>
        <v/>
      </c>
      <c r="M2609" s="7" t="str">
        <f t="shared" si="203"/>
        <v/>
      </c>
      <c r="N2609" s="7" t="str">
        <f t="shared" si="207"/>
        <v/>
      </c>
      <c r="O2609" s="8"/>
      <c r="P2609" s="26"/>
      <c r="S2609" s="10" t="str">
        <f t="shared" si="204"/>
        <v/>
      </c>
    </row>
    <row r="2610" spans="5:19" x14ac:dyDescent="0.3">
      <c r="E2610" s="9" t="str">
        <f>IF(DADOS!C2610="","",DADOS!C2610)</f>
        <v/>
      </c>
      <c r="F2610" s="9" t="str">
        <f>IF(DADOS!E2610="","",DADOS!E2610)</f>
        <v/>
      </c>
      <c r="G2610" s="9" t="str">
        <f>IF(DADOS!F2610="","",DADOS!F2610)</f>
        <v/>
      </c>
      <c r="K2610" s="6" t="str">
        <f t="shared" si="205"/>
        <v/>
      </c>
      <c r="L2610" s="7" t="str">
        <f t="shared" si="206"/>
        <v/>
      </c>
      <c r="M2610" s="7" t="str">
        <f t="shared" si="203"/>
        <v/>
      </c>
      <c r="N2610" s="7" t="str">
        <f t="shared" si="207"/>
        <v/>
      </c>
      <c r="O2610" s="8"/>
      <c r="P2610" s="26"/>
      <c r="S2610" s="10" t="str">
        <f t="shared" si="204"/>
        <v/>
      </c>
    </row>
    <row r="2611" spans="5:19" x14ac:dyDescent="0.3">
      <c r="E2611" s="9" t="str">
        <f>IF(DADOS!C2611="","",DADOS!C2611)</f>
        <v/>
      </c>
      <c r="F2611" s="9" t="str">
        <f>IF(DADOS!E2611="","",DADOS!E2611)</f>
        <v/>
      </c>
      <c r="G2611" s="9" t="str">
        <f>IF(DADOS!F2611="","",DADOS!F2611)</f>
        <v/>
      </c>
      <c r="K2611" s="6" t="str">
        <f t="shared" si="205"/>
        <v/>
      </c>
      <c r="L2611" s="7" t="str">
        <f t="shared" si="206"/>
        <v/>
      </c>
      <c r="M2611" s="7" t="str">
        <f t="shared" si="203"/>
        <v/>
      </c>
      <c r="N2611" s="7" t="str">
        <f t="shared" si="207"/>
        <v/>
      </c>
      <c r="O2611" s="8"/>
      <c r="P2611" s="26"/>
      <c r="S2611" s="10" t="str">
        <f t="shared" si="204"/>
        <v/>
      </c>
    </row>
    <row r="2612" spans="5:19" x14ac:dyDescent="0.3">
      <c r="E2612" s="9" t="str">
        <f>IF(DADOS!C2612="","",DADOS!C2612)</f>
        <v/>
      </c>
      <c r="F2612" s="9" t="str">
        <f>IF(DADOS!E2612="","",DADOS!E2612)</f>
        <v/>
      </c>
      <c r="G2612" s="9" t="str">
        <f>IF(DADOS!F2612="","",DADOS!F2612)</f>
        <v/>
      </c>
      <c r="K2612" s="6" t="str">
        <f t="shared" si="205"/>
        <v/>
      </c>
      <c r="L2612" s="7" t="str">
        <f t="shared" si="206"/>
        <v/>
      </c>
      <c r="M2612" s="7" t="str">
        <f t="shared" si="203"/>
        <v/>
      </c>
      <c r="N2612" s="7" t="str">
        <f t="shared" si="207"/>
        <v/>
      </c>
      <c r="O2612" s="8"/>
      <c r="P2612" s="26"/>
      <c r="S2612" s="10" t="str">
        <f t="shared" si="204"/>
        <v/>
      </c>
    </row>
    <row r="2613" spans="5:19" x14ac:dyDescent="0.3">
      <c r="E2613" s="9" t="str">
        <f>IF(DADOS!C2613="","",DADOS!C2613)</f>
        <v/>
      </c>
      <c r="F2613" s="9" t="str">
        <f>IF(DADOS!E2613="","",DADOS!E2613)</f>
        <v/>
      </c>
      <c r="G2613" s="9" t="str">
        <f>IF(DADOS!F2613="","",DADOS!F2613)</f>
        <v/>
      </c>
      <c r="K2613" s="6" t="str">
        <f t="shared" si="205"/>
        <v/>
      </c>
      <c r="L2613" s="7" t="str">
        <f t="shared" si="206"/>
        <v/>
      </c>
      <c r="M2613" s="7" t="str">
        <f t="shared" si="203"/>
        <v/>
      </c>
      <c r="N2613" s="7" t="str">
        <f t="shared" si="207"/>
        <v/>
      </c>
      <c r="O2613" s="8"/>
      <c r="P2613" s="26"/>
      <c r="S2613" s="10" t="str">
        <f t="shared" si="204"/>
        <v/>
      </c>
    </row>
    <row r="2614" spans="5:19" x14ac:dyDescent="0.3">
      <c r="E2614" s="9" t="str">
        <f>IF(DADOS!C2614="","",DADOS!C2614)</f>
        <v/>
      </c>
      <c r="F2614" s="9" t="str">
        <f>IF(DADOS!E2614="","",DADOS!E2614)</f>
        <v/>
      </c>
      <c r="G2614" s="9" t="str">
        <f>IF(DADOS!F2614="","",DADOS!F2614)</f>
        <v/>
      </c>
      <c r="K2614" s="6" t="str">
        <f t="shared" si="205"/>
        <v/>
      </c>
      <c r="L2614" s="7" t="str">
        <f t="shared" si="206"/>
        <v/>
      </c>
      <c r="M2614" s="7" t="str">
        <f t="shared" si="203"/>
        <v/>
      </c>
      <c r="N2614" s="7" t="str">
        <f t="shared" si="207"/>
        <v/>
      </c>
      <c r="O2614" s="8"/>
      <c r="P2614" s="26"/>
      <c r="S2614" s="10" t="str">
        <f t="shared" si="204"/>
        <v/>
      </c>
    </row>
    <row r="2615" spans="5:19" x14ac:dyDescent="0.3">
      <c r="E2615" s="9" t="str">
        <f>IF(DADOS!C2615="","",DADOS!C2615)</f>
        <v/>
      </c>
      <c r="F2615" s="9" t="str">
        <f>IF(DADOS!E2615="","",DADOS!E2615)</f>
        <v/>
      </c>
      <c r="G2615" s="9" t="str">
        <f>IF(DADOS!F2615="","",DADOS!F2615)</f>
        <v/>
      </c>
      <c r="K2615" s="6" t="str">
        <f t="shared" si="205"/>
        <v/>
      </c>
      <c r="L2615" s="7" t="str">
        <f t="shared" si="206"/>
        <v/>
      </c>
      <c r="M2615" s="7" t="str">
        <f t="shared" si="203"/>
        <v/>
      </c>
      <c r="N2615" s="7" t="str">
        <f t="shared" si="207"/>
        <v/>
      </c>
      <c r="O2615" s="8"/>
      <c r="P2615" s="26"/>
      <c r="S2615" s="10" t="str">
        <f t="shared" si="204"/>
        <v/>
      </c>
    </row>
    <row r="2616" spans="5:19" x14ac:dyDescent="0.3">
      <c r="E2616" s="9" t="str">
        <f>IF(DADOS!C2616="","",DADOS!C2616)</f>
        <v/>
      </c>
      <c r="F2616" s="9" t="str">
        <f>IF(DADOS!E2616="","",DADOS!E2616)</f>
        <v/>
      </c>
      <c r="G2616" s="9" t="str">
        <f>IF(DADOS!F2616="","",DADOS!F2616)</f>
        <v/>
      </c>
      <c r="K2616" s="6" t="str">
        <f t="shared" si="205"/>
        <v/>
      </c>
      <c r="L2616" s="7" t="str">
        <f t="shared" si="206"/>
        <v/>
      </c>
      <c r="M2616" s="7" t="str">
        <f t="shared" si="203"/>
        <v/>
      </c>
      <c r="N2616" s="7" t="str">
        <f t="shared" si="207"/>
        <v/>
      </c>
      <c r="O2616" s="8"/>
      <c r="P2616" s="26"/>
      <c r="S2616" s="10" t="str">
        <f t="shared" si="204"/>
        <v/>
      </c>
    </row>
    <row r="2617" spans="5:19" x14ac:dyDescent="0.3">
      <c r="E2617" s="9" t="str">
        <f>IF(DADOS!C2617="","",DADOS!C2617)</f>
        <v/>
      </c>
      <c r="F2617" s="9" t="str">
        <f>IF(DADOS!E2617="","",DADOS!E2617)</f>
        <v/>
      </c>
      <c r="G2617" s="9" t="str">
        <f>IF(DADOS!F2617="","",DADOS!F2617)</f>
        <v/>
      </c>
      <c r="K2617" s="6" t="str">
        <f t="shared" si="205"/>
        <v/>
      </c>
      <c r="L2617" s="7" t="str">
        <f t="shared" si="206"/>
        <v/>
      </c>
      <c r="M2617" s="7" t="str">
        <f t="shared" si="203"/>
        <v/>
      </c>
      <c r="N2617" s="7" t="str">
        <f t="shared" si="207"/>
        <v/>
      </c>
      <c r="O2617" s="8"/>
      <c r="P2617" s="26"/>
      <c r="S2617" s="10" t="str">
        <f t="shared" si="204"/>
        <v/>
      </c>
    </row>
    <row r="2618" spans="5:19" x14ac:dyDescent="0.3">
      <c r="E2618" s="9" t="str">
        <f>IF(DADOS!C2618="","",DADOS!C2618)</f>
        <v/>
      </c>
      <c r="F2618" s="9" t="str">
        <f>IF(DADOS!E2618="","",DADOS!E2618)</f>
        <v/>
      </c>
      <c r="G2618" s="9" t="str">
        <f>IF(DADOS!F2618="","",DADOS!F2618)</f>
        <v/>
      </c>
      <c r="K2618" s="6" t="str">
        <f t="shared" si="205"/>
        <v/>
      </c>
      <c r="L2618" s="7" t="str">
        <f t="shared" si="206"/>
        <v/>
      </c>
      <c r="M2618" s="7" t="str">
        <f t="shared" si="203"/>
        <v/>
      </c>
      <c r="N2618" s="7" t="str">
        <f t="shared" si="207"/>
        <v/>
      </c>
      <c r="O2618" s="8"/>
      <c r="P2618" s="26"/>
      <c r="S2618" s="10" t="str">
        <f t="shared" si="204"/>
        <v/>
      </c>
    </row>
    <row r="2619" spans="5:19" x14ac:dyDescent="0.3">
      <c r="E2619" s="9" t="str">
        <f>IF(DADOS!C2619="","",DADOS!C2619)</f>
        <v/>
      </c>
      <c r="F2619" s="9" t="str">
        <f>IF(DADOS!E2619="","",DADOS!E2619)</f>
        <v/>
      </c>
      <c r="G2619" s="9" t="str">
        <f>IF(DADOS!F2619="","",DADOS!F2619)</f>
        <v/>
      </c>
      <c r="K2619" s="6" t="str">
        <f t="shared" si="205"/>
        <v/>
      </c>
      <c r="L2619" s="7" t="str">
        <f t="shared" si="206"/>
        <v/>
      </c>
      <c r="M2619" s="7" t="str">
        <f t="shared" si="203"/>
        <v/>
      </c>
      <c r="N2619" s="7" t="str">
        <f t="shared" si="207"/>
        <v/>
      </c>
      <c r="O2619" s="8"/>
      <c r="P2619" s="26"/>
      <c r="S2619" s="10" t="str">
        <f t="shared" si="204"/>
        <v/>
      </c>
    </row>
    <row r="2620" spans="5:19" x14ac:dyDescent="0.3">
      <c r="E2620" s="9" t="str">
        <f>IF(DADOS!C2620="","",DADOS!C2620)</f>
        <v/>
      </c>
      <c r="F2620" s="9" t="str">
        <f>IF(DADOS!E2620="","",DADOS!E2620)</f>
        <v/>
      </c>
      <c r="G2620" s="9" t="str">
        <f>IF(DADOS!F2620="","",DADOS!F2620)</f>
        <v/>
      </c>
      <c r="K2620" s="6" t="str">
        <f t="shared" si="205"/>
        <v/>
      </c>
      <c r="L2620" s="7" t="str">
        <f t="shared" si="206"/>
        <v/>
      </c>
      <c r="M2620" s="7" t="str">
        <f t="shared" si="203"/>
        <v/>
      </c>
      <c r="N2620" s="7" t="str">
        <f t="shared" si="207"/>
        <v/>
      </c>
      <c r="O2620" s="8"/>
      <c r="P2620" s="26"/>
      <c r="S2620" s="10" t="str">
        <f t="shared" si="204"/>
        <v/>
      </c>
    </row>
    <row r="2621" spans="5:19" x14ac:dyDescent="0.3">
      <c r="E2621" s="9" t="str">
        <f>IF(DADOS!C2621="","",DADOS!C2621)</f>
        <v/>
      </c>
      <c r="F2621" s="9" t="str">
        <f>IF(DADOS!E2621="","",DADOS!E2621)</f>
        <v/>
      </c>
      <c r="G2621" s="9" t="str">
        <f>IF(DADOS!F2621="","",DADOS!F2621)</f>
        <v/>
      </c>
      <c r="K2621" s="6" t="str">
        <f t="shared" si="205"/>
        <v/>
      </c>
      <c r="L2621" s="7" t="str">
        <f t="shared" si="206"/>
        <v/>
      </c>
      <c r="M2621" s="7" t="str">
        <f t="shared" si="203"/>
        <v/>
      </c>
      <c r="N2621" s="7" t="str">
        <f t="shared" si="207"/>
        <v/>
      </c>
      <c r="O2621" s="8"/>
      <c r="P2621" s="26"/>
      <c r="S2621" s="10" t="str">
        <f t="shared" si="204"/>
        <v/>
      </c>
    </row>
    <row r="2622" spans="5:19" x14ac:dyDescent="0.3">
      <c r="E2622" s="9" t="str">
        <f>IF(DADOS!C2622="","",DADOS!C2622)</f>
        <v/>
      </c>
      <c r="F2622" s="9" t="str">
        <f>IF(DADOS!E2622="","",DADOS!E2622)</f>
        <v/>
      </c>
      <c r="G2622" s="9" t="str">
        <f>IF(DADOS!F2622="","",DADOS!F2622)</f>
        <v/>
      </c>
      <c r="K2622" s="6" t="str">
        <f t="shared" si="205"/>
        <v/>
      </c>
      <c r="L2622" s="7" t="str">
        <f t="shared" si="206"/>
        <v/>
      </c>
      <c r="M2622" s="7" t="str">
        <f t="shared" si="203"/>
        <v/>
      </c>
      <c r="N2622" s="7" t="str">
        <f t="shared" si="207"/>
        <v/>
      </c>
      <c r="O2622" s="8"/>
      <c r="P2622" s="26"/>
      <c r="S2622" s="10" t="str">
        <f t="shared" si="204"/>
        <v/>
      </c>
    </row>
    <row r="2623" spans="5:19" x14ac:dyDescent="0.3">
      <c r="E2623" s="9" t="str">
        <f>IF(DADOS!C2623="","",DADOS!C2623)</f>
        <v/>
      </c>
      <c r="F2623" s="9" t="str">
        <f>IF(DADOS!E2623="","",DADOS!E2623)</f>
        <v/>
      </c>
      <c r="G2623" s="9" t="str">
        <f>IF(DADOS!F2623="","",DADOS!F2623)</f>
        <v/>
      </c>
      <c r="K2623" s="6" t="str">
        <f t="shared" si="205"/>
        <v/>
      </c>
      <c r="L2623" s="7" t="str">
        <f t="shared" si="206"/>
        <v/>
      </c>
      <c r="M2623" s="7" t="str">
        <f t="shared" si="203"/>
        <v/>
      </c>
      <c r="N2623" s="7" t="str">
        <f t="shared" si="207"/>
        <v/>
      </c>
      <c r="O2623" s="8"/>
      <c r="P2623" s="26"/>
      <c r="S2623" s="10" t="str">
        <f t="shared" si="204"/>
        <v/>
      </c>
    </row>
    <row r="2624" spans="5:19" x14ac:dyDescent="0.3">
      <c r="E2624" s="9" t="str">
        <f>IF(DADOS!C2624="","",DADOS!C2624)</f>
        <v/>
      </c>
      <c r="F2624" s="9" t="str">
        <f>IF(DADOS!E2624="","",DADOS!E2624)</f>
        <v/>
      </c>
      <c r="G2624" s="9" t="str">
        <f>IF(DADOS!F2624="","",DADOS!F2624)</f>
        <v/>
      </c>
      <c r="K2624" s="6" t="str">
        <f t="shared" si="205"/>
        <v/>
      </c>
      <c r="L2624" s="7" t="str">
        <f t="shared" si="206"/>
        <v/>
      </c>
      <c r="M2624" s="7" t="str">
        <f t="shared" si="203"/>
        <v/>
      </c>
      <c r="N2624" s="7" t="str">
        <f t="shared" si="207"/>
        <v/>
      </c>
      <c r="O2624" s="8"/>
      <c r="P2624" s="26"/>
      <c r="S2624" s="10" t="str">
        <f t="shared" si="204"/>
        <v/>
      </c>
    </row>
    <row r="2625" spans="5:19" x14ac:dyDescent="0.3">
      <c r="E2625" s="9" t="str">
        <f>IF(DADOS!C2625="","",DADOS!C2625)</f>
        <v/>
      </c>
      <c r="F2625" s="9" t="str">
        <f>IF(DADOS!E2625="","",DADOS!E2625)</f>
        <v/>
      </c>
      <c r="G2625" s="9" t="str">
        <f>IF(DADOS!F2625="","",DADOS!F2625)</f>
        <v/>
      </c>
      <c r="K2625" s="6" t="str">
        <f t="shared" si="205"/>
        <v/>
      </c>
      <c r="L2625" s="7" t="str">
        <f t="shared" si="206"/>
        <v/>
      </c>
      <c r="M2625" s="7" t="str">
        <f t="shared" si="203"/>
        <v/>
      </c>
      <c r="N2625" s="7" t="str">
        <f t="shared" si="207"/>
        <v/>
      </c>
      <c r="O2625" s="8"/>
      <c r="P2625" s="26"/>
      <c r="S2625" s="10" t="str">
        <f t="shared" si="204"/>
        <v/>
      </c>
    </row>
    <row r="2626" spans="5:19" x14ac:dyDescent="0.3">
      <c r="E2626" s="9" t="str">
        <f>IF(DADOS!C2626="","",DADOS!C2626)</f>
        <v/>
      </c>
      <c r="F2626" s="9" t="str">
        <f>IF(DADOS!E2626="","",DADOS!E2626)</f>
        <v/>
      </c>
      <c r="G2626" s="9" t="str">
        <f>IF(DADOS!F2626="","",DADOS!F2626)</f>
        <v/>
      </c>
      <c r="K2626" s="6" t="str">
        <f t="shared" si="205"/>
        <v/>
      </c>
      <c r="L2626" s="7" t="str">
        <f t="shared" si="206"/>
        <v/>
      </c>
      <c r="M2626" s="7" t="str">
        <f t="shared" si="203"/>
        <v/>
      </c>
      <c r="N2626" s="7" t="str">
        <f t="shared" si="207"/>
        <v/>
      </c>
      <c r="O2626" s="8"/>
      <c r="P2626" s="26"/>
      <c r="S2626" s="10" t="str">
        <f t="shared" si="204"/>
        <v/>
      </c>
    </row>
    <row r="2627" spans="5:19" x14ac:dyDescent="0.3">
      <c r="E2627" s="9" t="str">
        <f>IF(DADOS!C2627="","",DADOS!C2627)</f>
        <v/>
      </c>
      <c r="F2627" s="9" t="str">
        <f>IF(DADOS!E2627="","",DADOS!E2627)</f>
        <v/>
      </c>
      <c r="G2627" s="9" t="str">
        <f>IF(DADOS!F2627="","",DADOS!F2627)</f>
        <v/>
      </c>
      <c r="K2627" s="6" t="str">
        <f t="shared" si="205"/>
        <v/>
      </c>
      <c r="L2627" s="7" t="str">
        <f t="shared" si="206"/>
        <v/>
      </c>
      <c r="M2627" s="7" t="str">
        <f t="shared" ref="M2627:M2690" si="208">IF(L2627="","",L2627*G2627)</f>
        <v/>
      </c>
      <c r="N2627" s="7" t="str">
        <f t="shared" si="207"/>
        <v/>
      </c>
      <c r="O2627" s="8"/>
      <c r="P2627" s="26"/>
      <c r="S2627" s="10" t="str">
        <f t="shared" ref="S2627:S2690" si="209">IF(R2627="","",SUMIFS($N$3:$N$10000,$E$3:$E$10000,R2627))</f>
        <v/>
      </c>
    </row>
    <row r="2628" spans="5:19" x14ac:dyDescent="0.3">
      <c r="E2628" s="9" t="str">
        <f>IF(DADOS!C2628="","",DADOS!C2628)</f>
        <v/>
      </c>
      <c r="F2628" s="9" t="str">
        <f>IF(DADOS!E2628="","",DADOS!E2628)</f>
        <v/>
      </c>
      <c r="G2628" s="9" t="str">
        <f>IF(DADOS!F2628="","",DADOS!F2628)</f>
        <v/>
      </c>
      <c r="K2628" s="6" t="str">
        <f t="shared" ref="K2628:K2691" si="210">IF(F2628="","",F2628/PI())</f>
        <v/>
      </c>
      <c r="L2628" s="7" t="str">
        <f t="shared" ref="L2628:L2691" si="211">IF(K2628="","",(PI()*K2628^2)/40000)</f>
        <v/>
      </c>
      <c r="M2628" s="7" t="str">
        <f t="shared" si="208"/>
        <v/>
      </c>
      <c r="N2628" s="7" t="str">
        <f t="shared" ref="N2628:N2691" si="212">IF(M2628="","",M2628*N$1)</f>
        <v/>
      </c>
      <c r="O2628" s="8"/>
      <c r="P2628" s="26"/>
      <c r="S2628" s="10" t="str">
        <f t="shared" si="209"/>
        <v/>
      </c>
    </row>
    <row r="2629" spans="5:19" x14ac:dyDescent="0.3">
      <c r="E2629" s="9" t="str">
        <f>IF(DADOS!C2629="","",DADOS!C2629)</f>
        <v/>
      </c>
      <c r="F2629" s="9" t="str">
        <f>IF(DADOS!E2629="","",DADOS!E2629)</f>
        <v/>
      </c>
      <c r="G2629" s="9" t="str">
        <f>IF(DADOS!F2629="","",DADOS!F2629)</f>
        <v/>
      </c>
      <c r="K2629" s="6" t="str">
        <f t="shared" si="210"/>
        <v/>
      </c>
      <c r="L2629" s="7" t="str">
        <f t="shared" si="211"/>
        <v/>
      </c>
      <c r="M2629" s="7" t="str">
        <f t="shared" si="208"/>
        <v/>
      </c>
      <c r="N2629" s="7" t="str">
        <f t="shared" si="212"/>
        <v/>
      </c>
      <c r="O2629" s="8"/>
      <c r="P2629" s="26"/>
      <c r="S2629" s="10" t="str">
        <f t="shared" si="209"/>
        <v/>
      </c>
    </row>
    <row r="2630" spans="5:19" x14ac:dyDescent="0.3">
      <c r="E2630" s="9" t="str">
        <f>IF(DADOS!C2630="","",DADOS!C2630)</f>
        <v/>
      </c>
      <c r="F2630" s="9" t="str">
        <f>IF(DADOS!E2630="","",DADOS!E2630)</f>
        <v/>
      </c>
      <c r="G2630" s="9" t="str">
        <f>IF(DADOS!F2630="","",DADOS!F2630)</f>
        <v/>
      </c>
      <c r="K2630" s="6" t="str">
        <f t="shared" si="210"/>
        <v/>
      </c>
      <c r="L2630" s="7" t="str">
        <f t="shared" si="211"/>
        <v/>
      </c>
      <c r="M2630" s="7" t="str">
        <f t="shared" si="208"/>
        <v/>
      </c>
      <c r="N2630" s="7" t="str">
        <f t="shared" si="212"/>
        <v/>
      </c>
      <c r="O2630" s="8"/>
      <c r="P2630" s="26"/>
      <c r="S2630" s="10" t="str">
        <f t="shared" si="209"/>
        <v/>
      </c>
    </row>
    <row r="2631" spans="5:19" x14ac:dyDescent="0.3">
      <c r="E2631" s="9" t="str">
        <f>IF(DADOS!C2631="","",DADOS!C2631)</f>
        <v/>
      </c>
      <c r="F2631" s="9" t="str">
        <f>IF(DADOS!E2631="","",DADOS!E2631)</f>
        <v/>
      </c>
      <c r="G2631" s="9" t="str">
        <f>IF(DADOS!F2631="","",DADOS!F2631)</f>
        <v/>
      </c>
      <c r="K2631" s="6" t="str">
        <f t="shared" si="210"/>
        <v/>
      </c>
      <c r="L2631" s="7" t="str">
        <f t="shared" si="211"/>
        <v/>
      </c>
      <c r="M2631" s="7" t="str">
        <f t="shared" si="208"/>
        <v/>
      </c>
      <c r="N2631" s="7" t="str">
        <f t="shared" si="212"/>
        <v/>
      </c>
      <c r="O2631" s="8"/>
      <c r="P2631" s="26"/>
      <c r="S2631" s="10" t="str">
        <f t="shared" si="209"/>
        <v/>
      </c>
    </row>
    <row r="2632" spans="5:19" x14ac:dyDescent="0.3">
      <c r="E2632" s="9" t="str">
        <f>IF(DADOS!C2632="","",DADOS!C2632)</f>
        <v/>
      </c>
      <c r="F2632" s="9" t="str">
        <f>IF(DADOS!E2632="","",DADOS!E2632)</f>
        <v/>
      </c>
      <c r="G2632" s="9" t="str">
        <f>IF(DADOS!F2632="","",DADOS!F2632)</f>
        <v/>
      </c>
      <c r="K2632" s="6" t="str">
        <f t="shared" si="210"/>
        <v/>
      </c>
      <c r="L2632" s="7" t="str">
        <f t="shared" si="211"/>
        <v/>
      </c>
      <c r="M2632" s="7" t="str">
        <f t="shared" si="208"/>
        <v/>
      </c>
      <c r="N2632" s="7" t="str">
        <f t="shared" si="212"/>
        <v/>
      </c>
      <c r="O2632" s="8"/>
      <c r="P2632" s="26"/>
      <c r="S2632" s="10" t="str">
        <f t="shared" si="209"/>
        <v/>
      </c>
    </row>
    <row r="2633" spans="5:19" x14ac:dyDescent="0.3">
      <c r="E2633" s="9" t="str">
        <f>IF(DADOS!C2633="","",DADOS!C2633)</f>
        <v/>
      </c>
      <c r="F2633" s="9" t="str">
        <f>IF(DADOS!E2633="","",DADOS!E2633)</f>
        <v/>
      </c>
      <c r="G2633" s="9" t="str">
        <f>IF(DADOS!F2633="","",DADOS!F2633)</f>
        <v/>
      </c>
      <c r="K2633" s="6" t="str">
        <f t="shared" si="210"/>
        <v/>
      </c>
      <c r="L2633" s="7" t="str">
        <f t="shared" si="211"/>
        <v/>
      </c>
      <c r="M2633" s="7" t="str">
        <f t="shared" si="208"/>
        <v/>
      </c>
      <c r="N2633" s="7" t="str">
        <f t="shared" si="212"/>
        <v/>
      </c>
      <c r="O2633" s="8"/>
      <c r="P2633" s="26"/>
      <c r="S2633" s="10" t="str">
        <f t="shared" si="209"/>
        <v/>
      </c>
    </row>
    <row r="2634" spans="5:19" x14ac:dyDescent="0.3">
      <c r="E2634" s="9" t="str">
        <f>IF(DADOS!C2634="","",DADOS!C2634)</f>
        <v/>
      </c>
      <c r="F2634" s="9" t="str">
        <f>IF(DADOS!E2634="","",DADOS!E2634)</f>
        <v/>
      </c>
      <c r="G2634" s="9" t="str">
        <f>IF(DADOS!F2634="","",DADOS!F2634)</f>
        <v/>
      </c>
      <c r="K2634" s="6" t="str">
        <f t="shared" si="210"/>
        <v/>
      </c>
      <c r="L2634" s="7" t="str">
        <f t="shared" si="211"/>
        <v/>
      </c>
      <c r="M2634" s="7" t="str">
        <f t="shared" si="208"/>
        <v/>
      </c>
      <c r="N2634" s="7" t="str">
        <f t="shared" si="212"/>
        <v/>
      </c>
      <c r="O2634" s="8"/>
      <c r="P2634" s="26"/>
      <c r="S2634" s="10" t="str">
        <f t="shared" si="209"/>
        <v/>
      </c>
    </row>
    <row r="2635" spans="5:19" x14ac:dyDescent="0.3">
      <c r="E2635" s="9" t="str">
        <f>IF(DADOS!C2635="","",DADOS!C2635)</f>
        <v/>
      </c>
      <c r="F2635" s="9" t="str">
        <f>IF(DADOS!E2635="","",DADOS!E2635)</f>
        <v/>
      </c>
      <c r="G2635" s="9" t="str">
        <f>IF(DADOS!F2635="","",DADOS!F2635)</f>
        <v/>
      </c>
      <c r="K2635" s="6" t="str">
        <f t="shared" si="210"/>
        <v/>
      </c>
      <c r="L2635" s="7" t="str">
        <f t="shared" si="211"/>
        <v/>
      </c>
      <c r="M2635" s="7" t="str">
        <f t="shared" si="208"/>
        <v/>
      </c>
      <c r="N2635" s="7" t="str">
        <f t="shared" si="212"/>
        <v/>
      </c>
      <c r="O2635" s="8"/>
      <c r="P2635" s="26"/>
      <c r="S2635" s="10" t="str">
        <f t="shared" si="209"/>
        <v/>
      </c>
    </row>
    <row r="2636" spans="5:19" x14ac:dyDescent="0.3">
      <c r="E2636" s="9" t="str">
        <f>IF(DADOS!C2636="","",DADOS!C2636)</f>
        <v/>
      </c>
      <c r="F2636" s="9" t="str">
        <f>IF(DADOS!E2636="","",DADOS!E2636)</f>
        <v/>
      </c>
      <c r="G2636" s="9" t="str">
        <f>IF(DADOS!F2636="","",DADOS!F2636)</f>
        <v/>
      </c>
      <c r="K2636" s="6" t="str">
        <f t="shared" si="210"/>
        <v/>
      </c>
      <c r="L2636" s="7" t="str">
        <f t="shared" si="211"/>
        <v/>
      </c>
      <c r="M2636" s="7" t="str">
        <f t="shared" si="208"/>
        <v/>
      </c>
      <c r="N2636" s="7" t="str">
        <f t="shared" si="212"/>
        <v/>
      </c>
      <c r="O2636" s="8"/>
      <c r="P2636" s="26"/>
      <c r="S2636" s="10" t="str">
        <f t="shared" si="209"/>
        <v/>
      </c>
    </row>
    <row r="2637" spans="5:19" x14ac:dyDescent="0.3">
      <c r="E2637" s="9" t="str">
        <f>IF(DADOS!C2637="","",DADOS!C2637)</f>
        <v/>
      </c>
      <c r="F2637" s="9" t="str">
        <f>IF(DADOS!E2637="","",DADOS!E2637)</f>
        <v/>
      </c>
      <c r="G2637" s="9" t="str">
        <f>IF(DADOS!F2637="","",DADOS!F2637)</f>
        <v/>
      </c>
      <c r="K2637" s="6" t="str">
        <f t="shared" si="210"/>
        <v/>
      </c>
      <c r="L2637" s="7" t="str">
        <f t="shared" si="211"/>
        <v/>
      </c>
      <c r="M2637" s="7" t="str">
        <f t="shared" si="208"/>
        <v/>
      </c>
      <c r="N2637" s="7" t="str">
        <f t="shared" si="212"/>
        <v/>
      </c>
      <c r="O2637" s="8"/>
      <c r="P2637" s="26"/>
      <c r="S2637" s="10" t="str">
        <f t="shared" si="209"/>
        <v/>
      </c>
    </row>
    <row r="2638" spans="5:19" x14ac:dyDescent="0.3">
      <c r="E2638" s="9" t="str">
        <f>IF(DADOS!C2638="","",DADOS!C2638)</f>
        <v/>
      </c>
      <c r="F2638" s="9" t="str">
        <f>IF(DADOS!E2638="","",DADOS!E2638)</f>
        <v/>
      </c>
      <c r="G2638" s="9" t="str">
        <f>IF(DADOS!F2638="","",DADOS!F2638)</f>
        <v/>
      </c>
      <c r="K2638" s="6" t="str">
        <f t="shared" si="210"/>
        <v/>
      </c>
      <c r="L2638" s="7" t="str">
        <f t="shared" si="211"/>
        <v/>
      </c>
      <c r="M2638" s="7" t="str">
        <f t="shared" si="208"/>
        <v/>
      </c>
      <c r="N2638" s="7" t="str">
        <f t="shared" si="212"/>
        <v/>
      </c>
      <c r="O2638" s="8"/>
      <c r="P2638" s="26"/>
      <c r="S2638" s="10" t="str">
        <f t="shared" si="209"/>
        <v/>
      </c>
    </row>
    <row r="2639" spans="5:19" x14ac:dyDescent="0.3">
      <c r="E2639" s="9" t="str">
        <f>IF(DADOS!C2639="","",DADOS!C2639)</f>
        <v/>
      </c>
      <c r="F2639" s="9" t="str">
        <f>IF(DADOS!E2639="","",DADOS!E2639)</f>
        <v/>
      </c>
      <c r="G2639" s="9" t="str">
        <f>IF(DADOS!F2639="","",DADOS!F2639)</f>
        <v/>
      </c>
      <c r="K2639" s="6" t="str">
        <f t="shared" si="210"/>
        <v/>
      </c>
      <c r="L2639" s="7" t="str">
        <f t="shared" si="211"/>
        <v/>
      </c>
      <c r="M2639" s="7" t="str">
        <f t="shared" si="208"/>
        <v/>
      </c>
      <c r="N2639" s="7" t="str">
        <f t="shared" si="212"/>
        <v/>
      </c>
      <c r="O2639" s="8"/>
      <c r="P2639" s="26"/>
      <c r="S2639" s="10" t="str">
        <f t="shared" si="209"/>
        <v/>
      </c>
    </row>
    <row r="2640" spans="5:19" x14ac:dyDescent="0.3">
      <c r="E2640" s="9" t="str">
        <f>IF(DADOS!C2640="","",DADOS!C2640)</f>
        <v/>
      </c>
      <c r="F2640" s="9" t="str">
        <f>IF(DADOS!E2640="","",DADOS!E2640)</f>
        <v/>
      </c>
      <c r="G2640" s="9" t="str">
        <f>IF(DADOS!F2640="","",DADOS!F2640)</f>
        <v/>
      </c>
      <c r="K2640" s="6" t="str">
        <f t="shared" si="210"/>
        <v/>
      </c>
      <c r="L2640" s="7" t="str">
        <f t="shared" si="211"/>
        <v/>
      </c>
      <c r="M2640" s="7" t="str">
        <f t="shared" si="208"/>
        <v/>
      </c>
      <c r="N2640" s="7" t="str">
        <f t="shared" si="212"/>
        <v/>
      </c>
      <c r="O2640" s="8"/>
      <c r="P2640" s="26"/>
      <c r="S2640" s="10" t="str">
        <f t="shared" si="209"/>
        <v/>
      </c>
    </row>
    <row r="2641" spans="5:19" x14ac:dyDescent="0.3">
      <c r="E2641" s="9" t="str">
        <f>IF(DADOS!C2641="","",DADOS!C2641)</f>
        <v/>
      </c>
      <c r="F2641" s="9" t="str">
        <f>IF(DADOS!E2641="","",DADOS!E2641)</f>
        <v/>
      </c>
      <c r="G2641" s="9" t="str">
        <f>IF(DADOS!F2641="","",DADOS!F2641)</f>
        <v/>
      </c>
      <c r="K2641" s="6" t="str">
        <f t="shared" si="210"/>
        <v/>
      </c>
      <c r="L2641" s="7" t="str">
        <f t="shared" si="211"/>
        <v/>
      </c>
      <c r="M2641" s="7" t="str">
        <f t="shared" si="208"/>
        <v/>
      </c>
      <c r="N2641" s="7" t="str">
        <f t="shared" si="212"/>
        <v/>
      </c>
      <c r="O2641" s="8"/>
      <c r="P2641" s="26"/>
      <c r="S2641" s="10" t="str">
        <f t="shared" si="209"/>
        <v/>
      </c>
    </row>
    <row r="2642" spans="5:19" x14ac:dyDescent="0.3">
      <c r="E2642" s="9" t="str">
        <f>IF(DADOS!C2642="","",DADOS!C2642)</f>
        <v/>
      </c>
      <c r="F2642" s="9" t="str">
        <f>IF(DADOS!E2642="","",DADOS!E2642)</f>
        <v/>
      </c>
      <c r="G2642" s="9" t="str">
        <f>IF(DADOS!F2642="","",DADOS!F2642)</f>
        <v/>
      </c>
      <c r="K2642" s="6" t="str">
        <f t="shared" si="210"/>
        <v/>
      </c>
      <c r="L2642" s="7" t="str">
        <f t="shared" si="211"/>
        <v/>
      </c>
      <c r="M2642" s="7" t="str">
        <f t="shared" si="208"/>
        <v/>
      </c>
      <c r="N2642" s="7" t="str">
        <f t="shared" si="212"/>
        <v/>
      </c>
      <c r="O2642" s="8"/>
      <c r="P2642" s="26"/>
      <c r="S2642" s="10" t="str">
        <f t="shared" si="209"/>
        <v/>
      </c>
    </row>
    <row r="2643" spans="5:19" x14ac:dyDescent="0.3">
      <c r="E2643" s="9" t="str">
        <f>IF(DADOS!C2643="","",DADOS!C2643)</f>
        <v/>
      </c>
      <c r="F2643" s="9" t="str">
        <f>IF(DADOS!E2643="","",DADOS!E2643)</f>
        <v/>
      </c>
      <c r="G2643" s="9" t="str">
        <f>IF(DADOS!F2643="","",DADOS!F2643)</f>
        <v/>
      </c>
      <c r="K2643" s="6" t="str">
        <f t="shared" si="210"/>
        <v/>
      </c>
      <c r="L2643" s="7" t="str">
        <f t="shared" si="211"/>
        <v/>
      </c>
      <c r="M2643" s="7" t="str">
        <f t="shared" si="208"/>
        <v/>
      </c>
      <c r="N2643" s="7" t="str">
        <f t="shared" si="212"/>
        <v/>
      </c>
      <c r="O2643" s="8"/>
      <c r="P2643" s="26"/>
      <c r="S2643" s="10" t="str">
        <f t="shared" si="209"/>
        <v/>
      </c>
    </row>
    <row r="2644" spans="5:19" x14ac:dyDescent="0.3">
      <c r="E2644" s="9" t="str">
        <f>IF(DADOS!C2644="","",DADOS!C2644)</f>
        <v/>
      </c>
      <c r="F2644" s="9" t="str">
        <f>IF(DADOS!E2644="","",DADOS!E2644)</f>
        <v/>
      </c>
      <c r="G2644" s="9" t="str">
        <f>IF(DADOS!F2644="","",DADOS!F2644)</f>
        <v/>
      </c>
      <c r="K2644" s="6" t="str">
        <f t="shared" si="210"/>
        <v/>
      </c>
      <c r="L2644" s="7" t="str">
        <f t="shared" si="211"/>
        <v/>
      </c>
      <c r="M2644" s="7" t="str">
        <f t="shared" si="208"/>
        <v/>
      </c>
      <c r="N2644" s="7" t="str">
        <f t="shared" si="212"/>
        <v/>
      </c>
      <c r="O2644" s="8"/>
      <c r="P2644" s="26"/>
      <c r="S2644" s="10" t="str">
        <f t="shared" si="209"/>
        <v/>
      </c>
    </row>
    <row r="2645" spans="5:19" x14ac:dyDescent="0.3">
      <c r="E2645" s="9" t="str">
        <f>IF(DADOS!C2645="","",DADOS!C2645)</f>
        <v/>
      </c>
      <c r="F2645" s="9" t="str">
        <f>IF(DADOS!E2645="","",DADOS!E2645)</f>
        <v/>
      </c>
      <c r="G2645" s="9" t="str">
        <f>IF(DADOS!F2645="","",DADOS!F2645)</f>
        <v/>
      </c>
      <c r="K2645" s="6" t="str">
        <f t="shared" si="210"/>
        <v/>
      </c>
      <c r="L2645" s="7" t="str">
        <f t="shared" si="211"/>
        <v/>
      </c>
      <c r="M2645" s="7" t="str">
        <f t="shared" si="208"/>
        <v/>
      </c>
      <c r="N2645" s="7" t="str">
        <f t="shared" si="212"/>
        <v/>
      </c>
      <c r="O2645" s="8"/>
      <c r="P2645" s="26"/>
      <c r="S2645" s="10" t="str">
        <f t="shared" si="209"/>
        <v/>
      </c>
    </row>
    <row r="2646" spans="5:19" x14ac:dyDescent="0.3">
      <c r="E2646" s="9" t="str">
        <f>IF(DADOS!C2646="","",DADOS!C2646)</f>
        <v/>
      </c>
      <c r="F2646" s="9" t="str">
        <f>IF(DADOS!E2646="","",DADOS!E2646)</f>
        <v/>
      </c>
      <c r="G2646" s="9" t="str">
        <f>IF(DADOS!F2646="","",DADOS!F2646)</f>
        <v/>
      </c>
      <c r="K2646" s="6" t="str">
        <f t="shared" si="210"/>
        <v/>
      </c>
      <c r="L2646" s="7" t="str">
        <f t="shared" si="211"/>
        <v/>
      </c>
      <c r="M2646" s="7" t="str">
        <f t="shared" si="208"/>
        <v/>
      </c>
      <c r="N2646" s="7" t="str">
        <f t="shared" si="212"/>
        <v/>
      </c>
      <c r="O2646" s="8"/>
      <c r="P2646" s="26"/>
      <c r="S2646" s="10" t="str">
        <f t="shared" si="209"/>
        <v/>
      </c>
    </row>
    <row r="2647" spans="5:19" x14ac:dyDescent="0.3">
      <c r="E2647" s="9" t="str">
        <f>IF(DADOS!C2647="","",DADOS!C2647)</f>
        <v/>
      </c>
      <c r="F2647" s="9" t="str">
        <f>IF(DADOS!E2647="","",DADOS!E2647)</f>
        <v/>
      </c>
      <c r="G2647" s="9" t="str">
        <f>IF(DADOS!F2647="","",DADOS!F2647)</f>
        <v/>
      </c>
      <c r="K2647" s="6" t="str">
        <f t="shared" si="210"/>
        <v/>
      </c>
      <c r="L2647" s="7" t="str">
        <f t="shared" si="211"/>
        <v/>
      </c>
      <c r="M2647" s="7" t="str">
        <f t="shared" si="208"/>
        <v/>
      </c>
      <c r="N2647" s="7" t="str">
        <f t="shared" si="212"/>
        <v/>
      </c>
      <c r="O2647" s="8"/>
      <c r="P2647" s="26"/>
      <c r="S2647" s="10" t="str">
        <f t="shared" si="209"/>
        <v/>
      </c>
    </row>
    <row r="2648" spans="5:19" x14ac:dyDescent="0.3">
      <c r="E2648" s="9" t="str">
        <f>IF(DADOS!C2648="","",DADOS!C2648)</f>
        <v/>
      </c>
      <c r="F2648" s="9" t="str">
        <f>IF(DADOS!E2648="","",DADOS!E2648)</f>
        <v/>
      </c>
      <c r="G2648" s="9" t="str">
        <f>IF(DADOS!F2648="","",DADOS!F2648)</f>
        <v/>
      </c>
      <c r="K2648" s="6" t="str">
        <f t="shared" si="210"/>
        <v/>
      </c>
      <c r="L2648" s="7" t="str">
        <f t="shared" si="211"/>
        <v/>
      </c>
      <c r="M2648" s="7" t="str">
        <f t="shared" si="208"/>
        <v/>
      </c>
      <c r="N2648" s="7" t="str">
        <f t="shared" si="212"/>
        <v/>
      </c>
      <c r="O2648" s="8"/>
      <c r="P2648" s="26"/>
      <c r="S2648" s="10" t="str">
        <f t="shared" si="209"/>
        <v/>
      </c>
    </row>
    <row r="2649" spans="5:19" x14ac:dyDescent="0.3">
      <c r="E2649" s="9" t="str">
        <f>IF(DADOS!C2649="","",DADOS!C2649)</f>
        <v/>
      </c>
      <c r="F2649" s="9" t="str">
        <f>IF(DADOS!E2649="","",DADOS!E2649)</f>
        <v/>
      </c>
      <c r="G2649" s="9" t="str">
        <f>IF(DADOS!F2649="","",DADOS!F2649)</f>
        <v/>
      </c>
      <c r="K2649" s="6" t="str">
        <f t="shared" si="210"/>
        <v/>
      </c>
      <c r="L2649" s="7" t="str">
        <f t="shared" si="211"/>
        <v/>
      </c>
      <c r="M2649" s="7" t="str">
        <f t="shared" si="208"/>
        <v/>
      </c>
      <c r="N2649" s="7" t="str">
        <f t="shared" si="212"/>
        <v/>
      </c>
      <c r="O2649" s="8"/>
      <c r="P2649" s="26"/>
      <c r="S2649" s="10" t="str">
        <f t="shared" si="209"/>
        <v/>
      </c>
    </row>
    <row r="2650" spans="5:19" x14ac:dyDescent="0.3">
      <c r="E2650" s="9" t="str">
        <f>IF(DADOS!C2650="","",DADOS!C2650)</f>
        <v/>
      </c>
      <c r="F2650" s="9" t="str">
        <f>IF(DADOS!E2650="","",DADOS!E2650)</f>
        <v/>
      </c>
      <c r="G2650" s="9" t="str">
        <f>IF(DADOS!F2650="","",DADOS!F2650)</f>
        <v/>
      </c>
      <c r="K2650" s="6" t="str">
        <f t="shared" si="210"/>
        <v/>
      </c>
      <c r="L2650" s="7" t="str">
        <f t="shared" si="211"/>
        <v/>
      </c>
      <c r="M2650" s="7" t="str">
        <f t="shared" si="208"/>
        <v/>
      </c>
      <c r="N2650" s="7" t="str">
        <f t="shared" si="212"/>
        <v/>
      </c>
      <c r="O2650" s="8"/>
      <c r="P2650" s="26"/>
      <c r="S2650" s="10" t="str">
        <f t="shared" si="209"/>
        <v/>
      </c>
    </row>
    <row r="2651" spans="5:19" x14ac:dyDescent="0.3">
      <c r="E2651" s="9" t="str">
        <f>IF(DADOS!C2651="","",DADOS!C2651)</f>
        <v/>
      </c>
      <c r="F2651" s="9" t="str">
        <f>IF(DADOS!E2651="","",DADOS!E2651)</f>
        <v/>
      </c>
      <c r="G2651" s="9" t="str">
        <f>IF(DADOS!F2651="","",DADOS!F2651)</f>
        <v/>
      </c>
      <c r="K2651" s="6" t="str">
        <f t="shared" si="210"/>
        <v/>
      </c>
      <c r="L2651" s="7" t="str">
        <f t="shared" si="211"/>
        <v/>
      </c>
      <c r="M2651" s="7" t="str">
        <f t="shared" si="208"/>
        <v/>
      </c>
      <c r="N2651" s="7" t="str">
        <f t="shared" si="212"/>
        <v/>
      </c>
      <c r="O2651" s="8"/>
      <c r="P2651" s="26"/>
      <c r="S2651" s="10" t="str">
        <f t="shared" si="209"/>
        <v/>
      </c>
    </row>
    <row r="2652" spans="5:19" x14ac:dyDescent="0.3">
      <c r="E2652" s="9" t="str">
        <f>IF(DADOS!C2652="","",DADOS!C2652)</f>
        <v/>
      </c>
      <c r="F2652" s="9" t="str">
        <f>IF(DADOS!E2652="","",DADOS!E2652)</f>
        <v/>
      </c>
      <c r="G2652" s="9" t="str">
        <f>IF(DADOS!F2652="","",DADOS!F2652)</f>
        <v/>
      </c>
      <c r="K2652" s="6" t="str">
        <f t="shared" si="210"/>
        <v/>
      </c>
      <c r="L2652" s="7" t="str">
        <f t="shared" si="211"/>
        <v/>
      </c>
      <c r="M2652" s="7" t="str">
        <f t="shared" si="208"/>
        <v/>
      </c>
      <c r="N2652" s="7" t="str">
        <f t="shared" si="212"/>
        <v/>
      </c>
      <c r="O2652" s="8"/>
      <c r="P2652" s="26"/>
      <c r="S2652" s="10" t="str">
        <f t="shared" si="209"/>
        <v/>
      </c>
    </row>
    <row r="2653" spans="5:19" x14ac:dyDescent="0.3">
      <c r="E2653" s="9" t="str">
        <f>IF(DADOS!C2653="","",DADOS!C2653)</f>
        <v/>
      </c>
      <c r="F2653" s="9" t="str">
        <f>IF(DADOS!E2653="","",DADOS!E2653)</f>
        <v/>
      </c>
      <c r="G2653" s="9" t="str">
        <f>IF(DADOS!F2653="","",DADOS!F2653)</f>
        <v/>
      </c>
      <c r="K2653" s="6" t="str">
        <f t="shared" si="210"/>
        <v/>
      </c>
      <c r="L2653" s="7" t="str">
        <f t="shared" si="211"/>
        <v/>
      </c>
      <c r="M2653" s="7" t="str">
        <f t="shared" si="208"/>
        <v/>
      </c>
      <c r="N2653" s="7" t="str">
        <f t="shared" si="212"/>
        <v/>
      </c>
      <c r="O2653" s="8"/>
      <c r="P2653" s="26"/>
      <c r="S2653" s="10" t="str">
        <f t="shared" si="209"/>
        <v/>
      </c>
    </row>
    <row r="2654" spans="5:19" x14ac:dyDescent="0.3">
      <c r="E2654" s="9" t="str">
        <f>IF(DADOS!C2654="","",DADOS!C2654)</f>
        <v/>
      </c>
      <c r="F2654" s="9" t="str">
        <f>IF(DADOS!E2654="","",DADOS!E2654)</f>
        <v/>
      </c>
      <c r="G2654" s="9" t="str">
        <f>IF(DADOS!F2654="","",DADOS!F2654)</f>
        <v/>
      </c>
      <c r="K2654" s="6" t="str">
        <f t="shared" si="210"/>
        <v/>
      </c>
      <c r="L2654" s="7" t="str">
        <f t="shared" si="211"/>
        <v/>
      </c>
      <c r="M2654" s="7" t="str">
        <f t="shared" si="208"/>
        <v/>
      </c>
      <c r="N2654" s="7" t="str">
        <f t="shared" si="212"/>
        <v/>
      </c>
      <c r="O2654" s="8"/>
      <c r="P2654" s="26"/>
      <c r="S2654" s="10" t="str">
        <f t="shared" si="209"/>
        <v/>
      </c>
    </row>
    <row r="2655" spans="5:19" x14ac:dyDescent="0.3">
      <c r="E2655" s="9" t="str">
        <f>IF(DADOS!C2655="","",DADOS!C2655)</f>
        <v/>
      </c>
      <c r="F2655" s="9" t="str">
        <f>IF(DADOS!E2655="","",DADOS!E2655)</f>
        <v/>
      </c>
      <c r="G2655" s="9" t="str">
        <f>IF(DADOS!F2655="","",DADOS!F2655)</f>
        <v/>
      </c>
      <c r="K2655" s="6" t="str">
        <f t="shared" si="210"/>
        <v/>
      </c>
      <c r="L2655" s="7" t="str">
        <f t="shared" si="211"/>
        <v/>
      </c>
      <c r="M2655" s="7" t="str">
        <f t="shared" si="208"/>
        <v/>
      </c>
      <c r="N2655" s="7" t="str">
        <f t="shared" si="212"/>
        <v/>
      </c>
      <c r="O2655" s="8"/>
      <c r="P2655" s="26"/>
      <c r="S2655" s="10" t="str">
        <f t="shared" si="209"/>
        <v/>
      </c>
    </row>
    <row r="2656" spans="5:19" x14ac:dyDescent="0.3">
      <c r="E2656" s="9" t="str">
        <f>IF(DADOS!C2656="","",DADOS!C2656)</f>
        <v/>
      </c>
      <c r="F2656" s="9" t="str">
        <f>IF(DADOS!E2656="","",DADOS!E2656)</f>
        <v/>
      </c>
      <c r="G2656" s="9" t="str">
        <f>IF(DADOS!F2656="","",DADOS!F2656)</f>
        <v/>
      </c>
      <c r="K2656" s="6" t="str">
        <f t="shared" si="210"/>
        <v/>
      </c>
      <c r="L2656" s="7" t="str">
        <f t="shared" si="211"/>
        <v/>
      </c>
      <c r="M2656" s="7" t="str">
        <f t="shared" si="208"/>
        <v/>
      </c>
      <c r="N2656" s="7" t="str">
        <f t="shared" si="212"/>
        <v/>
      </c>
      <c r="O2656" s="8"/>
      <c r="P2656" s="26"/>
      <c r="S2656" s="10" t="str">
        <f t="shared" si="209"/>
        <v/>
      </c>
    </row>
    <row r="2657" spans="5:19" x14ac:dyDescent="0.3">
      <c r="E2657" s="9" t="str">
        <f>IF(DADOS!C2657="","",DADOS!C2657)</f>
        <v/>
      </c>
      <c r="F2657" s="9" t="str">
        <f>IF(DADOS!E2657="","",DADOS!E2657)</f>
        <v/>
      </c>
      <c r="G2657" s="9" t="str">
        <f>IF(DADOS!F2657="","",DADOS!F2657)</f>
        <v/>
      </c>
      <c r="K2657" s="6" t="str">
        <f t="shared" si="210"/>
        <v/>
      </c>
      <c r="L2657" s="7" t="str">
        <f t="shared" si="211"/>
        <v/>
      </c>
      <c r="M2657" s="7" t="str">
        <f t="shared" si="208"/>
        <v/>
      </c>
      <c r="N2657" s="7" t="str">
        <f t="shared" si="212"/>
        <v/>
      </c>
      <c r="O2657" s="8"/>
      <c r="P2657" s="26"/>
      <c r="S2657" s="10" t="str">
        <f t="shared" si="209"/>
        <v/>
      </c>
    </row>
    <row r="2658" spans="5:19" x14ac:dyDescent="0.3">
      <c r="E2658" s="9" t="str">
        <f>IF(DADOS!C2658="","",DADOS!C2658)</f>
        <v/>
      </c>
      <c r="F2658" s="9" t="str">
        <f>IF(DADOS!E2658="","",DADOS!E2658)</f>
        <v/>
      </c>
      <c r="G2658" s="9" t="str">
        <f>IF(DADOS!F2658="","",DADOS!F2658)</f>
        <v/>
      </c>
      <c r="K2658" s="6" t="str">
        <f t="shared" si="210"/>
        <v/>
      </c>
      <c r="L2658" s="7" t="str">
        <f t="shared" si="211"/>
        <v/>
      </c>
      <c r="M2658" s="7" t="str">
        <f t="shared" si="208"/>
        <v/>
      </c>
      <c r="N2658" s="7" t="str">
        <f t="shared" si="212"/>
        <v/>
      </c>
      <c r="O2658" s="8"/>
      <c r="P2658" s="26"/>
      <c r="S2658" s="10" t="str">
        <f t="shared" si="209"/>
        <v/>
      </c>
    </row>
    <row r="2659" spans="5:19" x14ac:dyDescent="0.3">
      <c r="E2659" s="9" t="str">
        <f>IF(DADOS!C2659="","",DADOS!C2659)</f>
        <v/>
      </c>
      <c r="F2659" s="9" t="str">
        <f>IF(DADOS!E2659="","",DADOS!E2659)</f>
        <v/>
      </c>
      <c r="G2659" s="9" t="str">
        <f>IF(DADOS!F2659="","",DADOS!F2659)</f>
        <v/>
      </c>
      <c r="K2659" s="6" t="str">
        <f t="shared" si="210"/>
        <v/>
      </c>
      <c r="L2659" s="7" t="str">
        <f t="shared" si="211"/>
        <v/>
      </c>
      <c r="M2659" s="7" t="str">
        <f t="shared" si="208"/>
        <v/>
      </c>
      <c r="N2659" s="7" t="str">
        <f t="shared" si="212"/>
        <v/>
      </c>
      <c r="O2659" s="8"/>
      <c r="P2659" s="26"/>
      <c r="S2659" s="10" t="str">
        <f t="shared" si="209"/>
        <v/>
      </c>
    </row>
    <row r="2660" spans="5:19" x14ac:dyDescent="0.3">
      <c r="E2660" s="9" t="str">
        <f>IF(DADOS!C2660="","",DADOS!C2660)</f>
        <v/>
      </c>
      <c r="F2660" s="9" t="str">
        <f>IF(DADOS!E2660="","",DADOS!E2660)</f>
        <v/>
      </c>
      <c r="G2660" s="9" t="str">
        <f>IF(DADOS!F2660="","",DADOS!F2660)</f>
        <v/>
      </c>
      <c r="K2660" s="6" t="str">
        <f t="shared" si="210"/>
        <v/>
      </c>
      <c r="L2660" s="7" t="str">
        <f t="shared" si="211"/>
        <v/>
      </c>
      <c r="M2660" s="7" t="str">
        <f t="shared" si="208"/>
        <v/>
      </c>
      <c r="N2660" s="7" t="str">
        <f t="shared" si="212"/>
        <v/>
      </c>
      <c r="O2660" s="8"/>
      <c r="P2660" s="26"/>
      <c r="S2660" s="10" t="str">
        <f t="shared" si="209"/>
        <v/>
      </c>
    </row>
    <row r="2661" spans="5:19" x14ac:dyDescent="0.3">
      <c r="E2661" s="9" t="str">
        <f>IF(DADOS!C2661="","",DADOS!C2661)</f>
        <v/>
      </c>
      <c r="F2661" s="9" t="str">
        <f>IF(DADOS!E2661="","",DADOS!E2661)</f>
        <v/>
      </c>
      <c r="G2661" s="9" t="str">
        <f>IF(DADOS!F2661="","",DADOS!F2661)</f>
        <v/>
      </c>
      <c r="K2661" s="6" t="str">
        <f t="shared" si="210"/>
        <v/>
      </c>
      <c r="L2661" s="7" t="str">
        <f t="shared" si="211"/>
        <v/>
      </c>
      <c r="M2661" s="7" t="str">
        <f t="shared" si="208"/>
        <v/>
      </c>
      <c r="N2661" s="7" t="str">
        <f t="shared" si="212"/>
        <v/>
      </c>
      <c r="O2661" s="8"/>
      <c r="P2661" s="26"/>
      <c r="S2661" s="10" t="str">
        <f t="shared" si="209"/>
        <v/>
      </c>
    </row>
    <row r="2662" spans="5:19" x14ac:dyDescent="0.3">
      <c r="E2662" s="9" t="str">
        <f>IF(DADOS!C2662="","",DADOS!C2662)</f>
        <v/>
      </c>
      <c r="F2662" s="9" t="str">
        <f>IF(DADOS!E2662="","",DADOS!E2662)</f>
        <v/>
      </c>
      <c r="G2662" s="9" t="str">
        <f>IF(DADOS!F2662="","",DADOS!F2662)</f>
        <v/>
      </c>
      <c r="K2662" s="6" t="str">
        <f t="shared" si="210"/>
        <v/>
      </c>
      <c r="L2662" s="7" t="str">
        <f t="shared" si="211"/>
        <v/>
      </c>
      <c r="M2662" s="7" t="str">
        <f t="shared" si="208"/>
        <v/>
      </c>
      <c r="N2662" s="7" t="str">
        <f t="shared" si="212"/>
        <v/>
      </c>
      <c r="O2662" s="8"/>
      <c r="P2662" s="26"/>
      <c r="S2662" s="10" t="str">
        <f t="shared" si="209"/>
        <v/>
      </c>
    </row>
    <row r="2663" spans="5:19" x14ac:dyDescent="0.3">
      <c r="E2663" s="9" t="str">
        <f>IF(DADOS!C2663="","",DADOS!C2663)</f>
        <v/>
      </c>
      <c r="F2663" s="9" t="str">
        <f>IF(DADOS!E2663="","",DADOS!E2663)</f>
        <v/>
      </c>
      <c r="G2663" s="9" t="str">
        <f>IF(DADOS!F2663="","",DADOS!F2663)</f>
        <v/>
      </c>
      <c r="K2663" s="6" t="str">
        <f t="shared" si="210"/>
        <v/>
      </c>
      <c r="L2663" s="7" t="str">
        <f t="shared" si="211"/>
        <v/>
      </c>
      <c r="M2663" s="7" t="str">
        <f t="shared" si="208"/>
        <v/>
      </c>
      <c r="N2663" s="7" t="str">
        <f t="shared" si="212"/>
        <v/>
      </c>
      <c r="O2663" s="8"/>
      <c r="P2663" s="26"/>
      <c r="S2663" s="10" t="str">
        <f t="shared" si="209"/>
        <v/>
      </c>
    </row>
    <row r="2664" spans="5:19" x14ac:dyDescent="0.3">
      <c r="E2664" s="9" t="str">
        <f>IF(DADOS!C2664="","",DADOS!C2664)</f>
        <v/>
      </c>
      <c r="F2664" s="9" t="str">
        <f>IF(DADOS!E2664="","",DADOS!E2664)</f>
        <v/>
      </c>
      <c r="G2664" s="9" t="str">
        <f>IF(DADOS!F2664="","",DADOS!F2664)</f>
        <v/>
      </c>
      <c r="K2664" s="6" t="str">
        <f t="shared" si="210"/>
        <v/>
      </c>
      <c r="L2664" s="7" t="str">
        <f t="shared" si="211"/>
        <v/>
      </c>
      <c r="M2664" s="7" t="str">
        <f t="shared" si="208"/>
        <v/>
      </c>
      <c r="N2664" s="7" t="str">
        <f t="shared" si="212"/>
        <v/>
      </c>
      <c r="O2664" s="8"/>
      <c r="P2664" s="26"/>
      <c r="S2664" s="10" t="str">
        <f t="shared" si="209"/>
        <v/>
      </c>
    </row>
    <row r="2665" spans="5:19" x14ac:dyDescent="0.3">
      <c r="E2665" s="9" t="str">
        <f>IF(DADOS!C2665="","",DADOS!C2665)</f>
        <v/>
      </c>
      <c r="F2665" s="9" t="str">
        <f>IF(DADOS!E2665="","",DADOS!E2665)</f>
        <v/>
      </c>
      <c r="G2665" s="9" t="str">
        <f>IF(DADOS!F2665="","",DADOS!F2665)</f>
        <v/>
      </c>
      <c r="K2665" s="6" t="str">
        <f t="shared" si="210"/>
        <v/>
      </c>
      <c r="L2665" s="7" t="str">
        <f t="shared" si="211"/>
        <v/>
      </c>
      <c r="M2665" s="7" t="str">
        <f t="shared" si="208"/>
        <v/>
      </c>
      <c r="N2665" s="7" t="str">
        <f t="shared" si="212"/>
        <v/>
      </c>
      <c r="O2665" s="8"/>
      <c r="P2665" s="26"/>
      <c r="S2665" s="10" t="str">
        <f t="shared" si="209"/>
        <v/>
      </c>
    </row>
    <row r="2666" spans="5:19" x14ac:dyDescent="0.3">
      <c r="E2666" s="9" t="str">
        <f>IF(DADOS!C2666="","",DADOS!C2666)</f>
        <v/>
      </c>
      <c r="F2666" s="9" t="str">
        <f>IF(DADOS!E2666="","",DADOS!E2666)</f>
        <v/>
      </c>
      <c r="G2666" s="9" t="str">
        <f>IF(DADOS!F2666="","",DADOS!F2666)</f>
        <v/>
      </c>
      <c r="K2666" s="6" t="str">
        <f t="shared" si="210"/>
        <v/>
      </c>
      <c r="L2666" s="7" t="str">
        <f t="shared" si="211"/>
        <v/>
      </c>
      <c r="M2666" s="7" t="str">
        <f t="shared" si="208"/>
        <v/>
      </c>
      <c r="N2666" s="7" t="str">
        <f t="shared" si="212"/>
        <v/>
      </c>
      <c r="O2666" s="8"/>
      <c r="P2666" s="26"/>
      <c r="S2666" s="10" t="str">
        <f t="shared" si="209"/>
        <v/>
      </c>
    </row>
    <row r="2667" spans="5:19" x14ac:dyDescent="0.3">
      <c r="E2667" s="9" t="str">
        <f>IF(DADOS!C2667="","",DADOS!C2667)</f>
        <v/>
      </c>
      <c r="F2667" s="9" t="str">
        <f>IF(DADOS!E2667="","",DADOS!E2667)</f>
        <v/>
      </c>
      <c r="G2667" s="9" t="str">
        <f>IF(DADOS!F2667="","",DADOS!F2667)</f>
        <v/>
      </c>
      <c r="K2667" s="6" t="str">
        <f t="shared" si="210"/>
        <v/>
      </c>
      <c r="L2667" s="7" t="str">
        <f t="shared" si="211"/>
        <v/>
      </c>
      <c r="M2667" s="7" t="str">
        <f t="shared" si="208"/>
        <v/>
      </c>
      <c r="N2667" s="7" t="str">
        <f t="shared" si="212"/>
        <v/>
      </c>
      <c r="O2667" s="8"/>
      <c r="P2667" s="26"/>
      <c r="S2667" s="10" t="str">
        <f t="shared" si="209"/>
        <v/>
      </c>
    </row>
    <row r="2668" spans="5:19" x14ac:dyDescent="0.3">
      <c r="E2668" s="9" t="str">
        <f>IF(DADOS!C2668="","",DADOS!C2668)</f>
        <v/>
      </c>
      <c r="F2668" s="9" t="str">
        <f>IF(DADOS!E2668="","",DADOS!E2668)</f>
        <v/>
      </c>
      <c r="G2668" s="9" t="str">
        <f>IF(DADOS!F2668="","",DADOS!F2668)</f>
        <v/>
      </c>
      <c r="K2668" s="6" t="str">
        <f t="shared" si="210"/>
        <v/>
      </c>
      <c r="L2668" s="7" t="str">
        <f t="shared" si="211"/>
        <v/>
      </c>
      <c r="M2668" s="7" t="str">
        <f t="shared" si="208"/>
        <v/>
      </c>
      <c r="N2668" s="7" t="str">
        <f t="shared" si="212"/>
        <v/>
      </c>
      <c r="O2668" s="8"/>
      <c r="P2668" s="26"/>
      <c r="S2668" s="10" t="str">
        <f t="shared" si="209"/>
        <v/>
      </c>
    </row>
    <row r="2669" spans="5:19" x14ac:dyDescent="0.3">
      <c r="E2669" s="9" t="str">
        <f>IF(DADOS!C2669="","",DADOS!C2669)</f>
        <v/>
      </c>
      <c r="F2669" s="9" t="str">
        <f>IF(DADOS!E2669="","",DADOS!E2669)</f>
        <v/>
      </c>
      <c r="G2669" s="9" t="str">
        <f>IF(DADOS!F2669="","",DADOS!F2669)</f>
        <v/>
      </c>
      <c r="K2669" s="6" t="str">
        <f t="shared" si="210"/>
        <v/>
      </c>
      <c r="L2669" s="7" t="str">
        <f t="shared" si="211"/>
        <v/>
      </c>
      <c r="M2669" s="7" t="str">
        <f t="shared" si="208"/>
        <v/>
      </c>
      <c r="N2669" s="7" t="str">
        <f t="shared" si="212"/>
        <v/>
      </c>
      <c r="O2669" s="8"/>
      <c r="P2669" s="26"/>
      <c r="S2669" s="10" t="str">
        <f t="shared" si="209"/>
        <v/>
      </c>
    </row>
    <row r="2670" spans="5:19" x14ac:dyDescent="0.3">
      <c r="E2670" s="9" t="str">
        <f>IF(DADOS!C2670="","",DADOS!C2670)</f>
        <v/>
      </c>
      <c r="F2670" s="9" t="str">
        <f>IF(DADOS!E2670="","",DADOS!E2670)</f>
        <v/>
      </c>
      <c r="G2670" s="9" t="str">
        <f>IF(DADOS!F2670="","",DADOS!F2670)</f>
        <v/>
      </c>
      <c r="K2670" s="6" t="str">
        <f t="shared" si="210"/>
        <v/>
      </c>
      <c r="L2670" s="7" t="str">
        <f t="shared" si="211"/>
        <v/>
      </c>
      <c r="M2670" s="7" t="str">
        <f t="shared" si="208"/>
        <v/>
      </c>
      <c r="N2670" s="7" t="str">
        <f t="shared" si="212"/>
        <v/>
      </c>
      <c r="O2670" s="8"/>
      <c r="P2670" s="26"/>
      <c r="S2670" s="10" t="str">
        <f t="shared" si="209"/>
        <v/>
      </c>
    </row>
    <row r="2671" spans="5:19" x14ac:dyDescent="0.3">
      <c r="E2671" s="9" t="str">
        <f>IF(DADOS!C2671="","",DADOS!C2671)</f>
        <v/>
      </c>
      <c r="F2671" s="9" t="str">
        <f>IF(DADOS!E2671="","",DADOS!E2671)</f>
        <v/>
      </c>
      <c r="G2671" s="9" t="str">
        <f>IF(DADOS!F2671="","",DADOS!F2671)</f>
        <v/>
      </c>
      <c r="K2671" s="6" t="str">
        <f t="shared" si="210"/>
        <v/>
      </c>
      <c r="L2671" s="7" t="str">
        <f t="shared" si="211"/>
        <v/>
      </c>
      <c r="M2671" s="7" t="str">
        <f t="shared" si="208"/>
        <v/>
      </c>
      <c r="N2671" s="7" t="str">
        <f t="shared" si="212"/>
        <v/>
      </c>
      <c r="O2671" s="8"/>
      <c r="P2671" s="26"/>
      <c r="S2671" s="10" t="str">
        <f t="shared" si="209"/>
        <v/>
      </c>
    </row>
    <row r="2672" spans="5:19" x14ac:dyDescent="0.3">
      <c r="E2672" s="9" t="str">
        <f>IF(DADOS!C2672="","",DADOS!C2672)</f>
        <v/>
      </c>
      <c r="F2672" s="9" t="str">
        <f>IF(DADOS!E2672="","",DADOS!E2672)</f>
        <v/>
      </c>
      <c r="G2672" s="9" t="str">
        <f>IF(DADOS!F2672="","",DADOS!F2672)</f>
        <v/>
      </c>
      <c r="K2672" s="6" t="str">
        <f t="shared" si="210"/>
        <v/>
      </c>
      <c r="L2672" s="7" t="str">
        <f t="shared" si="211"/>
        <v/>
      </c>
      <c r="M2672" s="7" t="str">
        <f t="shared" si="208"/>
        <v/>
      </c>
      <c r="N2672" s="7" t="str">
        <f t="shared" si="212"/>
        <v/>
      </c>
      <c r="O2672" s="8"/>
      <c r="P2672" s="26"/>
      <c r="S2672" s="10" t="str">
        <f t="shared" si="209"/>
        <v/>
      </c>
    </row>
    <row r="2673" spans="5:19" x14ac:dyDescent="0.3">
      <c r="E2673" s="9" t="str">
        <f>IF(DADOS!C2673="","",DADOS!C2673)</f>
        <v/>
      </c>
      <c r="F2673" s="9" t="str">
        <f>IF(DADOS!E2673="","",DADOS!E2673)</f>
        <v/>
      </c>
      <c r="G2673" s="9" t="str">
        <f>IF(DADOS!F2673="","",DADOS!F2673)</f>
        <v/>
      </c>
      <c r="K2673" s="6" t="str">
        <f t="shared" si="210"/>
        <v/>
      </c>
      <c r="L2673" s="7" t="str">
        <f t="shared" si="211"/>
        <v/>
      </c>
      <c r="M2673" s="7" t="str">
        <f t="shared" si="208"/>
        <v/>
      </c>
      <c r="N2673" s="7" t="str">
        <f t="shared" si="212"/>
        <v/>
      </c>
      <c r="O2673" s="8"/>
      <c r="P2673" s="26"/>
      <c r="S2673" s="10" t="str">
        <f t="shared" si="209"/>
        <v/>
      </c>
    </row>
    <row r="2674" spans="5:19" x14ac:dyDescent="0.3">
      <c r="E2674" s="9" t="str">
        <f>IF(DADOS!C2674="","",DADOS!C2674)</f>
        <v/>
      </c>
      <c r="F2674" s="9" t="str">
        <f>IF(DADOS!E2674="","",DADOS!E2674)</f>
        <v/>
      </c>
      <c r="G2674" s="9" t="str">
        <f>IF(DADOS!F2674="","",DADOS!F2674)</f>
        <v/>
      </c>
      <c r="K2674" s="6" t="str">
        <f t="shared" si="210"/>
        <v/>
      </c>
      <c r="L2674" s="7" t="str">
        <f t="shared" si="211"/>
        <v/>
      </c>
      <c r="M2674" s="7" t="str">
        <f t="shared" si="208"/>
        <v/>
      </c>
      <c r="N2674" s="7" t="str">
        <f t="shared" si="212"/>
        <v/>
      </c>
      <c r="O2674" s="8"/>
      <c r="P2674" s="26"/>
      <c r="S2674" s="10" t="str">
        <f t="shared" si="209"/>
        <v/>
      </c>
    </row>
    <row r="2675" spans="5:19" x14ac:dyDescent="0.3">
      <c r="E2675" s="9" t="str">
        <f>IF(DADOS!C2675="","",DADOS!C2675)</f>
        <v/>
      </c>
      <c r="F2675" s="9" t="str">
        <f>IF(DADOS!E2675="","",DADOS!E2675)</f>
        <v/>
      </c>
      <c r="G2675" s="9" t="str">
        <f>IF(DADOS!F2675="","",DADOS!F2675)</f>
        <v/>
      </c>
      <c r="K2675" s="6" t="str">
        <f t="shared" si="210"/>
        <v/>
      </c>
      <c r="L2675" s="7" t="str">
        <f t="shared" si="211"/>
        <v/>
      </c>
      <c r="M2675" s="7" t="str">
        <f t="shared" si="208"/>
        <v/>
      </c>
      <c r="N2675" s="7" t="str">
        <f t="shared" si="212"/>
        <v/>
      </c>
      <c r="O2675" s="8"/>
      <c r="P2675" s="26"/>
      <c r="S2675" s="10" t="str">
        <f t="shared" si="209"/>
        <v/>
      </c>
    </row>
    <row r="2676" spans="5:19" x14ac:dyDescent="0.3">
      <c r="E2676" s="9" t="str">
        <f>IF(DADOS!C2676="","",DADOS!C2676)</f>
        <v/>
      </c>
      <c r="F2676" s="9" t="str">
        <f>IF(DADOS!E2676="","",DADOS!E2676)</f>
        <v/>
      </c>
      <c r="G2676" s="9" t="str">
        <f>IF(DADOS!F2676="","",DADOS!F2676)</f>
        <v/>
      </c>
      <c r="K2676" s="6" t="str">
        <f t="shared" si="210"/>
        <v/>
      </c>
      <c r="L2676" s="7" t="str">
        <f t="shared" si="211"/>
        <v/>
      </c>
      <c r="M2676" s="7" t="str">
        <f t="shared" si="208"/>
        <v/>
      </c>
      <c r="N2676" s="7" t="str">
        <f t="shared" si="212"/>
        <v/>
      </c>
      <c r="O2676" s="8"/>
      <c r="P2676" s="26"/>
      <c r="S2676" s="10" t="str">
        <f t="shared" si="209"/>
        <v/>
      </c>
    </row>
    <row r="2677" spans="5:19" x14ac:dyDescent="0.3">
      <c r="E2677" s="9" t="str">
        <f>IF(DADOS!C2677="","",DADOS!C2677)</f>
        <v/>
      </c>
      <c r="F2677" s="9" t="str">
        <f>IF(DADOS!E2677="","",DADOS!E2677)</f>
        <v/>
      </c>
      <c r="G2677" s="9" t="str">
        <f>IF(DADOS!F2677="","",DADOS!F2677)</f>
        <v/>
      </c>
      <c r="K2677" s="6" t="str">
        <f t="shared" si="210"/>
        <v/>
      </c>
      <c r="L2677" s="7" t="str">
        <f t="shared" si="211"/>
        <v/>
      </c>
      <c r="M2677" s="7" t="str">
        <f t="shared" si="208"/>
        <v/>
      </c>
      <c r="N2677" s="7" t="str">
        <f t="shared" si="212"/>
        <v/>
      </c>
      <c r="O2677" s="8"/>
      <c r="P2677" s="26"/>
      <c r="S2677" s="10" t="str">
        <f t="shared" si="209"/>
        <v/>
      </c>
    </row>
    <row r="2678" spans="5:19" x14ac:dyDescent="0.3">
      <c r="E2678" s="9" t="str">
        <f>IF(DADOS!C2678="","",DADOS!C2678)</f>
        <v/>
      </c>
      <c r="F2678" s="9" t="str">
        <f>IF(DADOS!E2678="","",DADOS!E2678)</f>
        <v/>
      </c>
      <c r="G2678" s="9" t="str">
        <f>IF(DADOS!F2678="","",DADOS!F2678)</f>
        <v/>
      </c>
      <c r="K2678" s="6" t="str">
        <f t="shared" si="210"/>
        <v/>
      </c>
      <c r="L2678" s="7" t="str">
        <f t="shared" si="211"/>
        <v/>
      </c>
      <c r="M2678" s="7" t="str">
        <f t="shared" si="208"/>
        <v/>
      </c>
      <c r="N2678" s="7" t="str">
        <f t="shared" si="212"/>
        <v/>
      </c>
      <c r="O2678" s="8"/>
      <c r="P2678" s="26"/>
      <c r="S2678" s="10" t="str">
        <f t="shared" si="209"/>
        <v/>
      </c>
    </row>
    <row r="2679" spans="5:19" x14ac:dyDescent="0.3">
      <c r="E2679" s="9" t="str">
        <f>IF(DADOS!C2679="","",DADOS!C2679)</f>
        <v/>
      </c>
      <c r="F2679" s="9" t="str">
        <f>IF(DADOS!E2679="","",DADOS!E2679)</f>
        <v/>
      </c>
      <c r="G2679" s="9" t="str">
        <f>IF(DADOS!F2679="","",DADOS!F2679)</f>
        <v/>
      </c>
      <c r="K2679" s="6" t="str">
        <f t="shared" si="210"/>
        <v/>
      </c>
      <c r="L2679" s="7" t="str">
        <f t="shared" si="211"/>
        <v/>
      </c>
      <c r="M2679" s="7" t="str">
        <f t="shared" si="208"/>
        <v/>
      </c>
      <c r="N2679" s="7" t="str">
        <f t="shared" si="212"/>
        <v/>
      </c>
      <c r="O2679" s="8"/>
      <c r="P2679" s="26"/>
      <c r="S2679" s="10" t="str">
        <f t="shared" si="209"/>
        <v/>
      </c>
    </row>
    <row r="2680" spans="5:19" x14ac:dyDescent="0.3">
      <c r="E2680" s="9" t="str">
        <f>IF(DADOS!C2680="","",DADOS!C2680)</f>
        <v/>
      </c>
      <c r="F2680" s="9" t="str">
        <f>IF(DADOS!E2680="","",DADOS!E2680)</f>
        <v/>
      </c>
      <c r="G2680" s="9" t="str">
        <f>IF(DADOS!F2680="","",DADOS!F2680)</f>
        <v/>
      </c>
      <c r="K2680" s="6" t="str">
        <f t="shared" si="210"/>
        <v/>
      </c>
      <c r="L2680" s="7" t="str">
        <f t="shared" si="211"/>
        <v/>
      </c>
      <c r="M2680" s="7" t="str">
        <f t="shared" si="208"/>
        <v/>
      </c>
      <c r="N2680" s="7" t="str">
        <f t="shared" si="212"/>
        <v/>
      </c>
      <c r="O2680" s="8"/>
      <c r="P2680" s="26"/>
      <c r="S2680" s="10" t="str">
        <f t="shared" si="209"/>
        <v/>
      </c>
    </row>
    <row r="2681" spans="5:19" x14ac:dyDescent="0.3">
      <c r="E2681" s="9" t="str">
        <f>IF(DADOS!C2681="","",DADOS!C2681)</f>
        <v/>
      </c>
      <c r="F2681" s="9" t="str">
        <f>IF(DADOS!E2681="","",DADOS!E2681)</f>
        <v/>
      </c>
      <c r="G2681" s="9" t="str">
        <f>IF(DADOS!F2681="","",DADOS!F2681)</f>
        <v/>
      </c>
      <c r="K2681" s="6" t="str">
        <f t="shared" si="210"/>
        <v/>
      </c>
      <c r="L2681" s="7" t="str">
        <f t="shared" si="211"/>
        <v/>
      </c>
      <c r="M2681" s="7" t="str">
        <f t="shared" si="208"/>
        <v/>
      </c>
      <c r="N2681" s="7" t="str">
        <f t="shared" si="212"/>
        <v/>
      </c>
      <c r="O2681" s="8"/>
      <c r="P2681" s="26"/>
      <c r="S2681" s="10" t="str">
        <f t="shared" si="209"/>
        <v/>
      </c>
    </row>
    <row r="2682" spans="5:19" x14ac:dyDescent="0.3">
      <c r="E2682" s="9" t="str">
        <f>IF(DADOS!C2682="","",DADOS!C2682)</f>
        <v/>
      </c>
      <c r="F2682" s="9" t="str">
        <f>IF(DADOS!E2682="","",DADOS!E2682)</f>
        <v/>
      </c>
      <c r="G2682" s="9" t="str">
        <f>IF(DADOS!F2682="","",DADOS!F2682)</f>
        <v/>
      </c>
      <c r="K2682" s="6" t="str">
        <f t="shared" si="210"/>
        <v/>
      </c>
      <c r="L2682" s="7" t="str">
        <f t="shared" si="211"/>
        <v/>
      </c>
      <c r="M2682" s="7" t="str">
        <f t="shared" si="208"/>
        <v/>
      </c>
      <c r="N2682" s="7" t="str">
        <f t="shared" si="212"/>
        <v/>
      </c>
      <c r="O2682" s="8"/>
      <c r="P2682" s="26"/>
      <c r="S2682" s="10" t="str">
        <f t="shared" si="209"/>
        <v/>
      </c>
    </row>
    <row r="2683" spans="5:19" x14ac:dyDescent="0.3">
      <c r="E2683" s="9" t="str">
        <f>IF(DADOS!C2683="","",DADOS!C2683)</f>
        <v/>
      </c>
      <c r="F2683" s="9" t="str">
        <f>IF(DADOS!E2683="","",DADOS!E2683)</f>
        <v/>
      </c>
      <c r="G2683" s="9" t="str">
        <f>IF(DADOS!F2683="","",DADOS!F2683)</f>
        <v/>
      </c>
      <c r="K2683" s="6" t="str">
        <f t="shared" si="210"/>
        <v/>
      </c>
      <c r="L2683" s="7" t="str">
        <f t="shared" si="211"/>
        <v/>
      </c>
      <c r="M2683" s="7" t="str">
        <f t="shared" si="208"/>
        <v/>
      </c>
      <c r="N2683" s="7" t="str">
        <f t="shared" si="212"/>
        <v/>
      </c>
      <c r="O2683" s="8"/>
      <c r="P2683" s="26"/>
      <c r="S2683" s="10" t="str">
        <f t="shared" si="209"/>
        <v/>
      </c>
    </row>
    <row r="2684" spans="5:19" x14ac:dyDescent="0.3">
      <c r="E2684" s="9" t="str">
        <f>IF(DADOS!C2684="","",DADOS!C2684)</f>
        <v/>
      </c>
      <c r="F2684" s="9" t="str">
        <f>IF(DADOS!E2684="","",DADOS!E2684)</f>
        <v/>
      </c>
      <c r="G2684" s="9" t="str">
        <f>IF(DADOS!F2684="","",DADOS!F2684)</f>
        <v/>
      </c>
      <c r="K2684" s="6" t="str">
        <f t="shared" si="210"/>
        <v/>
      </c>
      <c r="L2684" s="7" t="str">
        <f t="shared" si="211"/>
        <v/>
      </c>
      <c r="M2684" s="7" t="str">
        <f t="shared" si="208"/>
        <v/>
      </c>
      <c r="N2684" s="7" t="str">
        <f t="shared" si="212"/>
        <v/>
      </c>
      <c r="O2684" s="8"/>
      <c r="P2684" s="26"/>
      <c r="S2684" s="10" t="str">
        <f t="shared" si="209"/>
        <v/>
      </c>
    </row>
    <row r="2685" spans="5:19" x14ac:dyDescent="0.3">
      <c r="E2685" s="9" t="str">
        <f>IF(DADOS!C2685="","",DADOS!C2685)</f>
        <v/>
      </c>
      <c r="F2685" s="9" t="str">
        <f>IF(DADOS!E2685="","",DADOS!E2685)</f>
        <v/>
      </c>
      <c r="G2685" s="9" t="str">
        <f>IF(DADOS!F2685="","",DADOS!F2685)</f>
        <v/>
      </c>
      <c r="K2685" s="6" t="str">
        <f t="shared" si="210"/>
        <v/>
      </c>
      <c r="L2685" s="7" t="str">
        <f t="shared" si="211"/>
        <v/>
      </c>
      <c r="M2685" s="7" t="str">
        <f t="shared" si="208"/>
        <v/>
      </c>
      <c r="N2685" s="7" t="str">
        <f t="shared" si="212"/>
        <v/>
      </c>
      <c r="O2685" s="8"/>
      <c r="P2685" s="26"/>
      <c r="S2685" s="10" t="str">
        <f t="shared" si="209"/>
        <v/>
      </c>
    </row>
    <row r="2686" spans="5:19" x14ac:dyDescent="0.3">
      <c r="E2686" s="9" t="str">
        <f>IF(DADOS!C2686="","",DADOS!C2686)</f>
        <v/>
      </c>
      <c r="F2686" s="9" t="str">
        <f>IF(DADOS!E2686="","",DADOS!E2686)</f>
        <v/>
      </c>
      <c r="G2686" s="9" t="str">
        <f>IF(DADOS!F2686="","",DADOS!F2686)</f>
        <v/>
      </c>
      <c r="K2686" s="6" t="str">
        <f t="shared" si="210"/>
        <v/>
      </c>
      <c r="L2686" s="7" t="str">
        <f t="shared" si="211"/>
        <v/>
      </c>
      <c r="M2686" s="7" t="str">
        <f t="shared" si="208"/>
        <v/>
      </c>
      <c r="N2686" s="7" t="str">
        <f t="shared" si="212"/>
        <v/>
      </c>
      <c r="O2686" s="8"/>
      <c r="P2686" s="26"/>
      <c r="S2686" s="10" t="str">
        <f t="shared" si="209"/>
        <v/>
      </c>
    </row>
    <row r="2687" spans="5:19" x14ac:dyDescent="0.3">
      <c r="E2687" s="9" t="str">
        <f>IF(DADOS!C2687="","",DADOS!C2687)</f>
        <v/>
      </c>
      <c r="F2687" s="9" t="str">
        <f>IF(DADOS!E2687="","",DADOS!E2687)</f>
        <v/>
      </c>
      <c r="G2687" s="9" t="str">
        <f>IF(DADOS!F2687="","",DADOS!F2687)</f>
        <v/>
      </c>
      <c r="K2687" s="6" t="str">
        <f t="shared" si="210"/>
        <v/>
      </c>
      <c r="L2687" s="7" t="str">
        <f t="shared" si="211"/>
        <v/>
      </c>
      <c r="M2687" s="7" t="str">
        <f t="shared" si="208"/>
        <v/>
      </c>
      <c r="N2687" s="7" t="str">
        <f t="shared" si="212"/>
        <v/>
      </c>
      <c r="O2687" s="8"/>
      <c r="P2687" s="26"/>
      <c r="S2687" s="10" t="str">
        <f t="shared" si="209"/>
        <v/>
      </c>
    </row>
    <row r="2688" spans="5:19" x14ac:dyDescent="0.3">
      <c r="E2688" s="9" t="str">
        <f>IF(DADOS!C2688="","",DADOS!C2688)</f>
        <v/>
      </c>
      <c r="F2688" s="9" t="str">
        <f>IF(DADOS!E2688="","",DADOS!E2688)</f>
        <v/>
      </c>
      <c r="G2688" s="9" t="str">
        <f>IF(DADOS!F2688="","",DADOS!F2688)</f>
        <v/>
      </c>
      <c r="K2688" s="6" t="str">
        <f t="shared" si="210"/>
        <v/>
      </c>
      <c r="L2688" s="7" t="str">
        <f t="shared" si="211"/>
        <v/>
      </c>
      <c r="M2688" s="7" t="str">
        <f t="shared" si="208"/>
        <v/>
      </c>
      <c r="N2688" s="7" t="str">
        <f t="shared" si="212"/>
        <v/>
      </c>
      <c r="O2688" s="8"/>
      <c r="P2688" s="26"/>
      <c r="S2688" s="10" t="str">
        <f t="shared" si="209"/>
        <v/>
      </c>
    </row>
    <row r="2689" spans="5:19" x14ac:dyDescent="0.3">
      <c r="E2689" s="9" t="str">
        <f>IF(DADOS!C2689="","",DADOS!C2689)</f>
        <v/>
      </c>
      <c r="F2689" s="9" t="str">
        <f>IF(DADOS!E2689="","",DADOS!E2689)</f>
        <v/>
      </c>
      <c r="G2689" s="9" t="str">
        <f>IF(DADOS!F2689="","",DADOS!F2689)</f>
        <v/>
      </c>
      <c r="K2689" s="6" t="str">
        <f t="shared" si="210"/>
        <v/>
      </c>
      <c r="L2689" s="7" t="str">
        <f t="shared" si="211"/>
        <v/>
      </c>
      <c r="M2689" s="7" t="str">
        <f t="shared" si="208"/>
        <v/>
      </c>
      <c r="N2689" s="7" t="str">
        <f t="shared" si="212"/>
        <v/>
      </c>
      <c r="O2689" s="8"/>
      <c r="P2689" s="26"/>
      <c r="S2689" s="10" t="str">
        <f t="shared" si="209"/>
        <v/>
      </c>
    </row>
    <row r="2690" spans="5:19" x14ac:dyDescent="0.3">
      <c r="E2690" s="9" t="str">
        <f>IF(DADOS!C2690="","",DADOS!C2690)</f>
        <v/>
      </c>
      <c r="F2690" s="9" t="str">
        <f>IF(DADOS!E2690="","",DADOS!E2690)</f>
        <v/>
      </c>
      <c r="G2690" s="9" t="str">
        <f>IF(DADOS!F2690="","",DADOS!F2690)</f>
        <v/>
      </c>
      <c r="K2690" s="6" t="str">
        <f t="shared" si="210"/>
        <v/>
      </c>
      <c r="L2690" s="7" t="str">
        <f t="shared" si="211"/>
        <v/>
      </c>
      <c r="M2690" s="7" t="str">
        <f t="shared" si="208"/>
        <v/>
      </c>
      <c r="N2690" s="7" t="str">
        <f t="shared" si="212"/>
        <v/>
      </c>
      <c r="O2690" s="8"/>
      <c r="P2690" s="26"/>
      <c r="S2690" s="10" t="str">
        <f t="shared" si="209"/>
        <v/>
      </c>
    </row>
    <row r="2691" spans="5:19" x14ac:dyDescent="0.3">
      <c r="E2691" s="9" t="str">
        <f>IF(DADOS!C2691="","",DADOS!C2691)</f>
        <v/>
      </c>
      <c r="F2691" s="9" t="str">
        <f>IF(DADOS!E2691="","",DADOS!E2691)</f>
        <v/>
      </c>
      <c r="G2691" s="9" t="str">
        <f>IF(DADOS!F2691="","",DADOS!F2691)</f>
        <v/>
      </c>
      <c r="K2691" s="6" t="str">
        <f t="shared" si="210"/>
        <v/>
      </c>
      <c r="L2691" s="7" t="str">
        <f t="shared" si="211"/>
        <v/>
      </c>
      <c r="M2691" s="7" t="str">
        <f t="shared" ref="M2691:M2754" si="213">IF(L2691="","",L2691*G2691)</f>
        <v/>
      </c>
      <c r="N2691" s="7" t="str">
        <f t="shared" si="212"/>
        <v/>
      </c>
      <c r="O2691" s="8"/>
      <c r="P2691" s="26"/>
      <c r="S2691" s="10" t="str">
        <f t="shared" ref="S2691:S2754" si="214">IF(R2691="","",SUMIFS($N$3:$N$10000,$E$3:$E$10000,R2691))</f>
        <v/>
      </c>
    </row>
    <row r="2692" spans="5:19" x14ac:dyDescent="0.3">
      <c r="E2692" s="9" t="str">
        <f>IF(DADOS!C2692="","",DADOS!C2692)</f>
        <v/>
      </c>
      <c r="F2692" s="9" t="str">
        <f>IF(DADOS!E2692="","",DADOS!E2692)</f>
        <v/>
      </c>
      <c r="G2692" s="9" t="str">
        <f>IF(DADOS!F2692="","",DADOS!F2692)</f>
        <v/>
      </c>
      <c r="K2692" s="6" t="str">
        <f t="shared" ref="K2692:K2755" si="215">IF(F2692="","",F2692/PI())</f>
        <v/>
      </c>
      <c r="L2692" s="7" t="str">
        <f t="shared" ref="L2692:L2755" si="216">IF(K2692="","",(PI()*K2692^2)/40000)</f>
        <v/>
      </c>
      <c r="M2692" s="7" t="str">
        <f t="shared" si="213"/>
        <v/>
      </c>
      <c r="N2692" s="7" t="str">
        <f t="shared" ref="N2692:N2755" si="217">IF(M2692="","",M2692*N$1)</f>
        <v/>
      </c>
      <c r="O2692" s="8"/>
      <c r="P2692" s="26"/>
      <c r="S2692" s="10" t="str">
        <f t="shared" si="214"/>
        <v/>
      </c>
    </row>
    <row r="2693" spans="5:19" x14ac:dyDescent="0.3">
      <c r="E2693" s="9" t="str">
        <f>IF(DADOS!C2693="","",DADOS!C2693)</f>
        <v/>
      </c>
      <c r="F2693" s="9" t="str">
        <f>IF(DADOS!E2693="","",DADOS!E2693)</f>
        <v/>
      </c>
      <c r="G2693" s="9" t="str">
        <f>IF(DADOS!F2693="","",DADOS!F2693)</f>
        <v/>
      </c>
      <c r="K2693" s="6" t="str">
        <f t="shared" si="215"/>
        <v/>
      </c>
      <c r="L2693" s="7" t="str">
        <f t="shared" si="216"/>
        <v/>
      </c>
      <c r="M2693" s="7" t="str">
        <f t="shared" si="213"/>
        <v/>
      </c>
      <c r="N2693" s="7" t="str">
        <f t="shared" si="217"/>
        <v/>
      </c>
      <c r="O2693" s="8"/>
      <c r="P2693" s="26"/>
      <c r="S2693" s="10" t="str">
        <f t="shared" si="214"/>
        <v/>
      </c>
    </row>
    <row r="2694" spans="5:19" x14ac:dyDescent="0.3">
      <c r="E2694" s="9" t="str">
        <f>IF(DADOS!C2694="","",DADOS!C2694)</f>
        <v/>
      </c>
      <c r="F2694" s="9" t="str">
        <f>IF(DADOS!E2694="","",DADOS!E2694)</f>
        <v/>
      </c>
      <c r="G2694" s="9" t="str">
        <f>IF(DADOS!F2694="","",DADOS!F2694)</f>
        <v/>
      </c>
      <c r="K2694" s="6" t="str">
        <f t="shared" si="215"/>
        <v/>
      </c>
      <c r="L2694" s="7" t="str">
        <f t="shared" si="216"/>
        <v/>
      </c>
      <c r="M2694" s="7" t="str">
        <f t="shared" si="213"/>
        <v/>
      </c>
      <c r="N2694" s="7" t="str">
        <f t="shared" si="217"/>
        <v/>
      </c>
      <c r="O2694" s="8"/>
      <c r="P2694" s="26"/>
      <c r="S2694" s="10" t="str">
        <f t="shared" si="214"/>
        <v/>
      </c>
    </row>
    <row r="2695" spans="5:19" x14ac:dyDescent="0.3">
      <c r="E2695" s="9" t="str">
        <f>IF(DADOS!C2695="","",DADOS!C2695)</f>
        <v/>
      </c>
      <c r="F2695" s="9" t="str">
        <f>IF(DADOS!E2695="","",DADOS!E2695)</f>
        <v/>
      </c>
      <c r="G2695" s="9" t="str">
        <f>IF(DADOS!F2695="","",DADOS!F2695)</f>
        <v/>
      </c>
      <c r="K2695" s="6" t="str">
        <f t="shared" si="215"/>
        <v/>
      </c>
      <c r="L2695" s="7" t="str">
        <f t="shared" si="216"/>
        <v/>
      </c>
      <c r="M2695" s="7" t="str">
        <f t="shared" si="213"/>
        <v/>
      </c>
      <c r="N2695" s="7" t="str">
        <f t="shared" si="217"/>
        <v/>
      </c>
      <c r="O2695" s="8"/>
      <c r="P2695" s="26"/>
      <c r="S2695" s="10" t="str">
        <f t="shared" si="214"/>
        <v/>
      </c>
    </row>
    <row r="2696" spans="5:19" x14ac:dyDescent="0.3">
      <c r="E2696" s="9" t="str">
        <f>IF(DADOS!C2696="","",DADOS!C2696)</f>
        <v/>
      </c>
      <c r="F2696" s="9" t="str">
        <f>IF(DADOS!E2696="","",DADOS!E2696)</f>
        <v/>
      </c>
      <c r="G2696" s="9" t="str">
        <f>IF(DADOS!F2696="","",DADOS!F2696)</f>
        <v/>
      </c>
      <c r="K2696" s="6" t="str">
        <f t="shared" si="215"/>
        <v/>
      </c>
      <c r="L2696" s="7" t="str">
        <f t="shared" si="216"/>
        <v/>
      </c>
      <c r="M2696" s="7" t="str">
        <f t="shared" si="213"/>
        <v/>
      </c>
      <c r="N2696" s="7" t="str">
        <f t="shared" si="217"/>
        <v/>
      </c>
      <c r="O2696" s="8"/>
      <c r="P2696" s="26"/>
      <c r="S2696" s="10" t="str">
        <f t="shared" si="214"/>
        <v/>
      </c>
    </row>
    <row r="2697" spans="5:19" x14ac:dyDescent="0.3">
      <c r="E2697" s="9" t="str">
        <f>IF(DADOS!C2697="","",DADOS!C2697)</f>
        <v/>
      </c>
      <c r="F2697" s="9" t="str">
        <f>IF(DADOS!E2697="","",DADOS!E2697)</f>
        <v/>
      </c>
      <c r="G2697" s="9" t="str">
        <f>IF(DADOS!F2697="","",DADOS!F2697)</f>
        <v/>
      </c>
      <c r="K2697" s="6" t="str">
        <f t="shared" si="215"/>
        <v/>
      </c>
      <c r="L2697" s="7" t="str">
        <f t="shared" si="216"/>
        <v/>
      </c>
      <c r="M2697" s="7" t="str">
        <f t="shared" si="213"/>
        <v/>
      </c>
      <c r="N2697" s="7" t="str">
        <f t="shared" si="217"/>
        <v/>
      </c>
      <c r="O2697" s="8"/>
      <c r="P2697" s="26"/>
      <c r="S2697" s="10" t="str">
        <f t="shared" si="214"/>
        <v/>
      </c>
    </row>
    <row r="2698" spans="5:19" x14ac:dyDescent="0.3">
      <c r="E2698" s="9" t="str">
        <f>IF(DADOS!C2698="","",DADOS!C2698)</f>
        <v/>
      </c>
      <c r="F2698" s="9" t="str">
        <f>IF(DADOS!E2698="","",DADOS!E2698)</f>
        <v/>
      </c>
      <c r="G2698" s="9" t="str">
        <f>IF(DADOS!F2698="","",DADOS!F2698)</f>
        <v/>
      </c>
      <c r="K2698" s="6" t="str">
        <f t="shared" si="215"/>
        <v/>
      </c>
      <c r="L2698" s="7" t="str">
        <f t="shared" si="216"/>
        <v/>
      </c>
      <c r="M2698" s="7" t="str">
        <f t="shared" si="213"/>
        <v/>
      </c>
      <c r="N2698" s="7" t="str">
        <f t="shared" si="217"/>
        <v/>
      </c>
      <c r="O2698" s="8"/>
      <c r="P2698" s="26"/>
      <c r="S2698" s="10" t="str">
        <f t="shared" si="214"/>
        <v/>
      </c>
    </row>
    <row r="2699" spans="5:19" x14ac:dyDescent="0.3">
      <c r="E2699" s="9" t="str">
        <f>IF(DADOS!C2699="","",DADOS!C2699)</f>
        <v/>
      </c>
      <c r="F2699" s="9" t="str">
        <f>IF(DADOS!E2699="","",DADOS!E2699)</f>
        <v/>
      </c>
      <c r="G2699" s="9" t="str">
        <f>IF(DADOS!F2699="","",DADOS!F2699)</f>
        <v/>
      </c>
      <c r="K2699" s="6" t="str">
        <f t="shared" si="215"/>
        <v/>
      </c>
      <c r="L2699" s="7" t="str">
        <f t="shared" si="216"/>
        <v/>
      </c>
      <c r="M2699" s="7" t="str">
        <f t="shared" si="213"/>
        <v/>
      </c>
      <c r="N2699" s="7" t="str">
        <f t="shared" si="217"/>
        <v/>
      </c>
      <c r="O2699" s="8"/>
      <c r="P2699" s="26"/>
      <c r="S2699" s="10" t="str">
        <f t="shared" si="214"/>
        <v/>
      </c>
    </row>
    <row r="2700" spans="5:19" x14ac:dyDescent="0.3">
      <c r="E2700" s="9" t="str">
        <f>IF(DADOS!C2700="","",DADOS!C2700)</f>
        <v/>
      </c>
      <c r="F2700" s="9" t="str">
        <f>IF(DADOS!E2700="","",DADOS!E2700)</f>
        <v/>
      </c>
      <c r="G2700" s="9" t="str">
        <f>IF(DADOS!F2700="","",DADOS!F2700)</f>
        <v/>
      </c>
      <c r="K2700" s="6" t="str">
        <f t="shared" si="215"/>
        <v/>
      </c>
      <c r="L2700" s="7" t="str">
        <f t="shared" si="216"/>
        <v/>
      </c>
      <c r="M2700" s="7" t="str">
        <f t="shared" si="213"/>
        <v/>
      </c>
      <c r="N2700" s="7" t="str">
        <f t="shared" si="217"/>
        <v/>
      </c>
      <c r="O2700" s="8"/>
      <c r="P2700" s="26"/>
      <c r="S2700" s="10" t="str">
        <f t="shared" si="214"/>
        <v/>
      </c>
    </row>
    <row r="2701" spans="5:19" x14ac:dyDescent="0.3">
      <c r="E2701" s="9" t="str">
        <f>IF(DADOS!C2701="","",DADOS!C2701)</f>
        <v/>
      </c>
      <c r="F2701" s="9" t="str">
        <f>IF(DADOS!E2701="","",DADOS!E2701)</f>
        <v/>
      </c>
      <c r="G2701" s="9" t="str">
        <f>IF(DADOS!F2701="","",DADOS!F2701)</f>
        <v/>
      </c>
      <c r="K2701" s="6" t="str">
        <f t="shared" si="215"/>
        <v/>
      </c>
      <c r="L2701" s="7" t="str">
        <f t="shared" si="216"/>
        <v/>
      </c>
      <c r="M2701" s="7" t="str">
        <f t="shared" si="213"/>
        <v/>
      </c>
      <c r="N2701" s="7" t="str">
        <f t="shared" si="217"/>
        <v/>
      </c>
      <c r="O2701" s="8"/>
      <c r="P2701" s="26"/>
      <c r="S2701" s="10" t="str">
        <f t="shared" si="214"/>
        <v/>
      </c>
    </row>
    <row r="2702" spans="5:19" x14ac:dyDescent="0.3">
      <c r="E2702" s="9" t="str">
        <f>IF(DADOS!C2702="","",DADOS!C2702)</f>
        <v/>
      </c>
      <c r="F2702" s="9" t="str">
        <f>IF(DADOS!E2702="","",DADOS!E2702)</f>
        <v/>
      </c>
      <c r="G2702" s="9" t="str">
        <f>IF(DADOS!F2702="","",DADOS!F2702)</f>
        <v/>
      </c>
      <c r="K2702" s="6" t="str">
        <f t="shared" si="215"/>
        <v/>
      </c>
      <c r="L2702" s="7" t="str">
        <f t="shared" si="216"/>
        <v/>
      </c>
      <c r="M2702" s="7" t="str">
        <f t="shared" si="213"/>
        <v/>
      </c>
      <c r="N2702" s="7" t="str">
        <f t="shared" si="217"/>
        <v/>
      </c>
      <c r="O2702" s="8"/>
      <c r="P2702" s="26"/>
      <c r="S2702" s="10" t="str">
        <f t="shared" si="214"/>
        <v/>
      </c>
    </row>
    <row r="2703" spans="5:19" x14ac:dyDescent="0.3">
      <c r="E2703" s="9" t="str">
        <f>IF(DADOS!C2703="","",DADOS!C2703)</f>
        <v/>
      </c>
      <c r="F2703" s="9" t="str">
        <f>IF(DADOS!E2703="","",DADOS!E2703)</f>
        <v/>
      </c>
      <c r="G2703" s="9" t="str">
        <f>IF(DADOS!F2703="","",DADOS!F2703)</f>
        <v/>
      </c>
      <c r="K2703" s="6" t="str">
        <f t="shared" si="215"/>
        <v/>
      </c>
      <c r="L2703" s="7" t="str">
        <f t="shared" si="216"/>
        <v/>
      </c>
      <c r="M2703" s="7" t="str">
        <f t="shared" si="213"/>
        <v/>
      </c>
      <c r="N2703" s="7" t="str">
        <f t="shared" si="217"/>
        <v/>
      </c>
      <c r="O2703" s="8"/>
      <c r="P2703" s="26"/>
      <c r="S2703" s="10" t="str">
        <f t="shared" si="214"/>
        <v/>
      </c>
    </row>
    <row r="2704" spans="5:19" x14ac:dyDescent="0.3">
      <c r="E2704" s="9" t="str">
        <f>IF(DADOS!C2704="","",DADOS!C2704)</f>
        <v/>
      </c>
      <c r="F2704" s="9" t="str">
        <f>IF(DADOS!E2704="","",DADOS!E2704)</f>
        <v/>
      </c>
      <c r="G2704" s="9" t="str">
        <f>IF(DADOS!F2704="","",DADOS!F2704)</f>
        <v/>
      </c>
      <c r="K2704" s="6" t="str">
        <f t="shared" si="215"/>
        <v/>
      </c>
      <c r="L2704" s="7" t="str">
        <f t="shared" si="216"/>
        <v/>
      </c>
      <c r="M2704" s="7" t="str">
        <f t="shared" si="213"/>
        <v/>
      </c>
      <c r="N2704" s="7" t="str">
        <f t="shared" si="217"/>
        <v/>
      </c>
      <c r="O2704" s="8"/>
      <c r="P2704" s="26"/>
      <c r="S2704" s="10" t="str">
        <f t="shared" si="214"/>
        <v/>
      </c>
    </row>
    <row r="2705" spans="5:19" x14ac:dyDescent="0.3">
      <c r="E2705" s="9" t="str">
        <f>IF(DADOS!C2705="","",DADOS!C2705)</f>
        <v/>
      </c>
      <c r="F2705" s="9" t="str">
        <f>IF(DADOS!E2705="","",DADOS!E2705)</f>
        <v/>
      </c>
      <c r="G2705" s="9" t="str">
        <f>IF(DADOS!F2705="","",DADOS!F2705)</f>
        <v/>
      </c>
      <c r="K2705" s="6" t="str">
        <f t="shared" si="215"/>
        <v/>
      </c>
      <c r="L2705" s="7" t="str">
        <f t="shared" si="216"/>
        <v/>
      </c>
      <c r="M2705" s="7" t="str">
        <f t="shared" si="213"/>
        <v/>
      </c>
      <c r="N2705" s="7" t="str">
        <f t="shared" si="217"/>
        <v/>
      </c>
      <c r="O2705" s="8"/>
      <c r="P2705" s="26"/>
      <c r="S2705" s="10" t="str">
        <f t="shared" si="214"/>
        <v/>
      </c>
    </row>
    <row r="2706" spans="5:19" x14ac:dyDescent="0.3">
      <c r="E2706" s="9" t="str">
        <f>IF(DADOS!C2706="","",DADOS!C2706)</f>
        <v/>
      </c>
      <c r="F2706" s="9" t="str">
        <f>IF(DADOS!E2706="","",DADOS!E2706)</f>
        <v/>
      </c>
      <c r="G2706" s="9" t="str">
        <f>IF(DADOS!F2706="","",DADOS!F2706)</f>
        <v/>
      </c>
      <c r="K2706" s="6" t="str">
        <f t="shared" si="215"/>
        <v/>
      </c>
      <c r="L2706" s="7" t="str">
        <f t="shared" si="216"/>
        <v/>
      </c>
      <c r="M2706" s="7" t="str">
        <f t="shared" si="213"/>
        <v/>
      </c>
      <c r="N2706" s="7" t="str">
        <f t="shared" si="217"/>
        <v/>
      </c>
      <c r="O2706" s="8"/>
      <c r="P2706" s="26"/>
      <c r="S2706" s="10" t="str">
        <f t="shared" si="214"/>
        <v/>
      </c>
    </row>
    <row r="2707" spans="5:19" x14ac:dyDescent="0.3">
      <c r="E2707" s="9" t="str">
        <f>IF(DADOS!C2707="","",DADOS!C2707)</f>
        <v/>
      </c>
      <c r="F2707" s="9" t="str">
        <f>IF(DADOS!E2707="","",DADOS!E2707)</f>
        <v/>
      </c>
      <c r="G2707" s="9" t="str">
        <f>IF(DADOS!F2707="","",DADOS!F2707)</f>
        <v/>
      </c>
      <c r="K2707" s="6" t="str">
        <f t="shared" si="215"/>
        <v/>
      </c>
      <c r="L2707" s="7" t="str">
        <f t="shared" si="216"/>
        <v/>
      </c>
      <c r="M2707" s="7" t="str">
        <f t="shared" si="213"/>
        <v/>
      </c>
      <c r="N2707" s="7" t="str">
        <f t="shared" si="217"/>
        <v/>
      </c>
      <c r="O2707" s="8"/>
      <c r="P2707" s="26"/>
      <c r="S2707" s="10" t="str">
        <f t="shared" si="214"/>
        <v/>
      </c>
    </row>
    <row r="2708" spans="5:19" x14ac:dyDescent="0.3">
      <c r="E2708" s="9" t="str">
        <f>IF(DADOS!C2708="","",DADOS!C2708)</f>
        <v/>
      </c>
      <c r="F2708" s="9" t="str">
        <f>IF(DADOS!E2708="","",DADOS!E2708)</f>
        <v/>
      </c>
      <c r="G2708" s="9" t="str">
        <f>IF(DADOS!F2708="","",DADOS!F2708)</f>
        <v/>
      </c>
      <c r="K2708" s="6" t="str">
        <f t="shared" si="215"/>
        <v/>
      </c>
      <c r="L2708" s="7" t="str">
        <f t="shared" si="216"/>
        <v/>
      </c>
      <c r="M2708" s="7" t="str">
        <f t="shared" si="213"/>
        <v/>
      </c>
      <c r="N2708" s="7" t="str">
        <f t="shared" si="217"/>
        <v/>
      </c>
      <c r="O2708" s="8"/>
      <c r="P2708" s="26"/>
      <c r="S2708" s="10" t="str">
        <f t="shared" si="214"/>
        <v/>
      </c>
    </row>
    <row r="2709" spans="5:19" x14ac:dyDescent="0.3">
      <c r="E2709" s="9" t="str">
        <f>IF(DADOS!C2709="","",DADOS!C2709)</f>
        <v/>
      </c>
      <c r="F2709" s="9" t="str">
        <f>IF(DADOS!E2709="","",DADOS!E2709)</f>
        <v/>
      </c>
      <c r="G2709" s="9" t="str">
        <f>IF(DADOS!F2709="","",DADOS!F2709)</f>
        <v/>
      </c>
      <c r="K2709" s="6" t="str">
        <f t="shared" si="215"/>
        <v/>
      </c>
      <c r="L2709" s="7" t="str">
        <f t="shared" si="216"/>
        <v/>
      </c>
      <c r="M2709" s="7" t="str">
        <f t="shared" si="213"/>
        <v/>
      </c>
      <c r="N2709" s="7" t="str">
        <f t="shared" si="217"/>
        <v/>
      </c>
      <c r="O2709" s="8"/>
      <c r="P2709" s="26"/>
      <c r="S2709" s="10" t="str">
        <f t="shared" si="214"/>
        <v/>
      </c>
    </row>
    <row r="2710" spans="5:19" x14ac:dyDescent="0.3">
      <c r="E2710" s="9" t="str">
        <f>IF(DADOS!C2710="","",DADOS!C2710)</f>
        <v/>
      </c>
      <c r="F2710" s="9" t="str">
        <f>IF(DADOS!E2710="","",DADOS!E2710)</f>
        <v/>
      </c>
      <c r="G2710" s="9" t="str">
        <f>IF(DADOS!F2710="","",DADOS!F2710)</f>
        <v/>
      </c>
      <c r="K2710" s="6" t="str">
        <f t="shared" si="215"/>
        <v/>
      </c>
      <c r="L2710" s="7" t="str">
        <f t="shared" si="216"/>
        <v/>
      </c>
      <c r="M2710" s="7" t="str">
        <f t="shared" si="213"/>
        <v/>
      </c>
      <c r="N2710" s="7" t="str">
        <f t="shared" si="217"/>
        <v/>
      </c>
      <c r="O2710" s="8"/>
      <c r="P2710" s="26"/>
      <c r="S2710" s="10" t="str">
        <f t="shared" si="214"/>
        <v/>
      </c>
    </row>
    <row r="2711" spans="5:19" x14ac:dyDescent="0.3">
      <c r="E2711" s="9" t="str">
        <f>IF(DADOS!C2711="","",DADOS!C2711)</f>
        <v/>
      </c>
      <c r="F2711" s="9" t="str">
        <f>IF(DADOS!E2711="","",DADOS!E2711)</f>
        <v/>
      </c>
      <c r="G2711" s="9" t="str">
        <f>IF(DADOS!F2711="","",DADOS!F2711)</f>
        <v/>
      </c>
      <c r="K2711" s="6" t="str">
        <f t="shared" si="215"/>
        <v/>
      </c>
      <c r="L2711" s="7" t="str">
        <f t="shared" si="216"/>
        <v/>
      </c>
      <c r="M2711" s="7" t="str">
        <f t="shared" si="213"/>
        <v/>
      </c>
      <c r="N2711" s="7" t="str">
        <f t="shared" si="217"/>
        <v/>
      </c>
      <c r="O2711" s="8"/>
      <c r="P2711" s="26"/>
      <c r="S2711" s="10" t="str">
        <f t="shared" si="214"/>
        <v/>
      </c>
    </row>
    <row r="2712" spans="5:19" x14ac:dyDescent="0.3">
      <c r="E2712" s="9" t="str">
        <f>IF(DADOS!C2712="","",DADOS!C2712)</f>
        <v/>
      </c>
      <c r="F2712" s="9" t="str">
        <f>IF(DADOS!E2712="","",DADOS!E2712)</f>
        <v/>
      </c>
      <c r="G2712" s="9" t="str">
        <f>IF(DADOS!F2712="","",DADOS!F2712)</f>
        <v/>
      </c>
      <c r="K2712" s="6" t="str">
        <f t="shared" si="215"/>
        <v/>
      </c>
      <c r="L2712" s="7" t="str">
        <f t="shared" si="216"/>
        <v/>
      </c>
      <c r="M2712" s="7" t="str">
        <f t="shared" si="213"/>
        <v/>
      </c>
      <c r="N2712" s="7" t="str">
        <f t="shared" si="217"/>
        <v/>
      </c>
      <c r="O2712" s="8"/>
      <c r="P2712" s="26"/>
      <c r="S2712" s="10" t="str">
        <f t="shared" si="214"/>
        <v/>
      </c>
    </row>
    <row r="2713" spans="5:19" x14ac:dyDescent="0.3">
      <c r="E2713" s="9" t="str">
        <f>IF(DADOS!C2713="","",DADOS!C2713)</f>
        <v/>
      </c>
      <c r="F2713" s="9" t="str">
        <f>IF(DADOS!E2713="","",DADOS!E2713)</f>
        <v/>
      </c>
      <c r="G2713" s="9" t="str">
        <f>IF(DADOS!F2713="","",DADOS!F2713)</f>
        <v/>
      </c>
      <c r="K2713" s="6" t="str">
        <f t="shared" si="215"/>
        <v/>
      </c>
      <c r="L2713" s="7" t="str">
        <f t="shared" si="216"/>
        <v/>
      </c>
      <c r="M2713" s="7" t="str">
        <f t="shared" si="213"/>
        <v/>
      </c>
      <c r="N2713" s="7" t="str">
        <f t="shared" si="217"/>
        <v/>
      </c>
      <c r="O2713" s="8"/>
      <c r="P2713" s="26"/>
      <c r="S2713" s="10" t="str">
        <f t="shared" si="214"/>
        <v/>
      </c>
    </row>
    <row r="2714" spans="5:19" x14ac:dyDescent="0.3">
      <c r="E2714" s="9" t="str">
        <f>IF(DADOS!C2714="","",DADOS!C2714)</f>
        <v/>
      </c>
      <c r="F2714" s="9" t="str">
        <f>IF(DADOS!E2714="","",DADOS!E2714)</f>
        <v/>
      </c>
      <c r="G2714" s="9" t="str">
        <f>IF(DADOS!F2714="","",DADOS!F2714)</f>
        <v/>
      </c>
      <c r="K2714" s="6" t="str">
        <f t="shared" si="215"/>
        <v/>
      </c>
      <c r="L2714" s="7" t="str">
        <f t="shared" si="216"/>
        <v/>
      </c>
      <c r="M2714" s="7" t="str">
        <f t="shared" si="213"/>
        <v/>
      </c>
      <c r="N2714" s="7" t="str">
        <f t="shared" si="217"/>
        <v/>
      </c>
      <c r="O2714" s="8"/>
      <c r="P2714" s="26"/>
      <c r="S2714" s="10" t="str">
        <f t="shared" si="214"/>
        <v/>
      </c>
    </row>
    <row r="2715" spans="5:19" x14ac:dyDescent="0.3">
      <c r="E2715" s="9" t="str">
        <f>IF(DADOS!C2715="","",DADOS!C2715)</f>
        <v/>
      </c>
      <c r="F2715" s="9" t="str">
        <f>IF(DADOS!E2715="","",DADOS!E2715)</f>
        <v/>
      </c>
      <c r="G2715" s="9" t="str">
        <f>IF(DADOS!F2715="","",DADOS!F2715)</f>
        <v/>
      </c>
      <c r="K2715" s="6" t="str">
        <f t="shared" si="215"/>
        <v/>
      </c>
      <c r="L2715" s="7" t="str">
        <f t="shared" si="216"/>
        <v/>
      </c>
      <c r="M2715" s="7" t="str">
        <f t="shared" si="213"/>
        <v/>
      </c>
      <c r="N2715" s="7" t="str">
        <f t="shared" si="217"/>
        <v/>
      </c>
      <c r="O2715" s="8"/>
      <c r="P2715" s="26"/>
      <c r="S2715" s="10" t="str">
        <f t="shared" si="214"/>
        <v/>
      </c>
    </row>
    <row r="2716" spans="5:19" x14ac:dyDescent="0.3">
      <c r="E2716" s="9" t="str">
        <f>IF(DADOS!C2716="","",DADOS!C2716)</f>
        <v/>
      </c>
      <c r="F2716" s="9" t="str">
        <f>IF(DADOS!E2716="","",DADOS!E2716)</f>
        <v/>
      </c>
      <c r="G2716" s="9" t="str">
        <f>IF(DADOS!F2716="","",DADOS!F2716)</f>
        <v/>
      </c>
      <c r="K2716" s="6" t="str">
        <f t="shared" si="215"/>
        <v/>
      </c>
      <c r="L2716" s="7" t="str">
        <f t="shared" si="216"/>
        <v/>
      </c>
      <c r="M2716" s="7" t="str">
        <f t="shared" si="213"/>
        <v/>
      </c>
      <c r="N2716" s="7" t="str">
        <f t="shared" si="217"/>
        <v/>
      </c>
      <c r="O2716" s="8"/>
      <c r="P2716" s="26"/>
      <c r="S2716" s="10" t="str">
        <f t="shared" si="214"/>
        <v/>
      </c>
    </row>
    <row r="2717" spans="5:19" x14ac:dyDescent="0.3">
      <c r="E2717" s="9" t="str">
        <f>IF(DADOS!C2717="","",DADOS!C2717)</f>
        <v/>
      </c>
      <c r="F2717" s="9" t="str">
        <f>IF(DADOS!E2717="","",DADOS!E2717)</f>
        <v/>
      </c>
      <c r="G2717" s="9" t="str">
        <f>IF(DADOS!F2717="","",DADOS!F2717)</f>
        <v/>
      </c>
      <c r="K2717" s="6" t="str">
        <f t="shared" si="215"/>
        <v/>
      </c>
      <c r="L2717" s="7" t="str">
        <f t="shared" si="216"/>
        <v/>
      </c>
      <c r="M2717" s="7" t="str">
        <f t="shared" si="213"/>
        <v/>
      </c>
      <c r="N2717" s="7" t="str">
        <f t="shared" si="217"/>
        <v/>
      </c>
      <c r="O2717" s="8"/>
      <c r="P2717" s="26"/>
      <c r="S2717" s="10" t="str">
        <f t="shared" si="214"/>
        <v/>
      </c>
    </row>
    <row r="2718" spans="5:19" x14ac:dyDescent="0.3">
      <c r="E2718" s="9" t="str">
        <f>IF(DADOS!C2718="","",DADOS!C2718)</f>
        <v/>
      </c>
      <c r="F2718" s="9" t="str">
        <f>IF(DADOS!E2718="","",DADOS!E2718)</f>
        <v/>
      </c>
      <c r="G2718" s="9" t="str">
        <f>IF(DADOS!F2718="","",DADOS!F2718)</f>
        <v/>
      </c>
      <c r="K2718" s="6" t="str">
        <f t="shared" si="215"/>
        <v/>
      </c>
      <c r="L2718" s="7" t="str">
        <f t="shared" si="216"/>
        <v/>
      </c>
      <c r="M2718" s="7" t="str">
        <f t="shared" si="213"/>
        <v/>
      </c>
      <c r="N2718" s="7" t="str">
        <f t="shared" si="217"/>
        <v/>
      </c>
      <c r="O2718" s="8"/>
      <c r="P2718" s="26"/>
      <c r="S2718" s="10" t="str">
        <f t="shared" si="214"/>
        <v/>
      </c>
    </row>
    <row r="2719" spans="5:19" x14ac:dyDescent="0.3">
      <c r="E2719" s="9" t="str">
        <f>IF(DADOS!C2719="","",DADOS!C2719)</f>
        <v/>
      </c>
      <c r="F2719" s="9" t="str">
        <f>IF(DADOS!E2719="","",DADOS!E2719)</f>
        <v/>
      </c>
      <c r="G2719" s="9" t="str">
        <f>IF(DADOS!F2719="","",DADOS!F2719)</f>
        <v/>
      </c>
      <c r="K2719" s="6" t="str">
        <f t="shared" si="215"/>
        <v/>
      </c>
      <c r="L2719" s="7" t="str">
        <f t="shared" si="216"/>
        <v/>
      </c>
      <c r="M2719" s="7" t="str">
        <f t="shared" si="213"/>
        <v/>
      </c>
      <c r="N2719" s="7" t="str">
        <f t="shared" si="217"/>
        <v/>
      </c>
      <c r="O2719" s="8"/>
      <c r="P2719" s="26"/>
      <c r="S2719" s="10" t="str">
        <f t="shared" si="214"/>
        <v/>
      </c>
    </row>
    <row r="2720" spans="5:19" x14ac:dyDescent="0.3">
      <c r="E2720" s="9" t="str">
        <f>IF(DADOS!C2720="","",DADOS!C2720)</f>
        <v/>
      </c>
      <c r="F2720" s="9" t="str">
        <f>IF(DADOS!E2720="","",DADOS!E2720)</f>
        <v/>
      </c>
      <c r="G2720" s="9" t="str">
        <f>IF(DADOS!F2720="","",DADOS!F2720)</f>
        <v/>
      </c>
      <c r="K2720" s="6" t="str">
        <f t="shared" si="215"/>
        <v/>
      </c>
      <c r="L2720" s="7" t="str">
        <f t="shared" si="216"/>
        <v/>
      </c>
      <c r="M2720" s="7" t="str">
        <f t="shared" si="213"/>
        <v/>
      </c>
      <c r="N2720" s="7" t="str">
        <f t="shared" si="217"/>
        <v/>
      </c>
      <c r="O2720" s="8"/>
      <c r="P2720" s="26"/>
      <c r="S2720" s="10" t="str">
        <f t="shared" si="214"/>
        <v/>
      </c>
    </row>
    <row r="2721" spans="5:19" x14ac:dyDescent="0.3">
      <c r="E2721" s="9" t="str">
        <f>IF(DADOS!C2721="","",DADOS!C2721)</f>
        <v/>
      </c>
      <c r="F2721" s="9" t="str">
        <f>IF(DADOS!E2721="","",DADOS!E2721)</f>
        <v/>
      </c>
      <c r="G2721" s="9" t="str">
        <f>IF(DADOS!F2721="","",DADOS!F2721)</f>
        <v/>
      </c>
      <c r="K2721" s="6" t="str">
        <f t="shared" si="215"/>
        <v/>
      </c>
      <c r="L2721" s="7" t="str">
        <f t="shared" si="216"/>
        <v/>
      </c>
      <c r="M2721" s="7" t="str">
        <f t="shared" si="213"/>
        <v/>
      </c>
      <c r="N2721" s="7" t="str">
        <f t="shared" si="217"/>
        <v/>
      </c>
      <c r="O2721" s="8"/>
      <c r="P2721" s="26"/>
      <c r="S2721" s="10" t="str">
        <f t="shared" si="214"/>
        <v/>
      </c>
    </row>
    <row r="2722" spans="5:19" x14ac:dyDescent="0.3">
      <c r="E2722" s="9" t="str">
        <f>IF(DADOS!C2722="","",DADOS!C2722)</f>
        <v/>
      </c>
      <c r="F2722" s="9" t="str">
        <f>IF(DADOS!E2722="","",DADOS!E2722)</f>
        <v/>
      </c>
      <c r="G2722" s="9" t="str">
        <f>IF(DADOS!F2722="","",DADOS!F2722)</f>
        <v/>
      </c>
      <c r="K2722" s="6" t="str">
        <f t="shared" si="215"/>
        <v/>
      </c>
      <c r="L2722" s="7" t="str">
        <f t="shared" si="216"/>
        <v/>
      </c>
      <c r="M2722" s="7" t="str">
        <f t="shared" si="213"/>
        <v/>
      </c>
      <c r="N2722" s="7" t="str">
        <f t="shared" si="217"/>
        <v/>
      </c>
      <c r="O2722" s="8"/>
      <c r="P2722" s="26"/>
      <c r="S2722" s="10" t="str">
        <f t="shared" si="214"/>
        <v/>
      </c>
    </row>
    <row r="2723" spans="5:19" x14ac:dyDescent="0.3">
      <c r="E2723" s="9" t="str">
        <f>IF(DADOS!C2723="","",DADOS!C2723)</f>
        <v/>
      </c>
      <c r="F2723" s="9" t="str">
        <f>IF(DADOS!E2723="","",DADOS!E2723)</f>
        <v/>
      </c>
      <c r="G2723" s="9" t="str">
        <f>IF(DADOS!F2723="","",DADOS!F2723)</f>
        <v/>
      </c>
      <c r="K2723" s="6" t="str">
        <f t="shared" si="215"/>
        <v/>
      </c>
      <c r="L2723" s="7" t="str">
        <f t="shared" si="216"/>
        <v/>
      </c>
      <c r="M2723" s="7" t="str">
        <f t="shared" si="213"/>
        <v/>
      </c>
      <c r="N2723" s="7" t="str">
        <f t="shared" si="217"/>
        <v/>
      </c>
      <c r="O2723" s="8"/>
      <c r="P2723" s="26"/>
      <c r="S2723" s="10" t="str">
        <f t="shared" si="214"/>
        <v/>
      </c>
    </row>
    <row r="2724" spans="5:19" x14ac:dyDescent="0.3">
      <c r="E2724" s="9" t="str">
        <f>IF(DADOS!C2724="","",DADOS!C2724)</f>
        <v/>
      </c>
      <c r="F2724" s="9" t="str">
        <f>IF(DADOS!E2724="","",DADOS!E2724)</f>
        <v/>
      </c>
      <c r="G2724" s="9" t="str">
        <f>IF(DADOS!F2724="","",DADOS!F2724)</f>
        <v/>
      </c>
      <c r="K2724" s="6" t="str">
        <f t="shared" si="215"/>
        <v/>
      </c>
      <c r="L2724" s="7" t="str">
        <f t="shared" si="216"/>
        <v/>
      </c>
      <c r="M2724" s="7" t="str">
        <f t="shared" si="213"/>
        <v/>
      </c>
      <c r="N2724" s="7" t="str">
        <f t="shared" si="217"/>
        <v/>
      </c>
      <c r="O2724" s="8"/>
      <c r="P2724" s="26"/>
      <c r="S2724" s="10" t="str">
        <f t="shared" si="214"/>
        <v/>
      </c>
    </row>
    <row r="2725" spans="5:19" x14ac:dyDescent="0.3">
      <c r="E2725" s="9" t="str">
        <f>IF(DADOS!C2725="","",DADOS!C2725)</f>
        <v/>
      </c>
      <c r="F2725" s="9" t="str">
        <f>IF(DADOS!E2725="","",DADOS!E2725)</f>
        <v/>
      </c>
      <c r="G2725" s="9" t="str">
        <f>IF(DADOS!F2725="","",DADOS!F2725)</f>
        <v/>
      </c>
      <c r="K2725" s="6" t="str">
        <f t="shared" si="215"/>
        <v/>
      </c>
      <c r="L2725" s="7" t="str">
        <f t="shared" si="216"/>
        <v/>
      </c>
      <c r="M2725" s="7" t="str">
        <f t="shared" si="213"/>
        <v/>
      </c>
      <c r="N2725" s="7" t="str">
        <f t="shared" si="217"/>
        <v/>
      </c>
      <c r="O2725" s="8"/>
      <c r="P2725" s="26"/>
      <c r="S2725" s="10" t="str">
        <f t="shared" si="214"/>
        <v/>
      </c>
    </row>
    <row r="2726" spans="5:19" x14ac:dyDescent="0.3">
      <c r="E2726" s="9" t="str">
        <f>IF(DADOS!C2726="","",DADOS!C2726)</f>
        <v/>
      </c>
      <c r="F2726" s="9" t="str">
        <f>IF(DADOS!E2726="","",DADOS!E2726)</f>
        <v/>
      </c>
      <c r="G2726" s="9" t="str">
        <f>IF(DADOS!F2726="","",DADOS!F2726)</f>
        <v/>
      </c>
      <c r="K2726" s="6" t="str">
        <f t="shared" si="215"/>
        <v/>
      </c>
      <c r="L2726" s="7" t="str">
        <f t="shared" si="216"/>
        <v/>
      </c>
      <c r="M2726" s="7" t="str">
        <f t="shared" si="213"/>
        <v/>
      </c>
      <c r="N2726" s="7" t="str">
        <f t="shared" si="217"/>
        <v/>
      </c>
      <c r="O2726" s="8"/>
      <c r="P2726" s="26"/>
      <c r="S2726" s="10" t="str">
        <f t="shared" si="214"/>
        <v/>
      </c>
    </row>
    <row r="2727" spans="5:19" x14ac:dyDescent="0.3">
      <c r="E2727" s="9" t="str">
        <f>IF(DADOS!C2727="","",DADOS!C2727)</f>
        <v/>
      </c>
      <c r="F2727" s="9" t="str">
        <f>IF(DADOS!E2727="","",DADOS!E2727)</f>
        <v/>
      </c>
      <c r="G2727" s="9" t="str">
        <f>IF(DADOS!F2727="","",DADOS!F2727)</f>
        <v/>
      </c>
      <c r="K2727" s="6" t="str">
        <f t="shared" si="215"/>
        <v/>
      </c>
      <c r="L2727" s="7" t="str">
        <f t="shared" si="216"/>
        <v/>
      </c>
      <c r="M2727" s="7" t="str">
        <f t="shared" si="213"/>
        <v/>
      </c>
      <c r="N2727" s="7" t="str">
        <f t="shared" si="217"/>
        <v/>
      </c>
      <c r="O2727" s="8"/>
      <c r="P2727" s="26"/>
      <c r="S2727" s="10" t="str">
        <f t="shared" si="214"/>
        <v/>
      </c>
    </row>
    <row r="2728" spans="5:19" x14ac:dyDescent="0.3">
      <c r="E2728" s="9" t="str">
        <f>IF(DADOS!C2728="","",DADOS!C2728)</f>
        <v/>
      </c>
      <c r="F2728" s="9" t="str">
        <f>IF(DADOS!E2728="","",DADOS!E2728)</f>
        <v/>
      </c>
      <c r="G2728" s="9" t="str">
        <f>IF(DADOS!F2728="","",DADOS!F2728)</f>
        <v/>
      </c>
      <c r="K2728" s="6" t="str">
        <f t="shared" si="215"/>
        <v/>
      </c>
      <c r="L2728" s="7" t="str">
        <f t="shared" si="216"/>
        <v/>
      </c>
      <c r="M2728" s="7" t="str">
        <f t="shared" si="213"/>
        <v/>
      </c>
      <c r="N2728" s="7" t="str">
        <f t="shared" si="217"/>
        <v/>
      </c>
      <c r="O2728" s="8"/>
      <c r="P2728" s="26"/>
      <c r="S2728" s="10" t="str">
        <f t="shared" si="214"/>
        <v/>
      </c>
    </row>
    <row r="2729" spans="5:19" x14ac:dyDescent="0.3">
      <c r="E2729" s="9" t="str">
        <f>IF(DADOS!C2729="","",DADOS!C2729)</f>
        <v/>
      </c>
      <c r="F2729" s="9" t="str">
        <f>IF(DADOS!E2729="","",DADOS!E2729)</f>
        <v/>
      </c>
      <c r="G2729" s="9" t="str">
        <f>IF(DADOS!F2729="","",DADOS!F2729)</f>
        <v/>
      </c>
      <c r="K2729" s="6" t="str">
        <f t="shared" si="215"/>
        <v/>
      </c>
      <c r="L2729" s="7" t="str">
        <f t="shared" si="216"/>
        <v/>
      </c>
      <c r="M2729" s="7" t="str">
        <f t="shared" si="213"/>
        <v/>
      </c>
      <c r="N2729" s="7" t="str">
        <f t="shared" si="217"/>
        <v/>
      </c>
      <c r="O2729" s="8"/>
      <c r="P2729" s="26"/>
      <c r="S2729" s="10" t="str">
        <f t="shared" si="214"/>
        <v/>
      </c>
    </row>
    <row r="2730" spans="5:19" x14ac:dyDescent="0.3">
      <c r="E2730" s="9" t="str">
        <f>IF(DADOS!C2730="","",DADOS!C2730)</f>
        <v/>
      </c>
      <c r="F2730" s="9" t="str">
        <f>IF(DADOS!E2730="","",DADOS!E2730)</f>
        <v/>
      </c>
      <c r="G2730" s="9" t="str">
        <f>IF(DADOS!F2730="","",DADOS!F2730)</f>
        <v/>
      </c>
      <c r="K2730" s="6" t="str">
        <f t="shared" si="215"/>
        <v/>
      </c>
      <c r="L2730" s="7" t="str">
        <f t="shared" si="216"/>
        <v/>
      </c>
      <c r="M2730" s="7" t="str">
        <f t="shared" si="213"/>
        <v/>
      </c>
      <c r="N2730" s="7" t="str">
        <f t="shared" si="217"/>
        <v/>
      </c>
      <c r="O2730" s="8"/>
      <c r="P2730" s="26"/>
      <c r="S2730" s="10" t="str">
        <f t="shared" si="214"/>
        <v/>
      </c>
    </row>
    <row r="2731" spans="5:19" x14ac:dyDescent="0.3">
      <c r="E2731" s="9" t="str">
        <f>IF(DADOS!C2731="","",DADOS!C2731)</f>
        <v/>
      </c>
      <c r="F2731" s="9" t="str">
        <f>IF(DADOS!E2731="","",DADOS!E2731)</f>
        <v/>
      </c>
      <c r="G2731" s="9" t="str">
        <f>IF(DADOS!F2731="","",DADOS!F2731)</f>
        <v/>
      </c>
      <c r="K2731" s="6" t="str">
        <f t="shared" si="215"/>
        <v/>
      </c>
      <c r="L2731" s="7" t="str">
        <f t="shared" si="216"/>
        <v/>
      </c>
      <c r="M2731" s="7" t="str">
        <f t="shared" si="213"/>
        <v/>
      </c>
      <c r="N2731" s="7" t="str">
        <f t="shared" si="217"/>
        <v/>
      </c>
      <c r="O2731" s="8"/>
      <c r="P2731" s="26"/>
      <c r="S2731" s="10" t="str">
        <f t="shared" si="214"/>
        <v/>
      </c>
    </row>
    <row r="2732" spans="5:19" x14ac:dyDescent="0.3">
      <c r="E2732" s="9" t="str">
        <f>IF(DADOS!C2732="","",DADOS!C2732)</f>
        <v/>
      </c>
      <c r="F2732" s="9" t="str">
        <f>IF(DADOS!E2732="","",DADOS!E2732)</f>
        <v/>
      </c>
      <c r="G2732" s="9" t="str">
        <f>IF(DADOS!F2732="","",DADOS!F2732)</f>
        <v/>
      </c>
      <c r="K2732" s="6" t="str">
        <f t="shared" si="215"/>
        <v/>
      </c>
      <c r="L2732" s="7" t="str">
        <f t="shared" si="216"/>
        <v/>
      </c>
      <c r="M2732" s="7" t="str">
        <f t="shared" si="213"/>
        <v/>
      </c>
      <c r="N2732" s="7" t="str">
        <f t="shared" si="217"/>
        <v/>
      </c>
      <c r="O2732" s="8"/>
      <c r="P2732" s="26"/>
      <c r="S2732" s="10" t="str">
        <f t="shared" si="214"/>
        <v/>
      </c>
    </row>
    <row r="2733" spans="5:19" x14ac:dyDescent="0.3">
      <c r="E2733" s="9" t="str">
        <f>IF(DADOS!C2733="","",DADOS!C2733)</f>
        <v/>
      </c>
      <c r="F2733" s="9" t="str">
        <f>IF(DADOS!E2733="","",DADOS!E2733)</f>
        <v/>
      </c>
      <c r="G2733" s="9" t="str">
        <f>IF(DADOS!F2733="","",DADOS!F2733)</f>
        <v/>
      </c>
      <c r="K2733" s="6" t="str">
        <f t="shared" si="215"/>
        <v/>
      </c>
      <c r="L2733" s="7" t="str">
        <f t="shared" si="216"/>
        <v/>
      </c>
      <c r="M2733" s="7" t="str">
        <f t="shared" si="213"/>
        <v/>
      </c>
      <c r="N2733" s="7" t="str">
        <f t="shared" si="217"/>
        <v/>
      </c>
      <c r="O2733" s="8"/>
      <c r="P2733" s="26"/>
      <c r="S2733" s="10" t="str">
        <f t="shared" si="214"/>
        <v/>
      </c>
    </row>
    <row r="2734" spans="5:19" x14ac:dyDescent="0.3">
      <c r="E2734" s="9" t="str">
        <f>IF(DADOS!C2734="","",DADOS!C2734)</f>
        <v/>
      </c>
      <c r="F2734" s="9" t="str">
        <f>IF(DADOS!E2734="","",DADOS!E2734)</f>
        <v/>
      </c>
      <c r="G2734" s="9" t="str">
        <f>IF(DADOS!F2734="","",DADOS!F2734)</f>
        <v/>
      </c>
      <c r="K2734" s="6" t="str">
        <f t="shared" si="215"/>
        <v/>
      </c>
      <c r="L2734" s="7" t="str">
        <f t="shared" si="216"/>
        <v/>
      </c>
      <c r="M2734" s="7" t="str">
        <f t="shared" si="213"/>
        <v/>
      </c>
      <c r="N2734" s="7" t="str">
        <f t="shared" si="217"/>
        <v/>
      </c>
      <c r="O2734" s="8"/>
      <c r="P2734" s="26"/>
      <c r="S2734" s="10" t="str">
        <f t="shared" si="214"/>
        <v/>
      </c>
    </row>
    <row r="2735" spans="5:19" x14ac:dyDescent="0.3">
      <c r="E2735" s="9" t="str">
        <f>IF(DADOS!C2735="","",DADOS!C2735)</f>
        <v/>
      </c>
      <c r="F2735" s="9" t="str">
        <f>IF(DADOS!E2735="","",DADOS!E2735)</f>
        <v/>
      </c>
      <c r="G2735" s="9" t="str">
        <f>IF(DADOS!F2735="","",DADOS!F2735)</f>
        <v/>
      </c>
      <c r="K2735" s="6" t="str">
        <f t="shared" si="215"/>
        <v/>
      </c>
      <c r="L2735" s="7" t="str">
        <f t="shared" si="216"/>
        <v/>
      </c>
      <c r="M2735" s="7" t="str">
        <f t="shared" si="213"/>
        <v/>
      </c>
      <c r="N2735" s="7" t="str">
        <f t="shared" si="217"/>
        <v/>
      </c>
      <c r="O2735" s="8"/>
      <c r="P2735" s="26"/>
      <c r="S2735" s="10" t="str">
        <f t="shared" si="214"/>
        <v/>
      </c>
    </row>
    <row r="2736" spans="5:19" x14ac:dyDescent="0.3">
      <c r="E2736" s="9" t="str">
        <f>IF(DADOS!C2736="","",DADOS!C2736)</f>
        <v/>
      </c>
      <c r="F2736" s="9" t="str">
        <f>IF(DADOS!E2736="","",DADOS!E2736)</f>
        <v/>
      </c>
      <c r="G2736" s="9" t="str">
        <f>IF(DADOS!F2736="","",DADOS!F2736)</f>
        <v/>
      </c>
      <c r="K2736" s="6" t="str">
        <f t="shared" si="215"/>
        <v/>
      </c>
      <c r="L2736" s="7" t="str">
        <f t="shared" si="216"/>
        <v/>
      </c>
      <c r="M2736" s="7" t="str">
        <f t="shared" si="213"/>
        <v/>
      </c>
      <c r="N2736" s="7" t="str">
        <f t="shared" si="217"/>
        <v/>
      </c>
      <c r="O2736" s="8"/>
      <c r="P2736" s="26"/>
      <c r="S2736" s="10" t="str">
        <f t="shared" si="214"/>
        <v/>
      </c>
    </row>
    <row r="2737" spans="5:19" x14ac:dyDescent="0.3">
      <c r="E2737" s="9" t="str">
        <f>IF(DADOS!C2737="","",DADOS!C2737)</f>
        <v/>
      </c>
      <c r="F2737" s="9" t="str">
        <f>IF(DADOS!E2737="","",DADOS!E2737)</f>
        <v/>
      </c>
      <c r="G2737" s="9" t="str">
        <f>IF(DADOS!F2737="","",DADOS!F2737)</f>
        <v/>
      </c>
      <c r="K2737" s="6" t="str">
        <f t="shared" si="215"/>
        <v/>
      </c>
      <c r="L2737" s="7" t="str">
        <f t="shared" si="216"/>
        <v/>
      </c>
      <c r="M2737" s="7" t="str">
        <f t="shared" si="213"/>
        <v/>
      </c>
      <c r="N2737" s="7" t="str">
        <f t="shared" si="217"/>
        <v/>
      </c>
      <c r="O2737" s="8"/>
      <c r="P2737" s="26"/>
      <c r="S2737" s="10" t="str">
        <f t="shared" si="214"/>
        <v/>
      </c>
    </row>
    <row r="2738" spans="5:19" x14ac:dyDescent="0.3">
      <c r="E2738" s="9" t="str">
        <f>IF(DADOS!C2738="","",DADOS!C2738)</f>
        <v/>
      </c>
      <c r="F2738" s="9" t="str">
        <f>IF(DADOS!E2738="","",DADOS!E2738)</f>
        <v/>
      </c>
      <c r="G2738" s="9" t="str">
        <f>IF(DADOS!F2738="","",DADOS!F2738)</f>
        <v/>
      </c>
      <c r="K2738" s="6" t="str">
        <f t="shared" si="215"/>
        <v/>
      </c>
      <c r="L2738" s="7" t="str">
        <f t="shared" si="216"/>
        <v/>
      </c>
      <c r="M2738" s="7" t="str">
        <f t="shared" si="213"/>
        <v/>
      </c>
      <c r="N2738" s="7" t="str">
        <f t="shared" si="217"/>
        <v/>
      </c>
      <c r="O2738" s="8"/>
      <c r="P2738" s="26"/>
      <c r="S2738" s="10" t="str">
        <f t="shared" si="214"/>
        <v/>
      </c>
    </row>
    <row r="2739" spans="5:19" x14ac:dyDescent="0.3">
      <c r="E2739" s="9" t="str">
        <f>IF(DADOS!C2739="","",DADOS!C2739)</f>
        <v/>
      </c>
      <c r="F2739" s="9" t="str">
        <f>IF(DADOS!E2739="","",DADOS!E2739)</f>
        <v/>
      </c>
      <c r="G2739" s="9" t="str">
        <f>IF(DADOS!F2739="","",DADOS!F2739)</f>
        <v/>
      </c>
      <c r="K2739" s="6" t="str">
        <f t="shared" si="215"/>
        <v/>
      </c>
      <c r="L2739" s="7" t="str">
        <f t="shared" si="216"/>
        <v/>
      </c>
      <c r="M2739" s="7" t="str">
        <f t="shared" si="213"/>
        <v/>
      </c>
      <c r="N2739" s="7" t="str">
        <f t="shared" si="217"/>
        <v/>
      </c>
      <c r="O2739" s="8"/>
      <c r="P2739" s="26"/>
      <c r="S2739" s="10" t="str">
        <f t="shared" si="214"/>
        <v/>
      </c>
    </row>
    <row r="2740" spans="5:19" x14ac:dyDescent="0.3">
      <c r="E2740" s="9" t="str">
        <f>IF(DADOS!C2740="","",DADOS!C2740)</f>
        <v/>
      </c>
      <c r="F2740" s="9" t="str">
        <f>IF(DADOS!E2740="","",DADOS!E2740)</f>
        <v/>
      </c>
      <c r="G2740" s="9" t="str">
        <f>IF(DADOS!F2740="","",DADOS!F2740)</f>
        <v/>
      </c>
      <c r="K2740" s="6" t="str">
        <f t="shared" si="215"/>
        <v/>
      </c>
      <c r="L2740" s="7" t="str">
        <f t="shared" si="216"/>
        <v/>
      </c>
      <c r="M2740" s="7" t="str">
        <f t="shared" si="213"/>
        <v/>
      </c>
      <c r="N2740" s="7" t="str">
        <f t="shared" si="217"/>
        <v/>
      </c>
      <c r="O2740" s="8"/>
      <c r="P2740" s="26"/>
      <c r="S2740" s="10" t="str">
        <f t="shared" si="214"/>
        <v/>
      </c>
    </row>
    <row r="2741" spans="5:19" x14ac:dyDescent="0.3">
      <c r="E2741" s="9" t="str">
        <f>IF(DADOS!C2741="","",DADOS!C2741)</f>
        <v/>
      </c>
      <c r="F2741" s="9" t="str">
        <f>IF(DADOS!E2741="","",DADOS!E2741)</f>
        <v/>
      </c>
      <c r="G2741" s="9" t="str">
        <f>IF(DADOS!F2741="","",DADOS!F2741)</f>
        <v/>
      </c>
      <c r="K2741" s="6" t="str">
        <f t="shared" si="215"/>
        <v/>
      </c>
      <c r="L2741" s="7" t="str">
        <f t="shared" si="216"/>
        <v/>
      </c>
      <c r="M2741" s="7" t="str">
        <f t="shared" si="213"/>
        <v/>
      </c>
      <c r="N2741" s="7" t="str">
        <f t="shared" si="217"/>
        <v/>
      </c>
      <c r="O2741" s="8"/>
      <c r="P2741" s="26"/>
      <c r="S2741" s="10" t="str">
        <f t="shared" si="214"/>
        <v/>
      </c>
    </row>
    <row r="2742" spans="5:19" x14ac:dyDescent="0.3">
      <c r="E2742" s="9" t="str">
        <f>IF(DADOS!C2742="","",DADOS!C2742)</f>
        <v/>
      </c>
      <c r="F2742" s="9" t="str">
        <f>IF(DADOS!E2742="","",DADOS!E2742)</f>
        <v/>
      </c>
      <c r="G2742" s="9" t="str">
        <f>IF(DADOS!F2742="","",DADOS!F2742)</f>
        <v/>
      </c>
      <c r="K2742" s="6" t="str">
        <f t="shared" si="215"/>
        <v/>
      </c>
      <c r="L2742" s="7" t="str">
        <f t="shared" si="216"/>
        <v/>
      </c>
      <c r="M2742" s="7" t="str">
        <f t="shared" si="213"/>
        <v/>
      </c>
      <c r="N2742" s="7" t="str">
        <f t="shared" si="217"/>
        <v/>
      </c>
      <c r="O2742" s="8"/>
      <c r="P2742" s="26"/>
      <c r="S2742" s="10" t="str">
        <f t="shared" si="214"/>
        <v/>
      </c>
    </row>
    <row r="2743" spans="5:19" x14ac:dyDescent="0.3">
      <c r="E2743" s="9" t="str">
        <f>IF(DADOS!C2743="","",DADOS!C2743)</f>
        <v/>
      </c>
      <c r="F2743" s="9" t="str">
        <f>IF(DADOS!E2743="","",DADOS!E2743)</f>
        <v/>
      </c>
      <c r="G2743" s="9" t="str">
        <f>IF(DADOS!F2743="","",DADOS!F2743)</f>
        <v/>
      </c>
      <c r="K2743" s="6" t="str">
        <f t="shared" si="215"/>
        <v/>
      </c>
      <c r="L2743" s="7" t="str">
        <f t="shared" si="216"/>
        <v/>
      </c>
      <c r="M2743" s="7" t="str">
        <f t="shared" si="213"/>
        <v/>
      </c>
      <c r="N2743" s="7" t="str">
        <f t="shared" si="217"/>
        <v/>
      </c>
      <c r="O2743" s="8"/>
      <c r="P2743" s="26"/>
      <c r="S2743" s="10" t="str">
        <f t="shared" si="214"/>
        <v/>
      </c>
    </row>
    <row r="2744" spans="5:19" x14ac:dyDescent="0.3">
      <c r="E2744" s="9" t="str">
        <f>IF(DADOS!C2744="","",DADOS!C2744)</f>
        <v/>
      </c>
      <c r="F2744" s="9" t="str">
        <f>IF(DADOS!E2744="","",DADOS!E2744)</f>
        <v/>
      </c>
      <c r="G2744" s="9" t="str">
        <f>IF(DADOS!F2744="","",DADOS!F2744)</f>
        <v/>
      </c>
      <c r="K2744" s="6" t="str">
        <f t="shared" si="215"/>
        <v/>
      </c>
      <c r="L2744" s="7" t="str">
        <f t="shared" si="216"/>
        <v/>
      </c>
      <c r="M2744" s="7" t="str">
        <f t="shared" si="213"/>
        <v/>
      </c>
      <c r="N2744" s="7" t="str">
        <f t="shared" si="217"/>
        <v/>
      </c>
      <c r="O2744" s="8"/>
      <c r="P2744" s="26"/>
      <c r="S2744" s="10" t="str">
        <f t="shared" si="214"/>
        <v/>
      </c>
    </row>
    <row r="2745" spans="5:19" x14ac:dyDescent="0.3">
      <c r="E2745" s="9" t="str">
        <f>IF(DADOS!C2745="","",DADOS!C2745)</f>
        <v/>
      </c>
      <c r="F2745" s="9" t="str">
        <f>IF(DADOS!E2745="","",DADOS!E2745)</f>
        <v/>
      </c>
      <c r="G2745" s="9" t="str">
        <f>IF(DADOS!F2745="","",DADOS!F2745)</f>
        <v/>
      </c>
      <c r="K2745" s="6" t="str">
        <f t="shared" si="215"/>
        <v/>
      </c>
      <c r="L2745" s="7" t="str">
        <f t="shared" si="216"/>
        <v/>
      </c>
      <c r="M2745" s="7" t="str">
        <f t="shared" si="213"/>
        <v/>
      </c>
      <c r="N2745" s="7" t="str">
        <f t="shared" si="217"/>
        <v/>
      </c>
      <c r="O2745" s="8"/>
      <c r="P2745" s="26"/>
      <c r="S2745" s="10" t="str">
        <f t="shared" si="214"/>
        <v/>
      </c>
    </row>
    <row r="2746" spans="5:19" x14ac:dyDescent="0.3">
      <c r="E2746" s="9" t="str">
        <f>IF(DADOS!C2746="","",DADOS!C2746)</f>
        <v/>
      </c>
      <c r="F2746" s="9" t="str">
        <f>IF(DADOS!E2746="","",DADOS!E2746)</f>
        <v/>
      </c>
      <c r="G2746" s="9" t="str">
        <f>IF(DADOS!F2746="","",DADOS!F2746)</f>
        <v/>
      </c>
      <c r="K2746" s="6" t="str">
        <f t="shared" si="215"/>
        <v/>
      </c>
      <c r="L2746" s="7" t="str">
        <f t="shared" si="216"/>
        <v/>
      </c>
      <c r="M2746" s="7" t="str">
        <f t="shared" si="213"/>
        <v/>
      </c>
      <c r="N2746" s="7" t="str">
        <f t="shared" si="217"/>
        <v/>
      </c>
      <c r="O2746" s="8"/>
      <c r="P2746" s="26"/>
      <c r="S2746" s="10" t="str">
        <f t="shared" si="214"/>
        <v/>
      </c>
    </row>
    <row r="2747" spans="5:19" x14ac:dyDescent="0.3">
      <c r="E2747" s="9" t="str">
        <f>IF(DADOS!C2747="","",DADOS!C2747)</f>
        <v/>
      </c>
      <c r="F2747" s="9" t="str">
        <f>IF(DADOS!E2747="","",DADOS!E2747)</f>
        <v/>
      </c>
      <c r="G2747" s="9" t="str">
        <f>IF(DADOS!F2747="","",DADOS!F2747)</f>
        <v/>
      </c>
      <c r="K2747" s="6" t="str">
        <f t="shared" si="215"/>
        <v/>
      </c>
      <c r="L2747" s="7" t="str">
        <f t="shared" si="216"/>
        <v/>
      </c>
      <c r="M2747" s="7" t="str">
        <f t="shared" si="213"/>
        <v/>
      </c>
      <c r="N2747" s="7" t="str">
        <f t="shared" si="217"/>
        <v/>
      </c>
      <c r="O2747" s="8"/>
      <c r="P2747" s="26"/>
      <c r="S2747" s="10" t="str">
        <f t="shared" si="214"/>
        <v/>
      </c>
    </row>
    <row r="2748" spans="5:19" x14ac:dyDescent="0.3">
      <c r="E2748" s="9" t="str">
        <f>IF(DADOS!C2748="","",DADOS!C2748)</f>
        <v/>
      </c>
      <c r="F2748" s="9" t="str">
        <f>IF(DADOS!E2748="","",DADOS!E2748)</f>
        <v/>
      </c>
      <c r="G2748" s="9" t="str">
        <f>IF(DADOS!F2748="","",DADOS!F2748)</f>
        <v/>
      </c>
      <c r="K2748" s="6" t="str">
        <f t="shared" si="215"/>
        <v/>
      </c>
      <c r="L2748" s="7" t="str">
        <f t="shared" si="216"/>
        <v/>
      </c>
      <c r="M2748" s="7" t="str">
        <f t="shared" si="213"/>
        <v/>
      </c>
      <c r="N2748" s="7" t="str">
        <f t="shared" si="217"/>
        <v/>
      </c>
      <c r="O2748" s="8"/>
      <c r="P2748" s="26"/>
      <c r="S2748" s="10" t="str">
        <f t="shared" si="214"/>
        <v/>
      </c>
    </row>
    <row r="2749" spans="5:19" x14ac:dyDescent="0.3">
      <c r="E2749" s="9" t="str">
        <f>IF(DADOS!C2749="","",DADOS!C2749)</f>
        <v/>
      </c>
      <c r="F2749" s="9" t="str">
        <f>IF(DADOS!E2749="","",DADOS!E2749)</f>
        <v/>
      </c>
      <c r="G2749" s="9" t="str">
        <f>IF(DADOS!F2749="","",DADOS!F2749)</f>
        <v/>
      </c>
      <c r="K2749" s="6" t="str">
        <f t="shared" si="215"/>
        <v/>
      </c>
      <c r="L2749" s="7" t="str">
        <f t="shared" si="216"/>
        <v/>
      </c>
      <c r="M2749" s="7" t="str">
        <f t="shared" si="213"/>
        <v/>
      </c>
      <c r="N2749" s="7" t="str">
        <f t="shared" si="217"/>
        <v/>
      </c>
      <c r="O2749" s="8"/>
      <c r="P2749" s="26"/>
      <c r="S2749" s="10" t="str">
        <f t="shared" si="214"/>
        <v/>
      </c>
    </row>
    <row r="2750" spans="5:19" x14ac:dyDescent="0.3">
      <c r="E2750" s="9" t="str">
        <f>IF(DADOS!C2750="","",DADOS!C2750)</f>
        <v/>
      </c>
      <c r="F2750" s="9" t="str">
        <f>IF(DADOS!E2750="","",DADOS!E2750)</f>
        <v/>
      </c>
      <c r="G2750" s="9" t="str">
        <f>IF(DADOS!F2750="","",DADOS!F2750)</f>
        <v/>
      </c>
      <c r="K2750" s="6" t="str">
        <f t="shared" si="215"/>
        <v/>
      </c>
      <c r="L2750" s="7" t="str">
        <f t="shared" si="216"/>
        <v/>
      </c>
      <c r="M2750" s="7" t="str">
        <f t="shared" si="213"/>
        <v/>
      </c>
      <c r="N2750" s="7" t="str">
        <f t="shared" si="217"/>
        <v/>
      </c>
      <c r="O2750" s="8"/>
      <c r="P2750" s="26"/>
      <c r="S2750" s="10" t="str">
        <f t="shared" si="214"/>
        <v/>
      </c>
    </row>
    <row r="2751" spans="5:19" x14ac:dyDescent="0.3">
      <c r="E2751" s="9" t="str">
        <f>IF(DADOS!C2751="","",DADOS!C2751)</f>
        <v/>
      </c>
      <c r="F2751" s="9" t="str">
        <f>IF(DADOS!E2751="","",DADOS!E2751)</f>
        <v/>
      </c>
      <c r="G2751" s="9" t="str">
        <f>IF(DADOS!F2751="","",DADOS!F2751)</f>
        <v/>
      </c>
      <c r="K2751" s="6" t="str">
        <f t="shared" si="215"/>
        <v/>
      </c>
      <c r="L2751" s="7" t="str">
        <f t="shared" si="216"/>
        <v/>
      </c>
      <c r="M2751" s="7" t="str">
        <f t="shared" si="213"/>
        <v/>
      </c>
      <c r="N2751" s="7" t="str">
        <f t="shared" si="217"/>
        <v/>
      </c>
      <c r="O2751" s="8"/>
      <c r="P2751" s="26"/>
      <c r="S2751" s="10" t="str">
        <f t="shared" si="214"/>
        <v/>
      </c>
    </row>
    <row r="2752" spans="5:19" x14ac:dyDescent="0.3">
      <c r="E2752" s="9" t="str">
        <f>IF(DADOS!C2752="","",DADOS!C2752)</f>
        <v/>
      </c>
      <c r="F2752" s="9" t="str">
        <f>IF(DADOS!E2752="","",DADOS!E2752)</f>
        <v/>
      </c>
      <c r="G2752" s="9" t="str">
        <f>IF(DADOS!F2752="","",DADOS!F2752)</f>
        <v/>
      </c>
      <c r="K2752" s="6" t="str">
        <f t="shared" si="215"/>
        <v/>
      </c>
      <c r="L2752" s="7" t="str">
        <f t="shared" si="216"/>
        <v/>
      </c>
      <c r="M2752" s="7" t="str">
        <f t="shared" si="213"/>
        <v/>
      </c>
      <c r="N2752" s="7" t="str">
        <f t="shared" si="217"/>
        <v/>
      </c>
      <c r="O2752" s="8"/>
      <c r="P2752" s="26"/>
      <c r="S2752" s="10" t="str">
        <f t="shared" si="214"/>
        <v/>
      </c>
    </row>
    <row r="2753" spans="5:19" x14ac:dyDescent="0.3">
      <c r="E2753" s="9" t="str">
        <f>IF(DADOS!C2753="","",DADOS!C2753)</f>
        <v/>
      </c>
      <c r="F2753" s="9" t="str">
        <f>IF(DADOS!E2753="","",DADOS!E2753)</f>
        <v/>
      </c>
      <c r="G2753" s="9" t="str">
        <f>IF(DADOS!F2753="","",DADOS!F2753)</f>
        <v/>
      </c>
      <c r="K2753" s="6" t="str">
        <f t="shared" si="215"/>
        <v/>
      </c>
      <c r="L2753" s="7" t="str">
        <f t="shared" si="216"/>
        <v/>
      </c>
      <c r="M2753" s="7" t="str">
        <f t="shared" si="213"/>
        <v/>
      </c>
      <c r="N2753" s="7" t="str">
        <f t="shared" si="217"/>
        <v/>
      </c>
      <c r="O2753" s="8"/>
      <c r="P2753" s="26"/>
      <c r="S2753" s="10" t="str">
        <f t="shared" si="214"/>
        <v/>
      </c>
    </row>
    <row r="2754" spans="5:19" x14ac:dyDescent="0.3">
      <c r="E2754" s="9" t="str">
        <f>IF(DADOS!C2754="","",DADOS!C2754)</f>
        <v/>
      </c>
      <c r="F2754" s="9" t="str">
        <f>IF(DADOS!E2754="","",DADOS!E2754)</f>
        <v/>
      </c>
      <c r="G2754" s="9" t="str">
        <f>IF(DADOS!F2754="","",DADOS!F2754)</f>
        <v/>
      </c>
      <c r="K2754" s="6" t="str">
        <f t="shared" si="215"/>
        <v/>
      </c>
      <c r="L2754" s="7" t="str">
        <f t="shared" si="216"/>
        <v/>
      </c>
      <c r="M2754" s="7" t="str">
        <f t="shared" si="213"/>
        <v/>
      </c>
      <c r="N2754" s="7" t="str">
        <f t="shared" si="217"/>
        <v/>
      </c>
      <c r="O2754" s="8"/>
      <c r="P2754" s="26"/>
      <c r="S2754" s="10" t="str">
        <f t="shared" si="214"/>
        <v/>
      </c>
    </row>
    <row r="2755" spans="5:19" x14ac:dyDescent="0.3">
      <c r="E2755" s="9" t="str">
        <f>IF(DADOS!C2755="","",DADOS!C2755)</f>
        <v/>
      </c>
      <c r="F2755" s="9" t="str">
        <f>IF(DADOS!E2755="","",DADOS!E2755)</f>
        <v/>
      </c>
      <c r="G2755" s="9" t="str">
        <f>IF(DADOS!F2755="","",DADOS!F2755)</f>
        <v/>
      </c>
      <c r="K2755" s="6" t="str">
        <f t="shared" si="215"/>
        <v/>
      </c>
      <c r="L2755" s="7" t="str">
        <f t="shared" si="216"/>
        <v/>
      </c>
      <c r="M2755" s="7" t="str">
        <f t="shared" ref="M2755:M2818" si="218">IF(L2755="","",L2755*G2755)</f>
        <v/>
      </c>
      <c r="N2755" s="7" t="str">
        <f t="shared" si="217"/>
        <v/>
      </c>
      <c r="O2755" s="8"/>
      <c r="P2755" s="26"/>
      <c r="S2755" s="10" t="str">
        <f t="shared" ref="S2755:S2818" si="219">IF(R2755="","",SUMIFS($N$3:$N$10000,$E$3:$E$10000,R2755))</f>
        <v/>
      </c>
    </row>
    <row r="2756" spans="5:19" x14ac:dyDescent="0.3">
      <c r="E2756" s="9" t="str">
        <f>IF(DADOS!C2756="","",DADOS!C2756)</f>
        <v/>
      </c>
      <c r="F2756" s="9" t="str">
        <f>IF(DADOS!E2756="","",DADOS!E2756)</f>
        <v/>
      </c>
      <c r="G2756" s="9" t="str">
        <f>IF(DADOS!F2756="","",DADOS!F2756)</f>
        <v/>
      </c>
      <c r="K2756" s="6" t="str">
        <f t="shared" ref="K2756:K2819" si="220">IF(F2756="","",F2756/PI())</f>
        <v/>
      </c>
      <c r="L2756" s="7" t="str">
        <f t="shared" ref="L2756:L2819" si="221">IF(K2756="","",(PI()*K2756^2)/40000)</f>
        <v/>
      </c>
      <c r="M2756" s="7" t="str">
        <f t="shared" si="218"/>
        <v/>
      </c>
      <c r="N2756" s="7" t="str">
        <f t="shared" ref="N2756:N2819" si="222">IF(M2756="","",M2756*N$1)</f>
        <v/>
      </c>
      <c r="O2756" s="8"/>
      <c r="P2756" s="26"/>
      <c r="S2756" s="10" t="str">
        <f t="shared" si="219"/>
        <v/>
      </c>
    </row>
    <row r="2757" spans="5:19" x14ac:dyDescent="0.3">
      <c r="E2757" s="9" t="str">
        <f>IF(DADOS!C2757="","",DADOS!C2757)</f>
        <v/>
      </c>
      <c r="F2757" s="9" t="str">
        <f>IF(DADOS!E2757="","",DADOS!E2757)</f>
        <v/>
      </c>
      <c r="G2757" s="9" t="str">
        <f>IF(DADOS!F2757="","",DADOS!F2757)</f>
        <v/>
      </c>
      <c r="K2757" s="6" t="str">
        <f t="shared" si="220"/>
        <v/>
      </c>
      <c r="L2757" s="7" t="str">
        <f t="shared" si="221"/>
        <v/>
      </c>
      <c r="M2757" s="7" t="str">
        <f t="shared" si="218"/>
        <v/>
      </c>
      <c r="N2757" s="7" t="str">
        <f t="shared" si="222"/>
        <v/>
      </c>
      <c r="O2757" s="8"/>
      <c r="P2757" s="26"/>
      <c r="S2757" s="10" t="str">
        <f t="shared" si="219"/>
        <v/>
      </c>
    </row>
    <row r="2758" spans="5:19" x14ac:dyDescent="0.3">
      <c r="E2758" s="9" t="str">
        <f>IF(DADOS!C2758="","",DADOS!C2758)</f>
        <v/>
      </c>
      <c r="F2758" s="9" t="str">
        <f>IF(DADOS!E2758="","",DADOS!E2758)</f>
        <v/>
      </c>
      <c r="G2758" s="9" t="str">
        <f>IF(DADOS!F2758="","",DADOS!F2758)</f>
        <v/>
      </c>
      <c r="K2758" s="6" t="str">
        <f t="shared" si="220"/>
        <v/>
      </c>
      <c r="L2758" s="7" t="str">
        <f t="shared" si="221"/>
        <v/>
      </c>
      <c r="M2758" s="7" t="str">
        <f t="shared" si="218"/>
        <v/>
      </c>
      <c r="N2758" s="7" t="str">
        <f t="shared" si="222"/>
        <v/>
      </c>
      <c r="O2758" s="8"/>
      <c r="P2758" s="26"/>
      <c r="S2758" s="10" t="str">
        <f t="shared" si="219"/>
        <v/>
      </c>
    </row>
    <row r="2759" spans="5:19" x14ac:dyDescent="0.3">
      <c r="E2759" s="9" t="str">
        <f>IF(DADOS!C2759="","",DADOS!C2759)</f>
        <v/>
      </c>
      <c r="F2759" s="9" t="str">
        <f>IF(DADOS!E2759="","",DADOS!E2759)</f>
        <v/>
      </c>
      <c r="G2759" s="9" t="str">
        <f>IF(DADOS!F2759="","",DADOS!F2759)</f>
        <v/>
      </c>
      <c r="K2759" s="6" t="str">
        <f t="shared" si="220"/>
        <v/>
      </c>
      <c r="L2759" s="7" t="str">
        <f t="shared" si="221"/>
        <v/>
      </c>
      <c r="M2759" s="7" t="str">
        <f t="shared" si="218"/>
        <v/>
      </c>
      <c r="N2759" s="7" t="str">
        <f t="shared" si="222"/>
        <v/>
      </c>
      <c r="O2759" s="8"/>
      <c r="P2759" s="26"/>
      <c r="S2759" s="10" t="str">
        <f t="shared" si="219"/>
        <v/>
      </c>
    </row>
    <row r="2760" spans="5:19" x14ac:dyDescent="0.3">
      <c r="E2760" s="9" t="str">
        <f>IF(DADOS!C2760="","",DADOS!C2760)</f>
        <v/>
      </c>
      <c r="F2760" s="9" t="str">
        <f>IF(DADOS!E2760="","",DADOS!E2760)</f>
        <v/>
      </c>
      <c r="G2760" s="9" t="str">
        <f>IF(DADOS!F2760="","",DADOS!F2760)</f>
        <v/>
      </c>
      <c r="K2760" s="6" t="str">
        <f t="shared" si="220"/>
        <v/>
      </c>
      <c r="L2760" s="7" t="str">
        <f t="shared" si="221"/>
        <v/>
      </c>
      <c r="M2760" s="7" t="str">
        <f t="shared" si="218"/>
        <v/>
      </c>
      <c r="N2760" s="7" t="str">
        <f t="shared" si="222"/>
        <v/>
      </c>
      <c r="O2760" s="8"/>
      <c r="P2760" s="26"/>
      <c r="S2760" s="10" t="str">
        <f t="shared" si="219"/>
        <v/>
      </c>
    </row>
    <row r="2761" spans="5:19" x14ac:dyDescent="0.3">
      <c r="E2761" s="9" t="str">
        <f>IF(DADOS!C2761="","",DADOS!C2761)</f>
        <v/>
      </c>
      <c r="F2761" s="9" t="str">
        <f>IF(DADOS!E2761="","",DADOS!E2761)</f>
        <v/>
      </c>
      <c r="G2761" s="9" t="str">
        <f>IF(DADOS!F2761="","",DADOS!F2761)</f>
        <v/>
      </c>
      <c r="K2761" s="6" t="str">
        <f t="shared" si="220"/>
        <v/>
      </c>
      <c r="L2761" s="7" t="str">
        <f t="shared" si="221"/>
        <v/>
      </c>
      <c r="M2761" s="7" t="str">
        <f t="shared" si="218"/>
        <v/>
      </c>
      <c r="N2761" s="7" t="str">
        <f t="shared" si="222"/>
        <v/>
      </c>
      <c r="O2761" s="8"/>
      <c r="P2761" s="26"/>
      <c r="S2761" s="10" t="str">
        <f t="shared" si="219"/>
        <v/>
      </c>
    </row>
    <row r="2762" spans="5:19" x14ac:dyDescent="0.3">
      <c r="E2762" s="9" t="str">
        <f>IF(DADOS!C2762="","",DADOS!C2762)</f>
        <v/>
      </c>
      <c r="F2762" s="9" t="str">
        <f>IF(DADOS!E2762="","",DADOS!E2762)</f>
        <v/>
      </c>
      <c r="G2762" s="9" t="str">
        <f>IF(DADOS!F2762="","",DADOS!F2762)</f>
        <v/>
      </c>
      <c r="K2762" s="6" t="str">
        <f t="shared" si="220"/>
        <v/>
      </c>
      <c r="L2762" s="7" t="str">
        <f t="shared" si="221"/>
        <v/>
      </c>
      <c r="M2762" s="7" t="str">
        <f t="shared" si="218"/>
        <v/>
      </c>
      <c r="N2762" s="7" t="str">
        <f t="shared" si="222"/>
        <v/>
      </c>
      <c r="O2762" s="8"/>
      <c r="P2762" s="26"/>
      <c r="S2762" s="10" t="str">
        <f t="shared" si="219"/>
        <v/>
      </c>
    </row>
    <row r="2763" spans="5:19" x14ac:dyDescent="0.3">
      <c r="E2763" s="9" t="str">
        <f>IF(DADOS!C2763="","",DADOS!C2763)</f>
        <v/>
      </c>
      <c r="F2763" s="9" t="str">
        <f>IF(DADOS!E2763="","",DADOS!E2763)</f>
        <v/>
      </c>
      <c r="G2763" s="9" t="str">
        <f>IF(DADOS!F2763="","",DADOS!F2763)</f>
        <v/>
      </c>
      <c r="K2763" s="6" t="str">
        <f t="shared" si="220"/>
        <v/>
      </c>
      <c r="L2763" s="7" t="str">
        <f t="shared" si="221"/>
        <v/>
      </c>
      <c r="M2763" s="7" t="str">
        <f t="shared" si="218"/>
        <v/>
      </c>
      <c r="N2763" s="7" t="str">
        <f t="shared" si="222"/>
        <v/>
      </c>
      <c r="O2763" s="8"/>
      <c r="P2763" s="26"/>
      <c r="S2763" s="10" t="str">
        <f t="shared" si="219"/>
        <v/>
      </c>
    </row>
    <row r="2764" spans="5:19" x14ac:dyDescent="0.3">
      <c r="E2764" s="9" t="str">
        <f>IF(DADOS!C2764="","",DADOS!C2764)</f>
        <v/>
      </c>
      <c r="F2764" s="9" t="str">
        <f>IF(DADOS!E2764="","",DADOS!E2764)</f>
        <v/>
      </c>
      <c r="G2764" s="9" t="str">
        <f>IF(DADOS!F2764="","",DADOS!F2764)</f>
        <v/>
      </c>
      <c r="K2764" s="6" t="str">
        <f t="shared" si="220"/>
        <v/>
      </c>
      <c r="L2764" s="7" t="str">
        <f t="shared" si="221"/>
        <v/>
      </c>
      <c r="M2764" s="7" t="str">
        <f t="shared" si="218"/>
        <v/>
      </c>
      <c r="N2764" s="7" t="str">
        <f t="shared" si="222"/>
        <v/>
      </c>
      <c r="O2764" s="8"/>
      <c r="P2764" s="26"/>
      <c r="S2764" s="10" t="str">
        <f t="shared" si="219"/>
        <v/>
      </c>
    </row>
    <row r="2765" spans="5:19" x14ac:dyDescent="0.3">
      <c r="E2765" s="9" t="str">
        <f>IF(DADOS!C2765="","",DADOS!C2765)</f>
        <v/>
      </c>
      <c r="F2765" s="9" t="str">
        <f>IF(DADOS!E2765="","",DADOS!E2765)</f>
        <v/>
      </c>
      <c r="G2765" s="9" t="str">
        <f>IF(DADOS!F2765="","",DADOS!F2765)</f>
        <v/>
      </c>
      <c r="K2765" s="6" t="str">
        <f t="shared" si="220"/>
        <v/>
      </c>
      <c r="L2765" s="7" t="str">
        <f t="shared" si="221"/>
        <v/>
      </c>
      <c r="M2765" s="7" t="str">
        <f t="shared" si="218"/>
        <v/>
      </c>
      <c r="N2765" s="7" t="str">
        <f t="shared" si="222"/>
        <v/>
      </c>
      <c r="O2765" s="8"/>
      <c r="P2765" s="26"/>
      <c r="S2765" s="10" t="str">
        <f t="shared" si="219"/>
        <v/>
      </c>
    </row>
    <row r="2766" spans="5:19" x14ac:dyDescent="0.3">
      <c r="E2766" s="9" t="str">
        <f>IF(DADOS!C2766="","",DADOS!C2766)</f>
        <v/>
      </c>
      <c r="F2766" s="9" t="str">
        <f>IF(DADOS!E2766="","",DADOS!E2766)</f>
        <v/>
      </c>
      <c r="G2766" s="9" t="str">
        <f>IF(DADOS!F2766="","",DADOS!F2766)</f>
        <v/>
      </c>
      <c r="K2766" s="6" t="str">
        <f t="shared" si="220"/>
        <v/>
      </c>
      <c r="L2766" s="7" t="str">
        <f t="shared" si="221"/>
        <v/>
      </c>
      <c r="M2766" s="7" t="str">
        <f t="shared" si="218"/>
        <v/>
      </c>
      <c r="N2766" s="7" t="str">
        <f t="shared" si="222"/>
        <v/>
      </c>
      <c r="O2766" s="8"/>
      <c r="P2766" s="26"/>
      <c r="S2766" s="10" t="str">
        <f t="shared" si="219"/>
        <v/>
      </c>
    </row>
    <row r="2767" spans="5:19" x14ac:dyDescent="0.3">
      <c r="E2767" s="9" t="str">
        <f>IF(DADOS!C2767="","",DADOS!C2767)</f>
        <v/>
      </c>
      <c r="F2767" s="9" t="str">
        <f>IF(DADOS!E2767="","",DADOS!E2767)</f>
        <v/>
      </c>
      <c r="G2767" s="9" t="str">
        <f>IF(DADOS!F2767="","",DADOS!F2767)</f>
        <v/>
      </c>
      <c r="K2767" s="6" t="str">
        <f t="shared" si="220"/>
        <v/>
      </c>
      <c r="L2767" s="7" t="str">
        <f t="shared" si="221"/>
        <v/>
      </c>
      <c r="M2767" s="7" t="str">
        <f t="shared" si="218"/>
        <v/>
      </c>
      <c r="N2767" s="7" t="str">
        <f t="shared" si="222"/>
        <v/>
      </c>
      <c r="O2767" s="8"/>
      <c r="P2767" s="26"/>
      <c r="S2767" s="10" t="str">
        <f t="shared" si="219"/>
        <v/>
      </c>
    </row>
    <row r="2768" spans="5:19" x14ac:dyDescent="0.3">
      <c r="E2768" s="9" t="str">
        <f>IF(DADOS!C2768="","",DADOS!C2768)</f>
        <v/>
      </c>
      <c r="F2768" s="9" t="str">
        <f>IF(DADOS!E2768="","",DADOS!E2768)</f>
        <v/>
      </c>
      <c r="G2768" s="9" t="str">
        <f>IF(DADOS!F2768="","",DADOS!F2768)</f>
        <v/>
      </c>
      <c r="K2768" s="6" t="str">
        <f t="shared" si="220"/>
        <v/>
      </c>
      <c r="L2768" s="7" t="str">
        <f t="shared" si="221"/>
        <v/>
      </c>
      <c r="M2768" s="7" t="str">
        <f t="shared" si="218"/>
        <v/>
      </c>
      <c r="N2768" s="7" t="str">
        <f t="shared" si="222"/>
        <v/>
      </c>
      <c r="O2768" s="8"/>
      <c r="P2768" s="26"/>
      <c r="S2768" s="10" t="str">
        <f t="shared" si="219"/>
        <v/>
      </c>
    </row>
    <row r="2769" spans="5:19" x14ac:dyDescent="0.3">
      <c r="E2769" s="9" t="str">
        <f>IF(DADOS!C2769="","",DADOS!C2769)</f>
        <v/>
      </c>
      <c r="F2769" s="9" t="str">
        <f>IF(DADOS!E2769="","",DADOS!E2769)</f>
        <v/>
      </c>
      <c r="G2769" s="9" t="str">
        <f>IF(DADOS!F2769="","",DADOS!F2769)</f>
        <v/>
      </c>
      <c r="K2769" s="6" t="str">
        <f t="shared" si="220"/>
        <v/>
      </c>
      <c r="L2769" s="7" t="str">
        <f t="shared" si="221"/>
        <v/>
      </c>
      <c r="M2769" s="7" t="str">
        <f t="shared" si="218"/>
        <v/>
      </c>
      <c r="N2769" s="7" t="str">
        <f t="shared" si="222"/>
        <v/>
      </c>
      <c r="O2769" s="8"/>
      <c r="P2769" s="26"/>
      <c r="S2769" s="10" t="str">
        <f t="shared" si="219"/>
        <v/>
      </c>
    </row>
    <row r="2770" spans="5:19" x14ac:dyDescent="0.3">
      <c r="E2770" s="9" t="str">
        <f>IF(DADOS!C2770="","",DADOS!C2770)</f>
        <v/>
      </c>
      <c r="F2770" s="9" t="str">
        <f>IF(DADOS!E2770="","",DADOS!E2770)</f>
        <v/>
      </c>
      <c r="G2770" s="9" t="str">
        <f>IF(DADOS!F2770="","",DADOS!F2770)</f>
        <v/>
      </c>
      <c r="K2770" s="6" t="str">
        <f t="shared" si="220"/>
        <v/>
      </c>
      <c r="L2770" s="7" t="str">
        <f t="shared" si="221"/>
        <v/>
      </c>
      <c r="M2770" s="7" t="str">
        <f t="shared" si="218"/>
        <v/>
      </c>
      <c r="N2770" s="7" t="str">
        <f t="shared" si="222"/>
        <v/>
      </c>
      <c r="O2770" s="8"/>
      <c r="P2770" s="26"/>
      <c r="S2770" s="10" t="str">
        <f t="shared" si="219"/>
        <v/>
      </c>
    </row>
    <row r="2771" spans="5:19" x14ac:dyDescent="0.3">
      <c r="E2771" s="9" t="str">
        <f>IF(DADOS!C2771="","",DADOS!C2771)</f>
        <v/>
      </c>
      <c r="F2771" s="9" t="str">
        <f>IF(DADOS!E2771="","",DADOS!E2771)</f>
        <v/>
      </c>
      <c r="G2771" s="9" t="str">
        <f>IF(DADOS!F2771="","",DADOS!F2771)</f>
        <v/>
      </c>
      <c r="K2771" s="6" t="str">
        <f t="shared" si="220"/>
        <v/>
      </c>
      <c r="L2771" s="7" t="str">
        <f t="shared" si="221"/>
        <v/>
      </c>
      <c r="M2771" s="7" t="str">
        <f t="shared" si="218"/>
        <v/>
      </c>
      <c r="N2771" s="7" t="str">
        <f t="shared" si="222"/>
        <v/>
      </c>
      <c r="O2771" s="8"/>
      <c r="P2771" s="26"/>
      <c r="S2771" s="10" t="str">
        <f t="shared" si="219"/>
        <v/>
      </c>
    </row>
    <row r="2772" spans="5:19" x14ac:dyDescent="0.3">
      <c r="E2772" s="9" t="str">
        <f>IF(DADOS!C2772="","",DADOS!C2772)</f>
        <v/>
      </c>
      <c r="F2772" s="9" t="str">
        <f>IF(DADOS!E2772="","",DADOS!E2772)</f>
        <v/>
      </c>
      <c r="G2772" s="9" t="str">
        <f>IF(DADOS!F2772="","",DADOS!F2772)</f>
        <v/>
      </c>
      <c r="K2772" s="6" t="str">
        <f t="shared" si="220"/>
        <v/>
      </c>
      <c r="L2772" s="7" t="str">
        <f t="shared" si="221"/>
        <v/>
      </c>
      <c r="M2772" s="7" t="str">
        <f t="shared" si="218"/>
        <v/>
      </c>
      <c r="N2772" s="7" t="str">
        <f t="shared" si="222"/>
        <v/>
      </c>
      <c r="O2772" s="8"/>
      <c r="P2772" s="26"/>
      <c r="S2772" s="10" t="str">
        <f t="shared" si="219"/>
        <v/>
      </c>
    </row>
    <row r="2773" spans="5:19" x14ac:dyDescent="0.3">
      <c r="E2773" s="9" t="str">
        <f>IF(DADOS!C2773="","",DADOS!C2773)</f>
        <v/>
      </c>
      <c r="F2773" s="9" t="str">
        <f>IF(DADOS!E2773="","",DADOS!E2773)</f>
        <v/>
      </c>
      <c r="G2773" s="9" t="str">
        <f>IF(DADOS!F2773="","",DADOS!F2773)</f>
        <v/>
      </c>
      <c r="K2773" s="6" t="str">
        <f t="shared" si="220"/>
        <v/>
      </c>
      <c r="L2773" s="7" t="str">
        <f t="shared" si="221"/>
        <v/>
      </c>
      <c r="M2773" s="7" t="str">
        <f t="shared" si="218"/>
        <v/>
      </c>
      <c r="N2773" s="7" t="str">
        <f t="shared" si="222"/>
        <v/>
      </c>
      <c r="O2773" s="8"/>
      <c r="P2773" s="26"/>
      <c r="S2773" s="10" t="str">
        <f t="shared" si="219"/>
        <v/>
      </c>
    </row>
    <row r="2774" spans="5:19" x14ac:dyDescent="0.3">
      <c r="E2774" s="9" t="str">
        <f>IF(DADOS!C2774="","",DADOS!C2774)</f>
        <v/>
      </c>
      <c r="F2774" s="9" t="str">
        <f>IF(DADOS!E2774="","",DADOS!E2774)</f>
        <v/>
      </c>
      <c r="G2774" s="9" t="str">
        <f>IF(DADOS!F2774="","",DADOS!F2774)</f>
        <v/>
      </c>
      <c r="K2774" s="6" t="str">
        <f t="shared" si="220"/>
        <v/>
      </c>
      <c r="L2774" s="7" t="str">
        <f t="shared" si="221"/>
        <v/>
      </c>
      <c r="M2774" s="7" t="str">
        <f t="shared" si="218"/>
        <v/>
      </c>
      <c r="N2774" s="7" t="str">
        <f t="shared" si="222"/>
        <v/>
      </c>
      <c r="O2774" s="8"/>
      <c r="P2774" s="26"/>
      <c r="S2774" s="10" t="str">
        <f t="shared" si="219"/>
        <v/>
      </c>
    </row>
    <row r="2775" spans="5:19" x14ac:dyDescent="0.3">
      <c r="E2775" s="9" t="str">
        <f>IF(DADOS!C2775="","",DADOS!C2775)</f>
        <v/>
      </c>
      <c r="F2775" s="9" t="str">
        <f>IF(DADOS!E2775="","",DADOS!E2775)</f>
        <v/>
      </c>
      <c r="G2775" s="9" t="str">
        <f>IF(DADOS!F2775="","",DADOS!F2775)</f>
        <v/>
      </c>
      <c r="K2775" s="6" t="str">
        <f t="shared" si="220"/>
        <v/>
      </c>
      <c r="L2775" s="7" t="str">
        <f t="shared" si="221"/>
        <v/>
      </c>
      <c r="M2775" s="7" t="str">
        <f t="shared" si="218"/>
        <v/>
      </c>
      <c r="N2775" s="7" t="str">
        <f t="shared" si="222"/>
        <v/>
      </c>
      <c r="O2775" s="8"/>
      <c r="P2775" s="26"/>
      <c r="S2775" s="10" t="str">
        <f t="shared" si="219"/>
        <v/>
      </c>
    </row>
    <row r="2776" spans="5:19" x14ac:dyDescent="0.3">
      <c r="E2776" s="9" t="str">
        <f>IF(DADOS!C2776="","",DADOS!C2776)</f>
        <v/>
      </c>
      <c r="F2776" s="9" t="str">
        <f>IF(DADOS!E2776="","",DADOS!E2776)</f>
        <v/>
      </c>
      <c r="G2776" s="9" t="str">
        <f>IF(DADOS!F2776="","",DADOS!F2776)</f>
        <v/>
      </c>
      <c r="K2776" s="6" t="str">
        <f t="shared" si="220"/>
        <v/>
      </c>
      <c r="L2776" s="7" t="str">
        <f t="shared" si="221"/>
        <v/>
      </c>
      <c r="M2776" s="7" t="str">
        <f t="shared" si="218"/>
        <v/>
      </c>
      <c r="N2776" s="7" t="str">
        <f t="shared" si="222"/>
        <v/>
      </c>
      <c r="O2776" s="8"/>
      <c r="P2776" s="26"/>
      <c r="S2776" s="10" t="str">
        <f t="shared" si="219"/>
        <v/>
      </c>
    </row>
    <row r="2777" spans="5:19" x14ac:dyDescent="0.3">
      <c r="E2777" s="9" t="str">
        <f>IF(DADOS!C2777="","",DADOS!C2777)</f>
        <v/>
      </c>
      <c r="F2777" s="9" t="str">
        <f>IF(DADOS!E2777="","",DADOS!E2777)</f>
        <v/>
      </c>
      <c r="G2777" s="9" t="str">
        <f>IF(DADOS!F2777="","",DADOS!F2777)</f>
        <v/>
      </c>
      <c r="K2777" s="6" t="str">
        <f t="shared" si="220"/>
        <v/>
      </c>
      <c r="L2777" s="7" t="str">
        <f t="shared" si="221"/>
        <v/>
      </c>
      <c r="M2777" s="7" t="str">
        <f t="shared" si="218"/>
        <v/>
      </c>
      <c r="N2777" s="7" t="str">
        <f t="shared" si="222"/>
        <v/>
      </c>
      <c r="O2777" s="8"/>
      <c r="P2777" s="26"/>
      <c r="S2777" s="10" t="str">
        <f t="shared" si="219"/>
        <v/>
      </c>
    </row>
    <row r="2778" spans="5:19" x14ac:dyDescent="0.3">
      <c r="E2778" s="9" t="str">
        <f>IF(DADOS!C2778="","",DADOS!C2778)</f>
        <v/>
      </c>
      <c r="F2778" s="9" t="str">
        <f>IF(DADOS!E2778="","",DADOS!E2778)</f>
        <v/>
      </c>
      <c r="G2778" s="9" t="str">
        <f>IF(DADOS!F2778="","",DADOS!F2778)</f>
        <v/>
      </c>
      <c r="K2778" s="6" t="str">
        <f t="shared" si="220"/>
        <v/>
      </c>
      <c r="L2778" s="7" t="str">
        <f t="shared" si="221"/>
        <v/>
      </c>
      <c r="M2778" s="7" t="str">
        <f t="shared" si="218"/>
        <v/>
      </c>
      <c r="N2778" s="7" t="str">
        <f t="shared" si="222"/>
        <v/>
      </c>
      <c r="O2778" s="8"/>
      <c r="P2778" s="26"/>
      <c r="S2778" s="10" t="str">
        <f t="shared" si="219"/>
        <v/>
      </c>
    </row>
    <row r="2779" spans="5:19" x14ac:dyDescent="0.3">
      <c r="E2779" s="9" t="str">
        <f>IF(DADOS!C2779="","",DADOS!C2779)</f>
        <v/>
      </c>
      <c r="F2779" s="9" t="str">
        <f>IF(DADOS!E2779="","",DADOS!E2779)</f>
        <v/>
      </c>
      <c r="G2779" s="9" t="str">
        <f>IF(DADOS!F2779="","",DADOS!F2779)</f>
        <v/>
      </c>
      <c r="K2779" s="6" t="str">
        <f t="shared" si="220"/>
        <v/>
      </c>
      <c r="L2779" s="7" t="str">
        <f t="shared" si="221"/>
        <v/>
      </c>
      <c r="M2779" s="7" t="str">
        <f t="shared" si="218"/>
        <v/>
      </c>
      <c r="N2779" s="7" t="str">
        <f t="shared" si="222"/>
        <v/>
      </c>
      <c r="O2779" s="8"/>
      <c r="P2779" s="26"/>
      <c r="S2779" s="10" t="str">
        <f t="shared" si="219"/>
        <v/>
      </c>
    </row>
    <row r="2780" spans="5:19" x14ac:dyDescent="0.3">
      <c r="E2780" s="9" t="str">
        <f>IF(DADOS!C2780="","",DADOS!C2780)</f>
        <v/>
      </c>
      <c r="F2780" s="9" t="str">
        <f>IF(DADOS!E2780="","",DADOS!E2780)</f>
        <v/>
      </c>
      <c r="G2780" s="9" t="str">
        <f>IF(DADOS!F2780="","",DADOS!F2780)</f>
        <v/>
      </c>
      <c r="K2780" s="6" t="str">
        <f t="shared" si="220"/>
        <v/>
      </c>
      <c r="L2780" s="7" t="str">
        <f t="shared" si="221"/>
        <v/>
      </c>
      <c r="M2780" s="7" t="str">
        <f t="shared" si="218"/>
        <v/>
      </c>
      <c r="N2780" s="7" t="str">
        <f t="shared" si="222"/>
        <v/>
      </c>
      <c r="O2780" s="8"/>
      <c r="P2780" s="26"/>
      <c r="S2780" s="10" t="str">
        <f t="shared" si="219"/>
        <v/>
      </c>
    </row>
    <row r="2781" spans="5:19" x14ac:dyDescent="0.3">
      <c r="E2781" s="9" t="str">
        <f>IF(DADOS!C2781="","",DADOS!C2781)</f>
        <v/>
      </c>
      <c r="F2781" s="9" t="str">
        <f>IF(DADOS!E2781="","",DADOS!E2781)</f>
        <v/>
      </c>
      <c r="G2781" s="9" t="str">
        <f>IF(DADOS!F2781="","",DADOS!F2781)</f>
        <v/>
      </c>
      <c r="K2781" s="6" t="str">
        <f t="shared" si="220"/>
        <v/>
      </c>
      <c r="L2781" s="7" t="str">
        <f t="shared" si="221"/>
        <v/>
      </c>
      <c r="M2781" s="7" t="str">
        <f t="shared" si="218"/>
        <v/>
      </c>
      <c r="N2781" s="7" t="str">
        <f t="shared" si="222"/>
        <v/>
      </c>
      <c r="O2781" s="8"/>
      <c r="P2781" s="26"/>
      <c r="S2781" s="10" t="str">
        <f t="shared" si="219"/>
        <v/>
      </c>
    </row>
    <row r="2782" spans="5:19" x14ac:dyDescent="0.3">
      <c r="E2782" s="9" t="str">
        <f>IF(DADOS!C2782="","",DADOS!C2782)</f>
        <v/>
      </c>
      <c r="F2782" s="9" t="str">
        <f>IF(DADOS!E2782="","",DADOS!E2782)</f>
        <v/>
      </c>
      <c r="G2782" s="9" t="str">
        <f>IF(DADOS!F2782="","",DADOS!F2782)</f>
        <v/>
      </c>
      <c r="K2782" s="6" t="str">
        <f t="shared" si="220"/>
        <v/>
      </c>
      <c r="L2782" s="7" t="str">
        <f t="shared" si="221"/>
        <v/>
      </c>
      <c r="M2782" s="7" t="str">
        <f t="shared" si="218"/>
        <v/>
      </c>
      <c r="N2782" s="7" t="str">
        <f t="shared" si="222"/>
        <v/>
      </c>
      <c r="O2782" s="8"/>
      <c r="P2782" s="26"/>
      <c r="S2782" s="10" t="str">
        <f t="shared" si="219"/>
        <v/>
      </c>
    </row>
    <row r="2783" spans="5:19" x14ac:dyDescent="0.3">
      <c r="E2783" s="9" t="str">
        <f>IF(DADOS!C2783="","",DADOS!C2783)</f>
        <v/>
      </c>
      <c r="F2783" s="9" t="str">
        <f>IF(DADOS!E2783="","",DADOS!E2783)</f>
        <v/>
      </c>
      <c r="G2783" s="9" t="str">
        <f>IF(DADOS!F2783="","",DADOS!F2783)</f>
        <v/>
      </c>
      <c r="K2783" s="6" t="str">
        <f t="shared" si="220"/>
        <v/>
      </c>
      <c r="L2783" s="7" t="str">
        <f t="shared" si="221"/>
        <v/>
      </c>
      <c r="M2783" s="7" t="str">
        <f t="shared" si="218"/>
        <v/>
      </c>
      <c r="N2783" s="7" t="str">
        <f t="shared" si="222"/>
        <v/>
      </c>
      <c r="O2783" s="8"/>
      <c r="P2783" s="26"/>
      <c r="S2783" s="10" t="str">
        <f t="shared" si="219"/>
        <v/>
      </c>
    </row>
    <row r="2784" spans="5:19" x14ac:dyDescent="0.3">
      <c r="E2784" s="9" t="str">
        <f>IF(DADOS!C2784="","",DADOS!C2784)</f>
        <v/>
      </c>
      <c r="F2784" s="9" t="str">
        <f>IF(DADOS!E2784="","",DADOS!E2784)</f>
        <v/>
      </c>
      <c r="G2784" s="9" t="str">
        <f>IF(DADOS!F2784="","",DADOS!F2784)</f>
        <v/>
      </c>
      <c r="K2784" s="6" t="str">
        <f t="shared" si="220"/>
        <v/>
      </c>
      <c r="L2784" s="7" t="str">
        <f t="shared" si="221"/>
        <v/>
      </c>
      <c r="M2784" s="7" t="str">
        <f t="shared" si="218"/>
        <v/>
      </c>
      <c r="N2784" s="7" t="str">
        <f t="shared" si="222"/>
        <v/>
      </c>
      <c r="O2784" s="8"/>
      <c r="P2784" s="26"/>
      <c r="S2784" s="10" t="str">
        <f t="shared" si="219"/>
        <v/>
      </c>
    </row>
    <row r="2785" spans="5:19" x14ac:dyDescent="0.3">
      <c r="E2785" s="9" t="str">
        <f>IF(DADOS!C2785="","",DADOS!C2785)</f>
        <v/>
      </c>
      <c r="F2785" s="9" t="str">
        <f>IF(DADOS!E2785="","",DADOS!E2785)</f>
        <v/>
      </c>
      <c r="G2785" s="9" t="str">
        <f>IF(DADOS!F2785="","",DADOS!F2785)</f>
        <v/>
      </c>
      <c r="K2785" s="6" t="str">
        <f t="shared" si="220"/>
        <v/>
      </c>
      <c r="L2785" s="7" t="str">
        <f t="shared" si="221"/>
        <v/>
      </c>
      <c r="M2785" s="7" t="str">
        <f t="shared" si="218"/>
        <v/>
      </c>
      <c r="N2785" s="7" t="str">
        <f t="shared" si="222"/>
        <v/>
      </c>
      <c r="O2785" s="8"/>
      <c r="P2785" s="26"/>
      <c r="S2785" s="10" t="str">
        <f t="shared" si="219"/>
        <v/>
      </c>
    </row>
    <row r="2786" spans="5:19" x14ac:dyDescent="0.3">
      <c r="E2786" s="9" t="str">
        <f>IF(DADOS!C2786="","",DADOS!C2786)</f>
        <v/>
      </c>
      <c r="F2786" s="9" t="str">
        <f>IF(DADOS!E2786="","",DADOS!E2786)</f>
        <v/>
      </c>
      <c r="G2786" s="9" t="str">
        <f>IF(DADOS!F2786="","",DADOS!F2786)</f>
        <v/>
      </c>
      <c r="K2786" s="6" t="str">
        <f t="shared" si="220"/>
        <v/>
      </c>
      <c r="L2786" s="7" t="str">
        <f t="shared" si="221"/>
        <v/>
      </c>
      <c r="M2786" s="7" t="str">
        <f t="shared" si="218"/>
        <v/>
      </c>
      <c r="N2786" s="7" t="str">
        <f t="shared" si="222"/>
        <v/>
      </c>
      <c r="O2786" s="8"/>
      <c r="P2786" s="26"/>
      <c r="S2786" s="10" t="str">
        <f t="shared" si="219"/>
        <v/>
      </c>
    </row>
    <row r="2787" spans="5:19" x14ac:dyDescent="0.3">
      <c r="E2787" s="9" t="str">
        <f>IF(DADOS!C2787="","",DADOS!C2787)</f>
        <v/>
      </c>
      <c r="F2787" s="9" t="str">
        <f>IF(DADOS!E2787="","",DADOS!E2787)</f>
        <v/>
      </c>
      <c r="G2787" s="9" t="str">
        <f>IF(DADOS!F2787="","",DADOS!F2787)</f>
        <v/>
      </c>
      <c r="K2787" s="6" t="str">
        <f t="shared" si="220"/>
        <v/>
      </c>
      <c r="L2787" s="7" t="str">
        <f t="shared" si="221"/>
        <v/>
      </c>
      <c r="M2787" s="7" t="str">
        <f t="shared" si="218"/>
        <v/>
      </c>
      <c r="N2787" s="7" t="str">
        <f t="shared" si="222"/>
        <v/>
      </c>
      <c r="O2787" s="8"/>
      <c r="P2787" s="26"/>
      <c r="S2787" s="10" t="str">
        <f t="shared" si="219"/>
        <v/>
      </c>
    </row>
    <row r="2788" spans="5:19" x14ac:dyDescent="0.3">
      <c r="E2788" s="9" t="str">
        <f>IF(DADOS!C2788="","",DADOS!C2788)</f>
        <v/>
      </c>
      <c r="F2788" s="9" t="str">
        <f>IF(DADOS!E2788="","",DADOS!E2788)</f>
        <v/>
      </c>
      <c r="G2788" s="9" t="str">
        <f>IF(DADOS!F2788="","",DADOS!F2788)</f>
        <v/>
      </c>
      <c r="K2788" s="6" t="str">
        <f t="shared" si="220"/>
        <v/>
      </c>
      <c r="L2788" s="7" t="str">
        <f t="shared" si="221"/>
        <v/>
      </c>
      <c r="M2788" s="7" t="str">
        <f t="shared" si="218"/>
        <v/>
      </c>
      <c r="N2788" s="7" t="str">
        <f t="shared" si="222"/>
        <v/>
      </c>
      <c r="O2788" s="8"/>
      <c r="P2788" s="26"/>
      <c r="S2788" s="10" t="str">
        <f t="shared" si="219"/>
        <v/>
      </c>
    </row>
    <row r="2789" spans="5:19" x14ac:dyDescent="0.3">
      <c r="E2789" s="9" t="str">
        <f>IF(DADOS!C2789="","",DADOS!C2789)</f>
        <v/>
      </c>
      <c r="F2789" s="9" t="str">
        <f>IF(DADOS!E2789="","",DADOS!E2789)</f>
        <v/>
      </c>
      <c r="G2789" s="9" t="str">
        <f>IF(DADOS!F2789="","",DADOS!F2789)</f>
        <v/>
      </c>
      <c r="K2789" s="6" t="str">
        <f t="shared" si="220"/>
        <v/>
      </c>
      <c r="L2789" s="7" t="str">
        <f t="shared" si="221"/>
        <v/>
      </c>
      <c r="M2789" s="7" t="str">
        <f t="shared" si="218"/>
        <v/>
      </c>
      <c r="N2789" s="7" t="str">
        <f t="shared" si="222"/>
        <v/>
      </c>
      <c r="O2789" s="8"/>
      <c r="P2789" s="26"/>
      <c r="S2789" s="10" t="str">
        <f t="shared" si="219"/>
        <v/>
      </c>
    </row>
    <row r="2790" spans="5:19" x14ac:dyDescent="0.3">
      <c r="E2790" s="9" t="str">
        <f>IF(DADOS!C2790="","",DADOS!C2790)</f>
        <v/>
      </c>
      <c r="F2790" s="9" t="str">
        <f>IF(DADOS!E2790="","",DADOS!E2790)</f>
        <v/>
      </c>
      <c r="G2790" s="9" t="str">
        <f>IF(DADOS!F2790="","",DADOS!F2790)</f>
        <v/>
      </c>
      <c r="K2790" s="6" t="str">
        <f t="shared" si="220"/>
        <v/>
      </c>
      <c r="L2790" s="7" t="str">
        <f t="shared" si="221"/>
        <v/>
      </c>
      <c r="M2790" s="7" t="str">
        <f t="shared" si="218"/>
        <v/>
      </c>
      <c r="N2790" s="7" t="str">
        <f t="shared" si="222"/>
        <v/>
      </c>
      <c r="O2790" s="8"/>
      <c r="P2790" s="26"/>
      <c r="S2790" s="10" t="str">
        <f t="shared" si="219"/>
        <v/>
      </c>
    </row>
    <row r="2791" spans="5:19" x14ac:dyDescent="0.3">
      <c r="E2791" s="9" t="str">
        <f>IF(DADOS!C2791="","",DADOS!C2791)</f>
        <v/>
      </c>
      <c r="F2791" s="9" t="str">
        <f>IF(DADOS!E2791="","",DADOS!E2791)</f>
        <v/>
      </c>
      <c r="G2791" s="9" t="str">
        <f>IF(DADOS!F2791="","",DADOS!F2791)</f>
        <v/>
      </c>
      <c r="K2791" s="6" t="str">
        <f t="shared" si="220"/>
        <v/>
      </c>
      <c r="L2791" s="7" t="str">
        <f t="shared" si="221"/>
        <v/>
      </c>
      <c r="M2791" s="7" t="str">
        <f t="shared" si="218"/>
        <v/>
      </c>
      <c r="N2791" s="7" t="str">
        <f t="shared" si="222"/>
        <v/>
      </c>
      <c r="O2791" s="8"/>
      <c r="P2791" s="26"/>
      <c r="S2791" s="10" t="str">
        <f t="shared" si="219"/>
        <v/>
      </c>
    </row>
    <row r="2792" spans="5:19" x14ac:dyDescent="0.3">
      <c r="E2792" s="9" t="str">
        <f>IF(DADOS!C2792="","",DADOS!C2792)</f>
        <v/>
      </c>
      <c r="F2792" s="9" t="str">
        <f>IF(DADOS!E2792="","",DADOS!E2792)</f>
        <v/>
      </c>
      <c r="G2792" s="9" t="str">
        <f>IF(DADOS!F2792="","",DADOS!F2792)</f>
        <v/>
      </c>
      <c r="K2792" s="6" t="str">
        <f t="shared" si="220"/>
        <v/>
      </c>
      <c r="L2792" s="7" t="str">
        <f t="shared" si="221"/>
        <v/>
      </c>
      <c r="M2792" s="7" t="str">
        <f t="shared" si="218"/>
        <v/>
      </c>
      <c r="N2792" s="7" t="str">
        <f t="shared" si="222"/>
        <v/>
      </c>
      <c r="O2792" s="8"/>
      <c r="P2792" s="26"/>
      <c r="S2792" s="10" t="str">
        <f t="shared" si="219"/>
        <v/>
      </c>
    </row>
    <row r="2793" spans="5:19" x14ac:dyDescent="0.3">
      <c r="E2793" s="9" t="str">
        <f>IF(DADOS!C2793="","",DADOS!C2793)</f>
        <v/>
      </c>
      <c r="F2793" s="9" t="str">
        <f>IF(DADOS!E2793="","",DADOS!E2793)</f>
        <v/>
      </c>
      <c r="G2793" s="9" t="str">
        <f>IF(DADOS!F2793="","",DADOS!F2793)</f>
        <v/>
      </c>
      <c r="K2793" s="6" t="str">
        <f t="shared" si="220"/>
        <v/>
      </c>
      <c r="L2793" s="7" t="str">
        <f t="shared" si="221"/>
        <v/>
      </c>
      <c r="M2793" s="7" t="str">
        <f t="shared" si="218"/>
        <v/>
      </c>
      <c r="N2793" s="7" t="str">
        <f t="shared" si="222"/>
        <v/>
      </c>
      <c r="O2793" s="8"/>
      <c r="P2793" s="26"/>
      <c r="S2793" s="10" t="str">
        <f t="shared" si="219"/>
        <v/>
      </c>
    </row>
    <row r="2794" spans="5:19" x14ac:dyDescent="0.3">
      <c r="E2794" s="9" t="str">
        <f>IF(DADOS!C2794="","",DADOS!C2794)</f>
        <v/>
      </c>
      <c r="F2794" s="9" t="str">
        <f>IF(DADOS!E2794="","",DADOS!E2794)</f>
        <v/>
      </c>
      <c r="G2794" s="9" t="str">
        <f>IF(DADOS!F2794="","",DADOS!F2794)</f>
        <v/>
      </c>
      <c r="K2794" s="6" t="str">
        <f t="shared" si="220"/>
        <v/>
      </c>
      <c r="L2794" s="7" t="str">
        <f t="shared" si="221"/>
        <v/>
      </c>
      <c r="M2794" s="7" t="str">
        <f t="shared" si="218"/>
        <v/>
      </c>
      <c r="N2794" s="7" t="str">
        <f t="shared" si="222"/>
        <v/>
      </c>
      <c r="O2794" s="8"/>
      <c r="P2794" s="26"/>
      <c r="S2794" s="10" t="str">
        <f t="shared" si="219"/>
        <v/>
      </c>
    </row>
    <row r="2795" spans="5:19" x14ac:dyDescent="0.3">
      <c r="E2795" s="9" t="str">
        <f>IF(DADOS!C2795="","",DADOS!C2795)</f>
        <v/>
      </c>
      <c r="F2795" s="9" t="str">
        <f>IF(DADOS!E2795="","",DADOS!E2795)</f>
        <v/>
      </c>
      <c r="G2795" s="9" t="str">
        <f>IF(DADOS!F2795="","",DADOS!F2795)</f>
        <v/>
      </c>
      <c r="K2795" s="6" t="str">
        <f t="shared" si="220"/>
        <v/>
      </c>
      <c r="L2795" s="7" t="str">
        <f t="shared" si="221"/>
        <v/>
      </c>
      <c r="M2795" s="7" t="str">
        <f t="shared" si="218"/>
        <v/>
      </c>
      <c r="N2795" s="7" t="str">
        <f t="shared" si="222"/>
        <v/>
      </c>
      <c r="O2795" s="8"/>
      <c r="P2795" s="26"/>
      <c r="S2795" s="10" t="str">
        <f t="shared" si="219"/>
        <v/>
      </c>
    </row>
    <row r="2796" spans="5:19" x14ac:dyDescent="0.3">
      <c r="E2796" s="9" t="str">
        <f>IF(DADOS!C2796="","",DADOS!C2796)</f>
        <v/>
      </c>
      <c r="F2796" s="9" t="str">
        <f>IF(DADOS!E2796="","",DADOS!E2796)</f>
        <v/>
      </c>
      <c r="G2796" s="9" t="str">
        <f>IF(DADOS!F2796="","",DADOS!F2796)</f>
        <v/>
      </c>
      <c r="K2796" s="6" t="str">
        <f t="shared" si="220"/>
        <v/>
      </c>
      <c r="L2796" s="7" t="str">
        <f t="shared" si="221"/>
        <v/>
      </c>
      <c r="M2796" s="7" t="str">
        <f t="shared" si="218"/>
        <v/>
      </c>
      <c r="N2796" s="7" t="str">
        <f t="shared" si="222"/>
        <v/>
      </c>
      <c r="O2796" s="8"/>
      <c r="P2796" s="26"/>
      <c r="S2796" s="10" t="str">
        <f t="shared" si="219"/>
        <v/>
      </c>
    </row>
    <row r="2797" spans="5:19" x14ac:dyDescent="0.3">
      <c r="E2797" s="9" t="str">
        <f>IF(DADOS!C2797="","",DADOS!C2797)</f>
        <v/>
      </c>
      <c r="F2797" s="9" t="str">
        <f>IF(DADOS!E2797="","",DADOS!E2797)</f>
        <v/>
      </c>
      <c r="G2797" s="9" t="str">
        <f>IF(DADOS!F2797="","",DADOS!F2797)</f>
        <v/>
      </c>
      <c r="K2797" s="6" t="str">
        <f t="shared" si="220"/>
        <v/>
      </c>
      <c r="L2797" s="7" t="str">
        <f t="shared" si="221"/>
        <v/>
      </c>
      <c r="M2797" s="7" t="str">
        <f t="shared" si="218"/>
        <v/>
      </c>
      <c r="N2797" s="7" t="str">
        <f t="shared" si="222"/>
        <v/>
      </c>
      <c r="O2797" s="8"/>
      <c r="P2797" s="26"/>
      <c r="S2797" s="10" t="str">
        <f t="shared" si="219"/>
        <v/>
      </c>
    </row>
    <row r="2798" spans="5:19" x14ac:dyDescent="0.3">
      <c r="E2798" s="9" t="str">
        <f>IF(DADOS!C2798="","",DADOS!C2798)</f>
        <v/>
      </c>
      <c r="F2798" s="9" t="str">
        <f>IF(DADOS!E2798="","",DADOS!E2798)</f>
        <v/>
      </c>
      <c r="G2798" s="9" t="str">
        <f>IF(DADOS!F2798="","",DADOS!F2798)</f>
        <v/>
      </c>
      <c r="K2798" s="6" t="str">
        <f t="shared" si="220"/>
        <v/>
      </c>
      <c r="L2798" s="7" t="str">
        <f t="shared" si="221"/>
        <v/>
      </c>
      <c r="M2798" s="7" t="str">
        <f t="shared" si="218"/>
        <v/>
      </c>
      <c r="N2798" s="7" t="str">
        <f t="shared" si="222"/>
        <v/>
      </c>
      <c r="O2798" s="8"/>
      <c r="P2798" s="26"/>
      <c r="S2798" s="10" t="str">
        <f t="shared" si="219"/>
        <v/>
      </c>
    </row>
    <row r="2799" spans="5:19" x14ac:dyDescent="0.3">
      <c r="E2799" s="9" t="str">
        <f>IF(DADOS!C2799="","",DADOS!C2799)</f>
        <v/>
      </c>
      <c r="F2799" s="9" t="str">
        <f>IF(DADOS!E2799="","",DADOS!E2799)</f>
        <v/>
      </c>
      <c r="G2799" s="9" t="str">
        <f>IF(DADOS!F2799="","",DADOS!F2799)</f>
        <v/>
      </c>
      <c r="K2799" s="6" t="str">
        <f t="shared" si="220"/>
        <v/>
      </c>
      <c r="L2799" s="7" t="str">
        <f t="shared" si="221"/>
        <v/>
      </c>
      <c r="M2799" s="7" t="str">
        <f t="shared" si="218"/>
        <v/>
      </c>
      <c r="N2799" s="7" t="str">
        <f t="shared" si="222"/>
        <v/>
      </c>
      <c r="O2799" s="8"/>
      <c r="P2799" s="26"/>
      <c r="S2799" s="10" t="str">
        <f t="shared" si="219"/>
        <v/>
      </c>
    </row>
    <row r="2800" spans="5:19" x14ac:dyDescent="0.3">
      <c r="E2800" s="9" t="str">
        <f>IF(DADOS!C2800="","",DADOS!C2800)</f>
        <v/>
      </c>
      <c r="F2800" s="9" t="str">
        <f>IF(DADOS!E2800="","",DADOS!E2800)</f>
        <v/>
      </c>
      <c r="G2800" s="9" t="str">
        <f>IF(DADOS!F2800="","",DADOS!F2800)</f>
        <v/>
      </c>
      <c r="K2800" s="6" t="str">
        <f t="shared" si="220"/>
        <v/>
      </c>
      <c r="L2800" s="7" t="str">
        <f t="shared" si="221"/>
        <v/>
      </c>
      <c r="M2800" s="7" t="str">
        <f t="shared" si="218"/>
        <v/>
      </c>
      <c r="N2800" s="7" t="str">
        <f t="shared" si="222"/>
        <v/>
      </c>
      <c r="O2800" s="8"/>
      <c r="P2800" s="26"/>
      <c r="S2800" s="10" t="str">
        <f t="shared" si="219"/>
        <v/>
      </c>
    </row>
    <row r="2801" spans="5:19" x14ac:dyDescent="0.3">
      <c r="E2801" s="9" t="str">
        <f>IF(DADOS!C2801="","",DADOS!C2801)</f>
        <v/>
      </c>
      <c r="F2801" s="9" t="str">
        <f>IF(DADOS!E2801="","",DADOS!E2801)</f>
        <v/>
      </c>
      <c r="G2801" s="9" t="str">
        <f>IF(DADOS!F2801="","",DADOS!F2801)</f>
        <v/>
      </c>
      <c r="K2801" s="6" t="str">
        <f t="shared" si="220"/>
        <v/>
      </c>
      <c r="L2801" s="7" t="str">
        <f t="shared" si="221"/>
        <v/>
      </c>
      <c r="M2801" s="7" t="str">
        <f t="shared" si="218"/>
        <v/>
      </c>
      <c r="N2801" s="7" t="str">
        <f t="shared" si="222"/>
        <v/>
      </c>
      <c r="O2801" s="8"/>
      <c r="P2801" s="26"/>
      <c r="S2801" s="10" t="str">
        <f t="shared" si="219"/>
        <v/>
      </c>
    </row>
    <row r="2802" spans="5:19" x14ac:dyDescent="0.3">
      <c r="E2802" s="9" t="str">
        <f>IF(DADOS!C2802="","",DADOS!C2802)</f>
        <v/>
      </c>
      <c r="F2802" s="9" t="str">
        <f>IF(DADOS!E2802="","",DADOS!E2802)</f>
        <v/>
      </c>
      <c r="G2802" s="9" t="str">
        <f>IF(DADOS!F2802="","",DADOS!F2802)</f>
        <v/>
      </c>
      <c r="K2802" s="6" t="str">
        <f t="shared" si="220"/>
        <v/>
      </c>
      <c r="L2802" s="7" t="str">
        <f t="shared" si="221"/>
        <v/>
      </c>
      <c r="M2802" s="7" t="str">
        <f t="shared" si="218"/>
        <v/>
      </c>
      <c r="N2802" s="7" t="str">
        <f t="shared" si="222"/>
        <v/>
      </c>
      <c r="O2802" s="8"/>
      <c r="P2802" s="26"/>
      <c r="S2802" s="10" t="str">
        <f t="shared" si="219"/>
        <v/>
      </c>
    </row>
    <row r="2803" spans="5:19" x14ac:dyDescent="0.3">
      <c r="E2803" s="9" t="str">
        <f>IF(DADOS!C2803="","",DADOS!C2803)</f>
        <v/>
      </c>
      <c r="F2803" s="9" t="str">
        <f>IF(DADOS!E2803="","",DADOS!E2803)</f>
        <v/>
      </c>
      <c r="G2803" s="9" t="str">
        <f>IF(DADOS!F2803="","",DADOS!F2803)</f>
        <v/>
      </c>
      <c r="K2803" s="6" t="str">
        <f t="shared" si="220"/>
        <v/>
      </c>
      <c r="L2803" s="7" t="str">
        <f t="shared" si="221"/>
        <v/>
      </c>
      <c r="M2803" s="7" t="str">
        <f t="shared" si="218"/>
        <v/>
      </c>
      <c r="N2803" s="7" t="str">
        <f t="shared" si="222"/>
        <v/>
      </c>
      <c r="O2803" s="8"/>
      <c r="P2803" s="26"/>
      <c r="S2803" s="10" t="str">
        <f t="shared" si="219"/>
        <v/>
      </c>
    </row>
    <row r="2804" spans="5:19" x14ac:dyDescent="0.3">
      <c r="E2804" s="9" t="str">
        <f>IF(DADOS!C2804="","",DADOS!C2804)</f>
        <v/>
      </c>
      <c r="F2804" s="9" t="str">
        <f>IF(DADOS!E2804="","",DADOS!E2804)</f>
        <v/>
      </c>
      <c r="G2804" s="9" t="str">
        <f>IF(DADOS!F2804="","",DADOS!F2804)</f>
        <v/>
      </c>
      <c r="K2804" s="6" t="str">
        <f t="shared" si="220"/>
        <v/>
      </c>
      <c r="L2804" s="7" t="str">
        <f t="shared" si="221"/>
        <v/>
      </c>
      <c r="M2804" s="7" t="str">
        <f t="shared" si="218"/>
        <v/>
      </c>
      <c r="N2804" s="7" t="str">
        <f t="shared" si="222"/>
        <v/>
      </c>
      <c r="O2804" s="8"/>
      <c r="P2804" s="26"/>
      <c r="S2804" s="10" t="str">
        <f t="shared" si="219"/>
        <v/>
      </c>
    </row>
    <row r="2805" spans="5:19" x14ac:dyDescent="0.3">
      <c r="E2805" s="9" t="str">
        <f>IF(DADOS!C2805="","",DADOS!C2805)</f>
        <v/>
      </c>
      <c r="F2805" s="9" t="str">
        <f>IF(DADOS!E2805="","",DADOS!E2805)</f>
        <v/>
      </c>
      <c r="G2805" s="9" t="str">
        <f>IF(DADOS!F2805="","",DADOS!F2805)</f>
        <v/>
      </c>
      <c r="K2805" s="6" t="str">
        <f t="shared" si="220"/>
        <v/>
      </c>
      <c r="L2805" s="7" t="str">
        <f t="shared" si="221"/>
        <v/>
      </c>
      <c r="M2805" s="7" t="str">
        <f t="shared" si="218"/>
        <v/>
      </c>
      <c r="N2805" s="7" t="str">
        <f t="shared" si="222"/>
        <v/>
      </c>
      <c r="O2805" s="8"/>
      <c r="P2805" s="26"/>
      <c r="S2805" s="10" t="str">
        <f t="shared" si="219"/>
        <v/>
      </c>
    </row>
    <row r="2806" spans="5:19" x14ac:dyDescent="0.3">
      <c r="E2806" s="9" t="str">
        <f>IF(DADOS!C2806="","",DADOS!C2806)</f>
        <v/>
      </c>
      <c r="F2806" s="9" t="str">
        <f>IF(DADOS!E2806="","",DADOS!E2806)</f>
        <v/>
      </c>
      <c r="G2806" s="9" t="str">
        <f>IF(DADOS!F2806="","",DADOS!F2806)</f>
        <v/>
      </c>
      <c r="K2806" s="6" t="str">
        <f t="shared" si="220"/>
        <v/>
      </c>
      <c r="L2806" s="7" t="str">
        <f t="shared" si="221"/>
        <v/>
      </c>
      <c r="M2806" s="7" t="str">
        <f t="shared" si="218"/>
        <v/>
      </c>
      <c r="N2806" s="7" t="str">
        <f t="shared" si="222"/>
        <v/>
      </c>
      <c r="O2806" s="8"/>
      <c r="P2806" s="26"/>
      <c r="S2806" s="10" t="str">
        <f t="shared" si="219"/>
        <v/>
      </c>
    </row>
    <row r="2807" spans="5:19" x14ac:dyDescent="0.3">
      <c r="E2807" s="9" t="str">
        <f>IF(DADOS!C2807="","",DADOS!C2807)</f>
        <v/>
      </c>
      <c r="F2807" s="9" t="str">
        <f>IF(DADOS!E2807="","",DADOS!E2807)</f>
        <v/>
      </c>
      <c r="G2807" s="9" t="str">
        <f>IF(DADOS!F2807="","",DADOS!F2807)</f>
        <v/>
      </c>
      <c r="K2807" s="6" t="str">
        <f t="shared" si="220"/>
        <v/>
      </c>
      <c r="L2807" s="7" t="str">
        <f t="shared" si="221"/>
        <v/>
      </c>
      <c r="M2807" s="7" t="str">
        <f t="shared" si="218"/>
        <v/>
      </c>
      <c r="N2807" s="7" t="str">
        <f t="shared" si="222"/>
        <v/>
      </c>
      <c r="O2807" s="8"/>
      <c r="P2807" s="26"/>
      <c r="S2807" s="10" t="str">
        <f t="shared" si="219"/>
        <v/>
      </c>
    </row>
    <row r="2808" spans="5:19" x14ac:dyDescent="0.3">
      <c r="E2808" s="9" t="str">
        <f>IF(DADOS!C2808="","",DADOS!C2808)</f>
        <v/>
      </c>
      <c r="F2808" s="9" t="str">
        <f>IF(DADOS!E2808="","",DADOS!E2808)</f>
        <v/>
      </c>
      <c r="G2808" s="9" t="str">
        <f>IF(DADOS!F2808="","",DADOS!F2808)</f>
        <v/>
      </c>
      <c r="K2808" s="6" t="str">
        <f t="shared" si="220"/>
        <v/>
      </c>
      <c r="L2808" s="7" t="str">
        <f t="shared" si="221"/>
        <v/>
      </c>
      <c r="M2808" s="7" t="str">
        <f t="shared" si="218"/>
        <v/>
      </c>
      <c r="N2808" s="7" t="str">
        <f t="shared" si="222"/>
        <v/>
      </c>
      <c r="O2808" s="8"/>
      <c r="P2808" s="26"/>
      <c r="S2808" s="10" t="str">
        <f t="shared" si="219"/>
        <v/>
      </c>
    </row>
    <row r="2809" spans="5:19" x14ac:dyDescent="0.3">
      <c r="E2809" s="9" t="str">
        <f>IF(DADOS!C2809="","",DADOS!C2809)</f>
        <v/>
      </c>
      <c r="F2809" s="9" t="str">
        <f>IF(DADOS!E2809="","",DADOS!E2809)</f>
        <v/>
      </c>
      <c r="G2809" s="9" t="str">
        <f>IF(DADOS!F2809="","",DADOS!F2809)</f>
        <v/>
      </c>
      <c r="K2809" s="6" t="str">
        <f t="shared" si="220"/>
        <v/>
      </c>
      <c r="L2809" s="7" t="str">
        <f t="shared" si="221"/>
        <v/>
      </c>
      <c r="M2809" s="7" t="str">
        <f t="shared" si="218"/>
        <v/>
      </c>
      <c r="N2809" s="7" t="str">
        <f t="shared" si="222"/>
        <v/>
      </c>
      <c r="O2809" s="8"/>
      <c r="P2809" s="26"/>
      <c r="S2809" s="10" t="str">
        <f t="shared" si="219"/>
        <v/>
      </c>
    </row>
    <row r="2810" spans="5:19" x14ac:dyDescent="0.3">
      <c r="E2810" s="9" t="str">
        <f>IF(DADOS!C2810="","",DADOS!C2810)</f>
        <v/>
      </c>
      <c r="F2810" s="9" t="str">
        <f>IF(DADOS!E2810="","",DADOS!E2810)</f>
        <v/>
      </c>
      <c r="G2810" s="9" t="str">
        <f>IF(DADOS!F2810="","",DADOS!F2810)</f>
        <v/>
      </c>
      <c r="K2810" s="6" t="str">
        <f t="shared" si="220"/>
        <v/>
      </c>
      <c r="L2810" s="7" t="str">
        <f t="shared" si="221"/>
        <v/>
      </c>
      <c r="M2810" s="7" t="str">
        <f t="shared" si="218"/>
        <v/>
      </c>
      <c r="N2810" s="7" t="str">
        <f t="shared" si="222"/>
        <v/>
      </c>
      <c r="O2810" s="8"/>
      <c r="P2810" s="26"/>
      <c r="S2810" s="10" t="str">
        <f t="shared" si="219"/>
        <v/>
      </c>
    </row>
    <row r="2811" spans="5:19" x14ac:dyDescent="0.3">
      <c r="E2811" s="9" t="str">
        <f>IF(DADOS!C2811="","",DADOS!C2811)</f>
        <v/>
      </c>
      <c r="F2811" s="9" t="str">
        <f>IF(DADOS!E2811="","",DADOS!E2811)</f>
        <v/>
      </c>
      <c r="G2811" s="9" t="str">
        <f>IF(DADOS!F2811="","",DADOS!F2811)</f>
        <v/>
      </c>
      <c r="K2811" s="6" t="str">
        <f t="shared" si="220"/>
        <v/>
      </c>
      <c r="L2811" s="7" t="str">
        <f t="shared" si="221"/>
        <v/>
      </c>
      <c r="M2811" s="7" t="str">
        <f t="shared" si="218"/>
        <v/>
      </c>
      <c r="N2811" s="7" t="str">
        <f t="shared" si="222"/>
        <v/>
      </c>
      <c r="O2811" s="8"/>
      <c r="P2811" s="26"/>
      <c r="S2811" s="10" t="str">
        <f t="shared" si="219"/>
        <v/>
      </c>
    </row>
    <row r="2812" spans="5:19" x14ac:dyDescent="0.3">
      <c r="E2812" s="9" t="str">
        <f>IF(DADOS!C2812="","",DADOS!C2812)</f>
        <v/>
      </c>
      <c r="F2812" s="9" t="str">
        <f>IF(DADOS!E2812="","",DADOS!E2812)</f>
        <v/>
      </c>
      <c r="G2812" s="9" t="str">
        <f>IF(DADOS!F2812="","",DADOS!F2812)</f>
        <v/>
      </c>
      <c r="K2812" s="6" t="str">
        <f t="shared" si="220"/>
        <v/>
      </c>
      <c r="L2812" s="7" t="str">
        <f t="shared" si="221"/>
        <v/>
      </c>
      <c r="M2812" s="7" t="str">
        <f t="shared" si="218"/>
        <v/>
      </c>
      <c r="N2812" s="7" t="str">
        <f t="shared" si="222"/>
        <v/>
      </c>
      <c r="O2812" s="8"/>
      <c r="P2812" s="26"/>
      <c r="S2812" s="10" t="str">
        <f t="shared" si="219"/>
        <v/>
      </c>
    </row>
    <row r="2813" spans="5:19" x14ac:dyDescent="0.3">
      <c r="E2813" s="9" t="str">
        <f>IF(DADOS!C2813="","",DADOS!C2813)</f>
        <v/>
      </c>
      <c r="F2813" s="9" t="str">
        <f>IF(DADOS!E2813="","",DADOS!E2813)</f>
        <v/>
      </c>
      <c r="G2813" s="9" t="str">
        <f>IF(DADOS!F2813="","",DADOS!F2813)</f>
        <v/>
      </c>
      <c r="K2813" s="6" t="str">
        <f t="shared" si="220"/>
        <v/>
      </c>
      <c r="L2813" s="7" t="str">
        <f t="shared" si="221"/>
        <v/>
      </c>
      <c r="M2813" s="7" t="str">
        <f t="shared" si="218"/>
        <v/>
      </c>
      <c r="N2813" s="7" t="str">
        <f t="shared" si="222"/>
        <v/>
      </c>
      <c r="O2813" s="8"/>
      <c r="P2813" s="26"/>
      <c r="S2813" s="10" t="str">
        <f t="shared" si="219"/>
        <v/>
      </c>
    </row>
    <row r="2814" spans="5:19" x14ac:dyDescent="0.3">
      <c r="E2814" s="9" t="str">
        <f>IF(DADOS!C2814="","",DADOS!C2814)</f>
        <v/>
      </c>
      <c r="F2814" s="9" t="str">
        <f>IF(DADOS!E2814="","",DADOS!E2814)</f>
        <v/>
      </c>
      <c r="G2814" s="9" t="str">
        <f>IF(DADOS!F2814="","",DADOS!F2814)</f>
        <v/>
      </c>
      <c r="K2814" s="6" t="str">
        <f t="shared" si="220"/>
        <v/>
      </c>
      <c r="L2814" s="7" t="str">
        <f t="shared" si="221"/>
        <v/>
      </c>
      <c r="M2814" s="7" t="str">
        <f t="shared" si="218"/>
        <v/>
      </c>
      <c r="N2814" s="7" t="str">
        <f t="shared" si="222"/>
        <v/>
      </c>
      <c r="O2814" s="8"/>
      <c r="P2814" s="26"/>
      <c r="S2814" s="10" t="str">
        <f t="shared" si="219"/>
        <v/>
      </c>
    </row>
    <row r="2815" spans="5:19" x14ac:dyDescent="0.3">
      <c r="E2815" s="9" t="str">
        <f>IF(DADOS!C2815="","",DADOS!C2815)</f>
        <v/>
      </c>
      <c r="F2815" s="9" t="str">
        <f>IF(DADOS!E2815="","",DADOS!E2815)</f>
        <v/>
      </c>
      <c r="G2815" s="9" t="str">
        <f>IF(DADOS!F2815="","",DADOS!F2815)</f>
        <v/>
      </c>
      <c r="K2815" s="6" t="str">
        <f t="shared" si="220"/>
        <v/>
      </c>
      <c r="L2815" s="7" t="str">
        <f t="shared" si="221"/>
        <v/>
      </c>
      <c r="M2815" s="7" t="str">
        <f t="shared" si="218"/>
        <v/>
      </c>
      <c r="N2815" s="7" t="str">
        <f t="shared" si="222"/>
        <v/>
      </c>
      <c r="O2815" s="8"/>
      <c r="P2815" s="26"/>
      <c r="S2815" s="10" t="str">
        <f t="shared" si="219"/>
        <v/>
      </c>
    </row>
    <row r="2816" spans="5:19" x14ac:dyDescent="0.3">
      <c r="E2816" s="9" t="str">
        <f>IF(DADOS!C2816="","",DADOS!C2816)</f>
        <v/>
      </c>
      <c r="F2816" s="9" t="str">
        <f>IF(DADOS!E2816="","",DADOS!E2816)</f>
        <v/>
      </c>
      <c r="G2816" s="9" t="str">
        <f>IF(DADOS!F2816="","",DADOS!F2816)</f>
        <v/>
      </c>
      <c r="K2816" s="6" t="str">
        <f t="shared" si="220"/>
        <v/>
      </c>
      <c r="L2816" s="7" t="str">
        <f t="shared" si="221"/>
        <v/>
      </c>
      <c r="M2816" s="7" t="str">
        <f t="shared" si="218"/>
        <v/>
      </c>
      <c r="N2816" s="7" t="str">
        <f t="shared" si="222"/>
        <v/>
      </c>
      <c r="O2816" s="8"/>
      <c r="P2816" s="26"/>
      <c r="S2816" s="10" t="str">
        <f t="shared" si="219"/>
        <v/>
      </c>
    </row>
    <row r="2817" spans="5:19" x14ac:dyDescent="0.3">
      <c r="E2817" s="9" t="str">
        <f>IF(DADOS!C2817="","",DADOS!C2817)</f>
        <v/>
      </c>
      <c r="F2817" s="9" t="str">
        <f>IF(DADOS!E2817="","",DADOS!E2817)</f>
        <v/>
      </c>
      <c r="G2817" s="9" t="str">
        <f>IF(DADOS!F2817="","",DADOS!F2817)</f>
        <v/>
      </c>
      <c r="K2817" s="6" t="str">
        <f t="shared" si="220"/>
        <v/>
      </c>
      <c r="L2817" s="7" t="str">
        <f t="shared" si="221"/>
        <v/>
      </c>
      <c r="M2817" s="7" t="str">
        <f t="shared" si="218"/>
        <v/>
      </c>
      <c r="N2817" s="7" t="str">
        <f t="shared" si="222"/>
        <v/>
      </c>
      <c r="O2817" s="8"/>
      <c r="P2817" s="26"/>
      <c r="S2817" s="10" t="str">
        <f t="shared" si="219"/>
        <v/>
      </c>
    </row>
    <row r="2818" spans="5:19" x14ac:dyDescent="0.3">
      <c r="E2818" s="9" t="str">
        <f>IF(DADOS!C2818="","",DADOS!C2818)</f>
        <v/>
      </c>
      <c r="F2818" s="9" t="str">
        <f>IF(DADOS!E2818="","",DADOS!E2818)</f>
        <v/>
      </c>
      <c r="G2818" s="9" t="str">
        <f>IF(DADOS!F2818="","",DADOS!F2818)</f>
        <v/>
      </c>
      <c r="K2818" s="6" t="str">
        <f t="shared" si="220"/>
        <v/>
      </c>
      <c r="L2818" s="7" t="str">
        <f t="shared" si="221"/>
        <v/>
      </c>
      <c r="M2818" s="7" t="str">
        <f t="shared" si="218"/>
        <v/>
      </c>
      <c r="N2818" s="7" t="str">
        <f t="shared" si="222"/>
        <v/>
      </c>
      <c r="O2818" s="8"/>
      <c r="P2818" s="26"/>
      <c r="S2818" s="10" t="str">
        <f t="shared" si="219"/>
        <v/>
      </c>
    </row>
    <row r="2819" spans="5:19" x14ac:dyDescent="0.3">
      <c r="E2819" s="9" t="str">
        <f>IF(DADOS!C2819="","",DADOS!C2819)</f>
        <v/>
      </c>
      <c r="F2819" s="9" t="str">
        <f>IF(DADOS!E2819="","",DADOS!E2819)</f>
        <v/>
      </c>
      <c r="G2819" s="9" t="str">
        <f>IF(DADOS!F2819="","",DADOS!F2819)</f>
        <v/>
      </c>
      <c r="K2819" s="6" t="str">
        <f t="shared" si="220"/>
        <v/>
      </c>
      <c r="L2819" s="7" t="str">
        <f t="shared" si="221"/>
        <v/>
      </c>
      <c r="M2819" s="7" t="str">
        <f t="shared" ref="M2819:M2882" si="223">IF(L2819="","",L2819*G2819)</f>
        <v/>
      </c>
      <c r="N2819" s="7" t="str">
        <f t="shared" si="222"/>
        <v/>
      </c>
      <c r="O2819" s="8"/>
      <c r="P2819" s="26"/>
      <c r="S2819" s="10" t="str">
        <f t="shared" ref="S2819:S2882" si="224">IF(R2819="","",SUMIFS($N$3:$N$10000,$E$3:$E$10000,R2819))</f>
        <v/>
      </c>
    </row>
    <row r="2820" spans="5:19" x14ac:dyDescent="0.3">
      <c r="E2820" s="9" t="str">
        <f>IF(DADOS!C2820="","",DADOS!C2820)</f>
        <v/>
      </c>
      <c r="F2820" s="9" t="str">
        <f>IF(DADOS!E2820="","",DADOS!E2820)</f>
        <v/>
      </c>
      <c r="G2820" s="9" t="str">
        <f>IF(DADOS!F2820="","",DADOS!F2820)</f>
        <v/>
      </c>
      <c r="K2820" s="6" t="str">
        <f t="shared" ref="K2820:K2883" si="225">IF(F2820="","",F2820/PI())</f>
        <v/>
      </c>
      <c r="L2820" s="7" t="str">
        <f t="shared" ref="L2820:L2883" si="226">IF(K2820="","",(PI()*K2820^2)/40000)</f>
        <v/>
      </c>
      <c r="M2820" s="7" t="str">
        <f t="shared" si="223"/>
        <v/>
      </c>
      <c r="N2820" s="7" t="str">
        <f t="shared" ref="N2820:N2883" si="227">IF(M2820="","",M2820*N$1)</f>
        <v/>
      </c>
      <c r="O2820" s="8"/>
      <c r="P2820" s="26"/>
      <c r="S2820" s="10" t="str">
        <f t="shared" si="224"/>
        <v/>
      </c>
    </row>
    <row r="2821" spans="5:19" x14ac:dyDescent="0.3">
      <c r="E2821" s="9" t="str">
        <f>IF(DADOS!C2821="","",DADOS!C2821)</f>
        <v/>
      </c>
      <c r="F2821" s="9" t="str">
        <f>IF(DADOS!E2821="","",DADOS!E2821)</f>
        <v/>
      </c>
      <c r="G2821" s="9" t="str">
        <f>IF(DADOS!F2821="","",DADOS!F2821)</f>
        <v/>
      </c>
      <c r="K2821" s="6" t="str">
        <f t="shared" si="225"/>
        <v/>
      </c>
      <c r="L2821" s="7" t="str">
        <f t="shared" si="226"/>
        <v/>
      </c>
      <c r="M2821" s="7" t="str">
        <f t="shared" si="223"/>
        <v/>
      </c>
      <c r="N2821" s="7" t="str">
        <f t="shared" si="227"/>
        <v/>
      </c>
      <c r="O2821" s="8"/>
      <c r="P2821" s="26"/>
      <c r="S2821" s="10" t="str">
        <f t="shared" si="224"/>
        <v/>
      </c>
    </row>
    <row r="2822" spans="5:19" x14ac:dyDescent="0.3">
      <c r="E2822" s="9" t="str">
        <f>IF(DADOS!C2822="","",DADOS!C2822)</f>
        <v/>
      </c>
      <c r="F2822" s="9" t="str">
        <f>IF(DADOS!E2822="","",DADOS!E2822)</f>
        <v/>
      </c>
      <c r="G2822" s="9" t="str">
        <f>IF(DADOS!F2822="","",DADOS!F2822)</f>
        <v/>
      </c>
      <c r="K2822" s="6" t="str">
        <f t="shared" si="225"/>
        <v/>
      </c>
      <c r="L2822" s="7" t="str">
        <f t="shared" si="226"/>
        <v/>
      </c>
      <c r="M2822" s="7" t="str">
        <f t="shared" si="223"/>
        <v/>
      </c>
      <c r="N2822" s="7" t="str">
        <f t="shared" si="227"/>
        <v/>
      </c>
      <c r="O2822" s="8"/>
      <c r="P2822" s="26"/>
      <c r="S2822" s="10" t="str">
        <f t="shared" si="224"/>
        <v/>
      </c>
    </row>
    <row r="2823" spans="5:19" x14ac:dyDescent="0.3">
      <c r="E2823" s="9" t="str">
        <f>IF(DADOS!C2823="","",DADOS!C2823)</f>
        <v/>
      </c>
      <c r="F2823" s="9" t="str">
        <f>IF(DADOS!E2823="","",DADOS!E2823)</f>
        <v/>
      </c>
      <c r="G2823" s="9" t="str">
        <f>IF(DADOS!F2823="","",DADOS!F2823)</f>
        <v/>
      </c>
      <c r="K2823" s="6" t="str">
        <f t="shared" si="225"/>
        <v/>
      </c>
      <c r="L2823" s="7" t="str">
        <f t="shared" si="226"/>
        <v/>
      </c>
      <c r="M2823" s="7" t="str">
        <f t="shared" si="223"/>
        <v/>
      </c>
      <c r="N2823" s="7" t="str">
        <f t="shared" si="227"/>
        <v/>
      </c>
      <c r="O2823" s="8"/>
      <c r="P2823" s="26"/>
      <c r="S2823" s="10" t="str">
        <f t="shared" si="224"/>
        <v/>
      </c>
    </row>
    <row r="2824" spans="5:19" x14ac:dyDescent="0.3">
      <c r="E2824" s="9" t="str">
        <f>IF(DADOS!C2824="","",DADOS!C2824)</f>
        <v/>
      </c>
      <c r="F2824" s="9" t="str">
        <f>IF(DADOS!E2824="","",DADOS!E2824)</f>
        <v/>
      </c>
      <c r="G2824" s="9" t="str">
        <f>IF(DADOS!F2824="","",DADOS!F2824)</f>
        <v/>
      </c>
      <c r="K2824" s="6" t="str">
        <f t="shared" si="225"/>
        <v/>
      </c>
      <c r="L2824" s="7" t="str">
        <f t="shared" si="226"/>
        <v/>
      </c>
      <c r="M2824" s="7" t="str">
        <f t="shared" si="223"/>
        <v/>
      </c>
      <c r="N2824" s="7" t="str">
        <f t="shared" si="227"/>
        <v/>
      </c>
      <c r="O2824" s="8"/>
      <c r="P2824" s="26"/>
      <c r="S2824" s="10" t="str">
        <f t="shared" si="224"/>
        <v/>
      </c>
    </row>
    <row r="2825" spans="5:19" x14ac:dyDescent="0.3">
      <c r="E2825" s="9" t="str">
        <f>IF(DADOS!C2825="","",DADOS!C2825)</f>
        <v/>
      </c>
      <c r="F2825" s="9" t="str">
        <f>IF(DADOS!E2825="","",DADOS!E2825)</f>
        <v/>
      </c>
      <c r="G2825" s="9" t="str">
        <f>IF(DADOS!F2825="","",DADOS!F2825)</f>
        <v/>
      </c>
      <c r="K2825" s="6" t="str">
        <f t="shared" si="225"/>
        <v/>
      </c>
      <c r="L2825" s="7" t="str">
        <f t="shared" si="226"/>
        <v/>
      </c>
      <c r="M2825" s="7" t="str">
        <f t="shared" si="223"/>
        <v/>
      </c>
      <c r="N2825" s="7" t="str">
        <f t="shared" si="227"/>
        <v/>
      </c>
      <c r="O2825" s="8"/>
      <c r="P2825" s="26"/>
      <c r="S2825" s="10" t="str">
        <f t="shared" si="224"/>
        <v/>
      </c>
    </row>
    <row r="2826" spans="5:19" x14ac:dyDescent="0.3">
      <c r="E2826" s="9" t="str">
        <f>IF(DADOS!C2826="","",DADOS!C2826)</f>
        <v/>
      </c>
      <c r="F2826" s="9" t="str">
        <f>IF(DADOS!E2826="","",DADOS!E2826)</f>
        <v/>
      </c>
      <c r="G2826" s="9" t="str">
        <f>IF(DADOS!F2826="","",DADOS!F2826)</f>
        <v/>
      </c>
      <c r="K2826" s="6" t="str">
        <f t="shared" si="225"/>
        <v/>
      </c>
      <c r="L2826" s="7" t="str">
        <f t="shared" si="226"/>
        <v/>
      </c>
      <c r="M2826" s="7" t="str">
        <f t="shared" si="223"/>
        <v/>
      </c>
      <c r="N2826" s="7" t="str">
        <f t="shared" si="227"/>
        <v/>
      </c>
      <c r="O2826" s="8"/>
      <c r="P2826" s="26"/>
      <c r="S2826" s="10" t="str">
        <f t="shared" si="224"/>
        <v/>
      </c>
    </row>
    <row r="2827" spans="5:19" x14ac:dyDescent="0.3">
      <c r="E2827" s="9" t="str">
        <f>IF(DADOS!C2827="","",DADOS!C2827)</f>
        <v/>
      </c>
      <c r="F2827" s="9" t="str">
        <f>IF(DADOS!E2827="","",DADOS!E2827)</f>
        <v/>
      </c>
      <c r="G2827" s="9" t="str">
        <f>IF(DADOS!F2827="","",DADOS!F2827)</f>
        <v/>
      </c>
      <c r="K2827" s="6" t="str">
        <f t="shared" si="225"/>
        <v/>
      </c>
      <c r="L2827" s="7" t="str">
        <f t="shared" si="226"/>
        <v/>
      </c>
      <c r="M2827" s="7" t="str">
        <f t="shared" si="223"/>
        <v/>
      </c>
      <c r="N2827" s="7" t="str">
        <f t="shared" si="227"/>
        <v/>
      </c>
      <c r="O2827" s="8"/>
      <c r="P2827" s="26"/>
      <c r="S2827" s="10" t="str">
        <f t="shared" si="224"/>
        <v/>
      </c>
    </row>
    <row r="2828" spans="5:19" x14ac:dyDescent="0.3">
      <c r="E2828" s="9" t="str">
        <f>IF(DADOS!C2828="","",DADOS!C2828)</f>
        <v/>
      </c>
      <c r="F2828" s="9" t="str">
        <f>IF(DADOS!E2828="","",DADOS!E2828)</f>
        <v/>
      </c>
      <c r="G2828" s="9" t="str">
        <f>IF(DADOS!F2828="","",DADOS!F2828)</f>
        <v/>
      </c>
      <c r="K2828" s="6" t="str">
        <f t="shared" si="225"/>
        <v/>
      </c>
      <c r="L2828" s="7" t="str">
        <f t="shared" si="226"/>
        <v/>
      </c>
      <c r="M2828" s="7" t="str">
        <f t="shared" si="223"/>
        <v/>
      </c>
      <c r="N2828" s="7" t="str">
        <f t="shared" si="227"/>
        <v/>
      </c>
      <c r="O2828" s="8"/>
      <c r="P2828" s="26"/>
      <c r="S2828" s="10" t="str">
        <f t="shared" si="224"/>
        <v/>
      </c>
    </row>
    <row r="2829" spans="5:19" x14ac:dyDescent="0.3">
      <c r="E2829" s="9" t="str">
        <f>IF(DADOS!C2829="","",DADOS!C2829)</f>
        <v/>
      </c>
      <c r="F2829" s="9" t="str">
        <f>IF(DADOS!E2829="","",DADOS!E2829)</f>
        <v/>
      </c>
      <c r="G2829" s="9" t="str">
        <f>IF(DADOS!F2829="","",DADOS!F2829)</f>
        <v/>
      </c>
      <c r="K2829" s="6" t="str">
        <f t="shared" si="225"/>
        <v/>
      </c>
      <c r="L2829" s="7" t="str">
        <f t="shared" si="226"/>
        <v/>
      </c>
      <c r="M2829" s="7" t="str">
        <f t="shared" si="223"/>
        <v/>
      </c>
      <c r="N2829" s="7" t="str">
        <f t="shared" si="227"/>
        <v/>
      </c>
      <c r="O2829" s="8"/>
      <c r="P2829" s="26"/>
      <c r="S2829" s="10" t="str">
        <f t="shared" si="224"/>
        <v/>
      </c>
    </row>
    <row r="2830" spans="5:19" x14ac:dyDescent="0.3">
      <c r="E2830" s="9" t="str">
        <f>IF(DADOS!C2830="","",DADOS!C2830)</f>
        <v/>
      </c>
      <c r="F2830" s="9" t="str">
        <f>IF(DADOS!E2830="","",DADOS!E2830)</f>
        <v/>
      </c>
      <c r="G2830" s="9" t="str">
        <f>IF(DADOS!F2830="","",DADOS!F2830)</f>
        <v/>
      </c>
      <c r="K2830" s="6" t="str">
        <f t="shared" si="225"/>
        <v/>
      </c>
      <c r="L2830" s="7" t="str">
        <f t="shared" si="226"/>
        <v/>
      </c>
      <c r="M2830" s="7" t="str">
        <f t="shared" si="223"/>
        <v/>
      </c>
      <c r="N2830" s="7" t="str">
        <f t="shared" si="227"/>
        <v/>
      </c>
      <c r="O2830" s="8"/>
      <c r="P2830" s="26"/>
      <c r="S2830" s="10" t="str">
        <f t="shared" si="224"/>
        <v/>
      </c>
    </row>
    <row r="2831" spans="5:19" x14ac:dyDescent="0.3">
      <c r="E2831" s="9" t="str">
        <f>IF(DADOS!C2831="","",DADOS!C2831)</f>
        <v/>
      </c>
      <c r="F2831" s="9" t="str">
        <f>IF(DADOS!E2831="","",DADOS!E2831)</f>
        <v/>
      </c>
      <c r="G2831" s="9" t="str">
        <f>IF(DADOS!F2831="","",DADOS!F2831)</f>
        <v/>
      </c>
      <c r="K2831" s="6" t="str">
        <f t="shared" si="225"/>
        <v/>
      </c>
      <c r="L2831" s="7" t="str">
        <f t="shared" si="226"/>
        <v/>
      </c>
      <c r="M2831" s="7" t="str">
        <f t="shared" si="223"/>
        <v/>
      </c>
      <c r="N2831" s="7" t="str">
        <f t="shared" si="227"/>
        <v/>
      </c>
      <c r="O2831" s="8"/>
      <c r="P2831" s="26"/>
      <c r="S2831" s="10" t="str">
        <f t="shared" si="224"/>
        <v/>
      </c>
    </row>
    <row r="2832" spans="5:19" x14ac:dyDescent="0.3">
      <c r="E2832" s="9" t="str">
        <f>IF(DADOS!C2832="","",DADOS!C2832)</f>
        <v/>
      </c>
      <c r="F2832" s="9" t="str">
        <f>IF(DADOS!E2832="","",DADOS!E2832)</f>
        <v/>
      </c>
      <c r="G2832" s="9" t="str">
        <f>IF(DADOS!F2832="","",DADOS!F2832)</f>
        <v/>
      </c>
      <c r="K2832" s="6" t="str">
        <f t="shared" si="225"/>
        <v/>
      </c>
      <c r="L2832" s="7" t="str">
        <f t="shared" si="226"/>
        <v/>
      </c>
      <c r="M2832" s="7" t="str">
        <f t="shared" si="223"/>
        <v/>
      </c>
      <c r="N2832" s="7" t="str">
        <f t="shared" si="227"/>
        <v/>
      </c>
      <c r="O2832" s="8"/>
      <c r="P2832" s="26"/>
      <c r="S2832" s="10" t="str">
        <f t="shared" si="224"/>
        <v/>
      </c>
    </row>
    <row r="2833" spans="5:19" x14ac:dyDescent="0.3">
      <c r="E2833" s="9" t="str">
        <f>IF(DADOS!C2833="","",DADOS!C2833)</f>
        <v/>
      </c>
      <c r="F2833" s="9" t="str">
        <f>IF(DADOS!E2833="","",DADOS!E2833)</f>
        <v/>
      </c>
      <c r="G2833" s="9" t="str">
        <f>IF(DADOS!F2833="","",DADOS!F2833)</f>
        <v/>
      </c>
      <c r="K2833" s="6" t="str">
        <f t="shared" si="225"/>
        <v/>
      </c>
      <c r="L2833" s="7" t="str">
        <f t="shared" si="226"/>
        <v/>
      </c>
      <c r="M2833" s="7" t="str">
        <f t="shared" si="223"/>
        <v/>
      </c>
      <c r="N2833" s="7" t="str">
        <f t="shared" si="227"/>
        <v/>
      </c>
      <c r="O2833" s="8"/>
      <c r="P2833" s="26"/>
      <c r="S2833" s="10" t="str">
        <f t="shared" si="224"/>
        <v/>
      </c>
    </row>
    <row r="2834" spans="5:19" x14ac:dyDescent="0.3">
      <c r="E2834" s="9" t="str">
        <f>IF(DADOS!C2834="","",DADOS!C2834)</f>
        <v/>
      </c>
      <c r="F2834" s="9" t="str">
        <f>IF(DADOS!E2834="","",DADOS!E2834)</f>
        <v/>
      </c>
      <c r="G2834" s="9" t="str">
        <f>IF(DADOS!F2834="","",DADOS!F2834)</f>
        <v/>
      </c>
      <c r="K2834" s="6" t="str">
        <f t="shared" si="225"/>
        <v/>
      </c>
      <c r="L2834" s="7" t="str">
        <f t="shared" si="226"/>
        <v/>
      </c>
      <c r="M2834" s="7" t="str">
        <f t="shared" si="223"/>
        <v/>
      </c>
      <c r="N2834" s="7" t="str">
        <f t="shared" si="227"/>
        <v/>
      </c>
      <c r="O2834" s="8"/>
      <c r="P2834" s="26"/>
      <c r="S2834" s="10" t="str">
        <f t="shared" si="224"/>
        <v/>
      </c>
    </row>
    <row r="2835" spans="5:19" x14ac:dyDescent="0.3">
      <c r="E2835" s="9" t="str">
        <f>IF(DADOS!C2835="","",DADOS!C2835)</f>
        <v/>
      </c>
      <c r="F2835" s="9" t="str">
        <f>IF(DADOS!E2835="","",DADOS!E2835)</f>
        <v/>
      </c>
      <c r="G2835" s="9" t="str">
        <f>IF(DADOS!F2835="","",DADOS!F2835)</f>
        <v/>
      </c>
      <c r="K2835" s="6" t="str">
        <f t="shared" si="225"/>
        <v/>
      </c>
      <c r="L2835" s="7" t="str">
        <f t="shared" si="226"/>
        <v/>
      </c>
      <c r="M2835" s="7" t="str">
        <f t="shared" si="223"/>
        <v/>
      </c>
      <c r="N2835" s="7" t="str">
        <f t="shared" si="227"/>
        <v/>
      </c>
      <c r="O2835" s="8"/>
      <c r="P2835" s="26"/>
      <c r="S2835" s="10" t="str">
        <f t="shared" si="224"/>
        <v/>
      </c>
    </row>
    <row r="2836" spans="5:19" x14ac:dyDescent="0.3">
      <c r="E2836" s="9" t="str">
        <f>IF(DADOS!C2836="","",DADOS!C2836)</f>
        <v/>
      </c>
      <c r="F2836" s="9" t="str">
        <f>IF(DADOS!E2836="","",DADOS!E2836)</f>
        <v/>
      </c>
      <c r="G2836" s="9" t="str">
        <f>IF(DADOS!F2836="","",DADOS!F2836)</f>
        <v/>
      </c>
      <c r="K2836" s="6" t="str">
        <f t="shared" si="225"/>
        <v/>
      </c>
      <c r="L2836" s="7" t="str">
        <f t="shared" si="226"/>
        <v/>
      </c>
      <c r="M2836" s="7" t="str">
        <f t="shared" si="223"/>
        <v/>
      </c>
      <c r="N2836" s="7" t="str">
        <f t="shared" si="227"/>
        <v/>
      </c>
      <c r="O2836" s="8"/>
      <c r="P2836" s="26"/>
      <c r="S2836" s="10" t="str">
        <f t="shared" si="224"/>
        <v/>
      </c>
    </row>
    <row r="2837" spans="5:19" x14ac:dyDescent="0.3">
      <c r="E2837" s="9" t="str">
        <f>IF(DADOS!C2837="","",DADOS!C2837)</f>
        <v/>
      </c>
      <c r="F2837" s="9" t="str">
        <f>IF(DADOS!E2837="","",DADOS!E2837)</f>
        <v/>
      </c>
      <c r="G2837" s="9" t="str">
        <f>IF(DADOS!F2837="","",DADOS!F2837)</f>
        <v/>
      </c>
      <c r="K2837" s="6" t="str">
        <f t="shared" si="225"/>
        <v/>
      </c>
      <c r="L2837" s="7" t="str">
        <f t="shared" si="226"/>
        <v/>
      </c>
      <c r="M2837" s="7" t="str">
        <f t="shared" si="223"/>
        <v/>
      </c>
      <c r="N2837" s="7" t="str">
        <f t="shared" si="227"/>
        <v/>
      </c>
      <c r="O2837" s="8"/>
      <c r="P2837" s="26"/>
      <c r="S2837" s="10" t="str">
        <f t="shared" si="224"/>
        <v/>
      </c>
    </row>
    <row r="2838" spans="5:19" x14ac:dyDescent="0.3">
      <c r="E2838" s="9" t="str">
        <f>IF(DADOS!C2838="","",DADOS!C2838)</f>
        <v/>
      </c>
      <c r="F2838" s="9" t="str">
        <f>IF(DADOS!E2838="","",DADOS!E2838)</f>
        <v/>
      </c>
      <c r="G2838" s="9" t="str">
        <f>IF(DADOS!F2838="","",DADOS!F2838)</f>
        <v/>
      </c>
      <c r="K2838" s="6" t="str">
        <f t="shared" si="225"/>
        <v/>
      </c>
      <c r="L2838" s="7" t="str">
        <f t="shared" si="226"/>
        <v/>
      </c>
      <c r="M2838" s="7" t="str">
        <f t="shared" si="223"/>
        <v/>
      </c>
      <c r="N2838" s="7" t="str">
        <f t="shared" si="227"/>
        <v/>
      </c>
      <c r="O2838" s="8"/>
      <c r="P2838" s="26"/>
      <c r="S2838" s="10" t="str">
        <f t="shared" si="224"/>
        <v/>
      </c>
    </row>
    <row r="2839" spans="5:19" x14ac:dyDescent="0.3">
      <c r="E2839" s="9" t="str">
        <f>IF(DADOS!C2839="","",DADOS!C2839)</f>
        <v/>
      </c>
      <c r="F2839" s="9" t="str">
        <f>IF(DADOS!E2839="","",DADOS!E2839)</f>
        <v/>
      </c>
      <c r="G2839" s="9" t="str">
        <f>IF(DADOS!F2839="","",DADOS!F2839)</f>
        <v/>
      </c>
      <c r="K2839" s="6" t="str">
        <f t="shared" si="225"/>
        <v/>
      </c>
      <c r="L2839" s="7" t="str">
        <f t="shared" si="226"/>
        <v/>
      </c>
      <c r="M2839" s="7" t="str">
        <f t="shared" si="223"/>
        <v/>
      </c>
      <c r="N2839" s="7" t="str">
        <f t="shared" si="227"/>
        <v/>
      </c>
      <c r="O2839" s="8"/>
      <c r="P2839" s="26"/>
      <c r="S2839" s="10" t="str">
        <f t="shared" si="224"/>
        <v/>
      </c>
    </row>
    <row r="2840" spans="5:19" x14ac:dyDescent="0.3">
      <c r="E2840" s="9" t="str">
        <f>IF(DADOS!C2840="","",DADOS!C2840)</f>
        <v/>
      </c>
      <c r="F2840" s="9" t="str">
        <f>IF(DADOS!E2840="","",DADOS!E2840)</f>
        <v/>
      </c>
      <c r="G2840" s="9" t="str">
        <f>IF(DADOS!F2840="","",DADOS!F2840)</f>
        <v/>
      </c>
      <c r="K2840" s="6" t="str">
        <f t="shared" si="225"/>
        <v/>
      </c>
      <c r="L2840" s="7" t="str">
        <f t="shared" si="226"/>
        <v/>
      </c>
      <c r="M2840" s="7" t="str">
        <f t="shared" si="223"/>
        <v/>
      </c>
      <c r="N2840" s="7" t="str">
        <f t="shared" si="227"/>
        <v/>
      </c>
      <c r="O2840" s="8"/>
      <c r="P2840" s="26"/>
      <c r="S2840" s="10" t="str">
        <f t="shared" si="224"/>
        <v/>
      </c>
    </row>
    <row r="2841" spans="5:19" x14ac:dyDescent="0.3">
      <c r="E2841" s="9" t="str">
        <f>IF(DADOS!C2841="","",DADOS!C2841)</f>
        <v/>
      </c>
      <c r="F2841" s="9" t="str">
        <f>IF(DADOS!E2841="","",DADOS!E2841)</f>
        <v/>
      </c>
      <c r="G2841" s="9" t="str">
        <f>IF(DADOS!F2841="","",DADOS!F2841)</f>
        <v/>
      </c>
      <c r="K2841" s="6" t="str">
        <f t="shared" si="225"/>
        <v/>
      </c>
      <c r="L2841" s="7" t="str">
        <f t="shared" si="226"/>
        <v/>
      </c>
      <c r="M2841" s="7" t="str">
        <f t="shared" si="223"/>
        <v/>
      </c>
      <c r="N2841" s="7" t="str">
        <f t="shared" si="227"/>
        <v/>
      </c>
      <c r="O2841" s="8"/>
      <c r="P2841" s="26"/>
      <c r="S2841" s="10" t="str">
        <f t="shared" si="224"/>
        <v/>
      </c>
    </row>
    <row r="2842" spans="5:19" x14ac:dyDescent="0.3">
      <c r="E2842" s="9" t="str">
        <f>IF(DADOS!C2842="","",DADOS!C2842)</f>
        <v/>
      </c>
      <c r="F2842" s="9" t="str">
        <f>IF(DADOS!E2842="","",DADOS!E2842)</f>
        <v/>
      </c>
      <c r="G2842" s="9" t="str">
        <f>IF(DADOS!F2842="","",DADOS!F2842)</f>
        <v/>
      </c>
      <c r="K2842" s="6" t="str">
        <f t="shared" si="225"/>
        <v/>
      </c>
      <c r="L2842" s="7" t="str">
        <f t="shared" si="226"/>
        <v/>
      </c>
      <c r="M2842" s="7" t="str">
        <f t="shared" si="223"/>
        <v/>
      </c>
      <c r="N2842" s="7" t="str">
        <f t="shared" si="227"/>
        <v/>
      </c>
      <c r="O2842" s="8"/>
      <c r="P2842" s="26"/>
      <c r="S2842" s="10" t="str">
        <f t="shared" si="224"/>
        <v/>
      </c>
    </row>
    <row r="2843" spans="5:19" x14ac:dyDescent="0.3">
      <c r="E2843" s="9" t="str">
        <f>IF(DADOS!C2843="","",DADOS!C2843)</f>
        <v/>
      </c>
      <c r="F2843" s="9" t="str">
        <f>IF(DADOS!E2843="","",DADOS!E2843)</f>
        <v/>
      </c>
      <c r="G2843" s="9" t="str">
        <f>IF(DADOS!F2843="","",DADOS!F2843)</f>
        <v/>
      </c>
      <c r="K2843" s="6" t="str">
        <f t="shared" si="225"/>
        <v/>
      </c>
      <c r="L2843" s="7" t="str">
        <f t="shared" si="226"/>
        <v/>
      </c>
      <c r="M2843" s="7" t="str">
        <f t="shared" si="223"/>
        <v/>
      </c>
      <c r="N2843" s="7" t="str">
        <f t="shared" si="227"/>
        <v/>
      </c>
      <c r="O2843" s="8"/>
      <c r="P2843" s="26"/>
      <c r="S2843" s="10" t="str">
        <f t="shared" si="224"/>
        <v/>
      </c>
    </row>
    <row r="2844" spans="5:19" x14ac:dyDescent="0.3">
      <c r="E2844" s="9" t="str">
        <f>IF(DADOS!C2844="","",DADOS!C2844)</f>
        <v/>
      </c>
      <c r="F2844" s="9" t="str">
        <f>IF(DADOS!E2844="","",DADOS!E2844)</f>
        <v/>
      </c>
      <c r="G2844" s="9" t="str">
        <f>IF(DADOS!F2844="","",DADOS!F2844)</f>
        <v/>
      </c>
      <c r="K2844" s="6" t="str">
        <f t="shared" si="225"/>
        <v/>
      </c>
      <c r="L2844" s="7" t="str">
        <f t="shared" si="226"/>
        <v/>
      </c>
      <c r="M2844" s="7" t="str">
        <f t="shared" si="223"/>
        <v/>
      </c>
      <c r="N2844" s="7" t="str">
        <f t="shared" si="227"/>
        <v/>
      </c>
      <c r="O2844" s="8"/>
      <c r="P2844" s="26"/>
      <c r="S2844" s="10" t="str">
        <f t="shared" si="224"/>
        <v/>
      </c>
    </row>
    <row r="2845" spans="5:19" x14ac:dyDescent="0.3">
      <c r="E2845" s="9" t="str">
        <f>IF(DADOS!C2845="","",DADOS!C2845)</f>
        <v/>
      </c>
      <c r="F2845" s="9" t="str">
        <f>IF(DADOS!E2845="","",DADOS!E2845)</f>
        <v/>
      </c>
      <c r="G2845" s="9" t="str">
        <f>IF(DADOS!F2845="","",DADOS!F2845)</f>
        <v/>
      </c>
      <c r="K2845" s="6" t="str">
        <f t="shared" si="225"/>
        <v/>
      </c>
      <c r="L2845" s="7" t="str">
        <f t="shared" si="226"/>
        <v/>
      </c>
      <c r="M2845" s="7" t="str">
        <f t="shared" si="223"/>
        <v/>
      </c>
      <c r="N2845" s="7" t="str">
        <f t="shared" si="227"/>
        <v/>
      </c>
      <c r="O2845" s="8"/>
      <c r="P2845" s="26"/>
      <c r="S2845" s="10" t="str">
        <f t="shared" si="224"/>
        <v/>
      </c>
    </row>
    <row r="2846" spans="5:19" x14ac:dyDescent="0.3">
      <c r="E2846" s="9" t="str">
        <f>IF(DADOS!C2846="","",DADOS!C2846)</f>
        <v/>
      </c>
      <c r="F2846" s="9" t="str">
        <f>IF(DADOS!E2846="","",DADOS!E2846)</f>
        <v/>
      </c>
      <c r="G2846" s="9" t="str">
        <f>IF(DADOS!F2846="","",DADOS!F2846)</f>
        <v/>
      </c>
      <c r="K2846" s="6" t="str">
        <f t="shared" si="225"/>
        <v/>
      </c>
      <c r="L2846" s="7" t="str">
        <f t="shared" si="226"/>
        <v/>
      </c>
      <c r="M2846" s="7" t="str">
        <f t="shared" si="223"/>
        <v/>
      </c>
      <c r="N2846" s="7" t="str">
        <f t="shared" si="227"/>
        <v/>
      </c>
      <c r="O2846" s="8"/>
      <c r="P2846" s="26"/>
      <c r="S2846" s="10" t="str">
        <f t="shared" si="224"/>
        <v/>
      </c>
    </row>
    <row r="2847" spans="5:19" x14ac:dyDescent="0.3">
      <c r="E2847" s="9" t="str">
        <f>IF(DADOS!C2847="","",DADOS!C2847)</f>
        <v/>
      </c>
      <c r="F2847" s="9" t="str">
        <f>IF(DADOS!E2847="","",DADOS!E2847)</f>
        <v/>
      </c>
      <c r="G2847" s="9" t="str">
        <f>IF(DADOS!F2847="","",DADOS!F2847)</f>
        <v/>
      </c>
      <c r="K2847" s="6" t="str">
        <f t="shared" si="225"/>
        <v/>
      </c>
      <c r="L2847" s="7" t="str">
        <f t="shared" si="226"/>
        <v/>
      </c>
      <c r="M2847" s="7" t="str">
        <f t="shared" si="223"/>
        <v/>
      </c>
      <c r="N2847" s="7" t="str">
        <f t="shared" si="227"/>
        <v/>
      </c>
      <c r="O2847" s="8"/>
      <c r="P2847" s="26"/>
      <c r="S2847" s="10" t="str">
        <f t="shared" si="224"/>
        <v/>
      </c>
    </row>
    <row r="2848" spans="5:19" x14ac:dyDescent="0.3">
      <c r="E2848" s="9" t="str">
        <f>IF(DADOS!C2848="","",DADOS!C2848)</f>
        <v/>
      </c>
      <c r="F2848" s="9" t="str">
        <f>IF(DADOS!E2848="","",DADOS!E2848)</f>
        <v/>
      </c>
      <c r="G2848" s="9" t="str">
        <f>IF(DADOS!F2848="","",DADOS!F2848)</f>
        <v/>
      </c>
      <c r="K2848" s="6" t="str">
        <f t="shared" si="225"/>
        <v/>
      </c>
      <c r="L2848" s="7" t="str">
        <f t="shared" si="226"/>
        <v/>
      </c>
      <c r="M2848" s="7" t="str">
        <f t="shared" si="223"/>
        <v/>
      </c>
      <c r="N2848" s="7" t="str">
        <f t="shared" si="227"/>
        <v/>
      </c>
      <c r="O2848" s="8"/>
      <c r="P2848" s="26"/>
      <c r="S2848" s="10" t="str">
        <f t="shared" si="224"/>
        <v/>
      </c>
    </row>
    <row r="2849" spans="5:19" x14ac:dyDescent="0.3">
      <c r="E2849" s="9" t="str">
        <f>IF(DADOS!C2849="","",DADOS!C2849)</f>
        <v/>
      </c>
      <c r="F2849" s="9" t="str">
        <f>IF(DADOS!E2849="","",DADOS!E2849)</f>
        <v/>
      </c>
      <c r="G2849" s="9" t="str">
        <f>IF(DADOS!F2849="","",DADOS!F2849)</f>
        <v/>
      </c>
      <c r="K2849" s="6" t="str">
        <f t="shared" si="225"/>
        <v/>
      </c>
      <c r="L2849" s="7" t="str">
        <f t="shared" si="226"/>
        <v/>
      </c>
      <c r="M2849" s="7" t="str">
        <f t="shared" si="223"/>
        <v/>
      </c>
      <c r="N2849" s="7" t="str">
        <f t="shared" si="227"/>
        <v/>
      </c>
      <c r="O2849" s="8"/>
      <c r="P2849" s="26"/>
      <c r="S2849" s="10" t="str">
        <f t="shared" si="224"/>
        <v/>
      </c>
    </row>
    <row r="2850" spans="5:19" x14ac:dyDescent="0.3">
      <c r="E2850" s="9" t="str">
        <f>IF(DADOS!C2850="","",DADOS!C2850)</f>
        <v/>
      </c>
      <c r="F2850" s="9" t="str">
        <f>IF(DADOS!E2850="","",DADOS!E2850)</f>
        <v/>
      </c>
      <c r="G2850" s="9" t="str">
        <f>IF(DADOS!F2850="","",DADOS!F2850)</f>
        <v/>
      </c>
      <c r="K2850" s="6" t="str">
        <f t="shared" si="225"/>
        <v/>
      </c>
      <c r="L2850" s="7" t="str">
        <f t="shared" si="226"/>
        <v/>
      </c>
      <c r="M2850" s="7" t="str">
        <f t="shared" si="223"/>
        <v/>
      </c>
      <c r="N2850" s="7" t="str">
        <f t="shared" si="227"/>
        <v/>
      </c>
      <c r="O2850" s="8"/>
      <c r="P2850" s="26"/>
      <c r="S2850" s="10" t="str">
        <f t="shared" si="224"/>
        <v/>
      </c>
    </row>
    <row r="2851" spans="5:19" x14ac:dyDescent="0.3">
      <c r="E2851" s="9" t="str">
        <f>IF(DADOS!C2851="","",DADOS!C2851)</f>
        <v/>
      </c>
      <c r="F2851" s="9" t="str">
        <f>IF(DADOS!E2851="","",DADOS!E2851)</f>
        <v/>
      </c>
      <c r="G2851" s="9" t="str">
        <f>IF(DADOS!F2851="","",DADOS!F2851)</f>
        <v/>
      </c>
      <c r="K2851" s="6" t="str">
        <f t="shared" si="225"/>
        <v/>
      </c>
      <c r="L2851" s="7" t="str">
        <f t="shared" si="226"/>
        <v/>
      </c>
      <c r="M2851" s="7" t="str">
        <f t="shared" si="223"/>
        <v/>
      </c>
      <c r="N2851" s="7" t="str">
        <f t="shared" si="227"/>
        <v/>
      </c>
      <c r="O2851" s="8"/>
      <c r="P2851" s="26"/>
      <c r="S2851" s="10" t="str">
        <f t="shared" si="224"/>
        <v/>
      </c>
    </row>
    <row r="2852" spans="5:19" x14ac:dyDescent="0.3">
      <c r="E2852" s="9" t="str">
        <f>IF(DADOS!C2852="","",DADOS!C2852)</f>
        <v/>
      </c>
      <c r="F2852" s="9" t="str">
        <f>IF(DADOS!E2852="","",DADOS!E2852)</f>
        <v/>
      </c>
      <c r="G2852" s="9" t="str">
        <f>IF(DADOS!F2852="","",DADOS!F2852)</f>
        <v/>
      </c>
      <c r="K2852" s="6" t="str">
        <f t="shared" si="225"/>
        <v/>
      </c>
      <c r="L2852" s="7" t="str">
        <f t="shared" si="226"/>
        <v/>
      </c>
      <c r="M2852" s="7" t="str">
        <f t="shared" si="223"/>
        <v/>
      </c>
      <c r="N2852" s="7" t="str">
        <f t="shared" si="227"/>
        <v/>
      </c>
      <c r="O2852" s="8"/>
      <c r="P2852" s="26"/>
      <c r="S2852" s="10" t="str">
        <f t="shared" si="224"/>
        <v/>
      </c>
    </row>
    <row r="2853" spans="5:19" x14ac:dyDescent="0.3">
      <c r="E2853" s="9" t="str">
        <f>IF(DADOS!C2853="","",DADOS!C2853)</f>
        <v/>
      </c>
      <c r="F2853" s="9" t="str">
        <f>IF(DADOS!E2853="","",DADOS!E2853)</f>
        <v/>
      </c>
      <c r="G2853" s="9" t="str">
        <f>IF(DADOS!F2853="","",DADOS!F2853)</f>
        <v/>
      </c>
      <c r="K2853" s="6" t="str">
        <f t="shared" si="225"/>
        <v/>
      </c>
      <c r="L2853" s="7" t="str">
        <f t="shared" si="226"/>
        <v/>
      </c>
      <c r="M2853" s="7" t="str">
        <f t="shared" si="223"/>
        <v/>
      </c>
      <c r="N2853" s="7" t="str">
        <f t="shared" si="227"/>
        <v/>
      </c>
      <c r="O2853" s="8"/>
      <c r="P2853" s="26"/>
      <c r="S2853" s="10" t="str">
        <f t="shared" si="224"/>
        <v/>
      </c>
    </row>
    <row r="2854" spans="5:19" x14ac:dyDescent="0.3">
      <c r="E2854" s="9" t="str">
        <f>IF(DADOS!C2854="","",DADOS!C2854)</f>
        <v/>
      </c>
      <c r="F2854" s="9" t="str">
        <f>IF(DADOS!E2854="","",DADOS!E2854)</f>
        <v/>
      </c>
      <c r="G2854" s="9" t="str">
        <f>IF(DADOS!F2854="","",DADOS!F2854)</f>
        <v/>
      </c>
      <c r="K2854" s="6" t="str">
        <f t="shared" si="225"/>
        <v/>
      </c>
      <c r="L2854" s="7" t="str">
        <f t="shared" si="226"/>
        <v/>
      </c>
      <c r="M2854" s="7" t="str">
        <f t="shared" si="223"/>
        <v/>
      </c>
      <c r="N2854" s="7" t="str">
        <f t="shared" si="227"/>
        <v/>
      </c>
      <c r="O2854" s="8"/>
      <c r="P2854" s="26"/>
      <c r="S2854" s="10" t="str">
        <f t="shared" si="224"/>
        <v/>
      </c>
    </row>
    <row r="2855" spans="5:19" x14ac:dyDescent="0.3">
      <c r="E2855" s="9" t="str">
        <f>IF(DADOS!C2855="","",DADOS!C2855)</f>
        <v/>
      </c>
      <c r="F2855" s="9" t="str">
        <f>IF(DADOS!E2855="","",DADOS!E2855)</f>
        <v/>
      </c>
      <c r="G2855" s="9" t="str">
        <f>IF(DADOS!F2855="","",DADOS!F2855)</f>
        <v/>
      </c>
      <c r="K2855" s="6" t="str">
        <f t="shared" si="225"/>
        <v/>
      </c>
      <c r="L2855" s="7" t="str">
        <f t="shared" si="226"/>
        <v/>
      </c>
      <c r="M2855" s="7" t="str">
        <f t="shared" si="223"/>
        <v/>
      </c>
      <c r="N2855" s="7" t="str">
        <f t="shared" si="227"/>
        <v/>
      </c>
      <c r="O2855" s="8"/>
      <c r="P2855" s="26"/>
      <c r="S2855" s="10" t="str">
        <f t="shared" si="224"/>
        <v/>
      </c>
    </row>
    <row r="2856" spans="5:19" x14ac:dyDescent="0.3">
      <c r="E2856" s="9" t="str">
        <f>IF(DADOS!C2856="","",DADOS!C2856)</f>
        <v/>
      </c>
      <c r="F2856" s="9" t="str">
        <f>IF(DADOS!E2856="","",DADOS!E2856)</f>
        <v/>
      </c>
      <c r="G2856" s="9" t="str">
        <f>IF(DADOS!F2856="","",DADOS!F2856)</f>
        <v/>
      </c>
      <c r="K2856" s="6" t="str">
        <f t="shared" si="225"/>
        <v/>
      </c>
      <c r="L2856" s="7" t="str">
        <f t="shared" si="226"/>
        <v/>
      </c>
      <c r="M2856" s="7" t="str">
        <f t="shared" si="223"/>
        <v/>
      </c>
      <c r="N2856" s="7" t="str">
        <f t="shared" si="227"/>
        <v/>
      </c>
      <c r="O2856" s="8"/>
      <c r="P2856" s="26"/>
      <c r="S2856" s="10" t="str">
        <f t="shared" si="224"/>
        <v/>
      </c>
    </row>
    <row r="2857" spans="5:19" x14ac:dyDescent="0.3">
      <c r="E2857" s="9" t="str">
        <f>IF(DADOS!C2857="","",DADOS!C2857)</f>
        <v/>
      </c>
      <c r="F2857" s="9" t="str">
        <f>IF(DADOS!E2857="","",DADOS!E2857)</f>
        <v/>
      </c>
      <c r="G2857" s="9" t="str">
        <f>IF(DADOS!F2857="","",DADOS!F2857)</f>
        <v/>
      </c>
      <c r="K2857" s="6" t="str">
        <f t="shared" si="225"/>
        <v/>
      </c>
      <c r="L2857" s="7" t="str">
        <f t="shared" si="226"/>
        <v/>
      </c>
      <c r="M2857" s="7" t="str">
        <f t="shared" si="223"/>
        <v/>
      </c>
      <c r="N2857" s="7" t="str">
        <f t="shared" si="227"/>
        <v/>
      </c>
      <c r="O2857" s="8"/>
      <c r="P2857" s="26"/>
      <c r="S2857" s="10" t="str">
        <f t="shared" si="224"/>
        <v/>
      </c>
    </row>
    <row r="2858" spans="5:19" x14ac:dyDescent="0.3">
      <c r="E2858" s="9" t="str">
        <f>IF(DADOS!C2858="","",DADOS!C2858)</f>
        <v/>
      </c>
      <c r="F2858" s="9" t="str">
        <f>IF(DADOS!E2858="","",DADOS!E2858)</f>
        <v/>
      </c>
      <c r="G2858" s="9" t="str">
        <f>IF(DADOS!F2858="","",DADOS!F2858)</f>
        <v/>
      </c>
      <c r="K2858" s="6" t="str">
        <f t="shared" si="225"/>
        <v/>
      </c>
      <c r="L2858" s="7" t="str">
        <f t="shared" si="226"/>
        <v/>
      </c>
      <c r="M2858" s="7" t="str">
        <f t="shared" si="223"/>
        <v/>
      </c>
      <c r="N2858" s="7" t="str">
        <f t="shared" si="227"/>
        <v/>
      </c>
      <c r="O2858" s="8"/>
      <c r="P2858" s="26"/>
      <c r="S2858" s="10" t="str">
        <f t="shared" si="224"/>
        <v/>
      </c>
    </row>
    <row r="2859" spans="5:19" x14ac:dyDescent="0.3">
      <c r="E2859" s="9" t="str">
        <f>IF(DADOS!C2859="","",DADOS!C2859)</f>
        <v/>
      </c>
      <c r="F2859" s="9" t="str">
        <f>IF(DADOS!E2859="","",DADOS!E2859)</f>
        <v/>
      </c>
      <c r="G2859" s="9" t="str">
        <f>IF(DADOS!F2859="","",DADOS!F2859)</f>
        <v/>
      </c>
      <c r="K2859" s="6" t="str">
        <f t="shared" si="225"/>
        <v/>
      </c>
      <c r="L2859" s="7" t="str">
        <f t="shared" si="226"/>
        <v/>
      </c>
      <c r="M2859" s="7" t="str">
        <f t="shared" si="223"/>
        <v/>
      </c>
      <c r="N2859" s="7" t="str">
        <f t="shared" si="227"/>
        <v/>
      </c>
      <c r="O2859" s="8"/>
      <c r="P2859" s="26"/>
      <c r="S2859" s="10" t="str">
        <f t="shared" si="224"/>
        <v/>
      </c>
    </row>
    <row r="2860" spans="5:19" x14ac:dyDescent="0.3">
      <c r="E2860" s="9" t="str">
        <f>IF(DADOS!C2860="","",DADOS!C2860)</f>
        <v/>
      </c>
      <c r="F2860" s="9" t="str">
        <f>IF(DADOS!E2860="","",DADOS!E2860)</f>
        <v/>
      </c>
      <c r="G2860" s="9" t="str">
        <f>IF(DADOS!F2860="","",DADOS!F2860)</f>
        <v/>
      </c>
      <c r="K2860" s="6" t="str">
        <f t="shared" si="225"/>
        <v/>
      </c>
      <c r="L2860" s="7" t="str">
        <f t="shared" si="226"/>
        <v/>
      </c>
      <c r="M2860" s="7" t="str">
        <f t="shared" si="223"/>
        <v/>
      </c>
      <c r="N2860" s="7" t="str">
        <f t="shared" si="227"/>
        <v/>
      </c>
      <c r="O2860" s="8"/>
      <c r="P2860" s="26"/>
      <c r="S2860" s="10" t="str">
        <f t="shared" si="224"/>
        <v/>
      </c>
    </row>
    <row r="2861" spans="5:19" x14ac:dyDescent="0.3">
      <c r="E2861" s="9" t="str">
        <f>IF(DADOS!C2861="","",DADOS!C2861)</f>
        <v/>
      </c>
      <c r="F2861" s="9" t="str">
        <f>IF(DADOS!E2861="","",DADOS!E2861)</f>
        <v/>
      </c>
      <c r="G2861" s="9" t="str">
        <f>IF(DADOS!F2861="","",DADOS!F2861)</f>
        <v/>
      </c>
      <c r="K2861" s="6" t="str">
        <f t="shared" si="225"/>
        <v/>
      </c>
      <c r="L2861" s="7" t="str">
        <f t="shared" si="226"/>
        <v/>
      </c>
      <c r="M2861" s="7" t="str">
        <f t="shared" si="223"/>
        <v/>
      </c>
      <c r="N2861" s="7" t="str">
        <f t="shared" si="227"/>
        <v/>
      </c>
      <c r="O2861" s="8"/>
      <c r="P2861" s="26"/>
      <c r="S2861" s="10" t="str">
        <f t="shared" si="224"/>
        <v/>
      </c>
    </row>
    <row r="2862" spans="5:19" x14ac:dyDescent="0.3">
      <c r="E2862" s="9" t="str">
        <f>IF(DADOS!C2862="","",DADOS!C2862)</f>
        <v/>
      </c>
      <c r="F2862" s="9" t="str">
        <f>IF(DADOS!E2862="","",DADOS!E2862)</f>
        <v/>
      </c>
      <c r="G2862" s="9" t="str">
        <f>IF(DADOS!F2862="","",DADOS!F2862)</f>
        <v/>
      </c>
      <c r="K2862" s="6" t="str">
        <f t="shared" si="225"/>
        <v/>
      </c>
      <c r="L2862" s="7" t="str">
        <f t="shared" si="226"/>
        <v/>
      </c>
      <c r="M2862" s="7" t="str">
        <f t="shared" si="223"/>
        <v/>
      </c>
      <c r="N2862" s="7" t="str">
        <f t="shared" si="227"/>
        <v/>
      </c>
      <c r="O2862" s="8"/>
      <c r="P2862" s="26"/>
      <c r="S2862" s="10" t="str">
        <f t="shared" si="224"/>
        <v/>
      </c>
    </row>
    <row r="2863" spans="5:19" x14ac:dyDescent="0.3">
      <c r="E2863" s="9" t="str">
        <f>IF(DADOS!C2863="","",DADOS!C2863)</f>
        <v/>
      </c>
      <c r="F2863" s="9" t="str">
        <f>IF(DADOS!E2863="","",DADOS!E2863)</f>
        <v/>
      </c>
      <c r="G2863" s="9" t="str">
        <f>IF(DADOS!F2863="","",DADOS!F2863)</f>
        <v/>
      </c>
      <c r="K2863" s="6" t="str">
        <f t="shared" si="225"/>
        <v/>
      </c>
      <c r="L2863" s="7" t="str">
        <f t="shared" si="226"/>
        <v/>
      </c>
      <c r="M2863" s="7" t="str">
        <f t="shared" si="223"/>
        <v/>
      </c>
      <c r="N2863" s="7" t="str">
        <f t="shared" si="227"/>
        <v/>
      </c>
      <c r="O2863" s="8"/>
      <c r="P2863" s="26"/>
      <c r="S2863" s="10" t="str">
        <f t="shared" si="224"/>
        <v/>
      </c>
    </row>
    <row r="2864" spans="5:19" x14ac:dyDescent="0.3">
      <c r="E2864" s="9" t="str">
        <f>IF(DADOS!C2864="","",DADOS!C2864)</f>
        <v/>
      </c>
      <c r="F2864" s="9" t="str">
        <f>IF(DADOS!E2864="","",DADOS!E2864)</f>
        <v/>
      </c>
      <c r="G2864" s="9" t="str">
        <f>IF(DADOS!F2864="","",DADOS!F2864)</f>
        <v/>
      </c>
      <c r="K2864" s="6" t="str">
        <f t="shared" si="225"/>
        <v/>
      </c>
      <c r="L2864" s="7" t="str">
        <f t="shared" si="226"/>
        <v/>
      </c>
      <c r="M2864" s="7" t="str">
        <f t="shared" si="223"/>
        <v/>
      </c>
      <c r="N2864" s="7" t="str">
        <f t="shared" si="227"/>
        <v/>
      </c>
      <c r="O2864" s="8"/>
      <c r="P2864" s="26"/>
      <c r="S2864" s="10" t="str">
        <f t="shared" si="224"/>
        <v/>
      </c>
    </row>
    <row r="2865" spans="5:19" x14ac:dyDescent="0.3">
      <c r="E2865" s="9" t="str">
        <f>IF(DADOS!C2865="","",DADOS!C2865)</f>
        <v/>
      </c>
      <c r="F2865" s="9" t="str">
        <f>IF(DADOS!E2865="","",DADOS!E2865)</f>
        <v/>
      </c>
      <c r="G2865" s="9" t="str">
        <f>IF(DADOS!F2865="","",DADOS!F2865)</f>
        <v/>
      </c>
      <c r="K2865" s="6" t="str">
        <f t="shared" si="225"/>
        <v/>
      </c>
      <c r="L2865" s="7" t="str">
        <f t="shared" si="226"/>
        <v/>
      </c>
      <c r="M2865" s="7" t="str">
        <f t="shared" si="223"/>
        <v/>
      </c>
      <c r="N2865" s="7" t="str">
        <f t="shared" si="227"/>
        <v/>
      </c>
      <c r="O2865" s="8"/>
      <c r="P2865" s="26"/>
      <c r="S2865" s="10" t="str">
        <f t="shared" si="224"/>
        <v/>
      </c>
    </row>
    <row r="2866" spans="5:19" x14ac:dyDescent="0.3">
      <c r="E2866" s="9" t="str">
        <f>IF(DADOS!C2866="","",DADOS!C2866)</f>
        <v/>
      </c>
      <c r="F2866" s="9" t="str">
        <f>IF(DADOS!E2866="","",DADOS!E2866)</f>
        <v/>
      </c>
      <c r="G2866" s="9" t="str">
        <f>IF(DADOS!F2866="","",DADOS!F2866)</f>
        <v/>
      </c>
      <c r="K2866" s="6" t="str">
        <f t="shared" si="225"/>
        <v/>
      </c>
      <c r="L2866" s="7" t="str">
        <f t="shared" si="226"/>
        <v/>
      </c>
      <c r="M2866" s="7" t="str">
        <f t="shared" si="223"/>
        <v/>
      </c>
      <c r="N2866" s="7" t="str">
        <f t="shared" si="227"/>
        <v/>
      </c>
      <c r="O2866" s="8"/>
      <c r="P2866" s="26"/>
      <c r="S2866" s="10" t="str">
        <f t="shared" si="224"/>
        <v/>
      </c>
    </row>
    <row r="2867" spans="5:19" x14ac:dyDescent="0.3">
      <c r="E2867" s="9" t="str">
        <f>IF(DADOS!C2867="","",DADOS!C2867)</f>
        <v/>
      </c>
      <c r="F2867" s="9" t="str">
        <f>IF(DADOS!E2867="","",DADOS!E2867)</f>
        <v/>
      </c>
      <c r="G2867" s="9" t="str">
        <f>IF(DADOS!F2867="","",DADOS!F2867)</f>
        <v/>
      </c>
      <c r="K2867" s="6" t="str">
        <f t="shared" si="225"/>
        <v/>
      </c>
      <c r="L2867" s="7" t="str">
        <f t="shared" si="226"/>
        <v/>
      </c>
      <c r="M2867" s="7" t="str">
        <f t="shared" si="223"/>
        <v/>
      </c>
      <c r="N2867" s="7" t="str">
        <f t="shared" si="227"/>
        <v/>
      </c>
      <c r="O2867" s="8"/>
      <c r="P2867" s="26"/>
      <c r="S2867" s="10" t="str">
        <f t="shared" si="224"/>
        <v/>
      </c>
    </row>
    <row r="2868" spans="5:19" x14ac:dyDescent="0.3">
      <c r="E2868" s="9" t="str">
        <f>IF(DADOS!C2868="","",DADOS!C2868)</f>
        <v/>
      </c>
      <c r="F2868" s="9" t="str">
        <f>IF(DADOS!E2868="","",DADOS!E2868)</f>
        <v/>
      </c>
      <c r="G2868" s="9" t="str">
        <f>IF(DADOS!F2868="","",DADOS!F2868)</f>
        <v/>
      </c>
      <c r="K2868" s="6" t="str">
        <f t="shared" si="225"/>
        <v/>
      </c>
      <c r="L2868" s="7" t="str">
        <f t="shared" si="226"/>
        <v/>
      </c>
      <c r="M2868" s="7" t="str">
        <f t="shared" si="223"/>
        <v/>
      </c>
      <c r="N2868" s="7" t="str">
        <f t="shared" si="227"/>
        <v/>
      </c>
      <c r="O2868" s="8"/>
      <c r="P2868" s="26"/>
      <c r="S2868" s="10" t="str">
        <f t="shared" si="224"/>
        <v/>
      </c>
    </row>
    <row r="2869" spans="5:19" x14ac:dyDescent="0.3">
      <c r="E2869" s="9" t="str">
        <f>IF(DADOS!C2869="","",DADOS!C2869)</f>
        <v/>
      </c>
      <c r="F2869" s="9" t="str">
        <f>IF(DADOS!E2869="","",DADOS!E2869)</f>
        <v/>
      </c>
      <c r="G2869" s="9" t="str">
        <f>IF(DADOS!F2869="","",DADOS!F2869)</f>
        <v/>
      </c>
      <c r="K2869" s="6" t="str">
        <f t="shared" si="225"/>
        <v/>
      </c>
      <c r="L2869" s="7" t="str">
        <f t="shared" si="226"/>
        <v/>
      </c>
      <c r="M2869" s="7" t="str">
        <f t="shared" si="223"/>
        <v/>
      </c>
      <c r="N2869" s="7" t="str">
        <f t="shared" si="227"/>
        <v/>
      </c>
      <c r="O2869" s="8"/>
      <c r="P2869" s="26"/>
      <c r="S2869" s="10" t="str">
        <f t="shared" si="224"/>
        <v/>
      </c>
    </row>
    <row r="2870" spans="5:19" x14ac:dyDescent="0.3">
      <c r="E2870" s="9" t="str">
        <f>IF(DADOS!C2870="","",DADOS!C2870)</f>
        <v/>
      </c>
      <c r="F2870" s="9" t="str">
        <f>IF(DADOS!E2870="","",DADOS!E2870)</f>
        <v/>
      </c>
      <c r="G2870" s="9" t="str">
        <f>IF(DADOS!F2870="","",DADOS!F2870)</f>
        <v/>
      </c>
      <c r="K2870" s="6" t="str">
        <f t="shared" si="225"/>
        <v/>
      </c>
      <c r="L2870" s="7" t="str">
        <f t="shared" si="226"/>
        <v/>
      </c>
      <c r="M2870" s="7" t="str">
        <f t="shared" si="223"/>
        <v/>
      </c>
      <c r="N2870" s="7" t="str">
        <f t="shared" si="227"/>
        <v/>
      </c>
      <c r="O2870" s="8"/>
      <c r="P2870" s="26"/>
      <c r="S2870" s="10" t="str">
        <f t="shared" si="224"/>
        <v/>
      </c>
    </row>
    <row r="2871" spans="5:19" x14ac:dyDescent="0.3">
      <c r="E2871" s="9" t="str">
        <f>IF(DADOS!C2871="","",DADOS!C2871)</f>
        <v/>
      </c>
      <c r="F2871" s="9" t="str">
        <f>IF(DADOS!E2871="","",DADOS!E2871)</f>
        <v/>
      </c>
      <c r="G2871" s="9" t="str">
        <f>IF(DADOS!F2871="","",DADOS!F2871)</f>
        <v/>
      </c>
      <c r="K2871" s="6" t="str">
        <f t="shared" si="225"/>
        <v/>
      </c>
      <c r="L2871" s="7" t="str">
        <f t="shared" si="226"/>
        <v/>
      </c>
      <c r="M2871" s="7" t="str">
        <f t="shared" si="223"/>
        <v/>
      </c>
      <c r="N2871" s="7" t="str">
        <f t="shared" si="227"/>
        <v/>
      </c>
      <c r="O2871" s="8"/>
      <c r="P2871" s="26"/>
      <c r="S2871" s="10" t="str">
        <f t="shared" si="224"/>
        <v/>
      </c>
    </row>
    <row r="2872" spans="5:19" x14ac:dyDescent="0.3">
      <c r="E2872" s="9" t="str">
        <f>IF(DADOS!C2872="","",DADOS!C2872)</f>
        <v/>
      </c>
      <c r="F2872" s="9" t="str">
        <f>IF(DADOS!E2872="","",DADOS!E2872)</f>
        <v/>
      </c>
      <c r="G2872" s="9" t="str">
        <f>IF(DADOS!F2872="","",DADOS!F2872)</f>
        <v/>
      </c>
      <c r="K2872" s="6" t="str">
        <f t="shared" si="225"/>
        <v/>
      </c>
      <c r="L2872" s="7" t="str">
        <f t="shared" si="226"/>
        <v/>
      </c>
      <c r="M2872" s="7" t="str">
        <f t="shared" si="223"/>
        <v/>
      </c>
      <c r="N2872" s="7" t="str">
        <f t="shared" si="227"/>
        <v/>
      </c>
      <c r="O2872" s="8"/>
      <c r="P2872" s="26"/>
      <c r="S2872" s="10" t="str">
        <f t="shared" si="224"/>
        <v/>
      </c>
    </row>
    <row r="2873" spans="5:19" x14ac:dyDescent="0.3">
      <c r="E2873" s="9" t="str">
        <f>IF(DADOS!C2873="","",DADOS!C2873)</f>
        <v/>
      </c>
      <c r="F2873" s="9" t="str">
        <f>IF(DADOS!E2873="","",DADOS!E2873)</f>
        <v/>
      </c>
      <c r="G2873" s="9" t="str">
        <f>IF(DADOS!F2873="","",DADOS!F2873)</f>
        <v/>
      </c>
      <c r="K2873" s="6" t="str">
        <f t="shared" si="225"/>
        <v/>
      </c>
      <c r="L2873" s="7" t="str">
        <f t="shared" si="226"/>
        <v/>
      </c>
      <c r="M2873" s="7" t="str">
        <f t="shared" si="223"/>
        <v/>
      </c>
      <c r="N2873" s="7" t="str">
        <f t="shared" si="227"/>
        <v/>
      </c>
      <c r="O2873" s="8"/>
      <c r="P2873" s="26"/>
      <c r="S2873" s="10" t="str">
        <f t="shared" si="224"/>
        <v/>
      </c>
    </row>
    <row r="2874" spans="5:19" x14ac:dyDescent="0.3">
      <c r="E2874" s="9" t="str">
        <f>IF(DADOS!C2874="","",DADOS!C2874)</f>
        <v/>
      </c>
      <c r="F2874" s="9" t="str">
        <f>IF(DADOS!E2874="","",DADOS!E2874)</f>
        <v/>
      </c>
      <c r="G2874" s="9" t="str">
        <f>IF(DADOS!F2874="","",DADOS!F2874)</f>
        <v/>
      </c>
      <c r="K2874" s="6" t="str">
        <f t="shared" si="225"/>
        <v/>
      </c>
      <c r="L2874" s="7" t="str">
        <f t="shared" si="226"/>
        <v/>
      </c>
      <c r="M2874" s="7" t="str">
        <f t="shared" si="223"/>
        <v/>
      </c>
      <c r="N2874" s="7" t="str">
        <f t="shared" si="227"/>
        <v/>
      </c>
      <c r="O2874" s="8"/>
      <c r="P2874" s="26"/>
      <c r="S2874" s="10" t="str">
        <f t="shared" si="224"/>
        <v/>
      </c>
    </row>
    <row r="2875" spans="5:19" x14ac:dyDescent="0.3">
      <c r="E2875" s="9" t="str">
        <f>IF(DADOS!C2875="","",DADOS!C2875)</f>
        <v/>
      </c>
      <c r="F2875" s="9" t="str">
        <f>IF(DADOS!E2875="","",DADOS!E2875)</f>
        <v/>
      </c>
      <c r="G2875" s="9" t="str">
        <f>IF(DADOS!F2875="","",DADOS!F2875)</f>
        <v/>
      </c>
      <c r="K2875" s="6" t="str">
        <f t="shared" si="225"/>
        <v/>
      </c>
      <c r="L2875" s="7" t="str">
        <f t="shared" si="226"/>
        <v/>
      </c>
      <c r="M2875" s="7" t="str">
        <f t="shared" si="223"/>
        <v/>
      </c>
      <c r="N2875" s="7" t="str">
        <f t="shared" si="227"/>
        <v/>
      </c>
      <c r="O2875" s="8"/>
      <c r="P2875" s="26"/>
      <c r="S2875" s="10" t="str">
        <f t="shared" si="224"/>
        <v/>
      </c>
    </row>
    <row r="2876" spans="5:19" x14ac:dyDescent="0.3">
      <c r="E2876" s="9" t="str">
        <f>IF(DADOS!C2876="","",DADOS!C2876)</f>
        <v/>
      </c>
      <c r="F2876" s="9" t="str">
        <f>IF(DADOS!E2876="","",DADOS!E2876)</f>
        <v/>
      </c>
      <c r="G2876" s="9" t="str">
        <f>IF(DADOS!F2876="","",DADOS!F2876)</f>
        <v/>
      </c>
      <c r="K2876" s="6" t="str">
        <f t="shared" si="225"/>
        <v/>
      </c>
      <c r="L2876" s="7" t="str">
        <f t="shared" si="226"/>
        <v/>
      </c>
      <c r="M2876" s="7" t="str">
        <f t="shared" si="223"/>
        <v/>
      </c>
      <c r="N2876" s="7" t="str">
        <f t="shared" si="227"/>
        <v/>
      </c>
      <c r="O2876" s="8"/>
      <c r="P2876" s="26"/>
      <c r="S2876" s="10" t="str">
        <f t="shared" si="224"/>
        <v/>
      </c>
    </row>
    <row r="2877" spans="5:19" x14ac:dyDescent="0.3">
      <c r="E2877" s="9" t="str">
        <f>IF(DADOS!C2877="","",DADOS!C2877)</f>
        <v/>
      </c>
      <c r="F2877" s="9" t="str">
        <f>IF(DADOS!E2877="","",DADOS!E2877)</f>
        <v/>
      </c>
      <c r="G2877" s="9" t="str">
        <f>IF(DADOS!F2877="","",DADOS!F2877)</f>
        <v/>
      </c>
      <c r="K2877" s="6" t="str">
        <f t="shared" si="225"/>
        <v/>
      </c>
      <c r="L2877" s="7" t="str">
        <f t="shared" si="226"/>
        <v/>
      </c>
      <c r="M2877" s="7" t="str">
        <f t="shared" si="223"/>
        <v/>
      </c>
      <c r="N2877" s="7" t="str">
        <f t="shared" si="227"/>
        <v/>
      </c>
      <c r="O2877" s="8"/>
      <c r="P2877" s="26"/>
      <c r="S2877" s="10" t="str">
        <f t="shared" si="224"/>
        <v/>
      </c>
    </row>
    <row r="2878" spans="5:19" x14ac:dyDescent="0.3">
      <c r="E2878" s="9" t="str">
        <f>IF(DADOS!C2878="","",DADOS!C2878)</f>
        <v/>
      </c>
      <c r="F2878" s="9" t="str">
        <f>IF(DADOS!E2878="","",DADOS!E2878)</f>
        <v/>
      </c>
      <c r="G2878" s="9" t="str">
        <f>IF(DADOS!F2878="","",DADOS!F2878)</f>
        <v/>
      </c>
      <c r="K2878" s="6" t="str">
        <f t="shared" si="225"/>
        <v/>
      </c>
      <c r="L2878" s="7" t="str">
        <f t="shared" si="226"/>
        <v/>
      </c>
      <c r="M2878" s="7" t="str">
        <f t="shared" si="223"/>
        <v/>
      </c>
      <c r="N2878" s="7" t="str">
        <f t="shared" si="227"/>
        <v/>
      </c>
      <c r="O2878" s="8"/>
      <c r="P2878" s="26"/>
      <c r="S2878" s="10" t="str">
        <f t="shared" si="224"/>
        <v/>
      </c>
    </row>
    <row r="2879" spans="5:19" x14ac:dyDescent="0.3">
      <c r="E2879" s="9" t="str">
        <f>IF(DADOS!C2879="","",DADOS!C2879)</f>
        <v/>
      </c>
      <c r="F2879" s="9" t="str">
        <f>IF(DADOS!E2879="","",DADOS!E2879)</f>
        <v/>
      </c>
      <c r="G2879" s="9" t="str">
        <f>IF(DADOS!F2879="","",DADOS!F2879)</f>
        <v/>
      </c>
      <c r="K2879" s="6" t="str">
        <f t="shared" si="225"/>
        <v/>
      </c>
      <c r="L2879" s="7" t="str">
        <f t="shared" si="226"/>
        <v/>
      </c>
      <c r="M2879" s="7" t="str">
        <f t="shared" si="223"/>
        <v/>
      </c>
      <c r="N2879" s="7" t="str">
        <f t="shared" si="227"/>
        <v/>
      </c>
      <c r="O2879" s="8"/>
      <c r="P2879" s="26"/>
      <c r="S2879" s="10" t="str">
        <f t="shared" si="224"/>
        <v/>
      </c>
    </row>
    <row r="2880" spans="5:19" x14ac:dyDescent="0.3">
      <c r="E2880" s="9" t="str">
        <f>IF(DADOS!C2880="","",DADOS!C2880)</f>
        <v/>
      </c>
      <c r="F2880" s="9" t="str">
        <f>IF(DADOS!E2880="","",DADOS!E2880)</f>
        <v/>
      </c>
      <c r="G2880" s="9" t="str">
        <f>IF(DADOS!F2880="","",DADOS!F2880)</f>
        <v/>
      </c>
      <c r="K2880" s="6" t="str">
        <f t="shared" si="225"/>
        <v/>
      </c>
      <c r="L2880" s="7" t="str">
        <f t="shared" si="226"/>
        <v/>
      </c>
      <c r="M2880" s="7" t="str">
        <f t="shared" si="223"/>
        <v/>
      </c>
      <c r="N2880" s="7" t="str">
        <f t="shared" si="227"/>
        <v/>
      </c>
      <c r="O2880" s="8"/>
      <c r="P2880" s="26"/>
      <c r="S2880" s="10" t="str">
        <f t="shared" si="224"/>
        <v/>
      </c>
    </row>
    <row r="2881" spans="5:19" x14ac:dyDescent="0.3">
      <c r="E2881" s="9" t="str">
        <f>IF(DADOS!C2881="","",DADOS!C2881)</f>
        <v/>
      </c>
      <c r="F2881" s="9" t="str">
        <f>IF(DADOS!E2881="","",DADOS!E2881)</f>
        <v/>
      </c>
      <c r="G2881" s="9" t="str">
        <f>IF(DADOS!F2881="","",DADOS!F2881)</f>
        <v/>
      </c>
      <c r="K2881" s="6" t="str">
        <f t="shared" si="225"/>
        <v/>
      </c>
      <c r="L2881" s="7" t="str">
        <f t="shared" si="226"/>
        <v/>
      </c>
      <c r="M2881" s="7" t="str">
        <f t="shared" si="223"/>
        <v/>
      </c>
      <c r="N2881" s="7" t="str">
        <f t="shared" si="227"/>
        <v/>
      </c>
      <c r="O2881" s="8"/>
      <c r="P2881" s="26"/>
      <c r="S2881" s="10" t="str">
        <f t="shared" si="224"/>
        <v/>
      </c>
    </row>
    <row r="2882" spans="5:19" x14ac:dyDescent="0.3">
      <c r="E2882" s="9" t="str">
        <f>IF(DADOS!C2882="","",DADOS!C2882)</f>
        <v/>
      </c>
      <c r="F2882" s="9" t="str">
        <f>IF(DADOS!E2882="","",DADOS!E2882)</f>
        <v/>
      </c>
      <c r="G2882" s="9" t="str">
        <f>IF(DADOS!F2882="","",DADOS!F2882)</f>
        <v/>
      </c>
      <c r="K2882" s="6" t="str">
        <f t="shared" si="225"/>
        <v/>
      </c>
      <c r="L2882" s="7" t="str">
        <f t="shared" si="226"/>
        <v/>
      </c>
      <c r="M2882" s="7" t="str">
        <f t="shared" si="223"/>
        <v/>
      </c>
      <c r="N2882" s="7" t="str">
        <f t="shared" si="227"/>
        <v/>
      </c>
      <c r="O2882" s="8"/>
      <c r="P2882" s="26"/>
      <c r="S2882" s="10" t="str">
        <f t="shared" si="224"/>
        <v/>
      </c>
    </row>
    <row r="2883" spans="5:19" x14ac:dyDescent="0.3">
      <c r="E2883" s="9" t="str">
        <f>IF(DADOS!C2883="","",DADOS!C2883)</f>
        <v/>
      </c>
      <c r="F2883" s="9" t="str">
        <f>IF(DADOS!E2883="","",DADOS!E2883)</f>
        <v/>
      </c>
      <c r="G2883" s="9" t="str">
        <f>IF(DADOS!F2883="","",DADOS!F2883)</f>
        <v/>
      </c>
      <c r="K2883" s="6" t="str">
        <f t="shared" si="225"/>
        <v/>
      </c>
      <c r="L2883" s="7" t="str">
        <f t="shared" si="226"/>
        <v/>
      </c>
      <c r="M2883" s="7" t="str">
        <f t="shared" ref="M2883:M2946" si="228">IF(L2883="","",L2883*G2883)</f>
        <v/>
      </c>
      <c r="N2883" s="7" t="str">
        <f t="shared" si="227"/>
        <v/>
      </c>
      <c r="O2883" s="8"/>
      <c r="P2883" s="26"/>
      <c r="S2883" s="10" t="str">
        <f t="shared" ref="S2883:S2946" si="229">IF(R2883="","",SUMIFS($N$3:$N$10000,$E$3:$E$10000,R2883))</f>
        <v/>
      </c>
    </row>
    <row r="2884" spans="5:19" x14ac:dyDescent="0.3">
      <c r="E2884" s="9" t="str">
        <f>IF(DADOS!C2884="","",DADOS!C2884)</f>
        <v/>
      </c>
      <c r="F2884" s="9" t="str">
        <f>IF(DADOS!E2884="","",DADOS!E2884)</f>
        <v/>
      </c>
      <c r="G2884" s="9" t="str">
        <f>IF(DADOS!F2884="","",DADOS!F2884)</f>
        <v/>
      </c>
      <c r="K2884" s="6" t="str">
        <f t="shared" ref="K2884:K2947" si="230">IF(F2884="","",F2884/PI())</f>
        <v/>
      </c>
      <c r="L2884" s="7" t="str">
        <f t="shared" ref="L2884:L2947" si="231">IF(K2884="","",(PI()*K2884^2)/40000)</f>
        <v/>
      </c>
      <c r="M2884" s="7" t="str">
        <f t="shared" si="228"/>
        <v/>
      </c>
      <c r="N2884" s="7" t="str">
        <f t="shared" ref="N2884:N2947" si="232">IF(M2884="","",M2884*N$1)</f>
        <v/>
      </c>
      <c r="O2884" s="8"/>
      <c r="P2884" s="26"/>
      <c r="S2884" s="10" t="str">
        <f t="shared" si="229"/>
        <v/>
      </c>
    </row>
    <row r="2885" spans="5:19" x14ac:dyDescent="0.3">
      <c r="E2885" s="9" t="str">
        <f>IF(DADOS!C2885="","",DADOS!C2885)</f>
        <v/>
      </c>
      <c r="F2885" s="9" t="str">
        <f>IF(DADOS!E2885="","",DADOS!E2885)</f>
        <v/>
      </c>
      <c r="G2885" s="9" t="str">
        <f>IF(DADOS!F2885="","",DADOS!F2885)</f>
        <v/>
      </c>
      <c r="K2885" s="6" t="str">
        <f t="shared" si="230"/>
        <v/>
      </c>
      <c r="L2885" s="7" t="str">
        <f t="shared" si="231"/>
        <v/>
      </c>
      <c r="M2885" s="7" t="str">
        <f t="shared" si="228"/>
        <v/>
      </c>
      <c r="N2885" s="7" t="str">
        <f t="shared" si="232"/>
        <v/>
      </c>
      <c r="O2885" s="8"/>
      <c r="P2885" s="26"/>
      <c r="S2885" s="10" t="str">
        <f t="shared" si="229"/>
        <v/>
      </c>
    </row>
    <row r="2886" spans="5:19" x14ac:dyDescent="0.3">
      <c r="E2886" s="9" t="str">
        <f>IF(DADOS!C2886="","",DADOS!C2886)</f>
        <v/>
      </c>
      <c r="F2886" s="9" t="str">
        <f>IF(DADOS!E2886="","",DADOS!E2886)</f>
        <v/>
      </c>
      <c r="G2886" s="9" t="str">
        <f>IF(DADOS!F2886="","",DADOS!F2886)</f>
        <v/>
      </c>
      <c r="K2886" s="6" t="str">
        <f t="shared" si="230"/>
        <v/>
      </c>
      <c r="L2886" s="7" t="str">
        <f t="shared" si="231"/>
        <v/>
      </c>
      <c r="M2886" s="7" t="str">
        <f t="shared" si="228"/>
        <v/>
      </c>
      <c r="N2886" s="7" t="str">
        <f t="shared" si="232"/>
        <v/>
      </c>
      <c r="O2886" s="8"/>
      <c r="P2886" s="26"/>
      <c r="S2886" s="10" t="str">
        <f t="shared" si="229"/>
        <v/>
      </c>
    </row>
    <row r="2887" spans="5:19" x14ac:dyDescent="0.3">
      <c r="E2887" s="9" t="str">
        <f>IF(DADOS!C2887="","",DADOS!C2887)</f>
        <v/>
      </c>
      <c r="F2887" s="9" t="str">
        <f>IF(DADOS!E2887="","",DADOS!E2887)</f>
        <v/>
      </c>
      <c r="G2887" s="9" t="str">
        <f>IF(DADOS!F2887="","",DADOS!F2887)</f>
        <v/>
      </c>
      <c r="K2887" s="6" t="str">
        <f t="shared" si="230"/>
        <v/>
      </c>
      <c r="L2887" s="7" t="str">
        <f t="shared" si="231"/>
        <v/>
      </c>
      <c r="M2887" s="7" t="str">
        <f t="shared" si="228"/>
        <v/>
      </c>
      <c r="N2887" s="7" t="str">
        <f t="shared" si="232"/>
        <v/>
      </c>
      <c r="O2887" s="8"/>
      <c r="P2887" s="26"/>
      <c r="S2887" s="10" t="str">
        <f t="shared" si="229"/>
        <v/>
      </c>
    </row>
    <row r="2888" spans="5:19" x14ac:dyDescent="0.3">
      <c r="E2888" s="9" t="str">
        <f>IF(DADOS!C2888="","",DADOS!C2888)</f>
        <v/>
      </c>
      <c r="F2888" s="9" t="str">
        <f>IF(DADOS!E2888="","",DADOS!E2888)</f>
        <v/>
      </c>
      <c r="G2888" s="9" t="str">
        <f>IF(DADOS!F2888="","",DADOS!F2888)</f>
        <v/>
      </c>
      <c r="K2888" s="6" t="str">
        <f t="shared" si="230"/>
        <v/>
      </c>
      <c r="L2888" s="7" t="str">
        <f t="shared" si="231"/>
        <v/>
      </c>
      <c r="M2888" s="7" t="str">
        <f t="shared" si="228"/>
        <v/>
      </c>
      <c r="N2888" s="7" t="str">
        <f t="shared" si="232"/>
        <v/>
      </c>
      <c r="O2888" s="8"/>
      <c r="P2888" s="26"/>
      <c r="S2888" s="10" t="str">
        <f t="shared" si="229"/>
        <v/>
      </c>
    </row>
    <row r="2889" spans="5:19" x14ac:dyDescent="0.3">
      <c r="E2889" s="9" t="str">
        <f>IF(DADOS!C2889="","",DADOS!C2889)</f>
        <v/>
      </c>
      <c r="F2889" s="9" t="str">
        <f>IF(DADOS!E2889="","",DADOS!E2889)</f>
        <v/>
      </c>
      <c r="G2889" s="9" t="str">
        <f>IF(DADOS!F2889="","",DADOS!F2889)</f>
        <v/>
      </c>
      <c r="K2889" s="6" t="str">
        <f t="shared" si="230"/>
        <v/>
      </c>
      <c r="L2889" s="7" t="str">
        <f t="shared" si="231"/>
        <v/>
      </c>
      <c r="M2889" s="7" t="str">
        <f t="shared" si="228"/>
        <v/>
      </c>
      <c r="N2889" s="7" t="str">
        <f t="shared" si="232"/>
        <v/>
      </c>
      <c r="O2889" s="8"/>
      <c r="P2889" s="26"/>
      <c r="S2889" s="10" t="str">
        <f t="shared" si="229"/>
        <v/>
      </c>
    </row>
    <row r="2890" spans="5:19" x14ac:dyDescent="0.3">
      <c r="E2890" s="9" t="str">
        <f>IF(DADOS!C2890="","",DADOS!C2890)</f>
        <v/>
      </c>
      <c r="F2890" s="9" t="str">
        <f>IF(DADOS!E2890="","",DADOS!E2890)</f>
        <v/>
      </c>
      <c r="G2890" s="9" t="str">
        <f>IF(DADOS!F2890="","",DADOS!F2890)</f>
        <v/>
      </c>
      <c r="K2890" s="6" t="str">
        <f t="shared" si="230"/>
        <v/>
      </c>
      <c r="L2890" s="7" t="str">
        <f t="shared" si="231"/>
        <v/>
      </c>
      <c r="M2890" s="7" t="str">
        <f t="shared" si="228"/>
        <v/>
      </c>
      <c r="N2890" s="7" t="str">
        <f t="shared" si="232"/>
        <v/>
      </c>
      <c r="O2890" s="8"/>
      <c r="P2890" s="26"/>
      <c r="S2890" s="10" t="str">
        <f t="shared" si="229"/>
        <v/>
      </c>
    </row>
    <row r="2891" spans="5:19" x14ac:dyDescent="0.3">
      <c r="E2891" s="9" t="str">
        <f>IF(DADOS!C2891="","",DADOS!C2891)</f>
        <v/>
      </c>
      <c r="F2891" s="9" t="str">
        <f>IF(DADOS!E2891="","",DADOS!E2891)</f>
        <v/>
      </c>
      <c r="G2891" s="9" t="str">
        <f>IF(DADOS!F2891="","",DADOS!F2891)</f>
        <v/>
      </c>
      <c r="K2891" s="6" t="str">
        <f t="shared" si="230"/>
        <v/>
      </c>
      <c r="L2891" s="7" t="str">
        <f t="shared" si="231"/>
        <v/>
      </c>
      <c r="M2891" s="7" t="str">
        <f t="shared" si="228"/>
        <v/>
      </c>
      <c r="N2891" s="7" t="str">
        <f t="shared" si="232"/>
        <v/>
      </c>
      <c r="O2891" s="8"/>
      <c r="P2891" s="26"/>
      <c r="S2891" s="10" t="str">
        <f t="shared" si="229"/>
        <v/>
      </c>
    </row>
    <row r="2892" spans="5:19" x14ac:dyDescent="0.3">
      <c r="E2892" s="9" t="str">
        <f>IF(DADOS!C2892="","",DADOS!C2892)</f>
        <v/>
      </c>
      <c r="F2892" s="9" t="str">
        <f>IF(DADOS!E2892="","",DADOS!E2892)</f>
        <v/>
      </c>
      <c r="G2892" s="9" t="str">
        <f>IF(DADOS!F2892="","",DADOS!F2892)</f>
        <v/>
      </c>
      <c r="K2892" s="6" t="str">
        <f t="shared" si="230"/>
        <v/>
      </c>
      <c r="L2892" s="7" t="str">
        <f t="shared" si="231"/>
        <v/>
      </c>
      <c r="M2892" s="7" t="str">
        <f t="shared" si="228"/>
        <v/>
      </c>
      <c r="N2892" s="7" t="str">
        <f t="shared" si="232"/>
        <v/>
      </c>
      <c r="O2892" s="8"/>
      <c r="P2892" s="26"/>
      <c r="S2892" s="10" t="str">
        <f t="shared" si="229"/>
        <v/>
      </c>
    </row>
    <row r="2893" spans="5:19" x14ac:dyDescent="0.3">
      <c r="E2893" s="9" t="str">
        <f>IF(DADOS!C2893="","",DADOS!C2893)</f>
        <v/>
      </c>
      <c r="F2893" s="9" t="str">
        <f>IF(DADOS!E2893="","",DADOS!E2893)</f>
        <v/>
      </c>
      <c r="G2893" s="9" t="str">
        <f>IF(DADOS!F2893="","",DADOS!F2893)</f>
        <v/>
      </c>
      <c r="K2893" s="6" t="str">
        <f t="shared" si="230"/>
        <v/>
      </c>
      <c r="L2893" s="7" t="str">
        <f t="shared" si="231"/>
        <v/>
      </c>
      <c r="M2893" s="7" t="str">
        <f t="shared" si="228"/>
        <v/>
      </c>
      <c r="N2893" s="7" t="str">
        <f t="shared" si="232"/>
        <v/>
      </c>
      <c r="O2893" s="8"/>
      <c r="P2893" s="26"/>
      <c r="S2893" s="10" t="str">
        <f t="shared" si="229"/>
        <v/>
      </c>
    </row>
    <row r="2894" spans="5:19" x14ac:dyDescent="0.3">
      <c r="E2894" s="9" t="str">
        <f>IF(DADOS!C2894="","",DADOS!C2894)</f>
        <v/>
      </c>
      <c r="F2894" s="9" t="str">
        <f>IF(DADOS!E2894="","",DADOS!E2894)</f>
        <v/>
      </c>
      <c r="G2894" s="9" t="str">
        <f>IF(DADOS!F2894="","",DADOS!F2894)</f>
        <v/>
      </c>
      <c r="K2894" s="6" t="str">
        <f t="shared" si="230"/>
        <v/>
      </c>
      <c r="L2894" s="7" t="str">
        <f t="shared" si="231"/>
        <v/>
      </c>
      <c r="M2894" s="7" t="str">
        <f t="shared" si="228"/>
        <v/>
      </c>
      <c r="N2894" s="7" t="str">
        <f t="shared" si="232"/>
        <v/>
      </c>
      <c r="O2894" s="8"/>
      <c r="P2894" s="26"/>
      <c r="S2894" s="10" t="str">
        <f t="shared" si="229"/>
        <v/>
      </c>
    </row>
    <row r="2895" spans="5:19" x14ac:dyDescent="0.3">
      <c r="E2895" s="9" t="str">
        <f>IF(DADOS!C2895="","",DADOS!C2895)</f>
        <v/>
      </c>
      <c r="F2895" s="9" t="str">
        <f>IF(DADOS!E2895="","",DADOS!E2895)</f>
        <v/>
      </c>
      <c r="G2895" s="9" t="str">
        <f>IF(DADOS!F2895="","",DADOS!F2895)</f>
        <v/>
      </c>
      <c r="K2895" s="6" t="str">
        <f t="shared" si="230"/>
        <v/>
      </c>
      <c r="L2895" s="7" t="str">
        <f t="shared" si="231"/>
        <v/>
      </c>
      <c r="M2895" s="7" t="str">
        <f t="shared" si="228"/>
        <v/>
      </c>
      <c r="N2895" s="7" t="str">
        <f t="shared" si="232"/>
        <v/>
      </c>
      <c r="O2895" s="8"/>
      <c r="P2895" s="26"/>
      <c r="S2895" s="10" t="str">
        <f t="shared" si="229"/>
        <v/>
      </c>
    </row>
    <row r="2896" spans="5:19" x14ac:dyDescent="0.3">
      <c r="E2896" s="9" t="str">
        <f>IF(DADOS!C2896="","",DADOS!C2896)</f>
        <v/>
      </c>
      <c r="F2896" s="9" t="str">
        <f>IF(DADOS!E2896="","",DADOS!E2896)</f>
        <v/>
      </c>
      <c r="G2896" s="9" t="str">
        <f>IF(DADOS!F2896="","",DADOS!F2896)</f>
        <v/>
      </c>
      <c r="K2896" s="6" t="str">
        <f t="shared" si="230"/>
        <v/>
      </c>
      <c r="L2896" s="7" t="str">
        <f t="shared" si="231"/>
        <v/>
      </c>
      <c r="M2896" s="7" t="str">
        <f t="shared" si="228"/>
        <v/>
      </c>
      <c r="N2896" s="7" t="str">
        <f t="shared" si="232"/>
        <v/>
      </c>
      <c r="O2896" s="8"/>
      <c r="P2896" s="26"/>
      <c r="S2896" s="10" t="str">
        <f t="shared" si="229"/>
        <v/>
      </c>
    </row>
    <row r="2897" spans="5:19" x14ac:dyDescent="0.3">
      <c r="E2897" s="9" t="str">
        <f>IF(DADOS!C2897="","",DADOS!C2897)</f>
        <v/>
      </c>
      <c r="F2897" s="9" t="str">
        <f>IF(DADOS!E2897="","",DADOS!E2897)</f>
        <v/>
      </c>
      <c r="G2897" s="9" t="str">
        <f>IF(DADOS!F2897="","",DADOS!F2897)</f>
        <v/>
      </c>
      <c r="K2897" s="6" t="str">
        <f t="shared" si="230"/>
        <v/>
      </c>
      <c r="L2897" s="7" t="str">
        <f t="shared" si="231"/>
        <v/>
      </c>
      <c r="M2897" s="7" t="str">
        <f t="shared" si="228"/>
        <v/>
      </c>
      <c r="N2897" s="7" t="str">
        <f t="shared" si="232"/>
        <v/>
      </c>
      <c r="O2897" s="8"/>
      <c r="P2897" s="26"/>
      <c r="S2897" s="10" t="str">
        <f t="shared" si="229"/>
        <v/>
      </c>
    </row>
    <row r="2898" spans="5:19" x14ac:dyDescent="0.3">
      <c r="E2898" s="9" t="str">
        <f>IF(DADOS!C2898="","",DADOS!C2898)</f>
        <v/>
      </c>
      <c r="F2898" s="9" t="str">
        <f>IF(DADOS!E2898="","",DADOS!E2898)</f>
        <v/>
      </c>
      <c r="G2898" s="9" t="str">
        <f>IF(DADOS!F2898="","",DADOS!F2898)</f>
        <v/>
      </c>
      <c r="K2898" s="6" t="str">
        <f t="shared" si="230"/>
        <v/>
      </c>
      <c r="L2898" s="7" t="str">
        <f t="shared" si="231"/>
        <v/>
      </c>
      <c r="M2898" s="7" t="str">
        <f t="shared" si="228"/>
        <v/>
      </c>
      <c r="N2898" s="7" t="str">
        <f t="shared" si="232"/>
        <v/>
      </c>
      <c r="O2898" s="8"/>
      <c r="P2898" s="26"/>
      <c r="S2898" s="10" t="str">
        <f t="shared" si="229"/>
        <v/>
      </c>
    </row>
    <row r="2899" spans="5:19" x14ac:dyDescent="0.3">
      <c r="E2899" s="9" t="str">
        <f>IF(DADOS!C2899="","",DADOS!C2899)</f>
        <v/>
      </c>
      <c r="F2899" s="9" t="str">
        <f>IF(DADOS!E2899="","",DADOS!E2899)</f>
        <v/>
      </c>
      <c r="G2899" s="9" t="str">
        <f>IF(DADOS!F2899="","",DADOS!F2899)</f>
        <v/>
      </c>
      <c r="K2899" s="6" t="str">
        <f t="shared" si="230"/>
        <v/>
      </c>
      <c r="L2899" s="7" t="str">
        <f t="shared" si="231"/>
        <v/>
      </c>
      <c r="M2899" s="7" t="str">
        <f t="shared" si="228"/>
        <v/>
      </c>
      <c r="N2899" s="7" t="str">
        <f t="shared" si="232"/>
        <v/>
      </c>
      <c r="O2899" s="8"/>
      <c r="P2899" s="26"/>
      <c r="S2899" s="10" t="str">
        <f t="shared" si="229"/>
        <v/>
      </c>
    </row>
    <row r="2900" spans="5:19" x14ac:dyDescent="0.3">
      <c r="E2900" s="9" t="str">
        <f>IF(DADOS!C2900="","",DADOS!C2900)</f>
        <v/>
      </c>
      <c r="F2900" s="9" t="str">
        <f>IF(DADOS!E2900="","",DADOS!E2900)</f>
        <v/>
      </c>
      <c r="G2900" s="9" t="str">
        <f>IF(DADOS!F2900="","",DADOS!F2900)</f>
        <v/>
      </c>
      <c r="K2900" s="6" t="str">
        <f t="shared" si="230"/>
        <v/>
      </c>
      <c r="L2900" s="7" t="str">
        <f t="shared" si="231"/>
        <v/>
      </c>
      <c r="M2900" s="7" t="str">
        <f t="shared" si="228"/>
        <v/>
      </c>
      <c r="N2900" s="7" t="str">
        <f t="shared" si="232"/>
        <v/>
      </c>
      <c r="O2900" s="8"/>
      <c r="P2900" s="26"/>
      <c r="S2900" s="10" t="str">
        <f t="shared" si="229"/>
        <v/>
      </c>
    </row>
    <row r="2901" spans="5:19" x14ac:dyDescent="0.3">
      <c r="E2901" s="9" t="str">
        <f>IF(DADOS!C2901="","",DADOS!C2901)</f>
        <v/>
      </c>
      <c r="F2901" s="9" t="str">
        <f>IF(DADOS!E2901="","",DADOS!E2901)</f>
        <v/>
      </c>
      <c r="G2901" s="9" t="str">
        <f>IF(DADOS!F2901="","",DADOS!F2901)</f>
        <v/>
      </c>
      <c r="K2901" s="6" t="str">
        <f t="shared" si="230"/>
        <v/>
      </c>
      <c r="L2901" s="7" t="str">
        <f t="shared" si="231"/>
        <v/>
      </c>
      <c r="M2901" s="7" t="str">
        <f t="shared" si="228"/>
        <v/>
      </c>
      <c r="N2901" s="7" t="str">
        <f t="shared" si="232"/>
        <v/>
      </c>
      <c r="O2901" s="8"/>
      <c r="P2901" s="26"/>
      <c r="S2901" s="10" t="str">
        <f t="shared" si="229"/>
        <v/>
      </c>
    </row>
    <row r="2902" spans="5:19" x14ac:dyDescent="0.3">
      <c r="E2902" s="9" t="str">
        <f>IF(DADOS!C2902="","",DADOS!C2902)</f>
        <v/>
      </c>
      <c r="F2902" s="9" t="str">
        <f>IF(DADOS!E2902="","",DADOS!E2902)</f>
        <v/>
      </c>
      <c r="G2902" s="9" t="str">
        <f>IF(DADOS!F2902="","",DADOS!F2902)</f>
        <v/>
      </c>
      <c r="K2902" s="6" t="str">
        <f t="shared" si="230"/>
        <v/>
      </c>
      <c r="L2902" s="7" t="str">
        <f t="shared" si="231"/>
        <v/>
      </c>
      <c r="M2902" s="7" t="str">
        <f t="shared" si="228"/>
        <v/>
      </c>
      <c r="N2902" s="7" t="str">
        <f t="shared" si="232"/>
        <v/>
      </c>
      <c r="O2902" s="8"/>
      <c r="P2902" s="26"/>
      <c r="S2902" s="10" t="str">
        <f t="shared" si="229"/>
        <v/>
      </c>
    </row>
    <row r="2903" spans="5:19" x14ac:dyDescent="0.3">
      <c r="E2903" s="9" t="str">
        <f>IF(DADOS!C2903="","",DADOS!C2903)</f>
        <v/>
      </c>
      <c r="F2903" s="9" t="str">
        <f>IF(DADOS!E2903="","",DADOS!E2903)</f>
        <v/>
      </c>
      <c r="G2903" s="9" t="str">
        <f>IF(DADOS!F2903="","",DADOS!F2903)</f>
        <v/>
      </c>
      <c r="K2903" s="6" t="str">
        <f t="shared" si="230"/>
        <v/>
      </c>
      <c r="L2903" s="7" t="str">
        <f t="shared" si="231"/>
        <v/>
      </c>
      <c r="M2903" s="7" t="str">
        <f t="shared" si="228"/>
        <v/>
      </c>
      <c r="N2903" s="7" t="str">
        <f t="shared" si="232"/>
        <v/>
      </c>
      <c r="O2903" s="8"/>
      <c r="P2903" s="26"/>
      <c r="S2903" s="10" t="str">
        <f t="shared" si="229"/>
        <v/>
      </c>
    </row>
    <row r="2904" spans="5:19" x14ac:dyDescent="0.3">
      <c r="E2904" s="9" t="str">
        <f>IF(DADOS!C2904="","",DADOS!C2904)</f>
        <v/>
      </c>
      <c r="F2904" s="9" t="str">
        <f>IF(DADOS!E2904="","",DADOS!E2904)</f>
        <v/>
      </c>
      <c r="G2904" s="9" t="str">
        <f>IF(DADOS!F2904="","",DADOS!F2904)</f>
        <v/>
      </c>
      <c r="K2904" s="6" t="str">
        <f t="shared" si="230"/>
        <v/>
      </c>
      <c r="L2904" s="7" t="str">
        <f t="shared" si="231"/>
        <v/>
      </c>
      <c r="M2904" s="7" t="str">
        <f t="shared" si="228"/>
        <v/>
      </c>
      <c r="N2904" s="7" t="str">
        <f t="shared" si="232"/>
        <v/>
      </c>
      <c r="O2904" s="8"/>
      <c r="P2904" s="26"/>
      <c r="S2904" s="10" t="str">
        <f t="shared" si="229"/>
        <v/>
      </c>
    </row>
    <row r="2905" spans="5:19" x14ac:dyDescent="0.3">
      <c r="E2905" s="9" t="str">
        <f>IF(DADOS!C2905="","",DADOS!C2905)</f>
        <v/>
      </c>
      <c r="F2905" s="9" t="str">
        <f>IF(DADOS!E2905="","",DADOS!E2905)</f>
        <v/>
      </c>
      <c r="G2905" s="9" t="str">
        <f>IF(DADOS!F2905="","",DADOS!F2905)</f>
        <v/>
      </c>
      <c r="K2905" s="6" t="str">
        <f t="shared" si="230"/>
        <v/>
      </c>
      <c r="L2905" s="7" t="str">
        <f t="shared" si="231"/>
        <v/>
      </c>
      <c r="M2905" s="7" t="str">
        <f t="shared" si="228"/>
        <v/>
      </c>
      <c r="N2905" s="7" t="str">
        <f t="shared" si="232"/>
        <v/>
      </c>
      <c r="O2905" s="8"/>
      <c r="P2905" s="26"/>
      <c r="S2905" s="10" t="str">
        <f t="shared" si="229"/>
        <v/>
      </c>
    </row>
    <row r="2906" spans="5:19" x14ac:dyDescent="0.3">
      <c r="E2906" s="9" t="str">
        <f>IF(DADOS!C2906="","",DADOS!C2906)</f>
        <v/>
      </c>
      <c r="F2906" s="9" t="str">
        <f>IF(DADOS!E2906="","",DADOS!E2906)</f>
        <v/>
      </c>
      <c r="G2906" s="9" t="str">
        <f>IF(DADOS!F2906="","",DADOS!F2906)</f>
        <v/>
      </c>
      <c r="K2906" s="6" t="str">
        <f t="shared" si="230"/>
        <v/>
      </c>
      <c r="L2906" s="7" t="str">
        <f t="shared" si="231"/>
        <v/>
      </c>
      <c r="M2906" s="7" t="str">
        <f t="shared" si="228"/>
        <v/>
      </c>
      <c r="N2906" s="7" t="str">
        <f t="shared" si="232"/>
        <v/>
      </c>
      <c r="O2906" s="8"/>
      <c r="P2906" s="26"/>
      <c r="S2906" s="10" t="str">
        <f t="shared" si="229"/>
        <v/>
      </c>
    </row>
    <row r="2907" spans="5:19" x14ac:dyDescent="0.3">
      <c r="E2907" s="9" t="str">
        <f>IF(DADOS!C2907="","",DADOS!C2907)</f>
        <v/>
      </c>
      <c r="F2907" s="9" t="str">
        <f>IF(DADOS!E2907="","",DADOS!E2907)</f>
        <v/>
      </c>
      <c r="G2907" s="9" t="str">
        <f>IF(DADOS!F2907="","",DADOS!F2907)</f>
        <v/>
      </c>
      <c r="K2907" s="6" t="str">
        <f t="shared" si="230"/>
        <v/>
      </c>
      <c r="L2907" s="7" t="str">
        <f t="shared" si="231"/>
        <v/>
      </c>
      <c r="M2907" s="7" t="str">
        <f t="shared" si="228"/>
        <v/>
      </c>
      <c r="N2907" s="7" t="str">
        <f t="shared" si="232"/>
        <v/>
      </c>
      <c r="O2907" s="8"/>
      <c r="P2907" s="26"/>
      <c r="S2907" s="10" t="str">
        <f t="shared" si="229"/>
        <v/>
      </c>
    </row>
    <row r="2908" spans="5:19" x14ac:dyDescent="0.3">
      <c r="E2908" s="9" t="str">
        <f>IF(DADOS!C2908="","",DADOS!C2908)</f>
        <v/>
      </c>
      <c r="F2908" s="9" t="str">
        <f>IF(DADOS!E2908="","",DADOS!E2908)</f>
        <v/>
      </c>
      <c r="G2908" s="9" t="str">
        <f>IF(DADOS!F2908="","",DADOS!F2908)</f>
        <v/>
      </c>
      <c r="K2908" s="6" t="str">
        <f t="shared" si="230"/>
        <v/>
      </c>
      <c r="L2908" s="7" t="str">
        <f t="shared" si="231"/>
        <v/>
      </c>
      <c r="M2908" s="7" t="str">
        <f t="shared" si="228"/>
        <v/>
      </c>
      <c r="N2908" s="7" t="str">
        <f t="shared" si="232"/>
        <v/>
      </c>
      <c r="O2908" s="8"/>
      <c r="P2908" s="26"/>
      <c r="S2908" s="10" t="str">
        <f t="shared" si="229"/>
        <v/>
      </c>
    </row>
    <row r="2909" spans="5:19" x14ac:dyDescent="0.3">
      <c r="E2909" s="9" t="str">
        <f>IF(DADOS!C2909="","",DADOS!C2909)</f>
        <v/>
      </c>
      <c r="F2909" s="9" t="str">
        <f>IF(DADOS!E2909="","",DADOS!E2909)</f>
        <v/>
      </c>
      <c r="G2909" s="9" t="str">
        <f>IF(DADOS!F2909="","",DADOS!F2909)</f>
        <v/>
      </c>
      <c r="K2909" s="6" t="str">
        <f t="shared" si="230"/>
        <v/>
      </c>
      <c r="L2909" s="7" t="str">
        <f t="shared" si="231"/>
        <v/>
      </c>
      <c r="M2909" s="7" t="str">
        <f t="shared" si="228"/>
        <v/>
      </c>
      <c r="N2909" s="7" t="str">
        <f t="shared" si="232"/>
        <v/>
      </c>
      <c r="O2909" s="8"/>
      <c r="P2909" s="26"/>
      <c r="S2909" s="10" t="str">
        <f t="shared" si="229"/>
        <v/>
      </c>
    </row>
    <row r="2910" spans="5:19" x14ac:dyDescent="0.3">
      <c r="E2910" s="9" t="str">
        <f>IF(DADOS!C2910="","",DADOS!C2910)</f>
        <v/>
      </c>
      <c r="F2910" s="9" t="str">
        <f>IF(DADOS!E2910="","",DADOS!E2910)</f>
        <v/>
      </c>
      <c r="G2910" s="9" t="str">
        <f>IF(DADOS!F2910="","",DADOS!F2910)</f>
        <v/>
      </c>
      <c r="K2910" s="6" t="str">
        <f t="shared" si="230"/>
        <v/>
      </c>
      <c r="L2910" s="7" t="str">
        <f t="shared" si="231"/>
        <v/>
      </c>
      <c r="M2910" s="7" t="str">
        <f t="shared" si="228"/>
        <v/>
      </c>
      <c r="N2910" s="7" t="str">
        <f t="shared" si="232"/>
        <v/>
      </c>
      <c r="O2910" s="8"/>
      <c r="P2910" s="26"/>
      <c r="S2910" s="10" t="str">
        <f t="shared" si="229"/>
        <v/>
      </c>
    </row>
    <row r="2911" spans="5:19" x14ac:dyDescent="0.3">
      <c r="E2911" s="9" t="str">
        <f>IF(DADOS!C2911="","",DADOS!C2911)</f>
        <v/>
      </c>
      <c r="F2911" s="9" t="str">
        <f>IF(DADOS!E2911="","",DADOS!E2911)</f>
        <v/>
      </c>
      <c r="G2911" s="9" t="str">
        <f>IF(DADOS!F2911="","",DADOS!F2911)</f>
        <v/>
      </c>
      <c r="K2911" s="6" t="str">
        <f t="shared" si="230"/>
        <v/>
      </c>
      <c r="L2911" s="7" t="str">
        <f t="shared" si="231"/>
        <v/>
      </c>
      <c r="M2911" s="7" t="str">
        <f t="shared" si="228"/>
        <v/>
      </c>
      <c r="N2911" s="7" t="str">
        <f t="shared" si="232"/>
        <v/>
      </c>
      <c r="O2911" s="8"/>
      <c r="P2911" s="26"/>
      <c r="S2911" s="10" t="str">
        <f t="shared" si="229"/>
        <v/>
      </c>
    </row>
    <row r="2912" spans="5:19" x14ac:dyDescent="0.3">
      <c r="E2912" s="9" t="str">
        <f>IF(DADOS!C2912="","",DADOS!C2912)</f>
        <v/>
      </c>
      <c r="F2912" s="9" t="str">
        <f>IF(DADOS!E2912="","",DADOS!E2912)</f>
        <v/>
      </c>
      <c r="G2912" s="9" t="str">
        <f>IF(DADOS!F2912="","",DADOS!F2912)</f>
        <v/>
      </c>
      <c r="K2912" s="6" t="str">
        <f t="shared" si="230"/>
        <v/>
      </c>
      <c r="L2912" s="7" t="str">
        <f t="shared" si="231"/>
        <v/>
      </c>
      <c r="M2912" s="7" t="str">
        <f t="shared" si="228"/>
        <v/>
      </c>
      <c r="N2912" s="7" t="str">
        <f t="shared" si="232"/>
        <v/>
      </c>
      <c r="O2912" s="8"/>
      <c r="P2912" s="26"/>
      <c r="S2912" s="10" t="str">
        <f t="shared" si="229"/>
        <v/>
      </c>
    </row>
    <row r="2913" spans="5:19" x14ac:dyDescent="0.3">
      <c r="E2913" s="9" t="str">
        <f>IF(DADOS!C2913="","",DADOS!C2913)</f>
        <v/>
      </c>
      <c r="F2913" s="9" t="str">
        <f>IF(DADOS!E2913="","",DADOS!E2913)</f>
        <v/>
      </c>
      <c r="G2913" s="9" t="str">
        <f>IF(DADOS!F2913="","",DADOS!F2913)</f>
        <v/>
      </c>
      <c r="K2913" s="6" t="str">
        <f t="shared" si="230"/>
        <v/>
      </c>
      <c r="L2913" s="7" t="str">
        <f t="shared" si="231"/>
        <v/>
      </c>
      <c r="M2913" s="7" t="str">
        <f t="shared" si="228"/>
        <v/>
      </c>
      <c r="N2913" s="7" t="str">
        <f t="shared" si="232"/>
        <v/>
      </c>
      <c r="O2913" s="8"/>
      <c r="P2913" s="26"/>
      <c r="S2913" s="10" t="str">
        <f t="shared" si="229"/>
        <v/>
      </c>
    </row>
    <row r="2914" spans="5:19" x14ac:dyDescent="0.3">
      <c r="E2914" s="9" t="str">
        <f>IF(DADOS!C2914="","",DADOS!C2914)</f>
        <v/>
      </c>
      <c r="F2914" s="9" t="str">
        <f>IF(DADOS!E2914="","",DADOS!E2914)</f>
        <v/>
      </c>
      <c r="G2914" s="9" t="str">
        <f>IF(DADOS!F2914="","",DADOS!F2914)</f>
        <v/>
      </c>
      <c r="K2914" s="6" t="str">
        <f t="shared" si="230"/>
        <v/>
      </c>
      <c r="L2914" s="7" t="str">
        <f t="shared" si="231"/>
        <v/>
      </c>
      <c r="M2914" s="7" t="str">
        <f t="shared" si="228"/>
        <v/>
      </c>
      <c r="N2914" s="7" t="str">
        <f t="shared" si="232"/>
        <v/>
      </c>
      <c r="O2914" s="8"/>
      <c r="P2914" s="26"/>
      <c r="S2914" s="10" t="str">
        <f t="shared" si="229"/>
        <v/>
      </c>
    </row>
    <row r="2915" spans="5:19" x14ac:dyDescent="0.3">
      <c r="E2915" s="9" t="str">
        <f>IF(DADOS!C2915="","",DADOS!C2915)</f>
        <v/>
      </c>
      <c r="F2915" s="9" t="str">
        <f>IF(DADOS!E2915="","",DADOS!E2915)</f>
        <v/>
      </c>
      <c r="G2915" s="9" t="str">
        <f>IF(DADOS!F2915="","",DADOS!F2915)</f>
        <v/>
      </c>
      <c r="K2915" s="6" t="str">
        <f t="shared" si="230"/>
        <v/>
      </c>
      <c r="L2915" s="7" t="str">
        <f t="shared" si="231"/>
        <v/>
      </c>
      <c r="M2915" s="7" t="str">
        <f t="shared" si="228"/>
        <v/>
      </c>
      <c r="N2915" s="7" t="str">
        <f t="shared" si="232"/>
        <v/>
      </c>
      <c r="O2915" s="8"/>
      <c r="P2915" s="26"/>
      <c r="S2915" s="10" t="str">
        <f t="shared" si="229"/>
        <v/>
      </c>
    </row>
    <row r="2916" spans="5:19" x14ac:dyDescent="0.3">
      <c r="E2916" s="9" t="str">
        <f>IF(DADOS!C2916="","",DADOS!C2916)</f>
        <v/>
      </c>
      <c r="F2916" s="9" t="str">
        <f>IF(DADOS!E2916="","",DADOS!E2916)</f>
        <v/>
      </c>
      <c r="G2916" s="9" t="str">
        <f>IF(DADOS!F2916="","",DADOS!F2916)</f>
        <v/>
      </c>
      <c r="K2916" s="6" t="str">
        <f t="shared" si="230"/>
        <v/>
      </c>
      <c r="L2916" s="7" t="str">
        <f t="shared" si="231"/>
        <v/>
      </c>
      <c r="M2916" s="7" t="str">
        <f t="shared" si="228"/>
        <v/>
      </c>
      <c r="N2916" s="7" t="str">
        <f t="shared" si="232"/>
        <v/>
      </c>
      <c r="O2916" s="8"/>
      <c r="P2916" s="26"/>
      <c r="S2916" s="10" t="str">
        <f t="shared" si="229"/>
        <v/>
      </c>
    </row>
    <row r="2917" spans="5:19" x14ac:dyDescent="0.3">
      <c r="E2917" s="9" t="str">
        <f>IF(DADOS!C2917="","",DADOS!C2917)</f>
        <v/>
      </c>
      <c r="F2917" s="9" t="str">
        <f>IF(DADOS!E2917="","",DADOS!E2917)</f>
        <v/>
      </c>
      <c r="G2917" s="9" t="str">
        <f>IF(DADOS!F2917="","",DADOS!F2917)</f>
        <v/>
      </c>
      <c r="K2917" s="6" t="str">
        <f t="shared" si="230"/>
        <v/>
      </c>
      <c r="L2917" s="7" t="str">
        <f t="shared" si="231"/>
        <v/>
      </c>
      <c r="M2917" s="7" t="str">
        <f t="shared" si="228"/>
        <v/>
      </c>
      <c r="N2917" s="7" t="str">
        <f t="shared" si="232"/>
        <v/>
      </c>
      <c r="O2917" s="8"/>
      <c r="P2917" s="26"/>
      <c r="S2917" s="10" t="str">
        <f t="shared" si="229"/>
        <v/>
      </c>
    </row>
    <row r="2918" spans="5:19" x14ac:dyDescent="0.3">
      <c r="E2918" s="9" t="str">
        <f>IF(DADOS!C2918="","",DADOS!C2918)</f>
        <v/>
      </c>
      <c r="F2918" s="9" t="str">
        <f>IF(DADOS!E2918="","",DADOS!E2918)</f>
        <v/>
      </c>
      <c r="G2918" s="9" t="str">
        <f>IF(DADOS!F2918="","",DADOS!F2918)</f>
        <v/>
      </c>
      <c r="K2918" s="6" t="str">
        <f t="shared" si="230"/>
        <v/>
      </c>
      <c r="L2918" s="7" t="str">
        <f t="shared" si="231"/>
        <v/>
      </c>
      <c r="M2918" s="7" t="str">
        <f t="shared" si="228"/>
        <v/>
      </c>
      <c r="N2918" s="7" t="str">
        <f t="shared" si="232"/>
        <v/>
      </c>
      <c r="O2918" s="8"/>
      <c r="P2918" s="26"/>
      <c r="S2918" s="10" t="str">
        <f t="shared" si="229"/>
        <v/>
      </c>
    </row>
    <row r="2919" spans="5:19" x14ac:dyDescent="0.3">
      <c r="E2919" s="9" t="str">
        <f>IF(DADOS!C2919="","",DADOS!C2919)</f>
        <v/>
      </c>
      <c r="F2919" s="9" t="str">
        <f>IF(DADOS!E2919="","",DADOS!E2919)</f>
        <v/>
      </c>
      <c r="G2919" s="9" t="str">
        <f>IF(DADOS!F2919="","",DADOS!F2919)</f>
        <v/>
      </c>
      <c r="K2919" s="6" t="str">
        <f t="shared" si="230"/>
        <v/>
      </c>
      <c r="L2919" s="7" t="str">
        <f t="shared" si="231"/>
        <v/>
      </c>
      <c r="M2919" s="7" t="str">
        <f t="shared" si="228"/>
        <v/>
      </c>
      <c r="N2919" s="7" t="str">
        <f t="shared" si="232"/>
        <v/>
      </c>
      <c r="O2919" s="8"/>
      <c r="P2919" s="26"/>
      <c r="S2919" s="10" t="str">
        <f t="shared" si="229"/>
        <v/>
      </c>
    </row>
    <row r="2920" spans="5:19" x14ac:dyDescent="0.3">
      <c r="E2920" s="9" t="str">
        <f>IF(DADOS!C2920="","",DADOS!C2920)</f>
        <v/>
      </c>
      <c r="F2920" s="9" t="str">
        <f>IF(DADOS!E2920="","",DADOS!E2920)</f>
        <v/>
      </c>
      <c r="G2920" s="9" t="str">
        <f>IF(DADOS!F2920="","",DADOS!F2920)</f>
        <v/>
      </c>
      <c r="K2920" s="6" t="str">
        <f t="shared" si="230"/>
        <v/>
      </c>
      <c r="L2920" s="7" t="str">
        <f t="shared" si="231"/>
        <v/>
      </c>
      <c r="M2920" s="7" t="str">
        <f t="shared" si="228"/>
        <v/>
      </c>
      <c r="N2920" s="7" t="str">
        <f t="shared" si="232"/>
        <v/>
      </c>
      <c r="O2920" s="8"/>
      <c r="P2920" s="26"/>
      <c r="S2920" s="10" t="str">
        <f t="shared" si="229"/>
        <v/>
      </c>
    </row>
    <row r="2921" spans="5:19" x14ac:dyDescent="0.3">
      <c r="E2921" s="9" t="str">
        <f>IF(DADOS!C2921="","",DADOS!C2921)</f>
        <v/>
      </c>
      <c r="F2921" s="9" t="str">
        <f>IF(DADOS!E2921="","",DADOS!E2921)</f>
        <v/>
      </c>
      <c r="G2921" s="9" t="str">
        <f>IF(DADOS!F2921="","",DADOS!F2921)</f>
        <v/>
      </c>
      <c r="K2921" s="6" t="str">
        <f t="shared" si="230"/>
        <v/>
      </c>
      <c r="L2921" s="7" t="str">
        <f t="shared" si="231"/>
        <v/>
      </c>
      <c r="M2921" s="7" t="str">
        <f t="shared" si="228"/>
        <v/>
      </c>
      <c r="N2921" s="7" t="str">
        <f t="shared" si="232"/>
        <v/>
      </c>
      <c r="O2921" s="8"/>
      <c r="P2921" s="26"/>
      <c r="S2921" s="10" t="str">
        <f t="shared" si="229"/>
        <v/>
      </c>
    </row>
    <row r="2922" spans="5:19" x14ac:dyDescent="0.3">
      <c r="E2922" s="9" t="str">
        <f>IF(DADOS!C2922="","",DADOS!C2922)</f>
        <v/>
      </c>
      <c r="F2922" s="9" t="str">
        <f>IF(DADOS!E2922="","",DADOS!E2922)</f>
        <v/>
      </c>
      <c r="G2922" s="9" t="str">
        <f>IF(DADOS!F2922="","",DADOS!F2922)</f>
        <v/>
      </c>
      <c r="K2922" s="6" t="str">
        <f t="shared" si="230"/>
        <v/>
      </c>
      <c r="L2922" s="7" t="str">
        <f t="shared" si="231"/>
        <v/>
      </c>
      <c r="M2922" s="7" t="str">
        <f t="shared" si="228"/>
        <v/>
      </c>
      <c r="N2922" s="7" t="str">
        <f t="shared" si="232"/>
        <v/>
      </c>
      <c r="O2922" s="8"/>
      <c r="P2922" s="26"/>
      <c r="S2922" s="10" t="str">
        <f t="shared" si="229"/>
        <v/>
      </c>
    </row>
    <row r="2923" spans="5:19" x14ac:dyDescent="0.3">
      <c r="E2923" s="9" t="str">
        <f>IF(DADOS!C2923="","",DADOS!C2923)</f>
        <v/>
      </c>
      <c r="F2923" s="9" t="str">
        <f>IF(DADOS!E2923="","",DADOS!E2923)</f>
        <v/>
      </c>
      <c r="G2923" s="9" t="str">
        <f>IF(DADOS!F2923="","",DADOS!F2923)</f>
        <v/>
      </c>
      <c r="K2923" s="6" t="str">
        <f t="shared" si="230"/>
        <v/>
      </c>
      <c r="L2923" s="7" t="str">
        <f t="shared" si="231"/>
        <v/>
      </c>
      <c r="M2923" s="7" t="str">
        <f t="shared" si="228"/>
        <v/>
      </c>
      <c r="N2923" s="7" t="str">
        <f t="shared" si="232"/>
        <v/>
      </c>
      <c r="O2923" s="8"/>
      <c r="P2923" s="26"/>
      <c r="S2923" s="10" t="str">
        <f t="shared" si="229"/>
        <v/>
      </c>
    </row>
    <row r="2924" spans="5:19" x14ac:dyDescent="0.3">
      <c r="E2924" s="9" t="str">
        <f>IF(DADOS!C2924="","",DADOS!C2924)</f>
        <v/>
      </c>
      <c r="F2924" s="9" t="str">
        <f>IF(DADOS!E2924="","",DADOS!E2924)</f>
        <v/>
      </c>
      <c r="G2924" s="9" t="str">
        <f>IF(DADOS!F2924="","",DADOS!F2924)</f>
        <v/>
      </c>
      <c r="K2924" s="6" t="str">
        <f t="shared" si="230"/>
        <v/>
      </c>
      <c r="L2924" s="7" t="str">
        <f t="shared" si="231"/>
        <v/>
      </c>
      <c r="M2924" s="7" t="str">
        <f t="shared" si="228"/>
        <v/>
      </c>
      <c r="N2924" s="7" t="str">
        <f t="shared" si="232"/>
        <v/>
      </c>
      <c r="O2924" s="8"/>
      <c r="P2924" s="26"/>
      <c r="S2924" s="10" t="str">
        <f t="shared" si="229"/>
        <v/>
      </c>
    </row>
    <row r="2925" spans="5:19" x14ac:dyDescent="0.3">
      <c r="E2925" s="9" t="str">
        <f>IF(DADOS!C2925="","",DADOS!C2925)</f>
        <v/>
      </c>
      <c r="F2925" s="9" t="str">
        <f>IF(DADOS!E2925="","",DADOS!E2925)</f>
        <v/>
      </c>
      <c r="G2925" s="9" t="str">
        <f>IF(DADOS!F2925="","",DADOS!F2925)</f>
        <v/>
      </c>
      <c r="K2925" s="6" t="str">
        <f t="shared" si="230"/>
        <v/>
      </c>
      <c r="L2925" s="7" t="str">
        <f t="shared" si="231"/>
        <v/>
      </c>
      <c r="M2925" s="7" t="str">
        <f t="shared" si="228"/>
        <v/>
      </c>
      <c r="N2925" s="7" t="str">
        <f t="shared" si="232"/>
        <v/>
      </c>
      <c r="O2925" s="8"/>
      <c r="P2925" s="26"/>
      <c r="S2925" s="10" t="str">
        <f t="shared" si="229"/>
        <v/>
      </c>
    </row>
    <row r="2926" spans="5:19" x14ac:dyDescent="0.3">
      <c r="E2926" s="9" t="str">
        <f>IF(DADOS!C2926="","",DADOS!C2926)</f>
        <v/>
      </c>
      <c r="F2926" s="9" t="str">
        <f>IF(DADOS!E2926="","",DADOS!E2926)</f>
        <v/>
      </c>
      <c r="G2926" s="9" t="str">
        <f>IF(DADOS!F2926="","",DADOS!F2926)</f>
        <v/>
      </c>
      <c r="K2926" s="6" t="str">
        <f t="shared" si="230"/>
        <v/>
      </c>
      <c r="L2926" s="7" t="str">
        <f t="shared" si="231"/>
        <v/>
      </c>
      <c r="M2926" s="7" t="str">
        <f t="shared" si="228"/>
        <v/>
      </c>
      <c r="N2926" s="7" t="str">
        <f t="shared" si="232"/>
        <v/>
      </c>
      <c r="O2926" s="8"/>
      <c r="P2926" s="26"/>
      <c r="S2926" s="10" t="str">
        <f t="shared" si="229"/>
        <v/>
      </c>
    </row>
    <row r="2927" spans="5:19" x14ac:dyDescent="0.3">
      <c r="E2927" s="9" t="str">
        <f>IF(DADOS!C2927="","",DADOS!C2927)</f>
        <v/>
      </c>
      <c r="F2927" s="9" t="str">
        <f>IF(DADOS!E2927="","",DADOS!E2927)</f>
        <v/>
      </c>
      <c r="G2927" s="9" t="str">
        <f>IF(DADOS!F2927="","",DADOS!F2927)</f>
        <v/>
      </c>
      <c r="K2927" s="6" t="str">
        <f t="shared" si="230"/>
        <v/>
      </c>
      <c r="L2927" s="7" t="str">
        <f t="shared" si="231"/>
        <v/>
      </c>
      <c r="M2927" s="7" t="str">
        <f t="shared" si="228"/>
        <v/>
      </c>
      <c r="N2927" s="7" t="str">
        <f t="shared" si="232"/>
        <v/>
      </c>
      <c r="O2927" s="8"/>
      <c r="P2927" s="26"/>
      <c r="S2927" s="10" t="str">
        <f t="shared" si="229"/>
        <v/>
      </c>
    </row>
    <row r="2928" spans="5:19" x14ac:dyDescent="0.3">
      <c r="E2928" s="9" t="str">
        <f>IF(DADOS!C2928="","",DADOS!C2928)</f>
        <v/>
      </c>
      <c r="F2928" s="9" t="str">
        <f>IF(DADOS!E2928="","",DADOS!E2928)</f>
        <v/>
      </c>
      <c r="G2928" s="9" t="str">
        <f>IF(DADOS!F2928="","",DADOS!F2928)</f>
        <v/>
      </c>
      <c r="K2928" s="6" t="str">
        <f t="shared" si="230"/>
        <v/>
      </c>
      <c r="L2928" s="7" t="str">
        <f t="shared" si="231"/>
        <v/>
      </c>
      <c r="M2928" s="7" t="str">
        <f t="shared" si="228"/>
        <v/>
      </c>
      <c r="N2928" s="7" t="str">
        <f t="shared" si="232"/>
        <v/>
      </c>
      <c r="O2928" s="8"/>
      <c r="P2928" s="26"/>
      <c r="S2928" s="10" t="str">
        <f t="shared" si="229"/>
        <v/>
      </c>
    </row>
    <row r="2929" spans="5:19" x14ac:dyDescent="0.3">
      <c r="E2929" s="9" t="str">
        <f>IF(DADOS!C2929="","",DADOS!C2929)</f>
        <v/>
      </c>
      <c r="F2929" s="9" t="str">
        <f>IF(DADOS!E2929="","",DADOS!E2929)</f>
        <v/>
      </c>
      <c r="G2929" s="9" t="str">
        <f>IF(DADOS!F2929="","",DADOS!F2929)</f>
        <v/>
      </c>
      <c r="K2929" s="6" t="str">
        <f t="shared" si="230"/>
        <v/>
      </c>
      <c r="L2929" s="7" t="str">
        <f t="shared" si="231"/>
        <v/>
      </c>
      <c r="M2929" s="7" t="str">
        <f t="shared" si="228"/>
        <v/>
      </c>
      <c r="N2929" s="7" t="str">
        <f t="shared" si="232"/>
        <v/>
      </c>
      <c r="O2929" s="8"/>
      <c r="P2929" s="26"/>
      <c r="S2929" s="10" t="str">
        <f t="shared" si="229"/>
        <v/>
      </c>
    </row>
    <row r="2930" spans="5:19" x14ac:dyDescent="0.3">
      <c r="E2930" s="9" t="str">
        <f>IF(DADOS!C2930="","",DADOS!C2930)</f>
        <v/>
      </c>
      <c r="F2930" s="9" t="str">
        <f>IF(DADOS!E2930="","",DADOS!E2930)</f>
        <v/>
      </c>
      <c r="G2930" s="9" t="str">
        <f>IF(DADOS!F2930="","",DADOS!F2930)</f>
        <v/>
      </c>
      <c r="K2930" s="6" t="str">
        <f t="shared" si="230"/>
        <v/>
      </c>
      <c r="L2930" s="7" t="str">
        <f t="shared" si="231"/>
        <v/>
      </c>
      <c r="M2930" s="7" t="str">
        <f t="shared" si="228"/>
        <v/>
      </c>
      <c r="N2930" s="7" t="str">
        <f t="shared" si="232"/>
        <v/>
      </c>
      <c r="O2930" s="8"/>
      <c r="P2930" s="26"/>
      <c r="S2930" s="10" t="str">
        <f t="shared" si="229"/>
        <v/>
      </c>
    </row>
    <row r="2931" spans="5:19" x14ac:dyDescent="0.3">
      <c r="E2931" s="9" t="str">
        <f>IF(DADOS!C2931="","",DADOS!C2931)</f>
        <v/>
      </c>
      <c r="F2931" s="9" t="str">
        <f>IF(DADOS!E2931="","",DADOS!E2931)</f>
        <v/>
      </c>
      <c r="G2931" s="9" t="str">
        <f>IF(DADOS!F2931="","",DADOS!F2931)</f>
        <v/>
      </c>
      <c r="K2931" s="6" t="str">
        <f t="shared" si="230"/>
        <v/>
      </c>
      <c r="L2931" s="7" t="str">
        <f t="shared" si="231"/>
        <v/>
      </c>
      <c r="M2931" s="7" t="str">
        <f t="shared" si="228"/>
        <v/>
      </c>
      <c r="N2931" s="7" t="str">
        <f t="shared" si="232"/>
        <v/>
      </c>
      <c r="O2931" s="8"/>
      <c r="P2931" s="26"/>
      <c r="S2931" s="10" t="str">
        <f t="shared" si="229"/>
        <v/>
      </c>
    </row>
    <row r="2932" spans="5:19" x14ac:dyDescent="0.3">
      <c r="E2932" s="9" t="str">
        <f>IF(DADOS!C2932="","",DADOS!C2932)</f>
        <v/>
      </c>
      <c r="F2932" s="9" t="str">
        <f>IF(DADOS!E2932="","",DADOS!E2932)</f>
        <v/>
      </c>
      <c r="G2932" s="9" t="str">
        <f>IF(DADOS!F2932="","",DADOS!F2932)</f>
        <v/>
      </c>
      <c r="K2932" s="6" t="str">
        <f t="shared" si="230"/>
        <v/>
      </c>
      <c r="L2932" s="7" t="str">
        <f t="shared" si="231"/>
        <v/>
      </c>
      <c r="M2932" s="7" t="str">
        <f t="shared" si="228"/>
        <v/>
      </c>
      <c r="N2932" s="7" t="str">
        <f t="shared" si="232"/>
        <v/>
      </c>
      <c r="O2932" s="8"/>
      <c r="P2932" s="26"/>
      <c r="S2932" s="10" t="str">
        <f t="shared" si="229"/>
        <v/>
      </c>
    </row>
    <row r="2933" spans="5:19" x14ac:dyDescent="0.3">
      <c r="E2933" s="9" t="str">
        <f>IF(DADOS!C2933="","",DADOS!C2933)</f>
        <v/>
      </c>
      <c r="F2933" s="9" t="str">
        <f>IF(DADOS!E2933="","",DADOS!E2933)</f>
        <v/>
      </c>
      <c r="G2933" s="9" t="str">
        <f>IF(DADOS!F2933="","",DADOS!F2933)</f>
        <v/>
      </c>
      <c r="K2933" s="6" t="str">
        <f t="shared" si="230"/>
        <v/>
      </c>
      <c r="L2933" s="7" t="str">
        <f t="shared" si="231"/>
        <v/>
      </c>
      <c r="M2933" s="7" t="str">
        <f t="shared" si="228"/>
        <v/>
      </c>
      <c r="N2933" s="7" t="str">
        <f t="shared" si="232"/>
        <v/>
      </c>
      <c r="O2933" s="8"/>
      <c r="P2933" s="26"/>
      <c r="S2933" s="10" t="str">
        <f t="shared" si="229"/>
        <v/>
      </c>
    </row>
    <row r="2934" spans="5:19" x14ac:dyDescent="0.3">
      <c r="E2934" s="9" t="str">
        <f>IF(DADOS!C2934="","",DADOS!C2934)</f>
        <v/>
      </c>
      <c r="F2934" s="9" t="str">
        <f>IF(DADOS!E2934="","",DADOS!E2934)</f>
        <v/>
      </c>
      <c r="G2934" s="9" t="str">
        <f>IF(DADOS!F2934="","",DADOS!F2934)</f>
        <v/>
      </c>
      <c r="K2934" s="6" t="str">
        <f t="shared" si="230"/>
        <v/>
      </c>
      <c r="L2934" s="7" t="str">
        <f t="shared" si="231"/>
        <v/>
      </c>
      <c r="M2934" s="7" t="str">
        <f t="shared" si="228"/>
        <v/>
      </c>
      <c r="N2934" s="7" t="str">
        <f t="shared" si="232"/>
        <v/>
      </c>
      <c r="O2934" s="8"/>
      <c r="P2934" s="26"/>
      <c r="S2934" s="10" t="str">
        <f t="shared" si="229"/>
        <v/>
      </c>
    </row>
    <row r="2935" spans="5:19" x14ac:dyDescent="0.3">
      <c r="E2935" s="9" t="str">
        <f>IF(DADOS!C2935="","",DADOS!C2935)</f>
        <v/>
      </c>
      <c r="F2935" s="9" t="str">
        <f>IF(DADOS!E2935="","",DADOS!E2935)</f>
        <v/>
      </c>
      <c r="G2935" s="9" t="str">
        <f>IF(DADOS!F2935="","",DADOS!F2935)</f>
        <v/>
      </c>
      <c r="K2935" s="6" t="str">
        <f t="shared" si="230"/>
        <v/>
      </c>
      <c r="L2935" s="7" t="str">
        <f t="shared" si="231"/>
        <v/>
      </c>
      <c r="M2935" s="7" t="str">
        <f t="shared" si="228"/>
        <v/>
      </c>
      <c r="N2935" s="7" t="str">
        <f t="shared" si="232"/>
        <v/>
      </c>
      <c r="O2935" s="8"/>
      <c r="P2935" s="26"/>
      <c r="S2935" s="10" t="str">
        <f t="shared" si="229"/>
        <v/>
      </c>
    </row>
    <row r="2936" spans="5:19" x14ac:dyDescent="0.3">
      <c r="E2936" s="9" t="str">
        <f>IF(DADOS!C2936="","",DADOS!C2936)</f>
        <v/>
      </c>
      <c r="F2936" s="9" t="str">
        <f>IF(DADOS!E2936="","",DADOS!E2936)</f>
        <v/>
      </c>
      <c r="G2936" s="9" t="str">
        <f>IF(DADOS!F2936="","",DADOS!F2936)</f>
        <v/>
      </c>
      <c r="K2936" s="6" t="str">
        <f t="shared" si="230"/>
        <v/>
      </c>
      <c r="L2936" s="7" t="str">
        <f t="shared" si="231"/>
        <v/>
      </c>
      <c r="M2936" s="7" t="str">
        <f t="shared" si="228"/>
        <v/>
      </c>
      <c r="N2936" s="7" t="str">
        <f t="shared" si="232"/>
        <v/>
      </c>
      <c r="O2936" s="8"/>
      <c r="P2936" s="26"/>
      <c r="S2936" s="10" t="str">
        <f t="shared" si="229"/>
        <v/>
      </c>
    </row>
    <row r="2937" spans="5:19" x14ac:dyDescent="0.3">
      <c r="E2937" s="9" t="str">
        <f>IF(DADOS!C2937="","",DADOS!C2937)</f>
        <v/>
      </c>
      <c r="F2937" s="9" t="str">
        <f>IF(DADOS!E2937="","",DADOS!E2937)</f>
        <v/>
      </c>
      <c r="G2937" s="9" t="str">
        <f>IF(DADOS!F2937="","",DADOS!F2937)</f>
        <v/>
      </c>
      <c r="K2937" s="6" t="str">
        <f t="shared" si="230"/>
        <v/>
      </c>
      <c r="L2937" s="7" t="str">
        <f t="shared" si="231"/>
        <v/>
      </c>
      <c r="M2937" s="7" t="str">
        <f t="shared" si="228"/>
        <v/>
      </c>
      <c r="N2937" s="7" t="str">
        <f t="shared" si="232"/>
        <v/>
      </c>
      <c r="O2937" s="8"/>
      <c r="P2937" s="26"/>
      <c r="S2937" s="10" t="str">
        <f t="shared" si="229"/>
        <v/>
      </c>
    </row>
    <row r="2938" spans="5:19" x14ac:dyDescent="0.3">
      <c r="E2938" s="9" t="str">
        <f>IF(DADOS!C2938="","",DADOS!C2938)</f>
        <v/>
      </c>
      <c r="F2938" s="9" t="str">
        <f>IF(DADOS!E2938="","",DADOS!E2938)</f>
        <v/>
      </c>
      <c r="G2938" s="9" t="str">
        <f>IF(DADOS!F2938="","",DADOS!F2938)</f>
        <v/>
      </c>
      <c r="K2938" s="6" t="str">
        <f t="shared" si="230"/>
        <v/>
      </c>
      <c r="L2938" s="7" t="str">
        <f t="shared" si="231"/>
        <v/>
      </c>
      <c r="M2938" s="7" t="str">
        <f t="shared" si="228"/>
        <v/>
      </c>
      <c r="N2938" s="7" t="str">
        <f t="shared" si="232"/>
        <v/>
      </c>
      <c r="O2938" s="8"/>
      <c r="P2938" s="26"/>
      <c r="S2938" s="10" t="str">
        <f t="shared" si="229"/>
        <v/>
      </c>
    </row>
    <row r="2939" spans="5:19" x14ac:dyDescent="0.3">
      <c r="E2939" s="9" t="str">
        <f>IF(DADOS!C2939="","",DADOS!C2939)</f>
        <v/>
      </c>
      <c r="F2939" s="9" t="str">
        <f>IF(DADOS!E2939="","",DADOS!E2939)</f>
        <v/>
      </c>
      <c r="G2939" s="9" t="str">
        <f>IF(DADOS!F2939="","",DADOS!F2939)</f>
        <v/>
      </c>
      <c r="K2939" s="6" t="str">
        <f t="shared" si="230"/>
        <v/>
      </c>
      <c r="L2939" s="7" t="str">
        <f t="shared" si="231"/>
        <v/>
      </c>
      <c r="M2939" s="7" t="str">
        <f t="shared" si="228"/>
        <v/>
      </c>
      <c r="N2939" s="7" t="str">
        <f t="shared" si="232"/>
        <v/>
      </c>
      <c r="O2939" s="8"/>
      <c r="P2939" s="26"/>
      <c r="S2939" s="10" t="str">
        <f t="shared" si="229"/>
        <v/>
      </c>
    </row>
    <row r="2940" spans="5:19" x14ac:dyDescent="0.3">
      <c r="E2940" s="9" t="str">
        <f>IF(DADOS!C2940="","",DADOS!C2940)</f>
        <v/>
      </c>
      <c r="F2940" s="9" t="str">
        <f>IF(DADOS!E2940="","",DADOS!E2940)</f>
        <v/>
      </c>
      <c r="G2940" s="9" t="str">
        <f>IF(DADOS!F2940="","",DADOS!F2940)</f>
        <v/>
      </c>
      <c r="K2940" s="6" t="str">
        <f t="shared" si="230"/>
        <v/>
      </c>
      <c r="L2940" s="7" t="str">
        <f t="shared" si="231"/>
        <v/>
      </c>
      <c r="M2940" s="7" t="str">
        <f t="shared" si="228"/>
        <v/>
      </c>
      <c r="N2940" s="7" t="str">
        <f t="shared" si="232"/>
        <v/>
      </c>
      <c r="O2940" s="8"/>
      <c r="P2940" s="26"/>
      <c r="S2940" s="10" t="str">
        <f t="shared" si="229"/>
        <v/>
      </c>
    </row>
    <row r="2941" spans="5:19" x14ac:dyDescent="0.3">
      <c r="E2941" s="9" t="str">
        <f>IF(DADOS!C2941="","",DADOS!C2941)</f>
        <v/>
      </c>
      <c r="F2941" s="9" t="str">
        <f>IF(DADOS!E2941="","",DADOS!E2941)</f>
        <v/>
      </c>
      <c r="G2941" s="9" t="str">
        <f>IF(DADOS!F2941="","",DADOS!F2941)</f>
        <v/>
      </c>
      <c r="K2941" s="6" t="str">
        <f t="shared" si="230"/>
        <v/>
      </c>
      <c r="L2941" s="7" t="str">
        <f t="shared" si="231"/>
        <v/>
      </c>
      <c r="M2941" s="7" t="str">
        <f t="shared" si="228"/>
        <v/>
      </c>
      <c r="N2941" s="7" t="str">
        <f t="shared" si="232"/>
        <v/>
      </c>
      <c r="O2941" s="8"/>
      <c r="P2941" s="26"/>
      <c r="S2941" s="10" t="str">
        <f t="shared" si="229"/>
        <v/>
      </c>
    </row>
    <row r="2942" spans="5:19" x14ac:dyDescent="0.3">
      <c r="E2942" s="9" t="str">
        <f>IF(DADOS!C2942="","",DADOS!C2942)</f>
        <v/>
      </c>
      <c r="F2942" s="9" t="str">
        <f>IF(DADOS!E2942="","",DADOS!E2942)</f>
        <v/>
      </c>
      <c r="G2942" s="9" t="str">
        <f>IF(DADOS!F2942="","",DADOS!F2942)</f>
        <v/>
      </c>
      <c r="K2942" s="6" t="str">
        <f t="shared" si="230"/>
        <v/>
      </c>
      <c r="L2942" s="7" t="str">
        <f t="shared" si="231"/>
        <v/>
      </c>
      <c r="M2942" s="7" t="str">
        <f t="shared" si="228"/>
        <v/>
      </c>
      <c r="N2942" s="7" t="str">
        <f t="shared" si="232"/>
        <v/>
      </c>
      <c r="O2942" s="8"/>
      <c r="P2942" s="26"/>
      <c r="S2942" s="10" t="str">
        <f t="shared" si="229"/>
        <v/>
      </c>
    </row>
    <row r="2943" spans="5:19" x14ac:dyDescent="0.3">
      <c r="E2943" s="9" t="str">
        <f>IF(DADOS!C2943="","",DADOS!C2943)</f>
        <v/>
      </c>
      <c r="F2943" s="9" t="str">
        <f>IF(DADOS!E2943="","",DADOS!E2943)</f>
        <v/>
      </c>
      <c r="G2943" s="9" t="str">
        <f>IF(DADOS!F2943="","",DADOS!F2943)</f>
        <v/>
      </c>
      <c r="K2943" s="6" t="str">
        <f t="shared" si="230"/>
        <v/>
      </c>
      <c r="L2943" s="7" t="str">
        <f t="shared" si="231"/>
        <v/>
      </c>
      <c r="M2943" s="7" t="str">
        <f t="shared" si="228"/>
        <v/>
      </c>
      <c r="N2943" s="7" t="str">
        <f t="shared" si="232"/>
        <v/>
      </c>
      <c r="O2943" s="8"/>
      <c r="P2943" s="26"/>
      <c r="S2943" s="10" t="str">
        <f t="shared" si="229"/>
        <v/>
      </c>
    </row>
    <row r="2944" spans="5:19" x14ac:dyDescent="0.3">
      <c r="E2944" s="9" t="str">
        <f>IF(DADOS!C2944="","",DADOS!C2944)</f>
        <v/>
      </c>
      <c r="F2944" s="9" t="str">
        <f>IF(DADOS!E2944="","",DADOS!E2944)</f>
        <v/>
      </c>
      <c r="G2944" s="9" t="str">
        <f>IF(DADOS!F2944="","",DADOS!F2944)</f>
        <v/>
      </c>
      <c r="K2944" s="6" t="str">
        <f t="shared" si="230"/>
        <v/>
      </c>
      <c r="L2944" s="7" t="str">
        <f t="shared" si="231"/>
        <v/>
      </c>
      <c r="M2944" s="7" t="str">
        <f t="shared" si="228"/>
        <v/>
      </c>
      <c r="N2944" s="7" t="str">
        <f t="shared" si="232"/>
        <v/>
      </c>
      <c r="O2944" s="8"/>
      <c r="P2944" s="26"/>
      <c r="S2944" s="10" t="str">
        <f t="shared" si="229"/>
        <v/>
      </c>
    </row>
    <row r="2945" spans="5:19" x14ac:dyDescent="0.3">
      <c r="E2945" s="9" t="str">
        <f>IF(DADOS!C2945="","",DADOS!C2945)</f>
        <v/>
      </c>
      <c r="F2945" s="9" t="str">
        <f>IF(DADOS!E2945="","",DADOS!E2945)</f>
        <v/>
      </c>
      <c r="G2945" s="9" t="str">
        <f>IF(DADOS!F2945="","",DADOS!F2945)</f>
        <v/>
      </c>
      <c r="K2945" s="6" t="str">
        <f t="shared" si="230"/>
        <v/>
      </c>
      <c r="L2945" s="7" t="str">
        <f t="shared" si="231"/>
        <v/>
      </c>
      <c r="M2945" s="7" t="str">
        <f t="shared" si="228"/>
        <v/>
      </c>
      <c r="N2945" s="7" t="str">
        <f t="shared" si="232"/>
        <v/>
      </c>
      <c r="O2945" s="8"/>
      <c r="P2945" s="26"/>
      <c r="S2945" s="10" t="str">
        <f t="shared" si="229"/>
        <v/>
      </c>
    </row>
    <row r="2946" spans="5:19" x14ac:dyDescent="0.3">
      <c r="E2946" s="9" t="str">
        <f>IF(DADOS!C2946="","",DADOS!C2946)</f>
        <v/>
      </c>
      <c r="F2946" s="9" t="str">
        <f>IF(DADOS!E2946="","",DADOS!E2946)</f>
        <v/>
      </c>
      <c r="G2946" s="9" t="str">
        <f>IF(DADOS!F2946="","",DADOS!F2946)</f>
        <v/>
      </c>
      <c r="K2946" s="6" t="str">
        <f t="shared" si="230"/>
        <v/>
      </c>
      <c r="L2946" s="7" t="str">
        <f t="shared" si="231"/>
        <v/>
      </c>
      <c r="M2946" s="7" t="str">
        <f t="shared" si="228"/>
        <v/>
      </c>
      <c r="N2946" s="7" t="str">
        <f t="shared" si="232"/>
        <v/>
      </c>
      <c r="O2946" s="8"/>
      <c r="P2946" s="26"/>
      <c r="S2946" s="10" t="str">
        <f t="shared" si="229"/>
        <v/>
      </c>
    </row>
    <row r="2947" spans="5:19" x14ac:dyDescent="0.3">
      <c r="E2947" s="9" t="str">
        <f>IF(DADOS!C2947="","",DADOS!C2947)</f>
        <v/>
      </c>
      <c r="F2947" s="9" t="str">
        <f>IF(DADOS!E2947="","",DADOS!E2947)</f>
        <v/>
      </c>
      <c r="G2947" s="9" t="str">
        <f>IF(DADOS!F2947="","",DADOS!F2947)</f>
        <v/>
      </c>
      <c r="K2947" s="6" t="str">
        <f t="shared" si="230"/>
        <v/>
      </c>
      <c r="L2947" s="7" t="str">
        <f t="shared" si="231"/>
        <v/>
      </c>
      <c r="M2947" s="7" t="str">
        <f t="shared" ref="M2947:M3010" si="233">IF(L2947="","",L2947*G2947)</f>
        <v/>
      </c>
      <c r="N2947" s="7" t="str">
        <f t="shared" si="232"/>
        <v/>
      </c>
      <c r="O2947" s="8"/>
      <c r="P2947" s="26"/>
      <c r="S2947" s="10" t="str">
        <f t="shared" ref="S2947:S3010" si="234">IF(R2947="","",SUMIFS($N$3:$N$10000,$E$3:$E$10000,R2947))</f>
        <v/>
      </c>
    </row>
    <row r="2948" spans="5:19" x14ac:dyDescent="0.3">
      <c r="E2948" s="9" t="str">
        <f>IF(DADOS!C2948="","",DADOS!C2948)</f>
        <v/>
      </c>
      <c r="F2948" s="9" t="str">
        <f>IF(DADOS!E2948="","",DADOS!E2948)</f>
        <v/>
      </c>
      <c r="G2948" s="9" t="str">
        <f>IF(DADOS!F2948="","",DADOS!F2948)</f>
        <v/>
      </c>
      <c r="K2948" s="6" t="str">
        <f t="shared" ref="K2948:K3011" si="235">IF(F2948="","",F2948/PI())</f>
        <v/>
      </c>
      <c r="L2948" s="7" t="str">
        <f t="shared" ref="L2948:L3011" si="236">IF(K2948="","",(PI()*K2948^2)/40000)</f>
        <v/>
      </c>
      <c r="M2948" s="7" t="str">
        <f t="shared" si="233"/>
        <v/>
      </c>
      <c r="N2948" s="7" t="str">
        <f t="shared" ref="N2948:N3011" si="237">IF(M2948="","",M2948*N$1)</f>
        <v/>
      </c>
      <c r="O2948" s="8"/>
      <c r="P2948" s="26"/>
      <c r="S2948" s="10" t="str">
        <f t="shared" si="234"/>
        <v/>
      </c>
    </row>
    <row r="2949" spans="5:19" x14ac:dyDescent="0.3">
      <c r="E2949" s="9" t="str">
        <f>IF(DADOS!C2949="","",DADOS!C2949)</f>
        <v/>
      </c>
      <c r="F2949" s="9" t="str">
        <f>IF(DADOS!E2949="","",DADOS!E2949)</f>
        <v/>
      </c>
      <c r="G2949" s="9" t="str">
        <f>IF(DADOS!F2949="","",DADOS!F2949)</f>
        <v/>
      </c>
      <c r="K2949" s="6" t="str">
        <f t="shared" si="235"/>
        <v/>
      </c>
      <c r="L2949" s="7" t="str">
        <f t="shared" si="236"/>
        <v/>
      </c>
      <c r="M2949" s="7" t="str">
        <f t="shared" si="233"/>
        <v/>
      </c>
      <c r="N2949" s="7" t="str">
        <f t="shared" si="237"/>
        <v/>
      </c>
      <c r="O2949" s="8"/>
      <c r="P2949" s="26"/>
      <c r="S2949" s="10" t="str">
        <f t="shared" si="234"/>
        <v/>
      </c>
    </row>
    <row r="2950" spans="5:19" x14ac:dyDescent="0.3">
      <c r="E2950" s="9" t="str">
        <f>IF(DADOS!C2950="","",DADOS!C2950)</f>
        <v/>
      </c>
      <c r="F2950" s="9" t="str">
        <f>IF(DADOS!E2950="","",DADOS!E2950)</f>
        <v/>
      </c>
      <c r="G2950" s="9" t="str">
        <f>IF(DADOS!F2950="","",DADOS!F2950)</f>
        <v/>
      </c>
      <c r="K2950" s="6" t="str">
        <f t="shared" si="235"/>
        <v/>
      </c>
      <c r="L2950" s="7" t="str">
        <f t="shared" si="236"/>
        <v/>
      </c>
      <c r="M2950" s="7" t="str">
        <f t="shared" si="233"/>
        <v/>
      </c>
      <c r="N2950" s="7" t="str">
        <f t="shared" si="237"/>
        <v/>
      </c>
      <c r="O2950" s="8"/>
      <c r="P2950" s="26"/>
      <c r="S2950" s="10" t="str">
        <f t="shared" si="234"/>
        <v/>
      </c>
    </row>
    <row r="2951" spans="5:19" x14ac:dyDescent="0.3">
      <c r="E2951" s="9" t="str">
        <f>IF(DADOS!C2951="","",DADOS!C2951)</f>
        <v/>
      </c>
      <c r="F2951" s="9" t="str">
        <f>IF(DADOS!E2951="","",DADOS!E2951)</f>
        <v/>
      </c>
      <c r="G2951" s="9" t="str">
        <f>IF(DADOS!F2951="","",DADOS!F2951)</f>
        <v/>
      </c>
      <c r="K2951" s="6" t="str">
        <f t="shared" si="235"/>
        <v/>
      </c>
      <c r="L2951" s="7" t="str">
        <f t="shared" si="236"/>
        <v/>
      </c>
      <c r="M2951" s="7" t="str">
        <f t="shared" si="233"/>
        <v/>
      </c>
      <c r="N2951" s="7" t="str">
        <f t="shared" si="237"/>
        <v/>
      </c>
      <c r="O2951" s="8"/>
      <c r="P2951" s="26"/>
      <c r="S2951" s="10" t="str">
        <f t="shared" si="234"/>
        <v/>
      </c>
    </row>
    <row r="2952" spans="5:19" x14ac:dyDescent="0.3">
      <c r="E2952" s="9" t="str">
        <f>IF(DADOS!C2952="","",DADOS!C2952)</f>
        <v/>
      </c>
      <c r="F2952" s="9" t="str">
        <f>IF(DADOS!E2952="","",DADOS!E2952)</f>
        <v/>
      </c>
      <c r="G2952" s="9" t="str">
        <f>IF(DADOS!F2952="","",DADOS!F2952)</f>
        <v/>
      </c>
      <c r="K2952" s="6" t="str">
        <f t="shared" si="235"/>
        <v/>
      </c>
      <c r="L2952" s="7" t="str">
        <f t="shared" si="236"/>
        <v/>
      </c>
      <c r="M2952" s="7" t="str">
        <f t="shared" si="233"/>
        <v/>
      </c>
      <c r="N2952" s="7" t="str">
        <f t="shared" si="237"/>
        <v/>
      </c>
      <c r="O2952" s="8"/>
      <c r="P2952" s="26"/>
      <c r="S2952" s="10" t="str">
        <f t="shared" si="234"/>
        <v/>
      </c>
    </row>
    <row r="2953" spans="5:19" x14ac:dyDescent="0.3">
      <c r="E2953" s="9" t="str">
        <f>IF(DADOS!C2953="","",DADOS!C2953)</f>
        <v/>
      </c>
      <c r="F2953" s="9" t="str">
        <f>IF(DADOS!E2953="","",DADOS!E2953)</f>
        <v/>
      </c>
      <c r="G2953" s="9" t="str">
        <f>IF(DADOS!F2953="","",DADOS!F2953)</f>
        <v/>
      </c>
      <c r="K2953" s="6" t="str">
        <f t="shared" si="235"/>
        <v/>
      </c>
      <c r="L2953" s="7" t="str">
        <f t="shared" si="236"/>
        <v/>
      </c>
      <c r="M2953" s="7" t="str">
        <f t="shared" si="233"/>
        <v/>
      </c>
      <c r="N2953" s="7" t="str">
        <f t="shared" si="237"/>
        <v/>
      </c>
      <c r="O2953" s="8"/>
      <c r="P2953" s="26"/>
      <c r="S2953" s="10" t="str">
        <f t="shared" si="234"/>
        <v/>
      </c>
    </row>
    <row r="2954" spans="5:19" x14ac:dyDescent="0.3">
      <c r="E2954" s="9" t="str">
        <f>IF(DADOS!C2954="","",DADOS!C2954)</f>
        <v/>
      </c>
      <c r="F2954" s="9" t="str">
        <f>IF(DADOS!E2954="","",DADOS!E2954)</f>
        <v/>
      </c>
      <c r="G2954" s="9" t="str">
        <f>IF(DADOS!F2954="","",DADOS!F2954)</f>
        <v/>
      </c>
      <c r="K2954" s="6" t="str">
        <f t="shared" si="235"/>
        <v/>
      </c>
      <c r="L2954" s="7" t="str">
        <f t="shared" si="236"/>
        <v/>
      </c>
      <c r="M2954" s="7" t="str">
        <f t="shared" si="233"/>
        <v/>
      </c>
      <c r="N2954" s="7" t="str">
        <f t="shared" si="237"/>
        <v/>
      </c>
      <c r="O2954" s="8"/>
      <c r="P2954" s="26"/>
      <c r="S2954" s="10" t="str">
        <f t="shared" si="234"/>
        <v/>
      </c>
    </row>
    <row r="2955" spans="5:19" x14ac:dyDescent="0.3">
      <c r="E2955" s="9" t="str">
        <f>IF(DADOS!C2955="","",DADOS!C2955)</f>
        <v/>
      </c>
      <c r="F2955" s="9" t="str">
        <f>IF(DADOS!E2955="","",DADOS!E2955)</f>
        <v/>
      </c>
      <c r="G2955" s="9" t="str">
        <f>IF(DADOS!F2955="","",DADOS!F2955)</f>
        <v/>
      </c>
      <c r="K2955" s="6" t="str">
        <f t="shared" si="235"/>
        <v/>
      </c>
      <c r="L2955" s="7" t="str">
        <f t="shared" si="236"/>
        <v/>
      </c>
      <c r="M2955" s="7" t="str">
        <f t="shared" si="233"/>
        <v/>
      </c>
      <c r="N2955" s="7" t="str">
        <f t="shared" si="237"/>
        <v/>
      </c>
      <c r="O2955" s="8"/>
      <c r="P2955" s="26"/>
      <c r="S2955" s="10" t="str">
        <f t="shared" si="234"/>
        <v/>
      </c>
    </row>
    <row r="2956" spans="5:19" x14ac:dyDescent="0.3">
      <c r="E2956" s="9" t="str">
        <f>IF(DADOS!C2956="","",DADOS!C2956)</f>
        <v/>
      </c>
      <c r="F2956" s="9" t="str">
        <f>IF(DADOS!E2956="","",DADOS!E2956)</f>
        <v/>
      </c>
      <c r="G2956" s="9" t="str">
        <f>IF(DADOS!F2956="","",DADOS!F2956)</f>
        <v/>
      </c>
      <c r="K2956" s="6" t="str">
        <f t="shared" si="235"/>
        <v/>
      </c>
      <c r="L2956" s="7" t="str">
        <f t="shared" si="236"/>
        <v/>
      </c>
      <c r="M2956" s="7" t="str">
        <f t="shared" si="233"/>
        <v/>
      </c>
      <c r="N2956" s="7" t="str">
        <f t="shared" si="237"/>
        <v/>
      </c>
      <c r="O2956" s="8"/>
      <c r="P2956" s="26"/>
      <c r="S2956" s="10" t="str">
        <f t="shared" si="234"/>
        <v/>
      </c>
    </row>
    <row r="2957" spans="5:19" x14ac:dyDescent="0.3">
      <c r="E2957" s="9" t="str">
        <f>IF(DADOS!C2957="","",DADOS!C2957)</f>
        <v/>
      </c>
      <c r="F2957" s="9" t="str">
        <f>IF(DADOS!E2957="","",DADOS!E2957)</f>
        <v/>
      </c>
      <c r="G2957" s="9" t="str">
        <f>IF(DADOS!F2957="","",DADOS!F2957)</f>
        <v/>
      </c>
      <c r="K2957" s="6" t="str">
        <f t="shared" si="235"/>
        <v/>
      </c>
      <c r="L2957" s="7" t="str">
        <f t="shared" si="236"/>
        <v/>
      </c>
      <c r="M2957" s="7" t="str">
        <f t="shared" si="233"/>
        <v/>
      </c>
      <c r="N2957" s="7" t="str">
        <f t="shared" si="237"/>
        <v/>
      </c>
      <c r="O2957" s="8"/>
      <c r="P2957" s="26"/>
      <c r="S2957" s="10" t="str">
        <f t="shared" si="234"/>
        <v/>
      </c>
    </row>
    <row r="2958" spans="5:19" x14ac:dyDescent="0.3">
      <c r="E2958" s="9" t="str">
        <f>IF(DADOS!C2958="","",DADOS!C2958)</f>
        <v/>
      </c>
      <c r="F2958" s="9" t="str">
        <f>IF(DADOS!E2958="","",DADOS!E2958)</f>
        <v/>
      </c>
      <c r="G2958" s="9" t="str">
        <f>IF(DADOS!F2958="","",DADOS!F2958)</f>
        <v/>
      </c>
      <c r="K2958" s="6" t="str">
        <f t="shared" si="235"/>
        <v/>
      </c>
      <c r="L2958" s="7" t="str">
        <f t="shared" si="236"/>
        <v/>
      </c>
      <c r="M2958" s="7" t="str">
        <f t="shared" si="233"/>
        <v/>
      </c>
      <c r="N2958" s="7" t="str">
        <f t="shared" si="237"/>
        <v/>
      </c>
      <c r="O2958" s="8"/>
      <c r="P2958" s="26"/>
      <c r="S2958" s="10" t="str">
        <f t="shared" si="234"/>
        <v/>
      </c>
    </row>
    <row r="2959" spans="5:19" x14ac:dyDescent="0.3">
      <c r="E2959" s="9" t="str">
        <f>IF(DADOS!C2959="","",DADOS!C2959)</f>
        <v/>
      </c>
      <c r="F2959" s="9" t="str">
        <f>IF(DADOS!E2959="","",DADOS!E2959)</f>
        <v/>
      </c>
      <c r="G2959" s="9" t="str">
        <f>IF(DADOS!F2959="","",DADOS!F2959)</f>
        <v/>
      </c>
      <c r="K2959" s="6" t="str">
        <f t="shared" si="235"/>
        <v/>
      </c>
      <c r="L2959" s="7" t="str">
        <f t="shared" si="236"/>
        <v/>
      </c>
      <c r="M2959" s="7" t="str">
        <f t="shared" si="233"/>
        <v/>
      </c>
      <c r="N2959" s="7" t="str">
        <f t="shared" si="237"/>
        <v/>
      </c>
      <c r="O2959" s="8"/>
      <c r="P2959" s="26"/>
      <c r="S2959" s="10" t="str">
        <f t="shared" si="234"/>
        <v/>
      </c>
    </row>
    <row r="2960" spans="5:19" x14ac:dyDescent="0.3">
      <c r="E2960" s="9" t="str">
        <f>IF(DADOS!C2960="","",DADOS!C2960)</f>
        <v/>
      </c>
      <c r="F2960" s="9" t="str">
        <f>IF(DADOS!E2960="","",DADOS!E2960)</f>
        <v/>
      </c>
      <c r="G2960" s="9" t="str">
        <f>IF(DADOS!F2960="","",DADOS!F2960)</f>
        <v/>
      </c>
      <c r="K2960" s="6" t="str">
        <f t="shared" si="235"/>
        <v/>
      </c>
      <c r="L2960" s="7" t="str">
        <f t="shared" si="236"/>
        <v/>
      </c>
      <c r="M2960" s="7" t="str">
        <f t="shared" si="233"/>
        <v/>
      </c>
      <c r="N2960" s="7" t="str">
        <f t="shared" si="237"/>
        <v/>
      </c>
      <c r="O2960" s="8"/>
      <c r="P2960" s="26"/>
      <c r="S2960" s="10" t="str">
        <f t="shared" si="234"/>
        <v/>
      </c>
    </row>
    <row r="2961" spans="5:19" x14ac:dyDescent="0.3">
      <c r="E2961" s="9" t="str">
        <f>IF(DADOS!C2961="","",DADOS!C2961)</f>
        <v/>
      </c>
      <c r="F2961" s="9" t="str">
        <f>IF(DADOS!E2961="","",DADOS!E2961)</f>
        <v/>
      </c>
      <c r="G2961" s="9" t="str">
        <f>IF(DADOS!F2961="","",DADOS!F2961)</f>
        <v/>
      </c>
      <c r="K2961" s="6" t="str">
        <f t="shared" si="235"/>
        <v/>
      </c>
      <c r="L2961" s="7" t="str">
        <f t="shared" si="236"/>
        <v/>
      </c>
      <c r="M2961" s="7" t="str">
        <f t="shared" si="233"/>
        <v/>
      </c>
      <c r="N2961" s="7" t="str">
        <f t="shared" si="237"/>
        <v/>
      </c>
      <c r="O2961" s="8"/>
      <c r="P2961" s="26"/>
      <c r="S2961" s="10" t="str">
        <f t="shared" si="234"/>
        <v/>
      </c>
    </row>
    <row r="2962" spans="5:19" x14ac:dyDescent="0.3">
      <c r="E2962" s="9" t="str">
        <f>IF(DADOS!C2962="","",DADOS!C2962)</f>
        <v/>
      </c>
      <c r="F2962" s="9" t="str">
        <f>IF(DADOS!E2962="","",DADOS!E2962)</f>
        <v/>
      </c>
      <c r="G2962" s="9" t="str">
        <f>IF(DADOS!F2962="","",DADOS!F2962)</f>
        <v/>
      </c>
      <c r="K2962" s="6" t="str">
        <f t="shared" si="235"/>
        <v/>
      </c>
      <c r="L2962" s="7" t="str">
        <f t="shared" si="236"/>
        <v/>
      </c>
      <c r="M2962" s="7" t="str">
        <f t="shared" si="233"/>
        <v/>
      </c>
      <c r="N2962" s="7" t="str">
        <f t="shared" si="237"/>
        <v/>
      </c>
      <c r="O2962" s="8"/>
      <c r="P2962" s="26"/>
      <c r="S2962" s="10" t="str">
        <f t="shared" si="234"/>
        <v/>
      </c>
    </row>
    <row r="2963" spans="5:19" x14ac:dyDescent="0.3">
      <c r="E2963" s="9" t="str">
        <f>IF(DADOS!C2963="","",DADOS!C2963)</f>
        <v/>
      </c>
      <c r="F2963" s="9" t="str">
        <f>IF(DADOS!E2963="","",DADOS!E2963)</f>
        <v/>
      </c>
      <c r="G2963" s="9" t="str">
        <f>IF(DADOS!F2963="","",DADOS!F2963)</f>
        <v/>
      </c>
      <c r="K2963" s="6" t="str">
        <f t="shared" si="235"/>
        <v/>
      </c>
      <c r="L2963" s="7" t="str">
        <f t="shared" si="236"/>
        <v/>
      </c>
      <c r="M2963" s="7" t="str">
        <f t="shared" si="233"/>
        <v/>
      </c>
      <c r="N2963" s="7" t="str">
        <f t="shared" si="237"/>
        <v/>
      </c>
      <c r="O2963" s="8"/>
      <c r="P2963" s="26"/>
      <c r="S2963" s="10" t="str">
        <f t="shared" si="234"/>
        <v/>
      </c>
    </row>
    <row r="2964" spans="5:19" x14ac:dyDescent="0.3">
      <c r="E2964" s="9" t="str">
        <f>IF(DADOS!C2964="","",DADOS!C2964)</f>
        <v/>
      </c>
      <c r="F2964" s="9" t="str">
        <f>IF(DADOS!E2964="","",DADOS!E2964)</f>
        <v/>
      </c>
      <c r="G2964" s="9" t="str">
        <f>IF(DADOS!F2964="","",DADOS!F2964)</f>
        <v/>
      </c>
      <c r="K2964" s="6" t="str">
        <f t="shared" si="235"/>
        <v/>
      </c>
      <c r="L2964" s="7" t="str">
        <f t="shared" si="236"/>
        <v/>
      </c>
      <c r="M2964" s="7" t="str">
        <f t="shared" si="233"/>
        <v/>
      </c>
      <c r="N2964" s="7" t="str">
        <f t="shared" si="237"/>
        <v/>
      </c>
      <c r="O2964" s="8"/>
      <c r="P2964" s="26"/>
      <c r="S2964" s="10" t="str">
        <f t="shared" si="234"/>
        <v/>
      </c>
    </row>
    <row r="2965" spans="5:19" x14ac:dyDescent="0.3">
      <c r="E2965" s="9" t="str">
        <f>IF(DADOS!C2965="","",DADOS!C2965)</f>
        <v/>
      </c>
      <c r="F2965" s="9" t="str">
        <f>IF(DADOS!E2965="","",DADOS!E2965)</f>
        <v/>
      </c>
      <c r="G2965" s="9" t="str">
        <f>IF(DADOS!F2965="","",DADOS!F2965)</f>
        <v/>
      </c>
      <c r="K2965" s="6" t="str">
        <f t="shared" si="235"/>
        <v/>
      </c>
      <c r="L2965" s="7" t="str">
        <f t="shared" si="236"/>
        <v/>
      </c>
      <c r="M2965" s="7" t="str">
        <f t="shared" si="233"/>
        <v/>
      </c>
      <c r="N2965" s="7" t="str">
        <f t="shared" si="237"/>
        <v/>
      </c>
      <c r="O2965" s="8"/>
      <c r="P2965" s="26"/>
      <c r="S2965" s="10" t="str">
        <f t="shared" si="234"/>
        <v/>
      </c>
    </row>
    <row r="2966" spans="5:19" x14ac:dyDescent="0.3">
      <c r="E2966" s="9" t="str">
        <f>IF(DADOS!C2966="","",DADOS!C2966)</f>
        <v/>
      </c>
      <c r="F2966" s="9" t="str">
        <f>IF(DADOS!E2966="","",DADOS!E2966)</f>
        <v/>
      </c>
      <c r="G2966" s="9" t="str">
        <f>IF(DADOS!F2966="","",DADOS!F2966)</f>
        <v/>
      </c>
      <c r="K2966" s="6" t="str">
        <f t="shared" si="235"/>
        <v/>
      </c>
      <c r="L2966" s="7" t="str">
        <f t="shared" si="236"/>
        <v/>
      </c>
      <c r="M2966" s="7" t="str">
        <f t="shared" si="233"/>
        <v/>
      </c>
      <c r="N2966" s="7" t="str">
        <f t="shared" si="237"/>
        <v/>
      </c>
      <c r="O2966" s="8"/>
      <c r="P2966" s="26"/>
      <c r="S2966" s="10" t="str">
        <f t="shared" si="234"/>
        <v/>
      </c>
    </row>
    <row r="2967" spans="5:19" x14ac:dyDescent="0.3">
      <c r="E2967" s="9" t="str">
        <f>IF(DADOS!C2967="","",DADOS!C2967)</f>
        <v/>
      </c>
      <c r="F2967" s="9" t="str">
        <f>IF(DADOS!E2967="","",DADOS!E2967)</f>
        <v/>
      </c>
      <c r="G2967" s="9" t="str">
        <f>IF(DADOS!F2967="","",DADOS!F2967)</f>
        <v/>
      </c>
      <c r="K2967" s="6" t="str">
        <f t="shared" si="235"/>
        <v/>
      </c>
      <c r="L2967" s="7" t="str">
        <f t="shared" si="236"/>
        <v/>
      </c>
      <c r="M2967" s="7" t="str">
        <f t="shared" si="233"/>
        <v/>
      </c>
      <c r="N2967" s="7" t="str">
        <f t="shared" si="237"/>
        <v/>
      </c>
      <c r="O2967" s="8"/>
      <c r="P2967" s="26"/>
      <c r="S2967" s="10" t="str">
        <f t="shared" si="234"/>
        <v/>
      </c>
    </row>
    <row r="2968" spans="5:19" x14ac:dyDescent="0.3">
      <c r="E2968" s="9" t="str">
        <f>IF(DADOS!C2968="","",DADOS!C2968)</f>
        <v/>
      </c>
      <c r="F2968" s="9" t="str">
        <f>IF(DADOS!E2968="","",DADOS!E2968)</f>
        <v/>
      </c>
      <c r="G2968" s="9" t="str">
        <f>IF(DADOS!F2968="","",DADOS!F2968)</f>
        <v/>
      </c>
      <c r="K2968" s="6" t="str">
        <f t="shared" si="235"/>
        <v/>
      </c>
      <c r="L2968" s="7" t="str">
        <f t="shared" si="236"/>
        <v/>
      </c>
      <c r="M2968" s="7" t="str">
        <f t="shared" si="233"/>
        <v/>
      </c>
      <c r="N2968" s="7" t="str">
        <f t="shared" si="237"/>
        <v/>
      </c>
      <c r="O2968" s="8"/>
      <c r="P2968" s="26"/>
      <c r="S2968" s="10" t="str">
        <f t="shared" si="234"/>
        <v/>
      </c>
    </row>
    <row r="2969" spans="5:19" x14ac:dyDescent="0.3">
      <c r="E2969" s="9" t="str">
        <f>IF(DADOS!C2969="","",DADOS!C2969)</f>
        <v/>
      </c>
      <c r="F2969" s="9" t="str">
        <f>IF(DADOS!E2969="","",DADOS!E2969)</f>
        <v/>
      </c>
      <c r="G2969" s="9" t="str">
        <f>IF(DADOS!F2969="","",DADOS!F2969)</f>
        <v/>
      </c>
      <c r="K2969" s="6" t="str">
        <f t="shared" si="235"/>
        <v/>
      </c>
      <c r="L2969" s="7" t="str">
        <f t="shared" si="236"/>
        <v/>
      </c>
      <c r="M2969" s="7" t="str">
        <f t="shared" si="233"/>
        <v/>
      </c>
      <c r="N2969" s="7" t="str">
        <f t="shared" si="237"/>
        <v/>
      </c>
      <c r="O2969" s="8"/>
      <c r="P2969" s="26"/>
      <c r="S2969" s="10" t="str">
        <f t="shared" si="234"/>
        <v/>
      </c>
    </row>
    <row r="2970" spans="5:19" x14ac:dyDescent="0.3">
      <c r="E2970" s="9" t="str">
        <f>IF(DADOS!C2970="","",DADOS!C2970)</f>
        <v/>
      </c>
      <c r="F2970" s="9" t="str">
        <f>IF(DADOS!E2970="","",DADOS!E2970)</f>
        <v/>
      </c>
      <c r="G2970" s="9" t="str">
        <f>IF(DADOS!F2970="","",DADOS!F2970)</f>
        <v/>
      </c>
      <c r="K2970" s="6" t="str">
        <f t="shared" si="235"/>
        <v/>
      </c>
      <c r="L2970" s="7" t="str">
        <f t="shared" si="236"/>
        <v/>
      </c>
      <c r="M2970" s="7" t="str">
        <f t="shared" si="233"/>
        <v/>
      </c>
      <c r="N2970" s="7" t="str">
        <f t="shared" si="237"/>
        <v/>
      </c>
      <c r="O2970" s="8"/>
      <c r="P2970" s="26"/>
      <c r="S2970" s="10" t="str">
        <f t="shared" si="234"/>
        <v/>
      </c>
    </row>
    <row r="2971" spans="5:19" x14ac:dyDescent="0.3">
      <c r="E2971" s="9" t="str">
        <f>IF(DADOS!C2971="","",DADOS!C2971)</f>
        <v/>
      </c>
      <c r="F2971" s="9" t="str">
        <f>IF(DADOS!E2971="","",DADOS!E2971)</f>
        <v/>
      </c>
      <c r="G2971" s="9" t="str">
        <f>IF(DADOS!F2971="","",DADOS!F2971)</f>
        <v/>
      </c>
      <c r="K2971" s="6" t="str">
        <f t="shared" si="235"/>
        <v/>
      </c>
      <c r="L2971" s="7" t="str">
        <f t="shared" si="236"/>
        <v/>
      </c>
      <c r="M2971" s="7" t="str">
        <f t="shared" si="233"/>
        <v/>
      </c>
      <c r="N2971" s="7" t="str">
        <f t="shared" si="237"/>
        <v/>
      </c>
      <c r="O2971" s="8"/>
      <c r="P2971" s="26"/>
      <c r="S2971" s="10" t="str">
        <f t="shared" si="234"/>
        <v/>
      </c>
    </row>
    <row r="2972" spans="5:19" x14ac:dyDescent="0.3">
      <c r="E2972" s="9" t="str">
        <f>IF(DADOS!C2972="","",DADOS!C2972)</f>
        <v/>
      </c>
      <c r="F2972" s="9" t="str">
        <f>IF(DADOS!E2972="","",DADOS!E2972)</f>
        <v/>
      </c>
      <c r="G2972" s="9" t="str">
        <f>IF(DADOS!F2972="","",DADOS!F2972)</f>
        <v/>
      </c>
      <c r="K2972" s="6" t="str">
        <f t="shared" si="235"/>
        <v/>
      </c>
      <c r="L2972" s="7" t="str">
        <f t="shared" si="236"/>
        <v/>
      </c>
      <c r="M2972" s="7" t="str">
        <f t="shared" si="233"/>
        <v/>
      </c>
      <c r="N2972" s="7" t="str">
        <f t="shared" si="237"/>
        <v/>
      </c>
      <c r="O2972" s="8"/>
      <c r="P2972" s="26"/>
      <c r="S2972" s="10" t="str">
        <f t="shared" si="234"/>
        <v/>
      </c>
    </row>
    <row r="2973" spans="5:19" x14ac:dyDescent="0.3">
      <c r="E2973" s="9" t="str">
        <f>IF(DADOS!C2973="","",DADOS!C2973)</f>
        <v/>
      </c>
      <c r="F2973" s="9" t="str">
        <f>IF(DADOS!E2973="","",DADOS!E2973)</f>
        <v/>
      </c>
      <c r="G2973" s="9" t="str">
        <f>IF(DADOS!F2973="","",DADOS!F2973)</f>
        <v/>
      </c>
      <c r="K2973" s="6" t="str">
        <f t="shared" si="235"/>
        <v/>
      </c>
      <c r="L2973" s="7" t="str">
        <f t="shared" si="236"/>
        <v/>
      </c>
      <c r="M2973" s="7" t="str">
        <f t="shared" si="233"/>
        <v/>
      </c>
      <c r="N2973" s="7" t="str">
        <f t="shared" si="237"/>
        <v/>
      </c>
      <c r="O2973" s="8"/>
      <c r="P2973" s="26"/>
      <c r="S2973" s="10" t="str">
        <f t="shared" si="234"/>
        <v/>
      </c>
    </row>
    <row r="2974" spans="5:19" x14ac:dyDescent="0.3">
      <c r="E2974" s="9" t="str">
        <f>IF(DADOS!C2974="","",DADOS!C2974)</f>
        <v/>
      </c>
      <c r="F2974" s="9" t="str">
        <f>IF(DADOS!E2974="","",DADOS!E2974)</f>
        <v/>
      </c>
      <c r="G2974" s="9" t="str">
        <f>IF(DADOS!F2974="","",DADOS!F2974)</f>
        <v/>
      </c>
      <c r="K2974" s="6" t="str">
        <f t="shared" si="235"/>
        <v/>
      </c>
      <c r="L2974" s="7" t="str">
        <f t="shared" si="236"/>
        <v/>
      </c>
      <c r="M2974" s="7" t="str">
        <f t="shared" si="233"/>
        <v/>
      </c>
      <c r="N2974" s="7" t="str">
        <f t="shared" si="237"/>
        <v/>
      </c>
      <c r="O2974" s="8"/>
      <c r="P2974" s="26"/>
      <c r="S2974" s="10" t="str">
        <f t="shared" si="234"/>
        <v/>
      </c>
    </row>
    <row r="2975" spans="5:19" x14ac:dyDescent="0.3">
      <c r="E2975" s="9" t="str">
        <f>IF(DADOS!C2975="","",DADOS!C2975)</f>
        <v/>
      </c>
      <c r="F2975" s="9" t="str">
        <f>IF(DADOS!E2975="","",DADOS!E2975)</f>
        <v/>
      </c>
      <c r="G2975" s="9" t="str">
        <f>IF(DADOS!F2975="","",DADOS!F2975)</f>
        <v/>
      </c>
      <c r="K2975" s="6" t="str">
        <f t="shared" si="235"/>
        <v/>
      </c>
      <c r="L2975" s="7" t="str">
        <f t="shared" si="236"/>
        <v/>
      </c>
      <c r="M2975" s="7" t="str">
        <f t="shared" si="233"/>
        <v/>
      </c>
      <c r="N2975" s="7" t="str">
        <f t="shared" si="237"/>
        <v/>
      </c>
      <c r="O2975" s="8"/>
      <c r="P2975" s="26"/>
      <c r="S2975" s="10" t="str">
        <f t="shared" si="234"/>
        <v/>
      </c>
    </row>
    <row r="2976" spans="5:19" x14ac:dyDescent="0.3">
      <c r="E2976" s="9" t="str">
        <f>IF(DADOS!C2976="","",DADOS!C2976)</f>
        <v/>
      </c>
      <c r="F2976" s="9" t="str">
        <f>IF(DADOS!E2976="","",DADOS!E2976)</f>
        <v/>
      </c>
      <c r="G2976" s="9" t="str">
        <f>IF(DADOS!F2976="","",DADOS!F2976)</f>
        <v/>
      </c>
      <c r="K2976" s="6" t="str">
        <f t="shared" si="235"/>
        <v/>
      </c>
      <c r="L2976" s="7" t="str">
        <f t="shared" si="236"/>
        <v/>
      </c>
      <c r="M2976" s="7" t="str">
        <f t="shared" si="233"/>
        <v/>
      </c>
      <c r="N2976" s="7" t="str">
        <f t="shared" si="237"/>
        <v/>
      </c>
      <c r="O2976" s="8"/>
      <c r="P2976" s="26"/>
      <c r="S2976" s="10" t="str">
        <f t="shared" si="234"/>
        <v/>
      </c>
    </row>
    <row r="2977" spans="5:19" x14ac:dyDescent="0.3">
      <c r="E2977" s="9" t="str">
        <f>IF(DADOS!C2977="","",DADOS!C2977)</f>
        <v/>
      </c>
      <c r="F2977" s="9" t="str">
        <f>IF(DADOS!E2977="","",DADOS!E2977)</f>
        <v/>
      </c>
      <c r="G2977" s="9" t="str">
        <f>IF(DADOS!F2977="","",DADOS!F2977)</f>
        <v/>
      </c>
      <c r="K2977" s="6" t="str">
        <f t="shared" si="235"/>
        <v/>
      </c>
      <c r="L2977" s="7" t="str">
        <f t="shared" si="236"/>
        <v/>
      </c>
      <c r="M2977" s="7" t="str">
        <f t="shared" si="233"/>
        <v/>
      </c>
      <c r="N2977" s="7" t="str">
        <f t="shared" si="237"/>
        <v/>
      </c>
      <c r="O2977" s="8"/>
      <c r="P2977" s="26"/>
      <c r="S2977" s="10" t="str">
        <f t="shared" si="234"/>
        <v/>
      </c>
    </row>
    <row r="2978" spans="5:19" x14ac:dyDescent="0.3">
      <c r="E2978" s="9" t="str">
        <f>IF(DADOS!C2978="","",DADOS!C2978)</f>
        <v/>
      </c>
      <c r="F2978" s="9" t="str">
        <f>IF(DADOS!E2978="","",DADOS!E2978)</f>
        <v/>
      </c>
      <c r="G2978" s="9" t="str">
        <f>IF(DADOS!F2978="","",DADOS!F2978)</f>
        <v/>
      </c>
      <c r="K2978" s="6" t="str">
        <f t="shared" si="235"/>
        <v/>
      </c>
      <c r="L2978" s="7" t="str">
        <f t="shared" si="236"/>
        <v/>
      </c>
      <c r="M2978" s="7" t="str">
        <f t="shared" si="233"/>
        <v/>
      </c>
      <c r="N2978" s="7" t="str">
        <f t="shared" si="237"/>
        <v/>
      </c>
      <c r="O2978" s="8"/>
      <c r="P2978" s="26"/>
      <c r="S2978" s="10" t="str">
        <f t="shared" si="234"/>
        <v/>
      </c>
    </row>
    <row r="2979" spans="5:19" x14ac:dyDescent="0.3">
      <c r="E2979" s="9" t="str">
        <f>IF(DADOS!C2979="","",DADOS!C2979)</f>
        <v/>
      </c>
      <c r="F2979" s="9" t="str">
        <f>IF(DADOS!E2979="","",DADOS!E2979)</f>
        <v/>
      </c>
      <c r="G2979" s="9" t="str">
        <f>IF(DADOS!F2979="","",DADOS!F2979)</f>
        <v/>
      </c>
      <c r="K2979" s="6" t="str">
        <f t="shared" si="235"/>
        <v/>
      </c>
      <c r="L2979" s="7" t="str">
        <f t="shared" si="236"/>
        <v/>
      </c>
      <c r="M2979" s="7" t="str">
        <f t="shared" si="233"/>
        <v/>
      </c>
      <c r="N2979" s="7" t="str">
        <f t="shared" si="237"/>
        <v/>
      </c>
      <c r="O2979" s="8"/>
      <c r="P2979" s="26"/>
      <c r="S2979" s="10" t="str">
        <f t="shared" si="234"/>
        <v/>
      </c>
    </row>
    <row r="2980" spans="5:19" x14ac:dyDescent="0.3">
      <c r="E2980" s="9" t="str">
        <f>IF(DADOS!C2980="","",DADOS!C2980)</f>
        <v/>
      </c>
      <c r="F2980" s="9" t="str">
        <f>IF(DADOS!E2980="","",DADOS!E2980)</f>
        <v/>
      </c>
      <c r="G2980" s="9" t="str">
        <f>IF(DADOS!F2980="","",DADOS!F2980)</f>
        <v/>
      </c>
      <c r="K2980" s="6" t="str">
        <f t="shared" si="235"/>
        <v/>
      </c>
      <c r="L2980" s="7" t="str">
        <f t="shared" si="236"/>
        <v/>
      </c>
      <c r="M2980" s="7" t="str">
        <f t="shared" si="233"/>
        <v/>
      </c>
      <c r="N2980" s="7" t="str">
        <f t="shared" si="237"/>
        <v/>
      </c>
      <c r="O2980" s="8"/>
      <c r="P2980" s="26"/>
      <c r="S2980" s="10" t="str">
        <f t="shared" si="234"/>
        <v/>
      </c>
    </row>
    <row r="2981" spans="5:19" x14ac:dyDescent="0.3">
      <c r="E2981" s="9" t="str">
        <f>IF(DADOS!C2981="","",DADOS!C2981)</f>
        <v/>
      </c>
      <c r="F2981" s="9" t="str">
        <f>IF(DADOS!E2981="","",DADOS!E2981)</f>
        <v/>
      </c>
      <c r="G2981" s="9" t="str">
        <f>IF(DADOS!F2981="","",DADOS!F2981)</f>
        <v/>
      </c>
      <c r="K2981" s="6" t="str">
        <f t="shared" si="235"/>
        <v/>
      </c>
      <c r="L2981" s="7" t="str">
        <f t="shared" si="236"/>
        <v/>
      </c>
      <c r="M2981" s="7" t="str">
        <f t="shared" si="233"/>
        <v/>
      </c>
      <c r="N2981" s="7" t="str">
        <f t="shared" si="237"/>
        <v/>
      </c>
      <c r="O2981" s="8"/>
      <c r="P2981" s="26"/>
      <c r="S2981" s="10" t="str">
        <f t="shared" si="234"/>
        <v/>
      </c>
    </row>
    <row r="2982" spans="5:19" x14ac:dyDescent="0.3">
      <c r="E2982" s="9" t="str">
        <f>IF(DADOS!C2982="","",DADOS!C2982)</f>
        <v/>
      </c>
      <c r="F2982" s="9" t="str">
        <f>IF(DADOS!E2982="","",DADOS!E2982)</f>
        <v/>
      </c>
      <c r="G2982" s="9" t="str">
        <f>IF(DADOS!F2982="","",DADOS!F2982)</f>
        <v/>
      </c>
      <c r="K2982" s="6" t="str">
        <f t="shared" si="235"/>
        <v/>
      </c>
      <c r="L2982" s="7" t="str">
        <f t="shared" si="236"/>
        <v/>
      </c>
      <c r="M2982" s="7" t="str">
        <f t="shared" si="233"/>
        <v/>
      </c>
      <c r="N2982" s="7" t="str">
        <f t="shared" si="237"/>
        <v/>
      </c>
      <c r="O2982" s="8"/>
      <c r="P2982" s="26"/>
      <c r="S2982" s="10" t="str">
        <f t="shared" si="234"/>
        <v/>
      </c>
    </row>
    <row r="2983" spans="5:19" x14ac:dyDescent="0.3">
      <c r="E2983" s="9" t="str">
        <f>IF(DADOS!C2983="","",DADOS!C2983)</f>
        <v/>
      </c>
      <c r="F2983" s="9" t="str">
        <f>IF(DADOS!E2983="","",DADOS!E2983)</f>
        <v/>
      </c>
      <c r="G2983" s="9" t="str">
        <f>IF(DADOS!F2983="","",DADOS!F2983)</f>
        <v/>
      </c>
      <c r="K2983" s="6" t="str">
        <f t="shared" si="235"/>
        <v/>
      </c>
      <c r="L2983" s="7" t="str">
        <f t="shared" si="236"/>
        <v/>
      </c>
      <c r="M2983" s="7" t="str">
        <f t="shared" si="233"/>
        <v/>
      </c>
      <c r="N2983" s="7" t="str">
        <f t="shared" si="237"/>
        <v/>
      </c>
      <c r="O2983" s="8"/>
      <c r="P2983" s="26"/>
      <c r="S2983" s="10" t="str">
        <f t="shared" si="234"/>
        <v/>
      </c>
    </row>
    <row r="2984" spans="5:19" x14ac:dyDescent="0.3">
      <c r="E2984" s="9" t="str">
        <f>IF(DADOS!C2984="","",DADOS!C2984)</f>
        <v/>
      </c>
      <c r="F2984" s="9" t="str">
        <f>IF(DADOS!E2984="","",DADOS!E2984)</f>
        <v/>
      </c>
      <c r="G2984" s="9" t="str">
        <f>IF(DADOS!F2984="","",DADOS!F2984)</f>
        <v/>
      </c>
      <c r="K2984" s="6" t="str">
        <f t="shared" si="235"/>
        <v/>
      </c>
      <c r="L2984" s="7" t="str">
        <f t="shared" si="236"/>
        <v/>
      </c>
      <c r="M2984" s="7" t="str">
        <f t="shared" si="233"/>
        <v/>
      </c>
      <c r="N2984" s="7" t="str">
        <f t="shared" si="237"/>
        <v/>
      </c>
      <c r="O2984" s="8"/>
      <c r="P2984" s="26"/>
      <c r="S2984" s="10" t="str">
        <f t="shared" si="234"/>
        <v/>
      </c>
    </row>
    <row r="2985" spans="5:19" x14ac:dyDescent="0.3">
      <c r="E2985" s="9" t="str">
        <f>IF(DADOS!C2985="","",DADOS!C2985)</f>
        <v/>
      </c>
      <c r="F2985" s="9" t="str">
        <f>IF(DADOS!E2985="","",DADOS!E2985)</f>
        <v/>
      </c>
      <c r="G2985" s="9" t="str">
        <f>IF(DADOS!F2985="","",DADOS!F2985)</f>
        <v/>
      </c>
      <c r="K2985" s="6" t="str">
        <f t="shared" si="235"/>
        <v/>
      </c>
      <c r="L2985" s="7" t="str">
        <f t="shared" si="236"/>
        <v/>
      </c>
      <c r="M2985" s="7" t="str">
        <f t="shared" si="233"/>
        <v/>
      </c>
      <c r="N2985" s="7" t="str">
        <f t="shared" si="237"/>
        <v/>
      </c>
      <c r="O2985" s="8"/>
      <c r="P2985" s="26"/>
      <c r="S2985" s="10" t="str">
        <f t="shared" si="234"/>
        <v/>
      </c>
    </row>
    <row r="2986" spans="5:19" x14ac:dyDescent="0.3">
      <c r="E2986" s="9" t="str">
        <f>IF(DADOS!C2986="","",DADOS!C2986)</f>
        <v/>
      </c>
      <c r="F2986" s="9" t="str">
        <f>IF(DADOS!E2986="","",DADOS!E2986)</f>
        <v/>
      </c>
      <c r="G2986" s="9" t="str">
        <f>IF(DADOS!F2986="","",DADOS!F2986)</f>
        <v/>
      </c>
      <c r="K2986" s="6" t="str">
        <f t="shared" si="235"/>
        <v/>
      </c>
      <c r="L2986" s="7" t="str">
        <f t="shared" si="236"/>
        <v/>
      </c>
      <c r="M2986" s="7" t="str">
        <f t="shared" si="233"/>
        <v/>
      </c>
      <c r="N2986" s="7" t="str">
        <f t="shared" si="237"/>
        <v/>
      </c>
      <c r="O2986" s="8"/>
      <c r="P2986" s="26"/>
      <c r="S2986" s="10" t="str">
        <f t="shared" si="234"/>
        <v/>
      </c>
    </row>
    <row r="2987" spans="5:19" x14ac:dyDescent="0.3">
      <c r="E2987" s="9" t="str">
        <f>IF(DADOS!C2987="","",DADOS!C2987)</f>
        <v/>
      </c>
      <c r="F2987" s="9" t="str">
        <f>IF(DADOS!E2987="","",DADOS!E2987)</f>
        <v/>
      </c>
      <c r="G2987" s="9" t="str">
        <f>IF(DADOS!F2987="","",DADOS!F2987)</f>
        <v/>
      </c>
      <c r="K2987" s="6" t="str">
        <f t="shared" si="235"/>
        <v/>
      </c>
      <c r="L2987" s="7" t="str">
        <f t="shared" si="236"/>
        <v/>
      </c>
      <c r="M2987" s="7" t="str">
        <f t="shared" si="233"/>
        <v/>
      </c>
      <c r="N2987" s="7" t="str">
        <f t="shared" si="237"/>
        <v/>
      </c>
      <c r="O2987" s="8"/>
      <c r="P2987" s="26"/>
      <c r="S2987" s="10" t="str">
        <f t="shared" si="234"/>
        <v/>
      </c>
    </row>
    <row r="2988" spans="5:19" x14ac:dyDescent="0.3">
      <c r="E2988" s="9" t="str">
        <f>IF(DADOS!C2988="","",DADOS!C2988)</f>
        <v/>
      </c>
      <c r="F2988" s="9" t="str">
        <f>IF(DADOS!E2988="","",DADOS!E2988)</f>
        <v/>
      </c>
      <c r="G2988" s="9" t="str">
        <f>IF(DADOS!F2988="","",DADOS!F2988)</f>
        <v/>
      </c>
      <c r="K2988" s="6" t="str">
        <f t="shared" si="235"/>
        <v/>
      </c>
      <c r="L2988" s="7" t="str">
        <f t="shared" si="236"/>
        <v/>
      </c>
      <c r="M2988" s="7" t="str">
        <f t="shared" si="233"/>
        <v/>
      </c>
      <c r="N2988" s="7" t="str">
        <f t="shared" si="237"/>
        <v/>
      </c>
      <c r="O2988" s="8"/>
      <c r="P2988" s="26"/>
      <c r="S2988" s="10" t="str">
        <f t="shared" si="234"/>
        <v/>
      </c>
    </row>
    <row r="2989" spans="5:19" x14ac:dyDescent="0.3">
      <c r="E2989" s="9" t="str">
        <f>IF(DADOS!C2989="","",DADOS!C2989)</f>
        <v/>
      </c>
      <c r="F2989" s="9" t="str">
        <f>IF(DADOS!E2989="","",DADOS!E2989)</f>
        <v/>
      </c>
      <c r="G2989" s="9" t="str">
        <f>IF(DADOS!F2989="","",DADOS!F2989)</f>
        <v/>
      </c>
      <c r="K2989" s="6" t="str">
        <f t="shared" si="235"/>
        <v/>
      </c>
      <c r="L2989" s="7" t="str">
        <f t="shared" si="236"/>
        <v/>
      </c>
      <c r="M2989" s="7" t="str">
        <f t="shared" si="233"/>
        <v/>
      </c>
      <c r="N2989" s="7" t="str">
        <f t="shared" si="237"/>
        <v/>
      </c>
      <c r="O2989" s="8"/>
      <c r="P2989" s="26"/>
      <c r="S2989" s="10" t="str">
        <f t="shared" si="234"/>
        <v/>
      </c>
    </row>
    <row r="2990" spans="5:19" x14ac:dyDescent="0.3">
      <c r="E2990" s="9" t="str">
        <f>IF(DADOS!C2990="","",DADOS!C2990)</f>
        <v/>
      </c>
      <c r="F2990" s="9" t="str">
        <f>IF(DADOS!E2990="","",DADOS!E2990)</f>
        <v/>
      </c>
      <c r="G2990" s="9" t="str">
        <f>IF(DADOS!F2990="","",DADOS!F2990)</f>
        <v/>
      </c>
      <c r="K2990" s="6" t="str">
        <f t="shared" si="235"/>
        <v/>
      </c>
      <c r="L2990" s="7" t="str">
        <f t="shared" si="236"/>
        <v/>
      </c>
      <c r="M2990" s="7" t="str">
        <f t="shared" si="233"/>
        <v/>
      </c>
      <c r="N2990" s="7" t="str">
        <f t="shared" si="237"/>
        <v/>
      </c>
      <c r="O2990" s="8"/>
      <c r="P2990" s="26"/>
      <c r="S2990" s="10" t="str">
        <f t="shared" si="234"/>
        <v/>
      </c>
    </row>
    <row r="2991" spans="5:19" x14ac:dyDescent="0.3">
      <c r="E2991" s="9" t="str">
        <f>IF(DADOS!C2991="","",DADOS!C2991)</f>
        <v/>
      </c>
      <c r="F2991" s="9" t="str">
        <f>IF(DADOS!E2991="","",DADOS!E2991)</f>
        <v/>
      </c>
      <c r="G2991" s="9" t="str">
        <f>IF(DADOS!F2991="","",DADOS!F2991)</f>
        <v/>
      </c>
      <c r="K2991" s="6" t="str">
        <f t="shared" si="235"/>
        <v/>
      </c>
      <c r="L2991" s="7" t="str">
        <f t="shared" si="236"/>
        <v/>
      </c>
      <c r="M2991" s="7" t="str">
        <f t="shared" si="233"/>
        <v/>
      </c>
      <c r="N2991" s="7" t="str">
        <f t="shared" si="237"/>
        <v/>
      </c>
      <c r="O2991" s="8"/>
      <c r="P2991" s="26"/>
      <c r="S2991" s="10" t="str">
        <f t="shared" si="234"/>
        <v/>
      </c>
    </row>
    <row r="2992" spans="5:19" x14ac:dyDescent="0.3">
      <c r="E2992" s="9" t="str">
        <f>IF(DADOS!C2992="","",DADOS!C2992)</f>
        <v/>
      </c>
      <c r="F2992" s="9" t="str">
        <f>IF(DADOS!E2992="","",DADOS!E2992)</f>
        <v/>
      </c>
      <c r="G2992" s="9" t="str">
        <f>IF(DADOS!F2992="","",DADOS!F2992)</f>
        <v/>
      </c>
      <c r="K2992" s="6" t="str">
        <f t="shared" si="235"/>
        <v/>
      </c>
      <c r="L2992" s="7" t="str">
        <f t="shared" si="236"/>
        <v/>
      </c>
      <c r="M2992" s="7" t="str">
        <f t="shared" si="233"/>
        <v/>
      </c>
      <c r="N2992" s="7" t="str">
        <f t="shared" si="237"/>
        <v/>
      </c>
      <c r="O2992" s="8"/>
      <c r="P2992" s="26"/>
      <c r="S2992" s="10" t="str">
        <f t="shared" si="234"/>
        <v/>
      </c>
    </row>
    <row r="2993" spans="5:19" x14ac:dyDescent="0.3">
      <c r="E2993" s="9" t="str">
        <f>IF(DADOS!C2993="","",DADOS!C2993)</f>
        <v/>
      </c>
      <c r="F2993" s="9" t="str">
        <f>IF(DADOS!E2993="","",DADOS!E2993)</f>
        <v/>
      </c>
      <c r="G2993" s="9" t="str">
        <f>IF(DADOS!F2993="","",DADOS!F2993)</f>
        <v/>
      </c>
      <c r="K2993" s="6" t="str">
        <f t="shared" si="235"/>
        <v/>
      </c>
      <c r="L2993" s="7" t="str">
        <f t="shared" si="236"/>
        <v/>
      </c>
      <c r="M2993" s="7" t="str">
        <f t="shared" si="233"/>
        <v/>
      </c>
      <c r="N2993" s="7" t="str">
        <f t="shared" si="237"/>
        <v/>
      </c>
      <c r="O2993" s="8"/>
      <c r="P2993" s="26"/>
      <c r="S2993" s="10" t="str">
        <f t="shared" si="234"/>
        <v/>
      </c>
    </row>
    <row r="2994" spans="5:19" x14ac:dyDescent="0.3">
      <c r="E2994" s="9" t="str">
        <f>IF(DADOS!C2994="","",DADOS!C2994)</f>
        <v/>
      </c>
      <c r="F2994" s="9" t="str">
        <f>IF(DADOS!E2994="","",DADOS!E2994)</f>
        <v/>
      </c>
      <c r="G2994" s="9" t="str">
        <f>IF(DADOS!F2994="","",DADOS!F2994)</f>
        <v/>
      </c>
      <c r="K2994" s="6" t="str">
        <f t="shared" si="235"/>
        <v/>
      </c>
      <c r="L2994" s="7" t="str">
        <f t="shared" si="236"/>
        <v/>
      </c>
      <c r="M2994" s="7" t="str">
        <f t="shared" si="233"/>
        <v/>
      </c>
      <c r="N2994" s="7" t="str">
        <f t="shared" si="237"/>
        <v/>
      </c>
      <c r="O2994" s="8"/>
      <c r="P2994" s="26"/>
      <c r="S2994" s="10" t="str">
        <f t="shared" si="234"/>
        <v/>
      </c>
    </row>
    <row r="2995" spans="5:19" x14ac:dyDescent="0.3">
      <c r="E2995" s="9" t="str">
        <f>IF(DADOS!C2995="","",DADOS!C2995)</f>
        <v/>
      </c>
      <c r="F2995" s="9" t="str">
        <f>IF(DADOS!E2995="","",DADOS!E2995)</f>
        <v/>
      </c>
      <c r="G2995" s="9" t="str">
        <f>IF(DADOS!F2995="","",DADOS!F2995)</f>
        <v/>
      </c>
      <c r="K2995" s="6" t="str">
        <f t="shared" si="235"/>
        <v/>
      </c>
      <c r="L2995" s="7" t="str">
        <f t="shared" si="236"/>
        <v/>
      </c>
      <c r="M2995" s="7" t="str">
        <f t="shared" si="233"/>
        <v/>
      </c>
      <c r="N2995" s="7" t="str">
        <f t="shared" si="237"/>
        <v/>
      </c>
      <c r="O2995" s="8"/>
      <c r="P2995" s="26"/>
      <c r="S2995" s="10" t="str">
        <f t="shared" si="234"/>
        <v/>
      </c>
    </row>
    <row r="2996" spans="5:19" x14ac:dyDescent="0.3">
      <c r="E2996" s="9" t="str">
        <f>IF(DADOS!C2996="","",DADOS!C2996)</f>
        <v/>
      </c>
      <c r="F2996" s="9" t="str">
        <f>IF(DADOS!E2996="","",DADOS!E2996)</f>
        <v/>
      </c>
      <c r="G2996" s="9" t="str">
        <f>IF(DADOS!F2996="","",DADOS!F2996)</f>
        <v/>
      </c>
      <c r="K2996" s="6" t="str">
        <f t="shared" si="235"/>
        <v/>
      </c>
      <c r="L2996" s="7" t="str">
        <f t="shared" si="236"/>
        <v/>
      </c>
      <c r="M2996" s="7" t="str">
        <f t="shared" si="233"/>
        <v/>
      </c>
      <c r="N2996" s="7" t="str">
        <f t="shared" si="237"/>
        <v/>
      </c>
      <c r="O2996" s="8"/>
      <c r="P2996" s="26"/>
      <c r="S2996" s="10" t="str">
        <f t="shared" si="234"/>
        <v/>
      </c>
    </row>
    <row r="2997" spans="5:19" x14ac:dyDescent="0.3">
      <c r="E2997" s="9" t="str">
        <f>IF(DADOS!C2997="","",DADOS!C2997)</f>
        <v/>
      </c>
      <c r="F2997" s="9" t="str">
        <f>IF(DADOS!E2997="","",DADOS!E2997)</f>
        <v/>
      </c>
      <c r="G2997" s="9" t="str">
        <f>IF(DADOS!F2997="","",DADOS!F2997)</f>
        <v/>
      </c>
      <c r="K2997" s="6" t="str">
        <f t="shared" si="235"/>
        <v/>
      </c>
      <c r="L2997" s="7" t="str">
        <f t="shared" si="236"/>
        <v/>
      </c>
      <c r="M2997" s="7" t="str">
        <f t="shared" si="233"/>
        <v/>
      </c>
      <c r="N2997" s="7" t="str">
        <f t="shared" si="237"/>
        <v/>
      </c>
      <c r="O2997" s="8"/>
      <c r="P2997" s="26"/>
      <c r="S2997" s="10" t="str">
        <f t="shared" si="234"/>
        <v/>
      </c>
    </row>
    <row r="2998" spans="5:19" x14ac:dyDescent="0.3">
      <c r="E2998" s="9" t="str">
        <f>IF(DADOS!C2998="","",DADOS!C2998)</f>
        <v/>
      </c>
      <c r="F2998" s="9" t="str">
        <f>IF(DADOS!E2998="","",DADOS!E2998)</f>
        <v/>
      </c>
      <c r="G2998" s="9" t="str">
        <f>IF(DADOS!F2998="","",DADOS!F2998)</f>
        <v/>
      </c>
      <c r="K2998" s="6" t="str">
        <f t="shared" si="235"/>
        <v/>
      </c>
      <c r="L2998" s="7" t="str">
        <f t="shared" si="236"/>
        <v/>
      </c>
      <c r="M2998" s="7" t="str">
        <f t="shared" si="233"/>
        <v/>
      </c>
      <c r="N2998" s="7" t="str">
        <f t="shared" si="237"/>
        <v/>
      </c>
      <c r="O2998" s="8"/>
      <c r="P2998" s="26"/>
      <c r="S2998" s="10" t="str">
        <f t="shared" si="234"/>
        <v/>
      </c>
    </row>
    <row r="2999" spans="5:19" x14ac:dyDescent="0.3">
      <c r="E2999" s="9" t="str">
        <f>IF(DADOS!C2999="","",DADOS!C2999)</f>
        <v/>
      </c>
      <c r="F2999" s="9" t="str">
        <f>IF(DADOS!E2999="","",DADOS!E2999)</f>
        <v/>
      </c>
      <c r="G2999" s="9" t="str">
        <f>IF(DADOS!F2999="","",DADOS!F2999)</f>
        <v/>
      </c>
      <c r="K2999" s="6" t="str">
        <f t="shared" si="235"/>
        <v/>
      </c>
      <c r="L2999" s="7" t="str">
        <f t="shared" si="236"/>
        <v/>
      </c>
      <c r="M2999" s="7" t="str">
        <f t="shared" si="233"/>
        <v/>
      </c>
      <c r="N2999" s="7" t="str">
        <f t="shared" si="237"/>
        <v/>
      </c>
      <c r="O2999" s="8"/>
      <c r="P2999" s="26"/>
      <c r="S2999" s="10" t="str">
        <f t="shared" si="234"/>
        <v/>
      </c>
    </row>
    <row r="3000" spans="5:19" x14ac:dyDescent="0.3">
      <c r="E3000" s="9" t="str">
        <f>IF(DADOS!C3000="","",DADOS!C3000)</f>
        <v/>
      </c>
      <c r="F3000" s="9" t="str">
        <f>IF(DADOS!E3000="","",DADOS!E3000)</f>
        <v/>
      </c>
      <c r="G3000" s="9" t="str">
        <f>IF(DADOS!F3000="","",DADOS!F3000)</f>
        <v/>
      </c>
      <c r="K3000" s="6" t="str">
        <f t="shared" si="235"/>
        <v/>
      </c>
      <c r="L3000" s="7" t="str">
        <f t="shared" si="236"/>
        <v/>
      </c>
      <c r="M3000" s="7" t="str">
        <f t="shared" si="233"/>
        <v/>
      </c>
      <c r="N3000" s="7" t="str">
        <f t="shared" si="237"/>
        <v/>
      </c>
      <c r="O3000" s="8"/>
      <c r="P3000" s="26"/>
      <c r="S3000" s="10" t="str">
        <f t="shared" si="234"/>
        <v/>
      </c>
    </row>
    <row r="3001" spans="5:19" x14ac:dyDescent="0.3">
      <c r="E3001" s="9" t="str">
        <f>IF(DADOS!C3001="","",DADOS!C3001)</f>
        <v/>
      </c>
      <c r="F3001" s="9" t="str">
        <f>IF(DADOS!E3001="","",DADOS!E3001)</f>
        <v/>
      </c>
      <c r="G3001" s="9" t="str">
        <f>IF(DADOS!F3001="","",DADOS!F3001)</f>
        <v/>
      </c>
      <c r="K3001" s="6" t="str">
        <f t="shared" si="235"/>
        <v/>
      </c>
      <c r="L3001" s="7" t="str">
        <f t="shared" si="236"/>
        <v/>
      </c>
      <c r="M3001" s="7" t="str">
        <f t="shared" si="233"/>
        <v/>
      </c>
      <c r="N3001" s="7" t="str">
        <f t="shared" si="237"/>
        <v/>
      </c>
      <c r="O3001" s="8"/>
      <c r="P3001" s="26"/>
      <c r="S3001" s="10" t="str">
        <f t="shared" si="234"/>
        <v/>
      </c>
    </row>
    <row r="3002" spans="5:19" x14ac:dyDescent="0.3">
      <c r="E3002" s="9" t="str">
        <f>IF(DADOS!C3002="","",DADOS!C3002)</f>
        <v/>
      </c>
      <c r="F3002" s="9" t="str">
        <f>IF(DADOS!E3002="","",DADOS!E3002)</f>
        <v/>
      </c>
      <c r="G3002" s="9" t="str">
        <f>IF(DADOS!F3002="","",DADOS!F3002)</f>
        <v/>
      </c>
      <c r="K3002" s="6" t="str">
        <f t="shared" si="235"/>
        <v/>
      </c>
      <c r="L3002" s="7" t="str">
        <f t="shared" si="236"/>
        <v/>
      </c>
      <c r="M3002" s="7" t="str">
        <f t="shared" si="233"/>
        <v/>
      </c>
      <c r="N3002" s="7" t="str">
        <f t="shared" si="237"/>
        <v/>
      </c>
      <c r="O3002" s="8"/>
      <c r="P3002" s="26"/>
      <c r="S3002" s="10" t="str">
        <f t="shared" si="234"/>
        <v/>
      </c>
    </row>
    <row r="3003" spans="5:19" x14ac:dyDescent="0.3">
      <c r="E3003" s="9" t="str">
        <f>IF(DADOS!C3003="","",DADOS!C3003)</f>
        <v/>
      </c>
      <c r="F3003" s="9" t="str">
        <f>IF(DADOS!E3003="","",DADOS!E3003)</f>
        <v/>
      </c>
      <c r="G3003" s="9" t="str">
        <f>IF(DADOS!F3003="","",DADOS!F3003)</f>
        <v/>
      </c>
      <c r="K3003" s="6" t="str">
        <f t="shared" si="235"/>
        <v/>
      </c>
      <c r="L3003" s="7" t="str">
        <f t="shared" si="236"/>
        <v/>
      </c>
      <c r="M3003" s="7" t="str">
        <f t="shared" si="233"/>
        <v/>
      </c>
      <c r="N3003" s="7" t="str">
        <f t="shared" si="237"/>
        <v/>
      </c>
      <c r="O3003" s="8"/>
      <c r="P3003" s="26"/>
      <c r="S3003" s="10" t="str">
        <f t="shared" si="234"/>
        <v/>
      </c>
    </row>
    <row r="3004" spans="5:19" x14ac:dyDescent="0.3">
      <c r="E3004" s="9" t="str">
        <f>IF(DADOS!C3004="","",DADOS!C3004)</f>
        <v/>
      </c>
      <c r="F3004" s="9" t="str">
        <f>IF(DADOS!E3004="","",DADOS!E3004)</f>
        <v/>
      </c>
      <c r="G3004" s="9" t="str">
        <f>IF(DADOS!F3004="","",DADOS!F3004)</f>
        <v/>
      </c>
      <c r="K3004" s="6" t="str">
        <f t="shared" si="235"/>
        <v/>
      </c>
      <c r="L3004" s="7" t="str">
        <f t="shared" si="236"/>
        <v/>
      </c>
      <c r="M3004" s="7" t="str">
        <f t="shared" si="233"/>
        <v/>
      </c>
      <c r="N3004" s="7" t="str">
        <f t="shared" si="237"/>
        <v/>
      </c>
      <c r="O3004" s="8"/>
      <c r="P3004" s="26"/>
      <c r="S3004" s="10" t="str">
        <f t="shared" si="234"/>
        <v/>
      </c>
    </row>
    <row r="3005" spans="5:19" x14ac:dyDescent="0.3">
      <c r="E3005" s="9" t="str">
        <f>IF(DADOS!C3005="","",DADOS!C3005)</f>
        <v/>
      </c>
      <c r="F3005" s="9" t="str">
        <f>IF(DADOS!E3005="","",DADOS!E3005)</f>
        <v/>
      </c>
      <c r="G3005" s="9" t="str">
        <f>IF(DADOS!F3005="","",DADOS!F3005)</f>
        <v/>
      </c>
      <c r="K3005" s="6" t="str">
        <f t="shared" si="235"/>
        <v/>
      </c>
      <c r="L3005" s="7" t="str">
        <f t="shared" si="236"/>
        <v/>
      </c>
      <c r="M3005" s="7" t="str">
        <f t="shared" si="233"/>
        <v/>
      </c>
      <c r="N3005" s="7" t="str">
        <f t="shared" si="237"/>
        <v/>
      </c>
      <c r="O3005" s="8"/>
      <c r="P3005" s="26"/>
      <c r="S3005" s="10" t="str">
        <f t="shared" si="234"/>
        <v/>
      </c>
    </row>
    <row r="3006" spans="5:19" x14ac:dyDescent="0.3">
      <c r="E3006" s="9" t="str">
        <f>IF(DADOS!C3006="","",DADOS!C3006)</f>
        <v/>
      </c>
      <c r="F3006" s="9" t="str">
        <f>IF(DADOS!E3006="","",DADOS!E3006)</f>
        <v/>
      </c>
      <c r="G3006" s="9" t="str">
        <f>IF(DADOS!F3006="","",DADOS!F3006)</f>
        <v/>
      </c>
      <c r="K3006" s="6" t="str">
        <f t="shared" si="235"/>
        <v/>
      </c>
      <c r="L3006" s="7" t="str">
        <f t="shared" si="236"/>
        <v/>
      </c>
      <c r="M3006" s="7" t="str">
        <f t="shared" si="233"/>
        <v/>
      </c>
      <c r="N3006" s="7" t="str">
        <f t="shared" si="237"/>
        <v/>
      </c>
      <c r="O3006" s="8"/>
      <c r="P3006" s="26"/>
      <c r="S3006" s="10" t="str">
        <f t="shared" si="234"/>
        <v/>
      </c>
    </row>
    <row r="3007" spans="5:19" x14ac:dyDescent="0.3">
      <c r="E3007" s="9" t="str">
        <f>IF(DADOS!C3007="","",DADOS!C3007)</f>
        <v/>
      </c>
      <c r="F3007" s="9" t="str">
        <f>IF(DADOS!E3007="","",DADOS!E3007)</f>
        <v/>
      </c>
      <c r="G3007" s="9" t="str">
        <f>IF(DADOS!F3007="","",DADOS!F3007)</f>
        <v/>
      </c>
      <c r="K3007" s="6" t="str">
        <f t="shared" si="235"/>
        <v/>
      </c>
      <c r="L3007" s="7" t="str">
        <f t="shared" si="236"/>
        <v/>
      </c>
      <c r="M3007" s="7" t="str">
        <f t="shared" si="233"/>
        <v/>
      </c>
      <c r="N3007" s="7" t="str">
        <f t="shared" si="237"/>
        <v/>
      </c>
      <c r="O3007" s="8"/>
      <c r="P3007" s="26"/>
      <c r="S3007" s="10" t="str">
        <f t="shared" si="234"/>
        <v/>
      </c>
    </row>
    <row r="3008" spans="5:19" x14ac:dyDescent="0.3">
      <c r="E3008" s="9" t="str">
        <f>IF(DADOS!C3008="","",DADOS!C3008)</f>
        <v/>
      </c>
      <c r="F3008" s="9" t="str">
        <f>IF(DADOS!E3008="","",DADOS!E3008)</f>
        <v/>
      </c>
      <c r="G3008" s="9" t="str">
        <f>IF(DADOS!F3008="","",DADOS!F3008)</f>
        <v/>
      </c>
      <c r="K3008" s="6" t="str">
        <f t="shared" si="235"/>
        <v/>
      </c>
      <c r="L3008" s="7" t="str">
        <f t="shared" si="236"/>
        <v/>
      </c>
      <c r="M3008" s="7" t="str">
        <f t="shared" si="233"/>
        <v/>
      </c>
      <c r="N3008" s="7" t="str">
        <f t="shared" si="237"/>
        <v/>
      </c>
      <c r="O3008" s="8"/>
      <c r="P3008" s="26"/>
      <c r="S3008" s="10" t="str">
        <f t="shared" si="234"/>
        <v/>
      </c>
    </row>
    <row r="3009" spans="5:19" x14ac:dyDescent="0.3">
      <c r="E3009" s="9" t="str">
        <f>IF(DADOS!C3009="","",DADOS!C3009)</f>
        <v/>
      </c>
      <c r="F3009" s="9" t="str">
        <f>IF(DADOS!E3009="","",DADOS!E3009)</f>
        <v/>
      </c>
      <c r="G3009" s="9" t="str">
        <f>IF(DADOS!F3009="","",DADOS!F3009)</f>
        <v/>
      </c>
      <c r="K3009" s="6" t="str">
        <f t="shared" si="235"/>
        <v/>
      </c>
      <c r="L3009" s="7" t="str">
        <f t="shared" si="236"/>
        <v/>
      </c>
      <c r="M3009" s="7" t="str">
        <f t="shared" si="233"/>
        <v/>
      </c>
      <c r="N3009" s="7" t="str">
        <f t="shared" si="237"/>
        <v/>
      </c>
      <c r="O3009" s="8"/>
      <c r="P3009" s="26"/>
      <c r="S3009" s="10" t="str">
        <f t="shared" si="234"/>
        <v/>
      </c>
    </row>
    <row r="3010" spans="5:19" x14ac:dyDescent="0.3">
      <c r="E3010" s="9" t="str">
        <f>IF(DADOS!C3010="","",DADOS!C3010)</f>
        <v/>
      </c>
      <c r="F3010" s="9" t="str">
        <f>IF(DADOS!E3010="","",DADOS!E3010)</f>
        <v/>
      </c>
      <c r="G3010" s="9" t="str">
        <f>IF(DADOS!F3010="","",DADOS!F3010)</f>
        <v/>
      </c>
      <c r="K3010" s="6" t="str">
        <f t="shared" si="235"/>
        <v/>
      </c>
      <c r="L3010" s="7" t="str">
        <f t="shared" si="236"/>
        <v/>
      </c>
      <c r="M3010" s="7" t="str">
        <f t="shared" si="233"/>
        <v/>
      </c>
      <c r="N3010" s="7" t="str">
        <f t="shared" si="237"/>
        <v/>
      </c>
      <c r="O3010" s="8"/>
      <c r="P3010" s="26"/>
      <c r="S3010" s="10" t="str">
        <f t="shared" si="234"/>
        <v/>
      </c>
    </row>
    <row r="3011" spans="5:19" x14ac:dyDescent="0.3">
      <c r="E3011" s="9" t="str">
        <f>IF(DADOS!C3011="","",DADOS!C3011)</f>
        <v/>
      </c>
      <c r="F3011" s="9" t="str">
        <f>IF(DADOS!E3011="","",DADOS!E3011)</f>
        <v/>
      </c>
      <c r="G3011" s="9" t="str">
        <f>IF(DADOS!F3011="","",DADOS!F3011)</f>
        <v/>
      </c>
      <c r="K3011" s="6" t="str">
        <f t="shared" si="235"/>
        <v/>
      </c>
      <c r="L3011" s="7" t="str">
        <f t="shared" si="236"/>
        <v/>
      </c>
      <c r="M3011" s="7" t="str">
        <f t="shared" ref="M3011:M3074" si="238">IF(L3011="","",L3011*G3011)</f>
        <v/>
      </c>
      <c r="N3011" s="7" t="str">
        <f t="shared" si="237"/>
        <v/>
      </c>
      <c r="O3011" s="8"/>
      <c r="P3011" s="26"/>
      <c r="S3011" s="10" t="str">
        <f t="shared" ref="S3011:S3074" si="239">IF(R3011="","",SUMIFS($N$3:$N$10000,$E$3:$E$10000,R3011))</f>
        <v/>
      </c>
    </row>
    <row r="3012" spans="5:19" x14ac:dyDescent="0.3">
      <c r="E3012" s="9" t="str">
        <f>IF(DADOS!C3012="","",DADOS!C3012)</f>
        <v/>
      </c>
      <c r="F3012" s="9" t="str">
        <f>IF(DADOS!E3012="","",DADOS!E3012)</f>
        <v/>
      </c>
      <c r="G3012" s="9" t="str">
        <f>IF(DADOS!F3012="","",DADOS!F3012)</f>
        <v/>
      </c>
      <c r="K3012" s="6" t="str">
        <f t="shared" ref="K3012:K3075" si="240">IF(F3012="","",F3012/PI())</f>
        <v/>
      </c>
      <c r="L3012" s="7" t="str">
        <f t="shared" ref="L3012:L3075" si="241">IF(K3012="","",(PI()*K3012^2)/40000)</f>
        <v/>
      </c>
      <c r="M3012" s="7" t="str">
        <f t="shared" si="238"/>
        <v/>
      </c>
      <c r="N3012" s="7" t="str">
        <f t="shared" ref="N3012:N3075" si="242">IF(M3012="","",M3012*N$1)</f>
        <v/>
      </c>
      <c r="O3012" s="8"/>
      <c r="P3012" s="26"/>
      <c r="S3012" s="10" t="str">
        <f t="shared" si="239"/>
        <v/>
      </c>
    </row>
    <row r="3013" spans="5:19" x14ac:dyDescent="0.3">
      <c r="E3013" s="9" t="str">
        <f>IF(DADOS!C3013="","",DADOS!C3013)</f>
        <v/>
      </c>
      <c r="F3013" s="9" t="str">
        <f>IF(DADOS!E3013="","",DADOS!E3013)</f>
        <v/>
      </c>
      <c r="G3013" s="9" t="str">
        <f>IF(DADOS!F3013="","",DADOS!F3013)</f>
        <v/>
      </c>
      <c r="K3013" s="6" t="str">
        <f t="shared" si="240"/>
        <v/>
      </c>
      <c r="L3013" s="7" t="str">
        <f t="shared" si="241"/>
        <v/>
      </c>
      <c r="M3013" s="7" t="str">
        <f t="shared" si="238"/>
        <v/>
      </c>
      <c r="N3013" s="7" t="str">
        <f t="shared" si="242"/>
        <v/>
      </c>
      <c r="O3013" s="8"/>
      <c r="P3013" s="26"/>
      <c r="S3013" s="10" t="str">
        <f t="shared" si="239"/>
        <v/>
      </c>
    </row>
    <row r="3014" spans="5:19" x14ac:dyDescent="0.3">
      <c r="E3014" s="9" t="str">
        <f>IF(DADOS!C3014="","",DADOS!C3014)</f>
        <v/>
      </c>
      <c r="F3014" s="9" t="str">
        <f>IF(DADOS!E3014="","",DADOS!E3014)</f>
        <v/>
      </c>
      <c r="G3014" s="9" t="str">
        <f>IF(DADOS!F3014="","",DADOS!F3014)</f>
        <v/>
      </c>
      <c r="K3014" s="6" t="str">
        <f t="shared" si="240"/>
        <v/>
      </c>
      <c r="L3014" s="7" t="str">
        <f t="shared" si="241"/>
        <v/>
      </c>
      <c r="M3014" s="7" t="str">
        <f t="shared" si="238"/>
        <v/>
      </c>
      <c r="N3014" s="7" t="str">
        <f t="shared" si="242"/>
        <v/>
      </c>
      <c r="O3014" s="8"/>
      <c r="P3014" s="26"/>
      <c r="S3014" s="10" t="str">
        <f t="shared" si="239"/>
        <v/>
      </c>
    </row>
    <row r="3015" spans="5:19" x14ac:dyDescent="0.3">
      <c r="E3015" s="9" t="str">
        <f>IF(DADOS!C3015="","",DADOS!C3015)</f>
        <v/>
      </c>
      <c r="F3015" s="9" t="str">
        <f>IF(DADOS!E3015="","",DADOS!E3015)</f>
        <v/>
      </c>
      <c r="G3015" s="9" t="str">
        <f>IF(DADOS!F3015="","",DADOS!F3015)</f>
        <v/>
      </c>
      <c r="K3015" s="6" t="str">
        <f t="shared" si="240"/>
        <v/>
      </c>
      <c r="L3015" s="7" t="str">
        <f t="shared" si="241"/>
        <v/>
      </c>
      <c r="M3015" s="7" t="str">
        <f t="shared" si="238"/>
        <v/>
      </c>
      <c r="N3015" s="7" t="str">
        <f t="shared" si="242"/>
        <v/>
      </c>
      <c r="O3015" s="8"/>
      <c r="P3015" s="26"/>
      <c r="S3015" s="10" t="str">
        <f t="shared" si="239"/>
        <v/>
      </c>
    </row>
    <row r="3016" spans="5:19" x14ac:dyDescent="0.3">
      <c r="E3016" s="9" t="str">
        <f>IF(DADOS!C3016="","",DADOS!C3016)</f>
        <v/>
      </c>
      <c r="F3016" s="9" t="str">
        <f>IF(DADOS!E3016="","",DADOS!E3016)</f>
        <v/>
      </c>
      <c r="G3016" s="9" t="str">
        <f>IF(DADOS!F3016="","",DADOS!F3016)</f>
        <v/>
      </c>
      <c r="K3016" s="6" t="str">
        <f t="shared" si="240"/>
        <v/>
      </c>
      <c r="L3016" s="7" t="str">
        <f t="shared" si="241"/>
        <v/>
      </c>
      <c r="M3016" s="7" t="str">
        <f t="shared" si="238"/>
        <v/>
      </c>
      <c r="N3016" s="7" t="str">
        <f t="shared" si="242"/>
        <v/>
      </c>
      <c r="O3016" s="8"/>
      <c r="P3016" s="26"/>
      <c r="S3016" s="10" t="str">
        <f t="shared" si="239"/>
        <v/>
      </c>
    </row>
    <row r="3017" spans="5:19" x14ac:dyDescent="0.3">
      <c r="E3017" s="9" t="str">
        <f>IF(DADOS!C3017="","",DADOS!C3017)</f>
        <v/>
      </c>
      <c r="F3017" s="9" t="str">
        <f>IF(DADOS!E3017="","",DADOS!E3017)</f>
        <v/>
      </c>
      <c r="G3017" s="9" t="str">
        <f>IF(DADOS!F3017="","",DADOS!F3017)</f>
        <v/>
      </c>
      <c r="K3017" s="6" t="str">
        <f t="shared" si="240"/>
        <v/>
      </c>
      <c r="L3017" s="7" t="str">
        <f t="shared" si="241"/>
        <v/>
      </c>
      <c r="M3017" s="7" t="str">
        <f t="shared" si="238"/>
        <v/>
      </c>
      <c r="N3017" s="7" t="str">
        <f t="shared" si="242"/>
        <v/>
      </c>
      <c r="O3017" s="8"/>
      <c r="P3017" s="26"/>
      <c r="S3017" s="10" t="str">
        <f t="shared" si="239"/>
        <v/>
      </c>
    </row>
    <row r="3018" spans="5:19" x14ac:dyDescent="0.3">
      <c r="E3018" s="9" t="str">
        <f>IF(DADOS!C3018="","",DADOS!C3018)</f>
        <v/>
      </c>
      <c r="F3018" s="9" t="str">
        <f>IF(DADOS!E3018="","",DADOS!E3018)</f>
        <v/>
      </c>
      <c r="G3018" s="9" t="str">
        <f>IF(DADOS!F3018="","",DADOS!F3018)</f>
        <v/>
      </c>
      <c r="K3018" s="6" t="str">
        <f t="shared" si="240"/>
        <v/>
      </c>
      <c r="L3018" s="7" t="str">
        <f t="shared" si="241"/>
        <v/>
      </c>
      <c r="M3018" s="7" t="str">
        <f t="shared" si="238"/>
        <v/>
      </c>
      <c r="N3018" s="7" t="str">
        <f t="shared" si="242"/>
        <v/>
      </c>
      <c r="O3018" s="8"/>
      <c r="P3018" s="26"/>
      <c r="S3018" s="10" t="str">
        <f t="shared" si="239"/>
        <v/>
      </c>
    </row>
    <row r="3019" spans="5:19" x14ac:dyDescent="0.3">
      <c r="E3019" s="9" t="str">
        <f>IF(DADOS!C3019="","",DADOS!C3019)</f>
        <v/>
      </c>
      <c r="F3019" s="9" t="str">
        <f>IF(DADOS!E3019="","",DADOS!E3019)</f>
        <v/>
      </c>
      <c r="G3019" s="9" t="str">
        <f>IF(DADOS!F3019="","",DADOS!F3019)</f>
        <v/>
      </c>
      <c r="K3019" s="6" t="str">
        <f t="shared" si="240"/>
        <v/>
      </c>
      <c r="L3019" s="7" t="str">
        <f t="shared" si="241"/>
        <v/>
      </c>
      <c r="M3019" s="7" t="str">
        <f t="shared" si="238"/>
        <v/>
      </c>
      <c r="N3019" s="7" t="str">
        <f t="shared" si="242"/>
        <v/>
      </c>
      <c r="O3019" s="8"/>
      <c r="P3019" s="26"/>
      <c r="S3019" s="10" t="str">
        <f t="shared" si="239"/>
        <v/>
      </c>
    </row>
    <row r="3020" spans="5:19" x14ac:dyDescent="0.3">
      <c r="E3020" s="9" t="str">
        <f>IF(DADOS!C3020="","",DADOS!C3020)</f>
        <v/>
      </c>
      <c r="F3020" s="9" t="str">
        <f>IF(DADOS!E3020="","",DADOS!E3020)</f>
        <v/>
      </c>
      <c r="G3020" s="9" t="str">
        <f>IF(DADOS!F3020="","",DADOS!F3020)</f>
        <v/>
      </c>
      <c r="K3020" s="6" t="str">
        <f t="shared" si="240"/>
        <v/>
      </c>
      <c r="L3020" s="7" t="str">
        <f t="shared" si="241"/>
        <v/>
      </c>
      <c r="M3020" s="7" t="str">
        <f t="shared" si="238"/>
        <v/>
      </c>
      <c r="N3020" s="7" t="str">
        <f t="shared" si="242"/>
        <v/>
      </c>
      <c r="O3020" s="8"/>
      <c r="P3020" s="26"/>
      <c r="S3020" s="10" t="str">
        <f t="shared" si="239"/>
        <v/>
      </c>
    </row>
    <row r="3021" spans="5:19" x14ac:dyDescent="0.3">
      <c r="E3021" s="9" t="str">
        <f>IF(DADOS!C3021="","",DADOS!C3021)</f>
        <v/>
      </c>
      <c r="F3021" s="9" t="str">
        <f>IF(DADOS!E3021="","",DADOS!E3021)</f>
        <v/>
      </c>
      <c r="G3021" s="9" t="str">
        <f>IF(DADOS!F3021="","",DADOS!F3021)</f>
        <v/>
      </c>
      <c r="K3021" s="6" t="str">
        <f t="shared" si="240"/>
        <v/>
      </c>
      <c r="L3021" s="7" t="str">
        <f t="shared" si="241"/>
        <v/>
      </c>
      <c r="M3021" s="7" t="str">
        <f t="shared" si="238"/>
        <v/>
      </c>
      <c r="N3021" s="7" t="str">
        <f t="shared" si="242"/>
        <v/>
      </c>
      <c r="O3021" s="8"/>
      <c r="P3021" s="26"/>
      <c r="S3021" s="10" t="str">
        <f t="shared" si="239"/>
        <v/>
      </c>
    </row>
    <row r="3022" spans="5:19" x14ac:dyDescent="0.3">
      <c r="E3022" s="9" t="str">
        <f>IF(DADOS!C3022="","",DADOS!C3022)</f>
        <v/>
      </c>
      <c r="F3022" s="9" t="str">
        <f>IF(DADOS!E3022="","",DADOS!E3022)</f>
        <v/>
      </c>
      <c r="G3022" s="9" t="str">
        <f>IF(DADOS!F3022="","",DADOS!F3022)</f>
        <v/>
      </c>
      <c r="K3022" s="6" t="str">
        <f t="shared" si="240"/>
        <v/>
      </c>
      <c r="L3022" s="7" t="str">
        <f t="shared" si="241"/>
        <v/>
      </c>
      <c r="M3022" s="7" t="str">
        <f t="shared" si="238"/>
        <v/>
      </c>
      <c r="N3022" s="7" t="str">
        <f t="shared" si="242"/>
        <v/>
      </c>
      <c r="O3022" s="8"/>
      <c r="P3022" s="26"/>
      <c r="S3022" s="10" t="str">
        <f t="shared" si="239"/>
        <v/>
      </c>
    </row>
    <row r="3023" spans="5:19" x14ac:dyDescent="0.3">
      <c r="E3023" s="9" t="str">
        <f>IF(DADOS!C3023="","",DADOS!C3023)</f>
        <v/>
      </c>
      <c r="F3023" s="9" t="str">
        <f>IF(DADOS!E3023="","",DADOS!E3023)</f>
        <v/>
      </c>
      <c r="G3023" s="9" t="str">
        <f>IF(DADOS!F3023="","",DADOS!F3023)</f>
        <v/>
      </c>
      <c r="K3023" s="6" t="str">
        <f t="shared" si="240"/>
        <v/>
      </c>
      <c r="L3023" s="7" t="str">
        <f t="shared" si="241"/>
        <v/>
      </c>
      <c r="M3023" s="7" t="str">
        <f t="shared" si="238"/>
        <v/>
      </c>
      <c r="N3023" s="7" t="str">
        <f t="shared" si="242"/>
        <v/>
      </c>
      <c r="O3023" s="8"/>
      <c r="P3023" s="26"/>
      <c r="S3023" s="10" t="str">
        <f t="shared" si="239"/>
        <v/>
      </c>
    </row>
    <row r="3024" spans="5:19" x14ac:dyDescent="0.3">
      <c r="E3024" s="9" t="str">
        <f>IF(DADOS!C3024="","",DADOS!C3024)</f>
        <v/>
      </c>
      <c r="F3024" s="9" t="str">
        <f>IF(DADOS!E3024="","",DADOS!E3024)</f>
        <v/>
      </c>
      <c r="G3024" s="9" t="str">
        <f>IF(DADOS!F3024="","",DADOS!F3024)</f>
        <v/>
      </c>
      <c r="K3024" s="6" t="str">
        <f t="shared" si="240"/>
        <v/>
      </c>
      <c r="L3024" s="7" t="str">
        <f t="shared" si="241"/>
        <v/>
      </c>
      <c r="M3024" s="7" t="str">
        <f t="shared" si="238"/>
        <v/>
      </c>
      <c r="N3024" s="7" t="str">
        <f t="shared" si="242"/>
        <v/>
      </c>
      <c r="O3024" s="8"/>
      <c r="P3024" s="26"/>
      <c r="S3024" s="10" t="str">
        <f t="shared" si="239"/>
        <v/>
      </c>
    </row>
    <row r="3025" spans="5:19" x14ac:dyDescent="0.3">
      <c r="E3025" s="9" t="str">
        <f>IF(DADOS!C3025="","",DADOS!C3025)</f>
        <v/>
      </c>
      <c r="F3025" s="9" t="str">
        <f>IF(DADOS!E3025="","",DADOS!E3025)</f>
        <v/>
      </c>
      <c r="G3025" s="9" t="str">
        <f>IF(DADOS!F3025="","",DADOS!F3025)</f>
        <v/>
      </c>
      <c r="K3025" s="6" t="str">
        <f t="shared" si="240"/>
        <v/>
      </c>
      <c r="L3025" s="7" t="str">
        <f t="shared" si="241"/>
        <v/>
      </c>
      <c r="M3025" s="7" t="str">
        <f t="shared" si="238"/>
        <v/>
      </c>
      <c r="N3025" s="7" t="str">
        <f t="shared" si="242"/>
        <v/>
      </c>
      <c r="O3025" s="8"/>
      <c r="P3025" s="26"/>
      <c r="S3025" s="10" t="str">
        <f t="shared" si="239"/>
        <v/>
      </c>
    </row>
    <row r="3026" spans="5:19" x14ac:dyDescent="0.3">
      <c r="E3026" s="9" t="str">
        <f>IF(DADOS!C3026="","",DADOS!C3026)</f>
        <v/>
      </c>
      <c r="F3026" s="9" t="str">
        <f>IF(DADOS!E3026="","",DADOS!E3026)</f>
        <v/>
      </c>
      <c r="G3026" s="9" t="str">
        <f>IF(DADOS!F3026="","",DADOS!F3026)</f>
        <v/>
      </c>
      <c r="K3026" s="6" t="str">
        <f t="shared" si="240"/>
        <v/>
      </c>
      <c r="L3026" s="7" t="str">
        <f t="shared" si="241"/>
        <v/>
      </c>
      <c r="M3026" s="7" t="str">
        <f t="shared" si="238"/>
        <v/>
      </c>
      <c r="N3026" s="7" t="str">
        <f t="shared" si="242"/>
        <v/>
      </c>
      <c r="O3026" s="8"/>
      <c r="P3026" s="26"/>
      <c r="S3026" s="10" t="str">
        <f t="shared" si="239"/>
        <v/>
      </c>
    </row>
    <row r="3027" spans="5:19" x14ac:dyDescent="0.3">
      <c r="E3027" s="9" t="str">
        <f>IF(DADOS!C3027="","",DADOS!C3027)</f>
        <v/>
      </c>
      <c r="F3027" s="9" t="str">
        <f>IF(DADOS!E3027="","",DADOS!E3027)</f>
        <v/>
      </c>
      <c r="G3027" s="9" t="str">
        <f>IF(DADOS!F3027="","",DADOS!F3027)</f>
        <v/>
      </c>
      <c r="K3027" s="6" t="str">
        <f t="shared" si="240"/>
        <v/>
      </c>
      <c r="L3027" s="7" t="str">
        <f t="shared" si="241"/>
        <v/>
      </c>
      <c r="M3027" s="7" t="str">
        <f t="shared" si="238"/>
        <v/>
      </c>
      <c r="N3027" s="7" t="str">
        <f t="shared" si="242"/>
        <v/>
      </c>
      <c r="O3027" s="8"/>
      <c r="P3027" s="26"/>
      <c r="S3027" s="10" t="str">
        <f t="shared" si="239"/>
        <v/>
      </c>
    </row>
    <row r="3028" spans="5:19" x14ac:dyDescent="0.3">
      <c r="E3028" s="9" t="str">
        <f>IF(DADOS!C3028="","",DADOS!C3028)</f>
        <v/>
      </c>
      <c r="F3028" s="9" t="str">
        <f>IF(DADOS!E3028="","",DADOS!E3028)</f>
        <v/>
      </c>
      <c r="G3028" s="9" t="str">
        <f>IF(DADOS!F3028="","",DADOS!F3028)</f>
        <v/>
      </c>
      <c r="K3028" s="6" t="str">
        <f t="shared" si="240"/>
        <v/>
      </c>
      <c r="L3028" s="7" t="str">
        <f t="shared" si="241"/>
        <v/>
      </c>
      <c r="M3028" s="7" t="str">
        <f t="shared" si="238"/>
        <v/>
      </c>
      <c r="N3028" s="7" t="str">
        <f t="shared" si="242"/>
        <v/>
      </c>
      <c r="O3028" s="8"/>
      <c r="P3028" s="26"/>
      <c r="S3028" s="10" t="str">
        <f t="shared" si="239"/>
        <v/>
      </c>
    </row>
    <row r="3029" spans="5:19" x14ac:dyDescent="0.3">
      <c r="E3029" s="9" t="str">
        <f>IF(DADOS!C3029="","",DADOS!C3029)</f>
        <v/>
      </c>
      <c r="F3029" s="9" t="str">
        <f>IF(DADOS!E3029="","",DADOS!E3029)</f>
        <v/>
      </c>
      <c r="G3029" s="9" t="str">
        <f>IF(DADOS!F3029="","",DADOS!F3029)</f>
        <v/>
      </c>
      <c r="K3029" s="6" t="str">
        <f t="shared" si="240"/>
        <v/>
      </c>
      <c r="L3029" s="7" t="str">
        <f t="shared" si="241"/>
        <v/>
      </c>
      <c r="M3029" s="7" t="str">
        <f t="shared" si="238"/>
        <v/>
      </c>
      <c r="N3029" s="7" t="str">
        <f t="shared" si="242"/>
        <v/>
      </c>
      <c r="O3029" s="8"/>
      <c r="P3029" s="26"/>
      <c r="S3029" s="10" t="str">
        <f t="shared" si="239"/>
        <v/>
      </c>
    </row>
    <row r="3030" spans="5:19" x14ac:dyDescent="0.3">
      <c r="E3030" s="9" t="str">
        <f>IF(DADOS!C3030="","",DADOS!C3030)</f>
        <v/>
      </c>
      <c r="F3030" s="9" t="str">
        <f>IF(DADOS!E3030="","",DADOS!E3030)</f>
        <v/>
      </c>
      <c r="G3030" s="9" t="str">
        <f>IF(DADOS!F3030="","",DADOS!F3030)</f>
        <v/>
      </c>
      <c r="K3030" s="6" t="str">
        <f t="shared" si="240"/>
        <v/>
      </c>
      <c r="L3030" s="7" t="str">
        <f t="shared" si="241"/>
        <v/>
      </c>
      <c r="M3030" s="7" t="str">
        <f t="shared" si="238"/>
        <v/>
      </c>
      <c r="N3030" s="7" t="str">
        <f t="shared" si="242"/>
        <v/>
      </c>
      <c r="O3030" s="8"/>
      <c r="P3030" s="26"/>
      <c r="S3030" s="10" t="str">
        <f t="shared" si="239"/>
        <v/>
      </c>
    </row>
    <row r="3031" spans="5:19" x14ac:dyDescent="0.3">
      <c r="E3031" s="9" t="str">
        <f>IF(DADOS!C3031="","",DADOS!C3031)</f>
        <v/>
      </c>
      <c r="F3031" s="9" t="str">
        <f>IF(DADOS!E3031="","",DADOS!E3031)</f>
        <v/>
      </c>
      <c r="G3031" s="9" t="str">
        <f>IF(DADOS!F3031="","",DADOS!F3031)</f>
        <v/>
      </c>
      <c r="K3031" s="6" t="str">
        <f t="shared" si="240"/>
        <v/>
      </c>
      <c r="L3031" s="7" t="str">
        <f t="shared" si="241"/>
        <v/>
      </c>
      <c r="M3031" s="7" t="str">
        <f t="shared" si="238"/>
        <v/>
      </c>
      <c r="N3031" s="7" t="str">
        <f t="shared" si="242"/>
        <v/>
      </c>
      <c r="O3031" s="8"/>
      <c r="P3031" s="26"/>
      <c r="S3031" s="10" t="str">
        <f t="shared" si="239"/>
        <v/>
      </c>
    </row>
    <row r="3032" spans="5:19" x14ac:dyDescent="0.3">
      <c r="E3032" s="9" t="str">
        <f>IF(DADOS!C3032="","",DADOS!C3032)</f>
        <v/>
      </c>
      <c r="F3032" s="9" t="str">
        <f>IF(DADOS!E3032="","",DADOS!E3032)</f>
        <v/>
      </c>
      <c r="G3032" s="9" t="str">
        <f>IF(DADOS!F3032="","",DADOS!F3032)</f>
        <v/>
      </c>
      <c r="K3032" s="6" t="str">
        <f t="shared" si="240"/>
        <v/>
      </c>
      <c r="L3032" s="7" t="str">
        <f t="shared" si="241"/>
        <v/>
      </c>
      <c r="M3032" s="7" t="str">
        <f t="shared" si="238"/>
        <v/>
      </c>
      <c r="N3032" s="7" t="str">
        <f t="shared" si="242"/>
        <v/>
      </c>
      <c r="O3032" s="8"/>
      <c r="P3032" s="26"/>
      <c r="S3032" s="10" t="str">
        <f t="shared" si="239"/>
        <v/>
      </c>
    </row>
    <row r="3033" spans="5:19" x14ac:dyDescent="0.3">
      <c r="E3033" s="9" t="str">
        <f>IF(DADOS!C3033="","",DADOS!C3033)</f>
        <v/>
      </c>
      <c r="F3033" s="9" t="str">
        <f>IF(DADOS!E3033="","",DADOS!E3033)</f>
        <v/>
      </c>
      <c r="G3033" s="9" t="str">
        <f>IF(DADOS!F3033="","",DADOS!F3033)</f>
        <v/>
      </c>
      <c r="K3033" s="6" t="str">
        <f t="shared" si="240"/>
        <v/>
      </c>
      <c r="L3033" s="7" t="str">
        <f t="shared" si="241"/>
        <v/>
      </c>
      <c r="M3033" s="7" t="str">
        <f t="shared" si="238"/>
        <v/>
      </c>
      <c r="N3033" s="7" t="str">
        <f t="shared" si="242"/>
        <v/>
      </c>
      <c r="O3033" s="8"/>
      <c r="P3033" s="26"/>
      <c r="S3033" s="10" t="str">
        <f t="shared" si="239"/>
        <v/>
      </c>
    </row>
    <row r="3034" spans="5:19" x14ac:dyDescent="0.3">
      <c r="E3034" s="9" t="str">
        <f>IF(DADOS!C3034="","",DADOS!C3034)</f>
        <v/>
      </c>
      <c r="F3034" s="9" t="str">
        <f>IF(DADOS!E3034="","",DADOS!E3034)</f>
        <v/>
      </c>
      <c r="G3034" s="9" t="str">
        <f>IF(DADOS!F3034="","",DADOS!F3034)</f>
        <v/>
      </c>
      <c r="K3034" s="6" t="str">
        <f t="shared" si="240"/>
        <v/>
      </c>
      <c r="L3034" s="7" t="str">
        <f t="shared" si="241"/>
        <v/>
      </c>
      <c r="M3034" s="7" t="str">
        <f t="shared" si="238"/>
        <v/>
      </c>
      <c r="N3034" s="7" t="str">
        <f t="shared" si="242"/>
        <v/>
      </c>
      <c r="O3034" s="8"/>
      <c r="P3034" s="26"/>
      <c r="S3034" s="10" t="str">
        <f t="shared" si="239"/>
        <v/>
      </c>
    </row>
    <row r="3035" spans="5:19" x14ac:dyDescent="0.3">
      <c r="E3035" s="9" t="str">
        <f>IF(DADOS!C3035="","",DADOS!C3035)</f>
        <v/>
      </c>
      <c r="F3035" s="9" t="str">
        <f>IF(DADOS!E3035="","",DADOS!E3035)</f>
        <v/>
      </c>
      <c r="G3035" s="9" t="str">
        <f>IF(DADOS!F3035="","",DADOS!F3035)</f>
        <v/>
      </c>
      <c r="K3035" s="6" t="str">
        <f t="shared" si="240"/>
        <v/>
      </c>
      <c r="L3035" s="7" t="str">
        <f t="shared" si="241"/>
        <v/>
      </c>
      <c r="M3035" s="7" t="str">
        <f t="shared" si="238"/>
        <v/>
      </c>
      <c r="N3035" s="7" t="str">
        <f t="shared" si="242"/>
        <v/>
      </c>
      <c r="O3035" s="8"/>
      <c r="P3035" s="26"/>
      <c r="S3035" s="10" t="str">
        <f t="shared" si="239"/>
        <v/>
      </c>
    </row>
    <row r="3036" spans="5:19" x14ac:dyDescent="0.3">
      <c r="E3036" s="9" t="str">
        <f>IF(DADOS!C3036="","",DADOS!C3036)</f>
        <v/>
      </c>
      <c r="F3036" s="9" t="str">
        <f>IF(DADOS!E3036="","",DADOS!E3036)</f>
        <v/>
      </c>
      <c r="G3036" s="9" t="str">
        <f>IF(DADOS!F3036="","",DADOS!F3036)</f>
        <v/>
      </c>
      <c r="K3036" s="6" t="str">
        <f t="shared" si="240"/>
        <v/>
      </c>
      <c r="L3036" s="7" t="str">
        <f t="shared" si="241"/>
        <v/>
      </c>
      <c r="M3036" s="7" t="str">
        <f t="shared" si="238"/>
        <v/>
      </c>
      <c r="N3036" s="7" t="str">
        <f t="shared" si="242"/>
        <v/>
      </c>
      <c r="O3036" s="8"/>
      <c r="P3036" s="26"/>
      <c r="S3036" s="10" t="str">
        <f t="shared" si="239"/>
        <v/>
      </c>
    </row>
    <row r="3037" spans="5:19" x14ac:dyDescent="0.3">
      <c r="E3037" s="9" t="str">
        <f>IF(DADOS!C3037="","",DADOS!C3037)</f>
        <v/>
      </c>
      <c r="F3037" s="9" t="str">
        <f>IF(DADOS!E3037="","",DADOS!E3037)</f>
        <v/>
      </c>
      <c r="G3037" s="9" t="str">
        <f>IF(DADOS!F3037="","",DADOS!F3037)</f>
        <v/>
      </c>
      <c r="K3037" s="6" t="str">
        <f t="shared" si="240"/>
        <v/>
      </c>
      <c r="L3037" s="7" t="str">
        <f t="shared" si="241"/>
        <v/>
      </c>
      <c r="M3037" s="7" t="str">
        <f t="shared" si="238"/>
        <v/>
      </c>
      <c r="N3037" s="7" t="str">
        <f t="shared" si="242"/>
        <v/>
      </c>
      <c r="O3037" s="8"/>
      <c r="P3037" s="26"/>
      <c r="S3037" s="10" t="str">
        <f t="shared" si="239"/>
        <v/>
      </c>
    </row>
    <row r="3038" spans="5:19" x14ac:dyDescent="0.3">
      <c r="E3038" s="9" t="str">
        <f>IF(DADOS!C3038="","",DADOS!C3038)</f>
        <v/>
      </c>
      <c r="F3038" s="9" t="str">
        <f>IF(DADOS!E3038="","",DADOS!E3038)</f>
        <v/>
      </c>
      <c r="G3038" s="9" t="str">
        <f>IF(DADOS!F3038="","",DADOS!F3038)</f>
        <v/>
      </c>
      <c r="K3038" s="6" t="str">
        <f t="shared" si="240"/>
        <v/>
      </c>
      <c r="L3038" s="7" t="str">
        <f t="shared" si="241"/>
        <v/>
      </c>
      <c r="M3038" s="7" t="str">
        <f t="shared" si="238"/>
        <v/>
      </c>
      <c r="N3038" s="7" t="str">
        <f t="shared" si="242"/>
        <v/>
      </c>
      <c r="O3038" s="8"/>
      <c r="P3038" s="26"/>
      <c r="S3038" s="10" t="str">
        <f t="shared" si="239"/>
        <v/>
      </c>
    </row>
    <row r="3039" spans="5:19" x14ac:dyDescent="0.3">
      <c r="E3039" s="9" t="str">
        <f>IF(DADOS!C3039="","",DADOS!C3039)</f>
        <v/>
      </c>
      <c r="F3039" s="9" t="str">
        <f>IF(DADOS!E3039="","",DADOS!E3039)</f>
        <v/>
      </c>
      <c r="G3039" s="9" t="str">
        <f>IF(DADOS!F3039="","",DADOS!F3039)</f>
        <v/>
      </c>
      <c r="K3039" s="6" t="str">
        <f t="shared" si="240"/>
        <v/>
      </c>
      <c r="L3039" s="7" t="str">
        <f t="shared" si="241"/>
        <v/>
      </c>
      <c r="M3039" s="7" t="str">
        <f t="shared" si="238"/>
        <v/>
      </c>
      <c r="N3039" s="7" t="str">
        <f t="shared" si="242"/>
        <v/>
      </c>
      <c r="O3039" s="8"/>
      <c r="P3039" s="26"/>
      <c r="S3039" s="10" t="str">
        <f t="shared" si="239"/>
        <v/>
      </c>
    </row>
    <row r="3040" spans="5:19" x14ac:dyDescent="0.3">
      <c r="E3040" s="9" t="str">
        <f>IF(DADOS!C3040="","",DADOS!C3040)</f>
        <v/>
      </c>
      <c r="F3040" s="9" t="str">
        <f>IF(DADOS!E3040="","",DADOS!E3040)</f>
        <v/>
      </c>
      <c r="G3040" s="9" t="str">
        <f>IF(DADOS!F3040="","",DADOS!F3040)</f>
        <v/>
      </c>
      <c r="K3040" s="6" t="str">
        <f t="shared" si="240"/>
        <v/>
      </c>
      <c r="L3040" s="7" t="str">
        <f t="shared" si="241"/>
        <v/>
      </c>
      <c r="M3040" s="7" t="str">
        <f t="shared" si="238"/>
        <v/>
      </c>
      <c r="N3040" s="7" t="str">
        <f t="shared" si="242"/>
        <v/>
      </c>
      <c r="O3040" s="8"/>
      <c r="P3040" s="26"/>
      <c r="S3040" s="10" t="str">
        <f t="shared" si="239"/>
        <v/>
      </c>
    </row>
    <row r="3041" spans="5:19" x14ac:dyDescent="0.3">
      <c r="E3041" s="9" t="str">
        <f>IF(DADOS!C3041="","",DADOS!C3041)</f>
        <v/>
      </c>
      <c r="F3041" s="9" t="str">
        <f>IF(DADOS!E3041="","",DADOS!E3041)</f>
        <v/>
      </c>
      <c r="G3041" s="9" t="str">
        <f>IF(DADOS!F3041="","",DADOS!F3041)</f>
        <v/>
      </c>
      <c r="K3041" s="6" t="str">
        <f t="shared" si="240"/>
        <v/>
      </c>
      <c r="L3041" s="7" t="str">
        <f t="shared" si="241"/>
        <v/>
      </c>
      <c r="M3041" s="7" t="str">
        <f t="shared" si="238"/>
        <v/>
      </c>
      <c r="N3041" s="7" t="str">
        <f t="shared" si="242"/>
        <v/>
      </c>
      <c r="O3041" s="8"/>
      <c r="P3041" s="26"/>
      <c r="S3041" s="10" t="str">
        <f t="shared" si="239"/>
        <v/>
      </c>
    </row>
    <row r="3042" spans="5:19" x14ac:dyDescent="0.3">
      <c r="E3042" s="9" t="str">
        <f>IF(DADOS!C3042="","",DADOS!C3042)</f>
        <v/>
      </c>
      <c r="F3042" s="9" t="str">
        <f>IF(DADOS!E3042="","",DADOS!E3042)</f>
        <v/>
      </c>
      <c r="G3042" s="9" t="str">
        <f>IF(DADOS!F3042="","",DADOS!F3042)</f>
        <v/>
      </c>
      <c r="K3042" s="6" t="str">
        <f t="shared" si="240"/>
        <v/>
      </c>
      <c r="L3042" s="7" t="str">
        <f t="shared" si="241"/>
        <v/>
      </c>
      <c r="M3042" s="7" t="str">
        <f t="shared" si="238"/>
        <v/>
      </c>
      <c r="N3042" s="7" t="str">
        <f t="shared" si="242"/>
        <v/>
      </c>
      <c r="O3042" s="8"/>
      <c r="P3042" s="26"/>
      <c r="S3042" s="10" t="str">
        <f t="shared" si="239"/>
        <v/>
      </c>
    </row>
    <row r="3043" spans="5:19" x14ac:dyDescent="0.3">
      <c r="E3043" s="9" t="str">
        <f>IF(DADOS!C3043="","",DADOS!C3043)</f>
        <v/>
      </c>
      <c r="F3043" s="9" t="str">
        <f>IF(DADOS!E3043="","",DADOS!E3043)</f>
        <v/>
      </c>
      <c r="G3043" s="9" t="str">
        <f>IF(DADOS!F3043="","",DADOS!F3043)</f>
        <v/>
      </c>
      <c r="K3043" s="6" t="str">
        <f t="shared" si="240"/>
        <v/>
      </c>
      <c r="L3043" s="7" t="str">
        <f t="shared" si="241"/>
        <v/>
      </c>
      <c r="M3043" s="7" t="str">
        <f t="shared" si="238"/>
        <v/>
      </c>
      <c r="N3043" s="7" t="str">
        <f t="shared" si="242"/>
        <v/>
      </c>
      <c r="O3043" s="8"/>
      <c r="P3043" s="26"/>
      <c r="S3043" s="10" t="str">
        <f t="shared" si="239"/>
        <v/>
      </c>
    </row>
    <row r="3044" spans="5:19" x14ac:dyDescent="0.3">
      <c r="E3044" s="9" t="str">
        <f>IF(DADOS!C3044="","",DADOS!C3044)</f>
        <v/>
      </c>
      <c r="F3044" s="9" t="str">
        <f>IF(DADOS!E3044="","",DADOS!E3044)</f>
        <v/>
      </c>
      <c r="G3044" s="9" t="str">
        <f>IF(DADOS!F3044="","",DADOS!F3044)</f>
        <v/>
      </c>
      <c r="K3044" s="6" t="str">
        <f t="shared" si="240"/>
        <v/>
      </c>
      <c r="L3044" s="7" t="str">
        <f t="shared" si="241"/>
        <v/>
      </c>
      <c r="M3044" s="7" t="str">
        <f t="shared" si="238"/>
        <v/>
      </c>
      <c r="N3044" s="7" t="str">
        <f t="shared" si="242"/>
        <v/>
      </c>
      <c r="O3044" s="8"/>
      <c r="P3044" s="26"/>
      <c r="S3044" s="10" t="str">
        <f t="shared" si="239"/>
        <v/>
      </c>
    </row>
    <row r="3045" spans="5:19" x14ac:dyDescent="0.3">
      <c r="E3045" s="9" t="str">
        <f>IF(DADOS!C3045="","",DADOS!C3045)</f>
        <v/>
      </c>
      <c r="F3045" s="9" t="str">
        <f>IF(DADOS!E3045="","",DADOS!E3045)</f>
        <v/>
      </c>
      <c r="G3045" s="9" t="str">
        <f>IF(DADOS!F3045="","",DADOS!F3045)</f>
        <v/>
      </c>
      <c r="K3045" s="6" t="str">
        <f t="shared" si="240"/>
        <v/>
      </c>
      <c r="L3045" s="7" t="str">
        <f t="shared" si="241"/>
        <v/>
      </c>
      <c r="M3045" s="7" t="str">
        <f t="shared" si="238"/>
        <v/>
      </c>
      <c r="N3045" s="7" t="str">
        <f t="shared" si="242"/>
        <v/>
      </c>
      <c r="O3045" s="8"/>
      <c r="P3045" s="26"/>
      <c r="S3045" s="10" t="str">
        <f t="shared" si="239"/>
        <v/>
      </c>
    </row>
    <row r="3046" spans="5:19" x14ac:dyDescent="0.3">
      <c r="E3046" s="9" t="str">
        <f>IF(DADOS!C3046="","",DADOS!C3046)</f>
        <v/>
      </c>
      <c r="F3046" s="9" t="str">
        <f>IF(DADOS!E3046="","",DADOS!E3046)</f>
        <v/>
      </c>
      <c r="G3046" s="9" t="str">
        <f>IF(DADOS!F3046="","",DADOS!F3046)</f>
        <v/>
      </c>
      <c r="K3046" s="6" t="str">
        <f t="shared" si="240"/>
        <v/>
      </c>
      <c r="L3046" s="7" t="str">
        <f t="shared" si="241"/>
        <v/>
      </c>
      <c r="M3046" s="7" t="str">
        <f t="shared" si="238"/>
        <v/>
      </c>
      <c r="N3046" s="7" t="str">
        <f t="shared" si="242"/>
        <v/>
      </c>
      <c r="O3046" s="8"/>
      <c r="P3046" s="26"/>
      <c r="S3046" s="10" t="str">
        <f t="shared" si="239"/>
        <v/>
      </c>
    </row>
    <row r="3047" spans="5:19" x14ac:dyDescent="0.3">
      <c r="E3047" s="9" t="str">
        <f>IF(DADOS!C3047="","",DADOS!C3047)</f>
        <v/>
      </c>
      <c r="F3047" s="9" t="str">
        <f>IF(DADOS!E3047="","",DADOS!E3047)</f>
        <v/>
      </c>
      <c r="G3047" s="9" t="str">
        <f>IF(DADOS!F3047="","",DADOS!F3047)</f>
        <v/>
      </c>
      <c r="K3047" s="6" t="str">
        <f t="shared" si="240"/>
        <v/>
      </c>
      <c r="L3047" s="7" t="str">
        <f t="shared" si="241"/>
        <v/>
      </c>
      <c r="M3047" s="7" t="str">
        <f t="shared" si="238"/>
        <v/>
      </c>
      <c r="N3047" s="7" t="str">
        <f t="shared" si="242"/>
        <v/>
      </c>
      <c r="O3047" s="8"/>
      <c r="P3047" s="26"/>
      <c r="S3047" s="10" t="str">
        <f t="shared" si="239"/>
        <v/>
      </c>
    </row>
    <row r="3048" spans="5:19" x14ac:dyDescent="0.3">
      <c r="E3048" s="9" t="str">
        <f>IF(DADOS!C3048="","",DADOS!C3048)</f>
        <v/>
      </c>
      <c r="F3048" s="9" t="str">
        <f>IF(DADOS!E3048="","",DADOS!E3048)</f>
        <v/>
      </c>
      <c r="G3048" s="9" t="str">
        <f>IF(DADOS!F3048="","",DADOS!F3048)</f>
        <v/>
      </c>
      <c r="K3048" s="6" t="str">
        <f t="shared" si="240"/>
        <v/>
      </c>
      <c r="L3048" s="7" t="str">
        <f t="shared" si="241"/>
        <v/>
      </c>
      <c r="M3048" s="7" t="str">
        <f t="shared" si="238"/>
        <v/>
      </c>
      <c r="N3048" s="7" t="str">
        <f t="shared" si="242"/>
        <v/>
      </c>
      <c r="O3048" s="8"/>
      <c r="P3048" s="26"/>
      <c r="S3048" s="10" t="str">
        <f t="shared" si="239"/>
        <v/>
      </c>
    </row>
    <row r="3049" spans="5:19" x14ac:dyDescent="0.3">
      <c r="E3049" s="9" t="str">
        <f>IF(DADOS!C3049="","",DADOS!C3049)</f>
        <v/>
      </c>
      <c r="F3049" s="9" t="str">
        <f>IF(DADOS!E3049="","",DADOS!E3049)</f>
        <v/>
      </c>
      <c r="G3049" s="9" t="str">
        <f>IF(DADOS!F3049="","",DADOS!F3049)</f>
        <v/>
      </c>
      <c r="K3049" s="6" t="str">
        <f t="shared" si="240"/>
        <v/>
      </c>
      <c r="L3049" s="7" t="str">
        <f t="shared" si="241"/>
        <v/>
      </c>
      <c r="M3049" s="7" t="str">
        <f t="shared" si="238"/>
        <v/>
      </c>
      <c r="N3049" s="7" t="str">
        <f t="shared" si="242"/>
        <v/>
      </c>
      <c r="O3049" s="8"/>
      <c r="P3049" s="26"/>
      <c r="S3049" s="10" t="str">
        <f t="shared" si="239"/>
        <v/>
      </c>
    </row>
    <row r="3050" spans="5:19" x14ac:dyDescent="0.3">
      <c r="E3050" s="9" t="str">
        <f>IF(DADOS!C3050="","",DADOS!C3050)</f>
        <v/>
      </c>
      <c r="F3050" s="9" t="str">
        <f>IF(DADOS!E3050="","",DADOS!E3050)</f>
        <v/>
      </c>
      <c r="G3050" s="9" t="str">
        <f>IF(DADOS!F3050="","",DADOS!F3050)</f>
        <v/>
      </c>
      <c r="K3050" s="6" t="str">
        <f t="shared" si="240"/>
        <v/>
      </c>
      <c r="L3050" s="7" t="str">
        <f t="shared" si="241"/>
        <v/>
      </c>
      <c r="M3050" s="7" t="str">
        <f t="shared" si="238"/>
        <v/>
      </c>
      <c r="N3050" s="7" t="str">
        <f t="shared" si="242"/>
        <v/>
      </c>
      <c r="O3050" s="8"/>
      <c r="P3050" s="26"/>
      <c r="S3050" s="10" t="str">
        <f t="shared" si="239"/>
        <v/>
      </c>
    </row>
    <row r="3051" spans="5:19" x14ac:dyDescent="0.3">
      <c r="E3051" s="9" t="str">
        <f>IF(DADOS!C3051="","",DADOS!C3051)</f>
        <v/>
      </c>
      <c r="F3051" s="9" t="str">
        <f>IF(DADOS!E3051="","",DADOS!E3051)</f>
        <v/>
      </c>
      <c r="G3051" s="9" t="str">
        <f>IF(DADOS!F3051="","",DADOS!F3051)</f>
        <v/>
      </c>
      <c r="K3051" s="6" t="str">
        <f t="shared" si="240"/>
        <v/>
      </c>
      <c r="L3051" s="7" t="str">
        <f t="shared" si="241"/>
        <v/>
      </c>
      <c r="M3051" s="7" t="str">
        <f t="shared" si="238"/>
        <v/>
      </c>
      <c r="N3051" s="7" t="str">
        <f t="shared" si="242"/>
        <v/>
      </c>
      <c r="O3051" s="8"/>
      <c r="P3051" s="26"/>
      <c r="S3051" s="10" t="str">
        <f t="shared" si="239"/>
        <v/>
      </c>
    </row>
    <row r="3052" spans="5:19" x14ac:dyDescent="0.3">
      <c r="E3052" s="9" t="str">
        <f>IF(DADOS!C3052="","",DADOS!C3052)</f>
        <v/>
      </c>
      <c r="F3052" s="9" t="str">
        <f>IF(DADOS!E3052="","",DADOS!E3052)</f>
        <v/>
      </c>
      <c r="G3052" s="9" t="str">
        <f>IF(DADOS!F3052="","",DADOS!F3052)</f>
        <v/>
      </c>
      <c r="K3052" s="6" t="str">
        <f t="shared" si="240"/>
        <v/>
      </c>
      <c r="L3052" s="7" t="str">
        <f t="shared" si="241"/>
        <v/>
      </c>
      <c r="M3052" s="7" t="str">
        <f t="shared" si="238"/>
        <v/>
      </c>
      <c r="N3052" s="7" t="str">
        <f t="shared" si="242"/>
        <v/>
      </c>
      <c r="O3052" s="8"/>
      <c r="P3052" s="26"/>
      <c r="S3052" s="10" t="str">
        <f t="shared" si="239"/>
        <v/>
      </c>
    </row>
    <row r="3053" spans="5:19" x14ac:dyDescent="0.3">
      <c r="E3053" s="9" t="str">
        <f>IF(DADOS!C3053="","",DADOS!C3053)</f>
        <v/>
      </c>
      <c r="F3053" s="9" t="str">
        <f>IF(DADOS!E3053="","",DADOS!E3053)</f>
        <v/>
      </c>
      <c r="G3053" s="9" t="str">
        <f>IF(DADOS!F3053="","",DADOS!F3053)</f>
        <v/>
      </c>
      <c r="K3053" s="6" t="str">
        <f t="shared" si="240"/>
        <v/>
      </c>
      <c r="L3053" s="7" t="str">
        <f t="shared" si="241"/>
        <v/>
      </c>
      <c r="M3053" s="7" t="str">
        <f t="shared" si="238"/>
        <v/>
      </c>
      <c r="N3053" s="7" t="str">
        <f t="shared" si="242"/>
        <v/>
      </c>
      <c r="O3053" s="8"/>
      <c r="P3053" s="26"/>
      <c r="S3053" s="10" t="str">
        <f t="shared" si="239"/>
        <v/>
      </c>
    </row>
    <row r="3054" spans="5:19" x14ac:dyDescent="0.3">
      <c r="E3054" s="9" t="str">
        <f>IF(DADOS!C3054="","",DADOS!C3054)</f>
        <v/>
      </c>
      <c r="F3054" s="9" t="str">
        <f>IF(DADOS!E3054="","",DADOS!E3054)</f>
        <v/>
      </c>
      <c r="G3054" s="9" t="str">
        <f>IF(DADOS!F3054="","",DADOS!F3054)</f>
        <v/>
      </c>
      <c r="K3054" s="6" t="str">
        <f t="shared" si="240"/>
        <v/>
      </c>
      <c r="L3054" s="7" t="str">
        <f t="shared" si="241"/>
        <v/>
      </c>
      <c r="M3054" s="7" t="str">
        <f t="shared" si="238"/>
        <v/>
      </c>
      <c r="N3054" s="7" t="str">
        <f t="shared" si="242"/>
        <v/>
      </c>
      <c r="O3054" s="8"/>
      <c r="P3054" s="26"/>
      <c r="S3054" s="10" t="str">
        <f t="shared" si="239"/>
        <v/>
      </c>
    </row>
    <row r="3055" spans="5:19" x14ac:dyDescent="0.3">
      <c r="E3055" s="9" t="str">
        <f>IF(DADOS!C3055="","",DADOS!C3055)</f>
        <v/>
      </c>
      <c r="F3055" s="9" t="str">
        <f>IF(DADOS!E3055="","",DADOS!E3055)</f>
        <v/>
      </c>
      <c r="G3055" s="9" t="str">
        <f>IF(DADOS!F3055="","",DADOS!F3055)</f>
        <v/>
      </c>
      <c r="K3055" s="6" t="str">
        <f t="shared" si="240"/>
        <v/>
      </c>
      <c r="L3055" s="7" t="str">
        <f t="shared" si="241"/>
        <v/>
      </c>
      <c r="M3055" s="7" t="str">
        <f t="shared" si="238"/>
        <v/>
      </c>
      <c r="N3055" s="7" t="str">
        <f t="shared" si="242"/>
        <v/>
      </c>
      <c r="O3055" s="8"/>
      <c r="P3055" s="26"/>
      <c r="S3055" s="10" t="str">
        <f t="shared" si="239"/>
        <v/>
      </c>
    </row>
    <row r="3056" spans="5:19" x14ac:dyDescent="0.3">
      <c r="E3056" s="9" t="str">
        <f>IF(DADOS!C3056="","",DADOS!C3056)</f>
        <v/>
      </c>
      <c r="F3056" s="9" t="str">
        <f>IF(DADOS!E3056="","",DADOS!E3056)</f>
        <v/>
      </c>
      <c r="G3056" s="9" t="str">
        <f>IF(DADOS!F3056="","",DADOS!F3056)</f>
        <v/>
      </c>
      <c r="K3056" s="6" t="str">
        <f t="shared" si="240"/>
        <v/>
      </c>
      <c r="L3056" s="7" t="str">
        <f t="shared" si="241"/>
        <v/>
      </c>
      <c r="M3056" s="7" t="str">
        <f t="shared" si="238"/>
        <v/>
      </c>
      <c r="N3056" s="7" t="str">
        <f t="shared" si="242"/>
        <v/>
      </c>
      <c r="O3056" s="8"/>
      <c r="P3056" s="26"/>
      <c r="S3056" s="10" t="str">
        <f t="shared" si="239"/>
        <v/>
      </c>
    </row>
    <row r="3057" spans="5:19" x14ac:dyDescent="0.3">
      <c r="E3057" s="9" t="str">
        <f>IF(DADOS!C3057="","",DADOS!C3057)</f>
        <v/>
      </c>
      <c r="F3057" s="9" t="str">
        <f>IF(DADOS!E3057="","",DADOS!E3057)</f>
        <v/>
      </c>
      <c r="G3057" s="9" t="str">
        <f>IF(DADOS!F3057="","",DADOS!F3057)</f>
        <v/>
      </c>
      <c r="K3057" s="6" t="str">
        <f t="shared" si="240"/>
        <v/>
      </c>
      <c r="L3057" s="7" t="str">
        <f t="shared" si="241"/>
        <v/>
      </c>
      <c r="M3057" s="7" t="str">
        <f t="shared" si="238"/>
        <v/>
      </c>
      <c r="N3057" s="7" t="str">
        <f t="shared" si="242"/>
        <v/>
      </c>
      <c r="O3057" s="8"/>
      <c r="P3057" s="26"/>
      <c r="S3057" s="10" t="str">
        <f t="shared" si="239"/>
        <v/>
      </c>
    </row>
    <row r="3058" spans="5:19" x14ac:dyDescent="0.3">
      <c r="E3058" s="9" t="str">
        <f>IF(DADOS!C3058="","",DADOS!C3058)</f>
        <v/>
      </c>
      <c r="F3058" s="9" t="str">
        <f>IF(DADOS!E3058="","",DADOS!E3058)</f>
        <v/>
      </c>
      <c r="G3058" s="9" t="str">
        <f>IF(DADOS!F3058="","",DADOS!F3058)</f>
        <v/>
      </c>
      <c r="K3058" s="6" t="str">
        <f t="shared" si="240"/>
        <v/>
      </c>
      <c r="L3058" s="7" t="str">
        <f t="shared" si="241"/>
        <v/>
      </c>
      <c r="M3058" s="7" t="str">
        <f t="shared" si="238"/>
        <v/>
      </c>
      <c r="N3058" s="7" t="str">
        <f t="shared" si="242"/>
        <v/>
      </c>
      <c r="O3058" s="8"/>
      <c r="P3058" s="26"/>
      <c r="S3058" s="10" t="str">
        <f t="shared" si="239"/>
        <v/>
      </c>
    </row>
    <row r="3059" spans="5:19" x14ac:dyDescent="0.3">
      <c r="E3059" s="9" t="str">
        <f>IF(DADOS!C3059="","",DADOS!C3059)</f>
        <v/>
      </c>
      <c r="F3059" s="9" t="str">
        <f>IF(DADOS!E3059="","",DADOS!E3059)</f>
        <v/>
      </c>
      <c r="G3059" s="9" t="str">
        <f>IF(DADOS!F3059="","",DADOS!F3059)</f>
        <v/>
      </c>
      <c r="K3059" s="6" t="str">
        <f t="shared" si="240"/>
        <v/>
      </c>
      <c r="L3059" s="7" t="str">
        <f t="shared" si="241"/>
        <v/>
      </c>
      <c r="M3059" s="7" t="str">
        <f t="shared" si="238"/>
        <v/>
      </c>
      <c r="N3059" s="7" t="str">
        <f t="shared" si="242"/>
        <v/>
      </c>
      <c r="O3059" s="8"/>
      <c r="P3059" s="26"/>
      <c r="S3059" s="10" t="str">
        <f t="shared" si="239"/>
        <v/>
      </c>
    </row>
    <row r="3060" spans="5:19" x14ac:dyDescent="0.3">
      <c r="E3060" s="9" t="str">
        <f>IF(DADOS!C3060="","",DADOS!C3060)</f>
        <v/>
      </c>
      <c r="F3060" s="9" t="str">
        <f>IF(DADOS!E3060="","",DADOS!E3060)</f>
        <v/>
      </c>
      <c r="G3060" s="9" t="str">
        <f>IF(DADOS!F3060="","",DADOS!F3060)</f>
        <v/>
      </c>
      <c r="K3060" s="6" t="str">
        <f t="shared" si="240"/>
        <v/>
      </c>
      <c r="L3060" s="7" t="str">
        <f t="shared" si="241"/>
        <v/>
      </c>
      <c r="M3060" s="7" t="str">
        <f t="shared" si="238"/>
        <v/>
      </c>
      <c r="N3060" s="7" t="str">
        <f t="shared" si="242"/>
        <v/>
      </c>
      <c r="O3060" s="8"/>
      <c r="P3060" s="26"/>
      <c r="S3060" s="10" t="str">
        <f t="shared" si="239"/>
        <v/>
      </c>
    </row>
    <row r="3061" spans="5:19" x14ac:dyDescent="0.3">
      <c r="E3061" s="9" t="str">
        <f>IF(DADOS!C3061="","",DADOS!C3061)</f>
        <v/>
      </c>
      <c r="F3061" s="9" t="str">
        <f>IF(DADOS!E3061="","",DADOS!E3061)</f>
        <v/>
      </c>
      <c r="G3061" s="9" t="str">
        <f>IF(DADOS!F3061="","",DADOS!F3061)</f>
        <v/>
      </c>
      <c r="K3061" s="6" t="str">
        <f t="shared" si="240"/>
        <v/>
      </c>
      <c r="L3061" s="7" t="str">
        <f t="shared" si="241"/>
        <v/>
      </c>
      <c r="M3061" s="7" t="str">
        <f t="shared" si="238"/>
        <v/>
      </c>
      <c r="N3061" s="7" t="str">
        <f t="shared" si="242"/>
        <v/>
      </c>
      <c r="O3061" s="8"/>
      <c r="P3061" s="26"/>
      <c r="S3061" s="10" t="str">
        <f t="shared" si="239"/>
        <v/>
      </c>
    </row>
    <row r="3062" spans="5:19" x14ac:dyDescent="0.3">
      <c r="E3062" s="9" t="str">
        <f>IF(DADOS!C3062="","",DADOS!C3062)</f>
        <v/>
      </c>
      <c r="F3062" s="9" t="str">
        <f>IF(DADOS!E3062="","",DADOS!E3062)</f>
        <v/>
      </c>
      <c r="G3062" s="9" t="str">
        <f>IF(DADOS!F3062="","",DADOS!F3062)</f>
        <v/>
      </c>
      <c r="K3062" s="6" t="str">
        <f t="shared" si="240"/>
        <v/>
      </c>
      <c r="L3062" s="7" t="str">
        <f t="shared" si="241"/>
        <v/>
      </c>
      <c r="M3062" s="7" t="str">
        <f t="shared" si="238"/>
        <v/>
      </c>
      <c r="N3062" s="7" t="str">
        <f t="shared" si="242"/>
        <v/>
      </c>
      <c r="O3062" s="8"/>
      <c r="P3062" s="26"/>
      <c r="S3062" s="10" t="str">
        <f t="shared" si="239"/>
        <v/>
      </c>
    </row>
    <row r="3063" spans="5:19" x14ac:dyDescent="0.3">
      <c r="E3063" s="9" t="str">
        <f>IF(DADOS!C3063="","",DADOS!C3063)</f>
        <v/>
      </c>
      <c r="F3063" s="9" t="str">
        <f>IF(DADOS!E3063="","",DADOS!E3063)</f>
        <v/>
      </c>
      <c r="G3063" s="9" t="str">
        <f>IF(DADOS!F3063="","",DADOS!F3063)</f>
        <v/>
      </c>
      <c r="K3063" s="6" t="str">
        <f t="shared" si="240"/>
        <v/>
      </c>
      <c r="L3063" s="7" t="str">
        <f t="shared" si="241"/>
        <v/>
      </c>
      <c r="M3063" s="7" t="str">
        <f t="shared" si="238"/>
        <v/>
      </c>
      <c r="N3063" s="7" t="str">
        <f t="shared" si="242"/>
        <v/>
      </c>
      <c r="O3063" s="8"/>
      <c r="P3063" s="26"/>
      <c r="S3063" s="10" t="str">
        <f t="shared" si="239"/>
        <v/>
      </c>
    </row>
    <row r="3064" spans="5:19" x14ac:dyDescent="0.3">
      <c r="E3064" s="9" t="str">
        <f>IF(DADOS!C3064="","",DADOS!C3064)</f>
        <v/>
      </c>
      <c r="F3064" s="9" t="str">
        <f>IF(DADOS!E3064="","",DADOS!E3064)</f>
        <v/>
      </c>
      <c r="G3064" s="9" t="str">
        <f>IF(DADOS!F3064="","",DADOS!F3064)</f>
        <v/>
      </c>
      <c r="K3064" s="6" t="str">
        <f t="shared" si="240"/>
        <v/>
      </c>
      <c r="L3064" s="7" t="str">
        <f t="shared" si="241"/>
        <v/>
      </c>
      <c r="M3064" s="7" t="str">
        <f t="shared" si="238"/>
        <v/>
      </c>
      <c r="N3064" s="7" t="str">
        <f t="shared" si="242"/>
        <v/>
      </c>
      <c r="O3064" s="8"/>
      <c r="P3064" s="26"/>
      <c r="S3064" s="10" t="str">
        <f t="shared" si="239"/>
        <v/>
      </c>
    </row>
    <row r="3065" spans="5:19" x14ac:dyDescent="0.3">
      <c r="E3065" s="9" t="str">
        <f>IF(DADOS!C3065="","",DADOS!C3065)</f>
        <v/>
      </c>
      <c r="F3065" s="9" t="str">
        <f>IF(DADOS!E3065="","",DADOS!E3065)</f>
        <v/>
      </c>
      <c r="G3065" s="9" t="str">
        <f>IF(DADOS!F3065="","",DADOS!F3065)</f>
        <v/>
      </c>
      <c r="K3065" s="6" t="str">
        <f t="shared" si="240"/>
        <v/>
      </c>
      <c r="L3065" s="7" t="str">
        <f t="shared" si="241"/>
        <v/>
      </c>
      <c r="M3065" s="7" t="str">
        <f t="shared" si="238"/>
        <v/>
      </c>
      <c r="N3065" s="7" t="str">
        <f t="shared" si="242"/>
        <v/>
      </c>
      <c r="O3065" s="8"/>
      <c r="P3065" s="26"/>
      <c r="S3065" s="10" t="str">
        <f t="shared" si="239"/>
        <v/>
      </c>
    </row>
    <row r="3066" spans="5:19" x14ac:dyDescent="0.3">
      <c r="E3066" s="9" t="str">
        <f>IF(DADOS!C3066="","",DADOS!C3066)</f>
        <v/>
      </c>
      <c r="F3066" s="9" t="str">
        <f>IF(DADOS!E3066="","",DADOS!E3066)</f>
        <v/>
      </c>
      <c r="G3066" s="9" t="str">
        <f>IF(DADOS!F3066="","",DADOS!F3066)</f>
        <v/>
      </c>
      <c r="K3066" s="6" t="str">
        <f t="shared" si="240"/>
        <v/>
      </c>
      <c r="L3066" s="7" t="str">
        <f t="shared" si="241"/>
        <v/>
      </c>
      <c r="M3066" s="7" t="str">
        <f t="shared" si="238"/>
        <v/>
      </c>
      <c r="N3066" s="7" t="str">
        <f t="shared" si="242"/>
        <v/>
      </c>
      <c r="O3066" s="8"/>
      <c r="P3066" s="26"/>
      <c r="S3066" s="10" t="str">
        <f t="shared" si="239"/>
        <v/>
      </c>
    </row>
    <row r="3067" spans="5:19" x14ac:dyDescent="0.3">
      <c r="E3067" s="9" t="str">
        <f>IF(DADOS!C3067="","",DADOS!C3067)</f>
        <v/>
      </c>
      <c r="F3067" s="9" t="str">
        <f>IF(DADOS!E3067="","",DADOS!E3067)</f>
        <v/>
      </c>
      <c r="G3067" s="9" t="str">
        <f>IF(DADOS!F3067="","",DADOS!F3067)</f>
        <v/>
      </c>
      <c r="K3067" s="6" t="str">
        <f t="shared" si="240"/>
        <v/>
      </c>
      <c r="L3067" s="7" t="str">
        <f t="shared" si="241"/>
        <v/>
      </c>
      <c r="M3067" s="7" t="str">
        <f t="shared" si="238"/>
        <v/>
      </c>
      <c r="N3067" s="7" t="str">
        <f t="shared" si="242"/>
        <v/>
      </c>
      <c r="O3067" s="8"/>
      <c r="P3067" s="26"/>
      <c r="S3067" s="10" t="str">
        <f t="shared" si="239"/>
        <v/>
      </c>
    </row>
    <row r="3068" spans="5:19" x14ac:dyDescent="0.3">
      <c r="E3068" s="9" t="str">
        <f>IF(DADOS!C3068="","",DADOS!C3068)</f>
        <v/>
      </c>
      <c r="F3068" s="9" t="str">
        <f>IF(DADOS!E3068="","",DADOS!E3068)</f>
        <v/>
      </c>
      <c r="G3068" s="9" t="str">
        <f>IF(DADOS!F3068="","",DADOS!F3068)</f>
        <v/>
      </c>
      <c r="K3068" s="6" t="str">
        <f t="shared" si="240"/>
        <v/>
      </c>
      <c r="L3068" s="7" t="str">
        <f t="shared" si="241"/>
        <v/>
      </c>
      <c r="M3068" s="7" t="str">
        <f t="shared" si="238"/>
        <v/>
      </c>
      <c r="N3068" s="7" t="str">
        <f t="shared" si="242"/>
        <v/>
      </c>
      <c r="O3068" s="8"/>
      <c r="P3068" s="26"/>
      <c r="S3068" s="10" t="str">
        <f t="shared" si="239"/>
        <v/>
      </c>
    </row>
    <row r="3069" spans="5:19" x14ac:dyDescent="0.3">
      <c r="E3069" s="9" t="str">
        <f>IF(DADOS!C3069="","",DADOS!C3069)</f>
        <v/>
      </c>
      <c r="F3069" s="9" t="str">
        <f>IF(DADOS!E3069="","",DADOS!E3069)</f>
        <v/>
      </c>
      <c r="G3069" s="9" t="str">
        <f>IF(DADOS!F3069="","",DADOS!F3069)</f>
        <v/>
      </c>
      <c r="K3069" s="6" t="str">
        <f t="shared" si="240"/>
        <v/>
      </c>
      <c r="L3069" s="7" t="str">
        <f t="shared" si="241"/>
        <v/>
      </c>
      <c r="M3069" s="7" t="str">
        <f t="shared" si="238"/>
        <v/>
      </c>
      <c r="N3069" s="7" t="str">
        <f t="shared" si="242"/>
        <v/>
      </c>
      <c r="O3069" s="8"/>
      <c r="P3069" s="26"/>
      <c r="S3069" s="10" t="str">
        <f t="shared" si="239"/>
        <v/>
      </c>
    </row>
    <row r="3070" spans="5:19" x14ac:dyDescent="0.3">
      <c r="E3070" s="9" t="str">
        <f>IF(DADOS!C3070="","",DADOS!C3070)</f>
        <v/>
      </c>
      <c r="F3070" s="9" t="str">
        <f>IF(DADOS!E3070="","",DADOS!E3070)</f>
        <v/>
      </c>
      <c r="G3070" s="9" t="str">
        <f>IF(DADOS!F3070="","",DADOS!F3070)</f>
        <v/>
      </c>
      <c r="K3070" s="6" t="str">
        <f t="shared" si="240"/>
        <v/>
      </c>
      <c r="L3070" s="7" t="str">
        <f t="shared" si="241"/>
        <v/>
      </c>
      <c r="M3070" s="7" t="str">
        <f t="shared" si="238"/>
        <v/>
      </c>
      <c r="N3070" s="7" t="str">
        <f t="shared" si="242"/>
        <v/>
      </c>
      <c r="O3070" s="8"/>
      <c r="P3070" s="26"/>
      <c r="S3070" s="10" t="str">
        <f t="shared" si="239"/>
        <v/>
      </c>
    </row>
    <row r="3071" spans="5:19" x14ac:dyDescent="0.3">
      <c r="E3071" s="9" t="str">
        <f>IF(DADOS!C3071="","",DADOS!C3071)</f>
        <v/>
      </c>
      <c r="F3071" s="9" t="str">
        <f>IF(DADOS!E3071="","",DADOS!E3071)</f>
        <v/>
      </c>
      <c r="G3071" s="9" t="str">
        <f>IF(DADOS!F3071="","",DADOS!F3071)</f>
        <v/>
      </c>
      <c r="K3071" s="6" t="str">
        <f t="shared" si="240"/>
        <v/>
      </c>
      <c r="L3071" s="7" t="str">
        <f t="shared" si="241"/>
        <v/>
      </c>
      <c r="M3071" s="7" t="str">
        <f t="shared" si="238"/>
        <v/>
      </c>
      <c r="N3071" s="7" t="str">
        <f t="shared" si="242"/>
        <v/>
      </c>
      <c r="O3071" s="8"/>
      <c r="P3071" s="26"/>
      <c r="S3071" s="10" t="str">
        <f t="shared" si="239"/>
        <v/>
      </c>
    </row>
    <row r="3072" spans="5:19" x14ac:dyDescent="0.3">
      <c r="E3072" s="9" t="str">
        <f>IF(DADOS!C3072="","",DADOS!C3072)</f>
        <v/>
      </c>
      <c r="F3072" s="9" t="str">
        <f>IF(DADOS!E3072="","",DADOS!E3072)</f>
        <v/>
      </c>
      <c r="G3072" s="9" t="str">
        <f>IF(DADOS!F3072="","",DADOS!F3072)</f>
        <v/>
      </c>
      <c r="K3072" s="6" t="str">
        <f t="shared" si="240"/>
        <v/>
      </c>
      <c r="L3072" s="7" t="str">
        <f t="shared" si="241"/>
        <v/>
      </c>
      <c r="M3072" s="7" t="str">
        <f t="shared" si="238"/>
        <v/>
      </c>
      <c r="N3072" s="7" t="str">
        <f t="shared" si="242"/>
        <v/>
      </c>
      <c r="O3072" s="8"/>
      <c r="P3072" s="26"/>
      <c r="S3072" s="10" t="str">
        <f t="shared" si="239"/>
        <v/>
      </c>
    </row>
    <row r="3073" spans="5:19" x14ac:dyDescent="0.3">
      <c r="E3073" s="9" t="str">
        <f>IF(DADOS!C3073="","",DADOS!C3073)</f>
        <v/>
      </c>
      <c r="F3073" s="9" t="str">
        <f>IF(DADOS!E3073="","",DADOS!E3073)</f>
        <v/>
      </c>
      <c r="G3073" s="9" t="str">
        <f>IF(DADOS!F3073="","",DADOS!F3073)</f>
        <v/>
      </c>
      <c r="K3073" s="6" t="str">
        <f t="shared" si="240"/>
        <v/>
      </c>
      <c r="L3073" s="7" t="str">
        <f t="shared" si="241"/>
        <v/>
      </c>
      <c r="M3073" s="7" t="str">
        <f t="shared" si="238"/>
        <v/>
      </c>
      <c r="N3073" s="7" t="str">
        <f t="shared" si="242"/>
        <v/>
      </c>
      <c r="O3073" s="8"/>
      <c r="P3073" s="26"/>
      <c r="S3073" s="10" t="str">
        <f t="shared" si="239"/>
        <v/>
      </c>
    </row>
    <row r="3074" spans="5:19" x14ac:dyDescent="0.3">
      <c r="E3074" s="9" t="str">
        <f>IF(DADOS!C3074="","",DADOS!C3074)</f>
        <v/>
      </c>
      <c r="F3074" s="9" t="str">
        <f>IF(DADOS!E3074="","",DADOS!E3074)</f>
        <v/>
      </c>
      <c r="G3074" s="9" t="str">
        <f>IF(DADOS!F3074="","",DADOS!F3074)</f>
        <v/>
      </c>
      <c r="K3074" s="6" t="str">
        <f t="shared" si="240"/>
        <v/>
      </c>
      <c r="L3074" s="7" t="str">
        <f t="shared" si="241"/>
        <v/>
      </c>
      <c r="M3074" s="7" t="str">
        <f t="shared" si="238"/>
        <v/>
      </c>
      <c r="N3074" s="7" t="str">
        <f t="shared" si="242"/>
        <v/>
      </c>
      <c r="O3074" s="8"/>
      <c r="P3074" s="26"/>
      <c r="S3074" s="10" t="str">
        <f t="shared" si="239"/>
        <v/>
      </c>
    </row>
    <row r="3075" spans="5:19" x14ac:dyDescent="0.3">
      <c r="E3075" s="9" t="str">
        <f>IF(DADOS!C3075="","",DADOS!C3075)</f>
        <v/>
      </c>
      <c r="F3075" s="9" t="str">
        <f>IF(DADOS!E3075="","",DADOS!E3075)</f>
        <v/>
      </c>
      <c r="G3075" s="9" t="str">
        <f>IF(DADOS!F3075="","",DADOS!F3075)</f>
        <v/>
      </c>
      <c r="K3075" s="6" t="str">
        <f t="shared" si="240"/>
        <v/>
      </c>
      <c r="L3075" s="7" t="str">
        <f t="shared" si="241"/>
        <v/>
      </c>
      <c r="M3075" s="7" t="str">
        <f t="shared" ref="M3075:M3138" si="243">IF(L3075="","",L3075*G3075)</f>
        <v/>
      </c>
      <c r="N3075" s="7" t="str">
        <f t="shared" si="242"/>
        <v/>
      </c>
      <c r="O3075" s="8"/>
      <c r="P3075" s="26"/>
      <c r="S3075" s="10" t="str">
        <f t="shared" ref="S3075:S3138" si="244">IF(R3075="","",SUMIFS($N$3:$N$10000,$E$3:$E$10000,R3075))</f>
        <v/>
      </c>
    </row>
    <row r="3076" spans="5:19" x14ac:dyDescent="0.3">
      <c r="E3076" s="9" t="str">
        <f>IF(DADOS!C3076="","",DADOS!C3076)</f>
        <v/>
      </c>
      <c r="F3076" s="9" t="str">
        <f>IF(DADOS!E3076="","",DADOS!E3076)</f>
        <v/>
      </c>
      <c r="G3076" s="9" t="str">
        <f>IF(DADOS!F3076="","",DADOS!F3076)</f>
        <v/>
      </c>
      <c r="K3076" s="6" t="str">
        <f t="shared" ref="K3076:K3139" si="245">IF(F3076="","",F3076/PI())</f>
        <v/>
      </c>
      <c r="L3076" s="7" t="str">
        <f t="shared" ref="L3076:L3139" si="246">IF(K3076="","",(PI()*K3076^2)/40000)</f>
        <v/>
      </c>
      <c r="M3076" s="7" t="str">
        <f t="shared" si="243"/>
        <v/>
      </c>
      <c r="N3076" s="7" t="str">
        <f t="shared" ref="N3076:N3139" si="247">IF(M3076="","",M3076*N$1)</f>
        <v/>
      </c>
      <c r="O3076" s="8"/>
      <c r="P3076" s="26"/>
      <c r="S3076" s="10" t="str">
        <f t="shared" si="244"/>
        <v/>
      </c>
    </row>
    <row r="3077" spans="5:19" x14ac:dyDescent="0.3">
      <c r="E3077" s="9" t="str">
        <f>IF(DADOS!C3077="","",DADOS!C3077)</f>
        <v/>
      </c>
      <c r="F3077" s="9" t="str">
        <f>IF(DADOS!E3077="","",DADOS!E3077)</f>
        <v/>
      </c>
      <c r="G3077" s="9" t="str">
        <f>IF(DADOS!F3077="","",DADOS!F3077)</f>
        <v/>
      </c>
      <c r="K3077" s="6" t="str">
        <f t="shared" si="245"/>
        <v/>
      </c>
      <c r="L3077" s="7" t="str">
        <f t="shared" si="246"/>
        <v/>
      </c>
      <c r="M3077" s="7" t="str">
        <f t="shared" si="243"/>
        <v/>
      </c>
      <c r="N3077" s="7" t="str">
        <f t="shared" si="247"/>
        <v/>
      </c>
      <c r="O3077" s="8"/>
      <c r="P3077" s="26"/>
      <c r="S3077" s="10" t="str">
        <f t="shared" si="244"/>
        <v/>
      </c>
    </row>
    <row r="3078" spans="5:19" x14ac:dyDescent="0.3">
      <c r="E3078" s="9" t="str">
        <f>IF(DADOS!C3078="","",DADOS!C3078)</f>
        <v/>
      </c>
      <c r="F3078" s="9" t="str">
        <f>IF(DADOS!E3078="","",DADOS!E3078)</f>
        <v/>
      </c>
      <c r="G3078" s="9" t="str">
        <f>IF(DADOS!F3078="","",DADOS!F3078)</f>
        <v/>
      </c>
      <c r="K3078" s="6" t="str">
        <f t="shared" si="245"/>
        <v/>
      </c>
      <c r="L3078" s="7" t="str">
        <f t="shared" si="246"/>
        <v/>
      </c>
      <c r="M3078" s="7" t="str">
        <f t="shared" si="243"/>
        <v/>
      </c>
      <c r="N3078" s="7" t="str">
        <f t="shared" si="247"/>
        <v/>
      </c>
      <c r="O3078" s="8"/>
      <c r="P3078" s="26"/>
      <c r="S3078" s="10" t="str">
        <f t="shared" si="244"/>
        <v/>
      </c>
    </row>
    <row r="3079" spans="5:19" x14ac:dyDescent="0.3">
      <c r="E3079" s="9" t="str">
        <f>IF(DADOS!C3079="","",DADOS!C3079)</f>
        <v/>
      </c>
      <c r="F3079" s="9" t="str">
        <f>IF(DADOS!E3079="","",DADOS!E3079)</f>
        <v/>
      </c>
      <c r="G3079" s="9" t="str">
        <f>IF(DADOS!F3079="","",DADOS!F3079)</f>
        <v/>
      </c>
      <c r="K3079" s="6" t="str">
        <f t="shared" si="245"/>
        <v/>
      </c>
      <c r="L3079" s="7" t="str">
        <f t="shared" si="246"/>
        <v/>
      </c>
      <c r="M3079" s="7" t="str">
        <f t="shared" si="243"/>
        <v/>
      </c>
      <c r="N3079" s="7" t="str">
        <f t="shared" si="247"/>
        <v/>
      </c>
      <c r="O3079" s="8"/>
      <c r="P3079" s="26"/>
      <c r="S3079" s="10" t="str">
        <f t="shared" si="244"/>
        <v/>
      </c>
    </row>
    <row r="3080" spans="5:19" x14ac:dyDescent="0.3">
      <c r="E3080" s="9" t="str">
        <f>IF(DADOS!C3080="","",DADOS!C3080)</f>
        <v/>
      </c>
      <c r="F3080" s="9" t="str">
        <f>IF(DADOS!E3080="","",DADOS!E3080)</f>
        <v/>
      </c>
      <c r="G3080" s="9" t="str">
        <f>IF(DADOS!F3080="","",DADOS!F3080)</f>
        <v/>
      </c>
      <c r="K3080" s="6" t="str">
        <f t="shared" si="245"/>
        <v/>
      </c>
      <c r="L3080" s="7" t="str">
        <f t="shared" si="246"/>
        <v/>
      </c>
      <c r="M3080" s="7" t="str">
        <f t="shared" si="243"/>
        <v/>
      </c>
      <c r="N3080" s="7" t="str">
        <f t="shared" si="247"/>
        <v/>
      </c>
      <c r="O3080" s="8"/>
      <c r="P3080" s="26"/>
      <c r="S3080" s="10" t="str">
        <f t="shared" si="244"/>
        <v/>
      </c>
    </row>
    <row r="3081" spans="5:19" x14ac:dyDescent="0.3">
      <c r="E3081" s="9" t="str">
        <f>IF(DADOS!C3081="","",DADOS!C3081)</f>
        <v/>
      </c>
      <c r="F3081" s="9" t="str">
        <f>IF(DADOS!E3081="","",DADOS!E3081)</f>
        <v/>
      </c>
      <c r="G3081" s="9" t="str">
        <f>IF(DADOS!F3081="","",DADOS!F3081)</f>
        <v/>
      </c>
      <c r="K3081" s="6" t="str">
        <f t="shared" si="245"/>
        <v/>
      </c>
      <c r="L3081" s="7" t="str">
        <f t="shared" si="246"/>
        <v/>
      </c>
      <c r="M3081" s="7" t="str">
        <f t="shared" si="243"/>
        <v/>
      </c>
      <c r="N3081" s="7" t="str">
        <f t="shared" si="247"/>
        <v/>
      </c>
      <c r="O3081" s="8"/>
      <c r="P3081" s="26"/>
      <c r="S3081" s="10" t="str">
        <f t="shared" si="244"/>
        <v/>
      </c>
    </row>
    <row r="3082" spans="5:19" x14ac:dyDescent="0.3">
      <c r="E3082" s="9" t="str">
        <f>IF(DADOS!C3082="","",DADOS!C3082)</f>
        <v/>
      </c>
      <c r="F3082" s="9" t="str">
        <f>IF(DADOS!E3082="","",DADOS!E3082)</f>
        <v/>
      </c>
      <c r="G3082" s="9" t="str">
        <f>IF(DADOS!F3082="","",DADOS!F3082)</f>
        <v/>
      </c>
      <c r="K3082" s="6" t="str">
        <f t="shared" si="245"/>
        <v/>
      </c>
      <c r="L3082" s="7" t="str">
        <f t="shared" si="246"/>
        <v/>
      </c>
      <c r="M3082" s="7" t="str">
        <f t="shared" si="243"/>
        <v/>
      </c>
      <c r="N3082" s="7" t="str">
        <f t="shared" si="247"/>
        <v/>
      </c>
      <c r="O3082" s="8"/>
      <c r="P3082" s="26"/>
      <c r="S3082" s="10" t="str">
        <f t="shared" si="244"/>
        <v/>
      </c>
    </row>
    <row r="3083" spans="5:19" x14ac:dyDescent="0.3">
      <c r="E3083" s="9" t="str">
        <f>IF(DADOS!C3083="","",DADOS!C3083)</f>
        <v/>
      </c>
      <c r="F3083" s="9" t="str">
        <f>IF(DADOS!E3083="","",DADOS!E3083)</f>
        <v/>
      </c>
      <c r="G3083" s="9" t="str">
        <f>IF(DADOS!F3083="","",DADOS!F3083)</f>
        <v/>
      </c>
      <c r="K3083" s="6" t="str">
        <f t="shared" si="245"/>
        <v/>
      </c>
      <c r="L3083" s="7" t="str">
        <f t="shared" si="246"/>
        <v/>
      </c>
      <c r="M3083" s="7" t="str">
        <f t="shared" si="243"/>
        <v/>
      </c>
      <c r="N3083" s="7" t="str">
        <f t="shared" si="247"/>
        <v/>
      </c>
      <c r="O3083" s="8"/>
      <c r="P3083" s="26"/>
      <c r="S3083" s="10" t="str">
        <f t="shared" si="244"/>
        <v/>
      </c>
    </row>
    <row r="3084" spans="5:19" x14ac:dyDescent="0.3">
      <c r="E3084" s="9" t="str">
        <f>IF(DADOS!C3084="","",DADOS!C3084)</f>
        <v/>
      </c>
      <c r="F3084" s="9" t="str">
        <f>IF(DADOS!E3084="","",DADOS!E3084)</f>
        <v/>
      </c>
      <c r="G3084" s="9" t="str">
        <f>IF(DADOS!F3084="","",DADOS!F3084)</f>
        <v/>
      </c>
      <c r="K3084" s="6" t="str">
        <f t="shared" si="245"/>
        <v/>
      </c>
      <c r="L3084" s="7" t="str">
        <f t="shared" si="246"/>
        <v/>
      </c>
      <c r="M3084" s="7" t="str">
        <f t="shared" si="243"/>
        <v/>
      </c>
      <c r="N3084" s="7" t="str">
        <f t="shared" si="247"/>
        <v/>
      </c>
      <c r="O3084" s="8"/>
      <c r="P3084" s="26"/>
      <c r="S3084" s="10" t="str">
        <f t="shared" si="244"/>
        <v/>
      </c>
    </row>
    <row r="3085" spans="5:19" x14ac:dyDescent="0.3">
      <c r="E3085" s="9" t="str">
        <f>IF(DADOS!C3085="","",DADOS!C3085)</f>
        <v/>
      </c>
      <c r="F3085" s="9" t="str">
        <f>IF(DADOS!E3085="","",DADOS!E3085)</f>
        <v/>
      </c>
      <c r="G3085" s="9" t="str">
        <f>IF(DADOS!F3085="","",DADOS!F3085)</f>
        <v/>
      </c>
      <c r="K3085" s="6" t="str">
        <f t="shared" si="245"/>
        <v/>
      </c>
      <c r="L3085" s="7" t="str">
        <f t="shared" si="246"/>
        <v/>
      </c>
      <c r="M3085" s="7" t="str">
        <f t="shared" si="243"/>
        <v/>
      </c>
      <c r="N3085" s="7" t="str">
        <f t="shared" si="247"/>
        <v/>
      </c>
      <c r="O3085" s="8"/>
      <c r="P3085" s="26"/>
      <c r="S3085" s="10" t="str">
        <f t="shared" si="244"/>
        <v/>
      </c>
    </row>
    <row r="3086" spans="5:19" x14ac:dyDescent="0.3">
      <c r="E3086" s="9" t="str">
        <f>IF(DADOS!C3086="","",DADOS!C3086)</f>
        <v/>
      </c>
      <c r="F3086" s="9" t="str">
        <f>IF(DADOS!E3086="","",DADOS!E3086)</f>
        <v/>
      </c>
      <c r="G3086" s="9" t="str">
        <f>IF(DADOS!F3086="","",DADOS!F3086)</f>
        <v/>
      </c>
      <c r="K3086" s="6" t="str">
        <f t="shared" si="245"/>
        <v/>
      </c>
      <c r="L3086" s="7" t="str">
        <f t="shared" si="246"/>
        <v/>
      </c>
      <c r="M3086" s="7" t="str">
        <f t="shared" si="243"/>
        <v/>
      </c>
      <c r="N3086" s="7" t="str">
        <f t="shared" si="247"/>
        <v/>
      </c>
      <c r="O3086" s="8"/>
      <c r="P3086" s="26"/>
      <c r="S3086" s="10" t="str">
        <f t="shared" si="244"/>
        <v/>
      </c>
    </row>
    <row r="3087" spans="5:19" x14ac:dyDescent="0.3">
      <c r="E3087" s="9" t="str">
        <f>IF(DADOS!C3087="","",DADOS!C3087)</f>
        <v/>
      </c>
      <c r="F3087" s="9" t="str">
        <f>IF(DADOS!E3087="","",DADOS!E3087)</f>
        <v/>
      </c>
      <c r="G3087" s="9" t="str">
        <f>IF(DADOS!F3087="","",DADOS!F3087)</f>
        <v/>
      </c>
      <c r="K3087" s="6" t="str">
        <f t="shared" si="245"/>
        <v/>
      </c>
      <c r="L3087" s="7" t="str">
        <f t="shared" si="246"/>
        <v/>
      </c>
      <c r="M3087" s="7" t="str">
        <f t="shared" si="243"/>
        <v/>
      </c>
      <c r="N3087" s="7" t="str">
        <f t="shared" si="247"/>
        <v/>
      </c>
      <c r="O3087" s="8"/>
      <c r="P3087" s="26"/>
      <c r="S3087" s="10" t="str">
        <f t="shared" si="244"/>
        <v/>
      </c>
    </row>
    <row r="3088" spans="5:19" x14ac:dyDescent="0.3">
      <c r="E3088" s="9" t="str">
        <f>IF(DADOS!C3088="","",DADOS!C3088)</f>
        <v/>
      </c>
      <c r="F3088" s="9" t="str">
        <f>IF(DADOS!E3088="","",DADOS!E3088)</f>
        <v/>
      </c>
      <c r="G3088" s="9" t="str">
        <f>IF(DADOS!F3088="","",DADOS!F3088)</f>
        <v/>
      </c>
      <c r="K3088" s="6" t="str">
        <f t="shared" si="245"/>
        <v/>
      </c>
      <c r="L3088" s="7" t="str">
        <f t="shared" si="246"/>
        <v/>
      </c>
      <c r="M3088" s="7" t="str">
        <f t="shared" si="243"/>
        <v/>
      </c>
      <c r="N3088" s="7" t="str">
        <f t="shared" si="247"/>
        <v/>
      </c>
      <c r="O3088" s="8"/>
      <c r="P3088" s="26"/>
      <c r="S3088" s="10" t="str">
        <f t="shared" si="244"/>
        <v/>
      </c>
    </row>
    <row r="3089" spans="5:19" x14ac:dyDescent="0.3">
      <c r="E3089" s="9" t="str">
        <f>IF(DADOS!C3089="","",DADOS!C3089)</f>
        <v/>
      </c>
      <c r="F3089" s="9" t="str">
        <f>IF(DADOS!E3089="","",DADOS!E3089)</f>
        <v/>
      </c>
      <c r="G3089" s="9" t="str">
        <f>IF(DADOS!F3089="","",DADOS!F3089)</f>
        <v/>
      </c>
      <c r="K3089" s="6" t="str">
        <f t="shared" si="245"/>
        <v/>
      </c>
      <c r="L3089" s="7" t="str">
        <f t="shared" si="246"/>
        <v/>
      </c>
      <c r="M3089" s="7" t="str">
        <f t="shared" si="243"/>
        <v/>
      </c>
      <c r="N3089" s="7" t="str">
        <f t="shared" si="247"/>
        <v/>
      </c>
      <c r="O3089" s="8"/>
      <c r="P3089" s="26"/>
      <c r="S3089" s="10" t="str">
        <f t="shared" si="244"/>
        <v/>
      </c>
    </row>
    <row r="3090" spans="5:19" x14ac:dyDescent="0.3">
      <c r="E3090" s="9" t="str">
        <f>IF(DADOS!C3090="","",DADOS!C3090)</f>
        <v/>
      </c>
      <c r="F3090" s="9" t="str">
        <f>IF(DADOS!E3090="","",DADOS!E3090)</f>
        <v/>
      </c>
      <c r="G3090" s="9" t="str">
        <f>IF(DADOS!F3090="","",DADOS!F3090)</f>
        <v/>
      </c>
      <c r="K3090" s="6" t="str">
        <f t="shared" si="245"/>
        <v/>
      </c>
      <c r="L3090" s="7" t="str">
        <f t="shared" si="246"/>
        <v/>
      </c>
      <c r="M3090" s="7" t="str">
        <f t="shared" si="243"/>
        <v/>
      </c>
      <c r="N3090" s="7" t="str">
        <f t="shared" si="247"/>
        <v/>
      </c>
      <c r="O3090" s="8"/>
      <c r="P3090" s="26"/>
      <c r="S3090" s="10" t="str">
        <f t="shared" si="244"/>
        <v/>
      </c>
    </row>
    <row r="3091" spans="5:19" x14ac:dyDescent="0.3">
      <c r="E3091" s="9" t="str">
        <f>IF(DADOS!C3091="","",DADOS!C3091)</f>
        <v/>
      </c>
      <c r="F3091" s="9" t="str">
        <f>IF(DADOS!E3091="","",DADOS!E3091)</f>
        <v/>
      </c>
      <c r="G3091" s="9" t="str">
        <f>IF(DADOS!F3091="","",DADOS!F3091)</f>
        <v/>
      </c>
      <c r="K3091" s="6" t="str">
        <f t="shared" si="245"/>
        <v/>
      </c>
      <c r="L3091" s="7" t="str">
        <f t="shared" si="246"/>
        <v/>
      </c>
      <c r="M3091" s="7" t="str">
        <f t="shared" si="243"/>
        <v/>
      </c>
      <c r="N3091" s="7" t="str">
        <f t="shared" si="247"/>
        <v/>
      </c>
      <c r="O3091" s="8"/>
      <c r="P3091" s="26"/>
      <c r="S3091" s="10" t="str">
        <f t="shared" si="244"/>
        <v/>
      </c>
    </row>
    <row r="3092" spans="5:19" x14ac:dyDescent="0.3">
      <c r="E3092" s="9" t="str">
        <f>IF(DADOS!C3092="","",DADOS!C3092)</f>
        <v/>
      </c>
      <c r="F3092" s="9" t="str">
        <f>IF(DADOS!E3092="","",DADOS!E3092)</f>
        <v/>
      </c>
      <c r="G3092" s="9" t="str">
        <f>IF(DADOS!F3092="","",DADOS!F3092)</f>
        <v/>
      </c>
      <c r="K3092" s="6" t="str">
        <f t="shared" si="245"/>
        <v/>
      </c>
      <c r="L3092" s="7" t="str">
        <f t="shared" si="246"/>
        <v/>
      </c>
      <c r="M3092" s="7" t="str">
        <f t="shared" si="243"/>
        <v/>
      </c>
      <c r="N3092" s="7" t="str">
        <f t="shared" si="247"/>
        <v/>
      </c>
      <c r="O3092" s="8"/>
      <c r="P3092" s="26"/>
      <c r="S3092" s="10" t="str">
        <f t="shared" si="244"/>
        <v/>
      </c>
    </row>
    <row r="3093" spans="5:19" x14ac:dyDescent="0.3">
      <c r="E3093" s="9" t="str">
        <f>IF(DADOS!C3093="","",DADOS!C3093)</f>
        <v/>
      </c>
      <c r="F3093" s="9" t="str">
        <f>IF(DADOS!E3093="","",DADOS!E3093)</f>
        <v/>
      </c>
      <c r="G3093" s="9" t="str">
        <f>IF(DADOS!F3093="","",DADOS!F3093)</f>
        <v/>
      </c>
      <c r="K3093" s="6" t="str">
        <f t="shared" si="245"/>
        <v/>
      </c>
      <c r="L3093" s="7" t="str">
        <f t="shared" si="246"/>
        <v/>
      </c>
      <c r="M3093" s="7" t="str">
        <f t="shared" si="243"/>
        <v/>
      </c>
      <c r="N3093" s="7" t="str">
        <f t="shared" si="247"/>
        <v/>
      </c>
      <c r="O3093" s="8"/>
      <c r="P3093" s="26"/>
      <c r="S3093" s="10" t="str">
        <f t="shared" si="244"/>
        <v/>
      </c>
    </row>
    <row r="3094" spans="5:19" x14ac:dyDescent="0.3">
      <c r="E3094" s="9" t="str">
        <f>IF(DADOS!C3094="","",DADOS!C3094)</f>
        <v/>
      </c>
      <c r="F3094" s="9" t="str">
        <f>IF(DADOS!E3094="","",DADOS!E3094)</f>
        <v/>
      </c>
      <c r="G3094" s="9" t="str">
        <f>IF(DADOS!F3094="","",DADOS!F3094)</f>
        <v/>
      </c>
      <c r="K3094" s="6" t="str">
        <f t="shared" si="245"/>
        <v/>
      </c>
      <c r="L3094" s="7" t="str">
        <f t="shared" si="246"/>
        <v/>
      </c>
      <c r="M3094" s="7" t="str">
        <f t="shared" si="243"/>
        <v/>
      </c>
      <c r="N3094" s="7" t="str">
        <f t="shared" si="247"/>
        <v/>
      </c>
      <c r="O3094" s="8"/>
      <c r="P3094" s="26"/>
      <c r="S3094" s="10" t="str">
        <f t="shared" si="244"/>
        <v/>
      </c>
    </row>
    <row r="3095" spans="5:19" x14ac:dyDescent="0.3">
      <c r="E3095" s="9" t="str">
        <f>IF(DADOS!C3095="","",DADOS!C3095)</f>
        <v/>
      </c>
      <c r="F3095" s="9" t="str">
        <f>IF(DADOS!E3095="","",DADOS!E3095)</f>
        <v/>
      </c>
      <c r="G3095" s="9" t="str">
        <f>IF(DADOS!F3095="","",DADOS!F3095)</f>
        <v/>
      </c>
      <c r="K3095" s="6" t="str">
        <f t="shared" si="245"/>
        <v/>
      </c>
      <c r="L3095" s="7" t="str">
        <f t="shared" si="246"/>
        <v/>
      </c>
      <c r="M3095" s="7" t="str">
        <f t="shared" si="243"/>
        <v/>
      </c>
      <c r="N3095" s="7" t="str">
        <f t="shared" si="247"/>
        <v/>
      </c>
      <c r="O3095" s="8"/>
      <c r="P3095" s="26"/>
      <c r="S3095" s="10" t="str">
        <f t="shared" si="244"/>
        <v/>
      </c>
    </row>
    <row r="3096" spans="5:19" x14ac:dyDescent="0.3">
      <c r="E3096" s="9" t="str">
        <f>IF(DADOS!C3096="","",DADOS!C3096)</f>
        <v/>
      </c>
      <c r="F3096" s="9" t="str">
        <f>IF(DADOS!E3096="","",DADOS!E3096)</f>
        <v/>
      </c>
      <c r="G3096" s="9" t="str">
        <f>IF(DADOS!F3096="","",DADOS!F3096)</f>
        <v/>
      </c>
      <c r="K3096" s="6" t="str">
        <f t="shared" si="245"/>
        <v/>
      </c>
      <c r="L3096" s="7" t="str">
        <f t="shared" si="246"/>
        <v/>
      </c>
      <c r="M3096" s="7" t="str">
        <f t="shared" si="243"/>
        <v/>
      </c>
      <c r="N3096" s="7" t="str">
        <f t="shared" si="247"/>
        <v/>
      </c>
      <c r="O3096" s="8"/>
      <c r="P3096" s="26"/>
      <c r="S3096" s="10" t="str">
        <f t="shared" si="244"/>
        <v/>
      </c>
    </row>
    <row r="3097" spans="5:19" x14ac:dyDescent="0.3">
      <c r="E3097" s="9" t="str">
        <f>IF(DADOS!C3097="","",DADOS!C3097)</f>
        <v/>
      </c>
      <c r="F3097" s="9" t="str">
        <f>IF(DADOS!E3097="","",DADOS!E3097)</f>
        <v/>
      </c>
      <c r="G3097" s="9" t="str">
        <f>IF(DADOS!F3097="","",DADOS!F3097)</f>
        <v/>
      </c>
      <c r="K3097" s="6" t="str">
        <f t="shared" si="245"/>
        <v/>
      </c>
      <c r="L3097" s="7" t="str">
        <f t="shared" si="246"/>
        <v/>
      </c>
      <c r="M3097" s="7" t="str">
        <f t="shared" si="243"/>
        <v/>
      </c>
      <c r="N3097" s="7" t="str">
        <f t="shared" si="247"/>
        <v/>
      </c>
      <c r="O3097" s="8"/>
      <c r="P3097" s="26"/>
      <c r="S3097" s="10" t="str">
        <f t="shared" si="244"/>
        <v/>
      </c>
    </row>
    <row r="3098" spans="5:19" x14ac:dyDescent="0.3">
      <c r="E3098" s="9" t="str">
        <f>IF(DADOS!C3098="","",DADOS!C3098)</f>
        <v/>
      </c>
      <c r="F3098" s="9" t="str">
        <f>IF(DADOS!E3098="","",DADOS!E3098)</f>
        <v/>
      </c>
      <c r="G3098" s="9" t="str">
        <f>IF(DADOS!F3098="","",DADOS!F3098)</f>
        <v/>
      </c>
      <c r="K3098" s="6" t="str">
        <f t="shared" si="245"/>
        <v/>
      </c>
      <c r="L3098" s="7" t="str">
        <f t="shared" si="246"/>
        <v/>
      </c>
      <c r="M3098" s="7" t="str">
        <f t="shared" si="243"/>
        <v/>
      </c>
      <c r="N3098" s="7" t="str">
        <f t="shared" si="247"/>
        <v/>
      </c>
      <c r="O3098" s="8"/>
      <c r="P3098" s="26"/>
      <c r="S3098" s="10" t="str">
        <f t="shared" si="244"/>
        <v/>
      </c>
    </row>
    <row r="3099" spans="5:19" x14ac:dyDescent="0.3">
      <c r="E3099" s="9" t="str">
        <f>IF(DADOS!C3099="","",DADOS!C3099)</f>
        <v/>
      </c>
      <c r="F3099" s="9" t="str">
        <f>IF(DADOS!E3099="","",DADOS!E3099)</f>
        <v/>
      </c>
      <c r="G3099" s="9" t="str">
        <f>IF(DADOS!F3099="","",DADOS!F3099)</f>
        <v/>
      </c>
      <c r="K3099" s="6" t="str">
        <f t="shared" si="245"/>
        <v/>
      </c>
      <c r="L3099" s="7" t="str">
        <f t="shared" si="246"/>
        <v/>
      </c>
      <c r="M3099" s="7" t="str">
        <f t="shared" si="243"/>
        <v/>
      </c>
      <c r="N3099" s="7" t="str">
        <f t="shared" si="247"/>
        <v/>
      </c>
      <c r="O3099" s="8"/>
      <c r="P3099" s="26"/>
      <c r="S3099" s="10" t="str">
        <f t="shared" si="244"/>
        <v/>
      </c>
    </row>
    <row r="3100" spans="5:19" x14ac:dyDescent="0.3">
      <c r="E3100" s="9" t="str">
        <f>IF(DADOS!C3100="","",DADOS!C3100)</f>
        <v/>
      </c>
      <c r="F3100" s="9" t="str">
        <f>IF(DADOS!E3100="","",DADOS!E3100)</f>
        <v/>
      </c>
      <c r="G3100" s="9" t="str">
        <f>IF(DADOS!F3100="","",DADOS!F3100)</f>
        <v/>
      </c>
      <c r="K3100" s="6" t="str">
        <f t="shared" si="245"/>
        <v/>
      </c>
      <c r="L3100" s="7" t="str">
        <f t="shared" si="246"/>
        <v/>
      </c>
      <c r="M3100" s="7" t="str">
        <f t="shared" si="243"/>
        <v/>
      </c>
      <c r="N3100" s="7" t="str">
        <f t="shared" si="247"/>
        <v/>
      </c>
      <c r="O3100" s="8"/>
      <c r="P3100" s="26"/>
      <c r="S3100" s="10" t="str">
        <f t="shared" si="244"/>
        <v/>
      </c>
    </row>
    <row r="3101" spans="5:19" x14ac:dyDescent="0.3">
      <c r="E3101" s="9" t="str">
        <f>IF(DADOS!C3101="","",DADOS!C3101)</f>
        <v/>
      </c>
      <c r="F3101" s="9" t="str">
        <f>IF(DADOS!E3101="","",DADOS!E3101)</f>
        <v/>
      </c>
      <c r="G3101" s="9" t="str">
        <f>IF(DADOS!F3101="","",DADOS!F3101)</f>
        <v/>
      </c>
      <c r="K3101" s="6" t="str">
        <f t="shared" si="245"/>
        <v/>
      </c>
      <c r="L3101" s="7" t="str">
        <f t="shared" si="246"/>
        <v/>
      </c>
      <c r="M3101" s="7" t="str">
        <f t="shared" si="243"/>
        <v/>
      </c>
      <c r="N3101" s="7" t="str">
        <f t="shared" si="247"/>
        <v/>
      </c>
      <c r="O3101" s="8"/>
      <c r="P3101" s="26"/>
      <c r="S3101" s="10" t="str">
        <f t="shared" si="244"/>
        <v/>
      </c>
    </row>
    <row r="3102" spans="5:19" x14ac:dyDescent="0.3">
      <c r="E3102" s="9" t="str">
        <f>IF(DADOS!C3102="","",DADOS!C3102)</f>
        <v/>
      </c>
      <c r="F3102" s="9" t="str">
        <f>IF(DADOS!E3102="","",DADOS!E3102)</f>
        <v/>
      </c>
      <c r="G3102" s="9" t="str">
        <f>IF(DADOS!F3102="","",DADOS!F3102)</f>
        <v/>
      </c>
      <c r="K3102" s="6" t="str">
        <f t="shared" si="245"/>
        <v/>
      </c>
      <c r="L3102" s="7" t="str">
        <f t="shared" si="246"/>
        <v/>
      </c>
      <c r="M3102" s="7" t="str">
        <f t="shared" si="243"/>
        <v/>
      </c>
      <c r="N3102" s="7" t="str">
        <f t="shared" si="247"/>
        <v/>
      </c>
      <c r="O3102" s="8"/>
      <c r="P3102" s="26"/>
      <c r="S3102" s="10" t="str">
        <f t="shared" si="244"/>
        <v/>
      </c>
    </row>
    <row r="3103" spans="5:19" x14ac:dyDescent="0.3">
      <c r="E3103" s="9" t="str">
        <f>IF(DADOS!C3103="","",DADOS!C3103)</f>
        <v/>
      </c>
      <c r="F3103" s="9" t="str">
        <f>IF(DADOS!E3103="","",DADOS!E3103)</f>
        <v/>
      </c>
      <c r="G3103" s="9" t="str">
        <f>IF(DADOS!F3103="","",DADOS!F3103)</f>
        <v/>
      </c>
      <c r="K3103" s="6" t="str">
        <f t="shared" si="245"/>
        <v/>
      </c>
      <c r="L3103" s="7" t="str">
        <f t="shared" si="246"/>
        <v/>
      </c>
      <c r="M3103" s="7" t="str">
        <f t="shared" si="243"/>
        <v/>
      </c>
      <c r="N3103" s="7" t="str">
        <f t="shared" si="247"/>
        <v/>
      </c>
      <c r="O3103" s="8"/>
      <c r="P3103" s="26"/>
      <c r="S3103" s="10" t="str">
        <f t="shared" si="244"/>
        <v/>
      </c>
    </row>
    <row r="3104" spans="5:19" x14ac:dyDescent="0.3">
      <c r="E3104" s="9" t="str">
        <f>IF(DADOS!C3104="","",DADOS!C3104)</f>
        <v/>
      </c>
      <c r="F3104" s="9" t="str">
        <f>IF(DADOS!E3104="","",DADOS!E3104)</f>
        <v/>
      </c>
      <c r="G3104" s="9" t="str">
        <f>IF(DADOS!F3104="","",DADOS!F3104)</f>
        <v/>
      </c>
      <c r="K3104" s="6" t="str">
        <f t="shared" si="245"/>
        <v/>
      </c>
      <c r="L3104" s="7" t="str">
        <f t="shared" si="246"/>
        <v/>
      </c>
      <c r="M3104" s="7" t="str">
        <f t="shared" si="243"/>
        <v/>
      </c>
      <c r="N3104" s="7" t="str">
        <f t="shared" si="247"/>
        <v/>
      </c>
      <c r="O3104" s="8"/>
      <c r="P3104" s="26"/>
      <c r="S3104" s="10" t="str">
        <f t="shared" si="244"/>
        <v/>
      </c>
    </row>
    <row r="3105" spans="5:19" x14ac:dyDescent="0.3">
      <c r="E3105" s="9" t="str">
        <f>IF(DADOS!C3105="","",DADOS!C3105)</f>
        <v/>
      </c>
      <c r="F3105" s="9" t="str">
        <f>IF(DADOS!E3105="","",DADOS!E3105)</f>
        <v/>
      </c>
      <c r="G3105" s="9" t="str">
        <f>IF(DADOS!F3105="","",DADOS!F3105)</f>
        <v/>
      </c>
      <c r="K3105" s="6" t="str">
        <f t="shared" si="245"/>
        <v/>
      </c>
      <c r="L3105" s="7" t="str">
        <f t="shared" si="246"/>
        <v/>
      </c>
      <c r="M3105" s="7" t="str">
        <f t="shared" si="243"/>
        <v/>
      </c>
      <c r="N3105" s="7" t="str">
        <f t="shared" si="247"/>
        <v/>
      </c>
      <c r="O3105" s="8"/>
      <c r="P3105" s="26"/>
      <c r="S3105" s="10" t="str">
        <f t="shared" si="244"/>
        <v/>
      </c>
    </row>
    <row r="3106" spans="5:19" x14ac:dyDescent="0.3">
      <c r="E3106" s="9" t="str">
        <f>IF(DADOS!C3106="","",DADOS!C3106)</f>
        <v/>
      </c>
      <c r="F3106" s="9" t="str">
        <f>IF(DADOS!E3106="","",DADOS!E3106)</f>
        <v/>
      </c>
      <c r="G3106" s="9" t="str">
        <f>IF(DADOS!F3106="","",DADOS!F3106)</f>
        <v/>
      </c>
      <c r="K3106" s="6" t="str">
        <f t="shared" si="245"/>
        <v/>
      </c>
      <c r="L3106" s="7" t="str">
        <f t="shared" si="246"/>
        <v/>
      </c>
      <c r="M3106" s="7" t="str">
        <f t="shared" si="243"/>
        <v/>
      </c>
      <c r="N3106" s="7" t="str">
        <f t="shared" si="247"/>
        <v/>
      </c>
      <c r="O3106" s="8"/>
      <c r="P3106" s="26"/>
      <c r="S3106" s="10" t="str">
        <f t="shared" si="244"/>
        <v/>
      </c>
    </row>
    <row r="3107" spans="5:19" x14ac:dyDescent="0.3">
      <c r="E3107" s="9" t="str">
        <f>IF(DADOS!C3107="","",DADOS!C3107)</f>
        <v/>
      </c>
      <c r="F3107" s="9" t="str">
        <f>IF(DADOS!E3107="","",DADOS!E3107)</f>
        <v/>
      </c>
      <c r="G3107" s="9" t="str">
        <f>IF(DADOS!F3107="","",DADOS!F3107)</f>
        <v/>
      </c>
      <c r="K3107" s="6" t="str">
        <f t="shared" si="245"/>
        <v/>
      </c>
      <c r="L3107" s="7" t="str">
        <f t="shared" si="246"/>
        <v/>
      </c>
      <c r="M3107" s="7" t="str">
        <f t="shared" si="243"/>
        <v/>
      </c>
      <c r="N3107" s="7" t="str">
        <f t="shared" si="247"/>
        <v/>
      </c>
      <c r="O3107" s="8"/>
      <c r="P3107" s="26"/>
      <c r="S3107" s="10" t="str">
        <f t="shared" si="244"/>
        <v/>
      </c>
    </row>
    <row r="3108" spans="5:19" x14ac:dyDescent="0.3">
      <c r="E3108" s="9" t="str">
        <f>IF(DADOS!C3108="","",DADOS!C3108)</f>
        <v/>
      </c>
      <c r="F3108" s="9" t="str">
        <f>IF(DADOS!E3108="","",DADOS!E3108)</f>
        <v/>
      </c>
      <c r="G3108" s="9" t="str">
        <f>IF(DADOS!F3108="","",DADOS!F3108)</f>
        <v/>
      </c>
      <c r="K3108" s="6" t="str">
        <f t="shared" si="245"/>
        <v/>
      </c>
      <c r="L3108" s="7" t="str">
        <f t="shared" si="246"/>
        <v/>
      </c>
      <c r="M3108" s="7" t="str">
        <f t="shared" si="243"/>
        <v/>
      </c>
      <c r="N3108" s="7" t="str">
        <f t="shared" si="247"/>
        <v/>
      </c>
      <c r="O3108" s="8"/>
      <c r="P3108" s="26"/>
      <c r="S3108" s="10" t="str">
        <f t="shared" si="244"/>
        <v/>
      </c>
    </row>
    <row r="3109" spans="5:19" x14ac:dyDescent="0.3">
      <c r="E3109" s="9" t="str">
        <f>IF(DADOS!C3109="","",DADOS!C3109)</f>
        <v/>
      </c>
      <c r="F3109" s="9" t="str">
        <f>IF(DADOS!E3109="","",DADOS!E3109)</f>
        <v/>
      </c>
      <c r="G3109" s="9" t="str">
        <f>IF(DADOS!F3109="","",DADOS!F3109)</f>
        <v/>
      </c>
      <c r="K3109" s="6" t="str">
        <f t="shared" si="245"/>
        <v/>
      </c>
      <c r="L3109" s="7" t="str">
        <f t="shared" si="246"/>
        <v/>
      </c>
      <c r="M3109" s="7" t="str">
        <f t="shared" si="243"/>
        <v/>
      </c>
      <c r="N3109" s="7" t="str">
        <f t="shared" si="247"/>
        <v/>
      </c>
      <c r="O3109" s="8"/>
      <c r="P3109" s="26"/>
      <c r="S3109" s="10" t="str">
        <f t="shared" si="244"/>
        <v/>
      </c>
    </row>
    <row r="3110" spans="5:19" x14ac:dyDescent="0.3">
      <c r="E3110" s="9" t="str">
        <f>IF(DADOS!C3110="","",DADOS!C3110)</f>
        <v/>
      </c>
      <c r="F3110" s="9" t="str">
        <f>IF(DADOS!E3110="","",DADOS!E3110)</f>
        <v/>
      </c>
      <c r="G3110" s="9" t="str">
        <f>IF(DADOS!F3110="","",DADOS!F3110)</f>
        <v/>
      </c>
      <c r="K3110" s="6" t="str">
        <f t="shared" si="245"/>
        <v/>
      </c>
      <c r="L3110" s="7" t="str">
        <f t="shared" si="246"/>
        <v/>
      </c>
      <c r="M3110" s="7" t="str">
        <f t="shared" si="243"/>
        <v/>
      </c>
      <c r="N3110" s="7" t="str">
        <f t="shared" si="247"/>
        <v/>
      </c>
      <c r="O3110" s="8"/>
      <c r="P3110" s="26"/>
      <c r="S3110" s="10" t="str">
        <f t="shared" si="244"/>
        <v/>
      </c>
    </row>
    <row r="3111" spans="5:19" x14ac:dyDescent="0.3">
      <c r="E3111" s="9" t="str">
        <f>IF(DADOS!C3111="","",DADOS!C3111)</f>
        <v/>
      </c>
      <c r="F3111" s="9" t="str">
        <f>IF(DADOS!E3111="","",DADOS!E3111)</f>
        <v/>
      </c>
      <c r="G3111" s="9" t="str">
        <f>IF(DADOS!F3111="","",DADOS!F3111)</f>
        <v/>
      </c>
      <c r="K3111" s="6" t="str">
        <f t="shared" si="245"/>
        <v/>
      </c>
      <c r="L3111" s="7" t="str">
        <f t="shared" si="246"/>
        <v/>
      </c>
      <c r="M3111" s="7" t="str">
        <f t="shared" si="243"/>
        <v/>
      </c>
      <c r="N3111" s="7" t="str">
        <f t="shared" si="247"/>
        <v/>
      </c>
      <c r="O3111" s="8"/>
      <c r="P3111" s="26"/>
      <c r="S3111" s="10" t="str">
        <f t="shared" si="244"/>
        <v/>
      </c>
    </row>
    <row r="3112" spans="5:19" x14ac:dyDescent="0.3">
      <c r="E3112" s="9" t="str">
        <f>IF(DADOS!C3112="","",DADOS!C3112)</f>
        <v/>
      </c>
      <c r="F3112" s="9" t="str">
        <f>IF(DADOS!E3112="","",DADOS!E3112)</f>
        <v/>
      </c>
      <c r="G3112" s="9" t="str">
        <f>IF(DADOS!F3112="","",DADOS!F3112)</f>
        <v/>
      </c>
      <c r="K3112" s="6" t="str">
        <f t="shared" si="245"/>
        <v/>
      </c>
      <c r="L3112" s="7" t="str">
        <f t="shared" si="246"/>
        <v/>
      </c>
      <c r="M3112" s="7" t="str">
        <f t="shared" si="243"/>
        <v/>
      </c>
      <c r="N3112" s="7" t="str">
        <f t="shared" si="247"/>
        <v/>
      </c>
      <c r="O3112" s="8"/>
      <c r="P3112" s="26"/>
      <c r="S3112" s="10" t="str">
        <f t="shared" si="244"/>
        <v/>
      </c>
    </row>
    <row r="3113" spans="5:19" x14ac:dyDescent="0.3">
      <c r="E3113" s="9" t="str">
        <f>IF(DADOS!C3113="","",DADOS!C3113)</f>
        <v/>
      </c>
      <c r="F3113" s="9" t="str">
        <f>IF(DADOS!E3113="","",DADOS!E3113)</f>
        <v/>
      </c>
      <c r="G3113" s="9" t="str">
        <f>IF(DADOS!F3113="","",DADOS!F3113)</f>
        <v/>
      </c>
      <c r="K3113" s="6" t="str">
        <f t="shared" si="245"/>
        <v/>
      </c>
      <c r="L3113" s="7" t="str">
        <f t="shared" si="246"/>
        <v/>
      </c>
      <c r="M3113" s="7" t="str">
        <f t="shared" si="243"/>
        <v/>
      </c>
      <c r="N3113" s="7" t="str">
        <f t="shared" si="247"/>
        <v/>
      </c>
      <c r="O3113" s="8"/>
      <c r="P3113" s="26"/>
      <c r="S3113" s="10" t="str">
        <f t="shared" si="244"/>
        <v/>
      </c>
    </row>
    <row r="3114" spans="5:19" x14ac:dyDescent="0.3">
      <c r="E3114" s="9" t="str">
        <f>IF(DADOS!C3114="","",DADOS!C3114)</f>
        <v/>
      </c>
      <c r="F3114" s="9" t="str">
        <f>IF(DADOS!E3114="","",DADOS!E3114)</f>
        <v/>
      </c>
      <c r="G3114" s="9" t="str">
        <f>IF(DADOS!F3114="","",DADOS!F3114)</f>
        <v/>
      </c>
      <c r="K3114" s="6" t="str">
        <f t="shared" si="245"/>
        <v/>
      </c>
      <c r="L3114" s="7" t="str">
        <f t="shared" si="246"/>
        <v/>
      </c>
      <c r="M3114" s="7" t="str">
        <f t="shared" si="243"/>
        <v/>
      </c>
      <c r="N3114" s="7" t="str">
        <f t="shared" si="247"/>
        <v/>
      </c>
      <c r="O3114" s="8"/>
      <c r="P3114" s="26"/>
      <c r="S3114" s="10" t="str">
        <f t="shared" si="244"/>
        <v/>
      </c>
    </row>
    <row r="3115" spans="5:19" x14ac:dyDescent="0.3">
      <c r="E3115" s="9" t="str">
        <f>IF(DADOS!C3115="","",DADOS!C3115)</f>
        <v/>
      </c>
      <c r="F3115" s="9" t="str">
        <f>IF(DADOS!E3115="","",DADOS!E3115)</f>
        <v/>
      </c>
      <c r="G3115" s="9" t="str">
        <f>IF(DADOS!F3115="","",DADOS!F3115)</f>
        <v/>
      </c>
      <c r="K3115" s="6" t="str">
        <f t="shared" si="245"/>
        <v/>
      </c>
      <c r="L3115" s="7" t="str">
        <f t="shared" si="246"/>
        <v/>
      </c>
      <c r="M3115" s="7" t="str">
        <f t="shared" si="243"/>
        <v/>
      </c>
      <c r="N3115" s="7" t="str">
        <f t="shared" si="247"/>
        <v/>
      </c>
      <c r="O3115" s="8"/>
      <c r="P3115" s="26"/>
      <c r="S3115" s="10" t="str">
        <f t="shared" si="244"/>
        <v/>
      </c>
    </row>
    <row r="3116" spans="5:19" x14ac:dyDescent="0.3">
      <c r="E3116" s="9" t="str">
        <f>IF(DADOS!C3116="","",DADOS!C3116)</f>
        <v/>
      </c>
      <c r="F3116" s="9" t="str">
        <f>IF(DADOS!E3116="","",DADOS!E3116)</f>
        <v/>
      </c>
      <c r="G3116" s="9" t="str">
        <f>IF(DADOS!F3116="","",DADOS!F3116)</f>
        <v/>
      </c>
      <c r="K3116" s="6" t="str">
        <f t="shared" si="245"/>
        <v/>
      </c>
      <c r="L3116" s="7" t="str">
        <f t="shared" si="246"/>
        <v/>
      </c>
      <c r="M3116" s="7" t="str">
        <f t="shared" si="243"/>
        <v/>
      </c>
      <c r="N3116" s="7" t="str">
        <f t="shared" si="247"/>
        <v/>
      </c>
      <c r="O3116" s="8"/>
      <c r="P3116" s="26"/>
      <c r="S3116" s="10" t="str">
        <f t="shared" si="244"/>
        <v/>
      </c>
    </row>
    <row r="3117" spans="5:19" x14ac:dyDescent="0.3">
      <c r="E3117" s="9" t="str">
        <f>IF(DADOS!C3117="","",DADOS!C3117)</f>
        <v/>
      </c>
      <c r="F3117" s="9" t="str">
        <f>IF(DADOS!E3117="","",DADOS!E3117)</f>
        <v/>
      </c>
      <c r="G3117" s="9" t="str">
        <f>IF(DADOS!F3117="","",DADOS!F3117)</f>
        <v/>
      </c>
      <c r="K3117" s="6" t="str">
        <f t="shared" si="245"/>
        <v/>
      </c>
      <c r="L3117" s="7" t="str">
        <f t="shared" si="246"/>
        <v/>
      </c>
      <c r="M3117" s="7" t="str">
        <f t="shared" si="243"/>
        <v/>
      </c>
      <c r="N3117" s="7" t="str">
        <f t="shared" si="247"/>
        <v/>
      </c>
      <c r="O3117" s="8"/>
      <c r="P3117" s="26"/>
      <c r="S3117" s="10" t="str">
        <f t="shared" si="244"/>
        <v/>
      </c>
    </row>
    <row r="3118" spans="5:19" x14ac:dyDescent="0.3">
      <c r="E3118" s="9" t="str">
        <f>IF(DADOS!C3118="","",DADOS!C3118)</f>
        <v/>
      </c>
      <c r="F3118" s="9" t="str">
        <f>IF(DADOS!E3118="","",DADOS!E3118)</f>
        <v/>
      </c>
      <c r="G3118" s="9" t="str">
        <f>IF(DADOS!F3118="","",DADOS!F3118)</f>
        <v/>
      </c>
      <c r="K3118" s="6" t="str">
        <f t="shared" si="245"/>
        <v/>
      </c>
      <c r="L3118" s="7" t="str">
        <f t="shared" si="246"/>
        <v/>
      </c>
      <c r="M3118" s="7" t="str">
        <f t="shared" si="243"/>
        <v/>
      </c>
      <c r="N3118" s="7" t="str">
        <f t="shared" si="247"/>
        <v/>
      </c>
      <c r="O3118" s="8"/>
      <c r="P3118" s="26"/>
      <c r="S3118" s="10" t="str">
        <f t="shared" si="244"/>
        <v/>
      </c>
    </row>
    <row r="3119" spans="5:19" x14ac:dyDescent="0.3">
      <c r="E3119" s="9" t="str">
        <f>IF(DADOS!C3119="","",DADOS!C3119)</f>
        <v/>
      </c>
      <c r="F3119" s="9" t="str">
        <f>IF(DADOS!E3119="","",DADOS!E3119)</f>
        <v/>
      </c>
      <c r="G3119" s="9" t="str">
        <f>IF(DADOS!F3119="","",DADOS!F3119)</f>
        <v/>
      </c>
      <c r="K3119" s="6" t="str">
        <f t="shared" si="245"/>
        <v/>
      </c>
      <c r="L3119" s="7" t="str">
        <f t="shared" si="246"/>
        <v/>
      </c>
      <c r="M3119" s="7" t="str">
        <f t="shared" si="243"/>
        <v/>
      </c>
      <c r="N3119" s="7" t="str">
        <f t="shared" si="247"/>
        <v/>
      </c>
      <c r="O3119" s="8"/>
      <c r="P3119" s="26"/>
      <c r="S3119" s="10" t="str">
        <f t="shared" si="244"/>
        <v/>
      </c>
    </row>
    <row r="3120" spans="5:19" x14ac:dyDescent="0.3">
      <c r="E3120" s="9" t="str">
        <f>IF(DADOS!C3120="","",DADOS!C3120)</f>
        <v/>
      </c>
      <c r="F3120" s="9" t="str">
        <f>IF(DADOS!E3120="","",DADOS!E3120)</f>
        <v/>
      </c>
      <c r="G3120" s="9" t="str">
        <f>IF(DADOS!F3120="","",DADOS!F3120)</f>
        <v/>
      </c>
      <c r="K3120" s="6" t="str">
        <f t="shared" si="245"/>
        <v/>
      </c>
      <c r="L3120" s="7" t="str">
        <f t="shared" si="246"/>
        <v/>
      </c>
      <c r="M3120" s="7" t="str">
        <f t="shared" si="243"/>
        <v/>
      </c>
      <c r="N3120" s="7" t="str">
        <f t="shared" si="247"/>
        <v/>
      </c>
      <c r="O3120" s="8"/>
      <c r="P3120" s="26"/>
      <c r="S3120" s="10" t="str">
        <f t="shared" si="244"/>
        <v/>
      </c>
    </row>
    <row r="3121" spans="5:19" x14ac:dyDescent="0.3">
      <c r="E3121" s="9" t="str">
        <f>IF(DADOS!C3121="","",DADOS!C3121)</f>
        <v/>
      </c>
      <c r="F3121" s="9" t="str">
        <f>IF(DADOS!E3121="","",DADOS!E3121)</f>
        <v/>
      </c>
      <c r="G3121" s="9" t="str">
        <f>IF(DADOS!F3121="","",DADOS!F3121)</f>
        <v/>
      </c>
      <c r="K3121" s="6" t="str">
        <f t="shared" si="245"/>
        <v/>
      </c>
      <c r="L3121" s="7" t="str">
        <f t="shared" si="246"/>
        <v/>
      </c>
      <c r="M3121" s="7" t="str">
        <f t="shared" si="243"/>
        <v/>
      </c>
      <c r="N3121" s="7" t="str">
        <f t="shared" si="247"/>
        <v/>
      </c>
      <c r="O3121" s="8"/>
      <c r="P3121" s="26"/>
      <c r="S3121" s="10" t="str">
        <f t="shared" si="244"/>
        <v/>
      </c>
    </row>
    <row r="3122" spans="5:19" x14ac:dyDescent="0.3">
      <c r="E3122" s="9" t="str">
        <f>IF(DADOS!C3122="","",DADOS!C3122)</f>
        <v/>
      </c>
      <c r="F3122" s="9" t="str">
        <f>IF(DADOS!E3122="","",DADOS!E3122)</f>
        <v/>
      </c>
      <c r="G3122" s="9" t="str">
        <f>IF(DADOS!F3122="","",DADOS!F3122)</f>
        <v/>
      </c>
      <c r="K3122" s="6" t="str">
        <f t="shared" si="245"/>
        <v/>
      </c>
      <c r="L3122" s="7" t="str">
        <f t="shared" si="246"/>
        <v/>
      </c>
      <c r="M3122" s="7" t="str">
        <f t="shared" si="243"/>
        <v/>
      </c>
      <c r="N3122" s="7" t="str">
        <f t="shared" si="247"/>
        <v/>
      </c>
      <c r="O3122" s="8"/>
      <c r="P3122" s="26"/>
      <c r="S3122" s="10" t="str">
        <f t="shared" si="244"/>
        <v/>
      </c>
    </row>
    <row r="3123" spans="5:19" x14ac:dyDescent="0.3">
      <c r="E3123" s="9" t="str">
        <f>IF(DADOS!C3123="","",DADOS!C3123)</f>
        <v/>
      </c>
      <c r="F3123" s="9" t="str">
        <f>IF(DADOS!E3123="","",DADOS!E3123)</f>
        <v/>
      </c>
      <c r="G3123" s="9" t="str">
        <f>IF(DADOS!F3123="","",DADOS!F3123)</f>
        <v/>
      </c>
      <c r="K3123" s="6" t="str">
        <f t="shared" si="245"/>
        <v/>
      </c>
      <c r="L3123" s="7" t="str">
        <f t="shared" si="246"/>
        <v/>
      </c>
      <c r="M3123" s="7" t="str">
        <f t="shared" si="243"/>
        <v/>
      </c>
      <c r="N3123" s="7" t="str">
        <f t="shared" si="247"/>
        <v/>
      </c>
      <c r="O3123" s="8"/>
      <c r="P3123" s="26"/>
      <c r="S3123" s="10" t="str">
        <f t="shared" si="244"/>
        <v/>
      </c>
    </row>
    <row r="3124" spans="5:19" x14ac:dyDescent="0.3">
      <c r="E3124" s="9" t="str">
        <f>IF(DADOS!C3124="","",DADOS!C3124)</f>
        <v/>
      </c>
      <c r="F3124" s="9" t="str">
        <f>IF(DADOS!E3124="","",DADOS!E3124)</f>
        <v/>
      </c>
      <c r="G3124" s="9" t="str">
        <f>IF(DADOS!F3124="","",DADOS!F3124)</f>
        <v/>
      </c>
      <c r="K3124" s="6" t="str">
        <f t="shared" si="245"/>
        <v/>
      </c>
      <c r="L3124" s="7" t="str">
        <f t="shared" si="246"/>
        <v/>
      </c>
      <c r="M3124" s="7" t="str">
        <f t="shared" si="243"/>
        <v/>
      </c>
      <c r="N3124" s="7" t="str">
        <f t="shared" si="247"/>
        <v/>
      </c>
      <c r="O3124" s="8"/>
      <c r="P3124" s="26"/>
      <c r="S3124" s="10" t="str">
        <f t="shared" si="244"/>
        <v/>
      </c>
    </row>
    <row r="3125" spans="5:19" x14ac:dyDescent="0.3">
      <c r="E3125" s="9" t="str">
        <f>IF(DADOS!C3125="","",DADOS!C3125)</f>
        <v/>
      </c>
      <c r="F3125" s="9" t="str">
        <f>IF(DADOS!E3125="","",DADOS!E3125)</f>
        <v/>
      </c>
      <c r="G3125" s="9" t="str">
        <f>IF(DADOS!F3125="","",DADOS!F3125)</f>
        <v/>
      </c>
      <c r="K3125" s="6" t="str">
        <f t="shared" si="245"/>
        <v/>
      </c>
      <c r="L3125" s="7" t="str">
        <f t="shared" si="246"/>
        <v/>
      </c>
      <c r="M3125" s="7" t="str">
        <f t="shared" si="243"/>
        <v/>
      </c>
      <c r="N3125" s="7" t="str">
        <f t="shared" si="247"/>
        <v/>
      </c>
      <c r="O3125" s="8"/>
      <c r="P3125" s="26"/>
      <c r="S3125" s="10" t="str">
        <f t="shared" si="244"/>
        <v/>
      </c>
    </row>
    <row r="3126" spans="5:19" x14ac:dyDescent="0.3">
      <c r="E3126" s="9" t="str">
        <f>IF(DADOS!C3126="","",DADOS!C3126)</f>
        <v/>
      </c>
      <c r="F3126" s="9" t="str">
        <f>IF(DADOS!E3126="","",DADOS!E3126)</f>
        <v/>
      </c>
      <c r="G3126" s="9" t="str">
        <f>IF(DADOS!F3126="","",DADOS!F3126)</f>
        <v/>
      </c>
      <c r="K3126" s="6" t="str">
        <f t="shared" si="245"/>
        <v/>
      </c>
      <c r="L3126" s="7" t="str">
        <f t="shared" si="246"/>
        <v/>
      </c>
      <c r="M3126" s="7" t="str">
        <f t="shared" si="243"/>
        <v/>
      </c>
      <c r="N3126" s="7" t="str">
        <f t="shared" si="247"/>
        <v/>
      </c>
      <c r="O3126" s="8"/>
      <c r="P3126" s="26"/>
      <c r="S3126" s="10" t="str">
        <f t="shared" si="244"/>
        <v/>
      </c>
    </row>
    <row r="3127" spans="5:19" x14ac:dyDescent="0.3">
      <c r="E3127" s="9" t="str">
        <f>IF(DADOS!C3127="","",DADOS!C3127)</f>
        <v/>
      </c>
      <c r="F3127" s="9" t="str">
        <f>IF(DADOS!E3127="","",DADOS!E3127)</f>
        <v/>
      </c>
      <c r="G3127" s="9" t="str">
        <f>IF(DADOS!F3127="","",DADOS!F3127)</f>
        <v/>
      </c>
      <c r="K3127" s="6" t="str">
        <f t="shared" si="245"/>
        <v/>
      </c>
      <c r="L3127" s="7" t="str">
        <f t="shared" si="246"/>
        <v/>
      </c>
      <c r="M3127" s="7" t="str">
        <f t="shared" si="243"/>
        <v/>
      </c>
      <c r="N3127" s="7" t="str">
        <f t="shared" si="247"/>
        <v/>
      </c>
      <c r="O3127" s="8"/>
      <c r="P3127" s="26"/>
      <c r="S3127" s="10" t="str">
        <f t="shared" si="244"/>
        <v/>
      </c>
    </row>
    <row r="3128" spans="5:19" x14ac:dyDescent="0.3">
      <c r="E3128" s="9" t="str">
        <f>IF(DADOS!C3128="","",DADOS!C3128)</f>
        <v/>
      </c>
      <c r="F3128" s="9" t="str">
        <f>IF(DADOS!E3128="","",DADOS!E3128)</f>
        <v/>
      </c>
      <c r="G3128" s="9" t="str">
        <f>IF(DADOS!F3128="","",DADOS!F3128)</f>
        <v/>
      </c>
      <c r="K3128" s="6" t="str">
        <f t="shared" si="245"/>
        <v/>
      </c>
      <c r="L3128" s="7" t="str">
        <f t="shared" si="246"/>
        <v/>
      </c>
      <c r="M3128" s="7" t="str">
        <f t="shared" si="243"/>
        <v/>
      </c>
      <c r="N3128" s="7" t="str">
        <f t="shared" si="247"/>
        <v/>
      </c>
      <c r="O3128" s="8"/>
      <c r="P3128" s="26"/>
      <c r="S3128" s="10" t="str">
        <f t="shared" si="244"/>
        <v/>
      </c>
    </row>
    <row r="3129" spans="5:19" x14ac:dyDescent="0.3">
      <c r="E3129" s="9" t="str">
        <f>IF(DADOS!C3129="","",DADOS!C3129)</f>
        <v/>
      </c>
      <c r="F3129" s="9" t="str">
        <f>IF(DADOS!E3129="","",DADOS!E3129)</f>
        <v/>
      </c>
      <c r="G3129" s="9" t="str">
        <f>IF(DADOS!F3129="","",DADOS!F3129)</f>
        <v/>
      </c>
      <c r="K3129" s="6" t="str">
        <f t="shared" si="245"/>
        <v/>
      </c>
      <c r="L3129" s="7" t="str">
        <f t="shared" si="246"/>
        <v/>
      </c>
      <c r="M3129" s="7" t="str">
        <f t="shared" si="243"/>
        <v/>
      </c>
      <c r="N3129" s="7" t="str">
        <f t="shared" si="247"/>
        <v/>
      </c>
      <c r="O3129" s="8"/>
      <c r="P3129" s="26"/>
      <c r="S3129" s="10" t="str">
        <f t="shared" si="244"/>
        <v/>
      </c>
    </row>
    <row r="3130" spans="5:19" x14ac:dyDescent="0.3">
      <c r="E3130" s="9" t="str">
        <f>IF(DADOS!C3130="","",DADOS!C3130)</f>
        <v/>
      </c>
      <c r="F3130" s="9" t="str">
        <f>IF(DADOS!E3130="","",DADOS!E3130)</f>
        <v/>
      </c>
      <c r="G3130" s="9" t="str">
        <f>IF(DADOS!F3130="","",DADOS!F3130)</f>
        <v/>
      </c>
      <c r="K3130" s="6" t="str">
        <f t="shared" si="245"/>
        <v/>
      </c>
      <c r="L3130" s="7" t="str">
        <f t="shared" si="246"/>
        <v/>
      </c>
      <c r="M3130" s="7" t="str">
        <f t="shared" si="243"/>
        <v/>
      </c>
      <c r="N3130" s="7" t="str">
        <f t="shared" si="247"/>
        <v/>
      </c>
      <c r="O3130" s="8"/>
      <c r="P3130" s="26"/>
      <c r="S3130" s="10" t="str">
        <f t="shared" si="244"/>
        <v/>
      </c>
    </row>
    <row r="3131" spans="5:19" x14ac:dyDescent="0.3">
      <c r="E3131" s="9" t="str">
        <f>IF(DADOS!C3131="","",DADOS!C3131)</f>
        <v/>
      </c>
      <c r="F3131" s="9" t="str">
        <f>IF(DADOS!E3131="","",DADOS!E3131)</f>
        <v/>
      </c>
      <c r="G3131" s="9" t="str">
        <f>IF(DADOS!F3131="","",DADOS!F3131)</f>
        <v/>
      </c>
      <c r="K3131" s="6" t="str">
        <f t="shared" si="245"/>
        <v/>
      </c>
      <c r="L3131" s="7" t="str">
        <f t="shared" si="246"/>
        <v/>
      </c>
      <c r="M3131" s="7" t="str">
        <f t="shared" si="243"/>
        <v/>
      </c>
      <c r="N3131" s="7" t="str">
        <f t="shared" si="247"/>
        <v/>
      </c>
      <c r="O3131" s="8"/>
      <c r="P3131" s="26"/>
      <c r="S3131" s="10" t="str">
        <f t="shared" si="244"/>
        <v/>
      </c>
    </row>
    <row r="3132" spans="5:19" x14ac:dyDescent="0.3">
      <c r="E3132" s="9" t="str">
        <f>IF(DADOS!C3132="","",DADOS!C3132)</f>
        <v/>
      </c>
      <c r="F3132" s="9" t="str">
        <f>IF(DADOS!E3132="","",DADOS!E3132)</f>
        <v/>
      </c>
      <c r="G3132" s="9" t="str">
        <f>IF(DADOS!F3132="","",DADOS!F3132)</f>
        <v/>
      </c>
      <c r="K3132" s="6" t="str">
        <f t="shared" si="245"/>
        <v/>
      </c>
      <c r="L3132" s="7" t="str">
        <f t="shared" si="246"/>
        <v/>
      </c>
      <c r="M3132" s="7" t="str">
        <f t="shared" si="243"/>
        <v/>
      </c>
      <c r="N3132" s="7" t="str">
        <f t="shared" si="247"/>
        <v/>
      </c>
      <c r="O3132" s="8"/>
      <c r="P3132" s="26"/>
      <c r="S3132" s="10" t="str">
        <f t="shared" si="244"/>
        <v/>
      </c>
    </row>
    <row r="3133" spans="5:19" x14ac:dyDescent="0.3">
      <c r="E3133" s="9" t="str">
        <f>IF(DADOS!C3133="","",DADOS!C3133)</f>
        <v/>
      </c>
      <c r="F3133" s="9" t="str">
        <f>IF(DADOS!E3133="","",DADOS!E3133)</f>
        <v/>
      </c>
      <c r="G3133" s="9" t="str">
        <f>IF(DADOS!F3133="","",DADOS!F3133)</f>
        <v/>
      </c>
      <c r="K3133" s="6" t="str">
        <f t="shared" si="245"/>
        <v/>
      </c>
      <c r="L3133" s="7" t="str">
        <f t="shared" si="246"/>
        <v/>
      </c>
      <c r="M3133" s="7" t="str">
        <f t="shared" si="243"/>
        <v/>
      </c>
      <c r="N3133" s="7" t="str">
        <f t="shared" si="247"/>
        <v/>
      </c>
      <c r="O3133" s="8"/>
      <c r="P3133" s="26"/>
      <c r="S3133" s="10" t="str">
        <f t="shared" si="244"/>
        <v/>
      </c>
    </row>
    <row r="3134" spans="5:19" x14ac:dyDescent="0.3">
      <c r="E3134" s="9" t="str">
        <f>IF(DADOS!C3134="","",DADOS!C3134)</f>
        <v/>
      </c>
      <c r="F3134" s="9" t="str">
        <f>IF(DADOS!E3134="","",DADOS!E3134)</f>
        <v/>
      </c>
      <c r="G3134" s="9" t="str">
        <f>IF(DADOS!F3134="","",DADOS!F3134)</f>
        <v/>
      </c>
      <c r="K3134" s="6" t="str">
        <f t="shared" si="245"/>
        <v/>
      </c>
      <c r="L3134" s="7" t="str">
        <f t="shared" si="246"/>
        <v/>
      </c>
      <c r="M3134" s="7" t="str">
        <f t="shared" si="243"/>
        <v/>
      </c>
      <c r="N3134" s="7" t="str">
        <f t="shared" si="247"/>
        <v/>
      </c>
      <c r="O3134" s="8"/>
      <c r="P3134" s="26"/>
      <c r="S3134" s="10" t="str">
        <f t="shared" si="244"/>
        <v/>
      </c>
    </row>
    <row r="3135" spans="5:19" x14ac:dyDescent="0.3">
      <c r="E3135" s="9" t="str">
        <f>IF(DADOS!C3135="","",DADOS!C3135)</f>
        <v/>
      </c>
      <c r="F3135" s="9" t="str">
        <f>IF(DADOS!E3135="","",DADOS!E3135)</f>
        <v/>
      </c>
      <c r="G3135" s="9" t="str">
        <f>IF(DADOS!F3135="","",DADOS!F3135)</f>
        <v/>
      </c>
      <c r="K3135" s="6" t="str">
        <f t="shared" si="245"/>
        <v/>
      </c>
      <c r="L3135" s="7" t="str">
        <f t="shared" si="246"/>
        <v/>
      </c>
      <c r="M3135" s="7" t="str">
        <f t="shared" si="243"/>
        <v/>
      </c>
      <c r="N3135" s="7" t="str">
        <f t="shared" si="247"/>
        <v/>
      </c>
      <c r="O3135" s="8"/>
      <c r="P3135" s="26"/>
      <c r="S3135" s="10" t="str">
        <f t="shared" si="244"/>
        <v/>
      </c>
    </row>
    <row r="3136" spans="5:19" x14ac:dyDescent="0.3">
      <c r="E3136" s="9" t="str">
        <f>IF(DADOS!C3136="","",DADOS!C3136)</f>
        <v/>
      </c>
      <c r="F3136" s="9" t="str">
        <f>IF(DADOS!E3136="","",DADOS!E3136)</f>
        <v/>
      </c>
      <c r="G3136" s="9" t="str">
        <f>IF(DADOS!F3136="","",DADOS!F3136)</f>
        <v/>
      </c>
      <c r="K3136" s="6" t="str">
        <f t="shared" si="245"/>
        <v/>
      </c>
      <c r="L3136" s="7" t="str">
        <f t="shared" si="246"/>
        <v/>
      </c>
      <c r="M3136" s="7" t="str">
        <f t="shared" si="243"/>
        <v/>
      </c>
      <c r="N3136" s="7" t="str">
        <f t="shared" si="247"/>
        <v/>
      </c>
      <c r="O3136" s="8"/>
      <c r="P3136" s="26"/>
      <c r="S3136" s="10" t="str">
        <f t="shared" si="244"/>
        <v/>
      </c>
    </row>
    <row r="3137" spans="5:19" x14ac:dyDescent="0.3">
      <c r="E3137" s="9" t="str">
        <f>IF(DADOS!C3137="","",DADOS!C3137)</f>
        <v/>
      </c>
      <c r="F3137" s="9" t="str">
        <f>IF(DADOS!E3137="","",DADOS!E3137)</f>
        <v/>
      </c>
      <c r="G3137" s="9" t="str">
        <f>IF(DADOS!F3137="","",DADOS!F3137)</f>
        <v/>
      </c>
      <c r="K3137" s="6" t="str">
        <f t="shared" si="245"/>
        <v/>
      </c>
      <c r="L3137" s="7" t="str">
        <f t="shared" si="246"/>
        <v/>
      </c>
      <c r="M3137" s="7" t="str">
        <f t="shared" si="243"/>
        <v/>
      </c>
      <c r="N3137" s="7" t="str">
        <f t="shared" si="247"/>
        <v/>
      </c>
      <c r="O3137" s="8"/>
      <c r="P3137" s="26"/>
      <c r="S3137" s="10" t="str">
        <f t="shared" si="244"/>
        <v/>
      </c>
    </row>
    <row r="3138" spans="5:19" x14ac:dyDescent="0.3">
      <c r="E3138" s="9" t="str">
        <f>IF(DADOS!C3138="","",DADOS!C3138)</f>
        <v/>
      </c>
      <c r="F3138" s="9" t="str">
        <f>IF(DADOS!E3138="","",DADOS!E3138)</f>
        <v/>
      </c>
      <c r="G3138" s="9" t="str">
        <f>IF(DADOS!F3138="","",DADOS!F3138)</f>
        <v/>
      </c>
      <c r="K3138" s="6" t="str">
        <f t="shared" si="245"/>
        <v/>
      </c>
      <c r="L3138" s="7" t="str">
        <f t="shared" si="246"/>
        <v/>
      </c>
      <c r="M3138" s="7" t="str">
        <f t="shared" si="243"/>
        <v/>
      </c>
      <c r="N3138" s="7" t="str">
        <f t="shared" si="247"/>
        <v/>
      </c>
      <c r="O3138" s="8"/>
      <c r="P3138" s="26"/>
      <c r="S3138" s="10" t="str">
        <f t="shared" si="244"/>
        <v/>
      </c>
    </row>
    <row r="3139" spans="5:19" x14ac:dyDescent="0.3">
      <c r="E3139" s="9" t="str">
        <f>IF(DADOS!C3139="","",DADOS!C3139)</f>
        <v/>
      </c>
      <c r="F3139" s="9" t="str">
        <f>IF(DADOS!E3139="","",DADOS!E3139)</f>
        <v/>
      </c>
      <c r="G3139" s="9" t="str">
        <f>IF(DADOS!F3139="","",DADOS!F3139)</f>
        <v/>
      </c>
      <c r="K3139" s="6" t="str">
        <f t="shared" si="245"/>
        <v/>
      </c>
      <c r="L3139" s="7" t="str">
        <f t="shared" si="246"/>
        <v/>
      </c>
      <c r="M3139" s="7" t="str">
        <f t="shared" ref="M3139:M3202" si="248">IF(L3139="","",L3139*G3139)</f>
        <v/>
      </c>
      <c r="N3139" s="7" t="str">
        <f t="shared" si="247"/>
        <v/>
      </c>
      <c r="O3139" s="8"/>
      <c r="P3139" s="26"/>
      <c r="S3139" s="10" t="str">
        <f t="shared" ref="S3139:S3202" si="249">IF(R3139="","",SUMIFS($N$3:$N$10000,$E$3:$E$10000,R3139))</f>
        <v/>
      </c>
    </row>
    <row r="3140" spans="5:19" x14ac:dyDescent="0.3">
      <c r="E3140" s="9" t="str">
        <f>IF(DADOS!C3140="","",DADOS!C3140)</f>
        <v/>
      </c>
      <c r="F3140" s="9" t="str">
        <f>IF(DADOS!E3140="","",DADOS!E3140)</f>
        <v/>
      </c>
      <c r="G3140" s="9" t="str">
        <f>IF(DADOS!F3140="","",DADOS!F3140)</f>
        <v/>
      </c>
      <c r="K3140" s="6" t="str">
        <f t="shared" ref="K3140:K3203" si="250">IF(F3140="","",F3140/PI())</f>
        <v/>
      </c>
      <c r="L3140" s="7" t="str">
        <f t="shared" ref="L3140:L3203" si="251">IF(K3140="","",(PI()*K3140^2)/40000)</f>
        <v/>
      </c>
      <c r="M3140" s="7" t="str">
        <f t="shared" si="248"/>
        <v/>
      </c>
      <c r="N3140" s="7" t="str">
        <f t="shared" ref="N3140:N3203" si="252">IF(M3140="","",M3140*N$1)</f>
        <v/>
      </c>
      <c r="O3140" s="8"/>
      <c r="P3140" s="26"/>
      <c r="S3140" s="10" t="str">
        <f t="shared" si="249"/>
        <v/>
      </c>
    </row>
    <row r="3141" spans="5:19" x14ac:dyDescent="0.3">
      <c r="E3141" s="9" t="str">
        <f>IF(DADOS!C3141="","",DADOS!C3141)</f>
        <v/>
      </c>
      <c r="F3141" s="9" t="str">
        <f>IF(DADOS!E3141="","",DADOS!E3141)</f>
        <v/>
      </c>
      <c r="G3141" s="9" t="str">
        <f>IF(DADOS!F3141="","",DADOS!F3141)</f>
        <v/>
      </c>
      <c r="K3141" s="6" t="str">
        <f t="shared" si="250"/>
        <v/>
      </c>
      <c r="L3141" s="7" t="str">
        <f t="shared" si="251"/>
        <v/>
      </c>
      <c r="M3141" s="7" t="str">
        <f t="shared" si="248"/>
        <v/>
      </c>
      <c r="N3141" s="7" t="str">
        <f t="shared" si="252"/>
        <v/>
      </c>
      <c r="O3141" s="8"/>
      <c r="P3141" s="26"/>
      <c r="S3141" s="10" t="str">
        <f t="shared" si="249"/>
        <v/>
      </c>
    </row>
    <row r="3142" spans="5:19" x14ac:dyDescent="0.3">
      <c r="E3142" s="9" t="str">
        <f>IF(DADOS!C3142="","",DADOS!C3142)</f>
        <v/>
      </c>
      <c r="F3142" s="9" t="str">
        <f>IF(DADOS!E3142="","",DADOS!E3142)</f>
        <v/>
      </c>
      <c r="G3142" s="9" t="str">
        <f>IF(DADOS!F3142="","",DADOS!F3142)</f>
        <v/>
      </c>
      <c r="K3142" s="6" t="str">
        <f t="shared" si="250"/>
        <v/>
      </c>
      <c r="L3142" s="7" t="str">
        <f t="shared" si="251"/>
        <v/>
      </c>
      <c r="M3142" s="7" t="str">
        <f t="shared" si="248"/>
        <v/>
      </c>
      <c r="N3142" s="7" t="str">
        <f t="shared" si="252"/>
        <v/>
      </c>
      <c r="O3142" s="8"/>
      <c r="P3142" s="26"/>
      <c r="S3142" s="10" t="str">
        <f t="shared" si="249"/>
        <v/>
      </c>
    </row>
    <row r="3143" spans="5:19" x14ac:dyDescent="0.3">
      <c r="E3143" s="9" t="str">
        <f>IF(DADOS!C3143="","",DADOS!C3143)</f>
        <v/>
      </c>
      <c r="F3143" s="9" t="str">
        <f>IF(DADOS!E3143="","",DADOS!E3143)</f>
        <v/>
      </c>
      <c r="G3143" s="9" t="str">
        <f>IF(DADOS!F3143="","",DADOS!F3143)</f>
        <v/>
      </c>
      <c r="K3143" s="6" t="str">
        <f t="shared" si="250"/>
        <v/>
      </c>
      <c r="L3143" s="7" t="str">
        <f t="shared" si="251"/>
        <v/>
      </c>
      <c r="M3143" s="7" t="str">
        <f t="shared" si="248"/>
        <v/>
      </c>
      <c r="N3143" s="7" t="str">
        <f t="shared" si="252"/>
        <v/>
      </c>
      <c r="O3143" s="8"/>
      <c r="P3143" s="26"/>
      <c r="S3143" s="10" t="str">
        <f t="shared" si="249"/>
        <v/>
      </c>
    </row>
    <row r="3144" spans="5:19" x14ac:dyDescent="0.3">
      <c r="E3144" s="9" t="str">
        <f>IF(DADOS!C3144="","",DADOS!C3144)</f>
        <v/>
      </c>
      <c r="F3144" s="9" t="str">
        <f>IF(DADOS!E3144="","",DADOS!E3144)</f>
        <v/>
      </c>
      <c r="G3144" s="9" t="str">
        <f>IF(DADOS!F3144="","",DADOS!F3144)</f>
        <v/>
      </c>
      <c r="K3144" s="6" t="str">
        <f t="shared" si="250"/>
        <v/>
      </c>
      <c r="L3144" s="7" t="str">
        <f t="shared" si="251"/>
        <v/>
      </c>
      <c r="M3144" s="7" t="str">
        <f t="shared" si="248"/>
        <v/>
      </c>
      <c r="N3144" s="7" t="str">
        <f t="shared" si="252"/>
        <v/>
      </c>
      <c r="O3144" s="8"/>
      <c r="P3144" s="26"/>
      <c r="S3144" s="10" t="str">
        <f t="shared" si="249"/>
        <v/>
      </c>
    </row>
    <row r="3145" spans="5:19" x14ac:dyDescent="0.3">
      <c r="E3145" s="9" t="str">
        <f>IF(DADOS!C3145="","",DADOS!C3145)</f>
        <v/>
      </c>
      <c r="F3145" s="9" t="str">
        <f>IF(DADOS!E3145="","",DADOS!E3145)</f>
        <v/>
      </c>
      <c r="G3145" s="9" t="str">
        <f>IF(DADOS!F3145="","",DADOS!F3145)</f>
        <v/>
      </c>
      <c r="K3145" s="6" t="str">
        <f t="shared" si="250"/>
        <v/>
      </c>
      <c r="L3145" s="7" t="str">
        <f t="shared" si="251"/>
        <v/>
      </c>
      <c r="M3145" s="7" t="str">
        <f t="shared" si="248"/>
        <v/>
      </c>
      <c r="N3145" s="7" t="str">
        <f t="shared" si="252"/>
        <v/>
      </c>
      <c r="O3145" s="8"/>
      <c r="P3145" s="26"/>
      <c r="S3145" s="10" t="str">
        <f t="shared" si="249"/>
        <v/>
      </c>
    </row>
    <row r="3146" spans="5:19" x14ac:dyDescent="0.3">
      <c r="E3146" s="9" t="str">
        <f>IF(DADOS!C3146="","",DADOS!C3146)</f>
        <v/>
      </c>
      <c r="F3146" s="9" t="str">
        <f>IF(DADOS!E3146="","",DADOS!E3146)</f>
        <v/>
      </c>
      <c r="G3146" s="9" t="str">
        <f>IF(DADOS!F3146="","",DADOS!F3146)</f>
        <v/>
      </c>
      <c r="K3146" s="6" t="str">
        <f t="shared" si="250"/>
        <v/>
      </c>
      <c r="L3146" s="7" t="str">
        <f t="shared" si="251"/>
        <v/>
      </c>
      <c r="M3146" s="7" t="str">
        <f t="shared" si="248"/>
        <v/>
      </c>
      <c r="N3146" s="7" t="str">
        <f t="shared" si="252"/>
        <v/>
      </c>
      <c r="O3146" s="8"/>
      <c r="P3146" s="26"/>
      <c r="S3146" s="10" t="str">
        <f t="shared" si="249"/>
        <v/>
      </c>
    </row>
    <row r="3147" spans="5:19" x14ac:dyDescent="0.3">
      <c r="E3147" s="9" t="str">
        <f>IF(DADOS!C3147="","",DADOS!C3147)</f>
        <v/>
      </c>
      <c r="F3147" s="9" t="str">
        <f>IF(DADOS!E3147="","",DADOS!E3147)</f>
        <v/>
      </c>
      <c r="G3147" s="9" t="str">
        <f>IF(DADOS!F3147="","",DADOS!F3147)</f>
        <v/>
      </c>
      <c r="K3147" s="6" t="str">
        <f t="shared" si="250"/>
        <v/>
      </c>
      <c r="L3147" s="7" t="str">
        <f t="shared" si="251"/>
        <v/>
      </c>
      <c r="M3147" s="7" t="str">
        <f t="shared" si="248"/>
        <v/>
      </c>
      <c r="N3147" s="7" t="str">
        <f t="shared" si="252"/>
        <v/>
      </c>
      <c r="O3147" s="8"/>
      <c r="P3147" s="26"/>
      <c r="S3147" s="10" t="str">
        <f t="shared" si="249"/>
        <v/>
      </c>
    </row>
    <row r="3148" spans="5:19" x14ac:dyDescent="0.3">
      <c r="E3148" s="9" t="str">
        <f>IF(DADOS!C3148="","",DADOS!C3148)</f>
        <v/>
      </c>
      <c r="F3148" s="9" t="str">
        <f>IF(DADOS!E3148="","",DADOS!E3148)</f>
        <v/>
      </c>
      <c r="G3148" s="9" t="str">
        <f>IF(DADOS!F3148="","",DADOS!F3148)</f>
        <v/>
      </c>
      <c r="K3148" s="6" t="str">
        <f t="shared" si="250"/>
        <v/>
      </c>
      <c r="L3148" s="7" t="str">
        <f t="shared" si="251"/>
        <v/>
      </c>
      <c r="M3148" s="7" t="str">
        <f t="shared" si="248"/>
        <v/>
      </c>
      <c r="N3148" s="7" t="str">
        <f t="shared" si="252"/>
        <v/>
      </c>
      <c r="O3148" s="8"/>
      <c r="P3148" s="26"/>
      <c r="S3148" s="10" t="str">
        <f t="shared" si="249"/>
        <v/>
      </c>
    </row>
    <row r="3149" spans="5:19" x14ac:dyDescent="0.3">
      <c r="E3149" s="9" t="str">
        <f>IF(DADOS!C3149="","",DADOS!C3149)</f>
        <v/>
      </c>
      <c r="F3149" s="9" t="str">
        <f>IF(DADOS!E3149="","",DADOS!E3149)</f>
        <v/>
      </c>
      <c r="G3149" s="9" t="str">
        <f>IF(DADOS!F3149="","",DADOS!F3149)</f>
        <v/>
      </c>
      <c r="K3149" s="6" t="str">
        <f t="shared" si="250"/>
        <v/>
      </c>
      <c r="L3149" s="7" t="str">
        <f t="shared" si="251"/>
        <v/>
      </c>
      <c r="M3149" s="7" t="str">
        <f t="shared" si="248"/>
        <v/>
      </c>
      <c r="N3149" s="7" t="str">
        <f t="shared" si="252"/>
        <v/>
      </c>
      <c r="O3149" s="8"/>
      <c r="P3149" s="26"/>
      <c r="S3149" s="10" t="str">
        <f t="shared" si="249"/>
        <v/>
      </c>
    </row>
    <row r="3150" spans="5:19" x14ac:dyDescent="0.3">
      <c r="E3150" s="9" t="str">
        <f>IF(DADOS!C3150="","",DADOS!C3150)</f>
        <v/>
      </c>
      <c r="F3150" s="9" t="str">
        <f>IF(DADOS!E3150="","",DADOS!E3150)</f>
        <v/>
      </c>
      <c r="G3150" s="9" t="str">
        <f>IF(DADOS!F3150="","",DADOS!F3150)</f>
        <v/>
      </c>
      <c r="K3150" s="6" t="str">
        <f t="shared" si="250"/>
        <v/>
      </c>
      <c r="L3150" s="7" t="str">
        <f t="shared" si="251"/>
        <v/>
      </c>
      <c r="M3150" s="7" t="str">
        <f t="shared" si="248"/>
        <v/>
      </c>
      <c r="N3150" s="7" t="str">
        <f t="shared" si="252"/>
        <v/>
      </c>
      <c r="O3150" s="8"/>
      <c r="P3150" s="26"/>
      <c r="S3150" s="10" t="str">
        <f t="shared" si="249"/>
        <v/>
      </c>
    </row>
    <row r="3151" spans="5:19" x14ac:dyDescent="0.3">
      <c r="E3151" s="9" t="str">
        <f>IF(DADOS!C3151="","",DADOS!C3151)</f>
        <v/>
      </c>
      <c r="F3151" s="9" t="str">
        <f>IF(DADOS!E3151="","",DADOS!E3151)</f>
        <v/>
      </c>
      <c r="G3151" s="9" t="str">
        <f>IF(DADOS!F3151="","",DADOS!F3151)</f>
        <v/>
      </c>
      <c r="K3151" s="6" t="str">
        <f t="shared" si="250"/>
        <v/>
      </c>
      <c r="L3151" s="7" t="str">
        <f t="shared" si="251"/>
        <v/>
      </c>
      <c r="M3151" s="7" t="str">
        <f t="shared" si="248"/>
        <v/>
      </c>
      <c r="N3151" s="7" t="str">
        <f t="shared" si="252"/>
        <v/>
      </c>
      <c r="O3151" s="8"/>
      <c r="P3151" s="26"/>
      <c r="S3151" s="10" t="str">
        <f t="shared" si="249"/>
        <v/>
      </c>
    </row>
    <row r="3152" spans="5:19" x14ac:dyDescent="0.3">
      <c r="E3152" s="9" t="str">
        <f>IF(DADOS!C3152="","",DADOS!C3152)</f>
        <v/>
      </c>
      <c r="F3152" s="9" t="str">
        <f>IF(DADOS!E3152="","",DADOS!E3152)</f>
        <v/>
      </c>
      <c r="G3152" s="9" t="str">
        <f>IF(DADOS!F3152="","",DADOS!F3152)</f>
        <v/>
      </c>
      <c r="K3152" s="6" t="str">
        <f t="shared" si="250"/>
        <v/>
      </c>
      <c r="L3152" s="7" t="str">
        <f t="shared" si="251"/>
        <v/>
      </c>
      <c r="M3152" s="7" t="str">
        <f t="shared" si="248"/>
        <v/>
      </c>
      <c r="N3152" s="7" t="str">
        <f t="shared" si="252"/>
        <v/>
      </c>
      <c r="O3152" s="8"/>
      <c r="P3152" s="26"/>
      <c r="S3152" s="10" t="str">
        <f t="shared" si="249"/>
        <v/>
      </c>
    </row>
    <row r="3153" spans="5:19" x14ac:dyDescent="0.3">
      <c r="E3153" s="9" t="str">
        <f>IF(DADOS!C3153="","",DADOS!C3153)</f>
        <v/>
      </c>
      <c r="F3153" s="9" t="str">
        <f>IF(DADOS!E3153="","",DADOS!E3153)</f>
        <v/>
      </c>
      <c r="G3153" s="9" t="str">
        <f>IF(DADOS!F3153="","",DADOS!F3153)</f>
        <v/>
      </c>
      <c r="K3153" s="6" t="str">
        <f t="shared" si="250"/>
        <v/>
      </c>
      <c r="L3153" s="7" t="str">
        <f t="shared" si="251"/>
        <v/>
      </c>
      <c r="M3153" s="7" t="str">
        <f t="shared" si="248"/>
        <v/>
      </c>
      <c r="N3153" s="7" t="str">
        <f t="shared" si="252"/>
        <v/>
      </c>
      <c r="O3153" s="8"/>
      <c r="P3153" s="26"/>
      <c r="S3153" s="10" t="str">
        <f t="shared" si="249"/>
        <v/>
      </c>
    </row>
    <row r="3154" spans="5:19" x14ac:dyDescent="0.3">
      <c r="E3154" s="9" t="str">
        <f>IF(DADOS!C3154="","",DADOS!C3154)</f>
        <v/>
      </c>
      <c r="F3154" s="9" t="str">
        <f>IF(DADOS!E3154="","",DADOS!E3154)</f>
        <v/>
      </c>
      <c r="G3154" s="9" t="str">
        <f>IF(DADOS!F3154="","",DADOS!F3154)</f>
        <v/>
      </c>
      <c r="K3154" s="6" t="str">
        <f t="shared" si="250"/>
        <v/>
      </c>
      <c r="L3154" s="7" t="str">
        <f t="shared" si="251"/>
        <v/>
      </c>
      <c r="M3154" s="7" t="str">
        <f t="shared" si="248"/>
        <v/>
      </c>
      <c r="N3154" s="7" t="str">
        <f t="shared" si="252"/>
        <v/>
      </c>
      <c r="O3154" s="8"/>
      <c r="P3154" s="26"/>
      <c r="S3154" s="10" t="str">
        <f t="shared" si="249"/>
        <v/>
      </c>
    </row>
    <row r="3155" spans="5:19" x14ac:dyDescent="0.3">
      <c r="E3155" s="9" t="str">
        <f>IF(DADOS!C3155="","",DADOS!C3155)</f>
        <v/>
      </c>
      <c r="F3155" s="9" t="str">
        <f>IF(DADOS!E3155="","",DADOS!E3155)</f>
        <v/>
      </c>
      <c r="G3155" s="9" t="str">
        <f>IF(DADOS!F3155="","",DADOS!F3155)</f>
        <v/>
      </c>
      <c r="K3155" s="6" t="str">
        <f t="shared" si="250"/>
        <v/>
      </c>
      <c r="L3155" s="7" t="str">
        <f t="shared" si="251"/>
        <v/>
      </c>
      <c r="M3155" s="7" t="str">
        <f t="shared" si="248"/>
        <v/>
      </c>
      <c r="N3155" s="7" t="str">
        <f t="shared" si="252"/>
        <v/>
      </c>
      <c r="O3155" s="8"/>
      <c r="P3155" s="26"/>
      <c r="S3155" s="10" t="str">
        <f t="shared" si="249"/>
        <v/>
      </c>
    </row>
    <row r="3156" spans="5:19" x14ac:dyDescent="0.3">
      <c r="E3156" s="9" t="str">
        <f>IF(DADOS!C3156="","",DADOS!C3156)</f>
        <v/>
      </c>
      <c r="F3156" s="9" t="str">
        <f>IF(DADOS!E3156="","",DADOS!E3156)</f>
        <v/>
      </c>
      <c r="G3156" s="9" t="str">
        <f>IF(DADOS!F3156="","",DADOS!F3156)</f>
        <v/>
      </c>
      <c r="K3156" s="6" t="str">
        <f t="shared" si="250"/>
        <v/>
      </c>
      <c r="L3156" s="7" t="str">
        <f t="shared" si="251"/>
        <v/>
      </c>
      <c r="M3156" s="7" t="str">
        <f t="shared" si="248"/>
        <v/>
      </c>
      <c r="N3156" s="7" t="str">
        <f t="shared" si="252"/>
        <v/>
      </c>
      <c r="O3156" s="8"/>
      <c r="P3156" s="26"/>
      <c r="S3156" s="10" t="str">
        <f t="shared" si="249"/>
        <v/>
      </c>
    </row>
    <row r="3157" spans="5:19" x14ac:dyDescent="0.3">
      <c r="E3157" s="9" t="str">
        <f>IF(DADOS!C3157="","",DADOS!C3157)</f>
        <v/>
      </c>
      <c r="F3157" s="9" t="str">
        <f>IF(DADOS!E3157="","",DADOS!E3157)</f>
        <v/>
      </c>
      <c r="G3157" s="9" t="str">
        <f>IF(DADOS!F3157="","",DADOS!F3157)</f>
        <v/>
      </c>
      <c r="K3157" s="6" t="str">
        <f t="shared" si="250"/>
        <v/>
      </c>
      <c r="L3157" s="7" t="str">
        <f t="shared" si="251"/>
        <v/>
      </c>
      <c r="M3157" s="7" t="str">
        <f t="shared" si="248"/>
        <v/>
      </c>
      <c r="N3157" s="7" t="str">
        <f t="shared" si="252"/>
        <v/>
      </c>
      <c r="O3157" s="8"/>
      <c r="P3157" s="26"/>
      <c r="S3157" s="10" t="str">
        <f t="shared" si="249"/>
        <v/>
      </c>
    </row>
    <row r="3158" spans="5:19" x14ac:dyDescent="0.3">
      <c r="E3158" s="9" t="str">
        <f>IF(DADOS!C3158="","",DADOS!C3158)</f>
        <v/>
      </c>
      <c r="F3158" s="9" t="str">
        <f>IF(DADOS!E3158="","",DADOS!E3158)</f>
        <v/>
      </c>
      <c r="G3158" s="9" t="str">
        <f>IF(DADOS!F3158="","",DADOS!F3158)</f>
        <v/>
      </c>
      <c r="K3158" s="6" t="str">
        <f t="shared" si="250"/>
        <v/>
      </c>
      <c r="L3158" s="7" t="str">
        <f t="shared" si="251"/>
        <v/>
      </c>
      <c r="M3158" s="7" t="str">
        <f t="shared" si="248"/>
        <v/>
      </c>
      <c r="N3158" s="7" t="str">
        <f t="shared" si="252"/>
        <v/>
      </c>
      <c r="O3158" s="8"/>
      <c r="P3158" s="26"/>
      <c r="S3158" s="10" t="str">
        <f t="shared" si="249"/>
        <v/>
      </c>
    </row>
    <row r="3159" spans="5:19" x14ac:dyDescent="0.3">
      <c r="E3159" s="9" t="str">
        <f>IF(DADOS!C3159="","",DADOS!C3159)</f>
        <v/>
      </c>
      <c r="F3159" s="9" t="str">
        <f>IF(DADOS!E3159="","",DADOS!E3159)</f>
        <v/>
      </c>
      <c r="G3159" s="9" t="str">
        <f>IF(DADOS!F3159="","",DADOS!F3159)</f>
        <v/>
      </c>
      <c r="K3159" s="6" t="str">
        <f t="shared" si="250"/>
        <v/>
      </c>
      <c r="L3159" s="7" t="str">
        <f t="shared" si="251"/>
        <v/>
      </c>
      <c r="M3159" s="7" t="str">
        <f t="shared" si="248"/>
        <v/>
      </c>
      <c r="N3159" s="7" t="str">
        <f t="shared" si="252"/>
        <v/>
      </c>
      <c r="O3159" s="8"/>
      <c r="P3159" s="26"/>
      <c r="S3159" s="10" t="str">
        <f t="shared" si="249"/>
        <v/>
      </c>
    </row>
    <row r="3160" spans="5:19" x14ac:dyDescent="0.3">
      <c r="E3160" s="9" t="str">
        <f>IF(DADOS!C3160="","",DADOS!C3160)</f>
        <v/>
      </c>
      <c r="F3160" s="9" t="str">
        <f>IF(DADOS!E3160="","",DADOS!E3160)</f>
        <v/>
      </c>
      <c r="G3160" s="9" t="str">
        <f>IF(DADOS!F3160="","",DADOS!F3160)</f>
        <v/>
      </c>
      <c r="K3160" s="6" t="str">
        <f t="shared" si="250"/>
        <v/>
      </c>
      <c r="L3160" s="7" t="str">
        <f t="shared" si="251"/>
        <v/>
      </c>
      <c r="M3160" s="7" t="str">
        <f t="shared" si="248"/>
        <v/>
      </c>
      <c r="N3160" s="7" t="str">
        <f t="shared" si="252"/>
        <v/>
      </c>
      <c r="O3160" s="8"/>
      <c r="P3160" s="26"/>
      <c r="S3160" s="10" t="str">
        <f t="shared" si="249"/>
        <v/>
      </c>
    </row>
    <row r="3161" spans="5:19" x14ac:dyDescent="0.3">
      <c r="E3161" s="9" t="str">
        <f>IF(DADOS!C3161="","",DADOS!C3161)</f>
        <v/>
      </c>
      <c r="F3161" s="9" t="str">
        <f>IF(DADOS!E3161="","",DADOS!E3161)</f>
        <v/>
      </c>
      <c r="G3161" s="9" t="str">
        <f>IF(DADOS!F3161="","",DADOS!F3161)</f>
        <v/>
      </c>
      <c r="K3161" s="6" t="str">
        <f t="shared" si="250"/>
        <v/>
      </c>
      <c r="L3161" s="7" t="str">
        <f t="shared" si="251"/>
        <v/>
      </c>
      <c r="M3161" s="7" t="str">
        <f t="shared" si="248"/>
        <v/>
      </c>
      <c r="N3161" s="7" t="str">
        <f t="shared" si="252"/>
        <v/>
      </c>
      <c r="O3161" s="8"/>
      <c r="P3161" s="26"/>
      <c r="S3161" s="10" t="str">
        <f t="shared" si="249"/>
        <v/>
      </c>
    </row>
    <row r="3162" spans="5:19" x14ac:dyDescent="0.3">
      <c r="E3162" s="9" t="str">
        <f>IF(DADOS!C3162="","",DADOS!C3162)</f>
        <v/>
      </c>
      <c r="F3162" s="9" t="str">
        <f>IF(DADOS!E3162="","",DADOS!E3162)</f>
        <v/>
      </c>
      <c r="G3162" s="9" t="str">
        <f>IF(DADOS!F3162="","",DADOS!F3162)</f>
        <v/>
      </c>
      <c r="K3162" s="6" t="str">
        <f t="shared" si="250"/>
        <v/>
      </c>
      <c r="L3162" s="7" t="str">
        <f t="shared" si="251"/>
        <v/>
      </c>
      <c r="M3162" s="7" t="str">
        <f t="shared" si="248"/>
        <v/>
      </c>
      <c r="N3162" s="7" t="str">
        <f t="shared" si="252"/>
        <v/>
      </c>
      <c r="O3162" s="8"/>
      <c r="P3162" s="26"/>
      <c r="S3162" s="10" t="str">
        <f t="shared" si="249"/>
        <v/>
      </c>
    </row>
    <row r="3163" spans="5:19" x14ac:dyDescent="0.3">
      <c r="E3163" s="9" t="str">
        <f>IF(DADOS!C3163="","",DADOS!C3163)</f>
        <v/>
      </c>
      <c r="F3163" s="9" t="str">
        <f>IF(DADOS!E3163="","",DADOS!E3163)</f>
        <v/>
      </c>
      <c r="G3163" s="9" t="str">
        <f>IF(DADOS!F3163="","",DADOS!F3163)</f>
        <v/>
      </c>
      <c r="K3163" s="6" t="str">
        <f t="shared" si="250"/>
        <v/>
      </c>
      <c r="L3163" s="7" t="str">
        <f t="shared" si="251"/>
        <v/>
      </c>
      <c r="M3163" s="7" t="str">
        <f t="shared" si="248"/>
        <v/>
      </c>
      <c r="N3163" s="7" t="str">
        <f t="shared" si="252"/>
        <v/>
      </c>
      <c r="O3163" s="8"/>
      <c r="P3163" s="26"/>
      <c r="S3163" s="10" t="str">
        <f t="shared" si="249"/>
        <v/>
      </c>
    </row>
    <row r="3164" spans="5:19" x14ac:dyDescent="0.3">
      <c r="E3164" s="9" t="str">
        <f>IF(DADOS!C3164="","",DADOS!C3164)</f>
        <v/>
      </c>
      <c r="F3164" s="9" t="str">
        <f>IF(DADOS!E3164="","",DADOS!E3164)</f>
        <v/>
      </c>
      <c r="G3164" s="9" t="str">
        <f>IF(DADOS!F3164="","",DADOS!F3164)</f>
        <v/>
      </c>
      <c r="K3164" s="6" t="str">
        <f t="shared" si="250"/>
        <v/>
      </c>
      <c r="L3164" s="7" t="str">
        <f t="shared" si="251"/>
        <v/>
      </c>
      <c r="M3164" s="7" t="str">
        <f t="shared" si="248"/>
        <v/>
      </c>
      <c r="N3164" s="7" t="str">
        <f t="shared" si="252"/>
        <v/>
      </c>
      <c r="O3164" s="8"/>
      <c r="P3164" s="26"/>
      <c r="S3164" s="10" t="str">
        <f t="shared" si="249"/>
        <v/>
      </c>
    </row>
    <row r="3165" spans="5:19" x14ac:dyDescent="0.3">
      <c r="E3165" s="9" t="str">
        <f>IF(DADOS!C3165="","",DADOS!C3165)</f>
        <v/>
      </c>
      <c r="F3165" s="9" t="str">
        <f>IF(DADOS!E3165="","",DADOS!E3165)</f>
        <v/>
      </c>
      <c r="G3165" s="9" t="str">
        <f>IF(DADOS!F3165="","",DADOS!F3165)</f>
        <v/>
      </c>
      <c r="K3165" s="6" t="str">
        <f t="shared" si="250"/>
        <v/>
      </c>
      <c r="L3165" s="7" t="str">
        <f t="shared" si="251"/>
        <v/>
      </c>
      <c r="M3165" s="7" t="str">
        <f t="shared" si="248"/>
        <v/>
      </c>
      <c r="N3165" s="7" t="str">
        <f t="shared" si="252"/>
        <v/>
      </c>
      <c r="O3165" s="8"/>
      <c r="P3165" s="26"/>
      <c r="S3165" s="10" t="str">
        <f t="shared" si="249"/>
        <v/>
      </c>
    </row>
    <row r="3166" spans="5:19" x14ac:dyDescent="0.3">
      <c r="E3166" s="9" t="str">
        <f>IF(DADOS!C3166="","",DADOS!C3166)</f>
        <v/>
      </c>
      <c r="F3166" s="9" t="str">
        <f>IF(DADOS!E3166="","",DADOS!E3166)</f>
        <v/>
      </c>
      <c r="G3166" s="9" t="str">
        <f>IF(DADOS!F3166="","",DADOS!F3166)</f>
        <v/>
      </c>
      <c r="K3166" s="6" t="str">
        <f t="shared" si="250"/>
        <v/>
      </c>
      <c r="L3166" s="7" t="str">
        <f t="shared" si="251"/>
        <v/>
      </c>
      <c r="M3166" s="7" t="str">
        <f t="shared" si="248"/>
        <v/>
      </c>
      <c r="N3166" s="7" t="str">
        <f t="shared" si="252"/>
        <v/>
      </c>
      <c r="O3166" s="8"/>
      <c r="P3166" s="26"/>
      <c r="S3166" s="10" t="str">
        <f t="shared" si="249"/>
        <v/>
      </c>
    </row>
    <row r="3167" spans="5:19" x14ac:dyDescent="0.3">
      <c r="E3167" s="9" t="str">
        <f>IF(DADOS!C3167="","",DADOS!C3167)</f>
        <v/>
      </c>
      <c r="F3167" s="9" t="str">
        <f>IF(DADOS!E3167="","",DADOS!E3167)</f>
        <v/>
      </c>
      <c r="G3167" s="9" t="str">
        <f>IF(DADOS!F3167="","",DADOS!F3167)</f>
        <v/>
      </c>
      <c r="K3167" s="6" t="str">
        <f t="shared" si="250"/>
        <v/>
      </c>
      <c r="L3167" s="7" t="str">
        <f t="shared" si="251"/>
        <v/>
      </c>
      <c r="M3167" s="7" t="str">
        <f t="shared" si="248"/>
        <v/>
      </c>
      <c r="N3167" s="7" t="str">
        <f t="shared" si="252"/>
        <v/>
      </c>
      <c r="O3167" s="8"/>
      <c r="P3167" s="26"/>
      <c r="S3167" s="10" t="str">
        <f t="shared" si="249"/>
        <v/>
      </c>
    </row>
    <row r="3168" spans="5:19" x14ac:dyDescent="0.3">
      <c r="E3168" s="9" t="str">
        <f>IF(DADOS!C3168="","",DADOS!C3168)</f>
        <v/>
      </c>
      <c r="F3168" s="9" t="str">
        <f>IF(DADOS!E3168="","",DADOS!E3168)</f>
        <v/>
      </c>
      <c r="G3168" s="9" t="str">
        <f>IF(DADOS!F3168="","",DADOS!F3168)</f>
        <v/>
      </c>
      <c r="K3168" s="6" t="str">
        <f t="shared" si="250"/>
        <v/>
      </c>
      <c r="L3168" s="7" t="str">
        <f t="shared" si="251"/>
        <v/>
      </c>
      <c r="M3168" s="7" t="str">
        <f t="shared" si="248"/>
        <v/>
      </c>
      <c r="N3168" s="7" t="str">
        <f t="shared" si="252"/>
        <v/>
      </c>
      <c r="O3168" s="8"/>
      <c r="P3168" s="26"/>
      <c r="S3168" s="10" t="str">
        <f t="shared" si="249"/>
        <v/>
      </c>
    </row>
    <row r="3169" spans="5:19" x14ac:dyDescent="0.3">
      <c r="E3169" s="9" t="str">
        <f>IF(DADOS!C3169="","",DADOS!C3169)</f>
        <v/>
      </c>
      <c r="F3169" s="9" t="str">
        <f>IF(DADOS!E3169="","",DADOS!E3169)</f>
        <v/>
      </c>
      <c r="G3169" s="9" t="str">
        <f>IF(DADOS!F3169="","",DADOS!F3169)</f>
        <v/>
      </c>
      <c r="K3169" s="6" t="str">
        <f t="shared" si="250"/>
        <v/>
      </c>
      <c r="L3169" s="7" t="str">
        <f t="shared" si="251"/>
        <v/>
      </c>
      <c r="M3169" s="7" t="str">
        <f t="shared" si="248"/>
        <v/>
      </c>
      <c r="N3169" s="7" t="str">
        <f t="shared" si="252"/>
        <v/>
      </c>
      <c r="O3169" s="8"/>
      <c r="P3169" s="26"/>
      <c r="S3169" s="10" t="str">
        <f t="shared" si="249"/>
        <v/>
      </c>
    </row>
    <row r="3170" spans="5:19" x14ac:dyDescent="0.3">
      <c r="E3170" s="9" t="str">
        <f>IF(DADOS!C3170="","",DADOS!C3170)</f>
        <v/>
      </c>
      <c r="F3170" s="9" t="str">
        <f>IF(DADOS!E3170="","",DADOS!E3170)</f>
        <v/>
      </c>
      <c r="G3170" s="9" t="str">
        <f>IF(DADOS!F3170="","",DADOS!F3170)</f>
        <v/>
      </c>
      <c r="K3170" s="6" t="str">
        <f t="shared" si="250"/>
        <v/>
      </c>
      <c r="L3170" s="7" t="str">
        <f t="shared" si="251"/>
        <v/>
      </c>
      <c r="M3170" s="7" t="str">
        <f t="shared" si="248"/>
        <v/>
      </c>
      <c r="N3170" s="7" t="str">
        <f t="shared" si="252"/>
        <v/>
      </c>
      <c r="O3170" s="8"/>
      <c r="P3170" s="26"/>
      <c r="S3170" s="10" t="str">
        <f t="shared" si="249"/>
        <v/>
      </c>
    </row>
    <row r="3171" spans="5:19" x14ac:dyDescent="0.3">
      <c r="E3171" s="9" t="str">
        <f>IF(DADOS!C3171="","",DADOS!C3171)</f>
        <v/>
      </c>
      <c r="F3171" s="9" t="str">
        <f>IF(DADOS!E3171="","",DADOS!E3171)</f>
        <v/>
      </c>
      <c r="G3171" s="9" t="str">
        <f>IF(DADOS!F3171="","",DADOS!F3171)</f>
        <v/>
      </c>
      <c r="K3171" s="6" t="str">
        <f t="shared" si="250"/>
        <v/>
      </c>
      <c r="L3171" s="7" t="str">
        <f t="shared" si="251"/>
        <v/>
      </c>
      <c r="M3171" s="7" t="str">
        <f t="shared" si="248"/>
        <v/>
      </c>
      <c r="N3171" s="7" t="str">
        <f t="shared" si="252"/>
        <v/>
      </c>
      <c r="O3171" s="8"/>
      <c r="P3171" s="26"/>
      <c r="S3171" s="10" t="str">
        <f t="shared" si="249"/>
        <v/>
      </c>
    </row>
    <row r="3172" spans="5:19" x14ac:dyDescent="0.3">
      <c r="E3172" s="9" t="str">
        <f>IF(DADOS!C3172="","",DADOS!C3172)</f>
        <v/>
      </c>
      <c r="F3172" s="9" t="str">
        <f>IF(DADOS!E3172="","",DADOS!E3172)</f>
        <v/>
      </c>
      <c r="G3172" s="9" t="str">
        <f>IF(DADOS!F3172="","",DADOS!F3172)</f>
        <v/>
      </c>
      <c r="K3172" s="6" t="str">
        <f t="shared" si="250"/>
        <v/>
      </c>
      <c r="L3172" s="7" t="str">
        <f t="shared" si="251"/>
        <v/>
      </c>
      <c r="M3172" s="7" t="str">
        <f t="shared" si="248"/>
        <v/>
      </c>
      <c r="N3172" s="7" t="str">
        <f t="shared" si="252"/>
        <v/>
      </c>
      <c r="O3172" s="8"/>
      <c r="P3172" s="26"/>
      <c r="S3172" s="10" t="str">
        <f t="shared" si="249"/>
        <v/>
      </c>
    </row>
    <row r="3173" spans="5:19" x14ac:dyDescent="0.3">
      <c r="E3173" s="9" t="str">
        <f>IF(DADOS!C3173="","",DADOS!C3173)</f>
        <v/>
      </c>
      <c r="F3173" s="9" t="str">
        <f>IF(DADOS!E3173="","",DADOS!E3173)</f>
        <v/>
      </c>
      <c r="G3173" s="9" t="str">
        <f>IF(DADOS!F3173="","",DADOS!F3173)</f>
        <v/>
      </c>
      <c r="K3173" s="6" t="str">
        <f t="shared" si="250"/>
        <v/>
      </c>
      <c r="L3173" s="7" t="str">
        <f t="shared" si="251"/>
        <v/>
      </c>
      <c r="M3173" s="7" t="str">
        <f t="shared" si="248"/>
        <v/>
      </c>
      <c r="N3173" s="7" t="str">
        <f t="shared" si="252"/>
        <v/>
      </c>
      <c r="O3173" s="8"/>
      <c r="P3173" s="26"/>
      <c r="S3173" s="10" t="str">
        <f t="shared" si="249"/>
        <v/>
      </c>
    </row>
    <row r="3174" spans="5:19" x14ac:dyDescent="0.3">
      <c r="E3174" s="9" t="str">
        <f>IF(DADOS!C3174="","",DADOS!C3174)</f>
        <v/>
      </c>
      <c r="F3174" s="9" t="str">
        <f>IF(DADOS!E3174="","",DADOS!E3174)</f>
        <v/>
      </c>
      <c r="G3174" s="9" t="str">
        <f>IF(DADOS!F3174="","",DADOS!F3174)</f>
        <v/>
      </c>
      <c r="K3174" s="6" t="str">
        <f t="shared" si="250"/>
        <v/>
      </c>
      <c r="L3174" s="7" t="str">
        <f t="shared" si="251"/>
        <v/>
      </c>
      <c r="M3174" s="7" t="str">
        <f t="shared" si="248"/>
        <v/>
      </c>
      <c r="N3174" s="7" t="str">
        <f t="shared" si="252"/>
        <v/>
      </c>
      <c r="O3174" s="8"/>
      <c r="P3174" s="26"/>
      <c r="S3174" s="10" t="str">
        <f t="shared" si="249"/>
        <v/>
      </c>
    </row>
    <row r="3175" spans="5:19" x14ac:dyDescent="0.3">
      <c r="E3175" s="9" t="str">
        <f>IF(DADOS!C3175="","",DADOS!C3175)</f>
        <v/>
      </c>
      <c r="F3175" s="9" t="str">
        <f>IF(DADOS!E3175="","",DADOS!E3175)</f>
        <v/>
      </c>
      <c r="G3175" s="9" t="str">
        <f>IF(DADOS!F3175="","",DADOS!F3175)</f>
        <v/>
      </c>
      <c r="K3175" s="6" t="str">
        <f t="shared" si="250"/>
        <v/>
      </c>
      <c r="L3175" s="7" t="str">
        <f t="shared" si="251"/>
        <v/>
      </c>
      <c r="M3175" s="7" t="str">
        <f t="shared" si="248"/>
        <v/>
      </c>
      <c r="N3175" s="7" t="str">
        <f t="shared" si="252"/>
        <v/>
      </c>
      <c r="O3175" s="8"/>
      <c r="P3175" s="26"/>
      <c r="S3175" s="10" t="str">
        <f t="shared" si="249"/>
        <v/>
      </c>
    </row>
    <row r="3176" spans="5:19" x14ac:dyDescent="0.3">
      <c r="E3176" s="9" t="str">
        <f>IF(DADOS!C3176="","",DADOS!C3176)</f>
        <v/>
      </c>
      <c r="F3176" s="9" t="str">
        <f>IF(DADOS!E3176="","",DADOS!E3176)</f>
        <v/>
      </c>
      <c r="G3176" s="9" t="str">
        <f>IF(DADOS!F3176="","",DADOS!F3176)</f>
        <v/>
      </c>
      <c r="K3176" s="6" t="str">
        <f t="shared" si="250"/>
        <v/>
      </c>
      <c r="L3176" s="7" t="str">
        <f t="shared" si="251"/>
        <v/>
      </c>
      <c r="M3176" s="7" t="str">
        <f t="shared" si="248"/>
        <v/>
      </c>
      <c r="N3176" s="7" t="str">
        <f t="shared" si="252"/>
        <v/>
      </c>
      <c r="O3176" s="8"/>
      <c r="P3176" s="26"/>
      <c r="S3176" s="10" t="str">
        <f t="shared" si="249"/>
        <v/>
      </c>
    </row>
    <row r="3177" spans="5:19" x14ac:dyDescent="0.3">
      <c r="E3177" s="9" t="str">
        <f>IF(DADOS!C3177="","",DADOS!C3177)</f>
        <v/>
      </c>
      <c r="F3177" s="9" t="str">
        <f>IF(DADOS!E3177="","",DADOS!E3177)</f>
        <v/>
      </c>
      <c r="G3177" s="9" t="str">
        <f>IF(DADOS!F3177="","",DADOS!F3177)</f>
        <v/>
      </c>
      <c r="K3177" s="6" t="str">
        <f t="shared" si="250"/>
        <v/>
      </c>
      <c r="L3177" s="7" t="str">
        <f t="shared" si="251"/>
        <v/>
      </c>
      <c r="M3177" s="7" t="str">
        <f t="shared" si="248"/>
        <v/>
      </c>
      <c r="N3177" s="7" t="str">
        <f t="shared" si="252"/>
        <v/>
      </c>
      <c r="O3177" s="8"/>
      <c r="P3177" s="26"/>
      <c r="S3177" s="10" t="str">
        <f t="shared" si="249"/>
        <v/>
      </c>
    </row>
    <row r="3178" spans="5:19" x14ac:dyDescent="0.3">
      <c r="E3178" s="9" t="str">
        <f>IF(DADOS!C3178="","",DADOS!C3178)</f>
        <v/>
      </c>
      <c r="F3178" s="9" t="str">
        <f>IF(DADOS!E3178="","",DADOS!E3178)</f>
        <v/>
      </c>
      <c r="G3178" s="9" t="str">
        <f>IF(DADOS!F3178="","",DADOS!F3178)</f>
        <v/>
      </c>
      <c r="K3178" s="6" t="str">
        <f t="shared" si="250"/>
        <v/>
      </c>
      <c r="L3178" s="7" t="str">
        <f t="shared" si="251"/>
        <v/>
      </c>
      <c r="M3178" s="7" t="str">
        <f t="shared" si="248"/>
        <v/>
      </c>
      <c r="N3178" s="7" t="str">
        <f t="shared" si="252"/>
        <v/>
      </c>
      <c r="O3178" s="8"/>
      <c r="P3178" s="26"/>
      <c r="S3178" s="10" t="str">
        <f t="shared" si="249"/>
        <v/>
      </c>
    </row>
    <row r="3179" spans="5:19" x14ac:dyDescent="0.3">
      <c r="E3179" s="9" t="str">
        <f>IF(DADOS!C3179="","",DADOS!C3179)</f>
        <v/>
      </c>
      <c r="F3179" s="9" t="str">
        <f>IF(DADOS!E3179="","",DADOS!E3179)</f>
        <v/>
      </c>
      <c r="G3179" s="9" t="str">
        <f>IF(DADOS!F3179="","",DADOS!F3179)</f>
        <v/>
      </c>
      <c r="K3179" s="6" t="str">
        <f t="shared" si="250"/>
        <v/>
      </c>
      <c r="L3179" s="7" t="str">
        <f t="shared" si="251"/>
        <v/>
      </c>
      <c r="M3179" s="7" t="str">
        <f t="shared" si="248"/>
        <v/>
      </c>
      <c r="N3179" s="7" t="str">
        <f t="shared" si="252"/>
        <v/>
      </c>
      <c r="O3179" s="8"/>
      <c r="P3179" s="26"/>
      <c r="S3179" s="10" t="str">
        <f t="shared" si="249"/>
        <v/>
      </c>
    </row>
    <row r="3180" spans="5:19" x14ac:dyDescent="0.3">
      <c r="E3180" s="9" t="str">
        <f>IF(DADOS!C3180="","",DADOS!C3180)</f>
        <v/>
      </c>
      <c r="F3180" s="9" t="str">
        <f>IF(DADOS!E3180="","",DADOS!E3180)</f>
        <v/>
      </c>
      <c r="G3180" s="9" t="str">
        <f>IF(DADOS!F3180="","",DADOS!F3180)</f>
        <v/>
      </c>
      <c r="K3180" s="6" t="str">
        <f t="shared" si="250"/>
        <v/>
      </c>
      <c r="L3180" s="7" t="str">
        <f t="shared" si="251"/>
        <v/>
      </c>
      <c r="M3180" s="7" t="str">
        <f t="shared" si="248"/>
        <v/>
      </c>
      <c r="N3180" s="7" t="str">
        <f t="shared" si="252"/>
        <v/>
      </c>
      <c r="O3180" s="8"/>
      <c r="P3180" s="26"/>
      <c r="S3180" s="10" t="str">
        <f t="shared" si="249"/>
        <v/>
      </c>
    </row>
    <row r="3181" spans="5:19" x14ac:dyDescent="0.3">
      <c r="E3181" s="9" t="str">
        <f>IF(DADOS!C3181="","",DADOS!C3181)</f>
        <v/>
      </c>
      <c r="F3181" s="9" t="str">
        <f>IF(DADOS!E3181="","",DADOS!E3181)</f>
        <v/>
      </c>
      <c r="G3181" s="9" t="str">
        <f>IF(DADOS!F3181="","",DADOS!F3181)</f>
        <v/>
      </c>
      <c r="K3181" s="6" t="str">
        <f t="shared" si="250"/>
        <v/>
      </c>
      <c r="L3181" s="7" t="str">
        <f t="shared" si="251"/>
        <v/>
      </c>
      <c r="M3181" s="7" t="str">
        <f t="shared" si="248"/>
        <v/>
      </c>
      <c r="N3181" s="7" t="str">
        <f t="shared" si="252"/>
        <v/>
      </c>
      <c r="O3181" s="8"/>
      <c r="P3181" s="26"/>
      <c r="S3181" s="10" t="str">
        <f t="shared" si="249"/>
        <v/>
      </c>
    </row>
    <row r="3182" spans="5:19" x14ac:dyDescent="0.3">
      <c r="E3182" s="9" t="str">
        <f>IF(DADOS!C3182="","",DADOS!C3182)</f>
        <v/>
      </c>
      <c r="F3182" s="9" t="str">
        <f>IF(DADOS!E3182="","",DADOS!E3182)</f>
        <v/>
      </c>
      <c r="G3182" s="9" t="str">
        <f>IF(DADOS!F3182="","",DADOS!F3182)</f>
        <v/>
      </c>
      <c r="K3182" s="6" t="str">
        <f t="shared" si="250"/>
        <v/>
      </c>
      <c r="L3182" s="7" t="str">
        <f t="shared" si="251"/>
        <v/>
      </c>
      <c r="M3182" s="7" t="str">
        <f t="shared" si="248"/>
        <v/>
      </c>
      <c r="N3182" s="7" t="str">
        <f t="shared" si="252"/>
        <v/>
      </c>
      <c r="O3182" s="8"/>
      <c r="P3182" s="26"/>
      <c r="S3182" s="10" t="str">
        <f t="shared" si="249"/>
        <v/>
      </c>
    </row>
    <row r="3183" spans="5:19" x14ac:dyDescent="0.3">
      <c r="E3183" s="9" t="str">
        <f>IF(DADOS!C3183="","",DADOS!C3183)</f>
        <v/>
      </c>
      <c r="F3183" s="9" t="str">
        <f>IF(DADOS!E3183="","",DADOS!E3183)</f>
        <v/>
      </c>
      <c r="G3183" s="9" t="str">
        <f>IF(DADOS!F3183="","",DADOS!F3183)</f>
        <v/>
      </c>
      <c r="K3183" s="6" t="str">
        <f t="shared" si="250"/>
        <v/>
      </c>
      <c r="L3183" s="7" t="str">
        <f t="shared" si="251"/>
        <v/>
      </c>
      <c r="M3183" s="7" t="str">
        <f t="shared" si="248"/>
        <v/>
      </c>
      <c r="N3183" s="7" t="str">
        <f t="shared" si="252"/>
        <v/>
      </c>
      <c r="O3183" s="8"/>
      <c r="P3183" s="26"/>
      <c r="S3183" s="10" t="str">
        <f t="shared" si="249"/>
        <v/>
      </c>
    </row>
    <row r="3184" spans="5:19" x14ac:dyDescent="0.3">
      <c r="E3184" s="9" t="str">
        <f>IF(DADOS!C3184="","",DADOS!C3184)</f>
        <v/>
      </c>
      <c r="F3184" s="9" t="str">
        <f>IF(DADOS!E3184="","",DADOS!E3184)</f>
        <v/>
      </c>
      <c r="G3184" s="9" t="str">
        <f>IF(DADOS!F3184="","",DADOS!F3184)</f>
        <v/>
      </c>
      <c r="K3184" s="6" t="str">
        <f t="shared" si="250"/>
        <v/>
      </c>
      <c r="L3184" s="7" t="str">
        <f t="shared" si="251"/>
        <v/>
      </c>
      <c r="M3184" s="7" t="str">
        <f t="shared" si="248"/>
        <v/>
      </c>
      <c r="N3184" s="7" t="str">
        <f t="shared" si="252"/>
        <v/>
      </c>
      <c r="O3184" s="8"/>
      <c r="P3184" s="26"/>
      <c r="S3184" s="10" t="str">
        <f t="shared" si="249"/>
        <v/>
      </c>
    </row>
    <row r="3185" spans="5:19" x14ac:dyDescent="0.3">
      <c r="E3185" s="9" t="str">
        <f>IF(DADOS!C3185="","",DADOS!C3185)</f>
        <v/>
      </c>
      <c r="F3185" s="9" t="str">
        <f>IF(DADOS!E3185="","",DADOS!E3185)</f>
        <v/>
      </c>
      <c r="G3185" s="9" t="str">
        <f>IF(DADOS!F3185="","",DADOS!F3185)</f>
        <v/>
      </c>
      <c r="K3185" s="6" t="str">
        <f t="shared" si="250"/>
        <v/>
      </c>
      <c r="L3185" s="7" t="str">
        <f t="shared" si="251"/>
        <v/>
      </c>
      <c r="M3185" s="7" t="str">
        <f t="shared" si="248"/>
        <v/>
      </c>
      <c r="N3185" s="7" t="str">
        <f t="shared" si="252"/>
        <v/>
      </c>
      <c r="O3185" s="8"/>
      <c r="P3185" s="26"/>
      <c r="S3185" s="10" t="str">
        <f t="shared" si="249"/>
        <v/>
      </c>
    </row>
    <row r="3186" spans="5:19" x14ac:dyDescent="0.3">
      <c r="E3186" s="9" t="str">
        <f>IF(DADOS!C3186="","",DADOS!C3186)</f>
        <v/>
      </c>
      <c r="F3186" s="9" t="str">
        <f>IF(DADOS!E3186="","",DADOS!E3186)</f>
        <v/>
      </c>
      <c r="G3186" s="9" t="str">
        <f>IF(DADOS!F3186="","",DADOS!F3186)</f>
        <v/>
      </c>
      <c r="K3186" s="6" t="str">
        <f t="shared" si="250"/>
        <v/>
      </c>
      <c r="L3186" s="7" t="str">
        <f t="shared" si="251"/>
        <v/>
      </c>
      <c r="M3186" s="7" t="str">
        <f t="shared" si="248"/>
        <v/>
      </c>
      <c r="N3186" s="7" t="str">
        <f t="shared" si="252"/>
        <v/>
      </c>
      <c r="O3186" s="8"/>
      <c r="P3186" s="26"/>
      <c r="S3186" s="10" t="str">
        <f t="shared" si="249"/>
        <v/>
      </c>
    </row>
    <row r="3187" spans="5:19" x14ac:dyDescent="0.3">
      <c r="E3187" s="9" t="str">
        <f>IF(DADOS!C3187="","",DADOS!C3187)</f>
        <v/>
      </c>
      <c r="F3187" s="9" t="str">
        <f>IF(DADOS!E3187="","",DADOS!E3187)</f>
        <v/>
      </c>
      <c r="G3187" s="9" t="str">
        <f>IF(DADOS!F3187="","",DADOS!F3187)</f>
        <v/>
      </c>
      <c r="K3187" s="6" t="str">
        <f t="shared" si="250"/>
        <v/>
      </c>
      <c r="L3187" s="7" t="str">
        <f t="shared" si="251"/>
        <v/>
      </c>
      <c r="M3187" s="7" t="str">
        <f t="shared" si="248"/>
        <v/>
      </c>
      <c r="N3187" s="7" t="str">
        <f t="shared" si="252"/>
        <v/>
      </c>
      <c r="O3187" s="8"/>
      <c r="P3187" s="26"/>
      <c r="S3187" s="10" t="str">
        <f t="shared" si="249"/>
        <v/>
      </c>
    </row>
    <row r="3188" spans="5:19" x14ac:dyDescent="0.3">
      <c r="E3188" s="9" t="str">
        <f>IF(DADOS!C3188="","",DADOS!C3188)</f>
        <v/>
      </c>
      <c r="F3188" s="9" t="str">
        <f>IF(DADOS!E3188="","",DADOS!E3188)</f>
        <v/>
      </c>
      <c r="G3188" s="9" t="str">
        <f>IF(DADOS!F3188="","",DADOS!F3188)</f>
        <v/>
      </c>
      <c r="K3188" s="6" t="str">
        <f t="shared" si="250"/>
        <v/>
      </c>
      <c r="L3188" s="7" t="str">
        <f t="shared" si="251"/>
        <v/>
      </c>
      <c r="M3188" s="7" t="str">
        <f t="shared" si="248"/>
        <v/>
      </c>
      <c r="N3188" s="7" t="str">
        <f t="shared" si="252"/>
        <v/>
      </c>
      <c r="O3188" s="8"/>
      <c r="P3188" s="26"/>
      <c r="S3188" s="10" t="str">
        <f t="shared" si="249"/>
        <v/>
      </c>
    </row>
    <row r="3189" spans="5:19" x14ac:dyDescent="0.3">
      <c r="E3189" s="9" t="str">
        <f>IF(DADOS!C3189="","",DADOS!C3189)</f>
        <v/>
      </c>
      <c r="F3189" s="9" t="str">
        <f>IF(DADOS!E3189="","",DADOS!E3189)</f>
        <v/>
      </c>
      <c r="G3189" s="9" t="str">
        <f>IF(DADOS!F3189="","",DADOS!F3189)</f>
        <v/>
      </c>
      <c r="K3189" s="6" t="str">
        <f t="shared" si="250"/>
        <v/>
      </c>
      <c r="L3189" s="7" t="str">
        <f t="shared" si="251"/>
        <v/>
      </c>
      <c r="M3189" s="7" t="str">
        <f t="shared" si="248"/>
        <v/>
      </c>
      <c r="N3189" s="7" t="str">
        <f t="shared" si="252"/>
        <v/>
      </c>
      <c r="O3189" s="8"/>
      <c r="P3189" s="26"/>
      <c r="S3189" s="10" t="str">
        <f t="shared" si="249"/>
        <v/>
      </c>
    </row>
    <row r="3190" spans="5:19" x14ac:dyDescent="0.3">
      <c r="E3190" s="9" t="str">
        <f>IF(DADOS!C3190="","",DADOS!C3190)</f>
        <v/>
      </c>
      <c r="F3190" s="9" t="str">
        <f>IF(DADOS!E3190="","",DADOS!E3190)</f>
        <v/>
      </c>
      <c r="G3190" s="9" t="str">
        <f>IF(DADOS!F3190="","",DADOS!F3190)</f>
        <v/>
      </c>
      <c r="K3190" s="6" t="str">
        <f t="shared" si="250"/>
        <v/>
      </c>
      <c r="L3190" s="7" t="str">
        <f t="shared" si="251"/>
        <v/>
      </c>
      <c r="M3190" s="7" t="str">
        <f t="shared" si="248"/>
        <v/>
      </c>
      <c r="N3190" s="7" t="str">
        <f t="shared" si="252"/>
        <v/>
      </c>
      <c r="O3190" s="8"/>
      <c r="P3190" s="26"/>
      <c r="S3190" s="10" t="str">
        <f t="shared" si="249"/>
        <v/>
      </c>
    </row>
    <row r="3191" spans="5:19" x14ac:dyDescent="0.3">
      <c r="E3191" s="9" t="str">
        <f>IF(DADOS!C3191="","",DADOS!C3191)</f>
        <v/>
      </c>
      <c r="F3191" s="9" t="str">
        <f>IF(DADOS!E3191="","",DADOS!E3191)</f>
        <v/>
      </c>
      <c r="G3191" s="9" t="str">
        <f>IF(DADOS!F3191="","",DADOS!F3191)</f>
        <v/>
      </c>
      <c r="K3191" s="6" t="str">
        <f t="shared" si="250"/>
        <v/>
      </c>
      <c r="L3191" s="7" t="str">
        <f t="shared" si="251"/>
        <v/>
      </c>
      <c r="M3191" s="7" t="str">
        <f t="shared" si="248"/>
        <v/>
      </c>
      <c r="N3191" s="7" t="str">
        <f t="shared" si="252"/>
        <v/>
      </c>
      <c r="O3191" s="8"/>
      <c r="P3191" s="26"/>
      <c r="S3191" s="10" t="str">
        <f t="shared" si="249"/>
        <v/>
      </c>
    </row>
    <row r="3192" spans="5:19" x14ac:dyDescent="0.3">
      <c r="E3192" s="9" t="str">
        <f>IF(DADOS!C3192="","",DADOS!C3192)</f>
        <v/>
      </c>
      <c r="F3192" s="9" t="str">
        <f>IF(DADOS!E3192="","",DADOS!E3192)</f>
        <v/>
      </c>
      <c r="G3192" s="9" t="str">
        <f>IF(DADOS!F3192="","",DADOS!F3192)</f>
        <v/>
      </c>
      <c r="K3192" s="6" t="str">
        <f t="shared" si="250"/>
        <v/>
      </c>
      <c r="L3192" s="7" t="str">
        <f t="shared" si="251"/>
        <v/>
      </c>
      <c r="M3192" s="7" t="str">
        <f t="shared" si="248"/>
        <v/>
      </c>
      <c r="N3192" s="7" t="str">
        <f t="shared" si="252"/>
        <v/>
      </c>
      <c r="O3192" s="8"/>
      <c r="P3192" s="26"/>
      <c r="S3192" s="10" t="str">
        <f t="shared" si="249"/>
        <v/>
      </c>
    </row>
    <row r="3193" spans="5:19" x14ac:dyDescent="0.3">
      <c r="E3193" s="9" t="str">
        <f>IF(DADOS!C3193="","",DADOS!C3193)</f>
        <v/>
      </c>
      <c r="F3193" s="9" t="str">
        <f>IF(DADOS!E3193="","",DADOS!E3193)</f>
        <v/>
      </c>
      <c r="G3193" s="9" t="str">
        <f>IF(DADOS!F3193="","",DADOS!F3193)</f>
        <v/>
      </c>
      <c r="K3193" s="6" t="str">
        <f t="shared" si="250"/>
        <v/>
      </c>
      <c r="L3193" s="7" t="str">
        <f t="shared" si="251"/>
        <v/>
      </c>
      <c r="M3193" s="7" t="str">
        <f t="shared" si="248"/>
        <v/>
      </c>
      <c r="N3193" s="7" t="str">
        <f t="shared" si="252"/>
        <v/>
      </c>
      <c r="O3193" s="8"/>
      <c r="P3193" s="26"/>
      <c r="S3193" s="10" t="str">
        <f t="shared" si="249"/>
        <v/>
      </c>
    </row>
    <row r="3194" spans="5:19" x14ac:dyDescent="0.3">
      <c r="E3194" s="9" t="str">
        <f>IF(DADOS!C3194="","",DADOS!C3194)</f>
        <v/>
      </c>
      <c r="F3194" s="9" t="str">
        <f>IF(DADOS!E3194="","",DADOS!E3194)</f>
        <v/>
      </c>
      <c r="G3194" s="9" t="str">
        <f>IF(DADOS!F3194="","",DADOS!F3194)</f>
        <v/>
      </c>
      <c r="K3194" s="6" t="str">
        <f t="shared" si="250"/>
        <v/>
      </c>
      <c r="L3194" s="7" t="str">
        <f t="shared" si="251"/>
        <v/>
      </c>
      <c r="M3194" s="7" t="str">
        <f t="shared" si="248"/>
        <v/>
      </c>
      <c r="N3194" s="7" t="str">
        <f t="shared" si="252"/>
        <v/>
      </c>
      <c r="O3194" s="8"/>
      <c r="P3194" s="26"/>
      <c r="S3194" s="10" t="str">
        <f t="shared" si="249"/>
        <v/>
      </c>
    </row>
    <row r="3195" spans="5:19" x14ac:dyDescent="0.3">
      <c r="E3195" s="9" t="str">
        <f>IF(DADOS!C3195="","",DADOS!C3195)</f>
        <v/>
      </c>
      <c r="F3195" s="9" t="str">
        <f>IF(DADOS!E3195="","",DADOS!E3195)</f>
        <v/>
      </c>
      <c r="G3195" s="9" t="str">
        <f>IF(DADOS!F3195="","",DADOS!F3195)</f>
        <v/>
      </c>
      <c r="K3195" s="6" t="str">
        <f t="shared" si="250"/>
        <v/>
      </c>
      <c r="L3195" s="7" t="str">
        <f t="shared" si="251"/>
        <v/>
      </c>
      <c r="M3195" s="7" t="str">
        <f t="shared" si="248"/>
        <v/>
      </c>
      <c r="N3195" s="7" t="str">
        <f t="shared" si="252"/>
        <v/>
      </c>
      <c r="O3195" s="8"/>
      <c r="P3195" s="26"/>
      <c r="S3195" s="10" t="str">
        <f t="shared" si="249"/>
        <v/>
      </c>
    </row>
    <row r="3196" spans="5:19" x14ac:dyDescent="0.3">
      <c r="E3196" s="9" t="str">
        <f>IF(DADOS!C3196="","",DADOS!C3196)</f>
        <v/>
      </c>
      <c r="F3196" s="9" t="str">
        <f>IF(DADOS!E3196="","",DADOS!E3196)</f>
        <v/>
      </c>
      <c r="G3196" s="9" t="str">
        <f>IF(DADOS!F3196="","",DADOS!F3196)</f>
        <v/>
      </c>
      <c r="K3196" s="6" t="str">
        <f t="shared" si="250"/>
        <v/>
      </c>
      <c r="L3196" s="7" t="str">
        <f t="shared" si="251"/>
        <v/>
      </c>
      <c r="M3196" s="7" t="str">
        <f t="shared" si="248"/>
        <v/>
      </c>
      <c r="N3196" s="7" t="str">
        <f t="shared" si="252"/>
        <v/>
      </c>
      <c r="O3196" s="8"/>
      <c r="P3196" s="26"/>
      <c r="S3196" s="10" t="str">
        <f t="shared" si="249"/>
        <v/>
      </c>
    </row>
    <row r="3197" spans="5:19" x14ac:dyDescent="0.3">
      <c r="E3197" s="9" t="str">
        <f>IF(DADOS!C3197="","",DADOS!C3197)</f>
        <v/>
      </c>
      <c r="F3197" s="9" t="str">
        <f>IF(DADOS!E3197="","",DADOS!E3197)</f>
        <v/>
      </c>
      <c r="G3197" s="9" t="str">
        <f>IF(DADOS!F3197="","",DADOS!F3197)</f>
        <v/>
      </c>
      <c r="K3197" s="6" t="str">
        <f t="shared" si="250"/>
        <v/>
      </c>
      <c r="L3197" s="7" t="str">
        <f t="shared" si="251"/>
        <v/>
      </c>
      <c r="M3197" s="7" t="str">
        <f t="shared" si="248"/>
        <v/>
      </c>
      <c r="N3197" s="7" t="str">
        <f t="shared" si="252"/>
        <v/>
      </c>
      <c r="O3197" s="8"/>
      <c r="P3197" s="26"/>
      <c r="S3197" s="10" t="str">
        <f t="shared" si="249"/>
        <v/>
      </c>
    </row>
    <row r="3198" spans="5:19" x14ac:dyDescent="0.3">
      <c r="E3198" s="9" t="str">
        <f>IF(DADOS!C3198="","",DADOS!C3198)</f>
        <v/>
      </c>
      <c r="F3198" s="9" t="str">
        <f>IF(DADOS!E3198="","",DADOS!E3198)</f>
        <v/>
      </c>
      <c r="G3198" s="9" t="str">
        <f>IF(DADOS!F3198="","",DADOS!F3198)</f>
        <v/>
      </c>
      <c r="K3198" s="6" t="str">
        <f t="shared" si="250"/>
        <v/>
      </c>
      <c r="L3198" s="7" t="str">
        <f t="shared" si="251"/>
        <v/>
      </c>
      <c r="M3198" s="7" t="str">
        <f t="shared" si="248"/>
        <v/>
      </c>
      <c r="N3198" s="7" t="str">
        <f t="shared" si="252"/>
        <v/>
      </c>
      <c r="O3198" s="8"/>
      <c r="P3198" s="26"/>
      <c r="S3198" s="10" t="str">
        <f t="shared" si="249"/>
        <v/>
      </c>
    </row>
    <row r="3199" spans="5:19" x14ac:dyDescent="0.3">
      <c r="E3199" s="9" t="str">
        <f>IF(DADOS!C3199="","",DADOS!C3199)</f>
        <v/>
      </c>
      <c r="F3199" s="9" t="str">
        <f>IF(DADOS!E3199="","",DADOS!E3199)</f>
        <v/>
      </c>
      <c r="G3199" s="9" t="str">
        <f>IF(DADOS!F3199="","",DADOS!F3199)</f>
        <v/>
      </c>
      <c r="K3199" s="6" t="str">
        <f t="shared" si="250"/>
        <v/>
      </c>
      <c r="L3199" s="7" t="str">
        <f t="shared" si="251"/>
        <v/>
      </c>
      <c r="M3199" s="7" t="str">
        <f t="shared" si="248"/>
        <v/>
      </c>
      <c r="N3199" s="7" t="str">
        <f t="shared" si="252"/>
        <v/>
      </c>
      <c r="O3199" s="8"/>
      <c r="P3199" s="26"/>
      <c r="S3199" s="10" t="str">
        <f t="shared" si="249"/>
        <v/>
      </c>
    </row>
    <row r="3200" spans="5:19" x14ac:dyDescent="0.3">
      <c r="E3200" s="9" t="str">
        <f>IF(DADOS!C3200="","",DADOS!C3200)</f>
        <v/>
      </c>
      <c r="F3200" s="9" t="str">
        <f>IF(DADOS!E3200="","",DADOS!E3200)</f>
        <v/>
      </c>
      <c r="G3200" s="9" t="str">
        <f>IF(DADOS!F3200="","",DADOS!F3200)</f>
        <v/>
      </c>
      <c r="K3200" s="6" t="str">
        <f t="shared" si="250"/>
        <v/>
      </c>
      <c r="L3200" s="7" t="str">
        <f t="shared" si="251"/>
        <v/>
      </c>
      <c r="M3200" s="7" t="str">
        <f t="shared" si="248"/>
        <v/>
      </c>
      <c r="N3200" s="7" t="str">
        <f t="shared" si="252"/>
        <v/>
      </c>
      <c r="O3200" s="8"/>
      <c r="P3200" s="26"/>
      <c r="S3200" s="10" t="str">
        <f t="shared" si="249"/>
        <v/>
      </c>
    </row>
    <row r="3201" spans="5:19" x14ac:dyDescent="0.3">
      <c r="E3201" s="9" t="str">
        <f>IF(DADOS!C3201="","",DADOS!C3201)</f>
        <v/>
      </c>
      <c r="F3201" s="9" t="str">
        <f>IF(DADOS!E3201="","",DADOS!E3201)</f>
        <v/>
      </c>
      <c r="G3201" s="9" t="str">
        <f>IF(DADOS!F3201="","",DADOS!F3201)</f>
        <v/>
      </c>
      <c r="K3201" s="6" t="str">
        <f t="shared" si="250"/>
        <v/>
      </c>
      <c r="L3201" s="7" t="str">
        <f t="shared" si="251"/>
        <v/>
      </c>
      <c r="M3201" s="7" t="str">
        <f t="shared" si="248"/>
        <v/>
      </c>
      <c r="N3201" s="7" t="str">
        <f t="shared" si="252"/>
        <v/>
      </c>
      <c r="O3201" s="8"/>
      <c r="P3201" s="26"/>
      <c r="S3201" s="10" t="str">
        <f t="shared" si="249"/>
        <v/>
      </c>
    </row>
    <row r="3202" spans="5:19" x14ac:dyDescent="0.3">
      <c r="E3202" s="9" t="str">
        <f>IF(DADOS!C3202="","",DADOS!C3202)</f>
        <v/>
      </c>
      <c r="F3202" s="9" t="str">
        <f>IF(DADOS!E3202="","",DADOS!E3202)</f>
        <v/>
      </c>
      <c r="G3202" s="9" t="str">
        <f>IF(DADOS!F3202="","",DADOS!F3202)</f>
        <v/>
      </c>
      <c r="K3202" s="6" t="str">
        <f t="shared" si="250"/>
        <v/>
      </c>
      <c r="L3202" s="7" t="str">
        <f t="shared" si="251"/>
        <v/>
      </c>
      <c r="M3202" s="7" t="str">
        <f t="shared" si="248"/>
        <v/>
      </c>
      <c r="N3202" s="7" t="str">
        <f t="shared" si="252"/>
        <v/>
      </c>
      <c r="O3202" s="8"/>
      <c r="P3202" s="26"/>
      <c r="S3202" s="10" t="str">
        <f t="shared" si="249"/>
        <v/>
      </c>
    </row>
    <row r="3203" spans="5:19" x14ac:dyDescent="0.3">
      <c r="E3203" s="9" t="str">
        <f>IF(DADOS!C3203="","",DADOS!C3203)</f>
        <v/>
      </c>
      <c r="F3203" s="9" t="str">
        <f>IF(DADOS!E3203="","",DADOS!E3203)</f>
        <v/>
      </c>
      <c r="G3203" s="9" t="str">
        <f>IF(DADOS!F3203="","",DADOS!F3203)</f>
        <v/>
      </c>
      <c r="K3203" s="6" t="str">
        <f t="shared" si="250"/>
        <v/>
      </c>
      <c r="L3203" s="7" t="str">
        <f t="shared" si="251"/>
        <v/>
      </c>
      <c r="M3203" s="7" t="str">
        <f t="shared" ref="M3203:M3266" si="253">IF(L3203="","",L3203*G3203)</f>
        <v/>
      </c>
      <c r="N3203" s="7" t="str">
        <f t="shared" si="252"/>
        <v/>
      </c>
      <c r="O3203" s="8"/>
      <c r="P3203" s="26"/>
      <c r="S3203" s="10" t="str">
        <f t="shared" ref="S3203:S3266" si="254">IF(R3203="","",SUMIFS($N$3:$N$10000,$E$3:$E$10000,R3203))</f>
        <v/>
      </c>
    </row>
    <row r="3204" spans="5:19" x14ac:dyDescent="0.3">
      <c r="E3204" s="9" t="str">
        <f>IF(DADOS!C3204="","",DADOS!C3204)</f>
        <v/>
      </c>
      <c r="F3204" s="9" t="str">
        <f>IF(DADOS!E3204="","",DADOS!E3204)</f>
        <v/>
      </c>
      <c r="G3204" s="9" t="str">
        <f>IF(DADOS!F3204="","",DADOS!F3204)</f>
        <v/>
      </c>
      <c r="K3204" s="6" t="str">
        <f t="shared" ref="K3204:K3267" si="255">IF(F3204="","",F3204/PI())</f>
        <v/>
      </c>
      <c r="L3204" s="7" t="str">
        <f t="shared" ref="L3204:L3267" si="256">IF(K3204="","",(PI()*K3204^2)/40000)</f>
        <v/>
      </c>
      <c r="M3204" s="7" t="str">
        <f t="shared" si="253"/>
        <v/>
      </c>
      <c r="N3204" s="7" t="str">
        <f t="shared" ref="N3204:N3267" si="257">IF(M3204="","",M3204*N$1)</f>
        <v/>
      </c>
      <c r="O3204" s="8"/>
      <c r="P3204" s="26"/>
      <c r="S3204" s="10" t="str">
        <f t="shared" si="254"/>
        <v/>
      </c>
    </row>
    <row r="3205" spans="5:19" x14ac:dyDescent="0.3">
      <c r="E3205" s="9" t="str">
        <f>IF(DADOS!C3205="","",DADOS!C3205)</f>
        <v/>
      </c>
      <c r="F3205" s="9" t="str">
        <f>IF(DADOS!E3205="","",DADOS!E3205)</f>
        <v/>
      </c>
      <c r="G3205" s="9" t="str">
        <f>IF(DADOS!F3205="","",DADOS!F3205)</f>
        <v/>
      </c>
      <c r="K3205" s="6" t="str">
        <f t="shared" si="255"/>
        <v/>
      </c>
      <c r="L3205" s="7" t="str">
        <f t="shared" si="256"/>
        <v/>
      </c>
      <c r="M3205" s="7" t="str">
        <f t="shared" si="253"/>
        <v/>
      </c>
      <c r="N3205" s="7" t="str">
        <f t="shared" si="257"/>
        <v/>
      </c>
      <c r="O3205" s="8"/>
      <c r="P3205" s="26"/>
      <c r="S3205" s="10" t="str">
        <f t="shared" si="254"/>
        <v/>
      </c>
    </row>
    <row r="3206" spans="5:19" x14ac:dyDescent="0.3">
      <c r="E3206" s="9" t="str">
        <f>IF(DADOS!C3206="","",DADOS!C3206)</f>
        <v/>
      </c>
      <c r="F3206" s="9" t="str">
        <f>IF(DADOS!E3206="","",DADOS!E3206)</f>
        <v/>
      </c>
      <c r="G3206" s="9" t="str">
        <f>IF(DADOS!F3206="","",DADOS!F3206)</f>
        <v/>
      </c>
      <c r="K3206" s="6" t="str">
        <f t="shared" si="255"/>
        <v/>
      </c>
      <c r="L3206" s="7" t="str">
        <f t="shared" si="256"/>
        <v/>
      </c>
      <c r="M3206" s="7" t="str">
        <f t="shared" si="253"/>
        <v/>
      </c>
      <c r="N3206" s="7" t="str">
        <f t="shared" si="257"/>
        <v/>
      </c>
      <c r="O3206" s="8"/>
      <c r="P3206" s="26"/>
      <c r="S3206" s="10" t="str">
        <f t="shared" si="254"/>
        <v/>
      </c>
    </row>
    <row r="3207" spans="5:19" x14ac:dyDescent="0.3">
      <c r="E3207" s="9" t="str">
        <f>IF(DADOS!C3207="","",DADOS!C3207)</f>
        <v/>
      </c>
      <c r="F3207" s="9" t="str">
        <f>IF(DADOS!E3207="","",DADOS!E3207)</f>
        <v/>
      </c>
      <c r="G3207" s="9" t="str">
        <f>IF(DADOS!F3207="","",DADOS!F3207)</f>
        <v/>
      </c>
      <c r="K3207" s="6" t="str">
        <f t="shared" si="255"/>
        <v/>
      </c>
      <c r="L3207" s="7" t="str">
        <f t="shared" si="256"/>
        <v/>
      </c>
      <c r="M3207" s="7" t="str">
        <f t="shared" si="253"/>
        <v/>
      </c>
      <c r="N3207" s="7" t="str">
        <f t="shared" si="257"/>
        <v/>
      </c>
      <c r="O3207" s="8"/>
      <c r="P3207" s="26"/>
      <c r="S3207" s="10" t="str">
        <f t="shared" si="254"/>
        <v/>
      </c>
    </row>
    <row r="3208" spans="5:19" x14ac:dyDescent="0.3">
      <c r="E3208" s="9" t="str">
        <f>IF(DADOS!C3208="","",DADOS!C3208)</f>
        <v/>
      </c>
      <c r="F3208" s="9" t="str">
        <f>IF(DADOS!E3208="","",DADOS!E3208)</f>
        <v/>
      </c>
      <c r="G3208" s="9" t="str">
        <f>IF(DADOS!F3208="","",DADOS!F3208)</f>
        <v/>
      </c>
      <c r="K3208" s="6" t="str">
        <f t="shared" si="255"/>
        <v/>
      </c>
      <c r="L3208" s="7" t="str">
        <f t="shared" si="256"/>
        <v/>
      </c>
      <c r="M3208" s="7" t="str">
        <f t="shared" si="253"/>
        <v/>
      </c>
      <c r="N3208" s="7" t="str">
        <f t="shared" si="257"/>
        <v/>
      </c>
      <c r="O3208" s="8"/>
      <c r="P3208" s="26"/>
      <c r="S3208" s="10" t="str">
        <f t="shared" si="254"/>
        <v/>
      </c>
    </row>
    <row r="3209" spans="5:19" x14ac:dyDescent="0.3">
      <c r="E3209" s="9" t="str">
        <f>IF(DADOS!C3209="","",DADOS!C3209)</f>
        <v/>
      </c>
      <c r="F3209" s="9" t="str">
        <f>IF(DADOS!E3209="","",DADOS!E3209)</f>
        <v/>
      </c>
      <c r="G3209" s="9" t="str">
        <f>IF(DADOS!F3209="","",DADOS!F3209)</f>
        <v/>
      </c>
      <c r="K3209" s="6" t="str">
        <f t="shared" si="255"/>
        <v/>
      </c>
      <c r="L3209" s="7" t="str">
        <f t="shared" si="256"/>
        <v/>
      </c>
      <c r="M3209" s="7" t="str">
        <f t="shared" si="253"/>
        <v/>
      </c>
      <c r="N3209" s="7" t="str">
        <f t="shared" si="257"/>
        <v/>
      </c>
      <c r="O3209" s="8"/>
      <c r="P3209" s="26"/>
      <c r="S3209" s="10" t="str">
        <f t="shared" si="254"/>
        <v/>
      </c>
    </row>
    <row r="3210" spans="5:19" x14ac:dyDescent="0.3">
      <c r="E3210" s="9" t="str">
        <f>IF(DADOS!C3210="","",DADOS!C3210)</f>
        <v/>
      </c>
      <c r="F3210" s="9" t="str">
        <f>IF(DADOS!E3210="","",DADOS!E3210)</f>
        <v/>
      </c>
      <c r="G3210" s="9" t="str">
        <f>IF(DADOS!F3210="","",DADOS!F3210)</f>
        <v/>
      </c>
      <c r="K3210" s="6" t="str">
        <f t="shared" si="255"/>
        <v/>
      </c>
      <c r="L3210" s="7" t="str">
        <f t="shared" si="256"/>
        <v/>
      </c>
      <c r="M3210" s="7" t="str">
        <f t="shared" si="253"/>
        <v/>
      </c>
      <c r="N3210" s="7" t="str">
        <f t="shared" si="257"/>
        <v/>
      </c>
      <c r="O3210" s="8"/>
      <c r="P3210" s="26"/>
      <c r="S3210" s="10" t="str">
        <f t="shared" si="254"/>
        <v/>
      </c>
    </row>
    <row r="3211" spans="5:19" x14ac:dyDescent="0.3">
      <c r="E3211" s="9" t="str">
        <f>IF(DADOS!C3211="","",DADOS!C3211)</f>
        <v/>
      </c>
      <c r="F3211" s="9" t="str">
        <f>IF(DADOS!E3211="","",DADOS!E3211)</f>
        <v/>
      </c>
      <c r="G3211" s="9" t="str">
        <f>IF(DADOS!F3211="","",DADOS!F3211)</f>
        <v/>
      </c>
      <c r="K3211" s="6" t="str">
        <f t="shared" si="255"/>
        <v/>
      </c>
      <c r="L3211" s="7" t="str">
        <f t="shared" si="256"/>
        <v/>
      </c>
      <c r="M3211" s="7" t="str">
        <f t="shared" si="253"/>
        <v/>
      </c>
      <c r="N3211" s="7" t="str">
        <f t="shared" si="257"/>
        <v/>
      </c>
      <c r="O3211" s="8"/>
      <c r="P3211" s="26"/>
      <c r="S3211" s="10" t="str">
        <f t="shared" si="254"/>
        <v/>
      </c>
    </row>
    <row r="3212" spans="5:19" x14ac:dyDescent="0.3">
      <c r="E3212" s="9" t="str">
        <f>IF(DADOS!C3212="","",DADOS!C3212)</f>
        <v/>
      </c>
      <c r="F3212" s="9" t="str">
        <f>IF(DADOS!E3212="","",DADOS!E3212)</f>
        <v/>
      </c>
      <c r="G3212" s="9" t="str">
        <f>IF(DADOS!F3212="","",DADOS!F3212)</f>
        <v/>
      </c>
      <c r="K3212" s="6" t="str">
        <f t="shared" si="255"/>
        <v/>
      </c>
      <c r="L3212" s="7" t="str">
        <f t="shared" si="256"/>
        <v/>
      </c>
      <c r="M3212" s="7" t="str">
        <f t="shared" si="253"/>
        <v/>
      </c>
      <c r="N3212" s="7" t="str">
        <f t="shared" si="257"/>
        <v/>
      </c>
      <c r="O3212" s="8"/>
      <c r="P3212" s="26"/>
      <c r="S3212" s="10" t="str">
        <f t="shared" si="254"/>
        <v/>
      </c>
    </row>
    <row r="3213" spans="5:19" x14ac:dyDescent="0.3">
      <c r="E3213" s="9" t="str">
        <f>IF(DADOS!C3213="","",DADOS!C3213)</f>
        <v/>
      </c>
      <c r="F3213" s="9" t="str">
        <f>IF(DADOS!E3213="","",DADOS!E3213)</f>
        <v/>
      </c>
      <c r="G3213" s="9" t="str">
        <f>IF(DADOS!F3213="","",DADOS!F3213)</f>
        <v/>
      </c>
      <c r="K3213" s="6" t="str">
        <f t="shared" si="255"/>
        <v/>
      </c>
      <c r="L3213" s="7" t="str">
        <f t="shared" si="256"/>
        <v/>
      </c>
      <c r="M3213" s="7" t="str">
        <f t="shared" si="253"/>
        <v/>
      </c>
      <c r="N3213" s="7" t="str">
        <f t="shared" si="257"/>
        <v/>
      </c>
      <c r="O3213" s="8"/>
      <c r="P3213" s="26"/>
      <c r="S3213" s="10" t="str">
        <f t="shared" si="254"/>
        <v/>
      </c>
    </row>
    <row r="3214" spans="5:19" x14ac:dyDescent="0.3">
      <c r="E3214" s="9" t="str">
        <f>IF(DADOS!C3214="","",DADOS!C3214)</f>
        <v/>
      </c>
      <c r="F3214" s="9" t="str">
        <f>IF(DADOS!E3214="","",DADOS!E3214)</f>
        <v/>
      </c>
      <c r="G3214" s="9" t="str">
        <f>IF(DADOS!F3214="","",DADOS!F3214)</f>
        <v/>
      </c>
      <c r="K3214" s="6" t="str">
        <f t="shared" si="255"/>
        <v/>
      </c>
      <c r="L3214" s="7" t="str">
        <f t="shared" si="256"/>
        <v/>
      </c>
      <c r="M3214" s="7" t="str">
        <f t="shared" si="253"/>
        <v/>
      </c>
      <c r="N3214" s="7" t="str">
        <f t="shared" si="257"/>
        <v/>
      </c>
      <c r="O3214" s="8"/>
      <c r="P3214" s="26"/>
      <c r="S3214" s="10" t="str">
        <f t="shared" si="254"/>
        <v/>
      </c>
    </row>
    <row r="3215" spans="5:19" x14ac:dyDescent="0.3">
      <c r="E3215" s="9" t="str">
        <f>IF(DADOS!C3215="","",DADOS!C3215)</f>
        <v/>
      </c>
      <c r="F3215" s="9" t="str">
        <f>IF(DADOS!E3215="","",DADOS!E3215)</f>
        <v/>
      </c>
      <c r="G3215" s="9" t="str">
        <f>IF(DADOS!F3215="","",DADOS!F3215)</f>
        <v/>
      </c>
      <c r="K3215" s="6" t="str">
        <f t="shared" si="255"/>
        <v/>
      </c>
      <c r="L3215" s="7" t="str">
        <f t="shared" si="256"/>
        <v/>
      </c>
      <c r="M3215" s="7" t="str">
        <f t="shared" si="253"/>
        <v/>
      </c>
      <c r="N3215" s="7" t="str">
        <f t="shared" si="257"/>
        <v/>
      </c>
      <c r="O3215" s="8"/>
      <c r="P3215" s="26"/>
      <c r="S3215" s="10" t="str">
        <f t="shared" si="254"/>
        <v/>
      </c>
    </row>
    <row r="3216" spans="5:19" x14ac:dyDescent="0.3">
      <c r="E3216" s="9" t="str">
        <f>IF(DADOS!C3216="","",DADOS!C3216)</f>
        <v/>
      </c>
      <c r="F3216" s="9" t="str">
        <f>IF(DADOS!E3216="","",DADOS!E3216)</f>
        <v/>
      </c>
      <c r="G3216" s="9" t="str">
        <f>IF(DADOS!F3216="","",DADOS!F3216)</f>
        <v/>
      </c>
      <c r="K3216" s="6" t="str">
        <f t="shared" si="255"/>
        <v/>
      </c>
      <c r="L3216" s="7" t="str">
        <f t="shared" si="256"/>
        <v/>
      </c>
      <c r="M3216" s="7" t="str">
        <f t="shared" si="253"/>
        <v/>
      </c>
      <c r="N3216" s="7" t="str">
        <f t="shared" si="257"/>
        <v/>
      </c>
      <c r="O3216" s="8"/>
      <c r="P3216" s="26"/>
      <c r="S3216" s="10" t="str">
        <f t="shared" si="254"/>
        <v/>
      </c>
    </row>
    <row r="3217" spans="5:19" x14ac:dyDescent="0.3">
      <c r="E3217" s="9" t="str">
        <f>IF(DADOS!C3217="","",DADOS!C3217)</f>
        <v/>
      </c>
      <c r="F3217" s="9" t="str">
        <f>IF(DADOS!E3217="","",DADOS!E3217)</f>
        <v/>
      </c>
      <c r="G3217" s="9" t="str">
        <f>IF(DADOS!F3217="","",DADOS!F3217)</f>
        <v/>
      </c>
      <c r="K3217" s="6" t="str">
        <f t="shared" si="255"/>
        <v/>
      </c>
      <c r="L3217" s="7" t="str">
        <f t="shared" si="256"/>
        <v/>
      </c>
      <c r="M3217" s="7" t="str">
        <f t="shared" si="253"/>
        <v/>
      </c>
      <c r="N3217" s="7" t="str">
        <f t="shared" si="257"/>
        <v/>
      </c>
      <c r="O3217" s="8"/>
      <c r="P3217" s="26"/>
      <c r="S3217" s="10" t="str">
        <f t="shared" si="254"/>
        <v/>
      </c>
    </row>
    <row r="3218" spans="5:19" x14ac:dyDescent="0.3">
      <c r="E3218" s="9" t="str">
        <f>IF(DADOS!C3218="","",DADOS!C3218)</f>
        <v/>
      </c>
      <c r="F3218" s="9" t="str">
        <f>IF(DADOS!E3218="","",DADOS!E3218)</f>
        <v/>
      </c>
      <c r="G3218" s="9" t="str">
        <f>IF(DADOS!F3218="","",DADOS!F3218)</f>
        <v/>
      </c>
      <c r="K3218" s="6" t="str">
        <f t="shared" si="255"/>
        <v/>
      </c>
      <c r="L3218" s="7" t="str">
        <f t="shared" si="256"/>
        <v/>
      </c>
      <c r="M3218" s="7" t="str">
        <f t="shared" si="253"/>
        <v/>
      </c>
      <c r="N3218" s="7" t="str">
        <f t="shared" si="257"/>
        <v/>
      </c>
      <c r="O3218" s="8"/>
      <c r="P3218" s="26"/>
      <c r="S3218" s="10" t="str">
        <f t="shared" si="254"/>
        <v/>
      </c>
    </row>
    <row r="3219" spans="5:19" x14ac:dyDescent="0.3">
      <c r="E3219" s="9" t="str">
        <f>IF(DADOS!C3219="","",DADOS!C3219)</f>
        <v/>
      </c>
      <c r="F3219" s="9" t="str">
        <f>IF(DADOS!E3219="","",DADOS!E3219)</f>
        <v/>
      </c>
      <c r="G3219" s="9" t="str">
        <f>IF(DADOS!F3219="","",DADOS!F3219)</f>
        <v/>
      </c>
      <c r="K3219" s="6" t="str">
        <f t="shared" si="255"/>
        <v/>
      </c>
      <c r="L3219" s="7" t="str">
        <f t="shared" si="256"/>
        <v/>
      </c>
      <c r="M3219" s="7" t="str">
        <f t="shared" si="253"/>
        <v/>
      </c>
      <c r="N3219" s="7" t="str">
        <f t="shared" si="257"/>
        <v/>
      </c>
      <c r="O3219" s="8"/>
      <c r="P3219" s="26"/>
      <c r="S3219" s="10" t="str">
        <f t="shared" si="254"/>
        <v/>
      </c>
    </row>
    <row r="3220" spans="5:19" x14ac:dyDescent="0.3">
      <c r="E3220" s="9" t="str">
        <f>IF(DADOS!C3220="","",DADOS!C3220)</f>
        <v/>
      </c>
      <c r="F3220" s="9" t="str">
        <f>IF(DADOS!E3220="","",DADOS!E3220)</f>
        <v/>
      </c>
      <c r="G3220" s="9" t="str">
        <f>IF(DADOS!F3220="","",DADOS!F3220)</f>
        <v/>
      </c>
      <c r="K3220" s="6" t="str">
        <f t="shared" si="255"/>
        <v/>
      </c>
      <c r="L3220" s="7" t="str">
        <f t="shared" si="256"/>
        <v/>
      </c>
      <c r="M3220" s="7" t="str">
        <f t="shared" si="253"/>
        <v/>
      </c>
      <c r="N3220" s="7" t="str">
        <f t="shared" si="257"/>
        <v/>
      </c>
      <c r="O3220" s="8"/>
      <c r="P3220" s="26"/>
      <c r="S3220" s="10" t="str">
        <f t="shared" si="254"/>
        <v/>
      </c>
    </row>
    <row r="3221" spans="5:19" x14ac:dyDescent="0.3">
      <c r="E3221" s="9" t="str">
        <f>IF(DADOS!C3221="","",DADOS!C3221)</f>
        <v/>
      </c>
      <c r="F3221" s="9" t="str">
        <f>IF(DADOS!E3221="","",DADOS!E3221)</f>
        <v/>
      </c>
      <c r="G3221" s="9" t="str">
        <f>IF(DADOS!F3221="","",DADOS!F3221)</f>
        <v/>
      </c>
      <c r="K3221" s="6" t="str">
        <f t="shared" si="255"/>
        <v/>
      </c>
      <c r="L3221" s="7" t="str">
        <f t="shared" si="256"/>
        <v/>
      </c>
      <c r="M3221" s="7" t="str">
        <f t="shared" si="253"/>
        <v/>
      </c>
      <c r="N3221" s="7" t="str">
        <f t="shared" si="257"/>
        <v/>
      </c>
      <c r="O3221" s="8"/>
      <c r="P3221" s="26"/>
      <c r="S3221" s="10" t="str">
        <f t="shared" si="254"/>
        <v/>
      </c>
    </row>
    <row r="3222" spans="5:19" x14ac:dyDescent="0.3">
      <c r="E3222" s="9" t="str">
        <f>IF(DADOS!C3222="","",DADOS!C3222)</f>
        <v/>
      </c>
      <c r="F3222" s="9" t="str">
        <f>IF(DADOS!E3222="","",DADOS!E3222)</f>
        <v/>
      </c>
      <c r="G3222" s="9" t="str">
        <f>IF(DADOS!F3222="","",DADOS!F3222)</f>
        <v/>
      </c>
      <c r="K3222" s="6" t="str">
        <f t="shared" si="255"/>
        <v/>
      </c>
      <c r="L3222" s="7" t="str">
        <f t="shared" si="256"/>
        <v/>
      </c>
      <c r="M3222" s="7" t="str">
        <f t="shared" si="253"/>
        <v/>
      </c>
      <c r="N3222" s="7" t="str">
        <f t="shared" si="257"/>
        <v/>
      </c>
      <c r="O3222" s="8"/>
      <c r="P3222" s="26"/>
      <c r="S3222" s="10" t="str">
        <f t="shared" si="254"/>
        <v/>
      </c>
    </row>
    <row r="3223" spans="5:19" x14ac:dyDescent="0.3">
      <c r="E3223" s="9" t="str">
        <f>IF(DADOS!C3223="","",DADOS!C3223)</f>
        <v/>
      </c>
      <c r="F3223" s="9" t="str">
        <f>IF(DADOS!E3223="","",DADOS!E3223)</f>
        <v/>
      </c>
      <c r="G3223" s="9" t="str">
        <f>IF(DADOS!F3223="","",DADOS!F3223)</f>
        <v/>
      </c>
      <c r="K3223" s="6" t="str">
        <f t="shared" si="255"/>
        <v/>
      </c>
      <c r="L3223" s="7" t="str">
        <f t="shared" si="256"/>
        <v/>
      </c>
      <c r="M3223" s="7" t="str">
        <f t="shared" si="253"/>
        <v/>
      </c>
      <c r="N3223" s="7" t="str">
        <f t="shared" si="257"/>
        <v/>
      </c>
      <c r="O3223" s="8"/>
      <c r="P3223" s="26"/>
      <c r="S3223" s="10" t="str">
        <f t="shared" si="254"/>
        <v/>
      </c>
    </row>
    <row r="3224" spans="5:19" x14ac:dyDescent="0.3">
      <c r="E3224" s="9" t="str">
        <f>IF(DADOS!C3224="","",DADOS!C3224)</f>
        <v/>
      </c>
      <c r="F3224" s="9" t="str">
        <f>IF(DADOS!E3224="","",DADOS!E3224)</f>
        <v/>
      </c>
      <c r="G3224" s="9" t="str">
        <f>IF(DADOS!F3224="","",DADOS!F3224)</f>
        <v/>
      </c>
      <c r="K3224" s="6" t="str">
        <f t="shared" si="255"/>
        <v/>
      </c>
      <c r="L3224" s="7" t="str">
        <f t="shared" si="256"/>
        <v/>
      </c>
      <c r="M3224" s="7" t="str">
        <f t="shared" si="253"/>
        <v/>
      </c>
      <c r="N3224" s="7" t="str">
        <f t="shared" si="257"/>
        <v/>
      </c>
      <c r="O3224" s="8"/>
      <c r="P3224" s="26"/>
      <c r="S3224" s="10" t="str">
        <f t="shared" si="254"/>
        <v/>
      </c>
    </row>
    <row r="3225" spans="5:19" x14ac:dyDescent="0.3">
      <c r="E3225" s="9" t="str">
        <f>IF(DADOS!C3225="","",DADOS!C3225)</f>
        <v/>
      </c>
      <c r="F3225" s="9" t="str">
        <f>IF(DADOS!E3225="","",DADOS!E3225)</f>
        <v/>
      </c>
      <c r="G3225" s="9" t="str">
        <f>IF(DADOS!F3225="","",DADOS!F3225)</f>
        <v/>
      </c>
      <c r="K3225" s="6" t="str">
        <f t="shared" si="255"/>
        <v/>
      </c>
      <c r="L3225" s="7" t="str">
        <f t="shared" si="256"/>
        <v/>
      </c>
      <c r="M3225" s="7" t="str">
        <f t="shared" si="253"/>
        <v/>
      </c>
      <c r="N3225" s="7" t="str">
        <f t="shared" si="257"/>
        <v/>
      </c>
      <c r="O3225" s="8"/>
      <c r="P3225" s="26"/>
      <c r="S3225" s="10" t="str">
        <f t="shared" si="254"/>
        <v/>
      </c>
    </row>
    <row r="3226" spans="5:19" x14ac:dyDescent="0.3">
      <c r="E3226" s="9" t="str">
        <f>IF(DADOS!C3226="","",DADOS!C3226)</f>
        <v/>
      </c>
      <c r="F3226" s="9" t="str">
        <f>IF(DADOS!E3226="","",DADOS!E3226)</f>
        <v/>
      </c>
      <c r="G3226" s="9" t="str">
        <f>IF(DADOS!F3226="","",DADOS!F3226)</f>
        <v/>
      </c>
      <c r="K3226" s="6" t="str">
        <f t="shared" si="255"/>
        <v/>
      </c>
      <c r="L3226" s="7" t="str">
        <f t="shared" si="256"/>
        <v/>
      </c>
      <c r="M3226" s="7" t="str">
        <f t="shared" si="253"/>
        <v/>
      </c>
      <c r="N3226" s="7" t="str">
        <f t="shared" si="257"/>
        <v/>
      </c>
      <c r="O3226" s="8"/>
      <c r="P3226" s="26"/>
      <c r="S3226" s="10" t="str">
        <f t="shared" si="254"/>
        <v/>
      </c>
    </row>
    <row r="3227" spans="5:19" x14ac:dyDescent="0.3">
      <c r="E3227" s="9" t="str">
        <f>IF(DADOS!C3227="","",DADOS!C3227)</f>
        <v/>
      </c>
      <c r="F3227" s="9" t="str">
        <f>IF(DADOS!E3227="","",DADOS!E3227)</f>
        <v/>
      </c>
      <c r="G3227" s="9" t="str">
        <f>IF(DADOS!F3227="","",DADOS!F3227)</f>
        <v/>
      </c>
      <c r="K3227" s="6" t="str">
        <f t="shared" si="255"/>
        <v/>
      </c>
      <c r="L3227" s="7" t="str">
        <f t="shared" si="256"/>
        <v/>
      </c>
      <c r="M3227" s="7" t="str">
        <f t="shared" si="253"/>
        <v/>
      </c>
      <c r="N3227" s="7" t="str">
        <f t="shared" si="257"/>
        <v/>
      </c>
      <c r="O3227" s="8"/>
      <c r="P3227" s="26"/>
      <c r="S3227" s="10" t="str">
        <f t="shared" si="254"/>
        <v/>
      </c>
    </row>
    <row r="3228" spans="5:19" x14ac:dyDescent="0.3">
      <c r="E3228" s="9" t="str">
        <f>IF(DADOS!C3228="","",DADOS!C3228)</f>
        <v/>
      </c>
      <c r="F3228" s="9" t="str">
        <f>IF(DADOS!E3228="","",DADOS!E3228)</f>
        <v/>
      </c>
      <c r="G3228" s="9" t="str">
        <f>IF(DADOS!F3228="","",DADOS!F3228)</f>
        <v/>
      </c>
      <c r="K3228" s="6" t="str">
        <f t="shared" si="255"/>
        <v/>
      </c>
      <c r="L3228" s="7" t="str">
        <f t="shared" si="256"/>
        <v/>
      </c>
      <c r="M3228" s="7" t="str">
        <f t="shared" si="253"/>
        <v/>
      </c>
      <c r="N3228" s="7" t="str">
        <f t="shared" si="257"/>
        <v/>
      </c>
      <c r="O3228" s="8"/>
      <c r="P3228" s="26"/>
      <c r="S3228" s="10" t="str">
        <f t="shared" si="254"/>
        <v/>
      </c>
    </row>
    <row r="3229" spans="5:19" x14ac:dyDescent="0.3">
      <c r="E3229" s="9" t="str">
        <f>IF(DADOS!C3229="","",DADOS!C3229)</f>
        <v/>
      </c>
      <c r="F3229" s="9" t="str">
        <f>IF(DADOS!E3229="","",DADOS!E3229)</f>
        <v/>
      </c>
      <c r="G3229" s="9" t="str">
        <f>IF(DADOS!F3229="","",DADOS!F3229)</f>
        <v/>
      </c>
      <c r="K3229" s="6" t="str">
        <f t="shared" si="255"/>
        <v/>
      </c>
      <c r="L3229" s="7" t="str">
        <f t="shared" si="256"/>
        <v/>
      </c>
      <c r="M3229" s="7" t="str">
        <f t="shared" si="253"/>
        <v/>
      </c>
      <c r="N3229" s="7" t="str">
        <f t="shared" si="257"/>
        <v/>
      </c>
      <c r="O3229" s="8"/>
      <c r="P3229" s="26"/>
      <c r="S3229" s="10" t="str">
        <f t="shared" si="254"/>
        <v/>
      </c>
    </row>
    <row r="3230" spans="5:19" x14ac:dyDescent="0.3">
      <c r="E3230" s="9" t="str">
        <f>IF(DADOS!C3230="","",DADOS!C3230)</f>
        <v/>
      </c>
      <c r="F3230" s="9" t="str">
        <f>IF(DADOS!E3230="","",DADOS!E3230)</f>
        <v/>
      </c>
      <c r="G3230" s="9" t="str">
        <f>IF(DADOS!F3230="","",DADOS!F3230)</f>
        <v/>
      </c>
      <c r="K3230" s="6" t="str">
        <f t="shared" si="255"/>
        <v/>
      </c>
      <c r="L3230" s="7" t="str">
        <f t="shared" si="256"/>
        <v/>
      </c>
      <c r="M3230" s="7" t="str">
        <f t="shared" si="253"/>
        <v/>
      </c>
      <c r="N3230" s="7" t="str">
        <f t="shared" si="257"/>
        <v/>
      </c>
      <c r="O3230" s="8"/>
      <c r="P3230" s="26"/>
      <c r="S3230" s="10" t="str">
        <f t="shared" si="254"/>
        <v/>
      </c>
    </row>
    <row r="3231" spans="5:19" x14ac:dyDescent="0.3">
      <c r="E3231" s="9" t="str">
        <f>IF(DADOS!C3231="","",DADOS!C3231)</f>
        <v/>
      </c>
      <c r="F3231" s="9" t="str">
        <f>IF(DADOS!E3231="","",DADOS!E3231)</f>
        <v/>
      </c>
      <c r="G3231" s="9" t="str">
        <f>IF(DADOS!F3231="","",DADOS!F3231)</f>
        <v/>
      </c>
      <c r="K3231" s="6" t="str">
        <f t="shared" si="255"/>
        <v/>
      </c>
      <c r="L3231" s="7" t="str">
        <f t="shared" si="256"/>
        <v/>
      </c>
      <c r="M3231" s="7" t="str">
        <f t="shared" si="253"/>
        <v/>
      </c>
      <c r="N3231" s="7" t="str">
        <f t="shared" si="257"/>
        <v/>
      </c>
      <c r="O3231" s="8"/>
      <c r="P3231" s="26"/>
      <c r="S3231" s="10" t="str">
        <f t="shared" si="254"/>
        <v/>
      </c>
    </row>
    <row r="3232" spans="5:19" x14ac:dyDescent="0.3">
      <c r="E3232" s="9" t="str">
        <f>IF(DADOS!C3232="","",DADOS!C3232)</f>
        <v/>
      </c>
      <c r="F3232" s="9" t="str">
        <f>IF(DADOS!E3232="","",DADOS!E3232)</f>
        <v/>
      </c>
      <c r="G3232" s="9" t="str">
        <f>IF(DADOS!F3232="","",DADOS!F3232)</f>
        <v/>
      </c>
      <c r="K3232" s="6" t="str">
        <f t="shared" si="255"/>
        <v/>
      </c>
      <c r="L3232" s="7" t="str">
        <f t="shared" si="256"/>
        <v/>
      </c>
      <c r="M3232" s="7" t="str">
        <f t="shared" si="253"/>
        <v/>
      </c>
      <c r="N3232" s="7" t="str">
        <f t="shared" si="257"/>
        <v/>
      </c>
      <c r="O3232" s="8"/>
      <c r="P3232" s="26"/>
      <c r="S3232" s="10" t="str">
        <f t="shared" si="254"/>
        <v/>
      </c>
    </row>
    <row r="3233" spans="5:19" x14ac:dyDescent="0.3">
      <c r="E3233" s="9" t="str">
        <f>IF(DADOS!C3233="","",DADOS!C3233)</f>
        <v/>
      </c>
      <c r="F3233" s="9" t="str">
        <f>IF(DADOS!E3233="","",DADOS!E3233)</f>
        <v/>
      </c>
      <c r="G3233" s="9" t="str">
        <f>IF(DADOS!F3233="","",DADOS!F3233)</f>
        <v/>
      </c>
      <c r="K3233" s="6" t="str">
        <f t="shared" si="255"/>
        <v/>
      </c>
      <c r="L3233" s="7" t="str">
        <f t="shared" si="256"/>
        <v/>
      </c>
      <c r="M3233" s="7" t="str">
        <f t="shared" si="253"/>
        <v/>
      </c>
      <c r="N3233" s="7" t="str">
        <f t="shared" si="257"/>
        <v/>
      </c>
      <c r="O3233" s="8"/>
      <c r="P3233" s="26"/>
      <c r="S3233" s="10" t="str">
        <f t="shared" si="254"/>
        <v/>
      </c>
    </row>
    <row r="3234" spans="5:19" x14ac:dyDescent="0.3">
      <c r="E3234" s="9" t="str">
        <f>IF(DADOS!C3234="","",DADOS!C3234)</f>
        <v/>
      </c>
      <c r="F3234" s="9" t="str">
        <f>IF(DADOS!E3234="","",DADOS!E3234)</f>
        <v/>
      </c>
      <c r="G3234" s="9" t="str">
        <f>IF(DADOS!F3234="","",DADOS!F3234)</f>
        <v/>
      </c>
      <c r="K3234" s="6" t="str">
        <f t="shared" si="255"/>
        <v/>
      </c>
      <c r="L3234" s="7" t="str">
        <f t="shared" si="256"/>
        <v/>
      </c>
      <c r="M3234" s="7" t="str">
        <f t="shared" si="253"/>
        <v/>
      </c>
      <c r="N3234" s="7" t="str">
        <f t="shared" si="257"/>
        <v/>
      </c>
      <c r="O3234" s="8"/>
      <c r="P3234" s="26"/>
      <c r="S3234" s="10" t="str">
        <f t="shared" si="254"/>
        <v/>
      </c>
    </row>
    <row r="3235" spans="5:19" x14ac:dyDescent="0.3">
      <c r="E3235" s="9" t="str">
        <f>IF(DADOS!C3235="","",DADOS!C3235)</f>
        <v/>
      </c>
      <c r="F3235" s="9" t="str">
        <f>IF(DADOS!E3235="","",DADOS!E3235)</f>
        <v/>
      </c>
      <c r="G3235" s="9" t="str">
        <f>IF(DADOS!F3235="","",DADOS!F3235)</f>
        <v/>
      </c>
      <c r="K3235" s="6" t="str">
        <f t="shared" si="255"/>
        <v/>
      </c>
      <c r="L3235" s="7" t="str">
        <f t="shared" si="256"/>
        <v/>
      </c>
      <c r="M3235" s="7" t="str">
        <f t="shared" si="253"/>
        <v/>
      </c>
      <c r="N3235" s="7" t="str">
        <f t="shared" si="257"/>
        <v/>
      </c>
      <c r="O3235" s="8"/>
      <c r="P3235" s="26"/>
      <c r="S3235" s="10" t="str">
        <f t="shared" si="254"/>
        <v/>
      </c>
    </row>
    <row r="3236" spans="5:19" x14ac:dyDescent="0.3">
      <c r="E3236" s="9" t="str">
        <f>IF(DADOS!C3236="","",DADOS!C3236)</f>
        <v/>
      </c>
      <c r="F3236" s="9" t="str">
        <f>IF(DADOS!E3236="","",DADOS!E3236)</f>
        <v/>
      </c>
      <c r="G3236" s="9" t="str">
        <f>IF(DADOS!F3236="","",DADOS!F3236)</f>
        <v/>
      </c>
      <c r="K3236" s="6" t="str">
        <f t="shared" si="255"/>
        <v/>
      </c>
      <c r="L3236" s="7" t="str">
        <f t="shared" si="256"/>
        <v/>
      </c>
      <c r="M3236" s="7" t="str">
        <f t="shared" si="253"/>
        <v/>
      </c>
      <c r="N3236" s="7" t="str">
        <f t="shared" si="257"/>
        <v/>
      </c>
      <c r="O3236" s="8"/>
      <c r="P3236" s="26"/>
      <c r="S3236" s="10" t="str">
        <f t="shared" si="254"/>
        <v/>
      </c>
    </row>
    <row r="3237" spans="5:19" x14ac:dyDescent="0.3">
      <c r="E3237" s="9" t="str">
        <f>IF(DADOS!C3237="","",DADOS!C3237)</f>
        <v/>
      </c>
      <c r="F3237" s="9" t="str">
        <f>IF(DADOS!E3237="","",DADOS!E3237)</f>
        <v/>
      </c>
      <c r="G3237" s="9" t="str">
        <f>IF(DADOS!F3237="","",DADOS!F3237)</f>
        <v/>
      </c>
      <c r="K3237" s="6" t="str">
        <f t="shared" si="255"/>
        <v/>
      </c>
      <c r="L3237" s="7" t="str">
        <f t="shared" si="256"/>
        <v/>
      </c>
      <c r="M3237" s="7" t="str">
        <f t="shared" si="253"/>
        <v/>
      </c>
      <c r="N3237" s="7" t="str">
        <f t="shared" si="257"/>
        <v/>
      </c>
      <c r="O3237" s="8"/>
      <c r="P3237" s="26"/>
      <c r="S3237" s="10" t="str">
        <f t="shared" si="254"/>
        <v/>
      </c>
    </row>
    <row r="3238" spans="5:19" x14ac:dyDescent="0.3">
      <c r="E3238" s="9" t="str">
        <f>IF(DADOS!C3238="","",DADOS!C3238)</f>
        <v/>
      </c>
      <c r="F3238" s="9" t="str">
        <f>IF(DADOS!E3238="","",DADOS!E3238)</f>
        <v/>
      </c>
      <c r="G3238" s="9" t="str">
        <f>IF(DADOS!F3238="","",DADOS!F3238)</f>
        <v/>
      </c>
      <c r="K3238" s="6" t="str">
        <f t="shared" si="255"/>
        <v/>
      </c>
      <c r="L3238" s="7" t="str">
        <f t="shared" si="256"/>
        <v/>
      </c>
      <c r="M3238" s="7" t="str">
        <f t="shared" si="253"/>
        <v/>
      </c>
      <c r="N3238" s="7" t="str">
        <f t="shared" si="257"/>
        <v/>
      </c>
      <c r="O3238" s="8"/>
      <c r="P3238" s="26"/>
      <c r="S3238" s="10" t="str">
        <f t="shared" si="254"/>
        <v/>
      </c>
    </row>
    <row r="3239" spans="5:19" x14ac:dyDescent="0.3">
      <c r="E3239" s="9" t="str">
        <f>IF(DADOS!C3239="","",DADOS!C3239)</f>
        <v/>
      </c>
      <c r="F3239" s="9" t="str">
        <f>IF(DADOS!E3239="","",DADOS!E3239)</f>
        <v/>
      </c>
      <c r="G3239" s="9" t="str">
        <f>IF(DADOS!F3239="","",DADOS!F3239)</f>
        <v/>
      </c>
      <c r="K3239" s="6" t="str">
        <f t="shared" si="255"/>
        <v/>
      </c>
      <c r="L3239" s="7" t="str">
        <f t="shared" si="256"/>
        <v/>
      </c>
      <c r="M3239" s="7" t="str">
        <f t="shared" si="253"/>
        <v/>
      </c>
      <c r="N3239" s="7" t="str">
        <f t="shared" si="257"/>
        <v/>
      </c>
      <c r="O3239" s="8"/>
      <c r="P3239" s="26"/>
      <c r="S3239" s="10" t="str">
        <f t="shared" si="254"/>
        <v/>
      </c>
    </row>
    <row r="3240" spans="5:19" x14ac:dyDescent="0.3">
      <c r="E3240" s="9" t="str">
        <f>IF(DADOS!C3240="","",DADOS!C3240)</f>
        <v/>
      </c>
      <c r="F3240" s="9" t="str">
        <f>IF(DADOS!E3240="","",DADOS!E3240)</f>
        <v/>
      </c>
      <c r="G3240" s="9" t="str">
        <f>IF(DADOS!F3240="","",DADOS!F3240)</f>
        <v/>
      </c>
      <c r="K3240" s="6" t="str">
        <f t="shared" si="255"/>
        <v/>
      </c>
      <c r="L3240" s="7" t="str">
        <f t="shared" si="256"/>
        <v/>
      </c>
      <c r="M3240" s="7" t="str">
        <f t="shared" si="253"/>
        <v/>
      </c>
      <c r="N3240" s="7" t="str">
        <f t="shared" si="257"/>
        <v/>
      </c>
      <c r="O3240" s="8"/>
      <c r="P3240" s="26"/>
      <c r="S3240" s="10" t="str">
        <f t="shared" si="254"/>
        <v/>
      </c>
    </row>
    <row r="3241" spans="5:19" x14ac:dyDescent="0.3">
      <c r="E3241" s="9" t="str">
        <f>IF(DADOS!C3241="","",DADOS!C3241)</f>
        <v/>
      </c>
      <c r="F3241" s="9" t="str">
        <f>IF(DADOS!E3241="","",DADOS!E3241)</f>
        <v/>
      </c>
      <c r="G3241" s="9" t="str">
        <f>IF(DADOS!F3241="","",DADOS!F3241)</f>
        <v/>
      </c>
      <c r="K3241" s="6" t="str">
        <f t="shared" si="255"/>
        <v/>
      </c>
      <c r="L3241" s="7" t="str">
        <f t="shared" si="256"/>
        <v/>
      </c>
      <c r="M3241" s="7" t="str">
        <f t="shared" si="253"/>
        <v/>
      </c>
      <c r="N3241" s="7" t="str">
        <f t="shared" si="257"/>
        <v/>
      </c>
      <c r="O3241" s="8"/>
      <c r="P3241" s="26"/>
      <c r="S3241" s="10" t="str">
        <f t="shared" si="254"/>
        <v/>
      </c>
    </row>
    <row r="3242" spans="5:19" x14ac:dyDescent="0.3">
      <c r="E3242" s="9" t="str">
        <f>IF(DADOS!C3242="","",DADOS!C3242)</f>
        <v/>
      </c>
      <c r="F3242" s="9" t="str">
        <f>IF(DADOS!E3242="","",DADOS!E3242)</f>
        <v/>
      </c>
      <c r="G3242" s="9" t="str">
        <f>IF(DADOS!F3242="","",DADOS!F3242)</f>
        <v/>
      </c>
      <c r="K3242" s="6" t="str">
        <f t="shared" si="255"/>
        <v/>
      </c>
      <c r="L3242" s="7" t="str">
        <f t="shared" si="256"/>
        <v/>
      </c>
      <c r="M3242" s="7" t="str">
        <f t="shared" si="253"/>
        <v/>
      </c>
      <c r="N3242" s="7" t="str">
        <f t="shared" si="257"/>
        <v/>
      </c>
      <c r="O3242" s="8"/>
      <c r="P3242" s="26"/>
      <c r="S3242" s="10" t="str">
        <f t="shared" si="254"/>
        <v/>
      </c>
    </row>
    <row r="3243" spans="5:19" x14ac:dyDescent="0.3">
      <c r="E3243" s="9" t="str">
        <f>IF(DADOS!C3243="","",DADOS!C3243)</f>
        <v/>
      </c>
      <c r="F3243" s="9" t="str">
        <f>IF(DADOS!E3243="","",DADOS!E3243)</f>
        <v/>
      </c>
      <c r="G3243" s="9" t="str">
        <f>IF(DADOS!F3243="","",DADOS!F3243)</f>
        <v/>
      </c>
      <c r="K3243" s="6" t="str">
        <f t="shared" si="255"/>
        <v/>
      </c>
      <c r="L3243" s="7" t="str">
        <f t="shared" si="256"/>
        <v/>
      </c>
      <c r="M3243" s="7" t="str">
        <f t="shared" si="253"/>
        <v/>
      </c>
      <c r="N3243" s="7" t="str">
        <f t="shared" si="257"/>
        <v/>
      </c>
      <c r="O3243" s="8"/>
      <c r="P3243" s="26"/>
      <c r="S3243" s="10" t="str">
        <f t="shared" si="254"/>
        <v/>
      </c>
    </row>
    <row r="3244" spans="5:19" x14ac:dyDescent="0.3">
      <c r="E3244" s="9" t="str">
        <f>IF(DADOS!C3244="","",DADOS!C3244)</f>
        <v/>
      </c>
      <c r="F3244" s="9" t="str">
        <f>IF(DADOS!E3244="","",DADOS!E3244)</f>
        <v/>
      </c>
      <c r="G3244" s="9" t="str">
        <f>IF(DADOS!F3244="","",DADOS!F3244)</f>
        <v/>
      </c>
      <c r="K3244" s="6" t="str">
        <f t="shared" si="255"/>
        <v/>
      </c>
      <c r="L3244" s="7" t="str">
        <f t="shared" si="256"/>
        <v/>
      </c>
      <c r="M3244" s="7" t="str">
        <f t="shared" si="253"/>
        <v/>
      </c>
      <c r="N3244" s="7" t="str">
        <f t="shared" si="257"/>
        <v/>
      </c>
      <c r="O3244" s="8"/>
      <c r="P3244" s="26"/>
      <c r="S3244" s="10" t="str">
        <f t="shared" si="254"/>
        <v/>
      </c>
    </row>
    <row r="3245" spans="5:19" x14ac:dyDescent="0.3">
      <c r="E3245" s="9" t="str">
        <f>IF(DADOS!C3245="","",DADOS!C3245)</f>
        <v/>
      </c>
      <c r="F3245" s="9" t="str">
        <f>IF(DADOS!E3245="","",DADOS!E3245)</f>
        <v/>
      </c>
      <c r="G3245" s="9" t="str">
        <f>IF(DADOS!F3245="","",DADOS!F3245)</f>
        <v/>
      </c>
      <c r="K3245" s="6" t="str">
        <f t="shared" si="255"/>
        <v/>
      </c>
      <c r="L3245" s="7" t="str">
        <f t="shared" si="256"/>
        <v/>
      </c>
      <c r="M3245" s="7" t="str">
        <f t="shared" si="253"/>
        <v/>
      </c>
      <c r="N3245" s="7" t="str">
        <f t="shared" si="257"/>
        <v/>
      </c>
      <c r="O3245" s="8"/>
      <c r="P3245" s="26"/>
      <c r="S3245" s="10" t="str">
        <f t="shared" si="254"/>
        <v/>
      </c>
    </row>
    <row r="3246" spans="5:19" x14ac:dyDescent="0.3">
      <c r="E3246" s="9" t="str">
        <f>IF(DADOS!C3246="","",DADOS!C3246)</f>
        <v/>
      </c>
      <c r="F3246" s="9" t="str">
        <f>IF(DADOS!E3246="","",DADOS!E3246)</f>
        <v/>
      </c>
      <c r="G3246" s="9" t="str">
        <f>IF(DADOS!F3246="","",DADOS!F3246)</f>
        <v/>
      </c>
      <c r="K3246" s="6" t="str">
        <f t="shared" si="255"/>
        <v/>
      </c>
      <c r="L3246" s="7" t="str">
        <f t="shared" si="256"/>
        <v/>
      </c>
      <c r="M3246" s="7" t="str">
        <f t="shared" si="253"/>
        <v/>
      </c>
      <c r="N3246" s="7" t="str">
        <f t="shared" si="257"/>
        <v/>
      </c>
      <c r="O3246" s="8"/>
      <c r="P3246" s="26"/>
      <c r="S3246" s="10" t="str">
        <f t="shared" si="254"/>
        <v/>
      </c>
    </row>
    <row r="3247" spans="5:19" x14ac:dyDescent="0.3">
      <c r="E3247" s="9" t="str">
        <f>IF(DADOS!C3247="","",DADOS!C3247)</f>
        <v/>
      </c>
      <c r="F3247" s="9" t="str">
        <f>IF(DADOS!E3247="","",DADOS!E3247)</f>
        <v/>
      </c>
      <c r="G3247" s="9" t="str">
        <f>IF(DADOS!F3247="","",DADOS!F3247)</f>
        <v/>
      </c>
      <c r="K3247" s="6" t="str">
        <f t="shared" si="255"/>
        <v/>
      </c>
      <c r="L3247" s="7" t="str">
        <f t="shared" si="256"/>
        <v/>
      </c>
      <c r="M3247" s="7" t="str">
        <f t="shared" si="253"/>
        <v/>
      </c>
      <c r="N3247" s="7" t="str">
        <f t="shared" si="257"/>
        <v/>
      </c>
      <c r="O3247" s="8"/>
      <c r="P3247" s="26"/>
      <c r="S3247" s="10" t="str">
        <f t="shared" si="254"/>
        <v/>
      </c>
    </row>
    <row r="3248" spans="5:19" x14ac:dyDescent="0.3">
      <c r="E3248" s="9" t="str">
        <f>IF(DADOS!C3248="","",DADOS!C3248)</f>
        <v/>
      </c>
      <c r="F3248" s="9" t="str">
        <f>IF(DADOS!E3248="","",DADOS!E3248)</f>
        <v/>
      </c>
      <c r="G3248" s="9" t="str">
        <f>IF(DADOS!F3248="","",DADOS!F3248)</f>
        <v/>
      </c>
      <c r="K3248" s="6" t="str">
        <f t="shared" si="255"/>
        <v/>
      </c>
      <c r="L3248" s="7" t="str">
        <f t="shared" si="256"/>
        <v/>
      </c>
      <c r="M3248" s="7" t="str">
        <f t="shared" si="253"/>
        <v/>
      </c>
      <c r="N3248" s="7" t="str">
        <f t="shared" si="257"/>
        <v/>
      </c>
      <c r="O3248" s="8"/>
      <c r="P3248" s="26"/>
      <c r="S3248" s="10" t="str">
        <f t="shared" si="254"/>
        <v/>
      </c>
    </row>
    <row r="3249" spans="5:19" x14ac:dyDescent="0.3">
      <c r="E3249" s="9" t="str">
        <f>IF(DADOS!C3249="","",DADOS!C3249)</f>
        <v/>
      </c>
      <c r="F3249" s="9" t="str">
        <f>IF(DADOS!E3249="","",DADOS!E3249)</f>
        <v/>
      </c>
      <c r="G3249" s="9" t="str">
        <f>IF(DADOS!F3249="","",DADOS!F3249)</f>
        <v/>
      </c>
      <c r="K3249" s="6" t="str">
        <f t="shared" si="255"/>
        <v/>
      </c>
      <c r="L3249" s="7" t="str">
        <f t="shared" si="256"/>
        <v/>
      </c>
      <c r="M3249" s="7" t="str">
        <f t="shared" si="253"/>
        <v/>
      </c>
      <c r="N3249" s="7" t="str">
        <f t="shared" si="257"/>
        <v/>
      </c>
      <c r="O3249" s="8"/>
      <c r="P3249" s="26"/>
      <c r="S3249" s="10" t="str">
        <f t="shared" si="254"/>
        <v/>
      </c>
    </row>
    <row r="3250" spans="5:19" x14ac:dyDescent="0.3">
      <c r="E3250" s="9" t="str">
        <f>IF(DADOS!C3250="","",DADOS!C3250)</f>
        <v/>
      </c>
      <c r="F3250" s="9" t="str">
        <f>IF(DADOS!E3250="","",DADOS!E3250)</f>
        <v/>
      </c>
      <c r="G3250" s="9" t="str">
        <f>IF(DADOS!F3250="","",DADOS!F3250)</f>
        <v/>
      </c>
      <c r="K3250" s="6" t="str">
        <f t="shared" si="255"/>
        <v/>
      </c>
      <c r="L3250" s="7" t="str">
        <f t="shared" si="256"/>
        <v/>
      </c>
      <c r="M3250" s="7" t="str">
        <f t="shared" si="253"/>
        <v/>
      </c>
      <c r="N3250" s="7" t="str">
        <f t="shared" si="257"/>
        <v/>
      </c>
      <c r="O3250" s="8"/>
      <c r="P3250" s="26"/>
      <c r="S3250" s="10" t="str">
        <f t="shared" si="254"/>
        <v/>
      </c>
    </row>
    <row r="3251" spans="5:19" x14ac:dyDescent="0.3">
      <c r="E3251" s="9" t="str">
        <f>IF(DADOS!C3251="","",DADOS!C3251)</f>
        <v/>
      </c>
      <c r="F3251" s="9" t="str">
        <f>IF(DADOS!E3251="","",DADOS!E3251)</f>
        <v/>
      </c>
      <c r="G3251" s="9" t="str">
        <f>IF(DADOS!F3251="","",DADOS!F3251)</f>
        <v/>
      </c>
      <c r="K3251" s="6" t="str">
        <f t="shared" si="255"/>
        <v/>
      </c>
      <c r="L3251" s="7" t="str">
        <f t="shared" si="256"/>
        <v/>
      </c>
      <c r="M3251" s="7" t="str">
        <f t="shared" si="253"/>
        <v/>
      </c>
      <c r="N3251" s="7" t="str">
        <f t="shared" si="257"/>
        <v/>
      </c>
      <c r="O3251" s="8"/>
      <c r="P3251" s="26"/>
      <c r="S3251" s="10" t="str">
        <f t="shared" si="254"/>
        <v/>
      </c>
    </row>
    <row r="3252" spans="5:19" x14ac:dyDescent="0.3">
      <c r="E3252" s="9" t="str">
        <f>IF(DADOS!C3252="","",DADOS!C3252)</f>
        <v/>
      </c>
      <c r="F3252" s="9" t="str">
        <f>IF(DADOS!E3252="","",DADOS!E3252)</f>
        <v/>
      </c>
      <c r="G3252" s="9" t="str">
        <f>IF(DADOS!F3252="","",DADOS!F3252)</f>
        <v/>
      </c>
      <c r="K3252" s="6" t="str">
        <f t="shared" si="255"/>
        <v/>
      </c>
      <c r="L3252" s="7" t="str">
        <f t="shared" si="256"/>
        <v/>
      </c>
      <c r="M3252" s="7" t="str">
        <f t="shared" si="253"/>
        <v/>
      </c>
      <c r="N3252" s="7" t="str">
        <f t="shared" si="257"/>
        <v/>
      </c>
      <c r="O3252" s="8"/>
      <c r="P3252" s="26"/>
      <c r="S3252" s="10" t="str">
        <f t="shared" si="254"/>
        <v/>
      </c>
    </row>
    <row r="3253" spans="5:19" x14ac:dyDescent="0.3">
      <c r="E3253" s="9" t="str">
        <f>IF(DADOS!C3253="","",DADOS!C3253)</f>
        <v/>
      </c>
      <c r="F3253" s="9" t="str">
        <f>IF(DADOS!E3253="","",DADOS!E3253)</f>
        <v/>
      </c>
      <c r="G3253" s="9" t="str">
        <f>IF(DADOS!F3253="","",DADOS!F3253)</f>
        <v/>
      </c>
      <c r="K3253" s="6" t="str">
        <f t="shared" si="255"/>
        <v/>
      </c>
      <c r="L3253" s="7" t="str">
        <f t="shared" si="256"/>
        <v/>
      </c>
      <c r="M3253" s="7" t="str">
        <f t="shared" si="253"/>
        <v/>
      </c>
      <c r="N3253" s="7" t="str">
        <f t="shared" si="257"/>
        <v/>
      </c>
      <c r="O3253" s="8"/>
      <c r="P3253" s="26"/>
      <c r="S3253" s="10" t="str">
        <f t="shared" si="254"/>
        <v/>
      </c>
    </row>
    <row r="3254" spans="5:19" x14ac:dyDescent="0.3">
      <c r="E3254" s="9" t="str">
        <f>IF(DADOS!C3254="","",DADOS!C3254)</f>
        <v/>
      </c>
      <c r="F3254" s="9" t="str">
        <f>IF(DADOS!E3254="","",DADOS!E3254)</f>
        <v/>
      </c>
      <c r="G3254" s="9" t="str">
        <f>IF(DADOS!F3254="","",DADOS!F3254)</f>
        <v/>
      </c>
      <c r="K3254" s="6" t="str">
        <f t="shared" si="255"/>
        <v/>
      </c>
      <c r="L3254" s="7" t="str">
        <f t="shared" si="256"/>
        <v/>
      </c>
      <c r="M3254" s="7" t="str">
        <f t="shared" si="253"/>
        <v/>
      </c>
      <c r="N3254" s="7" t="str">
        <f t="shared" si="257"/>
        <v/>
      </c>
      <c r="O3254" s="8"/>
      <c r="P3254" s="26"/>
      <c r="S3254" s="10" t="str">
        <f t="shared" si="254"/>
        <v/>
      </c>
    </row>
    <row r="3255" spans="5:19" x14ac:dyDescent="0.3">
      <c r="E3255" s="9" t="str">
        <f>IF(DADOS!C3255="","",DADOS!C3255)</f>
        <v/>
      </c>
      <c r="F3255" s="9" t="str">
        <f>IF(DADOS!E3255="","",DADOS!E3255)</f>
        <v/>
      </c>
      <c r="G3255" s="9" t="str">
        <f>IF(DADOS!F3255="","",DADOS!F3255)</f>
        <v/>
      </c>
      <c r="K3255" s="6" t="str">
        <f t="shared" si="255"/>
        <v/>
      </c>
      <c r="L3255" s="7" t="str">
        <f t="shared" si="256"/>
        <v/>
      </c>
      <c r="M3255" s="7" t="str">
        <f t="shared" si="253"/>
        <v/>
      </c>
      <c r="N3255" s="7" t="str">
        <f t="shared" si="257"/>
        <v/>
      </c>
      <c r="O3255" s="8"/>
      <c r="P3255" s="26"/>
      <c r="S3255" s="10" t="str">
        <f t="shared" si="254"/>
        <v/>
      </c>
    </row>
    <row r="3256" spans="5:19" x14ac:dyDescent="0.3">
      <c r="E3256" s="9" t="str">
        <f>IF(DADOS!C3256="","",DADOS!C3256)</f>
        <v/>
      </c>
      <c r="F3256" s="9" t="str">
        <f>IF(DADOS!E3256="","",DADOS!E3256)</f>
        <v/>
      </c>
      <c r="G3256" s="9" t="str">
        <f>IF(DADOS!F3256="","",DADOS!F3256)</f>
        <v/>
      </c>
      <c r="K3256" s="6" t="str">
        <f t="shared" si="255"/>
        <v/>
      </c>
      <c r="L3256" s="7" t="str">
        <f t="shared" si="256"/>
        <v/>
      </c>
      <c r="M3256" s="7" t="str">
        <f t="shared" si="253"/>
        <v/>
      </c>
      <c r="N3256" s="7" t="str">
        <f t="shared" si="257"/>
        <v/>
      </c>
      <c r="O3256" s="8"/>
      <c r="P3256" s="26"/>
      <c r="S3256" s="10" t="str">
        <f t="shared" si="254"/>
        <v/>
      </c>
    </row>
    <row r="3257" spans="5:19" x14ac:dyDescent="0.3">
      <c r="E3257" s="9" t="str">
        <f>IF(DADOS!C3257="","",DADOS!C3257)</f>
        <v/>
      </c>
      <c r="F3257" s="9" t="str">
        <f>IF(DADOS!E3257="","",DADOS!E3257)</f>
        <v/>
      </c>
      <c r="G3257" s="9" t="str">
        <f>IF(DADOS!F3257="","",DADOS!F3257)</f>
        <v/>
      </c>
      <c r="K3257" s="6" t="str">
        <f t="shared" si="255"/>
        <v/>
      </c>
      <c r="L3257" s="7" t="str">
        <f t="shared" si="256"/>
        <v/>
      </c>
      <c r="M3257" s="7" t="str">
        <f t="shared" si="253"/>
        <v/>
      </c>
      <c r="N3257" s="7" t="str">
        <f t="shared" si="257"/>
        <v/>
      </c>
      <c r="O3257" s="8"/>
      <c r="P3257" s="26"/>
      <c r="S3257" s="10" t="str">
        <f t="shared" si="254"/>
        <v/>
      </c>
    </row>
    <row r="3258" spans="5:19" x14ac:dyDescent="0.3">
      <c r="E3258" s="9" t="str">
        <f>IF(DADOS!C3258="","",DADOS!C3258)</f>
        <v/>
      </c>
      <c r="F3258" s="9" t="str">
        <f>IF(DADOS!E3258="","",DADOS!E3258)</f>
        <v/>
      </c>
      <c r="G3258" s="9" t="str">
        <f>IF(DADOS!F3258="","",DADOS!F3258)</f>
        <v/>
      </c>
      <c r="K3258" s="6" t="str">
        <f t="shared" si="255"/>
        <v/>
      </c>
      <c r="L3258" s="7" t="str">
        <f t="shared" si="256"/>
        <v/>
      </c>
      <c r="M3258" s="7" t="str">
        <f t="shared" si="253"/>
        <v/>
      </c>
      <c r="N3258" s="7" t="str">
        <f t="shared" si="257"/>
        <v/>
      </c>
      <c r="O3258" s="8"/>
      <c r="P3258" s="26"/>
      <c r="S3258" s="10" t="str">
        <f t="shared" si="254"/>
        <v/>
      </c>
    </row>
    <row r="3259" spans="5:19" x14ac:dyDescent="0.3">
      <c r="E3259" s="9" t="str">
        <f>IF(DADOS!C3259="","",DADOS!C3259)</f>
        <v/>
      </c>
      <c r="F3259" s="9" t="str">
        <f>IF(DADOS!E3259="","",DADOS!E3259)</f>
        <v/>
      </c>
      <c r="G3259" s="9" t="str">
        <f>IF(DADOS!F3259="","",DADOS!F3259)</f>
        <v/>
      </c>
      <c r="K3259" s="6" t="str">
        <f t="shared" si="255"/>
        <v/>
      </c>
      <c r="L3259" s="7" t="str">
        <f t="shared" si="256"/>
        <v/>
      </c>
      <c r="M3259" s="7" t="str">
        <f t="shared" si="253"/>
        <v/>
      </c>
      <c r="N3259" s="7" t="str">
        <f t="shared" si="257"/>
        <v/>
      </c>
      <c r="O3259" s="8"/>
      <c r="P3259" s="26"/>
      <c r="S3259" s="10" t="str">
        <f t="shared" si="254"/>
        <v/>
      </c>
    </row>
    <row r="3260" spans="5:19" x14ac:dyDescent="0.3">
      <c r="E3260" s="9" t="str">
        <f>IF(DADOS!C3260="","",DADOS!C3260)</f>
        <v/>
      </c>
      <c r="F3260" s="9" t="str">
        <f>IF(DADOS!E3260="","",DADOS!E3260)</f>
        <v/>
      </c>
      <c r="G3260" s="9" t="str">
        <f>IF(DADOS!F3260="","",DADOS!F3260)</f>
        <v/>
      </c>
      <c r="K3260" s="6" t="str">
        <f t="shared" si="255"/>
        <v/>
      </c>
      <c r="L3260" s="7" t="str">
        <f t="shared" si="256"/>
        <v/>
      </c>
      <c r="M3260" s="7" t="str">
        <f t="shared" si="253"/>
        <v/>
      </c>
      <c r="N3260" s="7" t="str">
        <f t="shared" si="257"/>
        <v/>
      </c>
      <c r="O3260" s="8"/>
      <c r="P3260" s="26"/>
      <c r="S3260" s="10" t="str">
        <f t="shared" si="254"/>
        <v/>
      </c>
    </row>
    <row r="3261" spans="5:19" x14ac:dyDescent="0.3">
      <c r="E3261" s="9" t="str">
        <f>IF(DADOS!C3261="","",DADOS!C3261)</f>
        <v/>
      </c>
      <c r="F3261" s="9" t="str">
        <f>IF(DADOS!E3261="","",DADOS!E3261)</f>
        <v/>
      </c>
      <c r="G3261" s="9" t="str">
        <f>IF(DADOS!F3261="","",DADOS!F3261)</f>
        <v/>
      </c>
      <c r="K3261" s="6" t="str">
        <f t="shared" si="255"/>
        <v/>
      </c>
      <c r="L3261" s="7" t="str">
        <f t="shared" si="256"/>
        <v/>
      </c>
      <c r="M3261" s="7" t="str">
        <f t="shared" si="253"/>
        <v/>
      </c>
      <c r="N3261" s="7" t="str">
        <f t="shared" si="257"/>
        <v/>
      </c>
      <c r="O3261" s="8"/>
      <c r="P3261" s="26"/>
      <c r="S3261" s="10" t="str">
        <f t="shared" si="254"/>
        <v/>
      </c>
    </row>
    <row r="3262" spans="5:19" x14ac:dyDescent="0.3">
      <c r="E3262" s="9" t="str">
        <f>IF(DADOS!C3262="","",DADOS!C3262)</f>
        <v/>
      </c>
      <c r="F3262" s="9" t="str">
        <f>IF(DADOS!E3262="","",DADOS!E3262)</f>
        <v/>
      </c>
      <c r="G3262" s="9" t="str">
        <f>IF(DADOS!F3262="","",DADOS!F3262)</f>
        <v/>
      </c>
      <c r="K3262" s="6" t="str">
        <f t="shared" si="255"/>
        <v/>
      </c>
      <c r="L3262" s="7" t="str">
        <f t="shared" si="256"/>
        <v/>
      </c>
      <c r="M3262" s="7" t="str">
        <f t="shared" si="253"/>
        <v/>
      </c>
      <c r="N3262" s="7" t="str">
        <f t="shared" si="257"/>
        <v/>
      </c>
      <c r="O3262" s="8"/>
      <c r="P3262" s="26"/>
      <c r="S3262" s="10" t="str">
        <f t="shared" si="254"/>
        <v/>
      </c>
    </row>
    <row r="3263" spans="5:19" x14ac:dyDescent="0.3">
      <c r="E3263" s="9" t="str">
        <f>IF(DADOS!C3263="","",DADOS!C3263)</f>
        <v/>
      </c>
      <c r="F3263" s="9" t="str">
        <f>IF(DADOS!E3263="","",DADOS!E3263)</f>
        <v/>
      </c>
      <c r="G3263" s="9" t="str">
        <f>IF(DADOS!F3263="","",DADOS!F3263)</f>
        <v/>
      </c>
      <c r="K3263" s="6" t="str">
        <f t="shared" si="255"/>
        <v/>
      </c>
      <c r="L3263" s="7" t="str">
        <f t="shared" si="256"/>
        <v/>
      </c>
      <c r="M3263" s="7" t="str">
        <f t="shared" si="253"/>
        <v/>
      </c>
      <c r="N3263" s="7" t="str">
        <f t="shared" si="257"/>
        <v/>
      </c>
      <c r="O3263" s="8"/>
      <c r="P3263" s="26"/>
      <c r="S3263" s="10" t="str">
        <f t="shared" si="254"/>
        <v/>
      </c>
    </row>
    <row r="3264" spans="5:19" x14ac:dyDescent="0.3">
      <c r="E3264" s="9" t="str">
        <f>IF(DADOS!C3264="","",DADOS!C3264)</f>
        <v/>
      </c>
      <c r="F3264" s="9" t="str">
        <f>IF(DADOS!E3264="","",DADOS!E3264)</f>
        <v/>
      </c>
      <c r="G3264" s="9" t="str">
        <f>IF(DADOS!F3264="","",DADOS!F3264)</f>
        <v/>
      </c>
      <c r="K3264" s="6" t="str">
        <f t="shared" si="255"/>
        <v/>
      </c>
      <c r="L3264" s="7" t="str">
        <f t="shared" si="256"/>
        <v/>
      </c>
      <c r="M3264" s="7" t="str">
        <f t="shared" si="253"/>
        <v/>
      </c>
      <c r="N3264" s="7" t="str">
        <f t="shared" si="257"/>
        <v/>
      </c>
      <c r="O3264" s="8"/>
      <c r="P3264" s="26"/>
      <c r="S3264" s="10" t="str">
        <f t="shared" si="254"/>
        <v/>
      </c>
    </row>
    <row r="3265" spans="5:19" x14ac:dyDescent="0.3">
      <c r="E3265" s="9" t="str">
        <f>IF(DADOS!C3265="","",DADOS!C3265)</f>
        <v/>
      </c>
      <c r="F3265" s="9" t="str">
        <f>IF(DADOS!E3265="","",DADOS!E3265)</f>
        <v/>
      </c>
      <c r="G3265" s="9" t="str">
        <f>IF(DADOS!F3265="","",DADOS!F3265)</f>
        <v/>
      </c>
      <c r="K3265" s="6" t="str">
        <f t="shared" si="255"/>
        <v/>
      </c>
      <c r="L3265" s="7" t="str">
        <f t="shared" si="256"/>
        <v/>
      </c>
      <c r="M3265" s="7" t="str">
        <f t="shared" si="253"/>
        <v/>
      </c>
      <c r="N3265" s="7" t="str">
        <f t="shared" si="257"/>
        <v/>
      </c>
      <c r="O3265" s="8"/>
      <c r="P3265" s="26"/>
      <c r="S3265" s="10" t="str">
        <f t="shared" si="254"/>
        <v/>
      </c>
    </row>
    <row r="3266" spans="5:19" x14ac:dyDescent="0.3">
      <c r="E3266" s="9" t="str">
        <f>IF(DADOS!C3266="","",DADOS!C3266)</f>
        <v/>
      </c>
      <c r="F3266" s="9" t="str">
        <f>IF(DADOS!E3266="","",DADOS!E3266)</f>
        <v/>
      </c>
      <c r="G3266" s="9" t="str">
        <f>IF(DADOS!F3266="","",DADOS!F3266)</f>
        <v/>
      </c>
      <c r="K3266" s="6" t="str">
        <f t="shared" si="255"/>
        <v/>
      </c>
      <c r="L3266" s="7" t="str">
        <f t="shared" si="256"/>
        <v/>
      </c>
      <c r="M3266" s="7" t="str">
        <f t="shared" si="253"/>
        <v/>
      </c>
      <c r="N3266" s="7" t="str">
        <f t="shared" si="257"/>
        <v/>
      </c>
      <c r="O3266" s="8"/>
      <c r="P3266" s="26"/>
      <c r="S3266" s="10" t="str">
        <f t="shared" si="254"/>
        <v/>
      </c>
    </row>
    <row r="3267" spans="5:19" x14ac:dyDescent="0.3">
      <c r="E3267" s="9" t="str">
        <f>IF(DADOS!C3267="","",DADOS!C3267)</f>
        <v/>
      </c>
      <c r="F3267" s="9" t="str">
        <f>IF(DADOS!E3267="","",DADOS!E3267)</f>
        <v/>
      </c>
      <c r="G3267" s="9" t="str">
        <f>IF(DADOS!F3267="","",DADOS!F3267)</f>
        <v/>
      </c>
      <c r="K3267" s="6" t="str">
        <f t="shared" si="255"/>
        <v/>
      </c>
      <c r="L3267" s="7" t="str">
        <f t="shared" si="256"/>
        <v/>
      </c>
      <c r="M3267" s="7" t="str">
        <f t="shared" ref="M3267:M3330" si="258">IF(L3267="","",L3267*G3267)</f>
        <v/>
      </c>
      <c r="N3267" s="7" t="str">
        <f t="shared" si="257"/>
        <v/>
      </c>
      <c r="O3267" s="8"/>
      <c r="P3267" s="26"/>
      <c r="S3267" s="10" t="str">
        <f t="shared" ref="S3267:S3330" si="259">IF(R3267="","",SUMIFS($N$3:$N$10000,$E$3:$E$10000,R3267))</f>
        <v/>
      </c>
    </row>
    <row r="3268" spans="5:19" x14ac:dyDescent="0.3">
      <c r="E3268" s="9" t="str">
        <f>IF(DADOS!C3268="","",DADOS!C3268)</f>
        <v/>
      </c>
      <c r="F3268" s="9" t="str">
        <f>IF(DADOS!E3268="","",DADOS!E3268)</f>
        <v/>
      </c>
      <c r="G3268" s="9" t="str">
        <f>IF(DADOS!F3268="","",DADOS!F3268)</f>
        <v/>
      </c>
      <c r="K3268" s="6" t="str">
        <f t="shared" ref="K3268:K3331" si="260">IF(F3268="","",F3268/PI())</f>
        <v/>
      </c>
      <c r="L3268" s="7" t="str">
        <f t="shared" ref="L3268:L3331" si="261">IF(K3268="","",(PI()*K3268^2)/40000)</f>
        <v/>
      </c>
      <c r="M3268" s="7" t="str">
        <f t="shared" si="258"/>
        <v/>
      </c>
      <c r="N3268" s="7" t="str">
        <f t="shared" ref="N3268:N3331" si="262">IF(M3268="","",M3268*N$1)</f>
        <v/>
      </c>
      <c r="O3268" s="8"/>
      <c r="P3268" s="26"/>
      <c r="S3268" s="10" t="str">
        <f t="shared" si="259"/>
        <v/>
      </c>
    </row>
    <row r="3269" spans="5:19" x14ac:dyDescent="0.3">
      <c r="E3269" s="9" t="str">
        <f>IF(DADOS!C3269="","",DADOS!C3269)</f>
        <v/>
      </c>
      <c r="F3269" s="9" t="str">
        <f>IF(DADOS!E3269="","",DADOS!E3269)</f>
        <v/>
      </c>
      <c r="G3269" s="9" t="str">
        <f>IF(DADOS!F3269="","",DADOS!F3269)</f>
        <v/>
      </c>
      <c r="K3269" s="6" t="str">
        <f t="shared" si="260"/>
        <v/>
      </c>
      <c r="L3269" s="7" t="str">
        <f t="shared" si="261"/>
        <v/>
      </c>
      <c r="M3269" s="7" t="str">
        <f t="shared" si="258"/>
        <v/>
      </c>
      <c r="N3269" s="7" t="str">
        <f t="shared" si="262"/>
        <v/>
      </c>
      <c r="O3269" s="8"/>
      <c r="P3269" s="26"/>
      <c r="S3269" s="10" t="str">
        <f t="shared" si="259"/>
        <v/>
      </c>
    </row>
    <row r="3270" spans="5:19" x14ac:dyDescent="0.3">
      <c r="E3270" s="9" t="str">
        <f>IF(DADOS!C3270="","",DADOS!C3270)</f>
        <v/>
      </c>
      <c r="F3270" s="9" t="str">
        <f>IF(DADOS!E3270="","",DADOS!E3270)</f>
        <v/>
      </c>
      <c r="G3270" s="9" t="str">
        <f>IF(DADOS!F3270="","",DADOS!F3270)</f>
        <v/>
      </c>
      <c r="K3270" s="6" t="str">
        <f t="shared" si="260"/>
        <v/>
      </c>
      <c r="L3270" s="7" t="str">
        <f t="shared" si="261"/>
        <v/>
      </c>
      <c r="M3270" s="7" t="str">
        <f t="shared" si="258"/>
        <v/>
      </c>
      <c r="N3270" s="7" t="str">
        <f t="shared" si="262"/>
        <v/>
      </c>
      <c r="O3270" s="8"/>
      <c r="P3270" s="26"/>
      <c r="S3270" s="10" t="str">
        <f t="shared" si="259"/>
        <v/>
      </c>
    </row>
    <row r="3271" spans="5:19" x14ac:dyDescent="0.3">
      <c r="E3271" s="9" t="str">
        <f>IF(DADOS!C3271="","",DADOS!C3271)</f>
        <v/>
      </c>
      <c r="F3271" s="9" t="str">
        <f>IF(DADOS!E3271="","",DADOS!E3271)</f>
        <v/>
      </c>
      <c r="G3271" s="9" t="str">
        <f>IF(DADOS!F3271="","",DADOS!F3271)</f>
        <v/>
      </c>
      <c r="K3271" s="6" t="str">
        <f t="shared" si="260"/>
        <v/>
      </c>
      <c r="L3271" s="7" t="str">
        <f t="shared" si="261"/>
        <v/>
      </c>
      <c r="M3271" s="7" t="str">
        <f t="shared" si="258"/>
        <v/>
      </c>
      <c r="N3271" s="7" t="str">
        <f t="shared" si="262"/>
        <v/>
      </c>
      <c r="O3271" s="8"/>
      <c r="P3271" s="26"/>
      <c r="S3271" s="10" t="str">
        <f t="shared" si="259"/>
        <v/>
      </c>
    </row>
    <row r="3272" spans="5:19" x14ac:dyDescent="0.3">
      <c r="E3272" s="9" t="str">
        <f>IF(DADOS!C3272="","",DADOS!C3272)</f>
        <v/>
      </c>
      <c r="F3272" s="9" t="str">
        <f>IF(DADOS!E3272="","",DADOS!E3272)</f>
        <v/>
      </c>
      <c r="G3272" s="9" t="str">
        <f>IF(DADOS!F3272="","",DADOS!F3272)</f>
        <v/>
      </c>
      <c r="K3272" s="6" t="str">
        <f t="shared" si="260"/>
        <v/>
      </c>
      <c r="L3272" s="7" t="str">
        <f t="shared" si="261"/>
        <v/>
      </c>
      <c r="M3272" s="7" t="str">
        <f t="shared" si="258"/>
        <v/>
      </c>
      <c r="N3272" s="7" t="str">
        <f t="shared" si="262"/>
        <v/>
      </c>
      <c r="O3272" s="8"/>
      <c r="P3272" s="26"/>
      <c r="S3272" s="10" t="str">
        <f t="shared" si="259"/>
        <v/>
      </c>
    </row>
    <row r="3273" spans="5:19" x14ac:dyDescent="0.3">
      <c r="E3273" s="9" t="str">
        <f>IF(DADOS!C3273="","",DADOS!C3273)</f>
        <v/>
      </c>
      <c r="F3273" s="9" t="str">
        <f>IF(DADOS!E3273="","",DADOS!E3273)</f>
        <v/>
      </c>
      <c r="G3273" s="9" t="str">
        <f>IF(DADOS!F3273="","",DADOS!F3273)</f>
        <v/>
      </c>
      <c r="K3273" s="6" t="str">
        <f t="shared" si="260"/>
        <v/>
      </c>
      <c r="L3273" s="7" t="str">
        <f t="shared" si="261"/>
        <v/>
      </c>
      <c r="M3273" s="7" t="str">
        <f t="shared" si="258"/>
        <v/>
      </c>
      <c r="N3273" s="7" t="str">
        <f t="shared" si="262"/>
        <v/>
      </c>
      <c r="O3273" s="8"/>
      <c r="P3273" s="26"/>
      <c r="S3273" s="10" t="str">
        <f t="shared" si="259"/>
        <v/>
      </c>
    </row>
    <row r="3274" spans="5:19" x14ac:dyDescent="0.3">
      <c r="E3274" s="9" t="str">
        <f>IF(DADOS!C3274="","",DADOS!C3274)</f>
        <v/>
      </c>
      <c r="F3274" s="9" t="str">
        <f>IF(DADOS!E3274="","",DADOS!E3274)</f>
        <v/>
      </c>
      <c r="G3274" s="9" t="str">
        <f>IF(DADOS!F3274="","",DADOS!F3274)</f>
        <v/>
      </c>
      <c r="K3274" s="6" t="str">
        <f t="shared" si="260"/>
        <v/>
      </c>
      <c r="L3274" s="7" t="str">
        <f t="shared" si="261"/>
        <v/>
      </c>
      <c r="M3274" s="7" t="str">
        <f t="shared" si="258"/>
        <v/>
      </c>
      <c r="N3274" s="7" t="str">
        <f t="shared" si="262"/>
        <v/>
      </c>
      <c r="O3274" s="8"/>
      <c r="P3274" s="26"/>
      <c r="S3274" s="10" t="str">
        <f t="shared" si="259"/>
        <v/>
      </c>
    </row>
    <row r="3275" spans="5:19" x14ac:dyDescent="0.3">
      <c r="E3275" s="9" t="str">
        <f>IF(DADOS!C3275="","",DADOS!C3275)</f>
        <v/>
      </c>
      <c r="F3275" s="9" t="str">
        <f>IF(DADOS!E3275="","",DADOS!E3275)</f>
        <v/>
      </c>
      <c r="G3275" s="9" t="str">
        <f>IF(DADOS!F3275="","",DADOS!F3275)</f>
        <v/>
      </c>
      <c r="K3275" s="6" t="str">
        <f t="shared" si="260"/>
        <v/>
      </c>
      <c r="L3275" s="7" t="str">
        <f t="shared" si="261"/>
        <v/>
      </c>
      <c r="M3275" s="7" t="str">
        <f t="shared" si="258"/>
        <v/>
      </c>
      <c r="N3275" s="7" t="str">
        <f t="shared" si="262"/>
        <v/>
      </c>
      <c r="O3275" s="8"/>
      <c r="P3275" s="26"/>
      <c r="S3275" s="10" t="str">
        <f t="shared" si="259"/>
        <v/>
      </c>
    </row>
    <row r="3276" spans="5:19" x14ac:dyDescent="0.3">
      <c r="E3276" s="9" t="str">
        <f>IF(DADOS!C3276="","",DADOS!C3276)</f>
        <v/>
      </c>
      <c r="F3276" s="9" t="str">
        <f>IF(DADOS!E3276="","",DADOS!E3276)</f>
        <v/>
      </c>
      <c r="G3276" s="9" t="str">
        <f>IF(DADOS!F3276="","",DADOS!F3276)</f>
        <v/>
      </c>
      <c r="K3276" s="6" t="str">
        <f t="shared" si="260"/>
        <v/>
      </c>
      <c r="L3276" s="7" t="str">
        <f t="shared" si="261"/>
        <v/>
      </c>
      <c r="M3276" s="7" t="str">
        <f t="shared" si="258"/>
        <v/>
      </c>
      <c r="N3276" s="7" t="str">
        <f t="shared" si="262"/>
        <v/>
      </c>
      <c r="O3276" s="8"/>
      <c r="P3276" s="26"/>
      <c r="S3276" s="10" t="str">
        <f t="shared" si="259"/>
        <v/>
      </c>
    </row>
    <row r="3277" spans="5:19" x14ac:dyDescent="0.3">
      <c r="E3277" s="9" t="str">
        <f>IF(DADOS!C3277="","",DADOS!C3277)</f>
        <v/>
      </c>
      <c r="F3277" s="9" t="str">
        <f>IF(DADOS!E3277="","",DADOS!E3277)</f>
        <v/>
      </c>
      <c r="G3277" s="9" t="str">
        <f>IF(DADOS!F3277="","",DADOS!F3277)</f>
        <v/>
      </c>
      <c r="K3277" s="6" t="str">
        <f t="shared" si="260"/>
        <v/>
      </c>
      <c r="L3277" s="7" t="str">
        <f t="shared" si="261"/>
        <v/>
      </c>
      <c r="M3277" s="7" t="str">
        <f t="shared" si="258"/>
        <v/>
      </c>
      <c r="N3277" s="7" t="str">
        <f t="shared" si="262"/>
        <v/>
      </c>
      <c r="O3277" s="8"/>
      <c r="P3277" s="26"/>
      <c r="S3277" s="10" t="str">
        <f t="shared" si="259"/>
        <v/>
      </c>
    </row>
    <row r="3278" spans="5:19" x14ac:dyDescent="0.3">
      <c r="E3278" s="9" t="str">
        <f>IF(DADOS!C3278="","",DADOS!C3278)</f>
        <v/>
      </c>
      <c r="F3278" s="9" t="str">
        <f>IF(DADOS!E3278="","",DADOS!E3278)</f>
        <v/>
      </c>
      <c r="G3278" s="9" t="str">
        <f>IF(DADOS!F3278="","",DADOS!F3278)</f>
        <v/>
      </c>
      <c r="K3278" s="6" t="str">
        <f t="shared" si="260"/>
        <v/>
      </c>
      <c r="L3278" s="7" t="str">
        <f t="shared" si="261"/>
        <v/>
      </c>
      <c r="M3278" s="7" t="str">
        <f t="shared" si="258"/>
        <v/>
      </c>
      <c r="N3278" s="7" t="str">
        <f t="shared" si="262"/>
        <v/>
      </c>
      <c r="O3278" s="8"/>
      <c r="P3278" s="26"/>
      <c r="S3278" s="10" t="str">
        <f t="shared" si="259"/>
        <v/>
      </c>
    </row>
    <row r="3279" spans="5:19" x14ac:dyDescent="0.3">
      <c r="E3279" s="9" t="str">
        <f>IF(DADOS!C3279="","",DADOS!C3279)</f>
        <v/>
      </c>
      <c r="F3279" s="9" t="str">
        <f>IF(DADOS!E3279="","",DADOS!E3279)</f>
        <v/>
      </c>
      <c r="G3279" s="9" t="str">
        <f>IF(DADOS!F3279="","",DADOS!F3279)</f>
        <v/>
      </c>
      <c r="K3279" s="6" t="str">
        <f t="shared" si="260"/>
        <v/>
      </c>
      <c r="L3279" s="7" t="str">
        <f t="shared" si="261"/>
        <v/>
      </c>
      <c r="M3279" s="7" t="str">
        <f t="shared" si="258"/>
        <v/>
      </c>
      <c r="N3279" s="7" t="str">
        <f t="shared" si="262"/>
        <v/>
      </c>
      <c r="O3279" s="8"/>
      <c r="P3279" s="26"/>
      <c r="S3279" s="10" t="str">
        <f t="shared" si="259"/>
        <v/>
      </c>
    </row>
    <row r="3280" spans="5:19" x14ac:dyDescent="0.3">
      <c r="E3280" s="9" t="str">
        <f>IF(DADOS!C3280="","",DADOS!C3280)</f>
        <v/>
      </c>
      <c r="F3280" s="9" t="str">
        <f>IF(DADOS!E3280="","",DADOS!E3280)</f>
        <v/>
      </c>
      <c r="G3280" s="9" t="str">
        <f>IF(DADOS!F3280="","",DADOS!F3280)</f>
        <v/>
      </c>
      <c r="K3280" s="6" t="str">
        <f t="shared" si="260"/>
        <v/>
      </c>
      <c r="L3280" s="7" t="str">
        <f t="shared" si="261"/>
        <v/>
      </c>
      <c r="M3280" s="7" t="str">
        <f t="shared" si="258"/>
        <v/>
      </c>
      <c r="N3280" s="7" t="str">
        <f t="shared" si="262"/>
        <v/>
      </c>
      <c r="O3280" s="8"/>
      <c r="P3280" s="26"/>
      <c r="S3280" s="10" t="str">
        <f t="shared" si="259"/>
        <v/>
      </c>
    </row>
    <row r="3281" spans="5:19" x14ac:dyDescent="0.3">
      <c r="E3281" s="9" t="str">
        <f>IF(DADOS!C3281="","",DADOS!C3281)</f>
        <v/>
      </c>
      <c r="F3281" s="9" t="str">
        <f>IF(DADOS!E3281="","",DADOS!E3281)</f>
        <v/>
      </c>
      <c r="G3281" s="9" t="str">
        <f>IF(DADOS!F3281="","",DADOS!F3281)</f>
        <v/>
      </c>
      <c r="K3281" s="6" t="str">
        <f t="shared" si="260"/>
        <v/>
      </c>
      <c r="L3281" s="7" t="str">
        <f t="shared" si="261"/>
        <v/>
      </c>
      <c r="M3281" s="7" t="str">
        <f t="shared" si="258"/>
        <v/>
      </c>
      <c r="N3281" s="7" t="str">
        <f t="shared" si="262"/>
        <v/>
      </c>
      <c r="O3281" s="8"/>
      <c r="P3281" s="26"/>
      <c r="S3281" s="10" t="str">
        <f t="shared" si="259"/>
        <v/>
      </c>
    </row>
    <row r="3282" spans="5:19" x14ac:dyDescent="0.3">
      <c r="E3282" s="9" t="str">
        <f>IF(DADOS!C3282="","",DADOS!C3282)</f>
        <v/>
      </c>
      <c r="F3282" s="9" t="str">
        <f>IF(DADOS!E3282="","",DADOS!E3282)</f>
        <v/>
      </c>
      <c r="G3282" s="9" t="str">
        <f>IF(DADOS!F3282="","",DADOS!F3282)</f>
        <v/>
      </c>
      <c r="K3282" s="6" t="str">
        <f t="shared" si="260"/>
        <v/>
      </c>
      <c r="L3282" s="7" t="str">
        <f t="shared" si="261"/>
        <v/>
      </c>
      <c r="M3282" s="7" t="str">
        <f t="shared" si="258"/>
        <v/>
      </c>
      <c r="N3282" s="7" t="str">
        <f t="shared" si="262"/>
        <v/>
      </c>
      <c r="O3282" s="8"/>
      <c r="P3282" s="26"/>
      <c r="S3282" s="10" t="str">
        <f t="shared" si="259"/>
        <v/>
      </c>
    </row>
    <row r="3283" spans="5:19" x14ac:dyDescent="0.3">
      <c r="E3283" s="9" t="str">
        <f>IF(DADOS!C3283="","",DADOS!C3283)</f>
        <v/>
      </c>
      <c r="F3283" s="9" t="str">
        <f>IF(DADOS!E3283="","",DADOS!E3283)</f>
        <v/>
      </c>
      <c r="G3283" s="9" t="str">
        <f>IF(DADOS!F3283="","",DADOS!F3283)</f>
        <v/>
      </c>
      <c r="K3283" s="6" t="str">
        <f t="shared" si="260"/>
        <v/>
      </c>
      <c r="L3283" s="7" t="str">
        <f t="shared" si="261"/>
        <v/>
      </c>
      <c r="M3283" s="7" t="str">
        <f t="shared" si="258"/>
        <v/>
      </c>
      <c r="N3283" s="7" t="str">
        <f t="shared" si="262"/>
        <v/>
      </c>
      <c r="O3283" s="8"/>
      <c r="P3283" s="26"/>
      <c r="S3283" s="10" t="str">
        <f t="shared" si="259"/>
        <v/>
      </c>
    </row>
    <row r="3284" spans="5:19" x14ac:dyDescent="0.3">
      <c r="E3284" s="9" t="str">
        <f>IF(DADOS!C3284="","",DADOS!C3284)</f>
        <v/>
      </c>
      <c r="F3284" s="9" t="str">
        <f>IF(DADOS!E3284="","",DADOS!E3284)</f>
        <v/>
      </c>
      <c r="G3284" s="9" t="str">
        <f>IF(DADOS!F3284="","",DADOS!F3284)</f>
        <v/>
      </c>
      <c r="K3284" s="6" t="str">
        <f t="shared" si="260"/>
        <v/>
      </c>
      <c r="L3284" s="7" t="str">
        <f t="shared" si="261"/>
        <v/>
      </c>
      <c r="M3284" s="7" t="str">
        <f t="shared" si="258"/>
        <v/>
      </c>
      <c r="N3284" s="7" t="str">
        <f t="shared" si="262"/>
        <v/>
      </c>
      <c r="O3284" s="8"/>
      <c r="P3284" s="26"/>
      <c r="S3284" s="10" t="str">
        <f t="shared" si="259"/>
        <v/>
      </c>
    </row>
    <row r="3285" spans="5:19" x14ac:dyDescent="0.3">
      <c r="E3285" s="9" t="str">
        <f>IF(DADOS!C3285="","",DADOS!C3285)</f>
        <v/>
      </c>
      <c r="F3285" s="9" t="str">
        <f>IF(DADOS!E3285="","",DADOS!E3285)</f>
        <v/>
      </c>
      <c r="G3285" s="9" t="str">
        <f>IF(DADOS!F3285="","",DADOS!F3285)</f>
        <v/>
      </c>
      <c r="K3285" s="6" t="str">
        <f t="shared" si="260"/>
        <v/>
      </c>
      <c r="L3285" s="7" t="str">
        <f t="shared" si="261"/>
        <v/>
      </c>
      <c r="M3285" s="7" t="str">
        <f t="shared" si="258"/>
        <v/>
      </c>
      <c r="N3285" s="7" t="str">
        <f t="shared" si="262"/>
        <v/>
      </c>
      <c r="O3285" s="8"/>
      <c r="P3285" s="26"/>
      <c r="S3285" s="10" t="str">
        <f t="shared" si="259"/>
        <v/>
      </c>
    </row>
    <row r="3286" spans="5:19" x14ac:dyDescent="0.3">
      <c r="E3286" s="9" t="str">
        <f>IF(DADOS!C3286="","",DADOS!C3286)</f>
        <v/>
      </c>
      <c r="F3286" s="9" t="str">
        <f>IF(DADOS!E3286="","",DADOS!E3286)</f>
        <v/>
      </c>
      <c r="G3286" s="9" t="str">
        <f>IF(DADOS!F3286="","",DADOS!F3286)</f>
        <v/>
      </c>
      <c r="K3286" s="6" t="str">
        <f t="shared" si="260"/>
        <v/>
      </c>
      <c r="L3286" s="7" t="str">
        <f t="shared" si="261"/>
        <v/>
      </c>
      <c r="M3286" s="7" t="str">
        <f t="shared" si="258"/>
        <v/>
      </c>
      <c r="N3286" s="7" t="str">
        <f t="shared" si="262"/>
        <v/>
      </c>
      <c r="O3286" s="8"/>
      <c r="P3286" s="26"/>
      <c r="S3286" s="10" t="str">
        <f t="shared" si="259"/>
        <v/>
      </c>
    </row>
    <row r="3287" spans="5:19" x14ac:dyDescent="0.3">
      <c r="E3287" s="9" t="str">
        <f>IF(DADOS!C3287="","",DADOS!C3287)</f>
        <v/>
      </c>
      <c r="F3287" s="9" t="str">
        <f>IF(DADOS!E3287="","",DADOS!E3287)</f>
        <v/>
      </c>
      <c r="G3287" s="9" t="str">
        <f>IF(DADOS!F3287="","",DADOS!F3287)</f>
        <v/>
      </c>
      <c r="K3287" s="6" t="str">
        <f t="shared" si="260"/>
        <v/>
      </c>
      <c r="L3287" s="7" t="str">
        <f t="shared" si="261"/>
        <v/>
      </c>
      <c r="M3287" s="7" t="str">
        <f t="shared" si="258"/>
        <v/>
      </c>
      <c r="N3287" s="7" t="str">
        <f t="shared" si="262"/>
        <v/>
      </c>
      <c r="O3287" s="8"/>
      <c r="P3287" s="26"/>
      <c r="S3287" s="10" t="str">
        <f t="shared" si="259"/>
        <v/>
      </c>
    </row>
    <row r="3288" spans="5:19" x14ac:dyDescent="0.3">
      <c r="E3288" s="9" t="str">
        <f>IF(DADOS!C3288="","",DADOS!C3288)</f>
        <v/>
      </c>
      <c r="F3288" s="9" t="str">
        <f>IF(DADOS!E3288="","",DADOS!E3288)</f>
        <v/>
      </c>
      <c r="G3288" s="9" t="str">
        <f>IF(DADOS!F3288="","",DADOS!F3288)</f>
        <v/>
      </c>
      <c r="K3288" s="6" t="str">
        <f t="shared" si="260"/>
        <v/>
      </c>
      <c r="L3288" s="7" t="str">
        <f t="shared" si="261"/>
        <v/>
      </c>
      <c r="M3288" s="7" t="str">
        <f t="shared" si="258"/>
        <v/>
      </c>
      <c r="N3288" s="7" t="str">
        <f t="shared" si="262"/>
        <v/>
      </c>
      <c r="O3288" s="8"/>
      <c r="P3288" s="26"/>
      <c r="S3288" s="10" t="str">
        <f t="shared" si="259"/>
        <v/>
      </c>
    </row>
    <row r="3289" spans="5:19" x14ac:dyDescent="0.3">
      <c r="E3289" s="9" t="str">
        <f>IF(DADOS!C3289="","",DADOS!C3289)</f>
        <v/>
      </c>
      <c r="F3289" s="9" t="str">
        <f>IF(DADOS!E3289="","",DADOS!E3289)</f>
        <v/>
      </c>
      <c r="G3289" s="9" t="str">
        <f>IF(DADOS!F3289="","",DADOS!F3289)</f>
        <v/>
      </c>
      <c r="K3289" s="6" t="str">
        <f t="shared" si="260"/>
        <v/>
      </c>
      <c r="L3289" s="7" t="str">
        <f t="shared" si="261"/>
        <v/>
      </c>
      <c r="M3289" s="7" t="str">
        <f t="shared" si="258"/>
        <v/>
      </c>
      <c r="N3289" s="7" t="str">
        <f t="shared" si="262"/>
        <v/>
      </c>
      <c r="O3289" s="8"/>
      <c r="P3289" s="26"/>
      <c r="S3289" s="10" t="str">
        <f t="shared" si="259"/>
        <v/>
      </c>
    </row>
    <row r="3290" spans="5:19" x14ac:dyDescent="0.3">
      <c r="E3290" s="9" t="str">
        <f>IF(DADOS!C3290="","",DADOS!C3290)</f>
        <v/>
      </c>
      <c r="F3290" s="9" t="str">
        <f>IF(DADOS!E3290="","",DADOS!E3290)</f>
        <v/>
      </c>
      <c r="G3290" s="9" t="str">
        <f>IF(DADOS!F3290="","",DADOS!F3290)</f>
        <v/>
      </c>
      <c r="K3290" s="6" t="str">
        <f t="shared" si="260"/>
        <v/>
      </c>
      <c r="L3290" s="7" t="str">
        <f t="shared" si="261"/>
        <v/>
      </c>
      <c r="M3290" s="7" t="str">
        <f t="shared" si="258"/>
        <v/>
      </c>
      <c r="N3290" s="7" t="str">
        <f t="shared" si="262"/>
        <v/>
      </c>
      <c r="O3290" s="8"/>
      <c r="P3290" s="26"/>
      <c r="S3290" s="10" t="str">
        <f t="shared" si="259"/>
        <v/>
      </c>
    </row>
    <row r="3291" spans="5:19" x14ac:dyDescent="0.3">
      <c r="E3291" s="9" t="str">
        <f>IF(DADOS!C3291="","",DADOS!C3291)</f>
        <v/>
      </c>
      <c r="F3291" s="9" t="str">
        <f>IF(DADOS!E3291="","",DADOS!E3291)</f>
        <v/>
      </c>
      <c r="G3291" s="9" t="str">
        <f>IF(DADOS!F3291="","",DADOS!F3291)</f>
        <v/>
      </c>
      <c r="K3291" s="6" t="str">
        <f t="shared" si="260"/>
        <v/>
      </c>
      <c r="L3291" s="7" t="str">
        <f t="shared" si="261"/>
        <v/>
      </c>
      <c r="M3291" s="7" t="str">
        <f t="shared" si="258"/>
        <v/>
      </c>
      <c r="N3291" s="7" t="str">
        <f t="shared" si="262"/>
        <v/>
      </c>
      <c r="O3291" s="8"/>
      <c r="P3291" s="26"/>
      <c r="S3291" s="10" t="str">
        <f t="shared" si="259"/>
        <v/>
      </c>
    </row>
    <row r="3292" spans="5:19" x14ac:dyDescent="0.3">
      <c r="E3292" s="9" t="str">
        <f>IF(DADOS!C3292="","",DADOS!C3292)</f>
        <v/>
      </c>
      <c r="F3292" s="9" t="str">
        <f>IF(DADOS!E3292="","",DADOS!E3292)</f>
        <v/>
      </c>
      <c r="G3292" s="9" t="str">
        <f>IF(DADOS!F3292="","",DADOS!F3292)</f>
        <v/>
      </c>
      <c r="K3292" s="6" t="str">
        <f t="shared" si="260"/>
        <v/>
      </c>
      <c r="L3292" s="7" t="str">
        <f t="shared" si="261"/>
        <v/>
      </c>
      <c r="M3292" s="7" t="str">
        <f t="shared" si="258"/>
        <v/>
      </c>
      <c r="N3292" s="7" t="str">
        <f t="shared" si="262"/>
        <v/>
      </c>
      <c r="O3292" s="8"/>
      <c r="P3292" s="26"/>
      <c r="S3292" s="10" t="str">
        <f t="shared" si="259"/>
        <v/>
      </c>
    </row>
    <row r="3293" spans="5:19" x14ac:dyDescent="0.3">
      <c r="E3293" s="9" t="str">
        <f>IF(DADOS!C3293="","",DADOS!C3293)</f>
        <v/>
      </c>
      <c r="F3293" s="9" t="str">
        <f>IF(DADOS!E3293="","",DADOS!E3293)</f>
        <v/>
      </c>
      <c r="G3293" s="9" t="str">
        <f>IF(DADOS!F3293="","",DADOS!F3293)</f>
        <v/>
      </c>
      <c r="K3293" s="6" t="str">
        <f t="shared" si="260"/>
        <v/>
      </c>
      <c r="L3293" s="7" t="str">
        <f t="shared" si="261"/>
        <v/>
      </c>
      <c r="M3293" s="7" t="str">
        <f t="shared" si="258"/>
        <v/>
      </c>
      <c r="N3293" s="7" t="str">
        <f t="shared" si="262"/>
        <v/>
      </c>
      <c r="O3293" s="8"/>
      <c r="P3293" s="26"/>
      <c r="S3293" s="10" t="str">
        <f t="shared" si="259"/>
        <v/>
      </c>
    </row>
    <row r="3294" spans="5:19" x14ac:dyDescent="0.3">
      <c r="E3294" s="9" t="str">
        <f>IF(DADOS!C3294="","",DADOS!C3294)</f>
        <v/>
      </c>
      <c r="F3294" s="9" t="str">
        <f>IF(DADOS!E3294="","",DADOS!E3294)</f>
        <v/>
      </c>
      <c r="G3294" s="9" t="str">
        <f>IF(DADOS!F3294="","",DADOS!F3294)</f>
        <v/>
      </c>
      <c r="K3294" s="6" t="str">
        <f t="shared" si="260"/>
        <v/>
      </c>
      <c r="L3294" s="7" t="str">
        <f t="shared" si="261"/>
        <v/>
      </c>
      <c r="M3294" s="7" t="str">
        <f t="shared" si="258"/>
        <v/>
      </c>
      <c r="N3294" s="7" t="str">
        <f t="shared" si="262"/>
        <v/>
      </c>
      <c r="O3294" s="8"/>
      <c r="P3294" s="26"/>
      <c r="S3294" s="10" t="str">
        <f t="shared" si="259"/>
        <v/>
      </c>
    </row>
    <row r="3295" spans="5:19" x14ac:dyDescent="0.3">
      <c r="E3295" s="9" t="str">
        <f>IF(DADOS!C3295="","",DADOS!C3295)</f>
        <v/>
      </c>
      <c r="F3295" s="9" t="str">
        <f>IF(DADOS!E3295="","",DADOS!E3295)</f>
        <v/>
      </c>
      <c r="G3295" s="9" t="str">
        <f>IF(DADOS!F3295="","",DADOS!F3295)</f>
        <v/>
      </c>
      <c r="K3295" s="6" t="str">
        <f t="shared" si="260"/>
        <v/>
      </c>
      <c r="L3295" s="7" t="str">
        <f t="shared" si="261"/>
        <v/>
      </c>
      <c r="M3295" s="7" t="str">
        <f t="shared" si="258"/>
        <v/>
      </c>
      <c r="N3295" s="7" t="str">
        <f t="shared" si="262"/>
        <v/>
      </c>
      <c r="O3295" s="8"/>
      <c r="P3295" s="26"/>
      <c r="S3295" s="10" t="str">
        <f t="shared" si="259"/>
        <v/>
      </c>
    </row>
    <row r="3296" spans="5:19" x14ac:dyDescent="0.3">
      <c r="E3296" s="9" t="str">
        <f>IF(DADOS!C3296="","",DADOS!C3296)</f>
        <v/>
      </c>
      <c r="F3296" s="9" t="str">
        <f>IF(DADOS!E3296="","",DADOS!E3296)</f>
        <v/>
      </c>
      <c r="G3296" s="9" t="str">
        <f>IF(DADOS!F3296="","",DADOS!F3296)</f>
        <v/>
      </c>
      <c r="K3296" s="6" t="str">
        <f t="shared" si="260"/>
        <v/>
      </c>
      <c r="L3296" s="7" t="str">
        <f t="shared" si="261"/>
        <v/>
      </c>
      <c r="M3296" s="7" t="str">
        <f t="shared" si="258"/>
        <v/>
      </c>
      <c r="N3296" s="7" t="str">
        <f t="shared" si="262"/>
        <v/>
      </c>
      <c r="O3296" s="8"/>
      <c r="P3296" s="26"/>
      <c r="S3296" s="10" t="str">
        <f t="shared" si="259"/>
        <v/>
      </c>
    </row>
    <row r="3297" spans="5:19" x14ac:dyDescent="0.3">
      <c r="E3297" s="9" t="str">
        <f>IF(DADOS!C3297="","",DADOS!C3297)</f>
        <v/>
      </c>
      <c r="F3297" s="9" t="str">
        <f>IF(DADOS!E3297="","",DADOS!E3297)</f>
        <v/>
      </c>
      <c r="G3297" s="9" t="str">
        <f>IF(DADOS!F3297="","",DADOS!F3297)</f>
        <v/>
      </c>
      <c r="K3297" s="6" t="str">
        <f t="shared" si="260"/>
        <v/>
      </c>
      <c r="L3297" s="7" t="str">
        <f t="shared" si="261"/>
        <v/>
      </c>
      <c r="M3297" s="7" t="str">
        <f t="shared" si="258"/>
        <v/>
      </c>
      <c r="N3297" s="7" t="str">
        <f t="shared" si="262"/>
        <v/>
      </c>
      <c r="O3297" s="8"/>
      <c r="P3297" s="26"/>
      <c r="S3297" s="10" t="str">
        <f t="shared" si="259"/>
        <v/>
      </c>
    </row>
    <row r="3298" spans="5:19" x14ac:dyDescent="0.3">
      <c r="E3298" s="9" t="str">
        <f>IF(DADOS!C3298="","",DADOS!C3298)</f>
        <v/>
      </c>
      <c r="F3298" s="9" t="str">
        <f>IF(DADOS!E3298="","",DADOS!E3298)</f>
        <v/>
      </c>
      <c r="G3298" s="9" t="str">
        <f>IF(DADOS!F3298="","",DADOS!F3298)</f>
        <v/>
      </c>
      <c r="K3298" s="6" t="str">
        <f t="shared" si="260"/>
        <v/>
      </c>
      <c r="L3298" s="7" t="str">
        <f t="shared" si="261"/>
        <v/>
      </c>
      <c r="M3298" s="7" t="str">
        <f t="shared" si="258"/>
        <v/>
      </c>
      <c r="N3298" s="7" t="str">
        <f t="shared" si="262"/>
        <v/>
      </c>
      <c r="O3298" s="8"/>
      <c r="P3298" s="26"/>
      <c r="S3298" s="10" t="str">
        <f t="shared" si="259"/>
        <v/>
      </c>
    </row>
    <row r="3299" spans="5:19" x14ac:dyDescent="0.3">
      <c r="E3299" s="9" t="str">
        <f>IF(DADOS!C3299="","",DADOS!C3299)</f>
        <v/>
      </c>
      <c r="F3299" s="9" t="str">
        <f>IF(DADOS!E3299="","",DADOS!E3299)</f>
        <v/>
      </c>
      <c r="G3299" s="9" t="str">
        <f>IF(DADOS!F3299="","",DADOS!F3299)</f>
        <v/>
      </c>
      <c r="K3299" s="6" t="str">
        <f t="shared" si="260"/>
        <v/>
      </c>
      <c r="L3299" s="7" t="str">
        <f t="shared" si="261"/>
        <v/>
      </c>
      <c r="M3299" s="7" t="str">
        <f t="shared" si="258"/>
        <v/>
      </c>
      <c r="N3299" s="7" t="str">
        <f t="shared" si="262"/>
        <v/>
      </c>
      <c r="O3299" s="8"/>
      <c r="P3299" s="26"/>
      <c r="S3299" s="10" t="str">
        <f t="shared" si="259"/>
        <v/>
      </c>
    </row>
    <row r="3300" spans="5:19" x14ac:dyDescent="0.3">
      <c r="E3300" s="9" t="str">
        <f>IF(DADOS!C3300="","",DADOS!C3300)</f>
        <v/>
      </c>
      <c r="F3300" s="9" t="str">
        <f>IF(DADOS!E3300="","",DADOS!E3300)</f>
        <v/>
      </c>
      <c r="G3300" s="9" t="str">
        <f>IF(DADOS!F3300="","",DADOS!F3300)</f>
        <v/>
      </c>
      <c r="K3300" s="6" t="str">
        <f t="shared" si="260"/>
        <v/>
      </c>
      <c r="L3300" s="7" t="str">
        <f t="shared" si="261"/>
        <v/>
      </c>
      <c r="M3300" s="7" t="str">
        <f t="shared" si="258"/>
        <v/>
      </c>
      <c r="N3300" s="7" t="str">
        <f t="shared" si="262"/>
        <v/>
      </c>
      <c r="O3300" s="8"/>
      <c r="P3300" s="26"/>
      <c r="S3300" s="10" t="str">
        <f t="shared" si="259"/>
        <v/>
      </c>
    </row>
    <row r="3301" spans="5:19" x14ac:dyDescent="0.3">
      <c r="E3301" s="9" t="str">
        <f>IF(DADOS!C3301="","",DADOS!C3301)</f>
        <v/>
      </c>
      <c r="F3301" s="9" t="str">
        <f>IF(DADOS!E3301="","",DADOS!E3301)</f>
        <v/>
      </c>
      <c r="G3301" s="9" t="str">
        <f>IF(DADOS!F3301="","",DADOS!F3301)</f>
        <v/>
      </c>
      <c r="K3301" s="6" t="str">
        <f t="shared" si="260"/>
        <v/>
      </c>
      <c r="L3301" s="7" t="str">
        <f t="shared" si="261"/>
        <v/>
      </c>
      <c r="M3301" s="7" t="str">
        <f t="shared" si="258"/>
        <v/>
      </c>
      <c r="N3301" s="7" t="str">
        <f t="shared" si="262"/>
        <v/>
      </c>
      <c r="O3301" s="8"/>
      <c r="P3301" s="26"/>
      <c r="S3301" s="10" t="str">
        <f t="shared" si="259"/>
        <v/>
      </c>
    </row>
    <row r="3302" spans="5:19" x14ac:dyDescent="0.3">
      <c r="E3302" s="9" t="str">
        <f>IF(DADOS!C3302="","",DADOS!C3302)</f>
        <v/>
      </c>
      <c r="F3302" s="9" t="str">
        <f>IF(DADOS!E3302="","",DADOS!E3302)</f>
        <v/>
      </c>
      <c r="G3302" s="9" t="str">
        <f>IF(DADOS!F3302="","",DADOS!F3302)</f>
        <v/>
      </c>
      <c r="K3302" s="6" t="str">
        <f t="shared" si="260"/>
        <v/>
      </c>
      <c r="L3302" s="7" t="str">
        <f t="shared" si="261"/>
        <v/>
      </c>
      <c r="M3302" s="7" t="str">
        <f t="shared" si="258"/>
        <v/>
      </c>
      <c r="N3302" s="7" t="str">
        <f t="shared" si="262"/>
        <v/>
      </c>
      <c r="O3302" s="8"/>
      <c r="P3302" s="26"/>
      <c r="S3302" s="10" t="str">
        <f t="shared" si="259"/>
        <v/>
      </c>
    </row>
    <row r="3303" spans="5:19" x14ac:dyDescent="0.3">
      <c r="E3303" s="9" t="str">
        <f>IF(DADOS!C3303="","",DADOS!C3303)</f>
        <v/>
      </c>
      <c r="F3303" s="9" t="str">
        <f>IF(DADOS!E3303="","",DADOS!E3303)</f>
        <v/>
      </c>
      <c r="G3303" s="9" t="str">
        <f>IF(DADOS!F3303="","",DADOS!F3303)</f>
        <v/>
      </c>
      <c r="K3303" s="6" t="str">
        <f t="shared" si="260"/>
        <v/>
      </c>
      <c r="L3303" s="7" t="str">
        <f t="shared" si="261"/>
        <v/>
      </c>
      <c r="M3303" s="7" t="str">
        <f t="shared" si="258"/>
        <v/>
      </c>
      <c r="N3303" s="7" t="str">
        <f t="shared" si="262"/>
        <v/>
      </c>
      <c r="O3303" s="8"/>
      <c r="P3303" s="26"/>
      <c r="S3303" s="10" t="str">
        <f t="shared" si="259"/>
        <v/>
      </c>
    </row>
    <row r="3304" spans="5:19" x14ac:dyDescent="0.3">
      <c r="E3304" s="9" t="str">
        <f>IF(DADOS!C3304="","",DADOS!C3304)</f>
        <v/>
      </c>
      <c r="F3304" s="9" t="str">
        <f>IF(DADOS!E3304="","",DADOS!E3304)</f>
        <v/>
      </c>
      <c r="G3304" s="9" t="str">
        <f>IF(DADOS!F3304="","",DADOS!F3304)</f>
        <v/>
      </c>
      <c r="K3304" s="6" t="str">
        <f t="shared" si="260"/>
        <v/>
      </c>
      <c r="L3304" s="7" t="str">
        <f t="shared" si="261"/>
        <v/>
      </c>
      <c r="M3304" s="7" t="str">
        <f t="shared" si="258"/>
        <v/>
      </c>
      <c r="N3304" s="7" t="str">
        <f t="shared" si="262"/>
        <v/>
      </c>
      <c r="O3304" s="8"/>
      <c r="P3304" s="26"/>
      <c r="S3304" s="10" t="str">
        <f t="shared" si="259"/>
        <v/>
      </c>
    </row>
    <row r="3305" spans="5:19" x14ac:dyDescent="0.3">
      <c r="E3305" s="9" t="str">
        <f>IF(DADOS!C3305="","",DADOS!C3305)</f>
        <v/>
      </c>
      <c r="F3305" s="9" t="str">
        <f>IF(DADOS!E3305="","",DADOS!E3305)</f>
        <v/>
      </c>
      <c r="G3305" s="9" t="str">
        <f>IF(DADOS!F3305="","",DADOS!F3305)</f>
        <v/>
      </c>
      <c r="K3305" s="6" t="str">
        <f t="shared" si="260"/>
        <v/>
      </c>
      <c r="L3305" s="7" t="str">
        <f t="shared" si="261"/>
        <v/>
      </c>
      <c r="M3305" s="7" t="str">
        <f t="shared" si="258"/>
        <v/>
      </c>
      <c r="N3305" s="7" t="str">
        <f t="shared" si="262"/>
        <v/>
      </c>
      <c r="O3305" s="8"/>
      <c r="P3305" s="26"/>
      <c r="S3305" s="10" t="str">
        <f t="shared" si="259"/>
        <v/>
      </c>
    </row>
    <row r="3306" spans="5:19" x14ac:dyDescent="0.3">
      <c r="E3306" s="9" t="str">
        <f>IF(DADOS!C3306="","",DADOS!C3306)</f>
        <v/>
      </c>
      <c r="F3306" s="9" t="str">
        <f>IF(DADOS!E3306="","",DADOS!E3306)</f>
        <v/>
      </c>
      <c r="G3306" s="9" t="str">
        <f>IF(DADOS!F3306="","",DADOS!F3306)</f>
        <v/>
      </c>
      <c r="K3306" s="6" t="str">
        <f t="shared" si="260"/>
        <v/>
      </c>
      <c r="L3306" s="7" t="str">
        <f t="shared" si="261"/>
        <v/>
      </c>
      <c r="M3306" s="7" t="str">
        <f t="shared" si="258"/>
        <v/>
      </c>
      <c r="N3306" s="7" t="str">
        <f t="shared" si="262"/>
        <v/>
      </c>
      <c r="O3306" s="8"/>
      <c r="P3306" s="26"/>
      <c r="S3306" s="10" t="str">
        <f t="shared" si="259"/>
        <v/>
      </c>
    </row>
    <row r="3307" spans="5:19" x14ac:dyDescent="0.3">
      <c r="E3307" s="9" t="str">
        <f>IF(DADOS!C3307="","",DADOS!C3307)</f>
        <v/>
      </c>
      <c r="F3307" s="9" t="str">
        <f>IF(DADOS!E3307="","",DADOS!E3307)</f>
        <v/>
      </c>
      <c r="G3307" s="9" t="str">
        <f>IF(DADOS!F3307="","",DADOS!F3307)</f>
        <v/>
      </c>
      <c r="K3307" s="6" t="str">
        <f t="shared" si="260"/>
        <v/>
      </c>
      <c r="L3307" s="7" t="str">
        <f t="shared" si="261"/>
        <v/>
      </c>
      <c r="M3307" s="7" t="str">
        <f t="shared" si="258"/>
        <v/>
      </c>
      <c r="N3307" s="7" t="str">
        <f t="shared" si="262"/>
        <v/>
      </c>
      <c r="O3307" s="8"/>
      <c r="P3307" s="26"/>
      <c r="S3307" s="10" t="str">
        <f t="shared" si="259"/>
        <v/>
      </c>
    </row>
    <row r="3308" spans="5:19" x14ac:dyDescent="0.3">
      <c r="E3308" s="9" t="str">
        <f>IF(DADOS!C3308="","",DADOS!C3308)</f>
        <v/>
      </c>
      <c r="F3308" s="9" t="str">
        <f>IF(DADOS!E3308="","",DADOS!E3308)</f>
        <v/>
      </c>
      <c r="G3308" s="9" t="str">
        <f>IF(DADOS!F3308="","",DADOS!F3308)</f>
        <v/>
      </c>
      <c r="K3308" s="6" t="str">
        <f t="shared" si="260"/>
        <v/>
      </c>
      <c r="L3308" s="7" t="str">
        <f t="shared" si="261"/>
        <v/>
      </c>
      <c r="M3308" s="7" t="str">
        <f t="shared" si="258"/>
        <v/>
      </c>
      <c r="N3308" s="7" t="str">
        <f t="shared" si="262"/>
        <v/>
      </c>
      <c r="O3308" s="8"/>
      <c r="P3308" s="26"/>
      <c r="S3308" s="10" t="str">
        <f t="shared" si="259"/>
        <v/>
      </c>
    </row>
    <row r="3309" spans="5:19" x14ac:dyDescent="0.3">
      <c r="E3309" s="9" t="str">
        <f>IF(DADOS!C3309="","",DADOS!C3309)</f>
        <v/>
      </c>
      <c r="F3309" s="9" t="str">
        <f>IF(DADOS!E3309="","",DADOS!E3309)</f>
        <v/>
      </c>
      <c r="G3309" s="9" t="str">
        <f>IF(DADOS!F3309="","",DADOS!F3309)</f>
        <v/>
      </c>
      <c r="K3309" s="6" t="str">
        <f t="shared" si="260"/>
        <v/>
      </c>
      <c r="L3309" s="7" t="str">
        <f t="shared" si="261"/>
        <v/>
      </c>
      <c r="M3309" s="7" t="str">
        <f t="shared" si="258"/>
        <v/>
      </c>
      <c r="N3309" s="7" t="str">
        <f t="shared" si="262"/>
        <v/>
      </c>
      <c r="O3309" s="8"/>
      <c r="P3309" s="26"/>
      <c r="S3309" s="10" t="str">
        <f t="shared" si="259"/>
        <v/>
      </c>
    </row>
    <row r="3310" spans="5:19" x14ac:dyDescent="0.3">
      <c r="E3310" s="9" t="str">
        <f>IF(DADOS!C3310="","",DADOS!C3310)</f>
        <v/>
      </c>
      <c r="F3310" s="9" t="str">
        <f>IF(DADOS!E3310="","",DADOS!E3310)</f>
        <v/>
      </c>
      <c r="G3310" s="9" t="str">
        <f>IF(DADOS!F3310="","",DADOS!F3310)</f>
        <v/>
      </c>
      <c r="K3310" s="6" t="str">
        <f t="shared" si="260"/>
        <v/>
      </c>
      <c r="L3310" s="7" t="str">
        <f t="shared" si="261"/>
        <v/>
      </c>
      <c r="M3310" s="7" t="str">
        <f t="shared" si="258"/>
        <v/>
      </c>
      <c r="N3310" s="7" t="str">
        <f t="shared" si="262"/>
        <v/>
      </c>
      <c r="O3310" s="8"/>
      <c r="P3310" s="26"/>
      <c r="S3310" s="10" t="str">
        <f t="shared" si="259"/>
        <v/>
      </c>
    </row>
    <row r="3311" spans="5:19" x14ac:dyDescent="0.3">
      <c r="E3311" s="9" t="str">
        <f>IF(DADOS!C3311="","",DADOS!C3311)</f>
        <v/>
      </c>
      <c r="F3311" s="9" t="str">
        <f>IF(DADOS!E3311="","",DADOS!E3311)</f>
        <v/>
      </c>
      <c r="G3311" s="9" t="str">
        <f>IF(DADOS!F3311="","",DADOS!F3311)</f>
        <v/>
      </c>
      <c r="K3311" s="6" t="str">
        <f t="shared" si="260"/>
        <v/>
      </c>
      <c r="L3311" s="7" t="str">
        <f t="shared" si="261"/>
        <v/>
      </c>
      <c r="M3311" s="7" t="str">
        <f t="shared" si="258"/>
        <v/>
      </c>
      <c r="N3311" s="7" t="str">
        <f t="shared" si="262"/>
        <v/>
      </c>
      <c r="O3311" s="8"/>
      <c r="P3311" s="26"/>
      <c r="S3311" s="10" t="str">
        <f t="shared" si="259"/>
        <v/>
      </c>
    </row>
    <row r="3312" spans="5:19" x14ac:dyDescent="0.3">
      <c r="E3312" s="9" t="str">
        <f>IF(DADOS!C3312="","",DADOS!C3312)</f>
        <v/>
      </c>
      <c r="F3312" s="9" t="str">
        <f>IF(DADOS!E3312="","",DADOS!E3312)</f>
        <v/>
      </c>
      <c r="G3312" s="9" t="str">
        <f>IF(DADOS!F3312="","",DADOS!F3312)</f>
        <v/>
      </c>
      <c r="K3312" s="6" t="str">
        <f t="shared" si="260"/>
        <v/>
      </c>
      <c r="L3312" s="7" t="str">
        <f t="shared" si="261"/>
        <v/>
      </c>
      <c r="M3312" s="7" t="str">
        <f t="shared" si="258"/>
        <v/>
      </c>
      <c r="N3312" s="7" t="str">
        <f t="shared" si="262"/>
        <v/>
      </c>
      <c r="O3312" s="8"/>
      <c r="P3312" s="26"/>
      <c r="S3312" s="10" t="str">
        <f t="shared" si="259"/>
        <v/>
      </c>
    </row>
    <row r="3313" spans="5:19" x14ac:dyDescent="0.3">
      <c r="E3313" s="9" t="str">
        <f>IF(DADOS!C3313="","",DADOS!C3313)</f>
        <v/>
      </c>
      <c r="F3313" s="9" t="str">
        <f>IF(DADOS!E3313="","",DADOS!E3313)</f>
        <v/>
      </c>
      <c r="G3313" s="9" t="str">
        <f>IF(DADOS!F3313="","",DADOS!F3313)</f>
        <v/>
      </c>
      <c r="K3313" s="6" t="str">
        <f t="shared" si="260"/>
        <v/>
      </c>
      <c r="L3313" s="7" t="str">
        <f t="shared" si="261"/>
        <v/>
      </c>
      <c r="M3313" s="7" t="str">
        <f t="shared" si="258"/>
        <v/>
      </c>
      <c r="N3313" s="7" t="str">
        <f t="shared" si="262"/>
        <v/>
      </c>
      <c r="O3313" s="8"/>
      <c r="P3313" s="26"/>
      <c r="S3313" s="10" t="str">
        <f t="shared" si="259"/>
        <v/>
      </c>
    </row>
    <row r="3314" spans="5:19" x14ac:dyDescent="0.3">
      <c r="E3314" s="9" t="str">
        <f>IF(DADOS!C3314="","",DADOS!C3314)</f>
        <v/>
      </c>
      <c r="F3314" s="9" t="str">
        <f>IF(DADOS!E3314="","",DADOS!E3314)</f>
        <v/>
      </c>
      <c r="G3314" s="9" t="str">
        <f>IF(DADOS!F3314="","",DADOS!F3314)</f>
        <v/>
      </c>
      <c r="K3314" s="6" t="str">
        <f t="shared" si="260"/>
        <v/>
      </c>
      <c r="L3314" s="7" t="str">
        <f t="shared" si="261"/>
        <v/>
      </c>
      <c r="M3314" s="7" t="str">
        <f t="shared" si="258"/>
        <v/>
      </c>
      <c r="N3314" s="7" t="str">
        <f t="shared" si="262"/>
        <v/>
      </c>
      <c r="O3314" s="8"/>
      <c r="P3314" s="26"/>
      <c r="S3314" s="10" t="str">
        <f t="shared" si="259"/>
        <v/>
      </c>
    </row>
    <row r="3315" spans="5:19" x14ac:dyDescent="0.3">
      <c r="E3315" s="9" t="str">
        <f>IF(DADOS!C3315="","",DADOS!C3315)</f>
        <v/>
      </c>
      <c r="F3315" s="9" t="str">
        <f>IF(DADOS!E3315="","",DADOS!E3315)</f>
        <v/>
      </c>
      <c r="G3315" s="9" t="str">
        <f>IF(DADOS!F3315="","",DADOS!F3315)</f>
        <v/>
      </c>
      <c r="K3315" s="6" t="str">
        <f t="shared" si="260"/>
        <v/>
      </c>
      <c r="L3315" s="7" t="str">
        <f t="shared" si="261"/>
        <v/>
      </c>
      <c r="M3315" s="7" t="str">
        <f t="shared" si="258"/>
        <v/>
      </c>
      <c r="N3315" s="7" t="str">
        <f t="shared" si="262"/>
        <v/>
      </c>
      <c r="O3315" s="8"/>
      <c r="P3315" s="26"/>
      <c r="S3315" s="10" t="str">
        <f t="shared" si="259"/>
        <v/>
      </c>
    </row>
    <row r="3316" spans="5:19" x14ac:dyDescent="0.3">
      <c r="E3316" s="9" t="str">
        <f>IF(DADOS!C3316="","",DADOS!C3316)</f>
        <v/>
      </c>
      <c r="F3316" s="9" t="str">
        <f>IF(DADOS!E3316="","",DADOS!E3316)</f>
        <v/>
      </c>
      <c r="G3316" s="9" t="str">
        <f>IF(DADOS!F3316="","",DADOS!F3316)</f>
        <v/>
      </c>
      <c r="K3316" s="6" t="str">
        <f t="shared" si="260"/>
        <v/>
      </c>
      <c r="L3316" s="7" t="str">
        <f t="shared" si="261"/>
        <v/>
      </c>
      <c r="M3316" s="7" t="str">
        <f t="shared" si="258"/>
        <v/>
      </c>
      <c r="N3316" s="7" t="str">
        <f t="shared" si="262"/>
        <v/>
      </c>
      <c r="O3316" s="8"/>
      <c r="P3316" s="26"/>
      <c r="S3316" s="10" t="str">
        <f t="shared" si="259"/>
        <v/>
      </c>
    </row>
    <row r="3317" spans="5:19" x14ac:dyDescent="0.3">
      <c r="E3317" s="9" t="str">
        <f>IF(DADOS!C3317="","",DADOS!C3317)</f>
        <v/>
      </c>
      <c r="F3317" s="9" t="str">
        <f>IF(DADOS!E3317="","",DADOS!E3317)</f>
        <v/>
      </c>
      <c r="G3317" s="9" t="str">
        <f>IF(DADOS!F3317="","",DADOS!F3317)</f>
        <v/>
      </c>
      <c r="K3317" s="6" t="str">
        <f t="shared" si="260"/>
        <v/>
      </c>
      <c r="L3317" s="7" t="str">
        <f t="shared" si="261"/>
        <v/>
      </c>
      <c r="M3317" s="7" t="str">
        <f t="shared" si="258"/>
        <v/>
      </c>
      <c r="N3317" s="7" t="str">
        <f t="shared" si="262"/>
        <v/>
      </c>
      <c r="O3317" s="8"/>
      <c r="P3317" s="26"/>
      <c r="S3317" s="10" t="str">
        <f t="shared" si="259"/>
        <v/>
      </c>
    </row>
    <row r="3318" spans="5:19" x14ac:dyDescent="0.3">
      <c r="E3318" s="9" t="str">
        <f>IF(DADOS!C3318="","",DADOS!C3318)</f>
        <v/>
      </c>
      <c r="F3318" s="9" t="str">
        <f>IF(DADOS!E3318="","",DADOS!E3318)</f>
        <v/>
      </c>
      <c r="G3318" s="9" t="str">
        <f>IF(DADOS!F3318="","",DADOS!F3318)</f>
        <v/>
      </c>
      <c r="K3318" s="6" t="str">
        <f t="shared" si="260"/>
        <v/>
      </c>
      <c r="L3318" s="7" t="str">
        <f t="shared" si="261"/>
        <v/>
      </c>
      <c r="M3318" s="7" t="str">
        <f t="shared" si="258"/>
        <v/>
      </c>
      <c r="N3318" s="7" t="str">
        <f t="shared" si="262"/>
        <v/>
      </c>
      <c r="O3318" s="8"/>
      <c r="P3318" s="26"/>
      <c r="S3318" s="10" t="str">
        <f t="shared" si="259"/>
        <v/>
      </c>
    </row>
    <row r="3319" spans="5:19" x14ac:dyDescent="0.3">
      <c r="E3319" s="9" t="str">
        <f>IF(DADOS!C3319="","",DADOS!C3319)</f>
        <v/>
      </c>
      <c r="F3319" s="9" t="str">
        <f>IF(DADOS!E3319="","",DADOS!E3319)</f>
        <v/>
      </c>
      <c r="G3319" s="9" t="str">
        <f>IF(DADOS!F3319="","",DADOS!F3319)</f>
        <v/>
      </c>
      <c r="K3319" s="6" t="str">
        <f t="shared" si="260"/>
        <v/>
      </c>
      <c r="L3319" s="7" t="str">
        <f t="shared" si="261"/>
        <v/>
      </c>
      <c r="M3319" s="7" t="str">
        <f t="shared" si="258"/>
        <v/>
      </c>
      <c r="N3319" s="7" t="str">
        <f t="shared" si="262"/>
        <v/>
      </c>
      <c r="O3319" s="8"/>
      <c r="P3319" s="26"/>
      <c r="S3319" s="10" t="str">
        <f t="shared" si="259"/>
        <v/>
      </c>
    </row>
    <row r="3320" spans="5:19" x14ac:dyDescent="0.3">
      <c r="E3320" s="9" t="str">
        <f>IF(DADOS!C3320="","",DADOS!C3320)</f>
        <v/>
      </c>
      <c r="F3320" s="9" t="str">
        <f>IF(DADOS!E3320="","",DADOS!E3320)</f>
        <v/>
      </c>
      <c r="G3320" s="9" t="str">
        <f>IF(DADOS!F3320="","",DADOS!F3320)</f>
        <v/>
      </c>
      <c r="K3320" s="6" t="str">
        <f t="shared" si="260"/>
        <v/>
      </c>
      <c r="L3320" s="7" t="str">
        <f t="shared" si="261"/>
        <v/>
      </c>
      <c r="M3320" s="7" t="str">
        <f t="shared" si="258"/>
        <v/>
      </c>
      <c r="N3320" s="7" t="str">
        <f t="shared" si="262"/>
        <v/>
      </c>
      <c r="O3320" s="8"/>
      <c r="P3320" s="26"/>
      <c r="S3320" s="10" t="str">
        <f t="shared" si="259"/>
        <v/>
      </c>
    </row>
    <row r="3321" spans="5:19" x14ac:dyDescent="0.3">
      <c r="E3321" s="9" t="str">
        <f>IF(DADOS!C3321="","",DADOS!C3321)</f>
        <v/>
      </c>
      <c r="F3321" s="9" t="str">
        <f>IF(DADOS!E3321="","",DADOS!E3321)</f>
        <v/>
      </c>
      <c r="G3321" s="9" t="str">
        <f>IF(DADOS!F3321="","",DADOS!F3321)</f>
        <v/>
      </c>
      <c r="K3321" s="6" t="str">
        <f t="shared" si="260"/>
        <v/>
      </c>
      <c r="L3321" s="7" t="str">
        <f t="shared" si="261"/>
        <v/>
      </c>
      <c r="M3321" s="7" t="str">
        <f t="shared" si="258"/>
        <v/>
      </c>
      <c r="N3321" s="7" t="str">
        <f t="shared" si="262"/>
        <v/>
      </c>
      <c r="O3321" s="8"/>
      <c r="P3321" s="26"/>
      <c r="S3321" s="10" t="str">
        <f t="shared" si="259"/>
        <v/>
      </c>
    </row>
    <row r="3322" spans="5:19" x14ac:dyDescent="0.3">
      <c r="E3322" s="9" t="str">
        <f>IF(DADOS!C3322="","",DADOS!C3322)</f>
        <v/>
      </c>
      <c r="F3322" s="9" t="str">
        <f>IF(DADOS!E3322="","",DADOS!E3322)</f>
        <v/>
      </c>
      <c r="G3322" s="9" t="str">
        <f>IF(DADOS!F3322="","",DADOS!F3322)</f>
        <v/>
      </c>
      <c r="K3322" s="6" t="str">
        <f t="shared" si="260"/>
        <v/>
      </c>
      <c r="L3322" s="7" t="str">
        <f t="shared" si="261"/>
        <v/>
      </c>
      <c r="M3322" s="7" t="str">
        <f t="shared" si="258"/>
        <v/>
      </c>
      <c r="N3322" s="7" t="str">
        <f t="shared" si="262"/>
        <v/>
      </c>
      <c r="O3322" s="8"/>
      <c r="P3322" s="26"/>
      <c r="S3322" s="10" t="str">
        <f t="shared" si="259"/>
        <v/>
      </c>
    </row>
    <row r="3323" spans="5:19" x14ac:dyDescent="0.3">
      <c r="E3323" s="9" t="str">
        <f>IF(DADOS!C3323="","",DADOS!C3323)</f>
        <v/>
      </c>
      <c r="F3323" s="9" t="str">
        <f>IF(DADOS!E3323="","",DADOS!E3323)</f>
        <v/>
      </c>
      <c r="G3323" s="9" t="str">
        <f>IF(DADOS!F3323="","",DADOS!F3323)</f>
        <v/>
      </c>
      <c r="K3323" s="6" t="str">
        <f t="shared" si="260"/>
        <v/>
      </c>
      <c r="L3323" s="7" t="str">
        <f t="shared" si="261"/>
        <v/>
      </c>
      <c r="M3323" s="7" t="str">
        <f t="shared" si="258"/>
        <v/>
      </c>
      <c r="N3323" s="7" t="str">
        <f t="shared" si="262"/>
        <v/>
      </c>
      <c r="O3323" s="8"/>
      <c r="P3323" s="26"/>
      <c r="S3323" s="10" t="str">
        <f t="shared" si="259"/>
        <v/>
      </c>
    </row>
    <row r="3324" spans="5:19" x14ac:dyDescent="0.3">
      <c r="E3324" s="9" t="str">
        <f>IF(DADOS!C3324="","",DADOS!C3324)</f>
        <v/>
      </c>
      <c r="F3324" s="9" t="str">
        <f>IF(DADOS!E3324="","",DADOS!E3324)</f>
        <v/>
      </c>
      <c r="G3324" s="9" t="str">
        <f>IF(DADOS!F3324="","",DADOS!F3324)</f>
        <v/>
      </c>
      <c r="K3324" s="6" t="str">
        <f t="shared" si="260"/>
        <v/>
      </c>
      <c r="L3324" s="7" t="str">
        <f t="shared" si="261"/>
        <v/>
      </c>
      <c r="M3324" s="7" t="str">
        <f t="shared" si="258"/>
        <v/>
      </c>
      <c r="N3324" s="7" t="str">
        <f t="shared" si="262"/>
        <v/>
      </c>
      <c r="O3324" s="8"/>
      <c r="P3324" s="26"/>
      <c r="S3324" s="10" t="str">
        <f t="shared" si="259"/>
        <v/>
      </c>
    </row>
    <row r="3325" spans="5:19" x14ac:dyDescent="0.3">
      <c r="E3325" s="9" t="str">
        <f>IF(DADOS!C3325="","",DADOS!C3325)</f>
        <v/>
      </c>
      <c r="F3325" s="9" t="str">
        <f>IF(DADOS!E3325="","",DADOS!E3325)</f>
        <v/>
      </c>
      <c r="G3325" s="9" t="str">
        <f>IF(DADOS!F3325="","",DADOS!F3325)</f>
        <v/>
      </c>
      <c r="K3325" s="6" t="str">
        <f t="shared" si="260"/>
        <v/>
      </c>
      <c r="L3325" s="7" t="str">
        <f t="shared" si="261"/>
        <v/>
      </c>
      <c r="M3325" s="7" t="str">
        <f t="shared" si="258"/>
        <v/>
      </c>
      <c r="N3325" s="7" t="str">
        <f t="shared" si="262"/>
        <v/>
      </c>
      <c r="O3325" s="8"/>
      <c r="P3325" s="26"/>
      <c r="S3325" s="10" t="str">
        <f t="shared" si="259"/>
        <v/>
      </c>
    </row>
    <row r="3326" spans="5:19" x14ac:dyDescent="0.3">
      <c r="E3326" s="9" t="str">
        <f>IF(DADOS!C3326="","",DADOS!C3326)</f>
        <v/>
      </c>
      <c r="F3326" s="9" t="str">
        <f>IF(DADOS!E3326="","",DADOS!E3326)</f>
        <v/>
      </c>
      <c r="G3326" s="9" t="str">
        <f>IF(DADOS!F3326="","",DADOS!F3326)</f>
        <v/>
      </c>
      <c r="K3326" s="6" t="str">
        <f t="shared" si="260"/>
        <v/>
      </c>
      <c r="L3326" s="7" t="str">
        <f t="shared" si="261"/>
        <v/>
      </c>
      <c r="M3326" s="7" t="str">
        <f t="shared" si="258"/>
        <v/>
      </c>
      <c r="N3326" s="7" t="str">
        <f t="shared" si="262"/>
        <v/>
      </c>
      <c r="O3326" s="8"/>
      <c r="P3326" s="26"/>
      <c r="S3326" s="10" t="str">
        <f t="shared" si="259"/>
        <v/>
      </c>
    </row>
    <row r="3327" spans="5:19" x14ac:dyDescent="0.3">
      <c r="E3327" s="9" t="str">
        <f>IF(DADOS!C3327="","",DADOS!C3327)</f>
        <v/>
      </c>
      <c r="F3327" s="9" t="str">
        <f>IF(DADOS!E3327="","",DADOS!E3327)</f>
        <v/>
      </c>
      <c r="G3327" s="9" t="str">
        <f>IF(DADOS!F3327="","",DADOS!F3327)</f>
        <v/>
      </c>
      <c r="K3327" s="6" t="str">
        <f t="shared" si="260"/>
        <v/>
      </c>
      <c r="L3327" s="7" t="str">
        <f t="shared" si="261"/>
        <v/>
      </c>
      <c r="M3327" s="7" t="str">
        <f t="shared" si="258"/>
        <v/>
      </c>
      <c r="N3327" s="7" t="str">
        <f t="shared" si="262"/>
        <v/>
      </c>
      <c r="O3327" s="8"/>
      <c r="P3327" s="26"/>
      <c r="S3327" s="10" t="str">
        <f t="shared" si="259"/>
        <v/>
      </c>
    </row>
    <row r="3328" spans="5:19" x14ac:dyDescent="0.3">
      <c r="E3328" s="9" t="str">
        <f>IF(DADOS!C3328="","",DADOS!C3328)</f>
        <v/>
      </c>
      <c r="F3328" s="9" t="str">
        <f>IF(DADOS!E3328="","",DADOS!E3328)</f>
        <v/>
      </c>
      <c r="G3328" s="9" t="str">
        <f>IF(DADOS!F3328="","",DADOS!F3328)</f>
        <v/>
      </c>
      <c r="K3328" s="6" t="str">
        <f t="shared" si="260"/>
        <v/>
      </c>
      <c r="L3328" s="7" t="str">
        <f t="shared" si="261"/>
        <v/>
      </c>
      <c r="M3328" s="7" t="str">
        <f t="shared" si="258"/>
        <v/>
      </c>
      <c r="N3328" s="7" t="str">
        <f t="shared" si="262"/>
        <v/>
      </c>
      <c r="O3328" s="8"/>
      <c r="P3328" s="26"/>
      <c r="S3328" s="10" t="str">
        <f t="shared" si="259"/>
        <v/>
      </c>
    </row>
    <row r="3329" spans="5:19" x14ac:dyDescent="0.3">
      <c r="E3329" s="9" t="str">
        <f>IF(DADOS!C3329="","",DADOS!C3329)</f>
        <v/>
      </c>
      <c r="F3329" s="9" t="str">
        <f>IF(DADOS!E3329="","",DADOS!E3329)</f>
        <v/>
      </c>
      <c r="G3329" s="9" t="str">
        <f>IF(DADOS!F3329="","",DADOS!F3329)</f>
        <v/>
      </c>
      <c r="K3329" s="6" t="str">
        <f t="shared" si="260"/>
        <v/>
      </c>
      <c r="L3329" s="7" t="str">
        <f t="shared" si="261"/>
        <v/>
      </c>
      <c r="M3329" s="7" t="str">
        <f t="shared" si="258"/>
        <v/>
      </c>
      <c r="N3329" s="7" t="str">
        <f t="shared" si="262"/>
        <v/>
      </c>
      <c r="O3329" s="8"/>
      <c r="P3329" s="26"/>
      <c r="S3329" s="10" t="str">
        <f t="shared" si="259"/>
        <v/>
      </c>
    </row>
    <row r="3330" spans="5:19" x14ac:dyDescent="0.3">
      <c r="E3330" s="9" t="str">
        <f>IF(DADOS!C3330="","",DADOS!C3330)</f>
        <v/>
      </c>
      <c r="F3330" s="9" t="str">
        <f>IF(DADOS!E3330="","",DADOS!E3330)</f>
        <v/>
      </c>
      <c r="G3330" s="9" t="str">
        <f>IF(DADOS!F3330="","",DADOS!F3330)</f>
        <v/>
      </c>
      <c r="K3330" s="6" t="str">
        <f t="shared" si="260"/>
        <v/>
      </c>
      <c r="L3330" s="7" t="str">
        <f t="shared" si="261"/>
        <v/>
      </c>
      <c r="M3330" s="7" t="str">
        <f t="shared" si="258"/>
        <v/>
      </c>
      <c r="N3330" s="7" t="str">
        <f t="shared" si="262"/>
        <v/>
      </c>
      <c r="O3330" s="8"/>
      <c r="P3330" s="26"/>
      <c r="S3330" s="10" t="str">
        <f t="shared" si="259"/>
        <v/>
      </c>
    </row>
    <row r="3331" spans="5:19" x14ac:dyDescent="0.3">
      <c r="E3331" s="9" t="str">
        <f>IF(DADOS!C3331="","",DADOS!C3331)</f>
        <v/>
      </c>
      <c r="F3331" s="9" t="str">
        <f>IF(DADOS!E3331="","",DADOS!E3331)</f>
        <v/>
      </c>
      <c r="G3331" s="9" t="str">
        <f>IF(DADOS!F3331="","",DADOS!F3331)</f>
        <v/>
      </c>
      <c r="K3331" s="6" t="str">
        <f t="shared" si="260"/>
        <v/>
      </c>
      <c r="L3331" s="7" t="str">
        <f t="shared" si="261"/>
        <v/>
      </c>
      <c r="M3331" s="7" t="str">
        <f t="shared" ref="M3331:M3394" si="263">IF(L3331="","",L3331*G3331)</f>
        <v/>
      </c>
      <c r="N3331" s="7" t="str">
        <f t="shared" si="262"/>
        <v/>
      </c>
      <c r="O3331" s="8"/>
      <c r="P3331" s="26"/>
      <c r="S3331" s="10" t="str">
        <f t="shared" ref="S3331:S3394" si="264">IF(R3331="","",SUMIFS($N$3:$N$10000,$E$3:$E$10000,R3331))</f>
        <v/>
      </c>
    </row>
    <row r="3332" spans="5:19" x14ac:dyDescent="0.3">
      <c r="E3332" s="9" t="str">
        <f>IF(DADOS!C3332="","",DADOS!C3332)</f>
        <v/>
      </c>
      <c r="F3332" s="9" t="str">
        <f>IF(DADOS!E3332="","",DADOS!E3332)</f>
        <v/>
      </c>
      <c r="G3332" s="9" t="str">
        <f>IF(DADOS!F3332="","",DADOS!F3332)</f>
        <v/>
      </c>
      <c r="K3332" s="6" t="str">
        <f t="shared" ref="K3332:K3395" si="265">IF(F3332="","",F3332/PI())</f>
        <v/>
      </c>
      <c r="L3332" s="7" t="str">
        <f t="shared" ref="L3332:L3395" si="266">IF(K3332="","",(PI()*K3332^2)/40000)</f>
        <v/>
      </c>
      <c r="M3332" s="7" t="str">
        <f t="shared" si="263"/>
        <v/>
      </c>
      <c r="N3332" s="7" t="str">
        <f t="shared" ref="N3332:N3395" si="267">IF(M3332="","",M3332*N$1)</f>
        <v/>
      </c>
      <c r="O3332" s="8"/>
      <c r="P3332" s="26"/>
      <c r="S3332" s="10" t="str">
        <f t="shared" si="264"/>
        <v/>
      </c>
    </row>
    <row r="3333" spans="5:19" x14ac:dyDescent="0.3">
      <c r="E3333" s="9" t="str">
        <f>IF(DADOS!C3333="","",DADOS!C3333)</f>
        <v/>
      </c>
      <c r="F3333" s="9" t="str">
        <f>IF(DADOS!E3333="","",DADOS!E3333)</f>
        <v/>
      </c>
      <c r="G3333" s="9" t="str">
        <f>IF(DADOS!F3333="","",DADOS!F3333)</f>
        <v/>
      </c>
      <c r="K3333" s="6" t="str">
        <f t="shared" si="265"/>
        <v/>
      </c>
      <c r="L3333" s="7" t="str">
        <f t="shared" si="266"/>
        <v/>
      </c>
      <c r="M3333" s="7" t="str">
        <f t="shared" si="263"/>
        <v/>
      </c>
      <c r="N3333" s="7" t="str">
        <f t="shared" si="267"/>
        <v/>
      </c>
      <c r="O3333" s="8"/>
      <c r="P3333" s="26"/>
      <c r="S3333" s="10" t="str">
        <f t="shared" si="264"/>
        <v/>
      </c>
    </row>
    <row r="3334" spans="5:19" x14ac:dyDescent="0.3">
      <c r="E3334" s="9" t="str">
        <f>IF(DADOS!C3334="","",DADOS!C3334)</f>
        <v/>
      </c>
      <c r="F3334" s="9" t="str">
        <f>IF(DADOS!E3334="","",DADOS!E3334)</f>
        <v/>
      </c>
      <c r="G3334" s="9" t="str">
        <f>IF(DADOS!F3334="","",DADOS!F3334)</f>
        <v/>
      </c>
      <c r="K3334" s="6" t="str">
        <f t="shared" si="265"/>
        <v/>
      </c>
      <c r="L3334" s="7" t="str">
        <f t="shared" si="266"/>
        <v/>
      </c>
      <c r="M3334" s="7" t="str">
        <f t="shared" si="263"/>
        <v/>
      </c>
      <c r="N3334" s="7" t="str">
        <f t="shared" si="267"/>
        <v/>
      </c>
      <c r="O3334" s="8"/>
      <c r="P3334" s="26"/>
      <c r="S3334" s="10" t="str">
        <f t="shared" si="264"/>
        <v/>
      </c>
    </row>
    <row r="3335" spans="5:19" x14ac:dyDescent="0.3">
      <c r="E3335" s="9" t="str">
        <f>IF(DADOS!C3335="","",DADOS!C3335)</f>
        <v/>
      </c>
      <c r="F3335" s="9" t="str">
        <f>IF(DADOS!E3335="","",DADOS!E3335)</f>
        <v/>
      </c>
      <c r="G3335" s="9" t="str">
        <f>IF(DADOS!F3335="","",DADOS!F3335)</f>
        <v/>
      </c>
      <c r="K3335" s="6" t="str">
        <f t="shared" si="265"/>
        <v/>
      </c>
      <c r="L3335" s="7" t="str">
        <f t="shared" si="266"/>
        <v/>
      </c>
      <c r="M3335" s="7" t="str">
        <f t="shared" si="263"/>
        <v/>
      </c>
      <c r="N3335" s="7" t="str">
        <f t="shared" si="267"/>
        <v/>
      </c>
      <c r="O3335" s="8"/>
      <c r="P3335" s="26"/>
      <c r="S3335" s="10" t="str">
        <f t="shared" si="264"/>
        <v/>
      </c>
    </row>
    <row r="3336" spans="5:19" x14ac:dyDescent="0.3">
      <c r="E3336" s="9" t="str">
        <f>IF(DADOS!C3336="","",DADOS!C3336)</f>
        <v/>
      </c>
      <c r="F3336" s="9" t="str">
        <f>IF(DADOS!E3336="","",DADOS!E3336)</f>
        <v/>
      </c>
      <c r="G3336" s="9" t="str">
        <f>IF(DADOS!F3336="","",DADOS!F3336)</f>
        <v/>
      </c>
      <c r="K3336" s="6" t="str">
        <f t="shared" si="265"/>
        <v/>
      </c>
      <c r="L3336" s="7" t="str">
        <f t="shared" si="266"/>
        <v/>
      </c>
      <c r="M3336" s="7" t="str">
        <f t="shared" si="263"/>
        <v/>
      </c>
      <c r="N3336" s="7" t="str">
        <f t="shared" si="267"/>
        <v/>
      </c>
      <c r="O3336" s="8"/>
      <c r="P3336" s="26"/>
      <c r="S3336" s="10" t="str">
        <f t="shared" si="264"/>
        <v/>
      </c>
    </row>
    <row r="3337" spans="5:19" x14ac:dyDescent="0.3">
      <c r="E3337" s="9" t="str">
        <f>IF(DADOS!C3337="","",DADOS!C3337)</f>
        <v/>
      </c>
      <c r="F3337" s="9" t="str">
        <f>IF(DADOS!E3337="","",DADOS!E3337)</f>
        <v/>
      </c>
      <c r="G3337" s="9" t="str">
        <f>IF(DADOS!F3337="","",DADOS!F3337)</f>
        <v/>
      </c>
      <c r="K3337" s="6" t="str">
        <f t="shared" si="265"/>
        <v/>
      </c>
      <c r="L3337" s="7" t="str">
        <f t="shared" si="266"/>
        <v/>
      </c>
      <c r="M3337" s="7" t="str">
        <f t="shared" si="263"/>
        <v/>
      </c>
      <c r="N3337" s="7" t="str">
        <f t="shared" si="267"/>
        <v/>
      </c>
      <c r="O3337" s="8"/>
      <c r="P3337" s="26"/>
      <c r="S3337" s="10" t="str">
        <f t="shared" si="264"/>
        <v/>
      </c>
    </row>
    <row r="3338" spans="5:19" x14ac:dyDescent="0.3">
      <c r="E3338" s="9" t="str">
        <f>IF(DADOS!C3338="","",DADOS!C3338)</f>
        <v/>
      </c>
      <c r="F3338" s="9" t="str">
        <f>IF(DADOS!E3338="","",DADOS!E3338)</f>
        <v/>
      </c>
      <c r="G3338" s="9" t="str">
        <f>IF(DADOS!F3338="","",DADOS!F3338)</f>
        <v/>
      </c>
      <c r="K3338" s="6" t="str">
        <f t="shared" si="265"/>
        <v/>
      </c>
      <c r="L3338" s="7" t="str">
        <f t="shared" si="266"/>
        <v/>
      </c>
      <c r="M3338" s="7" t="str">
        <f t="shared" si="263"/>
        <v/>
      </c>
      <c r="N3338" s="7" t="str">
        <f t="shared" si="267"/>
        <v/>
      </c>
      <c r="O3338" s="8"/>
      <c r="P3338" s="26"/>
      <c r="S3338" s="10" t="str">
        <f t="shared" si="264"/>
        <v/>
      </c>
    </row>
    <row r="3339" spans="5:19" x14ac:dyDescent="0.3">
      <c r="E3339" s="9" t="str">
        <f>IF(DADOS!C3339="","",DADOS!C3339)</f>
        <v/>
      </c>
      <c r="F3339" s="9" t="str">
        <f>IF(DADOS!E3339="","",DADOS!E3339)</f>
        <v/>
      </c>
      <c r="G3339" s="9" t="str">
        <f>IF(DADOS!F3339="","",DADOS!F3339)</f>
        <v/>
      </c>
      <c r="K3339" s="6" t="str">
        <f t="shared" si="265"/>
        <v/>
      </c>
      <c r="L3339" s="7" t="str">
        <f t="shared" si="266"/>
        <v/>
      </c>
      <c r="M3339" s="7" t="str">
        <f t="shared" si="263"/>
        <v/>
      </c>
      <c r="N3339" s="7" t="str">
        <f t="shared" si="267"/>
        <v/>
      </c>
      <c r="O3339" s="8"/>
      <c r="P3339" s="26"/>
      <c r="S3339" s="10" t="str">
        <f t="shared" si="264"/>
        <v/>
      </c>
    </row>
    <row r="3340" spans="5:19" x14ac:dyDescent="0.3">
      <c r="E3340" s="9" t="str">
        <f>IF(DADOS!C3340="","",DADOS!C3340)</f>
        <v/>
      </c>
      <c r="F3340" s="9" t="str">
        <f>IF(DADOS!E3340="","",DADOS!E3340)</f>
        <v/>
      </c>
      <c r="G3340" s="9" t="str">
        <f>IF(DADOS!F3340="","",DADOS!F3340)</f>
        <v/>
      </c>
      <c r="K3340" s="6" t="str">
        <f t="shared" si="265"/>
        <v/>
      </c>
      <c r="L3340" s="7" t="str">
        <f t="shared" si="266"/>
        <v/>
      </c>
      <c r="M3340" s="7" t="str">
        <f t="shared" si="263"/>
        <v/>
      </c>
      <c r="N3340" s="7" t="str">
        <f t="shared" si="267"/>
        <v/>
      </c>
      <c r="O3340" s="8"/>
      <c r="P3340" s="26"/>
      <c r="S3340" s="10" t="str">
        <f t="shared" si="264"/>
        <v/>
      </c>
    </row>
    <row r="3341" spans="5:19" x14ac:dyDescent="0.3">
      <c r="E3341" s="9" t="str">
        <f>IF(DADOS!C3341="","",DADOS!C3341)</f>
        <v/>
      </c>
      <c r="F3341" s="9" t="str">
        <f>IF(DADOS!E3341="","",DADOS!E3341)</f>
        <v/>
      </c>
      <c r="G3341" s="9" t="str">
        <f>IF(DADOS!F3341="","",DADOS!F3341)</f>
        <v/>
      </c>
      <c r="K3341" s="6" t="str">
        <f t="shared" si="265"/>
        <v/>
      </c>
      <c r="L3341" s="7" t="str">
        <f t="shared" si="266"/>
        <v/>
      </c>
      <c r="M3341" s="7" t="str">
        <f t="shared" si="263"/>
        <v/>
      </c>
      <c r="N3341" s="7" t="str">
        <f t="shared" si="267"/>
        <v/>
      </c>
      <c r="O3341" s="8"/>
      <c r="P3341" s="26"/>
      <c r="S3341" s="10" t="str">
        <f t="shared" si="264"/>
        <v/>
      </c>
    </row>
    <row r="3342" spans="5:19" x14ac:dyDescent="0.3">
      <c r="E3342" s="9" t="str">
        <f>IF(DADOS!C3342="","",DADOS!C3342)</f>
        <v/>
      </c>
      <c r="F3342" s="9" t="str">
        <f>IF(DADOS!E3342="","",DADOS!E3342)</f>
        <v/>
      </c>
      <c r="G3342" s="9" t="str">
        <f>IF(DADOS!F3342="","",DADOS!F3342)</f>
        <v/>
      </c>
      <c r="K3342" s="6" t="str">
        <f t="shared" si="265"/>
        <v/>
      </c>
      <c r="L3342" s="7" t="str">
        <f t="shared" si="266"/>
        <v/>
      </c>
      <c r="M3342" s="7" t="str">
        <f t="shared" si="263"/>
        <v/>
      </c>
      <c r="N3342" s="7" t="str">
        <f t="shared" si="267"/>
        <v/>
      </c>
      <c r="O3342" s="8"/>
      <c r="P3342" s="26"/>
      <c r="S3342" s="10" t="str">
        <f t="shared" si="264"/>
        <v/>
      </c>
    </row>
    <row r="3343" spans="5:19" x14ac:dyDescent="0.3">
      <c r="E3343" s="9" t="str">
        <f>IF(DADOS!C3343="","",DADOS!C3343)</f>
        <v/>
      </c>
      <c r="F3343" s="9" t="str">
        <f>IF(DADOS!E3343="","",DADOS!E3343)</f>
        <v/>
      </c>
      <c r="G3343" s="9" t="str">
        <f>IF(DADOS!F3343="","",DADOS!F3343)</f>
        <v/>
      </c>
      <c r="K3343" s="6" t="str">
        <f t="shared" si="265"/>
        <v/>
      </c>
      <c r="L3343" s="7" t="str">
        <f t="shared" si="266"/>
        <v/>
      </c>
      <c r="M3343" s="7" t="str">
        <f t="shared" si="263"/>
        <v/>
      </c>
      <c r="N3343" s="7" t="str">
        <f t="shared" si="267"/>
        <v/>
      </c>
      <c r="O3343" s="8"/>
      <c r="P3343" s="26"/>
      <c r="S3343" s="10" t="str">
        <f t="shared" si="264"/>
        <v/>
      </c>
    </row>
    <row r="3344" spans="5:19" x14ac:dyDescent="0.3">
      <c r="E3344" s="9" t="str">
        <f>IF(DADOS!C3344="","",DADOS!C3344)</f>
        <v/>
      </c>
      <c r="F3344" s="9" t="str">
        <f>IF(DADOS!E3344="","",DADOS!E3344)</f>
        <v/>
      </c>
      <c r="G3344" s="9" t="str">
        <f>IF(DADOS!F3344="","",DADOS!F3344)</f>
        <v/>
      </c>
      <c r="K3344" s="6" t="str">
        <f t="shared" si="265"/>
        <v/>
      </c>
      <c r="L3344" s="7" t="str">
        <f t="shared" si="266"/>
        <v/>
      </c>
      <c r="M3344" s="7" t="str">
        <f t="shared" si="263"/>
        <v/>
      </c>
      <c r="N3344" s="7" t="str">
        <f t="shared" si="267"/>
        <v/>
      </c>
      <c r="O3344" s="8"/>
      <c r="P3344" s="26"/>
      <c r="S3344" s="10" t="str">
        <f t="shared" si="264"/>
        <v/>
      </c>
    </row>
    <row r="3345" spans="5:19" x14ac:dyDescent="0.3">
      <c r="E3345" s="9" t="str">
        <f>IF(DADOS!C3345="","",DADOS!C3345)</f>
        <v/>
      </c>
      <c r="F3345" s="9" t="str">
        <f>IF(DADOS!E3345="","",DADOS!E3345)</f>
        <v/>
      </c>
      <c r="G3345" s="9" t="str">
        <f>IF(DADOS!F3345="","",DADOS!F3345)</f>
        <v/>
      </c>
      <c r="K3345" s="6" t="str">
        <f t="shared" si="265"/>
        <v/>
      </c>
      <c r="L3345" s="7" t="str">
        <f t="shared" si="266"/>
        <v/>
      </c>
      <c r="M3345" s="7" t="str">
        <f t="shared" si="263"/>
        <v/>
      </c>
      <c r="N3345" s="7" t="str">
        <f t="shared" si="267"/>
        <v/>
      </c>
      <c r="O3345" s="8"/>
      <c r="P3345" s="26"/>
      <c r="S3345" s="10" t="str">
        <f t="shared" si="264"/>
        <v/>
      </c>
    </row>
    <row r="3346" spans="5:19" x14ac:dyDescent="0.3">
      <c r="E3346" s="9" t="str">
        <f>IF(DADOS!C3346="","",DADOS!C3346)</f>
        <v/>
      </c>
      <c r="F3346" s="9" t="str">
        <f>IF(DADOS!E3346="","",DADOS!E3346)</f>
        <v/>
      </c>
      <c r="G3346" s="9" t="str">
        <f>IF(DADOS!F3346="","",DADOS!F3346)</f>
        <v/>
      </c>
      <c r="K3346" s="6" t="str">
        <f t="shared" si="265"/>
        <v/>
      </c>
      <c r="L3346" s="7" t="str">
        <f t="shared" si="266"/>
        <v/>
      </c>
      <c r="M3346" s="7" t="str">
        <f t="shared" si="263"/>
        <v/>
      </c>
      <c r="N3346" s="7" t="str">
        <f t="shared" si="267"/>
        <v/>
      </c>
      <c r="O3346" s="8"/>
      <c r="P3346" s="26"/>
      <c r="S3346" s="10" t="str">
        <f t="shared" si="264"/>
        <v/>
      </c>
    </row>
    <row r="3347" spans="5:19" x14ac:dyDescent="0.3">
      <c r="E3347" s="9" t="str">
        <f>IF(DADOS!C3347="","",DADOS!C3347)</f>
        <v/>
      </c>
      <c r="F3347" s="9" t="str">
        <f>IF(DADOS!E3347="","",DADOS!E3347)</f>
        <v/>
      </c>
      <c r="G3347" s="9" t="str">
        <f>IF(DADOS!F3347="","",DADOS!F3347)</f>
        <v/>
      </c>
      <c r="K3347" s="6" t="str">
        <f t="shared" si="265"/>
        <v/>
      </c>
      <c r="L3347" s="7" t="str">
        <f t="shared" si="266"/>
        <v/>
      </c>
      <c r="M3347" s="7" t="str">
        <f t="shared" si="263"/>
        <v/>
      </c>
      <c r="N3347" s="7" t="str">
        <f t="shared" si="267"/>
        <v/>
      </c>
      <c r="O3347" s="8"/>
      <c r="P3347" s="26"/>
      <c r="S3347" s="10" t="str">
        <f t="shared" si="264"/>
        <v/>
      </c>
    </row>
    <row r="3348" spans="5:19" x14ac:dyDescent="0.3">
      <c r="E3348" s="9" t="str">
        <f>IF(DADOS!C3348="","",DADOS!C3348)</f>
        <v/>
      </c>
      <c r="F3348" s="9" t="str">
        <f>IF(DADOS!E3348="","",DADOS!E3348)</f>
        <v/>
      </c>
      <c r="G3348" s="9" t="str">
        <f>IF(DADOS!F3348="","",DADOS!F3348)</f>
        <v/>
      </c>
      <c r="K3348" s="6" t="str">
        <f t="shared" si="265"/>
        <v/>
      </c>
      <c r="L3348" s="7" t="str">
        <f t="shared" si="266"/>
        <v/>
      </c>
      <c r="M3348" s="7" t="str">
        <f t="shared" si="263"/>
        <v/>
      </c>
      <c r="N3348" s="7" t="str">
        <f t="shared" si="267"/>
        <v/>
      </c>
      <c r="O3348" s="8"/>
      <c r="P3348" s="26"/>
      <c r="S3348" s="10" t="str">
        <f t="shared" si="264"/>
        <v/>
      </c>
    </row>
    <row r="3349" spans="5:19" x14ac:dyDescent="0.3">
      <c r="E3349" s="9" t="str">
        <f>IF(DADOS!C3349="","",DADOS!C3349)</f>
        <v/>
      </c>
      <c r="F3349" s="9" t="str">
        <f>IF(DADOS!E3349="","",DADOS!E3349)</f>
        <v/>
      </c>
      <c r="G3349" s="9" t="str">
        <f>IF(DADOS!F3349="","",DADOS!F3349)</f>
        <v/>
      </c>
      <c r="K3349" s="6" t="str">
        <f t="shared" si="265"/>
        <v/>
      </c>
      <c r="L3349" s="7" t="str">
        <f t="shared" si="266"/>
        <v/>
      </c>
      <c r="M3349" s="7" t="str">
        <f t="shared" si="263"/>
        <v/>
      </c>
      <c r="N3349" s="7" t="str">
        <f t="shared" si="267"/>
        <v/>
      </c>
      <c r="O3349" s="8"/>
      <c r="P3349" s="26"/>
      <c r="S3349" s="10" t="str">
        <f t="shared" si="264"/>
        <v/>
      </c>
    </row>
    <row r="3350" spans="5:19" x14ac:dyDescent="0.3">
      <c r="E3350" s="9" t="str">
        <f>IF(DADOS!C3350="","",DADOS!C3350)</f>
        <v/>
      </c>
      <c r="F3350" s="9" t="str">
        <f>IF(DADOS!E3350="","",DADOS!E3350)</f>
        <v/>
      </c>
      <c r="G3350" s="9" t="str">
        <f>IF(DADOS!F3350="","",DADOS!F3350)</f>
        <v/>
      </c>
      <c r="K3350" s="6" t="str">
        <f t="shared" si="265"/>
        <v/>
      </c>
      <c r="L3350" s="7" t="str">
        <f t="shared" si="266"/>
        <v/>
      </c>
      <c r="M3350" s="7" t="str">
        <f t="shared" si="263"/>
        <v/>
      </c>
      <c r="N3350" s="7" t="str">
        <f t="shared" si="267"/>
        <v/>
      </c>
      <c r="O3350" s="8"/>
      <c r="P3350" s="26"/>
      <c r="S3350" s="10" t="str">
        <f t="shared" si="264"/>
        <v/>
      </c>
    </row>
    <row r="3351" spans="5:19" x14ac:dyDescent="0.3">
      <c r="E3351" s="9" t="str">
        <f>IF(DADOS!C3351="","",DADOS!C3351)</f>
        <v/>
      </c>
      <c r="F3351" s="9" t="str">
        <f>IF(DADOS!E3351="","",DADOS!E3351)</f>
        <v/>
      </c>
      <c r="G3351" s="9" t="str">
        <f>IF(DADOS!F3351="","",DADOS!F3351)</f>
        <v/>
      </c>
      <c r="K3351" s="6" t="str">
        <f t="shared" si="265"/>
        <v/>
      </c>
      <c r="L3351" s="7" t="str">
        <f t="shared" si="266"/>
        <v/>
      </c>
      <c r="M3351" s="7" t="str">
        <f t="shared" si="263"/>
        <v/>
      </c>
      <c r="N3351" s="7" t="str">
        <f t="shared" si="267"/>
        <v/>
      </c>
      <c r="O3351" s="8"/>
      <c r="P3351" s="26"/>
      <c r="S3351" s="10" t="str">
        <f t="shared" si="264"/>
        <v/>
      </c>
    </row>
    <row r="3352" spans="5:19" x14ac:dyDescent="0.3">
      <c r="E3352" s="9" t="str">
        <f>IF(DADOS!C3352="","",DADOS!C3352)</f>
        <v/>
      </c>
      <c r="F3352" s="9" t="str">
        <f>IF(DADOS!E3352="","",DADOS!E3352)</f>
        <v/>
      </c>
      <c r="G3352" s="9" t="str">
        <f>IF(DADOS!F3352="","",DADOS!F3352)</f>
        <v/>
      </c>
      <c r="K3352" s="6" t="str">
        <f t="shared" si="265"/>
        <v/>
      </c>
      <c r="L3352" s="7" t="str">
        <f t="shared" si="266"/>
        <v/>
      </c>
      <c r="M3352" s="7" t="str">
        <f t="shared" si="263"/>
        <v/>
      </c>
      <c r="N3352" s="7" t="str">
        <f t="shared" si="267"/>
        <v/>
      </c>
      <c r="O3352" s="8"/>
      <c r="P3352" s="26"/>
      <c r="S3352" s="10" t="str">
        <f t="shared" si="264"/>
        <v/>
      </c>
    </row>
    <row r="3353" spans="5:19" x14ac:dyDescent="0.3">
      <c r="E3353" s="9" t="str">
        <f>IF(DADOS!C3353="","",DADOS!C3353)</f>
        <v/>
      </c>
      <c r="F3353" s="9" t="str">
        <f>IF(DADOS!E3353="","",DADOS!E3353)</f>
        <v/>
      </c>
      <c r="G3353" s="9" t="str">
        <f>IF(DADOS!F3353="","",DADOS!F3353)</f>
        <v/>
      </c>
      <c r="K3353" s="6" t="str">
        <f t="shared" si="265"/>
        <v/>
      </c>
      <c r="L3353" s="7" t="str">
        <f t="shared" si="266"/>
        <v/>
      </c>
      <c r="M3353" s="7" t="str">
        <f t="shared" si="263"/>
        <v/>
      </c>
      <c r="N3353" s="7" t="str">
        <f t="shared" si="267"/>
        <v/>
      </c>
      <c r="O3353" s="8"/>
      <c r="P3353" s="26"/>
      <c r="S3353" s="10" t="str">
        <f t="shared" si="264"/>
        <v/>
      </c>
    </row>
    <row r="3354" spans="5:19" x14ac:dyDescent="0.3">
      <c r="E3354" s="9" t="str">
        <f>IF(DADOS!C3354="","",DADOS!C3354)</f>
        <v/>
      </c>
      <c r="F3354" s="9" t="str">
        <f>IF(DADOS!E3354="","",DADOS!E3354)</f>
        <v/>
      </c>
      <c r="G3354" s="9" t="str">
        <f>IF(DADOS!F3354="","",DADOS!F3354)</f>
        <v/>
      </c>
      <c r="K3354" s="6" t="str">
        <f t="shared" si="265"/>
        <v/>
      </c>
      <c r="L3354" s="7" t="str">
        <f t="shared" si="266"/>
        <v/>
      </c>
      <c r="M3354" s="7" t="str">
        <f t="shared" si="263"/>
        <v/>
      </c>
      <c r="N3354" s="7" t="str">
        <f t="shared" si="267"/>
        <v/>
      </c>
      <c r="O3354" s="8"/>
      <c r="P3354" s="26"/>
      <c r="S3354" s="10" t="str">
        <f t="shared" si="264"/>
        <v/>
      </c>
    </row>
    <row r="3355" spans="5:19" x14ac:dyDescent="0.3">
      <c r="E3355" s="9" t="str">
        <f>IF(DADOS!C3355="","",DADOS!C3355)</f>
        <v/>
      </c>
      <c r="F3355" s="9" t="str">
        <f>IF(DADOS!E3355="","",DADOS!E3355)</f>
        <v/>
      </c>
      <c r="G3355" s="9" t="str">
        <f>IF(DADOS!F3355="","",DADOS!F3355)</f>
        <v/>
      </c>
      <c r="K3355" s="6" t="str">
        <f t="shared" si="265"/>
        <v/>
      </c>
      <c r="L3355" s="7" t="str">
        <f t="shared" si="266"/>
        <v/>
      </c>
      <c r="M3355" s="7" t="str">
        <f t="shared" si="263"/>
        <v/>
      </c>
      <c r="N3355" s="7" t="str">
        <f t="shared" si="267"/>
        <v/>
      </c>
      <c r="O3355" s="8"/>
      <c r="P3355" s="26"/>
      <c r="S3355" s="10" t="str">
        <f t="shared" si="264"/>
        <v/>
      </c>
    </row>
    <row r="3356" spans="5:19" x14ac:dyDescent="0.3">
      <c r="E3356" s="9" t="str">
        <f>IF(DADOS!C3356="","",DADOS!C3356)</f>
        <v/>
      </c>
      <c r="F3356" s="9" t="str">
        <f>IF(DADOS!E3356="","",DADOS!E3356)</f>
        <v/>
      </c>
      <c r="G3356" s="9" t="str">
        <f>IF(DADOS!F3356="","",DADOS!F3356)</f>
        <v/>
      </c>
      <c r="K3356" s="6" t="str">
        <f t="shared" si="265"/>
        <v/>
      </c>
      <c r="L3356" s="7" t="str">
        <f t="shared" si="266"/>
        <v/>
      </c>
      <c r="M3356" s="7" t="str">
        <f t="shared" si="263"/>
        <v/>
      </c>
      <c r="N3356" s="7" t="str">
        <f t="shared" si="267"/>
        <v/>
      </c>
      <c r="O3356" s="8"/>
      <c r="P3356" s="26"/>
      <c r="S3356" s="10" t="str">
        <f t="shared" si="264"/>
        <v/>
      </c>
    </row>
    <row r="3357" spans="5:19" x14ac:dyDescent="0.3">
      <c r="E3357" s="9" t="str">
        <f>IF(DADOS!C3357="","",DADOS!C3357)</f>
        <v/>
      </c>
      <c r="F3357" s="9" t="str">
        <f>IF(DADOS!E3357="","",DADOS!E3357)</f>
        <v/>
      </c>
      <c r="G3357" s="9" t="str">
        <f>IF(DADOS!F3357="","",DADOS!F3357)</f>
        <v/>
      </c>
      <c r="K3357" s="6" t="str">
        <f t="shared" si="265"/>
        <v/>
      </c>
      <c r="L3357" s="7" t="str">
        <f t="shared" si="266"/>
        <v/>
      </c>
      <c r="M3357" s="7" t="str">
        <f t="shared" si="263"/>
        <v/>
      </c>
      <c r="N3357" s="7" t="str">
        <f t="shared" si="267"/>
        <v/>
      </c>
      <c r="O3357" s="8"/>
      <c r="P3357" s="26"/>
      <c r="S3357" s="10" t="str">
        <f t="shared" si="264"/>
        <v/>
      </c>
    </row>
    <row r="3358" spans="5:19" x14ac:dyDescent="0.3">
      <c r="E3358" s="9" t="str">
        <f>IF(DADOS!C3358="","",DADOS!C3358)</f>
        <v/>
      </c>
      <c r="F3358" s="9" t="str">
        <f>IF(DADOS!E3358="","",DADOS!E3358)</f>
        <v/>
      </c>
      <c r="G3358" s="9" t="str">
        <f>IF(DADOS!F3358="","",DADOS!F3358)</f>
        <v/>
      </c>
      <c r="K3358" s="6" t="str">
        <f t="shared" si="265"/>
        <v/>
      </c>
      <c r="L3358" s="7" t="str">
        <f t="shared" si="266"/>
        <v/>
      </c>
      <c r="M3358" s="7" t="str">
        <f t="shared" si="263"/>
        <v/>
      </c>
      <c r="N3358" s="7" t="str">
        <f t="shared" si="267"/>
        <v/>
      </c>
      <c r="O3358" s="8"/>
      <c r="P3358" s="26"/>
      <c r="S3358" s="10" t="str">
        <f t="shared" si="264"/>
        <v/>
      </c>
    </row>
    <row r="3359" spans="5:19" x14ac:dyDescent="0.3">
      <c r="E3359" s="9" t="str">
        <f>IF(DADOS!C3359="","",DADOS!C3359)</f>
        <v/>
      </c>
      <c r="F3359" s="9" t="str">
        <f>IF(DADOS!E3359="","",DADOS!E3359)</f>
        <v/>
      </c>
      <c r="G3359" s="9" t="str">
        <f>IF(DADOS!F3359="","",DADOS!F3359)</f>
        <v/>
      </c>
      <c r="K3359" s="6" t="str">
        <f t="shared" si="265"/>
        <v/>
      </c>
      <c r="L3359" s="7" t="str">
        <f t="shared" si="266"/>
        <v/>
      </c>
      <c r="M3359" s="7" t="str">
        <f t="shared" si="263"/>
        <v/>
      </c>
      <c r="N3359" s="7" t="str">
        <f t="shared" si="267"/>
        <v/>
      </c>
      <c r="O3359" s="8"/>
      <c r="P3359" s="26"/>
      <c r="S3359" s="10" t="str">
        <f t="shared" si="264"/>
        <v/>
      </c>
    </row>
    <row r="3360" spans="5:19" x14ac:dyDescent="0.3">
      <c r="E3360" s="9" t="str">
        <f>IF(DADOS!C3360="","",DADOS!C3360)</f>
        <v/>
      </c>
      <c r="F3360" s="9" t="str">
        <f>IF(DADOS!E3360="","",DADOS!E3360)</f>
        <v/>
      </c>
      <c r="G3360" s="9" t="str">
        <f>IF(DADOS!F3360="","",DADOS!F3360)</f>
        <v/>
      </c>
      <c r="K3360" s="6" t="str">
        <f t="shared" si="265"/>
        <v/>
      </c>
      <c r="L3360" s="7" t="str">
        <f t="shared" si="266"/>
        <v/>
      </c>
      <c r="M3360" s="7" t="str">
        <f t="shared" si="263"/>
        <v/>
      </c>
      <c r="N3360" s="7" t="str">
        <f t="shared" si="267"/>
        <v/>
      </c>
      <c r="O3360" s="8"/>
      <c r="P3360" s="26"/>
      <c r="S3360" s="10" t="str">
        <f t="shared" si="264"/>
        <v/>
      </c>
    </row>
    <row r="3361" spans="5:19" x14ac:dyDescent="0.3">
      <c r="E3361" s="9" t="str">
        <f>IF(DADOS!C3361="","",DADOS!C3361)</f>
        <v/>
      </c>
      <c r="F3361" s="9" t="str">
        <f>IF(DADOS!E3361="","",DADOS!E3361)</f>
        <v/>
      </c>
      <c r="G3361" s="9" t="str">
        <f>IF(DADOS!F3361="","",DADOS!F3361)</f>
        <v/>
      </c>
      <c r="K3361" s="6" t="str">
        <f t="shared" si="265"/>
        <v/>
      </c>
      <c r="L3361" s="7" t="str">
        <f t="shared" si="266"/>
        <v/>
      </c>
      <c r="M3361" s="7" t="str">
        <f t="shared" si="263"/>
        <v/>
      </c>
      <c r="N3361" s="7" t="str">
        <f t="shared" si="267"/>
        <v/>
      </c>
      <c r="O3361" s="8"/>
      <c r="P3361" s="26"/>
      <c r="S3361" s="10" t="str">
        <f t="shared" si="264"/>
        <v/>
      </c>
    </row>
    <row r="3362" spans="5:19" x14ac:dyDescent="0.3">
      <c r="E3362" s="9" t="str">
        <f>IF(DADOS!C3362="","",DADOS!C3362)</f>
        <v/>
      </c>
      <c r="F3362" s="9" t="str">
        <f>IF(DADOS!E3362="","",DADOS!E3362)</f>
        <v/>
      </c>
      <c r="G3362" s="9" t="str">
        <f>IF(DADOS!F3362="","",DADOS!F3362)</f>
        <v/>
      </c>
      <c r="K3362" s="6" t="str">
        <f t="shared" si="265"/>
        <v/>
      </c>
      <c r="L3362" s="7" t="str">
        <f t="shared" si="266"/>
        <v/>
      </c>
      <c r="M3362" s="7" t="str">
        <f t="shared" si="263"/>
        <v/>
      </c>
      <c r="N3362" s="7" t="str">
        <f t="shared" si="267"/>
        <v/>
      </c>
      <c r="O3362" s="8"/>
      <c r="P3362" s="26"/>
      <c r="S3362" s="10" t="str">
        <f t="shared" si="264"/>
        <v/>
      </c>
    </row>
    <row r="3363" spans="5:19" x14ac:dyDescent="0.3">
      <c r="E3363" s="9" t="str">
        <f>IF(DADOS!C3363="","",DADOS!C3363)</f>
        <v/>
      </c>
      <c r="F3363" s="9" t="str">
        <f>IF(DADOS!E3363="","",DADOS!E3363)</f>
        <v/>
      </c>
      <c r="G3363" s="9" t="str">
        <f>IF(DADOS!F3363="","",DADOS!F3363)</f>
        <v/>
      </c>
      <c r="K3363" s="6" t="str">
        <f t="shared" si="265"/>
        <v/>
      </c>
      <c r="L3363" s="7" t="str">
        <f t="shared" si="266"/>
        <v/>
      </c>
      <c r="M3363" s="7" t="str">
        <f t="shared" si="263"/>
        <v/>
      </c>
      <c r="N3363" s="7" t="str">
        <f t="shared" si="267"/>
        <v/>
      </c>
      <c r="O3363" s="8"/>
      <c r="P3363" s="26"/>
      <c r="S3363" s="10" t="str">
        <f t="shared" si="264"/>
        <v/>
      </c>
    </row>
    <row r="3364" spans="5:19" x14ac:dyDescent="0.3">
      <c r="E3364" s="9" t="str">
        <f>IF(DADOS!C3364="","",DADOS!C3364)</f>
        <v/>
      </c>
      <c r="F3364" s="9" t="str">
        <f>IF(DADOS!E3364="","",DADOS!E3364)</f>
        <v/>
      </c>
      <c r="G3364" s="9" t="str">
        <f>IF(DADOS!F3364="","",DADOS!F3364)</f>
        <v/>
      </c>
      <c r="K3364" s="6" t="str">
        <f t="shared" si="265"/>
        <v/>
      </c>
      <c r="L3364" s="7" t="str">
        <f t="shared" si="266"/>
        <v/>
      </c>
      <c r="M3364" s="7" t="str">
        <f t="shared" si="263"/>
        <v/>
      </c>
      <c r="N3364" s="7" t="str">
        <f t="shared" si="267"/>
        <v/>
      </c>
      <c r="O3364" s="8"/>
      <c r="P3364" s="26"/>
      <c r="S3364" s="10" t="str">
        <f t="shared" si="264"/>
        <v/>
      </c>
    </row>
    <row r="3365" spans="5:19" x14ac:dyDescent="0.3">
      <c r="E3365" s="9" t="str">
        <f>IF(DADOS!C3365="","",DADOS!C3365)</f>
        <v/>
      </c>
      <c r="F3365" s="9" t="str">
        <f>IF(DADOS!E3365="","",DADOS!E3365)</f>
        <v/>
      </c>
      <c r="G3365" s="9" t="str">
        <f>IF(DADOS!F3365="","",DADOS!F3365)</f>
        <v/>
      </c>
      <c r="K3365" s="6" t="str">
        <f t="shared" si="265"/>
        <v/>
      </c>
      <c r="L3365" s="7" t="str">
        <f t="shared" si="266"/>
        <v/>
      </c>
      <c r="M3365" s="7" t="str">
        <f t="shared" si="263"/>
        <v/>
      </c>
      <c r="N3365" s="7" t="str">
        <f t="shared" si="267"/>
        <v/>
      </c>
      <c r="O3365" s="8"/>
      <c r="P3365" s="26"/>
      <c r="S3365" s="10" t="str">
        <f t="shared" si="264"/>
        <v/>
      </c>
    </row>
    <row r="3366" spans="5:19" x14ac:dyDescent="0.3">
      <c r="E3366" s="9" t="str">
        <f>IF(DADOS!C3366="","",DADOS!C3366)</f>
        <v/>
      </c>
      <c r="F3366" s="9" t="str">
        <f>IF(DADOS!E3366="","",DADOS!E3366)</f>
        <v/>
      </c>
      <c r="G3366" s="9" t="str">
        <f>IF(DADOS!F3366="","",DADOS!F3366)</f>
        <v/>
      </c>
      <c r="K3366" s="6" t="str">
        <f t="shared" si="265"/>
        <v/>
      </c>
      <c r="L3366" s="7" t="str">
        <f t="shared" si="266"/>
        <v/>
      </c>
      <c r="M3366" s="7" t="str">
        <f t="shared" si="263"/>
        <v/>
      </c>
      <c r="N3366" s="7" t="str">
        <f t="shared" si="267"/>
        <v/>
      </c>
      <c r="O3366" s="8"/>
      <c r="P3366" s="26"/>
      <c r="S3366" s="10" t="str">
        <f t="shared" si="264"/>
        <v/>
      </c>
    </row>
    <row r="3367" spans="5:19" x14ac:dyDescent="0.3">
      <c r="E3367" s="9" t="str">
        <f>IF(DADOS!C3367="","",DADOS!C3367)</f>
        <v/>
      </c>
      <c r="F3367" s="9" t="str">
        <f>IF(DADOS!E3367="","",DADOS!E3367)</f>
        <v/>
      </c>
      <c r="G3367" s="9" t="str">
        <f>IF(DADOS!F3367="","",DADOS!F3367)</f>
        <v/>
      </c>
      <c r="K3367" s="6" t="str">
        <f t="shared" si="265"/>
        <v/>
      </c>
      <c r="L3367" s="7" t="str">
        <f t="shared" si="266"/>
        <v/>
      </c>
      <c r="M3367" s="7" t="str">
        <f t="shared" si="263"/>
        <v/>
      </c>
      <c r="N3367" s="7" t="str">
        <f t="shared" si="267"/>
        <v/>
      </c>
      <c r="O3367" s="8"/>
      <c r="P3367" s="26"/>
      <c r="S3367" s="10" t="str">
        <f t="shared" si="264"/>
        <v/>
      </c>
    </row>
    <row r="3368" spans="5:19" x14ac:dyDescent="0.3">
      <c r="E3368" s="9" t="str">
        <f>IF(DADOS!C3368="","",DADOS!C3368)</f>
        <v/>
      </c>
      <c r="F3368" s="9" t="str">
        <f>IF(DADOS!E3368="","",DADOS!E3368)</f>
        <v/>
      </c>
      <c r="G3368" s="9" t="str">
        <f>IF(DADOS!F3368="","",DADOS!F3368)</f>
        <v/>
      </c>
      <c r="K3368" s="6" t="str">
        <f t="shared" si="265"/>
        <v/>
      </c>
      <c r="L3368" s="7" t="str">
        <f t="shared" si="266"/>
        <v/>
      </c>
      <c r="M3368" s="7" t="str">
        <f t="shared" si="263"/>
        <v/>
      </c>
      <c r="N3368" s="7" t="str">
        <f t="shared" si="267"/>
        <v/>
      </c>
      <c r="O3368" s="8"/>
      <c r="P3368" s="26"/>
      <c r="S3368" s="10" t="str">
        <f t="shared" si="264"/>
        <v/>
      </c>
    </row>
    <row r="3369" spans="5:19" x14ac:dyDescent="0.3">
      <c r="E3369" s="9" t="str">
        <f>IF(DADOS!C3369="","",DADOS!C3369)</f>
        <v/>
      </c>
      <c r="F3369" s="9" t="str">
        <f>IF(DADOS!E3369="","",DADOS!E3369)</f>
        <v/>
      </c>
      <c r="G3369" s="9" t="str">
        <f>IF(DADOS!F3369="","",DADOS!F3369)</f>
        <v/>
      </c>
      <c r="K3369" s="6" t="str">
        <f t="shared" si="265"/>
        <v/>
      </c>
      <c r="L3369" s="7" t="str">
        <f t="shared" si="266"/>
        <v/>
      </c>
      <c r="M3369" s="7" t="str">
        <f t="shared" si="263"/>
        <v/>
      </c>
      <c r="N3369" s="7" t="str">
        <f t="shared" si="267"/>
        <v/>
      </c>
      <c r="O3369" s="8"/>
      <c r="P3369" s="26"/>
      <c r="S3369" s="10" t="str">
        <f t="shared" si="264"/>
        <v/>
      </c>
    </row>
    <row r="3370" spans="5:19" x14ac:dyDescent="0.3">
      <c r="E3370" s="9" t="str">
        <f>IF(DADOS!C3370="","",DADOS!C3370)</f>
        <v/>
      </c>
      <c r="F3370" s="9" t="str">
        <f>IF(DADOS!E3370="","",DADOS!E3370)</f>
        <v/>
      </c>
      <c r="G3370" s="9" t="str">
        <f>IF(DADOS!F3370="","",DADOS!F3370)</f>
        <v/>
      </c>
      <c r="K3370" s="6" t="str">
        <f t="shared" si="265"/>
        <v/>
      </c>
      <c r="L3370" s="7" t="str">
        <f t="shared" si="266"/>
        <v/>
      </c>
      <c r="M3370" s="7" t="str">
        <f t="shared" si="263"/>
        <v/>
      </c>
      <c r="N3370" s="7" t="str">
        <f t="shared" si="267"/>
        <v/>
      </c>
      <c r="O3370" s="8"/>
      <c r="P3370" s="26"/>
      <c r="S3370" s="10" t="str">
        <f t="shared" si="264"/>
        <v/>
      </c>
    </row>
    <row r="3371" spans="5:19" x14ac:dyDescent="0.3">
      <c r="E3371" s="9" t="str">
        <f>IF(DADOS!C3371="","",DADOS!C3371)</f>
        <v/>
      </c>
      <c r="F3371" s="9" t="str">
        <f>IF(DADOS!E3371="","",DADOS!E3371)</f>
        <v/>
      </c>
      <c r="G3371" s="9" t="str">
        <f>IF(DADOS!F3371="","",DADOS!F3371)</f>
        <v/>
      </c>
      <c r="K3371" s="6" t="str">
        <f t="shared" si="265"/>
        <v/>
      </c>
      <c r="L3371" s="7" t="str">
        <f t="shared" si="266"/>
        <v/>
      </c>
      <c r="M3371" s="7" t="str">
        <f t="shared" si="263"/>
        <v/>
      </c>
      <c r="N3371" s="7" t="str">
        <f t="shared" si="267"/>
        <v/>
      </c>
      <c r="O3371" s="8"/>
      <c r="P3371" s="26"/>
      <c r="S3371" s="10" t="str">
        <f t="shared" si="264"/>
        <v/>
      </c>
    </row>
    <row r="3372" spans="5:19" x14ac:dyDescent="0.3">
      <c r="E3372" s="9" t="str">
        <f>IF(DADOS!C3372="","",DADOS!C3372)</f>
        <v/>
      </c>
      <c r="F3372" s="9" t="str">
        <f>IF(DADOS!E3372="","",DADOS!E3372)</f>
        <v/>
      </c>
      <c r="G3372" s="9" t="str">
        <f>IF(DADOS!F3372="","",DADOS!F3372)</f>
        <v/>
      </c>
      <c r="K3372" s="6" t="str">
        <f t="shared" si="265"/>
        <v/>
      </c>
      <c r="L3372" s="7" t="str">
        <f t="shared" si="266"/>
        <v/>
      </c>
      <c r="M3372" s="7" t="str">
        <f t="shared" si="263"/>
        <v/>
      </c>
      <c r="N3372" s="7" t="str">
        <f t="shared" si="267"/>
        <v/>
      </c>
      <c r="O3372" s="8"/>
      <c r="P3372" s="26"/>
      <c r="S3372" s="10" t="str">
        <f t="shared" si="264"/>
        <v/>
      </c>
    </row>
    <row r="3373" spans="5:19" x14ac:dyDescent="0.3">
      <c r="E3373" s="9" t="str">
        <f>IF(DADOS!C3373="","",DADOS!C3373)</f>
        <v/>
      </c>
      <c r="F3373" s="9" t="str">
        <f>IF(DADOS!E3373="","",DADOS!E3373)</f>
        <v/>
      </c>
      <c r="G3373" s="9" t="str">
        <f>IF(DADOS!F3373="","",DADOS!F3373)</f>
        <v/>
      </c>
      <c r="K3373" s="6" t="str">
        <f t="shared" si="265"/>
        <v/>
      </c>
      <c r="L3373" s="7" t="str">
        <f t="shared" si="266"/>
        <v/>
      </c>
      <c r="M3373" s="7" t="str">
        <f t="shared" si="263"/>
        <v/>
      </c>
      <c r="N3373" s="7" t="str">
        <f t="shared" si="267"/>
        <v/>
      </c>
      <c r="O3373" s="8"/>
      <c r="P3373" s="26"/>
      <c r="S3373" s="10" t="str">
        <f t="shared" si="264"/>
        <v/>
      </c>
    </row>
    <row r="3374" spans="5:19" x14ac:dyDescent="0.3">
      <c r="E3374" s="9" t="str">
        <f>IF(DADOS!C3374="","",DADOS!C3374)</f>
        <v/>
      </c>
      <c r="F3374" s="9" t="str">
        <f>IF(DADOS!E3374="","",DADOS!E3374)</f>
        <v/>
      </c>
      <c r="G3374" s="9" t="str">
        <f>IF(DADOS!F3374="","",DADOS!F3374)</f>
        <v/>
      </c>
      <c r="K3374" s="6" t="str">
        <f t="shared" si="265"/>
        <v/>
      </c>
      <c r="L3374" s="7" t="str">
        <f t="shared" si="266"/>
        <v/>
      </c>
      <c r="M3374" s="7" t="str">
        <f t="shared" si="263"/>
        <v/>
      </c>
      <c r="N3374" s="7" t="str">
        <f t="shared" si="267"/>
        <v/>
      </c>
      <c r="O3374" s="8"/>
      <c r="P3374" s="26"/>
      <c r="S3374" s="10" t="str">
        <f t="shared" si="264"/>
        <v/>
      </c>
    </row>
    <row r="3375" spans="5:19" x14ac:dyDescent="0.3">
      <c r="E3375" s="9" t="str">
        <f>IF(DADOS!C3375="","",DADOS!C3375)</f>
        <v/>
      </c>
      <c r="F3375" s="9" t="str">
        <f>IF(DADOS!E3375="","",DADOS!E3375)</f>
        <v/>
      </c>
      <c r="G3375" s="9" t="str">
        <f>IF(DADOS!F3375="","",DADOS!F3375)</f>
        <v/>
      </c>
      <c r="K3375" s="6" t="str">
        <f t="shared" si="265"/>
        <v/>
      </c>
      <c r="L3375" s="7" t="str">
        <f t="shared" si="266"/>
        <v/>
      </c>
      <c r="M3375" s="7" t="str">
        <f t="shared" si="263"/>
        <v/>
      </c>
      <c r="N3375" s="7" t="str">
        <f t="shared" si="267"/>
        <v/>
      </c>
      <c r="O3375" s="8"/>
      <c r="P3375" s="26"/>
      <c r="S3375" s="10" t="str">
        <f t="shared" si="264"/>
        <v/>
      </c>
    </row>
    <row r="3376" spans="5:19" x14ac:dyDescent="0.3">
      <c r="E3376" s="9" t="str">
        <f>IF(DADOS!C3376="","",DADOS!C3376)</f>
        <v/>
      </c>
      <c r="F3376" s="9" t="str">
        <f>IF(DADOS!E3376="","",DADOS!E3376)</f>
        <v/>
      </c>
      <c r="G3376" s="9" t="str">
        <f>IF(DADOS!F3376="","",DADOS!F3376)</f>
        <v/>
      </c>
      <c r="K3376" s="6" t="str">
        <f t="shared" si="265"/>
        <v/>
      </c>
      <c r="L3376" s="7" t="str">
        <f t="shared" si="266"/>
        <v/>
      </c>
      <c r="M3376" s="7" t="str">
        <f t="shared" si="263"/>
        <v/>
      </c>
      <c r="N3376" s="7" t="str">
        <f t="shared" si="267"/>
        <v/>
      </c>
      <c r="O3376" s="8"/>
      <c r="P3376" s="26"/>
      <c r="S3376" s="10" t="str">
        <f t="shared" si="264"/>
        <v/>
      </c>
    </row>
    <row r="3377" spans="5:19" x14ac:dyDescent="0.3">
      <c r="E3377" s="9" t="str">
        <f>IF(DADOS!C3377="","",DADOS!C3377)</f>
        <v/>
      </c>
      <c r="F3377" s="9" t="str">
        <f>IF(DADOS!E3377="","",DADOS!E3377)</f>
        <v/>
      </c>
      <c r="G3377" s="9" t="str">
        <f>IF(DADOS!F3377="","",DADOS!F3377)</f>
        <v/>
      </c>
      <c r="K3377" s="6" t="str">
        <f t="shared" si="265"/>
        <v/>
      </c>
      <c r="L3377" s="7" t="str">
        <f t="shared" si="266"/>
        <v/>
      </c>
      <c r="M3377" s="7" t="str">
        <f t="shared" si="263"/>
        <v/>
      </c>
      <c r="N3377" s="7" t="str">
        <f t="shared" si="267"/>
        <v/>
      </c>
      <c r="O3377" s="8"/>
      <c r="P3377" s="26"/>
      <c r="S3377" s="10" t="str">
        <f t="shared" si="264"/>
        <v/>
      </c>
    </row>
    <row r="3378" spans="5:19" x14ac:dyDescent="0.3">
      <c r="E3378" s="9" t="str">
        <f>IF(DADOS!C3378="","",DADOS!C3378)</f>
        <v/>
      </c>
      <c r="F3378" s="9" t="str">
        <f>IF(DADOS!E3378="","",DADOS!E3378)</f>
        <v/>
      </c>
      <c r="G3378" s="9" t="str">
        <f>IF(DADOS!F3378="","",DADOS!F3378)</f>
        <v/>
      </c>
      <c r="K3378" s="6" t="str">
        <f t="shared" si="265"/>
        <v/>
      </c>
      <c r="L3378" s="7" t="str">
        <f t="shared" si="266"/>
        <v/>
      </c>
      <c r="M3378" s="7" t="str">
        <f t="shared" si="263"/>
        <v/>
      </c>
      <c r="N3378" s="7" t="str">
        <f t="shared" si="267"/>
        <v/>
      </c>
      <c r="O3378" s="8"/>
      <c r="P3378" s="26"/>
      <c r="S3378" s="10" t="str">
        <f t="shared" si="264"/>
        <v/>
      </c>
    </row>
    <row r="3379" spans="5:19" x14ac:dyDescent="0.3">
      <c r="E3379" s="9" t="str">
        <f>IF(DADOS!C3379="","",DADOS!C3379)</f>
        <v/>
      </c>
      <c r="F3379" s="9" t="str">
        <f>IF(DADOS!E3379="","",DADOS!E3379)</f>
        <v/>
      </c>
      <c r="G3379" s="9" t="str">
        <f>IF(DADOS!F3379="","",DADOS!F3379)</f>
        <v/>
      </c>
      <c r="K3379" s="6" t="str">
        <f t="shared" si="265"/>
        <v/>
      </c>
      <c r="L3379" s="7" t="str">
        <f t="shared" si="266"/>
        <v/>
      </c>
      <c r="M3379" s="7" t="str">
        <f t="shared" si="263"/>
        <v/>
      </c>
      <c r="N3379" s="7" t="str">
        <f t="shared" si="267"/>
        <v/>
      </c>
      <c r="O3379" s="8"/>
      <c r="P3379" s="26"/>
      <c r="S3379" s="10" t="str">
        <f t="shared" si="264"/>
        <v/>
      </c>
    </row>
    <row r="3380" spans="5:19" x14ac:dyDescent="0.3">
      <c r="E3380" s="9" t="str">
        <f>IF(DADOS!C3380="","",DADOS!C3380)</f>
        <v/>
      </c>
      <c r="F3380" s="9" t="str">
        <f>IF(DADOS!E3380="","",DADOS!E3380)</f>
        <v/>
      </c>
      <c r="G3380" s="9" t="str">
        <f>IF(DADOS!F3380="","",DADOS!F3380)</f>
        <v/>
      </c>
      <c r="K3380" s="6" t="str">
        <f t="shared" si="265"/>
        <v/>
      </c>
      <c r="L3380" s="7" t="str">
        <f t="shared" si="266"/>
        <v/>
      </c>
      <c r="M3380" s="7" t="str">
        <f t="shared" si="263"/>
        <v/>
      </c>
      <c r="N3380" s="7" t="str">
        <f t="shared" si="267"/>
        <v/>
      </c>
      <c r="O3380" s="8"/>
      <c r="P3380" s="26"/>
      <c r="S3380" s="10" t="str">
        <f t="shared" si="264"/>
        <v/>
      </c>
    </row>
    <row r="3381" spans="5:19" x14ac:dyDescent="0.3">
      <c r="E3381" s="9" t="str">
        <f>IF(DADOS!C3381="","",DADOS!C3381)</f>
        <v/>
      </c>
      <c r="F3381" s="9" t="str">
        <f>IF(DADOS!E3381="","",DADOS!E3381)</f>
        <v/>
      </c>
      <c r="G3381" s="9" t="str">
        <f>IF(DADOS!F3381="","",DADOS!F3381)</f>
        <v/>
      </c>
      <c r="K3381" s="6" t="str">
        <f t="shared" si="265"/>
        <v/>
      </c>
      <c r="L3381" s="7" t="str">
        <f t="shared" si="266"/>
        <v/>
      </c>
      <c r="M3381" s="7" t="str">
        <f t="shared" si="263"/>
        <v/>
      </c>
      <c r="N3381" s="7" t="str">
        <f t="shared" si="267"/>
        <v/>
      </c>
      <c r="O3381" s="8"/>
      <c r="P3381" s="26"/>
      <c r="S3381" s="10" t="str">
        <f t="shared" si="264"/>
        <v/>
      </c>
    </row>
    <row r="3382" spans="5:19" x14ac:dyDescent="0.3">
      <c r="E3382" s="9" t="str">
        <f>IF(DADOS!C3382="","",DADOS!C3382)</f>
        <v/>
      </c>
      <c r="F3382" s="9" t="str">
        <f>IF(DADOS!E3382="","",DADOS!E3382)</f>
        <v/>
      </c>
      <c r="G3382" s="9" t="str">
        <f>IF(DADOS!F3382="","",DADOS!F3382)</f>
        <v/>
      </c>
      <c r="K3382" s="6" t="str">
        <f t="shared" si="265"/>
        <v/>
      </c>
      <c r="L3382" s="7" t="str">
        <f t="shared" si="266"/>
        <v/>
      </c>
      <c r="M3382" s="7" t="str">
        <f t="shared" si="263"/>
        <v/>
      </c>
      <c r="N3382" s="7" t="str">
        <f t="shared" si="267"/>
        <v/>
      </c>
      <c r="O3382" s="8"/>
      <c r="P3382" s="26"/>
      <c r="S3382" s="10" t="str">
        <f t="shared" si="264"/>
        <v/>
      </c>
    </row>
    <row r="3383" spans="5:19" x14ac:dyDescent="0.3">
      <c r="E3383" s="9" t="str">
        <f>IF(DADOS!C3383="","",DADOS!C3383)</f>
        <v/>
      </c>
      <c r="F3383" s="9" t="str">
        <f>IF(DADOS!E3383="","",DADOS!E3383)</f>
        <v/>
      </c>
      <c r="G3383" s="9" t="str">
        <f>IF(DADOS!F3383="","",DADOS!F3383)</f>
        <v/>
      </c>
      <c r="K3383" s="6" t="str">
        <f t="shared" si="265"/>
        <v/>
      </c>
      <c r="L3383" s="7" t="str">
        <f t="shared" si="266"/>
        <v/>
      </c>
      <c r="M3383" s="7" t="str">
        <f t="shared" si="263"/>
        <v/>
      </c>
      <c r="N3383" s="7" t="str">
        <f t="shared" si="267"/>
        <v/>
      </c>
      <c r="O3383" s="8"/>
      <c r="P3383" s="26"/>
      <c r="S3383" s="10" t="str">
        <f t="shared" si="264"/>
        <v/>
      </c>
    </row>
    <row r="3384" spans="5:19" x14ac:dyDescent="0.3">
      <c r="E3384" s="9" t="str">
        <f>IF(DADOS!C3384="","",DADOS!C3384)</f>
        <v/>
      </c>
      <c r="F3384" s="9" t="str">
        <f>IF(DADOS!E3384="","",DADOS!E3384)</f>
        <v/>
      </c>
      <c r="G3384" s="9" t="str">
        <f>IF(DADOS!F3384="","",DADOS!F3384)</f>
        <v/>
      </c>
      <c r="K3384" s="6" t="str">
        <f t="shared" si="265"/>
        <v/>
      </c>
      <c r="L3384" s="7" t="str">
        <f t="shared" si="266"/>
        <v/>
      </c>
      <c r="M3384" s="7" t="str">
        <f t="shared" si="263"/>
        <v/>
      </c>
      <c r="N3384" s="7" t="str">
        <f t="shared" si="267"/>
        <v/>
      </c>
      <c r="O3384" s="8"/>
      <c r="P3384" s="26"/>
      <c r="S3384" s="10" t="str">
        <f t="shared" si="264"/>
        <v/>
      </c>
    </row>
    <row r="3385" spans="5:19" x14ac:dyDescent="0.3">
      <c r="E3385" s="9" t="str">
        <f>IF(DADOS!C3385="","",DADOS!C3385)</f>
        <v/>
      </c>
      <c r="F3385" s="9" t="str">
        <f>IF(DADOS!E3385="","",DADOS!E3385)</f>
        <v/>
      </c>
      <c r="G3385" s="9" t="str">
        <f>IF(DADOS!F3385="","",DADOS!F3385)</f>
        <v/>
      </c>
      <c r="K3385" s="6" t="str">
        <f t="shared" si="265"/>
        <v/>
      </c>
      <c r="L3385" s="7" t="str">
        <f t="shared" si="266"/>
        <v/>
      </c>
      <c r="M3385" s="7" t="str">
        <f t="shared" si="263"/>
        <v/>
      </c>
      <c r="N3385" s="7" t="str">
        <f t="shared" si="267"/>
        <v/>
      </c>
      <c r="O3385" s="8"/>
      <c r="P3385" s="26"/>
      <c r="S3385" s="10" t="str">
        <f t="shared" si="264"/>
        <v/>
      </c>
    </row>
    <row r="3386" spans="5:19" x14ac:dyDescent="0.3">
      <c r="E3386" s="9" t="str">
        <f>IF(DADOS!C3386="","",DADOS!C3386)</f>
        <v/>
      </c>
      <c r="F3386" s="9" t="str">
        <f>IF(DADOS!E3386="","",DADOS!E3386)</f>
        <v/>
      </c>
      <c r="G3386" s="9" t="str">
        <f>IF(DADOS!F3386="","",DADOS!F3386)</f>
        <v/>
      </c>
      <c r="K3386" s="6" t="str">
        <f t="shared" si="265"/>
        <v/>
      </c>
      <c r="L3386" s="7" t="str">
        <f t="shared" si="266"/>
        <v/>
      </c>
      <c r="M3386" s="7" t="str">
        <f t="shared" si="263"/>
        <v/>
      </c>
      <c r="N3386" s="7" t="str">
        <f t="shared" si="267"/>
        <v/>
      </c>
      <c r="O3386" s="8"/>
      <c r="P3386" s="26"/>
      <c r="S3386" s="10" t="str">
        <f t="shared" si="264"/>
        <v/>
      </c>
    </row>
    <row r="3387" spans="5:19" x14ac:dyDescent="0.3">
      <c r="E3387" s="9" t="str">
        <f>IF(DADOS!C3387="","",DADOS!C3387)</f>
        <v/>
      </c>
      <c r="F3387" s="9" t="str">
        <f>IF(DADOS!E3387="","",DADOS!E3387)</f>
        <v/>
      </c>
      <c r="G3387" s="9" t="str">
        <f>IF(DADOS!F3387="","",DADOS!F3387)</f>
        <v/>
      </c>
      <c r="K3387" s="6" t="str">
        <f t="shared" si="265"/>
        <v/>
      </c>
      <c r="L3387" s="7" t="str">
        <f t="shared" si="266"/>
        <v/>
      </c>
      <c r="M3387" s="7" t="str">
        <f t="shared" si="263"/>
        <v/>
      </c>
      <c r="N3387" s="7" t="str">
        <f t="shared" si="267"/>
        <v/>
      </c>
      <c r="O3387" s="8"/>
      <c r="P3387" s="26"/>
      <c r="S3387" s="10" t="str">
        <f t="shared" si="264"/>
        <v/>
      </c>
    </row>
    <row r="3388" spans="5:19" x14ac:dyDescent="0.3">
      <c r="E3388" s="9" t="str">
        <f>IF(DADOS!C3388="","",DADOS!C3388)</f>
        <v/>
      </c>
      <c r="F3388" s="9" t="str">
        <f>IF(DADOS!E3388="","",DADOS!E3388)</f>
        <v/>
      </c>
      <c r="G3388" s="9" t="str">
        <f>IF(DADOS!F3388="","",DADOS!F3388)</f>
        <v/>
      </c>
      <c r="K3388" s="6" t="str">
        <f t="shared" si="265"/>
        <v/>
      </c>
      <c r="L3388" s="7" t="str">
        <f t="shared" si="266"/>
        <v/>
      </c>
      <c r="M3388" s="7" t="str">
        <f t="shared" si="263"/>
        <v/>
      </c>
      <c r="N3388" s="7" t="str">
        <f t="shared" si="267"/>
        <v/>
      </c>
      <c r="O3388" s="8"/>
      <c r="P3388" s="26"/>
      <c r="S3388" s="10" t="str">
        <f t="shared" si="264"/>
        <v/>
      </c>
    </row>
    <row r="3389" spans="5:19" x14ac:dyDescent="0.3">
      <c r="E3389" s="9" t="str">
        <f>IF(DADOS!C3389="","",DADOS!C3389)</f>
        <v/>
      </c>
      <c r="F3389" s="9" t="str">
        <f>IF(DADOS!E3389="","",DADOS!E3389)</f>
        <v/>
      </c>
      <c r="G3389" s="9" t="str">
        <f>IF(DADOS!F3389="","",DADOS!F3389)</f>
        <v/>
      </c>
      <c r="K3389" s="6" t="str">
        <f t="shared" si="265"/>
        <v/>
      </c>
      <c r="L3389" s="7" t="str">
        <f t="shared" si="266"/>
        <v/>
      </c>
      <c r="M3389" s="7" t="str">
        <f t="shared" si="263"/>
        <v/>
      </c>
      <c r="N3389" s="7" t="str">
        <f t="shared" si="267"/>
        <v/>
      </c>
      <c r="O3389" s="8"/>
      <c r="P3389" s="26"/>
      <c r="S3389" s="10" t="str">
        <f t="shared" si="264"/>
        <v/>
      </c>
    </row>
    <row r="3390" spans="5:19" x14ac:dyDescent="0.3">
      <c r="E3390" s="9" t="str">
        <f>IF(DADOS!C3390="","",DADOS!C3390)</f>
        <v/>
      </c>
      <c r="F3390" s="9" t="str">
        <f>IF(DADOS!E3390="","",DADOS!E3390)</f>
        <v/>
      </c>
      <c r="G3390" s="9" t="str">
        <f>IF(DADOS!F3390="","",DADOS!F3390)</f>
        <v/>
      </c>
      <c r="K3390" s="6" t="str">
        <f t="shared" si="265"/>
        <v/>
      </c>
      <c r="L3390" s="7" t="str">
        <f t="shared" si="266"/>
        <v/>
      </c>
      <c r="M3390" s="7" t="str">
        <f t="shared" si="263"/>
        <v/>
      </c>
      <c r="N3390" s="7" t="str">
        <f t="shared" si="267"/>
        <v/>
      </c>
      <c r="O3390" s="8"/>
      <c r="P3390" s="26"/>
      <c r="S3390" s="10" t="str">
        <f t="shared" si="264"/>
        <v/>
      </c>
    </row>
    <row r="3391" spans="5:19" x14ac:dyDescent="0.3">
      <c r="E3391" s="9" t="str">
        <f>IF(DADOS!C3391="","",DADOS!C3391)</f>
        <v/>
      </c>
      <c r="F3391" s="9" t="str">
        <f>IF(DADOS!E3391="","",DADOS!E3391)</f>
        <v/>
      </c>
      <c r="G3391" s="9" t="str">
        <f>IF(DADOS!F3391="","",DADOS!F3391)</f>
        <v/>
      </c>
      <c r="K3391" s="6" t="str">
        <f t="shared" si="265"/>
        <v/>
      </c>
      <c r="L3391" s="7" t="str">
        <f t="shared" si="266"/>
        <v/>
      </c>
      <c r="M3391" s="7" t="str">
        <f t="shared" si="263"/>
        <v/>
      </c>
      <c r="N3391" s="7" t="str">
        <f t="shared" si="267"/>
        <v/>
      </c>
      <c r="O3391" s="8"/>
      <c r="P3391" s="26"/>
      <c r="S3391" s="10" t="str">
        <f t="shared" si="264"/>
        <v/>
      </c>
    </row>
    <row r="3392" spans="5:19" x14ac:dyDescent="0.3">
      <c r="E3392" s="9" t="str">
        <f>IF(DADOS!C3392="","",DADOS!C3392)</f>
        <v/>
      </c>
      <c r="F3392" s="9" t="str">
        <f>IF(DADOS!E3392="","",DADOS!E3392)</f>
        <v/>
      </c>
      <c r="G3392" s="9" t="str">
        <f>IF(DADOS!F3392="","",DADOS!F3392)</f>
        <v/>
      </c>
      <c r="K3392" s="6" t="str">
        <f t="shared" si="265"/>
        <v/>
      </c>
      <c r="L3392" s="7" t="str">
        <f t="shared" si="266"/>
        <v/>
      </c>
      <c r="M3392" s="7" t="str">
        <f t="shared" si="263"/>
        <v/>
      </c>
      <c r="N3392" s="7" t="str">
        <f t="shared" si="267"/>
        <v/>
      </c>
      <c r="O3392" s="8"/>
      <c r="P3392" s="26"/>
      <c r="S3392" s="10" t="str">
        <f t="shared" si="264"/>
        <v/>
      </c>
    </row>
    <row r="3393" spans="5:19" x14ac:dyDescent="0.3">
      <c r="E3393" s="9" t="str">
        <f>IF(DADOS!C3393="","",DADOS!C3393)</f>
        <v/>
      </c>
      <c r="F3393" s="9" t="str">
        <f>IF(DADOS!E3393="","",DADOS!E3393)</f>
        <v/>
      </c>
      <c r="G3393" s="9" t="str">
        <f>IF(DADOS!F3393="","",DADOS!F3393)</f>
        <v/>
      </c>
      <c r="K3393" s="6" t="str">
        <f t="shared" si="265"/>
        <v/>
      </c>
      <c r="L3393" s="7" t="str">
        <f t="shared" si="266"/>
        <v/>
      </c>
      <c r="M3393" s="7" t="str">
        <f t="shared" si="263"/>
        <v/>
      </c>
      <c r="N3393" s="7" t="str">
        <f t="shared" si="267"/>
        <v/>
      </c>
      <c r="O3393" s="8"/>
      <c r="P3393" s="26"/>
      <c r="S3393" s="10" t="str">
        <f t="shared" si="264"/>
        <v/>
      </c>
    </row>
    <row r="3394" spans="5:19" x14ac:dyDescent="0.3">
      <c r="E3394" s="9" t="str">
        <f>IF(DADOS!C3394="","",DADOS!C3394)</f>
        <v/>
      </c>
      <c r="F3394" s="9" t="str">
        <f>IF(DADOS!E3394="","",DADOS!E3394)</f>
        <v/>
      </c>
      <c r="G3394" s="9" t="str">
        <f>IF(DADOS!F3394="","",DADOS!F3394)</f>
        <v/>
      </c>
      <c r="K3394" s="6" t="str">
        <f t="shared" si="265"/>
        <v/>
      </c>
      <c r="L3394" s="7" t="str">
        <f t="shared" si="266"/>
        <v/>
      </c>
      <c r="M3394" s="7" t="str">
        <f t="shared" si="263"/>
        <v/>
      </c>
      <c r="N3394" s="7" t="str">
        <f t="shared" si="267"/>
        <v/>
      </c>
      <c r="O3394" s="8"/>
      <c r="P3394" s="26"/>
      <c r="S3394" s="10" t="str">
        <f t="shared" si="264"/>
        <v/>
      </c>
    </row>
    <row r="3395" spans="5:19" x14ac:dyDescent="0.3">
      <c r="E3395" s="9" t="str">
        <f>IF(DADOS!C3395="","",DADOS!C3395)</f>
        <v/>
      </c>
      <c r="F3395" s="9" t="str">
        <f>IF(DADOS!E3395="","",DADOS!E3395)</f>
        <v/>
      </c>
      <c r="G3395" s="9" t="str">
        <f>IF(DADOS!F3395="","",DADOS!F3395)</f>
        <v/>
      </c>
      <c r="K3395" s="6" t="str">
        <f t="shared" si="265"/>
        <v/>
      </c>
      <c r="L3395" s="7" t="str">
        <f t="shared" si="266"/>
        <v/>
      </c>
      <c r="M3395" s="7" t="str">
        <f t="shared" ref="M3395:M3458" si="268">IF(L3395="","",L3395*G3395)</f>
        <v/>
      </c>
      <c r="N3395" s="7" t="str">
        <f t="shared" si="267"/>
        <v/>
      </c>
      <c r="O3395" s="8"/>
      <c r="P3395" s="26"/>
      <c r="S3395" s="10" t="str">
        <f t="shared" ref="S3395:S3458" si="269">IF(R3395="","",SUMIFS($N$3:$N$10000,$E$3:$E$10000,R3395))</f>
        <v/>
      </c>
    </row>
    <row r="3396" spans="5:19" x14ac:dyDescent="0.3">
      <c r="E3396" s="9" t="str">
        <f>IF(DADOS!C3396="","",DADOS!C3396)</f>
        <v/>
      </c>
      <c r="F3396" s="9" t="str">
        <f>IF(DADOS!E3396="","",DADOS!E3396)</f>
        <v/>
      </c>
      <c r="G3396" s="9" t="str">
        <f>IF(DADOS!F3396="","",DADOS!F3396)</f>
        <v/>
      </c>
      <c r="K3396" s="6" t="str">
        <f t="shared" ref="K3396:K3459" si="270">IF(F3396="","",F3396/PI())</f>
        <v/>
      </c>
      <c r="L3396" s="7" t="str">
        <f t="shared" ref="L3396:L3459" si="271">IF(K3396="","",(PI()*K3396^2)/40000)</f>
        <v/>
      </c>
      <c r="M3396" s="7" t="str">
        <f t="shared" si="268"/>
        <v/>
      </c>
      <c r="N3396" s="7" t="str">
        <f t="shared" ref="N3396:N3459" si="272">IF(M3396="","",M3396*N$1)</f>
        <v/>
      </c>
      <c r="O3396" s="8"/>
      <c r="P3396" s="26"/>
      <c r="S3396" s="10" t="str">
        <f t="shared" si="269"/>
        <v/>
      </c>
    </row>
    <row r="3397" spans="5:19" x14ac:dyDescent="0.3">
      <c r="E3397" s="9" t="str">
        <f>IF(DADOS!C3397="","",DADOS!C3397)</f>
        <v/>
      </c>
      <c r="F3397" s="9" t="str">
        <f>IF(DADOS!E3397="","",DADOS!E3397)</f>
        <v/>
      </c>
      <c r="G3397" s="9" t="str">
        <f>IF(DADOS!F3397="","",DADOS!F3397)</f>
        <v/>
      </c>
      <c r="K3397" s="6" t="str">
        <f t="shared" si="270"/>
        <v/>
      </c>
      <c r="L3397" s="7" t="str">
        <f t="shared" si="271"/>
        <v/>
      </c>
      <c r="M3397" s="7" t="str">
        <f t="shared" si="268"/>
        <v/>
      </c>
      <c r="N3397" s="7" t="str">
        <f t="shared" si="272"/>
        <v/>
      </c>
      <c r="O3397" s="8"/>
      <c r="P3397" s="26"/>
      <c r="S3397" s="10" t="str">
        <f t="shared" si="269"/>
        <v/>
      </c>
    </row>
    <row r="3398" spans="5:19" x14ac:dyDescent="0.3">
      <c r="E3398" s="9" t="str">
        <f>IF(DADOS!C3398="","",DADOS!C3398)</f>
        <v/>
      </c>
      <c r="F3398" s="9" t="str">
        <f>IF(DADOS!E3398="","",DADOS!E3398)</f>
        <v/>
      </c>
      <c r="G3398" s="9" t="str">
        <f>IF(DADOS!F3398="","",DADOS!F3398)</f>
        <v/>
      </c>
      <c r="K3398" s="6" t="str">
        <f t="shared" si="270"/>
        <v/>
      </c>
      <c r="L3398" s="7" t="str">
        <f t="shared" si="271"/>
        <v/>
      </c>
      <c r="M3398" s="7" t="str">
        <f t="shared" si="268"/>
        <v/>
      </c>
      <c r="N3398" s="7" t="str">
        <f t="shared" si="272"/>
        <v/>
      </c>
      <c r="O3398" s="8"/>
      <c r="P3398" s="26"/>
      <c r="S3398" s="10" t="str">
        <f t="shared" si="269"/>
        <v/>
      </c>
    </row>
    <row r="3399" spans="5:19" x14ac:dyDescent="0.3">
      <c r="E3399" s="9" t="str">
        <f>IF(DADOS!C3399="","",DADOS!C3399)</f>
        <v/>
      </c>
      <c r="F3399" s="9" t="str">
        <f>IF(DADOS!E3399="","",DADOS!E3399)</f>
        <v/>
      </c>
      <c r="G3399" s="9" t="str">
        <f>IF(DADOS!F3399="","",DADOS!F3399)</f>
        <v/>
      </c>
      <c r="K3399" s="6" t="str">
        <f t="shared" si="270"/>
        <v/>
      </c>
      <c r="L3399" s="7" t="str">
        <f t="shared" si="271"/>
        <v/>
      </c>
      <c r="M3399" s="7" t="str">
        <f t="shared" si="268"/>
        <v/>
      </c>
      <c r="N3399" s="7" t="str">
        <f t="shared" si="272"/>
        <v/>
      </c>
      <c r="O3399" s="8"/>
      <c r="P3399" s="26"/>
      <c r="S3399" s="10" t="str">
        <f t="shared" si="269"/>
        <v/>
      </c>
    </row>
    <row r="3400" spans="5:19" x14ac:dyDescent="0.3">
      <c r="E3400" s="9" t="str">
        <f>IF(DADOS!C3400="","",DADOS!C3400)</f>
        <v/>
      </c>
      <c r="F3400" s="9" t="str">
        <f>IF(DADOS!E3400="","",DADOS!E3400)</f>
        <v/>
      </c>
      <c r="G3400" s="9" t="str">
        <f>IF(DADOS!F3400="","",DADOS!F3400)</f>
        <v/>
      </c>
      <c r="K3400" s="6" t="str">
        <f t="shared" si="270"/>
        <v/>
      </c>
      <c r="L3400" s="7" t="str">
        <f t="shared" si="271"/>
        <v/>
      </c>
      <c r="M3400" s="7" t="str">
        <f t="shared" si="268"/>
        <v/>
      </c>
      <c r="N3400" s="7" t="str">
        <f t="shared" si="272"/>
        <v/>
      </c>
      <c r="O3400" s="8"/>
      <c r="P3400" s="26"/>
      <c r="S3400" s="10" t="str">
        <f t="shared" si="269"/>
        <v/>
      </c>
    </row>
    <row r="3401" spans="5:19" x14ac:dyDescent="0.3">
      <c r="E3401" s="9" t="str">
        <f>IF(DADOS!C3401="","",DADOS!C3401)</f>
        <v/>
      </c>
      <c r="F3401" s="9" t="str">
        <f>IF(DADOS!E3401="","",DADOS!E3401)</f>
        <v/>
      </c>
      <c r="G3401" s="9" t="str">
        <f>IF(DADOS!F3401="","",DADOS!F3401)</f>
        <v/>
      </c>
      <c r="K3401" s="6" t="str">
        <f t="shared" si="270"/>
        <v/>
      </c>
      <c r="L3401" s="7" t="str">
        <f t="shared" si="271"/>
        <v/>
      </c>
      <c r="M3401" s="7" t="str">
        <f t="shared" si="268"/>
        <v/>
      </c>
      <c r="N3401" s="7" t="str">
        <f t="shared" si="272"/>
        <v/>
      </c>
      <c r="O3401" s="8"/>
      <c r="P3401" s="26"/>
      <c r="S3401" s="10" t="str">
        <f t="shared" si="269"/>
        <v/>
      </c>
    </row>
    <row r="3402" spans="5:19" x14ac:dyDescent="0.3">
      <c r="E3402" s="9" t="str">
        <f>IF(DADOS!C3402="","",DADOS!C3402)</f>
        <v/>
      </c>
      <c r="F3402" s="9" t="str">
        <f>IF(DADOS!E3402="","",DADOS!E3402)</f>
        <v/>
      </c>
      <c r="G3402" s="9" t="str">
        <f>IF(DADOS!F3402="","",DADOS!F3402)</f>
        <v/>
      </c>
      <c r="K3402" s="6" t="str">
        <f t="shared" si="270"/>
        <v/>
      </c>
      <c r="L3402" s="7" t="str">
        <f t="shared" si="271"/>
        <v/>
      </c>
      <c r="M3402" s="7" t="str">
        <f t="shared" si="268"/>
        <v/>
      </c>
      <c r="N3402" s="7" t="str">
        <f t="shared" si="272"/>
        <v/>
      </c>
      <c r="O3402" s="8"/>
      <c r="P3402" s="26"/>
      <c r="S3402" s="10" t="str">
        <f t="shared" si="269"/>
        <v/>
      </c>
    </row>
    <row r="3403" spans="5:19" x14ac:dyDescent="0.3">
      <c r="E3403" s="9" t="str">
        <f>IF(DADOS!C3403="","",DADOS!C3403)</f>
        <v/>
      </c>
      <c r="F3403" s="9" t="str">
        <f>IF(DADOS!E3403="","",DADOS!E3403)</f>
        <v/>
      </c>
      <c r="G3403" s="9" t="str">
        <f>IF(DADOS!F3403="","",DADOS!F3403)</f>
        <v/>
      </c>
      <c r="K3403" s="6" t="str">
        <f t="shared" si="270"/>
        <v/>
      </c>
      <c r="L3403" s="7" t="str">
        <f t="shared" si="271"/>
        <v/>
      </c>
      <c r="M3403" s="7" t="str">
        <f t="shared" si="268"/>
        <v/>
      </c>
      <c r="N3403" s="7" t="str">
        <f t="shared" si="272"/>
        <v/>
      </c>
      <c r="O3403" s="8"/>
      <c r="P3403" s="26"/>
      <c r="S3403" s="10" t="str">
        <f t="shared" si="269"/>
        <v/>
      </c>
    </row>
    <row r="3404" spans="5:19" x14ac:dyDescent="0.3">
      <c r="E3404" s="9" t="str">
        <f>IF(DADOS!C3404="","",DADOS!C3404)</f>
        <v/>
      </c>
      <c r="F3404" s="9" t="str">
        <f>IF(DADOS!E3404="","",DADOS!E3404)</f>
        <v/>
      </c>
      <c r="G3404" s="9" t="str">
        <f>IF(DADOS!F3404="","",DADOS!F3404)</f>
        <v/>
      </c>
      <c r="K3404" s="6" t="str">
        <f t="shared" si="270"/>
        <v/>
      </c>
      <c r="L3404" s="7" t="str">
        <f t="shared" si="271"/>
        <v/>
      </c>
      <c r="M3404" s="7" t="str">
        <f t="shared" si="268"/>
        <v/>
      </c>
      <c r="N3404" s="7" t="str">
        <f t="shared" si="272"/>
        <v/>
      </c>
      <c r="O3404" s="8"/>
      <c r="P3404" s="26"/>
      <c r="S3404" s="10" t="str">
        <f t="shared" si="269"/>
        <v/>
      </c>
    </row>
    <row r="3405" spans="5:19" x14ac:dyDescent="0.3">
      <c r="E3405" s="9" t="str">
        <f>IF(DADOS!C3405="","",DADOS!C3405)</f>
        <v/>
      </c>
      <c r="F3405" s="9" t="str">
        <f>IF(DADOS!E3405="","",DADOS!E3405)</f>
        <v/>
      </c>
      <c r="G3405" s="9" t="str">
        <f>IF(DADOS!F3405="","",DADOS!F3405)</f>
        <v/>
      </c>
      <c r="K3405" s="6" t="str">
        <f t="shared" si="270"/>
        <v/>
      </c>
      <c r="L3405" s="7" t="str">
        <f t="shared" si="271"/>
        <v/>
      </c>
      <c r="M3405" s="7" t="str">
        <f t="shared" si="268"/>
        <v/>
      </c>
      <c r="N3405" s="7" t="str">
        <f t="shared" si="272"/>
        <v/>
      </c>
      <c r="O3405" s="8"/>
      <c r="P3405" s="26"/>
      <c r="S3405" s="10" t="str">
        <f t="shared" si="269"/>
        <v/>
      </c>
    </row>
    <row r="3406" spans="5:19" x14ac:dyDescent="0.3">
      <c r="E3406" s="9" t="str">
        <f>IF(DADOS!C3406="","",DADOS!C3406)</f>
        <v/>
      </c>
      <c r="F3406" s="9" t="str">
        <f>IF(DADOS!E3406="","",DADOS!E3406)</f>
        <v/>
      </c>
      <c r="G3406" s="9" t="str">
        <f>IF(DADOS!F3406="","",DADOS!F3406)</f>
        <v/>
      </c>
      <c r="K3406" s="6" t="str">
        <f t="shared" si="270"/>
        <v/>
      </c>
      <c r="L3406" s="7" t="str">
        <f t="shared" si="271"/>
        <v/>
      </c>
      <c r="M3406" s="7" t="str">
        <f t="shared" si="268"/>
        <v/>
      </c>
      <c r="N3406" s="7" t="str">
        <f t="shared" si="272"/>
        <v/>
      </c>
      <c r="O3406" s="8"/>
      <c r="P3406" s="26"/>
      <c r="S3406" s="10" t="str">
        <f t="shared" si="269"/>
        <v/>
      </c>
    </row>
    <row r="3407" spans="5:19" x14ac:dyDescent="0.3">
      <c r="E3407" s="9" t="str">
        <f>IF(DADOS!C3407="","",DADOS!C3407)</f>
        <v/>
      </c>
      <c r="F3407" s="9" t="str">
        <f>IF(DADOS!E3407="","",DADOS!E3407)</f>
        <v/>
      </c>
      <c r="G3407" s="9" t="str">
        <f>IF(DADOS!F3407="","",DADOS!F3407)</f>
        <v/>
      </c>
      <c r="K3407" s="6" t="str">
        <f t="shared" si="270"/>
        <v/>
      </c>
      <c r="L3407" s="7" t="str">
        <f t="shared" si="271"/>
        <v/>
      </c>
      <c r="M3407" s="7" t="str">
        <f t="shared" si="268"/>
        <v/>
      </c>
      <c r="N3407" s="7" t="str">
        <f t="shared" si="272"/>
        <v/>
      </c>
      <c r="O3407" s="8"/>
      <c r="P3407" s="26"/>
      <c r="S3407" s="10" t="str">
        <f t="shared" si="269"/>
        <v/>
      </c>
    </row>
    <row r="3408" spans="5:19" x14ac:dyDescent="0.3">
      <c r="E3408" s="9" t="str">
        <f>IF(DADOS!C3408="","",DADOS!C3408)</f>
        <v/>
      </c>
      <c r="F3408" s="9" t="str">
        <f>IF(DADOS!E3408="","",DADOS!E3408)</f>
        <v/>
      </c>
      <c r="G3408" s="9" t="str">
        <f>IF(DADOS!F3408="","",DADOS!F3408)</f>
        <v/>
      </c>
      <c r="K3408" s="6" t="str">
        <f t="shared" si="270"/>
        <v/>
      </c>
      <c r="L3408" s="7" t="str">
        <f t="shared" si="271"/>
        <v/>
      </c>
      <c r="M3408" s="7" t="str">
        <f t="shared" si="268"/>
        <v/>
      </c>
      <c r="N3408" s="7" t="str">
        <f t="shared" si="272"/>
        <v/>
      </c>
      <c r="O3408" s="8"/>
      <c r="P3408" s="26"/>
      <c r="S3408" s="10" t="str">
        <f t="shared" si="269"/>
        <v/>
      </c>
    </row>
    <row r="3409" spans="5:19" x14ac:dyDescent="0.3">
      <c r="E3409" s="9" t="str">
        <f>IF(DADOS!C3409="","",DADOS!C3409)</f>
        <v/>
      </c>
      <c r="F3409" s="9" t="str">
        <f>IF(DADOS!E3409="","",DADOS!E3409)</f>
        <v/>
      </c>
      <c r="G3409" s="9" t="str">
        <f>IF(DADOS!F3409="","",DADOS!F3409)</f>
        <v/>
      </c>
      <c r="K3409" s="6" t="str">
        <f t="shared" si="270"/>
        <v/>
      </c>
      <c r="L3409" s="7" t="str">
        <f t="shared" si="271"/>
        <v/>
      </c>
      <c r="M3409" s="7" t="str">
        <f t="shared" si="268"/>
        <v/>
      </c>
      <c r="N3409" s="7" t="str">
        <f t="shared" si="272"/>
        <v/>
      </c>
      <c r="O3409" s="8"/>
      <c r="P3409" s="26"/>
      <c r="S3409" s="10" t="str">
        <f t="shared" si="269"/>
        <v/>
      </c>
    </row>
    <row r="3410" spans="5:19" x14ac:dyDescent="0.3">
      <c r="E3410" s="9" t="str">
        <f>IF(DADOS!C3410="","",DADOS!C3410)</f>
        <v/>
      </c>
      <c r="F3410" s="9" t="str">
        <f>IF(DADOS!E3410="","",DADOS!E3410)</f>
        <v/>
      </c>
      <c r="G3410" s="9" t="str">
        <f>IF(DADOS!F3410="","",DADOS!F3410)</f>
        <v/>
      </c>
      <c r="K3410" s="6" t="str">
        <f t="shared" si="270"/>
        <v/>
      </c>
      <c r="L3410" s="7" t="str">
        <f t="shared" si="271"/>
        <v/>
      </c>
      <c r="M3410" s="7" t="str">
        <f t="shared" si="268"/>
        <v/>
      </c>
      <c r="N3410" s="7" t="str">
        <f t="shared" si="272"/>
        <v/>
      </c>
      <c r="O3410" s="8"/>
      <c r="P3410" s="26"/>
      <c r="S3410" s="10" t="str">
        <f t="shared" si="269"/>
        <v/>
      </c>
    </row>
    <row r="3411" spans="5:19" x14ac:dyDescent="0.3">
      <c r="E3411" s="9" t="str">
        <f>IF(DADOS!C3411="","",DADOS!C3411)</f>
        <v/>
      </c>
      <c r="F3411" s="9" t="str">
        <f>IF(DADOS!E3411="","",DADOS!E3411)</f>
        <v/>
      </c>
      <c r="G3411" s="9" t="str">
        <f>IF(DADOS!F3411="","",DADOS!F3411)</f>
        <v/>
      </c>
      <c r="K3411" s="6" t="str">
        <f t="shared" si="270"/>
        <v/>
      </c>
      <c r="L3411" s="7" t="str">
        <f t="shared" si="271"/>
        <v/>
      </c>
      <c r="M3411" s="7" t="str">
        <f t="shared" si="268"/>
        <v/>
      </c>
      <c r="N3411" s="7" t="str">
        <f t="shared" si="272"/>
        <v/>
      </c>
      <c r="O3411" s="8"/>
      <c r="P3411" s="26"/>
      <c r="S3411" s="10" t="str">
        <f t="shared" si="269"/>
        <v/>
      </c>
    </row>
    <row r="3412" spans="5:19" x14ac:dyDescent="0.3">
      <c r="E3412" s="9" t="str">
        <f>IF(DADOS!C3412="","",DADOS!C3412)</f>
        <v/>
      </c>
      <c r="F3412" s="9" t="str">
        <f>IF(DADOS!E3412="","",DADOS!E3412)</f>
        <v/>
      </c>
      <c r="G3412" s="9" t="str">
        <f>IF(DADOS!F3412="","",DADOS!F3412)</f>
        <v/>
      </c>
      <c r="K3412" s="6" t="str">
        <f t="shared" si="270"/>
        <v/>
      </c>
      <c r="L3412" s="7" t="str">
        <f t="shared" si="271"/>
        <v/>
      </c>
      <c r="M3412" s="7" t="str">
        <f t="shared" si="268"/>
        <v/>
      </c>
      <c r="N3412" s="7" t="str">
        <f t="shared" si="272"/>
        <v/>
      </c>
      <c r="O3412" s="8"/>
      <c r="P3412" s="26"/>
      <c r="S3412" s="10" t="str">
        <f t="shared" si="269"/>
        <v/>
      </c>
    </row>
    <row r="3413" spans="5:19" x14ac:dyDescent="0.3">
      <c r="E3413" s="9" t="str">
        <f>IF(DADOS!C3413="","",DADOS!C3413)</f>
        <v/>
      </c>
      <c r="F3413" s="9" t="str">
        <f>IF(DADOS!E3413="","",DADOS!E3413)</f>
        <v/>
      </c>
      <c r="G3413" s="9" t="str">
        <f>IF(DADOS!F3413="","",DADOS!F3413)</f>
        <v/>
      </c>
      <c r="K3413" s="6" t="str">
        <f t="shared" si="270"/>
        <v/>
      </c>
      <c r="L3413" s="7" t="str">
        <f t="shared" si="271"/>
        <v/>
      </c>
      <c r="M3413" s="7" t="str">
        <f t="shared" si="268"/>
        <v/>
      </c>
      <c r="N3413" s="7" t="str">
        <f t="shared" si="272"/>
        <v/>
      </c>
      <c r="O3413" s="8"/>
      <c r="P3413" s="26"/>
      <c r="S3413" s="10" t="str">
        <f t="shared" si="269"/>
        <v/>
      </c>
    </row>
    <row r="3414" spans="5:19" x14ac:dyDescent="0.3">
      <c r="E3414" s="9" t="str">
        <f>IF(DADOS!C3414="","",DADOS!C3414)</f>
        <v/>
      </c>
      <c r="F3414" s="9" t="str">
        <f>IF(DADOS!E3414="","",DADOS!E3414)</f>
        <v/>
      </c>
      <c r="G3414" s="9" t="str">
        <f>IF(DADOS!F3414="","",DADOS!F3414)</f>
        <v/>
      </c>
      <c r="K3414" s="6" t="str">
        <f t="shared" si="270"/>
        <v/>
      </c>
      <c r="L3414" s="7" t="str">
        <f t="shared" si="271"/>
        <v/>
      </c>
      <c r="M3414" s="7" t="str">
        <f t="shared" si="268"/>
        <v/>
      </c>
      <c r="N3414" s="7" t="str">
        <f t="shared" si="272"/>
        <v/>
      </c>
      <c r="O3414" s="8"/>
      <c r="P3414" s="26"/>
      <c r="S3414" s="10" t="str">
        <f t="shared" si="269"/>
        <v/>
      </c>
    </row>
    <row r="3415" spans="5:19" x14ac:dyDescent="0.3">
      <c r="E3415" s="9" t="str">
        <f>IF(DADOS!C3415="","",DADOS!C3415)</f>
        <v/>
      </c>
      <c r="F3415" s="9" t="str">
        <f>IF(DADOS!E3415="","",DADOS!E3415)</f>
        <v/>
      </c>
      <c r="G3415" s="9" t="str">
        <f>IF(DADOS!F3415="","",DADOS!F3415)</f>
        <v/>
      </c>
      <c r="K3415" s="6" t="str">
        <f t="shared" si="270"/>
        <v/>
      </c>
      <c r="L3415" s="7" t="str">
        <f t="shared" si="271"/>
        <v/>
      </c>
      <c r="M3415" s="7" t="str">
        <f t="shared" si="268"/>
        <v/>
      </c>
      <c r="N3415" s="7" t="str">
        <f t="shared" si="272"/>
        <v/>
      </c>
      <c r="O3415" s="8"/>
      <c r="P3415" s="26"/>
      <c r="S3415" s="10" t="str">
        <f t="shared" si="269"/>
        <v/>
      </c>
    </row>
    <row r="3416" spans="5:19" x14ac:dyDescent="0.3">
      <c r="E3416" s="9" t="str">
        <f>IF(DADOS!C3416="","",DADOS!C3416)</f>
        <v/>
      </c>
      <c r="F3416" s="9" t="str">
        <f>IF(DADOS!E3416="","",DADOS!E3416)</f>
        <v/>
      </c>
      <c r="G3416" s="9" t="str">
        <f>IF(DADOS!F3416="","",DADOS!F3416)</f>
        <v/>
      </c>
      <c r="K3416" s="6" t="str">
        <f t="shared" si="270"/>
        <v/>
      </c>
      <c r="L3416" s="7" t="str">
        <f t="shared" si="271"/>
        <v/>
      </c>
      <c r="M3416" s="7" t="str">
        <f t="shared" si="268"/>
        <v/>
      </c>
      <c r="N3416" s="7" t="str">
        <f t="shared" si="272"/>
        <v/>
      </c>
      <c r="O3416" s="8"/>
      <c r="P3416" s="26"/>
      <c r="S3416" s="10" t="str">
        <f t="shared" si="269"/>
        <v/>
      </c>
    </row>
    <row r="3417" spans="5:19" x14ac:dyDescent="0.3">
      <c r="E3417" s="9" t="str">
        <f>IF(DADOS!C3417="","",DADOS!C3417)</f>
        <v/>
      </c>
      <c r="F3417" s="9" t="str">
        <f>IF(DADOS!E3417="","",DADOS!E3417)</f>
        <v/>
      </c>
      <c r="G3417" s="9" t="str">
        <f>IF(DADOS!F3417="","",DADOS!F3417)</f>
        <v/>
      </c>
      <c r="K3417" s="6" t="str">
        <f t="shared" si="270"/>
        <v/>
      </c>
      <c r="L3417" s="7" t="str">
        <f t="shared" si="271"/>
        <v/>
      </c>
      <c r="M3417" s="7" t="str">
        <f t="shared" si="268"/>
        <v/>
      </c>
      <c r="N3417" s="7" t="str">
        <f t="shared" si="272"/>
        <v/>
      </c>
      <c r="O3417" s="8"/>
      <c r="P3417" s="26"/>
      <c r="S3417" s="10" t="str">
        <f t="shared" si="269"/>
        <v/>
      </c>
    </row>
    <row r="3418" spans="5:19" x14ac:dyDescent="0.3">
      <c r="E3418" s="9" t="str">
        <f>IF(DADOS!C3418="","",DADOS!C3418)</f>
        <v/>
      </c>
      <c r="F3418" s="9" t="str">
        <f>IF(DADOS!E3418="","",DADOS!E3418)</f>
        <v/>
      </c>
      <c r="G3418" s="9" t="str">
        <f>IF(DADOS!F3418="","",DADOS!F3418)</f>
        <v/>
      </c>
      <c r="K3418" s="6" t="str">
        <f t="shared" si="270"/>
        <v/>
      </c>
      <c r="L3418" s="7" t="str">
        <f t="shared" si="271"/>
        <v/>
      </c>
      <c r="M3418" s="7" t="str">
        <f t="shared" si="268"/>
        <v/>
      </c>
      <c r="N3418" s="7" t="str">
        <f t="shared" si="272"/>
        <v/>
      </c>
      <c r="O3418" s="8"/>
      <c r="P3418" s="26"/>
      <c r="S3418" s="10" t="str">
        <f t="shared" si="269"/>
        <v/>
      </c>
    </row>
    <row r="3419" spans="5:19" x14ac:dyDescent="0.3">
      <c r="E3419" s="9" t="str">
        <f>IF(DADOS!C3419="","",DADOS!C3419)</f>
        <v/>
      </c>
      <c r="F3419" s="9" t="str">
        <f>IF(DADOS!E3419="","",DADOS!E3419)</f>
        <v/>
      </c>
      <c r="G3419" s="9" t="str">
        <f>IF(DADOS!F3419="","",DADOS!F3419)</f>
        <v/>
      </c>
      <c r="K3419" s="6" t="str">
        <f t="shared" si="270"/>
        <v/>
      </c>
      <c r="L3419" s="7" t="str">
        <f t="shared" si="271"/>
        <v/>
      </c>
      <c r="M3419" s="7" t="str">
        <f t="shared" si="268"/>
        <v/>
      </c>
      <c r="N3419" s="7" t="str">
        <f t="shared" si="272"/>
        <v/>
      </c>
      <c r="O3419" s="8"/>
      <c r="P3419" s="26"/>
      <c r="S3419" s="10" t="str">
        <f t="shared" si="269"/>
        <v/>
      </c>
    </row>
    <row r="3420" spans="5:19" x14ac:dyDescent="0.3">
      <c r="E3420" s="9" t="str">
        <f>IF(DADOS!C3420="","",DADOS!C3420)</f>
        <v/>
      </c>
      <c r="F3420" s="9" t="str">
        <f>IF(DADOS!E3420="","",DADOS!E3420)</f>
        <v/>
      </c>
      <c r="G3420" s="9" t="str">
        <f>IF(DADOS!F3420="","",DADOS!F3420)</f>
        <v/>
      </c>
      <c r="K3420" s="6" t="str">
        <f t="shared" si="270"/>
        <v/>
      </c>
      <c r="L3420" s="7" t="str">
        <f t="shared" si="271"/>
        <v/>
      </c>
      <c r="M3420" s="7" t="str">
        <f t="shared" si="268"/>
        <v/>
      </c>
      <c r="N3420" s="7" t="str">
        <f t="shared" si="272"/>
        <v/>
      </c>
      <c r="O3420" s="8"/>
      <c r="P3420" s="26"/>
      <c r="S3420" s="10" t="str">
        <f t="shared" si="269"/>
        <v/>
      </c>
    </row>
    <row r="3421" spans="5:19" x14ac:dyDescent="0.3">
      <c r="E3421" s="9" t="str">
        <f>IF(DADOS!C3421="","",DADOS!C3421)</f>
        <v/>
      </c>
      <c r="F3421" s="9" t="str">
        <f>IF(DADOS!E3421="","",DADOS!E3421)</f>
        <v/>
      </c>
      <c r="G3421" s="9" t="str">
        <f>IF(DADOS!F3421="","",DADOS!F3421)</f>
        <v/>
      </c>
      <c r="K3421" s="6" t="str">
        <f t="shared" si="270"/>
        <v/>
      </c>
      <c r="L3421" s="7" t="str">
        <f t="shared" si="271"/>
        <v/>
      </c>
      <c r="M3421" s="7" t="str">
        <f t="shared" si="268"/>
        <v/>
      </c>
      <c r="N3421" s="7" t="str">
        <f t="shared" si="272"/>
        <v/>
      </c>
      <c r="O3421" s="8"/>
      <c r="P3421" s="26"/>
      <c r="S3421" s="10" t="str">
        <f t="shared" si="269"/>
        <v/>
      </c>
    </row>
    <row r="3422" spans="5:19" x14ac:dyDescent="0.3">
      <c r="E3422" s="9" t="str">
        <f>IF(DADOS!C3422="","",DADOS!C3422)</f>
        <v/>
      </c>
      <c r="F3422" s="9" t="str">
        <f>IF(DADOS!E3422="","",DADOS!E3422)</f>
        <v/>
      </c>
      <c r="G3422" s="9" t="str">
        <f>IF(DADOS!F3422="","",DADOS!F3422)</f>
        <v/>
      </c>
      <c r="K3422" s="6" t="str">
        <f t="shared" si="270"/>
        <v/>
      </c>
      <c r="L3422" s="7" t="str">
        <f t="shared" si="271"/>
        <v/>
      </c>
      <c r="M3422" s="7" t="str">
        <f t="shared" si="268"/>
        <v/>
      </c>
      <c r="N3422" s="7" t="str">
        <f t="shared" si="272"/>
        <v/>
      </c>
      <c r="O3422" s="8"/>
      <c r="P3422" s="26"/>
      <c r="S3422" s="10" t="str">
        <f t="shared" si="269"/>
        <v/>
      </c>
    </row>
    <row r="3423" spans="5:19" x14ac:dyDescent="0.3">
      <c r="E3423" s="9" t="str">
        <f>IF(DADOS!C3423="","",DADOS!C3423)</f>
        <v/>
      </c>
      <c r="F3423" s="9" t="str">
        <f>IF(DADOS!E3423="","",DADOS!E3423)</f>
        <v/>
      </c>
      <c r="G3423" s="9" t="str">
        <f>IF(DADOS!F3423="","",DADOS!F3423)</f>
        <v/>
      </c>
      <c r="K3423" s="6" t="str">
        <f t="shared" si="270"/>
        <v/>
      </c>
      <c r="L3423" s="7" t="str">
        <f t="shared" si="271"/>
        <v/>
      </c>
      <c r="M3423" s="7" t="str">
        <f t="shared" si="268"/>
        <v/>
      </c>
      <c r="N3423" s="7" t="str">
        <f t="shared" si="272"/>
        <v/>
      </c>
      <c r="O3423" s="8"/>
      <c r="P3423" s="26"/>
      <c r="S3423" s="10" t="str">
        <f t="shared" si="269"/>
        <v/>
      </c>
    </row>
    <row r="3424" spans="5:19" x14ac:dyDescent="0.3">
      <c r="E3424" s="9" t="str">
        <f>IF(DADOS!C3424="","",DADOS!C3424)</f>
        <v/>
      </c>
      <c r="F3424" s="9" t="str">
        <f>IF(DADOS!E3424="","",DADOS!E3424)</f>
        <v/>
      </c>
      <c r="G3424" s="9" t="str">
        <f>IF(DADOS!F3424="","",DADOS!F3424)</f>
        <v/>
      </c>
      <c r="K3424" s="6" t="str">
        <f t="shared" si="270"/>
        <v/>
      </c>
      <c r="L3424" s="7" t="str">
        <f t="shared" si="271"/>
        <v/>
      </c>
      <c r="M3424" s="7" t="str">
        <f t="shared" si="268"/>
        <v/>
      </c>
      <c r="N3424" s="7" t="str">
        <f t="shared" si="272"/>
        <v/>
      </c>
      <c r="O3424" s="8"/>
      <c r="P3424" s="26"/>
      <c r="S3424" s="10" t="str">
        <f t="shared" si="269"/>
        <v/>
      </c>
    </row>
    <row r="3425" spans="5:19" x14ac:dyDescent="0.3">
      <c r="E3425" s="9" t="str">
        <f>IF(DADOS!C3425="","",DADOS!C3425)</f>
        <v/>
      </c>
      <c r="F3425" s="9" t="str">
        <f>IF(DADOS!E3425="","",DADOS!E3425)</f>
        <v/>
      </c>
      <c r="G3425" s="9" t="str">
        <f>IF(DADOS!F3425="","",DADOS!F3425)</f>
        <v/>
      </c>
      <c r="K3425" s="6" t="str">
        <f t="shared" si="270"/>
        <v/>
      </c>
      <c r="L3425" s="7" t="str">
        <f t="shared" si="271"/>
        <v/>
      </c>
      <c r="M3425" s="7" t="str">
        <f t="shared" si="268"/>
        <v/>
      </c>
      <c r="N3425" s="7" t="str">
        <f t="shared" si="272"/>
        <v/>
      </c>
      <c r="O3425" s="8"/>
      <c r="P3425" s="26"/>
      <c r="S3425" s="10" t="str">
        <f t="shared" si="269"/>
        <v/>
      </c>
    </row>
    <row r="3426" spans="5:19" x14ac:dyDescent="0.3">
      <c r="E3426" s="9" t="str">
        <f>IF(DADOS!C3426="","",DADOS!C3426)</f>
        <v/>
      </c>
      <c r="F3426" s="9" t="str">
        <f>IF(DADOS!E3426="","",DADOS!E3426)</f>
        <v/>
      </c>
      <c r="G3426" s="9" t="str">
        <f>IF(DADOS!F3426="","",DADOS!F3426)</f>
        <v/>
      </c>
      <c r="K3426" s="6" t="str">
        <f t="shared" si="270"/>
        <v/>
      </c>
      <c r="L3426" s="7" t="str">
        <f t="shared" si="271"/>
        <v/>
      </c>
      <c r="M3426" s="7" t="str">
        <f t="shared" si="268"/>
        <v/>
      </c>
      <c r="N3426" s="7" t="str">
        <f t="shared" si="272"/>
        <v/>
      </c>
      <c r="O3426" s="8"/>
      <c r="P3426" s="26"/>
      <c r="S3426" s="10" t="str">
        <f t="shared" si="269"/>
        <v/>
      </c>
    </row>
    <row r="3427" spans="5:19" x14ac:dyDescent="0.3">
      <c r="E3427" s="9" t="str">
        <f>IF(DADOS!C3427="","",DADOS!C3427)</f>
        <v/>
      </c>
      <c r="F3427" s="9" t="str">
        <f>IF(DADOS!E3427="","",DADOS!E3427)</f>
        <v/>
      </c>
      <c r="G3427" s="9" t="str">
        <f>IF(DADOS!F3427="","",DADOS!F3427)</f>
        <v/>
      </c>
      <c r="K3427" s="6" t="str">
        <f t="shared" si="270"/>
        <v/>
      </c>
      <c r="L3427" s="7" t="str">
        <f t="shared" si="271"/>
        <v/>
      </c>
      <c r="M3427" s="7" t="str">
        <f t="shared" si="268"/>
        <v/>
      </c>
      <c r="N3427" s="7" t="str">
        <f t="shared" si="272"/>
        <v/>
      </c>
      <c r="O3427" s="8"/>
      <c r="P3427" s="26"/>
      <c r="S3427" s="10" t="str">
        <f t="shared" si="269"/>
        <v/>
      </c>
    </row>
    <row r="3428" spans="5:19" x14ac:dyDescent="0.3">
      <c r="E3428" s="9" t="str">
        <f>IF(DADOS!C3428="","",DADOS!C3428)</f>
        <v/>
      </c>
      <c r="F3428" s="9" t="str">
        <f>IF(DADOS!E3428="","",DADOS!E3428)</f>
        <v/>
      </c>
      <c r="G3428" s="9" t="str">
        <f>IF(DADOS!F3428="","",DADOS!F3428)</f>
        <v/>
      </c>
      <c r="K3428" s="6" t="str">
        <f t="shared" si="270"/>
        <v/>
      </c>
      <c r="L3428" s="7" t="str">
        <f t="shared" si="271"/>
        <v/>
      </c>
      <c r="M3428" s="7" t="str">
        <f t="shared" si="268"/>
        <v/>
      </c>
      <c r="N3428" s="7" t="str">
        <f t="shared" si="272"/>
        <v/>
      </c>
      <c r="O3428" s="8"/>
      <c r="P3428" s="26"/>
      <c r="S3428" s="10" t="str">
        <f t="shared" si="269"/>
        <v/>
      </c>
    </row>
    <row r="3429" spans="5:19" x14ac:dyDescent="0.3">
      <c r="E3429" s="9" t="str">
        <f>IF(DADOS!C3429="","",DADOS!C3429)</f>
        <v/>
      </c>
      <c r="F3429" s="9" t="str">
        <f>IF(DADOS!E3429="","",DADOS!E3429)</f>
        <v/>
      </c>
      <c r="G3429" s="9" t="str">
        <f>IF(DADOS!F3429="","",DADOS!F3429)</f>
        <v/>
      </c>
      <c r="K3429" s="6" t="str">
        <f t="shared" si="270"/>
        <v/>
      </c>
      <c r="L3429" s="7" t="str">
        <f t="shared" si="271"/>
        <v/>
      </c>
      <c r="M3429" s="7" t="str">
        <f t="shared" si="268"/>
        <v/>
      </c>
      <c r="N3429" s="7" t="str">
        <f t="shared" si="272"/>
        <v/>
      </c>
      <c r="O3429" s="8"/>
      <c r="P3429" s="26"/>
      <c r="S3429" s="10" t="str">
        <f t="shared" si="269"/>
        <v/>
      </c>
    </row>
    <row r="3430" spans="5:19" x14ac:dyDescent="0.3">
      <c r="E3430" s="9" t="str">
        <f>IF(DADOS!C3430="","",DADOS!C3430)</f>
        <v/>
      </c>
      <c r="F3430" s="9" t="str">
        <f>IF(DADOS!E3430="","",DADOS!E3430)</f>
        <v/>
      </c>
      <c r="G3430" s="9" t="str">
        <f>IF(DADOS!F3430="","",DADOS!F3430)</f>
        <v/>
      </c>
      <c r="K3430" s="6" t="str">
        <f t="shared" si="270"/>
        <v/>
      </c>
      <c r="L3430" s="7" t="str">
        <f t="shared" si="271"/>
        <v/>
      </c>
      <c r="M3430" s="7" t="str">
        <f t="shared" si="268"/>
        <v/>
      </c>
      <c r="N3430" s="7" t="str">
        <f t="shared" si="272"/>
        <v/>
      </c>
      <c r="O3430" s="8"/>
      <c r="P3430" s="26"/>
      <c r="S3430" s="10" t="str">
        <f t="shared" si="269"/>
        <v/>
      </c>
    </row>
    <row r="3431" spans="5:19" x14ac:dyDescent="0.3">
      <c r="E3431" s="9" t="str">
        <f>IF(DADOS!C3431="","",DADOS!C3431)</f>
        <v/>
      </c>
      <c r="F3431" s="9" t="str">
        <f>IF(DADOS!E3431="","",DADOS!E3431)</f>
        <v/>
      </c>
      <c r="G3431" s="9" t="str">
        <f>IF(DADOS!F3431="","",DADOS!F3431)</f>
        <v/>
      </c>
      <c r="K3431" s="6" t="str">
        <f t="shared" si="270"/>
        <v/>
      </c>
      <c r="L3431" s="7" t="str">
        <f t="shared" si="271"/>
        <v/>
      </c>
      <c r="M3431" s="7" t="str">
        <f t="shared" si="268"/>
        <v/>
      </c>
      <c r="N3431" s="7" t="str">
        <f t="shared" si="272"/>
        <v/>
      </c>
      <c r="O3431" s="8"/>
      <c r="P3431" s="26"/>
      <c r="S3431" s="10" t="str">
        <f t="shared" si="269"/>
        <v/>
      </c>
    </row>
    <row r="3432" spans="5:19" x14ac:dyDescent="0.3">
      <c r="E3432" s="9" t="str">
        <f>IF(DADOS!C3432="","",DADOS!C3432)</f>
        <v/>
      </c>
      <c r="F3432" s="9" t="str">
        <f>IF(DADOS!E3432="","",DADOS!E3432)</f>
        <v/>
      </c>
      <c r="G3432" s="9" t="str">
        <f>IF(DADOS!F3432="","",DADOS!F3432)</f>
        <v/>
      </c>
      <c r="K3432" s="6" t="str">
        <f t="shared" si="270"/>
        <v/>
      </c>
      <c r="L3432" s="7" t="str">
        <f t="shared" si="271"/>
        <v/>
      </c>
      <c r="M3432" s="7" t="str">
        <f t="shared" si="268"/>
        <v/>
      </c>
      <c r="N3432" s="7" t="str">
        <f t="shared" si="272"/>
        <v/>
      </c>
      <c r="O3432" s="8"/>
      <c r="P3432" s="26"/>
      <c r="S3432" s="10" t="str">
        <f t="shared" si="269"/>
        <v/>
      </c>
    </row>
    <row r="3433" spans="5:19" x14ac:dyDescent="0.3">
      <c r="E3433" s="9" t="str">
        <f>IF(DADOS!C3433="","",DADOS!C3433)</f>
        <v/>
      </c>
      <c r="F3433" s="9" t="str">
        <f>IF(DADOS!E3433="","",DADOS!E3433)</f>
        <v/>
      </c>
      <c r="G3433" s="9" t="str">
        <f>IF(DADOS!F3433="","",DADOS!F3433)</f>
        <v/>
      </c>
      <c r="K3433" s="6" t="str">
        <f t="shared" si="270"/>
        <v/>
      </c>
      <c r="L3433" s="7" t="str">
        <f t="shared" si="271"/>
        <v/>
      </c>
      <c r="M3433" s="7" t="str">
        <f t="shared" si="268"/>
        <v/>
      </c>
      <c r="N3433" s="7" t="str">
        <f t="shared" si="272"/>
        <v/>
      </c>
      <c r="O3433" s="8"/>
      <c r="P3433" s="26"/>
      <c r="S3433" s="10" t="str">
        <f t="shared" si="269"/>
        <v/>
      </c>
    </row>
    <row r="3434" spans="5:19" x14ac:dyDescent="0.3">
      <c r="E3434" s="9" t="str">
        <f>IF(DADOS!C3434="","",DADOS!C3434)</f>
        <v/>
      </c>
      <c r="F3434" s="9" t="str">
        <f>IF(DADOS!E3434="","",DADOS!E3434)</f>
        <v/>
      </c>
      <c r="G3434" s="9" t="str">
        <f>IF(DADOS!F3434="","",DADOS!F3434)</f>
        <v/>
      </c>
      <c r="K3434" s="6" t="str">
        <f t="shared" si="270"/>
        <v/>
      </c>
      <c r="L3434" s="7" t="str">
        <f t="shared" si="271"/>
        <v/>
      </c>
      <c r="M3434" s="7" t="str">
        <f t="shared" si="268"/>
        <v/>
      </c>
      <c r="N3434" s="7" t="str">
        <f t="shared" si="272"/>
        <v/>
      </c>
      <c r="O3434" s="8"/>
      <c r="P3434" s="26"/>
      <c r="S3434" s="10" t="str">
        <f t="shared" si="269"/>
        <v/>
      </c>
    </row>
    <row r="3435" spans="5:19" x14ac:dyDescent="0.3">
      <c r="E3435" s="9" t="str">
        <f>IF(DADOS!C3435="","",DADOS!C3435)</f>
        <v/>
      </c>
      <c r="F3435" s="9" t="str">
        <f>IF(DADOS!E3435="","",DADOS!E3435)</f>
        <v/>
      </c>
      <c r="G3435" s="9" t="str">
        <f>IF(DADOS!F3435="","",DADOS!F3435)</f>
        <v/>
      </c>
      <c r="K3435" s="6" t="str">
        <f t="shared" si="270"/>
        <v/>
      </c>
      <c r="L3435" s="7" t="str">
        <f t="shared" si="271"/>
        <v/>
      </c>
      <c r="M3435" s="7" t="str">
        <f t="shared" si="268"/>
        <v/>
      </c>
      <c r="N3435" s="7" t="str">
        <f t="shared" si="272"/>
        <v/>
      </c>
      <c r="O3435" s="8"/>
      <c r="P3435" s="26"/>
      <c r="S3435" s="10" t="str">
        <f t="shared" si="269"/>
        <v/>
      </c>
    </row>
    <row r="3436" spans="5:19" x14ac:dyDescent="0.3">
      <c r="E3436" s="9" t="str">
        <f>IF(DADOS!C3436="","",DADOS!C3436)</f>
        <v/>
      </c>
      <c r="F3436" s="9" t="str">
        <f>IF(DADOS!E3436="","",DADOS!E3436)</f>
        <v/>
      </c>
      <c r="G3436" s="9" t="str">
        <f>IF(DADOS!F3436="","",DADOS!F3436)</f>
        <v/>
      </c>
      <c r="K3436" s="6" t="str">
        <f t="shared" si="270"/>
        <v/>
      </c>
      <c r="L3436" s="7" t="str">
        <f t="shared" si="271"/>
        <v/>
      </c>
      <c r="M3436" s="7" t="str">
        <f t="shared" si="268"/>
        <v/>
      </c>
      <c r="N3436" s="7" t="str">
        <f t="shared" si="272"/>
        <v/>
      </c>
      <c r="O3436" s="8"/>
      <c r="P3436" s="26"/>
      <c r="S3436" s="10" t="str">
        <f t="shared" si="269"/>
        <v/>
      </c>
    </row>
    <row r="3437" spans="5:19" x14ac:dyDescent="0.3">
      <c r="E3437" s="9" t="str">
        <f>IF(DADOS!C3437="","",DADOS!C3437)</f>
        <v/>
      </c>
      <c r="F3437" s="9" t="str">
        <f>IF(DADOS!E3437="","",DADOS!E3437)</f>
        <v/>
      </c>
      <c r="G3437" s="9" t="str">
        <f>IF(DADOS!F3437="","",DADOS!F3437)</f>
        <v/>
      </c>
      <c r="K3437" s="6" t="str">
        <f t="shared" si="270"/>
        <v/>
      </c>
      <c r="L3437" s="7" t="str">
        <f t="shared" si="271"/>
        <v/>
      </c>
      <c r="M3437" s="7" t="str">
        <f t="shared" si="268"/>
        <v/>
      </c>
      <c r="N3437" s="7" t="str">
        <f t="shared" si="272"/>
        <v/>
      </c>
      <c r="O3437" s="8"/>
      <c r="P3437" s="26"/>
      <c r="S3437" s="10" t="str">
        <f t="shared" si="269"/>
        <v/>
      </c>
    </row>
    <row r="3438" spans="5:19" x14ac:dyDescent="0.3">
      <c r="E3438" s="9" t="str">
        <f>IF(DADOS!C3438="","",DADOS!C3438)</f>
        <v/>
      </c>
      <c r="F3438" s="9" t="str">
        <f>IF(DADOS!E3438="","",DADOS!E3438)</f>
        <v/>
      </c>
      <c r="G3438" s="9" t="str">
        <f>IF(DADOS!F3438="","",DADOS!F3438)</f>
        <v/>
      </c>
      <c r="K3438" s="6" t="str">
        <f t="shared" si="270"/>
        <v/>
      </c>
      <c r="L3438" s="7" t="str">
        <f t="shared" si="271"/>
        <v/>
      </c>
      <c r="M3438" s="7" t="str">
        <f t="shared" si="268"/>
        <v/>
      </c>
      <c r="N3438" s="7" t="str">
        <f t="shared" si="272"/>
        <v/>
      </c>
      <c r="O3438" s="8"/>
      <c r="P3438" s="26"/>
      <c r="S3438" s="10" t="str">
        <f t="shared" si="269"/>
        <v/>
      </c>
    </row>
    <row r="3439" spans="5:19" x14ac:dyDescent="0.3">
      <c r="E3439" s="9" t="str">
        <f>IF(DADOS!C3439="","",DADOS!C3439)</f>
        <v/>
      </c>
      <c r="F3439" s="9" t="str">
        <f>IF(DADOS!E3439="","",DADOS!E3439)</f>
        <v/>
      </c>
      <c r="G3439" s="9" t="str">
        <f>IF(DADOS!F3439="","",DADOS!F3439)</f>
        <v/>
      </c>
      <c r="K3439" s="6" t="str">
        <f t="shared" si="270"/>
        <v/>
      </c>
      <c r="L3439" s="7" t="str">
        <f t="shared" si="271"/>
        <v/>
      </c>
      <c r="M3439" s="7" t="str">
        <f t="shared" si="268"/>
        <v/>
      </c>
      <c r="N3439" s="7" t="str">
        <f t="shared" si="272"/>
        <v/>
      </c>
      <c r="O3439" s="8"/>
      <c r="P3439" s="26"/>
      <c r="S3439" s="10" t="str">
        <f t="shared" si="269"/>
        <v/>
      </c>
    </row>
    <row r="3440" spans="5:19" x14ac:dyDescent="0.3">
      <c r="E3440" s="9" t="str">
        <f>IF(DADOS!C3440="","",DADOS!C3440)</f>
        <v/>
      </c>
      <c r="F3440" s="9" t="str">
        <f>IF(DADOS!E3440="","",DADOS!E3440)</f>
        <v/>
      </c>
      <c r="G3440" s="9" t="str">
        <f>IF(DADOS!F3440="","",DADOS!F3440)</f>
        <v/>
      </c>
      <c r="K3440" s="6" t="str">
        <f t="shared" si="270"/>
        <v/>
      </c>
      <c r="L3440" s="7" t="str">
        <f t="shared" si="271"/>
        <v/>
      </c>
      <c r="M3440" s="7" t="str">
        <f t="shared" si="268"/>
        <v/>
      </c>
      <c r="N3440" s="7" t="str">
        <f t="shared" si="272"/>
        <v/>
      </c>
      <c r="O3440" s="8"/>
      <c r="P3440" s="26"/>
      <c r="S3440" s="10" t="str">
        <f t="shared" si="269"/>
        <v/>
      </c>
    </row>
    <row r="3441" spans="5:19" x14ac:dyDescent="0.3">
      <c r="E3441" s="9" t="str">
        <f>IF(DADOS!C3441="","",DADOS!C3441)</f>
        <v/>
      </c>
      <c r="F3441" s="9" t="str">
        <f>IF(DADOS!E3441="","",DADOS!E3441)</f>
        <v/>
      </c>
      <c r="G3441" s="9" t="str">
        <f>IF(DADOS!F3441="","",DADOS!F3441)</f>
        <v/>
      </c>
      <c r="K3441" s="6" t="str">
        <f t="shared" si="270"/>
        <v/>
      </c>
      <c r="L3441" s="7" t="str">
        <f t="shared" si="271"/>
        <v/>
      </c>
      <c r="M3441" s="7" t="str">
        <f t="shared" si="268"/>
        <v/>
      </c>
      <c r="N3441" s="7" t="str">
        <f t="shared" si="272"/>
        <v/>
      </c>
      <c r="O3441" s="8"/>
      <c r="P3441" s="26"/>
      <c r="S3441" s="10" t="str">
        <f t="shared" si="269"/>
        <v/>
      </c>
    </row>
    <row r="3442" spans="5:19" x14ac:dyDescent="0.3">
      <c r="E3442" s="9" t="str">
        <f>IF(DADOS!C3442="","",DADOS!C3442)</f>
        <v/>
      </c>
      <c r="F3442" s="9" t="str">
        <f>IF(DADOS!E3442="","",DADOS!E3442)</f>
        <v/>
      </c>
      <c r="G3442" s="9" t="str">
        <f>IF(DADOS!F3442="","",DADOS!F3442)</f>
        <v/>
      </c>
      <c r="K3442" s="6" t="str">
        <f t="shared" si="270"/>
        <v/>
      </c>
      <c r="L3442" s="7" t="str">
        <f t="shared" si="271"/>
        <v/>
      </c>
      <c r="M3442" s="7" t="str">
        <f t="shared" si="268"/>
        <v/>
      </c>
      <c r="N3442" s="7" t="str">
        <f t="shared" si="272"/>
        <v/>
      </c>
      <c r="O3442" s="8"/>
      <c r="P3442" s="26"/>
      <c r="S3442" s="10" t="str">
        <f t="shared" si="269"/>
        <v/>
      </c>
    </row>
    <row r="3443" spans="5:19" x14ac:dyDescent="0.3">
      <c r="E3443" s="9" t="str">
        <f>IF(DADOS!C3443="","",DADOS!C3443)</f>
        <v/>
      </c>
      <c r="F3443" s="9" t="str">
        <f>IF(DADOS!E3443="","",DADOS!E3443)</f>
        <v/>
      </c>
      <c r="G3443" s="9" t="str">
        <f>IF(DADOS!F3443="","",DADOS!F3443)</f>
        <v/>
      </c>
      <c r="K3443" s="6" t="str">
        <f t="shared" si="270"/>
        <v/>
      </c>
      <c r="L3443" s="7" t="str">
        <f t="shared" si="271"/>
        <v/>
      </c>
      <c r="M3443" s="7" t="str">
        <f t="shared" si="268"/>
        <v/>
      </c>
      <c r="N3443" s="7" t="str">
        <f t="shared" si="272"/>
        <v/>
      </c>
      <c r="O3443" s="8"/>
      <c r="P3443" s="26"/>
      <c r="S3443" s="10" t="str">
        <f t="shared" si="269"/>
        <v/>
      </c>
    </row>
    <row r="3444" spans="5:19" x14ac:dyDescent="0.3">
      <c r="E3444" s="9" t="str">
        <f>IF(DADOS!C3444="","",DADOS!C3444)</f>
        <v/>
      </c>
      <c r="F3444" s="9" t="str">
        <f>IF(DADOS!E3444="","",DADOS!E3444)</f>
        <v/>
      </c>
      <c r="G3444" s="9" t="str">
        <f>IF(DADOS!F3444="","",DADOS!F3444)</f>
        <v/>
      </c>
      <c r="K3444" s="6" t="str">
        <f t="shared" si="270"/>
        <v/>
      </c>
      <c r="L3444" s="7" t="str">
        <f t="shared" si="271"/>
        <v/>
      </c>
      <c r="M3444" s="7" t="str">
        <f t="shared" si="268"/>
        <v/>
      </c>
      <c r="N3444" s="7" t="str">
        <f t="shared" si="272"/>
        <v/>
      </c>
      <c r="O3444" s="8"/>
      <c r="P3444" s="26"/>
      <c r="S3444" s="10" t="str">
        <f t="shared" si="269"/>
        <v/>
      </c>
    </row>
    <row r="3445" spans="5:19" x14ac:dyDescent="0.3">
      <c r="E3445" s="9" t="str">
        <f>IF(DADOS!C3445="","",DADOS!C3445)</f>
        <v/>
      </c>
      <c r="F3445" s="9" t="str">
        <f>IF(DADOS!E3445="","",DADOS!E3445)</f>
        <v/>
      </c>
      <c r="G3445" s="9" t="str">
        <f>IF(DADOS!F3445="","",DADOS!F3445)</f>
        <v/>
      </c>
      <c r="K3445" s="6" t="str">
        <f t="shared" si="270"/>
        <v/>
      </c>
      <c r="L3445" s="7" t="str">
        <f t="shared" si="271"/>
        <v/>
      </c>
      <c r="M3445" s="7" t="str">
        <f t="shared" si="268"/>
        <v/>
      </c>
      <c r="N3445" s="7" t="str">
        <f t="shared" si="272"/>
        <v/>
      </c>
      <c r="O3445" s="8"/>
      <c r="P3445" s="26"/>
      <c r="S3445" s="10" t="str">
        <f t="shared" si="269"/>
        <v/>
      </c>
    </row>
    <row r="3446" spans="5:19" x14ac:dyDescent="0.3">
      <c r="E3446" s="9" t="str">
        <f>IF(DADOS!C3446="","",DADOS!C3446)</f>
        <v/>
      </c>
      <c r="F3446" s="9" t="str">
        <f>IF(DADOS!E3446="","",DADOS!E3446)</f>
        <v/>
      </c>
      <c r="G3446" s="9" t="str">
        <f>IF(DADOS!F3446="","",DADOS!F3446)</f>
        <v/>
      </c>
      <c r="K3446" s="6" t="str">
        <f t="shared" si="270"/>
        <v/>
      </c>
      <c r="L3446" s="7" t="str">
        <f t="shared" si="271"/>
        <v/>
      </c>
      <c r="M3446" s="7" t="str">
        <f t="shared" si="268"/>
        <v/>
      </c>
      <c r="N3446" s="7" t="str">
        <f t="shared" si="272"/>
        <v/>
      </c>
      <c r="O3446" s="8"/>
      <c r="P3446" s="26"/>
      <c r="S3446" s="10" t="str">
        <f t="shared" si="269"/>
        <v/>
      </c>
    </row>
    <row r="3447" spans="5:19" x14ac:dyDescent="0.3">
      <c r="E3447" s="9" t="str">
        <f>IF(DADOS!C3447="","",DADOS!C3447)</f>
        <v/>
      </c>
      <c r="F3447" s="9" t="str">
        <f>IF(DADOS!E3447="","",DADOS!E3447)</f>
        <v/>
      </c>
      <c r="G3447" s="9" t="str">
        <f>IF(DADOS!F3447="","",DADOS!F3447)</f>
        <v/>
      </c>
      <c r="K3447" s="6" t="str">
        <f t="shared" si="270"/>
        <v/>
      </c>
      <c r="L3447" s="7" t="str">
        <f t="shared" si="271"/>
        <v/>
      </c>
      <c r="M3447" s="7" t="str">
        <f t="shared" si="268"/>
        <v/>
      </c>
      <c r="N3447" s="7" t="str">
        <f t="shared" si="272"/>
        <v/>
      </c>
      <c r="O3447" s="8"/>
      <c r="P3447" s="26"/>
      <c r="S3447" s="10" t="str">
        <f t="shared" si="269"/>
        <v/>
      </c>
    </row>
    <row r="3448" spans="5:19" x14ac:dyDescent="0.3">
      <c r="E3448" s="9" t="str">
        <f>IF(DADOS!C3448="","",DADOS!C3448)</f>
        <v/>
      </c>
      <c r="F3448" s="9" t="str">
        <f>IF(DADOS!E3448="","",DADOS!E3448)</f>
        <v/>
      </c>
      <c r="G3448" s="9" t="str">
        <f>IF(DADOS!F3448="","",DADOS!F3448)</f>
        <v/>
      </c>
      <c r="K3448" s="6" t="str">
        <f t="shared" si="270"/>
        <v/>
      </c>
      <c r="L3448" s="7" t="str">
        <f t="shared" si="271"/>
        <v/>
      </c>
      <c r="M3448" s="7" t="str">
        <f t="shared" si="268"/>
        <v/>
      </c>
      <c r="N3448" s="7" t="str">
        <f t="shared" si="272"/>
        <v/>
      </c>
      <c r="O3448" s="8"/>
      <c r="P3448" s="26"/>
      <c r="S3448" s="10" t="str">
        <f t="shared" si="269"/>
        <v/>
      </c>
    </row>
    <row r="3449" spans="5:19" x14ac:dyDescent="0.3">
      <c r="E3449" s="9" t="str">
        <f>IF(DADOS!C3449="","",DADOS!C3449)</f>
        <v/>
      </c>
      <c r="F3449" s="9" t="str">
        <f>IF(DADOS!E3449="","",DADOS!E3449)</f>
        <v/>
      </c>
      <c r="G3449" s="9" t="str">
        <f>IF(DADOS!F3449="","",DADOS!F3449)</f>
        <v/>
      </c>
      <c r="K3449" s="6" t="str">
        <f t="shared" si="270"/>
        <v/>
      </c>
      <c r="L3449" s="7" t="str">
        <f t="shared" si="271"/>
        <v/>
      </c>
      <c r="M3449" s="7" t="str">
        <f t="shared" si="268"/>
        <v/>
      </c>
      <c r="N3449" s="7" t="str">
        <f t="shared" si="272"/>
        <v/>
      </c>
      <c r="O3449" s="8"/>
      <c r="P3449" s="26"/>
      <c r="S3449" s="10" t="str">
        <f t="shared" si="269"/>
        <v/>
      </c>
    </row>
    <row r="3450" spans="5:19" x14ac:dyDescent="0.3">
      <c r="E3450" s="9" t="str">
        <f>IF(DADOS!C3450="","",DADOS!C3450)</f>
        <v/>
      </c>
      <c r="F3450" s="9" t="str">
        <f>IF(DADOS!E3450="","",DADOS!E3450)</f>
        <v/>
      </c>
      <c r="G3450" s="9" t="str">
        <f>IF(DADOS!F3450="","",DADOS!F3450)</f>
        <v/>
      </c>
      <c r="K3450" s="6" t="str">
        <f t="shared" si="270"/>
        <v/>
      </c>
      <c r="L3450" s="7" t="str">
        <f t="shared" si="271"/>
        <v/>
      </c>
      <c r="M3450" s="7" t="str">
        <f t="shared" si="268"/>
        <v/>
      </c>
      <c r="N3450" s="7" t="str">
        <f t="shared" si="272"/>
        <v/>
      </c>
      <c r="O3450" s="8"/>
      <c r="P3450" s="26"/>
      <c r="S3450" s="10" t="str">
        <f t="shared" si="269"/>
        <v/>
      </c>
    </row>
    <row r="3451" spans="5:19" x14ac:dyDescent="0.3">
      <c r="E3451" s="9" t="str">
        <f>IF(DADOS!C3451="","",DADOS!C3451)</f>
        <v/>
      </c>
      <c r="F3451" s="9" t="str">
        <f>IF(DADOS!E3451="","",DADOS!E3451)</f>
        <v/>
      </c>
      <c r="G3451" s="9" t="str">
        <f>IF(DADOS!F3451="","",DADOS!F3451)</f>
        <v/>
      </c>
      <c r="K3451" s="6" t="str">
        <f t="shared" si="270"/>
        <v/>
      </c>
      <c r="L3451" s="7" t="str">
        <f t="shared" si="271"/>
        <v/>
      </c>
      <c r="M3451" s="7" t="str">
        <f t="shared" si="268"/>
        <v/>
      </c>
      <c r="N3451" s="7" t="str">
        <f t="shared" si="272"/>
        <v/>
      </c>
      <c r="O3451" s="8"/>
      <c r="P3451" s="26"/>
      <c r="S3451" s="10" t="str">
        <f t="shared" si="269"/>
        <v/>
      </c>
    </row>
    <row r="3452" spans="5:19" x14ac:dyDescent="0.3">
      <c r="E3452" s="9" t="str">
        <f>IF(DADOS!C3452="","",DADOS!C3452)</f>
        <v/>
      </c>
      <c r="F3452" s="9" t="str">
        <f>IF(DADOS!E3452="","",DADOS!E3452)</f>
        <v/>
      </c>
      <c r="G3452" s="9" t="str">
        <f>IF(DADOS!F3452="","",DADOS!F3452)</f>
        <v/>
      </c>
      <c r="K3452" s="6" t="str">
        <f t="shared" si="270"/>
        <v/>
      </c>
      <c r="L3452" s="7" t="str">
        <f t="shared" si="271"/>
        <v/>
      </c>
      <c r="M3452" s="7" t="str">
        <f t="shared" si="268"/>
        <v/>
      </c>
      <c r="N3452" s="7" t="str">
        <f t="shared" si="272"/>
        <v/>
      </c>
      <c r="O3452" s="8"/>
      <c r="P3452" s="26"/>
      <c r="S3452" s="10" t="str">
        <f t="shared" si="269"/>
        <v/>
      </c>
    </row>
    <row r="3453" spans="5:19" x14ac:dyDescent="0.3">
      <c r="E3453" s="9" t="str">
        <f>IF(DADOS!C3453="","",DADOS!C3453)</f>
        <v/>
      </c>
      <c r="F3453" s="9" t="str">
        <f>IF(DADOS!E3453="","",DADOS!E3453)</f>
        <v/>
      </c>
      <c r="G3453" s="9" t="str">
        <f>IF(DADOS!F3453="","",DADOS!F3453)</f>
        <v/>
      </c>
      <c r="K3453" s="6" t="str">
        <f t="shared" si="270"/>
        <v/>
      </c>
      <c r="L3453" s="7" t="str">
        <f t="shared" si="271"/>
        <v/>
      </c>
      <c r="M3453" s="7" t="str">
        <f t="shared" si="268"/>
        <v/>
      </c>
      <c r="N3453" s="7" t="str">
        <f t="shared" si="272"/>
        <v/>
      </c>
      <c r="O3453" s="8"/>
      <c r="P3453" s="26"/>
      <c r="S3453" s="10" t="str">
        <f t="shared" si="269"/>
        <v/>
      </c>
    </row>
    <row r="3454" spans="5:19" x14ac:dyDescent="0.3">
      <c r="E3454" s="9" t="str">
        <f>IF(DADOS!C3454="","",DADOS!C3454)</f>
        <v/>
      </c>
      <c r="F3454" s="9" t="str">
        <f>IF(DADOS!E3454="","",DADOS!E3454)</f>
        <v/>
      </c>
      <c r="G3454" s="9" t="str">
        <f>IF(DADOS!F3454="","",DADOS!F3454)</f>
        <v/>
      </c>
      <c r="K3454" s="6" t="str">
        <f t="shared" si="270"/>
        <v/>
      </c>
      <c r="L3454" s="7" t="str">
        <f t="shared" si="271"/>
        <v/>
      </c>
      <c r="M3454" s="7" t="str">
        <f t="shared" si="268"/>
        <v/>
      </c>
      <c r="N3454" s="7" t="str">
        <f t="shared" si="272"/>
        <v/>
      </c>
      <c r="O3454" s="8"/>
      <c r="P3454" s="26"/>
      <c r="S3454" s="10" t="str">
        <f t="shared" si="269"/>
        <v/>
      </c>
    </row>
    <row r="3455" spans="5:19" x14ac:dyDescent="0.3">
      <c r="E3455" s="9" t="str">
        <f>IF(DADOS!C3455="","",DADOS!C3455)</f>
        <v/>
      </c>
      <c r="F3455" s="9" t="str">
        <f>IF(DADOS!E3455="","",DADOS!E3455)</f>
        <v/>
      </c>
      <c r="G3455" s="9" t="str">
        <f>IF(DADOS!F3455="","",DADOS!F3455)</f>
        <v/>
      </c>
      <c r="K3455" s="6" t="str">
        <f t="shared" si="270"/>
        <v/>
      </c>
      <c r="L3455" s="7" t="str">
        <f t="shared" si="271"/>
        <v/>
      </c>
      <c r="M3455" s="7" t="str">
        <f t="shared" si="268"/>
        <v/>
      </c>
      <c r="N3455" s="7" t="str">
        <f t="shared" si="272"/>
        <v/>
      </c>
      <c r="O3455" s="8"/>
      <c r="P3455" s="26"/>
      <c r="S3455" s="10" t="str">
        <f t="shared" si="269"/>
        <v/>
      </c>
    </row>
    <row r="3456" spans="5:19" x14ac:dyDescent="0.3">
      <c r="E3456" s="9" t="str">
        <f>IF(DADOS!C3456="","",DADOS!C3456)</f>
        <v/>
      </c>
      <c r="F3456" s="9" t="str">
        <f>IF(DADOS!E3456="","",DADOS!E3456)</f>
        <v/>
      </c>
      <c r="G3456" s="9" t="str">
        <f>IF(DADOS!F3456="","",DADOS!F3456)</f>
        <v/>
      </c>
      <c r="K3456" s="6" t="str">
        <f t="shared" si="270"/>
        <v/>
      </c>
      <c r="L3456" s="7" t="str">
        <f t="shared" si="271"/>
        <v/>
      </c>
      <c r="M3456" s="7" t="str">
        <f t="shared" si="268"/>
        <v/>
      </c>
      <c r="N3456" s="7" t="str">
        <f t="shared" si="272"/>
        <v/>
      </c>
      <c r="O3456" s="8"/>
      <c r="P3456" s="26"/>
      <c r="S3456" s="10" t="str">
        <f t="shared" si="269"/>
        <v/>
      </c>
    </row>
    <row r="3457" spans="5:19" x14ac:dyDescent="0.3">
      <c r="E3457" s="9" t="str">
        <f>IF(DADOS!C3457="","",DADOS!C3457)</f>
        <v/>
      </c>
      <c r="F3457" s="9" t="str">
        <f>IF(DADOS!E3457="","",DADOS!E3457)</f>
        <v/>
      </c>
      <c r="G3457" s="9" t="str">
        <f>IF(DADOS!F3457="","",DADOS!F3457)</f>
        <v/>
      </c>
      <c r="K3457" s="6" t="str">
        <f t="shared" si="270"/>
        <v/>
      </c>
      <c r="L3457" s="7" t="str">
        <f t="shared" si="271"/>
        <v/>
      </c>
      <c r="M3457" s="7" t="str">
        <f t="shared" si="268"/>
        <v/>
      </c>
      <c r="N3457" s="7" t="str">
        <f t="shared" si="272"/>
        <v/>
      </c>
      <c r="O3457" s="8"/>
      <c r="P3457" s="26"/>
      <c r="S3457" s="10" t="str">
        <f t="shared" si="269"/>
        <v/>
      </c>
    </row>
    <row r="3458" spans="5:19" x14ac:dyDescent="0.3">
      <c r="E3458" s="9" t="str">
        <f>IF(DADOS!C3458="","",DADOS!C3458)</f>
        <v/>
      </c>
      <c r="F3458" s="9" t="str">
        <f>IF(DADOS!E3458="","",DADOS!E3458)</f>
        <v/>
      </c>
      <c r="G3458" s="9" t="str">
        <f>IF(DADOS!F3458="","",DADOS!F3458)</f>
        <v/>
      </c>
      <c r="K3458" s="6" t="str">
        <f t="shared" si="270"/>
        <v/>
      </c>
      <c r="L3458" s="7" t="str">
        <f t="shared" si="271"/>
        <v/>
      </c>
      <c r="M3458" s="7" t="str">
        <f t="shared" si="268"/>
        <v/>
      </c>
      <c r="N3458" s="7" t="str">
        <f t="shared" si="272"/>
        <v/>
      </c>
      <c r="O3458" s="8"/>
      <c r="P3458" s="26"/>
      <c r="S3458" s="10" t="str">
        <f t="shared" si="269"/>
        <v/>
      </c>
    </row>
    <row r="3459" spans="5:19" x14ac:dyDescent="0.3">
      <c r="E3459" s="9" t="str">
        <f>IF(DADOS!C3459="","",DADOS!C3459)</f>
        <v/>
      </c>
      <c r="F3459" s="9" t="str">
        <f>IF(DADOS!E3459="","",DADOS!E3459)</f>
        <v/>
      </c>
      <c r="G3459" s="9" t="str">
        <f>IF(DADOS!F3459="","",DADOS!F3459)</f>
        <v/>
      </c>
      <c r="K3459" s="6" t="str">
        <f t="shared" si="270"/>
        <v/>
      </c>
      <c r="L3459" s="7" t="str">
        <f t="shared" si="271"/>
        <v/>
      </c>
      <c r="M3459" s="7" t="str">
        <f t="shared" ref="M3459:M3522" si="273">IF(L3459="","",L3459*G3459)</f>
        <v/>
      </c>
      <c r="N3459" s="7" t="str">
        <f t="shared" si="272"/>
        <v/>
      </c>
      <c r="O3459" s="8"/>
      <c r="P3459" s="26"/>
      <c r="S3459" s="10" t="str">
        <f t="shared" ref="S3459:S3522" si="274">IF(R3459="","",SUMIFS($N$3:$N$10000,$E$3:$E$10000,R3459))</f>
        <v/>
      </c>
    </row>
    <row r="3460" spans="5:19" x14ac:dyDescent="0.3">
      <c r="E3460" s="9" t="str">
        <f>IF(DADOS!C3460="","",DADOS!C3460)</f>
        <v/>
      </c>
      <c r="F3460" s="9" t="str">
        <f>IF(DADOS!E3460="","",DADOS!E3460)</f>
        <v/>
      </c>
      <c r="G3460" s="9" t="str">
        <f>IF(DADOS!F3460="","",DADOS!F3460)</f>
        <v/>
      </c>
      <c r="K3460" s="6" t="str">
        <f t="shared" ref="K3460:K3523" si="275">IF(F3460="","",F3460/PI())</f>
        <v/>
      </c>
      <c r="L3460" s="7" t="str">
        <f t="shared" ref="L3460:L3523" si="276">IF(K3460="","",(PI()*K3460^2)/40000)</f>
        <v/>
      </c>
      <c r="M3460" s="7" t="str">
        <f t="shared" si="273"/>
        <v/>
      </c>
      <c r="N3460" s="7" t="str">
        <f t="shared" ref="N3460:N3523" si="277">IF(M3460="","",M3460*N$1)</f>
        <v/>
      </c>
      <c r="O3460" s="8"/>
      <c r="P3460" s="26"/>
      <c r="S3460" s="10" t="str">
        <f t="shared" si="274"/>
        <v/>
      </c>
    </row>
    <row r="3461" spans="5:19" x14ac:dyDescent="0.3">
      <c r="E3461" s="9" t="str">
        <f>IF(DADOS!C3461="","",DADOS!C3461)</f>
        <v/>
      </c>
      <c r="F3461" s="9" t="str">
        <f>IF(DADOS!E3461="","",DADOS!E3461)</f>
        <v/>
      </c>
      <c r="G3461" s="9" t="str">
        <f>IF(DADOS!F3461="","",DADOS!F3461)</f>
        <v/>
      </c>
      <c r="K3461" s="6" t="str">
        <f t="shared" si="275"/>
        <v/>
      </c>
      <c r="L3461" s="7" t="str">
        <f t="shared" si="276"/>
        <v/>
      </c>
      <c r="M3461" s="7" t="str">
        <f t="shared" si="273"/>
        <v/>
      </c>
      <c r="N3461" s="7" t="str">
        <f t="shared" si="277"/>
        <v/>
      </c>
      <c r="O3461" s="8"/>
      <c r="P3461" s="26"/>
      <c r="S3461" s="10" t="str">
        <f t="shared" si="274"/>
        <v/>
      </c>
    </row>
    <row r="3462" spans="5:19" x14ac:dyDescent="0.3">
      <c r="E3462" s="9" t="str">
        <f>IF(DADOS!C3462="","",DADOS!C3462)</f>
        <v/>
      </c>
      <c r="F3462" s="9" t="str">
        <f>IF(DADOS!E3462="","",DADOS!E3462)</f>
        <v/>
      </c>
      <c r="G3462" s="9" t="str">
        <f>IF(DADOS!F3462="","",DADOS!F3462)</f>
        <v/>
      </c>
      <c r="K3462" s="6" t="str">
        <f t="shared" si="275"/>
        <v/>
      </c>
      <c r="L3462" s="7" t="str">
        <f t="shared" si="276"/>
        <v/>
      </c>
      <c r="M3462" s="7" t="str">
        <f t="shared" si="273"/>
        <v/>
      </c>
      <c r="N3462" s="7" t="str">
        <f t="shared" si="277"/>
        <v/>
      </c>
      <c r="O3462" s="8"/>
      <c r="P3462" s="26"/>
      <c r="S3462" s="10" t="str">
        <f t="shared" si="274"/>
        <v/>
      </c>
    </row>
    <row r="3463" spans="5:19" x14ac:dyDescent="0.3">
      <c r="E3463" s="9" t="str">
        <f>IF(DADOS!C3463="","",DADOS!C3463)</f>
        <v/>
      </c>
      <c r="F3463" s="9" t="str">
        <f>IF(DADOS!E3463="","",DADOS!E3463)</f>
        <v/>
      </c>
      <c r="G3463" s="9" t="str">
        <f>IF(DADOS!F3463="","",DADOS!F3463)</f>
        <v/>
      </c>
      <c r="K3463" s="6" t="str">
        <f t="shared" si="275"/>
        <v/>
      </c>
      <c r="L3463" s="7" t="str">
        <f t="shared" si="276"/>
        <v/>
      </c>
      <c r="M3463" s="7" t="str">
        <f t="shared" si="273"/>
        <v/>
      </c>
      <c r="N3463" s="7" t="str">
        <f t="shared" si="277"/>
        <v/>
      </c>
      <c r="O3463" s="8"/>
      <c r="P3463" s="26"/>
      <c r="S3463" s="10" t="str">
        <f t="shared" si="274"/>
        <v/>
      </c>
    </row>
    <row r="3464" spans="5:19" x14ac:dyDescent="0.3">
      <c r="E3464" s="9" t="str">
        <f>IF(DADOS!C3464="","",DADOS!C3464)</f>
        <v/>
      </c>
      <c r="F3464" s="9" t="str">
        <f>IF(DADOS!E3464="","",DADOS!E3464)</f>
        <v/>
      </c>
      <c r="G3464" s="9" t="str">
        <f>IF(DADOS!F3464="","",DADOS!F3464)</f>
        <v/>
      </c>
      <c r="K3464" s="6" t="str">
        <f t="shared" si="275"/>
        <v/>
      </c>
      <c r="L3464" s="7" t="str">
        <f t="shared" si="276"/>
        <v/>
      </c>
      <c r="M3464" s="7" t="str">
        <f t="shared" si="273"/>
        <v/>
      </c>
      <c r="N3464" s="7" t="str">
        <f t="shared" si="277"/>
        <v/>
      </c>
      <c r="O3464" s="8"/>
      <c r="P3464" s="26"/>
      <c r="S3464" s="10" t="str">
        <f t="shared" si="274"/>
        <v/>
      </c>
    </row>
    <row r="3465" spans="5:19" x14ac:dyDescent="0.3">
      <c r="E3465" s="9" t="str">
        <f>IF(DADOS!C3465="","",DADOS!C3465)</f>
        <v/>
      </c>
      <c r="F3465" s="9" t="str">
        <f>IF(DADOS!E3465="","",DADOS!E3465)</f>
        <v/>
      </c>
      <c r="G3465" s="9" t="str">
        <f>IF(DADOS!F3465="","",DADOS!F3465)</f>
        <v/>
      </c>
      <c r="K3465" s="6" t="str">
        <f t="shared" si="275"/>
        <v/>
      </c>
      <c r="L3465" s="7" t="str">
        <f t="shared" si="276"/>
        <v/>
      </c>
      <c r="M3465" s="7" t="str">
        <f t="shared" si="273"/>
        <v/>
      </c>
      <c r="N3465" s="7" t="str">
        <f t="shared" si="277"/>
        <v/>
      </c>
      <c r="O3465" s="8"/>
      <c r="P3465" s="26"/>
      <c r="S3465" s="10" t="str">
        <f t="shared" si="274"/>
        <v/>
      </c>
    </row>
    <row r="3466" spans="5:19" x14ac:dyDescent="0.3">
      <c r="E3466" s="9" t="str">
        <f>IF(DADOS!C3466="","",DADOS!C3466)</f>
        <v/>
      </c>
      <c r="F3466" s="9" t="str">
        <f>IF(DADOS!E3466="","",DADOS!E3466)</f>
        <v/>
      </c>
      <c r="G3466" s="9" t="str">
        <f>IF(DADOS!F3466="","",DADOS!F3466)</f>
        <v/>
      </c>
      <c r="K3466" s="6" t="str">
        <f t="shared" si="275"/>
        <v/>
      </c>
      <c r="L3466" s="7" t="str">
        <f t="shared" si="276"/>
        <v/>
      </c>
      <c r="M3466" s="7" t="str">
        <f t="shared" si="273"/>
        <v/>
      </c>
      <c r="N3466" s="7" t="str">
        <f t="shared" si="277"/>
        <v/>
      </c>
      <c r="O3466" s="8"/>
      <c r="P3466" s="26"/>
      <c r="S3466" s="10" t="str">
        <f t="shared" si="274"/>
        <v/>
      </c>
    </row>
    <row r="3467" spans="5:19" x14ac:dyDescent="0.3">
      <c r="E3467" s="9" t="str">
        <f>IF(DADOS!C3467="","",DADOS!C3467)</f>
        <v/>
      </c>
      <c r="F3467" s="9" t="str">
        <f>IF(DADOS!E3467="","",DADOS!E3467)</f>
        <v/>
      </c>
      <c r="G3467" s="9" t="str">
        <f>IF(DADOS!F3467="","",DADOS!F3467)</f>
        <v/>
      </c>
      <c r="K3467" s="6" t="str">
        <f t="shared" si="275"/>
        <v/>
      </c>
      <c r="L3467" s="7" t="str">
        <f t="shared" si="276"/>
        <v/>
      </c>
      <c r="M3467" s="7" t="str">
        <f t="shared" si="273"/>
        <v/>
      </c>
      <c r="N3467" s="7" t="str">
        <f t="shared" si="277"/>
        <v/>
      </c>
      <c r="O3467" s="8"/>
      <c r="P3467" s="26"/>
      <c r="S3467" s="10" t="str">
        <f t="shared" si="274"/>
        <v/>
      </c>
    </row>
    <row r="3468" spans="5:19" x14ac:dyDescent="0.3">
      <c r="E3468" s="9" t="str">
        <f>IF(DADOS!C3468="","",DADOS!C3468)</f>
        <v/>
      </c>
      <c r="F3468" s="9" t="str">
        <f>IF(DADOS!E3468="","",DADOS!E3468)</f>
        <v/>
      </c>
      <c r="G3468" s="9" t="str">
        <f>IF(DADOS!F3468="","",DADOS!F3468)</f>
        <v/>
      </c>
      <c r="K3468" s="6" t="str">
        <f t="shared" si="275"/>
        <v/>
      </c>
      <c r="L3468" s="7" t="str">
        <f t="shared" si="276"/>
        <v/>
      </c>
      <c r="M3468" s="7" t="str">
        <f t="shared" si="273"/>
        <v/>
      </c>
      <c r="N3468" s="7" t="str">
        <f t="shared" si="277"/>
        <v/>
      </c>
      <c r="O3468" s="8"/>
      <c r="P3468" s="26"/>
      <c r="S3468" s="10" t="str">
        <f t="shared" si="274"/>
        <v/>
      </c>
    </row>
    <row r="3469" spans="5:19" x14ac:dyDescent="0.3">
      <c r="E3469" s="9" t="str">
        <f>IF(DADOS!C3469="","",DADOS!C3469)</f>
        <v/>
      </c>
      <c r="F3469" s="9" t="str">
        <f>IF(DADOS!E3469="","",DADOS!E3469)</f>
        <v/>
      </c>
      <c r="G3469" s="9" t="str">
        <f>IF(DADOS!F3469="","",DADOS!F3469)</f>
        <v/>
      </c>
      <c r="K3469" s="6" t="str">
        <f t="shared" si="275"/>
        <v/>
      </c>
      <c r="L3469" s="7" t="str">
        <f t="shared" si="276"/>
        <v/>
      </c>
      <c r="M3469" s="7" t="str">
        <f t="shared" si="273"/>
        <v/>
      </c>
      <c r="N3469" s="7" t="str">
        <f t="shared" si="277"/>
        <v/>
      </c>
      <c r="O3469" s="8"/>
      <c r="P3469" s="26"/>
      <c r="S3469" s="10" t="str">
        <f t="shared" si="274"/>
        <v/>
      </c>
    </row>
    <row r="3470" spans="5:19" x14ac:dyDescent="0.3">
      <c r="E3470" s="9" t="str">
        <f>IF(DADOS!C3470="","",DADOS!C3470)</f>
        <v/>
      </c>
      <c r="F3470" s="9" t="str">
        <f>IF(DADOS!E3470="","",DADOS!E3470)</f>
        <v/>
      </c>
      <c r="G3470" s="9" t="str">
        <f>IF(DADOS!F3470="","",DADOS!F3470)</f>
        <v/>
      </c>
      <c r="K3470" s="6" t="str">
        <f t="shared" si="275"/>
        <v/>
      </c>
      <c r="L3470" s="7" t="str">
        <f t="shared" si="276"/>
        <v/>
      </c>
      <c r="M3470" s="7" t="str">
        <f t="shared" si="273"/>
        <v/>
      </c>
      <c r="N3470" s="7" t="str">
        <f t="shared" si="277"/>
        <v/>
      </c>
      <c r="O3470" s="8"/>
      <c r="P3470" s="26"/>
      <c r="S3470" s="10" t="str">
        <f t="shared" si="274"/>
        <v/>
      </c>
    </row>
    <row r="3471" spans="5:19" x14ac:dyDescent="0.3">
      <c r="E3471" s="9" t="str">
        <f>IF(DADOS!C3471="","",DADOS!C3471)</f>
        <v/>
      </c>
      <c r="F3471" s="9" t="str">
        <f>IF(DADOS!E3471="","",DADOS!E3471)</f>
        <v/>
      </c>
      <c r="G3471" s="9" t="str">
        <f>IF(DADOS!F3471="","",DADOS!F3471)</f>
        <v/>
      </c>
      <c r="K3471" s="6" t="str">
        <f t="shared" si="275"/>
        <v/>
      </c>
      <c r="L3471" s="7" t="str">
        <f t="shared" si="276"/>
        <v/>
      </c>
      <c r="M3471" s="7" t="str">
        <f t="shared" si="273"/>
        <v/>
      </c>
      <c r="N3471" s="7" t="str">
        <f t="shared" si="277"/>
        <v/>
      </c>
      <c r="O3471" s="8"/>
      <c r="P3471" s="26"/>
      <c r="S3471" s="10" t="str">
        <f t="shared" si="274"/>
        <v/>
      </c>
    </row>
    <row r="3472" spans="5:19" x14ac:dyDescent="0.3">
      <c r="E3472" s="9" t="str">
        <f>IF(DADOS!C3472="","",DADOS!C3472)</f>
        <v/>
      </c>
      <c r="F3472" s="9" t="str">
        <f>IF(DADOS!E3472="","",DADOS!E3472)</f>
        <v/>
      </c>
      <c r="G3472" s="9" t="str">
        <f>IF(DADOS!F3472="","",DADOS!F3472)</f>
        <v/>
      </c>
      <c r="K3472" s="6" t="str">
        <f t="shared" si="275"/>
        <v/>
      </c>
      <c r="L3472" s="7" t="str">
        <f t="shared" si="276"/>
        <v/>
      </c>
      <c r="M3472" s="7" t="str">
        <f t="shared" si="273"/>
        <v/>
      </c>
      <c r="N3472" s="7" t="str">
        <f t="shared" si="277"/>
        <v/>
      </c>
      <c r="O3472" s="8"/>
      <c r="P3472" s="26"/>
      <c r="S3472" s="10" t="str">
        <f t="shared" si="274"/>
        <v/>
      </c>
    </row>
    <row r="3473" spans="5:19" x14ac:dyDescent="0.3">
      <c r="E3473" s="9" t="str">
        <f>IF(DADOS!C3473="","",DADOS!C3473)</f>
        <v/>
      </c>
      <c r="F3473" s="9" t="str">
        <f>IF(DADOS!E3473="","",DADOS!E3473)</f>
        <v/>
      </c>
      <c r="G3473" s="9" t="str">
        <f>IF(DADOS!F3473="","",DADOS!F3473)</f>
        <v/>
      </c>
      <c r="K3473" s="6" t="str">
        <f t="shared" si="275"/>
        <v/>
      </c>
      <c r="L3473" s="7" t="str">
        <f t="shared" si="276"/>
        <v/>
      </c>
      <c r="M3473" s="7" t="str">
        <f t="shared" si="273"/>
        <v/>
      </c>
      <c r="N3473" s="7" t="str">
        <f t="shared" si="277"/>
        <v/>
      </c>
      <c r="O3473" s="8"/>
      <c r="P3473" s="26"/>
      <c r="S3473" s="10" t="str">
        <f t="shared" si="274"/>
        <v/>
      </c>
    </row>
    <row r="3474" spans="5:19" x14ac:dyDescent="0.3">
      <c r="E3474" s="9" t="str">
        <f>IF(DADOS!C3474="","",DADOS!C3474)</f>
        <v/>
      </c>
      <c r="F3474" s="9" t="str">
        <f>IF(DADOS!E3474="","",DADOS!E3474)</f>
        <v/>
      </c>
      <c r="G3474" s="9" t="str">
        <f>IF(DADOS!F3474="","",DADOS!F3474)</f>
        <v/>
      </c>
      <c r="K3474" s="6" t="str">
        <f t="shared" si="275"/>
        <v/>
      </c>
      <c r="L3474" s="7" t="str">
        <f t="shared" si="276"/>
        <v/>
      </c>
      <c r="M3474" s="7" t="str">
        <f t="shared" si="273"/>
        <v/>
      </c>
      <c r="N3474" s="7" t="str">
        <f t="shared" si="277"/>
        <v/>
      </c>
      <c r="O3474" s="8"/>
      <c r="P3474" s="26"/>
      <c r="S3474" s="10" t="str">
        <f t="shared" si="274"/>
        <v/>
      </c>
    </row>
    <row r="3475" spans="5:19" x14ac:dyDescent="0.3">
      <c r="E3475" s="9" t="str">
        <f>IF(DADOS!C3475="","",DADOS!C3475)</f>
        <v/>
      </c>
      <c r="F3475" s="9" t="str">
        <f>IF(DADOS!E3475="","",DADOS!E3475)</f>
        <v/>
      </c>
      <c r="G3475" s="9" t="str">
        <f>IF(DADOS!F3475="","",DADOS!F3475)</f>
        <v/>
      </c>
      <c r="K3475" s="6" t="str">
        <f t="shared" si="275"/>
        <v/>
      </c>
      <c r="L3475" s="7" t="str">
        <f t="shared" si="276"/>
        <v/>
      </c>
      <c r="M3475" s="7" t="str">
        <f t="shared" si="273"/>
        <v/>
      </c>
      <c r="N3475" s="7" t="str">
        <f t="shared" si="277"/>
        <v/>
      </c>
      <c r="O3475" s="8"/>
      <c r="P3475" s="26"/>
      <c r="S3475" s="10" t="str">
        <f t="shared" si="274"/>
        <v/>
      </c>
    </row>
    <row r="3476" spans="5:19" x14ac:dyDescent="0.3">
      <c r="E3476" s="9" t="str">
        <f>IF(DADOS!C3476="","",DADOS!C3476)</f>
        <v/>
      </c>
      <c r="F3476" s="9" t="str">
        <f>IF(DADOS!E3476="","",DADOS!E3476)</f>
        <v/>
      </c>
      <c r="G3476" s="9" t="str">
        <f>IF(DADOS!F3476="","",DADOS!F3476)</f>
        <v/>
      </c>
      <c r="K3476" s="6" t="str">
        <f t="shared" si="275"/>
        <v/>
      </c>
      <c r="L3476" s="7" t="str">
        <f t="shared" si="276"/>
        <v/>
      </c>
      <c r="M3476" s="7" t="str">
        <f t="shared" si="273"/>
        <v/>
      </c>
      <c r="N3476" s="7" t="str">
        <f t="shared" si="277"/>
        <v/>
      </c>
      <c r="O3476" s="8"/>
      <c r="P3476" s="26"/>
      <c r="S3476" s="10" t="str">
        <f t="shared" si="274"/>
        <v/>
      </c>
    </row>
    <row r="3477" spans="5:19" x14ac:dyDescent="0.3">
      <c r="E3477" s="9" t="str">
        <f>IF(DADOS!C3477="","",DADOS!C3477)</f>
        <v/>
      </c>
      <c r="F3477" s="9" t="str">
        <f>IF(DADOS!E3477="","",DADOS!E3477)</f>
        <v/>
      </c>
      <c r="G3477" s="9" t="str">
        <f>IF(DADOS!F3477="","",DADOS!F3477)</f>
        <v/>
      </c>
      <c r="K3477" s="6" t="str">
        <f t="shared" si="275"/>
        <v/>
      </c>
      <c r="L3477" s="7" t="str">
        <f t="shared" si="276"/>
        <v/>
      </c>
      <c r="M3477" s="7" t="str">
        <f t="shared" si="273"/>
        <v/>
      </c>
      <c r="N3477" s="7" t="str">
        <f t="shared" si="277"/>
        <v/>
      </c>
      <c r="O3477" s="8"/>
      <c r="P3477" s="26"/>
      <c r="S3477" s="10" t="str">
        <f t="shared" si="274"/>
        <v/>
      </c>
    </row>
    <row r="3478" spans="5:19" x14ac:dyDescent="0.3">
      <c r="E3478" s="9" t="str">
        <f>IF(DADOS!C3478="","",DADOS!C3478)</f>
        <v/>
      </c>
      <c r="F3478" s="9" t="str">
        <f>IF(DADOS!E3478="","",DADOS!E3478)</f>
        <v/>
      </c>
      <c r="G3478" s="9" t="str">
        <f>IF(DADOS!F3478="","",DADOS!F3478)</f>
        <v/>
      </c>
      <c r="K3478" s="6" t="str">
        <f t="shared" si="275"/>
        <v/>
      </c>
      <c r="L3478" s="7" t="str">
        <f t="shared" si="276"/>
        <v/>
      </c>
      <c r="M3478" s="7" t="str">
        <f t="shared" si="273"/>
        <v/>
      </c>
      <c r="N3478" s="7" t="str">
        <f t="shared" si="277"/>
        <v/>
      </c>
      <c r="O3478" s="8"/>
      <c r="P3478" s="26"/>
      <c r="S3478" s="10" t="str">
        <f t="shared" si="274"/>
        <v/>
      </c>
    </row>
    <row r="3479" spans="5:19" x14ac:dyDescent="0.3">
      <c r="E3479" s="9" t="str">
        <f>IF(DADOS!C3479="","",DADOS!C3479)</f>
        <v/>
      </c>
      <c r="F3479" s="9" t="str">
        <f>IF(DADOS!E3479="","",DADOS!E3479)</f>
        <v/>
      </c>
      <c r="G3479" s="9" t="str">
        <f>IF(DADOS!F3479="","",DADOS!F3479)</f>
        <v/>
      </c>
      <c r="K3479" s="6" t="str">
        <f t="shared" si="275"/>
        <v/>
      </c>
      <c r="L3479" s="7" t="str">
        <f t="shared" si="276"/>
        <v/>
      </c>
      <c r="M3479" s="7" t="str">
        <f t="shared" si="273"/>
        <v/>
      </c>
      <c r="N3479" s="7" t="str">
        <f t="shared" si="277"/>
        <v/>
      </c>
      <c r="O3479" s="8"/>
      <c r="P3479" s="26"/>
      <c r="S3479" s="10" t="str">
        <f t="shared" si="274"/>
        <v/>
      </c>
    </row>
    <row r="3480" spans="5:19" x14ac:dyDescent="0.3">
      <c r="E3480" s="9" t="str">
        <f>IF(DADOS!C3480="","",DADOS!C3480)</f>
        <v/>
      </c>
      <c r="F3480" s="9" t="str">
        <f>IF(DADOS!E3480="","",DADOS!E3480)</f>
        <v/>
      </c>
      <c r="G3480" s="9" t="str">
        <f>IF(DADOS!F3480="","",DADOS!F3480)</f>
        <v/>
      </c>
      <c r="K3480" s="6" t="str">
        <f t="shared" si="275"/>
        <v/>
      </c>
      <c r="L3480" s="7" t="str">
        <f t="shared" si="276"/>
        <v/>
      </c>
      <c r="M3480" s="7" t="str">
        <f t="shared" si="273"/>
        <v/>
      </c>
      <c r="N3480" s="7" t="str">
        <f t="shared" si="277"/>
        <v/>
      </c>
      <c r="O3480" s="8"/>
      <c r="P3480" s="26"/>
      <c r="S3480" s="10" t="str">
        <f t="shared" si="274"/>
        <v/>
      </c>
    </row>
    <row r="3481" spans="5:19" x14ac:dyDescent="0.3">
      <c r="E3481" s="9" t="str">
        <f>IF(DADOS!C3481="","",DADOS!C3481)</f>
        <v/>
      </c>
      <c r="F3481" s="9" t="str">
        <f>IF(DADOS!E3481="","",DADOS!E3481)</f>
        <v/>
      </c>
      <c r="G3481" s="9" t="str">
        <f>IF(DADOS!F3481="","",DADOS!F3481)</f>
        <v/>
      </c>
      <c r="K3481" s="6" t="str">
        <f t="shared" si="275"/>
        <v/>
      </c>
      <c r="L3481" s="7" t="str">
        <f t="shared" si="276"/>
        <v/>
      </c>
      <c r="M3481" s="7" t="str">
        <f t="shared" si="273"/>
        <v/>
      </c>
      <c r="N3481" s="7" t="str">
        <f t="shared" si="277"/>
        <v/>
      </c>
      <c r="O3481" s="8"/>
      <c r="P3481" s="26"/>
      <c r="S3481" s="10" t="str">
        <f t="shared" si="274"/>
        <v/>
      </c>
    </row>
    <row r="3482" spans="5:19" x14ac:dyDescent="0.3">
      <c r="E3482" s="9" t="str">
        <f>IF(DADOS!C3482="","",DADOS!C3482)</f>
        <v/>
      </c>
      <c r="F3482" s="9" t="str">
        <f>IF(DADOS!E3482="","",DADOS!E3482)</f>
        <v/>
      </c>
      <c r="G3482" s="9" t="str">
        <f>IF(DADOS!F3482="","",DADOS!F3482)</f>
        <v/>
      </c>
      <c r="K3482" s="6" t="str">
        <f t="shared" si="275"/>
        <v/>
      </c>
      <c r="L3482" s="7" t="str">
        <f t="shared" si="276"/>
        <v/>
      </c>
      <c r="M3482" s="7" t="str">
        <f t="shared" si="273"/>
        <v/>
      </c>
      <c r="N3482" s="7" t="str">
        <f t="shared" si="277"/>
        <v/>
      </c>
      <c r="O3482" s="8"/>
      <c r="P3482" s="26"/>
      <c r="S3482" s="10" t="str">
        <f t="shared" si="274"/>
        <v/>
      </c>
    </row>
    <row r="3483" spans="5:19" x14ac:dyDescent="0.3">
      <c r="E3483" s="9" t="str">
        <f>IF(DADOS!C3483="","",DADOS!C3483)</f>
        <v/>
      </c>
      <c r="F3483" s="9" t="str">
        <f>IF(DADOS!E3483="","",DADOS!E3483)</f>
        <v/>
      </c>
      <c r="G3483" s="9" t="str">
        <f>IF(DADOS!F3483="","",DADOS!F3483)</f>
        <v/>
      </c>
      <c r="K3483" s="6" t="str">
        <f t="shared" si="275"/>
        <v/>
      </c>
      <c r="L3483" s="7" t="str">
        <f t="shared" si="276"/>
        <v/>
      </c>
      <c r="M3483" s="7" t="str">
        <f t="shared" si="273"/>
        <v/>
      </c>
      <c r="N3483" s="7" t="str">
        <f t="shared" si="277"/>
        <v/>
      </c>
      <c r="O3483" s="8"/>
      <c r="P3483" s="26"/>
      <c r="S3483" s="10" t="str">
        <f t="shared" si="274"/>
        <v/>
      </c>
    </row>
    <row r="3484" spans="5:19" x14ac:dyDescent="0.3">
      <c r="E3484" s="9" t="str">
        <f>IF(DADOS!C3484="","",DADOS!C3484)</f>
        <v/>
      </c>
      <c r="F3484" s="9" t="str">
        <f>IF(DADOS!E3484="","",DADOS!E3484)</f>
        <v/>
      </c>
      <c r="G3484" s="9" t="str">
        <f>IF(DADOS!F3484="","",DADOS!F3484)</f>
        <v/>
      </c>
      <c r="K3484" s="6" t="str">
        <f t="shared" si="275"/>
        <v/>
      </c>
      <c r="L3484" s="7" t="str">
        <f t="shared" si="276"/>
        <v/>
      </c>
      <c r="M3484" s="7" t="str">
        <f t="shared" si="273"/>
        <v/>
      </c>
      <c r="N3484" s="7" t="str">
        <f t="shared" si="277"/>
        <v/>
      </c>
      <c r="O3484" s="8"/>
      <c r="P3484" s="26"/>
      <c r="S3484" s="10" t="str">
        <f t="shared" si="274"/>
        <v/>
      </c>
    </row>
    <row r="3485" spans="5:19" x14ac:dyDescent="0.3">
      <c r="E3485" s="9" t="str">
        <f>IF(DADOS!C3485="","",DADOS!C3485)</f>
        <v/>
      </c>
      <c r="F3485" s="9" t="str">
        <f>IF(DADOS!E3485="","",DADOS!E3485)</f>
        <v/>
      </c>
      <c r="G3485" s="9" t="str">
        <f>IF(DADOS!F3485="","",DADOS!F3485)</f>
        <v/>
      </c>
      <c r="K3485" s="6" t="str">
        <f t="shared" si="275"/>
        <v/>
      </c>
      <c r="L3485" s="7" t="str">
        <f t="shared" si="276"/>
        <v/>
      </c>
      <c r="M3485" s="7" t="str">
        <f t="shared" si="273"/>
        <v/>
      </c>
      <c r="N3485" s="7" t="str">
        <f t="shared" si="277"/>
        <v/>
      </c>
      <c r="O3485" s="8"/>
      <c r="P3485" s="26"/>
      <c r="S3485" s="10" t="str">
        <f t="shared" si="274"/>
        <v/>
      </c>
    </row>
    <row r="3486" spans="5:19" x14ac:dyDescent="0.3">
      <c r="E3486" s="9" t="str">
        <f>IF(DADOS!C3486="","",DADOS!C3486)</f>
        <v/>
      </c>
      <c r="F3486" s="9" t="str">
        <f>IF(DADOS!E3486="","",DADOS!E3486)</f>
        <v/>
      </c>
      <c r="G3486" s="9" t="str">
        <f>IF(DADOS!F3486="","",DADOS!F3486)</f>
        <v/>
      </c>
      <c r="K3486" s="6" t="str">
        <f t="shared" si="275"/>
        <v/>
      </c>
      <c r="L3486" s="7" t="str">
        <f t="shared" si="276"/>
        <v/>
      </c>
      <c r="M3486" s="7" t="str">
        <f t="shared" si="273"/>
        <v/>
      </c>
      <c r="N3486" s="7" t="str">
        <f t="shared" si="277"/>
        <v/>
      </c>
      <c r="O3486" s="8"/>
      <c r="P3486" s="26"/>
      <c r="S3486" s="10" t="str">
        <f t="shared" si="274"/>
        <v/>
      </c>
    </row>
    <row r="3487" spans="5:19" x14ac:dyDescent="0.3">
      <c r="E3487" s="9" t="str">
        <f>IF(DADOS!C3487="","",DADOS!C3487)</f>
        <v/>
      </c>
      <c r="F3487" s="9" t="str">
        <f>IF(DADOS!E3487="","",DADOS!E3487)</f>
        <v/>
      </c>
      <c r="G3487" s="9" t="str">
        <f>IF(DADOS!F3487="","",DADOS!F3487)</f>
        <v/>
      </c>
      <c r="K3487" s="6" t="str">
        <f t="shared" si="275"/>
        <v/>
      </c>
      <c r="L3487" s="7" t="str">
        <f t="shared" si="276"/>
        <v/>
      </c>
      <c r="M3487" s="7" t="str">
        <f t="shared" si="273"/>
        <v/>
      </c>
      <c r="N3487" s="7" t="str">
        <f t="shared" si="277"/>
        <v/>
      </c>
      <c r="O3487" s="8"/>
      <c r="P3487" s="26"/>
      <c r="S3487" s="10" t="str">
        <f t="shared" si="274"/>
        <v/>
      </c>
    </row>
    <row r="3488" spans="5:19" x14ac:dyDescent="0.3">
      <c r="E3488" s="9" t="str">
        <f>IF(DADOS!C3488="","",DADOS!C3488)</f>
        <v/>
      </c>
      <c r="F3488" s="9" t="str">
        <f>IF(DADOS!E3488="","",DADOS!E3488)</f>
        <v/>
      </c>
      <c r="G3488" s="9" t="str">
        <f>IF(DADOS!F3488="","",DADOS!F3488)</f>
        <v/>
      </c>
      <c r="K3488" s="6" t="str">
        <f t="shared" si="275"/>
        <v/>
      </c>
      <c r="L3488" s="7" t="str">
        <f t="shared" si="276"/>
        <v/>
      </c>
      <c r="M3488" s="7" t="str">
        <f t="shared" si="273"/>
        <v/>
      </c>
      <c r="N3488" s="7" t="str">
        <f t="shared" si="277"/>
        <v/>
      </c>
      <c r="O3488" s="8"/>
      <c r="P3488" s="26"/>
      <c r="S3488" s="10" t="str">
        <f t="shared" si="274"/>
        <v/>
      </c>
    </row>
    <row r="3489" spans="5:19" x14ac:dyDescent="0.3">
      <c r="E3489" s="9" t="str">
        <f>IF(DADOS!C3489="","",DADOS!C3489)</f>
        <v/>
      </c>
      <c r="F3489" s="9" t="str">
        <f>IF(DADOS!E3489="","",DADOS!E3489)</f>
        <v/>
      </c>
      <c r="G3489" s="9" t="str">
        <f>IF(DADOS!F3489="","",DADOS!F3489)</f>
        <v/>
      </c>
      <c r="K3489" s="6" t="str">
        <f t="shared" si="275"/>
        <v/>
      </c>
      <c r="L3489" s="7" t="str">
        <f t="shared" si="276"/>
        <v/>
      </c>
      <c r="M3489" s="7" t="str">
        <f t="shared" si="273"/>
        <v/>
      </c>
      <c r="N3489" s="7" t="str">
        <f t="shared" si="277"/>
        <v/>
      </c>
      <c r="O3489" s="8"/>
      <c r="P3489" s="26"/>
      <c r="S3489" s="10" t="str">
        <f t="shared" si="274"/>
        <v/>
      </c>
    </row>
    <row r="3490" spans="5:19" x14ac:dyDescent="0.3">
      <c r="E3490" s="9" t="str">
        <f>IF(DADOS!C3490="","",DADOS!C3490)</f>
        <v/>
      </c>
      <c r="F3490" s="9" t="str">
        <f>IF(DADOS!E3490="","",DADOS!E3490)</f>
        <v/>
      </c>
      <c r="G3490" s="9" t="str">
        <f>IF(DADOS!F3490="","",DADOS!F3490)</f>
        <v/>
      </c>
      <c r="K3490" s="6" t="str">
        <f t="shared" si="275"/>
        <v/>
      </c>
      <c r="L3490" s="7" t="str">
        <f t="shared" si="276"/>
        <v/>
      </c>
      <c r="M3490" s="7" t="str">
        <f t="shared" si="273"/>
        <v/>
      </c>
      <c r="N3490" s="7" t="str">
        <f t="shared" si="277"/>
        <v/>
      </c>
      <c r="O3490" s="8"/>
      <c r="P3490" s="26"/>
      <c r="S3490" s="10" t="str">
        <f t="shared" si="274"/>
        <v/>
      </c>
    </row>
    <row r="3491" spans="5:19" x14ac:dyDescent="0.3">
      <c r="E3491" s="9" t="str">
        <f>IF(DADOS!C3491="","",DADOS!C3491)</f>
        <v/>
      </c>
      <c r="F3491" s="9" t="str">
        <f>IF(DADOS!E3491="","",DADOS!E3491)</f>
        <v/>
      </c>
      <c r="G3491" s="9" t="str">
        <f>IF(DADOS!F3491="","",DADOS!F3491)</f>
        <v/>
      </c>
      <c r="K3491" s="6" t="str">
        <f t="shared" si="275"/>
        <v/>
      </c>
      <c r="L3491" s="7" t="str">
        <f t="shared" si="276"/>
        <v/>
      </c>
      <c r="M3491" s="7" t="str">
        <f t="shared" si="273"/>
        <v/>
      </c>
      <c r="N3491" s="7" t="str">
        <f t="shared" si="277"/>
        <v/>
      </c>
      <c r="O3491" s="8"/>
      <c r="P3491" s="26"/>
      <c r="S3491" s="10" t="str">
        <f t="shared" si="274"/>
        <v/>
      </c>
    </row>
    <row r="3492" spans="5:19" x14ac:dyDescent="0.3">
      <c r="E3492" s="9" t="str">
        <f>IF(DADOS!C3492="","",DADOS!C3492)</f>
        <v/>
      </c>
      <c r="F3492" s="9" t="str">
        <f>IF(DADOS!E3492="","",DADOS!E3492)</f>
        <v/>
      </c>
      <c r="G3492" s="9" t="str">
        <f>IF(DADOS!F3492="","",DADOS!F3492)</f>
        <v/>
      </c>
      <c r="K3492" s="6" t="str">
        <f t="shared" si="275"/>
        <v/>
      </c>
      <c r="L3492" s="7" t="str">
        <f t="shared" si="276"/>
        <v/>
      </c>
      <c r="M3492" s="7" t="str">
        <f t="shared" si="273"/>
        <v/>
      </c>
      <c r="N3492" s="7" t="str">
        <f t="shared" si="277"/>
        <v/>
      </c>
      <c r="O3492" s="8"/>
      <c r="P3492" s="26"/>
      <c r="S3492" s="10" t="str">
        <f t="shared" si="274"/>
        <v/>
      </c>
    </row>
    <row r="3493" spans="5:19" x14ac:dyDescent="0.3">
      <c r="E3493" s="9" t="str">
        <f>IF(DADOS!C3493="","",DADOS!C3493)</f>
        <v/>
      </c>
      <c r="F3493" s="9" t="str">
        <f>IF(DADOS!E3493="","",DADOS!E3493)</f>
        <v/>
      </c>
      <c r="G3493" s="9" t="str">
        <f>IF(DADOS!F3493="","",DADOS!F3493)</f>
        <v/>
      </c>
      <c r="K3493" s="6" t="str">
        <f t="shared" si="275"/>
        <v/>
      </c>
      <c r="L3493" s="7" t="str">
        <f t="shared" si="276"/>
        <v/>
      </c>
      <c r="M3493" s="7" t="str">
        <f t="shared" si="273"/>
        <v/>
      </c>
      <c r="N3493" s="7" t="str">
        <f t="shared" si="277"/>
        <v/>
      </c>
      <c r="O3493" s="8"/>
      <c r="P3493" s="26"/>
      <c r="S3493" s="10" t="str">
        <f t="shared" si="274"/>
        <v/>
      </c>
    </row>
    <row r="3494" spans="5:19" x14ac:dyDescent="0.3">
      <c r="E3494" s="9" t="str">
        <f>IF(DADOS!C3494="","",DADOS!C3494)</f>
        <v/>
      </c>
      <c r="F3494" s="9" t="str">
        <f>IF(DADOS!E3494="","",DADOS!E3494)</f>
        <v/>
      </c>
      <c r="G3494" s="9" t="str">
        <f>IF(DADOS!F3494="","",DADOS!F3494)</f>
        <v/>
      </c>
      <c r="K3494" s="6" t="str">
        <f t="shared" si="275"/>
        <v/>
      </c>
      <c r="L3494" s="7" t="str">
        <f t="shared" si="276"/>
        <v/>
      </c>
      <c r="M3494" s="7" t="str">
        <f t="shared" si="273"/>
        <v/>
      </c>
      <c r="N3494" s="7" t="str">
        <f t="shared" si="277"/>
        <v/>
      </c>
      <c r="O3494" s="8"/>
      <c r="P3494" s="26"/>
      <c r="S3494" s="10" t="str">
        <f t="shared" si="274"/>
        <v/>
      </c>
    </row>
    <row r="3495" spans="5:19" x14ac:dyDescent="0.3">
      <c r="E3495" s="9" t="str">
        <f>IF(DADOS!C3495="","",DADOS!C3495)</f>
        <v/>
      </c>
      <c r="F3495" s="9" t="str">
        <f>IF(DADOS!E3495="","",DADOS!E3495)</f>
        <v/>
      </c>
      <c r="G3495" s="9" t="str">
        <f>IF(DADOS!F3495="","",DADOS!F3495)</f>
        <v/>
      </c>
      <c r="K3495" s="6" t="str">
        <f t="shared" si="275"/>
        <v/>
      </c>
      <c r="L3495" s="7" t="str">
        <f t="shared" si="276"/>
        <v/>
      </c>
      <c r="M3495" s="7" t="str">
        <f t="shared" si="273"/>
        <v/>
      </c>
      <c r="N3495" s="7" t="str">
        <f t="shared" si="277"/>
        <v/>
      </c>
      <c r="O3495" s="8"/>
      <c r="P3495" s="26"/>
      <c r="S3495" s="10" t="str">
        <f t="shared" si="274"/>
        <v/>
      </c>
    </row>
    <row r="3496" spans="5:19" x14ac:dyDescent="0.3">
      <c r="E3496" s="9" t="str">
        <f>IF(DADOS!C3496="","",DADOS!C3496)</f>
        <v/>
      </c>
      <c r="F3496" s="9" t="str">
        <f>IF(DADOS!E3496="","",DADOS!E3496)</f>
        <v/>
      </c>
      <c r="G3496" s="9" t="str">
        <f>IF(DADOS!F3496="","",DADOS!F3496)</f>
        <v/>
      </c>
      <c r="K3496" s="6" t="str">
        <f t="shared" si="275"/>
        <v/>
      </c>
      <c r="L3496" s="7" t="str">
        <f t="shared" si="276"/>
        <v/>
      </c>
      <c r="M3496" s="7" t="str">
        <f t="shared" si="273"/>
        <v/>
      </c>
      <c r="N3496" s="7" t="str">
        <f t="shared" si="277"/>
        <v/>
      </c>
      <c r="O3496" s="8"/>
      <c r="P3496" s="26"/>
      <c r="S3496" s="10" t="str">
        <f t="shared" si="274"/>
        <v/>
      </c>
    </row>
    <row r="3497" spans="5:19" x14ac:dyDescent="0.3">
      <c r="E3497" s="9" t="str">
        <f>IF(DADOS!C3497="","",DADOS!C3497)</f>
        <v/>
      </c>
      <c r="F3497" s="9" t="str">
        <f>IF(DADOS!E3497="","",DADOS!E3497)</f>
        <v/>
      </c>
      <c r="G3497" s="9" t="str">
        <f>IF(DADOS!F3497="","",DADOS!F3497)</f>
        <v/>
      </c>
      <c r="K3497" s="6" t="str">
        <f t="shared" si="275"/>
        <v/>
      </c>
      <c r="L3497" s="7" t="str">
        <f t="shared" si="276"/>
        <v/>
      </c>
      <c r="M3497" s="7" t="str">
        <f t="shared" si="273"/>
        <v/>
      </c>
      <c r="N3497" s="7" t="str">
        <f t="shared" si="277"/>
        <v/>
      </c>
      <c r="O3497" s="8"/>
      <c r="P3497" s="26"/>
      <c r="S3497" s="10" t="str">
        <f t="shared" si="274"/>
        <v/>
      </c>
    </row>
    <row r="3498" spans="5:19" x14ac:dyDescent="0.3">
      <c r="E3498" s="9" t="str">
        <f>IF(DADOS!C3498="","",DADOS!C3498)</f>
        <v/>
      </c>
      <c r="F3498" s="9" t="str">
        <f>IF(DADOS!E3498="","",DADOS!E3498)</f>
        <v/>
      </c>
      <c r="G3498" s="9" t="str">
        <f>IF(DADOS!F3498="","",DADOS!F3498)</f>
        <v/>
      </c>
      <c r="K3498" s="6" t="str">
        <f t="shared" si="275"/>
        <v/>
      </c>
      <c r="L3498" s="7" t="str">
        <f t="shared" si="276"/>
        <v/>
      </c>
      <c r="M3498" s="7" t="str">
        <f t="shared" si="273"/>
        <v/>
      </c>
      <c r="N3498" s="7" t="str">
        <f t="shared" si="277"/>
        <v/>
      </c>
      <c r="O3498" s="8"/>
      <c r="P3498" s="26"/>
      <c r="S3498" s="10" t="str">
        <f t="shared" si="274"/>
        <v/>
      </c>
    </row>
    <row r="3499" spans="5:19" x14ac:dyDescent="0.3">
      <c r="E3499" s="9" t="str">
        <f>IF(DADOS!C3499="","",DADOS!C3499)</f>
        <v/>
      </c>
      <c r="F3499" s="9" t="str">
        <f>IF(DADOS!E3499="","",DADOS!E3499)</f>
        <v/>
      </c>
      <c r="G3499" s="9" t="str">
        <f>IF(DADOS!F3499="","",DADOS!F3499)</f>
        <v/>
      </c>
      <c r="K3499" s="6" t="str">
        <f t="shared" si="275"/>
        <v/>
      </c>
      <c r="L3499" s="7" t="str">
        <f t="shared" si="276"/>
        <v/>
      </c>
      <c r="M3499" s="7" t="str">
        <f t="shared" si="273"/>
        <v/>
      </c>
      <c r="N3499" s="7" t="str">
        <f t="shared" si="277"/>
        <v/>
      </c>
      <c r="O3499" s="8"/>
      <c r="P3499" s="26"/>
      <c r="S3499" s="10" t="str">
        <f t="shared" si="274"/>
        <v/>
      </c>
    </row>
    <row r="3500" spans="5:19" x14ac:dyDescent="0.3">
      <c r="E3500" s="9" t="str">
        <f>IF(DADOS!C3500="","",DADOS!C3500)</f>
        <v/>
      </c>
      <c r="F3500" s="9" t="str">
        <f>IF(DADOS!E3500="","",DADOS!E3500)</f>
        <v/>
      </c>
      <c r="G3500" s="9" t="str">
        <f>IF(DADOS!F3500="","",DADOS!F3500)</f>
        <v/>
      </c>
      <c r="K3500" s="6" t="str">
        <f t="shared" si="275"/>
        <v/>
      </c>
      <c r="L3500" s="7" t="str">
        <f t="shared" si="276"/>
        <v/>
      </c>
      <c r="M3500" s="7" t="str">
        <f t="shared" si="273"/>
        <v/>
      </c>
      <c r="N3500" s="7" t="str">
        <f t="shared" si="277"/>
        <v/>
      </c>
      <c r="O3500" s="8"/>
      <c r="P3500" s="26"/>
      <c r="S3500" s="10" t="str">
        <f t="shared" si="274"/>
        <v/>
      </c>
    </row>
    <row r="3501" spans="5:19" x14ac:dyDescent="0.3">
      <c r="E3501" s="9" t="str">
        <f>IF(DADOS!C3501="","",DADOS!C3501)</f>
        <v/>
      </c>
      <c r="F3501" s="9" t="str">
        <f>IF(DADOS!E3501="","",DADOS!E3501)</f>
        <v/>
      </c>
      <c r="G3501" s="9" t="str">
        <f>IF(DADOS!F3501="","",DADOS!F3501)</f>
        <v/>
      </c>
      <c r="K3501" s="6" t="str">
        <f t="shared" si="275"/>
        <v/>
      </c>
      <c r="L3501" s="7" t="str">
        <f t="shared" si="276"/>
        <v/>
      </c>
      <c r="M3501" s="7" t="str">
        <f t="shared" si="273"/>
        <v/>
      </c>
      <c r="N3501" s="7" t="str">
        <f t="shared" si="277"/>
        <v/>
      </c>
      <c r="O3501" s="8"/>
      <c r="P3501" s="26"/>
      <c r="S3501" s="10" t="str">
        <f t="shared" si="274"/>
        <v/>
      </c>
    </row>
    <row r="3502" spans="5:19" x14ac:dyDescent="0.3">
      <c r="E3502" s="9" t="str">
        <f>IF(DADOS!C3502="","",DADOS!C3502)</f>
        <v/>
      </c>
      <c r="F3502" s="9" t="str">
        <f>IF(DADOS!E3502="","",DADOS!E3502)</f>
        <v/>
      </c>
      <c r="G3502" s="9" t="str">
        <f>IF(DADOS!F3502="","",DADOS!F3502)</f>
        <v/>
      </c>
      <c r="K3502" s="6" t="str">
        <f t="shared" si="275"/>
        <v/>
      </c>
      <c r="L3502" s="7" t="str">
        <f t="shared" si="276"/>
        <v/>
      </c>
      <c r="M3502" s="7" t="str">
        <f t="shared" si="273"/>
        <v/>
      </c>
      <c r="N3502" s="7" t="str">
        <f t="shared" si="277"/>
        <v/>
      </c>
      <c r="O3502" s="8"/>
      <c r="P3502" s="26"/>
      <c r="S3502" s="10" t="str">
        <f t="shared" si="274"/>
        <v/>
      </c>
    </row>
    <row r="3503" spans="5:19" x14ac:dyDescent="0.3">
      <c r="E3503" s="9" t="str">
        <f>IF(DADOS!C3503="","",DADOS!C3503)</f>
        <v/>
      </c>
      <c r="F3503" s="9" t="str">
        <f>IF(DADOS!E3503="","",DADOS!E3503)</f>
        <v/>
      </c>
      <c r="G3503" s="9" t="str">
        <f>IF(DADOS!F3503="","",DADOS!F3503)</f>
        <v/>
      </c>
      <c r="K3503" s="6" t="str">
        <f t="shared" si="275"/>
        <v/>
      </c>
      <c r="L3503" s="7" t="str">
        <f t="shared" si="276"/>
        <v/>
      </c>
      <c r="M3503" s="7" t="str">
        <f t="shared" si="273"/>
        <v/>
      </c>
      <c r="N3503" s="7" t="str">
        <f t="shared" si="277"/>
        <v/>
      </c>
      <c r="O3503" s="8"/>
      <c r="P3503" s="26"/>
      <c r="S3503" s="10" t="str">
        <f t="shared" si="274"/>
        <v/>
      </c>
    </row>
    <row r="3504" spans="5:19" x14ac:dyDescent="0.3">
      <c r="E3504" s="9" t="str">
        <f>IF(DADOS!C3504="","",DADOS!C3504)</f>
        <v/>
      </c>
      <c r="F3504" s="9" t="str">
        <f>IF(DADOS!E3504="","",DADOS!E3504)</f>
        <v/>
      </c>
      <c r="G3504" s="9" t="str">
        <f>IF(DADOS!F3504="","",DADOS!F3504)</f>
        <v/>
      </c>
      <c r="K3504" s="6" t="str">
        <f t="shared" si="275"/>
        <v/>
      </c>
      <c r="L3504" s="7" t="str">
        <f t="shared" si="276"/>
        <v/>
      </c>
      <c r="M3504" s="7" t="str">
        <f t="shared" si="273"/>
        <v/>
      </c>
      <c r="N3504" s="7" t="str">
        <f t="shared" si="277"/>
        <v/>
      </c>
      <c r="O3504" s="8"/>
      <c r="P3504" s="26"/>
      <c r="S3504" s="10" t="str">
        <f t="shared" si="274"/>
        <v/>
      </c>
    </row>
    <row r="3505" spans="5:19" x14ac:dyDescent="0.3">
      <c r="E3505" s="9" t="str">
        <f>IF(DADOS!C3505="","",DADOS!C3505)</f>
        <v/>
      </c>
      <c r="F3505" s="9" t="str">
        <f>IF(DADOS!E3505="","",DADOS!E3505)</f>
        <v/>
      </c>
      <c r="G3505" s="9" t="str">
        <f>IF(DADOS!F3505="","",DADOS!F3505)</f>
        <v/>
      </c>
      <c r="K3505" s="6" t="str">
        <f t="shared" si="275"/>
        <v/>
      </c>
      <c r="L3505" s="7" t="str">
        <f t="shared" si="276"/>
        <v/>
      </c>
      <c r="M3505" s="7" t="str">
        <f t="shared" si="273"/>
        <v/>
      </c>
      <c r="N3505" s="7" t="str">
        <f t="shared" si="277"/>
        <v/>
      </c>
      <c r="O3505" s="8"/>
      <c r="P3505" s="26"/>
      <c r="S3505" s="10" t="str">
        <f t="shared" si="274"/>
        <v/>
      </c>
    </row>
    <row r="3506" spans="5:19" x14ac:dyDescent="0.3">
      <c r="E3506" s="9" t="str">
        <f>IF(DADOS!C3506="","",DADOS!C3506)</f>
        <v/>
      </c>
      <c r="F3506" s="9" t="str">
        <f>IF(DADOS!E3506="","",DADOS!E3506)</f>
        <v/>
      </c>
      <c r="G3506" s="9" t="str">
        <f>IF(DADOS!F3506="","",DADOS!F3506)</f>
        <v/>
      </c>
      <c r="K3506" s="6" t="str">
        <f t="shared" si="275"/>
        <v/>
      </c>
      <c r="L3506" s="7" t="str">
        <f t="shared" si="276"/>
        <v/>
      </c>
      <c r="M3506" s="7" t="str">
        <f t="shared" si="273"/>
        <v/>
      </c>
      <c r="N3506" s="7" t="str">
        <f t="shared" si="277"/>
        <v/>
      </c>
      <c r="O3506" s="8"/>
      <c r="P3506" s="26"/>
      <c r="S3506" s="10" t="str">
        <f t="shared" si="274"/>
        <v/>
      </c>
    </row>
    <row r="3507" spans="5:19" x14ac:dyDescent="0.3">
      <c r="E3507" s="9" t="str">
        <f>IF(DADOS!C3507="","",DADOS!C3507)</f>
        <v/>
      </c>
      <c r="F3507" s="9" t="str">
        <f>IF(DADOS!E3507="","",DADOS!E3507)</f>
        <v/>
      </c>
      <c r="G3507" s="9" t="str">
        <f>IF(DADOS!F3507="","",DADOS!F3507)</f>
        <v/>
      </c>
      <c r="K3507" s="6" t="str">
        <f t="shared" si="275"/>
        <v/>
      </c>
      <c r="L3507" s="7" t="str">
        <f t="shared" si="276"/>
        <v/>
      </c>
      <c r="M3507" s="7" t="str">
        <f t="shared" si="273"/>
        <v/>
      </c>
      <c r="N3507" s="7" t="str">
        <f t="shared" si="277"/>
        <v/>
      </c>
      <c r="O3507" s="8"/>
      <c r="P3507" s="26"/>
      <c r="S3507" s="10" t="str">
        <f t="shared" si="274"/>
        <v/>
      </c>
    </row>
    <row r="3508" spans="5:19" x14ac:dyDescent="0.3">
      <c r="E3508" s="9" t="str">
        <f>IF(DADOS!C3508="","",DADOS!C3508)</f>
        <v/>
      </c>
      <c r="F3508" s="9" t="str">
        <f>IF(DADOS!E3508="","",DADOS!E3508)</f>
        <v/>
      </c>
      <c r="G3508" s="9" t="str">
        <f>IF(DADOS!F3508="","",DADOS!F3508)</f>
        <v/>
      </c>
      <c r="K3508" s="6" t="str">
        <f t="shared" si="275"/>
        <v/>
      </c>
      <c r="L3508" s="7" t="str">
        <f t="shared" si="276"/>
        <v/>
      </c>
      <c r="M3508" s="7" t="str">
        <f t="shared" si="273"/>
        <v/>
      </c>
      <c r="N3508" s="7" t="str">
        <f t="shared" si="277"/>
        <v/>
      </c>
      <c r="O3508" s="8"/>
      <c r="P3508" s="26"/>
      <c r="S3508" s="10" t="str">
        <f t="shared" si="274"/>
        <v/>
      </c>
    </row>
    <row r="3509" spans="5:19" x14ac:dyDescent="0.3">
      <c r="E3509" s="9" t="str">
        <f>IF(DADOS!C3509="","",DADOS!C3509)</f>
        <v/>
      </c>
      <c r="F3509" s="9" t="str">
        <f>IF(DADOS!E3509="","",DADOS!E3509)</f>
        <v/>
      </c>
      <c r="G3509" s="9" t="str">
        <f>IF(DADOS!F3509="","",DADOS!F3509)</f>
        <v/>
      </c>
      <c r="K3509" s="6" t="str">
        <f t="shared" si="275"/>
        <v/>
      </c>
      <c r="L3509" s="7" t="str">
        <f t="shared" si="276"/>
        <v/>
      </c>
      <c r="M3509" s="7" t="str">
        <f t="shared" si="273"/>
        <v/>
      </c>
      <c r="N3509" s="7" t="str">
        <f t="shared" si="277"/>
        <v/>
      </c>
      <c r="O3509" s="8"/>
      <c r="P3509" s="26"/>
      <c r="S3509" s="10" t="str">
        <f t="shared" si="274"/>
        <v/>
      </c>
    </row>
    <row r="3510" spans="5:19" x14ac:dyDescent="0.3">
      <c r="E3510" s="9" t="str">
        <f>IF(DADOS!C3510="","",DADOS!C3510)</f>
        <v/>
      </c>
      <c r="F3510" s="9" t="str">
        <f>IF(DADOS!E3510="","",DADOS!E3510)</f>
        <v/>
      </c>
      <c r="G3510" s="9" t="str">
        <f>IF(DADOS!F3510="","",DADOS!F3510)</f>
        <v/>
      </c>
      <c r="K3510" s="6" t="str">
        <f t="shared" si="275"/>
        <v/>
      </c>
      <c r="L3510" s="7" t="str">
        <f t="shared" si="276"/>
        <v/>
      </c>
      <c r="M3510" s="7" t="str">
        <f t="shared" si="273"/>
        <v/>
      </c>
      <c r="N3510" s="7" t="str">
        <f t="shared" si="277"/>
        <v/>
      </c>
      <c r="O3510" s="8"/>
      <c r="P3510" s="26"/>
      <c r="S3510" s="10" t="str">
        <f t="shared" si="274"/>
        <v/>
      </c>
    </row>
    <row r="3511" spans="5:19" x14ac:dyDescent="0.3">
      <c r="E3511" s="9" t="str">
        <f>IF(DADOS!C3511="","",DADOS!C3511)</f>
        <v/>
      </c>
      <c r="F3511" s="9" t="str">
        <f>IF(DADOS!E3511="","",DADOS!E3511)</f>
        <v/>
      </c>
      <c r="G3511" s="9" t="str">
        <f>IF(DADOS!F3511="","",DADOS!F3511)</f>
        <v/>
      </c>
      <c r="K3511" s="6" t="str">
        <f t="shared" si="275"/>
        <v/>
      </c>
      <c r="L3511" s="7" t="str">
        <f t="shared" si="276"/>
        <v/>
      </c>
      <c r="M3511" s="7" t="str">
        <f t="shared" si="273"/>
        <v/>
      </c>
      <c r="N3511" s="7" t="str">
        <f t="shared" si="277"/>
        <v/>
      </c>
      <c r="O3511" s="8"/>
      <c r="P3511" s="26"/>
      <c r="S3511" s="10" t="str">
        <f t="shared" si="274"/>
        <v/>
      </c>
    </row>
    <row r="3512" spans="5:19" x14ac:dyDescent="0.3">
      <c r="E3512" s="9" t="str">
        <f>IF(DADOS!C3512="","",DADOS!C3512)</f>
        <v/>
      </c>
      <c r="F3512" s="9" t="str">
        <f>IF(DADOS!E3512="","",DADOS!E3512)</f>
        <v/>
      </c>
      <c r="G3512" s="9" t="str">
        <f>IF(DADOS!F3512="","",DADOS!F3512)</f>
        <v/>
      </c>
      <c r="K3512" s="6" t="str">
        <f t="shared" si="275"/>
        <v/>
      </c>
      <c r="L3512" s="7" t="str">
        <f t="shared" si="276"/>
        <v/>
      </c>
      <c r="M3512" s="7" t="str">
        <f t="shared" si="273"/>
        <v/>
      </c>
      <c r="N3512" s="7" t="str">
        <f t="shared" si="277"/>
        <v/>
      </c>
      <c r="O3512" s="8"/>
      <c r="P3512" s="26"/>
      <c r="S3512" s="10" t="str">
        <f t="shared" si="274"/>
        <v/>
      </c>
    </row>
    <row r="3513" spans="5:19" x14ac:dyDescent="0.3">
      <c r="E3513" s="9" t="str">
        <f>IF(DADOS!C3513="","",DADOS!C3513)</f>
        <v/>
      </c>
      <c r="F3513" s="9" t="str">
        <f>IF(DADOS!E3513="","",DADOS!E3513)</f>
        <v/>
      </c>
      <c r="G3513" s="9" t="str">
        <f>IF(DADOS!F3513="","",DADOS!F3513)</f>
        <v/>
      </c>
      <c r="K3513" s="6" t="str">
        <f t="shared" si="275"/>
        <v/>
      </c>
      <c r="L3513" s="7" t="str">
        <f t="shared" si="276"/>
        <v/>
      </c>
      <c r="M3513" s="7" t="str">
        <f t="shared" si="273"/>
        <v/>
      </c>
      <c r="N3513" s="7" t="str">
        <f t="shared" si="277"/>
        <v/>
      </c>
      <c r="O3513" s="8"/>
      <c r="P3513" s="26"/>
      <c r="S3513" s="10" t="str">
        <f t="shared" si="274"/>
        <v/>
      </c>
    </row>
    <row r="3514" spans="5:19" x14ac:dyDescent="0.3">
      <c r="E3514" s="9" t="str">
        <f>IF(DADOS!C3514="","",DADOS!C3514)</f>
        <v/>
      </c>
      <c r="F3514" s="9" t="str">
        <f>IF(DADOS!E3514="","",DADOS!E3514)</f>
        <v/>
      </c>
      <c r="G3514" s="9" t="str">
        <f>IF(DADOS!F3514="","",DADOS!F3514)</f>
        <v/>
      </c>
      <c r="K3514" s="6" t="str">
        <f t="shared" si="275"/>
        <v/>
      </c>
      <c r="L3514" s="7" t="str">
        <f t="shared" si="276"/>
        <v/>
      </c>
      <c r="M3514" s="7" t="str">
        <f t="shared" si="273"/>
        <v/>
      </c>
      <c r="N3514" s="7" t="str">
        <f t="shared" si="277"/>
        <v/>
      </c>
      <c r="O3514" s="8"/>
      <c r="P3514" s="26"/>
      <c r="S3514" s="10" t="str">
        <f t="shared" si="274"/>
        <v/>
      </c>
    </row>
    <row r="3515" spans="5:19" x14ac:dyDescent="0.3">
      <c r="E3515" s="9" t="str">
        <f>IF(DADOS!C3515="","",DADOS!C3515)</f>
        <v/>
      </c>
      <c r="F3515" s="9" t="str">
        <f>IF(DADOS!E3515="","",DADOS!E3515)</f>
        <v/>
      </c>
      <c r="G3515" s="9" t="str">
        <f>IF(DADOS!F3515="","",DADOS!F3515)</f>
        <v/>
      </c>
      <c r="K3515" s="6" t="str">
        <f t="shared" si="275"/>
        <v/>
      </c>
      <c r="L3515" s="7" t="str">
        <f t="shared" si="276"/>
        <v/>
      </c>
      <c r="M3515" s="7" t="str">
        <f t="shared" si="273"/>
        <v/>
      </c>
      <c r="N3515" s="7" t="str">
        <f t="shared" si="277"/>
        <v/>
      </c>
      <c r="O3515" s="8"/>
      <c r="P3515" s="26"/>
      <c r="S3515" s="10" t="str">
        <f t="shared" si="274"/>
        <v/>
      </c>
    </row>
    <row r="3516" spans="5:19" x14ac:dyDescent="0.3">
      <c r="E3516" s="9" t="str">
        <f>IF(DADOS!C3516="","",DADOS!C3516)</f>
        <v/>
      </c>
      <c r="F3516" s="9" t="str">
        <f>IF(DADOS!E3516="","",DADOS!E3516)</f>
        <v/>
      </c>
      <c r="G3516" s="9" t="str">
        <f>IF(DADOS!F3516="","",DADOS!F3516)</f>
        <v/>
      </c>
      <c r="K3516" s="6" t="str">
        <f t="shared" si="275"/>
        <v/>
      </c>
      <c r="L3516" s="7" t="str">
        <f t="shared" si="276"/>
        <v/>
      </c>
      <c r="M3516" s="7" t="str">
        <f t="shared" si="273"/>
        <v/>
      </c>
      <c r="N3516" s="7" t="str">
        <f t="shared" si="277"/>
        <v/>
      </c>
      <c r="O3516" s="8"/>
      <c r="P3516" s="26"/>
      <c r="S3516" s="10" t="str">
        <f t="shared" si="274"/>
        <v/>
      </c>
    </row>
    <row r="3517" spans="5:19" x14ac:dyDescent="0.3">
      <c r="E3517" s="9" t="str">
        <f>IF(DADOS!C3517="","",DADOS!C3517)</f>
        <v/>
      </c>
      <c r="F3517" s="9" t="str">
        <f>IF(DADOS!E3517="","",DADOS!E3517)</f>
        <v/>
      </c>
      <c r="G3517" s="9" t="str">
        <f>IF(DADOS!F3517="","",DADOS!F3517)</f>
        <v/>
      </c>
      <c r="K3517" s="6" t="str">
        <f t="shared" si="275"/>
        <v/>
      </c>
      <c r="L3517" s="7" t="str">
        <f t="shared" si="276"/>
        <v/>
      </c>
      <c r="M3517" s="7" t="str">
        <f t="shared" si="273"/>
        <v/>
      </c>
      <c r="N3517" s="7" t="str">
        <f t="shared" si="277"/>
        <v/>
      </c>
      <c r="O3517" s="8"/>
      <c r="P3517" s="26"/>
      <c r="S3517" s="10" t="str">
        <f t="shared" si="274"/>
        <v/>
      </c>
    </row>
    <row r="3518" spans="5:19" x14ac:dyDescent="0.3">
      <c r="E3518" s="9" t="str">
        <f>IF(DADOS!C3518="","",DADOS!C3518)</f>
        <v/>
      </c>
      <c r="F3518" s="9" t="str">
        <f>IF(DADOS!E3518="","",DADOS!E3518)</f>
        <v/>
      </c>
      <c r="G3518" s="9" t="str">
        <f>IF(DADOS!F3518="","",DADOS!F3518)</f>
        <v/>
      </c>
      <c r="K3518" s="6" t="str">
        <f t="shared" si="275"/>
        <v/>
      </c>
      <c r="L3518" s="7" t="str">
        <f t="shared" si="276"/>
        <v/>
      </c>
      <c r="M3518" s="7" t="str">
        <f t="shared" si="273"/>
        <v/>
      </c>
      <c r="N3518" s="7" t="str">
        <f t="shared" si="277"/>
        <v/>
      </c>
      <c r="O3518" s="8"/>
      <c r="P3518" s="26"/>
      <c r="S3518" s="10" t="str">
        <f t="shared" si="274"/>
        <v/>
      </c>
    </row>
    <row r="3519" spans="5:19" x14ac:dyDescent="0.3">
      <c r="E3519" s="9" t="str">
        <f>IF(DADOS!C3519="","",DADOS!C3519)</f>
        <v/>
      </c>
      <c r="F3519" s="9" t="str">
        <f>IF(DADOS!E3519="","",DADOS!E3519)</f>
        <v/>
      </c>
      <c r="G3519" s="9" t="str">
        <f>IF(DADOS!F3519="","",DADOS!F3519)</f>
        <v/>
      </c>
      <c r="K3519" s="6" t="str">
        <f t="shared" si="275"/>
        <v/>
      </c>
      <c r="L3519" s="7" t="str">
        <f t="shared" si="276"/>
        <v/>
      </c>
      <c r="M3519" s="7" t="str">
        <f t="shared" si="273"/>
        <v/>
      </c>
      <c r="N3519" s="7" t="str">
        <f t="shared" si="277"/>
        <v/>
      </c>
      <c r="O3519" s="8"/>
      <c r="P3519" s="26"/>
      <c r="S3519" s="10" t="str">
        <f t="shared" si="274"/>
        <v/>
      </c>
    </row>
    <row r="3520" spans="5:19" x14ac:dyDescent="0.3">
      <c r="E3520" s="9" t="str">
        <f>IF(DADOS!C3520="","",DADOS!C3520)</f>
        <v/>
      </c>
      <c r="F3520" s="9" t="str">
        <f>IF(DADOS!E3520="","",DADOS!E3520)</f>
        <v/>
      </c>
      <c r="G3520" s="9" t="str">
        <f>IF(DADOS!F3520="","",DADOS!F3520)</f>
        <v/>
      </c>
      <c r="K3520" s="6" t="str">
        <f t="shared" si="275"/>
        <v/>
      </c>
      <c r="L3520" s="7" t="str">
        <f t="shared" si="276"/>
        <v/>
      </c>
      <c r="M3520" s="7" t="str">
        <f t="shared" si="273"/>
        <v/>
      </c>
      <c r="N3520" s="7" t="str">
        <f t="shared" si="277"/>
        <v/>
      </c>
      <c r="O3520" s="8"/>
      <c r="P3520" s="26"/>
      <c r="S3520" s="10" t="str">
        <f t="shared" si="274"/>
        <v/>
      </c>
    </row>
    <row r="3521" spans="5:19" x14ac:dyDescent="0.3">
      <c r="E3521" s="9" t="str">
        <f>IF(DADOS!C3521="","",DADOS!C3521)</f>
        <v/>
      </c>
      <c r="F3521" s="9" t="str">
        <f>IF(DADOS!E3521="","",DADOS!E3521)</f>
        <v/>
      </c>
      <c r="G3521" s="9" t="str">
        <f>IF(DADOS!F3521="","",DADOS!F3521)</f>
        <v/>
      </c>
      <c r="K3521" s="6" t="str">
        <f t="shared" si="275"/>
        <v/>
      </c>
      <c r="L3521" s="7" t="str">
        <f t="shared" si="276"/>
        <v/>
      </c>
      <c r="M3521" s="7" t="str">
        <f t="shared" si="273"/>
        <v/>
      </c>
      <c r="N3521" s="7" t="str">
        <f t="shared" si="277"/>
        <v/>
      </c>
      <c r="O3521" s="8"/>
      <c r="P3521" s="26"/>
      <c r="S3521" s="10" t="str">
        <f t="shared" si="274"/>
        <v/>
      </c>
    </row>
    <row r="3522" spans="5:19" x14ac:dyDescent="0.3">
      <c r="E3522" s="9" t="str">
        <f>IF(DADOS!C3522="","",DADOS!C3522)</f>
        <v/>
      </c>
      <c r="F3522" s="9" t="str">
        <f>IF(DADOS!E3522="","",DADOS!E3522)</f>
        <v/>
      </c>
      <c r="G3522" s="9" t="str">
        <f>IF(DADOS!F3522="","",DADOS!F3522)</f>
        <v/>
      </c>
      <c r="K3522" s="6" t="str">
        <f t="shared" si="275"/>
        <v/>
      </c>
      <c r="L3522" s="7" t="str">
        <f t="shared" si="276"/>
        <v/>
      </c>
      <c r="M3522" s="7" t="str">
        <f t="shared" si="273"/>
        <v/>
      </c>
      <c r="N3522" s="7" t="str">
        <f t="shared" si="277"/>
        <v/>
      </c>
      <c r="O3522" s="8"/>
      <c r="P3522" s="26"/>
      <c r="S3522" s="10" t="str">
        <f t="shared" si="274"/>
        <v/>
      </c>
    </row>
    <row r="3523" spans="5:19" x14ac:dyDescent="0.3">
      <c r="E3523" s="9" t="str">
        <f>IF(DADOS!C3523="","",DADOS!C3523)</f>
        <v/>
      </c>
      <c r="F3523" s="9" t="str">
        <f>IF(DADOS!E3523="","",DADOS!E3523)</f>
        <v/>
      </c>
      <c r="G3523" s="9" t="str">
        <f>IF(DADOS!F3523="","",DADOS!F3523)</f>
        <v/>
      </c>
      <c r="K3523" s="6" t="str">
        <f t="shared" si="275"/>
        <v/>
      </c>
      <c r="L3523" s="7" t="str">
        <f t="shared" si="276"/>
        <v/>
      </c>
      <c r="M3523" s="7" t="str">
        <f t="shared" ref="M3523:M3586" si="278">IF(L3523="","",L3523*G3523)</f>
        <v/>
      </c>
      <c r="N3523" s="7" t="str">
        <f t="shared" si="277"/>
        <v/>
      </c>
      <c r="O3523" s="8"/>
      <c r="P3523" s="26"/>
      <c r="S3523" s="10" t="str">
        <f t="shared" ref="S3523:S3586" si="279">IF(R3523="","",SUMIFS($N$3:$N$10000,$E$3:$E$10000,R3523))</f>
        <v/>
      </c>
    </row>
    <row r="3524" spans="5:19" x14ac:dyDescent="0.3">
      <c r="E3524" s="9" t="str">
        <f>IF(DADOS!C3524="","",DADOS!C3524)</f>
        <v/>
      </c>
      <c r="F3524" s="9" t="str">
        <f>IF(DADOS!E3524="","",DADOS!E3524)</f>
        <v/>
      </c>
      <c r="G3524" s="9" t="str">
        <f>IF(DADOS!F3524="","",DADOS!F3524)</f>
        <v/>
      </c>
      <c r="K3524" s="6" t="str">
        <f t="shared" ref="K3524:K3587" si="280">IF(F3524="","",F3524/PI())</f>
        <v/>
      </c>
      <c r="L3524" s="7" t="str">
        <f t="shared" ref="L3524:L3587" si="281">IF(K3524="","",(PI()*K3524^2)/40000)</f>
        <v/>
      </c>
      <c r="M3524" s="7" t="str">
        <f t="shared" si="278"/>
        <v/>
      </c>
      <c r="N3524" s="7" t="str">
        <f t="shared" ref="N3524:N3587" si="282">IF(M3524="","",M3524*N$1)</f>
        <v/>
      </c>
      <c r="O3524" s="8"/>
      <c r="P3524" s="26"/>
      <c r="S3524" s="10" t="str">
        <f t="shared" si="279"/>
        <v/>
      </c>
    </row>
    <row r="3525" spans="5:19" x14ac:dyDescent="0.3">
      <c r="E3525" s="9" t="str">
        <f>IF(DADOS!C3525="","",DADOS!C3525)</f>
        <v/>
      </c>
      <c r="F3525" s="9" t="str">
        <f>IF(DADOS!E3525="","",DADOS!E3525)</f>
        <v/>
      </c>
      <c r="G3525" s="9" t="str">
        <f>IF(DADOS!F3525="","",DADOS!F3525)</f>
        <v/>
      </c>
      <c r="K3525" s="6" t="str">
        <f t="shared" si="280"/>
        <v/>
      </c>
      <c r="L3525" s="7" t="str">
        <f t="shared" si="281"/>
        <v/>
      </c>
      <c r="M3525" s="7" t="str">
        <f t="shared" si="278"/>
        <v/>
      </c>
      <c r="N3525" s="7" t="str">
        <f t="shared" si="282"/>
        <v/>
      </c>
      <c r="O3525" s="8"/>
      <c r="P3525" s="26"/>
      <c r="S3525" s="10" t="str">
        <f t="shared" si="279"/>
        <v/>
      </c>
    </row>
    <row r="3526" spans="5:19" x14ac:dyDescent="0.3">
      <c r="E3526" s="9" t="str">
        <f>IF(DADOS!C3526="","",DADOS!C3526)</f>
        <v/>
      </c>
      <c r="F3526" s="9" t="str">
        <f>IF(DADOS!E3526="","",DADOS!E3526)</f>
        <v/>
      </c>
      <c r="G3526" s="9" t="str">
        <f>IF(DADOS!F3526="","",DADOS!F3526)</f>
        <v/>
      </c>
      <c r="K3526" s="6" t="str">
        <f t="shared" si="280"/>
        <v/>
      </c>
      <c r="L3526" s="7" t="str">
        <f t="shared" si="281"/>
        <v/>
      </c>
      <c r="M3526" s="7" t="str">
        <f t="shared" si="278"/>
        <v/>
      </c>
      <c r="N3526" s="7" t="str">
        <f t="shared" si="282"/>
        <v/>
      </c>
      <c r="O3526" s="8"/>
      <c r="P3526" s="26"/>
      <c r="S3526" s="10" t="str">
        <f t="shared" si="279"/>
        <v/>
      </c>
    </row>
    <row r="3527" spans="5:19" x14ac:dyDescent="0.3">
      <c r="E3527" s="9" t="str">
        <f>IF(DADOS!C3527="","",DADOS!C3527)</f>
        <v/>
      </c>
      <c r="F3527" s="9" t="str">
        <f>IF(DADOS!E3527="","",DADOS!E3527)</f>
        <v/>
      </c>
      <c r="G3527" s="9" t="str">
        <f>IF(DADOS!F3527="","",DADOS!F3527)</f>
        <v/>
      </c>
      <c r="K3527" s="6" t="str">
        <f t="shared" si="280"/>
        <v/>
      </c>
      <c r="L3527" s="7" t="str">
        <f t="shared" si="281"/>
        <v/>
      </c>
      <c r="M3527" s="7" t="str">
        <f t="shared" si="278"/>
        <v/>
      </c>
      <c r="N3527" s="7" t="str">
        <f t="shared" si="282"/>
        <v/>
      </c>
      <c r="O3527" s="8"/>
      <c r="P3527" s="26"/>
      <c r="S3527" s="10" t="str">
        <f t="shared" si="279"/>
        <v/>
      </c>
    </row>
    <row r="3528" spans="5:19" x14ac:dyDescent="0.3">
      <c r="E3528" s="9" t="str">
        <f>IF(DADOS!C3528="","",DADOS!C3528)</f>
        <v/>
      </c>
      <c r="F3528" s="9" t="str">
        <f>IF(DADOS!E3528="","",DADOS!E3528)</f>
        <v/>
      </c>
      <c r="G3528" s="9" t="str">
        <f>IF(DADOS!F3528="","",DADOS!F3528)</f>
        <v/>
      </c>
      <c r="K3528" s="6" t="str">
        <f t="shared" si="280"/>
        <v/>
      </c>
      <c r="L3528" s="7" t="str">
        <f t="shared" si="281"/>
        <v/>
      </c>
      <c r="M3528" s="7" t="str">
        <f t="shared" si="278"/>
        <v/>
      </c>
      <c r="N3528" s="7" t="str">
        <f t="shared" si="282"/>
        <v/>
      </c>
      <c r="O3528" s="8"/>
      <c r="P3528" s="26"/>
      <c r="S3528" s="10" t="str">
        <f t="shared" si="279"/>
        <v/>
      </c>
    </row>
    <row r="3529" spans="5:19" x14ac:dyDescent="0.3">
      <c r="E3529" s="9" t="str">
        <f>IF(DADOS!C3529="","",DADOS!C3529)</f>
        <v/>
      </c>
      <c r="F3529" s="9" t="str">
        <f>IF(DADOS!E3529="","",DADOS!E3529)</f>
        <v/>
      </c>
      <c r="G3529" s="9" t="str">
        <f>IF(DADOS!F3529="","",DADOS!F3529)</f>
        <v/>
      </c>
      <c r="K3529" s="6" t="str">
        <f t="shared" si="280"/>
        <v/>
      </c>
      <c r="L3529" s="7" t="str">
        <f t="shared" si="281"/>
        <v/>
      </c>
      <c r="M3529" s="7" t="str">
        <f t="shared" si="278"/>
        <v/>
      </c>
      <c r="N3529" s="7" t="str">
        <f t="shared" si="282"/>
        <v/>
      </c>
      <c r="O3529" s="8"/>
      <c r="P3529" s="26"/>
      <c r="S3529" s="10" t="str">
        <f t="shared" si="279"/>
        <v/>
      </c>
    </row>
    <row r="3530" spans="5:19" x14ac:dyDescent="0.3">
      <c r="E3530" s="9" t="str">
        <f>IF(DADOS!C3530="","",DADOS!C3530)</f>
        <v/>
      </c>
      <c r="F3530" s="9" t="str">
        <f>IF(DADOS!E3530="","",DADOS!E3530)</f>
        <v/>
      </c>
      <c r="G3530" s="9" t="str">
        <f>IF(DADOS!F3530="","",DADOS!F3530)</f>
        <v/>
      </c>
      <c r="K3530" s="6" t="str">
        <f t="shared" si="280"/>
        <v/>
      </c>
      <c r="L3530" s="7" t="str">
        <f t="shared" si="281"/>
        <v/>
      </c>
      <c r="M3530" s="7" t="str">
        <f t="shared" si="278"/>
        <v/>
      </c>
      <c r="N3530" s="7" t="str">
        <f t="shared" si="282"/>
        <v/>
      </c>
      <c r="O3530" s="8"/>
      <c r="P3530" s="26"/>
      <c r="S3530" s="10" t="str">
        <f t="shared" si="279"/>
        <v/>
      </c>
    </row>
    <row r="3531" spans="5:19" x14ac:dyDescent="0.3">
      <c r="E3531" s="9" t="str">
        <f>IF(DADOS!C3531="","",DADOS!C3531)</f>
        <v/>
      </c>
      <c r="F3531" s="9" t="str">
        <f>IF(DADOS!E3531="","",DADOS!E3531)</f>
        <v/>
      </c>
      <c r="G3531" s="9" t="str">
        <f>IF(DADOS!F3531="","",DADOS!F3531)</f>
        <v/>
      </c>
      <c r="K3531" s="6" t="str">
        <f t="shared" si="280"/>
        <v/>
      </c>
      <c r="L3531" s="7" t="str">
        <f t="shared" si="281"/>
        <v/>
      </c>
      <c r="M3531" s="7" t="str">
        <f t="shared" si="278"/>
        <v/>
      </c>
      <c r="N3531" s="7" t="str">
        <f t="shared" si="282"/>
        <v/>
      </c>
      <c r="O3531" s="8"/>
      <c r="P3531" s="26"/>
      <c r="S3531" s="10" t="str">
        <f t="shared" si="279"/>
        <v/>
      </c>
    </row>
    <row r="3532" spans="5:19" x14ac:dyDescent="0.3">
      <c r="E3532" s="9" t="str">
        <f>IF(DADOS!C3532="","",DADOS!C3532)</f>
        <v/>
      </c>
      <c r="F3532" s="9" t="str">
        <f>IF(DADOS!E3532="","",DADOS!E3532)</f>
        <v/>
      </c>
      <c r="G3532" s="9" t="str">
        <f>IF(DADOS!F3532="","",DADOS!F3532)</f>
        <v/>
      </c>
      <c r="K3532" s="6" t="str">
        <f t="shared" si="280"/>
        <v/>
      </c>
      <c r="L3532" s="7" t="str">
        <f t="shared" si="281"/>
        <v/>
      </c>
      <c r="M3532" s="7" t="str">
        <f t="shared" si="278"/>
        <v/>
      </c>
      <c r="N3532" s="7" t="str">
        <f t="shared" si="282"/>
        <v/>
      </c>
      <c r="O3532" s="8"/>
      <c r="P3532" s="26"/>
      <c r="S3532" s="10" t="str">
        <f t="shared" si="279"/>
        <v/>
      </c>
    </row>
    <row r="3533" spans="5:19" x14ac:dyDescent="0.3">
      <c r="E3533" s="9" t="str">
        <f>IF(DADOS!C3533="","",DADOS!C3533)</f>
        <v/>
      </c>
      <c r="F3533" s="9" t="str">
        <f>IF(DADOS!E3533="","",DADOS!E3533)</f>
        <v/>
      </c>
      <c r="G3533" s="9" t="str">
        <f>IF(DADOS!F3533="","",DADOS!F3533)</f>
        <v/>
      </c>
      <c r="K3533" s="6" t="str">
        <f t="shared" si="280"/>
        <v/>
      </c>
      <c r="L3533" s="7" t="str">
        <f t="shared" si="281"/>
        <v/>
      </c>
      <c r="M3533" s="7" t="str">
        <f t="shared" si="278"/>
        <v/>
      </c>
      <c r="N3533" s="7" t="str">
        <f t="shared" si="282"/>
        <v/>
      </c>
      <c r="O3533" s="8"/>
      <c r="P3533" s="26"/>
      <c r="S3533" s="10" t="str">
        <f t="shared" si="279"/>
        <v/>
      </c>
    </row>
    <row r="3534" spans="5:19" x14ac:dyDescent="0.3">
      <c r="E3534" s="9" t="str">
        <f>IF(DADOS!C3534="","",DADOS!C3534)</f>
        <v/>
      </c>
      <c r="F3534" s="9" t="str">
        <f>IF(DADOS!E3534="","",DADOS!E3534)</f>
        <v/>
      </c>
      <c r="G3534" s="9" t="str">
        <f>IF(DADOS!F3534="","",DADOS!F3534)</f>
        <v/>
      </c>
      <c r="K3534" s="6" t="str">
        <f t="shared" si="280"/>
        <v/>
      </c>
      <c r="L3534" s="7" t="str">
        <f t="shared" si="281"/>
        <v/>
      </c>
      <c r="M3534" s="7" t="str">
        <f t="shared" si="278"/>
        <v/>
      </c>
      <c r="N3534" s="7" t="str">
        <f t="shared" si="282"/>
        <v/>
      </c>
      <c r="O3534" s="8"/>
      <c r="P3534" s="26"/>
      <c r="S3534" s="10" t="str">
        <f t="shared" si="279"/>
        <v/>
      </c>
    </row>
    <row r="3535" spans="5:19" x14ac:dyDescent="0.3">
      <c r="E3535" s="9" t="str">
        <f>IF(DADOS!C3535="","",DADOS!C3535)</f>
        <v/>
      </c>
      <c r="F3535" s="9" t="str">
        <f>IF(DADOS!E3535="","",DADOS!E3535)</f>
        <v/>
      </c>
      <c r="G3535" s="9" t="str">
        <f>IF(DADOS!F3535="","",DADOS!F3535)</f>
        <v/>
      </c>
      <c r="K3535" s="6" t="str">
        <f t="shared" si="280"/>
        <v/>
      </c>
      <c r="L3535" s="7" t="str">
        <f t="shared" si="281"/>
        <v/>
      </c>
      <c r="M3535" s="7" t="str">
        <f t="shared" si="278"/>
        <v/>
      </c>
      <c r="N3535" s="7" t="str">
        <f t="shared" si="282"/>
        <v/>
      </c>
      <c r="O3535" s="8"/>
      <c r="P3535" s="26"/>
      <c r="S3535" s="10" t="str">
        <f t="shared" si="279"/>
        <v/>
      </c>
    </row>
    <row r="3536" spans="5:19" x14ac:dyDescent="0.3">
      <c r="E3536" s="9" t="str">
        <f>IF(DADOS!C3536="","",DADOS!C3536)</f>
        <v/>
      </c>
      <c r="F3536" s="9" t="str">
        <f>IF(DADOS!E3536="","",DADOS!E3536)</f>
        <v/>
      </c>
      <c r="G3536" s="9" t="str">
        <f>IF(DADOS!F3536="","",DADOS!F3536)</f>
        <v/>
      </c>
      <c r="K3536" s="6" t="str">
        <f t="shared" si="280"/>
        <v/>
      </c>
      <c r="L3536" s="7" t="str">
        <f t="shared" si="281"/>
        <v/>
      </c>
      <c r="M3536" s="7" t="str">
        <f t="shared" si="278"/>
        <v/>
      </c>
      <c r="N3536" s="7" t="str">
        <f t="shared" si="282"/>
        <v/>
      </c>
      <c r="O3536" s="8"/>
      <c r="P3536" s="26"/>
      <c r="S3536" s="10" t="str">
        <f t="shared" si="279"/>
        <v/>
      </c>
    </row>
    <row r="3537" spans="5:19" x14ac:dyDescent="0.3">
      <c r="E3537" s="9" t="str">
        <f>IF(DADOS!C3537="","",DADOS!C3537)</f>
        <v/>
      </c>
      <c r="F3537" s="9" t="str">
        <f>IF(DADOS!E3537="","",DADOS!E3537)</f>
        <v/>
      </c>
      <c r="G3537" s="9" t="str">
        <f>IF(DADOS!F3537="","",DADOS!F3537)</f>
        <v/>
      </c>
      <c r="K3537" s="6" t="str">
        <f t="shared" si="280"/>
        <v/>
      </c>
      <c r="L3537" s="7" t="str">
        <f t="shared" si="281"/>
        <v/>
      </c>
      <c r="M3537" s="7" t="str">
        <f t="shared" si="278"/>
        <v/>
      </c>
      <c r="N3537" s="7" t="str">
        <f t="shared" si="282"/>
        <v/>
      </c>
      <c r="O3537" s="8"/>
      <c r="P3537" s="26"/>
      <c r="S3537" s="10" t="str">
        <f t="shared" si="279"/>
        <v/>
      </c>
    </row>
    <row r="3538" spans="5:19" x14ac:dyDescent="0.3">
      <c r="E3538" s="9" t="str">
        <f>IF(DADOS!C3538="","",DADOS!C3538)</f>
        <v/>
      </c>
      <c r="F3538" s="9" t="str">
        <f>IF(DADOS!E3538="","",DADOS!E3538)</f>
        <v/>
      </c>
      <c r="G3538" s="9" t="str">
        <f>IF(DADOS!F3538="","",DADOS!F3538)</f>
        <v/>
      </c>
      <c r="K3538" s="6" t="str">
        <f t="shared" si="280"/>
        <v/>
      </c>
      <c r="L3538" s="7" t="str">
        <f t="shared" si="281"/>
        <v/>
      </c>
      <c r="M3538" s="7" t="str">
        <f t="shared" si="278"/>
        <v/>
      </c>
      <c r="N3538" s="7" t="str">
        <f t="shared" si="282"/>
        <v/>
      </c>
      <c r="O3538" s="8"/>
      <c r="P3538" s="26"/>
      <c r="S3538" s="10" t="str">
        <f t="shared" si="279"/>
        <v/>
      </c>
    </row>
    <row r="3539" spans="5:19" x14ac:dyDescent="0.3">
      <c r="E3539" s="9" t="str">
        <f>IF(DADOS!C3539="","",DADOS!C3539)</f>
        <v/>
      </c>
      <c r="F3539" s="9" t="str">
        <f>IF(DADOS!E3539="","",DADOS!E3539)</f>
        <v/>
      </c>
      <c r="G3539" s="9" t="str">
        <f>IF(DADOS!F3539="","",DADOS!F3539)</f>
        <v/>
      </c>
      <c r="K3539" s="6" t="str">
        <f t="shared" si="280"/>
        <v/>
      </c>
      <c r="L3539" s="7" t="str">
        <f t="shared" si="281"/>
        <v/>
      </c>
      <c r="M3539" s="7" t="str">
        <f t="shared" si="278"/>
        <v/>
      </c>
      <c r="N3539" s="7" t="str">
        <f t="shared" si="282"/>
        <v/>
      </c>
      <c r="O3539" s="8"/>
      <c r="P3539" s="26"/>
      <c r="S3539" s="10" t="str">
        <f t="shared" si="279"/>
        <v/>
      </c>
    </row>
    <row r="3540" spans="5:19" x14ac:dyDescent="0.3">
      <c r="E3540" s="9" t="str">
        <f>IF(DADOS!C3540="","",DADOS!C3540)</f>
        <v/>
      </c>
      <c r="F3540" s="9" t="str">
        <f>IF(DADOS!E3540="","",DADOS!E3540)</f>
        <v/>
      </c>
      <c r="G3540" s="9" t="str">
        <f>IF(DADOS!F3540="","",DADOS!F3540)</f>
        <v/>
      </c>
      <c r="K3540" s="6" t="str">
        <f t="shared" si="280"/>
        <v/>
      </c>
      <c r="L3540" s="7" t="str">
        <f t="shared" si="281"/>
        <v/>
      </c>
      <c r="M3540" s="7" t="str">
        <f t="shared" si="278"/>
        <v/>
      </c>
      <c r="N3540" s="7" t="str">
        <f t="shared" si="282"/>
        <v/>
      </c>
      <c r="O3540" s="8"/>
      <c r="P3540" s="26"/>
      <c r="S3540" s="10" t="str">
        <f t="shared" si="279"/>
        <v/>
      </c>
    </row>
    <row r="3541" spans="5:19" x14ac:dyDescent="0.3">
      <c r="E3541" s="9" t="str">
        <f>IF(DADOS!C3541="","",DADOS!C3541)</f>
        <v/>
      </c>
      <c r="F3541" s="9" t="str">
        <f>IF(DADOS!E3541="","",DADOS!E3541)</f>
        <v/>
      </c>
      <c r="G3541" s="9" t="str">
        <f>IF(DADOS!F3541="","",DADOS!F3541)</f>
        <v/>
      </c>
      <c r="K3541" s="6" t="str">
        <f t="shared" si="280"/>
        <v/>
      </c>
      <c r="L3541" s="7" t="str">
        <f t="shared" si="281"/>
        <v/>
      </c>
      <c r="M3541" s="7" t="str">
        <f t="shared" si="278"/>
        <v/>
      </c>
      <c r="N3541" s="7" t="str">
        <f t="shared" si="282"/>
        <v/>
      </c>
      <c r="O3541" s="8"/>
      <c r="P3541" s="26"/>
      <c r="S3541" s="10" t="str">
        <f t="shared" si="279"/>
        <v/>
      </c>
    </row>
    <row r="3542" spans="5:19" x14ac:dyDescent="0.3">
      <c r="E3542" s="9" t="str">
        <f>IF(DADOS!C3542="","",DADOS!C3542)</f>
        <v/>
      </c>
      <c r="F3542" s="9" t="str">
        <f>IF(DADOS!E3542="","",DADOS!E3542)</f>
        <v/>
      </c>
      <c r="G3542" s="9" t="str">
        <f>IF(DADOS!F3542="","",DADOS!F3542)</f>
        <v/>
      </c>
      <c r="K3542" s="6" t="str">
        <f t="shared" si="280"/>
        <v/>
      </c>
      <c r="L3542" s="7" t="str">
        <f t="shared" si="281"/>
        <v/>
      </c>
      <c r="M3542" s="7" t="str">
        <f t="shared" si="278"/>
        <v/>
      </c>
      <c r="N3542" s="7" t="str">
        <f t="shared" si="282"/>
        <v/>
      </c>
      <c r="O3542" s="8"/>
      <c r="P3542" s="26"/>
      <c r="S3542" s="10" t="str">
        <f t="shared" si="279"/>
        <v/>
      </c>
    </row>
    <row r="3543" spans="5:19" x14ac:dyDescent="0.3">
      <c r="E3543" s="9" t="str">
        <f>IF(DADOS!C3543="","",DADOS!C3543)</f>
        <v/>
      </c>
      <c r="F3543" s="9" t="str">
        <f>IF(DADOS!E3543="","",DADOS!E3543)</f>
        <v/>
      </c>
      <c r="G3543" s="9" t="str">
        <f>IF(DADOS!F3543="","",DADOS!F3543)</f>
        <v/>
      </c>
      <c r="K3543" s="6" t="str">
        <f t="shared" si="280"/>
        <v/>
      </c>
      <c r="L3543" s="7" t="str">
        <f t="shared" si="281"/>
        <v/>
      </c>
      <c r="M3543" s="7" t="str">
        <f t="shared" si="278"/>
        <v/>
      </c>
      <c r="N3543" s="7" t="str">
        <f t="shared" si="282"/>
        <v/>
      </c>
      <c r="O3543" s="8"/>
      <c r="P3543" s="26"/>
      <c r="S3543" s="10" t="str">
        <f t="shared" si="279"/>
        <v/>
      </c>
    </row>
    <row r="3544" spans="5:19" x14ac:dyDescent="0.3">
      <c r="E3544" s="9" t="str">
        <f>IF(DADOS!C3544="","",DADOS!C3544)</f>
        <v/>
      </c>
      <c r="F3544" s="9" t="str">
        <f>IF(DADOS!E3544="","",DADOS!E3544)</f>
        <v/>
      </c>
      <c r="G3544" s="9" t="str">
        <f>IF(DADOS!F3544="","",DADOS!F3544)</f>
        <v/>
      </c>
      <c r="K3544" s="6" t="str">
        <f t="shared" si="280"/>
        <v/>
      </c>
      <c r="L3544" s="7" t="str">
        <f t="shared" si="281"/>
        <v/>
      </c>
      <c r="M3544" s="7" t="str">
        <f t="shared" si="278"/>
        <v/>
      </c>
      <c r="N3544" s="7" t="str">
        <f t="shared" si="282"/>
        <v/>
      </c>
      <c r="O3544" s="8"/>
      <c r="P3544" s="26"/>
      <c r="S3544" s="10" t="str">
        <f t="shared" si="279"/>
        <v/>
      </c>
    </row>
    <row r="3545" spans="5:19" x14ac:dyDescent="0.3">
      <c r="E3545" s="9" t="str">
        <f>IF(DADOS!C3545="","",DADOS!C3545)</f>
        <v/>
      </c>
      <c r="F3545" s="9" t="str">
        <f>IF(DADOS!E3545="","",DADOS!E3545)</f>
        <v/>
      </c>
      <c r="G3545" s="9" t="str">
        <f>IF(DADOS!F3545="","",DADOS!F3545)</f>
        <v/>
      </c>
      <c r="K3545" s="6" t="str">
        <f t="shared" si="280"/>
        <v/>
      </c>
      <c r="L3545" s="7" t="str">
        <f t="shared" si="281"/>
        <v/>
      </c>
      <c r="M3545" s="7" t="str">
        <f t="shared" si="278"/>
        <v/>
      </c>
      <c r="N3545" s="7" t="str">
        <f t="shared" si="282"/>
        <v/>
      </c>
      <c r="O3545" s="8"/>
      <c r="P3545" s="26"/>
      <c r="S3545" s="10" t="str">
        <f t="shared" si="279"/>
        <v/>
      </c>
    </row>
    <row r="3546" spans="5:19" x14ac:dyDescent="0.3">
      <c r="E3546" s="9" t="str">
        <f>IF(DADOS!C3546="","",DADOS!C3546)</f>
        <v/>
      </c>
      <c r="F3546" s="9" t="str">
        <f>IF(DADOS!E3546="","",DADOS!E3546)</f>
        <v/>
      </c>
      <c r="G3546" s="9" t="str">
        <f>IF(DADOS!F3546="","",DADOS!F3546)</f>
        <v/>
      </c>
      <c r="K3546" s="6" t="str">
        <f t="shared" si="280"/>
        <v/>
      </c>
      <c r="L3546" s="7" t="str">
        <f t="shared" si="281"/>
        <v/>
      </c>
      <c r="M3546" s="7" t="str">
        <f t="shared" si="278"/>
        <v/>
      </c>
      <c r="N3546" s="7" t="str">
        <f t="shared" si="282"/>
        <v/>
      </c>
      <c r="O3546" s="8"/>
      <c r="P3546" s="26"/>
      <c r="S3546" s="10" t="str">
        <f t="shared" si="279"/>
        <v/>
      </c>
    </row>
    <row r="3547" spans="5:19" x14ac:dyDescent="0.3">
      <c r="E3547" s="9" t="str">
        <f>IF(DADOS!C3547="","",DADOS!C3547)</f>
        <v/>
      </c>
      <c r="F3547" s="9" t="str">
        <f>IF(DADOS!E3547="","",DADOS!E3547)</f>
        <v/>
      </c>
      <c r="G3547" s="9" t="str">
        <f>IF(DADOS!F3547="","",DADOS!F3547)</f>
        <v/>
      </c>
      <c r="K3547" s="6" t="str">
        <f t="shared" si="280"/>
        <v/>
      </c>
      <c r="L3547" s="7" t="str">
        <f t="shared" si="281"/>
        <v/>
      </c>
      <c r="M3547" s="7" t="str">
        <f t="shared" si="278"/>
        <v/>
      </c>
      <c r="N3547" s="7" t="str">
        <f t="shared" si="282"/>
        <v/>
      </c>
      <c r="O3547" s="8"/>
      <c r="P3547" s="26"/>
      <c r="S3547" s="10" t="str">
        <f t="shared" si="279"/>
        <v/>
      </c>
    </row>
    <row r="3548" spans="5:19" x14ac:dyDescent="0.3">
      <c r="E3548" s="9" t="str">
        <f>IF(DADOS!C3548="","",DADOS!C3548)</f>
        <v/>
      </c>
      <c r="F3548" s="9" t="str">
        <f>IF(DADOS!E3548="","",DADOS!E3548)</f>
        <v/>
      </c>
      <c r="G3548" s="9" t="str">
        <f>IF(DADOS!F3548="","",DADOS!F3548)</f>
        <v/>
      </c>
      <c r="K3548" s="6" t="str">
        <f t="shared" si="280"/>
        <v/>
      </c>
      <c r="L3548" s="7" t="str">
        <f t="shared" si="281"/>
        <v/>
      </c>
      <c r="M3548" s="7" t="str">
        <f t="shared" si="278"/>
        <v/>
      </c>
      <c r="N3548" s="7" t="str">
        <f t="shared" si="282"/>
        <v/>
      </c>
      <c r="O3548" s="8"/>
      <c r="P3548" s="26"/>
      <c r="S3548" s="10" t="str">
        <f t="shared" si="279"/>
        <v/>
      </c>
    </row>
    <row r="3549" spans="5:19" x14ac:dyDescent="0.3">
      <c r="E3549" s="9" t="str">
        <f>IF(DADOS!C3549="","",DADOS!C3549)</f>
        <v/>
      </c>
      <c r="F3549" s="9" t="str">
        <f>IF(DADOS!E3549="","",DADOS!E3549)</f>
        <v/>
      </c>
      <c r="G3549" s="9" t="str">
        <f>IF(DADOS!F3549="","",DADOS!F3549)</f>
        <v/>
      </c>
      <c r="K3549" s="6" t="str">
        <f t="shared" si="280"/>
        <v/>
      </c>
      <c r="L3549" s="7" t="str">
        <f t="shared" si="281"/>
        <v/>
      </c>
      <c r="M3549" s="7" t="str">
        <f t="shared" si="278"/>
        <v/>
      </c>
      <c r="N3549" s="7" t="str">
        <f t="shared" si="282"/>
        <v/>
      </c>
      <c r="O3549" s="8"/>
      <c r="P3549" s="26"/>
      <c r="S3549" s="10" t="str">
        <f t="shared" si="279"/>
        <v/>
      </c>
    </row>
    <row r="3550" spans="5:19" x14ac:dyDescent="0.3">
      <c r="E3550" s="9" t="str">
        <f>IF(DADOS!C3550="","",DADOS!C3550)</f>
        <v/>
      </c>
      <c r="F3550" s="9" t="str">
        <f>IF(DADOS!E3550="","",DADOS!E3550)</f>
        <v/>
      </c>
      <c r="G3550" s="9" t="str">
        <f>IF(DADOS!F3550="","",DADOS!F3550)</f>
        <v/>
      </c>
      <c r="K3550" s="6" t="str">
        <f t="shared" si="280"/>
        <v/>
      </c>
      <c r="L3550" s="7" t="str">
        <f t="shared" si="281"/>
        <v/>
      </c>
      <c r="M3550" s="7" t="str">
        <f t="shared" si="278"/>
        <v/>
      </c>
      <c r="N3550" s="7" t="str">
        <f t="shared" si="282"/>
        <v/>
      </c>
      <c r="O3550" s="8"/>
      <c r="P3550" s="26"/>
      <c r="S3550" s="10" t="str">
        <f t="shared" si="279"/>
        <v/>
      </c>
    </row>
    <row r="3551" spans="5:19" x14ac:dyDescent="0.3">
      <c r="E3551" s="9" t="str">
        <f>IF(DADOS!C3551="","",DADOS!C3551)</f>
        <v/>
      </c>
      <c r="F3551" s="9" t="str">
        <f>IF(DADOS!E3551="","",DADOS!E3551)</f>
        <v/>
      </c>
      <c r="G3551" s="9" t="str">
        <f>IF(DADOS!F3551="","",DADOS!F3551)</f>
        <v/>
      </c>
      <c r="K3551" s="6" t="str">
        <f t="shared" si="280"/>
        <v/>
      </c>
      <c r="L3551" s="7" t="str">
        <f t="shared" si="281"/>
        <v/>
      </c>
      <c r="M3551" s="7" t="str">
        <f t="shared" si="278"/>
        <v/>
      </c>
      <c r="N3551" s="7" t="str">
        <f t="shared" si="282"/>
        <v/>
      </c>
      <c r="O3551" s="8"/>
      <c r="P3551" s="26"/>
      <c r="S3551" s="10" t="str">
        <f t="shared" si="279"/>
        <v/>
      </c>
    </row>
    <row r="3552" spans="5:19" x14ac:dyDescent="0.3">
      <c r="E3552" s="9" t="str">
        <f>IF(DADOS!C3552="","",DADOS!C3552)</f>
        <v/>
      </c>
      <c r="F3552" s="9" t="str">
        <f>IF(DADOS!E3552="","",DADOS!E3552)</f>
        <v/>
      </c>
      <c r="G3552" s="9" t="str">
        <f>IF(DADOS!F3552="","",DADOS!F3552)</f>
        <v/>
      </c>
      <c r="K3552" s="6" t="str">
        <f t="shared" si="280"/>
        <v/>
      </c>
      <c r="L3552" s="7" t="str">
        <f t="shared" si="281"/>
        <v/>
      </c>
      <c r="M3552" s="7" t="str">
        <f t="shared" si="278"/>
        <v/>
      </c>
      <c r="N3552" s="7" t="str">
        <f t="shared" si="282"/>
        <v/>
      </c>
      <c r="O3552" s="8"/>
      <c r="P3552" s="26"/>
      <c r="S3552" s="10" t="str">
        <f t="shared" si="279"/>
        <v/>
      </c>
    </row>
    <row r="3553" spans="5:19" x14ac:dyDescent="0.3">
      <c r="E3553" s="9" t="str">
        <f>IF(DADOS!C3553="","",DADOS!C3553)</f>
        <v/>
      </c>
      <c r="F3553" s="9" t="str">
        <f>IF(DADOS!E3553="","",DADOS!E3553)</f>
        <v/>
      </c>
      <c r="G3553" s="9" t="str">
        <f>IF(DADOS!F3553="","",DADOS!F3553)</f>
        <v/>
      </c>
      <c r="K3553" s="6" t="str">
        <f t="shared" si="280"/>
        <v/>
      </c>
      <c r="L3553" s="7" t="str">
        <f t="shared" si="281"/>
        <v/>
      </c>
      <c r="M3553" s="7" t="str">
        <f t="shared" si="278"/>
        <v/>
      </c>
      <c r="N3553" s="7" t="str">
        <f t="shared" si="282"/>
        <v/>
      </c>
      <c r="O3553" s="8"/>
      <c r="P3553" s="26"/>
      <c r="S3553" s="10" t="str">
        <f t="shared" si="279"/>
        <v/>
      </c>
    </row>
    <row r="3554" spans="5:19" x14ac:dyDescent="0.3">
      <c r="E3554" s="9" t="str">
        <f>IF(DADOS!C3554="","",DADOS!C3554)</f>
        <v/>
      </c>
      <c r="F3554" s="9" t="str">
        <f>IF(DADOS!E3554="","",DADOS!E3554)</f>
        <v/>
      </c>
      <c r="G3554" s="9" t="str">
        <f>IF(DADOS!F3554="","",DADOS!F3554)</f>
        <v/>
      </c>
      <c r="K3554" s="6" t="str">
        <f t="shared" si="280"/>
        <v/>
      </c>
      <c r="L3554" s="7" t="str">
        <f t="shared" si="281"/>
        <v/>
      </c>
      <c r="M3554" s="7" t="str">
        <f t="shared" si="278"/>
        <v/>
      </c>
      <c r="N3554" s="7" t="str">
        <f t="shared" si="282"/>
        <v/>
      </c>
      <c r="O3554" s="8"/>
      <c r="P3554" s="26"/>
      <c r="S3554" s="10" t="str">
        <f t="shared" si="279"/>
        <v/>
      </c>
    </row>
    <row r="3555" spans="5:19" x14ac:dyDescent="0.3">
      <c r="E3555" s="9" t="str">
        <f>IF(DADOS!C3555="","",DADOS!C3555)</f>
        <v/>
      </c>
      <c r="F3555" s="9" t="str">
        <f>IF(DADOS!E3555="","",DADOS!E3555)</f>
        <v/>
      </c>
      <c r="G3555" s="9" t="str">
        <f>IF(DADOS!F3555="","",DADOS!F3555)</f>
        <v/>
      </c>
      <c r="K3555" s="6" t="str">
        <f t="shared" si="280"/>
        <v/>
      </c>
      <c r="L3555" s="7" t="str">
        <f t="shared" si="281"/>
        <v/>
      </c>
      <c r="M3555" s="7" t="str">
        <f t="shared" si="278"/>
        <v/>
      </c>
      <c r="N3555" s="7" t="str">
        <f t="shared" si="282"/>
        <v/>
      </c>
      <c r="O3555" s="8"/>
      <c r="P3555" s="26"/>
      <c r="S3555" s="10" t="str">
        <f t="shared" si="279"/>
        <v/>
      </c>
    </row>
    <row r="3556" spans="5:19" x14ac:dyDescent="0.3">
      <c r="E3556" s="9" t="str">
        <f>IF(DADOS!C3556="","",DADOS!C3556)</f>
        <v/>
      </c>
      <c r="F3556" s="9" t="str">
        <f>IF(DADOS!E3556="","",DADOS!E3556)</f>
        <v/>
      </c>
      <c r="G3556" s="9" t="str">
        <f>IF(DADOS!F3556="","",DADOS!F3556)</f>
        <v/>
      </c>
      <c r="K3556" s="6" t="str">
        <f t="shared" si="280"/>
        <v/>
      </c>
      <c r="L3556" s="7" t="str">
        <f t="shared" si="281"/>
        <v/>
      </c>
      <c r="M3556" s="7" t="str">
        <f t="shared" si="278"/>
        <v/>
      </c>
      <c r="N3556" s="7" t="str">
        <f t="shared" si="282"/>
        <v/>
      </c>
      <c r="O3556" s="8"/>
      <c r="P3556" s="26"/>
      <c r="S3556" s="10" t="str">
        <f t="shared" si="279"/>
        <v/>
      </c>
    </row>
    <row r="3557" spans="5:19" x14ac:dyDescent="0.3">
      <c r="E3557" s="9" t="str">
        <f>IF(DADOS!C3557="","",DADOS!C3557)</f>
        <v/>
      </c>
      <c r="F3557" s="9" t="str">
        <f>IF(DADOS!E3557="","",DADOS!E3557)</f>
        <v/>
      </c>
      <c r="G3557" s="9" t="str">
        <f>IF(DADOS!F3557="","",DADOS!F3557)</f>
        <v/>
      </c>
      <c r="K3557" s="6" t="str">
        <f t="shared" si="280"/>
        <v/>
      </c>
      <c r="L3557" s="7" t="str">
        <f t="shared" si="281"/>
        <v/>
      </c>
      <c r="M3557" s="7" t="str">
        <f t="shared" si="278"/>
        <v/>
      </c>
      <c r="N3557" s="7" t="str">
        <f t="shared" si="282"/>
        <v/>
      </c>
      <c r="O3557" s="8"/>
      <c r="P3557" s="26"/>
      <c r="S3557" s="10" t="str">
        <f t="shared" si="279"/>
        <v/>
      </c>
    </row>
    <row r="3558" spans="5:19" x14ac:dyDescent="0.3">
      <c r="E3558" s="9" t="str">
        <f>IF(DADOS!C3558="","",DADOS!C3558)</f>
        <v/>
      </c>
      <c r="F3558" s="9" t="str">
        <f>IF(DADOS!E3558="","",DADOS!E3558)</f>
        <v/>
      </c>
      <c r="G3558" s="9" t="str">
        <f>IF(DADOS!F3558="","",DADOS!F3558)</f>
        <v/>
      </c>
      <c r="K3558" s="6" t="str">
        <f t="shared" si="280"/>
        <v/>
      </c>
      <c r="L3558" s="7" t="str">
        <f t="shared" si="281"/>
        <v/>
      </c>
      <c r="M3558" s="7" t="str">
        <f t="shared" si="278"/>
        <v/>
      </c>
      <c r="N3558" s="7" t="str">
        <f t="shared" si="282"/>
        <v/>
      </c>
      <c r="O3558" s="8"/>
      <c r="P3558" s="26"/>
      <c r="S3558" s="10" t="str">
        <f t="shared" si="279"/>
        <v/>
      </c>
    </row>
    <row r="3559" spans="5:19" x14ac:dyDescent="0.3">
      <c r="E3559" s="9" t="str">
        <f>IF(DADOS!C3559="","",DADOS!C3559)</f>
        <v/>
      </c>
      <c r="F3559" s="9" t="str">
        <f>IF(DADOS!E3559="","",DADOS!E3559)</f>
        <v/>
      </c>
      <c r="G3559" s="9" t="str">
        <f>IF(DADOS!F3559="","",DADOS!F3559)</f>
        <v/>
      </c>
      <c r="K3559" s="6" t="str">
        <f t="shared" si="280"/>
        <v/>
      </c>
      <c r="L3559" s="7" t="str">
        <f t="shared" si="281"/>
        <v/>
      </c>
      <c r="M3559" s="7" t="str">
        <f t="shared" si="278"/>
        <v/>
      </c>
      <c r="N3559" s="7" t="str">
        <f t="shared" si="282"/>
        <v/>
      </c>
      <c r="O3559" s="8"/>
      <c r="P3559" s="26"/>
      <c r="S3559" s="10" t="str">
        <f t="shared" si="279"/>
        <v/>
      </c>
    </row>
    <row r="3560" spans="5:19" x14ac:dyDescent="0.3">
      <c r="E3560" s="9" t="str">
        <f>IF(DADOS!C3560="","",DADOS!C3560)</f>
        <v/>
      </c>
      <c r="F3560" s="9" t="str">
        <f>IF(DADOS!E3560="","",DADOS!E3560)</f>
        <v/>
      </c>
      <c r="G3560" s="9" t="str">
        <f>IF(DADOS!F3560="","",DADOS!F3560)</f>
        <v/>
      </c>
      <c r="K3560" s="6" t="str">
        <f t="shared" si="280"/>
        <v/>
      </c>
      <c r="L3560" s="7" t="str">
        <f t="shared" si="281"/>
        <v/>
      </c>
      <c r="M3560" s="7" t="str">
        <f t="shared" si="278"/>
        <v/>
      </c>
      <c r="N3560" s="7" t="str">
        <f t="shared" si="282"/>
        <v/>
      </c>
      <c r="O3560" s="8"/>
      <c r="P3560" s="26"/>
      <c r="S3560" s="10" t="str">
        <f t="shared" si="279"/>
        <v/>
      </c>
    </row>
    <row r="3561" spans="5:19" x14ac:dyDescent="0.3">
      <c r="E3561" s="9" t="str">
        <f>IF(DADOS!C3561="","",DADOS!C3561)</f>
        <v/>
      </c>
      <c r="F3561" s="9" t="str">
        <f>IF(DADOS!E3561="","",DADOS!E3561)</f>
        <v/>
      </c>
      <c r="G3561" s="9" t="str">
        <f>IF(DADOS!F3561="","",DADOS!F3561)</f>
        <v/>
      </c>
      <c r="K3561" s="6" t="str">
        <f t="shared" si="280"/>
        <v/>
      </c>
      <c r="L3561" s="7" t="str">
        <f t="shared" si="281"/>
        <v/>
      </c>
      <c r="M3561" s="7" t="str">
        <f t="shared" si="278"/>
        <v/>
      </c>
      <c r="N3561" s="7" t="str">
        <f t="shared" si="282"/>
        <v/>
      </c>
      <c r="O3561" s="8"/>
      <c r="P3561" s="26"/>
      <c r="S3561" s="10" t="str">
        <f t="shared" si="279"/>
        <v/>
      </c>
    </row>
    <row r="3562" spans="5:19" x14ac:dyDescent="0.3">
      <c r="E3562" s="9" t="str">
        <f>IF(DADOS!C3562="","",DADOS!C3562)</f>
        <v/>
      </c>
      <c r="F3562" s="9" t="str">
        <f>IF(DADOS!E3562="","",DADOS!E3562)</f>
        <v/>
      </c>
      <c r="G3562" s="9" t="str">
        <f>IF(DADOS!F3562="","",DADOS!F3562)</f>
        <v/>
      </c>
      <c r="K3562" s="6" t="str">
        <f t="shared" si="280"/>
        <v/>
      </c>
      <c r="L3562" s="7" t="str">
        <f t="shared" si="281"/>
        <v/>
      </c>
      <c r="M3562" s="7" t="str">
        <f t="shared" si="278"/>
        <v/>
      </c>
      <c r="N3562" s="7" t="str">
        <f t="shared" si="282"/>
        <v/>
      </c>
      <c r="O3562" s="8"/>
      <c r="P3562" s="26"/>
      <c r="S3562" s="10" t="str">
        <f t="shared" si="279"/>
        <v/>
      </c>
    </row>
    <row r="3563" spans="5:19" x14ac:dyDescent="0.3">
      <c r="E3563" s="9" t="str">
        <f>IF(DADOS!C3563="","",DADOS!C3563)</f>
        <v/>
      </c>
      <c r="F3563" s="9" t="str">
        <f>IF(DADOS!E3563="","",DADOS!E3563)</f>
        <v/>
      </c>
      <c r="G3563" s="9" t="str">
        <f>IF(DADOS!F3563="","",DADOS!F3563)</f>
        <v/>
      </c>
      <c r="K3563" s="6" t="str">
        <f t="shared" si="280"/>
        <v/>
      </c>
      <c r="L3563" s="7" t="str">
        <f t="shared" si="281"/>
        <v/>
      </c>
      <c r="M3563" s="7" t="str">
        <f t="shared" si="278"/>
        <v/>
      </c>
      <c r="N3563" s="7" t="str">
        <f t="shared" si="282"/>
        <v/>
      </c>
      <c r="O3563" s="8"/>
      <c r="P3563" s="26"/>
      <c r="S3563" s="10" t="str">
        <f t="shared" si="279"/>
        <v/>
      </c>
    </row>
    <row r="3564" spans="5:19" x14ac:dyDescent="0.3">
      <c r="E3564" s="9" t="str">
        <f>IF(DADOS!C3564="","",DADOS!C3564)</f>
        <v/>
      </c>
      <c r="F3564" s="9" t="str">
        <f>IF(DADOS!E3564="","",DADOS!E3564)</f>
        <v/>
      </c>
      <c r="G3564" s="9" t="str">
        <f>IF(DADOS!F3564="","",DADOS!F3564)</f>
        <v/>
      </c>
      <c r="K3564" s="6" t="str">
        <f t="shared" si="280"/>
        <v/>
      </c>
      <c r="L3564" s="7" t="str">
        <f t="shared" si="281"/>
        <v/>
      </c>
      <c r="M3564" s="7" t="str">
        <f t="shared" si="278"/>
        <v/>
      </c>
      <c r="N3564" s="7" t="str">
        <f t="shared" si="282"/>
        <v/>
      </c>
      <c r="O3564" s="8"/>
      <c r="P3564" s="26"/>
      <c r="S3564" s="10" t="str">
        <f t="shared" si="279"/>
        <v/>
      </c>
    </row>
    <row r="3565" spans="5:19" x14ac:dyDescent="0.3">
      <c r="E3565" s="9" t="str">
        <f>IF(DADOS!C3565="","",DADOS!C3565)</f>
        <v/>
      </c>
      <c r="F3565" s="9" t="str">
        <f>IF(DADOS!E3565="","",DADOS!E3565)</f>
        <v/>
      </c>
      <c r="G3565" s="9" t="str">
        <f>IF(DADOS!F3565="","",DADOS!F3565)</f>
        <v/>
      </c>
      <c r="K3565" s="6" t="str">
        <f t="shared" si="280"/>
        <v/>
      </c>
      <c r="L3565" s="7" t="str">
        <f t="shared" si="281"/>
        <v/>
      </c>
      <c r="M3565" s="7" t="str">
        <f t="shared" si="278"/>
        <v/>
      </c>
      <c r="N3565" s="7" t="str">
        <f t="shared" si="282"/>
        <v/>
      </c>
      <c r="O3565" s="8"/>
      <c r="P3565" s="26"/>
      <c r="S3565" s="10" t="str">
        <f t="shared" si="279"/>
        <v/>
      </c>
    </row>
    <row r="3566" spans="5:19" x14ac:dyDescent="0.3">
      <c r="E3566" s="9" t="str">
        <f>IF(DADOS!C3566="","",DADOS!C3566)</f>
        <v/>
      </c>
      <c r="F3566" s="9" t="str">
        <f>IF(DADOS!E3566="","",DADOS!E3566)</f>
        <v/>
      </c>
      <c r="G3566" s="9" t="str">
        <f>IF(DADOS!F3566="","",DADOS!F3566)</f>
        <v/>
      </c>
      <c r="K3566" s="6" t="str">
        <f t="shared" si="280"/>
        <v/>
      </c>
      <c r="L3566" s="7" t="str">
        <f t="shared" si="281"/>
        <v/>
      </c>
      <c r="M3566" s="7" t="str">
        <f t="shared" si="278"/>
        <v/>
      </c>
      <c r="N3566" s="7" t="str">
        <f t="shared" si="282"/>
        <v/>
      </c>
      <c r="O3566" s="8"/>
      <c r="P3566" s="26"/>
      <c r="S3566" s="10" t="str">
        <f t="shared" si="279"/>
        <v/>
      </c>
    </row>
    <row r="3567" spans="5:19" x14ac:dyDescent="0.3">
      <c r="E3567" s="9" t="str">
        <f>IF(DADOS!C3567="","",DADOS!C3567)</f>
        <v/>
      </c>
      <c r="F3567" s="9" t="str">
        <f>IF(DADOS!E3567="","",DADOS!E3567)</f>
        <v/>
      </c>
      <c r="G3567" s="9" t="str">
        <f>IF(DADOS!F3567="","",DADOS!F3567)</f>
        <v/>
      </c>
      <c r="K3567" s="6" t="str">
        <f t="shared" si="280"/>
        <v/>
      </c>
      <c r="L3567" s="7" t="str">
        <f t="shared" si="281"/>
        <v/>
      </c>
      <c r="M3567" s="7" t="str">
        <f t="shared" si="278"/>
        <v/>
      </c>
      <c r="N3567" s="7" t="str">
        <f t="shared" si="282"/>
        <v/>
      </c>
      <c r="O3567" s="8"/>
      <c r="P3567" s="26"/>
      <c r="S3567" s="10" t="str">
        <f t="shared" si="279"/>
        <v/>
      </c>
    </row>
    <row r="3568" spans="5:19" x14ac:dyDescent="0.3">
      <c r="E3568" s="9" t="str">
        <f>IF(DADOS!C3568="","",DADOS!C3568)</f>
        <v/>
      </c>
      <c r="F3568" s="9" t="str">
        <f>IF(DADOS!E3568="","",DADOS!E3568)</f>
        <v/>
      </c>
      <c r="G3568" s="9" t="str">
        <f>IF(DADOS!F3568="","",DADOS!F3568)</f>
        <v/>
      </c>
      <c r="K3568" s="6" t="str">
        <f t="shared" si="280"/>
        <v/>
      </c>
      <c r="L3568" s="7" t="str">
        <f t="shared" si="281"/>
        <v/>
      </c>
      <c r="M3568" s="7" t="str">
        <f t="shared" si="278"/>
        <v/>
      </c>
      <c r="N3568" s="7" t="str">
        <f t="shared" si="282"/>
        <v/>
      </c>
      <c r="O3568" s="8"/>
      <c r="P3568" s="26"/>
      <c r="S3568" s="10" t="str">
        <f t="shared" si="279"/>
        <v/>
      </c>
    </row>
    <row r="3569" spans="5:19" x14ac:dyDescent="0.3">
      <c r="E3569" s="9" t="str">
        <f>IF(DADOS!C3569="","",DADOS!C3569)</f>
        <v/>
      </c>
      <c r="F3569" s="9" t="str">
        <f>IF(DADOS!E3569="","",DADOS!E3569)</f>
        <v/>
      </c>
      <c r="G3569" s="9" t="str">
        <f>IF(DADOS!F3569="","",DADOS!F3569)</f>
        <v/>
      </c>
      <c r="K3569" s="6" t="str">
        <f t="shared" si="280"/>
        <v/>
      </c>
      <c r="L3569" s="7" t="str">
        <f t="shared" si="281"/>
        <v/>
      </c>
      <c r="M3569" s="7" t="str">
        <f t="shared" si="278"/>
        <v/>
      </c>
      <c r="N3569" s="7" t="str">
        <f t="shared" si="282"/>
        <v/>
      </c>
      <c r="O3569" s="8"/>
      <c r="P3569" s="26"/>
      <c r="S3569" s="10" t="str">
        <f t="shared" si="279"/>
        <v/>
      </c>
    </row>
    <row r="3570" spans="5:19" x14ac:dyDescent="0.3">
      <c r="E3570" s="9" t="str">
        <f>IF(DADOS!C3570="","",DADOS!C3570)</f>
        <v/>
      </c>
      <c r="F3570" s="9" t="str">
        <f>IF(DADOS!E3570="","",DADOS!E3570)</f>
        <v/>
      </c>
      <c r="G3570" s="9" t="str">
        <f>IF(DADOS!F3570="","",DADOS!F3570)</f>
        <v/>
      </c>
      <c r="K3570" s="6" t="str">
        <f t="shared" si="280"/>
        <v/>
      </c>
      <c r="L3570" s="7" t="str">
        <f t="shared" si="281"/>
        <v/>
      </c>
      <c r="M3570" s="7" t="str">
        <f t="shared" si="278"/>
        <v/>
      </c>
      <c r="N3570" s="7" t="str">
        <f t="shared" si="282"/>
        <v/>
      </c>
      <c r="O3570" s="8"/>
      <c r="P3570" s="26"/>
      <c r="S3570" s="10" t="str">
        <f t="shared" si="279"/>
        <v/>
      </c>
    </row>
    <row r="3571" spans="5:19" x14ac:dyDescent="0.3">
      <c r="E3571" s="9" t="str">
        <f>IF(DADOS!C3571="","",DADOS!C3571)</f>
        <v/>
      </c>
      <c r="F3571" s="9" t="str">
        <f>IF(DADOS!E3571="","",DADOS!E3571)</f>
        <v/>
      </c>
      <c r="G3571" s="9" t="str">
        <f>IF(DADOS!F3571="","",DADOS!F3571)</f>
        <v/>
      </c>
      <c r="K3571" s="6" t="str">
        <f t="shared" si="280"/>
        <v/>
      </c>
      <c r="L3571" s="7" t="str">
        <f t="shared" si="281"/>
        <v/>
      </c>
      <c r="M3571" s="7" t="str">
        <f t="shared" si="278"/>
        <v/>
      </c>
      <c r="N3571" s="7" t="str">
        <f t="shared" si="282"/>
        <v/>
      </c>
      <c r="O3571" s="8"/>
      <c r="P3571" s="26"/>
      <c r="S3571" s="10" t="str">
        <f t="shared" si="279"/>
        <v/>
      </c>
    </row>
    <row r="3572" spans="5:19" x14ac:dyDescent="0.3">
      <c r="E3572" s="9" t="str">
        <f>IF(DADOS!C3572="","",DADOS!C3572)</f>
        <v/>
      </c>
      <c r="F3572" s="9" t="str">
        <f>IF(DADOS!E3572="","",DADOS!E3572)</f>
        <v/>
      </c>
      <c r="G3572" s="9" t="str">
        <f>IF(DADOS!F3572="","",DADOS!F3572)</f>
        <v/>
      </c>
      <c r="K3572" s="6" t="str">
        <f t="shared" si="280"/>
        <v/>
      </c>
      <c r="L3572" s="7" t="str">
        <f t="shared" si="281"/>
        <v/>
      </c>
      <c r="M3572" s="7" t="str">
        <f t="shared" si="278"/>
        <v/>
      </c>
      <c r="N3572" s="7" t="str">
        <f t="shared" si="282"/>
        <v/>
      </c>
      <c r="O3572" s="8"/>
      <c r="P3572" s="26"/>
      <c r="S3572" s="10" t="str">
        <f t="shared" si="279"/>
        <v/>
      </c>
    </row>
    <row r="3573" spans="5:19" x14ac:dyDescent="0.3">
      <c r="E3573" s="9" t="str">
        <f>IF(DADOS!C3573="","",DADOS!C3573)</f>
        <v/>
      </c>
      <c r="F3573" s="9" t="str">
        <f>IF(DADOS!E3573="","",DADOS!E3573)</f>
        <v/>
      </c>
      <c r="G3573" s="9" t="str">
        <f>IF(DADOS!F3573="","",DADOS!F3573)</f>
        <v/>
      </c>
      <c r="K3573" s="6" t="str">
        <f t="shared" si="280"/>
        <v/>
      </c>
      <c r="L3573" s="7" t="str">
        <f t="shared" si="281"/>
        <v/>
      </c>
      <c r="M3573" s="7" t="str">
        <f t="shared" si="278"/>
        <v/>
      </c>
      <c r="N3573" s="7" t="str">
        <f t="shared" si="282"/>
        <v/>
      </c>
      <c r="O3573" s="8"/>
      <c r="P3573" s="26"/>
      <c r="S3573" s="10" t="str">
        <f t="shared" si="279"/>
        <v/>
      </c>
    </row>
    <row r="3574" spans="5:19" x14ac:dyDescent="0.3">
      <c r="E3574" s="9" t="str">
        <f>IF(DADOS!C3574="","",DADOS!C3574)</f>
        <v/>
      </c>
      <c r="F3574" s="9" t="str">
        <f>IF(DADOS!E3574="","",DADOS!E3574)</f>
        <v/>
      </c>
      <c r="G3574" s="9" t="str">
        <f>IF(DADOS!F3574="","",DADOS!F3574)</f>
        <v/>
      </c>
      <c r="K3574" s="6" t="str">
        <f t="shared" si="280"/>
        <v/>
      </c>
      <c r="L3574" s="7" t="str">
        <f t="shared" si="281"/>
        <v/>
      </c>
      <c r="M3574" s="7" t="str">
        <f t="shared" si="278"/>
        <v/>
      </c>
      <c r="N3574" s="7" t="str">
        <f t="shared" si="282"/>
        <v/>
      </c>
      <c r="O3574" s="8"/>
      <c r="P3574" s="26"/>
      <c r="S3574" s="10" t="str">
        <f t="shared" si="279"/>
        <v/>
      </c>
    </row>
    <row r="3575" spans="5:19" x14ac:dyDescent="0.3">
      <c r="E3575" s="9" t="str">
        <f>IF(DADOS!C3575="","",DADOS!C3575)</f>
        <v/>
      </c>
      <c r="F3575" s="9" t="str">
        <f>IF(DADOS!E3575="","",DADOS!E3575)</f>
        <v/>
      </c>
      <c r="G3575" s="9" t="str">
        <f>IF(DADOS!F3575="","",DADOS!F3575)</f>
        <v/>
      </c>
      <c r="K3575" s="6" t="str">
        <f t="shared" si="280"/>
        <v/>
      </c>
      <c r="L3575" s="7" t="str">
        <f t="shared" si="281"/>
        <v/>
      </c>
      <c r="M3575" s="7" t="str">
        <f t="shared" si="278"/>
        <v/>
      </c>
      <c r="N3575" s="7" t="str">
        <f t="shared" si="282"/>
        <v/>
      </c>
      <c r="O3575" s="8"/>
      <c r="P3575" s="26"/>
      <c r="S3575" s="10" t="str">
        <f t="shared" si="279"/>
        <v/>
      </c>
    </row>
    <row r="3576" spans="5:19" x14ac:dyDescent="0.3">
      <c r="E3576" s="9" t="str">
        <f>IF(DADOS!C3576="","",DADOS!C3576)</f>
        <v/>
      </c>
      <c r="F3576" s="9" t="str">
        <f>IF(DADOS!E3576="","",DADOS!E3576)</f>
        <v/>
      </c>
      <c r="G3576" s="9" t="str">
        <f>IF(DADOS!F3576="","",DADOS!F3576)</f>
        <v/>
      </c>
      <c r="K3576" s="6" t="str">
        <f t="shared" si="280"/>
        <v/>
      </c>
      <c r="L3576" s="7" t="str">
        <f t="shared" si="281"/>
        <v/>
      </c>
      <c r="M3576" s="7" t="str">
        <f t="shared" si="278"/>
        <v/>
      </c>
      <c r="N3576" s="7" t="str">
        <f t="shared" si="282"/>
        <v/>
      </c>
      <c r="O3576" s="8"/>
      <c r="P3576" s="26"/>
      <c r="S3576" s="10" t="str">
        <f t="shared" si="279"/>
        <v/>
      </c>
    </row>
    <row r="3577" spans="5:19" x14ac:dyDescent="0.3">
      <c r="E3577" s="9" t="str">
        <f>IF(DADOS!C3577="","",DADOS!C3577)</f>
        <v/>
      </c>
      <c r="F3577" s="9" t="str">
        <f>IF(DADOS!E3577="","",DADOS!E3577)</f>
        <v/>
      </c>
      <c r="G3577" s="9" t="str">
        <f>IF(DADOS!F3577="","",DADOS!F3577)</f>
        <v/>
      </c>
      <c r="K3577" s="6" t="str">
        <f t="shared" si="280"/>
        <v/>
      </c>
      <c r="L3577" s="7" t="str">
        <f t="shared" si="281"/>
        <v/>
      </c>
      <c r="M3577" s="7" t="str">
        <f t="shared" si="278"/>
        <v/>
      </c>
      <c r="N3577" s="7" t="str">
        <f t="shared" si="282"/>
        <v/>
      </c>
      <c r="O3577" s="8"/>
      <c r="P3577" s="26"/>
      <c r="S3577" s="10" t="str">
        <f t="shared" si="279"/>
        <v/>
      </c>
    </row>
    <row r="3578" spans="5:19" x14ac:dyDescent="0.3">
      <c r="E3578" s="9" t="str">
        <f>IF(DADOS!C3578="","",DADOS!C3578)</f>
        <v/>
      </c>
      <c r="F3578" s="9" t="str">
        <f>IF(DADOS!E3578="","",DADOS!E3578)</f>
        <v/>
      </c>
      <c r="G3578" s="9" t="str">
        <f>IF(DADOS!F3578="","",DADOS!F3578)</f>
        <v/>
      </c>
      <c r="K3578" s="6" t="str">
        <f t="shared" si="280"/>
        <v/>
      </c>
      <c r="L3578" s="7" t="str">
        <f t="shared" si="281"/>
        <v/>
      </c>
      <c r="M3578" s="7" t="str">
        <f t="shared" si="278"/>
        <v/>
      </c>
      <c r="N3578" s="7" t="str">
        <f t="shared" si="282"/>
        <v/>
      </c>
      <c r="O3578" s="8"/>
      <c r="P3578" s="26"/>
      <c r="S3578" s="10" t="str">
        <f t="shared" si="279"/>
        <v/>
      </c>
    </row>
    <row r="3579" spans="5:19" x14ac:dyDescent="0.3">
      <c r="E3579" s="9" t="str">
        <f>IF(DADOS!C3579="","",DADOS!C3579)</f>
        <v/>
      </c>
      <c r="F3579" s="9" t="str">
        <f>IF(DADOS!E3579="","",DADOS!E3579)</f>
        <v/>
      </c>
      <c r="G3579" s="9" t="str">
        <f>IF(DADOS!F3579="","",DADOS!F3579)</f>
        <v/>
      </c>
      <c r="K3579" s="6" t="str">
        <f t="shared" si="280"/>
        <v/>
      </c>
      <c r="L3579" s="7" t="str">
        <f t="shared" si="281"/>
        <v/>
      </c>
      <c r="M3579" s="7" t="str">
        <f t="shared" si="278"/>
        <v/>
      </c>
      <c r="N3579" s="7" t="str">
        <f t="shared" si="282"/>
        <v/>
      </c>
      <c r="O3579" s="8"/>
      <c r="P3579" s="26"/>
      <c r="S3579" s="10" t="str">
        <f t="shared" si="279"/>
        <v/>
      </c>
    </row>
    <row r="3580" spans="5:19" x14ac:dyDescent="0.3">
      <c r="E3580" s="9" t="str">
        <f>IF(DADOS!C3580="","",DADOS!C3580)</f>
        <v/>
      </c>
      <c r="F3580" s="9" t="str">
        <f>IF(DADOS!E3580="","",DADOS!E3580)</f>
        <v/>
      </c>
      <c r="G3580" s="9" t="str">
        <f>IF(DADOS!F3580="","",DADOS!F3580)</f>
        <v/>
      </c>
      <c r="K3580" s="6" t="str">
        <f t="shared" si="280"/>
        <v/>
      </c>
      <c r="L3580" s="7" t="str">
        <f t="shared" si="281"/>
        <v/>
      </c>
      <c r="M3580" s="7" t="str">
        <f t="shared" si="278"/>
        <v/>
      </c>
      <c r="N3580" s="7" t="str">
        <f t="shared" si="282"/>
        <v/>
      </c>
      <c r="O3580" s="8"/>
      <c r="P3580" s="26"/>
      <c r="S3580" s="10" t="str">
        <f t="shared" si="279"/>
        <v/>
      </c>
    </row>
    <row r="3581" spans="5:19" x14ac:dyDescent="0.3">
      <c r="E3581" s="9" t="str">
        <f>IF(DADOS!C3581="","",DADOS!C3581)</f>
        <v/>
      </c>
      <c r="F3581" s="9" t="str">
        <f>IF(DADOS!E3581="","",DADOS!E3581)</f>
        <v/>
      </c>
      <c r="G3581" s="9" t="str">
        <f>IF(DADOS!F3581="","",DADOS!F3581)</f>
        <v/>
      </c>
      <c r="K3581" s="6" t="str">
        <f t="shared" si="280"/>
        <v/>
      </c>
      <c r="L3581" s="7" t="str">
        <f t="shared" si="281"/>
        <v/>
      </c>
      <c r="M3581" s="7" t="str">
        <f t="shared" si="278"/>
        <v/>
      </c>
      <c r="N3581" s="7" t="str">
        <f t="shared" si="282"/>
        <v/>
      </c>
      <c r="O3581" s="8"/>
      <c r="P3581" s="26"/>
      <c r="S3581" s="10" t="str">
        <f t="shared" si="279"/>
        <v/>
      </c>
    </row>
    <row r="3582" spans="5:19" x14ac:dyDescent="0.3">
      <c r="E3582" s="9" t="str">
        <f>IF(DADOS!C3582="","",DADOS!C3582)</f>
        <v/>
      </c>
      <c r="F3582" s="9" t="str">
        <f>IF(DADOS!E3582="","",DADOS!E3582)</f>
        <v/>
      </c>
      <c r="G3582" s="9" t="str">
        <f>IF(DADOS!F3582="","",DADOS!F3582)</f>
        <v/>
      </c>
      <c r="K3582" s="6" t="str">
        <f t="shared" si="280"/>
        <v/>
      </c>
      <c r="L3582" s="7" t="str">
        <f t="shared" si="281"/>
        <v/>
      </c>
      <c r="M3582" s="7" t="str">
        <f t="shared" si="278"/>
        <v/>
      </c>
      <c r="N3582" s="7" t="str">
        <f t="shared" si="282"/>
        <v/>
      </c>
      <c r="O3582" s="8"/>
      <c r="P3582" s="26"/>
      <c r="S3582" s="10" t="str">
        <f t="shared" si="279"/>
        <v/>
      </c>
    </row>
    <row r="3583" spans="5:19" x14ac:dyDescent="0.3">
      <c r="E3583" s="9" t="str">
        <f>IF(DADOS!C3583="","",DADOS!C3583)</f>
        <v/>
      </c>
      <c r="F3583" s="9" t="str">
        <f>IF(DADOS!E3583="","",DADOS!E3583)</f>
        <v/>
      </c>
      <c r="G3583" s="9" t="str">
        <f>IF(DADOS!F3583="","",DADOS!F3583)</f>
        <v/>
      </c>
      <c r="K3583" s="6" t="str">
        <f t="shared" si="280"/>
        <v/>
      </c>
      <c r="L3583" s="7" t="str">
        <f t="shared" si="281"/>
        <v/>
      </c>
      <c r="M3583" s="7" t="str">
        <f t="shared" si="278"/>
        <v/>
      </c>
      <c r="N3583" s="7" t="str">
        <f t="shared" si="282"/>
        <v/>
      </c>
      <c r="O3583" s="8"/>
      <c r="P3583" s="26"/>
      <c r="S3583" s="10" t="str">
        <f t="shared" si="279"/>
        <v/>
      </c>
    </row>
    <row r="3584" spans="5:19" x14ac:dyDescent="0.3">
      <c r="E3584" s="9" t="str">
        <f>IF(DADOS!C3584="","",DADOS!C3584)</f>
        <v/>
      </c>
      <c r="F3584" s="9" t="str">
        <f>IF(DADOS!E3584="","",DADOS!E3584)</f>
        <v/>
      </c>
      <c r="G3584" s="9" t="str">
        <f>IF(DADOS!F3584="","",DADOS!F3584)</f>
        <v/>
      </c>
      <c r="K3584" s="6" t="str">
        <f t="shared" si="280"/>
        <v/>
      </c>
      <c r="L3584" s="7" t="str">
        <f t="shared" si="281"/>
        <v/>
      </c>
      <c r="M3584" s="7" t="str">
        <f t="shared" si="278"/>
        <v/>
      </c>
      <c r="N3584" s="7" t="str">
        <f t="shared" si="282"/>
        <v/>
      </c>
      <c r="O3584" s="8"/>
      <c r="P3584" s="26"/>
      <c r="S3584" s="10" t="str">
        <f t="shared" si="279"/>
        <v/>
      </c>
    </row>
    <row r="3585" spans="5:19" x14ac:dyDescent="0.3">
      <c r="E3585" s="9" t="str">
        <f>IF(DADOS!C3585="","",DADOS!C3585)</f>
        <v/>
      </c>
      <c r="F3585" s="9" t="str">
        <f>IF(DADOS!E3585="","",DADOS!E3585)</f>
        <v/>
      </c>
      <c r="G3585" s="9" t="str">
        <f>IF(DADOS!F3585="","",DADOS!F3585)</f>
        <v/>
      </c>
      <c r="K3585" s="6" t="str">
        <f t="shared" si="280"/>
        <v/>
      </c>
      <c r="L3585" s="7" t="str">
        <f t="shared" si="281"/>
        <v/>
      </c>
      <c r="M3585" s="7" t="str">
        <f t="shared" si="278"/>
        <v/>
      </c>
      <c r="N3585" s="7" t="str">
        <f t="shared" si="282"/>
        <v/>
      </c>
      <c r="O3585" s="8"/>
      <c r="P3585" s="26"/>
      <c r="S3585" s="10" t="str">
        <f t="shared" si="279"/>
        <v/>
      </c>
    </row>
    <row r="3586" spans="5:19" x14ac:dyDescent="0.3">
      <c r="E3586" s="9" t="str">
        <f>IF(DADOS!C3586="","",DADOS!C3586)</f>
        <v/>
      </c>
      <c r="F3586" s="9" t="str">
        <f>IF(DADOS!E3586="","",DADOS!E3586)</f>
        <v/>
      </c>
      <c r="G3586" s="9" t="str">
        <f>IF(DADOS!F3586="","",DADOS!F3586)</f>
        <v/>
      </c>
      <c r="K3586" s="6" t="str">
        <f t="shared" si="280"/>
        <v/>
      </c>
      <c r="L3586" s="7" t="str">
        <f t="shared" si="281"/>
        <v/>
      </c>
      <c r="M3586" s="7" t="str">
        <f t="shared" si="278"/>
        <v/>
      </c>
      <c r="N3586" s="7" t="str">
        <f t="shared" si="282"/>
        <v/>
      </c>
      <c r="O3586" s="8"/>
      <c r="P3586" s="26"/>
      <c r="S3586" s="10" t="str">
        <f t="shared" si="279"/>
        <v/>
      </c>
    </row>
    <row r="3587" spans="5:19" x14ac:dyDescent="0.3">
      <c r="E3587" s="9" t="str">
        <f>IF(DADOS!C3587="","",DADOS!C3587)</f>
        <v/>
      </c>
      <c r="F3587" s="9" t="str">
        <f>IF(DADOS!E3587="","",DADOS!E3587)</f>
        <v/>
      </c>
      <c r="G3587" s="9" t="str">
        <f>IF(DADOS!F3587="","",DADOS!F3587)</f>
        <v/>
      </c>
      <c r="K3587" s="6" t="str">
        <f t="shared" si="280"/>
        <v/>
      </c>
      <c r="L3587" s="7" t="str">
        <f t="shared" si="281"/>
        <v/>
      </c>
      <c r="M3587" s="7" t="str">
        <f t="shared" ref="M3587:M3650" si="283">IF(L3587="","",L3587*G3587)</f>
        <v/>
      </c>
      <c r="N3587" s="7" t="str">
        <f t="shared" si="282"/>
        <v/>
      </c>
      <c r="O3587" s="8"/>
      <c r="P3587" s="26"/>
      <c r="S3587" s="10" t="str">
        <f t="shared" ref="S3587:S3650" si="284">IF(R3587="","",SUMIFS($N$3:$N$10000,$E$3:$E$10000,R3587))</f>
        <v/>
      </c>
    </row>
    <row r="3588" spans="5:19" x14ac:dyDescent="0.3">
      <c r="E3588" s="9" t="str">
        <f>IF(DADOS!C3588="","",DADOS!C3588)</f>
        <v/>
      </c>
      <c r="F3588" s="9" t="str">
        <f>IF(DADOS!E3588="","",DADOS!E3588)</f>
        <v/>
      </c>
      <c r="G3588" s="9" t="str">
        <f>IF(DADOS!F3588="","",DADOS!F3588)</f>
        <v/>
      </c>
      <c r="K3588" s="6" t="str">
        <f t="shared" ref="K3588:K3651" si="285">IF(F3588="","",F3588/PI())</f>
        <v/>
      </c>
      <c r="L3588" s="7" t="str">
        <f t="shared" ref="L3588:L3651" si="286">IF(K3588="","",(PI()*K3588^2)/40000)</f>
        <v/>
      </c>
      <c r="M3588" s="7" t="str">
        <f t="shared" si="283"/>
        <v/>
      </c>
      <c r="N3588" s="7" t="str">
        <f t="shared" ref="N3588:N3651" si="287">IF(M3588="","",M3588*N$1)</f>
        <v/>
      </c>
      <c r="O3588" s="8"/>
      <c r="P3588" s="26"/>
      <c r="S3588" s="10" t="str">
        <f t="shared" si="284"/>
        <v/>
      </c>
    </row>
    <row r="3589" spans="5:19" x14ac:dyDescent="0.3">
      <c r="E3589" s="9" t="str">
        <f>IF(DADOS!C3589="","",DADOS!C3589)</f>
        <v/>
      </c>
      <c r="F3589" s="9" t="str">
        <f>IF(DADOS!E3589="","",DADOS!E3589)</f>
        <v/>
      </c>
      <c r="G3589" s="9" t="str">
        <f>IF(DADOS!F3589="","",DADOS!F3589)</f>
        <v/>
      </c>
      <c r="K3589" s="6" t="str">
        <f t="shared" si="285"/>
        <v/>
      </c>
      <c r="L3589" s="7" t="str">
        <f t="shared" si="286"/>
        <v/>
      </c>
      <c r="M3589" s="7" t="str">
        <f t="shared" si="283"/>
        <v/>
      </c>
      <c r="N3589" s="7" t="str">
        <f t="shared" si="287"/>
        <v/>
      </c>
      <c r="O3589" s="8"/>
      <c r="P3589" s="26"/>
      <c r="S3589" s="10" t="str">
        <f t="shared" si="284"/>
        <v/>
      </c>
    </row>
    <row r="3590" spans="5:19" x14ac:dyDescent="0.3">
      <c r="E3590" s="9" t="str">
        <f>IF(DADOS!C3590="","",DADOS!C3590)</f>
        <v/>
      </c>
      <c r="F3590" s="9" t="str">
        <f>IF(DADOS!E3590="","",DADOS!E3590)</f>
        <v/>
      </c>
      <c r="G3590" s="9" t="str">
        <f>IF(DADOS!F3590="","",DADOS!F3590)</f>
        <v/>
      </c>
      <c r="K3590" s="6" t="str">
        <f t="shared" si="285"/>
        <v/>
      </c>
      <c r="L3590" s="7" t="str">
        <f t="shared" si="286"/>
        <v/>
      </c>
      <c r="M3590" s="7" t="str">
        <f t="shared" si="283"/>
        <v/>
      </c>
      <c r="N3590" s="7" t="str">
        <f t="shared" si="287"/>
        <v/>
      </c>
      <c r="O3590" s="8"/>
      <c r="P3590" s="26"/>
      <c r="S3590" s="10" t="str">
        <f t="shared" si="284"/>
        <v/>
      </c>
    </row>
    <row r="3591" spans="5:19" x14ac:dyDescent="0.3">
      <c r="E3591" s="9" t="str">
        <f>IF(DADOS!C3591="","",DADOS!C3591)</f>
        <v/>
      </c>
      <c r="F3591" s="9" t="str">
        <f>IF(DADOS!E3591="","",DADOS!E3591)</f>
        <v/>
      </c>
      <c r="G3591" s="9" t="str">
        <f>IF(DADOS!F3591="","",DADOS!F3591)</f>
        <v/>
      </c>
      <c r="K3591" s="6" t="str">
        <f t="shared" si="285"/>
        <v/>
      </c>
      <c r="L3591" s="7" t="str">
        <f t="shared" si="286"/>
        <v/>
      </c>
      <c r="M3591" s="7" t="str">
        <f t="shared" si="283"/>
        <v/>
      </c>
      <c r="N3591" s="7" t="str">
        <f t="shared" si="287"/>
        <v/>
      </c>
      <c r="O3591" s="8"/>
      <c r="P3591" s="26"/>
      <c r="S3591" s="10" t="str">
        <f t="shared" si="284"/>
        <v/>
      </c>
    </row>
    <row r="3592" spans="5:19" x14ac:dyDescent="0.3">
      <c r="E3592" s="9" t="str">
        <f>IF(DADOS!C3592="","",DADOS!C3592)</f>
        <v/>
      </c>
      <c r="F3592" s="9" t="str">
        <f>IF(DADOS!E3592="","",DADOS!E3592)</f>
        <v/>
      </c>
      <c r="G3592" s="9" t="str">
        <f>IF(DADOS!F3592="","",DADOS!F3592)</f>
        <v/>
      </c>
      <c r="K3592" s="6" t="str">
        <f t="shared" si="285"/>
        <v/>
      </c>
      <c r="L3592" s="7" t="str">
        <f t="shared" si="286"/>
        <v/>
      </c>
      <c r="M3592" s="7" t="str">
        <f t="shared" si="283"/>
        <v/>
      </c>
      <c r="N3592" s="7" t="str">
        <f t="shared" si="287"/>
        <v/>
      </c>
      <c r="O3592" s="8"/>
      <c r="P3592" s="26"/>
      <c r="S3592" s="10" t="str">
        <f t="shared" si="284"/>
        <v/>
      </c>
    </row>
    <row r="3593" spans="5:19" x14ac:dyDescent="0.3">
      <c r="E3593" s="9" t="str">
        <f>IF(DADOS!C3593="","",DADOS!C3593)</f>
        <v/>
      </c>
      <c r="F3593" s="9" t="str">
        <f>IF(DADOS!E3593="","",DADOS!E3593)</f>
        <v/>
      </c>
      <c r="G3593" s="9" t="str">
        <f>IF(DADOS!F3593="","",DADOS!F3593)</f>
        <v/>
      </c>
      <c r="K3593" s="6" t="str">
        <f t="shared" si="285"/>
        <v/>
      </c>
      <c r="L3593" s="7" t="str">
        <f t="shared" si="286"/>
        <v/>
      </c>
      <c r="M3593" s="7" t="str">
        <f t="shared" si="283"/>
        <v/>
      </c>
      <c r="N3593" s="7" t="str">
        <f t="shared" si="287"/>
        <v/>
      </c>
      <c r="O3593" s="8"/>
      <c r="P3593" s="26"/>
      <c r="S3593" s="10" t="str">
        <f t="shared" si="284"/>
        <v/>
      </c>
    </row>
    <row r="3594" spans="5:19" x14ac:dyDescent="0.3">
      <c r="E3594" s="9" t="str">
        <f>IF(DADOS!C3594="","",DADOS!C3594)</f>
        <v/>
      </c>
      <c r="F3594" s="9" t="str">
        <f>IF(DADOS!E3594="","",DADOS!E3594)</f>
        <v/>
      </c>
      <c r="G3594" s="9" t="str">
        <f>IF(DADOS!F3594="","",DADOS!F3594)</f>
        <v/>
      </c>
      <c r="K3594" s="6" t="str">
        <f t="shared" si="285"/>
        <v/>
      </c>
      <c r="L3594" s="7" t="str">
        <f t="shared" si="286"/>
        <v/>
      </c>
      <c r="M3594" s="7" t="str">
        <f t="shared" si="283"/>
        <v/>
      </c>
      <c r="N3594" s="7" t="str">
        <f t="shared" si="287"/>
        <v/>
      </c>
      <c r="O3594" s="8"/>
      <c r="P3594" s="26"/>
      <c r="S3594" s="10" t="str">
        <f t="shared" si="284"/>
        <v/>
      </c>
    </row>
    <row r="3595" spans="5:19" x14ac:dyDescent="0.3">
      <c r="E3595" s="9" t="str">
        <f>IF(DADOS!C3595="","",DADOS!C3595)</f>
        <v/>
      </c>
      <c r="F3595" s="9" t="str">
        <f>IF(DADOS!E3595="","",DADOS!E3595)</f>
        <v/>
      </c>
      <c r="G3595" s="9" t="str">
        <f>IF(DADOS!F3595="","",DADOS!F3595)</f>
        <v/>
      </c>
      <c r="K3595" s="6" t="str">
        <f t="shared" si="285"/>
        <v/>
      </c>
      <c r="L3595" s="7" t="str">
        <f t="shared" si="286"/>
        <v/>
      </c>
      <c r="M3595" s="7" t="str">
        <f t="shared" si="283"/>
        <v/>
      </c>
      <c r="N3595" s="7" t="str">
        <f t="shared" si="287"/>
        <v/>
      </c>
      <c r="O3595" s="8"/>
      <c r="P3595" s="26"/>
      <c r="S3595" s="10" t="str">
        <f t="shared" si="284"/>
        <v/>
      </c>
    </row>
    <row r="3596" spans="5:19" x14ac:dyDescent="0.3">
      <c r="E3596" s="9" t="str">
        <f>IF(DADOS!C3596="","",DADOS!C3596)</f>
        <v/>
      </c>
      <c r="F3596" s="9" t="str">
        <f>IF(DADOS!E3596="","",DADOS!E3596)</f>
        <v/>
      </c>
      <c r="G3596" s="9" t="str">
        <f>IF(DADOS!F3596="","",DADOS!F3596)</f>
        <v/>
      </c>
      <c r="K3596" s="6" t="str">
        <f t="shared" si="285"/>
        <v/>
      </c>
      <c r="L3596" s="7" t="str">
        <f t="shared" si="286"/>
        <v/>
      </c>
      <c r="M3596" s="7" t="str">
        <f t="shared" si="283"/>
        <v/>
      </c>
      <c r="N3596" s="7" t="str">
        <f t="shared" si="287"/>
        <v/>
      </c>
      <c r="O3596" s="8"/>
      <c r="P3596" s="26"/>
      <c r="S3596" s="10" t="str">
        <f t="shared" si="284"/>
        <v/>
      </c>
    </row>
    <row r="3597" spans="5:19" x14ac:dyDescent="0.3">
      <c r="E3597" s="9" t="str">
        <f>IF(DADOS!C3597="","",DADOS!C3597)</f>
        <v/>
      </c>
      <c r="F3597" s="9" t="str">
        <f>IF(DADOS!E3597="","",DADOS!E3597)</f>
        <v/>
      </c>
      <c r="G3597" s="9" t="str">
        <f>IF(DADOS!F3597="","",DADOS!F3597)</f>
        <v/>
      </c>
      <c r="K3597" s="6" t="str">
        <f t="shared" si="285"/>
        <v/>
      </c>
      <c r="L3597" s="7" t="str">
        <f t="shared" si="286"/>
        <v/>
      </c>
      <c r="M3597" s="7" t="str">
        <f t="shared" si="283"/>
        <v/>
      </c>
      <c r="N3597" s="7" t="str">
        <f t="shared" si="287"/>
        <v/>
      </c>
      <c r="O3597" s="8"/>
      <c r="P3597" s="26"/>
      <c r="S3597" s="10" t="str">
        <f t="shared" si="284"/>
        <v/>
      </c>
    </row>
    <row r="3598" spans="5:19" x14ac:dyDescent="0.3">
      <c r="E3598" s="9" t="str">
        <f>IF(DADOS!C3598="","",DADOS!C3598)</f>
        <v/>
      </c>
      <c r="F3598" s="9" t="str">
        <f>IF(DADOS!E3598="","",DADOS!E3598)</f>
        <v/>
      </c>
      <c r="G3598" s="9" t="str">
        <f>IF(DADOS!F3598="","",DADOS!F3598)</f>
        <v/>
      </c>
      <c r="K3598" s="6" t="str">
        <f t="shared" si="285"/>
        <v/>
      </c>
      <c r="L3598" s="7" t="str">
        <f t="shared" si="286"/>
        <v/>
      </c>
      <c r="M3598" s="7" t="str">
        <f t="shared" si="283"/>
        <v/>
      </c>
      <c r="N3598" s="7" t="str">
        <f t="shared" si="287"/>
        <v/>
      </c>
      <c r="O3598" s="8"/>
      <c r="P3598" s="26"/>
      <c r="S3598" s="10" t="str">
        <f t="shared" si="284"/>
        <v/>
      </c>
    </row>
    <row r="3599" spans="5:19" x14ac:dyDescent="0.3">
      <c r="E3599" s="9" t="str">
        <f>IF(DADOS!C3599="","",DADOS!C3599)</f>
        <v/>
      </c>
      <c r="F3599" s="9" t="str">
        <f>IF(DADOS!E3599="","",DADOS!E3599)</f>
        <v/>
      </c>
      <c r="G3599" s="9" t="str">
        <f>IF(DADOS!F3599="","",DADOS!F3599)</f>
        <v/>
      </c>
      <c r="K3599" s="6" t="str">
        <f t="shared" si="285"/>
        <v/>
      </c>
      <c r="L3599" s="7" t="str">
        <f t="shared" si="286"/>
        <v/>
      </c>
      <c r="M3599" s="7" t="str">
        <f t="shared" si="283"/>
        <v/>
      </c>
      <c r="N3599" s="7" t="str">
        <f t="shared" si="287"/>
        <v/>
      </c>
      <c r="O3599" s="8"/>
      <c r="P3599" s="26"/>
      <c r="S3599" s="10" t="str">
        <f t="shared" si="284"/>
        <v/>
      </c>
    </row>
    <row r="3600" spans="5:19" x14ac:dyDescent="0.3">
      <c r="E3600" s="9" t="str">
        <f>IF(DADOS!C3600="","",DADOS!C3600)</f>
        <v/>
      </c>
      <c r="F3600" s="9" t="str">
        <f>IF(DADOS!E3600="","",DADOS!E3600)</f>
        <v/>
      </c>
      <c r="G3600" s="9" t="str">
        <f>IF(DADOS!F3600="","",DADOS!F3600)</f>
        <v/>
      </c>
      <c r="K3600" s="6" t="str">
        <f t="shared" si="285"/>
        <v/>
      </c>
      <c r="L3600" s="7" t="str">
        <f t="shared" si="286"/>
        <v/>
      </c>
      <c r="M3600" s="7" t="str">
        <f t="shared" si="283"/>
        <v/>
      </c>
      <c r="N3600" s="7" t="str">
        <f t="shared" si="287"/>
        <v/>
      </c>
      <c r="O3600" s="8"/>
      <c r="P3600" s="26"/>
      <c r="S3600" s="10" t="str">
        <f t="shared" si="284"/>
        <v/>
      </c>
    </row>
    <row r="3601" spans="5:19" x14ac:dyDescent="0.3">
      <c r="E3601" s="9" t="str">
        <f>IF(DADOS!C3601="","",DADOS!C3601)</f>
        <v/>
      </c>
      <c r="F3601" s="9" t="str">
        <f>IF(DADOS!E3601="","",DADOS!E3601)</f>
        <v/>
      </c>
      <c r="G3601" s="9" t="str">
        <f>IF(DADOS!F3601="","",DADOS!F3601)</f>
        <v/>
      </c>
      <c r="K3601" s="6" t="str">
        <f t="shared" si="285"/>
        <v/>
      </c>
      <c r="L3601" s="7" t="str">
        <f t="shared" si="286"/>
        <v/>
      </c>
      <c r="M3601" s="7" t="str">
        <f t="shared" si="283"/>
        <v/>
      </c>
      <c r="N3601" s="7" t="str">
        <f t="shared" si="287"/>
        <v/>
      </c>
      <c r="O3601" s="8"/>
      <c r="P3601" s="26"/>
      <c r="S3601" s="10" t="str">
        <f t="shared" si="284"/>
        <v/>
      </c>
    </row>
    <row r="3602" spans="5:19" x14ac:dyDescent="0.3">
      <c r="E3602" s="9" t="str">
        <f>IF(DADOS!C3602="","",DADOS!C3602)</f>
        <v/>
      </c>
      <c r="F3602" s="9" t="str">
        <f>IF(DADOS!E3602="","",DADOS!E3602)</f>
        <v/>
      </c>
      <c r="G3602" s="9" t="str">
        <f>IF(DADOS!F3602="","",DADOS!F3602)</f>
        <v/>
      </c>
      <c r="K3602" s="6" t="str">
        <f t="shared" si="285"/>
        <v/>
      </c>
      <c r="L3602" s="7" t="str">
        <f t="shared" si="286"/>
        <v/>
      </c>
      <c r="M3602" s="7" t="str">
        <f t="shared" si="283"/>
        <v/>
      </c>
      <c r="N3602" s="7" t="str">
        <f t="shared" si="287"/>
        <v/>
      </c>
      <c r="O3602" s="8"/>
      <c r="P3602" s="26"/>
      <c r="S3602" s="10" t="str">
        <f t="shared" si="284"/>
        <v/>
      </c>
    </row>
    <row r="3603" spans="5:19" x14ac:dyDescent="0.3">
      <c r="E3603" s="9" t="str">
        <f>IF(DADOS!C3603="","",DADOS!C3603)</f>
        <v/>
      </c>
      <c r="F3603" s="9" t="str">
        <f>IF(DADOS!E3603="","",DADOS!E3603)</f>
        <v/>
      </c>
      <c r="G3603" s="9" t="str">
        <f>IF(DADOS!F3603="","",DADOS!F3603)</f>
        <v/>
      </c>
      <c r="K3603" s="6" t="str">
        <f t="shared" si="285"/>
        <v/>
      </c>
      <c r="L3603" s="7" t="str">
        <f t="shared" si="286"/>
        <v/>
      </c>
      <c r="M3603" s="7" t="str">
        <f t="shared" si="283"/>
        <v/>
      </c>
      <c r="N3603" s="7" t="str">
        <f t="shared" si="287"/>
        <v/>
      </c>
      <c r="O3603" s="8"/>
      <c r="P3603" s="26"/>
      <c r="S3603" s="10" t="str">
        <f t="shared" si="284"/>
        <v/>
      </c>
    </row>
    <row r="3604" spans="5:19" x14ac:dyDescent="0.3">
      <c r="E3604" s="9" t="str">
        <f>IF(DADOS!C3604="","",DADOS!C3604)</f>
        <v/>
      </c>
      <c r="F3604" s="9" t="str">
        <f>IF(DADOS!E3604="","",DADOS!E3604)</f>
        <v/>
      </c>
      <c r="G3604" s="9" t="str">
        <f>IF(DADOS!F3604="","",DADOS!F3604)</f>
        <v/>
      </c>
      <c r="K3604" s="6" t="str">
        <f t="shared" si="285"/>
        <v/>
      </c>
      <c r="L3604" s="7" t="str">
        <f t="shared" si="286"/>
        <v/>
      </c>
      <c r="M3604" s="7" t="str">
        <f t="shared" si="283"/>
        <v/>
      </c>
      <c r="N3604" s="7" t="str">
        <f t="shared" si="287"/>
        <v/>
      </c>
      <c r="O3604" s="8"/>
      <c r="P3604" s="26"/>
      <c r="S3604" s="10" t="str">
        <f t="shared" si="284"/>
        <v/>
      </c>
    </row>
    <row r="3605" spans="5:19" x14ac:dyDescent="0.3">
      <c r="E3605" s="9" t="str">
        <f>IF(DADOS!C3605="","",DADOS!C3605)</f>
        <v/>
      </c>
      <c r="F3605" s="9" t="str">
        <f>IF(DADOS!E3605="","",DADOS!E3605)</f>
        <v/>
      </c>
      <c r="G3605" s="9" t="str">
        <f>IF(DADOS!F3605="","",DADOS!F3605)</f>
        <v/>
      </c>
      <c r="K3605" s="6" t="str">
        <f t="shared" si="285"/>
        <v/>
      </c>
      <c r="L3605" s="7" t="str">
        <f t="shared" si="286"/>
        <v/>
      </c>
      <c r="M3605" s="7" t="str">
        <f t="shared" si="283"/>
        <v/>
      </c>
      <c r="N3605" s="7" t="str">
        <f t="shared" si="287"/>
        <v/>
      </c>
      <c r="O3605" s="8"/>
      <c r="P3605" s="26"/>
      <c r="S3605" s="10" t="str">
        <f t="shared" si="284"/>
        <v/>
      </c>
    </row>
    <row r="3606" spans="5:19" x14ac:dyDescent="0.3">
      <c r="E3606" s="9" t="str">
        <f>IF(DADOS!C3606="","",DADOS!C3606)</f>
        <v/>
      </c>
      <c r="F3606" s="9" t="str">
        <f>IF(DADOS!E3606="","",DADOS!E3606)</f>
        <v/>
      </c>
      <c r="G3606" s="9" t="str">
        <f>IF(DADOS!F3606="","",DADOS!F3606)</f>
        <v/>
      </c>
      <c r="K3606" s="6" t="str">
        <f t="shared" si="285"/>
        <v/>
      </c>
      <c r="L3606" s="7" t="str">
        <f t="shared" si="286"/>
        <v/>
      </c>
      <c r="M3606" s="7" t="str">
        <f t="shared" si="283"/>
        <v/>
      </c>
      <c r="N3606" s="7" t="str">
        <f t="shared" si="287"/>
        <v/>
      </c>
      <c r="O3606" s="8"/>
      <c r="P3606" s="26"/>
      <c r="S3606" s="10" t="str">
        <f t="shared" si="284"/>
        <v/>
      </c>
    </row>
    <row r="3607" spans="5:19" x14ac:dyDescent="0.3">
      <c r="E3607" s="9" t="str">
        <f>IF(DADOS!C3607="","",DADOS!C3607)</f>
        <v/>
      </c>
      <c r="F3607" s="9" t="str">
        <f>IF(DADOS!E3607="","",DADOS!E3607)</f>
        <v/>
      </c>
      <c r="G3607" s="9" t="str">
        <f>IF(DADOS!F3607="","",DADOS!F3607)</f>
        <v/>
      </c>
      <c r="K3607" s="6" t="str">
        <f t="shared" si="285"/>
        <v/>
      </c>
      <c r="L3607" s="7" t="str">
        <f t="shared" si="286"/>
        <v/>
      </c>
      <c r="M3607" s="7" t="str">
        <f t="shared" si="283"/>
        <v/>
      </c>
      <c r="N3607" s="7" t="str">
        <f t="shared" si="287"/>
        <v/>
      </c>
      <c r="O3607" s="8"/>
      <c r="P3607" s="26"/>
      <c r="S3607" s="10" t="str">
        <f t="shared" si="284"/>
        <v/>
      </c>
    </row>
    <row r="3608" spans="5:19" x14ac:dyDescent="0.3">
      <c r="E3608" s="9" t="str">
        <f>IF(DADOS!C3608="","",DADOS!C3608)</f>
        <v/>
      </c>
      <c r="F3608" s="9" t="str">
        <f>IF(DADOS!E3608="","",DADOS!E3608)</f>
        <v/>
      </c>
      <c r="G3608" s="9" t="str">
        <f>IF(DADOS!F3608="","",DADOS!F3608)</f>
        <v/>
      </c>
      <c r="K3608" s="6" t="str">
        <f t="shared" si="285"/>
        <v/>
      </c>
      <c r="L3608" s="7" t="str">
        <f t="shared" si="286"/>
        <v/>
      </c>
      <c r="M3608" s="7" t="str">
        <f t="shared" si="283"/>
        <v/>
      </c>
      <c r="N3608" s="7" t="str">
        <f t="shared" si="287"/>
        <v/>
      </c>
      <c r="O3608" s="8"/>
      <c r="P3608" s="26"/>
      <c r="S3608" s="10" t="str">
        <f t="shared" si="284"/>
        <v/>
      </c>
    </row>
    <row r="3609" spans="5:19" x14ac:dyDescent="0.3">
      <c r="E3609" s="9" t="str">
        <f>IF(DADOS!C3609="","",DADOS!C3609)</f>
        <v/>
      </c>
      <c r="F3609" s="9" t="str">
        <f>IF(DADOS!E3609="","",DADOS!E3609)</f>
        <v/>
      </c>
      <c r="G3609" s="9" t="str">
        <f>IF(DADOS!F3609="","",DADOS!F3609)</f>
        <v/>
      </c>
      <c r="K3609" s="6" t="str">
        <f t="shared" si="285"/>
        <v/>
      </c>
      <c r="L3609" s="7" t="str">
        <f t="shared" si="286"/>
        <v/>
      </c>
      <c r="M3609" s="7" t="str">
        <f t="shared" si="283"/>
        <v/>
      </c>
      <c r="N3609" s="7" t="str">
        <f t="shared" si="287"/>
        <v/>
      </c>
      <c r="O3609" s="8"/>
      <c r="P3609" s="26"/>
      <c r="S3609" s="10" t="str">
        <f t="shared" si="284"/>
        <v/>
      </c>
    </row>
    <row r="3610" spans="5:19" x14ac:dyDescent="0.3">
      <c r="E3610" s="9" t="str">
        <f>IF(DADOS!C3610="","",DADOS!C3610)</f>
        <v/>
      </c>
      <c r="F3610" s="9" t="str">
        <f>IF(DADOS!E3610="","",DADOS!E3610)</f>
        <v/>
      </c>
      <c r="G3610" s="9" t="str">
        <f>IF(DADOS!F3610="","",DADOS!F3610)</f>
        <v/>
      </c>
      <c r="K3610" s="6" t="str">
        <f t="shared" si="285"/>
        <v/>
      </c>
      <c r="L3610" s="7" t="str">
        <f t="shared" si="286"/>
        <v/>
      </c>
      <c r="M3610" s="7" t="str">
        <f t="shared" si="283"/>
        <v/>
      </c>
      <c r="N3610" s="7" t="str">
        <f t="shared" si="287"/>
        <v/>
      </c>
      <c r="O3610" s="8"/>
      <c r="P3610" s="26"/>
      <c r="S3610" s="10" t="str">
        <f t="shared" si="284"/>
        <v/>
      </c>
    </row>
    <row r="3611" spans="5:19" x14ac:dyDescent="0.3">
      <c r="E3611" s="9" t="str">
        <f>IF(DADOS!C3611="","",DADOS!C3611)</f>
        <v/>
      </c>
      <c r="F3611" s="9" t="str">
        <f>IF(DADOS!E3611="","",DADOS!E3611)</f>
        <v/>
      </c>
      <c r="G3611" s="9" t="str">
        <f>IF(DADOS!F3611="","",DADOS!F3611)</f>
        <v/>
      </c>
      <c r="K3611" s="6" t="str">
        <f t="shared" si="285"/>
        <v/>
      </c>
      <c r="L3611" s="7" t="str">
        <f t="shared" si="286"/>
        <v/>
      </c>
      <c r="M3611" s="7" t="str">
        <f t="shared" si="283"/>
        <v/>
      </c>
      <c r="N3611" s="7" t="str">
        <f t="shared" si="287"/>
        <v/>
      </c>
      <c r="O3611" s="8"/>
      <c r="P3611" s="26"/>
      <c r="S3611" s="10" t="str">
        <f t="shared" si="284"/>
        <v/>
      </c>
    </row>
    <row r="3612" spans="5:19" x14ac:dyDescent="0.3">
      <c r="E3612" s="9" t="str">
        <f>IF(DADOS!C3612="","",DADOS!C3612)</f>
        <v/>
      </c>
      <c r="F3612" s="9" t="str">
        <f>IF(DADOS!E3612="","",DADOS!E3612)</f>
        <v/>
      </c>
      <c r="G3612" s="9" t="str">
        <f>IF(DADOS!F3612="","",DADOS!F3612)</f>
        <v/>
      </c>
      <c r="K3612" s="6" t="str">
        <f t="shared" si="285"/>
        <v/>
      </c>
      <c r="L3612" s="7" t="str">
        <f t="shared" si="286"/>
        <v/>
      </c>
      <c r="M3612" s="7" t="str">
        <f t="shared" si="283"/>
        <v/>
      </c>
      <c r="N3612" s="7" t="str">
        <f t="shared" si="287"/>
        <v/>
      </c>
      <c r="O3612" s="8"/>
      <c r="P3612" s="26"/>
      <c r="S3612" s="10" t="str">
        <f t="shared" si="284"/>
        <v/>
      </c>
    </row>
    <row r="3613" spans="5:19" x14ac:dyDescent="0.3">
      <c r="E3613" s="9" t="str">
        <f>IF(DADOS!C3613="","",DADOS!C3613)</f>
        <v/>
      </c>
      <c r="F3613" s="9" t="str">
        <f>IF(DADOS!E3613="","",DADOS!E3613)</f>
        <v/>
      </c>
      <c r="G3613" s="9" t="str">
        <f>IF(DADOS!F3613="","",DADOS!F3613)</f>
        <v/>
      </c>
      <c r="K3613" s="6" t="str">
        <f t="shared" si="285"/>
        <v/>
      </c>
      <c r="L3613" s="7" t="str">
        <f t="shared" si="286"/>
        <v/>
      </c>
      <c r="M3613" s="7" t="str">
        <f t="shared" si="283"/>
        <v/>
      </c>
      <c r="N3613" s="7" t="str">
        <f t="shared" si="287"/>
        <v/>
      </c>
      <c r="O3613" s="8"/>
      <c r="P3613" s="26"/>
      <c r="S3613" s="10" t="str">
        <f t="shared" si="284"/>
        <v/>
      </c>
    </row>
    <row r="3614" spans="5:19" x14ac:dyDescent="0.3">
      <c r="E3614" s="9" t="str">
        <f>IF(DADOS!C3614="","",DADOS!C3614)</f>
        <v/>
      </c>
      <c r="F3614" s="9" t="str">
        <f>IF(DADOS!E3614="","",DADOS!E3614)</f>
        <v/>
      </c>
      <c r="G3614" s="9" t="str">
        <f>IF(DADOS!F3614="","",DADOS!F3614)</f>
        <v/>
      </c>
      <c r="K3614" s="6" t="str">
        <f t="shared" si="285"/>
        <v/>
      </c>
      <c r="L3614" s="7" t="str">
        <f t="shared" si="286"/>
        <v/>
      </c>
      <c r="M3614" s="7" t="str">
        <f t="shared" si="283"/>
        <v/>
      </c>
      <c r="N3614" s="7" t="str">
        <f t="shared" si="287"/>
        <v/>
      </c>
      <c r="O3614" s="8"/>
      <c r="P3614" s="26"/>
      <c r="S3614" s="10" t="str">
        <f t="shared" si="284"/>
        <v/>
      </c>
    </row>
    <row r="3615" spans="5:19" x14ac:dyDescent="0.3">
      <c r="E3615" s="9" t="str">
        <f>IF(DADOS!C3615="","",DADOS!C3615)</f>
        <v/>
      </c>
      <c r="F3615" s="9" t="str">
        <f>IF(DADOS!E3615="","",DADOS!E3615)</f>
        <v/>
      </c>
      <c r="G3615" s="9" t="str">
        <f>IF(DADOS!F3615="","",DADOS!F3615)</f>
        <v/>
      </c>
      <c r="K3615" s="6" t="str">
        <f t="shared" si="285"/>
        <v/>
      </c>
      <c r="L3615" s="7" t="str">
        <f t="shared" si="286"/>
        <v/>
      </c>
      <c r="M3615" s="7" t="str">
        <f t="shared" si="283"/>
        <v/>
      </c>
      <c r="N3615" s="7" t="str">
        <f t="shared" si="287"/>
        <v/>
      </c>
      <c r="O3615" s="8"/>
      <c r="P3615" s="26"/>
      <c r="S3615" s="10" t="str">
        <f t="shared" si="284"/>
        <v/>
      </c>
    </row>
    <row r="3616" spans="5:19" x14ac:dyDescent="0.3">
      <c r="E3616" s="9" t="str">
        <f>IF(DADOS!C3616="","",DADOS!C3616)</f>
        <v/>
      </c>
      <c r="F3616" s="9" t="str">
        <f>IF(DADOS!E3616="","",DADOS!E3616)</f>
        <v/>
      </c>
      <c r="G3616" s="9" t="str">
        <f>IF(DADOS!F3616="","",DADOS!F3616)</f>
        <v/>
      </c>
      <c r="K3616" s="6" t="str">
        <f t="shared" si="285"/>
        <v/>
      </c>
      <c r="L3616" s="7" t="str">
        <f t="shared" si="286"/>
        <v/>
      </c>
      <c r="M3616" s="7" t="str">
        <f t="shared" si="283"/>
        <v/>
      </c>
      <c r="N3616" s="7" t="str">
        <f t="shared" si="287"/>
        <v/>
      </c>
      <c r="O3616" s="8"/>
      <c r="P3616" s="26"/>
      <c r="S3616" s="10" t="str">
        <f t="shared" si="284"/>
        <v/>
      </c>
    </row>
    <row r="3617" spans="5:19" x14ac:dyDescent="0.3">
      <c r="E3617" s="9" t="str">
        <f>IF(DADOS!C3617="","",DADOS!C3617)</f>
        <v/>
      </c>
      <c r="F3617" s="9" t="str">
        <f>IF(DADOS!E3617="","",DADOS!E3617)</f>
        <v/>
      </c>
      <c r="G3617" s="9" t="str">
        <f>IF(DADOS!F3617="","",DADOS!F3617)</f>
        <v/>
      </c>
      <c r="K3617" s="6" t="str">
        <f t="shared" si="285"/>
        <v/>
      </c>
      <c r="L3617" s="7" t="str">
        <f t="shared" si="286"/>
        <v/>
      </c>
      <c r="M3617" s="7" t="str">
        <f t="shared" si="283"/>
        <v/>
      </c>
      <c r="N3617" s="7" t="str">
        <f t="shared" si="287"/>
        <v/>
      </c>
      <c r="O3617" s="8"/>
      <c r="P3617" s="26"/>
      <c r="S3617" s="10" t="str">
        <f t="shared" si="284"/>
        <v/>
      </c>
    </row>
    <row r="3618" spans="5:19" x14ac:dyDescent="0.3">
      <c r="E3618" s="9" t="str">
        <f>IF(DADOS!C3618="","",DADOS!C3618)</f>
        <v/>
      </c>
      <c r="F3618" s="9" t="str">
        <f>IF(DADOS!E3618="","",DADOS!E3618)</f>
        <v/>
      </c>
      <c r="G3618" s="9" t="str">
        <f>IF(DADOS!F3618="","",DADOS!F3618)</f>
        <v/>
      </c>
      <c r="K3618" s="6" t="str">
        <f t="shared" si="285"/>
        <v/>
      </c>
      <c r="L3618" s="7" t="str">
        <f t="shared" si="286"/>
        <v/>
      </c>
      <c r="M3618" s="7" t="str">
        <f t="shared" si="283"/>
        <v/>
      </c>
      <c r="N3618" s="7" t="str">
        <f t="shared" si="287"/>
        <v/>
      </c>
      <c r="O3618" s="8"/>
      <c r="P3618" s="26"/>
      <c r="S3618" s="10" t="str">
        <f t="shared" si="284"/>
        <v/>
      </c>
    </row>
    <row r="3619" spans="5:19" x14ac:dyDescent="0.3">
      <c r="E3619" s="9" t="str">
        <f>IF(DADOS!C3619="","",DADOS!C3619)</f>
        <v/>
      </c>
      <c r="F3619" s="9" t="str">
        <f>IF(DADOS!E3619="","",DADOS!E3619)</f>
        <v/>
      </c>
      <c r="G3619" s="9" t="str">
        <f>IF(DADOS!F3619="","",DADOS!F3619)</f>
        <v/>
      </c>
      <c r="K3619" s="6" t="str">
        <f t="shared" si="285"/>
        <v/>
      </c>
      <c r="L3619" s="7" t="str">
        <f t="shared" si="286"/>
        <v/>
      </c>
      <c r="M3619" s="7" t="str">
        <f t="shared" si="283"/>
        <v/>
      </c>
      <c r="N3619" s="7" t="str">
        <f t="shared" si="287"/>
        <v/>
      </c>
      <c r="O3619" s="8"/>
      <c r="P3619" s="26"/>
      <c r="S3619" s="10" t="str">
        <f t="shared" si="284"/>
        <v/>
      </c>
    </row>
    <row r="3620" spans="5:19" x14ac:dyDescent="0.3">
      <c r="E3620" s="9" t="str">
        <f>IF(DADOS!C3620="","",DADOS!C3620)</f>
        <v/>
      </c>
      <c r="F3620" s="9" t="str">
        <f>IF(DADOS!E3620="","",DADOS!E3620)</f>
        <v/>
      </c>
      <c r="G3620" s="9" t="str">
        <f>IF(DADOS!F3620="","",DADOS!F3620)</f>
        <v/>
      </c>
      <c r="K3620" s="6" t="str">
        <f t="shared" si="285"/>
        <v/>
      </c>
      <c r="L3620" s="7" t="str">
        <f t="shared" si="286"/>
        <v/>
      </c>
      <c r="M3620" s="7" t="str">
        <f t="shared" si="283"/>
        <v/>
      </c>
      <c r="N3620" s="7" t="str">
        <f t="shared" si="287"/>
        <v/>
      </c>
      <c r="O3620" s="8"/>
      <c r="P3620" s="26"/>
      <c r="S3620" s="10" t="str">
        <f t="shared" si="284"/>
        <v/>
      </c>
    </row>
    <row r="3621" spans="5:19" x14ac:dyDescent="0.3">
      <c r="E3621" s="9" t="str">
        <f>IF(DADOS!C3621="","",DADOS!C3621)</f>
        <v/>
      </c>
      <c r="F3621" s="9" t="str">
        <f>IF(DADOS!E3621="","",DADOS!E3621)</f>
        <v/>
      </c>
      <c r="G3621" s="9" t="str">
        <f>IF(DADOS!F3621="","",DADOS!F3621)</f>
        <v/>
      </c>
      <c r="K3621" s="6" t="str">
        <f t="shared" si="285"/>
        <v/>
      </c>
      <c r="L3621" s="7" t="str">
        <f t="shared" si="286"/>
        <v/>
      </c>
      <c r="M3621" s="7" t="str">
        <f t="shared" si="283"/>
        <v/>
      </c>
      <c r="N3621" s="7" t="str">
        <f t="shared" si="287"/>
        <v/>
      </c>
      <c r="O3621" s="8"/>
      <c r="P3621" s="26"/>
      <c r="S3621" s="10" t="str">
        <f t="shared" si="284"/>
        <v/>
      </c>
    </row>
    <row r="3622" spans="5:19" x14ac:dyDescent="0.3">
      <c r="E3622" s="9" t="str">
        <f>IF(DADOS!C3622="","",DADOS!C3622)</f>
        <v/>
      </c>
      <c r="F3622" s="9" t="str">
        <f>IF(DADOS!E3622="","",DADOS!E3622)</f>
        <v/>
      </c>
      <c r="G3622" s="9" t="str">
        <f>IF(DADOS!F3622="","",DADOS!F3622)</f>
        <v/>
      </c>
      <c r="K3622" s="6" t="str">
        <f t="shared" si="285"/>
        <v/>
      </c>
      <c r="L3622" s="7" t="str">
        <f t="shared" si="286"/>
        <v/>
      </c>
      <c r="M3622" s="7" t="str">
        <f t="shared" si="283"/>
        <v/>
      </c>
      <c r="N3622" s="7" t="str">
        <f t="shared" si="287"/>
        <v/>
      </c>
      <c r="O3622" s="8"/>
      <c r="P3622" s="26"/>
      <c r="S3622" s="10" t="str">
        <f t="shared" si="284"/>
        <v/>
      </c>
    </row>
    <row r="3623" spans="5:19" x14ac:dyDescent="0.3">
      <c r="E3623" s="9" t="str">
        <f>IF(DADOS!C3623="","",DADOS!C3623)</f>
        <v/>
      </c>
      <c r="F3623" s="9" t="str">
        <f>IF(DADOS!E3623="","",DADOS!E3623)</f>
        <v/>
      </c>
      <c r="G3623" s="9" t="str">
        <f>IF(DADOS!F3623="","",DADOS!F3623)</f>
        <v/>
      </c>
      <c r="K3623" s="6" t="str">
        <f t="shared" si="285"/>
        <v/>
      </c>
      <c r="L3623" s="7" t="str">
        <f t="shared" si="286"/>
        <v/>
      </c>
      <c r="M3623" s="7" t="str">
        <f t="shared" si="283"/>
        <v/>
      </c>
      <c r="N3623" s="7" t="str">
        <f t="shared" si="287"/>
        <v/>
      </c>
      <c r="O3623" s="8"/>
      <c r="P3623" s="26"/>
      <c r="S3623" s="10" t="str">
        <f t="shared" si="284"/>
        <v/>
      </c>
    </row>
    <row r="3624" spans="5:19" x14ac:dyDescent="0.3">
      <c r="E3624" s="9" t="str">
        <f>IF(DADOS!C3624="","",DADOS!C3624)</f>
        <v/>
      </c>
      <c r="F3624" s="9" t="str">
        <f>IF(DADOS!E3624="","",DADOS!E3624)</f>
        <v/>
      </c>
      <c r="G3624" s="9" t="str">
        <f>IF(DADOS!F3624="","",DADOS!F3624)</f>
        <v/>
      </c>
      <c r="K3624" s="6" t="str">
        <f t="shared" si="285"/>
        <v/>
      </c>
      <c r="L3624" s="7" t="str">
        <f t="shared" si="286"/>
        <v/>
      </c>
      <c r="M3624" s="7" t="str">
        <f t="shared" si="283"/>
        <v/>
      </c>
      <c r="N3624" s="7" t="str">
        <f t="shared" si="287"/>
        <v/>
      </c>
      <c r="O3624" s="8"/>
      <c r="P3624" s="26"/>
      <c r="S3624" s="10" t="str">
        <f t="shared" si="284"/>
        <v/>
      </c>
    </row>
    <row r="3625" spans="5:19" x14ac:dyDescent="0.3">
      <c r="E3625" s="9" t="str">
        <f>IF(DADOS!C3625="","",DADOS!C3625)</f>
        <v/>
      </c>
      <c r="F3625" s="9" t="str">
        <f>IF(DADOS!E3625="","",DADOS!E3625)</f>
        <v/>
      </c>
      <c r="G3625" s="9" t="str">
        <f>IF(DADOS!F3625="","",DADOS!F3625)</f>
        <v/>
      </c>
      <c r="K3625" s="6" t="str">
        <f t="shared" si="285"/>
        <v/>
      </c>
      <c r="L3625" s="7" t="str">
        <f t="shared" si="286"/>
        <v/>
      </c>
      <c r="M3625" s="7" t="str">
        <f t="shared" si="283"/>
        <v/>
      </c>
      <c r="N3625" s="7" t="str">
        <f t="shared" si="287"/>
        <v/>
      </c>
      <c r="O3625" s="8"/>
      <c r="P3625" s="26"/>
      <c r="S3625" s="10" t="str">
        <f t="shared" si="284"/>
        <v/>
      </c>
    </row>
    <row r="3626" spans="5:19" x14ac:dyDescent="0.3">
      <c r="E3626" s="9" t="str">
        <f>IF(DADOS!C3626="","",DADOS!C3626)</f>
        <v/>
      </c>
      <c r="F3626" s="9" t="str">
        <f>IF(DADOS!E3626="","",DADOS!E3626)</f>
        <v/>
      </c>
      <c r="G3626" s="9" t="str">
        <f>IF(DADOS!F3626="","",DADOS!F3626)</f>
        <v/>
      </c>
      <c r="K3626" s="6" t="str">
        <f t="shared" si="285"/>
        <v/>
      </c>
      <c r="L3626" s="7" t="str">
        <f t="shared" si="286"/>
        <v/>
      </c>
      <c r="M3626" s="7" t="str">
        <f t="shared" si="283"/>
        <v/>
      </c>
      <c r="N3626" s="7" t="str">
        <f t="shared" si="287"/>
        <v/>
      </c>
      <c r="O3626" s="8"/>
      <c r="P3626" s="26"/>
      <c r="S3626" s="10" t="str">
        <f t="shared" si="284"/>
        <v/>
      </c>
    </row>
    <row r="3627" spans="5:19" x14ac:dyDescent="0.3">
      <c r="E3627" s="9" t="str">
        <f>IF(DADOS!C3627="","",DADOS!C3627)</f>
        <v/>
      </c>
      <c r="F3627" s="9" t="str">
        <f>IF(DADOS!E3627="","",DADOS!E3627)</f>
        <v/>
      </c>
      <c r="G3627" s="9" t="str">
        <f>IF(DADOS!F3627="","",DADOS!F3627)</f>
        <v/>
      </c>
      <c r="K3627" s="6" t="str">
        <f t="shared" si="285"/>
        <v/>
      </c>
      <c r="L3627" s="7" t="str">
        <f t="shared" si="286"/>
        <v/>
      </c>
      <c r="M3627" s="7" t="str">
        <f t="shared" si="283"/>
        <v/>
      </c>
      <c r="N3627" s="7" t="str">
        <f t="shared" si="287"/>
        <v/>
      </c>
      <c r="O3627" s="8"/>
      <c r="P3627" s="26"/>
      <c r="S3627" s="10" t="str">
        <f t="shared" si="284"/>
        <v/>
      </c>
    </row>
    <row r="3628" spans="5:19" x14ac:dyDescent="0.3">
      <c r="E3628" s="9" t="str">
        <f>IF(DADOS!C3628="","",DADOS!C3628)</f>
        <v/>
      </c>
      <c r="F3628" s="9" t="str">
        <f>IF(DADOS!E3628="","",DADOS!E3628)</f>
        <v/>
      </c>
      <c r="G3628" s="9" t="str">
        <f>IF(DADOS!F3628="","",DADOS!F3628)</f>
        <v/>
      </c>
      <c r="K3628" s="6" t="str">
        <f t="shared" si="285"/>
        <v/>
      </c>
      <c r="L3628" s="7" t="str">
        <f t="shared" si="286"/>
        <v/>
      </c>
      <c r="M3628" s="7" t="str">
        <f t="shared" si="283"/>
        <v/>
      </c>
      <c r="N3628" s="7" t="str">
        <f t="shared" si="287"/>
        <v/>
      </c>
      <c r="O3628" s="8"/>
      <c r="P3628" s="26"/>
      <c r="S3628" s="10" t="str">
        <f t="shared" si="284"/>
        <v/>
      </c>
    </row>
    <row r="3629" spans="5:19" x14ac:dyDescent="0.3">
      <c r="E3629" s="9" t="str">
        <f>IF(DADOS!C3629="","",DADOS!C3629)</f>
        <v/>
      </c>
      <c r="F3629" s="9" t="str">
        <f>IF(DADOS!E3629="","",DADOS!E3629)</f>
        <v/>
      </c>
      <c r="G3629" s="9" t="str">
        <f>IF(DADOS!F3629="","",DADOS!F3629)</f>
        <v/>
      </c>
      <c r="K3629" s="6" t="str">
        <f t="shared" si="285"/>
        <v/>
      </c>
      <c r="L3629" s="7" t="str">
        <f t="shared" si="286"/>
        <v/>
      </c>
      <c r="M3629" s="7" t="str">
        <f t="shared" si="283"/>
        <v/>
      </c>
      <c r="N3629" s="7" t="str">
        <f t="shared" si="287"/>
        <v/>
      </c>
      <c r="O3629" s="8"/>
      <c r="P3629" s="26"/>
      <c r="S3629" s="10" t="str">
        <f t="shared" si="284"/>
        <v/>
      </c>
    </row>
    <row r="3630" spans="5:19" x14ac:dyDescent="0.3">
      <c r="E3630" s="9" t="str">
        <f>IF(DADOS!C3630="","",DADOS!C3630)</f>
        <v/>
      </c>
      <c r="F3630" s="9" t="str">
        <f>IF(DADOS!E3630="","",DADOS!E3630)</f>
        <v/>
      </c>
      <c r="G3630" s="9" t="str">
        <f>IF(DADOS!F3630="","",DADOS!F3630)</f>
        <v/>
      </c>
      <c r="K3630" s="6" t="str">
        <f t="shared" si="285"/>
        <v/>
      </c>
      <c r="L3630" s="7" t="str">
        <f t="shared" si="286"/>
        <v/>
      </c>
      <c r="M3630" s="7" t="str">
        <f t="shared" si="283"/>
        <v/>
      </c>
      <c r="N3630" s="7" t="str">
        <f t="shared" si="287"/>
        <v/>
      </c>
      <c r="O3630" s="8"/>
      <c r="P3630" s="26"/>
      <c r="S3630" s="10" t="str">
        <f t="shared" si="284"/>
        <v/>
      </c>
    </row>
    <row r="3631" spans="5:19" x14ac:dyDescent="0.3">
      <c r="E3631" s="9" t="str">
        <f>IF(DADOS!C3631="","",DADOS!C3631)</f>
        <v/>
      </c>
      <c r="F3631" s="9" t="str">
        <f>IF(DADOS!E3631="","",DADOS!E3631)</f>
        <v/>
      </c>
      <c r="G3631" s="9" t="str">
        <f>IF(DADOS!F3631="","",DADOS!F3631)</f>
        <v/>
      </c>
      <c r="K3631" s="6" t="str">
        <f t="shared" si="285"/>
        <v/>
      </c>
      <c r="L3631" s="7" t="str">
        <f t="shared" si="286"/>
        <v/>
      </c>
      <c r="M3631" s="7" t="str">
        <f t="shared" si="283"/>
        <v/>
      </c>
      <c r="N3631" s="7" t="str">
        <f t="shared" si="287"/>
        <v/>
      </c>
      <c r="O3631" s="8"/>
      <c r="P3631" s="26"/>
      <c r="S3631" s="10" t="str">
        <f t="shared" si="284"/>
        <v/>
      </c>
    </row>
    <row r="3632" spans="5:19" x14ac:dyDescent="0.3">
      <c r="E3632" s="9" t="str">
        <f>IF(DADOS!C3632="","",DADOS!C3632)</f>
        <v/>
      </c>
      <c r="F3632" s="9" t="str">
        <f>IF(DADOS!E3632="","",DADOS!E3632)</f>
        <v/>
      </c>
      <c r="G3632" s="9" t="str">
        <f>IF(DADOS!F3632="","",DADOS!F3632)</f>
        <v/>
      </c>
      <c r="K3632" s="6" t="str">
        <f t="shared" si="285"/>
        <v/>
      </c>
      <c r="L3632" s="7" t="str">
        <f t="shared" si="286"/>
        <v/>
      </c>
      <c r="M3632" s="7" t="str">
        <f t="shared" si="283"/>
        <v/>
      </c>
      <c r="N3632" s="7" t="str">
        <f t="shared" si="287"/>
        <v/>
      </c>
      <c r="O3632" s="8"/>
      <c r="P3632" s="26"/>
      <c r="S3632" s="10" t="str">
        <f t="shared" si="284"/>
        <v/>
      </c>
    </row>
    <row r="3633" spans="5:19" x14ac:dyDescent="0.3">
      <c r="E3633" s="9" t="str">
        <f>IF(DADOS!C3633="","",DADOS!C3633)</f>
        <v/>
      </c>
      <c r="F3633" s="9" t="str">
        <f>IF(DADOS!E3633="","",DADOS!E3633)</f>
        <v/>
      </c>
      <c r="G3633" s="9" t="str">
        <f>IF(DADOS!F3633="","",DADOS!F3633)</f>
        <v/>
      </c>
      <c r="K3633" s="6" t="str">
        <f t="shared" si="285"/>
        <v/>
      </c>
      <c r="L3633" s="7" t="str">
        <f t="shared" si="286"/>
        <v/>
      </c>
      <c r="M3633" s="7" t="str">
        <f t="shared" si="283"/>
        <v/>
      </c>
      <c r="N3633" s="7" t="str">
        <f t="shared" si="287"/>
        <v/>
      </c>
      <c r="O3633" s="8"/>
      <c r="P3633" s="26"/>
      <c r="S3633" s="10" t="str">
        <f t="shared" si="284"/>
        <v/>
      </c>
    </row>
    <row r="3634" spans="5:19" x14ac:dyDescent="0.3">
      <c r="E3634" s="9" t="str">
        <f>IF(DADOS!C3634="","",DADOS!C3634)</f>
        <v/>
      </c>
      <c r="F3634" s="9" t="str">
        <f>IF(DADOS!E3634="","",DADOS!E3634)</f>
        <v/>
      </c>
      <c r="G3634" s="9" t="str">
        <f>IF(DADOS!F3634="","",DADOS!F3634)</f>
        <v/>
      </c>
      <c r="K3634" s="6" t="str">
        <f t="shared" si="285"/>
        <v/>
      </c>
      <c r="L3634" s="7" t="str">
        <f t="shared" si="286"/>
        <v/>
      </c>
      <c r="M3634" s="7" t="str">
        <f t="shared" si="283"/>
        <v/>
      </c>
      <c r="N3634" s="7" t="str">
        <f t="shared" si="287"/>
        <v/>
      </c>
      <c r="O3634" s="8"/>
      <c r="P3634" s="26"/>
      <c r="S3634" s="10" t="str">
        <f t="shared" si="284"/>
        <v/>
      </c>
    </row>
    <row r="3635" spans="5:19" x14ac:dyDescent="0.3">
      <c r="E3635" s="9" t="str">
        <f>IF(DADOS!C3635="","",DADOS!C3635)</f>
        <v/>
      </c>
      <c r="F3635" s="9" t="str">
        <f>IF(DADOS!E3635="","",DADOS!E3635)</f>
        <v/>
      </c>
      <c r="G3635" s="9" t="str">
        <f>IF(DADOS!F3635="","",DADOS!F3635)</f>
        <v/>
      </c>
      <c r="K3635" s="6" t="str">
        <f t="shared" si="285"/>
        <v/>
      </c>
      <c r="L3635" s="7" t="str">
        <f t="shared" si="286"/>
        <v/>
      </c>
      <c r="M3635" s="7" t="str">
        <f t="shared" si="283"/>
        <v/>
      </c>
      <c r="N3635" s="7" t="str">
        <f t="shared" si="287"/>
        <v/>
      </c>
      <c r="O3635" s="8"/>
      <c r="P3635" s="26"/>
      <c r="S3635" s="10" t="str">
        <f t="shared" si="284"/>
        <v/>
      </c>
    </row>
    <row r="3636" spans="5:19" x14ac:dyDescent="0.3">
      <c r="E3636" s="9" t="str">
        <f>IF(DADOS!C3636="","",DADOS!C3636)</f>
        <v/>
      </c>
      <c r="F3636" s="9" t="str">
        <f>IF(DADOS!E3636="","",DADOS!E3636)</f>
        <v/>
      </c>
      <c r="G3636" s="9" t="str">
        <f>IF(DADOS!F3636="","",DADOS!F3636)</f>
        <v/>
      </c>
      <c r="K3636" s="6" t="str">
        <f t="shared" si="285"/>
        <v/>
      </c>
      <c r="L3636" s="7" t="str">
        <f t="shared" si="286"/>
        <v/>
      </c>
      <c r="M3636" s="7" t="str">
        <f t="shared" si="283"/>
        <v/>
      </c>
      <c r="N3636" s="7" t="str">
        <f t="shared" si="287"/>
        <v/>
      </c>
      <c r="O3636" s="8"/>
      <c r="P3636" s="26"/>
      <c r="S3636" s="10" t="str">
        <f t="shared" si="284"/>
        <v/>
      </c>
    </row>
    <row r="3637" spans="5:19" x14ac:dyDescent="0.3">
      <c r="E3637" s="9" t="str">
        <f>IF(DADOS!C3637="","",DADOS!C3637)</f>
        <v/>
      </c>
      <c r="F3637" s="9" t="str">
        <f>IF(DADOS!E3637="","",DADOS!E3637)</f>
        <v/>
      </c>
      <c r="G3637" s="9" t="str">
        <f>IF(DADOS!F3637="","",DADOS!F3637)</f>
        <v/>
      </c>
      <c r="K3637" s="6" t="str">
        <f t="shared" si="285"/>
        <v/>
      </c>
      <c r="L3637" s="7" t="str">
        <f t="shared" si="286"/>
        <v/>
      </c>
      <c r="M3637" s="7" t="str">
        <f t="shared" si="283"/>
        <v/>
      </c>
      <c r="N3637" s="7" t="str">
        <f t="shared" si="287"/>
        <v/>
      </c>
      <c r="O3637" s="8"/>
      <c r="P3637" s="26"/>
      <c r="S3637" s="10" t="str">
        <f t="shared" si="284"/>
        <v/>
      </c>
    </row>
    <row r="3638" spans="5:19" x14ac:dyDescent="0.3">
      <c r="E3638" s="9" t="str">
        <f>IF(DADOS!C3638="","",DADOS!C3638)</f>
        <v/>
      </c>
      <c r="F3638" s="9" t="str">
        <f>IF(DADOS!E3638="","",DADOS!E3638)</f>
        <v/>
      </c>
      <c r="G3638" s="9" t="str">
        <f>IF(DADOS!F3638="","",DADOS!F3638)</f>
        <v/>
      </c>
      <c r="K3638" s="6" t="str">
        <f t="shared" si="285"/>
        <v/>
      </c>
      <c r="L3638" s="7" t="str">
        <f t="shared" si="286"/>
        <v/>
      </c>
      <c r="M3638" s="7" t="str">
        <f t="shared" si="283"/>
        <v/>
      </c>
      <c r="N3638" s="7" t="str">
        <f t="shared" si="287"/>
        <v/>
      </c>
      <c r="O3638" s="8"/>
      <c r="P3638" s="26"/>
      <c r="S3638" s="10" t="str">
        <f t="shared" si="284"/>
        <v/>
      </c>
    </row>
    <row r="3639" spans="5:19" x14ac:dyDescent="0.3">
      <c r="E3639" s="9" t="str">
        <f>IF(DADOS!C3639="","",DADOS!C3639)</f>
        <v/>
      </c>
      <c r="F3639" s="9" t="str">
        <f>IF(DADOS!E3639="","",DADOS!E3639)</f>
        <v/>
      </c>
      <c r="G3639" s="9" t="str">
        <f>IF(DADOS!F3639="","",DADOS!F3639)</f>
        <v/>
      </c>
      <c r="K3639" s="6" t="str">
        <f t="shared" si="285"/>
        <v/>
      </c>
      <c r="L3639" s="7" t="str">
        <f t="shared" si="286"/>
        <v/>
      </c>
      <c r="M3639" s="7" t="str">
        <f t="shared" si="283"/>
        <v/>
      </c>
      <c r="N3639" s="7" t="str">
        <f t="shared" si="287"/>
        <v/>
      </c>
      <c r="O3639" s="8"/>
      <c r="P3639" s="26"/>
      <c r="S3639" s="10" t="str">
        <f t="shared" si="284"/>
        <v/>
      </c>
    </row>
    <row r="3640" spans="5:19" x14ac:dyDescent="0.3">
      <c r="E3640" s="9" t="str">
        <f>IF(DADOS!C3640="","",DADOS!C3640)</f>
        <v/>
      </c>
      <c r="F3640" s="9" t="str">
        <f>IF(DADOS!E3640="","",DADOS!E3640)</f>
        <v/>
      </c>
      <c r="G3640" s="9" t="str">
        <f>IF(DADOS!F3640="","",DADOS!F3640)</f>
        <v/>
      </c>
      <c r="K3640" s="6" t="str">
        <f t="shared" si="285"/>
        <v/>
      </c>
      <c r="L3640" s="7" t="str">
        <f t="shared" si="286"/>
        <v/>
      </c>
      <c r="M3640" s="7" t="str">
        <f t="shared" si="283"/>
        <v/>
      </c>
      <c r="N3640" s="7" t="str">
        <f t="shared" si="287"/>
        <v/>
      </c>
      <c r="O3640" s="8"/>
      <c r="P3640" s="26"/>
      <c r="S3640" s="10" t="str">
        <f t="shared" si="284"/>
        <v/>
      </c>
    </row>
    <row r="3641" spans="5:19" x14ac:dyDescent="0.3">
      <c r="E3641" s="9" t="str">
        <f>IF(DADOS!C3641="","",DADOS!C3641)</f>
        <v/>
      </c>
      <c r="F3641" s="9" t="str">
        <f>IF(DADOS!E3641="","",DADOS!E3641)</f>
        <v/>
      </c>
      <c r="G3641" s="9" t="str">
        <f>IF(DADOS!F3641="","",DADOS!F3641)</f>
        <v/>
      </c>
      <c r="K3641" s="6" t="str">
        <f t="shared" si="285"/>
        <v/>
      </c>
      <c r="L3641" s="7" t="str">
        <f t="shared" si="286"/>
        <v/>
      </c>
      <c r="M3641" s="7" t="str">
        <f t="shared" si="283"/>
        <v/>
      </c>
      <c r="N3641" s="7" t="str">
        <f t="shared" si="287"/>
        <v/>
      </c>
      <c r="O3641" s="8"/>
      <c r="P3641" s="26"/>
      <c r="S3641" s="10" t="str">
        <f t="shared" si="284"/>
        <v/>
      </c>
    </row>
    <row r="3642" spans="5:19" x14ac:dyDescent="0.3">
      <c r="E3642" s="9" t="str">
        <f>IF(DADOS!C3642="","",DADOS!C3642)</f>
        <v/>
      </c>
      <c r="F3642" s="9" t="str">
        <f>IF(DADOS!E3642="","",DADOS!E3642)</f>
        <v/>
      </c>
      <c r="G3642" s="9" t="str">
        <f>IF(DADOS!F3642="","",DADOS!F3642)</f>
        <v/>
      </c>
      <c r="K3642" s="6" t="str">
        <f t="shared" si="285"/>
        <v/>
      </c>
      <c r="L3642" s="7" t="str">
        <f t="shared" si="286"/>
        <v/>
      </c>
      <c r="M3642" s="7" t="str">
        <f t="shared" si="283"/>
        <v/>
      </c>
      <c r="N3642" s="7" t="str">
        <f t="shared" si="287"/>
        <v/>
      </c>
      <c r="O3642" s="8"/>
      <c r="P3642" s="26"/>
      <c r="S3642" s="10" t="str">
        <f t="shared" si="284"/>
        <v/>
      </c>
    </row>
    <row r="3643" spans="5:19" x14ac:dyDescent="0.3">
      <c r="E3643" s="9" t="str">
        <f>IF(DADOS!C3643="","",DADOS!C3643)</f>
        <v/>
      </c>
      <c r="F3643" s="9" t="str">
        <f>IF(DADOS!E3643="","",DADOS!E3643)</f>
        <v/>
      </c>
      <c r="G3643" s="9" t="str">
        <f>IF(DADOS!F3643="","",DADOS!F3643)</f>
        <v/>
      </c>
      <c r="K3643" s="6" t="str">
        <f t="shared" si="285"/>
        <v/>
      </c>
      <c r="L3643" s="7" t="str">
        <f t="shared" si="286"/>
        <v/>
      </c>
      <c r="M3643" s="7" t="str">
        <f t="shared" si="283"/>
        <v/>
      </c>
      <c r="N3643" s="7" t="str">
        <f t="shared" si="287"/>
        <v/>
      </c>
      <c r="O3643" s="8"/>
      <c r="P3643" s="26"/>
      <c r="S3643" s="10" t="str">
        <f t="shared" si="284"/>
        <v/>
      </c>
    </row>
    <row r="3644" spans="5:19" x14ac:dyDescent="0.3">
      <c r="E3644" s="9" t="str">
        <f>IF(DADOS!C3644="","",DADOS!C3644)</f>
        <v/>
      </c>
      <c r="F3644" s="9" t="str">
        <f>IF(DADOS!E3644="","",DADOS!E3644)</f>
        <v/>
      </c>
      <c r="G3644" s="9" t="str">
        <f>IF(DADOS!F3644="","",DADOS!F3644)</f>
        <v/>
      </c>
      <c r="K3644" s="6" t="str">
        <f t="shared" si="285"/>
        <v/>
      </c>
      <c r="L3644" s="7" t="str">
        <f t="shared" si="286"/>
        <v/>
      </c>
      <c r="M3644" s="7" t="str">
        <f t="shared" si="283"/>
        <v/>
      </c>
      <c r="N3644" s="7" t="str">
        <f t="shared" si="287"/>
        <v/>
      </c>
      <c r="O3644" s="8"/>
      <c r="P3644" s="26"/>
      <c r="S3644" s="10" t="str">
        <f t="shared" si="284"/>
        <v/>
      </c>
    </row>
    <row r="3645" spans="5:19" x14ac:dyDescent="0.3">
      <c r="E3645" s="9" t="str">
        <f>IF(DADOS!C3645="","",DADOS!C3645)</f>
        <v/>
      </c>
      <c r="F3645" s="9" t="str">
        <f>IF(DADOS!E3645="","",DADOS!E3645)</f>
        <v/>
      </c>
      <c r="G3645" s="9" t="str">
        <f>IF(DADOS!F3645="","",DADOS!F3645)</f>
        <v/>
      </c>
      <c r="K3645" s="6" t="str">
        <f t="shared" si="285"/>
        <v/>
      </c>
      <c r="L3645" s="7" t="str">
        <f t="shared" si="286"/>
        <v/>
      </c>
      <c r="M3645" s="7" t="str">
        <f t="shared" si="283"/>
        <v/>
      </c>
      <c r="N3645" s="7" t="str">
        <f t="shared" si="287"/>
        <v/>
      </c>
      <c r="O3645" s="8"/>
      <c r="P3645" s="26"/>
      <c r="S3645" s="10" t="str">
        <f t="shared" si="284"/>
        <v/>
      </c>
    </row>
    <row r="3646" spans="5:19" x14ac:dyDescent="0.3">
      <c r="E3646" s="9" t="str">
        <f>IF(DADOS!C3646="","",DADOS!C3646)</f>
        <v/>
      </c>
      <c r="F3646" s="9" t="str">
        <f>IF(DADOS!E3646="","",DADOS!E3646)</f>
        <v/>
      </c>
      <c r="G3646" s="9" t="str">
        <f>IF(DADOS!F3646="","",DADOS!F3646)</f>
        <v/>
      </c>
      <c r="K3646" s="6" t="str">
        <f t="shared" si="285"/>
        <v/>
      </c>
      <c r="L3646" s="7" t="str">
        <f t="shared" si="286"/>
        <v/>
      </c>
      <c r="M3646" s="7" t="str">
        <f t="shared" si="283"/>
        <v/>
      </c>
      <c r="N3646" s="7" t="str">
        <f t="shared" si="287"/>
        <v/>
      </c>
      <c r="O3646" s="8"/>
      <c r="P3646" s="26"/>
      <c r="S3646" s="10" t="str">
        <f t="shared" si="284"/>
        <v/>
      </c>
    </row>
    <row r="3647" spans="5:19" x14ac:dyDescent="0.3">
      <c r="E3647" s="9" t="str">
        <f>IF(DADOS!C3647="","",DADOS!C3647)</f>
        <v/>
      </c>
      <c r="F3647" s="9" t="str">
        <f>IF(DADOS!E3647="","",DADOS!E3647)</f>
        <v/>
      </c>
      <c r="G3647" s="9" t="str">
        <f>IF(DADOS!F3647="","",DADOS!F3647)</f>
        <v/>
      </c>
      <c r="K3647" s="6" t="str">
        <f t="shared" si="285"/>
        <v/>
      </c>
      <c r="L3647" s="7" t="str">
        <f t="shared" si="286"/>
        <v/>
      </c>
      <c r="M3647" s="7" t="str">
        <f t="shared" si="283"/>
        <v/>
      </c>
      <c r="N3647" s="7" t="str">
        <f t="shared" si="287"/>
        <v/>
      </c>
      <c r="O3647" s="8"/>
      <c r="P3647" s="26"/>
      <c r="S3647" s="10" t="str">
        <f t="shared" si="284"/>
        <v/>
      </c>
    </row>
    <row r="3648" spans="5:19" x14ac:dyDescent="0.3">
      <c r="E3648" s="9" t="str">
        <f>IF(DADOS!C3648="","",DADOS!C3648)</f>
        <v/>
      </c>
      <c r="F3648" s="9" t="str">
        <f>IF(DADOS!E3648="","",DADOS!E3648)</f>
        <v/>
      </c>
      <c r="G3648" s="9" t="str">
        <f>IF(DADOS!F3648="","",DADOS!F3648)</f>
        <v/>
      </c>
      <c r="K3648" s="6" t="str">
        <f t="shared" si="285"/>
        <v/>
      </c>
      <c r="L3648" s="7" t="str">
        <f t="shared" si="286"/>
        <v/>
      </c>
      <c r="M3648" s="7" t="str">
        <f t="shared" si="283"/>
        <v/>
      </c>
      <c r="N3648" s="7" t="str">
        <f t="shared" si="287"/>
        <v/>
      </c>
      <c r="O3648" s="8"/>
      <c r="P3648" s="26"/>
      <c r="S3648" s="10" t="str">
        <f t="shared" si="284"/>
        <v/>
      </c>
    </row>
    <row r="3649" spans="5:19" x14ac:dyDescent="0.3">
      <c r="E3649" s="9" t="str">
        <f>IF(DADOS!C3649="","",DADOS!C3649)</f>
        <v/>
      </c>
      <c r="F3649" s="9" t="str">
        <f>IF(DADOS!E3649="","",DADOS!E3649)</f>
        <v/>
      </c>
      <c r="G3649" s="9" t="str">
        <f>IF(DADOS!F3649="","",DADOS!F3649)</f>
        <v/>
      </c>
      <c r="K3649" s="6" t="str">
        <f t="shared" si="285"/>
        <v/>
      </c>
      <c r="L3649" s="7" t="str">
        <f t="shared" si="286"/>
        <v/>
      </c>
      <c r="M3649" s="7" t="str">
        <f t="shared" si="283"/>
        <v/>
      </c>
      <c r="N3649" s="7" t="str">
        <f t="shared" si="287"/>
        <v/>
      </c>
      <c r="O3649" s="8"/>
      <c r="P3649" s="26"/>
      <c r="S3649" s="10" t="str">
        <f t="shared" si="284"/>
        <v/>
      </c>
    </row>
    <row r="3650" spans="5:19" x14ac:dyDescent="0.3">
      <c r="E3650" s="9" t="str">
        <f>IF(DADOS!C3650="","",DADOS!C3650)</f>
        <v/>
      </c>
      <c r="F3650" s="9" t="str">
        <f>IF(DADOS!E3650="","",DADOS!E3650)</f>
        <v/>
      </c>
      <c r="G3650" s="9" t="str">
        <f>IF(DADOS!F3650="","",DADOS!F3650)</f>
        <v/>
      </c>
      <c r="K3650" s="6" t="str">
        <f t="shared" si="285"/>
        <v/>
      </c>
      <c r="L3650" s="7" t="str">
        <f t="shared" si="286"/>
        <v/>
      </c>
      <c r="M3650" s="7" t="str">
        <f t="shared" si="283"/>
        <v/>
      </c>
      <c r="N3650" s="7" t="str">
        <f t="shared" si="287"/>
        <v/>
      </c>
      <c r="O3650" s="8"/>
      <c r="P3650" s="26"/>
      <c r="S3650" s="10" t="str">
        <f t="shared" si="284"/>
        <v/>
      </c>
    </row>
    <row r="3651" spans="5:19" x14ac:dyDescent="0.3">
      <c r="E3651" s="9" t="str">
        <f>IF(DADOS!C3651="","",DADOS!C3651)</f>
        <v/>
      </c>
      <c r="F3651" s="9" t="str">
        <f>IF(DADOS!E3651="","",DADOS!E3651)</f>
        <v/>
      </c>
      <c r="G3651" s="9" t="str">
        <f>IF(DADOS!F3651="","",DADOS!F3651)</f>
        <v/>
      </c>
      <c r="K3651" s="6" t="str">
        <f t="shared" si="285"/>
        <v/>
      </c>
      <c r="L3651" s="7" t="str">
        <f t="shared" si="286"/>
        <v/>
      </c>
      <c r="M3651" s="7" t="str">
        <f t="shared" ref="M3651:M3714" si="288">IF(L3651="","",L3651*G3651)</f>
        <v/>
      </c>
      <c r="N3651" s="7" t="str">
        <f t="shared" si="287"/>
        <v/>
      </c>
      <c r="O3651" s="8"/>
      <c r="P3651" s="26"/>
      <c r="S3651" s="10" t="str">
        <f t="shared" ref="S3651:S3714" si="289">IF(R3651="","",SUMIFS($N$3:$N$10000,$E$3:$E$10000,R3651))</f>
        <v/>
      </c>
    </row>
    <row r="3652" spans="5:19" x14ac:dyDescent="0.3">
      <c r="E3652" s="9" t="str">
        <f>IF(DADOS!C3652="","",DADOS!C3652)</f>
        <v/>
      </c>
      <c r="F3652" s="9" t="str">
        <f>IF(DADOS!E3652="","",DADOS!E3652)</f>
        <v/>
      </c>
      <c r="G3652" s="9" t="str">
        <f>IF(DADOS!F3652="","",DADOS!F3652)</f>
        <v/>
      </c>
      <c r="K3652" s="6" t="str">
        <f t="shared" ref="K3652:K3715" si="290">IF(F3652="","",F3652/PI())</f>
        <v/>
      </c>
      <c r="L3652" s="7" t="str">
        <f t="shared" ref="L3652:L3715" si="291">IF(K3652="","",(PI()*K3652^2)/40000)</f>
        <v/>
      </c>
      <c r="M3652" s="7" t="str">
        <f t="shared" si="288"/>
        <v/>
      </c>
      <c r="N3652" s="7" t="str">
        <f t="shared" ref="N3652:N3715" si="292">IF(M3652="","",M3652*N$1)</f>
        <v/>
      </c>
      <c r="O3652" s="8"/>
      <c r="P3652" s="26"/>
      <c r="S3652" s="10" t="str">
        <f t="shared" si="289"/>
        <v/>
      </c>
    </row>
    <row r="3653" spans="5:19" x14ac:dyDescent="0.3">
      <c r="E3653" s="9" t="str">
        <f>IF(DADOS!C3653="","",DADOS!C3653)</f>
        <v/>
      </c>
      <c r="F3653" s="9" t="str">
        <f>IF(DADOS!E3653="","",DADOS!E3653)</f>
        <v/>
      </c>
      <c r="G3653" s="9" t="str">
        <f>IF(DADOS!F3653="","",DADOS!F3653)</f>
        <v/>
      </c>
      <c r="K3653" s="6" t="str">
        <f t="shared" si="290"/>
        <v/>
      </c>
      <c r="L3653" s="7" t="str">
        <f t="shared" si="291"/>
        <v/>
      </c>
      <c r="M3653" s="7" t="str">
        <f t="shared" si="288"/>
        <v/>
      </c>
      <c r="N3653" s="7" t="str">
        <f t="shared" si="292"/>
        <v/>
      </c>
      <c r="O3653" s="8"/>
      <c r="P3653" s="26"/>
      <c r="S3653" s="10" t="str">
        <f t="shared" si="289"/>
        <v/>
      </c>
    </row>
    <row r="3654" spans="5:19" x14ac:dyDescent="0.3">
      <c r="E3654" s="9" t="str">
        <f>IF(DADOS!C3654="","",DADOS!C3654)</f>
        <v/>
      </c>
      <c r="F3654" s="9" t="str">
        <f>IF(DADOS!E3654="","",DADOS!E3654)</f>
        <v/>
      </c>
      <c r="G3654" s="9" t="str">
        <f>IF(DADOS!F3654="","",DADOS!F3654)</f>
        <v/>
      </c>
      <c r="K3654" s="6" t="str">
        <f t="shared" si="290"/>
        <v/>
      </c>
      <c r="L3654" s="7" t="str">
        <f t="shared" si="291"/>
        <v/>
      </c>
      <c r="M3654" s="7" t="str">
        <f t="shared" si="288"/>
        <v/>
      </c>
      <c r="N3654" s="7" t="str">
        <f t="shared" si="292"/>
        <v/>
      </c>
      <c r="O3654" s="8"/>
      <c r="P3654" s="26"/>
      <c r="S3654" s="10" t="str">
        <f t="shared" si="289"/>
        <v/>
      </c>
    </row>
    <row r="3655" spans="5:19" x14ac:dyDescent="0.3">
      <c r="E3655" s="9" t="str">
        <f>IF(DADOS!C3655="","",DADOS!C3655)</f>
        <v/>
      </c>
      <c r="F3655" s="9" t="str">
        <f>IF(DADOS!E3655="","",DADOS!E3655)</f>
        <v/>
      </c>
      <c r="G3655" s="9" t="str">
        <f>IF(DADOS!F3655="","",DADOS!F3655)</f>
        <v/>
      </c>
      <c r="K3655" s="6" t="str">
        <f t="shared" si="290"/>
        <v/>
      </c>
      <c r="L3655" s="7" t="str">
        <f t="shared" si="291"/>
        <v/>
      </c>
      <c r="M3655" s="7" t="str">
        <f t="shared" si="288"/>
        <v/>
      </c>
      <c r="N3655" s="7" t="str">
        <f t="shared" si="292"/>
        <v/>
      </c>
      <c r="O3655" s="8"/>
      <c r="P3655" s="26"/>
      <c r="S3655" s="10" t="str">
        <f t="shared" si="289"/>
        <v/>
      </c>
    </row>
    <row r="3656" spans="5:19" x14ac:dyDescent="0.3">
      <c r="E3656" s="9" t="str">
        <f>IF(DADOS!C3656="","",DADOS!C3656)</f>
        <v/>
      </c>
      <c r="F3656" s="9" t="str">
        <f>IF(DADOS!E3656="","",DADOS!E3656)</f>
        <v/>
      </c>
      <c r="G3656" s="9" t="str">
        <f>IF(DADOS!F3656="","",DADOS!F3656)</f>
        <v/>
      </c>
      <c r="K3656" s="6" t="str">
        <f t="shared" si="290"/>
        <v/>
      </c>
      <c r="L3656" s="7" t="str">
        <f t="shared" si="291"/>
        <v/>
      </c>
      <c r="M3656" s="7" t="str">
        <f t="shared" si="288"/>
        <v/>
      </c>
      <c r="N3656" s="7" t="str">
        <f t="shared" si="292"/>
        <v/>
      </c>
      <c r="O3656" s="8"/>
      <c r="P3656" s="26"/>
      <c r="S3656" s="10" t="str">
        <f t="shared" si="289"/>
        <v/>
      </c>
    </row>
    <row r="3657" spans="5:19" x14ac:dyDescent="0.3">
      <c r="E3657" s="9" t="str">
        <f>IF(DADOS!C3657="","",DADOS!C3657)</f>
        <v/>
      </c>
      <c r="F3657" s="9" t="str">
        <f>IF(DADOS!E3657="","",DADOS!E3657)</f>
        <v/>
      </c>
      <c r="G3657" s="9" t="str">
        <f>IF(DADOS!F3657="","",DADOS!F3657)</f>
        <v/>
      </c>
      <c r="K3657" s="6" t="str">
        <f t="shared" si="290"/>
        <v/>
      </c>
      <c r="L3657" s="7" t="str">
        <f t="shared" si="291"/>
        <v/>
      </c>
      <c r="M3657" s="7" t="str">
        <f t="shared" si="288"/>
        <v/>
      </c>
      <c r="N3657" s="7" t="str">
        <f t="shared" si="292"/>
        <v/>
      </c>
      <c r="O3657" s="8"/>
      <c r="P3657" s="26"/>
      <c r="S3657" s="10" t="str">
        <f t="shared" si="289"/>
        <v/>
      </c>
    </row>
    <row r="3658" spans="5:19" x14ac:dyDescent="0.3">
      <c r="E3658" s="9" t="str">
        <f>IF(DADOS!C3658="","",DADOS!C3658)</f>
        <v/>
      </c>
      <c r="F3658" s="9" t="str">
        <f>IF(DADOS!E3658="","",DADOS!E3658)</f>
        <v/>
      </c>
      <c r="G3658" s="9" t="str">
        <f>IF(DADOS!F3658="","",DADOS!F3658)</f>
        <v/>
      </c>
      <c r="K3658" s="6" t="str">
        <f t="shared" si="290"/>
        <v/>
      </c>
      <c r="L3658" s="7" t="str">
        <f t="shared" si="291"/>
        <v/>
      </c>
      <c r="M3658" s="7" t="str">
        <f t="shared" si="288"/>
        <v/>
      </c>
      <c r="N3658" s="7" t="str">
        <f t="shared" si="292"/>
        <v/>
      </c>
      <c r="O3658" s="8"/>
      <c r="P3658" s="26"/>
      <c r="S3658" s="10" t="str">
        <f t="shared" si="289"/>
        <v/>
      </c>
    </row>
    <row r="3659" spans="5:19" x14ac:dyDescent="0.3">
      <c r="E3659" s="9" t="str">
        <f>IF(DADOS!C3659="","",DADOS!C3659)</f>
        <v/>
      </c>
      <c r="F3659" s="9" t="str">
        <f>IF(DADOS!E3659="","",DADOS!E3659)</f>
        <v/>
      </c>
      <c r="G3659" s="9" t="str">
        <f>IF(DADOS!F3659="","",DADOS!F3659)</f>
        <v/>
      </c>
      <c r="K3659" s="6" t="str">
        <f t="shared" si="290"/>
        <v/>
      </c>
      <c r="L3659" s="7" t="str">
        <f t="shared" si="291"/>
        <v/>
      </c>
      <c r="M3659" s="7" t="str">
        <f t="shared" si="288"/>
        <v/>
      </c>
      <c r="N3659" s="7" t="str">
        <f t="shared" si="292"/>
        <v/>
      </c>
      <c r="O3659" s="8"/>
      <c r="P3659" s="26"/>
      <c r="S3659" s="10" t="str">
        <f t="shared" si="289"/>
        <v/>
      </c>
    </row>
    <row r="3660" spans="5:19" x14ac:dyDescent="0.3">
      <c r="E3660" s="9" t="str">
        <f>IF(DADOS!C3660="","",DADOS!C3660)</f>
        <v/>
      </c>
      <c r="F3660" s="9" t="str">
        <f>IF(DADOS!E3660="","",DADOS!E3660)</f>
        <v/>
      </c>
      <c r="G3660" s="9" t="str">
        <f>IF(DADOS!F3660="","",DADOS!F3660)</f>
        <v/>
      </c>
      <c r="K3660" s="6" t="str">
        <f t="shared" si="290"/>
        <v/>
      </c>
      <c r="L3660" s="7" t="str">
        <f t="shared" si="291"/>
        <v/>
      </c>
      <c r="M3660" s="7" t="str">
        <f t="shared" si="288"/>
        <v/>
      </c>
      <c r="N3660" s="7" t="str">
        <f t="shared" si="292"/>
        <v/>
      </c>
      <c r="O3660" s="8"/>
      <c r="P3660" s="26"/>
      <c r="S3660" s="10" t="str">
        <f t="shared" si="289"/>
        <v/>
      </c>
    </row>
    <row r="3661" spans="5:19" x14ac:dyDescent="0.3">
      <c r="E3661" s="9" t="str">
        <f>IF(DADOS!C3661="","",DADOS!C3661)</f>
        <v/>
      </c>
      <c r="F3661" s="9" t="str">
        <f>IF(DADOS!E3661="","",DADOS!E3661)</f>
        <v/>
      </c>
      <c r="G3661" s="9" t="str">
        <f>IF(DADOS!F3661="","",DADOS!F3661)</f>
        <v/>
      </c>
      <c r="K3661" s="6" t="str">
        <f t="shared" si="290"/>
        <v/>
      </c>
      <c r="L3661" s="7" t="str">
        <f t="shared" si="291"/>
        <v/>
      </c>
      <c r="M3661" s="7" t="str">
        <f t="shared" si="288"/>
        <v/>
      </c>
      <c r="N3661" s="7" t="str">
        <f t="shared" si="292"/>
        <v/>
      </c>
      <c r="O3661" s="8"/>
      <c r="P3661" s="26"/>
      <c r="S3661" s="10" t="str">
        <f t="shared" si="289"/>
        <v/>
      </c>
    </row>
    <row r="3662" spans="5:19" x14ac:dyDescent="0.3">
      <c r="E3662" s="9" t="str">
        <f>IF(DADOS!C3662="","",DADOS!C3662)</f>
        <v/>
      </c>
      <c r="F3662" s="9" t="str">
        <f>IF(DADOS!E3662="","",DADOS!E3662)</f>
        <v/>
      </c>
      <c r="G3662" s="9" t="str">
        <f>IF(DADOS!F3662="","",DADOS!F3662)</f>
        <v/>
      </c>
      <c r="K3662" s="6" t="str">
        <f t="shared" si="290"/>
        <v/>
      </c>
      <c r="L3662" s="7" t="str">
        <f t="shared" si="291"/>
        <v/>
      </c>
      <c r="M3662" s="7" t="str">
        <f t="shared" si="288"/>
        <v/>
      </c>
      <c r="N3662" s="7" t="str">
        <f t="shared" si="292"/>
        <v/>
      </c>
      <c r="O3662" s="8"/>
      <c r="P3662" s="26"/>
      <c r="S3662" s="10" t="str">
        <f t="shared" si="289"/>
        <v/>
      </c>
    </row>
    <row r="3663" spans="5:19" x14ac:dyDescent="0.3">
      <c r="E3663" s="9" t="str">
        <f>IF(DADOS!C3663="","",DADOS!C3663)</f>
        <v/>
      </c>
      <c r="F3663" s="9" t="str">
        <f>IF(DADOS!E3663="","",DADOS!E3663)</f>
        <v/>
      </c>
      <c r="G3663" s="9" t="str">
        <f>IF(DADOS!F3663="","",DADOS!F3663)</f>
        <v/>
      </c>
      <c r="K3663" s="6" t="str">
        <f t="shared" si="290"/>
        <v/>
      </c>
      <c r="L3663" s="7" t="str">
        <f t="shared" si="291"/>
        <v/>
      </c>
      <c r="M3663" s="7" t="str">
        <f t="shared" si="288"/>
        <v/>
      </c>
      <c r="N3663" s="7" t="str">
        <f t="shared" si="292"/>
        <v/>
      </c>
      <c r="O3663" s="8"/>
      <c r="P3663" s="26"/>
      <c r="S3663" s="10" t="str">
        <f t="shared" si="289"/>
        <v/>
      </c>
    </row>
    <row r="3664" spans="5:19" x14ac:dyDescent="0.3">
      <c r="E3664" s="9" t="str">
        <f>IF(DADOS!C3664="","",DADOS!C3664)</f>
        <v/>
      </c>
      <c r="F3664" s="9" t="str">
        <f>IF(DADOS!E3664="","",DADOS!E3664)</f>
        <v/>
      </c>
      <c r="G3664" s="9" t="str">
        <f>IF(DADOS!F3664="","",DADOS!F3664)</f>
        <v/>
      </c>
      <c r="K3664" s="6" t="str">
        <f t="shared" si="290"/>
        <v/>
      </c>
      <c r="L3664" s="7" t="str">
        <f t="shared" si="291"/>
        <v/>
      </c>
      <c r="M3664" s="7" t="str">
        <f t="shared" si="288"/>
        <v/>
      </c>
      <c r="N3664" s="7" t="str">
        <f t="shared" si="292"/>
        <v/>
      </c>
      <c r="O3664" s="8"/>
      <c r="P3664" s="26"/>
      <c r="S3664" s="10" t="str">
        <f t="shared" si="289"/>
        <v/>
      </c>
    </row>
    <row r="3665" spans="5:19" x14ac:dyDescent="0.3">
      <c r="E3665" s="9" t="str">
        <f>IF(DADOS!C3665="","",DADOS!C3665)</f>
        <v/>
      </c>
      <c r="F3665" s="9" t="str">
        <f>IF(DADOS!E3665="","",DADOS!E3665)</f>
        <v/>
      </c>
      <c r="G3665" s="9" t="str">
        <f>IF(DADOS!F3665="","",DADOS!F3665)</f>
        <v/>
      </c>
      <c r="K3665" s="6" t="str">
        <f t="shared" si="290"/>
        <v/>
      </c>
      <c r="L3665" s="7" t="str">
        <f t="shared" si="291"/>
        <v/>
      </c>
      <c r="M3665" s="7" t="str">
        <f t="shared" si="288"/>
        <v/>
      </c>
      <c r="N3665" s="7" t="str">
        <f t="shared" si="292"/>
        <v/>
      </c>
      <c r="O3665" s="8"/>
      <c r="P3665" s="26"/>
      <c r="S3665" s="10" t="str">
        <f t="shared" si="289"/>
        <v/>
      </c>
    </row>
    <row r="3666" spans="5:19" x14ac:dyDescent="0.3">
      <c r="E3666" s="9" t="str">
        <f>IF(DADOS!C3666="","",DADOS!C3666)</f>
        <v/>
      </c>
      <c r="F3666" s="9" t="str">
        <f>IF(DADOS!E3666="","",DADOS!E3666)</f>
        <v/>
      </c>
      <c r="G3666" s="9" t="str">
        <f>IF(DADOS!F3666="","",DADOS!F3666)</f>
        <v/>
      </c>
      <c r="K3666" s="6" t="str">
        <f t="shared" si="290"/>
        <v/>
      </c>
      <c r="L3666" s="7" t="str">
        <f t="shared" si="291"/>
        <v/>
      </c>
      <c r="M3666" s="7" t="str">
        <f t="shared" si="288"/>
        <v/>
      </c>
      <c r="N3666" s="7" t="str">
        <f t="shared" si="292"/>
        <v/>
      </c>
      <c r="O3666" s="8"/>
      <c r="P3666" s="26"/>
      <c r="S3666" s="10" t="str">
        <f t="shared" si="289"/>
        <v/>
      </c>
    </row>
    <row r="3667" spans="5:19" x14ac:dyDescent="0.3">
      <c r="E3667" s="9" t="str">
        <f>IF(DADOS!C3667="","",DADOS!C3667)</f>
        <v/>
      </c>
      <c r="F3667" s="9" t="str">
        <f>IF(DADOS!E3667="","",DADOS!E3667)</f>
        <v/>
      </c>
      <c r="G3667" s="9" t="str">
        <f>IF(DADOS!F3667="","",DADOS!F3667)</f>
        <v/>
      </c>
      <c r="K3667" s="6" t="str">
        <f t="shared" si="290"/>
        <v/>
      </c>
      <c r="L3667" s="7" t="str">
        <f t="shared" si="291"/>
        <v/>
      </c>
      <c r="M3667" s="7" t="str">
        <f t="shared" si="288"/>
        <v/>
      </c>
      <c r="N3667" s="7" t="str">
        <f t="shared" si="292"/>
        <v/>
      </c>
      <c r="O3667" s="8"/>
      <c r="P3667" s="26"/>
      <c r="S3667" s="10" t="str">
        <f t="shared" si="289"/>
        <v/>
      </c>
    </row>
    <row r="3668" spans="5:19" x14ac:dyDescent="0.3">
      <c r="E3668" s="9" t="str">
        <f>IF(DADOS!C3668="","",DADOS!C3668)</f>
        <v/>
      </c>
      <c r="F3668" s="9" t="str">
        <f>IF(DADOS!E3668="","",DADOS!E3668)</f>
        <v/>
      </c>
      <c r="G3668" s="9" t="str">
        <f>IF(DADOS!F3668="","",DADOS!F3668)</f>
        <v/>
      </c>
      <c r="K3668" s="6" t="str">
        <f t="shared" si="290"/>
        <v/>
      </c>
      <c r="L3668" s="7" t="str">
        <f t="shared" si="291"/>
        <v/>
      </c>
      <c r="M3668" s="7" t="str">
        <f t="shared" si="288"/>
        <v/>
      </c>
      <c r="N3668" s="7" t="str">
        <f t="shared" si="292"/>
        <v/>
      </c>
      <c r="O3668" s="8"/>
      <c r="P3668" s="26"/>
      <c r="S3668" s="10" t="str">
        <f t="shared" si="289"/>
        <v/>
      </c>
    </row>
    <row r="3669" spans="5:19" x14ac:dyDescent="0.3">
      <c r="E3669" s="9" t="str">
        <f>IF(DADOS!C3669="","",DADOS!C3669)</f>
        <v/>
      </c>
      <c r="F3669" s="9" t="str">
        <f>IF(DADOS!E3669="","",DADOS!E3669)</f>
        <v/>
      </c>
      <c r="G3669" s="9" t="str">
        <f>IF(DADOS!F3669="","",DADOS!F3669)</f>
        <v/>
      </c>
      <c r="K3669" s="6" t="str">
        <f t="shared" si="290"/>
        <v/>
      </c>
      <c r="L3669" s="7" t="str">
        <f t="shared" si="291"/>
        <v/>
      </c>
      <c r="M3669" s="7" t="str">
        <f t="shared" si="288"/>
        <v/>
      </c>
      <c r="N3669" s="7" t="str">
        <f t="shared" si="292"/>
        <v/>
      </c>
      <c r="O3669" s="8"/>
      <c r="P3669" s="26"/>
      <c r="S3669" s="10" t="str">
        <f t="shared" si="289"/>
        <v/>
      </c>
    </row>
    <row r="3670" spans="5:19" x14ac:dyDescent="0.3">
      <c r="E3670" s="9" t="str">
        <f>IF(DADOS!C3670="","",DADOS!C3670)</f>
        <v/>
      </c>
      <c r="F3670" s="9" t="str">
        <f>IF(DADOS!E3670="","",DADOS!E3670)</f>
        <v/>
      </c>
      <c r="G3670" s="9" t="str">
        <f>IF(DADOS!F3670="","",DADOS!F3670)</f>
        <v/>
      </c>
      <c r="K3670" s="6" t="str">
        <f t="shared" si="290"/>
        <v/>
      </c>
      <c r="L3670" s="7" t="str">
        <f t="shared" si="291"/>
        <v/>
      </c>
      <c r="M3670" s="7" t="str">
        <f t="shared" si="288"/>
        <v/>
      </c>
      <c r="N3670" s="7" t="str">
        <f t="shared" si="292"/>
        <v/>
      </c>
      <c r="O3670" s="8"/>
      <c r="P3670" s="26"/>
      <c r="S3670" s="10" t="str">
        <f t="shared" si="289"/>
        <v/>
      </c>
    </row>
    <row r="3671" spans="5:19" x14ac:dyDescent="0.3">
      <c r="E3671" s="9" t="str">
        <f>IF(DADOS!C3671="","",DADOS!C3671)</f>
        <v/>
      </c>
      <c r="F3671" s="9" t="str">
        <f>IF(DADOS!E3671="","",DADOS!E3671)</f>
        <v/>
      </c>
      <c r="G3671" s="9" t="str">
        <f>IF(DADOS!F3671="","",DADOS!F3671)</f>
        <v/>
      </c>
      <c r="K3671" s="6" t="str">
        <f t="shared" si="290"/>
        <v/>
      </c>
      <c r="L3671" s="7" t="str">
        <f t="shared" si="291"/>
        <v/>
      </c>
      <c r="M3671" s="7" t="str">
        <f t="shared" si="288"/>
        <v/>
      </c>
      <c r="N3671" s="7" t="str">
        <f t="shared" si="292"/>
        <v/>
      </c>
      <c r="O3671" s="8"/>
      <c r="P3671" s="26"/>
      <c r="S3671" s="10" t="str">
        <f t="shared" si="289"/>
        <v/>
      </c>
    </row>
    <row r="3672" spans="5:19" x14ac:dyDescent="0.3">
      <c r="E3672" s="9" t="str">
        <f>IF(DADOS!C3672="","",DADOS!C3672)</f>
        <v/>
      </c>
      <c r="F3672" s="9" t="str">
        <f>IF(DADOS!E3672="","",DADOS!E3672)</f>
        <v/>
      </c>
      <c r="G3672" s="9" t="str">
        <f>IF(DADOS!F3672="","",DADOS!F3672)</f>
        <v/>
      </c>
      <c r="K3672" s="6" t="str">
        <f t="shared" si="290"/>
        <v/>
      </c>
      <c r="L3672" s="7" t="str">
        <f t="shared" si="291"/>
        <v/>
      </c>
      <c r="M3672" s="7" t="str">
        <f t="shared" si="288"/>
        <v/>
      </c>
      <c r="N3672" s="7" t="str">
        <f t="shared" si="292"/>
        <v/>
      </c>
      <c r="O3672" s="8"/>
      <c r="P3672" s="26"/>
      <c r="S3672" s="10" t="str">
        <f t="shared" si="289"/>
        <v/>
      </c>
    </row>
    <row r="3673" spans="5:19" x14ac:dyDescent="0.3">
      <c r="E3673" s="9" t="str">
        <f>IF(DADOS!C3673="","",DADOS!C3673)</f>
        <v/>
      </c>
      <c r="F3673" s="9" t="str">
        <f>IF(DADOS!E3673="","",DADOS!E3673)</f>
        <v/>
      </c>
      <c r="G3673" s="9" t="str">
        <f>IF(DADOS!F3673="","",DADOS!F3673)</f>
        <v/>
      </c>
      <c r="K3673" s="6" t="str">
        <f t="shared" si="290"/>
        <v/>
      </c>
      <c r="L3673" s="7" t="str">
        <f t="shared" si="291"/>
        <v/>
      </c>
      <c r="M3673" s="7" t="str">
        <f t="shared" si="288"/>
        <v/>
      </c>
      <c r="N3673" s="7" t="str">
        <f t="shared" si="292"/>
        <v/>
      </c>
      <c r="O3673" s="8"/>
      <c r="P3673" s="26"/>
      <c r="S3673" s="10" t="str">
        <f t="shared" si="289"/>
        <v/>
      </c>
    </row>
    <row r="3674" spans="5:19" x14ac:dyDescent="0.3">
      <c r="E3674" s="9" t="str">
        <f>IF(DADOS!C3674="","",DADOS!C3674)</f>
        <v/>
      </c>
      <c r="F3674" s="9" t="str">
        <f>IF(DADOS!E3674="","",DADOS!E3674)</f>
        <v/>
      </c>
      <c r="G3674" s="9" t="str">
        <f>IF(DADOS!F3674="","",DADOS!F3674)</f>
        <v/>
      </c>
      <c r="K3674" s="6" t="str">
        <f t="shared" si="290"/>
        <v/>
      </c>
      <c r="L3674" s="7" t="str">
        <f t="shared" si="291"/>
        <v/>
      </c>
      <c r="M3674" s="7" t="str">
        <f t="shared" si="288"/>
        <v/>
      </c>
      <c r="N3674" s="7" t="str">
        <f t="shared" si="292"/>
        <v/>
      </c>
      <c r="O3674" s="8"/>
      <c r="P3674" s="26"/>
      <c r="S3674" s="10" t="str">
        <f t="shared" si="289"/>
        <v/>
      </c>
    </row>
    <row r="3675" spans="5:19" x14ac:dyDescent="0.3">
      <c r="E3675" s="9" t="str">
        <f>IF(DADOS!C3675="","",DADOS!C3675)</f>
        <v/>
      </c>
      <c r="F3675" s="9" t="str">
        <f>IF(DADOS!E3675="","",DADOS!E3675)</f>
        <v/>
      </c>
      <c r="G3675" s="9" t="str">
        <f>IF(DADOS!F3675="","",DADOS!F3675)</f>
        <v/>
      </c>
      <c r="K3675" s="6" t="str">
        <f t="shared" si="290"/>
        <v/>
      </c>
      <c r="L3675" s="7" t="str">
        <f t="shared" si="291"/>
        <v/>
      </c>
      <c r="M3675" s="7" t="str">
        <f t="shared" si="288"/>
        <v/>
      </c>
      <c r="N3675" s="7" t="str">
        <f t="shared" si="292"/>
        <v/>
      </c>
      <c r="O3675" s="8"/>
      <c r="P3675" s="26"/>
      <c r="S3675" s="10" t="str">
        <f t="shared" si="289"/>
        <v/>
      </c>
    </row>
    <row r="3676" spans="5:19" x14ac:dyDescent="0.3">
      <c r="E3676" s="9" t="str">
        <f>IF(DADOS!C3676="","",DADOS!C3676)</f>
        <v/>
      </c>
      <c r="F3676" s="9" t="str">
        <f>IF(DADOS!E3676="","",DADOS!E3676)</f>
        <v/>
      </c>
      <c r="G3676" s="9" t="str">
        <f>IF(DADOS!F3676="","",DADOS!F3676)</f>
        <v/>
      </c>
      <c r="K3676" s="6" t="str">
        <f t="shared" si="290"/>
        <v/>
      </c>
      <c r="L3676" s="7" t="str">
        <f t="shared" si="291"/>
        <v/>
      </c>
      <c r="M3676" s="7" t="str">
        <f t="shared" si="288"/>
        <v/>
      </c>
      <c r="N3676" s="7" t="str">
        <f t="shared" si="292"/>
        <v/>
      </c>
      <c r="O3676" s="8"/>
      <c r="P3676" s="26"/>
      <c r="S3676" s="10" t="str">
        <f t="shared" si="289"/>
        <v/>
      </c>
    </row>
    <row r="3677" spans="5:19" x14ac:dyDescent="0.3">
      <c r="E3677" s="9" t="str">
        <f>IF(DADOS!C3677="","",DADOS!C3677)</f>
        <v/>
      </c>
      <c r="F3677" s="9" t="str">
        <f>IF(DADOS!E3677="","",DADOS!E3677)</f>
        <v/>
      </c>
      <c r="G3677" s="9" t="str">
        <f>IF(DADOS!F3677="","",DADOS!F3677)</f>
        <v/>
      </c>
      <c r="K3677" s="6" t="str">
        <f t="shared" si="290"/>
        <v/>
      </c>
      <c r="L3677" s="7" t="str">
        <f t="shared" si="291"/>
        <v/>
      </c>
      <c r="M3677" s="7" t="str">
        <f t="shared" si="288"/>
        <v/>
      </c>
      <c r="N3677" s="7" t="str">
        <f t="shared" si="292"/>
        <v/>
      </c>
      <c r="O3677" s="8"/>
      <c r="P3677" s="26"/>
      <c r="S3677" s="10" t="str">
        <f t="shared" si="289"/>
        <v/>
      </c>
    </row>
    <row r="3678" spans="5:19" x14ac:dyDescent="0.3">
      <c r="E3678" s="9" t="str">
        <f>IF(DADOS!C3678="","",DADOS!C3678)</f>
        <v/>
      </c>
      <c r="F3678" s="9" t="str">
        <f>IF(DADOS!E3678="","",DADOS!E3678)</f>
        <v/>
      </c>
      <c r="G3678" s="9" t="str">
        <f>IF(DADOS!F3678="","",DADOS!F3678)</f>
        <v/>
      </c>
      <c r="K3678" s="6" t="str">
        <f t="shared" si="290"/>
        <v/>
      </c>
      <c r="L3678" s="7" t="str">
        <f t="shared" si="291"/>
        <v/>
      </c>
      <c r="M3678" s="7" t="str">
        <f t="shared" si="288"/>
        <v/>
      </c>
      <c r="N3678" s="7" t="str">
        <f t="shared" si="292"/>
        <v/>
      </c>
      <c r="O3678" s="8"/>
      <c r="P3678" s="26"/>
      <c r="S3678" s="10" t="str">
        <f t="shared" si="289"/>
        <v/>
      </c>
    </row>
    <row r="3679" spans="5:19" x14ac:dyDescent="0.3">
      <c r="E3679" s="9" t="str">
        <f>IF(DADOS!C3679="","",DADOS!C3679)</f>
        <v/>
      </c>
      <c r="F3679" s="9" t="str">
        <f>IF(DADOS!E3679="","",DADOS!E3679)</f>
        <v/>
      </c>
      <c r="G3679" s="9" t="str">
        <f>IF(DADOS!F3679="","",DADOS!F3679)</f>
        <v/>
      </c>
      <c r="K3679" s="6" t="str">
        <f t="shared" si="290"/>
        <v/>
      </c>
      <c r="L3679" s="7" t="str">
        <f t="shared" si="291"/>
        <v/>
      </c>
      <c r="M3679" s="7" t="str">
        <f t="shared" si="288"/>
        <v/>
      </c>
      <c r="N3679" s="7" t="str">
        <f t="shared" si="292"/>
        <v/>
      </c>
      <c r="O3679" s="8"/>
      <c r="P3679" s="26"/>
      <c r="S3679" s="10" t="str">
        <f t="shared" si="289"/>
        <v/>
      </c>
    </row>
    <row r="3680" spans="5:19" x14ac:dyDescent="0.3">
      <c r="E3680" s="9" t="str">
        <f>IF(DADOS!C3680="","",DADOS!C3680)</f>
        <v/>
      </c>
      <c r="F3680" s="9" t="str">
        <f>IF(DADOS!E3680="","",DADOS!E3680)</f>
        <v/>
      </c>
      <c r="G3680" s="9" t="str">
        <f>IF(DADOS!F3680="","",DADOS!F3680)</f>
        <v/>
      </c>
      <c r="K3680" s="6" t="str">
        <f t="shared" si="290"/>
        <v/>
      </c>
      <c r="L3680" s="7" t="str">
        <f t="shared" si="291"/>
        <v/>
      </c>
      <c r="M3680" s="7" t="str">
        <f t="shared" si="288"/>
        <v/>
      </c>
      <c r="N3680" s="7" t="str">
        <f t="shared" si="292"/>
        <v/>
      </c>
      <c r="O3680" s="8"/>
      <c r="P3680" s="26"/>
      <c r="S3680" s="10" t="str">
        <f t="shared" si="289"/>
        <v/>
      </c>
    </row>
    <row r="3681" spans="5:19" x14ac:dyDescent="0.3">
      <c r="E3681" s="9" t="str">
        <f>IF(DADOS!C3681="","",DADOS!C3681)</f>
        <v/>
      </c>
      <c r="F3681" s="9" t="str">
        <f>IF(DADOS!E3681="","",DADOS!E3681)</f>
        <v/>
      </c>
      <c r="G3681" s="9" t="str">
        <f>IF(DADOS!F3681="","",DADOS!F3681)</f>
        <v/>
      </c>
      <c r="K3681" s="6" t="str">
        <f t="shared" si="290"/>
        <v/>
      </c>
      <c r="L3681" s="7" t="str">
        <f t="shared" si="291"/>
        <v/>
      </c>
      <c r="M3681" s="7" t="str">
        <f t="shared" si="288"/>
        <v/>
      </c>
      <c r="N3681" s="7" t="str">
        <f t="shared" si="292"/>
        <v/>
      </c>
      <c r="O3681" s="8"/>
      <c r="P3681" s="26"/>
      <c r="S3681" s="10" t="str">
        <f t="shared" si="289"/>
        <v/>
      </c>
    </row>
    <row r="3682" spans="5:19" x14ac:dyDescent="0.3">
      <c r="E3682" s="9" t="str">
        <f>IF(DADOS!C3682="","",DADOS!C3682)</f>
        <v/>
      </c>
      <c r="F3682" s="9" t="str">
        <f>IF(DADOS!E3682="","",DADOS!E3682)</f>
        <v/>
      </c>
      <c r="G3682" s="9" t="str">
        <f>IF(DADOS!F3682="","",DADOS!F3682)</f>
        <v/>
      </c>
      <c r="K3682" s="6" t="str">
        <f t="shared" si="290"/>
        <v/>
      </c>
      <c r="L3682" s="7" t="str">
        <f t="shared" si="291"/>
        <v/>
      </c>
      <c r="M3682" s="7" t="str">
        <f t="shared" si="288"/>
        <v/>
      </c>
      <c r="N3682" s="7" t="str">
        <f t="shared" si="292"/>
        <v/>
      </c>
      <c r="O3682" s="8"/>
      <c r="P3682" s="26"/>
      <c r="S3682" s="10" t="str">
        <f t="shared" si="289"/>
        <v/>
      </c>
    </row>
    <row r="3683" spans="5:19" x14ac:dyDescent="0.3">
      <c r="E3683" s="9" t="str">
        <f>IF(DADOS!C3683="","",DADOS!C3683)</f>
        <v/>
      </c>
      <c r="F3683" s="9" t="str">
        <f>IF(DADOS!E3683="","",DADOS!E3683)</f>
        <v/>
      </c>
      <c r="G3683" s="9" t="str">
        <f>IF(DADOS!F3683="","",DADOS!F3683)</f>
        <v/>
      </c>
      <c r="K3683" s="6" t="str">
        <f t="shared" si="290"/>
        <v/>
      </c>
      <c r="L3683" s="7" t="str">
        <f t="shared" si="291"/>
        <v/>
      </c>
      <c r="M3683" s="7" t="str">
        <f t="shared" si="288"/>
        <v/>
      </c>
      <c r="N3683" s="7" t="str">
        <f t="shared" si="292"/>
        <v/>
      </c>
      <c r="O3683" s="8"/>
      <c r="P3683" s="26"/>
      <c r="S3683" s="10" t="str">
        <f t="shared" si="289"/>
        <v/>
      </c>
    </row>
    <row r="3684" spans="5:19" x14ac:dyDescent="0.3">
      <c r="E3684" s="9" t="str">
        <f>IF(DADOS!C3684="","",DADOS!C3684)</f>
        <v/>
      </c>
      <c r="F3684" s="9" t="str">
        <f>IF(DADOS!E3684="","",DADOS!E3684)</f>
        <v/>
      </c>
      <c r="G3684" s="9" t="str">
        <f>IF(DADOS!F3684="","",DADOS!F3684)</f>
        <v/>
      </c>
      <c r="K3684" s="6" t="str">
        <f t="shared" si="290"/>
        <v/>
      </c>
      <c r="L3684" s="7" t="str">
        <f t="shared" si="291"/>
        <v/>
      </c>
      <c r="M3684" s="7" t="str">
        <f t="shared" si="288"/>
        <v/>
      </c>
      <c r="N3684" s="7" t="str">
        <f t="shared" si="292"/>
        <v/>
      </c>
      <c r="O3684" s="8"/>
      <c r="P3684" s="26"/>
      <c r="S3684" s="10" t="str">
        <f t="shared" si="289"/>
        <v/>
      </c>
    </row>
    <row r="3685" spans="5:19" x14ac:dyDescent="0.3">
      <c r="E3685" s="9" t="str">
        <f>IF(DADOS!C3685="","",DADOS!C3685)</f>
        <v/>
      </c>
      <c r="F3685" s="9" t="str">
        <f>IF(DADOS!E3685="","",DADOS!E3685)</f>
        <v/>
      </c>
      <c r="G3685" s="9" t="str">
        <f>IF(DADOS!F3685="","",DADOS!F3685)</f>
        <v/>
      </c>
      <c r="K3685" s="6" t="str">
        <f t="shared" si="290"/>
        <v/>
      </c>
      <c r="L3685" s="7" t="str">
        <f t="shared" si="291"/>
        <v/>
      </c>
      <c r="M3685" s="7" t="str">
        <f t="shared" si="288"/>
        <v/>
      </c>
      <c r="N3685" s="7" t="str">
        <f t="shared" si="292"/>
        <v/>
      </c>
      <c r="O3685" s="8"/>
      <c r="P3685" s="26"/>
      <c r="S3685" s="10" t="str">
        <f t="shared" si="289"/>
        <v/>
      </c>
    </row>
    <row r="3686" spans="5:19" x14ac:dyDescent="0.3">
      <c r="E3686" s="9" t="str">
        <f>IF(DADOS!C3686="","",DADOS!C3686)</f>
        <v/>
      </c>
      <c r="F3686" s="9" t="str">
        <f>IF(DADOS!E3686="","",DADOS!E3686)</f>
        <v/>
      </c>
      <c r="G3686" s="9" t="str">
        <f>IF(DADOS!F3686="","",DADOS!F3686)</f>
        <v/>
      </c>
      <c r="K3686" s="6" t="str">
        <f t="shared" si="290"/>
        <v/>
      </c>
      <c r="L3686" s="7" t="str">
        <f t="shared" si="291"/>
        <v/>
      </c>
      <c r="M3686" s="7" t="str">
        <f t="shared" si="288"/>
        <v/>
      </c>
      <c r="N3686" s="7" t="str">
        <f t="shared" si="292"/>
        <v/>
      </c>
      <c r="O3686" s="8"/>
      <c r="P3686" s="26"/>
      <c r="S3686" s="10" t="str">
        <f t="shared" si="289"/>
        <v/>
      </c>
    </row>
    <row r="3687" spans="5:19" x14ac:dyDescent="0.3">
      <c r="E3687" s="9" t="str">
        <f>IF(DADOS!C3687="","",DADOS!C3687)</f>
        <v/>
      </c>
      <c r="F3687" s="9" t="str">
        <f>IF(DADOS!E3687="","",DADOS!E3687)</f>
        <v/>
      </c>
      <c r="G3687" s="9" t="str">
        <f>IF(DADOS!F3687="","",DADOS!F3687)</f>
        <v/>
      </c>
      <c r="K3687" s="6" t="str">
        <f t="shared" si="290"/>
        <v/>
      </c>
      <c r="L3687" s="7" t="str">
        <f t="shared" si="291"/>
        <v/>
      </c>
      <c r="M3687" s="7" t="str">
        <f t="shared" si="288"/>
        <v/>
      </c>
      <c r="N3687" s="7" t="str">
        <f t="shared" si="292"/>
        <v/>
      </c>
      <c r="O3687" s="8"/>
      <c r="P3687" s="26"/>
      <c r="S3687" s="10" t="str">
        <f t="shared" si="289"/>
        <v/>
      </c>
    </row>
    <row r="3688" spans="5:19" x14ac:dyDescent="0.3">
      <c r="E3688" s="9" t="str">
        <f>IF(DADOS!C3688="","",DADOS!C3688)</f>
        <v/>
      </c>
      <c r="F3688" s="9" t="str">
        <f>IF(DADOS!E3688="","",DADOS!E3688)</f>
        <v/>
      </c>
      <c r="G3688" s="9" t="str">
        <f>IF(DADOS!F3688="","",DADOS!F3688)</f>
        <v/>
      </c>
      <c r="K3688" s="6" t="str">
        <f t="shared" si="290"/>
        <v/>
      </c>
      <c r="L3688" s="7" t="str">
        <f t="shared" si="291"/>
        <v/>
      </c>
      <c r="M3688" s="7" t="str">
        <f t="shared" si="288"/>
        <v/>
      </c>
      <c r="N3688" s="7" t="str">
        <f t="shared" si="292"/>
        <v/>
      </c>
      <c r="O3688" s="8"/>
      <c r="P3688" s="26"/>
      <c r="S3688" s="10" t="str">
        <f t="shared" si="289"/>
        <v/>
      </c>
    </row>
    <row r="3689" spans="5:19" x14ac:dyDescent="0.3">
      <c r="E3689" s="9" t="str">
        <f>IF(DADOS!C3689="","",DADOS!C3689)</f>
        <v/>
      </c>
      <c r="F3689" s="9" t="str">
        <f>IF(DADOS!E3689="","",DADOS!E3689)</f>
        <v/>
      </c>
      <c r="G3689" s="9" t="str">
        <f>IF(DADOS!F3689="","",DADOS!F3689)</f>
        <v/>
      </c>
      <c r="K3689" s="6" t="str">
        <f t="shared" si="290"/>
        <v/>
      </c>
      <c r="L3689" s="7" t="str">
        <f t="shared" si="291"/>
        <v/>
      </c>
      <c r="M3689" s="7" t="str">
        <f t="shared" si="288"/>
        <v/>
      </c>
      <c r="N3689" s="7" t="str">
        <f t="shared" si="292"/>
        <v/>
      </c>
      <c r="O3689" s="8"/>
      <c r="P3689" s="26"/>
      <c r="S3689" s="10" t="str">
        <f t="shared" si="289"/>
        <v/>
      </c>
    </row>
    <row r="3690" spans="5:19" x14ac:dyDescent="0.3">
      <c r="E3690" s="9" t="str">
        <f>IF(DADOS!C3690="","",DADOS!C3690)</f>
        <v/>
      </c>
      <c r="F3690" s="9" t="str">
        <f>IF(DADOS!E3690="","",DADOS!E3690)</f>
        <v/>
      </c>
      <c r="G3690" s="9" t="str">
        <f>IF(DADOS!F3690="","",DADOS!F3690)</f>
        <v/>
      </c>
      <c r="K3690" s="6" t="str">
        <f t="shared" si="290"/>
        <v/>
      </c>
      <c r="L3690" s="7" t="str">
        <f t="shared" si="291"/>
        <v/>
      </c>
      <c r="M3690" s="7" t="str">
        <f t="shared" si="288"/>
        <v/>
      </c>
      <c r="N3690" s="7" t="str">
        <f t="shared" si="292"/>
        <v/>
      </c>
      <c r="O3690" s="8"/>
      <c r="P3690" s="26"/>
      <c r="S3690" s="10" t="str">
        <f t="shared" si="289"/>
        <v/>
      </c>
    </row>
    <row r="3691" spans="5:19" x14ac:dyDescent="0.3">
      <c r="E3691" s="9" t="str">
        <f>IF(DADOS!C3691="","",DADOS!C3691)</f>
        <v/>
      </c>
      <c r="F3691" s="9" t="str">
        <f>IF(DADOS!E3691="","",DADOS!E3691)</f>
        <v/>
      </c>
      <c r="G3691" s="9" t="str">
        <f>IF(DADOS!F3691="","",DADOS!F3691)</f>
        <v/>
      </c>
      <c r="K3691" s="6" t="str">
        <f t="shared" si="290"/>
        <v/>
      </c>
      <c r="L3691" s="7" t="str">
        <f t="shared" si="291"/>
        <v/>
      </c>
      <c r="M3691" s="7" t="str">
        <f t="shared" si="288"/>
        <v/>
      </c>
      <c r="N3691" s="7" t="str">
        <f t="shared" si="292"/>
        <v/>
      </c>
      <c r="O3691" s="8"/>
      <c r="P3691" s="26"/>
      <c r="S3691" s="10" t="str">
        <f t="shared" si="289"/>
        <v/>
      </c>
    </row>
    <row r="3692" spans="5:19" x14ac:dyDescent="0.3">
      <c r="E3692" s="9" t="str">
        <f>IF(DADOS!C3692="","",DADOS!C3692)</f>
        <v/>
      </c>
      <c r="F3692" s="9" t="str">
        <f>IF(DADOS!E3692="","",DADOS!E3692)</f>
        <v/>
      </c>
      <c r="G3692" s="9" t="str">
        <f>IF(DADOS!F3692="","",DADOS!F3692)</f>
        <v/>
      </c>
      <c r="K3692" s="6" t="str">
        <f t="shared" si="290"/>
        <v/>
      </c>
      <c r="L3692" s="7" t="str">
        <f t="shared" si="291"/>
        <v/>
      </c>
      <c r="M3692" s="7" t="str">
        <f t="shared" si="288"/>
        <v/>
      </c>
      <c r="N3692" s="7" t="str">
        <f t="shared" si="292"/>
        <v/>
      </c>
      <c r="O3692" s="8"/>
      <c r="P3692" s="26"/>
      <c r="S3692" s="10" t="str">
        <f t="shared" si="289"/>
        <v/>
      </c>
    </row>
    <row r="3693" spans="5:19" x14ac:dyDescent="0.3">
      <c r="E3693" s="9" t="str">
        <f>IF(DADOS!C3693="","",DADOS!C3693)</f>
        <v/>
      </c>
      <c r="F3693" s="9" t="str">
        <f>IF(DADOS!E3693="","",DADOS!E3693)</f>
        <v/>
      </c>
      <c r="G3693" s="9" t="str">
        <f>IF(DADOS!F3693="","",DADOS!F3693)</f>
        <v/>
      </c>
      <c r="K3693" s="6" t="str">
        <f t="shared" si="290"/>
        <v/>
      </c>
      <c r="L3693" s="7" t="str">
        <f t="shared" si="291"/>
        <v/>
      </c>
      <c r="M3693" s="7" t="str">
        <f t="shared" si="288"/>
        <v/>
      </c>
      <c r="N3693" s="7" t="str">
        <f t="shared" si="292"/>
        <v/>
      </c>
      <c r="O3693" s="8"/>
      <c r="P3693" s="26"/>
      <c r="S3693" s="10" t="str">
        <f t="shared" si="289"/>
        <v/>
      </c>
    </row>
    <row r="3694" spans="5:19" x14ac:dyDescent="0.3">
      <c r="E3694" s="9" t="str">
        <f>IF(DADOS!C3694="","",DADOS!C3694)</f>
        <v/>
      </c>
      <c r="F3694" s="9" t="str">
        <f>IF(DADOS!E3694="","",DADOS!E3694)</f>
        <v/>
      </c>
      <c r="G3694" s="9" t="str">
        <f>IF(DADOS!F3694="","",DADOS!F3694)</f>
        <v/>
      </c>
      <c r="K3694" s="6" t="str">
        <f t="shared" si="290"/>
        <v/>
      </c>
      <c r="L3694" s="7" t="str">
        <f t="shared" si="291"/>
        <v/>
      </c>
      <c r="M3694" s="7" t="str">
        <f t="shared" si="288"/>
        <v/>
      </c>
      <c r="N3694" s="7" t="str">
        <f t="shared" si="292"/>
        <v/>
      </c>
      <c r="O3694" s="8"/>
      <c r="P3694" s="26"/>
      <c r="S3694" s="10" t="str">
        <f t="shared" si="289"/>
        <v/>
      </c>
    </row>
    <row r="3695" spans="5:19" x14ac:dyDescent="0.3">
      <c r="E3695" s="9" t="str">
        <f>IF(DADOS!C3695="","",DADOS!C3695)</f>
        <v/>
      </c>
      <c r="F3695" s="9" t="str">
        <f>IF(DADOS!E3695="","",DADOS!E3695)</f>
        <v/>
      </c>
      <c r="G3695" s="9" t="str">
        <f>IF(DADOS!F3695="","",DADOS!F3695)</f>
        <v/>
      </c>
      <c r="K3695" s="6" t="str">
        <f t="shared" si="290"/>
        <v/>
      </c>
      <c r="L3695" s="7" t="str">
        <f t="shared" si="291"/>
        <v/>
      </c>
      <c r="M3695" s="7" t="str">
        <f t="shared" si="288"/>
        <v/>
      </c>
      <c r="N3695" s="7" t="str">
        <f t="shared" si="292"/>
        <v/>
      </c>
      <c r="O3695" s="8"/>
      <c r="P3695" s="26"/>
      <c r="S3695" s="10" t="str">
        <f t="shared" si="289"/>
        <v/>
      </c>
    </row>
    <row r="3696" spans="5:19" x14ac:dyDescent="0.3">
      <c r="E3696" s="9" t="str">
        <f>IF(DADOS!C3696="","",DADOS!C3696)</f>
        <v/>
      </c>
      <c r="F3696" s="9" t="str">
        <f>IF(DADOS!E3696="","",DADOS!E3696)</f>
        <v/>
      </c>
      <c r="G3696" s="9" t="str">
        <f>IF(DADOS!F3696="","",DADOS!F3696)</f>
        <v/>
      </c>
      <c r="K3696" s="6" t="str">
        <f t="shared" si="290"/>
        <v/>
      </c>
      <c r="L3696" s="7" t="str">
        <f t="shared" si="291"/>
        <v/>
      </c>
      <c r="M3696" s="7" t="str">
        <f t="shared" si="288"/>
        <v/>
      </c>
      <c r="N3696" s="7" t="str">
        <f t="shared" si="292"/>
        <v/>
      </c>
      <c r="O3696" s="8"/>
      <c r="P3696" s="26"/>
      <c r="S3696" s="10" t="str">
        <f t="shared" si="289"/>
        <v/>
      </c>
    </row>
    <row r="3697" spans="5:19" x14ac:dyDescent="0.3">
      <c r="E3697" s="9" t="str">
        <f>IF(DADOS!C3697="","",DADOS!C3697)</f>
        <v/>
      </c>
      <c r="F3697" s="9" t="str">
        <f>IF(DADOS!E3697="","",DADOS!E3697)</f>
        <v/>
      </c>
      <c r="G3697" s="9" t="str">
        <f>IF(DADOS!F3697="","",DADOS!F3697)</f>
        <v/>
      </c>
      <c r="K3697" s="6" t="str">
        <f t="shared" si="290"/>
        <v/>
      </c>
      <c r="L3697" s="7" t="str">
        <f t="shared" si="291"/>
        <v/>
      </c>
      <c r="M3697" s="7" t="str">
        <f t="shared" si="288"/>
        <v/>
      </c>
      <c r="N3697" s="7" t="str">
        <f t="shared" si="292"/>
        <v/>
      </c>
      <c r="O3697" s="8"/>
      <c r="P3697" s="26"/>
      <c r="S3697" s="10" t="str">
        <f t="shared" si="289"/>
        <v/>
      </c>
    </row>
    <row r="3698" spans="5:19" x14ac:dyDescent="0.3">
      <c r="E3698" s="9" t="str">
        <f>IF(DADOS!C3698="","",DADOS!C3698)</f>
        <v/>
      </c>
      <c r="F3698" s="9" t="str">
        <f>IF(DADOS!E3698="","",DADOS!E3698)</f>
        <v/>
      </c>
      <c r="G3698" s="9" t="str">
        <f>IF(DADOS!F3698="","",DADOS!F3698)</f>
        <v/>
      </c>
      <c r="K3698" s="6" t="str">
        <f t="shared" si="290"/>
        <v/>
      </c>
      <c r="L3698" s="7" t="str">
        <f t="shared" si="291"/>
        <v/>
      </c>
      <c r="M3698" s="7" t="str">
        <f t="shared" si="288"/>
        <v/>
      </c>
      <c r="N3698" s="7" t="str">
        <f t="shared" si="292"/>
        <v/>
      </c>
      <c r="O3698" s="8"/>
      <c r="P3698" s="26"/>
      <c r="S3698" s="10" t="str">
        <f t="shared" si="289"/>
        <v/>
      </c>
    </row>
    <row r="3699" spans="5:19" x14ac:dyDescent="0.3">
      <c r="E3699" s="9" t="str">
        <f>IF(DADOS!C3699="","",DADOS!C3699)</f>
        <v/>
      </c>
      <c r="F3699" s="9" t="str">
        <f>IF(DADOS!E3699="","",DADOS!E3699)</f>
        <v/>
      </c>
      <c r="G3699" s="9" t="str">
        <f>IF(DADOS!F3699="","",DADOS!F3699)</f>
        <v/>
      </c>
      <c r="K3699" s="6" t="str">
        <f t="shared" si="290"/>
        <v/>
      </c>
      <c r="L3699" s="7" t="str">
        <f t="shared" si="291"/>
        <v/>
      </c>
      <c r="M3699" s="7" t="str">
        <f t="shared" si="288"/>
        <v/>
      </c>
      <c r="N3699" s="7" t="str">
        <f t="shared" si="292"/>
        <v/>
      </c>
      <c r="O3699" s="8"/>
      <c r="P3699" s="26"/>
      <c r="S3699" s="10" t="str">
        <f t="shared" si="289"/>
        <v/>
      </c>
    </row>
    <row r="3700" spans="5:19" x14ac:dyDescent="0.3">
      <c r="E3700" s="9" t="str">
        <f>IF(DADOS!C3700="","",DADOS!C3700)</f>
        <v/>
      </c>
      <c r="F3700" s="9" t="str">
        <f>IF(DADOS!E3700="","",DADOS!E3700)</f>
        <v/>
      </c>
      <c r="G3700" s="9" t="str">
        <f>IF(DADOS!F3700="","",DADOS!F3700)</f>
        <v/>
      </c>
      <c r="K3700" s="6" t="str">
        <f t="shared" si="290"/>
        <v/>
      </c>
      <c r="L3700" s="7" t="str">
        <f t="shared" si="291"/>
        <v/>
      </c>
      <c r="M3700" s="7" t="str">
        <f t="shared" si="288"/>
        <v/>
      </c>
      <c r="N3700" s="7" t="str">
        <f t="shared" si="292"/>
        <v/>
      </c>
      <c r="O3700" s="8"/>
      <c r="P3700" s="26"/>
      <c r="S3700" s="10" t="str">
        <f t="shared" si="289"/>
        <v/>
      </c>
    </row>
    <row r="3701" spans="5:19" x14ac:dyDescent="0.3">
      <c r="E3701" s="9" t="str">
        <f>IF(DADOS!C3701="","",DADOS!C3701)</f>
        <v/>
      </c>
      <c r="F3701" s="9" t="str">
        <f>IF(DADOS!E3701="","",DADOS!E3701)</f>
        <v/>
      </c>
      <c r="G3701" s="9" t="str">
        <f>IF(DADOS!F3701="","",DADOS!F3701)</f>
        <v/>
      </c>
      <c r="K3701" s="6" t="str">
        <f t="shared" si="290"/>
        <v/>
      </c>
      <c r="L3701" s="7" t="str">
        <f t="shared" si="291"/>
        <v/>
      </c>
      <c r="M3701" s="7" t="str">
        <f t="shared" si="288"/>
        <v/>
      </c>
      <c r="N3701" s="7" t="str">
        <f t="shared" si="292"/>
        <v/>
      </c>
      <c r="O3701" s="8"/>
      <c r="P3701" s="26"/>
      <c r="S3701" s="10" t="str">
        <f t="shared" si="289"/>
        <v/>
      </c>
    </row>
    <row r="3702" spans="5:19" x14ac:dyDescent="0.3">
      <c r="E3702" s="9" t="str">
        <f>IF(DADOS!C3702="","",DADOS!C3702)</f>
        <v/>
      </c>
      <c r="F3702" s="9" t="str">
        <f>IF(DADOS!E3702="","",DADOS!E3702)</f>
        <v/>
      </c>
      <c r="G3702" s="9" t="str">
        <f>IF(DADOS!F3702="","",DADOS!F3702)</f>
        <v/>
      </c>
      <c r="K3702" s="6" t="str">
        <f t="shared" si="290"/>
        <v/>
      </c>
      <c r="L3702" s="7" t="str">
        <f t="shared" si="291"/>
        <v/>
      </c>
      <c r="M3702" s="7" t="str">
        <f t="shared" si="288"/>
        <v/>
      </c>
      <c r="N3702" s="7" t="str">
        <f t="shared" si="292"/>
        <v/>
      </c>
      <c r="O3702" s="8"/>
      <c r="P3702" s="26"/>
      <c r="S3702" s="10" t="str">
        <f t="shared" si="289"/>
        <v/>
      </c>
    </row>
    <row r="3703" spans="5:19" x14ac:dyDescent="0.3">
      <c r="E3703" s="9" t="str">
        <f>IF(DADOS!C3703="","",DADOS!C3703)</f>
        <v/>
      </c>
      <c r="F3703" s="9" t="str">
        <f>IF(DADOS!E3703="","",DADOS!E3703)</f>
        <v/>
      </c>
      <c r="G3703" s="9" t="str">
        <f>IF(DADOS!F3703="","",DADOS!F3703)</f>
        <v/>
      </c>
      <c r="K3703" s="6" t="str">
        <f t="shared" si="290"/>
        <v/>
      </c>
      <c r="L3703" s="7" t="str">
        <f t="shared" si="291"/>
        <v/>
      </c>
      <c r="M3703" s="7" t="str">
        <f t="shared" si="288"/>
        <v/>
      </c>
      <c r="N3703" s="7" t="str">
        <f t="shared" si="292"/>
        <v/>
      </c>
      <c r="O3703" s="8"/>
      <c r="P3703" s="26"/>
      <c r="S3703" s="10" t="str">
        <f t="shared" si="289"/>
        <v/>
      </c>
    </row>
    <row r="3704" spans="5:19" x14ac:dyDescent="0.3">
      <c r="E3704" s="9" t="str">
        <f>IF(DADOS!C3704="","",DADOS!C3704)</f>
        <v/>
      </c>
      <c r="F3704" s="9" t="str">
        <f>IF(DADOS!E3704="","",DADOS!E3704)</f>
        <v/>
      </c>
      <c r="G3704" s="9" t="str">
        <f>IF(DADOS!F3704="","",DADOS!F3704)</f>
        <v/>
      </c>
      <c r="K3704" s="6" t="str">
        <f t="shared" si="290"/>
        <v/>
      </c>
      <c r="L3704" s="7" t="str">
        <f t="shared" si="291"/>
        <v/>
      </c>
      <c r="M3704" s="7" t="str">
        <f t="shared" si="288"/>
        <v/>
      </c>
      <c r="N3704" s="7" t="str">
        <f t="shared" si="292"/>
        <v/>
      </c>
      <c r="O3704" s="8"/>
      <c r="P3704" s="26"/>
      <c r="S3704" s="10" t="str">
        <f t="shared" si="289"/>
        <v/>
      </c>
    </row>
    <row r="3705" spans="5:19" x14ac:dyDescent="0.3">
      <c r="E3705" s="9" t="str">
        <f>IF(DADOS!C3705="","",DADOS!C3705)</f>
        <v/>
      </c>
      <c r="F3705" s="9" t="str">
        <f>IF(DADOS!E3705="","",DADOS!E3705)</f>
        <v/>
      </c>
      <c r="G3705" s="9" t="str">
        <f>IF(DADOS!F3705="","",DADOS!F3705)</f>
        <v/>
      </c>
      <c r="K3705" s="6" t="str">
        <f t="shared" si="290"/>
        <v/>
      </c>
      <c r="L3705" s="7" t="str">
        <f t="shared" si="291"/>
        <v/>
      </c>
      <c r="M3705" s="7" t="str">
        <f t="shared" si="288"/>
        <v/>
      </c>
      <c r="N3705" s="7" t="str">
        <f t="shared" si="292"/>
        <v/>
      </c>
      <c r="O3705" s="8"/>
      <c r="P3705" s="26"/>
      <c r="S3705" s="10" t="str">
        <f t="shared" si="289"/>
        <v/>
      </c>
    </row>
    <row r="3706" spans="5:19" x14ac:dyDescent="0.3">
      <c r="E3706" s="9" t="str">
        <f>IF(DADOS!C3706="","",DADOS!C3706)</f>
        <v/>
      </c>
      <c r="F3706" s="9" t="str">
        <f>IF(DADOS!E3706="","",DADOS!E3706)</f>
        <v/>
      </c>
      <c r="G3706" s="9" t="str">
        <f>IF(DADOS!F3706="","",DADOS!F3706)</f>
        <v/>
      </c>
      <c r="K3706" s="6" t="str">
        <f t="shared" si="290"/>
        <v/>
      </c>
      <c r="L3706" s="7" t="str">
        <f t="shared" si="291"/>
        <v/>
      </c>
      <c r="M3706" s="7" t="str">
        <f t="shared" si="288"/>
        <v/>
      </c>
      <c r="N3706" s="7" t="str">
        <f t="shared" si="292"/>
        <v/>
      </c>
      <c r="O3706" s="8"/>
      <c r="P3706" s="26"/>
      <c r="S3706" s="10" t="str">
        <f t="shared" si="289"/>
        <v/>
      </c>
    </row>
    <row r="3707" spans="5:19" x14ac:dyDescent="0.3">
      <c r="E3707" s="9" t="str">
        <f>IF(DADOS!C3707="","",DADOS!C3707)</f>
        <v/>
      </c>
      <c r="F3707" s="9" t="str">
        <f>IF(DADOS!E3707="","",DADOS!E3707)</f>
        <v/>
      </c>
      <c r="G3707" s="9" t="str">
        <f>IF(DADOS!F3707="","",DADOS!F3707)</f>
        <v/>
      </c>
      <c r="K3707" s="6" t="str">
        <f t="shared" si="290"/>
        <v/>
      </c>
      <c r="L3707" s="7" t="str">
        <f t="shared" si="291"/>
        <v/>
      </c>
      <c r="M3707" s="7" t="str">
        <f t="shared" si="288"/>
        <v/>
      </c>
      <c r="N3707" s="7" t="str">
        <f t="shared" si="292"/>
        <v/>
      </c>
      <c r="O3707" s="8"/>
      <c r="P3707" s="26"/>
      <c r="S3707" s="10" t="str">
        <f t="shared" si="289"/>
        <v/>
      </c>
    </row>
    <row r="3708" spans="5:19" x14ac:dyDescent="0.3">
      <c r="E3708" s="9" t="str">
        <f>IF(DADOS!C3708="","",DADOS!C3708)</f>
        <v/>
      </c>
      <c r="F3708" s="9" t="str">
        <f>IF(DADOS!E3708="","",DADOS!E3708)</f>
        <v/>
      </c>
      <c r="G3708" s="9" t="str">
        <f>IF(DADOS!F3708="","",DADOS!F3708)</f>
        <v/>
      </c>
      <c r="K3708" s="6" t="str">
        <f t="shared" si="290"/>
        <v/>
      </c>
      <c r="L3708" s="7" t="str">
        <f t="shared" si="291"/>
        <v/>
      </c>
      <c r="M3708" s="7" t="str">
        <f t="shared" si="288"/>
        <v/>
      </c>
      <c r="N3708" s="7" t="str">
        <f t="shared" si="292"/>
        <v/>
      </c>
      <c r="O3708" s="8"/>
      <c r="P3708" s="26"/>
      <c r="S3708" s="10" t="str">
        <f t="shared" si="289"/>
        <v/>
      </c>
    </row>
    <row r="3709" spans="5:19" x14ac:dyDescent="0.3">
      <c r="E3709" s="9" t="str">
        <f>IF(DADOS!C3709="","",DADOS!C3709)</f>
        <v/>
      </c>
      <c r="F3709" s="9" t="str">
        <f>IF(DADOS!E3709="","",DADOS!E3709)</f>
        <v/>
      </c>
      <c r="G3709" s="9" t="str">
        <f>IF(DADOS!F3709="","",DADOS!F3709)</f>
        <v/>
      </c>
      <c r="K3709" s="6" t="str">
        <f t="shared" si="290"/>
        <v/>
      </c>
      <c r="L3709" s="7" t="str">
        <f t="shared" si="291"/>
        <v/>
      </c>
      <c r="M3709" s="7" t="str">
        <f t="shared" si="288"/>
        <v/>
      </c>
      <c r="N3709" s="7" t="str">
        <f t="shared" si="292"/>
        <v/>
      </c>
      <c r="O3709" s="8"/>
      <c r="P3709" s="26"/>
      <c r="S3709" s="10" t="str">
        <f t="shared" si="289"/>
        <v/>
      </c>
    </row>
    <row r="3710" spans="5:19" x14ac:dyDescent="0.3">
      <c r="E3710" s="9" t="str">
        <f>IF(DADOS!C3710="","",DADOS!C3710)</f>
        <v/>
      </c>
      <c r="F3710" s="9" t="str">
        <f>IF(DADOS!E3710="","",DADOS!E3710)</f>
        <v/>
      </c>
      <c r="G3710" s="9" t="str">
        <f>IF(DADOS!F3710="","",DADOS!F3710)</f>
        <v/>
      </c>
      <c r="K3710" s="6" t="str">
        <f t="shared" si="290"/>
        <v/>
      </c>
      <c r="L3710" s="7" t="str">
        <f t="shared" si="291"/>
        <v/>
      </c>
      <c r="M3710" s="7" t="str">
        <f t="shared" si="288"/>
        <v/>
      </c>
      <c r="N3710" s="7" t="str">
        <f t="shared" si="292"/>
        <v/>
      </c>
      <c r="O3710" s="8"/>
      <c r="P3710" s="26"/>
      <c r="S3710" s="10" t="str">
        <f t="shared" si="289"/>
        <v/>
      </c>
    </row>
    <row r="3711" spans="5:19" x14ac:dyDescent="0.3">
      <c r="E3711" s="9" t="str">
        <f>IF(DADOS!C3711="","",DADOS!C3711)</f>
        <v/>
      </c>
      <c r="F3711" s="9" t="str">
        <f>IF(DADOS!E3711="","",DADOS!E3711)</f>
        <v/>
      </c>
      <c r="G3711" s="9" t="str">
        <f>IF(DADOS!F3711="","",DADOS!F3711)</f>
        <v/>
      </c>
      <c r="K3711" s="6" t="str">
        <f t="shared" si="290"/>
        <v/>
      </c>
      <c r="L3711" s="7" t="str">
        <f t="shared" si="291"/>
        <v/>
      </c>
      <c r="M3711" s="7" t="str">
        <f t="shared" si="288"/>
        <v/>
      </c>
      <c r="N3711" s="7" t="str">
        <f t="shared" si="292"/>
        <v/>
      </c>
      <c r="O3711" s="8"/>
      <c r="P3711" s="26"/>
      <c r="S3711" s="10" t="str">
        <f t="shared" si="289"/>
        <v/>
      </c>
    </row>
    <row r="3712" spans="5:19" x14ac:dyDescent="0.3">
      <c r="E3712" s="9" t="str">
        <f>IF(DADOS!C3712="","",DADOS!C3712)</f>
        <v/>
      </c>
      <c r="F3712" s="9" t="str">
        <f>IF(DADOS!E3712="","",DADOS!E3712)</f>
        <v/>
      </c>
      <c r="G3712" s="9" t="str">
        <f>IF(DADOS!F3712="","",DADOS!F3712)</f>
        <v/>
      </c>
      <c r="K3712" s="6" t="str">
        <f t="shared" si="290"/>
        <v/>
      </c>
      <c r="L3712" s="7" t="str">
        <f t="shared" si="291"/>
        <v/>
      </c>
      <c r="M3712" s="7" t="str">
        <f t="shared" si="288"/>
        <v/>
      </c>
      <c r="N3712" s="7" t="str">
        <f t="shared" si="292"/>
        <v/>
      </c>
      <c r="O3712" s="8"/>
      <c r="P3712" s="26"/>
      <c r="S3712" s="10" t="str">
        <f t="shared" si="289"/>
        <v/>
      </c>
    </row>
    <row r="3713" spans="5:19" x14ac:dyDescent="0.3">
      <c r="E3713" s="9" t="str">
        <f>IF(DADOS!C3713="","",DADOS!C3713)</f>
        <v/>
      </c>
      <c r="F3713" s="9" t="str">
        <f>IF(DADOS!E3713="","",DADOS!E3713)</f>
        <v/>
      </c>
      <c r="G3713" s="9" t="str">
        <f>IF(DADOS!F3713="","",DADOS!F3713)</f>
        <v/>
      </c>
      <c r="K3713" s="6" t="str">
        <f t="shared" si="290"/>
        <v/>
      </c>
      <c r="L3713" s="7" t="str">
        <f t="shared" si="291"/>
        <v/>
      </c>
      <c r="M3713" s="7" t="str">
        <f t="shared" si="288"/>
        <v/>
      </c>
      <c r="N3713" s="7" t="str">
        <f t="shared" si="292"/>
        <v/>
      </c>
      <c r="O3713" s="8"/>
      <c r="P3713" s="26"/>
      <c r="S3713" s="10" t="str">
        <f t="shared" si="289"/>
        <v/>
      </c>
    </row>
    <row r="3714" spans="5:19" x14ac:dyDescent="0.3">
      <c r="E3714" s="9" t="str">
        <f>IF(DADOS!C3714="","",DADOS!C3714)</f>
        <v/>
      </c>
      <c r="F3714" s="9" t="str">
        <f>IF(DADOS!E3714="","",DADOS!E3714)</f>
        <v/>
      </c>
      <c r="G3714" s="9" t="str">
        <f>IF(DADOS!F3714="","",DADOS!F3714)</f>
        <v/>
      </c>
      <c r="K3714" s="6" t="str">
        <f t="shared" si="290"/>
        <v/>
      </c>
      <c r="L3714" s="7" t="str">
        <f t="shared" si="291"/>
        <v/>
      </c>
      <c r="M3714" s="7" t="str">
        <f t="shared" si="288"/>
        <v/>
      </c>
      <c r="N3714" s="7" t="str">
        <f t="shared" si="292"/>
        <v/>
      </c>
      <c r="O3714" s="8"/>
      <c r="P3714" s="26"/>
      <c r="S3714" s="10" t="str">
        <f t="shared" si="289"/>
        <v/>
      </c>
    </row>
    <row r="3715" spans="5:19" x14ac:dyDescent="0.3">
      <c r="E3715" s="9" t="str">
        <f>IF(DADOS!C3715="","",DADOS!C3715)</f>
        <v/>
      </c>
      <c r="F3715" s="9" t="str">
        <f>IF(DADOS!E3715="","",DADOS!E3715)</f>
        <v/>
      </c>
      <c r="G3715" s="9" t="str">
        <f>IF(DADOS!F3715="","",DADOS!F3715)</f>
        <v/>
      </c>
      <c r="K3715" s="6" t="str">
        <f t="shared" si="290"/>
        <v/>
      </c>
      <c r="L3715" s="7" t="str">
        <f t="shared" si="291"/>
        <v/>
      </c>
      <c r="M3715" s="7" t="str">
        <f t="shared" ref="M3715:M3778" si="293">IF(L3715="","",L3715*G3715)</f>
        <v/>
      </c>
      <c r="N3715" s="7" t="str">
        <f t="shared" si="292"/>
        <v/>
      </c>
      <c r="O3715" s="8"/>
      <c r="P3715" s="26"/>
      <c r="S3715" s="10" t="str">
        <f t="shared" ref="S3715:S3778" si="294">IF(R3715="","",SUMIFS($N$3:$N$10000,$E$3:$E$10000,R3715))</f>
        <v/>
      </c>
    </row>
    <row r="3716" spans="5:19" x14ac:dyDescent="0.3">
      <c r="E3716" s="9" t="str">
        <f>IF(DADOS!C3716="","",DADOS!C3716)</f>
        <v/>
      </c>
      <c r="F3716" s="9" t="str">
        <f>IF(DADOS!E3716="","",DADOS!E3716)</f>
        <v/>
      </c>
      <c r="G3716" s="9" t="str">
        <f>IF(DADOS!F3716="","",DADOS!F3716)</f>
        <v/>
      </c>
      <c r="K3716" s="6" t="str">
        <f t="shared" ref="K3716:K3779" si="295">IF(F3716="","",F3716/PI())</f>
        <v/>
      </c>
      <c r="L3716" s="7" t="str">
        <f t="shared" ref="L3716:L3779" si="296">IF(K3716="","",(PI()*K3716^2)/40000)</f>
        <v/>
      </c>
      <c r="M3716" s="7" t="str">
        <f t="shared" si="293"/>
        <v/>
      </c>
      <c r="N3716" s="7" t="str">
        <f t="shared" ref="N3716:N3779" si="297">IF(M3716="","",M3716*N$1)</f>
        <v/>
      </c>
      <c r="O3716" s="8"/>
      <c r="P3716" s="26"/>
      <c r="S3716" s="10" t="str">
        <f t="shared" si="294"/>
        <v/>
      </c>
    </row>
    <row r="3717" spans="5:19" x14ac:dyDescent="0.3">
      <c r="E3717" s="9" t="str">
        <f>IF(DADOS!C3717="","",DADOS!C3717)</f>
        <v/>
      </c>
      <c r="F3717" s="9" t="str">
        <f>IF(DADOS!E3717="","",DADOS!E3717)</f>
        <v/>
      </c>
      <c r="G3717" s="9" t="str">
        <f>IF(DADOS!F3717="","",DADOS!F3717)</f>
        <v/>
      </c>
      <c r="K3717" s="6" t="str">
        <f t="shared" si="295"/>
        <v/>
      </c>
      <c r="L3717" s="7" t="str">
        <f t="shared" si="296"/>
        <v/>
      </c>
      <c r="M3717" s="7" t="str">
        <f t="shared" si="293"/>
        <v/>
      </c>
      <c r="N3717" s="7" t="str">
        <f t="shared" si="297"/>
        <v/>
      </c>
      <c r="O3717" s="8"/>
      <c r="P3717" s="26"/>
      <c r="S3717" s="10" t="str">
        <f t="shared" si="294"/>
        <v/>
      </c>
    </row>
    <row r="3718" spans="5:19" x14ac:dyDescent="0.3">
      <c r="E3718" s="9" t="str">
        <f>IF(DADOS!C3718="","",DADOS!C3718)</f>
        <v/>
      </c>
      <c r="F3718" s="9" t="str">
        <f>IF(DADOS!E3718="","",DADOS!E3718)</f>
        <v/>
      </c>
      <c r="G3718" s="9" t="str">
        <f>IF(DADOS!F3718="","",DADOS!F3718)</f>
        <v/>
      </c>
      <c r="K3718" s="6" t="str">
        <f t="shared" si="295"/>
        <v/>
      </c>
      <c r="L3718" s="7" t="str">
        <f t="shared" si="296"/>
        <v/>
      </c>
      <c r="M3718" s="7" t="str">
        <f t="shared" si="293"/>
        <v/>
      </c>
      <c r="N3718" s="7" t="str">
        <f t="shared" si="297"/>
        <v/>
      </c>
      <c r="O3718" s="8"/>
      <c r="P3718" s="26"/>
      <c r="S3718" s="10" t="str">
        <f t="shared" si="294"/>
        <v/>
      </c>
    </row>
    <row r="3719" spans="5:19" x14ac:dyDescent="0.3">
      <c r="E3719" s="9" t="str">
        <f>IF(DADOS!C3719="","",DADOS!C3719)</f>
        <v/>
      </c>
      <c r="F3719" s="9" t="str">
        <f>IF(DADOS!E3719="","",DADOS!E3719)</f>
        <v/>
      </c>
      <c r="G3719" s="9" t="str">
        <f>IF(DADOS!F3719="","",DADOS!F3719)</f>
        <v/>
      </c>
      <c r="K3719" s="6" t="str">
        <f t="shared" si="295"/>
        <v/>
      </c>
      <c r="L3719" s="7" t="str">
        <f t="shared" si="296"/>
        <v/>
      </c>
      <c r="M3719" s="7" t="str">
        <f t="shared" si="293"/>
        <v/>
      </c>
      <c r="N3719" s="7" t="str">
        <f t="shared" si="297"/>
        <v/>
      </c>
      <c r="O3719" s="8"/>
      <c r="P3719" s="26"/>
      <c r="S3719" s="10" t="str">
        <f t="shared" si="294"/>
        <v/>
      </c>
    </row>
    <row r="3720" spans="5:19" x14ac:dyDescent="0.3">
      <c r="E3720" s="9" t="str">
        <f>IF(DADOS!C3720="","",DADOS!C3720)</f>
        <v/>
      </c>
      <c r="F3720" s="9" t="str">
        <f>IF(DADOS!E3720="","",DADOS!E3720)</f>
        <v/>
      </c>
      <c r="G3720" s="9" t="str">
        <f>IF(DADOS!F3720="","",DADOS!F3720)</f>
        <v/>
      </c>
      <c r="K3720" s="6" t="str">
        <f t="shared" si="295"/>
        <v/>
      </c>
      <c r="L3720" s="7" t="str">
        <f t="shared" si="296"/>
        <v/>
      </c>
      <c r="M3720" s="7" t="str">
        <f t="shared" si="293"/>
        <v/>
      </c>
      <c r="N3720" s="7" t="str">
        <f t="shared" si="297"/>
        <v/>
      </c>
      <c r="O3720" s="8"/>
      <c r="P3720" s="26"/>
      <c r="S3720" s="10" t="str">
        <f t="shared" si="294"/>
        <v/>
      </c>
    </row>
    <row r="3721" spans="5:19" x14ac:dyDescent="0.3">
      <c r="E3721" s="9" t="str">
        <f>IF(DADOS!C3721="","",DADOS!C3721)</f>
        <v/>
      </c>
      <c r="F3721" s="9" t="str">
        <f>IF(DADOS!E3721="","",DADOS!E3721)</f>
        <v/>
      </c>
      <c r="G3721" s="9" t="str">
        <f>IF(DADOS!F3721="","",DADOS!F3721)</f>
        <v/>
      </c>
      <c r="K3721" s="6" t="str">
        <f t="shared" si="295"/>
        <v/>
      </c>
      <c r="L3721" s="7" t="str">
        <f t="shared" si="296"/>
        <v/>
      </c>
      <c r="M3721" s="7" t="str">
        <f t="shared" si="293"/>
        <v/>
      </c>
      <c r="N3721" s="7" t="str">
        <f t="shared" si="297"/>
        <v/>
      </c>
      <c r="O3721" s="8"/>
      <c r="P3721" s="26"/>
      <c r="S3721" s="10" t="str">
        <f t="shared" si="294"/>
        <v/>
      </c>
    </row>
    <row r="3722" spans="5:19" x14ac:dyDescent="0.3">
      <c r="E3722" s="9" t="str">
        <f>IF(DADOS!C3722="","",DADOS!C3722)</f>
        <v/>
      </c>
      <c r="F3722" s="9" t="str">
        <f>IF(DADOS!E3722="","",DADOS!E3722)</f>
        <v/>
      </c>
      <c r="G3722" s="9" t="str">
        <f>IF(DADOS!F3722="","",DADOS!F3722)</f>
        <v/>
      </c>
      <c r="K3722" s="6" t="str">
        <f t="shared" si="295"/>
        <v/>
      </c>
      <c r="L3722" s="7" t="str">
        <f t="shared" si="296"/>
        <v/>
      </c>
      <c r="M3722" s="7" t="str">
        <f t="shared" si="293"/>
        <v/>
      </c>
      <c r="N3722" s="7" t="str">
        <f t="shared" si="297"/>
        <v/>
      </c>
      <c r="O3722" s="8"/>
      <c r="P3722" s="26"/>
      <c r="S3722" s="10" t="str">
        <f t="shared" si="294"/>
        <v/>
      </c>
    </row>
    <row r="3723" spans="5:19" x14ac:dyDescent="0.3">
      <c r="E3723" s="9" t="str">
        <f>IF(DADOS!C3723="","",DADOS!C3723)</f>
        <v/>
      </c>
      <c r="F3723" s="9" t="str">
        <f>IF(DADOS!E3723="","",DADOS!E3723)</f>
        <v/>
      </c>
      <c r="G3723" s="9" t="str">
        <f>IF(DADOS!F3723="","",DADOS!F3723)</f>
        <v/>
      </c>
      <c r="K3723" s="6" t="str">
        <f t="shared" si="295"/>
        <v/>
      </c>
      <c r="L3723" s="7" t="str">
        <f t="shared" si="296"/>
        <v/>
      </c>
      <c r="M3723" s="7" t="str">
        <f t="shared" si="293"/>
        <v/>
      </c>
      <c r="N3723" s="7" t="str">
        <f t="shared" si="297"/>
        <v/>
      </c>
      <c r="O3723" s="8"/>
      <c r="P3723" s="26"/>
      <c r="S3723" s="10" t="str">
        <f t="shared" si="294"/>
        <v/>
      </c>
    </row>
    <row r="3724" spans="5:19" x14ac:dyDescent="0.3">
      <c r="E3724" s="9" t="str">
        <f>IF(DADOS!C3724="","",DADOS!C3724)</f>
        <v/>
      </c>
      <c r="F3724" s="9" t="str">
        <f>IF(DADOS!E3724="","",DADOS!E3724)</f>
        <v/>
      </c>
      <c r="G3724" s="9" t="str">
        <f>IF(DADOS!F3724="","",DADOS!F3724)</f>
        <v/>
      </c>
      <c r="K3724" s="6" t="str">
        <f t="shared" si="295"/>
        <v/>
      </c>
      <c r="L3724" s="7" t="str">
        <f t="shared" si="296"/>
        <v/>
      </c>
      <c r="M3724" s="7" t="str">
        <f t="shared" si="293"/>
        <v/>
      </c>
      <c r="N3724" s="7" t="str">
        <f t="shared" si="297"/>
        <v/>
      </c>
      <c r="O3724" s="8"/>
      <c r="P3724" s="26"/>
      <c r="S3724" s="10" t="str">
        <f t="shared" si="294"/>
        <v/>
      </c>
    </row>
    <row r="3725" spans="5:19" x14ac:dyDescent="0.3">
      <c r="E3725" s="9" t="str">
        <f>IF(DADOS!C3725="","",DADOS!C3725)</f>
        <v/>
      </c>
      <c r="F3725" s="9" t="str">
        <f>IF(DADOS!E3725="","",DADOS!E3725)</f>
        <v/>
      </c>
      <c r="G3725" s="9" t="str">
        <f>IF(DADOS!F3725="","",DADOS!F3725)</f>
        <v/>
      </c>
      <c r="K3725" s="6" t="str">
        <f t="shared" si="295"/>
        <v/>
      </c>
      <c r="L3725" s="7" t="str">
        <f t="shared" si="296"/>
        <v/>
      </c>
      <c r="M3725" s="7" t="str">
        <f t="shared" si="293"/>
        <v/>
      </c>
      <c r="N3725" s="7" t="str">
        <f t="shared" si="297"/>
        <v/>
      </c>
      <c r="O3725" s="8"/>
      <c r="P3725" s="26"/>
      <c r="S3725" s="10" t="str">
        <f t="shared" si="294"/>
        <v/>
      </c>
    </row>
    <row r="3726" spans="5:19" x14ac:dyDescent="0.3">
      <c r="E3726" s="9" t="str">
        <f>IF(DADOS!C3726="","",DADOS!C3726)</f>
        <v/>
      </c>
      <c r="F3726" s="9" t="str">
        <f>IF(DADOS!E3726="","",DADOS!E3726)</f>
        <v/>
      </c>
      <c r="G3726" s="9" t="str">
        <f>IF(DADOS!F3726="","",DADOS!F3726)</f>
        <v/>
      </c>
      <c r="K3726" s="6" t="str">
        <f t="shared" si="295"/>
        <v/>
      </c>
      <c r="L3726" s="7" t="str">
        <f t="shared" si="296"/>
        <v/>
      </c>
      <c r="M3726" s="7" t="str">
        <f t="shared" si="293"/>
        <v/>
      </c>
      <c r="N3726" s="7" t="str">
        <f t="shared" si="297"/>
        <v/>
      </c>
      <c r="O3726" s="8"/>
      <c r="P3726" s="26"/>
      <c r="S3726" s="10" t="str">
        <f t="shared" si="294"/>
        <v/>
      </c>
    </row>
    <row r="3727" spans="5:19" x14ac:dyDescent="0.3">
      <c r="E3727" s="9" t="str">
        <f>IF(DADOS!C3727="","",DADOS!C3727)</f>
        <v/>
      </c>
      <c r="F3727" s="9" t="str">
        <f>IF(DADOS!E3727="","",DADOS!E3727)</f>
        <v/>
      </c>
      <c r="G3727" s="9" t="str">
        <f>IF(DADOS!F3727="","",DADOS!F3727)</f>
        <v/>
      </c>
      <c r="K3727" s="6" t="str">
        <f t="shared" si="295"/>
        <v/>
      </c>
      <c r="L3727" s="7" t="str">
        <f t="shared" si="296"/>
        <v/>
      </c>
      <c r="M3727" s="7" t="str">
        <f t="shared" si="293"/>
        <v/>
      </c>
      <c r="N3727" s="7" t="str">
        <f t="shared" si="297"/>
        <v/>
      </c>
      <c r="O3727" s="8"/>
      <c r="P3727" s="26"/>
      <c r="S3727" s="10" t="str">
        <f t="shared" si="294"/>
        <v/>
      </c>
    </row>
    <row r="3728" spans="5:19" x14ac:dyDescent="0.3">
      <c r="E3728" s="9" t="str">
        <f>IF(DADOS!C3728="","",DADOS!C3728)</f>
        <v/>
      </c>
      <c r="F3728" s="9" t="str">
        <f>IF(DADOS!E3728="","",DADOS!E3728)</f>
        <v/>
      </c>
      <c r="G3728" s="9" t="str">
        <f>IF(DADOS!F3728="","",DADOS!F3728)</f>
        <v/>
      </c>
      <c r="K3728" s="6" t="str">
        <f t="shared" si="295"/>
        <v/>
      </c>
      <c r="L3728" s="7" t="str">
        <f t="shared" si="296"/>
        <v/>
      </c>
      <c r="M3728" s="7" t="str">
        <f t="shared" si="293"/>
        <v/>
      </c>
      <c r="N3728" s="7" t="str">
        <f t="shared" si="297"/>
        <v/>
      </c>
      <c r="O3728" s="8"/>
      <c r="P3728" s="26"/>
      <c r="S3728" s="10" t="str">
        <f t="shared" si="294"/>
        <v/>
      </c>
    </row>
    <row r="3729" spans="5:19" x14ac:dyDescent="0.3">
      <c r="E3729" s="9" t="str">
        <f>IF(DADOS!C3729="","",DADOS!C3729)</f>
        <v/>
      </c>
      <c r="F3729" s="9" t="str">
        <f>IF(DADOS!E3729="","",DADOS!E3729)</f>
        <v/>
      </c>
      <c r="G3729" s="9" t="str">
        <f>IF(DADOS!F3729="","",DADOS!F3729)</f>
        <v/>
      </c>
      <c r="K3729" s="6" t="str">
        <f t="shared" si="295"/>
        <v/>
      </c>
      <c r="L3729" s="7" t="str">
        <f t="shared" si="296"/>
        <v/>
      </c>
      <c r="M3729" s="7" t="str">
        <f t="shared" si="293"/>
        <v/>
      </c>
      <c r="N3729" s="7" t="str">
        <f t="shared" si="297"/>
        <v/>
      </c>
      <c r="O3729" s="8"/>
      <c r="P3729" s="26"/>
      <c r="S3729" s="10" t="str">
        <f t="shared" si="294"/>
        <v/>
      </c>
    </row>
    <row r="3730" spans="5:19" x14ac:dyDescent="0.3">
      <c r="E3730" s="9" t="str">
        <f>IF(DADOS!C3730="","",DADOS!C3730)</f>
        <v/>
      </c>
      <c r="F3730" s="9" t="str">
        <f>IF(DADOS!E3730="","",DADOS!E3730)</f>
        <v/>
      </c>
      <c r="G3730" s="9" t="str">
        <f>IF(DADOS!F3730="","",DADOS!F3730)</f>
        <v/>
      </c>
      <c r="K3730" s="6" t="str">
        <f t="shared" si="295"/>
        <v/>
      </c>
      <c r="L3730" s="7" t="str">
        <f t="shared" si="296"/>
        <v/>
      </c>
      <c r="M3730" s="7" t="str">
        <f t="shared" si="293"/>
        <v/>
      </c>
      <c r="N3730" s="7" t="str">
        <f t="shared" si="297"/>
        <v/>
      </c>
      <c r="O3730" s="8"/>
      <c r="P3730" s="26"/>
      <c r="S3730" s="10" t="str">
        <f t="shared" si="294"/>
        <v/>
      </c>
    </row>
    <row r="3731" spans="5:19" x14ac:dyDescent="0.3">
      <c r="E3731" s="9" t="str">
        <f>IF(DADOS!C3731="","",DADOS!C3731)</f>
        <v/>
      </c>
      <c r="F3731" s="9" t="str">
        <f>IF(DADOS!E3731="","",DADOS!E3731)</f>
        <v/>
      </c>
      <c r="G3731" s="9" t="str">
        <f>IF(DADOS!F3731="","",DADOS!F3731)</f>
        <v/>
      </c>
      <c r="K3731" s="6" t="str">
        <f t="shared" si="295"/>
        <v/>
      </c>
      <c r="L3731" s="7" t="str">
        <f t="shared" si="296"/>
        <v/>
      </c>
      <c r="M3731" s="7" t="str">
        <f t="shared" si="293"/>
        <v/>
      </c>
      <c r="N3731" s="7" t="str">
        <f t="shared" si="297"/>
        <v/>
      </c>
      <c r="O3731" s="8"/>
      <c r="P3731" s="26"/>
      <c r="S3731" s="10" t="str">
        <f t="shared" si="294"/>
        <v/>
      </c>
    </row>
    <row r="3732" spans="5:19" x14ac:dyDescent="0.3">
      <c r="E3732" s="9" t="str">
        <f>IF(DADOS!C3732="","",DADOS!C3732)</f>
        <v/>
      </c>
      <c r="F3732" s="9" t="str">
        <f>IF(DADOS!E3732="","",DADOS!E3732)</f>
        <v/>
      </c>
      <c r="G3732" s="9" t="str">
        <f>IF(DADOS!F3732="","",DADOS!F3732)</f>
        <v/>
      </c>
      <c r="K3732" s="6" t="str">
        <f t="shared" si="295"/>
        <v/>
      </c>
      <c r="L3732" s="7" t="str">
        <f t="shared" si="296"/>
        <v/>
      </c>
      <c r="M3732" s="7" t="str">
        <f t="shared" si="293"/>
        <v/>
      </c>
      <c r="N3732" s="7" t="str">
        <f t="shared" si="297"/>
        <v/>
      </c>
      <c r="O3732" s="8"/>
      <c r="P3732" s="26"/>
      <c r="S3732" s="10" t="str">
        <f t="shared" si="294"/>
        <v/>
      </c>
    </row>
    <row r="3733" spans="5:19" x14ac:dyDescent="0.3">
      <c r="E3733" s="9" t="str">
        <f>IF(DADOS!C3733="","",DADOS!C3733)</f>
        <v/>
      </c>
      <c r="F3733" s="9" t="str">
        <f>IF(DADOS!E3733="","",DADOS!E3733)</f>
        <v/>
      </c>
      <c r="G3733" s="9" t="str">
        <f>IF(DADOS!F3733="","",DADOS!F3733)</f>
        <v/>
      </c>
      <c r="K3733" s="6" t="str">
        <f t="shared" si="295"/>
        <v/>
      </c>
      <c r="L3733" s="7" t="str">
        <f t="shared" si="296"/>
        <v/>
      </c>
      <c r="M3733" s="7" t="str">
        <f t="shared" si="293"/>
        <v/>
      </c>
      <c r="N3733" s="7" t="str">
        <f t="shared" si="297"/>
        <v/>
      </c>
      <c r="O3733" s="8"/>
      <c r="P3733" s="26"/>
      <c r="S3733" s="10" t="str">
        <f t="shared" si="294"/>
        <v/>
      </c>
    </row>
    <row r="3734" spans="5:19" x14ac:dyDescent="0.3">
      <c r="E3734" s="9" t="str">
        <f>IF(DADOS!C3734="","",DADOS!C3734)</f>
        <v/>
      </c>
      <c r="F3734" s="9" t="str">
        <f>IF(DADOS!E3734="","",DADOS!E3734)</f>
        <v/>
      </c>
      <c r="G3734" s="9" t="str">
        <f>IF(DADOS!F3734="","",DADOS!F3734)</f>
        <v/>
      </c>
      <c r="K3734" s="6" t="str">
        <f t="shared" si="295"/>
        <v/>
      </c>
      <c r="L3734" s="7" t="str">
        <f t="shared" si="296"/>
        <v/>
      </c>
      <c r="M3734" s="7" t="str">
        <f t="shared" si="293"/>
        <v/>
      </c>
      <c r="N3734" s="7" t="str">
        <f t="shared" si="297"/>
        <v/>
      </c>
      <c r="O3734" s="8"/>
      <c r="P3734" s="26"/>
      <c r="S3734" s="10" t="str">
        <f t="shared" si="294"/>
        <v/>
      </c>
    </row>
    <row r="3735" spans="5:19" x14ac:dyDescent="0.3">
      <c r="E3735" s="9" t="str">
        <f>IF(DADOS!C3735="","",DADOS!C3735)</f>
        <v/>
      </c>
      <c r="F3735" s="9" t="str">
        <f>IF(DADOS!E3735="","",DADOS!E3735)</f>
        <v/>
      </c>
      <c r="G3735" s="9" t="str">
        <f>IF(DADOS!F3735="","",DADOS!F3735)</f>
        <v/>
      </c>
      <c r="K3735" s="6" t="str">
        <f t="shared" si="295"/>
        <v/>
      </c>
      <c r="L3735" s="7" t="str">
        <f t="shared" si="296"/>
        <v/>
      </c>
      <c r="M3735" s="7" t="str">
        <f t="shared" si="293"/>
        <v/>
      </c>
      <c r="N3735" s="7" t="str">
        <f t="shared" si="297"/>
        <v/>
      </c>
      <c r="O3735" s="8"/>
      <c r="P3735" s="26"/>
      <c r="S3735" s="10" t="str">
        <f t="shared" si="294"/>
        <v/>
      </c>
    </row>
    <row r="3736" spans="5:19" x14ac:dyDescent="0.3">
      <c r="E3736" s="9" t="str">
        <f>IF(DADOS!C3736="","",DADOS!C3736)</f>
        <v/>
      </c>
      <c r="F3736" s="9" t="str">
        <f>IF(DADOS!E3736="","",DADOS!E3736)</f>
        <v/>
      </c>
      <c r="G3736" s="9" t="str">
        <f>IF(DADOS!F3736="","",DADOS!F3736)</f>
        <v/>
      </c>
      <c r="K3736" s="6" t="str">
        <f t="shared" si="295"/>
        <v/>
      </c>
      <c r="L3736" s="7" t="str">
        <f t="shared" si="296"/>
        <v/>
      </c>
      <c r="M3736" s="7" t="str">
        <f t="shared" si="293"/>
        <v/>
      </c>
      <c r="N3736" s="7" t="str">
        <f t="shared" si="297"/>
        <v/>
      </c>
      <c r="O3736" s="8"/>
      <c r="P3736" s="26"/>
      <c r="S3736" s="10" t="str">
        <f t="shared" si="294"/>
        <v/>
      </c>
    </row>
    <row r="3737" spans="5:19" x14ac:dyDescent="0.3">
      <c r="E3737" s="9" t="str">
        <f>IF(DADOS!C3737="","",DADOS!C3737)</f>
        <v/>
      </c>
      <c r="F3737" s="9" t="str">
        <f>IF(DADOS!E3737="","",DADOS!E3737)</f>
        <v/>
      </c>
      <c r="G3737" s="9" t="str">
        <f>IF(DADOS!F3737="","",DADOS!F3737)</f>
        <v/>
      </c>
      <c r="K3737" s="6" t="str">
        <f t="shared" si="295"/>
        <v/>
      </c>
      <c r="L3737" s="7" t="str">
        <f t="shared" si="296"/>
        <v/>
      </c>
      <c r="M3737" s="7" t="str">
        <f t="shared" si="293"/>
        <v/>
      </c>
      <c r="N3737" s="7" t="str">
        <f t="shared" si="297"/>
        <v/>
      </c>
      <c r="O3737" s="8"/>
      <c r="P3737" s="26"/>
      <c r="S3737" s="10" t="str">
        <f t="shared" si="294"/>
        <v/>
      </c>
    </row>
    <row r="3738" spans="5:19" x14ac:dyDescent="0.3">
      <c r="E3738" s="9" t="str">
        <f>IF(DADOS!C3738="","",DADOS!C3738)</f>
        <v/>
      </c>
      <c r="F3738" s="9" t="str">
        <f>IF(DADOS!E3738="","",DADOS!E3738)</f>
        <v/>
      </c>
      <c r="G3738" s="9" t="str">
        <f>IF(DADOS!F3738="","",DADOS!F3738)</f>
        <v/>
      </c>
      <c r="K3738" s="6" t="str">
        <f t="shared" si="295"/>
        <v/>
      </c>
      <c r="L3738" s="7" t="str">
        <f t="shared" si="296"/>
        <v/>
      </c>
      <c r="M3738" s="7" t="str">
        <f t="shared" si="293"/>
        <v/>
      </c>
      <c r="N3738" s="7" t="str">
        <f t="shared" si="297"/>
        <v/>
      </c>
      <c r="O3738" s="8"/>
      <c r="P3738" s="26"/>
      <c r="S3738" s="10" t="str">
        <f t="shared" si="294"/>
        <v/>
      </c>
    </row>
    <row r="3739" spans="5:19" x14ac:dyDescent="0.3">
      <c r="E3739" s="9" t="str">
        <f>IF(DADOS!C3739="","",DADOS!C3739)</f>
        <v/>
      </c>
      <c r="F3739" s="9" t="str">
        <f>IF(DADOS!E3739="","",DADOS!E3739)</f>
        <v/>
      </c>
      <c r="G3739" s="9" t="str">
        <f>IF(DADOS!F3739="","",DADOS!F3739)</f>
        <v/>
      </c>
      <c r="K3739" s="6" t="str">
        <f t="shared" si="295"/>
        <v/>
      </c>
      <c r="L3739" s="7" t="str">
        <f t="shared" si="296"/>
        <v/>
      </c>
      <c r="M3739" s="7" t="str">
        <f t="shared" si="293"/>
        <v/>
      </c>
      <c r="N3739" s="7" t="str">
        <f t="shared" si="297"/>
        <v/>
      </c>
      <c r="O3739" s="8"/>
      <c r="P3739" s="26"/>
      <c r="S3739" s="10" t="str">
        <f t="shared" si="294"/>
        <v/>
      </c>
    </row>
    <row r="3740" spans="5:19" x14ac:dyDescent="0.3">
      <c r="E3740" s="9" t="str">
        <f>IF(DADOS!C3740="","",DADOS!C3740)</f>
        <v/>
      </c>
      <c r="F3740" s="9" t="str">
        <f>IF(DADOS!E3740="","",DADOS!E3740)</f>
        <v/>
      </c>
      <c r="G3740" s="9" t="str">
        <f>IF(DADOS!F3740="","",DADOS!F3740)</f>
        <v/>
      </c>
      <c r="K3740" s="6" t="str">
        <f t="shared" si="295"/>
        <v/>
      </c>
      <c r="L3740" s="7" t="str">
        <f t="shared" si="296"/>
        <v/>
      </c>
      <c r="M3740" s="7" t="str">
        <f t="shared" si="293"/>
        <v/>
      </c>
      <c r="N3740" s="7" t="str">
        <f t="shared" si="297"/>
        <v/>
      </c>
      <c r="O3740" s="8"/>
      <c r="P3740" s="26"/>
      <c r="S3740" s="10" t="str">
        <f t="shared" si="294"/>
        <v/>
      </c>
    </row>
    <row r="3741" spans="5:19" x14ac:dyDescent="0.3">
      <c r="E3741" s="9" t="str">
        <f>IF(DADOS!C3741="","",DADOS!C3741)</f>
        <v/>
      </c>
      <c r="F3741" s="9" t="str">
        <f>IF(DADOS!E3741="","",DADOS!E3741)</f>
        <v/>
      </c>
      <c r="G3741" s="9" t="str">
        <f>IF(DADOS!F3741="","",DADOS!F3741)</f>
        <v/>
      </c>
      <c r="K3741" s="6" t="str">
        <f t="shared" si="295"/>
        <v/>
      </c>
      <c r="L3741" s="7" t="str">
        <f t="shared" si="296"/>
        <v/>
      </c>
      <c r="M3741" s="7" t="str">
        <f t="shared" si="293"/>
        <v/>
      </c>
      <c r="N3741" s="7" t="str">
        <f t="shared" si="297"/>
        <v/>
      </c>
      <c r="O3741" s="8"/>
      <c r="P3741" s="26"/>
      <c r="S3741" s="10" t="str">
        <f t="shared" si="294"/>
        <v/>
      </c>
    </row>
    <row r="3742" spans="5:19" x14ac:dyDescent="0.3">
      <c r="E3742" s="9" t="str">
        <f>IF(DADOS!C3742="","",DADOS!C3742)</f>
        <v/>
      </c>
      <c r="F3742" s="9" t="str">
        <f>IF(DADOS!E3742="","",DADOS!E3742)</f>
        <v/>
      </c>
      <c r="G3742" s="9" t="str">
        <f>IF(DADOS!F3742="","",DADOS!F3742)</f>
        <v/>
      </c>
      <c r="K3742" s="6" t="str">
        <f t="shared" si="295"/>
        <v/>
      </c>
      <c r="L3742" s="7" t="str">
        <f t="shared" si="296"/>
        <v/>
      </c>
      <c r="M3742" s="7" t="str">
        <f t="shared" si="293"/>
        <v/>
      </c>
      <c r="N3742" s="7" t="str">
        <f t="shared" si="297"/>
        <v/>
      </c>
      <c r="O3742" s="8"/>
      <c r="P3742" s="26"/>
      <c r="S3742" s="10" t="str">
        <f t="shared" si="294"/>
        <v/>
      </c>
    </row>
    <row r="3743" spans="5:19" x14ac:dyDescent="0.3">
      <c r="E3743" s="9" t="str">
        <f>IF(DADOS!C3743="","",DADOS!C3743)</f>
        <v/>
      </c>
      <c r="F3743" s="9" t="str">
        <f>IF(DADOS!E3743="","",DADOS!E3743)</f>
        <v/>
      </c>
      <c r="G3743" s="9" t="str">
        <f>IF(DADOS!F3743="","",DADOS!F3743)</f>
        <v/>
      </c>
      <c r="K3743" s="6" t="str">
        <f t="shared" si="295"/>
        <v/>
      </c>
      <c r="L3743" s="7" t="str">
        <f t="shared" si="296"/>
        <v/>
      </c>
      <c r="M3743" s="7" t="str">
        <f t="shared" si="293"/>
        <v/>
      </c>
      <c r="N3743" s="7" t="str">
        <f t="shared" si="297"/>
        <v/>
      </c>
      <c r="O3743" s="8"/>
      <c r="P3743" s="26"/>
      <c r="S3743" s="10" t="str">
        <f t="shared" si="294"/>
        <v/>
      </c>
    </row>
    <row r="3744" spans="5:19" x14ac:dyDescent="0.3">
      <c r="E3744" s="9" t="str">
        <f>IF(DADOS!C3744="","",DADOS!C3744)</f>
        <v/>
      </c>
      <c r="F3744" s="9" t="str">
        <f>IF(DADOS!E3744="","",DADOS!E3744)</f>
        <v/>
      </c>
      <c r="G3744" s="9" t="str">
        <f>IF(DADOS!F3744="","",DADOS!F3744)</f>
        <v/>
      </c>
      <c r="K3744" s="6" t="str">
        <f t="shared" si="295"/>
        <v/>
      </c>
      <c r="L3744" s="7" t="str">
        <f t="shared" si="296"/>
        <v/>
      </c>
      <c r="M3744" s="7" t="str">
        <f t="shared" si="293"/>
        <v/>
      </c>
      <c r="N3744" s="7" t="str">
        <f t="shared" si="297"/>
        <v/>
      </c>
      <c r="O3744" s="8"/>
      <c r="P3744" s="26"/>
      <c r="S3744" s="10" t="str">
        <f t="shared" si="294"/>
        <v/>
      </c>
    </row>
    <row r="3745" spans="5:19" x14ac:dyDescent="0.3">
      <c r="E3745" s="9" t="str">
        <f>IF(DADOS!C3745="","",DADOS!C3745)</f>
        <v/>
      </c>
      <c r="F3745" s="9" t="str">
        <f>IF(DADOS!E3745="","",DADOS!E3745)</f>
        <v/>
      </c>
      <c r="G3745" s="9" t="str">
        <f>IF(DADOS!F3745="","",DADOS!F3745)</f>
        <v/>
      </c>
      <c r="K3745" s="6" t="str">
        <f t="shared" si="295"/>
        <v/>
      </c>
      <c r="L3745" s="7" t="str">
        <f t="shared" si="296"/>
        <v/>
      </c>
      <c r="M3745" s="7" t="str">
        <f t="shared" si="293"/>
        <v/>
      </c>
      <c r="N3745" s="7" t="str">
        <f t="shared" si="297"/>
        <v/>
      </c>
      <c r="O3745" s="8"/>
      <c r="P3745" s="26"/>
      <c r="S3745" s="10" t="str">
        <f t="shared" si="294"/>
        <v/>
      </c>
    </row>
    <row r="3746" spans="5:19" x14ac:dyDescent="0.3">
      <c r="E3746" s="9" t="str">
        <f>IF(DADOS!C3746="","",DADOS!C3746)</f>
        <v/>
      </c>
      <c r="F3746" s="9" t="str">
        <f>IF(DADOS!E3746="","",DADOS!E3746)</f>
        <v/>
      </c>
      <c r="G3746" s="9" t="str">
        <f>IF(DADOS!F3746="","",DADOS!F3746)</f>
        <v/>
      </c>
      <c r="K3746" s="6" t="str">
        <f t="shared" si="295"/>
        <v/>
      </c>
      <c r="L3746" s="7" t="str">
        <f t="shared" si="296"/>
        <v/>
      </c>
      <c r="M3746" s="7" t="str">
        <f t="shared" si="293"/>
        <v/>
      </c>
      <c r="N3746" s="7" t="str">
        <f t="shared" si="297"/>
        <v/>
      </c>
      <c r="O3746" s="8"/>
      <c r="P3746" s="26"/>
      <c r="S3746" s="10" t="str">
        <f t="shared" si="294"/>
        <v/>
      </c>
    </row>
    <row r="3747" spans="5:19" x14ac:dyDescent="0.3">
      <c r="E3747" s="9" t="str">
        <f>IF(DADOS!C3747="","",DADOS!C3747)</f>
        <v/>
      </c>
      <c r="F3747" s="9" t="str">
        <f>IF(DADOS!E3747="","",DADOS!E3747)</f>
        <v/>
      </c>
      <c r="G3747" s="9" t="str">
        <f>IF(DADOS!F3747="","",DADOS!F3747)</f>
        <v/>
      </c>
      <c r="K3747" s="6" t="str">
        <f t="shared" si="295"/>
        <v/>
      </c>
      <c r="L3747" s="7" t="str">
        <f t="shared" si="296"/>
        <v/>
      </c>
      <c r="M3747" s="7" t="str">
        <f t="shared" si="293"/>
        <v/>
      </c>
      <c r="N3747" s="7" t="str">
        <f t="shared" si="297"/>
        <v/>
      </c>
      <c r="O3747" s="8"/>
      <c r="P3747" s="26"/>
      <c r="S3747" s="10" t="str">
        <f t="shared" si="294"/>
        <v/>
      </c>
    </row>
    <row r="3748" spans="5:19" x14ac:dyDescent="0.3">
      <c r="E3748" s="9" t="str">
        <f>IF(DADOS!C3748="","",DADOS!C3748)</f>
        <v/>
      </c>
      <c r="F3748" s="9" t="str">
        <f>IF(DADOS!E3748="","",DADOS!E3748)</f>
        <v/>
      </c>
      <c r="G3748" s="9" t="str">
        <f>IF(DADOS!F3748="","",DADOS!F3748)</f>
        <v/>
      </c>
      <c r="K3748" s="6" t="str">
        <f t="shared" si="295"/>
        <v/>
      </c>
      <c r="L3748" s="7" t="str">
        <f t="shared" si="296"/>
        <v/>
      </c>
      <c r="M3748" s="7" t="str">
        <f t="shared" si="293"/>
        <v/>
      </c>
      <c r="N3748" s="7" t="str">
        <f t="shared" si="297"/>
        <v/>
      </c>
      <c r="O3748" s="8"/>
      <c r="P3748" s="26"/>
      <c r="S3748" s="10" t="str">
        <f t="shared" si="294"/>
        <v/>
      </c>
    </row>
    <row r="3749" spans="5:19" x14ac:dyDescent="0.3">
      <c r="E3749" s="9" t="str">
        <f>IF(DADOS!C3749="","",DADOS!C3749)</f>
        <v/>
      </c>
      <c r="F3749" s="9" t="str">
        <f>IF(DADOS!E3749="","",DADOS!E3749)</f>
        <v/>
      </c>
      <c r="G3749" s="9" t="str">
        <f>IF(DADOS!F3749="","",DADOS!F3749)</f>
        <v/>
      </c>
      <c r="K3749" s="6" t="str">
        <f t="shared" si="295"/>
        <v/>
      </c>
      <c r="L3749" s="7" t="str">
        <f t="shared" si="296"/>
        <v/>
      </c>
      <c r="M3749" s="7" t="str">
        <f t="shared" si="293"/>
        <v/>
      </c>
      <c r="N3749" s="7" t="str">
        <f t="shared" si="297"/>
        <v/>
      </c>
      <c r="O3749" s="8"/>
      <c r="P3749" s="26"/>
      <c r="S3749" s="10" t="str">
        <f t="shared" si="294"/>
        <v/>
      </c>
    </row>
    <row r="3750" spans="5:19" x14ac:dyDescent="0.3">
      <c r="E3750" s="9" t="str">
        <f>IF(DADOS!C3750="","",DADOS!C3750)</f>
        <v/>
      </c>
      <c r="F3750" s="9" t="str">
        <f>IF(DADOS!E3750="","",DADOS!E3750)</f>
        <v/>
      </c>
      <c r="G3750" s="9" t="str">
        <f>IF(DADOS!F3750="","",DADOS!F3750)</f>
        <v/>
      </c>
      <c r="K3750" s="6" t="str">
        <f t="shared" si="295"/>
        <v/>
      </c>
      <c r="L3750" s="7" t="str">
        <f t="shared" si="296"/>
        <v/>
      </c>
      <c r="M3750" s="7" t="str">
        <f t="shared" si="293"/>
        <v/>
      </c>
      <c r="N3750" s="7" t="str">
        <f t="shared" si="297"/>
        <v/>
      </c>
      <c r="O3750" s="8"/>
      <c r="P3750" s="26"/>
      <c r="S3750" s="10" t="str">
        <f t="shared" si="294"/>
        <v/>
      </c>
    </row>
    <row r="3751" spans="5:19" x14ac:dyDescent="0.3">
      <c r="E3751" s="9" t="str">
        <f>IF(DADOS!C3751="","",DADOS!C3751)</f>
        <v/>
      </c>
      <c r="F3751" s="9" t="str">
        <f>IF(DADOS!E3751="","",DADOS!E3751)</f>
        <v/>
      </c>
      <c r="G3751" s="9" t="str">
        <f>IF(DADOS!F3751="","",DADOS!F3751)</f>
        <v/>
      </c>
      <c r="K3751" s="6" t="str">
        <f t="shared" si="295"/>
        <v/>
      </c>
      <c r="L3751" s="7" t="str">
        <f t="shared" si="296"/>
        <v/>
      </c>
      <c r="M3751" s="7" t="str">
        <f t="shared" si="293"/>
        <v/>
      </c>
      <c r="N3751" s="7" t="str">
        <f t="shared" si="297"/>
        <v/>
      </c>
      <c r="O3751" s="8"/>
      <c r="P3751" s="26"/>
      <c r="S3751" s="10" t="str">
        <f t="shared" si="294"/>
        <v/>
      </c>
    </row>
    <row r="3752" spans="5:19" x14ac:dyDescent="0.3">
      <c r="E3752" s="9" t="str">
        <f>IF(DADOS!C3752="","",DADOS!C3752)</f>
        <v/>
      </c>
      <c r="F3752" s="9" t="str">
        <f>IF(DADOS!E3752="","",DADOS!E3752)</f>
        <v/>
      </c>
      <c r="G3752" s="9" t="str">
        <f>IF(DADOS!F3752="","",DADOS!F3752)</f>
        <v/>
      </c>
      <c r="K3752" s="6" t="str">
        <f t="shared" si="295"/>
        <v/>
      </c>
      <c r="L3752" s="7" t="str">
        <f t="shared" si="296"/>
        <v/>
      </c>
      <c r="M3752" s="7" t="str">
        <f t="shared" si="293"/>
        <v/>
      </c>
      <c r="N3752" s="7" t="str">
        <f t="shared" si="297"/>
        <v/>
      </c>
      <c r="O3752" s="8"/>
      <c r="P3752" s="26"/>
      <c r="S3752" s="10" t="str">
        <f t="shared" si="294"/>
        <v/>
      </c>
    </row>
    <row r="3753" spans="5:19" x14ac:dyDescent="0.3">
      <c r="E3753" s="9" t="str">
        <f>IF(DADOS!C3753="","",DADOS!C3753)</f>
        <v/>
      </c>
      <c r="F3753" s="9" t="str">
        <f>IF(DADOS!E3753="","",DADOS!E3753)</f>
        <v/>
      </c>
      <c r="G3753" s="9" t="str">
        <f>IF(DADOS!F3753="","",DADOS!F3753)</f>
        <v/>
      </c>
      <c r="K3753" s="6" t="str">
        <f t="shared" si="295"/>
        <v/>
      </c>
      <c r="L3753" s="7" t="str">
        <f t="shared" si="296"/>
        <v/>
      </c>
      <c r="M3753" s="7" t="str">
        <f t="shared" si="293"/>
        <v/>
      </c>
      <c r="N3753" s="7" t="str">
        <f t="shared" si="297"/>
        <v/>
      </c>
      <c r="O3753" s="8"/>
      <c r="P3753" s="26"/>
      <c r="S3753" s="10" t="str">
        <f t="shared" si="294"/>
        <v/>
      </c>
    </row>
    <row r="3754" spans="5:19" x14ac:dyDescent="0.3">
      <c r="E3754" s="9" t="str">
        <f>IF(DADOS!C3754="","",DADOS!C3754)</f>
        <v/>
      </c>
      <c r="F3754" s="9" t="str">
        <f>IF(DADOS!E3754="","",DADOS!E3754)</f>
        <v/>
      </c>
      <c r="G3754" s="9" t="str">
        <f>IF(DADOS!F3754="","",DADOS!F3754)</f>
        <v/>
      </c>
      <c r="K3754" s="6" t="str">
        <f t="shared" si="295"/>
        <v/>
      </c>
      <c r="L3754" s="7" t="str">
        <f t="shared" si="296"/>
        <v/>
      </c>
      <c r="M3754" s="7" t="str">
        <f t="shared" si="293"/>
        <v/>
      </c>
      <c r="N3754" s="7" t="str">
        <f t="shared" si="297"/>
        <v/>
      </c>
      <c r="O3754" s="8"/>
      <c r="P3754" s="26"/>
      <c r="S3754" s="10" t="str">
        <f t="shared" si="294"/>
        <v/>
      </c>
    </row>
    <row r="3755" spans="5:19" x14ac:dyDescent="0.3">
      <c r="E3755" s="9" t="str">
        <f>IF(DADOS!C3755="","",DADOS!C3755)</f>
        <v/>
      </c>
      <c r="F3755" s="9" t="str">
        <f>IF(DADOS!E3755="","",DADOS!E3755)</f>
        <v/>
      </c>
      <c r="G3755" s="9" t="str">
        <f>IF(DADOS!F3755="","",DADOS!F3755)</f>
        <v/>
      </c>
      <c r="K3755" s="6" t="str">
        <f t="shared" si="295"/>
        <v/>
      </c>
      <c r="L3755" s="7" t="str">
        <f t="shared" si="296"/>
        <v/>
      </c>
      <c r="M3755" s="7" t="str">
        <f t="shared" si="293"/>
        <v/>
      </c>
      <c r="N3755" s="7" t="str">
        <f t="shared" si="297"/>
        <v/>
      </c>
      <c r="O3755" s="8"/>
      <c r="P3755" s="26"/>
      <c r="S3755" s="10" t="str">
        <f t="shared" si="294"/>
        <v/>
      </c>
    </row>
    <row r="3756" spans="5:19" x14ac:dyDescent="0.3">
      <c r="E3756" s="9" t="str">
        <f>IF(DADOS!C3756="","",DADOS!C3756)</f>
        <v/>
      </c>
      <c r="F3756" s="9" t="str">
        <f>IF(DADOS!E3756="","",DADOS!E3756)</f>
        <v/>
      </c>
      <c r="G3756" s="9" t="str">
        <f>IF(DADOS!F3756="","",DADOS!F3756)</f>
        <v/>
      </c>
      <c r="K3756" s="6" t="str">
        <f t="shared" si="295"/>
        <v/>
      </c>
      <c r="L3756" s="7" t="str">
        <f t="shared" si="296"/>
        <v/>
      </c>
      <c r="M3756" s="7" t="str">
        <f t="shared" si="293"/>
        <v/>
      </c>
      <c r="N3756" s="7" t="str">
        <f t="shared" si="297"/>
        <v/>
      </c>
      <c r="O3756" s="8"/>
      <c r="P3756" s="26"/>
      <c r="S3756" s="10" t="str">
        <f t="shared" si="294"/>
        <v/>
      </c>
    </row>
    <row r="3757" spans="5:19" x14ac:dyDescent="0.3">
      <c r="E3757" s="9" t="str">
        <f>IF(DADOS!C3757="","",DADOS!C3757)</f>
        <v/>
      </c>
      <c r="F3757" s="9" t="str">
        <f>IF(DADOS!E3757="","",DADOS!E3757)</f>
        <v/>
      </c>
      <c r="G3757" s="9" t="str">
        <f>IF(DADOS!F3757="","",DADOS!F3757)</f>
        <v/>
      </c>
      <c r="K3757" s="6" t="str">
        <f t="shared" si="295"/>
        <v/>
      </c>
      <c r="L3757" s="7" t="str">
        <f t="shared" si="296"/>
        <v/>
      </c>
      <c r="M3757" s="7" t="str">
        <f t="shared" si="293"/>
        <v/>
      </c>
      <c r="N3757" s="7" t="str">
        <f t="shared" si="297"/>
        <v/>
      </c>
      <c r="O3757" s="8"/>
      <c r="P3757" s="26"/>
      <c r="S3757" s="10" t="str">
        <f t="shared" si="294"/>
        <v/>
      </c>
    </row>
    <row r="3758" spans="5:19" x14ac:dyDescent="0.3">
      <c r="E3758" s="9" t="str">
        <f>IF(DADOS!C3758="","",DADOS!C3758)</f>
        <v/>
      </c>
      <c r="F3758" s="9" t="str">
        <f>IF(DADOS!E3758="","",DADOS!E3758)</f>
        <v/>
      </c>
      <c r="G3758" s="9" t="str">
        <f>IF(DADOS!F3758="","",DADOS!F3758)</f>
        <v/>
      </c>
      <c r="K3758" s="6" t="str">
        <f t="shared" si="295"/>
        <v/>
      </c>
      <c r="L3758" s="7" t="str">
        <f t="shared" si="296"/>
        <v/>
      </c>
      <c r="M3758" s="7" t="str">
        <f t="shared" si="293"/>
        <v/>
      </c>
      <c r="N3758" s="7" t="str">
        <f t="shared" si="297"/>
        <v/>
      </c>
      <c r="O3758" s="8"/>
      <c r="P3758" s="26"/>
      <c r="S3758" s="10" t="str">
        <f t="shared" si="294"/>
        <v/>
      </c>
    </row>
    <row r="3759" spans="5:19" x14ac:dyDescent="0.3">
      <c r="E3759" s="9" t="str">
        <f>IF(DADOS!C3759="","",DADOS!C3759)</f>
        <v/>
      </c>
      <c r="F3759" s="9" t="str">
        <f>IF(DADOS!E3759="","",DADOS!E3759)</f>
        <v/>
      </c>
      <c r="G3759" s="9" t="str">
        <f>IF(DADOS!F3759="","",DADOS!F3759)</f>
        <v/>
      </c>
      <c r="K3759" s="6" t="str">
        <f t="shared" si="295"/>
        <v/>
      </c>
      <c r="L3759" s="7" t="str">
        <f t="shared" si="296"/>
        <v/>
      </c>
      <c r="M3759" s="7" t="str">
        <f t="shared" si="293"/>
        <v/>
      </c>
      <c r="N3759" s="7" t="str">
        <f t="shared" si="297"/>
        <v/>
      </c>
      <c r="O3759" s="8"/>
      <c r="P3759" s="26"/>
      <c r="S3759" s="10" t="str">
        <f t="shared" si="294"/>
        <v/>
      </c>
    </row>
    <row r="3760" spans="5:19" x14ac:dyDescent="0.3">
      <c r="E3760" s="9" t="str">
        <f>IF(DADOS!C3760="","",DADOS!C3760)</f>
        <v/>
      </c>
      <c r="F3760" s="9" t="str">
        <f>IF(DADOS!E3760="","",DADOS!E3760)</f>
        <v/>
      </c>
      <c r="G3760" s="9" t="str">
        <f>IF(DADOS!F3760="","",DADOS!F3760)</f>
        <v/>
      </c>
      <c r="K3760" s="6" t="str">
        <f t="shared" si="295"/>
        <v/>
      </c>
      <c r="L3760" s="7" t="str">
        <f t="shared" si="296"/>
        <v/>
      </c>
      <c r="M3760" s="7" t="str">
        <f t="shared" si="293"/>
        <v/>
      </c>
      <c r="N3760" s="7" t="str">
        <f t="shared" si="297"/>
        <v/>
      </c>
      <c r="O3760" s="8"/>
      <c r="P3760" s="26"/>
      <c r="S3760" s="10" t="str">
        <f t="shared" si="294"/>
        <v/>
      </c>
    </row>
    <row r="3761" spans="5:19" x14ac:dyDescent="0.3">
      <c r="E3761" s="9" t="str">
        <f>IF(DADOS!C3761="","",DADOS!C3761)</f>
        <v/>
      </c>
      <c r="F3761" s="9" t="str">
        <f>IF(DADOS!E3761="","",DADOS!E3761)</f>
        <v/>
      </c>
      <c r="G3761" s="9" t="str">
        <f>IF(DADOS!F3761="","",DADOS!F3761)</f>
        <v/>
      </c>
      <c r="K3761" s="6" t="str">
        <f t="shared" si="295"/>
        <v/>
      </c>
      <c r="L3761" s="7" t="str">
        <f t="shared" si="296"/>
        <v/>
      </c>
      <c r="M3761" s="7" t="str">
        <f t="shared" si="293"/>
        <v/>
      </c>
      <c r="N3761" s="7" t="str">
        <f t="shared" si="297"/>
        <v/>
      </c>
      <c r="O3761" s="8"/>
      <c r="P3761" s="26"/>
      <c r="S3761" s="10" t="str">
        <f t="shared" si="294"/>
        <v/>
      </c>
    </row>
    <row r="3762" spans="5:19" x14ac:dyDescent="0.3">
      <c r="E3762" s="9" t="str">
        <f>IF(DADOS!C3762="","",DADOS!C3762)</f>
        <v/>
      </c>
      <c r="F3762" s="9" t="str">
        <f>IF(DADOS!E3762="","",DADOS!E3762)</f>
        <v/>
      </c>
      <c r="G3762" s="9" t="str">
        <f>IF(DADOS!F3762="","",DADOS!F3762)</f>
        <v/>
      </c>
      <c r="K3762" s="6" t="str">
        <f t="shared" si="295"/>
        <v/>
      </c>
      <c r="L3762" s="7" t="str">
        <f t="shared" si="296"/>
        <v/>
      </c>
      <c r="M3762" s="7" t="str">
        <f t="shared" si="293"/>
        <v/>
      </c>
      <c r="N3762" s="7" t="str">
        <f t="shared" si="297"/>
        <v/>
      </c>
      <c r="O3762" s="8"/>
      <c r="P3762" s="26"/>
      <c r="S3762" s="10" t="str">
        <f t="shared" si="294"/>
        <v/>
      </c>
    </row>
    <row r="3763" spans="5:19" x14ac:dyDescent="0.3">
      <c r="E3763" s="9" t="str">
        <f>IF(DADOS!C3763="","",DADOS!C3763)</f>
        <v/>
      </c>
      <c r="F3763" s="9" t="str">
        <f>IF(DADOS!E3763="","",DADOS!E3763)</f>
        <v/>
      </c>
      <c r="G3763" s="9" t="str">
        <f>IF(DADOS!F3763="","",DADOS!F3763)</f>
        <v/>
      </c>
      <c r="K3763" s="6" t="str">
        <f t="shared" si="295"/>
        <v/>
      </c>
      <c r="L3763" s="7" t="str">
        <f t="shared" si="296"/>
        <v/>
      </c>
      <c r="M3763" s="7" t="str">
        <f t="shared" si="293"/>
        <v/>
      </c>
      <c r="N3763" s="7" t="str">
        <f t="shared" si="297"/>
        <v/>
      </c>
      <c r="O3763" s="8"/>
      <c r="P3763" s="26"/>
      <c r="S3763" s="10" t="str">
        <f t="shared" si="294"/>
        <v/>
      </c>
    </row>
    <row r="3764" spans="5:19" x14ac:dyDescent="0.3">
      <c r="E3764" s="9" t="str">
        <f>IF(DADOS!C3764="","",DADOS!C3764)</f>
        <v/>
      </c>
      <c r="F3764" s="9" t="str">
        <f>IF(DADOS!E3764="","",DADOS!E3764)</f>
        <v/>
      </c>
      <c r="G3764" s="9" t="str">
        <f>IF(DADOS!F3764="","",DADOS!F3764)</f>
        <v/>
      </c>
      <c r="K3764" s="6" t="str">
        <f t="shared" si="295"/>
        <v/>
      </c>
      <c r="L3764" s="7" t="str">
        <f t="shared" si="296"/>
        <v/>
      </c>
      <c r="M3764" s="7" t="str">
        <f t="shared" si="293"/>
        <v/>
      </c>
      <c r="N3764" s="7" t="str">
        <f t="shared" si="297"/>
        <v/>
      </c>
      <c r="O3764" s="8"/>
      <c r="P3764" s="26"/>
      <c r="S3764" s="10" t="str">
        <f t="shared" si="294"/>
        <v/>
      </c>
    </row>
    <row r="3765" spans="5:19" x14ac:dyDescent="0.3">
      <c r="E3765" s="9" t="str">
        <f>IF(DADOS!C3765="","",DADOS!C3765)</f>
        <v/>
      </c>
      <c r="F3765" s="9" t="str">
        <f>IF(DADOS!E3765="","",DADOS!E3765)</f>
        <v/>
      </c>
      <c r="G3765" s="9" t="str">
        <f>IF(DADOS!F3765="","",DADOS!F3765)</f>
        <v/>
      </c>
      <c r="K3765" s="6" t="str">
        <f t="shared" si="295"/>
        <v/>
      </c>
      <c r="L3765" s="7" t="str">
        <f t="shared" si="296"/>
        <v/>
      </c>
      <c r="M3765" s="7" t="str">
        <f t="shared" si="293"/>
        <v/>
      </c>
      <c r="N3765" s="7" t="str">
        <f t="shared" si="297"/>
        <v/>
      </c>
      <c r="O3765" s="8"/>
      <c r="P3765" s="26"/>
      <c r="S3765" s="10" t="str">
        <f t="shared" si="294"/>
        <v/>
      </c>
    </row>
    <row r="3766" spans="5:19" x14ac:dyDescent="0.3">
      <c r="E3766" s="9" t="str">
        <f>IF(DADOS!C3766="","",DADOS!C3766)</f>
        <v/>
      </c>
      <c r="F3766" s="9" t="str">
        <f>IF(DADOS!E3766="","",DADOS!E3766)</f>
        <v/>
      </c>
      <c r="G3766" s="9" t="str">
        <f>IF(DADOS!F3766="","",DADOS!F3766)</f>
        <v/>
      </c>
      <c r="K3766" s="6" t="str">
        <f t="shared" si="295"/>
        <v/>
      </c>
      <c r="L3766" s="7" t="str">
        <f t="shared" si="296"/>
        <v/>
      </c>
      <c r="M3766" s="7" t="str">
        <f t="shared" si="293"/>
        <v/>
      </c>
      <c r="N3766" s="7" t="str">
        <f t="shared" si="297"/>
        <v/>
      </c>
      <c r="O3766" s="8"/>
      <c r="P3766" s="26"/>
      <c r="S3766" s="10" t="str">
        <f t="shared" si="294"/>
        <v/>
      </c>
    </row>
    <row r="3767" spans="5:19" x14ac:dyDescent="0.3">
      <c r="E3767" s="9" t="str">
        <f>IF(DADOS!C3767="","",DADOS!C3767)</f>
        <v/>
      </c>
      <c r="F3767" s="9" t="str">
        <f>IF(DADOS!E3767="","",DADOS!E3767)</f>
        <v/>
      </c>
      <c r="G3767" s="9" t="str">
        <f>IF(DADOS!F3767="","",DADOS!F3767)</f>
        <v/>
      </c>
      <c r="K3767" s="6" t="str">
        <f t="shared" si="295"/>
        <v/>
      </c>
      <c r="L3767" s="7" t="str">
        <f t="shared" si="296"/>
        <v/>
      </c>
      <c r="M3767" s="7" t="str">
        <f t="shared" si="293"/>
        <v/>
      </c>
      <c r="N3767" s="7" t="str">
        <f t="shared" si="297"/>
        <v/>
      </c>
      <c r="O3767" s="8"/>
      <c r="P3767" s="26"/>
      <c r="S3767" s="10" t="str">
        <f t="shared" si="294"/>
        <v/>
      </c>
    </row>
    <row r="3768" spans="5:19" x14ac:dyDescent="0.3">
      <c r="E3768" s="9" t="str">
        <f>IF(DADOS!C3768="","",DADOS!C3768)</f>
        <v/>
      </c>
      <c r="F3768" s="9" t="str">
        <f>IF(DADOS!E3768="","",DADOS!E3768)</f>
        <v/>
      </c>
      <c r="G3768" s="9" t="str">
        <f>IF(DADOS!F3768="","",DADOS!F3768)</f>
        <v/>
      </c>
      <c r="K3768" s="6" t="str">
        <f t="shared" si="295"/>
        <v/>
      </c>
      <c r="L3768" s="7" t="str">
        <f t="shared" si="296"/>
        <v/>
      </c>
      <c r="M3768" s="7" t="str">
        <f t="shared" si="293"/>
        <v/>
      </c>
      <c r="N3768" s="7" t="str">
        <f t="shared" si="297"/>
        <v/>
      </c>
      <c r="O3768" s="8"/>
      <c r="P3768" s="26"/>
      <c r="S3768" s="10" t="str">
        <f t="shared" si="294"/>
        <v/>
      </c>
    </row>
    <row r="3769" spans="5:19" x14ac:dyDescent="0.3">
      <c r="E3769" s="9" t="str">
        <f>IF(DADOS!C3769="","",DADOS!C3769)</f>
        <v/>
      </c>
      <c r="F3769" s="9" t="str">
        <f>IF(DADOS!E3769="","",DADOS!E3769)</f>
        <v/>
      </c>
      <c r="G3769" s="9" t="str">
        <f>IF(DADOS!F3769="","",DADOS!F3769)</f>
        <v/>
      </c>
      <c r="K3769" s="6" t="str">
        <f t="shared" si="295"/>
        <v/>
      </c>
      <c r="L3769" s="7" t="str">
        <f t="shared" si="296"/>
        <v/>
      </c>
      <c r="M3769" s="7" t="str">
        <f t="shared" si="293"/>
        <v/>
      </c>
      <c r="N3769" s="7" t="str">
        <f t="shared" si="297"/>
        <v/>
      </c>
      <c r="O3769" s="8"/>
      <c r="P3769" s="26"/>
      <c r="S3769" s="10" t="str">
        <f t="shared" si="294"/>
        <v/>
      </c>
    </row>
    <row r="3770" spans="5:19" x14ac:dyDescent="0.3">
      <c r="E3770" s="9" t="str">
        <f>IF(DADOS!C3770="","",DADOS!C3770)</f>
        <v/>
      </c>
      <c r="F3770" s="9" t="str">
        <f>IF(DADOS!E3770="","",DADOS!E3770)</f>
        <v/>
      </c>
      <c r="G3770" s="9" t="str">
        <f>IF(DADOS!F3770="","",DADOS!F3770)</f>
        <v/>
      </c>
      <c r="K3770" s="6" t="str">
        <f t="shared" si="295"/>
        <v/>
      </c>
      <c r="L3770" s="7" t="str">
        <f t="shared" si="296"/>
        <v/>
      </c>
      <c r="M3770" s="7" t="str">
        <f t="shared" si="293"/>
        <v/>
      </c>
      <c r="N3770" s="7" t="str">
        <f t="shared" si="297"/>
        <v/>
      </c>
      <c r="O3770" s="8"/>
      <c r="P3770" s="26"/>
      <c r="S3770" s="10" t="str">
        <f t="shared" si="294"/>
        <v/>
      </c>
    </row>
    <row r="3771" spans="5:19" x14ac:dyDescent="0.3">
      <c r="E3771" s="9" t="str">
        <f>IF(DADOS!C3771="","",DADOS!C3771)</f>
        <v/>
      </c>
      <c r="F3771" s="9" t="str">
        <f>IF(DADOS!E3771="","",DADOS!E3771)</f>
        <v/>
      </c>
      <c r="G3771" s="9" t="str">
        <f>IF(DADOS!F3771="","",DADOS!F3771)</f>
        <v/>
      </c>
      <c r="K3771" s="6" t="str">
        <f t="shared" si="295"/>
        <v/>
      </c>
      <c r="L3771" s="7" t="str">
        <f t="shared" si="296"/>
        <v/>
      </c>
      <c r="M3771" s="7" t="str">
        <f t="shared" si="293"/>
        <v/>
      </c>
      <c r="N3771" s="7" t="str">
        <f t="shared" si="297"/>
        <v/>
      </c>
      <c r="O3771" s="8"/>
      <c r="P3771" s="26"/>
      <c r="S3771" s="10" t="str">
        <f t="shared" si="294"/>
        <v/>
      </c>
    </row>
    <row r="3772" spans="5:19" x14ac:dyDescent="0.3">
      <c r="E3772" s="9" t="str">
        <f>IF(DADOS!C3772="","",DADOS!C3772)</f>
        <v/>
      </c>
      <c r="F3772" s="9" t="str">
        <f>IF(DADOS!E3772="","",DADOS!E3772)</f>
        <v/>
      </c>
      <c r="G3772" s="9" t="str">
        <f>IF(DADOS!F3772="","",DADOS!F3772)</f>
        <v/>
      </c>
      <c r="K3772" s="6" t="str">
        <f t="shared" si="295"/>
        <v/>
      </c>
      <c r="L3772" s="7" t="str">
        <f t="shared" si="296"/>
        <v/>
      </c>
      <c r="M3772" s="7" t="str">
        <f t="shared" si="293"/>
        <v/>
      </c>
      <c r="N3772" s="7" t="str">
        <f t="shared" si="297"/>
        <v/>
      </c>
      <c r="O3772" s="8"/>
      <c r="P3772" s="26"/>
      <c r="S3772" s="10" t="str">
        <f t="shared" si="294"/>
        <v/>
      </c>
    </row>
    <row r="3773" spans="5:19" x14ac:dyDescent="0.3">
      <c r="E3773" s="9" t="str">
        <f>IF(DADOS!C3773="","",DADOS!C3773)</f>
        <v/>
      </c>
      <c r="F3773" s="9" t="str">
        <f>IF(DADOS!E3773="","",DADOS!E3773)</f>
        <v/>
      </c>
      <c r="G3773" s="9" t="str">
        <f>IF(DADOS!F3773="","",DADOS!F3773)</f>
        <v/>
      </c>
      <c r="K3773" s="6" t="str">
        <f t="shared" si="295"/>
        <v/>
      </c>
      <c r="L3773" s="7" t="str">
        <f t="shared" si="296"/>
        <v/>
      </c>
      <c r="M3773" s="7" t="str">
        <f t="shared" si="293"/>
        <v/>
      </c>
      <c r="N3773" s="7" t="str">
        <f t="shared" si="297"/>
        <v/>
      </c>
      <c r="O3773" s="8"/>
      <c r="P3773" s="26"/>
      <c r="S3773" s="10" t="str">
        <f t="shared" si="294"/>
        <v/>
      </c>
    </row>
    <row r="3774" spans="5:19" x14ac:dyDescent="0.3">
      <c r="E3774" s="9" t="str">
        <f>IF(DADOS!C3774="","",DADOS!C3774)</f>
        <v/>
      </c>
      <c r="F3774" s="9" t="str">
        <f>IF(DADOS!E3774="","",DADOS!E3774)</f>
        <v/>
      </c>
      <c r="G3774" s="9" t="str">
        <f>IF(DADOS!F3774="","",DADOS!F3774)</f>
        <v/>
      </c>
      <c r="K3774" s="6" t="str">
        <f t="shared" si="295"/>
        <v/>
      </c>
      <c r="L3774" s="7" t="str">
        <f t="shared" si="296"/>
        <v/>
      </c>
      <c r="M3774" s="7" t="str">
        <f t="shared" si="293"/>
        <v/>
      </c>
      <c r="N3774" s="7" t="str">
        <f t="shared" si="297"/>
        <v/>
      </c>
      <c r="O3774" s="8"/>
      <c r="P3774" s="26"/>
      <c r="S3774" s="10" t="str">
        <f t="shared" si="294"/>
        <v/>
      </c>
    </row>
    <row r="3775" spans="5:19" x14ac:dyDescent="0.3">
      <c r="E3775" s="9" t="str">
        <f>IF(DADOS!C3775="","",DADOS!C3775)</f>
        <v/>
      </c>
      <c r="F3775" s="9" t="str">
        <f>IF(DADOS!E3775="","",DADOS!E3775)</f>
        <v/>
      </c>
      <c r="G3775" s="9" t="str">
        <f>IF(DADOS!F3775="","",DADOS!F3775)</f>
        <v/>
      </c>
      <c r="K3775" s="6" t="str">
        <f t="shared" si="295"/>
        <v/>
      </c>
      <c r="L3775" s="7" t="str">
        <f t="shared" si="296"/>
        <v/>
      </c>
      <c r="M3775" s="7" t="str">
        <f t="shared" si="293"/>
        <v/>
      </c>
      <c r="N3775" s="7" t="str">
        <f t="shared" si="297"/>
        <v/>
      </c>
      <c r="O3775" s="8"/>
      <c r="P3775" s="26"/>
      <c r="S3775" s="10" t="str">
        <f t="shared" si="294"/>
        <v/>
      </c>
    </row>
    <row r="3776" spans="5:19" x14ac:dyDescent="0.3">
      <c r="E3776" s="9" t="str">
        <f>IF(DADOS!C3776="","",DADOS!C3776)</f>
        <v/>
      </c>
      <c r="F3776" s="9" t="str">
        <f>IF(DADOS!E3776="","",DADOS!E3776)</f>
        <v/>
      </c>
      <c r="G3776" s="9" t="str">
        <f>IF(DADOS!F3776="","",DADOS!F3776)</f>
        <v/>
      </c>
      <c r="K3776" s="6" t="str">
        <f t="shared" si="295"/>
        <v/>
      </c>
      <c r="L3776" s="7" t="str">
        <f t="shared" si="296"/>
        <v/>
      </c>
      <c r="M3776" s="7" t="str">
        <f t="shared" si="293"/>
        <v/>
      </c>
      <c r="N3776" s="7" t="str">
        <f t="shared" si="297"/>
        <v/>
      </c>
      <c r="O3776" s="8"/>
      <c r="P3776" s="26"/>
      <c r="S3776" s="10" t="str">
        <f t="shared" si="294"/>
        <v/>
      </c>
    </row>
    <row r="3777" spans="5:19" x14ac:dyDescent="0.3">
      <c r="E3777" s="9" t="str">
        <f>IF(DADOS!C3777="","",DADOS!C3777)</f>
        <v/>
      </c>
      <c r="F3777" s="9" t="str">
        <f>IF(DADOS!E3777="","",DADOS!E3777)</f>
        <v/>
      </c>
      <c r="G3777" s="9" t="str">
        <f>IF(DADOS!F3777="","",DADOS!F3777)</f>
        <v/>
      </c>
      <c r="K3777" s="6" t="str">
        <f t="shared" si="295"/>
        <v/>
      </c>
      <c r="L3777" s="7" t="str">
        <f t="shared" si="296"/>
        <v/>
      </c>
      <c r="M3777" s="7" t="str">
        <f t="shared" si="293"/>
        <v/>
      </c>
      <c r="N3777" s="7" t="str">
        <f t="shared" si="297"/>
        <v/>
      </c>
      <c r="O3777" s="8"/>
      <c r="P3777" s="26"/>
      <c r="S3777" s="10" t="str">
        <f t="shared" si="294"/>
        <v/>
      </c>
    </row>
    <row r="3778" spans="5:19" x14ac:dyDescent="0.3">
      <c r="E3778" s="9" t="str">
        <f>IF(DADOS!C3778="","",DADOS!C3778)</f>
        <v/>
      </c>
      <c r="F3778" s="9" t="str">
        <f>IF(DADOS!E3778="","",DADOS!E3778)</f>
        <v/>
      </c>
      <c r="G3778" s="9" t="str">
        <f>IF(DADOS!F3778="","",DADOS!F3778)</f>
        <v/>
      </c>
      <c r="K3778" s="6" t="str">
        <f t="shared" si="295"/>
        <v/>
      </c>
      <c r="L3778" s="7" t="str">
        <f t="shared" si="296"/>
        <v/>
      </c>
      <c r="M3778" s="7" t="str">
        <f t="shared" si="293"/>
        <v/>
      </c>
      <c r="N3778" s="7" t="str">
        <f t="shared" si="297"/>
        <v/>
      </c>
      <c r="O3778" s="8"/>
      <c r="P3778" s="26"/>
      <c r="S3778" s="10" t="str">
        <f t="shared" si="294"/>
        <v/>
      </c>
    </row>
    <row r="3779" spans="5:19" x14ac:dyDescent="0.3">
      <c r="E3779" s="9" t="str">
        <f>IF(DADOS!C3779="","",DADOS!C3779)</f>
        <v/>
      </c>
      <c r="F3779" s="9" t="str">
        <f>IF(DADOS!E3779="","",DADOS!E3779)</f>
        <v/>
      </c>
      <c r="G3779" s="9" t="str">
        <f>IF(DADOS!F3779="","",DADOS!F3779)</f>
        <v/>
      </c>
      <c r="K3779" s="6" t="str">
        <f t="shared" si="295"/>
        <v/>
      </c>
      <c r="L3779" s="7" t="str">
        <f t="shared" si="296"/>
        <v/>
      </c>
      <c r="M3779" s="7" t="str">
        <f t="shared" ref="M3779:M3842" si="298">IF(L3779="","",L3779*G3779)</f>
        <v/>
      </c>
      <c r="N3779" s="7" t="str">
        <f t="shared" si="297"/>
        <v/>
      </c>
      <c r="O3779" s="8"/>
      <c r="P3779" s="26"/>
      <c r="S3779" s="10" t="str">
        <f t="shared" ref="S3779:S3842" si="299">IF(R3779="","",SUMIFS($N$3:$N$10000,$E$3:$E$10000,R3779))</f>
        <v/>
      </c>
    </row>
    <row r="3780" spans="5:19" x14ac:dyDescent="0.3">
      <c r="E3780" s="9" t="str">
        <f>IF(DADOS!C3780="","",DADOS!C3780)</f>
        <v/>
      </c>
      <c r="F3780" s="9" t="str">
        <f>IF(DADOS!E3780="","",DADOS!E3780)</f>
        <v/>
      </c>
      <c r="G3780" s="9" t="str">
        <f>IF(DADOS!F3780="","",DADOS!F3780)</f>
        <v/>
      </c>
      <c r="K3780" s="6" t="str">
        <f t="shared" ref="K3780:K3843" si="300">IF(F3780="","",F3780/PI())</f>
        <v/>
      </c>
      <c r="L3780" s="7" t="str">
        <f t="shared" ref="L3780:L3843" si="301">IF(K3780="","",(PI()*K3780^2)/40000)</f>
        <v/>
      </c>
      <c r="M3780" s="7" t="str">
        <f t="shared" si="298"/>
        <v/>
      </c>
      <c r="N3780" s="7" t="str">
        <f t="shared" ref="N3780:N3843" si="302">IF(M3780="","",M3780*N$1)</f>
        <v/>
      </c>
      <c r="O3780" s="8"/>
      <c r="P3780" s="26"/>
      <c r="S3780" s="10" t="str">
        <f t="shared" si="299"/>
        <v/>
      </c>
    </row>
    <row r="3781" spans="5:19" x14ac:dyDescent="0.3">
      <c r="E3781" s="9" t="str">
        <f>IF(DADOS!C3781="","",DADOS!C3781)</f>
        <v/>
      </c>
      <c r="F3781" s="9" t="str">
        <f>IF(DADOS!E3781="","",DADOS!E3781)</f>
        <v/>
      </c>
      <c r="G3781" s="9" t="str">
        <f>IF(DADOS!F3781="","",DADOS!F3781)</f>
        <v/>
      </c>
      <c r="K3781" s="6" t="str">
        <f t="shared" si="300"/>
        <v/>
      </c>
      <c r="L3781" s="7" t="str">
        <f t="shared" si="301"/>
        <v/>
      </c>
      <c r="M3781" s="7" t="str">
        <f t="shared" si="298"/>
        <v/>
      </c>
      <c r="N3781" s="7" t="str">
        <f t="shared" si="302"/>
        <v/>
      </c>
      <c r="O3781" s="8"/>
      <c r="P3781" s="26"/>
      <c r="S3781" s="10" t="str">
        <f t="shared" si="299"/>
        <v/>
      </c>
    </row>
    <row r="3782" spans="5:19" x14ac:dyDescent="0.3">
      <c r="E3782" s="9" t="str">
        <f>IF(DADOS!C3782="","",DADOS!C3782)</f>
        <v/>
      </c>
      <c r="F3782" s="9" t="str">
        <f>IF(DADOS!E3782="","",DADOS!E3782)</f>
        <v/>
      </c>
      <c r="G3782" s="9" t="str">
        <f>IF(DADOS!F3782="","",DADOS!F3782)</f>
        <v/>
      </c>
      <c r="K3782" s="6" t="str">
        <f t="shared" si="300"/>
        <v/>
      </c>
      <c r="L3782" s="7" t="str">
        <f t="shared" si="301"/>
        <v/>
      </c>
      <c r="M3782" s="7" t="str">
        <f t="shared" si="298"/>
        <v/>
      </c>
      <c r="N3782" s="7" t="str">
        <f t="shared" si="302"/>
        <v/>
      </c>
      <c r="O3782" s="8"/>
      <c r="P3782" s="26"/>
      <c r="S3782" s="10" t="str">
        <f t="shared" si="299"/>
        <v/>
      </c>
    </row>
    <row r="3783" spans="5:19" x14ac:dyDescent="0.3">
      <c r="E3783" s="9" t="str">
        <f>IF(DADOS!C3783="","",DADOS!C3783)</f>
        <v/>
      </c>
      <c r="F3783" s="9" t="str">
        <f>IF(DADOS!E3783="","",DADOS!E3783)</f>
        <v/>
      </c>
      <c r="G3783" s="9" t="str">
        <f>IF(DADOS!F3783="","",DADOS!F3783)</f>
        <v/>
      </c>
      <c r="K3783" s="6" t="str">
        <f t="shared" si="300"/>
        <v/>
      </c>
      <c r="L3783" s="7" t="str">
        <f t="shared" si="301"/>
        <v/>
      </c>
      <c r="M3783" s="7" t="str">
        <f t="shared" si="298"/>
        <v/>
      </c>
      <c r="N3783" s="7" t="str">
        <f t="shared" si="302"/>
        <v/>
      </c>
      <c r="O3783" s="8"/>
      <c r="P3783" s="26"/>
      <c r="S3783" s="10" t="str">
        <f t="shared" si="299"/>
        <v/>
      </c>
    </row>
    <row r="3784" spans="5:19" x14ac:dyDescent="0.3">
      <c r="E3784" s="9" t="str">
        <f>IF(DADOS!C3784="","",DADOS!C3784)</f>
        <v/>
      </c>
      <c r="F3784" s="9" t="str">
        <f>IF(DADOS!E3784="","",DADOS!E3784)</f>
        <v/>
      </c>
      <c r="G3784" s="9" t="str">
        <f>IF(DADOS!F3784="","",DADOS!F3784)</f>
        <v/>
      </c>
      <c r="K3784" s="6" t="str">
        <f t="shared" si="300"/>
        <v/>
      </c>
      <c r="L3784" s="7" t="str">
        <f t="shared" si="301"/>
        <v/>
      </c>
      <c r="M3784" s="7" t="str">
        <f t="shared" si="298"/>
        <v/>
      </c>
      <c r="N3784" s="7" t="str">
        <f t="shared" si="302"/>
        <v/>
      </c>
      <c r="O3784" s="8"/>
      <c r="P3784" s="26"/>
      <c r="S3784" s="10" t="str">
        <f t="shared" si="299"/>
        <v/>
      </c>
    </row>
    <row r="3785" spans="5:19" x14ac:dyDescent="0.3">
      <c r="E3785" s="9" t="str">
        <f>IF(DADOS!C3785="","",DADOS!C3785)</f>
        <v/>
      </c>
      <c r="F3785" s="9" t="str">
        <f>IF(DADOS!E3785="","",DADOS!E3785)</f>
        <v/>
      </c>
      <c r="G3785" s="9" t="str">
        <f>IF(DADOS!F3785="","",DADOS!F3785)</f>
        <v/>
      </c>
      <c r="K3785" s="6" t="str">
        <f t="shared" si="300"/>
        <v/>
      </c>
      <c r="L3785" s="7" t="str">
        <f t="shared" si="301"/>
        <v/>
      </c>
      <c r="M3785" s="7" t="str">
        <f t="shared" si="298"/>
        <v/>
      </c>
      <c r="N3785" s="7" t="str">
        <f t="shared" si="302"/>
        <v/>
      </c>
      <c r="O3785" s="8"/>
      <c r="P3785" s="26"/>
      <c r="S3785" s="10" t="str">
        <f t="shared" si="299"/>
        <v/>
      </c>
    </row>
    <row r="3786" spans="5:19" x14ac:dyDescent="0.3">
      <c r="E3786" s="9" t="str">
        <f>IF(DADOS!C3786="","",DADOS!C3786)</f>
        <v/>
      </c>
      <c r="F3786" s="9" t="str">
        <f>IF(DADOS!E3786="","",DADOS!E3786)</f>
        <v/>
      </c>
      <c r="G3786" s="9" t="str">
        <f>IF(DADOS!F3786="","",DADOS!F3786)</f>
        <v/>
      </c>
      <c r="K3786" s="6" t="str">
        <f t="shared" si="300"/>
        <v/>
      </c>
      <c r="L3786" s="7" t="str">
        <f t="shared" si="301"/>
        <v/>
      </c>
      <c r="M3786" s="7" t="str">
        <f t="shared" si="298"/>
        <v/>
      </c>
      <c r="N3786" s="7" t="str">
        <f t="shared" si="302"/>
        <v/>
      </c>
      <c r="O3786" s="8"/>
      <c r="P3786" s="26"/>
      <c r="S3786" s="10" t="str">
        <f t="shared" si="299"/>
        <v/>
      </c>
    </row>
    <row r="3787" spans="5:19" x14ac:dyDescent="0.3">
      <c r="E3787" s="9" t="str">
        <f>IF(DADOS!C3787="","",DADOS!C3787)</f>
        <v/>
      </c>
      <c r="F3787" s="9" t="str">
        <f>IF(DADOS!E3787="","",DADOS!E3787)</f>
        <v/>
      </c>
      <c r="G3787" s="9" t="str">
        <f>IF(DADOS!F3787="","",DADOS!F3787)</f>
        <v/>
      </c>
      <c r="K3787" s="6" t="str">
        <f t="shared" si="300"/>
        <v/>
      </c>
      <c r="L3787" s="7" t="str">
        <f t="shared" si="301"/>
        <v/>
      </c>
      <c r="M3787" s="7" t="str">
        <f t="shared" si="298"/>
        <v/>
      </c>
      <c r="N3787" s="7" t="str">
        <f t="shared" si="302"/>
        <v/>
      </c>
      <c r="O3787" s="8"/>
      <c r="P3787" s="26"/>
      <c r="S3787" s="10" t="str">
        <f t="shared" si="299"/>
        <v/>
      </c>
    </row>
    <row r="3788" spans="5:19" x14ac:dyDescent="0.3">
      <c r="E3788" s="9" t="str">
        <f>IF(DADOS!C3788="","",DADOS!C3788)</f>
        <v/>
      </c>
      <c r="F3788" s="9" t="str">
        <f>IF(DADOS!E3788="","",DADOS!E3788)</f>
        <v/>
      </c>
      <c r="G3788" s="9" t="str">
        <f>IF(DADOS!F3788="","",DADOS!F3788)</f>
        <v/>
      </c>
      <c r="K3788" s="6" t="str">
        <f t="shared" si="300"/>
        <v/>
      </c>
      <c r="L3788" s="7" t="str">
        <f t="shared" si="301"/>
        <v/>
      </c>
      <c r="M3788" s="7" t="str">
        <f t="shared" si="298"/>
        <v/>
      </c>
      <c r="N3788" s="7" t="str">
        <f t="shared" si="302"/>
        <v/>
      </c>
      <c r="O3788" s="8"/>
      <c r="P3788" s="26"/>
      <c r="S3788" s="10" t="str">
        <f t="shared" si="299"/>
        <v/>
      </c>
    </row>
    <row r="3789" spans="5:19" x14ac:dyDescent="0.3">
      <c r="E3789" s="9" t="str">
        <f>IF(DADOS!C3789="","",DADOS!C3789)</f>
        <v/>
      </c>
      <c r="F3789" s="9" t="str">
        <f>IF(DADOS!E3789="","",DADOS!E3789)</f>
        <v/>
      </c>
      <c r="G3789" s="9" t="str">
        <f>IF(DADOS!F3789="","",DADOS!F3789)</f>
        <v/>
      </c>
      <c r="K3789" s="6" t="str">
        <f t="shared" si="300"/>
        <v/>
      </c>
      <c r="L3789" s="7" t="str">
        <f t="shared" si="301"/>
        <v/>
      </c>
      <c r="M3789" s="7" t="str">
        <f t="shared" si="298"/>
        <v/>
      </c>
      <c r="N3789" s="7" t="str">
        <f t="shared" si="302"/>
        <v/>
      </c>
      <c r="O3789" s="8"/>
      <c r="P3789" s="26"/>
      <c r="S3789" s="10" t="str">
        <f t="shared" si="299"/>
        <v/>
      </c>
    </row>
    <row r="3790" spans="5:19" x14ac:dyDescent="0.3">
      <c r="E3790" s="9" t="str">
        <f>IF(DADOS!C3790="","",DADOS!C3790)</f>
        <v/>
      </c>
      <c r="F3790" s="9" t="str">
        <f>IF(DADOS!E3790="","",DADOS!E3790)</f>
        <v/>
      </c>
      <c r="G3790" s="9" t="str">
        <f>IF(DADOS!F3790="","",DADOS!F3790)</f>
        <v/>
      </c>
      <c r="K3790" s="6" t="str">
        <f t="shared" si="300"/>
        <v/>
      </c>
      <c r="L3790" s="7" t="str">
        <f t="shared" si="301"/>
        <v/>
      </c>
      <c r="M3790" s="7" t="str">
        <f t="shared" si="298"/>
        <v/>
      </c>
      <c r="N3790" s="7" t="str">
        <f t="shared" si="302"/>
        <v/>
      </c>
      <c r="O3790" s="8"/>
      <c r="P3790" s="26"/>
      <c r="S3790" s="10" t="str">
        <f t="shared" si="299"/>
        <v/>
      </c>
    </row>
    <row r="3791" spans="5:19" x14ac:dyDescent="0.3">
      <c r="E3791" s="9" t="str">
        <f>IF(DADOS!C3791="","",DADOS!C3791)</f>
        <v/>
      </c>
      <c r="F3791" s="9" t="str">
        <f>IF(DADOS!E3791="","",DADOS!E3791)</f>
        <v/>
      </c>
      <c r="G3791" s="9" t="str">
        <f>IF(DADOS!F3791="","",DADOS!F3791)</f>
        <v/>
      </c>
      <c r="K3791" s="6" t="str">
        <f t="shared" si="300"/>
        <v/>
      </c>
      <c r="L3791" s="7" t="str">
        <f t="shared" si="301"/>
        <v/>
      </c>
      <c r="M3791" s="7" t="str">
        <f t="shared" si="298"/>
        <v/>
      </c>
      <c r="N3791" s="7" t="str">
        <f t="shared" si="302"/>
        <v/>
      </c>
      <c r="O3791" s="8"/>
      <c r="P3791" s="26"/>
      <c r="S3791" s="10" t="str">
        <f t="shared" si="299"/>
        <v/>
      </c>
    </row>
    <row r="3792" spans="5:19" x14ac:dyDescent="0.3">
      <c r="E3792" s="9" t="str">
        <f>IF(DADOS!C3792="","",DADOS!C3792)</f>
        <v/>
      </c>
      <c r="F3792" s="9" t="str">
        <f>IF(DADOS!E3792="","",DADOS!E3792)</f>
        <v/>
      </c>
      <c r="G3792" s="9" t="str">
        <f>IF(DADOS!F3792="","",DADOS!F3792)</f>
        <v/>
      </c>
      <c r="K3792" s="6" t="str">
        <f t="shared" si="300"/>
        <v/>
      </c>
      <c r="L3792" s="7" t="str">
        <f t="shared" si="301"/>
        <v/>
      </c>
      <c r="M3792" s="7" t="str">
        <f t="shared" si="298"/>
        <v/>
      </c>
      <c r="N3792" s="7" t="str">
        <f t="shared" si="302"/>
        <v/>
      </c>
      <c r="O3792" s="8"/>
      <c r="P3792" s="26"/>
      <c r="S3792" s="10" t="str">
        <f t="shared" si="299"/>
        <v/>
      </c>
    </row>
    <row r="3793" spans="5:19" x14ac:dyDescent="0.3">
      <c r="E3793" s="9" t="str">
        <f>IF(DADOS!C3793="","",DADOS!C3793)</f>
        <v/>
      </c>
      <c r="F3793" s="9" t="str">
        <f>IF(DADOS!E3793="","",DADOS!E3793)</f>
        <v/>
      </c>
      <c r="G3793" s="9" t="str">
        <f>IF(DADOS!F3793="","",DADOS!F3793)</f>
        <v/>
      </c>
      <c r="K3793" s="6" t="str">
        <f t="shared" si="300"/>
        <v/>
      </c>
      <c r="L3793" s="7" t="str">
        <f t="shared" si="301"/>
        <v/>
      </c>
      <c r="M3793" s="7" t="str">
        <f t="shared" si="298"/>
        <v/>
      </c>
      <c r="N3793" s="7" t="str">
        <f t="shared" si="302"/>
        <v/>
      </c>
      <c r="O3793" s="8"/>
      <c r="P3793" s="26"/>
      <c r="S3793" s="10" t="str">
        <f t="shared" si="299"/>
        <v/>
      </c>
    </row>
    <row r="3794" spans="5:19" x14ac:dyDescent="0.3">
      <c r="E3794" s="9" t="str">
        <f>IF(DADOS!C3794="","",DADOS!C3794)</f>
        <v/>
      </c>
      <c r="F3794" s="9" t="str">
        <f>IF(DADOS!E3794="","",DADOS!E3794)</f>
        <v/>
      </c>
      <c r="G3794" s="9" t="str">
        <f>IF(DADOS!F3794="","",DADOS!F3794)</f>
        <v/>
      </c>
      <c r="K3794" s="6" t="str">
        <f t="shared" si="300"/>
        <v/>
      </c>
      <c r="L3794" s="7" t="str">
        <f t="shared" si="301"/>
        <v/>
      </c>
      <c r="M3794" s="7" t="str">
        <f t="shared" si="298"/>
        <v/>
      </c>
      <c r="N3794" s="7" t="str">
        <f t="shared" si="302"/>
        <v/>
      </c>
      <c r="O3794" s="8"/>
      <c r="P3794" s="26"/>
      <c r="S3794" s="10" t="str">
        <f t="shared" si="299"/>
        <v/>
      </c>
    </row>
    <row r="3795" spans="5:19" x14ac:dyDescent="0.3">
      <c r="E3795" s="9" t="str">
        <f>IF(DADOS!C3795="","",DADOS!C3795)</f>
        <v/>
      </c>
      <c r="F3795" s="9" t="str">
        <f>IF(DADOS!E3795="","",DADOS!E3795)</f>
        <v/>
      </c>
      <c r="G3795" s="9" t="str">
        <f>IF(DADOS!F3795="","",DADOS!F3795)</f>
        <v/>
      </c>
      <c r="K3795" s="6" t="str">
        <f t="shared" si="300"/>
        <v/>
      </c>
      <c r="L3795" s="7" t="str">
        <f t="shared" si="301"/>
        <v/>
      </c>
      <c r="M3795" s="7" t="str">
        <f t="shared" si="298"/>
        <v/>
      </c>
      <c r="N3795" s="7" t="str">
        <f t="shared" si="302"/>
        <v/>
      </c>
      <c r="O3795" s="8"/>
      <c r="P3795" s="26"/>
      <c r="S3795" s="10" t="str">
        <f t="shared" si="299"/>
        <v/>
      </c>
    </row>
    <row r="3796" spans="5:19" x14ac:dyDescent="0.3">
      <c r="E3796" s="9" t="str">
        <f>IF(DADOS!C3796="","",DADOS!C3796)</f>
        <v/>
      </c>
      <c r="F3796" s="9" t="str">
        <f>IF(DADOS!E3796="","",DADOS!E3796)</f>
        <v/>
      </c>
      <c r="G3796" s="9" t="str">
        <f>IF(DADOS!F3796="","",DADOS!F3796)</f>
        <v/>
      </c>
      <c r="K3796" s="6" t="str">
        <f t="shared" si="300"/>
        <v/>
      </c>
      <c r="L3796" s="7" t="str">
        <f t="shared" si="301"/>
        <v/>
      </c>
      <c r="M3796" s="7" t="str">
        <f t="shared" si="298"/>
        <v/>
      </c>
      <c r="N3796" s="7" t="str">
        <f t="shared" si="302"/>
        <v/>
      </c>
      <c r="O3796" s="8"/>
      <c r="P3796" s="26"/>
      <c r="S3796" s="10" t="str">
        <f t="shared" si="299"/>
        <v/>
      </c>
    </row>
    <row r="3797" spans="5:19" x14ac:dyDescent="0.3">
      <c r="E3797" s="9" t="str">
        <f>IF(DADOS!C3797="","",DADOS!C3797)</f>
        <v/>
      </c>
      <c r="F3797" s="9" t="str">
        <f>IF(DADOS!E3797="","",DADOS!E3797)</f>
        <v/>
      </c>
      <c r="G3797" s="9" t="str">
        <f>IF(DADOS!F3797="","",DADOS!F3797)</f>
        <v/>
      </c>
      <c r="K3797" s="6" t="str">
        <f t="shared" si="300"/>
        <v/>
      </c>
      <c r="L3797" s="7" t="str">
        <f t="shared" si="301"/>
        <v/>
      </c>
      <c r="M3797" s="7" t="str">
        <f t="shared" si="298"/>
        <v/>
      </c>
      <c r="N3797" s="7" t="str">
        <f t="shared" si="302"/>
        <v/>
      </c>
      <c r="O3797" s="8"/>
      <c r="P3797" s="26"/>
      <c r="S3797" s="10" t="str">
        <f t="shared" si="299"/>
        <v/>
      </c>
    </row>
    <row r="3798" spans="5:19" x14ac:dyDescent="0.3">
      <c r="E3798" s="9" t="str">
        <f>IF(DADOS!C3798="","",DADOS!C3798)</f>
        <v/>
      </c>
      <c r="F3798" s="9" t="str">
        <f>IF(DADOS!E3798="","",DADOS!E3798)</f>
        <v/>
      </c>
      <c r="G3798" s="9" t="str">
        <f>IF(DADOS!F3798="","",DADOS!F3798)</f>
        <v/>
      </c>
      <c r="K3798" s="6" t="str">
        <f t="shared" si="300"/>
        <v/>
      </c>
      <c r="L3798" s="7" t="str">
        <f t="shared" si="301"/>
        <v/>
      </c>
      <c r="M3798" s="7" t="str">
        <f t="shared" si="298"/>
        <v/>
      </c>
      <c r="N3798" s="7" t="str">
        <f t="shared" si="302"/>
        <v/>
      </c>
      <c r="O3798" s="8"/>
      <c r="P3798" s="26"/>
      <c r="S3798" s="10" t="str">
        <f t="shared" si="299"/>
        <v/>
      </c>
    </row>
    <row r="3799" spans="5:19" x14ac:dyDescent="0.3">
      <c r="E3799" s="9" t="str">
        <f>IF(DADOS!C3799="","",DADOS!C3799)</f>
        <v/>
      </c>
      <c r="F3799" s="9" t="str">
        <f>IF(DADOS!E3799="","",DADOS!E3799)</f>
        <v/>
      </c>
      <c r="G3799" s="9" t="str">
        <f>IF(DADOS!F3799="","",DADOS!F3799)</f>
        <v/>
      </c>
      <c r="K3799" s="6" t="str">
        <f t="shared" si="300"/>
        <v/>
      </c>
      <c r="L3799" s="7" t="str">
        <f t="shared" si="301"/>
        <v/>
      </c>
      <c r="M3799" s="7" t="str">
        <f t="shared" si="298"/>
        <v/>
      </c>
      <c r="N3799" s="7" t="str">
        <f t="shared" si="302"/>
        <v/>
      </c>
      <c r="O3799" s="8"/>
      <c r="P3799" s="26"/>
      <c r="S3799" s="10" t="str">
        <f t="shared" si="299"/>
        <v/>
      </c>
    </row>
    <row r="3800" spans="5:19" x14ac:dyDescent="0.3">
      <c r="E3800" s="9" t="str">
        <f>IF(DADOS!C3800="","",DADOS!C3800)</f>
        <v/>
      </c>
      <c r="F3800" s="9" t="str">
        <f>IF(DADOS!E3800="","",DADOS!E3800)</f>
        <v/>
      </c>
      <c r="G3800" s="9" t="str">
        <f>IF(DADOS!F3800="","",DADOS!F3800)</f>
        <v/>
      </c>
      <c r="K3800" s="6" t="str">
        <f t="shared" si="300"/>
        <v/>
      </c>
      <c r="L3800" s="7" t="str">
        <f t="shared" si="301"/>
        <v/>
      </c>
      <c r="M3800" s="7" t="str">
        <f t="shared" si="298"/>
        <v/>
      </c>
      <c r="N3800" s="7" t="str">
        <f t="shared" si="302"/>
        <v/>
      </c>
      <c r="O3800" s="8"/>
      <c r="P3800" s="26"/>
      <c r="S3800" s="10" t="str">
        <f t="shared" si="299"/>
        <v/>
      </c>
    </row>
    <row r="3801" spans="5:19" x14ac:dyDescent="0.3">
      <c r="E3801" s="9" t="str">
        <f>IF(DADOS!C3801="","",DADOS!C3801)</f>
        <v/>
      </c>
      <c r="F3801" s="9" t="str">
        <f>IF(DADOS!E3801="","",DADOS!E3801)</f>
        <v/>
      </c>
      <c r="G3801" s="9" t="str">
        <f>IF(DADOS!F3801="","",DADOS!F3801)</f>
        <v/>
      </c>
      <c r="K3801" s="6" t="str">
        <f t="shared" si="300"/>
        <v/>
      </c>
      <c r="L3801" s="7" t="str">
        <f t="shared" si="301"/>
        <v/>
      </c>
      <c r="M3801" s="7" t="str">
        <f t="shared" si="298"/>
        <v/>
      </c>
      <c r="N3801" s="7" t="str">
        <f t="shared" si="302"/>
        <v/>
      </c>
      <c r="O3801" s="8"/>
      <c r="P3801" s="26"/>
      <c r="S3801" s="10" t="str">
        <f t="shared" si="299"/>
        <v/>
      </c>
    </row>
    <row r="3802" spans="5:19" x14ac:dyDescent="0.3">
      <c r="E3802" s="9" t="str">
        <f>IF(DADOS!C3802="","",DADOS!C3802)</f>
        <v/>
      </c>
      <c r="F3802" s="9" t="str">
        <f>IF(DADOS!E3802="","",DADOS!E3802)</f>
        <v/>
      </c>
      <c r="G3802" s="9" t="str">
        <f>IF(DADOS!F3802="","",DADOS!F3802)</f>
        <v/>
      </c>
      <c r="K3802" s="6" t="str">
        <f t="shared" si="300"/>
        <v/>
      </c>
      <c r="L3802" s="7" t="str">
        <f t="shared" si="301"/>
        <v/>
      </c>
      <c r="M3802" s="7" t="str">
        <f t="shared" si="298"/>
        <v/>
      </c>
      <c r="N3802" s="7" t="str">
        <f t="shared" si="302"/>
        <v/>
      </c>
      <c r="O3802" s="8"/>
      <c r="P3802" s="26"/>
      <c r="S3802" s="10" t="str">
        <f t="shared" si="299"/>
        <v/>
      </c>
    </row>
    <row r="3803" spans="5:19" x14ac:dyDescent="0.3">
      <c r="E3803" s="9" t="str">
        <f>IF(DADOS!C3803="","",DADOS!C3803)</f>
        <v/>
      </c>
      <c r="F3803" s="9" t="str">
        <f>IF(DADOS!E3803="","",DADOS!E3803)</f>
        <v/>
      </c>
      <c r="G3803" s="9" t="str">
        <f>IF(DADOS!F3803="","",DADOS!F3803)</f>
        <v/>
      </c>
      <c r="K3803" s="6" t="str">
        <f t="shared" si="300"/>
        <v/>
      </c>
      <c r="L3803" s="7" t="str">
        <f t="shared" si="301"/>
        <v/>
      </c>
      <c r="M3803" s="7" t="str">
        <f t="shared" si="298"/>
        <v/>
      </c>
      <c r="N3803" s="7" t="str">
        <f t="shared" si="302"/>
        <v/>
      </c>
      <c r="O3803" s="8"/>
      <c r="P3803" s="26"/>
      <c r="S3803" s="10" t="str">
        <f t="shared" si="299"/>
        <v/>
      </c>
    </row>
    <row r="3804" spans="5:19" x14ac:dyDescent="0.3">
      <c r="E3804" s="9" t="str">
        <f>IF(DADOS!C3804="","",DADOS!C3804)</f>
        <v/>
      </c>
      <c r="F3804" s="9" t="str">
        <f>IF(DADOS!E3804="","",DADOS!E3804)</f>
        <v/>
      </c>
      <c r="G3804" s="9" t="str">
        <f>IF(DADOS!F3804="","",DADOS!F3804)</f>
        <v/>
      </c>
      <c r="K3804" s="6" t="str">
        <f t="shared" si="300"/>
        <v/>
      </c>
      <c r="L3804" s="7" t="str">
        <f t="shared" si="301"/>
        <v/>
      </c>
      <c r="M3804" s="7" t="str">
        <f t="shared" si="298"/>
        <v/>
      </c>
      <c r="N3804" s="7" t="str">
        <f t="shared" si="302"/>
        <v/>
      </c>
      <c r="O3804" s="8"/>
      <c r="P3804" s="26"/>
      <c r="S3804" s="10" t="str">
        <f t="shared" si="299"/>
        <v/>
      </c>
    </row>
    <row r="3805" spans="5:19" x14ac:dyDescent="0.3">
      <c r="E3805" s="9" t="str">
        <f>IF(DADOS!C3805="","",DADOS!C3805)</f>
        <v/>
      </c>
      <c r="F3805" s="9" t="str">
        <f>IF(DADOS!E3805="","",DADOS!E3805)</f>
        <v/>
      </c>
      <c r="G3805" s="9" t="str">
        <f>IF(DADOS!F3805="","",DADOS!F3805)</f>
        <v/>
      </c>
      <c r="K3805" s="6" t="str">
        <f t="shared" si="300"/>
        <v/>
      </c>
      <c r="L3805" s="7" t="str">
        <f t="shared" si="301"/>
        <v/>
      </c>
      <c r="M3805" s="7" t="str">
        <f t="shared" si="298"/>
        <v/>
      </c>
      <c r="N3805" s="7" t="str">
        <f t="shared" si="302"/>
        <v/>
      </c>
      <c r="O3805" s="8"/>
      <c r="P3805" s="26"/>
      <c r="S3805" s="10" t="str">
        <f t="shared" si="299"/>
        <v/>
      </c>
    </row>
    <row r="3806" spans="5:19" x14ac:dyDescent="0.3">
      <c r="E3806" s="9" t="str">
        <f>IF(DADOS!C3806="","",DADOS!C3806)</f>
        <v/>
      </c>
      <c r="F3806" s="9" t="str">
        <f>IF(DADOS!E3806="","",DADOS!E3806)</f>
        <v/>
      </c>
      <c r="G3806" s="9" t="str">
        <f>IF(DADOS!F3806="","",DADOS!F3806)</f>
        <v/>
      </c>
      <c r="K3806" s="6" t="str">
        <f t="shared" si="300"/>
        <v/>
      </c>
      <c r="L3806" s="7" t="str">
        <f t="shared" si="301"/>
        <v/>
      </c>
      <c r="M3806" s="7" t="str">
        <f t="shared" si="298"/>
        <v/>
      </c>
      <c r="N3806" s="7" t="str">
        <f t="shared" si="302"/>
        <v/>
      </c>
      <c r="O3806" s="8"/>
      <c r="P3806" s="26"/>
      <c r="S3806" s="10" t="str">
        <f t="shared" si="299"/>
        <v/>
      </c>
    </row>
    <row r="3807" spans="5:19" x14ac:dyDescent="0.3">
      <c r="E3807" s="9" t="str">
        <f>IF(DADOS!C3807="","",DADOS!C3807)</f>
        <v/>
      </c>
      <c r="F3807" s="9" t="str">
        <f>IF(DADOS!E3807="","",DADOS!E3807)</f>
        <v/>
      </c>
      <c r="G3807" s="9" t="str">
        <f>IF(DADOS!F3807="","",DADOS!F3807)</f>
        <v/>
      </c>
      <c r="K3807" s="6" t="str">
        <f t="shared" si="300"/>
        <v/>
      </c>
      <c r="L3807" s="7" t="str">
        <f t="shared" si="301"/>
        <v/>
      </c>
      <c r="M3807" s="7" t="str">
        <f t="shared" si="298"/>
        <v/>
      </c>
      <c r="N3807" s="7" t="str">
        <f t="shared" si="302"/>
        <v/>
      </c>
      <c r="O3807" s="8"/>
      <c r="P3807" s="26"/>
      <c r="S3807" s="10" t="str">
        <f t="shared" si="299"/>
        <v/>
      </c>
    </row>
    <row r="3808" spans="5:19" x14ac:dyDescent="0.3">
      <c r="E3808" s="9" t="str">
        <f>IF(DADOS!C3808="","",DADOS!C3808)</f>
        <v/>
      </c>
      <c r="F3808" s="9" t="str">
        <f>IF(DADOS!E3808="","",DADOS!E3808)</f>
        <v/>
      </c>
      <c r="G3808" s="9" t="str">
        <f>IF(DADOS!F3808="","",DADOS!F3808)</f>
        <v/>
      </c>
      <c r="K3808" s="6" t="str">
        <f t="shared" si="300"/>
        <v/>
      </c>
      <c r="L3808" s="7" t="str">
        <f t="shared" si="301"/>
        <v/>
      </c>
      <c r="M3808" s="7" t="str">
        <f t="shared" si="298"/>
        <v/>
      </c>
      <c r="N3808" s="7" t="str">
        <f t="shared" si="302"/>
        <v/>
      </c>
      <c r="O3808" s="8"/>
      <c r="P3808" s="26"/>
      <c r="S3808" s="10" t="str">
        <f t="shared" si="299"/>
        <v/>
      </c>
    </row>
    <row r="3809" spans="5:19" x14ac:dyDescent="0.3">
      <c r="E3809" s="9" t="str">
        <f>IF(DADOS!C3809="","",DADOS!C3809)</f>
        <v/>
      </c>
      <c r="F3809" s="9" t="str">
        <f>IF(DADOS!E3809="","",DADOS!E3809)</f>
        <v/>
      </c>
      <c r="G3809" s="9" t="str">
        <f>IF(DADOS!F3809="","",DADOS!F3809)</f>
        <v/>
      </c>
      <c r="K3809" s="6" t="str">
        <f t="shared" si="300"/>
        <v/>
      </c>
      <c r="L3809" s="7" t="str">
        <f t="shared" si="301"/>
        <v/>
      </c>
      <c r="M3809" s="7" t="str">
        <f t="shared" si="298"/>
        <v/>
      </c>
      <c r="N3809" s="7" t="str">
        <f t="shared" si="302"/>
        <v/>
      </c>
      <c r="O3809" s="8"/>
      <c r="P3809" s="26"/>
      <c r="S3809" s="10" t="str">
        <f t="shared" si="299"/>
        <v/>
      </c>
    </row>
    <row r="3810" spans="5:19" x14ac:dyDescent="0.3">
      <c r="E3810" s="9" t="str">
        <f>IF(DADOS!C3810="","",DADOS!C3810)</f>
        <v/>
      </c>
      <c r="F3810" s="9" t="str">
        <f>IF(DADOS!E3810="","",DADOS!E3810)</f>
        <v/>
      </c>
      <c r="G3810" s="9" t="str">
        <f>IF(DADOS!F3810="","",DADOS!F3810)</f>
        <v/>
      </c>
      <c r="K3810" s="6" t="str">
        <f t="shared" si="300"/>
        <v/>
      </c>
      <c r="L3810" s="7" t="str">
        <f t="shared" si="301"/>
        <v/>
      </c>
      <c r="M3810" s="7" t="str">
        <f t="shared" si="298"/>
        <v/>
      </c>
      <c r="N3810" s="7" t="str">
        <f t="shared" si="302"/>
        <v/>
      </c>
      <c r="O3810" s="8"/>
      <c r="P3810" s="26"/>
      <c r="S3810" s="10" t="str">
        <f t="shared" si="299"/>
        <v/>
      </c>
    </row>
    <row r="3811" spans="5:19" x14ac:dyDescent="0.3">
      <c r="E3811" s="9" t="str">
        <f>IF(DADOS!C3811="","",DADOS!C3811)</f>
        <v/>
      </c>
      <c r="F3811" s="9" t="str">
        <f>IF(DADOS!E3811="","",DADOS!E3811)</f>
        <v/>
      </c>
      <c r="G3811" s="9" t="str">
        <f>IF(DADOS!F3811="","",DADOS!F3811)</f>
        <v/>
      </c>
      <c r="K3811" s="6" t="str">
        <f t="shared" si="300"/>
        <v/>
      </c>
      <c r="L3811" s="7" t="str">
        <f t="shared" si="301"/>
        <v/>
      </c>
      <c r="M3811" s="7" t="str">
        <f t="shared" si="298"/>
        <v/>
      </c>
      <c r="N3811" s="7" t="str">
        <f t="shared" si="302"/>
        <v/>
      </c>
      <c r="O3811" s="8"/>
      <c r="P3811" s="26"/>
      <c r="S3811" s="10" t="str">
        <f t="shared" si="299"/>
        <v/>
      </c>
    </row>
    <row r="3812" spans="5:19" x14ac:dyDescent="0.3">
      <c r="E3812" s="9" t="str">
        <f>IF(DADOS!C3812="","",DADOS!C3812)</f>
        <v/>
      </c>
      <c r="F3812" s="9" t="str">
        <f>IF(DADOS!E3812="","",DADOS!E3812)</f>
        <v/>
      </c>
      <c r="G3812" s="9" t="str">
        <f>IF(DADOS!F3812="","",DADOS!F3812)</f>
        <v/>
      </c>
      <c r="K3812" s="6" t="str">
        <f t="shared" si="300"/>
        <v/>
      </c>
      <c r="L3812" s="7" t="str">
        <f t="shared" si="301"/>
        <v/>
      </c>
      <c r="M3812" s="7" t="str">
        <f t="shared" si="298"/>
        <v/>
      </c>
      <c r="N3812" s="7" t="str">
        <f t="shared" si="302"/>
        <v/>
      </c>
      <c r="O3812" s="8"/>
      <c r="P3812" s="26"/>
      <c r="S3812" s="10" t="str">
        <f t="shared" si="299"/>
        <v/>
      </c>
    </row>
    <row r="3813" spans="5:19" x14ac:dyDescent="0.3">
      <c r="E3813" s="9" t="str">
        <f>IF(DADOS!C3813="","",DADOS!C3813)</f>
        <v/>
      </c>
      <c r="F3813" s="9" t="str">
        <f>IF(DADOS!E3813="","",DADOS!E3813)</f>
        <v/>
      </c>
      <c r="G3813" s="9" t="str">
        <f>IF(DADOS!F3813="","",DADOS!F3813)</f>
        <v/>
      </c>
      <c r="K3813" s="6" t="str">
        <f t="shared" si="300"/>
        <v/>
      </c>
      <c r="L3813" s="7" t="str">
        <f t="shared" si="301"/>
        <v/>
      </c>
      <c r="M3813" s="7" t="str">
        <f t="shared" si="298"/>
        <v/>
      </c>
      <c r="N3813" s="7" t="str">
        <f t="shared" si="302"/>
        <v/>
      </c>
      <c r="O3813" s="8"/>
      <c r="P3813" s="26"/>
      <c r="S3813" s="10" t="str">
        <f t="shared" si="299"/>
        <v/>
      </c>
    </row>
    <row r="3814" spans="5:19" x14ac:dyDescent="0.3">
      <c r="E3814" s="9" t="str">
        <f>IF(DADOS!C3814="","",DADOS!C3814)</f>
        <v/>
      </c>
      <c r="F3814" s="9" t="str">
        <f>IF(DADOS!E3814="","",DADOS!E3814)</f>
        <v/>
      </c>
      <c r="G3814" s="9" t="str">
        <f>IF(DADOS!F3814="","",DADOS!F3814)</f>
        <v/>
      </c>
      <c r="K3814" s="6" t="str">
        <f t="shared" si="300"/>
        <v/>
      </c>
      <c r="L3814" s="7" t="str">
        <f t="shared" si="301"/>
        <v/>
      </c>
      <c r="M3814" s="7" t="str">
        <f t="shared" si="298"/>
        <v/>
      </c>
      <c r="N3814" s="7" t="str">
        <f t="shared" si="302"/>
        <v/>
      </c>
      <c r="O3814" s="8"/>
      <c r="P3814" s="26"/>
      <c r="S3814" s="10" t="str">
        <f t="shared" si="299"/>
        <v/>
      </c>
    </row>
    <row r="3815" spans="5:19" x14ac:dyDescent="0.3">
      <c r="E3815" s="9" t="str">
        <f>IF(DADOS!C3815="","",DADOS!C3815)</f>
        <v/>
      </c>
      <c r="F3815" s="9" t="str">
        <f>IF(DADOS!E3815="","",DADOS!E3815)</f>
        <v/>
      </c>
      <c r="G3815" s="9" t="str">
        <f>IF(DADOS!F3815="","",DADOS!F3815)</f>
        <v/>
      </c>
      <c r="K3815" s="6" t="str">
        <f t="shared" si="300"/>
        <v/>
      </c>
      <c r="L3815" s="7" t="str">
        <f t="shared" si="301"/>
        <v/>
      </c>
      <c r="M3815" s="7" t="str">
        <f t="shared" si="298"/>
        <v/>
      </c>
      <c r="N3815" s="7" t="str">
        <f t="shared" si="302"/>
        <v/>
      </c>
      <c r="O3815" s="8"/>
      <c r="P3815" s="26"/>
      <c r="S3815" s="10" t="str">
        <f t="shared" si="299"/>
        <v/>
      </c>
    </row>
    <row r="3816" spans="5:19" x14ac:dyDescent="0.3">
      <c r="E3816" s="9" t="str">
        <f>IF(DADOS!C3816="","",DADOS!C3816)</f>
        <v/>
      </c>
      <c r="F3816" s="9" t="str">
        <f>IF(DADOS!E3816="","",DADOS!E3816)</f>
        <v/>
      </c>
      <c r="G3816" s="9" t="str">
        <f>IF(DADOS!F3816="","",DADOS!F3816)</f>
        <v/>
      </c>
      <c r="K3816" s="6" t="str">
        <f t="shared" si="300"/>
        <v/>
      </c>
      <c r="L3816" s="7" t="str">
        <f t="shared" si="301"/>
        <v/>
      </c>
      <c r="M3816" s="7" t="str">
        <f t="shared" si="298"/>
        <v/>
      </c>
      <c r="N3816" s="7" t="str">
        <f t="shared" si="302"/>
        <v/>
      </c>
      <c r="O3816" s="8"/>
      <c r="P3816" s="26"/>
      <c r="S3816" s="10" t="str">
        <f t="shared" si="299"/>
        <v/>
      </c>
    </row>
    <row r="3817" spans="5:19" x14ac:dyDescent="0.3">
      <c r="E3817" s="9" t="str">
        <f>IF(DADOS!C3817="","",DADOS!C3817)</f>
        <v/>
      </c>
      <c r="F3817" s="9" t="str">
        <f>IF(DADOS!E3817="","",DADOS!E3817)</f>
        <v/>
      </c>
      <c r="G3817" s="9" t="str">
        <f>IF(DADOS!F3817="","",DADOS!F3817)</f>
        <v/>
      </c>
      <c r="K3817" s="6" t="str">
        <f t="shared" si="300"/>
        <v/>
      </c>
      <c r="L3817" s="7" t="str">
        <f t="shared" si="301"/>
        <v/>
      </c>
      <c r="M3817" s="7" t="str">
        <f t="shared" si="298"/>
        <v/>
      </c>
      <c r="N3817" s="7" t="str">
        <f t="shared" si="302"/>
        <v/>
      </c>
      <c r="O3817" s="8"/>
      <c r="P3817" s="26"/>
      <c r="S3817" s="10" t="str">
        <f t="shared" si="299"/>
        <v/>
      </c>
    </row>
    <row r="3818" spans="5:19" x14ac:dyDescent="0.3">
      <c r="E3818" s="9" t="str">
        <f>IF(DADOS!C3818="","",DADOS!C3818)</f>
        <v/>
      </c>
      <c r="F3818" s="9" t="str">
        <f>IF(DADOS!E3818="","",DADOS!E3818)</f>
        <v/>
      </c>
      <c r="G3818" s="9" t="str">
        <f>IF(DADOS!F3818="","",DADOS!F3818)</f>
        <v/>
      </c>
      <c r="K3818" s="6" t="str">
        <f t="shared" si="300"/>
        <v/>
      </c>
      <c r="L3818" s="7" t="str">
        <f t="shared" si="301"/>
        <v/>
      </c>
      <c r="M3818" s="7" t="str">
        <f t="shared" si="298"/>
        <v/>
      </c>
      <c r="N3818" s="7" t="str">
        <f t="shared" si="302"/>
        <v/>
      </c>
      <c r="O3818" s="8"/>
      <c r="P3818" s="26"/>
      <c r="S3818" s="10" t="str">
        <f t="shared" si="299"/>
        <v/>
      </c>
    </row>
    <row r="3819" spans="5:19" x14ac:dyDescent="0.3">
      <c r="E3819" s="9" t="str">
        <f>IF(DADOS!C3819="","",DADOS!C3819)</f>
        <v/>
      </c>
      <c r="F3819" s="9" t="str">
        <f>IF(DADOS!E3819="","",DADOS!E3819)</f>
        <v/>
      </c>
      <c r="G3819" s="9" t="str">
        <f>IF(DADOS!F3819="","",DADOS!F3819)</f>
        <v/>
      </c>
      <c r="K3819" s="6" t="str">
        <f t="shared" si="300"/>
        <v/>
      </c>
      <c r="L3819" s="7" t="str">
        <f t="shared" si="301"/>
        <v/>
      </c>
      <c r="M3819" s="7" t="str">
        <f t="shared" si="298"/>
        <v/>
      </c>
      <c r="N3819" s="7" t="str">
        <f t="shared" si="302"/>
        <v/>
      </c>
      <c r="O3819" s="8"/>
      <c r="P3819" s="26"/>
      <c r="S3819" s="10" t="str">
        <f t="shared" si="299"/>
        <v/>
      </c>
    </row>
    <row r="3820" spans="5:19" x14ac:dyDescent="0.3">
      <c r="E3820" s="9" t="str">
        <f>IF(DADOS!C3820="","",DADOS!C3820)</f>
        <v/>
      </c>
      <c r="F3820" s="9" t="str">
        <f>IF(DADOS!E3820="","",DADOS!E3820)</f>
        <v/>
      </c>
      <c r="G3820" s="9" t="str">
        <f>IF(DADOS!F3820="","",DADOS!F3820)</f>
        <v/>
      </c>
      <c r="K3820" s="6" t="str">
        <f t="shared" si="300"/>
        <v/>
      </c>
      <c r="L3820" s="7" t="str">
        <f t="shared" si="301"/>
        <v/>
      </c>
      <c r="M3820" s="7" t="str">
        <f t="shared" si="298"/>
        <v/>
      </c>
      <c r="N3820" s="7" t="str">
        <f t="shared" si="302"/>
        <v/>
      </c>
      <c r="O3820" s="8"/>
      <c r="P3820" s="26"/>
      <c r="S3820" s="10" t="str">
        <f t="shared" si="299"/>
        <v/>
      </c>
    </row>
    <row r="3821" spans="5:19" x14ac:dyDescent="0.3">
      <c r="E3821" s="9" t="str">
        <f>IF(DADOS!C3821="","",DADOS!C3821)</f>
        <v/>
      </c>
      <c r="F3821" s="9" t="str">
        <f>IF(DADOS!E3821="","",DADOS!E3821)</f>
        <v/>
      </c>
      <c r="G3821" s="9" t="str">
        <f>IF(DADOS!F3821="","",DADOS!F3821)</f>
        <v/>
      </c>
      <c r="K3821" s="6" t="str">
        <f t="shared" si="300"/>
        <v/>
      </c>
      <c r="L3821" s="7" t="str">
        <f t="shared" si="301"/>
        <v/>
      </c>
      <c r="M3821" s="7" t="str">
        <f t="shared" si="298"/>
        <v/>
      </c>
      <c r="N3821" s="7" t="str">
        <f t="shared" si="302"/>
        <v/>
      </c>
      <c r="O3821" s="8"/>
      <c r="P3821" s="26"/>
      <c r="S3821" s="10" t="str">
        <f t="shared" si="299"/>
        <v/>
      </c>
    </row>
    <row r="3822" spans="5:19" x14ac:dyDescent="0.3">
      <c r="E3822" s="9" t="str">
        <f>IF(DADOS!C3822="","",DADOS!C3822)</f>
        <v/>
      </c>
      <c r="F3822" s="9" t="str">
        <f>IF(DADOS!E3822="","",DADOS!E3822)</f>
        <v/>
      </c>
      <c r="G3822" s="9" t="str">
        <f>IF(DADOS!F3822="","",DADOS!F3822)</f>
        <v/>
      </c>
      <c r="K3822" s="6" t="str">
        <f t="shared" si="300"/>
        <v/>
      </c>
      <c r="L3822" s="7" t="str">
        <f t="shared" si="301"/>
        <v/>
      </c>
      <c r="M3822" s="7" t="str">
        <f t="shared" si="298"/>
        <v/>
      </c>
      <c r="N3822" s="7" t="str">
        <f t="shared" si="302"/>
        <v/>
      </c>
      <c r="O3822" s="8"/>
      <c r="P3822" s="26"/>
      <c r="S3822" s="10" t="str">
        <f t="shared" si="299"/>
        <v/>
      </c>
    </row>
    <row r="3823" spans="5:19" x14ac:dyDescent="0.3">
      <c r="E3823" s="9" t="str">
        <f>IF(DADOS!C3823="","",DADOS!C3823)</f>
        <v/>
      </c>
      <c r="F3823" s="9" t="str">
        <f>IF(DADOS!E3823="","",DADOS!E3823)</f>
        <v/>
      </c>
      <c r="G3823" s="9" t="str">
        <f>IF(DADOS!F3823="","",DADOS!F3823)</f>
        <v/>
      </c>
      <c r="K3823" s="6" t="str">
        <f t="shared" si="300"/>
        <v/>
      </c>
      <c r="L3823" s="7" t="str">
        <f t="shared" si="301"/>
        <v/>
      </c>
      <c r="M3823" s="7" t="str">
        <f t="shared" si="298"/>
        <v/>
      </c>
      <c r="N3823" s="7" t="str">
        <f t="shared" si="302"/>
        <v/>
      </c>
      <c r="O3823" s="8"/>
      <c r="P3823" s="26"/>
      <c r="S3823" s="10" t="str">
        <f t="shared" si="299"/>
        <v/>
      </c>
    </row>
    <row r="3824" spans="5:19" x14ac:dyDescent="0.3">
      <c r="E3824" s="9" t="str">
        <f>IF(DADOS!C3824="","",DADOS!C3824)</f>
        <v/>
      </c>
      <c r="F3824" s="9" t="str">
        <f>IF(DADOS!E3824="","",DADOS!E3824)</f>
        <v/>
      </c>
      <c r="G3824" s="9" t="str">
        <f>IF(DADOS!F3824="","",DADOS!F3824)</f>
        <v/>
      </c>
      <c r="K3824" s="6" t="str">
        <f t="shared" si="300"/>
        <v/>
      </c>
      <c r="L3824" s="7" t="str">
        <f t="shared" si="301"/>
        <v/>
      </c>
      <c r="M3824" s="7" t="str">
        <f t="shared" si="298"/>
        <v/>
      </c>
      <c r="N3824" s="7" t="str">
        <f t="shared" si="302"/>
        <v/>
      </c>
      <c r="O3824" s="8"/>
      <c r="P3824" s="26"/>
      <c r="S3824" s="10" t="str">
        <f t="shared" si="299"/>
        <v/>
      </c>
    </row>
    <row r="3825" spans="5:19" x14ac:dyDescent="0.3">
      <c r="E3825" s="9" t="str">
        <f>IF(DADOS!C3825="","",DADOS!C3825)</f>
        <v/>
      </c>
      <c r="F3825" s="9" t="str">
        <f>IF(DADOS!E3825="","",DADOS!E3825)</f>
        <v/>
      </c>
      <c r="G3825" s="9" t="str">
        <f>IF(DADOS!F3825="","",DADOS!F3825)</f>
        <v/>
      </c>
      <c r="K3825" s="6" t="str">
        <f t="shared" si="300"/>
        <v/>
      </c>
      <c r="L3825" s="7" t="str">
        <f t="shared" si="301"/>
        <v/>
      </c>
      <c r="M3825" s="7" t="str">
        <f t="shared" si="298"/>
        <v/>
      </c>
      <c r="N3825" s="7" t="str">
        <f t="shared" si="302"/>
        <v/>
      </c>
      <c r="O3825" s="8"/>
      <c r="P3825" s="26"/>
      <c r="S3825" s="10" t="str">
        <f t="shared" si="299"/>
        <v/>
      </c>
    </row>
    <row r="3826" spans="5:19" x14ac:dyDescent="0.3">
      <c r="E3826" s="9" t="str">
        <f>IF(DADOS!C3826="","",DADOS!C3826)</f>
        <v/>
      </c>
      <c r="F3826" s="9" t="str">
        <f>IF(DADOS!E3826="","",DADOS!E3826)</f>
        <v/>
      </c>
      <c r="G3826" s="9" t="str">
        <f>IF(DADOS!F3826="","",DADOS!F3826)</f>
        <v/>
      </c>
      <c r="K3826" s="6" t="str">
        <f t="shared" si="300"/>
        <v/>
      </c>
      <c r="L3826" s="7" t="str">
        <f t="shared" si="301"/>
        <v/>
      </c>
      <c r="M3826" s="7" t="str">
        <f t="shared" si="298"/>
        <v/>
      </c>
      <c r="N3826" s="7" t="str">
        <f t="shared" si="302"/>
        <v/>
      </c>
      <c r="O3826" s="8"/>
      <c r="P3826" s="26"/>
      <c r="S3826" s="10" t="str">
        <f t="shared" si="299"/>
        <v/>
      </c>
    </row>
    <row r="3827" spans="5:19" x14ac:dyDescent="0.3">
      <c r="E3827" s="9" t="str">
        <f>IF(DADOS!C3827="","",DADOS!C3827)</f>
        <v/>
      </c>
      <c r="F3827" s="9" t="str">
        <f>IF(DADOS!E3827="","",DADOS!E3827)</f>
        <v/>
      </c>
      <c r="G3827" s="9" t="str">
        <f>IF(DADOS!F3827="","",DADOS!F3827)</f>
        <v/>
      </c>
      <c r="K3827" s="6" t="str">
        <f t="shared" si="300"/>
        <v/>
      </c>
      <c r="L3827" s="7" t="str">
        <f t="shared" si="301"/>
        <v/>
      </c>
      <c r="M3827" s="7" t="str">
        <f t="shared" si="298"/>
        <v/>
      </c>
      <c r="N3827" s="7" t="str">
        <f t="shared" si="302"/>
        <v/>
      </c>
      <c r="O3827" s="8"/>
      <c r="P3827" s="26"/>
      <c r="S3827" s="10" t="str">
        <f t="shared" si="299"/>
        <v/>
      </c>
    </row>
    <row r="3828" spans="5:19" x14ac:dyDescent="0.3">
      <c r="E3828" s="9" t="str">
        <f>IF(DADOS!C3828="","",DADOS!C3828)</f>
        <v/>
      </c>
      <c r="F3828" s="9" t="str">
        <f>IF(DADOS!E3828="","",DADOS!E3828)</f>
        <v/>
      </c>
      <c r="G3828" s="9" t="str">
        <f>IF(DADOS!F3828="","",DADOS!F3828)</f>
        <v/>
      </c>
      <c r="K3828" s="6" t="str">
        <f t="shared" si="300"/>
        <v/>
      </c>
      <c r="L3828" s="7" t="str">
        <f t="shared" si="301"/>
        <v/>
      </c>
      <c r="M3828" s="7" t="str">
        <f t="shared" si="298"/>
        <v/>
      </c>
      <c r="N3828" s="7" t="str">
        <f t="shared" si="302"/>
        <v/>
      </c>
      <c r="O3828" s="8"/>
      <c r="P3828" s="26"/>
      <c r="S3828" s="10" t="str">
        <f t="shared" si="299"/>
        <v/>
      </c>
    </row>
    <row r="3829" spans="5:19" x14ac:dyDescent="0.3">
      <c r="E3829" s="9" t="str">
        <f>IF(DADOS!C3829="","",DADOS!C3829)</f>
        <v/>
      </c>
      <c r="F3829" s="9" t="str">
        <f>IF(DADOS!E3829="","",DADOS!E3829)</f>
        <v/>
      </c>
      <c r="G3829" s="9" t="str">
        <f>IF(DADOS!F3829="","",DADOS!F3829)</f>
        <v/>
      </c>
      <c r="K3829" s="6" t="str">
        <f t="shared" si="300"/>
        <v/>
      </c>
      <c r="L3829" s="7" t="str">
        <f t="shared" si="301"/>
        <v/>
      </c>
      <c r="M3829" s="7" t="str">
        <f t="shared" si="298"/>
        <v/>
      </c>
      <c r="N3829" s="7" t="str">
        <f t="shared" si="302"/>
        <v/>
      </c>
      <c r="O3829" s="8"/>
      <c r="P3829" s="26"/>
      <c r="S3829" s="10" t="str">
        <f t="shared" si="299"/>
        <v/>
      </c>
    </row>
    <row r="3830" spans="5:19" x14ac:dyDescent="0.3">
      <c r="E3830" s="9" t="str">
        <f>IF(DADOS!C3830="","",DADOS!C3830)</f>
        <v/>
      </c>
      <c r="F3830" s="9" t="str">
        <f>IF(DADOS!E3830="","",DADOS!E3830)</f>
        <v/>
      </c>
      <c r="G3830" s="9" t="str">
        <f>IF(DADOS!F3830="","",DADOS!F3830)</f>
        <v/>
      </c>
      <c r="K3830" s="6" t="str">
        <f t="shared" si="300"/>
        <v/>
      </c>
      <c r="L3830" s="7" t="str">
        <f t="shared" si="301"/>
        <v/>
      </c>
      <c r="M3830" s="7" t="str">
        <f t="shared" si="298"/>
        <v/>
      </c>
      <c r="N3830" s="7" t="str">
        <f t="shared" si="302"/>
        <v/>
      </c>
      <c r="O3830" s="8"/>
      <c r="P3830" s="26"/>
      <c r="S3830" s="10" t="str">
        <f t="shared" si="299"/>
        <v/>
      </c>
    </row>
    <row r="3831" spans="5:19" x14ac:dyDescent="0.3">
      <c r="E3831" s="9" t="str">
        <f>IF(DADOS!C3831="","",DADOS!C3831)</f>
        <v/>
      </c>
      <c r="F3831" s="9" t="str">
        <f>IF(DADOS!E3831="","",DADOS!E3831)</f>
        <v/>
      </c>
      <c r="G3831" s="9" t="str">
        <f>IF(DADOS!F3831="","",DADOS!F3831)</f>
        <v/>
      </c>
      <c r="K3831" s="6" t="str">
        <f t="shared" si="300"/>
        <v/>
      </c>
      <c r="L3831" s="7" t="str">
        <f t="shared" si="301"/>
        <v/>
      </c>
      <c r="M3831" s="7" t="str">
        <f t="shared" si="298"/>
        <v/>
      </c>
      <c r="N3831" s="7" t="str">
        <f t="shared" si="302"/>
        <v/>
      </c>
      <c r="O3831" s="8"/>
      <c r="P3831" s="26"/>
      <c r="S3831" s="10" t="str">
        <f t="shared" si="299"/>
        <v/>
      </c>
    </row>
    <row r="3832" spans="5:19" x14ac:dyDescent="0.3">
      <c r="E3832" s="9" t="str">
        <f>IF(DADOS!C3832="","",DADOS!C3832)</f>
        <v/>
      </c>
      <c r="F3832" s="9" t="str">
        <f>IF(DADOS!E3832="","",DADOS!E3832)</f>
        <v/>
      </c>
      <c r="G3832" s="9" t="str">
        <f>IF(DADOS!F3832="","",DADOS!F3832)</f>
        <v/>
      </c>
      <c r="K3832" s="6" t="str">
        <f t="shared" si="300"/>
        <v/>
      </c>
      <c r="L3832" s="7" t="str">
        <f t="shared" si="301"/>
        <v/>
      </c>
      <c r="M3832" s="7" t="str">
        <f t="shared" si="298"/>
        <v/>
      </c>
      <c r="N3832" s="7" t="str">
        <f t="shared" si="302"/>
        <v/>
      </c>
      <c r="O3832" s="8"/>
      <c r="P3832" s="26"/>
      <c r="S3832" s="10" t="str">
        <f t="shared" si="299"/>
        <v/>
      </c>
    </row>
    <row r="3833" spans="5:19" x14ac:dyDescent="0.3">
      <c r="E3833" s="9" t="str">
        <f>IF(DADOS!C3833="","",DADOS!C3833)</f>
        <v/>
      </c>
      <c r="F3833" s="9" t="str">
        <f>IF(DADOS!E3833="","",DADOS!E3833)</f>
        <v/>
      </c>
      <c r="G3833" s="9" t="str">
        <f>IF(DADOS!F3833="","",DADOS!F3833)</f>
        <v/>
      </c>
      <c r="K3833" s="6" t="str">
        <f t="shared" si="300"/>
        <v/>
      </c>
      <c r="L3833" s="7" t="str">
        <f t="shared" si="301"/>
        <v/>
      </c>
      <c r="M3833" s="7" t="str">
        <f t="shared" si="298"/>
        <v/>
      </c>
      <c r="N3833" s="7" t="str">
        <f t="shared" si="302"/>
        <v/>
      </c>
      <c r="O3833" s="8"/>
      <c r="P3833" s="26"/>
      <c r="S3833" s="10" t="str">
        <f t="shared" si="299"/>
        <v/>
      </c>
    </row>
    <row r="3834" spans="5:19" x14ac:dyDescent="0.3">
      <c r="E3834" s="9" t="str">
        <f>IF(DADOS!C3834="","",DADOS!C3834)</f>
        <v/>
      </c>
      <c r="F3834" s="9" t="str">
        <f>IF(DADOS!E3834="","",DADOS!E3834)</f>
        <v/>
      </c>
      <c r="G3834" s="9" t="str">
        <f>IF(DADOS!F3834="","",DADOS!F3834)</f>
        <v/>
      </c>
      <c r="K3834" s="6" t="str">
        <f t="shared" si="300"/>
        <v/>
      </c>
      <c r="L3834" s="7" t="str">
        <f t="shared" si="301"/>
        <v/>
      </c>
      <c r="M3834" s="7" t="str">
        <f t="shared" si="298"/>
        <v/>
      </c>
      <c r="N3834" s="7" t="str">
        <f t="shared" si="302"/>
        <v/>
      </c>
      <c r="O3834" s="8"/>
      <c r="P3834" s="26"/>
      <c r="S3834" s="10" t="str">
        <f t="shared" si="299"/>
        <v/>
      </c>
    </row>
    <row r="3835" spans="5:19" x14ac:dyDescent="0.3">
      <c r="E3835" s="9" t="str">
        <f>IF(DADOS!C3835="","",DADOS!C3835)</f>
        <v/>
      </c>
      <c r="F3835" s="9" t="str">
        <f>IF(DADOS!E3835="","",DADOS!E3835)</f>
        <v/>
      </c>
      <c r="G3835" s="9" t="str">
        <f>IF(DADOS!F3835="","",DADOS!F3835)</f>
        <v/>
      </c>
      <c r="K3835" s="6" t="str">
        <f t="shared" si="300"/>
        <v/>
      </c>
      <c r="L3835" s="7" t="str">
        <f t="shared" si="301"/>
        <v/>
      </c>
      <c r="M3835" s="7" t="str">
        <f t="shared" si="298"/>
        <v/>
      </c>
      <c r="N3835" s="7" t="str">
        <f t="shared" si="302"/>
        <v/>
      </c>
      <c r="O3835" s="8"/>
      <c r="P3835" s="26"/>
      <c r="S3835" s="10" t="str">
        <f t="shared" si="299"/>
        <v/>
      </c>
    </row>
    <row r="3836" spans="5:19" x14ac:dyDescent="0.3">
      <c r="E3836" s="9" t="str">
        <f>IF(DADOS!C3836="","",DADOS!C3836)</f>
        <v/>
      </c>
      <c r="F3836" s="9" t="str">
        <f>IF(DADOS!E3836="","",DADOS!E3836)</f>
        <v/>
      </c>
      <c r="G3836" s="9" t="str">
        <f>IF(DADOS!F3836="","",DADOS!F3836)</f>
        <v/>
      </c>
      <c r="K3836" s="6" t="str">
        <f t="shared" si="300"/>
        <v/>
      </c>
      <c r="L3836" s="7" t="str">
        <f t="shared" si="301"/>
        <v/>
      </c>
      <c r="M3836" s="7" t="str">
        <f t="shared" si="298"/>
        <v/>
      </c>
      <c r="N3836" s="7" t="str">
        <f t="shared" si="302"/>
        <v/>
      </c>
      <c r="O3836" s="8"/>
      <c r="P3836" s="26"/>
      <c r="S3836" s="10" t="str">
        <f t="shared" si="299"/>
        <v/>
      </c>
    </row>
    <row r="3837" spans="5:19" x14ac:dyDescent="0.3">
      <c r="E3837" s="9" t="str">
        <f>IF(DADOS!C3837="","",DADOS!C3837)</f>
        <v/>
      </c>
      <c r="F3837" s="9" t="str">
        <f>IF(DADOS!E3837="","",DADOS!E3837)</f>
        <v/>
      </c>
      <c r="G3837" s="9" t="str">
        <f>IF(DADOS!F3837="","",DADOS!F3837)</f>
        <v/>
      </c>
      <c r="K3837" s="6" t="str">
        <f t="shared" si="300"/>
        <v/>
      </c>
      <c r="L3837" s="7" t="str">
        <f t="shared" si="301"/>
        <v/>
      </c>
      <c r="M3837" s="7" t="str">
        <f t="shared" si="298"/>
        <v/>
      </c>
      <c r="N3837" s="7" t="str">
        <f t="shared" si="302"/>
        <v/>
      </c>
      <c r="O3837" s="8"/>
      <c r="P3837" s="26"/>
      <c r="S3837" s="10" t="str">
        <f t="shared" si="299"/>
        <v/>
      </c>
    </row>
    <row r="3838" spans="5:19" x14ac:dyDescent="0.3">
      <c r="E3838" s="9" t="str">
        <f>IF(DADOS!C3838="","",DADOS!C3838)</f>
        <v/>
      </c>
      <c r="F3838" s="9" t="str">
        <f>IF(DADOS!E3838="","",DADOS!E3838)</f>
        <v/>
      </c>
      <c r="G3838" s="9" t="str">
        <f>IF(DADOS!F3838="","",DADOS!F3838)</f>
        <v/>
      </c>
      <c r="K3838" s="6" t="str">
        <f t="shared" si="300"/>
        <v/>
      </c>
      <c r="L3838" s="7" t="str">
        <f t="shared" si="301"/>
        <v/>
      </c>
      <c r="M3838" s="7" t="str">
        <f t="shared" si="298"/>
        <v/>
      </c>
      <c r="N3838" s="7" t="str">
        <f t="shared" si="302"/>
        <v/>
      </c>
      <c r="O3838" s="8"/>
      <c r="P3838" s="26"/>
      <c r="S3838" s="10" t="str">
        <f t="shared" si="299"/>
        <v/>
      </c>
    </row>
    <row r="3839" spans="5:19" x14ac:dyDescent="0.3">
      <c r="E3839" s="9" t="str">
        <f>IF(DADOS!C3839="","",DADOS!C3839)</f>
        <v/>
      </c>
      <c r="F3839" s="9" t="str">
        <f>IF(DADOS!E3839="","",DADOS!E3839)</f>
        <v/>
      </c>
      <c r="G3839" s="9" t="str">
        <f>IF(DADOS!F3839="","",DADOS!F3839)</f>
        <v/>
      </c>
      <c r="K3839" s="6" t="str">
        <f t="shared" si="300"/>
        <v/>
      </c>
      <c r="L3839" s="7" t="str">
        <f t="shared" si="301"/>
        <v/>
      </c>
      <c r="M3839" s="7" t="str">
        <f t="shared" si="298"/>
        <v/>
      </c>
      <c r="N3839" s="7" t="str">
        <f t="shared" si="302"/>
        <v/>
      </c>
      <c r="O3839" s="8"/>
      <c r="P3839" s="26"/>
      <c r="S3839" s="10" t="str">
        <f t="shared" si="299"/>
        <v/>
      </c>
    </row>
    <row r="3840" spans="5:19" x14ac:dyDescent="0.3">
      <c r="E3840" s="9" t="str">
        <f>IF(DADOS!C3840="","",DADOS!C3840)</f>
        <v/>
      </c>
      <c r="F3840" s="9" t="str">
        <f>IF(DADOS!E3840="","",DADOS!E3840)</f>
        <v/>
      </c>
      <c r="G3840" s="9" t="str">
        <f>IF(DADOS!F3840="","",DADOS!F3840)</f>
        <v/>
      </c>
      <c r="K3840" s="6" t="str">
        <f t="shared" si="300"/>
        <v/>
      </c>
      <c r="L3840" s="7" t="str">
        <f t="shared" si="301"/>
        <v/>
      </c>
      <c r="M3840" s="7" t="str">
        <f t="shared" si="298"/>
        <v/>
      </c>
      <c r="N3840" s="7" t="str">
        <f t="shared" si="302"/>
        <v/>
      </c>
      <c r="O3840" s="8"/>
      <c r="P3840" s="26"/>
      <c r="S3840" s="10" t="str">
        <f t="shared" si="299"/>
        <v/>
      </c>
    </row>
    <row r="3841" spans="5:19" x14ac:dyDescent="0.3">
      <c r="E3841" s="9" t="str">
        <f>IF(DADOS!C3841="","",DADOS!C3841)</f>
        <v/>
      </c>
      <c r="F3841" s="9" t="str">
        <f>IF(DADOS!E3841="","",DADOS!E3841)</f>
        <v/>
      </c>
      <c r="G3841" s="9" t="str">
        <f>IF(DADOS!F3841="","",DADOS!F3841)</f>
        <v/>
      </c>
      <c r="K3841" s="6" t="str">
        <f t="shared" si="300"/>
        <v/>
      </c>
      <c r="L3841" s="7" t="str">
        <f t="shared" si="301"/>
        <v/>
      </c>
      <c r="M3841" s="7" t="str">
        <f t="shared" si="298"/>
        <v/>
      </c>
      <c r="N3841" s="7" t="str">
        <f t="shared" si="302"/>
        <v/>
      </c>
      <c r="O3841" s="8"/>
      <c r="P3841" s="26"/>
      <c r="S3841" s="10" t="str">
        <f t="shared" si="299"/>
        <v/>
      </c>
    </row>
    <row r="3842" spans="5:19" x14ac:dyDescent="0.3">
      <c r="E3842" s="9" t="str">
        <f>IF(DADOS!C3842="","",DADOS!C3842)</f>
        <v/>
      </c>
      <c r="F3842" s="9" t="str">
        <f>IF(DADOS!E3842="","",DADOS!E3842)</f>
        <v/>
      </c>
      <c r="G3842" s="9" t="str">
        <f>IF(DADOS!F3842="","",DADOS!F3842)</f>
        <v/>
      </c>
      <c r="K3842" s="6" t="str">
        <f t="shared" si="300"/>
        <v/>
      </c>
      <c r="L3842" s="7" t="str">
        <f t="shared" si="301"/>
        <v/>
      </c>
      <c r="M3842" s="7" t="str">
        <f t="shared" si="298"/>
        <v/>
      </c>
      <c r="N3842" s="7" t="str">
        <f t="shared" si="302"/>
        <v/>
      </c>
      <c r="O3842" s="8"/>
      <c r="P3842" s="26"/>
      <c r="S3842" s="10" t="str">
        <f t="shared" si="299"/>
        <v/>
      </c>
    </row>
    <row r="3843" spans="5:19" x14ac:dyDescent="0.3">
      <c r="E3843" s="9" t="str">
        <f>IF(DADOS!C3843="","",DADOS!C3843)</f>
        <v/>
      </c>
      <c r="F3843" s="9" t="str">
        <f>IF(DADOS!E3843="","",DADOS!E3843)</f>
        <v/>
      </c>
      <c r="G3843" s="9" t="str">
        <f>IF(DADOS!F3843="","",DADOS!F3843)</f>
        <v/>
      </c>
      <c r="K3843" s="6" t="str">
        <f t="shared" si="300"/>
        <v/>
      </c>
      <c r="L3843" s="7" t="str">
        <f t="shared" si="301"/>
        <v/>
      </c>
      <c r="M3843" s="7" t="str">
        <f t="shared" ref="M3843:M3906" si="303">IF(L3843="","",L3843*G3843)</f>
        <v/>
      </c>
      <c r="N3843" s="7" t="str">
        <f t="shared" si="302"/>
        <v/>
      </c>
      <c r="O3843" s="8"/>
      <c r="P3843" s="26"/>
      <c r="S3843" s="10" t="str">
        <f t="shared" ref="S3843:S3906" si="304">IF(R3843="","",SUMIFS($N$3:$N$10000,$E$3:$E$10000,R3843))</f>
        <v/>
      </c>
    </row>
    <row r="3844" spans="5:19" x14ac:dyDescent="0.3">
      <c r="E3844" s="9" t="str">
        <f>IF(DADOS!C3844="","",DADOS!C3844)</f>
        <v/>
      </c>
      <c r="F3844" s="9" t="str">
        <f>IF(DADOS!E3844="","",DADOS!E3844)</f>
        <v/>
      </c>
      <c r="G3844" s="9" t="str">
        <f>IF(DADOS!F3844="","",DADOS!F3844)</f>
        <v/>
      </c>
      <c r="K3844" s="6" t="str">
        <f t="shared" ref="K3844:K3907" si="305">IF(F3844="","",F3844/PI())</f>
        <v/>
      </c>
      <c r="L3844" s="7" t="str">
        <f t="shared" ref="L3844:L3907" si="306">IF(K3844="","",(PI()*K3844^2)/40000)</f>
        <v/>
      </c>
      <c r="M3844" s="7" t="str">
        <f t="shared" si="303"/>
        <v/>
      </c>
      <c r="N3844" s="7" t="str">
        <f t="shared" ref="N3844:N3907" si="307">IF(M3844="","",M3844*N$1)</f>
        <v/>
      </c>
      <c r="O3844" s="8"/>
      <c r="P3844" s="26"/>
      <c r="S3844" s="10" t="str">
        <f t="shared" si="304"/>
        <v/>
      </c>
    </row>
    <row r="3845" spans="5:19" x14ac:dyDescent="0.3">
      <c r="E3845" s="9" t="str">
        <f>IF(DADOS!C3845="","",DADOS!C3845)</f>
        <v/>
      </c>
      <c r="F3845" s="9" t="str">
        <f>IF(DADOS!E3845="","",DADOS!E3845)</f>
        <v/>
      </c>
      <c r="G3845" s="9" t="str">
        <f>IF(DADOS!F3845="","",DADOS!F3845)</f>
        <v/>
      </c>
      <c r="K3845" s="6" t="str">
        <f t="shared" si="305"/>
        <v/>
      </c>
      <c r="L3845" s="7" t="str">
        <f t="shared" si="306"/>
        <v/>
      </c>
      <c r="M3845" s="7" t="str">
        <f t="shared" si="303"/>
        <v/>
      </c>
      <c r="N3845" s="7" t="str">
        <f t="shared" si="307"/>
        <v/>
      </c>
      <c r="O3845" s="8"/>
      <c r="P3845" s="26"/>
      <c r="S3845" s="10" t="str">
        <f t="shared" si="304"/>
        <v/>
      </c>
    </row>
    <row r="3846" spans="5:19" x14ac:dyDescent="0.3">
      <c r="E3846" s="9" t="str">
        <f>IF(DADOS!C3846="","",DADOS!C3846)</f>
        <v/>
      </c>
      <c r="F3846" s="9" t="str">
        <f>IF(DADOS!E3846="","",DADOS!E3846)</f>
        <v/>
      </c>
      <c r="G3846" s="9" t="str">
        <f>IF(DADOS!F3846="","",DADOS!F3846)</f>
        <v/>
      </c>
      <c r="K3846" s="6" t="str">
        <f t="shared" si="305"/>
        <v/>
      </c>
      <c r="L3846" s="7" t="str">
        <f t="shared" si="306"/>
        <v/>
      </c>
      <c r="M3846" s="7" t="str">
        <f t="shared" si="303"/>
        <v/>
      </c>
      <c r="N3846" s="7" t="str">
        <f t="shared" si="307"/>
        <v/>
      </c>
      <c r="O3846" s="8"/>
      <c r="P3846" s="26"/>
      <c r="S3846" s="10" t="str">
        <f t="shared" si="304"/>
        <v/>
      </c>
    </row>
    <row r="3847" spans="5:19" x14ac:dyDescent="0.3">
      <c r="E3847" s="9" t="str">
        <f>IF(DADOS!C3847="","",DADOS!C3847)</f>
        <v/>
      </c>
      <c r="F3847" s="9" t="str">
        <f>IF(DADOS!E3847="","",DADOS!E3847)</f>
        <v/>
      </c>
      <c r="G3847" s="9" t="str">
        <f>IF(DADOS!F3847="","",DADOS!F3847)</f>
        <v/>
      </c>
      <c r="K3847" s="6" t="str">
        <f t="shared" si="305"/>
        <v/>
      </c>
      <c r="L3847" s="7" t="str">
        <f t="shared" si="306"/>
        <v/>
      </c>
      <c r="M3847" s="7" t="str">
        <f t="shared" si="303"/>
        <v/>
      </c>
      <c r="N3847" s="7" t="str">
        <f t="shared" si="307"/>
        <v/>
      </c>
      <c r="O3847" s="8"/>
      <c r="P3847" s="26"/>
      <c r="S3847" s="10" t="str">
        <f t="shared" si="304"/>
        <v/>
      </c>
    </row>
    <row r="3848" spans="5:19" x14ac:dyDescent="0.3">
      <c r="E3848" s="9" t="str">
        <f>IF(DADOS!C3848="","",DADOS!C3848)</f>
        <v/>
      </c>
      <c r="F3848" s="9" t="str">
        <f>IF(DADOS!E3848="","",DADOS!E3848)</f>
        <v/>
      </c>
      <c r="G3848" s="9" t="str">
        <f>IF(DADOS!F3848="","",DADOS!F3848)</f>
        <v/>
      </c>
      <c r="K3848" s="6" t="str">
        <f t="shared" si="305"/>
        <v/>
      </c>
      <c r="L3848" s="7" t="str">
        <f t="shared" si="306"/>
        <v/>
      </c>
      <c r="M3848" s="7" t="str">
        <f t="shared" si="303"/>
        <v/>
      </c>
      <c r="N3848" s="7" t="str">
        <f t="shared" si="307"/>
        <v/>
      </c>
      <c r="O3848" s="8"/>
      <c r="P3848" s="26"/>
      <c r="S3848" s="10" t="str">
        <f t="shared" si="304"/>
        <v/>
      </c>
    </row>
    <row r="3849" spans="5:19" x14ac:dyDescent="0.3">
      <c r="E3849" s="9" t="str">
        <f>IF(DADOS!C3849="","",DADOS!C3849)</f>
        <v/>
      </c>
      <c r="F3849" s="9" t="str">
        <f>IF(DADOS!E3849="","",DADOS!E3849)</f>
        <v/>
      </c>
      <c r="G3849" s="9" t="str">
        <f>IF(DADOS!F3849="","",DADOS!F3849)</f>
        <v/>
      </c>
      <c r="K3849" s="6" t="str">
        <f t="shared" si="305"/>
        <v/>
      </c>
      <c r="L3849" s="7" t="str">
        <f t="shared" si="306"/>
        <v/>
      </c>
      <c r="M3849" s="7" t="str">
        <f t="shared" si="303"/>
        <v/>
      </c>
      <c r="N3849" s="7" t="str">
        <f t="shared" si="307"/>
        <v/>
      </c>
      <c r="O3849" s="8"/>
      <c r="P3849" s="26"/>
      <c r="S3849" s="10" t="str">
        <f t="shared" si="304"/>
        <v/>
      </c>
    </row>
    <row r="3850" spans="5:19" x14ac:dyDescent="0.3">
      <c r="E3850" s="9" t="str">
        <f>IF(DADOS!C3850="","",DADOS!C3850)</f>
        <v/>
      </c>
      <c r="F3850" s="9" t="str">
        <f>IF(DADOS!E3850="","",DADOS!E3850)</f>
        <v/>
      </c>
      <c r="G3850" s="9" t="str">
        <f>IF(DADOS!F3850="","",DADOS!F3850)</f>
        <v/>
      </c>
      <c r="K3850" s="6" t="str">
        <f t="shared" si="305"/>
        <v/>
      </c>
      <c r="L3850" s="7" t="str">
        <f t="shared" si="306"/>
        <v/>
      </c>
      <c r="M3850" s="7" t="str">
        <f t="shared" si="303"/>
        <v/>
      </c>
      <c r="N3850" s="7" t="str">
        <f t="shared" si="307"/>
        <v/>
      </c>
      <c r="O3850" s="8"/>
      <c r="P3850" s="26"/>
      <c r="S3850" s="10" t="str">
        <f t="shared" si="304"/>
        <v/>
      </c>
    </row>
    <row r="3851" spans="5:19" x14ac:dyDescent="0.3">
      <c r="E3851" s="9" t="str">
        <f>IF(DADOS!C3851="","",DADOS!C3851)</f>
        <v/>
      </c>
      <c r="F3851" s="9" t="str">
        <f>IF(DADOS!E3851="","",DADOS!E3851)</f>
        <v/>
      </c>
      <c r="G3851" s="9" t="str">
        <f>IF(DADOS!F3851="","",DADOS!F3851)</f>
        <v/>
      </c>
      <c r="K3851" s="6" t="str">
        <f t="shared" si="305"/>
        <v/>
      </c>
      <c r="L3851" s="7" t="str">
        <f t="shared" si="306"/>
        <v/>
      </c>
      <c r="M3851" s="7" t="str">
        <f t="shared" si="303"/>
        <v/>
      </c>
      <c r="N3851" s="7" t="str">
        <f t="shared" si="307"/>
        <v/>
      </c>
      <c r="O3851" s="8"/>
      <c r="P3851" s="26"/>
      <c r="S3851" s="10" t="str">
        <f t="shared" si="304"/>
        <v/>
      </c>
    </row>
    <row r="3852" spans="5:19" x14ac:dyDescent="0.3">
      <c r="E3852" s="9" t="str">
        <f>IF(DADOS!C3852="","",DADOS!C3852)</f>
        <v/>
      </c>
      <c r="F3852" s="9" t="str">
        <f>IF(DADOS!E3852="","",DADOS!E3852)</f>
        <v/>
      </c>
      <c r="G3852" s="9" t="str">
        <f>IF(DADOS!F3852="","",DADOS!F3852)</f>
        <v/>
      </c>
      <c r="K3852" s="6" t="str">
        <f t="shared" si="305"/>
        <v/>
      </c>
      <c r="L3852" s="7" t="str">
        <f t="shared" si="306"/>
        <v/>
      </c>
      <c r="M3852" s="7" t="str">
        <f t="shared" si="303"/>
        <v/>
      </c>
      <c r="N3852" s="7" t="str">
        <f t="shared" si="307"/>
        <v/>
      </c>
      <c r="O3852" s="8"/>
      <c r="P3852" s="26"/>
      <c r="S3852" s="10" t="str">
        <f t="shared" si="304"/>
        <v/>
      </c>
    </row>
    <row r="3853" spans="5:19" x14ac:dyDescent="0.3">
      <c r="E3853" s="9" t="str">
        <f>IF(DADOS!C3853="","",DADOS!C3853)</f>
        <v/>
      </c>
      <c r="F3853" s="9" t="str">
        <f>IF(DADOS!E3853="","",DADOS!E3853)</f>
        <v/>
      </c>
      <c r="G3853" s="9" t="str">
        <f>IF(DADOS!F3853="","",DADOS!F3853)</f>
        <v/>
      </c>
      <c r="K3853" s="6" t="str">
        <f t="shared" si="305"/>
        <v/>
      </c>
      <c r="L3853" s="7" t="str">
        <f t="shared" si="306"/>
        <v/>
      </c>
      <c r="M3853" s="7" t="str">
        <f t="shared" si="303"/>
        <v/>
      </c>
      <c r="N3853" s="7" t="str">
        <f t="shared" si="307"/>
        <v/>
      </c>
      <c r="O3853" s="8"/>
      <c r="P3853" s="26"/>
      <c r="S3853" s="10" t="str">
        <f t="shared" si="304"/>
        <v/>
      </c>
    </row>
    <row r="3854" spans="5:19" x14ac:dyDescent="0.3">
      <c r="E3854" s="9" t="str">
        <f>IF(DADOS!C3854="","",DADOS!C3854)</f>
        <v/>
      </c>
      <c r="F3854" s="9" t="str">
        <f>IF(DADOS!E3854="","",DADOS!E3854)</f>
        <v/>
      </c>
      <c r="G3854" s="9" t="str">
        <f>IF(DADOS!F3854="","",DADOS!F3854)</f>
        <v/>
      </c>
      <c r="K3854" s="6" t="str">
        <f t="shared" si="305"/>
        <v/>
      </c>
      <c r="L3854" s="7" t="str">
        <f t="shared" si="306"/>
        <v/>
      </c>
      <c r="M3854" s="7" t="str">
        <f t="shared" si="303"/>
        <v/>
      </c>
      <c r="N3854" s="7" t="str">
        <f t="shared" si="307"/>
        <v/>
      </c>
      <c r="O3854" s="8"/>
      <c r="P3854" s="26"/>
      <c r="S3854" s="10" t="str">
        <f t="shared" si="304"/>
        <v/>
      </c>
    </row>
    <row r="3855" spans="5:19" x14ac:dyDescent="0.3">
      <c r="E3855" s="9" t="str">
        <f>IF(DADOS!C3855="","",DADOS!C3855)</f>
        <v/>
      </c>
      <c r="F3855" s="9" t="str">
        <f>IF(DADOS!E3855="","",DADOS!E3855)</f>
        <v/>
      </c>
      <c r="G3855" s="9" t="str">
        <f>IF(DADOS!F3855="","",DADOS!F3855)</f>
        <v/>
      </c>
      <c r="K3855" s="6" t="str">
        <f t="shared" si="305"/>
        <v/>
      </c>
      <c r="L3855" s="7" t="str">
        <f t="shared" si="306"/>
        <v/>
      </c>
      <c r="M3855" s="7" t="str">
        <f t="shared" si="303"/>
        <v/>
      </c>
      <c r="N3855" s="7" t="str">
        <f t="shared" si="307"/>
        <v/>
      </c>
      <c r="O3855" s="8"/>
      <c r="P3855" s="26"/>
      <c r="S3855" s="10" t="str">
        <f t="shared" si="304"/>
        <v/>
      </c>
    </row>
    <row r="3856" spans="5:19" x14ac:dyDescent="0.3">
      <c r="E3856" s="9" t="str">
        <f>IF(DADOS!C3856="","",DADOS!C3856)</f>
        <v/>
      </c>
      <c r="F3856" s="9" t="str">
        <f>IF(DADOS!E3856="","",DADOS!E3856)</f>
        <v/>
      </c>
      <c r="G3856" s="9" t="str">
        <f>IF(DADOS!F3856="","",DADOS!F3856)</f>
        <v/>
      </c>
      <c r="K3856" s="6" t="str">
        <f t="shared" si="305"/>
        <v/>
      </c>
      <c r="L3856" s="7" t="str">
        <f t="shared" si="306"/>
        <v/>
      </c>
      <c r="M3856" s="7" t="str">
        <f t="shared" si="303"/>
        <v/>
      </c>
      <c r="N3856" s="7" t="str">
        <f t="shared" si="307"/>
        <v/>
      </c>
      <c r="O3856" s="8"/>
      <c r="P3856" s="26"/>
      <c r="S3856" s="10" t="str">
        <f t="shared" si="304"/>
        <v/>
      </c>
    </row>
    <row r="3857" spans="5:19" x14ac:dyDescent="0.3">
      <c r="E3857" s="9" t="str">
        <f>IF(DADOS!C3857="","",DADOS!C3857)</f>
        <v/>
      </c>
      <c r="F3857" s="9" t="str">
        <f>IF(DADOS!E3857="","",DADOS!E3857)</f>
        <v/>
      </c>
      <c r="G3857" s="9" t="str">
        <f>IF(DADOS!F3857="","",DADOS!F3857)</f>
        <v/>
      </c>
      <c r="K3857" s="6" t="str">
        <f t="shared" si="305"/>
        <v/>
      </c>
      <c r="L3857" s="7" t="str">
        <f t="shared" si="306"/>
        <v/>
      </c>
      <c r="M3857" s="7" t="str">
        <f t="shared" si="303"/>
        <v/>
      </c>
      <c r="N3857" s="7" t="str">
        <f t="shared" si="307"/>
        <v/>
      </c>
      <c r="O3857" s="8"/>
      <c r="P3857" s="26"/>
      <c r="S3857" s="10" t="str">
        <f t="shared" si="304"/>
        <v/>
      </c>
    </row>
    <row r="3858" spans="5:19" x14ac:dyDescent="0.3">
      <c r="E3858" s="9" t="str">
        <f>IF(DADOS!C3858="","",DADOS!C3858)</f>
        <v/>
      </c>
      <c r="F3858" s="9" t="str">
        <f>IF(DADOS!E3858="","",DADOS!E3858)</f>
        <v/>
      </c>
      <c r="G3858" s="9" t="str">
        <f>IF(DADOS!F3858="","",DADOS!F3858)</f>
        <v/>
      </c>
      <c r="K3858" s="6" t="str">
        <f t="shared" si="305"/>
        <v/>
      </c>
      <c r="L3858" s="7" t="str">
        <f t="shared" si="306"/>
        <v/>
      </c>
      <c r="M3858" s="7" t="str">
        <f t="shared" si="303"/>
        <v/>
      </c>
      <c r="N3858" s="7" t="str">
        <f t="shared" si="307"/>
        <v/>
      </c>
      <c r="O3858" s="8"/>
      <c r="P3858" s="26"/>
      <c r="S3858" s="10" t="str">
        <f t="shared" si="304"/>
        <v/>
      </c>
    </row>
    <row r="3859" spans="5:19" x14ac:dyDescent="0.3">
      <c r="E3859" s="9" t="str">
        <f>IF(DADOS!C3859="","",DADOS!C3859)</f>
        <v/>
      </c>
      <c r="F3859" s="9" t="str">
        <f>IF(DADOS!E3859="","",DADOS!E3859)</f>
        <v/>
      </c>
      <c r="G3859" s="9" t="str">
        <f>IF(DADOS!F3859="","",DADOS!F3859)</f>
        <v/>
      </c>
      <c r="K3859" s="6" t="str">
        <f t="shared" si="305"/>
        <v/>
      </c>
      <c r="L3859" s="7" t="str">
        <f t="shared" si="306"/>
        <v/>
      </c>
      <c r="M3859" s="7" t="str">
        <f t="shared" si="303"/>
        <v/>
      </c>
      <c r="N3859" s="7" t="str">
        <f t="shared" si="307"/>
        <v/>
      </c>
      <c r="O3859" s="8"/>
      <c r="P3859" s="26"/>
      <c r="S3859" s="10" t="str">
        <f t="shared" si="304"/>
        <v/>
      </c>
    </row>
    <row r="3860" spans="5:19" x14ac:dyDescent="0.3">
      <c r="E3860" s="9" t="str">
        <f>IF(DADOS!C3860="","",DADOS!C3860)</f>
        <v/>
      </c>
      <c r="F3860" s="9" t="str">
        <f>IF(DADOS!E3860="","",DADOS!E3860)</f>
        <v/>
      </c>
      <c r="G3860" s="9" t="str">
        <f>IF(DADOS!F3860="","",DADOS!F3860)</f>
        <v/>
      </c>
      <c r="K3860" s="6" t="str">
        <f t="shared" si="305"/>
        <v/>
      </c>
      <c r="L3860" s="7" t="str">
        <f t="shared" si="306"/>
        <v/>
      </c>
      <c r="M3860" s="7" t="str">
        <f t="shared" si="303"/>
        <v/>
      </c>
      <c r="N3860" s="7" t="str">
        <f t="shared" si="307"/>
        <v/>
      </c>
      <c r="O3860" s="8"/>
      <c r="P3860" s="26"/>
      <c r="S3860" s="10" t="str">
        <f t="shared" si="304"/>
        <v/>
      </c>
    </row>
    <row r="3861" spans="5:19" x14ac:dyDescent="0.3">
      <c r="E3861" s="9" t="str">
        <f>IF(DADOS!C3861="","",DADOS!C3861)</f>
        <v/>
      </c>
      <c r="F3861" s="9" t="str">
        <f>IF(DADOS!E3861="","",DADOS!E3861)</f>
        <v/>
      </c>
      <c r="G3861" s="9" t="str">
        <f>IF(DADOS!F3861="","",DADOS!F3861)</f>
        <v/>
      </c>
      <c r="K3861" s="6" t="str">
        <f t="shared" si="305"/>
        <v/>
      </c>
      <c r="L3861" s="7" t="str">
        <f t="shared" si="306"/>
        <v/>
      </c>
      <c r="M3861" s="7" t="str">
        <f t="shared" si="303"/>
        <v/>
      </c>
      <c r="N3861" s="7" t="str">
        <f t="shared" si="307"/>
        <v/>
      </c>
      <c r="O3861" s="8"/>
      <c r="P3861" s="26"/>
      <c r="S3861" s="10" t="str">
        <f t="shared" si="304"/>
        <v/>
      </c>
    </row>
    <row r="3862" spans="5:19" x14ac:dyDescent="0.3">
      <c r="E3862" s="9" t="str">
        <f>IF(DADOS!C3862="","",DADOS!C3862)</f>
        <v/>
      </c>
      <c r="F3862" s="9" t="str">
        <f>IF(DADOS!E3862="","",DADOS!E3862)</f>
        <v/>
      </c>
      <c r="G3862" s="9" t="str">
        <f>IF(DADOS!F3862="","",DADOS!F3862)</f>
        <v/>
      </c>
      <c r="K3862" s="6" t="str">
        <f t="shared" si="305"/>
        <v/>
      </c>
      <c r="L3862" s="7" t="str">
        <f t="shared" si="306"/>
        <v/>
      </c>
      <c r="M3862" s="7" t="str">
        <f t="shared" si="303"/>
        <v/>
      </c>
      <c r="N3862" s="7" t="str">
        <f t="shared" si="307"/>
        <v/>
      </c>
      <c r="O3862" s="8"/>
      <c r="P3862" s="26"/>
      <c r="S3862" s="10" t="str">
        <f t="shared" si="304"/>
        <v/>
      </c>
    </row>
    <row r="3863" spans="5:19" x14ac:dyDescent="0.3">
      <c r="E3863" s="9" t="str">
        <f>IF(DADOS!C3863="","",DADOS!C3863)</f>
        <v/>
      </c>
      <c r="F3863" s="9" t="str">
        <f>IF(DADOS!E3863="","",DADOS!E3863)</f>
        <v/>
      </c>
      <c r="G3863" s="9" t="str">
        <f>IF(DADOS!F3863="","",DADOS!F3863)</f>
        <v/>
      </c>
      <c r="K3863" s="6" t="str">
        <f t="shared" si="305"/>
        <v/>
      </c>
      <c r="L3863" s="7" t="str">
        <f t="shared" si="306"/>
        <v/>
      </c>
      <c r="M3863" s="7" t="str">
        <f t="shared" si="303"/>
        <v/>
      </c>
      <c r="N3863" s="7" t="str">
        <f t="shared" si="307"/>
        <v/>
      </c>
      <c r="O3863" s="8"/>
      <c r="P3863" s="26"/>
      <c r="S3863" s="10" t="str">
        <f t="shared" si="304"/>
        <v/>
      </c>
    </row>
    <row r="3864" spans="5:19" x14ac:dyDescent="0.3">
      <c r="E3864" s="9" t="str">
        <f>IF(DADOS!C3864="","",DADOS!C3864)</f>
        <v/>
      </c>
      <c r="F3864" s="9" t="str">
        <f>IF(DADOS!E3864="","",DADOS!E3864)</f>
        <v/>
      </c>
      <c r="G3864" s="9" t="str">
        <f>IF(DADOS!F3864="","",DADOS!F3864)</f>
        <v/>
      </c>
      <c r="K3864" s="6" t="str">
        <f t="shared" si="305"/>
        <v/>
      </c>
      <c r="L3864" s="7" t="str">
        <f t="shared" si="306"/>
        <v/>
      </c>
      <c r="M3864" s="7" t="str">
        <f t="shared" si="303"/>
        <v/>
      </c>
      <c r="N3864" s="7" t="str">
        <f t="shared" si="307"/>
        <v/>
      </c>
      <c r="O3864" s="8"/>
      <c r="P3864" s="26"/>
      <c r="S3864" s="10" t="str">
        <f t="shared" si="304"/>
        <v/>
      </c>
    </row>
    <row r="3865" spans="5:19" x14ac:dyDescent="0.3">
      <c r="E3865" s="9" t="str">
        <f>IF(DADOS!C3865="","",DADOS!C3865)</f>
        <v/>
      </c>
      <c r="F3865" s="9" t="str">
        <f>IF(DADOS!E3865="","",DADOS!E3865)</f>
        <v/>
      </c>
      <c r="G3865" s="9" t="str">
        <f>IF(DADOS!F3865="","",DADOS!F3865)</f>
        <v/>
      </c>
      <c r="K3865" s="6" t="str">
        <f t="shared" si="305"/>
        <v/>
      </c>
      <c r="L3865" s="7" t="str">
        <f t="shared" si="306"/>
        <v/>
      </c>
      <c r="M3865" s="7" t="str">
        <f t="shared" si="303"/>
        <v/>
      </c>
      <c r="N3865" s="7" t="str">
        <f t="shared" si="307"/>
        <v/>
      </c>
      <c r="O3865" s="8"/>
      <c r="P3865" s="26"/>
      <c r="S3865" s="10" t="str">
        <f t="shared" si="304"/>
        <v/>
      </c>
    </row>
    <row r="3866" spans="5:19" x14ac:dyDescent="0.3">
      <c r="E3866" s="9" t="str">
        <f>IF(DADOS!C3866="","",DADOS!C3866)</f>
        <v/>
      </c>
      <c r="F3866" s="9" t="str">
        <f>IF(DADOS!E3866="","",DADOS!E3866)</f>
        <v/>
      </c>
      <c r="G3866" s="9" t="str">
        <f>IF(DADOS!F3866="","",DADOS!F3866)</f>
        <v/>
      </c>
      <c r="K3866" s="6" t="str">
        <f t="shared" si="305"/>
        <v/>
      </c>
      <c r="L3866" s="7" t="str">
        <f t="shared" si="306"/>
        <v/>
      </c>
      <c r="M3866" s="7" t="str">
        <f t="shared" si="303"/>
        <v/>
      </c>
      <c r="N3866" s="7" t="str">
        <f t="shared" si="307"/>
        <v/>
      </c>
      <c r="O3866" s="8"/>
      <c r="P3866" s="26"/>
      <c r="S3866" s="10" t="str">
        <f t="shared" si="304"/>
        <v/>
      </c>
    </row>
    <row r="3867" spans="5:19" x14ac:dyDescent="0.3">
      <c r="E3867" s="9" t="str">
        <f>IF(DADOS!C3867="","",DADOS!C3867)</f>
        <v/>
      </c>
      <c r="F3867" s="9" t="str">
        <f>IF(DADOS!E3867="","",DADOS!E3867)</f>
        <v/>
      </c>
      <c r="G3867" s="9" t="str">
        <f>IF(DADOS!F3867="","",DADOS!F3867)</f>
        <v/>
      </c>
      <c r="K3867" s="6" t="str">
        <f t="shared" si="305"/>
        <v/>
      </c>
      <c r="L3867" s="7" t="str">
        <f t="shared" si="306"/>
        <v/>
      </c>
      <c r="M3867" s="7" t="str">
        <f t="shared" si="303"/>
        <v/>
      </c>
      <c r="N3867" s="7" t="str">
        <f t="shared" si="307"/>
        <v/>
      </c>
      <c r="O3867" s="8"/>
      <c r="P3867" s="26"/>
      <c r="S3867" s="10" t="str">
        <f t="shared" si="304"/>
        <v/>
      </c>
    </row>
    <row r="3868" spans="5:19" x14ac:dyDescent="0.3">
      <c r="E3868" s="9" t="str">
        <f>IF(DADOS!C3868="","",DADOS!C3868)</f>
        <v/>
      </c>
      <c r="F3868" s="9" t="str">
        <f>IF(DADOS!E3868="","",DADOS!E3868)</f>
        <v/>
      </c>
      <c r="G3868" s="9" t="str">
        <f>IF(DADOS!F3868="","",DADOS!F3868)</f>
        <v/>
      </c>
      <c r="K3868" s="6" t="str">
        <f t="shared" si="305"/>
        <v/>
      </c>
      <c r="L3868" s="7" t="str">
        <f t="shared" si="306"/>
        <v/>
      </c>
      <c r="M3868" s="7" t="str">
        <f t="shared" si="303"/>
        <v/>
      </c>
      <c r="N3868" s="7" t="str">
        <f t="shared" si="307"/>
        <v/>
      </c>
      <c r="O3868" s="8"/>
      <c r="P3868" s="26"/>
      <c r="S3868" s="10" t="str">
        <f t="shared" si="304"/>
        <v/>
      </c>
    </row>
    <row r="3869" spans="5:19" x14ac:dyDescent="0.3">
      <c r="E3869" s="9" t="str">
        <f>IF(DADOS!C3869="","",DADOS!C3869)</f>
        <v/>
      </c>
      <c r="F3869" s="9" t="str">
        <f>IF(DADOS!E3869="","",DADOS!E3869)</f>
        <v/>
      </c>
      <c r="G3869" s="9" t="str">
        <f>IF(DADOS!F3869="","",DADOS!F3869)</f>
        <v/>
      </c>
      <c r="K3869" s="6" t="str">
        <f t="shared" si="305"/>
        <v/>
      </c>
      <c r="L3869" s="7" t="str">
        <f t="shared" si="306"/>
        <v/>
      </c>
      <c r="M3869" s="7" t="str">
        <f t="shared" si="303"/>
        <v/>
      </c>
      <c r="N3869" s="7" t="str">
        <f t="shared" si="307"/>
        <v/>
      </c>
      <c r="O3869" s="8"/>
      <c r="P3869" s="26"/>
      <c r="S3869" s="10" t="str">
        <f t="shared" si="304"/>
        <v/>
      </c>
    </row>
    <row r="3870" spans="5:19" x14ac:dyDescent="0.3">
      <c r="E3870" s="9" t="str">
        <f>IF(DADOS!C3870="","",DADOS!C3870)</f>
        <v/>
      </c>
      <c r="F3870" s="9" t="str">
        <f>IF(DADOS!E3870="","",DADOS!E3870)</f>
        <v/>
      </c>
      <c r="G3870" s="9" t="str">
        <f>IF(DADOS!F3870="","",DADOS!F3870)</f>
        <v/>
      </c>
      <c r="K3870" s="6" t="str">
        <f t="shared" si="305"/>
        <v/>
      </c>
      <c r="L3870" s="7" t="str">
        <f t="shared" si="306"/>
        <v/>
      </c>
      <c r="M3870" s="7" t="str">
        <f t="shared" si="303"/>
        <v/>
      </c>
      <c r="N3870" s="7" t="str">
        <f t="shared" si="307"/>
        <v/>
      </c>
      <c r="O3870" s="8"/>
      <c r="P3870" s="26"/>
      <c r="S3870" s="10" t="str">
        <f t="shared" si="304"/>
        <v/>
      </c>
    </row>
    <row r="3871" spans="5:19" x14ac:dyDescent="0.3">
      <c r="E3871" s="9" t="str">
        <f>IF(DADOS!C3871="","",DADOS!C3871)</f>
        <v/>
      </c>
      <c r="F3871" s="9" t="str">
        <f>IF(DADOS!E3871="","",DADOS!E3871)</f>
        <v/>
      </c>
      <c r="G3871" s="9" t="str">
        <f>IF(DADOS!F3871="","",DADOS!F3871)</f>
        <v/>
      </c>
      <c r="K3871" s="6" t="str">
        <f t="shared" si="305"/>
        <v/>
      </c>
      <c r="L3871" s="7" t="str">
        <f t="shared" si="306"/>
        <v/>
      </c>
      <c r="M3871" s="7" t="str">
        <f t="shared" si="303"/>
        <v/>
      </c>
      <c r="N3871" s="7" t="str">
        <f t="shared" si="307"/>
        <v/>
      </c>
      <c r="O3871" s="8"/>
      <c r="P3871" s="26"/>
      <c r="S3871" s="10" t="str">
        <f t="shared" si="304"/>
        <v/>
      </c>
    </row>
    <row r="3872" spans="5:19" x14ac:dyDescent="0.3">
      <c r="E3872" s="9" t="str">
        <f>IF(DADOS!C3872="","",DADOS!C3872)</f>
        <v/>
      </c>
      <c r="F3872" s="9" t="str">
        <f>IF(DADOS!E3872="","",DADOS!E3872)</f>
        <v/>
      </c>
      <c r="G3872" s="9" t="str">
        <f>IF(DADOS!F3872="","",DADOS!F3872)</f>
        <v/>
      </c>
      <c r="K3872" s="6" t="str">
        <f t="shared" si="305"/>
        <v/>
      </c>
      <c r="L3872" s="7" t="str">
        <f t="shared" si="306"/>
        <v/>
      </c>
      <c r="M3872" s="7" t="str">
        <f t="shared" si="303"/>
        <v/>
      </c>
      <c r="N3872" s="7" t="str">
        <f t="shared" si="307"/>
        <v/>
      </c>
      <c r="O3872" s="8"/>
      <c r="P3872" s="26"/>
      <c r="S3872" s="10" t="str">
        <f t="shared" si="304"/>
        <v/>
      </c>
    </row>
    <row r="3873" spans="5:19" x14ac:dyDescent="0.3">
      <c r="E3873" s="9" t="str">
        <f>IF(DADOS!C3873="","",DADOS!C3873)</f>
        <v/>
      </c>
      <c r="F3873" s="9" t="str">
        <f>IF(DADOS!E3873="","",DADOS!E3873)</f>
        <v/>
      </c>
      <c r="G3873" s="9" t="str">
        <f>IF(DADOS!F3873="","",DADOS!F3873)</f>
        <v/>
      </c>
      <c r="K3873" s="6" t="str">
        <f t="shared" si="305"/>
        <v/>
      </c>
      <c r="L3873" s="7" t="str">
        <f t="shared" si="306"/>
        <v/>
      </c>
      <c r="M3873" s="7" t="str">
        <f t="shared" si="303"/>
        <v/>
      </c>
      <c r="N3873" s="7" t="str">
        <f t="shared" si="307"/>
        <v/>
      </c>
      <c r="O3873" s="8"/>
      <c r="P3873" s="26"/>
      <c r="S3873" s="10" t="str">
        <f t="shared" si="304"/>
        <v/>
      </c>
    </row>
    <row r="3874" spans="5:19" x14ac:dyDescent="0.3">
      <c r="E3874" s="9" t="str">
        <f>IF(DADOS!C3874="","",DADOS!C3874)</f>
        <v/>
      </c>
      <c r="F3874" s="9" t="str">
        <f>IF(DADOS!E3874="","",DADOS!E3874)</f>
        <v/>
      </c>
      <c r="G3874" s="9" t="str">
        <f>IF(DADOS!F3874="","",DADOS!F3874)</f>
        <v/>
      </c>
      <c r="K3874" s="6" t="str">
        <f t="shared" si="305"/>
        <v/>
      </c>
      <c r="L3874" s="7" t="str">
        <f t="shared" si="306"/>
        <v/>
      </c>
      <c r="M3874" s="7" t="str">
        <f t="shared" si="303"/>
        <v/>
      </c>
      <c r="N3874" s="7" t="str">
        <f t="shared" si="307"/>
        <v/>
      </c>
      <c r="O3874" s="8"/>
      <c r="P3874" s="26"/>
      <c r="S3874" s="10" t="str">
        <f t="shared" si="304"/>
        <v/>
      </c>
    </row>
    <row r="3875" spans="5:19" x14ac:dyDescent="0.3">
      <c r="E3875" s="9" t="str">
        <f>IF(DADOS!C3875="","",DADOS!C3875)</f>
        <v/>
      </c>
      <c r="F3875" s="9" t="str">
        <f>IF(DADOS!E3875="","",DADOS!E3875)</f>
        <v/>
      </c>
      <c r="G3875" s="9" t="str">
        <f>IF(DADOS!F3875="","",DADOS!F3875)</f>
        <v/>
      </c>
      <c r="K3875" s="6" t="str">
        <f t="shared" si="305"/>
        <v/>
      </c>
      <c r="L3875" s="7" t="str">
        <f t="shared" si="306"/>
        <v/>
      </c>
      <c r="M3875" s="7" t="str">
        <f t="shared" si="303"/>
        <v/>
      </c>
      <c r="N3875" s="7" t="str">
        <f t="shared" si="307"/>
        <v/>
      </c>
      <c r="O3875" s="8"/>
      <c r="P3875" s="26"/>
      <c r="S3875" s="10" t="str">
        <f t="shared" si="304"/>
        <v/>
      </c>
    </row>
    <row r="3876" spans="5:19" x14ac:dyDescent="0.3">
      <c r="E3876" s="9" t="str">
        <f>IF(DADOS!C3876="","",DADOS!C3876)</f>
        <v/>
      </c>
      <c r="F3876" s="9" t="str">
        <f>IF(DADOS!E3876="","",DADOS!E3876)</f>
        <v/>
      </c>
      <c r="G3876" s="9" t="str">
        <f>IF(DADOS!F3876="","",DADOS!F3876)</f>
        <v/>
      </c>
      <c r="K3876" s="6" t="str">
        <f t="shared" si="305"/>
        <v/>
      </c>
      <c r="L3876" s="7" t="str">
        <f t="shared" si="306"/>
        <v/>
      </c>
      <c r="M3876" s="7" t="str">
        <f t="shared" si="303"/>
        <v/>
      </c>
      <c r="N3876" s="7" t="str">
        <f t="shared" si="307"/>
        <v/>
      </c>
      <c r="O3876" s="8"/>
      <c r="P3876" s="26"/>
      <c r="S3876" s="10" t="str">
        <f t="shared" si="304"/>
        <v/>
      </c>
    </row>
    <row r="3877" spans="5:19" x14ac:dyDescent="0.3">
      <c r="E3877" s="9" t="str">
        <f>IF(DADOS!C3877="","",DADOS!C3877)</f>
        <v/>
      </c>
      <c r="F3877" s="9" t="str">
        <f>IF(DADOS!E3877="","",DADOS!E3877)</f>
        <v/>
      </c>
      <c r="G3877" s="9" t="str">
        <f>IF(DADOS!F3877="","",DADOS!F3877)</f>
        <v/>
      </c>
      <c r="K3877" s="6" t="str">
        <f t="shared" si="305"/>
        <v/>
      </c>
      <c r="L3877" s="7" t="str">
        <f t="shared" si="306"/>
        <v/>
      </c>
      <c r="M3877" s="7" t="str">
        <f t="shared" si="303"/>
        <v/>
      </c>
      <c r="N3877" s="7" t="str">
        <f t="shared" si="307"/>
        <v/>
      </c>
      <c r="O3877" s="8"/>
      <c r="P3877" s="26"/>
      <c r="S3877" s="10" t="str">
        <f t="shared" si="304"/>
        <v/>
      </c>
    </row>
    <row r="3878" spans="5:19" x14ac:dyDescent="0.3">
      <c r="E3878" s="9" t="str">
        <f>IF(DADOS!C3878="","",DADOS!C3878)</f>
        <v/>
      </c>
      <c r="F3878" s="9" t="str">
        <f>IF(DADOS!E3878="","",DADOS!E3878)</f>
        <v/>
      </c>
      <c r="G3878" s="9" t="str">
        <f>IF(DADOS!F3878="","",DADOS!F3878)</f>
        <v/>
      </c>
      <c r="K3878" s="6" t="str">
        <f t="shared" si="305"/>
        <v/>
      </c>
      <c r="L3878" s="7" t="str">
        <f t="shared" si="306"/>
        <v/>
      </c>
      <c r="M3878" s="7" t="str">
        <f t="shared" si="303"/>
        <v/>
      </c>
      <c r="N3878" s="7" t="str">
        <f t="shared" si="307"/>
        <v/>
      </c>
      <c r="O3878" s="8"/>
      <c r="P3878" s="26"/>
      <c r="S3878" s="10" t="str">
        <f t="shared" si="304"/>
        <v/>
      </c>
    </row>
    <row r="3879" spans="5:19" x14ac:dyDescent="0.3">
      <c r="E3879" s="9" t="str">
        <f>IF(DADOS!C3879="","",DADOS!C3879)</f>
        <v/>
      </c>
      <c r="F3879" s="9" t="str">
        <f>IF(DADOS!E3879="","",DADOS!E3879)</f>
        <v/>
      </c>
      <c r="G3879" s="9" t="str">
        <f>IF(DADOS!F3879="","",DADOS!F3879)</f>
        <v/>
      </c>
      <c r="K3879" s="6" t="str">
        <f t="shared" si="305"/>
        <v/>
      </c>
      <c r="L3879" s="7" t="str">
        <f t="shared" si="306"/>
        <v/>
      </c>
      <c r="M3879" s="7" t="str">
        <f t="shared" si="303"/>
        <v/>
      </c>
      <c r="N3879" s="7" t="str">
        <f t="shared" si="307"/>
        <v/>
      </c>
      <c r="O3879" s="8"/>
      <c r="P3879" s="26"/>
      <c r="S3879" s="10" t="str">
        <f t="shared" si="304"/>
        <v/>
      </c>
    </row>
    <row r="3880" spans="5:19" x14ac:dyDescent="0.3">
      <c r="E3880" s="9" t="str">
        <f>IF(DADOS!C3880="","",DADOS!C3880)</f>
        <v/>
      </c>
      <c r="F3880" s="9" t="str">
        <f>IF(DADOS!E3880="","",DADOS!E3880)</f>
        <v/>
      </c>
      <c r="G3880" s="9" t="str">
        <f>IF(DADOS!F3880="","",DADOS!F3880)</f>
        <v/>
      </c>
      <c r="K3880" s="6" t="str">
        <f t="shared" si="305"/>
        <v/>
      </c>
      <c r="L3880" s="7" t="str">
        <f t="shared" si="306"/>
        <v/>
      </c>
      <c r="M3880" s="7" t="str">
        <f t="shared" si="303"/>
        <v/>
      </c>
      <c r="N3880" s="7" t="str">
        <f t="shared" si="307"/>
        <v/>
      </c>
      <c r="O3880" s="8"/>
      <c r="P3880" s="26"/>
      <c r="S3880" s="10" t="str">
        <f t="shared" si="304"/>
        <v/>
      </c>
    </row>
    <row r="3881" spans="5:19" x14ac:dyDescent="0.3">
      <c r="E3881" s="9" t="str">
        <f>IF(DADOS!C3881="","",DADOS!C3881)</f>
        <v/>
      </c>
      <c r="F3881" s="9" t="str">
        <f>IF(DADOS!E3881="","",DADOS!E3881)</f>
        <v/>
      </c>
      <c r="G3881" s="9" t="str">
        <f>IF(DADOS!F3881="","",DADOS!F3881)</f>
        <v/>
      </c>
      <c r="K3881" s="6" t="str">
        <f t="shared" si="305"/>
        <v/>
      </c>
      <c r="L3881" s="7" t="str">
        <f t="shared" si="306"/>
        <v/>
      </c>
      <c r="M3881" s="7" t="str">
        <f t="shared" si="303"/>
        <v/>
      </c>
      <c r="N3881" s="7" t="str">
        <f t="shared" si="307"/>
        <v/>
      </c>
      <c r="O3881" s="8"/>
      <c r="P3881" s="26"/>
      <c r="S3881" s="10" t="str">
        <f t="shared" si="304"/>
        <v/>
      </c>
    </row>
    <row r="3882" spans="5:19" x14ac:dyDescent="0.3">
      <c r="E3882" s="9" t="str">
        <f>IF(DADOS!C3882="","",DADOS!C3882)</f>
        <v/>
      </c>
      <c r="F3882" s="9" t="str">
        <f>IF(DADOS!E3882="","",DADOS!E3882)</f>
        <v/>
      </c>
      <c r="G3882" s="9" t="str">
        <f>IF(DADOS!F3882="","",DADOS!F3882)</f>
        <v/>
      </c>
      <c r="K3882" s="6" t="str">
        <f t="shared" si="305"/>
        <v/>
      </c>
      <c r="L3882" s="7" t="str">
        <f t="shared" si="306"/>
        <v/>
      </c>
      <c r="M3882" s="7" t="str">
        <f t="shared" si="303"/>
        <v/>
      </c>
      <c r="N3882" s="7" t="str">
        <f t="shared" si="307"/>
        <v/>
      </c>
      <c r="O3882" s="8"/>
      <c r="P3882" s="26"/>
      <c r="S3882" s="10" t="str">
        <f t="shared" si="304"/>
        <v/>
      </c>
    </row>
    <row r="3883" spans="5:19" x14ac:dyDescent="0.3">
      <c r="E3883" s="9" t="str">
        <f>IF(DADOS!C3883="","",DADOS!C3883)</f>
        <v/>
      </c>
      <c r="F3883" s="9" t="str">
        <f>IF(DADOS!E3883="","",DADOS!E3883)</f>
        <v/>
      </c>
      <c r="G3883" s="9" t="str">
        <f>IF(DADOS!F3883="","",DADOS!F3883)</f>
        <v/>
      </c>
      <c r="K3883" s="6" t="str">
        <f t="shared" si="305"/>
        <v/>
      </c>
      <c r="L3883" s="7" t="str">
        <f t="shared" si="306"/>
        <v/>
      </c>
      <c r="M3883" s="7" t="str">
        <f t="shared" si="303"/>
        <v/>
      </c>
      <c r="N3883" s="7" t="str">
        <f t="shared" si="307"/>
        <v/>
      </c>
      <c r="O3883" s="8"/>
      <c r="P3883" s="26"/>
      <c r="S3883" s="10" t="str">
        <f t="shared" si="304"/>
        <v/>
      </c>
    </row>
    <row r="3884" spans="5:19" x14ac:dyDescent="0.3">
      <c r="E3884" s="9" t="str">
        <f>IF(DADOS!C3884="","",DADOS!C3884)</f>
        <v/>
      </c>
      <c r="F3884" s="9" t="str">
        <f>IF(DADOS!E3884="","",DADOS!E3884)</f>
        <v/>
      </c>
      <c r="G3884" s="9" t="str">
        <f>IF(DADOS!F3884="","",DADOS!F3884)</f>
        <v/>
      </c>
      <c r="K3884" s="6" t="str">
        <f t="shared" si="305"/>
        <v/>
      </c>
      <c r="L3884" s="7" t="str">
        <f t="shared" si="306"/>
        <v/>
      </c>
      <c r="M3884" s="7" t="str">
        <f t="shared" si="303"/>
        <v/>
      </c>
      <c r="N3884" s="7" t="str">
        <f t="shared" si="307"/>
        <v/>
      </c>
      <c r="O3884" s="8"/>
      <c r="P3884" s="26"/>
      <c r="S3884" s="10" t="str">
        <f t="shared" si="304"/>
        <v/>
      </c>
    </row>
    <row r="3885" spans="5:19" x14ac:dyDescent="0.3">
      <c r="E3885" s="9" t="str">
        <f>IF(DADOS!C3885="","",DADOS!C3885)</f>
        <v/>
      </c>
      <c r="F3885" s="9" t="str">
        <f>IF(DADOS!E3885="","",DADOS!E3885)</f>
        <v/>
      </c>
      <c r="G3885" s="9" t="str">
        <f>IF(DADOS!F3885="","",DADOS!F3885)</f>
        <v/>
      </c>
      <c r="K3885" s="6" t="str">
        <f t="shared" si="305"/>
        <v/>
      </c>
      <c r="L3885" s="7" t="str">
        <f t="shared" si="306"/>
        <v/>
      </c>
      <c r="M3885" s="7" t="str">
        <f t="shared" si="303"/>
        <v/>
      </c>
      <c r="N3885" s="7" t="str">
        <f t="shared" si="307"/>
        <v/>
      </c>
      <c r="O3885" s="8"/>
      <c r="P3885" s="26"/>
      <c r="S3885" s="10" t="str">
        <f t="shared" si="304"/>
        <v/>
      </c>
    </row>
    <row r="3886" spans="5:19" x14ac:dyDescent="0.3">
      <c r="E3886" s="9" t="str">
        <f>IF(DADOS!C3886="","",DADOS!C3886)</f>
        <v/>
      </c>
      <c r="F3886" s="9" t="str">
        <f>IF(DADOS!E3886="","",DADOS!E3886)</f>
        <v/>
      </c>
      <c r="G3886" s="9" t="str">
        <f>IF(DADOS!F3886="","",DADOS!F3886)</f>
        <v/>
      </c>
      <c r="K3886" s="6" t="str">
        <f t="shared" si="305"/>
        <v/>
      </c>
      <c r="L3886" s="7" t="str">
        <f t="shared" si="306"/>
        <v/>
      </c>
      <c r="M3886" s="7" t="str">
        <f t="shared" si="303"/>
        <v/>
      </c>
      <c r="N3886" s="7" t="str">
        <f t="shared" si="307"/>
        <v/>
      </c>
      <c r="O3886" s="8"/>
      <c r="P3886" s="26"/>
      <c r="S3886" s="10" t="str">
        <f t="shared" si="304"/>
        <v/>
      </c>
    </row>
    <row r="3887" spans="5:19" x14ac:dyDescent="0.3">
      <c r="E3887" s="9" t="str">
        <f>IF(DADOS!C3887="","",DADOS!C3887)</f>
        <v/>
      </c>
      <c r="F3887" s="9" t="str">
        <f>IF(DADOS!E3887="","",DADOS!E3887)</f>
        <v/>
      </c>
      <c r="G3887" s="9" t="str">
        <f>IF(DADOS!F3887="","",DADOS!F3887)</f>
        <v/>
      </c>
      <c r="K3887" s="6" t="str">
        <f t="shared" si="305"/>
        <v/>
      </c>
      <c r="L3887" s="7" t="str">
        <f t="shared" si="306"/>
        <v/>
      </c>
      <c r="M3887" s="7" t="str">
        <f t="shared" si="303"/>
        <v/>
      </c>
      <c r="N3887" s="7" t="str">
        <f t="shared" si="307"/>
        <v/>
      </c>
      <c r="O3887" s="8"/>
      <c r="P3887" s="26"/>
      <c r="S3887" s="10" t="str">
        <f t="shared" si="304"/>
        <v/>
      </c>
    </row>
    <row r="3888" spans="5:19" x14ac:dyDescent="0.3">
      <c r="E3888" s="9" t="str">
        <f>IF(DADOS!C3888="","",DADOS!C3888)</f>
        <v/>
      </c>
      <c r="F3888" s="9" t="str">
        <f>IF(DADOS!E3888="","",DADOS!E3888)</f>
        <v/>
      </c>
      <c r="G3888" s="9" t="str">
        <f>IF(DADOS!F3888="","",DADOS!F3888)</f>
        <v/>
      </c>
      <c r="K3888" s="6" t="str">
        <f t="shared" si="305"/>
        <v/>
      </c>
      <c r="L3888" s="7" t="str">
        <f t="shared" si="306"/>
        <v/>
      </c>
      <c r="M3888" s="7" t="str">
        <f t="shared" si="303"/>
        <v/>
      </c>
      <c r="N3888" s="7" t="str">
        <f t="shared" si="307"/>
        <v/>
      </c>
      <c r="O3888" s="8"/>
      <c r="P3888" s="26"/>
      <c r="S3888" s="10" t="str">
        <f t="shared" si="304"/>
        <v/>
      </c>
    </row>
    <row r="3889" spans="5:19" x14ac:dyDescent="0.3">
      <c r="E3889" s="9" t="str">
        <f>IF(DADOS!C3889="","",DADOS!C3889)</f>
        <v/>
      </c>
      <c r="F3889" s="9" t="str">
        <f>IF(DADOS!E3889="","",DADOS!E3889)</f>
        <v/>
      </c>
      <c r="G3889" s="9" t="str">
        <f>IF(DADOS!F3889="","",DADOS!F3889)</f>
        <v/>
      </c>
      <c r="K3889" s="6" t="str">
        <f t="shared" si="305"/>
        <v/>
      </c>
      <c r="L3889" s="7" t="str">
        <f t="shared" si="306"/>
        <v/>
      </c>
      <c r="M3889" s="7" t="str">
        <f t="shared" si="303"/>
        <v/>
      </c>
      <c r="N3889" s="7" t="str">
        <f t="shared" si="307"/>
        <v/>
      </c>
      <c r="O3889" s="8"/>
      <c r="P3889" s="26"/>
      <c r="S3889" s="10" t="str">
        <f t="shared" si="304"/>
        <v/>
      </c>
    </row>
    <row r="3890" spans="5:19" x14ac:dyDescent="0.3">
      <c r="E3890" s="9" t="str">
        <f>IF(DADOS!C3890="","",DADOS!C3890)</f>
        <v/>
      </c>
      <c r="F3890" s="9" t="str">
        <f>IF(DADOS!E3890="","",DADOS!E3890)</f>
        <v/>
      </c>
      <c r="G3890" s="9" t="str">
        <f>IF(DADOS!F3890="","",DADOS!F3890)</f>
        <v/>
      </c>
      <c r="K3890" s="6" t="str">
        <f t="shared" si="305"/>
        <v/>
      </c>
      <c r="L3890" s="7" t="str">
        <f t="shared" si="306"/>
        <v/>
      </c>
      <c r="M3890" s="7" t="str">
        <f t="shared" si="303"/>
        <v/>
      </c>
      <c r="N3890" s="7" t="str">
        <f t="shared" si="307"/>
        <v/>
      </c>
      <c r="O3890" s="8"/>
      <c r="P3890" s="26"/>
      <c r="S3890" s="10" t="str">
        <f t="shared" si="304"/>
        <v/>
      </c>
    </row>
    <row r="3891" spans="5:19" x14ac:dyDescent="0.3">
      <c r="E3891" s="9" t="str">
        <f>IF(DADOS!C3891="","",DADOS!C3891)</f>
        <v/>
      </c>
      <c r="F3891" s="9" t="str">
        <f>IF(DADOS!E3891="","",DADOS!E3891)</f>
        <v/>
      </c>
      <c r="G3891" s="9" t="str">
        <f>IF(DADOS!F3891="","",DADOS!F3891)</f>
        <v/>
      </c>
      <c r="K3891" s="6" t="str">
        <f t="shared" si="305"/>
        <v/>
      </c>
      <c r="L3891" s="7" t="str">
        <f t="shared" si="306"/>
        <v/>
      </c>
      <c r="M3891" s="7" t="str">
        <f t="shared" si="303"/>
        <v/>
      </c>
      <c r="N3891" s="7" t="str">
        <f t="shared" si="307"/>
        <v/>
      </c>
      <c r="O3891" s="8"/>
      <c r="P3891" s="26"/>
      <c r="S3891" s="10" t="str">
        <f t="shared" si="304"/>
        <v/>
      </c>
    </row>
    <row r="3892" spans="5:19" x14ac:dyDescent="0.3">
      <c r="E3892" s="9" t="str">
        <f>IF(DADOS!C3892="","",DADOS!C3892)</f>
        <v/>
      </c>
      <c r="F3892" s="9" t="str">
        <f>IF(DADOS!E3892="","",DADOS!E3892)</f>
        <v/>
      </c>
      <c r="G3892" s="9" t="str">
        <f>IF(DADOS!F3892="","",DADOS!F3892)</f>
        <v/>
      </c>
      <c r="K3892" s="6" t="str">
        <f t="shared" si="305"/>
        <v/>
      </c>
      <c r="L3892" s="7" t="str">
        <f t="shared" si="306"/>
        <v/>
      </c>
      <c r="M3892" s="7" t="str">
        <f t="shared" si="303"/>
        <v/>
      </c>
      <c r="N3892" s="7" t="str">
        <f t="shared" si="307"/>
        <v/>
      </c>
      <c r="O3892" s="8"/>
      <c r="P3892" s="26"/>
      <c r="S3892" s="10" t="str">
        <f t="shared" si="304"/>
        <v/>
      </c>
    </row>
    <row r="3893" spans="5:19" x14ac:dyDescent="0.3">
      <c r="E3893" s="9" t="str">
        <f>IF(DADOS!C3893="","",DADOS!C3893)</f>
        <v/>
      </c>
      <c r="F3893" s="9" t="str">
        <f>IF(DADOS!E3893="","",DADOS!E3893)</f>
        <v/>
      </c>
      <c r="G3893" s="9" t="str">
        <f>IF(DADOS!F3893="","",DADOS!F3893)</f>
        <v/>
      </c>
      <c r="K3893" s="6" t="str">
        <f t="shared" si="305"/>
        <v/>
      </c>
      <c r="L3893" s="7" t="str">
        <f t="shared" si="306"/>
        <v/>
      </c>
      <c r="M3893" s="7" t="str">
        <f t="shared" si="303"/>
        <v/>
      </c>
      <c r="N3893" s="7" t="str">
        <f t="shared" si="307"/>
        <v/>
      </c>
      <c r="O3893" s="8"/>
      <c r="P3893" s="26"/>
      <c r="S3893" s="10" t="str">
        <f t="shared" si="304"/>
        <v/>
      </c>
    </row>
    <row r="3894" spans="5:19" x14ac:dyDescent="0.3">
      <c r="E3894" s="9" t="str">
        <f>IF(DADOS!C3894="","",DADOS!C3894)</f>
        <v/>
      </c>
      <c r="F3894" s="9" t="str">
        <f>IF(DADOS!E3894="","",DADOS!E3894)</f>
        <v/>
      </c>
      <c r="G3894" s="9" t="str">
        <f>IF(DADOS!F3894="","",DADOS!F3894)</f>
        <v/>
      </c>
      <c r="K3894" s="6" t="str">
        <f t="shared" si="305"/>
        <v/>
      </c>
      <c r="L3894" s="7" t="str">
        <f t="shared" si="306"/>
        <v/>
      </c>
      <c r="M3894" s="7" t="str">
        <f t="shared" si="303"/>
        <v/>
      </c>
      <c r="N3894" s="7" t="str">
        <f t="shared" si="307"/>
        <v/>
      </c>
      <c r="O3894" s="8"/>
      <c r="P3894" s="26"/>
      <c r="S3894" s="10" t="str">
        <f t="shared" si="304"/>
        <v/>
      </c>
    </row>
    <row r="3895" spans="5:19" x14ac:dyDescent="0.3">
      <c r="E3895" s="9" t="str">
        <f>IF(DADOS!C3895="","",DADOS!C3895)</f>
        <v/>
      </c>
      <c r="F3895" s="9" t="str">
        <f>IF(DADOS!E3895="","",DADOS!E3895)</f>
        <v/>
      </c>
      <c r="G3895" s="9" t="str">
        <f>IF(DADOS!F3895="","",DADOS!F3895)</f>
        <v/>
      </c>
      <c r="K3895" s="6" t="str">
        <f t="shared" si="305"/>
        <v/>
      </c>
      <c r="L3895" s="7" t="str">
        <f t="shared" si="306"/>
        <v/>
      </c>
      <c r="M3895" s="7" t="str">
        <f t="shared" si="303"/>
        <v/>
      </c>
      <c r="N3895" s="7" t="str">
        <f t="shared" si="307"/>
        <v/>
      </c>
      <c r="O3895" s="8"/>
      <c r="P3895" s="26"/>
      <c r="S3895" s="10" t="str">
        <f t="shared" si="304"/>
        <v/>
      </c>
    </row>
    <row r="3896" spans="5:19" x14ac:dyDescent="0.3">
      <c r="E3896" s="9" t="str">
        <f>IF(DADOS!C3896="","",DADOS!C3896)</f>
        <v/>
      </c>
      <c r="F3896" s="9" t="str">
        <f>IF(DADOS!E3896="","",DADOS!E3896)</f>
        <v/>
      </c>
      <c r="G3896" s="9" t="str">
        <f>IF(DADOS!F3896="","",DADOS!F3896)</f>
        <v/>
      </c>
      <c r="K3896" s="6" t="str">
        <f t="shared" si="305"/>
        <v/>
      </c>
      <c r="L3896" s="7" t="str">
        <f t="shared" si="306"/>
        <v/>
      </c>
      <c r="M3896" s="7" t="str">
        <f t="shared" si="303"/>
        <v/>
      </c>
      <c r="N3896" s="7" t="str">
        <f t="shared" si="307"/>
        <v/>
      </c>
      <c r="O3896" s="8"/>
      <c r="P3896" s="26"/>
      <c r="S3896" s="10" t="str">
        <f t="shared" si="304"/>
        <v/>
      </c>
    </row>
    <row r="3897" spans="5:19" x14ac:dyDescent="0.3">
      <c r="E3897" s="9" t="str">
        <f>IF(DADOS!C3897="","",DADOS!C3897)</f>
        <v/>
      </c>
      <c r="F3897" s="9" t="str">
        <f>IF(DADOS!E3897="","",DADOS!E3897)</f>
        <v/>
      </c>
      <c r="G3897" s="9" t="str">
        <f>IF(DADOS!F3897="","",DADOS!F3897)</f>
        <v/>
      </c>
      <c r="K3897" s="6" t="str">
        <f t="shared" si="305"/>
        <v/>
      </c>
      <c r="L3897" s="7" t="str">
        <f t="shared" si="306"/>
        <v/>
      </c>
      <c r="M3897" s="7" t="str">
        <f t="shared" si="303"/>
        <v/>
      </c>
      <c r="N3897" s="7" t="str">
        <f t="shared" si="307"/>
        <v/>
      </c>
      <c r="O3897" s="8"/>
      <c r="P3897" s="26"/>
      <c r="S3897" s="10" t="str">
        <f t="shared" si="304"/>
        <v/>
      </c>
    </row>
    <row r="3898" spans="5:19" x14ac:dyDescent="0.3">
      <c r="E3898" s="9" t="str">
        <f>IF(DADOS!C3898="","",DADOS!C3898)</f>
        <v/>
      </c>
      <c r="F3898" s="9" t="str">
        <f>IF(DADOS!E3898="","",DADOS!E3898)</f>
        <v/>
      </c>
      <c r="G3898" s="9" t="str">
        <f>IF(DADOS!F3898="","",DADOS!F3898)</f>
        <v/>
      </c>
      <c r="K3898" s="6" t="str">
        <f t="shared" si="305"/>
        <v/>
      </c>
      <c r="L3898" s="7" t="str">
        <f t="shared" si="306"/>
        <v/>
      </c>
      <c r="M3898" s="7" t="str">
        <f t="shared" si="303"/>
        <v/>
      </c>
      <c r="N3898" s="7" t="str">
        <f t="shared" si="307"/>
        <v/>
      </c>
      <c r="O3898" s="8"/>
      <c r="P3898" s="26"/>
      <c r="S3898" s="10" t="str">
        <f t="shared" si="304"/>
        <v/>
      </c>
    </row>
    <row r="3899" spans="5:19" x14ac:dyDescent="0.3">
      <c r="E3899" s="9" t="str">
        <f>IF(DADOS!C3899="","",DADOS!C3899)</f>
        <v/>
      </c>
      <c r="F3899" s="9" t="str">
        <f>IF(DADOS!E3899="","",DADOS!E3899)</f>
        <v/>
      </c>
      <c r="G3899" s="9" t="str">
        <f>IF(DADOS!F3899="","",DADOS!F3899)</f>
        <v/>
      </c>
      <c r="K3899" s="6" t="str">
        <f t="shared" si="305"/>
        <v/>
      </c>
      <c r="L3899" s="7" t="str">
        <f t="shared" si="306"/>
        <v/>
      </c>
      <c r="M3899" s="7" t="str">
        <f t="shared" si="303"/>
        <v/>
      </c>
      <c r="N3899" s="7" t="str">
        <f t="shared" si="307"/>
        <v/>
      </c>
      <c r="O3899" s="8"/>
      <c r="P3899" s="26"/>
      <c r="S3899" s="10" t="str">
        <f t="shared" si="304"/>
        <v/>
      </c>
    </row>
    <row r="3900" spans="5:19" x14ac:dyDescent="0.3">
      <c r="E3900" s="9" t="str">
        <f>IF(DADOS!C3900="","",DADOS!C3900)</f>
        <v/>
      </c>
      <c r="F3900" s="9" t="str">
        <f>IF(DADOS!E3900="","",DADOS!E3900)</f>
        <v/>
      </c>
      <c r="G3900" s="9" t="str">
        <f>IF(DADOS!F3900="","",DADOS!F3900)</f>
        <v/>
      </c>
      <c r="K3900" s="6" t="str">
        <f t="shared" si="305"/>
        <v/>
      </c>
      <c r="L3900" s="7" t="str">
        <f t="shared" si="306"/>
        <v/>
      </c>
      <c r="M3900" s="7" t="str">
        <f t="shared" si="303"/>
        <v/>
      </c>
      <c r="N3900" s="7" t="str">
        <f t="shared" si="307"/>
        <v/>
      </c>
      <c r="O3900" s="8"/>
      <c r="P3900" s="26"/>
      <c r="S3900" s="10" t="str">
        <f t="shared" si="304"/>
        <v/>
      </c>
    </row>
    <row r="3901" spans="5:19" x14ac:dyDescent="0.3">
      <c r="E3901" s="9" t="str">
        <f>IF(DADOS!C3901="","",DADOS!C3901)</f>
        <v/>
      </c>
      <c r="F3901" s="9" t="str">
        <f>IF(DADOS!E3901="","",DADOS!E3901)</f>
        <v/>
      </c>
      <c r="G3901" s="9" t="str">
        <f>IF(DADOS!F3901="","",DADOS!F3901)</f>
        <v/>
      </c>
      <c r="K3901" s="6" t="str">
        <f t="shared" si="305"/>
        <v/>
      </c>
      <c r="L3901" s="7" t="str">
        <f t="shared" si="306"/>
        <v/>
      </c>
      <c r="M3901" s="7" t="str">
        <f t="shared" si="303"/>
        <v/>
      </c>
      <c r="N3901" s="7" t="str">
        <f t="shared" si="307"/>
        <v/>
      </c>
      <c r="O3901" s="8"/>
      <c r="P3901" s="26"/>
      <c r="S3901" s="10" t="str">
        <f t="shared" si="304"/>
        <v/>
      </c>
    </row>
    <row r="3902" spans="5:19" x14ac:dyDescent="0.3">
      <c r="E3902" s="9" t="str">
        <f>IF(DADOS!C3902="","",DADOS!C3902)</f>
        <v/>
      </c>
      <c r="F3902" s="9" t="str">
        <f>IF(DADOS!E3902="","",DADOS!E3902)</f>
        <v/>
      </c>
      <c r="G3902" s="9" t="str">
        <f>IF(DADOS!F3902="","",DADOS!F3902)</f>
        <v/>
      </c>
      <c r="K3902" s="6" t="str">
        <f t="shared" si="305"/>
        <v/>
      </c>
      <c r="L3902" s="7" t="str">
        <f t="shared" si="306"/>
        <v/>
      </c>
      <c r="M3902" s="7" t="str">
        <f t="shared" si="303"/>
        <v/>
      </c>
      <c r="N3902" s="7" t="str">
        <f t="shared" si="307"/>
        <v/>
      </c>
      <c r="O3902" s="8"/>
      <c r="P3902" s="26"/>
      <c r="S3902" s="10" t="str">
        <f t="shared" si="304"/>
        <v/>
      </c>
    </row>
    <row r="3903" spans="5:19" x14ac:dyDescent="0.3">
      <c r="E3903" s="9" t="str">
        <f>IF(DADOS!C3903="","",DADOS!C3903)</f>
        <v/>
      </c>
      <c r="F3903" s="9" t="str">
        <f>IF(DADOS!E3903="","",DADOS!E3903)</f>
        <v/>
      </c>
      <c r="G3903" s="9" t="str">
        <f>IF(DADOS!F3903="","",DADOS!F3903)</f>
        <v/>
      </c>
      <c r="K3903" s="6" t="str">
        <f t="shared" si="305"/>
        <v/>
      </c>
      <c r="L3903" s="7" t="str">
        <f t="shared" si="306"/>
        <v/>
      </c>
      <c r="M3903" s="7" t="str">
        <f t="shared" si="303"/>
        <v/>
      </c>
      <c r="N3903" s="7" t="str">
        <f t="shared" si="307"/>
        <v/>
      </c>
      <c r="O3903" s="8"/>
      <c r="P3903" s="26"/>
      <c r="S3903" s="10" t="str">
        <f t="shared" si="304"/>
        <v/>
      </c>
    </row>
    <row r="3904" spans="5:19" x14ac:dyDescent="0.3">
      <c r="E3904" s="9" t="str">
        <f>IF(DADOS!C3904="","",DADOS!C3904)</f>
        <v/>
      </c>
      <c r="F3904" s="9" t="str">
        <f>IF(DADOS!E3904="","",DADOS!E3904)</f>
        <v/>
      </c>
      <c r="G3904" s="9" t="str">
        <f>IF(DADOS!F3904="","",DADOS!F3904)</f>
        <v/>
      </c>
      <c r="K3904" s="6" t="str">
        <f t="shared" si="305"/>
        <v/>
      </c>
      <c r="L3904" s="7" t="str">
        <f t="shared" si="306"/>
        <v/>
      </c>
      <c r="M3904" s="7" t="str">
        <f t="shared" si="303"/>
        <v/>
      </c>
      <c r="N3904" s="7" t="str">
        <f t="shared" si="307"/>
        <v/>
      </c>
      <c r="O3904" s="8"/>
      <c r="P3904" s="26"/>
      <c r="S3904" s="10" t="str">
        <f t="shared" si="304"/>
        <v/>
      </c>
    </row>
    <row r="3905" spans="5:19" x14ac:dyDescent="0.3">
      <c r="E3905" s="9" t="str">
        <f>IF(DADOS!C3905="","",DADOS!C3905)</f>
        <v/>
      </c>
      <c r="F3905" s="9" t="str">
        <f>IF(DADOS!E3905="","",DADOS!E3905)</f>
        <v/>
      </c>
      <c r="G3905" s="9" t="str">
        <f>IF(DADOS!F3905="","",DADOS!F3905)</f>
        <v/>
      </c>
      <c r="K3905" s="6" t="str">
        <f t="shared" si="305"/>
        <v/>
      </c>
      <c r="L3905" s="7" t="str">
        <f t="shared" si="306"/>
        <v/>
      </c>
      <c r="M3905" s="7" t="str">
        <f t="shared" si="303"/>
        <v/>
      </c>
      <c r="N3905" s="7" t="str">
        <f t="shared" si="307"/>
        <v/>
      </c>
      <c r="O3905" s="8"/>
      <c r="P3905" s="26"/>
      <c r="S3905" s="10" t="str">
        <f t="shared" si="304"/>
        <v/>
      </c>
    </row>
    <row r="3906" spans="5:19" x14ac:dyDescent="0.3">
      <c r="E3906" s="9" t="str">
        <f>IF(DADOS!C3906="","",DADOS!C3906)</f>
        <v/>
      </c>
      <c r="F3906" s="9" t="str">
        <f>IF(DADOS!E3906="","",DADOS!E3906)</f>
        <v/>
      </c>
      <c r="G3906" s="9" t="str">
        <f>IF(DADOS!F3906="","",DADOS!F3906)</f>
        <v/>
      </c>
      <c r="K3906" s="6" t="str">
        <f t="shared" si="305"/>
        <v/>
      </c>
      <c r="L3906" s="7" t="str">
        <f t="shared" si="306"/>
        <v/>
      </c>
      <c r="M3906" s="7" t="str">
        <f t="shared" si="303"/>
        <v/>
      </c>
      <c r="N3906" s="7" t="str">
        <f t="shared" si="307"/>
        <v/>
      </c>
      <c r="O3906" s="8"/>
      <c r="P3906" s="26"/>
      <c r="S3906" s="10" t="str">
        <f t="shared" si="304"/>
        <v/>
      </c>
    </row>
    <row r="3907" spans="5:19" x14ac:dyDescent="0.3">
      <c r="E3907" s="9" t="str">
        <f>IF(DADOS!C3907="","",DADOS!C3907)</f>
        <v/>
      </c>
      <c r="F3907" s="9" t="str">
        <f>IF(DADOS!E3907="","",DADOS!E3907)</f>
        <v/>
      </c>
      <c r="G3907" s="9" t="str">
        <f>IF(DADOS!F3907="","",DADOS!F3907)</f>
        <v/>
      </c>
      <c r="K3907" s="6" t="str">
        <f t="shared" si="305"/>
        <v/>
      </c>
      <c r="L3907" s="7" t="str">
        <f t="shared" si="306"/>
        <v/>
      </c>
      <c r="M3907" s="7" t="str">
        <f t="shared" ref="M3907:M3970" si="308">IF(L3907="","",L3907*G3907)</f>
        <v/>
      </c>
      <c r="N3907" s="7" t="str">
        <f t="shared" si="307"/>
        <v/>
      </c>
      <c r="O3907" s="8"/>
      <c r="P3907" s="26"/>
      <c r="S3907" s="10" t="str">
        <f t="shared" ref="S3907:S3970" si="309">IF(R3907="","",SUMIFS($N$3:$N$10000,$E$3:$E$10000,R3907))</f>
        <v/>
      </c>
    </row>
    <row r="3908" spans="5:19" x14ac:dyDescent="0.3">
      <c r="E3908" s="9" t="str">
        <f>IF(DADOS!C3908="","",DADOS!C3908)</f>
        <v/>
      </c>
      <c r="F3908" s="9" t="str">
        <f>IF(DADOS!E3908="","",DADOS!E3908)</f>
        <v/>
      </c>
      <c r="G3908" s="9" t="str">
        <f>IF(DADOS!F3908="","",DADOS!F3908)</f>
        <v/>
      </c>
      <c r="K3908" s="6" t="str">
        <f t="shared" ref="K3908:K3971" si="310">IF(F3908="","",F3908/PI())</f>
        <v/>
      </c>
      <c r="L3908" s="7" t="str">
        <f t="shared" ref="L3908:L3971" si="311">IF(K3908="","",(PI()*K3908^2)/40000)</f>
        <v/>
      </c>
      <c r="M3908" s="7" t="str">
        <f t="shared" si="308"/>
        <v/>
      </c>
      <c r="N3908" s="7" t="str">
        <f t="shared" ref="N3908:N3971" si="312">IF(M3908="","",M3908*N$1)</f>
        <v/>
      </c>
      <c r="O3908" s="8"/>
      <c r="P3908" s="26"/>
      <c r="S3908" s="10" t="str">
        <f t="shared" si="309"/>
        <v/>
      </c>
    </row>
    <row r="3909" spans="5:19" x14ac:dyDescent="0.3">
      <c r="E3909" s="9" t="str">
        <f>IF(DADOS!C3909="","",DADOS!C3909)</f>
        <v/>
      </c>
      <c r="F3909" s="9" t="str">
        <f>IF(DADOS!E3909="","",DADOS!E3909)</f>
        <v/>
      </c>
      <c r="G3909" s="9" t="str">
        <f>IF(DADOS!F3909="","",DADOS!F3909)</f>
        <v/>
      </c>
      <c r="K3909" s="6" t="str">
        <f t="shared" si="310"/>
        <v/>
      </c>
      <c r="L3909" s="7" t="str">
        <f t="shared" si="311"/>
        <v/>
      </c>
      <c r="M3909" s="7" t="str">
        <f t="shared" si="308"/>
        <v/>
      </c>
      <c r="N3909" s="7" t="str">
        <f t="shared" si="312"/>
        <v/>
      </c>
      <c r="O3909" s="8"/>
      <c r="P3909" s="26"/>
      <c r="S3909" s="10" t="str">
        <f t="shared" si="309"/>
        <v/>
      </c>
    </row>
    <row r="3910" spans="5:19" x14ac:dyDescent="0.3">
      <c r="E3910" s="9" t="str">
        <f>IF(DADOS!C3910="","",DADOS!C3910)</f>
        <v/>
      </c>
      <c r="F3910" s="9" t="str">
        <f>IF(DADOS!E3910="","",DADOS!E3910)</f>
        <v/>
      </c>
      <c r="G3910" s="9" t="str">
        <f>IF(DADOS!F3910="","",DADOS!F3910)</f>
        <v/>
      </c>
      <c r="K3910" s="6" t="str">
        <f t="shared" si="310"/>
        <v/>
      </c>
      <c r="L3910" s="7" t="str">
        <f t="shared" si="311"/>
        <v/>
      </c>
      <c r="M3910" s="7" t="str">
        <f t="shared" si="308"/>
        <v/>
      </c>
      <c r="N3910" s="7" t="str">
        <f t="shared" si="312"/>
        <v/>
      </c>
      <c r="O3910" s="8"/>
      <c r="P3910" s="26"/>
      <c r="S3910" s="10" t="str">
        <f t="shared" si="309"/>
        <v/>
      </c>
    </row>
    <row r="3911" spans="5:19" x14ac:dyDescent="0.3">
      <c r="E3911" s="9" t="str">
        <f>IF(DADOS!C3911="","",DADOS!C3911)</f>
        <v/>
      </c>
      <c r="F3911" s="9" t="str">
        <f>IF(DADOS!E3911="","",DADOS!E3911)</f>
        <v/>
      </c>
      <c r="G3911" s="9" t="str">
        <f>IF(DADOS!F3911="","",DADOS!F3911)</f>
        <v/>
      </c>
      <c r="K3911" s="6" t="str">
        <f t="shared" si="310"/>
        <v/>
      </c>
      <c r="L3911" s="7" t="str">
        <f t="shared" si="311"/>
        <v/>
      </c>
      <c r="M3911" s="7" t="str">
        <f t="shared" si="308"/>
        <v/>
      </c>
      <c r="N3911" s="7" t="str">
        <f t="shared" si="312"/>
        <v/>
      </c>
      <c r="O3911" s="8"/>
      <c r="P3911" s="26"/>
      <c r="S3911" s="10" t="str">
        <f t="shared" si="309"/>
        <v/>
      </c>
    </row>
    <row r="3912" spans="5:19" x14ac:dyDescent="0.3">
      <c r="E3912" s="9" t="str">
        <f>IF(DADOS!C3912="","",DADOS!C3912)</f>
        <v/>
      </c>
      <c r="F3912" s="9" t="str">
        <f>IF(DADOS!E3912="","",DADOS!E3912)</f>
        <v/>
      </c>
      <c r="G3912" s="9" t="str">
        <f>IF(DADOS!F3912="","",DADOS!F3912)</f>
        <v/>
      </c>
      <c r="K3912" s="6" t="str">
        <f t="shared" si="310"/>
        <v/>
      </c>
      <c r="L3912" s="7" t="str">
        <f t="shared" si="311"/>
        <v/>
      </c>
      <c r="M3912" s="7" t="str">
        <f t="shared" si="308"/>
        <v/>
      </c>
      <c r="N3912" s="7" t="str">
        <f t="shared" si="312"/>
        <v/>
      </c>
      <c r="O3912" s="8"/>
      <c r="P3912" s="26"/>
      <c r="S3912" s="10" t="str">
        <f t="shared" si="309"/>
        <v/>
      </c>
    </row>
    <row r="3913" spans="5:19" x14ac:dyDescent="0.3">
      <c r="E3913" s="9" t="str">
        <f>IF(DADOS!C3913="","",DADOS!C3913)</f>
        <v/>
      </c>
      <c r="F3913" s="9" t="str">
        <f>IF(DADOS!E3913="","",DADOS!E3913)</f>
        <v/>
      </c>
      <c r="G3913" s="9" t="str">
        <f>IF(DADOS!F3913="","",DADOS!F3913)</f>
        <v/>
      </c>
      <c r="K3913" s="6" t="str">
        <f t="shared" si="310"/>
        <v/>
      </c>
      <c r="L3913" s="7" t="str">
        <f t="shared" si="311"/>
        <v/>
      </c>
      <c r="M3913" s="7" t="str">
        <f t="shared" si="308"/>
        <v/>
      </c>
      <c r="N3913" s="7" t="str">
        <f t="shared" si="312"/>
        <v/>
      </c>
      <c r="O3913" s="8"/>
      <c r="P3913" s="26"/>
      <c r="S3913" s="10" t="str">
        <f t="shared" si="309"/>
        <v/>
      </c>
    </row>
    <row r="3914" spans="5:19" x14ac:dyDescent="0.3">
      <c r="E3914" s="9" t="str">
        <f>IF(DADOS!C3914="","",DADOS!C3914)</f>
        <v/>
      </c>
      <c r="F3914" s="9" t="str">
        <f>IF(DADOS!E3914="","",DADOS!E3914)</f>
        <v/>
      </c>
      <c r="G3914" s="9" t="str">
        <f>IF(DADOS!F3914="","",DADOS!F3914)</f>
        <v/>
      </c>
      <c r="K3914" s="6" t="str">
        <f t="shared" si="310"/>
        <v/>
      </c>
      <c r="L3914" s="7" t="str">
        <f t="shared" si="311"/>
        <v/>
      </c>
      <c r="M3914" s="7" t="str">
        <f t="shared" si="308"/>
        <v/>
      </c>
      <c r="N3914" s="7" t="str">
        <f t="shared" si="312"/>
        <v/>
      </c>
      <c r="O3914" s="8"/>
      <c r="P3914" s="26"/>
      <c r="S3914" s="10" t="str">
        <f t="shared" si="309"/>
        <v/>
      </c>
    </row>
    <row r="3915" spans="5:19" x14ac:dyDescent="0.3">
      <c r="E3915" s="9" t="str">
        <f>IF(DADOS!C3915="","",DADOS!C3915)</f>
        <v/>
      </c>
      <c r="F3915" s="9" t="str">
        <f>IF(DADOS!E3915="","",DADOS!E3915)</f>
        <v/>
      </c>
      <c r="G3915" s="9" t="str">
        <f>IF(DADOS!F3915="","",DADOS!F3915)</f>
        <v/>
      </c>
      <c r="K3915" s="6" t="str">
        <f t="shared" si="310"/>
        <v/>
      </c>
      <c r="L3915" s="7" t="str">
        <f t="shared" si="311"/>
        <v/>
      </c>
      <c r="M3915" s="7" t="str">
        <f t="shared" si="308"/>
        <v/>
      </c>
      <c r="N3915" s="7" t="str">
        <f t="shared" si="312"/>
        <v/>
      </c>
      <c r="O3915" s="8"/>
      <c r="P3915" s="26"/>
      <c r="S3915" s="10" t="str">
        <f t="shared" si="309"/>
        <v/>
      </c>
    </row>
    <row r="3916" spans="5:19" x14ac:dyDescent="0.3">
      <c r="E3916" s="9" t="str">
        <f>IF(DADOS!C3916="","",DADOS!C3916)</f>
        <v/>
      </c>
      <c r="F3916" s="9" t="str">
        <f>IF(DADOS!E3916="","",DADOS!E3916)</f>
        <v/>
      </c>
      <c r="G3916" s="9" t="str">
        <f>IF(DADOS!F3916="","",DADOS!F3916)</f>
        <v/>
      </c>
      <c r="K3916" s="6" t="str">
        <f t="shared" si="310"/>
        <v/>
      </c>
      <c r="L3916" s="7" t="str">
        <f t="shared" si="311"/>
        <v/>
      </c>
      <c r="M3916" s="7" t="str">
        <f t="shared" si="308"/>
        <v/>
      </c>
      <c r="N3916" s="7" t="str">
        <f t="shared" si="312"/>
        <v/>
      </c>
      <c r="O3916" s="8"/>
      <c r="P3916" s="26"/>
      <c r="S3916" s="10" t="str">
        <f t="shared" si="309"/>
        <v/>
      </c>
    </row>
    <row r="3917" spans="5:19" x14ac:dyDescent="0.3">
      <c r="E3917" s="9" t="str">
        <f>IF(DADOS!C3917="","",DADOS!C3917)</f>
        <v/>
      </c>
      <c r="F3917" s="9" t="str">
        <f>IF(DADOS!E3917="","",DADOS!E3917)</f>
        <v/>
      </c>
      <c r="G3917" s="9" t="str">
        <f>IF(DADOS!F3917="","",DADOS!F3917)</f>
        <v/>
      </c>
      <c r="K3917" s="6" t="str">
        <f t="shared" si="310"/>
        <v/>
      </c>
      <c r="L3917" s="7" t="str">
        <f t="shared" si="311"/>
        <v/>
      </c>
      <c r="M3917" s="7" t="str">
        <f t="shared" si="308"/>
        <v/>
      </c>
      <c r="N3917" s="7" t="str">
        <f t="shared" si="312"/>
        <v/>
      </c>
      <c r="O3917" s="8"/>
      <c r="P3917" s="26"/>
      <c r="S3917" s="10" t="str">
        <f t="shared" si="309"/>
        <v/>
      </c>
    </row>
    <row r="3918" spans="5:19" x14ac:dyDescent="0.3">
      <c r="E3918" s="9" t="str">
        <f>IF(DADOS!C3918="","",DADOS!C3918)</f>
        <v/>
      </c>
      <c r="F3918" s="9" t="str">
        <f>IF(DADOS!E3918="","",DADOS!E3918)</f>
        <v/>
      </c>
      <c r="G3918" s="9" t="str">
        <f>IF(DADOS!F3918="","",DADOS!F3918)</f>
        <v/>
      </c>
      <c r="K3918" s="6" t="str">
        <f t="shared" si="310"/>
        <v/>
      </c>
      <c r="L3918" s="7" t="str">
        <f t="shared" si="311"/>
        <v/>
      </c>
      <c r="M3918" s="7" t="str">
        <f t="shared" si="308"/>
        <v/>
      </c>
      <c r="N3918" s="7" t="str">
        <f t="shared" si="312"/>
        <v/>
      </c>
      <c r="O3918" s="8"/>
      <c r="P3918" s="26"/>
      <c r="S3918" s="10" t="str">
        <f t="shared" si="309"/>
        <v/>
      </c>
    </row>
    <row r="3919" spans="5:19" x14ac:dyDescent="0.3">
      <c r="E3919" s="9" t="str">
        <f>IF(DADOS!C3919="","",DADOS!C3919)</f>
        <v/>
      </c>
      <c r="F3919" s="9" t="str">
        <f>IF(DADOS!E3919="","",DADOS!E3919)</f>
        <v/>
      </c>
      <c r="G3919" s="9" t="str">
        <f>IF(DADOS!F3919="","",DADOS!F3919)</f>
        <v/>
      </c>
      <c r="K3919" s="6" t="str">
        <f t="shared" si="310"/>
        <v/>
      </c>
      <c r="L3919" s="7" t="str">
        <f t="shared" si="311"/>
        <v/>
      </c>
      <c r="M3919" s="7" t="str">
        <f t="shared" si="308"/>
        <v/>
      </c>
      <c r="N3919" s="7" t="str">
        <f t="shared" si="312"/>
        <v/>
      </c>
      <c r="O3919" s="8"/>
      <c r="P3919" s="26"/>
      <c r="S3919" s="10" t="str">
        <f t="shared" si="309"/>
        <v/>
      </c>
    </row>
    <row r="3920" spans="5:19" x14ac:dyDescent="0.3">
      <c r="E3920" s="9" t="str">
        <f>IF(DADOS!C3920="","",DADOS!C3920)</f>
        <v/>
      </c>
      <c r="F3920" s="9" t="str">
        <f>IF(DADOS!E3920="","",DADOS!E3920)</f>
        <v/>
      </c>
      <c r="G3920" s="9" t="str">
        <f>IF(DADOS!F3920="","",DADOS!F3920)</f>
        <v/>
      </c>
      <c r="K3920" s="6" t="str">
        <f t="shared" si="310"/>
        <v/>
      </c>
      <c r="L3920" s="7" t="str">
        <f t="shared" si="311"/>
        <v/>
      </c>
      <c r="M3920" s="7" t="str">
        <f t="shared" si="308"/>
        <v/>
      </c>
      <c r="N3920" s="7" t="str">
        <f t="shared" si="312"/>
        <v/>
      </c>
      <c r="O3920" s="8"/>
      <c r="P3920" s="26"/>
      <c r="S3920" s="10" t="str">
        <f t="shared" si="309"/>
        <v/>
      </c>
    </row>
    <row r="3921" spans="5:19" x14ac:dyDescent="0.3">
      <c r="E3921" s="9" t="str">
        <f>IF(DADOS!C3921="","",DADOS!C3921)</f>
        <v/>
      </c>
      <c r="F3921" s="9" t="str">
        <f>IF(DADOS!E3921="","",DADOS!E3921)</f>
        <v/>
      </c>
      <c r="G3921" s="9" t="str">
        <f>IF(DADOS!F3921="","",DADOS!F3921)</f>
        <v/>
      </c>
      <c r="K3921" s="6" t="str">
        <f t="shared" si="310"/>
        <v/>
      </c>
      <c r="L3921" s="7" t="str">
        <f t="shared" si="311"/>
        <v/>
      </c>
      <c r="M3921" s="7" t="str">
        <f t="shared" si="308"/>
        <v/>
      </c>
      <c r="N3921" s="7" t="str">
        <f t="shared" si="312"/>
        <v/>
      </c>
      <c r="O3921" s="8"/>
      <c r="P3921" s="26"/>
      <c r="S3921" s="10" t="str">
        <f t="shared" si="309"/>
        <v/>
      </c>
    </row>
    <row r="3922" spans="5:19" x14ac:dyDescent="0.3">
      <c r="E3922" s="9" t="str">
        <f>IF(DADOS!C3922="","",DADOS!C3922)</f>
        <v/>
      </c>
      <c r="F3922" s="9" t="str">
        <f>IF(DADOS!E3922="","",DADOS!E3922)</f>
        <v/>
      </c>
      <c r="G3922" s="9" t="str">
        <f>IF(DADOS!F3922="","",DADOS!F3922)</f>
        <v/>
      </c>
      <c r="K3922" s="6" t="str">
        <f t="shared" si="310"/>
        <v/>
      </c>
      <c r="L3922" s="7" t="str">
        <f t="shared" si="311"/>
        <v/>
      </c>
      <c r="M3922" s="7" t="str">
        <f t="shared" si="308"/>
        <v/>
      </c>
      <c r="N3922" s="7" t="str">
        <f t="shared" si="312"/>
        <v/>
      </c>
      <c r="O3922" s="8"/>
      <c r="P3922" s="26"/>
      <c r="S3922" s="10" t="str">
        <f t="shared" si="309"/>
        <v/>
      </c>
    </row>
    <row r="3923" spans="5:19" x14ac:dyDescent="0.3">
      <c r="E3923" s="9" t="str">
        <f>IF(DADOS!C3923="","",DADOS!C3923)</f>
        <v/>
      </c>
      <c r="F3923" s="9" t="str">
        <f>IF(DADOS!E3923="","",DADOS!E3923)</f>
        <v/>
      </c>
      <c r="G3923" s="9" t="str">
        <f>IF(DADOS!F3923="","",DADOS!F3923)</f>
        <v/>
      </c>
      <c r="K3923" s="6" t="str">
        <f t="shared" si="310"/>
        <v/>
      </c>
      <c r="L3923" s="7" t="str">
        <f t="shared" si="311"/>
        <v/>
      </c>
      <c r="M3923" s="7" t="str">
        <f t="shared" si="308"/>
        <v/>
      </c>
      <c r="N3923" s="7" t="str">
        <f t="shared" si="312"/>
        <v/>
      </c>
      <c r="O3923" s="8"/>
      <c r="P3923" s="26"/>
      <c r="S3923" s="10" t="str">
        <f t="shared" si="309"/>
        <v/>
      </c>
    </row>
    <row r="3924" spans="5:19" x14ac:dyDescent="0.3">
      <c r="E3924" s="9" t="str">
        <f>IF(DADOS!C3924="","",DADOS!C3924)</f>
        <v/>
      </c>
      <c r="F3924" s="9" t="str">
        <f>IF(DADOS!E3924="","",DADOS!E3924)</f>
        <v/>
      </c>
      <c r="G3924" s="9" t="str">
        <f>IF(DADOS!F3924="","",DADOS!F3924)</f>
        <v/>
      </c>
      <c r="K3924" s="6" t="str">
        <f t="shared" si="310"/>
        <v/>
      </c>
      <c r="L3924" s="7" t="str">
        <f t="shared" si="311"/>
        <v/>
      </c>
      <c r="M3924" s="7" t="str">
        <f t="shared" si="308"/>
        <v/>
      </c>
      <c r="N3924" s="7" t="str">
        <f t="shared" si="312"/>
        <v/>
      </c>
      <c r="O3924" s="8"/>
      <c r="P3924" s="26"/>
      <c r="S3924" s="10" t="str">
        <f t="shared" si="309"/>
        <v/>
      </c>
    </row>
    <row r="3925" spans="5:19" x14ac:dyDescent="0.3">
      <c r="E3925" s="9" t="str">
        <f>IF(DADOS!C3925="","",DADOS!C3925)</f>
        <v/>
      </c>
      <c r="F3925" s="9" t="str">
        <f>IF(DADOS!E3925="","",DADOS!E3925)</f>
        <v/>
      </c>
      <c r="G3925" s="9" t="str">
        <f>IF(DADOS!F3925="","",DADOS!F3925)</f>
        <v/>
      </c>
      <c r="K3925" s="6" t="str">
        <f t="shared" si="310"/>
        <v/>
      </c>
      <c r="L3925" s="7" t="str">
        <f t="shared" si="311"/>
        <v/>
      </c>
      <c r="M3925" s="7" t="str">
        <f t="shared" si="308"/>
        <v/>
      </c>
      <c r="N3925" s="7" t="str">
        <f t="shared" si="312"/>
        <v/>
      </c>
      <c r="O3925" s="8"/>
      <c r="P3925" s="26"/>
      <c r="S3925" s="10" t="str">
        <f t="shared" si="309"/>
        <v/>
      </c>
    </row>
    <row r="3926" spans="5:19" x14ac:dyDescent="0.3">
      <c r="E3926" s="9" t="str">
        <f>IF(DADOS!C3926="","",DADOS!C3926)</f>
        <v/>
      </c>
      <c r="F3926" s="9" t="str">
        <f>IF(DADOS!E3926="","",DADOS!E3926)</f>
        <v/>
      </c>
      <c r="G3926" s="9" t="str">
        <f>IF(DADOS!F3926="","",DADOS!F3926)</f>
        <v/>
      </c>
      <c r="K3926" s="6" t="str">
        <f t="shared" si="310"/>
        <v/>
      </c>
      <c r="L3926" s="7" t="str">
        <f t="shared" si="311"/>
        <v/>
      </c>
      <c r="M3926" s="7" t="str">
        <f t="shared" si="308"/>
        <v/>
      </c>
      <c r="N3926" s="7" t="str">
        <f t="shared" si="312"/>
        <v/>
      </c>
      <c r="O3926" s="8"/>
      <c r="P3926" s="26"/>
      <c r="S3926" s="10" t="str">
        <f t="shared" si="309"/>
        <v/>
      </c>
    </row>
    <row r="3927" spans="5:19" x14ac:dyDescent="0.3">
      <c r="E3927" s="9" t="str">
        <f>IF(DADOS!C3927="","",DADOS!C3927)</f>
        <v/>
      </c>
      <c r="F3927" s="9" t="str">
        <f>IF(DADOS!E3927="","",DADOS!E3927)</f>
        <v/>
      </c>
      <c r="G3927" s="9" t="str">
        <f>IF(DADOS!F3927="","",DADOS!F3927)</f>
        <v/>
      </c>
      <c r="K3927" s="6" t="str">
        <f t="shared" si="310"/>
        <v/>
      </c>
      <c r="L3927" s="7" t="str">
        <f t="shared" si="311"/>
        <v/>
      </c>
      <c r="M3927" s="7" t="str">
        <f t="shared" si="308"/>
        <v/>
      </c>
      <c r="N3927" s="7" t="str">
        <f t="shared" si="312"/>
        <v/>
      </c>
      <c r="O3927" s="8"/>
      <c r="P3927" s="26"/>
      <c r="S3927" s="10" t="str">
        <f t="shared" si="309"/>
        <v/>
      </c>
    </row>
    <row r="3928" spans="5:19" x14ac:dyDescent="0.3">
      <c r="E3928" s="9" t="str">
        <f>IF(DADOS!C3928="","",DADOS!C3928)</f>
        <v/>
      </c>
      <c r="F3928" s="9" t="str">
        <f>IF(DADOS!E3928="","",DADOS!E3928)</f>
        <v/>
      </c>
      <c r="G3928" s="9" t="str">
        <f>IF(DADOS!F3928="","",DADOS!F3928)</f>
        <v/>
      </c>
      <c r="K3928" s="6" t="str">
        <f t="shared" si="310"/>
        <v/>
      </c>
      <c r="L3928" s="7" t="str">
        <f t="shared" si="311"/>
        <v/>
      </c>
      <c r="M3928" s="7" t="str">
        <f t="shared" si="308"/>
        <v/>
      </c>
      <c r="N3928" s="7" t="str">
        <f t="shared" si="312"/>
        <v/>
      </c>
      <c r="O3928" s="8"/>
      <c r="P3928" s="26"/>
      <c r="S3928" s="10" t="str">
        <f t="shared" si="309"/>
        <v/>
      </c>
    </row>
    <row r="3929" spans="5:19" x14ac:dyDescent="0.3">
      <c r="E3929" s="9" t="str">
        <f>IF(DADOS!C3929="","",DADOS!C3929)</f>
        <v/>
      </c>
      <c r="F3929" s="9" t="str">
        <f>IF(DADOS!E3929="","",DADOS!E3929)</f>
        <v/>
      </c>
      <c r="G3929" s="9" t="str">
        <f>IF(DADOS!F3929="","",DADOS!F3929)</f>
        <v/>
      </c>
      <c r="K3929" s="6" t="str">
        <f t="shared" si="310"/>
        <v/>
      </c>
      <c r="L3929" s="7" t="str">
        <f t="shared" si="311"/>
        <v/>
      </c>
      <c r="M3929" s="7" t="str">
        <f t="shared" si="308"/>
        <v/>
      </c>
      <c r="N3929" s="7" t="str">
        <f t="shared" si="312"/>
        <v/>
      </c>
      <c r="O3929" s="8"/>
      <c r="P3929" s="26"/>
      <c r="S3929" s="10" t="str">
        <f t="shared" si="309"/>
        <v/>
      </c>
    </row>
    <row r="3930" spans="5:19" x14ac:dyDescent="0.3">
      <c r="E3930" s="9" t="str">
        <f>IF(DADOS!C3930="","",DADOS!C3930)</f>
        <v/>
      </c>
      <c r="F3930" s="9" t="str">
        <f>IF(DADOS!E3930="","",DADOS!E3930)</f>
        <v/>
      </c>
      <c r="G3930" s="9" t="str">
        <f>IF(DADOS!F3930="","",DADOS!F3930)</f>
        <v/>
      </c>
      <c r="K3930" s="6" t="str">
        <f t="shared" si="310"/>
        <v/>
      </c>
      <c r="L3930" s="7" t="str">
        <f t="shared" si="311"/>
        <v/>
      </c>
      <c r="M3930" s="7" t="str">
        <f t="shared" si="308"/>
        <v/>
      </c>
      <c r="N3930" s="7" t="str">
        <f t="shared" si="312"/>
        <v/>
      </c>
      <c r="O3930" s="8"/>
      <c r="P3930" s="26"/>
      <c r="S3930" s="10" t="str">
        <f t="shared" si="309"/>
        <v/>
      </c>
    </row>
    <row r="3931" spans="5:19" x14ac:dyDescent="0.3">
      <c r="E3931" s="9" t="str">
        <f>IF(DADOS!C3931="","",DADOS!C3931)</f>
        <v/>
      </c>
      <c r="F3931" s="9" t="str">
        <f>IF(DADOS!E3931="","",DADOS!E3931)</f>
        <v/>
      </c>
      <c r="G3931" s="9" t="str">
        <f>IF(DADOS!F3931="","",DADOS!F3931)</f>
        <v/>
      </c>
      <c r="K3931" s="6" t="str">
        <f t="shared" si="310"/>
        <v/>
      </c>
      <c r="L3931" s="7" t="str">
        <f t="shared" si="311"/>
        <v/>
      </c>
      <c r="M3931" s="7" t="str">
        <f t="shared" si="308"/>
        <v/>
      </c>
      <c r="N3931" s="7" t="str">
        <f t="shared" si="312"/>
        <v/>
      </c>
      <c r="O3931" s="8"/>
      <c r="P3931" s="26"/>
      <c r="S3931" s="10" t="str">
        <f t="shared" si="309"/>
        <v/>
      </c>
    </row>
    <row r="3932" spans="5:19" x14ac:dyDescent="0.3">
      <c r="E3932" s="9" t="str">
        <f>IF(DADOS!C3932="","",DADOS!C3932)</f>
        <v/>
      </c>
      <c r="F3932" s="9" t="str">
        <f>IF(DADOS!E3932="","",DADOS!E3932)</f>
        <v/>
      </c>
      <c r="G3932" s="9" t="str">
        <f>IF(DADOS!F3932="","",DADOS!F3932)</f>
        <v/>
      </c>
      <c r="K3932" s="6" t="str">
        <f t="shared" si="310"/>
        <v/>
      </c>
      <c r="L3932" s="7" t="str">
        <f t="shared" si="311"/>
        <v/>
      </c>
      <c r="M3932" s="7" t="str">
        <f t="shared" si="308"/>
        <v/>
      </c>
      <c r="N3932" s="7" t="str">
        <f t="shared" si="312"/>
        <v/>
      </c>
      <c r="O3932" s="8"/>
      <c r="P3932" s="26"/>
      <c r="S3932" s="10" t="str">
        <f t="shared" si="309"/>
        <v/>
      </c>
    </row>
    <row r="3933" spans="5:19" x14ac:dyDescent="0.3">
      <c r="E3933" s="9" t="str">
        <f>IF(DADOS!C3933="","",DADOS!C3933)</f>
        <v/>
      </c>
      <c r="F3933" s="9" t="str">
        <f>IF(DADOS!E3933="","",DADOS!E3933)</f>
        <v/>
      </c>
      <c r="G3933" s="9" t="str">
        <f>IF(DADOS!F3933="","",DADOS!F3933)</f>
        <v/>
      </c>
      <c r="K3933" s="6" t="str">
        <f t="shared" si="310"/>
        <v/>
      </c>
      <c r="L3933" s="7" t="str">
        <f t="shared" si="311"/>
        <v/>
      </c>
      <c r="M3933" s="7" t="str">
        <f t="shared" si="308"/>
        <v/>
      </c>
      <c r="N3933" s="7" t="str">
        <f t="shared" si="312"/>
        <v/>
      </c>
      <c r="O3933" s="8"/>
      <c r="P3933" s="26"/>
      <c r="S3933" s="10" t="str">
        <f t="shared" si="309"/>
        <v/>
      </c>
    </row>
    <row r="3934" spans="5:19" x14ac:dyDescent="0.3">
      <c r="E3934" s="9" t="str">
        <f>IF(DADOS!C3934="","",DADOS!C3934)</f>
        <v/>
      </c>
      <c r="F3934" s="9" t="str">
        <f>IF(DADOS!E3934="","",DADOS!E3934)</f>
        <v/>
      </c>
      <c r="G3934" s="9" t="str">
        <f>IF(DADOS!F3934="","",DADOS!F3934)</f>
        <v/>
      </c>
      <c r="K3934" s="6" t="str">
        <f t="shared" si="310"/>
        <v/>
      </c>
      <c r="L3934" s="7" t="str">
        <f t="shared" si="311"/>
        <v/>
      </c>
      <c r="M3934" s="7" t="str">
        <f t="shared" si="308"/>
        <v/>
      </c>
      <c r="N3934" s="7" t="str">
        <f t="shared" si="312"/>
        <v/>
      </c>
      <c r="O3934" s="8"/>
      <c r="P3934" s="26"/>
      <c r="S3934" s="10" t="str">
        <f t="shared" si="309"/>
        <v/>
      </c>
    </row>
    <row r="3935" spans="5:19" x14ac:dyDescent="0.3">
      <c r="E3935" s="9" t="str">
        <f>IF(DADOS!C3935="","",DADOS!C3935)</f>
        <v/>
      </c>
      <c r="F3935" s="9" t="str">
        <f>IF(DADOS!E3935="","",DADOS!E3935)</f>
        <v/>
      </c>
      <c r="G3935" s="9" t="str">
        <f>IF(DADOS!F3935="","",DADOS!F3935)</f>
        <v/>
      </c>
      <c r="K3935" s="6" t="str">
        <f t="shared" si="310"/>
        <v/>
      </c>
      <c r="L3935" s="7" t="str">
        <f t="shared" si="311"/>
        <v/>
      </c>
      <c r="M3935" s="7" t="str">
        <f t="shared" si="308"/>
        <v/>
      </c>
      <c r="N3935" s="7" t="str">
        <f t="shared" si="312"/>
        <v/>
      </c>
      <c r="O3935" s="8"/>
      <c r="P3935" s="26"/>
      <c r="S3935" s="10" t="str">
        <f t="shared" si="309"/>
        <v/>
      </c>
    </row>
    <row r="3936" spans="5:19" x14ac:dyDescent="0.3">
      <c r="E3936" s="9" t="str">
        <f>IF(DADOS!C3936="","",DADOS!C3936)</f>
        <v/>
      </c>
      <c r="F3936" s="9" t="str">
        <f>IF(DADOS!E3936="","",DADOS!E3936)</f>
        <v/>
      </c>
      <c r="G3936" s="9" t="str">
        <f>IF(DADOS!F3936="","",DADOS!F3936)</f>
        <v/>
      </c>
      <c r="K3936" s="6" t="str">
        <f t="shared" si="310"/>
        <v/>
      </c>
      <c r="L3936" s="7" t="str">
        <f t="shared" si="311"/>
        <v/>
      </c>
      <c r="M3936" s="7" t="str">
        <f t="shared" si="308"/>
        <v/>
      </c>
      <c r="N3936" s="7" t="str">
        <f t="shared" si="312"/>
        <v/>
      </c>
      <c r="O3936" s="8"/>
      <c r="P3936" s="26"/>
      <c r="S3936" s="10" t="str">
        <f t="shared" si="309"/>
        <v/>
      </c>
    </row>
    <row r="3937" spans="5:19" x14ac:dyDescent="0.3">
      <c r="E3937" s="9" t="str">
        <f>IF(DADOS!C3937="","",DADOS!C3937)</f>
        <v/>
      </c>
      <c r="F3937" s="9" t="str">
        <f>IF(DADOS!E3937="","",DADOS!E3937)</f>
        <v/>
      </c>
      <c r="G3937" s="9" t="str">
        <f>IF(DADOS!F3937="","",DADOS!F3937)</f>
        <v/>
      </c>
      <c r="K3937" s="6" t="str">
        <f t="shared" si="310"/>
        <v/>
      </c>
      <c r="L3937" s="7" t="str">
        <f t="shared" si="311"/>
        <v/>
      </c>
      <c r="M3937" s="7" t="str">
        <f t="shared" si="308"/>
        <v/>
      </c>
      <c r="N3937" s="7" t="str">
        <f t="shared" si="312"/>
        <v/>
      </c>
      <c r="O3937" s="8"/>
      <c r="P3937" s="26"/>
      <c r="S3937" s="10" t="str">
        <f t="shared" si="309"/>
        <v/>
      </c>
    </row>
    <row r="3938" spans="5:19" x14ac:dyDescent="0.3">
      <c r="E3938" s="9" t="str">
        <f>IF(DADOS!C3938="","",DADOS!C3938)</f>
        <v/>
      </c>
      <c r="F3938" s="9" t="str">
        <f>IF(DADOS!E3938="","",DADOS!E3938)</f>
        <v/>
      </c>
      <c r="G3938" s="9" t="str">
        <f>IF(DADOS!F3938="","",DADOS!F3938)</f>
        <v/>
      </c>
      <c r="K3938" s="6" t="str">
        <f t="shared" si="310"/>
        <v/>
      </c>
      <c r="L3938" s="7" t="str">
        <f t="shared" si="311"/>
        <v/>
      </c>
      <c r="M3938" s="7" t="str">
        <f t="shared" si="308"/>
        <v/>
      </c>
      <c r="N3938" s="7" t="str">
        <f t="shared" si="312"/>
        <v/>
      </c>
      <c r="O3938" s="8"/>
      <c r="P3938" s="26"/>
      <c r="S3938" s="10" t="str">
        <f t="shared" si="309"/>
        <v/>
      </c>
    </row>
    <row r="3939" spans="5:19" x14ac:dyDescent="0.3">
      <c r="E3939" s="9" t="str">
        <f>IF(DADOS!C3939="","",DADOS!C3939)</f>
        <v/>
      </c>
      <c r="F3939" s="9" t="str">
        <f>IF(DADOS!E3939="","",DADOS!E3939)</f>
        <v/>
      </c>
      <c r="G3939" s="9" t="str">
        <f>IF(DADOS!F3939="","",DADOS!F3939)</f>
        <v/>
      </c>
      <c r="K3939" s="6" t="str">
        <f t="shared" si="310"/>
        <v/>
      </c>
      <c r="L3939" s="7" t="str">
        <f t="shared" si="311"/>
        <v/>
      </c>
      <c r="M3939" s="7" t="str">
        <f t="shared" si="308"/>
        <v/>
      </c>
      <c r="N3939" s="7" t="str">
        <f t="shared" si="312"/>
        <v/>
      </c>
      <c r="O3939" s="8"/>
      <c r="P3939" s="26"/>
      <c r="S3939" s="10" t="str">
        <f t="shared" si="309"/>
        <v/>
      </c>
    </row>
    <row r="3940" spans="5:19" x14ac:dyDescent="0.3">
      <c r="E3940" s="9" t="str">
        <f>IF(DADOS!C3940="","",DADOS!C3940)</f>
        <v/>
      </c>
      <c r="F3940" s="9" t="str">
        <f>IF(DADOS!E3940="","",DADOS!E3940)</f>
        <v/>
      </c>
      <c r="G3940" s="9" t="str">
        <f>IF(DADOS!F3940="","",DADOS!F3940)</f>
        <v/>
      </c>
      <c r="K3940" s="6" t="str">
        <f t="shared" si="310"/>
        <v/>
      </c>
      <c r="L3940" s="7" t="str">
        <f t="shared" si="311"/>
        <v/>
      </c>
      <c r="M3940" s="7" t="str">
        <f t="shared" si="308"/>
        <v/>
      </c>
      <c r="N3940" s="7" t="str">
        <f t="shared" si="312"/>
        <v/>
      </c>
      <c r="O3940" s="8"/>
      <c r="P3940" s="26"/>
      <c r="S3940" s="10" t="str">
        <f t="shared" si="309"/>
        <v/>
      </c>
    </row>
    <row r="3941" spans="5:19" x14ac:dyDescent="0.3">
      <c r="E3941" s="9" t="str">
        <f>IF(DADOS!C3941="","",DADOS!C3941)</f>
        <v/>
      </c>
      <c r="F3941" s="9" t="str">
        <f>IF(DADOS!E3941="","",DADOS!E3941)</f>
        <v/>
      </c>
      <c r="G3941" s="9" t="str">
        <f>IF(DADOS!F3941="","",DADOS!F3941)</f>
        <v/>
      </c>
      <c r="K3941" s="6" t="str">
        <f t="shared" si="310"/>
        <v/>
      </c>
      <c r="L3941" s="7" t="str">
        <f t="shared" si="311"/>
        <v/>
      </c>
      <c r="M3941" s="7" t="str">
        <f t="shared" si="308"/>
        <v/>
      </c>
      <c r="N3941" s="7" t="str">
        <f t="shared" si="312"/>
        <v/>
      </c>
      <c r="O3941" s="8"/>
      <c r="P3941" s="26"/>
      <c r="S3941" s="10" t="str">
        <f t="shared" si="309"/>
        <v/>
      </c>
    </row>
    <row r="3942" spans="5:19" x14ac:dyDescent="0.3">
      <c r="E3942" s="9" t="str">
        <f>IF(DADOS!C3942="","",DADOS!C3942)</f>
        <v/>
      </c>
      <c r="F3942" s="9" t="str">
        <f>IF(DADOS!E3942="","",DADOS!E3942)</f>
        <v/>
      </c>
      <c r="G3942" s="9" t="str">
        <f>IF(DADOS!F3942="","",DADOS!F3942)</f>
        <v/>
      </c>
      <c r="K3942" s="6" t="str">
        <f t="shared" si="310"/>
        <v/>
      </c>
      <c r="L3942" s="7" t="str">
        <f t="shared" si="311"/>
        <v/>
      </c>
      <c r="M3942" s="7" t="str">
        <f t="shared" si="308"/>
        <v/>
      </c>
      <c r="N3942" s="7" t="str">
        <f t="shared" si="312"/>
        <v/>
      </c>
      <c r="O3942" s="8"/>
      <c r="P3942" s="26"/>
      <c r="S3942" s="10" t="str">
        <f t="shared" si="309"/>
        <v/>
      </c>
    </row>
    <row r="3943" spans="5:19" x14ac:dyDescent="0.3">
      <c r="E3943" s="9" t="str">
        <f>IF(DADOS!C3943="","",DADOS!C3943)</f>
        <v/>
      </c>
      <c r="F3943" s="9" t="str">
        <f>IF(DADOS!E3943="","",DADOS!E3943)</f>
        <v/>
      </c>
      <c r="G3943" s="9" t="str">
        <f>IF(DADOS!F3943="","",DADOS!F3943)</f>
        <v/>
      </c>
      <c r="K3943" s="6" t="str">
        <f t="shared" si="310"/>
        <v/>
      </c>
      <c r="L3943" s="7" t="str">
        <f t="shared" si="311"/>
        <v/>
      </c>
      <c r="M3943" s="7" t="str">
        <f t="shared" si="308"/>
        <v/>
      </c>
      <c r="N3943" s="7" t="str">
        <f t="shared" si="312"/>
        <v/>
      </c>
      <c r="O3943" s="8"/>
      <c r="P3943" s="26"/>
      <c r="S3943" s="10" t="str">
        <f t="shared" si="309"/>
        <v/>
      </c>
    </row>
    <row r="3944" spans="5:19" x14ac:dyDescent="0.3">
      <c r="E3944" s="9" t="str">
        <f>IF(DADOS!C3944="","",DADOS!C3944)</f>
        <v/>
      </c>
      <c r="F3944" s="9" t="str">
        <f>IF(DADOS!E3944="","",DADOS!E3944)</f>
        <v/>
      </c>
      <c r="G3944" s="9" t="str">
        <f>IF(DADOS!F3944="","",DADOS!F3944)</f>
        <v/>
      </c>
      <c r="K3944" s="6" t="str">
        <f t="shared" si="310"/>
        <v/>
      </c>
      <c r="L3944" s="7" t="str">
        <f t="shared" si="311"/>
        <v/>
      </c>
      <c r="M3944" s="7" t="str">
        <f t="shared" si="308"/>
        <v/>
      </c>
      <c r="N3944" s="7" t="str">
        <f t="shared" si="312"/>
        <v/>
      </c>
      <c r="O3944" s="8"/>
      <c r="P3944" s="26"/>
      <c r="S3944" s="10" t="str">
        <f t="shared" si="309"/>
        <v/>
      </c>
    </row>
    <row r="3945" spans="5:19" x14ac:dyDescent="0.3">
      <c r="E3945" s="9" t="str">
        <f>IF(DADOS!C3945="","",DADOS!C3945)</f>
        <v/>
      </c>
      <c r="F3945" s="9" t="str">
        <f>IF(DADOS!E3945="","",DADOS!E3945)</f>
        <v/>
      </c>
      <c r="G3945" s="9" t="str">
        <f>IF(DADOS!F3945="","",DADOS!F3945)</f>
        <v/>
      </c>
      <c r="K3945" s="6" t="str">
        <f t="shared" si="310"/>
        <v/>
      </c>
      <c r="L3945" s="7" t="str">
        <f t="shared" si="311"/>
        <v/>
      </c>
      <c r="M3945" s="7" t="str">
        <f t="shared" si="308"/>
        <v/>
      </c>
      <c r="N3945" s="7" t="str">
        <f t="shared" si="312"/>
        <v/>
      </c>
      <c r="O3945" s="8"/>
      <c r="P3945" s="26"/>
      <c r="S3945" s="10" t="str">
        <f t="shared" si="309"/>
        <v/>
      </c>
    </row>
    <row r="3946" spans="5:19" x14ac:dyDescent="0.3">
      <c r="E3946" s="9" t="str">
        <f>IF(DADOS!C3946="","",DADOS!C3946)</f>
        <v/>
      </c>
      <c r="F3946" s="9" t="str">
        <f>IF(DADOS!E3946="","",DADOS!E3946)</f>
        <v/>
      </c>
      <c r="G3946" s="9" t="str">
        <f>IF(DADOS!F3946="","",DADOS!F3946)</f>
        <v/>
      </c>
      <c r="K3946" s="6" t="str">
        <f t="shared" si="310"/>
        <v/>
      </c>
      <c r="L3946" s="7" t="str">
        <f t="shared" si="311"/>
        <v/>
      </c>
      <c r="M3946" s="7" t="str">
        <f t="shared" si="308"/>
        <v/>
      </c>
      <c r="N3946" s="7" t="str">
        <f t="shared" si="312"/>
        <v/>
      </c>
      <c r="O3946" s="8"/>
      <c r="P3946" s="26"/>
      <c r="S3946" s="10" t="str">
        <f t="shared" si="309"/>
        <v/>
      </c>
    </row>
    <row r="3947" spans="5:19" x14ac:dyDescent="0.3">
      <c r="E3947" s="9" t="str">
        <f>IF(DADOS!C3947="","",DADOS!C3947)</f>
        <v/>
      </c>
      <c r="F3947" s="9" t="str">
        <f>IF(DADOS!E3947="","",DADOS!E3947)</f>
        <v/>
      </c>
      <c r="G3947" s="9" t="str">
        <f>IF(DADOS!F3947="","",DADOS!F3947)</f>
        <v/>
      </c>
      <c r="K3947" s="6" t="str">
        <f t="shared" si="310"/>
        <v/>
      </c>
      <c r="L3947" s="7" t="str">
        <f t="shared" si="311"/>
        <v/>
      </c>
      <c r="M3947" s="7" t="str">
        <f t="shared" si="308"/>
        <v/>
      </c>
      <c r="N3947" s="7" t="str">
        <f t="shared" si="312"/>
        <v/>
      </c>
      <c r="O3947" s="8"/>
      <c r="P3947" s="26"/>
      <c r="S3947" s="10" t="str">
        <f t="shared" si="309"/>
        <v/>
      </c>
    </row>
    <row r="3948" spans="5:19" x14ac:dyDescent="0.3">
      <c r="E3948" s="9" t="str">
        <f>IF(DADOS!C3948="","",DADOS!C3948)</f>
        <v/>
      </c>
      <c r="F3948" s="9" t="str">
        <f>IF(DADOS!E3948="","",DADOS!E3948)</f>
        <v/>
      </c>
      <c r="G3948" s="9" t="str">
        <f>IF(DADOS!F3948="","",DADOS!F3948)</f>
        <v/>
      </c>
      <c r="K3948" s="6" t="str">
        <f t="shared" si="310"/>
        <v/>
      </c>
      <c r="L3948" s="7" t="str">
        <f t="shared" si="311"/>
        <v/>
      </c>
      <c r="M3948" s="7" t="str">
        <f t="shared" si="308"/>
        <v/>
      </c>
      <c r="N3948" s="7" t="str">
        <f t="shared" si="312"/>
        <v/>
      </c>
      <c r="O3948" s="8"/>
      <c r="P3948" s="26"/>
      <c r="S3948" s="10" t="str">
        <f t="shared" si="309"/>
        <v/>
      </c>
    </row>
    <row r="3949" spans="5:19" x14ac:dyDescent="0.3">
      <c r="E3949" s="9" t="str">
        <f>IF(DADOS!C3949="","",DADOS!C3949)</f>
        <v/>
      </c>
      <c r="F3949" s="9" t="str">
        <f>IF(DADOS!E3949="","",DADOS!E3949)</f>
        <v/>
      </c>
      <c r="G3949" s="9" t="str">
        <f>IF(DADOS!F3949="","",DADOS!F3949)</f>
        <v/>
      </c>
      <c r="K3949" s="6" t="str">
        <f t="shared" si="310"/>
        <v/>
      </c>
      <c r="L3949" s="7" t="str">
        <f t="shared" si="311"/>
        <v/>
      </c>
      <c r="M3949" s="7" t="str">
        <f t="shared" si="308"/>
        <v/>
      </c>
      <c r="N3949" s="7" t="str">
        <f t="shared" si="312"/>
        <v/>
      </c>
      <c r="O3949" s="8"/>
      <c r="P3949" s="26"/>
      <c r="S3949" s="10" t="str">
        <f t="shared" si="309"/>
        <v/>
      </c>
    </row>
    <row r="3950" spans="5:19" x14ac:dyDescent="0.3">
      <c r="E3950" s="9" t="str">
        <f>IF(DADOS!C3950="","",DADOS!C3950)</f>
        <v/>
      </c>
      <c r="F3950" s="9" t="str">
        <f>IF(DADOS!E3950="","",DADOS!E3950)</f>
        <v/>
      </c>
      <c r="G3950" s="9" t="str">
        <f>IF(DADOS!F3950="","",DADOS!F3950)</f>
        <v/>
      </c>
      <c r="K3950" s="6" t="str">
        <f t="shared" si="310"/>
        <v/>
      </c>
      <c r="L3950" s="7" t="str">
        <f t="shared" si="311"/>
        <v/>
      </c>
      <c r="M3950" s="7" t="str">
        <f t="shared" si="308"/>
        <v/>
      </c>
      <c r="N3950" s="7" t="str">
        <f t="shared" si="312"/>
        <v/>
      </c>
      <c r="O3950" s="8"/>
      <c r="P3950" s="26"/>
      <c r="S3950" s="10" t="str">
        <f t="shared" si="309"/>
        <v/>
      </c>
    </row>
    <row r="3951" spans="5:19" x14ac:dyDescent="0.3">
      <c r="E3951" s="9" t="str">
        <f>IF(DADOS!C3951="","",DADOS!C3951)</f>
        <v/>
      </c>
      <c r="F3951" s="9" t="str">
        <f>IF(DADOS!E3951="","",DADOS!E3951)</f>
        <v/>
      </c>
      <c r="G3951" s="9" t="str">
        <f>IF(DADOS!F3951="","",DADOS!F3951)</f>
        <v/>
      </c>
      <c r="K3951" s="6" t="str">
        <f t="shared" si="310"/>
        <v/>
      </c>
      <c r="L3951" s="7" t="str">
        <f t="shared" si="311"/>
        <v/>
      </c>
      <c r="M3951" s="7" t="str">
        <f t="shared" si="308"/>
        <v/>
      </c>
      <c r="N3951" s="7" t="str">
        <f t="shared" si="312"/>
        <v/>
      </c>
      <c r="O3951" s="8"/>
      <c r="P3951" s="26"/>
      <c r="S3951" s="10" t="str">
        <f t="shared" si="309"/>
        <v/>
      </c>
    </row>
    <row r="3952" spans="5:19" x14ac:dyDescent="0.3">
      <c r="E3952" s="9" t="str">
        <f>IF(DADOS!C3952="","",DADOS!C3952)</f>
        <v/>
      </c>
      <c r="F3952" s="9" t="str">
        <f>IF(DADOS!E3952="","",DADOS!E3952)</f>
        <v/>
      </c>
      <c r="G3952" s="9" t="str">
        <f>IF(DADOS!F3952="","",DADOS!F3952)</f>
        <v/>
      </c>
      <c r="K3952" s="6" t="str">
        <f t="shared" si="310"/>
        <v/>
      </c>
      <c r="L3952" s="7" t="str">
        <f t="shared" si="311"/>
        <v/>
      </c>
      <c r="M3952" s="7" t="str">
        <f t="shared" si="308"/>
        <v/>
      </c>
      <c r="N3952" s="7" t="str">
        <f t="shared" si="312"/>
        <v/>
      </c>
      <c r="O3952" s="8"/>
      <c r="P3952" s="26"/>
      <c r="S3952" s="10" t="str">
        <f t="shared" si="309"/>
        <v/>
      </c>
    </row>
    <row r="3953" spans="5:19" x14ac:dyDescent="0.3">
      <c r="E3953" s="9" t="str">
        <f>IF(DADOS!C3953="","",DADOS!C3953)</f>
        <v/>
      </c>
      <c r="F3953" s="9" t="str">
        <f>IF(DADOS!E3953="","",DADOS!E3953)</f>
        <v/>
      </c>
      <c r="G3953" s="9" t="str">
        <f>IF(DADOS!F3953="","",DADOS!F3953)</f>
        <v/>
      </c>
      <c r="K3953" s="6" t="str">
        <f t="shared" si="310"/>
        <v/>
      </c>
      <c r="L3953" s="7" t="str">
        <f t="shared" si="311"/>
        <v/>
      </c>
      <c r="M3953" s="7" t="str">
        <f t="shared" si="308"/>
        <v/>
      </c>
      <c r="N3953" s="7" t="str">
        <f t="shared" si="312"/>
        <v/>
      </c>
      <c r="O3953" s="8"/>
      <c r="P3953" s="26"/>
      <c r="S3953" s="10" t="str">
        <f t="shared" si="309"/>
        <v/>
      </c>
    </row>
    <row r="3954" spans="5:19" x14ac:dyDescent="0.3">
      <c r="E3954" s="9" t="str">
        <f>IF(DADOS!C3954="","",DADOS!C3954)</f>
        <v/>
      </c>
      <c r="F3954" s="9" t="str">
        <f>IF(DADOS!E3954="","",DADOS!E3954)</f>
        <v/>
      </c>
      <c r="G3954" s="9" t="str">
        <f>IF(DADOS!F3954="","",DADOS!F3954)</f>
        <v/>
      </c>
      <c r="K3954" s="6" t="str">
        <f t="shared" si="310"/>
        <v/>
      </c>
      <c r="L3954" s="7" t="str">
        <f t="shared" si="311"/>
        <v/>
      </c>
      <c r="M3954" s="7" t="str">
        <f t="shared" si="308"/>
        <v/>
      </c>
      <c r="N3954" s="7" t="str">
        <f t="shared" si="312"/>
        <v/>
      </c>
      <c r="O3954" s="8"/>
      <c r="P3954" s="26"/>
      <c r="S3954" s="10" t="str">
        <f t="shared" si="309"/>
        <v/>
      </c>
    </row>
    <row r="3955" spans="5:19" x14ac:dyDescent="0.3">
      <c r="E3955" s="9" t="str">
        <f>IF(DADOS!C3955="","",DADOS!C3955)</f>
        <v/>
      </c>
      <c r="F3955" s="9" t="str">
        <f>IF(DADOS!E3955="","",DADOS!E3955)</f>
        <v/>
      </c>
      <c r="G3955" s="9" t="str">
        <f>IF(DADOS!F3955="","",DADOS!F3955)</f>
        <v/>
      </c>
      <c r="K3955" s="6" t="str">
        <f t="shared" si="310"/>
        <v/>
      </c>
      <c r="L3955" s="7" t="str">
        <f t="shared" si="311"/>
        <v/>
      </c>
      <c r="M3955" s="7" t="str">
        <f t="shared" si="308"/>
        <v/>
      </c>
      <c r="N3955" s="7" t="str">
        <f t="shared" si="312"/>
        <v/>
      </c>
      <c r="O3955" s="8"/>
      <c r="P3955" s="26"/>
      <c r="S3955" s="10" t="str">
        <f t="shared" si="309"/>
        <v/>
      </c>
    </row>
    <row r="3956" spans="5:19" x14ac:dyDescent="0.3">
      <c r="E3956" s="9" t="str">
        <f>IF(DADOS!C3956="","",DADOS!C3956)</f>
        <v/>
      </c>
      <c r="F3956" s="9" t="str">
        <f>IF(DADOS!E3956="","",DADOS!E3956)</f>
        <v/>
      </c>
      <c r="G3956" s="9" t="str">
        <f>IF(DADOS!F3956="","",DADOS!F3956)</f>
        <v/>
      </c>
      <c r="K3956" s="6" t="str">
        <f t="shared" si="310"/>
        <v/>
      </c>
      <c r="L3956" s="7" t="str">
        <f t="shared" si="311"/>
        <v/>
      </c>
      <c r="M3956" s="7" t="str">
        <f t="shared" si="308"/>
        <v/>
      </c>
      <c r="N3956" s="7" t="str">
        <f t="shared" si="312"/>
        <v/>
      </c>
      <c r="O3956" s="8"/>
      <c r="P3956" s="26"/>
      <c r="S3956" s="10" t="str">
        <f t="shared" si="309"/>
        <v/>
      </c>
    </row>
    <row r="3957" spans="5:19" x14ac:dyDescent="0.3">
      <c r="E3957" s="9" t="str">
        <f>IF(DADOS!C3957="","",DADOS!C3957)</f>
        <v/>
      </c>
      <c r="F3957" s="9" t="str">
        <f>IF(DADOS!E3957="","",DADOS!E3957)</f>
        <v/>
      </c>
      <c r="G3957" s="9" t="str">
        <f>IF(DADOS!F3957="","",DADOS!F3957)</f>
        <v/>
      </c>
      <c r="K3957" s="6" t="str">
        <f t="shared" si="310"/>
        <v/>
      </c>
      <c r="L3957" s="7" t="str">
        <f t="shared" si="311"/>
        <v/>
      </c>
      <c r="M3957" s="7" t="str">
        <f t="shared" si="308"/>
        <v/>
      </c>
      <c r="N3957" s="7" t="str">
        <f t="shared" si="312"/>
        <v/>
      </c>
      <c r="O3957" s="8"/>
      <c r="P3957" s="26"/>
      <c r="S3957" s="10" t="str">
        <f t="shared" si="309"/>
        <v/>
      </c>
    </row>
    <row r="3958" spans="5:19" x14ac:dyDescent="0.3">
      <c r="E3958" s="9" t="str">
        <f>IF(DADOS!C3958="","",DADOS!C3958)</f>
        <v/>
      </c>
      <c r="F3958" s="9" t="str">
        <f>IF(DADOS!E3958="","",DADOS!E3958)</f>
        <v/>
      </c>
      <c r="G3958" s="9" t="str">
        <f>IF(DADOS!F3958="","",DADOS!F3958)</f>
        <v/>
      </c>
      <c r="K3958" s="6" t="str">
        <f t="shared" si="310"/>
        <v/>
      </c>
      <c r="L3958" s="7" t="str">
        <f t="shared" si="311"/>
        <v/>
      </c>
      <c r="M3958" s="7" t="str">
        <f t="shared" si="308"/>
        <v/>
      </c>
      <c r="N3958" s="7" t="str">
        <f t="shared" si="312"/>
        <v/>
      </c>
      <c r="O3958" s="8"/>
      <c r="P3958" s="26"/>
      <c r="S3958" s="10" t="str">
        <f t="shared" si="309"/>
        <v/>
      </c>
    </row>
    <row r="3959" spans="5:19" x14ac:dyDescent="0.3">
      <c r="E3959" s="9" t="str">
        <f>IF(DADOS!C3959="","",DADOS!C3959)</f>
        <v/>
      </c>
      <c r="F3959" s="9" t="str">
        <f>IF(DADOS!E3959="","",DADOS!E3959)</f>
        <v/>
      </c>
      <c r="G3959" s="9" t="str">
        <f>IF(DADOS!F3959="","",DADOS!F3959)</f>
        <v/>
      </c>
      <c r="K3959" s="6" t="str">
        <f t="shared" si="310"/>
        <v/>
      </c>
      <c r="L3959" s="7" t="str">
        <f t="shared" si="311"/>
        <v/>
      </c>
      <c r="M3959" s="7" t="str">
        <f t="shared" si="308"/>
        <v/>
      </c>
      <c r="N3959" s="7" t="str">
        <f t="shared" si="312"/>
        <v/>
      </c>
      <c r="O3959" s="8"/>
      <c r="P3959" s="26"/>
      <c r="S3959" s="10" t="str">
        <f t="shared" si="309"/>
        <v/>
      </c>
    </row>
    <row r="3960" spans="5:19" x14ac:dyDescent="0.3">
      <c r="E3960" s="9" t="str">
        <f>IF(DADOS!C3960="","",DADOS!C3960)</f>
        <v/>
      </c>
      <c r="F3960" s="9" t="str">
        <f>IF(DADOS!E3960="","",DADOS!E3960)</f>
        <v/>
      </c>
      <c r="G3960" s="9" t="str">
        <f>IF(DADOS!F3960="","",DADOS!F3960)</f>
        <v/>
      </c>
      <c r="K3960" s="6" t="str">
        <f t="shared" si="310"/>
        <v/>
      </c>
      <c r="L3960" s="7" t="str">
        <f t="shared" si="311"/>
        <v/>
      </c>
      <c r="M3960" s="7" t="str">
        <f t="shared" si="308"/>
        <v/>
      </c>
      <c r="N3960" s="7" t="str">
        <f t="shared" si="312"/>
        <v/>
      </c>
      <c r="O3960" s="8"/>
      <c r="P3960" s="26"/>
      <c r="S3960" s="10" t="str">
        <f t="shared" si="309"/>
        <v/>
      </c>
    </row>
    <row r="3961" spans="5:19" x14ac:dyDescent="0.3">
      <c r="E3961" s="9" t="str">
        <f>IF(DADOS!C3961="","",DADOS!C3961)</f>
        <v/>
      </c>
      <c r="F3961" s="9" t="str">
        <f>IF(DADOS!E3961="","",DADOS!E3961)</f>
        <v/>
      </c>
      <c r="G3961" s="9" t="str">
        <f>IF(DADOS!F3961="","",DADOS!F3961)</f>
        <v/>
      </c>
      <c r="K3961" s="6" t="str">
        <f t="shared" si="310"/>
        <v/>
      </c>
      <c r="L3961" s="7" t="str">
        <f t="shared" si="311"/>
        <v/>
      </c>
      <c r="M3961" s="7" t="str">
        <f t="shared" si="308"/>
        <v/>
      </c>
      <c r="N3961" s="7" t="str">
        <f t="shared" si="312"/>
        <v/>
      </c>
      <c r="O3961" s="8"/>
      <c r="P3961" s="26"/>
      <c r="S3961" s="10" t="str">
        <f t="shared" si="309"/>
        <v/>
      </c>
    </row>
    <row r="3962" spans="5:19" x14ac:dyDescent="0.3">
      <c r="E3962" s="9" t="str">
        <f>IF(DADOS!C3962="","",DADOS!C3962)</f>
        <v/>
      </c>
      <c r="F3962" s="9" t="str">
        <f>IF(DADOS!E3962="","",DADOS!E3962)</f>
        <v/>
      </c>
      <c r="G3962" s="9" t="str">
        <f>IF(DADOS!F3962="","",DADOS!F3962)</f>
        <v/>
      </c>
      <c r="K3962" s="6" t="str">
        <f t="shared" si="310"/>
        <v/>
      </c>
      <c r="L3962" s="7" t="str">
        <f t="shared" si="311"/>
        <v/>
      </c>
      <c r="M3962" s="7" t="str">
        <f t="shared" si="308"/>
        <v/>
      </c>
      <c r="N3962" s="7" t="str">
        <f t="shared" si="312"/>
        <v/>
      </c>
      <c r="O3962" s="8"/>
      <c r="P3962" s="26"/>
      <c r="S3962" s="10" t="str">
        <f t="shared" si="309"/>
        <v/>
      </c>
    </row>
    <row r="3963" spans="5:19" x14ac:dyDescent="0.3">
      <c r="E3963" s="9" t="str">
        <f>IF(DADOS!C3963="","",DADOS!C3963)</f>
        <v/>
      </c>
      <c r="F3963" s="9" t="str">
        <f>IF(DADOS!E3963="","",DADOS!E3963)</f>
        <v/>
      </c>
      <c r="G3963" s="9" t="str">
        <f>IF(DADOS!F3963="","",DADOS!F3963)</f>
        <v/>
      </c>
      <c r="K3963" s="6" t="str">
        <f t="shared" si="310"/>
        <v/>
      </c>
      <c r="L3963" s="7" t="str">
        <f t="shared" si="311"/>
        <v/>
      </c>
      <c r="M3963" s="7" t="str">
        <f t="shared" si="308"/>
        <v/>
      </c>
      <c r="N3963" s="7" t="str">
        <f t="shared" si="312"/>
        <v/>
      </c>
      <c r="O3963" s="8"/>
      <c r="P3963" s="26"/>
      <c r="S3963" s="10" t="str">
        <f t="shared" si="309"/>
        <v/>
      </c>
    </row>
    <row r="3964" spans="5:19" x14ac:dyDescent="0.3">
      <c r="E3964" s="9" t="str">
        <f>IF(DADOS!C3964="","",DADOS!C3964)</f>
        <v/>
      </c>
      <c r="F3964" s="9" t="str">
        <f>IF(DADOS!E3964="","",DADOS!E3964)</f>
        <v/>
      </c>
      <c r="G3964" s="9" t="str">
        <f>IF(DADOS!F3964="","",DADOS!F3964)</f>
        <v/>
      </c>
      <c r="K3964" s="6" t="str">
        <f t="shared" si="310"/>
        <v/>
      </c>
      <c r="L3964" s="7" t="str">
        <f t="shared" si="311"/>
        <v/>
      </c>
      <c r="M3964" s="7" t="str">
        <f t="shared" si="308"/>
        <v/>
      </c>
      <c r="N3964" s="7" t="str">
        <f t="shared" si="312"/>
        <v/>
      </c>
      <c r="O3964" s="8"/>
      <c r="P3964" s="26"/>
      <c r="S3964" s="10" t="str">
        <f t="shared" si="309"/>
        <v/>
      </c>
    </row>
    <row r="3965" spans="5:19" x14ac:dyDescent="0.3">
      <c r="E3965" s="9" t="str">
        <f>IF(DADOS!C3965="","",DADOS!C3965)</f>
        <v/>
      </c>
      <c r="F3965" s="9" t="str">
        <f>IF(DADOS!E3965="","",DADOS!E3965)</f>
        <v/>
      </c>
      <c r="G3965" s="9" t="str">
        <f>IF(DADOS!F3965="","",DADOS!F3965)</f>
        <v/>
      </c>
      <c r="K3965" s="6" t="str">
        <f t="shared" si="310"/>
        <v/>
      </c>
      <c r="L3965" s="7" t="str">
        <f t="shared" si="311"/>
        <v/>
      </c>
      <c r="M3965" s="7" t="str">
        <f t="shared" si="308"/>
        <v/>
      </c>
      <c r="N3965" s="7" t="str">
        <f t="shared" si="312"/>
        <v/>
      </c>
      <c r="O3965" s="8"/>
      <c r="P3965" s="26"/>
      <c r="S3965" s="10" t="str">
        <f t="shared" si="309"/>
        <v/>
      </c>
    </row>
    <row r="3966" spans="5:19" x14ac:dyDescent="0.3">
      <c r="E3966" s="9" t="str">
        <f>IF(DADOS!C3966="","",DADOS!C3966)</f>
        <v/>
      </c>
      <c r="F3966" s="9" t="str">
        <f>IF(DADOS!E3966="","",DADOS!E3966)</f>
        <v/>
      </c>
      <c r="G3966" s="9" t="str">
        <f>IF(DADOS!F3966="","",DADOS!F3966)</f>
        <v/>
      </c>
      <c r="K3966" s="6" t="str">
        <f t="shared" si="310"/>
        <v/>
      </c>
      <c r="L3966" s="7" t="str">
        <f t="shared" si="311"/>
        <v/>
      </c>
      <c r="M3966" s="7" t="str">
        <f t="shared" si="308"/>
        <v/>
      </c>
      <c r="N3966" s="7" t="str">
        <f t="shared" si="312"/>
        <v/>
      </c>
      <c r="O3966" s="8"/>
      <c r="P3966" s="26"/>
      <c r="S3966" s="10" t="str">
        <f t="shared" si="309"/>
        <v/>
      </c>
    </row>
    <row r="3967" spans="5:19" x14ac:dyDescent="0.3">
      <c r="E3967" s="9" t="str">
        <f>IF(DADOS!C3967="","",DADOS!C3967)</f>
        <v/>
      </c>
      <c r="F3967" s="9" t="str">
        <f>IF(DADOS!E3967="","",DADOS!E3967)</f>
        <v/>
      </c>
      <c r="G3967" s="9" t="str">
        <f>IF(DADOS!F3967="","",DADOS!F3967)</f>
        <v/>
      </c>
      <c r="K3967" s="6" t="str">
        <f t="shared" si="310"/>
        <v/>
      </c>
      <c r="L3967" s="7" t="str">
        <f t="shared" si="311"/>
        <v/>
      </c>
      <c r="M3967" s="7" t="str">
        <f t="shared" si="308"/>
        <v/>
      </c>
      <c r="N3967" s="7" t="str">
        <f t="shared" si="312"/>
        <v/>
      </c>
      <c r="O3967" s="8"/>
      <c r="P3967" s="26"/>
      <c r="S3967" s="10" t="str">
        <f t="shared" si="309"/>
        <v/>
      </c>
    </row>
    <row r="3968" spans="5:19" x14ac:dyDescent="0.3">
      <c r="E3968" s="9" t="str">
        <f>IF(DADOS!C3968="","",DADOS!C3968)</f>
        <v/>
      </c>
      <c r="F3968" s="9" t="str">
        <f>IF(DADOS!E3968="","",DADOS!E3968)</f>
        <v/>
      </c>
      <c r="G3968" s="9" t="str">
        <f>IF(DADOS!F3968="","",DADOS!F3968)</f>
        <v/>
      </c>
      <c r="K3968" s="6" t="str">
        <f t="shared" si="310"/>
        <v/>
      </c>
      <c r="L3968" s="7" t="str">
        <f t="shared" si="311"/>
        <v/>
      </c>
      <c r="M3968" s="7" t="str">
        <f t="shared" si="308"/>
        <v/>
      </c>
      <c r="N3968" s="7" t="str">
        <f t="shared" si="312"/>
        <v/>
      </c>
      <c r="O3968" s="8"/>
      <c r="P3968" s="26"/>
      <c r="S3968" s="10" t="str">
        <f t="shared" si="309"/>
        <v/>
      </c>
    </row>
    <row r="3969" spans="5:19" x14ac:dyDescent="0.3">
      <c r="E3969" s="9" t="str">
        <f>IF(DADOS!C3969="","",DADOS!C3969)</f>
        <v/>
      </c>
      <c r="F3969" s="9" t="str">
        <f>IF(DADOS!E3969="","",DADOS!E3969)</f>
        <v/>
      </c>
      <c r="G3969" s="9" t="str">
        <f>IF(DADOS!F3969="","",DADOS!F3969)</f>
        <v/>
      </c>
      <c r="K3969" s="6" t="str">
        <f t="shared" si="310"/>
        <v/>
      </c>
      <c r="L3969" s="7" t="str">
        <f t="shared" si="311"/>
        <v/>
      </c>
      <c r="M3969" s="7" t="str">
        <f t="shared" si="308"/>
        <v/>
      </c>
      <c r="N3969" s="7" t="str">
        <f t="shared" si="312"/>
        <v/>
      </c>
      <c r="O3969" s="8"/>
      <c r="P3969" s="26"/>
      <c r="S3969" s="10" t="str">
        <f t="shared" si="309"/>
        <v/>
      </c>
    </row>
    <row r="3970" spans="5:19" x14ac:dyDescent="0.3">
      <c r="E3970" s="9" t="str">
        <f>IF(DADOS!C3970="","",DADOS!C3970)</f>
        <v/>
      </c>
      <c r="F3970" s="9" t="str">
        <f>IF(DADOS!E3970="","",DADOS!E3970)</f>
        <v/>
      </c>
      <c r="G3970" s="9" t="str">
        <f>IF(DADOS!F3970="","",DADOS!F3970)</f>
        <v/>
      </c>
      <c r="K3970" s="6" t="str">
        <f t="shared" si="310"/>
        <v/>
      </c>
      <c r="L3970" s="7" t="str">
        <f t="shared" si="311"/>
        <v/>
      </c>
      <c r="M3970" s="7" t="str">
        <f t="shared" si="308"/>
        <v/>
      </c>
      <c r="N3970" s="7" t="str">
        <f t="shared" si="312"/>
        <v/>
      </c>
      <c r="O3970" s="8"/>
      <c r="P3970" s="26"/>
      <c r="S3970" s="10" t="str">
        <f t="shared" si="309"/>
        <v/>
      </c>
    </row>
    <row r="3971" spans="5:19" x14ac:dyDescent="0.3">
      <c r="E3971" s="9" t="str">
        <f>IF(DADOS!C3971="","",DADOS!C3971)</f>
        <v/>
      </c>
      <c r="F3971" s="9" t="str">
        <f>IF(DADOS!E3971="","",DADOS!E3971)</f>
        <v/>
      </c>
      <c r="G3971" s="9" t="str">
        <f>IF(DADOS!F3971="","",DADOS!F3971)</f>
        <v/>
      </c>
      <c r="K3971" s="6" t="str">
        <f t="shared" si="310"/>
        <v/>
      </c>
      <c r="L3971" s="7" t="str">
        <f t="shared" si="311"/>
        <v/>
      </c>
      <c r="M3971" s="7" t="str">
        <f t="shared" ref="M3971:M4034" si="313">IF(L3971="","",L3971*G3971)</f>
        <v/>
      </c>
      <c r="N3971" s="7" t="str">
        <f t="shared" si="312"/>
        <v/>
      </c>
      <c r="O3971" s="8"/>
      <c r="P3971" s="26"/>
      <c r="S3971" s="10" t="str">
        <f t="shared" ref="S3971:S4034" si="314">IF(R3971="","",SUMIFS($N$3:$N$10000,$E$3:$E$10000,R3971))</f>
        <v/>
      </c>
    </row>
    <row r="3972" spans="5:19" x14ac:dyDescent="0.3">
      <c r="E3972" s="9" t="str">
        <f>IF(DADOS!C3972="","",DADOS!C3972)</f>
        <v/>
      </c>
      <c r="F3972" s="9" t="str">
        <f>IF(DADOS!E3972="","",DADOS!E3972)</f>
        <v/>
      </c>
      <c r="G3972" s="9" t="str">
        <f>IF(DADOS!F3972="","",DADOS!F3972)</f>
        <v/>
      </c>
      <c r="K3972" s="6" t="str">
        <f t="shared" ref="K3972:K4035" si="315">IF(F3972="","",F3972/PI())</f>
        <v/>
      </c>
      <c r="L3972" s="7" t="str">
        <f t="shared" ref="L3972:L4035" si="316">IF(K3972="","",(PI()*K3972^2)/40000)</f>
        <v/>
      </c>
      <c r="M3972" s="7" t="str">
        <f t="shared" si="313"/>
        <v/>
      </c>
      <c r="N3972" s="7" t="str">
        <f t="shared" ref="N3972:N4035" si="317">IF(M3972="","",M3972*N$1)</f>
        <v/>
      </c>
      <c r="O3972" s="8"/>
      <c r="P3972" s="26"/>
      <c r="S3972" s="10" t="str">
        <f t="shared" si="314"/>
        <v/>
      </c>
    </row>
    <row r="3973" spans="5:19" x14ac:dyDescent="0.3">
      <c r="E3973" s="9" t="str">
        <f>IF(DADOS!C3973="","",DADOS!C3973)</f>
        <v/>
      </c>
      <c r="F3973" s="9" t="str">
        <f>IF(DADOS!E3973="","",DADOS!E3973)</f>
        <v/>
      </c>
      <c r="G3973" s="9" t="str">
        <f>IF(DADOS!F3973="","",DADOS!F3973)</f>
        <v/>
      </c>
      <c r="K3973" s="6" t="str">
        <f t="shared" si="315"/>
        <v/>
      </c>
      <c r="L3973" s="7" t="str">
        <f t="shared" si="316"/>
        <v/>
      </c>
      <c r="M3973" s="7" t="str">
        <f t="shared" si="313"/>
        <v/>
      </c>
      <c r="N3973" s="7" t="str">
        <f t="shared" si="317"/>
        <v/>
      </c>
      <c r="O3973" s="8"/>
      <c r="P3973" s="26"/>
      <c r="S3973" s="10" t="str">
        <f t="shared" si="314"/>
        <v/>
      </c>
    </row>
    <row r="3974" spans="5:19" x14ac:dyDescent="0.3">
      <c r="E3974" s="9" t="str">
        <f>IF(DADOS!C3974="","",DADOS!C3974)</f>
        <v/>
      </c>
      <c r="F3974" s="9" t="str">
        <f>IF(DADOS!E3974="","",DADOS!E3974)</f>
        <v/>
      </c>
      <c r="G3974" s="9" t="str">
        <f>IF(DADOS!F3974="","",DADOS!F3974)</f>
        <v/>
      </c>
      <c r="K3974" s="6" t="str">
        <f t="shared" si="315"/>
        <v/>
      </c>
      <c r="L3974" s="7" t="str">
        <f t="shared" si="316"/>
        <v/>
      </c>
      <c r="M3974" s="7" t="str">
        <f t="shared" si="313"/>
        <v/>
      </c>
      <c r="N3974" s="7" t="str">
        <f t="shared" si="317"/>
        <v/>
      </c>
      <c r="O3974" s="8"/>
      <c r="P3974" s="26"/>
      <c r="S3974" s="10" t="str">
        <f t="shared" si="314"/>
        <v/>
      </c>
    </row>
    <row r="3975" spans="5:19" x14ac:dyDescent="0.3">
      <c r="E3975" s="9" t="str">
        <f>IF(DADOS!C3975="","",DADOS!C3975)</f>
        <v/>
      </c>
      <c r="F3975" s="9" t="str">
        <f>IF(DADOS!E3975="","",DADOS!E3975)</f>
        <v/>
      </c>
      <c r="G3975" s="9" t="str">
        <f>IF(DADOS!F3975="","",DADOS!F3975)</f>
        <v/>
      </c>
      <c r="K3975" s="6" t="str">
        <f t="shared" si="315"/>
        <v/>
      </c>
      <c r="L3975" s="7" t="str">
        <f t="shared" si="316"/>
        <v/>
      </c>
      <c r="M3975" s="7" t="str">
        <f t="shared" si="313"/>
        <v/>
      </c>
      <c r="N3975" s="7" t="str">
        <f t="shared" si="317"/>
        <v/>
      </c>
      <c r="O3975" s="8"/>
      <c r="P3975" s="26"/>
      <c r="S3975" s="10" t="str">
        <f t="shared" si="314"/>
        <v/>
      </c>
    </row>
    <row r="3976" spans="5:19" x14ac:dyDescent="0.3">
      <c r="E3976" s="9" t="str">
        <f>IF(DADOS!C3976="","",DADOS!C3976)</f>
        <v/>
      </c>
      <c r="F3976" s="9" t="str">
        <f>IF(DADOS!E3976="","",DADOS!E3976)</f>
        <v/>
      </c>
      <c r="G3976" s="9" t="str">
        <f>IF(DADOS!F3976="","",DADOS!F3976)</f>
        <v/>
      </c>
      <c r="K3976" s="6" t="str">
        <f t="shared" si="315"/>
        <v/>
      </c>
      <c r="L3976" s="7" t="str">
        <f t="shared" si="316"/>
        <v/>
      </c>
      <c r="M3976" s="7" t="str">
        <f t="shared" si="313"/>
        <v/>
      </c>
      <c r="N3976" s="7" t="str">
        <f t="shared" si="317"/>
        <v/>
      </c>
      <c r="O3976" s="8"/>
      <c r="P3976" s="26"/>
      <c r="S3976" s="10" t="str">
        <f t="shared" si="314"/>
        <v/>
      </c>
    </row>
    <row r="3977" spans="5:19" x14ac:dyDescent="0.3">
      <c r="E3977" s="9" t="str">
        <f>IF(DADOS!C3977="","",DADOS!C3977)</f>
        <v/>
      </c>
      <c r="F3977" s="9" t="str">
        <f>IF(DADOS!E3977="","",DADOS!E3977)</f>
        <v/>
      </c>
      <c r="G3977" s="9" t="str">
        <f>IF(DADOS!F3977="","",DADOS!F3977)</f>
        <v/>
      </c>
      <c r="K3977" s="6" t="str">
        <f t="shared" si="315"/>
        <v/>
      </c>
      <c r="L3977" s="7" t="str">
        <f t="shared" si="316"/>
        <v/>
      </c>
      <c r="M3977" s="7" t="str">
        <f t="shared" si="313"/>
        <v/>
      </c>
      <c r="N3977" s="7" t="str">
        <f t="shared" si="317"/>
        <v/>
      </c>
      <c r="O3977" s="8"/>
      <c r="P3977" s="26"/>
      <c r="S3977" s="10" t="str">
        <f t="shared" si="314"/>
        <v/>
      </c>
    </row>
    <row r="3978" spans="5:19" x14ac:dyDescent="0.3">
      <c r="E3978" s="9" t="str">
        <f>IF(DADOS!C3978="","",DADOS!C3978)</f>
        <v/>
      </c>
      <c r="F3978" s="9" t="str">
        <f>IF(DADOS!E3978="","",DADOS!E3978)</f>
        <v/>
      </c>
      <c r="G3978" s="9" t="str">
        <f>IF(DADOS!F3978="","",DADOS!F3978)</f>
        <v/>
      </c>
      <c r="K3978" s="6" t="str">
        <f t="shared" si="315"/>
        <v/>
      </c>
      <c r="L3978" s="7" t="str">
        <f t="shared" si="316"/>
        <v/>
      </c>
      <c r="M3978" s="7" t="str">
        <f t="shared" si="313"/>
        <v/>
      </c>
      <c r="N3978" s="7" t="str">
        <f t="shared" si="317"/>
        <v/>
      </c>
      <c r="O3978" s="8"/>
      <c r="P3978" s="26"/>
      <c r="S3978" s="10" t="str">
        <f t="shared" si="314"/>
        <v/>
      </c>
    </row>
    <row r="3979" spans="5:19" x14ac:dyDescent="0.3">
      <c r="E3979" s="9" t="str">
        <f>IF(DADOS!C3979="","",DADOS!C3979)</f>
        <v/>
      </c>
      <c r="F3979" s="9" t="str">
        <f>IF(DADOS!E3979="","",DADOS!E3979)</f>
        <v/>
      </c>
      <c r="G3979" s="9" t="str">
        <f>IF(DADOS!F3979="","",DADOS!F3979)</f>
        <v/>
      </c>
      <c r="K3979" s="6" t="str">
        <f t="shared" si="315"/>
        <v/>
      </c>
      <c r="L3979" s="7" t="str">
        <f t="shared" si="316"/>
        <v/>
      </c>
      <c r="M3979" s="7" t="str">
        <f t="shared" si="313"/>
        <v/>
      </c>
      <c r="N3979" s="7" t="str">
        <f t="shared" si="317"/>
        <v/>
      </c>
      <c r="O3979" s="8"/>
      <c r="P3979" s="26"/>
      <c r="S3979" s="10" t="str">
        <f t="shared" si="314"/>
        <v/>
      </c>
    </row>
    <row r="3980" spans="5:19" x14ac:dyDescent="0.3">
      <c r="E3980" s="9" t="str">
        <f>IF(DADOS!C3980="","",DADOS!C3980)</f>
        <v/>
      </c>
      <c r="F3980" s="9" t="str">
        <f>IF(DADOS!E3980="","",DADOS!E3980)</f>
        <v/>
      </c>
      <c r="G3980" s="9" t="str">
        <f>IF(DADOS!F3980="","",DADOS!F3980)</f>
        <v/>
      </c>
      <c r="K3980" s="6" t="str">
        <f t="shared" si="315"/>
        <v/>
      </c>
      <c r="L3980" s="7" t="str">
        <f t="shared" si="316"/>
        <v/>
      </c>
      <c r="M3980" s="7" t="str">
        <f t="shared" si="313"/>
        <v/>
      </c>
      <c r="N3980" s="7" t="str">
        <f t="shared" si="317"/>
        <v/>
      </c>
      <c r="O3980" s="8"/>
      <c r="P3980" s="26"/>
      <c r="S3980" s="10" t="str">
        <f t="shared" si="314"/>
        <v/>
      </c>
    </row>
    <row r="3981" spans="5:19" x14ac:dyDescent="0.3">
      <c r="E3981" s="9" t="str">
        <f>IF(DADOS!C3981="","",DADOS!C3981)</f>
        <v/>
      </c>
      <c r="F3981" s="9" t="str">
        <f>IF(DADOS!E3981="","",DADOS!E3981)</f>
        <v/>
      </c>
      <c r="G3981" s="9" t="str">
        <f>IF(DADOS!F3981="","",DADOS!F3981)</f>
        <v/>
      </c>
      <c r="K3981" s="6" t="str">
        <f t="shared" si="315"/>
        <v/>
      </c>
      <c r="L3981" s="7" t="str">
        <f t="shared" si="316"/>
        <v/>
      </c>
      <c r="M3981" s="7" t="str">
        <f t="shared" si="313"/>
        <v/>
      </c>
      <c r="N3981" s="7" t="str">
        <f t="shared" si="317"/>
        <v/>
      </c>
      <c r="O3981" s="8"/>
      <c r="P3981" s="26"/>
      <c r="S3981" s="10" t="str">
        <f t="shared" si="314"/>
        <v/>
      </c>
    </row>
    <row r="3982" spans="5:19" x14ac:dyDescent="0.3">
      <c r="E3982" s="9" t="str">
        <f>IF(DADOS!C3982="","",DADOS!C3982)</f>
        <v/>
      </c>
      <c r="F3982" s="9" t="str">
        <f>IF(DADOS!E3982="","",DADOS!E3982)</f>
        <v/>
      </c>
      <c r="G3982" s="9" t="str">
        <f>IF(DADOS!F3982="","",DADOS!F3982)</f>
        <v/>
      </c>
      <c r="K3982" s="6" t="str">
        <f t="shared" si="315"/>
        <v/>
      </c>
      <c r="L3982" s="7" t="str">
        <f t="shared" si="316"/>
        <v/>
      </c>
      <c r="M3982" s="7" t="str">
        <f t="shared" si="313"/>
        <v/>
      </c>
      <c r="N3982" s="7" t="str">
        <f t="shared" si="317"/>
        <v/>
      </c>
      <c r="O3982" s="8"/>
      <c r="P3982" s="26"/>
      <c r="S3982" s="10" t="str">
        <f t="shared" si="314"/>
        <v/>
      </c>
    </row>
    <row r="3983" spans="5:19" x14ac:dyDescent="0.3">
      <c r="E3983" s="9" t="str">
        <f>IF(DADOS!C3983="","",DADOS!C3983)</f>
        <v/>
      </c>
      <c r="F3983" s="9" t="str">
        <f>IF(DADOS!E3983="","",DADOS!E3983)</f>
        <v/>
      </c>
      <c r="G3983" s="9" t="str">
        <f>IF(DADOS!F3983="","",DADOS!F3983)</f>
        <v/>
      </c>
      <c r="K3983" s="6" t="str">
        <f t="shared" si="315"/>
        <v/>
      </c>
      <c r="L3983" s="7" t="str">
        <f t="shared" si="316"/>
        <v/>
      </c>
      <c r="M3983" s="7" t="str">
        <f t="shared" si="313"/>
        <v/>
      </c>
      <c r="N3983" s="7" t="str">
        <f t="shared" si="317"/>
        <v/>
      </c>
      <c r="O3983" s="8"/>
      <c r="P3983" s="26"/>
      <c r="S3983" s="10" t="str">
        <f t="shared" si="314"/>
        <v/>
      </c>
    </row>
    <row r="3984" spans="5:19" x14ac:dyDescent="0.3">
      <c r="E3984" s="9" t="str">
        <f>IF(DADOS!C3984="","",DADOS!C3984)</f>
        <v/>
      </c>
      <c r="F3984" s="9" t="str">
        <f>IF(DADOS!E3984="","",DADOS!E3984)</f>
        <v/>
      </c>
      <c r="G3984" s="9" t="str">
        <f>IF(DADOS!F3984="","",DADOS!F3984)</f>
        <v/>
      </c>
      <c r="K3984" s="6" t="str">
        <f t="shared" si="315"/>
        <v/>
      </c>
      <c r="L3984" s="7" t="str">
        <f t="shared" si="316"/>
        <v/>
      </c>
      <c r="M3984" s="7" t="str">
        <f t="shared" si="313"/>
        <v/>
      </c>
      <c r="N3984" s="7" t="str">
        <f t="shared" si="317"/>
        <v/>
      </c>
      <c r="O3984" s="8"/>
      <c r="P3984" s="26"/>
      <c r="S3984" s="10" t="str">
        <f t="shared" si="314"/>
        <v/>
      </c>
    </row>
    <row r="3985" spans="5:19" x14ac:dyDescent="0.3">
      <c r="E3985" s="9" t="str">
        <f>IF(DADOS!C3985="","",DADOS!C3985)</f>
        <v/>
      </c>
      <c r="F3985" s="9" t="str">
        <f>IF(DADOS!E3985="","",DADOS!E3985)</f>
        <v/>
      </c>
      <c r="G3985" s="9" t="str">
        <f>IF(DADOS!F3985="","",DADOS!F3985)</f>
        <v/>
      </c>
      <c r="K3985" s="6" t="str">
        <f t="shared" si="315"/>
        <v/>
      </c>
      <c r="L3985" s="7" t="str">
        <f t="shared" si="316"/>
        <v/>
      </c>
      <c r="M3985" s="7" t="str">
        <f t="shared" si="313"/>
        <v/>
      </c>
      <c r="N3985" s="7" t="str">
        <f t="shared" si="317"/>
        <v/>
      </c>
      <c r="O3985" s="8"/>
      <c r="P3985" s="26"/>
      <c r="S3985" s="10" t="str">
        <f t="shared" si="314"/>
        <v/>
      </c>
    </row>
    <row r="3986" spans="5:19" x14ac:dyDescent="0.3">
      <c r="E3986" s="9" t="str">
        <f>IF(DADOS!C3986="","",DADOS!C3986)</f>
        <v/>
      </c>
      <c r="F3986" s="9" t="str">
        <f>IF(DADOS!E3986="","",DADOS!E3986)</f>
        <v/>
      </c>
      <c r="G3986" s="9" t="str">
        <f>IF(DADOS!F3986="","",DADOS!F3986)</f>
        <v/>
      </c>
      <c r="K3986" s="6" t="str">
        <f t="shared" si="315"/>
        <v/>
      </c>
      <c r="L3986" s="7" t="str">
        <f t="shared" si="316"/>
        <v/>
      </c>
      <c r="M3986" s="7" t="str">
        <f t="shared" si="313"/>
        <v/>
      </c>
      <c r="N3986" s="7" t="str">
        <f t="shared" si="317"/>
        <v/>
      </c>
      <c r="O3986" s="8"/>
      <c r="P3986" s="26"/>
      <c r="S3986" s="10" t="str">
        <f t="shared" si="314"/>
        <v/>
      </c>
    </row>
    <row r="3987" spans="5:19" x14ac:dyDescent="0.3">
      <c r="E3987" s="9" t="str">
        <f>IF(DADOS!C3987="","",DADOS!C3987)</f>
        <v/>
      </c>
      <c r="F3987" s="9" t="str">
        <f>IF(DADOS!E3987="","",DADOS!E3987)</f>
        <v/>
      </c>
      <c r="G3987" s="9" t="str">
        <f>IF(DADOS!F3987="","",DADOS!F3987)</f>
        <v/>
      </c>
      <c r="K3987" s="6" t="str">
        <f t="shared" si="315"/>
        <v/>
      </c>
      <c r="L3987" s="7" t="str">
        <f t="shared" si="316"/>
        <v/>
      </c>
      <c r="M3987" s="7" t="str">
        <f t="shared" si="313"/>
        <v/>
      </c>
      <c r="N3987" s="7" t="str">
        <f t="shared" si="317"/>
        <v/>
      </c>
      <c r="O3987" s="8"/>
      <c r="P3987" s="26"/>
      <c r="S3987" s="10" t="str">
        <f t="shared" si="314"/>
        <v/>
      </c>
    </row>
    <row r="3988" spans="5:19" x14ac:dyDescent="0.3">
      <c r="E3988" s="9" t="str">
        <f>IF(DADOS!C3988="","",DADOS!C3988)</f>
        <v/>
      </c>
      <c r="F3988" s="9" t="str">
        <f>IF(DADOS!E3988="","",DADOS!E3988)</f>
        <v/>
      </c>
      <c r="G3988" s="9" t="str">
        <f>IF(DADOS!F3988="","",DADOS!F3988)</f>
        <v/>
      </c>
      <c r="K3988" s="6" t="str">
        <f t="shared" si="315"/>
        <v/>
      </c>
      <c r="L3988" s="7" t="str">
        <f t="shared" si="316"/>
        <v/>
      </c>
      <c r="M3988" s="7" t="str">
        <f t="shared" si="313"/>
        <v/>
      </c>
      <c r="N3988" s="7" t="str">
        <f t="shared" si="317"/>
        <v/>
      </c>
      <c r="O3988" s="8"/>
      <c r="P3988" s="26"/>
      <c r="S3988" s="10" t="str">
        <f t="shared" si="314"/>
        <v/>
      </c>
    </row>
    <row r="3989" spans="5:19" x14ac:dyDescent="0.3">
      <c r="E3989" s="9" t="str">
        <f>IF(DADOS!C3989="","",DADOS!C3989)</f>
        <v/>
      </c>
      <c r="F3989" s="9" t="str">
        <f>IF(DADOS!E3989="","",DADOS!E3989)</f>
        <v/>
      </c>
      <c r="G3989" s="9" t="str">
        <f>IF(DADOS!F3989="","",DADOS!F3989)</f>
        <v/>
      </c>
      <c r="K3989" s="6" t="str">
        <f t="shared" si="315"/>
        <v/>
      </c>
      <c r="L3989" s="7" t="str">
        <f t="shared" si="316"/>
        <v/>
      </c>
      <c r="M3989" s="7" t="str">
        <f t="shared" si="313"/>
        <v/>
      </c>
      <c r="N3989" s="7" t="str">
        <f t="shared" si="317"/>
        <v/>
      </c>
      <c r="O3989" s="8"/>
      <c r="P3989" s="26"/>
      <c r="S3989" s="10" t="str">
        <f t="shared" si="314"/>
        <v/>
      </c>
    </row>
    <row r="3990" spans="5:19" x14ac:dyDescent="0.3">
      <c r="E3990" s="9" t="str">
        <f>IF(DADOS!C3990="","",DADOS!C3990)</f>
        <v/>
      </c>
      <c r="F3990" s="9" t="str">
        <f>IF(DADOS!E3990="","",DADOS!E3990)</f>
        <v/>
      </c>
      <c r="G3990" s="9" t="str">
        <f>IF(DADOS!F3990="","",DADOS!F3990)</f>
        <v/>
      </c>
      <c r="K3990" s="6" t="str">
        <f t="shared" si="315"/>
        <v/>
      </c>
      <c r="L3990" s="7" t="str">
        <f t="shared" si="316"/>
        <v/>
      </c>
      <c r="M3990" s="7" t="str">
        <f t="shared" si="313"/>
        <v/>
      </c>
      <c r="N3990" s="7" t="str">
        <f t="shared" si="317"/>
        <v/>
      </c>
      <c r="O3990" s="8"/>
      <c r="P3990" s="26"/>
      <c r="S3990" s="10" t="str">
        <f t="shared" si="314"/>
        <v/>
      </c>
    </row>
    <row r="3991" spans="5:19" x14ac:dyDescent="0.3">
      <c r="E3991" s="9" t="str">
        <f>IF(DADOS!C3991="","",DADOS!C3991)</f>
        <v/>
      </c>
      <c r="F3991" s="9" t="str">
        <f>IF(DADOS!E3991="","",DADOS!E3991)</f>
        <v/>
      </c>
      <c r="G3991" s="9" t="str">
        <f>IF(DADOS!F3991="","",DADOS!F3991)</f>
        <v/>
      </c>
      <c r="K3991" s="6" t="str">
        <f t="shared" si="315"/>
        <v/>
      </c>
      <c r="L3991" s="7" t="str">
        <f t="shared" si="316"/>
        <v/>
      </c>
      <c r="M3991" s="7" t="str">
        <f t="shared" si="313"/>
        <v/>
      </c>
      <c r="N3991" s="7" t="str">
        <f t="shared" si="317"/>
        <v/>
      </c>
      <c r="O3991" s="8"/>
      <c r="P3991" s="26"/>
      <c r="S3991" s="10" t="str">
        <f t="shared" si="314"/>
        <v/>
      </c>
    </row>
    <row r="3992" spans="5:19" x14ac:dyDescent="0.3">
      <c r="E3992" s="9" t="str">
        <f>IF(DADOS!C3992="","",DADOS!C3992)</f>
        <v/>
      </c>
      <c r="F3992" s="9" t="str">
        <f>IF(DADOS!E3992="","",DADOS!E3992)</f>
        <v/>
      </c>
      <c r="G3992" s="9" t="str">
        <f>IF(DADOS!F3992="","",DADOS!F3992)</f>
        <v/>
      </c>
      <c r="K3992" s="6" t="str">
        <f t="shared" si="315"/>
        <v/>
      </c>
      <c r="L3992" s="7" t="str">
        <f t="shared" si="316"/>
        <v/>
      </c>
      <c r="M3992" s="7" t="str">
        <f t="shared" si="313"/>
        <v/>
      </c>
      <c r="N3992" s="7" t="str">
        <f t="shared" si="317"/>
        <v/>
      </c>
      <c r="O3992" s="8"/>
      <c r="P3992" s="26"/>
      <c r="S3992" s="10" t="str">
        <f t="shared" si="314"/>
        <v/>
      </c>
    </row>
    <row r="3993" spans="5:19" x14ac:dyDescent="0.3">
      <c r="E3993" s="9" t="str">
        <f>IF(DADOS!C3993="","",DADOS!C3993)</f>
        <v/>
      </c>
      <c r="F3993" s="9" t="str">
        <f>IF(DADOS!E3993="","",DADOS!E3993)</f>
        <v/>
      </c>
      <c r="G3993" s="9" t="str">
        <f>IF(DADOS!F3993="","",DADOS!F3993)</f>
        <v/>
      </c>
      <c r="K3993" s="6" t="str">
        <f t="shared" si="315"/>
        <v/>
      </c>
      <c r="L3993" s="7" t="str">
        <f t="shared" si="316"/>
        <v/>
      </c>
      <c r="M3993" s="7" t="str">
        <f t="shared" si="313"/>
        <v/>
      </c>
      <c r="N3993" s="7" t="str">
        <f t="shared" si="317"/>
        <v/>
      </c>
      <c r="O3993" s="8"/>
      <c r="P3993" s="26"/>
      <c r="S3993" s="10" t="str">
        <f t="shared" si="314"/>
        <v/>
      </c>
    </row>
    <row r="3994" spans="5:19" x14ac:dyDescent="0.3">
      <c r="E3994" s="9" t="str">
        <f>IF(DADOS!C3994="","",DADOS!C3994)</f>
        <v/>
      </c>
      <c r="F3994" s="9" t="str">
        <f>IF(DADOS!E3994="","",DADOS!E3994)</f>
        <v/>
      </c>
      <c r="G3994" s="9" t="str">
        <f>IF(DADOS!F3994="","",DADOS!F3994)</f>
        <v/>
      </c>
      <c r="K3994" s="6" t="str">
        <f t="shared" si="315"/>
        <v/>
      </c>
      <c r="L3994" s="7" t="str">
        <f t="shared" si="316"/>
        <v/>
      </c>
      <c r="M3994" s="7" t="str">
        <f t="shared" si="313"/>
        <v/>
      </c>
      <c r="N3994" s="7" t="str">
        <f t="shared" si="317"/>
        <v/>
      </c>
      <c r="O3994" s="8"/>
      <c r="P3994" s="26"/>
      <c r="S3994" s="10" t="str">
        <f t="shared" si="314"/>
        <v/>
      </c>
    </row>
    <row r="3995" spans="5:19" x14ac:dyDescent="0.3">
      <c r="E3995" s="9" t="str">
        <f>IF(DADOS!C3995="","",DADOS!C3995)</f>
        <v/>
      </c>
      <c r="F3995" s="9" t="str">
        <f>IF(DADOS!E3995="","",DADOS!E3995)</f>
        <v/>
      </c>
      <c r="G3995" s="9" t="str">
        <f>IF(DADOS!F3995="","",DADOS!F3995)</f>
        <v/>
      </c>
      <c r="K3995" s="6" t="str">
        <f t="shared" si="315"/>
        <v/>
      </c>
      <c r="L3995" s="7" t="str">
        <f t="shared" si="316"/>
        <v/>
      </c>
      <c r="M3995" s="7" t="str">
        <f t="shared" si="313"/>
        <v/>
      </c>
      <c r="N3995" s="7" t="str">
        <f t="shared" si="317"/>
        <v/>
      </c>
      <c r="O3995" s="8"/>
      <c r="P3995" s="26"/>
      <c r="S3995" s="10" t="str">
        <f t="shared" si="314"/>
        <v/>
      </c>
    </row>
    <row r="3996" spans="5:19" x14ac:dyDescent="0.3">
      <c r="E3996" s="9" t="str">
        <f>IF(DADOS!C3996="","",DADOS!C3996)</f>
        <v/>
      </c>
      <c r="F3996" s="9" t="str">
        <f>IF(DADOS!E3996="","",DADOS!E3996)</f>
        <v/>
      </c>
      <c r="G3996" s="9" t="str">
        <f>IF(DADOS!F3996="","",DADOS!F3996)</f>
        <v/>
      </c>
      <c r="K3996" s="6" t="str">
        <f t="shared" si="315"/>
        <v/>
      </c>
      <c r="L3996" s="7" t="str">
        <f t="shared" si="316"/>
        <v/>
      </c>
      <c r="M3996" s="7" t="str">
        <f t="shared" si="313"/>
        <v/>
      </c>
      <c r="N3996" s="7" t="str">
        <f t="shared" si="317"/>
        <v/>
      </c>
      <c r="O3996" s="8"/>
      <c r="P3996" s="26"/>
      <c r="S3996" s="10" t="str">
        <f t="shared" si="314"/>
        <v/>
      </c>
    </row>
    <row r="3997" spans="5:19" x14ac:dyDescent="0.3">
      <c r="E3997" s="9" t="str">
        <f>IF(DADOS!C3997="","",DADOS!C3997)</f>
        <v/>
      </c>
      <c r="F3997" s="9" t="str">
        <f>IF(DADOS!E3997="","",DADOS!E3997)</f>
        <v/>
      </c>
      <c r="G3997" s="9" t="str">
        <f>IF(DADOS!F3997="","",DADOS!F3997)</f>
        <v/>
      </c>
      <c r="K3997" s="6" t="str">
        <f t="shared" si="315"/>
        <v/>
      </c>
      <c r="L3997" s="7" t="str">
        <f t="shared" si="316"/>
        <v/>
      </c>
      <c r="M3997" s="7" t="str">
        <f t="shared" si="313"/>
        <v/>
      </c>
      <c r="N3997" s="7" t="str">
        <f t="shared" si="317"/>
        <v/>
      </c>
      <c r="O3997" s="8"/>
      <c r="P3997" s="26"/>
      <c r="S3997" s="10" t="str">
        <f t="shared" si="314"/>
        <v/>
      </c>
    </row>
    <row r="3998" spans="5:19" x14ac:dyDescent="0.3">
      <c r="E3998" s="9" t="str">
        <f>IF(DADOS!C3998="","",DADOS!C3998)</f>
        <v/>
      </c>
      <c r="F3998" s="9" t="str">
        <f>IF(DADOS!E3998="","",DADOS!E3998)</f>
        <v/>
      </c>
      <c r="G3998" s="9" t="str">
        <f>IF(DADOS!F3998="","",DADOS!F3998)</f>
        <v/>
      </c>
      <c r="K3998" s="6" t="str">
        <f t="shared" si="315"/>
        <v/>
      </c>
      <c r="L3998" s="7" t="str">
        <f t="shared" si="316"/>
        <v/>
      </c>
      <c r="M3998" s="7" t="str">
        <f t="shared" si="313"/>
        <v/>
      </c>
      <c r="N3998" s="7" t="str">
        <f t="shared" si="317"/>
        <v/>
      </c>
      <c r="O3998" s="8"/>
      <c r="P3998" s="26"/>
      <c r="S3998" s="10" t="str">
        <f t="shared" si="314"/>
        <v/>
      </c>
    </row>
    <row r="3999" spans="5:19" x14ac:dyDescent="0.3">
      <c r="E3999" s="9" t="str">
        <f>IF(DADOS!C3999="","",DADOS!C3999)</f>
        <v/>
      </c>
      <c r="F3999" s="9" t="str">
        <f>IF(DADOS!E3999="","",DADOS!E3999)</f>
        <v/>
      </c>
      <c r="G3999" s="9" t="str">
        <f>IF(DADOS!F3999="","",DADOS!F3999)</f>
        <v/>
      </c>
      <c r="K3999" s="6" t="str">
        <f t="shared" si="315"/>
        <v/>
      </c>
      <c r="L3999" s="7" t="str">
        <f t="shared" si="316"/>
        <v/>
      </c>
      <c r="M3999" s="7" t="str">
        <f t="shared" si="313"/>
        <v/>
      </c>
      <c r="N3999" s="7" t="str">
        <f t="shared" si="317"/>
        <v/>
      </c>
      <c r="O3999" s="8"/>
      <c r="P3999" s="26"/>
      <c r="S3999" s="10" t="str">
        <f t="shared" si="314"/>
        <v/>
      </c>
    </row>
    <row r="4000" spans="5:19" x14ac:dyDescent="0.3">
      <c r="E4000" s="9" t="str">
        <f>IF(DADOS!C4000="","",DADOS!C4000)</f>
        <v/>
      </c>
      <c r="F4000" s="9" t="str">
        <f>IF(DADOS!E4000="","",DADOS!E4000)</f>
        <v/>
      </c>
      <c r="G4000" s="9" t="str">
        <f>IF(DADOS!F4000="","",DADOS!F4000)</f>
        <v/>
      </c>
      <c r="K4000" s="6" t="str">
        <f t="shared" si="315"/>
        <v/>
      </c>
      <c r="L4000" s="7" t="str">
        <f t="shared" si="316"/>
        <v/>
      </c>
      <c r="M4000" s="7" t="str">
        <f t="shared" si="313"/>
        <v/>
      </c>
      <c r="N4000" s="7" t="str">
        <f t="shared" si="317"/>
        <v/>
      </c>
      <c r="O4000" s="8"/>
      <c r="P4000" s="26"/>
      <c r="S4000" s="10" t="str">
        <f t="shared" si="314"/>
        <v/>
      </c>
    </row>
    <row r="4001" spans="5:19" x14ac:dyDescent="0.3">
      <c r="E4001" s="9" t="str">
        <f>IF(DADOS!C4001="","",DADOS!C4001)</f>
        <v/>
      </c>
      <c r="F4001" s="9" t="str">
        <f>IF(DADOS!E4001="","",DADOS!E4001)</f>
        <v/>
      </c>
      <c r="G4001" s="9" t="str">
        <f>IF(DADOS!F4001="","",DADOS!F4001)</f>
        <v/>
      </c>
      <c r="K4001" s="6" t="str">
        <f t="shared" si="315"/>
        <v/>
      </c>
      <c r="L4001" s="7" t="str">
        <f t="shared" si="316"/>
        <v/>
      </c>
      <c r="M4001" s="7" t="str">
        <f t="shared" si="313"/>
        <v/>
      </c>
      <c r="N4001" s="7" t="str">
        <f t="shared" si="317"/>
        <v/>
      </c>
      <c r="O4001" s="8"/>
      <c r="P4001" s="26"/>
      <c r="S4001" s="10" t="str">
        <f t="shared" si="314"/>
        <v/>
      </c>
    </row>
    <row r="4002" spans="5:19" x14ac:dyDescent="0.3">
      <c r="E4002" s="9" t="str">
        <f>IF(DADOS!C4002="","",DADOS!C4002)</f>
        <v/>
      </c>
      <c r="F4002" s="9" t="str">
        <f>IF(DADOS!E4002="","",DADOS!E4002)</f>
        <v/>
      </c>
      <c r="G4002" s="9" t="str">
        <f>IF(DADOS!F4002="","",DADOS!F4002)</f>
        <v/>
      </c>
      <c r="K4002" s="6" t="str">
        <f t="shared" si="315"/>
        <v/>
      </c>
      <c r="L4002" s="7" t="str">
        <f t="shared" si="316"/>
        <v/>
      </c>
      <c r="M4002" s="7" t="str">
        <f t="shared" si="313"/>
        <v/>
      </c>
      <c r="N4002" s="7" t="str">
        <f t="shared" si="317"/>
        <v/>
      </c>
      <c r="O4002" s="8"/>
      <c r="P4002" s="26"/>
      <c r="S4002" s="10" t="str">
        <f t="shared" si="314"/>
        <v/>
      </c>
    </row>
    <row r="4003" spans="5:19" x14ac:dyDescent="0.3">
      <c r="E4003" s="9" t="str">
        <f>IF(DADOS!C4003="","",DADOS!C4003)</f>
        <v/>
      </c>
      <c r="F4003" s="9" t="str">
        <f>IF(DADOS!E4003="","",DADOS!E4003)</f>
        <v/>
      </c>
      <c r="G4003" s="9" t="str">
        <f>IF(DADOS!F4003="","",DADOS!F4003)</f>
        <v/>
      </c>
      <c r="K4003" s="6" t="str">
        <f t="shared" si="315"/>
        <v/>
      </c>
      <c r="L4003" s="7" t="str">
        <f t="shared" si="316"/>
        <v/>
      </c>
      <c r="M4003" s="7" t="str">
        <f t="shared" si="313"/>
        <v/>
      </c>
      <c r="N4003" s="7" t="str">
        <f t="shared" si="317"/>
        <v/>
      </c>
      <c r="O4003" s="8"/>
      <c r="P4003" s="26"/>
      <c r="S4003" s="10" t="str">
        <f t="shared" si="314"/>
        <v/>
      </c>
    </row>
    <row r="4004" spans="5:19" x14ac:dyDescent="0.3">
      <c r="E4004" s="9" t="str">
        <f>IF(DADOS!C4004="","",DADOS!C4004)</f>
        <v/>
      </c>
      <c r="F4004" s="9" t="str">
        <f>IF(DADOS!E4004="","",DADOS!E4004)</f>
        <v/>
      </c>
      <c r="G4004" s="9" t="str">
        <f>IF(DADOS!F4004="","",DADOS!F4004)</f>
        <v/>
      </c>
      <c r="K4004" s="6" t="str">
        <f t="shared" si="315"/>
        <v/>
      </c>
      <c r="L4004" s="7" t="str">
        <f t="shared" si="316"/>
        <v/>
      </c>
      <c r="M4004" s="7" t="str">
        <f t="shared" si="313"/>
        <v/>
      </c>
      <c r="N4004" s="7" t="str">
        <f t="shared" si="317"/>
        <v/>
      </c>
      <c r="O4004" s="8"/>
      <c r="P4004" s="26"/>
      <c r="S4004" s="10" t="str">
        <f t="shared" si="314"/>
        <v/>
      </c>
    </row>
    <row r="4005" spans="5:19" x14ac:dyDescent="0.3">
      <c r="E4005" s="9" t="str">
        <f>IF(DADOS!C4005="","",DADOS!C4005)</f>
        <v/>
      </c>
      <c r="F4005" s="9" t="str">
        <f>IF(DADOS!E4005="","",DADOS!E4005)</f>
        <v/>
      </c>
      <c r="G4005" s="9" t="str">
        <f>IF(DADOS!F4005="","",DADOS!F4005)</f>
        <v/>
      </c>
      <c r="K4005" s="6" t="str">
        <f t="shared" si="315"/>
        <v/>
      </c>
      <c r="L4005" s="7" t="str">
        <f t="shared" si="316"/>
        <v/>
      </c>
      <c r="M4005" s="7" t="str">
        <f t="shared" si="313"/>
        <v/>
      </c>
      <c r="N4005" s="7" t="str">
        <f t="shared" si="317"/>
        <v/>
      </c>
      <c r="O4005" s="8"/>
      <c r="P4005" s="26"/>
      <c r="S4005" s="10" t="str">
        <f t="shared" si="314"/>
        <v/>
      </c>
    </row>
    <row r="4006" spans="5:19" x14ac:dyDescent="0.3">
      <c r="E4006" s="9" t="str">
        <f>IF(DADOS!C4006="","",DADOS!C4006)</f>
        <v/>
      </c>
      <c r="F4006" s="9" t="str">
        <f>IF(DADOS!E4006="","",DADOS!E4006)</f>
        <v/>
      </c>
      <c r="G4006" s="9" t="str">
        <f>IF(DADOS!F4006="","",DADOS!F4006)</f>
        <v/>
      </c>
      <c r="K4006" s="6" t="str">
        <f t="shared" si="315"/>
        <v/>
      </c>
      <c r="L4006" s="7" t="str">
        <f t="shared" si="316"/>
        <v/>
      </c>
      <c r="M4006" s="7" t="str">
        <f t="shared" si="313"/>
        <v/>
      </c>
      <c r="N4006" s="7" t="str">
        <f t="shared" si="317"/>
        <v/>
      </c>
      <c r="O4006" s="8"/>
      <c r="P4006" s="26"/>
      <c r="S4006" s="10" t="str">
        <f t="shared" si="314"/>
        <v/>
      </c>
    </row>
    <row r="4007" spans="5:19" x14ac:dyDescent="0.3">
      <c r="E4007" s="9" t="str">
        <f>IF(DADOS!C4007="","",DADOS!C4007)</f>
        <v/>
      </c>
      <c r="F4007" s="9" t="str">
        <f>IF(DADOS!E4007="","",DADOS!E4007)</f>
        <v/>
      </c>
      <c r="G4007" s="9" t="str">
        <f>IF(DADOS!F4007="","",DADOS!F4007)</f>
        <v/>
      </c>
      <c r="K4007" s="6" t="str">
        <f t="shared" si="315"/>
        <v/>
      </c>
      <c r="L4007" s="7" t="str">
        <f t="shared" si="316"/>
        <v/>
      </c>
      <c r="M4007" s="7" t="str">
        <f t="shared" si="313"/>
        <v/>
      </c>
      <c r="N4007" s="7" t="str">
        <f t="shared" si="317"/>
        <v/>
      </c>
      <c r="O4007" s="8"/>
      <c r="P4007" s="26"/>
      <c r="S4007" s="10" t="str">
        <f t="shared" si="314"/>
        <v/>
      </c>
    </row>
    <row r="4008" spans="5:19" x14ac:dyDescent="0.3">
      <c r="E4008" s="9" t="str">
        <f>IF(DADOS!C4008="","",DADOS!C4008)</f>
        <v/>
      </c>
      <c r="F4008" s="9" t="str">
        <f>IF(DADOS!E4008="","",DADOS!E4008)</f>
        <v/>
      </c>
      <c r="G4008" s="9" t="str">
        <f>IF(DADOS!F4008="","",DADOS!F4008)</f>
        <v/>
      </c>
      <c r="K4008" s="6" t="str">
        <f t="shared" si="315"/>
        <v/>
      </c>
      <c r="L4008" s="7" t="str">
        <f t="shared" si="316"/>
        <v/>
      </c>
      <c r="M4008" s="7" t="str">
        <f t="shared" si="313"/>
        <v/>
      </c>
      <c r="N4008" s="7" t="str">
        <f t="shared" si="317"/>
        <v/>
      </c>
      <c r="O4008" s="8"/>
      <c r="P4008" s="26"/>
      <c r="S4008" s="10" t="str">
        <f t="shared" si="314"/>
        <v/>
      </c>
    </row>
    <row r="4009" spans="5:19" x14ac:dyDescent="0.3">
      <c r="E4009" s="9" t="str">
        <f>IF(DADOS!C4009="","",DADOS!C4009)</f>
        <v/>
      </c>
      <c r="F4009" s="9" t="str">
        <f>IF(DADOS!E4009="","",DADOS!E4009)</f>
        <v/>
      </c>
      <c r="G4009" s="9" t="str">
        <f>IF(DADOS!F4009="","",DADOS!F4009)</f>
        <v/>
      </c>
      <c r="K4009" s="6" t="str">
        <f t="shared" si="315"/>
        <v/>
      </c>
      <c r="L4009" s="7" t="str">
        <f t="shared" si="316"/>
        <v/>
      </c>
      <c r="M4009" s="7" t="str">
        <f t="shared" si="313"/>
        <v/>
      </c>
      <c r="N4009" s="7" t="str">
        <f t="shared" si="317"/>
        <v/>
      </c>
      <c r="O4009" s="8"/>
      <c r="P4009" s="26"/>
      <c r="S4009" s="10" t="str">
        <f t="shared" si="314"/>
        <v/>
      </c>
    </row>
    <row r="4010" spans="5:19" x14ac:dyDescent="0.3">
      <c r="E4010" s="9" t="str">
        <f>IF(DADOS!C4010="","",DADOS!C4010)</f>
        <v/>
      </c>
      <c r="F4010" s="9" t="str">
        <f>IF(DADOS!E4010="","",DADOS!E4010)</f>
        <v/>
      </c>
      <c r="G4010" s="9" t="str">
        <f>IF(DADOS!F4010="","",DADOS!F4010)</f>
        <v/>
      </c>
      <c r="K4010" s="6" t="str">
        <f t="shared" si="315"/>
        <v/>
      </c>
      <c r="L4010" s="7" t="str">
        <f t="shared" si="316"/>
        <v/>
      </c>
      <c r="M4010" s="7" t="str">
        <f t="shared" si="313"/>
        <v/>
      </c>
      <c r="N4010" s="7" t="str">
        <f t="shared" si="317"/>
        <v/>
      </c>
      <c r="O4010" s="8"/>
      <c r="P4010" s="26"/>
      <c r="S4010" s="10" t="str">
        <f t="shared" si="314"/>
        <v/>
      </c>
    </row>
    <row r="4011" spans="5:19" x14ac:dyDescent="0.3">
      <c r="E4011" s="9" t="str">
        <f>IF(DADOS!C4011="","",DADOS!C4011)</f>
        <v/>
      </c>
      <c r="F4011" s="9" t="str">
        <f>IF(DADOS!E4011="","",DADOS!E4011)</f>
        <v/>
      </c>
      <c r="G4011" s="9" t="str">
        <f>IF(DADOS!F4011="","",DADOS!F4011)</f>
        <v/>
      </c>
      <c r="K4011" s="6" t="str">
        <f t="shared" si="315"/>
        <v/>
      </c>
      <c r="L4011" s="7" t="str">
        <f t="shared" si="316"/>
        <v/>
      </c>
      <c r="M4011" s="7" t="str">
        <f t="shared" si="313"/>
        <v/>
      </c>
      <c r="N4011" s="7" t="str">
        <f t="shared" si="317"/>
        <v/>
      </c>
      <c r="O4011" s="8"/>
      <c r="P4011" s="26"/>
      <c r="S4011" s="10" t="str">
        <f t="shared" si="314"/>
        <v/>
      </c>
    </row>
    <row r="4012" spans="5:19" x14ac:dyDescent="0.3">
      <c r="E4012" s="9" t="str">
        <f>IF(DADOS!C4012="","",DADOS!C4012)</f>
        <v/>
      </c>
      <c r="F4012" s="9" t="str">
        <f>IF(DADOS!E4012="","",DADOS!E4012)</f>
        <v/>
      </c>
      <c r="G4012" s="9" t="str">
        <f>IF(DADOS!F4012="","",DADOS!F4012)</f>
        <v/>
      </c>
      <c r="K4012" s="6" t="str">
        <f t="shared" si="315"/>
        <v/>
      </c>
      <c r="L4012" s="7" t="str">
        <f t="shared" si="316"/>
        <v/>
      </c>
      <c r="M4012" s="7" t="str">
        <f t="shared" si="313"/>
        <v/>
      </c>
      <c r="N4012" s="7" t="str">
        <f t="shared" si="317"/>
        <v/>
      </c>
      <c r="O4012" s="8"/>
      <c r="P4012" s="26"/>
      <c r="S4012" s="10" t="str">
        <f t="shared" si="314"/>
        <v/>
      </c>
    </row>
    <row r="4013" spans="5:19" x14ac:dyDescent="0.3">
      <c r="E4013" s="9" t="str">
        <f>IF(DADOS!C4013="","",DADOS!C4013)</f>
        <v/>
      </c>
      <c r="F4013" s="9" t="str">
        <f>IF(DADOS!E4013="","",DADOS!E4013)</f>
        <v/>
      </c>
      <c r="G4013" s="9" t="str">
        <f>IF(DADOS!F4013="","",DADOS!F4013)</f>
        <v/>
      </c>
      <c r="K4013" s="6" t="str">
        <f t="shared" si="315"/>
        <v/>
      </c>
      <c r="L4013" s="7" t="str">
        <f t="shared" si="316"/>
        <v/>
      </c>
      <c r="M4013" s="7" t="str">
        <f t="shared" si="313"/>
        <v/>
      </c>
      <c r="N4013" s="7" t="str">
        <f t="shared" si="317"/>
        <v/>
      </c>
      <c r="O4013" s="8"/>
      <c r="P4013" s="26"/>
      <c r="S4013" s="10" t="str">
        <f t="shared" si="314"/>
        <v/>
      </c>
    </row>
    <row r="4014" spans="5:19" x14ac:dyDescent="0.3">
      <c r="E4014" s="9" t="str">
        <f>IF(DADOS!C4014="","",DADOS!C4014)</f>
        <v/>
      </c>
      <c r="F4014" s="9" t="str">
        <f>IF(DADOS!E4014="","",DADOS!E4014)</f>
        <v/>
      </c>
      <c r="G4014" s="9" t="str">
        <f>IF(DADOS!F4014="","",DADOS!F4014)</f>
        <v/>
      </c>
      <c r="K4014" s="6" t="str">
        <f t="shared" si="315"/>
        <v/>
      </c>
      <c r="L4014" s="7" t="str">
        <f t="shared" si="316"/>
        <v/>
      </c>
      <c r="M4014" s="7" t="str">
        <f t="shared" si="313"/>
        <v/>
      </c>
      <c r="N4014" s="7" t="str">
        <f t="shared" si="317"/>
        <v/>
      </c>
      <c r="O4014" s="8"/>
      <c r="P4014" s="26"/>
      <c r="S4014" s="10" t="str">
        <f t="shared" si="314"/>
        <v/>
      </c>
    </row>
    <row r="4015" spans="5:19" x14ac:dyDescent="0.3">
      <c r="E4015" s="9" t="str">
        <f>IF(DADOS!C4015="","",DADOS!C4015)</f>
        <v/>
      </c>
      <c r="F4015" s="9" t="str">
        <f>IF(DADOS!E4015="","",DADOS!E4015)</f>
        <v/>
      </c>
      <c r="G4015" s="9" t="str">
        <f>IF(DADOS!F4015="","",DADOS!F4015)</f>
        <v/>
      </c>
      <c r="K4015" s="6" t="str">
        <f t="shared" si="315"/>
        <v/>
      </c>
      <c r="L4015" s="7" t="str">
        <f t="shared" si="316"/>
        <v/>
      </c>
      <c r="M4015" s="7" t="str">
        <f t="shared" si="313"/>
        <v/>
      </c>
      <c r="N4015" s="7" t="str">
        <f t="shared" si="317"/>
        <v/>
      </c>
      <c r="O4015" s="8"/>
      <c r="P4015" s="26"/>
      <c r="S4015" s="10" t="str">
        <f t="shared" si="314"/>
        <v/>
      </c>
    </row>
    <row r="4016" spans="5:19" x14ac:dyDescent="0.3">
      <c r="E4016" s="9" t="str">
        <f>IF(DADOS!C4016="","",DADOS!C4016)</f>
        <v/>
      </c>
      <c r="F4016" s="9" t="str">
        <f>IF(DADOS!E4016="","",DADOS!E4016)</f>
        <v/>
      </c>
      <c r="G4016" s="9" t="str">
        <f>IF(DADOS!F4016="","",DADOS!F4016)</f>
        <v/>
      </c>
      <c r="K4016" s="6" t="str">
        <f t="shared" si="315"/>
        <v/>
      </c>
      <c r="L4016" s="7" t="str">
        <f t="shared" si="316"/>
        <v/>
      </c>
      <c r="M4016" s="7" t="str">
        <f t="shared" si="313"/>
        <v/>
      </c>
      <c r="N4016" s="7" t="str">
        <f t="shared" si="317"/>
        <v/>
      </c>
      <c r="O4016" s="8"/>
      <c r="P4016" s="26"/>
      <c r="S4016" s="10" t="str">
        <f t="shared" si="314"/>
        <v/>
      </c>
    </row>
    <row r="4017" spans="5:19" x14ac:dyDescent="0.3">
      <c r="E4017" s="9" t="str">
        <f>IF(DADOS!C4017="","",DADOS!C4017)</f>
        <v/>
      </c>
      <c r="F4017" s="9" t="str">
        <f>IF(DADOS!E4017="","",DADOS!E4017)</f>
        <v/>
      </c>
      <c r="G4017" s="9" t="str">
        <f>IF(DADOS!F4017="","",DADOS!F4017)</f>
        <v/>
      </c>
      <c r="K4017" s="6" t="str">
        <f t="shared" si="315"/>
        <v/>
      </c>
      <c r="L4017" s="7" t="str">
        <f t="shared" si="316"/>
        <v/>
      </c>
      <c r="M4017" s="7" t="str">
        <f t="shared" si="313"/>
        <v/>
      </c>
      <c r="N4017" s="7" t="str">
        <f t="shared" si="317"/>
        <v/>
      </c>
      <c r="O4017" s="8"/>
      <c r="P4017" s="26"/>
      <c r="S4017" s="10" t="str">
        <f t="shared" si="314"/>
        <v/>
      </c>
    </row>
    <row r="4018" spans="5:19" x14ac:dyDescent="0.3">
      <c r="E4018" s="9" t="str">
        <f>IF(DADOS!C4018="","",DADOS!C4018)</f>
        <v/>
      </c>
      <c r="F4018" s="9" t="str">
        <f>IF(DADOS!E4018="","",DADOS!E4018)</f>
        <v/>
      </c>
      <c r="G4018" s="9" t="str">
        <f>IF(DADOS!F4018="","",DADOS!F4018)</f>
        <v/>
      </c>
      <c r="K4018" s="6" t="str">
        <f t="shared" si="315"/>
        <v/>
      </c>
      <c r="L4018" s="7" t="str">
        <f t="shared" si="316"/>
        <v/>
      </c>
      <c r="M4018" s="7" t="str">
        <f t="shared" si="313"/>
        <v/>
      </c>
      <c r="N4018" s="7" t="str">
        <f t="shared" si="317"/>
        <v/>
      </c>
      <c r="O4018" s="8"/>
      <c r="P4018" s="26"/>
      <c r="S4018" s="10" t="str">
        <f t="shared" si="314"/>
        <v/>
      </c>
    </row>
    <row r="4019" spans="5:19" x14ac:dyDescent="0.3">
      <c r="E4019" s="9" t="str">
        <f>IF(DADOS!C4019="","",DADOS!C4019)</f>
        <v/>
      </c>
      <c r="F4019" s="9" t="str">
        <f>IF(DADOS!E4019="","",DADOS!E4019)</f>
        <v/>
      </c>
      <c r="G4019" s="9" t="str">
        <f>IF(DADOS!F4019="","",DADOS!F4019)</f>
        <v/>
      </c>
      <c r="K4019" s="6" t="str">
        <f t="shared" si="315"/>
        <v/>
      </c>
      <c r="L4019" s="7" t="str">
        <f t="shared" si="316"/>
        <v/>
      </c>
      <c r="M4019" s="7" t="str">
        <f t="shared" si="313"/>
        <v/>
      </c>
      <c r="N4019" s="7" t="str">
        <f t="shared" si="317"/>
        <v/>
      </c>
      <c r="O4019" s="8"/>
      <c r="P4019" s="26"/>
      <c r="S4019" s="10" t="str">
        <f t="shared" si="314"/>
        <v/>
      </c>
    </row>
    <row r="4020" spans="5:19" x14ac:dyDescent="0.3">
      <c r="E4020" s="9" t="str">
        <f>IF(DADOS!C4020="","",DADOS!C4020)</f>
        <v/>
      </c>
      <c r="F4020" s="9" t="str">
        <f>IF(DADOS!E4020="","",DADOS!E4020)</f>
        <v/>
      </c>
      <c r="G4020" s="9" t="str">
        <f>IF(DADOS!F4020="","",DADOS!F4020)</f>
        <v/>
      </c>
      <c r="K4020" s="6" t="str">
        <f t="shared" si="315"/>
        <v/>
      </c>
      <c r="L4020" s="7" t="str">
        <f t="shared" si="316"/>
        <v/>
      </c>
      <c r="M4020" s="7" t="str">
        <f t="shared" si="313"/>
        <v/>
      </c>
      <c r="N4020" s="7" t="str">
        <f t="shared" si="317"/>
        <v/>
      </c>
      <c r="O4020" s="8"/>
      <c r="P4020" s="26"/>
      <c r="S4020" s="10" t="str">
        <f t="shared" si="314"/>
        <v/>
      </c>
    </row>
    <row r="4021" spans="5:19" x14ac:dyDescent="0.3">
      <c r="E4021" s="9" t="str">
        <f>IF(DADOS!C4021="","",DADOS!C4021)</f>
        <v/>
      </c>
      <c r="F4021" s="9" t="str">
        <f>IF(DADOS!E4021="","",DADOS!E4021)</f>
        <v/>
      </c>
      <c r="G4021" s="9" t="str">
        <f>IF(DADOS!F4021="","",DADOS!F4021)</f>
        <v/>
      </c>
      <c r="K4021" s="6" t="str">
        <f t="shared" si="315"/>
        <v/>
      </c>
      <c r="L4021" s="7" t="str">
        <f t="shared" si="316"/>
        <v/>
      </c>
      <c r="M4021" s="7" t="str">
        <f t="shared" si="313"/>
        <v/>
      </c>
      <c r="N4021" s="7" t="str">
        <f t="shared" si="317"/>
        <v/>
      </c>
      <c r="O4021" s="8"/>
      <c r="P4021" s="26"/>
      <c r="S4021" s="10" t="str">
        <f t="shared" si="314"/>
        <v/>
      </c>
    </row>
    <row r="4022" spans="5:19" x14ac:dyDescent="0.3">
      <c r="E4022" s="9" t="str">
        <f>IF(DADOS!C4022="","",DADOS!C4022)</f>
        <v/>
      </c>
      <c r="F4022" s="9" t="str">
        <f>IF(DADOS!E4022="","",DADOS!E4022)</f>
        <v/>
      </c>
      <c r="G4022" s="9" t="str">
        <f>IF(DADOS!F4022="","",DADOS!F4022)</f>
        <v/>
      </c>
      <c r="K4022" s="6" t="str">
        <f t="shared" si="315"/>
        <v/>
      </c>
      <c r="L4022" s="7" t="str">
        <f t="shared" si="316"/>
        <v/>
      </c>
      <c r="M4022" s="7" t="str">
        <f t="shared" si="313"/>
        <v/>
      </c>
      <c r="N4022" s="7" t="str">
        <f t="shared" si="317"/>
        <v/>
      </c>
      <c r="O4022" s="8"/>
      <c r="P4022" s="26"/>
      <c r="S4022" s="10" t="str">
        <f t="shared" si="314"/>
        <v/>
      </c>
    </row>
    <row r="4023" spans="5:19" x14ac:dyDescent="0.3">
      <c r="E4023" s="9" t="str">
        <f>IF(DADOS!C4023="","",DADOS!C4023)</f>
        <v/>
      </c>
      <c r="F4023" s="9" t="str">
        <f>IF(DADOS!E4023="","",DADOS!E4023)</f>
        <v/>
      </c>
      <c r="G4023" s="9" t="str">
        <f>IF(DADOS!F4023="","",DADOS!F4023)</f>
        <v/>
      </c>
      <c r="K4023" s="6" t="str">
        <f t="shared" si="315"/>
        <v/>
      </c>
      <c r="L4023" s="7" t="str">
        <f t="shared" si="316"/>
        <v/>
      </c>
      <c r="M4023" s="7" t="str">
        <f t="shared" si="313"/>
        <v/>
      </c>
      <c r="N4023" s="7" t="str">
        <f t="shared" si="317"/>
        <v/>
      </c>
      <c r="O4023" s="8"/>
      <c r="P4023" s="26"/>
      <c r="S4023" s="10" t="str">
        <f t="shared" si="314"/>
        <v/>
      </c>
    </row>
    <row r="4024" spans="5:19" x14ac:dyDescent="0.3">
      <c r="E4024" s="9" t="str">
        <f>IF(DADOS!C4024="","",DADOS!C4024)</f>
        <v/>
      </c>
      <c r="F4024" s="9" t="str">
        <f>IF(DADOS!E4024="","",DADOS!E4024)</f>
        <v/>
      </c>
      <c r="G4024" s="9" t="str">
        <f>IF(DADOS!F4024="","",DADOS!F4024)</f>
        <v/>
      </c>
      <c r="K4024" s="6" t="str">
        <f t="shared" si="315"/>
        <v/>
      </c>
      <c r="L4024" s="7" t="str">
        <f t="shared" si="316"/>
        <v/>
      </c>
      <c r="M4024" s="7" t="str">
        <f t="shared" si="313"/>
        <v/>
      </c>
      <c r="N4024" s="7" t="str">
        <f t="shared" si="317"/>
        <v/>
      </c>
      <c r="O4024" s="8"/>
      <c r="P4024" s="26"/>
      <c r="S4024" s="10" t="str">
        <f t="shared" si="314"/>
        <v/>
      </c>
    </row>
    <row r="4025" spans="5:19" x14ac:dyDescent="0.3">
      <c r="E4025" s="9" t="str">
        <f>IF(DADOS!C4025="","",DADOS!C4025)</f>
        <v/>
      </c>
      <c r="F4025" s="9" t="str">
        <f>IF(DADOS!E4025="","",DADOS!E4025)</f>
        <v/>
      </c>
      <c r="G4025" s="9" t="str">
        <f>IF(DADOS!F4025="","",DADOS!F4025)</f>
        <v/>
      </c>
      <c r="K4025" s="6" t="str">
        <f t="shared" si="315"/>
        <v/>
      </c>
      <c r="L4025" s="7" t="str">
        <f t="shared" si="316"/>
        <v/>
      </c>
      <c r="M4025" s="7" t="str">
        <f t="shared" si="313"/>
        <v/>
      </c>
      <c r="N4025" s="7" t="str">
        <f t="shared" si="317"/>
        <v/>
      </c>
      <c r="O4025" s="8"/>
      <c r="P4025" s="26"/>
      <c r="S4025" s="10" t="str">
        <f t="shared" si="314"/>
        <v/>
      </c>
    </row>
    <row r="4026" spans="5:19" x14ac:dyDescent="0.3">
      <c r="E4026" s="9" t="str">
        <f>IF(DADOS!C4026="","",DADOS!C4026)</f>
        <v/>
      </c>
      <c r="F4026" s="9" t="str">
        <f>IF(DADOS!E4026="","",DADOS!E4026)</f>
        <v/>
      </c>
      <c r="G4026" s="9" t="str">
        <f>IF(DADOS!F4026="","",DADOS!F4026)</f>
        <v/>
      </c>
      <c r="K4026" s="6" t="str">
        <f t="shared" si="315"/>
        <v/>
      </c>
      <c r="L4026" s="7" t="str">
        <f t="shared" si="316"/>
        <v/>
      </c>
      <c r="M4026" s="7" t="str">
        <f t="shared" si="313"/>
        <v/>
      </c>
      <c r="N4026" s="7" t="str">
        <f t="shared" si="317"/>
        <v/>
      </c>
      <c r="O4026" s="8"/>
      <c r="P4026" s="26"/>
      <c r="S4026" s="10" t="str">
        <f t="shared" si="314"/>
        <v/>
      </c>
    </row>
    <row r="4027" spans="5:19" x14ac:dyDescent="0.3">
      <c r="E4027" s="9" t="str">
        <f>IF(DADOS!C4027="","",DADOS!C4027)</f>
        <v/>
      </c>
      <c r="F4027" s="9" t="str">
        <f>IF(DADOS!E4027="","",DADOS!E4027)</f>
        <v/>
      </c>
      <c r="G4027" s="9" t="str">
        <f>IF(DADOS!F4027="","",DADOS!F4027)</f>
        <v/>
      </c>
      <c r="K4027" s="6" t="str">
        <f t="shared" si="315"/>
        <v/>
      </c>
      <c r="L4027" s="7" t="str">
        <f t="shared" si="316"/>
        <v/>
      </c>
      <c r="M4027" s="7" t="str">
        <f t="shared" si="313"/>
        <v/>
      </c>
      <c r="N4027" s="7" t="str">
        <f t="shared" si="317"/>
        <v/>
      </c>
      <c r="O4027" s="8"/>
      <c r="P4027" s="26"/>
      <c r="S4027" s="10" t="str">
        <f t="shared" si="314"/>
        <v/>
      </c>
    </row>
    <row r="4028" spans="5:19" x14ac:dyDescent="0.3">
      <c r="E4028" s="9" t="str">
        <f>IF(DADOS!C4028="","",DADOS!C4028)</f>
        <v/>
      </c>
      <c r="F4028" s="9" t="str">
        <f>IF(DADOS!E4028="","",DADOS!E4028)</f>
        <v/>
      </c>
      <c r="G4028" s="9" t="str">
        <f>IF(DADOS!F4028="","",DADOS!F4028)</f>
        <v/>
      </c>
      <c r="K4028" s="6" t="str">
        <f t="shared" si="315"/>
        <v/>
      </c>
      <c r="L4028" s="7" t="str">
        <f t="shared" si="316"/>
        <v/>
      </c>
      <c r="M4028" s="7" t="str">
        <f t="shared" si="313"/>
        <v/>
      </c>
      <c r="N4028" s="7" t="str">
        <f t="shared" si="317"/>
        <v/>
      </c>
      <c r="O4028" s="8"/>
      <c r="P4028" s="26"/>
      <c r="S4028" s="10" t="str">
        <f t="shared" si="314"/>
        <v/>
      </c>
    </row>
    <row r="4029" spans="5:19" x14ac:dyDescent="0.3">
      <c r="E4029" s="9" t="str">
        <f>IF(DADOS!C4029="","",DADOS!C4029)</f>
        <v/>
      </c>
      <c r="F4029" s="9" t="str">
        <f>IF(DADOS!E4029="","",DADOS!E4029)</f>
        <v/>
      </c>
      <c r="G4029" s="9" t="str">
        <f>IF(DADOS!F4029="","",DADOS!F4029)</f>
        <v/>
      </c>
      <c r="K4029" s="6" t="str">
        <f t="shared" si="315"/>
        <v/>
      </c>
      <c r="L4029" s="7" t="str">
        <f t="shared" si="316"/>
        <v/>
      </c>
      <c r="M4029" s="7" t="str">
        <f t="shared" si="313"/>
        <v/>
      </c>
      <c r="N4029" s="7" t="str">
        <f t="shared" si="317"/>
        <v/>
      </c>
      <c r="O4029" s="8"/>
      <c r="P4029" s="26"/>
      <c r="S4029" s="10" t="str">
        <f t="shared" si="314"/>
        <v/>
      </c>
    </row>
    <row r="4030" spans="5:19" x14ac:dyDescent="0.3">
      <c r="E4030" s="9" t="str">
        <f>IF(DADOS!C4030="","",DADOS!C4030)</f>
        <v/>
      </c>
      <c r="F4030" s="9" t="str">
        <f>IF(DADOS!E4030="","",DADOS!E4030)</f>
        <v/>
      </c>
      <c r="G4030" s="9" t="str">
        <f>IF(DADOS!F4030="","",DADOS!F4030)</f>
        <v/>
      </c>
      <c r="K4030" s="6" t="str">
        <f t="shared" si="315"/>
        <v/>
      </c>
      <c r="L4030" s="7" t="str">
        <f t="shared" si="316"/>
        <v/>
      </c>
      <c r="M4030" s="7" t="str">
        <f t="shared" si="313"/>
        <v/>
      </c>
      <c r="N4030" s="7" t="str">
        <f t="shared" si="317"/>
        <v/>
      </c>
      <c r="O4030" s="8"/>
      <c r="P4030" s="26"/>
      <c r="S4030" s="10" t="str">
        <f t="shared" si="314"/>
        <v/>
      </c>
    </row>
    <row r="4031" spans="5:19" x14ac:dyDescent="0.3">
      <c r="E4031" s="9" t="str">
        <f>IF(DADOS!C4031="","",DADOS!C4031)</f>
        <v/>
      </c>
      <c r="F4031" s="9" t="str">
        <f>IF(DADOS!E4031="","",DADOS!E4031)</f>
        <v/>
      </c>
      <c r="G4031" s="9" t="str">
        <f>IF(DADOS!F4031="","",DADOS!F4031)</f>
        <v/>
      </c>
      <c r="K4031" s="6" t="str">
        <f t="shared" si="315"/>
        <v/>
      </c>
      <c r="L4031" s="7" t="str">
        <f t="shared" si="316"/>
        <v/>
      </c>
      <c r="M4031" s="7" t="str">
        <f t="shared" si="313"/>
        <v/>
      </c>
      <c r="N4031" s="7" t="str">
        <f t="shared" si="317"/>
        <v/>
      </c>
      <c r="O4031" s="8"/>
      <c r="P4031" s="26"/>
      <c r="S4031" s="10" t="str">
        <f t="shared" si="314"/>
        <v/>
      </c>
    </row>
    <row r="4032" spans="5:19" x14ac:dyDescent="0.3">
      <c r="E4032" s="9" t="str">
        <f>IF(DADOS!C4032="","",DADOS!C4032)</f>
        <v/>
      </c>
      <c r="F4032" s="9" t="str">
        <f>IF(DADOS!E4032="","",DADOS!E4032)</f>
        <v/>
      </c>
      <c r="G4032" s="9" t="str">
        <f>IF(DADOS!F4032="","",DADOS!F4032)</f>
        <v/>
      </c>
      <c r="K4032" s="6" t="str">
        <f t="shared" si="315"/>
        <v/>
      </c>
      <c r="L4032" s="7" t="str">
        <f t="shared" si="316"/>
        <v/>
      </c>
      <c r="M4032" s="7" t="str">
        <f t="shared" si="313"/>
        <v/>
      </c>
      <c r="N4032" s="7" t="str">
        <f t="shared" si="317"/>
        <v/>
      </c>
      <c r="O4032" s="8"/>
      <c r="P4032" s="26"/>
      <c r="S4032" s="10" t="str">
        <f t="shared" si="314"/>
        <v/>
      </c>
    </row>
    <row r="4033" spans="5:19" x14ac:dyDescent="0.3">
      <c r="E4033" s="9" t="str">
        <f>IF(DADOS!C4033="","",DADOS!C4033)</f>
        <v/>
      </c>
      <c r="F4033" s="9" t="str">
        <f>IF(DADOS!E4033="","",DADOS!E4033)</f>
        <v/>
      </c>
      <c r="G4033" s="9" t="str">
        <f>IF(DADOS!F4033="","",DADOS!F4033)</f>
        <v/>
      </c>
      <c r="K4033" s="6" t="str">
        <f t="shared" si="315"/>
        <v/>
      </c>
      <c r="L4033" s="7" t="str">
        <f t="shared" si="316"/>
        <v/>
      </c>
      <c r="M4033" s="7" t="str">
        <f t="shared" si="313"/>
        <v/>
      </c>
      <c r="N4033" s="7" t="str">
        <f t="shared" si="317"/>
        <v/>
      </c>
      <c r="O4033" s="8"/>
      <c r="P4033" s="26"/>
      <c r="S4033" s="10" t="str">
        <f t="shared" si="314"/>
        <v/>
      </c>
    </row>
    <row r="4034" spans="5:19" x14ac:dyDescent="0.3">
      <c r="E4034" s="9" t="str">
        <f>IF(DADOS!C4034="","",DADOS!C4034)</f>
        <v/>
      </c>
      <c r="F4034" s="9" t="str">
        <f>IF(DADOS!E4034="","",DADOS!E4034)</f>
        <v/>
      </c>
      <c r="G4034" s="9" t="str">
        <f>IF(DADOS!F4034="","",DADOS!F4034)</f>
        <v/>
      </c>
      <c r="K4034" s="6" t="str">
        <f t="shared" si="315"/>
        <v/>
      </c>
      <c r="L4034" s="7" t="str">
        <f t="shared" si="316"/>
        <v/>
      </c>
      <c r="M4034" s="7" t="str">
        <f t="shared" si="313"/>
        <v/>
      </c>
      <c r="N4034" s="7" t="str">
        <f t="shared" si="317"/>
        <v/>
      </c>
      <c r="O4034" s="8"/>
      <c r="P4034" s="26"/>
      <c r="S4034" s="10" t="str">
        <f t="shared" si="314"/>
        <v/>
      </c>
    </row>
    <row r="4035" spans="5:19" x14ac:dyDescent="0.3">
      <c r="E4035" s="9" t="str">
        <f>IF(DADOS!C4035="","",DADOS!C4035)</f>
        <v/>
      </c>
      <c r="F4035" s="9" t="str">
        <f>IF(DADOS!E4035="","",DADOS!E4035)</f>
        <v/>
      </c>
      <c r="G4035" s="9" t="str">
        <f>IF(DADOS!F4035="","",DADOS!F4035)</f>
        <v/>
      </c>
      <c r="K4035" s="6" t="str">
        <f t="shared" si="315"/>
        <v/>
      </c>
      <c r="L4035" s="7" t="str">
        <f t="shared" si="316"/>
        <v/>
      </c>
      <c r="M4035" s="7" t="str">
        <f t="shared" ref="M4035:M4098" si="318">IF(L4035="","",L4035*G4035)</f>
        <v/>
      </c>
      <c r="N4035" s="7" t="str">
        <f t="shared" si="317"/>
        <v/>
      </c>
      <c r="O4035" s="8"/>
      <c r="P4035" s="26"/>
      <c r="S4035" s="10" t="str">
        <f t="shared" ref="S4035:S4098" si="319">IF(R4035="","",SUMIFS($N$3:$N$10000,$E$3:$E$10000,R4035))</f>
        <v/>
      </c>
    </row>
    <row r="4036" spans="5:19" x14ac:dyDescent="0.3">
      <c r="E4036" s="9" t="str">
        <f>IF(DADOS!C4036="","",DADOS!C4036)</f>
        <v/>
      </c>
      <c r="F4036" s="9" t="str">
        <f>IF(DADOS!E4036="","",DADOS!E4036)</f>
        <v/>
      </c>
      <c r="G4036" s="9" t="str">
        <f>IF(DADOS!F4036="","",DADOS!F4036)</f>
        <v/>
      </c>
      <c r="K4036" s="6" t="str">
        <f t="shared" ref="K4036:K4099" si="320">IF(F4036="","",F4036/PI())</f>
        <v/>
      </c>
      <c r="L4036" s="7" t="str">
        <f t="shared" ref="L4036:L4099" si="321">IF(K4036="","",(PI()*K4036^2)/40000)</f>
        <v/>
      </c>
      <c r="M4036" s="7" t="str">
        <f t="shared" si="318"/>
        <v/>
      </c>
      <c r="N4036" s="7" t="str">
        <f t="shared" ref="N4036:N4099" si="322">IF(M4036="","",M4036*N$1)</f>
        <v/>
      </c>
      <c r="O4036" s="8"/>
      <c r="P4036" s="26"/>
      <c r="S4036" s="10" t="str">
        <f t="shared" si="319"/>
        <v/>
      </c>
    </row>
    <row r="4037" spans="5:19" x14ac:dyDescent="0.3">
      <c r="E4037" s="9" t="str">
        <f>IF(DADOS!C4037="","",DADOS!C4037)</f>
        <v/>
      </c>
      <c r="F4037" s="9" t="str">
        <f>IF(DADOS!E4037="","",DADOS!E4037)</f>
        <v/>
      </c>
      <c r="G4037" s="9" t="str">
        <f>IF(DADOS!F4037="","",DADOS!F4037)</f>
        <v/>
      </c>
      <c r="K4037" s="6" t="str">
        <f t="shared" si="320"/>
        <v/>
      </c>
      <c r="L4037" s="7" t="str">
        <f t="shared" si="321"/>
        <v/>
      </c>
      <c r="M4037" s="7" t="str">
        <f t="shared" si="318"/>
        <v/>
      </c>
      <c r="N4037" s="7" t="str">
        <f t="shared" si="322"/>
        <v/>
      </c>
      <c r="O4037" s="8"/>
      <c r="P4037" s="26"/>
      <c r="S4037" s="10" t="str">
        <f t="shared" si="319"/>
        <v/>
      </c>
    </row>
    <row r="4038" spans="5:19" x14ac:dyDescent="0.3">
      <c r="E4038" s="9" t="str">
        <f>IF(DADOS!C4038="","",DADOS!C4038)</f>
        <v/>
      </c>
      <c r="F4038" s="9" t="str">
        <f>IF(DADOS!E4038="","",DADOS!E4038)</f>
        <v/>
      </c>
      <c r="G4038" s="9" t="str">
        <f>IF(DADOS!F4038="","",DADOS!F4038)</f>
        <v/>
      </c>
      <c r="K4038" s="6" t="str">
        <f t="shared" si="320"/>
        <v/>
      </c>
      <c r="L4038" s="7" t="str">
        <f t="shared" si="321"/>
        <v/>
      </c>
      <c r="M4038" s="7" t="str">
        <f t="shared" si="318"/>
        <v/>
      </c>
      <c r="N4038" s="7" t="str">
        <f t="shared" si="322"/>
        <v/>
      </c>
      <c r="O4038" s="8"/>
      <c r="P4038" s="26"/>
      <c r="S4038" s="10" t="str">
        <f t="shared" si="319"/>
        <v/>
      </c>
    </row>
    <row r="4039" spans="5:19" x14ac:dyDescent="0.3">
      <c r="E4039" s="9" t="str">
        <f>IF(DADOS!C4039="","",DADOS!C4039)</f>
        <v/>
      </c>
      <c r="F4039" s="9" t="str">
        <f>IF(DADOS!E4039="","",DADOS!E4039)</f>
        <v/>
      </c>
      <c r="G4039" s="9" t="str">
        <f>IF(DADOS!F4039="","",DADOS!F4039)</f>
        <v/>
      </c>
      <c r="K4039" s="6" t="str">
        <f t="shared" si="320"/>
        <v/>
      </c>
      <c r="L4039" s="7" t="str">
        <f t="shared" si="321"/>
        <v/>
      </c>
      <c r="M4039" s="7" t="str">
        <f t="shared" si="318"/>
        <v/>
      </c>
      <c r="N4039" s="7" t="str">
        <f t="shared" si="322"/>
        <v/>
      </c>
      <c r="O4039" s="8"/>
      <c r="P4039" s="26"/>
      <c r="S4039" s="10" t="str">
        <f t="shared" si="319"/>
        <v/>
      </c>
    </row>
    <row r="4040" spans="5:19" x14ac:dyDescent="0.3">
      <c r="E4040" s="9" t="str">
        <f>IF(DADOS!C4040="","",DADOS!C4040)</f>
        <v/>
      </c>
      <c r="F4040" s="9" t="str">
        <f>IF(DADOS!E4040="","",DADOS!E4040)</f>
        <v/>
      </c>
      <c r="G4040" s="9" t="str">
        <f>IF(DADOS!F4040="","",DADOS!F4040)</f>
        <v/>
      </c>
      <c r="K4040" s="6" t="str">
        <f t="shared" si="320"/>
        <v/>
      </c>
      <c r="L4040" s="7" t="str">
        <f t="shared" si="321"/>
        <v/>
      </c>
      <c r="M4040" s="7" t="str">
        <f t="shared" si="318"/>
        <v/>
      </c>
      <c r="N4040" s="7" t="str">
        <f t="shared" si="322"/>
        <v/>
      </c>
      <c r="O4040" s="8"/>
      <c r="P4040" s="26"/>
      <c r="S4040" s="10" t="str">
        <f t="shared" si="319"/>
        <v/>
      </c>
    </row>
    <row r="4041" spans="5:19" x14ac:dyDescent="0.3">
      <c r="E4041" s="9" t="str">
        <f>IF(DADOS!C4041="","",DADOS!C4041)</f>
        <v/>
      </c>
      <c r="F4041" s="9" t="str">
        <f>IF(DADOS!E4041="","",DADOS!E4041)</f>
        <v/>
      </c>
      <c r="G4041" s="9" t="str">
        <f>IF(DADOS!F4041="","",DADOS!F4041)</f>
        <v/>
      </c>
      <c r="K4041" s="6" t="str">
        <f t="shared" si="320"/>
        <v/>
      </c>
      <c r="L4041" s="7" t="str">
        <f t="shared" si="321"/>
        <v/>
      </c>
      <c r="M4041" s="7" t="str">
        <f t="shared" si="318"/>
        <v/>
      </c>
      <c r="N4041" s="7" t="str">
        <f t="shared" si="322"/>
        <v/>
      </c>
      <c r="O4041" s="8"/>
      <c r="P4041" s="26"/>
      <c r="S4041" s="10" t="str">
        <f t="shared" si="319"/>
        <v/>
      </c>
    </row>
    <row r="4042" spans="5:19" x14ac:dyDescent="0.3">
      <c r="E4042" s="9" t="str">
        <f>IF(DADOS!C4042="","",DADOS!C4042)</f>
        <v/>
      </c>
      <c r="F4042" s="9" t="str">
        <f>IF(DADOS!E4042="","",DADOS!E4042)</f>
        <v/>
      </c>
      <c r="G4042" s="9" t="str">
        <f>IF(DADOS!F4042="","",DADOS!F4042)</f>
        <v/>
      </c>
      <c r="K4042" s="6" t="str">
        <f t="shared" si="320"/>
        <v/>
      </c>
      <c r="L4042" s="7" t="str">
        <f t="shared" si="321"/>
        <v/>
      </c>
      <c r="M4042" s="7" t="str">
        <f t="shared" si="318"/>
        <v/>
      </c>
      <c r="N4042" s="7" t="str">
        <f t="shared" si="322"/>
        <v/>
      </c>
      <c r="O4042" s="8"/>
      <c r="P4042" s="26"/>
      <c r="S4042" s="10" t="str">
        <f t="shared" si="319"/>
        <v/>
      </c>
    </row>
    <row r="4043" spans="5:19" x14ac:dyDescent="0.3">
      <c r="E4043" s="9" t="str">
        <f>IF(DADOS!C4043="","",DADOS!C4043)</f>
        <v/>
      </c>
      <c r="F4043" s="9" t="str">
        <f>IF(DADOS!E4043="","",DADOS!E4043)</f>
        <v/>
      </c>
      <c r="G4043" s="9" t="str">
        <f>IF(DADOS!F4043="","",DADOS!F4043)</f>
        <v/>
      </c>
      <c r="K4043" s="6" t="str">
        <f t="shared" si="320"/>
        <v/>
      </c>
      <c r="L4043" s="7" t="str">
        <f t="shared" si="321"/>
        <v/>
      </c>
      <c r="M4043" s="7" t="str">
        <f t="shared" si="318"/>
        <v/>
      </c>
      <c r="N4043" s="7" t="str">
        <f t="shared" si="322"/>
        <v/>
      </c>
      <c r="O4043" s="8"/>
      <c r="P4043" s="26"/>
      <c r="S4043" s="10" t="str">
        <f t="shared" si="319"/>
        <v/>
      </c>
    </row>
    <row r="4044" spans="5:19" x14ac:dyDescent="0.3">
      <c r="E4044" s="9" t="str">
        <f>IF(DADOS!C4044="","",DADOS!C4044)</f>
        <v/>
      </c>
      <c r="F4044" s="9" t="str">
        <f>IF(DADOS!E4044="","",DADOS!E4044)</f>
        <v/>
      </c>
      <c r="G4044" s="9" t="str">
        <f>IF(DADOS!F4044="","",DADOS!F4044)</f>
        <v/>
      </c>
      <c r="K4044" s="6" t="str">
        <f t="shared" si="320"/>
        <v/>
      </c>
      <c r="L4044" s="7" t="str">
        <f t="shared" si="321"/>
        <v/>
      </c>
      <c r="M4044" s="7" t="str">
        <f t="shared" si="318"/>
        <v/>
      </c>
      <c r="N4044" s="7" t="str">
        <f t="shared" si="322"/>
        <v/>
      </c>
      <c r="O4044" s="8"/>
      <c r="P4044" s="26"/>
      <c r="S4044" s="10" t="str">
        <f t="shared" si="319"/>
        <v/>
      </c>
    </row>
    <row r="4045" spans="5:19" x14ac:dyDescent="0.3">
      <c r="E4045" s="9" t="str">
        <f>IF(DADOS!C4045="","",DADOS!C4045)</f>
        <v/>
      </c>
      <c r="F4045" s="9" t="str">
        <f>IF(DADOS!E4045="","",DADOS!E4045)</f>
        <v/>
      </c>
      <c r="G4045" s="9" t="str">
        <f>IF(DADOS!F4045="","",DADOS!F4045)</f>
        <v/>
      </c>
      <c r="K4045" s="6" t="str">
        <f t="shared" si="320"/>
        <v/>
      </c>
      <c r="L4045" s="7" t="str">
        <f t="shared" si="321"/>
        <v/>
      </c>
      <c r="M4045" s="7" t="str">
        <f t="shared" si="318"/>
        <v/>
      </c>
      <c r="N4045" s="7" t="str">
        <f t="shared" si="322"/>
        <v/>
      </c>
      <c r="O4045" s="8"/>
      <c r="P4045" s="26"/>
      <c r="S4045" s="10" t="str">
        <f t="shared" si="319"/>
        <v/>
      </c>
    </row>
    <row r="4046" spans="5:19" x14ac:dyDescent="0.3">
      <c r="E4046" s="9" t="str">
        <f>IF(DADOS!C4046="","",DADOS!C4046)</f>
        <v/>
      </c>
      <c r="F4046" s="9" t="str">
        <f>IF(DADOS!E4046="","",DADOS!E4046)</f>
        <v/>
      </c>
      <c r="G4046" s="9" t="str">
        <f>IF(DADOS!F4046="","",DADOS!F4046)</f>
        <v/>
      </c>
      <c r="K4046" s="6" t="str">
        <f t="shared" si="320"/>
        <v/>
      </c>
      <c r="L4046" s="7" t="str">
        <f t="shared" si="321"/>
        <v/>
      </c>
      <c r="M4046" s="7" t="str">
        <f t="shared" si="318"/>
        <v/>
      </c>
      <c r="N4046" s="7" t="str">
        <f t="shared" si="322"/>
        <v/>
      </c>
      <c r="O4046" s="8"/>
      <c r="P4046" s="26"/>
      <c r="S4046" s="10" t="str">
        <f t="shared" si="319"/>
        <v/>
      </c>
    </row>
    <row r="4047" spans="5:19" x14ac:dyDescent="0.3">
      <c r="E4047" s="9" t="str">
        <f>IF(DADOS!C4047="","",DADOS!C4047)</f>
        <v/>
      </c>
      <c r="F4047" s="9" t="str">
        <f>IF(DADOS!E4047="","",DADOS!E4047)</f>
        <v/>
      </c>
      <c r="G4047" s="9" t="str">
        <f>IF(DADOS!F4047="","",DADOS!F4047)</f>
        <v/>
      </c>
      <c r="K4047" s="6" t="str">
        <f t="shared" si="320"/>
        <v/>
      </c>
      <c r="L4047" s="7" t="str">
        <f t="shared" si="321"/>
        <v/>
      </c>
      <c r="M4047" s="7" t="str">
        <f t="shared" si="318"/>
        <v/>
      </c>
      <c r="N4047" s="7" t="str">
        <f t="shared" si="322"/>
        <v/>
      </c>
      <c r="O4047" s="8"/>
      <c r="P4047" s="26"/>
      <c r="S4047" s="10" t="str">
        <f t="shared" si="319"/>
        <v/>
      </c>
    </row>
    <row r="4048" spans="5:19" x14ac:dyDescent="0.3">
      <c r="E4048" s="9" t="str">
        <f>IF(DADOS!C4048="","",DADOS!C4048)</f>
        <v/>
      </c>
      <c r="F4048" s="9" t="str">
        <f>IF(DADOS!E4048="","",DADOS!E4048)</f>
        <v/>
      </c>
      <c r="G4048" s="9" t="str">
        <f>IF(DADOS!F4048="","",DADOS!F4048)</f>
        <v/>
      </c>
      <c r="K4048" s="6" t="str">
        <f t="shared" si="320"/>
        <v/>
      </c>
      <c r="L4048" s="7" t="str">
        <f t="shared" si="321"/>
        <v/>
      </c>
      <c r="M4048" s="7" t="str">
        <f t="shared" si="318"/>
        <v/>
      </c>
      <c r="N4048" s="7" t="str">
        <f t="shared" si="322"/>
        <v/>
      </c>
      <c r="O4048" s="8"/>
      <c r="P4048" s="26"/>
      <c r="S4048" s="10" t="str">
        <f t="shared" si="319"/>
        <v/>
      </c>
    </row>
    <row r="4049" spans="5:19" x14ac:dyDescent="0.3">
      <c r="E4049" s="9" t="str">
        <f>IF(DADOS!C4049="","",DADOS!C4049)</f>
        <v/>
      </c>
      <c r="F4049" s="9" t="str">
        <f>IF(DADOS!E4049="","",DADOS!E4049)</f>
        <v/>
      </c>
      <c r="G4049" s="9" t="str">
        <f>IF(DADOS!F4049="","",DADOS!F4049)</f>
        <v/>
      </c>
      <c r="K4049" s="6" t="str">
        <f t="shared" si="320"/>
        <v/>
      </c>
      <c r="L4049" s="7" t="str">
        <f t="shared" si="321"/>
        <v/>
      </c>
      <c r="M4049" s="7" t="str">
        <f t="shared" si="318"/>
        <v/>
      </c>
      <c r="N4049" s="7" t="str">
        <f t="shared" si="322"/>
        <v/>
      </c>
      <c r="O4049" s="8"/>
      <c r="P4049" s="26"/>
      <c r="S4049" s="10" t="str">
        <f t="shared" si="319"/>
        <v/>
      </c>
    </row>
    <row r="4050" spans="5:19" x14ac:dyDescent="0.3">
      <c r="E4050" s="9" t="str">
        <f>IF(DADOS!C4050="","",DADOS!C4050)</f>
        <v/>
      </c>
      <c r="F4050" s="9" t="str">
        <f>IF(DADOS!E4050="","",DADOS!E4050)</f>
        <v/>
      </c>
      <c r="G4050" s="9" t="str">
        <f>IF(DADOS!F4050="","",DADOS!F4050)</f>
        <v/>
      </c>
      <c r="K4050" s="6" t="str">
        <f t="shared" si="320"/>
        <v/>
      </c>
      <c r="L4050" s="7" t="str">
        <f t="shared" si="321"/>
        <v/>
      </c>
      <c r="M4050" s="7" t="str">
        <f t="shared" si="318"/>
        <v/>
      </c>
      <c r="N4050" s="7" t="str">
        <f t="shared" si="322"/>
        <v/>
      </c>
      <c r="O4050" s="8"/>
      <c r="P4050" s="26"/>
      <c r="S4050" s="10" t="str">
        <f t="shared" si="319"/>
        <v/>
      </c>
    </row>
    <row r="4051" spans="5:19" x14ac:dyDescent="0.3">
      <c r="E4051" s="9" t="str">
        <f>IF(DADOS!C4051="","",DADOS!C4051)</f>
        <v/>
      </c>
      <c r="F4051" s="9" t="str">
        <f>IF(DADOS!E4051="","",DADOS!E4051)</f>
        <v/>
      </c>
      <c r="G4051" s="9" t="str">
        <f>IF(DADOS!F4051="","",DADOS!F4051)</f>
        <v/>
      </c>
      <c r="K4051" s="6" t="str">
        <f t="shared" si="320"/>
        <v/>
      </c>
      <c r="L4051" s="7" t="str">
        <f t="shared" si="321"/>
        <v/>
      </c>
      <c r="M4051" s="7" t="str">
        <f t="shared" si="318"/>
        <v/>
      </c>
      <c r="N4051" s="7" t="str">
        <f t="shared" si="322"/>
        <v/>
      </c>
      <c r="O4051" s="8"/>
      <c r="P4051" s="26"/>
      <c r="S4051" s="10" t="str">
        <f t="shared" si="319"/>
        <v/>
      </c>
    </row>
    <row r="4052" spans="5:19" x14ac:dyDescent="0.3">
      <c r="E4052" s="9" t="str">
        <f>IF(DADOS!C4052="","",DADOS!C4052)</f>
        <v/>
      </c>
      <c r="F4052" s="9" t="str">
        <f>IF(DADOS!E4052="","",DADOS!E4052)</f>
        <v/>
      </c>
      <c r="G4052" s="9" t="str">
        <f>IF(DADOS!F4052="","",DADOS!F4052)</f>
        <v/>
      </c>
      <c r="K4052" s="6" t="str">
        <f t="shared" si="320"/>
        <v/>
      </c>
      <c r="L4052" s="7" t="str">
        <f t="shared" si="321"/>
        <v/>
      </c>
      <c r="M4052" s="7" t="str">
        <f t="shared" si="318"/>
        <v/>
      </c>
      <c r="N4052" s="7" t="str">
        <f t="shared" si="322"/>
        <v/>
      </c>
      <c r="O4052" s="8"/>
      <c r="P4052" s="26"/>
      <c r="S4052" s="10" t="str">
        <f t="shared" si="319"/>
        <v/>
      </c>
    </row>
    <row r="4053" spans="5:19" x14ac:dyDescent="0.3">
      <c r="E4053" s="9" t="str">
        <f>IF(DADOS!C4053="","",DADOS!C4053)</f>
        <v/>
      </c>
      <c r="F4053" s="9" t="str">
        <f>IF(DADOS!E4053="","",DADOS!E4053)</f>
        <v/>
      </c>
      <c r="G4053" s="9" t="str">
        <f>IF(DADOS!F4053="","",DADOS!F4053)</f>
        <v/>
      </c>
      <c r="K4053" s="6" t="str">
        <f t="shared" si="320"/>
        <v/>
      </c>
      <c r="L4053" s="7" t="str">
        <f t="shared" si="321"/>
        <v/>
      </c>
      <c r="M4053" s="7" t="str">
        <f t="shared" si="318"/>
        <v/>
      </c>
      <c r="N4053" s="7" t="str">
        <f t="shared" si="322"/>
        <v/>
      </c>
      <c r="O4053" s="8"/>
      <c r="P4053" s="26"/>
      <c r="S4053" s="10" t="str">
        <f t="shared" si="319"/>
        <v/>
      </c>
    </row>
    <row r="4054" spans="5:19" x14ac:dyDescent="0.3">
      <c r="E4054" s="9" t="str">
        <f>IF(DADOS!C4054="","",DADOS!C4054)</f>
        <v/>
      </c>
      <c r="F4054" s="9" t="str">
        <f>IF(DADOS!E4054="","",DADOS!E4054)</f>
        <v/>
      </c>
      <c r="G4054" s="9" t="str">
        <f>IF(DADOS!F4054="","",DADOS!F4054)</f>
        <v/>
      </c>
      <c r="K4054" s="6" t="str">
        <f t="shared" si="320"/>
        <v/>
      </c>
      <c r="L4054" s="7" t="str">
        <f t="shared" si="321"/>
        <v/>
      </c>
      <c r="M4054" s="7" t="str">
        <f t="shared" si="318"/>
        <v/>
      </c>
      <c r="N4054" s="7" t="str">
        <f t="shared" si="322"/>
        <v/>
      </c>
      <c r="O4054" s="8"/>
      <c r="P4054" s="26"/>
      <c r="S4054" s="10" t="str">
        <f t="shared" si="319"/>
        <v/>
      </c>
    </row>
    <row r="4055" spans="5:19" x14ac:dyDescent="0.3">
      <c r="E4055" s="9" t="str">
        <f>IF(DADOS!C4055="","",DADOS!C4055)</f>
        <v/>
      </c>
      <c r="F4055" s="9" t="str">
        <f>IF(DADOS!E4055="","",DADOS!E4055)</f>
        <v/>
      </c>
      <c r="G4055" s="9" t="str">
        <f>IF(DADOS!F4055="","",DADOS!F4055)</f>
        <v/>
      </c>
      <c r="K4055" s="6" t="str">
        <f t="shared" si="320"/>
        <v/>
      </c>
      <c r="L4055" s="7" t="str">
        <f t="shared" si="321"/>
        <v/>
      </c>
      <c r="M4055" s="7" t="str">
        <f t="shared" si="318"/>
        <v/>
      </c>
      <c r="N4055" s="7" t="str">
        <f t="shared" si="322"/>
        <v/>
      </c>
      <c r="O4055" s="8"/>
      <c r="P4055" s="26"/>
      <c r="S4055" s="10" t="str">
        <f t="shared" si="319"/>
        <v/>
      </c>
    </row>
    <row r="4056" spans="5:19" x14ac:dyDescent="0.3">
      <c r="E4056" s="9" t="str">
        <f>IF(DADOS!C4056="","",DADOS!C4056)</f>
        <v/>
      </c>
      <c r="F4056" s="9" t="str">
        <f>IF(DADOS!E4056="","",DADOS!E4056)</f>
        <v/>
      </c>
      <c r="G4056" s="9" t="str">
        <f>IF(DADOS!F4056="","",DADOS!F4056)</f>
        <v/>
      </c>
      <c r="K4056" s="6" t="str">
        <f t="shared" si="320"/>
        <v/>
      </c>
      <c r="L4056" s="7" t="str">
        <f t="shared" si="321"/>
        <v/>
      </c>
      <c r="M4056" s="7" t="str">
        <f t="shared" si="318"/>
        <v/>
      </c>
      <c r="N4056" s="7" t="str">
        <f t="shared" si="322"/>
        <v/>
      </c>
      <c r="O4056" s="8"/>
      <c r="P4056" s="26"/>
      <c r="S4056" s="10" t="str">
        <f t="shared" si="319"/>
        <v/>
      </c>
    </row>
    <row r="4057" spans="5:19" x14ac:dyDescent="0.3">
      <c r="E4057" s="9" t="str">
        <f>IF(DADOS!C4057="","",DADOS!C4057)</f>
        <v/>
      </c>
      <c r="F4057" s="9" t="str">
        <f>IF(DADOS!E4057="","",DADOS!E4057)</f>
        <v/>
      </c>
      <c r="G4057" s="9" t="str">
        <f>IF(DADOS!F4057="","",DADOS!F4057)</f>
        <v/>
      </c>
      <c r="K4057" s="6" t="str">
        <f t="shared" si="320"/>
        <v/>
      </c>
      <c r="L4057" s="7" t="str">
        <f t="shared" si="321"/>
        <v/>
      </c>
      <c r="M4057" s="7" t="str">
        <f t="shared" si="318"/>
        <v/>
      </c>
      <c r="N4057" s="7" t="str">
        <f t="shared" si="322"/>
        <v/>
      </c>
      <c r="O4057" s="8"/>
      <c r="P4057" s="26"/>
      <c r="S4057" s="10" t="str">
        <f t="shared" si="319"/>
        <v/>
      </c>
    </row>
    <row r="4058" spans="5:19" x14ac:dyDescent="0.3">
      <c r="E4058" s="9" t="str">
        <f>IF(DADOS!C4058="","",DADOS!C4058)</f>
        <v/>
      </c>
      <c r="F4058" s="9" t="str">
        <f>IF(DADOS!E4058="","",DADOS!E4058)</f>
        <v/>
      </c>
      <c r="G4058" s="9" t="str">
        <f>IF(DADOS!F4058="","",DADOS!F4058)</f>
        <v/>
      </c>
      <c r="K4058" s="6" t="str">
        <f t="shared" si="320"/>
        <v/>
      </c>
      <c r="L4058" s="7" t="str">
        <f t="shared" si="321"/>
        <v/>
      </c>
      <c r="M4058" s="7" t="str">
        <f t="shared" si="318"/>
        <v/>
      </c>
      <c r="N4058" s="7" t="str">
        <f t="shared" si="322"/>
        <v/>
      </c>
      <c r="O4058" s="8"/>
      <c r="P4058" s="26"/>
      <c r="S4058" s="10" t="str">
        <f t="shared" si="319"/>
        <v/>
      </c>
    </row>
    <row r="4059" spans="5:19" x14ac:dyDescent="0.3">
      <c r="E4059" s="9" t="str">
        <f>IF(DADOS!C4059="","",DADOS!C4059)</f>
        <v/>
      </c>
      <c r="F4059" s="9" t="str">
        <f>IF(DADOS!E4059="","",DADOS!E4059)</f>
        <v/>
      </c>
      <c r="G4059" s="9" t="str">
        <f>IF(DADOS!F4059="","",DADOS!F4059)</f>
        <v/>
      </c>
      <c r="K4059" s="6" t="str">
        <f t="shared" si="320"/>
        <v/>
      </c>
      <c r="L4059" s="7" t="str">
        <f t="shared" si="321"/>
        <v/>
      </c>
      <c r="M4059" s="7" t="str">
        <f t="shared" si="318"/>
        <v/>
      </c>
      <c r="N4059" s="7" t="str">
        <f t="shared" si="322"/>
        <v/>
      </c>
      <c r="O4059" s="8"/>
      <c r="P4059" s="26"/>
      <c r="S4059" s="10" t="str">
        <f t="shared" si="319"/>
        <v/>
      </c>
    </row>
    <row r="4060" spans="5:19" x14ac:dyDescent="0.3">
      <c r="E4060" s="9" t="str">
        <f>IF(DADOS!C4060="","",DADOS!C4060)</f>
        <v/>
      </c>
      <c r="F4060" s="9" t="str">
        <f>IF(DADOS!E4060="","",DADOS!E4060)</f>
        <v/>
      </c>
      <c r="G4060" s="9" t="str">
        <f>IF(DADOS!F4060="","",DADOS!F4060)</f>
        <v/>
      </c>
      <c r="K4060" s="6" t="str">
        <f t="shared" si="320"/>
        <v/>
      </c>
      <c r="L4060" s="7" t="str">
        <f t="shared" si="321"/>
        <v/>
      </c>
      <c r="M4060" s="7" t="str">
        <f t="shared" si="318"/>
        <v/>
      </c>
      <c r="N4060" s="7" t="str">
        <f t="shared" si="322"/>
        <v/>
      </c>
      <c r="O4060" s="8"/>
      <c r="P4060" s="26"/>
      <c r="S4060" s="10" t="str">
        <f t="shared" si="319"/>
        <v/>
      </c>
    </row>
    <row r="4061" spans="5:19" x14ac:dyDescent="0.3">
      <c r="E4061" s="9" t="str">
        <f>IF(DADOS!C4061="","",DADOS!C4061)</f>
        <v/>
      </c>
      <c r="F4061" s="9" t="str">
        <f>IF(DADOS!E4061="","",DADOS!E4061)</f>
        <v/>
      </c>
      <c r="G4061" s="9" t="str">
        <f>IF(DADOS!F4061="","",DADOS!F4061)</f>
        <v/>
      </c>
      <c r="K4061" s="6" t="str">
        <f t="shared" si="320"/>
        <v/>
      </c>
      <c r="L4061" s="7" t="str">
        <f t="shared" si="321"/>
        <v/>
      </c>
      <c r="M4061" s="7" t="str">
        <f t="shared" si="318"/>
        <v/>
      </c>
      <c r="N4061" s="7" t="str">
        <f t="shared" si="322"/>
        <v/>
      </c>
      <c r="O4061" s="8"/>
      <c r="P4061" s="26"/>
      <c r="S4061" s="10" t="str">
        <f t="shared" si="319"/>
        <v/>
      </c>
    </row>
    <row r="4062" spans="5:19" x14ac:dyDescent="0.3">
      <c r="E4062" s="9" t="str">
        <f>IF(DADOS!C4062="","",DADOS!C4062)</f>
        <v/>
      </c>
      <c r="F4062" s="9" t="str">
        <f>IF(DADOS!E4062="","",DADOS!E4062)</f>
        <v/>
      </c>
      <c r="G4062" s="9" t="str">
        <f>IF(DADOS!F4062="","",DADOS!F4062)</f>
        <v/>
      </c>
      <c r="K4062" s="6" t="str">
        <f t="shared" si="320"/>
        <v/>
      </c>
      <c r="L4062" s="7" t="str">
        <f t="shared" si="321"/>
        <v/>
      </c>
      <c r="M4062" s="7" t="str">
        <f t="shared" si="318"/>
        <v/>
      </c>
      <c r="N4062" s="7" t="str">
        <f t="shared" si="322"/>
        <v/>
      </c>
      <c r="O4062" s="8"/>
      <c r="P4062" s="26"/>
      <c r="S4062" s="10" t="str">
        <f t="shared" si="319"/>
        <v/>
      </c>
    </row>
    <row r="4063" spans="5:19" x14ac:dyDescent="0.3">
      <c r="E4063" s="9" t="str">
        <f>IF(DADOS!C4063="","",DADOS!C4063)</f>
        <v/>
      </c>
      <c r="F4063" s="9" t="str">
        <f>IF(DADOS!E4063="","",DADOS!E4063)</f>
        <v/>
      </c>
      <c r="G4063" s="9" t="str">
        <f>IF(DADOS!F4063="","",DADOS!F4063)</f>
        <v/>
      </c>
      <c r="K4063" s="6" t="str">
        <f t="shared" si="320"/>
        <v/>
      </c>
      <c r="L4063" s="7" t="str">
        <f t="shared" si="321"/>
        <v/>
      </c>
      <c r="M4063" s="7" t="str">
        <f t="shared" si="318"/>
        <v/>
      </c>
      <c r="N4063" s="7" t="str">
        <f t="shared" si="322"/>
        <v/>
      </c>
      <c r="O4063" s="8"/>
      <c r="P4063" s="26"/>
      <c r="S4063" s="10" t="str">
        <f t="shared" si="319"/>
        <v/>
      </c>
    </row>
    <row r="4064" spans="5:19" x14ac:dyDescent="0.3">
      <c r="E4064" s="9" t="str">
        <f>IF(DADOS!C4064="","",DADOS!C4064)</f>
        <v/>
      </c>
      <c r="F4064" s="9" t="str">
        <f>IF(DADOS!E4064="","",DADOS!E4064)</f>
        <v/>
      </c>
      <c r="G4064" s="9" t="str">
        <f>IF(DADOS!F4064="","",DADOS!F4064)</f>
        <v/>
      </c>
      <c r="K4064" s="6" t="str">
        <f t="shared" si="320"/>
        <v/>
      </c>
      <c r="L4064" s="7" t="str">
        <f t="shared" si="321"/>
        <v/>
      </c>
      <c r="M4064" s="7" t="str">
        <f t="shared" si="318"/>
        <v/>
      </c>
      <c r="N4064" s="7" t="str">
        <f t="shared" si="322"/>
        <v/>
      </c>
      <c r="O4064" s="8"/>
      <c r="P4064" s="26"/>
      <c r="S4064" s="10" t="str">
        <f t="shared" si="319"/>
        <v/>
      </c>
    </row>
    <row r="4065" spans="5:19" x14ac:dyDescent="0.3">
      <c r="E4065" s="9" t="str">
        <f>IF(DADOS!C4065="","",DADOS!C4065)</f>
        <v/>
      </c>
      <c r="F4065" s="9" t="str">
        <f>IF(DADOS!E4065="","",DADOS!E4065)</f>
        <v/>
      </c>
      <c r="G4065" s="9" t="str">
        <f>IF(DADOS!F4065="","",DADOS!F4065)</f>
        <v/>
      </c>
      <c r="K4065" s="6" t="str">
        <f t="shared" si="320"/>
        <v/>
      </c>
      <c r="L4065" s="7" t="str">
        <f t="shared" si="321"/>
        <v/>
      </c>
      <c r="M4065" s="7" t="str">
        <f t="shared" si="318"/>
        <v/>
      </c>
      <c r="N4065" s="7" t="str">
        <f t="shared" si="322"/>
        <v/>
      </c>
      <c r="O4065" s="8"/>
      <c r="P4065" s="26"/>
      <c r="S4065" s="10" t="str">
        <f t="shared" si="319"/>
        <v/>
      </c>
    </row>
    <row r="4066" spans="5:19" x14ac:dyDescent="0.3">
      <c r="E4066" s="9" t="str">
        <f>IF(DADOS!C4066="","",DADOS!C4066)</f>
        <v/>
      </c>
      <c r="F4066" s="9" t="str">
        <f>IF(DADOS!E4066="","",DADOS!E4066)</f>
        <v/>
      </c>
      <c r="G4066" s="9" t="str">
        <f>IF(DADOS!F4066="","",DADOS!F4066)</f>
        <v/>
      </c>
      <c r="K4066" s="6" t="str">
        <f t="shared" si="320"/>
        <v/>
      </c>
      <c r="L4066" s="7" t="str">
        <f t="shared" si="321"/>
        <v/>
      </c>
      <c r="M4066" s="7" t="str">
        <f t="shared" si="318"/>
        <v/>
      </c>
      <c r="N4066" s="7" t="str">
        <f t="shared" si="322"/>
        <v/>
      </c>
      <c r="O4066" s="8"/>
      <c r="P4066" s="26"/>
      <c r="S4066" s="10" t="str">
        <f t="shared" si="319"/>
        <v/>
      </c>
    </row>
    <row r="4067" spans="5:19" x14ac:dyDescent="0.3">
      <c r="E4067" s="9" t="str">
        <f>IF(DADOS!C4067="","",DADOS!C4067)</f>
        <v/>
      </c>
      <c r="F4067" s="9" t="str">
        <f>IF(DADOS!E4067="","",DADOS!E4067)</f>
        <v/>
      </c>
      <c r="G4067" s="9" t="str">
        <f>IF(DADOS!F4067="","",DADOS!F4067)</f>
        <v/>
      </c>
      <c r="K4067" s="6" t="str">
        <f t="shared" si="320"/>
        <v/>
      </c>
      <c r="L4067" s="7" t="str">
        <f t="shared" si="321"/>
        <v/>
      </c>
      <c r="M4067" s="7" t="str">
        <f t="shared" si="318"/>
        <v/>
      </c>
      <c r="N4067" s="7" t="str">
        <f t="shared" si="322"/>
        <v/>
      </c>
      <c r="O4067" s="8"/>
      <c r="P4067" s="26"/>
      <c r="S4067" s="10" t="str">
        <f t="shared" si="319"/>
        <v/>
      </c>
    </row>
    <row r="4068" spans="5:19" x14ac:dyDescent="0.3">
      <c r="E4068" s="9" t="str">
        <f>IF(DADOS!C4068="","",DADOS!C4068)</f>
        <v/>
      </c>
      <c r="F4068" s="9" t="str">
        <f>IF(DADOS!E4068="","",DADOS!E4068)</f>
        <v/>
      </c>
      <c r="G4068" s="9" t="str">
        <f>IF(DADOS!F4068="","",DADOS!F4068)</f>
        <v/>
      </c>
      <c r="K4068" s="6" t="str">
        <f t="shared" si="320"/>
        <v/>
      </c>
      <c r="L4068" s="7" t="str">
        <f t="shared" si="321"/>
        <v/>
      </c>
      <c r="M4068" s="7" t="str">
        <f t="shared" si="318"/>
        <v/>
      </c>
      <c r="N4068" s="7" t="str">
        <f t="shared" si="322"/>
        <v/>
      </c>
      <c r="O4068" s="8"/>
      <c r="P4068" s="26"/>
      <c r="S4068" s="10" t="str">
        <f t="shared" si="319"/>
        <v/>
      </c>
    </row>
    <row r="4069" spans="5:19" x14ac:dyDescent="0.3">
      <c r="E4069" s="9" t="str">
        <f>IF(DADOS!C4069="","",DADOS!C4069)</f>
        <v/>
      </c>
      <c r="F4069" s="9" t="str">
        <f>IF(DADOS!E4069="","",DADOS!E4069)</f>
        <v/>
      </c>
      <c r="G4069" s="9" t="str">
        <f>IF(DADOS!F4069="","",DADOS!F4069)</f>
        <v/>
      </c>
      <c r="K4069" s="6" t="str">
        <f t="shared" si="320"/>
        <v/>
      </c>
      <c r="L4069" s="7" t="str">
        <f t="shared" si="321"/>
        <v/>
      </c>
      <c r="M4069" s="7" t="str">
        <f t="shared" si="318"/>
        <v/>
      </c>
      <c r="N4069" s="7" t="str">
        <f t="shared" si="322"/>
        <v/>
      </c>
      <c r="O4069" s="8"/>
      <c r="P4069" s="26"/>
      <c r="S4069" s="10" t="str">
        <f t="shared" si="319"/>
        <v/>
      </c>
    </row>
    <row r="4070" spans="5:19" x14ac:dyDescent="0.3">
      <c r="E4070" s="9" t="str">
        <f>IF(DADOS!C4070="","",DADOS!C4070)</f>
        <v/>
      </c>
      <c r="F4070" s="9" t="str">
        <f>IF(DADOS!E4070="","",DADOS!E4070)</f>
        <v/>
      </c>
      <c r="G4070" s="9" t="str">
        <f>IF(DADOS!F4070="","",DADOS!F4070)</f>
        <v/>
      </c>
      <c r="K4070" s="6" t="str">
        <f t="shared" si="320"/>
        <v/>
      </c>
      <c r="L4070" s="7" t="str">
        <f t="shared" si="321"/>
        <v/>
      </c>
      <c r="M4070" s="7" t="str">
        <f t="shared" si="318"/>
        <v/>
      </c>
      <c r="N4070" s="7" t="str">
        <f t="shared" si="322"/>
        <v/>
      </c>
      <c r="O4070" s="8"/>
      <c r="P4070" s="26"/>
      <c r="S4070" s="10" t="str">
        <f t="shared" si="319"/>
        <v/>
      </c>
    </row>
    <row r="4071" spans="5:19" x14ac:dyDescent="0.3">
      <c r="E4071" s="9" t="str">
        <f>IF(DADOS!C4071="","",DADOS!C4071)</f>
        <v/>
      </c>
      <c r="F4071" s="9" t="str">
        <f>IF(DADOS!E4071="","",DADOS!E4071)</f>
        <v/>
      </c>
      <c r="G4071" s="9" t="str">
        <f>IF(DADOS!F4071="","",DADOS!F4071)</f>
        <v/>
      </c>
      <c r="K4071" s="6" t="str">
        <f t="shared" si="320"/>
        <v/>
      </c>
      <c r="L4071" s="7" t="str">
        <f t="shared" si="321"/>
        <v/>
      </c>
      <c r="M4071" s="7" t="str">
        <f t="shared" si="318"/>
        <v/>
      </c>
      <c r="N4071" s="7" t="str">
        <f t="shared" si="322"/>
        <v/>
      </c>
      <c r="O4071" s="8"/>
      <c r="P4071" s="26"/>
      <c r="S4071" s="10" t="str">
        <f t="shared" si="319"/>
        <v/>
      </c>
    </row>
    <row r="4072" spans="5:19" x14ac:dyDescent="0.3">
      <c r="E4072" s="9" t="str">
        <f>IF(DADOS!C4072="","",DADOS!C4072)</f>
        <v/>
      </c>
      <c r="F4072" s="9" t="str">
        <f>IF(DADOS!E4072="","",DADOS!E4072)</f>
        <v/>
      </c>
      <c r="G4072" s="9" t="str">
        <f>IF(DADOS!F4072="","",DADOS!F4072)</f>
        <v/>
      </c>
      <c r="K4072" s="6" t="str">
        <f t="shared" si="320"/>
        <v/>
      </c>
      <c r="L4072" s="7" t="str">
        <f t="shared" si="321"/>
        <v/>
      </c>
      <c r="M4072" s="7" t="str">
        <f t="shared" si="318"/>
        <v/>
      </c>
      <c r="N4072" s="7" t="str">
        <f t="shared" si="322"/>
        <v/>
      </c>
      <c r="O4072" s="8"/>
      <c r="P4072" s="26"/>
      <c r="S4072" s="10" t="str">
        <f t="shared" si="319"/>
        <v/>
      </c>
    </row>
    <row r="4073" spans="5:19" x14ac:dyDescent="0.3">
      <c r="E4073" s="9" t="str">
        <f>IF(DADOS!C4073="","",DADOS!C4073)</f>
        <v/>
      </c>
      <c r="F4073" s="9" t="str">
        <f>IF(DADOS!E4073="","",DADOS!E4073)</f>
        <v/>
      </c>
      <c r="G4073" s="9" t="str">
        <f>IF(DADOS!F4073="","",DADOS!F4073)</f>
        <v/>
      </c>
      <c r="K4073" s="6" t="str">
        <f t="shared" si="320"/>
        <v/>
      </c>
      <c r="L4073" s="7" t="str">
        <f t="shared" si="321"/>
        <v/>
      </c>
      <c r="M4073" s="7" t="str">
        <f t="shared" si="318"/>
        <v/>
      </c>
      <c r="N4073" s="7" t="str">
        <f t="shared" si="322"/>
        <v/>
      </c>
      <c r="O4073" s="8"/>
      <c r="P4073" s="26"/>
      <c r="S4073" s="10" t="str">
        <f t="shared" si="319"/>
        <v/>
      </c>
    </row>
    <row r="4074" spans="5:19" x14ac:dyDescent="0.3">
      <c r="E4074" s="9" t="str">
        <f>IF(DADOS!C4074="","",DADOS!C4074)</f>
        <v/>
      </c>
      <c r="F4074" s="9" t="str">
        <f>IF(DADOS!E4074="","",DADOS!E4074)</f>
        <v/>
      </c>
      <c r="G4074" s="9" t="str">
        <f>IF(DADOS!F4074="","",DADOS!F4074)</f>
        <v/>
      </c>
      <c r="K4074" s="6" t="str">
        <f t="shared" si="320"/>
        <v/>
      </c>
      <c r="L4074" s="7" t="str">
        <f t="shared" si="321"/>
        <v/>
      </c>
      <c r="M4074" s="7" t="str">
        <f t="shared" si="318"/>
        <v/>
      </c>
      <c r="N4074" s="7" t="str">
        <f t="shared" si="322"/>
        <v/>
      </c>
      <c r="O4074" s="8"/>
      <c r="P4074" s="26"/>
      <c r="S4074" s="10" t="str">
        <f t="shared" si="319"/>
        <v/>
      </c>
    </row>
    <row r="4075" spans="5:19" x14ac:dyDescent="0.3">
      <c r="E4075" s="9" t="str">
        <f>IF(DADOS!C4075="","",DADOS!C4075)</f>
        <v/>
      </c>
      <c r="F4075" s="9" t="str">
        <f>IF(DADOS!E4075="","",DADOS!E4075)</f>
        <v/>
      </c>
      <c r="G4075" s="9" t="str">
        <f>IF(DADOS!F4075="","",DADOS!F4075)</f>
        <v/>
      </c>
      <c r="K4075" s="6" t="str">
        <f t="shared" si="320"/>
        <v/>
      </c>
      <c r="L4075" s="7" t="str">
        <f t="shared" si="321"/>
        <v/>
      </c>
      <c r="M4075" s="7" t="str">
        <f t="shared" si="318"/>
        <v/>
      </c>
      <c r="N4075" s="7" t="str">
        <f t="shared" si="322"/>
        <v/>
      </c>
      <c r="O4075" s="8"/>
      <c r="P4075" s="26"/>
      <c r="S4075" s="10" t="str">
        <f t="shared" si="319"/>
        <v/>
      </c>
    </row>
    <row r="4076" spans="5:19" x14ac:dyDescent="0.3">
      <c r="E4076" s="9" t="str">
        <f>IF(DADOS!C4076="","",DADOS!C4076)</f>
        <v/>
      </c>
      <c r="F4076" s="9" t="str">
        <f>IF(DADOS!E4076="","",DADOS!E4076)</f>
        <v/>
      </c>
      <c r="G4076" s="9" t="str">
        <f>IF(DADOS!F4076="","",DADOS!F4076)</f>
        <v/>
      </c>
      <c r="K4076" s="6" t="str">
        <f t="shared" si="320"/>
        <v/>
      </c>
      <c r="L4076" s="7" t="str">
        <f t="shared" si="321"/>
        <v/>
      </c>
      <c r="M4076" s="7" t="str">
        <f t="shared" si="318"/>
        <v/>
      </c>
      <c r="N4076" s="7" t="str">
        <f t="shared" si="322"/>
        <v/>
      </c>
      <c r="O4076" s="8"/>
      <c r="P4076" s="26"/>
      <c r="S4076" s="10" t="str">
        <f t="shared" si="319"/>
        <v/>
      </c>
    </row>
    <row r="4077" spans="5:19" x14ac:dyDescent="0.3">
      <c r="E4077" s="9" t="str">
        <f>IF(DADOS!C4077="","",DADOS!C4077)</f>
        <v/>
      </c>
      <c r="F4077" s="9" t="str">
        <f>IF(DADOS!E4077="","",DADOS!E4077)</f>
        <v/>
      </c>
      <c r="G4077" s="9" t="str">
        <f>IF(DADOS!F4077="","",DADOS!F4077)</f>
        <v/>
      </c>
      <c r="K4077" s="6" t="str">
        <f t="shared" si="320"/>
        <v/>
      </c>
      <c r="L4077" s="7" t="str">
        <f t="shared" si="321"/>
        <v/>
      </c>
      <c r="M4077" s="7" t="str">
        <f t="shared" si="318"/>
        <v/>
      </c>
      <c r="N4077" s="7" t="str">
        <f t="shared" si="322"/>
        <v/>
      </c>
      <c r="O4077" s="8"/>
      <c r="P4077" s="26"/>
      <c r="S4077" s="10" t="str">
        <f t="shared" si="319"/>
        <v/>
      </c>
    </row>
    <row r="4078" spans="5:19" x14ac:dyDescent="0.3">
      <c r="E4078" s="9" t="str">
        <f>IF(DADOS!C4078="","",DADOS!C4078)</f>
        <v/>
      </c>
      <c r="F4078" s="9" t="str">
        <f>IF(DADOS!E4078="","",DADOS!E4078)</f>
        <v/>
      </c>
      <c r="G4078" s="9" t="str">
        <f>IF(DADOS!F4078="","",DADOS!F4078)</f>
        <v/>
      </c>
      <c r="K4078" s="6" t="str">
        <f t="shared" si="320"/>
        <v/>
      </c>
      <c r="L4078" s="7" t="str">
        <f t="shared" si="321"/>
        <v/>
      </c>
      <c r="M4078" s="7" t="str">
        <f t="shared" si="318"/>
        <v/>
      </c>
      <c r="N4078" s="7" t="str">
        <f t="shared" si="322"/>
        <v/>
      </c>
      <c r="O4078" s="8"/>
      <c r="P4078" s="26"/>
      <c r="S4078" s="10" t="str">
        <f t="shared" si="319"/>
        <v/>
      </c>
    </row>
    <row r="4079" spans="5:19" x14ac:dyDescent="0.3">
      <c r="E4079" s="9" t="str">
        <f>IF(DADOS!C4079="","",DADOS!C4079)</f>
        <v/>
      </c>
      <c r="F4079" s="9" t="str">
        <f>IF(DADOS!E4079="","",DADOS!E4079)</f>
        <v/>
      </c>
      <c r="G4079" s="9" t="str">
        <f>IF(DADOS!F4079="","",DADOS!F4079)</f>
        <v/>
      </c>
      <c r="K4079" s="6" t="str">
        <f t="shared" si="320"/>
        <v/>
      </c>
      <c r="L4079" s="7" t="str">
        <f t="shared" si="321"/>
        <v/>
      </c>
      <c r="M4079" s="7" t="str">
        <f t="shared" si="318"/>
        <v/>
      </c>
      <c r="N4079" s="7" t="str">
        <f t="shared" si="322"/>
        <v/>
      </c>
      <c r="O4079" s="8"/>
      <c r="P4079" s="26"/>
      <c r="S4079" s="10" t="str">
        <f t="shared" si="319"/>
        <v/>
      </c>
    </row>
    <row r="4080" spans="5:19" x14ac:dyDescent="0.3">
      <c r="E4080" s="9" t="str">
        <f>IF(DADOS!C4080="","",DADOS!C4080)</f>
        <v/>
      </c>
      <c r="F4080" s="9" t="str">
        <f>IF(DADOS!E4080="","",DADOS!E4080)</f>
        <v/>
      </c>
      <c r="G4080" s="9" t="str">
        <f>IF(DADOS!F4080="","",DADOS!F4080)</f>
        <v/>
      </c>
      <c r="K4080" s="6" t="str">
        <f t="shared" si="320"/>
        <v/>
      </c>
      <c r="L4080" s="7" t="str">
        <f t="shared" si="321"/>
        <v/>
      </c>
      <c r="M4080" s="7" t="str">
        <f t="shared" si="318"/>
        <v/>
      </c>
      <c r="N4080" s="7" t="str">
        <f t="shared" si="322"/>
        <v/>
      </c>
      <c r="O4080" s="8"/>
      <c r="P4080" s="26"/>
      <c r="S4080" s="10" t="str">
        <f t="shared" si="319"/>
        <v/>
      </c>
    </row>
    <row r="4081" spans="5:19" x14ac:dyDescent="0.3">
      <c r="E4081" s="9" t="str">
        <f>IF(DADOS!C4081="","",DADOS!C4081)</f>
        <v/>
      </c>
      <c r="F4081" s="9" t="str">
        <f>IF(DADOS!E4081="","",DADOS!E4081)</f>
        <v/>
      </c>
      <c r="G4081" s="9" t="str">
        <f>IF(DADOS!F4081="","",DADOS!F4081)</f>
        <v/>
      </c>
      <c r="K4081" s="6" t="str">
        <f t="shared" si="320"/>
        <v/>
      </c>
      <c r="L4081" s="7" t="str">
        <f t="shared" si="321"/>
        <v/>
      </c>
      <c r="M4081" s="7" t="str">
        <f t="shared" si="318"/>
        <v/>
      </c>
      <c r="N4081" s="7" t="str">
        <f t="shared" si="322"/>
        <v/>
      </c>
      <c r="O4081" s="8"/>
      <c r="P4081" s="26"/>
      <c r="S4081" s="10" t="str">
        <f t="shared" si="319"/>
        <v/>
      </c>
    </row>
    <row r="4082" spans="5:19" x14ac:dyDescent="0.3">
      <c r="E4082" s="9" t="str">
        <f>IF(DADOS!C4082="","",DADOS!C4082)</f>
        <v/>
      </c>
      <c r="F4082" s="9" t="str">
        <f>IF(DADOS!E4082="","",DADOS!E4082)</f>
        <v/>
      </c>
      <c r="G4082" s="9" t="str">
        <f>IF(DADOS!F4082="","",DADOS!F4082)</f>
        <v/>
      </c>
      <c r="K4082" s="6" t="str">
        <f t="shared" si="320"/>
        <v/>
      </c>
      <c r="L4082" s="7" t="str">
        <f t="shared" si="321"/>
        <v/>
      </c>
      <c r="M4082" s="7" t="str">
        <f t="shared" si="318"/>
        <v/>
      </c>
      <c r="N4082" s="7" t="str">
        <f t="shared" si="322"/>
        <v/>
      </c>
      <c r="O4082" s="8"/>
      <c r="P4082" s="26"/>
      <c r="S4082" s="10" t="str">
        <f t="shared" si="319"/>
        <v/>
      </c>
    </row>
    <row r="4083" spans="5:19" x14ac:dyDescent="0.3">
      <c r="E4083" s="9" t="str">
        <f>IF(DADOS!C4083="","",DADOS!C4083)</f>
        <v/>
      </c>
      <c r="F4083" s="9" t="str">
        <f>IF(DADOS!E4083="","",DADOS!E4083)</f>
        <v/>
      </c>
      <c r="G4083" s="9" t="str">
        <f>IF(DADOS!F4083="","",DADOS!F4083)</f>
        <v/>
      </c>
      <c r="K4083" s="6" t="str">
        <f t="shared" si="320"/>
        <v/>
      </c>
      <c r="L4083" s="7" t="str">
        <f t="shared" si="321"/>
        <v/>
      </c>
      <c r="M4083" s="7" t="str">
        <f t="shared" si="318"/>
        <v/>
      </c>
      <c r="N4083" s="7" t="str">
        <f t="shared" si="322"/>
        <v/>
      </c>
      <c r="O4083" s="8"/>
      <c r="P4083" s="26"/>
      <c r="S4083" s="10" t="str">
        <f t="shared" si="319"/>
        <v/>
      </c>
    </row>
    <row r="4084" spans="5:19" x14ac:dyDescent="0.3">
      <c r="E4084" s="9" t="str">
        <f>IF(DADOS!C4084="","",DADOS!C4084)</f>
        <v/>
      </c>
      <c r="F4084" s="9" t="str">
        <f>IF(DADOS!E4084="","",DADOS!E4084)</f>
        <v/>
      </c>
      <c r="G4084" s="9" t="str">
        <f>IF(DADOS!F4084="","",DADOS!F4084)</f>
        <v/>
      </c>
      <c r="K4084" s="6" t="str">
        <f t="shared" si="320"/>
        <v/>
      </c>
      <c r="L4084" s="7" t="str">
        <f t="shared" si="321"/>
        <v/>
      </c>
      <c r="M4084" s="7" t="str">
        <f t="shared" si="318"/>
        <v/>
      </c>
      <c r="N4084" s="7" t="str">
        <f t="shared" si="322"/>
        <v/>
      </c>
      <c r="O4084" s="8"/>
      <c r="P4084" s="26"/>
      <c r="S4084" s="10" t="str">
        <f t="shared" si="319"/>
        <v/>
      </c>
    </row>
    <row r="4085" spans="5:19" x14ac:dyDescent="0.3">
      <c r="E4085" s="9" t="str">
        <f>IF(DADOS!C4085="","",DADOS!C4085)</f>
        <v/>
      </c>
      <c r="F4085" s="9" t="str">
        <f>IF(DADOS!E4085="","",DADOS!E4085)</f>
        <v/>
      </c>
      <c r="G4085" s="9" t="str">
        <f>IF(DADOS!F4085="","",DADOS!F4085)</f>
        <v/>
      </c>
      <c r="K4085" s="6" t="str">
        <f t="shared" si="320"/>
        <v/>
      </c>
      <c r="L4085" s="7" t="str">
        <f t="shared" si="321"/>
        <v/>
      </c>
      <c r="M4085" s="7" t="str">
        <f t="shared" si="318"/>
        <v/>
      </c>
      <c r="N4085" s="7" t="str">
        <f t="shared" si="322"/>
        <v/>
      </c>
      <c r="O4085" s="8"/>
      <c r="P4085" s="26"/>
      <c r="S4085" s="10" t="str">
        <f t="shared" si="319"/>
        <v/>
      </c>
    </row>
    <row r="4086" spans="5:19" x14ac:dyDescent="0.3">
      <c r="E4086" s="9" t="str">
        <f>IF(DADOS!C4086="","",DADOS!C4086)</f>
        <v/>
      </c>
      <c r="F4086" s="9" t="str">
        <f>IF(DADOS!E4086="","",DADOS!E4086)</f>
        <v/>
      </c>
      <c r="G4086" s="9" t="str">
        <f>IF(DADOS!F4086="","",DADOS!F4086)</f>
        <v/>
      </c>
      <c r="K4086" s="6" t="str">
        <f t="shared" si="320"/>
        <v/>
      </c>
      <c r="L4086" s="7" t="str">
        <f t="shared" si="321"/>
        <v/>
      </c>
      <c r="M4086" s="7" t="str">
        <f t="shared" si="318"/>
        <v/>
      </c>
      <c r="N4086" s="7" t="str">
        <f t="shared" si="322"/>
        <v/>
      </c>
      <c r="O4086" s="8"/>
      <c r="P4086" s="26"/>
      <c r="S4086" s="10" t="str">
        <f t="shared" si="319"/>
        <v/>
      </c>
    </row>
    <row r="4087" spans="5:19" x14ac:dyDescent="0.3">
      <c r="E4087" s="9" t="str">
        <f>IF(DADOS!C4087="","",DADOS!C4087)</f>
        <v/>
      </c>
      <c r="F4087" s="9" t="str">
        <f>IF(DADOS!E4087="","",DADOS!E4087)</f>
        <v/>
      </c>
      <c r="G4087" s="9" t="str">
        <f>IF(DADOS!F4087="","",DADOS!F4087)</f>
        <v/>
      </c>
      <c r="K4087" s="6" t="str">
        <f t="shared" si="320"/>
        <v/>
      </c>
      <c r="L4087" s="7" t="str">
        <f t="shared" si="321"/>
        <v/>
      </c>
      <c r="M4087" s="7" t="str">
        <f t="shared" si="318"/>
        <v/>
      </c>
      <c r="N4087" s="7" t="str">
        <f t="shared" si="322"/>
        <v/>
      </c>
      <c r="O4087" s="8"/>
      <c r="P4087" s="26"/>
      <c r="S4087" s="10" t="str">
        <f t="shared" si="319"/>
        <v/>
      </c>
    </row>
    <row r="4088" spans="5:19" x14ac:dyDescent="0.3">
      <c r="E4088" s="9" t="str">
        <f>IF(DADOS!C4088="","",DADOS!C4088)</f>
        <v/>
      </c>
      <c r="F4088" s="9" t="str">
        <f>IF(DADOS!E4088="","",DADOS!E4088)</f>
        <v/>
      </c>
      <c r="G4088" s="9" t="str">
        <f>IF(DADOS!F4088="","",DADOS!F4088)</f>
        <v/>
      </c>
      <c r="K4088" s="6" t="str">
        <f t="shared" si="320"/>
        <v/>
      </c>
      <c r="L4088" s="7" t="str">
        <f t="shared" si="321"/>
        <v/>
      </c>
      <c r="M4088" s="7" t="str">
        <f t="shared" si="318"/>
        <v/>
      </c>
      <c r="N4088" s="7" t="str">
        <f t="shared" si="322"/>
        <v/>
      </c>
      <c r="O4088" s="8"/>
      <c r="P4088" s="26"/>
      <c r="S4088" s="10" t="str">
        <f t="shared" si="319"/>
        <v/>
      </c>
    </row>
    <row r="4089" spans="5:19" x14ac:dyDescent="0.3">
      <c r="E4089" s="9" t="str">
        <f>IF(DADOS!C4089="","",DADOS!C4089)</f>
        <v/>
      </c>
      <c r="F4089" s="9" t="str">
        <f>IF(DADOS!E4089="","",DADOS!E4089)</f>
        <v/>
      </c>
      <c r="G4089" s="9" t="str">
        <f>IF(DADOS!F4089="","",DADOS!F4089)</f>
        <v/>
      </c>
      <c r="K4089" s="6" t="str">
        <f t="shared" si="320"/>
        <v/>
      </c>
      <c r="L4089" s="7" t="str">
        <f t="shared" si="321"/>
        <v/>
      </c>
      <c r="M4089" s="7" t="str">
        <f t="shared" si="318"/>
        <v/>
      </c>
      <c r="N4089" s="7" t="str">
        <f t="shared" si="322"/>
        <v/>
      </c>
      <c r="O4089" s="8"/>
      <c r="P4089" s="26"/>
      <c r="S4089" s="10" t="str">
        <f t="shared" si="319"/>
        <v/>
      </c>
    </row>
    <row r="4090" spans="5:19" x14ac:dyDescent="0.3">
      <c r="E4090" s="9" t="str">
        <f>IF(DADOS!C4090="","",DADOS!C4090)</f>
        <v/>
      </c>
      <c r="F4090" s="9" t="str">
        <f>IF(DADOS!E4090="","",DADOS!E4090)</f>
        <v/>
      </c>
      <c r="G4090" s="9" t="str">
        <f>IF(DADOS!F4090="","",DADOS!F4090)</f>
        <v/>
      </c>
      <c r="K4090" s="6" t="str">
        <f t="shared" si="320"/>
        <v/>
      </c>
      <c r="L4090" s="7" t="str">
        <f t="shared" si="321"/>
        <v/>
      </c>
      <c r="M4090" s="7" t="str">
        <f t="shared" si="318"/>
        <v/>
      </c>
      <c r="N4090" s="7" t="str">
        <f t="shared" si="322"/>
        <v/>
      </c>
      <c r="O4090" s="8"/>
      <c r="P4090" s="26"/>
      <c r="S4090" s="10" t="str">
        <f t="shared" si="319"/>
        <v/>
      </c>
    </row>
    <row r="4091" spans="5:19" x14ac:dyDescent="0.3">
      <c r="E4091" s="9" t="str">
        <f>IF(DADOS!C4091="","",DADOS!C4091)</f>
        <v/>
      </c>
      <c r="F4091" s="9" t="str">
        <f>IF(DADOS!E4091="","",DADOS!E4091)</f>
        <v/>
      </c>
      <c r="G4091" s="9" t="str">
        <f>IF(DADOS!F4091="","",DADOS!F4091)</f>
        <v/>
      </c>
      <c r="K4091" s="6" t="str">
        <f t="shared" si="320"/>
        <v/>
      </c>
      <c r="L4091" s="7" t="str">
        <f t="shared" si="321"/>
        <v/>
      </c>
      <c r="M4091" s="7" t="str">
        <f t="shared" si="318"/>
        <v/>
      </c>
      <c r="N4091" s="7" t="str">
        <f t="shared" si="322"/>
        <v/>
      </c>
      <c r="O4091" s="8"/>
      <c r="P4091" s="26"/>
      <c r="S4091" s="10" t="str">
        <f t="shared" si="319"/>
        <v/>
      </c>
    </row>
    <row r="4092" spans="5:19" x14ac:dyDescent="0.3">
      <c r="E4092" s="9" t="str">
        <f>IF(DADOS!C4092="","",DADOS!C4092)</f>
        <v/>
      </c>
      <c r="F4092" s="9" t="str">
        <f>IF(DADOS!E4092="","",DADOS!E4092)</f>
        <v/>
      </c>
      <c r="G4092" s="9" t="str">
        <f>IF(DADOS!F4092="","",DADOS!F4092)</f>
        <v/>
      </c>
      <c r="K4092" s="6" t="str">
        <f t="shared" si="320"/>
        <v/>
      </c>
      <c r="L4092" s="7" t="str">
        <f t="shared" si="321"/>
        <v/>
      </c>
      <c r="M4092" s="7" t="str">
        <f t="shared" si="318"/>
        <v/>
      </c>
      <c r="N4092" s="7" t="str">
        <f t="shared" si="322"/>
        <v/>
      </c>
      <c r="O4092" s="8"/>
      <c r="P4092" s="26"/>
      <c r="S4092" s="10" t="str">
        <f t="shared" si="319"/>
        <v/>
      </c>
    </row>
    <row r="4093" spans="5:19" x14ac:dyDescent="0.3">
      <c r="E4093" s="9" t="str">
        <f>IF(DADOS!C4093="","",DADOS!C4093)</f>
        <v/>
      </c>
      <c r="F4093" s="9" t="str">
        <f>IF(DADOS!E4093="","",DADOS!E4093)</f>
        <v/>
      </c>
      <c r="G4093" s="9" t="str">
        <f>IF(DADOS!F4093="","",DADOS!F4093)</f>
        <v/>
      </c>
      <c r="K4093" s="6" t="str">
        <f t="shared" si="320"/>
        <v/>
      </c>
      <c r="L4093" s="7" t="str">
        <f t="shared" si="321"/>
        <v/>
      </c>
      <c r="M4093" s="7" t="str">
        <f t="shared" si="318"/>
        <v/>
      </c>
      <c r="N4093" s="7" t="str">
        <f t="shared" si="322"/>
        <v/>
      </c>
      <c r="O4093" s="8"/>
      <c r="P4093" s="26"/>
      <c r="S4093" s="10" t="str">
        <f t="shared" si="319"/>
        <v/>
      </c>
    </row>
    <row r="4094" spans="5:19" x14ac:dyDescent="0.3">
      <c r="E4094" s="9" t="str">
        <f>IF(DADOS!C4094="","",DADOS!C4094)</f>
        <v/>
      </c>
      <c r="F4094" s="9" t="str">
        <f>IF(DADOS!E4094="","",DADOS!E4094)</f>
        <v/>
      </c>
      <c r="G4094" s="9" t="str">
        <f>IF(DADOS!F4094="","",DADOS!F4094)</f>
        <v/>
      </c>
      <c r="K4094" s="6" t="str">
        <f t="shared" si="320"/>
        <v/>
      </c>
      <c r="L4094" s="7" t="str">
        <f t="shared" si="321"/>
        <v/>
      </c>
      <c r="M4094" s="7" t="str">
        <f t="shared" si="318"/>
        <v/>
      </c>
      <c r="N4094" s="7" t="str">
        <f t="shared" si="322"/>
        <v/>
      </c>
      <c r="O4094" s="8"/>
      <c r="P4094" s="26"/>
      <c r="S4094" s="10" t="str">
        <f t="shared" si="319"/>
        <v/>
      </c>
    </row>
    <row r="4095" spans="5:19" x14ac:dyDescent="0.3">
      <c r="E4095" s="9" t="str">
        <f>IF(DADOS!C4095="","",DADOS!C4095)</f>
        <v/>
      </c>
      <c r="F4095" s="9" t="str">
        <f>IF(DADOS!E4095="","",DADOS!E4095)</f>
        <v/>
      </c>
      <c r="G4095" s="9" t="str">
        <f>IF(DADOS!F4095="","",DADOS!F4095)</f>
        <v/>
      </c>
      <c r="K4095" s="6" t="str">
        <f t="shared" si="320"/>
        <v/>
      </c>
      <c r="L4095" s="7" t="str">
        <f t="shared" si="321"/>
        <v/>
      </c>
      <c r="M4095" s="7" t="str">
        <f t="shared" si="318"/>
        <v/>
      </c>
      <c r="N4095" s="7" t="str">
        <f t="shared" si="322"/>
        <v/>
      </c>
      <c r="O4095" s="8"/>
      <c r="P4095" s="26"/>
      <c r="S4095" s="10" t="str">
        <f t="shared" si="319"/>
        <v/>
      </c>
    </row>
    <row r="4096" spans="5:19" x14ac:dyDescent="0.3">
      <c r="E4096" s="9" t="str">
        <f>IF(DADOS!C4096="","",DADOS!C4096)</f>
        <v/>
      </c>
      <c r="F4096" s="9" t="str">
        <f>IF(DADOS!E4096="","",DADOS!E4096)</f>
        <v/>
      </c>
      <c r="G4096" s="9" t="str">
        <f>IF(DADOS!F4096="","",DADOS!F4096)</f>
        <v/>
      </c>
      <c r="K4096" s="6" t="str">
        <f t="shared" si="320"/>
        <v/>
      </c>
      <c r="L4096" s="7" t="str">
        <f t="shared" si="321"/>
        <v/>
      </c>
      <c r="M4096" s="7" t="str">
        <f t="shared" si="318"/>
        <v/>
      </c>
      <c r="N4096" s="7" t="str">
        <f t="shared" si="322"/>
        <v/>
      </c>
      <c r="O4096" s="8"/>
      <c r="P4096" s="26"/>
      <c r="S4096" s="10" t="str">
        <f t="shared" si="319"/>
        <v/>
      </c>
    </row>
    <row r="4097" spans="5:19" x14ac:dyDescent="0.3">
      <c r="E4097" s="9" t="str">
        <f>IF(DADOS!C4097="","",DADOS!C4097)</f>
        <v/>
      </c>
      <c r="F4097" s="9" t="str">
        <f>IF(DADOS!E4097="","",DADOS!E4097)</f>
        <v/>
      </c>
      <c r="G4097" s="9" t="str">
        <f>IF(DADOS!F4097="","",DADOS!F4097)</f>
        <v/>
      </c>
      <c r="K4097" s="6" t="str">
        <f t="shared" si="320"/>
        <v/>
      </c>
      <c r="L4097" s="7" t="str">
        <f t="shared" si="321"/>
        <v/>
      </c>
      <c r="M4097" s="7" t="str">
        <f t="shared" si="318"/>
        <v/>
      </c>
      <c r="N4097" s="7" t="str">
        <f t="shared" si="322"/>
        <v/>
      </c>
      <c r="O4097" s="8"/>
      <c r="P4097" s="26"/>
      <c r="S4097" s="10" t="str">
        <f t="shared" si="319"/>
        <v/>
      </c>
    </row>
    <row r="4098" spans="5:19" x14ac:dyDescent="0.3">
      <c r="E4098" s="9" t="str">
        <f>IF(DADOS!C4098="","",DADOS!C4098)</f>
        <v/>
      </c>
      <c r="F4098" s="9" t="str">
        <f>IF(DADOS!E4098="","",DADOS!E4098)</f>
        <v/>
      </c>
      <c r="G4098" s="9" t="str">
        <f>IF(DADOS!F4098="","",DADOS!F4098)</f>
        <v/>
      </c>
      <c r="K4098" s="6" t="str">
        <f t="shared" si="320"/>
        <v/>
      </c>
      <c r="L4098" s="7" t="str">
        <f t="shared" si="321"/>
        <v/>
      </c>
      <c r="M4098" s="7" t="str">
        <f t="shared" si="318"/>
        <v/>
      </c>
      <c r="N4098" s="7" t="str">
        <f t="shared" si="322"/>
        <v/>
      </c>
      <c r="O4098" s="8"/>
      <c r="P4098" s="26"/>
      <c r="S4098" s="10" t="str">
        <f t="shared" si="319"/>
        <v/>
      </c>
    </row>
    <row r="4099" spans="5:19" x14ac:dyDescent="0.3">
      <c r="E4099" s="9" t="str">
        <f>IF(DADOS!C4099="","",DADOS!C4099)</f>
        <v/>
      </c>
      <c r="F4099" s="9" t="str">
        <f>IF(DADOS!E4099="","",DADOS!E4099)</f>
        <v/>
      </c>
      <c r="G4099" s="9" t="str">
        <f>IF(DADOS!F4099="","",DADOS!F4099)</f>
        <v/>
      </c>
      <c r="K4099" s="6" t="str">
        <f t="shared" si="320"/>
        <v/>
      </c>
      <c r="L4099" s="7" t="str">
        <f t="shared" si="321"/>
        <v/>
      </c>
      <c r="M4099" s="7" t="str">
        <f t="shared" ref="M4099:M4162" si="323">IF(L4099="","",L4099*G4099)</f>
        <v/>
      </c>
      <c r="N4099" s="7" t="str">
        <f t="shared" si="322"/>
        <v/>
      </c>
      <c r="O4099" s="8"/>
      <c r="P4099" s="26"/>
      <c r="S4099" s="10" t="str">
        <f t="shared" ref="S4099:S4162" si="324">IF(R4099="","",SUMIFS($N$3:$N$10000,$E$3:$E$10000,R4099))</f>
        <v/>
      </c>
    </row>
    <row r="4100" spans="5:19" x14ac:dyDescent="0.3">
      <c r="E4100" s="9" t="str">
        <f>IF(DADOS!C4100="","",DADOS!C4100)</f>
        <v/>
      </c>
      <c r="F4100" s="9" t="str">
        <f>IF(DADOS!E4100="","",DADOS!E4100)</f>
        <v/>
      </c>
      <c r="G4100" s="9" t="str">
        <f>IF(DADOS!F4100="","",DADOS!F4100)</f>
        <v/>
      </c>
      <c r="K4100" s="6" t="str">
        <f t="shared" ref="K4100:K4163" si="325">IF(F4100="","",F4100/PI())</f>
        <v/>
      </c>
      <c r="L4100" s="7" t="str">
        <f t="shared" ref="L4100:L4163" si="326">IF(K4100="","",(PI()*K4100^2)/40000)</f>
        <v/>
      </c>
      <c r="M4100" s="7" t="str">
        <f t="shared" si="323"/>
        <v/>
      </c>
      <c r="N4100" s="7" t="str">
        <f t="shared" ref="N4100:N4163" si="327">IF(M4100="","",M4100*N$1)</f>
        <v/>
      </c>
      <c r="O4100" s="8"/>
      <c r="P4100" s="26"/>
      <c r="S4100" s="10" t="str">
        <f t="shared" si="324"/>
        <v/>
      </c>
    </row>
    <row r="4101" spans="5:19" x14ac:dyDescent="0.3">
      <c r="E4101" s="9" t="str">
        <f>IF(DADOS!C4101="","",DADOS!C4101)</f>
        <v/>
      </c>
      <c r="F4101" s="9" t="str">
        <f>IF(DADOS!E4101="","",DADOS!E4101)</f>
        <v/>
      </c>
      <c r="G4101" s="9" t="str">
        <f>IF(DADOS!F4101="","",DADOS!F4101)</f>
        <v/>
      </c>
      <c r="K4101" s="6" t="str">
        <f t="shared" si="325"/>
        <v/>
      </c>
      <c r="L4101" s="7" t="str">
        <f t="shared" si="326"/>
        <v/>
      </c>
      <c r="M4101" s="7" t="str">
        <f t="shared" si="323"/>
        <v/>
      </c>
      <c r="N4101" s="7" t="str">
        <f t="shared" si="327"/>
        <v/>
      </c>
      <c r="O4101" s="8"/>
      <c r="P4101" s="26"/>
      <c r="S4101" s="10" t="str">
        <f t="shared" si="324"/>
        <v/>
      </c>
    </row>
    <row r="4102" spans="5:19" x14ac:dyDescent="0.3">
      <c r="E4102" s="9" t="str">
        <f>IF(DADOS!C4102="","",DADOS!C4102)</f>
        <v/>
      </c>
      <c r="F4102" s="9" t="str">
        <f>IF(DADOS!E4102="","",DADOS!E4102)</f>
        <v/>
      </c>
      <c r="G4102" s="9" t="str">
        <f>IF(DADOS!F4102="","",DADOS!F4102)</f>
        <v/>
      </c>
      <c r="K4102" s="6" t="str">
        <f t="shared" si="325"/>
        <v/>
      </c>
      <c r="L4102" s="7" t="str">
        <f t="shared" si="326"/>
        <v/>
      </c>
      <c r="M4102" s="7" t="str">
        <f t="shared" si="323"/>
        <v/>
      </c>
      <c r="N4102" s="7" t="str">
        <f t="shared" si="327"/>
        <v/>
      </c>
      <c r="O4102" s="8"/>
      <c r="P4102" s="26"/>
      <c r="S4102" s="10" t="str">
        <f t="shared" si="324"/>
        <v/>
      </c>
    </row>
    <row r="4103" spans="5:19" x14ac:dyDescent="0.3">
      <c r="E4103" s="9" t="str">
        <f>IF(DADOS!C4103="","",DADOS!C4103)</f>
        <v/>
      </c>
      <c r="F4103" s="9" t="str">
        <f>IF(DADOS!E4103="","",DADOS!E4103)</f>
        <v/>
      </c>
      <c r="G4103" s="9" t="str">
        <f>IF(DADOS!F4103="","",DADOS!F4103)</f>
        <v/>
      </c>
      <c r="K4103" s="6" t="str">
        <f t="shared" si="325"/>
        <v/>
      </c>
      <c r="L4103" s="7" t="str">
        <f t="shared" si="326"/>
        <v/>
      </c>
      <c r="M4103" s="7" t="str">
        <f t="shared" si="323"/>
        <v/>
      </c>
      <c r="N4103" s="7" t="str">
        <f t="shared" si="327"/>
        <v/>
      </c>
      <c r="O4103" s="8"/>
      <c r="P4103" s="26"/>
      <c r="S4103" s="10" t="str">
        <f t="shared" si="324"/>
        <v/>
      </c>
    </row>
    <row r="4104" spans="5:19" x14ac:dyDescent="0.3">
      <c r="E4104" s="9" t="str">
        <f>IF(DADOS!C4104="","",DADOS!C4104)</f>
        <v/>
      </c>
      <c r="F4104" s="9" t="str">
        <f>IF(DADOS!E4104="","",DADOS!E4104)</f>
        <v/>
      </c>
      <c r="G4104" s="9" t="str">
        <f>IF(DADOS!F4104="","",DADOS!F4104)</f>
        <v/>
      </c>
      <c r="K4104" s="6" t="str">
        <f t="shared" si="325"/>
        <v/>
      </c>
      <c r="L4104" s="7" t="str">
        <f t="shared" si="326"/>
        <v/>
      </c>
      <c r="M4104" s="7" t="str">
        <f t="shared" si="323"/>
        <v/>
      </c>
      <c r="N4104" s="7" t="str">
        <f t="shared" si="327"/>
        <v/>
      </c>
      <c r="O4104" s="8"/>
      <c r="P4104" s="26"/>
      <c r="S4104" s="10" t="str">
        <f t="shared" si="324"/>
        <v/>
      </c>
    </row>
    <row r="4105" spans="5:19" x14ac:dyDescent="0.3">
      <c r="E4105" s="9" t="str">
        <f>IF(DADOS!C4105="","",DADOS!C4105)</f>
        <v/>
      </c>
      <c r="F4105" s="9" t="str">
        <f>IF(DADOS!E4105="","",DADOS!E4105)</f>
        <v/>
      </c>
      <c r="G4105" s="9" t="str">
        <f>IF(DADOS!F4105="","",DADOS!F4105)</f>
        <v/>
      </c>
      <c r="K4105" s="6" t="str">
        <f t="shared" si="325"/>
        <v/>
      </c>
      <c r="L4105" s="7" t="str">
        <f t="shared" si="326"/>
        <v/>
      </c>
      <c r="M4105" s="7" t="str">
        <f t="shared" si="323"/>
        <v/>
      </c>
      <c r="N4105" s="7" t="str">
        <f t="shared" si="327"/>
        <v/>
      </c>
      <c r="O4105" s="8"/>
      <c r="P4105" s="26"/>
      <c r="S4105" s="10" t="str">
        <f t="shared" si="324"/>
        <v/>
      </c>
    </row>
    <row r="4106" spans="5:19" x14ac:dyDescent="0.3">
      <c r="E4106" s="9" t="str">
        <f>IF(DADOS!C4106="","",DADOS!C4106)</f>
        <v/>
      </c>
      <c r="F4106" s="9" t="str">
        <f>IF(DADOS!E4106="","",DADOS!E4106)</f>
        <v/>
      </c>
      <c r="G4106" s="9" t="str">
        <f>IF(DADOS!F4106="","",DADOS!F4106)</f>
        <v/>
      </c>
      <c r="K4106" s="6" t="str">
        <f t="shared" si="325"/>
        <v/>
      </c>
      <c r="L4106" s="7" t="str">
        <f t="shared" si="326"/>
        <v/>
      </c>
      <c r="M4106" s="7" t="str">
        <f t="shared" si="323"/>
        <v/>
      </c>
      <c r="N4106" s="7" t="str">
        <f t="shared" si="327"/>
        <v/>
      </c>
      <c r="O4106" s="8"/>
      <c r="P4106" s="26"/>
      <c r="S4106" s="10" t="str">
        <f t="shared" si="324"/>
        <v/>
      </c>
    </row>
    <row r="4107" spans="5:19" x14ac:dyDescent="0.3">
      <c r="E4107" s="9" t="str">
        <f>IF(DADOS!C4107="","",DADOS!C4107)</f>
        <v/>
      </c>
      <c r="F4107" s="9" t="str">
        <f>IF(DADOS!E4107="","",DADOS!E4107)</f>
        <v/>
      </c>
      <c r="G4107" s="9" t="str">
        <f>IF(DADOS!F4107="","",DADOS!F4107)</f>
        <v/>
      </c>
      <c r="K4107" s="6" t="str">
        <f t="shared" si="325"/>
        <v/>
      </c>
      <c r="L4107" s="7" t="str">
        <f t="shared" si="326"/>
        <v/>
      </c>
      <c r="M4107" s="7" t="str">
        <f t="shared" si="323"/>
        <v/>
      </c>
      <c r="N4107" s="7" t="str">
        <f t="shared" si="327"/>
        <v/>
      </c>
      <c r="O4107" s="8"/>
      <c r="P4107" s="26"/>
      <c r="S4107" s="10" t="str">
        <f t="shared" si="324"/>
        <v/>
      </c>
    </row>
    <row r="4108" spans="5:19" x14ac:dyDescent="0.3">
      <c r="E4108" s="9" t="str">
        <f>IF(DADOS!C4108="","",DADOS!C4108)</f>
        <v/>
      </c>
      <c r="F4108" s="9" t="str">
        <f>IF(DADOS!E4108="","",DADOS!E4108)</f>
        <v/>
      </c>
      <c r="G4108" s="9" t="str">
        <f>IF(DADOS!F4108="","",DADOS!F4108)</f>
        <v/>
      </c>
      <c r="K4108" s="6" t="str">
        <f t="shared" si="325"/>
        <v/>
      </c>
      <c r="L4108" s="7" t="str">
        <f t="shared" si="326"/>
        <v/>
      </c>
      <c r="M4108" s="7" t="str">
        <f t="shared" si="323"/>
        <v/>
      </c>
      <c r="N4108" s="7" t="str">
        <f t="shared" si="327"/>
        <v/>
      </c>
      <c r="O4108" s="8"/>
      <c r="P4108" s="26"/>
      <c r="S4108" s="10" t="str">
        <f t="shared" si="324"/>
        <v/>
      </c>
    </row>
    <row r="4109" spans="5:19" x14ac:dyDescent="0.3">
      <c r="E4109" s="9" t="str">
        <f>IF(DADOS!C4109="","",DADOS!C4109)</f>
        <v/>
      </c>
      <c r="F4109" s="9" t="str">
        <f>IF(DADOS!E4109="","",DADOS!E4109)</f>
        <v/>
      </c>
      <c r="G4109" s="9" t="str">
        <f>IF(DADOS!F4109="","",DADOS!F4109)</f>
        <v/>
      </c>
      <c r="K4109" s="6" t="str">
        <f t="shared" si="325"/>
        <v/>
      </c>
      <c r="L4109" s="7" t="str">
        <f t="shared" si="326"/>
        <v/>
      </c>
      <c r="M4109" s="7" t="str">
        <f t="shared" si="323"/>
        <v/>
      </c>
      <c r="N4109" s="7" t="str">
        <f t="shared" si="327"/>
        <v/>
      </c>
      <c r="O4109" s="8"/>
      <c r="P4109" s="26"/>
      <c r="S4109" s="10" t="str">
        <f t="shared" si="324"/>
        <v/>
      </c>
    </row>
    <row r="4110" spans="5:19" x14ac:dyDescent="0.3">
      <c r="E4110" s="9" t="str">
        <f>IF(DADOS!C4110="","",DADOS!C4110)</f>
        <v/>
      </c>
      <c r="F4110" s="9" t="str">
        <f>IF(DADOS!E4110="","",DADOS!E4110)</f>
        <v/>
      </c>
      <c r="G4110" s="9" t="str">
        <f>IF(DADOS!F4110="","",DADOS!F4110)</f>
        <v/>
      </c>
      <c r="K4110" s="6" t="str">
        <f t="shared" si="325"/>
        <v/>
      </c>
      <c r="L4110" s="7" t="str">
        <f t="shared" si="326"/>
        <v/>
      </c>
      <c r="M4110" s="7" t="str">
        <f t="shared" si="323"/>
        <v/>
      </c>
      <c r="N4110" s="7" t="str">
        <f t="shared" si="327"/>
        <v/>
      </c>
      <c r="O4110" s="8"/>
      <c r="P4110" s="26"/>
      <c r="S4110" s="10" t="str">
        <f t="shared" si="324"/>
        <v/>
      </c>
    </row>
    <row r="4111" spans="5:19" x14ac:dyDescent="0.3">
      <c r="E4111" s="9" t="str">
        <f>IF(DADOS!C4111="","",DADOS!C4111)</f>
        <v/>
      </c>
      <c r="F4111" s="9" t="str">
        <f>IF(DADOS!E4111="","",DADOS!E4111)</f>
        <v/>
      </c>
      <c r="G4111" s="9" t="str">
        <f>IF(DADOS!F4111="","",DADOS!F4111)</f>
        <v/>
      </c>
      <c r="K4111" s="6" t="str">
        <f t="shared" si="325"/>
        <v/>
      </c>
      <c r="L4111" s="7" t="str">
        <f t="shared" si="326"/>
        <v/>
      </c>
      <c r="M4111" s="7" t="str">
        <f t="shared" si="323"/>
        <v/>
      </c>
      <c r="N4111" s="7" t="str">
        <f t="shared" si="327"/>
        <v/>
      </c>
      <c r="O4111" s="8"/>
      <c r="P4111" s="26"/>
      <c r="S4111" s="10" t="str">
        <f t="shared" si="324"/>
        <v/>
      </c>
    </row>
    <row r="4112" spans="5:19" x14ac:dyDescent="0.3">
      <c r="E4112" s="9" t="str">
        <f>IF(DADOS!C4112="","",DADOS!C4112)</f>
        <v/>
      </c>
      <c r="F4112" s="9" t="str">
        <f>IF(DADOS!E4112="","",DADOS!E4112)</f>
        <v/>
      </c>
      <c r="G4112" s="9" t="str">
        <f>IF(DADOS!F4112="","",DADOS!F4112)</f>
        <v/>
      </c>
      <c r="K4112" s="6" t="str">
        <f t="shared" si="325"/>
        <v/>
      </c>
      <c r="L4112" s="7" t="str">
        <f t="shared" si="326"/>
        <v/>
      </c>
      <c r="M4112" s="7" t="str">
        <f t="shared" si="323"/>
        <v/>
      </c>
      <c r="N4112" s="7" t="str">
        <f t="shared" si="327"/>
        <v/>
      </c>
      <c r="O4112" s="8"/>
      <c r="P4112" s="26"/>
      <c r="S4112" s="10" t="str">
        <f t="shared" si="324"/>
        <v/>
      </c>
    </row>
    <row r="4113" spans="5:19" x14ac:dyDescent="0.3">
      <c r="E4113" s="9" t="str">
        <f>IF(DADOS!C4113="","",DADOS!C4113)</f>
        <v/>
      </c>
      <c r="F4113" s="9" t="str">
        <f>IF(DADOS!E4113="","",DADOS!E4113)</f>
        <v/>
      </c>
      <c r="G4113" s="9" t="str">
        <f>IF(DADOS!F4113="","",DADOS!F4113)</f>
        <v/>
      </c>
      <c r="K4113" s="6" t="str">
        <f t="shared" si="325"/>
        <v/>
      </c>
      <c r="L4113" s="7" t="str">
        <f t="shared" si="326"/>
        <v/>
      </c>
      <c r="M4113" s="7" t="str">
        <f t="shared" si="323"/>
        <v/>
      </c>
      <c r="N4113" s="7" t="str">
        <f t="shared" si="327"/>
        <v/>
      </c>
      <c r="O4113" s="8"/>
      <c r="P4113" s="26"/>
      <c r="S4113" s="10" t="str">
        <f t="shared" si="324"/>
        <v/>
      </c>
    </row>
    <row r="4114" spans="5:19" x14ac:dyDescent="0.3">
      <c r="E4114" s="9" t="str">
        <f>IF(DADOS!C4114="","",DADOS!C4114)</f>
        <v/>
      </c>
      <c r="F4114" s="9" t="str">
        <f>IF(DADOS!E4114="","",DADOS!E4114)</f>
        <v/>
      </c>
      <c r="G4114" s="9" t="str">
        <f>IF(DADOS!F4114="","",DADOS!F4114)</f>
        <v/>
      </c>
      <c r="K4114" s="6" t="str">
        <f t="shared" si="325"/>
        <v/>
      </c>
      <c r="L4114" s="7" t="str">
        <f t="shared" si="326"/>
        <v/>
      </c>
      <c r="M4114" s="7" t="str">
        <f t="shared" si="323"/>
        <v/>
      </c>
      <c r="N4114" s="7" t="str">
        <f t="shared" si="327"/>
        <v/>
      </c>
      <c r="O4114" s="8"/>
      <c r="P4114" s="26"/>
      <c r="S4114" s="10" t="str">
        <f t="shared" si="324"/>
        <v/>
      </c>
    </row>
    <row r="4115" spans="5:19" x14ac:dyDescent="0.3">
      <c r="E4115" s="9" t="str">
        <f>IF(DADOS!C4115="","",DADOS!C4115)</f>
        <v/>
      </c>
      <c r="F4115" s="9" t="str">
        <f>IF(DADOS!E4115="","",DADOS!E4115)</f>
        <v/>
      </c>
      <c r="G4115" s="9" t="str">
        <f>IF(DADOS!F4115="","",DADOS!F4115)</f>
        <v/>
      </c>
      <c r="K4115" s="6" t="str">
        <f t="shared" si="325"/>
        <v/>
      </c>
      <c r="L4115" s="7" t="str">
        <f t="shared" si="326"/>
        <v/>
      </c>
      <c r="M4115" s="7" t="str">
        <f t="shared" si="323"/>
        <v/>
      </c>
      <c r="N4115" s="7" t="str">
        <f t="shared" si="327"/>
        <v/>
      </c>
      <c r="O4115" s="8"/>
      <c r="P4115" s="26"/>
      <c r="S4115" s="10" t="str">
        <f t="shared" si="324"/>
        <v/>
      </c>
    </row>
    <row r="4116" spans="5:19" x14ac:dyDescent="0.3">
      <c r="E4116" s="9" t="str">
        <f>IF(DADOS!C4116="","",DADOS!C4116)</f>
        <v/>
      </c>
      <c r="F4116" s="9" t="str">
        <f>IF(DADOS!E4116="","",DADOS!E4116)</f>
        <v/>
      </c>
      <c r="G4116" s="9" t="str">
        <f>IF(DADOS!F4116="","",DADOS!F4116)</f>
        <v/>
      </c>
      <c r="K4116" s="6" t="str">
        <f t="shared" si="325"/>
        <v/>
      </c>
      <c r="L4116" s="7" t="str">
        <f t="shared" si="326"/>
        <v/>
      </c>
      <c r="M4116" s="7" t="str">
        <f t="shared" si="323"/>
        <v/>
      </c>
      <c r="N4116" s="7" t="str">
        <f t="shared" si="327"/>
        <v/>
      </c>
      <c r="O4116" s="8"/>
      <c r="P4116" s="26"/>
      <c r="S4116" s="10" t="str">
        <f t="shared" si="324"/>
        <v/>
      </c>
    </row>
    <row r="4117" spans="5:19" x14ac:dyDescent="0.3">
      <c r="E4117" s="9" t="str">
        <f>IF(DADOS!C4117="","",DADOS!C4117)</f>
        <v/>
      </c>
      <c r="F4117" s="9" t="str">
        <f>IF(DADOS!E4117="","",DADOS!E4117)</f>
        <v/>
      </c>
      <c r="G4117" s="9" t="str">
        <f>IF(DADOS!F4117="","",DADOS!F4117)</f>
        <v/>
      </c>
      <c r="K4117" s="6" t="str">
        <f t="shared" si="325"/>
        <v/>
      </c>
      <c r="L4117" s="7" t="str">
        <f t="shared" si="326"/>
        <v/>
      </c>
      <c r="M4117" s="7" t="str">
        <f t="shared" si="323"/>
        <v/>
      </c>
      <c r="N4117" s="7" t="str">
        <f t="shared" si="327"/>
        <v/>
      </c>
      <c r="O4117" s="8"/>
      <c r="P4117" s="26"/>
      <c r="S4117" s="10" t="str">
        <f t="shared" si="324"/>
        <v/>
      </c>
    </row>
    <row r="4118" spans="5:19" x14ac:dyDescent="0.3">
      <c r="E4118" s="9" t="str">
        <f>IF(DADOS!C4118="","",DADOS!C4118)</f>
        <v/>
      </c>
      <c r="F4118" s="9" t="str">
        <f>IF(DADOS!E4118="","",DADOS!E4118)</f>
        <v/>
      </c>
      <c r="G4118" s="9" t="str">
        <f>IF(DADOS!F4118="","",DADOS!F4118)</f>
        <v/>
      </c>
      <c r="K4118" s="6" t="str">
        <f t="shared" si="325"/>
        <v/>
      </c>
      <c r="L4118" s="7" t="str">
        <f t="shared" si="326"/>
        <v/>
      </c>
      <c r="M4118" s="7" t="str">
        <f t="shared" si="323"/>
        <v/>
      </c>
      <c r="N4118" s="7" t="str">
        <f t="shared" si="327"/>
        <v/>
      </c>
      <c r="O4118" s="8"/>
      <c r="P4118" s="26"/>
      <c r="S4118" s="10" t="str">
        <f t="shared" si="324"/>
        <v/>
      </c>
    </row>
    <row r="4119" spans="5:19" x14ac:dyDescent="0.3">
      <c r="E4119" s="9" t="str">
        <f>IF(DADOS!C4119="","",DADOS!C4119)</f>
        <v/>
      </c>
      <c r="F4119" s="9" t="str">
        <f>IF(DADOS!E4119="","",DADOS!E4119)</f>
        <v/>
      </c>
      <c r="G4119" s="9" t="str">
        <f>IF(DADOS!F4119="","",DADOS!F4119)</f>
        <v/>
      </c>
      <c r="K4119" s="6" t="str">
        <f t="shared" si="325"/>
        <v/>
      </c>
      <c r="L4119" s="7" t="str">
        <f t="shared" si="326"/>
        <v/>
      </c>
      <c r="M4119" s="7" t="str">
        <f t="shared" si="323"/>
        <v/>
      </c>
      <c r="N4119" s="7" t="str">
        <f t="shared" si="327"/>
        <v/>
      </c>
      <c r="O4119" s="8"/>
      <c r="P4119" s="26"/>
      <c r="S4119" s="10" t="str">
        <f t="shared" si="324"/>
        <v/>
      </c>
    </row>
    <row r="4120" spans="5:19" x14ac:dyDescent="0.3">
      <c r="E4120" s="9" t="str">
        <f>IF(DADOS!C4120="","",DADOS!C4120)</f>
        <v/>
      </c>
      <c r="F4120" s="9" t="str">
        <f>IF(DADOS!E4120="","",DADOS!E4120)</f>
        <v/>
      </c>
      <c r="G4120" s="9" t="str">
        <f>IF(DADOS!F4120="","",DADOS!F4120)</f>
        <v/>
      </c>
      <c r="K4120" s="6" t="str">
        <f t="shared" si="325"/>
        <v/>
      </c>
      <c r="L4120" s="7" t="str">
        <f t="shared" si="326"/>
        <v/>
      </c>
      <c r="M4120" s="7" t="str">
        <f t="shared" si="323"/>
        <v/>
      </c>
      <c r="N4120" s="7" t="str">
        <f t="shared" si="327"/>
        <v/>
      </c>
      <c r="O4120" s="8"/>
      <c r="P4120" s="26"/>
      <c r="S4120" s="10" t="str">
        <f t="shared" si="324"/>
        <v/>
      </c>
    </row>
    <row r="4121" spans="5:19" x14ac:dyDescent="0.3">
      <c r="E4121" s="9" t="str">
        <f>IF(DADOS!C4121="","",DADOS!C4121)</f>
        <v/>
      </c>
      <c r="F4121" s="9" t="str">
        <f>IF(DADOS!E4121="","",DADOS!E4121)</f>
        <v/>
      </c>
      <c r="G4121" s="9" t="str">
        <f>IF(DADOS!F4121="","",DADOS!F4121)</f>
        <v/>
      </c>
      <c r="K4121" s="6" t="str">
        <f t="shared" si="325"/>
        <v/>
      </c>
      <c r="L4121" s="7" t="str">
        <f t="shared" si="326"/>
        <v/>
      </c>
      <c r="M4121" s="7" t="str">
        <f t="shared" si="323"/>
        <v/>
      </c>
      <c r="N4121" s="7" t="str">
        <f t="shared" si="327"/>
        <v/>
      </c>
      <c r="O4121" s="8"/>
      <c r="P4121" s="26"/>
      <c r="S4121" s="10" t="str">
        <f t="shared" si="324"/>
        <v/>
      </c>
    </row>
    <row r="4122" spans="5:19" x14ac:dyDescent="0.3">
      <c r="E4122" s="9" t="str">
        <f>IF(DADOS!C4122="","",DADOS!C4122)</f>
        <v/>
      </c>
      <c r="F4122" s="9" t="str">
        <f>IF(DADOS!E4122="","",DADOS!E4122)</f>
        <v/>
      </c>
      <c r="G4122" s="9" t="str">
        <f>IF(DADOS!F4122="","",DADOS!F4122)</f>
        <v/>
      </c>
      <c r="K4122" s="6" t="str">
        <f t="shared" si="325"/>
        <v/>
      </c>
      <c r="L4122" s="7" t="str">
        <f t="shared" si="326"/>
        <v/>
      </c>
      <c r="M4122" s="7" t="str">
        <f t="shared" si="323"/>
        <v/>
      </c>
      <c r="N4122" s="7" t="str">
        <f t="shared" si="327"/>
        <v/>
      </c>
      <c r="O4122" s="8"/>
      <c r="P4122" s="26"/>
      <c r="S4122" s="10" t="str">
        <f t="shared" si="324"/>
        <v/>
      </c>
    </row>
    <row r="4123" spans="5:19" x14ac:dyDescent="0.3">
      <c r="E4123" s="9" t="str">
        <f>IF(DADOS!C4123="","",DADOS!C4123)</f>
        <v/>
      </c>
      <c r="F4123" s="9" t="str">
        <f>IF(DADOS!E4123="","",DADOS!E4123)</f>
        <v/>
      </c>
      <c r="G4123" s="9" t="str">
        <f>IF(DADOS!F4123="","",DADOS!F4123)</f>
        <v/>
      </c>
      <c r="K4123" s="6" t="str">
        <f t="shared" si="325"/>
        <v/>
      </c>
      <c r="L4123" s="7" t="str">
        <f t="shared" si="326"/>
        <v/>
      </c>
      <c r="M4123" s="7" t="str">
        <f t="shared" si="323"/>
        <v/>
      </c>
      <c r="N4123" s="7" t="str">
        <f t="shared" si="327"/>
        <v/>
      </c>
      <c r="O4123" s="8"/>
      <c r="P4123" s="26"/>
      <c r="S4123" s="10" t="str">
        <f t="shared" si="324"/>
        <v/>
      </c>
    </row>
    <row r="4124" spans="5:19" x14ac:dyDescent="0.3">
      <c r="E4124" s="9" t="str">
        <f>IF(DADOS!C4124="","",DADOS!C4124)</f>
        <v/>
      </c>
      <c r="F4124" s="9" t="str">
        <f>IF(DADOS!E4124="","",DADOS!E4124)</f>
        <v/>
      </c>
      <c r="G4124" s="9" t="str">
        <f>IF(DADOS!F4124="","",DADOS!F4124)</f>
        <v/>
      </c>
      <c r="K4124" s="6" t="str">
        <f t="shared" si="325"/>
        <v/>
      </c>
      <c r="L4124" s="7" t="str">
        <f t="shared" si="326"/>
        <v/>
      </c>
      <c r="M4124" s="7" t="str">
        <f t="shared" si="323"/>
        <v/>
      </c>
      <c r="N4124" s="7" t="str">
        <f t="shared" si="327"/>
        <v/>
      </c>
      <c r="O4124" s="8"/>
      <c r="P4124" s="26"/>
      <c r="S4124" s="10" t="str">
        <f t="shared" si="324"/>
        <v/>
      </c>
    </row>
    <row r="4125" spans="5:19" x14ac:dyDescent="0.3">
      <c r="E4125" s="9" t="str">
        <f>IF(DADOS!C4125="","",DADOS!C4125)</f>
        <v/>
      </c>
      <c r="F4125" s="9" t="str">
        <f>IF(DADOS!E4125="","",DADOS!E4125)</f>
        <v/>
      </c>
      <c r="G4125" s="9" t="str">
        <f>IF(DADOS!F4125="","",DADOS!F4125)</f>
        <v/>
      </c>
      <c r="K4125" s="6" t="str">
        <f t="shared" si="325"/>
        <v/>
      </c>
      <c r="L4125" s="7" t="str">
        <f t="shared" si="326"/>
        <v/>
      </c>
      <c r="M4125" s="7" t="str">
        <f t="shared" si="323"/>
        <v/>
      </c>
      <c r="N4125" s="7" t="str">
        <f t="shared" si="327"/>
        <v/>
      </c>
      <c r="O4125" s="8"/>
      <c r="P4125" s="26"/>
      <c r="S4125" s="10" t="str">
        <f t="shared" si="324"/>
        <v/>
      </c>
    </row>
    <row r="4126" spans="5:19" x14ac:dyDescent="0.3">
      <c r="E4126" s="9" t="str">
        <f>IF(DADOS!C4126="","",DADOS!C4126)</f>
        <v/>
      </c>
      <c r="F4126" s="9" t="str">
        <f>IF(DADOS!E4126="","",DADOS!E4126)</f>
        <v/>
      </c>
      <c r="G4126" s="9" t="str">
        <f>IF(DADOS!F4126="","",DADOS!F4126)</f>
        <v/>
      </c>
      <c r="K4126" s="6" t="str">
        <f t="shared" si="325"/>
        <v/>
      </c>
      <c r="L4126" s="7" t="str">
        <f t="shared" si="326"/>
        <v/>
      </c>
      <c r="M4126" s="7" t="str">
        <f t="shared" si="323"/>
        <v/>
      </c>
      <c r="N4126" s="7" t="str">
        <f t="shared" si="327"/>
        <v/>
      </c>
      <c r="O4126" s="8"/>
      <c r="P4126" s="26"/>
      <c r="S4126" s="10" t="str">
        <f t="shared" si="324"/>
        <v/>
      </c>
    </row>
    <row r="4127" spans="5:19" x14ac:dyDescent="0.3">
      <c r="E4127" s="9" t="str">
        <f>IF(DADOS!C4127="","",DADOS!C4127)</f>
        <v/>
      </c>
      <c r="F4127" s="9" t="str">
        <f>IF(DADOS!E4127="","",DADOS!E4127)</f>
        <v/>
      </c>
      <c r="G4127" s="9" t="str">
        <f>IF(DADOS!F4127="","",DADOS!F4127)</f>
        <v/>
      </c>
      <c r="K4127" s="6" t="str">
        <f t="shared" si="325"/>
        <v/>
      </c>
      <c r="L4127" s="7" t="str">
        <f t="shared" si="326"/>
        <v/>
      </c>
      <c r="M4127" s="7" t="str">
        <f t="shared" si="323"/>
        <v/>
      </c>
      <c r="N4127" s="7" t="str">
        <f t="shared" si="327"/>
        <v/>
      </c>
      <c r="O4127" s="8"/>
      <c r="P4127" s="26"/>
      <c r="S4127" s="10" t="str">
        <f t="shared" si="324"/>
        <v/>
      </c>
    </row>
    <row r="4128" spans="5:19" x14ac:dyDescent="0.3">
      <c r="E4128" s="9" t="str">
        <f>IF(DADOS!C4128="","",DADOS!C4128)</f>
        <v/>
      </c>
      <c r="F4128" s="9" t="str">
        <f>IF(DADOS!E4128="","",DADOS!E4128)</f>
        <v/>
      </c>
      <c r="G4128" s="9" t="str">
        <f>IF(DADOS!F4128="","",DADOS!F4128)</f>
        <v/>
      </c>
      <c r="K4128" s="6" t="str">
        <f t="shared" si="325"/>
        <v/>
      </c>
      <c r="L4128" s="7" t="str">
        <f t="shared" si="326"/>
        <v/>
      </c>
      <c r="M4128" s="7" t="str">
        <f t="shared" si="323"/>
        <v/>
      </c>
      <c r="N4128" s="7" t="str">
        <f t="shared" si="327"/>
        <v/>
      </c>
      <c r="O4128" s="8"/>
      <c r="P4128" s="26"/>
      <c r="S4128" s="10" t="str">
        <f t="shared" si="324"/>
        <v/>
      </c>
    </row>
    <row r="4129" spans="5:19" x14ac:dyDescent="0.3">
      <c r="E4129" s="9" t="str">
        <f>IF(DADOS!C4129="","",DADOS!C4129)</f>
        <v/>
      </c>
      <c r="F4129" s="9" t="str">
        <f>IF(DADOS!E4129="","",DADOS!E4129)</f>
        <v/>
      </c>
      <c r="G4129" s="9" t="str">
        <f>IF(DADOS!F4129="","",DADOS!F4129)</f>
        <v/>
      </c>
      <c r="K4129" s="6" t="str">
        <f t="shared" si="325"/>
        <v/>
      </c>
      <c r="L4129" s="7" t="str">
        <f t="shared" si="326"/>
        <v/>
      </c>
      <c r="M4129" s="7" t="str">
        <f t="shared" si="323"/>
        <v/>
      </c>
      <c r="N4129" s="7" t="str">
        <f t="shared" si="327"/>
        <v/>
      </c>
      <c r="O4129" s="8"/>
      <c r="P4129" s="26"/>
      <c r="S4129" s="10" t="str">
        <f t="shared" si="324"/>
        <v/>
      </c>
    </row>
    <row r="4130" spans="5:19" x14ac:dyDescent="0.3">
      <c r="E4130" s="9" t="str">
        <f>IF(DADOS!C4130="","",DADOS!C4130)</f>
        <v/>
      </c>
      <c r="F4130" s="9" t="str">
        <f>IF(DADOS!E4130="","",DADOS!E4130)</f>
        <v/>
      </c>
      <c r="G4130" s="9" t="str">
        <f>IF(DADOS!F4130="","",DADOS!F4130)</f>
        <v/>
      </c>
      <c r="K4130" s="6" t="str">
        <f t="shared" si="325"/>
        <v/>
      </c>
      <c r="L4130" s="7" t="str">
        <f t="shared" si="326"/>
        <v/>
      </c>
      <c r="M4130" s="7" t="str">
        <f t="shared" si="323"/>
        <v/>
      </c>
      <c r="N4130" s="7" t="str">
        <f t="shared" si="327"/>
        <v/>
      </c>
      <c r="O4130" s="8"/>
      <c r="P4130" s="26"/>
      <c r="S4130" s="10" t="str">
        <f t="shared" si="324"/>
        <v/>
      </c>
    </row>
    <row r="4131" spans="5:19" x14ac:dyDescent="0.3">
      <c r="E4131" s="9" t="str">
        <f>IF(DADOS!C4131="","",DADOS!C4131)</f>
        <v/>
      </c>
      <c r="F4131" s="9" t="str">
        <f>IF(DADOS!E4131="","",DADOS!E4131)</f>
        <v/>
      </c>
      <c r="G4131" s="9" t="str">
        <f>IF(DADOS!F4131="","",DADOS!F4131)</f>
        <v/>
      </c>
      <c r="K4131" s="6" t="str">
        <f t="shared" si="325"/>
        <v/>
      </c>
      <c r="L4131" s="7" t="str">
        <f t="shared" si="326"/>
        <v/>
      </c>
      <c r="M4131" s="7" t="str">
        <f t="shared" si="323"/>
        <v/>
      </c>
      <c r="N4131" s="7" t="str">
        <f t="shared" si="327"/>
        <v/>
      </c>
      <c r="O4131" s="8"/>
      <c r="P4131" s="26"/>
      <c r="S4131" s="10" t="str">
        <f t="shared" si="324"/>
        <v/>
      </c>
    </row>
    <row r="4132" spans="5:19" x14ac:dyDescent="0.3">
      <c r="E4132" s="9" t="str">
        <f>IF(DADOS!C4132="","",DADOS!C4132)</f>
        <v/>
      </c>
      <c r="F4132" s="9" t="str">
        <f>IF(DADOS!E4132="","",DADOS!E4132)</f>
        <v/>
      </c>
      <c r="G4132" s="9" t="str">
        <f>IF(DADOS!F4132="","",DADOS!F4132)</f>
        <v/>
      </c>
      <c r="K4132" s="6" t="str">
        <f t="shared" si="325"/>
        <v/>
      </c>
      <c r="L4132" s="7" t="str">
        <f t="shared" si="326"/>
        <v/>
      </c>
      <c r="M4132" s="7" t="str">
        <f t="shared" si="323"/>
        <v/>
      </c>
      <c r="N4132" s="7" t="str">
        <f t="shared" si="327"/>
        <v/>
      </c>
      <c r="O4132" s="8"/>
      <c r="P4132" s="26"/>
      <c r="S4132" s="10" t="str">
        <f t="shared" si="324"/>
        <v/>
      </c>
    </row>
    <row r="4133" spans="5:19" x14ac:dyDescent="0.3">
      <c r="E4133" s="9" t="str">
        <f>IF(DADOS!C4133="","",DADOS!C4133)</f>
        <v/>
      </c>
      <c r="F4133" s="9" t="str">
        <f>IF(DADOS!E4133="","",DADOS!E4133)</f>
        <v/>
      </c>
      <c r="G4133" s="9" t="str">
        <f>IF(DADOS!F4133="","",DADOS!F4133)</f>
        <v/>
      </c>
      <c r="K4133" s="6" t="str">
        <f t="shared" si="325"/>
        <v/>
      </c>
      <c r="L4133" s="7" t="str">
        <f t="shared" si="326"/>
        <v/>
      </c>
      <c r="M4133" s="7" t="str">
        <f t="shared" si="323"/>
        <v/>
      </c>
      <c r="N4133" s="7" t="str">
        <f t="shared" si="327"/>
        <v/>
      </c>
      <c r="O4133" s="8"/>
      <c r="P4133" s="26"/>
      <c r="S4133" s="10" t="str">
        <f t="shared" si="324"/>
        <v/>
      </c>
    </row>
    <row r="4134" spans="5:19" x14ac:dyDescent="0.3">
      <c r="E4134" s="9" t="str">
        <f>IF(DADOS!C4134="","",DADOS!C4134)</f>
        <v/>
      </c>
      <c r="F4134" s="9" t="str">
        <f>IF(DADOS!E4134="","",DADOS!E4134)</f>
        <v/>
      </c>
      <c r="G4134" s="9" t="str">
        <f>IF(DADOS!F4134="","",DADOS!F4134)</f>
        <v/>
      </c>
      <c r="K4134" s="6" t="str">
        <f t="shared" si="325"/>
        <v/>
      </c>
      <c r="L4134" s="7" t="str">
        <f t="shared" si="326"/>
        <v/>
      </c>
      <c r="M4134" s="7" t="str">
        <f t="shared" si="323"/>
        <v/>
      </c>
      <c r="N4134" s="7" t="str">
        <f t="shared" si="327"/>
        <v/>
      </c>
      <c r="O4134" s="8"/>
      <c r="P4134" s="26"/>
      <c r="S4134" s="10" t="str">
        <f t="shared" si="324"/>
        <v/>
      </c>
    </row>
    <row r="4135" spans="5:19" x14ac:dyDescent="0.3">
      <c r="E4135" s="9" t="str">
        <f>IF(DADOS!C4135="","",DADOS!C4135)</f>
        <v/>
      </c>
      <c r="F4135" s="9" t="str">
        <f>IF(DADOS!E4135="","",DADOS!E4135)</f>
        <v/>
      </c>
      <c r="G4135" s="9" t="str">
        <f>IF(DADOS!F4135="","",DADOS!F4135)</f>
        <v/>
      </c>
      <c r="K4135" s="6" t="str">
        <f t="shared" si="325"/>
        <v/>
      </c>
      <c r="L4135" s="7" t="str">
        <f t="shared" si="326"/>
        <v/>
      </c>
      <c r="M4135" s="7" t="str">
        <f t="shared" si="323"/>
        <v/>
      </c>
      <c r="N4135" s="7" t="str">
        <f t="shared" si="327"/>
        <v/>
      </c>
      <c r="O4135" s="8"/>
      <c r="P4135" s="26"/>
      <c r="S4135" s="10" t="str">
        <f t="shared" si="324"/>
        <v/>
      </c>
    </row>
    <row r="4136" spans="5:19" x14ac:dyDescent="0.3">
      <c r="E4136" s="9" t="str">
        <f>IF(DADOS!C4136="","",DADOS!C4136)</f>
        <v/>
      </c>
      <c r="F4136" s="9" t="str">
        <f>IF(DADOS!E4136="","",DADOS!E4136)</f>
        <v/>
      </c>
      <c r="G4136" s="9" t="str">
        <f>IF(DADOS!F4136="","",DADOS!F4136)</f>
        <v/>
      </c>
      <c r="K4136" s="6" t="str">
        <f t="shared" si="325"/>
        <v/>
      </c>
      <c r="L4136" s="7" t="str">
        <f t="shared" si="326"/>
        <v/>
      </c>
      <c r="M4136" s="7" t="str">
        <f t="shared" si="323"/>
        <v/>
      </c>
      <c r="N4136" s="7" t="str">
        <f t="shared" si="327"/>
        <v/>
      </c>
      <c r="O4136" s="8"/>
      <c r="P4136" s="26"/>
      <c r="S4136" s="10" t="str">
        <f t="shared" si="324"/>
        <v/>
      </c>
    </row>
    <row r="4137" spans="5:19" x14ac:dyDescent="0.3">
      <c r="E4137" s="9" t="str">
        <f>IF(DADOS!C4137="","",DADOS!C4137)</f>
        <v/>
      </c>
      <c r="F4137" s="9" t="str">
        <f>IF(DADOS!E4137="","",DADOS!E4137)</f>
        <v/>
      </c>
      <c r="G4137" s="9" t="str">
        <f>IF(DADOS!F4137="","",DADOS!F4137)</f>
        <v/>
      </c>
      <c r="K4137" s="6" t="str">
        <f t="shared" si="325"/>
        <v/>
      </c>
      <c r="L4137" s="7" t="str">
        <f t="shared" si="326"/>
        <v/>
      </c>
      <c r="M4137" s="7" t="str">
        <f t="shared" si="323"/>
        <v/>
      </c>
      <c r="N4137" s="7" t="str">
        <f t="shared" si="327"/>
        <v/>
      </c>
      <c r="O4137" s="8"/>
      <c r="P4137" s="26"/>
      <c r="S4137" s="10" t="str">
        <f t="shared" si="324"/>
        <v/>
      </c>
    </row>
    <row r="4138" spans="5:19" x14ac:dyDescent="0.3">
      <c r="E4138" s="9" t="str">
        <f>IF(DADOS!C4138="","",DADOS!C4138)</f>
        <v/>
      </c>
      <c r="F4138" s="9" t="str">
        <f>IF(DADOS!E4138="","",DADOS!E4138)</f>
        <v/>
      </c>
      <c r="G4138" s="9" t="str">
        <f>IF(DADOS!F4138="","",DADOS!F4138)</f>
        <v/>
      </c>
      <c r="K4138" s="6" t="str">
        <f t="shared" si="325"/>
        <v/>
      </c>
      <c r="L4138" s="7" t="str">
        <f t="shared" si="326"/>
        <v/>
      </c>
      <c r="M4138" s="7" t="str">
        <f t="shared" si="323"/>
        <v/>
      </c>
      <c r="N4138" s="7" t="str">
        <f t="shared" si="327"/>
        <v/>
      </c>
      <c r="O4138" s="8"/>
      <c r="P4138" s="26"/>
      <c r="S4138" s="10" t="str">
        <f t="shared" si="324"/>
        <v/>
      </c>
    </row>
    <row r="4139" spans="5:19" x14ac:dyDescent="0.3">
      <c r="E4139" s="9" t="str">
        <f>IF(DADOS!C4139="","",DADOS!C4139)</f>
        <v/>
      </c>
      <c r="F4139" s="9" t="str">
        <f>IF(DADOS!E4139="","",DADOS!E4139)</f>
        <v/>
      </c>
      <c r="G4139" s="9" t="str">
        <f>IF(DADOS!F4139="","",DADOS!F4139)</f>
        <v/>
      </c>
      <c r="K4139" s="6" t="str">
        <f t="shared" si="325"/>
        <v/>
      </c>
      <c r="L4139" s="7" t="str">
        <f t="shared" si="326"/>
        <v/>
      </c>
      <c r="M4139" s="7" t="str">
        <f t="shared" si="323"/>
        <v/>
      </c>
      <c r="N4139" s="7" t="str">
        <f t="shared" si="327"/>
        <v/>
      </c>
      <c r="O4139" s="8"/>
      <c r="P4139" s="26"/>
      <c r="S4139" s="10" t="str">
        <f t="shared" si="324"/>
        <v/>
      </c>
    </row>
    <row r="4140" spans="5:19" x14ac:dyDescent="0.3">
      <c r="E4140" s="9" t="str">
        <f>IF(DADOS!C4140="","",DADOS!C4140)</f>
        <v/>
      </c>
      <c r="F4140" s="9" t="str">
        <f>IF(DADOS!E4140="","",DADOS!E4140)</f>
        <v/>
      </c>
      <c r="G4140" s="9" t="str">
        <f>IF(DADOS!F4140="","",DADOS!F4140)</f>
        <v/>
      </c>
      <c r="K4140" s="6" t="str">
        <f t="shared" si="325"/>
        <v/>
      </c>
      <c r="L4140" s="7" t="str">
        <f t="shared" si="326"/>
        <v/>
      </c>
      <c r="M4140" s="7" t="str">
        <f t="shared" si="323"/>
        <v/>
      </c>
      <c r="N4140" s="7" t="str">
        <f t="shared" si="327"/>
        <v/>
      </c>
      <c r="O4140" s="8"/>
      <c r="P4140" s="26"/>
      <c r="S4140" s="10" t="str">
        <f t="shared" si="324"/>
        <v/>
      </c>
    </row>
    <row r="4141" spans="5:19" x14ac:dyDescent="0.3">
      <c r="E4141" s="9" t="str">
        <f>IF(DADOS!C4141="","",DADOS!C4141)</f>
        <v/>
      </c>
      <c r="F4141" s="9" t="str">
        <f>IF(DADOS!E4141="","",DADOS!E4141)</f>
        <v/>
      </c>
      <c r="G4141" s="9" t="str">
        <f>IF(DADOS!F4141="","",DADOS!F4141)</f>
        <v/>
      </c>
      <c r="K4141" s="6" t="str">
        <f t="shared" si="325"/>
        <v/>
      </c>
      <c r="L4141" s="7" t="str">
        <f t="shared" si="326"/>
        <v/>
      </c>
      <c r="M4141" s="7" t="str">
        <f t="shared" si="323"/>
        <v/>
      </c>
      <c r="N4141" s="7" t="str">
        <f t="shared" si="327"/>
        <v/>
      </c>
      <c r="O4141" s="8"/>
      <c r="P4141" s="26"/>
      <c r="S4141" s="10" t="str">
        <f t="shared" si="324"/>
        <v/>
      </c>
    </row>
    <row r="4142" spans="5:19" x14ac:dyDescent="0.3">
      <c r="E4142" s="9" t="str">
        <f>IF(DADOS!C4142="","",DADOS!C4142)</f>
        <v/>
      </c>
      <c r="F4142" s="9" t="str">
        <f>IF(DADOS!E4142="","",DADOS!E4142)</f>
        <v/>
      </c>
      <c r="G4142" s="9" t="str">
        <f>IF(DADOS!F4142="","",DADOS!F4142)</f>
        <v/>
      </c>
      <c r="K4142" s="6" t="str">
        <f t="shared" si="325"/>
        <v/>
      </c>
      <c r="L4142" s="7" t="str">
        <f t="shared" si="326"/>
        <v/>
      </c>
      <c r="M4142" s="7" t="str">
        <f t="shared" si="323"/>
        <v/>
      </c>
      <c r="N4142" s="7" t="str">
        <f t="shared" si="327"/>
        <v/>
      </c>
      <c r="O4142" s="8"/>
      <c r="P4142" s="26"/>
      <c r="S4142" s="10" t="str">
        <f t="shared" si="324"/>
        <v/>
      </c>
    </row>
    <row r="4143" spans="5:19" x14ac:dyDescent="0.3">
      <c r="E4143" s="9" t="str">
        <f>IF(DADOS!C4143="","",DADOS!C4143)</f>
        <v/>
      </c>
      <c r="F4143" s="9" t="str">
        <f>IF(DADOS!E4143="","",DADOS!E4143)</f>
        <v/>
      </c>
      <c r="G4143" s="9" t="str">
        <f>IF(DADOS!F4143="","",DADOS!F4143)</f>
        <v/>
      </c>
      <c r="K4143" s="6" t="str">
        <f t="shared" si="325"/>
        <v/>
      </c>
      <c r="L4143" s="7" t="str">
        <f t="shared" si="326"/>
        <v/>
      </c>
      <c r="M4143" s="7" t="str">
        <f t="shared" si="323"/>
        <v/>
      </c>
      <c r="N4143" s="7" t="str">
        <f t="shared" si="327"/>
        <v/>
      </c>
      <c r="O4143" s="8"/>
      <c r="P4143" s="26"/>
      <c r="S4143" s="10" t="str">
        <f t="shared" si="324"/>
        <v/>
      </c>
    </row>
    <row r="4144" spans="5:19" x14ac:dyDescent="0.3">
      <c r="E4144" s="9" t="str">
        <f>IF(DADOS!C4144="","",DADOS!C4144)</f>
        <v/>
      </c>
      <c r="F4144" s="9" t="str">
        <f>IF(DADOS!E4144="","",DADOS!E4144)</f>
        <v/>
      </c>
      <c r="G4144" s="9" t="str">
        <f>IF(DADOS!F4144="","",DADOS!F4144)</f>
        <v/>
      </c>
      <c r="K4144" s="6" t="str">
        <f t="shared" si="325"/>
        <v/>
      </c>
      <c r="L4144" s="7" t="str">
        <f t="shared" si="326"/>
        <v/>
      </c>
      <c r="M4144" s="7" t="str">
        <f t="shared" si="323"/>
        <v/>
      </c>
      <c r="N4144" s="7" t="str">
        <f t="shared" si="327"/>
        <v/>
      </c>
      <c r="O4144" s="8"/>
      <c r="P4144" s="26"/>
      <c r="S4144" s="10" t="str">
        <f t="shared" si="324"/>
        <v/>
      </c>
    </row>
    <row r="4145" spans="5:19" x14ac:dyDescent="0.3">
      <c r="E4145" s="9" t="str">
        <f>IF(DADOS!C4145="","",DADOS!C4145)</f>
        <v/>
      </c>
      <c r="F4145" s="9" t="str">
        <f>IF(DADOS!E4145="","",DADOS!E4145)</f>
        <v/>
      </c>
      <c r="G4145" s="9" t="str">
        <f>IF(DADOS!F4145="","",DADOS!F4145)</f>
        <v/>
      </c>
      <c r="K4145" s="6" t="str">
        <f t="shared" si="325"/>
        <v/>
      </c>
      <c r="L4145" s="7" t="str">
        <f t="shared" si="326"/>
        <v/>
      </c>
      <c r="M4145" s="7" t="str">
        <f t="shared" si="323"/>
        <v/>
      </c>
      <c r="N4145" s="7" t="str">
        <f t="shared" si="327"/>
        <v/>
      </c>
      <c r="O4145" s="8"/>
      <c r="P4145" s="26"/>
      <c r="S4145" s="10" t="str">
        <f t="shared" si="324"/>
        <v/>
      </c>
    </row>
    <row r="4146" spans="5:19" x14ac:dyDescent="0.3">
      <c r="E4146" s="9" t="str">
        <f>IF(DADOS!C4146="","",DADOS!C4146)</f>
        <v/>
      </c>
      <c r="F4146" s="9" t="str">
        <f>IF(DADOS!E4146="","",DADOS!E4146)</f>
        <v/>
      </c>
      <c r="G4146" s="9" t="str">
        <f>IF(DADOS!F4146="","",DADOS!F4146)</f>
        <v/>
      </c>
      <c r="K4146" s="6" t="str">
        <f t="shared" si="325"/>
        <v/>
      </c>
      <c r="L4146" s="7" t="str">
        <f t="shared" si="326"/>
        <v/>
      </c>
      <c r="M4146" s="7" t="str">
        <f t="shared" si="323"/>
        <v/>
      </c>
      <c r="N4146" s="7" t="str">
        <f t="shared" si="327"/>
        <v/>
      </c>
      <c r="O4146" s="8"/>
      <c r="P4146" s="26"/>
      <c r="S4146" s="10" t="str">
        <f t="shared" si="324"/>
        <v/>
      </c>
    </row>
    <row r="4147" spans="5:19" x14ac:dyDescent="0.3">
      <c r="E4147" s="9" t="str">
        <f>IF(DADOS!C4147="","",DADOS!C4147)</f>
        <v/>
      </c>
      <c r="F4147" s="9" t="str">
        <f>IF(DADOS!E4147="","",DADOS!E4147)</f>
        <v/>
      </c>
      <c r="G4147" s="9" t="str">
        <f>IF(DADOS!F4147="","",DADOS!F4147)</f>
        <v/>
      </c>
      <c r="K4147" s="6" t="str">
        <f t="shared" si="325"/>
        <v/>
      </c>
      <c r="L4147" s="7" t="str">
        <f t="shared" si="326"/>
        <v/>
      </c>
      <c r="M4147" s="7" t="str">
        <f t="shared" si="323"/>
        <v/>
      </c>
      <c r="N4147" s="7" t="str">
        <f t="shared" si="327"/>
        <v/>
      </c>
      <c r="O4147" s="8"/>
      <c r="P4147" s="26"/>
      <c r="S4147" s="10" t="str">
        <f t="shared" si="324"/>
        <v/>
      </c>
    </row>
    <row r="4148" spans="5:19" x14ac:dyDescent="0.3">
      <c r="E4148" s="9" t="str">
        <f>IF(DADOS!C4148="","",DADOS!C4148)</f>
        <v/>
      </c>
      <c r="F4148" s="9" t="str">
        <f>IF(DADOS!E4148="","",DADOS!E4148)</f>
        <v/>
      </c>
      <c r="G4148" s="9" t="str">
        <f>IF(DADOS!F4148="","",DADOS!F4148)</f>
        <v/>
      </c>
      <c r="K4148" s="6" t="str">
        <f t="shared" si="325"/>
        <v/>
      </c>
      <c r="L4148" s="7" t="str">
        <f t="shared" si="326"/>
        <v/>
      </c>
      <c r="M4148" s="7" t="str">
        <f t="shared" si="323"/>
        <v/>
      </c>
      <c r="N4148" s="7" t="str">
        <f t="shared" si="327"/>
        <v/>
      </c>
      <c r="O4148" s="8"/>
      <c r="P4148" s="26"/>
      <c r="S4148" s="10" t="str">
        <f t="shared" si="324"/>
        <v/>
      </c>
    </row>
    <row r="4149" spans="5:19" x14ac:dyDescent="0.3">
      <c r="E4149" s="9" t="str">
        <f>IF(DADOS!C4149="","",DADOS!C4149)</f>
        <v/>
      </c>
      <c r="F4149" s="9" t="str">
        <f>IF(DADOS!E4149="","",DADOS!E4149)</f>
        <v/>
      </c>
      <c r="G4149" s="9" t="str">
        <f>IF(DADOS!F4149="","",DADOS!F4149)</f>
        <v/>
      </c>
      <c r="K4149" s="6" t="str">
        <f t="shared" si="325"/>
        <v/>
      </c>
      <c r="L4149" s="7" t="str">
        <f t="shared" si="326"/>
        <v/>
      </c>
      <c r="M4149" s="7" t="str">
        <f t="shared" si="323"/>
        <v/>
      </c>
      <c r="N4149" s="7" t="str">
        <f t="shared" si="327"/>
        <v/>
      </c>
      <c r="O4149" s="8"/>
      <c r="P4149" s="26"/>
      <c r="S4149" s="10" t="str">
        <f t="shared" si="324"/>
        <v/>
      </c>
    </row>
    <row r="4150" spans="5:19" x14ac:dyDescent="0.3">
      <c r="E4150" s="9" t="str">
        <f>IF(DADOS!C4150="","",DADOS!C4150)</f>
        <v/>
      </c>
      <c r="F4150" s="9" t="str">
        <f>IF(DADOS!E4150="","",DADOS!E4150)</f>
        <v/>
      </c>
      <c r="G4150" s="9" t="str">
        <f>IF(DADOS!F4150="","",DADOS!F4150)</f>
        <v/>
      </c>
      <c r="K4150" s="6" t="str">
        <f t="shared" si="325"/>
        <v/>
      </c>
      <c r="L4150" s="7" t="str">
        <f t="shared" si="326"/>
        <v/>
      </c>
      <c r="M4150" s="7" t="str">
        <f t="shared" si="323"/>
        <v/>
      </c>
      <c r="N4150" s="7" t="str">
        <f t="shared" si="327"/>
        <v/>
      </c>
      <c r="O4150" s="8"/>
      <c r="P4150" s="26"/>
      <c r="S4150" s="10" t="str">
        <f t="shared" si="324"/>
        <v/>
      </c>
    </row>
    <row r="4151" spans="5:19" x14ac:dyDescent="0.3">
      <c r="E4151" s="9" t="str">
        <f>IF(DADOS!C4151="","",DADOS!C4151)</f>
        <v/>
      </c>
      <c r="F4151" s="9" t="str">
        <f>IF(DADOS!E4151="","",DADOS!E4151)</f>
        <v/>
      </c>
      <c r="G4151" s="9" t="str">
        <f>IF(DADOS!F4151="","",DADOS!F4151)</f>
        <v/>
      </c>
      <c r="K4151" s="6" t="str">
        <f t="shared" si="325"/>
        <v/>
      </c>
      <c r="L4151" s="7" t="str">
        <f t="shared" si="326"/>
        <v/>
      </c>
      <c r="M4151" s="7" t="str">
        <f t="shared" si="323"/>
        <v/>
      </c>
      <c r="N4151" s="7" t="str">
        <f t="shared" si="327"/>
        <v/>
      </c>
      <c r="O4151" s="8"/>
      <c r="P4151" s="26"/>
      <c r="S4151" s="10" t="str">
        <f t="shared" si="324"/>
        <v/>
      </c>
    </row>
    <row r="4152" spans="5:19" x14ac:dyDescent="0.3">
      <c r="E4152" s="9" t="str">
        <f>IF(DADOS!C4152="","",DADOS!C4152)</f>
        <v/>
      </c>
      <c r="F4152" s="9" t="str">
        <f>IF(DADOS!E4152="","",DADOS!E4152)</f>
        <v/>
      </c>
      <c r="G4152" s="9" t="str">
        <f>IF(DADOS!F4152="","",DADOS!F4152)</f>
        <v/>
      </c>
      <c r="K4152" s="6" t="str">
        <f t="shared" si="325"/>
        <v/>
      </c>
      <c r="L4152" s="7" t="str">
        <f t="shared" si="326"/>
        <v/>
      </c>
      <c r="M4152" s="7" t="str">
        <f t="shared" si="323"/>
        <v/>
      </c>
      <c r="N4152" s="7" t="str">
        <f t="shared" si="327"/>
        <v/>
      </c>
      <c r="O4152" s="8"/>
      <c r="P4152" s="26"/>
      <c r="S4152" s="10" t="str">
        <f t="shared" si="324"/>
        <v/>
      </c>
    </row>
    <row r="4153" spans="5:19" x14ac:dyDescent="0.3">
      <c r="E4153" s="9" t="str">
        <f>IF(DADOS!C4153="","",DADOS!C4153)</f>
        <v/>
      </c>
      <c r="F4153" s="9" t="str">
        <f>IF(DADOS!E4153="","",DADOS!E4153)</f>
        <v/>
      </c>
      <c r="G4153" s="9" t="str">
        <f>IF(DADOS!F4153="","",DADOS!F4153)</f>
        <v/>
      </c>
      <c r="K4153" s="6" t="str">
        <f t="shared" si="325"/>
        <v/>
      </c>
      <c r="L4153" s="7" t="str">
        <f t="shared" si="326"/>
        <v/>
      </c>
      <c r="M4153" s="7" t="str">
        <f t="shared" si="323"/>
        <v/>
      </c>
      <c r="N4153" s="7" t="str">
        <f t="shared" si="327"/>
        <v/>
      </c>
      <c r="O4153" s="8"/>
      <c r="P4153" s="26"/>
      <c r="S4153" s="10" t="str">
        <f t="shared" si="324"/>
        <v/>
      </c>
    </row>
    <row r="4154" spans="5:19" x14ac:dyDescent="0.3">
      <c r="E4154" s="9" t="str">
        <f>IF(DADOS!C4154="","",DADOS!C4154)</f>
        <v/>
      </c>
      <c r="F4154" s="9" t="str">
        <f>IF(DADOS!E4154="","",DADOS!E4154)</f>
        <v/>
      </c>
      <c r="G4154" s="9" t="str">
        <f>IF(DADOS!F4154="","",DADOS!F4154)</f>
        <v/>
      </c>
      <c r="K4154" s="6" t="str">
        <f t="shared" si="325"/>
        <v/>
      </c>
      <c r="L4154" s="7" t="str">
        <f t="shared" si="326"/>
        <v/>
      </c>
      <c r="M4154" s="7" t="str">
        <f t="shared" si="323"/>
        <v/>
      </c>
      <c r="N4154" s="7" t="str">
        <f t="shared" si="327"/>
        <v/>
      </c>
      <c r="O4154" s="8"/>
      <c r="P4154" s="26"/>
      <c r="S4154" s="10" t="str">
        <f t="shared" si="324"/>
        <v/>
      </c>
    </row>
    <row r="4155" spans="5:19" x14ac:dyDescent="0.3">
      <c r="E4155" s="9" t="str">
        <f>IF(DADOS!C4155="","",DADOS!C4155)</f>
        <v/>
      </c>
      <c r="F4155" s="9" t="str">
        <f>IF(DADOS!E4155="","",DADOS!E4155)</f>
        <v/>
      </c>
      <c r="G4155" s="9" t="str">
        <f>IF(DADOS!F4155="","",DADOS!F4155)</f>
        <v/>
      </c>
      <c r="K4155" s="6" t="str">
        <f t="shared" si="325"/>
        <v/>
      </c>
      <c r="L4155" s="7" t="str">
        <f t="shared" si="326"/>
        <v/>
      </c>
      <c r="M4155" s="7" t="str">
        <f t="shared" si="323"/>
        <v/>
      </c>
      <c r="N4155" s="7" t="str">
        <f t="shared" si="327"/>
        <v/>
      </c>
      <c r="O4155" s="8"/>
      <c r="P4155" s="26"/>
      <c r="S4155" s="10" t="str">
        <f t="shared" si="324"/>
        <v/>
      </c>
    </row>
    <row r="4156" spans="5:19" x14ac:dyDescent="0.3">
      <c r="E4156" s="9" t="str">
        <f>IF(DADOS!C4156="","",DADOS!C4156)</f>
        <v/>
      </c>
      <c r="F4156" s="9" t="str">
        <f>IF(DADOS!E4156="","",DADOS!E4156)</f>
        <v/>
      </c>
      <c r="G4156" s="9" t="str">
        <f>IF(DADOS!F4156="","",DADOS!F4156)</f>
        <v/>
      </c>
      <c r="K4156" s="6" t="str">
        <f t="shared" si="325"/>
        <v/>
      </c>
      <c r="L4156" s="7" t="str">
        <f t="shared" si="326"/>
        <v/>
      </c>
      <c r="M4156" s="7" t="str">
        <f t="shared" si="323"/>
        <v/>
      </c>
      <c r="N4156" s="7" t="str">
        <f t="shared" si="327"/>
        <v/>
      </c>
      <c r="O4156" s="8"/>
      <c r="P4156" s="26"/>
      <c r="S4156" s="10" t="str">
        <f t="shared" si="324"/>
        <v/>
      </c>
    </row>
    <row r="4157" spans="5:19" x14ac:dyDescent="0.3">
      <c r="E4157" s="9" t="str">
        <f>IF(DADOS!C4157="","",DADOS!C4157)</f>
        <v/>
      </c>
      <c r="F4157" s="9" t="str">
        <f>IF(DADOS!E4157="","",DADOS!E4157)</f>
        <v/>
      </c>
      <c r="G4157" s="9" t="str">
        <f>IF(DADOS!F4157="","",DADOS!F4157)</f>
        <v/>
      </c>
      <c r="K4157" s="6" t="str">
        <f t="shared" si="325"/>
        <v/>
      </c>
      <c r="L4157" s="7" t="str">
        <f t="shared" si="326"/>
        <v/>
      </c>
      <c r="M4157" s="7" t="str">
        <f t="shared" si="323"/>
        <v/>
      </c>
      <c r="N4157" s="7" t="str">
        <f t="shared" si="327"/>
        <v/>
      </c>
      <c r="O4157" s="8"/>
      <c r="P4157" s="26"/>
      <c r="S4157" s="10" t="str">
        <f t="shared" si="324"/>
        <v/>
      </c>
    </row>
    <row r="4158" spans="5:19" x14ac:dyDescent="0.3">
      <c r="E4158" s="9" t="str">
        <f>IF(DADOS!C4158="","",DADOS!C4158)</f>
        <v/>
      </c>
      <c r="F4158" s="9" t="str">
        <f>IF(DADOS!E4158="","",DADOS!E4158)</f>
        <v/>
      </c>
      <c r="G4158" s="9" t="str">
        <f>IF(DADOS!F4158="","",DADOS!F4158)</f>
        <v/>
      </c>
      <c r="K4158" s="6" t="str">
        <f t="shared" si="325"/>
        <v/>
      </c>
      <c r="L4158" s="7" t="str">
        <f t="shared" si="326"/>
        <v/>
      </c>
      <c r="M4158" s="7" t="str">
        <f t="shared" si="323"/>
        <v/>
      </c>
      <c r="N4158" s="7" t="str">
        <f t="shared" si="327"/>
        <v/>
      </c>
      <c r="O4158" s="8"/>
      <c r="P4158" s="26"/>
      <c r="S4158" s="10" t="str">
        <f t="shared" si="324"/>
        <v/>
      </c>
    </row>
    <row r="4159" spans="5:19" x14ac:dyDescent="0.3">
      <c r="E4159" s="9" t="str">
        <f>IF(DADOS!C4159="","",DADOS!C4159)</f>
        <v/>
      </c>
      <c r="F4159" s="9" t="str">
        <f>IF(DADOS!E4159="","",DADOS!E4159)</f>
        <v/>
      </c>
      <c r="G4159" s="9" t="str">
        <f>IF(DADOS!F4159="","",DADOS!F4159)</f>
        <v/>
      </c>
      <c r="K4159" s="6" t="str">
        <f t="shared" si="325"/>
        <v/>
      </c>
      <c r="L4159" s="7" t="str">
        <f t="shared" si="326"/>
        <v/>
      </c>
      <c r="M4159" s="7" t="str">
        <f t="shared" si="323"/>
        <v/>
      </c>
      <c r="N4159" s="7" t="str">
        <f t="shared" si="327"/>
        <v/>
      </c>
      <c r="O4159" s="8"/>
      <c r="P4159" s="26"/>
      <c r="S4159" s="10" t="str">
        <f t="shared" si="324"/>
        <v/>
      </c>
    </row>
    <row r="4160" spans="5:19" x14ac:dyDescent="0.3">
      <c r="E4160" s="9" t="str">
        <f>IF(DADOS!C4160="","",DADOS!C4160)</f>
        <v/>
      </c>
      <c r="F4160" s="9" t="str">
        <f>IF(DADOS!E4160="","",DADOS!E4160)</f>
        <v/>
      </c>
      <c r="G4160" s="9" t="str">
        <f>IF(DADOS!F4160="","",DADOS!F4160)</f>
        <v/>
      </c>
      <c r="K4160" s="6" t="str">
        <f t="shared" si="325"/>
        <v/>
      </c>
      <c r="L4160" s="7" t="str">
        <f t="shared" si="326"/>
        <v/>
      </c>
      <c r="M4160" s="7" t="str">
        <f t="shared" si="323"/>
        <v/>
      </c>
      <c r="N4160" s="7" t="str">
        <f t="shared" si="327"/>
        <v/>
      </c>
      <c r="O4160" s="8"/>
      <c r="P4160" s="26"/>
      <c r="S4160" s="10" t="str">
        <f t="shared" si="324"/>
        <v/>
      </c>
    </row>
    <row r="4161" spans="5:19" x14ac:dyDescent="0.3">
      <c r="E4161" s="9" t="str">
        <f>IF(DADOS!C4161="","",DADOS!C4161)</f>
        <v/>
      </c>
      <c r="F4161" s="9" t="str">
        <f>IF(DADOS!E4161="","",DADOS!E4161)</f>
        <v/>
      </c>
      <c r="G4161" s="9" t="str">
        <f>IF(DADOS!F4161="","",DADOS!F4161)</f>
        <v/>
      </c>
      <c r="K4161" s="6" t="str">
        <f t="shared" si="325"/>
        <v/>
      </c>
      <c r="L4161" s="7" t="str">
        <f t="shared" si="326"/>
        <v/>
      </c>
      <c r="M4161" s="7" t="str">
        <f t="shared" si="323"/>
        <v/>
      </c>
      <c r="N4161" s="7" t="str">
        <f t="shared" si="327"/>
        <v/>
      </c>
      <c r="O4161" s="8"/>
      <c r="P4161" s="26"/>
      <c r="S4161" s="10" t="str">
        <f t="shared" si="324"/>
        <v/>
      </c>
    </row>
    <row r="4162" spans="5:19" x14ac:dyDescent="0.3">
      <c r="E4162" s="9" t="str">
        <f>IF(DADOS!C4162="","",DADOS!C4162)</f>
        <v/>
      </c>
      <c r="F4162" s="9" t="str">
        <f>IF(DADOS!E4162="","",DADOS!E4162)</f>
        <v/>
      </c>
      <c r="G4162" s="9" t="str">
        <f>IF(DADOS!F4162="","",DADOS!F4162)</f>
        <v/>
      </c>
      <c r="K4162" s="6" t="str">
        <f t="shared" si="325"/>
        <v/>
      </c>
      <c r="L4162" s="7" t="str">
        <f t="shared" si="326"/>
        <v/>
      </c>
      <c r="M4162" s="7" t="str">
        <f t="shared" si="323"/>
        <v/>
      </c>
      <c r="N4162" s="7" t="str">
        <f t="shared" si="327"/>
        <v/>
      </c>
      <c r="O4162" s="8"/>
      <c r="P4162" s="26"/>
      <c r="S4162" s="10" t="str">
        <f t="shared" si="324"/>
        <v/>
      </c>
    </row>
    <row r="4163" spans="5:19" x14ac:dyDescent="0.3">
      <c r="E4163" s="9" t="str">
        <f>IF(DADOS!C4163="","",DADOS!C4163)</f>
        <v/>
      </c>
      <c r="F4163" s="9" t="str">
        <f>IF(DADOS!E4163="","",DADOS!E4163)</f>
        <v/>
      </c>
      <c r="G4163" s="9" t="str">
        <f>IF(DADOS!F4163="","",DADOS!F4163)</f>
        <v/>
      </c>
      <c r="K4163" s="6" t="str">
        <f t="shared" si="325"/>
        <v/>
      </c>
      <c r="L4163" s="7" t="str">
        <f t="shared" si="326"/>
        <v/>
      </c>
      <c r="M4163" s="7" t="str">
        <f t="shared" ref="M4163:M4226" si="328">IF(L4163="","",L4163*G4163)</f>
        <v/>
      </c>
      <c r="N4163" s="7" t="str">
        <f t="shared" si="327"/>
        <v/>
      </c>
      <c r="O4163" s="8"/>
      <c r="P4163" s="26"/>
      <c r="S4163" s="10" t="str">
        <f t="shared" ref="S4163:S4226" si="329">IF(R4163="","",SUMIFS($N$3:$N$10000,$E$3:$E$10000,R4163))</f>
        <v/>
      </c>
    </row>
    <row r="4164" spans="5:19" x14ac:dyDescent="0.3">
      <c r="E4164" s="9" t="str">
        <f>IF(DADOS!C4164="","",DADOS!C4164)</f>
        <v/>
      </c>
      <c r="F4164" s="9" t="str">
        <f>IF(DADOS!E4164="","",DADOS!E4164)</f>
        <v/>
      </c>
      <c r="G4164" s="9" t="str">
        <f>IF(DADOS!F4164="","",DADOS!F4164)</f>
        <v/>
      </c>
      <c r="K4164" s="6" t="str">
        <f t="shared" ref="K4164:K4227" si="330">IF(F4164="","",F4164/PI())</f>
        <v/>
      </c>
      <c r="L4164" s="7" t="str">
        <f t="shared" ref="L4164:L4227" si="331">IF(K4164="","",(PI()*K4164^2)/40000)</f>
        <v/>
      </c>
      <c r="M4164" s="7" t="str">
        <f t="shared" si="328"/>
        <v/>
      </c>
      <c r="N4164" s="7" t="str">
        <f t="shared" ref="N4164:N4227" si="332">IF(M4164="","",M4164*N$1)</f>
        <v/>
      </c>
      <c r="O4164" s="8"/>
      <c r="P4164" s="26"/>
      <c r="S4164" s="10" t="str">
        <f t="shared" si="329"/>
        <v/>
      </c>
    </row>
    <row r="4165" spans="5:19" x14ac:dyDescent="0.3">
      <c r="E4165" s="9" t="str">
        <f>IF(DADOS!C4165="","",DADOS!C4165)</f>
        <v/>
      </c>
      <c r="F4165" s="9" t="str">
        <f>IF(DADOS!E4165="","",DADOS!E4165)</f>
        <v/>
      </c>
      <c r="G4165" s="9" t="str">
        <f>IF(DADOS!F4165="","",DADOS!F4165)</f>
        <v/>
      </c>
      <c r="K4165" s="6" t="str">
        <f t="shared" si="330"/>
        <v/>
      </c>
      <c r="L4165" s="7" t="str">
        <f t="shared" si="331"/>
        <v/>
      </c>
      <c r="M4165" s="7" t="str">
        <f t="shared" si="328"/>
        <v/>
      </c>
      <c r="N4165" s="7" t="str">
        <f t="shared" si="332"/>
        <v/>
      </c>
      <c r="O4165" s="8"/>
      <c r="P4165" s="26"/>
      <c r="S4165" s="10" t="str">
        <f t="shared" si="329"/>
        <v/>
      </c>
    </row>
    <row r="4166" spans="5:19" x14ac:dyDescent="0.3">
      <c r="E4166" s="9" t="str">
        <f>IF(DADOS!C4166="","",DADOS!C4166)</f>
        <v/>
      </c>
      <c r="F4166" s="9" t="str">
        <f>IF(DADOS!E4166="","",DADOS!E4166)</f>
        <v/>
      </c>
      <c r="G4166" s="9" t="str">
        <f>IF(DADOS!F4166="","",DADOS!F4166)</f>
        <v/>
      </c>
      <c r="K4166" s="6" t="str">
        <f t="shared" si="330"/>
        <v/>
      </c>
      <c r="L4166" s="7" t="str">
        <f t="shared" si="331"/>
        <v/>
      </c>
      <c r="M4166" s="7" t="str">
        <f t="shared" si="328"/>
        <v/>
      </c>
      <c r="N4166" s="7" t="str">
        <f t="shared" si="332"/>
        <v/>
      </c>
      <c r="O4166" s="8"/>
      <c r="P4166" s="26"/>
      <c r="S4166" s="10" t="str">
        <f t="shared" si="329"/>
        <v/>
      </c>
    </row>
    <row r="4167" spans="5:19" x14ac:dyDescent="0.3">
      <c r="E4167" s="9" t="str">
        <f>IF(DADOS!C4167="","",DADOS!C4167)</f>
        <v/>
      </c>
      <c r="F4167" s="9" t="str">
        <f>IF(DADOS!E4167="","",DADOS!E4167)</f>
        <v/>
      </c>
      <c r="G4167" s="9" t="str">
        <f>IF(DADOS!F4167="","",DADOS!F4167)</f>
        <v/>
      </c>
      <c r="K4167" s="6" t="str">
        <f t="shared" si="330"/>
        <v/>
      </c>
      <c r="L4167" s="7" t="str">
        <f t="shared" si="331"/>
        <v/>
      </c>
      <c r="M4167" s="7" t="str">
        <f t="shared" si="328"/>
        <v/>
      </c>
      <c r="N4167" s="7" t="str">
        <f t="shared" si="332"/>
        <v/>
      </c>
      <c r="O4167" s="8"/>
      <c r="P4167" s="26"/>
      <c r="S4167" s="10" t="str">
        <f t="shared" si="329"/>
        <v/>
      </c>
    </row>
    <row r="4168" spans="5:19" x14ac:dyDescent="0.3">
      <c r="E4168" s="9" t="str">
        <f>IF(DADOS!C4168="","",DADOS!C4168)</f>
        <v/>
      </c>
      <c r="F4168" s="9" t="str">
        <f>IF(DADOS!E4168="","",DADOS!E4168)</f>
        <v/>
      </c>
      <c r="G4168" s="9" t="str">
        <f>IF(DADOS!F4168="","",DADOS!F4168)</f>
        <v/>
      </c>
      <c r="K4168" s="6" t="str">
        <f t="shared" si="330"/>
        <v/>
      </c>
      <c r="L4168" s="7" t="str">
        <f t="shared" si="331"/>
        <v/>
      </c>
      <c r="M4168" s="7" t="str">
        <f t="shared" si="328"/>
        <v/>
      </c>
      <c r="N4168" s="7" t="str">
        <f t="shared" si="332"/>
        <v/>
      </c>
      <c r="O4168" s="8"/>
      <c r="P4168" s="26"/>
      <c r="S4168" s="10" t="str">
        <f t="shared" si="329"/>
        <v/>
      </c>
    </row>
    <row r="4169" spans="5:19" x14ac:dyDescent="0.3">
      <c r="E4169" s="9" t="str">
        <f>IF(DADOS!C4169="","",DADOS!C4169)</f>
        <v/>
      </c>
      <c r="F4169" s="9" t="str">
        <f>IF(DADOS!E4169="","",DADOS!E4169)</f>
        <v/>
      </c>
      <c r="G4169" s="9" t="str">
        <f>IF(DADOS!F4169="","",DADOS!F4169)</f>
        <v/>
      </c>
      <c r="K4169" s="6" t="str">
        <f t="shared" si="330"/>
        <v/>
      </c>
      <c r="L4169" s="7" t="str">
        <f t="shared" si="331"/>
        <v/>
      </c>
      <c r="M4169" s="7" t="str">
        <f t="shared" si="328"/>
        <v/>
      </c>
      <c r="N4169" s="7" t="str">
        <f t="shared" si="332"/>
        <v/>
      </c>
      <c r="O4169" s="8"/>
      <c r="P4169" s="26"/>
      <c r="S4169" s="10" t="str">
        <f t="shared" si="329"/>
        <v/>
      </c>
    </row>
    <row r="4170" spans="5:19" x14ac:dyDescent="0.3">
      <c r="E4170" s="9" t="str">
        <f>IF(DADOS!C4170="","",DADOS!C4170)</f>
        <v/>
      </c>
      <c r="F4170" s="9" t="str">
        <f>IF(DADOS!E4170="","",DADOS!E4170)</f>
        <v/>
      </c>
      <c r="G4170" s="9" t="str">
        <f>IF(DADOS!F4170="","",DADOS!F4170)</f>
        <v/>
      </c>
      <c r="K4170" s="6" t="str">
        <f t="shared" si="330"/>
        <v/>
      </c>
      <c r="L4170" s="7" t="str">
        <f t="shared" si="331"/>
        <v/>
      </c>
      <c r="M4170" s="7" t="str">
        <f t="shared" si="328"/>
        <v/>
      </c>
      <c r="N4170" s="7" t="str">
        <f t="shared" si="332"/>
        <v/>
      </c>
      <c r="O4170" s="8"/>
      <c r="P4170" s="26"/>
      <c r="S4170" s="10" t="str">
        <f t="shared" si="329"/>
        <v/>
      </c>
    </row>
    <row r="4171" spans="5:19" x14ac:dyDescent="0.3">
      <c r="E4171" s="9" t="str">
        <f>IF(DADOS!C4171="","",DADOS!C4171)</f>
        <v/>
      </c>
      <c r="F4171" s="9" t="str">
        <f>IF(DADOS!E4171="","",DADOS!E4171)</f>
        <v/>
      </c>
      <c r="G4171" s="9" t="str">
        <f>IF(DADOS!F4171="","",DADOS!F4171)</f>
        <v/>
      </c>
      <c r="K4171" s="6" t="str">
        <f t="shared" si="330"/>
        <v/>
      </c>
      <c r="L4171" s="7" t="str">
        <f t="shared" si="331"/>
        <v/>
      </c>
      <c r="M4171" s="7" t="str">
        <f t="shared" si="328"/>
        <v/>
      </c>
      <c r="N4171" s="7" t="str">
        <f t="shared" si="332"/>
        <v/>
      </c>
      <c r="O4171" s="8"/>
      <c r="P4171" s="26"/>
      <c r="S4171" s="10" t="str">
        <f t="shared" si="329"/>
        <v/>
      </c>
    </row>
    <row r="4172" spans="5:19" x14ac:dyDescent="0.3">
      <c r="E4172" s="9" t="str">
        <f>IF(DADOS!C4172="","",DADOS!C4172)</f>
        <v/>
      </c>
      <c r="F4172" s="9" t="str">
        <f>IF(DADOS!E4172="","",DADOS!E4172)</f>
        <v/>
      </c>
      <c r="G4172" s="9" t="str">
        <f>IF(DADOS!F4172="","",DADOS!F4172)</f>
        <v/>
      </c>
      <c r="K4172" s="6" t="str">
        <f t="shared" si="330"/>
        <v/>
      </c>
      <c r="L4172" s="7" t="str">
        <f t="shared" si="331"/>
        <v/>
      </c>
      <c r="M4172" s="7" t="str">
        <f t="shared" si="328"/>
        <v/>
      </c>
      <c r="N4172" s="7" t="str">
        <f t="shared" si="332"/>
        <v/>
      </c>
      <c r="O4172" s="8"/>
      <c r="P4172" s="26"/>
      <c r="S4172" s="10" t="str">
        <f t="shared" si="329"/>
        <v/>
      </c>
    </row>
    <row r="4173" spans="5:19" x14ac:dyDescent="0.3">
      <c r="E4173" s="9" t="str">
        <f>IF(DADOS!C4173="","",DADOS!C4173)</f>
        <v/>
      </c>
      <c r="F4173" s="9" t="str">
        <f>IF(DADOS!E4173="","",DADOS!E4173)</f>
        <v/>
      </c>
      <c r="G4173" s="9" t="str">
        <f>IF(DADOS!F4173="","",DADOS!F4173)</f>
        <v/>
      </c>
      <c r="K4173" s="6" t="str">
        <f t="shared" si="330"/>
        <v/>
      </c>
      <c r="L4173" s="7" t="str">
        <f t="shared" si="331"/>
        <v/>
      </c>
      <c r="M4173" s="7" t="str">
        <f t="shared" si="328"/>
        <v/>
      </c>
      <c r="N4173" s="7" t="str">
        <f t="shared" si="332"/>
        <v/>
      </c>
      <c r="O4173" s="8"/>
      <c r="P4173" s="26"/>
      <c r="S4173" s="10" t="str">
        <f t="shared" si="329"/>
        <v/>
      </c>
    </row>
    <row r="4174" spans="5:19" x14ac:dyDescent="0.3">
      <c r="E4174" s="9" t="str">
        <f>IF(DADOS!C4174="","",DADOS!C4174)</f>
        <v/>
      </c>
      <c r="F4174" s="9" t="str">
        <f>IF(DADOS!E4174="","",DADOS!E4174)</f>
        <v/>
      </c>
      <c r="G4174" s="9" t="str">
        <f>IF(DADOS!F4174="","",DADOS!F4174)</f>
        <v/>
      </c>
      <c r="K4174" s="6" t="str">
        <f t="shared" si="330"/>
        <v/>
      </c>
      <c r="L4174" s="7" t="str">
        <f t="shared" si="331"/>
        <v/>
      </c>
      <c r="M4174" s="7" t="str">
        <f t="shared" si="328"/>
        <v/>
      </c>
      <c r="N4174" s="7" t="str">
        <f t="shared" si="332"/>
        <v/>
      </c>
      <c r="O4174" s="8"/>
      <c r="P4174" s="26"/>
      <c r="S4174" s="10" t="str">
        <f t="shared" si="329"/>
        <v/>
      </c>
    </row>
    <row r="4175" spans="5:19" x14ac:dyDescent="0.3">
      <c r="E4175" s="9" t="str">
        <f>IF(DADOS!C4175="","",DADOS!C4175)</f>
        <v/>
      </c>
      <c r="F4175" s="9" t="str">
        <f>IF(DADOS!E4175="","",DADOS!E4175)</f>
        <v/>
      </c>
      <c r="G4175" s="9" t="str">
        <f>IF(DADOS!F4175="","",DADOS!F4175)</f>
        <v/>
      </c>
      <c r="K4175" s="6" t="str">
        <f t="shared" si="330"/>
        <v/>
      </c>
      <c r="L4175" s="7" t="str">
        <f t="shared" si="331"/>
        <v/>
      </c>
      <c r="M4175" s="7" t="str">
        <f t="shared" si="328"/>
        <v/>
      </c>
      <c r="N4175" s="7" t="str">
        <f t="shared" si="332"/>
        <v/>
      </c>
      <c r="O4175" s="8"/>
      <c r="P4175" s="26"/>
      <c r="S4175" s="10" t="str">
        <f t="shared" si="329"/>
        <v/>
      </c>
    </row>
    <row r="4176" spans="5:19" x14ac:dyDescent="0.3">
      <c r="E4176" s="9" t="str">
        <f>IF(DADOS!C4176="","",DADOS!C4176)</f>
        <v/>
      </c>
      <c r="F4176" s="9" t="str">
        <f>IF(DADOS!E4176="","",DADOS!E4176)</f>
        <v/>
      </c>
      <c r="G4176" s="9" t="str">
        <f>IF(DADOS!F4176="","",DADOS!F4176)</f>
        <v/>
      </c>
      <c r="K4176" s="6" t="str">
        <f t="shared" si="330"/>
        <v/>
      </c>
      <c r="L4176" s="7" t="str">
        <f t="shared" si="331"/>
        <v/>
      </c>
      <c r="M4176" s="7" t="str">
        <f t="shared" si="328"/>
        <v/>
      </c>
      <c r="N4176" s="7" t="str">
        <f t="shared" si="332"/>
        <v/>
      </c>
      <c r="O4176" s="8"/>
      <c r="P4176" s="26"/>
      <c r="S4176" s="10" t="str">
        <f t="shared" si="329"/>
        <v/>
      </c>
    </row>
    <row r="4177" spans="5:19" x14ac:dyDescent="0.3">
      <c r="E4177" s="9" t="str">
        <f>IF(DADOS!C4177="","",DADOS!C4177)</f>
        <v/>
      </c>
      <c r="F4177" s="9" t="str">
        <f>IF(DADOS!E4177="","",DADOS!E4177)</f>
        <v/>
      </c>
      <c r="G4177" s="9" t="str">
        <f>IF(DADOS!F4177="","",DADOS!F4177)</f>
        <v/>
      </c>
      <c r="K4177" s="6" t="str">
        <f t="shared" si="330"/>
        <v/>
      </c>
      <c r="L4177" s="7" t="str">
        <f t="shared" si="331"/>
        <v/>
      </c>
      <c r="M4177" s="7" t="str">
        <f t="shared" si="328"/>
        <v/>
      </c>
      <c r="N4177" s="7" t="str">
        <f t="shared" si="332"/>
        <v/>
      </c>
      <c r="O4177" s="8"/>
      <c r="P4177" s="26"/>
      <c r="S4177" s="10" t="str">
        <f t="shared" si="329"/>
        <v/>
      </c>
    </row>
    <row r="4178" spans="5:19" x14ac:dyDescent="0.3">
      <c r="E4178" s="9" t="str">
        <f>IF(DADOS!C4178="","",DADOS!C4178)</f>
        <v/>
      </c>
      <c r="F4178" s="9" t="str">
        <f>IF(DADOS!E4178="","",DADOS!E4178)</f>
        <v/>
      </c>
      <c r="G4178" s="9" t="str">
        <f>IF(DADOS!F4178="","",DADOS!F4178)</f>
        <v/>
      </c>
      <c r="K4178" s="6" t="str">
        <f t="shared" si="330"/>
        <v/>
      </c>
      <c r="L4178" s="7" t="str">
        <f t="shared" si="331"/>
        <v/>
      </c>
      <c r="M4178" s="7" t="str">
        <f t="shared" si="328"/>
        <v/>
      </c>
      <c r="N4178" s="7" t="str">
        <f t="shared" si="332"/>
        <v/>
      </c>
      <c r="O4178" s="8"/>
      <c r="P4178" s="26"/>
      <c r="S4178" s="10" t="str">
        <f t="shared" si="329"/>
        <v/>
      </c>
    </row>
    <row r="4179" spans="5:19" x14ac:dyDescent="0.3">
      <c r="E4179" s="9" t="str">
        <f>IF(DADOS!C4179="","",DADOS!C4179)</f>
        <v/>
      </c>
      <c r="F4179" s="9" t="str">
        <f>IF(DADOS!E4179="","",DADOS!E4179)</f>
        <v/>
      </c>
      <c r="G4179" s="9" t="str">
        <f>IF(DADOS!F4179="","",DADOS!F4179)</f>
        <v/>
      </c>
      <c r="K4179" s="6" t="str">
        <f t="shared" si="330"/>
        <v/>
      </c>
      <c r="L4179" s="7" t="str">
        <f t="shared" si="331"/>
        <v/>
      </c>
      <c r="M4179" s="7" t="str">
        <f t="shared" si="328"/>
        <v/>
      </c>
      <c r="N4179" s="7" t="str">
        <f t="shared" si="332"/>
        <v/>
      </c>
      <c r="O4179" s="8"/>
      <c r="P4179" s="26"/>
      <c r="S4179" s="10" t="str">
        <f t="shared" si="329"/>
        <v/>
      </c>
    </row>
    <row r="4180" spans="5:19" x14ac:dyDescent="0.3">
      <c r="E4180" s="9" t="str">
        <f>IF(DADOS!C4180="","",DADOS!C4180)</f>
        <v/>
      </c>
      <c r="F4180" s="9" t="str">
        <f>IF(DADOS!E4180="","",DADOS!E4180)</f>
        <v/>
      </c>
      <c r="G4180" s="9" t="str">
        <f>IF(DADOS!F4180="","",DADOS!F4180)</f>
        <v/>
      </c>
      <c r="K4180" s="6" t="str">
        <f t="shared" si="330"/>
        <v/>
      </c>
      <c r="L4180" s="7" t="str">
        <f t="shared" si="331"/>
        <v/>
      </c>
      <c r="M4180" s="7" t="str">
        <f t="shared" si="328"/>
        <v/>
      </c>
      <c r="N4180" s="7" t="str">
        <f t="shared" si="332"/>
        <v/>
      </c>
      <c r="O4180" s="8"/>
      <c r="P4180" s="26"/>
      <c r="S4180" s="10" t="str">
        <f t="shared" si="329"/>
        <v/>
      </c>
    </row>
    <row r="4181" spans="5:19" x14ac:dyDescent="0.3">
      <c r="E4181" s="9" t="str">
        <f>IF(DADOS!C4181="","",DADOS!C4181)</f>
        <v/>
      </c>
      <c r="F4181" s="9" t="str">
        <f>IF(DADOS!E4181="","",DADOS!E4181)</f>
        <v/>
      </c>
      <c r="G4181" s="9" t="str">
        <f>IF(DADOS!F4181="","",DADOS!F4181)</f>
        <v/>
      </c>
      <c r="K4181" s="6" t="str">
        <f t="shared" si="330"/>
        <v/>
      </c>
      <c r="L4181" s="7" t="str">
        <f t="shared" si="331"/>
        <v/>
      </c>
      <c r="M4181" s="7" t="str">
        <f t="shared" si="328"/>
        <v/>
      </c>
      <c r="N4181" s="7" t="str">
        <f t="shared" si="332"/>
        <v/>
      </c>
      <c r="O4181" s="8"/>
      <c r="P4181" s="26"/>
      <c r="S4181" s="10" t="str">
        <f t="shared" si="329"/>
        <v/>
      </c>
    </row>
    <row r="4182" spans="5:19" x14ac:dyDescent="0.3">
      <c r="E4182" s="9" t="str">
        <f>IF(DADOS!C4182="","",DADOS!C4182)</f>
        <v/>
      </c>
      <c r="F4182" s="9" t="str">
        <f>IF(DADOS!E4182="","",DADOS!E4182)</f>
        <v/>
      </c>
      <c r="G4182" s="9" t="str">
        <f>IF(DADOS!F4182="","",DADOS!F4182)</f>
        <v/>
      </c>
      <c r="K4182" s="6" t="str">
        <f t="shared" si="330"/>
        <v/>
      </c>
      <c r="L4182" s="7" t="str">
        <f t="shared" si="331"/>
        <v/>
      </c>
      <c r="M4182" s="7" t="str">
        <f t="shared" si="328"/>
        <v/>
      </c>
      <c r="N4182" s="7" t="str">
        <f t="shared" si="332"/>
        <v/>
      </c>
      <c r="O4182" s="8"/>
      <c r="P4182" s="26"/>
      <c r="S4182" s="10" t="str">
        <f t="shared" si="329"/>
        <v/>
      </c>
    </row>
    <row r="4183" spans="5:19" x14ac:dyDescent="0.3">
      <c r="E4183" s="9" t="str">
        <f>IF(DADOS!C4183="","",DADOS!C4183)</f>
        <v/>
      </c>
      <c r="F4183" s="9" t="str">
        <f>IF(DADOS!E4183="","",DADOS!E4183)</f>
        <v/>
      </c>
      <c r="G4183" s="9" t="str">
        <f>IF(DADOS!F4183="","",DADOS!F4183)</f>
        <v/>
      </c>
      <c r="K4183" s="6" t="str">
        <f t="shared" si="330"/>
        <v/>
      </c>
      <c r="L4183" s="7" t="str">
        <f t="shared" si="331"/>
        <v/>
      </c>
      <c r="M4183" s="7" t="str">
        <f t="shared" si="328"/>
        <v/>
      </c>
      <c r="N4183" s="7" t="str">
        <f t="shared" si="332"/>
        <v/>
      </c>
      <c r="O4183" s="8"/>
      <c r="P4183" s="26"/>
      <c r="S4183" s="10" t="str">
        <f t="shared" si="329"/>
        <v/>
      </c>
    </row>
    <row r="4184" spans="5:19" x14ac:dyDescent="0.3">
      <c r="E4184" s="9" t="str">
        <f>IF(DADOS!C4184="","",DADOS!C4184)</f>
        <v/>
      </c>
      <c r="F4184" s="9" t="str">
        <f>IF(DADOS!E4184="","",DADOS!E4184)</f>
        <v/>
      </c>
      <c r="G4184" s="9" t="str">
        <f>IF(DADOS!F4184="","",DADOS!F4184)</f>
        <v/>
      </c>
      <c r="K4184" s="6" t="str">
        <f t="shared" si="330"/>
        <v/>
      </c>
      <c r="L4184" s="7" t="str">
        <f t="shared" si="331"/>
        <v/>
      </c>
      <c r="M4184" s="7" t="str">
        <f t="shared" si="328"/>
        <v/>
      </c>
      <c r="N4184" s="7" t="str">
        <f t="shared" si="332"/>
        <v/>
      </c>
      <c r="O4184" s="8"/>
      <c r="P4184" s="26"/>
      <c r="S4184" s="10" t="str">
        <f t="shared" si="329"/>
        <v/>
      </c>
    </row>
    <row r="4185" spans="5:19" x14ac:dyDescent="0.3">
      <c r="E4185" s="9" t="str">
        <f>IF(DADOS!C4185="","",DADOS!C4185)</f>
        <v/>
      </c>
      <c r="F4185" s="9" t="str">
        <f>IF(DADOS!E4185="","",DADOS!E4185)</f>
        <v/>
      </c>
      <c r="G4185" s="9" t="str">
        <f>IF(DADOS!F4185="","",DADOS!F4185)</f>
        <v/>
      </c>
      <c r="K4185" s="6" t="str">
        <f t="shared" si="330"/>
        <v/>
      </c>
      <c r="L4185" s="7" t="str">
        <f t="shared" si="331"/>
        <v/>
      </c>
      <c r="M4185" s="7" t="str">
        <f t="shared" si="328"/>
        <v/>
      </c>
      <c r="N4185" s="7" t="str">
        <f t="shared" si="332"/>
        <v/>
      </c>
      <c r="O4185" s="8"/>
      <c r="P4185" s="26"/>
      <c r="S4185" s="10" t="str">
        <f t="shared" si="329"/>
        <v/>
      </c>
    </row>
    <row r="4186" spans="5:19" x14ac:dyDescent="0.3">
      <c r="E4186" s="9" t="str">
        <f>IF(DADOS!C4186="","",DADOS!C4186)</f>
        <v/>
      </c>
      <c r="F4186" s="9" t="str">
        <f>IF(DADOS!E4186="","",DADOS!E4186)</f>
        <v/>
      </c>
      <c r="G4186" s="9" t="str">
        <f>IF(DADOS!F4186="","",DADOS!F4186)</f>
        <v/>
      </c>
      <c r="K4186" s="6" t="str">
        <f t="shared" si="330"/>
        <v/>
      </c>
      <c r="L4186" s="7" t="str">
        <f t="shared" si="331"/>
        <v/>
      </c>
      <c r="M4186" s="7" t="str">
        <f t="shared" si="328"/>
        <v/>
      </c>
      <c r="N4186" s="7" t="str">
        <f t="shared" si="332"/>
        <v/>
      </c>
      <c r="O4186" s="8"/>
      <c r="P4186" s="26"/>
      <c r="S4186" s="10" t="str">
        <f t="shared" si="329"/>
        <v/>
      </c>
    </row>
    <row r="4187" spans="5:19" x14ac:dyDescent="0.3">
      <c r="E4187" s="9" t="str">
        <f>IF(DADOS!C4187="","",DADOS!C4187)</f>
        <v/>
      </c>
      <c r="F4187" s="9" t="str">
        <f>IF(DADOS!E4187="","",DADOS!E4187)</f>
        <v/>
      </c>
      <c r="G4187" s="9" t="str">
        <f>IF(DADOS!F4187="","",DADOS!F4187)</f>
        <v/>
      </c>
      <c r="K4187" s="6" t="str">
        <f t="shared" si="330"/>
        <v/>
      </c>
      <c r="L4187" s="7" t="str">
        <f t="shared" si="331"/>
        <v/>
      </c>
      <c r="M4187" s="7" t="str">
        <f t="shared" si="328"/>
        <v/>
      </c>
      <c r="N4187" s="7" t="str">
        <f t="shared" si="332"/>
        <v/>
      </c>
      <c r="O4187" s="8"/>
      <c r="P4187" s="26"/>
      <c r="S4187" s="10" t="str">
        <f t="shared" si="329"/>
        <v/>
      </c>
    </row>
    <row r="4188" spans="5:19" x14ac:dyDescent="0.3">
      <c r="E4188" s="9" t="str">
        <f>IF(DADOS!C4188="","",DADOS!C4188)</f>
        <v/>
      </c>
      <c r="F4188" s="9" t="str">
        <f>IF(DADOS!E4188="","",DADOS!E4188)</f>
        <v/>
      </c>
      <c r="G4188" s="9" t="str">
        <f>IF(DADOS!F4188="","",DADOS!F4188)</f>
        <v/>
      </c>
      <c r="K4188" s="6" t="str">
        <f t="shared" si="330"/>
        <v/>
      </c>
      <c r="L4188" s="7" t="str">
        <f t="shared" si="331"/>
        <v/>
      </c>
      <c r="M4188" s="7" t="str">
        <f t="shared" si="328"/>
        <v/>
      </c>
      <c r="N4188" s="7" t="str">
        <f t="shared" si="332"/>
        <v/>
      </c>
      <c r="O4188" s="8"/>
      <c r="P4188" s="26"/>
      <c r="S4188" s="10" t="str">
        <f t="shared" si="329"/>
        <v/>
      </c>
    </row>
    <row r="4189" spans="5:19" x14ac:dyDescent="0.3">
      <c r="E4189" s="9" t="str">
        <f>IF(DADOS!C4189="","",DADOS!C4189)</f>
        <v/>
      </c>
      <c r="F4189" s="9" t="str">
        <f>IF(DADOS!E4189="","",DADOS!E4189)</f>
        <v/>
      </c>
      <c r="G4189" s="9" t="str">
        <f>IF(DADOS!F4189="","",DADOS!F4189)</f>
        <v/>
      </c>
      <c r="K4189" s="6" t="str">
        <f t="shared" si="330"/>
        <v/>
      </c>
      <c r="L4189" s="7" t="str">
        <f t="shared" si="331"/>
        <v/>
      </c>
      <c r="M4189" s="7" t="str">
        <f t="shared" si="328"/>
        <v/>
      </c>
      <c r="N4189" s="7" t="str">
        <f t="shared" si="332"/>
        <v/>
      </c>
      <c r="O4189" s="8"/>
      <c r="P4189" s="26"/>
      <c r="S4189" s="10" t="str">
        <f t="shared" si="329"/>
        <v/>
      </c>
    </row>
    <row r="4190" spans="5:19" x14ac:dyDescent="0.3">
      <c r="E4190" s="9" t="str">
        <f>IF(DADOS!C4190="","",DADOS!C4190)</f>
        <v/>
      </c>
      <c r="F4190" s="9" t="str">
        <f>IF(DADOS!E4190="","",DADOS!E4190)</f>
        <v/>
      </c>
      <c r="G4190" s="9" t="str">
        <f>IF(DADOS!F4190="","",DADOS!F4190)</f>
        <v/>
      </c>
      <c r="K4190" s="6" t="str">
        <f t="shared" si="330"/>
        <v/>
      </c>
      <c r="L4190" s="7" t="str">
        <f t="shared" si="331"/>
        <v/>
      </c>
      <c r="M4190" s="7" t="str">
        <f t="shared" si="328"/>
        <v/>
      </c>
      <c r="N4190" s="7" t="str">
        <f t="shared" si="332"/>
        <v/>
      </c>
      <c r="O4190" s="8"/>
      <c r="P4190" s="26"/>
      <c r="S4190" s="10" t="str">
        <f t="shared" si="329"/>
        <v/>
      </c>
    </row>
    <row r="4191" spans="5:19" x14ac:dyDescent="0.3">
      <c r="E4191" s="9" t="str">
        <f>IF(DADOS!C4191="","",DADOS!C4191)</f>
        <v/>
      </c>
      <c r="F4191" s="9" t="str">
        <f>IF(DADOS!E4191="","",DADOS!E4191)</f>
        <v/>
      </c>
      <c r="G4191" s="9" t="str">
        <f>IF(DADOS!F4191="","",DADOS!F4191)</f>
        <v/>
      </c>
      <c r="K4191" s="6" t="str">
        <f t="shared" si="330"/>
        <v/>
      </c>
      <c r="L4191" s="7" t="str">
        <f t="shared" si="331"/>
        <v/>
      </c>
      <c r="M4191" s="7" t="str">
        <f t="shared" si="328"/>
        <v/>
      </c>
      <c r="N4191" s="7" t="str">
        <f t="shared" si="332"/>
        <v/>
      </c>
      <c r="O4191" s="8"/>
      <c r="P4191" s="26"/>
      <c r="S4191" s="10" t="str">
        <f t="shared" si="329"/>
        <v/>
      </c>
    </row>
    <row r="4192" spans="5:19" x14ac:dyDescent="0.3">
      <c r="E4192" s="9" t="str">
        <f>IF(DADOS!C4192="","",DADOS!C4192)</f>
        <v/>
      </c>
      <c r="F4192" s="9" t="str">
        <f>IF(DADOS!E4192="","",DADOS!E4192)</f>
        <v/>
      </c>
      <c r="G4192" s="9" t="str">
        <f>IF(DADOS!F4192="","",DADOS!F4192)</f>
        <v/>
      </c>
      <c r="K4192" s="6" t="str">
        <f t="shared" si="330"/>
        <v/>
      </c>
      <c r="L4192" s="7" t="str">
        <f t="shared" si="331"/>
        <v/>
      </c>
      <c r="M4192" s="7" t="str">
        <f t="shared" si="328"/>
        <v/>
      </c>
      <c r="N4192" s="7" t="str">
        <f t="shared" si="332"/>
        <v/>
      </c>
      <c r="O4192" s="8"/>
      <c r="P4192" s="26"/>
      <c r="S4192" s="10" t="str">
        <f t="shared" si="329"/>
        <v/>
      </c>
    </row>
    <row r="4193" spans="5:19" x14ac:dyDescent="0.3">
      <c r="E4193" s="9" t="str">
        <f>IF(DADOS!C4193="","",DADOS!C4193)</f>
        <v/>
      </c>
      <c r="F4193" s="9" t="str">
        <f>IF(DADOS!E4193="","",DADOS!E4193)</f>
        <v/>
      </c>
      <c r="G4193" s="9" t="str">
        <f>IF(DADOS!F4193="","",DADOS!F4193)</f>
        <v/>
      </c>
      <c r="K4193" s="6" t="str">
        <f t="shared" si="330"/>
        <v/>
      </c>
      <c r="L4193" s="7" t="str">
        <f t="shared" si="331"/>
        <v/>
      </c>
      <c r="M4193" s="7" t="str">
        <f t="shared" si="328"/>
        <v/>
      </c>
      <c r="N4193" s="7" t="str">
        <f t="shared" si="332"/>
        <v/>
      </c>
      <c r="O4193" s="8"/>
      <c r="P4193" s="26"/>
      <c r="S4193" s="10" t="str">
        <f t="shared" si="329"/>
        <v/>
      </c>
    </row>
    <row r="4194" spans="5:19" x14ac:dyDescent="0.3">
      <c r="E4194" s="9" t="str">
        <f>IF(DADOS!C4194="","",DADOS!C4194)</f>
        <v/>
      </c>
      <c r="F4194" s="9" t="str">
        <f>IF(DADOS!E4194="","",DADOS!E4194)</f>
        <v/>
      </c>
      <c r="G4194" s="9" t="str">
        <f>IF(DADOS!F4194="","",DADOS!F4194)</f>
        <v/>
      </c>
      <c r="K4194" s="6" t="str">
        <f t="shared" si="330"/>
        <v/>
      </c>
      <c r="L4194" s="7" t="str">
        <f t="shared" si="331"/>
        <v/>
      </c>
      <c r="M4194" s="7" t="str">
        <f t="shared" si="328"/>
        <v/>
      </c>
      <c r="N4194" s="7" t="str">
        <f t="shared" si="332"/>
        <v/>
      </c>
      <c r="O4194" s="8"/>
      <c r="P4194" s="26"/>
      <c r="S4194" s="10" t="str">
        <f t="shared" si="329"/>
        <v/>
      </c>
    </row>
    <row r="4195" spans="5:19" x14ac:dyDescent="0.3">
      <c r="E4195" s="9" t="str">
        <f>IF(DADOS!C4195="","",DADOS!C4195)</f>
        <v/>
      </c>
      <c r="F4195" s="9" t="str">
        <f>IF(DADOS!E4195="","",DADOS!E4195)</f>
        <v/>
      </c>
      <c r="G4195" s="9" t="str">
        <f>IF(DADOS!F4195="","",DADOS!F4195)</f>
        <v/>
      </c>
      <c r="K4195" s="6" t="str">
        <f t="shared" si="330"/>
        <v/>
      </c>
      <c r="L4195" s="7" t="str">
        <f t="shared" si="331"/>
        <v/>
      </c>
      <c r="M4195" s="7" t="str">
        <f t="shared" si="328"/>
        <v/>
      </c>
      <c r="N4195" s="7" t="str">
        <f t="shared" si="332"/>
        <v/>
      </c>
      <c r="O4195" s="8"/>
      <c r="P4195" s="26"/>
      <c r="S4195" s="10" t="str">
        <f t="shared" si="329"/>
        <v/>
      </c>
    </row>
    <row r="4196" spans="5:19" x14ac:dyDescent="0.3">
      <c r="E4196" s="9" t="str">
        <f>IF(DADOS!C4196="","",DADOS!C4196)</f>
        <v/>
      </c>
      <c r="F4196" s="9" t="str">
        <f>IF(DADOS!E4196="","",DADOS!E4196)</f>
        <v/>
      </c>
      <c r="G4196" s="9" t="str">
        <f>IF(DADOS!F4196="","",DADOS!F4196)</f>
        <v/>
      </c>
      <c r="K4196" s="6" t="str">
        <f t="shared" si="330"/>
        <v/>
      </c>
      <c r="L4196" s="7" t="str">
        <f t="shared" si="331"/>
        <v/>
      </c>
      <c r="M4196" s="7" t="str">
        <f t="shared" si="328"/>
        <v/>
      </c>
      <c r="N4196" s="7" t="str">
        <f t="shared" si="332"/>
        <v/>
      </c>
      <c r="O4196" s="8"/>
      <c r="P4196" s="26"/>
      <c r="S4196" s="10" t="str">
        <f t="shared" si="329"/>
        <v/>
      </c>
    </row>
    <row r="4197" spans="5:19" x14ac:dyDescent="0.3">
      <c r="E4197" s="9" t="str">
        <f>IF(DADOS!C4197="","",DADOS!C4197)</f>
        <v/>
      </c>
      <c r="F4197" s="9" t="str">
        <f>IF(DADOS!E4197="","",DADOS!E4197)</f>
        <v/>
      </c>
      <c r="G4197" s="9" t="str">
        <f>IF(DADOS!F4197="","",DADOS!F4197)</f>
        <v/>
      </c>
      <c r="K4197" s="6" t="str">
        <f t="shared" si="330"/>
        <v/>
      </c>
      <c r="L4197" s="7" t="str">
        <f t="shared" si="331"/>
        <v/>
      </c>
      <c r="M4197" s="7" t="str">
        <f t="shared" si="328"/>
        <v/>
      </c>
      <c r="N4197" s="7" t="str">
        <f t="shared" si="332"/>
        <v/>
      </c>
      <c r="O4197" s="8"/>
      <c r="P4197" s="26"/>
      <c r="S4197" s="10" t="str">
        <f t="shared" si="329"/>
        <v/>
      </c>
    </row>
    <row r="4198" spans="5:19" x14ac:dyDescent="0.3">
      <c r="E4198" s="9" t="str">
        <f>IF(DADOS!C4198="","",DADOS!C4198)</f>
        <v/>
      </c>
      <c r="F4198" s="9" t="str">
        <f>IF(DADOS!E4198="","",DADOS!E4198)</f>
        <v/>
      </c>
      <c r="G4198" s="9" t="str">
        <f>IF(DADOS!F4198="","",DADOS!F4198)</f>
        <v/>
      </c>
      <c r="K4198" s="6" t="str">
        <f t="shared" si="330"/>
        <v/>
      </c>
      <c r="L4198" s="7" t="str">
        <f t="shared" si="331"/>
        <v/>
      </c>
      <c r="M4198" s="7" t="str">
        <f t="shared" si="328"/>
        <v/>
      </c>
      <c r="N4198" s="7" t="str">
        <f t="shared" si="332"/>
        <v/>
      </c>
      <c r="O4198" s="8"/>
      <c r="P4198" s="26"/>
      <c r="S4198" s="10" t="str">
        <f t="shared" si="329"/>
        <v/>
      </c>
    </row>
    <row r="4199" spans="5:19" x14ac:dyDescent="0.3">
      <c r="E4199" s="9" t="str">
        <f>IF(DADOS!C4199="","",DADOS!C4199)</f>
        <v/>
      </c>
      <c r="F4199" s="9" t="str">
        <f>IF(DADOS!E4199="","",DADOS!E4199)</f>
        <v/>
      </c>
      <c r="G4199" s="9" t="str">
        <f>IF(DADOS!F4199="","",DADOS!F4199)</f>
        <v/>
      </c>
      <c r="K4199" s="6" t="str">
        <f t="shared" si="330"/>
        <v/>
      </c>
      <c r="L4199" s="7" t="str">
        <f t="shared" si="331"/>
        <v/>
      </c>
      <c r="M4199" s="7" t="str">
        <f t="shared" si="328"/>
        <v/>
      </c>
      <c r="N4199" s="7" t="str">
        <f t="shared" si="332"/>
        <v/>
      </c>
      <c r="O4199" s="8"/>
      <c r="P4199" s="26"/>
      <c r="S4199" s="10" t="str">
        <f t="shared" si="329"/>
        <v/>
      </c>
    </row>
    <row r="4200" spans="5:19" x14ac:dyDescent="0.3">
      <c r="E4200" s="9" t="str">
        <f>IF(DADOS!C4200="","",DADOS!C4200)</f>
        <v/>
      </c>
      <c r="F4200" s="9" t="str">
        <f>IF(DADOS!E4200="","",DADOS!E4200)</f>
        <v/>
      </c>
      <c r="G4200" s="9" t="str">
        <f>IF(DADOS!F4200="","",DADOS!F4200)</f>
        <v/>
      </c>
      <c r="K4200" s="6" t="str">
        <f t="shared" si="330"/>
        <v/>
      </c>
      <c r="L4200" s="7" t="str">
        <f t="shared" si="331"/>
        <v/>
      </c>
      <c r="M4200" s="7" t="str">
        <f t="shared" si="328"/>
        <v/>
      </c>
      <c r="N4200" s="7" t="str">
        <f t="shared" si="332"/>
        <v/>
      </c>
      <c r="O4200" s="8"/>
      <c r="P4200" s="26"/>
      <c r="S4200" s="10" t="str">
        <f t="shared" si="329"/>
        <v/>
      </c>
    </row>
    <row r="4201" spans="5:19" x14ac:dyDescent="0.3">
      <c r="E4201" s="9" t="str">
        <f>IF(DADOS!C4201="","",DADOS!C4201)</f>
        <v/>
      </c>
      <c r="F4201" s="9" t="str">
        <f>IF(DADOS!E4201="","",DADOS!E4201)</f>
        <v/>
      </c>
      <c r="G4201" s="9" t="str">
        <f>IF(DADOS!F4201="","",DADOS!F4201)</f>
        <v/>
      </c>
      <c r="K4201" s="6" t="str">
        <f t="shared" si="330"/>
        <v/>
      </c>
      <c r="L4201" s="7" t="str">
        <f t="shared" si="331"/>
        <v/>
      </c>
      <c r="M4201" s="7" t="str">
        <f t="shared" si="328"/>
        <v/>
      </c>
      <c r="N4201" s="7" t="str">
        <f t="shared" si="332"/>
        <v/>
      </c>
      <c r="O4201" s="8"/>
      <c r="P4201" s="26"/>
      <c r="S4201" s="10" t="str">
        <f t="shared" si="329"/>
        <v/>
      </c>
    </row>
    <row r="4202" spans="5:19" x14ac:dyDescent="0.3">
      <c r="E4202" s="9" t="str">
        <f>IF(DADOS!C4202="","",DADOS!C4202)</f>
        <v/>
      </c>
      <c r="F4202" s="9" t="str">
        <f>IF(DADOS!E4202="","",DADOS!E4202)</f>
        <v/>
      </c>
      <c r="G4202" s="9" t="str">
        <f>IF(DADOS!F4202="","",DADOS!F4202)</f>
        <v/>
      </c>
      <c r="K4202" s="6" t="str">
        <f t="shared" si="330"/>
        <v/>
      </c>
      <c r="L4202" s="7" t="str">
        <f t="shared" si="331"/>
        <v/>
      </c>
      <c r="M4202" s="7" t="str">
        <f t="shared" si="328"/>
        <v/>
      </c>
      <c r="N4202" s="7" t="str">
        <f t="shared" si="332"/>
        <v/>
      </c>
      <c r="O4202" s="8"/>
      <c r="P4202" s="26"/>
      <c r="S4202" s="10" t="str">
        <f t="shared" si="329"/>
        <v/>
      </c>
    </row>
    <row r="4203" spans="5:19" x14ac:dyDescent="0.3">
      <c r="E4203" s="9" t="str">
        <f>IF(DADOS!C4203="","",DADOS!C4203)</f>
        <v/>
      </c>
      <c r="F4203" s="9" t="str">
        <f>IF(DADOS!E4203="","",DADOS!E4203)</f>
        <v/>
      </c>
      <c r="G4203" s="9" t="str">
        <f>IF(DADOS!F4203="","",DADOS!F4203)</f>
        <v/>
      </c>
      <c r="K4203" s="6" t="str">
        <f t="shared" si="330"/>
        <v/>
      </c>
      <c r="L4203" s="7" t="str">
        <f t="shared" si="331"/>
        <v/>
      </c>
      <c r="M4203" s="7" t="str">
        <f t="shared" si="328"/>
        <v/>
      </c>
      <c r="N4203" s="7" t="str">
        <f t="shared" si="332"/>
        <v/>
      </c>
      <c r="O4203" s="8"/>
      <c r="P4203" s="26"/>
      <c r="S4203" s="10" t="str">
        <f t="shared" si="329"/>
        <v/>
      </c>
    </row>
    <row r="4204" spans="5:19" x14ac:dyDescent="0.3">
      <c r="E4204" s="9" t="str">
        <f>IF(DADOS!C4204="","",DADOS!C4204)</f>
        <v/>
      </c>
      <c r="F4204" s="9" t="str">
        <f>IF(DADOS!E4204="","",DADOS!E4204)</f>
        <v/>
      </c>
      <c r="G4204" s="9" t="str">
        <f>IF(DADOS!F4204="","",DADOS!F4204)</f>
        <v/>
      </c>
      <c r="K4204" s="6" t="str">
        <f t="shared" si="330"/>
        <v/>
      </c>
      <c r="L4204" s="7" t="str">
        <f t="shared" si="331"/>
        <v/>
      </c>
      <c r="M4204" s="7" t="str">
        <f t="shared" si="328"/>
        <v/>
      </c>
      <c r="N4204" s="7" t="str">
        <f t="shared" si="332"/>
        <v/>
      </c>
      <c r="O4204" s="8"/>
      <c r="P4204" s="26"/>
      <c r="S4204" s="10" t="str">
        <f t="shared" si="329"/>
        <v/>
      </c>
    </row>
    <row r="4205" spans="5:19" x14ac:dyDescent="0.3">
      <c r="E4205" s="9" t="str">
        <f>IF(DADOS!C4205="","",DADOS!C4205)</f>
        <v/>
      </c>
      <c r="F4205" s="9" t="str">
        <f>IF(DADOS!E4205="","",DADOS!E4205)</f>
        <v/>
      </c>
      <c r="G4205" s="9" t="str">
        <f>IF(DADOS!F4205="","",DADOS!F4205)</f>
        <v/>
      </c>
      <c r="K4205" s="6" t="str">
        <f t="shared" si="330"/>
        <v/>
      </c>
      <c r="L4205" s="7" t="str">
        <f t="shared" si="331"/>
        <v/>
      </c>
      <c r="M4205" s="7" t="str">
        <f t="shared" si="328"/>
        <v/>
      </c>
      <c r="N4205" s="7" t="str">
        <f t="shared" si="332"/>
        <v/>
      </c>
      <c r="O4205" s="8"/>
      <c r="P4205" s="26"/>
      <c r="S4205" s="10" t="str">
        <f t="shared" si="329"/>
        <v/>
      </c>
    </row>
    <row r="4206" spans="5:19" x14ac:dyDescent="0.3">
      <c r="E4206" s="9" t="str">
        <f>IF(DADOS!C4206="","",DADOS!C4206)</f>
        <v/>
      </c>
      <c r="F4206" s="9" t="str">
        <f>IF(DADOS!E4206="","",DADOS!E4206)</f>
        <v/>
      </c>
      <c r="G4206" s="9" t="str">
        <f>IF(DADOS!F4206="","",DADOS!F4206)</f>
        <v/>
      </c>
      <c r="K4206" s="6" t="str">
        <f t="shared" si="330"/>
        <v/>
      </c>
      <c r="L4206" s="7" t="str">
        <f t="shared" si="331"/>
        <v/>
      </c>
      <c r="M4206" s="7" t="str">
        <f t="shared" si="328"/>
        <v/>
      </c>
      <c r="N4206" s="7" t="str">
        <f t="shared" si="332"/>
        <v/>
      </c>
      <c r="O4206" s="8"/>
      <c r="P4206" s="26"/>
      <c r="S4206" s="10" t="str">
        <f t="shared" si="329"/>
        <v/>
      </c>
    </row>
    <row r="4207" spans="5:19" x14ac:dyDescent="0.3">
      <c r="E4207" s="9" t="str">
        <f>IF(DADOS!C4207="","",DADOS!C4207)</f>
        <v/>
      </c>
      <c r="F4207" s="9" t="str">
        <f>IF(DADOS!E4207="","",DADOS!E4207)</f>
        <v/>
      </c>
      <c r="G4207" s="9" t="str">
        <f>IF(DADOS!F4207="","",DADOS!F4207)</f>
        <v/>
      </c>
      <c r="K4207" s="6" t="str">
        <f t="shared" si="330"/>
        <v/>
      </c>
      <c r="L4207" s="7" t="str">
        <f t="shared" si="331"/>
        <v/>
      </c>
      <c r="M4207" s="7" t="str">
        <f t="shared" si="328"/>
        <v/>
      </c>
      <c r="N4207" s="7" t="str">
        <f t="shared" si="332"/>
        <v/>
      </c>
      <c r="O4207" s="8"/>
      <c r="P4207" s="26"/>
      <c r="S4207" s="10" t="str">
        <f t="shared" si="329"/>
        <v/>
      </c>
    </row>
    <row r="4208" spans="5:19" x14ac:dyDescent="0.3">
      <c r="E4208" s="9" t="str">
        <f>IF(DADOS!C4208="","",DADOS!C4208)</f>
        <v/>
      </c>
      <c r="F4208" s="9" t="str">
        <f>IF(DADOS!E4208="","",DADOS!E4208)</f>
        <v/>
      </c>
      <c r="G4208" s="9" t="str">
        <f>IF(DADOS!F4208="","",DADOS!F4208)</f>
        <v/>
      </c>
      <c r="K4208" s="6" t="str">
        <f t="shared" si="330"/>
        <v/>
      </c>
      <c r="L4208" s="7" t="str">
        <f t="shared" si="331"/>
        <v/>
      </c>
      <c r="M4208" s="7" t="str">
        <f t="shared" si="328"/>
        <v/>
      </c>
      <c r="N4208" s="7" t="str">
        <f t="shared" si="332"/>
        <v/>
      </c>
      <c r="O4208" s="8"/>
      <c r="P4208" s="26"/>
      <c r="S4208" s="10" t="str">
        <f t="shared" si="329"/>
        <v/>
      </c>
    </row>
    <row r="4209" spans="5:19" x14ac:dyDescent="0.3">
      <c r="E4209" s="9" t="str">
        <f>IF(DADOS!C4209="","",DADOS!C4209)</f>
        <v/>
      </c>
      <c r="F4209" s="9" t="str">
        <f>IF(DADOS!E4209="","",DADOS!E4209)</f>
        <v/>
      </c>
      <c r="G4209" s="9" t="str">
        <f>IF(DADOS!F4209="","",DADOS!F4209)</f>
        <v/>
      </c>
      <c r="K4209" s="6" t="str">
        <f t="shared" si="330"/>
        <v/>
      </c>
      <c r="L4209" s="7" t="str">
        <f t="shared" si="331"/>
        <v/>
      </c>
      <c r="M4209" s="7" t="str">
        <f t="shared" si="328"/>
        <v/>
      </c>
      <c r="N4209" s="7" t="str">
        <f t="shared" si="332"/>
        <v/>
      </c>
      <c r="O4209" s="8"/>
      <c r="P4209" s="26"/>
      <c r="S4209" s="10" t="str">
        <f t="shared" si="329"/>
        <v/>
      </c>
    </row>
    <row r="4210" spans="5:19" x14ac:dyDescent="0.3">
      <c r="E4210" s="9" t="str">
        <f>IF(DADOS!C4210="","",DADOS!C4210)</f>
        <v/>
      </c>
      <c r="F4210" s="9" t="str">
        <f>IF(DADOS!E4210="","",DADOS!E4210)</f>
        <v/>
      </c>
      <c r="G4210" s="9" t="str">
        <f>IF(DADOS!F4210="","",DADOS!F4210)</f>
        <v/>
      </c>
      <c r="K4210" s="6" t="str">
        <f t="shared" si="330"/>
        <v/>
      </c>
      <c r="L4210" s="7" t="str">
        <f t="shared" si="331"/>
        <v/>
      </c>
      <c r="M4210" s="7" t="str">
        <f t="shared" si="328"/>
        <v/>
      </c>
      <c r="N4210" s="7" t="str">
        <f t="shared" si="332"/>
        <v/>
      </c>
      <c r="O4210" s="8"/>
      <c r="P4210" s="26"/>
      <c r="S4210" s="10" t="str">
        <f t="shared" si="329"/>
        <v/>
      </c>
    </row>
    <row r="4211" spans="5:19" x14ac:dyDescent="0.3">
      <c r="E4211" s="9" t="str">
        <f>IF(DADOS!C4211="","",DADOS!C4211)</f>
        <v/>
      </c>
      <c r="F4211" s="9" t="str">
        <f>IF(DADOS!E4211="","",DADOS!E4211)</f>
        <v/>
      </c>
      <c r="G4211" s="9" t="str">
        <f>IF(DADOS!F4211="","",DADOS!F4211)</f>
        <v/>
      </c>
      <c r="K4211" s="6" t="str">
        <f t="shared" si="330"/>
        <v/>
      </c>
      <c r="L4211" s="7" t="str">
        <f t="shared" si="331"/>
        <v/>
      </c>
      <c r="M4211" s="7" t="str">
        <f t="shared" si="328"/>
        <v/>
      </c>
      <c r="N4211" s="7" t="str">
        <f t="shared" si="332"/>
        <v/>
      </c>
      <c r="O4211" s="8"/>
      <c r="P4211" s="26"/>
      <c r="S4211" s="10" t="str">
        <f t="shared" si="329"/>
        <v/>
      </c>
    </row>
    <row r="4212" spans="5:19" x14ac:dyDescent="0.3">
      <c r="E4212" s="9" t="str">
        <f>IF(DADOS!C4212="","",DADOS!C4212)</f>
        <v/>
      </c>
      <c r="F4212" s="9" t="str">
        <f>IF(DADOS!E4212="","",DADOS!E4212)</f>
        <v/>
      </c>
      <c r="G4212" s="9" t="str">
        <f>IF(DADOS!F4212="","",DADOS!F4212)</f>
        <v/>
      </c>
      <c r="K4212" s="6" t="str">
        <f t="shared" si="330"/>
        <v/>
      </c>
      <c r="L4212" s="7" t="str">
        <f t="shared" si="331"/>
        <v/>
      </c>
      <c r="M4212" s="7" t="str">
        <f t="shared" si="328"/>
        <v/>
      </c>
      <c r="N4212" s="7" t="str">
        <f t="shared" si="332"/>
        <v/>
      </c>
      <c r="O4212" s="8"/>
      <c r="P4212" s="26"/>
      <c r="S4212" s="10" t="str">
        <f t="shared" si="329"/>
        <v/>
      </c>
    </row>
    <row r="4213" spans="5:19" x14ac:dyDescent="0.3">
      <c r="E4213" s="9" t="str">
        <f>IF(DADOS!C4213="","",DADOS!C4213)</f>
        <v/>
      </c>
      <c r="F4213" s="9" t="str">
        <f>IF(DADOS!E4213="","",DADOS!E4213)</f>
        <v/>
      </c>
      <c r="G4213" s="9" t="str">
        <f>IF(DADOS!F4213="","",DADOS!F4213)</f>
        <v/>
      </c>
      <c r="K4213" s="6" t="str">
        <f t="shared" si="330"/>
        <v/>
      </c>
      <c r="L4213" s="7" t="str">
        <f t="shared" si="331"/>
        <v/>
      </c>
      <c r="M4213" s="7" t="str">
        <f t="shared" si="328"/>
        <v/>
      </c>
      <c r="N4213" s="7" t="str">
        <f t="shared" si="332"/>
        <v/>
      </c>
      <c r="O4213" s="8"/>
      <c r="P4213" s="26"/>
      <c r="S4213" s="10" t="str">
        <f t="shared" si="329"/>
        <v/>
      </c>
    </row>
    <row r="4214" spans="5:19" x14ac:dyDescent="0.3">
      <c r="E4214" s="9" t="str">
        <f>IF(DADOS!C4214="","",DADOS!C4214)</f>
        <v/>
      </c>
      <c r="F4214" s="9" t="str">
        <f>IF(DADOS!E4214="","",DADOS!E4214)</f>
        <v/>
      </c>
      <c r="G4214" s="9" t="str">
        <f>IF(DADOS!F4214="","",DADOS!F4214)</f>
        <v/>
      </c>
      <c r="K4214" s="6" t="str">
        <f t="shared" si="330"/>
        <v/>
      </c>
      <c r="L4214" s="7" t="str">
        <f t="shared" si="331"/>
        <v/>
      </c>
      <c r="M4214" s="7" t="str">
        <f t="shared" si="328"/>
        <v/>
      </c>
      <c r="N4214" s="7" t="str">
        <f t="shared" si="332"/>
        <v/>
      </c>
      <c r="O4214" s="8"/>
      <c r="P4214" s="26"/>
      <c r="S4214" s="10" t="str">
        <f t="shared" si="329"/>
        <v/>
      </c>
    </row>
    <row r="4215" spans="5:19" x14ac:dyDescent="0.3">
      <c r="E4215" s="9" t="str">
        <f>IF(DADOS!C4215="","",DADOS!C4215)</f>
        <v/>
      </c>
      <c r="F4215" s="9" t="str">
        <f>IF(DADOS!E4215="","",DADOS!E4215)</f>
        <v/>
      </c>
      <c r="G4215" s="9" t="str">
        <f>IF(DADOS!F4215="","",DADOS!F4215)</f>
        <v/>
      </c>
      <c r="K4215" s="6" t="str">
        <f t="shared" si="330"/>
        <v/>
      </c>
      <c r="L4215" s="7" t="str">
        <f t="shared" si="331"/>
        <v/>
      </c>
      <c r="M4215" s="7" t="str">
        <f t="shared" si="328"/>
        <v/>
      </c>
      <c r="N4215" s="7" t="str">
        <f t="shared" si="332"/>
        <v/>
      </c>
      <c r="O4215" s="8"/>
      <c r="P4215" s="26"/>
      <c r="S4215" s="10" t="str">
        <f t="shared" si="329"/>
        <v/>
      </c>
    </row>
    <row r="4216" spans="5:19" x14ac:dyDescent="0.3">
      <c r="E4216" s="9" t="str">
        <f>IF(DADOS!C4216="","",DADOS!C4216)</f>
        <v/>
      </c>
      <c r="F4216" s="9" t="str">
        <f>IF(DADOS!E4216="","",DADOS!E4216)</f>
        <v/>
      </c>
      <c r="G4216" s="9" t="str">
        <f>IF(DADOS!F4216="","",DADOS!F4216)</f>
        <v/>
      </c>
      <c r="K4216" s="6" t="str">
        <f t="shared" si="330"/>
        <v/>
      </c>
      <c r="L4216" s="7" t="str">
        <f t="shared" si="331"/>
        <v/>
      </c>
      <c r="M4216" s="7" t="str">
        <f t="shared" si="328"/>
        <v/>
      </c>
      <c r="N4216" s="7" t="str">
        <f t="shared" si="332"/>
        <v/>
      </c>
      <c r="O4216" s="8"/>
      <c r="P4216" s="26"/>
      <c r="S4216" s="10" t="str">
        <f t="shared" si="329"/>
        <v/>
      </c>
    </row>
    <row r="4217" spans="5:19" x14ac:dyDescent="0.3">
      <c r="E4217" s="9" t="str">
        <f>IF(DADOS!C4217="","",DADOS!C4217)</f>
        <v/>
      </c>
      <c r="F4217" s="9" t="str">
        <f>IF(DADOS!E4217="","",DADOS!E4217)</f>
        <v/>
      </c>
      <c r="G4217" s="9" t="str">
        <f>IF(DADOS!F4217="","",DADOS!F4217)</f>
        <v/>
      </c>
      <c r="K4217" s="6" t="str">
        <f t="shared" si="330"/>
        <v/>
      </c>
      <c r="L4217" s="7" t="str">
        <f t="shared" si="331"/>
        <v/>
      </c>
      <c r="M4217" s="7" t="str">
        <f t="shared" si="328"/>
        <v/>
      </c>
      <c r="N4217" s="7" t="str">
        <f t="shared" si="332"/>
        <v/>
      </c>
      <c r="O4217" s="8"/>
      <c r="P4217" s="26"/>
      <c r="S4217" s="10" t="str">
        <f t="shared" si="329"/>
        <v/>
      </c>
    </row>
    <row r="4218" spans="5:19" x14ac:dyDescent="0.3">
      <c r="E4218" s="9" t="str">
        <f>IF(DADOS!C4218="","",DADOS!C4218)</f>
        <v/>
      </c>
      <c r="F4218" s="9" t="str">
        <f>IF(DADOS!E4218="","",DADOS!E4218)</f>
        <v/>
      </c>
      <c r="G4218" s="9" t="str">
        <f>IF(DADOS!F4218="","",DADOS!F4218)</f>
        <v/>
      </c>
      <c r="K4218" s="6" t="str">
        <f t="shared" si="330"/>
        <v/>
      </c>
      <c r="L4218" s="7" t="str">
        <f t="shared" si="331"/>
        <v/>
      </c>
      <c r="M4218" s="7" t="str">
        <f t="shared" si="328"/>
        <v/>
      </c>
      <c r="N4218" s="7" t="str">
        <f t="shared" si="332"/>
        <v/>
      </c>
      <c r="O4218" s="8"/>
      <c r="P4218" s="26"/>
      <c r="S4218" s="10" t="str">
        <f t="shared" si="329"/>
        <v/>
      </c>
    </row>
    <row r="4219" spans="5:19" x14ac:dyDescent="0.3">
      <c r="E4219" s="9" t="str">
        <f>IF(DADOS!C4219="","",DADOS!C4219)</f>
        <v/>
      </c>
      <c r="F4219" s="9" t="str">
        <f>IF(DADOS!E4219="","",DADOS!E4219)</f>
        <v/>
      </c>
      <c r="G4219" s="9" t="str">
        <f>IF(DADOS!F4219="","",DADOS!F4219)</f>
        <v/>
      </c>
      <c r="K4219" s="6" t="str">
        <f t="shared" si="330"/>
        <v/>
      </c>
      <c r="L4219" s="7" t="str">
        <f t="shared" si="331"/>
        <v/>
      </c>
      <c r="M4219" s="7" t="str">
        <f t="shared" si="328"/>
        <v/>
      </c>
      <c r="N4219" s="7" t="str">
        <f t="shared" si="332"/>
        <v/>
      </c>
      <c r="O4219" s="8"/>
      <c r="P4219" s="26"/>
      <c r="S4219" s="10" t="str">
        <f t="shared" si="329"/>
        <v/>
      </c>
    </row>
    <row r="4220" spans="5:19" x14ac:dyDescent="0.3">
      <c r="E4220" s="9" t="str">
        <f>IF(DADOS!C4220="","",DADOS!C4220)</f>
        <v/>
      </c>
      <c r="F4220" s="9" t="str">
        <f>IF(DADOS!E4220="","",DADOS!E4220)</f>
        <v/>
      </c>
      <c r="G4220" s="9" t="str">
        <f>IF(DADOS!F4220="","",DADOS!F4220)</f>
        <v/>
      </c>
      <c r="K4220" s="6" t="str">
        <f t="shared" si="330"/>
        <v/>
      </c>
      <c r="L4220" s="7" t="str">
        <f t="shared" si="331"/>
        <v/>
      </c>
      <c r="M4220" s="7" t="str">
        <f t="shared" si="328"/>
        <v/>
      </c>
      <c r="N4220" s="7" t="str">
        <f t="shared" si="332"/>
        <v/>
      </c>
      <c r="O4220" s="8"/>
      <c r="P4220" s="26"/>
      <c r="S4220" s="10" t="str">
        <f t="shared" si="329"/>
        <v/>
      </c>
    </row>
    <row r="4221" spans="5:19" x14ac:dyDescent="0.3">
      <c r="E4221" s="9" t="str">
        <f>IF(DADOS!C4221="","",DADOS!C4221)</f>
        <v/>
      </c>
      <c r="F4221" s="9" t="str">
        <f>IF(DADOS!E4221="","",DADOS!E4221)</f>
        <v/>
      </c>
      <c r="G4221" s="9" t="str">
        <f>IF(DADOS!F4221="","",DADOS!F4221)</f>
        <v/>
      </c>
      <c r="K4221" s="6" t="str">
        <f t="shared" si="330"/>
        <v/>
      </c>
      <c r="L4221" s="7" t="str">
        <f t="shared" si="331"/>
        <v/>
      </c>
      <c r="M4221" s="7" t="str">
        <f t="shared" si="328"/>
        <v/>
      </c>
      <c r="N4221" s="7" t="str">
        <f t="shared" si="332"/>
        <v/>
      </c>
      <c r="O4221" s="8"/>
      <c r="P4221" s="26"/>
      <c r="S4221" s="10" t="str">
        <f t="shared" si="329"/>
        <v/>
      </c>
    </row>
    <row r="4222" spans="5:19" x14ac:dyDescent="0.3">
      <c r="E4222" s="9" t="str">
        <f>IF(DADOS!C4222="","",DADOS!C4222)</f>
        <v/>
      </c>
      <c r="F4222" s="9" t="str">
        <f>IF(DADOS!E4222="","",DADOS!E4222)</f>
        <v/>
      </c>
      <c r="G4222" s="9" t="str">
        <f>IF(DADOS!F4222="","",DADOS!F4222)</f>
        <v/>
      </c>
      <c r="K4222" s="6" t="str">
        <f t="shared" si="330"/>
        <v/>
      </c>
      <c r="L4222" s="7" t="str">
        <f t="shared" si="331"/>
        <v/>
      </c>
      <c r="M4222" s="7" t="str">
        <f t="shared" si="328"/>
        <v/>
      </c>
      <c r="N4222" s="7" t="str">
        <f t="shared" si="332"/>
        <v/>
      </c>
      <c r="O4222" s="8"/>
      <c r="P4222" s="26"/>
      <c r="S4222" s="10" t="str">
        <f t="shared" si="329"/>
        <v/>
      </c>
    </row>
    <row r="4223" spans="5:19" x14ac:dyDescent="0.3">
      <c r="E4223" s="9" t="str">
        <f>IF(DADOS!C4223="","",DADOS!C4223)</f>
        <v/>
      </c>
      <c r="F4223" s="9" t="str">
        <f>IF(DADOS!E4223="","",DADOS!E4223)</f>
        <v/>
      </c>
      <c r="G4223" s="9" t="str">
        <f>IF(DADOS!F4223="","",DADOS!F4223)</f>
        <v/>
      </c>
      <c r="K4223" s="6" t="str">
        <f t="shared" si="330"/>
        <v/>
      </c>
      <c r="L4223" s="7" t="str">
        <f t="shared" si="331"/>
        <v/>
      </c>
      <c r="M4223" s="7" t="str">
        <f t="shared" si="328"/>
        <v/>
      </c>
      <c r="N4223" s="7" t="str">
        <f t="shared" si="332"/>
        <v/>
      </c>
      <c r="O4223" s="8"/>
      <c r="P4223" s="26"/>
      <c r="S4223" s="10" t="str">
        <f t="shared" si="329"/>
        <v/>
      </c>
    </row>
    <row r="4224" spans="5:19" x14ac:dyDescent="0.3">
      <c r="E4224" s="9" t="str">
        <f>IF(DADOS!C4224="","",DADOS!C4224)</f>
        <v/>
      </c>
      <c r="F4224" s="9" t="str">
        <f>IF(DADOS!E4224="","",DADOS!E4224)</f>
        <v/>
      </c>
      <c r="G4224" s="9" t="str">
        <f>IF(DADOS!F4224="","",DADOS!F4224)</f>
        <v/>
      </c>
      <c r="K4224" s="6" t="str">
        <f t="shared" si="330"/>
        <v/>
      </c>
      <c r="L4224" s="7" t="str">
        <f t="shared" si="331"/>
        <v/>
      </c>
      <c r="M4224" s="7" t="str">
        <f t="shared" si="328"/>
        <v/>
      </c>
      <c r="N4224" s="7" t="str">
        <f t="shared" si="332"/>
        <v/>
      </c>
      <c r="O4224" s="8"/>
      <c r="P4224" s="26"/>
      <c r="S4224" s="10" t="str">
        <f t="shared" si="329"/>
        <v/>
      </c>
    </row>
    <row r="4225" spans="5:19" x14ac:dyDescent="0.3">
      <c r="E4225" s="9" t="str">
        <f>IF(DADOS!C4225="","",DADOS!C4225)</f>
        <v/>
      </c>
      <c r="F4225" s="9" t="str">
        <f>IF(DADOS!E4225="","",DADOS!E4225)</f>
        <v/>
      </c>
      <c r="G4225" s="9" t="str">
        <f>IF(DADOS!F4225="","",DADOS!F4225)</f>
        <v/>
      </c>
      <c r="K4225" s="6" t="str">
        <f t="shared" si="330"/>
        <v/>
      </c>
      <c r="L4225" s="7" t="str">
        <f t="shared" si="331"/>
        <v/>
      </c>
      <c r="M4225" s="7" t="str">
        <f t="shared" si="328"/>
        <v/>
      </c>
      <c r="N4225" s="7" t="str">
        <f t="shared" si="332"/>
        <v/>
      </c>
      <c r="O4225" s="8"/>
      <c r="P4225" s="26"/>
      <c r="S4225" s="10" t="str">
        <f t="shared" si="329"/>
        <v/>
      </c>
    </row>
    <row r="4226" spans="5:19" x14ac:dyDescent="0.3">
      <c r="E4226" s="9" t="str">
        <f>IF(DADOS!C4226="","",DADOS!C4226)</f>
        <v/>
      </c>
      <c r="F4226" s="9" t="str">
        <f>IF(DADOS!E4226="","",DADOS!E4226)</f>
        <v/>
      </c>
      <c r="G4226" s="9" t="str">
        <f>IF(DADOS!F4226="","",DADOS!F4226)</f>
        <v/>
      </c>
      <c r="K4226" s="6" t="str">
        <f t="shared" si="330"/>
        <v/>
      </c>
      <c r="L4226" s="7" t="str">
        <f t="shared" si="331"/>
        <v/>
      </c>
      <c r="M4226" s="7" t="str">
        <f t="shared" si="328"/>
        <v/>
      </c>
      <c r="N4226" s="7" t="str">
        <f t="shared" si="332"/>
        <v/>
      </c>
      <c r="O4226" s="8"/>
      <c r="P4226" s="26"/>
      <c r="S4226" s="10" t="str">
        <f t="shared" si="329"/>
        <v/>
      </c>
    </row>
    <row r="4227" spans="5:19" x14ac:dyDescent="0.3">
      <c r="E4227" s="9" t="str">
        <f>IF(DADOS!C4227="","",DADOS!C4227)</f>
        <v/>
      </c>
      <c r="F4227" s="9" t="str">
        <f>IF(DADOS!E4227="","",DADOS!E4227)</f>
        <v/>
      </c>
      <c r="G4227" s="9" t="str">
        <f>IF(DADOS!F4227="","",DADOS!F4227)</f>
        <v/>
      </c>
      <c r="K4227" s="6" t="str">
        <f t="shared" si="330"/>
        <v/>
      </c>
      <c r="L4227" s="7" t="str">
        <f t="shared" si="331"/>
        <v/>
      </c>
      <c r="M4227" s="7" t="str">
        <f t="shared" ref="M4227:M4290" si="333">IF(L4227="","",L4227*G4227)</f>
        <v/>
      </c>
      <c r="N4227" s="7" t="str">
        <f t="shared" si="332"/>
        <v/>
      </c>
      <c r="O4227" s="8"/>
      <c r="P4227" s="26"/>
      <c r="S4227" s="10" t="str">
        <f t="shared" ref="S4227:S4290" si="334">IF(R4227="","",SUMIFS($N$3:$N$10000,$E$3:$E$10000,R4227))</f>
        <v/>
      </c>
    </row>
    <row r="4228" spans="5:19" x14ac:dyDescent="0.3">
      <c r="E4228" s="9" t="str">
        <f>IF(DADOS!C4228="","",DADOS!C4228)</f>
        <v/>
      </c>
      <c r="F4228" s="9" t="str">
        <f>IF(DADOS!E4228="","",DADOS!E4228)</f>
        <v/>
      </c>
      <c r="G4228" s="9" t="str">
        <f>IF(DADOS!F4228="","",DADOS!F4228)</f>
        <v/>
      </c>
      <c r="K4228" s="6" t="str">
        <f t="shared" ref="K4228:K4291" si="335">IF(F4228="","",F4228/PI())</f>
        <v/>
      </c>
      <c r="L4228" s="7" t="str">
        <f t="shared" ref="L4228:L4291" si="336">IF(K4228="","",(PI()*K4228^2)/40000)</f>
        <v/>
      </c>
      <c r="M4228" s="7" t="str">
        <f t="shared" si="333"/>
        <v/>
      </c>
      <c r="N4228" s="7" t="str">
        <f t="shared" ref="N4228:N4291" si="337">IF(M4228="","",M4228*N$1)</f>
        <v/>
      </c>
      <c r="O4228" s="8"/>
      <c r="P4228" s="26"/>
      <c r="S4228" s="10" t="str">
        <f t="shared" si="334"/>
        <v/>
      </c>
    </row>
    <row r="4229" spans="5:19" x14ac:dyDescent="0.3">
      <c r="E4229" s="9" t="str">
        <f>IF(DADOS!C4229="","",DADOS!C4229)</f>
        <v/>
      </c>
      <c r="F4229" s="9" t="str">
        <f>IF(DADOS!E4229="","",DADOS!E4229)</f>
        <v/>
      </c>
      <c r="G4229" s="9" t="str">
        <f>IF(DADOS!F4229="","",DADOS!F4229)</f>
        <v/>
      </c>
      <c r="K4229" s="6" t="str">
        <f t="shared" si="335"/>
        <v/>
      </c>
      <c r="L4229" s="7" t="str">
        <f t="shared" si="336"/>
        <v/>
      </c>
      <c r="M4229" s="7" t="str">
        <f t="shared" si="333"/>
        <v/>
      </c>
      <c r="N4229" s="7" t="str">
        <f t="shared" si="337"/>
        <v/>
      </c>
      <c r="O4229" s="8"/>
      <c r="P4229" s="26"/>
      <c r="S4229" s="10" t="str">
        <f t="shared" si="334"/>
        <v/>
      </c>
    </row>
    <row r="4230" spans="5:19" x14ac:dyDescent="0.3">
      <c r="E4230" s="9" t="str">
        <f>IF(DADOS!C4230="","",DADOS!C4230)</f>
        <v/>
      </c>
      <c r="F4230" s="9" t="str">
        <f>IF(DADOS!E4230="","",DADOS!E4230)</f>
        <v/>
      </c>
      <c r="G4230" s="9" t="str">
        <f>IF(DADOS!F4230="","",DADOS!F4230)</f>
        <v/>
      </c>
      <c r="K4230" s="6" t="str">
        <f t="shared" si="335"/>
        <v/>
      </c>
      <c r="L4230" s="7" t="str">
        <f t="shared" si="336"/>
        <v/>
      </c>
      <c r="M4230" s="7" t="str">
        <f t="shared" si="333"/>
        <v/>
      </c>
      <c r="N4230" s="7" t="str">
        <f t="shared" si="337"/>
        <v/>
      </c>
      <c r="O4230" s="8"/>
      <c r="P4230" s="26"/>
      <c r="S4230" s="10" t="str">
        <f t="shared" si="334"/>
        <v/>
      </c>
    </row>
    <row r="4231" spans="5:19" x14ac:dyDescent="0.3">
      <c r="E4231" s="9" t="str">
        <f>IF(DADOS!C4231="","",DADOS!C4231)</f>
        <v/>
      </c>
      <c r="F4231" s="9" t="str">
        <f>IF(DADOS!E4231="","",DADOS!E4231)</f>
        <v/>
      </c>
      <c r="G4231" s="9" t="str">
        <f>IF(DADOS!F4231="","",DADOS!F4231)</f>
        <v/>
      </c>
      <c r="K4231" s="6" t="str">
        <f t="shared" si="335"/>
        <v/>
      </c>
      <c r="L4231" s="7" t="str">
        <f t="shared" si="336"/>
        <v/>
      </c>
      <c r="M4231" s="7" t="str">
        <f t="shared" si="333"/>
        <v/>
      </c>
      <c r="N4231" s="7" t="str">
        <f t="shared" si="337"/>
        <v/>
      </c>
      <c r="O4231" s="8"/>
      <c r="P4231" s="26"/>
      <c r="S4231" s="10" t="str">
        <f t="shared" si="334"/>
        <v/>
      </c>
    </row>
    <row r="4232" spans="5:19" x14ac:dyDescent="0.3">
      <c r="E4232" s="9" t="str">
        <f>IF(DADOS!C4232="","",DADOS!C4232)</f>
        <v/>
      </c>
      <c r="F4232" s="9" t="str">
        <f>IF(DADOS!E4232="","",DADOS!E4232)</f>
        <v/>
      </c>
      <c r="G4232" s="9" t="str">
        <f>IF(DADOS!F4232="","",DADOS!F4232)</f>
        <v/>
      </c>
      <c r="K4232" s="6" t="str">
        <f t="shared" si="335"/>
        <v/>
      </c>
      <c r="L4232" s="7" t="str">
        <f t="shared" si="336"/>
        <v/>
      </c>
      <c r="M4232" s="7" t="str">
        <f t="shared" si="333"/>
        <v/>
      </c>
      <c r="N4232" s="7" t="str">
        <f t="shared" si="337"/>
        <v/>
      </c>
      <c r="O4232" s="8"/>
      <c r="P4232" s="26"/>
      <c r="S4232" s="10" t="str">
        <f t="shared" si="334"/>
        <v/>
      </c>
    </row>
    <row r="4233" spans="5:19" x14ac:dyDescent="0.3">
      <c r="E4233" s="9" t="str">
        <f>IF(DADOS!C4233="","",DADOS!C4233)</f>
        <v/>
      </c>
      <c r="F4233" s="9" t="str">
        <f>IF(DADOS!E4233="","",DADOS!E4233)</f>
        <v/>
      </c>
      <c r="G4233" s="9" t="str">
        <f>IF(DADOS!F4233="","",DADOS!F4233)</f>
        <v/>
      </c>
      <c r="K4233" s="6" t="str">
        <f t="shared" si="335"/>
        <v/>
      </c>
      <c r="L4233" s="7" t="str">
        <f t="shared" si="336"/>
        <v/>
      </c>
      <c r="M4233" s="7" t="str">
        <f t="shared" si="333"/>
        <v/>
      </c>
      <c r="N4233" s="7" t="str">
        <f t="shared" si="337"/>
        <v/>
      </c>
      <c r="O4233" s="8"/>
      <c r="P4233" s="26"/>
      <c r="S4233" s="10" t="str">
        <f t="shared" si="334"/>
        <v/>
      </c>
    </row>
    <row r="4234" spans="5:19" x14ac:dyDescent="0.3">
      <c r="E4234" s="9" t="str">
        <f>IF(DADOS!C4234="","",DADOS!C4234)</f>
        <v/>
      </c>
      <c r="F4234" s="9" t="str">
        <f>IF(DADOS!E4234="","",DADOS!E4234)</f>
        <v/>
      </c>
      <c r="G4234" s="9" t="str">
        <f>IF(DADOS!F4234="","",DADOS!F4234)</f>
        <v/>
      </c>
      <c r="K4234" s="6" t="str">
        <f t="shared" si="335"/>
        <v/>
      </c>
      <c r="L4234" s="7" t="str">
        <f t="shared" si="336"/>
        <v/>
      </c>
      <c r="M4234" s="7" t="str">
        <f t="shared" si="333"/>
        <v/>
      </c>
      <c r="N4234" s="7" t="str">
        <f t="shared" si="337"/>
        <v/>
      </c>
      <c r="O4234" s="8"/>
      <c r="P4234" s="26"/>
      <c r="S4234" s="10" t="str">
        <f t="shared" si="334"/>
        <v/>
      </c>
    </row>
    <row r="4235" spans="5:19" x14ac:dyDescent="0.3">
      <c r="E4235" s="9" t="str">
        <f>IF(DADOS!C4235="","",DADOS!C4235)</f>
        <v/>
      </c>
      <c r="F4235" s="9" t="str">
        <f>IF(DADOS!E4235="","",DADOS!E4235)</f>
        <v/>
      </c>
      <c r="G4235" s="9" t="str">
        <f>IF(DADOS!F4235="","",DADOS!F4235)</f>
        <v/>
      </c>
      <c r="K4235" s="6" t="str">
        <f t="shared" si="335"/>
        <v/>
      </c>
      <c r="L4235" s="7" t="str">
        <f t="shared" si="336"/>
        <v/>
      </c>
      <c r="M4235" s="7" t="str">
        <f t="shared" si="333"/>
        <v/>
      </c>
      <c r="N4235" s="7" t="str">
        <f t="shared" si="337"/>
        <v/>
      </c>
      <c r="O4235" s="8"/>
      <c r="P4235" s="26"/>
      <c r="S4235" s="10" t="str">
        <f t="shared" si="334"/>
        <v/>
      </c>
    </row>
    <row r="4236" spans="5:19" x14ac:dyDescent="0.3">
      <c r="E4236" s="9" t="str">
        <f>IF(DADOS!C4236="","",DADOS!C4236)</f>
        <v/>
      </c>
      <c r="F4236" s="9" t="str">
        <f>IF(DADOS!E4236="","",DADOS!E4236)</f>
        <v/>
      </c>
      <c r="G4236" s="9" t="str">
        <f>IF(DADOS!F4236="","",DADOS!F4236)</f>
        <v/>
      </c>
      <c r="K4236" s="6" t="str">
        <f t="shared" si="335"/>
        <v/>
      </c>
      <c r="L4236" s="7" t="str">
        <f t="shared" si="336"/>
        <v/>
      </c>
      <c r="M4236" s="7" t="str">
        <f t="shared" si="333"/>
        <v/>
      </c>
      <c r="N4236" s="7" t="str">
        <f t="shared" si="337"/>
        <v/>
      </c>
      <c r="O4236" s="8"/>
      <c r="P4236" s="26"/>
      <c r="S4236" s="10" t="str">
        <f t="shared" si="334"/>
        <v/>
      </c>
    </row>
    <row r="4237" spans="5:19" x14ac:dyDescent="0.3">
      <c r="E4237" s="9" t="str">
        <f>IF(DADOS!C4237="","",DADOS!C4237)</f>
        <v/>
      </c>
      <c r="F4237" s="9" t="str">
        <f>IF(DADOS!E4237="","",DADOS!E4237)</f>
        <v/>
      </c>
      <c r="G4237" s="9" t="str">
        <f>IF(DADOS!F4237="","",DADOS!F4237)</f>
        <v/>
      </c>
      <c r="K4237" s="6" t="str">
        <f t="shared" si="335"/>
        <v/>
      </c>
      <c r="L4237" s="7" t="str">
        <f t="shared" si="336"/>
        <v/>
      </c>
      <c r="M4237" s="7" t="str">
        <f t="shared" si="333"/>
        <v/>
      </c>
      <c r="N4237" s="7" t="str">
        <f t="shared" si="337"/>
        <v/>
      </c>
      <c r="O4237" s="8"/>
      <c r="P4237" s="26"/>
      <c r="S4237" s="10" t="str">
        <f t="shared" si="334"/>
        <v/>
      </c>
    </row>
    <row r="4238" spans="5:19" x14ac:dyDescent="0.3">
      <c r="E4238" s="9" t="str">
        <f>IF(DADOS!C4238="","",DADOS!C4238)</f>
        <v/>
      </c>
      <c r="F4238" s="9" t="str">
        <f>IF(DADOS!E4238="","",DADOS!E4238)</f>
        <v/>
      </c>
      <c r="G4238" s="9" t="str">
        <f>IF(DADOS!F4238="","",DADOS!F4238)</f>
        <v/>
      </c>
      <c r="K4238" s="6" t="str">
        <f t="shared" si="335"/>
        <v/>
      </c>
      <c r="L4238" s="7" t="str">
        <f t="shared" si="336"/>
        <v/>
      </c>
      <c r="M4238" s="7" t="str">
        <f t="shared" si="333"/>
        <v/>
      </c>
      <c r="N4238" s="7" t="str">
        <f t="shared" si="337"/>
        <v/>
      </c>
      <c r="O4238" s="8"/>
      <c r="P4238" s="26"/>
      <c r="S4238" s="10" t="str">
        <f t="shared" si="334"/>
        <v/>
      </c>
    </row>
    <row r="4239" spans="5:19" x14ac:dyDescent="0.3">
      <c r="E4239" s="9" t="str">
        <f>IF(DADOS!C4239="","",DADOS!C4239)</f>
        <v/>
      </c>
      <c r="F4239" s="9" t="str">
        <f>IF(DADOS!E4239="","",DADOS!E4239)</f>
        <v/>
      </c>
      <c r="G4239" s="9" t="str">
        <f>IF(DADOS!F4239="","",DADOS!F4239)</f>
        <v/>
      </c>
      <c r="K4239" s="6" t="str">
        <f t="shared" si="335"/>
        <v/>
      </c>
      <c r="L4239" s="7" t="str">
        <f t="shared" si="336"/>
        <v/>
      </c>
      <c r="M4239" s="7" t="str">
        <f t="shared" si="333"/>
        <v/>
      </c>
      <c r="N4239" s="7" t="str">
        <f t="shared" si="337"/>
        <v/>
      </c>
      <c r="O4239" s="8"/>
      <c r="P4239" s="26"/>
      <c r="S4239" s="10" t="str">
        <f t="shared" si="334"/>
        <v/>
      </c>
    </row>
    <row r="4240" spans="5:19" x14ac:dyDescent="0.3">
      <c r="E4240" s="9" t="str">
        <f>IF(DADOS!C4240="","",DADOS!C4240)</f>
        <v/>
      </c>
      <c r="F4240" s="9" t="str">
        <f>IF(DADOS!E4240="","",DADOS!E4240)</f>
        <v/>
      </c>
      <c r="G4240" s="9" t="str">
        <f>IF(DADOS!F4240="","",DADOS!F4240)</f>
        <v/>
      </c>
      <c r="K4240" s="6" t="str">
        <f t="shared" si="335"/>
        <v/>
      </c>
      <c r="L4240" s="7" t="str">
        <f t="shared" si="336"/>
        <v/>
      </c>
      <c r="M4240" s="7" t="str">
        <f t="shared" si="333"/>
        <v/>
      </c>
      <c r="N4240" s="7" t="str">
        <f t="shared" si="337"/>
        <v/>
      </c>
      <c r="O4240" s="8"/>
      <c r="P4240" s="26"/>
      <c r="S4240" s="10" t="str">
        <f t="shared" si="334"/>
        <v/>
      </c>
    </row>
    <row r="4241" spans="5:19" x14ac:dyDescent="0.3">
      <c r="E4241" s="9" t="str">
        <f>IF(DADOS!C4241="","",DADOS!C4241)</f>
        <v/>
      </c>
      <c r="F4241" s="9" t="str">
        <f>IF(DADOS!E4241="","",DADOS!E4241)</f>
        <v/>
      </c>
      <c r="G4241" s="9" t="str">
        <f>IF(DADOS!F4241="","",DADOS!F4241)</f>
        <v/>
      </c>
      <c r="K4241" s="6" t="str">
        <f t="shared" si="335"/>
        <v/>
      </c>
      <c r="L4241" s="7" t="str">
        <f t="shared" si="336"/>
        <v/>
      </c>
      <c r="M4241" s="7" t="str">
        <f t="shared" si="333"/>
        <v/>
      </c>
      <c r="N4241" s="7" t="str">
        <f t="shared" si="337"/>
        <v/>
      </c>
      <c r="O4241" s="8"/>
      <c r="P4241" s="26"/>
      <c r="S4241" s="10" t="str">
        <f t="shared" si="334"/>
        <v/>
      </c>
    </row>
    <row r="4242" spans="5:19" x14ac:dyDescent="0.3">
      <c r="E4242" s="9" t="str">
        <f>IF(DADOS!C4242="","",DADOS!C4242)</f>
        <v/>
      </c>
      <c r="F4242" s="9" t="str">
        <f>IF(DADOS!E4242="","",DADOS!E4242)</f>
        <v/>
      </c>
      <c r="G4242" s="9" t="str">
        <f>IF(DADOS!F4242="","",DADOS!F4242)</f>
        <v/>
      </c>
      <c r="K4242" s="6" t="str">
        <f t="shared" si="335"/>
        <v/>
      </c>
      <c r="L4242" s="7" t="str">
        <f t="shared" si="336"/>
        <v/>
      </c>
      <c r="M4242" s="7" t="str">
        <f t="shared" si="333"/>
        <v/>
      </c>
      <c r="N4242" s="7" t="str">
        <f t="shared" si="337"/>
        <v/>
      </c>
      <c r="O4242" s="8"/>
      <c r="P4242" s="26"/>
      <c r="S4242" s="10" t="str">
        <f t="shared" si="334"/>
        <v/>
      </c>
    </row>
    <row r="4243" spans="5:19" x14ac:dyDescent="0.3">
      <c r="E4243" s="9" t="str">
        <f>IF(DADOS!C4243="","",DADOS!C4243)</f>
        <v/>
      </c>
      <c r="F4243" s="9" t="str">
        <f>IF(DADOS!E4243="","",DADOS!E4243)</f>
        <v/>
      </c>
      <c r="G4243" s="9" t="str">
        <f>IF(DADOS!F4243="","",DADOS!F4243)</f>
        <v/>
      </c>
      <c r="K4243" s="6" t="str">
        <f t="shared" si="335"/>
        <v/>
      </c>
      <c r="L4243" s="7" t="str">
        <f t="shared" si="336"/>
        <v/>
      </c>
      <c r="M4243" s="7" t="str">
        <f t="shared" si="333"/>
        <v/>
      </c>
      <c r="N4243" s="7" t="str">
        <f t="shared" si="337"/>
        <v/>
      </c>
      <c r="O4243" s="8"/>
      <c r="P4243" s="26"/>
      <c r="S4243" s="10" t="str">
        <f t="shared" si="334"/>
        <v/>
      </c>
    </row>
    <row r="4244" spans="5:19" x14ac:dyDescent="0.3">
      <c r="E4244" s="9" t="str">
        <f>IF(DADOS!C4244="","",DADOS!C4244)</f>
        <v/>
      </c>
      <c r="F4244" s="9" t="str">
        <f>IF(DADOS!E4244="","",DADOS!E4244)</f>
        <v/>
      </c>
      <c r="G4244" s="9" t="str">
        <f>IF(DADOS!F4244="","",DADOS!F4244)</f>
        <v/>
      </c>
      <c r="K4244" s="6" t="str">
        <f t="shared" si="335"/>
        <v/>
      </c>
      <c r="L4244" s="7" t="str">
        <f t="shared" si="336"/>
        <v/>
      </c>
      <c r="M4244" s="7" t="str">
        <f t="shared" si="333"/>
        <v/>
      </c>
      <c r="N4244" s="7" t="str">
        <f t="shared" si="337"/>
        <v/>
      </c>
      <c r="O4244" s="8"/>
      <c r="P4244" s="26"/>
      <c r="S4244" s="10" t="str">
        <f t="shared" si="334"/>
        <v/>
      </c>
    </row>
    <row r="4245" spans="5:19" x14ac:dyDescent="0.3">
      <c r="E4245" s="9" t="str">
        <f>IF(DADOS!C4245="","",DADOS!C4245)</f>
        <v/>
      </c>
      <c r="F4245" s="9" t="str">
        <f>IF(DADOS!E4245="","",DADOS!E4245)</f>
        <v/>
      </c>
      <c r="G4245" s="9" t="str">
        <f>IF(DADOS!F4245="","",DADOS!F4245)</f>
        <v/>
      </c>
      <c r="K4245" s="6" t="str">
        <f t="shared" si="335"/>
        <v/>
      </c>
      <c r="L4245" s="7" t="str">
        <f t="shared" si="336"/>
        <v/>
      </c>
      <c r="M4245" s="7" t="str">
        <f t="shared" si="333"/>
        <v/>
      </c>
      <c r="N4245" s="7" t="str">
        <f t="shared" si="337"/>
        <v/>
      </c>
      <c r="O4245" s="8"/>
      <c r="P4245" s="26"/>
      <c r="S4245" s="10" t="str">
        <f t="shared" si="334"/>
        <v/>
      </c>
    </row>
    <row r="4246" spans="5:19" x14ac:dyDescent="0.3">
      <c r="E4246" s="9" t="str">
        <f>IF(DADOS!C4246="","",DADOS!C4246)</f>
        <v/>
      </c>
      <c r="F4246" s="9" t="str">
        <f>IF(DADOS!E4246="","",DADOS!E4246)</f>
        <v/>
      </c>
      <c r="G4246" s="9" t="str">
        <f>IF(DADOS!F4246="","",DADOS!F4246)</f>
        <v/>
      </c>
      <c r="K4246" s="6" t="str">
        <f t="shared" si="335"/>
        <v/>
      </c>
      <c r="L4246" s="7" t="str">
        <f t="shared" si="336"/>
        <v/>
      </c>
      <c r="M4246" s="7" t="str">
        <f t="shared" si="333"/>
        <v/>
      </c>
      <c r="N4246" s="7" t="str">
        <f t="shared" si="337"/>
        <v/>
      </c>
      <c r="O4246" s="8"/>
      <c r="P4246" s="26"/>
      <c r="S4246" s="10" t="str">
        <f t="shared" si="334"/>
        <v/>
      </c>
    </row>
    <row r="4247" spans="5:19" x14ac:dyDescent="0.3">
      <c r="E4247" s="9" t="str">
        <f>IF(DADOS!C4247="","",DADOS!C4247)</f>
        <v/>
      </c>
      <c r="F4247" s="9" t="str">
        <f>IF(DADOS!E4247="","",DADOS!E4247)</f>
        <v/>
      </c>
      <c r="G4247" s="9" t="str">
        <f>IF(DADOS!F4247="","",DADOS!F4247)</f>
        <v/>
      </c>
      <c r="K4247" s="6" t="str">
        <f t="shared" si="335"/>
        <v/>
      </c>
      <c r="L4247" s="7" t="str">
        <f t="shared" si="336"/>
        <v/>
      </c>
      <c r="M4247" s="7" t="str">
        <f t="shared" si="333"/>
        <v/>
      </c>
      <c r="N4247" s="7" t="str">
        <f t="shared" si="337"/>
        <v/>
      </c>
      <c r="O4247" s="8"/>
      <c r="P4247" s="26"/>
      <c r="S4247" s="10" t="str">
        <f t="shared" si="334"/>
        <v/>
      </c>
    </row>
    <row r="4248" spans="5:19" x14ac:dyDescent="0.3">
      <c r="E4248" s="9" t="str">
        <f>IF(DADOS!C4248="","",DADOS!C4248)</f>
        <v/>
      </c>
      <c r="F4248" s="9" t="str">
        <f>IF(DADOS!E4248="","",DADOS!E4248)</f>
        <v/>
      </c>
      <c r="G4248" s="9" t="str">
        <f>IF(DADOS!F4248="","",DADOS!F4248)</f>
        <v/>
      </c>
      <c r="K4248" s="6" t="str">
        <f t="shared" si="335"/>
        <v/>
      </c>
      <c r="L4248" s="7" t="str">
        <f t="shared" si="336"/>
        <v/>
      </c>
      <c r="M4248" s="7" t="str">
        <f t="shared" si="333"/>
        <v/>
      </c>
      <c r="N4248" s="7" t="str">
        <f t="shared" si="337"/>
        <v/>
      </c>
      <c r="O4248" s="8"/>
      <c r="P4248" s="26"/>
      <c r="S4248" s="10" t="str">
        <f t="shared" si="334"/>
        <v/>
      </c>
    </row>
    <row r="4249" spans="5:19" x14ac:dyDescent="0.3">
      <c r="E4249" s="9" t="str">
        <f>IF(DADOS!C4249="","",DADOS!C4249)</f>
        <v/>
      </c>
      <c r="F4249" s="9" t="str">
        <f>IF(DADOS!E4249="","",DADOS!E4249)</f>
        <v/>
      </c>
      <c r="G4249" s="9" t="str">
        <f>IF(DADOS!F4249="","",DADOS!F4249)</f>
        <v/>
      </c>
      <c r="K4249" s="6" t="str">
        <f t="shared" si="335"/>
        <v/>
      </c>
      <c r="L4249" s="7" t="str">
        <f t="shared" si="336"/>
        <v/>
      </c>
      <c r="M4249" s="7" t="str">
        <f t="shared" si="333"/>
        <v/>
      </c>
      <c r="N4249" s="7" t="str">
        <f t="shared" si="337"/>
        <v/>
      </c>
      <c r="O4249" s="8"/>
      <c r="P4249" s="26"/>
      <c r="S4249" s="10" t="str">
        <f t="shared" si="334"/>
        <v/>
      </c>
    </row>
    <row r="4250" spans="5:19" x14ac:dyDescent="0.3">
      <c r="E4250" s="9" t="str">
        <f>IF(DADOS!C4250="","",DADOS!C4250)</f>
        <v/>
      </c>
      <c r="F4250" s="9" t="str">
        <f>IF(DADOS!E4250="","",DADOS!E4250)</f>
        <v/>
      </c>
      <c r="G4250" s="9" t="str">
        <f>IF(DADOS!F4250="","",DADOS!F4250)</f>
        <v/>
      </c>
      <c r="K4250" s="6" t="str">
        <f t="shared" si="335"/>
        <v/>
      </c>
      <c r="L4250" s="7" t="str">
        <f t="shared" si="336"/>
        <v/>
      </c>
      <c r="M4250" s="7" t="str">
        <f t="shared" si="333"/>
        <v/>
      </c>
      <c r="N4250" s="7" t="str">
        <f t="shared" si="337"/>
        <v/>
      </c>
      <c r="O4250" s="8"/>
      <c r="P4250" s="26"/>
      <c r="S4250" s="10" t="str">
        <f t="shared" si="334"/>
        <v/>
      </c>
    </row>
    <row r="4251" spans="5:19" x14ac:dyDescent="0.3">
      <c r="E4251" s="9" t="str">
        <f>IF(DADOS!C4251="","",DADOS!C4251)</f>
        <v/>
      </c>
      <c r="F4251" s="9" t="str">
        <f>IF(DADOS!E4251="","",DADOS!E4251)</f>
        <v/>
      </c>
      <c r="G4251" s="9" t="str">
        <f>IF(DADOS!F4251="","",DADOS!F4251)</f>
        <v/>
      </c>
      <c r="K4251" s="6" t="str">
        <f t="shared" si="335"/>
        <v/>
      </c>
      <c r="L4251" s="7" t="str">
        <f t="shared" si="336"/>
        <v/>
      </c>
      <c r="M4251" s="7" t="str">
        <f t="shared" si="333"/>
        <v/>
      </c>
      <c r="N4251" s="7" t="str">
        <f t="shared" si="337"/>
        <v/>
      </c>
      <c r="O4251" s="8"/>
      <c r="P4251" s="26"/>
      <c r="S4251" s="10" t="str">
        <f t="shared" si="334"/>
        <v/>
      </c>
    </row>
    <row r="4252" spans="5:19" x14ac:dyDescent="0.3">
      <c r="E4252" s="9" t="str">
        <f>IF(DADOS!C4252="","",DADOS!C4252)</f>
        <v/>
      </c>
      <c r="F4252" s="9" t="str">
        <f>IF(DADOS!E4252="","",DADOS!E4252)</f>
        <v/>
      </c>
      <c r="G4252" s="9" t="str">
        <f>IF(DADOS!F4252="","",DADOS!F4252)</f>
        <v/>
      </c>
      <c r="K4252" s="6" t="str">
        <f t="shared" si="335"/>
        <v/>
      </c>
      <c r="L4252" s="7" t="str">
        <f t="shared" si="336"/>
        <v/>
      </c>
      <c r="M4252" s="7" t="str">
        <f t="shared" si="333"/>
        <v/>
      </c>
      <c r="N4252" s="7" t="str">
        <f t="shared" si="337"/>
        <v/>
      </c>
      <c r="O4252" s="8"/>
      <c r="P4252" s="26"/>
      <c r="S4252" s="10" t="str">
        <f t="shared" si="334"/>
        <v/>
      </c>
    </row>
    <row r="4253" spans="5:19" x14ac:dyDescent="0.3">
      <c r="E4253" s="9" t="str">
        <f>IF(DADOS!C4253="","",DADOS!C4253)</f>
        <v/>
      </c>
      <c r="F4253" s="9" t="str">
        <f>IF(DADOS!E4253="","",DADOS!E4253)</f>
        <v/>
      </c>
      <c r="G4253" s="9" t="str">
        <f>IF(DADOS!F4253="","",DADOS!F4253)</f>
        <v/>
      </c>
      <c r="K4253" s="6" t="str">
        <f t="shared" si="335"/>
        <v/>
      </c>
      <c r="L4253" s="7" t="str">
        <f t="shared" si="336"/>
        <v/>
      </c>
      <c r="M4253" s="7" t="str">
        <f t="shared" si="333"/>
        <v/>
      </c>
      <c r="N4253" s="7" t="str">
        <f t="shared" si="337"/>
        <v/>
      </c>
      <c r="O4253" s="8"/>
      <c r="P4253" s="26"/>
      <c r="S4253" s="10" t="str">
        <f t="shared" si="334"/>
        <v/>
      </c>
    </row>
    <row r="4254" spans="5:19" x14ac:dyDescent="0.3">
      <c r="E4254" s="9" t="str">
        <f>IF(DADOS!C4254="","",DADOS!C4254)</f>
        <v/>
      </c>
      <c r="F4254" s="9" t="str">
        <f>IF(DADOS!E4254="","",DADOS!E4254)</f>
        <v/>
      </c>
      <c r="G4254" s="9" t="str">
        <f>IF(DADOS!F4254="","",DADOS!F4254)</f>
        <v/>
      </c>
      <c r="K4254" s="6" t="str">
        <f t="shared" si="335"/>
        <v/>
      </c>
      <c r="L4254" s="7" t="str">
        <f t="shared" si="336"/>
        <v/>
      </c>
      <c r="M4254" s="7" t="str">
        <f t="shared" si="333"/>
        <v/>
      </c>
      <c r="N4254" s="7" t="str">
        <f t="shared" si="337"/>
        <v/>
      </c>
      <c r="O4254" s="8"/>
      <c r="P4254" s="26"/>
      <c r="S4254" s="10" t="str">
        <f t="shared" si="334"/>
        <v/>
      </c>
    </row>
    <row r="4255" spans="5:19" x14ac:dyDescent="0.3">
      <c r="E4255" s="9" t="str">
        <f>IF(DADOS!C4255="","",DADOS!C4255)</f>
        <v/>
      </c>
      <c r="F4255" s="9" t="str">
        <f>IF(DADOS!E4255="","",DADOS!E4255)</f>
        <v/>
      </c>
      <c r="G4255" s="9" t="str">
        <f>IF(DADOS!F4255="","",DADOS!F4255)</f>
        <v/>
      </c>
      <c r="K4255" s="6" t="str">
        <f t="shared" si="335"/>
        <v/>
      </c>
      <c r="L4255" s="7" t="str">
        <f t="shared" si="336"/>
        <v/>
      </c>
      <c r="M4255" s="7" t="str">
        <f t="shared" si="333"/>
        <v/>
      </c>
      <c r="N4255" s="7" t="str">
        <f t="shared" si="337"/>
        <v/>
      </c>
      <c r="O4255" s="8"/>
      <c r="P4255" s="26"/>
      <c r="S4255" s="10" t="str">
        <f t="shared" si="334"/>
        <v/>
      </c>
    </row>
    <row r="4256" spans="5:19" x14ac:dyDescent="0.3">
      <c r="E4256" s="9" t="str">
        <f>IF(DADOS!C4256="","",DADOS!C4256)</f>
        <v/>
      </c>
      <c r="F4256" s="9" t="str">
        <f>IF(DADOS!E4256="","",DADOS!E4256)</f>
        <v/>
      </c>
      <c r="G4256" s="9" t="str">
        <f>IF(DADOS!F4256="","",DADOS!F4256)</f>
        <v/>
      </c>
      <c r="K4256" s="6" t="str">
        <f t="shared" si="335"/>
        <v/>
      </c>
      <c r="L4256" s="7" t="str">
        <f t="shared" si="336"/>
        <v/>
      </c>
      <c r="M4256" s="7" t="str">
        <f t="shared" si="333"/>
        <v/>
      </c>
      <c r="N4256" s="7" t="str">
        <f t="shared" si="337"/>
        <v/>
      </c>
      <c r="O4256" s="8"/>
      <c r="P4256" s="26"/>
      <c r="S4256" s="10" t="str">
        <f t="shared" si="334"/>
        <v/>
      </c>
    </row>
    <row r="4257" spans="5:19" x14ac:dyDescent="0.3">
      <c r="E4257" s="9" t="str">
        <f>IF(DADOS!C4257="","",DADOS!C4257)</f>
        <v/>
      </c>
      <c r="F4257" s="9" t="str">
        <f>IF(DADOS!E4257="","",DADOS!E4257)</f>
        <v/>
      </c>
      <c r="G4257" s="9" t="str">
        <f>IF(DADOS!F4257="","",DADOS!F4257)</f>
        <v/>
      </c>
      <c r="K4257" s="6" t="str">
        <f t="shared" si="335"/>
        <v/>
      </c>
      <c r="L4257" s="7" t="str">
        <f t="shared" si="336"/>
        <v/>
      </c>
      <c r="M4257" s="7" t="str">
        <f t="shared" si="333"/>
        <v/>
      </c>
      <c r="N4257" s="7" t="str">
        <f t="shared" si="337"/>
        <v/>
      </c>
      <c r="O4257" s="8"/>
      <c r="P4257" s="26"/>
      <c r="S4257" s="10" t="str">
        <f t="shared" si="334"/>
        <v/>
      </c>
    </row>
    <row r="4258" spans="5:19" x14ac:dyDescent="0.3">
      <c r="E4258" s="9" t="str">
        <f>IF(DADOS!C4258="","",DADOS!C4258)</f>
        <v/>
      </c>
      <c r="F4258" s="9" t="str">
        <f>IF(DADOS!E4258="","",DADOS!E4258)</f>
        <v/>
      </c>
      <c r="G4258" s="9" t="str">
        <f>IF(DADOS!F4258="","",DADOS!F4258)</f>
        <v/>
      </c>
      <c r="K4258" s="6" t="str">
        <f t="shared" si="335"/>
        <v/>
      </c>
      <c r="L4258" s="7" t="str">
        <f t="shared" si="336"/>
        <v/>
      </c>
      <c r="M4258" s="7" t="str">
        <f t="shared" si="333"/>
        <v/>
      </c>
      <c r="N4258" s="7" t="str">
        <f t="shared" si="337"/>
        <v/>
      </c>
      <c r="O4258" s="8"/>
      <c r="P4258" s="26"/>
      <c r="S4258" s="10" t="str">
        <f t="shared" si="334"/>
        <v/>
      </c>
    </row>
    <row r="4259" spans="5:19" x14ac:dyDescent="0.3">
      <c r="E4259" s="9" t="str">
        <f>IF(DADOS!C4259="","",DADOS!C4259)</f>
        <v/>
      </c>
      <c r="F4259" s="9" t="str">
        <f>IF(DADOS!E4259="","",DADOS!E4259)</f>
        <v/>
      </c>
      <c r="G4259" s="9" t="str">
        <f>IF(DADOS!F4259="","",DADOS!F4259)</f>
        <v/>
      </c>
      <c r="K4259" s="6" t="str">
        <f t="shared" si="335"/>
        <v/>
      </c>
      <c r="L4259" s="7" t="str">
        <f t="shared" si="336"/>
        <v/>
      </c>
      <c r="M4259" s="7" t="str">
        <f t="shared" si="333"/>
        <v/>
      </c>
      <c r="N4259" s="7" t="str">
        <f t="shared" si="337"/>
        <v/>
      </c>
      <c r="O4259" s="8"/>
      <c r="P4259" s="26"/>
      <c r="S4259" s="10" t="str">
        <f t="shared" si="334"/>
        <v/>
      </c>
    </row>
    <row r="4260" spans="5:19" x14ac:dyDescent="0.3">
      <c r="E4260" s="9" t="str">
        <f>IF(DADOS!C4260="","",DADOS!C4260)</f>
        <v/>
      </c>
      <c r="F4260" s="9" t="str">
        <f>IF(DADOS!E4260="","",DADOS!E4260)</f>
        <v/>
      </c>
      <c r="G4260" s="9" t="str">
        <f>IF(DADOS!F4260="","",DADOS!F4260)</f>
        <v/>
      </c>
      <c r="K4260" s="6" t="str">
        <f t="shared" si="335"/>
        <v/>
      </c>
      <c r="L4260" s="7" t="str">
        <f t="shared" si="336"/>
        <v/>
      </c>
      <c r="M4260" s="7" t="str">
        <f t="shared" si="333"/>
        <v/>
      </c>
      <c r="N4260" s="7" t="str">
        <f t="shared" si="337"/>
        <v/>
      </c>
      <c r="O4260" s="8"/>
      <c r="P4260" s="26"/>
      <c r="S4260" s="10" t="str">
        <f t="shared" si="334"/>
        <v/>
      </c>
    </row>
    <row r="4261" spans="5:19" x14ac:dyDescent="0.3">
      <c r="E4261" s="9" t="str">
        <f>IF(DADOS!C4261="","",DADOS!C4261)</f>
        <v/>
      </c>
      <c r="F4261" s="9" t="str">
        <f>IF(DADOS!E4261="","",DADOS!E4261)</f>
        <v/>
      </c>
      <c r="G4261" s="9" t="str">
        <f>IF(DADOS!F4261="","",DADOS!F4261)</f>
        <v/>
      </c>
      <c r="K4261" s="6" t="str">
        <f t="shared" si="335"/>
        <v/>
      </c>
      <c r="L4261" s="7" t="str">
        <f t="shared" si="336"/>
        <v/>
      </c>
      <c r="M4261" s="7" t="str">
        <f t="shared" si="333"/>
        <v/>
      </c>
      <c r="N4261" s="7" t="str">
        <f t="shared" si="337"/>
        <v/>
      </c>
      <c r="O4261" s="8"/>
      <c r="P4261" s="26"/>
      <c r="S4261" s="10" t="str">
        <f t="shared" si="334"/>
        <v/>
      </c>
    </row>
    <row r="4262" spans="5:19" x14ac:dyDescent="0.3">
      <c r="E4262" s="9" t="str">
        <f>IF(DADOS!C4262="","",DADOS!C4262)</f>
        <v/>
      </c>
      <c r="F4262" s="9" t="str">
        <f>IF(DADOS!E4262="","",DADOS!E4262)</f>
        <v/>
      </c>
      <c r="G4262" s="9" t="str">
        <f>IF(DADOS!F4262="","",DADOS!F4262)</f>
        <v/>
      </c>
      <c r="K4262" s="6" t="str">
        <f t="shared" si="335"/>
        <v/>
      </c>
      <c r="L4262" s="7" t="str">
        <f t="shared" si="336"/>
        <v/>
      </c>
      <c r="M4262" s="7" t="str">
        <f t="shared" si="333"/>
        <v/>
      </c>
      <c r="N4262" s="7" t="str">
        <f t="shared" si="337"/>
        <v/>
      </c>
      <c r="O4262" s="8"/>
      <c r="P4262" s="26"/>
      <c r="S4262" s="10" t="str">
        <f t="shared" si="334"/>
        <v/>
      </c>
    </row>
    <row r="4263" spans="5:19" x14ac:dyDescent="0.3">
      <c r="E4263" s="9" t="str">
        <f>IF(DADOS!C4263="","",DADOS!C4263)</f>
        <v/>
      </c>
      <c r="F4263" s="9" t="str">
        <f>IF(DADOS!E4263="","",DADOS!E4263)</f>
        <v/>
      </c>
      <c r="G4263" s="9" t="str">
        <f>IF(DADOS!F4263="","",DADOS!F4263)</f>
        <v/>
      </c>
      <c r="K4263" s="6" t="str">
        <f t="shared" si="335"/>
        <v/>
      </c>
      <c r="L4263" s="7" t="str">
        <f t="shared" si="336"/>
        <v/>
      </c>
      <c r="M4263" s="7" t="str">
        <f t="shared" si="333"/>
        <v/>
      </c>
      <c r="N4263" s="7" t="str">
        <f t="shared" si="337"/>
        <v/>
      </c>
      <c r="O4263" s="8"/>
      <c r="P4263" s="26"/>
      <c r="S4263" s="10" t="str">
        <f t="shared" si="334"/>
        <v/>
      </c>
    </row>
    <row r="4264" spans="5:19" x14ac:dyDescent="0.3">
      <c r="E4264" s="9" t="str">
        <f>IF(DADOS!C4264="","",DADOS!C4264)</f>
        <v/>
      </c>
      <c r="F4264" s="9" t="str">
        <f>IF(DADOS!E4264="","",DADOS!E4264)</f>
        <v/>
      </c>
      <c r="G4264" s="9" t="str">
        <f>IF(DADOS!F4264="","",DADOS!F4264)</f>
        <v/>
      </c>
      <c r="K4264" s="6" t="str">
        <f t="shared" si="335"/>
        <v/>
      </c>
      <c r="L4264" s="7" t="str">
        <f t="shared" si="336"/>
        <v/>
      </c>
      <c r="M4264" s="7" t="str">
        <f t="shared" si="333"/>
        <v/>
      </c>
      <c r="N4264" s="7" t="str">
        <f t="shared" si="337"/>
        <v/>
      </c>
      <c r="O4264" s="8"/>
      <c r="P4264" s="26"/>
      <c r="S4264" s="10" t="str">
        <f t="shared" si="334"/>
        <v/>
      </c>
    </row>
    <row r="4265" spans="5:19" x14ac:dyDescent="0.3">
      <c r="E4265" s="9" t="str">
        <f>IF(DADOS!C4265="","",DADOS!C4265)</f>
        <v/>
      </c>
      <c r="F4265" s="9" t="str">
        <f>IF(DADOS!E4265="","",DADOS!E4265)</f>
        <v/>
      </c>
      <c r="G4265" s="9" t="str">
        <f>IF(DADOS!F4265="","",DADOS!F4265)</f>
        <v/>
      </c>
      <c r="K4265" s="6" t="str">
        <f t="shared" si="335"/>
        <v/>
      </c>
      <c r="L4265" s="7" t="str">
        <f t="shared" si="336"/>
        <v/>
      </c>
      <c r="M4265" s="7" t="str">
        <f t="shared" si="333"/>
        <v/>
      </c>
      <c r="N4265" s="7" t="str">
        <f t="shared" si="337"/>
        <v/>
      </c>
      <c r="O4265" s="8"/>
      <c r="P4265" s="26"/>
      <c r="S4265" s="10" t="str">
        <f t="shared" si="334"/>
        <v/>
      </c>
    </row>
    <row r="4266" spans="5:19" x14ac:dyDescent="0.3">
      <c r="E4266" s="9" t="str">
        <f>IF(DADOS!C4266="","",DADOS!C4266)</f>
        <v/>
      </c>
      <c r="F4266" s="9" t="str">
        <f>IF(DADOS!E4266="","",DADOS!E4266)</f>
        <v/>
      </c>
      <c r="G4266" s="9" t="str">
        <f>IF(DADOS!F4266="","",DADOS!F4266)</f>
        <v/>
      </c>
      <c r="K4266" s="6" t="str">
        <f t="shared" si="335"/>
        <v/>
      </c>
      <c r="L4266" s="7" t="str">
        <f t="shared" si="336"/>
        <v/>
      </c>
      <c r="M4266" s="7" t="str">
        <f t="shared" si="333"/>
        <v/>
      </c>
      <c r="N4266" s="7" t="str">
        <f t="shared" si="337"/>
        <v/>
      </c>
      <c r="O4266" s="8"/>
      <c r="P4266" s="26"/>
      <c r="S4266" s="10" t="str">
        <f t="shared" si="334"/>
        <v/>
      </c>
    </row>
    <row r="4267" spans="5:19" x14ac:dyDescent="0.3">
      <c r="E4267" s="9" t="str">
        <f>IF(DADOS!C4267="","",DADOS!C4267)</f>
        <v/>
      </c>
      <c r="F4267" s="9" t="str">
        <f>IF(DADOS!E4267="","",DADOS!E4267)</f>
        <v/>
      </c>
      <c r="G4267" s="9" t="str">
        <f>IF(DADOS!F4267="","",DADOS!F4267)</f>
        <v/>
      </c>
      <c r="K4267" s="6" t="str">
        <f t="shared" si="335"/>
        <v/>
      </c>
      <c r="L4267" s="7" t="str">
        <f t="shared" si="336"/>
        <v/>
      </c>
      <c r="M4267" s="7" t="str">
        <f t="shared" si="333"/>
        <v/>
      </c>
      <c r="N4267" s="7" t="str">
        <f t="shared" si="337"/>
        <v/>
      </c>
      <c r="O4267" s="8"/>
      <c r="P4267" s="26"/>
      <c r="S4267" s="10" t="str">
        <f t="shared" si="334"/>
        <v/>
      </c>
    </row>
    <row r="4268" spans="5:19" x14ac:dyDescent="0.3">
      <c r="E4268" s="9" t="str">
        <f>IF(DADOS!C4268="","",DADOS!C4268)</f>
        <v/>
      </c>
      <c r="F4268" s="9" t="str">
        <f>IF(DADOS!E4268="","",DADOS!E4268)</f>
        <v/>
      </c>
      <c r="G4268" s="9" t="str">
        <f>IF(DADOS!F4268="","",DADOS!F4268)</f>
        <v/>
      </c>
      <c r="K4268" s="6" t="str">
        <f t="shared" si="335"/>
        <v/>
      </c>
      <c r="L4268" s="7" t="str">
        <f t="shared" si="336"/>
        <v/>
      </c>
      <c r="M4268" s="7" t="str">
        <f t="shared" si="333"/>
        <v/>
      </c>
      <c r="N4268" s="7" t="str">
        <f t="shared" si="337"/>
        <v/>
      </c>
      <c r="O4268" s="8"/>
      <c r="P4268" s="26"/>
      <c r="S4268" s="10" t="str">
        <f t="shared" si="334"/>
        <v/>
      </c>
    </row>
    <row r="4269" spans="5:19" x14ac:dyDescent="0.3">
      <c r="E4269" s="9" t="str">
        <f>IF(DADOS!C4269="","",DADOS!C4269)</f>
        <v/>
      </c>
      <c r="F4269" s="9" t="str">
        <f>IF(DADOS!E4269="","",DADOS!E4269)</f>
        <v/>
      </c>
      <c r="G4269" s="9" t="str">
        <f>IF(DADOS!F4269="","",DADOS!F4269)</f>
        <v/>
      </c>
      <c r="K4269" s="6" t="str">
        <f t="shared" si="335"/>
        <v/>
      </c>
      <c r="L4269" s="7" t="str">
        <f t="shared" si="336"/>
        <v/>
      </c>
      <c r="M4269" s="7" t="str">
        <f t="shared" si="333"/>
        <v/>
      </c>
      <c r="N4269" s="7" t="str">
        <f t="shared" si="337"/>
        <v/>
      </c>
      <c r="O4269" s="8"/>
      <c r="P4269" s="26"/>
      <c r="S4269" s="10" t="str">
        <f t="shared" si="334"/>
        <v/>
      </c>
    </row>
    <row r="4270" spans="5:19" x14ac:dyDescent="0.3">
      <c r="E4270" s="9" t="str">
        <f>IF(DADOS!C4270="","",DADOS!C4270)</f>
        <v/>
      </c>
      <c r="F4270" s="9" t="str">
        <f>IF(DADOS!E4270="","",DADOS!E4270)</f>
        <v/>
      </c>
      <c r="G4270" s="9" t="str">
        <f>IF(DADOS!F4270="","",DADOS!F4270)</f>
        <v/>
      </c>
      <c r="K4270" s="6" t="str">
        <f t="shared" si="335"/>
        <v/>
      </c>
      <c r="L4270" s="7" t="str">
        <f t="shared" si="336"/>
        <v/>
      </c>
      <c r="M4270" s="7" t="str">
        <f t="shared" si="333"/>
        <v/>
      </c>
      <c r="N4270" s="7" t="str">
        <f t="shared" si="337"/>
        <v/>
      </c>
      <c r="O4270" s="8"/>
      <c r="P4270" s="26"/>
      <c r="S4270" s="10" t="str">
        <f t="shared" si="334"/>
        <v/>
      </c>
    </row>
    <row r="4271" spans="5:19" x14ac:dyDescent="0.3">
      <c r="E4271" s="9" t="str">
        <f>IF(DADOS!C4271="","",DADOS!C4271)</f>
        <v/>
      </c>
      <c r="F4271" s="9" t="str">
        <f>IF(DADOS!E4271="","",DADOS!E4271)</f>
        <v/>
      </c>
      <c r="G4271" s="9" t="str">
        <f>IF(DADOS!F4271="","",DADOS!F4271)</f>
        <v/>
      </c>
      <c r="K4271" s="6" t="str">
        <f t="shared" si="335"/>
        <v/>
      </c>
      <c r="L4271" s="7" t="str">
        <f t="shared" si="336"/>
        <v/>
      </c>
      <c r="M4271" s="7" t="str">
        <f t="shared" si="333"/>
        <v/>
      </c>
      <c r="N4271" s="7" t="str">
        <f t="shared" si="337"/>
        <v/>
      </c>
      <c r="O4271" s="8"/>
      <c r="P4271" s="26"/>
      <c r="S4271" s="10" t="str">
        <f t="shared" si="334"/>
        <v/>
      </c>
    </row>
    <row r="4272" spans="5:19" x14ac:dyDescent="0.3">
      <c r="E4272" s="9" t="str">
        <f>IF(DADOS!C4272="","",DADOS!C4272)</f>
        <v/>
      </c>
      <c r="F4272" s="9" t="str">
        <f>IF(DADOS!E4272="","",DADOS!E4272)</f>
        <v/>
      </c>
      <c r="G4272" s="9" t="str">
        <f>IF(DADOS!F4272="","",DADOS!F4272)</f>
        <v/>
      </c>
      <c r="K4272" s="6" t="str">
        <f t="shared" si="335"/>
        <v/>
      </c>
      <c r="L4272" s="7" t="str">
        <f t="shared" si="336"/>
        <v/>
      </c>
      <c r="M4272" s="7" t="str">
        <f t="shared" si="333"/>
        <v/>
      </c>
      <c r="N4272" s="7" t="str">
        <f t="shared" si="337"/>
        <v/>
      </c>
      <c r="O4272" s="8"/>
      <c r="P4272" s="26"/>
      <c r="S4272" s="10" t="str">
        <f t="shared" si="334"/>
        <v/>
      </c>
    </row>
    <row r="4273" spans="5:19" x14ac:dyDescent="0.3">
      <c r="E4273" s="9" t="str">
        <f>IF(DADOS!C4273="","",DADOS!C4273)</f>
        <v/>
      </c>
      <c r="F4273" s="9" t="str">
        <f>IF(DADOS!E4273="","",DADOS!E4273)</f>
        <v/>
      </c>
      <c r="G4273" s="9" t="str">
        <f>IF(DADOS!F4273="","",DADOS!F4273)</f>
        <v/>
      </c>
      <c r="K4273" s="6" t="str">
        <f t="shared" si="335"/>
        <v/>
      </c>
      <c r="L4273" s="7" t="str">
        <f t="shared" si="336"/>
        <v/>
      </c>
      <c r="M4273" s="7" t="str">
        <f t="shared" si="333"/>
        <v/>
      </c>
      <c r="N4273" s="7" t="str">
        <f t="shared" si="337"/>
        <v/>
      </c>
      <c r="O4273" s="8"/>
      <c r="P4273" s="26"/>
      <c r="S4273" s="10" t="str">
        <f t="shared" si="334"/>
        <v/>
      </c>
    </row>
    <row r="4274" spans="5:19" x14ac:dyDescent="0.3">
      <c r="E4274" s="9" t="str">
        <f>IF(DADOS!C4274="","",DADOS!C4274)</f>
        <v/>
      </c>
      <c r="F4274" s="9" t="str">
        <f>IF(DADOS!E4274="","",DADOS!E4274)</f>
        <v/>
      </c>
      <c r="G4274" s="9" t="str">
        <f>IF(DADOS!F4274="","",DADOS!F4274)</f>
        <v/>
      </c>
      <c r="K4274" s="6" t="str">
        <f t="shared" si="335"/>
        <v/>
      </c>
      <c r="L4274" s="7" t="str">
        <f t="shared" si="336"/>
        <v/>
      </c>
      <c r="M4274" s="7" t="str">
        <f t="shared" si="333"/>
        <v/>
      </c>
      <c r="N4274" s="7" t="str">
        <f t="shared" si="337"/>
        <v/>
      </c>
      <c r="O4274" s="8"/>
      <c r="P4274" s="26"/>
      <c r="S4274" s="10" t="str">
        <f t="shared" si="334"/>
        <v/>
      </c>
    </row>
    <row r="4275" spans="5:19" x14ac:dyDescent="0.3">
      <c r="E4275" s="9" t="str">
        <f>IF(DADOS!C4275="","",DADOS!C4275)</f>
        <v/>
      </c>
      <c r="F4275" s="9" t="str">
        <f>IF(DADOS!E4275="","",DADOS!E4275)</f>
        <v/>
      </c>
      <c r="G4275" s="9" t="str">
        <f>IF(DADOS!F4275="","",DADOS!F4275)</f>
        <v/>
      </c>
      <c r="K4275" s="6" t="str">
        <f t="shared" si="335"/>
        <v/>
      </c>
      <c r="L4275" s="7" t="str">
        <f t="shared" si="336"/>
        <v/>
      </c>
      <c r="M4275" s="7" t="str">
        <f t="shared" si="333"/>
        <v/>
      </c>
      <c r="N4275" s="7" t="str">
        <f t="shared" si="337"/>
        <v/>
      </c>
      <c r="O4275" s="8"/>
      <c r="P4275" s="26"/>
      <c r="S4275" s="10" t="str">
        <f t="shared" si="334"/>
        <v/>
      </c>
    </row>
    <row r="4276" spans="5:19" x14ac:dyDescent="0.3">
      <c r="E4276" s="9" t="str">
        <f>IF(DADOS!C4276="","",DADOS!C4276)</f>
        <v/>
      </c>
      <c r="F4276" s="9" t="str">
        <f>IF(DADOS!E4276="","",DADOS!E4276)</f>
        <v/>
      </c>
      <c r="G4276" s="9" t="str">
        <f>IF(DADOS!F4276="","",DADOS!F4276)</f>
        <v/>
      </c>
      <c r="K4276" s="6" t="str">
        <f t="shared" si="335"/>
        <v/>
      </c>
      <c r="L4276" s="7" t="str">
        <f t="shared" si="336"/>
        <v/>
      </c>
      <c r="M4276" s="7" t="str">
        <f t="shared" si="333"/>
        <v/>
      </c>
      <c r="N4276" s="7" t="str">
        <f t="shared" si="337"/>
        <v/>
      </c>
      <c r="O4276" s="8"/>
      <c r="P4276" s="26"/>
      <c r="S4276" s="10" t="str">
        <f t="shared" si="334"/>
        <v/>
      </c>
    </row>
    <row r="4277" spans="5:19" x14ac:dyDescent="0.3">
      <c r="E4277" s="9" t="str">
        <f>IF(DADOS!C4277="","",DADOS!C4277)</f>
        <v/>
      </c>
      <c r="F4277" s="9" t="str">
        <f>IF(DADOS!E4277="","",DADOS!E4277)</f>
        <v/>
      </c>
      <c r="G4277" s="9" t="str">
        <f>IF(DADOS!F4277="","",DADOS!F4277)</f>
        <v/>
      </c>
      <c r="K4277" s="6" t="str">
        <f t="shared" si="335"/>
        <v/>
      </c>
      <c r="L4277" s="7" t="str">
        <f t="shared" si="336"/>
        <v/>
      </c>
      <c r="M4277" s="7" t="str">
        <f t="shared" si="333"/>
        <v/>
      </c>
      <c r="N4277" s="7" t="str">
        <f t="shared" si="337"/>
        <v/>
      </c>
      <c r="O4277" s="8"/>
      <c r="P4277" s="26"/>
      <c r="S4277" s="10" t="str">
        <f t="shared" si="334"/>
        <v/>
      </c>
    </row>
    <row r="4278" spans="5:19" x14ac:dyDescent="0.3">
      <c r="E4278" s="9" t="str">
        <f>IF(DADOS!C4278="","",DADOS!C4278)</f>
        <v/>
      </c>
      <c r="F4278" s="9" t="str">
        <f>IF(DADOS!E4278="","",DADOS!E4278)</f>
        <v/>
      </c>
      <c r="G4278" s="9" t="str">
        <f>IF(DADOS!F4278="","",DADOS!F4278)</f>
        <v/>
      </c>
      <c r="K4278" s="6" t="str">
        <f t="shared" si="335"/>
        <v/>
      </c>
      <c r="L4278" s="7" t="str">
        <f t="shared" si="336"/>
        <v/>
      </c>
      <c r="M4278" s="7" t="str">
        <f t="shared" si="333"/>
        <v/>
      </c>
      <c r="N4278" s="7" t="str">
        <f t="shared" si="337"/>
        <v/>
      </c>
      <c r="O4278" s="8"/>
      <c r="P4278" s="26"/>
      <c r="S4278" s="10" t="str">
        <f t="shared" si="334"/>
        <v/>
      </c>
    </row>
    <row r="4279" spans="5:19" x14ac:dyDescent="0.3">
      <c r="E4279" s="9" t="str">
        <f>IF(DADOS!C4279="","",DADOS!C4279)</f>
        <v/>
      </c>
      <c r="F4279" s="9" t="str">
        <f>IF(DADOS!E4279="","",DADOS!E4279)</f>
        <v/>
      </c>
      <c r="G4279" s="9" t="str">
        <f>IF(DADOS!F4279="","",DADOS!F4279)</f>
        <v/>
      </c>
      <c r="K4279" s="6" t="str">
        <f t="shared" si="335"/>
        <v/>
      </c>
      <c r="L4279" s="7" t="str">
        <f t="shared" si="336"/>
        <v/>
      </c>
      <c r="M4279" s="7" t="str">
        <f t="shared" si="333"/>
        <v/>
      </c>
      <c r="N4279" s="7" t="str">
        <f t="shared" si="337"/>
        <v/>
      </c>
      <c r="O4279" s="8"/>
      <c r="P4279" s="26"/>
      <c r="S4279" s="10" t="str">
        <f t="shared" si="334"/>
        <v/>
      </c>
    </row>
    <row r="4280" spans="5:19" x14ac:dyDescent="0.3">
      <c r="E4280" s="9" t="str">
        <f>IF(DADOS!C4280="","",DADOS!C4280)</f>
        <v/>
      </c>
      <c r="F4280" s="9" t="str">
        <f>IF(DADOS!E4280="","",DADOS!E4280)</f>
        <v/>
      </c>
      <c r="G4280" s="9" t="str">
        <f>IF(DADOS!F4280="","",DADOS!F4280)</f>
        <v/>
      </c>
      <c r="K4280" s="6" t="str">
        <f t="shared" si="335"/>
        <v/>
      </c>
      <c r="L4280" s="7" t="str">
        <f t="shared" si="336"/>
        <v/>
      </c>
      <c r="M4280" s="7" t="str">
        <f t="shared" si="333"/>
        <v/>
      </c>
      <c r="N4280" s="7" t="str">
        <f t="shared" si="337"/>
        <v/>
      </c>
      <c r="O4280" s="8"/>
      <c r="P4280" s="26"/>
      <c r="S4280" s="10" t="str">
        <f t="shared" si="334"/>
        <v/>
      </c>
    </row>
    <row r="4281" spans="5:19" x14ac:dyDescent="0.3">
      <c r="E4281" s="9" t="str">
        <f>IF(DADOS!C4281="","",DADOS!C4281)</f>
        <v/>
      </c>
      <c r="F4281" s="9" t="str">
        <f>IF(DADOS!E4281="","",DADOS!E4281)</f>
        <v/>
      </c>
      <c r="G4281" s="9" t="str">
        <f>IF(DADOS!F4281="","",DADOS!F4281)</f>
        <v/>
      </c>
      <c r="K4281" s="6" t="str">
        <f t="shared" si="335"/>
        <v/>
      </c>
      <c r="L4281" s="7" t="str">
        <f t="shared" si="336"/>
        <v/>
      </c>
      <c r="M4281" s="7" t="str">
        <f t="shared" si="333"/>
        <v/>
      </c>
      <c r="N4281" s="7" t="str">
        <f t="shared" si="337"/>
        <v/>
      </c>
      <c r="O4281" s="8"/>
      <c r="P4281" s="26"/>
      <c r="S4281" s="10" t="str">
        <f t="shared" si="334"/>
        <v/>
      </c>
    </row>
    <row r="4282" spans="5:19" x14ac:dyDescent="0.3">
      <c r="E4282" s="9" t="str">
        <f>IF(DADOS!C4282="","",DADOS!C4282)</f>
        <v/>
      </c>
      <c r="F4282" s="9" t="str">
        <f>IF(DADOS!E4282="","",DADOS!E4282)</f>
        <v/>
      </c>
      <c r="G4282" s="9" t="str">
        <f>IF(DADOS!F4282="","",DADOS!F4282)</f>
        <v/>
      </c>
      <c r="K4282" s="6" t="str">
        <f t="shared" si="335"/>
        <v/>
      </c>
      <c r="L4282" s="7" t="str">
        <f t="shared" si="336"/>
        <v/>
      </c>
      <c r="M4282" s="7" t="str">
        <f t="shared" si="333"/>
        <v/>
      </c>
      <c r="N4282" s="7" t="str">
        <f t="shared" si="337"/>
        <v/>
      </c>
      <c r="O4282" s="8"/>
      <c r="P4282" s="26"/>
      <c r="S4282" s="10" t="str">
        <f t="shared" si="334"/>
        <v/>
      </c>
    </row>
    <row r="4283" spans="5:19" x14ac:dyDescent="0.3">
      <c r="E4283" s="9" t="str">
        <f>IF(DADOS!C4283="","",DADOS!C4283)</f>
        <v/>
      </c>
      <c r="F4283" s="9" t="str">
        <f>IF(DADOS!E4283="","",DADOS!E4283)</f>
        <v/>
      </c>
      <c r="G4283" s="9" t="str">
        <f>IF(DADOS!F4283="","",DADOS!F4283)</f>
        <v/>
      </c>
      <c r="K4283" s="6" t="str">
        <f t="shared" si="335"/>
        <v/>
      </c>
      <c r="L4283" s="7" t="str">
        <f t="shared" si="336"/>
        <v/>
      </c>
      <c r="M4283" s="7" t="str">
        <f t="shared" si="333"/>
        <v/>
      </c>
      <c r="N4283" s="7" t="str">
        <f t="shared" si="337"/>
        <v/>
      </c>
      <c r="O4283" s="8"/>
      <c r="P4283" s="26"/>
      <c r="S4283" s="10" t="str">
        <f t="shared" si="334"/>
        <v/>
      </c>
    </row>
    <row r="4284" spans="5:19" x14ac:dyDescent="0.3">
      <c r="E4284" s="9" t="str">
        <f>IF(DADOS!C4284="","",DADOS!C4284)</f>
        <v/>
      </c>
      <c r="F4284" s="9" t="str">
        <f>IF(DADOS!E4284="","",DADOS!E4284)</f>
        <v/>
      </c>
      <c r="G4284" s="9" t="str">
        <f>IF(DADOS!F4284="","",DADOS!F4284)</f>
        <v/>
      </c>
      <c r="K4284" s="6" t="str">
        <f t="shared" si="335"/>
        <v/>
      </c>
      <c r="L4284" s="7" t="str">
        <f t="shared" si="336"/>
        <v/>
      </c>
      <c r="M4284" s="7" t="str">
        <f t="shared" si="333"/>
        <v/>
      </c>
      <c r="N4284" s="7" t="str">
        <f t="shared" si="337"/>
        <v/>
      </c>
      <c r="O4284" s="8"/>
      <c r="P4284" s="26"/>
      <c r="S4284" s="10" t="str">
        <f t="shared" si="334"/>
        <v/>
      </c>
    </row>
    <row r="4285" spans="5:19" x14ac:dyDescent="0.3">
      <c r="E4285" s="9" t="str">
        <f>IF(DADOS!C4285="","",DADOS!C4285)</f>
        <v/>
      </c>
      <c r="F4285" s="9" t="str">
        <f>IF(DADOS!E4285="","",DADOS!E4285)</f>
        <v/>
      </c>
      <c r="G4285" s="9" t="str">
        <f>IF(DADOS!F4285="","",DADOS!F4285)</f>
        <v/>
      </c>
      <c r="K4285" s="6" t="str">
        <f t="shared" si="335"/>
        <v/>
      </c>
      <c r="L4285" s="7" t="str">
        <f t="shared" si="336"/>
        <v/>
      </c>
      <c r="M4285" s="7" t="str">
        <f t="shared" si="333"/>
        <v/>
      </c>
      <c r="N4285" s="7" t="str">
        <f t="shared" si="337"/>
        <v/>
      </c>
      <c r="O4285" s="8"/>
      <c r="P4285" s="26"/>
      <c r="S4285" s="10" t="str">
        <f t="shared" si="334"/>
        <v/>
      </c>
    </row>
    <row r="4286" spans="5:19" x14ac:dyDescent="0.3">
      <c r="E4286" s="9" t="str">
        <f>IF(DADOS!C4286="","",DADOS!C4286)</f>
        <v/>
      </c>
      <c r="F4286" s="9" t="str">
        <f>IF(DADOS!E4286="","",DADOS!E4286)</f>
        <v/>
      </c>
      <c r="G4286" s="9" t="str">
        <f>IF(DADOS!F4286="","",DADOS!F4286)</f>
        <v/>
      </c>
      <c r="K4286" s="6" t="str">
        <f t="shared" si="335"/>
        <v/>
      </c>
      <c r="L4286" s="7" t="str">
        <f t="shared" si="336"/>
        <v/>
      </c>
      <c r="M4286" s="7" t="str">
        <f t="shared" si="333"/>
        <v/>
      </c>
      <c r="N4286" s="7" t="str">
        <f t="shared" si="337"/>
        <v/>
      </c>
      <c r="O4286" s="8"/>
      <c r="P4286" s="26"/>
      <c r="S4286" s="10" t="str">
        <f t="shared" si="334"/>
        <v/>
      </c>
    </row>
    <row r="4287" spans="5:19" x14ac:dyDescent="0.3">
      <c r="E4287" s="9" t="str">
        <f>IF(DADOS!C4287="","",DADOS!C4287)</f>
        <v/>
      </c>
      <c r="F4287" s="9" t="str">
        <f>IF(DADOS!E4287="","",DADOS!E4287)</f>
        <v/>
      </c>
      <c r="G4287" s="9" t="str">
        <f>IF(DADOS!F4287="","",DADOS!F4287)</f>
        <v/>
      </c>
      <c r="K4287" s="6" t="str">
        <f t="shared" si="335"/>
        <v/>
      </c>
      <c r="L4287" s="7" t="str">
        <f t="shared" si="336"/>
        <v/>
      </c>
      <c r="M4287" s="7" t="str">
        <f t="shared" si="333"/>
        <v/>
      </c>
      <c r="N4287" s="7" t="str">
        <f t="shared" si="337"/>
        <v/>
      </c>
      <c r="O4287" s="8"/>
      <c r="P4287" s="26"/>
      <c r="S4287" s="10" t="str">
        <f t="shared" si="334"/>
        <v/>
      </c>
    </row>
    <row r="4288" spans="5:19" x14ac:dyDescent="0.3">
      <c r="E4288" s="9" t="str">
        <f>IF(DADOS!C4288="","",DADOS!C4288)</f>
        <v/>
      </c>
      <c r="F4288" s="9" t="str">
        <f>IF(DADOS!E4288="","",DADOS!E4288)</f>
        <v/>
      </c>
      <c r="G4288" s="9" t="str">
        <f>IF(DADOS!F4288="","",DADOS!F4288)</f>
        <v/>
      </c>
      <c r="K4288" s="6" t="str">
        <f t="shared" si="335"/>
        <v/>
      </c>
      <c r="L4288" s="7" t="str">
        <f t="shared" si="336"/>
        <v/>
      </c>
      <c r="M4288" s="7" t="str">
        <f t="shared" si="333"/>
        <v/>
      </c>
      <c r="N4288" s="7" t="str">
        <f t="shared" si="337"/>
        <v/>
      </c>
      <c r="O4288" s="8"/>
      <c r="P4288" s="26"/>
      <c r="S4288" s="10" t="str">
        <f t="shared" si="334"/>
        <v/>
      </c>
    </row>
    <row r="4289" spans="5:19" x14ac:dyDescent="0.3">
      <c r="E4289" s="9" t="str">
        <f>IF(DADOS!C4289="","",DADOS!C4289)</f>
        <v/>
      </c>
      <c r="F4289" s="9" t="str">
        <f>IF(DADOS!E4289="","",DADOS!E4289)</f>
        <v/>
      </c>
      <c r="G4289" s="9" t="str">
        <f>IF(DADOS!F4289="","",DADOS!F4289)</f>
        <v/>
      </c>
      <c r="K4289" s="6" t="str">
        <f t="shared" si="335"/>
        <v/>
      </c>
      <c r="L4289" s="7" t="str">
        <f t="shared" si="336"/>
        <v/>
      </c>
      <c r="M4289" s="7" t="str">
        <f t="shared" si="333"/>
        <v/>
      </c>
      <c r="N4289" s="7" t="str">
        <f t="shared" si="337"/>
        <v/>
      </c>
      <c r="O4289" s="8"/>
      <c r="P4289" s="26"/>
      <c r="S4289" s="10" t="str">
        <f t="shared" si="334"/>
        <v/>
      </c>
    </row>
    <row r="4290" spans="5:19" x14ac:dyDescent="0.3">
      <c r="E4290" s="9" t="str">
        <f>IF(DADOS!C4290="","",DADOS!C4290)</f>
        <v/>
      </c>
      <c r="F4290" s="9" t="str">
        <f>IF(DADOS!E4290="","",DADOS!E4290)</f>
        <v/>
      </c>
      <c r="G4290" s="9" t="str">
        <f>IF(DADOS!F4290="","",DADOS!F4290)</f>
        <v/>
      </c>
      <c r="K4290" s="6" t="str">
        <f t="shared" si="335"/>
        <v/>
      </c>
      <c r="L4290" s="7" t="str">
        <f t="shared" si="336"/>
        <v/>
      </c>
      <c r="M4290" s="7" t="str">
        <f t="shared" si="333"/>
        <v/>
      </c>
      <c r="N4290" s="7" t="str">
        <f t="shared" si="337"/>
        <v/>
      </c>
      <c r="O4290" s="8"/>
      <c r="P4290" s="26"/>
      <c r="S4290" s="10" t="str">
        <f t="shared" si="334"/>
        <v/>
      </c>
    </row>
    <row r="4291" spans="5:19" x14ac:dyDescent="0.3">
      <c r="E4291" s="9" t="str">
        <f>IF(DADOS!C4291="","",DADOS!C4291)</f>
        <v/>
      </c>
      <c r="F4291" s="9" t="str">
        <f>IF(DADOS!E4291="","",DADOS!E4291)</f>
        <v/>
      </c>
      <c r="G4291" s="9" t="str">
        <f>IF(DADOS!F4291="","",DADOS!F4291)</f>
        <v/>
      </c>
      <c r="K4291" s="6" t="str">
        <f t="shared" si="335"/>
        <v/>
      </c>
      <c r="L4291" s="7" t="str">
        <f t="shared" si="336"/>
        <v/>
      </c>
      <c r="M4291" s="7" t="str">
        <f t="shared" ref="M4291:M4354" si="338">IF(L4291="","",L4291*G4291)</f>
        <v/>
      </c>
      <c r="N4291" s="7" t="str">
        <f t="shared" si="337"/>
        <v/>
      </c>
      <c r="O4291" s="8"/>
      <c r="P4291" s="26"/>
      <c r="S4291" s="10" t="str">
        <f t="shared" ref="S4291:S4354" si="339">IF(R4291="","",SUMIFS($N$3:$N$10000,$E$3:$E$10000,R4291))</f>
        <v/>
      </c>
    </row>
    <row r="4292" spans="5:19" x14ac:dyDescent="0.3">
      <c r="E4292" s="9" t="str">
        <f>IF(DADOS!C4292="","",DADOS!C4292)</f>
        <v/>
      </c>
      <c r="F4292" s="9" t="str">
        <f>IF(DADOS!E4292="","",DADOS!E4292)</f>
        <v/>
      </c>
      <c r="G4292" s="9" t="str">
        <f>IF(DADOS!F4292="","",DADOS!F4292)</f>
        <v/>
      </c>
      <c r="K4292" s="6" t="str">
        <f t="shared" ref="K4292:K4355" si="340">IF(F4292="","",F4292/PI())</f>
        <v/>
      </c>
      <c r="L4292" s="7" t="str">
        <f t="shared" ref="L4292:L4355" si="341">IF(K4292="","",(PI()*K4292^2)/40000)</f>
        <v/>
      </c>
      <c r="M4292" s="7" t="str">
        <f t="shared" si="338"/>
        <v/>
      </c>
      <c r="N4292" s="7" t="str">
        <f t="shared" ref="N4292:N4355" si="342">IF(M4292="","",M4292*N$1)</f>
        <v/>
      </c>
      <c r="O4292" s="8"/>
      <c r="P4292" s="26"/>
      <c r="S4292" s="10" t="str">
        <f t="shared" si="339"/>
        <v/>
      </c>
    </row>
    <row r="4293" spans="5:19" x14ac:dyDescent="0.3">
      <c r="E4293" s="9" t="str">
        <f>IF(DADOS!C4293="","",DADOS!C4293)</f>
        <v/>
      </c>
      <c r="F4293" s="9" t="str">
        <f>IF(DADOS!E4293="","",DADOS!E4293)</f>
        <v/>
      </c>
      <c r="G4293" s="9" t="str">
        <f>IF(DADOS!F4293="","",DADOS!F4293)</f>
        <v/>
      </c>
      <c r="K4293" s="6" t="str">
        <f t="shared" si="340"/>
        <v/>
      </c>
      <c r="L4293" s="7" t="str">
        <f t="shared" si="341"/>
        <v/>
      </c>
      <c r="M4293" s="7" t="str">
        <f t="shared" si="338"/>
        <v/>
      </c>
      <c r="N4293" s="7" t="str">
        <f t="shared" si="342"/>
        <v/>
      </c>
      <c r="O4293" s="8"/>
      <c r="P4293" s="26"/>
      <c r="S4293" s="10" t="str">
        <f t="shared" si="339"/>
        <v/>
      </c>
    </row>
    <row r="4294" spans="5:19" x14ac:dyDescent="0.3">
      <c r="E4294" s="9" t="str">
        <f>IF(DADOS!C4294="","",DADOS!C4294)</f>
        <v/>
      </c>
      <c r="F4294" s="9" t="str">
        <f>IF(DADOS!E4294="","",DADOS!E4294)</f>
        <v/>
      </c>
      <c r="G4294" s="9" t="str">
        <f>IF(DADOS!F4294="","",DADOS!F4294)</f>
        <v/>
      </c>
      <c r="K4294" s="6" t="str">
        <f t="shared" si="340"/>
        <v/>
      </c>
      <c r="L4294" s="7" t="str">
        <f t="shared" si="341"/>
        <v/>
      </c>
      <c r="M4294" s="7" t="str">
        <f t="shared" si="338"/>
        <v/>
      </c>
      <c r="N4294" s="7" t="str">
        <f t="shared" si="342"/>
        <v/>
      </c>
      <c r="O4294" s="8"/>
      <c r="P4294" s="26"/>
      <c r="S4294" s="10" t="str">
        <f t="shared" si="339"/>
        <v/>
      </c>
    </row>
    <row r="4295" spans="5:19" x14ac:dyDescent="0.3">
      <c r="E4295" s="9" t="str">
        <f>IF(DADOS!C4295="","",DADOS!C4295)</f>
        <v/>
      </c>
      <c r="F4295" s="9" t="str">
        <f>IF(DADOS!E4295="","",DADOS!E4295)</f>
        <v/>
      </c>
      <c r="G4295" s="9" t="str">
        <f>IF(DADOS!F4295="","",DADOS!F4295)</f>
        <v/>
      </c>
      <c r="K4295" s="6" t="str">
        <f t="shared" si="340"/>
        <v/>
      </c>
      <c r="L4295" s="7" t="str">
        <f t="shared" si="341"/>
        <v/>
      </c>
      <c r="M4295" s="7" t="str">
        <f t="shared" si="338"/>
        <v/>
      </c>
      <c r="N4295" s="7" t="str">
        <f t="shared" si="342"/>
        <v/>
      </c>
      <c r="O4295" s="8"/>
      <c r="P4295" s="26"/>
      <c r="S4295" s="10" t="str">
        <f t="shared" si="339"/>
        <v/>
      </c>
    </row>
    <row r="4296" spans="5:19" x14ac:dyDescent="0.3">
      <c r="E4296" s="9" t="str">
        <f>IF(DADOS!C4296="","",DADOS!C4296)</f>
        <v/>
      </c>
      <c r="F4296" s="9" t="str">
        <f>IF(DADOS!E4296="","",DADOS!E4296)</f>
        <v/>
      </c>
      <c r="G4296" s="9" t="str">
        <f>IF(DADOS!F4296="","",DADOS!F4296)</f>
        <v/>
      </c>
      <c r="K4296" s="6" t="str">
        <f t="shared" si="340"/>
        <v/>
      </c>
      <c r="L4296" s="7" t="str">
        <f t="shared" si="341"/>
        <v/>
      </c>
      <c r="M4296" s="7" t="str">
        <f t="shared" si="338"/>
        <v/>
      </c>
      <c r="N4296" s="7" t="str">
        <f t="shared" si="342"/>
        <v/>
      </c>
      <c r="O4296" s="8"/>
      <c r="P4296" s="26"/>
      <c r="S4296" s="10" t="str">
        <f t="shared" si="339"/>
        <v/>
      </c>
    </row>
    <row r="4297" spans="5:19" x14ac:dyDescent="0.3">
      <c r="E4297" s="9" t="str">
        <f>IF(DADOS!C4297="","",DADOS!C4297)</f>
        <v/>
      </c>
      <c r="F4297" s="9" t="str">
        <f>IF(DADOS!E4297="","",DADOS!E4297)</f>
        <v/>
      </c>
      <c r="G4297" s="9" t="str">
        <f>IF(DADOS!F4297="","",DADOS!F4297)</f>
        <v/>
      </c>
      <c r="K4297" s="6" t="str">
        <f t="shared" si="340"/>
        <v/>
      </c>
      <c r="L4297" s="7" t="str">
        <f t="shared" si="341"/>
        <v/>
      </c>
      <c r="M4297" s="7" t="str">
        <f t="shared" si="338"/>
        <v/>
      </c>
      <c r="N4297" s="7" t="str">
        <f t="shared" si="342"/>
        <v/>
      </c>
      <c r="O4297" s="8"/>
      <c r="P4297" s="26"/>
      <c r="S4297" s="10" t="str">
        <f t="shared" si="339"/>
        <v/>
      </c>
    </row>
    <row r="4298" spans="5:19" x14ac:dyDescent="0.3">
      <c r="E4298" s="9" t="str">
        <f>IF(DADOS!C4298="","",DADOS!C4298)</f>
        <v/>
      </c>
      <c r="F4298" s="9" t="str">
        <f>IF(DADOS!E4298="","",DADOS!E4298)</f>
        <v/>
      </c>
      <c r="G4298" s="9" t="str">
        <f>IF(DADOS!F4298="","",DADOS!F4298)</f>
        <v/>
      </c>
      <c r="K4298" s="6" t="str">
        <f t="shared" si="340"/>
        <v/>
      </c>
      <c r="L4298" s="7" t="str">
        <f t="shared" si="341"/>
        <v/>
      </c>
      <c r="M4298" s="7" t="str">
        <f t="shared" si="338"/>
        <v/>
      </c>
      <c r="N4298" s="7" t="str">
        <f t="shared" si="342"/>
        <v/>
      </c>
      <c r="O4298" s="8"/>
      <c r="P4298" s="26"/>
      <c r="S4298" s="10" t="str">
        <f t="shared" si="339"/>
        <v/>
      </c>
    </row>
    <row r="4299" spans="5:19" x14ac:dyDescent="0.3">
      <c r="E4299" s="9" t="str">
        <f>IF(DADOS!C4299="","",DADOS!C4299)</f>
        <v/>
      </c>
      <c r="F4299" s="9" t="str">
        <f>IF(DADOS!E4299="","",DADOS!E4299)</f>
        <v/>
      </c>
      <c r="G4299" s="9" t="str">
        <f>IF(DADOS!F4299="","",DADOS!F4299)</f>
        <v/>
      </c>
      <c r="K4299" s="6" t="str">
        <f t="shared" si="340"/>
        <v/>
      </c>
      <c r="L4299" s="7" t="str">
        <f t="shared" si="341"/>
        <v/>
      </c>
      <c r="M4299" s="7" t="str">
        <f t="shared" si="338"/>
        <v/>
      </c>
      <c r="N4299" s="7" t="str">
        <f t="shared" si="342"/>
        <v/>
      </c>
      <c r="O4299" s="8"/>
      <c r="P4299" s="26"/>
      <c r="S4299" s="10" t="str">
        <f t="shared" si="339"/>
        <v/>
      </c>
    </row>
    <row r="4300" spans="5:19" x14ac:dyDescent="0.3">
      <c r="E4300" s="9" t="str">
        <f>IF(DADOS!C4300="","",DADOS!C4300)</f>
        <v/>
      </c>
      <c r="F4300" s="9" t="str">
        <f>IF(DADOS!E4300="","",DADOS!E4300)</f>
        <v/>
      </c>
      <c r="G4300" s="9" t="str">
        <f>IF(DADOS!F4300="","",DADOS!F4300)</f>
        <v/>
      </c>
      <c r="K4300" s="6" t="str">
        <f t="shared" si="340"/>
        <v/>
      </c>
      <c r="L4300" s="7" t="str">
        <f t="shared" si="341"/>
        <v/>
      </c>
      <c r="M4300" s="7" t="str">
        <f t="shared" si="338"/>
        <v/>
      </c>
      <c r="N4300" s="7" t="str">
        <f t="shared" si="342"/>
        <v/>
      </c>
      <c r="O4300" s="8"/>
      <c r="P4300" s="26"/>
      <c r="S4300" s="10" t="str">
        <f t="shared" si="339"/>
        <v/>
      </c>
    </row>
    <row r="4301" spans="5:19" x14ac:dyDescent="0.3">
      <c r="E4301" s="9" t="str">
        <f>IF(DADOS!C4301="","",DADOS!C4301)</f>
        <v/>
      </c>
      <c r="F4301" s="9" t="str">
        <f>IF(DADOS!E4301="","",DADOS!E4301)</f>
        <v/>
      </c>
      <c r="G4301" s="9" t="str">
        <f>IF(DADOS!F4301="","",DADOS!F4301)</f>
        <v/>
      </c>
      <c r="K4301" s="6" t="str">
        <f t="shared" si="340"/>
        <v/>
      </c>
      <c r="L4301" s="7" t="str">
        <f t="shared" si="341"/>
        <v/>
      </c>
      <c r="M4301" s="7" t="str">
        <f t="shared" si="338"/>
        <v/>
      </c>
      <c r="N4301" s="7" t="str">
        <f t="shared" si="342"/>
        <v/>
      </c>
      <c r="O4301" s="8"/>
      <c r="P4301" s="26"/>
      <c r="S4301" s="10" t="str">
        <f t="shared" si="339"/>
        <v/>
      </c>
    </row>
    <row r="4302" spans="5:19" x14ac:dyDescent="0.3">
      <c r="E4302" s="9" t="str">
        <f>IF(DADOS!C4302="","",DADOS!C4302)</f>
        <v/>
      </c>
      <c r="F4302" s="9" t="str">
        <f>IF(DADOS!E4302="","",DADOS!E4302)</f>
        <v/>
      </c>
      <c r="G4302" s="9" t="str">
        <f>IF(DADOS!F4302="","",DADOS!F4302)</f>
        <v/>
      </c>
      <c r="K4302" s="6" t="str">
        <f t="shared" si="340"/>
        <v/>
      </c>
      <c r="L4302" s="7" t="str">
        <f t="shared" si="341"/>
        <v/>
      </c>
      <c r="M4302" s="7" t="str">
        <f t="shared" si="338"/>
        <v/>
      </c>
      <c r="N4302" s="7" t="str">
        <f t="shared" si="342"/>
        <v/>
      </c>
      <c r="O4302" s="8"/>
      <c r="P4302" s="26"/>
      <c r="S4302" s="10" t="str">
        <f t="shared" si="339"/>
        <v/>
      </c>
    </row>
    <row r="4303" spans="5:19" x14ac:dyDescent="0.3">
      <c r="E4303" s="9" t="str">
        <f>IF(DADOS!C4303="","",DADOS!C4303)</f>
        <v/>
      </c>
      <c r="F4303" s="9" t="str">
        <f>IF(DADOS!E4303="","",DADOS!E4303)</f>
        <v/>
      </c>
      <c r="G4303" s="9" t="str">
        <f>IF(DADOS!F4303="","",DADOS!F4303)</f>
        <v/>
      </c>
      <c r="K4303" s="6" t="str">
        <f t="shared" si="340"/>
        <v/>
      </c>
      <c r="L4303" s="7" t="str">
        <f t="shared" si="341"/>
        <v/>
      </c>
      <c r="M4303" s="7" t="str">
        <f t="shared" si="338"/>
        <v/>
      </c>
      <c r="N4303" s="7" t="str">
        <f t="shared" si="342"/>
        <v/>
      </c>
      <c r="O4303" s="8"/>
      <c r="P4303" s="26"/>
      <c r="S4303" s="10" t="str">
        <f t="shared" si="339"/>
        <v/>
      </c>
    </row>
    <row r="4304" spans="5:19" x14ac:dyDescent="0.3">
      <c r="E4304" s="9" t="str">
        <f>IF(DADOS!C4304="","",DADOS!C4304)</f>
        <v/>
      </c>
      <c r="F4304" s="9" t="str">
        <f>IF(DADOS!E4304="","",DADOS!E4304)</f>
        <v/>
      </c>
      <c r="G4304" s="9" t="str">
        <f>IF(DADOS!F4304="","",DADOS!F4304)</f>
        <v/>
      </c>
      <c r="K4304" s="6" t="str">
        <f t="shared" si="340"/>
        <v/>
      </c>
      <c r="L4304" s="7" t="str">
        <f t="shared" si="341"/>
        <v/>
      </c>
      <c r="M4304" s="7" t="str">
        <f t="shared" si="338"/>
        <v/>
      </c>
      <c r="N4304" s="7" t="str">
        <f t="shared" si="342"/>
        <v/>
      </c>
      <c r="O4304" s="8"/>
      <c r="P4304" s="26"/>
      <c r="S4304" s="10" t="str">
        <f t="shared" si="339"/>
        <v/>
      </c>
    </row>
    <row r="4305" spans="5:19" x14ac:dyDescent="0.3">
      <c r="E4305" s="9" t="str">
        <f>IF(DADOS!C4305="","",DADOS!C4305)</f>
        <v/>
      </c>
      <c r="F4305" s="9" t="str">
        <f>IF(DADOS!E4305="","",DADOS!E4305)</f>
        <v/>
      </c>
      <c r="G4305" s="9" t="str">
        <f>IF(DADOS!F4305="","",DADOS!F4305)</f>
        <v/>
      </c>
      <c r="K4305" s="6" t="str">
        <f t="shared" si="340"/>
        <v/>
      </c>
      <c r="L4305" s="7" t="str">
        <f t="shared" si="341"/>
        <v/>
      </c>
      <c r="M4305" s="7" t="str">
        <f t="shared" si="338"/>
        <v/>
      </c>
      <c r="N4305" s="7" t="str">
        <f t="shared" si="342"/>
        <v/>
      </c>
      <c r="O4305" s="8"/>
      <c r="P4305" s="26"/>
      <c r="S4305" s="10" t="str">
        <f t="shared" si="339"/>
        <v/>
      </c>
    </row>
    <row r="4306" spans="5:19" x14ac:dyDescent="0.3">
      <c r="E4306" s="9" t="str">
        <f>IF(DADOS!C4306="","",DADOS!C4306)</f>
        <v/>
      </c>
      <c r="F4306" s="9" t="str">
        <f>IF(DADOS!E4306="","",DADOS!E4306)</f>
        <v/>
      </c>
      <c r="G4306" s="9" t="str">
        <f>IF(DADOS!F4306="","",DADOS!F4306)</f>
        <v/>
      </c>
      <c r="K4306" s="6" t="str">
        <f t="shared" si="340"/>
        <v/>
      </c>
      <c r="L4306" s="7" t="str">
        <f t="shared" si="341"/>
        <v/>
      </c>
      <c r="M4306" s="7" t="str">
        <f t="shared" si="338"/>
        <v/>
      </c>
      <c r="N4306" s="7" t="str">
        <f t="shared" si="342"/>
        <v/>
      </c>
      <c r="O4306" s="8"/>
      <c r="P4306" s="26"/>
      <c r="S4306" s="10" t="str">
        <f t="shared" si="339"/>
        <v/>
      </c>
    </row>
    <row r="4307" spans="5:19" x14ac:dyDescent="0.3">
      <c r="E4307" s="9" t="str">
        <f>IF(DADOS!C4307="","",DADOS!C4307)</f>
        <v/>
      </c>
      <c r="F4307" s="9" t="str">
        <f>IF(DADOS!E4307="","",DADOS!E4307)</f>
        <v/>
      </c>
      <c r="G4307" s="9" t="str">
        <f>IF(DADOS!F4307="","",DADOS!F4307)</f>
        <v/>
      </c>
      <c r="K4307" s="6" t="str">
        <f t="shared" si="340"/>
        <v/>
      </c>
      <c r="L4307" s="7" t="str">
        <f t="shared" si="341"/>
        <v/>
      </c>
      <c r="M4307" s="7" t="str">
        <f t="shared" si="338"/>
        <v/>
      </c>
      <c r="N4307" s="7" t="str">
        <f t="shared" si="342"/>
        <v/>
      </c>
      <c r="O4307" s="8"/>
      <c r="P4307" s="26"/>
      <c r="S4307" s="10" t="str">
        <f t="shared" si="339"/>
        <v/>
      </c>
    </row>
    <row r="4308" spans="5:19" x14ac:dyDescent="0.3">
      <c r="E4308" s="9" t="str">
        <f>IF(DADOS!C4308="","",DADOS!C4308)</f>
        <v/>
      </c>
      <c r="F4308" s="9" t="str">
        <f>IF(DADOS!E4308="","",DADOS!E4308)</f>
        <v/>
      </c>
      <c r="G4308" s="9" t="str">
        <f>IF(DADOS!F4308="","",DADOS!F4308)</f>
        <v/>
      </c>
      <c r="K4308" s="6" t="str">
        <f t="shared" si="340"/>
        <v/>
      </c>
      <c r="L4308" s="7" t="str">
        <f t="shared" si="341"/>
        <v/>
      </c>
      <c r="M4308" s="7" t="str">
        <f t="shared" si="338"/>
        <v/>
      </c>
      <c r="N4308" s="7" t="str">
        <f t="shared" si="342"/>
        <v/>
      </c>
      <c r="O4308" s="8"/>
      <c r="P4308" s="26"/>
      <c r="S4308" s="10" t="str">
        <f t="shared" si="339"/>
        <v/>
      </c>
    </row>
    <row r="4309" spans="5:19" x14ac:dyDescent="0.3">
      <c r="E4309" s="9" t="str">
        <f>IF(DADOS!C4309="","",DADOS!C4309)</f>
        <v/>
      </c>
      <c r="F4309" s="9" t="str">
        <f>IF(DADOS!E4309="","",DADOS!E4309)</f>
        <v/>
      </c>
      <c r="G4309" s="9" t="str">
        <f>IF(DADOS!F4309="","",DADOS!F4309)</f>
        <v/>
      </c>
      <c r="K4309" s="6" t="str">
        <f t="shared" si="340"/>
        <v/>
      </c>
      <c r="L4309" s="7" t="str">
        <f t="shared" si="341"/>
        <v/>
      </c>
      <c r="M4309" s="7" t="str">
        <f t="shared" si="338"/>
        <v/>
      </c>
      <c r="N4309" s="7" t="str">
        <f t="shared" si="342"/>
        <v/>
      </c>
      <c r="O4309" s="8"/>
      <c r="P4309" s="26"/>
      <c r="S4309" s="10" t="str">
        <f t="shared" si="339"/>
        <v/>
      </c>
    </row>
    <row r="4310" spans="5:19" x14ac:dyDescent="0.3">
      <c r="E4310" s="9" t="str">
        <f>IF(DADOS!C4310="","",DADOS!C4310)</f>
        <v/>
      </c>
      <c r="F4310" s="9" t="str">
        <f>IF(DADOS!E4310="","",DADOS!E4310)</f>
        <v/>
      </c>
      <c r="G4310" s="9" t="str">
        <f>IF(DADOS!F4310="","",DADOS!F4310)</f>
        <v/>
      </c>
      <c r="K4310" s="6" t="str">
        <f t="shared" si="340"/>
        <v/>
      </c>
      <c r="L4310" s="7" t="str">
        <f t="shared" si="341"/>
        <v/>
      </c>
      <c r="M4310" s="7" t="str">
        <f t="shared" si="338"/>
        <v/>
      </c>
      <c r="N4310" s="7" t="str">
        <f t="shared" si="342"/>
        <v/>
      </c>
      <c r="O4310" s="8"/>
      <c r="P4310" s="26"/>
      <c r="S4310" s="10" t="str">
        <f t="shared" si="339"/>
        <v/>
      </c>
    </row>
    <row r="4311" spans="5:19" x14ac:dyDescent="0.3">
      <c r="E4311" s="9" t="str">
        <f>IF(DADOS!C4311="","",DADOS!C4311)</f>
        <v/>
      </c>
      <c r="F4311" s="9" t="str">
        <f>IF(DADOS!E4311="","",DADOS!E4311)</f>
        <v/>
      </c>
      <c r="G4311" s="9" t="str">
        <f>IF(DADOS!F4311="","",DADOS!F4311)</f>
        <v/>
      </c>
      <c r="K4311" s="6" t="str">
        <f t="shared" si="340"/>
        <v/>
      </c>
      <c r="L4311" s="7" t="str">
        <f t="shared" si="341"/>
        <v/>
      </c>
      <c r="M4311" s="7" t="str">
        <f t="shared" si="338"/>
        <v/>
      </c>
      <c r="N4311" s="7" t="str">
        <f t="shared" si="342"/>
        <v/>
      </c>
      <c r="O4311" s="8"/>
      <c r="P4311" s="26"/>
      <c r="S4311" s="10" t="str">
        <f t="shared" si="339"/>
        <v/>
      </c>
    </row>
    <row r="4312" spans="5:19" x14ac:dyDescent="0.3">
      <c r="E4312" s="9" t="str">
        <f>IF(DADOS!C4312="","",DADOS!C4312)</f>
        <v/>
      </c>
      <c r="F4312" s="9" t="str">
        <f>IF(DADOS!E4312="","",DADOS!E4312)</f>
        <v/>
      </c>
      <c r="G4312" s="9" t="str">
        <f>IF(DADOS!F4312="","",DADOS!F4312)</f>
        <v/>
      </c>
      <c r="K4312" s="6" t="str">
        <f t="shared" si="340"/>
        <v/>
      </c>
      <c r="L4312" s="7" t="str">
        <f t="shared" si="341"/>
        <v/>
      </c>
      <c r="M4312" s="7" t="str">
        <f t="shared" si="338"/>
        <v/>
      </c>
      <c r="N4312" s="7" t="str">
        <f t="shared" si="342"/>
        <v/>
      </c>
      <c r="O4312" s="8"/>
      <c r="P4312" s="26"/>
      <c r="S4312" s="10" t="str">
        <f t="shared" si="339"/>
        <v/>
      </c>
    </row>
    <row r="4313" spans="5:19" x14ac:dyDescent="0.3">
      <c r="E4313" s="9" t="str">
        <f>IF(DADOS!C4313="","",DADOS!C4313)</f>
        <v/>
      </c>
      <c r="F4313" s="9" t="str">
        <f>IF(DADOS!E4313="","",DADOS!E4313)</f>
        <v/>
      </c>
      <c r="G4313" s="9" t="str">
        <f>IF(DADOS!F4313="","",DADOS!F4313)</f>
        <v/>
      </c>
      <c r="K4313" s="6" t="str">
        <f t="shared" si="340"/>
        <v/>
      </c>
      <c r="L4313" s="7" t="str">
        <f t="shared" si="341"/>
        <v/>
      </c>
      <c r="M4313" s="7" t="str">
        <f t="shared" si="338"/>
        <v/>
      </c>
      <c r="N4313" s="7" t="str">
        <f t="shared" si="342"/>
        <v/>
      </c>
      <c r="O4313" s="8"/>
      <c r="P4313" s="26"/>
      <c r="S4313" s="10" t="str">
        <f t="shared" si="339"/>
        <v/>
      </c>
    </row>
    <row r="4314" spans="5:19" x14ac:dyDescent="0.3">
      <c r="E4314" s="9" t="str">
        <f>IF(DADOS!C4314="","",DADOS!C4314)</f>
        <v/>
      </c>
      <c r="F4314" s="9" t="str">
        <f>IF(DADOS!E4314="","",DADOS!E4314)</f>
        <v/>
      </c>
      <c r="G4314" s="9" t="str">
        <f>IF(DADOS!F4314="","",DADOS!F4314)</f>
        <v/>
      </c>
      <c r="K4314" s="6" t="str">
        <f t="shared" si="340"/>
        <v/>
      </c>
      <c r="L4314" s="7" t="str">
        <f t="shared" si="341"/>
        <v/>
      </c>
      <c r="M4314" s="7" t="str">
        <f t="shared" si="338"/>
        <v/>
      </c>
      <c r="N4314" s="7" t="str">
        <f t="shared" si="342"/>
        <v/>
      </c>
      <c r="O4314" s="8"/>
      <c r="P4314" s="26"/>
      <c r="S4314" s="10" t="str">
        <f t="shared" si="339"/>
        <v/>
      </c>
    </row>
    <row r="4315" spans="5:19" x14ac:dyDescent="0.3">
      <c r="E4315" s="9" t="str">
        <f>IF(DADOS!C4315="","",DADOS!C4315)</f>
        <v/>
      </c>
      <c r="F4315" s="9" t="str">
        <f>IF(DADOS!E4315="","",DADOS!E4315)</f>
        <v/>
      </c>
      <c r="G4315" s="9" t="str">
        <f>IF(DADOS!F4315="","",DADOS!F4315)</f>
        <v/>
      </c>
      <c r="K4315" s="6" t="str">
        <f t="shared" si="340"/>
        <v/>
      </c>
      <c r="L4315" s="7" t="str">
        <f t="shared" si="341"/>
        <v/>
      </c>
      <c r="M4315" s="7" t="str">
        <f t="shared" si="338"/>
        <v/>
      </c>
      <c r="N4315" s="7" t="str">
        <f t="shared" si="342"/>
        <v/>
      </c>
      <c r="O4315" s="8"/>
      <c r="P4315" s="26"/>
      <c r="S4315" s="10" t="str">
        <f t="shared" si="339"/>
        <v/>
      </c>
    </row>
    <row r="4316" spans="5:19" x14ac:dyDescent="0.3">
      <c r="E4316" s="9" t="str">
        <f>IF(DADOS!C4316="","",DADOS!C4316)</f>
        <v/>
      </c>
      <c r="F4316" s="9" t="str">
        <f>IF(DADOS!E4316="","",DADOS!E4316)</f>
        <v/>
      </c>
      <c r="G4316" s="9" t="str">
        <f>IF(DADOS!F4316="","",DADOS!F4316)</f>
        <v/>
      </c>
      <c r="K4316" s="6" t="str">
        <f t="shared" si="340"/>
        <v/>
      </c>
      <c r="L4316" s="7" t="str">
        <f t="shared" si="341"/>
        <v/>
      </c>
      <c r="M4316" s="7" t="str">
        <f t="shared" si="338"/>
        <v/>
      </c>
      <c r="N4316" s="7" t="str">
        <f t="shared" si="342"/>
        <v/>
      </c>
      <c r="O4316" s="8"/>
      <c r="P4316" s="26"/>
      <c r="S4316" s="10" t="str">
        <f t="shared" si="339"/>
        <v/>
      </c>
    </row>
    <row r="4317" spans="5:19" x14ac:dyDescent="0.3">
      <c r="E4317" s="9" t="str">
        <f>IF(DADOS!C4317="","",DADOS!C4317)</f>
        <v/>
      </c>
      <c r="F4317" s="9" t="str">
        <f>IF(DADOS!E4317="","",DADOS!E4317)</f>
        <v/>
      </c>
      <c r="G4317" s="9" t="str">
        <f>IF(DADOS!F4317="","",DADOS!F4317)</f>
        <v/>
      </c>
      <c r="K4317" s="6" t="str">
        <f t="shared" si="340"/>
        <v/>
      </c>
      <c r="L4317" s="7" t="str">
        <f t="shared" si="341"/>
        <v/>
      </c>
      <c r="M4317" s="7" t="str">
        <f t="shared" si="338"/>
        <v/>
      </c>
      <c r="N4317" s="7" t="str">
        <f t="shared" si="342"/>
        <v/>
      </c>
      <c r="O4317" s="8"/>
      <c r="P4317" s="26"/>
      <c r="S4317" s="10" t="str">
        <f t="shared" si="339"/>
        <v/>
      </c>
    </row>
    <row r="4318" spans="5:19" x14ac:dyDescent="0.3">
      <c r="E4318" s="9" t="str">
        <f>IF(DADOS!C4318="","",DADOS!C4318)</f>
        <v/>
      </c>
      <c r="F4318" s="9" t="str">
        <f>IF(DADOS!E4318="","",DADOS!E4318)</f>
        <v/>
      </c>
      <c r="G4318" s="9" t="str">
        <f>IF(DADOS!F4318="","",DADOS!F4318)</f>
        <v/>
      </c>
      <c r="K4318" s="6" t="str">
        <f t="shared" si="340"/>
        <v/>
      </c>
      <c r="L4318" s="7" t="str">
        <f t="shared" si="341"/>
        <v/>
      </c>
      <c r="M4318" s="7" t="str">
        <f t="shared" si="338"/>
        <v/>
      </c>
      <c r="N4318" s="7" t="str">
        <f t="shared" si="342"/>
        <v/>
      </c>
      <c r="O4318" s="8"/>
      <c r="P4318" s="26"/>
      <c r="S4318" s="10" t="str">
        <f t="shared" si="339"/>
        <v/>
      </c>
    </row>
    <row r="4319" spans="5:19" x14ac:dyDescent="0.3">
      <c r="E4319" s="9" t="str">
        <f>IF(DADOS!C4319="","",DADOS!C4319)</f>
        <v/>
      </c>
      <c r="F4319" s="9" t="str">
        <f>IF(DADOS!E4319="","",DADOS!E4319)</f>
        <v/>
      </c>
      <c r="G4319" s="9" t="str">
        <f>IF(DADOS!F4319="","",DADOS!F4319)</f>
        <v/>
      </c>
      <c r="K4319" s="6" t="str">
        <f t="shared" si="340"/>
        <v/>
      </c>
      <c r="L4319" s="7" t="str">
        <f t="shared" si="341"/>
        <v/>
      </c>
      <c r="M4319" s="7" t="str">
        <f t="shared" si="338"/>
        <v/>
      </c>
      <c r="N4319" s="7" t="str">
        <f t="shared" si="342"/>
        <v/>
      </c>
      <c r="O4319" s="8"/>
      <c r="P4319" s="26"/>
      <c r="S4319" s="10" t="str">
        <f t="shared" si="339"/>
        <v/>
      </c>
    </row>
    <row r="4320" spans="5:19" x14ac:dyDescent="0.3">
      <c r="E4320" s="9" t="str">
        <f>IF(DADOS!C4320="","",DADOS!C4320)</f>
        <v/>
      </c>
      <c r="F4320" s="9" t="str">
        <f>IF(DADOS!E4320="","",DADOS!E4320)</f>
        <v/>
      </c>
      <c r="G4320" s="9" t="str">
        <f>IF(DADOS!F4320="","",DADOS!F4320)</f>
        <v/>
      </c>
      <c r="K4320" s="6" t="str">
        <f t="shared" si="340"/>
        <v/>
      </c>
      <c r="L4320" s="7" t="str">
        <f t="shared" si="341"/>
        <v/>
      </c>
      <c r="M4320" s="7" t="str">
        <f t="shared" si="338"/>
        <v/>
      </c>
      <c r="N4320" s="7" t="str">
        <f t="shared" si="342"/>
        <v/>
      </c>
      <c r="O4320" s="8"/>
      <c r="P4320" s="26"/>
      <c r="S4320" s="10" t="str">
        <f t="shared" si="339"/>
        <v/>
      </c>
    </row>
    <row r="4321" spans="5:19" x14ac:dyDescent="0.3">
      <c r="E4321" s="9" t="str">
        <f>IF(DADOS!C4321="","",DADOS!C4321)</f>
        <v/>
      </c>
      <c r="F4321" s="9" t="str">
        <f>IF(DADOS!E4321="","",DADOS!E4321)</f>
        <v/>
      </c>
      <c r="G4321" s="9" t="str">
        <f>IF(DADOS!F4321="","",DADOS!F4321)</f>
        <v/>
      </c>
      <c r="K4321" s="6" t="str">
        <f t="shared" si="340"/>
        <v/>
      </c>
      <c r="L4321" s="7" t="str">
        <f t="shared" si="341"/>
        <v/>
      </c>
      <c r="M4321" s="7" t="str">
        <f t="shared" si="338"/>
        <v/>
      </c>
      <c r="N4321" s="7" t="str">
        <f t="shared" si="342"/>
        <v/>
      </c>
      <c r="O4321" s="8"/>
      <c r="P4321" s="26"/>
      <c r="S4321" s="10" t="str">
        <f t="shared" si="339"/>
        <v/>
      </c>
    </row>
    <row r="4322" spans="5:19" x14ac:dyDescent="0.3">
      <c r="E4322" s="9" t="str">
        <f>IF(DADOS!C4322="","",DADOS!C4322)</f>
        <v/>
      </c>
      <c r="F4322" s="9" t="str">
        <f>IF(DADOS!E4322="","",DADOS!E4322)</f>
        <v/>
      </c>
      <c r="G4322" s="9" t="str">
        <f>IF(DADOS!F4322="","",DADOS!F4322)</f>
        <v/>
      </c>
      <c r="K4322" s="6" t="str">
        <f t="shared" si="340"/>
        <v/>
      </c>
      <c r="L4322" s="7" t="str">
        <f t="shared" si="341"/>
        <v/>
      </c>
      <c r="M4322" s="7" t="str">
        <f t="shared" si="338"/>
        <v/>
      </c>
      <c r="N4322" s="7" t="str">
        <f t="shared" si="342"/>
        <v/>
      </c>
      <c r="O4322" s="8"/>
      <c r="P4322" s="26"/>
      <c r="S4322" s="10" t="str">
        <f t="shared" si="339"/>
        <v/>
      </c>
    </row>
    <row r="4323" spans="5:19" x14ac:dyDescent="0.3">
      <c r="E4323" s="9" t="str">
        <f>IF(DADOS!C4323="","",DADOS!C4323)</f>
        <v/>
      </c>
      <c r="F4323" s="9" t="str">
        <f>IF(DADOS!E4323="","",DADOS!E4323)</f>
        <v/>
      </c>
      <c r="G4323" s="9" t="str">
        <f>IF(DADOS!F4323="","",DADOS!F4323)</f>
        <v/>
      </c>
      <c r="K4323" s="6" t="str">
        <f t="shared" si="340"/>
        <v/>
      </c>
      <c r="L4323" s="7" t="str">
        <f t="shared" si="341"/>
        <v/>
      </c>
      <c r="M4323" s="7" t="str">
        <f t="shared" si="338"/>
        <v/>
      </c>
      <c r="N4323" s="7" t="str">
        <f t="shared" si="342"/>
        <v/>
      </c>
      <c r="O4323" s="8"/>
      <c r="P4323" s="26"/>
      <c r="S4323" s="10" t="str">
        <f t="shared" si="339"/>
        <v/>
      </c>
    </row>
    <row r="4324" spans="5:19" x14ac:dyDescent="0.3">
      <c r="E4324" s="9" t="str">
        <f>IF(DADOS!C4324="","",DADOS!C4324)</f>
        <v/>
      </c>
      <c r="F4324" s="9" t="str">
        <f>IF(DADOS!E4324="","",DADOS!E4324)</f>
        <v/>
      </c>
      <c r="G4324" s="9" t="str">
        <f>IF(DADOS!F4324="","",DADOS!F4324)</f>
        <v/>
      </c>
      <c r="K4324" s="6" t="str">
        <f t="shared" si="340"/>
        <v/>
      </c>
      <c r="L4324" s="7" t="str">
        <f t="shared" si="341"/>
        <v/>
      </c>
      <c r="M4324" s="7" t="str">
        <f t="shared" si="338"/>
        <v/>
      </c>
      <c r="N4324" s="7" t="str">
        <f t="shared" si="342"/>
        <v/>
      </c>
      <c r="O4324" s="8"/>
      <c r="P4324" s="26"/>
      <c r="S4324" s="10" t="str">
        <f t="shared" si="339"/>
        <v/>
      </c>
    </row>
    <row r="4325" spans="5:19" x14ac:dyDescent="0.3">
      <c r="E4325" s="9" t="str">
        <f>IF(DADOS!C4325="","",DADOS!C4325)</f>
        <v/>
      </c>
      <c r="F4325" s="9" t="str">
        <f>IF(DADOS!E4325="","",DADOS!E4325)</f>
        <v/>
      </c>
      <c r="G4325" s="9" t="str">
        <f>IF(DADOS!F4325="","",DADOS!F4325)</f>
        <v/>
      </c>
      <c r="K4325" s="6" t="str">
        <f t="shared" si="340"/>
        <v/>
      </c>
      <c r="L4325" s="7" t="str">
        <f t="shared" si="341"/>
        <v/>
      </c>
      <c r="M4325" s="7" t="str">
        <f t="shared" si="338"/>
        <v/>
      </c>
      <c r="N4325" s="7" t="str">
        <f t="shared" si="342"/>
        <v/>
      </c>
      <c r="O4325" s="8"/>
      <c r="P4325" s="26"/>
      <c r="S4325" s="10" t="str">
        <f t="shared" si="339"/>
        <v/>
      </c>
    </row>
    <row r="4326" spans="5:19" x14ac:dyDescent="0.3">
      <c r="E4326" s="9" t="str">
        <f>IF(DADOS!C4326="","",DADOS!C4326)</f>
        <v/>
      </c>
      <c r="F4326" s="9" t="str">
        <f>IF(DADOS!E4326="","",DADOS!E4326)</f>
        <v/>
      </c>
      <c r="G4326" s="9" t="str">
        <f>IF(DADOS!F4326="","",DADOS!F4326)</f>
        <v/>
      </c>
      <c r="K4326" s="6" t="str">
        <f t="shared" si="340"/>
        <v/>
      </c>
      <c r="L4326" s="7" t="str">
        <f t="shared" si="341"/>
        <v/>
      </c>
      <c r="M4326" s="7" t="str">
        <f t="shared" si="338"/>
        <v/>
      </c>
      <c r="N4326" s="7" t="str">
        <f t="shared" si="342"/>
        <v/>
      </c>
      <c r="O4326" s="8"/>
      <c r="P4326" s="26"/>
      <c r="S4326" s="10" t="str">
        <f t="shared" si="339"/>
        <v/>
      </c>
    </row>
    <row r="4327" spans="5:19" x14ac:dyDescent="0.3">
      <c r="E4327" s="9" t="str">
        <f>IF(DADOS!C4327="","",DADOS!C4327)</f>
        <v/>
      </c>
      <c r="F4327" s="9" t="str">
        <f>IF(DADOS!E4327="","",DADOS!E4327)</f>
        <v/>
      </c>
      <c r="G4327" s="9" t="str">
        <f>IF(DADOS!F4327="","",DADOS!F4327)</f>
        <v/>
      </c>
      <c r="K4327" s="6" t="str">
        <f t="shared" si="340"/>
        <v/>
      </c>
      <c r="L4327" s="7" t="str">
        <f t="shared" si="341"/>
        <v/>
      </c>
      <c r="M4327" s="7" t="str">
        <f t="shared" si="338"/>
        <v/>
      </c>
      <c r="N4327" s="7" t="str">
        <f t="shared" si="342"/>
        <v/>
      </c>
      <c r="O4327" s="8"/>
      <c r="P4327" s="26"/>
      <c r="S4327" s="10" t="str">
        <f t="shared" si="339"/>
        <v/>
      </c>
    </row>
    <row r="4328" spans="5:19" x14ac:dyDescent="0.3">
      <c r="E4328" s="9" t="str">
        <f>IF(DADOS!C4328="","",DADOS!C4328)</f>
        <v/>
      </c>
      <c r="F4328" s="9" t="str">
        <f>IF(DADOS!E4328="","",DADOS!E4328)</f>
        <v/>
      </c>
      <c r="G4328" s="9" t="str">
        <f>IF(DADOS!F4328="","",DADOS!F4328)</f>
        <v/>
      </c>
      <c r="K4328" s="6" t="str">
        <f t="shared" si="340"/>
        <v/>
      </c>
      <c r="L4328" s="7" t="str">
        <f t="shared" si="341"/>
        <v/>
      </c>
      <c r="M4328" s="7" t="str">
        <f t="shared" si="338"/>
        <v/>
      </c>
      <c r="N4328" s="7" t="str">
        <f t="shared" si="342"/>
        <v/>
      </c>
      <c r="O4328" s="8"/>
      <c r="P4328" s="26"/>
      <c r="S4328" s="10" t="str">
        <f t="shared" si="339"/>
        <v/>
      </c>
    </row>
    <row r="4329" spans="5:19" x14ac:dyDescent="0.3">
      <c r="E4329" s="9" t="str">
        <f>IF(DADOS!C4329="","",DADOS!C4329)</f>
        <v/>
      </c>
      <c r="F4329" s="9" t="str">
        <f>IF(DADOS!E4329="","",DADOS!E4329)</f>
        <v/>
      </c>
      <c r="G4329" s="9" t="str">
        <f>IF(DADOS!F4329="","",DADOS!F4329)</f>
        <v/>
      </c>
      <c r="K4329" s="6" t="str">
        <f t="shared" si="340"/>
        <v/>
      </c>
      <c r="L4329" s="7" t="str">
        <f t="shared" si="341"/>
        <v/>
      </c>
      <c r="M4329" s="7" t="str">
        <f t="shared" si="338"/>
        <v/>
      </c>
      <c r="N4329" s="7" t="str">
        <f t="shared" si="342"/>
        <v/>
      </c>
      <c r="O4329" s="8"/>
      <c r="P4329" s="26"/>
      <c r="S4329" s="10" t="str">
        <f t="shared" si="339"/>
        <v/>
      </c>
    </row>
    <row r="4330" spans="5:19" x14ac:dyDescent="0.3">
      <c r="E4330" s="9" t="str">
        <f>IF(DADOS!C4330="","",DADOS!C4330)</f>
        <v/>
      </c>
      <c r="F4330" s="9" t="str">
        <f>IF(DADOS!E4330="","",DADOS!E4330)</f>
        <v/>
      </c>
      <c r="G4330" s="9" t="str">
        <f>IF(DADOS!F4330="","",DADOS!F4330)</f>
        <v/>
      </c>
      <c r="K4330" s="6" t="str">
        <f t="shared" si="340"/>
        <v/>
      </c>
      <c r="L4330" s="7" t="str">
        <f t="shared" si="341"/>
        <v/>
      </c>
      <c r="M4330" s="7" t="str">
        <f t="shared" si="338"/>
        <v/>
      </c>
      <c r="N4330" s="7" t="str">
        <f t="shared" si="342"/>
        <v/>
      </c>
      <c r="O4330" s="8"/>
      <c r="P4330" s="26"/>
      <c r="S4330" s="10" t="str">
        <f t="shared" si="339"/>
        <v/>
      </c>
    </row>
    <row r="4331" spans="5:19" x14ac:dyDescent="0.3">
      <c r="E4331" s="9" t="str">
        <f>IF(DADOS!C4331="","",DADOS!C4331)</f>
        <v/>
      </c>
      <c r="F4331" s="9" t="str">
        <f>IF(DADOS!E4331="","",DADOS!E4331)</f>
        <v/>
      </c>
      <c r="G4331" s="9" t="str">
        <f>IF(DADOS!F4331="","",DADOS!F4331)</f>
        <v/>
      </c>
      <c r="K4331" s="6" t="str">
        <f t="shared" si="340"/>
        <v/>
      </c>
      <c r="L4331" s="7" t="str">
        <f t="shared" si="341"/>
        <v/>
      </c>
      <c r="M4331" s="7" t="str">
        <f t="shared" si="338"/>
        <v/>
      </c>
      <c r="N4331" s="7" t="str">
        <f t="shared" si="342"/>
        <v/>
      </c>
      <c r="O4331" s="8"/>
      <c r="P4331" s="26"/>
      <c r="S4331" s="10" t="str">
        <f t="shared" si="339"/>
        <v/>
      </c>
    </row>
    <row r="4332" spans="5:19" x14ac:dyDescent="0.3">
      <c r="E4332" s="9" t="str">
        <f>IF(DADOS!C4332="","",DADOS!C4332)</f>
        <v/>
      </c>
      <c r="F4332" s="9" t="str">
        <f>IF(DADOS!E4332="","",DADOS!E4332)</f>
        <v/>
      </c>
      <c r="G4332" s="9" t="str">
        <f>IF(DADOS!F4332="","",DADOS!F4332)</f>
        <v/>
      </c>
      <c r="K4332" s="6" t="str">
        <f t="shared" si="340"/>
        <v/>
      </c>
      <c r="L4332" s="7" t="str">
        <f t="shared" si="341"/>
        <v/>
      </c>
      <c r="M4332" s="7" t="str">
        <f t="shared" si="338"/>
        <v/>
      </c>
      <c r="N4332" s="7" t="str">
        <f t="shared" si="342"/>
        <v/>
      </c>
      <c r="O4332" s="8"/>
      <c r="P4332" s="26"/>
      <c r="S4332" s="10" t="str">
        <f t="shared" si="339"/>
        <v/>
      </c>
    </row>
    <row r="4333" spans="5:19" x14ac:dyDescent="0.3">
      <c r="E4333" s="9" t="str">
        <f>IF(DADOS!C4333="","",DADOS!C4333)</f>
        <v/>
      </c>
      <c r="F4333" s="9" t="str">
        <f>IF(DADOS!E4333="","",DADOS!E4333)</f>
        <v/>
      </c>
      <c r="G4333" s="9" t="str">
        <f>IF(DADOS!F4333="","",DADOS!F4333)</f>
        <v/>
      </c>
      <c r="K4333" s="6" t="str">
        <f t="shared" si="340"/>
        <v/>
      </c>
      <c r="L4333" s="7" t="str">
        <f t="shared" si="341"/>
        <v/>
      </c>
      <c r="M4333" s="7" t="str">
        <f t="shared" si="338"/>
        <v/>
      </c>
      <c r="N4333" s="7" t="str">
        <f t="shared" si="342"/>
        <v/>
      </c>
      <c r="O4333" s="8"/>
      <c r="P4333" s="26"/>
      <c r="S4333" s="10" t="str">
        <f t="shared" si="339"/>
        <v/>
      </c>
    </row>
    <row r="4334" spans="5:19" x14ac:dyDescent="0.3">
      <c r="E4334" s="9" t="str">
        <f>IF(DADOS!C4334="","",DADOS!C4334)</f>
        <v/>
      </c>
      <c r="F4334" s="9" t="str">
        <f>IF(DADOS!E4334="","",DADOS!E4334)</f>
        <v/>
      </c>
      <c r="G4334" s="9" t="str">
        <f>IF(DADOS!F4334="","",DADOS!F4334)</f>
        <v/>
      </c>
      <c r="K4334" s="6" t="str">
        <f t="shared" si="340"/>
        <v/>
      </c>
      <c r="L4334" s="7" t="str">
        <f t="shared" si="341"/>
        <v/>
      </c>
      <c r="M4334" s="7" t="str">
        <f t="shared" si="338"/>
        <v/>
      </c>
      <c r="N4334" s="7" t="str">
        <f t="shared" si="342"/>
        <v/>
      </c>
      <c r="O4334" s="8"/>
      <c r="P4334" s="26"/>
      <c r="S4334" s="10" t="str">
        <f t="shared" si="339"/>
        <v/>
      </c>
    </row>
    <row r="4335" spans="5:19" x14ac:dyDescent="0.3">
      <c r="E4335" s="9" t="str">
        <f>IF(DADOS!C4335="","",DADOS!C4335)</f>
        <v/>
      </c>
      <c r="F4335" s="9" t="str">
        <f>IF(DADOS!E4335="","",DADOS!E4335)</f>
        <v/>
      </c>
      <c r="G4335" s="9" t="str">
        <f>IF(DADOS!F4335="","",DADOS!F4335)</f>
        <v/>
      </c>
      <c r="K4335" s="6" t="str">
        <f t="shared" si="340"/>
        <v/>
      </c>
      <c r="L4335" s="7" t="str">
        <f t="shared" si="341"/>
        <v/>
      </c>
      <c r="M4335" s="7" t="str">
        <f t="shared" si="338"/>
        <v/>
      </c>
      <c r="N4335" s="7" t="str">
        <f t="shared" si="342"/>
        <v/>
      </c>
      <c r="O4335" s="8"/>
      <c r="P4335" s="26"/>
      <c r="S4335" s="10" t="str">
        <f t="shared" si="339"/>
        <v/>
      </c>
    </row>
    <row r="4336" spans="5:19" x14ac:dyDescent="0.3">
      <c r="E4336" s="9" t="str">
        <f>IF(DADOS!C4336="","",DADOS!C4336)</f>
        <v/>
      </c>
      <c r="F4336" s="9" t="str">
        <f>IF(DADOS!E4336="","",DADOS!E4336)</f>
        <v/>
      </c>
      <c r="G4336" s="9" t="str">
        <f>IF(DADOS!F4336="","",DADOS!F4336)</f>
        <v/>
      </c>
      <c r="K4336" s="6" t="str">
        <f t="shared" si="340"/>
        <v/>
      </c>
      <c r="L4336" s="7" t="str">
        <f t="shared" si="341"/>
        <v/>
      </c>
      <c r="M4336" s="7" t="str">
        <f t="shared" si="338"/>
        <v/>
      </c>
      <c r="N4336" s="7" t="str">
        <f t="shared" si="342"/>
        <v/>
      </c>
      <c r="O4336" s="8"/>
      <c r="P4336" s="26"/>
      <c r="S4336" s="10" t="str">
        <f t="shared" si="339"/>
        <v/>
      </c>
    </row>
    <row r="4337" spans="5:19" x14ac:dyDescent="0.3">
      <c r="E4337" s="9" t="str">
        <f>IF(DADOS!C4337="","",DADOS!C4337)</f>
        <v/>
      </c>
      <c r="F4337" s="9" t="str">
        <f>IF(DADOS!E4337="","",DADOS!E4337)</f>
        <v/>
      </c>
      <c r="G4337" s="9" t="str">
        <f>IF(DADOS!F4337="","",DADOS!F4337)</f>
        <v/>
      </c>
      <c r="K4337" s="6" t="str">
        <f t="shared" si="340"/>
        <v/>
      </c>
      <c r="L4337" s="7" t="str">
        <f t="shared" si="341"/>
        <v/>
      </c>
      <c r="M4337" s="7" t="str">
        <f t="shared" si="338"/>
        <v/>
      </c>
      <c r="N4337" s="7" t="str">
        <f t="shared" si="342"/>
        <v/>
      </c>
      <c r="O4337" s="8"/>
      <c r="P4337" s="26"/>
      <c r="S4337" s="10" t="str">
        <f t="shared" si="339"/>
        <v/>
      </c>
    </row>
    <row r="4338" spans="5:19" x14ac:dyDescent="0.3">
      <c r="E4338" s="9" t="str">
        <f>IF(DADOS!C4338="","",DADOS!C4338)</f>
        <v/>
      </c>
      <c r="F4338" s="9" t="str">
        <f>IF(DADOS!E4338="","",DADOS!E4338)</f>
        <v/>
      </c>
      <c r="G4338" s="9" t="str">
        <f>IF(DADOS!F4338="","",DADOS!F4338)</f>
        <v/>
      </c>
      <c r="K4338" s="6" t="str">
        <f t="shared" si="340"/>
        <v/>
      </c>
      <c r="L4338" s="7" t="str">
        <f t="shared" si="341"/>
        <v/>
      </c>
      <c r="M4338" s="7" t="str">
        <f t="shared" si="338"/>
        <v/>
      </c>
      <c r="N4338" s="7" t="str">
        <f t="shared" si="342"/>
        <v/>
      </c>
      <c r="O4338" s="8"/>
      <c r="P4338" s="26"/>
      <c r="S4338" s="10" t="str">
        <f t="shared" si="339"/>
        <v/>
      </c>
    </row>
    <row r="4339" spans="5:19" x14ac:dyDescent="0.3">
      <c r="E4339" s="9" t="str">
        <f>IF(DADOS!C4339="","",DADOS!C4339)</f>
        <v/>
      </c>
      <c r="F4339" s="9" t="str">
        <f>IF(DADOS!E4339="","",DADOS!E4339)</f>
        <v/>
      </c>
      <c r="G4339" s="9" t="str">
        <f>IF(DADOS!F4339="","",DADOS!F4339)</f>
        <v/>
      </c>
      <c r="K4339" s="6" t="str">
        <f t="shared" si="340"/>
        <v/>
      </c>
      <c r="L4339" s="7" t="str">
        <f t="shared" si="341"/>
        <v/>
      </c>
      <c r="M4339" s="7" t="str">
        <f t="shared" si="338"/>
        <v/>
      </c>
      <c r="N4339" s="7" t="str">
        <f t="shared" si="342"/>
        <v/>
      </c>
      <c r="O4339" s="8"/>
      <c r="P4339" s="26"/>
      <c r="S4339" s="10" t="str">
        <f t="shared" si="339"/>
        <v/>
      </c>
    </row>
    <row r="4340" spans="5:19" x14ac:dyDescent="0.3">
      <c r="E4340" s="9" t="str">
        <f>IF(DADOS!C4340="","",DADOS!C4340)</f>
        <v/>
      </c>
      <c r="F4340" s="9" t="str">
        <f>IF(DADOS!E4340="","",DADOS!E4340)</f>
        <v/>
      </c>
      <c r="G4340" s="9" t="str">
        <f>IF(DADOS!F4340="","",DADOS!F4340)</f>
        <v/>
      </c>
      <c r="K4340" s="6" t="str">
        <f t="shared" si="340"/>
        <v/>
      </c>
      <c r="L4340" s="7" t="str">
        <f t="shared" si="341"/>
        <v/>
      </c>
      <c r="M4340" s="7" t="str">
        <f t="shared" si="338"/>
        <v/>
      </c>
      <c r="N4340" s="7" t="str">
        <f t="shared" si="342"/>
        <v/>
      </c>
      <c r="O4340" s="8"/>
      <c r="P4340" s="26"/>
      <c r="S4340" s="10" t="str">
        <f t="shared" si="339"/>
        <v/>
      </c>
    </row>
    <row r="4341" spans="5:19" x14ac:dyDescent="0.3">
      <c r="E4341" s="9" t="str">
        <f>IF(DADOS!C4341="","",DADOS!C4341)</f>
        <v/>
      </c>
      <c r="F4341" s="9" t="str">
        <f>IF(DADOS!E4341="","",DADOS!E4341)</f>
        <v/>
      </c>
      <c r="G4341" s="9" t="str">
        <f>IF(DADOS!F4341="","",DADOS!F4341)</f>
        <v/>
      </c>
      <c r="K4341" s="6" t="str">
        <f t="shared" si="340"/>
        <v/>
      </c>
      <c r="L4341" s="7" t="str">
        <f t="shared" si="341"/>
        <v/>
      </c>
      <c r="M4341" s="7" t="str">
        <f t="shared" si="338"/>
        <v/>
      </c>
      <c r="N4341" s="7" t="str">
        <f t="shared" si="342"/>
        <v/>
      </c>
      <c r="O4341" s="8"/>
      <c r="P4341" s="26"/>
      <c r="S4341" s="10" t="str">
        <f t="shared" si="339"/>
        <v/>
      </c>
    </row>
    <row r="4342" spans="5:19" x14ac:dyDescent="0.3">
      <c r="E4342" s="9" t="str">
        <f>IF(DADOS!C4342="","",DADOS!C4342)</f>
        <v/>
      </c>
      <c r="F4342" s="9" t="str">
        <f>IF(DADOS!E4342="","",DADOS!E4342)</f>
        <v/>
      </c>
      <c r="G4342" s="9" t="str">
        <f>IF(DADOS!F4342="","",DADOS!F4342)</f>
        <v/>
      </c>
      <c r="K4342" s="6" t="str">
        <f t="shared" si="340"/>
        <v/>
      </c>
      <c r="L4342" s="7" t="str">
        <f t="shared" si="341"/>
        <v/>
      </c>
      <c r="M4342" s="7" t="str">
        <f t="shared" si="338"/>
        <v/>
      </c>
      <c r="N4342" s="7" t="str">
        <f t="shared" si="342"/>
        <v/>
      </c>
      <c r="O4342" s="8"/>
      <c r="P4342" s="26"/>
      <c r="S4342" s="10" t="str">
        <f t="shared" si="339"/>
        <v/>
      </c>
    </row>
    <row r="4343" spans="5:19" x14ac:dyDescent="0.3">
      <c r="E4343" s="9" t="str">
        <f>IF(DADOS!C4343="","",DADOS!C4343)</f>
        <v/>
      </c>
      <c r="F4343" s="9" t="str">
        <f>IF(DADOS!E4343="","",DADOS!E4343)</f>
        <v/>
      </c>
      <c r="G4343" s="9" t="str">
        <f>IF(DADOS!F4343="","",DADOS!F4343)</f>
        <v/>
      </c>
      <c r="K4343" s="6" t="str">
        <f t="shared" si="340"/>
        <v/>
      </c>
      <c r="L4343" s="7" t="str">
        <f t="shared" si="341"/>
        <v/>
      </c>
      <c r="M4343" s="7" t="str">
        <f t="shared" si="338"/>
        <v/>
      </c>
      <c r="N4343" s="7" t="str">
        <f t="shared" si="342"/>
        <v/>
      </c>
      <c r="O4343" s="8"/>
      <c r="P4343" s="26"/>
      <c r="S4343" s="10" t="str">
        <f t="shared" si="339"/>
        <v/>
      </c>
    </row>
    <row r="4344" spans="5:19" x14ac:dyDescent="0.3">
      <c r="E4344" s="9" t="str">
        <f>IF(DADOS!C4344="","",DADOS!C4344)</f>
        <v/>
      </c>
      <c r="F4344" s="9" t="str">
        <f>IF(DADOS!E4344="","",DADOS!E4344)</f>
        <v/>
      </c>
      <c r="G4344" s="9" t="str">
        <f>IF(DADOS!F4344="","",DADOS!F4344)</f>
        <v/>
      </c>
      <c r="K4344" s="6" t="str">
        <f t="shared" si="340"/>
        <v/>
      </c>
      <c r="L4344" s="7" t="str">
        <f t="shared" si="341"/>
        <v/>
      </c>
      <c r="M4344" s="7" t="str">
        <f t="shared" si="338"/>
        <v/>
      </c>
      <c r="N4344" s="7" t="str">
        <f t="shared" si="342"/>
        <v/>
      </c>
      <c r="O4344" s="8"/>
      <c r="P4344" s="26"/>
      <c r="S4344" s="10" t="str">
        <f t="shared" si="339"/>
        <v/>
      </c>
    </row>
    <row r="4345" spans="5:19" x14ac:dyDescent="0.3">
      <c r="E4345" s="9" t="str">
        <f>IF(DADOS!C4345="","",DADOS!C4345)</f>
        <v/>
      </c>
      <c r="F4345" s="9" t="str">
        <f>IF(DADOS!E4345="","",DADOS!E4345)</f>
        <v/>
      </c>
      <c r="G4345" s="9" t="str">
        <f>IF(DADOS!F4345="","",DADOS!F4345)</f>
        <v/>
      </c>
      <c r="K4345" s="6" t="str">
        <f t="shared" si="340"/>
        <v/>
      </c>
      <c r="L4345" s="7" t="str">
        <f t="shared" si="341"/>
        <v/>
      </c>
      <c r="M4345" s="7" t="str">
        <f t="shared" si="338"/>
        <v/>
      </c>
      <c r="N4345" s="7" t="str">
        <f t="shared" si="342"/>
        <v/>
      </c>
      <c r="O4345" s="8"/>
      <c r="P4345" s="26"/>
      <c r="S4345" s="10" t="str">
        <f t="shared" si="339"/>
        <v/>
      </c>
    </row>
    <row r="4346" spans="5:19" x14ac:dyDescent="0.3">
      <c r="E4346" s="9" t="str">
        <f>IF(DADOS!C4346="","",DADOS!C4346)</f>
        <v/>
      </c>
      <c r="F4346" s="9" t="str">
        <f>IF(DADOS!E4346="","",DADOS!E4346)</f>
        <v/>
      </c>
      <c r="G4346" s="9" t="str">
        <f>IF(DADOS!F4346="","",DADOS!F4346)</f>
        <v/>
      </c>
      <c r="K4346" s="6" t="str">
        <f t="shared" si="340"/>
        <v/>
      </c>
      <c r="L4346" s="7" t="str">
        <f t="shared" si="341"/>
        <v/>
      </c>
      <c r="M4346" s="7" t="str">
        <f t="shared" si="338"/>
        <v/>
      </c>
      <c r="N4346" s="7" t="str">
        <f t="shared" si="342"/>
        <v/>
      </c>
      <c r="O4346" s="8"/>
      <c r="P4346" s="26"/>
      <c r="S4346" s="10" t="str">
        <f t="shared" si="339"/>
        <v/>
      </c>
    </row>
    <row r="4347" spans="5:19" x14ac:dyDescent="0.3">
      <c r="E4347" s="9" t="str">
        <f>IF(DADOS!C4347="","",DADOS!C4347)</f>
        <v/>
      </c>
      <c r="F4347" s="9" t="str">
        <f>IF(DADOS!E4347="","",DADOS!E4347)</f>
        <v/>
      </c>
      <c r="G4347" s="9" t="str">
        <f>IF(DADOS!F4347="","",DADOS!F4347)</f>
        <v/>
      </c>
      <c r="K4347" s="6" t="str">
        <f t="shared" si="340"/>
        <v/>
      </c>
      <c r="L4347" s="7" t="str">
        <f t="shared" si="341"/>
        <v/>
      </c>
      <c r="M4347" s="7" t="str">
        <f t="shared" si="338"/>
        <v/>
      </c>
      <c r="N4347" s="7" t="str">
        <f t="shared" si="342"/>
        <v/>
      </c>
      <c r="O4347" s="8"/>
      <c r="P4347" s="26"/>
      <c r="S4347" s="10" t="str">
        <f t="shared" si="339"/>
        <v/>
      </c>
    </row>
    <row r="4348" spans="5:19" x14ac:dyDescent="0.3">
      <c r="E4348" s="9" t="str">
        <f>IF(DADOS!C4348="","",DADOS!C4348)</f>
        <v/>
      </c>
      <c r="F4348" s="9" t="str">
        <f>IF(DADOS!E4348="","",DADOS!E4348)</f>
        <v/>
      </c>
      <c r="G4348" s="9" t="str">
        <f>IF(DADOS!F4348="","",DADOS!F4348)</f>
        <v/>
      </c>
      <c r="K4348" s="6" t="str">
        <f t="shared" si="340"/>
        <v/>
      </c>
      <c r="L4348" s="7" t="str">
        <f t="shared" si="341"/>
        <v/>
      </c>
      <c r="M4348" s="7" t="str">
        <f t="shared" si="338"/>
        <v/>
      </c>
      <c r="N4348" s="7" t="str">
        <f t="shared" si="342"/>
        <v/>
      </c>
      <c r="O4348" s="8"/>
      <c r="P4348" s="26"/>
      <c r="S4348" s="10" t="str">
        <f t="shared" si="339"/>
        <v/>
      </c>
    </row>
    <row r="4349" spans="5:19" x14ac:dyDescent="0.3">
      <c r="E4349" s="9" t="str">
        <f>IF(DADOS!C4349="","",DADOS!C4349)</f>
        <v/>
      </c>
      <c r="F4349" s="9" t="str">
        <f>IF(DADOS!E4349="","",DADOS!E4349)</f>
        <v/>
      </c>
      <c r="G4349" s="9" t="str">
        <f>IF(DADOS!F4349="","",DADOS!F4349)</f>
        <v/>
      </c>
      <c r="K4349" s="6" t="str">
        <f t="shared" si="340"/>
        <v/>
      </c>
      <c r="L4349" s="7" t="str">
        <f t="shared" si="341"/>
        <v/>
      </c>
      <c r="M4349" s="7" t="str">
        <f t="shared" si="338"/>
        <v/>
      </c>
      <c r="N4349" s="7" t="str">
        <f t="shared" si="342"/>
        <v/>
      </c>
      <c r="O4349" s="8"/>
      <c r="P4349" s="26"/>
      <c r="S4349" s="10" t="str">
        <f t="shared" si="339"/>
        <v/>
      </c>
    </row>
    <row r="4350" spans="5:19" x14ac:dyDescent="0.3">
      <c r="E4350" s="9" t="str">
        <f>IF(DADOS!C4350="","",DADOS!C4350)</f>
        <v/>
      </c>
      <c r="F4350" s="9" t="str">
        <f>IF(DADOS!E4350="","",DADOS!E4350)</f>
        <v/>
      </c>
      <c r="G4350" s="9" t="str">
        <f>IF(DADOS!F4350="","",DADOS!F4350)</f>
        <v/>
      </c>
      <c r="K4350" s="6" t="str">
        <f t="shared" si="340"/>
        <v/>
      </c>
      <c r="L4350" s="7" t="str">
        <f t="shared" si="341"/>
        <v/>
      </c>
      <c r="M4350" s="7" t="str">
        <f t="shared" si="338"/>
        <v/>
      </c>
      <c r="N4350" s="7" t="str">
        <f t="shared" si="342"/>
        <v/>
      </c>
      <c r="O4350" s="8"/>
      <c r="P4350" s="26"/>
      <c r="S4350" s="10" t="str">
        <f t="shared" si="339"/>
        <v/>
      </c>
    </row>
    <row r="4351" spans="5:19" x14ac:dyDescent="0.3">
      <c r="E4351" s="9" t="str">
        <f>IF(DADOS!C4351="","",DADOS!C4351)</f>
        <v/>
      </c>
      <c r="F4351" s="9" t="str">
        <f>IF(DADOS!E4351="","",DADOS!E4351)</f>
        <v/>
      </c>
      <c r="G4351" s="9" t="str">
        <f>IF(DADOS!F4351="","",DADOS!F4351)</f>
        <v/>
      </c>
      <c r="K4351" s="6" t="str">
        <f t="shared" si="340"/>
        <v/>
      </c>
      <c r="L4351" s="7" t="str">
        <f t="shared" si="341"/>
        <v/>
      </c>
      <c r="M4351" s="7" t="str">
        <f t="shared" si="338"/>
        <v/>
      </c>
      <c r="N4351" s="7" t="str">
        <f t="shared" si="342"/>
        <v/>
      </c>
      <c r="O4351" s="8"/>
      <c r="P4351" s="26"/>
      <c r="S4351" s="10" t="str">
        <f t="shared" si="339"/>
        <v/>
      </c>
    </row>
    <row r="4352" spans="5:19" x14ac:dyDescent="0.3">
      <c r="E4352" s="9" t="str">
        <f>IF(DADOS!C4352="","",DADOS!C4352)</f>
        <v/>
      </c>
      <c r="F4352" s="9" t="str">
        <f>IF(DADOS!E4352="","",DADOS!E4352)</f>
        <v/>
      </c>
      <c r="G4352" s="9" t="str">
        <f>IF(DADOS!F4352="","",DADOS!F4352)</f>
        <v/>
      </c>
      <c r="K4352" s="6" t="str">
        <f t="shared" si="340"/>
        <v/>
      </c>
      <c r="L4352" s="7" t="str">
        <f t="shared" si="341"/>
        <v/>
      </c>
      <c r="M4352" s="7" t="str">
        <f t="shared" si="338"/>
        <v/>
      </c>
      <c r="N4352" s="7" t="str">
        <f t="shared" si="342"/>
        <v/>
      </c>
      <c r="O4352" s="8"/>
      <c r="P4352" s="26"/>
      <c r="S4352" s="10" t="str">
        <f t="shared" si="339"/>
        <v/>
      </c>
    </row>
    <row r="4353" spans="5:19" x14ac:dyDescent="0.3">
      <c r="E4353" s="9" t="str">
        <f>IF(DADOS!C4353="","",DADOS!C4353)</f>
        <v/>
      </c>
      <c r="F4353" s="9" t="str">
        <f>IF(DADOS!E4353="","",DADOS!E4353)</f>
        <v/>
      </c>
      <c r="G4353" s="9" t="str">
        <f>IF(DADOS!F4353="","",DADOS!F4353)</f>
        <v/>
      </c>
      <c r="K4353" s="6" t="str">
        <f t="shared" si="340"/>
        <v/>
      </c>
      <c r="L4353" s="7" t="str">
        <f t="shared" si="341"/>
        <v/>
      </c>
      <c r="M4353" s="7" t="str">
        <f t="shared" si="338"/>
        <v/>
      </c>
      <c r="N4353" s="7" t="str">
        <f t="shared" si="342"/>
        <v/>
      </c>
      <c r="O4353" s="8"/>
      <c r="P4353" s="26"/>
      <c r="S4353" s="10" t="str">
        <f t="shared" si="339"/>
        <v/>
      </c>
    </row>
    <row r="4354" spans="5:19" x14ac:dyDescent="0.3">
      <c r="E4354" s="9" t="str">
        <f>IF(DADOS!C4354="","",DADOS!C4354)</f>
        <v/>
      </c>
      <c r="F4354" s="9" t="str">
        <f>IF(DADOS!E4354="","",DADOS!E4354)</f>
        <v/>
      </c>
      <c r="G4354" s="9" t="str">
        <f>IF(DADOS!F4354="","",DADOS!F4354)</f>
        <v/>
      </c>
      <c r="K4354" s="6" t="str">
        <f t="shared" si="340"/>
        <v/>
      </c>
      <c r="L4354" s="7" t="str">
        <f t="shared" si="341"/>
        <v/>
      </c>
      <c r="M4354" s="7" t="str">
        <f t="shared" si="338"/>
        <v/>
      </c>
      <c r="N4354" s="7" t="str">
        <f t="shared" si="342"/>
        <v/>
      </c>
      <c r="O4354" s="8"/>
      <c r="P4354" s="26"/>
      <c r="S4354" s="10" t="str">
        <f t="shared" si="339"/>
        <v/>
      </c>
    </row>
    <row r="4355" spans="5:19" x14ac:dyDescent="0.3">
      <c r="E4355" s="9" t="str">
        <f>IF(DADOS!C4355="","",DADOS!C4355)</f>
        <v/>
      </c>
      <c r="F4355" s="9" t="str">
        <f>IF(DADOS!E4355="","",DADOS!E4355)</f>
        <v/>
      </c>
      <c r="G4355" s="9" t="str">
        <f>IF(DADOS!F4355="","",DADOS!F4355)</f>
        <v/>
      </c>
      <c r="K4355" s="6" t="str">
        <f t="shared" si="340"/>
        <v/>
      </c>
      <c r="L4355" s="7" t="str">
        <f t="shared" si="341"/>
        <v/>
      </c>
      <c r="M4355" s="7" t="str">
        <f t="shared" ref="M4355:M4418" si="343">IF(L4355="","",L4355*G4355)</f>
        <v/>
      </c>
      <c r="N4355" s="7" t="str">
        <f t="shared" si="342"/>
        <v/>
      </c>
      <c r="O4355" s="8"/>
      <c r="P4355" s="26"/>
      <c r="S4355" s="10" t="str">
        <f t="shared" ref="S4355:S4418" si="344">IF(R4355="","",SUMIFS($N$3:$N$10000,$E$3:$E$10000,R4355))</f>
        <v/>
      </c>
    </row>
    <row r="4356" spans="5:19" x14ac:dyDescent="0.3">
      <c r="E4356" s="9" t="str">
        <f>IF(DADOS!C4356="","",DADOS!C4356)</f>
        <v/>
      </c>
      <c r="F4356" s="9" t="str">
        <f>IF(DADOS!E4356="","",DADOS!E4356)</f>
        <v/>
      </c>
      <c r="G4356" s="9" t="str">
        <f>IF(DADOS!F4356="","",DADOS!F4356)</f>
        <v/>
      </c>
      <c r="K4356" s="6" t="str">
        <f t="shared" ref="K4356:K4419" si="345">IF(F4356="","",F4356/PI())</f>
        <v/>
      </c>
      <c r="L4356" s="7" t="str">
        <f t="shared" ref="L4356:L4419" si="346">IF(K4356="","",(PI()*K4356^2)/40000)</f>
        <v/>
      </c>
      <c r="M4356" s="7" t="str">
        <f t="shared" si="343"/>
        <v/>
      </c>
      <c r="N4356" s="7" t="str">
        <f t="shared" ref="N4356:N4419" si="347">IF(M4356="","",M4356*N$1)</f>
        <v/>
      </c>
      <c r="O4356" s="8"/>
      <c r="P4356" s="26"/>
      <c r="S4356" s="10" t="str">
        <f t="shared" si="344"/>
        <v/>
      </c>
    </row>
    <row r="4357" spans="5:19" x14ac:dyDescent="0.3">
      <c r="E4357" s="9" t="str">
        <f>IF(DADOS!C4357="","",DADOS!C4357)</f>
        <v/>
      </c>
      <c r="F4357" s="9" t="str">
        <f>IF(DADOS!E4357="","",DADOS!E4357)</f>
        <v/>
      </c>
      <c r="G4357" s="9" t="str">
        <f>IF(DADOS!F4357="","",DADOS!F4357)</f>
        <v/>
      </c>
      <c r="K4357" s="6" t="str">
        <f t="shared" si="345"/>
        <v/>
      </c>
      <c r="L4357" s="7" t="str">
        <f t="shared" si="346"/>
        <v/>
      </c>
      <c r="M4357" s="7" t="str">
        <f t="shared" si="343"/>
        <v/>
      </c>
      <c r="N4357" s="7" t="str">
        <f t="shared" si="347"/>
        <v/>
      </c>
      <c r="O4357" s="8"/>
      <c r="P4357" s="26"/>
      <c r="S4357" s="10" t="str">
        <f t="shared" si="344"/>
        <v/>
      </c>
    </row>
    <row r="4358" spans="5:19" x14ac:dyDescent="0.3">
      <c r="E4358" s="9" t="str">
        <f>IF(DADOS!C4358="","",DADOS!C4358)</f>
        <v/>
      </c>
      <c r="F4358" s="9" t="str">
        <f>IF(DADOS!E4358="","",DADOS!E4358)</f>
        <v/>
      </c>
      <c r="G4358" s="9" t="str">
        <f>IF(DADOS!F4358="","",DADOS!F4358)</f>
        <v/>
      </c>
      <c r="K4358" s="6" t="str">
        <f t="shared" si="345"/>
        <v/>
      </c>
      <c r="L4358" s="7" t="str">
        <f t="shared" si="346"/>
        <v/>
      </c>
      <c r="M4358" s="7" t="str">
        <f t="shared" si="343"/>
        <v/>
      </c>
      <c r="N4358" s="7" t="str">
        <f t="shared" si="347"/>
        <v/>
      </c>
      <c r="O4358" s="8"/>
      <c r="P4358" s="26"/>
      <c r="S4358" s="10" t="str">
        <f t="shared" si="344"/>
        <v/>
      </c>
    </row>
    <row r="4359" spans="5:19" x14ac:dyDescent="0.3">
      <c r="E4359" s="9" t="str">
        <f>IF(DADOS!C4359="","",DADOS!C4359)</f>
        <v/>
      </c>
      <c r="F4359" s="9" t="str">
        <f>IF(DADOS!E4359="","",DADOS!E4359)</f>
        <v/>
      </c>
      <c r="G4359" s="9" t="str">
        <f>IF(DADOS!F4359="","",DADOS!F4359)</f>
        <v/>
      </c>
      <c r="K4359" s="6" t="str">
        <f t="shared" si="345"/>
        <v/>
      </c>
      <c r="L4359" s="7" t="str">
        <f t="shared" si="346"/>
        <v/>
      </c>
      <c r="M4359" s="7" t="str">
        <f t="shared" si="343"/>
        <v/>
      </c>
      <c r="N4359" s="7" t="str">
        <f t="shared" si="347"/>
        <v/>
      </c>
      <c r="O4359" s="8"/>
      <c r="P4359" s="26"/>
      <c r="S4359" s="10" t="str">
        <f t="shared" si="344"/>
        <v/>
      </c>
    </row>
    <row r="4360" spans="5:19" x14ac:dyDescent="0.3">
      <c r="E4360" s="9" t="str">
        <f>IF(DADOS!C4360="","",DADOS!C4360)</f>
        <v/>
      </c>
      <c r="F4360" s="9" t="str">
        <f>IF(DADOS!E4360="","",DADOS!E4360)</f>
        <v/>
      </c>
      <c r="G4360" s="9" t="str">
        <f>IF(DADOS!F4360="","",DADOS!F4360)</f>
        <v/>
      </c>
      <c r="K4360" s="6" t="str">
        <f t="shared" si="345"/>
        <v/>
      </c>
      <c r="L4360" s="7" t="str">
        <f t="shared" si="346"/>
        <v/>
      </c>
      <c r="M4360" s="7" t="str">
        <f t="shared" si="343"/>
        <v/>
      </c>
      <c r="N4360" s="7" t="str">
        <f t="shared" si="347"/>
        <v/>
      </c>
      <c r="O4360" s="8"/>
      <c r="P4360" s="26"/>
      <c r="S4360" s="10" t="str">
        <f t="shared" si="344"/>
        <v/>
      </c>
    </row>
    <row r="4361" spans="5:19" x14ac:dyDescent="0.3">
      <c r="E4361" s="9" t="str">
        <f>IF(DADOS!C4361="","",DADOS!C4361)</f>
        <v/>
      </c>
      <c r="F4361" s="9" t="str">
        <f>IF(DADOS!E4361="","",DADOS!E4361)</f>
        <v/>
      </c>
      <c r="G4361" s="9" t="str">
        <f>IF(DADOS!F4361="","",DADOS!F4361)</f>
        <v/>
      </c>
      <c r="K4361" s="6" t="str">
        <f t="shared" si="345"/>
        <v/>
      </c>
      <c r="L4361" s="7" t="str">
        <f t="shared" si="346"/>
        <v/>
      </c>
      <c r="M4361" s="7" t="str">
        <f t="shared" si="343"/>
        <v/>
      </c>
      <c r="N4361" s="7" t="str">
        <f t="shared" si="347"/>
        <v/>
      </c>
      <c r="O4361" s="8"/>
      <c r="P4361" s="26"/>
      <c r="S4361" s="10" t="str">
        <f t="shared" si="344"/>
        <v/>
      </c>
    </row>
    <row r="4362" spans="5:19" x14ac:dyDescent="0.3">
      <c r="E4362" s="9" t="str">
        <f>IF(DADOS!C4362="","",DADOS!C4362)</f>
        <v/>
      </c>
      <c r="F4362" s="9" t="str">
        <f>IF(DADOS!E4362="","",DADOS!E4362)</f>
        <v/>
      </c>
      <c r="G4362" s="9" t="str">
        <f>IF(DADOS!F4362="","",DADOS!F4362)</f>
        <v/>
      </c>
      <c r="K4362" s="6" t="str">
        <f t="shared" si="345"/>
        <v/>
      </c>
      <c r="L4362" s="7" t="str">
        <f t="shared" si="346"/>
        <v/>
      </c>
      <c r="M4362" s="7" t="str">
        <f t="shared" si="343"/>
        <v/>
      </c>
      <c r="N4362" s="7" t="str">
        <f t="shared" si="347"/>
        <v/>
      </c>
      <c r="O4362" s="8"/>
      <c r="P4362" s="26"/>
      <c r="S4362" s="10" t="str">
        <f t="shared" si="344"/>
        <v/>
      </c>
    </row>
    <row r="4363" spans="5:19" x14ac:dyDescent="0.3">
      <c r="E4363" s="9" t="str">
        <f>IF(DADOS!C4363="","",DADOS!C4363)</f>
        <v/>
      </c>
      <c r="F4363" s="9" t="str">
        <f>IF(DADOS!E4363="","",DADOS!E4363)</f>
        <v/>
      </c>
      <c r="G4363" s="9" t="str">
        <f>IF(DADOS!F4363="","",DADOS!F4363)</f>
        <v/>
      </c>
      <c r="K4363" s="6" t="str">
        <f t="shared" si="345"/>
        <v/>
      </c>
      <c r="L4363" s="7" t="str">
        <f t="shared" si="346"/>
        <v/>
      </c>
      <c r="M4363" s="7" t="str">
        <f t="shared" si="343"/>
        <v/>
      </c>
      <c r="N4363" s="7" t="str">
        <f t="shared" si="347"/>
        <v/>
      </c>
      <c r="O4363" s="8"/>
      <c r="P4363" s="26"/>
      <c r="S4363" s="10" t="str">
        <f t="shared" si="344"/>
        <v/>
      </c>
    </row>
    <row r="4364" spans="5:19" x14ac:dyDescent="0.3">
      <c r="E4364" s="9" t="str">
        <f>IF(DADOS!C4364="","",DADOS!C4364)</f>
        <v/>
      </c>
      <c r="F4364" s="9" t="str">
        <f>IF(DADOS!E4364="","",DADOS!E4364)</f>
        <v/>
      </c>
      <c r="G4364" s="9" t="str">
        <f>IF(DADOS!F4364="","",DADOS!F4364)</f>
        <v/>
      </c>
      <c r="K4364" s="6" t="str">
        <f t="shared" si="345"/>
        <v/>
      </c>
      <c r="L4364" s="7" t="str">
        <f t="shared" si="346"/>
        <v/>
      </c>
      <c r="M4364" s="7" t="str">
        <f t="shared" si="343"/>
        <v/>
      </c>
      <c r="N4364" s="7" t="str">
        <f t="shared" si="347"/>
        <v/>
      </c>
      <c r="O4364" s="8"/>
      <c r="P4364" s="26"/>
      <c r="S4364" s="10" t="str">
        <f t="shared" si="344"/>
        <v/>
      </c>
    </row>
    <row r="4365" spans="5:19" x14ac:dyDescent="0.3">
      <c r="E4365" s="9" t="str">
        <f>IF(DADOS!C4365="","",DADOS!C4365)</f>
        <v/>
      </c>
      <c r="F4365" s="9" t="str">
        <f>IF(DADOS!E4365="","",DADOS!E4365)</f>
        <v/>
      </c>
      <c r="G4365" s="9" t="str">
        <f>IF(DADOS!F4365="","",DADOS!F4365)</f>
        <v/>
      </c>
      <c r="K4365" s="6" t="str">
        <f t="shared" si="345"/>
        <v/>
      </c>
      <c r="L4365" s="7" t="str">
        <f t="shared" si="346"/>
        <v/>
      </c>
      <c r="M4365" s="7" t="str">
        <f t="shared" si="343"/>
        <v/>
      </c>
      <c r="N4365" s="7" t="str">
        <f t="shared" si="347"/>
        <v/>
      </c>
      <c r="O4365" s="8"/>
      <c r="P4365" s="26"/>
      <c r="S4365" s="10" t="str">
        <f t="shared" si="344"/>
        <v/>
      </c>
    </row>
    <row r="4366" spans="5:19" x14ac:dyDescent="0.3">
      <c r="E4366" s="9" t="str">
        <f>IF(DADOS!C4366="","",DADOS!C4366)</f>
        <v/>
      </c>
      <c r="F4366" s="9" t="str">
        <f>IF(DADOS!E4366="","",DADOS!E4366)</f>
        <v/>
      </c>
      <c r="G4366" s="9" t="str">
        <f>IF(DADOS!F4366="","",DADOS!F4366)</f>
        <v/>
      </c>
      <c r="K4366" s="6" t="str">
        <f t="shared" si="345"/>
        <v/>
      </c>
      <c r="L4366" s="7" t="str">
        <f t="shared" si="346"/>
        <v/>
      </c>
      <c r="M4366" s="7" t="str">
        <f t="shared" si="343"/>
        <v/>
      </c>
      <c r="N4366" s="7" t="str">
        <f t="shared" si="347"/>
        <v/>
      </c>
      <c r="O4366" s="8"/>
      <c r="P4366" s="26"/>
      <c r="S4366" s="10" t="str">
        <f t="shared" si="344"/>
        <v/>
      </c>
    </row>
    <row r="4367" spans="5:19" x14ac:dyDescent="0.3">
      <c r="E4367" s="9" t="str">
        <f>IF(DADOS!C4367="","",DADOS!C4367)</f>
        <v/>
      </c>
      <c r="F4367" s="9" t="str">
        <f>IF(DADOS!E4367="","",DADOS!E4367)</f>
        <v/>
      </c>
      <c r="G4367" s="9" t="str">
        <f>IF(DADOS!F4367="","",DADOS!F4367)</f>
        <v/>
      </c>
      <c r="K4367" s="6" t="str">
        <f t="shared" si="345"/>
        <v/>
      </c>
      <c r="L4367" s="7" t="str">
        <f t="shared" si="346"/>
        <v/>
      </c>
      <c r="M4367" s="7" t="str">
        <f t="shared" si="343"/>
        <v/>
      </c>
      <c r="N4367" s="7" t="str">
        <f t="shared" si="347"/>
        <v/>
      </c>
      <c r="O4367" s="8"/>
      <c r="P4367" s="26"/>
      <c r="S4367" s="10" t="str">
        <f t="shared" si="344"/>
        <v/>
      </c>
    </row>
    <row r="4368" spans="5:19" x14ac:dyDescent="0.3">
      <c r="E4368" s="9" t="str">
        <f>IF(DADOS!C4368="","",DADOS!C4368)</f>
        <v/>
      </c>
      <c r="F4368" s="9" t="str">
        <f>IF(DADOS!E4368="","",DADOS!E4368)</f>
        <v/>
      </c>
      <c r="G4368" s="9" t="str">
        <f>IF(DADOS!F4368="","",DADOS!F4368)</f>
        <v/>
      </c>
      <c r="K4368" s="6" t="str">
        <f t="shared" si="345"/>
        <v/>
      </c>
      <c r="L4368" s="7" t="str">
        <f t="shared" si="346"/>
        <v/>
      </c>
      <c r="M4368" s="7" t="str">
        <f t="shared" si="343"/>
        <v/>
      </c>
      <c r="N4368" s="7" t="str">
        <f t="shared" si="347"/>
        <v/>
      </c>
      <c r="O4368" s="8"/>
      <c r="P4368" s="26"/>
      <c r="S4368" s="10" t="str">
        <f t="shared" si="344"/>
        <v/>
      </c>
    </row>
    <row r="4369" spans="5:19" x14ac:dyDescent="0.3">
      <c r="E4369" s="9" t="str">
        <f>IF(DADOS!C4369="","",DADOS!C4369)</f>
        <v/>
      </c>
      <c r="F4369" s="9" t="str">
        <f>IF(DADOS!E4369="","",DADOS!E4369)</f>
        <v/>
      </c>
      <c r="G4369" s="9" t="str">
        <f>IF(DADOS!F4369="","",DADOS!F4369)</f>
        <v/>
      </c>
      <c r="K4369" s="6" t="str">
        <f t="shared" si="345"/>
        <v/>
      </c>
      <c r="L4369" s="7" t="str">
        <f t="shared" si="346"/>
        <v/>
      </c>
      <c r="M4369" s="7" t="str">
        <f t="shared" si="343"/>
        <v/>
      </c>
      <c r="N4369" s="7" t="str">
        <f t="shared" si="347"/>
        <v/>
      </c>
      <c r="O4369" s="8"/>
      <c r="P4369" s="26"/>
      <c r="S4369" s="10" t="str">
        <f t="shared" si="344"/>
        <v/>
      </c>
    </row>
    <row r="4370" spans="5:19" x14ac:dyDescent="0.3">
      <c r="E4370" s="9" t="str">
        <f>IF(DADOS!C4370="","",DADOS!C4370)</f>
        <v/>
      </c>
      <c r="F4370" s="9" t="str">
        <f>IF(DADOS!E4370="","",DADOS!E4370)</f>
        <v/>
      </c>
      <c r="G4370" s="9" t="str">
        <f>IF(DADOS!F4370="","",DADOS!F4370)</f>
        <v/>
      </c>
      <c r="K4370" s="6" t="str">
        <f t="shared" si="345"/>
        <v/>
      </c>
      <c r="L4370" s="7" t="str">
        <f t="shared" si="346"/>
        <v/>
      </c>
      <c r="M4370" s="7" t="str">
        <f t="shared" si="343"/>
        <v/>
      </c>
      <c r="N4370" s="7" t="str">
        <f t="shared" si="347"/>
        <v/>
      </c>
      <c r="O4370" s="8"/>
      <c r="P4370" s="26"/>
      <c r="S4370" s="10" t="str">
        <f t="shared" si="344"/>
        <v/>
      </c>
    </row>
    <row r="4371" spans="5:19" x14ac:dyDescent="0.3">
      <c r="E4371" s="9" t="str">
        <f>IF(DADOS!C4371="","",DADOS!C4371)</f>
        <v/>
      </c>
      <c r="F4371" s="9" t="str">
        <f>IF(DADOS!E4371="","",DADOS!E4371)</f>
        <v/>
      </c>
      <c r="G4371" s="9" t="str">
        <f>IF(DADOS!F4371="","",DADOS!F4371)</f>
        <v/>
      </c>
      <c r="K4371" s="6" t="str">
        <f t="shared" si="345"/>
        <v/>
      </c>
      <c r="L4371" s="7" t="str">
        <f t="shared" si="346"/>
        <v/>
      </c>
      <c r="M4371" s="7" t="str">
        <f t="shared" si="343"/>
        <v/>
      </c>
      <c r="N4371" s="7" t="str">
        <f t="shared" si="347"/>
        <v/>
      </c>
      <c r="O4371" s="8"/>
      <c r="P4371" s="26"/>
      <c r="S4371" s="10" t="str">
        <f t="shared" si="344"/>
        <v/>
      </c>
    </row>
    <row r="4372" spans="5:19" x14ac:dyDescent="0.3">
      <c r="E4372" s="9" t="str">
        <f>IF(DADOS!C4372="","",DADOS!C4372)</f>
        <v/>
      </c>
      <c r="F4372" s="9" t="str">
        <f>IF(DADOS!E4372="","",DADOS!E4372)</f>
        <v/>
      </c>
      <c r="G4372" s="9" t="str">
        <f>IF(DADOS!F4372="","",DADOS!F4372)</f>
        <v/>
      </c>
      <c r="K4372" s="6" t="str">
        <f t="shared" si="345"/>
        <v/>
      </c>
      <c r="L4372" s="7" t="str">
        <f t="shared" si="346"/>
        <v/>
      </c>
      <c r="M4372" s="7" t="str">
        <f t="shared" si="343"/>
        <v/>
      </c>
      <c r="N4372" s="7" t="str">
        <f t="shared" si="347"/>
        <v/>
      </c>
      <c r="O4372" s="8"/>
      <c r="P4372" s="26"/>
      <c r="S4372" s="10" t="str">
        <f t="shared" si="344"/>
        <v/>
      </c>
    </row>
    <row r="4373" spans="5:19" x14ac:dyDescent="0.3">
      <c r="E4373" s="9" t="str">
        <f>IF(DADOS!C4373="","",DADOS!C4373)</f>
        <v/>
      </c>
      <c r="F4373" s="9" t="str">
        <f>IF(DADOS!E4373="","",DADOS!E4373)</f>
        <v/>
      </c>
      <c r="G4373" s="9" t="str">
        <f>IF(DADOS!F4373="","",DADOS!F4373)</f>
        <v/>
      </c>
      <c r="K4373" s="6" t="str">
        <f t="shared" si="345"/>
        <v/>
      </c>
      <c r="L4373" s="7" t="str">
        <f t="shared" si="346"/>
        <v/>
      </c>
      <c r="M4373" s="7" t="str">
        <f t="shared" si="343"/>
        <v/>
      </c>
      <c r="N4373" s="7" t="str">
        <f t="shared" si="347"/>
        <v/>
      </c>
      <c r="O4373" s="8"/>
      <c r="P4373" s="26"/>
      <c r="S4373" s="10" t="str">
        <f t="shared" si="344"/>
        <v/>
      </c>
    </row>
    <row r="4374" spans="5:19" x14ac:dyDescent="0.3">
      <c r="E4374" s="9" t="str">
        <f>IF(DADOS!C4374="","",DADOS!C4374)</f>
        <v/>
      </c>
      <c r="F4374" s="9" t="str">
        <f>IF(DADOS!E4374="","",DADOS!E4374)</f>
        <v/>
      </c>
      <c r="G4374" s="9" t="str">
        <f>IF(DADOS!F4374="","",DADOS!F4374)</f>
        <v/>
      </c>
      <c r="K4374" s="6" t="str">
        <f t="shared" si="345"/>
        <v/>
      </c>
      <c r="L4374" s="7" t="str">
        <f t="shared" si="346"/>
        <v/>
      </c>
      <c r="M4374" s="7" t="str">
        <f t="shared" si="343"/>
        <v/>
      </c>
      <c r="N4374" s="7" t="str">
        <f t="shared" si="347"/>
        <v/>
      </c>
      <c r="O4374" s="8"/>
      <c r="P4374" s="26"/>
      <c r="S4374" s="10" t="str">
        <f t="shared" si="344"/>
        <v/>
      </c>
    </row>
    <row r="4375" spans="5:19" x14ac:dyDescent="0.3">
      <c r="E4375" s="9" t="str">
        <f>IF(DADOS!C4375="","",DADOS!C4375)</f>
        <v/>
      </c>
      <c r="F4375" s="9" t="str">
        <f>IF(DADOS!E4375="","",DADOS!E4375)</f>
        <v/>
      </c>
      <c r="G4375" s="9" t="str">
        <f>IF(DADOS!F4375="","",DADOS!F4375)</f>
        <v/>
      </c>
      <c r="K4375" s="6" t="str">
        <f t="shared" si="345"/>
        <v/>
      </c>
      <c r="L4375" s="7" t="str">
        <f t="shared" si="346"/>
        <v/>
      </c>
      <c r="M4375" s="7" t="str">
        <f t="shared" si="343"/>
        <v/>
      </c>
      <c r="N4375" s="7" t="str">
        <f t="shared" si="347"/>
        <v/>
      </c>
      <c r="O4375" s="8"/>
      <c r="P4375" s="26"/>
      <c r="S4375" s="10" t="str">
        <f t="shared" si="344"/>
        <v/>
      </c>
    </row>
    <row r="4376" spans="5:19" x14ac:dyDescent="0.3">
      <c r="E4376" s="9" t="str">
        <f>IF(DADOS!C4376="","",DADOS!C4376)</f>
        <v/>
      </c>
      <c r="F4376" s="9" t="str">
        <f>IF(DADOS!E4376="","",DADOS!E4376)</f>
        <v/>
      </c>
      <c r="G4376" s="9" t="str">
        <f>IF(DADOS!F4376="","",DADOS!F4376)</f>
        <v/>
      </c>
      <c r="K4376" s="6" t="str">
        <f t="shared" si="345"/>
        <v/>
      </c>
      <c r="L4376" s="7" t="str">
        <f t="shared" si="346"/>
        <v/>
      </c>
      <c r="M4376" s="7" t="str">
        <f t="shared" si="343"/>
        <v/>
      </c>
      <c r="N4376" s="7" t="str">
        <f t="shared" si="347"/>
        <v/>
      </c>
      <c r="O4376" s="8"/>
      <c r="P4376" s="26"/>
      <c r="S4376" s="10" t="str">
        <f t="shared" si="344"/>
        <v/>
      </c>
    </row>
    <row r="4377" spans="5:19" x14ac:dyDescent="0.3">
      <c r="E4377" s="9" t="str">
        <f>IF(DADOS!C4377="","",DADOS!C4377)</f>
        <v/>
      </c>
      <c r="F4377" s="9" t="str">
        <f>IF(DADOS!E4377="","",DADOS!E4377)</f>
        <v/>
      </c>
      <c r="G4377" s="9" t="str">
        <f>IF(DADOS!F4377="","",DADOS!F4377)</f>
        <v/>
      </c>
      <c r="K4377" s="6" t="str">
        <f t="shared" si="345"/>
        <v/>
      </c>
      <c r="L4377" s="7" t="str">
        <f t="shared" si="346"/>
        <v/>
      </c>
      <c r="M4377" s="7" t="str">
        <f t="shared" si="343"/>
        <v/>
      </c>
      <c r="N4377" s="7" t="str">
        <f t="shared" si="347"/>
        <v/>
      </c>
      <c r="O4377" s="8"/>
      <c r="P4377" s="26"/>
      <c r="S4377" s="10" t="str">
        <f t="shared" si="344"/>
        <v/>
      </c>
    </row>
    <row r="4378" spans="5:19" x14ac:dyDescent="0.3">
      <c r="E4378" s="9" t="str">
        <f>IF(DADOS!C4378="","",DADOS!C4378)</f>
        <v/>
      </c>
      <c r="F4378" s="9" t="str">
        <f>IF(DADOS!E4378="","",DADOS!E4378)</f>
        <v/>
      </c>
      <c r="G4378" s="9" t="str">
        <f>IF(DADOS!F4378="","",DADOS!F4378)</f>
        <v/>
      </c>
      <c r="K4378" s="6" t="str">
        <f t="shared" si="345"/>
        <v/>
      </c>
      <c r="L4378" s="7" t="str">
        <f t="shared" si="346"/>
        <v/>
      </c>
      <c r="M4378" s="7" t="str">
        <f t="shared" si="343"/>
        <v/>
      </c>
      <c r="N4378" s="7" t="str">
        <f t="shared" si="347"/>
        <v/>
      </c>
      <c r="O4378" s="8"/>
      <c r="P4378" s="26"/>
      <c r="S4378" s="10" t="str">
        <f t="shared" si="344"/>
        <v/>
      </c>
    </row>
    <row r="4379" spans="5:19" x14ac:dyDescent="0.3">
      <c r="E4379" s="9" t="str">
        <f>IF(DADOS!C4379="","",DADOS!C4379)</f>
        <v/>
      </c>
      <c r="F4379" s="9" t="str">
        <f>IF(DADOS!E4379="","",DADOS!E4379)</f>
        <v/>
      </c>
      <c r="G4379" s="9" t="str">
        <f>IF(DADOS!F4379="","",DADOS!F4379)</f>
        <v/>
      </c>
      <c r="K4379" s="6" t="str">
        <f t="shared" si="345"/>
        <v/>
      </c>
      <c r="L4379" s="7" t="str">
        <f t="shared" si="346"/>
        <v/>
      </c>
      <c r="M4379" s="7" t="str">
        <f t="shared" si="343"/>
        <v/>
      </c>
      <c r="N4379" s="7" t="str">
        <f t="shared" si="347"/>
        <v/>
      </c>
      <c r="O4379" s="8"/>
      <c r="P4379" s="26"/>
      <c r="S4379" s="10" t="str">
        <f t="shared" si="344"/>
        <v/>
      </c>
    </row>
    <row r="4380" spans="5:19" x14ac:dyDescent="0.3">
      <c r="E4380" s="9" t="str">
        <f>IF(DADOS!C4380="","",DADOS!C4380)</f>
        <v/>
      </c>
      <c r="F4380" s="9" t="str">
        <f>IF(DADOS!E4380="","",DADOS!E4380)</f>
        <v/>
      </c>
      <c r="G4380" s="9" t="str">
        <f>IF(DADOS!F4380="","",DADOS!F4380)</f>
        <v/>
      </c>
      <c r="K4380" s="6" t="str">
        <f t="shared" si="345"/>
        <v/>
      </c>
      <c r="L4380" s="7" t="str">
        <f t="shared" si="346"/>
        <v/>
      </c>
      <c r="M4380" s="7" t="str">
        <f t="shared" si="343"/>
        <v/>
      </c>
      <c r="N4380" s="7" t="str">
        <f t="shared" si="347"/>
        <v/>
      </c>
      <c r="O4380" s="8"/>
      <c r="P4380" s="26"/>
      <c r="S4380" s="10" t="str">
        <f t="shared" si="344"/>
        <v/>
      </c>
    </row>
    <row r="4381" spans="5:19" x14ac:dyDescent="0.3">
      <c r="E4381" s="9" t="str">
        <f>IF(DADOS!C4381="","",DADOS!C4381)</f>
        <v/>
      </c>
      <c r="F4381" s="9" t="str">
        <f>IF(DADOS!E4381="","",DADOS!E4381)</f>
        <v/>
      </c>
      <c r="G4381" s="9" t="str">
        <f>IF(DADOS!F4381="","",DADOS!F4381)</f>
        <v/>
      </c>
      <c r="K4381" s="6" t="str">
        <f t="shared" si="345"/>
        <v/>
      </c>
      <c r="L4381" s="7" t="str">
        <f t="shared" si="346"/>
        <v/>
      </c>
      <c r="M4381" s="7" t="str">
        <f t="shared" si="343"/>
        <v/>
      </c>
      <c r="N4381" s="7" t="str">
        <f t="shared" si="347"/>
        <v/>
      </c>
      <c r="O4381" s="8"/>
      <c r="P4381" s="26"/>
      <c r="S4381" s="10" t="str">
        <f t="shared" si="344"/>
        <v/>
      </c>
    </row>
    <row r="4382" spans="5:19" x14ac:dyDescent="0.3">
      <c r="E4382" s="9" t="str">
        <f>IF(DADOS!C4382="","",DADOS!C4382)</f>
        <v/>
      </c>
      <c r="F4382" s="9" t="str">
        <f>IF(DADOS!E4382="","",DADOS!E4382)</f>
        <v/>
      </c>
      <c r="G4382" s="9" t="str">
        <f>IF(DADOS!F4382="","",DADOS!F4382)</f>
        <v/>
      </c>
      <c r="K4382" s="6" t="str">
        <f t="shared" si="345"/>
        <v/>
      </c>
      <c r="L4382" s="7" t="str">
        <f t="shared" si="346"/>
        <v/>
      </c>
      <c r="M4382" s="7" t="str">
        <f t="shared" si="343"/>
        <v/>
      </c>
      <c r="N4382" s="7" t="str">
        <f t="shared" si="347"/>
        <v/>
      </c>
      <c r="O4382" s="8"/>
      <c r="P4382" s="26"/>
      <c r="S4382" s="10" t="str">
        <f t="shared" si="344"/>
        <v/>
      </c>
    </row>
    <row r="4383" spans="5:19" x14ac:dyDescent="0.3">
      <c r="E4383" s="9" t="str">
        <f>IF(DADOS!C4383="","",DADOS!C4383)</f>
        <v/>
      </c>
      <c r="F4383" s="9" t="str">
        <f>IF(DADOS!E4383="","",DADOS!E4383)</f>
        <v/>
      </c>
      <c r="G4383" s="9" t="str">
        <f>IF(DADOS!F4383="","",DADOS!F4383)</f>
        <v/>
      </c>
      <c r="K4383" s="6" t="str">
        <f t="shared" si="345"/>
        <v/>
      </c>
      <c r="L4383" s="7" t="str">
        <f t="shared" si="346"/>
        <v/>
      </c>
      <c r="M4383" s="7" t="str">
        <f t="shared" si="343"/>
        <v/>
      </c>
      <c r="N4383" s="7" t="str">
        <f t="shared" si="347"/>
        <v/>
      </c>
      <c r="O4383" s="8"/>
      <c r="P4383" s="26"/>
      <c r="S4383" s="10" t="str">
        <f t="shared" si="344"/>
        <v/>
      </c>
    </row>
    <row r="4384" spans="5:19" x14ac:dyDescent="0.3">
      <c r="E4384" s="9" t="str">
        <f>IF(DADOS!C4384="","",DADOS!C4384)</f>
        <v/>
      </c>
      <c r="F4384" s="9" t="str">
        <f>IF(DADOS!E4384="","",DADOS!E4384)</f>
        <v/>
      </c>
      <c r="G4384" s="9" t="str">
        <f>IF(DADOS!F4384="","",DADOS!F4384)</f>
        <v/>
      </c>
      <c r="K4384" s="6" t="str">
        <f t="shared" si="345"/>
        <v/>
      </c>
      <c r="L4384" s="7" t="str">
        <f t="shared" si="346"/>
        <v/>
      </c>
      <c r="M4384" s="7" t="str">
        <f t="shared" si="343"/>
        <v/>
      </c>
      <c r="N4384" s="7" t="str">
        <f t="shared" si="347"/>
        <v/>
      </c>
      <c r="O4384" s="8"/>
      <c r="P4384" s="26"/>
      <c r="S4384" s="10" t="str">
        <f t="shared" si="344"/>
        <v/>
      </c>
    </row>
    <row r="4385" spans="5:19" x14ac:dyDescent="0.3">
      <c r="E4385" s="9" t="str">
        <f>IF(DADOS!C4385="","",DADOS!C4385)</f>
        <v/>
      </c>
      <c r="F4385" s="9" t="str">
        <f>IF(DADOS!E4385="","",DADOS!E4385)</f>
        <v/>
      </c>
      <c r="G4385" s="9" t="str">
        <f>IF(DADOS!F4385="","",DADOS!F4385)</f>
        <v/>
      </c>
      <c r="K4385" s="6" t="str">
        <f t="shared" si="345"/>
        <v/>
      </c>
      <c r="L4385" s="7" t="str">
        <f t="shared" si="346"/>
        <v/>
      </c>
      <c r="M4385" s="7" t="str">
        <f t="shared" si="343"/>
        <v/>
      </c>
      <c r="N4385" s="7" t="str">
        <f t="shared" si="347"/>
        <v/>
      </c>
      <c r="O4385" s="8"/>
      <c r="P4385" s="26"/>
      <c r="S4385" s="10" t="str">
        <f t="shared" si="344"/>
        <v/>
      </c>
    </row>
    <row r="4386" spans="5:19" x14ac:dyDescent="0.3">
      <c r="E4386" s="9" t="str">
        <f>IF(DADOS!C4386="","",DADOS!C4386)</f>
        <v/>
      </c>
      <c r="F4386" s="9" t="str">
        <f>IF(DADOS!E4386="","",DADOS!E4386)</f>
        <v/>
      </c>
      <c r="G4386" s="9" t="str">
        <f>IF(DADOS!F4386="","",DADOS!F4386)</f>
        <v/>
      </c>
      <c r="K4386" s="6" t="str">
        <f t="shared" si="345"/>
        <v/>
      </c>
      <c r="L4386" s="7" t="str">
        <f t="shared" si="346"/>
        <v/>
      </c>
      <c r="M4386" s="7" t="str">
        <f t="shared" si="343"/>
        <v/>
      </c>
      <c r="N4386" s="7" t="str">
        <f t="shared" si="347"/>
        <v/>
      </c>
      <c r="O4386" s="8"/>
      <c r="P4386" s="26"/>
      <c r="S4386" s="10" t="str">
        <f t="shared" si="344"/>
        <v/>
      </c>
    </row>
    <row r="4387" spans="5:19" x14ac:dyDescent="0.3">
      <c r="E4387" s="9" t="str">
        <f>IF(DADOS!C4387="","",DADOS!C4387)</f>
        <v/>
      </c>
      <c r="F4387" s="9" t="str">
        <f>IF(DADOS!E4387="","",DADOS!E4387)</f>
        <v/>
      </c>
      <c r="G4387" s="9" t="str">
        <f>IF(DADOS!F4387="","",DADOS!F4387)</f>
        <v/>
      </c>
      <c r="K4387" s="6" t="str">
        <f t="shared" si="345"/>
        <v/>
      </c>
      <c r="L4387" s="7" t="str">
        <f t="shared" si="346"/>
        <v/>
      </c>
      <c r="M4387" s="7" t="str">
        <f t="shared" si="343"/>
        <v/>
      </c>
      <c r="N4387" s="7" t="str">
        <f t="shared" si="347"/>
        <v/>
      </c>
      <c r="O4387" s="8"/>
      <c r="P4387" s="26"/>
      <c r="S4387" s="10" t="str">
        <f t="shared" si="344"/>
        <v/>
      </c>
    </row>
    <row r="4388" spans="5:19" x14ac:dyDescent="0.3">
      <c r="E4388" s="9" t="str">
        <f>IF(DADOS!C4388="","",DADOS!C4388)</f>
        <v/>
      </c>
      <c r="F4388" s="9" t="str">
        <f>IF(DADOS!E4388="","",DADOS!E4388)</f>
        <v/>
      </c>
      <c r="G4388" s="9" t="str">
        <f>IF(DADOS!F4388="","",DADOS!F4388)</f>
        <v/>
      </c>
      <c r="K4388" s="6" t="str">
        <f t="shared" si="345"/>
        <v/>
      </c>
      <c r="L4388" s="7" t="str">
        <f t="shared" si="346"/>
        <v/>
      </c>
      <c r="M4388" s="7" t="str">
        <f t="shared" si="343"/>
        <v/>
      </c>
      <c r="N4388" s="7" t="str">
        <f t="shared" si="347"/>
        <v/>
      </c>
      <c r="O4388" s="8"/>
      <c r="P4388" s="26"/>
      <c r="S4388" s="10" t="str">
        <f t="shared" si="344"/>
        <v/>
      </c>
    </row>
    <row r="4389" spans="5:19" x14ac:dyDescent="0.3">
      <c r="E4389" s="9" t="str">
        <f>IF(DADOS!C4389="","",DADOS!C4389)</f>
        <v/>
      </c>
      <c r="F4389" s="9" t="str">
        <f>IF(DADOS!E4389="","",DADOS!E4389)</f>
        <v/>
      </c>
      <c r="G4389" s="9" t="str">
        <f>IF(DADOS!F4389="","",DADOS!F4389)</f>
        <v/>
      </c>
      <c r="K4389" s="6" t="str">
        <f t="shared" si="345"/>
        <v/>
      </c>
      <c r="L4389" s="7" t="str">
        <f t="shared" si="346"/>
        <v/>
      </c>
      <c r="M4389" s="7" t="str">
        <f t="shared" si="343"/>
        <v/>
      </c>
      <c r="N4389" s="7" t="str">
        <f t="shared" si="347"/>
        <v/>
      </c>
      <c r="O4389" s="8"/>
      <c r="P4389" s="26"/>
      <c r="S4389" s="10" t="str">
        <f t="shared" si="344"/>
        <v/>
      </c>
    </row>
    <row r="4390" spans="5:19" x14ac:dyDescent="0.3">
      <c r="E4390" s="9" t="str">
        <f>IF(DADOS!C4390="","",DADOS!C4390)</f>
        <v/>
      </c>
      <c r="F4390" s="9" t="str">
        <f>IF(DADOS!E4390="","",DADOS!E4390)</f>
        <v/>
      </c>
      <c r="G4390" s="9" t="str">
        <f>IF(DADOS!F4390="","",DADOS!F4390)</f>
        <v/>
      </c>
      <c r="K4390" s="6" t="str">
        <f t="shared" si="345"/>
        <v/>
      </c>
      <c r="L4390" s="7" t="str">
        <f t="shared" si="346"/>
        <v/>
      </c>
      <c r="M4390" s="7" t="str">
        <f t="shared" si="343"/>
        <v/>
      </c>
      <c r="N4390" s="7" t="str">
        <f t="shared" si="347"/>
        <v/>
      </c>
      <c r="O4390" s="8"/>
      <c r="P4390" s="26"/>
      <c r="S4390" s="10" t="str">
        <f t="shared" si="344"/>
        <v/>
      </c>
    </row>
    <row r="4391" spans="5:19" x14ac:dyDescent="0.3">
      <c r="E4391" s="9" t="str">
        <f>IF(DADOS!C4391="","",DADOS!C4391)</f>
        <v/>
      </c>
      <c r="F4391" s="9" t="str">
        <f>IF(DADOS!E4391="","",DADOS!E4391)</f>
        <v/>
      </c>
      <c r="G4391" s="9" t="str">
        <f>IF(DADOS!F4391="","",DADOS!F4391)</f>
        <v/>
      </c>
      <c r="K4391" s="6" t="str">
        <f t="shared" si="345"/>
        <v/>
      </c>
      <c r="L4391" s="7" t="str">
        <f t="shared" si="346"/>
        <v/>
      </c>
      <c r="M4391" s="7" t="str">
        <f t="shared" si="343"/>
        <v/>
      </c>
      <c r="N4391" s="7" t="str">
        <f t="shared" si="347"/>
        <v/>
      </c>
      <c r="O4391" s="8"/>
      <c r="P4391" s="26"/>
      <c r="S4391" s="10" t="str">
        <f t="shared" si="344"/>
        <v/>
      </c>
    </row>
    <row r="4392" spans="5:19" x14ac:dyDescent="0.3">
      <c r="E4392" s="9" t="str">
        <f>IF(DADOS!C4392="","",DADOS!C4392)</f>
        <v/>
      </c>
      <c r="F4392" s="9" t="str">
        <f>IF(DADOS!E4392="","",DADOS!E4392)</f>
        <v/>
      </c>
      <c r="G4392" s="9" t="str">
        <f>IF(DADOS!F4392="","",DADOS!F4392)</f>
        <v/>
      </c>
      <c r="K4392" s="6" t="str">
        <f t="shared" si="345"/>
        <v/>
      </c>
      <c r="L4392" s="7" t="str">
        <f t="shared" si="346"/>
        <v/>
      </c>
      <c r="M4392" s="7" t="str">
        <f t="shared" si="343"/>
        <v/>
      </c>
      <c r="N4392" s="7" t="str">
        <f t="shared" si="347"/>
        <v/>
      </c>
      <c r="O4392" s="8"/>
      <c r="P4392" s="26"/>
      <c r="S4392" s="10" t="str">
        <f t="shared" si="344"/>
        <v/>
      </c>
    </row>
    <row r="4393" spans="5:19" x14ac:dyDescent="0.3">
      <c r="E4393" s="9" t="str">
        <f>IF(DADOS!C4393="","",DADOS!C4393)</f>
        <v/>
      </c>
      <c r="F4393" s="9" t="str">
        <f>IF(DADOS!E4393="","",DADOS!E4393)</f>
        <v/>
      </c>
      <c r="G4393" s="9" t="str">
        <f>IF(DADOS!F4393="","",DADOS!F4393)</f>
        <v/>
      </c>
      <c r="K4393" s="6" t="str">
        <f t="shared" si="345"/>
        <v/>
      </c>
      <c r="L4393" s="7" t="str">
        <f t="shared" si="346"/>
        <v/>
      </c>
      <c r="M4393" s="7" t="str">
        <f t="shared" si="343"/>
        <v/>
      </c>
      <c r="N4393" s="7" t="str">
        <f t="shared" si="347"/>
        <v/>
      </c>
      <c r="O4393" s="8"/>
      <c r="P4393" s="26"/>
      <c r="S4393" s="10" t="str">
        <f t="shared" si="344"/>
        <v/>
      </c>
    </row>
    <row r="4394" spans="5:19" x14ac:dyDescent="0.3">
      <c r="E4394" s="9" t="str">
        <f>IF(DADOS!C4394="","",DADOS!C4394)</f>
        <v/>
      </c>
      <c r="F4394" s="9" t="str">
        <f>IF(DADOS!E4394="","",DADOS!E4394)</f>
        <v/>
      </c>
      <c r="G4394" s="9" t="str">
        <f>IF(DADOS!F4394="","",DADOS!F4394)</f>
        <v/>
      </c>
      <c r="K4394" s="6" t="str">
        <f t="shared" si="345"/>
        <v/>
      </c>
      <c r="L4394" s="7" t="str">
        <f t="shared" si="346"/>
        <v/>
      </c>
      <c r="M4394" s="7" t="str">
        <f t="shared" si="343"/>
        <v/>
      </c>
      <c r="N4394" s="7" t="str">
        <f t="shared" si="347"/>
        <v/>
      </c>
      <c r="O4394" s="8"/>
      <c r="P4394" s="26"/>
      <c r="S4394" s="10" t="str">
        <f t="shared" si="344"/>
        <v/>
      </c>
    </row>
    <row r="4395" spans="5:19" x14ac:dyDescent="0.3">
      <c r="E4395" s="9" t="str">
        <f>IF(DADOS!C4395="","",DADOS!C4395)</f>
        <v/>
      </c>
      <c r="F4395" s="9" t="str">
        <f>IF(DADOS!E4395="","",DADOS!E4395)</f>
        <v/>
      </c>
      <c r="G4395" s="9" t="str">
        <f>IF(DADOS!F4395="","",DADOS!F4395)</f>
        <v/>
      </c>
      <c r="K4395" s="6" t="str">
        <f t="shared" si="345"/>
        <v/>
      </c>
      <c r="L4395" s="7" t="str">
        <f t="shared" si="346"/>
        <v/>
      </c>
      <c r="M4395" s="7" t="str">
        <f t="shared" si="343"/>
        <v/>
      </c>
      <c r="N4395" s="7" t="str">
        <f t="shared" si="347"/>
        <v/>
      </c>
      <c r="O4395" s="8"/>
      <c r="P4395" s="26"/>
      <c r="S4395" s="10" t="str">
        <f t="shared" si="344"/>
        <v/>
      </c>
    </row>
    <row r="4396" spans="5:19" x14ac:dyDescent="0.3">
      <c r="E4396" s="9" t="str">
        <f>IF(DADOS!C4396="","",DADOS!C4396)</f>
        <v/>
      </c>
      <c r="F4396" s="9" t="str">
        <f>IF(DADOS!E4396="","",DADOS!E4396)</f>
        <v/>
      </c>
      <c r="G4396" s="9" t="str">
        <f>IF(DADOS!F4396="","",DADOS!F4396)</f>
        <v/>
      </c>
      <c r="K4396" s="6" t="str">
        <f t="shared" si="345"/>
        <v/>
      </c>
      <c r="L4396" s="7" t="str">
        <f t="shared" si="346"/>
        <v/>
      </c>
      <c r="M4396" s="7" t="str">
        <f t="shared" si="343"/>
        <v/>
      </c>
      <c r="N4396" s="7" t="str">
        <f t="shared" si="347"/>
        <v/>
      </c>
      <c r="O4396" s="8"/>
      <c r="P4396" s="26"/>
      <c r="S4396" s="10" t="str">
        <f t="shared" si="344"/>
        <v/>
      </c>
    </row>
    <row r="4397" spans="5:19" x14ac:dyDescent="0.3">
      <c r="E4397" s="9" t="str">
        <f>IF(DADOS!C4397="","",DADOS!C4397)</f>
        <v/>
      </c>
      <c r="F4397" s="9" t="str">
        <f>IF(DADOS!E4397="","",DADOS!E4397)</f>
        <v/>
      </c>
      <c r="G4397" s="9" t="str">
        <f>IF(DADOS!F4397="","",DADOS!F4397)</f>
        <v/>
      </c>
      <c r="K4397" s="6" t="str">
        <f t="shared" si="345"/>
        <v/>
      </c>
      <c r="L4397" s="7" t="str">
        <f t="shared" si="346"/>
        <v/>
      </c>
      <c r="M4397" s="7" t="str">
        <f t="shared" si="343"/>
        <v/>
      </c>
      <c r="N4397" s="7" t="str">
        <f t="shared" si="347"/>
        <v/>
      </c>
      <c r="O4397" s="8"/>
      <c r="P4397" s="26"/>
      <c r="S4397" s="10" t="str">
        <f t="shared" si="344"/>
        <v/>
      </c>
    </row>
    <row r="4398" spans="5:19" x14ac:dyDescent="0.3">
      <c r="E4398" s="9" t="str">
        <f>IF(DADOS!C4398="","",DADOS!C4398)</f>
        <v/>
      </c>
      <c r="F4398" s="9" t="str">
        <f>IF(DADOS!E4398="","",DADOS!E4398)</f>
        <v/>
      </c>
      <c r="G4398" s="9" t="str">
        <f>IF(DADOS!F4398="","",DADOS!F4398)</f>
        <v/>
      </c>
      <c r="K4398" s="6" t="str">
        <f t="shared" si="345"/>
        <v/>
      </c>
      <c r="L4398" s="7" t="str">
        <f t="shared" si="346"/>
        <v/>
      </c>
      <c r="M4398" s="7" t="str">
        <f t="shared" si="343"/>
        <v/>
      </c>
      <c r="N4398" s="7" t="str">
        <f t="shared" si="347"/>
        <v/>
      </c>
      <c r="O4398" s="8"/>
      <c r="P4398" s="26"/>
      <c r="S4398" s="10" t="str">
        <f t="shared" si="344"/>
        <v/>
      </c>
    </row>
    <row r="4399" spans="5:19" x14ac:dyDescent="0.3">
      <c r="E4399" s="9" t="str">
        <f>IF(DADOS!C4399="","",DADOS!C4399)</f>
        <v/>
      </c>
      <c r="F4399" s="9" t="str">
        <f>IF(DADOS!E4399="","",DADOS!E4399)</f>
        <v/>
      </c>
      <c r="G4399" s="9" t="str">
        <f>IF(DADOS!F4399="","",DADOS!F4399)</f>
        <v/>
      </c>
      <c r="K4399" s="6" t="str">
        <f t="shared" si="345"/>
        <v/>
      </c>
      <c r="L4399" s="7" t="str">
        <f t="shared" si="346"/>
        <v/>
      </c>
      <c r="M4399" s="7" t="str">
        <f t="shared" si="343"/>
        <v/>
      </c>
      <c r="N4399" s="7" t="str">
        <f t="shared" si="347"/>
        <v/>
      </c>
      <c r="O4399" s="8"/>
      <c r="P4399" s="26"/>
      <c r="S4399" s="10" t="str">
        <f t="shared" si="344"/>
        <v/>
      </c>
    </row>
    <row r="4400" spans="5:19" x14ac:dyDescent="0.3">
      <c r="E4400" s="9" t="str">
        <f>IF(DADOS!C4400="","",DADOS!C4400)</f>
        <v/>
      </c>
      <c r="F4400" s="9" t="str">
        <f>IF(DADOS!E4400="","",DADOS!E4400)</f>
        <v/>
      </c>
      <c r="G4400" s="9" t="str">
        <f>IF(DADOS!F4400="","",DADOS!F4400)</f>
        <v/>
      </c>
      <c r="K4400" s="6" t="str">
        <f t="shared" si="345"/>
        <v/>
      </c>
      <c r="L4400" s="7" t="str">
        <f t="shared" si="346"/>
        <v/>
      </c>
      <c r="M4400" s="7" t="str">
        <f t="shared" si="343"/>
        <v/>
      </c>
      <c r="N4400" s="7" t="str">
        <f t="shared" si="347"/>
        <v/>
      </c>
      <c r="O4400" s="8"/>
      <c r="P4400" s="26"/>
      <c r="S4400" s="10" t="str">
        <f t="shared" si="344"/>
        <v/>
      </c>
    </row>
    <row r="4401" spans="5:19" x14ac:dyDescent="0.3">
      <c r="E4401" s="9" t="str">
        <f>IF(DADOS!C4401="","",DADOS!C4401)</f>
        <v/>
      </c>
      <c r="F4401" s="9" t="str">
        <f>IF(DADOS!E4401="","",DADOS!E4401)</f>
        <v/>
      </c>
      <c r="G4401" s="9" t="str">
        <f>IF(DADOS!F4401="","",DADOS!F4401)</f>
        <v/>
      </c>
      <c r="K4401" s="6" t="str">
        <f t="shared" si="345"/>
        <v/>
      </c>
      <c r="L4401" s="7" t="str">
        <f t="shared" si="346"/>
        <v/>
      </c>
      <c r="M4401" s="7" t="str">
        <f t="shared" si="343"/>
        <v/>
      </c>
      <c r="N4401" s="7" t="str">
        <f t="shared" si="347"/>
        <v/>
      </c>
      <c r="O4401" s="8"/>
      <c r="P4401" s="26"/>
      <c r="S4401" s="10" t="str">
        <f t="shared" si="344"/>
        <v/>
      </c>
    </row>
    <row r="4402" spans="5:19" x14ac:dyDescent="0.3">
      <c r="E4402" s="9" t="str">
        <f>IF(DADOS!C4402="","",DADOS!C4402)</f>
        <v/>
      </c>
      <c r="F4402" s="9" t="str">
        <f>IF(DADOS!E4402="","",DADOS!E4402)</f>
        <v/>
      </c>
      <c r="G4402" s="9" t="str">
        <f>IF(DADOS!F4402="","",DADOS!F4402)</f>
        <v/>
      </c>
      <c r="K4402" s="6" t="str">
        <f t="shared" si="345"/>
        <v/>
      </c>
      <c r="L4402" s="7" t="str">
        <f t="shared" si="346"/>
        <v/>
      </c>
      <c r="M4402" s="7" t="str">
        <f t="shared" si="343"/>
        <v/>
      </c>
      <c r="N4402" s="7" t="str">
        <f t="shared" si="347"/>
        <v/>
      </c>
      <c r="O4402" s="8"/>
      <c r="P4402" s="26"/>
      <c r="S4402" s="10" t="str">
        <f t="shared" si="344"/>
        <v/>
      </c>
    </row>
    <row r="4403" spans="5:19" x14ac:dyDescent="0.3">
      <c r="E4403" s="9" t="str">
        <f>IF(DADOS!C4403="","",DADOS!C4403)</f>
        <v/>
      </c>
      <c r="F4403" s="9" t="str">
        <f>IF(DADOS!E4403="","",DADOS!E4403)</f>
        <v/>
      </c>
      <c r="G4403" s="9" t="str">
        <f>IF(DADOS!F4403="","",DADOS!F4403)</f>
        <v/>
      </c>
      <c r="K4403" s="6" t="str">
        <f t="shared" si="345"/>
        <v/>
      </c>
      <c r="L4403" s="7" t="str">
        <f t="shared" si="346"/>
        <v/>
      </c>
      <c r="M4403" s="7" t="str">
        <f t="shared" si="343"/>
        <v/>
      </c>
      <c r="N4403" s="7" t="str">
        <f t="shared" si="347"/>
        <v/>
      </c>
      <c r="O4403" s="8"/>
      <c r="P4403" s="26"/>
      <c r="S4403" s="10" t="str">
        <f t="shared" si="344"/>
        <v/>
      </c>
    </row>
    <row r="4404" spans="5:19" x14ac:dyDescent="0.3">
      <c r="E4404" s="9" t="str">
        <f>IF(DADOS!C4404="","",DADOS!C4404)</f>
        <v/>
      </c>
      <c r="F4404" s="9" t="str">
        <f>IF(DADOS!E4404="","",DADOS!E4404)</f>
        <v/>
      </c>
      <c r="G4404" s="9" t="str">
        <f>IF(DADOS!F4404="","",DADOS!F4404)</f>
        <v/>
      </c>
      <c r="K4404" s="6" t="str">
        <f t="shared" si="345"/>
        <v/>
      </c>
      <c r="L4404" s="7" t="str">
        <f t="shared" si="346"/>
        <v/>
      </c>
      <c r="M4404" s="7" t="str">
        <f t="shared" si="343"/>
        <v/>
      </c>
      <c r="N4404" s="7" t="str">
        <f t="shared" si="347"/>
        <v/>
      </c>
      <c r="O4404" s="8"/>
      <c r="P4404" s="26"/>
      <c r="S4404" s="10" t="str">
        <f t="shared" si="344"/>
        <v/>
      </c>
    </row>
    <row r="4405" spans="5:19" x14ac:dyDescent="0.3">
      <c r="E4405" s="9" t="str">
        <f>IF(DADOS!C4405="","",DADOS!C4405)</f>
        <v/>
      </c>
      <c r="F4405" s="9" t="str">
        <f>IF(DADOS!E4405="","",DADOS!E4405)</f>
        <v/>
      </c>
      <c r="G4405" s="9" t="str">
        <f>IF(DADOS!F4405="","",DADOS!F4405)</f>
        <v/>
      </c>
      <c r="K4405" s="6" t="str">
        <f t="shared" si="345"/>
        <v/>
      </c>
      <c r="L4405" s="7" t="str">
        <f t="shared" si="346"/>
        <v/>
      </c>
      <c r="M4405" s="7" t="str">
        <f t="shared" si="343"/>
        <v/>
      </c>
      <c r="N4405" s="7" t="str">
        <f t="shared" si="347"/>
        <v/>
      </c>
      <c r="O4405" s="8"/>
      <c r="P4405" s="26"/>
      <c r="S4405" s="10" t="str">
        <f t="shared" si="344"/>
        <v/>
      </c>
    </row>
    <row r="4406" spans="5:19" x14ac:dyDescent="0.3">
      <c r="E4406" s="9" t="str">
        <f>IF(DADOS!C4406="","",DADOS!C4406)</f>
        <v/>
      </c>
      <c r="F4406" s="9" t="str">
        <f>IF(DADOS!E4406="","",DADOS!E4406)</f>
        <v/>
      </c>
      <c r="G4406" s="9" t="str">
        <f>IF(DADOS!F4406="","",DADOS!F4406)</f>
        <v/>
      </c>
      <c r="K4406" s="6" t="str">
        <f t="shared" si="345"/>
        <v/>
      </c>
      <c r="L4406" s="7" t="str">
        <f t="shared" si="346"/>
        <v/>
      </c>
      <c r="M4406" s="7" t="str">
        <f t="shared" si="343"/>
        <v/>
      </c>
      <c r="N4406" s="7" t="str">
        <f t="shared" si="347"/>
        <v/>
      </c>
      <c r="O4406" s="8"/>
      <c r="P4406" s="26"/>
      <c r="S4406" s="10" t="str">
        <f t="shared" si="344"/>
        <v/>
      </c>
    </row>
    <row r="4407" spans="5:19" x14ac:dyDescent="0.3">
      <c r="E4407" s="9" t="str">
        <f>IF(DADOS!C4407="","",DADOS!C4407)</f>
        <v/>
      </c>
      <c r="F4407" s="9" t="str">
        <f>IF(DADOS!E4407="","",DADOS!E4407)</f>
        <v/>
      </c>
      <c r="G4407" s="9" t="str">
        <f>IF(DADOS!F4407="","",DADOS!F4407)</f>
        <v/>
      </c>
      <c r="K4407" s="6" t="str">
        <f t="shared" si="345"/>
        <v/>
      </c>
      <c r="L4407" s="7" t="str">
        <f t="shared" si="346"/>
        <v/>
      </c>
      <c r="M4407" s="7" t="str">
        <f t="shared" si="343"/>
        <v/>
      </c>
      <c r="N4407" s="7" t="str">
        <f t="shared" si="347"/>
        <v/>
      </c>
      <c r="O4407" s="8"/>
      <c r="P4407" s="26"/>
      <c r="S4407" s="10" t="str">
        <f t="shared" si="344"/>
        <v/>
      </c>
    </row>
    <row r="4408" spans="5:19" x14ac:dyDescent="0.3">
      <c r="E4408" s="9" t="str">
        <f>IF(DADOS!C4408="","",DADOS!C4408)</f>
        <v/>
      </c>
      <c r="F4408" s="9" t="str">
        <f>IF(DADOS!E4408="","",DADOS!E4408)</f>
        <v/>
      </c>
      <c r="G4408" s="9" t="str">
        <f>IF(DADOS!F4408="","",DADOS!F4408)</f>
        <v/>
      </c>
      <c r="K4408" s="6" t="str">
        <f t="shared" si="345"/>
        <v/>
      </c>
      <c r="L4408" s="7" t="str">
        <f t="shared" si="346"/>
        <v/>
      </c>
      <c r="M4408" s="7" t="str">
        <f t="shared" si="343"/>
        <v/>
      </c>
      <c r="N4408" s="7" t="str">
        <f t="shared" si="347"/>
        <v/>
      </c>
      <c r="O4408" s="8"/>
      <c r="P4408" s="26"/>
      <c r="S4408" s="10" t="str">
        <f t="shared" si="344"/>
        <v/>
      </c>
    </row>
    <row r="4409" spans="5:19" x14ac:dyDescent="0.3">
      <c r="E4409" s="9" t="str">
        <f>IF(DADOS!C4409="","",DADOS!C4409)</f>
        <v/>
      </c>
      <c r="F4409" s="9" t="str">
        <f>IF(DADOS!E4409="","",DADOS!E4409)</f>
        <v/>
      </c>
      <c r="G4409" s="9" t="str">
        <f>IF(DADOS!F4409="","",DADOS!F4409)</f>
        <v/>
      </c>
      <c r="K4409" s="6" t="str">
        <f t="shared" si="345"/>
        <v/>
      </c>
      <c r="L4409" s="7" t="str">
        <f t="shared" si="346"/>
        <v/>
      </c>
      <c r="M4409" s="7" t="str">
        <f t="shared" si="343"/>
        <v/>
      </c>
      <c r="N4409" s="7" t="str">
        <f t="shared" si="347"/>
        <v/>
      </c>
      <c r="O4409" s="8"/>
      <c r="P4409" s="26"/>
      <c r="S4409" s="10" t="str">
        <f t="shared" si="344"/>
        <v/>
      </c>
    </row>
    <row r="4410" spans="5:19" x14ac:dyDescent="0.3">
      <c r="E4410" s="9" t="str">
        <f>IF(DADOS!C4410="","",DADOS!C4410)</f>
        <v/>
      </c>
      <c r="F4410" s="9" t="str">
        <f>IF(DADOS!E4410="","",DADOS!E4410)</f>
        <v/>
      </c>
      <c r="G4410" s="9" t="str">
        <f>IF(DADOS!F4410="","",DADOS!F4410)</f>
        <v/>
      </c>
      <c r="K4410" s="6" t="str">
        <f t="shared" si="345"/>
        <v/>
      </c>
      <c r="L4410" s="7" t="str">
        <f t="shared" si="346"/>
        <v/>
      </c>
      <c r="M4410" s="7" t="str">
        <f t="shared" si="343"/>
        <v/>
      </c>
      <c r="N4410" s="7" t="str">
        <f t="shared" si="347"/>
        <v/>
      </c>
      <c r="O4410" s="8"/>
      <c r="P4410" s="26"/>
      <c r="S4410" s="10" t="str">
        <f t="shared" si="344"/>
        <v/>
      </c>
    </row>
    <row r="4411" spans="5:19" x14ac:dyDescent="0.3">
      <c r="E4411" s="9" t="str">
        <f>IF(DADOS!C4411="","",DADOS!C4411)</f>
        <v/>
      </c>
      <c r="F4411" s="9" t="str">
        <f>IF(DADOS!E4411="","",DADOS!E4411)</f>
        <v/>
      </c>
      <c r="G4411" s="9" t="str">
        <f>IF(DADOS!F4411="","",DADOS!F4411)</f>
        <v/>
      </c>
      <c r="K4411" s="6" t="str">
        <f t="shared" si="345"/>
        <v/>
      </c>
      <c r="L4411" s="7" t="str">
        <f t="shared" si="346"/>
        <v/>
      </c>
      <c r="M4411" s="7" t="str">
        <f t="shared" si="343"/>
        <v/>
      </c>
      <c r="N4411" s="7" t="str">
        <f t="shared" si="347"/>
        <v/>
      </c>
      <c r="O4411" s="8"/>
      <c r="P4411" s="26"/>
      <c r="S4411" s="10" t="str">
        <f t="shared" si="344"/>
        <v/>
      </c>
    </row>
    <row r="4412" spans="5:19" x14ac:dyDescent="0.3">
      <c r="E4412" s="9" t="str">
        <f>IF(DADOS!C4412="","",DADOS!C4412)</f>
        <v/>
      </c>
      <c r="F4412" s="9" t="str">
        <f>IF(DADOS!E4412="","",DADOS!E4412)</f>
        <v/>
      </c>
      <c r="G4412" s="9" t="str">
        <f>IF(DADOS!F4412="","",DADOS!F4412)</f>
        <v/>
      </c>
      <c r="K4412" s="6" t="str">
        <f t="shared" si="345"/>
        <v/>
      </c>
      <c r="L4412" s="7" t="str">
        <f t="shared" si="346"/>
        <v/>
      </c>
      <c r="M4412" s="7" t="str">
        <f t="shared" si="343"/>
        <v/>
      </c>
      <c r="N4412" s="7" t="str">
        <f t="shared" si="347"/>
        <v/>
      </c>
      <c r="O4412" s="8"/>
      <c r="P4412" s="26"/>
      <c r="S4412" s="10" t="str">
        <f t="shared" si="344"/>
        <v/>
      </c>
    </row>
    <row r="4413" spans="5:19" x14ac:dyDescent="0.3">
      <c r="E4413" s="9" t="str">
        <f>IF(DADOS!C4413="","",DADOS!C4413)</f>
        <v/>
      </c>
      <c r="F4413" s="9" t="str">
        <f>IF(DADOS!E4413="","",DADOS!E4413)</f>
        <v/>
      </c>
      <c r="G4413" s="9" t="str">
        <f>IF(DADOS!F4413="","",DADOS!F4413)</f>
        <v/>
      </c>
      <c r="K4413" s="6" t="str">
        <f t="shared" si="345"/>
        <v/>
      </c>
      <c r="L4413" s="7" t="str">
        <f t="shared" si="346"/>
        <v/>
      </c>
      <c r="M4413" s="7" t="str">
        <f t="shared" si="343"/>
        <v/>
      </c>
      <c r="N4413" s="7" t="str">
        <f t="shared" si="347"/>
        <v/>
      </c>
      <c r="O4413" s="8"/>
      <c r="P4413" s="26"/>
      <c r="S4413" s="10" t="str">
        <f t="shared" si="344"/>
        <v/>
      </c>
    </row>
    <row r="4414" spans="5:19" x14ac:dyDescent="0.3">
      <c r="E4414" s="9" t="str">
        <f>IF(DADOS!C4414="","",DADOS!C4414)</f>
        <v/>
      </c>
      <c r="F4414" s="9" t="str">
        <f>IF(DADOS!E4414="","",DADOS!E4414)</f>
        <v/>
      </c>
      <c r="G4414" s="9" t="str">
        <f>IF(DADOS!F4414="","",DADOS!F4414)</f>
        <v/>
      </c>
      <c r="K4414" s="6" t="str">
        <f t="shared" si="345"/>
        <v/>
      </c>
      <c r="L4414" s="7" t="str">
        <f t="shared" si="346"/>
        <v/>
      </c>
      <c r="M4414" s="7" t="str">
        <f t="shared" si="343"/>
        <v/>
      </c>
      <c r="N4414" s="7" t="str">
        <f t="shared" si="347"/>
        <v/>
      </c>
      <c r="O4414" s="8"/>
      <c r="P4414" s="26"/>
      <c r="S4414" s="10" t="str">
        <f t="shared" si="344"/>
        <v/>
      </c>
    </row>
    <row r="4415" spans="5:19" x14ac:dyDescent="0.3">
      <c r="E4415" s="9" t="str">
        <f>IF(DADOS!C4415="","",DADOS!C4415)</f>
        <v/>
      </c>
      <c r="F4415" s="9" t="str">
        <f>IF(DADOS!E4415="","",DADOS!E4415)</f>
        <v/>
      </c>
      <c r="G4415" s="9" t="str">
        <f>IF(DADOS!F4415="","",DADOS!F4415)</f>
        <v/>
      </c>
      <c r="K4415" s="6" t="str">
        <f t="shared" si="345"/>
        <v/>
      </c>
      <c r="L4415" s="7" t="str">
        <f t="shared" si="346"/>
        <v/>
      </c>
      <c r="M4415" s="7" t="str">
        <f t="shared" si="343"/>
        <v/>
      </c>
      <c r="N4415" s="7" t="str">
        <f t="shared" si="347"/>
        <v/>
      </c>
      <c r="O4415" s="8"/>
      <c r="P4415" s="26"/>
      <c r="S4415" s="10" t="str">
        <f t="shared" si="344"/>
        <v/>
      </c>
    </row>
    <row r="4416" spans="5:19" x14ac:dyDescent="0.3">
      <c r="E4416" s="9" t="str">
        <f>IF(DADOS!C4416="","",DADOS!C4416)</f>
        <v/>
      </c>
      <c r="F4416" s="9" t="str">
        <f>IF(DADOS!E4416="","",DADOS!E4416)</f>
        <v/>
      </c>
      <c r="G4416" s="9" t="str">
        <f>IF(DADOS!F4416="","",DADOS!F4416)</f>
        <v/>
      </c>
      <c r="K4416" s="6" t="str">
        <f t="shared" si="345"/>
        <v/>
      </c>
      <c r="L4416" s="7" t="str">
        <f t="shared" si="346"/>
        <v/>
      </c>
      <c r="M4416" s="7" t="str">
        <f t="shared" si="343"/>
        <v/>
      </c>
      <c r="N4416" s="7" t="str">
        <f t="shared" si="347"/>
        <v/>
      </c>
      <c r="O4416" s="8"/>
      <c r="P4416" s="26"/>
      <c r="S4416" s="10" t="str">
        <f t="shared" si="344"/>
        <v/>
      </c>
    </row>
    <row r="4417" spans="5:19" x14ac:dyDescent="0.3">
      <c r="E4417" s="9" t="str">
        <f>IF(DADOS!C4417="","",DADOS!C4417)</f>
        <v/>
      </c>
      <c r="F4417" s="9" t="str">
        <f>IF(DADOS!E4417="","",DADOS!E4417)</f>
        <v/>
      </c>
      <c r="G4417" s="9" t="str">
        <f>IF(DADOS!F4417="","",DADOS!F4417)</f>
        <v/>
      </c>
      <c r="K4417" s="6" t="str">
        <f t="shared" si="345"/>
        <v/>
      </c>
      <c r="L4417" s="7" t="str">
        <f t="shared" si="346"/>
        <v/>
      </c>
      <c r="M4417" s="7" t="str">
        <f t="shared" si="343"/>
        <v/>
      </c>
      <c r="N4417" s="7" t="str">
        <f t="shared" si="347"/>
        <v/>
      </c>
      <c r="O4417" s="8"/>
      <c r="P4417" s="26"/>
      <c r="S4417" s="10" t="str">
        <f t="shared" si="344"/>
        <v/>
      </c>
    </row>
    <row r="4418" spans="5:19" x14ac:dyDescent="0.3">
      <c r="E4418" s="9" t="str">
        <f>IF(DADOS!C4418="","",DADOS!C4418)</f>
        <v/>
      </c>
      <c r="F4418" s="9" t="str">
        <f>IF(DADOS!E4418="","",DADOS!E4418)</f>
        <v/>
      </c>
      <c r="G4418" s="9" t="str">
        <f>IF(DADOS!F4418="","",DADOS!F4418)</f>
        <v/>
      </c>
      <c r="K4418" s="6" t="str">
        <f t="shared" si="345"/>
        <v/>
      </c>
      <c r="L4418" s="7" t="str">
        <f t="shared" si="346"/>
        <v/>
      </c>
      <c r="M4418" s="7" t="str">
        <f t="shared" si="343"/>
        <v/>
      </c>
      <c r="N4418" s="7" t="str">
        <f t="shared" si="347"/>
        <v/>
      </c>
      <c r="O4418" s="8"/>
      <c r="P4418" s="26"/>
      <c r="S4418" s="10" t="str">
        <f t="shared" si="344"/>
        <v/>
      </c>
    </row>
    <row r="4419" spans="5:19" x14ac:dyDescent="0.3">
      <c r="E4419" s="9" t="str">
        <f>IF(DADOS!C4419="","",DADOS!C4419)</f>
        <v/>
      </c>
      <c r="F4419" s="9" t="str">
        <f>IF(DADOS!E4419="","",DADOS!E4419)</f>
        <v/>
      </c>
      <c r="G4419" s="9" t="str">
        <f>IF(DADOS!F4419="","",DADOS!F4419)</f>
        <v/>
      </c>
      <c r="K4419" s="6" t="str">
        <f t="shared" si="345"/>
        <v/>
      </c>
      <c r="L4419" s="7" t="str">
        <f t="shared" si="346"/>
        <v/>
      </c>
      <c r="M4419" s="7" t="str">
        <f t="shared" ref="M4419:M4482" si="348">IF(L4419="","",L4419*G4419)</f>
        <v/>
      </c>
      <c r="N4419" s="7" t="str">
        <f t="shared" si="347"/>
        <v/>
      </c>
      <c r="O4419" s="8"/>
      <c r="P4419" s="26"/>
      <c r="S4419" s="10" t="str">
        <f t="shared" ref="S4419:S4482" si="349">IF(R4419="","",SUMIFS($N$3:$N$10000,$E$3:$E$10000,R4419))</f>
        <v/>
      </c>
    </row>
    <row r="4420" spans="5:19" x14ac:dyDescent="0.3">
      <c r="E4420" s="9" t="str">
        <f>IF(DADOS!C4420="","",DADOS!C4420)</f>
        <v/>
      </c>
      <c r="F4420" s="9" t="str">
        <f>IF(DADOS!E4420="","",DADOS!E4420)</f>
        <v/>
      </c>
      <c r="G4420" s="9" t="str">
        <f>IF(DADOS!F4420="","",DADOS!F4420)</f>
        <v/>
      </c>
      <c r="K4420" s="6" t="str">
        <f t="shared" ref="K4420:K4483" si="350">IF(F4420="","",F4420/PI())</f>
        <v/>
      </c>
      <c r="L4420" s="7" t="str">
        <f t="shared" ref="L4420:L4483" si="351">IF(K4420="","",(PI()*K4420^2)/40000)</f>
        <v/>
      </c>
      <c r="M4420" s="7" t="str">
        <f t="shared" si="348"/>
        <v/>
      </c>
      <c r="N4420" s="7" t="str">
        <f t="shared" ref="N4420:N4483" si="352">IF(M4420="","",M4420*N$1)</f>
        <v/>
      </c>
      <c r="O4420" s="8"/>
      <c r="P4420" s="26"/>
      <c r="S4420" s="10" t="str">
        <f t="shared" si="349"/>
        <v/>
      </c>
    </row>
    <row r="4421" spans="5:19" x14ac:dyDescent="0.3">
      <c r="E4421" s="9" t="str">
        <f>IF(DADOS!C4421="","",DADOS!C4421)</f>
        <v/>
      </c>
      <c r="F4421" s="9" t="str">
        <f>IF(DADOS!E4421="","",DADOS!E4421)</f>
        <v/>
      </c>
      <c r="G4421" s="9" t="str">
        <f>IF(DADOS!F4421="","",DADOS!F4421)</f>
        <v/>
      </c>
      <c r="K4421" s="6" t="str">
        <f t="shared" si="350"/>
        <v/>
      </c>
      <c r="L4421" s="7" t="str">
        <f t="shared" si="351"/>
        <v/>
      </c>
      <c r="M4421" s="7" t="str">
        <f t="shared" si="348"/>
        <v/>
      </c>
      <c r="N4421" s="7" t="str">
        <f t="shared" si="352"/>
        <v/>
      </c>
      <c r="O4421" s="8"/>
      <c r="P4421" s="26"/>
      <c r="S4421" s="10" t="str">
        <f t="shared" si="349"/>
        <v/>
      </c>
    </row>
    <row r="4422" spans="5:19" x14ac:dyDescent="0.3">
      <c r="E4422" s="9" t="str">
        <f>IF(DADOS!C4422="","",DADOS!C4422)</f>
        <v/>
      </c>
      <c r="F4422" s="9" t="str">
        <f>IF(DADOS!E4422="","",DADOS!E4422)</f>
        <v/>
      </c>
      <c r="G4422" s="9" t="str">
        <f>IF(DADOS!F4422="","",DADOS!F4422)</f>
        <v/>
      </c>
      <c r="K4422" s="6" t="str">
        <f t="shared" si="350"/>
        <v/>
      </c>
      <c r="L4422" s="7" t="str">
        <f t="shared" si="351"/>
        <v/>
      </c>
      <c r="M4422" s="7" t="str">
        <f t="shared" si="348"/>
        <v/>
      </c>
      <c r="N4422" s="7" t="str">
        <f t="shared" si="352"/>
        <v/>
      </c>
      <c r="O4422" s="8"/>
      <c r="P4422" s="26"/>
      <c r="S4422" s="10" t="str">
        <f t="shared" si="349"/>
        <v/>
      </c>
    </row>
    <row r="4423" spans="5:19" x14ac:dyDescent="0.3">
      <c r="E4423" s="9" t="str">
        <f>IF(DADOS!C4423="","",DADOS!C4423)</f>
        <v/>
      </c>
      <c r="F4423" s="9" t="str">
        <f>IF(DADOS!E4423="","",DADOS!E4423)</f>
        <v/>
      </c>
      <c r="G4423" s="9" t="str">
        <f>IF(DADOS!F4423="","",DADOS!F4423)</f>
        <v/>
      </c>
      <c r="K4423" s="6" t="str">
        <f t="shared" si="350"/>
        <v/>
      </c>
      <c r="L4423" s="7" t="str">
        <f t="shared" si="351"/>
        <v/>
      </c>
      <c r="M4423" s="7" t="str">
        <f t="shared" si="348"/>
        <v/>
      </c>
      <c r="N4423" s="7" t="str">
        <f t="shared" si="352"/>
        <v/>
      </c>
      <c r="O4423" s="8"/>
      <c r="P4423" s="26"/>
      <c r="S4423" s="10" t="str">
        <f t="shared" si="349"/>
        <v/>
      </c>
    </row>
    <row r="4424" spans="5:19" x14ac:dyDescent="0.3">
      <c r="E4424" s="9" t="str">
        <f>IF(DADOS!C4424="","",DADOS!C4424)</f>
        <v/>
      </c>
      <c r="F4424" s="9" t="str">
        <f>IF(DADOS!E4424="","",DADOS!E4424)</f>
        <v/>
      </c>
      <c r="G4424" s="9" t="str">
        <f>IF(DADOS!F4424="","",DADOS!F4424)</f>
        <v/>
      </c>
      <c r="K4424" s="6" t="str">
        <f t="shared" si="350"/>
        <v/>
      </c>
      <c r="L4424" s="7" t="str">
        <f t="shared" si="351"/>
        <v/>
      </c>
      <c r="M4424" s="7" t="str">
        <f t="shared" si="348"/>
        <v/>
      </c>
      <c r="N4424" s="7" t="str">
        <f t="shared" si="352"/>
        <v/>
      </c>
      <c r="O4424" s="8"/>
      <c r="P4424" s="26"/>
      <c r="S4424" s="10" t="str">
        <f t="shared" si="349"/>
        <v/>
      </c>
    </row>
    <row r="4425" spans="5:19" x14ac:dyDescent="0.3">
      <c r="E4425" s="9" t="str">
        <f>IF(DADOS!C4425="","",DADOS!C4425)</f>
        <v/>
      </c>
      <c r="F4425" s="9" t="str">
        <f>IF(DADOS!E4425="","",DADOS!E4425)</f>
        <v/>
      </c>
      <c r="G4425" s="9" t="str">
        <f>IF(DADOS!F4425="","",DADOS!F4425)</f>
        <v/>
      </c>
      <c r="K4425" s="6" t="str">
        <f t="shared" si="350"/>
        <v/>
      </c>
      <c r="L4425" s="7" t="str">
        <f t="shared" si="351"/>
        <v/>
      </c>
      <c r="M4425" s="7" t="str">
        <f t="shared" si="348"/>
        <v/>
      </c>
      <c r="N4425" s="7" t="str">
        <f t="shared" si="352"/>
        <v/>
      </c>
      <c r="O4425" s="8"/>
      <c r="P4425" s="26"/>
      <c r="S4425" s="10" t="str">
        <f t="shared" si="349"/>
        <v/>
      </c>
    </row>
    <row r="4426" spans="5:19" x14ac:dyDescent="0.3">
      <c r="E4426" s="9" t="str">
        <f>IF(DADOS!C4426="","",DADOS!C4426)</f>
        <v/>
      </c>
      <c r="F4426" s="9" t="str">
        <f>IF(DADOS!E4426="","",DADOS!E4426)</f>
        <v/>
      </c>
      <c r="G4426" s="9" t="str">
        <f>IF(DADOS!F4426="","",DADOS!F4426)</f>
        <v/>
      </c>
      <c r="K4426" s="6" t="str">
        <f t="shared" si="350"/>
        <v/>
      </c>
      <c r="L4426" s="7" t="str">
        <f t="shared" si="351"/>
        <v/>
      </c>
      <c r="M4426" s="7" t="str">
        <f t="shared" si="348"/>
        <v/>
      </c>
      <c r="N4426" s="7" t="str">
        <f t="shared" si="352"/>
        <v/>
      </c>
      <c r="O4426" s="8"/>
      <c r="P4426" s="26"/>
      <c r="S4426" s="10" t="str">
        <f t="shared" si="349"/>
        <v/>
      </c>
    </row>
    <row r="4427" spans="5:19" x14ac:dyDescent="0.3">
      <c r="E4427" s="9" t="str">
        <f>IF(DADOS!C4427="","",DADOS!C4427)</f>
        <v/>
      </c>
      <c r="F4427" s="9" t="str">
        <f>IF(DADOS!E4427="","",DADOS!E4427)</f>
        <v/>
      </c>
      <c r="G4427" s="9" t="str">
        <f>IF(DADOS!F4427="","",DADOS!F4427)</f>
        <v/>
      </c>
      <c r="K4427" s="6" t="str">
        <f t="shared" si="350"/>
        <v/>
      </c>
      <c r="L4427" s="7" t="str">
        <f t="shared" si="351"/>
        <v/>
      </c>
      <c r="M4427" s="7" t="str">
        <f t="shared" si="348"/>
        <v/>
      </c>
      <c r="N4427" s="7" t="str">
        <f t="shared" si="352"/>
        <v/>
      </c>
      <c r="O4427" s="8"/>
      <c r="P4427" s="26"/>
      <c r="S4427" s="10" t="str">
        <f t="shared" si="349"/>
        <v/>
      </c>
    </row>
    <row r="4428" spans="5:19" x14ac:dyDescent="0.3">
      <c r="E4428" s="9" t="str">
        <f>IF(DADOS!C4428="","",DADOS!C4428)</f>
        <v/>
      </c>
      <c r="F4428" s="9" t="str">
        <f>IF(DADOS!E4428="","",DADOS!E4428)</f>
        <v/>
      </c>
      <c r="G4428" s="9" t="str">
        <f>IF(DADOS!F4428="","",DADOS!F4428)</f>
        <v/>
      </c>
      <c r="K4428" s="6" t="str">
        <f t="shared" si="350"/>
        <v/>
      </c>
      <c r="L4428" s="7" t="str">
        <f t="shared" si="351"/>
        <v/>
      </c>
      <c r="M4428" s="7" t="str">
        <f t="shared" si="348"/>
        <v/>
      </c>
      <c r="N4428" s="7" t="str">
        <f t="shared" si="352"/>
        <v/>
      </c>
      <c r="O4428" s="8"/>
      <c r="P4428" s="26"/>
      <c r="S4428" s="10" t="str">
        <f t="shared" si="349"/>
        <v/>
      </c>
    </row>
    <row r="4429" spans="5:19" x14ac:dyDescent="0.3">
      <c r="E4429" s="9" t="str">
        <f>IF(DADOS!C4429="","",DADOS!C4429)</f>
        <v/>
      </c>
      <c r="F4429" s="9" t="str">
        <f>IF(DADOS!E4429="","",DADOS!E4429)</f>
        <v/>
      </c>
      <c r="G4429" s="9" t="str">
        <f>IF(DADOS!F4429="","",DADOS!F4429)</f>
        <v/>
      </c>
      <c r="K4429" s="6" t="str">
        <f t="shared" si="350"/>
        <v/>
      </c>
      <c r="L4429" s="7" t="str">
        <f t="shared" si="351"/>
        <v/>
      </c>
      <c r="M4429" s="7" t="str">
        <f t="shared" si="348"/>
        <v/>
      </c>
      <c r="N4429" s="7" t="str">
        <f t="shared" si="352"/>
        <v/>
      </c>
      <c r="O4429" s="8"/>
      <c r="P4429" s="26"/>
      <c r="S4429" s="10" t="str">
        <f t="shared" si="349"/>
        <v/>
      </c>
    </row>
    <row r="4430" spans="5:19" x14ac:dyDescent="0.3">
      <c r="E4430" s="9" t="str">
        <f>IF(DADOS!C4430="","",DADOS!C4430)</f>
        <v/>
      </c>
      <c r="F4430" s="9" t="str">
        <f>IF(DADOS!E4430="","",DADOS!E4430)</f>
        <v/>
      </c>
      <c r="G4430" s="9" t="str">
        <f>IF(DADOS!F4430="","",DADOS!F4430)</f>
        <v/>
      </c>
      <c r="K4430" s="6" t="str">
        <f t="shared" si="350"/>
        <v/>
      </c>
      <c r="L4430" s="7" t="str">
        <f t="shared" si="351"/>
        <v/>
      </c>
      <c r="M4430" s="7" t="str">
        <f t="shared" si="348"/>
        <v/>
      </c>
      <c r="N4430" s="7" t="str">
        <f t="shared" si="352"/>
        <v/>
      </c>
      <c r="O4430" s="8"/>
      <c r="P4430" s="26"/>
      <c r="S4430" s="10" t="str">
        <f t="shared" si="349"/>
        <v/>
      </c>
    </row>
    <row r="4431" spans="5:19" x14ac:dyDescent="0.3">
      <c r="E4431" s="9" t="str">
        <f>IF(DADOS!C4431="","",DADOS!C4431)</f>
        <v/>
      </c>
      <c r="F4431" s="9" t="str">
        <f>IF(DADOS!E4431="","",DADOS!E4431)</f>
        <v/>
      </c>
      <c r="G4431" s="9" t="str">
        <f>IF(DADOS!F4431="","",DADOS!F4431)</f>
        <v/>
      </c>
      <c r="K4431" s="6" t="str">
        <f t="shared" si="350"/>
        <v/>
      </c>
      <c r="L4431" s="7" t="str">
        <f t="shared" si="351"/>
        <v/>
      </c>
      <c r="M4431" s="7" t="str">
        <f t="shared" si="348"/>
        <v/>
      </c>
      <c r="N4431" s="7" t="str">
        <f t="shared" si="352"/>
        <v/>
      </c>
      <c r="O4431" s="8"/>
      <c r="P4431" s="26"/>
      <c r="S4431" s="10" t="str">
        <f t="shared" si="349"/>
        <v/>
      </c>
    </row>
    <row r="4432" spans="5:19" x14ac:dyDescent="0.3">
      <c r="E4432" s="9" t="str">
        <f>IF(DADOS!C4432="","",DADOS!C4432)</f>
        <v/>
      </c>
      <c r="F4432" s="9" t="str">
        <f>IF(DADOS!E4432="","",DADOS!E4432)</f>
        <v/>
      </c>
      <c r="G4432" s="9" t="str">
        <f>IF(DADOS!F4432="","",DADOS!F4432)</f>
        <v/>
      </c>
      <c r="K4432" s="6" t="str">
        <f t="shared" si="350"/>
        <v/>
      </c>
      <c r="L4432" s="7" t="str">
        <f t="shared" si="351"/>
        <v/>
      </c>
      <c r="M4432" s="7" t="str">
        <f t="shared" si="348"/>
        <v/>
      </c>
      <c r="N4432" s="7" t="str">
        <f t="shared" si="352"/>
        <v/>
      </c>
      <c r="O4432" s="8"/>
      <c r="P4432" s="26"/>
      <c r="S4432" s="10" t="str">
        <f t="shared" si="349"/>
        <v/>
      </c>
    </row>
    <row r="4433" spans="5:19" x14ac:dyDescent="0.3">
      <c r="E4433" s="9" t="str">
        <f>IF(DADOS!C4433="","",DADOS!C4433)</f>
        <v/>
      </c>
      <c r="F4433" s="9" t="str">
        <f>IF(DADOS!E4433="","",DADOS!E4433)</f>
        <v/>
      </c>
      <c r="G4433" s="9" t="str">
        <f>IF(DADOS!F4433="","",DADOS!F4433)</f>
        <v/>
      </c>
      <c r="K4433" s="6" t="str">
        <f t="shared" si="350"/>
        <v/>
      </c>
      <c r="L4433" s="7" t="str">
        <f t="shared" si="351"/>
        <v/>
      </c>
      <c r="M4433" s="7" t="str">
        <f t="shared" si="348"/>
        <v/>
      </c>
      <c r="N4433" s="7" t="str">
        <f t="shared" si="352"/>
        <v/>
      </c>
      <c r="O4433" s="8"/>
      <c r="P4433" s="26"/>
      <c r="S4433" s="10" t="str">
        <f t="shared" si="349"/>
        <v/>
      </c>
    </row>
    <row r="4434" spans="5:19" x14ac:dyDescent="0.3">
      <c r="E4434" s="9" t="str">
        <f>IF(DADOS!C4434="","",DADOS!C4434)</f>
        <v/>
      </c>
      <c r="F4434" s="9" t="str">
        <f>IF(DADOS!E4434="","",DADOS!E4434)</f>
        <v/>
      </c>
      <c r="G4434" s="9" t="str">
        <f>IF(DADOS!F4434="","",DADOS!F4434)</f>
        <v/>
      </c>
      <c r="K4434" s="6" t="str">
        <f t="shared" si="350"/>
        <v/>
      </c>
      <c r="L4434" s="7" t="str">
        <f t="shared" si="351"/>
        <v/>
      </c>
      <c r="M4434" s="7" t="str">
        <f t="shared" si="348"/>
        <v/>
      </c>
      <c r="N4434" s="7" t="str">
        <f t="shared" si="352"/>
        <v/>
      </c>
      <c r="O4434" s="8"/>
      <c r="P4434" s="26"/>
      <c r="S4434" s="10" t="str">
        <f t="shared" si="349"/>
        <v/>
      </c>
    </row>
    <row r="4435" spans="5:19" x14ac:dyDescent="0.3">
      <c r="E4435" s="9" t="str">
        <f>IF(DADOS!C4435="","",DADOS!C4435)</f>
        <v/>
      </c>
      <c r="F4435" s="9" t="str">
        <f>IF(DADOS!E4435="","",DADOS!E4435)</f>
        <v/>
      </c>
      <c r="G4435" s="9" t="str">
        <f>IF(DADOS!F4435="","",DADOS!F4435)</f>
        <v/>
      </c>
      <c r="K4435" s="6" t="str">
        <f t="shared" si="350"/>
        <v/>
      </c>
      <c r="L4435" s="7" t="str">
        <f t="shared" si="351"/>
        <v/>
      </c>
      <c r="M4435" s="7" t="str">
        <f t="shared" si="348"/>
        <v/>
      </c>
      <c r="N4435" s="7" t="str">
        <f t="shared" si="352"/>
        <v/>
      </c>
      <c r="O4435" s="8"/>
      <c r="P4435" s="26"/>
      <c r="S4435" s="10" t="str">
        <f t="shared" si="349"/>
        <v/>
      </c>
    </row>
    <row r="4436" spans="5:19" x14ac:dyDescent="0.3">
      <c r="E4436" s="9" t="str">
        <f>IF(DADOS!C4436="","",DADOS!C4436)</f>
        <v/>
      </c>
      <c r="F4436" s="9" t="str">
        <f>IF(DADOS!E4436="","",DADOS!E4436)</f>
        <v/>
      </c>
      <c r="G4436" s="9" t="str">
        <f>IF(DADOS!F4436="","",DADOS!F4436)</f>
        <v/>
      </c>
      <c r="K4436" s="6" t="str">
        <f t="shared" si="350"/>
        <v/>
      </c>
      <c r="L4436" s="7" t="str">
        <f t="shared" si="351"/>
        <v/>
      </c>
      <c r="M4436" s="7" t="str">
        <f t="shared" si="348"/>
        <v/>
      </c>
      <c r="N4436" s="7" t="str">
        <f t="shared" si="352"/>
        <v/>
      </c>
      <c r="O4436" s="8"/>
      <c r="P4436" s="26"/>
      <c r="S4436" s="10" t="str">
        <f t="shared" si="349"/>
        <v/>
      </c>
    </row>
    <row r="4437" spans="5:19" x14ac:dyDescent="0.3">
      <c r="E4437" s="9" t="str">
        <f>IF(DADOS!C4437="","",DADOS!C4437)</f>
        <v/>
      </c>
      <c r="F4437" s="9" t="str">
        <f>IF(DADOS!E4437="","",DADOS!E4437)</f>
        <v/>
      </c>
      <c r="G4437" s="9" t="str">
        <f>IF(DADOS!F4437="","",DADOS!F4437)</f>
        <v/>
      </c>
      <c r="K4437" s="6" t="str">
        <f t="shared" si="350"/>
        <v/>
      </c>
      <c r="L4437" s="7" t="str">
        <f t="shared" si="351"/>
        <v/>
      </c>
      <c r="M4437" s="7" t="str">
        <f t="shared" si="348"/>
        <v/>
      </c>
      <c r="N4437" s="7" t="str">
        <f t="shared" si="352"/>
        <v/>
      </c>
      <c r="O4437" s="8"/>
      <c r="P4437" s="26"/>
      <c r="S4437" s="10" t="str">
        <f t="shared" si="349"/>
        <v/>
      </c>
    </row>
    <row r="4438" spans="5:19" x14ac:dyDescent="0.3">
      <c r="E4438" s="9" t="str">
        <f>IF(DADOS!C4438="","",DADOS!C4438)</f>
        <v/>
      </c>
      <c r="F4438" s="9" t="str">
        <f>IF(DADOS!E4438="","",DADOS!E4438)</f>
        <v/>
      </c>
      <c r="G4438" s="9" t="str">
        <f>IF(DADOS!F4438="","",DADOS!F4438)</f>
        <v/>
      </c>
      <c r="K4438" s="6" t="str">
        <f t="shared" si="350"/>
        <v/>
      </c>
      <c r="L4438" s="7" t="str">
        <f t="shared" si="351"/>
        <v/>
      </c>
      <c r="M4438" s="7" t="str">
        <f t="shared" si="348"/>
        <v/>
      </c>
      <c r="N4438" s="7" t="str">
        <f t="shared" si="352"/>
        <v/>
      </c>
      <c r="O4438" s="8"/>
      <c r="P4438" s="26"/>
      <c r="S4438" s="10" t="str">
        <f t="shared" si="349"/>
        <v/>
      </c>
    </row>
    <row r="4439" spans="5:19" x14ac:dyDescent="0.3">
      <c r="E4439" s="9" t="str">
        <f>IF(DADOS!C4439="","",DADOS!C4439)</f>
        <v/>
      </c>
      <c r="F4439" s="9" t="str">
        <f>IF(DADOS!E4439="","",DADOS!E4439)</f>
        <v/>
      </c>
      <c r="G4439" s="9" t="str">
        <f>IF(DADOS!F4439="","",DADOS!F4439)</f>
        <v/>
      </c>
      <c r="K4439" s="6" t="str">
        <f t="shared" si="350"/>
        <v/>
      </c>
      <c r="L4439" s="7" t="str">
        <f t="shared" si="351"/>
        <v/>
      </c>
      <c r="M4439" s="7" t="str">
        <f t="shared" si="348"/>
        <v/>
      </c>
      <c r="N4439" s="7" t="str">
        <f t="shared" si="352"/>
        <v/>
      </c>
      <c r="O4439" s="8"/>
      <c r="P4439" s="26"/>
      <c r="S4439" s="10" t="str">
        <f t="shared" si="349"/>
        <v/>
      </c>
    </row>
    <row r="4440" spans="5:19" x14ac:dyDescent="0.3">
      <c r="E4440" s="9" t="str">
        <f>IF(DADOS!C4440="","",DADOS!C4440)</f>
        <v/>
      </c>
      <c r="F4440" s="9" t="str">
        <f>IF(DADOS!E4440="","",DADOS!E4440)</f>
        <v/>
      </c>
      <c r="G4440" s="9" t="str">
        <f>IF(DADOS!F4440="","",DADOS!F4440)</f>
        <v/>
      </c>
      <c r="K4440" s="6" t="str">
        <f t="shared" si="350"/>
        <v/>
      </c>
      <c r="L4440" s="7" t="str">
        <f t="shared" si="351"/>
        <v/>
      </c>
      <c r="M4440" s="7" t="str">
        <f t="shared" si="348"/>
        <v/>
      </c>
      <c r="N4440" s="7" t="str">
        <f t="shared" si="352"/>
        <v/>
      </c>
      <c r="O4440" s="8"/>
      <c r="P4440" s="26"/>
      <c r="S4440" s="10" t="str">
        <f t="shared" si="349"/>
        <v/>
      </c>
    </row>
    <row r="4441" spans="5:19" x14ac:dyDescent="0.3">
      <c r="E4441" s="9" t="str">
        <f>IF(DADOS!C4441="","",DADOS!C4441)</f>
        <v/>
      </c>
      <c r="F4441" s="9" t="str">
        <f>IF(DADOS!E4441="","",DADOS!E4441)</f>
        <v/>
      </c>
      <c r="G4441" s="9" t="str">
        <f>IF(DADOS!F4441="","",DADOS!F4441)</f>
        <v/>
      </c>
      <c r="K4441" s="6" t="str">
        <f t="shared" si="350"/>
        <v/>
      </c>
      <c r="L4441" s="7" t="str">
        <f t="shared" si="351"/>
        <v/>
      </c>
      <c r="M4441" s="7" t="str">
        <f t="shared" si="348"/>
        <v/>
      </c>
      <c r="N4441" s="7" t="str">
        <f t="shared" si="352"/>
        <v/>
      </c>
      <c r="O4441" s="8"/>
      <c r="P4441" s="26"/>
      <c r="S4441" s="10" t="str">
        <f t="shared" si="349"/>
        <v/>
      </c>
    </row>
    <row r="4442" spans="5:19" x14ac:dyDescent="0.3">
      <c r="E4442" s="9" t="str">
        <f>IF(DADOS!C4442="","",DADOS!C4442)</f>
        <v/>
      </c>
      <c r="F4442" s="9" t="str">
        <f>IF(DADOS!E4442="","",DADOS!E4442)</f>
        <v/>
      </c>
      <c r="G4442" s="9" t="str">
        <f>IF(DADOS!F4442="","",DADOS!F4442)</f>
        <v/>
      </c>
      <c r="K4442" s="6" t="str">
        <f t="shared" si="350"/>
        <v/>
      </c>
      <c r="L4442" s="7" t="str">
        <f t="shared" si="351"/>
        <v/>
      </c>
      <c r="M4442" s="7" t="str">
        <f t="shared" si="348"/>
        <v/>
      </c>
      <c r="N4442" s="7" t="str">
        <f t="shared" si="352"/>
        <v/>
      </c>
      <c r="O4442" s="8"/>
      <c r="P4442" s="26"/>
      <c r="S4442" s="10" t="str">
        <f t="shared" si="349"/>
        <v/>
      </c>
    </row>
    <row r="4443" spans="5:19" x14ac:dyDescent="0.3">
      <c r="E4443" s="9" t="str">
        <f>IF(DADOS!C4443="","",DADOS!C4443)</f>
        <v/>
      </c>
      <c r="F4443" s="9" t="str">
        <f>IF(DADOS!E4443="","",DADOS!E4443)</f>
        <v/>
      </c>
      <c r="G4443" s="9" t="str">
        <f>IF(DADOS!F4443="","",DADOS!F4443)</f>
        <v/>
      </c>
      <c r="K4443" s="6" t="str">
        <f t="shared" si="350"/>
        <v/>
      </c>
      <c r="L4443" s="7" t="str">
        <f t="shared" si="351"/>
        <v/>
      </c>
      <c r="M4443" s="7" t="str">
        <f t="shared" si="348"/>
        <v/>
      </c>
      <c r="N4443" s="7" t="str">
        <f t="shared" si="352"/>
        <v/>
      </c>
      <c r="O4443" s="8"/>
      <c r="P4443" s="26"/>
      <c r="S4443" s="10" t="str">
        <f t="shared" si="349"/>
        <v/>
      </c>
    </row>
    <row r="4444" spans="5:19" x14ac:dyDescent="0.3">
      <c r="E4444" s="9" t="str">
        <f>IF(DADOS!C4444="","",DADOS!C4444)</f>
        <v/>
      </c>
      <c r="F4444" s="9" t="str">
        <f>IF(DADOS!E4444="","",DADOS!E4444)</f>
        <v/>
      </c>
      <c r="G4444" s="9" t="str">
        <f>IF(DADOS!F4444="","",DADOS!F4444)</f>
        <v/>
      </c>
      <c r="K4444" s="6" t="str">
        <f t="shared" si="350"/>
        <v/>
      </c>
      <c r="L4444" s="7" t="str">
        <f t="shared" si="351"/>
        <v/>
      </c>
      <c r="M4444" s="7" t="str">
        <f t="shared" si="348"/>
        <v/>
      </c>
      <c r="N4444" s="7" t="str">
        <f t="shared" si="352"/>
        <v/>
      </c>
      <c r="O4444" s="8"/>
      <c r="P4444" s="26"/>
      <c r="S4444" s="10" t="str">
        <f t="shared" si="349"/>
        <v/>
      </c>
    </row>
    <row r="4445" spans="5:19" x14ac:dyDescent="0.3">
      <c r="E4445" s="9" t="str">
        <f>IF(DADOS!C4445="","",DADOS!C4445)</f>
        <v/>
      </c>
      <c r="F4445" s="9" t="str">
        <f>IF(DADOS!E4445="","",DADOS!E4445)</f>
        <v/>
      </c>
      <c r="G4445" s="9" t="str">
        <f>IF(DADOS!F4445="","",DADOS!F4445)</f>
        <v/>
      </c>
      <c r="K4445" s="6" t="str">
        <f t="shared" si="350"/>
        <v/>
      </c>
      <c r="L4445" s="7" t="str">
        <f t="shared" si="351"/>
        <v/>
      </c>
      <c r="M4445" s="7" t="str">
        <f t="shared" si="348"/>
        <v/>
      </c>
      <c r="N4445" s="7" t="str">
        <f t="shared" si="352"/>
        <v/>
      </c>
      <c r="O4445" s="8"/>
      <c r="P4445" s="26"/>
      <c r="S4445" s="10" t="str">
        <f t="shared" si="349"/>
        <v/>
      </c>
    </row>
    <row r="4446" spans="5:19" x14ac:dyDescent="0.3">
      <c r="E4446" s="9" t="str">
        <f>IF(DADOS!C4446="","",DADOS!C4446)</f>
        <v/>
      </c>
      <c r="F4446" s="9" t="str">
        <f>IF(DADOS!E4446="","",DADOS!E4446)</f>
        <v/>
      </c>
      <c r="G4446" s="9" t="str">
        <f>IF(DADOS!F4446="","",DADOS!F4446)</f>
        <v/>
      </c>
      <c r="K4446" s="6" t="str">
        <f t="shared" si="350"/>
        <v/>
      </c>
      <c r="L4446" s="7" t="str">
        <f t="shared" si="351"/>
        <v/>
      </c>
      <c r="M4446" s="7" t="str">
        <f t="shared" si="348"/>
        <v/>
      </c>
      <c r="N4446" s="7" t="str">
        <f t="shared" si="352"/>
        <v/>
      </c>
      <c r="O4446" s="8"/>
      <c r="P4446" s="26"/>
      <c r="S4446" s="10" t="str">
        <f t="shared" si="349"/>
        <v/>
      </c>
    </row>
    <row r="4447" spans="5:19" x14ac:dyDescent="0.3">
      <c r="E4447" s="9" t="str">
        <f>IF(DADOS!C4447="","",DADOS!C4447)</f>
        <v/>
      </c>
      <c r="F4447" s="9" t="str">
        <f>IF(DADOS!E4447="","",DADOS!E4447)</f>
        <v/>
      </c>
      <c r="G4447" s="9" t="str">
        <f>IF(DADOS!F4447="","",DADOS!F4447)</f>
        <v/>
      </c>
      <c r="K4447" s="6" t="str">
        <f t="shared" si="350"/>
        <v/>
      </c>
      <c r="L4447" s="7" t="str">
        <f t="shared" si="351"/>
        <v/>
      </c>
      <c r="M4447" s="7" t="str">
        <f t="shared" si="348"/>
        <v/>
      </c>
      <c r="N4447" s="7" t="str">
        <f t="shared" si="352"/>
        <v/>
      </c>
      <c r="O4447" s="8"/>
      <c r="P4447" s="26"/>
      <c r="S4447" s="10" t="str">
        <f t="shared" si="349"/>
        <v/>
      </c>
    </row>
    <row r="4448" spans="5:19" x14ac:dyDescent="0.3">
      <c r="E4448" s="9" t="str">
        <f>IF(DADOS!C4448="","",DADOS!C4448)</f>
        <v/>
      </c>
      <c r="F4448" s="9" t="str">
        <f>IF(DADOS!E4448="","",DADOS!E4448)</f>
        <v/>
      </c>
      <c r="G4448" s="9" t="str">
        <f>IF(DADOS!F4448="","",DADOS!F4448)</f>
        <v/>
      </c>
      <c r="K4448" s="6" t="str">
        <f t="shared" si="350"/>
        <v/>
      </c>
      <c r="L4448" s="7" t="str">
        <f t="shared" si="351"/>
        <v/>
      </c>
      <c r="M4448" s="7" t="str">
        <f t="shared" si="348"/>
        <v/>
      </c>
      <c r="N4448" s="7" t="str">
        <f t="shared" si="352"/>
        <v/>
      </c>
      <c r="O4448" s="8"/>
      <c r="P4448" s="26"/>
      <c r="S4448" s="10" t="str">
        <f t="shared" si="349"/>
        <v/>
      </c>
    </row>
    <row r="4449" spans="5:19" x14ac:dyDescent="0.3">
      <c r="E4449" s="9" t="str">
        <f>IF(DADOS!C4449="","",DADOS!C4449)</f>
        <v/>
      </c>
      <c r="F4449" s="9" t="str">
        <f>IF(DADOS!E4449="","",DADOS!E4449)</f>
        <v/>
      </c>
      <c r="G4449" s="9" t="str">
        <f>IF(DADOS!F4449="","",DADOS!F4449)</f>
        <v/>
      </c>
      <c r="K4449" s="6" t="str">
        <f t="shared" si="350"/>
        <v/>
      </c>
      <c r="L4449" s="7" t="str">
        <f t="shared" si="351"/>
        <v/>
      </c>
      <c r="M4449" s="7" t="str">
        <f t="shared" si="348"/>
        <v/>
      </c>
      <c r="N4449" s="7" t="str">
        <f t="shared" si="352"/>
        <v/>
      </c>
      <c r="O4449" s="8"/>
      <c r="P4449" s="26"/>
      <c r="S4449" s="10" t="str">
        <f t="shared" si="349"/>
        <v/>
      </c>
    </row>
    <row r="4450" spans="5:19" x14ac:dyDescent="0.3">
      <c r="E4450" s="9" t="str">
        <f>IF(DADOS!C4450="","",DADOS!C4450)</f>
        <v/>
      </c>
      <c r="F4450" s="9" t="str">
        <f>IF(DADOS!E4450="","",DADOS!E4450)</f>
        <v/>
      </c>
      <c r="G4450" s="9" t="str">
        <f>IF(DADOS!F4450="","",DADOS!F4450)</f>
        <v/>
      </c>
      <c r="K4450" s="6" t="str">
        <f t="shared" si="350"/>
        <v/>
      </c>
      <c r="L4450" s="7" t="str">
        <f t="shared" si="351"/>
        <v/>
      </c>
      <c r="M4450" s="7" t="str">
        <f t="shared" si="348"/>
        <v/>
      </c>
      <c r="N4450" s="7" t="str">
        <f t="shared" si="352"/>
        <v/>
      </c>
      <c r="O4450" s="8"/>
      <c r="P4450" s="26"/>
      <c r="S4450" s="10" t="str">
        <f t="shared" si="349"/>
        <v/>
      </c>
    </row>
    <row r="4451" spans="5:19" x14ac:dyDescent="0.3">
      <c r="E4451" s="9" t="str">
        <f>IF(DADOS!C4451="","",DADOS!C4451)</f>
        <v/>
      </c>
      <c r="F4451" s="9" t="str">
        <f>IF(DADOS!E4451="","",DADOS!E4451)</f>
        <v/>
      </c>
      <c r="G4451" s="9" t="str">
        <f>IF(DADOS!F4451="","",DADOS!F4451)</f>
        <v/>
      </c>
      <c r="K4451" s="6" t="str">
        <f t="shared" si="350"/>
        <v/>
      </c>
      <c r="L4451" s="7" t="str">
        <f t="shared" si="351"/>
        <v/>
      </c>
      <c r="M4451" s="7" t="str">
        <f t="shared" si="348"/>
        <v/>
      </c>
      <c r="N4451" s="7" t="str">
        <f t="shared" si="352"/>
        <v/>
      </c>
      <c r="O4451" s="8"/>
      <c r="P4451" s="26"/>
      <c r="S4451" s="10" t="str">
        <f t="shared" si="349"/>
        <v/>
      </c>
    </row>
    <row r="4452" spans="5:19" x14ac:dyDescent="0.3">
      <c r="E4452" s="9" t="str">
        <f>IF(DADOS!C4452="","",DADOS!C4452)</f>
        <v/>
      </c>
      <c r="F4452" s="9" t="str">
        <f>IF(DADOS!E4452="","",DADOS!E4452)</f>
        <v/>
      </c>
      <c r="G4452" s="9" t="str">
        <f>IF(DADOS!F4452="","",DADOS!F4452)</f>
        <v/>
      </c>
      <c r="K4452" s="6" t="str">
        <f t="shared" si="350"/>
        <v/>
      </c>
      <c r="L4452" s="7" t="str">
        <f t="shared" si="351"/>
        <v/>
      </c>
      <c r="M4452" s="7" t="str">
        <f t="shared" si="348"/>
        <v/>
      </c>
      <c r="N4452" s="7" t="str">
        <f t="shared" si="352"/>
        <v/>
      </c>
      <c r="O4452" s="8"/>
      <c r="P4452" s="26"/>
      <c r="S4452" s="10" t="str">
        <f t="shared" si="349"/>
        <v/>
      </c>
    </row>
    <row r="4453" spans="5:19" x14ac:dyDescent="0.3">
      <c r="E4453" s="9" t="str">
        <f>IF(DADOS!C4453="","",DADOS!C4453)</f>
        <v/>
      </c>
      <c r="F4453" s="9" t="str">
        <f>IF(DADOS!E4453="","",DADOS!E4453)</f>
        <v/>
      </c>
      <c r="G4453" s="9" t="str">
        <f>IF(DADOS!F4453="","",DADOS!F4453)</f>
        <v/>
      </c>
      <c r="K4453" s="6" t="str">
        <f t="shared" si="350"/>
        <v/>
      </c>
      <c r="L4453" s="7" t="str">
        <f t="shared" si="351"/>
        <v/>
      </c>
      <c r="M4453" s="7" t="str">
        <f t="shared" si="348"/>
        <v/>
      </c>
      <c r="N4453" s="7" t="str">
        <f t="shared" si="352"/>
        <v/>
      </c>
      <c r="O4453" s="8"/>
      <c r="P4453" s="26"/>
      <c r="S4453" s="10" t="str">
        <f t="shared" si="349"/>
        <v/>
      </c>
    </row>
    <row r="4454" spans="5:19" x14ac:dyDescent="0.3">
      <c r="E4454" s="9" t="str">
        <f>IF(DADOS!C4454="","",DADOS!C4454)</f>
        <v/>
      </c>
      <c r="F4454" s="9" t="str">
        <f>IF(DADOS!E4454="","",DADOS!E4454)</f>
        <v/>
      </c>
      <c r="G4454" s="9" t="str">
        <f>IF(DADOS!F4454="","",DADOS!F4454)</f>
        <v/>
      </c>
      <c r="K4454" s="6" t="str">
        <f t="shared" si="350"/>
        <v/>
      </c>
      <c r="L4454" s="7" t="str">
        <f t="shared" si="351"/>
        <v/>
      </c>
      <c r="M4454" s="7" t="str">
        <f t="shared" si="348"/>
        <v/>
      </c>
      <c r="N4454" s="7" t="str">
        <f t="shared" si="352"/>
        <v/>
      </c>
      <c r="O4454" s="8"/>
      <c r="P4454" s="26"/>
      <c r="S4454" s="10" t="str">
        <f t="shared" si="349"/>
        <v/>
      </c>
    </row>
    <row r="4455" spans="5:19" x14ac:dyDescent="0.3">
      <c r="E4455" s="9" t="str">
        <f>IF(DADOS!C4455="","",DADOS!C4455)</f>
        <v/>
      </c>
      <c r="F4455" s="9" t="str">
        <f>IF(DADOS!E4455="","",DADOS!E4455)</f>
        <v/>
      </c>
      <c r="G4455" s="9" t="str">
        <f>IF(DADOS!F4455="","",DADOS!F4455)</f>
        <v/>
      </c>
      <c r="K4455" s="6" t="str">
        <f t="shared" si="350"/>
        <v/>
      </c>
      <c r="L4455" s="7" t="str">
        <f t="shared" si="351"/>
        <v/>
      </c>
      <c r="M4455" s="7" t="str">
        <f t="shared" si="348"/>
        <v/>
      </c>
      <c r="N4455" s="7" t="str">
        <f t="shared" si="352"/>
        <v/>
      </c>
      <c r="O4455" s="8"/>
      <c r="P4455" s="26"/>
      <c r="S4455" s="10" t="str">
        <f t="shared" si="349"/>
        <v/>
      </c>
    </row>
    <row r="4456" spans="5:19" x14ac:dyDescent="0.3">
      <c r="E4456" s="9" t="str">
        <f>IF(DADOS!C4456="","",DADOS!C4456)</f>
        <v/>
      </c>
      <c r="F4456" s="9" t="str">
        <f>IF(DADOS!E4456="","",DADOS!E4456)</f>
        <v/>
      </c>
      <c r="G4456" s="9" t="str">
        <f>IF(DADOS!F4456="","",DADOS!F4456)</f>
        <v/>
      </c>
      <c r="K4456" s="6" t="str">
        <f t="shared" si="350"/>
        <v/>
      </c>
      <c r="L4456" s="7" t="str">
        <f t="shared" si="351"/>
        <v/>
      </c>
      <c r="M4456" s="7" t="str">
        <f t="shared" si="348"/>
        <v/>
      </c>
      <c r="N4456" s="7" t="str">
        <f t="shared" si="352"/>
        <v/>
      </c>
      <c r="O4456" s="8"/>
      <c r="P4456" s="26"/>
      <c r="S4456" s="10" t="str">
        <f t="shared" si="349"/>
        <v/>
      </c>
    </row>
    <row r="4457" spans="5:19" x14ac:dyDescent="0.3">
      <c r="E4457" s="9" t="str">
        <f>IF(DADOS!C4457="","",DADOS!C4457)</f>
        <v/>
      </c>
      <c r="F4457" s="9" t="str">
        <f>IF(DADOS!E4457="","",DADOS!E4457)</f>
        <v/>
      </c>
      <c r="G4457" s="9" t="str">
        <f>IF(DADOS!F4457="","",DADOS!F4457)</f>
        <v/>
      </c>
      <c r="K4457" s="6" t="str">
        <f t="shared" si="350"/>
        <v/>
      </c>
      <c r="L4457" s="7" t="str">
        <f t="shared" si="351"/>
        <v/>
      </c>
      <c r="M4457" s="7" t="str">
        <f t="shared" si="348"/>
        <v/>
      </c>
      <c r="N4457" s="7" t="str">
        <f t="shared" si="352"/>
        <v/>
      </c>
      <c r="O4457" s="8"/>
      <c r="P4457" s="26"/>
      <c r="S4457" s="10" t="str">
        <f t="shared" si="349"/>
        <v/>
      </c>
    </row>
    <row r="4458" spans="5:19" x14ac:dyDescent="0.3">
      <c r="E4458" s="9" t="str">
        <f>IF(DADOS!C4458="","",DADOS!C4458)</f>
        <v/>
      </c>
      <c r="F4458" s="9" t="str">
        <f>IF(DADOS!E4458="","",DADOS!E4458)</f>
        <v/>
      </c>
      <c r="G4458" s="9" t="str">
        <f>IF(DADOS!F4458="","",DADOS!F4458)</f>
        <v/>
      </c>
      <c r="K4458" s="6" t="str">
        <f t="shared" si="350"/>
        <v/>
      </c>
      <c r="L4458" s="7" t="str">
        <f t="shared" si="351"/>
        <v/>
      </c>
      <c r="M4458" s="7" t="str">
        <f t="shared" si="348"/>
        <v/>
      </c>
      <c r="N4458" s="7" t="str">
        <f t="shared" si="352"/>
        <v/>
      </c>
      <c r="O4458" s="8"/>
      <c r="P4458" s="26"/>
      <c r="S4458" s="10" t="str">
        <f t="shared" si="349"/>
        <v/>
      </c>
    </row>
    <row r="4459" spans="5:19" x14ac:dyDescent="0.3">
      <c r="E4459" s="9" t="str">
        <f>IF(DADOS!C4459="","",DADOS!C4459)</f>
        <v/>
      </c>
      <c r="F4459" s="9" t="str">
        <f>IF(DADOS!E4459="","",DADOS!E4459)</f>
        <v/>
      </c>
      <c r="G4459" s="9" t="str">
        <f>IF(DADOS!F4459="","",DADOS!F4459)</f>
        <v/>
      </c>
      <c r="K4459" s="6" t="str">
        <f t="shared" si="350"/>
        <v/>
      </c>
      <c r="L4459" s="7" t="str">
        <f t="shared" si="351"/>
        <v/>
      </c>
      <c r="M4459" s="7" t="str">
        <f t="shared" si="348"/>
        <v/>
      </c>
      <c r="N4459" s="7" t="str">
        <f t="shared" si="352"/>
        <v/>
      </c>
      <c r="O4459" s="8"/>
      <c r="P4459" s="26"/>
      <c r="S4459" s="10" t="str">
        <f t="shared" si="349"/>
        <v/>
      </c>
    </row>
    <row r="4460" spans="5:19" x14ac:dyDescent="0.3">
      <c r="E4460" s="9" t="str">
        <f>IF(DADOS!C4460="","",DADOS!C4460)</f>
        <v/>
      </c>
      <c r="F4460" s="9" t="str">
        <f>IF(DADOS!E4460="","",DADOS!E4460)</f>
        <v/>
      </c>
      <c r="G4460" s="9" t="str">
        <f>IF(DADOS!F4460="","",DADOS!F4460)</f>
        <v/>
      </c>
      <c r="K4460" s="6" t="str">
        <f t="shared" si="350"/>
        <v/>
      </c>
      <c r="L4460" s="7" t="str">
        <f t="shared" si="351"/>
        <v/>
      </c>
      <c r="M4460" s="7" t="str">
        <f t="shared" si="348"/>
        <v/>
      </c>
      <c r="N4460" s="7" t="str">
        <f t="shared" si="352"/>
        <v/>
      </c>
      <c r="O4460" s="8"/>
      <c r="P4460" s="26"/>
      <c r="S4460" s="10" t="str">
        <f t="shared" si="349"/>
        <v/>
      </c>
    </row>
    <row r="4461" spans="5:19" x14ac:dyDescent="0.3">
      <c r="E4461" s="9" t="str">
        <f>IF(DADOS!C4461="","",DADOS!C4461)</f>
        <v/>
      </c>
      <c r="F4461" s="9" t="str">
        <f>IF(DADOS!E4461="","",DADOS!E4461)</f>
        <v/>
      </c>
      <c r="G4461" s="9" t="str">
        <f>IF(DADOS!F4461="","",DADOS!F4461)</f>
        <v/>
      </c>
      <c r="K4461" s="6" t="str">
        <f t="shared" si="350"/>
        <v/>
      </c>
      <c r="L4461" s="7" t="str">
        <f t="shared" si="351"/>
        <v/>
      </c>
      <c r="M4461" s="7" t="str">
        <f t="shared" si="348"/>
        <v/>
      </c>
      <c r="N4461" s="7" t="str">
        <f t="shared" si="352"/>
        <v/>
      </c>
      <c r="O4461" s="8"/>
      <c r="P4461" s="26"/>
      <c r="S4461" s="10" t="str">
        <f t="shared" si="349"/>
        <v/>
      </c>
    </row>
    <row r="4462" spans="5:19" x14ac:dyDescent="0.3">
      <c r="E4462" s="9" t="str">
        <f>IF(DADOS!C4462="","",DADOS!C4462)</f>
        <v/>
      </c>
      <c r="F4462" s="9" t="str">
        <f>IF(DADOS!E4462="","",DADOS!E4462)</f>
        <v/>
      </c>
      <c r="G4462" s="9" t="str">
        <f>IF(DADOS!F4462="","",DADOS!F4462)</f>
        <v/>
      </c>
      <c r="K4462" s="6" t="str">
        <f t="shared" si="350"/>
        <v/>
      </c>
      <c r="L4462" s="7" t="str">
        <f t="shared" si="351"/>
        <v/>
      </c>
      <c r="M4462" s="7" t="str">
        <f t="shared" si="348"/>
        <v/>
      </c>
      <c r="N4462" s="7" t="str">
        <f t="shared" si="352"/>
        <v/>
      </c>
      <c r="O4462" s="8"/>
      <c r="P4462" s="26"/>
      <c r="S4462" s="10" t="str">
        <f t="shared" si="349"/>
        <v/>
      </c>
    </row>
    <row r="4463" spans="5:19" x14ac:dyDescent="0.3">
      <c r="E4463" s="9" t="str">
        <f>IF(DADOS!C4463="","",DADOS!C4463)</f>
        <v/>
      </c>
      <c r="F4463" s="9" t="str">
        <f>IF(DADOS!E4463="","",DADOS!E4463)</f>
        <v/>
      </c>
      <c r="G4463" s="9" t="str">
        <f>IF(DADOS!F4463="","",DADOS!F4463)</f>
        <v/>
      </c>
      <c r="K4463" s="6" t="str">
        <f t="shared" si="350"/>
        <v/>
      </c>
      <c r="L4463" s="7" t="str">
        <f t="shared" si="351"/>
        <v/>
      </c>
      <c r="M4463" s="7" t="str">
        <f t="shared" si="348"/>
        <v/>
      </c>
      <c r="N4463" s="7" t="str">
        <f t="shared" si="352"/>
        <v/>
      </c>
      <c r="O4463" s="8"/>
      <c r="P4463" s="26"/>
      <c r="S4463" s="10" t="str">
        <f t="shared" si="349"/>
        <v/>
      </c>
    </row>
    <row r="4464" spans="5:19" x14ac:dyDescent="0.3">
      <c r="E4464" s="9" t="str">
        <f>IF(DADOS!C4464="","",DADOS!C4464)</f>
        <v/>
      </c>
      <c r="F4464" s="9" t="str">
        <f>IF(DADOS!E4464="","",DADOS!E4464)</f>
        <v/>
      </c>
      <c r="G4464" s="9" t="str">
        <f>IF(DADOS!F4464="","",DADOS!F4464)</f>
        <v/>
      </c>
      <c r="K4464" s="6" t="str">
        <f t="shared" si="350"/>
        <v/>
      </c>
      <c r="L4464" s="7" t="str">
        <f t="shared" si="351"/>
        <v/>
      </c>
      <c r="M4464" s="7" t="str">
        <f t="shared" si="348"/>
        <v/>
      </c>
      <c r="N4464" s="7" t="str">
        <f t="shared" si="352"/>
        <v/>
      </c>
      <c r="O4464" s="8"/>
      <c r="P4464" s="26"/>
      <c r="S4464" s="10" t="str">
        <f t="shared" si="349"/>
        <v/>
      </c>
    </row>
    <row r="4465" spans="5:19" x14ac:dyDescent="0.3">
      <c r="E4465" s="9" t="str">
        <f>IF(DADOS!C4465="","",DADOS!C4465)</f>
        <v/>
      </c>
      <c r="F4465" s="9" t="str">
        <f>IF(DADOS!E4465="","",DADOS!E4465)</f>
        <v/>
      </c>
      <c r="G4465" s="9" t="str">
        <f>IF(DADOS!F4465="","",DADOS!F4465)</f>
        <v/>
      </c>
      <c r="K4465" s="6" t="str">
        <f t="shared" si="350"/>
        <v/>
      </c>
      <c r="L4465" s="7" t="str">
        <f t="shared" si="351"/>
        <v/>
      </c>
      <c r="M4465" s="7" t="str">
        <f t="shared" si="348"/>
        <v/>
      </c>
      <c r="N4465" s="7" t="str">
        <f t="shared" si="352"/>
        <v/>
      </c>
      <c r="O4465" s="8"/>
      <c r="P4465" s="26"/>
      <c r="S4465" s="10" t="str">
        <f t="shared" si="349"/>
        <v/>
      </c>
    </row>
    <row r="4466" spans="5:19" x14ac:dyDescent="0.3">
      <c r="E4466" s="9" t="str">
        <f>IF(DADOS!C4466="","",DADOS!C4466)</f>
        <v/>
      </c>
      <c r="F4466" s="9" t="str">
        <f>IF(DADOS!E4466="","",DADOS!E4466)</f>
        <v/>
      </c>
      <c r="G4466" s="9" t="str">
        <f>IF(DADOS!F4466="","",DADOS!F4466)</f>
        <v/>
      </c>
      <c r="K4466" s="6" t="str">
        <f t="shared" si="350"/>
        <v/>
      </c>
      <c r="L4466" s="7" t="str">
        <f t="shared" si="351"/>
        <v/>
      </c>
      <c r="M4466" s="7" t="str">
        <f t="shared" si="348"/>
        <v/>
      </c>
      <c r="N4466" s="7" t="str">
        <f t="shared" si="352"/>
        <v/>
      </c>
      <c r="O4466" s="8"/>
      <c r="P4466" s="26"/>
      <c r="S4466" s="10" t="str">
        <f t="shared" si="349"/>
        <v/>
      </c>
    </row>
    <row r="4467" spans="5:19" x14ac:dyDescent="0.3">
      <c r="E4467" s="9" t="str">
        <f>IF(DADOS!C4467="","",DADOS!C4467)</f>
        <v/>
      </c>
      <c r="F4467" s="9" t="str">
        <f>IF(DADOS!E4467="","",DADOS!E4467)</f>
        <v/>
      </c>
      <c r="G4467" s="9" t="str">
        <f>IF(DADOS!F4467="","",DADOS!F4467)</f>
        <v/>
      </c>
      <c r="K4467" s="6" t="str">
        <f t="shared" si="350"/>
        <v/>
      </c>
      <c r="L4467" s="7" t="str">
        <f t="shared" si="351"/>
        <v/>
      </c>
      <c r="M4467" s="7" t="str">
        <f t="shared" si="348"/>
        <v/>
      </c>
      <c r="N4467" s="7" t="str">
        <f t="shared" si="352"/>
        <v/>
      </c>
      <c r="O4467" s="8"/>
      <c r="P4467" s="26"/>
      <c r="S4467" s="10" t="str">
        <f t="shared" si="349"/>
        <v/>
      </c>
    </row>
    <row r="4468" spans="5:19" x14ac:dyDescent="0.3">
      <c r="E4468" s="9" t="str">
        <f>IF(DADOS!C4468="","",DADOS!C4468)</f>
        <v/>
      </c>
      <c r="F4468" s="9" t="str">
        <f>IF(DADOS!E4468="","",DADOS!E4468)</f>
        <v/>
      </c>
      <c r="G4468" s="9" t="str">
        <f>IF(DADOS!F4468="","",DADOS!F4468)</f>
        <v/>
      </c>
      <c r="K4468" s="6" t="str">
        <f t="shared" si="350"/>
        <v/>
      </c>
      <c r="L4468" s="7" t="str">
        <f t="shared" si="351"/>
        <v/>
      </c>
      <c r="M4468" s="7" t="str">
        <f t="shared" si="348"/>
        <v/>
      </c>
      <c r="N4468" s="7" t="str">
        <f t="shared" si="352"/>
        <v/>
      </c>
      <c r="O4468" s="8"/>
      <c r="P4468" s="26"/>
      <c r="S4468" s="10" t="str">
        <f t="shared" si="349"/>
        <v/>
      </c>
    </row>
    <row r="4469" spans="5:19" x14ac:dyDescent="0.3">
      <c r="E4469" s="9" t="str">
        <f>IF(DADOS!C4469="","",DADOS!C4469)</f>
        <v/>
      </c>
      <c r="F4469" s="9" t="str">
        <f>IF(DADOS!E4469="","",DADOS!E4469)</f>
        <v/>
      </c>
      <c r="G4469" s="9" t="str">
        <f>IF(DADOS!F4469="","",DADOS!F4469)</f>
        <v/>
      </c>
      <c r="K4469" s="6" t="str">
        <f t="shared" si="350"/>
        <v/>
      </c>
      <c r="L4469" s="7" t="str">
        <f t="shared" si="351"/>
        <v/>
      </c>
      <c r="M4469" s="7" t="str">
        <f t="shared" si="348"/>
        <v/>
      </c>
      <c r="N4469" s="7" t="str">
        <f t="shared" si="352"/>
        <v/>
      </c>
      <c r="O4469" s="8"/>
      <c r="P4469" s="26"/>
      <c r="S4469" s="10" t="str">
        <f t="shared" si="349"/>
        <v/>
      </c>
    </row>
    <row r="4470" spans="5:19" x14ac:dyDescent="0.3">
      <c r="E4470" s="9" t="str">
        <f>IF(DADOS!C4470="","",DADOS!C4470)</f>
        <v/>
      </c>
      <c r="F4470" s="9" t="str">
        <f>IF(DADOS!E4470="","",DADOS!E4470)</f>
        <v/>
      </c>
      <c r="G4470" s="9" t="str">
        <f>IF(DADOS!F4470="","",DADOS!F4470)</f>
        <v/>
      </c>
      <c r="K4470" s="6" t="str">
        <f t="shared" si="350"/>
        <v/>
      </c>
      <c r="L4470" s="7" t="str">
        <f t="shared" si="351"/>
        <v/>
      </c>
      <c r="M4470" s="7" t="str">
        <f t="shared" si="348"/>
        <v/>
      </c>
      <c r="N4470" s="7" t="str">
        <f t="shared" si="352"/>
        <v/>
      </c>
      <c r="O4470" s="8"/>
      <c r="P4470" s="26"/>
      <c r="S4470" s="10" t="str">
        <f t="shared" si="349"/>
        <v/>
      </c>
    </row>
    <row r="4471" spans="5:19" x14ac:dyDescent="0.3">
      <c r="E4471" s="9" t="str">
        <f>IF(DADOS!C4471="","",DADOS!C4471)</f>
        <v/>
      </c>
      <c r="F4471" s="9" t="str">
        <f>IF(DADOS!E4471="","",DADOS!E4471)</f>
        <v/>
      </c>
      <c r="G4471" s="9" t="str">
        <f>IF(DADOS!F4471="","",DADOS!F4471)</f>
        <v/>
      </c>
      <c r="K4471" s="6" t="str">
        <f t="shared" si="350"/>
        <v/>
      </c>
      <c r="L4471" s="7" t="str">
        <f t="shared" si="351"/>
        <v/>
      </c>
      <c r="M4471" s="7" t="str">
        <f t="shared" si="348"/>
        <v/>
      </c>
      <c r="N4471" s="7" t="str">
        <f t="shared" si="352"/>
        <v/>
      </c>
      <c r="O4471" s="8"/>
      <c r="P4471" s="26"/>
      <c r="S4471" s="10" t="str">
        <f t="shared" si="349"/>
        <v/>
      </c>
    </row>
    <row r="4472" spans="5:19" x14ac:dyDescent="0.3">
      <c r="E4472" s="9" t="str">
        <f>IF(DADOS!C4472="","",DADOS!C4472)</f>
        <v/>
      </c>
      <c r="F4472" s="9" t="str">
        <f>IF(DADOS!E4472="","",DADOS!E4472)</f>
        <v/>
      </c>
      <c r="G4472" s="9" t="str">
        <f>IF(DADOS!F4472="","",DADOS!F4472)</f>
        <v/>
      </c>
      <c r="K4472" s="6" t="str">
        <f t="shared" si="350"/>
        <v/>
      </c>
      <c r="L4472" s="7" t="str">
        <f t="shared" si="351"/>
        <v/>
      </c>
      <c r="M4472" s="7" t="str">
        <f t="shared" si="348"/>
        <v/>
      </c>
      <c r="N4472" s="7" t="str">
        <f t="shared" si="352"/>
        <v/>
      </c>
      <c r="O4472" s="8"/>
      <c r="P4472" s="26"/>
      <c r="S4472" s="10" t="str">
        <f t="shared" si="349"/>
        <v/>
      </c>
    </row>
    <row r="4473" spans="5:19" x14ac:dyDescent="0.3">
      <c r="E4473" s="9" t="str">
        <f>IF(DADOS!C4473="","",DADOS!C4473)</f>
        <v/>
      </c>
      <c r="F4473" s="9" t="str">
        <f>IF(DADOS!E4473="","",DADOS!E4473)</f>
        <v/>
      </c>
      <c r="G4473" s="9" t="str">
        <f>IF(DADOS!F4473="","",DADOS!F4473)</f>
        <v/>
      </c>
      <c r="K4473" s="6" t="str">
        <f t="shared" si="350"/>
        <v/>
      </c>
      <c r="L4473" s="7" t="str">
        <f t="shared" si="351"/>
        <v/>
      </c>
      <c r="M4473" s="7" t="str">
        <f t="shared" si="348"/>
        <v/>
      </c>
      <c r="N4473" s="7" t="str">
        <f t="shared" si="352"/>
        <v/>
      </c>
      <c r="O4473" s="8"/>
      <c r="P4473" s="26"/>
      <c r="S4473" s="10" t="str">
        <f t="shared" si="349"/>
        <v/>
      </c>
    </row>
    <row r="4474" spans="5:19" x14ac:dyDescent="0.3">
      <c r="E4474" s="9" t="str">
        <f>IF(DADOS!C4474="","",DADOS!C4474)</f>
        <v/>
      </c>
      <c r="F4474" s="9" t="str">
        <f>IF(DADOS!E4474="","",DADOS!E4474)</f>
        <v/>
      </c>
      <c r="G4474" s="9" t="str">
        <f>IF(DADOS!F4474="","",DADOS!F4474)</f>
        <v/>
      </c>
      <c r="K4474" s="6" t="str">
        <f t="shared" si="350"/>
        <v/>
      </c>
      <c r="L4474" s="7" t="str">
        <f t="shared" si="351"/>
        <v/>
      </c>
      <c r="M4474" s="7" t="str">
        <f t="shared" si="348"/>
        <v/>
      </c>
      <c r="N4474" s="7" t="str">
        <f t="shared" si="352"/>
        <v/>
      </c>
      <c r="O4474" s="8"/>
      <c r="P4474" s="26"/>
      <c r="S4474" s="10" t="str">
        <f t="shared" si="349"/>
        <v/>
      </c>
    </row>
    <row r="4475" spans="5:19" x14ac:dyDescent="0.3">
      <c r="E4475" s="9" t="str">
        <f>IF(DADOS!C4475="","",DADOS!C4475)</f>
        <v/>
      </c>
      <c r="F4475" s="9" t="str">
        <f>IF(DADOS!E4475="","",DADOS!E4475)</f>
        <v/>
      </c>
      <c r="G4475" s="9" t="str">
        <f>IF(DADOS!F4475="","",DADOS!F4475)</f>
        <v/>
      </c>
      <c r="K4475" s="6" t="str">
        <f t="shared" si="350"/>
        <v/>
      </c>
      <c r="L4475" s="7" t="str">
        <f t="shared" si="351"/>
        <v/>
      </c>
      <c r="M4475" s="7" t="str">
        <f t="shared" si="348"/>
        <v/>
      </c>
      <c r="N4475" s="7" t="str">
        <f t="shared" si="352"/>
        <v/>
      </c>
      <c r="O4475" s="8"/>
      <c r="P4475" s="26"/>
      <c r="S4475" s="10" t="str">
        <f t="shared" si="349"/>
        <v/>
      </c>
    </row>
    <row r="4476" spans="5:19" x14ac:dyDescent="0.3">
      <c r="E4476" s="9" t="str">
        <f>IF(DADOS!C4476="","",DADOS!C4476)</f>
        <v/>
      </c>
      <c r="F4476" s="9" t="str">
        <f>IF(DADOS!E4476="","",DADOS!E4476)</f>
        <v/>
      </c>
      <c r="G4476" s="9" t="str">
        <f>IF(DADOS!F4476="","",DADOS!F4476)</f>
        <v/>
      </c>
      <c r="K4476" s="6" t="str">
        <f t="shared" si="350"/>
        <v/>
      </c>
      <c r="L4476" s="7" t="str">
        <f t="shared" si="351"/>
        <v/>
      </c>
      <c r="M4476" s="7" t="str">
        <f t="shared" si="348"/>
        <v/>
      </c>
      <c r="N4476" s="7" t="str">
        <f t="shared" si="352"/>
        <v/>
      </c>
      <c r="O4476" s="8"/>
      <c r="P4476" s="26"/>
      <c r="S4476" s="10" t="str">
        <f t="shared" si="349"/>
        <v/>
      </c>
    </row>
    <row r="4477" spans="5:19" x14ac:dyDescent="0.3">
      <c r="E4477" s="9" t="str">
        <f>IF(DADOS!C4477="","",DADOS!C4477)</f>
        <v/>
      </c>
      <c r="F4477" s="9" t="str">
        <f>IF(DADOS!E4477="","",DADOS!E4477)</f>
        <v/>
      </c>
      <c r="G4477" s="9" t="str">
        <f>IF(DADOS!F4477="","",DADOS!F4477)</f>
        <v/>
      </c>
      <c r="K4477" s="6" t="str">
        <f t="shared" si="350"/>
        <v/>
      </c>
      <c r="L4477" s="7" t="str">
        <f t="shared" si="351"/>
        <v/>
      </c>
      <c r="M4477" s="7" t="str">
        <f t="shared" si="348"/>
        <v/>
      </c>
      <c r="N4477" s="7" t="str">
        <f t="shared" si="352"/>
        <v/>
      </c>
      <c r="O4477" s="8"/>
      <c r="P4477" s="26"/>
      <c r="S4477" s="10" t="str">
        <f t="shared" si="349"/>
        <v/>
      </c>
    </row>
    <row r="4478" spans="5:19" x14ac:dyDescent="0.3">
      <c r="E4478" s="9" t="str">
        <f>IF(DADOS!C4478="","",DADOS!C4478)</f>
        <v/>
      </c>
      <c r="F4478" s="9" t="str">
        <f>IF(DADOS!E4478="","",DADOS!E4478)</f>
        <v/>
      </c>
      <c r="G4478" s="9" t="str">
        <f>IF(DADOS!F4478="","",DADOS!F4478)</f>
        <v/>
      </c>
      <c r="K4478" s="6" t="str">
        <f t="shared" si="350"/>
        <v/>
      </c>
      <c r="L4478" s="7" t="str">
        <f t="shared" si="351"/>
        <v/>
      </c>
      <c r="M4478" s="7" t="str">
        <f t="shared" si="348"/>
        <v/>
      </c>
      <c r="N4478" s="7" t="str">
        <f t="shared" si="352"/>
        <v/>
      </c>
      <c r="O4478" s="8"/>
      <c r="P4478" s="26"/>
      <c r="S4478" s="10" t="str">
        <f t="shared" si="349"/>
        <v/>
      </c>
    </row>
    <row r="4479" spans="5:19" x14ac:dyDescent="0.3">
      <c r="E4479" s="9" t="str">
        <f>IF(DADOS!C4479="","",DADOS!C4479)</f>
        <v/>
      </c>
      <c r="F4479" s="9" t="str">
        <f>IF(DADOS!E4479="","",DADOS!E4479)</f>
        <v/>
      </c>
      <c r="G4479" s="9" t="str">
        <f>IF(DADOS!F4479="","",DADOS!F4479)</f>
        <v/>
      </c>
      <c r="K4479" s="6" t="str">
        <f t="shared" si="350"/>
        <v/>
      </c>
      <c r="L4479" s="7" t="str">
        <f t="shared" si="351"/>
        <v/>
      </c>
      <c r="M4479" s="7" t="str">
        <f t="shared" si="348"/>
        <v/>
      </c>
      <c r="N4479" s="7" t="str">
        <f t="shared" si="352"/>
        <v/>
      </c>
      <c r="O4479" s="8"/>
      <c r="P4479" s="26"/>
      <c r="S4479" s="10" t="str">
        <f t="shared" si="349"/>
        <v/>
      </c>
    </row>
    <row r="4480" spans="5:19" x14ac:dyDescent="0.3">
      <c r="E4480" s="9" t="str">
        <f>IF(DADOS!C4480="","",DADOS!C4480)</f>
        <v/>
      </c>
      <c r="F4480" s="9" t="str">
        <f>IF(DADOS!E4480="","",DADOS!E4480)</f>
        <v/>
      </c>
      <c r="G4480" s="9" t="str">
        <f>IF(DADOS!F4480="","",DADOS!F4480)</f>
        <v/>
      </c>
      <c r="K4480" s="6" t="str">
        <f t="shared" si="350"/>
        <v/>
      </c>
      <c r="L4480" s="7" t="str">
        <f t="shared" si="351"/>
        <v/>
      </c>
      <c r="M4480" s="7" t="str">
        <f t="shared" si="348"/>
        <v/>
      </c>
      <c r="N4480" s="7" t="str">
        <f t="shared" si="352"/>
        <v/>
      </c>
      <c r="O4480" s="8"/>
      <c r="P4480" s="26"/>
      <c r="S4480" s="10" t="str">
        <f t="shared" si="349"/>
        <v/>
      </c>
    </row>
    <row r="4481" spans="5:19" x14ac:dyDescent="0.3">
      <c r="E4481" s="9" t="str">
        <f>IF(DADOS!C4481="","",DADOS!C4481)</f>
        <v/>
      </c>
      <c r="F4481" s="9" t="str">
        <f>IF(DADOS!E4481="","",DADOS!E4481)</f>
        <v/>
      </c>
      <c r="G4481" s="9" t="str">
        <f>IF(DADOS!F4481="","",DADOS!F4481)</f>
        <v/>
      </c>
      <c r="K4481" s="6" t="str">
        <f t="shared" si="350"/>
        <v/>
      </c>
      <c r="L4481" s="7" t="str">
        <f t="shared" si="351"/>
        <v/>
      </c>
      <c r="M4481" s="7" t="str">
        <f t="shared" si="348"/>
        <v/>
      </c>
      <c r="N4481" s="7" t="str">
        <f t="shared" si="352"/>
        <v/>
      </c>
      <c r="O4481" s="8"/>
      <c r="P4481" s="26"/>
      <c r="S4481" s="10" t="str">
        <f t="shared" si="349"/>
        <v/>
      </c>
    </row>
    <row r="4482" spans="5:19" x14ac:dyDescent="0.3">
      <c r="E4482" s="9" t="str">
        <f>IF(DADOS!C4482="","",DADOS!C4482)</f>
        <v/>
      </c>
      <c r="F4482" s="9" t="str">
        <f>IF(DADOS!E4482="","",DADOS!E4482)</f>
        <v/>
      </c>
      <c r="G4482" s="9" t="str">
        <f>IF(DADOS!F4482="","",DADOS!F4482)</f>
        <v/>
      </c>
      <c r="K4482" s="6" t="str">
        <f t="shared" si="350"/>
        <v/>
      </c>
      <c r="L4482" s="7" t="str">
        <f t="shared" si="351"/>
        <v/>
      </c>
      <c r="M4482" s="7" t="str">
        <f t="shared" si="348"/>
        <v/>
      </c>
      <c r="N4482" s="7" t="str">
        <f t="shared" si="352"/>
        <v/>
      </c>
      <c r="O4482" s="8"/>
      <c r="P4482" s="26"/>
      <c r="S4482" s="10" t="str">
        <f t="shared" si="349"/>
        <v/>
      </c>
    </row>
    <row r="4483" spans="5:19" x14ac:dyDescent="0.3">
      <c r="E4483" s="9" t="str">
        <f>IF(DADOS!C4483="","",DADOS!C4483)</f>
        <v/>
      </c>
      <c r="F4483" s="9" t="str">
        <f>IF(DADOS!E4483="","",DADOS!E4483)</f>
        <v/>
      </c>
      <c r="G4483" s="9" t="str">
        <f>IF(DADOS!F4483="","",DADOS!F4483)</f>
        <v/>
      </c>
      <c r="K4483" s="6" t="str">
        <f t="shared" si="350"/>
        <v/>
      </c>
      <c r="L4483" s="7" t="str">
        <f t="shared" si="351"/>
        <v/>
      </c>
      <c r="M4483" s="7" t="str">
        <f t="shared" ref="M4483:M4546" si="353">IF(L4483="","",L4483*G4483)</f>
        <v/>
      </c>
      <c r="N4483" s="7" t="str">
        <f t="shared" si="352"/>
        <v/>
      </c>
      <c r="O4483" s="8"/>
      <c r="P4483" s="26"/>
      <c r="S4483" s="10" t="str">
        <f t="shared" ref="S4483:S4546" si="354">IF(R4483="","",SUMIFS($N$3:$N$10000,$E$3:$E$10000,R4483))</f>
        <v/>
      </c>
    </row>
    <row r="4484" spans="5:19" x14ac:dyDescent="0.3">
      <c r="E4484" s="9" t="str">
        <f>IF(DADOS!C4484="","",DADOS!C4484)</f>
        <v/>
      </c>
      <c r="F4484" s="9" t="str">
        <f>IF(DADOS!E4484="","",DADOS!E4484)</f>
        <v/>
      </c>
      <c r="G4484" s="9" t="str">
        <f>IF(DADOS!F4484="","",DADOS!F4484)</f>
        <v/>
      </c>
      <c r="K4484" s="6" t="str">
        <f t="shared" ref="K4484:K4547" si="355">IF(F4484="","",F4484/PI())</f>
        <v/>
      </c>
      <c r="L4484" s="7" t="str">
        <f t="shared" ref="L4484:L4547" si="356">IF(K4484="","",(PI()*K4484^2)/40000)</f>
        <v/>
      </c>
      <c r="M4484" s="7" t="str">
        <f t="shared" si="353"/>
        <v/>
      </c>
      <c r="N4484" s="7" t="str">
        <f t="shared" ref="N4484:N4547" si="357">IF(M4484="","",M4484*N$1)</f>
        <v/>
      </c>
      <c r="O4484" s="8"/>
      <c r="P4484" s="26"/>
      <c r="S4484" s="10" t="str">
        <f t="shared" si="354"/>
        <v/>
      </c>
    </row>
    <row r="4485" spans="5:19" x14ac:dyDescent="0.3">
      <c r="E4485" s="9" t="str">
        <f>IF(DADOS!C4485="","",DADOS!C4485)</f>
        <v/>
      </c>
      <c r="F4485" s="9" t="str">
        <f>IF(DADOS!E4485="","",DADOS!E4485)</f>
        <v/>
      </c>
      <c r="G4485" s="9" t="str">
        <f>IF(DADOS!F4485="","",DADOS!F4485)</f>
        <v/>
      </c>
      <c r="K4485" s="6" t="str">
        <f t="shared" si="355"/>
        <v/>
      </c>
      <c r="L4485" s="7" t="str">
        <f t="shared" si="356"/>
        <v/>
      </c>
      <c r="M4485" s="7" t="str">
        <f t="shared" si="353"/>
        <v/>
      </c>
      <c r="N4485" s="7" t="str">
        <f t="shared" si="357"/>
        <v/>
      </c>
      <c r="O4485" s="8"/>
      <c r="P4485" s="26"/>
      <c r="S4485" s="10" t="str">
        <f t="shared" si="354"/>
        <v/>
      </c>
    </row>
    <row r="4486" spans="5:19" x14ac:dyDescent="0.3">
      <c r="E4486" s="9" t="str">
        <f>IF(DADOS!C4486="","",DADOS!C4486)</f>
        <v/>
      </c>
      <c r="F4486" s="9" t="str">
        <f>IF(DADOS!E4486="","",DADOS!E4486)</f>
        <v/>
      </c>
      <c r="G4486" s="9" t="str">
        <f>IF(DADOS!F4486="","",DADOS!F4486)</f>
        <v/>
      </c>
      <c r="K4486" s="6" t="str">
        <f t="shared" si="355"/>
        <v/>
      </c>
      <c r="L4486" s="7" t="str">
        <f t="shared" si="356"/>
        <v/>
      </c>
      <c r="M4486" s="7" t="str">
        <f t="shared" si="353"/>
        <v/>
      </c>
      <c r="N4486" s="7" t="str">
        <f t="shared" si="357"/>
        <v/>
      </c>
      <c r="O4486" s="8"/>
      <c r="P4486" s="26"/>
      <c r="S4486" s="10" t="str">
        <f t="shared" si="354"/>
        <v/>
      </c>
    </row>
    <row r="4487" spans="5:19" x14ac:dyDescent="0.3">
      <c r="E4487" s="9" t="str">
        <f>IF(DADOS!C4487="","",DADOS!C4487)</f>
        <v/>
      </c>
      <c r="F4487" s="9" t="str">
        <f>IF(DADOS!E4487="","",DADOS!E4487)</f>
        <v/>
      </c>
      <c r="G4487" s="9" t="str">
        <f>IF(DADOS!F4487="","",DADOS!F4487)</f>
        <v/>
      </c>
      <c r="K4487" s="6" t="str">
        <f t="shared" si="355"/>
        <v/>
      </c>
      <c r="L4487" s="7" t="str">
        <f t="shared" si="356"/>
        <v/>
      </c>
      <c r="M4487" s="7" t="str">
        <f t="shared" si="353"/>
        <v/>
      </c>
      <c r="N4487" s="7" t="str">
        <f t="shared" si="357"/>
        <v/>
      </c>
      <c r="O4487" s="8"/>
      <c r="P4487" s="26"/>
      <c r="S4487" s="10" t="str">
        <f t="shared" si="354"/>
        <v/>
      </c>
    </row>
    <row r="4488" spans="5:19" x14ac:dyDescent="0.3">
      <c r="E4488" s="9" t="str">
        <f>IF(DADOS!C4488="","",DADOS!C4488)</f>
        <v/>
      </c>
      <c r="F4488" s="9" t="str">
        <f>IF(DADOS!E4488="","",DADOS!E4488)</f>
        <v/>
      </c>
      <c r="G4488" s="9" t="str">
        <f>IF(DADOS!F4488="","",DADOS!F4488)</f>
        <v/>
      </c>
      <c r="K4488" s="6" t="str">
        <f t="shared" si="355"/>
        <v/>
      </c>
      <c r="L4488" s="7" t="str">
        <f t="shared" si="356"/>
        <v/>
      </c>
      <c r="M4488" s="7" t="str">
        <f t="shared" si="353"/>
        <v/>
      </c>
      <c r="N4488" s="7" t="str">
        <f t="shared" si="357"/>
        <v/>
      </c>
      <c r="O4488" s="8"/>
      <c r="P4488" s="26"/>
      <c r="S4488" s="10" t="str">
        <f t="shared" si="354"/>
        <v/>
      </c>
    </row>
    <row r="4489" spans="5:19" x14ac:dyDescent="0.3">
      <c r="E4489" s="9" t="str">
        <f>IF(DADOS!C4489="","",DADOS!C4489)</f>
        <v/>
      </c>
      <c r="F4489" s="9" t="str">
        <f>IF(DADOS!E4489="","",DADOS!E4489)</f>
        <v/>
      </c>
      <c r="G4489" s="9" t="str">
        <f>IF(DADOS!F4489="","",DADOS!F4489)</f>
        <v/>
      </c>
      <c r="K4489" s="6" t="str">
        <f t="shared" si="355"/>
        <v/>
      </c>
      <c r="L4489" s="7" t="str">
        <f t="shared" si="356"/>
        <v/>
      </c>
      <c r="M4489" s="7" t="str">
        <f t="shared" si="353"/>
        <v/>
      </c>
      <c r="N4489" s="7" t="str">
        <f t="shared" si="357"/>
        <v/>
      </c>
      <c r="O4489" s="8"/>
      <c r="P4489" s="26"/>
      <c r="S4489" s="10" t="str">
        <f t="shared" si="354"/>
        <v/>
      </c>
    </row>
    <row r="4490" spans="5:19" x14ac:dyDescent="0.3">
      <c r="E4490" s="9" t="str">
        <f>IF(DADOS!C4490="","",DADOS!C4490)</f>
        <v/>
      </c>
      <c r="F4490" s="9" t="str">
        <f>IF(DADOS!E4490="","",DADOS!E4490)</f>
        <v/>
      </c>
      <c r="G4490" s="9" t="str">
        <f>IF(DADOS!F4490="","",DADOS!F4490)</f>
        <v/>
      </c>
      <c r="K4490" s="6" t="str">
        <f t="shared" si="355"/>
        <v/>
      </c>
      <c r="L4490" s="7" t="str">
        <f t="shared" si="356"/>
        <v/>
      </c>
      <c r="M4490" s="7" t="str">
        <f t="shared" si="353"/>
        <v/>
      </c>
      <c r="N4490" s="7" t="str">
        <f t="shared" si="357"/>
        <v/>
      </c>
      <c r="O4490" s="8"/>
      <c r="P4490" s="26"/>
      <c r="S4490" s="10" t="str">
        <f t="shared" si="354"/>
        <v/>
      </c>
    </row>
    <row r="4491" spans="5:19" x14ac:dyDescent="0.3">
      <c r="E4491" s="9" t="str">
        <f>IF(DADOS!C4491="","",DADOS!C4491)</f>
        <v/>
      </c>
      <c r="F4491" s="9" t="str">
        <f>IF(DADOS!E4491="","",DADOS!E4491)</f>
        <v/>
      </c>
      <c r="G4491" s="9" t="str">
        <f>IF(DADOS!F4491="","",DADOS!F4491)</f>
        <v/>
      </c>
      <c r="K4491" s="6" t="str">
        <f t="shared" si="355"/>
        <v/>
      </c>
      <c r="L4491" s="7" t="str">
        <f t="shared" si="356"/>
        <v/>
      </c>
      <c r="M4491" s="7" t="str">
        <f t="shared" si="353"/>
        <v/>
      </c>
      <c r="N4491" s="7" t="str">
        <f t="shared" si="357"/>
        <v/>
      </c>
      <c r="O4491" s="8"/>
      <c r="P4491" s="26"/>
      <c r="S4491" s="10" t="str">
        <f t="shared" si="354"/>
        <v/>
      </c>
    </row>
    <row r="4492" spans="5:19" x14ac:dyDescent="0.3">
      <c r="E4492" s="9" t="str">
        <f>IF(DADOS!C4492="","",DADOS!C4492)</f>
        <v/>
      </c>
      <c r="F4492" s="9" t="str">
        <f>IF(DADOS!E4492="","",DADOS!E4492)</f>
        <v/>
      </c>
      <c r="G4492" s="9" t="str">
        <f>IF(DADOS!F4492="","",DADOS!F4492)</f>
        <v/>
      </c>
      <c r="K4492" s="6" t="str">
        <f t="shared" si="355"/>
        <v/>
      </c>
      <c r="L4492" s="7" t="str">
        <f t="shared" si="356"/>
        <v/>
      </c>
      <c r="M4492" s="7" t="str">
        <f t="shared" si="353"/>
        <v/>
      </c>
      <c r="N4492" s="7" t="str">
        <f t="shared" si="357"/>
        <v/>
      </c>
      <c r="O4492" s="8"/>
      <c r="P4492" s="26"/>
      <c r="S4492" s="10" t="str">
        <f t="shared" si="354"/>
        <v/>
      </c>
    </row>
    <row r="4493" spans="5:19" x14ac:dyDescent="0.3">
      <c r="E4493" s="9" t="str">
        <f>IF(DADOS!C4493="","",DADOS!C4493)</f>
        <v/>
      </c>
      <c r="F4493" s="9" t="str">
        <f>IF(DADOS!E4493="","",DADOS!E4493)</f>
        <v/>
      </c>
      <c r="G4493" s="9" t="str">
        <f>IF(DADOS!F4493="","",DADOS!F4493)</f>
        <v/>
      </c>
      <c r="K4493" s="6" t="str">
        <f t="shared" si="355"/>
        <v/>
      </c>
      <c r="L4493" s="7" t="str">
        <f t="shared" si="356"/>
        <v/>
      </c>
      <c r="M4493" s="7" t="str">
        <f t="shared" si="353"/>
        <v/>
      </c>
      <c r="N4493" s="7" t="str">
        <f t="shared" si="357"/>
        <v/>
      </c>
      <c r="O4493" s="8"/>
      <c r="P4493" s="26"/>
      <c r="S4493" s="10" t="str">
        <f t="shared" si="354"/>
        <v/>
      </c>
    </row>
    <row r="4494" spans="5:19" x14ac:dyDescent="0.3">
      <c r="E4494" s="9" t="str">
        <f>IF(DADOS!C4494="","",DADOS!C4494)</f>
        <v/>
      </c>
      <c r="F4494" s="9" t="str">
        <f>IF(DADOS!E4494="","",DADOS!E4494)</f>
        <v/>
      </c>
      <c r="G4494" s="9" t="str">
        <f>IF(DADOS!F4494="","",DADOS!F4494)</f>
        <v/>
      </c>
      <c r="K4494" s="6" t="str">
        <f t="shared" si="355"/>
        <v/>
      </c>
      <c r="L4494" s="7" t="str">
        <f t="shared" si="356"/>
        <v/>
      </c>
      <c r="M4494" s="7" t="str">
        <f t="shared" si="353"/>
        <v/>
      </c>
      <c r="N4494" s="7" t="str">
        <f t="shared" si="357"/>
        <v/>
      </c>
      <c r="O4494" s="8"/>
      <c r="P4494" s="26"/>
      <c r="S4494" s="10" t="str">
        <f t="shared" si="354"/>
        <v/>
      </c>
    </row>
    <row r="4495" spans="5:19" x14ac:dyDescent="0.3">
      <c r="E4495" s="9" t="str">
        <f>IF(DADOS!C4495="","",DADOS!C4495)</f>
        <v/>
      </c>
      <c r="F4495" s="9" t="str">
        <f>IF(DADOS!E4495="","",DADOS!E4495)</f>
        <v/>
      </c>
      <c r="G4495" s="9" t="str">
        <f>IF(DADOS!F4495="","",DADOS!F4495)</f>
        <v/>
      </c>
      <c r="K4495" s="6" t="str">
        <f t="shared" si="355"/>
        <v/>
      </c>
      <c r="L4495" s="7" t="str">
        <f t="shared" si="356"/>
        <v/>
      </c>
      <c r="M4495" s="7" t="str">
        <f t="shared" si="353"/>
        <v/>
      </c>
      <c r="N4495" s="7" t="str">
        <f t="shared" si="357"/>
        <v/>
      </c>
      <c r="O4495" s="8"/>
      <c r="P4495" s="26"/>
      <c r="S4495" s="10" t="str">
        <f t="shared" si="354"/>
        <v/>
      </c>
    </row>
    <row r="4496" spans="5:19" x14ac:dyDescent="0.3">
      <c r="E4496" s="9" t="str">
        <f>IF(DADOS!C4496="","",DADOS!C4496)</f>
        <v/>
      </c>
      <c r="F4496" s="9" t="str">
        <f>IF(DADOS!E4496="","",DADOS!E4496)</f>
        <v/>
      </c>
      <c r="G4496" s="9" t="str">
        <f>IF(DADOS!F4496="","",DADOS!F4496)</f>
        <v/>
      </c>
      <c r="K4496" s="6" t="str">
        <f t="shared" si="355"/>
        <v/>
      </c>
      <c r="L4496" s="7" t="str">
        <f t="shared" si="356"/>
        <v/>
      </c>
      <c r="M4496" s="7" t="str">
        <f t="shared" si="353"/>
        <v/>
      </c>
      <c r="N4496" s="7" t="str">
        <f t="shared" si="357"/>
        <v/>
      </c>
      <c r="O4496" s="8"/>
      <c r="P4496" s="26"/>
      <c r="S4496" s="10" t="str">
        <f t="shared" si="354"/>
        <v/>
      </c>
    </row>
    <row r="4497" spans="5:19" x14ac:dyDescent="0.3">
      <c r="E4497" s="9" t="str">
        <f>IF(DADOS!C4497="","",DADOS!C4497)</f>
        <v/>
      </c>
      <c r="F4497" s="9" t="str">
        <f>IF(DADOS!E4497="","",DADOS!E4497)</f>
        <v/>
      </c>
      <c r="G4497" s="9" t="str">
        <f>IF(DADOS!F4497="","",DADOS!F4497)</f>
        <v/>
      </c>
      <c r="K4497" s="6" t="str">
        <f t="shared" si="355"/>
        <v/>
      </c>
      <c r="L4497" s="7" t="str">
        <f t="shared" si="356"/>
        <v/>
      </c>
      <c r="M4497" s="7" t="str">
        <f t="shared" si="353"/>
        <v/>
      </c>
      <c r="N4497" s="7" t="str">
        <f t="shared" si="357"/>
        <v/>
      </c>
      <c r="O4497" s="8"/>
      <c r="P4497" s="26"/>
      <c r="S4497" s="10" t="str">
        <f t="shared" si="354"/>
        <v/>
      </c>
    </row>
    <row r="4498" spans="5:19" x14ac:dyDescent="0.3">
      <c r="E4498" s="9" t="str">
        <f>IF(DADOS!C4498="","",DADOS!C4498)</f>
        <v/>
      </c>
      <c r="F4498" s="9" t="str">
        <f>IF(DADOS!E4498="","",DADOS!E4498)</f>
        <v/>
      </c>
      <c r="G4498" s="9" t="str">
        <f>IF(DADOS!F4498="","",DADOS!F4498)</f>
        <v/>
      </c>
      <c r="K4498" s="6" t="str">
        <f t="shared" si="355"/>
        <v/>
      </c>
      <c r="L4498" s="7" t="str">
        <f t="shared" si="356"/>
        <v/>
      </c>
      <c r="M4498" s="7" t="str">
        <f t="shared" si="353"/>
        <v/>
      </c>
      <c r="N4498" s="7" t="str">
        <f t="shared" si="357"/>
        <v/>
      </c>
      <c r="O4498" s="8"/>
      <c r="P4498" s="26"/>
      <c r="S4498" s="10" t="str">
        <f t="shared" si="354"/>
        <v/>
      </c>
    </row>
    <row r="4499" spans="5:19" x14ac:dyDescent="0.3">
      <c r="E4499" s="9" t="str">
        <f>IF(DADOS!C4499="","",DADOS!C4499)</f>
        <v/>
      </c>
      <c r="F4499" s="9" t="str">
        <f>IF(DADOS!E4499="","",DADOS!E4499)</f>
        <v/>
      </c>
      <c r="G4499" s="9" t="str">
        <f>IF(DADOS!F4499="","",DADOS!F4499)</f>
        <v/>
      </c>
      <c r="K4499" s="6" t="str">
        <f t="shared" si="355"/>
        <v/>
      </c>
      <c r="L4499" s="7" t="str">
        <f t="shared" si="356"/>
        <v/>
      </c>
      <c r="M4499" s="7" t="str">
        <f t="shared" si="353"/>
        <v/>
      </c>
      <c r="N4499" s="7" t="str">
        <f t="shared" si="357"/>
        <v/>
      </c>
      <c r="O4499" s="8"/>
      <c r="P4499" s="26"/>
      <c r="S4499" s="10" t="str">
        <f t="shared" si="354"/>
        <v/>
      </c>
    </row>
    <row r="4500" spans="5:19" x14ac:dyDescent="0.3">
      <c r="E4500" s="9" t="str">
        <f>IF(DADOS!C4500="","",DADOS!C4500)</f>
        <v/>
      </c>
      <c r="F4500" s="9" t="str">
        <f>IF(DADOS!E4500="","",DADOS!E4500)</f>
        <v/>
      </c>
      <c r="G4500" s="9" t="str">
        <f>IF(DADOS!F4500="","",DADOS!F4500)</f>
        <v/>
      </c>
      <c r="K4500" s="6" t="str">
        <f t="shared" si="355"/>
        <v/>
      </c>
      <c r="L4500" s="7" t="str">
        <f t="shared" si="356"/>
        <v/>
      </c>
      <c r="M4500" s="7" t="str">
        <f t="shared" si="353"/>
        <v/>
      </c>
      <c r="N4500" s="7" t="str">
        <f t="shared" si="357"/>
        <v/>
      </c>
      <c r="O4500" s="8"/>
      <c r="P4500" s="26"/>
      <c r="S4500" s="10" t="str">
        <f t="shared" si="354"/>
        <v/>
      </c>
    </row>
    <row r="4501" spans="5:19" x14ac:dyDescent="0.3">
      <c r="E4501" s="9" t="str">
        <f>IF(DADOS!C4501="","",DADOS!C4501)</f>
        <v/>
      </c>
      <c r="F4501" s="9" t="str">
        <f>IF(DADOS!E4501="","",DADOS!E4501)</f>
        <v/>
      </c>
      <c r="G4501" s="9" t="str">
        <f>IF(DADOS!F4501="","",DADOS!F4501)</f>
        <v/>
      </c>
      <c r="K4501" s="6" t="str">
        <f t="shared" si="355"/>
        <v/>
      </c>
      <c r="L4501" s="7" t="str">
        <f t="shared" si="356"/>
        <v/>
      </c>
      <c r="M4501" s="7" t="str">
        <f t="shared" si="353"/>
        <v/>
      </c>
      <c r="N4501" s="7" t="str">
        <f t="shared" si="357"/>
        <v/>
      </c>
      <c r="O4501" s="8"/>
      <c r="P4501" s="26"/>
      <c r="S4501" s="10" t="str">
        <f t="shared" si="354"/>
        <v/>
      </c>
    </row>
    <row r="4502" spans="5:19" x14ac:dyDescent="0.3">
      <c r="E4502" s="9" t="str">
        <f>IF(DADOS!C4502="","",DADOS!C4502)</f>
        <v/>
      </c>
      <c r="F4502" s="9" t="str">
        <f>IF(DADOS!E4502="","",DADOS!E4502)</f>
        <v/>
      </c>
      <c r="G4502" s="9" t="str">
        <f>IF(DADOS!F4502="","",DADOS!F4502)</f>
        <v/>
      </c>
      <c r="K4502" s="6" t="str">
        <f t="shared" si="355"/>
        <v/>
      </c>
      <c r="L4502" s="7" t="str">
        <f t="shared" si="356"/>
        <v/>
      </c>
      <c r="M4502" s="7" t="str">
        <f t="shared" si="353"/>
        <v/>
      </c>
      <c r="N4502" s="7" t="str">
        <f t="shared" si="357"/>
        <v/>
      </c>
      <c r="O4502" s="8"/>
      <c r="P4502" s="26"/>
      <c r="S4502" s="10" t="str">
        <f t="shared" si="354"/>
        <v/>
      </c>
    </row>
    <row r="4503" spans="5:19" x14ac:dyDescent="0.3">
      <c r="E4503" s="9" t="str">
        <f>IF(DADOS!C4503="","",DADOS!C4503)</f>
        <v/>
      </c>
      <c r="F4503" s="9" t="str">
        <f>IF(DADOS!E4503="","",DADOS!E4503)</f>
        <v/>
      </c>
      <c r="G4503" s="9" t="str">
        <f>IF(DADOS!F4503="","",DADOS!F4503)</f>
        <v/>
      </c>
      <c r="K4503" s="6" t="str">
        <f t="shared" si="355"/>
        <v/>
      </c>
      <c r="L4503" s="7" t="str">
        <f t="shared" si="356"/>
        <v/>
      </c>
      <c r="M4503" s="7" t="str">
        <f t="shared" si="353"/>
        <v/>
      </c>
      <c r="N4503" s="7" t="str">
        <f t="shared" si="357"/>
        <v/>
      </c>
      <c r="O4503" s="8"/>
      <c r="P4503" s="26"/>
      <c r="S4503" s="10" t="str">
        <f t="shared" si="354"/>
        <v/>
      </c>
    </row>
    <row r="4504" spans="5:19" x14ac:dyDescent="0.3">
      <c r="E4504" s="9" t="str">
        <f>IF(DADOS!C4504="","",DADOS!C4504)</f>
        <v/>
      </c>
      <c r="F4504" s="9" t="str">
        <f>IF(DADOS!E4504="","",DADOS!E4504)</f>
        <v/>
      </c>
      <c r="G4504" s="9" t="str">
        <f>IF(DADOS!F4504="","",DADOS!F4504)</f>
        <v/>
      </c>
      <c r="K4504" s="6" t="str">
        <f t="shared" si="355"/>
        <v/>
      </c>
      <c r="L4504" s="7" t="str">
        <f t="shared" si="356"/>
        <v/>
      </c>
      <c r="M4504" s="7" t="str">
        <f t="shared" si="353"/>
        <v/>
      </c>
      <c r="N4504" s="7" t="str">
        <f t="shared" si="357"/>
        <v/>
      </c>
      <c r="O4504" s="8"/>
      <c r="P4504" s="26"/>
      <c r="S4504" s="10" t="str">
        <f t="shared" si="354"/>
        <v/>
      </c>
    </row>
    <row r="4505" spans="5:19" x14ac:dyDescent="0.3">
      <c r="E4505" s="9" t="str">
        <f>IF(DADOS!C4505="","",DADOS!C4505)</f>
        <v/>
      </c>
      <c r="F4505" s="9" t="str">
        <f>IF(DADOS!E4505="","",DADOS!E4505)</f>
        <v/>
      </c>
      <c r="G4505" s="9" t="str">
        <f>IF(DADOS!F4505="","",DADOS!F4505)</f>
        <v/>
      </c>
      <c r="K4505" s="6" t="str">
        <f t="shared" si="355"/>
        <v/>
      </c>
      <c r="L4505" s="7" t="str">
        <f t="shared" si="356"/>
        <v/>
      </c>
      <c r="M4505" s="7" t="str">
        <f t="shared" si="353"/>
        <v/>
      </c>
      <c r="N4505" s="7" t="str">
        <f t="shared" si="357"/>
        <v/>
      </c>
      <c r="O4505" s="8"/>
      <c r="P4505" s="26"/>
      <c r="S4505" s="10" t="str">
        <f t="shared" si="354"/>
        <v/>
      </c>
    </row>
    <row r="4506" spans="5:19" x14ac:dyDescent="0.3">
      <c r="E4506" s="9" t="str">
        <f>IF(DADOS!C4506="","",DADOS!C4506)</f>
        <v/>
      </c>
      <c r="F4506" s="9" t="str">
        <f>IF(DADOS!E4506="","",DADOS!E4506)</f>
        <v/>
      </c>
      <c r="G4506" s="9" t="str">
        <f>IF(DADOS!F4506="","",DADOS!F4506)</f>
        <v/>
      </c>
      <c r="K4506" s="6" t="str">
        <f t="shared" si="355"/>
        <v/>
      </c>
      <c r="L4506" s="7" t="str">
        <f t="shared" si="356"/>
        <v/>
      </c>
      <c r="M4506" s="7" t="str">
        <f t="shared" si="353"/>
        <v/>
      </c>
      <c r="N4506" s="7" t="str">
        <f t="shared" si="357"/>
        <v/>
      </c>
      <c r="O4506" s="8"/>
      <c r="P4506" s="26"/>
      <c r="S4506" s="10" t="str">
        <f t="shared" si="354"/>
        <v/>
      </c>
    </row>
    <row r="4507" spans="5:19" x14ac:dyDescent="0.3">
      <c r="E4507" s="9" t="str">
        <f>IF(DADOS!C4507="","",DADOS!C4507)</f>
        <v/>
      </c>
      <c r="F4507" s="9" t="str">
        <f>IF(DADOS!E4507="","",DADOS!E4507)</f>
        <v/>
      </c>
      <c r="G4507" s="9" t="str">
        <f>IF(DADOS!F4507="","",DADOS!F4507)</f>
        <v/>
      </c>
      <c r="K4507" s="6" t="str">
        <f t="shared" si="355"/>
        <v/>
      </c>
      <c r="L4507" s="7" t="str">
        <f t="shared" si="356"/>
        <v/>
      </c>
      <c r="M4507" s="7" t="str">
        <f t="shared" si="353"/>
        <v/>
      </c>
      <c r="N4507" s="7" t="str">
        <f t="shared" si="357"/>
        <v/>
      </c>
      <c r="O4507" s="8"/>
      <c r="P4507" s="26"/>
      <c r="S4507" s="10" t="str">
        <f t="shared" si="354"/>
        <v/>
      </c>
    </row>
    <row r="4508" spans="5:19" x14ac:dyDescent="0.3">
      <c r="E4508" s="9" t="str">
        <f>IF(DADOS!C4508="","",DADOS!C4508)</f>
        <v/>
      </c>
      <c r="F4508" s="9" t="str">
        <f>IF(DADOS!E4508="","",DADOS!E4508)</f>
        <v/>
      </c>
      <c r="G4508" s="9" t="str">
        <f>IF(DADOS!F4508="","",DADOS!F4508)</f>
        <v/>
      </c>
      <c r="K4508" s="6" t="str">
        <f t="shared" si="355"/>
        <v/>
      </c>
      <c r="L4508" s="7" t="str">
        <f t="shared" si="356"/>
        <v/>
      </c>
      <c r="M4508" s="7" t="str">
        <f t="shared" si="353"/>
        <v/>
      </c>
      <c r="N4508" s="7" t="str">
        <f t="shared" si="357"/>
        <v/>
      </c>
      <c r="O4508" s="8"/>
      <c r="P4508" s="26"/>
      <c r="S4508" s="10" t="str">
        <f t="shared" si="354"/>
        <v/>
      </c>
    </row>
    <row r="4509" spans="5:19" x14ac:dyDescent="0.3">
      <c r="E4509" s="9" t="str">
        <f>IF(DADOS!C4509="","",DADOS!C4509)</f>
        <v/>
      </c>
      <c r="F4509" s="9" t="str">
        <f>IF(DADOS!E4509="","",DADOS!E4509)</f>
        <v/>
      </c>
      <c r="G4509" s="9" t="str">
        <f>IF(DADOS!F4509="","",DADOS!F4509)</f>
        <v/>
      </c>
      <c r="K4509" s="6" t="str">
        <f t="shared" si="355"/>
        <v/>
      </c>
      <c r="L4509" s="7" t="str">
        <f t="shared" si="356"/>
        <v/>
      </c>
      <c r="M4509" s="7" t="str">
        <f t="shared" si="353"/>
        <v/>
      </c>
      <c r="N4509" s="7" t="str">
        <f t="shared" si="357"/>
        <v/>
      </c>
      <c r="O4509" s="8"/>
      <c r="P4509" s="26"/>
      <c r="S4509" s="10" t="str">
        <f t="shared" si="354"/>
        <v/>
      </c>
    </row>
    <row r="4510" spans="5:19" x14ac:dyDescent="0.3">
      <c r="E4510" s="9" t="str">
        <f>IF(DADOS!C4510="","",DADOS!C4510)</f>
        <v/>
      </c>
      <c r="F4510" s="9" t="str">
        <f>IF(DADOS!E4510="","",DADOS!E4510)</f>
        <v/>
      </c>
      <c r="G4510" s="9" t="str">
        <f>IF(DADOS!F4510="","",DADOS!F4510)</f>
        <v/>
      </c>
      <c r="K4510" s="6" t="str">
        <f t="shared" si="355"/>
        <v/>
      </c>
      <c r="L4510" s="7" t="str">
        <f t="shared" si="356"/>
        <v/>
      </c>
      <c r="M4510" s="7" t="str">
        <f t="shared" si="353"/>
        <v/>
      </c>
      <c r="N4510" s="7" t="str">
        <f t="shared" si="357"/>
        <v/>
      </c>
      <c r="O4510" s="8"/>
      <c r="P4510" s="26"/>
      <c r="S4510" s="10" t="str">
        <f t="shared" si="354"/>
        <v/>
      </c>
    </row>
    <row r="4511" spans="5:19" x14ac:dyDescent="0.3">
      <c r="E4511" s="9" t="str">
        <f>IF(DADOS!C4511="","",DADOS!C4511)</f>
        <v/>
      </c>
      <c r="F4511" s="9" t="str">
        <f>IF(DADOS!E4511="","",DADOS!E4511)</f>
        <v/>
      </c>
      <c r="G4511" s="9" t="str">
        <f>IF(DADOS!F4511="","",DADOS!F4511)</f>
        <v/>
      </c>
      <c r="K4511" s="6" t="str">
        <f t="shared" si="355"/>
        <v/>
      </c>
      <c r="L4511" s="7" t="str">
        <f t="shared" si="356"/>
        <v/>
      </c>
      <c r="M4511" s="7" t="str">
        <f t="shared" si="353"/>
        <v/>
      </c>
      <c r="N4511" s="7" t="str">
        <f t="shared" si="357"/>
        <v/>
      </c>
      <c r="O4511" s="8"/>
      <c r="P4511" s="26"/>
      <c r="S4511" s="10" t="str">
        <f t="shared" si="354"/>
        <v/>
      </c>
    </row>
    <row r="4512" spans="5:19" x14ac:dyDescent="0.3">
      <c r="E4512" s="9" t="str">
        <f>IF(DADOS!C4512="","",DADOS!C4512)</f>
        <v/>
      </c>
      <c r="F4512" s="9" t="str">
        <f>IF(DADOS!E4512="","",DADOS!E4512)</f>
        <v/>
      </c>
      <c r="G4512" s="9" t="str">
        <f>IF(DADOS!F4512="","",DADOS!F4512)</f>
        <v/>
      </c>
      <c r="K4512" s="6" t="str">
        <f t="shared" si="355"/>
        <v/>
      </c>
      <c r="L4512" s="7" t="str">
        <f t="shared" si="356"/>
        <v/>
      </c>
      <c r="M4512" s="7" t="str">
        <f t="shared" si="353"/>
        <v/>
      </c>
      <c r="N4512" s="7" t="str">
        <f t="shared" si="357"/>
        <v/>
      </c>
      <c r="O4512" s="8"/>
      <c r="P4512" s="26"/>
      <c r="S4512" s="10" t="str">
        <f t="shared" si="354"/>
        <v/>
      </c>
    </row>
    <row r="4513" spans="5:19" x14ac:dyDescent="0.3">
      <c r="E4513" s="9" t="str">
        <f>IF(DADOS!C4513="","",DADOS!C4513)</f>
        <v/>
      </c>
      <c r="F4513" s="9" t="str">
        <f>IF(DADOS!E4513="","",DADOS!E4513)</f>
        <v/>
      </c>
      <c r="G4513" s="9" t="str">
        <f>IF(DADOS!F4513="","",DADOS!F4513)</f>
        <v/>
      </c>
      <c r="K4513" s="6" t="str">
        <f t="shared" si="355"/>
        <v/>
      </c>
      <c r="L4513" s="7" t="str">
        <f t="shared" si="356"/>
        <v/>
      </c>
      <c r="M4513" s="7" t="str">
        <f t="shared" si="353"/>
        <v/>
      </c>
      <c r="N4513" s="7" t="str">
        <f t="shared" si="357"/>
        <v/>
      </c>
      <c r="O4513" s="8"/>
      <c r="P4513" s="26"/>
      <c r="S4513" s="10" t="str">
        <f t="shared" si="354"/>
        <v/>
      </c>
    </row>
    <row r="4514" spans="5:19" x14ac:dyDescent="0.3">
      <c r="E4514" s="9" t="str">
        <f>IF(DADOS!C4514="","",DADOS!C4514)</f>
        <v/>
      </c>
      <c r="F4514" s="9" t="str">
        <f>IF(DADOS!E4514="","",DADOS!E4514)</f>
        <v/>
      </c>
      <c r="G4514" s="9" t="str">
        <f>IF(DADOS!F4514="","",DADOS!F4514)</f>
        <v/>
      </c>
      <c r="K4514" s="6" t="str">
        <f t="shared" si="355"/>
        <v/>
      </c>
      <c r="L4514" s="7" t="str">
        <f t="shared" si="356"/>
        <v/>
      </c>
      <c r="M4514" s="7" t="str">
        <f t="shared" si="353"/>
        <v/>
      </c>
      <c r="N4514" s="7" t="str">
        <f t="shared" si="357"/>
        <v/>
      </c>
      <c r="O4514" s="8"/>
      <c r="P4514" s="26"/>
      <c r="S4514" s="10" t="str">
        <f t="shared" si="354"/>
        <v/>
      </c>
    </row>
    <row r="4515" spans="5:19" x14ac:dyDescent="0.3">
      <c r="E4515" s="9" t="str">
        <f>IF(DADOS!C4515="","",DADOS!C4515)</f>
        <v/>
      </c>
      <c r="F4515" s="9" t="str">
        <f>IF(DADOS!E4515="","",DADOS!E4515)</f>
        <v/>
      </c>
      <c r="G4515" s="9" t="str">
        <f>IF(DADOS!F4515="","",DADOS!F4515)</f>
        <v/>
      </c>
      <c r="K4515" s="6" t="str">
        <f t="shared" si="355"/>
        <v/>
      </c>
      <c r="L4515" s="7" t="str">
        <f t="shared" si="356"/>
        <v/>
      </c>
      <c r="M4515" s="7" t="str">
        <f t="shared" si="353"/>
        <v/>
      </c>
      <c r="N4515" s="7" t="str">
        <f t="shared" si="357"/>
        <v/>
      </c>
      <c r="O4515" s="8"/>
      <c r="P4515" s="26"/>
      <c r="S4515" s="10" t="str">
        <f t="shared" si="354"/>
        <v/>
      </c>
    </row>
    <row r="4516" spans="5:19" x14ac:dyDescent="0.3">
      <c r="E4516" s="9" t="str">
        <f>IF(DADOS!C4516="","",DADOS!C4516)</f>
        <v/>
      </c>
      <c r="F4516" s="9" t="str">
        <f>IF(DADOS!E4516="","",DADOS!E4516)</f>
        <v/>
      </c>
      <c r="G4516" s="9" t="str">
        <f>IF(DADOS!F4516="","",DADOS!F4516)</f>
        <v/>
      </c>
      <c r="K4516" s="6" t="str">
        <f t="shared" si="355"/>
        <v/>
      </c>
      <c r="L4516" s="7" t="str">
        <f t="shared" si="356"/>
        <v/>
      </c>
      <c r="M4516" s="7" t="str">
        <f t="shared" si="353"/>
        <v/>
      </c>
      <c r="N4516" s="7" t="str">
        <f t="shared" si="357"/>
        <v/>
      </c>
      <c r="O4516" s="8"/>
      <c r="P4516" s="26"/>
      <c r="S4516" s="10" t="str">
        <f t="shared" si="354"/>
        <v/>
      </c>
    </row>
    <row r="4517" spans="5:19" x14ac:dyDescent="0.3">
      <c r="E4517" s="9" t="str">
        <f>IF(DADOS!C4517="","",DADOS!C4517)</f>
        <v/>
      </c>
      <c r="F4517" s="9" t="str">
        <f>IF(DADOS!E4517="","",DADOS!E4517)</f>
        <v/>
      </c>
      <c r="G4517" s="9" t="str">
        <f>IF(DADOS!F4517="","",DADOS!F4517)</f>
        <v/>
      </c>
      <c r="K4517" s="6" t="str">
        <f t="shared" si="355"/>
        <v/>
      </c>
      <c r="L4517" s="7" t="str">
        <f t="shared" si="356"/>
        <v/>
      </c>
      <c r="M4517" s="7" t="str">
        <f t="shared" si="353"/>
        <v/>
      </c>
      <c r="N4517" s="7" t="str">
        <f t="shared" si="357"/>
        <v/>
      </c>
      <c r="O4517" s="8"/>
      <c r="P4517" s="26"/>
      <c r="S4517" s="10" t="str">
        <f t="shared" si="354"/>
        <v/>
      </c>
    </row>
    <row r="4518" spans="5:19" x14ac:dyDescent="0.3">
      <c r="E4518" s="9" t="str">
        <f>IF(DADOS!C4518="","",DADOS!C4518)</f>
        <v/>
      </c>
      <c r="F4518" s="9" t="str">
        <f>IF(DADOS!E4518="","",DADOS!E4518)</f>
        <v/>
      </c>
      <c r="G4518" s="9" t="str">
        <f>IF(DADOS!F4518="","",DADOS!F4518)</f>
        <v/>
      </c>
      <c r="K4518" s="6" t="str">
        <f t="shared" si="355"/>
        <v/>
      </c>
      <c r="L4518" s="7" t="str">
        <f t="shared" si="356"/>
        <v/>
      </c>
      <c r="M4518" s="7" t="str">
        <f t="shared" si="353"/>
        <v/>
      </c>
      <c r="N4518" s="7" t="str">
        <f t="shared" si="357"/>
        <v/>
      </c>
      <c r="O4518" s="8"/>
      <c r="P4518" s="26"/>
      <c r="S4518" s="10" t="str">
        <f t="shared" si="354"/>
        <v/>
      </c>
    </row>
    <row r="4519" spans="5:19" x14ac:dyDescent="0.3">
      <c r="E4519" s="9" t="str">
        <f>IF(DADOS!C4519="","",DADOS!C4519)</f>
        <v/>
      </c>
      <c r="F4519" s="9" t="str">
        <f>IF(DADOS!E4519="","",DADOS!E4519)</f>
        <v/>
      </c>
      <c r="G4519" s="9" t="str">
        <f>IF(DADOS!F4519="","",DADOS!F4519)</f>
        <v/>
      </c>
      <c r="K4519" s="6" t="str">
        <f t="shared" si="355"/>
        <v/>
      </c>
      <c r="L4519" s="7" t="str">
        <f t="shared" si="356"/>
        <v/>
      </c>
      <c r="M4519" s="7" t="str">
        <f t="shared" si="353"/>
        <v/>
      </c>
      <c r="N4519" s="7" t="str">
        <f t="shared" si="357"/>
        <v/>
      </c>
      <c r="O4519" s="8"/>
      <c r="P4519" s="26"/>
      <c r="S4519" s="10" t="str">
        <f t="shared" si="354"/>
        <v/>
      </c>
    </row>
    <row r="4520" spans="5:19" x14ac:dyDescent="0.3">
      <c r="E4520" s="9" t="str">
        <f>IF(DADOS!C4520="","",DADOS!C4520)</f>
        <v/>
      </c>
      <c r="F4520" s="9" t="str">
        <f>IF(DADOS!E4520="","",DADOS!E4520)</f>
        <v/>
      </c>
      <c r="G4520" s="9" t="str">
        <f>IF(DADOS!F4520="","",DADOS!F4520)</f>
        <v/>
      </c>
      <c r="K4520" s="6" t="str">
        <f t="shared" si="355"/>
        <v/>
      </c>
      <c r="L4520" s="7" t="str">
        <f t="shared" si="356"/>
        <v/>
      </c>
      <c r="M4520" s="7" t="str">
        <f t="shared" si="353"/>
        <v/>
      </c>
      <c r="N4520" s="7" t="str">
        <f t="shared" si="357"/>
        <v/>
      </c>
      <c r="O4520" s="8"/>
      <c r="P4520" s="26"/>
      <c r="S4520" s="10" t="str">
        <f t="shared" si="354"/>
        <v/>
      </c>
    </row>
    <row r="4521" spans="5:19" x14ac:dyDescent="0.3">
      <c r="E4521" s="9" t="str">
        <f>IF(DADOS!C4521="","",DADOS!C4521)</f>
        <v/>
      </c>
      <c r="F4521" s="9" t="str">
        <f>IF(DADOS!E4521="","",DADOS!E4521)</f>
        <v/>
      </c>
      <c r="G4521" s="9" t="str">
        <f>IF(DADOS!F4521="","",DADOS!F4521)</f>
        <v/>
      </c>
      <c r="K4521" s="6" t="str">
        <f t="shared" si="355"/>
        <v/>
      </c>
      <c r="L4521" s="7" t="str">
        <f t="shared" si="356"/>
        <v/>
      </c>
      <c r="M4521" s="7" t="str">
        <f t="shared" si="353"/>
        <v/>
      </c>
      <c r="N4521" s="7" t="str">
        <f t="shared" si="357"/>
        <v/>
      </c>
      <c r="O4521" s="8"/>
      <c r="P4521" s="26"/>
      <c r="S4521" s="10" t="str">
        <f t="shared" si="354"/>
        <v/>
      </c>
    </row>
    <row r="4522" spans="5:19" x14ac:dyDescent="0.3">
      <c r="E4522" s="9" t="str">
        <f>IF(DADOS!C4522="","",DADOS!C4522)</f>
        <v/>
      </c>
      <c r="F4522" s="9" t="str">
        <f>IF(DADOS!E4522="","",DADOS!E4522)</f>
        <v/>
      </c>
      <c r="G4522" s="9" t="str">
        <f>IF(DADOS!F4522="","",DADOS!F4522)</f>
        <v/>
      </c>
      <c r="K4522" s="6" t="str">
        <f t="shared" si="355"/>
        <v/>
      </c>
      <c r="L4522" s="7" t="str">
        <f t="shared" si="356"/>
        <v/>
      </c>
      <c r="M4522" s="7" t="str">
        <f t="shared" si="353"/>
        <v/>
      </c>
      <c r="N4522" s="7" t="str">
        <f t="shared" si="357"/>
        <v/>
      </c>
      <c r="O4522" s="8"/>
      <c r="P4522" s="26"/>
      <c r="S4522" s="10" t="str">
        <f t="shared" si="354"/>
        <v/>
      </c>
    </row>
    <row r="4523" spans="5:19" x14ac:dyDescent="0.3">
      <c r="E4523" s="9" t="str">
        <f>IF(DADOS!C4523="","",DADOS!C4523)</f>
        <v/>
      </c>
      <c r="F4523" s="9" t="str">
        <f>IF(DADOS!E4523="","",DADOS!E4523)</f>
        <v/>
      </c>
      <c r="G4523" s="9" t="str">
        <f>IF(DADOS!F4523="","",DADOS!F4523)</f>
        <v/>
      </c>
      <c r="K4523" s="6" t="str">
        <f t="shared" si="355"/>
        <v/>
      </c>
      <c r="L4523" s="7" t="str">
        <f t="shared" si="356"/>
        <v/>
      </c>
      <c r="M4523" s="7" t="str">
        <f t="shared" si="353"/>
        <v/>
      </c>
      <c r="N4523" s="7" t="str">
        <f t="shared" si="357"/>
        <v/>
      </c>
      <c r="O4523" s="8"/>
      <c r="P4523" s="26"/>
      <c r="S4523" s="10" t="str">
        <f t="shared" si="354"/>
        <v/>
      </c>
    </row>
    <row r="4524" spans="5:19" x14ac:dyDescent="0.3">
      <c r="E4524" s="9" t="str">
        <f>IF(DADOS!C4524="","",DADOS!C4524)</f>
        <v/>
      </c>
      <c r="F4524" s="9" t="str">
        <f>IF(DADOS!E4524="","",DADOS!E4524)</f>
        <v/>
      </c>
      <c r="G4524" s="9" t="str">
        <f>IF(DADOS!F4524="","",DADOS!F4524)</f>
        <v/>
      </c>
      <c r="K4524" s="6" t="str">
        <f t="shared" si="355"/>
        <v/>
      </c>
      <c r="L4524" s="7" t="str">
        <f t="shared" si="356"/>
        <v/>
      </c>
      <c r="M4524" s="7" t="str">
        <f t="shared" si="353"/>
        <v/>
      </c>
      <c r="N4524" s="7" t="str">
        <f t="shared" si="357"/>
        <v/>
      </c>
      <c r="O4524" s="8"/>
      <c r="P4524" s="26"/>
      <c r="S4524" s="10" t="str">
        <f t="shared" si="354"/>
        <v/>
      </c>
    </row>
    <row r="4525" spans="5:19" x14ac:dyDescent="0.3">
      <c r="E4525" s="9" t="str">
        <f>IF(DADOS!C4525="","",DADOS!C4525)</f>
        <v/>
      </c>
      <c r="F4525" s="9" t="str">
        <f>IF(DADOS!E4525="","",DADOS!E4525)</f>
        <v/>
      </c>
      <c r="G4525" s="9" t="str">
        <f>IF(DADOS!F4525="","",DADOS!F4525)</f>
        <v/>
      </c>
      <c r="K4525" s="6" t="str">
        <f t="shared" si="355"/>
        <v/>
      </c>
      <c r="L4525" s="7" t="str">
        <f t="shared" si="356"/>
        <v/>
      </c>
      <c r="M4525" s="7" t="str">
        <f t="shared" si="353"/>
        <v/>
      </c>
      <c r="N4525" s="7" t="str">
        <f t="shared" si="357"/>
        <v/>
      </c>
      <c r="O4525" s="8"/>
      <c r="P4525" s="26"/>
      <c r="S4525" s="10" t="str">
        <f t="shared" si="354"/>
        <v/>
      </c>
    </row>
    <row r="4526" spans="5:19" x14ac:dyDescent="0.3">
      <c r="E4526" s="9" t="str">
        <f>IF(DADOS!C4526="","",DADOS!C4526)</f>
        <v/>
      </c>
      <c r="F4526" s="9" t="str">
        <f>IF(DADOS!E4526="","",DADOS!E4526)</f>
        <v/>
      </c>
      <c r="G4526" s="9" t="str">
        <f>IF(DADOS!F4526="","",DADOS!F4526)</f>
        <v/>
      </c>
      <c r="K4526" s="6" t="str">
        <f t="shared" si="355"/>
        <v/>
      </c>
      <c r="L4526" s="7" t="str">
        <f t="shared" si="356"/>
        <v/>
      </c>
      <c r="M4526" s="7" t="str">
        <f t="shared" si="353"/>
        <v/>
      </c>
      <c r="N4526" s="7" t="str">
        <f t="shared" si="357"/>
        <v/>
      </c>
      <c r="O4526" s="8"/>
      <c r="P4526" s="26"/>
      <c r="S4526" s="10" t="str">
        <f t="shared" si="354"/>
        <v/>
      </c>
    </row>
    <row r="4527" spans="5:19" x14ac:dyDescent="0.3">
      <c r="E4527" s="9" t="str">
        <f>IF(DADOS!C4527="","",DADOS!C4527)</f>
        <v/>
      </c>
      <c r="F4527" s="9" t="str">
        <f>IF(DADOS!E4527="","",DADOS!E4527)</f>
        <v/>
      </c>
      <c r="G4527" s="9" t="str">
        <f>IF(DADOS!F4527="","",DADOS!F4527)</f>
        <v/>
      </c>
      <c r="K4527" s="6" t="str">
        <f t="shared" si="355"/>
        <v/>
      </c>
      <c r="L4527" s="7" t="str">
        <f t="shared" si="356"/>
        <v/>
      </c>
      <c r="M4527" s="7" t="str">
        <f t="shared" si="353"/>
        <v/>
      </c>
      <c r="N4527" s="7" t="str">
        <f t="shared" si="357"/>
        <v/>
      </c>
      <c r="O4527" s="8"/>
      <c r="P4527" s="26"/>
      <c r="S4527" s="10" t="str">
        <f t="shared" si="354"/>
        <v/>
      </c>
    </row>
    <row r="4528" spans="5:19" x14ac:dyDescent="0.3">
      <c r="E4528" s="9" t="str">
        <f>IF(DADOS!C4528="","",DADOS!C4528)</f>
        <v/>
      </c>
      <c r="F4528" s="9" t="str">
        <f>IF(DADOS!E4528="","",DADOS!E4528)</f>
        <v/>
      </c>
      <c r="G4528" s="9" t="str">
        <f>IF(DADOS!F4528="","",DADOS!F4528)</f>
        <v/>
      </c>
      <c r="K4528" s="6" t="str">
        <f t="shared" si="355"/>
        <v/>
      </c>
      <c r="L4528" s="7" t="str">
        <f t="shared" si="356"/>
        <v/>
      </c>
      <c r="M4528" s="7" t="str">
        <f t="shared" si="353"/>
        <v/>
      </c>
      <c r="N4528" s="7" t="str">
        <f t="shared" si="357"/>
        <v/>
      </c>
      <c r="O4528" s="8"/>
      <c r="P4528" s="26"/>
      <c r="S4528" s="10" t="str">
        <f t="shared" si="354"/>
        <v/>
      </c>
    </row>
    <row r="4529" spans="5:19" x14ac:dyDescent="0.3">
      <c r="E4529" s="9" t="str">
        <f>IF(DADOS!C4529="","",DADOS!C4529)</f>
        <v/>
      </c>
      <c r="F4529" s="9" t="str">
        <f>IF(DADOS!E4529="","",DADOS!E4529)</f>
        <v/>
      </c>
      <c r="G4529" s="9" t="str">
        <f>IF(DADOS!F4529="","",DADOS!F4529)</f>
        <v/>
      </c>
      <c r="K4529" s="6" t="str">
        <f t="shared" si="355"/>
        <v/>
      </c>
      <c r="L4529" s="7" t="str">
        <f t="shared" si="356"/>
        <v/>
      </c>
      <c r="M4529" s="7" t="str">
        <f t="shared" si="353"/>
        <v/>
      </c>
      <c r="N4529" s="7" t="str">
        <f t="shared" si="357"/>
        <v/>
      </c>
      <c r="O4529" s="8"/>
      <c r="P4529" s="26"/>
      <c r="S4529" s="10" t="str">
        <f t="shared" si="354"/>
        <v/>
      </c>
    </row>
    <row r="4530" spans="5:19" x14ac:dyDescent="0.3">
      <c r="E4530" s="9" t="str">
        <f>IF(DADOS!C4530="","",DADOS!C4530)</f>
        <v/>
      </c>
      <c r="F4530" s="9" t="str">
        <f>IF(DADOS!E4530="","",DADOS!E4530)</f>
        <v/>
      </c>
      <c r="G4530" s="9" t="str">
        <f>IF(DADOS!F4530="","",DADOS!F4530)</f>
        <v/>
      </c>
      <c r="K4530" s="6" t="str">
        <f t="shared" si="355"/>
        <v/>
      </c>
      <c r="L4530" s="7" t="str">
        <f t="shared" si="356"/>
        <v/>
      </c>
      <c r="M4530" s="7" t="str">
        <f t="shared" si="353"/>
        <v/>
      </c>
      <c r="N4530" s="7" t="str">
        <f t="shared" si="357"/>
        <v/>
      </c>
      <c r="O4530" s="8"/>
      <c r="P4530" s="26"/>
      <c r="S4530" s="10" t="str">
        <f t="shared" si="354"/>
        <v/>
      </c>
    </row>
    <row r="4531" spans="5:19" x14ac:dyDescent="0.3">
      <c r="E4531" s="9" t="str">
        <f>IF(DADOS!C4531="","",DADOS!C4531)</f>
        <v/>
      </c>
      <c r="F4531" s="9" t="str">
        <f>IF(DADOS!E4531="","",DADOS!E4531)</f>
        <v/>
      </c>
      <c r="G4531" s="9" t="str">
        <f>IF(DADOS!F4531="","",DADOS!F4531)</f>
        <v/>
      </c>
      <c r="K4531" s="6" t="str">
        <f t="shared" si="355"/>
        <v/>
      </c>
      <c r="L4531" s="7" t="str">
        <f t="shared" si="356"/>
        <v/>
      </c>
      <c r="M4531" s="7" t="str">
        <f t="shared" si="353"/>
        <v/>
      </c>
      <c r="N4531" s="7" t="str">
        <f t="shared" si="357"/>
        <v/>
      </c>
      <c r="O4531" s="8"/>
      <c r="P4531" s="26"/>
      <c r="S4531" s="10" t="str">
        <f t="shared" si="354"/>
        <v/>
      </c>
    </row>
    <row r="4532" spans="5:19" x14ac:dyDescent="0.3">
      <c r="E4532" s="9" t="str">
        <f>IF(DADOS!C4532="","",DADOS!C4532)</f>
        <v/>
      </c>
      <c r="F4532" s="9" t="str">
        <f>IF(DADOS!E4532="","",DADOS!E4532)</f>
        <v/>
      </c>
      <c r="G4532" s="9" t="str">
        <f>IF(DADOS!F4532="","",DADOS!F4532)</f>
        <v/>
      </c>
      <c r="K4532" s="6" t="str">
        <f t="shared" si="355"/>
        <v/>
      </c>
      <c r="L4532" s="7" t="str">
        <f t="shared" si="356"/>
        <v/>
      </c>
      <c r="M4532" s="7" t="str">
        <f t="shared" si="353"/>
        <v/>
      </c>
      <c r="N4532" s="7" t="str">
        <f t="shared" si="357"/>
        <v/>
      </c>
      <c r="O4532" s="8"/>
      <c r="P4532" s="26"/>
      <c r="S4532" s="10" t="str">
        <f t="shared" si="354"/>
        <v/>
      </c>
    </row>
    <row r="4533" spans="5:19" x14ac:dyDescent="0.3">
      <c r="E4533" s="9" t="str">
        <f>IF(DADOS!C4533="","",DADOS!C4533)</f>
        <v/>
      </c>
      <c r="F4533" s="9" t="str">
        <f>IF(DADOS!E4533="","",DADOS!E4533)</f>
        <v/>
      </c>
      <c r="G4533" s="9" t="str">
        <f>IF(DADOS!F4533="","",DADOS!F4533)</f>
        <v/>
      </c>
      <c r="K4533" s="6" t="str">
        <f t="shared" si="355"/>
        <v/>
      </c>
      <c r="L4533" s="7" t="str">
        <f t="shared" si="356"/>
        <v/>
      </c>
      <c r="M4533" s="7" t="str">
        <f t="shared" si="353"/>
        <v/>
      </c>
      <c r="N4533" s="7" t="str">
        <f t="shared" si="357"/>
        <v/>
      </c>
      <c r="O4533" s="8"/>
      <c r="P4533" s="26"/>
      <c r="S4533" s="10" t="str">
        <f t="shared" si="354"/>
        <v/>
      </c>
    </row>
    <row r="4534" spans="5:19" x14ac:dyDescent="0.3">
      <c r="E4534" s="9" t="str">
        <f>IF(DADOS!C4534="","",DADOS!C4534)</f>
        <v/>
      </c>
      <c r="F4534" s="9" t="str">
        <f>IF(DADOS!E4534="","",DADOS!E4534)</f>
        <v/>
      </c>
      <c r="G4534" s="9" t="str">
        <f>IF(DADOS!F4534="","",DADOS!F4534)</f>
        <v/>
      </c>
      <c r="K4534" s="6" t="str">
        <f t="shared" si="355"/>
        <v/>
      </c>
      <c r="L4534" s="7" t="str">
        <f t="shared" si="356"/>
        <v/>
      </c>
      <c r="M4534" s="7" t="str">
        <f t="shared" si="353"/>
        <v/>
      </c>
      <c r="N4534" s="7" t="str">
        <f t="shared" si="357"/>
        <v/>
      </c>
      <c r="O4534" s="8"/>
      <c r="P4534" s="26"/>
      <c r="S4534" s="10" t="str">
        <f t="shared" si="354"/>
        <v/>
      </c>
    </row>
    <row r="4535" spans="5:19" x14ac:dyDescent="0.3">
      <c r="E4535" s="9" t="str">
        <f>IF(DADOS!C4535="","",DADOS!C4535)</f>
        <v/>
      </c>
      <c r="F4535" s="9" t="str">
        <f>IF(DADOS!E4535="","",DADOS!E4535)</f>
        <v/>
      </c>
      <c r="G4535" s="9" t="str">
        <f>IF(DADOS!F4535="","",DADOS!F4535)</f>
        <v/>
      </c>
      <c r="K4535" s="6" t="str">
        <f t="shared" si="355"/>
        <v/>
      </c>
      <c r="L4535" s="7" t="str">
        <f t="shared" si="356"/>
        <v/>
      </c>
      <c r="M4535" s="7" t="str">
        <f t="shared" si="353"/>
        <v/>
      </c>
      <c r="N4535" s="7" t="str">
        <f t="shared" si="357"/>
        <v/>
      </c>
      <c r="O4535" s="8"/>
      <c r="P4535" s="26"/>
      <c r="S4535" s="10" t="str">
        <f t="shared" si="354"/>
        <v/>
      </c>
    </row>
    <row r="4536" spans="5:19" x14ac:dyDescent="0.3">
      <c r="E4536" s="9" t="str">
        <f>IF(DADOS!C4536="","",DADOS!C4536)</f>
        <v/>
      </c>
      <c r="F4536" s="9" t="str">
        <f>IF(DADOS!E4536="","",DADOS!E4536)</f>
        <v/>
      </c>
      <c r="G4536" s="9" t="str">
        <f>IF(DADOS!F4536="","",DADOS!F4536)</f>
        <v/>
      </c>
      <c r="K4536" s="6" t="str">
        <f t="shared" si="355"/>
        <v/>
      </c>
      <c r="L4536" s="7" t="str">
        <f t="shared" si="356"/>
        <v/>
      </c>
      <c r="M4536" s="7" t="str">
        <f t="shared" si="353"/>
        <v/>
      </c>
      <c r="N4536" s="7" t="str">
        <f t="shared" si="357"/>
        <v/>
      </c>
      <c r="O4536" s="8"/>
      <c r="P4536" s="26"/>
      <c r="S4536" s="10" t="str">
        <f t="shared" si="354"/>
        <v/>
      </c>
    </row>
    <row r="4537" spans="5:19" x14ac:dyDescent="0.3">
      <c r="E4537" s="9" t="str">
        <f>IF(DADOS!C4537="","",DADOS!C4537)</f>
        <v/>
      </c>
      <c r="F4537" s="9" t="str">
        <f>IF(DADOS!E4537="","",DADOS!E4537)</f>
        <v/>
      </c>
      <c r="G4537" s="9" t="str">
        <f>IF(DADOS!F4537="","",DADOS!F4537)</f>
        <v/>
      </c>
      <c r="K4537" s="6" t="str">
        <f t="shared" si="355"/>
        <v/>
      </c>
      <c r="L4537" s="7" t="str">
        <f t="shared" si="356"/>
        <v/>
      </c>
      <c r="M4537" s="7" t="str">
        <f t="shared" si="353"/>
        <v/>
      </c>
      <c r="N4537" s="7" t="str">
        <f t="shared" si="357"/>
        <v/>
      </c>
      <c r="O4537" s="8"/>
      <c r="P4537" s="26"/>
      <c r="S4537" s="10" t="str">
        <f t="shared" si="354"/>
        <v/>
      </c>
    </row>
    <row r="4538" spans="5:19" x14ac:dyDescent="0.3">
      <c r="E4538" s="9" t="str">
        <f>IF(DADOS!C4538="","",DADOS!C4538)</f>
        <v/>
      </c>
      <c r="F4538" s="9" t="str">
        <f>IF(DADOS!E4538="","",DADOS!E4538)</f>
        <v/>
      </c>
      <c r="G4538" s="9" t="str">
        <f>IF(DADOS!F4538="","",DADOS!F4538)</f>
        <v/>
      </c>
      <c r="K4538" s="6" t="str">
        <f t="shared" si="355"/>
        <v/>
      </c>
      <c r="L4538" s="7" t="str">
        <f t="shared" si="356"/>
        <v/>
      </c>
      <c r="M4538" s="7" t="str">
        <f t="shared" si="353"/>
        <v/>
      </c>
      <c r="N4538" s="7" t="str">
        <f t="shared" si="357"/>
        <v/>
      </c>
      <c r="O4538" s="8"/>
      <c r="P4538" s="26"/>
      <c r="S4538" s="10" t="str">
        <f t="shared" si="354"/>
        <v/>
      </c>
    </row>
    <row r="4539" spans="5:19" x14ac:dyDescent="0.3">
      <c r="E4539" s="9" t="str">
        <f>IF(DADOS!C4539="","",DADOS!C4539)</f>
        <v/>
      </c>
      <c r="F4539" s="9" t="str">
        <f>IF(DADOS!E4539="","",DADOS!E4539)</f>
        <v/>
      </c>
      <c r="G4539" s="9" t="str">
        <f>IF(DADOS!F4539="","",DADOS!F4539)</f>
        <v/>
      </c>
      <c r="K4539" s="6" t="str">
        <f t="shared" si="355"/>
        <v/>
      </c>
      <c r="L4539" s="7" t="str">
        <f t="shared" si="356"/>
        <v/>
      </c>
      <c r="M4539" s="7" t="str">
        <f t="shared" si="353"/>
        <v/>
      </c>
      <c r="N4539" s="7" t="str">
        <f t="shared" si="357"/>
        <v/>
      </c>
      <c r="O4539" s="8"/>
      <c r="P4539" s="26"/>
      <c r="S4539" s="10" t="str">
        <f t="shared" si="354"/>
        <v/>
      </c>
    </row>
    <row r="4540" spans="5:19" x14ac:dyDescent="0.3">
      <c r="E4540" s="9" t="str">
        <f>IF(DADOS!C4540="","",DADOS!C4540)</f>
        <v/>
      </c>
      <c r="F4540" s="9" t="str">
        <f>IF(DADOS!E4540="","",DADOS!E4540)</f>
        <v/>
      </c>
      <c r="G4540" s="9" t="str">
        <f>IF(DADOS!F4540="","",DADOS!F4540)</f>
        <v/>
      </c>
      <c r="K4540" s="6" t="str">
        <f t="shared" si="355"/>
        <v/>
      </c>
      <c r="L4540" s="7" t="str">
        <f t="shared" si="356"/>
        <v/>
      </c>
      <c r="M4540" s="7" t="str">
        <f t="shared" si="353"/>
        <v/>
      </c>
      <c r="N4540" s="7" t="str">
        <f t="shared" si="357"/>
        <v/>
      </c>
      <c r="O4540" s="8"/>
      <c r="P4540" s="26"/>
      <c r="S4540" s="10" t="str">
        <f t="shared" si="354"/>
        <v/>
      </c>
    </row>
    <row r="4541" spans="5:19" x14ac:dyDescent="0.3">
      <c r="E4541" s="9" t="str">
        <f>IF(DADOS!C4541="","",DADOS!C4541)</f>
        <v/>
      </c>
      <c r="F4541" s="9" t="str">
        <f>IF(DADOS!E4541="","",DADOS!E4541)</f>
        <v/>
      </c>
      <c r="G4541" s="9" t="str">
        <f>IF(DADOS!F4541="","",DADOS!F4541)</f>
        <v/>
      </c>
      <c r="K4541" s="6" t="str">
        <f t="shared" si="355"/>
        <v/>
      </c>
      <c r="L4541" s="7" t="str">
        <f t="shared" si="356"/>
        <v/>
      </c>
      <c r="M4541" s="7" t="str">
        <f t="shared" si="353"/>
        <v/>
      </c>
      <c r="N4541" s="7" t="str">
        <f t="shared" si="357"/>
        <v/>
      </c>
      <c r="O4541" s="8"/>
      <c r="P4541" s="26"/>
      <c r="S4541" s="10" t="str">
        <f t="shared" si="354"/>
        <v/>
      </c>
    </row>
    <row r="4542" spans="5:19" x14ac:dyDescent="0.3">
      <c r="E4542" s="9" t="str">
        <f>IF(DADOS!C4542="","",DADOS!C4542)</f>
        <v/>
      </c>
      <c r="F4542" s="9" t="str">
        <f>IF(DADOS!E4542="","",DADOS!E4542)</f>
        <v/>
      </c>
      <c r="G4542" s="9" t="str">
        <f>IF(DADOS!F4542="","",DADOS!F4542)</f>
        <v/>
      </c>
      <c r="K4542" s="6" t="str">
        <f t="shared" si="355"/>
        <v/>
      </c>
      <c r="L4542" s="7" t="str">
        <f t="shared" si="356"/>
        <v/>
      </c>
      <c r="M4542" s="7" t="str">
        <f t="shared" si="353"/>
        <v/>
      </c>
      <c r="N4542" s="7" t="str">
        <f t="shared" si="357"/>
        <v/>
      </c>
      <c r="O4542" s="8"/>
      <c r="P4542" s="26"/>
      <c r="S4542" s="10" t="str">
        <f t="shared" si="354"/>
        <v/>
      </c>
    </row>
    <row r="4543" spans="5:19" x14ac:dyDescent="0.3">
      <c r="E4543" s="9" t="str">
        <f>IF(DADOS!C4543="","",DADOS!C4543)</f>
        <v/>
      </c>
      <c r="F4543" s="9" t="str">
        <f>IF(DADOS!E4543="","",DADOS!E4543)</f>
        <v/>
      </c>
      <c r="G4543" s="9" t="str">
        <f>IF(DADOS!F4543="","",DADOS!F4543)</f>
        <v/>
      </c>
      <c r="K4543" s="6" t="str">
        <f t="shared" si="355"/>
        <v/>
      </c>
      <c r="L4543" s="7" t="str">
        <f t="shared" si="356"/>
        <v/>
      </c>
      <c r="M4543" s="7" t="str">
        <f t="shared" si="353"/>
        <v/>
      </c>
      <c r="N4543" s="7" t="str">
        <f t="shared" si="357"/>
        <v/>
      </c>
      <c r="O4543" s="8"/>
      <c r="P4543" s="26"/>
      <c r="S4543" s="10" t="str">
        <f t="shared" si="354"/>
        <v/>
      </c>
    </row>
    <row r="4544" spans="5:19" x14ac:dyDescent="0.3">
      <c r="E4544" s="9" t="str">
        <f>IF(DADOS!C4544="","",DADOS!C4544)</f>
        <v/>
      </c>
      <c r="F4544" s="9" t="str">
        <f>IF(DADOS!E4544="","",DADOS!E4544)</f>
        <v/>
      </c>
      <c r="G4544" s="9" t="str">
        <f>IF(DADOS!F4544="","",DADOS!F4544)</f>
        <v/>
      </c>
      <c r="K4544" s="6" t="str">
        <f t="shared" si="355"/>
        <v/>
      </c>
      <c r="L4544" s="7" t="str">
        <f t="shared" si="356"/>
        <v/>
      </c>
      <c r="M4544" s="7" t="str">
        <f t="shared" si="353"/>
        <v/>
      </c>
      <c r="N4544" s="7" t="str">
        <f t="shared" si="357"/>
        <v/>
      </c>
      <c r="O4544" s="8"/>
      <c r="P4544" s="26"/>
      <c r="S4544" s="10" t="str">
        <f t="shared" si="354"/>
        <v/>
      </c>
    </row>
    <row r="4545" spans="5:19" x14ac:dyDescent="0.3">
      <c r="E4545" s="9" t="str">
        <f>IF(DADOS!C4545="","",DADOS!C4545)</f>
        <v/>
      </c>
      <c r="F4545" s="9" t="str">
        <f>IF(DADOS!E4545="","",DADOS!E4545)</f>
        <v/>
      </c>
      <c r="G4545" s="9" t="str">
        <f>IF(DADOS!F4545="","",DADOS!F4545)</f>
        <v/>
      </c>
      <c r="K4545" s="6" t="str">
        <f t="shared" si="355"/>
        <v/>
      </c>
      <c r="L4545" s="7" t="str">
        <f t="shared" si="356"/>
        <v/>
      </c>
      <c r="M4545" s="7" t="str">
        <f t="shared" si="353"/>
        <v/>
      </c>
      <c r="N4545" s="7" t="str">
        <f t="shared" si="357"/>
        <v/>
      </c>
      <c r="O4545" s="8"/>
      <c r="P4545" s="26"/>
      <c r="S4545" s="10" t="str">
        <f t="shared" si="354"/>
        <v/>
      </c>
    </row>
    <row r="4546" spans="5:19" x14ac:dyDescent="0.3">
      <c r="E4546" s="9" t="str">
        <f>IF(DADOS!C4546="","",DADOS!C4546)</f>
        <v/>
      </c>
      <c r="F4546" s="9" t="str">
        <f>IF(DADOS!E4546="","",DADOS!E4546)</f>
        <v/>
      </c>
      <c r="G4546" s="9" t="str">
        <f>IF(DADOS!F4546="","",DADOS!F4546)</f>
        <v/>
      </c>
      <c r="K4546" s="6" t="str">
        <f t="shared" si="355"/>
        <v/>
      </c>
      <c r="L4546" s="7" t="str">
        <f t="shared" si="356"/>
        <v/>
      </c>
      <c r="M4546" s="7" t="str">
        <f t="shared" si="353"/>
        <v/>
      </c>
      <c r="N4546" s="7" t="str">
        <f t="shared" si="357"/>
        <v/>
      </c>
      <c r="O4546" s="8"/>
      <c r="P4546" s="26"/>
      <c r="S4546" s="10" t="str">
        <f t="shared" si="354"/>
        <v/>
      </c>
    </row>
    <row r="4547" spans="5:19" x14ac:dyDescent="0.3">
      <c r="E4547" s="9" t="str">
        <f>IF(DADOS!C4547="","",DADOS!C4547)</f>
        <v/>
      </c>
      <c r="F4547" s="9" t="str">
        <f>IF(DADOS!E4547="","",DADOS!E4547)</f>
        <v/>
      </c>
      <c r="G4547" s="9" t="str">
        <f>IF(DADOS!F4547="","",DADOS!F4547)</f>
        <v/>
      </c>
      <c r="K4547" s="6" t="str">
        <f t="shared" si="355"/>
        <v/>
      </c>
      <c r="L4547" s="7" t="str">
        <f t="shared" si="356"/>
        <v/>
      </c>
      <c r="M4547" s="7" t="str">
        <f t="shared" ref="M4547:M4610" si="358">IF(L4547="","",L4547*G4547)</f>
        <v/>
      </c>
      <c r="N4547" s="7" t="str">
        <f t="shared" si="357"/>
        <v/>
      </c>
      <c r="O4547" s="8"/>
      <c r="P4547" s="26"/>
      <c r="S4547" s="10" t="str">
        <f t="shared" ref="S4547:S4610" si="359">IF(R4547="","",SUMIFS($N$3:$N$10000,$E$3:$E$10000,R4547))</f>
        <v/>
      </c>
    </row>
    <row r="4548" spans="5:19" x14ac:dyDescent="0.3">
      <c r="E4548" s="9" t="str">
        <f>IF(DADOS!C4548="","",DADOS!C4548)</f>
        <v/>
      </c>
      <c r="F4548" s="9" t="str">
        <f>IF(DADOS!E4548="","",DADOS!E4548)</f>
        <v/>
      </c>
      <c r="G4548" s="9" t="str">
        <f>IF(DADOS!F4548="","",DADOS!F4548)</f>
        <v/>
      </c>
      <c r="K4548" s="6" t="str">
        <f t="shared" ref="K4548:K4611" si="360">IF(F4548="","",F4548/PI())</f>
        <v/>
      </c>
      <c r="L4548" s="7" t="str">
        <f t="shared" ref="L4548:L4611" si="361">IF(K4548="","",(PI()*K4548^2)/40000)</f>
        <v/>
      </c>
      <c r="M4548" s="7" t="str">
        <f t="shared" si="358"/>
        <v/>
      </c>
      <c r="N4548" s="7" t="str">
        <f t="shared" ref="N4548:N4611" si="362">IF(M4548="","",M4548*N$1)</f>
        <v/>
      </c>
      <c r="O4548" s="8"/>
      <c r="P4548" s="26"/>
      <c r="S4548" s="10" t="str">
        <f t="shared" si="359"/>
        <v/>
      </c>
    </row>
    <row r="4549" spans="5:19" x14ac:dyDescent="0.3">
      <c r="E4549" s="9" t="str">
        <f>IF(DADOS!C4549="","",DADOS!C4549)</f>
        <v/>
      </c>
      <c r="F4549" s="9" t="str">
        <f>IF(DADOS!E4549="","",DADOS!E4549)</f>
        <v/>
      </c>
      <c r="G4549" s="9" t="str">
        <f>IF(DADOS!F4549="","",DADOS!F4549)</f>
        <v/>
      </c>
      <c r="K4549" s="6" t="str">
        <f t="shared" si="360"/>
        <v/>
      </c>
      <c r="L4549" s="7" t="str">
        <f t="shared" si="361"/>
        <v/>
      </c>
      <c r="M4549" s="7" t="str">
        <f t="shared" si="358"/>
        <v/>
      </c>
      <c r="N4549" s="7" t="str">
        <f t="shared" si="362"/>
        <v/>
      </c>
      <c r="O4549" s="8"/>
      <c r="P4549" s="26"/>
      <c r="S4549" s="10" t="str">
        <f t="shared" si="359"/>
        <v/>
      </c>
    </row>
    <row r="4550" spans="5:19" x14ac:dyDescent="0.3">
      <c r="E4550" s="9" t="str">
        <f>IF(DADOS!C4550="","",DADOS!C4550)</f>
        <v/>
      </c>
      <c r="F4550" s="9" t="str">
        <f>IF(DADOS!E4550="","",DADOS!E4550)</f>
        <v/>
      </c>
      <c r="G4550" s="9" t="str">
        <f>IF(DADOS!F4550="","",DADOS!F4550)</f>
        <v/>
      </c>
      <c r="K4550" s="6" t="str">
        <f t="shared" si="360"/>
        <v/>
      </c>
      <c r="L4550" s="7" t="str">
        <f t="shared" si="361"/>
        <v/>
      </c>
      <c r="M4550" s="7" t="str">
        <f t="shared" si="358"/>
        <v/>
      </c>
      <c r="N4550" s="7" t="str">
        <f t="shared" si="362"/>
        <v/>
      </c>
      <c r="O4550" s="8"/>
      <c r="P4550" s="26"/>
      <c r="S4550" s="10" t="str">
        <f t="shared" si="359"/>
        <v/>
      </c>
    </row>
    <row r="4551" spans="5:19" x14ac:dyDescent="0.3">
      <c r="E4551" s="9" t="str">
        <f>IF(DADOS!C4551="","",DADOS!C4551)</f>
        <v/>
      </c>
      <c r="F4551" s="9" t="str">
        <f>IF(DADOS!E4551="","",DADOS!E4551)</f>
        <v/>
      </c>
      <c r="G4551" s="9" t="str">
        <f>IF(DADOS!F4551="","",DADOS!F4551)</f>
        <v/>
      </c>
      <c r="K4551" s="6" t="str">
        <f t="shared" si="360"/>
        <v/>
      </c>
      <c r="L4551" s="7" t="str">
        <f t="shared" si="361"/>
        <v/>
      </c>
      <c r="M4551" s="7" t="str">
        <f t="shared" si="358"/>
        <v/>
      </c>
      <c r="N4551" s="7" t="str">
        <f t="shared" si="362"/>
        <v/>
      </c>
      <c r="O4551" s="8"/>
      <c r="P4551" s="26"/>
      <c r="S4551" s="10" t="str">
        <f t="shared" si="359"/>
        <v/>
      </c>
    </row>
    <row r="4552" spans="5:19" x14ac:dyDescent="0.3">
      <c r="E4552" s="9" t="str">
        <f>IF(DADOS!C4552="","",DADOS!C4552)</f>
        <v/>
      </c>
      <c r="F4552" s="9" t="str">
        <f>IF(DADOS!E4552="","",DADOS!E4552)</f>
        <v/>
      </c>
      <c r="G4552" s="9" t="str">
        <f>IF(DADOS!F4552="","",DADOS!F4552)</f>
        <v/>
      </c>
      <c r="K4552" s="6" t="str">
        <f t="shared" si="360"/>
        <v/>
      </c>
      <c r="L4552" s="7" t="str">
        <f t="shared" si="361"/>
        <v/>
      </c>
      <c r="M4552" s="7" t="str">
        <f t="shared" si="358"/>
        <v/>
      </c>
      <c r="N4552" s="7" t="str">
        <f t="shared" si="362"/>
        <v/>
      </c>
      <c r="O4552" s="8"/>
      <c r="P4552" s="26"/>
      <c r="S4552" s="10" t="str">
        <f t="shared" si="359"/>
        <v/>
      </c>
    </row>
    <row r="4553" spans="5:19" x14ac:dyDescent="0.3">
      <c r="E4553" s="9" t="str">
        <f>IF(DADOS!C4553="","",DADOS!C4553)</f>
        <v/>
      </c>
      <c r="F4553" s="9" t="str">
        <f>IF(DADOS!E4553="","",DADOS!E4553)</f>
        <v/>
      </c>
      <c r="G4553" s="9" t="str">
        <f>IF(DADOS!F4553="","",DADOS!F4553)</f>
        <v/>
      </c>
      <c r="K4553" s="6" t="str">
        <f t="shared" si="360"/>
        <v/>
      </c>
      <c r="L4553" s="7" t="str">
        <f t="shared" si="361"/>
        <v/>
      </c>
      <c r="M4553" s="7" t="str">
        <f t="shared" si="358"/>
        <v/>
      </c>
      <c r="N4553" s="7" t="str">
        <f t="shared" si="362"/>
        <v/>
      </c>
      <c r="O4553" s="8"/>
      <c r="P4553" s="26"/>
      <c r="S4553" s="10" t="str">
        <f t="shared" si="359"/>
        <v/>
      </c>
    </row>
    <row r="4554" spans="5:19" x14ac:dyDescent="0.3">
      <c r="E4554" s="9" t="str">
        <f>IF(DADOS!C4554="","",DADOS!C4554)</f>
        <v/>
      </c>
      <c r="F4554" s="9" t="str">
        <f>IF(DADOS!E4554="","",DADOS!E4554)</f>
        <v/>
      </c>
      <c r="G4554" s="9" t="str">
        <f>IF(DADOS!F4554="","",DADOS!F4554)</f>
        <v/>
      </c>
      <c r="K4554" s="6" t="str">
        <f t="shared" si="360"/>
        <v/>
      </c>
      <c r="L4554" s="7" t="str">
        <f t="shared" si="361"/>
        <v/>
      </c>
      <c r="M4554" s="7" t="str">
        <f t="shared" si="358"/>
        <v/>
      </c>
      <c r="N4554" s="7" t="str">
        <f t="shared" si="362"/>
        <v/>
      </c>
      <c r="O4554" s="8"/>
      <c r="P4554" s="26"/>
      <c r="S4554" s="10" t="str">
        <f t="shared" si="359"/>
        <v/>
      </c>
    </row>
    <row r="4555" spans="5:19" x14ac:dyDescent="0.3">
      <c r="E4555" s="9" t="str">
        <f>IF(DADOS!C4555="","",DADOS!C4555)</f>
        <v/>
      </c>
      <c r="F4555" s="9" t="str">
        <f>IF(DADOS!E4555="","",DADOS!E4555)</f>
        <v/>
      </c>
      <c r="G4555" s="9" t="str">
        <f>IF(DADOS!F4555="","",DADOS!F4555)</f>
        <v/>
      </c>
      <c r="K4555" s="6" t="str">
        <f t="shared" si="360"/>
        <v/>
      </c>
      <c r="L4555" s="7" t="str">
        <f t="shared" si="361"/>
        <v/>
      </c>
      <c r="M4555" s="7" t="str">
        <f t="shared" si="358"/>
        <v/>
      </c>
      <c r="N4555" s="7" t="str">
        <f t="shared" si="362"/>
        <v/>
      </c>
      <c r="O4555" s="8"/>
      <c r="P4555" s="26"/>
      <c r="S4555" s="10" t="str">
        <f t="shared" si="359"/>
        <v/>
      </c>
    </row>
    <row r="4556" spans="5:19" x14ac:dyDescent="0.3">
      <c r="E4556" s="9" t="str">
        <f>IF(DADOS!C4556="","",DADOS!C4556)</f>
        <v/>
      </c>
      <c r="F4556" s="9" t="str">
        <f>IF(DADOS!E4556="","",DADOS!E4556)</f>
        <v/>
      </c>
      <c r="G4556" s="9" t="str">
        <f>IF(DADOS!F4556="","",DADOS!F4556)</f>
        <v/>
      </c>
      <c r="K4556" s="6" t="str">
        <f t="shared" si="360"/>
        <v/>
      </c>
      <c r="L4556" s="7" t="str">
        <f t="shared" si="361"/>
        <v/>
      </c>
      <c r="M4556" s="7" t="str">
        <f t="shared" si="358"/>
        <v/>
      </c>
      <c r="N4556" s="7" t="str">
        <f t="shared" si="362"/>
        <v/>
      </c>
      <c r="O4556" s="8"/>
      <c r="P4556" s="26"/>
      <c r="S4556" s="10" t="str">
        <f t="shared" si="359"/>
        <v/>
      </c>
    </row>
    <row r="4557" spans="5:19" x14ac:dyDescent="0.3">
      <c r="E4557" s="9" t="str">
        <f>IF(DADOS!C4557="","",DADOS!C4557)</f>
        <v/>
      </c>
      <c r="F4557" s="9" t="str">
        <f>IF(DADOS!E4557="","",DADOS!E4557)</f>
        <v/>
      </c>
      <c r="G4557" s="9" t="str">
        <f>IF(DADOS!F4557="","",DADOS!F4557)</f>
        <v/>
      </c>
      <c r="K4557" s="6" t="str">
        <f t="shared" si="360"/>
        <v/>
      </c>
      <c r="L4557" s="7" t="str">
        <f t="shared" si="361"/>
        <v/>
      </c>
      <c r="M4557" s="7" t="str">
        <f t="shared" si="358"/>
        <v/>
      </c>
      <c r="N4557" s="7" t="str">
        <f t="shared" si="362"/>
        <v/>
      </c>
      <c r="O4557" s="8"/>
      <c r="P4557" s="26"/>
      <c r="S4557" s="10" t="str">
        <f t="shared" si="359"/>
        <v/>
      </c>
    </row>
    <row r="4558" spans="5:19" x14ac:dyDescent="0.3">
      <c r="E4558" s="9" t="str">
        <f>IF(DADOS!C4558="","",DADOS!C4558)</f>
        <v/>
      </c>
      <c r="F4558" s="9" t="str">
        <f>IF(DADOS!E4558="","",DADOS!E4558)</f>
        <v/>
      </c>
      <c r="G4558" s="9" t="str">
        <f>IF(DADOS!F4558="","",DADOS!F4558)</f>
        <v/>
      </c>
      <c r="K4558" s="6" t="str">
        <f t="shared" si="360"/>
        <v/>
      </c>
      <c r="L4558" s="7" t="str">
        <f t="shared" si="361"/>
        <v/>
      </c>
      <c r="M4558" s="7" t="str">
        <f t="shared" si="358"/>
        <v/>
      </c>
      <c r="N4558" s="7" t="str">
        <f t="shared" si="362"/>
        <v/>
      </c>
      <c r="O4558" s="8"/>
      <c r="P4558" s="26"/>
      <c r="S4558" s="10" t="str">
        <f t="shared" si="359"/>
        <v/>
      </c>
    </row>
    <row r="4559" spans="5:19" x14ac:dyDescent="0.3">
      <c r="E4559" s="9" t="str">
        <f>IF(DADOS!C4559="","",DADOS!C4559)</f>
        <v/>
      </c>
      <c r="F4559" s="9" t="str">
        <f>IF(DADOS!E4559="","",DADOS!E4559)</f>
        <v/>
      </c>
      <c r="G4559" s="9" t="str">
        <f>IF(DADOS!F4559="","",DADOS!F4559)</f>
        <v/>
      </c>
      <c r="K4559" s="6" t="str">
        <f t="shared" si="360"/>
        <v/>
      </c>
      <c r="L4559" s="7" t="str">
        <f t="shared" si="361"/>
        <v/>
      </c>
      <c r="M4559" s="7" t="str">
        <f t="shared" si="358"/>
        <v/>
      </c>
      <c r="N4559" s="7" t="str">
        <f t="shared" si="362"/>
        <v/>
      </c>
      <c r="O4559" s="8"/>
      <c r="P4559" s="26"/>
      <c r="S4559" s="10" t="str">
        <f t="shared" si="359"/>
        <v/>
      </c>
    </row>
    <row r="4560" spans="5:19" x14ac:dyDescent="0.3">
      <c r="E4560" s="9" t="str">
        <f>IF(DADOS!C4560="","",DADOS!C4560)</f>
        <v/>
      </c>
      <c r="F4560" s="9" t="str">
        <f>IF(DADOS!E4560="","",DADOS!E4560)</f>
        <v/>
      </c>
      <c r="G4560" s="9" t="str">
        <f>IF(DADOS!F4560="","",DADOS!F4560)</f>
        <v/>
      </c>
      <c r="K4560" s="6" t="str">
        <f t="shared" si="360"/>
        <v/>
      </c>
      <c r="L4560" s="7" t="str">
        <f t="shared" si="361"/>
        <v/>
      </c>
      <c r="M4560" s="7" t="str">
        <f t="shared" si="358"/>
        <v/>
      </c>
      <c r="N4560" s="7" t="str">
        <f t="shared" si="362"/>
        <v/>
      </c>
      <c r="O4560" s="8"/>
      <c r="P4560" s="26"/>
      <c r="S4560" s="10" t="str">
        <f t="shared" si="359"/>
        <v/>
      </c>
    </row>
    <row r="4561" spans="5:19" x14ac:dyDescent="0.3">
      <c r="E4561" s="9" t="str">
        <f>IF(DADOS!C4561="","",DADOS!C4561)</f>
        <v/>
      </c>
      <c r="F4561" s="9" t="str">
        <f>IF(DADOS!E4561="","",DADOS!E4561)</f>
        <v/>
      </c>
      <c r="G4561" s="9" t="str">
        <f>IF(DADOS!F4561="","",DADOS!F4561)</f>
        <v/>
      </c>
      <c r="K4561" s="6" t="str">
        <f t="shared" si="360"/>
        <v/>
      </c>
      <c r="L4561" s="7" t="str">
        <f t="shared" si="361"/>
        <v/>
      </c>
      <c r="M4561" s="7" t="str">
        <f t="shared" si="358"/>
        <v/>
      </c>
      <c r="N4561" s="7" t="str">
        <f t="shared" si="362"/>
        <v/>
      </c>
      <c r="O4561" s="8"/>
      <c r="P4561" s="26"/>
      <c r="S4561" s="10" t="str">
        <f t="shared" si="359"/>
        <v/>
      </c>
    </row>
    <row r="4562" spans="5:19" x14ac:dyDescent="0.3">
      <c r="E4562" s="9" t="str">
        <f>IF(DADOS!C4562="","",DADOS!C4562)</f>
        <v/>
      </c>
      <c r="F4562" s="9" t="str">
        <f>IF(DADOS!E4562="","",DADOS!E4562)</f>
        <v/>
      </c>
      <c r="G4562" s="9" t="str">
        <f>IF(DADOS!F4562="","",DADOS!F4562)</f>
        <v/>
      </c>
      <c r="K4562" s="6" t="str">
        <f t="shared" si="360"/>
        <v/>
      </c>
      <c r="L4562" s="7" t="str">
        <f t="shared" si="361"/>
        <v/>
      </c>
      <c r="M4562" s="7" t="str">
        <f t="shared" si="358"/>
        <v/>
      </c>
      <c r="N4562" s="7" t="str">
        <f t="shared" si="362"/>
        <v/>
      </c>
      <c r="O4562" s="8"/>
      <c r="P4562" s="26"/>
      <c r="S4562" s="10" t="str">
        <f t="shared" si="359"/>
        <v/>
      </c>
    </row>
    <row r="4563" spans="5:19" x14ac:dyDescent="0.3">
      <c r="E4563" s="9" t="str">
        <f>IF(DADOS!C4563="","",DADOS!C4563)</f>
        <v/>
      </c>
      <c r="F4563" s="9" t="str">
        <f>IF(DADOS!E4563="","",DADOS!E4563)</f>
        <v/>
      </c>
      <c r="G4563" s="9" t="str">
        <f>IF(DADOS!F4563="","",DADOS!F4563)</f>
        <v/>
      </c>
      <c r="K4563" s="6" t="str">
        <f t="shared" si="360"/>
        <v/>
      </c>
      <c r="L4563" s="7" t="str">
        <f t="shared" si="361"/>
        <v/>
      </c>
      <c r="M4563" s="7" t="str">
        <f t="shared" si="358"/>
        <v/>
      </c>
      <c r="N4563" s="7" t="str">
        <f t="shared" si="362"/>
        <v/>
      </c>
      <c r="O4563" s="8"/>
      <c r="P4563" s="26"/>
      <c r="S4563" s="10" t="str">
        <f t="shared" si="359"/>
        <v/>
      </c>
    </row>
    <row r="4564" spans="5:19" x14ac:dyDescent="0.3">
      <c r="E4564" s="9" t="str">
        <f>IF(DADOS!C4564="","",DADOS!C4564)</f>
        <v/>
      </c>
      <c r="F4564" s="9" t="str">
        <f>IF(DADOS!E4564="","",DADOS!E4564)</f>
        <v/>
      </c>
      <c r="G4564" s="9" t="str">
        <f>IF(DADOS!F4564="","",DADOS!F4564)</f>
        <v/>
      </c>
      <c r="K4564" s="6" t="str">
        <f t="shared" si="360"/>
        <v/>
      </c>
      <c r="L4564" s="7" t="str">
        <f t="shared" si="361"/>
        <v/>
      </c>
      <c r="M4564" s="7" t="str">
        <f t="shared" si="358"/>
        <v/>
      </c>
      <c r="N4564" s="7" t="str">
        <f t="shared" si="362"/>
        <v/>
      </c>
      <c r="O4564" s="8"/>
      <c r="P4564" s="26"/>
      <c r="S4564" s="10" t="str">
        <f t="shared" si="359"/>
        <v/>
      </c>
    </row>
    <row r="4565" spans="5:19" x14ac:dyDescent="0.3">
      <c r="E4565" s="9" t="str">
        <f>IF(DADOS!C4565="","",DADOS!C4565)</f>
        <v/>
      </c>
      <c r="F4565" s="9" t="str">
        <f>IF(DADOS!E4565="","",DADOS!E4565)</f>
        <v/>
      </c>
      <c r="G4565" s="9" t="str">
        <f>IF(DADOS!F4565="","",DADOS!F4565)</f>
        <v/>
      </c>
      <c r="K4565" s="6" t="str">
        <f t="shared" si="360"/>
        <v/>
      </c>
      <c r="L4565" s="7" t="str">
        <f t="shared" si="361"/>
        <v/>
      </c>
      <c r="M4565" s="7" t="str">
        <f t="shared" si="358"/>
        <v/>
      </c>
      <c r="N4565" s="7" t="str">
        <f t="shared" si="362"/>
        <v/>
      </c>
      <c r="O4565" s="8"/>
      <c r="P4565" s="26"/>
      <c r="S4565" s="10" t="str">
        <f t="shared" si="359"/>
        <v/>
      </c>
    </row>
    <row r="4566" spans="5:19" x14ac:dyDescent="0.3">
      <c r="E4566" s="9" t="str">
        <f>IF(DADOS!C4566="","",DADOS!C4566)</f>
        <v/>
      </c>
      <c r="F4566" s="9" t="str">
        <f>IF(DADOS!E4566="","",DADOS!E4566)</f>
        <v/>
      </c>
      <c r="G4566" s="9" t="str">
        <f>IF(DADOS!F4566="","",DADOS!F4566)</f>
        <v/>
      </c>
      <c r="K4566" s="6" t="str">
        <f t="shared" si="360"/>
        <v/>
      </c>
      <c r="L4566" s="7" t="str">
        <f t="shared" si="361"/>
        <v/>
      </c>
      <c r="M4566" s="7" t="str">
        <f t="shared" si="358"/>
        <v/>
      </c>
      <c r="N4566" s="7" t="str">
        <f t="shared" si="362"/>
        <v/>
      </c>
      <c r="O4566" s="8"/>
      <c r="P4566" s="26"/>
      <c r="S4566" s="10" t="str">
        <f t="shared" si="359"/>
        <v/>
      </c>
    </row>
    <row r="4567" spans="5:19" x14ac:dyDescent="0.3">
      <c r="E4567" s="9" t="str">
        <f>IF(DADOS!C4567="","",DADOS!C4567)</f>
        <v/>
      </c>
      <c r="F4567" s="9" t="str">
        <f>IF(DADOS!E4567="","",DADOS!E4567)</f>
        <v/>
      </c>
      <c r="G4567" s="9" t="str">
        <f>IF(DADOS!F4567="","",DADOS!F4567)</f>
        <v/>
      </c>
      <c r="K4567" s="6" t="str">
        <f t="shared" si="360"/>
        <v/>
      </c>
      <c r="L4567" s="7" t="str">
        <f t="shared" si="361"/>
        <v/>
      </c>
      <c r="M4567" s="7" t="str">
        <f t="shared" si="358"/>
        <v/>
      </c>
      <c r="N4567" s="7" t="str">
        <f t="shared" si="362"/>
        <v/>
      </c>
      <c r="O4567" s="8"/>
      <c r="P4567" s="26"/>
      <c r="S4567" s="10" t="str">
        <f t="shared" si="359"/>
        <v/>
      </c>
    </row>
    <row r="4568" spans="5:19" x14ac:dyDescent="0.3">
      <c r="E4568" s="9" t="str">
        <f>IF(DADOS!C4568="","",DADOS!C4568)</f>
        <v/>
      </c>
      <c r="F4568" s="9" t="str">
        <f>IF(DADOS!E4568="","",DADOS!E4568)</f>
        <v/>
      </c>
      <c r="G4568" s="9" t="str">
        <f>IF(DADOS!F4568="","",DADOS!F4568)</f>
        <v/>
      </c>
      <c r="K4568" s="6" t="str">
        <f t="shared" si="360"/>
        <v/>
      </c>
      <c r="L4568" s="7" t="str">
        <f t="shared" si="361"/>
        <v/>
      </c>
      <c r="M4568" s="7" t="str">
        <f t="shared" si="358"/>
        <v/>
      </c>
      <c r="N4568" s="7" t="str">
        <f t="shared" si="362"/>
        <v/>
      </c>
      <c r="O4568" s="8"/>
      <c r="P4568" s="26"/>
      <c r="S4568" s="10" t="str">
        <f t="shared" si="359"/>
        <v/>
      </c>
    </row>
    <row r="4569" spans="5:19" x14ac:dyDescent="0.3">
      <c r="E4569" s="9" t="str">
        <f>IF(DADOS!C4569="","",DADOS!C4569)</f>
        <v/>
      </c>
      <c r="F4569" s="9" t="str">
        <f>IF(DADOS!E4569="","",DADOS!E4569)</f>
        <v/>
      </c>
      <c r="G4569" s="9" t="str">
        <f>IF(DADOS!F4569="","",DADOS!F4569)</f>
        <v/>
      </c>
      <c r="K4569" s="6" t="str">
        <f t="shared" si="360"/>
        <v/>
      </c>
      <c r="L4569" s="7" t="str">
        <f t="shared" si="361"/>
        <v/>
      </c>
      <c r="M4569" s="7" t="str">
        <f t="shared" si="358"/>
        <v/>
      </c>
      <c r="N4569" s="7" t="str">
        <f t="shared" si="362"/>
        <v/>
      </c>
      <c r="O4569" s="8"/>
      <c r="P4569" s="26"/>
      <c r="S4569" s="10" t="str">
        <f t="shared" si="359"/>
        <v/>
      </c>
    </row>
    <row r="4570" spans="5:19" x14ac:dyDescent="0.3">
      <c r="E4570" s="9" t="str">
        <f>IF(DADOS!C4570="","",DADOS!C4570)</f>
        <v/>
      </c>
      <c r="F4570" s="9" t="str">
        <f>IF(DADOS!E4570="","",DADOS!E4570)</f>
        <v/>
      </c>
      <c r="G4570" s="9" t="str">
        <f>IF(DADOS!F4570="","",DADOS!F4570)</f>
        <v/>
      </c>
      <c r="K4570" s="6" t="str">
        <f t="shared" si="360"/>
        <v/>
      </c>
      <c r="L4570" s="7" t="str">
        <f t="shared" si="361"/>
        <v/>
      </c>
      <c r="M4570" s="7" t="str">
        <f t="shared" si="358"/>
        <v/>
      </c>
      <c r="N4570" s="7" t="str">
        <f t="shared" si="362"/>
        <v/>
      </c>
      <c r="O4570" s="8"/>
      <c r="P4570" s="26"/>
      <c r="S4570" s="10" t="str">
        <f t="shared" si="359"/>
        <v/>
      </c>
    </row>
    <row r="4571" spans="5:19" x14ac:dyDescent="0.3">
      <c r="E4571" s="9" t="str">
        <f>IF(DADOS!C4571="","",DADOS!C4571)</f>
        <v/>
      </c>
      <c r="F4571" s="9" t="str">
        <f>IF(DADOS!E4571="","",DADOS!E4571)</f>
        <v/>
      </c>
      <c r="G4571" s="9" t="str">
        <f>IF(DADOS!F4571="","",DADOS!F4571)</f>
        <v/>
      </c>
      <c r="K4571" s="6" t="str">
        <f t="shared" si="360"/>
        <v/>
      </c>
      <c r="L4571" s="7" t="str">
        <f t="shared" si="361"/>
        <v/>
      </c>
      <c r="M4571" s="7" t="str">
        <f t="shared" si="358"/>
        <v/>
      </c>
      <c r="N4571" s="7" t="str">
        <f t="shared" si="362"/>
        <v/>
      </c>
      <c r="O4571" s="8"/>
      <c r="P4571" s="26"/>
      <c r="S4571" s="10" t="str">
        <f t="shared" si="359"/>
        <v/>
      </c>
    </row>
    <row r="4572" spans="5:19" x14ac:dyDescent="0.3">
      <c r="E4572" s="9" t="str">
        <f>IF(DADOS!C4572="","",DADOS!C4572)</f>
        <v/>
      </c>
      <c r="F4572" s="9" t="str">
        <f>IF(DADOS!E4572="","",DADOS!E4572)</f>
        <v/>
      </c>
      <c r="G4572" s="9" t="str">
        <f>IF(DADOS!F4572="","",DADOS!F4572)</f>
        <v/>
      </c>
      <c r="K4572" s="6" t="str">
        <f t="shared" si="360"/>
        <v/>
      </c>
      <c r="L4572" s="7" t="str">
        <f t="shared" si="361"/>
        <v/>
      </c>
      <c r="M4572" s="7" t="str">
        <f t="shared" si="358"/>
        <v/>
      </c>
      <c r="N4572" s="7" t="str">
        <f t="shared" si="362"/>
        <v/>
      </c>
      <c r="O4572" s="8"/>
      <c r="P4572" s="26"/>
      <c r="S4572" s="10" t="str">
        <f t="shared" si="359"/>
        <v/>
      </c>
    </row>
    <row r="4573" spans="5:19" x14ac:dyDescent="0.3">
      <c r="E4573" s="9" t="str">
        <f>IF(DADOS!C4573="","",DADOS!C4573)</f>
        <v/>
      </c>
      <c r="F4573" s="9" t="str">
        <f>IF(DADOS!E4573="","",DADOS!E4573)</f>
        <v/>
      </c>
      <c r="G4573" s="9" t="str">
        <f>IF(DADOS!F4573="","",DADOS!F4573)</f>
        <v/>
      </c>
      <c r="K4573" s="6" t="str">
        <f t="shared" si="360"/>
        <v/>
      </c>
      <c r="L4573" s="7" t="str">
        <f t="shared" si="361"/>
        <v/>
      </c>
      <c r="M4573" s="7" t="str">
        <f t="shared" si="358"/>
        <v/>
      </c>
      <c r="N4573" s="7" t="str">
        <f t="shared" si="362"/>
        <v/>
      </c>
      <c r="O4573" s="8"/>
      <c r="P4573" s="26"/>
      <c r="S4573" s="10" t="str">
        <f t="shared" si="359"/>
        <v/>
      </c>
    </row>
    <row r="4574" spans="5:19" x14ac:dyDescent="0.3">
      <c r="E4574" s="9" t="str">
        <f>IF(DADOS!C4574="","",DADOS!C4574)</f>
        <v/>
      </c>
      <c r="F4574" s="9" t="str">
        <f>IF(DADOS!E4574="","",DADOS!E4574)</f>
        <v/>
      </c>
      <c r="G4574" s="9" t="str">
        <f>IF(DADOS!F4574="","",DADOS!F4574)</f>
        <v/>
      </c>
      <c r="K4574" s="6" t="str">
        <f t="shared" si="360"/>
        <v/>
      </c>
      <c r="L4574" s="7" t="str">
        <f t="shared" si="361"/>
        <v/>
      </c>
      <c r="M4574" s="7" t="str">
        <f t="shared" si="358"/>
        <v/>
      </c>
      <c r="N4574" s="7" t="str">
        <f t="shared" si="362"/>
        <v/>
      </c>
      <c r="O4574" s="8"/>
      <c r="P4574" s="26"/>
      <c r="S4574" s="10" t="str">
        <f t="shared" si="359"/>
        <v/>
      </c>
    </row>
    <row r="4575" spans="5:19" x14ac:dyDescent="0.3">
      <c r="E4575" s="9" t="str">
        <f>IF(DADOS!C4575="","",DADOS!C4575)</f>
        <v/>
      </c>
      <c r="F4575" s="9" t="str">
        <f>IF(DADOS!E4575="","",DADOS!E4575)</f>
        <v/>
      </c>
      <c r="G4575" s="9" t="str">
        <f>IF(DADOS!F4575="","",DADOS!F4575)</f>
        <v/>
      </c>
      <c r="K4575" s="6" t="str">
        <f t="shared" si="360"/>
        <v/>
      </c>
      <c r="L4575" s="7" t="str">
        <f t="shared" si="361"/>
        <v/>
      </c>
      <c r="M4575" s="7" t="str">
        <f t="shared" si="358"/>
        <v/>
      </c>
      <c r="N4575" s="7" t="str">
        <f t="shared" si="362"/>
        <v/>
      </c>
      <c r="O4575" s="8"/>
      <c r="P4575" s="26"/>
      <c r="S4575" s="10" t="str">
        <f t="shared" si="359"/>
        <v/>
      </c>
    </row>
    <row r="4576" spans="5:19" x14ac:dyDescent="0.3">
      <c r="E4576" s="9" t="str">
        <f>IF(DADOS!C4576="","",DADOS!C4576)</f>
        <v/>
      </c>
      <c r="F4576" s="9" t="str">
        <f>IF(DADOS!E4576="","",DADOS!E4576)</f>
        <v/>
      </c>
      <c r="G4576" s="9" t="str">
        <f>IF(DADOS!F4576="","",DADOS!F4576)</f>
        <v/>
      </c>
      <c r="K4576" s="6" t="str">
        <f t="shared" si="360"/>
        <v/>
      </c>
      <c r="L4576" s="7" t="str">
        <f t="shared" si="361"/>
        <v/>
      </c>
      <c r="M4576" s="7" t="str">
        <f t="shared" si="358"/>
        <v/>
      </c>
      <c r="N4576" s="7" t="str">
        <f t="shared" si="362"/>
        <v/>
      </c>
      <c r="O4576" s="8"/>
      <c r="P4576" s="26"/>
      <c r="S4576" s="10" t="str">
        <f t="shared" si="359"/>
        <v/>
      </c>
    </row>
    <row r="4577" spans="5:19" x14ac:dyDescent="0.3">
      <c r="E4577" s="9" t="str">
        <f>IF(DADOS!C4577="","",DADOS!C4577)</f>
        <v/>
      </c>
      <c r="F4577" s="9" t="str">
        <f>IF(DADOS!E4577="","",DADOS!E4577)</f>
        <v/>
      </c>
      <c r="G4577" s="9" t="str">
        <f>IF(DADOS!F4577="","",DADOS!F4577)</f>
        <v/>
      </c>
      <c r="K4577" s="6" t="str">
        <f t="shared" si="360"/>
        <v/>
      </c>
      <c r="L4577" s="7" t="str">
        <f t="shared" si="361"/>
        <v/>
      </c>
      <c r="M4577" s="7" t="str">
        <f t="shared" si="358"/>
        <v/>
      </c>
      <c r="N4577" s="7" t="str">
        <f t="shared" si="362"/>
        <v/>
      </c>
      <c r="O4577" s="8"/>
      <c r="P4577" s="26"/>
      <c r="S4577" s="10" t="str">
        <f t="shared" si="359"/>
        <v/>
      </c>
    </row>
    <row r="4578" spans="5:19" x14ac:dyDescent="0.3">
      <c r="E4578" s="9" t="str">
        <f>IF(DADOS!C4578="","",DADOS!C4578)</f>
        <v/>
      </c>
      <c r="F4578" s="9" t="str">
        <f>IF(DADOS!E4578="","",DADOS!E4578)</f>
        <v/>
      </c>
      <c r="G4578" s="9" t="str">
        <f>IF(DADOS!F4578="","",DADOS!F4578)</f>
        <v/>
      </c>
      <c r="K4578" s="6" t="str">
        <f t="shared" si="360"/>
        <v/>
      </c>
      <c r="L4578" s="7" t="str">
        <f t="shared" si="361"/>
        <v/>
      </c>
      <c r="M4578" s="7" t="str">
        <f t="shared" si="358"/>
        <v/>
      </c>
      <c r="N4578" s="7" t="str">
        <f t="shared" si="362"/>
        <v/>
      </c>
      <c r="O4578" s="8"/>
      <c r="P4578" s="26"/>
      <c r="S4578" s="10" t="str">
        <f t="shared" si="359"/>
        <v/>
      </c>
    </row>
    <row r="4579" spans="5:19" x14ac:dyDescent="0.3">
      <c r="E4579" s="9" t="str">
        <f>IF(DADOS!C4579="","",DADOS!C4579)</f>
        <v/>
      </c>
      <c r="F4579" s="9" t="str">
        <f>IF(DADOS!E4579="","",DADOS!E4579)</f>
        <v/>
      </c>
      <c r="G4579" s="9" t="str">
        <f>IF(DADOS!F4579="","",DADOS!F4579)</f>
        <v/>
      </c>
      <c r="K4579" s="6" t="str">
        <f t="shared" si="360"/>
        <v/>
      </c>
      <c r="L4579" s="7" t="str">
        <f t="shared" si="361"/>
        <v/>
      </c>
      <c r="M4579" s="7" t="str">
        <f t="shared" si="358"/>
        <v/>
      </c>
      <c r="N4579" s="7" t="str">
        <f t="shared" si="362"/>
        <v/>
      </c>
      <c r="O4579" s="8"/>
      <c r="P4579" s="26"/>
      <c r="S4579" s="10" t="str">
        <f t="shared" si="359"/>
        <v/>
      </c>
    </row>
    <row r="4580" spans="5:19" x14ac:dyDescent="0.3">
      <c r="E4580" s="9" t="str">
        <f>IF(DADOS!C4580="","",DADOS!C4580)</f>
        <v/>
      </c>
      <c r="F4580" s="9" t="str">
        <f>IF(DADOS!E4580="","",DADOS!E4580)</f>
        <v/>
      </c>
      <c r="G4580" s="9" t="str">
        <f>IF(DADOS!F4580="","",DADOS!F4580)</f>
        <v/>
      </c>
      <c r="K4580" s="6" t="str">
        <f t="shared" si="360"/>
        <v/>
      </c>
      <c r="L4580" s="7" t="str">
        <f t="shared" si="361"/>
        <v/>
      </c>
      <c r="M4580" s="7" t="str">
        <f t="shared" si="358"/>
        <v/>
      </c>
      <c r="N4580" s="7" t="str">
        <f t="shared" si="362"/>
        <v/>
      </c>
      <c r="O4580" s="8"/>
      <c r="P4580" s="26"/>
      <c r="S4580" s="10" t="str">
        <f t="shared" si="359"/>
        <v/>
      </c>
    </row>
    <row r="4581" spans="5:19" x14ac:dyDescent="0.3">
      <c r="E4581" s="9" t="str">
        <f>IF(DADOS!C4581="","",DADOS!C4581)</f>
        <v/>
      </c>
      <c r="F4581" s="9" t="str">
        <f>IF(DADOS!E4581="","",DADOS!E4581)</f>
        <v/>
      </c>
      <c r="G4581" s="9" t="str">
        <f>IF(DADOS!F4581="","",DADOS!F4581)</f>
        <v/>
      </c>
      <c r="K4581" s="6" t="str">
        <f t="shared" si="360"/>
        <v/>
      </c>
      <c r="L4581" s="7" t="str">
        <f t="shared" si="361"/>
        <v/>
      </c>
      <c r="M4581" s="7" t="str">
        <f t="shared" si="358"/>
        <v/>
      </c>
      <c r="N4581" s="7" t="str">
        <f t="shared" si="362"/>
        <v/>
      </c>
      <c r="O4581" s="8"/>
      <c r="P4581" s="26"/>
      <c r="S4581" s="10" t="str">
        <f t="shared" si="359"/>
        <v/>
      </c>
    </row>
    <row r="4582" spans="5:19" x14ac:dyDescent="0.3">
      <c r="E4582" s="9" t="str">
        <f>IF(DADOS!C4582="","",DADOS!C4582)</f>
        <v/>
      </c>
      <c r="F4582" s="9" t="str">
        <f>IF(DADOS!E4582="","",DADOS!E4582)</f>
        <v/>
      </c>
      <c r="G4582" s="9" t="str">
        <f>IF(DADOS!F4582="","",DADOS!F4582)</f>
        <v/>
      </c>
      <c r="K4582" s="6" t="str">
        <f t="shared" si="360"/>
        <v/>
      </c>
      <c r="L4582" s="7" t="str">
        <f t="shared" si="361"/>
        <v/>
      </c>
      <c r="M4582" s="7" t="str">
        <f t="shared" si="358"/>
        <v/>
      </c>
      <c r="N4582" s="7" t="str">
        <f t="shared" si="362"/>
        <v/>
      </c>
      <c r="O4582" s="8"/>
      <c r="P4582" s="26"/>
      <c r="S4582" s="10" t="str">
        <f t="shared" si="359"/>
        <v/>
      </c>
    </row>
    <row r="4583" spans="5:19" x14ac:dyDescent="0.3">
      <c r="E4583" s="9" t="str">
        <f>IF(DADOS!C4583="","",DADOS!C4583)</f>
        <v/>
      </c>
      <c r="F4583" s="9" t="str">
        <f>IF(DADOS!E4583="","",DADOS!E4583)</f>
        <v/>
      </c>
      <c r="G4583" s="9" t="str">
        <f>IF(DADOS!F4583="","",DADOS!F4583)</f>
        <v/>
      </c>
      <c r="K4583" s="6" t="str">
        <f t="shared" si="360"/>
        <v/>
      </c>
      <c r="L4583" s="7" t="str">
        <f t="shared" si="361"/>
        <v/>
      </c>
      <c r="M4583" s="7" t="str">
        <f t="shared" si="358"/>
        <v/>
      </c>
      <c r="N4583" s="7" t="str">
        <f t="shared" si="362"/>
        <v/>
      </c>
      <c r="O4583" s="8"/>
      <c r="P4583" s="26"/>
      <c r="S4583" s="10" t="str">
        <f t="shared" si="359"/>
        <v/>
      </c>
    </row>
    <row r="4584" spans="5:19" x14ac:dyDescent="0.3">
      <c r="E4584" s="9" t="str">
        <f>IF(DADOS!C4584="","",DADOS!C4584)</f>
        <v/>
      </c>
      <c r="F4584" s="9" t="str">
        <f>IF(DADOS!E4584="","",DADOS!E4584)</f>
        <v/>
      </c>
      <c r="G4584" s="9" t="str">
        <f>IF(DADOS!F4584="","",DADOS!F4584)</f>
        <v/>
      </c>
      <c r="K4584" s="6" t="str">
        <f t="shared" si="360"/>
        <v/>
      </c>
      <c r="L4584" s="7" t="str">
        <f t="shared" si="361"/>
        <v/>
      </c>
      <c r="M4584" s="7" t="str">
        <f t="shared" si="358"/>
        <v/>
      </c>
      <c r="N4584" s="7" t="str">
        <f t="shared" si="362"/>
        <v/>
      </c>
      <c r="O4584" s="8"/>
      <c r="P4584" s="26"/>
      <c r="S4584" s="10" t="str">
        <f t="shared" si="359"/>
        <v/>
      </c>
    </row>
    <row r="4585" spans="5:19" x14ac:dyDescent="0.3">
      <c r="E4585" s="9" t="str">
        <f>IF(DADOS!C4585="","",DADOS!C4585)</f>
        <v/>
      </c>
      <c r="F4585" s="9" t="str">
        <f>IF(DADOS!E4585="","",DADOS!E4585)</f>
        <v/>
      </c>
      <c r="G4585" s="9" t="str">
        <f>IF(DADOS!F4585="","",DADOS!F4585)</f>
        <v/>
      </c>
      <c r="K4585" s="6" t="str">
        <f t="shared" si="360"/>
        <v/>
      </c>
      <c r="L4585" s="7" t="str">
        <f t="shared" si="361"/>
        <v/>
      </c>
      <c r="M4585" s="7" t="str">
        <f t="shared" si="358"/>
        <v/>
      </c>
      <c r="N4585" s="7" t="str">
        <f t="shared" si="362"/>
        <v/>
      </c>
      <c r="O4585" s="8"/>
      <c r="P4585" s="26"/>
      <c r="S4585" s="10" t="str">
        <f t="shared" si="359"/>
        <v/>
      </c>
    </row>
    <row r="4586" spans="5:19" x14ac:dyDescent="0.3">
      <c r="E4586" s="9" t="str">
        <f>IF(DADOS!C4586="","",DADOS!C4586)</f>
        <v/>
      </c>
      <c r="F4586" s="9" t="str">
        <f>IF(DADOS!E4586="","",DADOS!E4586)</f>
        <v/>
      </c>
      <c r="G4586" s="9" t="str">
        <f>IF(DADOS!F4586="","",DADOS!F4586)</f>
        <v/>
      </c>
      <c r="K4586" s="6" t="str">
        <f t="shared" si="360"/>
        <v/>
      </c>
      <c r="L4586" s="7" t="str">
        <f t="shared" si="361"/>
        <v/>
      </c>
      <c r="M4586" s="7" t="str">
        <f t="shared" si="358"/>
        <v/>
      </c>
      <c r="N4586" s="7" t="str">
        <f t="shared" si="362"/>
        <v/>
      </c>
      <c r="O4586" s="8"/>
      <c r="P4586" s="26"/>
      <c r="S4586" s="10" t="str">
        <f t="shared" si="359"/>
        <v/>
      </c>
    </row>
    <row r="4587" spans="5:19" x14ac:dyDescent="0.3">
      <c r="E4587" s="9" t="str">
        <f>IF(DADOS!C4587="","",DADOS!C4587)</f>
        <v/>
      </c>
      <c r="F4587" s="9" t="str">
        <f>IF(DADOS!E4587="","",DADOS!E4587)</f>
        <v/>
      </c>
      <c r="G4587" s="9" t="str">
        <f>IF(DADOS!F4587="","",DADOS!F4587)</f>
        <v/>
      </c>
      <c r="K4587" s="6" t="str">
        <f t="shared" si="360"/>
        <v/>
      </c>
      <c r="L4587" s="7" t="str">
        <f t="shared" si="361"/>
        <v/>
      </c>
      <c r="M4587" s="7" t="str">
        <f t="shared" si="358"/>
        <v/>
      </c>
      <c r="N4587" s="7" t="str">
        <f t="shared" si="362"/>
        <v/>
      </c>
      <c r="O4587" s="8"/>
      <c r="P4587" s="26"/>
      <c r="S4587" s="10" t="str">
        <f t="shared" si="359"/>
        <v/>
      </c>
    </row>
    <row r="4588" spans="5:19" x14ac:dyDescent="0.3">
      <c r="E4588" s="9" t="str">
        <f>IF(DADOS!C4588="","",DADOS!C4588)</f>
        <v/>
      </c>
      <c r="F4588" s="9" t="str">
        <f>IF(DADOS!E4588="","",DADOS!E4588)</f>
        <v/>
      </c>
      <c r="G4588" s="9" t="str">
        <f>IF(DADOS!F4588="","",DADOS!F4588)</f>
        <v/>
      </c>
      <c r="K4588" s="6" t="str">
        <f t="shared" si="360"/>
        <v/>
      </c>
      <c r="L4588" s="7" t="str">
        <f t="shared" si="361"/>
        <v/>
      </c>
      <c r="M4588" s="7" t="str">
        <f t="shared" si="358"/>
        <v/>
      </c>
      <c r="N4588" s="7" t="str">
        <f t="shared" si="362"/>
        <v/>
      </c>
      <c r="O4588" s="8"/>
      <c r="P4588" s="26"/>
      <c r="S4588" s="10" t="str">
        <f t="shared" si="359"/>
        <v/>
      </c>
    </row>
    <row r="4589" spans="5:19" x14ac:dyDescent="0.3">
      <c r="E4589" s="9" t="str">
        <f>IF(DADOS!C4589="","",DADOS!C4589)</f>
        <v/>
      </c>
      <c r="F4589" s="9" t="str">
        <f>IF(DADOS!E4589="","",DADOS!E4589)</f>
        <v/>
      </c>
      <c r="G4589" s="9" t="str">
        <f>IF(DADOS!F4589="","",DADOS!F4589)</f>
        <v/>
      </c>
      <c r="K4589" s="6" t="str">
        <f t="shared" si="360"/>
        <v/>
      </c>
      <c r="L4589" s="7" t="str">
        <f t="shared" si="361"/>
        <v/>
      </c>
      <c r="M4589" s="7" t="str">
        <f t="shared" si="358"/>
        <v/>
      </c>
      <c r="N4589" s="7" t="str">
        <f t="shared" si="362"/>
        <v/>
      </c>
      <c r="O4589" s="8"/>
      <c r="P4589" s="26"/>
      <c r="S4589" s="10" t="str">
        <f t="shared" si="359"/>
        <v/>
      </c>
    </row>
    <row r="4590" spans="5:19" x14ac:dyDescent="0.3">
      <c r="E4590" s="9" t="str">
        <f>IF(DADOS!C4590="","",DADOS!C4590)</f>
        <v/>
      </c>
      <c r="F4590" s="9" t="str">
        <f>IF(DADOS!E4590="","",DADOS!E4590)</f>
        <v/>
      </c>
      <c r="G4590" s="9" t="str">
        <f>IF(DADOS!F4590="","",DADOS!F4590)</f>
        <v/>
      </c>
      <c r="K4590" s="6" t="str">
        <f t="shared" si="360"/>
        <v/>
      </c>
      <c r="L4590" s="7" t="str">
        <f t="shared" si="361"/>
        <v/>
      </c>
      <c r="M4590" s="7" t="str">
        <f t="shared" si="358"/>
        <v/>
      </c>
      <c r="N4590" s="7" t="str">
        <f t="shared" si="362"/>
        <v/>
      </c>
      <c r="O4590" s="8"/>
      <c r="P4590" s="26"/>
      <c r="S4590" s="10" t="str">
        <f t="shared" si="359"/>
        <v/>
      </c>
    </row>
    <row r="4591" spans="5:19" x14ac:dyDescent="0.3">
      <c r="E4591" s="9" t="str">
        <f>IF(DADOS!C4591="","",DADOS!C4591)</f>
        <v/>
      </c>
      <c r="F4591" s="9" t="str">
        <f>IF(DADOS!E4591="","",DADOS!E4591)</f>
        <v/>
      </c>
      <c r="G4591" s="9" t="str">
        <f>IF(DADOS!F4591="","",DADOS!F4591)</f>
        <v/>
      </c>
      <c r="K4591" s="6" t="str">
        <f t="shared" si="360"/>
        <v/>
      </c>
      <c r="L4591" s="7" t="str">
        <f t="shared" si="361"/>
        <v/>
      </c>
      <c r="M4591" s="7" t="str">
        <f t="shared" si="358"/>
        <v/>
      </c>
      <c r="N4591" s="7" t="str">
        <f t="shared" si="362"/>
        <v/>
      </c>
      <c r="O4591" s="8"/>
      <c r="P4591" s="26"/>
      <c r="S4591" s="10" t="str">
        <f t="shared" si="359"/>
        <v/>
      </c>
    </row>
    <row r="4592" spans="5:19" x14ac:dyDescent="0.3">
      <c r="E4592" s="9" t="str">
        <f>IF(DADOS!C4592="","",DADOS!C4592)</f>
        <v/>
      </c>
      <c r="F4592" s="9" t="str">
        <f>IF(DADOS!E4592="","",DADOS!E4592)</f>
        <v/>
      </c>
      <c r="G4592" s="9" t="str">
        <f>IF(DADOS!F4592="","",DADOS!F4592)</f>
        <v/>
      </c>
      <c r="K4592" s="6" t="str">
        <f t="shared" si="360"/>
        <v/>
      </c>
      <c r="L4592" s="7" t="str">
        <f t="shared" si="361"/>
        <v/>
      </c>
      <c r="M4592" s="7" t="str">
        <f t="shared" si="358"/>
        <v/>
      </c>
      <c r="N4592" s="7" t="str">
        <f t="shared" si="362"/>
        <v/>
      </c>
      <c r="O4592" s="8"/>
      <c r="P4592" s="26"/>
      <c r="S4592" s="10" t="str">
        <f t="shared" si="359"/>
        <v/>
      </c>
    </row>
    <row r="4593" spans="5:19" x14ac:dyDescent="0.3">
      <c r="E4593" s="9" t="str">
        <f>IF(DADOS!C4593="","",DADOS!C4593)</f>
        <v/>
      </c>
      <c r="F4593" s="9" t="str">
        <f>IF(DADOS!E4593="","",DADOS!E4593)</f>
        <v/>
      </c>
      <c r="G4593" s="9" t="str">
        <f>IF(DADOS!F4593="","",DADOS!F4593)</f>
        <v/>
      </c>
      <c r="K4593" s="6" t="str">
        <f t="shared" si="360"/>
        <v/>
      </c>
      <c r="L4593" s="7" t="str">
        <f t="shared" si="361"/>
        <v/>
      </c>
      <c r="M4593" s="7" t="str">
        <f t="shared" si="358"/>
        <v/>
      </c>
      <c r="N4593" s="7" t="str">
        <f t="shared" si="362"/>
        <v/>
      </c>
      <c r="O4593" s="8"/>
      <c r="P4593" s="26"/>
      <c r="S4593" s="10" t="str">
        <f t="shared" si="359"/>
        <v/>
      </c>
    </row>
    <row r="4594" spans="5:19" x14ac:dyDescent="0.3">
      <c r="E4594" s="9" t="str">
        <f>IF(DADOS!C4594="","",DADOS!C4594)</f>
        <v/>
      </c>
      <c r="F4594" s="9" t="str">
        <f>IF(DADOS!E4594="","",DADOS!E4594)</f>
        <v/>
      </c>
      <c r="G4594" s="9" t="str">
        <f>IF(DADOS!F4594="","",DADOS!F4594)</f>
        <v/>
      </c>
      <c r="K4594" s="6" t="str">
        <f t="shared" si="360"/>
        <v/>
      </c>
      <c r="L4594" s="7" t="str">
        <f t="shared" si="361"/>
        <v/>
      </c>
      <c r="M4594" s="7" t="str">
        <f t="shared" si="358"/>
        <v/>
      </c>
      <c r="N4594" s="7" t="str">
        <f t="shared" si="362"/>
        <v/>
      </c>
      <c r="O4594" s="8"/>
      <c r="P4594" s="26"/>
      <c r="S4594" s="10" t="str">
        <f t="shared" si="359"/>
        <v/>
      </c>
    </row>
    <row r="4595" spans="5:19" x14ac:dyDescent="0.3">
      <c r="E4595" s="9" t="str">
        <f>IF(DADOS!C4595="","",DADOS!C4595)</f>
        <v/>
      </c>
      <c r="F4595" s="9" t="str">
        <f>IF(DADOS!E4595="","",DADOS!E4595)</f>
        <v/>
      </c>
      <c r="G4595" s="9" t="str">
        <f>IF(DADOS!F4595="","",DADOS!F4595)</f>
        <v/>
      </c>
      <c r="K4595" s="6" t="str">
        <f t="shared" si="360"/>
        <v/>
      </c>
      <c r="L4595" s="7" t="str">
        <f t="shared" si="361"/>
        <v/>
      </c>
      <c r="M4595" s="7" t="str">
        <f t="shared" si="358"/>
        <v/>
      </c>
      <c r="N4595" s="7" t="str">
        <f t="shared" si="362"/>
        <v/>
      </c>
      <c r="O4595" s="8"/>
      <c r="P4595" s="26"/>
      <c r="S4595" s="10" t="str">
        <f t="shared" si="359"/>
        <v/>
      </c>
    </row>
    <row r="4596" spans="5:19" x14ac:dyDescent="0.3">
      <c r="E4596" s="9" t="str">
        <f>IF(DADOS!C4596="","",DADOS!C4596)</f>
        <v/>
      </c>
      <c r="F4596" s="9" t="str">
        <f>IF(DADOS!E4596="","",DADOS!E4596)</f>
        <v/>
      </c>
      <c r="G4596" s="9" t="str">
        <f>IF(DADOS!F4596="","",DADOS!F4596)</f>
        <v/>
      </c>
      <c r="K4596" s="6" t="str">
        <f t="shared" si="360"/>
        <v/>
      </c>
      <c r="L4596" s="7" t="str">
        <f t="shared" si="361"/>
        <v/>
      </c>
      <c r="M4596" s="7" t="str">
        <f t="shared" si="358"/>
        <v/>
      </c>
      <c r="N4596" s="7" t="str">
        <f t="shared" si="362"/>
        <v/>
      </c>
      <c r="O4596" s="8"/>
      <c r="P4596" s="26"/>
      <c r="S4596" s="10" t="str">
        <f t="shared" si="359"/>
        <v/>
      </c>
    </row>
    <row r="4597" spans="5:19" x14ac:dyDescent="0.3">
      <c r="E4597" s="9" t="str">
        <f>IF(DADOS!C4597="","",DADOS!C4597)</f>
        <v/>
      </c>
      <c r="F4597" s="9" t="str">
        <f>IF(DADOS!E4597="","",DADOS!E4597)</f>
        <v/>
      </c>
      <c r="G4597" s="9" t="str">
        <f>IF(DADOS!F4597="","",DADOS!F4597)</f>
        <v/>
      </c>
      <c r="K4597" s="6" t="str">
        <f t="shared" si="360"/>
        <v/>
      </c>
      <c r="L4597" s="7" t="str">
        <f t="shared" si="361"/>
        <v/>
      </c>
      <c r="M4597" s="7" t="str">
        <f t="shared" si="358"/>
        <v/>
      </c>
      <c r="N4597" s="7" t="str">
        <f t="shared" si="362"/>
        <v/>
      </c>
      <c r="O4597" s="8"/>
      <c r="P4597" s="26"/>
      <c r="S4597" s="10" t="str">
        <f t="shared" si="359"/>
        <v/>
      </c>
    </row>
    <row r="4598" spans="5:19" x14ac:dyDescent="0.3">
      <c r="E4598" s="9" t="str">
        <f>IF(DADOS!C4598="","",DADOS!C4598)</f>
        <v/>
      </c>
      <c r="F4598" s="9" t="str">
        <f>IF(DADOS!E4598="","",DADOS!E4598)</f>
        <v/>
      </c>
      <c r="G4598" s="9" t="str">
        <f>IF(DADOS!F4598="","",DADOS!F4598)</f>
        <v/>
      </c>
      <c r="K4598" s="6" t="str">
        <f t="shared" si="360"/>
        <v/>
      </c>
      <c r="L4598" s="7" t="str">
        <f t="shared" si="361"/>
        <v/>
      </c>
      <c r="M4598" s="7" t="str">
        <f t="shared" si="358"/>
        <v/>
      </c>
      <c r="N4598" s="7" t="str">
        <f t="shared" si="362"/>
        <v/>
      </c>
      <c r="O4598" s="8"/>
      <c r="P4598" s="26"/>
      <c r="S4598" s="10" t="str">
        <f t="shared" si="359"/>
        <v/>
      </c>
    </row>
    <row r="4599" spans="5:19" x14ac:dyDescent="0.3">
      <c r="E4599" s="9" t="str">
        <f>IF(DADOS!C4599="","",DADOS!C4599)</f>
        <v/>
      </c>
      <c r="F4599" s="9" t="str">
        <f>IF(DADOS!E4599="","",DADOS!E4599)</f>
        <v/>
      </c>
      <c r="G4599" s="9" t="str">
        <f>IF(DADOS!F4599="","",DADOS!F4599)</f>
        <v/>
      </c>
      <c r="K4599" s="6" t="str">
        <f t="shared" si="360"/>
        <v/>
      </c>
      <c r="L4599" s="7" t="str">
        <f t="shared" si="361"/>
        <v/>
      </c>
      <c r="M4599" s="7" t="str">
        <f t="shared" si="358"/>
        <v/>
      </c>
      <c r="N4599" s="7" t="str">
        <f t="shared" si="362"/>
        <v/>
      </c>
      <c r="O4599" s="8"/>
      <c r="P4599" s="26"/>
      <c r="S4599" s="10" t="str">
        <f t="shared" si="359"/>
        <v/>
      </c>
    </row>
    <row r="4600" spans="5:19" x14ac:dyDescent="0.3">
      <c r="E4600" s="9" t="str">
        <f>IF(DADOS!C4600="","",DADOS!C4600)</f>
        <v/>
      </c>
      <c r="F4600" s="9" t="str">
        <f>IF(DADOS!E4600="","",DADOS!E4600)</f>
        <v/>
      </c>
      <c r="G4600" s="9" t="str">
        <f>IF(DADOS!F4600="","",DADOS!F4600)</f>
        <v/>
      </c>
      <c r="K4600" s="6" t="str">
        <f t="shared" si="360"/>
        <v/>
      </c>
      <c r="L4600" s="7" t="str">
        <f t="shared" si="361"/>
        <v/>
      </c>
      <c r="M4600" s="7" t="str">
        <f t="shared" si="358"/>
        <v/>
      </c>
      <c r="N4600" s="7" t="str">
        <f t="shared" si="362"/>
        <v/>
      </c>
      <c r="O4600" s="8"/>
      <c r="P4600" s="26"/>
      <c r="S4600" s="10" t="str">
        <f t="shared" si="359"/>
        <v/>
      </c>
    </row>
    <row r="4601" spans="5:19" x14ac:dyDescent="0.3">
      <c r="E4601" s="9" t="str">
        <f>IF(DADOS!C4601="","",DADOS!C4601)</f>
        <v/>
      </c>
      <c r="F4601" s="9" t="str">
        <f>IF(DADOS!E4601="","",DADOS!E4601)</f>
        <v/>
      </c>
      <c r="G4601" s="9" t="str">
        <f>IF(DADOS!F4601="","",DADOS!F4601)</f>
        <v/>
      </c>
      <c r="K4601" s="6" t="str">
        <f t="shared" si="360"/>
        <v/>
      </c>
      <c r="L4601" s="7" t="str">
        <f t="shared" si="361"/>
        <v/>
      </c>
      <c r="M4601" s="7" t="str">
        <f t="shared" si="358"/>
        <v/>
      </c>
      <c r="N4601" s="7" t="str">
        <f t="shared" si="362"/>
        <v/>
      </c>
      <c r="O4601" s="8"/>
      <c r="P4601" s="26"/>
      <c r="S4601" s="10" t="str">
        <f t="shared" si="359"/>
        <v/>
      </c>
    </row>
    <row r="4602" spans="5:19" x14ac:dyDescent="0.3">
      <c r="E4602" s="9" t="str">
        <f>IF(DADOS!C4602="","",DADOS!C4602)</f>
        <v/>
      </c>
      <c r="F4602" s="9" t="str">
        <f>IF(DADOS!E4602="","",DADOS!E4602)</f>
        <v/>
      </c>
      <c r="G4602" s="9" t="str">
        <f>IF(DADOS!F4602="","",DADOS!F4602)</f>
        <v/>
      </c>
      <c r="K4602" s="6" t="str">
        <f t="shared" si="360"/>
        <v/>
      </c>
      <c r="L4602" s="7" t="str">
        <f t="shared" si="361"/>
        <v/>
      </c>
      <c r="M4602" s="7" t="str">
        <f t="shared" si="358"/>
        <v/>
      </c>
      <c r="N4602" s="7" t="str">
        <f t="shared" si="362"/>
        <v/>
      </c>
      <c r="O4602" s="8"/>
      <c r="P4602" s="26"/>
      <c r="S4602" s="10" t="str">
        <f t="shared" si="359"/>
        <v/>
      </c>
    </row>
    <row r="4603" spans="5:19" x14ac:dyDescent="0.3">
      <c r="E4603" s="9" t="str">
        <f>IF(DADOS!C4603="","",DADOS!C4603)</f>
        <v/>
      </c>
      <c r="F4603" s="9" t="str">
        <f>IF(DADOS!E4603="","",DADOS!E4603)</f>
        <v/>
      </c>
      <c r="G4603" s="9" t="str">
        <f>IF(DADOS!F4603="","",DADOS!F4603)</f>
        <v/>
      </c>
      <c r="K4603" s="6" t="str">
        <f t="shared" si="360"/>
        <v/>
      </c>
      <c r="L4603" s="7" t="str">
        <f t="shared" si="361"/>
        <v/>
      </c>
      <c r="M4603" s="7" t="str">
        <f t="shared" si="358"/>
        <v/>
      </c>
      <c r="N4603" s="7" t="str">
        <f t="shared" si="362"/>
        <v/>
      </c>
      <c r="O4603" s="8"/>
      <c r="P4603" s="26"/>
      <c r="S4603" s="10" t="str">
        <f t="shared" si="359"/>
        <v/>
      </c>
    </row>
    <row r="4604" spans="5:19" x14ac:dyDescent="0.3">
      <c r="E4604" s="9" t="str">
        <f>IF(DADOS!C4604="","",DADOS!C4604)</f>
        <v/>
      </c>
      <c r="F4604" s="9" t="str">
        <f>IF(DADOS!E4604="","",DADOS!E4604)</f>
        <v/>
      </c>
      <c r="G4604" s="9" t="str">
        <f>IF(DADOS!F4604="","",DADOS!F4604)</f>
        <v/>
      </c>
      <c r="K4604" s="6" t="str">
        <f t="shared" si="360"/>
        <v/>
      </c>
      <c r="L4604" s="7" t="str">
        <f t="shared" si="361"/>
        <v/>
      </c>
      <c r="M4604" s="7" t="str">
        <f t="shared" si="358"/>
        <v/>
      </c>
      <c r="N4604" s="7" t="str">
        <f t="shared" si="362"/>
        <v/>
      </c>
      <c r="O4604" s="8"/>
      <c r="P4604" s="26"/>
      <c r="S4604" s="10" t="str">
        <f t="shared" si="359"/>
        <v/>
      </c>
    </row>
    <row r="4605" spans="5:19" x14ac:dyDescent="0.3">
      <c r="E4605" s="9" t="str">
        <f>IF(DADOS!C4605="","",DADOS!C4605)</f>
        <v/>
      </c>
      <c r="F4605" s="9" t="str">
        <f>IF(DADOS!E4605="","",DADOS!E4605)</f>
        <v/>
      </c>
      <c r="G4605" s="9" t="str">
        <f>IF(DADOS!F4605="","",DADOS!F4605)</f>
        <v/>
      </c>
      <c r="K4605" s="6" t="str">
        <f t="shared" si="360"/>
        <v/>
      </c>
      <c r="L4605" s="7" t="str">
        <f t="shared" si="361"/>
        <v/>
      </c>
      <c r="M4605" s="7" t="str">
        <f t="shared" si="358"/>
        <v/>
      </c>
      <c r="N4605" s="7" t="str">
        <f t="shared" si="362"/>
        <v/>
      </c>
      <c r="O4605" s="8"/>
      <c r="P4605" s="26"/>
      <c r="S4605" s="10" t="str">
        <f t="shared" si="359"/>
        <v/>
      </c>
    </row>
    <row r="4606" spans="5:19" x14ac:dyDescent="0.3">
      <c r="E4606" s="9" t="str">
        <f>IF(DADOS!C4606="","",DADOS!C4606)</f>
        <v/>
      </c>
      <c r="F4606" s="9" t="str">
        <f>IF(DADOS!E4606="","",DADOS!E4606)</f>
        <v/>
      </c>
      <c r="G4606" s="9" t="str">
        <f>IF(DADOS!F4606="","",DADOS!F4606)</f>
        <v/>
      </c>
      <c r="K4606" s="6" t="str">
        <f t="shared" si="360"/>
        <v/>
      </c>
      <c r="L4606" s="7" t="str">
        <f t="shared" si="361"/>
        <v/>
      </c>
      <c r="M4606" s="7" t="str">
        <f t="shared" si="358"/>
        <v/>
      </c>
      <c r="N4606" s="7" t="str">
        <f t="shared" si="362"/>
        <v/>
      </c>
      <c r="O4606" s="8"/>
      <c r="P4606" s="26"/>
      <c r="S4606" s="10" t="str">
        <f t="shared" si="359"/>
        <v/>
      </c>
    </row>
    <row r="4607" spans="5:19" x14ac:dyDescent="0.3">
      <c r="E4607" s="9" t="str">
        <f>IF(DADOS!C4607="","",DADOS!C4607)</f>
        <v/>
      </c>
      <c r="F4607" s="9" t="str">
        <f>IF(DADOS!E4607="","",DADOS!E4607)</f>
        <v/>
      </c>
      <c r="G4607" s="9" t="str">
        <f>IF(DADOS!F4607="","",DADOS!F4607)</f>
        <v/>
      </c>
      <c r="K4607" s="6" t="str">
        <f t="shared" si="360"/>
        <v/>
      </c>
      <c r="L4607" s="7" t="str">
        <f t="shared" si="361"/>
        <v/>
      </c>
      <c r="M4607" s="7" t="str">
        <f t="shared" si="358"/>
        <v/>
      </c>
      <c r="N4607" s="7" t="str">
        <f t="shared" si="362"/>
        <v/>
      </c>
      <c r="O4607" s="8"/>
      <c r="P4607" s="26"/>
      <c r="S4607" s="10" t="str">
        <f t="shared" si="359"/>
        <v/>
      </c>
    </row>
    <row r="4608" spans="5:19" x14ac:dyDescent="0.3">
      <c r="E4608" s="9" t="str">
        <f>IF(DADOS!C4608="","",DADOS!C4608)</f>
        <v/>
      </c>
      <c r="F4608" s="9" t="str">
        <f>IF(DADOS!E4608="","",DADOS!E4608)</f>
        <v/>
      </c>
      <c r="G4608" s="9" t="str">
        <f>IF(DADOS!F4608="","",DADOS!F4608)</f>
        <v/>
      </c>
      <c r="K4608" s="6" t="str">
        <f t="shared" si="360"/>
        <v/>
      </c>
      <c r="L4608" s="7" t="str">
        <f t="shared" si="361"/>
        <v/>
      </c>
      <c r="M4608" s="7" t="str">
        <f t="shared" si="358"/>
        <v/>
      </c>
      <c r="N4608" s="7" t="str">
        <f t="shared" si="362"/>
        <v/>
      </c>
      <c r="O4608" s="8"/>
      <c r="P4608" s="26"/>
      <c r="S4608" s="10" t="str">
        <f t="shared" si="359"/>
        <v/>
      </c>
    </row>
    <row r="4609" spans="5:19" x14ac:dyDescent="0.3">
      <c r="E4609" s="9" t="str">
        <f>IF(DADOS!C4609="","",DADOS!C4609)</f>
        <v/>
      </c>
      <c r="F4609" s="9" t="str">
        <f>IF(DADOS!E4609="","",DADOS!E4609)</f>
        <v/>
      </c>
      <c r="G4609" s="9" t="str">
        <f>IF(DADOS!F4609="","",DADOS!F4609)</f>
        <v/>
      </c>
      <c r="K4609" s="6" t="str">
        <f t="shared" si="360"/>
        <v/>
      </c>
      <c r="L4609" s="7" t="str">
        <f t="shared" si="361"/>
        <v/>
      </c>
      <c r="M4609" s="7" t="str">
        <f t="shared" si="358"/>
        <v/>
      </c>
      <c r="N4609" s="7" t="str">
        <f t="shared" si="362"/>
        <v/>
      </c>
      <c r="O4609" s="8"/>
      <c r="P4609" s="26"/>
      <c r="S4609" s="10" t="str">
        <f t="shared" si="359"/>
        <v/>
      </c>
    </row>
    <row r="4610" spans="5:19" x14ac:dyDescent="0.3">
      <c r="E4610" s="9" t="str">
        <f>IF(DADOS!C4610="","",DADOS!C4610)</f>
        <v/>
      </c>
      <c r="F4610" s="9" t="str">
        <f>IF(DADOS!E4610="","",DADOS!E4610)</f>
        <v/>
      </c>
      <c r="G4610" s="9" t="str">
        <f>IF(DADOS!F4610="","",DADOS!F4610)</f>
        <v/>
      </c>
      <c r="K4610" s="6" t="str">
        <f t="shared" si="360"/>
        <v/>
      </c>
      <c r="L4610" s="7" t="str">
        <f t="shared" si="361"/>
        <v/>
      </c>
      <c r="M4610" s="7" t="str">
        <f t="shared" si="358"/>
        <v/>
      </c>
      <c r="N4610" s="7" t="str">
        <f t="shared" si="362"/>
        <v/>
      </c>
      <c r="O4610" s="8"/>
      <c r="P4610" s="26"/>
      <c r="S4610" s="10" t="str">
        <f t="shared" si="359"/>
        <v/>
      </c>
    </row>
    <row r="4611" spans="5:19" x14ac:dyDescent="0.3">
      <c r="E4611" s="9" t="str">
        <f>IF(DADOS!C4611="","",DADOS!C4611)</f>
        <v/>
      </c>
      <c r="F4611" s="9" t="str">
        <f>IF(DADOS!E4611="","",DADOS!E4611)</f>
        <v/>
      </c>
      <c r="G4611" s="9" t="str">
        <f>IF(DADOS!F4611="","",DADOS!F4611)</f>
        <v/>
      </c>
      <c r="K4611" s="6" t="str">
        <f t="shared" si="360"/>
        <v/>
      </c>
      <c r="L4611" s="7" t="str">
        <f t="shared" si="361"/>
        <v/>
      </c>
      <c r="M4611" s="7" t="str">
        <f t="shared" ref="M4611:M4674" si="363">IF(L4611="","",L4611*G4611)</f>
        <v/>
      </c>
      <c r="N4611" s="7" t="str">
        <f t="shared" si="362"/>
        <v/>
      </c>
      <c r="O4611" s="8"/>
      <c r="P4611" s="26"/>
      <c r="S4611" s="10" t="str">
        <f t="shared" ref="S4611:S4674" si="364">IF(R4611="","",SUMIFS($N$3:$N$10000,$E$3:$E$10000,R4611))</f>
        <v/>
      </c>
    </row>
    <row r="4612" spans="5:19" x14ac:dyDescent="0.3">
      <c r="E4612" s="9" t="str">
        <f>IF(DADOS!C4612="","",DADOS!C4612)</f>
        <v/>
      </c>
      <c r="F4612" s="9" t="str">
        <f>IF(DADOS!E4612="","",DADOS!E4612)</f>
        <v/>
      </c>
      <c r="G4612" s="9" t="str">
        <f>IF(DADOS!F4612="","",DADOS!F4612)</f>
        <v/>
      </c>
      <c r="K4612" s="6" t="str">
        <f t="shared" ref="K4612:K4675" si="365">IF(F4612="","",F4612/PI())</f>
        <v/>
      </c>
      <c r="L4612" s="7" t="str">
        <f t="shared" ref="L4612:L4675" si="366">IF(K4612="","",(PI()*K4612^2)/40000)</f>
        <v/>
      </c>
      <c r="M4612" s="7" t="str">
        <f t="shared" si="363"/>
        <v/>
      </c>
      <c r="N4612" s="7" t="str">
        <f t="shared" ref="N4612:N4675" si="367">IF(M4612="","",M4612*N$1)</f>
        <v/>
      </c>
      <c r="O4612" s="8"/>
      <c r="P4612" s="26"/>
      <c r="S4612" s="10" t="str">
        <f t="shared" si="364"/>
        <v/>
      </c>
    </row>
    <row r="4613" spans="5:19" x14ac:dyDescent="0.3">
      <c r="E4613" s="9" t="str">
        <f>IF(DADOS!C4613="","",DADOS!C4613)</f>
        <v/>
      </c>
      <c r="F4613" s="9" t="str">
        <f>IF(DADOS!E4613="","",DADOS!E4613)</f>
        <v/>
      </c>
      <c r="G4613" s="9" t="str">
        <f>IF(DADOS!F4613="","",DADOS!F4613)</f>
        <v/>
      </c>
      <c r="K4613" s="6" t="str">
        <f t="shared" si="365"/>
        <v/>
      </c>
      <c r="L4613" s="7" t="str">
        <f t="shared" si="366"/>
        <v/>
      </c>
      <c r="M4613" s="7" t="str">
        <f t="shared" si="363"/>
        <v/>
      </c>
      <c r="N4613" s="7" t="str">
        <f t="shared" si="367"/>
        <v/>
      </c>
      <c r="O4613" s="8"/>
      <c r="P4613" s="26"/>
      <c r="S4613" s="10" t="str">
        <f t="shared" si="364"/>
        <v/>
      </c>
    </row>
    <row r="4614" spans="5:19" x14ac:dyDescent="0.3">
      <c r="E4614" s="9" t="str">
        <f>IF(DADOS!C4614="","",DADOS!C4614)</f>
        <v/>
      </c>
      <c r="F4614" s="9" t="str">
        <f>IF(DADOS!E4614="","",DADOS!E4614)</f>
        <v/>
      </c>
      <c r="G4614" s="9" t="str">
        <f>IF(DADOS!F4614="","",DADOS!F4614)</f>
        <v/>
      </c>
      <c r="K4614" s="6" t="str">
        <f t="shared" si="365"/>
        <v/>
      </c>
      <c r="L4614" s="7" t="str">
        <f t="shared" si="366"/>
        <v/>
      </c>
      <c r="M4614" s="7" t="str">
        <f t="shared" si="363"/>
        <v/>
      </c>
      <c r="N4614" s="7" t="str">
        <f t="shared" si="367"/>
        <v/>
      </c>
      <c r="O4614" s="8"/>
      <c r="P4614" s="26"/>
      <c r="S4614" s="10" t="str">
        <f t="shared" si="364"/>
        <v/>
      </c>
    </row>
    <row r="4615" spans="5:19" x14ac:dyDescent="0.3">
      <c r="E4615" s="9" t="str">
        <f>IF(DADOS!C4615="","",DADOS!C4615)</f>
        <v/>
      </c>
      <c r="F4615" s="9" t="str">
        <f>IF(DADOS!E4615="","",DADOS!E4615)</f>
        <v/>
      </c>
      <c r="G4615" s="9" t="str">
        <f>IF(DADOS!F4615="","",DADOS!F4615)</f>
        <v/>
      </c>
      <c r="K4615" s="6" t="str">
        <f t="shared" si="365"/>
        <v/>
      </c>
      <c r="L4615" s="7" t="str">
        <f t="shared" si="366"/>
        <v/>
      </c>
      <c r="M4615" s="7" t="str">
        <f t="shared" si="363"/>
        <v/>
      </c>
      <c r="N4615" s="7" t="str">
        <f t="shared" si="367"/>
        <v/>
      </c>
      <c r="O4615" s="8"/>
      <c r="P4615" s="26"/>
      <c r="S4615" s="10" t="str">
        <f t="shared" si="364"/>
        <v/>
      </c>
    </row>
    <row r="4616" spans="5:19" x14ac:dyDescent="0.3">
      <c r="E4616" s="9" t="str">
        <f>IF(DADOS!C4616="","",DADOS!C4616)</f>
        <v/>
      </c>
      <c r="F4616" s="9" t="str">
        <f>IF(DADOS!E4616="","",DADOS!E4616)</f>
        <v/>
      </c>
      <c r="G4616" s="9" t="str">
        <f>IF(DADOS!F4616="","",DADOS!F4616)</f>
        <v/>
      </c>
      <c r="K4616" s="6" t="str">
        <f t="shared" si="365"/>
        <v/>
      </c>
      <c r="L4616" s="7" t="str">
        <f t="shared" si="366"/>
        <v/>
      </c>
      <c r="M4616" s="7" t="str">
        <f t="shared" si="363"/>
        <v/>
      </c>
      <c r="N4616" s="7" t="str">
        <f t="shared" si="367"/>
        <v/>
      </c>
      <c r="O4616" s="8"/>
      <c r="P4616" s="26"/>
      <c r="S4616" s="10" t="str">
        <f t="shared" si="364"/>
        <v/>
      </c>
    </row>
    <row r="4617" spans="5:19" x14ac:dyDescent="0.3">
      <c r="E4617" s="9" t="str">
        <f>IF(DADOS!C4617="","",DADOS!C4617)</f>
        <v/>
      </c>
      <c r="F4617" s="9" t="str">
        <f>IF(DADOS!E4617="","",DADOS!E4617)</f>
        <v/>
      </c>
      <c r="G4617" s="9" t="str">
        <f>IF(DADOS!F4617="","",DADOS!F4617)</f>
        <v/>
      </c>
      <c r="K4617" s="6" t="str">
        <f t="shared" si="365"/>
        <v/>
      </c>
      <c r="L4617" s="7" t="str">
        <f t="shared" si="366"/>
        <v/>
      </c>
      <c r="M4617" s="7" t="str">
        <f t="shared" si="363"/>
        <v/>
      </c>
      <c r="N4617" s="7" t="str">
        <f t="shared" si="367"/>
        <v/>
      </c>
      <c r="O4617" s="8"/>
      <c r="P4617" s="26"/>
      <c r="S4617" s="10" t="str">
        <f t="shared" si="364"/>
        <v/>
      </c>
    </row>
    <row r="4618" spans="5:19" x14ac:dyDescent="0.3">
      <c r="E4618" s="9" t="str">
        <f>IF(DADOS!C4618="","",DADOS!C4618)</f>
        <v/>
      </c>
      <c r="F4618" s="9" t="str">
        <f>IF(DADOS!E4618="","",DADOS!E4618)</f>
        <v/>
      </c>
      <c r="G4618" s="9" t="str">
        <f>IF(DADOS!F4618="","",DADOS!F4618)</f>
        <v/>
      </c>
      <c r="K4618" s="6" t="str">
        <f t="shared" si="365"/>
        <v/>
      </c>
      <c r="L4618" s="7" t="str">
        <f t="shared" si="366"/>
        <v/>
      </c>
      <c r="M4618" s="7" t="str">
        <f t="shared" si="363"/>
        <v/>
      </c>
      <c r="N4618" s="7" t="str">
        <f t="shared" si="367"/>
        <v/>
      </c>
      <c r="O4618" s="8"/>
      <c r="P4618" s="26"/>
      <c r="S4618" s="10" t="str">
        <f t="shared" si="364"/>
        <v/>
      </c>
    </row>
    <row r="4619" spans="5:19" x14ac:dyDescent="0.3">
      <c r="E4619" s="9" t="str">
        <f>IF(DADOS!C4619="","",DADOS!C4619)</f>
        <v/>
      </c>
      <c r="F4619" s="9" t="str">
        <f>IF(DADOS!E4619="","",DADOS!E4619)</f>
        <v/>
      </c>
      <c r="G4619" s="9" t="str">
        <f>IF(DADOS!F4619="","",DADOS!F4619)</f>
        <v/>
      </c>
      <c r="K4619" s="6" t="str">
        <f t="shared" si="365"/>
        <v/>
      </c>
      <c r="L4619" s="7" t="str">
        <f t="shared" si="366"/>
        <v/>
      </c>
      <c r="M4619" s="7" t="str">
        <f t="shared" si="363"/>
        <v/>
      </c>
      <c r="N4619" s="7" t="str">
        <f t="shared" si="367"/>
        <v/>
      </c>
      <c r="O4619" s="8"/>
      <c r="P4619" s="26"/>
      <c r="S4619" s="10" t="str">
        <f t="shared" si="364"/>
        <v/>
      </c>
    </row>
    <row r="4620" spans="5:19" x14ac:dyDescent="0.3">
      <c r="E4620" s="9" t="str">
        <f>IF(DADOS!C4620="","",DADOS!C4620)</f>
        <v/>
      </c>
      <c r="F4620" s="9" t="str">
        <f>IF(DADOS!E4620="","",DADOS!E4620)</f>
        <v/>
      </c>
      <c r="G4620" s="9" t="str">
        <f>IF(DADOS!F4620="","",DADOS!F4620)</f>
        <v/>
      </c>
      <c r="K4620" s="6" t="str">
        <f t="shared" si="365"/>
        <v/>
      </c>
      <c r="L4620" s="7" t="str">
        <f t="shared" si="366"/>
        <v/>
      </c>
      <c r="M4620" s="7" t="str">
        <f t="shared" si="363"/>
        <v/>
      </c>
      <c r="N4620" s="7" t="str">
        <f t="shared" si="367"/>
        <v/>
      </c>
      <c r="O4620" s="8"/>
      <c r="P4620" s="26"/>
      <c r="S4620" s="10" t="str">
        <f t="shared" si="364"/>
        <v/>
      </c>
    </row>
    <row r="4621" spans="5:19" x14ac:dyDescent="0.3">
      <c r="E4621" s="9" t="str">
        <f>IF(DADOS!C4621="","",DADOS!C4621)</f>
        <v/>
      </c>
      <c r="F4621" s="9" t="str">
        <f>IF(DADOS!E4621="","",DADOS!E4621)</f>
        <v/>
      </c>
      <c r="G4621" s="9" t="str">
        <f>IF(DADOS!F4621="","",DADOS!F4621)</f>
        <v/>
      </c>
      <c r="K4621" s="6" t="str">
        <f t="shared" si="365"/>
        <v/>
      </c>
      <c r="L4621" s="7" t="str">
        <f t="shared" si="366"/>
        <v/>
      </c>
      <c r="M4621" s="7" t="str">
        <f t="shared" si="363"/>
        <v/>
      </c>
      <c r="N4621" s="7" t="str">
        <f t="shared" si="367"/>
        <v/>
      </c>
      <c r="O4621" s="8"/>
      <c r="P4621" s="26"/>
      <c r="S4621" s="10" t="str">
        <f t="shared" si="364"/>
        <v/>
      </c>
    </row>
    <row r="4622" spans="5:19" x14ac:dyDescent="0.3">
      <c r="E4622" s="9" t="str">
        <f>IF(DADOS!C4622="","",DADOS!C4622)</f>
        <v/>
      </c>
      <c r="F4622" s="9" t="str">
        <f>IF(DADOS!E4622="","",DADOS!E4622)</f>
        <v/>
      </c>
      <c r="G4622" s="9" t="str">
        <f>IF(DADOS!F4622="","",DADOS!F4622)</f>
        <v/>
      </c>
      <c r="K4622" s="6" t="str">
        <f t="shared" si="365"/>
        <v/>
      </c>
      <c r="L4622" s="7" t="str">
        <f t="shared" si="366"/>
        <v/>
      </c>
      <c r="M4622" s="7" t="str">
        <f t="shared" si="363"/>
        <v/>
      </c>
      <c r="N4622" s="7" t="str">
        <f t="shared" si="367"/>
        <v/>
      </c>
      <c r="O4622" s="8"/>
      <c r="P4622" s="26"/>
      <c r="S4622" s="10" t="str">
        <f t="shared" si="364"/>
        <v/>
      </c>
    </row>
    <row r="4623" spans="5:19" x14ac:dyDescent="0.3">
      <c r="E4623" s="9" t="str">
        <f>IF(DADOS!C4623="","",DADOS!C4623)</f>
        <v/>
      </c>
      <c r="F4623" s="9" t="str">
        <f>IF(DADOS!E4623="","",DADOS!E4623)</f>
        <v/>
      </c>
      <c r="G4623" s="9" t="str">
        <f>IF(DADOS!F4623="","",DADOS!F4623)</f>
        <v/>
      </c>
      <c r="K4623" s="6" t="str">
        <f t="shared" si="365"/>
        <v/>
      </c>
      <c r="L4623" s="7" t="str">
        <f t="shared" si="366"/>
        <v/>
      </c>
      <c r="M4623" s="7" t="str">
        <f t="shared" si="363"/>
        <v/>
      </c>
      <c r="N4623" s="7" t="str">
        <f t="shared" si="367"/>
        <v/>
      </c>
      <c r="O4623" s="8"/>
      <c r="P4623" s="26"/>
      <c r="S4623" s="10" t="str">
        <f t="shared" si="364"/>
        <v/>
      </c>
    </row>
    <row r="4624" spans="5:19" x14ac:dyDescent="0.3">
      <c r="E4624" s="9" t="str">
        <f>IF(DADOS!C4624="","",DADOS!C4624)</f>
        <v/>
      </c>
      <c r="F4624" s="9" t="str">
        <f>IF(DADOS!E4624="","",DADOS!E4624)</f>
        <v/>
      </c>
      <c r="G4624" s="9" t="str">
        <f>IF(DADOS!F4624="","",DADOS!F4624)</f>
        <v/>
      </c>
      <c r="K4624" s="6" t="str">
        <f t="shared" si="365"/>
        <v/>
      </c>
      <c r="L4624" s="7" t="str">
        <f t="shared" si="366"/>
        <v/>
      </c>
      <c r="M4624" s="7" t="str">
        <f t="shared" si="363"/>
        <v/>
      </c>
      <c r="N4624" s="7" t="str">
        <f t="shared" si="367"/>
        <v/>
      </c>
      <c r="O4624" s="8"/>
      <c r="P4624" s="26"/>
      <c r="S4624" s="10" t="str">
        <f t="shared" si="364"/>
        <v/>
      </c>
    </row>
    <row r="4625" spans="5:19" x14ac:dyDescent="0.3">
      <c r="E4625" s="9" t="str">
        <f>IF(DADOS!C4625="","",DADOS!C4625)</f>
        <v/>
      </c>
      <c r="F4625" s="9" t="str">
        <f>IF(DADOS!E4625="","",DADOS!E4625)</f>
        <v/>
      </c>
      <c r="G4625" s="9" t="str">
        <f>IF(DADOS!F4625="","",DADOS!F4625)</f>
        <v/>
      </c>
      <c r="K4625" s="6" t="str">
        <f t="shared" si="365"/>
        <v/>
      </c>
      <c r="L4625" s="7" t="str">
        <f t="shared" si="366"/>
        <v/>
      </c>
      <c r="M4625" s="7" t="str">
        <f t="shared" si="363"/>
        <v/>
      </c>
      <c r="N4625" s="7" t="str">
        <f t="shared" si="367"/>
        <v/>
      </c>
      <c r="O4625" s="8"/>
      <c r="P4625" s="26"/>
      <c r="S4625" s="10" t="str">
        <f t="shared" si="364"/>
        <v/>
      </c>
    </row>
    <row r="4626" spans="5:19" x14ac:dyDescent="0.3">
      <c r="E4626" s="9" t="str">
        <f>IF(DADOS!C4626="","",DADOS!C4626)</f>
        <v/>
      </c>
      <c r="F4626" s="9" t="str">
        <f>IF(DADOS!E4626="","",DADOS!E4626)</f>
        <v/>
      </c>
      <c r="G4626" s="9" t="str">
        <f>IF(DADOS!F4626="","",DADOS!F4626)</f>
        <v/>
      </c>
      <c r="K4626" s="6" t="str">
        <f t="shared" si="365"/>
        <v/>
      </c>
      <c r="L4626" s="7" t="str">
        <f t="shared" si="366"/>
        <v/>
      </c>
      <c r="M4626" s="7" t="str">
        <f t="shared" si="363"/>
        <v/>
      </c>
      <c r="N4626" s="7" t="str">
        <f t="shared" si="367"/>
        <v/>
      </c>
      <c r="O4626" s="8"/>
      <c r="P4626" s="26"/>
      <c r="S4626" s="10" t="str">
        <f t="shared" si="364"/>
        <v/>
      </c>
    </row>
    <row r="4627" spans="5:19" x14ac:dyDescent="0.3">
      <c r="E4627" s="9" t="str">
        <f>IF(DADOS!C4627="","",DADOS!C4627)</f>
        <v/>
      </c>
      <c r="F4627" s="9" t="str">
        <f>IF(DADOS!E4627="","",DADOS!E4627)</f>
        <v/>
      </c>
      <c r="G4627" s="9" t="str">
        <f>IF(DADOS!F4627="","",DADOS!F4627)</f>
        <v/>
      </c>
      <c r="K4627" s="6" t="str">
        <f t="shared" si="365"/>
        <v/>
      </c>
      <c r="L4627" s="7" t="str">
        <f t="shared" si="366"/>
        <v/>
      </c>
      <c r="M4627" s="7" t="str">
        <f t="shared" si="363"/>
        <v/>
      </c>
      <c r="N4627" s="7" t="str">
        <f t="shared" si="367"/>
        <v/>
      </c>
      <c r="O4627" s="8"/>
      <c r="P4627" s="26"/>
      <c r="S4627" s="10" t="str">
        <f t="shared" si="364"/>
        <v/>
      </c>
    </row>
    <row r="4628" spans="5:19" x14ac:dyDescent="0.3">
      <c r="E4628" s="9" t="str">
        <f>IF(DADOS!C4628="","",DADOS!C4628)</f>
        <v/>
      </c>
      <c r="F4628" s="9" t="str">
        <f>IF(DADOS!E4628="","",DADOS!E4628)</f>
        <v/>
      </c>
      <c r="G4628" s="9" t="str">
        <f>IF(DADOS!F4628="","",DADOS!F4628)</f>
        <v/>
      </c>
      <c r="K4628" s="6" t="str">
        <f t="shared" si="365"/>
        <v/>
      </c>
      <c r="L4628" s="7" t="str">
        <f t="shared" si="366"/>
        <v/>
      </c>
      <c r="M4628" s="7" t="str">
        <f t="shared" si="363"/>
        <v/>
      </c>
      <c r="N4628" s="7" t="str">
        <f t="shared" si="367"/>
        <v/>
      </c>
      <c r="O4628" s="8"/>
      <c r="P4628" s="26"/>
      <c r="S4628" s="10" t="str">
        <f t="shared" si="364"/>
        <v/>
      </c>
    </row>
    <row r="4629" spans="5:19" x14ac:dyDescent="0.3">
      <c r="E4629" s="9" t="str">
        <f>IF(DADOS!C4629="","",DADOS!C4629)</f>
        <v/>
      </c>
      <c r="F4629" s="9" t="str">
        <f>IF(DADOS!E4629="","",DADOS!E4629)</f>
        <v/>
      </c>
      <c r="G4629" s="9" t="str">
        <f>IF(DADOS!F4629="","",DADOS!F4629)</f>
        <v/>
      </c>
      <c r="K4629" s="6" t="str">
        <f t="shared" si="365"/>
        <v/>
      </c>
      <c r="L4629" s="7" t="str">
        <f t="shared" si="366"/>
        <v/>
      </c>
      <c r="M4629" s="7" t="str">
        <f t="shared" si="363"/>
        <v/>
      </c>
      <c r="N4629" s="7" t="str">
        <f t="shared" si="367"/>
        <v/>
      </c>
      <c r="O4629" s="8"/>
      <c r="P4629" s="26"/>
      <c r="S4629" s="10" t="str">
        <f t="shared" si="364"/>
        <v/>
      </c>
    </row>
    <row r="4630" spans="5:19" x14ac:dyDescent="0.3">
      <c r="E4630" s="9" t="str">
        <f>IF(DADOS!C4630="","",DADOS!C4630)</f>
        <v/>
      </c>
      <c r="F4630" s="9" t="str">
        <f>IF(DADOS!E4630="","",DADOS!E4630)</f>
        <v/>
      </c>
      <c r="G4630" s="9" t="str">
        <f>IF(DADOS!F4630="","",DADOS!F4630)</f>
        <v/>
      </c>
      <c r="K4630" s="6" t="str">
        <f t="shared" si="365"/>
        <v/>
      </c>
      <c r="L4630" s="7" t="str">
        <f t="shared" si="366"/>
        <v/>
      </c>
      <c r="M4630" s="7" t="str">
        <f t="shared" si="363"/>
        <v/>
      </c>
      <c r="N4630" s="7" t="str">
        <f t="shared" si="367"/>
        <v/>
      </c>
      <c r="O4630" s="8"/>
      <c r="P4630" s="26"/>
      <c r="S4630" s="10" t="str">
        <f t="shared" si="364"/>
        <v/>
      </c>
    </row>
    <row r="4631" spans="5:19" x14ac:dyDescent="0.3">
      <c r="E4631" s="9" t="str">
        <f>IF(DADOS!C4631="","",DADOS!C4631)</f>
        <v/>
      </c>
      <c r="F4631" s="9" t="str">
        <f>IF(DADOS!E4631="","",DADOS!E4631)</f>
        <v/>
      </c>
      <c r="G4631" s="9" t="str">
        <f>IF(DADOS!F4631="","",DADOS!F4631)</f>
        <v/>
      </c>
      <c r="K4631" s="6" t="str">
        <f t="shared" si="365"/>
        <v/>
      </c>
      <c r="L4631" s="7" t="str">
        <f t="shared" si="366"/>
        <v/>
      </c>
      <c r="M4631" s="7" t="str">
        <f t="shared" si="363"/>
        <v/>
      </c>
      <c r="N4631" s="7" t="str">
        <f t="shared" si="367"/>
        <v/>
      </c>
      <c r="O4631" s="8"/>
      <c r="P4631" s="26"/>
      <c r="S4631" s="10" t="str">
        <f t="shared" si="364"/>
        <v/>
      </c>
    </row>
    <row r="4632" spans="5:19" x14ac:dyDescent="0.3">
      <c r="E4632" s="9" t="str">
        <f>IF(DADOS!C4632="","",DADOS!C4632)</f>
        <v/>
      </c>
      <c r="F4632" s="9" t="str">
        <f>IF(DADOS!E4632="","",DADOS!E4632)</f>
        <v/>
      </c>
      <c r="G4632" s="9" t="str">
        <f>IF(DADOS!F4632="","",DADOS!F4632)</f>
        <v/>
      </c>
      <c r="K4632" s="6" t="str">
        <f t="shared" si="365"/>
        <v/>
      </c>
      <c r="L4632" s="7" t="str">
        <f t="shared" si="366"/>
        <v/>
      </c>
      <c r="M4632" s="7" t="str">
        <f t="shared" si="363"/>
        <v/>
      </c>
      <c r="N4632" s="7" t="str">
        <f t="shared" si="367"/>
        <v/>
      </c>
      <c r="O4632" s="8"/>
      <c r="P4632" s="26"/>
      <c r="S4632" s="10" t="str">
        <f t="shared" si="364"/>
        <v/>
      </c>
    </row>
    <row r="4633" spans="5:19" x14ac:dyDescent="0.3">
      <c r="E4633" s="9" t="str">
        <f>IF(DADOS!C4633="","",DADOS!C4633)</f>
        <v/>
      </c>
      <c r="F4633" s="9" t="str">
        <f>IF(DADOS!E4633="","",DADOS!E4633)</f>
        <v/>
      </c>
      <c r="G4633" s="9" t="str">
        <f>IF(DADOS!F4633="","",DADOS!F4633)</f>
        <v/>
      </c>
      <c r="K4633" s="6" t="str">
        <f t="shared" si="365"/>
        <v/>
      </c>
      <c r="L4633" s="7" t="str">
        <f t="shared" si="366"/>
        <v/>
      </c>
      <c r="M4633" s="7" t="str">
        <f t="shared" si="363"/>
        <v/>
      </c>
      <c r="N4633" s="7" t="str">
        <f t="shared" si="367"/>
        <v/>
      </c>
      <c r="O4633" s="8"/>
      <c r="P4633" s="26"/>
      <c r="S4633" s="10" t="str">
        <f t="shared" si="364"/>
        <v/>
      </c>
    </row>
    <row r="4634" spans="5:19" x14ac:dyDescent="0.3">
      <c r="E4634" s="9" t="str">
        <f>IF(DADOS!C4634="","",DADOS!C4634)</f>
        <v/>
      </c>
      <c r="F4634" s="9" t="str">
        <f>IF(DADOS!E4634="","",DADOS!E4634)</f>
        <v/>
      </c>
      <c r="G4634" s="9" t="str">
        <f>IF(DADOS!F4634="","",DADOS!F4634)</f>
        <v/>
      </c>
      <c r="K4634" s="6" t="str">
        <f t="shared" si="365"/>
        <v/>
      </c>
      <c r="L4634" s="7" t="str">
        <f t="shared" si="366"/>
        <v/>
      </c>
      <c r="M4634" s="7" t="str">
        <f t="shared" si="363"/>
        <v/>
      </c>
      <c r="N4634" s="7" t="str">
        <f t="shared" si="367"/>
        <v/>
      </c>
      <c r="O4634" s="8"/>
      <c r="P4634" s="26"/>
      <c r="S4634" s="10" t="str">
        <f t="shared" si="364"/>
        <v/>
      </c>
    </row>
    <row r="4635" spans="5:19" x14ac:dyDescent="0.3">
      <c r="E4635" s="9" t="str">
        <f>IF(DADOS!C4635="","",DADOS!C4635)</f>
        <v/>
      </c>
      <c r="F4635" s="9" t="str">
        <f>IF(DADOS!E4635="","",DADOS!E4635)</f>
        <v/>
      </c>
      <c r="G4635" s="9" t="str">
        <f>IF(DADOS!F4635="","",DADOS!F4635)</f>
        <v/>
      </c>
      <c r="K4635" s="6" t="str">
        <f t="shared" si="365"/>
        <v/>
      </c>
      <c r="L4635" s="7" t="str">
        <f t="shared" si="366"/>
        <v/>
      </c>
      <c r="M4635" s="7" t="str">
        <f t="shared" si="363"/>
        <v/>
      </c>
      <c r="N4635" s="7" t="str">
        <f t="shared" si="367"/>
        <v/>
      </c>
      <c r="O4635" s="8"/>
      <c r="P4635" s="26"/>
      <c r="S4635" s="10" t="str">
        <f t="shared" si="364"/>
        <v/>
      </c>
    </row>
    <row r="4636" spans="5:19" x14ac:dyDescent="0.3">
      <c r="E4636" s="9" t="str">
        <f>IF(DADOS!C4636="","",DADOS!C4636)</f>
        <v/>
      </c>
      <c r="F4636" s="9" t="str">
        <f>IF(DADOS!E4636="","",DADOS!E4636)</f>
        <v/>
      </c>
      <c r="G4636" s="9" t="str">
        <f>IF(DADOS!F4636="","",DADOS!F4636)</f>
        <v/>
      </c>
      <c r="K4636" s="6" t="str">
        <f t="shared" si="365"/>
        <v/>
      </c>
      <c r="L4636" s="7" t="str">
        <f t="shared" si="366"/>
        <v/>
      </c>
      <c r="M4636" s="7" t="str">
        <f t="shared" si="363"/>
        <v/>
      </c>
      <c r="N4636" s="7" t="str">
        <f t="shared" si="367"/>
        <v/>
      </c>
      <c r="O4636" s="8"/>
      <c r="P4636" s="26"/>
      <c r="S4636" s="10" t="str">
        <f t="shared" si="364"/>
        <v/>
      </c>
    </row>
    <row r="4637" spans="5:19" x14ac:dyDescent="0.3">
      <c r="E4637" s="9" t="str">
        <f>IF(DADOS!C4637="","",DADOS!C4637)</f>
        <v/>
      </c>
      <c r="F4637" s="9" t="str">
        <f>IF(DADOS!E4637="","",DADOS!E4637)</f>
        <v/>
      </c>
      <c r="G4637" s="9" t="str">
        <f>IF(DADOS!F4637="","",DADOS!F4637)</f>
        <v/>
      </c>
      <c r="K4637" s="6" t="str">
        <f t="shared" si="365"/>
        <v/>
      </c>
      <c r="L4637" s="7" t="str">
        <f t="shared" si="366"/>
        <v/>
      </c>
      <c r="M4637" s="7" t="str">
        <f t="shared" si="363"/>
        <v/>
      </c>
      <c r="N4637" s="7" t="str">
        <f t="shared" si="367"/>
        <v/>
      </c>
      <c r="O4637" s="8"/>
      <c r="P4637" s="26"/>
      <c r="S4637" s="10" t="str">
        <f t="shared" si="364"/>
        <v/>
      </c>
    </row>
    <row r="4638" spans="5:19" x14ac:dyDescent="0.3">
      <c r="E4638" s="9" t="str">
        <f>IF(DADOS!C4638="","",DADOS!C4638)</f>
        <v/>
      </c>
      <c r="F4638" s="9" t="str">
        <f>IF(DADOS!E4638="","",DADOS!E4638)</f>
        <v/>
      </c>
      <c r="G4638" s="9" t="str">
        <f>IF(DADOS!F4638="","",DADOS!F4638)</f>
        <v/>
      </c>
      <c r="K4638" s="6" t="str">
        <f t="shared" si="365"/>
        <v/>
      </c>
      <c r="L4638" s="7" t="str">
        <f t="shared" si="366"/>
        <v/>
      </c>
      <c r="M4638" s="7" t="str">
        <f t="shared" si="363"/>
        <v/>
      </c>
      <c r="N4638" s="7" t="str">
        <f t="shared" si="367"/>
        <v/>
      </c>
      <c r="O4638" s="8"/>
      <c r="P4638" s="26"/>
      <c r="S4638" s="10" t="str">
        <f t="shared" si="364"/>
        <v/>
      </c>
    </row>
    <row r="4639" spans="5:19" x14ac:dyDescent="0.3">
      <c r="E4639" s="9" t="str">
        <f>IF(DADOS!C4639="","",DADOS!C4639)</f>
        <v/>
      </c>
      <c r="F4639" s="9" t="str">
        <f>IF(DADOS!E4639="","",DADOS!E4639)</f>
        <v/>
      </c>
      <c r="G4639" s="9" t="str">
        <f>IF(DADOS!F4639="","",DADOS!F4639)</f>
        <v/>
      </c>
      <c r="K4639" s="6" t="str">
        <f t="shared" si="365"/>
        <v/>
      </c>
      <c r="L4639" s="7" t="str">
        <f t="shared" si="366"/>
        <v/>
      </c>
      <c r="M4639" s="7" t="str">
        <f t="shared" si="363"/>
        <v/>
      </c>
      <c r="N4639" s="7" t="str">
        <f t="shared" si="367"/>
        <v/>
      </c>
      <c r="O4639" s="8"/>
      <c r="P4639" s="26"/>
      <c r="S4639" s="10" t="str">
        <f t="shared" si="364"/>
        <v/>
      </c>
    </row>
    <row r="4640" spans="5:19" x14ac:dyDescent="0.3">
      <c r="E4640" s="9" t="str">
        <f>IF(DADOS!C4640="","",DADOS!C4640)</f>
        <v/>
      </c>
      <c r="F4640" s="9" t="str">
        <f>IF(DADOS!E4640="","",DADOS!E4640)</f>
        <v/>
      </c>
      <c r="G4640" s="9" t="str">
        <f>IF(DADOS!F4640="","",DADOS!F4640)</f>
        <v/>
      </c>
      <c r="K4640" s="6" t="str">
        <f t="shared" si="365"/>
        <v/>
      </c>
      <c r="L4640" s="7" t="str">
        <f t="shared" si="366"/>
        <v/>
      </c>
      <c r="M4640" s="7" t="str">
        <f t="shared" si="363"/>
        <v/>
      </c>
      <c r="N4640" s="7" t="str">
        <f t="shared" si="367"/>
        <v/>
      </c>
      <c r="O4640" s="8"/>
      <c r="P4640" s="26"/>
      <c r="S4640" s="10" t="str">
        <f t="shared" si="364"/>
        <v/>
      </c>
    </row>
    <row r="4641" spans="5:19" x14ac:dyDescent="0.3">
      <c r="E4641" s="9" t="str">
        <f>IF(DADOS!C4641="","",DADOS!C4641)</f>
        <v/>
      </c>
      <c r="F4641" s="9" t="str">
        <f>IF(DADOS!E4641="","",DADOS!E4641)</f>
        <v/>
      </c>
      <c r="G4641" s="9" t="str">
        <f>IF(DADOS!F4641="","",DADOS!F4641)</f>
        <v/>
      </c>
      <c r="K4641" s="6" t="str">
        <f t="shared" si="365"/>
        <v/>
      </c>
      <c r="L4641" s="7" t="str">
        <f t="shared" si="366"/>
        <v/>
      </c>
      <c r="M4641" s="7" t="str">
        <f t="shared" si="363"/>
        <v/>
      </c>
      <c r="N4641" s="7" t="str">
        <f t="shared" si="367"/>
        <v/>
      </c>
      <c r="O4641" s="8"/>
      <c r="P4641" s="26"/>
      <c r="S4641" s="10" t="str">
        <f t="shared" si="364"/>
        <v/>
      </c>
    </row>
    <row r="4642" spans="5:19" x14ac:dyDescent="0.3">
      <c r="E4642" s="9" t="str">
        <f>IF(DADOS!C4642="","",DADOS!C4642)</f>
        <v/>
      </c>
      <c r="F4642" s="9" t="str">
        <f>IF(DADOS!E4642="","",DADOS!E4642)</f>
        <v/>
      </c>
      <c r="G4642" s="9" t="str">
        <f>IF(DADOS!F4642="","",DADOS!F4642)</f>
        <v/>
      </c>
      <c r="K4642" s="6" t="str">
        <f t="shared" si="365"/>
        <v/>
      </c>
      <c r="L4642" s="7" t="str">
        <f t="shared" si="366"/>
        <v/>
      </c>
      <c r="M4642" s="7" t="str">
        <f t="shared" si="363"/>
        <v/>
      </c>
      <c r="N4642" s="7" t="str">
        <f t="shared" si="367"/>
        <v/>
      </c>
      <c r="O4642" s="8"/>
      <c r="P4642" s="26"/>
      <c r="S4642" s="10" t="str">
        <f t="shared" si="364"/>
        <v/>
      </c>
    </row>
    <row r="4643" spans="5:19" x14ac:dyDescent="0.3">
      <c r="E4643" s="9" t="str">
        <f>IF(DADOS!C4643="","",DADOS!C4643)</f>
        <v/>
      </c>
      <c r="F4643" s="9" t="str">
        <f>IF(DADOS!E4643="","",DADOS!E4643)</f>
        <v/>
      </c>
      <c r="G4643" s="9" t="str">
        <f>IF(DADOS!F4643="","",DADOS!F4643)</f>
        <v/>
      </c>
      <c r="K4643" s="6" t="str">
        <f t="shared" si="365"/>
        <v/>
      </c>
      <c r="L4643" s="7" t="str">
        <f t="shared" si="366"/>
        <v/>
      </c>
      <c r="M4643" s="7" t="str">
        <f t="shared" si="363"/>
        <v/>
      </c>
      <c r="N4643" s="7" t="str">
        <f t="shared" si="367"/>
        <v/>
      </c>
      <c r="O4643" s="8"/>
      <c r="P4643" s="26"/>
      <c r="S4643" s="10" t="str">
        <f t="shared" si="364"/>
        <v/>
      </c>
    </row>
    <row r="4644" spans="5:19" x14ac:dyDescent="0.3">
      <c r="E4644" s="9" t="str">
        <f>IF(DADOS!C4644="","",DADOS!C4644)</f>
        <v/>
      </c>
      <c r="F4644" s="9" t="str">
        <f>IF(DADOS!E4644="","",DADOS!E4644)</f>
        <v/>
      </c>
      <c r="G4644" s="9" t="str">
        <f>IF(DADOS!F4644="","",DADOS!F4644)</f>
        <v/>
      </c>
      <c r="K4644" s="6" t="str">
        <f t="shared" si="365"/>
        <v/>
      </c>
      <c r="L4644" s="7" t="str">
        <f t="shared" si="366"/>
        <v/>
      </c>
      <c r="M4644" s="7" t="str">
        <f t="shared" si="363"/>
        <v/>
      </c>
      <c r="N4644" s="7" t="str">
        <f t="shared" si="367"/>
        <v/>
      </c>
      <c r="O4644" s="8"/>
      <c r="P4644" s="26"/>
      <c r="S4644" s="10" t="str">
        <f t="shared" si="364"/>
        <v/>
      </c>
    </row>
    <row r="4645" spans="5:19" x14ac:dyDescent="0.3">
      <c r="E4645" s="9" t="str">
        <f>IF(DADOS!C4645="","",DADOS!C4645)</f>
        <v/>
      </c>
      <c r="F4645" s="9" t="str">
        <f>IF(DADOS!E4645="","",DADOS!E4645)</f>
        <v/>
      </c>
      <c r="G4645" s="9" t="str">
        <f>IF(DADOS!F4645="","",DADOS!F4645)</f>
        <v/>
      </c>
      <c r="K4645" s="6" t="str">
        <f t="shared" si="365"/>
        <v/>
      </c>
      <c r="L4645" s="7" t="str">
        <f t="shared" si="366"/>
        <v/>
      </c>
      <c r="M4645" s="7" t="str">
        <f t="shared" si="363"/>
        <v/>
      </c>
      <c r="N4645" s="7" t="str">
        <f t="shared" si="367"/>
        <v/>
      </c>
      <c r="O4645" s="8"/>
      <c r="P4645" s="26"/>
      <c r="S4645" s="10" t="str">
        <f t="shared" si="364"/>
        <v/>
      </c>
    </row>
    <row r="4646" spans="5:19" x14ac:dyDescent="0.3">
      <c r="E4646" s="9" t="str">
        <f>IF(DADOS!C4646="","",DADOS!C4646)</f>
        <v/>
      </c>
      <c r="F4646" s="9" t="str">
        <f>IF(DADOS!E4646="","",DADOS!E4646)</f>
        <v/>
      </c>
      <c r="G4646" s="9" t="str">
        <f>IF(DADOS!F4646="","",DADOS!F4646)</f>
        <v/>
      </c>
      <c r="K4646" s="6" t="str">
        <f t="shared" si="365"/>
        <v/>
      </c>
      <c r="L4646" s="7" t="str">
        <f t="shared" si="366"/>
        <v/>
      </c>
      <c r="M4646" s="7" t="str">
        <f t="shared" si="363"/>
        <v/>
      </c>
      <c r="N4646" s="7" t="str">
        <f t="shared" si="367"/>
        <v/>
      </c>
      <c r="O4646" s="8"/>
      <c r="P4646" s="26"/>
      <c r="S4646" s="10" t="str">
        <f t="shared" si="364"/>
        <v/>
      </c>
    </row>
    <row r="4647" spans="5:19" x14ac:dyDescent="0.3">
      <c r="E4647" s="9" t="str">
        <f>IF(DADOS!C4647="","",DADOS!C4647)</f>
        <v/>
      </c>
      <c r="F4647" s="9" t="str">
        <f>IF(DADOS!E4647="","",DADOS!E4647)</f>
        <v/>
      </c>
      <c r="G4647" s="9" t="str">
        <f>IF(DADOS!F4647="","",DADOS!F4647)</f>
        <v/>
      </c>
      <c r="K4647" s="6" t="str">
        <f t="shared" si="365"/>
        <v/>
      </c>
      <c r="L4647" s="7" t="str">
        <f t="shared" si="366"/>
        <v/>
      </c>
      <c r="M4647" s="7" t="str">
        <f t="shared" si="363"/>
        <v/>
      </c>
      <c r="N4647" s="7" t="str">
        <f t="shared" si="367"/>
        <v/>
      </c>
      <c r="O4647" s="8"/>
      <c r="P4647" s="26"/>
      <c r="S4647" s="10" t="str">
        <f t="shared" si="364"/>
        <v/>
      </c>
    </row>
    <row r="4648" spans="5:19" x14ac:dyDescent="0.3">
      <c r="E4648" s="9" t="str">
        <f>IF(DADOS!C4648="","",DADOS!C4648)</f>
        <v/>
      </c>
      <c r="F4648" s="9" t="str">
        <f>IF(DADOS!E4648="","",DADOS!E4648)</f>
        <v/>
      </c>
      <c r="G4648" s="9" t="str">
        <f>IF(DADOS!F4648="","",DADOS!F4648)</f>
        <v/>
      </c>
      <c r="K4648" s="6" t="str">
        <f t="shared" si="365"/>
        <v/>
      </c>
      <c r="L4648" s="7" t="str">
        <f t="shared" si="366"/>
        <v/>
      </c>
      <c r="M4648" s="7" t="str">
        <f t="shared" si="363"/>
        <v/>
      </c>
      <c r="N4648" s="7" t="str">
        <f t="shared" si="367"/>
        <v/>
      </c>
      <c r="O4648" s="8"/>
      <c r="P4648" s="26"/>
      <c r="S4648" s="10" t="str">
        <f t="shared" si="364"/>
        <v/>
      </c>
    </row>
    <row r="4649" spans="5:19" x14ac:dyDescent="0.3">
      <c r="E4649" s="9" t="str">
        <f>IF(DADOS!C4649="","",DADOS!C4649)</f>
        <v/>
      </c>
      <c r="F4649" s="9" t="str">
        <f>IF(DADOS!E4649="","",DADOS!E4649)</f>
        <v/>
      </c>
      <c r="G4649" s="9" t="str">
        <f>IF(DADOS!F4649="","",DADOS!F4649)</f>
        <v/>
      </c>
      <c r="K4649" s="6" t="str">
        <f t="shared" si="365"/>
        <v/>
      </c>
      <c r="L4649" s="7" t="str">
        <f t="shared" si="366"/>
        <v/>
      </c>
      <c r="M4649" s="7" t="str">
        <f t="shared" si="363"/>
        <v/>
      </c>
      <c r="N4649" s="7" t="str">
        <f t="shared" si="367"/>
        <v/>
      </c>
      <c r="O4649" s="8"/>
      <c r="P4649" s="26"/>
      <c r="S4649" s="10" t="str">
        <f t="shared" si="364"/>
        <v/>
      </c>
    </row>
    <row r="4650" spans="5:19" x14ac:dyDescent="0.3">
      <c r="E4650" s="9" t="str">
        <f>IF(DADOS!C4650="","",DADOS!C4650)</f>
        <v/>
      </c>
      <c r="F4650" s="9" t="str">
        <f>IF(DADOS!E4650="","",DADOS!E4650)</f>
        <v/>
      </c>
      <c r="G4650" s="9" t="str">
        <f>IF(DADOS!F4650="","",DADOS!F4650)</f>
        <v/>
      </c>
      <c r="K4650" s="6" t="str">
        <f t="shared" si="365"/>
        <v/>
      </c>
      <c r="L4650" s="7" t="str">
        <f t="shared" si="366"/>
        <v/>
      </c>
      <c r="M4650" s="7" t="str">
        <f t="shared" si="363"/>
        <v/>
      </c>
      <c r="N4650" s="7" t="str">
        <f t="shared" si="367"/>
        <v/>
      </c>
      <c r="O4650" s="8"/>
      <c r="P4650" s="26"/>
      <c r="S4650" s="10" t="str">
        <f t="shared" si="364"/>
        <v/>
      </c>
    </row>
    <row r="4651" spans="5:19" x14ac:dyDescent="0.3">
      <c r="E4651" s="9" t="str">
        <f>IF(DADOS!C4651="","",DADOS!C4651)</f>
        <v/>
      </c>
      <c r="F4651" s="9" t="str">
        <f>IF(DADOS!E4651="","",DADOS!E4651)</f>
        <v/>
      </c>
      <c r="G4651" s="9" t="str">
        <f>IF(DADOS!F4651="","",DADOS!F4651)</f>
        <v/>
      </c>
      <c r="K4651" s="6" t="str">
        <f t="shared" si="365"/>
        <v/>
      </c>
      <c r="L4651" s="7" t="str">
        <f t="shared" si="366"/>
        <v/>
      </c>
      <c r="M4651" s="7" t="str">
        <f t="shared" si="363"/>
        <v/>
      </c>
      <c r="N4651" s="7" t="str">
        <f t="shared" si="367"/>
        <v/>
      </c>
      <c r="O4651" s="8"/>
      <c r="P4651" s="26"/>
      <c r="S4651" s="10" t="str">
        <f t="shared" si="364"/>
        <v/>
      </c>
    </row>
    <row r="4652" spans="5:19" x14ac:dyDescent="0.3">
      <c r="E4652" s="9" t="str">
        <f>IF(DADOS!C4652="","",DADOS!C4652)</f>
        <v/>
      </c>
      <c r="F4652" s="9" t="str">
        <f>IF(DADOS!E4652="","",DADOS!E4652)</f>
        <v/>
      </c>
      <c r="G4652" s="9" t="str">
        <f>IF(DADOS!F4652="","",DADOS!F4652)</f>
        <v/>
      </c>
      <c r="K4652" s="6" t="str">
        <f t="shared" si="365"/>
        <v/>
      </c>
      <c r="L4652" s="7" t="str">
        <f t="shared" si="366"/>
        <v/>
      </c>
      <c r="M4652" s="7" t="str">
        <f t="shared" si="363"/>
        <v/>
      </c>
      <c r="N4652" s="7" t="str">
        <f t="shared" si="367"/>
        <v/>
      </c>
      <c r="O4652" s="8"/>
      <c r="P4652" s="26"/>
      <c r="S4652" s="10" t="str">
        <f t="shared" si="364"/>
        <v/>
      </c>
    </row>
    <row r="4653" spans="5:19" x14ac:dyDescent="0.3">
      <c r="E4653" s="9" t="str">
        <f>IF(DADOS!C4653="","",DADOS!C4653)</f>
        <v/>
      </c>
      <c r="F4653" s="9" t="str">
        <f>IF(DADOS!E4653="","",DADOS!E4653)</f>
        <v/>
      </c>
      <c r="G4653" s="9" t="str">
        <f>IF(DADOS!F4653="","",DADOS!F4653)</f>
        <v/>
      </c>
      <c r="K4653" s="6" t="str">
        <f t="shared" si="365"/>
        <v/>
      </c>
      <c r="L4653" s="7" t="str">
        <f t="shared" si="366"/>
        <v/>
      </c>
      <c r="M4653" s="7" t="str">
        <f t="shared" si="363"/>
        <v/>
      </c>
      <c r="N4653" s="7" t="str">
        <f t="shared" si="367"/>
        <v/>
      </c>
      <c r="O4653" s="8"/>
      <c r="P4653" s="26"/>
      <c r="S4653" s="10" t="str">
        <f t="shared" si="364"/>
        <v/>
      </c>
    </row>
    <row r="4654" spans="5:19" x14ac:dyDescent="0.3">
      <c r="E4654" s="9" t="str">
        <f>IF(DADOS!C4654="","",DADOS!C4654)</f>
        <v/>
      </c>
      <c r="F4654" s="9" t="str">
        <f>IF(DADOS!E4654="","",DADOS!E4654)</f>
        <v/>
      </c>
      <c r="G4654" s="9" t="str">
        <f>IF(DADOS!F4654="","",DADOS!F4654)</f>
        <v/>
      </c>
      <c r="K4654" s="6" t="str">
        <f t="shared" si="365"/>
        <v/>
      </c>
      <c r="L4654" s="7" t="str">
        <f t="shared" si="366"/>
        <v/>
      </c>
      <c r="M4654" s="7" t="str">
        <f t="shared" si="363"/>
        <v/>
      </c>
      <c r="N4654" s="7" t="str">
        <f t="shared" si="367"/>
        <v/>
      </c>
      <c r="O4654" s="8"/>
      <c r="P4654" s="26"/>
      <c r="S4654" s="10" t="str">
        <f t="shared" si="364"/>
        <v/>
      </c>
    </row>
    <row r="4655" spans="5:19" x14ac:dyDescent="0.3">
      <c r="E4655" s="9" t="str">
        <f>IF(DADOS!C4655="","",DADOS!C4655)</f>
        <v/>
      </c>
      <c r="F4655" s="9" t="str">
        <f>IF(DADOS!E4655="","",DADOS!E4655)</f>
        <v/>
      </c>
      <c r="G4655" s="9" t="str">
        <f>IF(DADOS!F4655="","",DADOS!F4655)</f>
        <v/>
      </c>
      <c r="K4655" s="6" t="str">
        <f t="shared" si="365"/>
        <v/>
      </c>
      <c r="L4655" s="7" t="str">
        <f t="shared" si="366"/>
        <v/>
      </c>
      <c r="M4655" s="7" t="str">
        <f t="shared" si="363"/>
        <v/>
      </c>
      <c r="N4655" s="7" t="str">
        <f t="shared" si="367"/>
        <v/>
      </c>
      <c r="O4655" s="8"/>
      <c r="P4655" s="26"/>
      <c r="S4655" s="10" t="str">
        <f t="shared" si="364"/>
        <v/>
      </c>
    </row>
    <row r="4656" spans="5:19" x14ac:dyDescent="0.3">
      <c r="E4656" s="9" t="str">
        <f>IF(DADOS!C4656="","",DADOS!C4656)</f>
        <v/>
      </c>
      <c r="F4656" s="9" t="str">
        <f>IF(DADOS!E4656="","",DADOS!E4656)</f>
        <v/>
      </c>
      <c r="G4656" s="9" t="str">
        <f>IF(DADOS!F4656="","",DADOS!F4656)</f>
        <v/>
      </c>
      <c r="K4656" s="6" t="str">
        <f t="shared" si="365"/>
        <v/>
      </c>
      <c r="L4656" s="7" t="str">
        <f t="shared" si="366"/>
        <v/>
      </c>
      <c r="M4656" s="7" t="str">
        <f t="shared" si="363"/>
        <v/>
      </c>
      <c r="N4656" s="7" t="str">
        <f t="shared" si="367"/>
        <v/>
      </c>
      <c r="O4656" s="8"/>
      <c r="P4656" s="26"/>
      <c r="S4656" s="10" t="str">
        <f t="shared" si="364"/>
        <v/>
      </c>
    </row>
    <row r="4657" spans="5:19" x14ac:dyDescent="0.3">
      <c r="E4657" s="9" t="str">
        <f>IF(DADOS!C4657="","",DADOS!C4657)</f>
        <v/>
      </c>
      <c r="F4657" s="9" t="str">
        <f>IF(DADOS!E4657="","",DADOS!E4657)</f>
        <v/>
      </c>
      <c r="G4657" s="9" t="str">
        <f>IF(DADOS!F4657="","",DADOS!F4657)</f>
        <v/>
      </c>
      <c r="K4657" s="6" t="str">
        <f t="shared" si="365"/>
        <v/>
      </c>
      <c r="L4657" s="7" t="str">
        <f t="shared" si="366"/>
        <v/>
      </c>
      <c r="M4657" s="7" t="str">
        <f t="shared" si="363"/>
        <v/>
      </c>
      <c r="N4657" s="7" t="str">
        <f t="shared" si="367"/>
        <v/>
      </c>
      <c r="O4657" s="8"/>
      <c r="P4657" s="26"/>
      <c r="S4657" s="10" t="str">
        <f t="shared" si="364"/>
        <v/>
      </c>
    </row>
    <row r="4658" spans="5:19" x14ac:dyDescent="0.3">
      <c r="E4658" s="9" t="str">
        <f>IF(DADOS!C4658="","",DADOS!C4658)</f>
        <v/>
      </c>
      <c r="F4658" s="9" t="str">
        <f>IF(DADOS!E4658="","",DADOS!E4658)</f>
        <v/>
      </c>
      <c r="G4658" s="9" t="str">
        <f>IF(DADOS!F4658="","",DADOS!F4658)</f>
        <v/>
      </c>
      <c r="K4658" s="6" t="str">
        <f t="shared" si="365"/>
        <v/>
      </c>
      <c r="L4658" s="7" t="str">
        <f t="shared" si="366"/>
        <v/>
      </c>
      <c r="M4658" s="7" t="str">
        <f t="shared" si="363"/>
        <v/>
      </c>
      <c r="N4658" s="7" t="str">
        <f t="shared" si="367"/>
        <v/>
      </c>
      <c r="O4658" s="8"/>
      <c r="P4658" s="26"/>
      <c r="S4658" s="10" t="str">
        <f t="shared" si="364"/>
        <v/>
      </c>
    </row>
    <row r="4659" spans="5:19" x14ac:dyDescent="0.3">
      <c r="E4659" s="9" t="str">
        <f>IF(DADOS!C4659="","",DADOS!C4659)</f>
        <v/>
      </c>
      <c r="F4659" s="9" t="str">
        <f>IF(DADOS!E4659="","",DADOS!E4659)</f>
        <v/>
      </c>
      <c r="G4659" s="9" t="str">
        <f>IF(DADOS!F4659="","",DADOS!F4659)</f>
        <v/>
      </c>
      <c r="K4659" s="6" t="str">
        <f t="shared" si="365"/>
        <v/>
      </c>
      <c r="L4659" s="7" t="str">
        <f t="shared" si="366"/>
        <v/>
      </c>
      <c r="M4659" s="7" t="str">
        <f t="shared" si="363"/>
        <v/>
      </c>
      <c r="N4659" s="7" t="str">
        <f t="shared" si="367"/>
        <v/>
      </c>
      <c r="O4659" s="8"/>
      <c r="P4659" s="26"/>
      <c r="S4659" s="10" t="str">
        <f t="shared" si="364"/>
        <v/>
      </c>
    </row>
    <row r="4660" spans="5:19" x14ac:dyDescent="0.3">
      <c r="E4660" s="9" t="str">
        <f>IF(DADOS!C4660="","",DADOS!C4660)</f>
        <v/>
      </c>
      <c r="F4660" s="9" t="str">
        <f>IF(DADOS!E4660="","",DADOS!E4660)</f>
        <v/>
      </c>
      <c r="G4660" s="9" t="str">
        <f>IF(DADOS!F4660="","",DADOS!F4660)</f>
        <v/>
      </c>
      <c r="K4660" s="6" t="str">
        <f t="shared" si="365"/>
        <v/>
      </c>
      <c r="L4660" s="7" t="str">
        <f t="shared" si="366"/>
        <v/>
      </c>
      <c r="M4660" s="7" t="str">
        <f t="shared" si="363"/>
        <v/>
      </c>
      <c r="N4660" s="7" t="str">
        <f t="shared" si="367"/>
        <v/>
      </c>
      <c r="O4660" s="8"/>
      <c r="P4660" s="26"/>
      <c r="S4660" s="10" t="str">
        <f t="shared" si="364"/>
        <v/>
      </c>
    </row>
    <row r="4661" spans="5:19" x14ac:dyDescent="0.3">
      <c r="E4661" s="9" t="str">
        <f>IF(DADOS!C4661="","",DADOS!C4661)</f>
        <v/>
      </c>
      <c r="F4661" s="9" t="str">
        <f>IF(DADOS!E4661="","",DADOS!E4661)</f>
        <v/>
      </c>
      <c r="G4661" s="9" t="str">
        <f>IF(DADOS!F4661="","",DADOS!F4661)</f>
        <v/>
      </c>
      <c r="K4661" s="6" t="str">
        <f t="shared" si="365"/>
        <v/>
      </c>
      <c r="L4661" s="7" t="str">
        <f t="shared" si="366"/>
        <v/>
      </c>
      <c r="M4661" s="7" t="str">
        <f t="shared" si="363"/>
        <v/>
      </c>
      <c r="N4661" s="7" t="str">
        <f t="shared" si="367"/>
        <v/>
      </c>
      <c r="O4661" s="8"/>
      <c r="P4661" s="26"/>
      <c r="S4661" s="10" t="str">
        <f t="shared" si="364"/>
        <v/>
      </c>
    </row>
    <row r="4662" spans="5:19" x14ac:dyDescent="0.3">
      <c r="E4662" s="9" t="str">
        <f>IF(DADOS!C4662="","",DADOS!C4662)</f>
        <v/>
      </c>
      <c r="F4662" s="9" t="str">
        <f>IF(DADOS!E4662="","",DADOS!E4662)</f>
        <v/>
      </c>
      <c r="G4662" s="9" t="str">
        <f>IF(DADOS!F4662="","",DADOS!F4662)</f>
        <v/>
      </c>
      <c r="K4662" s="6" t="str">
        <f t="shared" si="365"/>
        <v/>
      </c>
      <c r="L4662" s="7" t="str">
        <f t="shared" si="366"/>
        <v/>
      </c>
      <c r="M4662" s="7" t="str">
        <f t="shared" si="363"/>
        <v/>
      </c>
      <c r="N4662" s="7" t="str">
        <f t="shared" si="367"/>
        <v/>
      </c>
      <c r="O4662" s="8"/>
      <c r="P4662" s="26"/>
      <c r="S4662" s="10" t="str">
        <f t="shared" si="364"/>
        <v/>
      </c>
    </row>
    <row r="4663" spans="5:19" x14ac:dyDescent="0.3">
      <c r="E4663" s="9" t="str">
        <f>IF(DADOS!C4663="","",DADOS!C4663)</f>
        <v/>
      </c>
      <c r="F4663" s="9" t="str">
        <f>IF(DADOS!E4663="","",DADOS!E4663)</f>
        <v/>
      </c>
      <c r="G4663" s="9" t="str">
        <f>IF(DADOS!F4663="","",DADOS!F4663)</f>
        <v/>
      </c>
      <c r="K4663" s="6" t="str">
        <f t="shared" si="365"/>
        <v/>
      </c>
      <c r="L4663" s="7" t="str">
        <f t="shared" si="366"/>
        <v/>
      </c>
      <c r="M4663" s="7" t="str">
        <f t="shared" si="363"/>
        <v/>
      </c>
      <c r="N4663" s="7" t="str">
        <f t="shared" si="367"/>
        <v/>
      </c>
      <c r="O4663" s="8"/>
      <c r="P4663" s="26"/>
      <c r="S4663" s="10" t="str">
        <f t="shared" si="364"/>
        <v/>
      </c>
    </row>
    <row r="4664" spans="5:19" x14ac:dyDescent="0.3">
      <c r="E4664" s="9" t="str">
        <f>IF(DADOS!C4664="","",DADOS!C4664)</f>
        <v/>
      </c>
      <c r="F4664" s="9" t="str">
        <f>IF(DADOS!E4664="","",DADOS!E4664)</f>
        <v/>
      </c>
      <c r="G4664" s="9" t="str">
        <f>IF(DADOS!F4664="","",DADOS!F4664)</f>
        <v/>
      </c>
      <c r="K4664" s="6" t="str">
        <f t="shared" si="365"/>
        <v/>
      </c>
      <c r="L4664" s="7" t="str">
        <f t="shared" si="366"/>
        <v/>
      </c>
      <c r="M4664" s="7" t="str">
        <f t="shared" si="363"/>
        <v/>
      </c>
      <c r="N4664" s="7" t="str">
        <f t="shared" si="367"/>
        <v/>
      </c>
      <c r="O4664" s="8"/>
      <c r="P4664" s="26"/>
      <c r="S4664" s="10" t="str">
        <f t="shared" si="364"/>
        <v/>
      </c>
    </row>
    <row r="4665" spans="5:19" x14ac:dyDescent="0.3">
      <c r="E4665" s="9" t="str">
        <f>IF(DADOS!C4665="","",DADOS!C4665)</f>
        <v/>
      </c>
      <c r="F4665" s="9" t="str">
        <f>IF(DADOS!E4665="","",DADOS!E4665)</f>
        <v/>
      </c>
      <c r="G4665" s="9" t="str">
        <f>IF(DADOS!F4665="","",DADOS!F4665)</f>
        <v/>
      </c>
      <c r="K4665" s="6" t="str">
        <f t="shared" si="365"/>
        <v/>
      </c>
      <c r="L4665" s="7" t="str">
        <f t="shared" si="366"/>
        <v/>
      </c>
      <c r="M4665" s="7" t="str">
        <f t="shared" si="363"/>
        <v/>
      </c>
      <c r="N4665" s="7" t="str">
        <f t="shared" si="367"/>
        <v/>
      </c>
      <c r="O4665" s="8"/>
      <c r="P4665" s="26"/>
      <c r="S4665" s="10" t="str">
        <f t="shared" si="364"/>
        <v/>
      </c>
    </row>
    <row r="4666" spans="5:19" x14ac:dyDescent="0.3">
      <c r="E4666" s="9" t="str">
        <f>IF(DADOS!C4666="","",DADOS!C4666)</f>
        <v/>
      </c>
      <c r="F4666" s="9" t="str">
        <f>IF(DADOS!E4666="","",DADOS!E4666)</f>
        <v/>
      </c>
      <c r="G4666" s="9" t="str">
        <f>IF(DADOS!F4666="","",DADOS!F4666)</f>
        <v/>
      </c>
      <c r="K4666" s="6" t="str">
        <f t="shared" si="365"/>
        <v/>
      </c>
      <c r="L4666" s="7" t="str">
        <f t="shared" si="366"/>
        <v/>
      </c>
      <c r="M4666" s="7" t="str">
        <f t="shared" si="363"/>
        <v/>
      </c>
      <c r="N4666" s="7" t="str">
        <f t="shared" si="367"/>
        <v/>
      </c>
      <c r="O4666" s="8"/>
      <c r="P4666" s="26"/>
      <c r="S4666" s="10" t="str">
        <f t="shared" si="364"/>
        <v/>
      </c>
    </row>
    <row r="4667" spans="5:19" x14ac:dyDescent="0.3">
      <c r="E4667" s="9" t="str">
        <f>IF(DADOS!C4667="","",DADOS!C4667)</f>
        <v/>
      </c>
      <c r="F4667" s="9" t="str">
        <f>IF(DADOS!E4667="","",DADOS!E4667)</f>
        <v/>
      </c>
      <c r="G4667" s="9" t="str">
        <f>IF(DADOS!F4667="","",DADOS!F4667)</f>
        <v/>
      </c>
      <c r="K4667" s="6" t="str">
        <f t="shared" si="365"/>
        <v/>
      </c>
      <c r="L4667" s="7" t="str">
        <f t="shared" si="366"/>
        <v/>
      </c>
      <c r="M4667" s="7" t="str">
        <f t="shared" si="363"/>
        <v/>
      </c>
      <c r="N4667" s="7" t="str">
        <f t="shared" si="367"/>
        <v/>
      </c>
      <c r="O4667" s="8"/>
      <c r="P4667" s="26"/>
      <c r="S4667" s="10" t="str">
        <f t="shared" si="364"/>
        <v/>
      </c>
    </row>
    <row r="4668" spans="5:19" x14ac:dyDescent="0.3">
      <c r="E4668" s="9" t="str">
        <f>IF(DADOS!C4668="","",DADOS!C4668)</f>
        <v/>
      </c>
      <c r="F4668" s="9" t="str">
        <f>IF(DADOS!E4668="","",DADOS!E4668)</f>
        <v/>
      </c>
      <c r="G4668" s="9" t="str">
        <f>IF(DADOS!F4668="","",DADOS!F4668)</f>
        <v/>
      </c>
      <c r="K4668" s="6" t="str">
        <f t="shared" si="365"/>
        <v/>
      </c>
      <c r="L4668" s="7" t="str">
        <f t="shared" si="366"/>
        <v/>
      </c>
      <c r="M4668" s="7" t="str">
        <f t="shared" si="363"/>
        <v/>
      </c>
      <c r="N4668" s="7" t="str">
        <f t="shared" si="367"/>
        <v/>
      </c>
      <c r="O4668" s="8"/>
      <c r="P4668" s="26"/>
      <c r="S4668" s="10" t="str">
        <f t="shared" si="364"/>
        <v/>
      </c>
    </row>
    <row r="4669" spans="5:19" x14ac:dyDescent="0.3">
      <c r="E4669" s="9" t="str">
        <f>IF(DADOS!C4669="","",DADOS!C4669)</f>
        <v/>
      </c>
      <c r="F4669" s="9" t="str">
        <f>IF(DADOS!E4669="","",DADOS!E4669)</f>
        <v/>
      </c>
      <c r="G4669" s="9" t="str">
        <f>IF(DADOS!F4669="","",DADOS!F4669)</f>
        <v/>
      </c>
      <c r="K4669" s="6" t="str">
        <f t="shared" si="365"/>
        <v/>
      </c>
      <c r="L4669" s="7" t="str">
        <f t="shared" si="366"/>
        <v/>
      </c>
      <c r="M4669" s="7" t="str">
        <f t="shared" si="363"/>
        <v/>
      </c>
      <c r="N4669" s="7" t="str">
        <f t="shared" si="367"/>
        <v/>
      </c>
      <c r="O4669" s="8"/>
      <c r="P4669" s="26"/>
      <c r="S4669" s="10" t="str">
        <f t="shared" si="364"/>
        <v/>
      </c>
    </row>
    <row r="4670" spans="5:19" x14ac:dyDescent="0.3">
      <c r="E4670" s="9" t="str">
        <f>IF(DADOS!C4670="","",DADOS!C4670)</f>
        <v/>
      </c>
      <c r="F4670" s="9" t="str">
        <f>IF(DADOS!E4670="","",DADOS!E4670)</f>
        <v/>
      </c>
      <c r="G4670" s="9" t="str">
        <f>IF(DADOS!F4670="","",DADOS!F4670)</f>
        <v/>
      </c>
      <c r="K4670" s="6" t="str">
        <f t="shared" si="365"/>
        <v/>
      </c>
      <c r="L4670" s="7" t="str">
        <f t="shared" si="366"/>
        <v/>
      </c>
      <c r="M4670" s="7" t="str">
        <f t="shared" si="363"/>
        <v/>
      </c>
      <c r="N4670" s="7" t="str">
        <f t="shared" si="367"/>
        <v/>
      </c>
      <c r="O4670" s="8"/>
      <c r="P4670" s="26"/>
      <c r="S4670" s="10" t="str">
        <f t="shared" si="364"/>
        <v/>
      </c>
    </row>
    <row r="4671" spans="5:19" x14ac:dyDescent="0.3">
      <c r="E4671" s="9" t="str">
        <f>IF(DADOS!C4671="","",DADOS!C4671)</f>
        <v/>
      </c>
      <c r="F4671" s="9" t="str">
        <f>IF(DADOS!E4671="","",DADOS!E4671)</f>
        <v/>
      </c>
      <c r="G4671" s="9" t="str">
        <f>IF(DADOS!F4671="","",DADOS!F4671)</f>
        <v/>
      </c>
      <c r="K4671" s="6" t="str">
        <f t="shared" si="365"/>
        <v/>
      </c>
      <c r="L4671" s="7" t="str">
        <f t="shared" si="366"/>
        <v/>
      </c>
      <c r="M4671" s="7" t="str">
        <f t="shared" si="363"/>
        <v/>
      </c>
      <c r="N4671" s="7" t="str">
        <f t="shared" si="367"/>
        <v/>
      </c>
      <c r="O4671" s="8"/>
      <c r="P4671" s="26"/>
      <c r="S4671" s="10" t="str">
        <f t="shared" si="364"/>
        <v/>
      </c>
    </row>
    <row r="4672" spans="5:19" x14ac:dyDescent="0.3">
      <c r="E4672" s="9" t="str">
        <f>IF(DADOS!C4672="","",DADOS!C4672)</f>
        <v/>
      </c>
      <c r="F4672" s="9" t="str">
        <f>IF(DADOS!E4672="","",DADOS!E4672)</f>
        <v/>
      </c>
      <c r="G4672" s="9" t="str">
        <f>IF(DADOS!F4672="","",DADOS!F4672)</f>
        <v/>
      </c>
      <c r="K4672" s="6" t="str">
        <f t="shared" si="365"/>
        <v/>
      </c>
      <c r="L4672" s="7" t="str">
        <f t="shared" si="366"/>
        <v/>
      </c>
      <c r="M4672" s="7" t="str">
        <f t="shared" si="363"/>
        <v/>
      </c>
      <c r="N4672" s="7" t="str">
        <f t="shared" si="367"/>
        <v/>
      </c>
      <c r="O4672" s="8"/>
      <c r="P4672" s="26"/>
      <c r="S4672" s="10" t="str">
        <f t="shared" si="364"/>
        <v/>
      </c>
    </row>
    <row r="4673" spans="5:19" x14ac:dyDescent="0.3">
      <c r="E4673" s="9" t="str">
        <f>IF(DADOS!C4673="","",DADOS!C4673)</f>
        <v/>
      </c>
      <c r="F4673" s="9" t="str">
        <f>IF(DADOS!E4673="","",DADOS!E4673)</f>
        <v/>
      </c>
      <c r="G4673" s="9" t="str">
        <f>IF(DADOS!F4673="","",DADOS!F4673)</f>
        <v/>
      </c>
      <c r="K4673" s="6" t="str">
        <f t="shared" si="365"/>
        <v/>
      </c>
      <c r="L4673" s="7" t="str">
        <f t="shared" si="366"/>
        <v/>
      </c>
      <c r="M4673" s="7" t="str">
        <f t="shared" si="363"/>
        <v/>
      </c>
      <c r="N4673" s="7" t="str">
        <f t="shared" si="367"/>
        <v/>
      </c>
      <c r="O4673" s="8"/>
      <c r="P4673" s="26"/>
      <c r="S4673" s="10" t="str">
        <f t="shared" si="364"/>
        <v/>
      </c>
    </row>
    <row r="4674" spans="5:19" x14ac:dyDescent="0.3">
      <c r="E4674" s="9" t="str">
        <f>IF(DADOS!C4674="","",DADOS!C4674)</f>
        <v/>
      </c>
      <c r="F4674" s="9" t="str">
        <f>IF(DADOS!E4674="","",DADOS!E4674)</f>
        <v/>
      </c>
      <c r="G4674" s="9" t="str">
        <f>IF(DADOS!F4674="","",DADOS!F4674)</f>
        <v/>
      </c>
      <c r="K4674" s="6" t="str">
        <f t="shared" si="365"/>
        <v/>
      </c>
      <c r="L4674" s="7" t="str">
        <f t="shared" si="366"/>
        <v/>
      </c>
      <c r="M4674" s="7" t="str">
        <f t="shared" si="363"/>
        <v/>
      </c>
      <c r="N4674" s="7" t="str">
        <f t="shared" si="367"/>
        <v/>
      </c>
      <c r="O4674" s="8"/>
      <c r="P4674" s="26"/>
      <c r="S4674" s="10" t="str">
        <f t="shared" si="364"/>
        <v/>
      </c>
    </row>
    <row r="4675" spans="5:19" x14ac:dyDescent="0.3">
      <c r="E4675" s="9" t="str">
        <f>IF(DADOS!C4675="","",DADOS!C4675)</f>
        <v/>
      </c>
      <c r="F4675" s="9" t="str">
        <f>IF(DADOS!E4675="","",DADOS!E4675)</f>
        <v/>
      </c>
      <c r="G4675" s="9" t="str">
        <f>IF(DADOS!F4675="","",DADOS!F4675)</f>
        <v/>
      </c>
      <c r="K4675" s="6" t="str">
        <f t="shared" si="365"/>
        <v/>
      </c>
      <c r="L4675" s="7" t="str">
        <f t="shared" si="366"/>
        <v/>
      </c>
      <c r="M4675" s="7" t="str">
        <f t="shared" ref="M4675:M4738" si="368">IF(L4675="","",L4675*G4675)</f>
        <v/>
      </c>
      <c r="N4675" s="7" t="str">
        <f t="shared" si="367"/>
        <v/>
      </c>
      <c r="O4675" s="8"/>
      <c r="P4675" s="26"/>
      <c r="S4675" s="10" t="str">
        <f t="shared" ref="S4675:S4738" si="369">IF(R4675="","",SUMIFS($N$3:$N$10000,$E$3:$E$10000,R4675))</f>
        <v/>
      </c>
    </row>
    <row r="4676" spans="5:19" x14ac:dyDescent="0.3">
      <c r="E4676" s="9" t="str">
        <f>IF(DADOS!C4676="","",DADOS!C4676)</f>
        <v/>
      </c>
      <c r="F4676" s="9" t="str">
        <f>IF(DADOS!E4676="","",DADOS!E4676)</f>
        <v/>
      </c>
      <c r="G4676" s="9" t="str">
        <f>IF(DADOS!F4676="","",DADOS!F4676)</f>
        <v/>
      </c>
      <c r="K4676" s="6" t="str">
        <f t="shared" ref="K4676:K4739" si="370">IF(F4676="","",F4676/PI())</f>
        <v/>
      </c>
      <c r="L4676" s="7" t="str">
        <f t="shared" ref="L4676:L4739" si="371">IF(K4676="","",(PI()*K4676^2)/40000)</f>
        <v/>
      </c>
      <c r="M4676" s="7" t="str">
        <f t="shared" si="368"/>
        <v/>
      </c>
      <c r="N4676" s="7" t="str">
        <f t="shared" ref="N4676:N4739" si="372">IF(M4676="","",M4676*N$1)</f>
        <v/>
      </c>
      <c r="O4676" s="8"/>
      <c r="P4676" s="26"/>
      <c r="S4676" s="10" t="str">
        <f t="shared" si="369"/>
        <v/>
      </c>
    </row>
    <row r="4677" spans="5:19" x14ac:dyDescent="0.3">
      <c r="E4677" s="9" t="str">
        <f>IF(DADOS!C4677="","",DADOS!C4677)</f>
        <v/>
      </c>
      <c r="F4677" s="9" t="str">
        <f>IF(DADOS!E4677="","",DADOS!E4677)</f>
        <v/>
      </c>
      <c r="G4677" s="9" t="str">
        <f>IF(DADOS!F4677="","",DADOS!F4677)</f>
        <v/>
      </c>
      <c r="K4677" s="6" t="str">
        <f t="shared" si="370"/>
        <v/>
      </c>
      <c r="L4677" s="7" t="str">
        <f t="shared" si="371"/>
        <v/>
      </c>
      <c r="M4677" s="7" t="str">
        <f t="shared" si="368"/>
        <v/>
      </c>
      <c r="N4677" s="7" t="str">
        <f t="shared" si="372"/>
        <v/>
      </c>
      <c r="O4677" s="8"/>
      <c r="P4677" s="26"/>
      <c r="S4677" s="10" t="str">
        <f t="shared" si="369"/>
        <v/>
      </c>
    </row>
    <row r="4678" spans="5:19" x14ac:dyDescent="0.3">
      <c r="E4678" s="9" t="str">
        <f>IF(DADOS!C4678="","",DADOS!C4678)</f>
        <v/>
      </c>
      <c r="F4678" s="9" t="str">
        <f>IF(DADOS!E4678="","",DADOS!E4678)</f>
        <v/>
      </c>
      <c r="G4678" s="9" t="str">
        <f>IF(DADOS!F4678="","",DADOS!F4678)</f>
        <v/>
      </c>
      <c r="K4678" s="6" t="str">
        <f t="shared" si="370"/>
        <v/>
      </c>
      <c r="L4678" s="7" t="str">
        <f t="shared" si="371"/>
        <v/>
      </c>
      <c r="M4678" s="7" t="str">
        <f t="shared" si="368"/>
        <v/>
      </c>
      <c r="N4678" s="7" t="str">
        <f t="shared" si="372"/>
        <v/>
      </c>
      <c r="O4678" s="8"/>
      <c r="P4678" s="26"/>
      <c r="S4678" s="10" t="str">
        <f t="shared" si="369"/>
        <v/>
      </c>
    </row>
    <row r="4679" spans="5:19" x14ac:dyDescent="0.3">
      <c r="E4679" s="9" t="str">
        <f>IF(DADOS!C4679="","",DADOS!C4679)</f>
        <v/>
      </c>
      <c r="F4679" s="9" t="str">
        <f>IF(DADOS!E4679="","",DADOS!E4679)</f>
        <v/>
      </c>
      <c r="G4679" s="9" t="str">
        <f>IF(DADOS!F4679="","",DADOS!F4679)</f>
        <v/>
      </c>
      <c r="K4679" s="6" t="str">
        <f t="shared" si="370"/>
        <v/>
      </c>
      <c r="L4679" s="7" t="str">
        <f t="shared" si="371"/>
        <v/>
      </c>
      <c r="M4679" s="7" t="str">
        <f t="shared" si="368"/>
        <v/>
      </c>
      <c r="N4679" s="7" t="str">
        <f t="shared" si="372"/>
        <v/>
      </c>
      <c r="O4679" s="8"/>
      <c r="P4679" s="26"/>
      <c r="S4679" s="10" t="str">
        <f t="shared" si="369"/>
        <v/>
      </c>
    </row>
    <row r="4680" spans="5:19" x14ac:dyDescent="0.3">
      <c r="E4680" s="9" t="str">
        <f>IF(DADOS!C4680="","",DADOS!C4680)</f>
        <v/>
      </c>
      <c r="F4680" s="9" t="str">
        <f>IF(DADOS!E4680="","",DADOS!E4680)</f>
        <v/>
      </c>
      <c r="G4680" s="9" t="str">
        <f>IF(DADOS!F4680="","",DADOS!F4680)</f>
        <v/>
      </c>
      <c r="K4680" s="6" t="str">
        <f t="shared" si="370"/>
        <v/>
      </c>
      <c r="L4680" s="7" t="str">
        <f t="shared" si="371"/>
        <v/>
      </c>
      <c r="M4680" s="7" t="str">
        <f t="shared" si="368"/>
        <v/>
      </c>
      <c r="N4680" s="7" t="str">
        <f t="shared" si="372"/>
        <v/>
      </c>
      <c r="O4680" s="8"/>
      <c r="P4680" s="26"/>
      <c r="S4680" s="10" t="str">
        <f t="shared" si="369"/>
        <v/>
      </c>
    </row>
    <row r="4681" spans="5:19" x14ac:dyDescent="0.3">
      <c r="E4681" s="9" t="str">
        <f>IF(DADOS!C4681="","",DADOS!C4681)</f>
        <v/>
      </c>
      <c r="F4681" s="9" t="str">
        <f>IF(DADOS!E4681="","",DADOS!E4681)</f>
        <v/>
      </c>
      <c r="G4681" s="9" t="str">
        <f>IF(DADOS!F4681="","",DADOS!F4681)</f>
        <v/>
      </c>
      <c r="K4681" s="6" t="str">
        <f t="shared" si="370"/>
        <v/>
      </c>
      <c r="L4681" s="7" t="str">
        <f t="shared" si="371"/>
        <v/>
      </c>
      <c r="M4681" s="7" t="str">
        <f t="shared" si="368"/>
        <v/>
      </c>
      <c r="N4681" s="7" t="str">
        <f t="shared" si="372"/>
        <v/>
      </c>
      <c r="O4681" s="8"/>
      <c r="P4681" s="26"/>
      <c r="S4681" s="10" t="str">
        <f t="shared" si="369"/>
        <v/>
      </c>
    </row>
    <row r="4682" spans="5:19" x14ac:dyDescent="0.3">
      <c r="E4682" s="9" t="str">
        <f>IF(DADOS!C4682="","",DADOS!C4682)</f>
        <v/>
      </c>
      <c r="F4682" s="9" t="str">
        <f>IF(DADOS!E4682="","",DADOS!E4682)</f>
        <v/>
      </c>
      <c r="G4682" s="9" t="str">
        <f>IF(DADOS!F4682="","",DADOS!F4682)</f>
        <v/>
      </c>
      <c r="K4682" s="6" t="str">
        <f t="shared" si="370"/>
        <v/>
      </c>
      <c r="L4682" s="7" t="str">
        <f t="shared" si="371"/>
        <v/>
      </c>
      <c r="M4682" s="7" t="str">
        <f t="shared" si="368"/>
        <v/>
      </c>
      <c r="N4682" s="7" t="str">
        <f t="shared" si="372"/>
        <v/>
      </c>
      <c r="O4682" s="8"/>
      <c r="P4682" s="26"/>
      <c r="S4682" s="10" t="str">
        <f t="shared" si="369"/>
        <v/>
      </c>
    </row>
    <row r="4683" spans="5:19" x14ac:dyDescent="0.3">
      <c r="E4683" s="9" t="str">
        <f>IF(DADOS!C4683="","",DADOS!C4683)</f>
        <v/>
      </c>
      <c r="F4683" s="9" t="str">
        <f>IF(DADOS!E4683="","",DADOS!E4683)</f>
        <v/>
      </c>
      <c r="G4683" s="9" t="str">
        <f>IF(DADOS!F4683="","",DADOS!F4683)</f>
        <v/>
      </c>
      <c r="K4683" s="6" t="str">
        <f t="shared" si="370"/>
        <v/>
      </c>
      <c r="L4683" s="7" t="str">
        <f t="shared" si="371"/>
        <v/>
      </c>
      <c r="M4683" s="7" t="str">
        <f t="shared" si="368"/>
        <v/>
      </c>
      <c r="N4683" s="7" t="str">
        <f t="shared" si="372"/>
        <v/>
      </c>
      <c r="O4683" s="8"/>
      <c r="P4683" s="26"/>
      <c r="S4683" s="10" t="str">
        <f t="shared" si="369"/>
        <v/>
      </c>
    </row>
    <row r="4684" spans="5:19" x14ac:dyDescent="0.3">
      <c r="E4684" s="9" t="str">
        <f>IF(DADOS!C4684="","",DADOS!C4684)</f>
        <v/>
      </c>
      <c r="F4684" s="9" t="str">
        <f>IF(DADOS!E4684="","",DADOS!E4684)</f>
        <v/>
      </c>
      <c r="G4684" s="9" t="str">
        <f>IF(DADOS!F4684="","",DADOS!F4684)</f>
        <v/>
      </c>
      <c r="K4684" s="6" t="str">
        <f t="shared" si="370"/>
        <v/>
      </c>
      <c r="L4684" s="7" t="str">
        <f t="shared" si="371"/>
        <v/>
      </c>
      <c r="M4684" s="7" t="str">
        <f t="shared" si="368"/>
        <v/>
      </c>
      <c r="N4684" s="7" t="str">
        <f t="shared" si="372"/>
        <v/>
      </c>
      <c r="O4684" s="8"/>
      <c r="P4684" s="26"/>
      <c r="S4684" s="10" t="str">
        <f t="shared" si="369"/>
        <v/>
      </c>
    </row>
    <row r="4685" spans="5:19" x14ac:dyDescent="0.3">
      <c r="E4685" s="9" t="str">
        <f>IF(DADOS!C4685="","",DADOS!C4685)</f>
        <v/>
      </c>
      <c r="F4685" s="9" t="str">
        <f>IF(DADOS!E4685="","",DADOS!E4685)</f>
        <v/>
      </c>
      <c r="G4685" s="9" t="str">
        <f>IF(DADOS!F4685="","",DADOS!F4685)</f>
        <v/>
      </c>
      <c r="K4685" s="6" t="str">
        <f t="shared" si="370"/>
        <v/>
      </c>
      <c r="L4685" s="7" t="str">
        <f t="shared" si="371"/>
        <v/>
      </c>
      <c r="M4685" s="7" t="str">
        <f t="shared" si="368"/>
        <v/>
      </c>
      <c r="N4685" s="7" t="str">
        <f t="shared" si="372"/>
        <v/>
      </c>
      <c r="O4685" s="8"/>
      <c r="P4685" s="26"/>
      <c r="S4685" s="10" t="str">
        <f t="shared" si="369"/>
        <v/>
      </c>
    </row>
    <row r="4686" spans="5:19" x14ac:dyDescent="0.3">
      <c r="E4686" s="9" t="str">
        <f>IF(DADOS!C4686="","",DADOS!C4686)</f>
        <v/>
      </c>
      <c r="F4686" s="9" t="str">
        <f>IF(DADOS!E4686="","",DADOS!E4686)</f>
        <v/>
      </c>
      <c r="G4686" s="9" t="str">
        <f>IF(DADOS!F4686="","",DADOS!F4686)</f>
        <v/>
      </c>
      <c r="K4686" s="6" t="str">
        <f t="shared" si="370"/>
        <v/>
      </c>
      <c r="L4686" s="7" t="str">
        <f t="shared" si="371"/>
        <v/>
      </c>
      <c r="M4686" s="7" t="str">
        <f t="shared" si="368"/>
        <v/>
      </c>
      <c r="N4686" s="7" t="str">
        <f t="shared" si="372"/>
        <v/>
      </c>
      <c r="O4686" s="8"/>
      <c r="P4686" s="26"/>
      <c r="S4686" s="10" t="str">
        <f t="shared" si="369"/>
        <v/>
      </c>
    </row>
    <row r="4687" spans="5:19" x14ac:dyDescent="0.3">
      <c r="E4687" s="9" t="str">
        <f>IF(DADOS!C4687="","",DADOS!C4687)</f>
        <v/>
      </c>
      <c r="F4687" s="9" t="str">
        <f>IF(DADOS!E4687="","",DADOS!E4687)</f>
        <v/>
      </c>
      <c r="G4687" s="9" t="str">
        <f>IF(DADOS!F4687="","",DADOS!F4687)</f>
        <v/>
      </c>
      <c r="K4687" s="6" t="str">
        <f t="shared" si="370"/>
        <v/>
      </c>
      <c r="L4687" s="7" t="str">
        <f t="shared" si="371"/>
        <v/>
      </c>
      <c r="M4687" s="7" t="str">
        <f t="shared" si="368"/>
        <v/>
      </c>
      <c r="N4687" s="7" t="str">
        <f t="shared" si="372"/>
        <v/>
      </c>
      <c r="O4687" s="8"/>
      <c r="P4687" s="26"/>
      <c r="S4687" s="10" t="str">
        <f t="shared" si="369"/>
        <v/>
      </c>
    </row>
    <row r="4688" spans="5:19" x14ac:dyDescent="0.3">
      <c r="E4688" s="9" t="str">
        <f>IF(DADOS!C4688="","",DADOS!C4688)</f>
        <v/>
      </c>
      <c r="F4688" s="9" t="str">
        <f>IF(DADOS!E4688="","",DADOS!E4688)</f>
        <v/>
      </c>
      <c r="G4688" s="9" t="str">
        <f>IF(DADOS!F4688="","",DADOS!F4688)</f>
        <v/>
      </c>
      <c r="K4688" s="6" t="str">
        <f t="shared" si="370"/>
        <v/>
      </c>
      <c r="L4688" s="7" t="str">
        <f t="shared" si="371"/>
        <v/>
      </c>
      <c r="M4688" s="7" t="str">
        <f t="shared" si="368"/>
        <v/>
      </c>
      <c r="N4688" s="7" t="str">
        <f t="shared" si="372"/>
        <v/>
      </c>
      <c r="O4688" s="8"/>
      <c r="P4688" s="26"/>
      <c r="S4688" s="10" t="str">
        <f t="shared" si="369"/>
        <v/>
      </c>
    </row>
    <row r="4689" spans="5:19" x14ac:dyDescent="0.3">
      <c r="E4689" s="9" t="str">
        <f>IF(DADOS!C4689="","",DADOS!C4689)</f>
        <v/>
      </c>
      <c r="F4689" s="9" t="str">
        <f>IF(DADOS!E4689="","",DADOS!E4689)</f>
        <v/>
      </c>
      <c r="G4689" s="9" t="str">
        <f>IF(DADOS!F4689="","",DADOS!F4689)</f>
        <v/>
      </c>
      <c r="K4689" s="6" t="str">
        <f t="shared" si="370"/>
        <v/>
      </c>
      <c r="L4689" s="7" t="str">
        <f t="shared" si="371"/>
        <v/>
      </c>
      <c r="M4689" s="7" t="str">
        <f t="shared" si="368"/>
        <v/>
      </c>
      <c r="N4689" s="7" t="str">
        <f t="shared" si="372"/>
        <v/>
      </c>
      <c r="O4689" s="8"/>
      <c r="P4689" s="26"/>
      <c r="S4689" s="10" t="str">
        <f t="shared" si="369"/>
        <v/>
      </c>
    </row>
    <row r="4690" spans="5:19" x14ac:dyDescent="0.3">
      <c r="E4690" s="9" t="str">
        <f>IF(DADOS!C4690="","",DADOS!C4690)</f>
        <v/>
      </c>
      <c r="F4690" s="9" t="str">
        <f>IF(DADOS!E4690="","",DADOS!E4690)</f>
        <v/>
      </c>
      <c r="G4690" s="9" t="str">
        <f>IF(DADOS!F4690="","",DADOS!F4690)</f>
        <v/>
      </c>
      <c r="K4690" s="6" t="str">
        <f t="shared" si="370"/>
        <v/>
      </c>
      <c r="L4690" s="7" t="str">
        <f t="shared" si="371"/>
        <v/>
      </c>
      <c r="M4690" s="7" t="str">
        <f t="shared" si="368"/>
        <v/>
      </c>
      <c r="N4690" s="7" t="str">
        <f t="shared" si="372"/>
        <v/>
      </c>
      <c r="O4690" s="8"/>
      <c r="P4690" s="26"/>
      <c r="S4690" s="10" t="str">
        <f t="shared" si="369"/>
        <v/>
      </c>
    </row>
    <row r="4691" spans="5:19" x14ac:dyDescent="0.3">
      <c r="E4691" s="9" t="str">
        <f>IF(DADOS!C4691="","",DADOS!C4691)</f>
        <v/>
      </c>
      <c r="F4691" s="9" t="str">
        <f>IF(DADOS!E4691="","",DADOS!E4691)</f>
        <v/>
      </c>
      <c r="G4691" s="9" t="str">
        <f>IF(DADOS!F4691="","",DADOS!F4691)</f>
        <v/>
      </c>
      <c r="K4691" s="6" t="str">
        <f t="shared" si="370"/>
        <v/>
      </c>
      <c r="L4691" s="7" t="str">
        <f t="shared" si="371"/>
        <v/>
      </c>
      <c r="M4691" s="7" t="str">
        <f t="shared" si="368"/>
        <v/>
      </c>
      <c r="N4691" s="7" t="str">
        <f t="shared" si="372"/>
        <v/>
      </c>
      <c r="O4691" s="8"/>
      <c r="P4691" s="26"/>
      <c r="S4691" s="10" t="str">
        <f t="shared" si="369"/>
        <v/>
      </c>
    </row>
    <row r="4692" spans="5:19" x14ac:dyDescent="0.3">
      <c r="E4692" s="9" t="str">
        <f>IF(DADOS!C4692="","",DADOS!C4692)</f>
        <v/>
      </c>
      <c r="F4692" s="9" t="str">
        <f>IF(DADOS!E4692="","",DADOS!E4692)</f>
        <v/>
      </c>
      <c r="G4692" s="9" t="str">
        <f>IF(DADOS!F4692="","",DADOS!F4692)</f>
        <v/>
      </c>
      <c r="K4692" s="6" t="str">
        <f t="shared" si="370"/>
        <v/>
      </c>
      <c r="L4692" s="7" t="str">
        <f t="shared" si="371"/>
        <v/>
      </c>
      <c r="M4692" s="7" t="str">
        <f t="shared" si="368"/>
        <v/>
      </c>
      <c r="N4692" s="7" t="str">
        <f t="shared" si="372"/>
        <v/>
      </c>
      <c r="O4692" s="8"/>
      <c r="P4692" s="26"/>
      <c r="S4692" s="10" t="str">
        <f t="shared" si="369"/>
        <v/>
      </c>
    </row>
    <row r="4693" spans="5:19" x14ac:dyDescent="0.3">
      <c r="E4693" s="9" t="str">
        <f>IF(DADOS!C4693="","",DADOS!C4693)</f>
        <v/>
      </c>
      <c r="F4693" s="9" t="str">
        <f>IF(DADOS!E4693="","",DADOS!E4693)</f>
        <v/>
      </c>
      <c r="G4693" s="9" t="str">
        <f>IF(DADOS!F4693="","",DADOS!F4693)</f>
        <v/>
      </c>
      <c r="K4693" s="6" t="str">
        <f t="shared" si="370"/>
        <v/>
      </c>
      <c r="L4693" s="7" t="str">
        <f t="shared" si="371"/>
        <v/>
      </c>
      <c r="M4693" s="7" t="str">
        <f t="shared" si="368"/>
        <v/>
      </c>
      <c r="N4693" s="7" t="str">
        <f t="shared" si="372"/>
        <v/>
      </c>
      <c r="O4693" s="8"/>
      <c r="P4693" s="26"/>
      <c r="S4693" s="10" t="str">
        <f t="shared" si="369"/>
        <v/>
      </c>
    </row>
    <row r="4694" spans="5:19" x14ac:dyDescent="0.3">
      <c r="E4694" s="9" t="str">
        <f>IF(DADOS!C4694="","",DADOS!C4694)</f>
        <v/>
      </c>
      <c r="F4694" s="9" t="str">
        <f>IF(DADOS!E4694="","",DADOS!E4694)</f>
        <v/>
      </c>
      <c r="G4694" s="9" t="str">
        <f>IF(DADOS!F4694="","",DADOS!F4694)</f>
        <v/>
      </c>
      <c r="K4694" s="6" t="str">
        <f t="shared" si="370"/>
        <v/>
      </c>
      <c r="L4694" s="7" t="str">
        <f t="shared" si="371"/>
        <v/>
      </c>
      <c r="M4694" s="7" t="str">
        <f t="shared" si="368"/>
        <v/>
      </c>
      <c r="N4694" s="7" t="str">
        <f t="shared" si="372"/>
        <v/>
      </c>
      <c r="O4694" s="8"/>
      <c r="P4694" s="26"/>
      <c r="S4694" s="10" t="str">
        <f t="shared" si="369"/>
        <v/>
      </c>
    </row>
    <row r="4695" spans="5:19" x14ac:dyDescent="0.3">
      <c r="E4695" s="9" t="str">
        <f>IF(DADOS!C4695="","",DADOS!C4695)</f>
        <v/>
      </c>
      <c r="F4695" s="9" t="str">
        <f>IF(DADOS!E4695="","",DADOS!E4695)</f>
        <v/>
      </c>
      <c r="G4695" s="9" t="str">
        <f>IF(DADOS!F4695="","",DADOS!F4695)</f>
        <v/>
      </c>
      <c r="K4695" s="6" t="str">
        <f t="shared" si="370"/>
        <v/>
      </c>
      <c r="L4695" s="7" t="str">
        <f t="shared" si="371"/>
        <v/>
      </c>
      <c r="M4695" s="7" t="str">
        <f t="shared" si="368"/>
        <v/>
      </c>
      <c r="N4695" s="7" t="str">
        <f t="shared" si="372"/>
        <v/>
      </c>
      <c r="O4695" s="8"/>
      <c r="P4695" s="26"/>
      <c r="S4695" s="10" t="str">
        <f t="shared" si="369"/>
        <v/>
      </c>
    </row>
    <row r="4696" spans="5:19" x14ac:dyDescent="0.3">
      <c r="E4696" s="9" t="str">
        <f>IF(DADOS!C4696="","",DADOS!C4696)</f>
        <v/>
      </c>
      <c r="F4696" s="9" t="str">
        <f>IF(DADOS!E4696="","",DADOS!E4696)</f>
        <v/>
      </c>
      <c r="G4696" s="9" t="str">
        <f>IF(DADOS!F4696="","",DADOS!F4696)</f>
        <v/>
      </c>
      <c r="K4696" s="6" t="str">
        <f t="shared" si="370"/>
        <v/>
      </c>
      <c r="L4696" s="7" t="str">
        <f t="shared" si="371"/>
        <v/>
      </c>
      <c r="M4696" s="7" t="str">
        <f t="shared" si="368"/>
        <v/>
      </c>
      <c r="N4696" s="7" t="str">
        <f t="shared" si="372"/>
        <v/>
      </c>
      <c r="O4696" s="8"/>
      <c r="P4696" s="26"/>
      <c r="S4696" s="10" t="str">
        <f t="shared" si="369"/>
        <v/>
      </c>
    </row>
    <row r="4697" spans="5:19" x14ac:dyDescent="0.3">
      <c r="E4697" s="9" t="str">
        <f>IF(DADOS!C4697="","",DADOS!C4697)</f>
        <v/>
      </c>
      <c r="F4697" s="9" t="str">
        <f>IF(DADOS!E4697="","",DADOS!E4697)</f>
        <v/>
      </c>
      <c r="G4697" s="9" t="str">
        <f>IF(DADOS!F4697="","",DADOS!F4697)</f>
        <v/>
      </c>
      <c r="K4697" s="6" t="str">
        <f t="shared" si="370"/>
        <v/>
      </c>
      <c r="L4697" s="7" t="str">
        <f t="shared" si="371"/>
        <v/>
      </c>
      <c r="M4697" s="7" t="str">
        <f t="shared" si="368"/>
        <v/>
      </c>
      <c r="N4697" s="7" t="str">
        <f t="shared" si="372"/>
        <v/>
      </c>
      <c r="O4697" s="8"/>
      <c r="P4697" s="26"/>
      <c r="S4697" s="10" t="str">
        <f t="shared" si="369"/>
        <v/>
      </c>
    </row>
    <row r="4698" spans="5:19" x14ac:dyDescent="0.3">
      <c r="E4698" s="9" t="str">
        <f>IF(DADOS!C4698="","",DADOS!C4698)</f>
        <v/>
      </c>
      <c r="F4698" s="9" t="str">
        <f>IF(DADOS!E4698="","",DADOS!E4698)</f>
        <v/>
      </c>
      <c r="G4698" s="9" t="str">
        <f>IF(DADOS!F4698="","",DADOS!F4698)</f>
        <v/>
      </c>
      <c r="K4698" s="6" t="str">
        <f t="shared" si="370"/>
        <v/>
      </c>
      <c r="L4698" s="7" t="str">
        <f t="shared" si="371"/>
        <v/>
      </c>
      <c r="M4698" s="7" t="str">
        <f t="shared" si="368"/>
        <v/>
      </c>
      <c r="N4698" s="7" t="str">
        <f t="shared" si="372"/>
        <v/>
      </c>
      <c r="O4698" s="8"/>
      <c r="P4698" s="26"/>
      <c r="S4698" s="10" t="str">
        <f t="shared" si="369"/>
        <v/>
      </c>
    </row>
    <row r="4699" spans="5:19" x14ac:dyDescent="0.3">
      <c r="E4699" s="9" t="str">
        <f>IF(DADOS!C4699="","",DADOS!C4699)</f>
        <v/>
      </c>
      <c r="F4699" s="9" t="str">
        <f>IF(DADOS!E4699="","",DADOS!E4699)</f>
        <v/>
      </c>
      <c r="G4699" s="9" t="str">
        <f>IF(DADOS!F4699="","",DADOS!F4699)</f>
        <v/>
      </c>
      <c r="K4699" s="6" t="str">
        <f t="shared" si="370"/>
        <v/>
      </c>
      <c r="L4699" s="7" t="str">
        <f t="shared" si="371"/>
        <v/>
      </c>
      <c r="M4699" s="7" t="str">
        <f t="shared" si="368"/>
        <v/>
      </c>
      <c r="N4699" s="7" t="str">
        <f t="shared" si="372"/>
        <v/>
      </c>
      <c r="O4699" s="8"/>
      <c r="P4699" s="26"/>
      <c r="S4699" s="10" t="str">
        <f t="shared" si="369"/>
        <v/>
      </c>
    </row>
    <row r="4700" spans="5:19" x14ac:dyDescent="0.3">
      <c r="E4700" s="9" t="str">
        <f>IF(DADOS!C4700="","",DADOS!C4700)</f>
        <v/>
      </c>
      <c r="F4700" s="9" t="str">
        <f>IF(DADOS!E4700="","",DADOS!E4700)</f>
        <v/>
      </c>
      <c r="G4700" s="9" t="str">
        <f>IF(DADOS!F4700="","",DADOS!F4700)</f>
        <v/>
      </c>
      <c r="K4700" s="6" t="str">
        <f t="shared" si="370"/>
        <v/>
      </c>
      <c r="L4700" s="7" t="str">
        <f t="shared" si="371"/>
        <v/>
      </c>
      <c r="M4700" s="7" t="str">
        <f t="shared" si="368"/>
        <v/>
      </c>
      <c r="N4700" s="7" t="str">
        <f t="shared" si="372"/>
        <v/>
      </c>
      <c r="O4700" s="8"/>
      <c r="P4700" s="26"/>
      <c r="S4700" s="10" t="str">
        <f t="shared" si="369"/>
        <v/>
      </c>
    </row>
    <row r="4701" spans="5:19" x14ac:dyDescent="0.3">
      <c r="E4701" s="9" t="str">
        <f>IF(DADOS!C4701="","",DADOS!C4701)</f>
        <v/>
      </c>
      <c r="F4701" s="9" t="str">
        <f>IF(DADOS!E4701="","",DADOS!E4701)</f>
        <v/>
      </c>
      <c r="G4701" s="9" t="str">
        <f>IF(DADOS!F4701="","",DADOS!F4701)</f>
        <v/>
      </c>
      <c r="K4701" s="6" t="str">
        <f t="shared" si="370"/>
        <v/>
      </c>
      <c r="L4701" s="7" t="str">
        <f t="shared" si="371"/>
        <v/>
      </c>
      <c r="M4701" s="7" t="str">
        <f t="shared" si="368"/>
        <v/>
      </c>
      <c r="N4701" s="7" t="str">
        <f t="shared" si="372"/>
        <v/>
      </c>
      <c r="O4701" s="8"/>
      <c r="P4701" s="26"/>
      <c r="S4701" s="10" t="str">
        <f t="shared" si="369"/>
        <v/>
      </c>
    </row>
    <row r="4702" spans="5:19" x14ac:dyDescent="0.3">
      <c r="E4702" s="9" t="str">
        <f>IF(DADOS!C4702="","",DADOS!C4702)</f>
        <v/>
      </c>
      <c r="F4702" s="9" t="str">
        <f>IF(DADOS!E4702="","",DADOS!E4702)</f>
        <v/>
      </c>
      <c r="G4702" s="9" t="str">
        <f>IF(DADOS!F4702="","",DADOS!F4702)</f>
        <v/>
      </c>
      <c r="K4702" s="6" t="str">
        <f t="shared" si="370"/>
        <v/>
      </c>
      <c r="L4702" s="7" t="str">
        <f t="shared" si="371"/>
        <v/>
      </c>
      <c r="M4702" s="7" t="str">
        <f t="shared" si="368"/>
        <v/>
      </c>
      <c r="N4702" s="7" t="str">
        <f t="shared" si="372"/>
        <v/>
      </c>
      <c r="O4702" s="8"/>
      <c r="P4702" s="26"/>
      <c r="S4702" s="10" t="str">
        <f t="shared" si="369"/>
        <v/>
      </c>
    </row>
    <row r="4703" spans="5:19" x14ac:dyDescent="0.3">
      <c r="E4703" s="9" t="str">
        <f>IF(DADOS!C4703="","",DADOS!C4703)</f>
        <v/>
      </c>
      <c r="F4703" s="9" t="str">
        <f>IF(DADOS!E4703="","",DADOS!E4703)</f>
        <v/>
      </c>
      <c r="G4703" s="9" t="str">
        <f>IF(DADOS!F4703="","",DADOS!F4703)</f>
        <v/>
      </c>
      <c r="K4703" s="6" t="str">
        <f t="shared" si="370"/>
        <v/>
      </c>
      <c r="L4703" s="7" t="str">
        <f t="shared" si="371"/>
        <v/>
      </c>
      <c r="M4703" s="7" t="str">
        <f t="shared" si="368"/>
        <v/>
      </c>
      <c r="N4703" s="7" t="str">
        <f t="shared" si="372"/>
        <v/>
      </c>
      <c r="O4703" s="8"/>
      <c r="P4703" s="26"/>
      <c r="S4703" s="10" t="str">
        <f t="shared" si="369"/>
        <v/>
      </c>
    </row>
    <row r="4704" spans="5:19" x14ac:dyDescent="0.3">
      <c r="E4704" s="9" t="str">
        <f>IF(DADOS!C4704="","",DADOS!C4704)</f>
        <v/>
      </c>
      <c r="F4704" s="9" t="str">
        <f>IF(DADOS!E4704="","",DADOS!E4704)</f>
        <v/>
      </c>
      <c r="G4704" s="9" t="str">
        <f>IF(DADOS!F4704="","",DADOS!F4704)</f>
        <v/>
      </c>
      <c r="K4704" s="6" t="str">
        <f t="shared" si="370"/>
        <v/>
      </c>
      <c r="L4704" s="7" t="str">
        <f t="shared" si="371"/>
        <v/>
      </c>
      <c r="M4704" s="7" t="str">
        <f t="shared" si="368"/>
        <v/>
      </c>
      <c r="N4704" s="7" t="str">
        <f t="shared" si="372"/>
        <v/>
      </c>
      <c r="O4704" s="8"/>
      <c r="P4704" s="26"/>
      <c r="S4704" s="10" t="str">
        <f t="shared" si="369"/>
        <v/>
      </c>
    </row>
    <row r="4705" spans="5:19" x14ac:dyDescent="0.3">
      <c r="E4705" s="9" t="str">
        <f>IF(DADOS!C4705="","",DADOS!C4705)</f>
        <v/>
      </c>
      <c r="F4705" s="9" t="str">
        <f>IF(DADOS!E4705="","",DADOS!E4705)</f>
        <v/>
      </c>
      <c r="G4705" s="9" t="str">
        <f>IF(DADOS!F4705="","",DADOS!F4705)</f>
        <v/>
      </c>
      <c r="K4705" s="6" t="str">
        <f t="shared" si="370"/>
        <v/>
      </c>
      <c r="L4705" s="7" t="str">
        <f t="shared" si="371"/>
        <v/>
      </c>
      <c r="M4705" s="7" t="str">
        <f t="shared" si="368"/>
        <v/>
      </c>
      <c r="N4705" s="7" t="str">
        <f t="shared" si="372"/>
        <v/>
      </c>
      <c r="O4705" s="8"/>
      <c r="P4705" s="26"/>
      <c r="S4705" s="10" t="str">
        <f t="shared" si="369"/>
        <v/>
      </c>
    </row>
    <row r="4706" spans="5:19" x14ac:dyDescent="0.3">
      <c r="E4706" s="9" t="str">
        <f>IF(DADOS!C4706="","",DADOS!C4706)</f>
        <v/>
      </c>
      <c r="F4706" s="9" t="str">
        <f>IF(DADOS!E4706="","",DADOS!E4706)</f>
        <v/>
      </c>
      <c r="G4706" s="9" t="str">
        <f>IF(DADOS!F4706="","",DADOS!F4706)</f>
        <v/>
      </c>
      <c r="K4706" s="6" t="str">
        <f t="shared" si="370"/>
        <v/>
      </c>
      <c r="L4706" s="7" t="str">
        <f t="shared" si="371"/>
        <v/>
      </c>
      <c r="M4706" s="7" t="str">
        <f t="shared" si="368"/>
        <v/>
      </c>
      <c r="N4706" s="7" t="str">
        <f t="shared" si="372"/>
        <v/>
      </c>
      <c r="O4706" s="8"/>
      <c r="P4706" s="26"/>
      <c r="S4706" s="10" t="str">
        <f t="shared" si="369"/>
        <v/>
      </c>
    </row>
    <row r="4707" spans="5:19" x14ac:dyDescent="0.3">
      <c r="E4707" s="9" t="str">
        <f>IF(DADOS!C4707="","",DADOS!C4707)</f>
        <v/>
      </c>
      <c r="F4707" s="9" t="str">
        <f>IF(DADOS!E4707="","",DADOS!E4707)</f>
        <v/>
      </c>
      <c r="G4707" s="9" t="str">
        <f>IF(DADOS!F4707="","",DADOS!F4707)</f>
        <v/>
      </c>
      <c r="K4707" s="6" t="str">
        <f t="shared" si="370"/>
        <v/>
      </c>
      <c r="L4707" s="7" t="str">
        <f t="shared" si="371"/>
        <v/>
      </c>
      <c r="M4707" s="7" t="str">
        <f t="shared" si="368"/>
        <v/>
      </c>
      <c r="N4707" s="7" t="str">
        <f t="shared" si="372"/>
        <v/>
      </c>
      <c r="O4707" s="8"/>
      <c r="P4707" s="26"/>
      <c r="S4707" s="10" t="str">
        <f t="shared" si="369"/>
        <v/>
      </c>
    </row>
    <row r="4708" spans="5:19" x14ac:dyDescent="0.3">
      <c r="E4708" s="9" t="str">
        <f>IF(DADOS!C4708="","",DADOS!C4708)</f>
        <v/>
      </c>
      <c r="F4708" s="9" t="str">
        <f>IF(DADOS!E4708="","",DADOS!E4708)</f>
        <v/>
      </c>
      <c r="G4708" s="9" t="str">
        <f>IF(DADOS!F4708="","",DADOS!F4708)</f>
        <v/>
      </c>
      <c r="K4708" s="6" t="str">
        <f t="shared" si="370"/>
        <v/>
      </c>
      <c r="L4708" s="7" t="str">
        <f t="shared" si="371"/>
        <v/>
      </c>
      <c r="M4708" s="7" t="str">
        <f t="shared" si="368"/>
        <v/>
      </c>
      <c r="N4708" s="7" t="str">
        <f t="shared" si="372"/>
        <v/>
      </c>
      <c r="O4708" s="8"/>
      <c r="P4708" s="26"/>
      <c r="S4708" s="10" t="str">
        <f t="shared" si="369"/>
        <v/>
      </c>
    </row>
    <row r="4709" spans="5:19" x14ac:dyDescent="0.3">
      <c r="E4709" s="9" t="str">
        <f>IF(DADOS!C4709="","",DADOS!C4709)</f>
        <v/>
      </c>
      <c r="F4709" s="9" t="str">
        <f>IF(DADOS!E4709="","",DADOS!E4709)</f>
        <v/>
      </c>
      <c r="G4709" s="9" t="str">
        <f>IF(DADOS!F4709="","",DADOS!F4709)</f>
        <v/>
      </c>
      <c r="K4709" s="6" t="str">
        <f t="shared" si="370"/>
        <v/>
      </c>
      <c r="L4709" s="7" t="str">
        <f t="shared" si="371"/>
        <v/>
      </c>
      <c r="M4709" s="7" t="str">
        <f t="shared" si="368"/>
        <v/>
      </c>
      <c r="N4709" s="7" t="str">
        <f t="shared" si="372"/>
        <v/>
      </c>
      <c r="O4709" s="8"/>
      <c r="P4709" s="26"/>
      <c r="S4709" s="10" t="str">
        <f t="shared" si="369"/>
        <v/>
      </c>
    </row>
    <row r="4710" spans="5:19" x14ac:dyDescent="0.3">
      <c r="E4710" s="9" t="str">
        <f>IF(DADOS!C4710="","",DADOS!C4710)</f>
        <v/>
      </c>
      <c r="F4710" s="9" t="str">
        <f>IF(DADOS!E4710="","",DADOS!E4710)</f>
        <v/>
      </c>
      <c r="G4710" s="9" t="str">
        <f>IF(DADOS!F4710="","",DADOS!F4710)</f>
        <v/>
      </c>
      <c r="K4710" s="6" t="str">
        <f t="shared" si="370"/>
        <v/>
      </c>
      <c r="L4710" s="7" t="str">
        <f t="shared" si="371"/>
        <v/>
      </c>
      <c r="M4710" s="7" t="str">
        <f t="shared" si="368"/>
        <v/>
      </c>
      <c r="N4710" s="7" t="str">
        <f t="shared" si="372"/>
        <v/>
      </c>
      <c r="O4710" s="8"/>
      <c r="P4710" s="26"/>
      <c r="S4710" s="10" t="str">
        <f t="shared" si="369"/>
        <v/>
      </c>
    </row>
    <row r="4711" spans="5:19" x14ac:dyDescent="0.3">
      <c r="E4711" s="9" t="str">
        <f>IF(DADOS!C4711="","",DADOS!C4711)</f>
        <v/>
      </c>
      <c r="F4711" s="9" t="str">
        <f>IF(DADOS!E4711="","",DADOS!E4711)</f>
        <v/>
      </c>
      <c r="G4711" s="9" t="str">
        <f>IF(DADOS!F4711="","",DADOS!F4711)</f>
        <v/>
      </c>
      <c r="K4711" s="6" t="str">
        <f t="shared" si="370"/>
        <v/>
      </c>
      <c r="L4711" s="7" t="str">
        <f t="shared" si="371"/>
        <v/>
      </c>
      <c r="M4711" s="7" t="str">
        <f t="shared" si="368"/>
        <v/>
      </c>
      <c r="N4711" s="7" t="str">
        <f t="shared" si="372"/>
        <v/>
      </c>
      <c r="O4711" s="8"/>
      <c r="P4711" s="26"/>
      <c r="S4711" s="10" t="str">
        <f t="shared" si="369"/>
        <v/>
      </c>
    </row>
    <row r="4712" spans="5:19" x14ac:dyDescent="0.3">
      <c r="E4712" s="9" t="str">
        <f>IF(DADOS!C4712="","",DADOS!C4712)</f>
        <v/>
      </c>
      <c r="F4712" s="9" t="str">
        <f>IF(DADOS!E4712="","",DADOS!E4712)</f>
        <v/>
      </c>
      <c r="G4712" s="9" t="str">
        <f>IF(DADOS!F4712="","",DADOS!F4712)</f>
        <v/>
      </c>
      <c r="K4712" s="6" t="str">
        <f t="shared" si="370"/>
        <v/>
      </c>
      <c r="L4712" s="7" t="str">
        <f t="shared" si="371"/>
        <v/>
      </c>
      <c r="M4712" s="7" t="str">
        <f t="shared" si="368"/>
        <v/>
      </c>
      <c r="N4712" s="7" t="str">
        <f t="shared" si="372"/>
        <v/>
      </c>
      <c r="O4712" s="8"/>
      <c r="P4712" s="26"/>
      <c r="S4712" s="10" t="str">
        <f t="shared" si="369"/>
        <v/>
      </c>
    </row>
    <row r="4713" spans="5:19" x14ac:dyDescent="0.3">
      <c r="E4713" s="9" t="str">
        <f>IF(DADOS!C4713="","",DADOS!C4713)</f>
        <v/>
      </c>
      <c r="F4713" s="9" t="str">
        <f>IF(DADOS!E4713="","",DADOS!E4713)</f>
        <v/>
      </c>
      <c r="G4713" s="9" t="str">
        <f>IF(DADOS!F4713="","",DADOS!F4713)</f>
        <v/>
      </c>
      <c r="K4713" s="6" t="str">
        <f t="shared" si="370"/>
        <v/>
      </c>
      <c r="L4713" s="7" t="str">
        <f t="shared" si="371"/>
        <v/>
      </c>
      <c r="M4713" s="7" t="str">
        <f t="shared" si="368"/>
        <v/>
      </c>
      <c r="N4713" s="7" t="str">
        <f t="shared" si="372"/>
        <v/>
      </c>
      <c r="O4713" s="8"/>
      <c r="P4713" s="26"/>
      <c r="S4713" s="10" t="str">
        <f t="shared" si="369"/>
        <v/>
      </c>
    </row>
    <row r="4714" spans="5:19" x14ac:dyDescent="0.3">
      <c r="E4714" s="9" t="str">
        <f>IF(DADOS!C4714="","",DADOS!C4714)</f>
        <v/>
      </c>
      <c r="F4714" s="9" t="str">
        <f>IF(DADOS!E4714="","",DADOS!E4714)</f>
        <v/>
      </c>
      <c r="G4714" s="9" t="str">
        <f>IF(DADOS!F4714="","",DADOS!F4714)</f>
        <v/>
      </c>
      <c r="K4714" s="6" t="str">
        <f t="shared" si="370"/>
        <v/>
      </c>
      <c r="L4714" s="7" t="str">
        <f t="shared" si="371"/>
        <v/>
      </c>
      <c r="M4714" s="7" t="str">
        <f t="shared" si="368"/>
        <v/>
      </c>
      <c r="N4714" s="7" t="str">
        <f t="shared" si="372"/>
        <v/>
      </c>
      <c r="O4714" s="8"/>
      <c r="P4714" s="26"/>
      <c r="S4714" s="10" t="str">
        <f t="shared" si="369"/>
        <v/>
      </c>
    </row>
    <row r="4715" spans="5:19" x14ac:dyDescent="0.3">
      <c r="E4715" s="9" t="str">
        <f>IF(DADOS!C4715="","",DADOS!C4715)</f>
        <v/>
      </c>
      <c r="F4715" s="9" t="str">
        <f>IF(DADOS!E4715="","",DADOS!E4715)</f>
        <v/>
      </c>
      <c r="G4715" s="9" t="str">
        <f>IF(DADOS!F4715="","",DADOS!F4715)</f>
        <v/>
      </c>
      <c r="K4715" s="6" t="str">
        <f t="shared" si="370"/>
        <v/>
      </c>
      <c r="L4715" s="7" t="str">
        <f t="shared" si="371"/>
        <v/>
      </c>
      <c r="M4715" s="7" t="str">
        <f t="shared" si="368"/>
        <v/>
      </c>
      <c r="N4715" s="7" t="str">
        <f t="shared" si="372"/>
        <v/>
      </c>
      <c r="O4715" s="8"/>
      <c r="P4715" s="26"/>
      <c r="S4715" s="10" t="str">
        <f t="shared" si="369"/>
        <v/>
      </c>
    </row>
    <row r="4716" spans="5:19" x14ac:dyDescent="0.3">
      <c r="E4716" s="9" t="str">
        <f>IF(DADOS!C4716="","",DADOS!C4716)</f>
        <v/>
      </c>
      <c r="F4716" s="9" t="str">
        <f>IF(DADOS!E4716="","",DADOS!E4716)</f>
        <v/>
      </c>
      <c r="G4716" s="9" t="str">
        <f>IF(DADOS!F4716="","",DADOS!F4716)</f>
        <v/>
      </c>
      <c r="K4716" s="6" t="str">
        <f t="shared" si="370"/>
        <v/>
      </c>
      <c r="L4716" s="7" t="str">
        <f t="shared" si="371"/>
        <v/>
      </c>
      <c r="M4716" s="7" t="str">
        <f t="shared" si="368"/>
        <v/>
      </c>
      <c r="N4716" s="7" t="str">
        <f t="shared" si="372"/>
        <v/>
      </c>
      <c r="O4716" s="8"/>
      <c r="P4716" s="26"/>
      <c r="S4716" s="10" t="str">
        <f t="shared" si="369"/>
        <v/>
      </c>
    </row>
    <row r="4717" spans="5:19" x14ac:dyDescent="0.3">
      <c r="E4717" s="9" t="str">
        <f>IF(DADOS!C4717="","",DADOS!C4717)</f>
        <v/>
      </c>
      <c r="F4717" s="9" t="str">
        <f>IF(DADOS!E4717="","",DADOS!E4717)</f>
        <v/>
      </c>
      <c r="G4717" s="9" t="str">
        <f>IF(DADOS!F4717="","",DADOS!F4717)</f>
        <v/>
      </c>
      <c r="K4717" s="6" t="str">
        <f t="shared" si="370"/>
        <v/>
      </c>
      <c r="L4717" s="7" t="str">
        <f t="shared" si="371"/>
        <v/>
      </c>
      <c r="M4717" s="7" t="str">
        <f t="shared" si="368"/>
        <v/>
      </c>
      <c r="N4717" s="7" t="str">
        <f t="shared" si="372"/>
        <v/>
      </c>
      <c r="O4717" s="8"/>
      <c r="P4717" s="26"/>
      <c r="S4717" s="10" t="str">
        <f t="shared" si="369"/>
        <v/>
      </c>
    </row>
    <row r="4718" spans="5:19" x14ac:dyDescent="0.3">
      <c r="E4718" s="9" t="str">
        <f>IF(DADOS!C4718="","",DADOS!C4718)</f>
        <v/>
      </c>
      <c r="F4718" s="9" t="str">
        <f>IF(DADOS!E4718="","",DADOS!E4718)</f>
        <v/>
      </c>
      <c r="G4718" s="9" t="str">
        <f>IF(DADOS!F4718="","",DADOS!F4718)</f>
        <v/>
      </c>
      <c r="K4718" s="6" t="str">
        <f t="shared" si="370"/>
        <v/>
      </c>
      <c r="L4718" s="7" t="str">
        <f t="shared" si="371"/>
        <v/>
      </c>
      <c r="M4718" s="7" t="str">
        <f t="shared" si="368"/>
        <v/>
      </c>
      <c r="N4718" s="7" t="str">
        <f t="shared" si="372"/>
        <v/>
      </c>
      <c r="O4718" s="8"/>
      <c r="P4718" s="26"/>
      <c r="S4718" s="10" t="str">
        <f t="shared" si="369"/>
        <v/>
      </c>
    </row>
    <row r="4719" spans="5:19" x14ac:dyDescent="0.3">
      <c r="E4719" s="9" t="str">
        <f>IF(DADOS!C4719="","",DADOS!C4719)</f>
        <v/>
      </c>
      <c r="F4719" s="9" t="str">
        <f>IF(DADOS!E4719="","",DADOS!E4719)</f>
        <v/>
      </c>
      <c r="G4719" s="9" t="str">
        <f>IF(DADOS!F4719="","",DADOS!F4719)</f>
        <v/>
      </c>
      <c r="K4719" s="6" t="str">
        <f t="shared" si="370"/>
        <v/>
      </c>
      <c r="L4719" s="7" t="str">
        <f t="shared" si="371"/>
        <v/>
      </c>
      <c r="M4719" s="7" t="str">
        <f t="shared" si="368"/>
        <v/>
      </c>
      <c r="N4719" s="7" t="str">
        <f t="shared" si="372"/>
        <v/>
      </c>
      <c r="O4719" s="8"/>
      <c r="P4719" s="26"/>
      <c r="S4719" s="10" t="str">
        <f t="shared" si="369"/>
        <v/>
      </c>
    </row>
    <row r="4720" spans="5:19" x14ac:dyDescent="0.3">
      <c r="E4720" s="9" t="str">
        <f>IF(DADOS!C4720="","",DADOS!C4720)</f>
        <v/>
      </c>
      <c r="F4720" s="9" t="str">
        <f>IF(DADOS!E4720="","",DADOS!E4720)</f>
        <v/>
      </c>
      <c r="G4720" s="9" t="str">
        <f>IF(DADOS!F4720="","",DADOS!F4720)</f>
        <v/>
      </c>
      <c r="K4720" s="6" t="str">
        <f t="shared" si="370"/>
        <v/>
      </c>
      <c r="L4720" s="7" t="str">
        <f t="shared" si="371"/>
        <v/>
      </c>
      <c r="M4720" s="7" t="str">
        <f t="shared" si="368"/>
        <v/>
      </c>
      <c r="N4720" s="7" t="str">
        <f t="shared" si="372"/>
        <v/>
      </c>
      <c r="O4720" s="8"/>
      <c r="P4720" s="26"/>
      <c r="S4720" s="10" t="str">
        <f t="shared" si="369"/>
        <v/>
      </c>
    </row>
    <row r="4721" spans="5:19" x14ac:dyDescent="0.3">
      <c r="E4721" s="9" t="str">
        <f>IF(DADOS!C4721="","",DADOS!C4721)</f>
        <v/>
      </c>
      <c r="F4721" s="9" t="str">
        <f>IF(DADOS!E4721="","",DADOS!E4721)</f>
        <v/>
      </c>
      <c r="G4721" s="9" t="str">
        <f>IF(DADOS!F4721="","",DADOS!F4721)</f>
        <v/>
      </c>
      <c r="K4721" s="6" t="str">
        <f t="shared" si="370"/>
        <v/>
      </c>
      <c r="L4721" s="7" t="str">
        <f t="shared" si="371"/>
        <v/>
      </c>
      <c r="M4721" s="7" t="str">
        <f t="shared" si="368"/>
        <v/>
      </c>
      <c r="N4721" s="7" t="str">
        <f t="shared" si="372"/>
        <v/>
      </c>
      <c r="O4721" s="8"/>
      <c r="P4721" s="26"/>
      <c r="S4721" s="10" t="str">
        <f t="shared" si="369"/>
        <v/>
      </c>
    </row>
    <row r="4722" spans="5:19" x14ac:dyDescent="0.3">
      <c r="E4722" s="9" t="str">
        <f>IF(DADOS!C4722="","",DADOS!C4722)</f>
        <v/>
      </c>
      <c r="F4722" s="9" t="str">
        <f>IF(DADOS!E4722="","",DADOS!E4722)</f>
        <v/>
      </c>
      <c r="G4722" s="9" t="str">
        <f>IF(DADOS!F4722="","",DADOS!F4722)</f>
        <v/>
      </c>
      <c r="K4722" s="6" t="str">
        <f t="shared" si="370"/>
        <v/>
      </c>
      <c r="L4722" s="7" t="str">
        <f t="shared" si="371"/>
        <v/>
      </c>
      <c r="M4722" s="7" t="str">
        <f t="shared" si="368"/>
        <v/>
      </c>
      <c r="N4722" s="7" t="str">
        <f t="shared" si="372"/>
        <v/>
      </c>
      <c r="O4722" s="8"/>
      <c r="P4722" s="26"/>
      <c r="S4722" s="10" t="str">
        <f t="shared" si="369"/>
        <v/>
      </c>
    </row>
    <row r="4723" spans="5:19" x14ac:dyDescent="0.3">
      <c r="E4723" s="9" t="str">
        <f>IF(DADOS!C4723="","",DADOS!C4723)</f>
        <v/>
      </c>
      <c r="F4723" s="9" t="str">
        <f>IF(DADOS!E4723="","",DADOS!E4723)</f>
        <v/>
      </c>
      <c r="G4723" s="9" t="str">
        <f>IF(DADOS!F4723="","",DADOS!F4723)</f>
        <v/>
      </c>
      <c r="K4723" s="6" t="str">
        <f t="shared" si="370"/>
        <v/>
      </c>
      <c r="L4723" s="7" t="str">
        <f t="shared" si="371"/>
        <v/>
      </c>
      <c r="M4723" s="7" t="str">
        <f t="shared" si="368"/>
        <v/>
      </c>
      <c r="N4723" s="7" t="str">
        <f t="shared" si="372"/>
        <v/>
      </c>
      <c r="O4723" s="8"/>
      <c r="P4723" s="26"/>
      <c r="S4723" s="10" t="str">
        <f t="shared" si="369"/>
        <v/>
      </c>
    </row>
    <row r="4724" spans="5:19" x14ac:dyDescent="0.3">
      <c r="E4724" s="9" t="str">
        <f>IF(DADOS!C4724="","",DADOS!C4724)</f>
        <v/>
      </c>
      <c r="F4724" s="9" t="str">
        <f>IF(DADOS!E4724="","",DADOS!E4724)</f>
        <v/>
      </c>
      <c r="G4724" s="9" t="str">
        <f>IF(DADOS!F4724="","",DADOS!F4724)</f>
        <v/>
      </c>
      <c r="K4724" s="6" t="str">
        <f t="shared" si="370"/>
        <v/>
      </c>
      <c r="L4724" s="7" t="str">
        <f t="shared" si="371"/>
        <v/>
      </c>
      <c r="M4724" s="7" t="str">
        <f t="shared" si="368"/>
        <v/>
      </c>
      <c r="N4724" s="7" t="str">
        <f t="shared" si="372"/>
        <v/>
      </c>
      <c r="O4724" s="8"/>
      <c r="P4724" s="26"/>
      <c r="S4724" s="10" t="str">
        <f t="shared" si="369"/>
        <v/>
      </c>
    </row>
    <row r="4725" spans="5:19" x14ac:dyDescent="0.3">
      <c r="E4725" s="9" t="str">
        <f>IF(DADOS!C4725="","",DADOS!C4725)</f>
        <v/>
      </c>
      <c r="F4725" s="9" t="str">
        <f>IF(DADOS!E4725="","",DADOS!E4725)</f>
        <v/>
      </c>
      <c r="G4725" s="9" t="str">
        <f>IF(DADOS!F4725="","",DADOS!F4725)</f>
        <v/>
      </c>
      <c r="K4725" s="6" t="str">
        <f t="shared" si="370"/>
        <v/>
      </c>
      <c r="L4725" s="7" t="str">
        <f t="shared" si="371"/>
        <v/>
      </c>
      <c r="M4725" s="7" t="str">
        <f t="shared" si="368"/>
        <v/>
      </c>
      <c r="N4725" s="7" t="str">
        <f t="shared" si="372"/>
        <v/>
      </c>
      <c r="O4725" s="8"/>
      <c r="P4725" s="26"/>
      <c r="S4725" s="10" t="str">
        <f t="shared" si="369"/>
        <v/>
      </c>
    </row>
    <row r="4726" spans="5:19" x14ac:dyDescent="0.3">
      <c r="E4726" s="9" t="str">
        <f>IF(DADOS!C4726="","",DADOS!C4726)</f>
        <v/>
      </c>
      <c r="F4726" s="9" t="str">
        <f>IF(DADOS!E4726="","",DADOS!E4726)</f>
        <v/>
      </c>
      <c r="G4726" s="9" t="str">
        <f>IF(DADOS!F4726="","",DADOS!F4726)</f>
        <v/>
      </c>
      <c r="K4726" s="6" t="str">
        <f t="shared" si="370"/>
        <v/>
      </c>
      <c r="L4726" s="7" t="str">
        <f t="shared" si="371"/>
        <v/>
      </c>
      <c r="M4726" s="7" t="str">
        <f t="shared" si="368"/>
        <v/>
      </c>
      <c r="N4726" s="7" t="str">
        <f t="shared" si="372"/>
        <v/>
      </c>
      <c r="O4726" s="8"/>
      <c r="P4726" s="26"/>
      <c r="S4726" s="10" t="str">
        <f t="shared" si="369"/>
        <v/>
      </c>
    </row>
    <row r="4727" spans="5:19" x14ac:dyDescent="0.3">
      <c r="E4727" s="9" t="str">
        <f>IF(DADOS!C4727="","",DADOS!C4727)</f>
        <v/>
      </c>
      <c r="F4727" s="9" t="str">
        <f>IF(DADOS!E4727="","",DADOS!E4727)</f>
        <v/>
      </c>
      <c r="G4727" s="9" t="str">
        <f>IF(DADOS!F4727="","",DADOS!F4727)</f>
        <v/>
      </c>
      <c r="K4727" s="6" t="str">
        <f t="shared" si="370"/>
        <v/>
      </c>
      <c r="L4727" s="7" t="str">
        <f t="shared" si="371"/>
        <v/>
      </c>
      <c r="M4727" s="7" t="str">
        <f t="shared" si="368"/>
        <v/>
      </c>
      <c r="N4727" s="7" t="str">
        <f t="shared" si="372"/>
        <v/>
      </c>
      <c r="O4727" s="8"/>
      <c r="P4727" s="26"/>
      <c r="S4727" s="10" t="str">
        <f t="shared" si="369"/>
        <v/>
      </c>
    </row>
    <row r="4728" spans="5:19" x14ac:dyDescent="0.3">
      <c r="E4728" s="9" t="str">
        <f>IF(DADOS!C4728="","",DADOS!C4728)</f>
        <v/>
      </c>
      <c r="F4728" s="9" t="str">
        <f>IF(DADOS!E4728="","",DADOS!E4728)</f>
        <v/>
      </c>
      <c r="G4728" s="9" t="str">
        <f>IF(DADOS!F4728="","",DADOS!F4728)</f>
        <v/>
      </c>
      <c r="K4728" s="6" t="str">
        <f t="shared" si="370"/>
        <v/>
      </c>
      <c r="L4728" s="7" t="str">
        <f t="shared" si="371"/>
        <v/>
      </c>
      <c r="M4728" s="7" t="str">
        <f t="shared" si="368"/>
        <v/>
      </c>
      <c r="N4728" s="7" t="str">
        <f t="shared" si="372"/>
        <v/>
      </c>
      <c r="O4728" s="8"/>
      <c r="P4728" s="26"/>
      <c r="S4728" s="10" t="str">
        <f t="shared" si="369"/>
        <v/>
      </c>
    </row>
    <row r="4729" spans="5:19" x14ac:dyDescent="0.3">
      <c r="E4729" s="9" t="str">
        <f>IF(DADOS!C4729="","",DADOS!C4729)</f>
        <v/>
      </c>
      <c r="F4729" s="9" t="str">
        <f>IF(DADOS!E4729="","",DADOS!E4729)</f>
        <v/>
      </c>
      <c r="G4729" s="9" t="str">
        <f>IF(DADOS!F4729="","",DADOS!F4729)</f>
        <v/>
      </c>
      <c r="K4729" s="6" t="str">
        <f t="shared" si="370"/>
        <v/>
      </c>
      <c r="L4729" s="7" t="str">
        <f t="shared" si="371"/>
        <v/>
      </c>
      <c r="M4729" s="7" t="str">
        <f t="shared" si="368"/>
        <v/>
      </c>
      <c r="N4729" s="7" t="str">
        <f t="shared" si="372"/>
        <v/>
      </c>
      <c r="O4729" s="8"/>
      <c r="P4729" s="26"/>
      <c r="S4729" s="10" t="str">
        <f t="shared" si="369"/>
        <v/>
      </c>
    </row>
    <row r="4730" spans="5:19" x14ac:dyDescent="0.3">
      <c r="E4730" s="9" t="str">
        <f>IF(DADOS!C4730="","",DADOS!C4730)</f>
        <v/>
      </c>
      <c r="F4730" s="9" t="str">
        <f>IF(DADOS!E4730="","",DADOS!E4730)</f>
        <v/>
      </c>
      <c r="G4730" s="9" t="str">
        <f>IF(DADOS!F4730="","",DADOS!F4730)</f>
        <v/>
      </c>
      <c r="K4730" s="6" t="str">
        <f t="shared" si="370"/>
        <v/>
      </c>
      <c r="L4730" s="7" t="str">
        <f t="shared" si="371"/>
        <v/>
      </c>
      <c r="M4730" s="7" t="str">
        <f t="shared" si="368"/>
        <v/>
      </c>
      <c r="N4730" s="7" t="str">
        <f t="shared" si="372"/>
        <v/>
      </c>
      <c r="O4730" s="8"/>
      <c r="P4730" s="26"/>
      <c r="S4730" s="10" t="str">
        <f t="shared" si="369"/>
        <v/>
      </c>
    </row>
    <row r="4731" spans="5:19" x14ac:dyDescent="0.3">
      <c r="E4731" s="9" t="str">
        <f>IF(DADOS!C4731="","",DADOS!C4731)</f>
        <v/>
      </c>
      <c r="F4731" s="9" t="str">
        <f>IF(DADOS!E4731="","",DADOS!E4731)</f>
        <v/>
      </c>
      <c r="G4731" s="9" t="str">
        <f>IF(DADOS!F4731="","",DADOS!F4731)</f>
        <v/>
      </c>
      <c r="K4731" s="6" t="str">
        <f t="shared" si="370"/>
        <v/>
      </c>
      <c r="L4731" s="7" t="str">
        <f t="shared" si="371"/>
        <v/>
      </c>
      <c r="M4731" s="7" t="str">
        <f t="shared" si="368"/>
        <v/>
      </c>
      <c r="N4731" s="7" t="str">
        <f t="shared" si="372"/>
        <v/>
      </c>
      <c r="O4731" s="8"/>
      <c r="P4731" s="26"/>
      <c r="S4731" s="10" t="str">
        <f t="shared" si="369"/>
        <v/>
      </c>
    </row>
    <row r="4732" spans="5:19" x14ac:dyDescent="0.3">
      <c r="E4732" s="9" t="str">
        <f>IF(DADOS!C4732="","",DADOS!C4732)</f>
        <v/>
      </c>
      <c r="F4732" s="9" t="str">
        <f>IF(DADOS!E4732="","",DADOS!E4732)</f>
        <v/>
      </c>
      <c r="G4732" s="9" t="str">
        <f>IF(DADOS!F4732="","",DADOS!F4732)</f>
        <v/>
      </c>
      <c r="K4732" s="6" t="str">
        <f t="shared" si="370"/>
        <v/>
      </c>
      <c r="L4732" s="7" t="str">
        <f t="shared" si="371"/>
        <v/>
      </c>
      <c r="M4732" s="7" t="str">
        <f t="shared" si="368"/>
        <v/>
      </c>
      <c r="N4732" s="7" t="str">
        <f t="shared" si="372"/>
        <v/>
      </c>
      <c r="O4732" s="8"/>
      <c r="P4732" s="26"/>
      <c r="S4732" s="10" t="str">
        <f t="shared" si="369"/>
        <v/>
      </c>
    </row>
    <row r="4733" spans="5:19" x14ac:dyDescent="0.3">
      <c r="E4733" s="9" t="str">
        <f>IF(DADOS!C4733="","",DADOS!C4733)</f>
        <v/>
      </c>
      <c r="F4733" s="9" t="str">
        <f>IF(DADOS!E4733="","",DADOS!E4733)</f>
        <v/>
      </c>
      <c r="G4733" s="9" t="str">
        <f>IF(DADOS!F4733="","",DADOS!F4733)</f>
        <v/>
      </c>
      <c r="K4733" s="6" t="str">
        <f t="shared" si="370"/>
        <v/>
      </c>
      <c r="L4733" s="7" t="str">
        <f t="shared" si="371"/>
        <v/>
      </c>
      <c r="M4733" s="7" t="str">
        <f t="shared" si="368"/>
        <v/>
      </c>
      <c r="N4733" s="7" t="str">
        <f t="shared" si="372"/>
        <v/>
      </c>
      <c r="O4733" s="8"/>
      <c r="P4733" s="26"/>
      <c r="S4733" s="10" t="str">
        <f t="shared" si="369"/>
        <v/>
      </c>
    </row>
    <row r="4734" spans="5:19" x14ac:dyDescent="0.3">
      <c r="E4734" s="9" t="str">
        <f>IF(DADOS!C4734="","",DADOS!C4734)</f>
        <v/>
      </c>
      <c r="F4734" s="9" t="str">
        <f>IF(DADOS!E4734="","",DADOS!E4734)</f>
        <v/>
      </c>
      <c r="G4734" s="9" t="str">
        <f>IF(DADOS!F4734="","",DADOS!F4734)</f>
        <v/>
      </c>
      <c r="K4734" s="6" t="str">
        <f t="shared" si="370"/>
        <v/>
      </c>
      <c r="L4734" s="7" t="str">
        <f t="shared" si="371"/>
        <v/>
      </c>
      <c r="M4734" s="7" t="str">
        <f t="shared" si="368"/>
        <v/>
      </c>
      <c r="N4734" s="7" t="str">
        <f t="shared" si="372"/>
        <v/>
      </c>
      <c r="O4734" s="8"/>
      <c r="P4734" s="26"/>
      <c r="S4734" s="10" t="str">
        <f t="shared" si="369"/>
        <v/>
      </c>
    </row>
    <row r="4735" spans="5:19" x14ac:dyDescent="0.3">
      <c r="E4735" s="9" t="str">
        <f>IF(DADOS!C4735="","",DADOS!C4735)</f>
        <v/>
      </c>
      <c r="F4735" s="9" t="str">
        <f>IF(DADOS!E4735="","",DADOS!E4735)</f>
        <v/>
      </c>
      <c r="G4735" s="9" t="str">
        <f>IF(DADOS!F4735="","",DADOS!F4735)</f>
        <v/>
      </c>
      <c r="K4735" s="6" t="str">
        <f t="shared" si="370"/>
        <v/>
      </c>
      <c r="L4735" s="7" t="str">
        <f t="shared" si="371"/>
        <v/>
      </c>
      <c r="M4735" s="7" t="str">
        <f t="shared" si="368"/>
        <v/>
      </c>
      <c r="N4735" s="7" t="str">
        <f t="shared" si="372"/>
        <v/>
      </c>
      <c r="O4735" s="8"/>
      <c r="P4735" s="26"/>
      <c r="S4735" s="10" t="str">
        <f t="shared" si="369"/>
        <v/>
      </c>
    </row>
    <row r="4736" spans="5:19" x14ac:dyDescent="0.3">
      <c r="E4736" s="9" t="str">
        <f>IF(DADOS!C4736="","",DADOS!C4736)</f>
        <v/>
      </c>
      <c r="F4736" s="9" t="str">
        <f>IF(DADOS!E4736="","",DADOS!E4736)</f>
        <v/>
      </c>
      <c r="G4736" s="9" t="str">
        <f>IF(DADOS!F4736="","",DADOS!F4736)</f>
        <v/>
      </c>
      <c r="K4736" s="6" t="str">
        <f t="shared" si="370"/>
        <v/>
      </c>
      <c r="L4736" s="7" t="str">
        <f t="shared" si="371"/>
        <v/>
      </c>
      <c r="M4736" s="7" t="str">
        <f t="shared" si="368"/>
        <v/>
      </c>
      <c r="N4736" s="7" t="str">
        <f t="shared" si="372"/>
        <v/>
      </c>
      <c r="O4736" s="8"/>
      <c r="P4736" s="26"/>
      <c r="S4736" s="10" t="str">
        <f t="shared" si="369"/>
        <v/>
      </c>
    </row>
    <row r="4737" spans="5:19" x14ac:dyDescent="0.3">
      <c r="E4737" s="9" t="str">
        <f>IF(DADOS!C4737="","",DADOS!C4737)</f>
        <v/>
      </c>
      <c r="F4737" s="9" t="str">
        <f>IF(DADOS!E4737="","",DADOS!E4737)</f>
        <v/>
      </c>
      <c r="G4737" s="9" t="str">
        <f>IF(DADOS!F4737="","",DADOS!F4737)</f>
        <v/>
      </c>
      <c r="K4737" s="6" t="str">
        <f t="shared" si="370"/>
        <v/>
      </c>
      <c r="L4737" s="7" t="str">
        <f t="shared" si="371"/>
        <v/>
      </c>
      <c r="M4737" s="7" t="str">
        <f t="shared" si="368"/>
        <v/>
      </c>
      <c r="N4737" s="7" t="str">
        <f t="shared" si="372"/>
        <v/>
      </c>
      <c r="O4737" s="8"/>
      <c r="P4737" s="26"/>
      <c r="S4737" s="10" t="str">
        <f t="shared" si="369"/>
        <v/>
      </c>
    </row>
    <row r="4738" spans="5:19" x14ac:dyDescent="0.3">
      <c r="E4738" s="9" t="str">
        <f>IF(DADOS!C4738="","",DADOS!C4738)</f>
        <v/>
      </c>
      <c r="F4738" s="9" t="str">
        <f>IF(DADOS!E4738="","",DADOS!E4738)</f>
        <v/>
      </c>
      <c r="G4738" s="9" t="str">
        <f>IF(DADOS!F4738="","",DADOS!F4738)</f>
        <v/>
      </c>
      <c r="K4738" s="6" t="str">
        <f t="shared" si="370"/>
        <v/>
      </c>
      <c r="L4738" s="7" t="str">
        <f t="shared" si="371"/>
        <v/>
      </c>
      <c r="M4738" s="7" t="str">
        <f t="shared" si="368"/>
        <v/>
      </c>
      <c r="N4738" s="7" t="str">
        <f t="shared" si="372"/>
        <v/>
      </c>
      <c r="O4738" s="8"/>
      <c r="P4738" s="26"/>
      <c r="S4738" s="10" t="str">
        <f t="shared" si="369"/>
        <v/>
      </c>
    </row>
    <row r="4739" spans="5:19" x14ac:dyDescent="0.3">
      <c r="E4739" s="9" t="str">
        <f>IF(DADOS!C4739="","",DADOS!C4739)</f>
        <v/>
      </c>
      <c r="F4739" s="9" t="str">
        <f>IF(DADOS!E4739="","",DADOS!E4739)</f>
        <v/>
      </c>
      <c r="G4739" s="9" t="str">
        <f>IF(DADOS!F4739="","",DADOS!F4739)</f>
        <v/>
      </c>
      <c r="K4739" s="6" t="str">
        <f t="shared" si="370"/>
        <v/>
      </c>
      <c r="L4739" s="7" t="str">
        <f t="shared" si="371"/>
        <v/>
      </c>
      <c r="M4739" s="7" t="str">
        <f t="shared" ref="M4739:M4802" si="373">IF(L4739="","",L4739*G4739)</f>
        <v/>
      </c>
      <c r="N4739" s="7" t="str">
        <f t="shared" si="372"/>
        <v/>
      </c>
      <c r="O4739" s="8"/>
      <c r="P4739" s="26"/>
      <c r="S4739" s="10" t="str">
        <f t="shared" ref="S4739:S4802" si="374">IF(R4739="","",SUMIFS($N$3:$N$10000,$E$3:$E$10000,R4739))</f>
        <v/>
      </c>
    </row>
    <row r="4740" spans="5:19" x14ac:dyDescent="0.3">
      <c r="E4740" s="9" t="str">
        <f>IF(DADOS!C4740="","",DADOS!C4740)</f>
        <v/>
      </c>
      <c r="F4740" s="9" t="str">
        <f>IF(DADOS!E4740="","",DADOS!E4740)</f>
        <v/>
      </c>
      <c r="G4740" s="9" t="str">
        <f>IF(DADOS!F4740="","",DADOS!F4740)</f>
        <v/>
      </c>
      <c r="K4740" s="6" t="str">
        <f t="shared" ref="K4740:K4803" si="375">IF(F4740="","",F4740/PI())</f>
        <v/>
      </c>
      <c r="L4740" s="7" t="str">
        <f t="shared" ref="L4740:L4803" si="376">IF(K4740="","",(PI()*K4740^2)/40000)</f>
        <v/>
      </c>
      <c r="M4740" s="7" t="str">
        <f t="shared" si="373"/>
        <v/>
      </c>
      <c r="N4740" s="7" t="str">
        <f t="shared" ref="N4740:N4803" si="377">IF(M4740="","",M4740*N$1)</f>
        <v/>
      </c>
      <c r="O4740" s="8"/>
      <c r="P4740" s="26"/>
      <c r="S4740" s="10" t="str">
        <f t="shared" si="374"/>
        <v/>
      </c>
    </row>
    <row r="4741" spans="5:19" x14ac:dyDescent="0.3">
      <c r="E4741" s="9" t="str">
        <f>IF(DADOS!C4741="","",DADOS!C4741)</f>
        <v/>
      </c>
      <c r="F4741" s="9" t="str">
        <f>IF(DADOS!E4741="","",DADOS!E4741)</f>
        <v/>
      </c>
      <c r="G4741" s="9" t="str">
        <f>IF(DADOS!F4741="","",DADOS!F4741)</f>
        <v/>
      </c>
      <c r="K4741" s="6" t="str">
        <f t="shared" si="375"/>
        <v/>
      </c>
      <c r="L4741" s="7" t="str">
        <f t="shared" si="376"/>
        <v/>
      </c>
      <c r="M4741" s="7" t="str">
        <f t="shared" si="373"/>
        <v/>
      </c>
      <c r="N4741" s="7" t="str">
        <f t="shared" si="377"/>
        <v/>
      </c>
      <c r="O4741" s="8"/>
      <c r="P4741" s="26"/>
      <c r="S4741" s="10" t="str">
        <f t="shared" si="374"/>
        <v/>
      </c>
    </row>
    <row r="4742" spans="5:19" x14ac:dyDescent="0.3">
      <c r="E4742" s="9" t="str">
        <f>IF(DADOS!C4742="","",DADOS!C4742)</f>
        <v/>
      </c>
      <c r="F4742" s="9" t="str">
        <f>IF(DADOS!E4742="","",DADOS!E4742)</f>
        <v/>
      </c>
      <c r="G4742" s="9" t="str">
        <f>IF(DADOS!F4742="","",DADOS!F4742)</f>
        <v/>
      </c>
      <c r="K4742" s="6" t="str">
        <f t="shared" si="375"/>
        <v/>
      </c>
      <c r="L4742" s="7" t="str">
        <f t="shared" si="376"/>
        <v/>
      </c>
      <c r="M4742" s="7" t="str">
        <f t="shared" si="373"/>
        <v/>
      </c>
      <c r="N4742" s="7" t="str">
        <f t="shared" si="377"/>
        <v/>
      </c>
      <c r="O4742" s="8"/>
      <c r="P4742" s="26"/>
      <c r="S4742" s="10" t="str">
        <f t="shared" si="374"/>
        <v/>
      </c>
    </row>
    <row r="4743" spans="5:19" x14ac:dyDescent="0.3">
      <c r="E4743" s="9" t="str">
        <f>IF(DADOS!C4743="","",DADOS!C4743)</f>
        <v/>
      </c>
      <c r="F4743" s="9" t="str">
        <f>IF(DADOS!E4743="","",DADOS!E4743)</f>
        <v/>
      </c>
      <c r="G4743" s="9" t="str">
        <f>IF(DADOS!F4743="","",DADOS!F4743)</f>
        <v/>
      </c>
      <c r="K4743" s="6" t="str">
        <f t="shared" si="375"/>
        <v/>
      </c>
      <c r="L4743" s="7" t="str">
        <f t="shared" si="376"/>
        <v/>
      </c>
      <c r="M4743" s="7" t="str">
        <f t="shared" si="373"/>
        <v/>
      </c>
      <c r="N4743" s="7" t="str">
        <f t="shared" si="377"/>
        <v/>
      </c>
      <c r="O4743" s="8"/>
      <c r="P4743" s="26"/>
      <c r="S4743" s="10" t="str">
        <f t="shared" si="374"/>
        <v/>
      </c>
    </row>
    <row r="4744" spans="5:19" x14ac:dyDescent="0.3">
      <c r="E4744" s="9" t="str">
        <f>IF(DADOS!C4744="","",DADOS!C4744)</f>
        <v/>
      </c>
      <c r="F4744" s="9" t="str">
        <f>IF(DADOS!E4744="","",DADOS!E4744)</f>
        <v/>
      </c>
      <c r="G4744" s="9" t="str">
        <f>IF(DADOS!F4744="","",DADOS!F4744)</f>
        <v/>
      </c>
      <c r="K4744" s="6" t="str">
        <f t="shared" si="375"/>
        <v/>
      </c>
      <c r="L4744" s="7" t="str">
        <f t="shared" si="376"/>
        <v/>
      </c>
      <c r="M4744" s="7" t="str">
        <f t="shared" si="373"/>
        <v/>
      </c>
      <c r="N4744" s="7" t="str">
        <f t="shared" si="377"/>
        <v/>
      </c>
      <c r="O4744" s="8"/>
      <c r="P4744" s="26"/>
      <c r="S4744" s="10" t="str">
        <f t="shared" si="374"/>
        <v/>
      </c>
    </row>
    <row r="4745" spans="5:19" x14ac:dyDescent="0.3">
      <c r="E4745" s="9" t="str">
        <f>IF(DADOS!C4745="","",DADOS!C4745)</f>
        <v/>
      </c>
      <c r="F4745" s="9" t="str">
        <f>IF(DADOS!E4745="","",DADOS!E4745)</f>
        <v/>
      </c>
      <c r="G4745" s="9" t="str">
        <f>IF(DADOS!F4745="","",DADOS!F4745)</f>
        <v/>
      </c>
      <c r="K4745" s="6" t="str">
        <f t="shared" si="375"/>
        <v/>
      </c>
      <c r="L4745" s="7" t="str">
        <f t="shared" si="376"/>
        <v/>
      </c>
      <c r="M4745" s="7" t="str">
        <f t="shared" si="373"/>
        <v/>
      </c>
      <c r="N4745" s="7" t="str">
        <f t="shared" si="377"/>
        <v/>
      </c>
      <c r="O4745" s="8"/>
      <c r="P4745" s="26"/>
      <c r="S4745" s="10" t="str">
        <f t="shared" si="374"/>
        <v/>
      </c>
    </row>
    <row r="4746" spans="5:19" x14ac:dyDescent="0.3">
      <c r="E4746" s="9" t="str">
        <f>IF(DADOS!C4746="","",DADOS!C4746)</f>
        <v/>
      </c>
      <c r="F4746" s="9" t="str">
        <f>IF(DADOS!E4746="","",DADOS!E4746)</f>
        <v/>
      </c>
      <c r="G4746" s="9" t="str">
        <f>IF(DADOS!F4746="","",DADOS!F4746)</f>
        <v/>
      </c>
      <c r="K4746" s="6" t="str">
        <f t="shared" si="375"/>
        <v/>
      </c>
      <c r="L4746" s="7" t="str">
        <f t="shared" si="376"/>
        <v/>
      </c>
      <c r="M4746" s="7" t="str">
        <f t="shared" si="373"/>
        <v/>
      </c>
      <c r="N4746" s="7" t="str">
        <f t="shared" si="377"/>
        <v/>
      </c>
      <c r="O4746" s="8"/>
      <c r="P4746" s="26"/>
      <c r="S4746" s="10" t="str">
        <f t="shared" si="374"/>
        <v/>
      </c>
    </row>
    <row r="4747" spans="5:19" x14ac:dyDescent="0.3">
      <c r="E4747" s="9" t="str">
        <f>IF(DADOS!C4747="","",DADOS!C4747)</f>
        <v/>
      </c>
      <c r="F4747" s="9" t="str">
        <f>IF(DADOS!E4747="","",DADOS!E4747)</f>
        <v/>
      </c>
      <c r="G4747" s="9" t="str">
        <f>IF(DADOS!F4747="","",DADOS!F4747)</f>
        <v/>
      </c>
      <c r="K4747" s="6" t="str">
        <f t="shared" si="375"/>
        <v/>
      </c>
      <c r="L4747" s="7" t="str">
        <f t="shared" si="376"/>
        <v/>
      </c>
      <c r="M4747" s="7" t="str">
        <f t="shared" si="373"/>
        <v/>
      </c>
      <c r="N4747" s="7" t="str">
        <f t="shared" si="377"/>
        <v/>
      </c>
      <c r="O4747" s="8"/>
      <c r="P4747" s="26"/>
      <c r="S4747" s="10" t="str">
        <f t="shared" si="374"/>
        <v/>
      </c>
    </row>
    <row r="4748" spans="5:19" x14ac:dyDescent="0.3">
      <c r="E4748" s="9" t="str">
        <f>IF(DADOS!C4748="","",DADOS!C4748)</f>
        <v/>
      </c>
      <c r="F4748" s="9" t="str">
        <f>IF(DADOS!E4748="","",DADOS!E4748)</f>
        <v/>
      </c>
      <c r="G4748" s="9" t="str">
        <f>IF(DADOS!F4748="","",DADOS!F4748)</f>
        <v/>
      </c>
      <c r="K4748" s="6" t="str">
        <f t="shared" si="375"/>
        <v/>
      </c>
      <c r="L4748" s="7" t="str">
        <f t="shared" si="376"/>
        <v/>
      </c>
      <c r="M4748" s="7" t="str">
        <f t="shared" si="373"/>
        <v/>
      </c>
      <c r="N4748" s="7" t="str">
        <f t="shared" si="377"/>
        <v/>
      </c>
      <c r="O4748" s="8"/>
      <c r="P4748" s="26"/>
      <c r="S4748" s="10" t="str">
        <f t="shared" si="374"/>
        <v/>
      </c>
    </row>
    <row r="4749" spans="5:19" x14ac:dyDescent="0.3">
      <c r="E4749" s="9" t="str">
        <f>IF(DADOS!C4749="","",DADOS!C4749)</f>
        <v/>
      </c>
      <c r="F4749" s="9" t="str">
        <f>IF(DADOS!E4749="","",DADOS!E4749)</f>
        <v/>
      </c>
      <c r="G4749" s="9" t="str">
        <f>IF(DADOS!F4749="","",DADOS!F4749)</f>
        <v/>
      </c>
      <c r="K4749" s="6" t="str">
        <f t="shared" si="375"/>
        <v/>
      </c>
      <c r="L4749" s="7" t="str">
        <f t="shared" si="376"/>
        <v/>
      </c>
      <c r="M4749" s="7" t="str">
        <f t="shared" si="373"/>
        <v/>
      </c>
      <c r="N4749" s="7" t="str">
        <f t="shared" si="377"/>
        <v/>
      </c>
      <c r="O4749" s="8"/>
      <c r="P4749" s="26"/>
      <c r="S4749" s="10" t="str">
        <f t="shared" si="374"/>
        <v/>
      </c>
    </row>
    <row r="4750" spans="5:19" x14ac:dyDescent="0.3">
      <c r="E4750" s="9" t="str">
        <f>IF(DADOS!C4750="","",DADOS!C4750)</f>
        <v/>
      </c>
      <c r="F4750" s="9" t="str">
        <f>IF(DADOS!E4750="","",DADOS!E4750)</f>
        <v/>
      </c>
      <c r="G4750" s="9" t="str">
        <f>IF(DADOS!F4750="","",DADOS!F4750)</f>
        <v/>
      </c>
      <c r="K4750" s="6" t="str">
        <f t="shared" si="375"/>
        <v/>
      </c>
      <c r="L4750" s="7" t="str">
        <f t="shared" si="376"/>
        <v/>
      </c>
      <c r="M4750" s="7" t="str">
        <f t="shared" si="373"/>
        <v/>
      </c>
      <c r="N4750" s="7" t="str">
        <f t="shared" si="377"/>
        <v/>
      </c>
      <c r="O4750" s="8"/>
      <c r="P4750" s="26"/>
      <c r="S4750" s="10" t="str">
        <f t="shared" si="374"/>
        <v/>
      </c>
    </row>
    <row r="4751" spans="5:19" x14ac:dyDescent="0.3">
      <c r="E4751" s="9" t="str">
        <f>IF(DADOS!C4751="","",DADOS!C4751)</f>
        <v/>
      </c>
      <c r="F4751" s="9" t="str">
        <f>IF(DADOS!E4751="","",DADOS!E4751)</f>
        <v/>
      </c>
      <c r="G4751" s="9" t="str">
        <f>IF(DADOS!F4751="","",DADOS!F4751)</f>
        <v/>
      </c>
      <c r="K4751" s="6" t="str">
        <f t="shared" si="375"/>
        <v/>
      </c>
      <c r="L4751" s="7" t="str">
        <f t="shared" si="376"/>
        <v/>
      </c>
      <c r="M4751" s="7" t="str">
        <f t="shared" si="373"/>
        <v/>
      </c>
      <c r="N4751" s="7" t="str">
        <f t="shared" si="377"/>
        <v/>
      </c>
      <c r="O4751" s="8"/>
      <c r="P4751" s="26"/>
      <c r="S4751" s="10" t="str">
        <f t="shared" si="374"/>
        <v/>
      </c>
    </row>
    <row r="4752" spans="5:19" x14ac:dyDescent="0.3">
      <c r="E4752" s="9" t="str">
        <f>IF(DADOS!C4752="","",DADOS!C4752)</f>
        <v/>
      </c>
      <c r="F4752" s="9" t="str">
        <f>IF(DADOS!E4752="","",DADOS!E4752)</f>
        <v/>
      </c>
      <c r="G4752" s="9" t="str">
        <f>IF(DADOS!F4752="","",DADOS!F4752)</f>
        <v/>
      </c>
      <c r="K4752" s="6" t="str">
        <f t="shared" si="375"/>
        <v/>
      </c>
      <c r="L4752" s="7" t="str">
        <f t="shared" si="376"/>
        <v/>
      </c>
      <c r="M4752" s="7" t="str">
        <f t="shared" si="373"/>
        <v/>
      </c>
      <c r="N4752" s="7" t="str">
        <f t="shared" si="377"/>
        <v/>
      </c>
      <c r="O4752" s="8"/>
      <c r="P4752" s="26"/>
      <c r="S4752" s="10" t="str">
        <f t="shared" si="374"/>
        <v/>
      </c>
    </row>
    <row r="4753" spans="5:19" x14ac:dyDescent="0.3">
      <c r="E4753" s="9" t="str">
        <f>IF(DADOS!C4753="","",DADOS!C4753)</f>
        <v/>
      </c>
      <c r="F4753" s="9" t="str">
        <f>IF(DADOS!E4753="","",DADOS!E4753)</f>
        <v/>
      </c>
      <c r="G4753" s="9" t="str">
        <f>IF(DADOS!F4753="","",DADOS!F4753)</f>
        <v/>
      </c>
      <c r="K4753" s="6" t="str">
        <f t="shared" si="375"/>
        <v/>
      </c>
      <c r="L4753" s="7" t="str">
        <f t="shared" si="376"/>
        <v/>
      </c>
      <c r="M4753" s="7" t="str">
        <f t="shared" si="373"/>
        <v/>
      </c>
      <c r="N4753" s="7" t="str">
        <f t="shared" si="377"/>
        <v/>
      </c>
      <c r="O4753" s="8"/>
      <c r="P4753" s="26"/>
      <c r="S4753" s="10" t="str">
        <f t="shared" si="374"/>
        <v/>
      </c>
    </row>
    <row r="4754" spans="5:19" x14ac:dyDescent="0.3">
      <c r="E4754" s="9" t="str">
        <f>IF(DADOS!C4754="","",DADOS!C4754)</f>
        <v/>
      </c>
      <c r="F4754" s="9" t="str">
        <f>IF(DADOS!E4754="","",DADOS!E4754)</f>
        <v/>
      </c>
      <c r="G4754" s="9" t="str">
        <f>IF(DADOS!F4754="","",DADOS!F4754)</f>
        <v/>
      </c>
      <c r="K4754" s="6" t="str">
        <f t="shared" si="375"/>
        <v/>
      </c>
      <c r="L4754" s="7" t="str">
        <f t="shared" si="376"/>
        <v/>
      </c>
      <c r="M4754" s="7" t="str">
        <f t="shared" si="373"/>
        <v/>
      </c>
      <c r="N4754" s="7" t="str">
        <f t="shared" si="377"/>
        <v/>
      </c>
      <c r="O4754" s="8"/>
      <c r="P4754" s="26"/>
      <c r="S4754" s="10" t="str">
        <f t="shared" si="374"/>
        <v/>
      </c>
    </row>
    <row r="4755" spans="5:19" x14ac:dyDescent="0.3">
      <c r="E4755" s="9" t="str">
        <f>IF(DADOS!C4755="","",DADOS!C4755)</f>
        <v/>
      </c>
      <c r="F4755" s="9" t="str">
        <f>IF(DADOS!E4755="","",DADOS!E4755)</f>
        <v/>
      </c>
      <c r="G4755" s="9" t="str">
        <f>IF(DADOS!F4755="","",DADOS!F4755)</f>
        <v/>
      </c>
      <c r="K4755" s="6" t="str">
        <f t="shared" si="375"/>
        <v/>
      </c>
      <c r="L4755" s="7" t="str">
        <f t="shared" si="376"/>
        <v/>
      </c>
      <c r="M4755" s="7" t="str">
        <f t="shared" si="373"/>
        <v/>
      </c>
      <c r="N4755" s="7" t="str">
        <f t="shared" si="377"/>
        <v/>
      </c>
      <c r="O4755" s="8"/>
      <c r="P4755" s="26"/>
      <c r="S4755" s="10" t="str">
        <f t="shared" si="374"/>
        <v/>
      </c>
    </row>
    <row r="4756" spans="5:19" x14ac:dyDescent="0.3">
      <c r="E4756" s="9" t="str">
        <f>IF(DADOS!C4756="","",DADOS!C4756)</f>
        <v/>
      </c>
      <c r="F4756" s="9" t="str">
        <f>IF(DADOS!E4756="","",DADOS!E4756)</f>
        <v/>
      </c>
      <c r="G4756" s="9" t="str">
        <f>IF(DADOS!F4756="","",DADOS!F4756)</f>
        <v/>
      </c>
      <c r="K4756" s="6" t="str">
        <f t="shared" si="375"/>
        <v/>
      </c>
      <c r="L4756" s="7" t="str">
        <f t="shared" si="376"/>
        <v/>
      </c>
      <c r="M4756" s="7" t="str">
        <f t="shared" si="373"/>
        <v/>
      </c>
      <c r="N4756" s="7" t="str">
        <f t="shared" si="377"/>
        <v/>
      </c>
      <c r="O4756" s="8"/>
      <c r="P4756" s="26"/>
      <c r="S4756" s="10" t="str">
        <f t="shared" si="374"/>
        <v/>
      </c>
    </row>
    <row r="4757" spans="5:19" x14ac:dyDescent="0.3">
      <c r="E4757" s="9" t="str">
        <f>IF(DADOS!C4757="","",DADOS!C4757)</f>
        <v/>
      </c>
      <c r="F4757" s="9" t="str">
        <f>IF(DADOS!E4757="","",DADOS!E4757)</f>
        <v/>
      </c>
      <c r="G4757" s="9" t="str">
        <f>IF(DADOS!F4757="","",DADOS!F4757)</f>
        <v/>
      </c>
      <c r="K4757" s="6" t="str">
        <f t="shared" si="375"/>
        <v/>
      </c>
      <c r="L4757" s="7" t="str">
        <f t="shared" si="376"/>
        <v/>
      </c>
      <c r="M4757" s="7" t="str">
        <f t="shared" si="373"/>
        <v/>
      </c>
      <c r="N4757" s="7" t="str">
        <f t="shared" si="377"/>
        <v/>
      </c>
      <c r="O4757" s="8"/>
      <c r="P4757" s="26"/>
      <c r="S4757" s="10" t="str">
        <f t="shared" si="374"/>
        <v/>
      </c>
    </row>
    <row r="4758" spans="5:19" x14ac:dyDescent="0.3">
      <c r="E4758" s="9" t="str">
        <f>IF(DADOS!C4758="","",DADOS!C4758)</f>
        <v/>
      </c>
      <c r="F4758" s="9" t="str">
        <f>IF(DADOS!E4758="","",DADOS!E4758)</f>
        <v/>
      </c>
      <c r="G4758" s="9" t="str">
        <f>IF(DADOS!F4758="","",DADOS!F4758)</f>
        <v/>
      </c>
      <c r="K4758" s="6" t="str">
        <f t="shared" si="375"/>
        <v/>
      </c>
      <c r="L4758" s="7" t="str">
        <f t="shared" si="376"/>
        <v/>
      </c>
      <c r="M4758" s="7" t="str">
        <f t="shared" si="373"/>
        <v/>
      </c>
      <c r="N4758" s="7" t="str">
        <f t="shared" si="377"/>
        <v/>
      </c>
      <c r="O4758" s="8"/>
      <c r="P4758" s="26"/>
      <c r="S4758" s="10" t="str">
        <f t="shared" si="374"/>
        <v/>
      </c>
    </row>
    <row r="4759" spans="5:19" x14ac:dyDescent="0.3">
      <c r="E4759" s="9" t="str">
        <f>IF(DADOS!C4759="","",DADOS!C4759)</f>
        <v/>
      </c>
      <c r="F4759" s="9" t="str">
        <f>IF(DADOS!E4759="","",DADOS!E4759)</f>
        <v/>
      </c>
      <c r="G4759" s="9" t="str">
        <f>IF(DADOS!F4759="","",DADOS!F4759)</f>
        <v/>
      </c>
      <c r="K4759" s="6" t="str">
        <f t="shared" si="375"/>
        <v/>
      </c>
      <c r="L4759" s="7" t="str">
        <f t="shared" si="376"/>
        <v/>
      </c>
      <c r="M4759" s="7" t="str">
        <f t="shared" si="373"/>
        <v/>
      </c>
      <c r="N4759" s="7" t="str">
        <f t="shared" si="377"/>
        <v/>
      </c>
      <c r="O4759" s="8"/>
      <c r="P4759" s="26"/>
      <c r="S4759" s="10" t="str">
        <f t="shared" si="374"/>
        <v/>
      </c>
    </row>
    <row r="4760" spans="5:19" x14ac:dyDescent="0.3">
      <c r="E4760" s="9" t="str">
        <f>IF(DADOS!C4760="","",DADOS!C4760)</f>
        <v/>
      </c>
      <c r="F4760" s="9" t="str">
        <f>IF(DADOS!E4760="","",DADOS!E4760)</f>
        <v/>
      </c>
      <c r="G4760" s="9" t="str">
        <f>IF(DADOS!F4760="","",DADOS!F4760)</f>
        <v/>
      </c>
      <c r="K4760" s="6" t="str">
        <f t="shared" si="375"/>
        <v/>
      </c>
      <c r="L4760" s="7" t="str">
        <f t="shared" si="376"/>
        <v/>
      </c>
      <c r="M4760" s="7" t="str">
        <f t="shared" si="373"/>
        <v/>
      </c>
      <c r="N4760" s="7" t="str">
        <f t="shared" si="377"/>
        <v/>
      </c>
      <c r="O4760" s="8"/>
      <c r="P4760" s="26"/>
      <c r="S4760" s="10" t="str">
        <f t="shared" si="374"/>
        <v/>
      </c>
    </row>
    <row r="4761" spans="5:19" x14ac:dyDescent="0.3">
      <c r="E4761" s="9" t="str">
        <f>IF(DADOS!C4761="","",DADOS!C4761)</f>
        <v/>
      </c>
      <c r="F4761" s="9" t="str">
        <f>IF(DADOS!E4761="","",DADOS!E4761)</f>
        <v/>
      </c>
      <c r="G4761" s="9" t="str">
        <f>IF(DADOS!F4761="","",DADOS!F4761)</f>
        <v/>
      </c>
      <c r="K4761" s="6" t="str">
        <f t="shared" si="375"/>
        <v/>
      </c>
      <c r="L4761" s="7" t="str">
        <f t="shared" si="376"/>
        <v/>
      </c>
      <c r="M4761" s="7" t="str">
        <f t="shared" si="373"/>
        <v/>
      </c>
      <c r="N4761" s="7" t="str">
        <f t="shared" si="377"/>
        <v/>
      </c>
      <c r="O4761" s="8"/>
      <c r="P4761" s="26"/>
      <c r="S4761" s="10" t="str">
        <f t="shared" si="374"/>
        <v/>
      </c>
    </row>
    <row r="4762" spans="5:19" x14ac:dyDescent="0.3">
      <c r="E4762" s="9" t="str">
        <f>IF(DADOS!C4762="","",DADOS!C4762)</f>
        <v/>
      </c>
      <c r="F4762" s="9" t="str">
        <f>IF(DADOS!E4762="","",DADOS!E4762)</f>
        <v/>
      </c>
      <c r="G4762" s="9" t="str">
        <f>IF(DADOS!F4762="","",DADOS!F4762)</f>
        <v/>
      </c>
      <c r="K4762" s="6" t="str">
        <f t="shared" si="375"/>
        <v/>
      </c>
      <c r="L4762" s="7" t="str">
        <f t="shared" si="376"/>
        <v/>
      </c>
      <c r="M4762" s="7" t="str">
        <f t="shared" si="373"/>
        <v/>
      </c>
      <c r="N4762" s="7" t="str">
        <f t="shared" si="377"/>
        <v/>
      </c>
      <c r="O4762" s="8"/>
      <c r="P4762" s="26"/>
      <c r="S4762" s="10" t="str">
        <f t="shared" si="374"/>
        <v/>
      </c>
    </row>
    <row r="4763" spans="5:19" x14ac:dyDescent="0.3">
      <c r="E4763" s="9" t="str">
        <f>IF(DADOS!C4763="","",DADOS!C4763)</f>
        <v/>
      </c>
      <c r="F4763" s="9" t="str">
        <f>IF(DADOS!E4763="","",DADOS!E4763)</f>
        <v/>
      </c>
      <c r="G4763" s="9" t="str">
        <f>IF(DADOS!F4763="","",DADOS!F4763)</f>
        <v/>
      </c>
      <c r="K4763" s="6" t="str">
        <f t="shared" si="375"/>
        <v/>
      </c>
      <c r="L4763" s="7" t="str">
        <f t="shared" si="376"/>
        <v/>
      </c>
      <c r="M4763" s="7" t="str">
        <f t="shared" si="373"/>
        <v/>
      </c>
      <c r="N4763" s="7" t="str">
        <f t="shared" si="377"/>
        <v/>
      </c>
      <c r="O4763" s="8"/>
      <c r="P4763" s="26"/>
      <c r="S4763" s="10" t="str">
        <f t="shared" si="374"/>
        <v/>
      </c>
    </row>
    <row r="4764" spans="5:19" x14ac:dyDescent="0.3">
      <c r="E4764" s="9" t="str">
        <f>IF(DADOS!C4764="","",DADOS!C4764)</f>
        <v/>
      </c>
      <c r="F4764" s="9" t="str">
        <f>IF(DADOS!E4764="","",DADOS!E4764)</f>
        <v/>
      </c>
      <c r="G4764" s="9" t="str">
        <f>IF(DADOS!F4764="","",DADOS!F4764)</f>
        <v/>
      </c>
      <c r="K4764" s="6" t="str">
        <f t="shared" si="375"/>
        <v/>
      </c>
      <c r="L4764" s="7" t="str">
        <f t="shared" si="376"/>
        <v/>
      </c>
      <c r="M4764" s="7" t="str">
        <f t="shared" si="373"/>
        <v/>
      </c>
      <c r="N4764" s="7" t="str">
        <f t="shared" si="377"/>
        <v/>
      </c>
      <c r="O4764" s="8"/>
      <c r="P4764" s="26"/>
      <c r="S4764" s="10" t="str">
        <f t="shared" si="374"/>
        <v/>
      </c>
    </row>
    <row r="4765" spans="5:19" x14ac:dyDescent="0.3">
      <c r="E4765" s="9" t="str">
        <f>IF(DADOS!C4765="","",DADOS!C4765)</f>
        <v/>
      </c>
      <c r="F4765" s="9" t="str">
        <f>IF(DADOS!E4765="","",DADOS!E4765)</f>
        <v/>
      </c>
      <c r="G4765" s="9" t="str">
        <f>IF(DADOS!F4765="","",DADOS!F4765)</f>
        <v/>
      </c>
      <c r="K4765" s="6" t="str">
        <f t="shared" si="375"/>
        <v/>
      </c>
      <c r="L4765" s="7" t="str">
        <f t="shared" si="376"/>
        <v/>
      </c>
      <c r="M4765" s="7" t="str">
        <f t="shared" si="373"/>
        <v/>
      </c>
      <c r="N4765" s="7" t="str">
        <f t="shared" si="377"/>
        <v/>
      </c>
      <c r="O4765" s="8"/>
      <c r="P4765" s="26"/>
      <c r="S4765" s="10" t="str">
        <f t="shared" si="374"/>
        <v/>
      </c>
    </row>
    <row r="4766" spans="5:19" x14ac:dyDescent="0.3">
      <c r="E4766" s="9" t="str">
        <f>IF(DADOS!C4766="","",DADOS!C4766)</f>
        <v/>
      </c>
      <c r="F4766" s="9" t="str">
        <f>IF(DADOS!E4766="","",DADOS!E4766)</f>
        <v/>
      </c>
      <c r="G4766" s="9" t="str">
        <f>IF(DADOS!F4766="","",DADOS!F4766)</f>
        <v/>
      </c>
      <c r="K4766" s="6" t="str">
        <f t="shared" si="375"/>
        <v/>
      </c>
      <c r="L4766" s="7" t="str">
        <f t="shared" si="376"/>
        <v/>
      </c>
      <c r="M4766" s="7" t="str">
        <f t="shared" si="373"/>
        <v/>
      </c>
      <c r="N4766" s="7" t="str">
        <f t="shared" si="377"/>
        <v/>
      </c>
      <c r="O4766" s="8"/>
      <c r="P4766" s="26"/>
      <c r="S4766" s="10" t="str">
        <f t="shared" si="374"/>
        <v/>
      </c>
    </row>
    <row r="4767" spans="5:19" x14ac:dyDescent="0.3">
      <c r="E4767" s="9" t="str">
        <f>IF(DADOS!C4767="","",DADOS!C4767)</f>
        <v/>
      </c>
      <c r="F4767" s="9" t="str">
        <f>IF(DADOS!E4767="","",DADOS!E4767)</f>
        <v/>
      </c>
      <c r="G4767" s="9" t="str">
        <f>IF(DADOS!F4767="","",DADOS!F4767)</f>
        <v/>
      </c>
      <c r="K4767" s="6" t="str">
        <f t="shared" si="375"/>
        <v/>
      </c>
      <c r="L4767" s="7" t="str">
        <f t="shared" si="376"/>
        <v/>
      </c>
      <c r="M4767" s="7" t="str">
        <f t="shared" si="373"/>
        <v/>
      </c>
      <c r="N4767" s="7" t="str">
        <f t="shared" si="377"/>
        <v/>
      </c>
      <c r="O4767" s="8"/>
      <c r="P4767" s="26"/>
      <c r="S4767" s="10" t="str">
        <f t="shared" si="374"/>
        <v/>
      </c>
    </row>
    <row r="4768" spans="5:19" x14ac:dyDescent="0.3">
      <c r="E4768" s="9" t="str">
        <f>IF(DADOS!C4768="","",DADOS!C4768)</f>
        <v/>
      </c>
      <c r="F4768" s="9" t="str">
        <f>IF(DADOS!E4768="","",DADOS!E4768)</f>
        <v/>
      </c>
      <c r="G4768" s="9" t="str">
        <f>IF(DADOS!F4768="","",DADOS!F4768)</f>
        <v/>
      </c>
      <c r="K4768" s="6" t="str">
        <f t="shared" si="375"/>
        <v/>
      </c>
      <c r="L4768" s="7" t="str">
        <f t="shared" si="376"/>
        <v/>
      </c>
      <c r="M4768" s="7" t="str">
        <f t="shared" si="373"/>
        <v/>
      </c>
      <c r="N4768" s="7" t="str">
        <f t="shared" si="377"/>
        <v/>
      </c>
      <c r="O4768" s="8"/>
      <c r="P4768" s="26"/>
      <c r="S4768" s="10" t="str">
        <f t="shared" si="374"/>
        <v/>
      </c>
    </row>
    <row r="4769" spans="5:19" x14ac:dyDescent="0.3">
      <c r="E4769" s="9" t="str">
        <f>IF(DADOS!C4769="","",DADOS!C4769)</f>
        <v/>
      </c>
      <c r="F4769" s="9" t="str">
        <f>IF(DADOS!E4769="","",DADOS!E4769)</f>
        <v/>
      </c>
      <c r="G4769" s="9" t="str">
        <f>IF(DADOS!F4769="","",DADOS!F4769)</f>
        <v/>
      </c>
      <c r="K4769" s="6" t="str">
        <f t="shared" si="375"/>
        <v/>
      </c>
      <c r="L4769" s="7" t="str">
        <f t="shared" si="376"/>
        <v/>
      </c>
      <c r="M4769" s="7" t="str">
        <f t="shared" si="373"/>
        <v/>
      </c>
      <c r="N4769" s="7" t="str">
        <f t="shared" si="377"/>
        <v/>
      </c>
      <c r="O4769" s="8"/>
      <c r="P4769" s="26"/>
      <c r="S4769" s="10" t="str">
        <f t="shared" si="374"/>
        <v/>
      </c>
    </row>
    <row r="4770" spans="5:19" x14ac:dyDescent="0.3">
      <c r="E4770" s="9" t="str">
        <f>IF(DADOS!C4770="","",DADOS!C4770)</f>
        <v/>
      </c>
      <c r="F4770" s="9" t="str">
        <f>IF(DADOS!E4770="","",DADOS!E4770)</f>
        <v/>
      </c>
      <c r="G4770" s="9" t="str">
        <f>IF(DADOS!F4770="","",DADOS!F4770)</f>
        <v/>
      </c>
      <c r="K4770" s="6" t="str">
        <f t="shared" si="375"/>
        <v/>
      </c>
      <c r="L4770" s="7" t="str">
        <f t="shared" si="376"/>
        <v/>
      </c>
      <c r="M4770" s="7" t="str">
        <f t="shared" si="373"/>
        <v/>
      </c>
      <c r="N4770" s="7" t="str">
        <f t="shared" si="377"/>
        <v/>
      </c>
      <c r="O4770" s="8"/>
      <c r="P4770" s="26"/>
      <c r="S4770" s="10" t="str">
        <f t="shared" si="374"/>
        <v/>
      </c>
    </row>
    <row r="4771" spans="5:19" x14ac:dyDescent="0.3">
      <c r="E4771" s="9" t="str">
        <f>IF(DADOS!C4771="","",DADOS!C4771)</f>
        <v/>
      </c>
      <c r="F4771" s="9" t="str">
        <f>IF(DADOS!E4771="","",DADOS!E4771)</f>
        <v/>
      </c>
      <c r="G4771" s="9" t="str">
        <f>IF(DADOS!F4771="","",DADOS!F4771)</f>
        <v/>
      </c>
      <c r="K4771" s="6" t="str">
        <f t="shared" si="375"/>
        <v/>
      </c>
      <c r="L4771" s="7" t="str">
        <f t="shared" si="376"/>
        <v/>
      </c>
      <c r="M4771" s="7" t="str">
        <f t="shared" si="373"/>
        <v/>
      </c>
      <c r="N4771" s="7" t="str">
        <f t="shared" si="377"/>
        <v/>
      </c>
      <c r="O4771" s="8"/>
      <c r="P4771" s="26"/>
      <c r="S4771" s="10" t="str">
        <f t="shared" si="374"/>
        <v/>
      </c>
    </row>
    <row r="4772" spans="5:19" x14ac:dyDescent="0.3">
      <c r="E4772" s="9" t="str">
        <f>IF(DADOS!C4772="","",DADOS!C4772)</f>
        <v/>
      </c>
      <c r="F4772" s="9" t="str">
        <f>IF(DADOS!E4772="","",DADOS!E4772)</f>
        <v/>
      </c>
      <c r="G4772" s="9" t="str">
        <f>IF(DADOS!F4772="","",DADOS!F4772)</f>
        <v/>
      </c>
      <c r="K4772" s="6" t="str">
        <f t="shared" si="375"/>
        <v/>
      </c>
      <c r="L4772" s="7" t="str">
        <f t="shared" si="376"/>
        <v/>
      </c>
      <c r="M4772" s="7" t="str">
        <f t="shared" si="373"/>
        <v/>
      </c>
      <c r="N4772" s="7" t="str">
        <f t="shared" si="377"/>
        <v/>
      </c>
      <c r="O4772" s="8"/>
      <c r="P4772" s="26"/>
      <c r="S4772" s="10" t="str">
        <f t="shared" si="374"/>
        <v/>
      </c>
    </row>
    <row r="4773" spans="5:19" x14ac:dyDescent="0.3">
      <c r="E4773" s="9" t="str">
        <f>IF(DADOS!C4773="","",DADOS!C4773)</f>
        <v/>
      </c>
      <c r="F4773" s="9" t="str">
        <f>IF(DADOS!E4773="","",DADOS!E4773)</f>
        <v/>
      </c>
      <c r="G4773" s="9" t="str">
        <f>IF(DADOS!F4773="","",DADOS!F4773)</f>
        <v/>
      </c>
      <c r="K4773" s="6" t="str">
        <f t="shared" si="375"/>
        <v/>
      </c>
      <c r="L4773" s="7" t="str">
        <f t="shared" si="376"/>
        <v/>
      </c>
      <c r="M4773" s="7" t="str">
        <f t="shared" si="373"/>
        <v/>
      </c>
      <c r="N4773" s="7" t="str">
        <f t="shared" si="377"/>
        <v/>
      </c>
      <c r="O4773" s="8"/>
      <c r="P4773" s="26"/>
      <c r="S4773" s="10" t="str">
        <f t="shared" si="374"/>
        <v/>
      </c>
    </row>
    <row r="4774" spans="5:19" x14ac:dyDescent="0.3">
      <c r="E4774" s="9" t="str">
        <f>IF(DADOS!C4774="","",DADOS!C4774)</f>
        <v/>
      </c>
      <c r="F4774" s="9" t="str">
        <f>IF(DADOS!E4774="","",DADOS!E4774)</f>
        <v/>
      </c>
      <c r="G4774" s="9" t="str">
        <f>IF(DADOS!F4774="","",DADOS!F4774)</f>
        <v/>
      </c>
      <c r="K4774" s="6" t="str">
        <f t="shared" si="375"/>
        <v/>
      </c>
      <c r="L4774" s="7" t="str">
        <f t="shared" si="376"/>
        <v/>
      </c>
      <c r="M4774" s="7" t="str">
        <f t="shared" si="373"/>
        <v/>
      </c>
      <c r="N4774" s="7" t="str">
        <f t="shared" si="377"/>
        <v/>
      </c>
      <c r="O4774" s="8"/>
      <c r="P4774" s="26"/>
      <c r="S4774" s="10" t="str">
        <f t="shared" si="374"/>
        <v/>
      </c>
    </row>
    <row r="4775" spans="5:19" x14ac:dyDescent="0.3">
      <c r="E4775" s="9" t="str">
        <f>IF(DADOS!C4775="","",DADOS!C4775)</f>
        <v/>
      </c>
      <c r="F4775" s="9" t="str">
        <f>IF(DADOS!E4775="","",DADOS!E4775)</f>
        <v/>
      </c>
      <c r="G4775" s="9" t="str">
        <f>IF(DADOS!F4775="","",DADOS!F4775)</f>
        <v/>
      </c>
      <c r="K4775" s="6" t="str">
        <f t="shared" si="375"/>
        <v/>
      </c>
      <c r="L4775" s="7" t="str">
        <f t="shared" si="376"/>
        <v/>
      </c>
      <c r="M4775" s="7" t="str">
        <f t="shared" si="373"/>
        <v/>
      </c>
      <c r="N4775" s="7" t="str">
        <f t="shared" si="377"/>
        <v/>
      </c>
      <c r="O4775" s="8"/>
      <c r="P4775" s="26"/>
      <c r="S4775" s="10" t="str">
        <f t="shared" si="374"/>
        <v/>
      </c>
    </row>
    <row r="4776" spans="5:19" x14ac:dyDescent="0.3">
      <c r="E4776" s="9" t="str">
        <f>IF(DADOS!C4776="","",DADOS!C4776)</f>
        <v/>
      </c>
      <c r="F4776" s="9" t="str">
        <f>IF(DADOS!E4776="","",DADOS!E4776)</f>
        <v/>
      </c>
      <c r="G4776" s="9" t="str">
        <f>IF(DADOS!F4776="","",DADOS!F4776)</f>
        <v/>
      </c>
      <c r="K4776" s="6" t="str">
        <f t="shared" si="375"/>
        <v/>
      </c>
      <c r="L4776" s="7" t="str">
        <f t="shared" si="376"/>
        <v/>
      </c>
      <c r="M4776" s="7" t="str">
        <f t="shared" si="373"/>
        <v/>
      </c>
      <c r="N4776" s="7" t="str">
        <f t="shared" si="377"/>
        <v/>
      </c>
      <c r="O4776" s="8"/>
      <c r="P4776" s="26"/>
      <c r="S4776" s="10" t="str">
        <f t="shared" si="374"/>
        <v/>
      </c>
    </row>
    <row r="4777" spans="5:19" x14ac:dyDescent="0.3">
      <c r="E4777" s="9" t="str">
        <f>IF(DADOS!C4777="","",DADOS!C4777)</f>
        <v/>
      </c>
      <c r="F4777" s="9" t="str">
        <f>IF(DADOS!E4777="","",DADOS!E4777)</f>
        <v/>
      </c>
      <c r="G4777" s="9" t="str">
        <f>IF(DADOS!F4777="","",DADOS!F4777)</f>
        <v/>
      </c>
      <c r="K4777" s="6" t="str">
        <f t="shared" si="375"/>
        <v/>
      </c>
      <c r="L4777" s="7" t="str">
        <f t="shared" si="376"/>
        <v/>
      </c>
      <c r="M4777" s="7" t="str">
        <f t="shared" si="373"/>
        <v/>
      </c>
      <c r="N4777" s="7" t="str">
        <f t="shared" si="377"/>
        <v/>
      </c>
      <c r="O4777" s="8"/>
      <c r="P4777" s="26"/>
      <c r="S4777" s="10" t="str">
        <f t="shared" si="374"/>
        <v/>
      </c>
    </row>
    <row r="4778" spans="5:19" x14ac:dyDescent="0.3">
      <c r="E4778" s="9" t="str">
        <f>IF(DADOS!C4778="","",DADOS!C4778)</f>
        <v/>
      </c>
      <c r="F4778" s="9" t="str">
        <f>IF(DADOS!E4778="","",DADOS!E4778)</f>
        <v/>
      </c>
      <c r="G4778" s="9" t="str">
        <f>IF(DADOS!F4778="","",DADOS!F4778)</f>
        <v/>
      </c>
      <c r="K4778" s="6" t="str">
        <f t="shared" si="375"/>
        <v/>
      </c>
      <c r="L4778" s="7" t="str">
        <f t="shared" si="376"/>
        <v/>
      </c>
      <c r="M4778" s="7" t="str">
        <f t="shared" si="373"/>
        <v/>
      </c>
      <c r="N4778" s="7" t="str">
        <f t="shared" si="377"/>
        <v/>
      </c>
      <c r="O4778" s="8"/>
      <c r="P4778" s="26"/>
      <c r="S4778" s="10" t="str">
        <f t="shared" si="374"/>
        <v/>
      </c>
    </row>
    <row r="4779" spans="5:19" x14ac:dyDescent="0.3">
      <c r="E4779" s="9" t="str">
        <f>IF(DADOS!C4779="","",DADOS!C4779)</f>
        <v/>
      </c>
      <c r="F4779" s="9" t="str">
        <f>IF(DADOS!E4779="","",DADOS!E4779)</f>
        <v/>
      </c>
      <c r="G4779" s="9" t="str">
        <f>IF(DADOS!F4779="","",DADOS!F4779)</f>
        <v/>
      </c>
      <c r="K4779" s="6" t="str">
        <f t="shared" si="375"/>
        <v/>
      </c>
      <c r="L4779" s="7" t="str">
        <f t="shared" si="376"/>
        <v/>
      </c>
      <c r="M4779" s="7" t="str">
        <f t="shared" si="373"/>
        <v/>
      </c>
      <c r="N4779" s="7" t="str">
        <f t="shared" si="377"/>
        <v/>
      </c>
      <c r="O4779" s="8"/>
      <c r="P4779" s="26"/>
      <c r="S4779" s="10" t="str">
        <f t="shared" si="374"/>
        <v/>
      </c>
    </row>
    <row r="4780" spans="5:19" x14ac:dyDescent="0.3">
      <c r="E4780" s="9" t="str">
        <f>IF(DADOS!C4780="","",DADOS!C4780)</f>
        <v/>
      </c>
      <c r="F4780" s="9" t="str">
        <f>IF(DADOS!E4780="","",DADOS!E4780)</f>
        <v/>
      </c>
      <c r="G4780" s="9" t="str">
        <f>IF(DADOS!F4780="","",DADOS!F4780)</f>
        <v/>
      </c>
      <c r="K4780" s="6" t="str">
        <f t="shared" si="375"/>
        <v/>
      </c>
      <c r="L4780" s="7" t="str">
        <f t="shared" si="376"/>
        <v/>
      </c>
      <c r="M4780" s="7" t="str">
        <f t="shared" si="373"/>
        <v/>
      </c>
      <c r="N4780" s="7" t="str">
        <f t="shared" si="377"/>
        <v/>
      </c>
      <c r="O4780" s="8"/>
      <c r="P4780" s="26"/>
      <c r="S4780" s="10" t="str">
        <f t="shared" si="374"/>
        <v/>
      </c>
    </row>
    <row r="4781" spans="5:19" x14ac:dyDescent="0.3">
      <c r="E4781" s="9" t="str">
        <f>IF(DADOS!C4781="","",DADOS!C4781)</f>
        <v/>
      </c>
      <c r="F4781" s="9" t="str">
        <f>IF(DADOS!E4781="","",DADOS!E4781)</f>
        <v/>
      </c>
      <c r="G4781" s="9" t="str">
        <f>IF(DADOS!F4781="","",DADOS!F4781)</f>
        <v/>
      </c>
      <c r="K4781" s="6" t="str">
        <f t="shared" si="375"/>
        <v/>
      </c>
      <c r="L4781" s="7" t="str">
        <f t="shared" si="376"/>
        <v/>
      </c>
      <c r="M4781" s="7" t="str">
        <f t="shared" si="373"/>
        <v/>
      </c>
      <c r="N4781" s="7" t="str">
        <f t="shared" si="377"/>
        <v/>
      </c>
      <c r="O4781" s="8"/>
      <c r="P4781" s="26"/>
      <c r="S4781" s="10" t="str">
        <f t="shared" si="374"/>
        <v/>
      </c>
    </row>
    <row r="4782" spans="5:19" x14ac:dyDescent="0.3">
      <c r="E4782" s="9" t="str">
        <f>IF(DADOS!C4782="","",DADOS!C4782)</f>
        <v/>
      </c>
      <c r="F4782" s="9" t="str">
        <f>IF(DADOS!E4782="","",DADOS!E4782)</f>
        <v/>
      </c>
      <c r="G4782" s="9" t="str">
        <f>IF(DADOS!F4782="","",DADOS!F4782)</f>
        <v/>
      </c>
      <c r="K4782" s="6" t="str">
        <f t="shared" si="375"/>
        <v/>
      </c>
      <c r="L4782" s="7" t="str">
        <f t="shared" si="376"/>
        <v/>
      </c>
      <c r="M4782" s="7" t="str">
        <f t="shared" si="373"/>
        <v/>
      </c>
      <c r="N4782" s="7" t="str">
        <f t="shared" si="377"/>
        <v/>
      </c>
      <c r="O4782" s="8"/>
      <c r="P4782" s="26"/>
      <c r="S4782" s="10" t="str">
        <f t="shared" si="374"/>
        <v/>
      </c>
    </row>
    <row r="4783" spans="5:19" x14ac:dyDescent="0.3">
      <c r="E4783" s="9" t="str">
        <f>IF(DADOS!C4783="","",DADOS!C4783)</f>
        <v/>
      </c>
      <c r="F4783" s="9" t="str">
        <f>IF(DADOS!E4783="","",DADOS!E4783)</f>
        <v/>
      </c>
      <c r="G4783" s="9" t="str">
        <f>IF(DADOS!F4783="","",DADOS!F4783)</f>
        <v/>
      </c>
      <c r="K4783" s="6" t="str">
        <f t="shared" si="375"/>
        <v/>
      </c>
      <c r="L4783" s="7" t="str">
        <f t="shared" si="376"/>
        <v/>
      </c>
      <c r="M4783" s="7" t="str">
        <f t="shared" si="373"/>
        <v/>
      </c>
      <c r="N4783" s="7" t="str">
        <f t="shared" si="377"/>
        <v/>
      </c>
      <c r="O4783" s="8"/>
      <c r="P4783" s="26"/>
      <c r="S4783" s="10" t="str">
        <f t="shared" si="374"/>
        <v/>
      </c>
    </row>
    <row r="4784" spans="5:19" x14ac:dyDescent="0.3">
      <c r="E4784" s="9" t="str">
        <f>IF(DADOS!C4784="","",DADOS!C4784)</f>
        <v/>
      </c>
      <c r="F4784" s="9" t="str">
        <f>IF(DADOS!E4784="","",DADOS!E4784)</f>
        <v/>
      </c>
      <c r="G4784" s="9" t="str">
        <f>IF(DADOS!F4784="","",DADOS!F4784)</f>
        <v/>
      </c>
      <c r="K4784" s="6" t="str">
        <f t="shared" si="375"/>
        <v/>
      </c>
      <c r="L4784" s="7" t="str">
        <f t="shared" si="376"/>
        <v/>
      </c>
      <c r="M4784" s="7" t="str">
        <f t="shared" si="373"/>
        <v/>
      </c>
      <c r="N4784" s="7" t="str">
        <f t="shared" si="377"/>
        <v/>
      </c>
      <c r="O4784" s="8"/>
      <c r="P4784" s="26"/>
      <c r="S4784" s="10" t="str">
        <f t="shared" si="374"/>
        <v/>
      </c>
    </row>
    <row r="4785" spans="5:19" x14ac:dyDescent="0.3">
      <c r="E4785" s="9" t="str">
        <f>IF(DADOS!C4785="","",DADOS!C4785)</f>
        <v/>
      </c>
      <c r="F4785" s="9" t="str">
        <f>IF(DADOS!E4785="","",DADOS!E4785)</f>
        <v/>
      </c>
      <c r="G4785" s="9" t="str">
        <f>IF(DADOS!F4785="","",DADOS!F4785)</f>
        <v/>
      </c>
      <c r="K4785" s="6" t="str">
        <f t="shared" si="375"/>
        <v/>
      </c>
      <c r="L4785" s="7" t="str">
        <f t="shared" si="376"/>
        <v/>
      </c>
      <c r="M4785" s="7" t="str">
        <f t="shared" si="373"/>
        <v/>
      </c>
      <c r="N4785" s="7" t="str">
        <f t="shared" si="377"/>
        <v/>
      </c>
      <c r="O4785" s="8"/>
      <c r="P4785" s="26"/>
      <c r="S4785" s="10" t="str">
        <f t="shared" si="374"/>
        <v/>
      </c>
    </row>
    <row r="4786" spans="5:19" x14ac:dyDescent="0.3">
      <c r="E4786" s="9" t="str">
        <f>IF(DADOS!C4786="","",DADOS!C4786)</f>
        <v/>
      </c>
      <c r="F4786" s="9" t="str">
        <f>IF(DADOS!E4786="","",DADOS!E4786)</f>
        <v/>
      </c>
      <c r="G4786" s="9" t="str">
        <f>IF(DADOS!F4786="","",DADOS!F4786)</f>
        <v/>
      </c>
      <c r="K4786" s="6" t="str">
        <f t="shared" si="375"/>
        <v/>
      </c>
      <c r="L4786" s="7" t="str">
        <f t="shared" si="376"/>
        <v/>
      </c>
      <c r="M4786" s="7" t="str">
        <f t="shared" si="373"/>
        <v/>
      </c>
      <c r="N4786" s="7" t="str">
        <f t="shared" si="377"/>
        <v/>
      </c>
      <c r="O4786" s="8"/>
      <c r="P4786" s="26"/>
      <c r="S4786" s="10" t="str">
        <f t="shared" si="374"/>
        <v/>
      </c>
    </row>
    <row r="4787" spans="5:19" x14ac:dyDescent="0.3">
      <c r="E4787" s="9" t="str">
        <f>IF(DADOS!C4787="","",DADOS!C4787)</f>
        <v/>
      </c>
      <c r="F4787" s="9" t="str">
        <f>IF(DADOS!E4787="","",DADOS!E4787)</f>
        <v/>
      </c>
      <c r="G4787" s="9" t="str">
        <f>IF(DADOS!F4787="","",DADOS!F4787)</f>
        <v/>
      </c>
      <c r="K4787" s="6" t="str">
        <f t="shared" si="375"/>
        <v/>
      </c>
      <c r="L4787" s="7" t="str">
        <f t="shared" si="376"/>
        <v/>
      </c>
      <c r="M4787" s="7" t="str">
        <f t="shared" si="373"/>
        <v/>
      </c>
      <c r="N4787" s="7" t="str">
        <f t="shared" si="377"/>
        <v/>
      </c>
      <c r="O4787" s="8"/>
      <c r="P4787" s="26"/>
      <c r="S4787" s="10" t="str">
        <f t="shared" si="374"/>
        <v/>
      </c>
    </row>
    <row r="4788" spans="5:19" x14ac:dyDescent="0.3">
      <c r="E4788" s="9" t="str">
        <f>IF(DADOS!C4788="","",DADOS!C4788)</f>
        <v/>
      </c>
      <c r="F4788" s="9" t="str">
        <f>IF(DADOS!E4788="","",DADOS!E4788)</f>
        <v/>
      </c>
      <c r="G4788" s="9" t="str">
        <f>IF(DADOS!F4788="","",DADOS!F4788)</f>
        <v/>
      </c>
      <c r="K4788" s="6" t="str">
        <f t="shared" si="375"/>
        <v/>
      </c>
      <c r="L4788" s="7" t="str">
        <f t="shared" si="376"/>
        <v/>
      </c>
      <c r="M4788" s="7" t="str">
        <f t="shared" si="373"/>
        <v/>
      </c>
      <c r="N4788" s="7" t="str">
        <f t="shared" si="377"/>
        <v/>
      </c>
      <c r="O4788" s="8"/>
      <c r="P4788" s="26"/>
      <c r="S4788" s="10" t="str">
        <f t="shared" si="374"/>
        <v/>
      </c>
    </row>
    <row r="4789" spans="5:19" x14ac:dyDescent="0.3">
      <c r="E4789" s="9" t="str">
        <f>IF(DADOS!C4789="","",DADOS!C4789)</f>
        <v/>
      </c>
      <c r="F4789" s="9" t="str">
        <f>IF(DADOS!E4789="","",DADOS!E4789)</f>
        <v/>
      </c>
      <c r="G4789" s="9" t="str">
        <f>IF(DADOS!F4789="","",DADOS!F4789)</f>
        <v/>
      </c>
      <c r="K4789" s="6" t="str">
        <f t="shared" si="375"/>
        <v/>
      </c>
      <c r="L4789" s="7" t="str">
        <f t="shared" si="376"/>
        <v/>
      </c>
      <c r="M4789" s="7" t="str">
        <f t="shared" si="373"/>
        <v/>
      </c>
      <c r="N4789" s="7" t="str">
        <f t="shared" si="377"/>
        <v/>
      </c>
      <c r="O4789" s="8"/>
      <c r="P4789" s="26"/>
      <c r="S4789" s="10" t="str">
        <f t="shared" si="374"/>
        <v/>
      </c>
    </row>
    <row r="4790" spans="5:19" x14ac:dyDescent="0.3">
      <c r="E4790" s="9" t="str">
        <f>IF(DADOS!C4790="","",DADOS!C4790)</f>
        <v/>
      </c>
      <c r="F4790" s="9" t="str">
        <f>IF(DADOS!E4790="","",DADOS!E4790)</f>
        <v/>
      </c>
      <c r="G4790" s="9" t="str">
        <f>IF(DADOS!F4790="","",DADOS!F4790)</f>
        <v/>
      </c>
      <c r="K4790" s="6" t="str">
        <f t="shared" si="375"/>
        <v/>
      </c>
      <c r="L4790" s="7" t="str">
        <f t="shared" si="376"/>
        <v/>
      </c>
      <c r="M4790" s="7" t="str">
        <f t="shared" si="373"/>
        <v/>
      </c>
      <c r="N4790" s="7" t="str">
        <f t="shared" si="377"/>
        <v/>
      </c>
      <c r="O4790" s="8"/>
      <c r="P4790" s="26"/>
      <c r="S4790" s="10" t="str">
        <f t="shared" si="374"/>
        <v/>
      </c>
    </row>
    <row r="4791" spans="5:19" x14ac:dyDescent="0.3">
      <c r="E4791" s="9" t="str">
        <f>IF(DADOS!C4791="","",DADOS!C4791)</f>
        <v/>
      </c>
      <c r="F4791" s="9" t="str">
        <f>IF(DADOS!E4791="","",DADOS!E4791)</f>
        <v/>
      </c>
      <c r="G4791" s="9" t="str">
        <f>IF(DADOS!F4791="","",DADOS!F4791)</f>
        <v/>
      </c>
      <c r="K4791" s="6" t="str">
        <f t="shared" si="375"/>
        <v/>
      </c>
      <c r="L4791" s="7" t="str">
        <f t="shared" si="376"/>
        <v/>
      </c>
      <c r="M4791" s="7" t="str">
        <f t="shared" si="373"/>
        <v/>
      </c>
      <c r="N4791" s="7" t="str">
        <f t="shared" si="377"/>
        <v/>
      </c>
      <c r="O4791" s="8"/>
      <c r="P4791" s="26"/>
      <c r="S4791" s="10" t="str">
        <f t="shared" si="374"/>
        <v/>
      </c>
    </row>
    <row r="4792" spans="5:19" x14ac:dyDescent="0.3">
      <c r="E4792" s="9" t="str">
        <f>IF(DADOS!C4792="","",DADOS!C4792)</f>
        <v/>
      </c>
      <c r="F4792" s="9" t="str">
        <f>IF(DADOS!E4792="","",DADOS!E4792)</f>
        <v/>
      </c>
      <c r="G4792" s="9" t="str">
        <f>IF(DADOS!F4792="","",DADOS!F4792)</f>
        <v/>
      </c>
      <c r="K4792" s="6" t="str">
        <f t="shared" si="375"/>
        <v/>
      </c>
      <c r="L4792" s="7" t="str">
        <f t="shared" si="376"/>
        <v/>
      </c>
      <c r="M4792" s="7" t="str">
        <f t="shared" si="373"/>
        <v/>
      </c>
      <c r="N4792" s="7" t="str">
        <f t="shared" si="377"/>
        <v/>
      </c>
      <c r="O4792" s="8"/>
      <c r="P4792" s="26"/>
      <c r="S4792" s="10" t="str">
        <f t="shared" si="374"/>
        <v/>
      </c>
    </row>
    <row r="4793" spans="5:19" x14ac:dyDescent="0.3">
      <c r="E4793" s="9" t="str">
        <f>IF(DADOS!C4793="","",DADOS!C4793)</f>
        <v/>
      </c>
      <c r="F4793" s="9" t="str">
        <f>IF(DADOS!E4793="","",DADOS!E4793)</f>
        <v/>
      </c>
      <c r="G4793" s="9" t="str">
        <f>IF(DADOS!F4793="","",DADOS!F4793)</f>
        <v/>
      </c>
      <c r="K4793" s="6" t="str">
        <f t="shared" si="375"/>
        <v/>
      </c>
      <c r="L4793" s="7" t="str">
        <f t="shared" si="376"/>
        <v/>
      </c>
      <c r="M4793" s="7" t="str">
        <f t="shared" si="373"/>
        <v/>
      </c>
      <c r="N4793" s="7" t="str">
        <f t="shared" si="377"/>
        <v/>
      </c>
      <c r="O4793" s="8"/>
      <c r="P4793" s="26"/>
      <c r="S4793" s="10" t="str">
        <f t="shared" si="374"/>
        <v/>
      </c>
    </row>
    <row r="4794" spans="5:19" x14ac:dyDescent="0.3">
      <c r="E4794" s="9" t="str">
        <f>IF(DADOS!C4794="","",DADOS!C4794)</f>
        <v/>
      </c>
      <c r="F4794" s="9" t="str">
        <f>IF(DADOS!E4794="","",DADOS!E4794)</f>
        <v/>
      </c>
      <c r="G4794" s="9" t="str">
        <f>IF(DADOS!F4794="","",DADOS!F4794)</f>
        <v/>
      </c>
      <c r="K4794" s="6" t="str">
        <f t="shared" si="375"/>
        <v/>
      </c>
      <c r="L4794" s="7" t="str">
        <f t="shared" si="376"/>
        <v/>
      </c>
      <c r="M4794" s="7" t="str">
        <f t="shared" si="373"/>
        <v/>
      </c>
      <c r="N4794" s="7" t="str">
        <f t="shared" si="377"/>
        <v/>
      </c>
      <c r="O4794" s="8"/>
      <c r="P4794" s="26"/>
      <c r="S4794" s="10" t="str">
        <f t="shared" si="374"/>
        <v/>
      </c>
    </row>
    <row r="4795" spans="5:19" x14ac:dyDescent="0.3">
      <c r="E4795" s="9" t="str">
        <f>IF(DADOS!C4795="","",DADOS!C4795)</f>
        <v/>
      </c>
      <c r="F4795" s="9" t="str">
        <f>IF(DADOS!E4795="","",DADOS!E4795)</f>
        <v/>
      </c>
      <c r="G4795" s="9" t="str">
        <f>IF(DADOS!F4795="","",DADOS!F4795)</f>
        <v/>
      </c>
      <c r="K4795" s="6" t="str">
        <f t="shared" si="375"/>
        <v/>
      </c>
      <c r="L4795" s="7" t="str">
        <f t="shared" si="376"/>
        <v/>
      </c>
      <c r="M4795" s="7" t="str">
        <f t="shared" si="373"/>
        <v/>
      </c>
      <c r="N4795" s="7" t="str">
        <f t="shared" si="377"/>
        <v/>
      </c>
      <c r="O4795" s="8"/>
      <c r="P4795" s="26"/>
      <c r="S4795" s="10" t="str">
        <f t="shared" si="374"/>
        <v/>
      </c>
    </row>
    <row r="4796" spans="5:19" x14ac:dyDescent="0.3">
      <c r="E4796" s="9" t="str">
        <f>IF(DADOS!C4796="","",DADOS!C4796)</f>
        <v/>
      </c>
      <c r="F4796" s="9" t="str">
        <f>IF(DADOS!E4796="","",DADOS!E4796)</f>
        <v/>
      </c>
      <c r="G4796" s="9" t="str">
        <f>IF(DADOS!F4796="","",DADOS!F4796)</f>
        <v/>
      </c>
      <c r="K4796" s="6" t="str">
        <f t="shared" si="375"/>
        <v/>
      </c>
      <c r="L4796" s="7" t="str">
        <f t="shared" si="376"/>
        <v/>
      </c>
      <c r="M4796" s="7" t="str">
        <f t="shared" si="373"/>
        <v/>
      </c>
      <c r="N4796" s="7" t="str">
        <f t="shared" si="377"/>
        <v/>
      </c>
      <c r="O4796" s="8"/>
      <c r="P4796" s="26"/>
      <c r="S4796" s="10" t="str">
        <f t="shared" si="374"/>
        <v/>
      </c>
    </row>
    <row r="4797" spans="5:19" x14ac:dyDescent="0.3">
      <c r="E4797" s="9" t="str">
        <f>IF(DADOS!C4797="","",DADOS!C4797)</f>
        <v/>
      </c>
      <c r="F4797" s="9" t="str">
        <f>IF(DADOS!E4797="","",DADOS!E4797)</f>
        <v/>
      </c>
      <c r="G4797" s="9" t="str">
        <f>IF(DADOS!F4797="","",DADOS!F4797)</f>
        <v/>
      </c>
      <c r="K4797" s="6" t="str">
        <f t="shared" si="375"/>
        <v/>
      </c>
      <c r="L4797" s="7" t="str">
        <f t="shared" si="376"/>
        <v/>
      </c>
      <c r="M4797" s="7" t="str">
        <f t="shared" si="373"/>
        <v/>
      </c>
      <c r="N4797" s="7" t="str">
        <f t="shared" si="377"/>
        <v/>
      </c>
      <c r="O4797" s="8"/>
      <c r="P4797" s="26"/>
      <c r="S4797" s="10" t="str">
        <f t="shared" si="374"/>
        <v/>
      </c>
    </row>
    <row r="4798" spans="5:19" x14ac:dyDescent="0.3">
      <c r="E4798" s="9" t="str">
        <f>IF(DADOS!C4798="","",DADOS!C4798)</f>
        <v/>
      </c>
      <c r="F4798" s="9" t="str">
        <f>IF(DADOS!E4798="","",DADOS!E4798)</f>
        <v/>
      </c>
      <c r="G4798" s="9" t="str">
        <f>IF(DADOS!F4798="","",DADOS!F4798)</f>
        <v/>
      </c>
      <c r="K4798" s="6" t="str">
        <f t="shared" si="375"/>
        <v/>
      </c>
      <c r="L4798" s="7" t="str">
        <f t="shared" si="376"/>
        <v/>
      </c>
      <c r="M4798" s="7" t="str">
        <f t="shared" si="373"/>
        <v/>
      </c>
      <c r="N4798" s="7" t="str">
        <f t="shared" si="377"/>
        <v/>
      </c>
      <c r="O4798" s="8"/>
      <c r="P4798" s="26"/>
      <c r="S4798" s="10" t="str">
        <f t="shared" si="374"/>
        <v/>
      </c>
    </row>
    <row r="4799" spans="5:19" x14ac:dyDescent="0.3">
      <c r="E4799" s="9" t="str">
        <f>IF(DADOS!C4799="","",DADOS!C4799)</f>
        <v/>
      </c>
      <c r="F4799" s="9" t="str">
        <f>IF(DADOS!E4799="","",DADOS!E4799)</f>
        <v/>
      </c>
      <c r="G4799" s="9" t="str">
        <f>IF(DADOS!F4799="","",DADOS!F4799)</f>
        <v/>
      </c>
      <c r="K4799" s="6" t="str">
        <f t="shared" si="375"/>
        <v/>
      </c>
      <c r="L4799" s="7" t="str">
        <f t="shared" si="376"/>
        <v/>
      </c>
      <c r="M4799" s="7" t="str">
        <f t="shared" si="373"/>
        <v/>
      </c>
      <c r="N4799" s="7" t="str">
        <f t="shared" si="377"/>
        <v/>
      </c>
      <c r="O4799" s="8"/>
      <c r="P4799" s="26"/>
      <c r="S4799" s="10" t="str">
        <f t="shared" si="374"/>
        <v/>
      </c>
    </row>
    <row r="4800" spans="5:19" x14ac:dyDescent="0.3">
      <c r="E4800" s="9" t="str">
        <f>IF(DADOS!C4800="","",DADOS!C4800)</f>
        <v/>
      </c>
      <c r="F4800" s="9" t="str">
        <f>IF(DADOS!E4800="","",DADOS!E4800)</f>
        <v/>
      </c>
      <c r="G4800" s="9" t="str">
        <f>IF(DADOS!F4800="","",DADOS!F4800)</f>
        <v/>
      </c>
      <c r="K4800" s="6" t="str">
        <f t="shared" si="375"/>
        <v/>
      </c>
      <c r="L4800" s="7" t="str">
        <f t="shared" si="376"/>
        <v/>
      </c>
      <c r="M4800" s="7" t="str">
        <f t="shared" si="373"/>
        <v/>
      </c>
      <c r="N4800" s="7" t="str">
        <f t="shared" si="377"/>
        <v/>
      </c>
      <c r="O4800" s="8"/>
      <c r="P4800" s="26"/>
      <c r="S4800" s="10" t="str">
        <f t="shared" si="374"/>
        <v/>
      </c>
    </row>
    <row r="4801" spans="5:19" x14ac:dyDescent="0.3">
      <c r="E4801" s="9" t="str">
        <f>IF(DADOS!C4801="","",DADOS!C4801)</f>
        <v/>
      </c>
      <c r="F4801" s="9" t="str">
        <f>IF(DADOS!E4801="","",DADOS!E4801)</f>
        <v/>
      </c>
      <c r="G4801" s="9" t="str">
        <f>IF(DADOS!F4801="","",DADOS!F4801)</f>
        <v/>
      </c>
      <c r="K4801" s="6" t="str">
        <f t="shared" si="375"/>
        <v/>
      </c>
      <c r="L4801" s="7" t="str">
        <f t="shared" si="376"/>
        <v/>
      </c>
      <c r="M4801" s="7" t="str">
        <f t="shared" si="373"/>
        <v/>
      </c>
      <c r="N4801" s="7" t="str">
        <f t="shared" si="377"/>
        <v/>
      </c>
      <c r="O4801" s="8"/>
      <c r="P4801" s="26"/>
      <c r="S4801" s="10" t="str">
        <f t="shared" si="374"/>
        <v/>
      </c>
    </row>
    <row r="4802" spans="5:19" x14ac:dyDescent="0.3">
      <c r="E4802" s="9" t="str">
        <f>IF(DADOS!C4802="","",DADOS!C4802)</f>
        <v/>
      </c>
      <c r="F4802" s="9" t="str">
        <f>IF(DADOS!E4802="","",DADOS!E4802)</f>
        <v/>
      </c>
      <c r="G4802" s="9" t="str">
        <f>IF(DADOS!F4802="","",DADOS!F4802)</f>
        <v/>
      </c>
      <c r="K4802" s="6" t="str">
        <f t="shared" si="375"/>
        <v/>
      </c>
      <c r="L4802" s="7" t="str">
        <f t="shared" si="376"/>
        <v/>
      </c>
      <c r="M4802" s="7" t="str">
        <f t="shared" si="373"/>
        <v/>
      </c>
      <c r="N4802" s="7" t="str">
        <f t="shared" si="377"/>
        <v/>
      </c>
      <c r="O4802" s="8"/>
      <c r="P4802" s="26"/>
      <c r="S4802" s="10" t="str">
        <f t="shared" si="374"/>
        <v/>
      </c>
    </row>
    <row r="4803" spans="5:19" x14ac:dyDescent="0.3">
      <c r="E4803" s="9" t="str">
        <f>IF(DADOS!C4803="","",DADOS!C4803)</f>
        <v/>
      </c>
      <c r="F4803" s="9" t="str">
        <f>IF(DADOS!E4803="","",DADOS!E4803)</f>
        <v/>
      </c>
      <c r="G4803" s="9" t="str">
        <f>IF(DADOS!F4803="","",DADOS!F4803)</f>
        <v/>
      </c>
      <c r="K4803" s="6" t="str">
        <f t="shared" si="375"/>
        <v/>
      </c>
      <c r="L4803" s="7" t="str">
        <f t="shared" si="376"/>
        <v/>
      </c>
      <c r="M4803" s="7" t="str">
        <f t="shared" ref="M4803:M4866" si="378">IF(L4803="","",L4803*G4803)</f>
        <v/>
      </c>
      <c r="N4803" s="7" t="str">
        <f t="shared" si="377"/>
        <v/>
      </c>
      <c r="O4803" s="8"/>
      <c r="P4803" s="26"/>
      <c r="S4803" s="10" t="str">
        <f t="shared" ref="S4803:S4866" si="379">IF(R4803="","",SUMIFS($N$3:$N$10000,$E$3:$E$10000,R4803))</f>
        <v/>
      </c>
    </row>
    <row r="4804" spans="5:19" x14ac:dyDescent="0.3">
      <c r="E4804" s="9" t="str">
        <f>IF(DADOS!C4804="","",DADOS!C4804)</f>
        <v/>
      </c>
      <c r="F4804" s="9" t="str">
        <f>IF(DADOS!E4804="","",DADOS!E4804)</f>
        <v/>
      </c>
      <c r="G4804" s="9" t="str">
        <f>IF(DADOS!F4804="","",DADOS!F4804)</f>
        <v/>
      </c>
      <c r="K4804" s="6" t="str">
        <f t="shared" ref="K4804:K4867" si="380">IF(F4804="","",F4804/PI())</f>
        <v/>
      </c>
      <c r="L4804" s="7" t="str">
        <f t="shared" ref="L4804:L4867" si="381">IF(K4804="","",(PI()*K4804^2)/40000)</f>
        <v/>
      </c>
      <c r="M4804" s="7" t="str">
        <f t="shared" si="378"/>
        <v/>
      </c>
      <c r="N4804" s="7" t="str">
        <f t="shared" ref="N4804:N4867" si="382">IF(M4804="","",M4804*N$1)</f>
        <v/>
      </c>
      <c r="O4804" s="8"/>
      <c r="P4804" s="26"/>
      <c r="S4804" s="10" t="str">
        <f t="shared" si="379"/>
        <v/>
      </c>
    </row>
    <row r="4805" spans="5:19" x14ac:dyDescent="0.3">
      <c r="E4805" s="9" t="str">
        <f>IF(DADOS!C4805="","",DADOS!C4805)</f>
        <v/>
      </c>
      <c r="F4805" s="9" t="str">
        <f>IF(DADOS!E4805="","",DADOS!E4805)</f>
        <v/>
      </c>
      <c r="G4805" s="9" t="str">
        <f>IF(DADOS!F4805="","",DADOS!F4805)</f>
        <v/>
      </c>
      <c r="K4805" s="6" t="str">
        <f t="shared" si="380"/>
        <v/>
      </c>
      <c r="L4805" s="7" t="str">
        <f t="shared" si="381"/>
        <v/>
      </c>
      <c r="M4805" s="7" t="str">
        <f t="shared" si="378"/>
        <v/>
      </c>
      <c r="N4805" s="7" t="str">
        <f t="shared" si="382"/>
        <v/>
      </c>
      <c r="O4805" s="8"/>
      <c r="P4805" s="26"/>
      <c r="S4805" s="10" t="str">
        <f t="shared" si="379"/>
        <v/>
      </c>
    </row>
    <row r="4806" spans="5:19" x14ac:dyDescent="0.3">
      <c r="E4806" s="9" t="str">
        <f>IF(DADOS!C4806="","",DADOS!C4806)</f>
        <v/>
      </c>
      <c r="F4806" s="9" t="str">
        <f>IF(DADOS!E4806="","",DADOS!E4806)</f>
        <v/>
      </c>
      <c r="G4806" s="9" t="str">
        <f>IF(DADOS!F4806="","",DADOS!F4806)</f>
        <v/>
      </c>
      <c r="K4806" s="6" t="str">
        <f t="shared" si="380"/>
        <v/>
      </c>
      <c r="L4806" s="7" t="str">
        <f t="shared" si="381"/>
        <v/>
      </c>
      <c r="M4806" s="7" t="str">
        <f t="shared" si="378"/>
        <v/>
      </c>
      <c r="N4806" s="7" t="str">
        <f t="shared" si="382"/>
        <v/>
      </c>
      <c r="O4806" s="8"/>
      <c r="P4806" s="26"/>
      <c r="S4806" s="10" t="str">
        <f t="shared" si="379"/>
        <v/>
      </c>
    </row>
    <row r="4807" spans="5:19" x14ac:dyDescent="0.3">
      <c r="E4807" s="9" t="str">
        <f>IF(DADOS!C4807="","",DADOS!C4807)</f>
        <v/>
      </c>
      <c r="F4807" s="9" t="str">
        <f>IF(DADOS!E4807="","",DADOS!E4807)</f>
        <v/>
      </c>
      <c r="G4807" s="9" t="str">
        <f>IF(DADOS!F4807="","",DADOS!F4807)</f>
        <v/>
      </c>
      <c r="K4807" s="6" t="str">
        <f t="shared" si="380"/>
        <v/>
      </c>
      <c r="L4807" s="7" t="str">
        <f t="shared" si="381"/>
        <v/>
      </c>
      <c r="M4807" s="7" t="str">
        <f t="shared" si="378"/>
        <v/>
      </c>
      <c r="N4807" s="7" t="str">
        <f t="shared" si="382"/>
        <v/>
      </c>
      <c r="O4807" s="8"/>
      <c r="P4807" s="26"/>
      <c r="S4807" s="10" t="str">
        <f t="shared" si="379"/>
        <v/>
      </c>
    </row>
    <row r="4808" spans="5:19" x14ac:dyDescent="0.3">
      <c r="E4808" s="9" t="str">
        <f>IF(DADOS!C4808="","",DADOS!C4808)</f>
        <v/>
      </c>
      <c r="F4808" s="9" t="str">
        <f>IF(DADOS!E4808="","",DADOS!E4808)</f>
        <v/>
      </c>
      <c r="G4808" s="9" t="str">
        <f>IF(DADOS!F4808="","",DADOS!F4808)</f>
        <v/>
      </c>
      <c r="K4808" s="6" t="str">
        <f t="shared" si="380"/>
        <v/>
      </c>
      <c r="L4808" s="7" t="str">
        <f t="shared" si="381"/>
        <v/>
      </c>
      <c r="M4808" s="7" t="str">
        <f t="shared" si="378"/>
        <v/>
      </c>
      <c r="N4808" s="7" t="str">
        <f t="shared" si="382"/>
        <v/>
      </c>
      <c r="O4808" s="8"/>
      <c r="P4808" s="26"/>
      <c r="S4808" s="10" t="str">
        <f t="shared" si="379"/>
        <v/>
      </c>
    </row>
    <row r="4809" spans="5:19" x14ac:dyDescent="0.3">
      <c r="E4809" s="9" t="str">
        <f>IF(DADOS!C4809="","",DADOS!C4809)</f>
        <v/>
      </c>
      <c r="F4809" s="9" t="str">
        <f>IF(DADOS!E4809="","",DADOS!E4809)</f>
        <v/>
      </c>
      <c r="G4809" s="9" t="str">
        <f>IF(DADOS!F4809="","",DADOS!F4809)</f>
        <v/>
      </c>
      <c r="K4809" s="6" t="str">
        <f t="shared" si="380"/>
        <v/>
      </c>
      <c r="L4809" s="7" t="str">
        <f t="shared" si="381"/>
        <v/>
      </c>
      <c r="M4809" s="7" t="str">
        <f t="shared" si="378"/>
        <v/>
      </c>
      <c r="N4809" s="7" t="str">
        <f t="shared" si="382"/>
        <v/>
      </c>
      <c r="O4809" s="8"/>
      <c r="P4809" s="26"/>
      <c r="S4809" s="10" t="str">
        <f t="shared" si="379"/>
        <v/>
      </c>
    </row>
    <row r="4810" spans="5:19" x14ac:dyDescent="0.3">
      <c r="E4810" s="9" t="str">
        <f>IF(DADOS!C4810="","",DADOS!C4810)</f>
        <v/>
      </c>
      <c r="F4810" s="9" t="str">
        <f>IF(DADOS!E4810="","",DADOS!E4810)</f>
        <v/>
      </c>
      <c r="G4810" s="9" t="str">
        <f>IF(DADOS!F4810="","",DADOS!F4810)</f>
        <v/>
      </c>
      <c r="K4810" s="6" t="str">
        <f t="shared" si="380"/>
        <v/>
      </c>
      <c r="L4810" s="7" t="str">
        <f t="shared" si="381"/>
        <v/>
      </c>
      <c r="M4810" s="7" t="str">
        <f t="shared" si="378"/>
        <v/>
      </c>
      <c r="N4810" s="7" t="str">
        <f t="shared" si="382"/>
        <v/>
      </c>
      <c r="O4810" s="8"/>
      <c r="P4810" s="26"/>
      <c r="S4810" s="10" t="str">
        <f t="shared" si="379"/>
        <v/>
      </c>
    </row>
    <row r="4811" spans="5:19" x14ac:dyDescent="0.3">
      <c r="E4811" s="9" t="str">
        <f>IF(DADOS!C4811="","",DADOS!C4811)</f>
        <v/>
      </c>
      <c r="F4811" s="9" t="str">
        <f>IF(DADOS!E4811="","",DADOS!E4811)</f>
        <v/>
      </c>
      <c r="G4811" s="9" t="str">
        <f>IF(DADOS!F4811="","",DADOS!F4811)</f>
        <v/>
      </c>
      <c r="K4811" s="6" t="str">
        <f t="shared" si="380"/>
        <v/>
      </c>
      <c r="L4811" s="7" t="str">
        <f t="shared" si="381"/>
        <v/>
      </c>
      <c r="M4811" s="7" t="str">
        <f t="shared" si="378"/>
        <v/>
      </c>
      <c r="N4811" s="7" t="str">
        <f t="shared" si="382"/>
        <v/>
      </c>
      <c r="O4811" s="8"/>
      <c r="P4811" s="26"/>
      <c r="S4811" s="10" t="str">
        <f t="shared" si="379"/>
        <v/>
      </c>
    </row>
    <row r="4812" spans="5:19" x14ac:dyDescent="0.3">
      <c r="E4812" s="9" t="str">
        <f>IF(DADOS!C4812="","",DADOS!C4812)</f>
        <v/>
      </c>
      <c r="F4812" s="9" t="str">
        <f>IF(DADOS!E4812="","",DADOS!E4812)</f>
        <v/>
      </c>
      <c r="G4812" s="9" t="str">
        <f>IF(DADOS!F4812="","",DADOS!F4812)</f>
        <v/>
      </c>
      <c r="K4812" s="6" t="str">
        <f t="shared" si="380"/>
        <v/>
      </c>
      <c r="L4812" s="7" t="str">
        <f t="shared" si="381"/>
        <v/>
      </c>
      <c r="M4812" s="7" t="str">
        <f t="shared" si="378"/>
        <v/>
      </c>
      <c r="N4812" s="7" t="str">
        <f t="shared" si="382"/>
        <v/>
      </c>
      <c r="O4812" s="8"/>
      <c r="P4812" s="26"/>
      <c r="S4812" s="10" t="str">
        <f t="shared" si="379"/>
        <v/>
      </c>
    </row>
    <row r="4813" spans="5:19" x14ac:dyDescent="0.3">
      <c r="E4813" s="9" t="str">
        <f>IF(DADOS!C4813="","",DADOS!C4813)</f>
        <v/>
      </c>
      <c r="F4813" s="9" t="str">
        <f>IF(DADOS!E4813="","",DADOS!E4813)</f>
        <v/>
      </c>
      <c r="G4813" s="9" t="str">
        <f>IF(DADOS!F4813="","",DADOS!F4813)</f>
        <v/>
      </c>
      <c r="K4813" s="6" t="str">
        <f t="shared" si="380"/>
        <v/>
      </c>
      <c r="L4813" s="7" t="str">
        <f t="shared" si="381"/>
        <v/>
      </c>
      <c r="M4813" s="7" t="str">
        <f t="shared" si="378"/>
        <v/>
      </c>
      <c r="N4813" s="7" t="str">
        <f t="shared" si="382"/>
        <v/>
      </c>
      <c r="O4813" s="8"/>
      <c r="P4813" s="26"/>
      <c r="S4813" s="10" t="str">
        <f t="shared" si="379"/>
        <v/>
      </c>
    </row>
    <row r="4814" spans="5:19" x14ac:dyDescent="0.3">
      <c r="E4814" s="9" t="str">
        <f>IF(DADOS!C4814="","",DADOS!C4814)</f>
        <v/>
      </c>
      <c r="F4814" s="9" t="str">
        <f>IF(DADOS!E4814="","",DADOS!E4814)</f>
        <v/>
      </c>
      <c r="G4814" s="9" t="str">
        <f>IF(DADOS!F4814="","",DADOS!F4814)</f>
        <v/>
      </c>
      <c r="K4814" s="6" t="str">
        <f t="shared" si="380"/>
        <v/>
      </c>
      <c r="L4814" s="7" t="str">
        <f t="shared" si="381"/>
        <v/>
      </c>
      <c r="M4814" s="7" t="str">
        <f t="shared" si="378"/>
        <v/>
      </c>
      <c r="N4814" s="7" t="str">
        <f t="shared" si="382"/>
        <v/>
      </c>
      <c r="O4814" s="8"/>
      <c r="P4814" s="26"/>
      <c r="S4814" s="10" t="str">
        <f t="shared" si="379"/>
        <v/>
      </c>
    </row>
    <row r="4815" spans="5:19" x14ac:dyDescent="0.3">
      <c r="E4815" s="9" t="str">
        <f>IF(DADOS!C4815="","",DADOS!C4815)</f>
        <v/>
      </c>
      <c r="F4815" s="9" t="str">
        <f>IF(DADOS!E4815="","",DADOS!E4815)</f>
        <v/>
      </c>
      <c r="G4815" s="9" t="str">
        <f>IF(DADOS!F4815="","",DADOS!F4815)</f>
        <v/>
      </c>
      <c r="K4815" s="6" t="str">
        <f t="shared" si="380"/>
        <v/>
      </c>
      <c r="L4815" s="7" t="str">
        <f t="shared" si="381"/>
        <v/>
      </c>
      <c r="M4815" s="7" t="str">
        <f t="shared" si="378"/>
        <v/>
      </c>
      <c r="N4815" s="7" t="str">
        <f t="shared" si="382"/>
        <v/>
      </c>
      <c r="O4815" s="8"/>
      <c r="P4815" s="26"/>
      <c r="S4815" s="10" t="str">
        <f t="shared" si="379"/>
        <v/>
      </c>
    </row>
    <row r="4816" spans="5:19" x14ac:dyDescent="0.3">
      <c r="E4816" s="9" t="str">
        <f>IF(DADOS!C4816="","",DADOS!C4816)</f>
        <v/>
      </c>
      <c r="F4816" s="9" t="str">
        <f>IF(DADOS!E4816="","",DADOS!E4816)</f>
        <v/>
      </c>
      <c r="G4816" s="9" t="str">
        <f>IF(DADOS!F4816="","",DADOS!F4816)</f>
        <v/>
      </c>
      <c r="K4816" s="6" t="str">
        <f t="shared" si="380"/>
        <v/>
      </c>
      <c r="L4816" s="7" t="str">
        <f t="shared" si="381"/>
        <v/>
      </c>
      <c r="M4816" s="7" t="str">
        <f t="shared" si="378"/>
        <v/>
      </c>
      <c r="N4816" s="7" t="str">
        <f t="shared" si="382"/>
        <v/>
      </c>
      <c r="O4816" s="8"/>
      <c r="P4816" s="26"/>
      <c r="S4816" s="10" t="str">
        <f t="shared" si="379"/>
        <v/>
      </c>
    </row>
    <row r="4817" spans="5:19" x14ac:dyDescent="0.3">
      <c r="E4817" s="9" t="str">
        <f>IF(DADOS!C4817="","",DADOS!C4817)</f>
        <v/>
      </c>
      <c r="F4817" s="9" t="str">
        <f>IF(DADOS!E4817="","",DADOS!E4817)</f>
        <v/>
      </c>
      <c r="G4817" s="9" t="str">
        <f>IF(DADOS!F4817="","",DADOS!F4817)</f>
        <v/>
      </c>
      <c r="K4817" s="6" t="str">
        <f t="shared" si="380"/>
        <v/>
      </c>
      <c r="L4817" s="7" t="str">
        <f t="shared" si="381"/>
        <v/>
      </c>
      <c r="M4817" s="7" t="str">
        <f t="shared" si="378"/>
        <v/>
      </c>
      <c r="N4817" s="7" t="str">
        <f t="shared" si="382"/>
        <v/>
      </c>
      <c r="O4817" s="8"/>
      <c r="P4817" s="26"/>
      <c r="S4817" s="10" t="str">
        <f t="shared" si="379"/>
        <v/>
      </c>
    </row>
    <row r="4818" spans="5:19" x14ac:dyDescent="0.3">
      <c r="E4818" s="9" t="str">
        <f>IF(DADOS!C4818="","",DADOS!C4818)</f>
        <v/>
      </c>
      <c r="F4818" s="9" t="str">
        <f>IF(DADOS!E4818="","",DADOS!E4818)</f>
        <v/>
      </c>
      <c r="G4818" s="9" t="str">
        <f>IF(DADOS!F4818="","",DADOS!F4818)</f>
        <v/>
      </c>
      <c r="K4818" s="6" t="str">
        <f t="shared" si="380"/>
        <v/>
      </c>
      <c r="L4818" s="7" t="str">
        <f t="shared" si="381"/>
        <v/>
      </c>
      <c r="M4818" s="7" t="str">
        <f t="shared" si="378"/>
        <v/>
      </c>
      <c r="N4818" s="7" t="str">
        <f t="shared" si="382"/>
        <v/>
      </c>
      <c r="O4818" s="8"/>
      <c r="P4818" s="26"/>
      <c r="S4818" s="10" t="str">
        <f t="shared" si="379"/>
        <v/>
      </c>
    </row>
    <row r="4819" spans="5:19" x14ac:dyDescent="0.3">
      <c r="E4819" s="9" t="str">
        <f>IF(DADOS!C4819="","",DADOS!C4819)</f>
        <v/>
      </c>
      <c r="F4819" s="9" t="str">
        <f>IF(DADOS!E4819="","",DADOS!E4819)</f>
        <v/>
      </c>
      <c r="G4819" s="9" t="str">
        <f>IF(DADOS!F4819="","",DADOS!F4819)</f>
        <v/>
      </c>
      <c r="K4819" s="6" t="str">
        <f t="shared" si="380"/>
        <v/>
      </c>
      <c r="L4819" s="7" t="str">
        <f t="shared" si="381"/>
        <v/>
      </c>
      <c r="M4819" s="7" t="str">
        <f t="shared" si="378"/>
        <v/>
      </c>
      <c r="N4819" s="7" t="str">
        <f t="shared" si="382"/>
        <v/>
      </c>
      <c r="O4819" s="8"/>
      <c r="P4819" s="26"/>
      <c r="S4819" s="10" t="str">
        <f t="shared" si="379"/>
        <v/>
      </c>
    </row>
    <row r="4820" spans="5:19" x14ac:dyDescent="0.3">
      <c r="E4820" s="9" t="str">
        <f>IF(DADOS!C4820="","",DADOS!C4820)</f>
        <v/>
      </c>
      <c r="F4820" s="9" t="str">
        <f>IF(DADOS!E4820="","",DADOS!E4820)</f>
        <v/>
      </c>
      <c r="G4820" s="9" t="str">
        <f>IF(DADOS!F4820="","",DADOS!F4820)</f>
        <v/>
      </c>
      <c r="K4820" s="6" t="str">
        <f t="shared" si="380"/>
        <v/>
      </c>
      <c r="L4820" s="7" t="str">
        <f t="shared" si="381"/>
        <v/>
      </c>
      <c r="M4820" s="7" t="str">
        <f t="shared" si="378"/>
        <v/>
      </c>
      <c r="N4820" s="7" t="str">
        <f t="shared" si="382"/>
        <v/>
      </c>
      <c r="O4820" s="8"/>
      <c r="P4820" s="26"/>
      <c r="S4820" s="10" t="str">
        <f t="shared" si="379"/>
        <v/>
      </c>
    </row>
    <row r="4821" spans="5:19" x14ac:dyDescent="0.3">
      <c r="E4821" s="9" t="str">
        <f>IF(DADOS!C4821="","",DADOS!C4821)</f>
        <v/>
      </c>
      <c r="F4821" s="9" t="str">
        <f>IF(DADOS!E4821="","",DADOS!E4821)</f>
        <v/>
      </c>
      <c r="G4821" s="9" t="str">
        <f>IF(DADOS!F4821="","",DADOS!F4821)</f>
        <v/>
      </c>
      <c r="K4821" s="6" t="str">
        <f t="shared" si="380"/>
        <v/>
      </c>
      <c r="L4821" s="7" t="str">
        <f t="shared" si="381"/>
        <v/>
      </c>
      <c r="M4821" s="7" t="str">
        <f t="shared" si="378"/>
        <v/>
      </c>
      <c r="N4821" s="7" t="str">
        <f t="shared" si="382"/>
        <v/>
      </c>
      <c r="O4821" s="8"/>
      <c r="P4821" s="26"/>
      <c r="S4821" s="10" t="str">
        <f t="shared" si="379"/>
        <v/>
      </c>
    </row>
    <row r="4822" spans="5:19" x14ac:dyDescent="0.3">
      <c r="E4822" s="9" t="str">
        <f>IF(DADOS!C4822="","",DADOS!C4822)</f>
        <v/>
      </c>
      <c r="F4822" s="9" t="str">
        <f>IF(DADOS!E4822="","",DADOS!E4822)</f>
        <v/>
      </c>
      <c r="G4822" s="9" t="str">
        <f>IF(DADOS!F4822="","",DADOS!F4822)</f>
        <v/>
      </c>
      <c r="K4822" s="6" t="str">
        <f t="shared" si="380"/>
        <v/>
      </c>
      <c r="L4822" s="7" t="str">
        <f t="shared" si="381"/>
        <v/>
      </c>
      <c r="M4822" s="7" t="str">
        <f t="shared" si="378"/>
        <v/>
      </c>
      <c r="N4822" s="7" t="str">
        <f t="shared" si="382"/>
        <v/>
      </c>
      <c r="O4822" s="8"/>
      <c r="P4822" s="26"/>
      <c r="S4822" s="10" t="str">
        <f t="shared" si="379"/>
        <v/>
      </c>
    </row>
    <row r="4823" spans="5:19" x14ac:dyDescent="0.3">
      <c r="E4823" s="9" t="str">
        <f>IF(DADOS!C4823="","",DADOS!C4823)</f>
        <v/>
      </c>
      <c r="F4823" s="9" t="str">
        <f>IF(DADOS!E4823="","",DADOS!E4823)</f>
        <v/>
      </c>
      <c r="G4823" s="9" t="str">
        <f>IF(DADOS!F4823="","",DADOS!F4823)</f>
        <v/>
      </c>
      <c r="K4823" s="6" t="str">
        <f t="shared" si="380"/>
        <v/>
      </c>
      <c r="L4823" s="7" t="str">
        <f t="shared" si="381"/>
        <v/>
      </c>
      <c r="M4823" s="7" t="str">
        <f t="shared" si="378"/>
        <v/>
      </c>
      <c r="N4823" s="7" t="str">
        <f t="shared" si="382"/>
        <v/>
      </c>
      <c r="O4823" s="8"/>
      <c r="P4823" s="26"/>
      <c r="S4823" s="10" t="str">
        <f t="shared" si="379"/>
        <v/>
      </c>
    </row>
    <row r="4824" spans="5:19" x14ac:dyDescent="0.3">
      <c r="E4824" s="9" t="str">
        <f>IF(DADOS!C4824="","",DADOS!C4824)</f>
        <v/>
      </c>
      <c r="F4824" s="9" t="str">
        <f>IF(DADOS!E4824="","",DADOS!E4824)</f>
        <v/>
      </c>
      <c r="G4824" s="9" t="str">
        <f>IF(DADOS!F4824="","",DADOS!F4824)</f>
        <v/>
      </c>
      <c r="K4824" s="6" t="str">
        <f t="shared" si="380"/>
        <v/>
      </c>
      <c r="L4824" s="7" t="str">
        <f t="shared" si="381"/>
        <v/>
      </c>
      <c r="M4824" s="7" t="str">
        <f t="shared" si="378"/>
        <v/>
      </c>
      <c r="N4824" s="7" t="str">
        <f t="shared" si="382"/>
        <v/>
      </c>
      <c r="O4824" s="8"/>
      <c r="P4824" s="26"/>
      <c r="S4824" s="10" t="str">
        <f t="shared" si="379"/>
        <v/>
      </c>
    </row>
    <row r="4825" spans="5:19" x14ac:dyDescent="0.3">
      <c r="E4825" s="9" t="str">
        <f>IF(DADOS!C4825="","",DADOS!C4825)</f>
        <v/>
      </c>
      <c r="F4825" s="9" t="str">
        <f>IF(DADOS!E4825="","",DADOS!E4825)</f>
        <v/>
      </c>
      <c r="G4825" s="9" t="str">
        <f>IF(DADOS!F4825="","",DADOS!F4825)</f>
        <v/>
      </c>
      <c r="K4825" s="6" t="str">
        <f t="shared" si="380"/>
        <v/>
      </c>
      <c r="L4825" s="7" t="str">
        <f t="shared" si="381"/>
        <v/>
      </c>
      <c r="M4825" s="7" t="str">
        <f t="shared" si="378"/>
        <v/>
      </c>
      <c r="N4825" s="7" t="str">
        <f t="shared" si="382"/>
        <v/>
      </c>
      <c r="O4825" s="8"/>
      <c r="P4825" s="26"/>
      <c r="S4825" s="10" t="str">
        <f t="shared" si="379"/>
        <v/>
      </c>
    </row>
    <row r="4826" spans="5:19" x14ac:dyDescent="0.3">
      <c r="E4826" s="9" t="str">
        <f>IF(DADOS!C4826="","",DADOS!C4826)</f>
        <v/>
      </c>
      <c r="F4826" s="9" t="str">
        <f>IF(DADOS!E4826="","",DADOS!E4826)</f>
        <v/>
      </c>
      <c r="G4826" s="9" t="str">
        <f>IF(DADOS!F4826="","",DADOS!F4826)</f>
        <v/>
      </c>
      <c r="K4826" s="6" t="str">
        <f t="shared" si="380"/>
        <v/>
      </c>
      <c r="L4826" s="7" t="str">
        <f t="shared" si="381"/>
        <v/>
      </c>
      <c r="M4826" s="7" t="str">
        <f t="shared" si="378"/>
        <v/>
      </c>
      <c r="N4826" s="7" t="str">
        <f t="shared" si="382"/>
        <v/>
      </c>
      <c r="O4826" s="8"/>
      <c r="P4826" s="26"/>
      <c r="S4826" s="10" t="str">
        <f t="shared" si="379"/>
        <v/>
      </c>
    </row>
    <row r="4827" spans="5:19" x14ac:dyDescent="0.3">
      <c r="E4827" s="9" t="str">
        <f>IF(DADOS!C4827="","",DADOS!C4827)</f>
        <v/>
      </c>
      <c r="F4827" s="9" t="str">
        <f>IF(DADOS!E4827="","",DADOS!E4827)</f>
        <v/>
      </c>
      <c r="G4827" s="9" t="str">
        <f>IF(DADOS!F4827="","",DADOS!F4827)</f>
        <v/>
      </c>
      <c r="K4827" s="6" t="str">
        <f t="shared" si="380"/>
        <v/>
      </c>
      <c r="L4827" s="7" t="str">
        <f t="shared" si="381"/>
        <v/>
      </c>
      <c r="M4827" s="7" t="str">
        <f t="shared" si="378"/>
        <v/>
      </c>
      <c r="N4827" s="7" t="str">
        <f t="shared" si="382"/>
        <v/>
      </c>
      <c r="O4827" s="8"/>
      <c r="P4827" s="26"/>
      <c r="S4827" s="10" t="str">
        <f t="shared" si="379"/>
        <v/>
      </c>
    </row>
    <row r="4828" spans="5:19" x14ac:dyDescent="0.3">
      <c r="E4828" s="9" t="str">
        <f>IF(DADOS!C4828="","",DADOS!C4828)</f>
        <v/>
      </c>
      <c r="F4828" s="9" t="str">
        <f>IF(DADOS!E4828="","",DADOS!E4828)</f>
        <v/>
      </c>
      <c r="G4828" s="9" t="str">
        <f>IF(DADOS!F4828="","",DADOS!F4828)</f>
        <v/>
      </c>
      <c r="K4828" s="6" t="str">
        <f t="shared" si="380"/>
        <v/>
      </c>
      <c r="L4828" s="7" t="str">
        <f t="shared" si="381"/>
        <v/>
      </c>
      <c r="M4828" s="7" t="str">
        <f t="shared" si="378"/>
        <v/>
      </c>
      <c r="N4828" s="7" t="str">
        <f t="shared" si="382"/>
        <v/>
      </c>
      <c r="O4828" s="8"/>
      <c r="P4828" s="26"/>
      <c r="S4828" s="10" t="str">
        <f t="shared" si="379"/>
        <v/>
      </c>
    </row>
    <row r="4829" spans="5:19" x14ac:dyDescent="0.3">
      <c r="E4829" s="9" t="str">
        <f>IF(DADOS!C4829="","",DADOS!C4829)</f>
        <v/>
      </c>
      <c r="F4829" s="9" t="str">
        <f>IF(DADOS!E4829="","",DADOS!E4829)</f>
        <v/>
      </c>
      <c r="G4829" s="9" t="str">
        <f>IF(DADOS!F4829="","",DADOS!F4829)</f>
        <v/>
      </c>
      <c r="K4829" s="6" t="str">
        <f t="shared" si="380"/>
        <v/>
      </c>
      <c r="L4829" s="7" t="str">
        <f t="shared" si="381"/>
        <v/>
      </c>
      <c r="M4829" s="7" t="str">
        <f t="shared" si="378"/>
        <v/>
      </c>
      <c r="N4829" s="7" t="str">
        <f t="shared" si="382"/>
        <v/>
      </c>
      <c r="O4829" s="8"/>
      <c r="P4829" s="26"/>
      <c r="S4829" s="10" t="str">
        <f t="shared" si="379"/>
        <v/>
      </c>
    </row>
    <row r="4830" spans="5:19" x14ac:dyDescent="0.3">
      <c r="E4830" s="9" t="str">
        <f>IF(DADOS!C4830="","",DADOS!C4830)</f>
        <v/>
      </c>
      <c r="F4830" s="9" t="str">
        <f>IF(DADOS!E4830="","",DADOS!E4830)</f>
        <v/>
      </c>
      <c r="G4830" s="9" t="str">
        <f>IF(DADOS!F4830="","",DADOS!F4830)</f>
        <v/>
      </c>
      <c r="K4830" s="6" t="str">
        <f t="shared" si="380"/>
        <v/>
      </c>
      <c r="L4830" s="7" t="str">
        <f t="shared" si="381"/>
        <v/>
      </c>
      <c r="M4830" s="7" t="str">
        <f t="shared" si="378"/>
        <v/>
      </c>
      <c r="N4830" s="7" t="str">
        <f t="shared" si="382"/>
        <v/>
      </c>
      <c r="O4830" s="8"/>
      <c r="P4830" s="26"/>
      <c r="S4830" s="10" t="str">
        <f t="shared" si="379"/>
        <v/>
      </c>
    </row>
    <row r="4831" spans="5:19" x14ac:dyDescent="0.3">
      <c r="E4831" s="9" t="str">
        <f>IF(DADOS!C4831="","",DADOS!C4831)</f>
        <v/>
      </c>
      <c r="F4831" s="9" t="str">
        <f>IF(DADOS!E4831="","",DADOS!E4831)</f>
        <v/>
      </c>
      <c r="G4831" s="9" t="str">
        <f>IF(DADOS!F4831="","",DADOS!F4831)</f>
        <v/>
      </c>
      <c r="K4831" s="6" t="str">
        <f t="shared" si="380"/>
        <v/>
      </c>
      <c r="L4831" s="7" t="str">
        <f t="shared" si="381"/>
        <v/>
      </c>
      <c r="M4831" s="7" t="str">
        <f t="shared" si="378"/>
        <v/>
      </c>
      <c r="N4831" s="7" t="str">
        <f t="shared" si="382"/>
        <v/>
      </c>
      <c r="O4831" s="8"/>
      <c r="P4831" s="26"/>
      <c r="S4831" s="10" t="str">
        <f t="shared" si="379"/>
        <v/>
      </c>
    </row>
    <row r="4832" spans="5:19" x14ac:dyDescent="0.3">
      <c r="E4832" s="9" t="str">
        <f>IF(DADOS!C4832="","",DADOS!C4832)</f>
        <v/>
      </c>
      <c r="F4832" s="9" t="str">
        <f>IF(DADOS!E4832="","",DADOS!E4832)</f>
        <v/>
      </c>
      <c r="G4832" s="9" t="str">
        <f>IF(DADOS!F4832="","",DADOS!F4832)</f>
        <v/>
      </c>
      <c r="K4832" s="6" t="str">
        <f t="shared" si="380"/>
        <v/>
      </c>
      <c r="L4832" s="7" t="str">
        <f t="shared" si="381"/>
        <v/>
      </c>
      <c r="M4832" s="7" t="str">
        <f t="shared" si="378"/>
        <v/>
      </c>
      <c r="N4832" s="7" t="str">
        <f t="shared" si="382"/>
        <v/>
      </c>
      <c r="O4832" s="8"/>
      <c r="P4832" s="26"/>
      <c r="S4832" s="10" t="str">
        <f t="shared" si="379"/>
        <v/>
      </c>
    </row>
    <row r="4833" spans="5:19" x14ac:dyDescent="0.3">
      <c r="E4833" s="9" t="str">
        <f>IF(DADOS!C4833="","",DADOS!C4833)</f>
        <v/>
      </c>
      <c r="F4833" s="9" t="str">
        <f>IF(DADOS!E4833="","",DADOS!E4833)</f>
        <v/>
      </c>
      <c r="G4833" s="9" t="str">
        <f>IF(DADOS!F4833="","",DADOS!F4833)</f>
        <v/>
      </c>
      <c r="K4833" s="6" t="str">
        <f t="shared" si="380"/>
        <v/>
      </c>
      <c r="L4833" s="7" t="str">
        <f t="shared" si="381"/>
        <v/>
      </c>
      <c r="M4833" s="7" t="str">
        <f t="shared" si="378"/>
        <v/>
      </c>
      <c r="N4833" s="7" t="str">
        <f t="shared" si="382"/>
        <v/>
      </c>
      <c r="O4833" s="8"/>
      <c r="P4833" s="26"/>
      <c r="S4833" s="10" t="str">
        <f t="shared" si="379"/>
        <v/>
      </c>
    </row>
    <row r="4834" spans="5:19" x14ac:dyDescent="0.3">
      <c r="E4834" s="9" t="str">
        <f>IF(DADOS!C4834="","",DADOS!C4834)</f>
        <v/>
      </c>
      <c r="F4834" s="9" t="str">
        <f>IF(DADOS!E4834="","",DADOS!E4834)</f>
        <v/>
      </c>
      <c r="G4834" s="9" t="str">
        <f>IF(DADOS!F4834="","",DADOS!F4834)</f>
        <v/>
      </c>
      <c r="K4834" s="6" t="str">
        <f t="shared" si="380"/>
        <v/>
      </c>
      <c r="L4834" s="7" t="str">
        <f t="shared" si="381"/>
        <v/>
      </c>
      <c r="M4834" s="7" t="str">
        <f t="shared" si="378"/>
        <v/>
      </c>
      <c r="N4834" s="7" t="str">
        <f t="shared" si="382"/>
        <v/>
      </c>
      <c r="O4834" s="8"/>
      <c r="P4834" s="26"/>
      <c r="S4834" s="10" t="str">
        <f t="shared" si="379"/>
        <v/>
      </c>
    </row>
    <row r="4835" spans="5:19" x14ac:dyDescent="0.3">
      <c r="E4835" s="9" t="str">
        <f>IF(DADOS!C4835="","",DADOS!C4835)</f>
        <v/>
      </c>
      <c r="F4835" s="9" t="str">
        <f>IF(DADOS!E4835="","",DADOS!E4835)</f>
        <v/>
      </c>
      <c r="G4835" s="9" t="str">
        <f>IF(DADOS!F4835="","",DADOS!F4835)</f>
        <v/>
      </c>
      <c r="K4835" s="6" t="str">
        <f t="shared" si="380"/>
        <v/>
      </c>
      <c r="L4835" s="7" t="str">
        <f t="shared" si="381"/>
        <v/>
      </c>
      <c r="M4835" s="7" t="str">
        <f t="shared" si="378"/>
        <v/>
      </c>
      <c r="N4835" s="7" t="str">
        <f t="shared" si="382"/>
        <v/>
      </c>
      <c r="O4835" s="8"/>
      <c r="P4835" s="26"/>
      <c r="S4835" s="10" t="str">
        <f t="shared" si="379"/>
        <v/>
      </c>
    </row>
    <row r="4836" spans="5:19" x14ac:dyDescent="0.3">
      <c r="E4836" s="9" t="str">
        <f>IF(DADOS!C4836="","",DADOS!C4836)</f>
        <v/>
      </c>
      <c r="F4836" s="9" t="str">
        <f>IF(DADOS!E4836="","",DADOS!E4836)</f>
        <v/>
      </c>
      <c r="G4836" s="9" t="str">
        <f>IF(DADOS!F4836="","",DADOS!F4836)</f>
        <v/>
      </c>
      <c r="K4836" s="6" t="str">
        <f t="shared" si="380"/>
        <v/>
      </c>
      <c r="L4836" s="7" t="str">
        <f t="shared" si="381"/>
        <v/>
      </c>
      <c r="M4836" s="7" t="str">
        <f t="shared" si="378"/>
        <v/>
      </c>
      <c r="N4836" s="7" t="str">
        <f t="shared" si="382"/>
        <v/>
      </c>
      <c r="O4836" s="8"/>
      <c r="P4836" s="26"/>
      <c r="S4836" s="10" t="str">
        <f t="shared" si="379"/>
        <v/>
      </c>
    </row>
    <row r="4837" spans="5:19" x14ac:dyDescent="0.3">
      <c r="E4837" s="9" t="str">
        <f>IF(DADOS!C4837="","",DADOS!C4837)</f>
        <v/>
      </c>
      <c r="F4837" s="9" t="str">
        <f>IF(DADOS!E4837="","",DADOS!E4837)</f>
        <v/>
      </c>
      <c r="G4837" s="9" t="str">
        <f>IF(DADOS!F4837="","",DADOS!F4837)</f>
        <v/>
      </c>
      <c r="K4837" s="6" t="str">
        <f t="shared" si="380"/>
        <v/>
      </c>
      <c r="L4837" s="7" t="str">
        <f t="shared" si="381"/>
        <v/>
      </c>
      <c r="M4837" s="7" t="str">
        <f t="shared" si="378"/>
        <v/>
      </c>
      <c r="N4837" s="7" t="str">
        <f t="shared" si="382"/>
        <v/>
      </c>
      <c r="O4837" s="8"/>
      <c r="P4837" s="26"/>
      <c r="S4837" s="10" t="str">
        <f t="shared" si="379"/>
        <v/>
      </c>
    </row>
    <row r="4838" spans="5:19" x14ac:dyDescent="0.3">
      <c r="E4838" s="9" t="str">
        <f>IF(DADOS!C4838="","",DADOS!C4838)</f>
        <v/>
      </c>
      <c r="F4838" s="9" t="str">
        <f>IF(DADOS!E4838="","",DADOS!E4838)</f>
        <v/>
      </c>
      <c r="G4838" s="9" t="str">
        <f>IF(DADOS!F4838="","",DADOS!F4838)</f>
        <v/>
      </c>
      <c r="K4838" s="6" t="str">
        <f t="shared" si="380"/>
        <v/>
      </c>
      <c r="L4838" s="7" t="str">
        <f t="shared" si="381"/>
        <v/>
      </c>
      <c r="M4838" s="7" t="str">
        <f t="shared" si="378"/>
        <v/>
      </c>
      <c r="N4838" s="7" t="str">
        <f t="shared" si="382"/>
        <v/>
      </c>
      <c r="O4838" s="8"/>
      <c r="P4838" s="26"/>
      <c r="S4838" s="10" t="str">
        <f t="shared" si="379"/>
        <v/>
      </c>
    </row>
    <row r="4839" spans="5:19" x14ac:dyDescent="0.3">
      <c r="E4839" s="9" t="str">
        <f>IF(DADOS!C4839="","",DADOS!C4839)</f>
        <v/>
      </c>
      <c r="F4839" s="9" t="str">
        <f>IF(DADOS!E4839="","",DADOS!E4839)</f>
        <v/>
      </c>
      <c r="G4839" s="9" t="str">
        <f>IF(DADOS!F4839="","",DADOS!F4839)</f>
        <v/>
      </c>
      <c r="K4839" s="6" t="str">
        <f t="shared" si="380"/>
        <v/>
      </c>
      <c r="L4839" s="7" t="str">
        <f t="shared" si="381"/>
        <v/>
      </c>
      <c r="M4839" s="7" t="str">
        <f t="shared" si="378"/>
        <v/>
      </c>
      <c r="N4839" s="7" t="str">
        <f t="shared" si="382"/>
        <v/>
      </c>
      <c r="O4839" s="8"/>
      <c r="P4839" s="26"/>
      <c r="S4839" s="10" t="str">
        <f t="shared" si="379"/>
        <v/>
      </c>
    </row>
    <row r="4840" spans="5:19" x14ac:dyDescent="0.3">
      <c r="E4840" s="9" t="str">
        <f>IF(DADOS!C4840="","",DADOS!C4840)</f>
        <v/>
      </c>
      <c r="F4840" s="9" t="str">
        <f>IF(DADOS!E4840="","",DADOS!E4840)</f>
        <v/>
      </c>
      <c r="G4840" s="9" t="str">
        <f>IF(DADOS!F4840="","",DADOS!F4840)</f>
        <v/>
      </c>
      <c r="K4840" s="6" t="str">
        <f t="shared" si="380"/>
        <v/>
      </c>
      <c r="L4840" s="7" t="str">
        <f t="shared" si="381"/>
        <v/>
      </c>
      <c r="M4840" s="7" t="str">
        <f t="shared" si="378"/>
        <v/>
      </c>
      <c r="N4840" s="7" t="str">
        <f t="shared" si="382"/>
        <v/>
      </c>
      <c r="O4840" s="8"/>
      <c r="P4840" s="26"/>
      <c r="S4840" s="10" t="str">
        <f t="shared" si="379"/>
        <v/>
      </c>
    </row>
    <row r="4841" spans="5:19" x14ac:dyDescent="0.3">
      <c r="E4841" s="9" t="str">
        <f>IF(DADOS!C4841="","",DADOS!C4841)</f>
        <v/>
      </c>
      <c r="F4841" s="9" t="str">
        <f>IF(DADOS!E4841="","",DADOS!E4841)</f>
        <v/>
      </c>
      <c r="G4841" s="9" t="str">
        <f>IF(DADOS!F4841="","",DADOS!F4841)</f>
        <v/>
      </c>
      <c r="K4841" s="6" t="str">
        <f t="shared" si="380"/>
        <v/>
      </c>
      <c r="L4841" s="7" t="str">
        <f t="shared" si="381"/>
        <v/>
      </c>
      <c r="M4841" s="7" t="str">
        <f t="shared" si="378"/>
        <v/>
      </c>
      <c r="N4841" s="7" t="str">
        <f t="shared" si="382"/>
        <v/>
      </c>
      <c r="O4841" s="8"/>
      <c r="P4841" s="26"/>
      <c r="S4841" s="10" t="str">
        <f t="shared" si="379"/>
        <v/>
      </c>
    </row>
    <row r="4842" spans="5:19" x14ac:dyDescent="0.3">
      <c r="E4842" s="9" t="str">
        <f>IF(DADOS!C4842="","",DADOS!C4842)</f>
        <v/>
      </c>
      <c r="F4842" s="9" t="str">
        <f>IF(DADOS!E4842="","",DADOS!E4842)</f>
        <v/>
      </c>
      <c r="G4842" s="9" t="str">
        <f>IF(DADOS!F4842="","",DADOS!F4842)</f>
        <v/>
      </c>
      <c r="K4842" s="6" t="str">
        <f t="shared" si="380"/>
        <v/>
      </c>
      <c r="L4842" s="7" t="str">
        <f t="shared" si="381"/>
        <v/>
      </c>
      <c r="M4842" s="7" t="str">
        <f t="shared" si="378"/>
        <v/>
      </c>
      <c r="N4842" s="7" t="str">
        <f t="shared" si="382"/>
        <v/>
      </c>
      <c r="O4842" s="8"/>
      <c r="P4842" s="26"/>
      <c r="S4842" s="10" t="str">
        <f t="shared" si="379"/>
        <v/>
      </c>
    </row>
    <row r="4843" spans="5:19" x14ac:dyDescent="0.3">
      <c r="E4843" s="9" t="str">
        <f>IF(DADOS!C4843="","",DADOS!C4843)</f>
        <v/>
      </c>
      <c r="F4843" s="9" t="str">
        <f>IF(DADOS!E4843="","",DADOS!E4843)</f>
        <v/>
      </c>
      <c r="G4843" s="9" t="str">
        <f>IF(DADOS!F4843="","",DADOS!F4843)</f>
        <v/>
      </c>
      <c r="K4843" s="6" t="str">
        <f t="shared" si="380"/>
        <v/>
      </c>
      <c r="L4843" s="7" t="str">
        <f t="shared" si="381"/>
        <v/>
      </c>
      <c r="M4843" s="7" t="str">
        <f t="shared" si="378"/>
        <v/>
      </c>
      <c r="N4843" s="7" t="str">
        <f t="shared" si="382"/>
        <v/>
      </c>
      <c r="O4843" s="8"/>
      <c r="P4843" s="26"/>
      <c r="S4843" s="10" t="str">
        <f t="shared" si="379"/>
        <v/>
      </c>
    </row>
    <row r="4844" spans="5:19" x14ac:dyDescent="0.3">
      <c r="E4844" s="9" t="str">
        <f>IF(DADOS!C4844="","",DADOS!C4844)</f>
        <v/>
      </c>
      <c r="F4844" s="9" t="str">
        <f>IF(DADOS!E4844="","",DADOS!E4844)</f>
        <v/>
      </c>
      <c r="G4844" s="9" t="str">
        <f>IF(DADOS!F4844="","",DADOS!F4844)</f>
        <v/>
      </c>
      <c r="K4844" s="6" t="str">
        <f t="shared" si="380"/>
        <v/>
      </c>
      <c r="L4844" s="7" t="str">
        <f t="shared" si="381"/>
        <v/>
      </c>
      <c r="M4844" s="7" t="str">
        <f t="shared" si="378"/>
        <v/>
      </c>
      <c r="N4844" s="7" t="str">
        <f t="shared" si="382"/>
        <v/>
      </c>
      <c r="O4844" s="8"/>
      <c r="P4844" s="26"/>
      <c r="S4844" s="10" t="str">
        <f t="shared" si="379"/>
        <v/>
      </c>
    </row>
    <row r="4845" spans="5:19" x14ac:dyDescent="0.3">
      <c r="E4845" s="9" t="str">
        <f>IF(DADOS!C4845="","",DADOS!C4845)</f>
        <v/>
      </c>
      <c r="F4845" s="9" t="str">
        <f>IF(DADOS!E4845="","",DADOS!E4845)</f>
        <v/>
      </c>
      <c r="G4845" s="9" t="str">
        <f>IF(DADOS!F4845="","",DADOS!F4845)</f>
        <v/>
      </c>
      <c r="K4845" s="6" t="str">
        <f t="shared" si="380"/>
        <v/>
      </c>
      <c r="L4845" s="7" t="str">
        <f t="shared" si="381"/>
        <v/>
      </c>
      <c r="M4845" s="7" t="str">
        <f t="shared" si="378"/>
        <v/>
      </c>
      <c r="N4845" s="7" t="str">
        <f t="shared" si="382"/>
        <v/>
      </c>
      <c r="O4845" s="8"/>
      <c r="P4845" s="26"/>
      <c r="S4845" s="10" t="str">
        <f t="shared" si="379"/>
        <v/>
      </c>
    </row>
    <row r="4846" spans="5:19" x14ac:dyDescent="0.3">
      <c r="E4846" s="9" t="str">
        <f>IF(DADOS!C4846="","",DADOS!C4846)</f>
        <v/>
      </c>
      <c r="F4846" s="9" t="str">
        <f>IF(DADOS!E4846="","",DADOS!E4846)</f>
        <v/>
      </c>
      <c r="G4846" s="9" t="str">
        <f>IF(DADOS!F4846="","",DADOS!F4846)</f>
        <v/>
      </c>
      <c r="K4846" s="6" t="str">
        <f t="shared" si="380"/>
        <v/>
      </c>
      <c r="L4846" s="7" t="str">
        <f t="shared" si="381"/>
        <v/>
      </c>
      <c r="M4846" s="7" t="str">
        <f t="shared" si="378"/>
        <v/>
      </c>
      <c r="N4846" s="7" t="str">
        <f t="shared" si="382"/>
        <v/>
      </c>
      <c r="O4846" s="8"/>
      <c r="P4846" s="26"/>
      <c r="S4846" s="10" t="str">
        <f t="shared" si="379"/>
        <v/>
      </c>
    </row>
    <row r="4847" spans="5:19" x14ac:dyDescent="0.3">
      <c r="E4847" s="9" t="str">
        <f>IF(DADOS!C4847="","",DADOS!C4847)</f>
        <v/>
      </c>
      <c r="F4847" s="9" t="str">
        <f>IF(DADOS!E4847="","",DADOS!E4847)</f>
        <v/>
      </c>
      <c r="G4847" s="9" t="str">
        <f>IF(DADOS!F4847="","",DADOS!F4847)</f>
        <v/>
      </c>
      <c r="K4847" s="6" t="str">
        <f t="shared" si="380"/>
        <v/>
      </c>
      <c r="L4847" s="7" t="str">
        <f t="shared" si="381"/>
        <v/>
      </c>
      <c r="M4847" s="7" t="str">
        <f t="shared" si="378"/>
        <v/>
      </c>
      <c r="N4847" s="7" t="str">
        <f t="shared" si="382"/>
        <v/>
      </c>
      <c r="O4847" s="8"/>
      <c r="P4847" s="26"/>
      <c r="S4847" s="10" t="str">
        <f t="shared" si="379"/>
        <v/>
      </c>
    </row>
    <row r="4848" spans="5:19" x14ac:dyDescent="0.3">
      <c r="E4848" s="9" t="str">
        <f>IF(DADOS!C4848="","",DADOS!C4848)</f>
        <v/>
      </c>
      <c r="F4848" s="9" t="str">
        <f>IF(DADOS!E4848="","",DADOS!E4848)</f>
        <v/>
      </c>
      <c r="G4848" s="9" t="str">
        <f>IF(DADOS!F4848="","",DADOS!F4848)</f>
        <v/>
      </c>
      <c r="K4848" s="6" t="str">
        <f t="shared" si="380"/>
        <v/>
      </c>
      <c r="L4848" s="7" t="str">
        <f t="shared" si="381"/>
        <v/>
      </c>
      <c r="M4848" s="7" t="str">
        <f t="shared" si="378"/>
        <v/>
      </c>
      <c r="N4848" s="7" t="str">
        <f t="shared" si="382"/>
        <v/>
      </c>
      <c r="O4848" s="8"/>
      <c r="P4848" s="26"/>
      <c r="S4848" s="10" t="str">
        <f t="shared" si="379"/>
        <v/>
      </c>
    </row>
    <row r="4849" spans="5:19" x14ac:dyDescent="0.3">
      <c r="E4849" s="9" t="str">
        <f>IF(DADOS!C4849="","",DADOS!C4849)</f>
        <v/>
      </c>
      <c r="F4849" s="9" t="str">
        <f>IF(DADOS!E4849="","",DADOS!E4849)</f>
        <v/>
      </c>
      <c r="G4849" s="9" t="str">
        <f>IF(DADOS!F4849="","",DADOS!F4849)</f>
        <v/>
      </c>
      <c r="K4849" s="6" t="str">
        <f t="shared" si="380"/>
        <v/>
      </c>
      <c r="L4849" s="7" t="str">
        <f t="shared" si="381"/>
        <v/>
      </c>
      <c r="M4849" s="7" t="str">
        <f t="shared" si="378"/>
        <v/>
      </c>
      <c r="N4849" s="7" t="str">
        <f t="shared" si="382"/>
        <v/>
      </c>
      <c r="O4849" s="8"/>
      <c r="P4849" s="26"/>
      <c r="S4849" s="10" t="str">
        <f t="shared" si="379"/>
        <v/>
      </c>
    </row>
    <row r="4850" spans="5:19" x14ac:dyDescent="0.3">
      <c r="E4850" s="9" t="str">
        <f>IF(DADOS!C4850="","",DADOS!C4850)</f>
        <v/>
      </c>
      <c r="F4850" s="9" t="str">
        <f>IF(DADOS!E4850="","",DADOS!E4850)</f>
        <v/>
      </c>
      <c r="G4850" s="9" t="str">
        <f>IF(DADOS!F4850="","",DADOS!F4850)</f>
        <v/>
      </c>
      <c r="K4850" s="6" t="str">
        <f t="shared" si="380"/>
        <v/>
      </c>
      <c r="L4850" s="7" t="str">
        <f t="shared" si="381"/>
        <v/>
      </c>
      <c r="M4850" s="7" t="str">
        <f t="shared" si="378"/>
        <v/>
      </c>
      <c r="N4850" s="7" t="str">
        <f t="shared" si="382"/>
        <v/>
      </c>
      <c r="O4850" s="8"/>
      <c r="P4850" s="26"/>
      <c r="S4850" s="10" t="str">
        <f t="shared" si="379"/>
        <v/>
      </c>
    </row>
    <row r="4851" spans="5:19" x14ac:dyDescent="0.3">
      <c r="E4851" s="9" t="str">
        <f>IF(DADOS!C4851="","",DADOS!C4851)</f>
        <v/>
      </c>
      <c r="F4851" s="9" t="str">
        <f>IF(DADOS!E4851="","",DADOS!E4851)</f>
        <v/>
      </c>
      <c r="G4851" s="9" t="str">
        <f>IF(DADOS!F4851="","",DADOS!F4851)</f>
        <v/>
      </c>
      <c r="K4851" s="6" t="str">
        <f t="shared" si="380"/>
        <v/>
      </c>
      <c r="L4851" s="7" t="str">
        <f t="shared" si="381"/>
        <v/>
      </c>
      <c r="M4851" s="7" t="str">
        <f t="shared" si="378"/>
        <v/>
      </c>
      <c r="N4851" s="7" t="str">
        <f t="shared" si="382"/>
        <v/>
      </c>
      <c r="O4851" s="8"/>
      <c r="P4851" s="26"/>
      <c r="S4851" s="10" t="str">
        <f t="shared" si="379"/>
        <v/>
      </c>
    </row>
    <row r="4852" spans="5:19" x14ac:dyDescent="0.3">
      <c r="E4852" s="9" t="str">
        <f>IF(DADOS!C4852="","",DADOS!C4852)</f>
        <v/>
      </c>
      <c r="F4852" s="9" t="str">
        <f>IF(DADOS!E4852="","",DADOS!E4852)</f>
        <v/>
      </c>
      <c r="G4852" s="9" t="str">
        <f>IF(DADOS!F4852="","",DADOS!F4852)</f>
        <v/>
      </c>
      <c r="K4852" s="6" t="str">
        <f t="shared" si="380"/>
        <v/>
      </c>
      <c r="L4852" s="7" t="str">
        <f t="shared" si="381"/>
        <v/>
      </c>
      <c r="M4852" s="7" t="str">
        <f t="shared" si="378"/>
        <v/>
      </c>
      <c r="N4852" s="7" t="str">
        <f t="shared" si="382"/>
        <v/>
      </c>
      <c r="O4852" s="8"/>
      <c r="P4852" s="26"/>
      <c r="S4852" s="10" t="str">
        <f t="shared" si="379"/>
        <v/>
      </c>
    </row>
    <row r="4853" spans="5:19" x14ac:dyDescent="0.3">
      <c r="E4853" s="9" t="str">
        <f>IF(DADOS!C4853="","",DADOS!C4853)</f>
        <v/>
      </c>
      <c r="F4853" s="9" t="str">
        <f>IF(DADOS!E4853="","",DADOS!E4853)</f>
        <v/>
      </c>
      <c r="G4853" s="9" t="str">
        <f>IF(DADOS!F4853="","",DADOS!F4853)</f>
        <v/>
      </c>
      <c r="K4853" s="6" t="str">
        <f t="shared" si="380"/>
        <v/>
      </c>
      <c r="L4853" s="7" t="str">
        <f t="shared" si="381"/>
        <v/>
      </c>
      <c r="M4853" s="7" t="str">
        <f t="shared" si="378"/>
        <v/>
      </c>
      <c r="N4853" s="7" t="str">
        <f t="shared" si="382"/>
        <v/>
      </c>
      <c r="O4853" s="8"/>
      <c r="P4853" s="26"/>
      <c r="S4853" s="10" t="str">
        <f t="shared" si="379"/>
        <v/>
      </c>
    </row>
    <row r="4854" spans="5:19" x14ac:dyDescent="0.3">
      <c r="E4854" s="9" t="str">
        <f>IF(DADOS!C4854="","",DADOS!C4854)</f>
        <v/>
      </c>
      <c r="F4854" s="9" t="str">
        <f>IF(DADOS!E4854="","",DADOS!E4854)</f>
        <v/>
      </c>
      <c r="G4854" s="9" t="str">
        <f>IF(DADOS!F4854="","",DADOS!F4854)</f>
        <v/>
      </c>
      <c r="K4854" s="6" t="str">
        <f t="shared" si="380"/>
        <v/>
      </c>
      <c r="L4854" s="7" t="str">
        <f t="shared" si="381"/>
        <v/>
      </c>
      <c r="M4854" s="7" t="str">
        <f t="shared" si="378"/>
        <v/>
      </c>
      <c r="N4854" s="7" t="str">
        <f t="shared" si="382"/>
        <v/>
      </c>
      <c r="O4854" s="8"/>
      <c r="P4854" s="26"/>
      <c r="S4854" s="10" t="str">
        <f t="shared" si="379"/>
        <v/>
      </c>
    </row>
    <row r="4855" spans="5:19" x14ac:dyDescent="0.3">
      <c r="E4855" s="9" t="str">
        <f>IF(DADOS!C4855="","",DADOS!C4855)</f>
        <v/>
      </c>
      <c r="F4855" s="9" t="str">
        <f>IF(DADOS!E4855="","",DADOS!E4855)</f>
        <v/>
      </c>
      <c r="G4855" s="9" t="str">
        <f>IF(DADOS!F4855="","",DADOS!F4855)</f>
        <v/>
      </c>
      <c r="K4855" s="6" t="str">
        <f t="shared" si="380"/>
        <v/>
      </c>
      <c r="L4855" s="7" t="str">
        <f t="shared" si="381"/>
        <v/>
      </c>
      <c r="M4855" s="7" t="str">
        <f t="shared" si="378"/>
        <v/>
      </c>
      <c r="N4855" s="7" t="str">
        <f t="shared" si="382"/>
        <v/>
      </c>
      <c r="O4855" s="8"/>
      <c r="P4855" s="26"/>
      <c r="S4855" s="10" t="str">
        <f t="shared" si="379"/>
        <v/>
      </c>
    </row>
    <row r="4856" spans="5:19" x14ac:dyDescent="0.3">
      <c r="E4856" s="9" t="str">
        <f>IF(DADOS!C4856="","",DADOS!C4856)</f>
        <v/>
      </c>
      <c r="F4856" s="9" t="str">
        <f>IF(DADOS!E4856="","",DADOS!E4856)</f>
        <v/>
      </c>
      <c r="G4856" s="9" t="str">
        <f>IF(DADOS!F4856="","",DADOS!F4856)</f>
        <v/>
      </c>
      <c r="K4856" s="6" t="str">
        <f t="shared" si="380"/>
        <v/>
      </c>
      <c r="L4856" s="7" t="str">
        <f t="shared" si="381"/>
        <v/>
      </c>
      <c r="M4856" s="7" t="str">
        <f t="shared" si="378"/>
        <v/>
      </c>
      <c r="N4856" s="7" t="str">
        <f t="shared" si="382"/>
        <v/>
      </c>
      <c r="O4856" s="8"/>
      <c r="P4856" s="26"/>
      <c r="S4856" s="10" t="str">
        <f t="shared" si="379"/>
        <v/>
      </c>
    </row>
    <row r="4857" spans="5:19" x14ac:dyDescent="0.3">
      <c r="E4857" s="9" t="str">
        <f>IF(DADOS!C4857="","",DADOS!C4857)</f>
        <v/>
      </c>
      <c r="F4857" s="9" t="str">
        <f>IF(DADOS!E4857="","",DADOS!E4857)</f>
        <v/>
      </c>
      <c r="G4857" s="9" t="str">
        <f>IF(DADOS!F4857="","",DADOS!F4857)</f>
        <v/>
      </c>
      <c r="K4857" s="6" t="str">
        <f t="shared" si="380"/>
        <v/>
      </c>
      <c r="L4857" s="7" t="str">
        <f t="shared" si="381"/>
        <v/>
      </c>
      <c r="M4857" s="7" t="str">
        <f t="shared" si="378"/>
        <v/>
      </c>
      <c r="N4857" s="7" t="str">
        <f t="shared" si="382"/>
        <v/>
      </c>
      <c r="O4857" s="8"/>
      <c r="P4857" s="26"/>
      <c r="S4857" s="10" t="str">
        <f t="shared" si="379"/>
        <v/>
      </c>
    </row>
    <row r="4858" spans="5:19" x14ac:dyDescent="0.3">
      <c r="E4858" s="9" t="str">
        <f>IF(DADOS!C4858="","",DADOS!C4858)</f>
        <v/>
      </c>
      <c r="F4858" s="9" t="str">
        <f>IF(DADOS!E4858="","",DADOS!E4858)</f>
        <v/>
      </c>
      <c r="G4858" s="9" t="str">
        <f>IF(DADOS!F4858="","",DADOS!F4858)</f>
        <v/>
      </c>
      <c r="K4858" s="6" t="str">
        <f t="shared" si="380"/>
        <v/>
      </c>
      <c r="L4858" s="7" t="str">
        <f t="shared" si="381"/>
        <v/>
      </c>
      <c r="M4858" s="7" t="str">
        <f t="shared" si="378"/>
        <v/>
      </c>
      <c r="N4858" s="7" t="str">
        <f t="shared" si="382"/>
        <v/>
      </c>
      <c r="O4858" s="8"/>
      <c r="P4858" s="26"/>
      <c r="S4858" s="10" t="str">
        <f t="shared" si="379"/>
        <v/>
      </c>
    </row>
    <row r="4859" spans="5:19" x14ac:dyDescent="0.3">
      <c r="E4859" s="9" t="str">
        <f>IF(DADOS!C4859="","",DADOS!C4859)</f>
        <v/>
      </c>
      <c r="F4859" s="9" t="str">
        <f>IF(DADOS!E4859="","",DADOS!E4859)</f>
        <v/>
      </c>
      <c r="G4859" s="9" t="str">
        <f>IF(DADOS!F4859="","",DADOS!F4859)</f>
        <v/>
      </c>
      <c r="K4859" s="6" t="str">
        <f t="shared" si="380"/>
        <v/>
      </c>
      <c r="L4859" s="7" t="str">
        <f t="shared" si="381"/>
        <v/>
      </c>
      <c r="M4859" s="7" t="str">
        <f t="shared" si="378"/>
        <v/>
      </c>
      <c r="N4859" s="7" t="str">
        <f t="shared" si="382"/>
        <v/>
      </c>
      <c r="O4859" s="8"/>
      <c r="P4859" s="26"/>
      <c r="S4859" s="10" t="str">
        <f t="shared" si="379"/>
        <v/>
      </c>
    </row>
    <row r="4860" spans="5:19" x14ac:dyDescent="0.3">
      <c r="E4860" s="9" t="str">
        <f>IF(DADOS!C4860="","",DADOS!C4860)</f>
        <v/>
      </c>
      <c r="F4860" s="9" t="str">
        <f>IF(DADOS!E4860="","",DADOS!E4860)</f>
        <v/>
      </c>
      <c r="G4860" s="9" t="str">
        <f>IF(DADOS!F4860="","",DADOS!F4860)</f>
        <v/>
      </c>
      <c r="K4860" s="6" t="str">
        <f t="shared" si="380"/>
        <v/>
      </c>
      <c r="L4860" s="7" t="str">
        <f t="shared" si="381"/>
        <v/>
      </c>
      <c r="M4860" s="7" t="str">
        <f t="shared" si="378"/>
        <v/>
      </c>
      <c r="N4860" s="7" t="str">
        <f t="shared" si="382"/>
        <v/>
      </c>
      <c r="O4860" s="8"/>
      <c r="P4860" s="26"/>
      <c r="S4860" s="10" t="str">
        <f t="shared" si="379"/>
        <v/>
      </c>
    </row>
    <row r="4861" spans="5:19" x14ac:dyDescent="0.3">
      <c r="E4861" s="9" t="str">
        <f>IF(DADOS!C4861="","",DADOS!C4861)</f>
        <v/>
      </c>
      <c r="F4861" s="9" t="str">
        <f>IF(DADOS!E4861="","",DADOS!E4861)</f>
        <v/>
      </c>
      <c r="G4861" s="9" t="str">
        <f>IF(DADOS!F4861="","",DADOS!F4861)</f>
        <v/>
      </c>
      <c r="K4861" s="6" t="str">
        <f t="shared" si="380"/>
        <v/>
      </c>
      <c r="L4861" s="7" t="str">
        <f t="shared" si="381"/>
        <v/>
      </c>
      <c r="M4861" s="7" t="str">
        <f t="shared" si="378"/>
        <v/>
      </c>
      <c r="N4861" s="7" t="str">
        <f t="shared" si="382"/>
        <v/>
      </c>
      <c r="O4861" s="8"/>
      <c r="P4861" s="26"/>
      <c r="S4861" s="10" t="str">
        <f t="shared" si="379"/>
        <v/>
      </c>
    </row>
    <row r="4862" spans="5:19" x14ac:dyDescent="0.3">
      <c r="E4862" s="9" t="str">
        <f>IF(DADOS!C4862="","",DADOS!C4862)</f>
        <v/>
      </c>
      <c r="F4862" s="9" t="str">
        <f>IF(DADOS!E4862="","",DADOS!E4862)</f>
        <v/>
      </c>
      <c r="G4862" s="9" t="str">
        <f>IF(DADOS!F4862="","",DADOS!F4862)</f>
        <v/>
      </c>
      <c r="K4862" s="6" t="str">
        <f t="shared" si="380"/>
        <v/>
      </c>
      <c r="L4862" s="7" t="str">
        <f t="shared" si="381"/>
        <v/>
      </c>
      <c r="M4862" s="7" t="str">
        <f t="shared" si="378"/>
        <v/>
      </c>
      <c r="N4862" s="7" t="str">
        <f t="shared" si="382"/>
        <v/>
      </c>
      <c r="O4862" s="8"/>
      <c r="P4862" s="26"/>
      <c r="S4862" s="10" t="str">
        <f t="shared" si="379"/>
        <v/>
      </c>
    </row>
    <row r="4863" spans="5:19" x14ac:dyDescent="0.3">
      <c r="E4863" s="9" t="str">
        <f>IF(DADOS!C4863="","",DADOS!C4863)</f>
        <v/>
      </c>
      <c r="F4863" s="9" t="str">
        <f>IF(DADOS!E4863="","",DADOS!E4863)</f>
        <v/>
      </c>
      <c r="G4863" s="9" t="str">
        <f>IF(DADOS!F4863="","",DADOS!F4863)</f>
        <v/>
      </c>
      <c r="K4863" s="6" t="str">
        <f t="shared" si="380"/>
        <v/>
      </c>
      <c r="L4863" s="7" t="str">
        <f t="shared" si="381"/>
        <v/>
      </c>
      <c r="M4863" s="7" t="str">
        <f t="shared" si="378"/>
        <v/>
      </c>
      <c r="N4863" s="7" t="str">
        <f t="shared" si="382"/>
        <v/>
      </c>
      <c r="O4863" s="8"/>
      <c r="P4863" s="26"/>
      <c r="S4863" s="10" t="str">
        <f t="shared" si="379"/>
        <v/>
      </c>
    </row>
    <row r="4864" spans="5:19" x14ac:dyDescent="0.3">
      <c r="E4864" s="9" t="str">
        <f>IF(DADOS!C4864="","",DADOS!C4864)</f>
        <v/>
      </c>
      <c r="F4864" s="9" t="str">
        <f>IF(DADOS!E4864="","",DADOS!E4864)</f>
        <v/>
      </c>
      <c r="G4864" s="9" t="str">
        <f>IF(DADOS!F4864="","",DADOS!F4864)</f>
        <v/>
      </c>
      <c r="K4864" s="6" t="str">
        <f t="shared" si="380"/>
        <v/>
      </c>
      <c r="L4864" s="7" t="str">
        <f t="shared" si="381"/>
        <v/>
      </c>
      <c r="M4864" s="7" t="str">
        <f t="shared" si="378"/>
        <v/>
      </c>
      <c r="N4864" s="7" t="str">
        <f t="shared" si="382"/>
        <v/>
      </c>
      <c r="O4864" s="8"/>
      <c r="P4864" s="26"/>
      <c r="S4864" s="10" t="str">
        <f t="shared" si="379"/>
        <v/>
      </c>
    </row>
    <row r="4865" spans="5:19" x14ac:dyDescent="0.3">
      <c r="E4865" s="9" t="str">
        <f>IF(DADOS!C4865="","",DADOS!C4865)</f>
        <v/>
      </c>
      <c r="F4865" s="9" t="str">
        <f>IF(DADOS!E4865="","",DADOS!E4865)</f>
        <v/>
      </c>
      <c r="G4865" s="9" t="str">
        <f>IF(DADOS!F4865="","",DADOS!F4865)</f>
        <v/>
      </c>
      <c r="K4865" s="6" t="str">
        <f t="shared" si="380"/>
        <v/>
      </c>
      <c r="L4865" s="7" t="str">
        <f t="shared" si="381"/>
        <v/>
      </c>
      <c r="M4865" s="7" t="str">
        <f t="shared" si="378"/>
        <v/>
      </c>
      <c r="N4865" s="7" t="str">
        <f t="shared" si="382"/>
        <v/>
      </c>
      <c r="O4865" s="8"/>
      <c r="P4865" s="26"/>
      <c r="S4865" s="10" t="str">
        <f t="shared" si="379"/>
        <v/>
      </c>
    </row>
    <row r="4866" spans="5:19" x14ac:dyDescent="0.3">
      <c r="E4866" s="9" t="str">
        <f>IF(DADOS!C4866="","",DADOS!C4866)</f>
        <v/>
      </c>
      <c r="F4866" s="9" t="str">
        <f>IF(DADOS!E4866="","",DADOS!E4866)</f>
        <v/>
      </c>
      <c r="G4866" s="9" t="str">
        <f>IF(DADOS!F4866="","",DADOS!F4866)</f>
        <v/>
      </c>
      <c r="K4866" s="6" t="str">
        <f t="shared" si="380"/>
        <v/>
      </c>
      <c r="L4866" s="7" t="str">
        <f t="shared" si="381"/>
        <v/>
      </c>
      <c r="M4866" s="7" t="str">
        <f t="shared" si="378"/>
        <v/>
      </c>
      <c r="N4866" s="7" t="str">
        <f t="shared" si="382"/>
        <v/>
      </c>
      <c r="O4866" s="8"/>
      <c r="P4866" s="26"/>
      <c r="S4866" s="10" t="str">
        <f t="shared" si="379"/>
        <v/>
      </c>
    </row>
    <row r="4867" spans="5:19" x14ac:dyDescent="0.3">
      <c r="E4867" s="9" t="str">
        <f>IF(DADOS!C4867="","",DADOS!C4867)</f>
        <v/>
      </c>
      <c r="F4867" s="9" t="str">
        <f>IF(DADOS!E4867="","",DADOS!E4867)</f>
        <v/>
      </c>
      <c r="G4867" s="9" t="str">
        <f>IF(DADOS!F4867="","",DADOS!F4867)</f>
        <v/>
      </c>
      <c r="K4867" s="6" t="str">
        <f t="shared" si="380"/>
        <v/>
      </c>
      <c r="L4867" s="7" t="str">
        <f t="shared" si="381"/>
        <v/>
      </c>
      <c r="M4867" s="7" t="str">
        <f t="shared" ref="M4867:M4930" si="383">IF(L4867="","",L4867*G4867)</f>
        <v/>
      </c>
      <c r="N4867" s="7" t="str">
        <f t="shared" si="382"/>
        <v/>
      </c>
      <c r="O4867" s="8"/>
      <c r="P4867" s="26"/>
      <c r="S4867" s="10" t="str">
        <f t="shared" ref="S4867:S4930" si="384">IF(R4867="","",SUMIFS($N$3:$N$10000,$E$3:$E$10000,R4867))</f>
        <v/>
      </c>
    </row>
    <row r="4868" spans="5:19" x14ac:dyDescent="0.3">
      <c r="E4868" s="9" t="str">
        <f>IF(DADOS!C4868="","",DADOS!C4868)</f>
        <v/>
      </c>
      <c r="F4868" s="9" t="str">
        <f>IF(DADOS!E4868="","",DADOS!E4868)</f>
        <v/>
      </c>
      <c r="G4868" s="9" t="str">
        <f>IF(DADOS!F4868="","",DADOS!F4868)</f>
        <v/>
      </c>
      <c r="K4868" s="6" t="str">
        <f t="shared" ref="K4868:K4931" si="385">IF(F4868="","",F4868/PI())</f>
        <v/>
      </c>
      <c r="L4868" s="7" t="str">
        <f t="shared" ref="L4868:L4931" si="386">IF(K4868="","",(PI()*K4868^2)/40000)</f>
        <v/>
      </c>
      <c r="M4868" s="7" t="str">
        <f t="shared" si="383"/>
        <v/>
      </c>
      <c r="N4868" s="7" t="str">
        <f t="shared" ref="N4868:N4931" si="387">IF(M4868="","",M4868*N$1)</f>
        <v/>
      </c>
      <c r="O4868" s="8"/>
      <c r="P4868" s="26"/>
      <c r="S4868" s="10" t="str">
        <f t="shared" si="384"/>
        <v/>
      </c>
    </row>
    <row r="4869" spans="5:19" x14ac:dyDescent="0.3">
      <c r="E4869" s="9" t="str">
        <f>IF(DADOS!C4869="","",DADOS!C4869)</f>
        <v/>
      </c>
      <c r="F4869" s="9" t="str">
        <f>IF(DADOS!E4869="","",DADOS!E4869)</f>
        <v/>
      </c>
      <c r="G4869" s="9" t="str">
        <f>IF(DADOS!F4869="","",DADOS!F4869)</f>
        <v/>
      </c>
      <c r="K4869" s="6" t="str">
        <f t="shared" si="385"/>
        <v/>
      </c>
      <c r="L4869" s="7" t="str">
        <f t="shared" si="386"/>
        <v/>
      </c>
      <c r="M4869" s="7" t="str">
        <f t="shared" si="383"/>
        <v/>
      </c>
      <c r="N4869" s="7" t="str">
        <f t="shared" si="387"/>
        <v/>
      </c>
      <c r="O4869" s="8"/>
      <c r="P4869" s="26"/>
      <c r="S4869" s="10" t="str">
        <f t="shared" si="384"/>
        <v/>
      </c>
    </row>
    <row r="4870" spans="5:19" x14ac:dyDescent="0.3">
      <c r="E4870" s="9" t="str">
        <f>IF(DADOS!C4870="","",DADOS!C4870)</f>
        <v/>
      </c>
      <c r="F4870" s="9" t="str">
        <f>IF(DADOS!E4870="","",DADOS!E4870)</f>
        <v/>
      </c>
      <c r="G4870" s="9" t="str">
        <f>IF(DADOS!F4870="","",DADOS!F4870)</f>
        <v/>
      </c>
      <c r="K4870" s="6" t="str">
        <f t="shared" si="385"/>
        <v/>
      </c>
      <c r="L4870" s="7" t="str">
        <f t="shared" si="386"/>
        <v/>
      </c>
      <c r="M4870" s="7" t="str">
        <f t="shared" si="383"/>
        <v/>
      </c>
      <c r="N4870" s="7" t="str">
        <f t="shared" si="387"/>
        <v/>
      </c>
      <c r="O4870" s="8"/>
      <c r="P4870" s="26"/>
      <c r="S4870" s="10" t="str">
        <f t="shared" si="384"/>
        <v/>
      </c>
    </row>
    <row r="4871" spans="5:19" x14ac:dyDescent="0.3">
      <c r="E4871" s="9" t="str">
        <f>IF(DADOS!C4871="","",DADOS!C4871)</f>
        <v/>
      </c>
      <c r="F4871" s="9" t="str">
        <f>IF(DADOS!E4871="","",DADOS!E4871)</f>
        <v/>
      </c>
      <c r="G4871" s="9" t="str">
        <f>IF(DADOS!F4871="","",DADOS!F4871)</f>
        <v/>
      </c>
      <c r="K4871" s="6" t="str">
        <f t="shared" si="385"/>
        <v/>
      </c>
      <c r="L4871" s="7" t="str">
        <f t="shared" si="386"/>
        <v/>
      </c>
      <c r="M4871" s="7" t="str">
        <f t="shared" si="383"/>
        <v/>
      </c>
      <c r="N4871" s="7" t="str">
        <f t="shared" si="387"/>
        <v/>
      </c>
      <c r="O4871" s="8"/>
      <c r="P4871" s="26"/>
      <c r="S4871" s="10" t="str">
        <f t="shared" si="384"/>
        <v/>
      </c>
    </row>
    <row r="4872" spans="5:19" x14ac:dyDescent="0.3">
      <c r="E4872" s="9" t="str">
        <f>IF(DADOS!C4872="","",DADOS!C4872)</f>
        <v/>
      </c>
      <c r="F4872" s="9" t="str">
        <f>IF(DADOS!E4872="","",DADOS!E4872)</f>
        <v/>
      </c>
      <c r="G4872" s="9" t="str">
        <f>IF(DADOS!F4872="","",DADOS!F4872)</f>
        <v/>
      </c>
      <c r="K4872" s="6" t="str">
        <f t="shared" si="385"/>
        <v/>
      </c>
      <c r="L4872" s="7" t="str">
        <f t="shared" si="386"/>
        <v/>
      </c>
      <c r="M4872" s="7" t="str">
        <f t="shared" si="383"/>
        <v/>
      </c>
      <c r="N4872" s="7" t="str">
        <f t="shared" si="387"/>
        <v/>
      </c>
      <c r="O4872" s="8"/>
      <c r="P4872" s="26"/>
      <c r="S4872" s="10" t="str">
        <f t="shared" si="384"/>
        <v/>
      </c>
    </row>
    <row r="4873" spans="5:19" x14ac:dyDescent="0.3">
      <c r="E4873" s="9" t="str">
        <f>IF(DADOS!C4873="","",DADOS!C4873)</f>
        <v/>
      </c>
      <c r="F4873" s="9" t="str">
        <f>IF(DADOS!E4873="","",DADOS!E4873)</f>
        <v/>
      </c>
      <c r="G4873" s="9" t="str">
        <f>IF(DADOS!F4873="","",DADOS!F4873)</f>
        <v/>
      </c>
      <c r="K4873" s="6" t="str">
        <f t="shared" si="385"/>
        <v/>
      </c>
      <c r="L4873" s="7" t="str">
        <f t="shared" si="386"/>
        <v/>
      </c>
      <c r="M4873" s="7" t="str">
        <f t="shared" si="383"/>
        <v/>
      </c>
      <c r="N4873" s="7" t="str">
        <f t="shared" si="387"/>
        <v/>
      </c>
      <c r="O4873" s="8"/>
      <c r="P4873" s="26"/>
      <c r="S4873" s="10" t="str">
        <f t="shared" si="384"/>
        <v/>
      </c>
    </row>
    <row r="4874" spans="5:19" x14ac:dyDescent="0.3">
      <c r="E4874" s="9" t="str">
        <f>IF(DADOS!C4874="","",DADOS!C4874)</f>
        <v/>
      </c>
      <c r="F4874" s="9" t="str">
        <f>IF(DADOS!E4874="","",DADOS!E4874)</f>
        <v/>
      </c>
      <c r="G4874" s="9" t="str">
        <f>IF(DADOS!F4874="","",DADOS!F4874)</f>
        <v/>
      </c>
      <c r="K4874" s="6" t="str">
        <f t="shared" si="385"/>
        <v/>
      </c>
      <c r="L4874" s="7" t="str">
        <f t="shared" si="386"/>
        <v/>
      </c>
      <c r="M4874" s="7" t="str">
        <f t="shared" si="383"/>
        <v/>
      </c>
      <c r="N4874" s="7" t="str">
        <f t="shared" si="387"/>
        <v/>
      </c>
      <c r="O4874" s="8"/>
      <c r="P4874" s="26"/>
      <c r="S4874" s="10" t="str">
        <f t="shared" si="384"/>
        <v/>
      </c>
    </row>
    <row r="4875" spans="5:19" x14ac:dyDescent="0.3">
      <c r="E4875" s="9" t="str">
        <f>IF(DADOS!C4875="","",DADOS!C4875)</f>
        <v/>
      </c>
      <c r="F4875" s="9" t="str">
        <f>IF(DADOS!E4875="","",DADOS!E4875)</f>
        <v/>
      </c>
      <c r="G4875" s="9" t="str">
        <f>IF(DADOS!F4875="","",DADOS!F4875)</f>
        <v/>
      </c>
      <c r="K4875" s="6" t="str">
        <f t="shared" si="385"/>
        <v/>
      </c>
      <c r="L4875" s="7" t="str">
        <f t="shared" si="386"/>
        <v/>
      </c>
      <c r="M4875" s="7" t="str">
        <f t="shared" si="383"/>
        <v/>
      </c>
      <c r="N4875" s="7" t="str">
        <f t="shared" si="387"/>
        <v/>
      </c>
      <c r="O4875" s="8"/>
      <c r="P4875" s="26"/>
      <c r="S4875" s="10" t="str">
        <f t="shared" si="384"/>
        <v/>
      </c>
    </row>
    <row r="4876" spans="5:19" x14ac:dyDescent="0.3">
      <c r="E4876" s="9" t="str">
        <f>IF(DADOS!C4876="","",DADOS!C4876)</f>
        <v/>
      </c>
      <c r="F4876" s="9" t="str">
        <f>IF(DADOS!E4876="","",DADOS!E4876)</f>
        <v/>
      </c>
      <c r="G4876" s="9" t="str">
        <f>IF(DADOS!F4876="","",DADOS!F4876)</f>
        <v/>
      </c>
      <c r="K4876" s="6" t="str">
        <f t="shared" si="385"/>
        <v/>
      </c>
      <c r="L4876" s="7" t="str">
        <f t="shared" si="386"/>
        <v/>
      </c>
      <c r="M4876" s="7" t="str">
        <f t="shared" si="383"/>
        <v/>
      </c>
      <c r="N4876" s="7" t="str">
        <f t="shared" si="387"/>
        <v/>
      </c>
      <c r="O4876" s="8"/>
      <c r="P4876" s="26"/>
      <c r="S4876" s="10" t="str">
        <f t="shared" si="384"/>
        <v/>
      </c>
    </row>
    <row r="4877" spans="5:19" x14ac:dyDescent="0.3">
      <c r="E4877" s="9" t="str">
        <f>IF(DADOS!C4877="","",DADOS!C4877)</f>
        <v/>
      </c>
      <c r="F4877" s="9" t="str">
        <f>IF(DADOS!E4877="","",DADOS!E4877)</f>
        <v/>
      </c>
      <c r="G4877" s="9" t="str">
        <f>IF(DADOS!F4877="","",DADOS!F4877)</f>
        <v/>
      </c>
      <c r="K4877" s="6" t="str">
        <f t="shared" si="385"/>
        <v/>
      </c>
      <c r="L4877" s="7" t="str">
        <f t="shared" si="386"/>
        <v/>
      </c>
      <c r="M4877" s="7" t="str">
        <f t="shared" si="383"/>
        <v/>
      </c>
      <c r="N4877" s="7" t="str">
        <f t="shared" si="387"/>
        <v/>
      </c>
      <c r="O4877" s="8"/>
      <c r="P4877" s="26"/>
      <c r="S4877" s="10" t="str">
        <f t="shared" si="384"/>
        <v/>
      </c>
    </row>
    <row r="4878" spans="5:19" x14ac:dyDescent="0.3">
      <c r="E4878" s="9" t="str">
        <f>IF(DADOS!C4878="","",DADOS!C4878)</f>
        <v/>
      </c>
      <c r="F4878" s="9" t="str">
        <f>IF(DADOS!E4878="","",DADOS!E4878)</f>
        <v/>
      </c>
      <c r="G4878" s="9" t="str">
        <f>IF(DADOS!F4878="","",DADOS!F4878)</f>
        <v/>
      </c>
      <c r="K4878" s="6" t="str">
        <f t="shared" si="385"/>
        <v/>
      </c>
      <c r="L4878" s="7" t="str">
        <f t="shared" si="386"/>
        <v/>
      </c>
      <c r="M4878" s="7" t="str">
        <f t="shared" si="383"/>
        <v/>
      </c>
      <c r="N4878" s="7" t="str">
        <f t="shared" si="387"/>
        <v/>
      </c>
      <c r="O4878" s="8"/>
      <c r="P4878" s="26"/>
      <c r="S4878" s="10" t="str">
        <f t="shared" si="384"/>
        <v/>
      </c>
    </row>
    <row r="4879" spans="5:19" x14ac:dyDescent="0.3">
      <c r="E4879" s="9" t="str">
        <f>IF(DADOS!C4879="","",DADOS!C4879)</f>
        <v/>
      </c>
      <c r="F4879" s="9" t="str">
        <f>IF(DADOS!E4879="","",DADOS!E4879)</f>
        <v/>
      </c>
      <c r="G4879" s="9" t="str">
        <f>IF(DADOS!F4879="","",DADOS!F4879)</f>
        <v/>
      </c>
      <c r="K4879" s="6" t="str">
        <f t="shared" si="385"/>
        <v/>
      </c>
      <c r="L4879" s="7" t="str">
        <f t="shared" si="386"/>
        <v/>
      </c>
      <c r="M4879" s="7" t="str">
        <f t="shared" si="383"/>
        <v/>
      </c>
      <c r="N4879" s="7" t="str">
        <f t="shared" si="387"/>
        <v/>
      </c>
      <c r="O4879" s="8"/>
      <c r="P4879" s="26"/>
      <c r="S4879" s="10" t="str">
        <f t="shared" si="384"/>
        <v/>
      </c>
    </row>
    <row r="4880" spans="5:19" x14ac:dyDescent="0.3">
      <c r="E4880" s="9" t="str">
        <f>IF(DADOS!C4880="","",DADOS!C4880)</f>
        <v/>
      </c>
      <c r="F4880" s="9" t="str">
        <f>IF(DADOS!E4880="","",DADOS!E4880)</f>
        <v/>
      </c>
      <c r="G4880" s="9" t="str">
        <f>IF(DADOS!F4880="","",DADOS!F4880)</f>
        <v/>
      </c>
      <c r="K4880" s="6" t="str">
        <f t="shared" si="385"/>
        <v/>
      </c>
      <c r="L4880" s="7" t="str">
        <f t="shared" si="386"/>
        <v/>
      </c>
      <c r="M4880" s="7" t="str">
        <f t="shared" si="383"/>
        <v/>
      </c>
      <c r="N4880" s="7" t="str">
        <f t="shared" si="387"/>
        <v/>
      </c>
      <c r="O4880" s="8"/>
      <c r="P4880" s="26"/>
      <c r="S4880" s="10" t="str">
        <f t="shared" si="384"/>
        <v/>
      </c>
    </row>
    <row r="4881" spans="5:19" x14ac:dyDescent="0.3">
      <c r="E4881" s="9" t="str">
        <f>IF(DADOS!C4881="","",DADOS!C4881)</f>
        <v/>
      </c>
      <c r="F4881" s="9" t="str">
        <f>IF(DADOS!E4881="","",DADOS!E4881)</f>
        <v/>
      </c>
      <c r="G4881" s="9" t="str">
        <f>IF(DADOS!F4881="","",DADOS!F4881)</f>
        <v/>
      </c>
      <c r="K4881" s="6" t="str">
        <f t="shared" si="385"/>
        <v/>
      </c>
      <c r="L4881" s="7" t="str">
        <f t="shared" si="386"/>
        <v/>
      </c>
      <c r="M4881" s="7" t="str">
        <f t="shared" si="383"/>
        <v/>
      </c>
      <c r="N4881" s="7" t="str">
        <f t="shared" si="387"/>
        <v/>
      </c>
      <c r="O4881" s="8"/>
      <c r="P4881" s="26"/>
      <c r="S4881" s="10" t="str">
        <f t="shared" si="384"/>
        <v/>
      </c>
    </row>
    <row r="4882" spans="5:19" x14ac:dyDescent="0.3">
      <c r="E4882" s="9" t="str">
        <f>IF(DADOS!C4882="","",DADOS!C4882)</f>
        <v/>
      </c>
      <c r="F4882" s="9" t="str">
        <f>IF(DADOS!E4882="","",DADOS!E4882)</f>
        <v/>
      </c>
      <c r="G4882" s="9" t="str">
        <f>IF(DADOS!F4882="","",DADOS!F4882)</f>
        <v/>
      </c>
      <c r="K4882" s="6" t="str">
        <f t="shared" si="385"/>
        <v/>
      </c>
      <c r="L4882" s="7" t="str">
        <f t="shared" si="386"/>
        <v/>
      </c>
      <c r="M4882" s="7" t="str">
        <f t="shared" si="383"/>
        <v/>
      </c>
      <c r="N4882" s="7" t="str">
        <f t="shared" si="387"/>
        <v/>
      </c>
      <c r="O4882" s="8"/>
      <c r="P4882" s="26"/>
      <c r="S4882" s="10" t="str">
        <f t="shared" si="384"/>
        <v/>
      </c>
    </row>
    <row r="4883" spans="5:19" x14ac:dyDescent="0.3">
      <c r="E4883" s="9" t="str">
        <f>IF(DADOS!C4883="","",DADOS!C4883)</f>
        <v/>
      </c>
      <c r="F4883" s="9" t="str">
        <f>IF(DADOS!E4883="","",DADOS!E4883)</f>
        <v/>
      </c>
      <c r="G4883" s="9" t="str">
        <f>IF(DADOS!F4883="","",DADOS!F4883)</f>
        <v/>
      </c>
      <c r="K4883" s="6" t="str">
        <f t="shared" si="385"/>
        <v/>
      </c>
      <c r="L4883" s="7" t="str">
        <f t="shared" si="386"/>
        <v/>
      </c>
      <c r="M4883" s="7" t="str">
        <f t="shared" si="383"/>
        <v/>
      </c>
      <c r="N4883" s="7" t="str">
        <f t="shared" si="387"/>
        <v/>
      </c>
      <c r="O4883" s="8"/>
      <c r="P4883" s="26"/>
      <c r="S4883" s="10" t="str">
        <f t="shared" si="384"/>
        <v/>
      </c>
    </row>
    <row r="4884" spans="5:19" x14ac:dyDescent="0.3">
      <c r="E4884" s="9" t="str">
        <f>IF(DADOS!C4884="","",DADOS!C4884)</f>
        <v/>
      </c>
      <c r="F4884" s="9" t="str">
        <f>IF(DADOS!E4884="","",DADOS!E4884)</f>
        <v/>
      </c>
      <c r="G4884" s="9" t="str">
        <f>IF(DADOS!F4884="","",DADOS!F4884)</f>
        <v/>
      </c>
      <c r="K4884" s="6" t="str">
        <f t="shared" si="385"/>
        <v/>
      </c>
      <c r="L4884" s="7" t="str">
        <f t="shared" si="386"/>
        <v/>
      </c>
      <c r="M4884" s="7" t="str">
        <f t="shared" si="383"/>
        <v/>
      </c>
      <c r="N4884" s="7" t="str">
        <f t="shared" si="387"/>
        <v/>
      </c>
      <c r="O4884" s="8"/>
      <c r="P4884" s="26"/>
      <c r="S4884" s="10" t="str">
        <f t="shared" si="384"/>
        <v/>
      </c>
    </row>
    <row r="4885" spans="5:19" x14ac:dyDescent="0.3">
      <c r="E4885" s="9" t="str">
        <f>IF(DADOS!C4885="","",DADOS!C4885)</f>
        <v/>
      </c>
      <c r="F4885" s="9" t="str">
        <f>IF(DADOS!E4885="","",DADOS!E4885)</f>
        <v/>
      </c>
      <c r="G4885" s="9" t="str">
        <f>IF(DADOS!F4885="","",DADOS!F4885)</f>
        <v/>
      </c>
      <c r="K4885" s="6" t="str">
        <f t="shared" si="385"/>
        <v/>
      </c>
      <c r="L4885" s="7" t="str">
        <f t="shared" si="386"/>
        <v/>
      </c>
      <c r="M4885" s="7" t="str">
        <f t="shared" si="383"/>
        <v/>
      </c>
      <c r="N4885" s="7" t="str">
        <f t="shared" si="387"/>
        <v/>
      </c>
      <c r="O4885" s="8"/>
      <c r="P4885" s="26"/>
      <c r="S4885" s="10" t="str">
        <f t="shared" si="384"/>
        <v/>
      </c>
    </row>
    <row r="4886" spans="5:19" x14ac:dyDescent="0.3">
      <c r="E4886" s="9" t="str">
        <f>IF(DADOS!C4886="","",DADOS!C4886)</f>
        <v/>
      </c>
      <c r="F4886" s="9" t="str">
        <f>IF(DADOS!E4886="","",DADOS!E4886)</f>
        <v/>
      </c>
      <c r="G4886" s="9" t="str">
        <f>IF(DADOS!F4886="","",DADOS!F4886)</f>
        <v/>
      </c>
      <c r="K4886" s="6" t="str">
        <f t="shared" si="385"/>
        <v/>
      </c>
      <c r="L4886" s="7" t="str">
        <f t="shared" si="386"/>
        <v/>
      </c>
      <c r="M4886" s="7" t="str">
        <f t="shared" si="383"/>
        <v/>
      </c>
      <c r="N4886" s="7" t="str">
        <f t="shared" si="387"/>
        <v/>
      </c>
      <c r="O4886" s="8"/>
      <c r="P4886" s="26"/>
      <c r="S4886" s="10" t="str">
        <f t="shared" si="384"/>
        <v/>
      </c>
    </row>
    <row r="4887" spans="5:19" x14ac:dyDescent="0.3">
      <c r="E4887" s="9" t="str">
        <f>IF(DADOS!C4887="","",DADOS!C4887)</f>
        <v/>
      </c>
      <c r="F4887" s="9" t="str">
        <f>IF(DADOS!E4887="","",DADOS!E4887)</f>
        <v/>
      </c>
      <c r="G4887" s="9" t="str">
        <f>IF(DADOS!F4887="","",DADOS!F4887)</f>
        <v/>
      </c>
      <c r="K4887" s="6" t="str">
        <f t="shared" si="385"/>
        <v/>
      </c>
      <c r="L4887" s="7" t="str">
        <f t="shared" si="386"/>
        <v/>
      </c>
      <c r="M4887" s="7" t="str">
        <f t="shared" si="383"/>
        <v/>
      </c>
      <c r="N4887" s="7" t="str">
        <f t="shared" si="387"/>
        <v/>
      </c>
      <c r="O4887" s="8"/>
      <c r="P4887" s="26"/>
      <c r="S4887" s="10" t="str">
        <f t="shared" si="384"/>
        <v/>
      </c>
    </row>
    <row r="4888" spans="5:19" x14ac:dyDescent="0.3">
      <c r="E4888" s="9" t="str">
        <f>IF(DADOS!C4888="","",DADOS!C4888)</f>
        <v/>
      </c>
      <c r="F4888" s="9" t="str">
        <f>IF(DADOS!E4888="","",DADOS!E4888)</f>
        <v/>
      </c>
      <c r="G4888" s="9" t="str">
        <f>IF(DADOS!F4888="","",DADOS!F4888)</f>
        <v/>
      </c>
      <c r="K4888" s="6" t="str">
        <f t="shared" si="385"/>
        <v/>
      </c>
      <c r="L4888" s="7" t="str">
        <f t="shared" si="386"/>
        <v/>
      </c>
      <c r="M4888" s="7" t="str">
        <f t="shared" si="383"/>
        <v/>
      </c>
      <c r="N4888" s="7" t="str">
        <f t="shared" si="387"/>
        <v/>
      </c>
      <c r="O4888" s="8"/>
      <c r="P4888" s="26"/>
      <c r="S4888" s="10" t="str">
        <f t="shared" si="384"/>
        <v/>
      </c>
    </row>
    <row r="4889" spans="5:19" x14ac:dyDescent="0.3">
      <c r="E4889" s="9" t="str">
        <f>IF(DADOS!C4889="","",DADOS!C4889)</f>
        <v/>
      </c>
      <c r="F4889" s="9" t="str">
        <f>IF(DADOS!E4889="","",DADOS!E4889)</f>
        <v/>
      </c>
      <c r="G4889" s="9" t="str">
        <f>IF(DADOS!F4889="","",DADOS!F4889)</f>
        <v/>
      </c>
      <c r="K4889" s="6" t="str">
        <f t="shared" si="385"/>
        <v/>
      </c>
      <c r="L4889" s="7" t="str">
        <f t="shared" si="386"/>
        <v/>
      </c>
      <c r="M4889" s="7" t="str">
        <f t="shared" si="383"/>
        <v/>
      </c>
      <c r="N4889" s="7" t="str">
        <f t="shared" si="387"/>
        <v/>
      </c>
      <c r="O4889" s="8"/>
      <c r="P4889" s="26"/>
      <c r="S4889" s="10" t="str">
        <f t="shared" si="384"/>
        <v/>
      </c>
    </row>
    <row r="4890" spans="5:19" x14ac:dyDescent="0.3">
      <c r="E4890" s="9" t="str">
        <f>IF(DADOS!C4890="","",DADOS!C4890)</f>
        <v/>
      </c>
      <c r="F4890" s="9" t="str">
        <f>IF(DADOS!E4890="","",DADOS!E4890)</f>
        <v/>
      </c>
      <c r="G4890" s="9" t="str">
        <f>IF(DADOS!F4890="","",DADOS!F4890)</f>
        <v/>
      </c>
      <c r="K4890" s="6" t="str">
        <f t="shared" si="385"/>
        <v/>
      </c>
      <c r="L4890" s="7" t="str">
        <f t="shared" si="386"/>
        <v/>
      </c>
      <c r="M4890" s="7" t="str">
        <f t="shared" si="383"/>
        <v/>
      </c>
      <c r="N4890" s="7" t="str">
        <f t="shared" si="387"/>
        <v/>
      </c>
      <c r="O4890" s="8"/>
      <c r="P4890" s="26"/>
      <c r="S4890" s="10" t="str">
        <f t="shared" si="384"/>
        <v/>
      </c>
    </row>
    <row r="4891" spans="5:19" x14ac:dyDescent="0.3">
      <c r="E4891" s="9" t="str">
        <f>IF(DADOS!C4891="","",DADOS!C4891)</f>
        <v/>
      </c>
      <c r="F4891" s="9" t="str">
        <f>IF(DADOS!E4891="","",DADOS!E4891)</f>
        <v/>
      </c>
      <c r="G4891" s="9" t="str">
        <f>IF(DADOS!F4891="","",DADOS!F4891)</f>
        <v/>
      </c>
      <c r="K4891" s="6" t="str">
        <f t="shared" si="385"/>
        <v/>
      </c>
      <c r="L4891" s="7" t="str">
        <f t="shared" si="386"/>
        <v/>
      </c>
      <c r="M4891" s="7" t="str">
        <f t="shared" si="383"/>
        <v/>
      </c>
      <c r="N4891" s="7" t="str">
        <f t="shared" si="387"/>
        <v/>
      </c>
      <c r="O4891" s="8"/>
      <c r="P4891" s="26"/>
      <c r="S4891" s="10" t="str">
        <f t="shared" si="384"/>
        <v/>
      </c>
    </row>
    <row r="4892" spans="5:19" x14ac:dyDescent="0.3">
      <c r="E4892" s="9" t="str">
        <f>IF(DADOS!C4892="","",DADOS!C4892)</f>
        <v/>
      </c>
      <c r="F4892" s="9" t="str">
        <f>IF(DADOS!E4892="","",DADOS!E4892)</f>
        <v/>
      </c>
      <c r="G4892" s="9" t="str">
        <f>IF(DADOS!F4892="","",DADOS!F4892)</f>
        <v/>
      </c>
      <c r="K4892" s="6" t="str">
        <f t="shared" si="385"/>
        <v/>
      </c>
      <c r="L4892" s="7" t="str">
        <f t="shared" si="386"/>
        <v/>
      </c>
      <c r="M4892" s="7" t="str">
        <f t="shared" si="383"/>
        <v/>
      </c>
      <c r="N4892" s="7" t="str">
        <f t="shared" si="387"/>
        <v/>
      </c>
      <c r="O4892" s="8"/>
      <c r="P4892" s="26"/>
      <c r="S4892" s="10" t="str">
        <f t="shared" si="384"/>
        <v/>
      </c>
    </row>
    <row r="4893" spans="5:19" x14ac:dyDescent="0.3">
      <c r="E4893" s="9" t="str">
        <f>IF(DADOS!C4893="","",DADOS!C4893)</f>
        <v/>
      </c>
      <c r="F4893" s="9" t="str">
        <f>IF(DADOS!E4893="","",DADOS!E4893)</f>
        <v/>
      </c>
      <c r="G4893" s="9" t="str">
        <f>IF(DADOS!F4893="","",DADOS!F4893)</f>
        <v/>
      </c>
      <c r="K4893" s="6" t="str">
        <f t="shared" si="385"/>
        <v/>
      </c>
      <c r="L4893" s="7" t="str">
        <f t="shared" si="386"/>
        <v/>
      </c>
      <c r="M4893" s="7" t="str">
        <f t="shared" si="383"/>
        <v/>
      </c>
      <c r="N4893" s="7" t="str">
        <f t="shared" si="387"/>
        <v/>
      </c>
      <c r="O4893" s="8"/>
      <c r="P4893" s="26"/>
      <c r="S4893" s="10" t="str">
        <f t="shared" si="384"/>
        <v/>
      </c>
    </row>
    <row r="4894" spans="5:19" x14ac:dyDescent="0.3">
      <c r="E4894" s="9" t="str">
        <f>IF(DADOS!C4894="","",DADOS!C4894)</f>
        <v/>
      </c>
      <c r="F4894" s="9" t="str">
        <f>IF(DADOS!E4894="","",DADOS!E4894)</f>
        <v/>
      </c>
      <c r="G4894" s="9" t="str">
        <f>IF(DADOS!F4894="","",DADOS!F4894)</f>
        <v/>
      </c>
      <c r="K4894" s="6" t="str">
        <f t="shared" si="385"/>
        <v/>
      </c>
      <c r="L4894" s="7" t="str">
        <f t="shared" si="386"/>
        <v/>
      </c>
      <c r="M4894" s="7" t="str">
        <f t="shared" si="383"/>
        <v/>
      </c>
      <c r="N4894" s="7" t="str">
        <f t="shared" si="387"/>
        <v/>
      </c>
      <c r="O4894" s="8"/>
      <c r="P4894" s="26"/>
      <c r="S4894" s="10" t="str">
        <f t="shared" si="384"/>
        <v/>
      </c>
    </row>
    <row r="4895" spans="5:19" x14ac:dyDescent="0.3">
      <c r="E4895" s="9" t="str">
        <f>IF(DADOS!C4895="","",DADOS!C4895)</f>
        <v/>
      </c>
      <c r="F4895" s="9" t="str">
        <f>IF(DADOS!E4895="","",DADOS!E4895)</f>
        <v/>
      </c>
      <c r="G4895" s="9" t="str">
        <f>IF(DADOS!F4895="","",DADOS!F4895)</f>
        <v/>
      </c>
      <c r="K4895" s="6" t="str">
        <f t="shared" si="385"/>
        <v/>
      </c>
      <c r="L4895" s="7" t="str">
        <f t="shared" si="386"/>
        <v/>
      </c>
      <c r="M4895" s="7" t="str">
        <f t="shared" si="383"/>
        <v/>
      </c>
      <c r="N4895" s="7" t="str">
        <f t="shared" si="387"/>
        <v/>
      </c>
      <c r="O4895" s="8"/>
      <c r="P4895" s="26"/>
      <c r="S4895" s="10" t="str">
        <f t="shared" si="384"/>
        <v/>
      </c>
    </row>
    <row r="4896" spans="5:19" x14ac:dyDescent="0.3">
      <c r="E4896" s="9" t="str">
        <f>IF(DADOS!C4896="","",DADOS!C4896)</f>
        <v/>
      </c>
      <c r="F4896" s="9" t="str">
        <f>IF(DADOS!E4896="","",DADOS!E4896)</f>
        <v/>
      </c>
      <c r="G4896" s="9" t="str">
        <f>IF(DADOS!F4896="","",DADOS!F4896)</f>
        <v/>
      </c>
      <c r="K4896" s="6" t="str">
        <f t="shared" si="385"/>
        <v/>
      </c>
      <c r="L4896" s="7" t="str">
        <f t="shared" si="386"/>
        <v/>
      </c>
      <c r="M4896" s="7" t="str">
        <f t="shared" si="383"/>
        <v/>
      </c>
      <c r="N4896" s="7" t="str">
        <f t="shared" si="387"/>
        <v/>
      </c>
      <c r="O4896" s="8"/>
      <c r="P4896" s="26"/>
      <c r="S4896" s="10" t="str">
        <f t="shared" si="384"/>
        <v/>
      </c>
    </row>
    <row r="4897" spans="5:19" x14ac:dyDescent="0.3">
      <c r="E4897" s="9" t="str">
        <f>IF(DADOS!C4897="","",DADOS!C4897)</f>
        <v/>
      </c>
      <c r="F4897" s="9" t="str">
        <f>IF(DADOS!E4897="","",DADOS!E4897)</f>
        <v/>
      </c>
      <c r="G4897" s="9" t="str">
        <f>IF(DADOS!F4897="","",DADOS!F4897)</f>
        <v/>
      </c>
      <c r="K4897" s="6" t="str">
        <f t="shared" si="385"/>
        <v/>
      </c>
      <c r="L4897" s="7" t="str">
        <f t="shared" si="386"/>
        <v/>
      </c>
      <c r="M4897" s="7" t="str">
        <f t="shared" si="383"/>
        <v/>
      </c>
      <c r="N4897" s="7" t="str">
        <f t="shared" si="387"/>
        <v/>
      </c>
      <c r="O4897" s="8"/>
      <c r="P4897" s="26"/>
      <c r="S4897" s="10" t="str">
        <f t="shared" si="384"/>
        <v/>
      </c>
    </row>
    <row r="4898" spans="5:19" x14ac:dyDescent="0.3">
      <c r="E4898" s="9" t="str">
        <f>IF(DADOS!C4898="","",DADOS!C4898)</f>
        <v/>
      </c>
      <c r="F4898" s="9" t="str">
        <f>IF(DADOS!E4898="","",DADOS!E4898)</f>
        <v/>
      </c>
      <c r="G4898" s="9" t="str">
        <f>IF(DADOS!F4898="","",DADOS!F4898)</f>
        <v/>
      </c>
      <c r="K4898" s="6" t="str">
        <f t="shared" si="385"/>
        <v/>
      </c>
      <c r="L4898" s="7" t="str">
        <f t="shared" si="386"/>
        <v/>
      </c>
      <c r="M4898" s="7" t="str">
        <f t="shared" si="383"/>
        <v/>
      </c>
      <c r="N4898" s="7" t="str">
        <f t="shared" si="387"/>
        <v/>
      </c>
      <c r="O4898" s="8"/>
      <c r="P4898" s="26"/>
      <c r="S4898" s="10" t="str">
        <f t="shared" si="384"/>
        <v/>
      </c>
    </row>
    <row r="4899" spans="5:19" x14ac:dyDescent="0.3">
      <c r="E4899" s="9" t="str">
        <f>IF(DADOS!C4899="","",DADOS!C4899)</f>
        <v/>
      </c>
      <c r="F4899" s="9" t="str">
        <f>IF(DADOS!E4899="","",DADOS!E4899)</f>
        <v/>
      </c>
      <c r="G4899" s="9" t="str">
        <f>IF(DADOS!F4899="","",DADOS!F4899)</f>
        <v/>
      </c>
      <c r="K4899" s="6" t="str">
        <f t="shared" si="385"/>
        <v/>
      </c>
      <c r="L4899" s="7" t="str">
        <f t="shared" si="386"/>
        <v/>
      </c>
      <c r="M4899" s="7" t="str">
        <f t="shared" si="383"/>
        <v/>
      </c>
      <c r="N4899" s="7" t="str">
        <f t="shared" si="387"/>
        <v/>
      </c>
      <c r="O4899" s="8"/>
      <c r="P4899" s="26"/>
      <c r="S4899" s="10" t="str">
        <f t="shared" si="384"/>
        <v/>
      </c>
    </row>
    <row r="4900" spans="5:19" x14ac:dyDescent="0.3">
      <c r="E4900" s="9" t="str">
        <f>IF(DADOS!C4900="","",DADOS!C4900)</f>
        <v/>
      </c>
      <c r="F4900" s="9" t="str">
        <f>IF(DADOS!E4900="","",DADOS!E4900)</f>
        <v/>
      </c>
      <c r="G4900" s="9" t="str">
        <f>IF(DADOS!F4900="","",DADOS!F4900)</f>
        <v/>
      </c>
      <c r="K4900" s="6" t="str">
        <f t="shared" si="385"/>
        <v/>
      </c>
      <c r="L4900" s="7" t="str">
        <f t="shared" si="386"/>
        <v/>
      </c>
      <c r="M4900" s="7" t="str">
        <f t="shared" si="383"/>
        <v/>
      </c>
      <c r="N4900" s="7" t="str">
        <f t="shared" si="387"/>
        <v/>
      </c>
      <c r="O4900" s="8"/>
      <c r="P4900" s="26"/>
      <c r="S4900" s="10" t="str">
        <f t="shared" si="384"/>
        <v/>
      </c>
    </row>
    <row r="4901" spans="5:19" x14ac:dyDescent="0.3">
      <c r="E4901" s="9" t="str">
        <f>IF(DADOS!C4901="","",DADOS!C4901)</f>
        <v/>
      </c>
      <c r="F4901" s="9" t="str">
        <f>IF(DADOS!E4901="","",DADOS!E4901)</f>
        <v/>
      </c>
      <c r="G4901" s="9" t="str">
        <f>IF(DADOS!F4901="","",DADOS!F4901)</f>
        <v/>
      </c>
      <c r="K4901" s="6" t="str">
        <f t="shared" si="385"/>
        <v/>
      </c>
      <c r="L4901" s="7" t="str">
        <f t="shared" si="386"/>
        <v/>
      </c>
      <c r="M4901" s="7" t="str">
        <f t="shared" si="383"/>
        <v/>
      </c>
      <c r="N4901" s="7" t="str">
        <f t="shared" si="387"/>
        <v/>
      </c>
      <c r="O4901" s="8"/>
      <c r="P4901" s="26"/>
      <c r="S4901" s="10" t="str">
        <f t="shared" si="384"/>
        <v/>
      </c>
    </row>
    <row r="4902" spans="5:19" x14ac:dyDescent="0.3">
      <c r="E4902" s="9" t="str">
        <f>IF(DADOS!C4902="","",DADOS!C4902)</f>
        <v/>
      </c>
      <c r="F4902" s="9" t="str">
        <f>IF(DADOS!E4902="","",DADOS!E4902)</f>
        <v/>
      </c>
      <c r="G4902" s="9" t="str">
        <f>IF(DADOS!F4902="","",DADOS!F4902)</f>
        <v/>
      </c>
      <c r="K4902" s="6" t="str">
        <f t="shared" si="385"/>
        <v/>
      </c>
      <c r="L4902" s="7" t="str">
        <f t="shared" si="386"/>
        <v/>
      </c>
      <c r="M4902" s="7" t="str">
        <f t="shared" si="383"/>
        <v/>
      </c>
      <c r="N4902" s="7" t="str">
        <f t="shared" si="387"/>
        <v/>
      </c>
      <c r="O4902" s="8"/>
      <c r="P4902" s="26"/>
      <c r="S4902" s="10" t="str">
        <f t="shared" si="384"/>
        <v/>
      </c>
    </row>
    <row r="4903" spans="5:19" x14ac:dyDescent="0.3">
      <c r="E4903" s="9" t="str">
        <f>IF(DADOS!C4903="","",DADOS!C4903)</f>
        <v/>
      </c>
      <c r="F4903" s="9" t="str">
        <f>IF(DADOS!E4903="","",DADOS!E4903)</f>
        <v/>
      </c>
      <c r="G4903" s="9" t="str">
        <f>IF(DADOS!F4903="","",DADOS!F4903)</f>
        <v/>
      </c>
      <c r="K4903" s="6" t="str">
        <f t="shared" si="385"/>
        <v/>
      </c>
      <c r="L4903" s="7" t="str">
        <f t="shared" si="386"/>
        <v/>
      </c>
      <c r="M4903" s="7" t="str">
        <f t="shared" si="383"/>
        <v/>
      </c>
      <c r="N4903" s="7" t="str">
        <f t="shared" si="387"/>
        <v/>
      </c>
      <c r="O4903" s="8"/>
      <c r="P4903" s="26"/>
      <c r="S4903" s="10" t="str">
        <f t="shared" si="384"/>
        <v/>
      </c>
    </row>
    <row r="4904" spans="5:19" x14ac:dyDescent="0.3">
      <c r="E4904" s="9" t="str">
        <f>IF(DADOS!C4904="","",DADOS!C4904)</f>
        <v/>
      </c>
      <c r="F4904" s="9" t="str">
        <f>IF(DADOS!E4904="","",DADOS!E4904)</f>
        <v/>
      </c>
      <c r="G4904" s="9" t="str">
        <f>IF(DADOS!F4904="","",DADOS!F4904)</f>
        <v/>
      </c>
      <c r="K4904" s="6" t="str">
        <f t="shared" si="385"/>
        <v/>
      </c>
      <c r="L4904" s="7" t="str">
        <f t="shared" si="386"/>
        <v/>
      </c>
      <c r="M4904" s="7" t="str">
        <f t="shared" si="383"/>
        <v/>
      </c>
      <c r="N4904" s="7" t="str">
        <f t="shared" si="387"/>
        <v/>
      </c>
      <c r="O4904" s="8"/>
      <c r="P4904" s="26"/>
      <c r="S4904" s="10" t="str">
        <f t="shared" si="384"/>
        <v/>
      </c>
    </row>
    <row r="4905" spans="5:19" x14ac:dyDescent="0.3">
      <c r="E4905" s="9" t="str">
        <f>IF(DADOS!C4905="","",DADOS!C4905)</f>
        <v/>
      </c>
      <c r="F4905" s="9" t="str">
        <f>IF(DADOS!E4905="","",DADOS!E4905)</f>
        <v/>
      </c>
      <c r="G4905" s="9" t="str">
        <f>IF(DADOS!F4905="","",DADOS!F4905)</f>
        <v/>
      </c>
      <c r="K4905" s="6" t="str">
        <f t="shared" si="385"/>
        <v/>
      </c>
      <c r="L4905" s="7" t="str">
        <f t="shared" si="386"/>
        <v/>
      </c>
      <c r="M4905" s="7" t="str">
        <f t="shared" si="383"/>
        <v/>
      </c>
      <c r="N4905" s="7" t="str">
        <f t="shared" si="387"/>
        <v/>
      </c>
      <c r="O4905" s="8"/>
      <c r="P4905" s="26"/>
      <c r="S4905" s="10" t="str">
        <f t="shared" si="384"/>
        <v/>
      </c>
    </row>
    <row r="4906" spans="5:19" x14ac:dyDescent="0.3">
      <c r="E4906" s="9" t="str">
        <f>IF(DADOS!C4906="","",DADOS!C4906)</f>
        <v/>
      </c>
      <c r="F4906" s="9" t="str">
        <f>IF(DADOS!E4906="","",DADOS!E4906)</f>
        <v/>
      </c>
      <c r="G4906" s="9" t="str">
        <f>IF(DADOS!F4906="","",DADOS!F4906)</f>
        <v/>
      </c>
      <c r="K4906" s="6" t="str">
        <f t="shared" si="385"/>
        <v/>
      </c>
      <c r="L4906" s="7" t="str">
        <f t="shared" si="386"/>
        <v/>
      </c>
      <c r="M4906" s="7" t="str">
        <f t="shared" si="383"/>
        <v/>
      </c>
      <c r="N4906" s="7" t="str">
        <f t="shared" si="387"/>
        <v/>
      </c>
      <c r="O4906" s="8"/>
      <c r="P4906" s="26"/>
      <c r="S4906" s="10" t="str">
        <f t="shared" si="384"/>
        <v/>
      </c>
    </row>
    <row r="4907" spans="5:19" x14ac:dyDescent="0.3">
      <c r="E4907" s="9" t="str">
        <f>IF(DADOS!C4907="","",DADOS!C4907)</f>
        <v/>
      </c>
      <c r="F4907" s="9" t="str">
        <f>IF(DADOS!E4907="","",DADOS!E4907)</f>
        <v/>
      </c>
      <c r="G4907" s="9" t="str">
        <f>IF(DADOS!F4907="","",DADOS!F4907)</f>
        <v/>
      </c>
      <c r="K4907" s="6" t="str">
        <f t="shared" si="385"/>
        <v/>
      </c>
      <c r="L4907" s="7" t="str">
        <f t="shared" si="386"/>
        <v/>
      </c>
      <c r="M4907" s="7" t="str">
        <f t="shared" si="383"/>
        <v/>
      </c>
      <c r="N4907" s="7" t="str">
        <f t="shared" si="387"/>
        <v/>
      </c>
      <c r="O4907" s="8"/>
      <c r="P4907" s="26"/>
      <c r="S4907" s="10" t="str">
        <f t="shared" si="384"/>
        <v/>
      </c>
    </row>
    <row r="4908" spans="5:19" x14ac:dyDescent="0.3">
      <c r="E4908" s="9" t="str">
        <f>IF(DADOS!C4908="","",DADOS!C4908)</f>
        <v/>
      </c>
      <c r="F4908" s="9" t="str">
        <f>IF(DADOS!E4908="","",DADOS!E4908)</f>
        <v/>
      </c>
      <c r="G4908" s="9" t="str">
        <f>IF(DADOS!F4908="","",DADOS!F4908)</f>
        <v/>
      </c>
      <c r="K4908" s="6" t="str">
        <f t="shared" si="385"/>
        <v/>
      </c>
      <c r="L4908" s="7" t="str">
        <f t="shared" si="386"/>
        <v/>
      </c>
      <c r="M4908" s="7" t="str">
        <f t="shared" si="383"/>
        <v/>
      </c>
      <c r="N4908" s="7" t="str">
        <f t="shared" si="387"/>
        <v/>
      </c>
      <c r="O4908" s="8"/>
      <c r="P4908" s="26"/>
      <c r="S4908" s="10" t="str">
        <f t="shared" si="384"/>
        <v/>
      </c>
    </row>
    <row r="4909" spans="5:19" x14ac:dyDescent="0.3">
      <c r="E4909" s="9" t="str">
        <f>IF(DADOS!C4909="","",DADOS!C4909)</f>
        <v/>
      </c>
      <c r="F4909" s="9" t="str">
        <f>IF(DADOS!E4909="","",DADOS!E4909)</f>
        <v/>
      </c>
      <c r="G4909" s="9" t="str">
        <f>IF(DADOS!F4909="","",DADOS!F4909)</f>
        <v/>
      </c>
      <c r="K4909" s="6" t="str">
        <f t="shared" si="385"/>
        <v/>
      </c>
      <c r="L4909" s="7" t="str">
        <f t="shared" si="386"/>
        <v/>
      </c>
      <c r="M4909" s="7" t="str">
        <f t="shared" si="383"/>
        <v/>
      </c>
      <c r="N4909" s="7" t="str">
        <f t="shared" si="387"/>
        <v/>
      </c>
      <c r="O4909" s="8"/>
      <c r="P4909" s="26"/>
      <c r="S4909" s="10" t="str">
        <f t="shared" si="384"/>
        <v/>
      </c>
    </row>
    <row r="4910" spans="5:19" x14ac:dyDescent="0.3">
      <c r="E4910" s="9" t="str">
        <f>IF(DADOS!C4910="","",DADOS!C4910)</f>
        <v/>
      </c>
      <c r="F4910" s="9" t="str">
        <f>IF(DADOS!E4910="","",DADOS!E4910)</f>
        <v/>
      </c>
      <c r="G4910" s="9" t="str">
        <f>IF(DADOS!F4910="","",DADOS!F4910)</f>
        <v/>
      </c>
      <c r="K4910" s="6" t="str">
        <f t="shared" si="385"/>
        <v/>
      </c>
      <c r="L4910" s="7" t="str">
        <f t="shared" si="386"/>
        <v/>
      </c>
      <c r="M4910" s="7" t="str">
        <f t="shared" si="383"/>
        <v/>
      </c>
      <c r="N4910" s="7" t="str">
        <f t="shared" si="387"/>
        <v/>
      </c>
      <c r="O4910" s="8"/>
      <c r="P4910" s="26"/>
      <c r="S4910" s="10" t="str">
        <f t="shared" si="384"/>
        <v/>
      </c>
    </row>
    <row r="4911" spans="5:19" x14ac:dyDescent="0.3">
      <c r="E4911" s="9" t="str">
        <f>IF(DADOS!C4911="","",DADOS!C4911)</f>
        <v/>
      </c>
      <c r="F4911" s="9" t="str">
        <f>IF(DADOS!E4911="","",DADOS!E4911)</f>
        <v/>
      </c>
      <c r="G4911" s="9" t="str">
        <f>IF(DADOS!F4911="","",DADOS!F4911)</f>
        <v/>
      </c>
      <c r="K4911" s="6" t="str">
        <f t="shared" si="385"/>
        <v/>
      </c>
      <c r="L4911" s="7" t="str">
        <f t="shared" si="386"/>
        <v/>
      </c>
      <c r="M4911" s="7" t="str">
        <f t="shared" si="383"/>
        <v/>
      </c>
      <c r="N4911" s="7" t="str">
        <f t="shared" si="387"/>
        <v/>
      </c>
      <c r="O4911" s="8"/>
      <c r="P4911" s="26"/>
      <c r="S4911" s="10" t="str">
        <f t="shared" si="384"/>
        <v/>
      </c>
    </row>
    <row r="4912" spans="5:19" x14ac:dyDescent="0.3">
      <c r="E4912" s="9" t="str">
        <f>IF(DADOS!C4912="","",DADOS!C4912)</f>
        <v/>
      </c>
      <c r="F4912" s="9" t="str">
        <f>IF(DADOS!E4912="","",DADOS!E4912)</f>
        <v/>
      </c>
      <c r="G4912" s="9" t="str">
        <f>IF(DADOS!F4912="","",DADOS!F4912)</f>
        <v/>
      </c>
      <c r="K4912" s="6" t="str">
        <f t="shared" si="385"/>
        <v/>
      </c>
      <c r="L4912" s="7" t="str">
        <f t="shared" si="386"/>
        <v/>
      </c>
      <c r="M4912" s="7" t="str">
        <f t="shared" si="383"/>
        <v/>
      </c>
      <c r="N4912" s="7" t="str">
        <f t="shared" si="387"/>
        <v/>
      </c>
      <c r="O4912" s="8"/>
      <c r="P4912" s="26"/>
      <c r="S4912" s="10" t="str">
        <f t="shared" si="384"/>
        <v/>
      </c>
    </row>
    <row r="4913" spans="5:19" x14ac:dyDescent="0.3">
      <c r="E4913" s="9" t="str">
        <f>IF(DADOS!C4913="","",DADOS!C4913)</f>
        <v/>
      </c>
      <c r="F4913" s="9" t="str">
        <f>IF(DADOS!E4913="","",DADOS!E4913)</f>
        <v/>
      </c>
      <c r="G4913" s="9" t="str">
        <f>IF(DADOS!F4913="","",DADOS!F4913)</f>
        <v/>
      </c>
      <c r="K4913" s="6" t="str">
        <f t="shared" si="385"/>
        <v/>
      </c>
      <c r="L4913" s="7" t="str">
        <f t="shared" si="386"/>
        <v/>
      </c>
      <c r="M4913" s="7" t="str">
        <f t="shared" si="383"/>
        <v/>
      </c>
      <c r="N4913" s="7" t="str">
        <f t="shared" si="387"/>
        <v/>
      </c>
      <c r="O4913" s="8"/>
      <c r="P4913" s="26"/>
      <c r="S4913" s="10" t="str">
        <f t="shared" si="384"/>
        <v/>
      </c>
    </row>
    <row r="4914" spans="5:19" x14ac:dyDescent="0.3">
      <c r="E4914" s="9" t="str">
        <f>IF(DADOS!C4914="","",DADOS!C4914)</f>
        <v/>
      </c>
      <c r="F4914" s="9" t="str">
        <f>IF(DADOS!E4914="","",DADOS!E4914)</f>
        <v/>
      </c>
      <c r="G4914" s="9" t="str">
        <f>IF(DADOS!F4914="","",DADOS!F4914)</f>
        <v/>
      </c>
      <c r="K4914" s="6" t="str">
        <f t="shared" si="385"/>
        <v/>
      </c>
      <c r="L4914" s="7" t="str">
        <f t="shared" si="386"/>
        <v/>
      </c>
      <c r="M4914" s="7" t="str">
        <f t="shared" si="383"/>
        <v/>
      </c>
      <c r="N4914" s="7" t="str">
        <f t="shared" si="387"/>
        <v/>
      </c>
      <c r="O4914" s="8"/>
      <c r="P4914" s="26"/>
      <c r="S4914" s="10" t="str">
        <f t="shared" si="384"/>
        <v/>
      </c>
    </row>
    <row r="4915" spans="5:19" x14ac:dyDescent="0.3">
      <c r="E4915" s="9" t="str">
        <f>IF(DADOS!C4915="","",DADOS!C4915)</f>
        <v/>
      </c>
      <c r="F4915" s="9" t="str">
        <f>IF(DADOS!E4915="","",DADOS!E4915)</f>
        <v/>
      </c>
      <c r="G4915" s="9" t="str">
        <f>IF(DADOS!F4915="","",DADOS!F4915)</f>
        <v/>
      </c>
      <c r="K4915" s="6" t="str">
        <f t="shared" si="385"/>
        <v/>
      </c>
      <c r="L4915" s="7" t="str">
        <f t="shared" si="386"/>
        <v/>
      </c>
      <c r="M4915" s="7" t="str">
        <f t="shared" si="383"/>
        <v/>
      </c>
      <c r="N4915" s="7" t="str">
        <f t="shared" si="387"/>
        <v/>
      </c>
      <c r="O4915" s="8"/>
      <c r="P4915" s="26"/>
      <c r="S4915" s="10" t="str">
        <f t="shared" si="384"/>
        <v/>
      </c>
    </row>
    <row r="4916" spans="5:19" x14ac:dyDescent="0.3">
      <c r="E4916" s="9" t="str">
        <f>IF(DADOS!C4916="","",DADOS!C4916)</f>
        <v/>
      </c>
      <c r="F4916" s="9" t="str">
        <f>IF(DADOS!E4916="","",DADOS!E4916)</f>
        <v/>
      </c>
      <c r="G4916" s="9" t="str">
        <f>IF(DADOS!F4916="","",DADOS!F4916)</f>
        <v/>
      </c>
      <c r="K4916" s="6" t="str">
        <f t="shared" si="385"/>
        <v/>
      </c>
      <c r="L4916" s="7" t="str">
        <f t="shared" si="386"/>
        <v/>
      </c>
      <c r="M4916" s="7" t="str">
        <f t="shared" si="383"/>
        <v/>
      </c>
      <c r="N4916" s="7" t="str">
        <f t="shared" si="387"/>
        <v/>
      </c>
      <c r="O4916" s="8"/>
      <c r="P4916" s="26"/>
      <c r="S4916" s="10" t="str">
        <f t="shared" si="384"/>
        <v/>
      </c>
    </row>
    <row r="4917" spans="5:19" x14ac:dyDescent="0.3">
      <c r="E4917" s="9" t="str">
        <f>IF(DADOS!C4917="","",DADOS!C4917)</f>
        <v/>
      </c>
      <c r="F4917" s="9" t="str">
        <f>IF(DADOS!E4917="","",DADOS!E4917)</f>
        <v/>
      </c>
      <c r="G4917" s="9" t="str">
        <f>IF(DADOS!F4917="","",DADOS!F4917)</f>
        <v/>
      </c>
      <c r="K4917" s="6" t="str">
        <f t="shared" si="385"/>
        <v/>
      </c>
      <c r="L4917" s="7" t="str">
        <f t="shared" si="386"/>
        <v/>
      </c>
      <c r="M4917" s="7" t="str">
        <f t="shared" si="383"/>
        <v/>
      </c>
      <c r="N4917" s="7" t="str">
        <f t="shared" si="387"/>
        <v/>
      </c>
      <c r="O4917" s="8"/>
      <c r="P4917" s="26"/>
      <c r="S4917" s="10" t="str">
        <f t="shared" si="384"/>
        <v/>
      </c>
    </row>
    <row r="4918" spans="5:19" x14ac:dyDescent="0.3">
      <c r="E4918" s="9" t="str">
        <f>IF(DADOS!C4918="","",DADOS!C4918)</f>
        <v/>
      </c>
      <c r="F4918" s="9" t="str">
        <f>IF(DADOS!E4918="","",DADOS!E4918)</f>
        <v/>
      </c>
      <c r="G4918" s="9" t="str">
        <f>IF(DADOS!F4918="","",DADOS!F4918)</f>
        <v/>
      </c>
      <c r="K4918" s="6" t="str">
        <f t="shared" si="385"/>
        <v/>
      </c>
      <c r="L4918" s="7" t="str">
        <f t="shared" si="386"/>
        <v/>
      </c>
      <c r="M4918" s="7" t="str">
        <f t="shared" si="383"/>
        <v/>
      </c>
      <c r="N4918" s="7" t="str">
        <f t="shared" si="387"/>
        <v/>
      </c>
      <c r="O4918" s="8"/>
      <c r="P4918" s="26"/>
      <c r="S4918" s="10" t="str">
        <f t="shared" si="384"/>
        <v/>
      </c>
    </row>
    <row r="4919" spans="5:19" x14ac:dyDescent="0.3">
      <c r="E4919" s="9" t="str">
        <f>IF(DADOS!C4919="","",DADOS!C4919)</f>
        <v/>
      </c>
      <c r="F4919" s="9" t="str">
        <f>IF(DADOS!E4919="","",DADOS!E4919)</f>
        <v/>
      </c>
      <c r="G4919" s="9" t="str">
        <f>IF(DADOS!F4919="","",DADOS!F4919)</f>
        <v/>
      </c>
      <c r="K4919" s="6" t="str">
        <f t="shared" si="385"/>
        <v/>
      </c>
      <c r="L4919" s="7" t="str">
        <f t="shared" si="386"/>
        <v/>
      </c>
      <c r="M4919" s="7" t="str">
        <f t="shared" si="383"/>
        <v/>
      </c>
      <c r="N4919" s="7" t="str">
        <f t="shared" si="387"/>
        <v/>
      </c>
      <c r="O4919" s="8"/>
      <c r="P4919" s="26"/>
      <c r="S4919" s="10" t="str">
        <f t="shared" si="384"/>
        <v/>
      </c>
    </row>
    <row r="4920" spans="5:19" x14ac:dyDescent="0.3">
      <c r="E4920" s="9" t="str">
        <f>IF(DADOS!C4920="","",DADOS!C4920)</f>
        <v/>
      </c>
      <c r="F4920" s="9" t="str">
        <f>IF(DADOS!E4920="","",DADOS!E4920)</f>
        <v/>
      </c>
      <c r="G4920" s="9" t="str">
        <f>IF(DADOS!F4920="","",DADOS!F4920)</f>
        <v/>
      </c>
      <c r="K4920" s="6" t="str">
        <f t="shared" si="385"/>
        <v/>
      </c>
      <c r="L4920" s="7" t="str">
        <f t="shared" si="386"/>
        <v/>
      </c>
      <c r="M4920" s="7" t="str">
        <f t="shared" si="383"/>
        <v/>
      </c>
      <c r="N4920" s="7" t="str">
        <f t="shared" si="387"/>
        <v/>
      </c>
      <c r="O4920" s="8"/>
      <c r="P4920" s="26"/>
      <c r="S4920" s="10" t="str">
        <f t="shared" si="384"/>
        <v/>
      </c>
    </row>
    <row r="4921" spans="5:19" x14ac:dyDescent="0.3">
      <c r="E4921" s="9" t="str">
        <f>IF(DADOS!C4921="","",DADOS!C4921)</f>
        <v/>
      </c>
      <c r="F4921" s="9" t="str">
        <f>IF(DADOS!E4921="","",DADOS!E4921)</f>
        <v/>
      </c>
      <c r="G4921" s="9" t="str">
        <f>IF(DADOS!F4921="","",DADOS!F4921)</f>
        <v/>
      </c>
      <c r="K4921" s="6" t="str">
        <f t="shared" si="385"/>
        <v/>
      </c>
      <c r="L4921" s="7" t="str">
        <f t="shared" si="386"/>
        <v/>
      </c>
      <c r="M4921" s="7" t="str">
        <f t="shared" si="383"/>
        <v/>
      </c>
      <c r="N4921" s="7" t="str">
        <f t="shared" si="387"/>
        <v/>
      </c>
      <c r="O4921" s="8"/>
      <c r="P4921" s="26"/>
      <c r="S4921" s="10" t="str">
        <f t="shared" si="384"/>
        <v/>
      </c>
    </row>
    <row r="4922" spans="5:19" x14ac:dyDescent="0.3">
      <c r="E4922" s="9" t="str">
        <f>IF(DADOS!C4922="","",DADOS!C4922)</f>
        <v/>
      </c>
      <c r="F4922" s="9" t="str">
        <f>IF(DADOS!E4922="","",DADOS!E4922)</f>
        <v/>
      </c>
      <c r="G4922" s="9" t="str">
        <f>IF(DADOS!F4922="","",DADOS!F4922)</f>
        <v/>
      </c>
      <c r="K4922" s="6" t="str">
        <f t="shared" si="385"/>
        <v/>
      </c>
      <c r="L4922" s="7" t="str">
        <f t="shared" si="386"/>
        <v/>
      </c>
      <c r="M4922" s="7" t="str">
        <f t="shared" si="383"/>
        <v/>
      </c>
      <c r="N4922" s="7" t="str">
        <f t="shared" si="387"/>
        <v/>
      </c>
      <c r="O4922" s="8"/>
      <c r="P4922" s="26"/>
      <c r="S4922" s="10" t="str">
        <f t="shared" si="384"/>
        <v/>
      </c>
    </row>
    <row r="4923" spans="5:19" x14ac:dyDescent="0.3">
      <c r="E4923" s="9" t="str">
        <f>IF(DADOS!C4923="","",DADOS!C4923)</f>
        <v/>
      </c>
      <c r="F4923" s="9" t="str">
        <f>IF(DADOS!E4923="","",DADOS!E4923)</f>
        <v/>
      </c>
      <c r="G4923" s="9" t="str">
        <f>IF(DADOS!F4923="","",DADOS!F4923)</f>
        <v/>
      </c>
      <c r="K4923" s="6" t="str">
        <f t="shared" si="385"/>
        <v/>
      </c>
      <c r="L4923" s="7" t="str">
        <f t="shared" si="386"/>
        <v/>
      </c>
      <c r="M4923" s="7" t="str">
        <f t="shared" si="383"/>
        <v/>
      </c>
      <c r="N4923" s="7" t="str">
        <f t="shared" si="387"/>
        <v/>
      </c>
      <c r="O4923" s="8"/>
      <c r="P4923" s="26"/>
      <c r="S4923" s="10" t="str">
        <f t="shared" si="384"/>
        <v/>
      </c>
    </row>
    <row r="4924" spans="5:19" x14ac:dyDescent="0.3">
      <c r="E4924" s="9" t="str">
        <f>IF(DADOS!C4924="","",DADOS!C4924)</f>
        <v/>
      </c>
      <c r="F4924" s="9" t="str">
        <f>IF(DADOS!E4924="","",DADOS!E4924)</f>
        <v/>
      </c>
      <c r="G4924" s="9" t="str">
        <f>IF(DADOS!F4924="","",DADOS!F4924)</f>
        <v/>
      </c>
      <c r="K4924" s="6" t="str">
        <f t="shared" si="385"/>
        <v/>
      </c>
      <c r="L4924" s="7" t="str">
        <f t="shared" si="386"/>
        <v/>
      </c>
      <c r="M4924" s="7" t="str">
        <f t="shared" si="383"/>
        <v/>
      </c>
      <c r="N4924" s="7" t="str">
        <f t="shared" si="387"/>
        <v/>
      </c>
      <c r="O4924" s="8"/>
      <c r="P4924" s="26"/>
      <c r="S4924" s="10" t="str">
        <f t="shared" si="384"/>
        <v/>
      </c>
    </row>
    <row r="4925" spans="5:19" x14ac:dyDescent="0.3">
      <c r="E4925" s="9" t="str">
        <f>IF(DADOS!C4925="","",DADOS!C4925)</f>
        <v/>
      </c>
      <c r="F4925" s="9" t="str">
        <f>IF(DADOS!E4925="","",DADOS!E4925)</f>
        <v/>
      </c>
      <c r="G4925" s="9" t="str">
        <f>IF(DADOS!F4925="","",DADOS!F4925)</f>
        <v/>
      </c>
      <c r="K4925" s="6" t="str">
        <f t="shared" si="385"/>
        <v/>
      </c>
      <c r="L4925" s="7" t="str">
        <f t="shared" si="386"/>
        <v/>
      </c>
      <c r="M4925" s="7" t="str">
        <f t="shared" si="383"/>
        <v/>
      </c>
      <c r="N4925" s="7" t="str">
        <f t="shared" si="387"/>
        <v/>
      </c>
      <c r="O4925" s="8"/>
      <c r="P4925" s="26"/>
      <c r="S4925" s="10" t="str">
        <f t="shared" si="384"/>
        <v/>
      </c>
    </row>
    <row r="4926" spans="5:19" x14ac:dyDescent="0.3">
      <c r="E4926" s="9" t="str">
        <f>IF(DADOS!C4926="","",DADOS!C4926)</f>
        <v/>
      </c>
      <c r="F4926" s="9" t="str">
        <f>IF(DADOS!E4926="","",DADOS!E4926)</f>
        <v/>
      </c>
      <c r="G4926" s="9" t="str">
        <f>IF(DADOS!F4926="","",DADOS!F4926)</f>
        <v/>
      </c>
      <c r="K4926" s="6" t="str">
        <f t="shared" si="385"/>
        <v/>
      </c>
      <c r="L4926" s="7" t="str">
        <f t="shared" si="386"/>
        <v/>
      </c>
      <c r="M4926" s="7" t="str">
        <f t="shared" si="383"/>
        <v/>
      </c>
      <c r="N4926" s="7" t="str">
        <f t="shared" si="387"/>
        <v/>
      </c>
      <c r="O4926" s="8"/>
      <c r="P4926" s="26"/>
      <c r="S4926" s="10" t="str">
        <f t="shared" si="384"/>
        <v/>
      </c>
    </row>
    <row r="4927" spans="5:19" x14ac:dyDescent="0.3">
      <c r="E4927" s="9" t="str">
        <f>IF(DADOS!C4927="","",DADOS!C4927)</f>
        <v/>
      </c>
      <c r="F4927" s="9" t="str">
        <f>IF(DADOS!E4927="","",DADOS!E4927)</f>
        <v/>
      </c>
      <c r="G4927" s="9" t="str">
        <f>IF(DADOS!F4927="","",DADOS!F4927)</f>
        <v/>
      </c>
      <c r="K4927" s="6" t="str">
        <f t="shared" si="385"/>
        <v/>
      </c>
      <c r="L4927" s="7" t="str">
        <f t="shared" si="386"/>
        <v/>
      </c>
      <c r="M4927" s="7" t="str">
        <f t="shared" si="383"/>
        <v/>
      </c>
      <c r="N4927" s="7" t="str">
        <f t="shared" si="387"/>
        <v/>
      </c>
      <c r="O4927" s="8"/>
      <c r="P4927" s="26"/>
      <c r="S4927" s="10" t="str">
        <f t="shared" si="384"/>
        <v/>
      </c>
    </row>
    <row r="4928" spans="5:19" x14ac:dyDescent="0.3">
      <c r="E4928" s="9" t="str">
        <f>IF(DADOS!C4928="","",DADOS!C4928)</f>
        <v/>
      </c>
      <c r="F4928" s="9" t="str">
        <f>IF(DADOS!E4928="","",DADOS!E4928)</f>
        <v/>
      </c>
      <c r="G4928" s="9" t="str">
        <f>IF(DADOS!F4928="","",DADOS!F4928)</f>
        <v/>
      </c>
      <c r="K4928" s="6" t="str">
        <f t="shared" si="385"/>
        <v/>
      </c>
      <c r="L4928" s="7" t="str">
        <f t="shared" si="386"/>
        <v/>
      </c>
      <c r="M4928" s="7" t="str">
        <f t="shared" si="383"/>
        <v/>
      </c>
      <c r="N4928" s="7" t="str">
        <f t="shared" si="387"/>
        <v/>
      </c>
      <c r="O4928" s="8"/>
      <c r="P4928" s="26"/>
      <c r="S4928" s="10" t="str">
        <f t="shared" si="384"/>
        <v/>
      </c>
    </row>
    <row r="4929" spans="5:19" x14ac:dyDescent="0.3">
      <c r="E4929" s="9" t="str">
        <f>IF(DADOS!C4929="","",DADOS!C4929)</f>
        <v/>
      </c>
      <c r="F4929" s="9" t="str">
        <f>IF(DADOS!E4929="","",DADOS!E4929)</f>
        <v/>
      </c>
      <c r="G4929" s="9" t="str">
        <f>IF(DADOS!F4929="","",DADOS!F4929)</f>
        <v/>
      </c>
      <c r="K4929" s="6" t="str">
        <f t="shared" si="385"/>
        <v/>
      </c>
      <c r="L4929" s="7" t="str">
        <f t="shared" si="386"/>
        <v/>
      </c>
      <c r="M4929" s="7" t="str">
        <f t="shared" si="383"/>
        <v/>
      </c>
      <c r="N4929" s="7" t="str">
        <f t="shared" si="387"/>
        <v/>
      </c>
      <c r="O4929" s="8"/>
      <c r="P4929" s="26"/>
      <c r="S4929" s="10" t="str">
        <f t="shared" si="384"/>
        <v/>
      </c>
    </row>
    <row r="4930" spans="5:19" x14ac:dyDescent="0.3">
      <c r="E4930" s="9" t="str">
        <f>IF(DADOS!C4930="","",DADOS!C4930)</f>
        <v/>
      </c>
      <c r="F4930" s="9" t="str">
        <f>IF(DADOS!E4930="","",DADOS!E4930)</f>
        <v/>
      </c>
      <c r="G4930" s="9" t="str">
        <f>IF(DADOS!F4930="","",DADOS!F4930)</f>
        <v/>
      </c>
      <c r="K4930" s="6" t="str">
        <f t="shared" si="385"/>
        <v/>
      </c>
      <c r="L4930" s="7" t="str">
        <f t="shared" si="386"/>
        <v/>
      </c>
      <c r="M4930" s="7" t="str">
        <f t="shared" si="383"/>
        <v/>
      </c>
      <c r="N4930" s="7" t="str">
        <f t="shared" si="387"/>
        <v/>
      </c>
      <c r="O4930" s="8"/>
      <c r="P4930" s="26"/>
      <c r="S4930" s="10" t="str">
        <f t="shared" si="384"/>
        <v/>
      </c>
    </row>
    <row r="4931" spans="5:19" x14ac:dyDescent="0.3">
      <c r="E4931" s="9" t="str">
        <f>IF(DADOS!C4931="","",DADOS!C4931)</f>
        <v/>
      </c>
      <c r="F4931" s="9" t="str">
        <f>IF(DADOS!E4931="","",DADOS!E4931)</f>
        <v/>
      </c>
      <c r="G4931" s="9" t="str">
        <f>IF(DADOS!F4931="","",DADOS!F4931)</f>
        <v/>
      </c>
      <c r="K4931" s="6" t="str">
        <f t="shared" si="385"/>
        <v/>
      </c>
      <c r="L4931" s="7" t="str">
        <f t="shared" si="386"/>
        <v/>
      </c>
      <c r="M4931" s="7" t="str">
        <f t="shared" ref="M4931:M4994" si="388">IF(L4931="","",L4931*G4931)</f>
        <v/>
      </c>
      <c r="N4931" s="7" t="str">
        <f t="shared" si="387"/>
        <v/>
      </c>
      <c r="O4931" s="8"/>
      <c r="P4931" s="26"/>
      <c r="S4931" s="10" t="str">
        <f t="shared" ref="S4931:S4994" si="389">IF(R4931="","",SUMIFS($N$3:$N$10000,$E$3:$E$10000,R4931))</f>
        <v/>
      </c>
    </row>
    <row r="4932" spans="5:19" x14ac:dyDescent="0.3">
      <c r="E4932" s="9" t="str">
        <f>IF(DADOS!C4932="","",DADOS!C4932)</f>
        <v/>
      </c>
      <c r="F4932" s="9" t="str">
        <f>IF(DADOS!E4932="","",DADOS!E4932)</f>
        <v/>
      </c>
      <c r="G4932" s="9" t="str">
        <f>IF(DADOS!F4932="","",DADOS!F4932)</f>
        <v/>
      </c>
      <c r="K4932" s="6" t="str">
        <f t="shared" ref="K4932:K4995" si="390">IF(F4932="","",F4932/PI())</f>
        <v/>
      </c>
      <c r="L4932" s="7" t="str">
        <f t="shared" ref="L4932:L4995" si="391">IF(K4932="","",(PI()*K4932^2)/40000)</f>
        <v/>
      </c>
      <c r="M4932" s="7" t="str">
        <f t="shared" si="388"/>
        <v/>
      </c>
      <c r="N4932" s="7" t="str">
        <f t="shared" ref="N4932:N4995" si="392">IF(M4932="","",M4932*N$1)</f>
        <v/>
      </c>
      <c r="O4932" s="8"/>
      <c r="P4932" s="26"/>
      <c r="S4932" s="10" t="str">
        <f t="shared" si="389"/>
        <v/>
      </c>
    </row>
    <row r="4933" spans="5:19" x14ac:dyDescent="0.3">
      <c r="E4933" s="9" t="str">
        <f>IF(DADOS!C4933="","",DADOS!C4933)</f>
        <v/>
      </c>
      <c r="F4933" s="9" t="str">
        <f>IF(DADOS!E4933="","",DADOS!E4933)</f>
        <v/>
      </c>
      <c r="G4933" s="9" t="str">
        <f>IF(DADOS!F4933="","",DADOS!F4933)</f>
        <v/>
      </c>
      <c r="K4933" s="6" t="str">
        <f t="shared" si="390"/>
        <v/>
      </c>
      <c r="L4933" s="7" t="str">
        <f t="shared" si="391"/>
        <v/>
      </c>
      <c r="M4933" s="7" t="str">
        <f t="shared" si="388"/>
        <v/>
      </c>
      <c r="N4933" s="7" t="str">
        <f t="shared" si="392"/>
        <v/>
      </c>
      <c r="O4933" s="8"/>
      <c r="P4933" s="26"/>
      <c r="S4933" s="10" t="str">
        <f t="shared" si="389"/>
        <v/>
      </c>
    </row>
    <row r="4934" spans="5:19" x14ac:dyDescent="0.3">
      <c r="E4934" s="9" t="str">
        <f>IF(DADOS!C4934="","",DADOS!C4934)</f>
        <v/>
      </c>
      <c r="F4934" s="9" t="str">
        <f>IF(DADOS!E4934="","",DADOS!E4934)</f>
        <v/>
      </c>
      <c r="G4934" s="9" t="str">
        <f>IF(DADOS!F4934="","",DADOS!F4934)</f>
        <v/>
      </c>
      <c r="K4934" s="6" t="str">
        <f t="shared" si="390"/>
        <v/>
      </c>
      <c r="L4934" s="7" t="str">
        <f t="shared" si="391"/>
        <v/>
      </c>
      <c r="M4934" s="7" t="str">
        <f t="shared" si="388"/>
        <v/>
      </c>
      <c r="N4934" s="7" t="str">
        <f t="shared" si="392"/>
        <v/>
      </c>
      <c r="O4934" s="8"/>
      <c r="P4934" s="26"/>
      <c r="S4934" s="10" t="str">
        <f t="shared" si="389"/>
        <v/>
      </c>
    </row>
    <row r="4935" spans="5:19" x14ac:dyDescent="0.3">
      <c r="E4935" s="9" t="str">
        <f>IF(DADOS!C4935="","",DADOS!C4935)</f>
        <v/>
      </c>
      <c r="F4935" s="9" t="str">
        <f>IF(DADOS!E4935="","",DADOS!E4935)</f>
        <v/>
      </c>
      <c r="G4935" s="9" t="str">
        <f>IF(DADOS!F4935="","",DADOS!F4935)</f>
        <v/>
      </c>
      <c r="K4935" s="6" t="str">
        <f t="shared" si="390"/>
        <v/>
      </c>
      <c r="L4935" s="7" t="str">
        <f t="shared" si="391"/>
        <v/>
      </c>
      <c r="M4935" s="7" t="str">
        <f t="shared" si="388"/>
        <v/>
      </c>
      <c r="N4935" s="7" t="str">
        <f t="shared" si="392"/>
        <v/>
      </c>
      <c r="O4935" s="8"/>
      <c r="P4935" s="26"/>
      <c r="S4935" s="10" t="str">
        <f t="shared" si="389"/>
        <v/>
      </c>
    </row>
    <row r="4936" spans="5:19" x14ac:dyDescent="0.3">
      <c r="E4936" s="9" t="str">
        <f>IF(DADOS!C4936="","",DADOS!C4936)</f>
        <v/>
      </c>
      <c r="F4936" s="9" t="str">
        <f>IF(DADOS!E4936="","",DADOS!E4936)</f>
        <v/>
      </c>
      <c r="G4936" s="9" t="str">
        <f>IF(DADOS!F4936="","",DADOS!F4936)</f>
        <v/>
      </c>
      <c r="K4936" s="6" t="str">
        <f t="shared" si="390"/>
        <v/>
      </c>
      <c r="L4936" s="7" t="str">
        <f t="shared" si="391"/>
        <v/>
      </c>
      <c r="M4936" s="7" t="str">
        <f t="shared" si="388"/>
        <v/>
      </c>
      <c r="N4936" s="7" t="str">
        <f t="shared" si="392"/>
        <v/>
      </c>
      <c r="O4936" s="8"/>
      <c r="P4936" s="26"/>
      <c r="S4936" s="10" t="str">
        <f t="shared" si="389"/>
        <v/>
      </c>
    </row>
    <row r="4937" spans="5:19" x14ac:dyDescent="0.3">
      <c r="E4937" s="9" t="str">
        <f>IF(DADOS!C4937="","",DADOS!C4937)</f>
        <v/>
      </c>
      <c r="F4937" s="9" t="str">
        <f>IF(DADOS!E4937="","",DADOS!E4937)</f>
        <v/>
      </c>
      <c r="G4937" s="9" t="str">
        <f>IF(DADOS!F4937="","",DADOS!F4937)</f>
        <v/>
      </c>
      <c r="K4937" s="6" t="str">
        <f t="shared" si="390"/>
        <v/>
      </c>
      <c r="L4937" s="7" t="str">
        <f t="shared" si="391"/>
        <v/>
      </c>
      <c r="M4937" s="7" t="str">
        <f t="shared" si="388"/>
        <v/>
      </c>
      <c r="N4937" s="7" t="str">
        <f t="shared" si="392"/>
        <v/>
      </c>
      <c r="O4937" s="8"/>
      <c r="P4937" s="26"/>
      <c r="S4937" s="10" t="str">
        <f t="shared" si="389"/>
        <v/>
      </c>
    </row>
    <row r="4938" spans="5:19" x14ac:dyDescent="0.3">
      <c r="E4938" s="9" t="str">
        <f>IF(DADOS!C4938="","",DADOS!C4938)</f>
        <v/>
      </c>
      <c r="F4938" s="9" t="str">
        <f>IF(DADOS!E4938="","",DADOS!E4938)</f>
        <v/>
      </c>
      <c r="G4938" s="9" t="str">
        <f>IF(DADOS!F4938="","",DADOS!F4938)</f>
        <v/>
      </c>
      <c r="K4938" s="6" t="str">
        <f t="shared" si="390"/>
        <v/>
      </c>
      <c r="L4938" s="7" t="str">
        <f t="shared" si="391"/>
        <v/>
      </c>
      <c r="M4938" s="7" t="str">
        <f t="shared" si="388"/>
        <v/>
      </c>
      <c r="N4938" s="7" t="str">
        <f t="shared" si="392"/>
        <v/>
      </c>
      <c r="O4938" s="8"/>
      <c r="P4938" s="26"/>
      <c r="S4938" s="10" t="str">
        <f t="shared" si="389"/>
        <v/>
      </c>
    </row>
    <row r="4939" spans="5:19" x14ac:dyDescent="0.3">
      <c r="E4939" s="9" t="str">
        <f>IF(DADOS!C4939="","",DADOS!C4939)</f>
        <v/>
      </c>
      <c r="F4939" s="9" t="str">
        <f>IF(DADOS!E4939="","",DADOS!E4939)</f>
        <v/>
      </c>
      <c r="G4939" s="9" t="str">
        <f>IF(DADOS!F4939="","",DADOS!F4939)</f>
        <v/>
      </c>
      <c r="K4939" s="6" t="str">
        <f t="shared" si="390"/>
        <v/>
      </c>
      <c r="L4939" s="7" t="str">
        <f t="shared" si="391"/>
        <v/>
      </c>
      <c r="M4939" s="7" t="str">
        <f t="shared" si="388"/>
        <v/>
      </c>
      <c r="N4939" s="7" t="str">
        <f t="shared" si="392"/>
        <v/>
      </c>
      <c r="O4939" s="8"/>
      <c r="P4939" s="26"/>
      <c r="S4939" s="10" t="str">
        <f t="shared" si="389"/>
        <v/>
      </c>
    </row>
    <row r="4940" spans="5:19" x14ac:dyDescent="0.3">
      <c r="E4940" s="9" t="str">
        <f>IF(DADOS!C4940="","",DADOS!C4940)</f>
        <v/>
      </c>
      <c r="F4940" s="9" t="str">
        <f>IF(DADOS!E4940="","",DADOS!E4940)</f>
        <v/>
      </c>
      <c r="G4940" s="9" t="str">
        <f>IF(DADOS!F4940="","",DADOS!F4940)</f>
        <v/>
      </c>
      <c r="K4940" s="6" t="str">
        <f t="shared" si="390"/>
        <v/>
      </c>
      <c r="L4940" s="7" t="str">
        <f t="shared" si="391"/>
        <v/>
      </c>
      <c r="M4940" s="7" t="str">
        <f t="shared" si="388"/>
        <v/>
      </c>
      <c r="N4940" s="7" t="str">
        <f t="shared" si="392"/>
        <v/>
      </c>
      <c r="O4940" s="8"/>
      <c r="P4940" s="26"/>
      <c r="S4940" s="10" t="str">
        <f t="shared" si="389"/>
        <v/>
      </c>
    </row>
    <row r="4941" spans="5:19" x14ac:dyDescent="0.3">
      <c r="E4941" s="9" t="str">
        <f>IF(DADOS!C4941="","",DADOS!C4941)</f>
        <v/>
      </c>
      <c r="F4941" s="9" t="str">
        <f>IF(DADOS!E4941="","",DADOS!E4941)</f>
        <v/>
      </c>
      <c r="G4941" s="9" t="str">
        <f>IF(DADOS!F4941="","",DADOS!F4941)</f>
        <v/>
      </c>
      <c r="K4941" s="6" t="str">
        <f t="shared" si="390"/>
        <v/>
      </c>
      <c r="L4941" s="7" t="str">
        <f t="shared" si="391"/>
        <v/>
      </c>
      <c r="M4941" s="7" t="str">
        <f t="shared" si="388"/>
        <v/>
      </c>
      <c r="N4941" s="7" t="str">
        <f t="shared" si="392"/>
        <v/>
      </c>
      <c r="O4941" s="8"/>
      <c r="P4941" s="26"/>
      <c r="S4941" s="10" t="str">
        <f t="shared" si="389"/>
        <v/>
      </c>
    </row>
    <row r="4942" spans="5:19" x14ac:dyDescent="0.3">
      <c r="E4942" s="9" t="str">
        <f>IF(DADOS!C4942="","",DADOS!C4942)</f>
        <v/>
      </c>
      <c r="F4942" s="9" t="str">
        <f>IF(DADOS!E4942="","",DADOS!E4942)</f>
        <v/>
      </c>
      <c r="G4942" s="9" t="str">
        <f>IF(DADOS!F4942="","",DADOS!F4942)</f>
        <v/>
      </c>
      <c r="K4942" s="6" t="str">
        <f t="shared" si="390"/>
        <v/>
      </c>
      <c r="L4942" s="7" t="str">
        <f t="shared" si="391"/>
        <v/>
      </c>
      <c r="M4942" s="7" t="str">
        <f t="shared" si="388"/>
        <v/>
      </c>
      <c r="N4942" s="7" t="str">
        <f t="shared" si="392"/>
        <v/>
      </c>
      <c r="O4942" s="8"/>
      <c r="P4942" s="26"/>
      <c r="S4942" s="10" t="str">
        <f t="shared" si="389"/>
        <v/>
      </c>
    </row>
    <row r="4943" spans="5:19" x14ac:dyDescent="0.3">
      <c r="E4943" s="9" t="str">
        <f>IF(DADOS!C4943="","",DADOS!C4943)</f>
        <v/>
      </c>
      <c r="F4943" s="9" t="str">
        <f>IF(DADOS!E4943="","",DADOS!E4943)</f>
        <v/>
      </c>
      <c r="G4943" s="9" t="str">
        <f>IF(DADOS!F4943="","",DADOS!F4943)</f>
        <v/>
      </c>
      <c r="K4943" s="6" t="str">
        <f t="shared" si="390"/>
        <v/>
      </c>
      <c r="L4943" s="7" t="str">
        <f t="shared" si="391"/>
        <v/>
      </c>
      <c r="M4943" s="7" t="str">
        <f t="shared" si="388"/>
        <v/>
      </c>
      <c r="N4943" s="7" t="str">
        <f t="shared" si="392"/>
        <v/>
      </c>
      <c r="O4943" s="8"/>
      <c r="P4943" s="26"/>
      <c r="S4943" s="10" t="str">
        <f t="shared" si="389"/>
        <v/>
      </c>
    </row>
    <row r="4944" spans="5:19" x14ac:dyDescent="0.3">
      <c r="E4944" s="9" t="str">
        <f>IF(DADOS!C4944="","",DADOS!C4944)</f>
        <v/>
      </c>
      <c r="F4944" s="9" t="str">
        <f>IF(DADOS!E4944="","",DADOS!E4944)</f>
        <v/>
      </c>
      <c r="G4944" s="9" t="str">
        <f>IF(DADOS!F4944="","",DADOS!F4944)</f>
        <v/>
      </c>
      <c r="K4944" s="6" t="str">
        <f t="shared" si="390"/>
        <v/>
      </c>
      <c r="L4944" s="7" t="str">
        <f t="shared" si="391"/>
        <v/>
      </c>
      <c r="M4944" s="7" t="str">
        <f t="shared" si="388"/>
        <v/>
      </c>
      <c r="N4944" s="7" t="str">
        <f t="shared" si="392"/>
        <v/>
      </c>
      <c r="O4944" s="8"/>
      <c r="P4944" s="26"/>
      <c r="S4944" s="10" t="str">
        <f t="shared" si="389"/>
        <v/>
      </c>
    </row>
    <row r="4945" spans="5:19" x14ac:dyDescent="0.3">
      <c r="E4945" s="9" t="str">
        <f>IF(DADOS!C4945="","",DADOS!C4945)</f>
        <v/>
      </c>
      <c r="F4945" s="9" t="str">
        <f>IF(DADOS!E4945="","",DADOS!E4945)</f>
        <v/>
      </c>
      <c r="G4945" s="9" t="str">
        <f>IF(DADOS!F4945="","",DADOS!F4945)</f>
        <v/>
      </c>
      <c r="K4945" s="6" t="str">
        <f t="shared" si="390"/>
        <v/>
      </c>
      <c r="L4945" s="7" t="str">
        <f t="shared" si="391"/>
        <v/>
      </c>
      <c r="M4945" s="7" t="str">
        <f t="shared" si="388"/>
        <v/>
      </c>
      <c r="N4945" s="7" t="str">
        <f t="shared" si="392"/>
        <v/>
      </c>
      <c r="O4945" s="8"/>
      <c r="P4945" s="26"/>
      <c r="S4945" s="10" t="str">
        <f t="shared" si="389"/>
        <v/>
      </c>
    </row>
    <row r="4946" spans="5:19" x14ac:dyDescent="0.3">
      <c r="E4946" s="9" t="str">
        <f>IF(DADOS!C4946="","",DADOS!C4946)</f>
        <v/>
      </c>
      <c r="F4946" s="9" t="str">
        <f>IF(DADOS!E4946="","",DADOS!E4946)</f>
        <v/>
      </c>
      <c r="G4946" s="9" t="str">
        <f>IF(DADOS!F4946="","",DADOS!F4946)</f>
        <v/>
      </c>
      <c r="K4946" s="6" t="str">
        <f t="shared" si="390"/>
        <v/>
      </c>
      <c r="L4946" s="7" t="str">
        <f t="shared" si="391"/>
        <v/>
      </c>
      <c r="M4946" s="7" t="str">
        <f t="shared" si="388"/>
        <v/>
      </c>
      <c r="N4946" s="7" t="str">
        <f t="shared" si="392"/>
        <v/>
      </c>
      <c r="O4946" s="8"/>
      <c r="P4946" s="26"/>
      <c r="S4946" s="10" t="str">
        <f t="shared" si="389"/>
        <v/>
      </c>
    </row>
    <row r="4947" spans="5:19" x14ac:dyDescent="0.3">
      <c r="E4947" s="9" t="str">
        <f>IF(DADOS!C4947="","",DADOS!C4947)</f>
        <v/>
      </c>
      <c r="F4947" s="9" t="str">
        <f>IF(DADOS!E4947="","",DADOS!E4947)</f>
        <v/>
      </c>
      <c r="G4947" s="9" t="str">
        <f>IF(DADOS!F4947="","",DADOS!F4947)</f>
        <v/>
      </c>
      <c r="K4947" s="6" t="str">
        <f t="shared" si="390"/>
        <v/>
      </c>
      <c r="L4947" s="7" t="str">
        <f t="shared" si="391"/>
        <v/>
      </c>
      <c r="M4947" s="7" t="str">
        <f t="shared" si="388"/>
        <v/>
      </c>
      <c r="N4947" s="7" t="str">
        <f t="shared" si="392"/>
        <v/>
      </c>
      <c r="O4947" s="8"/>
      <c r="P4947" s="26"/>
      <c r="S4947" s="10" t="str">
        <f t="shared" si="389"/>
        <v/>
      </c>
    </row>
    <row r="4948" spans="5:19" x14ac:dyDescent="0.3">
      <c r="E4948" s="9" t="str">
        <f>IF(DADOS!C4948="","",DADOS!C4948)</f>
        <v/>
      </c>
      <c r="F4948" s="9" t="str">
        <f>IF(DADOS!E4948="","",DADOS!E4948)</f>
        <v/>
      </c>
      <c r="G4948" s="9" t="str">
        <f>IF(DADOS!F4948="","",DADOS!F4948)</f>
        <v/>
      </c>
      <c r="K4948" s="6" t="str">
        <f t="shared" si="390"/>
        <v/>
      </c>
      <c r="L4948" s="7" t="str">
        <f t="shared" si="391"/>
        <v/>
      </c>
      <c r="M4948" s="7" t="str">
        <f t="shared" si="388"/>
        <v/>
      </c>
      <c r="N4948" s="7" t="str">
        <f t="shared" si="392"/>
        <v/>
      </c>
      <c r="O4948" s="8"/>
      <c r="P4948" s="26"/>
      <c r="S4948" s="10" t="str">
        <f t="shared" si="389"/>
        <v/>
      </c>
    </row>
    <row r="4949" spans="5:19" x14ac:dyDescent="0.3">
      <c r="E4949" s="9" t="str">
        <f>IF(DADOS!C4949="","",DADOS!C4949)</f>
        <v/>
      </c>
      <c r="F4949" s="9" t="str">
        <f>IF(DADOS!E4949="","",DADOS!E4949)</f>
        <v/>
      </c>
      <c r="G4949" s="9" t="str">
        <f>IF(DADOS!F4949="","",DADOS!F4949)</f>
        <v/>
      </c>
      <c r="K4949" s="6" t="str">
        <f t="shared" si="390"/>
        <v/>
      </c>
      <c r="L4949" s="7" t="str">
        <f t="shared" si="391"/>
        <v/>
      </c>
      <c r="M4949" s="7" t="str">
        <f t="shared" si="388"/>
        <v/>
      </c>
      <c r="N4949" s="7" t="str">
        <f t="shared" si="392"/>
        <v/>
      </c>
      <c r="O4949" s="8"/>
      <c r="P4949" s="26"/>
      <c r="S4949" s="10" t="str">
        <f t="shared" si="389"/>
        <v/>
      </c>
    </row>
    <row r="4950" spans="5:19" x14ac:dyDescent="0.3">
      <c r="E4950" s="9" t="str">
        <f>IF(DADOS!C4950="","",DADOS!C4950)</f>
        <v/>
      </c>
      <c r="F4950" s="9" t="str">
        <f>IF(DADOS!E4950="","",DADOS!E4950)</f>
        <v/>
      </c>
      <c r="G4950" s="9" t="str">
        <f>IF(DADOS!F4950="","",DADOS!F4950)</f>
        <v/>
      </c>
      <c r="K4950" s="6" t="str">
        <f t="shared" si="390"/>
        <v/>
      </c>
      <c r="L4950" s="7" t="str">
        <f t="shared" si="391"/>
        <v/>
      </c>
      <c r="M4950" s="7" t="str">
        <f t="shared" si="388"/>
        <v/>
      </c>
      <c r="N4950" s="7" t="str">
        <f t="shared" si="392"/>
        <v/>
      </c>
      <c r="O4950" s="8"/>
      <c r="P4950" s="26"/>
      <c r="S4950" s="10" t="str">
        <f t="shared" si="389"/>
        <v/>
      </c>
    </row>
    <row r="4951" spans="5:19" x14ac:dyDescent="0.3">
      <c r="E4951" s="9" t="str">
        <f>IF(DADOS!C4951="","",DADOS!C4951)</f>
        <v/>
      </c>
      <c r="F4951" s="9" t="str">
        <f>IF(DADOS!E4951="","",DADOS!E4951)</f>
        <v/>
      </c>
      <c r="G4951" s="9" t="str">
        <f>IF(DADOS!F4951="","",DADOS!F4951)</f>
        <v/>
      </c>
      <c r="K4951" s="6" t="str">
        <f t="shared" si="390"/>
        <v/>
      </c>
      <c r="L4951" s="7" t="str">
        <f t="shared" si="391"/>
        <v/>
      </c>
      <c r="M4951" s="7" t="str">
        <f t="shared" si="388"/>
        <v/>
      </c>
      <c r="N4951" s="7" t="str">
        <f t="shared" si="392"/>
        <v/>
      </c>
      <c r="O4951" s="8"/>
      <c r="P4951" s="26"/>
      <c r="S4951" s="10" t="str">
        <f t="shared" si="389"/>
        <v/>
      </c>
    </row>
    <row r="4952" spans="5:19" x14ac:dyDescent="0.3">
      <c r="E4952" s="9" t="str">
        <f>IF(DADOS!C4952="","",DADOS!C4952)</f>
        <v/>
      </c>
      <c r="F4952" s="9" t="str">
        <f>IF(DADOS!E4952="","",DADOS!E4952)</f>
        <v/>
      </c>
      <c r="G4952" s="9" t="str">
        <f>IF(DADOS!F4952="","",DADOS!F4952)</f>
        <v/>
      </c>
      <c r="K4952" s="6" t="str">
        <f t="shared" si="390"/>
        <v/>
      </c>
      <c r="L4952" s="7" t="str">
        <f t="shared" si="391"/>
        <v/>
      </c>
      <c r="M4952" s="7" t="str">
        <f t="shared" si="388"/>
        <v/>
      </c>
      <c r="N4952" s="7" t="str">
        <f t="shared" si="392"/>
        <v/>
      </c>
      <c r="O4952" s="8"/>
      <c r="P4952" s="26"/>
      <c r="S4952" s="10" t="str">
        <f t="shared" si="389"/>
        <v/>
      </c>
    </row>
    <row r="4953" spans="5:19" x14ac:dyDescent="0.3">
      <c r="E4953" s="9" t="str">
        <f>IF(DADOS!C4953="","",DADOS!C4953)</f>
        <v/>
      </c>
      <c r="F4953" s="9" t="str">
        <f>IF(DADOS!E4953="","",DADOS!E4953)</f>
        <v/>
      </c>
      <c r="G4953" s="9" t="str">
        <f>IF(DADOS!F4953="","",DADOS!F4953)</f>
        <v/>
      </c>
      <c r="K4953" s="6" t="str">
        <f t="shared" si="390"/>
        <v/>
      </c>
      <c r="L4953" s="7" t="str">
        <f t="shared" si="391"/>
        <v/>
      </c>
      <c r="M4953" s="7" t="str">
        <f t="shared" si="388"/>
        <v/>
      </c>
      <c r="N4953" s="7" t="str">
        <f t="shared" si="392"/>
        <v/>
      </c>
      <c r="O4953" s="8"/>
      <c r="P4953" s="26"/>
      <c r="S4953" s="10" t="str">
        <f t="shared" si="389"/>
        <v/>
      </c>
    </row>
    <row r="4954" spans="5:19" x14ac:dyDescent="0.3">
      <c r="E4954" s="9" t="str">
        <f>IF(DADOS!C4954="","",DADOS!C4954)</f>
        <v/>
      </c>
      <c r="F4954" s="9" t="str">
        <f>IF(DADOS!E4954="","",DADOS!E4954)</f>
        <v/>
      </c>
      <c r="G4954" s="9" t="str">
        <f>IF(DADOS!F4954="","",DADOS!F4954)</f>
        <v/>
      </c>
      <c r="K4954" s="6" t="str">
        <f t="shared" si="390"/>
        <v/>
      </c>
      <c r="L4954" s="7" t="str">
        <f t="shared" si="391"/>
        <v/>
      </c>
      <c r="M4954" s="7" t="str">
        <f t="shared" si="388"/>
        <v/>
      </c>
      <c r="N4954" s="7" t="str">
        <f t="shared" si="392"/>
        <v/>
      </c>
      <c r="O4954" s="8"/>
      <c r="P4954" s="26"/>
      <c r="S4954" s="10" t="str">
        <f t="shared" si="389"/>
        <v/>
      </c>
    </row>
    <row r="4955" spans="5:19" x14ac:dyDescent="0.3">
      <c r="E4955" s="9" t="str">
        <f>IF(DADOS!C4955="","",DADOS!C4955)</f>
        <v/>
      </c>
      <c r="F4955" s="9" t="str">
        <f>IF(DADOS!E4955="","",DADOS!E4955)</f>
        <v/>
      </c>
      <c r="G4955" s="9" t="str">
        <f>IF(DADOS!F4955="","",DADOS!F4955)</f>
        <v/>
      </c>
      <c r="K4955" s="6" t="str">
        <f t="shared" si="390"/>
        <v/>
      </c>
      <c r="L4955" s="7" t="str">
        <f t="shared" si="391"/>
        <v/>
      </c>
      <c r="M4955" s="7" t="str">
        <f t="shared" si="388"/>
        <v/>
      </c>
      <c r="N4955" s="7" t="str">
        <f t="shared" si="392"/>
        <v/>
      </c>
      <c r="O4955" s="8"/>
      <c r="P4955" s="26"/>
      <c r="S4955" s="10" t="str">
        <f t="shared" si="389"/>
        <v/>
      </c>
    </row>
    <row r="4956" spans="5:19" x14ac:dyDescent="0.3">
      <c r="E4956" s="9" t="str">
        <f>IF(DADOS!C4956="","",DADOS!C4956)</f>
        <v/>
      </c>
      <c r="F4956" s="9" t="str">
        <f>IF(DADOS!E4956="","",DADOS!E4956)</f>
        <v/>
      </c>
      <c r="G4956" s="9" t="str">
        <f>IF(DADOS!F4956="","",DADOS!F4956)</f>
        <v/>
      </c>
      <c r="K4956" s="6" t="str">
        <f t="shared" si="390"/>
        <v/>
      </c>
      <c r="L4956" s="7" t="str">
        <f t="shared" si="391"/>
        <v/>
      </c>
      <c r="M4956" s="7" t="str">
        <f t="shared" si="388"/>
        <v/>
      </c>
      <c r="N4956" s="7" t="str">
        <f t="shared" si="392"/>
        <v/>
      </c>
      <c r="O4956" s="8"/>
      <c r="P4956" s="26"/>
      <c r="S4956" s="10" t="str">
        <f t="shared" si="389"/>
        <v/>
      </c>
    </row>
    <row r="4957" spans="5:19" x14ac:dyDescent="0.3">
      <c r="E4957" s="9" t="str">
        <f>IF(DADOS!C4957="","",DADOS!C4957)</f>
        <v/>
      </c>
      <c r="F4957" s="9" t="str">
        <f>IF(DADOS!E4957="","",DADOS!E4957)</f>
        <v/>
      </c>
      <c r="G4957" s="9" t="str">
        <f>IF(DADOS!F4957="","",DADOS!F4957)</f>
        <v/>
      </c>
      <c r="K4957" s="6" t="str">
        <f t="shared" si="390"/>
        <v/>
      </c>
      <c r="L4957" s="7" t="str">
        <f t="shared" si="391"/>
        <v/>
      </c>
      <c r="M4957" s="7" t="str">
        <f t="shared" si="388"/>
        <v/>
      </c>
      <c r="N4957" s="7" t="str">
        <f t="shared" si="392"/>
        <v/>
      </c>
      <c r="O4957" s="8"/>
      <c r="P4957" s="26"/>
      <c r="S4957" s="10" t="str">
        <f t="shared" si="389"/>
        <v/>
      </c>
    </row>
    <row r="4958" spans="5:19" x14ac:dyDescent="0.3">
      <c r="E4958" s="9" t="str">
        <f>IF(DADOS!C4958="","",DADOS!C4958)</f>
        <v/>
      </c>
      <c r="F4958" s="9" t="str">
        <f>IF(DADOS!E4958="","",DADOS!E4958)</f>
        <v/>
      </c>
      <c r="G4958" s="9" t="str">
        <f>IF(DADOS!F4958="","",DADOS!F4958)</f>
        <v/>
      </c>
      <c r="K4958" s="6" t="str">
        <f t="shared" si="390"/>
        <v/>
      </c>
      <c r="L4958" s="7" t="str">
        <f t="shared" si="391"/>
        <v/>
      </c>
      <c r="M4958" s="7" t="str">
        <f t="shared" si="388"/>
        <v/>
      </c>
      <c r="N4958" s="7" t="str">
        <f t="shared" si="392"/>
        <v/>
      </c>
      <c r="O4958" s="8"/>
      <c r="P4958" s="26"/>
      <c r="S4958" s="10" t="str">
        <f t="shared" si="389"/>
        <v/>
      </c>
    </row>
    <row r="4959" spans="5:19" x14ac:dyDescent="0.3">
      <c r="E4959" s="9" t="str">
        <f>IF(DADOS!C4959="","",DADOS!C4959)</f>
        <v/>
      </c>
      <c r="F4959" s="9" t="str">
        <f>IF(DADOS!E4959="","",DADOS!E4959)</f>
        <v/>
      </c>
      <c r="G4959" s="9" t="str">
        <f>IF(DADOS!F4959="","",DADOS!F4959)</f>
        <v/>
      </c>
      <c r="K4959" s="6" t="str">
        <f t="shared" si="390"/>
        <v/>
      </c>
      <c r="L4959" s="7" t="str">
        <f t="shared" si="391"/>
        <v/>
      </c>
      <c r="M4959" s="7" t="str">
        <f t="shared" si="388"/>
        <v/>
      </c>
      <c r="N4959" s="7" t="str">
        <f t="shared" si="392"/>
        <v/>
      </c>
      <c r="O4959" s="8"/>
      <c r="P4959" s="26"/>
      <c r="S4959" s="10" t="str">
        <f t="shared" si="389"/>
        <v/>
      </c>
    </row>
    <row r="4960" spans="5:19" x14ac:dyDescent="0.3">
      <c r="E4960" s="9" t="str">
        <f>IF(DADOS!C4960="","",DADOS!C4960)</f>
        <v/>
      </c>
      <c r="F4960" s="9" t="str">
        <f>IF(DADOS!E4960="","",DADOS!E4960)</f>
        <v/>
      </c>
      <c r="G4960" s="9" t="str">
        <f>IF(DADOS!F4960="","",DADOS!F4960)</f>
        <v/>
      </c>
      <c r="K4960" s="6" t="str">
        <f t="shared" si="390"/>
        <v/>
      </c>
      <c r="L4960" s="7" t="str">
        <f t="shared" si="391"/>
        <v/>
      </c>
      <c r="M4960" s="7" t="str">
        <f t="shared" si="388"/>
        <v/>
      </c>
      <c r="N4960" s="7" t="str">
        <f t="shared" si="392"/>
        <v/>
      </c>
      <c r="O4960" s="8"/>
      <c r="P4960" s="26"/>
      <c r="S4960" s="10" t="str">
        <f t="shared" si="389"/>
        <v/>
      </c>
    </row>
    <row r="4961" spans="5:19" x14ac:dyDescent="0.3">
      <c r="E4961" s="9" t="str">
        <f>IF(DADOS!C4961="","",DADOS!C4961)</f>
        <v/>
      </c>
      <c r="F4961" s="9" t="str">
        <f>IF(DADOS!E4961="","",DADOS!E4961)</f>
        <v/>
      </c>
      <c r="G4961" s="9" t="str">
        <f>IF(DADOS!F4961="","",DADOS!F4961)</f>
        <v/>
      </c>
      <c r="K4961" s="6" t="str">
        <f t="shared" si="390"/>
        <v/>
      </c>
      <c r="L4961" s="7" t="str">
        <f t="shared" si="391"/>
        <v/>
      </c>
      <c r="M4961" s="7" t="str">
        <f t="shared" si="388"/>
        <v/>
      </c>
      <c r="N4961" s="7" t="str">
        <f t="shared" si="392"/>
        <v/>
      </c>
      <c r="O4961" s="8"/>
      <c r="P4961" s="26"/>
      <c r="S4961" s="10" t="str">
        <f t="shared" si="389"/>
        <v/>
      </c>
    </row>
    <row r="4962" spans="5:19" x14ac:dyDescent="0.3">
      <c r="E4962" s="9" t="str">
        <f>IF(DADOS!C4962="","",DADOS!C4962)</f>
        <v/>
      </c>
      <c r="F4962" s="9" t="str">
        <f>IF(DADOS!E4962="","",DADOS!E4962)</f>
        <v/>
      </c>
      <c r="G4962" s="9" t="str">
        <f>IF(DADOS!F4962="","",DADOS!F4962)</f>
        <v/>
      </c>
      <c r="K4962" s="6" t="str">
        <f t="shared" si="390"/>
        <v/>
      </c>
      <c r="L4962" s="7" t="str">
        <f t="shared" si="391"/>
        <v/>
      </c>
      <c r="M4962" s="7" t="str">
        <f t="shared" si="388"/>
        <v/>
      </c>
      <c r="N4962" s="7" t="str">
        <f t="shared" si="392"/>
        <v/>
      </c>
      <c r="O4962" s="8"/>
      <c r="P4962" s="26"/>
      <c r="S4962" s="10" t="str">
        <f t="shared" si="389"/>
        <v/>
      </c>
    </row>
    <row r="4963" spans="5:19" x14ac:dyDescent="0.3">
      <c r="E4963" s="9" t="str">
        <f>IF(DADOS!C4963="","",DADOS!C4963)</f>
        <v/>
      </c>
      <c r="F4963" s="9" t="str">
        <f>IF(DADOS!E4963="","",DADOS!E4963)</f>
        <v/>
      </c>
      <c r="G4963" s="9" t="str">
        <f>IF(DADOS!F4963="","",DADOS!F4963)</f>
        <v/>
      </c>
      <c r="K4963" s="6" t="str">
        <f t="shared" si="390"/>
        <v/>
      </c>
      <c r="L4963" s="7" t="str">
        <f t="shared" si="391"/>
        <v/>
      </c>
      <c r="M4963" s="7" t="str">
        <f t="shared" si="388"/>
        <v/>
      </c>
      <c r="N4963" s="7" t="str">
        <f t="shared" si="392"/>
        <v/>
      </c>
      <c r="O4963" s="8"/>
      <c r="P4963" s="26"/>
      <c r="S4963" s="10" t="str">
        <f t="shared" si="389"/>
        <v/>
      </c>
    </row>
    <row r="4964" spans="5:19" x14ac:dyDescent="0.3">
      <c r="E4964" s="9" t="str">
        <f>IF(DADOS!C4964="","",DADOS!C4964)</f>
        <v/>
      </c>
      <c r="F4964" s="9" t="str">
        <f>IF(DADOS!E4964="","",DADOS!E4964)</f>
        <v/>
      </c>
      <c r="G4964" s="9" t="str">
        <f>IF(DADOS!F4964="","",DADOS!F4964)</f>
        <v/>
      </c>
      <c r="K4964" s="6" t="str">
        <f t="shared" si="390"/>
        <v/>
      </c>
      <c r="L4964" s="7" t="str">
        <f t="shared" si="391"/>
        <v/>
      </c>
      <c r="M4964" s="7" t="str">
        <f t="shared" si="388"/>
        <v/>
      </c>
      <c r="N4964" s="7" t="str">
        <f t="shared" si="392"/>
        <v/>
      </c>
      <c r="O4964" s="8"/>
      <c r="P4964" s="26"/>
      <c r="S4964" s="10" t="str">
        <f t="shared" si="389"/>
        <v/>
      </c>
    </row>
    <row r="4965" spans="5:19" x14ac:dyDescent="0.3">
      <c r="E4965" s="9" t="str">
        <f>IF(DADOS!C4965="","",DADOS!C4965)</f>
        <v/>
      </c>
      <c r="F4965" s="9" t="str">
        <f>IF(DADOS!E4965="","",DADOS!E4965)</f>
        <v/>
      </c>
      <c r="G4965" s="9" t="str">
        <f>IF(DADOS!F4965="","",DADOS!F4965)</f>
        <v/>
      </c>
      <c r="K4965" s="6" t="str">
        <f t="shared" si="390"/>
        <v/>
      </c>
      <c r="L4965" s="7" t="str">
        <f t="shared" si="391"/>
        <v/>
      </c>
      <c r="M4965" s="7" t="str">
        <f t="shared" si="388"/>
        <v/>
      </c>
      <c r="N4965" s="7" t="str">
        <f t="shared" si="392"/>
        <v/>
      </c>
      <c r="O4965" s="8"/>
      <c r="P4965" s="26"/>
      <c r="S4965" s="10" t="str">
        <f t="shared" si="389"/>
        <v/>
      </c>
    </row>
    <row r="4966" spans="5:19" x14ac:dyDescent="0.3">
      <c r="E4966" s="9" t="str">
        <f>IF(DADOS!C4966="","",DADOS!C4966)</f>
        <v/>
      </c>
      <c r="F4966" s="9" t="str">
        <f>IF(DADOS!E4966="","",DADOS!E4966)</f>
        <v/>
      </c>
      <c r="G4966" s="9" t="str">
        <f>IF(DADOS!F4966="","",DADOS!F4966)</f>
        <v/>
      </c>
      <c r="K4966" s="6" t="str">
        <f t="shared" si="390"/>
        <v/>
      </c>
      <c r="L4966" s="7" t="str">
        <f t="shared" si="391"/>
        <v/>
      </c>
      <c r="M4966" s="7" t="str">
        <f t="shared" si="388"/>
        <v/>
      </c>
      <c r="N4966" s="7" t="str">
        <f t="shared" si="392"/>
        <v/>
      </c>
      <c r="O4966" s="8"/>
      <c r="P4966" s="26"/>
      <c r="S4966" s="10" t="str">
        <f t="shared" si="389"/>
        <v/>
      </c>
    </row>
    <row r="4967" spans="5:19" x14ac:dyDescent="0.3">
      <c r="E4967" s="9" t="str">
        <f>IF(DADOS!C4967="","",DADOS!C4967)</f>
        <v/>
      </c>
      <c r="F4967" s="9" t="str">
        <f>IF(DADOS!E4967="","",DADOS!E4967)</f>
        <v/>
      </c>
      <c r="G4967" s="9" t="str">
        <f>IF(DADOS!F4967="","",DADOS!F4967)</f>
        <v/>
      </c>
      <c r="K4967" s="6" t="str">
        <f t="shared" si="390"/>
        <v/>
      </c>
      <c r="L4967" s="7" t="str">
        <f t="shared" si="391"/>
        <v/>
      </c>
      <c r="M4967" s="7" t="str">
        <f t="shared" si="388"/>
        <v/>
      </c>
      <c r="N4967" s="7" t="str">
        <f t="shared" si="392"/>
        <v/>
      </c>
      <c r="O4967" s="8"/>
      <c r="P4967" s="26"/>
      <c r="S4967" s="10" t="str">
        <f t="shared" si="389"/>
        <v/>
      </c>
    </row>
    <row r="4968" spans="5:19" x14ac:dyDescent="0.3">
      <c r="E4968" s="9" t="str">
        <f>IF(DADOS!C4968="","",DADOS!C4968)</f>
        <v/>
      </c>
      <c r="F4968" s="9" t="str">
        <f>IF(DADOS!E4968="","",DADOS!E4968)</f>
        <v/>
      </c>
      <c r="G4968" s="9" t="str">
        <f>IF(DADOS!F4968="","",DADOS!F4968)</f>
        <v/>
      </c>
      <c r="K4968" s="6" t="str">
        <f t="shared" si="390"/>
        <v/>
      </c>
      <c r="L4968" s="7" t="str">
        <f t="shared" si="391"/>
        <v/>
      </c>
      <c r="M4968" s="7" t="str">
        <f t="shared" si="388"/>
        <v/>
      </c>
      <c r="N4968" s="7" t="str">
        <f t="shared" si="392"/>
        <v/>
      </c>
      <c r="O4968" s="8"/>
      <c r="P4968" s="26"/>
      <c r="S4968" s="10" t="str">
        <f t="shared" si="389"/>
        <v/>
      </c>
    </row>
    <row r="4969" spans="5:19" x14ac:dyDescent="0.3">
      <c r="E4969" s="9" t="str">
        <f>IF(DADOS!C4969="","",DADOS!C4969)</f>
        <v/>
      </c>
      <c r="F4969" s="9" t="str">
        <f>IF(DADOS!E4969="","",DADOS!E4969)</f>
        <v/>
      </c>
      <c r="G4969" s="9" t="str">
        <f>IF(DADOS!F4969="","",DADOS!F4969)</f>
        <v/>
      </c>
      <c r="K4969" s="6" t="str">
        <f t="shared" si="390"/>
        <v/>
      </c>
      <c r="L4969" s="7" t="str">
        <f t="shared" si="391"/>
        <v/>
      </c>
      <c r="M4969" s="7" t="str">
        <f t="shared" si="388"/>
        <v/>
      </c>
      <c r="N4969" s="7" t="str">
        <f t="shared" si="392"/>
        <v/>
      </c>
      <c r="O4969" s="8"/>
      <c r="P4969" s="26"/>
      <c r="S4969" s="10" t="str">
        <f t="shared" si="389"/>
        <v/>
      </c>
    </row>
    <row r="4970" spans="5:19" x14ac:dyDescent="0.3">
      <c r="E4970" s="9" t="str">
        <f>IF(DADOS!C4970="","",DADOS!C4970)</f>
        <v/>
      </c>
      <c r="F4970" s="9" t="str">
        <f>IF(DADOS!E4970="","",DADOS!E4970)</f>
        <v/>
      </c>
      <c r="G4970" s="9" t="str">
        <f>IF(DADOS!F4970="","",DADOS!F4970)</f>
        <v/>
      </c>
      <c r="K4970" s="6" t="str">
        <f t="shared" si="390"/>
        <v/>
      </c>
      <c r="L4970" s="7" t="str">
        <f t="shared" si="391"/>
        <v/>
      </c>
      <c r="M4970" s="7" t="str">
        <f t="shared" si="388"/>
        <v/>
      </c>
      <c r="N4970" s="7" t="str">
        <f t="shared" si="392"/>
        <v/>
      </c>
      <c r="O4970" s="8"/>
      <c r="P4970" s="26"/>
      <c r="S4970" s="10" t="str">
        <f t="shared" si="389"/>
        <v/>
      </c>
    </row>
    <row r="4971" spans="5:19" x14ac:dyDescent="0.3">
      <c r="E4971" s="9" t="str">
        <f>IF(DADOS!C4971="","",DADOS!C4971)</f>
        <v/>
      </c>
      <c r="F4971" s="9" t="str">
        <f>IF(DADOS!E4971="","",DADOS!E4971)</f>
        <v/>
      </c>
      <c r="G4971" s="9" t="str">
        <f>IF(DADOS!F4971="","",DADOS!F4971)</f>
        <v/>
      </c>
      <c r="K4971" s="6" t="str">
        <f t="shared" si="390"/>
        <v/>
      </c>
      <c r="L4971" s="7" t="str">
        <f t="shared" si="391"/>
        <v/>
      </c>
      <c r="M4971" s="7" t="str">
        <f t="shared" si="388"/>
        <v/>
      </c>
      <c r="N4971" s="7" t="str">
        <f t="shared" si="392"/>
        <v/>
      </c>
      <c r="O4971" s="8"/>
      <c r="P4971" s="26"/>
      <c r="S4971" s="10" t="str">
        <f t="shared" si="389"/>
        <v/>
      </c>
    </row>
    <row r="4972" spans="5:19" x14ac:dyDescent="0.3">
      <c r="E4972" s="9" t="str">
        <f>IF(DADOS!C4972="","",DADOS!C4972)</f>
        <v/>
      </c>
      <c r="F4972" s="9" t="str">
        <f>IF(DADOS!E4972="","",DADOS!E4972)</f>
        <v/>
      </c>
      <c r="G4972" s="9" t="str">
        <f>IF(DADOS!F4972="","",DADOS!F4972)</f>
        <v/>
      </c>
      <c r="K4972" s="6" t="str">
        <f t="shared" si="390"/>
        <v/>
      </c>
      <c r="L4972" s="7" t="str">
        <f t="shared" si="391"/>
        <v/>
      </c>
      <c r="M4972" s="7" t="str">
        <f t="shared" si="388"/>
        <v/>
      </c>
      <c r="N4972" s="7" t="str">
        <f t="shared" si="392"/>
        <v/>
      </c>
      <c r="O4972" s="8"/>
      <c r="P4972" s="26"/>
      <c r="S4972" s="10" t="str">
        <f t="shared" si="389"/>
        <v/>
      </c>
    </row>
    <row r="4973" spans="5:19" x14ac:dyDescent="0.3">
      <c r="E4973" s="9" t="str">
        <f>IF(DADOS!C4973="","",DADOS!C4973)</f>
        <v/>
      </c>
      <c r="F4973" s="9" t="str">
        <f>IF(DADOS!E4973="","",DADOS!E4973)</f>
        <v/>
      </c>
      <c r="G4973" s="9" t="str">
        <f>IF(DADOS!F4973="","",DADOS!F4973)</f>
        <v/>
      </c>
      <c r="K4973" s="6" t="str">
        <f t="shared" si="390"/>
        <v/>
      </c>
      <c r="L4973" s="7" t="str">
        <f t="shared" si="391"/>
        <v/>
      </c>
      <c r="M4973" s="7" t="str">
        <f t="shared" si="388"/>
        <v/>
      </c>
      <c r="N4973" s="7" t="str">
        <f t="shared" si="392"/>
        <v/>
      </c>
      <c r="O4973" s="8"/>
      <c r="P4973" s="26"/>
      <c r="S4973" s="10" t="str">
        <f t="shared" si="389"/>
        <v/>
      </c>
    </row>
    <row r="4974" spans="5:19" x14ac:dyDescent="0.3">
      <c r="E4974" s="9" t="str">
        <f>IF(DADOS!C4974="","",DADOS!C4974)</f>
        <v/>
      </c>
      <c r="F4974" s="9" t="str">
        <f>IF(DADOS!E4974="","",DADOS!E4974)</f>
        <v/>
      </c>
      <c r="G4974" s="9" t="str">
        <f>IF(DADOS!F4974="","",DADOS!F4974)</f>
        <v/>
      </c>
      <c r="K4974" s="6" t="str">
        <f t="shared" si="390"/>
        <v/>
      </c>
      <c r="L4974" s="7" t="str">
        <f t="shared" si="391"/>
        <v/>
      </c>
      <c r="M4974" s="7" t="str">
        <f t="shared" si="388"/>
        <v/>
      </c>
      <c r="N4974" s="7" t="str">
        <f t="shared" si="392"/>
        <v/>
      </c>
      <c r="O4974" s="8"/>
      <c r="P4974" s="26"/>
      <c r="S4974" s="10" t="str">
        <f t="shared" si="389"/>
        <v/>
      </c>
    </row>
    <row r="4975" spans="5:19" x14ac:dyDescent="0.3">
      <c r="E4975" s="9" t="str">
        <f>IF(DADOS!C4975="","",DADOS!C4975)</f>
        <v/>
      </c>
      <c r="F4975" s="9" t="str">
        <f>IF(DADOS!E4975="","",DADOS!E4975)</f>
        <v/>
      </c>
      <c r="G4975" s="9" t="str">
        <f>IF(DADOS!F4975="","",DADOS!F4975)</f>
        <v/>
      </c>
      <c r="K4975" s="6" t="str">
        <f t="shared" si="390"/>
        <v/>
      </c>
      <c r="L4975" s="7" t="str">
        <f t="shared" si="391"/>
        <v/>
      </c>
      <c r="M4975" s="7" t="str">
        <f t="shared" si="388"/>
        <v/>
      </c>
      <c r="N4975" s="7" t="str">
        <f t="shared" si="392"/>
        <v/>
      </c>
      <c r="O4975" s="8"/>
      <c r="P4975" s="26"/>
      <c r="S4975" s="10" t="str">
        <f t="shared" si="389"/>
        <v/>
      </c>
    </row>
    <row r="4976" spans="5:19" x14ac:dyDescent="0.3">
      <c r="E4976" s="9" t="str">
        <f>IF(DADOS!C4976="","",DADOS!C4976)</f>
        <v/>
      </c>
      <c r="F4976" s="9" t="str">
        <f>IF(DADOS!E4976="","",DADOS!E4976)</f>
        <v/>
      </c>
      <c r="G4976" s="9" t="str">
        <f>IF(DADOS!F4976="","",DADOS!F4976)</f>
        <v/>
      </c>
      <c r="K4976" s="6" t="str">
        <f t="shared" si="390"/>
        <v/>
      </c>
      <c r="L4976" s="7" t="str">
        <f t="shared" si="391"/>
        <v/>
      </c>
      <c r="M4976" s="7" t="str">
        <f t="shared" si="388"/>
        <v/>
      </c>
      <c r="N4976" s="7" t="str">
        <f t="shared" si="392"/>
        <v/>
      </c>
      <c r="O4976" s="8"/>
      <c r="P4976" s="26"/>
      <c r="S4976" s="10" t="str">
        <f t="shared" si="389"/>
        <v/>
      </c>
    </row>
    <row r="4977" spans="5:19" x14ac:dyDescent="0.3">
      <c r="E4977" s="9" t="str">
        <f>IF(DADOS!C4977="","",DADOS!C4977)</f>
        <v/>
      </c>
      <c r="F4977" s="9" t="str">
        <f>IF(DADOS!E4977="","",DADOS!E4977)</f>
        <v/>
      </c>
      <c r="G4977" s="9" t="str">
        <f>IF(DADOS!F4977="","",DADOS!F4977)</f>
        <v/>
      </c>
      <c r="K4977" s="6" t="str">
        <f t="shared" si="390"/>
        <v/>
      </c>
      <c r="L4977" s="7" t="str">
        <f t="shared" si="391"/>
        <v/>
      </c>
      <c r="M4977" s="7" t="str">
        <f t="shared" si="388"/>
        <v/>
      </c>
      <c r="N4977" s="7" t="str">
        <f t="shared" si="392"/>
        <v/>
      </c>
      <c r="O4977" s="8"/>
      <c r="P4977" s="26"/>
      <c r="S4977" s="10" t="str">
        <f t="shared" si="389"/>
        <v/>
      </c>
    </row>
    <row r="4978" spans="5:19" x14ac:dyDescent="0.3">
      <c r="E4978" s="9" t="str">
        <f>IF(DADOS!C4978="","",DADOS!C4978)</f>
        <v/>
      </c>
      <c r="F4978" s="9" t="str">
        <f>IF(DADOS!E4978="","",DADOS!E4978)</f>
        <v/>
      </c>
      <c r="G4978" s="9" t="str">
        <f>IF(DADOS!F4978="","",DADOS!F4978)</f>
        <v/>
      </c>
      <c r="K4978" s="6" t="str">
        <f t="shared" si="390"/>
        <v/>
      </c>
      <c r="L4978" s="7" t="str">
        <f t="shared" si="391"/>
        <v/>
      </c>
      <c r="M4978" s="7" t="str">
        <f t="shared" si="388"/>
        <v/>
      </c>
      <c r="N4978" s="7" t="str">
        <f t="shared" si="392"/>
        <v/>
      </c>
      <c r="O4978" s="8"/>
      <c r="P4978" s="26"/>
      <c r="S4978" s="10" t="str">
        <f t="shared" si="389"/>
        <v/>
      </c>
    </row>
    <row r="4979" spans="5:19" x14ac:dyDescent="0.3">
      <c r="E4979" s="9" t="str">
        <f>IF(DADOS!C4979="","",DADOS!C4979)</f>
        <v/>
      </c>
      <c r="F4979" s="9" t="str">
        <f>IF(DADOS!E4979="","",DADOS!E4979)</f>
        <v/>
      </c>
      <c r="G4979" s="9" t="str">
        <f>IF(DADOS!F4979="","",DADOS!F4979)</f>
        <v/>
      </c>
      <c r="K4979" s="6" t="str">
        <f t="shared" si="390"/>
        <v/>
      </c>
      <c r="L4979" s="7" t="str">
        <f t="shared" si="391"/>
        <v/>
      </c>
      <c r="M4979" s="7" t="str">
        <f t="shared" si="388"/>
        <v/>
      </c>
      <c r="N4979" s="7" t="str">
        <f t="shared" si="392"/>
        <v/>
      </c>
      <c r="O4979" s="8"/>
      <c r="P4979" s="26"/>
      <c r="S4979" s="10" t="str">
        <f t="shared" si="389"/>
        <v/>
      </c>
    </row>
    <row r="4980" spans="5:19" x14ac:dyDescent="0.3">
      <c r="E4980" s="9" t="str">
        <f>IF(DADOS!C4980="","",DADOS!C4980)</f>
        <v/>
      </c>
      <c r="F4980" s="9" t="str">
        <f>IF(DADOS!E4980="","",DADOS!E4980)</f>
        <v/>
      </c>
      <c r="G4980" s="9" t="str">
        <f>IF(DADOS!F4980="","",DADOS!F4980)</f>
        <v/>
      </c>
      <c r="K4980" s="6" t="str">
        <f t="shared" si="390"/>
        <v/>
      </c>
      <c r="L4980" s="7" t="str">
        <f t="shared" si="391"/>
        <v/>
      </c>
      <c r="M4980" s="7" t="str">
        <f t="shared" si="388"/>
        <v/>
      </c>
      <c r="N4980" s="7" t="str">
        <f t="shared" si="392"/>
        <v/>
      </c>
      <c r="O4980" s="8"/>
      <c r="P4980" s="26"/>
      <c r="S4980" s="10" t="str">
        <f t="shared" si="389"/>
        <v/>
      </c>
    </row>
    <row r="4981" spans="5:19" x14ac:dyDescent="0.3">
      <c r="E4981" s="9" t="str">
        <f>IF(DADOS!C4981="","",DADOS!C4981)</f>
        <v/>
      </c>
      <c r="F4981" s="9" t="str">
        <f>IF(DADOS!E4981="","",DADOS!E4981)</f>
        <v/>
      </c>
      <c r="G4981" s="9" t="str">
        <f>IF(DADOS!F4981="","",DADOS!F4981)</f>
        <v/>
      </c>
      <c r="K4981" s="6" t="str">
        <f t="shared" si="390"/>
        <v/>
      </c>
      <c r="L4981" s="7" t="str">
        <f t="shared" si="391"/>
        <v/>
      </c>
      <c r="M4981" s="7" t="str">
        <f t="shared" si="388"/>
        <v/>
      </c>
      <c r="N4981" s="7" t="str">
        <f t="shared" si="392"/>
        <v/>
      </c>
      <c r="O4981" s="8"/>
      <c r="P4981" s="26"/>
      <c r="S4981" s="10" t="str">
        <f t="shared" si="389"/>
        <v/>
      </c>
    </row>
    <row r="4982" spans="5:19" x14ac:dyDescent="0.3">
      <c r="E4982" s="9" t="str">
        <f>IF(DADOS!C4982="","",DADOS!C4982)</f>
        <v/>
      </c>
      <c r="F4982" s="9" t="str">
        <f>IF(DADOS!E4982="","",DADOS!E4982)</f>
        <v/>
      </c>
      <c r="G4982" s="9" t="str">
        <f>IF(DADOS!F4982="","",DADOS!F4982)</f>
        <v/>
      </c>
      <c r="K4982" s="6" t="str">
        <f t="shared" si="390"/>
        <v/>
      </c>
      <c r="L4982" s="7" t="str">
        <f t="shared" si="391"/>
        <v/>
      </c>
      <c r="M4982" s="7" t="str">
        <f t="shared" si="388"/>
        <v/>
      </c>
      <c r="N4982" s="7" t="str">
        <f t="shared" si="392"/>
        <v/>
      </c>
      <c r="O4982" s="8"/>
      <c r="P4982" s="26"/>
      <c r="S4982" s="10" t="str">
        <f t="shared" si="389"/>
        <v/>
      </c>
    </row>
    <row r="4983" spans="5:19" x14ac:dyDescent="0.3">
      <c r="E4983" s="9" t="str">
        <f>IF(DADOS!C4983="","",DADOS!C4983)</f>
        <v/>
      </c>
      <c r="F4983" s="9" t="str">
        <f>IF(DADOS!E4983="","",DADOS!E4983)</f>
        <v/>
      </c>
      <c r="G4983" s="9" t="str">
        <f>IF(DADOS!F4983="","",DADOS!F4983)</f>
        <v/>
      </c>
      <c r="K4983" s="6" t="str">
        <f t="shared" si="390"/>
        <v/>
      </c>
      <c r="L4983" s="7" t="str">
        <f t="shared" si="391"/>
        <v/>
      </c>
      <c r="M4983" s="7" t="str">
        <f t="shared" si="388"/>
        <v/>
      </c>
      <c r="N4983" s="7" t="str">
        <f t="shared" si="392"/>
        <v/>
      </c>
      <c r="O4983" s="8"/>
      <c r="P4983" s="26"/>
      <c r="S4983" s="10" t="str">
        <f t="shared" si="389"/>
        <v/>
      </c>
    </row>
    <row r="4984" spans="5:19" x14ac:dyDescent="0.3">
      <c r="E4984" s="9" t="str">
        <f>IF(DADOS!C4984="","",DADOS!C4984)</f>
        <v/>
      </c>
      <c r="F4984" s="9" t="str">
        <f>IF(DADOS!E4984="","",DADOS!E4984)</f>
        <v/>
      </c>
      <c r="G4984" s="9" t="str">
        <f>IF(DADOS!F4984="","",DADOS!F4984)</f>
        <v/>
      </c>
      <c r="K4984" s="6" t="str">
        <f t="shared" si="390"/>
        <v/>
      </c>
      <c r="L4984" s="7" t="str">
        <f t="shared" si="391"/>
        <v/>
      </c>
      <c r="M4984" s="7" t="str">
        <f t="shared" si="388"/>
        <v/>
      </c>
      <c r="N4984" s="7" t="str">
        <f t="shared" si="392"/>
        <v/>
      </c>
      <c r="O4984" s="8"/>
      <c r="P4984" s="26"/>
      <c r="S4984" s="10" t="str">
        <f t="shared" si="389"/>
        <v/>
      </c>
    </row>
    <row r="4985" spans="5:19" x14ac:dyDescent="0.3">
      <c r="E4985" s="9" t="str">
        <f>IF(DADOS!C4985="","",DADOS!C4985)</f>
        <v/>
      </c>
      <c r="F4985" s="9" t="str">
        <f>IF(DADOS!E4985="","",DADOS!E4985)</f>
        <v/>
      </c>
      <c r="G4985" s="9" t="str">
        <f>IF(DADOS!F4985="","",DADOS!F4985)</f>
        <v/>
      </c>
      <c r="K4985" s="6" t="str">
        <f t="shared" si="390"/>
        <v/>
      </c>
      <c r="L4985" s="7" t="str">
        <f t="shared" si="391"/>
        <v/>
      </c>
      <c r="M4985" s="7" t="str">
        <f t="shared" si="388"/>
        <v/>
      </c>
      <c r="N4985" s="7" t="str">
        <f t="shared" si="392"/>
        <v/>
      </c>
      <c r="O4985" s="8"/>
      <c r="P4985" s="26"/>
      <c r="S4985" s="10" t="str">
        <f t="shared" si="389"/>
        <v/>
      </c>
    </row>
    <row r="4986" spans="5:19" x14ac:dyDescent="0.3">
      <c r="E4986" s="9" t="str">
        <f>IF(DADOS!C4986="","",DADOS!C4986)</f>
        <v/>
      </c>
      <c r="F4986" s="9" t="str">
        <f>IF(DADOS!E4986="","",DADOS!E4986)</f>
        <v/>
      </c>
      <c r="G4986" s="9" t="str">
        <f>IF(DADOS!F4986="","",DADOS!F4986)</f>
        <v/>
      </c>
      <c r="K4986" s="6" t="str">
        <f t="shared" si="390"/>
        <v/>
      </c>
      <c r="L4986" s="7" t="str">
        <f t="shared" si="391"/>
        <v/>
      </c>
      <c r="M4986" s="7" t="str">
        <f t="shared" si="388"/>
        <v/>
      </c>
      <c r="N4986" s="7" t="str">
        <f t="shared" si="392"/>
        <v/>
      </c>
      <c r="O4986" s="8"/>
      <c r="P4986" s="26"/>
      <c r="S4986" s="10" t="str">
        <f t="shared" si="389"/>
        <v/>
      </c>
    </row>
    <row r="4987" spans="5:19" x14ac:dyDescent="0.3">
      <c r="E4987" s="9" t="str">
        <f>IF(DADOS!C4987="","",DADOS!C4987)</f>
        <v/>
      </c>
      <c r="F4987" s="9" t="str">
        <f>IF(DADOS!E4987="","",DADOS!E4987)</f>
        <v/>
      </c>
      <c r="G4987" s="9" t="str">
        <f>IF(DADOS!F4987="","",DADOS!F4987)</f>
        <v/>
      </c>
      <c r="K4987" s="6" t="str">
        <f t="shared" si="390"/>
        <v/>
      </c>
      <c r="L4987" s="7" t="str">
        <f t="shared" si="391"/>
        <v/>
      </c>
      <c r="M4987" s="7" t="str">
        <f t="shared" si="388"/>
        <v/>
      </c>
      <c r="N4987" s="7" t="str">
        <f t="shared" si="392"/>
        <v/>
      </c>
      <c r="O4987" s="8"/>
      <c r="P4987" s="26"/>
      <c r="S4987" s="10" t="str">
        <f t="shared" si="389"/>
        <v/>
      </c>
    </row>
    <row r="4988" spans="5:19" x14ac:dyDescent="0.3">
      <c r="E4988" s="9" t="str">
        <f>IF(DADOS!C4988="","",DADOS!C4988)</f>
        <v/>
      </c>
      <c r="F4988" s="9" t="str">
        <f>IF(DADOS!E4988="","",DADOS!E4988)</f>
        <v/>
      </c>
      <c r="G4988" s="9" t="str">
        <f>IF(DADOS!F4988="","",DADOS!F4988)</f>
        <v/>
      </c>
      <c r="K4988" s="6" t="str">
        <f t="shared" si="390"/>
        <v/>
      </c>
      <c r="L4988" s="7" t="str">
        <f t="shared" si="391"/>
        <v/>
      </c>
      <c r="M4988" s="7" t="str">
        <f t="shared" si="388"/>
        <v/>
      </c>
      <c r="N4988" s="7" t="str">
        <f t="shared" si="392"/>
        <v/>
      </c>
      <c r="O4988" s="8"/>
      <c r="P4988" s="26"/>
      <c r="S4988" s="10" t="str">
        <f t="shared" si="389"/>
        <v/>
      </c>
    </row>
    <row r="4989" spans="5:19" x14ac:dyDescent="0.3">
      <c r="E4989" s="9" t="str">
        <f>IF(DADOS!C4989="","",DADOS!C4989)</f>
        <v/>
      </c>
      <c r="F4989" s="9" t="str">
        <f>IF(DADOS!E4989="","",DADOS!E4989)</f>
        <v/>
      </c>
      <c r="G4989" s="9" t="str">
        <f>IF(DADOS!F4989="","",DADOS!F4989)</f>
        <v/>
      </c>
      <c r="K4989" s="6" t="str">
        <f t="shared" si="390"/>
        <v/>
      </c>
      <c r="L4989" s="7" t="str">
        <f t="shared" si="391"/>
        <v/>
      </c>
      <c r="M4989" s="7" t="str">
        <f t="shared" si="388"/>
        <v/>
      </c>
      <c r="N4989" s="7" t="str">
        <f t="shared" si="392"/>
        <v/>
      </c>
      <c r="O4989" s="8"/>
      <c r="P4989" s="26"/>
      <c r="S4989" s="10" t="str">
        <f t="shared" si="389"/>
        <v/>
      </c>
    </row>
    <row r="4990" spans="5:19" x14ac:dyDescent="0.3">
      <c r="E4990" s="9" t="str">
        <f>IF(DADOS!C4990="","",DADOS!C4990)</f>
        <v/>
      </c>
      <c r="F4990" s="9" t="str">
        <f>IF(DADOS!E4990="","",DADOS!E4990)</f>
        <v/>
      </c>
      <c r="G4990" s="9" t="str">
        <f>IF(DADOS!F4990="","",DADOS!F4990)</f>
        <v/>
      </c>
      <c r="K4990" s="6" t="str">
        <f t="shared" si="390"/>
        <v/>
      </c>
      <c r="L4990" s="7" t="str">
        <f t="shared" si="391"/>
        <v/>
      </c>
      <c r="M4990" s="7" t="str">
        <f t="shared" si="388"/>
        <v/>
      </c>
      <c r="N4990" s="7" t="str">
        <f t="shared" si="392"/>
        <v/>
      </c>
      <c r="O4990" s="8"/>
      <c r="P4990" s="26"/>
      <c r="S4990" s="10" t="str">
        <f t="shared" si="389"/>
        <v/>
      </c>
    </row>
    <row r="4991" spans="5:19" x14ac:dyDescent="0.3">
      <c r="E4991" s="9" t="str">
        <f>IF(DADOS!C4991="","",DADOS!C4991)</f>
        <v/>
      </c>
      <c r="F4991" s="9" t="str">
        <f>IF(DADOS!E4991="","",DADOS!E4991)</f>
        <v/>
      </c>
      <c r="G4991" s="9" t="str">
        <f>IF(DADOS!F4991="","",DADOS!F4991)</f>
        <v/>
      </c>
      <c r="K4991" s="6" t="str">
        <f t="shared" si="390"/>
        <v/>
      </c>
      <c r="L4991" s="7" t="str">
        <f t="shared" si="391"/>
        <v/>
      </c>
      <c r="M4991" s="7" t="str">
        <f t="shared" si="388"/>
        <v/>
      </c>
      <c r="N4991" s="7" t="str">
        <f t="shared" si="392"/>
        <v/>
      </c>
      <c r="O4991" s="8"/>
      <c r="P4991" s="26"/>
      <c r="S4991" s="10" t="str">
        <f t="shared" si="389"/>
        <v/>
      </c>
    </row>
    <row r="4992" spans="5:19" x14ac:dyDescent="0.3">
      <c r="E4992" s="9" t="str">
        <f>IF(DADOS!C4992="","",DADOS!C4992)</f>
        <v/>
      </c>
      <c r="F4992" s="9" t="str">
        <f>IF(DADOS!E4992="","",DADOS!E4992)</f>
        <v/>
      </c>
      <c r="G4992" s="9" t="str">
        <f>IF(DADOS!F4992="","",DADOS!F4992)</f>
        <v/>
      </c>
      <c r="K4992" s="6" t="str">
        <f t="shared" si="390"/>
        <v/>
      </c>
      <c r="L4992" s="7" t="str">
        <f t="shared" si="391"/>
        <v/>
      </c>
      <c r="M4992" s="7" t="str">
        <f t="shared" si="388"/>
        <v/>
      </c>
      <c r="N4992" s="7" t="str">
        <f t="shared" si="392"/>
        <v/>
      </c>
      <c r="O4992" s="8"/>
      <c r="P4992" s="26"/>
      <c r="S4992" s="10" t="str">
        <f t="shared" si="389"/>
        <v/>
      </c>
    </row>
    <row r="4993" spans="5:19" x14ac:dyDescent="0.3">
      <c r="E4993" s="9" t="str">
        <f>IF(DADOS!C4993="","",DADOS!C4993)</f>
        <v/>
      </c>
      <c r="F4993" s="9" t="str">
        <f>IF(DADOS!E4993="","",DADOS!E4993)</f>
        <v/>
      </c>
      <c r="G4993" s="9" t="str">
        <f>IF(DADOS!F4993="","",DADOS!F4993)</f>
        <v/>
      </c>
      <c r="K4993" s="6" t="str">
        <f t="shared" si="390"/>
        <v/>
      </c>
      <c r="L4993" s="7" t="str">
        <f t="shared" si="391"/>
        <v/>
      </c>
      <c r="M4993" s="7" t="str">
        <f t="shared" si="388"/>
        <v/>
      </c>
      <c r="N4993" s="7" t="str">
        <f t="shared" si="392"/>
        <v/>
      </c>
      <c r="O4993" s="8"/>
      <c r="P4993" s="26"/>
      <c r="S4993" s="10" t="str">
        <f t="shared" si="389"/>
        <v/>
      </c>
    </row>
    <row r="4994" spans="5:19" x14ac:dyDescent="0.3">
      <c r="E4994" s="9" t="str">
        <f>IF(DADOS!C4994="","",DADOS!C4994)</f>
        <v/>
      </c>
      <c r="F4994" s="9" t="str">
        <f>IF(DADOS!E4994="","",DADOS!E4994)</f>
        <v/>
      </c>
      <c r="G4994" s="9" t="str">
        <f>IF(DADOS!F4994="","",DADOS!F4994)</f>
        <v/>
      </c>
      <c r="K4994" s="6" t="str">
        <f t="shared" si="390"/>
        <v/>
      </c>
      <c r="L4994" s="7" t="str">
        <f t="shared" si="391"/>
        <v/>
      </c>
      <c r="M4994" s="7" t="str">
        <f t="shared" si="388"/>
        <v/>
      </c>
      <c r="N4994" s="7" t="str">
        <f t="shared" si="392"/>
        <v/>
      </c>
      <c r="O4994" s="8"/>
      <c r="P4994" s="26"/>
      <c r="S4994" s="10" t="str">
        <f t="shared" si="389"/>
        <v/>
      </c>
    </row>
    <row r="4995" spans="5:19" x14ac:dyDescent="0.3">
      <c r="E4995" s="9" t="str">
        <f>IF(DADOS!C4995="","",DADOS!C4995)</f>
        <v/>
      </c>
      <c r="F4995" s="9" t="str">
        <f>IF(DADOS!E4995="","",DADOS!E4995)</f>
        <v/>
      </c>
      <c r="G4995" s="9" t="str">
        <f>IF(DADOS!F4995="","",DADOS!F4995)</f>
        <v/>
      </c>
      <c r="K4995" s="6" t="str">
        <f t="shared" si="390"/>
        <v/>
      </c>
      <c r="L4995" s="7" t="str">
        <f t="shared" si="391"/>
        <v/>
      </c>
      <c r="M4995" s="7" t="str">
        <f t="shared" ref="M4995:M5058" si="393">IF(L4995="","",L4995*G4995)</f>
        <v/>
      </c>
      <c r="N4995" s="7" t="str">
        <f t="shared" si="392"/>
        <v/>
      </c>
      <c r="O4995" s="8"/>
      <c r="P4995" s="26"/>
      <c r="S4995" s="10" t="str">
        <f t="shared" ref="S4995:S5058" si="394">IF(R4995="","",SUMIFS($N$3:$N$10000,$E$3:$E$10000,R4995))</f>
        <v/>
      </c>
    </row>
    <row r="4996" spans="5:19" x14ac:dyDescent="0.3">
      <c r="E4996" s="9" t="str">
        <f>IF(DADOS!C4996="","",DADOS!C4996)</f>
        <v/>
      </c>
      <c r="F4996" s="9" t="str">
        <f>IF(DADOS!E4996="","",DADOS!E4996)</f>
        <v/>
      </c>
      <c r="G4996" s="9" t="str">
        <f>IF(DADOS!F4996="","",DADOS!F4996)</f>
        <v/>
      </c>
      <c r="K4996" s="6" t="str">
        <f t="shared" ref="K4996:K5059" si="395">IF(F4996="","",F4996/PI())</f>
        <v/>
      </c>
      <c r="L4996" s="7" t="str">
        <f t="shared" ref="L4996:L5059" si="396">IF(K4996="","",(PI()*K4996^2)/40000)</f>
        <v/>
      </c>
      <c r="M4996" s="7" t="str">
        <f t="shared" si="393"/>
        <v/>
      </c>
      <c r="N4996" s="7" t="str">
        <f t="shared" ref="N4996:N5059" si="397">IF(M4996="","",M4996*N$1)</f>
        <v/>
      </c>
      <c r="O4996" s="8"/>
      <c r="P4996" s="26"/>
      <c r="S4996" s="10" t="str">
        <f t="shared" si="394"/>
        <v/>
      </c>
    </row>
    <row r="4997" spans="5:19" x14ac:dyDescent="0.3">
      <c r="E4997" s="9" t="str">
        <f>IF(DADOS!C4997="","",DADOS!C4997)</f>
        <v/>
      </c>
      <c r="F4997" s="9" t="str">
        <f>IF(DADOS!E4997="","",DADOS!E4997)</f>
        <v/>
      </c>
      <c r="G4997" s="9" t="str">
        <f>IF(DADOS!F4997="","",DADOS!F4997)</f>
        <v/>
      </c>
      <c r="K4997" s="6" t="str">
        <f t="shared" si="395"/>
        <v/>
      </c>
      <c r="L4997" s="7" t="str">
        <f t="shared" si="396"/>
        <v/>
      </c>
      <c r="M4997" s="7" t="str">
        <f t="shared" si="393"/>
        <v/>
      </c>
      <c r="N4997" s="7" t="str">
        <f t="shared" si="397"/>
        <v/>
      </c>
      <c r="O4997" s="8"/>
      <c r="P4997" s="26"/>
      <c r="S4997" s="10" t="str">
        <f t="shared" si="394"/>
        <v/>
      </c>
    </row>
    <row r="4998" spans="5:19" x14ac:dyDescent="0.3">
      <c r="E4998" s="9" t="str">
        <f>IF(DADOS!C4998="","",DADOS!C4998)</f>
        <v/>
      </c>
      <c r="F4998" s="9" t="str">
        <f>IF(DADOS!E4998="","",DADOS!E4998)</f>
        <v/>
      </c>
      <c r="G4998" s="9" t="str">
        <f>IF(DADOS!F4998="","",DADOS!F4998)</f>
        <v/>
      </c>
      <c r="K4998" s="6" t="str">
        <f t="shared" si="395"/>
        <v/>
      </c>
      <c r="L4998" s="7" t="str">
        <f t="shared" si="396"/>
        <v/>
      </c>
      <c r="M4998" s="7" t="str">
        <f t="shared" si="393"/>
        <v/>
      </c>
      <c r="N4998" s="7" t="str">
        <f t="shared" si="397"/>
        <v/>
      </c>
      <c r="O4998" s="8"/>
      <c r="P4998" s="26"/>
      <c r="S4998" s="10" t="str">
        <f t="shared" si="394"/>
        <v/>
      </c>
    </row>
    <row r="4999" spans="5:19" x14ac:dyDescent="0.3">
      <c r="E4999" s="9" t="str">
        <f>IF(DADOS!C4999="","",DADOS!C4999)</f>
        <v/>
      </c>
      <c r="F4999" s="9" t="str">
        <f>IF(DADOS!E4999="","",DADOS!E4999)</f>
        <v/>
      </c>
      <c r="G4999" s="9" t="str">
        <f>IF(DADOS!F4999="","",DADOS!F4999)</f>
        <v/>
      </c>
      <c r="K4999" s="6" t="str">
        <f t="shared" si="395"/>
        <v/>
      </c>
      <c r="L4999" s="7" t="str">
        <f t="shared" si="396"/>
        <v/>
      </c>
      <c r="M4999" s="7" t="str">
        <f t="shared" si="393"/>
        <v/>
      </c>
      <c r="N4999" s="7" t="str">
        <f t="shared" si="397"/>
        <v/>
      </c>
      <c r="O4999" s="8"/>
      <c r="P4999" s="26"/>
      <c r="S4999" s="10" t="str">
        <f t="shared" si="394"/>
        <v/>
      </c>
    </row>
    <row r="5000" spans="5:19" x14ac:dyDescent="0.3">
      <c r="E5000" s="9" t="str">
        <f>IF(DADOS!C5000="","",DADOS!C5000)</f>
        <v/>
      </c>
      <c r="F5000" s="9" t="str">
        <f>IF(DADOS!E5000="","",DADOS!E5000)</f>
        <v/>
      </c>
      <c r="G5000" s="9" t="str">
        <f>IF(DADOS!F5000="","",DADOS!F5000)</f>
        <v/>
      </c>
      <c r="K5000" s="6" t="str">
        <f t="shared" si="395"/>
        <v/>
      </c>
      <c r="L5000" s="7" t="str">
        <f t="shared" si="396"/>
        <v/>
      </c>
      <c r="M5000" s="7" t="str">
        <f t="shared" si="393"/>
        <v/>
      </c>
      <c r="N5000" s="7" t="str">
        <f t="shared" si="397"/>
        <v/>
      </c>
      <c r="O5000" s="8"/>
      <c r="P5000" s="26"/>
      <c r="S5000" s="10" t="str">
        <f t="shared" si="394"/>
        <v/>
      </c>
    </row>
    <row r="5001" spans="5:19" x14ac:dyDescent="0.3">
      <c r="E5001" s="9" t="str">
        <f>IF(DADOS!C5001="","",DADOS!C5001)</f>
        <v/>
      </c>
      <c r="F5001" s="9" t="str">
        <f>IF(DADOS!E5001="","",DADOS!E5001)</f>
        <v/>
      </c>
      <c r="G5001" s="9" t="str">
        <f>IF(DADOS!F5001="","",DADOS!F5001)</f>
        <v/>
      </c>
      <c r="K5001" s="6" t="str">
        <f t="shared" si="395"/>
        <v/>
      </c>
      <c r="L5001" s="7" t="str">
        <f t="shared" si="396"/>
        <v/>
      </c>
      <c r="M5001" s="7" t="str">
        <f t="shared" si="393"/>
        <v/>
      </c>
      <c r="N5001" s="7" t="str">
        <f t="shared" si="397"/>
        <v/>
      </c>
      <c r="O5001" s="8"/>
      <c r="P5001" s="26"/>
      <c r="S5001" s="10" t="str">
        <f t="shared" si="394"/>
        <v/>
      </c>
    </row>
    <row r="5002" spans="5:19" x14ac:dyDescent="0.3">
      <c r="E5002" s="9" t="str">
        <f>IF(DADOS!C5002="","",DADOS!C5002)</f>
        <v/>
      </c>
      <c r="F5002" s="9" t="str">
        <f>IF(DADOS!E5002="","",DADOS!E5002)</f>
        <v/>
      </c>
      <c r="G5002" s="9" t="str">
        <f>IF(DADOS!F5002="","",DADOS!F5002)</f>
        <v/>
      </c>
      <c r="K5002" s="6" t="str">
        <f t="shared" si="395"/>
        <v/>
      </c>
      <c r="L5002" s="7" t="str">
        <f t="shared" si="396"/>
        <v/>
      </c>
      <c r="M5002" s="7" t="str">
        <f t="shared" si="393"/>
        <v/>
      </c>
      <c r="N5002" s="7" t="str">
        <f t="shared" si="397"/>
        <v/>
      </c>
      <c r="O5002" s="8"/>
      <c r="P5002" s="26"/>
      <c r="S5002" s="10" t="str">
        <f t="shared" si="394"/>
        <v/>
      </c>
    </row>
    <row r="5003" spans="5:19" x14ac:dyDescent="0.3">
      <c r="E5003" s="9" t="str">
        <f>IF(DADOS!C5003="","",DADOS!C5003)</f>
        <v/>
      </c>
      <c r="F5003" s="9" t="str">
        <f>IF(DADOS!E5003="","",DADOS!E5003)</f>
        <v/>
      </c>
      <c r="G5003" s="9" t="str">
        <f>IF(DADOS!F5003="","",DADOS!F5003)</f>
        <v/>
      </c>
      <c r="K5003" s="6" t="str">
        <f t="shared" si="395"/>
        <v/>
      </c>
      <c r="L5003" s="7" t="str">
        <f t="shared" si="396"/>
        <v/>
      </c>
      <c r="M5003" s="7" t="str">
        <f t="shared" si="393"/>
        <v/>
      </c>
      <c r="N5003" s="7" t="str">
        <f t="shared" si="397"/>
        <v/>
      </c>
      <c r="O5003" s="8"/>
      <c r="P5003" s="26"/>
      <c r="S5003" s="10" t="str">
        <f t="shared" si="394"/>
        <v/>
      </c>
    </row>
    <row r="5004" spans="5:19" x14ac:dyDescent="0.3">
      <c r="E5004" s="9" t="str">
        <f>IF(DADOS!C5004="","",DADOS!C5004)</f>
        <v/>
      </c>
      <c r="F5004" s="9" t="str">
        <f>IF(DADOS!E5004="","",DADOS!E5004)</f>
        <v/>
      </c>
      <c r="G5004" s="9" t="str">
        <f>IF(DADOS!F5004="","",DADOS!F5004)</f>
        <v/>
      </c>
      <c r="K5004" s="6" t="str">
        <f t="shared" si="395"/>
        <v/>
      </c>
      <c r="L5004" s="7" t="str">
        <f t="shared" si="396"/>
        <v/>
      </c>
      <c r="M5004" s="7" t="str">
        <f t="shared" si="393"/>
        <v/>
      </c>
      <c r="N5004" s="7" t="str">
        <f t="shared" si="397"/>
        <v/>
      </c>
      <c r="O5004" s="8"/>
      <c r="P5004" s="26"/>
      <c r="S5004" s="10" t="str">
        <f t="shared" si="394"/>
        <v/>
      </c>
    </row>
    <row r="5005" spans="5:19" x14ac:dyDescent="0.3">
      <c r="E5005" s="9" t="str">
        <f>IF(DADOS!C5005="","",DADOS!C5005)</f>
        <v/>
      </c>
      <c r="F5005" s="9" t="str">
        <f>IF(DADOS!E5005="","",DADOS!E5005)</f>
        <v/>
      </c>
      <c r="G5005" s="9" t="str">
        <f>IF(DADOS!F5005="","",DADOS!F5005)</f>
        <v/>
      </c>
      <c r="K5005" s="6" t="str">
        <f t="shared" si="395"/>
        <v/>
      </c>
      <c r="L5005" s="7" t="str">
        <f t="shared" si="396"/>
        <v/>
      </c>
      <c r="M5005" s="7" t="str">
        <f t="shared" si="393"/>
        <v/>
      </c>
      <c r="N5005" s="7" t="str">
        <f t="shared" si="397"/>
        <v/>
      </c>
      <c r="O5005" s="8"/>
      <c r="P5005" s="26"/>
      <c r="S5005" s="10" t="str">
        <f t="shared" si="394"/>
        <v/>
      </c>
    </row>
    <row r="5006" spans="5:19" x14ac:dyDescent="0.3">
      <c r="E5006" s="9" t="str">
        <f>IF(DADOS!C5006="","",DADOS!C5006)</f>
        <v/>
      </c>
      <c r="F5006" s="9" t="str">
        <f>IF(DADOS!E5006="","",DADOS!E5006)</f>
        <v/>
      </c>
      <c r="G5006" s="9" t="str">
        <f>IF(DADOS!F5006="","",DADOS!F5006)</f>
        <v/>
      </c>
      <c r="K5006" s="6" t="str">
        <f t="shared" si="395"/>
        <v/>
      </c>
      <c r="L5006" s="7" t="str">
        <f t="shared" si="396"/>
        <v/>
      </c>
      <c r="M5006" s="7" t="str">
        <f t="shared" si="393"/>
        <v/>
      </c>
      <c r="N5006" s="7" t="str">
        <f t="shared" si="397"/>
        <v/>
      </c>
      <c r="O5006" s="8"/>
      <c r="P5006" s="26"/>
      <c r="S5006" s="10" t="str">
        <f t="shared" si="394"/>
        <v/>
      </c>
    </row>
    <row r="5007" spans="5:19" x14ac:dyDescent="0.3">
      <c r="E5007" s="9" t="str">
        <f>IF(DADOS!C5007="","",DADOS!C5007)</f>
        <v/>
      </c>
      <c r="F5007" s="9" t="str">
        <f>IF(DADOS!E5007="","",DADOS!E5007)</f>
        <v/>
      </c>
      <c r="G5007" s="9" t="str">
        <f>IF(DADOS!F5007="","",DADOS!F5007)</f>
        <v/>
      </c>
      <c r="K5007" s="6" t="str">
        <f t="shared" si="395"/>
        <v/>
      </c>
      <c r="L5007" s="7" t="str">
        <f t="shared" si="396"/>
        <v/>
      </c>
      <c r="M5007" s="7" t="str">
        <f t="shared" si="393"/>
        <v/>
      </c>
      <c r="N5007" s="7" t="str">
        <f t="shared" si="397"/>
        <v/>
      </c>
      <c r="O5007" s="8"/>
      <c r="P5007" s="26"/>
      <c r="S5007" s="10" t="str">
        <f t="shared" si="394"/>
        <v/>
      </c>
    </row>
    <row r="5008" spans="5:19" x14ac:dyDescent="0.3">
      <c r="E5008" s="9" t="str">
        <f>IF(DADOS!C5008="","",DADOS!C5008)</f>
        <v/>
      </c>
      <c r="F5008" s="9" t="str">
        <f>IF(DADOS!E5008="","",DADOS!E5008)</f>
        <v/>
      </c>
      <c r="G5008" s="9" t="str">
        <f>IF(DADOS!F5008="","",DADOS!F5008)</f>
        <v/>
      </c>
      <c r="K5008" s="6" t="str">
        <f t="shared" si="395"/>
        <v/>
      </c>
      <c r="L5008" s="7" t="str">
        <f t="shared" si="396"/>
        <v/>
      </c>
      <c r="M5008" s="7" t="str">
        <f t="shared" si="393"/>
        <v/>
      </c>
      <c r="N5008" s="7" t="str">
        <f t="shared" si="397"/>
        <v/>
      </c>
      <c r="O5008" s="8"/>
      <c r="P5008" s="26"/>
      <c r="S5008" s="10" t="str">
        <f t="shared" si="394"/>
        <v/>
      </c>
    </row>
    <row r="5009" spans="5:19" x14ac:dyDescent="0.3">
      <c r="E5009" s="9" t="str">
        <f>IF(DADOS!C5009="","",DADOS!C5009)</f>
        <v/>
      </c>
      <c r="F5009" s="9" t="str">
        <f>IF(DADOS!E5009="","",DADOS!E5009)</f>
        <v/>
      </c>
      <c r="G5009" s="9" t="str">
        <f>IF(DADOS!F5009="","",DADOS!F5009)</f>
        <v/>
      </c>
      <c r="K5009" s="6" t="str">
        <f t="shared" si="395"/>
        <v/>
      </c>
      <c r="L5009" s="7" t="str">
        <f t="shared" si="396"/>
        <v/>
      </c>
      <c r="M5009" s="7" t="str">
        <f t="shared" si="393"/>
        <v/>
      </c>
      <c r="N5009" s="7" t="str">
        <f t="shared" si="397"/>
        <v/>
      </c>
      <c r="O5009" s="8"/>
      <c r="P5009" s="26"/>
      <c r="S5009" s="10" t="str">
        <f t="shared" si="394"/>
        <v/>
      </c>
    </row>
    <row r="5010" spans="5:19" x14ac:dyDescent="0.3">
      <c r="E5010" s="9" t="str">
        <f>IF(DADOS!C5010="","",DADOS!C5010)</f>
        <v/>
      </c>
      <c r="F5010" s="9" t="str">
        <f>IF(DADOS!E5010="","",DADOS!E5010)</f>
        <v/>
      </c>
      <c r="G5010" s="9" t="str">
        <f>IF(DADOS!F5010="","",DADOS!F5010)</f>
        <v/>
      </c>
      <c r="K5010" s="6" t="str">
        <f t="shared" si="395"/>
        <v/>
      </c>
      <c r="L5010" s="7" t="str">
        <f t="shared" si="396"/>
        <v/>
      </c>
      <c r="M5010" s="7" t="str">
        <f t="shared" si="393"/>
        <v/>
      </c>
      <c r="N5010" s="7" t="str">
        <f t="shared" si="397"/>
        <v/>
      </c>
      <c r="O5010" s="8"/>
      <c r="P5010" s="26"/>
      <c r="S5010" s="10" t="str">
        <f t="shared" si="394"/>
        <v/>
      </c>
    </row>
    <row r="5011" spans="5:19" x14ac:dyDescent="0.3">
      <c r="E5011" s="9" t="str">
        <f>IF(DADOS!C5011="","",DADOS!C5011)</f>
        <v/>
      </c>
      <c r="F5011" s="9" t="str">
        <f>IF(DADOS!E5011="","",DADOS!E5011)</f>
        <v/>
      </c>
      <c r="G5011" s="9" t="str">
        <f>IF(DADOS!F5011="","",DADOS!F5011)</f>
        <v/>
      </c>
      <c r="K5011" s="6" t="str">
        <f t="shared" si="395"/>
        <v/>
      </c>
      <c r="L5011" s="7" t="str">
        <f t="shared" si="396"/>
        <v/>
      </c>
      <c r="M5011" s="7" t="str">
        <f t="shared" si="393"/>
        <v/>
      </c>
      <c r="N5011" s="7" t="str">
        <f t="shared" si="397"/>
        <v/>
      </c>
      <c r="O5011" s="8"/>
      <c r="P5011" s="26"/>
      <c r="S5011" s="10" t="str">
        <f t="shared" si="394"/>
        <v/>
      </c>
    </row>
    <row r="5012" spans="5:19" x14ac:dyDescent="0.3">
      <c r="E5012" s="9" t="str">
        <f>IF(DADOS!C5012="","",DADOS!C5012)</f>
        <v/>
      </c>
      <c r="F5012" s="9" t="str">
        <f>IF(DADOS!E5012="","",DADOS!E5012)</f>
        <v/>
      </c>
      <c r="G5012" s="9" t="str">
        <f>IF(DADOS!F5012="","",DADOS!F5012)</f>
        <v/>
      </c>
      <c r="K5012" s="6" t="str">
        <f t="shared" si="395"/>
        <v/>
      </c>
      <c r="L5012" s="7" t="str">
        <f t="shared" si="396"/>
        <v/>
      </c>
      <c r="M5012" s="7" t="str">
        <f t="shared" si="393"/>
        <v/>
      </c>
      <c r="N5012" s="7" t="str">
        <f t="shared" si="397"/>
        <v/>
      </c>
      <c r="O5012" s="8"/>
      <c r="P5012" s="26"/>
      <c r="S5012" s="10" t="str">
        <f t="shared" si="394"/>
        <v/>
      </c>
    </row>
    <row r="5013" spans="5:19" x14ac:dyDescent="0.3">
      <c r="E5013" s="9" t="str">
        <f>IF(DADOS!C5013="","",DADOS!C5013)</f>
        <v/>
      </c>
      <c r="F5013" s="9" t="str">
        <f>IF(DADOS!E5013="","",DADOS!E5013)</f>
        <v/>
      </c>
      <c r="G5013" s="9" t="str">
        <f>IF(DADOS!F5013="","",DADOS!F5013)</f>
        <v/>
      </c>
      <c r="K5013" s="6" t="str">
        <f t="shared" si="395"/>
        <v/>
      </c>
      <c r="L5013" s="7" t="str">
        <f t="shared" si="396"/>
        <v/>
      </c>
      <c r="M5013" s="7" t="str">
        <f t="shared" si="393"/>
        <v/>
      </c>
      <c r="N5013" s="7" t="str">
        <f t="shared" si="397"/>
        <v/>
      </c>
      <c r="O5013" s="8"/>
      <c r="P5013" s="26"/>
      <c r="S5013" s="10" t="str">
        <f t="shared" si="394"/>
        <v/>
      </c>
    </row>
    <row r="5014" spans="5:19" x14ac:dyDescent="0.3">
      <c r="E5014" s="9" t="str">
        <f>IF(DADOS!C5014="","",DADOS!C5014)</f>
        <v/>
      </c>
      <c r="F5014" s="9" t="str">
        <f>IF(DADOS!E5014="","",DADOS!E5014)</f>
        <v/>
      </c>
      <c r="G5014" s="9" t="str">
        <f>IF(DADOS!F5014="","",DADOS!F5014)</f>
        <v/>
      </c>
      <c r="K5014" s="6" t="str">
        <f t="shared" si="395"/>
        <v/>
      </c>
      <c r="L5014" s="7" t="str">
        <f t="shared" si="396"/>
        <v/>
      </c>
      <c r="M5014" s="7" t="str">
        <f t="shared" si="393"/>
        <v/>
      </c>
      <c r="N5014" s="7" t="str">
        <f t="shared" si="397"/>
        <v/>
      </c>
      <c r="O5014" s="8"/>
      <c r="P5014" s="26"/>
      <c r="S5014" s="10" t="str">
        <f t="shared" si="394"/>
        <v/>
      </c>
    </row>
    <row r="5015" spans="5:19" x14ac:dyDescent="0.3">
      <c r="E5015" s="9" t="str">
        <f>IF(DADOS!C5015="","",DADOS!C5015)</f>
        <v/>
      </c>
      <c r="F5015" s="9" t="str">
        <f>IF(DADOS!E5015="","",DADOS!E5015)</f>
        <v/>
      </c>
      <c r="G5015" s="9" t="str">
        <f>IF(DADOS!F5015="","",DADOS!F5015)</f>
        <v/>
      </c>
      <c r="K5015" s="6" t="str">
        <f t="shared" si="395"/>
        <v/>
      </c>
      <c r="L5015" s="7" t="str">
        <f t="shared" si="396"/>
        <v/>
      </c>
      <c r="M5015" s="7" t="str">
        <f t="shared" si="393"/>
        <v/>
      </c>
      <c r="N5015" s="7" t="str">
        <f t="shared" si="397"/>
        <v/>
      </c>
      <c r="O5015" s="8"/>
      <c r="P5015" s="26"/>
      <c r="S5015" s="10" t="str">
        <f t="shared" si="394"/>
        <v/>
      </c>
    </row>
    <row r="5016" spans="5:19" x14ac:dyDescent="0.3">
      <c r="E5016" s="9" t="str">
        <f>IF(DADOS!C5016="","",DADOS!C5016)</f>
        <v/>
      </c>
      <c r="F5016" s="9" t="str">
        <f>IF(DADOS!E5016="","",DADOS!E5016)</f>
        <v/>
      </c>
      <c r="G5016" s="9" t="str">
        <f>IF(DADOS!F5016="","",DADOS!F5016)</f>
        <v/>
      </c>
      <c r="K5016" s="6" t="str">
        <f t="shared" si="395"/>
        <v/>
      </c>
      <c r="L5016" s="7" t="str">
        <f t="shared" si="396"/>
        <v/>
      </c>
      <c r="M5016" s="7" t="str">
        <f t="shared" si="393"/>
        <v/>
      </c>
      <c r="N5016" s="7" t="str">
        <f t="shared" si="397"/>
        <v/>
      </c>
      <c r="O5016" s="8"/>
      <c r="P5016" s="26"/>
      <c r="S5016" s="10" t="str">
        <f t="shared" si="394"/>
        <v/>
      </c>
    </row>
    <row r="5017" spans="5:19" x14ac:dyDescent="0.3">
      <c r="E5017" s="9" t="str">
        <f>IF(DADOS!C5017="","",DADOS!C5017)</f>
        <v/>
      </c>
      <c r="F5017" s="9" t="str">
        <f>IF(DADOS!E5017="","",DADOS!E5017)</f>
        <v/>
      </c>
      <c r="G5017" s="9" t="str">
        <f>IF(DADOS!F5017="","",DADOS!F5017)</f>
        <v/>
      </c>
      <c r="K5017" s="6" t="str">
        <f t="shared" si="395"/>
        <v/>
      </c>
      <c r="L5017" s="7" t="str">
        <f t="shared" si="396"/>
        <v/>
      </c>
      <c r="M5017" s="7" t="str">
        <f t="shared" si="393"/>
        <v/>
      </c>
      <c r="N5017" s="7" t="str">
        <f t="shared" si="397"/>
        <v/>
      </c>
      <c r="O5017" s="8"/>
      <c r="P5017" s="26"/>
      <c r="S5017" s="10" t="str">
        <f t="shared" si="394"/>
        <v/>
      </c>
    </row>
    <row r="5018" spans="5:19" x14ac:dyDescent="0.3">
      <c r="E5018" s="9" t="str">
        <f>IF(DADOS!C5018="","",DADOS!C5018)</f>
        <v/>
      </c>
      <c r="F5018" s="9" t="str">
        <f>IF(DADOS!E5018="","",DADOS!E5018)</f>
        <v/>
      </c>
      <c r="G5018" s="9" t="str">
        <f>IF(DADOS!F5018="","",DADOS!F5018)</f>
        <v/>
      </c>
      <c r="K5018" s="6" t="str">
        <f t="shared" si="395"/>
        <v/>
      </c>
      <c r="L5018" s="7" t="str">
        <f t="shared" si="396"/>
        <v/>
      </c>
      <c r="M5018" s="7" t="str">
        <f t="shared" si="393"/>
        <v/>
      </c>
      <c r="N5018" s="7" t="str">
        <f t="shared" si="397"/>
        <v/>
      </c>
      <c r="O5018" s="8"/>
      <c r="P5018" s="26"/>
      <c r="S5018" s="10" t="str">
        <f t="shared" si="394"/>
        <v/>
      </c>
    </row>
    <row r="5019" spans="5:19" x14ac:dyDescent="0.3">
      <c r="E5019" s="9" t="str">
        <f>IF(DADOS!C5019="","",DADOS!C5019)</f>
        <v/>
      </c>
      <c r="F5019" s="9" t="str">
        <f>IF(DADOS!E5019="","",DADOS!E5019)</f>
        <v/>
      </c>
      <c r="G5019" s="9" t="str">
        <f>IF(DADOS!F5019="","",DADOS!F5019)</f>
        <v/>
      </c>
      <c r="K5019" s="6" t="str">
        <f t="shared" si="395"/>
        <v/>
      </c>
      <c r="L5019" s="7" t="str">
        <f t="shared" si="396"/>
        <v/>
      </c>
      <c r="M5019" s="7" t="str">
        <f t="shared" si="393"/>
        <v/>
      </c>
      <c r="N5019" s="7" t="str">
        <f t="shared" si="397"/>
        <v/>
      </c>
      <c r="O5019" s="8"/>
      <c r="P5019" s="26"/>
      <c r="S5019" s="10" t="str">
        <f t="shared" si="394"/>
        <v/>
      </c>
    </row>
    <row r="5020" spans="5:19" x14ac:dyDescent="0.3">
      <c r="E5020" s="9" t="str">
        <f>IF(DADOS!C5020="","",DADOS!C5020)</f>
        <v/>
      </c>
      <c r="F5020" s="9" t="str">
        <f>IF(DADOS!E5020="","",DADOS!E5020)</f>
        <v/>
      </c>
      <c r="G5020" s="9" t="str">
        <f>IF(DADOS!F5020="","",DADOS!F5020)</f>
        <v/>
      </c>
      <c r="K5020" s="6" t="str">
        <f t="shared" si="395"/>
        <v/>
      </c>
      <c r="L5020" s="7" t="str">
        <f t="shared" si="396"/>
        <v/>
      </c>
      <c r="M5020" s="7" t="str">
        <f t="shared" si="393"/>
        <v/>
      </c>
      <c r="N5020" s="7" t="str">
        <f t="shared" si="397"/>
        <v/>
      </c>
      <c r="O5020" s="8"/>
      <c r="P5020" s="26"/>
      <c r="S5020" s="10" t="str">
        <f t="shared" si="394"/>
        <v/>
      </c>
    </row>
    <row r="5021" spans="5:19" x14ac:dyDescent="0.3">
      <c r="E5021" s="9" t="str">
        <f>IF(DADOS!C5021="","",DADOS!C5021)</f>
        <v/>
      </c>
      <c r="F5021" s="9" t="str">
        <f>IF(DADOS!E5021="","",DADOS!E5021)</f>
        <v/>
      </c>
      <c r="G5021" s="9" t="str">
        <f>IF(DADOS!F5021="","",DADOS!F5021)</f>
        <v/>
      </c>
      <c r="K5021" s="6" t="str">
        <f t="shared" si="395"/>
        <v/>
      </c>
      <c r="L5021" s="7" t="str">
        <f t="shared" si="396"/>
        <v/>
      </c>
      <c r="M5021" s="7" t="str">
        <f t="shared" si="393"/>
        <v/>
      </c>
      <c r="N5021" s="7" t="str">
        <f t="shared" si="397"/>
        <v/>
      </c>
      <c r="O5021" s="8"/>
      <c r="P5021" s="26"/>
      <c r="S5021" s="10" t="str">
        <f t="shared" si="394"/>
        <v/>
      </c>
    </row>
    <row r="5022" spans="5:19" x14ac:dyDescent="0.3">
      <c r="E5022" s="9" t="str">
        <f>IF(DADOS!C5022="","",DADOS!C5022)</f>
        <v/>
      </c>
      <c r="F5022" s="9" t="str">
        <f>IF(DADOS!E5022="","",DADOS!E5022)</f>
        <v/>
      </c>
      <c r="G5022" s="9" t="str">
        <f>IF(DADOS!F5022="","",DADOS!F5022)</f>
        <v/>
      </c>
      <c r="K5022" s="6" t="str">
        <f t="shared" si="395"/>
        <v/>
      </c>
      <c r="L5022" s="7" t="str">
        <f t="shared" si="396"/>
        <v/>
      </c>
      <c r="M5022" s="7" t="str">
        <f t="shared" si="393"/>
        <v/>
      </c>
      <c r="N5022" s="7" t="str">
        <f t="shared" si="397"/>
        <v/>
      </c>
      <c r="O5022" s="8"/>
      <c r="P5022" s="26"/>
      <c r="S5022" s="10" t="str">
        <f t="shared" si="394"/>
        <v/>
      </c>
    </row>
    <row r="5023" spans="5:19" x14ac:dyDescent="0.3">
      <c r="E5023" s="9" t="str">
        <f>IF(DADOS!C5023="","",DADOS!C5023)</f>
        <v/>
      </c>
      <c r="F5023" s="9" t="str">
        <f>IF(DADOS!E5023="","",DADOS!E5023)</f>
        <v/>
      </c>
      <c r="G5023" s="9" t="str">
        <f>IF(DADOS!F5023="","",DADOS!F5023)</f>
        <v/>
      </c>
      <c r="K5023" s="6" t="str">
        <f t="shared" si="395"/>
        <v/>
      </c>
      <c r="L5023" s="7" t="str">
        <f t="shared" si="396"/>
        <v/>
      </c>
      <c r="M5023" s="7" t="str">
        <f t="shared" si="393"/>
        <v/>
      </c>
      <c r="N5023" s="7" t="str">
        <f t="shared" si="397"/>
        <v/>
      </c>
      <c r="O5023" s="8"/>
      <c r="P5023" s="26"/>
      <c r="S5023" s="10" t="str">
        <f t="shared" si="394"/>
        <v/>
      </c>
    </row>
    <row r="5024" spans="5:19" x14ac:dyDescent="0.3">
      <c r="E5024" s="9" t="str">
        <f>IF(DADOS!C5024="","",DADOS!C5024)</f>
        <v/>
      </c>
      <c r="F5024" s="9" t="str">
        <f>IF(DADOS!E5024="","",DADOS!E5024)</f>
        <v/>
      </c>
      <c r="G5024" s="9" t="str">
        <f>IF(DADOS!F5024="","",DADOS!F5024)</f>
        <v/>
      </c>
      <c r="K5024" s="6" t="str">
        <f t="shared" si="395"/>
        <v/>
      </c>
      <c r="L5024" s="7" t="str">
        <f t="shared" si="396"/>
        <v/>
      </c>
      <c r="M5024" s="7" t="str">
        <f t="shared" si="393"/>
        <v/>
      </c>
      <c r="N5024" s="7" t="str">
        <f t="shared" si="397"/>
        <v/>
      </c>
      <c r="O5024" s="8"/>
      <c r="P5024" s="26"/>
      <c r="S5024" s="10" t="str">
        <f t="shared" si="394"/>
        <v/>
      </c>
    </row>
    <row r="5025" spans="5:19" x14ac:dyDescent="0.3">
      <c r="E5025" s="9" t="str">
        <f>IF(DADOS!C5025="","",DADOS!C5025)</f>
        <v/>
      </c>
      <c r="F5025" s="9" t="str">
        <f>IF(DADOS!E5025="","",DADOS!E5025)</f>
        <v/>
      </c>
      <c r="G5025" s="9" t="str">
        <f>IF(DADOS!F5025="","",DADOS!F5025)</f>
        <v/>
      </c>
      <c r="K5025" s="6" t="str">
        <f t="shared" si="395"/>
        <v/>
      </c>
      <c r="L5025" s="7" t="str">
        <f t="shared" si="396"/>
        <v/>
      </c>
      <c r="M5025" s="7" t="str">
        <f t="shared" si="393"/>
        <v/>
      </c>
      <c r="N5025" s="7" t="str">
        <f t="shared" si="397"/>
        <v/>
      </c>
      <c r="O5025" s="8"/>
      <c r="P5025" s="26"/>
      <c r="S5025" s="10" t="str">
        <f t="shared" si="394"/>
        <v/>
      </c>
    </row>
    <row r="5026" spans="5:19" x14ac:dyDescent="0.3">
      <c r="E5026" s="9" t="str">
        <f>IF(DADOS!C5026="","",DADOS!C5026)</f>
        <v/>
      </c>
      <c r="F5026" s="9" t="str">
        <f>IF(DADOS!E5026="","",DADOS!E5026)</f>
        <v/>
      </c>
      <c r="G5026" s="9" t="str">
        <f>IF(DADOS!F5026="","",DADOS!F5026)</f>
        <v/>
      </c>
      <c r="K5026" s="6" t="str">
        <f t="shared" si="395"/>
        <v/>
      </c>
      <c r="L5026" s="7" t="str">
        <f t="shared" si="396"/>
        <v/>
      </c>
      <c r="M5026" s="7" t="str">
        <f t="shared" si="393"/>
        <v/>
      </c>
      <c r="N5026" s="7" t="str">
        <f t="shared" si="397"/>
        <v/>
      </c>
      <c r="O5026" s="8"/>
      <c r="P5026" s="26"/>
      <c r="S5026" s="10" t="str">
        <f t="shared" si="394"/>
        <v/>
      </c>
    </row>
    <row r="5027" spans="5:19" x14ac:dyDescent="0.3">
      <c r="E5027" s="9" t="str">
        <f>IF(DADOS!C5027="","",DADOS!C5027)</f>
        <v/>
      </c>
      <c r="F5027" s="9" t="str">
        <f>IF(DADOS!E5027="","",DADOS!E5027)</f>
        <v/>
      </c>
      <c r="G5027" s="9" t="str">
        <f>IF(DADOS!F5027="","",DADOS!F5027)</f>
        <v/>
      </c>
      <c r="K5027" s="6" t="str">
        <f t="shared" si="395"/>
        <v/>
      </c>
      <c r="L5027" s="7" t="str">
        <f t="shared" si="396"/>
        <v/>
      </c>
      <c r="M5027" s="7" t="str">
        <f t="shared" si="393"/>
        <v/>
      </c>
      <c r="N5027" s="7" t="str">
        <f t="shared" si="397"/>
        <v/>
      </c>
      <c r="O5027" s="8"/>
      <c r="P5027" s="26"/>
      <c r="S5027" s="10" t="str">
        <f t="shared" si="394"/>
        <v/>
      </c>
    </row>
    <row r="5028" spans="5:19" x14ac:dyDescent="0.3">
      <c r="E5028" s="9" t="str">
        <f>IF(DADOS!C5028="","",DADOS!C5028)</f>
        <v/>
      </c>
      <c r="F5028" s="9" t="str">
        <f>IF(DADOS!E5028="","",DADOS!E5028)</f>
        <v/>
      </c>
      <c r="G5028" s="9" t="str">
        <f>IF(DADOS!F5028="","",DADOS!F5028)</f>
        <v/>
      </c>
      <c r="K5028" s="6" t="str">
        <f t="shared" si="395"/>
        <v/>
      </c>
      <c r="L5028" s="7" t="str">
        <f t="shared" si="396"/>
        <v/>
      </c>
      <c r="M5028" s="7" t="str">
        <f t="shared" si="393"/>
        <v/>
      </c>
      <c r="N5028" s="7" t="str">
        <f t="shared" si="397"/>
        <v/>
      </c>
      <c r="O5028" s="8"/>
      <c r="P5028" s="26"/>
      <c r="S5028" s="10" t="str">
        <f t="shared" si="394"/>
        <v/>
      </c>
    </row>
    <row r="5029" spans="5:19" x14ac:dyDescent="0.3">
      <c r="E5029" s="9" t="str">
        <f>IF(DADOS!C5029="","",DADOS!C5029)</f>
        <v/>
      </c>
      <c r="F5029" s="9" t="str">
        <f>IF(DADOS!E5029="","",DADOS!E5029)</f>
        <v/>
      </c>
      <c r="G5029" s="9" t="str">
        <f>IF(DADOS!F5029="","",DADOS!F5029)</f>
        <v/>
      </c>
      <c r="K5029" s="6" t="str">
        <f t="shared" si="395"/>
        <v/>
      </c>
      <c r="L5029" s="7" t="str">
        <f t="shared" si="396"/>
        <v/>
      </c>
      <c r="M5029" s="7" t="str">
        <f t="shared" si="393"/>
        <v/>
      </c>
      <c r="N5029" s="7" t="str">
        <f t="shared" si="397"/>
        <v/>
      </c>
      <c r="O5029" s="8"/>
      <c r="P5029" s="26"/>
      <c r="S5029" s="10" t="str">
        <f t="shared" si="394"/>
        <v/>
      </c>
    </row>
    <row r="5030" spans="5:19" x14ac:dyDescent="0.3">
      <c r="E5030" s="9" t="str">
        <f>IF(DADOS!C5030="","",DADOS!C5030)</f>
        <v/>
      </c>
      <c r="F5030" s="9" t="str">
        <f>IF(DADOS!E5030="","",DADOS!E5030)</f>
        <v/>
      </c>
      <c r="G5030" s="9" t="str">
        <f>IF(DADOS!F5030="","",DADOS!F5030)</f>
        <v/>
      </c>
      <c r="K5030" s="6" t="str">
        <f t="shared" si="395"/>
        <v/>
      </c>
      <c r="L5030" s="7" t="str">
        <f t="shared" si="396"/>
        <v/>
      </c>
      <c r="M5030" s="7" t="str">
        <f t="shared" si="393"/>
        <v/>
      </c>
      <c r="N5030" s="7" t="str">
        <f t="shared" si="397"/>
        <v/>
      </c>
      <c r="O5030" s="8"/>
      <c r="P5030" s="26"/>
      <c r="S5030" s="10" t="str">
        <f t="shared" si="394"/>
        <v/>
      </c>
    </row>
    <row r="5031" spans="5:19" x14ac:dyDescent="0.3">
      <c r="E5031" s="9" t="str">
        <f>IF(DADOS!C5031="","",DADOS!C5031)</f>
        <v/>
      </c>
      <c r="F5031" s="9" t="str">
        <f>IF(DADOS!E5031="","",DADOS!E5031)</f>
        <v/>
      </c>
      <c r="G5031" s="9" t="str">
        <f>IF(DADOS!F5031="","",DADOS!F5031)</f>
        <v/>
      </c>
      <c r="K5031" s="6" t="str">
        <f t="shared" si="395"/>
        <v/>
      </c>
      <c r="L5031" s="7" t="str">
        <f t="shared" si="396"/>
        <v/>
      </c>
      <c r="M5031" s="7" t="str">
        <f t="shared" si="393"/>
        <v/>
      </c>
      <c r="N5031" s="7" t="str">
        <f t="shared" si="397"/>
        <v/>
      </c>
      <c r="O5031" s="8"/>
      <c r="P5031" s="26"/>
      <c r="S5031" s="10" t="str">
        <f t="shared" si="394"/>
        <v/>
      </c>
    </row>
    <row r="5032" spans="5:19" x14ac:dyDescent="0.3">
      <c r="E5032" s="9" t="str">
        <f>IF(DADOS!C5032="","",DADOS!C5032)</f>
        <v/>
      </c>
      <c r="F5032" s="9" t="str">
        <f>IF(DADOS!E5032="","",DADOS!E5032)</f>
        <v/>
      </c>
      <c r="G5032" s="9" t="str">
        <f>IF(DADOS!F5032="","",DADOS!F5032)</f>
        <v/>
      </c>
      <c r="K5032" s="6" t="str">
        <f t="shared" si="395"/>
        <v/>
      </c>
      <c r="L5032" s="7" t="str">
        <f t="shared" si="396"/>
        <v/>
      </c>
      <c r="M5032" s="7" t="str">
        <f t="shared" si="393"/>
        <v/>
      </c>
      <c r="N5032" s="7" t="str">
        <f t="shared" si="397"/>
        <v/>
      </c>
      <c r="O5032" s="8"/>
      <c r="P5032" s="26"/>
      <c r="S5032" s="10" t="str">
        <f t="shared" si="394"/>
        <v/>
      </c>
    </row>
    <row r="5033" spans="5:19" x14ac:dyDescent="0.3">
      <c r="E5033" s="9" t="str">
        <f>IF(DADOS!C5033="","",DADOS!C5033)</f>
        <v/>
      </c>
      <c r="F5033" s="9" t="str">
        <f>IF(DADOS!E5033="","",DADOS!E5033)</f>
        <v/>
      </c>
      <c r="G5033" s="9" t="str">
        <f>IF(DADOS!F5033="","",DADOS!F5033)</f>
        <v/>
      </c>
      <c r="K5033" s="6" t="str">
        <f t="shared" si="395"/>
        <v/>
      </c>
      <c r="L5033" s="7" t="str">
        <f t="shared" si="396"/>
        <v/>
      </c>
      <c r="M5033" s="7" t="str">
        <f t="shared" si="393"/>
        <v/>
      </c>
      <c r="N5033" s="7" t="str">
        <f t="shared" si="397"/>
        <v/>
      </c>
      <c r="O5033" s="8"/>
      <c r="P5033" s="26"/>
      <c r="S5033" s="10" t="str">
        <f t="shared" si="394"/>
        <v/>
      </c>
    </row>
    <row r="5034" spans="5:19" x14ac:dyDescent="0.3">
      <c r="E5034" s="9" t="str">
        <f>IF(DADOS!C5034="","",DADOS!C5034)</f>
        <v/>
      </c>
      <c r="F5034" s="9" t="str">
        <f>IF(DADOS!E5034="","",DADOS!E5034)</f>
        <v/>
      </c>
      <c r="G5034" s="9" t="str">
        <f>IF(DADOS!F5034="","",DADOS!F5034)</f>
        <v/>
      </c>
      <c r="K5034" s="6" t="str">
        <f t="shared" si="395"/>
        <v/>
      </c>
      <c r="L5034" s="7" t="str">
        <f t="shared" si="396"/>
        <v/>
      </c>
      <c r="M5034" s="7" t="str">
        <f t="shared" si="393"/>
        <v/>
      </c>
      <c r="N5034" s="7" t="str">
        <f t="shared" si="397"/>
        <v/>
      </c>
      <c r="O5034" s="8"/>
      <c r="P5034" s="26"/>
      <c r="S5034" s="10" t="str">
        <f t="shared" si="394"/>
        <v/>
      </c>
    </row>
    <row r="5035" spans="5:19" x14ac:dyDescent="0.3">
      <c r="E5035" s="9" t="str">
        <f>IF(DADOS!C5035="","",DADOS!C5035)</f>
        <v/>
      </c>
      <c r="F5035" s="9" t="str">
        <f>IF(DADOS!E5035="","",DADOS!E5035)</f>
        <v/>
      </c>
      <c r="G5035" s="9" t="str">
        <f>IF(DADOS!F5035="","",DADOS!F5035)</f>
        <v/>
      </c>
      <c r="K5035" s="6" t="str">
        <f t="shared" si="395"/>
        <v/>
      </c>
      <c r="L5035" s="7" t="str">
        <f t="shared" si="396"/>
        <v/>
      </c>
      <c r="M5035" s="7" t="str">
        <f t="shared" si="393"/>
        <v/>
      </c>
      <c r="N5035" s="7" t="str">
        <f t="shared" si="397"/>
        <v/>
      </c>
      <c r="O5035" s="8"/>
      <c r="P5035" s="26"/>
      <c r="S5035" s="10" t="str">
        <f t="shared" si="394"/>
        <v/>
      </c>
    </row>
    <row r="5036" spans="5:19" x14ac:dyDescent="0.3">
      <c r="E5036" s="9" t="str">
        <f>IF(DADOS!C5036="","",DADOS!C5036)</f>
        <v/>
      </c>
      <c r="F5036" s="9" t="str">
        <f>IF(DADOS!E5036="","",DADOS!E5036)</f>
        <v/>
      </c>
      <c r="G5036" s="9" t="str">
        <f>IF(DADOS!F5036="","",DADOS!F5036)</f>
        <v/>
      </c>
      <c r="K5036" s="6" t="str">
        <f t="shared" si="395"/>
        <v/>
      </c>
      <c r="L5036" s="7" t="str">
        <f t="shared" si="396"/>
        <v/>
      </c>
      <c r="M5036" s="7" t="str">
        <f t="shared" si="393"/>
        <v/>
      </c>
      <c r="N5036" s="7" t="str">
        <f t="shared" si="397"/>
        <v/>
      </c>
      <c r="O5036" s="8"/>
      <c r="P5036" s="26"/>
      <c r="S5036" s="10" t="str">
        <f t="shared" si="394"/>
        <v/>
      </c>
    </row>
    <row r="5037" spans="5:19" x14ac:dyDescent="0.3">
      <c r="E5037" s="9" t="str">
        <f>IF(DADOS!C5037="","",DADOS!C5037)</f>
        <v/>
      </c>
      <c r="F5037" s="9" t="str">
        <f>IF(DADOS!E5037="","",DADOS!E5037)</f>
        <v/>
      </c>
      <c r="G5037" s="9" t="str">
        <f>IF(DADOS!F5037="","",DADOS!F5037)</f>
        <v/>
      </c>
      <c r="K5037" s="6" t="str">
        <f t="shared" si="395"/>
        <v/>
      </c>
      <c r="L5037" s="7" t="str">
        <f t="shared" si="396"/>
        <v/>
      </c>
      <c r="M5037" s="7" t="str">
        <f t="shared" si="393"/>
        <v/>
      </c>
      <c r="N5037" s="7" t="str">
        <f t="shared" si="397"/>
        <v/>
      </c>
      <c r="O5037" s="8"/>
      <c r="P5037" s="26"/>
      <c r="S5037" s="10" t="str">
        <f t="shared" si="394"/>
        <v/>
      </c>
    </row>
    <row r="5038" spans="5:19" x14ac:dyDescent="0.3">
      <c r="E5038" s="9" t="str">
        <f>IF(DADOS!C5038="","",DADOS!C5038)</f>
        <v/>
      </c>
      <c r="F5038" s="9" t="str">
        <f>IF(DADOS!E5038="","",DADOS!E5038)</f>
        <v/>
      </c>
      <c r="G5038" s="9" t="str">
        <f>IF(DADOS!F5038="","",DADOS!F5038)</f>
        <v/>
      </c>
      <c r="K5038" s="6" t="str">
        <f t="shared" si="395"/>
        <v/>
      </c>
      <c r="L5038" s="7" t="str">
        <f t="shared" si="396"/>
        <v/>
      </c>
      <c r="M5038" s="7" t="str">
        <f t="shared" si="393"/>
        <v/>
      </c>
      <c r="N5038" s="7" t="str">
        <f t="shared" si="397"/>
        <v/>
      </c>
      <c r="O5038" s="8"/>
      <c r="P5038" s="26"/>
      <c r="S5038" s="10" t="str">
        <f t="shared" si="394"/>
        <v/>
      </c>
    </row>
    <row r="5039" spans="5:19" x14ac:dyDescent="0.3">
      <c r="E5039" s="9" t="str">
        <f>IF(DADOS!C5039="","",DADOS!C5039)</f>
        <v/>
      </c>
      <c r="F5039" s="9" t="str">
        <f>IF(DADOS!E5039="","",DADOS!E5039)</f>
        <v/>
      </c>
      <c r="G5039" s="9" t="str">
        <f>IF(DADOS!F5039="","",DADOS!F5039)</f>
        <v/>
      </c>
      <c r="K5039" s="6" t="str">
        <f t="shared" si="395"/>
        <v/>
      </c>
      <c r="L5039" s="7" t="str">
        <f t="shared" si="396"/>
        <v/>
      </c>
      <c r="M5039" s="7" t="str">
        <f t="shared" si="393"/>
        <v/>
      </c>
      <c r="N5039" s="7" t="str">
        <f t="shared" si="397"/>
        <v/>
      </c>
      <c r="O5039" s="8"/>
      <c r="P5039" s="26"/>
      <c r="S5039" s="10" t="str">
        <f t="shared" si="394"/>
        <v/>
      </c>
    </row>
    <row r="5040" spans="5:19" x14ac:dyDescent="0.3">
      <c r="E5040" s="9" t="str">
        <f>IF(DADOS!C5040="","",DADOS!C5040)</f>
        <v/>
      </c>
      <c r="F5040" s="9" t="str">
        <f>IF(DADOS!E5040="","",DADOS!E5040)</f>
        <v/>
      </c>
      <c r="G5040" s="9" t="str">
        <f>IF(DADOS!F5040="","",DADOS!F5040)</f>
        <v/>
      </c>
      <c r="K5040" s="6" t="str">
        <f t="shared" si="395"/>
        <v/>
      </c>
      <c r="L5040" s="7" t="str">
        <f t="shared" si="396"/>
        <v/>
      </c>
      <c r="M5040" s="7" t="str">
        <f t="shared" si="393"/>
        <v/>
      </c>
      <c r="N5040" s="7" t="str">
        <f t="shared" si="397"/>
        <v/>
      </c>
      <c r="O5040" s="8"/>
      <c r="P5040" s="26"/>
      <c r="S5040" s="10" t="str">
        <f t="shared" si="394"/>
        <v/>
      </c>
    </row>
    <row r="5041" spans="5:19" x14ac:dyDescent="0.3">
      <c r="E5041" s="9" t="str">
        <f>IF(DADOS!C5041="","",DADOS!C5041)</f>
        <v/>
      </c>
      <c r="F5041" s="9" t="str">
        <f>IF(DADOS!E5041="","",DADOS!E5041)</f>
        <v/>
      </c>
      <c r="G5041" s="9" t="str">
        <f>IF(DADOS!F5041="","",DADOS!F5041)</f>
        <v/>
      </c>
      <c r="K5041" s="6" t="str">
        <f t="shared" si="395"/>
        <v/>
      </c>
      <c r="L5041" s="7" t="str">
        <f t="shared" si="396"/>
        <v/>
      </c>
      <c r="M5041" s="7" t="str">
        <f t="shared" si="393"/>
        <v/>
      </c>
      <c r="N5041" s="7" t="str">
        <f t="shared" si="397"/>
        <v/>
      </c>
      <c r="O5041" s="8"/>
      <c r="P5041" s="26"/>
      <c r="S5041" s="10" t="str">
        <f t="shared" si="394"/>
        <v/>
      </c>
    </row>
    <row r="5042" spans="5:19" x14ac:dyDescent="0.3">
      <c r="E5042" s="9" t="str">
        <f>IF(DADOS!C5042="","",DADOS!C5042)</f>
        <v/>
      </c>
      <c r="F5042" s="9" t="str">
        <f>IF(DADOS!E5042="","",DADOS!E5042)</f>
        <v/>
      </c>
      <c r="G5042" s="9" t="str">
        <f>IF(DADOS!F5042="","",DADOS!F5042)</f>
        <v/>
      </c>
      <c r="K5042" s="6" t="str">
        <f t="shared" si="395"/>
        <v/>
      </c>
      <c r="L5042" s="7" t="str">
        <f t="shared" si="396"/>
        <v/>
      </c>
      <c r="M5042" s="7" t="str">
        <f t="shared" si="393"/>
        <v/>
      </c>
      <c r="N5042" s="7" t="str">
        <f t="shared" si="397"/>
        <v/>
      </c>
      <c r="O5042" s="8"/>
      <c r="P5042" s="26"/>
      <c r="S5042" s="10" t="str">
        <f t="shared" si="394"/>
        <v/>
      </c>
    </row>
    <row r="5043" spans="5:19" x14ac:dyDescent="0.3">
      <c r="E5043" s="9" t="str">
        <f>IF(DADOS!C5043="","",DADOS!C5043)</f>
        <v/>
      </c>
      <c r="F5043" s="9" t="str">
        <f>IF(DADOS!E5043="","",DADOS!E5043)</f>
        <v/>
      </c>
      <c r="G5043" s="9" t="str">
        <f>IF(DADOS!F5043="","",DADOS!F5043)</f>
        <v/>
      </c>
      <c r="K5043" s="6" t="str">
        <f t="shared" si="395"/>
        <v/>
      </c>
      <c r="L5043" s="7" t="str">
        <f t="shared" si="396"/>
        <v/>
      </c>
      <c r="M5043" s="7" t="str">
        <f t="shared" si="393"/>
        <v/>
      </c>
      <c r="N5043" s="7" t="str">
        <f t="shared" si="397"/>
        <v/>
      </c>
      <c r="O5043" s="8"/>
      <c r="P5043" s="26"/>
      <c r="S5043" s="10" t="str">
        <f t="shared" si="394"/>
        <v/>
      </c>
    </row>
    <row r="5044" spans="5:19" x14ac:dyDescent="0.3">
      <c r="E5044" s="9" t="str">
        <f>IF(DADOS!C5044="","",DADOS!C5044)</f>
        <v/>
      </c>
      <c r="F5044" s="9" t="str">
        <f>IF(DADOS!E5044="","",DADOS!E5044)</f>
        <v/>
      </c>
      <c r="G5044" s="9" t="str">
        <f>IF(DADOS!F5044="","",DADOS!F5044)</f>
        <v/>
      </c>
      <c r="K5044" s="6" t="str">
        <f t="shared" si="395"/>
        <v/>
      </c>
      <c r="L5044" s="7" t="str">
        <f t="shared" si="396"/>
        <v/>
      </c>
      <c r="M5044" s="7" t="str">
        <f t="shared" si="393"/>
        <v/>
      </c>
      <c r="N5044" s="7" t="str">
        <f t="shared" si="397"/>
        <v/>
      </c>
      <c r="O5044" s="8"/>
      <c r="P5044" s="26"/>
      <c r="S5044" s="10" t="str">
        <f t="shared" si="394"/>
        <v/>
      </c>
    </row>
    <row r="5045" spans="5:19" x14ac:dyDescent="0.3">
      <c r="E5045" s="9" t="str">
        <f>IF(DADOS!C5045="","",DADOS!C5045)</f>
        <v/>
      </c>
      <c r="F5045" s="9" t="str">
        <f>IF(DADOS!E5045="","",DADOS!E5045)</f>
        <v/>
      </c>
      <c r="G5045" s="9" t="str">
        <f>IF(DADOS!F5045="","",DADOS!F5045)</f>
        <v/>
      </c>
      <c r="K5045" s="6" t="str">
        <f t="shared" si="395"/>
        <v/>
      </c>
      <c r="L5045" s="7" t="str">
        <f t="shared" si="396"/>
        <v/>
      </c>
      <c r="M5045" s="7" t="str">
        <f t="shared" si="393"/>
        <v/>
      </c>
      <c r="N5045" s="7" t="str">
        <f t="shared" si="397"/>
        <v/>
      </c>
      <c r="O5045" s="8"/>
      <c r="P5045" s="26"/>
      <c r="S5045" s="10" t="str">
        <f t="shared" si="394"/>
        <v/>
      </c>
    </row>
    <row r="5046" spans="5:19" x14ac:dyDescent="0.3">
      <c r="E5046" s="9" t="str">
        <f>IF(DADOS!C5046="","",DADOS!C5046)</f>
        <v/>
      </c>
      <c r="F5046" s="9" t="str">
        <f>IF(DADOS!E5046="","",DADOS!E5046)</f>
        <v/>
      </c>
      <c r="G5046" s="9" t="str">
        <f>IF(DADOS!F5046="","",DADOS!F5046)</f>
        <v/>
      </c>
      <c r="K5046" s="6" t="str">
        <f t="shared" si="395"/>
        <v/>
      </c>
      <c r="L5046" s="7" t="str">
        <f t="shared" si="396"/>
        <v/>
      </c>
      <c r="M5046" s="7" t="str">
        <f t="shared" si="393"/>
        <v/>
      </c>
      <c r="N5046" s="7" t="str">
        <f t="shared" si="397"/>
        <v/>
      </c>
      <c r="O5046" s="8"/>
      <c r="P5046" s="26"/>
      <c r="S5046" s="10" t="str">
        <f t="shared" si="394"/>
        <v/>
      </c>
    </row>
    <row r="5047" spans="5:19" x14ac:dyDescent="0.3">
      <c r="E5047" s="9" t="str">
        <f>IF(DADOS!C5047="","",DADOS!C5047)</f>
        <v/>
      </c>
      <c r="F5047" s="9" t="str">
        <f>IF(DADOS!E5047="","",DADOS!E5047)</f>
        <v/>
      </c>
      <c r="G5047" s="9" t="str">
        <f>IF(DADOS!F5047="","",DADOS!F5047)</f>
        <v/>
      </c>
      <c r="K5047" s="6" t="str">
        <f t="shared" si="395"/>
        <v/>
      </c>
      <c r="L5047" s="7" t="str">
        <f t="shared" si="396"/>
        <v/>
      </c>
      <c r="M5047" s="7" t="str">
        <f t="shared" si="393"/>
        <v/>
      </c>
      <c r="N5047" s="7" t="str">
        <f t="shared" si="397"/>
        <v/>
      </c>
      <c r="O5047" s="8"/>
      <c r="P5047" s="26"/>
      <c r="S5047" s="10" t="str">
        <f t="shared" si="394"/>
        <v/>
      </c>
    </row>
    <row r="5048" spans="5:19" x14ac:dyDescent="0.3">
      <c r="E5048" s="9" t="str">
        <f>IF(DADOS!C5048="","",DADOS!C5048)</f>
        <v/>
      </c>
      <c r="F5048" s="9" t="str">
        <f>IF(DADOS!E5048="","",DADOS!E5048)</f>
        <v/>
      </c>
      <c r="G5048" s="9" t="str">
        <f>IF(DADOS!F5048="","",DADOS!F5048)</f>
        <v/>
      </c>
      <c r="K5048" s="6" t="str">
        <f t="shared" si="395"/>
        <v/>
      </c>
      <c r="L5048" s="7" t="str">
        <f t="shared" si="396"/>
        <v/>
      </c>
      <c r="M5048" s="7" t="str">
        <f t="shared" si="393"/>
        <v/>
      </c>
      <c r="N5048" s="7" t="str">
        <f t="shared" si="397"/>
        <v/>
      </c>
      <c r="O5048" s="8"/>
      <c r="P5048" s="26"/>
      <c r="S5048" s="10" t="str">
        <f t="shared" si="394"/>
        <v/>
      </c>
    </row>
    <row r="5049" spans="5:19" x14ac:dyDescent="0.3">
      <c r="E5049" s="9" t="str">
        <f>IF(DADOS!C5049="","",DADOS!C5049)</f>
        <v/>
      </c>
      <c r="F5049" s="9" t="str">
        <f>IF(DADOS!E5049="","",DADOS!E5049)</f>
        <v/>
      </c>
      <c r="G5049" s="9" t="str">
        <f>IF(DADOS!F5049="","",DADOS!F5049)</f>
        <v/>
      </c>
      <c r="K5049" s="6" t="str">
        <f t="shared" si="395"/>
        <v/>
      </c>
      <c r="L5049" s="7" t="str">
        <f t="shared" si="396"/>
        <v/>
      </c>
      <c r="M5049" s="7" t="str">
        <f t="shared" si="393"/>
        <v/>
      </c>
      <c r="N5049" s="7" t="str">
        <f t="shared" si="397"/>
        <v/>
      </c>
      <c r="O5049" s="8"/>
      <c r="P5049" s="26"/>
      <c r="S5049" s="10" t="str">
        <f t="shared" si="394"/>
        <v/>
      </c>
    </row>
    <row r="5050" spans="5:19" x14ac:dyDescent="0.3">
      <c r="E5050" s="9" t="str">
        <f>IF(DADOS!C5050="","",DADOS!C5050)</f>
        <v/>
      </c>
      <c r="F5050" s="9" t="str">
        <f>IF(DADOS!E5050="","",DADOS!E5050)</f>
        <v/>
      </c>
      <c r="G5050" s="9" t="str">
        <f>IF(DADOS!F5050="","",DADOS!F5050)</f>
        <v/>
      </c>
      <c r="K5050" s="6" t="str">
        <f t="shared" si="395"/>
        <v/>
      </c>
      <c r="L5050" s="7" t="str">
        <f t="shared" si="396"/>
        <v/>
      </c>
      <c r="M5050" s="7" t="str">
        <f t="shared" si="393"/>
        <v/>
      </c>
      <c r="N5050" s="7" t="str">
        <f t="shared" si="397"/>
        <v/>
      </c>
      <c r="O5050" s="8"/>
      <c r="P5050" s="26"/>
      <c r="S5050" s="10" t="str">
        <f t="shared" si="394"/>
        <v/>
      </c>
    </row>
    <row r="5051" spans="5:19" x14ac:dyDescent="0.3">
      <c r="E5051" s="9" t="str">
        <f>IF(DADOS!C5051="","",DADOS!C5051)</f>
        <v/>
      </c>
      <c r="F5051" s="9" t="str">
        <f>IF(DADOS!E5051="","",DADOS!E5051)</f>
        <v/>
      </c>
      <c r="G5051" s="9" t="str">
        <f>IF(DADOS!F5051="","",DADOS!F5051)</f>
        <v/>
      </c>
      <c r="K5051" s="6" t="str">
        <f t="shared" si="395"/>
        <v/>
      </c>
      <c r="L5051" s="7" t="str">
        <f t="shared" si="396"/>
        <v/>
      </c>
      <c r="M5051" s="7" t="str">
        <f t="shared" si="393"/>
        <v/>
      </c>
      <c r="N5051" s="7" t="str">
        <f t="shared" si="397"/>
        <v/>
      </c>
      <c r="O5051" s="8"/>
      <c r="P5051" s="26"/>
      <c r="S5051" s="10" t="str">
        <f t="shared" si="394"/>
        <v/>
      </c>
    </row>
    <row r="5052" spans="5:19" x14ac:dyDescent="0.3">
      <c r="E5052" s="9" t="str">
        <f>IF(DADOS!C5052="","",DADOS!C5052)</f>
        <v/>
      </c>
      <c r="F5052" s="9" t="str">
        <f>IF(DADOS!E5052="","",DADOS!E5052)</f>
        <v/>
      </c>
      <c r="G5052" s="9" t="str">
        <f>IF(DADOS!F5052="","",DADOS!F5052)</f>
        <v/>
      </c>
      <c r="K5052" s="6" t="str">
        <f t="shared" si="395"/>
        <v/>
      </c>
      <c r="L5052" s="7" t="str">
        <f t="shared" si="396"/>
        <v/>
      </c>
      <c r="M5052" s="7" t="str">
        <f t="shared" si="393"/>
        <v/>
      </c>
      <c r="N5052" s="7" t="str">
        <f t="shared" si="397"/>
        <v/>
      </c>
      <c r="O5052" s="8"/>
      <c r="P5052" s="26"/>
      <c r="S5052" s="10" t="str">
        <f t="shared" si="394"/>
        <v/>
      </c>
    </row>
    <row r="5053" spans="5:19" x14ac:dyDescent="0.3">
      <c r="E5053" s="9" t="str">
        <f>IF(DADOS!C5053="","",DADOS!C5053)</f>
        <v/>
      </c>
      <c r="F5053" s="9" t="str">
        <f>IF(DADOS!E5053="","",DADOS!E5053)</f>
        <v/>
      </c>
      <c r="G5053" s="9" t="str">
        <f>IF(DADOS!F5053="","",DADOS!F5053)</f>
        <v/>
      </c>
      <c r="K5053" s="6" t="str">
        <f t="shared" si="395"/>
        <v/>
      </c>
      <c r="L5053" s="7" t="str">
        <f t="shared" si="396"/>
        <v/>
      </c>
      <c r="M5053" s="7" t="str">
        <f t="shared" si="393"/>
        <v/>
      </c>
      <c r="N5053" s="7" t="str">
        <f t="shared" si="397"/>
        <v/>
      </c>
      <c r="O5053" s="8"/>
      <c r="P5053" s="26"/>
      <c r="S5053" s="10" t="str">
        <f t="shared" si="394"/>
        <v/>
      </c>
    </row>
    <row r="5054" spans="5:19" x14ac:dyDescent="0.3">
      <c r="E5054" s="9" t="str">
        <f>IF(DADOS!C5054="","",DADOS!C5054)</f>
        <v/>
      </c>
      <c r="F5054" s="9" t="str">
        <f>IF(DADOS!E5054="","",DADOS!E5054)</f>
        <v/>
      </c>
      <c r="G5054" s="9" t="str">
        <f>IF(DADOS!F5054="","",DADOS!F5054)</f>
        <v/>
      </c>
      <c r="K5054" s="6" t="str">
        <f t="shared" si="395"/>
        <v/>
      </c>
      <c r="L5054" s="7" t="str">
        <f t="shared" si="396"/>
        <v/>
      </c>
      <c r="M5054" s="7" t="str">
        <f t="shared" si="393"/>
        <v/>
      </c>
      <c r="N5054" s="7" t="str">
        <f t="shared" si="397"/>
        <v/>
      </c>
      <c r="O5054" s="8"/>
      <c r="P5054" s="26"/>
      <c r="S5054" s="10" t="str">
        <f t="shared" si="394"/>
        <v/>
      </c>
    </row>
    <row r="5055" spans="5:19" x14ac:dyDescent="0.3">
      <c r="E5055" s="9" t="str">
        <f>IF(DADOS!C5055="","",DADOS!C5055)</f>
        <v/>
      </c>
      <c r="F5055" s="9" t="str">
        <f>IF(DADOS!E5055="","",DADOS!E5055)</f>
        <v/>
      </c>
      <c r="G5055" s="9" t="str">
        <f>IF(DADOS!F5055="","",DADOS!F5055)</f>
        <v/>
      </c>
      <c r="K5055" s="6" t="str">
        <f t="shared" si="395"/>
        <v/>
      </c>
      <c r="L5055" s="7" t="str">
        <f t="shared" si="396"/>
        <v/>
      </c>
      <c r="M5055" s="7" t="str">
        <f t="shared" si="393"/>
        <v/>
      </c>
      <c r="N5055" s="7" t="str">
        <f t="shared" si="397"/>
        <v/>
      </c>
      <c r="O5055" s="8"/>
      <c r="P5055" s="26"/>
      <c r="S5055" s="10" t="str">
        <f t="shared" si="394"/>
        <v/>
      </c>
    </row>
    <row r="5056" spans="5:19" x14ac:dyDescent="0.3">
      <c r="E5056" s="9" t="str">
        <f>IF(DADOS!C5056="","",DADOS!C5056)</f>
        <v/>
      </c>
      <c r="F5056" s="9" t="str">
        <f>IF(DADOS!E5056="","",DADOS!E5056)</f>
        <v/>
      </c>
      <c r="G5056" s="9" t="str">
        <f>IF(DADOS!F5056="","",DADOS!F5056)</f>
        <v/>
      </c>
      <c r="K5056" s="6" t="str">
        <f t="shared" si="395"/>
        <v/>
      </c>
      <c r="L5056" s="7" t="str">
        <f t="shared" si="396"/>
        <v/>
      </c>
      <c r="M5056" s="7" t="str">
        <f t="shared" si="393"/>
        <v/>
      </c>
      <c r="N5056" s="7" t="str">
        <f t="shared" si="397"/>
        <v/>
      </c>
      <c r="O5056" s="8"/>
      <c r="P5056" s="26"/>
      <c r="S5056" s="10" t="str">
        <f t="shared" si="394"/>
        <v/>
      </c>
    </row>
    <row r="5057" spans="5:19" x14ac:dyDescent="0.3">
      <c r="E5057" s="9" t="str">
        <f>IF(DADOS!C5057="","",DADOS!C5057)</f>
        <v/>
      </c>
      <c r="F5057" s="9" t="str">
        <f>IF(DADOS!E5057="","",DADOS!E5057)</f>
        <v/>
      </c>
      <c r="G5057" s="9" t="str">
        <f>IF(DADOS!F5057="","",DADOS!F5057)</f>
        <v/>
      </c>
      <c r="K5057" s="6" t="str">
        <f t="shared" si="395"/>
        <v/>
      </c>
      <c r="L5057" s="7" t="str">
        <f t="shared" si="396"/>
        <v/>
      </c>
      <c r="M5057" s="7" t="str">
        <f t="shared" si="393"/>
        <v/>
      </c>
      <c r="N5057" s="7" t="str">
        <f t="shared" si="397"/>
        <v/>
      </c>
      <c r="O5057" s="8"/>
      <c r="P5057" s="26"/>
      <c r="S5057" s="10" t="str">
        <f t="shared" si="394"/>
        <v/>
      </c>
    </row>
    <row r="5058" spans="5:19" x14ac:dyDescent="0.3">
      <c r="E5058" s="9" t="str">
        <f>IF(DADOS!C5058="","",DADOS!C5058)</f>
        <v/>
      </c>
      <c r="F5058" s="9" t="str">
        <f>IF(DADOS!E5058="","",DADOS!E5058)</f>
        <v/>
      </c>
      <c r="G5058" s="9" t="str">
        <f>IF(DADOS!F5058="","",DADOS!F5058)</f>
        <v/>
      </c>
      <c r="K5058" s="6" t="str">
        <f t="shared" si="395"/>
        <v/>
      </c>
      <c r="L5058" s="7" t="str">
        <f t="shared" si="396"/>
        <v/>
      </c>
      <c r="M5058" s="7" t="str">
        <f t="shared" si="393"/>
        <v/>
      </c>
      <c r="N5058" s="7" t="str">
        <f t="shared" si="397"/>
        <v/>
      </c>
      <c r="O5058" s="8"/>
      <c r="P5058" s="26"/>
      <c r="S5058" s="10" t="str">
        <f t="shared" si="394"/>
        <v/>
      </c>
    </row>
    <row r="5059" spans="5:19" x14ac:dyDescent="0.3">
      <c r="E5059" s="9" t="str">
        <f>IF(DADOS!C5059="","",DADOS!C5059)</f>
        <v/>
      </c>
      <c r="F5059" s="9" t="str">
        <f>IF(DADOS!E5059="","",DADOS!E5059)</f>
        <v/>
      </c>
      <c r="G5059" s="9" t="str">
        <f>IF(DADOS!F5059="","",DADOS!F5059)</f>
        <v/>
      </c>
      <c r="K5059" s="6" t="str">
        <f t="shared" si="395"/>
        <v/>
      </c>
      <c r="L5059" s="7" t="str">
        <f t="shared" si="396"/>
        <v/>
      </c>
      <c r="M5059" s="7" t="str">
        <f t="shared" ref="M5059:M5122" si="398">IF(L5059="","",L5059*G5059)</f>
        <v/>
      </c>
      <c r="N5059" s="7" t="str">
        <f t="shared" si="397"/>
        <v/>
      </c>
      <c r="O5059" s="8"/>
      <c r="P5059" s="26"/>
      <c r="S5059" s="10" t="str">
        <f t="shared" ref="S5059:S5122" si="399">IF(R5059="","",SUMIFS($N$3:$N$10000,$E$3:$E$10000,R5059))</f>
        <v/>
      </c>
    </row>
    <row r="5060" spans="5:19" x14ac:dyDescent="0.3">
      <c r="E5060" s="9" t="str">
        <f>IF(DADOS!C5060="","",DADOS!C5060)</f>
        <v/>
      </c>
      <c r="F5060" s="9" t="str">
        <f>IF(DADOS!E5060="","",DADOS!E5060)</f>
        <v/>
      </c>
      <c r="G5060" s="9" t="str">
        <f>IF(DADOS!F5060="","",DADOS!F5060)</f>
        <v/>
      </c>
      <c r="K5060" s="6" t="str">
        <f t="shared" ref="K5060:K5123" si="400">IF(F5060="","",F5060/PI())</f>
        <v/>
      </c>
      <c r="L5060" s="7" t="str">
        <f t="shared" ref="L5060:L5123" si="401">IF(K5060="","",(PI()*K5060^2)/40000)</f>
        <v/>
      </c>
      <c r="M5060" s="7" t="str">
        <f t="shared" si="398"/>
        <v/>
      </c>
      <c r="N5060" s="7" t="str">
        <f t="shared" ref="N5060:N5123" si="402">IF(M5060="","",M5060*N$1)</f>
        <v/>
      </c>
      <c r="O5060" s="8"/>
      <c r="P5060" s="26"/>
      <c r="S5060" s="10" t="str">
        <f t="shared" si="399"/>
        <v/>
      </c>
    </row>
    <row r="5061" spans="5:19" x14ac:dyDescent="0.3">
      <c r="E5061" s="9" t="str">
        <f>IF(DADOS!C5061="","",DADOS!C5061)</f>
        <v/>
      </c>
      <c r="F5061" s="9" t="str">
        <f>IF(DADOS!E5061="","",DADOS!E5061)</f>
        <v/>
      </c>
      <c r="G5061" s="9" t="str">
        <f>IF(DADOS!F5061="","",DADOS!F5061)</f>
        <v/>
      </c>
      <c r="K5061" s="6" t="str">
        <f t="shared" si="400"/>
        <v/>
      </c>
      <c r="L5061" s="7" t="str">
        <f t="shared" si="401"/>
        <v/>
      </c>
      <c r="M5061" s="7" t="str">
        <f t="shared" si="398"/>
        <v/>
      </c>
      <c r="N5061" s="7" t="str">
        <f t="shared" si="402"/>
        <v/>
      </c>
      <c r="O5061" s="8"/>
      <c r="P5061" s="26"/>
      <c r="S5061" s="10" t="str">
        <f t="shared" si="399"/>
        <v/>
      </c>
    </row>
    <row r="5062" spans="5:19" x14ac:dyDescent="0.3">
      <c r="E5062" s="9" t="str">
        <f>IF(DADOS!C5062="","",DADOS!C5062)</f>
        <v/>
      </c>
      <c r="F5062" s="9" t="str">
        <f>IF(DADOS!E5062="","",DADOS!E5062)</f>
        <v/>
      </c>
      <c r="G5062" s="9" t="str">
        <f>IF(DADOS!F5062="","",DADOS!F5062)</f>
        <v/>
      </c>
      <c r="K5062" s="6" t="str">
        <f t="shared" si="400"/>
        <v/>
      </c>
      <c r="L5062" s="7" t="str">
        <f t="shared" si="401"/>
        <v/>
      </c>
      <c r="M5062" s="7" t="str">
        <f t="shared" si="398"/>
        <v/>
      </c>
      <c r="N5062" s="7" t="str">
        <f t="shared" si="402"/>
        <v/>
      </c>
      <c r="O5062" s="8"/>
      <c r="P5062" s="26"/>
      <c r="S5062" s="10" t="str">
        <f t="shared" si="399"/>
        <v/>
      </c>
    </row>
    <row r="5063" spans="5:19" x14ac:dyDescent="0.3">
      <c r="E5063" s="9" t="str">
        <f>IF(DADOS!C5063="","",DADOS!C5063)</f>
        <v/>
      </c>
      <c r="F5063" s="9" t="str">
        <f>IF(DADOS!E5063="","",DADOS!E5063)</f>
        <v/>
      </c>
      <c r="G5063" s="9" t="str">
        <f>IF(DADOS!F5063="","",DADOS!F5063)</f>
        <v/>
      </c>
      <c r="K5063" s="6" t="str">
        <f t="shared" si="400"/>
        <v/>
      </c>
      <c r="L5063" s="7" t="str">
        <f t="shared" si="401"/>
        <v/>
      </c>
      <c r="M5063" s="7" t="str">
        <f t="shared" si="398"/>
        <v/>
      </c>
      <c r="N5063" s="7" t="str">
        <f t="shared" si="402"/>
        <v/>
      </c>
      <c r="O5063" s="8"/>
      <c r="P5063" s="26"/>
      <c r="S5063" s="10" t="str">
        <f t="shared" si="399"/>
        <v/>
      </c>
    </row>
    <row r="5064" spans="5:19" x14ac:dyDescent="0.3">
      <c r="E5064" s="9" t="str">
        <f>IF(DADOS!C5064="","",DADOS!C5064)</f>
        <v/>
      </c>
      <c r="F5064" s="9" t="str">
        <f>IF(DADOS!E5064="","",DADOS!E5064)</f>
        <v/>
      </c>
      <c r="G5064" s="9" t="str">
        <f>IF(DADOS!F5064="","",DADOS!F5064)</f>
        <v/>
      </c>
      <c r="K5064" s="6" t="str">
        <f t="shared" si="400"/>
        <v/>
      </c>
      <c r="L5064" s="7" t="str">
        <f t="shared" si="401"/>
        <v/>
      </c>
      <c r="M5064" s="7" t="str">
        <f t="shared" si="398"/>
        <v/>
      </c>
      <c r="N5064" s="7" t="str">
        <f t="shared" si="402"/>
        <v/>
      </c>
      <c r="O5064" s="8"/>
      <c r="P5064" s="26"/>
      <c r="S5064" s="10" t="str">
        <f t="shared" si="399"/>
        <v/>
      </c>
    </row>
    <row r="5065" spans="5:19" x14ac:dyDescent="0.3">
      <c r="E5065" s="9" t="str">
        <f>IF(DADOS!C5065="","",DADOS!C5065)</f>
        <v/>
      </c>
      <c r="F5065" s="9" t="str">
        <f>IF(DADOS!E5065="","",DADOS!E5065)</f>
        <v/>
      </c>
      <c r="G5065" s="9" t="str">
        <f>IF(DADOS!F5065="","",DADOS!F5065)</f>
        <v/>
      </c>
      <c r="K5065" s="6" t="str">
        <f t="shared" si="400"/>
        <v/>
      </c>
      <c r="L5065" s="7" t="str">
        <f t="shared" si="401"/>
        <v/>
      </c>
      <c r="M5065" s="7" t="str">
        <f t="shared" si="398"/>
        <v/>
      </c>
      <c r="N5065" s="7" t="str">
        <f t="shared" si="402"/>
        <v/>
      </c>
      <c r="O5065" s="8"/>
      <c r="P5065" s="26"/>
      <c r="S5065" s="10" t="str">
        <f t="shared" si="399"/>
        <v/>
      </c>
    </row>
    <row r="5066" spans="5:19" x14ac:dyDescent="0.3">
      <c r="E5066" s="9" t="str">
        <f>IF(DADOS!C5066="","",DADOS!C5066)</f>
        <v/>
      </c>
      <c r="F5066" s="9" t="str">
        <f>IF(DADOS!E5066="","",DADOS!E5066)</f>
        <v/>
      </c>
      <c r="G5066" s="9" t="str">
        <f>IF(DADOS!F5066="","",DADOS!F5066)</f>
        <v/>
      </c>
      <c r="K5066" s="6" t="str">
        <f t="shared" si="400"/>
        <v/>
      </c>
      <c r="L5066" s="7" t="str">
        <f t="shared" si="401"/>
        <v/>
      </c>
      <c r="M5066" s="7" t="str">
        <f t="shared" si="398"/>
        <v/>
      </c>
      <c r="N5066" s="7" t="str">
        <f t="shared" si="402"/>
        <v/>
      </c>
      <c r="O5066" s="8"/>
      <c r="P5066" s="26"/>
      <c r="S5066" s="10" t="str">
        <f t="shared" si="399"/>
        <v/>
      </c>
    </row>
    <row r="5067" spans="5:19" x14ac:dyDescent="0.3">
      <c r="E5067" s="9" t="str">
        <f>IF(DADOS!C5067="","",DADOS!C5067)</f>
        <v/>
      </c>
      <c r="F5067" s="9" t="str">
        <f>IF(DADOS!E5067="","",DADOS!E5067)</f>
        <v/>
      </c>
      <c r="G5067" s="9" t="str">
        <f>IF(DADOS!F5067="","",DADOS!F5067)</f>
        <v/>
      </c>
      <c r="K5067" s="6" t="str">
        <f t="shared" si="400"/>
        <v/>
      </c>
      <c r="L5067" s="7" t="str">
        <f t="shared" si="401"/>
        <v/>
      </c>
      <c r="M5067" s="7" t="str">
        <f t="shared" si="398"/>
        <v/>
      </c>
      <c r="N5067" s="7" t="str">
        <f t="shared" si="402"/>
        <v/>
      </c>
      <c r="O5067" s="8"/>
      <c r="P5067" s="26"/>
      <c r="S5067" s="10" t="str">
        <f t="shared" si="399"/>
        <v/>
      </c>
    </row>
    <row r="5068" spans="5:19" x14ac:dyDescent="0.3">
      <c r="E5068" s="9" t="str">
        <f>IF(DADOS!C5068="","",DADOS!C5068)</f>
        <v/>
      </c>
      <c r="F5068" s="9" t="str">
        <f>IF(DADOS!E5068="","",DADOS!E5068)</f>
        <v/>
      </c>
      <c r="G5068" s="9" t="str">
        <f>IF(DADOS!F5068="","",DADOS!F5068)</f>
        <v/>
      </c>
      <c r="K5068" s="6" t="str">
        <f t="shared" si="400"/>
        <v/>
      </c>
      <c r="L5068" s="7" t="str">
        <f t="shared" si="401"/>
        <v/>
      </c>
      <c r="M5068" s="7" t="str">
        <f t="shared" si="398"/>
        <v/>
      </c>
      <c r="N5068" s="7" t="str">
        <f t="shared" si="402"/>
        <v/>
      </c>
      <c r="O5068" s="8"/>
      <c r="P5068" s="26"/>
      <c r="S5068" s="10" t="str">
        <f t="shared" si="399"/>
        <v/>
      </c>
    </row>
    <row r="5069" spans="5:19" x14ac:dyDescent="0.3">
      <c r="E5069" s="9" t="str">
        <f>IF(DADOS!C5069="","",DADOS!C5069)</f>
        <v/>
      </c>
      <c r="F5069" s="9" t="str">
        <f>IF(DADOS!E5069="","",DADOS!E5069)</f>
        <v/>
      </c>
      <c r="G5069" s="9" t="str">
        <f>IF(DADOS!F5069="","",DADOS!F5069)</f>
        <v/>
      </c>
      <c r="K5069" s="6" t="str">
        <f t="shared" si="400"/>
        <v/>
      </c>
      <c r="L5069" s="7" t="str">
        <f t="shared" si="401"/>
        <v/>
      </c>
      <c r="M5069" s="7" t="str">
        <f t="shared" si="398"/>
        <v/>
      </c>
      <c r="N5069" s="7" t="str">
        <f t="shared" si="402"/>
        <v/>
      </c>
      <c r="O5069" s="8"/>
      <c r="P5069" s="26"/>
      <c r="S5069" s="10" t="str">
        <f t="shared" si="399"/>
        <v/>
      </c>
    </row>
    <row r="5070" spans="5:19" x14ac:dyDescent="0.3">
      <c r="E5070" s="9" t="str">
        <f>IF(DADOS!C5070="","",DADOS!C5070)</f>
        <v/>
      </c>
      <c r="F5070" s="9" t="str">
        <f>IF(DADOS!E5070="","",DADOS!E5070)</f>
        <v/>
      </c>
      <c r="G5070" s="9" t="str">
        <f>IF(DADOS!F5070="","",DADOS!F5070)</f>
        <v/>
      </c>
      <c r="K5070" s="6" t="str">
        <f t="shared" si="400"/>
        <v/>
      </c>
      <c r="L5070" s="7" t="str">
        <f t="shared" si="401"/>
        <v/>
      </c>
      <c r="M5070" s="7" t="str">
        <f t="shared" si="398"/>
        <v/>
      </c>
      <c r="N5070" s="7" t="str">
        <f t="shared" si="402"/>
        <v/>
      </c>
      <c r="O5070" s="8"/>
      <c r="P5070" s="26"/>
      <c r="S5070" s="10" t="str">
        <f t="shared" si="399"/>
        <v/>
      </c>
    </row>
    <row r="5071" spans="5:19" x14ac:dyDescent="0.3">
      <c r="E5071" s="9" t="str">
        <f>IF(DADOS!C5071="","",DADOS!C5071)</f>
        <v/>
      </c>
      <c r="F5071" s="9" t="str">
        <f>IF(DADOS!E5071="","",DADOS!E5071)</f>
        <v/>
      </c>
      <c r="G5071" s="9" t="str">
        <f>IF(DADOS!F5071="","",DADOS!F5071)</f>
        <v/>
      </c>
      <c r="K5071" s="6" t="str">
        <f t="shared" si="400"/>
        <v/>
      </c>
      <c r="L5071" s="7" t="str">
        <f t="shared" si="401"/>
        <v/>
      </c>
      <c r="M5071" s="7" t="str">
        <f t="shared" si="398"/>
        <v/>
      </c>
      <c r="N5071" s="7" t="str">
        <f t="shared" si="402"/>
        <v/>
      </c>
      <c r="O5071" s="8"/>
      <c r="P5071" s="26"/>
      <c r="S5071" s="10" t="str">
        <f t="shared" si="399"/>
        <v/>
      </c>
    </row>
    <row r="5072" spans="5:19" x14ac:dyDescent="0.3">
      <c r="E5072" s="9" t="str">
        <f>IF(DADOS!C5072="","",DADOS!C5072)</f>
        <v/>
      </c>
      <c r="F5072" s="9" t="str">
        <f>IF(DADOS!E5072="","",DADOS!E5072)</f>
        <v/>
      </c>
      <c r="G5072" s="9" t="str">
        <f>IF(DADOS!F5072="","",DADOS!F5072)</f>
        <v/>
      </c>
      <c r="K5072" s="6" t="str">
        <f t="shared" si="400"/>
        <v/>
      </c>
      <c r="L5072" s="7" t="str">
        <f t="shared" si="401"/>
        <v/>
      </c>
      <c r="M5072" s="7" t="str">
        <f t="shared" si="398"/>
        <v/>
      </c>
      <c r="N5072" s="7" t="str">
        <f t="shared" si="402"/>
        <v/>
      </c>
      <c r="O5072" s="8"/>
      <c r="P5072" s="26"/>
      <c r="S5072" s="10" t="str">
        <f t="shared" si="399"/>
        <v/>
      </c>
    </row>
    <row r="5073" spans="5:19" x14ac:dyDescent="0.3">
      <c r="E5073" s="9" t="str">
        <f>IF(DADOS!C5073="","",DADOS!C5073)</f>
        <v/>
      </c>
      <c r="F5073" s="9" t="str">
        <f>IF(DADOS!E5073="","",DADOS!E5073)</f>
        <v/>
      </c>
      <c r="G5073" s="9" t="str">
        <f>IF(DADOS!F5073="","",DADOS!F5073)</f>
        <v/>
      </c>
      <c r="K5073" s="6" t="str">
        <f t="shared" si="400"/>
        <v/>
      </c>
      <c r="L5073" s="7" t="str">
        <f t="shared" si="401"/>
        <v/>
      </c>
      <c r="M5073" s="7" t="str">
        <f t="shared" si="398"/>
        <v/>
      </c>
      <c r="N5073" s="7" t="str">
        <f t="shared" si="402"/>
        <v/>
      </c>
      <c r="O5073" s="8"/>
      <c r="P5073" s="26"/>
      <c r="S5073" s="10" t="str">
        <f t="shared" si="399"/>
        <v/>
      </c>
    </row>
    <row r="5074" spans="5:19" x14ac:dyDescent="0.3">
      <c r="E5074" s="9" t="str">
        <f>IF(DADOS!C5074="","",DADOS!C5074)</f>
        <v/>
      </c>
      <c r="F5074" s="9" t="str">
        <f>IF(DADOS!E5074="","",DADOS!E5074)</f>
        <v/>
      </c>
      <c r="G5074" s="9" t="str">
        <f>IF(DADOS!F5074="","",DADOS!F5074)</f>
        <v/>
      </c>
      <c r="K5074" s="6" t="str">
        <f t="shared" si="400"/>
        <v/>
      </c>
      <c r="L5074" s="7" t="str">
        <f t="shared" si="401"/>
        <v/>
      </c>
      <c r="M5074" s="7" t="str">
        <f t="shared" si="398"/>
        <v/>
      </c>
      <c r="N5074" s="7" t="str">
        <f t="shared" si="402"/>
        <v/>
      </c>
      <c r="O5074" s="8"/>
      <c r="P5074" s="26"/>
      <c r="S5074" s="10" t="str">
        <f t="shared" si="399"/>
        <v/>
      </c>
    </row>
    <row r="5075" spans="5:19" x14ac:dyDescent="0.3">
      <c r="E5075" s="9" t="str">
        <f>IF(DADOS!C5075="","",DADOS!C5075)</f>
        <v/>
      </c>
      <c r="F5075" s="9" t="str">
        <f>IF(DADOS!E5075="","",DADOS!E5075)</f>
        <v/>
      </c>
      <c r="G5075" s="9" t="str">
        <f>IF(DADOS!F5075="","",DADOS!F5075)</f>
        <v/>
      </c>
      <c r="K5075" s="6" t="str">
        <f t="shared" si="400"/>
        <v/>
      </c>
      <c r="L5075" s="7" t="str">
        <f t="shared" si="401"/>
        <v/>
      </c>
      <c r="M5075" s="7" t="str">
        <f t="shared" si="398"/>
        <v/>
      </c>
      <c r="N5075" s="7" t="str">
        <f t="shared" si="402"/>
        <v/>
      </c>
      <c r="O5075" s="8"/>
      <c r="P5075" s="26"/>
      <c r="S5075" s="10" t="str">
        <f t="shared" si="399"/>
        <v/>
      </c>
    </row>
    <row r="5076" spans="5:19" x14ac:dyDescent="0.3">
      <c r="E5076" s="9" t="str">
        <f>IF(DADOS!C5076="","",DADOS!C5076)</f>
        <v/>
      </c>
      <c r="F5076" s="9" t="str">
        <f>IF(DADOS!E5076="","",DADOS!E5076)</f>
        <v/>
      </c>
      <c r="G5076" s="9" t="str">
        <f>IF(DADOS!F5076="","",DADOS!F5076)</f>
        <v/>
      </c>
      <c r="K5076" s="6" t="str">
        <f t="shared" si="400"/>
        <v/>
      </c>
      <c r="L5076" s="7" t="str">
        <f t="shared" si="401"/>
        <v/>
      </c>
      <c r="M5076" s="7" t="str">
        <f t="shared" si="398"/>
        <v/>
      </c>
      <c r="N5076" s="7" t="str">
        <f t="shared" si="402"/>
        <v/>
      </c>
      <c r="O5076" s="8"/>
      <c r="P5076" s="26"/>
      <c r="S5076" s="10" t="str">
        <f t="shared" si="399"/>
        <v/>
      </c>
    </row>
    <row r="5077" spans="5:19" x14ac:dyDescent="0.3">
      <c r="E5077" s="9" t="str">
        <f>IF(DADOS!C5077="","",DADOS!C5077)</f>
        <v/>
      </c>
      <c r="F5077" s="9" t="str">
        <f>IF(DADOS!E5077="","",DADOS!E5077)</f>
        <v/>
      </c>
      <c r="G5077" s="9" t="str">
        <f>IF(DADOS!F5077="","",DADOS!F5077)</f>
        <v/>
      </c>
      <c r="K5077" s="6" t="str">
        <f t="shared" si="400"/>
        <v/>
      </c>
      <c r="L5077" s="7" t="str">
        <f t="shared" si="401"/>
        <v/>
      </c>
      <c r="M5077" s="7" t="str">
        <f t="shared" si="398"/>
        <v/>
      </c>
      <c r="N5077" s="7" t="str">
        <f t="shared" si="402"/>
        <v/>
      </c>
      <c r="O5077" s="8"/>
      <c r="P5077" s="26"/>
      <c r="S5077" s="10" t="str">
        <f t="shared" si="399"/>
        <v/>
      </c>
    </row>
    <row r="5078" spans="5:19" x14ac:dyDescent="0.3">
      <c r="E5078" s="9" t="str">
        <f>IF(DADOS!C5078="","",DADOS!C5078)</f>
        <v/>
      </c>
      <c r="F5078" s="9" t="str">
        <f>IF(DADOS!E5078="","",DADOS!E5078)</f>
        <v/>
      </c>
      <c r="G5078" s="9" t="str">
        <f>IF(DADOS!F5078="","",DADOS!F5078)</f>
        <v/>
      </c>
      <c r="K5078" s="6" t="str">
        <f t="shared" si="400"/>
        <v/>
      </c>
      <c r="L5078" s="7" t="str">
        <f t="shared" si="401"/>
        <v/>
      </c>
      <c r="M5078" s="7" t="str">
        <f t="shared" si="398"/>
        <v/>
      </c>
      <c r="N5078" s="7" t="str">
        <f t="shared" si="402"/>
        <v/>
      </c>
      <c r="O5078" s="8"/>
      <c r="P5078" s="26"/>
      <c r="S5078" s="10" t="str">
        <f t="shared" si="399"/>
        <v/>
      </c>
    </row>
    <row r="5079" spans="5:19" x14ac:dyDescent="0.3">
      <c r="E5079" s="9" t="str">
        <f>IF(DADOS!C5079="","",DADOS!C5079)</f>
        <v/>
      </c>
      <c r="F5079" s="9" t="str">
        <f>IF(DADOS!E5079="","",DADOS!E5079)</f>
        <v/>
      </c>
      <c r="G5079" s="9" t="str">
        <f>IF(DADOS!F5079="","",DADOS!F5079)</f>
        <v/>
      </c>
      <c r="K5079" s="6" t="str">
        <f t="shared" si="400"/>
        <v/>
      </c>
      <c r="L5079" s="7" t="str">
        <f t="shared" si="401"/>
        <v/>
      </c>
      <c r="M5079" s="7" t="str">
        <f t="shared" si="398"/>
        <v/>
      </c>
      <c r="N5079" s="7" t="str">
        <f t="shared" si="402"/>
        <v/>
      </c>
      <c r="O5079" s="8"/>
      <c r="P5079" s="26"/>
      <c r="S5079" s="10" t="str">
        <f t="shared" si="399"/>
        <v/>
      </c>
    </row>
    <row r="5080" spans="5:19" x14ac:dyDescent="0.3">
      <c r="E5080" s="9" t="str">
        <f>IF(DADOS!C5080="","",DADOS!C5080)</f>
        <v/>
      </c>
      <c r="F5080" s="9" t="str">
        <f>IF(DADOS!E5080="","",DADOS!E5080)</f>
        <v/>
      </c>
      <c r="G5080" s="9" t="str">
        <f>IF(DADOS!F5080="","",DADOS!F5080)</f>
        <v/>
      </c>
      <c r="K5080" s="6" t="str">
        <f t="shared" si="400"/>
        <v/>
      </c>
      <c r="L5080" s="7" t="str">
        <f t="shared" si="401"/>
        <v/>
      </c>
      <c r="M5080" s="7" t="str">
        <f t="shared" si="398"/>
        <v/>
      </c>
      <c r="N5080" s="7" t="str">
        <f t="shared" si="402"/>
        <v/>
      </c>
      <c r="O5080" s="8"/>
      <c r="P5080" s="26"/>
      <c r="S5080" s="10" t="str">
        <f t="shared" si="399"/>
        <v/>
      </c>
    </row>
    <row r="5081" spans="5:19" x14ac:dyDescent="0.3">
      <c r="E5081" s="9" t="str">
        <f>IF(DADOS!C5081="","",DADOS!C5081)</f>
        <v/>
      </c>
      <c r="F5081" s="9" t="str">
        <f>IF(DADOS!E5081="","",DADOS!E5081)</f>
        <v/>
      </c>
      <c r="G5081" s="9" t="str">
        <f>IF(DADOS!F5081="","",DADOS!F5081)</f>
        <v/>
      </c>
      <c r="K5081" s="6" t="str">
        <f t="shared" si="400"/>
        <v/>
      </c>
      <c r="L5081" s="7" t="str">
        <f t="shared" si="401"/>
        <v/>
      </c>
      <c r="M5081" s="7" t="str">
        <f t="shared" si="398"/>
        <v/>
      </c>
      <c r="N5081" s="7" t="str">
        <f t="shared" si="402"/>
        <v/>
      </c>
      <c r="O5081" s="8"/>
      <c r="P5081" s="26"/>
      <c r="S5081" s="10" t="str">
        <f t="shared" si="399"/>
        <v/>
      </c>
    </row>
    <row r="5082" spans="5:19" x14ac:dyDescent="0.3">
      <c r="E5082" s="9" t="str">
        <f>IF(DADOS!C5082="","",DADOS!C5082)</f>
        <v/>
      </c>
      <c r="F5082" s="9" t="str">
        <f>IF(DADOS!E5082="","",DADOS!E5082)</f>
        <v/>
      </c>
      <c r="G5082" s="9" t="str">
        <f>IF(DADOS!F5082="","",DADOS!F5082)</f>
        <v/>
      </c>
      <c r="K5082" s="6" t="str">
        <f t="shared" si="400"/>
        <v/>
      </c>
      <c r="L5082" s="7" t="str">
        <f t="shared" si="401"/>
        <v/>
      </c>
      <c r="M5082" s="7" t="str">
        <f t="shared" si="398"/>
        <v/>
      </c>
      <c r="N5082" s="7" t="str">
        <f t="shared" si="402"/>
        <v/>
      </c>
      <c r="O5082" s="8"/>
      <c r="P5082" s="26"/>
      <c r="S5082" s="10" t="str">
        <f t="shared" si="399"/>
        <v/>
      </c>
    </row>
    <row r="5083" spans="5:19" x14ac:dyDescent="0.3">
      <c r="E5083" s="9" t="str">
        <f>IF(DADOS!C5083="","",DADOS!C5083)</f>
        <v/>
      </c>
      <c r="F5083" s="9" t="str">
        <f>IF(DADOS!E5083="","",DADOS!E5083)</f>
        <v/>
      </c>
      <c r="G5083" s="9" t="str">
        <f>IF(DADOS!F5083="","",DADOS!F5083)</f>
        <v/>
      </c>
      <c r="K5083" s="6" t="str">
        <f t="shared" si="400"/>
        <v/>
      </c>
      <c r="L5083" s="7" t="str">
        <f t="shared" si="401"/>
        <v/>
      </c>
      <c r="M5083" s="7" t="str">
        <f t="shared" si="398"/>
        <v/>
      </c>
      <c r="N5083" s="7" t="str">
        <f t="shared" si="402"/>
        <v/>
      </c>
      <c r="O5083" s="8"/>
      <c r="P5083" s="26"/>
      <c r="S5083" s="10" t="str">
        <f t="shared" si="399"/>
        <v/>
      </c>
    </row>
    <row r="5084" spans="5:19" x14ac:dyDescent="0.3">
      <c r="E5084" s="9" t="str">
        <f>IF(DADOS!C5084="","",DADOS!C5084)</f>
        <v/>
      </c>
      <c r="F5084" s="9" t="str">
        <f>IF(DADOS!E5084="","",DADOS!E5084)</f>
        <v/>
      </c>
      <c r="G5084" s="9" t="str">
        <f>IF(DADOS!F5084="","",DADOS!F5084)</f>
        <v/>
      </c>
      <c r="K5084" s="6" t="str">
        <f t="shared" si="400"/>
        <v/>
      </c>
      <c r="L5084" s="7" t="str">
        <f t="shared" si="401"/>
        <v/>
      </c>
      <c r="M5084" s="7" t="str">
        <f t="shared" si="398"/>
        <v/>
      </c>
      <c r="N5084" s="7" t="str">
        <f t="shared" si="402"/>
        <v/>
      </c>
      <c r="O5084" s="8"/>
      <c r="P5084" s="26"/>
      <c r="S5084" s="10" t="str">
        <f t="shared" si="399"/>
        <v/>
      </c>
    </row>
    <row r="5085" spans="5:19" x14ac:dyDescent="0.3">
      <c r="E5085" s="9" t="str">
        <f>IF(DADOS!C5085="","",DADOS!C5085)</f>
        <v/>
      </c>
      <c r="F5085" s="9" t="str">
        <f>IF(DADOS!E5085="","",DADOS!E5085)</f>
        <v/>
      </c>
      <c r="G5085" s="9" t="str">
        <f>IF(DADOS!F5085="","",DADOS!F5085)</f>
        <v/>
      </c>
      <c r="K5085" s="6" t="str">
        <f t="shared" si="400"/>
        <v/>
      </c>
      <c r="L5085" s="7" t="str">
        <f t="shared" si="401"/>
        <v/>
      </c>
      <c r="M5085" s="7" t="str">
        <f t="shared" si="398"/>
        <v/>
      </c>
      <c r="N5085" s="7" t="str">
        <f t="shared" si="402"/>
        <v/>
      </c>
      <c r="O5085" s="8"/>
      <c r="P5085" s="26"/>
      <c r="S5085" s="10" t="str">
        <f t="shared" si="399"/>
        <v/>
      </c>
    </row>
    <row r="5086" spans="5:19" x14ac:dyDescent="0.3">
      <c r="E5086" s="9" t="str">
        <f>IF(DADOS!C5086="","",DADOS!C5086)</f>
        <v/>
      </c>
      <c r="F5086" s="9" t="str">
        <f>IF(DADOS!E5086="","",DADOS!E5086)</f>
        <v/>
      </c>
      <c r="G5086" s="9" t="str">
        <f>IF(DADOS!F5086="","",DADOS!F5086)</f>
        <v/>
      </c>
      <c r="K5086" s="6" t="str">
        <f t="shared" si="400"/>
        <v/>
      </c>
      <c r="L5086" s="7" t="str">
        <f t="shared" si="401"/>
        <v/>
      </c>
      <c r="M5086" s="7" t="str">
        <f t="shared" si="398"/>
        <v/>
      </c>
      <c r="N5086" s="7" t="str">
        <f t="shared" si="402"/>
        <v/>
      </c>
      <c r="O5086" s="8"/>
      <c r="P5086" s="26"/>
      <c r="S5086" s="10" t="str">
        <f t="shared" si="399"/>
        <v/>
      </c>
    </row>
    <row r="5087" spans="5:19" x14ac:dyDescent="0.3">
      <c r="E5087" s="9" t="str">
        <f>IF(DADOS!C5087="","",DADOS!C5087)</f>
        <v/>
      </c>
      <c r="F5087" s="9" t="str">
        <f>IF(DADOS!E5087="","",DADOS!E5087)</f>
        <v/>
      </c>
      <c r="G5087" s="9" t="str">
        <f>IF(DADOS!F5087="","",DADOS!F5087)</f>
        <v/>
      </c>
      <c r="K5087" s="6" t="str">
        <f t="shared" si="400"/>
        <v/>
      </c>
      <c r="L5087" s="7" t="str">
        <f t="shared" si="401"/>
        <v/>
      </c>
      <c r="M5087" s="7" t="str">
        <f t="shared" si="398"/>
        <v/>
      </c>
      <c r="N5087" s="7" t="str">
        <f t="shared" si="402"/>
        <v/>
      </c>
      <c r="O5087" s="8"/>
      <c r="P5087" s="26"/>
      <c r="S5087" s="10" t="str">
        <f t="shared" si="399"/>
        <v/>
      </c>
    </row>
    <row r="5088" spans="5:19" x14ac:dyDescent="0.3">
      <c r="E5088" s="9" t="str">
        <f>IF(DADOS!C5088="","",DADOS!C5088)</f>
        <v/>
      </c>
      <c r="F5088" s="9" t="str">
        <f>IF(DADOS!E5088="","",DADOS!E5088)</f>
        <v/>
      </c>
      <c r="G5088" s="9" t="str">
        <f>IF(DADOS!F5088="","",DADOS!F5088)</f>
        <v/>
      </c>
      <c r="K5088" s="6" t="str">
        <f t="shared" si="400"/>
        <v/>
      </c>
      <c r="L5088" s="7" t="str">
        <f t="shared" si="401"/>
        <v/>
      </c>
      <c r="M5088" s="7" t="str">
        <f t="shared" si="398"/>
        <v/>
      </c>
      <c r="N5088" s="7" t="str">
        <f t="shared" si="402"/>
        <v/>
      </c>
      <c r="O5088" s="8"/>
      <c r="P5088" s="26"/>
      <c r="S5088" s="10" t="str">
        <f t="shared" si="399"/>
        <v/>
      </c>
    </row>
    <row r="5089" spans="5:19" x14ac:dyDescent="0.3">
      <c r="E5089" s="9" t="str">
        <f>IF(DADOS!C5089="","",DADOS!C5089)</f>
        <v/>
      </c>
      <c r="F5089" s="9" t="str">
        <f>IF(DADOS!E5089="","",DADOS!E5089)</f>
        <v/>
      </c>
      <c r="G5089" s="9" t="str">
        <f>IF(DADOS!F5089="","",DADOS!F5089)</f>
        <v/>
      </c>
      <c r="K5089" s="6" t="str">
        <f t="shared" si="400"/>
        <v/>
      </c>
      <c r="L5089" s="7" t="str">
        <f t="shared" si="401"/>
        <v/>
      </c>
      <c r="M5089" s="7" t="str">
        <f t="shared" si="398"/>
        <v/>
      </c>
      <c r="N5089" s="7" t="str">
        <f t="shared" si="402"/>
        <v/>
      </c>
      <c r="O5089" s="8"/>
      <c r="P5089" s="26"/>
      <c r="S5089" s="10" t="str">
        <f t="shared" si="399"/>
        <v/>
      </c>
    </row>
    <row r="5090" spans="5:19" x14ac:dyDescent="0.3">
      <c r="E5090" s="9" t="str">
        <f>IF(DADOS!C5090="","",DADOS!C5090)</f>
        <v/>
      </c>
      <c r="F5090" s="9" t="str">
        <f>IF(DADOS!E5090="","",DADOS!E5090)</f>
        <v/>
      </c>
      <c r="G5090" s="9" t="str">
        <f>IF(DADOS!F5090="","",DADOS!F5090)</f>
        <v/>
      </c>
      <c r="K5090" s="6" t="str">
        <f t="shared" si="400"/>
        <v/>
      </c>
      <c r="L5090" s="7" t="str">
        <f t="shared" si="401"/>
        <v/>
      </c>
      <c r="M5090" s="7" t="str">
        <f t="shared" si="398"/>
        <v/>
      </c>
      <c r="N5090" s="7" t="str">
        <f t="shared" si="402"/>
        <v/>
      </c>
      <c r="O5090" s="8"/>
      <c r="P5090" s="26"/>
      <c r="S5090" s="10" t="str">
        <f t="shared" si="399"/>
        <v/>
      </c>
    </row>
    <row r="5091" spans="5:19" x14ac:dyDescent="0.3">
      <c r="E5091" s="9" t="str">
        <f>IF(DADOS!C5091="","",DADOS!C5091)</f>
        <v/>
      </c>
      <c r="F5091" s="9" t="str">
        <f>IF(DADOS!E5091="","",DADOS!E5091)</f>
        <v/>
      </c>
      <c r="G5091" s="9" t="str">
        <f>IF(DADOS!F5091="","",DADOS!F5091)</f>
        <v/>
      </c>
      <c r="K5091" s="6" t="str">
        <f t="shared" si="400"/>
        <v/>
      </c>
      <c r="L5091" s="7" t="str">
        <f t="shared" si="401"/>
        <v/>
      </c>
      <c r="M5091" s="7" t="str">
        <f t="shared" si="398"/>
        <v/>
      </c>
      <c r="N5091" s="7" t="str">
        <f t="shared" si="402"/>
        <v/>
      </c>
      <c r="O5091" s="8"/>
      <c r="P5091" s="26"/>
      <c r="S5091" s="10" t="str">
        <f t="shared" si="399"/>
        <v/>
      </c>
    </row>
    <row r="5092" spans="5:19" x14ac:dyDescent="0.3">
      <c r="E5092" s="9" t="str">
        <f>IF(DADOS!C5092="","",DADOS!C5092)</f>
        <v/>
      </c>
      <c r="F5092" s="9" t="str">
        <f>IF(DADOS!E5092="","",DADOS!E5092)</f>
        <v/>
      </c>
      <c r="G5092" s="9" t="str">
        <f>IF(DADOS!F5092="","",DADOS!F5092)</f>
        <v/>
      </c>
      <c r="K5092" s="6" t="str">
        <f t="shared" si="400"/>
        <v/>
      </c>
      <c r="L5092" s="7" t="str">
        <f t="shared" si="401"/>
        <v/>
      </c>
      <c r="M5092" s="7" t="str">
        <f t="shared" si="398"/>
        <v/>
      </c>
      <c r="N5092" s="7" t="str">
        <f t="shared" si="402"/>
        <v/>
      </c>
      <c r="O5092" s="8"/>
      <c r="P5092" s="26"/>
      <c r="S5092" s="10" t="str">
        <f t="shared" si="399"/>
        <v/>
      </c>
    </row>
    <row r="5093" spans="5:19" x14ac:dyDescent="0.3">
      <c r="E5093" s="9" t="str">
        <f>IF(DADOS!C5093="","",DADOS!C5093)</f>
        <v/>
      </c>
      <c r="F5093" s="9" t="str">
        <f>IF(DADOS!E5093="","",DADOS!E5093)</f>
        <v/>
      </c>
      <c r="G5093" s="9" t="str">
        <f>IF(DADOS!F5093="","",DADOS!F5093)</f>
        <v/>
      </c>
      <c r="K5093" s="6" t="str">
        <f t="shared" si="400"/>
        <v/>
      </c>
      <c r="L5093" s="7" t="str">
        <f t="shared" si="401"/>
        <v/>
      </c>
      <c r="M5093" s="7" t="str">
        <f t="shared" si="398"/>
        <v/>
      </c>
      <c r="N5093" s="7" t="str">
        <f t="shared" si="402"/>
        <v/>
      </c>
      <c r="O5093" s="8"/>
      <c r="P5093" s="26"/>
      <c r="S5093" s="10" t="str">
        <f t="shared" si="399"/>
        <v/>
      </c>
    </row>
    <row r="5094" spans="5:19" x14ac:dyDescent="0.3">
      <c r="E5094" s="9" t="str">
        <f>IF(DADOS!C5094="","",DADOS!C5094)</f>
        <v/>
      </c>
      <c r="F5094" s="9" t="str">
        <f>IF(DADOS!E5094="","",DADOS!E5094)</f>
        <v/>
      </c>
      <c r="G5094" s="9" t="str">
        <f>IF(DADOS!F5094="","",DADOS!F5094)</f>
        <v/>
      </c>
      <c r="K5094" s="6" t="str">
        <f t="shared" si="400"/>
        <v/>
      </c>
      <c r="L5094" s="7" t="str">
        <f t="shared" si="401"/>
        <v/>
      </c>
      <c r="M5094" s="7" t="str">
        <f t="shared" si="398"/>
        <v/>
      </c>
      <c r="N5094" s="7" t="str">
        <f t="shared" si="402"/>
        <v/>
      </c>
      <c r="O5094" s="8"/>
      <c r="P5094" s="26"/>
      <c r="S5094" s="10" t="str">
        <f t="shared" si="399"/>
        <v/>
      </c>
    </row>
    <row r="5095" spans="5:19" x14ac:dyDescent="0.3">
      <c r="E5095" s="9" t="str">
        <f>IF(DADOS!C5095="","",DADOS!C5095)</f>
        <v/>
      </c>
      <c r="F5095" s="9" t="str">
        <f>IF(DADOS!E5095="","",DADOS!E5095)</f>
        <v/>
      </c>
      <c r="G5095" s="9" t="str">
        <f>IF(DADOS!F5095="","",DADOS!F5095)</f>
        <v/>
      </c>
      <c r="K5095" s="6" t="str">
        <f t="shared" si="400"/>
        <v/>
      </c>
      <c r="L5095" s="7" t="str">
        <f t="shared" si="401"/>
        <v/>
      </c>
      <c r="M5095" s="7" t="str">
        <f t="shared" si="398"/>
        <v/>
      </c>
      <c r="N5095" s="7" t="str">
        <f t="shared" si="402"/>
        <v/>
      </c>
      <c r="O5095" s="8"/>
      <c r="P5095" s="26"/>
      <c r="S5095" s="10" t="str">
        <f t="shared" si="399"/>
        <v/>
      </c>
    </row>
    <row r="5096" spans="5:19" x14ac:dyDescent="0.3">
      <c r="E5096" s="9" t="str">
        <f>IF(DADOS!C5096="","",DADOS!C5096)</f>
        <v/>
      </c>
      <c r="F5096" s="9" t="str">
        <f>IF(DADOS!E5096="","",DADOS!E5096)</f>
        <v/>
      </c>
      <c r="G5096" s="9" t="str">
        <f>IF(DADOS!F5096="","",DADOS!F5096)</f>
        <v/>
      </c>
      <c r="K5096" s="6" t="str">
        <f t="shared" si="400"/>
        <v/>
      </c>
      <c r="L5096" s="7" t="str">
        <f t="shared" si="401"/>
        <v/>
      </c>
      <c r="M5096" s="7" t="str">
        <f t="shared" si="398"/>
        <v/>
      </c>
      <c r="N5096" s="7" t="str">
        <f t="shared" si="402"/>
        <v/>
      </c>
      <c r="O5096" s="8"/>
      <c r="P5096" s="26"/>
      <c r="S5096" s="10" t="str">
        <f t="shared" si="399"/>
        <v/>
      </c>
    </row>
    <row r="5097" spans="5:19" x14ac:dyDescent="0.3">
      <c r="E5097" s="9" t="str">
        <f>IF(DADOS!C5097="","",DADOS!C5097)</f>
        <v/>
      </c>
      <c r="F5097" s="9" t="str">
        <f>IF(DADOS!E5097="","",DADOS!E5097)</f>
        <v/>
      </c>
      <c r="G5097" s="9" t="str">
        <f>IF(DADOS!F5097="","",DADOS!F5097)</f>
        <v/>
      </c>
      <c r="K5097" s="6" t="str">
        <f t="shared" si="400"/>
        <v/>
      </c>
      <c r="L5097" s="7" t="str">
        <f t="shared" si="401"/>
        <v/>
      </c>
      <c r="M5097" s="7" t="str">
        <f t="shared" si="398"/>
        <v/>
      </c>
      <c r="N5097" s="7" t="str">
        <f t="shared" si="402"/>
        <v/>
      </c>
      <c r="O5097" s="8"/>
      <c r="P5097" s="26"/>
      <c r="S5097" s="10" t="str">
        <f t="shared" si="399"/>
        <v/>
      </c>
    </row>
    <row r="5098" spans="5:19" x14ac:dyDescent="0.3">
      <c r="E5098" s="9" t="str">
        <f>IF(DADOS!C5098="","",DADOS!C5098)</f>
        <v/>
      </c>
      <c r="F5098" s="9" t="str">
        <f>IF(DADOS!E5098="","",DADOS!E5098)</f>
        <v/>
      </c>
      <c r="G5098" s="9" t="str">
        <f>IF(DADOS!F5098="","",DADOS!F5098)</f>
        <v/>
      </c>
      <c r="K5098" s="6" t="str">
        <f t="shared" si="400"/>
        <v/>
      </c>
      <c r="L5098" s="7" t="str">
        <f t="shared" si="401"/>
        <v/>
      </c>
      <c r="M5098" s="7" t="str">
        <f t="shared" si="398"/>
        <v/>
      </c>
      <c r="N5098" s="7" t="str">
        <f t="shared" si="402"/>
        <v/>
      </c>
      <c r="O5098" s="8"/>
      <c r="P5098" s="26"/>
      <c r="S5098" s="10" t="str">
        <f t="shared" si="399"/>
        <v/>
      </c>
    </row>
    <row r="5099" spans="5:19" x14ac:dyDescent="0.3">
      <c r="E5099" s="9" t="str">
        <f>IF(DADOS!C5099="","",DADOS!C5099)</f>
        <v/>
      </c>
      <c r="F5099" s="9" t="str">
        <f>IF(DADOS!E5099="","",DADOS!E5099)</f>
        <v/>
      </c>
      <c r="G5099" s="9" t="str">
        <f>IF(DADOS!F5099="","",DADOS!F5099)</f>
        <v/>
      </c>
      <c r="K5099" s="6" t="str">
        <f t="shared" si="400"/>
        <v/>
      </c>
      <c r="L5099" s="7" t="str">
        <f t="shared" si="401"/>
        <v/>
      </c>
      <c r="M5099" s="7" t="str">
        <f t="shared" si="398"/>
        <v/>
      </c>
      <c r="N5099" s="7" t="str">
        <f t="shared" si="402"/>
        <v/>
      </c>
      <c r="O5099" s="8"/>
      <c r="P5099" s="26"/>
      <c r="S5099" s="10" t="str">
        <f t="shared" si="399"/>
        <v/>
      </c>
    </row>
    <row r="5100" spans="5:19" x14ac:dyDescent="0.3">
      <c r="E5100" s="9" t="str">
        <f>IF(DADOS!C5100="","",DADOS!C5100)</f>
        <v/>
      </c>
      <c r="F5100" s="9" t="str">
        <f>IF(DADOS!E5100="","",DADOS!E5100)</f>
        <v/>
      </c>
      <c r="G5100" s="9" t="str">
        <f>IF(DADOS!F5100="","",DADOS!F5100)</f>
        <v/>
      </c>
      <c r="K5100" s="6" t="str">
        <f t="shared" si="400"/>
        <v/>
      </c>
      <c r="L5100" s="7" t="str">
        <f t="shared" si="401"/>
        <v/>
      </c>
      <c r="M5100" s="7" t="str">
        <f t="shared" si="398"/>
        <v/>
      </c>
      <c r="N5100" s="7" t="str">
        <f t="shared" si="402"/>
        <v/>
      </c>
      <c r="O5100" s="8"/>
      <c r="P5100" s="26"/>
      <c r="S5100" s="10" t="str">
        <f t="shared" si="399"/>
        <v/>
      </c>
    </row>
    <row r="5101" spans="5:19" x14ac:dyDescent="0.3">
      <c r="E5101" s="9" t="str">
        <f>IF(DADOS!C5101="","",DADOS!C5101)</f>
        <v/>
      </c>
      <c r="F5101" s="9" t="str">
        <f>IF(DADOS!E5101="","",DADOS!E5101)</f>
        <v/>
      </c>
      <c r="G5101" s="9" t="str">
        <f>IF(DADOS!F5101="","",DADOS!F5101)</f>
        <v/>
      </c>
      <c r="K5101" s="6" t="str">
        <f t="shared" si="400"/>
        <v/>
      </c>
      <c r="L5101" s="7" t="str">
        <f t="shared" si="401"/>
        <v/>
      </c>
      <c r="M5101" s="7" t="str">
        <f t="shared" si="398"/>
        <v/>
      </c>
      <c r="N5101" s="7" t="str">
        <f t="shared" si="402"/>
        <v/>
      </c>
      <c r="O5101" s="8"/>
      <c r="P5101" s="26"/>
      <c r="S5101" s="10" t="str">
        <f t="shared" si="399"/>
        <v/>
      </c>
    </row>
    <row r="5102" spans="5:19" x14ac:dyDescent="0.3">
      <c r="E5102" s="9" t="str">
        <f>IF(DADOS!C5102="","",DADOS!C5102)</f>
        <v/>
      </c>
      <c r="F5102" s="9" t="str">
        <f>IF(DADOS!E5102="","",DADOS!E5102)</f>
        <v/>
      </c>
      <c r="G5102" s="9" t="str">
        <f>IF(DADOS!F5102="","",DADOS!F5102)</f>
        <v/>
      </c>
      <c r="K5102" s="6" t="str">
        <f t="shared" si="400"/>
        <v/>
      </c>
      <c r="L5102" s="7" t="str">
        <f t="shared" si="401"/>
        <v/>
      </c>
      <c r="M5102" s="7" t="str">
        <f t="shared" si="398"/>
        <v/>
      </c>
      <c r="N5102" s="7" t="str">
        <f t="shared" si="402"/>
        <v/>
      </c>
      <c r="O5102" s="8"/>
      <c r="P5102" s="26"/>
      <c r="S5102" s="10" t="str">
        <f t="shared" si="399"/>
        <v/>
      </c>
    </row>
    <row r="5103" spans="5:19" x14ac:dyDescent="0.3">
      <c r="E5103" s="9" t="str">
        <f>IF(DADOS!C5103="","",DADOS!C5103)</f>
        <v/>
      </c>
      <c r="F5103" s="9" t="str">
        <f>IF(DADOS!E5103="","",DADOS!E5103)</f>
        <v/>
      </c>
      <c r="G5103" s="9" t="str">
        <f>IF(DADOS!F5103="","",DADOS!F5103)</f>
        <v/>
      </c>
      <c r="K5103" s="6" t="str">
        <f t="shared" si="400"/>
        <v/>
      </c>
      <c r="L5103" s="7" t="str">
        <f t="shared" si="401"/>
        <v/>
      </c>
      <c r="M5103" s="7" t="str">
        <f t="shared" si="398"/>
        <v/>
      </c>
      <c r="N5103" s="7" t="str">
        <f t="shared" si="402"/>
        <v/>
      </c>
      <c r="O5103" s="8"/>
      <c r="P5103" s="26"/>
      <c r="S5103" s="10" t="str">
        <f t="shared" si="399"/>
        <v/>
      </c>
    </row>
    <row r="5104" spans="5:19" x14ac:dyDescent="0.3">
      <c r="E5104" s="9" t="str">
        <f>IF(DADOS!C5104="","",DADOS!C5104)</f>
        <v/>
      </c>
      <c r="F5104" s="9" t="str">
        <f>IF(DADOS!E5104="","",DADOS!E5104)</f>
        <v/>
      </c>
      <c r="G5104" s="9" t="str">
        <f>IF(DADOS!F5104="","",DADOS!F5104)</f>
        <v/>
      </c>
      <c r="K5104" s="6" t="str">
        <f t="shared" si="400"/>
        <v/>
      </c>
      <c r="L5104" s="7" t="str">
        <f t="shared" si="401"/>
        <v/>
      </c>
      <c r="M5104" s="7" t="str">
        <f t="shared" si="398"/>
        <v/>
      </c>
      <c r="N5104" s="7" t="str">
        <f t="shared" si="402"/>
        <v/>
      </c>
      <c r="O5104" s="8"/>
      <c r="P5104" s="26"/>
      <c r="S5104" s="10" t="str">
        <f t="shared" si="399"/>
        <v/>
      </c>
    </row>
    <row r="5105" spans="5:19" x14ac:dyDescent="0.3">
      <c r="E5105" s="9" t="str">
        <f>IF(DADOS!C5105="","",DADOS!C5105)</f>
        <v/>
      </c>
      <c r="F5105" s="9" t="str">
        <f>IF(DADOS!E5105="","",DADOS!E5105)</f>
        <v/>
      </c>
      <c r="G5105" s="9" t="str">
        <f>IF(DADOS!F5105="","",DADOS!F5105)</f>
        <v/>
      </c>
      <c r="K5105" s="6" t="str">
        <f t="shared" si="400"/>
        <v/>
      </c>
      <c r="L5105" s="7" t="str">
        <f t="shared" si="401"/>
        <v/>
      </c>
      <c r="M5105" s="7" t="str">
        <f t="shared" si="398"/>
        <v/>
      </c>
      <c r="N5105" s="7" t="str">
        <f t="shared" si="402"/>
        <v/>
      </c>
      <c r="O5105" s="8"/>
      <c r="P5105" s="26"/>
      <c r="S5105" s="10" t="str">
        <f t="shared" si="399"/>
        <v/>
      </c>
    </row>
    <row r="5106" spans="5:19" x14ac:dyDescent="0.3">
      <c r="E5106" s="9" t="str">
        <f>IF(DADOS!C5106="","",DADOS!C5106)</f>
        <v/>
      </c>
      <c r="F5106" s="9" t="str">
        <f>IF(DADOS!E5106="","",DADOS!E5106)</f>
        <v/>
      </c>
      <c r="G5106" s="9" t="str">
        <f>IF(DADOS!F5106="","",DADOS!F5106)</f>
        <v/>
      </c>
      <c r="K5106" s="6" t="str">
        <f t="shared" si="400"/>
        <v/>
      </c>
      <c r="L5106" s="7" t="str">
        <f t="shared" si="401"/>
        <v/>
      </c>
      <c r="M5106" s="7" t="str">
        <f t="shared" si="398"/>
        <v/>
      </c>
      <c r="N5106" s="7" t="str">
        <f t="shared" si="402"/>
        <v/>
      </c>
      <c r="O5106" s="8"/>
      <c r="P5106" s="26"/>
      <c r="S5106" s="10" t="str">
        <f t="shared" si="399"/>
        <v/>
      </c>
    </row>
    <row r="5107" spans="5:19" x14ac:dyDescent="0.3">
      <c r="E5107" s="9" t="str">
        <f>IF(DADOS!C5107="","",DADOS!C5107)</f>
        <v/>
      </c>
      <c r="F5107" s="9" t="str">
        <f>IF(DADOS!E5107="","",DADOS!E5107)</f>
        <v/>
      </c>
      <c r="G5107" s="9" t="str">
        <f>IF(DADOS!F5107="","",DADOS!F5107)</f>
        <v/>
      </c>
      <c r="K5107" s="6" t="str">
        <f t="shared" si="400"/>
        <v/>
      </c>
      <c r="L5107" s="7" t="str">
        <f t="shared" si="401"/>
        <v/>
      </c>
      <c r="M5107" s="7" t="str">
        <f t="shared" si="398"/>
        <v/>
      </c>
      <c r="N5107" s="7" t="str">
        <f t="shared" si="402"/>
        <v/>
      </c>
      <c r="O5107" s="8"/>
      <c r="P5107" s="26"/>
      <c r="S5107" s="10" t="str">
        <f t="shared" si="399"/>
        <v/>
      </c>
    </row>
    <row r="5108" spans="5:19" x14ac:dyDescent="0.3">
      <c r="E5108" s="9" t="str">
        <f>IF(DADOS!C5108="","",DADOS!C5108)</f>
        <v/>
      </c>
      <c r="F5108" s="9" t="str">
        <f>IF(DADOS!E5108="","",DADOS!E5108)</f>
        <v/>
      </c>
      <c r="G5108" s="9" t="str">
        <f>IF(DADOS!F5108="","",DADOS!F5108)</f>
        <v/>
      </c>
      <c r="K5108" s="6" t="str">
        <f t="shared" si="400"/>
        <v/>
      </c>
      <c r="L5108" s="7" t="str">
        <f t="shared" si="401"/>
        <v/>
      </c>
      <c r="M5108" s="7" t="str">
        <f t="shared" si="398"/>
        <v/>
      </c>
      <c r="N5108" s="7" t="str">
        <f t="shared" si="402"/>
        <v/>
      </c>
      <c r="O5108" s="8"/>
      <c r="P5108" s="26"/>
      <c r="S5108" s="10" t="str">
        <f t="shared" si="399"/>
        <v/>
      </c>
    </row>
    <row r="5109" spans="5:19" x14ac:dyDescent="0.3">
      <c r="E5109" s="9" t="str">
        <f>IF(DADOS!C5109="","",DADOS!C5109)</f>
        <v/>
      </c>
      <c r="F5109" s="9" t="str">
        <f>IF(DADOS!E5109="","",DADOS!E5109)</f>
        <v/>
      </c>
      <c r="G5109" s="9" t="str">
        <f>IF(DADOS!F5109="","",DADOS!F5109)</f>
        <v/>
      </c>
      <c r="K5109" s="6" t="str">
        <f t="shared" si="400"/>
        <v/>
      </c>
      <c r="L5109" s="7" t="str">
        <f t="shared" si="401"/>
        <v/>
      </c>
      <c r="M5109" s="7" t="str">
        <f t="shared" si="398"/>
        <v/>
      </c>
      <c r="N5109" s="7" t="str">
        <f t="shared" si="402"/>
        <v/>
      </c>
      <c r="O5109" s="8"/>
      <c r="P5109" s="26"/>
      <c r="S5109" s="10" t="str">
        <f t="shared" si="399"/>
        <v/>
      </c>
    </row>
    <row r="5110" spans="5:19" x14ac:dyDescent="0.3">
      <c r="E5110" s="9" t="str">
        <f>IF(DADOS!C5110="","",DADOS!C5110)</f>
        <v/>
      </c>
      <c r="F5110" s="9" t="str">
        <f>IF(DADOS!E5110="","",DADOS!E5110)</f>
        <v/>
      </c>
      <c r="G5110" s="9" t="str">
        <f>IF(DADOS!F5110="","",DADOS!F5110)</f>
        <v/>
      </c>
      <c r="K5110" s="6" t="str">
        <f t="shared" si="400"/>
        <v/>
      </c>
      <c r="L5110" s="7" t="str">
        <f t="shared" si="401"/>
        <v/>
      </c>
      <c r="M5110" s="7" t="str">
        <f t="shared" si="398"/>
        <v/>
      </c>
      <c r="N5110" s="7" t="str">
        <f t="shared" si="402"/>
        <v/>
      </c>
      <c r="O5110" s="8"/>
      <c r="P5110" s="26"/>
      <c r="S5110" s="10" t="str">
        <f t="shared" si="399"/>
        <v/>
      </c>
    </row>
    <row r="5111" spans="5:19" x14ac:dyDescent="0.3">
      <c r="E5111" s="9" t="str">
        <f>IF(DADOS!C5111="","",DADOS!C5111)</f>
        <v/>
      </c>
      <c r="F5111" s="9" t="str">
        <f>IF(DADOS!E5111="","",DADOS!E5111)</f>
        <v/>
      </c>
      <c r="G5111" s="9" t="str">
        <f>IF(DADOS!F5111="","",DADOS!F5111)</f>
        <v/>
      </c>
      <c r="K5111" s="6" t="str">
        <f t="shared" si="400"/>
        <v/>
      </c>
      <c r="L5111" s="7" t="str">
        <f t="shared" si="401"/>
        <v/>
      </c>
      <c r="M5111" s="7" t="str">
        <f t="shared" si="398"/>
        <v/>
      </c>
      <c r="N5111" s="7" t="str">
        <f t="shared" si="402"/>
        <v/>
      </c>
      <c r="O5111" s="8"/>
      <c r="P5111" s="26"/>
      <c r="S5111" s="10" t="str">
        <f t="shared" si="399"/>
        <v/>
      </c>
    </row>
    <row r="5112" spans="5:19" x14ac:dyDescent="0.3">
      <c r="E5112" s="9" t="str">
        <f>IF(DADOS!C5112="","",DADOS!C5112)</f>
        <v/>
      </c>
      <c r="F5112" s="9" t="str">
        <f>IF(DADOS!E5112="","",DADOS!E5112)</f>
        <v/>
      </c>
      <c r="G5112" s="9" t="str">
        <f>IF(DADOS!F5112="","",DADOS!F5112)</f>
        <v/>
      </c>
      <c r="K5112" s="6" t="str">
        <f t="shared" si="400"/>
        <v/>
      </c>
      <c r="L5112" s="7" t="str">
        <f t="shared" si="401"/>
        <v/>
      </c>
      <c r="M5112" s="7" t="str">
        <f t="shared" si="398"/>
        <v/>
      </c>
      <c r="N5112" s="7" t="str">
        <f t="shared" si="402"/>
        <v/>
      </c>
      <c r="O5112" s="8"/>
      <c r="P5112" s="26"/>
      <c r="S5112" s="10" t="str">
        <f t="shared" si="399"/>
        <v/>
      </c>
    </row>
    <row r="5113" spans="5:19" x14ac:dyDescent="0.3">
      <c r="E5113" s="9" t="str">
        <f>IF(DADOS!C5113="","",DADOS!C5113)</f>
        <v/>
      </c>
      <c r="F5113" s="9" t="str">
        <f>IF(DADOS!E5113="","",DADOS!E5113)</f>
        <v/>
      </c>
      <c r="G5113" s="9" t="str">
        <f>IF(DADOS!F5113="","",DADOS!F5113)</f>
        <v/>
      </c>
      <c r="K5113" s="6" t="str">
        <f t="shared" si="400"/>
        <v/>
      </c>
      <c r="L5113" s="7" t="str">
        <f t="shared" si="401"/>
        <v/>
      </c>
      <c r="M5113" s="7" t="str">
        <f t="shared" si="398"/>
        <v/>
      </c>
      <c r="N5113" s="7" t="str">
        <f t="shared" si="402"/>
        <v/>
      </c>
      <c r="O5113" s="8"/>
      <c r="P5113" s="26"/>
      <c r="S5113" s="10" t="str">
        <f t="shared" si="399"/>
        <v/>
      </c>
    </row>
    <row r="5114" spans="5:19" x14ac:dyDescent="0.3">
      <c r="E5114" s="9" t="str">
        <f>IF(DADOS!C5114="","",DADOS!C5114)</f>
        <v/>
      </c>
      <c r="F5114" s="9" t="str">
        <f>IF(DADOS!E5114="","",DADOS!E5114)</f>
        <v/>
      </c>
      <c r="G5114" s="9" t="str">
        <f>IF(DADOS!F5114="","",DADOS!F5114)</f>
        <v/>
      </c>
      <c r="K5114" s="6" t="str">
        <f t="shared" si="400"/>
        <v/>
      </c>
      <c r="L5114" s="7" t="str">
        <f t="shared" si="401"/>
        <v/>
      </c>
      <c r="M5114" s="7" t="str">
        <f t="shared" si="398"/>
        <v/>
      </c>
      <c r="N5114" s="7" t="str">
        <f t="shared" si="402"/>
        <v/>
      </c>
      <c r="O5114" s="8"/>
      <c r="P5114" s="26"/>
      <c r="S5114" s="10" t="str">
        <f t="shared" si="399"/>
        <v/>
      </c>
    </row>
    <row r="5115" spans="5:19" x14ac:dyDescent="0.3">
      <c r="E5115" s="9" t="str">
        <f>IF(DADOS!C5115="","",DADOS!C5115)</f>
        <v/>
      </c>
      <c r="F5115" s="9" t="str">
        <f>IF(DADOS!E5115="","",DADOS!E5115)</f>
        <v/>
      </c>
      <c r="G5115" s="9" t="str">
        <f>IF(DADOS!F5115="","",DADOS!F5115)</f>
        <v/>
      </c>
      <c r="K5115" s="6" t="str">
        <f t="shared" si="400"/>
        <v/>
      </c>
      <c r="L5115" s="7" t="str">
        <f t="shared" si="401"/>
        <v/>
      </c>
      <c r="M5115" s="7" t="str">
        <f t="shared" si="398"/>
        <v/>
      </c>
      <c r="N5115" s="7" t="str">
        <f t="shared" si="402"/>
        <v/>
      </c>
      <c r="O5115" s="8"/>
      <c r="P5115" s="26"/>
      <c r="S5115" s="10" t="str">
        <f t="shared" si="399"/>
        <v/>
      </c>
    </row>
    <row r="5116" spans="5:19" x14ac:dyDescent="0.3">
      <c r="E5116" s="9" t="str">
        <f>IF(DADOS!C5116="","",DADOS!C5116)</f>
        <v/>
      </c>
      <c r="F5116" s="9" t="str">
        <f>IF(DADOS!E5116="","",DADOS!E5116)</f>
        <v/>
      </c>
      <c r="G5116" s="9" t="str">
        <f>IF(DADOS!F5116="","",DADOS!F5116)</f>
        <v/>
      </c>
      <c r="K5116" s="6" t="str">
        <f t="shared" si="400"/>
        <v/>
      </c>
      <c r="L5116" s="7" t="str">
        <f t="shared" si="401"/>
        <v/>
      </c>
      <c r="M5116" s="7" t="str">
        <f t="shared" si="398"/>
        <v/>
      </c>
      <c r="N5116" s="7" t="str">
        <f t="shared" si="402"/>
        <v/>
      </c>
      <c r="O5116" s="8"/>
      <c r="P5116" s="26"/>
      <c r="S5116" s="10" t="str">
        <f t="shared" si="399"/>
        <v/>
      </c>
    </row>
    <row r="5117" spans="5:19" x14ac:dyDescent="0.3">
      <c r="E5117" s="9" t="str">
        <f>IF(DADOS!C5117="","",DADOS!C5117)</f>
        <v/>
      </c>
      <c r="F5117" s="9" t="str">
        <f>IF(DADOS!E5117="","",DADOS!E5117)</f>
        <v/>
      </c>
      <c r="G5117" s="9" t="str">
        <f>IF(DADOS!F5117="","",DADOS!F5117)</f>
        <v/>
      </c>
      <c r="K5117" s="6" t="str">
        <f t="shared" si="400"/>
        <v/>
      </c>
      <c r="L5117" s="7" t="str">
        <f t="shared" si="401"/>
        <v/>
      </c>
      <c r="M5117" s="7" t="str">
        <f t="shared" si="398"/>
        <v/>
      </c>
      <c r="N5117" s="7" t="str">
        <f t="shared" si="402"/>
        <v/>
      </c>
      <c r="O5117" s="8"/>
      <c r="P5117" s="26"/>
      <c r="S5117" s="10" t="str">
        <f t="shared" si="399"/>
        <v/>
      </c>
    </row>
    <row r="5118" spans="5:19" x14ac:dyDescent="0.3">
      <c r="E5118" s="9" t="str">
        <f>IF(DADOS!C5118="","",DADOS!C5118)</f>
        <v/>
      </c>
      <c r="F5118" s="9" t="str">
        <f>IF(DADOS!E5118="","",DADOS!E5118)</f>
        <v/>
      </c>
      <c r="G5118" s="9" t="str">
        <f>IF(DADOS!F5118="","",DADOS!F5118)</f>
        <v/>
      </c>
      <c r="K5118" s="6" t="str">
        <f t="shared" si="400"/>
        <v/>
      </c>
      <c r="L5118" s="7" t="str">
        <f t="shared" si="401"/>
        <v/>
      </c>
      <c r="M5118" s="7" t="str">
        <f t="shared" si="398"/>
        <v/>
      </c>
      <c r="N5118" s="7" t="str">
        <f t="shared" si="402"/>
        <v/>
      </c>
      <c r="O5118" s="8"/>
      <c r="P5118" s="26"/>
      <c r="S5118" s="10" t="str">
        <f t="shared" si="399"/>
        <v/>
      </c>
    </row>
    <row r="5119" spans="5:19" x14ac:dyDescent="0.3">
      <c r="E5119" s="9" t="str">
        <f>IF(DADOS!C5119="","",DADOS!C5119)</f>
        <v/>
      </c>
      <c r="F5119" s="9" t="str">
        <f>IF(DADOS!E5119="","",DADOS!E5119)</f>
        <v/>
      </c>
      <c r="G5119" s="9" t="str">
        <f>IF(DADOS!F5119="","",DADOS!F5119)</f>
        <v/>
      </c>
      <c r="K5119" s="6" t="str">
        <f t="shared" si="400"/>
        <v/>
      </c>
      <c r="L5119" s="7" t="str">
        <f t="shared" si="401"/>
        <v/>
      </c>
      <c r="M5119" s="7" t="str">
        <f t="shared" si="398"/>
        <v/>
      </c>
      <c r="N5119" s="7" t="str">
        <f t="shared" si="402"/>
        <v/>
      </c>
      <c r="O5119" s="8"/>
      <c r="P5119" s="26"/>
      <c r="S5119" s="10" t="str">
        <f t="shared" si="399"/>
        <v/>
      </c>
    </row>
    <row r="5120" spans="5:19" x14ac:dyDescent="0.3">
      <c r="E5120" s="9" t="str">
        <f>IF(DADOS!C5120="","",DADOS!C5120)</f>
        <v/>
      </c>
      <c r="F5120" s="9" t="str">
        <f>IF(DADOS!E5120="","",DADOS!E5120)</f>
        <v/>
      </c>
      <c r="G5120" s="9" t="str">
        <f>IF(DADOS!F5120="","",DADOS!F5120)</f>
        <v/>
      </c>
      <c r="K5120" s="6" t="str">
        <f t="shared" si="400"/>
        <v/>
      </c>
      <c r="L5120" s="7" t="str">
        <f t="shared" si="401"/>
        <v/>
      </c>
      <c r="M5120" s="7" t="str">
        <f t="shared" si="398"/>
        <v/>
      </c>
      <c r="N5120" s="7" t="str">
        <f t="shared" si="402"/>
        <v/>
      </c>
      <c r="O5120" s="8"/>
      <c r="P5120" s="26"/>
      <c r="S5120" s="10" t="str">
        <f t="shared" si="399"/>
        <v/>
      </c>
    </row>
    <row r="5121" spans="5:19" x14ac:dyDescent="0.3">
      <c r="E5121" s="9" t="str">
        <f>IF(DADOS!C5121="","",DADOS!C5121)</f>
        <v/>
      </c>
      <c r="F5121" s="9" t="str">
        <f>IF(DADOS!E5121="","",DADOS!E5121)</f>
        <v/>
      </c>
      <c r="G5121" s="9" t="str">
        <f>IF(DADOS!F5121="","",DADOS!F5121)</f>
        <v/>
      </c>
      <c r="K5121" s="6" t="str">
        <f t="shared" si="400"/>
        <v/>
      </c>
      <c r="L5121" s="7" t="str">
        <f t="shared" si="401"/>
        <v/>
      </c>
      <c r="M5121" s="7" t="str">
        <f t="shared" si="398"/>
        <v/>
      </c>
      <c r="N5121" s="7" t="str">
        <f t="shared" si="402"/>
        <v/>
      </c>
      <c r="O5121" s="8"/>
      <c r="P5121" s="26"/>
      <c r="S5121" s="10" t="str">
        <f t="shared" si="399"/>
        <v/>
      </c>
    </row>
    <row r="5122" spans="5:19" x14ac:dyDescent="0.3">
      <c r="E5122" s="9" t="str">
        <f>IF(DADOS!C5122="","",DADOS!C5122)</f>
        <v/>
      </c>
      <c r="F5122" s="9" t="str">
        <f>IF(DADOS!E5122="","",DADOS!E5122)</f>
        <v/>
      </c>
      <c r="G5122" s="9" t="str">
        <f>IF(DADOS!F5122="","",DADOS!F5122)</f>
        <v/>
      </c>
      <c r="K5122" s="6" t="str">
        <f t="shared" si="400"/>
        <v/>
      </c>
      <c r="L5122" s="7" t="str">
        <f t="shared" si="401"/>
        <v/>
      </c>
      <c r="M5122" s="7" t="str">
        <f t="shared" si="398"/>
        <v/>
      </c>
      <c r="N5122" s="7" t="str">
        <f t="shared" si="402"/>
        <v/>
      </c>
      <c r="O5122" s="8"/>
      <c r="P5122" s="26"/>
      <c r="S5122" s="10" t="str">
        <f t="shared" si="399"/>
        <v/>
      </c>
    </row>
    <row r="5123" spans="5:19" x14ac:dyDescent="0.3">
      <c r="E5123" s="9" t="str">
        <f>IF(DADOS!C5123="","",DADOS!C5123)</f>
        <v/>
      </c>
      <c r="F5123" s="9" t="str">
        <f>IF(DADOS!E5123="","",DADOS!E5123)</f>
        <v/>
      </c>
      <c r="G5123" s="9" t="str">
        <f>IF(DADOS!F5123="","",DADOS!F5123)</f>
        <v/>
      </c>
      <c r="K5123" s="6" t="str">
        <f t="shared" si="400"/>
        <v/>
      </c>
      <c r="L5123" s="7" t="str">
        <f t="shared" si="401"/>
        <v/>
      </c>
      <c r="M5123" s="7" t="str">
        <f t="shared" ref="M5123:M5186" si="403">IF(L5123="","",L5123*G5123)</f>
        <v/>
      </c>
      <c r="N5123" s="7" t="str">
        <f t="shared" si="402"/>
        <v/>
      </c>
      <c r="O5123" s="8"/>
      <c r="P5123" s="26"/>
      <c r="S5123" s="10" t="str">
        <f t="shared" ref="S5123:S5186" si="404">IF(R5123="","",SUMIFS($N$3:$N$10000,$E$3:$E$10000,R5123))</f>
        <v/>
      </c>
    </row>
    <row r="5124" spans="5:19" x14ac:dyDescent="0.3">
      <c r="E5124" s="9" t="str">
        <f>IF(DADOS!C5124="","",DADOS!C5124)</f>
        <v/>
      </c>
      <c r="F5124" s="9" t="str">
        <f>IF(DADOS!E5124="","",DADOS!E5124)</f>
        <v/>
      </c>
      <c r="G5124" s="9" t="str">
        <f>IF(DADOS!F5124="","",DADOS!F5124)</f>
        <v/>
      </c>
      <c r="K5124" s="6" t="str">
        <f t="shared" ref="K5124:K5187" si="405">IF(F5124="","",F5124/PI())</f>
        <v/>
      </c>
      <c r="L5124" s="7" t="str">
        <f t="shared" ref="L5124:L5187" si="406">IF(K5124="","",(PI()*K5124^2)/40000)</f>
        <v/>
      </c>
      <c r="M5124" s="7" t="str">
        <f t="shared" si="403"/>
        <v/>
      </c>
      <c r="N5124" s="7" t="str">
        <f t="shared" ref="N5124:N5187" si="407">IF(M5124="","",M5124*N$1)</f>
        <v/>
      </c>
      <c r="O5124" s="8"/>
      <c r="P5124" s="26"/>
      <c r="S5124" s="10" t="str">
        <f t="shared" si="404"/>
        <v/>
      </c>
    </row>
    <row r="5125" spans="5:19" x14ac:dyDescent="0.3">
      <c r="E5125" s="9" t="str">
        <f>IF(DADOS!C5125="","",DADOS!C5125)</f>
        <v/>
      </c>
      <c r="F5125" s="9" t="str">
        <f>IF(DADOS!E5125="","",DADOS!E5125)</f>
        <v/>
      </c>
      <c r="G5125" s="9" t="str">
        <f>IF(DADOS!F5125="","",DADOS!F5125)</f>
        <v/>
      </c>
      <c r="K5125" s="6" t="str">
        <f t="shared" si="405"/>
        <v/>
      </c>
      <c r="L5125" s="7" t="str">
        <f t="shared" si="406"/>
        <v/>
      </c>
      <c r="M5125" s="7" t="str">
        <f t="shared" si="403"/>
        <v/>
      </c>
      <c r="N5125" s="7" t="str">
        <f t="shared" si="407"/>
        <v/>
      </c>
      <c r="O5125" s="8"/>
      <c r="P5125" s="26"/>
      <c r="S5125" s="10" t="str">
        <f t="shared" si="404"/>
        <v/>
      </c>
    </row>
    <row r="5126" spans="5:19" x14ac:dyDescent="0.3">
      <c r="E5126" s="9" t="str">
        <f>IF(DADOS!C5126="","",DADOS!C5126)</f>
        <v/>
      </c>
      <c r="F5126" s="9" t="str">
        <f>IF(DADOS!E5126="","",DADOS!E5126)</f>
        <v/>
      </c>
      <c r="G5126" s="9" t="str">
        <f>IF(DADOS!F5126="","",DADOS!F5126)</f>
        <v/>
      </c>
      <c r="K5126" s="6" t="str">
        <f t="shared" si="405"/>
        <v/>
      </c>
      <c r="L5126" s="7" t="str">
        <f t="shared" si="406"/>
        <v/>
      </c>
      <c r="M5126" s="7" t="str">
        <f t="shared" si="403"/>
        <v/>
      </c>
      <c r="N5126" s="7" t="str">
        <f t="shared" si="407"/>
        <v/>
      </c>
      <c r="O5126" s="8"/>
      <c r="P5126" s="26"/>
      <c r="S5126" s="10" t="str">
        <f t="shared" si="404"/>
        <v/>
      </c>
    </row>
    <row r="5127" spans="5:19" x14ac:dyDescent="0.3">
      <c r="E5127" s="9" t="str">
        <f>IF(DADOS!C5127="","",DADOS!C5127)</f>
        <v/>
      </c>
      <c r="F5127" s="9" t="str">
        <f>IF(DADOS!E5127="","",DADOS!E5127)</f>
        <v/>
      </c>
      <c r="G5127" s="9" t="str">
        <f>IF(DADOS!F5127="","",DADOS!F5127)</f>
        <v/>
      </c>
      <c r="K5127" s="6" t="str">
        <f t="shared" si="405"/>
        <v/>
      </c>
      <c r="L5127" s="7" t="str">
        <f t="shared" si="406"/>
        <v/>
      </c>
      <c r="M5127" s="7" t="str">
        <f t="shared" si="403"/>
        <v/>
      </c>
      <c r="N5127" s="7" t="str">
        <f t="shared" si="407"/>
        <v/>
      </c>
      <c r="O5127" s="8"/>
      <c r="P5127" s="26"/>
      <c r="S5127" s="10" t="str">
        <f t="shared" si="404"/>
        <v/>
      </c>
    </row>
    <row r="5128" spans="5:19" x14ac:dyDescent="0.3">
      <c r="E5128" s="9" t="str">
        <f>IF(DADOS!C5128="","",DADOS!C5128)</f>
        <v/>
      </c>
      <c r="F5128" s="9" t="str">
        <f>IF(DADOS!E5128="","",DADOS!E5128)</f>
        <v/>
      </c>
      <c r="G5128" s="9" t="str">
        <f>IF(DADOS!F5128="","",DADOS!F5128)</f>
        <v/>
      </c>
      <c r="K5128" s="6" t="str">
        <f t="shared" si="405"/>
        <v/>
      </c>
      <c r="L5128" s="7" t="str">
        <f t="shared" si="406"/>
        <v/>
      </c>
      <c r="M5128" s="7" t="str">
        <f t="shared" si="403"/>
        <v/>
      </c>
      <c r="N5128" s="7" t="str">
        <f t="shared" si="407"/>
        <v/>
      </c>
      <c r="O5128" s="8"/>
      <c r="P5128" s="26"/>
      <c r="S5128" s="10" t="str">
        <f t="shared" si="404"/>
        <v/>
      </c>
    </row>
    <row r="5129" spans="5:19" x14ac:dyDescent="0.3">
      <c r="E5129" s="9" t="str">
        <f>IF(DADOS!C5129="","",DADOS!C5129)</f>
        <v/>
      </c>
      <c r="F5129" s="9" t="str">
        <f>IF(DADOS!E5129="","",DADOS!E5129)</f>
        <v/>
      </c>
      <c r="G5129" s="9" t="str">
        <f>IF(DADOS!F5129="","",DADOS!F5129)</f>
        <v/>
      </c>
      <c r="K5129" s="6" t="str">
        <f t="shared" si="405"/>
        <v/>
      </c>
      <c r="L5129" s="7" t="str">
        <f t="shared" si="406"/>
        <v/>
      </c>
      <c r="M5129" s="7" t="str">
        <f t="shared" si="403"/>
        <v/>
      </c>
      <c r="N5129" s="7" t="str">
        <f t="shared" si="407"/>
        <v/>
      </c>
      <c r="O5129" s="8"/>
      <c r="P5129" s="26"/>
      <c r="S5129" s="10" t="str">
        <f t="shared" si="404"/>
        <v/>
      </c>
    </row>
    <row r="5130" spans="5:19" x14ac:dyDescent="0.3">
      <c r="E5130" s="9" t="str">
        <f>IF(DADOS!C5130="","",DADOS!C5130)</f>
        <v/>
      </c>
      <c r="F5130" s="9" t="str">
        <f>IF(DADOS!E5130="","",DADOS!E5130)</f>
        <v/>
      </c>
      <c r="G5130" s="9" t="str">
        <f>IF(DADOS!F5130="","",DADOS!F5130)</f>
        <v/>
      </c>
      <c r="K5130" s="6" t="str">
        <f t="shared" si="405"/>
        <v/>
      </c>
      <c r="L5130" s="7" t="str">
        <f t="shared" si="406"/>
        <v/>
      </c>
      <c r="M5130" s="7" t="str">
        <f t="shared" si="403"/>
        <v/>
      </c>
      <c r="N5130" s="7" t="str">
        <f t="shared" si="407"/>
        <v/>
      </c>
      <c r="O5130" s="8"/>
      <c r="P5130" s="26"/>
      <c r="S5130" s="10" t="str">
        <f t="shared" si="404"/>
        <v/>
      </c>
    </row>
    <row r="5131" spans="5:19" x14ac:dyDescent="0.3">
      <c r="E5131" s="9" t="str">
        <f>IF(DADOS!C5131="","",DADOS!C5131)</f>
        <v/>
      </c>
      <c r="F5131" s="9" t="str">
        <f>IF(DADOS!E5131="","",DADOS!E5131)</f>
        <v/>
      </c>
      <c r="G5131" s="9" t="str">
        <f>IF(DADOS!F5131="","",DADOS!F5131)</f>
        <v/>
      </c>
      <c r="K5131" s="6" t="str">
        <f t="shared" si="405"/>
        <v/>
      </c>
      <c r="L5131" s="7" t="str">
        <f t="shared" si="406"/>
        <v/>
      </c>
      <c r="M5131" s="7" t="str">
        <f t="shared" si="403"/>
        <v/>
      </c>
      <c r="N5131" s="7" t="str">
        <f t="shared" si="407"/>
        <v/>
      </c>
      <c r="O5131" s="8"/>
      <c r="P5131" s="26"/>
      <c r="S5131" s="10" t="str">
        <f t="shared" si="404"/>
        <v/>
      </c>
    </row>
    <row r="5132" spans="5:19" x14ac:dyDescent="0.3">
      <c r="E5132" s="9" t="str">
        <f>IF(DADOS!C5132="","",DADOS!C5132)</f>
        <v/>
      </c>
      <c r="F5132" s="9" t="str">
        <f>IF(DADOS!E5132="","",DADOS!E5132)</f>
        <v/>
      </c>
      <c r="G5132" s="9" t="str">
        <f>IF(DADOS!F5132="","",DADOS!F5132)</f>
        <v/>
      </c>
      <c r="K5132" s="6" t="str">
        <f t="shared" si="405"/>
        <v/>
      </c>
      <c r="L5132" s="7" t="str">
        <f t="shared" si="406"/>
        <v/>
      </c>
      <c r="M5132" s="7" t="str">
        <f t="shared" si="403"/>
        <v/>
      </c>
      <c r="N5132" s="7" t="str">
        <f t="shared" si="407"/>
        <v/>
      </c>
      <c r="O5132" s="8"/>
      <c r="P5132" s="26"/>
      <c r="S5132" s="10" t="str">
        <f t="shared" si="404"/>
        <v/>
      </c>
    </row>
    <row r="5133" spans="5:19" x14ac:dyDescent="0.3">
      <c r="E5133" s="9" t="str">
        <f>IF(DADOS!C5133="","",DADOS!C5133)</f>
        <v/>
      </c>
      <c r="F5133" s="9" t="str">
        <f>IF(DADOS!E5133="","",DADOS!E5133)</f>
        <v/>
      </c>
      <c r="G5133" s="9" t="str">
        <f>IF(DADOS!F5133="","",DADOS!F5133)</f>
        <v/>
      </c>
      <c r="K5133" s="6" t="str">
        <f t="shared" si="405"/>
        <v/>
      </c>
      <c r="L5133" s="7" t="str">
        <f t="shared" si="406"/>
        <v/>
      </c>
      <c r="M5133" s="7" t="str">
        <f t="shared" si="403"/>
        <v/>
      </c>
      <c r="N5133" s="7" t="str">
        <f t="shared" si="407"/>
        <v/>
      </c>
      <c r="O5133" s="8"/>
      <c r="P5133" s="26"/>
      <c r="S5133" s="10" t="str">
        <f t="shared" si="404"/>
        <v/>
      </c>
    </row>
    <row r="5134" spans="5:19" x14ac:dyDescent="0.3">
      <c r="E5134" s="9" t="str">
        <f>IF(DADOS!C5134="","",DADOS!C5134)</f>
        <v/>
      </c>
      <c r="F5134" s="9" t="str">
        <f>IF(DADOS!E5134="","",DADOS!E5134)</f>
        <v/>
      </c>
      <c r="G5134" s="9" t="str">
        <f>IF(DADOS!F5134="","",DADOS!F5134)</f>
        <v/>
      </c>
      <c r="K5134" s="6" t="str">
        <f t="shared" si="405"/>
        <v/>
      </c>
      <c r="L5134" s="7" t="str">
        <f t="shared" si="406"/>
        <v/>
      </c>
      <c r="M5134" s="7" t="str">
        <f t="shared" si="403"/>
        <v/>
      </c>
      <c r="N5134" s="7" t="str">
        <f t="shared" si="407"/>
        <v/>
      </c>
      <c r="O5134" s="8"/>
      <c r="P5134" s="26"/>
      <c r="S5134" s="10" t="str">
        <f t="shared" si="404"/>
        <v/>
      </c>
    </row>
    <row r="5135" spans="5:19" x14ac:dyDescent="0.3">
      <c r="E5135" s="9" t="str">
        <f>IF(DADOS!C5135="","",DADOS!C5135)</f>
        <v/>
      </c>
      <c r="F5135" s="9" t="str">
        <f>IF(DADOS!E5135="","",DADOS!E5135)</f>
        <v/>
      </c>
      <c r="G5135" s="9" t="str">
        <f>IF(DADOS!F5135="","",DADOS!F5135)</f>
        <v/>
      </c>
      <c r="K5135" s="6" t="str">
        <f t="shared" si="405"/>
        <v/>
      </c>
      <c r="L5135" s="7" t="str">
        <f t="shared" si="406"/>
        <v/>
      </c>
      <c r="M5135" s="7" t="str">
        <f t="shared" si="403"/>
        <v/>
      </c>
      <c r="N5135" s="7" t="str">
        <f t="shared" si="407"/>
        <v/>
      </c>
      <c r="O5135" s="8"/>
      <c r="P5135" s="26"/>
      <c r="S5135" s="10" t="str">
        <f t="shared" si="404"/>
        <v/>
      </c>
    </row>
    <row r="5136" spans="5:19" x14ac:dyDescent="0.3">
      <c r="E5136" s="9" t="str">
        <f>IF(DADOS!C5136="","",DADOS!C5136)</f>
        <v/>
      </c>
      <c r="F5136" s="9" t="str">
        <f>IF(DADOS!E5136="","",DADOS!E5136)</f>
        <v/>
      </c>
      <c r="G5136" s="9" t="str">
        <f>IF(DADOS!F5136="","",DADOS!F5136)</f>
        <v/>
      </c>
      <c r="K5136" s="6" t="str">
        <f t="shared" si="405"/>
        <v/>
      </c>
      <c r="L5136" s="7" t="str">
        <f t="shared" si="406"/>
        <v/>
      </c>
      <c r="M5136" s="7" t="str">
        <f t="shared" si="403"/>
        <v/>
      </c>
      <c r="N5136" s="7" t="str">
        <f t="shared" si="407"/>
        <v/>
      </c>
      <c r="O5136" s="8"/>
      <c r="P5136" s="26"/>
      <c r="S5136" s="10" t="str">
        <f t="shared" si="404"/>
        <v/>
      </c>
    </row>
    <row r="5137" spans="5:19" x14ac:dyDescent="0.3">
      <c r="E5137" s="9" t="str">
        <f>IF(DADOS!C5137="","",DADOS!C5137)</f>
        <v/>
      </c>
      <c r="F5137" s="9" t="str">
        <f>IF(DADOS!E5137="","",DADOS!E5137)</f>
        <v/>
      </c>
      <c r="G5137" s="9" t="str">
        <f>IF(DADOS!F5137="","",DADOS!F5137)</f>
        <v/>
      </c>
      <c r="K5137" s="6" t="str">
        <f t="shared" si="405"/>
        <v/>
      </c>
      <c r="L5137" s="7" t="str">
        <f t="shared" si="406"/>
        <v/>
      </c>
      <c r="M5137" s="7" t="str">
        <f t="shared" si="403"/>
        <v/>
      </c>
      <c r="N5137" s="7" t="str">
        <f t="shared" si="407"/>
        <v/>
      </c>
      <c r="O5137" s="8"/>
      <c r="P5137" s="26"/>
      <c r="S5137" s="10" t="str">
        <f t="shared" si="404"/>
        <v/>
      </c>
    </row>
    <row r="5138" spans="5:19" x14ac:dyDescent="0.3">
      <c r="E5138" s="9" t="str">
        <f>IF(DADOS!C5138="","",DADOS!C5138)</f>
        <v/>
      </c>
      <c r="F5138" s="9" t="str">
        <f>IF(DADOS!E5138="","",DADOS!E5138)</f>
        <v/>
      </c>
      <c r="G5138" s="9" t="str">
        <f>IF(DADOS!F5138="","",DADOS!F5138)</f>
        <v/>
      </c>
      <c r="K5138" s="6" t="str">
        <f t="shared" si="405"/>
        <v/>
      </c>
      <c r="L5138" s="7" t="str">
        <f t="shared" si="406"/>
        <v/>
      </c>
      <c r="M5138" s="7" t="str">
        <f t="shared" si="403"/>
        <v/>
      </c>
      <c r="N5138" s="7" t="str">
        <f t="shared" si="407"/>
        <v/>
      </c>
      <c r="O5138" s="8"/>
      <c r="P5138" s="26"/>
      <c r="S5138" s="10" t="str">
        <f t="shared" si="404"/>
        <v/>
      </c>
    </row>
    <row r="5139" spans="5:19" x14ac:dyDescent="0.3">
      <c r="E5139" s="9" t="str">
        <f>IF(DADOS!C5139="","",DADOS!C5139)</f>
        <v/>
      </c>
      <c r="F5139" s="9" t="str">
        <f>IF(DADOS!E5139="","",DADOS!E5139)</f>
        <v/>
      </c>
      <c r="G5139" s="9" t="str">
        <f>IF(DADOS!F5139="","",DADOS!F5139)</f>
        <v/>
      </c>
      <c r="K5139" s="6" t="str">
        <f t="shared" si="405"/>
        <v/>
      </c>
      <c r="L5139" s="7" t="str">
        <f t="shared" si="406"/>
        <v/>
      </c>
      <c r="M5139" s="7" t="str">
        <f t="shared" si="403"/>
        <v/>
      </c>
      <c r="N5139" s="7" t="str">
        <f t="shared" si="407"/>
        <v/>
      </c>
      <c r="O5139" s="8"/>
      <c r="P5139" s="26"/>
      <c r="S5139" s="10" t="str">
        <f t="shared" si="404"/>
        <v/>
      </c>
    </row>
    <row r="5140" spans="5:19" x14ac:dyDescent="0.3">
      <c r="E5140" s="9" t="str">
        <f>IF(DADOS!C5140="","",DADOS!C5140)</f>
        <v/>
      </c>
      <c r="F5140" s="9" t="str">
        <f>IF(DADOS!E5140="","",DADOS!E5140)</f>
        <v/>
      </c>
      <c r="G5140" s="9" t="str">
        <f>IF(DADOS!F5140="","",DADOS!F5140)</f>
        <v/>
      </c>
      <c r="K5140" s="6" t="str">
        <f t="shared" si="405"/>
        <v/>
      </c>
      <c r="L5140" s="7" t="str">
        <f t="shared" si="406"/>
        <v/>
      </c>
      <c r="M5140" s="7" t="str">
        <f t="shared" si="403"/>
        <v/>
      </c>
      <c r="N5140" s="7" t="str">
        <f t="shared" si="407"/>
        <v/>
      </c>
      <c r="O5140" s="8"/>
      <c r="P5140" s="26"/>
      <c r="S5140" s="10" t="str">
        <f t="shared" si="404"/>
        <v/>
      </c>
    </row>
    <row r="5141" spans="5:19" x14ac:dyDescent="0.3">
      <c r="E5141" s="9" t="str">
        <f>IF(DADOS!C5141="","",DADOS!C5141)</f>
        <v/>
      </c>
      <c r="F5141" s="9" t="str">
        <f>IF(DADOS!E5141="","",DADOS!E5141)</f>
        <v/>
      </c>
      <c r="G5141" s="9" t="str">
        <f>IF(DADOS!F5141="","",DADOS!F5141)</f>
        <v/>
      </c>
      <c r="K5141" s="6" t="str">
        <f t="shared" si="405"/>
        <v/>
      </c>
      <c r="L5141" s="7" t="str">
        <f t="shared" si="406"/>
        <v/>
      </c>
      <c r="M5141" s="7" t="str">
        <f t="shared" si="403"/>
        <v/>
      </c>
      <c r="N5141" s="7" t="str">
        <f t="shared" si="407"/>
        <v/>
      </c>
      <c r="O5141" s="8"/>
      <c r="P5141" s="26"/>
      <c r="S5141" s="10" t="str">
        <f t="shared" si="404"/>
        <v/>
      </c>
    </row>
    <row r="5142" spans="5:19" x14ac:dyDescent="0.3">
      <c r="E5142" s="9" t="str">
        <f>IF(DADOS!C5142="","",DADOS!C5142)</f>
        <v/>
      </c>
      <c r="F5142" s="9" t="str">
        <f>IF(DADOS!E5142="","",DADOS!E5142)</f>
        <v/>
      </c>
      <c r="G5142" s="9" t="str">
        <f>IF(DADOS!F5142="","",DADOS!F5142)</f>
        <v/>
      </c>
      <c r="K5142" s="6" t="str">
        <f t="shared" si="405"/>
        <v/>
      </c>
      <c r="L5142" s="7" t="str">
        <f t="shared" si="406"/>
        <v/>
      </c>
      <c r="M5142" s="7" t="str">
        <f t="shared" si="403"/>
        <v/>
      </c>
      <c r="N5142" s="7" t="str">
        <f t="shared" si="407"/>
        <v/>
      </c>
      <c r="O5142" s="8"/>
      <c r="P5142" s="26"/>
      <c r="S5142" s="10" t="str">
        <f t="shared" si="404"/>
        <v/>
      </c>
    </row>
    <row r="5143" spans="5:19" x14ac:dyDescent="0.3">
      <c r="E5143" s="9" t="str">
        <f>IF(DADOS!C5143="","",DADOS!C5143)</f>
        <v/>
      </c>
      <c r="F5143" s="9" t="str">
        <f>IF(DADOS!E5143="","",DADOS!E5143)</f>
        <v/>
      </c>
      <c r="G5143" s="9" t="str">
        <f>IF(DADOS!F5143="","",DADOS!F5143)</f>
        <v/>
      </c>
      <c r="K5143" s="6" t="str">
        <f t="shared" si="405"/>
        <v/>
      </c>
      <c r="L5143" s="7" t="str">
        <f t="shared" si="406"/>
        <v/>
      </c>
      <c r="M5143" s="7" t="str">
        <f t="shared" si="403"/>
        <v/>
      </c>
      <c r="N5143" s="7" t="str">
        <f t="shared" si="407"/>
        <v/>
      </c>
      <c r="O5143" s="8"/>
      <c r="P5143" s="26"/>
      <c r="S5143" s="10" t="str">
        <f t="shared" si="404"/>
        <v/>
      </c>
    </row>
    <row r="5144" spans="5:19" x14ac:dyDescent="0.3">
      <c r="E5144" s="9" t="str">
        <f>IF(DADOS!C5144="","",DADOS!C5144)</f>
        <v/>
      </c>
      <c r="F5144" s="9" t="str">
        <f>IF(DADOS!E5144="","",DADOS!E5144)</f>
        <v/>
      </c>
      <c r="G5144" s="9" t="str">
        <f>IF(DADOS!F5144="","",DADOS!F5144)</f>
        <v/>
      </c>
      <c r="K5144" s="6" t="str">
        <f t="shared" si="405"/>
        <v/>
      </c>
      <c r="L5144" s="7" t="str">
        <f t="shared" si="406"/>
        <v/>
      </c>
      <c r="M5144" s="7" t="str">
        <f t="shared" si="403"/>
        <v/>
      </c>
      <c r="N5144" s="7" t="str">
        <f t="shared" si="407"/>
        <v/>
      </c>
      <c r="O5144" s="8"/>
      <c r="P5144" s="26"/>
      <c r="S5144" s="10" t="str">
        <f t="shared" si="404"/>
        <v/>
      </c>
    </row>
    <row r="5145" spans="5:19" x14ac:dyDescent="0.3">
      <c r="E5145" s="9" t="str">
        <f>IF(DADOS!C5145="","",DADOS!C5145)</f>
        <v/>
      </c>
      <c r="F5145" s="9" t="str">
        <f>IF(DADOS!E5145="","",DADOS!E5145)</f>
        <v/>
      </c>
      <c r="G5145" s="9" t="str">
        <f>IF(DADOS!F5145="","",DADOS!F5145)</f>
        <v/>
      </c>
      <c r="K5145" s="6" t="str">
        <f t="shared" si="405"/>
        <v/>
      </c>
      <c r="L5145" s="7" t="str">
        <f t="shared" si="406"/>
        <v/>
      </c>
      <c r="M5145" s="7" t="str">
        <f t="shared" si="403"/>
        <v/>
      </c>
      <c r="N5145" s="7" t="str">
        <f t="shared" si="407"/>
        <v/>
      </c>
      <c r="O5145" s="8"/>
      <c r="P5145" s="26"/>
      <c r="S5145" s="10" t="str">
        <f t="shared" si="404"/>
        <v/>
      </c>
    </row>
    <row r="5146" spans="5:19" x14ac:dyDescent="0.3">
      <c r="E5146" s="9" t="str">
        <f>IF(DADOS!C5146="","",DADOS!C5146)</f>
        <v/>
      </c>
      <c r="F5146" s="9" t="str">
        <f>IF(DADOS!E5146="","",DADOS!E5146)</f>
        <v/>
      </c>
      <c r="G5146" s="9" t="str">
        <f>IF(DADOS!F5146="","",DADOS!F5146)</f>
        <v/>
      </c>
      <c r="K5146" s="6" t="str">
        <f t="shared" si="405"/>
        <v/>
      </c>
      <c r="L5146" s="7" t="str">
        <f t="shared" si="406"/>
        <v/>
      </c>
      <c r="M5146" s="7" t="str">
        <f t="shared" si="403"/>
        <v/>
      </c>
      <c r="N5146" s="7" t="str">
        <f t="shared" si="407"/>
        <v/>
      </c>
      <c r="O5146" s="8"/>
      <c r="P5146" s="26"/>
      <c r="S5146" s="10" t="str">
        <f t="shared" si="404"/>
        <v/>
      </c>
    </row>
    <row r="5147" spans="5:19" x14ac:dyDescent="0.3">
      <c r="E5147" s="9" t="str">
        <f>IF(DADOS!C5147="","",DADOS!C5147)</f>
        <v/>
      </c>
      <c r="F5147" s="9" t="str">
        <f>IF(DADOS!E5147="","",DADOS!E5147)</f>
        <v/>
      </c>
      <c r="G5147" s="9" t="str">
        <f>IF(DADOS!F5147="","",DADOS!F5147)</f>
        <v/>
      </c>
      <c r="K5147" s="6" t="str">
        <f t="shared" si="405"/>
        <v/>
      </c>
      <c r="L5147" s="7" t="str">
        <f t="shared" si="406"/>
        <v/>
      </c>
      <c r="M5147" s="7" t="str">
        <f t="shared" si="403"/>
        <v/>
      </c>
      <c r="N5147" s="7" t="str">
        <f t="shared" si="407"/>
        <v/>
      </c>
      <c r="O5147" s="8"/>
      <c r="P5147" s="26"/>
      <c r="S5147" s="10" t="str">
        <f t="shared" si="404"/>
        <v/>
      </c>
    </row>
    <row r="5148" spans="5:19" x14ac:dyDescent="0.3">
      <c r="E5148" s="9" t="str">
        <f>IF(DADOS!C5148="","",DADOS!C5148)</f>
        <v/>
      </c>
      <c r="F5148" s="9" t="str">
        <f>IF(DADOS!E5148="","",DADOS!E5148)</f>
        <v/>
      </c>
      <c r="G5148" s="9" t="str">
        <f>IF(DADOS!F5148="","",DADOS!F5148)</f>
        <v/>
      </c>
      <c r="K5148" s="6" t="str">
        <f t="shared" si="405"/>
        <v/>
      </c>
      <c r="L5148" s="7" t="str">
        <f t="shared" si="406"/>
        <v/>
      </c>
      <c r="M5148" s="7" t="str">
        <f t="shared" si="403"/>
        <v/>
      </c>
      <c r="N5148" s="7" t="str">
        <f t="shared" si="407"/>
        <v/>
      </c>
      <c r="O5148" s="8"/>
      <c r="P5148" s="26"/>
      <c r="S5148" s="10" t="str">
        <f t="shared" si="404"/>
        <v/>
      </c>
    </row>
    <row r="5149" spans="5:19" x14ac:dyDescent="0.3">
      <c r="E5149" s="9" t="str">
        <f>IF(DADOS!C5149="","",DADOS!C5149)</f>
        <v/>
      </c>
      <c r="F5149" s="9" t="str">
        <f>IF(DADOS!E5149="","",DADOS!E5149)</f>
        <v/>
      </c>
      <c r="G5149" s="9" t="str">
        <f>IF(DADOS!F5149="","",DADOS!F5149)</f>
        <v/>
      </c>
      <c r="K5149" s="6" t="str">
        <f t="shared" si="405"/>
        <v/>
      </c>
      <c r="L5149" s="7" t="str">
        <f t="shared" si="406"/>
        <v/>
      </c>
      <c r="M5149" s="7" t="str">
        <f t="shared" si="403"/>
        <v/>
      </c>
      <c r="N5149" s="7" t="str">
        <f t="shared" si="407"/>
        <v/>
      </c>
      <c r="O5149" s="8"/>
      <c r="P5149" s="26"/>
      <c r="S5149" s="10" t="str">
        <f t="shared" si="404"/>
        <v/>
      </c>
    </row>
    <row r="5150" spans="5:19" x14ac:dyDescent="0.3">
      <c r="E5150" s="9" t="str">
        <f>IF(DADOS!C5150="","",DADOS!C5150)</f>
        <v/>
      </c>
      <c r="F5150" s="9" t="str">
        <f>IF(DADOS!E5150="","",DADOS!E5150)</f>
        <v/>
      </c>
      <c r="G5150" s="9" t="str">
        <f>IF(DADOS!F5150="","",DADOS!F5150)</f>
        <v/>
      </c>
      <c r="K5150" s="6" t="str">
        <f t="shared" si="405"/>
        <v/>
      </c>
      <c r="L5150" s="7" t="str">
        <f t="shared" si="406"/>
        <v/>
      </c>
      <c r="M5150" s="7" t="str">
        <f t="shared" si="403"/>
        <v/>
      </c>
      <c r="N5150" s="7" t="str">
        <f t="shared" si="407"/>
        <v/>
      </c>
      <c r="O5150" s="8"/>
      <c r="P5150" s="26"/>
      <c r="S5150" s="10" t="str">
        <f t="shared" si="404"/>
        <v/>
      </c>
    </row>
    <row r="5151" spans="5:19" x14ac:dyDescent="0.3">
      <c r="E5151" s="9" t="str">
        <f>IF(DADOS!C5151="","",DADOS!C5151)</f>
        <v/>
      </c>
      <c r="F5151" s="9" t="str">
        <f>IF(DADOS!E5151="","",DADOS!E5151)</f>
        <v/>
      </c>
      <c r="G5151" s="9" t="str">
        <f>IF(DADOS!F5151="","",DADOS!F5151)</f>
        <v/>
      </c>
      <c r="K5151" s="6" t="str">
        <f t="shared" si="405"/>
        <v/>
      </c>
      <c r="L5151" s="7" t="str">
        <f t="shared" si="406"/>
        <v/>
      </c>
      <c r="M5151" s="7" t="str">
        <f t="shared" si="403"/>
        <v/>
      </c>
      <c r="N5151" s="7" t="str">
        <f t="shared" si="407"/>
        <v/>
      </c>
      <c r="O5151" s="8"/>
      <c r="P5151" s="26"/>
      <c r="S5151" s="10" t="str">
        <f t="shared" si="404"/>
        <v/>
      </c>
    </row>
    <row r="5152" spans="5:19" x14ac:dyDescent="0.3">
      <c r="E5152" s="9" t="str">
        <f>IF(DADOS!C5152="","",DADOS!C5152)</f>
        <v/>
      </c>
      <c r="F5152" s="9" t="str">
        <f>IF(DADOS!E5152="","",DADOS!E5152)</f>
        <v/>
      </c>
      <c r="G5152" s="9" t="str">
        <f>IF(DADOS!F5152="","",DADOS!F5152)</f>
        <v/>
      </c>
      <c r="K5152" s="6" t="str">
        <f t="shared" si="405"/>
        <v/>
      </c>
      <c r="L5152" s="7" t="str">
        <f t="shared" si="406"/>
        <v/>
      </c>
      <c r="M5152" s="7" t="str">
        <f t="shared" si="403"/>
        <v/>
      </c>
      <c r="N5152" s="7" t="str">
        <f t="shared" si="407"/>
        <v/>
      </c>
      <c r="O5152" s="8"/>
      <c r="P5152" s="26"/>
      <c r="S5152" s="10" t="str">
        <f t="shared" si="404"/>
        <v/>
      </c>
    </row>
    <row r="5153" spans="5:19" x14ac:dyDescent="0.3">
      <c r="E5153" s="9" t="str">
        <f>IF(DADOS!C5153="","",DADOS!C5153)</f>
        <v/>
      </c>
      <c r="F5153" s="9" t="str">
        <f>IF(DADOS!E5153="","",DADOS!E5153)</f>
        <v/>
      </c>
      <c r="G5153" s="9" t="str">
        <f>IF(DADOS!F5153="","",DADOS!F5153)</f>
        <v/>
      </c>
      <c r="K5153" s="6" t="str">
        <f t="shared" si="405"/>
        <v/>
      </c>
      <c r="L5153" s="7" t="str">
        <f t="shared" si="406"/>
        <v/>
      </c>
      <c r="M5153" s="7" t="str">
        <f t="shared" si="403"/>
        <v/>
      </c>
      <c r="N5153" s="7" t="str">
        <f t="shared" si="407"/>
        <v/>
      </c>
      <c r="O5153" s="8"/>
      <c r="P5153" s="26"/>
      <c r="S5153" s="10" t="str">
        <f t="shared" si="404"/>
        <v/>
      </c>
    </row>
    <row r="5154" spans="5:19" x14ac:dyDescent="0.3">
      <c r="E5154" s="9" t="str">
        <f>IF(DADOS!C5154="","",DADOS!C5154)</f>
        <v/>
      </c>
      <c r="F5154" s="9" t="str">
        <f>IF(DADOS!E5154="","",DADOS!E5154)</f>
        <v/>
      </c>
      <c r="G5154" s="9" t="str">
        <f>IF(DADOS!F5154="","",DADOS!F5154)</f>
        <v/>
      </c>
      <c r="K5154" s="6" t="str">
        <f t="shared" si="405"/>
        <v/>
      </c>
      <c r="L5154" s="7" t="str">
        <f t="shared" si="406"/>
        <v/>
      </c>
      <c r="M5154" s="7" t="str">
        <f t="shared" si="403"/>
        <v/>
      </c>
      <c r="N5154" s="7" t="str">
        <f t="shared" si="407"/>
        <v/>
      </c>
      <c r="O5154" s="8"/>
      <c r="P5154" s="26"/>
      <c r="S5154" s="10" t="str">
        <f t="shared" si="404"/>
        <v/>
      </c>
    </row>
    <row r="5155" spans="5:19" x14ac:dyDescent="0.3">
      <c r="E5155" s="9" t="str">
        <f>IF(DADOS!C5155="","",DADOS!C5155)</f>
        <v/>
      </c>
      <c r="F5155" s="9" t="str">
        <f>IF(DADOS!E5155="","",DADOS!E5155)</f>
        <v/>
      </c>
      <c r="G5155" s="9" t="str">
        <f>IF(DADOS!F5155="","",DADOS!F5155)</f>
        <v/>
      </c>
      <c r="K5155" s="6" t="str">
        <f t="shared" si="405"/>
        <v/>
      </c>
      <c r="L5155" s="7" t="str">
        <f t="shared" si="406"/>
        <v/>
      </c>
      <c r="M5155" s="7" t="str">
        <f t="shared" si="403"/>
        <v/>
      </c>
      <c r="N5155" s="7" t="str">
        <f t="shared" si="407"/>
        <v/>
      </c>
      <c r="O5155" s="8"/>
      <c r="P5155" s="26"/>
      <c r="S5155" s="10" t="str">
        <f t="shared" si="404"/>
        <v/>
      </c>
    </row>
    <row r="5156" spans="5:19" x14ac:dyDescent="0.3">
      <c r="E5156" s="9" t="str">
        <f>IF(DADOS!C5156="","",DADOS!C5156)</f>
        <v/>
      </c>
      <c r="F5156" s="9" t="str">
        <f>IF(DADOS!E5156="","",DADOS!E5156)</f>
        <v/>
      </c>
      <c r="G5156" s="9" t="str">
        <f>IF(DADOS!F5156="","",DADOS!F5156)</f>
        <v/>
      </c>
      <c r="K5156" s="6" t="str">
        <f t="shared" si="405"/>
        <v/>
      </c>
      <c r="L5156" s="7" t="str">
        <f t="shared" si="406"/>
        <v/>
      </c>
      <c r="M5156" s="7" t="str">
        <f t="shared" si="403"/>
        <v/>
      </c>
      <c r="N5156" s="7" t="str">
        <f t="shared" si="407"/>
        <v/>
      </c>
      <c r="O5156" s="8"/>
      <c r="P5156" s="26"/>
      <c r="S5156" s="10" t="str">
        <f t="shared" si="404"/>
        <v/>
      </c>
    </row>
    <row r="5157" spans="5:19" x14ac:dyDescent="0.3">
      <c r="E5157" s="9" t="str">
        <f>IF(DADOS!C5157="","",DADOS!C5157)</f>
        <v/>
      </c>
      <c r="F5157" s="9" t="str">
        <f>IF(DADOS!E5157="","",DADOS!E5157)</f>
        <v/>
      </c>
      <c r="G5157" s="9" t="str">
        <f>IF(DADOS!F5157="","",DADOS!F5157)</f>
        <v/>
      </c>
      <c r="K5157" s="6" t="str">
        <f t="shared" si="405"/>
        <v/>
      </c>
      <c r="L5157" s="7" t="str">
        <f t="shared" si="406"/>
        <v/>
      </c>
      <c r="M5157" s="7" t="str">
        <f t="shared" si="403"/>
        <v/>
      </c>
      <c r="N5157" s="7" t="str">
        <f t="shared" si="407"/>
        <v/>
      </c>
      <c r="O5157" s="8"/>
      <c r="P5157" s="26"/>
      <c r="S5157" s="10" t="str">
        <f t="shared" si="404"/>
        <v/>
      </c>
    </row>
    <row r="5158" spans="5:19" x14ac:dyDescent="0.3">
      <c r="E5158" s="9" t="str">
        <f>IF(DADOS!C5158="","",DADOS!C5158)</f>
        <v/>
      </c>
      <c r="F5158" s="9" t="str">
        <f>IF(DADOS!E5158="","",DADOS!E5158)</f>
        <v/>
      </c>
      <c r="G5158" s="9" t="str">
        <f>IF(DADOS!F5158="","",DADOS!F5158)</f>
        <v/>
      </c>
      <c r="K5158" s="6" t="str">
        <f t="shared" si="405"/>
        <v/>
      </c>
      <c r="L5158" s="7" t="str">
        <f t="shared" si="406"/>
        <v/>
      </c>
      <c r="M5158" s="7" t="str">
        <f t="shared" si="403"/>
        <v/>
      </c>
      <c r="N5158" s="7" t="str">
        <f t="shared" si="407"/>
        <v/>
      </c>
      <c r="O5158" s="8"/>
      <c r="P5158" s="26"/>
      <c r="S5158" s="10" t="str">
        <f t="shared" si="404"/>
        <v/>
      </c>
    </row>
    <row r="5159" spans="5:19" x14ac:dyDescent="0.3">
      <c r="E5159" s="9" t="str">
        <f>IF(DADOS!C5159="","",DADOS!C5159)</f>
        <v/>
      </c>
      <c r="F5159" s="9" t="str">
        <f>IF(DADOS!E5159="","",DADOS!E5159)</f>
        <v/>
      </c>
      <c r="G5159" s="9" t="str">
        <f>IF(DADOS!F5159="","",DADOS!F5159)</f>
        <v/>
      </c>
      <c r="K5159" s="6" t="str">
        <f t="shared" si="405"/>
        <v/>
      </c>
      <c r="L5159" s="7" t="str">
        <f t="shared" si="406"/>
        <v/>
      </c>
      <c r="M5159" s="7" t="str">
        <f t="shared" si="403"/>
        <v/>
      </c>
      <c r="N5159" s="7" t="str">
        <f t="shared" si="407"/>
        <v/>
      </c>
      <c r="O5159" s="8"/>
      <c r="P5159" s="26"/>
      <c r="S5159" s="10" t="str">
        <f t="shared" si="404"/>
        <v/>
      </c>
    </row>
    <row r="5160" spans="5:19" x14ac:dyDescent="0.3">
      <c r="E5160" s="9" t="str">
        <f>IF(DADOS!C5160="","",DADOS!C5160)</f>
        <v/>
      </c>
      <c r="F5160" s="9" t="str">
        <f>IF(DADOS!E5160="","",DADOS!E5160)</f>
        <v/>
      </c>
      <c r="G5160" s="9" t="str">
        <f>IF(DADOS!F5160="","",DADOS!F5160)</f>
        <v/>
      </c>
      <c r="K5160" s="6" t="str">
        <f t="shared" si="405"/>
        <v/>
      </c>
      <c r="L5160" s="7" t="str">
        <f t="shared" si="406"/>
        <v/>
      </c>
      <c r="M5160" s="7" t="str">
        <f t="shared" si="403"/>
        <v/>
      </c>
      <c r="N5160" s="7" t="str">
        <f t="shared" si="407"/>
        <v/>
      </c>
      <c r="O5160" s="8"/>
      <c r="P5160" s="26"/>
      <c r="S5160" s="10" t="str">
        <f t="shared" si="404"/>
        <v/>
      </c>
    </row>
    <row r="5161" spans="5:19" x14ac:dyDescent="0.3">
      <c r="E5161" s="9" t="str">
        <f>IF(DADOS!C5161="","",DADOS!C5161)</f>
        <v/>
      </c>
      <c r="F5161" s="9" t="str">
        <f>IF(DADOS!E5161="","",DADOS!E5161)</f>
        <v/>
      </c>
      <c r="G5161" s="9" t="str">
        <f>IF(DADOS!F5161="","",DADOS!F5161)</f>
        <v/>
      </c>
      <c r="K5161" s="6" t="str">
        <f t="shared" si="405"/>
        <v/>
      </c>
      <c r="L5161" s="7" t="str">
        <f t="shared" si="406"/>
        <v/>
      </c>
      <c r="M5161" s="7" t="str">
        <f t="shared" si="403"/>
        <v/>
      </c>
      <c r="N5161" s="7" t="str">
        <f t="shared" si="407"/>
        <v/>
      </c>
      <c r="O5161" s="8"/>
      <c r="P5161" s="26"/>
      <c r="S5161" s="10" t="str">
        <f t="shared" si="404"/>
        <v/>
      </c>
    </row>
    <row r="5162" spans="5:19" x14ac:dyDescent="0.3">
      <c r="E5162" s="9" t="str">
        <f>IF(DADOS!C5162="","",DADOS!C5162)</f>
        <v/>
      </c>
      <c r="F5162" s="9" t="str">
        <f>IF(DADOS!E5162="","",DADOS!E5162)</f>
        <v/>
      </c>
      <c r="G5162" s="9" t="str">
        <f>IF(DADOS!F5162="","",DADOS!F5162)</f>
        <v/>
      </c>
      <c r="K5162" s="6" t="str">
        <f t="shared" si="405"/>
        <v/>
      </c>
      <c r="L5162" s="7" t="str">
        <f t="shared" si="406"/>
        <v/>
      </c>
      <c r="M5162" s="7" t="str">
        <f t="shared" si="403"/>
        <v/>
      </c>
      <c r="N5162" s="7" t="str">
        <f t="shared" si="407"/>
        <v/>
      </c>
      <c r="O5162" s="8"/>
      <c r="P5162" s="26"/>
      <c r="S5162" s="10" t="str">
        <f t="shared" si="404"/>
        <v/>
      </c>
    </row>
    <row r="5163" spans="5:19" x14ac:dyDescent="0.3">
      <c r="E5163" s="9" t="str">
        <f>IF(DADOS!C5163="","",DADOS!C5163)</f>
        <v/>
      </c>
      <c r="F5163" s="9" t="str">
        <f>IF(DADOS!E5163="","",DADOS!E5163)</f>
        <v/>
      </c>
      <c r="G5163" s="9" t="str">
        <f>IF(DADOS!F5163="","",DADOS!F5163)</f>
        <v/>
      </c>
      <c r="K5163" s="6" t="str">
        <f t="shared" si="405"/>
        <v/>
      </c>
      <c r="L5163" s="7" t="str">
        <f t="shared" si="406"/>
        <v/>
      </c>
      <c r="M5163" s="7" t="str">
        <f t="shared" si="403"/>
        <v/>
      </c>
      <c r="N5163" s="7" t="str">
        <f t="shared" si="407"/>
        <v/>
      </c>
      <c r="O5163" s="8"/>
      <c r="P5163" s="26"/>
      <c r="S5163" s="10" t="str">
        <f t="shared" si="404"/>
        <v/>
      </c>
    </row>
    <row r="5164" spans="5:19" x14ac:dyDescent="0.3">
      <c r="E5164" s="9" t="str">
        <f>IF(DADOS!C5164="","",DADOS!C5164)</f>
        <v/>
      </c>
      <c r="F5164" s="9" t="str">
        <f>IF(DADOS!E5164="","",DADOS!E5164)</f>
        <v/>
      </c>
      <c r="G5164" s="9" t="str">
        <f>IF(DADOS!F5164="","",DADOS!F5164)</f>
        <v/>
      </c>
      <c r="K5164" s="6" t="str">
        <f t="shared" si="405"/>
        <v/>
      </c>
      <c r="L5164" s="7" t="str">
        <f t="shared" si="406"/>
        <v/>
      </c>
      <c r="M5164" s="7" t="str">
        <f t="shared" si="403"/>
        <v/>
      </c>
      <c r="N5164" s="7" t="str">
        <f t="shared" si="407"/>
        <v/>
      </c>
      <c r="O5164" s="8"/>
      <c r="P5164" s="26"/>
      <c r="S5164" s="10" t="str">
        <f t="shared" si="404"/>
        <v/>
      </c>
    </row>
    <row r="5165" spans="5:19" x14ac:dyDescent="0.3">
      <c r="E5165" s="9" t="str">
        <f>IF(DADOS!C5165="","",DADOS!C5165)</f>
        <v/>
      </c>
      <c r="F5165" s="9" t="str">
        <f>IF(DADOS!E5165="","",DADOS!E5165)</f>
        <v/>
      </c>
      <c r="G5165" s="9" t="str">
        <f>IF(DADOS!F5165="","",DADOS!F5165)</f>
        <v/>
      </c>
      <c r="K5165" s="6" t="str">
        <f t="shared" si="405"/>
        <v/>
      </c>
      <c r="L5165" s="7" t="str">
        <f t="shared" si="406"/>
        <v/>
      </c>
      <c r="M5165" s="7" t="str">
        <f t="shared" si="403"/>
        <v/>
      </c>
      <c r="N5165" s="7" t="str">
        <f t="shared" si="407"/>
        <v/>
      </c>
      <c r="O5165" s="8"/>
      <c r="P5165" s="26"/>
      <c r="S5165" s="10" t="str">
        <f t="shared" si="404"/>
        <v/>
      </c>
    </row>
    <row r="5166" spans="5:19" x14ac:dyDescent="0.3">
      <c r="E5166" s="9" t="str">
        <f>IF(DADOS!C5166="","",DADOS!C5166)</f>
        <v/>
      </c>
      <c r="F5166" s="9" t="str">
        <f>IF(DADOS!E5166="","",DADOS!E5166)</f>
        <v/>
      </c>
      <c r="G5166" s="9" t="str">
        <f>IF(DADOS!F5166="","",DADOS!F5166)</f>
        <v/>
      </c>
      <c r="K5166" s="6" t="str">
        <f t="shared" si="405"/>
        <v/>
      </c>
      <c r="L5166" s="7" t="str">
        <f t="shared" si="406"/>
        <v/>
      </c>
      <c r="M5166" s="7" t="str">
        <f t="shared" si="403"/>
        <v/>
      </c>
      <c r="N5166" s="7" t="str">
        <f t="shared" si="407"/>
        <v/>
      </c>
      <c r="O5166" s="8"/>
      <c r="P5166" s="26"/>
      <c r="S5166" s="10" t="str">
        <f t="shared" si="404"/>
        <v/>
      </c>
    </row>
    <row r="5167" spans="5:19" x14ac:dyDescent="0.3">
      <c r="E5167" s="9" t="str">
        <f>IF(DADOS!C5167="","",DADOS!C5167)</f>
        <v/>
      </c>
      <c r="F5167" s="9" t="str">
        <f>IF(DADOS!E5167="","",DADOS!E5167)</f>
        <v/>
      </c>
      <c r="G5167" s="9" t="str">
        <f>IF(DADOS!F5167="","",DADOS!F5167)</f>
        <v/>
      </c>
      <c r="K5167" s="6" t="str">
        <f t="shared" si="405"/>
        <v/>
      </c>
      <c r="L5167" s="7" t="str">
        <f t="shared" si="406"/>
        <v/>
      </c>
      <c r="M5167" s="7" t="str">
        <f t="shared" si="403"/>
        <v/>
      </c>
      <c r="N5167" s="7" t="str">
        <f t="shared" si="407"/>
        <v/>
      </c>
      <c r="O5167" s="8"/>
      <c r="P5167" s="26"/>
      <c r="S5167" s="10" t="str">
        <f t="shared" si="404"/>
        <v/>
      </c>
    </row>
    <row r="5168" spans="5:19" x14ac:dyDescent="0.3">
      <c r="E5168" s="9" t="str">
        <f>IF(DADOS!C5168="","",DADOS!C5168)</f>
        <v/>
      </c>
      <c r="F5168" s="9" t="str">
        <f>IF(DADOS!E5168="","",DADOS!E5168)</f>
        <v/>
      </c>
      <c r="G5168" s="9" t="str">
        <f>IF(DADOS!F5168="","",DADOS!F5168)</f>
        <v/>
      </c>
      <c r="K5168" s="6" t="str">
        <f t="shared" si="405"/>
        <v/>
      </c>
      <c r="L5168" s="7" t="str">
        <f t="shared" si="406"/>
        <v/>
      </c>
      <c r="M5168" s="7" t="str">
        <f t="shared" si="403"/>
        <v/>
      </c>
      <c r="N5168" s="7" t="str">
        <f t="shared" si="407"/>
        <v/>
      </c>
      <c r="O5168" s="8"/>
      <c r="P5168" s="26"/>
      <c r="S5168" s="10" t="str">
        <f t="shared" si="404"/>
        <v/>
      </c>
    </row>
    <row r="5169" spans="5:19" x14ac:dyDescent="0.3">
      <c r="E5169" s="9" t="str">
        <f>IF(DADOS!C5169="","",DADOS!C5169)</f>
        <v/>
      </c>
      <c r="F5169" s="9" t="str">
        <f>IF(DADOS!E5169="","",DADOS!E5169)</f>
        <v/>
      </c>
      <c r="G5169" s="9" t="str">
        <f>IF(DADOS!F5169="","",DADOS!F5169)</f>
        <v/>
      </c>
      <c r="K5169" s="6" t="str">
        <f t="shared" si="405"/>
        <v/>
      </c>
      <c r="L5169" s="7" t="str">
        <f t="shared" si="406"/>
        <v/>
      </c>
      <c r="M5169" s="7" t="str">
        <f t="shared" si="403"/>
        <v/>
      </c>
      <c r="N5169" s="7" t="str">
        <f t="shared" si="407"/>
        <v/>
      </c>
      <c r="O5169" s="8"/>
      <c r="P5169" s="26"/>
      <c r="S5169" s="10" t="str">
        <f t="shared" si="404"/>
        <v/>
      </c>
    </row>
    <row r="5170" spans="5:19" x14ac:dyDescent="0.3">
      <c r="E5170" s="9" t="str">
        <f>IF(DADOS!C5170="","",DADOS!C5170)</f>
        <v/>
      </c>
      <c r="F5170" s="9" t="str">
        <f>IF(DADOS!E5170="","",DADOS!E5170)</f>
        <v/>
      </c>
      <c r="G5170" s="9" t="str">
        <f>IF(DADOS!F5170="","",DADOS!F5170)</f>
        <v/>
      </c>
      <c r="K5170" s="6" t="str">
        <f t="shared" si="405"/>
        <v/>
      </c>
      <c r="L5170" s="7" t="str">
        <f t="shared" si="406"/>
        <v/>
      </c>
      <c r="M5170" s="7" t="str">
        <f t="shared" si="403"/>
        <v/>
      </c>
      <c r="N5170" s="7" t="str">
        <f t="shared" si="407"/>
        <v/>
      </c>
      <c r="O5170" s="8"/>
      <c r="P5170" s="26"/>
      <c r="S5170" s="10" t="str">
        <f t="shared" si="404"/>
        <v/>
      </c>
    </row>
    <row r="5171" spans="5:19" x14ac:dyDescent="0.3">
      <c r="E5171" s="9" t="str">
        <f>IF(DADOS!C5171="","",DADOS!C5171)</f>
        <v/>
      </c>
      <c r="F5171" s="9" t="str">
        <f>IF(DADOS!E5171="","",DADOS!E5171)</f>
        <v/>
      </c>
      <c r="G5171" s="9" t="str">
        <f>IF(DADOS!F5171="","",DADOS!F5171)</f>
        <v/>
      </c>
      <c r="K5171" s="6" t="str">
        <f t="shared" si="405"/>
        <v/>
      </c>
      <c r="L5171" s="7" t="str">
        <f t="shared" si="406"/>
        <v/>
      </c>
      <c r="M5171" s="7" t="str">
        <f t="shared" si="403"/>
        <v/>
      </c>
      <c r="N5171" s="7" t="str">
        <f t="shared" si="407"/>
        <v/>
      </c>
      <c r="O5171" s="8"/>
      <c r="P5171" s="26"/>
      <c r="S5171" s="10" t="str">
        <f t="shared" si="404"/>
        <v/>
      </c>
    </row>
    <row r="5172" spans="5:19" x14ac:dyDescent="0.3">
      <c r="E5172" s="9" t="str">
        <f>IF(DADOS!C5172="","",DADOS!C5172)</f>
        <v/>
      </c>
      <c r="F5172" s="9" t="str">
        <f>IF(DADOS!E5172="","",DADOS!E5172)</f>
        <v/>
      </c>
      <c r="G5172" s="9" t="str">
        <f>IF(DADOS!F5172="","",DADOS!F5172)</f>
        <v/>
      </c>
      <c r="K5172" s="6" t="str">
        <f t="shared" si="405"/>
        <v/>
      </c>
      <c r="L5172" s="7" t="str">
        <f t="shared" si="406"/>
        <v/>
      </c>
      <c r="M5172" s="7" t="str">
        <f t="shared" si="403"/>
        <v/>
      </c>
      <c r="N5172" s="7" t="str">
        <f t="shared" si="407"/>
        <v/>
      </c>
      <c r="O5172" s="8"/>
      <c r="P5172" s="26"/>
      <c r="S5172" s="10" t="str">
        <f t="shared" si="404"/>
        <v/>
      </c>
    </row>
    <row r="5173" spans="5:19" x14ac:dyDescent="0.3">
      <c r="E5173" s="9" t="str">
        <f>IF(DADOS!C5173="","",DADOS!C5173)</f>
        <v/>
      </c>
      <c r="F5173" s="9" t="str">
        <f>IF(DADOS!E5173="","",DADOS!E5173)</f>
        <v/>
      </c>
      <c r="G5173" s="9" t="str">
        <f>IF(DADOS!F5173="","",DADOS!F5173)</f>
        <v/>
      </c>
      <c r="K5173" s="6" t="str">
        <f t="shared" si="405"/>
        <v/>
      </c>
      <c r="L5173" s="7" t="str">
        <f t="shared" si="406"/>
        <v/>
      </c>
      <c r="M5173" s="7" t="str">
        <f t="shared" si="403"/>
        <v/>
      </c>
      <c r="N5173" s="7" t="str">
        <f t="shared" si="407"/>
        <v/>
      </c>
      <c r="O5173" s="8"/>
      <c r="P5173" s="26"/>
      <c r="S5173" s="10" t="str">
        <f t="shared" si="404"/>
        <v/>
      </c>
    </row>
    <row r="5174" spans="5:19" x14ac:dyDescent="0.3">
      <c r="E5174" s="9" t="str">
        <f>IF(DADOS!C5174="","",DADOS!C5174)</f>
        <v/>
      </c>
      <c r="F5174" s="9" t="str">
        <f>IF(DADOS!E5174="","",DADOS!E5174)</f>
        <v/>
      </c>
      <c r="G5174" s="9" t="str">
        <f>IF(DADOS!F5174="","",DADOS!F5174)</f>
        <v/>
      </c>
      <c r="K5174" s="6" t="str">
        <f t="shared" si="405"/>
        <v/>
      </c>
      <c r="L5174" s="7" t="str">
        <f t="shared" si="406"/>
        <v/>
      </c>
      <c r="M5174" s="7" t="str">
        <f t="shared" si="403"/>
        <v/>
      </c>
      <c r="N5174" s="7" t="str">
        <f t="shared" si="407"/>
        <v/>
      </c>
      <c r="O5174" s="8"/>
      <c r="P5174" s="26"/>
      <c r="S5174" s="10" t="str">
        <f t="shared" si="404"/>
        <v/>
      </c>
    </row>
    <row r="5175" spans="5:19" x14ac:dyDescent="0.3">
      <c r="E5175" s="9" t="str">
        <f>IF(DADOS!C5175="","",DADOS!C5175)</f>
        <v/>
      </c>
      <c r="F5175" s="9" t="str">
        <f>IF(DADOS!E5175="","",DADOS!E5175)</f>
        <v/>
      </c>
      <c r="G5175" s="9" t="str">
        <f>IF(DADOS!F5175="","",DADOS!F5175)</f>
        <v/>
      </c>
      <c r="K5175" s="6" t="str">
        <f t="shared" si="405"/>
        <v/>
      </c>
      <c r="L5175" s="7" t="str">
        <f t="shared" si="406"/>
        <v/>
      </c>
      <c r="M5175" s="7" t="str">
        <f t="shared" si="403"/>
        <v/>
      </c>
      <c r="N5175" s="7" t="str">
        <f t="shared" si="407"/>
        <v/>
      </c>
      <c r="O5175" s="8"/>
      <c r="P5175" s="26"/>
      <c r="S5175" s="10" t="str">
        <f t="shared" si="404"/>
        <v/>
      </c>
    </row>
    <row r="5176" spans="5:19" x14ac:dyDescent="0.3">
      <c r="E5176" s="9" t="str">
        <f>IF(DADOS!C5176="","",DADOS!C5176)</f>
        <v/>
      </c>
      <c r="F5176" s="9" t="str">
        <f>IF(DADOS!E5176="","",DADOS!E5176)</f>
        <v/>
      </c>
      <c r="G5176" s="9" t="str">
        <f>IF(DADOS!F5176="","",DADOS!F5176)</f>
        <v/>
      </c>
      <c r="K5176" s="6" t="str">
        <f t="shared" si="405"/>
        <v/>
      </c>
      <c r="L5176" s="7" t="str">
        <f t="shared" si="406"/>
        <v/>
      </c>
      <c r="M5176" s="7" t="str">
        <f t="shared" si="403"/>
        <v/>
      </c>
      <c r="N5176" s="7" t="str">
        <f t="shared" si="407"/>
        <v/>
      </c>
      <c r="O5176" s="8"/>
      <c r="P5176" s="26"/>
      <c r="S5176" s="10" t="str">
        <f t="shared" si="404"/>
        <v/>
      </c>
    </row>
    <row r="5177" spans="5:19" x14ac:dyDescent="0.3">
      <c r="E5177" s="9" t="str">
        <f>IF(DADOS!C5177="","",DADOS!C5177)</f>
        <v/>
      </c>
      <c r="F5177" s="9" t="str">
        <f>IF(DADOS!E5177="","",DADOS!E5177)</f>
        <v/>
      </c>
      <c r="G5177" s="9" t="str">
        <f>IF(DADOS!F5177="","",DADOS!F5177)</f>
        <v/>
      </c>
      <c r="K5177" s="6" t="str">
        <f t="shared" si="405"/>
        <v/>
      </c>
      <c r="L5177" s="7" t="str">
        <f t="shared" si="406"/>
        <v/>
      </c>
      <c r="M5177" s="7" t="str">
        <f t="shared" si="403"/>
        <v/>
      </c>
      <c r="N5177" s="7" t="str">
        <f t="shared" si="407"/>
        <v/>
      </c>
      <c r="O5177" s="8"/>
      <c r="P5177" s="26"/>
      <c r="S5177" s="10" t="str">
        <f t="shared" si="404"/>
        <v/>
      </c>
    </row>
    <row r="5178" spans="5:19" x14ac:dyDescent="0.3">
      <c r="E5178" s="9" t="str">
        <f>IF(DADOS!C5178="","",DADOS!C5178)</f>
        <v/>
      </c>
      <c r="F5178" s="9" t="str">
        <f>IF(DADOS!E5178="","",DADOS!E5178)</f>
        <v/>
      </c>
      <c r="G5178" s="9" t="str">
        <f>IF(DADOS!F5178="","",DADOS!F5178)</f>
        <v/>
      </c>
      <c r="K5178" s="6" t="str">
        <f t="shared" si="405"/>
        <v/>
      </c>
      <c r="L5178" s="7" t="str">
        <f t="shared" si="406"/>
        <v/>
      </c>
      <c r="M5178" s="7" t="str">
        <f t="shared" si="403"/>
        <v/>
      </c>
      <c r="N5178" s="7" t="str">
        <f t="shared" si="407"/>
        <v/>
      </c>
      <c r="O5178" s="8"/>
      <c r="P5178" s="26"/>
      <c r="S5178" s="10" t="str">
        <f t="shared" si="404"/>
        <v/>
      </c>
    </row>
    <row r="5179" spans="5:19" x14ac:dyDescent="0.3">
      <c r="E5179" s="9" t="str">
        <f>IF(DADOS!C5179="","",DADOS!C5179)</f>
        <v/>
      </c>
      <c r="F5179" s="9" t="str">
        <f>IF(DADOS!E5179="","",DADOS!E5179)</f>
        <v/>
      </c>
      <c r="G5179" s="9" t="str">
        <f>IF(DADOS!F5179="","",DADOS!F5179)</f>
        <v/>
      </c>
      <c r="K5179" s="6" t="str">
        <f t="shared" si="405"/>
        <v/>
      </c>
      <c r="L5179" s="7" t="str">
        <f t="shared" si="406"/>
        <v/>
      </c>
      <c r="M5179" s="7" t="str">
        <f t="shared" si="403"/>
        <v/>
      </c>
      <c r="N5179" s="7" t="str">
        <f t="shared" si="407"/>
        <v/>
      </c>
      <c r="O5179" s="8"/>
      <c r="P5179" s="26"/>
      <c r="S5179" s="10" t="str">
        <f t="shared" si="404"/>
        <v/>
      </c>
    </row>
    <row r="5180" spans="5:19" x14ac:dyDescent="0.3">
      <c r="E5180" s="9" t="str">
        <f>IF(DADOS!C5180="","",DADOS!C5180)</f>
        <v/>
      </c>
      <c r="F5180" s="9" t="str">
        <f>IF(DADOS!E5180="","",DADOS!E5180)</f>
        <v/>
      </c>
      <c r="G5180" s="9" t="str">
        <f>IF(DADOS!F5180="","",DADOS!F5180)</f>
        <v/>
      </c>
      <c r="K5180" s="6" t="str">
        <f t="shared" si="405"/>
        <v/>
      </c>
      <c r="L5180" s="7" t="str">
        <f t="shared" si="406"/>
        <v/>
      </c>
      <c r="M5180" s="7" t="str">
        <f t="shared" si="403"/>
        <v/>
      </c>
      <c r="N5180" s="7" t="str">
        <f t="shared" si="407"/>
        <v/>
      </c>
      <c r="O5180" s="8"/>
      <c r="P5180" s="26"/>
      <c r="S5180" s="10" t="str">
        <f t="shared" si="404"/>
        <v/>
      </c>
    </row>
    <row r="5181" spans="5:19" x14ac:dyDescent="0.3">
      <c r="E5181" s="9" t="str">
        <f>IF(DADOS!C5181="","",DADOS!C5181)</f>
        <v/>
      </c>
      <c r="F5181" s="9" t="str">
        <f>IF(DADOS!E5181="","",DADOS!E5181)</f>
        <v/>
      </c>
      <c r="G5181" s="9" t="str">
        <f>IF(DADOS!F5181="","",DADOS!F5181)</f>
        <v/>
      </c>
      <c r="K5181" s="6" t="str">
        <f t="shared" si="405"/>
        <v/>
      </c>
      <c r="L5181" s="7" t="str">
        <f t="shared" si="406"/>
        <v/>
      </c>
      <c r="M5181" s="7" t="str">
        <f t="shared" si="403"/>
        <v/>
      </c>
      <c r="N5181" s="7" t="str">
        <f t="shared" si="407"/>
        <v/>
      </c>
      <c r="O5181" s="8"/>
      <c r="P5181" s="26"/>
      <c r="S5181" s="10" t="str">
        <f t="shared" si="404"/>
        <v/>
      </c>
    </row>
    <row r="5182" spans="5:19" x14ac:dyDescent="0.3">
      <c r="E5182" s="9" t="str">
        <f>IF(DADOS!C5182="","",DADOS!C5182)</f>
        <v/>
      </c>
      <c r="F5182" s="9" t="str">
        <f>IF(DADOS!E5182="","",DADOS!E5182)</f>
        <v/>
      </c>
      <c r="G5182" s="9" t="str">
        <f>IF(DADOS!F5182="","",DADOS!F5182)</f>
        <v/>
      </c>
      <c r="K5182" s="6" t="str">
        <f t="shared" si="405"/>
        <v/>
      </c>
      <c r="L5182" s="7" t="str">
        <f t="shared" si="406"/>
        <v/>
      </c>
      <c r="M5182" s="7" t="str">
        <f t="shared" si="403"/>
        <v/>
      </c>
      <c r="N5182" s="7" t="str">
        <f t="shared" si="407"/>
        <v/>
      </c>
      <c r="O5182" s="8"/>
      <c r="P5182" s="26"/>
      <c r="S5182" s="10" t="str">
        <f t="shared" si="404"/>
        <v/>
      </c>
    </row>
    <row r="5183" spans="5:19" x14ac:dyDescent="0.3">
      <c r="E5183" s="9" t="str">
        <f>IF(DADOS!C5183="","",DADOS!C5183)</f>
        <v/>
      </c>
      <c r="F5183" s="9" t="str">
        <f>IF(DADOS!E5183="","",DADOS!E5183)</f>
        <v/>
      </c>
      <c r="G5183" s="9" t="str">
        <f>IF(DADOS!F5183="","",DADOS!F5183)</f>
        <v/>
      </c>
      <c r="K5183" s="6" t="str">
        <f t="shared" si="405"/>
        <v/>
      </c>
      <c r="L5183" s="7" t="str">
        <f t="shared" si="406"/>
        <v/>
      </c>
      <c r="M5183" s="7" t="str">
        <f t="shared" si="403"/>
        <v/>
      </c>
      <c r="N5183" s="7" t="str">
        <f t="shared" si="407"/>
        <v/>
      </c>
      <c r="O5183" s="8"/>
      <c r="P5183" s="26"/>
      <c r="S5183" s="10" t="str">
        <f t="shared" si="404"/>
        <v/>
      </c>
    </row>
    <row r="5184" spans="5:19" x14ac:dyDescent="0.3">
      <c r="E5184" s="9" t="str">
        <f>IF(DADOS!C5184="","",DADOS!C5184)</f>
        <v/>
      </c>
      <c r="F5184" s="9" t="str">
        <f>IF(DADOS!E5184="","",DADOS!E5184)</f>
        <v/>
      </c>
      <c r="G5184" s="9" t="str">
        <f>IF(DADOS!F5184="","",DADOS!F5184)</f>
        <v/>
      </c>
      <c r="K5184" s="6" t="str">
        <f t="shared" si="405"/>
        <v/>
      </c>
      <c r="L5184" s="7" t="str">
        <f t="shared" si="406"/>
        <v/>
      </c>
      <c r="M5184" s="7" t="str">
        <f t="shared" si="403"/>
        <v/>
      </c>
      <c r="N5184" s="7" t="str">
        <f t="shared" si="407"/>
        <v/>
      </c>
      <c r="O5184" s="8"/>
      <c r="P5184" s="26"/>
      <c r="S5184" s="10" t="str">
        <f t="shared" si="404"/>
        <v/>
      </c>
    </row>
    <row r="5185" spans="5:19" x14ac:dyDescent="0.3">
      <c r="E5185" s="9" t="str">
        <f>IF(DADOS!C5185="","",DADOS!C5185)</f>
        <v/>
      </c>
      <c r="F5185" s="9" t="str">
        <f>IF(DADOS!E5185="","",DADOS!E5185)</f>
        <v/>
      </c>
      <c r="G5185" s="9" t="str">
        <f>IF(DADOS!F5185="","",DADOS!F5185)</f>
        <v/>
      </c>
      <c r="K5185" s="6" t="str">
        <f t="shared" si="405"/>
        <v/>
      </c>
      <c r="L5185" s="7" t="str">
        <f t="shared" si="406"/>
        <v/>
      </c>
      <c r="M5185" s="7" t="str">
        <f t="shared" si="403"/>
        <v/>
      </c>
      <c r="N5185" s="7" t="str">
        <f t="shared" si="407"/>
        <v/>
      </c>
      <c r="O5185" s="8"/>
      <c r="P5185" s="26"/>
      <c r="S5185" s="10" t="str">
        <f t="shared" si="404"/>
        <v/>
      </c>
    </row>
    <row r="5186" spans="5:19" x14ac:dyDescent="0.3">
      <c r="E5186" s="9" t="str">
        <f>IF(DADOS!C5186="","",DADOS!C5186)</f>
        <v/>
      </c>
      <c r="F5186" s="9" t="str">
        <f>IF(DADOS!E5186="","",DADOS!E5186)</f>
        <v/>
      </c>
      <c r="G5186" s="9" t="str">
        <f>IF(DADOS!F5186="","",DADOS!F5186)</f>
        <v/>
      </c>
      <c r="K5186" s="6" t="str">
        <f t="shared" si="405"/>
        <v/>
      </c>
      <c r="L5186" s="7" t="str">
        <f t="shared" si="406"/>
        <v/>
      </c>
      <c r="M5186" s="7" t="str">
        <f t="shared" si="403"/>
        <v/>
      </c>
      <c r="N5186" s="7" t="str">
        <f t="shared" si="407"/>
        <v/>
      </c>
      <c r="O5186" s="8"/>
      <c r="P5186" s="26"/>
      <c r="S5186" s="10" t="str">
        <f t="shared" si="404"/>
        <v/>
      </c>
    </row>
    <row r="5187" spans="5:19" x14ac:dyDescent="0.3">
      <c r="E5187" s="9" t="str">
        <f>IF(DADOS!C5187="","",DADOS!C5187)</f>
        <v/>
      </c>
      <c r="F5187" s="9" t="str">
        <f>IF(DADOS!E5187="","",DADOS!E5187)</f>
        <v/>
      </c>
      <c r="G5187" s="9" t="str">
        <f>IF(DADOS!F5187="","",DADOS!F5187)</f>
        <v/>
      </c>
      <c r="K5187" s="6" t="str">
        <f t="shared" si="405"/>
        <v/>
      </c>
      <c r="L5187" s="7" t="str">
        <f t="shared" si="406"/>
        <v/>
      </c>
      <c r="M5187" s="7" t="str">
        <f t="shared" ref="M5187:M5250" si="408">IF(L5187="","",L5187*G5187)</f>
        <v/>
      </c>
      <c r="N5187" s="7" t="str">
        <f t="shared" si="407"/>
        <v/>
      </c>
      <c r="O5187" s="8"/>
      <c r="P5187" s="26"/>
      <c r="S5187" s="10" t="str">
        <f t="shared" ref="S5187:S5250" si="409">IF(R5187="","",SUMIFS($N$3:$N$10000,$E$3:$E$10000,R5187))</f>
        <v/>
      </c>
    </row>
    <row r="5188" spans="5:19" x14ac:dyDescent="0.3">
      <c r="E5188" s="9" t="str">
        <f>IF(DADOS!C5188="","",DADOS!C5188)</f>
        <v/>
      </c>
      <c r="F5188" s="9" t="str">
        <f>IF(DADOS!E5188="","",DADOS!E5188)</f>
        <v/>
      </c>
      <c r="G5188" s="9" t="str">
        <f>IF(DADOS!F5188="","",DADOS!F5188)</f>
        <v/>
      </c>
      <c r="K5188" s="6" t="str">
        <f t="shared" ref="K5188:K5251" si="410">IF(F5188="","",F5188/PI())</f>
        <v/>
      </c>
      <c r="L5188" s="7" t="str">
        <f t="shared" ref="L5188:L5251" si="411">IF(K5188="","",(PI()*K5188^2)/40000)</f>
        <v/>
      </c>
      <c r="M5188" s="7" t="str">
        <f t="shared" si="408"/>
        <v/>
      </c>
      <c r="N5188" s="7" t="str">
        <f t="shared" ref="N5188:N5251" si="412">IF(M5188="","",M5188*N$1)</f>
        <v/>
      </c>
      <c r="O5188" s="8"/>
      <c r="P5188" s="26"/>
      <c r="S5188" s="10" t="str">
        <f t="shared" si="409"/>
        <v/>
      </c>
    </row>
    <row r="5189" spans="5:19" x14ac:dyDescent="0.3">
      <c r="E5189" s="9" t="str">
        <f>IF(DADOS!C5189="","",DADOS!C5189)</f>
        <v/>
      </c>
      <c r="F5189" s="9" t="str">
        <f>IF(DADOS!E5189="","",DADOS!E5189)</f>
        <v/>
      </c>
      <c r="G5189" s="9" t="str">
        <f>IF(DADOS!F5189="","",DADOS!F5189)</f>
        <v/>
      </c>
      <c r="K5189" s="6" t="str">
        <f t="shared" si="410"/>
        <v/>
      </c>
      <c r="L5189" s="7" t="str">
        <f t="shared" si="411"/>
        <v/>
      </c>
      <c r="M5189" s="7" t="str">
        <f t="shared" si="408"/>
        <v/>
      </c>
      <c r="N5189" s="7" t="str">
        <f t="shared" si="412"/>
        <v/>
      </c>
      <c r="O5189" s="8"/>
      <c r="P5189" s="26"/>
      <c r="S5189" s="10" t="str">
        <f t="shared" si="409"/>
        <v/>
      </c>
    </row>
    <row r="5190" spans="5:19" x14ac:dyDescent="0.3">
      <c r="E5190" s="9" t="str">
        <f>IF(DADOS!C5190="","",DADOS!C5190)</f>
        <v/>
      </c>
      <c r="F5190" s="9" t="str">
        <f>IF(DADOS!E5190="","",DADOS!E5190)</f>
        <v/>
      </c>
      <c r="G5190" s="9" t="str">
        <f>IF(DADOS!F5190="","",DADOS!F5190)</f>
        <v/>
      </c>
      <c r="K5190" s="6" t="str">
        <f t="shared" si="410"/>
        <v/>
      </c>
      <c r="L5190" s="7" t="str">
        <f t="shared" si="411"/>
        <v/>
      </c>
      <c r="M5190" s="7" t="str">
        <f t="shared" si="408"/>
        <v/>
      </c>
      <c r="N5190" s="7" t="str">
        <f t="shared" si="412"/>
        <v/>
      </c>
      <c r="O5190" s="8"/>
      <c r="P5190" s="26"/>
      <c r="S5190" s="10" t="str">
        <f t="shared" si="409"/>
        <v/>
      </c>
    </row>
    <row r="5191" spans="5:19" x14ac:dyDescent="0.3">
      <c r="E5191" s="9" t="str">
        <f>IF(DADOS!C5191="","",DADOS!C5191)</f>
        <v/>
      </c>
      <c r="F5191" s="9" t="str">
        <f>IF(DADOS!E5191="","",DADOS!E5191)</f>
        <v/>
      </c>
      <c r="G5191" s="9" t="str">
        <f>IF(DADOS!F5191="","",DADOS!F5191)</f>
        <v/>
      </c>
      <c r="K5191" s="6" t="str">
        <f t="shared" si="410"/>
        <v/>
      </c>
      <c r="L5191" s="7" t="str">
        <f t="shared" si="411"/>
        <v/>
      </c>
      <c r="M5191" s="7" t="str">
        <f t="shared" si="408"/>
        <v/>
      </c>
      <c r="N5191" s="7" t="str">
        <f t="shared" si="412"/>
        <v/>
      </c>
      <c r="O5191" s="8"/>
      <c r="P5191" s="26"/>
      <c r="S5191" s="10" t="str">
        <f t="shared" si="409"/>
        <v/>
      </c>
    </row>
    <row r="5192" spans="5:19" x14ac:dyDescent="0.3">
      <c r="E5192" s="9" t="str">
        <f>IF(DADOS!C5192="","",DADOS!C5192)</f>
        <v/>
      </c>
      <c r="F5192" s="9" t="str">
        <f>IF(DADOS!E5192="","",DADOS!E5192)</f>
        <v/>
      </c>
      <c r="G5192" s="9" t="str">
        <f>IF(DADOS!F5192="","",DADOS!F5192)</f>
        <v/>
      </c>
      <c r="K5192" s="6" t="str">
        <f t="shared" si="410"/>
        <v/>
      </c>
      <c r="L5192" s="7" t="str">
        <f t="shared" si="411"/>
        <v/>
      </c>
      <c r="M5192" s="7" t="str">
        <f t="shared" si="408"/>
        <v/>
      </c>
      <c r="N5192" s="7" t="str">
        <f t="shared" si="412"/>
        <v/>
      </c>
      <c r="O5192" s="8"/>
      <c r="P5192" s="26"/>
      <c r="S5192" s="10" t="str">
        <f t="shared" si="409"/>
        <v/>
      </c>
    </row>
    <row r="5193" spans="5:19" x14ac:dyDescent="0.3">
      <c r="E5193" s="9" t="str">
        <f>IF(DADOS!C5193="","",DADOS!C5193)</f>
        <v/>
      </c>
      <c r="F5193" s="9" t="str">
        <f>IF(DADOS!E5193="","",DADOS!E5193)</f>
        <v/>
      </c>
      <c r="G5193" s="9" t="str">
        <f>IF(DADOS!F5193="","",DADOS!F5193)</f>
        <v/>
      </c>
      <c r="K5193" s="6" t="str">
        <f t="shared" si="410"/>
        <v/>
      </c>
      <c r="L5193" s="7" t="str">
        <f t="shared" si="411"/>
        <v/>
      </c>
      <c r="M5193" s="7" t="str">
        <f t="shared" si="408"/>
        <v/>
      </c>
      <c r="N5193" s="7" t="str">
        <f t="shared" si="412"/>
        <v/>
      </c>
      <c r="O5193" s="8"/>
      <c r="P5193" s="26"/>
      <c r="S5193" s="10" t="str">
        <f t="shared" si="409"/>
        <v/>
      </c>
    </row>
    <row r="5194" spans="5:19" x14ac:dyDescent="0.3">
      <c r="E5194" s="9" t="str">
        <f>IF(DADOS!C5194="","",DADOS!C5194)</f>
        <v/>
      </c>
      <c r="F5194" s="9" t="str">
        <f>IF(DADOS!E5194="","",DADOS!E5194)</f>
        <v/>
      </c>
      <c r="G5194" s="9" t="str">
        <f>IF(DADOS!F5194="","",DADOS!F5194)</f>
        <v/>
      </c>
      <c r="K5194" s="6" t="str">
        <f t="shared" si="410"/>
        <v/>
      </c>
      <c r="L5194" s="7" t="str">
        <f t="shared" si="411"/>
        <v/>
      </c>
      <c r="M5194" s="7" t="str">
        <f t="shared" si="408"/>
        <v/>
      </c>
      <c r="N5194" s="7" t="str">
        <f t="shared" si="412"/>
        <v/>
      </c>
      <c r="O5194" s="8"/>
      <c r="P5194" s="26"/>
      <c r="S5194" s="10" t="str">
        <f t="shared" si="409"/>
        <v/>
      </c>
    </row>
    <row r="5195" spans="5:19" x14ac:dyDescent="0.3">
      <c r="E5195" s="9" t="str">
        <f>IF(DADOS!C5195="","",DADOS!C5195)</f>
        <v/>
      </c>
      <c r="F5195" s="9" t="str">
        <f>IF(DADOS!E5195="","",DADOS!E5195)</f>
        <v/>
      </c>
      <c r="G5195" s="9" t="str">
        <f>IF(DADOS!F5195="","",DADOS!F5195)</f>
        <v/>
      </c>
      <c r="K5195" s="6" t="str">
        <f t="shared" si="410"/>
        <v/>
      </c>
      <c r="L5195" s="7" t="str">
        <f t="shared" si="411"/>
        <v/>
      </c>
      <c r="M5195" s="7" t="str">
        <f t="shared" si="408"/>
        <v/>
      </c>
      <c r="N5195" s="7" t="str">
        <f t="shared" si="412"/>
        <v/>
      </c>
      <c r="O5195" s="8"/>
      <c r="P5195" s="26"/>
      <c r="S5195" s="10" t="str">
        <f t="shared" si="409"/>
        <v/>
      </c>
    </row>
    <row r="5196" spans="5:19" x14ac:dyDescent="0.3">
      <c r="E5196" s="9" t="str">
        <f>IF(DADOS!C5196="","",DADOS!C5196)</f>
        <v/>
      </c>
      <c r="F5196" s="9" t="str">
        <f>IF(DADOS!E5196="","",DADOS!E5196)</f>
        <v/>
      </c>
      <c r="G5196" s="9" t="str">
        <f>IF(DADOS!F5196="","",DADOS!F5196)</f>
        <v/>
      </c>
      <c r="K5196" s="6" t="str">
        <f t="shared" si="410"/>
        <v/>
      </c>
      <c r="L5196" s="7" t="str">
        <f t="shared" si="411"/>
        <v/>
      </c>
      <c r="M5196" s="7" t="str">
        <f t="shared" si="408"/>
        <v/>
      </c>
      <c r="N5196" s="7" t="str">
        <f t="shared" si="412"/>
        <v/>
      </c>
      <c r="O5196" s="8"/>
      <c r="P5196" s="26"/>
      <c r="S5196" s="10" t="str">
        <f t="shared" si="409"/>
        <v/>
      </c>
    </row>
    <row r="5197" spans="5:19" x14ac:dyDescent="0.3">
      <c r="E5197" s="9" t="str">
        <f>IF(DADOS!C5197="","",DADOS!C5197)</f>
        <v/>
      </c>
      <c r="F5197" s="9" t="str">
        <f>IF(DADOS!E5197="","",DADOS!E5197)</f>
        <v/>
      </c>
      <c r="G5197" s="9" t="str">
        <f>IF(DADOS!F5197="","",DADOS!F5197)</f>
        <v/>
      </c>
      <c r="K5197" s="6" t="str">
        <f t="shared" si="410"/>
        <v/>
      </c>
      <c r="L5197" s="7" t="str">
        <f t="shared" si="411"/>
        <v/>
      </c>
      <c r="M5197" s="7" t="str">
        <f t="shared" si="408"/>
        <v/>
      </c>
      <c r="N5197" s="7" t="str">
        <f t="shared" si="412"/>
        <v/>
      </c>
      <c r="O5197" s="8"/>
      <c r="P5197" s="26"/>
      <c r="S5197" s="10" t="str">
        <f t="shared" si="409"/>
        <v/>
      </c>
    </row>
    <row r="5198" spans="5:19" x14ac:dyDescent="0.3">
      <c r="E5198" s="9" t="str">
        <f>IF(DADOS!C5198="","",DADOS!C5198)</f>
        <v/>
      </c>
      <c r="F5198" s="9" t="str">
        <f>IF(DADOS!E5198="","",DADOS!E5198)</f>
        <v/>
      </c>
      <c r="G5198" s="9" t="str">
        <f>IF(DADOS!F5198="","",DADOS!F5198)</f>
        <v/>
      </c>
      <c r="K5198" s="6" t="str">
        <f t="shared" si="410"/>
        <v/>
      </c>
      <c r="L5198" s="7" t="str">
        <f t="shared" si="411"/>
        <v/>
      </c>
      <c r="M5198" s="7" t="str">
        <f t="shared" si="408"/>
        <v/>
      </c>
      <c r="N5198" s="7" t="str">
        <f t="shared" si="412"/>
        <v/>
      </c>
      <c r="O5198" s="8"/>
      <c r="P5198" s="26"/>
      <c r="S5198" s="10" t="str">
        <f t="shared" si="409"/>
        <v/>
      </c>
    </row>
    <row r="5199" spans="5:19" x14ac:dyDescent="0.3">
      <c r="E5199" s="9" t="str">
        <f>IF(DADOS!C5199="","",DADOS!C5199)</f>
        <v/>
      </c>
      <c r="F5199" s="9" t="str">
        <f>IF(DADOS!E5199="","",DADOS!E5199)</f>
        <v/>
      </c>
      <c r="G5199" s="9" t="str">
        <f>IF(DADOS!F5199="","",DADOS!F5199)</f>
        <v/>
      </c>
      <c r="K5199" s="6" t="str">
        <f t="shared" si="410"/>
        <v/>
      </c>
      <c r="L5199" s="7" t="str">
        <f t="shared" si="411"/>
        <v/>
      </c>
      <c r="M5199" s="7" t="str">
        <f t="shared" si="408"/>
        <v/>
      </c>
      <c r="N5199" s="7" t="str">
        <f t="shared" si="412"/>
        <v/>
      </c>
      <c r="O5199" s="8"/>
      <c r="P5199" s="26"/>
      <c r="S5199" s="10" t="str">
        <f t="shared" si="409"/>
        <v/>
      </c>
    </row>
    <row r="5200" spans="5:19" x14ac:dyDescent="0.3">
      <c r="E5200" s="9" t="str">
        <f>IF(DADOS!C5200="","",DADOS!C5200)</f>
        <v/>
      </c>
      <c r="F5200" s="9" t="str">
        <f>IF(DADOS!E5200="","",DADOS!E5200)</f>
        <v/>
      </c>
      <c r="G5200" s="9" t="str">
        <f>IF(DADOS!F5200="","",DADOS!F5200)</f>
        <v/>
      </c>
      <c r="K5200" s="6" t="str">
        <f t="shared" si="410"/>
        <v/>
      </c>
      <c r="L5200" s="7" t="str">
        <f t="shared" si="411"/>
        <v/>
      </c>
      <c r="M5200" s="7" t="str">
        <f t="shared" si="408"/>
        <v/>
      </c>
      <c r="N5200" s="7" t="str">
        <f t="shared" si="412"/>
        <v/>
      </c>
      <c r="O5200" s="8"/>
      <c r="P5200" s="26"/>
      <c r="S5200" s="10" t="str">
        <f t="shared" si="409"/>
        <v/>
      </c>
    </row>
    <row r="5201" spans="5:19" x14ac:dyDescent="0.3">
      <c r="E5201" s="9" t="str">
        <f>IF(DADOS!C5201="","",DADOS!C5201)</f>
        <v/>
      </c>
      <c r="F5201" s="9" t="str">
        <f>IF(DADOS!E5201="","",DADOS!E5201)</f>
        <v/>
      </c>
      <c r="G5201" s="9" t="str">
        <f>IF(DADOS!F5201="","",DADOS!F5201)</f>
        <v/>
      </c>
      <c r="K5201" s="6" t="str">
        <f t="shared" si="410"/>
        <v/>
      </c>
      <c r="L5201" s="7" t="str">
        <f t="shared" si="411"/>
        <v/>
      </c>
      <c r="M5201" s="7" t="str">
        <f t="shared" si="408"/>
        <v/>
      </c>
      <c r="N5201" s="7" t="str">
        <f t="shared" si="412"/>
        <v/>
      </c>
      <c r="O5201" s="8"/>
      <c r="P5201" s="26"/>
      <c r="S5201" s="10" t="str">
        <f t="shared" si="409"/>
        <v/>
      </c>
    </row>
    <row r="5202" spans="5:19" x14ac:dyDescent="0.3">
      <c r="E5202" s="9" t="str">
        <f>IF(DADOS!C5202="","",DADOS!C5202)</f>
        <v/>
      </c>
      <c r="F5202" s="9" t="str">
        <f>IF(DADOS!E5202="","",DADOS!E5202)</f>
        <v/>
      </c>
      <c r="G5202" s="9" t="str">
        <f>IF(DADOS!F5202="","",DADOS!F5202)</f>
        <v/>
      </c>
      <c r="K5202" s="6" t="str">
        <f t="shared" si="410"/>
        <v/>
      </c>
      <c r="L5202" s="7" t="str">
        <f t="shared" si="411"/>
        <v/>
      </c>
      <c r="M5202" s="7" t="str">
        <f t="shared" si="408"/>
        <v/>
      </c>
      <c r="N5202" s="7" t="str">
        <f t="shared" si="412"/>
        <v/>
      </c>
      <c r="O5202" s="8"/>
      <c r="P5202" s="26"/>
      <c r="S5202" s="10" t="str">
        <f t="shared" si="409"/>
        <v/>
      </c>
    </row>
    <row r="5203" spans="5:19" x14ac:dyDescent="0.3">
      <c r="E5203" s="9" t="str">
        <f>IF(DADOS!C5203="","",DADOS!C5203)</f>
        <v/>
      </c>
      <c r="F5203" s="9" t="str">
        <f>IF(DADOS!E5203="","",DADOS!E5203)</f>
        <v/>
      </c>
      <c r="G5203" s="9" t="str">
        <f>IF(DADOS!F5203="","",DADOS!F5203)</f>
        <v/>
      </c>
      <c r="K5203" s="6" t="str">
        <f t="shared" si="410"/>
        <v/>
      </c>
      <c r="L5203" s="7" t="str">
        <f t="shared" si="411"/>
        <v/>
      </c>
      <c r="M5203" s="7" t="str">
        <f t="shared" si="408"/>
        <v/>
      </c>
      <c r="N5203" s="7" t="str">
        <f t="shared" si="412"/>
        <v/>
      </c>
      <c r="O5203" s="8"/>
      <c r="P5203" s="26"/>
      <c r="S5203" s="10" t="str">
        <f t="shared" si="409"/>
        <v/>
      </c>
    </row>
    <row r="5204" spans="5:19" x14ac:dyDescent="0.3">
      <c r="E5204" s="9" t="str">
        <f>IF(DADOS!C5204="","",DADOS!C5204)</f>
        <v/>
      </c>
      <c r="F5204" s="9" t="str">
        <f>IF(DADOS!E5204="","",DADOS!E5204)</f>
        <v/>
      </c>
      <c r="G5204" s="9" t="str">
        <f>IF(DADOS!F5204="","",DADOS!F5204)</f>
        <v/>
      </c>
      <c r="K5204" s="6" t="str">
        <f t="shared" si="410"/>
        <v/>
      </c>
      <c r="L5204" s="7" t="str">
        <f t="shared" si="411"/>
        <v/>
      </c>
      <c r="M5204" s="7" t="str">
        <f t="shared" si="408"/>
        <v/>
      </c>
      <c r="N5204" s="7" t="str">
        <f t="shared" si="412"/>
        <v/>
      </c>
      <c r="O5204" s="8"/>
      <c r="P5204" s="26"/>
      <c r="S5204" s="10" t="str">
        <f t="shared" si="409"/>
        <v/>
      </c>
    </row>
    <row r="5205" spans="5:19" x14ac:dyDescent="0.3">
      <c r="E5205" s="9" t="str">
        <f>IF(DADOS!C5205="","",DADOS!C5205)</f>
        <v/>
      </c>
      <c r="F5205" s="9" t="str">
        <f>IF(DADOS!E5205="","",DADOS!E5205)</f>
        <v/>
      </c>
      <c r="G5205" s="9" t="str">
        <f>IF(DADOS!F5205="","",DADOS!F5205)</f>
        <v/>
      </c>
      <c r="K5205" s="6" t="str">
        <f t="shared" si="410"/>
        <v/>
      </c>
      <c r="L5205" s="7" t="str">
        <f t="shared" si="411"/>
        <v/>
      </c>
      <c r="M5205" s="7" t="str">
        <f t="shared" si="408"/>
        <v/>
      </c>
      <c r="N5205" s="7" t="str">
        <f t="shared" si="412"/>
        <v/>
      </c>
      <c r="O5205" s="8"/>
      <c r="P5205" s="26"/>
      <c r="S5205" s="10" t="str">
        <f t="shared" si="409"/>
        <v/>
      </c>
    </row>
    <row r="5206" spans="5:19" x14ac:dyDescent="0.3">
      <c r="E5206" s="9" t="str">
        <f>IF(DADOS!C5206="","",DADOS!C5206)</f>
        <v/>
      </c>
      <c r="F5206" s="9" t="str">
        <f>IF(DADOS!E5206="","",DADOS!E5206)</f>
        <v/>
      </c>
      <c r="G5206" s="9" t="str">
        <f>IF(DADOS!F5206="","",DADOS!F5206)</f>
        <v/>
      </c>
      <c r="K5206" s="6" t="str">
        <f t="shared" si="410"/>
        <v/>
      </c>
      <c r="L5206" s="7" t="str">
        <f t="shared" si="411"/>
        <v/>
      </c>
      <c r="M5206" s="7" t="str">
        <f t="shared" si="408"/>
        <v/>
      </c>
      <c r="N5206" s="7" t="str">
        <f t="shared" si="412"/>
        <v/>
      </c>
      <c r="O5206" s="8"/>
      <c r="P5206" s="26"/>
      <c r="S5206" s="10" t="str">
        <f t="shared" si="409"/>
        <v/>
      </c>
    </row>
    <row r="5207" spans="5:19" x14ac:dyDescent="0.3">
      <c r="E5207" s="9" t="str">
        <f>IF(DADOS!C5207="","",DADOS!C5207)</f>
        <v/>
      </c>
      <c r="F5207" s="9" t="str">
        <f>IF(DADOS!E5207="","",DADOS!E5207)</f>
        <v/>
      </c>
      <c r="G5207" s="9" t="str">
        <f>IF(DADOS!F5207="","",DADOS!F5207)</f>
        <v/>
      </c>
      <c r="K5207" s="6" t="str">
        <f t="shared" si="410"/>
        <v/>
      </c>
      <c r="L5207" s="7" t="str">
        <f t="shared" si="411"/>
        <v/>
      </c>
      <c r="M5207" s="7" t="str">
        <f t="shared" si="408"/>
        <v/>
      </c>
      <c r="N5207" s="7" t="str">
        <f t="shared" si="412"/>
        <v/>
      </c>
      <c r="O5207" s="8"/>
      <c r="P5207" s="26"/>
      <c r="S5207" s="10" t="str">
        <f t="shared" si="409"/>
        <v/>
      </c>
    </row>
    <row r="5208" spans="5:19" x14ac:dyDescent="0.3">
      <c r="E5208" s="9" t="str">
        <f>IF(DADOS!C5208="","",DADOS!C5208)</f>
        <v/>
      </c>
      <c r="F5208" s="9" t="str">
        <f>IF(DADOS!E5208="","",DADOS!E5208)</f>
        <v/>
      </c>
      <c r="G5208" s="9" t="str">
        <f>IF(DADOS!F5208="","",DADOS!F5208)</f>
        <v/>
      </c>
      <c r="K5208" s="6" t="str">
        <f t="shared" si="410"/>
        <v/>
      </c>
      <c r="L5208" s="7" t="str">
        <f t="shared" si="411"/>
        <v/>
      </c>
      <c r="M5208" s="7" t="str">
        <f t="shared" si="408"/>
        <v/>
      </c>
      <c r="N5208" s="7" t="str">
        <f t="shared" si="412"/>
        <v/>
      </c>
      <c r="O5208" s="8"/>
      <c r="P5208" s="26"/>
      <c r="S5208" s="10" t="str">
        <f t="shared" si="409"/>
        <v/>
      </c>
    </row>
    <row r="5209" spans="5:19" x14ac:dyDescent="0.3">
      <c r="E5209" s="9" t="str">
        <f>IF(DADOS!C5209="","",DADOS!C5209)</f>
        <v/>
      </c>
      <c r="F5209" s="9" t="str">
        <f>IF(DADOS!E5209="","",DADOS!E5209)</f>
        <v/>
      </c>
      <c r="G5209" s="9" t="str">
        <f>IF(DADOS!F5209="","",DADOS!F5209)</f>
        <v/>
      </c>
      <c r="K5209" s="6" t="str">
        <f t="shared" si="410"/>
        <v/>
      </c>
      <c r="L5209" s="7" t="str">
        <f t="shared" si="411"/>
        <v/>
      </c>
      <c r="M5209" s="7" t="str">
        <f t="shared" si="408"/>
        <v/>
      </c>
      <c r="N5209" s="7" t="str">
        <f t="shared" si="412"/>
        <v/>
      </c>
      <c r="O5209" s="8"/>
      <c r="P5209" s="26"/>
      <c r="S5209" s="10" t="str">
        <f t="shared" si="409"/>
        <v/>
      </c>
    </row>
    <row r="5210" spans="5:19" x14ac:dyDescent="0.3">
      <c r="E5210" s="9" t="str">
        <f>IF(DADOS!C5210="","",DADOS!C5210)</f>
        <v/>
      </c>
      <c r="F5210" s="9" t="str">
        <f>IF(DADOS!E5210="","",DADOS!E5210)</f>
        <v/>
      </c>
      <c r="G5210" s="9" t="str">
        <f>IF(DADOS!F5210="","",DADOS!F5210)</f>
        <v/>
      </c>
      <c r="K5210" s="6" t="str">
        <f t="shared" si="410"/>
        <v/>
      </c>
      <c r="L5210" s="7" t="str">
        <f t="shared" si="411"/>
        <v/>
      </c>
      <c r="M5210" s="7" t="str">
        <f t="shared" si="408"/>
        <v/>
      </c>
      <c r="N5210" s="7" t="str">
        <f t="shared" si="412"/>
        <v/>
      </c>
      <c r="O5210" s="8"/>
      <c r="P5210" s="26"/>
      <c r="S5210" s="10" t="str">
        <f t="shared" si="409"/>
        <v/>
      </c>
    </row>
    <row r="5211" spans="5:19" x14ac:dyDescent="0.3">
      <c r="E5211" s="9" t="str">
        <f>IF(DADOS!C5211="","",DADOS!C5211)</f>
        <v/>
      </c>
      <c r="F5211" s="9" t="str">
        <f>IF(DADOS!E5211="","",DADOS!E5211)</f>
        <v/>
      </c>
      <c r="G5211" s="9" t="str">
        <f>IF(DADOS!F5211="","",DADOS!F5211)</f>
        <v/>
      </c>
      <c r="K5211" s="6" t="str">
        <f t="shared" si="410"/>
        <v/>
      </c>
      <c r="L5211" s="7" t="str">
        <f t="shared" si="411"/>
        <v/>
      </c>
      <c r="M5211" s="7" t="str">
        <f t="shared" si="408"/>
        <v/>
      </c>
      <c r="N5211" s="7" t="str">
        <f t="shared" si="412"/>
        <v/>
      </c>
      <c r="O5211" s="8"/>
      <c r="P5211" s="26"/>
      <c r="S5211" s="10" t="str">
        <f t="shared" si="409"/>
        <v/>
      </c>
    </row>
    <row r="5212" spans="5:19" x14ac:dyDescent="0.3">
      <c r="E5212" s="9" t="str">
        <f>IF(DADOS!C5212="","",DADOS!C5212)</f>
        <v/>
      </c>
      <c r="F5212" s="9" t="str">
        <f>IF(DADOS!E5212="","",DADOS!E5212)</f>
        <v/>
      </c>
      <c r="G5212" s="9" t="str">
        <f>IF(DADOS!F5212="","",DADOS!F5212)</f>
        <v/>
      </c>
      <c r="K5212" s="6" t="str">
        <f t="shared" si="410"/>
        <v/>
      </c>
      <c r="L5212" s="7" t="str">
        <f t="shared" si="411"/>
        <v/>
      </c>
      <c r="M5212" s="7" t="str">
        <f t="shared" si="408"/>
        <v/>
      </c>
      <c r="N5212" s="7" t="str">
        <f t="shared" si="412"/>
        <v/>
      </c>
      <c r="O5212" s="8"/>
      <c r="P5212" s="26"/>
      <c r="S5212" s="10" t="str">
        <f t="shared" si="409"/>
        <v/>
      </c>
    </row>
    <row r="5213" spans="5:19" x14ac:dyDescent="0.3">
      <c r="E5213" s="9" t="str">
        <f>IF(DADOS!C5213="","",DADOS!C5213)</f>
        <v/>
      </c>
      <c r="F5213" s="9" t="str">
        <f>IF(DADOS!E5213="","",DADOS!E5213)</f>
        <v/>
      </c>
      <c r="G5213" s="9" t="str">
        <f>IF(DADOS!F5213="","",DADOS!F5213)</f>
        <v/>
      </c>
      <c r="K5213" s="6" t="str">
        <f t="shared" si="410"/>
        <v/>
      </c>
      <c r="L5213" s="7" t="str">
        <f t="shared" si="411"/>
        <v/>
      </c>
      <c r="M5213" s="7" t="str">
        <f t="shared" si="408"/>
        <v/>
      </c>
      <c r="N5213" s="7" t="str">
        <f t="shared" si="412"/>
        <v/>
      </c>
      <c r="O5213" s="8"/>
      <c r="P5213" s="26"/>
      <c r="S5213" s="10" t="str">
        <f t="shared" si="409"/>
        <v/>
      </c>
    </row>
    <row r="5214" spans="5:19" x14ac:dyDescent="0.3">
      <c r="E5214" s="9" t="str">
        <f>IF(DADOS!C5214="","",DADOS!C5214)</f>
        <v/>
      </c>
      <c r="F5214" s="9" t="str">
        <f>IF(DADOS!E5214="","",DADOS!E5214)</f>
        <v/>
      </c>
      <c r="G5214" s="9" t="str">
        <f>IF(DADOS!F5214="","",DADOS!F5214)</f>
        <v/>
      </c>
      <c r="K5214" s="6" t="str">
        <f t="shared" si="410"/>
        <v/>
      </c>
      <c r="L5214" s="7" t="str">
        <f t="shared" si="411"/>
        <v/>
      </c>
      <c r="M5214" s="7" t="str">
        <f t="shared" si="408"/>
        <v/>
      </c>
      <c r="N5214" s="7" t="str">
        <f t="shared" si="412"/>
        <v/>
      </c>
      <c r="O5214" s="8"/>
      <c r="P5214" s="26"/>
      <c r="S5214" s="10" t="str">
        <f t="shared" si="409"/>
        <v/>
      </c>
    </row>
    <row r="5215" spans="5:19" x14ac:dyDescent="0.3">
      <c r="E5215" s="9" t="str">
        <f>IF(DADOS!C5215="","",DADOS!C5215)</f>
        <v/>
      </c>
      <c r="F5215" s="9" t="str">
        <f>IF(DADOS!E5215="","",DADOS!E5215)</f>
        <v/>
      </c>
      <c r="G5215" s="9" t="str">
        <f>IF(DADOS!F5215="","",DADOS!F5215)</f>
        <v/>
      </c>
      <c r="K5215" s="6" t="str">
        <f t="shared" si="410"/>
        <v/>
      </c>
      <c r="L5215" s="7" t="str">
        <f t="shared" si="411"/>
        <v/>
      </c>
      <c r="M5215" s="7" t="str">
        <f t="shared" si="408"/>
        <v/>
      </c>
      <c r="N5215" s="7" t="str">
        <f t="shared" si="412"/>
        <v/>
      </c>
      <c r="O5215" s="8"/>
      <c r="P5215" s="26"/>
      <c r="S5215" s="10" t="str">
        <f t="shared" si="409"/>
        <v/>
      </c>
    </row>
    <row r="5216" spans="5:19" x14ac:dyDescent="0.3">
      <c r="E5216" s="9" t="str">
        <f>IF(DADOS!C5216="","",DADOS!C5216)</f>
        <v/>
      </c>
      <c r="F5216" s="9" t="str">
        <f>IF(DADOS!E5216="","",DADOS!E5216)</f>
        <v/>
      </c>
      <c r="G5216" s="9" t="str">
        <f>IF(DADOS!F5216="","",DADOS!F5216)</f>
        <v/>
      </c>
      <c r="K5216" s="6" t="str">
        <f t="shared" si="410"/>
        <v/>
      </c>
      <c r="L5216" s="7" t="str">
        <f t="shared" si="411"/>
        <v/>
      </c>
      <c r="M5216" s="7" t="str">
        <f t="shared" si="408"/>
        <v/>
      </c>
      <c r="N5216" s="7" t="str">
        <f t="shared" si="412"/>
        <v/>
      </c>
      <c r="O5216" s="8"/>
      <c r="P5216" s="26"/>
      <c r="S5216" s="10" t="str">
        <f t="shared" si="409"/>
        <v/>
      </c>
    </row>
    <row r="5217" spans="5:19" x14ac:dyDescent="0.3">
      <c r="E5217" s="9" t="str">
        <f>IF(DADOS!C5217="","",DADOS!C5217)</f>
        <v/>
      </c>
      <c r="F5217" s="9" t="str">
        <f>IF(DADOS!E5217="","",DADOS!E5217)</f>
        <v/>
      </c>
      <c r="G5217" s="9" t="str">
        <f>IF(DADOS!F5217="","",DADOS!F5217)</f>
        <v/>
      </c>
      <c r="K5217" s="6" t="str">
        <f t="shared" si="410"/>
        <v/>
      </c>
      <c r="L5217" s="7" t="str">
        <f t="shared" si="411"/>
        <v/>
      </c>
      <c r="M5217" s="7" t="str">
        <f t="shared" si="408"/>
        <v/>
      </c>
      <c r="N5217" s="7" t="str">
        <f t="shared" si="412"/>
        <v/>
      </c>
      <c r="O5217" s="8"/>
      <c r="P5217" s="26"/>
      <c r="S5217" s="10" t="str">
        <f t="shared" si="409"/>
        <v/>
      </c>
    </row>
    <row r="5218" spans="5:19" x14ac:dyDescent="0.3">
      <c r="E5218" s="9" t="str">
        <f>IF(DADOS!C5218="","",DADOS!C5218)</f>
        <v/>
      </c>
      <c r="F5218" s="9" t="str">
        <f>IF(DADOS!E5218="","",DADOS!E5218)</f>
        <v/>
      </c>
      <c r="G5218" s="9" t="str">
        <f>IF(DADOS!F5218="","",DADOS!F5218)</f>
        <v/>
      </c>
      <c r="K5218" s="6" t="str">
        <f t="shared" si="410"/>
        <v/>
      </c>
      <c r="L5218" s="7" t="str">
        <f t="shared" si="411"/>
        <v/>
      </c>
      <c r="M5218" s="7" t="str">
        <f t="shared" si="408"/>
        <v/>
      </c>
      <c r="N5218" s="7" t="str">
        <f t="shared" si="412"/>
        <v/>
      </c>
      <c r="O5218" s="8"/>
      <c r="P5218" s="26"/>
      <c r="S5218" s="10" t="str">
        <f t="shared" si="409"/>
        <v/>
      </c>
    </row>
    <row r="5219" spans="5:19" x14ac:dyDescent="0.3">
      <c r="E5219" s="9" t="str">
        <f>IF(DADOS!C5219="","",DADOS!C5219)</f>
        <v/>
      </c>
      <c r="F5219" s="9" t="str">
        <f>IF(DADOS!E5219="","",DADOS!E5219)</f>
        <v/>
      </c>
      <c r="G5219" s="9" t="str">
        <f>IF(DADOS!F5219="","",DADOS!F5219)</f>
        <v/>
      </c>
      <c r="K5219" s="6" t="str">
        <f t="shared" si="410"/>
        <v/>
      </c>
      <c r="L5219" s="7" t="str">
        <f t="shared" si="411"/>
        <v/>
      </c>
      <c r="M5219" s="7" t="str">
        <f t="shared" si="408"/>
        <v/>
      </c>
      <c r="N5219" s="7" t="str">
        <f t="shared" si="412"/>
        <v/>
      </c>
      <c r="O5219" s="8"/>
      <c r="P5219" s="26"/>
      <c r="S5219" s="10" t="str">
        <f t="shared" si="409"/>
        <v/>
      </c>
    </row>
    <row r="5220" spans="5:19" x14ac:dyDescent="0.3">
      <c r="E5220" s="9" t="str">
        <f>IF(DADOS!C5220="","",DADOS!C5220)</f>
        <v/>
      </c>
      <c r="F5220" s="9" t="str">
        <f>IF(DADOS!E5220="","",DADOS!E5220)</f>
        <v/>
      </c>
      <c r="G5220" s="9" t="str">
        <f>IF(DADOS!F5220="","",DADOS!F5220)</f>
        <v/>
      </c>
      <c r="K5220" s="6" t="str">
        <f t="shared" si="410"/>
        <v/>
      </c>
      <c r="L5220" s="7" t="str">
        <f t="shared" si="411"/>
        <v/>
      </c>
      <c r="M5220" s="7" t="str">
        <f t="shared" si="408"/>
        <v/>
      </c>
      <c r="N5220" s="7" t="str">
        <f t="shared" si="412"/>
        <v/>
      </c>
      <c r="O5220" s="8"/>
      <c r="P5220" s="26"/>
      <c r="S5220" s="10" t="str">
        <f t="shared" si="409"/>
        <v/>
      </c>
    </row>
    <row r="5221" spans="5:19" x14ac:dyDescent="0.3">
      <c r="E5221" s="9" t="str">
        <f>IF(DADOS!C5221="","",DADOS!C5221)</f>
        <v/>
      </c>
      <c r="F5221" s="9" t="str">
        <f>IF(DADOS!E5221="","",DADOS!E5221)</f>
        <v/>
      </c>
      <c r="G5221" s="9" t="str">
        <f>IF(DADOS!F5221="","",DADOS!F5221)</f>
        <v/>
      </c>
      <c r="K5221" s="6" t="str">
        <f t="shared" si="410"/>
        <v/>
      </c>
      <c r="L5221" s="7" t="str">
        <f t="shared" si="411"/>
        <v/>
      </c>
      <c r="M5221" s="7" t="str">
        <f t="shared" si="408"/>
        <v/>
      </c>
      <c r="N5221" s="7" t="str">
        <f t="shared" si="412"/>
        <v/>
      </c>
      <c r="O5221" s="8"/>
      <c r="P5221" s="26"/>
      <c r="S5221" s="10" t="str">
        <f t="shared" si="409"/>
        <v/>
      </c>
    </row>
    <row r="5222" spans="5:19" x14ac:dyDescent="0.3">
      <c r="E5222" s="9" t="str">
        <f>IF(DADOS!C5222="","",DADOS!C5222)</f>
        <v/>
      </c>
      <c r="F5222" s="9" t="str">
        <f>IF(DADOS!E5222="","",DADOS!E5222)</f>
        <v/>
      </c>
      <c r="G5222" s="9" t="str">
        <f>IF(DADOS!F5222="","",DADOS!F5222)</f>
        <v/>
      </c>
      <c r="K5222" s="6" t="str">
        <f t="shared" si="410"/>
        <v/>
      </c>
      <c r="L5222" s="7" t="str">
        <f t="shared" si="411"/>
        <v/>
      </c>
      <c r="M5222" s="7" t="str">
        <f t="shared" si="408"/>
        <v/>
      </c>
      <c r="N5222" s="7" t="str">
        <f t="shared" si="412"/>
        <v/>
      </c>
      <c r="O5222" s="8"/>
      <c r="P5222" s="26"/>
      <c r="S5222" s="10" t="str">
        <f t="shared" si="409"/>
        <v/>
      </c>
    </row>
    <row r="5223" spans="5:19" x14ac:dyDescent="0.3">
      <c r="E5223" s="9" t="str">
        <f>IF(DADOS!C5223="","",DADOS!C5223)</f>
        <v/>
      </c>
      <c r="F5223" s="9" t="str">
        <f>IF(DADOS!E5223="","",DADOS!E5223)</f>
        <v/>
      </c>
      <c r="G5223" s="9" t="str">
        <f>IF(DADOS!F5223="","",DADOS!F5223)</f>
        <v/>
      </c>
      <c r="K5223" s="6" t="str">
        <f t="shared" si="410"/>
        <v/>
      </c>
      <c r="L5223" s="7" t="str">
        <f t="shared" si="411"/>
        <v/>
      </c>
      <c r="M5223" s="7" t="str">
        <f t="shared" si="408"/>
        <v/>
      </c>
      <c r="N5223" s="7" t="str">
        <f t="shared" si="412"/>
        <v/>
      </c>
      <c r="O5223" s="8"/>
      <c r="P5223" s="26"/>
      <c r="S5223" s="10" t="str">
        <f t="shared" si="409"/>
        <v/>
      </c>
    </row>
    <row r="5224" spans="5:19" x14ac:dyDescent="0.3">
      <c r="E5224" s="9" t="str">
        <f>IF(DADOS!C5224="","",DADOS!C5224)</f>
        <v/>
      </c>
      <c r="F5224" s="9" t="str">
        <f>IF(DADOS!E5224="","",DADOS!E5224)</f>
        <v/>
      </c>
      <c r="G5224" s="9" t="str">
        <f>IF(DADOS!F5224="","",DADOS!F5224)</f>
        <v/>
      </c>
      <c r="K5224" s="6" t="str">
        <f t="shared" si="410"/>
        <v/>
      </c>
      <c r="L5224" s="7" t="str">
        <f t="shared" si="411"/>
        <v/>
      </c>
      <c r="M5224" s="7" t="str">
        <f t="shared" si="408"/>
        <v/>
      </c>
      <c r="N5224" s="7" t="str">
        <f t="shared" si="412"/>
        <v/>
      </c>
      <c r="O5224" s="8"/>
      <c r="P5224" s="26"/>
      <c r="S5224" s="10" t="str">
        <f t="shared" si="409"/>
        <v/>
      </c>
    </row>
    <row r="5225" spans="5:19" x14ac:dyDescent="0.3">
      <c r="E5225" s="9" t="str">
        <f>IF(DADOS!C5225="","",DADOS!C5225)</f>
        <v/>
      </c>
      <c r="F5225" s="9" t="str">
        <f>IF(DADOS!E5225="","",DADOS!E5225)</f>
        <v/>
      </c>
      <c r="G5225" s="9" t="str">
        <f>IF(DADOS!F5225="","",DADOS!F5225)</f>
        <v/>
      </c>
      <c r="K5225" s="6" t="str">
        <f t="shared" si="410"/>
        <v/>
      </c>
      <c r="L5225" s="7" t="str">
        <f t="shared" si="411"/>
        <v/>
      </c>
      <c r="M5225" s="7" t="str">
        <f t="shared" si="408"/>
        <v/>
      </c>
      <c r="N5225" s="7" t="str">
        <f t="shared" si="412"/>
        <v/>
      </c>
      <c r="O5225" s="8"/>
      <c r="P5225" s="26"/>
      <c r="S5225" s="10" t="str">
        <f t="shared" si="409"/>
        <v/>
      </c>
    </row>
    <row r="5226" spans="5:19" x14ac:dyDescent="0.3">
      <c r="E5226" s="9" t="str">
        <f>IF(DADOS!C5226="","",DADOS!C5226)</f>
        <v/>
      </c>
      <c r="F5226" s="9" t="str">
        <f>IF(DADOS!E5226="","",DADOS!E5226)</f>
        <v/>
      </c>
      <c r="G5226" s="9" t="str">
        <f>IF(DADOS!F5226="","",DADOS!F5226)</f>
        <v/>
      </c>
      <c r="K5226" s="6" t="str">
        <f t="shared" si="410"/>
        <v/>
      </c>
      <c r="L5226" s="7" t="str">
        <f t="shared" si="411"/>
        <v/>
      </c>
      <c r="M5226" s="7" t="str">
        <f t="shared" si="408"/>
        <v/>
      </c>
      <c r="N5226" s="7" t="str">
        <f t="shared" si="412"/>
        <v/>
      </c>
      <c r="O5226" s="8"/>
      <c r="P5226" s="26"/>
      <c r="S5226" s="10" t="str">
        <f t="shared" si="409"/>
        <v/>
      </c>
    </row>
    <row r="5227" spans="5:19" x14ac:dyDescent="0.3">
      <c r="E5227" s="9" t="str">
        <f>IF(DADOS!C5227="","",DADOS!C5227)</f>
        <v/>
      </c>
      <c r="F5227" s="9" t="str">
        <f>IF(DADOS!E5227="","",DADOS!E5227)</f>
        <v/>
      </c>
      <c r="G5227" s="9" t="str">
        <f>IF(DADOS!F5227="","",DADOS!F5227)</f>
        <v/>
      </c>
      <c r="K5227" s="6" t="str">
        <f t="shared" si="410"/>
        <v/>
      </c>
      <c r="L5227" s="7" t="str">
        <f t="shared" si="411"/>
        <v/>
      </c>
      <c r="M5227" s="7" t="str">
        <f t="shared" si="408"/>
        <v/>
      </c>
      <c r="N5227" s="7" t="str">
        <f t="shared" si="412"/>
        <v/>
      </c>
      <c r="O5227" s="8"/>
      <c r="P5227" s="26"/>
      <c r="S5227" s="10" t="str">
        <f t="shared" si="409"/>
        <v/>
      </c>
    </row>
    <row r="5228" spans="5:19" x14ac:dyDescent="0.3">
      <c r="E5228" s="9" t="str">
        <f>IF(DADOS!C5228="","",DADOS!C5228)</f>
        <v/>
      </c>
      <c r="F5228" s="9" t="str">
        <f>IF(DADOS!E5228="","",DADOS!E5228)</f>
        <v/>
      </c>
      <c r="G5228" s="9" t="str">
        <f>IF(DADOS!F5228="","",DADOS!F5228)</f>
        <v/>
      </c>
      <c r="K5228" s="6" t="str">
        <f t="shared" si="410"/>
        <v/>
      </c>
      <c r="L5228" s="7" t="str">
        <f t="shared" si="411"/>
        <v/>
      </c>
      <c r="M5228" s="7" t="str">
        <f t="shared" si="408"/>
        <v/>
      </c>
      <c r="N5228" s="7" t="str">
        <f t="shared" si="412"/>
        <v/>
      </c>
      <c r="O5228" s="8"/>
      <c r="P5228" s="26"/>
      <c r="S5228" s="10" t="str">
        <f t="shared" si="409"/>
        <v/>
      </c>
    </row>
    <row r="5229" spans="5:19" x14ac:dyDescent="0.3">
      <c r="E5229" s="9" t="str">
        <f>IF(DADOS!C5229="","",DADOS!C5229)</f>
        <v/>
      </c>
      <c r="F5229" s="9" t="str">
        <f>IF(DADOS!E5229="","",DADOS!E5229)</f>
        <v/>
      </c>
      <c r="G5229" s="9" t="str">
        <f>IF(DADOS!F5229="","",DADOS!F5229)</f>
        <v/>
      </c>
      <c r="K5229" s="6" t="str">
        <f t="shared" si="410"/>
        <v/>
      </c>
      <c r="L5229" s="7" t="str">
        <f t="shared" si="411"/>
        <v/>
      </c>
      <c r="M5229" s="7" t="str">
        <f t="shared" si="408"/>
        <v/>
      </c>
      <c r="N5229" s="7" t="str">
        <f t="shared" si="412"/>
        <v/>
      </c>
      <c r="O5229" s="8"/>
      <c r="P5229" s="26"/>
      <c r="S5229" s="10" t="str">
        <f t="shared" si="409"/>
        <v/>
      </c>
    </row>
    <row r="5230" spans="5:19" x14ac:dyDescent="0.3">
      <c r="E5230" s="9" t="str">
        <f>IF(DADOS!C5230="","",DADOS!C5230)</f>
        <v/>
      </c>
      <c r="F5230" s="9" t="str">
        <f>IF(DADOS!E5230="","",DADOS!E5230)</f>
        <v/>
      </c>
      <c r="G5230" s="9" t="str">
        <f>IF(DADOS!F5230="","",DADOS!F5230)</f>
        <v/>
      </c>
      <c r="K5230" s="6" t="str">
        <f t="shared" si="410"/>
        <v/>
      </c>
      <c r="L5230" s="7" t="str">
        <f t="shared" si="411"/>
        <v/>
      </c>
      <c r="M5230" s="7" t="str">
        <f t="shared" si="408"/>
        <v/>
      </c>
      <c r="N5230" s="7" t="str">
        <f t="shared" si="412"/>
        <v/>
      </c>
      <c r="O5230" s="8"/>
      <c r="P5230" s="26"/>
      <c r="S5230" s="10" t="str">
        <f t="shared" si="409"/>
        <v/>
      </c>
    </row>
    <row r="5231" spans="5:19" x14ac:dyDescent="0.3">
      <c r="E5231" s="9" t="str">
        <f>IF(DADOS!C5231="","",DADOS!C5231)</f>
        <v/>
      </c>
      <c r="F5231" s="9" t="str">
        <f>IF(DADOS!E5231="","",DADOS!E5231)</f>
        <v/>
      </c>
      <c r="G5231" s="9" t="str">
        <f>IF(DADOS!F5231="","",DADOS!F5231)</f>
        <v/>
      </c>
      <c r="K5231" s="6" t="str">
        <f t="shared" si="410"/>
        <v/>
      </c>
      <c r="L5231" s="7" t="str">
        <f t="shared" si="411"/>
        <v/>
      </c>
      <c r="M5231" s="7" t="str">
        <f t="shared" si="408"/>
        <v/>
      </c>
      <c r="N5231" s="7" t="str">
        <f t="shared" si="412"/>
        <v/>
      </c>
      <c r="O5231" s="8"/>
      <c r="P5231" s="26"/>
      <c r="S5231" s="10" t="str">
        <f t="shared" si="409"/>
        <v/>
      </c>
    </row>
    <row r="5232" spans="5:19" x14ac:dyDescent="0.3">
      <c r="E5232" s="9" t="str">
        <f>IF(DADOS!C5232="","",DADOS!C5232)</f>
        <v/>
      </c>
      <c r="F5232" s="9" t="str">
        <f>IF(DADOS!E5232="","",DADOS!E5232)</f>
        <v/>
      </c>
      <c r="G5232" s="9" t="str">
        <f>IF(DADOS!F5232="","",DADOS!F5232)</f>
        <v/>
      </c>
      <c r="K5232" s="6" t="str">
        <f t="shared" si="410"/>
        <v/>
      </c>
      <c r="L5232" s="7" t="str">
        <f t="shared" si="411"/>
        <v/>
      </c>
      <c r="M5232" s="7" t="str">
        <f t="shared" si="408"/>
        <v/>
      </c>
      <c r="N5232" s="7" t="str">
        <f t="shared" si="412"/>
        <v/>
      </c>
      <c r="O5232" s="8"/>
      <c r="P5232" s="26"/>
      <c r="S5232" s="10" t="str">
        <f t="shared" si="409"/>
        <v/>
      </c>
    </row>
    <row r="5233" spans="5:19" x14ac:dyDescent="0.3">
      <c r="E5233" s="9" t="str">
        <f>IF(DADOS!C5233="","",DADOS!C5233)</f>
        <v/>
      </c>
      <c r="F5233" s="9" t="str">
        <f>IF(DADOS!E5233="","",DADOS!E5233)</f>
        <v/>
      </c>
      <c r="G5233" s="9" t="str">
        <f>IF(DADOS!F5233="","",DADOS!F5233)</f>
        <v/>
      </c>
      <c r="K5233" s="6" t="str">
        <f t="shared" si="410"/>
        <v/>
      </c>
      <c r="L5233" s="7" t="str">
        <f t="shared" si="411"/>
        <v/>
      </c>
      <c r="M5233" s="7" t="str">
        <f t="shared" si="408"/>
        <v/>
      </c>
      <c r="N5233" s="7" t="str">
        <f t="shared" si="412"/>
        <v/>
      </c>
      <c r="O5233" s="8"/>
      <c r="P5233" s="26"/>
      <c r="S5233" s="10" t="str">
        <f t="shared" si="409"/>
        <v/>
      </c>
    </row>
    <row r="5234" spans="5:19" x14ac:dyDescent="0.3">
      <c r="E5234" s="9" t="str">
        <f>IF(DADOS!C5234="","",DADOS!C5234)</f>
        <v/>
      </c>
      <c r="F5234" s="9" t="str">
        <f>IF(DADOS!E5234="","",DADOS!E5234)</f>
        <v/>
      </c>
      <c r="G5234" s="9" t="str">
        <f>IF(DADOS!F5234="","",DADOS!F5234)</f>
        <v/>
      </c>
      <c r="K5234" s="6" t="str">
        <f t="shared" si="410"/>
        <v/>
      </c>
      <c r="L5234" s="7" t="str">
        <f t="shared" si="411"/>
        <v/>
      </c>
      <c r="M5234" s="7" t="str">
        <f t="shared" si="408"/>
        <v/>
      </c>
      <c r="N5234" s="7" t="str">
        <f t="shared" si="412"/>
        <v/>
      </c>
      <c r="O5234" s="8"/>
      <c r="P5234" s="26"/>
      <c r="S5234" s="10" t="str">
        <f t="shared" si="409"/>
        <v/>
      </c>
    </row>
    <row r="5235" spans="5:19" x14ac:dyDescent="0.3">
      <c r="E5235" s="9" t="str">
        <f>IF(DADOS!C5235="","",DADOS!C5235)</f>
        <v/>
      </c>
      <c r="F5235" s="9" t="str">
        <f>IF(DADOS!E5235="","",DADOS!E5235)</f>
        <v/>
      </c>
      <c r="G5235" s="9" t="str">
        <f>IF(DADOS!F5235="","",DADOS!F5235)</f>
        <v/>
      </c>
      <c r="K5235" s="6" t="str">
        <f t="shared" si="410"/>
        <v/>
      </c>
      <c r="L5235" s="7" t="str">
        <f t="shared" si="411"/>
        <v/>
      </c>
      <c r="M5235" s="7" t="str">
        <f t="shared" si="408"/>
        <v/>
      </c>
      <c r="N5235" s="7" t="str">
        <f t="shared" si="412"/>
        <v/>
      </c>
      <c r="O5235" s="8"/>
      <c r="P5235" s="26"/>
      <c r="S5235" s="10" t="str">
        <f t="shared" si="409"/>
        <v/>
      </c>
    </row>
    <row r="5236" spans="5:19" x14ac:dyDescent="0.3">
      <c r="E5236" s="9" t="str">
        <f>IF(DADOS!C5236="","",DADOS!C5236)</f>
        <v/>
      </c>
      <c r="F5236" s="9" t="str">
        <f>IF(DADOS!E5236="","",DADOS!E5236)</f>
        <v/>
      </c>
      <c r="G5236" s="9" t="str">
        <f>IF(DADOS!F5236="","",DADOS!F5236)</f>
        <v/>
      </c>
      <c r="K5236" s="6" t="str">
        <f t="shared" si="410"/>
        <v/>
      </c>
      <c r="L5236" s="7" t="str">
        <f t="shared" si="411"/>
        <v/>
      </c>
      <c r="M5236" s="7" t="str">
        <f t="shared" si="408"/>
        <v/>
      </c>
      <c r="N5236" s="7" t="str">
        <f t="shared" si="412"/>
        <v/>
      </c>
      <c r="O5236" s="8"/>
      <c r="P5236" s="26"/>
      <c r="S5236" s="10" t="str">
        <f t="shared" si="409"/>
        <v/>
      </c>
    </row>
    <row r="5237" spans="5:19" x14ac:dyDescent="0.3">
      <c r="E5237" s="9" t="str">
        <f>IF(DADOS!C5237="","",DADOS!C5237)</f>
        <v/>
      </c>
      <c r="F5237" s="9" t="str">
        <f>IF(DADOS!E5237="","",DADOS!E5237)</f>
        <v/>
      </c>
      <c r="G5237" s="9" t="str">
        <f>IF(DADOS!F5237="","",DADOS!F5237)</f>
        <v/>
      </c>
      <c r="K5237" s="6" t="str">
        <f t="shared" si="410"/>
        <v/>
      </c>
      <c r="L5237" s="7" t="str">
        <f t="shared" si="411"/>
        <v/>
      </c>
      <c r="M5237" s="7" t="str">
        <f t="shared" si="408"/>
        <v/>
      </c>
      <c r="N5237" s="7" t="str">
        <f t="shared" si="412"/>
        <v/>
      </c>
      <c r="O5237" s="8"/>
      <c r="P5237" s="26"/>
      <c r="S5237" s="10" t="str">
        <f t="shared" si="409"/>
        <v/>
      </c>
    </row>
    <row r="5238" spans="5:19" x14ac:dyDescent="0.3">
      <c r="E5238" s="9" t="str">
        <f>IF(DADOS!C5238="","",DADOS!C5238)</f>
        <v/>
      </c>
      <c r="F5238" s="9" t="str">
        <f>IF(DADOS!E5238="","",DADOS!E5238)</f>
        <v/>
      </c>
      <c r="G5238" s="9" t="str">
        <f>IF(DADOS!F5238="","",DADOS!F5238)</f>
        <v/>
      </c>
      <c r="K5238" s="6" t="str">
        <f t="shared" si="410"/>
        <v/>
      </c>
      <c r="L5238" s="7" t="str">
        <f t="shared" si="411"/>
        <v/>
      </c>
      <c r="M5238" s="7" t="str">
        <f t="shared" si="408"/>
        <v/>
      </c>
      <c r="N5238" s="7" t="str">
        <f t="shared" si="412"/>
        <v/>
      </c>
      <c r="O5238" s="8"/>
      <c r="P5238" s="26"/>
      <c r="S5238" s="10" t="str">
        <f t="shared" si="409"/>
        <v/>
      </c>
    </row>
    <row r="5239" spans="5:19" x14ac:dyDescent="0.3">
      <c r="E5239" s="9" t="str">
        <f>IF(DADOS!C5239="","",DADOS!C5239)</f>
        <v/>
      </c>
      <c r="F5239" s="9" t="str">
        <f>IF(DADOS!E5239="","",DADOS!E5239)</f>
        <v/>
      </c>
      <c r="G5239" s="9" t="str">
        <f>IF(DADOS!F5239="","",DADOS!F5239)</f>
        <v/>
      </c>
      <c r="K5239" s="6" t="str">
        <f t="shared" si="410"/>
        <v/>
      </c>
      <c r="L5239" s="7" t="str">
        <f t="shared" si="411"/>
        <v/>
      </c>
      <c r="M5239" s="7" t="str">
        <f t="shared" si="408"/>
        <v/>
      </c>
      <c r="N5239" s="7" t="str">
        <f t="shared" si="412"/>
        <v/>
      </c>
      <c r="O5239" s="8"/>
      <c r="P5239" s="26"/>
      <c r="S5239" s="10" t="str">
        <f t="shared" si="409"/>
        <v/>
      </c>
    </row>
    <row r="5240" spans="5:19" x14ac:dyDescent="0.3">
      <c r="E5240" s="9" t="str">
        <f>IF(DADOS!C5240="","",DADOS!C5240)</f>
        <v/>
      </c>
      <c r="F5240" s="9" t="str">
        <f>IF(DADOS!E5240="","",DADOS!E5240)</f>
        <v/>
      </c>
      <c r="G5240" s="9" t="str">
        <f>IF(DADOS!F5240="","",DADOS!F5240)</f>
        <v/>
      </c>
      <c r="K5240" s="6" t="str">
        <f t="shared" si="410"/>
        <v/>
      </c>
      <c r="L5240" s="7" t="str">
        <f t="shared" si="411"/>
        <v/>
      </c>
      <c r="M5240" s="7" t="str">
        <f t="shared" si="408"/>
        <v/>
      </c>
      <c r="N5240" s="7" t="str">
        <f t="shared" si="412"/>
        <v/>
      </c>
      <c r="O5240" s="8"/>
      <c r="P5240" s="26"/>
      <c r="S5240" s="10" t="str">
        <f t="shared" si="409"/>
        <v/>
      </c>
    </row>
    <row r="5241" spans="5:19" x14ac:dyDescent="0.3">
      <c r="E5241" s="9" t="str">
        <f>IF(DADOS!C5241="","",DADOS!C5241)</f>
        <v/>
      </c>
      <c r="F5241" s="9" t="str">
        <f>IF(DADOS!E5241="","",DADOS!E5241)</f>
        <v/>
      </c>
      <c r="G5241" s="9" t="str">
        <f>IF(DADOS!F5241="","",DADOS!F5241)</f>
        <v/>
      </c>
      <c r="K5241" s="6" t="str">
        <f t="shared" si="410"/>
        <v/>
      </c>
      <c r="L5241" s="7" t="str">
        <f t="shared" si="411"/>
        <v/>
      </c>
      <c r="M5241" s="7" t="str">
        <f t="shared" si="408"/>
        <v/>
      </c>
      <c r="N5241" s="7" t="str">
        <f t="shared" si="412"/>
        <v/>
      </c>
      <c r="O5241" s="8"/>
      <c r="P5241" s="26"/>
      <c r="S5241" s="10" t="str">
        <f t="shared" si="409"/>
        <v/>
      </c>
    </row>
    <row r="5242" spans="5:19" x14ac:dyDescent="0.3">
      <c r="E5242" s="9" t="str">
        <f>IF(DADOS!C5242="","",DADOS!C5242)</f>
        <v/>
      </c>
      <c r="F5242" s="9" t="str">
        <f>IF(DADOS!E5242="","",DADOS!E5242)</f>
        <v/>
      </c>
      <c r="G5242" s="9" t="str">
        <f>IF(DADOS!F5242="","",DADOS!F5242)</f>
        <v/>
      </c>
      <c r="K5242" s="6" t="str">
        <f t="shared" si="410"/>
        <v/>
      </c>
      <c r="L5242" s="7" t="str">
        <f t="shared" si="411"/>
        <v/>
      </c>
      <c r="M5242" s="7" t="str">
        <f t="shared" si="408"/>
        <v/>
      </c>
      <c r="N5242" s="7" t="str">
        <f t="shared" si="412"/>
        <v/>
      </c>
      <c r="O5242" s="8"/>
      <c r="P5242" s="26"/>
      <c r="S5242" s="10" t="str">
        <f t="shared" si="409"/>
        <v/>
      </c>
    </row>
    <row r="5243" spans="5:19" x14ac:dyDescent="0.3">
      <c r="E5243" s="9" t="str">
        <f>IF(DADOS!C5243="","",DADOS!C5243)</f>
        <v/>
      </c>
      <c r="F5243" s="9" t="str">
        <f>IF(DADOS!E5243="","",DADOS!E5243)</f>
        <v/>
      </c>
      <c r="G5243" s="9" t="str">
        <f>IF(DADOS!F5243="","",DADOS!F5243)</f>
        <v/>
      </c>
      <c r="K5243" s="6" t="str">
        <f t="shared" si="410"/>
        <v/>
      </c>
      <c r="L5243" s="7" t="str">
        <f t="shared" si="411"/>
        <v/>
      </c>
      <c r="M5243" s="7" t="str">
        <f t="shared" si="408"/>
        <v/>
      </c>
      <c r="N5243" s="7" t="str">
        <f t="shared" si="412"/>
        <v/>
      </c>
      <c r="O5243" s="8"/>
      <c r="P5243" s="26"/>
      <c r="S5243" s="10" t="str">
        <f t="shared" si="409"/>
        <v/>
      </c>
    </row>
    <row r="5244" spans="5:19" x14ac:dyDescent="0.3">
      <c r="E5244" s="9" t="str">
        <f>IF(DADOS!C5244="","",DADOS!C5244)</f>
        <v/>
      </c>
      <c r="F5244" s="9" t="str">
        <f>IF(DADOS!E5244="","",DADOS!E5244)</f>
        <v/>
      </c>
      <c r="G5244" s="9" t="str">
        <f>IF(DADOS!F5244="","",DADOS!F5244)</f>
        <v/>
      </c>
      <c r="K5244" s="6" t="str">
        <f t="shared" si="410"/>
        <v/>
      </c>
      <c r="L5244" s="7" t="str">
        <f t="shared" si="411"/>
        <v/>
      </c>
      <c r="M5244" s="7" t="str">
        <f t="shared" si="408"/>
        <v/>
      </c>
      <c r="N5244" s="7" t="str">
        <f t="shared" si="412"/>
        <v/>
      </c>
      <c r="O5244" s="8"/>
      <c r="P5244" s="26"/>
      <c r="S5244" s="10" t="str">
        <f t="shared" si="409"/>
        <v/>
      </c>
    </row>
    <row r="5245" spans="5:19" x14ac:dyDescent="0.3">
      <c r="E5245" s="9" t="str">
        <f>IF(DADOS!C5245="","",DADOS!C5245)</f>
        <v/>
      </c>
      <c r="F5245" s="9" t="str">
        <f>IF(DADOS!E5245="","",DADOS!E5245)</f>
        <v/>
      </c>
      <c r="G5245" s="9" t="str">
        <f>IF(DADOS!F5245="","",DADOS!F5245)</f>
        <v/>
      </c>
      <c r="K5245" s="6" t="str">
        <f t="shared" si="410"/>
        <v/>
      </c>
      <c r="L5245" s="7" t="str">
        <f t="shared" si="411"/>
        <v/>
      </c>
      <c r="M5245" s="7" t="str">
        <f t="shared" si="408"/>
        <v/>
      </c>
      <c r="N5245" s="7" t="str">
        <f t="shared" si="412"/>
        <v/>
      </c>
      <c r="O5245" s="8"/>
      <c r="P5245" s="26"/>
      <c r="S5245" s="10" t="str">
        <f t="shared" si="409"/>
        <v/>
      </c>
    </row>
    <row r="5246" spans="5:19" x14ac:dyDescent="0.3">
      <c r="E5246" s="9" t="str">
        <f>IF(DADOS!C5246="","",DADOS!C5246)</f>
        <v/>
      </c>
      <c r="F5246" s="9" t="str">
        <f>IF(DADOS!E5246="","",DADOS!E5246)</f>
        <v/>
      </c>
      <c r="G5246" s="9" t="str">
        <f>IF(DADOS!F5246="","",DADOS!F5246)</f>
        <v/>
      </c>
      <c r="K5246" s="6" t="str">
        <f t="shared" si="410"/>
        <v/>
      </c>
      <c r="L5246" s="7" t="str">
        <f t="shared" si="411"/>
        <v/>
      </c>
      <c r="M5246" s="7" t="str">
        <f t="shared" si="408"/>
        <v/>
      </c>
      <c r="N5246" s="7" t="str">
        <f t="shared" si="412"/>
        <v/>
      </c>
      <c r="O5246" s="8"/>
      <c r="P5246" s="26"/>
      <c r="S5246" s="10" t="str">
        <f t="shared" si="409"/>
        <v/>
      </c>
    </row>
    <row r="5247" spans="5:19" x14ac:dyDescent="0.3">
      <c r="E5247" s="9" t="str">
        <f>IF(DADOS!C5247="","",DADOS!C5247)</f>
        <v/>
      </c>
      <c r="F5247" s="9" t="str">
        <f>IF(DADOS!E5247="","",DADOS!E5247)</f>
        <v/>
      </c>
      <c r="G5247" s="9" t="str">
        <f>IF(DADOS!F5247="","",DADOS!F5247)</f>
        <v/>
      </c>
      <c r="K5247" s="6" t="str">
        <f t="shared" si="410"/>
        <v/>
      </c>
      <c r="L5247" s="7" t="str">
        <f t="shared" si="411"/>
        <v/>
      </c>
      <c r="M5247" s="7" t="str">
        <f t="shared" si="408"/>
        <v/>
      </c>
      <c r="N5247" s="7" t="str">
        <f t="shared" si="412"/>
        <v/>
      </c>
      <c r="O5247" s="8"/>
      <c r="P5247" s="26"/>
      <c r="S5247" s="10" t="str">
        <f t="shared" si="409"/>
        <v/>
      </c>
    </row>
    <row r="5248" spans="5:19" x14ac:dyDescent="0.3">
      <c r="E5248" s="9" t="str">
        <f>IF(DADOS!C5248="","",DADOS!C5248)</f>
        <v/>
      </c>
      <c r="F5248" s="9" t="str">
        <f>IF(DADOS!E5248="","",DADOS!E5248)</f>
        <v/>
      </c>
      <c r="G5248" s="9" t="str">
        <f>IF(DADOS!F5248="","",DADOS!F5248)</f>
        <v/>
      </c>
      <c r="K5248" s="6" t="str">
        <f t="shared" si="410"/>
        <v/>
      </c>
      <c r="L5248" s="7" t="str">
        <f t="shared" si="411"/>
        <v/>
      </c>
      <c r="M5248" s="7" t="str">
        <f t="shared" si="408"/>
        <v/>
      </c>
      <c r="N5248" s="7" t="str">
        <f t="shared" si="412"/>
        <v/>
      </c>
      <c r="O5248" s="8"/>
      <c r="P5248" s="26"/>
      <c r="S5248" s="10" t="str">
        <f t="shared" si="409"/>
        <v/>
      </c>
    </row>
    <row r="5249" spans="5:19" x14ac:dyDescent="0.3">
      <c r="E5249" s="9" t="str">
        <f>IF(DADOS!C5249="","",DADOS!C5249)</f>
        <v/>
      </c>
      <c r="F5249" s="9" t="str">
        <f>IF(DADOS!E5249="","",DADOS!E5249)</f>
        <v/>
      </c>
      <c r="G5249" s="9" t="str">
        <f>IF(DADOS!F5249="","",DADOS!F5249)</f>
        <v/>
      </c>
      <c r="K5249" s="6" t="str">
        <f t="shared" si="410"/>
        <v/>
      </c>
      <c r="L5249" s="7" t="str">
        <f t="shared" si="411"/>
        <v/>
      </c>
      <c r="M5249" s="7" t="str">
        <f t="shared" si="408"/>
        <v/>
      </c>
      <c r="N5249" s="7" t="str">
        <f t="shared" si="412"/>
        <v/>
      </c>
      <c r="O5249" s="8"/>
      <c r="P5249" s="26"/>
      <c r="S5249" s="10" t="str">
        <f t="shared" si="409"/>
        <v/>
      </c>
    </row>
    <row r="5250" spans="5:19" x14ac:dyDescent="0.3">
      <c r="E5250" s="9" t="str">
        <f>IF(DADOS!C5250="","",DADOS!C5250)</f>
        <v/>
      </c>
      <c r="F5250" s="9" t="str">
        <f>IF(DADOS!E5250="","",DADOS!E5250)</f>
        <v/>
      </c>
      <c r="G5250" s="9" t="str">
        <f>IF(DADOS!F5250="","",DADOS!F5250)</f>
        <v/>
      </c>
      <c r="K5250" s="6" t="str">
        <f t="shared" si="410"/>
        <v/>
      </c>
      <c r="L5250" s="7" t="str">
        <f t="shared" si="411"/>
        <v/>
      </c>
      <c r="M5250" s="7" t="str">
        <f t="shared" si="408"/>
        <v/>
      </c>
      <c r="N5250" s="7" t="str">
        <f t="shared" si="412"/>
        <v/>
      </c>
      <c r="O5250" s="8"/>
      <c r="P5250" s="26"/>
      <c r="S5250" s="10" t="str">
        <f t="shared" si="409"/>
        <v/>
      </c>
    </row>
    <row r="5251" spans="5:19" x14ac:dyDescent="0.3">
      <c r="E5251" s="9" t="str">
        <f>IF(DADOS!C5251="","",DADOS!C5251)</f>
        <v/>
      </c>
      <c r="F5251" s="9" t="str">
        <f>IF(DADOS!E5251="","",DADOS!E5251)</f>
        <v/>
      </c>
      <c r="G5251" s="9" t="str">
        <f>IF(DADOS!F5251="","",DADOS!F5251)</f>
        <v/>
      </c>
      <c r="K5251" s="6" t="str">
        <f t="shared" si="410"/>
        <v/>
      </c>
      <c r="L5251" s="7" t="str">
        <f t="shared" si="411"/>
        <v/>
      </c>
      <c r="M5251" s="7" t="str">
        <f t="shared" ref="M5251:M5314" si="413">IF(L5251="","",L5251*G5251)</f>
        <v/>
      </c>
      <c r="N5251" s="7" t="str">
        <f t="shared" si="412"/>
        <v/>
      </c>
      <c r="O5251" s="8"/>
      <c r="P5251" s="26"/>
      <c r="S5251" s="10" t="str">
        <f t="shared" ref="S5251:S5314" si="414">IF(R5251="","",SUMIFS($N$3:$N$10000,$E$3:$E$10000,R5251))</f>
        <v/>
      </c>
    </row>
    <row r="5252" spans="5:19" x14ac:dyDescent="0.3">
      <c r="E5252" s="9" t="str">
        <f>IF(DADOS!C5252="","",DADOS!C5252)</f>
        <v/>
      </c>
      <c r="F5252" s="9" t="str">
        <f>IF(DADOS!E5252="","",DADOS!E5252)</f>
        <v/>
      </c>
      <c r="G5252" s="9" t="str">
        <f>IF(DADOS!F5252="","",DADOS!F5252)</f>
        <v/>
      </c>
      <c r="K5252" s="6" t="str">
        <f t="shared" ref="K5252:K5315" si="415">IF(F5252="","",F5252/PI())</f>
        <v/>
      </c>
      <c r="L5252" s="7" t="str">
        <f t="shared" ref="L5252:L5315" si="416">IF(K5252="","",(PI()*K5252^2)/40000)</f>
        <v/>
      </c>
      <c r="M5252" s="7" t="str">
        <f t="shared" si="413"/>
        <v/>
      </c>
      <c r="N5252" s="7" t="str">
        <f t="shared" ref="N5252:N5315" si="417">IF(M5252="","",M5252*N$1)</f>
        <v/>
      </c>
      <c r="O5252" s="8"/>
      <c r="P5252" s="26"/>
      <c r="S5252" s="10" t="str">
        <f t="shared" si="414"/>
        <v/>
      </c>
    </row>
    <row r="5253" spans="5:19" x14ac:dyDescent="0.3">
      <c r="E5253" s="9" t="str">
        <f>IF(DADOS!C5253="","",DADOS!C5253)</f>
        <v/>
      </c>
      <c r="F5253" s="9" t="str">
        <f>IF(DADOS!E5253="","",DADOS!E5253)</f>
        <v/>
      </c>
      <c r="G5253" s="9" t="str">
        <f>IF(DADOS!F5253="","",DADOS!F5253)</f>
        <v/>
      </c>
      <c r="K5253" s="6" t="str">
        <f t="shared" si="415"/>
        <v/>
      </c>
      <c r="L5253" s="7" t="str">
        <f t="shared" si="416"/>
        <v/>
      </c>
      <c r="M5253" s="7" t="str">
        <f t="shared" si="413"/>
        <v/>
      </c>
      <c r="N5253" s="7" t="str">
        <f t="shared" si="417"/>
        <v/>
      </c>
      <c r="O5253" s="8"/>
      <c r="P5253" s="26"/>
      <c r="S5253" s="10" t="str">
        <f t="shared" si="414"/>
        <v/>
      </c>
    </row>
    <row r="5254" spans="5:19" x14ac:dyDescent="0.3">
      <c r="E5254" s="9" t="str">
        <f>IF(DADOS!C5254="","",DADOS!C5254)</f>
        <v/>
      </c>
      <c r="F5254" s="9" t="str">
        <f>IF(DADOS!E5254="","",DADOS!E5254)</f>
        <v/>
      </c>
      <c r="G5254" s="9" t="str">
        <f>IF(DADOS!F5254="","",DADOS!F5254)</f>
        <v/>
      </c>
      <c r="K5254" s="6" t="str">
        <f t="shared" si="415"/>
        <v/>
      </c>
      <c r="L5254" s="7" t="str">
        <f t="shared" si="416"/>
        <v/>
      </c>
      <c r="M5254" s="7" t="str">
        <f t="shared" si="413"/>
        <v/>
      </c>
      <c r="N5254" s="7" t="str">
        <f t="shared" si="417"/>
        <v/>
      </c>
      <c r="O5254" s="8"/>
      <c r="P5254" s="26"/>
      <c r="S5254" s="10" t="str">
        <f t="shared" si="414"/>
        <v/>
      </c>
    </row>
    <row r="5255" spans="5:19" x14ac:dyDescent="0.3">
      <c r="E5255" s="9" t="str">
        <f>IF(DADOS!C5255="","",DADOS!C5255)</f>
        <v/>
      </c>
      <c r="F5255" s="9" t="str">
        <f>IF(DADOS!E5255="","",DADOS!E5255)</f>
        <v/>
      </c>
      <c r="G5255" s="9" t="str">
        <f>IF(DADOS!F5255="","",DADOS!F5255)</f>
        <v/>
      </c>
      <c r="K5255" s="6" t="str">
        <f t="shared" si="415"/>
        <v/>
      </c>
      <c r="L5255" s="7" t="str">
        <f t="shared" si="416"/>
        <v/>
      </c>
      <c r="M5255" s="7" t="str">
        <f t="shared" si="413"/>
        <v/>
      </c>
      <c r="N5255" s="7" t="str">
        <f t="shared" si="417"/>
        <v/>
      </c>
      <c r="O5255" s="8"/>
      <c r="P5255" s="26"/>
      <c r="S5255" s="10" t="str">
        <f t="shared" si="414"/>
        <v/>
      </c>
    </row>
    <row r="5256" spans="5:19" x14ac:dyDescent="0.3">
      <c r="E5256" s="9" t="str">
        <f>IF(DADOS!C5256="","",DADOS!C5256)</f>
        <v/>
      </c>
      <c r="F5256" s="9" t="str">
        <f>IF(DADOS!E5256="","",DADOS!E5256)</f>
        <v/>
      </c>
      <c r="G5256" s="9" t="str">
        <f>IF(DADOS!F5256="","",DADOS!F5256)</f>
        <v/>
      </c>
      <c r="K5256" s="6" t="str">
        <f t="shared" si="415"/>
        <v/>
      </c>
      <c r="L5256" s="7" t="str">
        <f t="shared" si="416"/>
        <v/>
      </c>
      <c r="M5256" s="7" t="str">
        <f t="shared" si="413"/>
        <v/>
      </c>
      <c r="N5256" s="7" t="str">
        <f t="shared" si="417"/>
        <v/>
      </c>
      <c r="O5256" s="8"/>
      <c r="P5256" s="26"/>
      <c r="S5256" s="10" t="str">
        <f t="shared" si="414"/>
        <v/>
      </c>
    </row>
    <row r="5257" spans="5:19" x14ac:dyDescent="0.3">
      <c r="E5257" s="9" t="str">
        <f>IF(DADOS!C5257="","",DADOS!C5257)</f>
        <v/>
      </c>
      <c r="F5257" s="9" t="str">
        <f>IF(DADOS!E5257="","",DADOS!E5257)</f>
        <v/>
      </c>
      <c r="G5257" s="9" t="str">
        <f>IF(DADOS!F5257="","",DADOS!F5257)</f>
        <v/>
      </c>
      <c r="K5257" s="6" t="str">
        <f t="shared" si="415"/>
        <v/>
      </c>
      <c r="L5257" s="7" t="str">
        <f t="shared" si="416"/>
        <v/>
      </c>
      <c r="M5257" s="7" t="str">
        <f t="shared" si="413"/>
        <v/>
      </c>
      <c r="N5257" s="7" t="str">
        <f t="shared" si="417"/>
        <v/>
      </c>
      <c r="O5257" s="8"/>
      <c r="P5257" s="26"/>
      <c r="S5257" s="10" t="str">
        <f t="shared" si="414"/>
        <v/>
      </c>
    </row>
    <row r="5258" spans="5:19" x14ac:dyDescent="0.3">
      <c r="E5258" s="9" t="str">
        <f>IF(DADOS!C5258="","",DADOS!C5258)</f>
        <v/>
      </c>
      <c r="F5258" s="9" t="str">
        <f>IF(DADOS!E5258="","",DADOS!E5258)</f>
        <v/>
      </c>
      <c r="G5258" s="9" t="str">
        <f>IF(DADOS!F5258="","",DADOS!F5258)</f>
        <v/>
      </c>
      <c r="K5258" s="6" t="str">
        <f t="shared" si="415"/>
        <v/>
      </c>
      <c r="L5258" s="7" t="str">
        <f t="shared" si="416"/>
        <v/>
      </c>
      <c r="M5258" s="7" t="str">
        <f t="shared" si="413"/>
        <v/>
      </c>
      <c r="N5258" s="7" t="str">
        <f t="shared" si="417"/>
        <v/>
      </c>
      <c r="O5258" s="8"/>
      <c r="P5258" s="26"/>
      <c r="S5258" s="10" t="str">
        <f t="shared" si="414"/>
        <v/>
      </c>
    </row>
    <row r="5259" spans="5:19" x14ac:dyDescent="0.3">
      <c r="E5259" s="9" t="str">
        <f>IF(DADOS!C5259="","",DADOS!C5259)</f>
        <v/>
      </c>
      <c r="F5259" s="9" t="str">
        <f>IF(DADOS!E5259="","",DADOS!E5259)</f>
        <v/>
      </c>
      <c r="G5259" s="9" t="str">
        <f>IF(DADOS!F5259="","",DADOS!F5259)</f>
        <v/>
      </c>
      <c r="K5259" s="6" t="str">
        <f t="shared" si="415"/>
        <v/>
      </c>
      <c r="L5259" s="7" t="str">
        <f t="shared" si="416"/>
        <v/>
      </c>
      <c r="M5259" s="7" t="str">
        <f t="shared" si="413"/>
        <v/>
      </c>
      <c r="N5259" s="7" t="str">
        <f t="shared" si="417"/>
        <v/>
      </c>
      <c r="O5259" s="8"/>
      <c r="P5259" s="26"/>
      <c r="S5259" s="10" t="str">
        <f t="shared" si="414"/>
        <v/>
      </c>
    </row>
    <row r="5260" spans="5:19" x14ac:dyDescent="0.3">
      <c r="E5260" s="9" t="str">
        <f>IF(DADOS!C5260="","",DADOS!C5260)</f>
        <v/>
      </c>
      <c r="F5260" s="9" t="str">
        <f>IF(DADOS!E5260="","",DADOS!E5260)</f>
        <v/>
      </c>
      <c r="G5260" s="9" t="str">
        <f>IF(DADOS!F5260="","",DADOS!F5260)</f>
        <v/>
      </c>
      <c r="K5260" s="6" t="str">
        <f t="shared" si="415"/>
        <v/>
      </c>
      <c r="L5260" s="7" t="str">
        <f t="shared" si="416"/>
        <v/>
      </c>
      <c r="M5260" s="7" t="str">
        <f t="shared" si="413"/>
        <v/>
      </c>
      <c r="N5260" s="7" t="str">
        <f t="shared" si="417"/>
        <v/>
      </c>
      <c r="O5260" s="8"/>
      <c r="P5260" s="26"/>
      <c r="S5260" s="10" t="str">
        <f t="shared" si="414"/>
        <v/>
      </c>
    </row>
    <row r="5261" spans="5:19" x14ac:dyDescent="0.3">
      <c r="E5261" s="9" t="str">
        <f>IF(DADOS!C5261="","",DADOS!C5261)</f>
        <v/>
      </c>
      <c r="F5261" s="9" t="str">
        <f>IF(DADOS!E5261="","",DADOS!E5261)</f>
        <v/>
      </c>
      <c r="G5261" s="9" t="str">
        <f>IF(DADOS!F5261="","",DADOS!F5261)</f>
        <v/>
      </c>
      <c r="K5261" s="6" t="str">
        <f t="shared" si="415"/>
        <v/>
      </c>
      <c r="L5261" s="7" t="str">
        <f t="shared" si="416"/>
        <v/>
      </c>
      <c r="M5261" s="7" t="str">
        <f t="shared" si="413"/>
        <v/>
      </c>
      <c r="N5261" s="7" t="str">
        <f t="shared" si="417"/>
        <v/>
      </c>
      <c r="O5261" s="8"/>
      <c r="P5261" s="26"/>
      <c r="S5261" s="10" t="str">
        <f t="shared" si="414"/>
        <v/>
      </c>
    </row>
    <row r="5262" spans="5:19" x14ac:dyDescent="0.3">
      <c r="E5262" s="9" t="str">
        <f>IF(DADOS!C5262="","",DADOS!C5262)</f>
        <v/>
      </c>
      <c r="F5262" s="9" t="str">
        <f>IF(DADOS!E5262="","",DADOS!E5262)</f>
        <v/>
      </c>
      <c r="G5262" s="9" t="str">
        <f>IF(DADOS!F5262="","",DADOS!F5262)</f>
        <v/>
      </c>
      <c r="K5262" s="6" t="str">
        <f t="shared" si="415"/>
        <v/>
      </c>
      <c r="L5262" s="7" t="str">
        <f t="shared" si="416"/>
        <v/>
      </c>
      <c r="M5262" s="7" t="str">
        <f t="shared" si="413"/>
        <v/>
      </c>
      <c r="N5262" s="7" t="str">
        <f t="shared" si="417"/>
        <v/>
      </c>
      <c r="O5262" s="8"/>
      <c r="P5262" s="26"/>
      <c r="S5262" s="10" t="str">
        <f t="shared" si="414"/>
        <v/>
      </c>
    </row>
    <row r="5263" spans="5:19" x14ac:dyDescent="0.3">
      <c r="E5263" s="9" t="str">
        <f>IF(DADOS!C5263="","",DADOS!C5263)</f>
        <v/>
      </c>
      <c r="F5263" s="9" t="str">
        <f>IF(DADOS!E5263="","",DADOS!E5263)</f>
        <v/>
      </c>
      <c r="G5263" s="9" t="str">
        <f>IF(DADOS!F5263="","",DADOS!F5263)</f>
        <v/>
      </c>
      <c r="K5263" s="6" t="str">
        <f t="shared" si="415"/>
        <v/>
      </c>
      <c r="L5263" s="7" t="str">
        <f t="shared" si="416"/>
        <v/>
      </c>
      <c r="M5263" s="7" t="str">
        <f t="shared" si="413"/>
        <v/>
      </c>
      <c r="N5263" s="7" t="str">
        <f t="shared" si="417"/>
        <v/>
      </c>
      <c r="O5263" s="8"/>
      <c r="P5263" s="26"/>
      <c r="S5263" s="10" t="str">
        <f t="shared" si="414"/>
        <v/>
      </c>
    </row>
    <row r="5264" spans="5:19" x14ac:dyDescent="0.3">
      <c r="E5264" s="9" t="str">
        <f>IF(DADOS!C5264="","",DADOS!C5264)</f>
        <v/>
      </c>
      <c r="F5264" s="9" t="str">
        <f>IF(DADOS!E5264="","",DADOS!E5264)</f>
        <v/>
      </c>
      <c r="G5264" s="9" t="str">
        <f>IF(DADOS!F5264="","",DADOS!F5264)</f>
        <v/>
      </c>
      <c r="K5264" s="6" t="str">
        <f t="shared" si="415"/>
        <v/>
      </c>
      <c r="L5264" s="7" t="str">
        <f t="shared" si="416"/>
        <v/>
      </c>
      <c r="M5264" s="7" t="str">
        <f t="shared" si="413"/>
        <v/>
      </c>
      <c r="N5264" s="7" t="str">
        <f t="shared" si="417"/>
        <v/>
      </c>
      <c r="O5264" s="8"/>
      <c r="P5264" s="26"/>
      <c r="S5264" s="10" t="str">
        <f t="shared" si="414"/>
        <v/>
      </c>
    </row>
    <row r="5265" spans="5:19" x14ac:dyDescent="0.3">
      <c r="E5265" s="9" t="str">
        <f>IF(DADOS!C5265="","",DADOS!C5265)</f>
        <v/>
      </c>
      <c r="F5265" s="9" t="str">
        <f>IF(DADOS!E5265="","",DADOS!E5265)</f>
        <v/>
      </c>
      <c r="G5265" s="9" t="str">
        <f>IF(DADOS!F5265="","",DADOS!F5265)</f>
        <v/>
      </c>
      <c r="K5265" s="6" t="str">
        <f t="shared" si="415"/>
        <v/>
      </c>
      <c r="L5265" s="7" t="str">
        <f t="shared" si="416"/>
        <v/>
      </c>
      <c r="M5265" s="7" t="str">
        <f t="shared" si="413"/>
        <v/>
      </c>
      <c r="N5265" s="7" t="str">
        <f t="shared" si="417"/>
        <v/>
      </c>
      <c r="O5265" s="8"/>
      <c r="P5265" s="26"/>
      <c r="S5265" s="10" t="str">
        <f t="shared" si="414"/>
        <v/>
      </c>
    </row>
    <row r="5266" spans="5:19" x14ac:dyDescent="0.3">
      <c r="E5266" s="9" t="str">
        <f>IF(DADOS!C5266="","",DADOS!C5266)</f>
        <v/>
      </c>
      <c r="F5266" s="9" t="str">
        <f>IF(DADOS!E5266="","",DADOS!E5266)</f>
        <v/>
      </c>
      <c r="G5266" s="9" t="str">
        <f>IF(DADOS!F5266="","",DADOS!F5266)</f>
        <v/>
      </c>
      <c r="K5266" s="6" t="str">
        <f t="shared" si="415"/>
        <v/>
      </c>
      <c r="L5266" s="7" t="str">
        <f t="shared" si="416"/>
        <v/>
      </c>
      <c r="M5266" s="7" t="str">
        <f t="shared" si="413"/>
        <v/>
      </c>
      <c r="N5266" s="7" t="str">
        <f t="shared" si="417"/>
        <v/>
      </c>
      <c r="O5266" s="8"/>
      <c r="P5266" s="26"/>
      <c r="S5266" s="10" t="str">
        <f t="shared" si="414"/>
        <v/>
      </c>
    </row>
    <row r="5267" spans="5:19" x14ac:dyDescent="0.3">
      <c r="E5267" s="9" t="str">
        <f>IF(DADOS!C5267="","",DADOS!C5267)</f>
        <v/>
      </c>
      <c r="F5267" s="9" t="str">
        <f>IF(DADOS!E5267="","",DADOS!E5267)</f>
        <v/>
      </c>
      <c r="G5267" s="9" t="str">
        <f>IF(DADOS!F5267="","",DADOS!F5267)</f>
        <v/>
      </c>
      <c r="K5267" s="6" t="str">
        <f t="shared" si="415"/>
        <v/>
      </c>
      <c r="L5267" s="7" t="str">
        <f t="shared" si="416"/>
        <v/>
      </c>
      <c r="M5267" s="7" t="str">
        <f t="shared" si="413"/>
        <v/>
      </c>
      <c r="N5267" s="7" t="str">
        <f t="shared" si="417"/>
        <v/>
      </c>
      <c r="O5267" s="8"/>
      <c r="P5267" s="26"/>
      <c r="S5267" s="10" t="str">
        <f t="shared" si="414"/>
        <v/>
      </c>
    </row>
    <row r="5268" spans="5:19" x14ac:dyDescent="0.3">
      <c r="E5268" s="9" t="str">
        <f>IF(DADOS!C5268="","",DADOS!C5268)</f>
        <v/>
      </c>
      <c r="F5268" s="9" t="str">
        <f>IF(DADOS!E5268="","",DADOS!E5268)</f>
        <v/>
      </c>
      <c r="G5268" s="9" t="str">
        <f>IF(DADOS!F5268="","",DADOS!F5268)</f>
        <v/>
      </c>
      <c r="K5268" s="6" t="str">
        <f t="shared" si="415"/>
        <v/>
      </c>
      <c r="L5268" s="7" t="str">
        <f t="shared" si="416"/>
        <v/>
      </c>
      <c r="M5268" s="7" t="str">
        <f t="shared" si="413"/>
        <v/>
      </c>
      <c r="N5268" s="7" t="str">
        <f t="shared" si="417"/>
        <v/>
      </c>
      <c r="O5268" s="8"/>
      <c r="P5268" s="26"/>
      <c r="S5268" s="10" t="str">
        <f t="shared" si="414"/>
        <v/>
      </c>
    </row>
    <row r="5269" spans="5:19" x14ac:dyDescent="0.3">
      <c r="E5269" s="9" t="str">
        <f>IF(DADOS!C5269="","",DADOS!C5269)</f>
        <v/>
      </c>
      <c r="F5269" s="9" t="str">
        <f>IF(DADOS!E5269="","",DADOS!E5269)</f>
        <v/>
      </c>
      <c r="G5269" s="9" t="str">
        <f>IF(DADOS!F5269="","",DADOS!F5269)</f>
        <v/>
      </c>
      <c r="K5269" s="6" t="str">
        <f t="shared" si="415"/>
        <v/>
      </c>
      <c r="L5269" s="7" t="str">
        <f t="shared" si="416"/>
        <v/>
      </c>
      <c r="M5269" s="7" t="str">
        <f t="shared" si="413"/>
        <v/>
      </c>
      <c r="N5269" s="7" t="str">
        <f t="shared" si="417"/>
        <v/>
      </c>
      <c r="O5269" s="8"/>
      <c r="P5269" s="26"/>
      <c r="S5269" s="10" t="str">
        <f t="shared" si="414"/>
        <v/>
      </c>
    </row>
    <row r="5270" spans="5:19" x14ac:dyDescent="0.3">
      <c r="E5270" s="9" t="str">
        <f>IF(DADOS!C5270="","",DADOS!C5270)</f>
        <v/>
      </c>
      <c r="F5270" s="9" t="str">
        <f>IF(DADOS!E5270="","",DADOS!E5270)</f>
        <v/>
      </c>
      <c r="G5270" s="9" t="str">
        <f>IF(DADOS!F5270="","",DADOS!F5270)</f>
        <v/>
      </c>
      <c r="K5270" s="6" t="str">
        <f t="shared" si="415"/>
        <v/>
      </c>
      <c r="L5270" s="7" t="str">
        <f t="shared" si="416"/>
        <v/>
      </c>
      <c r="M5270" s="7" t="str">
        <f t="shared" si="413"/>
        <v/>
      </c>
      <c r="N5270" s="7" t="str">
        <f t="shared" si="417"/>
        <v/>
      </c>
      <c r="O5270" s="8"/>
      <c r="P5270" s="26"/>
      <c r="S5270" s="10" t="str">
        <f t="shared" si="414"/>
        <v/>
      </c>
    </row>
    <row r="5271" spans="5:19" x14ac:dyDescent="0.3">
      <c r="E5271" s="9" t="str">
        <f>IF(DADOS!C5271="","",DADOS!C5271)</f>
        <v/>
      </c>
      <c r="F5271" s="9" t="str">
        <f>IF(DADOS!E5271="","",DADOS!E5271)</f>
        <v/>
      </c>
      <c r="G5271" s="9" t="str">
        <f>IF(DADOS!F5271="","",DADOS!F5271)</f>
        <v/>
      </c>
      <c r="K5271" s="6" t="str">
        <f t="shared" si="415"/>
        <v/>
      </c>
      <c r="L5271" s="7" t="str">
        <f t="shared" si="416"/>
        <v/>
      </c>
      <c r="M5271" s="7" t="str">
        <f t="shared" si="413"/>
        <v/>
      </c>
      <c r="N5271" s="7" t="str">
        <f t="shared" si="417"/>
        <v/>
      </c>
      <c r="O5271" s="8"/>
      <c r="P5271" s="26"/>
      <c r="S5271" s="10" t="str">
        <f t="shared" si="414"/>
        <v/>
      </c>
    </row>
    <row r="5272" spans="5:19" x14ac:dyDescent="0.3">
      <c r="E5272" s="9" t="str">
        <f>IF(DADOS!C5272="","",DADOS!C5272)</f>
        <v/>
      </c>
      <c r="F5272" s="9" t="str">
        <f>IF(DADOS!E5272="","",DADOS!E5272)</f>
        <v/>
      </c>
      <c r="G5272" s="9" t="str">
        <f>IF(DADOS!F5272="","",DADOS!F5272)</f>
        <v/>
      </c>
      <c r="K5272" s="6" t="str">
        <f t="shared" si="415"/>
        <v/>
      </c>
      <c r="L5272" s="7" t="str">
        <f t="shared" si="416"/>
        <v/>
      </c>
      <c r="M5272" s="7" t="str">
        <f t="shared" si="413"/>
        <v/>
      </c>
      <c r="N5272" s="7" t="str">
        <f t="shared" si="417"/>
        <v/>
      </c>
      <c r="O5272" s="8"/>
      <c r="P5272" s="26"/>
      <c r="S5272" s="10" t="str">
        <f t="shared" si="414"/>
        <v/>
      </c>
    </row>
    <row r="5273" spans="5:19" x14ac:dyDescent="0.3">
      <c r="E5273" s="9" t="str">
        <f>IF(DADOS!C5273="","",DADOS!C5273)</f>
        <v/>
      </c>
      <c r="F5273" s="9" t="str">
        <f>IF(DADOS!E5273="","",DADOS!E5273)</f>
        <v/>
      </c>
      <c r="G5273" s="9" t="str">
        <f>IF(DADOS!F5273="","",DADOS!F5273)</f>
        <v/>
      </c>
      <c r="K5273" s="6" t="str">
        <f t="shared" si="415"/>
        <v/>
      </c>
      <c r="L5273" s="7" t="str">
        <f t="shared" si="416"/>
        <v/>
      </c>
      <c r="M5273" s="7" t="str">
        <f t="shared" si="413"/>
        <v/>
      </c>
      <c r="N5273" s="7" t="str">
        <f t="shared" si="417"/>
        <v/>
      </c>
      <c r="O5273" s="8"/>
      <c r="P5273" s="26"/>
      <c r="S5273" s="10" t="str">
        <f t="shared" si="414"/>
        <v/>
      </c>
    </row>
    <row r="5274" spans="5:19" x14ac:dyDescent="0.3">
      <c r="E5274" s="9" t="str">
        <f>IF(DADOS!C5274="","",DADOS!C5274)</f>
        <v/>
      </c>
      <c r="F5274" s="9" t="str">
        <f>IF(DADOS!E5274="","",DADOS!E5274)</f>
        <v/>
      </c>
      <c r="G5274" s="9" t="str">
        <f>IF(DADOS!F5274="","",DADOS!F5274)</f>
        <v/>
      </c>
      <c r="K5274" s="6" t="str">
        <f t="shared" si="415"/>
        <v/>
      </c>
      <c r="L5274" s="7" t="str">
        <f t="shared" si="416"/>
        <v/>
      </c>
      <c r="M5274" s="7" t="str">
        <f t="shared" si="413"/>
        <v/>
      </c>
      <c r="N5274" s="7" t="str">
        <f t="shared" si="417"/>
        <v/>
      </c>
      <c r="O5274" s="8"/>
      <c r="P5274" s="26"/>
      <c r="S5274" s="10" t="str">
        <f t="shared" si="414"/>
        <v/>
      </c>
    </row>
    <row r="5275" spans="5:19" x14ac:dyDescent="0.3">
      <c r="E5275" s="9" t="str">
        <f>IF(DADOS!C5275="","",DADOS!C5275)</f>
        <v/>
      </c>
      <c r="F5275" s="9" t="str">
        <f>IF(DADOS!E5275="","",DADOS!E5275)</f>
        <v/>
      </c>
      <c r="G5275" s="9" t="str">
        <f>IF(DADOS!F5275="","",DADOS!F5275)</f>
        <v/>
      </c>
      <c r="K5275" s="6" t="str">
        <f t="shared" si="415"/>
        <v/>
      </c>
      <c r="L5275" s="7" t="str">
        <f t="shared" si="416"/>
        <v/>
      </c>
      <c r="M5275" s="7" t="str">
        <f t="shared" si="413"/>
        <v/>
      </c>
      <c r="N5275" s="7" t="str">
        <f t="shared" si="417"/>
        <v/>
      </c>
      <c r="O5275" s="8"/>
      <c r="P5275" s="26"/>
      <c r="S5275" s="10" t="str">
        <f t="shared" si="414"/>
        <v/>
      </c>
    </row>
    <row r="5276" spans="5:19" x14ac:dyDescent="0.3">
      <c r="E5276" s="9" t="str">
        <f>IF(DADOS!C5276="","",DADOS!C5276)</f>
        <v/>
      </c>
      <c r="F5276" s="9" t="str">
        <f>IF(DADOS!E5276="","",DADOS!E5276)</f>
        <v/>
      </c>
      <c r="G5276" s="9" t="str">
        <f>IF(DADOS!F5276="","",DADOS!F5276)</f>
        <v/>
      </c>
      <c r="K5276" s="6" t="str">
        <f t="shared" si="415"/>
        <v/>
      </c>
      <c r="L5276" s="7" t="str">
        <f t="shared" si="416"/>
        <v/>
      </c>
      <c r="M5276" s="7" t="str">
        <f t="shared" si="413"/>
        <v/>
      </c>
      <c r="N5276" s="7" t="str">
        <f t="shared" si="417"/>
        <v/>
      </c>
      <c r="O5276" s="8"/>
      <c r="P5276" s="26"/>
      <c r="S5276" s="10" t="str">
        <f t="shared" si="414"/>
        <v/>
      </c>
    </row>
    <row r="5277" spans="5:19" x14ac:dyDescent="0.3">
      <c r="E5277" s="9" t="str">
        <f>IF(DADOS!C5277="","",DADOS!C5277)</f>
        <v/>
      </c>
      <c r="F5277" s="9" t="str">
        <f>IF(DADOS!E5277="","",DADOS!E5277)</f>
        <v/>
      </c>
      <c r="G5277" s="9" t="str">
        <f>IF(DADOS!F5277="","",DADOS!F5277)</f>
        <v/>
      </c>
      <c r="K5277" s="6" t="str">
        <f t="shared" si="415"/>
        <v/>
      </c>
      <c r="L5277" s="7" t="str">
        <f t="shared" si="416"/>
        <v/>
      </c>
      <c r="M5277" s="7" t="str">
        <f t="shared" si="413"/>
        <v/>
      </c>
      <c r="N5277" s="7" t="str">
        <f t="shared" si="417"/>
        <v/>
      </c>
      <c r="O5277" s="8"/>
      <c r="P5277" s="26"/>
      <c r="S5277" s="10" t="str">
        <f t="shared" si="414"/>
        <v/>
      </c>
    </row>
    <row r="5278" spans="5:19" x14ac:dyDescent="0.3">
      <c r="E5278" s="9" t="str">
        <f>IF(DADOS!C5278="","",DADOS!C5278)</f>
        <v/>
      </c>
      <c r="F5278" s="9" t="str">
        <f>IF(DADOS!E5278="","",DADOS!E5278)</f>
        <v/>
      </c>
      <c r="G5278" s="9" t="str">
        <f>IF(DADOS!F5278="","",DADOS!F5278)</f>
        <v/>
      </c>
      <c r="K5278" s="6" t="str">
        <f t="shared" si="415"/>
        <v/>
      </c>
      <c r="L5278" s="7" t="str">
        <f t="shared" si="416"/>
        <v/>
      </c>
      <c r="M5278" s="7" t="str">
        <f t="shared" si="413"/>
        <v/>
      </c>
      <c r="N5278" s="7" t="str">
        <f t="shared" si="417"/>
        <v/>
      </c>
      <c r="O5278" s="8"/>
      <c r="P5278" s="26"/>
      <c r="S5278" s="10" t="str">
        <f t="shared" si="414"/>
        <v/>
      </c>
    </row>
    <row r="5279" spans="5:19" x14ac:dyDescent="0.3">
      <c r="E5279" s="9" t="str">
        <f>IF(DADOS!C5279="","",DADOS!C5279)</f>
        <v/>
      </c>
      <c r="F5279" s="9" t="str">
        <f>IF(DADOS!E5279="","",DADOS!E5279)</f>
        <v/>
      </c>
      <c r="G5279" s="9" t="str">
        <f>IF(DADOS!F5279="","",DADOS!F5279)</f>
        <v/>
      </c>
      <c r="K5279" s="6" t="str">
        <f t="shared" si="415"/>
        <v/>
      </c>
      <c r="L5279" s="7" t="str">
        <f t="shared" si="416"/>
        <v/>
      </c>
      <c r="M5279" s="7" t="str">
        <f t="shared" si="413"/>
        <v/>
      </c>
      <c r="N5279" s="7" t="str">
        <f t="shared" si="417"/>
        <v/>
      </c>
      <c r="O5279" s="8"/>
      <c r="P5279" s="26"/>
      <c r="S5279" s="10" t="str">
        <f t="shared" si="414"/>
        <v/>
      </c>
    </row>
    <row r="5280" spans="5:19" x14ac:dyDescent="0.3">
      <c r="E5280" s="9" t="str">
        <f>IF(DADOS!C5280="","",DADOS!C5280)</f>
        <v/>
      </c>
      <c r="F5280" s="9" t="str">
        <f>IF(DADOS!E5280="","",DADOS!E5280)</f>
        <v/>
      </c>
      <c r="G5280" s="9" t="str">
        <f>IF(DADOS!F5280="","",DADOS!F5280)</f>
        <v/>
      </c>
      <c r="K5280" s="6" t="str">
        <f t="shared" si="415"/>
        <v/>
      </c>
      <c r="L5280" s="7" t="str">
        <f t="shared" si="416"/>
        <v/>
      </c>
      <c r="M5280" s="7" t="str">
        <f t="shared" si="413"/>
        <v/>
      </c>
      <c r="N5280" s="7" t="str">
        <f t="shared" si="417"/>
        <v/>
      </c>
      <c r="O5280" s="8"/>
      <c r="P5280" s="26"/>
      <c r="S5280" s="10" t="str">
        <f t="shared" si="414"/>
        <v/>
      </c>
    </row>
    <row r="5281" spans="5:19" x14ac:dyDescent="0.3">
      <c r="E5281" s="9" t="str">
        <f>IF(DADOS!C5281="","",DADOS!C5281)</f>
        <v/>
      </c>
      <c r="F5281" s="9" t="str">
        <f>IF(DADOS!E5281="","",DADOS!E5281)</f>
        <v/>
      </c>
      <c r="G5281" s="9" t="str">
        <f>IF(DADOS!F5281="","",DADOS!F5281)</f>
        <v/>
      </c>
      <c r="K5281" s="6" t="str">
        <f t="shared" si="415"/>
        <v/>
      </c>
      <c r="L5281" s="7" t="str">
        <f t="shared" si="416"/>
        <v/>
      </c>
      <c r="M5281" s="7" t="str">
        <f t="shared" si="413"/>
        <v/>
      </c>
      <c r="N5281" s="7" t="str">
        <f t="shared" si="417"/>
        <v/>
      </c>
      <c r="O5281" s="8"/>
      <c r="P5281" s="26"/>
      <c r="S5281" s="10" t="str">
        <f t="shared" si="414"/>
        <v/>
      </c>
    </row>
    <row r="5282" spans="5:19" x14ac:dyDescent="0.3">
      <c r="E5282" s="9" t="str">
        <f>IF(DADOS!C5282="","",DADOS!C5282)</f>
        <v/>
      </c>
      <c r="F5282" s="9" t="str">
        <f>IF(DADOS!E5282="","",DADOS!E5282)</f>
        <v/>
      </c>
      <c r="G5282" s="9" t="str">
        <f>IF(DADOS!F5282="","",DADOS!F5282)</f>
        <v/>
      </c>
      <c r="K5282" s="6" t="str">
        <f t="shared" si="415"/>
        <v/>
      </c>
      <c r="L5282" s="7" t="str">
        <f t="shared" si="416"/>
        <v/>
      </c>
      <c r="M5282" s="7" t="str">
        <f t="shared" si="413"/>
        <v/>
      </c>
      <c r="N5282" s="7" t="str">
        <f t="shared" si="417"/>
        <v/>
      </c>
      <c r="O5282" s="8"/>
      <c r="P5282" s="26"/>
      <c r="S5282" s="10" t="str">
        <f t="shared" si="414"/>
        <v/>
      </c>
    </row>
    <row r="5283" spans="5:19" x14ac:dyDescent="0.3">
      <c r="E5283" s="9" t="str">
        <f>IF(DADOS!C5283="","",DADOS!C5283)</f>
        <v/>
      </c>
      <c r="F5283" s="9" t="str">
        <f>IF(DADOS!E5283="","",DADOS!E5283)</f>
        <v/>
      </c>
      <c r="G5283" s="9" t="str">
        <f>IF(DADOS!F5283="","",DADOS!F5283)</f>
        <v/>
      </c>
      <c r="K5283" s="6" t="str">
        <f t="shared" si="415"/>
        <v/>
      </c>
      <c r="L5283" s="7" t="str">
        <f t="shared" si="416"/>
        <v/>
      </c>
      <c r="M5283" s="7" t="str">
        <f t="shared" si="413"/>
        <v/>
      </c>
      <c r="N5283" s="7" t="str">
        <f t="shared" si="417"/>
        <v/>
      </c>
      <c r="O5283" s="8"/>
      <c r="P5283" s="26"/>
      <c r="S5283" s="10" t="str">
        <f t="shared" si="414"/>
        <v/>
      </c>
    </row>
    <row r="5284" spans="5:19" x14ac:dyDescent="0.3">
      <c r="E5284" s="9" t="str">
        <f>IF(DADOS!C5284="","",DADOS!C5284)</f>
        <v/>
      </c>
      <c r="F5284" s="9" t="str">
        <f>IF(DADOS!E5284="","",DADOS!E5284)</f>
        <v/>
      </c>
      <c r="G5284" s="9" t="str">
        <f>IF(DADOS!F5284="","",DADOS!F5284)</f>
        <v/>
      </c>
      <c r="K5284" s="6" t="str">
        <f t="shared" si="415"/>
        <v/>
      </c>
      <c r="L5284" s="7" t="str">
        <f t="shared" si="416"/>
        <v/>
      </c>
      <c r="M5284" s="7" t="str">
        <f t="shared" si="413"/>
        <v/>
      </c>
      <c r="N5284" s="7" t="str">
        <f t="shared" si="417"/>
        <v/>
      </c>
      <c r="O5284" s="8"/>
      <c r="P5284" s="26"/>
      <c r="S5284" s="10" t="str">
        <f t="shared" si="414"/>
        <v/>
      </c>
    </row>
    <row r="5285" spans="5:19" x14ac:dyDescent="0.3">
      <c r="E5285" s="9" t="str">
        <f>IF(DADOS!C5285="","",DADOS!C5285)</f>
        <v/>
      </c>
      <c r="F5285" s="9" t="str">
        <f>IF(DADOS!E5285="","",DADOS!E5285)</f>
        <v/>
      </c>
      <c r="G5285" s="9" t="str">
        <f>IF(DADOS!F5285="","",DADOS!F5285)</f>
        <v/>
      </c>
      <c r="K5285" s="6" t="str">
        <f t="shared" si="415"/>
        <v/>
      </c>
      <c r="L5285" s="7" t="str">
        <f t="shared" si="416"/>
        <v/>
      </c>
      <c r="M5285" s="7" t="str">
        <f t="shared" si="413"/>
        <v/>
      </c>
      <c r="N5285" s="7" t="str">
        <f t="shared" si="417"/>
        <v/>
      </c>
      <c r="O5285" s="8"/>
      <c r="P5285" s="26"/>
      <c r="S5285" s="10" t="str">
        <f t="shared" si="414"/>
        <v/>
      </c>
    </row>
    <row r="5286" spans="5:19" x14ac:dyDescent="0.3">
      <c r="E5286" s="9" t="str">
        <f>IF(DADOS!C5286="","",DADOS!C5286)</f>
        <v/>
      </c>
      <c r="F5286" s="9" t="str">
        <f>IF(DADOS!E5286="","",DADOS!E5286)</f>
        <v/>
      </c>
      <c r="G5286" s="9" t="str">
        <f>IF(DADOS!F5286="","",DADOS!F5286)</f>
        <v/>
      </c>
      <c r="K5286" s="6" t="str">
        <f t="shared" si="415"/>
        <v/>
      </c>
      <c r="L5286" s="7" t="str">
        <f t="shared" si="416"/>
        <v/>
      </c>
      <c r="M5286" s="7" t="str">
        <f t="shared" si="413"/>
        <v/>
      </c>
      <c r="N5286" s="7" t="str">
        <f t="shared" si="417"/>
        <v/>
      </c>
      <c r="O5286" s="8"/>
      <c r="P5286" s="26"/>
      <c r="S5286" s="10" t="str">
        <f t="shared" si="414"/>
        <v/>
      </c>
    </row>
    <row r="5287" spans="5:19" x14ac:dyDescent="0.3">
      <c r="E5287" s="9" t="str">
        <f>IF(DADOS!C5287="","",DADOS!C5287)</f>
        <v/>
      </c>
      <c r="F5287" s="9" t="str">
        <f>IF(DADOS!E5287="","",DADOS!E5287)</f>
        <v/>
      </c>
      <c r="G5287" s="9" t="str">
        <f>IF(DADOS!F5287="","",DADOS!F5287)</f>
        <v/>
      </c>
      <c r="K5287" s="6" t="str">
        <f t="shared" si="415"/>
        <v/>
      </c>
      <c r="L5287" s="7" t="str">
        <f t="shared" si="416"/>
        <v/>
      </c>
      <c r="M5287" s="7" t="str">
        <f t="shared" si="413"/>
        <v/>
      </c>
      <c r="N5287" s="7" t="str">
        <f t="shared" si="417"/>
        <v/>
      </c>
      <c r="O5287" s="8"/>
      <c r="P5287" s="26"/>
      <c r="S5287" s="10" t="str">
        <f t="shared" si="414"/>
        <v/>
      </c>
    </row>
    <row r="5288" spans="5:19" x14ac:dyDescent="0.3">
      <c r="E5288" s="9" t="str">
        <f>IF(DADOS!C5288="","",DADOS!C5288)</f>
        <v/>
      </c>
      <c r="F5288" s="9" t="str">
        <f>IF(DADOS!E5288="","",DADOS!E5288)</f>
        <v/>
      </c>
      <c r="G5288" s="9" t="str">
        <f>IF(DADOS!F5288="","",DADOS!F5288)</f>
        <v/>
      </c>
      <c r="K5288" s="6" t="str">
        <f t="shared" si="415"/>
        <v/>
      </c>
      <c r="L5288" s="7" t="str">
        <f t="shared" si="416"/>
        <v/>
      </c>
      <c r="M5288" s="7" t="str">
        <f t="shared" si="413"/>
        <v/>
      </c>
      <c r="N5288" s="7" t="str">
        <f t="shared" si="417"/>
        <v/>
      </c>
      <c r="O5288" s="8"/>
      <c r="P5288" s="26"/>
      <c r="S5288" s="10" t="str">
        <f t="shared" si="414"/>
        <v/>
      </c>
    </row>
    <row r="5289" spans="5:19" x14ac:dyDescent="0.3">
      <c r="E5289" s="9" t="str">
        <f>IF(DADOS!C5289="","",DADOS!C5289)</f>
        <v/>
      </c>
      <c r="F5289" s="9" t="str">
        <f>IF(DADOS!E5289="","",DADOS!E5289)</f>
        <v/>
      </c>
      <c r="G5289" s="9" t="str">
        <f>IF(DADOS!F5289="","",DADOS!F5289)</f>
        <v/>
      </c>
      <c r="K5289" s="6" t="str">
        <f t="shared" si="415"/>
        <v/>
      </c>
      <c r="L5289" s="7" t="str">
        <f t="shared" si="416"/>
        <v/>
      </c>
      <c r="M5289" s="7" t="str">
        <f t="shared" si="413"/>
        <v/>
      </c>
      <c r="N5289" s="7" t="str">
        <f t="shared" si="417"/>
        <v/>
      </c>
      <c r="O5289" s="8"/>
      <c r="P5289" s="26"/>
      <c r="S5289" s="10" t="str">
        <f t="shared" si="414"/>
        <v/>
      </c>
    </row>
    <row r="5290" spans="5:19" x14ac:dyDescent="0.3">
      <c r="E5290" s="9" t="str">
        <f>IF(DADOS!C5290="","",DADOS!C5290)</f>
        <v/>
      </c>
      <c r="F5290" s="9" t="str">
        <f>IF(DADOS!E5290="","",DADOS!E5290)</f>
        <v/>
      </c>
      <c r="G5290" s="9" t="str">
        <f>IF(DADOS!F5290="","",DADOS!F5290)</f>
        <v/>
      </c>
      <c r="K5290" s="6" t="str">
        <f t="shared" si="415"/>
        <v/>
      </c>
      <c r="L5290" s="7" t="str">
        <f t="shared" si="416"/>
        <v/>
      </c>
      <c r="M5290" s="7" t="str">
        <f t="shared" si="413"/>
        <v/>
      </c>
      <c r="N5290" s="7" t="str">
        <f t="shared" si="417"/>
        <v/>
      </c>
      <c r="O5290" s="8"/>
      <c r="P5290" s="26"/>
      <c r="S5290" s="10" t="str">
        <f t="shared" si="414"/>
        <v/>
      </c>
    </row>
    <row r="5291" spans="5:19" x14ac:dyDescent="0.3">
      <c r="E5291" s="9" t="str">
        <f>IF(DADOS!C5291="","",DADOS!C5291)</f>
        <v/>
      </c>
      <c r="F5291" s="9" t="str">
        <f>IF(DADOS!E5291="","",DADOS!E5291)</f>
        <v/>
      </c>
      <c r="G5291" s="9" t="str">
        <f>IF(DADOS!F5291="","",DADOS!F5291)</f>
        <v/>
      </c>
      <c r="K5291" s="6" t="str">
        <f t="shared" si="415"/>
        <v/>
      </c>
      <c r="L5291" s="7" t="str">
        <f t="shared" si="416"/>
        <v/>
      </c>
      <c r="M5291" s="7" t="str">
        <f t="shared" si="413"/>
        <v/>
      </c>
      <c r="N5291" s="7" t="str">
        <f t="shared" si="417"/>
        <v/>
      </c>
      <c r="O5291" s="8"/>
      <c r="P5291" s="26"/>
      <c r="S5291" s="10" t="str">
        <f t="shared" si="414"/>
        <v/>
      </c>
    </row>
    <row r="5292" spans="5:19" x14ac:dyDescent="0.3">
      <c r="E5292" s="9" t="str">
        <f>IF(DADOS!C5292="","",DADOS!C5292)</f>
        <v/>
      </c>
      <c r="F5292" s="9" t="str">
        <f>IF(DADOS!E5292="","",DADOS!E5292)</f>
        <v/>
      </c>
      <c r="G5292" s="9" t="str">
        <f>IF(DADOS!F5292="","",DADOS!F5292)</f>
        <v/>
      </c>
      <c r="K5292" s="6" t="str">
        <f t="shared" si="415"/>
        <v/>
      </c>
      <c r="L5292" s="7" t="str">
        <f t="shared" si="416"/>
        <v/>
      </c>
      <c r="M5292" s="7" t="str">
        <f t="shared" si="413"/>
        <v/>
      </c>
      <c r="N5292" s="7" t="str">
        <f t="shared" si="417"/>
        <v/>
      </c>
      <c r="O5292" s="8"/>
      <c r="P5292" s="26"/>
      <c r="S5292" s="10" t="str">
        <f t="shared" si="414"/>
        <v/>
      </c>
    </row>
    <row r="5293" spans="5:19" x14ac:dyDescent="0.3">
      <c r="E5293" s="9" t="str">
        <f>IF(DADOS!C5293="","",DADOS!C5293)</f>
        <v/>
      </c>
      <c r="F5293" s="9" t="str">
        <f>IF(DADOS!E5293="","",DADOS!E5293)</f>
        <v/>
      </c>
      <c r="G5293" s="9" t="str">
        <f>IF(DADOS!F5293="","",DADOS!F5293)</f>
        <v/>
      </c>
      <c r="K5293" s="6" t="str">
        <f t="shared" si="415"/>
        <v/>
      </c>
      <c r="L5293" s="7" t="str">
        <f t="shared" si="416"/>
        <v/>
      </c>
      <c r="M5293" s="7" t="str">
        <f t="shared" si="413"/>
        <v/>
      </c>
      <c r="N5293" s="7" t="str">
        <f t="shared" si="417"/>
        <v/>
      </c>
      <c r="O5293" s="8"/>
      <c r="P5293" s="26"/>
      <c r="S5293" s="10" t="str">
        <f t="shared" si="414"/>
        <v/>
      </c>
    </row>
    <row r="5294" spans="5:19" x14ac:dyDescent="0.3">
      <c r="E5294" s="9" t="str">
        <f>IF(DADOS!C5294="","",DADOS!C5294)</f>
        <v/>
      </c>
      <c r="F5294" s="9" t="str">
        <f>IF(DADOS!E5294="","",DADOS!E5294)</f>
        <v/>
      </c>
      <c r="G5294" s="9" t="str">
        <f>IF(DADOS!F5294="","",DADOS!F5294)</f>
        <v/>
      </c>
      <c r="K5294" s="6" t="str">
        <f t="shared" si="415"/>
        <v/>
      </c>
      <c r="L5294" s="7" t="str">
        <f t="shared" si="416"/>
        <v/>
      </c>
      <c r="M5294" s="7" t="str">
        <f t="shared" si="413"/>
        <v/>
      </c>
      <c r="N5294" s="7" t="str">
        <f t="shared" si="417"/>
        <v/>
      </c>
      <c r="O5294" s="8"/>
      <c r="P5294" s="26"/>
      <c r="S5294" s="10" t="str">
        <f t="shared" si="414"/>
        <v/>
      </c>
    </row>
    <row r="5295" spans="5:19" x14ac:dyDescent="0.3">
      <c r="E5295" s="9" t="str">
        <f>IF(DADOS!C5295="","",DADOS!C5295)</f>
        <v/>
      </c>
      <c r="F5295" s="9" t="str">
        <f>IF(DADOS!E5295="","",DADOS!E5295)</f>
        <v/>
      </c>
      <c r="G5295" s="9" t="str">
        <f>IF(DADOS!F5295="","",DADOS!F5295)</f>
        <v/>
      </c>
      <c r="K5295" s="6" t="str">
        <f t="shared" si="415"/>
        <v/>
      </c>
      <c r="L5295" s="7" t="str">
        <f t="shared" si="416"/>
        <v/>
      </c>
      <c r="M5295" s="7" t="str">
        <f t="shared" si="413"/>
        <v/>
      </c>
      <c r="N5295" s="7" t="str">
        <f t="shared" si="417"/>
        <v/>
      </c>
      <c r="O5295" s="8"/>
      <c r="P5295" s="26"/>
      <c r="S5295" s="10" t="str">
        <f t="shared" si="414"/>
        <v/>
      </c>
    </row>
    <row r="5296" spans="5:19" x14ac:dyDescent="0.3">
      <c r="E5296" s="9" t="str">
        <f>IF(DADOS!C5296="","",DADOS!C5296)</f>
        <v/>
      </c>
      <c r="F5296" s="9" t="str">
        <f>IF(DADOS!E5296="","",DADOS!E5296)</f>
        <v/>
      </c>
      <c r="G5296" s="9" t="str">
        <f>IF(DADOS!F5296="","",DADOS!F5296)</f>
        <v/>
      </c>
      <c r="K5296" s="6" t="str">
        <f t="shared" si="415"/>
        <v/>
      </c>
      <c r="L5296" s="7" t="str">
        <f t="shared" si="416"/>
        <v/>
      </c>
      <c r="M5296" s="7" t="str">
        <f t="shared" si="413"/>
        <v/>
      </c>
      <c r="N5296" s="7" t="str">
        <f t="shared" si="417"/>
        <v/>
      </c>
      <c r="O5296" s="8"/>
      <c r="P5296" s="26"/>
      <c r="S5296" s="10" t="str">
        <f t="shared" si="414"/>
        <v/>
      </c>
    </row>
    <row r="5297" spans="5:19" x14ac:dyDescent="0.3">
      <c r="E5297" s="9" t="str">
        <f>IF(DADOS!C5297="","",DADOS!C5297)</f>
        <v/>
      </c>
      <c r="F5297" s="9" t="str">
        <f>IF(DADOS!E5297="","",DADOS!E5297)</f>
        <v/>
      </c>
      <c r="G5297" s="9" t="str">
        <f>IF(DADOS!F5297="","",DADOS!F5297)</f>
        <v/>
      </c>
      <c r="K5297" s="6" t="str">
        <f t="shared" si="415"/>
        <v/>
      </c>
      <c r="L5297" s="7" t="str">
        <f t="shared" si="416"/>
        <v/>
      </c>
      <c r="M5297" s="7" t="str">
        <f t="shared" si="413"/>
        <v/>
      </c>
      <c r="N5297" s="7" t="str">
        <f t="shared" si="417"/>
        <v/>
      </c>
      <c r="O5297" s="8"/>
      <c r="P5297" s="26"/>
      <c r="S5297" s="10" t="str">
        <f t="shared" si="414"/>
        <v/>
      </c>
    </row>
    <row r="5298" spans="5:19" x14ac:dyDescent="0.3">
      <c r="E5298" s="9" t="str">
        <f>IF(DADOS!C5298="","",DADOS!C5298)</f>
        <v/>
      </c>
      <c r="F5298" s="9" t="str">
        <f>IF(DADOS!E5298="","",DADOS!E5298)</f>
        <v/>
      </c>
      <c r="G5298" s="9" t="str">
        <f>IF(DADOS!F5298="","",DADOS!F5298)</f>
        <v/>
      </c>
      <c r="K5298" s="6" t="str">
        <f t="shared" si="415"/>
        <v/>
      </c>
      <c r="L5298" s="7" t="str">
        <f t="shared" si="416"/>
        <v/>
      </c>
      <c r="M5298" s="7" t="str">
        <f t="shared" si="413"/>
        <v/>
      </c>
      <c r="N5298" s="7" t="str">
        <f t="shared" si="417"/>
        <v/>
      </c>
      <c r="O5298" s="8"/>
      <c r="P5298" s="26"/>
      <c r="S5298" s="10" t="str">
        <f t="shared" si="414"/>
        <v/>
      </c>
    </row>
    <row r="5299" spans="5:19" x14ac:dyDescent="0.3">
      <c r="E5299" s="9" t="str">
        <f>IF(DADOS!C5299="","",DADOS!C5299)</f>
        <v/>
      </c>
      <c r="F5299" s="9" t="str">
        <f>IF(DADOS!E5299="","",DADOS!E5299)</f>
        <v/>
      </c>
      <c r="G5299" s="9" t="str">
        <f>IF(DADOS!F5299="","",DADOS!F5299)</f>
        <v/>
      </c>
      <c r="K5299" s="6" t="str">
        <f t="shared" si="415"/>
        <v/>
      </c>
      <c r="L5299" s="7" t="str">
        <f t="shared" si="416"/>
        <v/>
      </c>
      <c r="M5299" s="7" t="str">
        <f t="shared" si="413"/>
        <v/>
      </c>
      <c r="N5299" s="7" t="str">
        <f t="shared" si="417"/>
        <v/>
      </c>
      <c r="O5299" s="8"/>
      <c r="P5299" s="26"/>
      <c r="S5299" s="10" t="str">
        <f t="shared" si="414"/>
        <v/>
      </c>
    </row>
    <row r="5300" spans="5:19" x14ac:dyDescent="0.3">
      <c r="E5300" s="9" t="str">
        <f>IF(DADOS!C5300="","",DADOS!C5300)</f>
        <v/>
      </c>
      <c r="F5300" s="9" t="str">
        <f>IF(DADOS!E5300="","",DADOS!E5300)</f>
        <v/>
      </c>
      <c r="G5300" s="9" t="str">
        <f>IF(DADOS!F5300="","",DADOS!F5300)</f>
        <v/>
      </c>
      <c r="K5300" s="6" t="str">
        <f t="shared" si="415"/>
        <v/>
      </c>
      <c r="L5300" s="7" t="str">
        <f t="shared" si="416"/>
        <v/>
      </c>
      <c r="M5300" s="7" t="str">
        <f t="shared" si="413"/>
        <v/>
      </c>
      <c r="N5300" s="7" t="str">
        <f t="shared" si="417"/>
        <v/>
      </c>
      <c r="O5300" s="8"/>
      <c r="P5300" s="26"/>
      <c r="S5300" s="10" t="str">
        <f t="shared" si="414"/>
        <v/>
      </c>
    </row>
    <row r="5301" spans="5:19" x14ac:dyDescent="0.3">
      <c r="E5301" s="9" t="str">
        <f>IF(DADOS!C5301="","",DADOS!C5301)</f>
        <v/>
      </c>
      <c r="F5301" s="9" t="str">
        <f>IF(DADOS!E5301="","",DADOS!E5301)</f>
        <v/>
      </c>
      <c r="G5301" s="9" t="str">
        <f>IF(DADOS!F5301="","",DADOS!F5301)</f>
        <v/>
      </c>
      <c r="K5301" s="6" t="str">
        <f t="shared" si="415"/>
        <v/>
      </c>
      <c r="L5301" s="7" t="str">
        <f t="shared" si="416"/>
        <v/>
      </c>
      <c r="M5301" s="7" t="str">
        <f t="shared" si="413"/>
        <v/>
      </c>
      <c r="N5301" s="7" t="str">
        <f t="shared" si="417"/>
        <v/>
      </c>
      <c r="O5301" s="8"/>
      <c r="P5301" s="26"/>
      <c r="S5301" s="10" t="str">
        <f t="shared" si="414"/>
        <v/>
      </c>
    </row>
    <row r="5302" spans="5:19" x14ac:dyDescent="0.3">
      <c r="E5302" s="9" t="str">
        <f>IF(DADOS!C5302="","",DADOS!C5302)</f>
        <v/>
      </c>
      <c r="F5302" s="9" t="str">
        <f>IF(DADOS!E5302="","",DADOS!E5302)</f>
        <v/>
      </c>
      <c r="G5302" s="9" t="str">
        <f>IF(DADOS!F5302="","",DADOS!F5302)</f>
        <v/>
      </c>
      <c r="K5302" s="6" t="str">
        <f t="shared" si="415"/>
        <v/>
      </c>
      <c r="L5302" s="7" t="str">
        <f t="shared" si="416"/>
        <v/>
      </c>
      <c r="M5302" s="7" t="str">
        <f t="shared" si="413"/>
        <v/>
      </c>
      <c r="N5302" s="7" t="str">
        <f t="shared" si="417"/>
        <v/>
      </c>
      <c r="O5302" s="8"/>
      <c r="P5302" s="26"/>
      <c r="S5302" s="10" t="str">
        <f t="shared" si="414"/>
        <v/>
      </c>
    </row>
    <row r="5303" spans="5:19" x14ac:dyDescent="0.3">
      <c r="E5303" s="9" t="str">
        <f>IF(DADOS!C5303="","",DADOS!C5303)</f>
        <v/>
      </c>
      <c r="F5303" s="9" t="str">
        <f>IF(DADOS!E5303="","",DADOS!E5303)</f>
        <v/>
      </c>
      <c r="G5303" s="9" t="str">
        <f>IF(DADOS!F5303="","",DADOS!F5303)</f>
        <v/>
      </c>
      <c r="K5303" s="6" t="str">
        <f t="shared" si="415"/>
        <v/>
      </c>
      <c r="L5303" s="7" t="str">
        <f t="shared" si="416"/>
        <v/>
      </c>
      <c r="M5303" s="7" t="str">
        <f t="shared" si="413"/>
        <v/>
      </c>
      <c r="N5303" s="7" t="str">
        <f t="shared" si="417"/>
        <v/>
      </c>
      <c r="O5303" s="8"/>
      <c r="P5303" s="26"/>
      <c r="S5303" s="10" t="str">
        <f t="shared" si="414"/>
        <v/>
      </c>
    </row>
    <row r="5304" spans="5:19" x14ac:dyDescent="0.3">
      <c r="E5304" s="9" t="str">
        <f>IF(DADOS!C5304="","",DADOS!C5304)</f>
        <v/>
      </c>
      <c r="F5304" s="9" t="str">
        <f>IF(DADOS!E5304="","",DADOS!E5304)</f>
        <v/>
      </c>
      <c r="G5304" s="9" t="str">
        <f>IF(DADOS!F5304="","",DADOS!F5304)</f>
        <v/>
      </c>
      <c r="K5304" s="6" t="str">
        <f t="shared" si="415"/>
        <v/>
      </c>
      <c r="L5304" s="7" t="str">
        <f t="shared" si="416"/>
        <v/>
      </c>
      <c r="M5304" s="7" t="str">
        <f t="shared" si="413"/>
        <v/>
      </c>
      <c r="N5304" s="7" t="str">
        <f t="shared" si="417"/>
        <v/>
      </c>
      <c r="O5304" s="8"/>
      <c r="P5304" s="26"/>
      <c r="S5304" s="10" t="str">
        <f t="shared" si="414"/>
        <v/>
      </c>
    </row>
    <row r="5305" spans="5:19" x14ac:dyDescent="0.3">
      <c r="E5305" s="9" t="str">
        <f>IF(DADOS!C5305="","",DADOS!C5305)</f>
        <v/>
      </c>
      <c r="F5305" s="9" t="str">
        <f>IF(DADOS!E5305="","",DADOS!E5305)</f>
        <v/>
      </c>
      <c r="G5305" s="9" t="str">
        <f>IF(DADOS!F5305="","",DADOS!F5305)</f>
        <v/>
      </c>
      <c r="K5305" s="6" t="str">
        <f t="shared" si="415"/>
        <v/>
      </c>
      <c r="L5305" s="7" t="str">
        <f t="shared" si="416"/>
        <v/>
      </c>
      <c r="M5305" s="7" t="str">
        <f t="shared" si="413"/>
        <v/>
      </c>
      <c r="N5305" s="7" t="str">
        <f t="shared" si="417"/>
        <v/>
      </c>
      <c r="O5305" s="8"/>
      <c r="P5305" s="26"/>
      <c r="S5305" s="10" t="str">
        <f t="shared" si="414"/>
        <v/>
      </c>
    </row>
    <row r="5306" spans="5:19" x14ac:dyDescent="0.3">
      <c r="E5306" s="9" t="str">
        <f>IF(DADOS!C5306="","",DADOS!C5306)</f>
        <v/>
      </c>
      <c r="F5306" s="9" t="str">
        <f>IF(DADOS!E5306="","",DADOS!E5306)</f>
        <v/>
      </c>
      <c r="G5306" s="9" t="str">
        <f>IF(DADOS!F5306="","",DADOS!F5306)</f>
        <v/>
      </c>
      <c r="K5306" s="6" t="str">
        <f t="shared" si="415"/>
        <v/>
      </c>
      <c r="L5306" s="7" t="str">
        <f t="shared" si="416"/>
        <v/>
      </c>
      <c r="M5306" s="7" t="str">
        <f t="shared" si="413"/>
        <v/>
      </c>
      <c r="N5306" s="7" t="str">
        <f t="shared" si="417"/>
        <v/>
      </c>
      <c r="O5306" s="8"/>
      <c r="P5306" s="26"/>
      <c r="S5306" s="10" t="str">
        <f t="shared" si="414"/>
        <v/>
      </c>
    </row>
    <row r="5307" spans="5:19" x14ac:dyDescent="0.3">
      <c r="E5307" s="9" t="str">
        <f>IF(DADOS!C5307="","",DADOS!C5307)</f>
        <v/>
      </c>
      <c r="F5307" s="9" t="str">
        <f>IF(DADOS!E5307="","",DADOS!E5307)</f>
        <v/>
      </c>
      <c r="G5307" s="9" t="str">
        <f>IF(DADOS!F5307="","",DADOS!F5307)</f>
        <v/>
      </c>
      <c r="K5307" s="6" t="str">
        <f t="shared" si="415"/>
        <v/>
      </c>
      <c r="L5307" s="7" t="str">
        <f t="shared" si="416"/>
        <v/>
      </c>
      <c r="M5307" s="7" t="str">
        <f t="shared" si="413"/>
        <v/>
      </c>
      <c r="N5307" s="7" t="str">
        <f t="shared" si="417"/>
        <v/>
      </c>
      <c r="O5307" s="8"/>
      <c r="P5307" s="26"/>
      <c r="S5307" s="10" t="str">
        <f t="shared" si="414"/>
        <v/>
      </c>
    </row>
    <row r="5308" spans="5:19" x14ac:dyDescent="0.3">
      <c r="E5308" s="9" t="str">
        <f>IF(DADOS!C5308="","",DADOS!C5308)</f>
        <v/>
      </c>
      <c r="F5308" s="9" t="str">
        <f>IF(DADOS!E5308="","",DADOS!E5308)</f>
        <v/>
      </c>
      <c r="G5308" s="9" t="str">
        <f>IF(DADOS!F5308="","",DADOS!F5308)</f>
        <v/>
      </c>
      <c r="K5308" s="6" t="str">
        <f t="shared" si="415"/>
        <v/>
      </c>
      <c r="L5308" s="7" t="str">
        <f t="shared" si="416"/>
        <v/>
      </c>
      <c r="M5308" s="7" t="str">
        <f t="shared" si="413"/>
        <v/>
      </c>
      <c r="N5308" s="7" t="str">
        <f t="shared" si="417"/>
        <v/>
      </c>
      <c r="O5308" s="8"/>
      <c r="P5308" s="26"/>
      <c r="S5308" s="10" t="str">
        <f t="shared" si="414"/>
        <v/>
      </c>
    </row>
    <row r="5309" spans="5:19" x14ac:dyDescent="0.3">
      <c r="E5309" s="9" t="str">
        <f>IF(DADOS!C5309="","",DADOS!C5309)</f>
        <v/>
      </c>
      <c r="F5309" s="9" t="str">
        <f>IF(DADOS!E5309="","",DADOS!E5309)</f>
        <v/>
      </c>
      <c r="G5309" s="9" t="str">
        <f>IF(DADOS!F5309="","",DADOS!F5309)</f>
        <v/>
      </c>
      <c r="K5309" s="6" t="str">
        <f t="shared" si="415"/>
        <v/>
      </c>
      <c r="L5309" s="7" t="str">
        <f t="shared" si="416"/>
        <v/>
      </c>
      <c r="M5309" s="7" t="str">
        <f t="shared" si="413"/>
        <v/>
      </c>
      <c r="N5309" s="7" t="str">
        <f t="shared" si="417"/>
        <v/>
      </c>
      <c r="O5309" s="8"/>
      <c r="P5309" s="26"/>
      <c r="S5309" s="10" t="str">
        <f t="shared" si="414"/>
        <v/>
      </c>
    </row>
    <row r="5310" spans="5:19" x14ac:dyDescent="0.3">
      <c r="E5310" s="9" t="str">
        <f>IF(DADOS!C5310="","",DADOS!C5310)</f>
        <v/>
      </c>
      <c r="F5310" s="9" t="str">
        <f>IF(DADOS!E5310="","",DADOS!E5310)</f>
        <v/>
      </c>
      <c r="G5310" s="9" t="str">
        <f>IF(DADOS!F5310="","",DADOS!F5310)</f>
        <v/>
      </c>
      <c r="K5310" s="6" t="str">
        <f t="shared" si="415"/>
        <v/>
      </c>
      <c r="L5310" s="7" t="str">
        <f t="shared" si="416"/>
        <v/>
      </c>
      <c r="M5310" s="7" t="str">
        <f t="shared" si="413"/>
        <v/>
      </c>
      <c r="N5310" s="7" t="str">
        <f t="shared" si="417"/>
        <v/>
      </c>
      <c r="O5310" s="8"/>
      <c r="P5310" s="26"/>
      <c r="S5310" s="10" t="str">
        <f t="shared" si="414"/>
        <v/>
      </c>
    </row>
    <row r="5311" spans="5:19" x14ac:dyDescent="0.3">
      <c r="E5311" s="9" t="str">
        <f>IF(DADOS!C5311="","",DADOS!C5311)</f>
        <v/>
      </c>
      <c r="F5311" s="9" t="str">
        <f>IF(DADOS!E5311="","",DADOS!E5311)</f>
        <v/>
      </c>
      <c r="G5311" s="9" t="str">
        <f>IF(DADOS!F5311="","",DADOS!F5311)</f>
        <v/>
      </c>
      <c r="K5311" s="6" t="str">
        <f t="shared" si="415"/>
        <v/>
      </c>
      <c r="L5311" s="7" t="str">
        <f t="shared" si="416"/>
        <v/>
      </c>
      <c r="M5311" s="7" t="str">
        <f t="shared" si="413"/>
        <v/>
      </c>
      <c r="N5311" s="7" t="str">
        <f t="shared" si="417"/>
        <v/>
      </c>
      <c r="O5311" s="8"/>
      <c r="P5311" s="26"/>
      <c r="S5311" s="10" t="str">
        <f t="shared" si="414"/>
        <v/>
      </c>
    </row>
    <row r="5312" spans="5:19" x14ac:dyDescent="0.3">
      <c r="E5312" s="9" t="str">
        <f>IF(DADOS!C5312="","",DADOS!C5312)</f>
        <v/>
      </c>
      <c r="F5312" s="9" t="str">
        <f>IF(DADOS!E5312="","",DADOS!E5312)</f>
        <v/>
      </c>
      <c r="G5312" s="9" t="str">
        <f>IF(DADOS!F5312="","",DADOS!F5312)</f>
        <v/>
      </c>
      <c r="K5312" s="6" t="str">
        <f t="shared" si="415"/>
        <v/>
      </c>
      <c r="L5312" s="7" t="str">
        <f t="shared" si="416"/>
        <v/>
      </c>
      <c r="M5312" s="7" t="str">
        <f t="shared" si="413"/>
        <v/>
      </c>
      <c r="N5312" s="7" t="str">
        <f t="shared" si="417"/>
        <v/>
      </c>
      <c r="O5312" s="8"/>
      <c r="P5312" s="26"/>
      <c r="S5312" s="10" t="str">
        <f t="shared" si="414"/>
        <v/>
      </c>
    </row>
    <row r="5313" spans="5:19" x14ac:dyDescent="0.3">
      <c r="E5313" s="9" t="str">
        <f>IF(DADOS!C5313="","",DADOS!C5313)</f>
        <v/>
      </c>
      <c r="F5313" s="9" t="str">
        <f>IF(DADOS!E5313="","",DADOS!E5313)</f>
        <v/>
      </c>
      <c r="G5313" s="9" t="str">
        <f>IF(DADOS!F5313="","",DADOS!F5313)</f>
        <v/>
      </c>
      <c r="K5313" s="6" t="str">
        <f t="shared" si="415"/>
        <v/>
      </c>
      <c r="L5313" s="7" t="str">
        <f t="shared" si="416"/>
        <v/>
      </c>
      <c r="M5313" s="7" t="str">
        <f t="shared" si="413"/>
        <v/>
      </c>
      <c r="N5313" s="7" t="str">
        <f t="shared" si="417"/>
        <v/>
      </c>
      <c r="O5313" s="8"/>
      <c r="P5313" s="26"/>
      <c r="S5313" s="10" t="str">
        <f t="shared" si="414"/>
        <v/>
      </c>
    </row>
    <row r="5314" spans="5:19" x14ac:dyDescent="0.3">
      <c r="E5314" s="9" t="str">
        <f>IF(DADOS!C5314="","",DADOS!C5314)</f>
        <v/>
      </c>
      <c r="F5314" s="9" t="str">
        <f>IF(DADOS!E5314="","",DADOS!E5314)</f>
        <v/>
      </c>
      <c r="G5314" s="9" t="str">
        <f>IF(DADOS!F5314="","",DADOS!F5314)</f>
        <v/>
      </c>
      <c r="K5314" s="6" t="str">
        <f t="shared" si="415"/>
        <v/>
      </c>
      <c r="L5314" s="7" t="str">
        <f t="shared" si="416"/>
        <v/>
      </c>
      <c r="M5314" s="7" t="str">
        <f t="shared" si="413"/>
        <v/>
      </c>
      <c r="N5314" s="7" t="str">
        <f t="shared" si="417"/>
        <v/>
      </c>
      <c r="O5314" s="8"/>
      <c r="P5314" s="26"/>
      <c r="S5314" s="10" t="str">
        <f t="shared" si="414"/>
        <v/>
      </c>
    </row>
    <row r="5315" spans="5:19" x14ac:dyDescent="0.3">
      <c r="E5315" s="9" t="str">
        <f>IF(DADOS!C5315="","",DADOS!C5315)</f>
        <v/>
      </c>
      <c r="F5315" s="9" t="str">
        <f>IF(DADOS!E5315="","",DADOS!E5315)</f>
        <v/>
      </c>
      <c r="G5315" s="9" t="str">
        <f>IF(DADOS!F5315="","",DADOS!F5315)</f>
        <v/>
      </c>
      <c r="K5315" s="6" t="str">
        <f t="shared" si="415"/>
        <v/>
      </c>
      <c r="L5315" s="7" t="str">
        <f t="shared" si="416"/>
        <v/>
      </c>
      <c r="M5315" s="7" t="str">
        <f t="shared" ref="M5315:M5378" si="418">IF(L5315="","",L5315*G5315)</f>
        <v/>
      </c>
      <c r="N5315" s="7" t="str">
        <f t="shared" si="417"/>
        <v/>
      </c>
      <c r="O5315" s="8"/>
      <c r="P5315" s="26"/>
      <c r="S5315" s="10" t="str">
        <f t="shared" ref="S5315:S5378" si="419">IF(R5315="","",SUMIFS($N$3:$N$10000,$E$3:$E$10000,R5315))</f>
        <v/>
      </c>
    </row>
    <row r="5316" spans="5:19" x14ac:dyDescent="0.3">
      <c r="E5316" s="9" t="str">
        <f>IF(DADOS!C5316="","",DADOS!C5316)</f>
        <v/>
      </c>
      <c r="F5316" s="9" t="str">
        <f>IF(DADOS!E5316="","",DADOS!E5316)</f>
        <v/>
      </c>
      <c r="G5316" s="9" t="str">
        <f>IF(DADOS!F5316="","",DADOS!F5316)</f>
        <v/>
      </c>
      <c r="K5316" s="6" t="str">
        <f t="shared" ref="K5316:K5379" si="420">IF(F5316="","",F5316/PI())</f>
        <v/>
      </c>
      <c r="L5316" s="7" t="str">
        <f t="shared" ref="L5316:L5379" si="421">IF(K5316="","",(PI()*K5316^2)/40000)</f>
        <v/>
      </c>
      <c r="M5316" s="7" t="str">
        <f t="shared" si="418"/>
        <v/>
      </c>
      <c r="N5316" s="7" t="str">
        <f t="shared" ref="N5316:N5379" si="422">IF(M5316="","",M5316*N$1)</f>
        <v/>
      </c>
      <c r="O5316" s="8"/>
      <c r="P5316" s="26"/>
      <c r="S5316" s="10" t="str">
        <f t="shared" si="419"/>
        <v/>
      </c>
    </row>
    <row r="5317" spans="5:19" x14ac:dyDescent="0.3">
      <c r="E5317" s="9" t="str">
        <f>IF(DADOS!C5317="","",DADOS!C5317)</f>
        <v/>
      </c>
      <c r="F5317" s="9" t="str">
        <f>IF(DADOS!E5317="","",DADOS!E5317)</f>
        <v/>
      </c>
      <c r="G5317" s="9" t="str">
        <f>IF(DADOS!F5317="","",DADOS!F5317)</f>
        <v/>
      </c>
      <c r="K5317" s="6" t="str">
        <f t="shared" si="420"/>
        <v/>
      </c>
      <c r="L5317" s="7" t="str">
        <f t="shared" si="421"/>
        <v/>
      </c>
      <c r="M5317" s="7" t="str">
        <f t="shared" si="418"/>
        <v/>
      </c>
      <c r="N5317" s="7" t="str">
        <f t="shared" si="422"/>
        <v/>
      </c>
      <c r="O5317" s="8"/>
      <c r="P5317" s="26"/>
      <c r="S5317" s="10" t="str">
        <f t="shared" si="419"/>
        <v/>
      </c>
    </row>
    <row r="5318" spans="5:19" x14ac:dyDescent="0.3">
      <c r="E5318" s="9" t="str">
        <f>IF(DADOS!C5318="","",DADOS!C5318)</f>
        <v/>
      </c>
      <c r="F5318" s="9" t="str">
        <f>IF(DADOS!E5318="","",DADOS!E5318)</f>
        <v/>
      </c>
      <c r="G5318" s="9" t="str">
        <f>IF(DADOS!F5318="","",DADOS!F5318)</f>
        <v/>
      </c>
      <c r="K5318" s="6" t="str">
        <f t="shared" si="420"/>
        <v/>
      </c>
      <c r="L5318" s="7" t="str">
        <f t="shared" si="421"/>
        <v/>
      </c>
      <c r="M5318" s="7" t="str">
        <f t="shared" si="418"/>
        <v/>
      </c>
      <c r="N5318" s="7" t="str">
        <f t="shared" si="422"/>
        <v/>
      </c>
      <c r="O5318" s="8"/>
      <c r="P5318" s="26"/>
      <c r="S5318" s="10" t="str">
        <f t="shared" si="419"/>
        <v/>
      </c>
    </row>
    <row r="5319" spans="5:19" x14ac:dyDescent="0.3">
      <c r="E5319" s="9" t="str">
        <f>IF(DADOS!C5319="","",DADOS!C5319)</f>
        <v/>
      </c>
      <c r="F5319" s="9" t="str">
        <f>IF(DADOS!E5319="","",DADOS!E5319)</f>
        <v/>
      </c>
      <c r="G5319" s="9" t="str">
        <f>IF(DADOS!F5319="","",DADOS!F5319)</f>
        <v/>
      </c>
      <c r="K5319" s="6" t="str">
        <f t="shared" si="420"/>
        <v/>
      </c>
      <c r="L5319" s="7" t="str">
        <f t="shared" si="421"/>
        <v/>
      </c>
      <c r="M5319" s="7" t="str">
        <f t="shared" si="418"/>
        <v/>
      </c>
      <c r="N5319" s="7" t="str">
        <f t="shared" si="422"/>
        <v/>
      </c>
      <c r="O5319" s="8"/>
      <c r="P5319" s="26"/>
      <c r="S5319" s="10" t="str">
        <f t="shared" si="419"/>
        <v/>
      </c>
    </row>
    <row r="5320" spans="5:19" x14ac:dyDescent="0.3">
      <c r="E5320" s="9" t="str">
        <f>IF(DADOS!C5320="","",DADOS!C5320)</f>
        <v/>
      </c>
      <c r="F5320" s="9" t="str">
        <f>IF(DADOS!E5320="","",DADOS!E5320)</f>
        <v/>
      </c>
      <c r="G5320" s="9" t="str">
        <f>IF(DADOS!F5320="","",DADOS!F5320)</f>
        <v/>
      </c>
      <c r="K5320" s="6" t="str">
        <f t="shared" si="420"/>
        <v/>
      </c>
      <c r="L5320" s="7" t="str">
        <f t="shared" si="421"/>
        <v/>
      </c>
      <c r="M5320" s="7" t="str">
        <f t="shared" si="418"/>
        <v/>
      </c>
      <c r="N5320" s="7" t="str">
        <f t="shared" si="422"/>
        <v/>
      </c>
      <c r="O5320" s="8"/>
      <c r="P5320" s="26"/>
      <c r="S5320" s="10" t="str">
        <f t="shared" si="419"/>
        <v/>
      </c>
    </row>
    <row r="5321" spans="5:19" x14ac:dyDescent="0.3">
      <c r="E5321" s="9" t="str">
        <f>IF(DADOS!C5321="","",DADOS!C5321)</f>
        <v/>
      </c>
      <c r="F5321" s="9" t="str">
        <f>IF(DADOS!E5321="","",DADOS!E5321)</f>
        <v/>
      </c>
      <c r="G5321" s="9" t="str">
        <f>IF(DADOS!F5321="","",DADOS!F5321)</f>
        <v/>
      </c>
      <c r="K5321" s="6" t="str">
        <f t="shared" si="420"/>
        <v/>
      </c>
      <c r="L5321" s="7" t="str">
        <f t="shared" si="421"/>
        <v/>
      </c>
      <c r="M5321" s="7" t="str">
        <f t="shared" si="418"/>
        <v/>
      </c>
      <c r="N5321" s="7" t="str">
        <f t="shared" si="422"/>
        <v/>
      </c>
      <c r="O5321" s="8"/>
      <c r="P5321" s="26"/>
      <c r="S5321" s="10" t="str">
        <f t="shared" si="419"/>
        <v/>
      </c>
    </row>
    <row r="5322" spans="5:19" x14ac:dyDescent="0.3">
      <c r="E5322" s="9" t="str">
        <f>IF(DADOS!C5322="","",DADOS!C5322)</f>
        <v/>
      </c>
      <c r="F5322" s="9" t="str">
        <f>IF(DADOS!E5322="","",DADOS!E5322)</f>
        <v/>
      </c>
      <c r="G5322" s="9" t="str">
        <f>IF(DADOS!F5322="","",DADOS!F5322)</f>
        <v/>
      </c>
      <c r="K5322" s="6" t="str">
        <f t="shared" si="420"/>
        <v/>
      </c>
      <c r="L5322" s="7" t="str">
        <f t="shared" si="421"/>
        <v/>
      </c>
      <c r="M5322" s="7" t="str">
        <f t="shared" si="418"/>
        <v/>
      </c>
      <c r="N5322" s="7" t="str">
        <f t="shared" si="422"/>
        <v/>
      </c>
      <c r="O5322" s="8"/>
      <c r="P5322" s="26"/>
      <c r="S5322" s="10" t="str">
        <f t="shared" si="419"/>
        <v/>
      </c>
    </row>
    <row r="5323" spans="5:19" x14ac:dyDescent="0.3">
      <c r="E5323" s="9" t="str">
        <f>IF(DADOS!C5323="","",DADOS!C5323)</f>
        <v/>
      </c>
      <c r="F5323" s="9" t="str">
        <f>IF(DADOS!E5323="","",DADOS!E5323)</f>
        <v/>
      </c>
      <c r="G5323" s="9" t="str">
        <f>IF(DADOS!F5323="","",DADOS!F5323)</f>
        <v/>
      </c>
      <c r="K5323" s="6" t="str">
        <f t="shared" si="420"/>
        <v/>
      </c>
      <c r="L5323" s="7" t="str">
        <f t="shared" si="421"/>
        <v/>
      </c>
      <c r="M5323" s="7" t="str">
        <f t="shared" si="418"/>
        <v/>
      </c>
      <c r="N5323" s="7" t="str">
        <f t="shared" si="422"/>
        <v/>
      </c>
      <c r="O5323" s="8"/>
      <c r="P5323" s="26"/>
      <c r="S5323" s="10" t="str">
        <f t="shared" si="419"/>
        <v/>
      </c>
    </row>
    <row r="5324" spans="5:19" x14ac:dyDescent="0.3">
      <c r="E5324" s="9" t="str">
        <f>IF(DADOS!C5324="","",DADOS!C5324)</f>
        <v/>
      </c>
      <c r="F5324" s="9" t="str">
        <f>IF(DADOS!E5324="","",DADOS!E5324)</f>
        <v/>
      </c>
      <c r="G5324" s="9" t="str">
        <f>IF(DADOS!F5324="","",DADOS!F5324)</f>
        <v/>
      </c>
      <c r="K5324" s="6" t="str">
        <f t="shared" si="420"/>
        <v/>
      </c>
      <c r="L5324" s="7" t="str">
        <f t="shared" si="421"/>
        <v/>
      </c>
      <c r="M5324" s="7" t="str">
        <f t="shared" si="418"/>
        <v/>
      </c>
      <c r="N5324" s="7" t="str">
        <f t="shared" si="422"/>
        <v/>
      </c>
      <c r="O5324" s="8"/>
      <c r="P5324" s="26"/>
      <c r="S5324" s="10" t="str">
        <f t="shared" si="419"/>
        <v/>
      </c>
    </row>
    <row r="5325" spans="5:19" x14ac:dyDescent="0.3">
      <c r="E5325" s="9" t="str">
        <f>IF(DADOS!C5325="","",DADOS!C5325)</f>
        <v/>
      </c>
      <c r="F5325" s="9" t="str">
        <f>IF(DADOS!E5325="","",DADOS!E5325)</f>
        <v/>
      </c>
      <c r="G5325" s="9" t="str">
        <f>IF(DADOS!F5325="","",DADOS!F5325)</f>
        <v/>
      </c>
      <c r="K5325" s="6" t="str">
        <f t="shared" si="420"/>
        <v/>
      </c>
      <c r="L5325" s="7" t="str">
        <f t="shared" si="421"/>
        <v/>
      </c>
      <c r="M5325" s="7" t="str">
        <f t="shared" si="418"/>
        <v/>
      </c>
      <c r="N5325" s="7" t="str">
        <f t="shared" si="422"/>
        <v/>
      </c>
      <c r="O5325" s="8"/>
      <c r="P5325" s="26"/>
      <c r="S5325" s="10" t="str">
        <f t="shared" si="419"/>
        <v/>
      </c>
    </row>
    <row r="5326" spans="5:19" x14ac:dyDescent="0.3">
      <c r="E5326" s="9" t="str">
        <f>IF(DADOS!C5326="","",DADOS!C5326)</f>
        <v/>
      </c>
      <c r="F5326" s="9" t="str">
        <f>IF(DADOS!E5326="","",DADOS!E5326)</f>
        <v/>
      </c>
      <c r="G5326" s="9" t="str">
        <f>IF(DADOS!F5326="","",DADOS!F5326)</f>
        <v/>
      </c>
      <c r="K5326" s="6" t="str">
        <f t="shared" si="420"/>
        <v/>
      </c>
      <c r="L5326" s="7" t="str">
        <f t="shared" si="421"/>
        <v/>
      </c>
      <c r="M5326" s="7" t="str">
        <f t="shared" si="418"/>
        <v/>
      </c>
      <c r="N5326" s="7" t="str">
        <f t="shared" si="422"/>
        <v/>
      </c>
      <c r="O5326" s="8"/>
      <c r="P5326" s="26"/>
      <c r="S5326" s="10" t="str">
        <f t="shared" si="419"/>
        <v/>
      </c>
    </row>
    <row r="5327" spans="5:19" x14ac:dyDescent="0.3">
      <c r="E5327" s="9" t="str">
        <f>IF(DADOS!C5327="","",DADOS!C5327)</f>
        <v/>
      </c>
      <c r="F5327" s="9" t="str">
        <f>IF(DADOS!E5327="","",DADOS!E5327)</f>
        <v/>
      </c>
      <c r="G5327" s="9" t="str">
        <f>IF(DADOS!F5327="","",DADOS!F5327)</f>
        <v/>
      </c>
      <c r="K5327" s="6" t="str">
        <f t="shared" si="420"/>
        <v/>
      </c>
      <c r="L5327" s="7" t="str">
        <f t="shared" si="421"/>
        <v/>
      </c>
      <c r="M5327" s="7" t="str">
        <f t="shared" si="418"/>
        <v/>
      </c>
      <c r="N5327" s="7" t="str">
        <f t="shared" si="422"/>
        <v/>
      </c>
      <c r="O5327" s="8"/>
      <c r="P5327" s="26"/>
      <c r="S5327" s="10" t="str">
        <f t="shared" si="419"/>
        <v/>
      </c>
    </row>
    <row r="5328" spans="5:19" x14ac:dyDescent="0.3">
      <c r="E5328" s="9" t="str">
        <f>IF(DADOS!C5328="","",DADOS!C5328)</f>
        <v/>
      </c>
      <c r="F5328" s="9" t="str">
        <f>IF(DADOS!E5328="","",DADOS!E5328)</f>
        <v/>
      </c>
      <c r="G5328" s="9" t="str">
        <f>IF(DADOS!F5328="","",DADOS!F5328)</f>
        <v/>
      </c>
      <c r="K5328" s="6" t="str">
        <f t="shared" si="420"/>
        <v/>
      </c>
      <c r="L5328" s="7" t="str">
        <f t="shared" si="421"/>
        <v/>
      </c>
      <c r="M5328" s="7" t="str">
        <f t="shared" si="418"/>
        <v/>
      </c>
      <c r="N5328" s="7" t="str">
        <f t="shared" si="422"/>
        <v/>
      </c>
      <c r="O5328" s="8"/>
      <c r="P5328" s="26"/>
      <c r="S5328" s="10" t="str">
        <f t="shared" si="419"/>
        <v/>
      </c>
    </row>
    <row r="5329" spans="5:19" x14ac:dyDescent="0.3">
      <c r="E5329" s="9" t="str">
        <f>IF(DADOS!C5329="","",DADOS!C5329)</f>
        <v/>
      </c>
      <c r="F5329" s="9" t="str">
        <f>IF(DADOS!E5329="","",DADOS!E5329)</f>
        <v/>
      </c>
      <c r="G5329" s="9" t="str">
        <f>IF(DADOS!F5329="","",DADOS!F5329)</f>
        <v/>
      </c>
      <c r="K5329" s="6" t="str">
        <f t="shared" si="420"/>
        <v/>
      </c>
      <c r="L5329" s="7" t="str">
        <f t="shared" si="421"/>
        <v/>
      </c>
      <c r="M5329" s="7" t="str">
        <f t="shared" si="418"/>
        <v/>
      </c>
      <c r="N5329" s="7" t="str">
        <f t="shared" si="422"/>
        <v/>
      </c>
      <c r="O5329" s="8"/>
      <c r="P5329" s="26"/>
      <c r="S5329" s="10" t="str">
        <f t="shared" si="419"/>
        <v/>
      </c>
    </row>
    <row r="5330" spans="5:19" x14ac:dyDescent="0.3">
      <c r="E5330" s="9" t="str">
        <f>IF(DADOS!C5330="","",DADOS!C5330)</f>
        <v/>
      </c>
      <c r="F5330" s="9" t="str">
        <f>IF(DADOS!E5330="","",DADOS!E5330)</f>
        <v/>
      </c>
      <c r="G5330" s="9" t="str">
        <f>IF(DADOS!F5330="","",DADOS!F5330)</f>
        <v/>
      </c>
      <c r="K5330" s="6" t="str">
        <f t="shared" si="420"/>
        <v/>
      </c>
      <c r="L5330" s="7" t="str">
        <f t="shared" si="421"/>
        <v/>
      </c>
      <c r="M5330" s="7" t="str">
        <f t="shared" si="418"/>
        <v/>
      </c>
      <c r="N5330" s="7" t="str">
        <f t="shared" si="422"/>
        <v/>
      </c>
      <c r="O5330" s="8"/>
      <c r="P5330" s="26"/>
      <c r="S5330" s="10" t="str">
        <f t="shared" si="419"/>
        <v/>
      </c>
    </row>
    <row r="5331" spans="5:19" x14ac:dyDescent="0.3">
      <c r="E5331" s="9" t="str">
        <f>IF(DADOS!C5331="","",DADOS!C5331)</f>
        <v/>
      </c>
      <c r="F5331" s="9" t="str">
        <f>IF(DADOS!E5331="","",DADOS!E5331)</f>
        <v/>
      </c>
      <c r="G5331" s="9" t="str">
        <f>IF(DADOS!F5331="","",DADOS!F5331)</f>
        <v/>
      </c>
      <c r="K5331" s="6" t="str">
        <f t="shared" si="420"/>
        <v/>
      </c>
      <c r="L5331" s="7" t="str">
        <f t="shared" si="421"/>
        <v/>
      </c>
      <c r="M5331" s="7" t="str">
        <f t="shared" si="418"/>
        <v/>
      </c>
      <c r="N5331" s="7" t="str">
        <f t="shared" si="422"/>
        <v/>
      </c>
      <c r="O5331" s="8"/>
      <c r="P5331" s="26"/>
      <c r="S5331" s="10" t="str">
        <f t="shared" si="419"/>
        <v/>
      </c>
    </row>
    <row r="5332" spans="5:19" x14ac:dyDescent="0.3">
      <c r="E5332" s="9" t="str">
        <f>IF(DADOS!C5332="","",DADOS!C5332)</f>
        <v/>
      </c>
      <c r="F5332" s="9" t="str">
        <f>IF(DADOS!E5332="","",DADOS!E5332)</f>
        <v/>
      </c>
      <c r="G5332" s="9" t="str">
        <f>IF(DADOS!F5332="","",DADOS!F5332)</f>
        <v/>
      </c>
      <c r="K5332" s="6" t="str">
        <f t="shared" si="420"/>
        <v/>
      </c>
      <c r="L5332" s="7" t="str">
        <f t="shared" si="421"/>
        <v/>
      </c>
      <c r="M5332" s="7" t="str">
        <f t="shared" si="418"/>
        <v/>
      </c>
      <c r="N5332" s="7" t="str">
        <f t="shared" si="422"/>
        <v/>
      </c>
      <c r="O5332" s="8"/>
      <c r="P5332" s="26"/>
      <c r="S5332" s="10" t="str">
        <f t="shared" si="419"/>
        <v/>
      </c>
    </row>
    <row r="5333" spans="5:19" x14ac:dyDescent="0.3">
      <c r="E5333" s="9" t="str">
        <f>IF(DADOS!C5333="","",DADOS!C5333)</f>
        <v/>
      </c>
      <c r="F5333" s="9" t="str">
        <f>IF(DADOS!E5333="","",DADOS!E5333)</f>
        <v/>
      </c>
      <c r="G5333" s="9" t="str">
        <f>IF(DADOS!F5333="","",DADOS!F5333)</f>
        <v/>
      </c>
      <c r="K5333" s="6" t="str">
        <f t="shared" si="420"/>
        <v/>
      </c>
      <c r="L5333" s="7" t="str">
        <f t="shared" si="421"/>
        <v/>
      </c>
      <c r="M5333" s="7" t="str">
        <f t="shared" si="418"/>
        <v/>
      </c>
      <c r="N5333" s="7" t="str">
        <f t="shared" si="422"/>
        <v/>
      </c>
      <c r="O5333" s="8"/>
      <c r="P5333" s="26"/>
      <c r="S5333" s="10" t="str">
        <f t="shared" si="419"/>
        <v/>
      </c>
    </row>
    <row r="5334" spans="5:19" x14ac:dyDescent="0.3">
      <c r="E5334" s="9" t="str">
        <f>IF(DADOS!C5334="","",DADOS!C5334)</f>
        <v/>
      </c>
      <c r="F5334" s="9" t="str">
        <f>IF(DADOS!E5334="","",DADOS!E5334)</f>
        <v/>
      </c>
      <c r="G5334" s="9" t="str">
        <f>IF(DADOS!F5334="","",DADOS!F5334)</f>
        <v/>
      </c>
      <c r="K5334" s="6" t="str">
        <f t="shared" si="420"/>
        <v/>
      </c>
      <c r="L5334" s="7" t="str">
        <f t="shared" si="421"/>
        <v/>
      </c>
      <c r="M5334" s="7" t="str">
        <f t="shared" si="418"/>
        <v/>
      </c>
      <c r="N5334" s="7" t="str">
        <f t="shared" si="422"/>
        <v/>
      </c>
      <c r="O5334" s="8"/>
      <c r="P5334" s="26"/>
      <c r="S5334" s="10" t="str">
        <f t="shared" si="419"/>
        <v/>
      </c>
    </row>
    <row r="5335" spans="5:19" x14ac:dyDescent="0.3">
      <c r="E5335" s="9" t="str">
        <f>IF(DADOS!C5335="","",DADOS!C5335)</f>
        <v/>
      </c>
      <c r="F5335" s="9" t="str">
        <f>IF(DADOS!E5335="","",DADOS!E5335)</f>
        <v/>
      </c>
      <c r="G5335" s="9" t="str">
        <f>IF(DADOS!F5335="","",DADOS!F5335)</f>
        <v/>
      </c>
      <c r="K5335" s="6" t="str">
        <f t="shared" si="420"/>
        <v/>
      </c>
      <c r="L5335" s="7" t="str">
        <f t="shared" si="421"/>
        <v/>
      </c>
      <c r="M5335" s="7" t="str">
        <f t="shared" si="418"/>
        <v/>
      </c>
      <c r="N5335" s="7" t="str">
        <f t="shared" si="422"/>
        <v/>
      </c>
      <c r="O5335" s="8"/>
      <c r="P5335" s="26"/>
      <c r="S5335" s="10" t="str">
        <f t="shared" si="419"/>
        <v/>
      </c>
    </row>
    <row r="5336" spans="5:19" x14ac:dyDescent="0.3">
      <c r="E5336" s="9" t="str">
        <f>IF(DADOS!C5336="","",DADOS!C5336)</f>
        <v/>
      </c>
      <c r="F5336" s="9" t="str">
        <f>IF(DADOS!E5336="","",DADOS!E5336)</f>
        <v/>
      </c>
      <c r="G5336" s="9" t="str">
        <f>IF(DADOS!F5336="","",DADOS!F5336)</f>
        <v/>
      </c>
      <c r="K5336" s="6" t="str">
        <f t="shared" si="420"/>
        <v/>
      </c>
      <c r="L5336" s="7" t="str">
        <f t="shared" si="421"/>
        <v/>
      </c>
      <c r="M5336" s="7" t="str">
        <f t="shared" si="418"/>
        <v/>
      </c>
      <c r="N5336" s="7" t="str">
        <f t="shared" si="422"/>
        <v/>
      </c>
      <c r="O5336" s="8"/>
      <c r="P5336" s="26"/>
      <c r="S5336" s="10" t="str">
        <f t="shared" si="419"/>
        <v/>
      </c>
    </row>
    <row r="5337" spans="5:19" x14ac:dyDescent="0.3">
      <c r="E5337" s="9" t="str">
        <f>IF(DADOS!C5337="","",DADOS!C5337)</f>
        <v/>
      </c>
      <c r="F5337" s="9" t="str">
        <f>IF(DADOS!E5337="","",DADOS!E5337)</f>
        <v/>
      </c>
      <c r="G5337" s="9" t="str">
        <f>IF(DADOS!F5337="","",DADOS!F5337)</f>
        <v/>
      </c>
      <c r="K5337" s="6" t="str">
        <f t="shared" si="420"/>
        <v/>
      </c>
      <c r="L5337" s="7" t="str">
        <f t="shared" si="421"/>
        <v/>
      </c>
      <c r="M5337" s="7" t="str">
        <f t="shared" si="418"/>
        <v/>
      </c>
      <c r="N5337" s="7" t="str">
        <f t="shared" si="422"/>
        <v/>
      </c>
      <c r="O5337" s="8"/>
      <c r="P5337" s="26"/>
      <c r="S5337" s="10" t="str">
        <f t="shared" si="419"/>
        <v/>
      </c>
    </row>
    <row r="5338" spans="5:19" x14ac:dyDescent="0.3">
      <c r="E5338" s="9" t="str">
        <f>IF(DADOS!C5338="","",DADOS!C5338)</f>
        <v/>
      </c>
      <c r="F5338" s="9" t="str">
        <f>IF(DADOS!E5338="","",DADOS!E5338)</f>
        <v/>
      </c>
      <c r="G5338" s="9" t="str">
        <f>IF(DADOS!F5338="","",DADOS!F5338)</f>
        <v/>
      </c>
      <c r="K5338" s="6" t="str">
        <f t="shared" si="420"/>
        <v/>
      </c>
      <c r="L5338" s="7" t="str">
        <f t="shared" si="421"/>
        <v/>
      </c>
      <c r="M5338" s="7" t="str">
        <f t="shared" si="418"/>
        <v/>
      </c>
      <c r="N5338" s="7" t="str">
        <f t="shared" si="422"/>
        <v/>
      </c>
      <c r="O5338" s="8"/>
      <c r="P5338" s="26"/>
      <c r="S5338" s="10" t="str">
        <f t="shared" si="419"/>
        <v/>
      </c>
    </row>
    <row r="5339" spans="5:19" x14ac:dyDescent="0.3">
      <c r="E5339" s="9" t="str">
        <f>IF(DADOS!C5339="","",DADOS!C5339)</f>
        <v/>
      </c>
      <c r="F5339" s="9" t="str">
        <f>IF(DADOS!E5339="","",DADOS!E5339)</f>
        <v/>
      </c>
      <c r="G5339" s="9" t="str">
        <f>IF(DADOS!F5339="","",DADOS!F5339)</f>
        <v/>
      </c>
      <c r="K5339" s="6" t="str">
        <f t="shared" si="420"/>
        <v/>
      </c>
      <c r="L5339" s="7" t="str">
        <f t="shared" si="421"/>
        <v/>
      </c>
      <c r="M5339" s="7" t="str">
        <f t="shared" si="418"/>
        <v/>
      </c>
      <c r="N5339" s="7" t="str">
        <f t="shared" si="422"/>
        <v/>
      </c>
      <c r="O5339" s="8"/>
      <c r="P5339" s="26"/>
      <c r="S5339" s="10" t="str">
        <f t="shared" si="419"/>
        <v/>
      </c>
    </row>
    <row r="5340" spans="5:19" x14ac:dyDescent="0.3">
      <c r="E5340" s="9" t="str">
        <f>IF(DADOS!C5340="","",DADOS!C5340)</f>
        <v/>
      </c>
      <c r="F5340" s="9" t="str">
        <f>IF(DADOS!E5340="","",DADOS!E5340)</f>
        <v/>
      </c>
      <c r="G5340" s="9" t="str">
        <f>IF(DADOS!F5340="","",DADOS!F5340)</f>
        <v/>
      </c>
      <c r="K5340" s="6" t="str">
        <f t="shared" si="420"/>
        <v/>
      </c>
      <c r="L5340" s="7" t="str">
        <f t="shared" si="421"/>
        <v/>
      </c>
      <c r="M5340" s="7" t="str">
        <f t="shared" si="418"/>
        <v/>
      </c>
      <c r="N5340" s="7" t="str">
        <f t="shared" si="422"/>
        <v/>
      </c>
      <c r="O5340" s="8"/>
      <c r="P5340" s="26"/>
      <c r="S5340" s="10" t="str">
        <f t="shared" si="419"/>
        <v/>
      </c>
    </row>
    <row r="5341" spans="5:19" x14ac:dyDescent="0.3">
      <c r="E5341" s="9" t="str">
        <f>IF(DADOS!C5341="","",DADOS!C5341)</f>
        <v/>
      </c>
      <c r="F5341" s="9" t="str">
        <f>IF(DADOS!E5341="","",DADOS!E5341)</f>
        <v/>
      </c>
      <c r="G5341" s="9" t="str">
        <f>IF(DADOS!F5341="","",DADOS!F5341)</f>
        <v/>
      </c>
      <c r="K5341" s="6" t="str">
        <f t="shared" si="420"/>
        <v/>
      </c>
      <c r="L5341" s="7" t="str">
        <f t="shared" si="421"/>
        <v/>
      </c>
      <c r="M5341" s="7" t="str">
        <f t="shared" si="418"/>
        <v/>
      </c>
      <c r="N5341" s="7" t="str">
        <f t="shared" si="422"/>
        <v/>
      </c>
      <c r="O5341" s="8"/>
      <c r="P5341" s="26"/>
      <c r="S5341" s="10" t="str">
        <f t="shared" si="419"/>
        <v/>
      </c>
    </row>
    <row r="5342" spans="5:19" x14ac:dyDescent="0.3">
      <c r="E5342" s="9" t="str">
        <f>IF(DADOS!C5342="","",DADOS!C5342)</f>
        <v/>
      </c>
      <c r="F5342" s="9" t="str">
        <f>IF(DADOS!E5342="","",DADOS!E5342)</f>
        <v/>
      </c>
      <c r="G5342" s="9" t="str">
        <f>IF(DADOS!F5342="","",DADOS!F5342)</f>
        <v/>
      </c>
      <c r="K5342" s="6" t="str">
        <f t="shared" si="420"/>
        <v/>
      </c>
      <c r="L5342" s="7" t="str">
        <f t="shared" si="421"/>
        <v/>
      </c>
      <c r="M5342" s="7" t="str">
        <f t="shared" si="418"/>
        <v/>
      </c>
      <c r="N5342" s="7" t="str">
        <f t="shared" si="422"/>
        <v/>
      </c>
      <c r="O5342" s="8"/>
      <c r="P5342" s="26"/>
      <c r="S5342" s="10" t="str">
        <f t="shared" si="419"/>
        <v/>
      </c>
    </row>
    <row r="5343" spans="5:19" x14ac:dyDescent="0.3">
      <c r="E5343" s="9" t="str">
        <f>IF(DADOS!C5343="","",DADOS!C5343)</f>
        <v/>
      </c>
      <c r="F5343" s="9" t="str">
        <f>IF(DADOS!E5343="","",DADOS!E5343)</f>
        <v/>
      </c>
      <c r="G5343" s="9" t="str">
        <f>IF(DADOS!F5343="","",DADOS!F5343)</f>
        <v/>
      </c>
      <c r="K5343" s="6" t="str">
        <f t="shared" si="420"/>
        <v/>
      </c>
      <c r="L5343" s="7" t="str">
        <f t="shared" si="421"/>
        <v/>
      </c>
      <c r="M5343" s="7" t="str">
        <f t="shared" si="418"/>
        <v/>
      </c>
      <c r="N5343" s="7" t="str">
        <f t="shared" si="422"/>
        <v/>
      </c>
      <c r="O5343" s="8"/>
      <c r="P5343" s="26"/>
      <c r="S5343" s="10" t="str">
        <f t="shared" si="419"/>
        <v/>
      </c>
    </row>
    <row r="5344" spans="5:19" x14ac:dyDescent="0.3">
      <c r="E5344" s="9" t="str">
        <f>IF(DADOS!C5344="","",DADOS!C5344)</f>
        <v/>
      </c>
      <c r="F5344" s="9" t="str">
        <f>IF(DADOS!E5344="","",DADOS!E5344)</f>
        <v/>
      </c>
      <c r="G5344" s="9" t="str">
        <f>IF(DADOS!F5344="","",DADOS!F5344)</f>
        <v/>
      </c>
      <c r="K5344" s="6" t="str">
        <f t="shared" si="420"/>
        <v/>
      </c>
      <c r="L5344" s="7" t="str">
        <f t="shared" si="421"/>
        <v/>
      </c>
      <c r="M5344" s="7" t="str">
        <f t="shared" si="418"/>
        <v/>
      </c>
      <c r="N5344" s="7" t="str">
        <f t="shared" si="422"/>
        <v/>
      </c>
      <c r="O5344" s="8"/>
      <c r="P5344" s="26"/>
      <c r="S5344" s="10" t="str">
        <f t="shared" si="419"/>
        <v/>
      </c>
    </row>
    <row r="5345" spans="5:19" x14ac:dyDescent="0.3">
      <c r="E5345" s="9" t="str">
        <f>IF(DADOS!C5345="","",DADOS!C5345)</f>
        <v/>
      </c>
      <c r="F5345" s="9" t="str">
        <f>IF(DADOS!E5345="","",DADOS!E5345)</f>
        <v/>
      </c>
      <c r="G5345" s="9" t="str">
        <f>IF(DADOS!F5345="","",DADOS!F5345)</f>
        <v/>
      </c>
      <c r="K5345" s="6" t="str">
        <f t="shared" si="420"/>
        <v/>
      </c>
      <c r="L5345" s="7" t="str">
        <f t="shared" si="421"/>
        <v/>
      </c>
      <c r="M5345" s="7" t="str">
        <f t="shared" si="418"/>
        <v/>
      </c>
      <c r="N5345" s="7" t="str">
        <f t="shared" si="422"/>
        <v/>
      </c>
      <c r="O5345" s="8"/>
      <c r="P5345" s="26"/>
      <c r="S5345" s="10" t="str">
        <f t="shared" si="419"/>
        <v/>
      </c>
    </row>
    <row r="5346" spans="5:19" x14ac:dyDescent="0.3">
      <c r="E5346" s="9" t="str">
        <f>IF(DADOS!C5346="","",DADOS!C5346)</f>
        <v/>
      </c>
      <c r="F5346" s="9" t="str">
        <f>IF(DADOS!E5346="","",DADOS!E5346)</f>
        <v/>
      </c>
      <c r="G5346" s="9" t="str">
        <f>IF(DADOS!F5346="","",DADOS!F5346)</f>
        <v/>
      </c>
      <c r="K5346" s="6" t="str">
        <f t="shared" si="420"/>
        <v/>
      </c>
      <c r="L5346" s="7" t="str">
        <f t="shared" si="421"/>
        <v/>
      </c>
      <c r="M5346" s="7" t="str">
        <f t="shared" si="418"/>
        <v/>
      </c>
      <c r="N5346" s="7" t="str">
        <f t="shared" si="422"/>
        <v/>
      </c>
      <c r="O5346" s="8"/>
      <c r="P5346" s="26"/>
      <c r="S5346" s="10" t="str">
        <f t="shared" si="419"/>
        <v/>
      </c>
    </row>
    <row r="5347" spans="5:19" x14ac:dyDescent="0.3">
      <c r="E5347" s="9" t="str">
        <f>IF(DADOS!C5347="","",DADOS!C5347)</f>
        <v/>
      </c>
      <c r="F5347" s="9" t="str">
        <f>IF(DADOS!E5347="","",DADOS!E5347)</f>
        <v/>
      </c>
      <c r="G5347" s="9" t="str">
        <f>IF(DADOS!F5347="","",DADOS!F5347)</f>
        <v/>
      </c>
      <c r="K5347" s="6" t="str">
        <f t="shared" si="420"/>
        <v/>
      </c>
      <c r="L5347" s="7" t="str">
        <f t="shared" si="421"/>
        <v/>
      </c>
      <c r="M5347" s="7" t="str">
        <f t="shared" si="418"/>
        <v/>
      </c>
      <c r="N5347" s="7" t="str">
        <f t="shared" si="422"/>
        <v/>
      </c>
      <c r="O5347" s="8"/>
      <c r="P5347" s="26"/>
      <c r="S5347" s="10" t="str">
        <f t="shared" si="419"/>
        <v/>
      </c>
    </row>
    <row r="5348" spans="5:19" x14ac:dyDescent="0.3">
      <c r="E5348" s="9" t="str">
        <f>IF(DADOS!C5348="","",DADOS!C5348)</f>
        <v/>
      </c>
      <c r="F5348" s="9" t="str">
        <f>IF(DADOS!E5348="","",DADOS!E5348)</f>
        <v/>
      </c>
      <c r="G5348" s="9" t="str">
        <f>IF(DADOS!F5348="","",DADOS!F5348)</f>
        <v/>
      </c>
      <c r="K5348" s="6" t="str">
        <f t="shared" si="420"/>
        <v/>
      </c>
      <c r="L5348" s="7" t="str">
        <f t="shared" si="421"/>
        <v/>
      </c>
      <c r="M5348" s="7" t="str">
        <f t="shared" si="418"/>
        <v/>
      </c>
      <c r="N5348" s="7" t="str">
        <f t="shared" si="422"/>
        <v/>
      </c>
      <c r="O5348" s="8"/>
      <c r="P5348" s="26"/>
      <c r="S5348" s="10" t="str">
        <f t="shared" si="419"/>
        <v/>
      </c>
    </row>
    <row r="5349" spans="5:19" x14ac:dyDescent="0.3">
      <c r="E5349" s="9" t="str">
        <f>IF(DADOS!C5349="","",DADOS!C5349)</f>
        <v/>
      </c>
      <c r="F5349" s="9" t="str">
        <f>IF(DADOS!E5349="","",DADOS!E5349)</f>
        <v/>
      </c>
      <c r="G5349" s="9" t="str">
        <f>IF(DADOS!F5349="","",DADOS!F5349)</f>
        <v/>
      </c>
      <c r="K5349" s="6" t="str">
        <f t="shared" si="420"/>
        <v/>
      </c>
      <c r="L5349" s="7" t="str">
        <f t="shared" si="421"/>
        <v/>
      </c>
      <c r="M5349" s="7" t="str">
        <f t="shared" si="418"/>
        <v/>
      </c>
      <c r="N5349" s="7" t="str">
        <f t="shared" si="422"/>
        <v/>
      </c>
      <c r="O5349" s="8"/>
      <c r="P5349" s="26"/>
      <c r="S5349" s="10" t="str">
        <f t="shared" si="419"/>
        <v/>
      </c>
    </row>
    <row r="5350" spans="5:19" x14ac:dyDescent="0.3">
      <c r="E5350" s="9" t="str">
        <f>IF(DADOS!C5350="","",DADOS!C5350)</f>
        <v/>
      </c>
      <c r="F5350" s="9" t="str">
        <f>IF(DADOS!E5350="","",DADOS!E5350)</f>
        <v/>
      </c>
      <c r="G5350" s="9" t="str">
        <f>IF(DADOS!F5350="","",DADOS!F5350)</f>
        <v/>
      </c>
      <c r="K5350" s="6" t="str">
        <f t="shared" si="420"/>
        <v/>
      </c>
      <c r="L5350" s="7" t="str">
        <f t="shared" si="421"/>
        <v/>
      </c>
      <c r="M5350" s="7" t="str">
        <f t="shared" si="418"/>
        <v/>
      </c>
      <c r="N5350" s="7" t="str">
        <f t="shared" si="422"/>
        <v/>
      </c>
      <c r="O5350" s="8"/>
      <c r="P5350" s="26"/>
      <c r="S5350" s="10" t="str">
        <f t="shared" si="419"/>
        <v/>
      </c>
    </row>
    <row r="5351" spans="5:19" x14ac:dyDescent="0.3">
      <c r="E5351" s="9" t="str">
        <f>IF(DADOS!C5351="","",DADOS!C5351)</f>
        <v/>
      </c>
      <c r="F5351" s="9" t="str">
        <f>IF(DADOS!E5351="","",DADOS!E5351)</f>
        <v/>
      </c>
      <c r="G5351" s="9" t="str">
        <f>IF(DADOS!F5351="","",DADOS!F5351)</f>
        <v/>
      </c>
      <c r="K5351" s="6" t="str">
        <f t="shared" si="420"/>
        <v/>
      </c>
      <c r="L5351" s="7" t="str">
        <f t="shared" si="421"/>
        <v/>
      </c>
      <c r="M5351" s="7" t="str">
        <f t="shared" si="418"/>
        <v/>
      </c>
      <c r="N5351" s="7" t="str">
        <f t="shared" si="422"/>
        <v/>
      </c>
      <c r="O5351" s="8"/>
      <c r="P5351" s="26"/>
      <c r="S5351" s="10" t="str">
        <f t="shared" si="419"/>
        <v/>
      </c>
    </row>
    <row r="5352" spans="5:19" x14ac:dyDescent="0.3">
      <c r="E5352" s="9" t="str">
        <f>IF(DADOS!C5352="","",DADOS!C5352)</f>
        <v/>
      </c>
      <c r="F5352" s="9" t="str">
        <f>IF(DADOS!E5352="","",DADOS!E5352)</f>
        <v/>
      </c>
      <c r="G5352" s="9" t="str">
        <f>IF(DADOS!F5352="","",DADOS!F5352)</f>
        <v/>
      </c>
      <c r="K5352" s="6" t="str">
        <f t="shared" si="420"/>
        <v/>
      </c>
      <c r="L5352" s="7" t="str">
        <f t="shared" si="421"/>
        <v/>
      </c>
      <c r="M5352" s="7" t="str">
        <f t="shared" si="418"/>
        <v/>
      </c>
      <c r="N5352" s="7" t="str">
        <f t="shared" si="422"/>
        <v/>
      </c>
      <c r="O5352" s="8"/>
      <c r="P5352" s="26"/>
      <c r="S5352" s="10" t="str">
        <f t="shared" si="419"/>
        <v/>
      </c>
    </row>
    <row r="5353" spans="5:19" x14ac:dyDescent="0.3">
      <c r="E5353" s="9" t="str">
        <f>IF(DADOS!C5353="","",DADOS!C5353)</f>
        <v/>
      </c>
      <c r="F5353" s="9" t="str">
        <f>IF(DADOS!E5353="","",DADOS!E5353)</f>
        <v/>
      </c>
      <c r="G5353" s="9" t="str">
        <f>IF(DADOS!F5353="","",DADOS!F5353)</f>
        <v/>
      </c>
      <c r="K5353" s="6" t="str">
        <f t="shared" si="420"/>
        <v/>
      </c>
      <c r="L5353" s="7" t="str">
        <f t="shared" si="421"/>
        <v/>
      </c>
      <c r="M5353" s="7" t="str">
        <f t="shared" si="418"/>
        <v/>
      </c>
      <c r="N5353" s="7" t="str">
        <f t="shared" si="422"/>
        <v/>
      </c>
      <c r="O5353" s="8"/>
      <c r="P5353" s="26"/>
      <c r="S5353" s="10" t="str">
        <f t="shared" si="419"/>
        <v/>
      </c>
    </row>
    <row r="5354" spans="5:19" x14ac:dyDescent="0.3">
      <c r="E5354" s="9" t="str">
        <f>IF(DADOS!C5354="","",DADOS!C5354)</f>
        <v/>
      </c>
      <c r="F5354" s="9" t="str">
        <f>IF(DADOS!E5354="","",DADOS!E5354)</f>
        <v/>
      </c>
      <c r="G5354" s="9" t="str">
        <f>IF(DADOS!F5354="","",DADOS!F5354)</f>
        <v/>
      </c>
      <c r="K5354" s="6" t="str">
        <f t="shared" si="420"/>
        <v/>
      </c>
      <c r="L5354" s="7" t="str">
        <f t="shared" si="421"/>
        <v/>
      </c>
      <c r="M5354" s="7" t="str">
        <f t="shared" si="418"/>
        <v/>
      </c>
      <c r="N5354" s="7" t="str">
        <f t="shared" si="422"/>
        <v/>
      </c>
      <c r="O5354" s="8"/>
      <c r="P5354" s="26"/>
      <c r="S5354" s="10" t="str">
        <f t="shared" si="419"/>
        <v/>
      </c>
    </row>
    <row r="5355" spans="5:19" x14ac:dyDescent="0.3">
      <c r="E5355" s="9" t="str">
        <f>IF(DADOS!C5355="","",DADOS!C5355)</f>
        <v/>
      </c>
      <c r="F5355" s="9" t="str">
        <f>IF(DADOS!E5355="","",DADOS!E5355)</f>
        <v/>
      </c>
      <c r="G5355" s="9" t="str">
        <f>IF(DADOS!F5355="","",DADOS!F5355)</f>
        <v/>
      </c>
      <c r="K5355" s="6" t="str">
        <f t="shared" si="420"/>
        <v/>
      </c>
      <c r="L5355" s="7" t="str">
        <f t="shared" si="421"/>
        <v/>
      </c>
      <c r="M5355" s="7" t="str">
        <f t="shared" si="418"/>
        <v/>
      </c>
      <c r="N5355" s="7" t="str">
        <f t="shared" si="422"/>
        <v/>
      </c>
      <c r="O5355" s="8"/>
      <c r="P5355" s="26"/>
      <c r="S5355" s="10" t="str">
        <f t="shared" si="419"/>
        <v/>
      </c>
    </row>
    <row r="5356" spans="5:19" x14ac:dyDescent="0.3">
      <c r="E5356" s="9" t="str">
        <f>IF(DADOS!C5356="","",DADOS!C5356)</f>
        <v/>
      </c>
      <c r="F5356" s="9" t="str">
        <f>IF(DADOS!E5356="","",DADOS!E5356)</f>
        <v/>
      </c>
      <c r="G5356" s="9" t="str">
        <f>IF(DADOS!F5356="","",DADOS!F5356)</f>
        <v/>
      </c>
      <c r="K5356" s="6" t="str">
        <f t="shared" si="420"/>
        <v/>
      </c>
      <c r="L5356" s="7" t="str">
        <f t="shared" si="421"/>
        <v/>
      </c>
      <c r="M5356" s="7" t="str">
        <f t="shared" si="418"/>
        <v/>
      </c>
      <c r="N5356" s="7" t="str">
        <f t="shared" si="422"/>
        <v/>
      </c>
      <c r="O5356" s="8"/>
      <c r="P5356" s="26"/>
      <c r="S5356" s="10" t="str">
        <f t="shared" si="419"/>
        <v/>
      </c>
    </row>
    <row r="5357" spans="5:19" x14ac:dyDescent="0.3">
      <c r="E5357" s="9" t="str">
        <f>IF(DADOS!C5357="","",DADOS!C5357)</f>
        <v/>
      </c>
      <c r="F5357" s="9" t="str">
        <f>IF(DADOS!E5357="","",DADOS!E5357)</f>
        <v/>
      </c>
      <c r="G5357" s="9" t="str">
        <f>IF(DADOS!F5357="","",DADOS!F5357)</f>
        <v/>
      </c>
      <c r="K5357" s="6" t="str">
        <f t="shared" si="420"/>
        <v/>
      </c>
      <c r="L5357" s="7" t="str">
        <f t="shared" si="421"/>
        <v/>
      </c>
      <c r="M5357" s="7" t="str">
        <f t="shared" si="418"/>
        <v/>
      </c>
      <c r="N5357" s="7" t="str">
        <f t="shared" si="422"/>
        <v/>
      </c>
      <c r="O5357" s="8"/>
      <c r="P5357" s="26"/>
      <c r="S5357" s="10" t="str">
        <f t="shared" si="419"/>
        <v/>
      </c>
    </row>
    <row r="5358" spans="5:19" x14ac:dyDescent="0.3">
      <c r="E5358" s="9" t="str">
        <f>IF(DADOS!C5358="","",DADOS!C5358)</f>
        <v/>
      </c>
      <c r="F5358" s="9" t="str">
        <f>IF(DADOS!E5358="","",DADOS!E5358)</f>
        <v/>
      </c>
      <c r="G5358" s="9" t="str">
        <f>IF(DADOS!F5358="","",DADOS!F5358)</f>
        <v/>
      </c>
      <c r="K5358" s="6" t="str">
        <f t="shared" si="420"/>
        <v/>
      </c>
      <c r="L5358" s="7" t="str">
        <f t="shared" si="421"/>
        <v/>
      </c>
      <c r="M5358" s="7" t="str">
        <f t="shared" si="418"/>
        <v/>
      </c>
      <c r="N5358" s="7" t="str">
        <f t="shared" si="422"/>
        <v/>
      </c>
      <c r="O5358" s="8"/>
      <c r="P5358" s="26"/>
      <c r="S5358" s="10" t="str">
        <f t="shared" si="419"/>
        <v/>
      </c>
    </row>
    <row r="5359" spans="5:19" x14ac:dyDescent="0.3">
      <c r="E5359" s="9" t="str">
        <f>IF(DADOS!C5359="","",DADOS!C5359)</f>
        <v/>
      </c>
      <c r="F5359" s="9" t="str">
        <f>IF(DADOS!E5359="","",DADOS!E5359)</f>
        <v/>
      </c>
      <c r="G5359" s="9" t="str">
        <f>IF(DADOS!F5359="","",DADOS!F5359)</f>
        <v/>
      </c>
      <c r="K5359" s="6" t="str">
        <f t="shared" si="420"/>
        <v/>
      </c>
      <c r="L5359" s="7" t="str">
        <f t="shared" si="421"/>
        <v/>
      </c>
      <c r="M5359" s="7" t="str">
        <f t="shared" si="418"/>
        <v/>
      </c>
      <c r="N5359" s="7" t="str">
        <f t="shared" si="422"/>
        <v/>
      </c>
      <c r="O5359" s="8"/>
      <c r="P5359" s="26"/>
      <c r="S5359" s="10" t="str">
        <f t="shared" si="419"/>
        <v/>
      </c>
    </row>
    <row r="5360" spans="5:19" x14ac:dyDescent="0.3">
      <c r="E5360" s="9" t="str">
        <f>IF(DADOS!C5360="","",DADOS!C5360)</f>
        <v/>
      </c>
      <c r="F5360" s="9" t="str">
        <f>IF(DADOS!E5360="","",DADOS!E5360)</f>
        <v/>
      </c>
      <c r="G5360" s="9" t="str">
        <f>IF(DADOS!F5360="","",DADOS!F5360)</f>
        <v/>
      </c>
      <c r="K5360" s="6" t="str">
        <f t="shared" si="420"/>
        <v/>
      </c>
      <c r="L5360" s="7" t="str">
        <f t="shared" si="421"/>
        <v/>
      </c>
      <c r="M5360" s="7" t="str">
        <f t="shared" si="418"/>
        <v/>
      </c>
      <c r="N5360" s="7" t="str">
        <f t="shared" si="422"/>
        <v/>
      </c>
      <c r="O5360" s="8"/>
      <c r="P5360" s="26"/>
      <c r="S5360" s="10" t="str">
        <f t="shared" si="419"/>
        <v/>
      </c>
    </row>
    <row r="5361" spans="5:19" x14ac:dyDescent="0.3">
      <c r="E5361" s="9" t="str">
        <f>IF(DADOS!C5361="","",DADOS!C5361)</f>
        <v/>
      </c>
      <c r="F5361" s="9" t="str">
        <f>IF(DADOS!E5361="","",DADOS!E5361)</f>
        <v/>
      </c>
      <c r="G5361" s="9" t="str">
        <f>IF(DADOS!F5361="","",DADOS!F5361)</f>
        <v/>
      </c>
      <c r="K5361" s="6" t="str">
        <f t="shared" si="420"/>
        <v/>
      </c>
      <c r="L5361" s="7" t="str">
        <f t="shared" si="421"/>
        <v/>
      </c>
      <c r="M5361" s="7" t="str">
        <f t="shared" si="418"/>
        <v/>
      </c>
      <c r="N5361" s="7" t="str">
        <f t="shared" si="422"/>
        <v/>
      </c>
      <c r="O5361" s="8"/>
      <c r="P5361" s="26"/>
      <c r="S5361" s="10" t="str">
        <f t="shared" si="419"/>
        <v/>
      </c>
    </row>
    <row r="5362" spans="5:19" x14ac:dyDescent="0.3">
      <c r="E5362" s="9" t="str">
        <f>IF(DADOS!C5362="","",DADOS!C5362)</f>
        <v/>
      </c>
      <c r="F5362" s="9" t="str">
        <f>IF(DADOS!E5362="","",DADOS!E5362)</f>
        <v/>
      </c>
      <c r="G5362" s="9" t="str">
        <f>IF(DADOS!F5362="","",DADOS!F5362)</f>
        <v/>
      </c>
      <c r="K5362" s="6" t="str">
        <f t="shared" si="420"/>
        <v/>
      </c>
      <c r="L5362" s="7" t="str">
        <f t="shared" si="421"/>
        <v/>
      </c>
      <c r="M5362" s="7" t="str">
        <f t="shared" si="418"/>
        <v/>
      </c>
      <c r="N5362" s="7" t="str">
        <f t="shared" si="422"/>
        <v/>
      </c>
      <c r="O5362" s="8"/>
      <c r="P5362" s="26"/>
      <c r="S5362" s="10" t="str">
        <f t="shared" si="419"/>
        <v/>
      </c>
    </row>
    <row r="5363" spans="5:19" x14ac:dyDescent="0.3">
      <c r="E5363" s="9" t="str">
        <f>IF(DADOS!C5363="","",DADOS!C5363)</f>
        <v/>
      </c>
      <c r="F5363" s="9" t="str">
        <f>IF(DADOS!E5363="","",DADOS!E5363)</f>
        <v/>
      </c>
      <c r="G5363" s="9" t="str">
        <f>IF(DADOS!F5363="","",DADOS!F5363)</f>
        <v/>
      </c>
      <c r="K5363" s="6" t="str">
        <f t="shared" si="420"/>
        <v/>
      </c>
      <c r="L5363" s="7" t="str">
        <f t="shared" si="421"/>
        <v/>
      </c>
      <c r="M5363" s="7" t="str">
        <f t="shared" si="418"/>
        <v/>
      </c>
      <c r="N5363" s="7" t="str">
        <f t="shared" si="422"/>
        <v/>
      </c>
      <c r="O5363" s="8"/>
      <c r="P5363" s="26"/>
      <c r="S5363" s="10" t="str">
        <f t="shared" si="419"/>
        <v/>
      </c>
    </row>
    <row r="5364" spans="5:19" x14ac:dyDescent="0.3">
      <c r="E5364" s="9" t="str">
        <f>IF(DADOS!C5364="","",DADOS!C5364)</f>
        <v/>
      </c>
      <c r="F5364" s="9" t="str">
        <f>IF(DADOS!E5364="","",DADOS!E5364)</f>
        <v/>
      </c>
      <c r="G5364" s="9" t="str">
        <f>IF(DADOS!F5364="","",DADOS!F5364)</f>
        <v/>
      </c>
      <c r="K5364" s="6" t="str">
        <f t="shared" si="420"/>
        <v/>
      </c>
      <c r="L5364" s="7" t="str">
        <f t="shared" si="421"/>
        <v/>
      </c>
      <c r="M5364" s="7" t="str">
        <f t="shared" si="418"/>
        <v/>
      </c>
      <c r="N5364" s="7" t="str">
        <f t="shared" si="422"/>
        <v/>
      </c>
      <c r="O5364" s="8"/>
      <c r="P5364" s="26"/>
      <c r="S5364" s="10" t="str">
        <f t="shared" si="419"/>
        <v/>
      </c>
    </row>
    <row r="5365" spans="5:19" x14ac:dyDescent="0.3">
      <c r="E5365" s="9" t="str">
        <f>IF(DADOS!C5365="","",DADOS!C5365)</f>
        <v/>
      </c>
      <c r="F5365" s="9" t="str">
        <f>IF(DADOS!E5365="","",DADOS!E5365)</f>
        <v/>
      </c>
      <c r="G5365" s="9" t="str">
        <f>IF(DADOS!F5365="","",DADOS!F5365)</f>
        <v/>
      </c>
      <c r="K5365" s="6" t="str">
        <f t="shared" si="420"/>
        <v/>
      </c>
      <c r="L5365" s="7" t="str">
        <f t="shared" si="421"/>
        <v/>
      </c>
      <c r="M5365" s="7" t="str">
        <f t="shared" si="418"/>
        <v/>
      </c>
      <c r="N5365" s="7" t="str">
        <f t="shared" si="422"/>
        <v/>
      </c>
      <c r="O5365" s="8"/>
      <c r="P5365" s="26"/>
      <c r="S5365" s="10" t="str">
        <f t="shared" si="419"/>
        <v/>
      </c>
    </row>
    <row r="5366" spans="5:19" x14ac:dyDescent="0.3">
      <c r="E5366" s="9" t="str">
        <f>IF(DADOS!C5366="","",DADOS!C5366)</f>
        <v/>
      </c>
      <c r="F5366" s="9" t="str">
        <f>IF(DADOS!E5366="","",DADOS!E5366)</f>
        <v/>
      </c>
      <c r="G5366" s="9" t="str">
        <f>IF(DADOS!F5366="","",DADOS!F5366)</f>
        <v/>
      </c>
      <c r="K5366" s="6" t="str">
        <f t="shared" si="420"/>
        <v/>
      </c>
      <c r="L5366" s="7" t="str">
        <f t="shared" si="421"/>
        <v/>
      </c>
      <c r="M5366" s="7" t="str">
        <f t="shared" si="418"/>
        <v/>
      </c>
      <c r="N5366" s="7" t="str">
        <f t="shared" si="422"/>
        <v/>
      </c>
      <c r="O5366" s="8"/>
      <c r="P5366" s="26"/>
      <c r="S5366" s="10" t="str">
        <f t="shared" si="419"/>
        <v/>
      </c>
    </row>
    <row r="5367" spans="5:19" x14ac:dyDescent="0.3">
      <c r="E5367" s="9" t="str">
        <f>IF(DADOS!C5367="","",DADOS!C5367)</f>
        <v/>
      </c>
      <c r="F5367" s="9" t="str">
        <f>IF(DADOS!E5367="","",DADOS!E5367)</f>
        <v/>
      </c>
      <c r="G5367" s="9" t="str">
        <f>IF(DADOS!F5367="","",DADOS!F5367)</f>
        <v/>
      </c>
      <c r="K5367" s="6" t="str">
        <f t="shared" si="420"/>
        <v/>
      </c>
      <c r="L5367" s="7" t="str">
        <f t="shared" si="421"/>
        <v/>
      </c>
      <c r="M5367" s="7" t="str">
        <f t="shared" si="418"/>
        <v/>
      </c>
      <c r="N5367" s="7" t="str">
        <f t="shared" si="422"/>
        <v/>
      </c>
      <c r="O5367" s="8"/>
      <c r="P5367" s="26"/>
      <c r="S5367" s="10" t="str">
        <f t="shared" si="419"/>
        <v/>
      </c>
    </row>
    <row r="5368" spans="5:19" x14ac:dyDescent="0.3">
      <c r="E5368" s="9" t="str">
        <f>IF(DADOS!C5368="","",DADOS!C5368)</f>
        <v/>
      </c>
      <c r="F5368" s="9" t="str">
        <f>IF(DADOS!E5368="","",DADOS!E5368)</f>
        <v/>
      </c>
      <c r="G5368" s="9" t="str">
        <f>IF(DADOS!F5368="","",DADOS!F5368)</f>
        <v/>
      </c>
      <c r="K5368" s="6" t="str">
        <f t="shared" si="420"/>
        <v/>
      </c>
      <c r="L5368" s="7" t="str">
        <f t="shared" si="421"/>
        <v/>
      </c>
      <c r="M5368" s="7" t="str">
        <f t="shared" si="418"/>
        <v/>
      </c>
      <c r="N5368" s="7" t="str">
        <f t="shared" si="422"/>
        <v/>
      </c>
      <c r="O5368" s="8"/>
      <c r="P5368" s="26"/>
      <c r="S5368" s="10" t="str">
        <f t="shared" si="419"/>
        <v/>
      </c>
    </row>
    <row r="5369" spans="5:19" x14ac:dyDescent="0.3">
      <c r="E5369" s="9" t="str">
        <f>IF(DADOS!C5369="","",DADOS!C5369)</f>
        <v/>
      </c>
      <c r="F5369" s="9" t="str">
        <f>IF(DADOS!E5369="","",DADOS!E5369)</f>
        <v/>
      </c>
      <c r="G5369" s="9" t="str">
        <f>IF(DADOS!F5369="","",DADOS!F5369)</f>
        <v/>
      </c>
      <c r="K5369" s="6" t="str">
        <f t="shared" si="420"/>
        <v/>
      </c>
      <c r="L5369" s="7" t="str">
        <f t="shared" si="421"/>
        <v/>
      </c>
      <c r="M5369" s="7" t="str">
        <f t="shared" si="418"/>
        <v/>
      </c>
      <c r="N5369" s="7" t="str">
        <f t="shared" si="422"/>
        <v/>
      </c>
      <c r="O5369" s="8"/>
      <c r="P5369" s="26"/>
      <c r="S5369" s="10" t="str">
        <f t="shared" si="419"/>
        <v/>
      </c>
    </row>
    <row r="5370" spans="5:19" x14ac:dyDescent="0.3">
      <c r="E5370" s="9" t="str">
        <f>IF(DADOS!C5370="","",DADOS!C5370)</f>
        <v/>
      </c>
      <c r="F5370" s="9" t="str">
        <f>IF(DADOS!E5370="","",DADOS!E5370)</f>
        <v/>
      </c>
      <c r="G5370" s="9" t="str">
        <f>IF(DADOS!F5370="","",DADOS!F5370)</f>
        <v/>
      </c>
      <c r="K5370" s="6" t="str">
        <f t="shared" si="420"/>
        <v/>
      </c>
      <c r="L5370" s="7" t="str">
        <f t="shared" si="421"/>
        <v/>
      </c>
      <c r="M5370" s="7" t="str">
        <f t="shared" si="418"/>
        <v/>
      </c>
      <c r="N5370" s="7" t="str">
        <f t="shared" si="422"/>
        <v/>
      </c>
      <c r="O5370" s="8"/>
      <c r="P5370" s="26"/>
      <c r="S5370" s="10" t="str">
        <f t="shared" si="419"/>
        <v/>
      </c>
    </row>
    <row r="5371" spans="5:19" x14ac:dyDescent="0.3">
      <c r="E5371" s="9" t="str">
        <f>IF(DADOS!C5371="","",DADOS!C5371)</f>
        <v/>
      </c>
      <c r="F5371" s="9" t="str">
        <f>IF(DADOS!E5371="","",DADOS!E5371)</f>
        <v/>
      </c>
      <c r="G5371" s="9" t="str">
        <f>IF(DADOS!F5371="","",DADOS!F5371)</f>
        <v/>
      </c>
      <c r="K5371" s="6" t="str">
        <f t="shared" si="420"/>
        <v/>
      </c>
      <c r="L5371" s="7" t="str">
        <f t="shared" si="421"/>
        <v/>
      </c>
      <c r="M5371" s="7" t="str">
        <f t="shared" si="418"/>
        <v/>
      </c>
      <c r="N5371" s="7" t="str">
        <f t="shared" si="422"/>
        <v/>
      </c>
      <c r="O5371" s="8"/>
      <c r="P5371" s="26"/>
      <c r="S5371" s="10" t="str">
        <f t="shared" si="419"/>
        <v/>
      </c>
    </row>
    <row r="5372" spans="5:19" x14ac:dyDescent="0.3">
      <c r="E5372" s="9" t="str">
        <f>IF(DADOS!C5372="","",DADOS!C5372)</f>
        <v/>
      </c>
      <c r="F5372" s="9" t="str">
        <f>IF(DADOS!E5372="","",DADOS!E5372)</f>
        <v/>
      </c>
      <c r="G5372" s="9" t="str">
        <f>IF(DADOS!F5372="","",DADOS!F5372)</f>
        <v/>
      </c>
      <c r="K5372" s="6" t="str">
        <f t="shared" si="420"/>
        <v/>
      </c>
      <c r="L5372" s="7" t="str">
        <f t="shared" si="421"/>
        <v/>
      </c>
      <c r="M5372" s="7" t="str">
        <f t="shared" si="418"/>
        <v/>
      </c>
      <c r="N5372" s="7" t="str">
        <f t="shared" si="422"/>
        <v/>
      </c>
      <c r="O5372" s="8"/>
      <c r="P5372" s="26"/>
      <c r="S5372" s="10" t="str">
        <f t="shared" si="419"/>
        <v/>
      </c>
    </row>
    <row r="5373" spans="5:19" x14ac:dyDescent="0.3">
      <c r="E5373" s="9" t="str">
        <f>IF(DADOS!C5373="","",DADOS!C5373)</f>
        <v/>
      </c>
      <c r="F5373" s="9" t="str">
        <f>IF(DADOS!E5373="","",DADOS!E5373)</f>
        <v/>
      </c>
      <c r="G5373" s="9" t="str">
        <f>IF(DADOS!F5373="","",DADOS!F5373)</f>
        <v/>
      </c>
      <c r="K5373" s="6" t="str">
        <f t="shared" si="420"/>
        <v/>
      </c>
      <c r="L5373" s="7" t="str">
        <f t="shared" si="421"/>
        <v/>
      </c>
      <c r="M5373" s="7" t="str">
        <f t="shared" si="418"/>
        <v/>
      </c>
      <c r="N5373" s="7" t="str">
        <f t="shared" si="422"/>
        <v/>
      </c>
      <c r="O5373" s="8"/>
      <c r="P5373" s="26"/>
      <c r="S5373" s="10" t="str">
        <f t="shared" si="419"/>
        <v/>
      </c>
    </row>
    <row r="5374" spans="5:19" x14ac:dyDescent="0.3">
      <c r="E5374" s="9" t="str">
        <f>IF(DADOS!C5374="","",DADOS!C5374)</f>
        <v/>
      </c>
      <c r="F5374" s="9" t="str">
        <f>IF(DADOS!E5374="","",DADOS!E5374)</f>
        <v/>
      </c>
      <c r="G5374" s="9" t="str">
        <f>IF(DADOS!F5374="","",DADOS!F5374)</f>
        <v/>
      </c>
      <c r="K5374" s="6" t="str">
        <f t="shared" si="420"/>
        <v/>
      </c>
      <c r="L5374" s="7" t="str">
        <f t="shared" si="421"/>
        <v/>
      </c>
      <c r="M5374" s="7" t="str">
        <f t="shared" si="418"/>
        <v/>
      </c>
      <c r="N5374" s="7" t="str">
        <f t="shared" si="422"/>
        <v/>
      </c>
      <c r="O5374" s="8"/>
      <c r="P5374" s="26"/>
      <c r="S5374" s="10" t="str">
        <f t="shared" si="419"/>
        <v/>
      </c>
    </row>
    <row r="5375" spans="5:19" x14ac:dyDescent="0.3">
      <c r="E5375" s="9" t="str">
        <f>IF(DADOS!C5375="","",DADOS!C5375)</f>
        <v/>
      </c>
      <c r="F5375" s="9" t="str">
        <f>IF(DADOS!E5375="","",DADOS!E5375)</f>
        <v/>
      </c>
      <c r="G5375" s="9" t="str">
        <f>IF(DADOS!F5375="","",DADOS!F5375)</f>
        <v/>
      </c>
      <c r="K5375" s="6" t="str">
        <f t="shared" si="420"/>
        <v/>
      </c>
      <c r="L5375" s="7" t="str">
        <f t="shared" si="421"/>
        <v/>
      </c>
      <c r="M5375" s="7" t="str">
        <f t="shared" si="418"/>
        <v/>
      </c>
      <c r="N5375" s="7" t="str">
        <f t="shared" si="422"/>
        <v/>
      </c>
      <c r="O5375" s="8"/>
      <c r="P5375" s="26"/>
      <c r="S5375" s="10" t="str">
        <f t="shared" si="419"/>
        <v/>
      </c>
    </row>
    <row r="5376" spans="5:19" x14ac:dyDescent="0.3">
      <c r="E5376" s="9" t="str">
        <f>IF(DADOS!C5376="","",DADOS!C5376)</f>
        <v/>
      </c>
      <c r="F5376" s="9" t="str">
        <f>IF(DADOS!E5376="","",DADOS!E5376)</f>
        <v/>
      </c>
      <c r="G5376" s="9" t="str">
        <f>IF(DADOS!F5376="","",DADOS!F5376)</f>
        <v/>
      </c>
      <c r="K5376" s="6" t="str">
        <f t="shared" si="420"/>
        <v/>
      </c>
      <c r="L5376" s="7" t="str">
        <f t="shared" si="421"/>
        <v/>
      </c>
      <c r="M5376" s="7" t="str">
        <f t="shared" si="418"/>
        <v/>
      </c>
      <c r="N5376" s="7" t="str">
        <f t="shared" si="422"/>
        <v/>
      </c>
      <c r="O5376" s="8"/>
      <c r="P5376" s="26"/>
      <c r="S5376" s="10" t="str">
        <f t="shared" si="419"/>
        <v/>
      </c>
    </row>
    <row r="5377" spans="5:19" x14ac:dyDescent="0.3">
      <c r="E5377" s="9" t="str">
        <f>IF(DADOS!C5377="","",DADOS!C5377)</f>
        <v/>
      </c>
      <c r="F5377" s="9" t="str">
        <f>IF(DADOS!E5377="","",DADOS!E5377)</f>
        <v/>
      </c>
      <c r="G5377" s="9" t="str">
        <f>IF(DADOS!F5377="","",DADOS!F5377)</f>
        <v/>
      </c>
      <c r="K5377" s="6" t="str">
        <f t="shared" si="420"/>
        <v/>
      </c>
      <c r="L5377" s="7" t="str">
        <f t="shared" si="421"/>
        <v/>
      </c>
      <c r="M5377" s="7" t="str">
        <f t="shared" si="418"/>
        <v/>
      </c>
      <c r="N5377" s="7" t="str">
        <f t="shared" si="422"/>
        <v/>
      </c>
      <c r="O5377" s="8"/>
      <c r="P5377" s="26"/>
      <c r="S5377" s="10" t="str">
        <f t="shared" si="419"/>
        <v/>
      </c>
    </row>
    <row r="5378" spans="5:19" x14ac:dyDescent="0.3">
      <c r="E5378" s="9" t="str">
        <f>IF(DADOS!C5378="","",DADOS!C5378)</f>
        <v/>
      </c>
      <c r="F5378" s="9" t="str">
        <f>IF(DADOS!E5378="","",DADOS!E5378)</f>
        <v/>
      </c>
      <c r="G5378" s="9" t="str">
        <f>IF(DADOS!F5378="","",DADOS!F5378)</f>
        <v/>
      </c>
      <c r="K5378" s="6" t="str">
        <f t="shared" si="420"/>
        <v/>
      </c>
      <c r="L5378" s="7" t="str">
        <f t="shared" si="421"/>
        <v/>
      </c>
      <c r="M5378" s="7" t="str">
        <f t="shared" si="418"/>
        <v/>
      </c>
      <c r="N5378" s="7" t="str">
        <f t="shared" si="422"/>
        <v/>
      </c>
      <c r="O5378" s="8"/>
      <c r="P5378" s="26"/>
      <c r="S5378" s="10" t="str">
        <f t="shared" si="419"/>
        <v/>
      </c>
    </row>
    <row r="5379" spans="5:19" x14ac:dyDescent="0.3">
      <c r="E5379" s="9" t="str">
        <f>IF(DADOS!C5379="","",DADOS!C5379)</f>
        <v/>
      </c>
      <c r="F5379" s="9" t="str">
        <f>IF(DADOS!E5379="","",DADOS!E5379)</f>
        <v/>
      </c>
      <c r="G5379" s="9" t="str">
        <f>IF(DADOS!F5379="","",DADOS!F5379)</f>
        <v/>
      </c>
      <c r="K5379" s="6" t="str">
        <f t="shared" si="420"/>
        <v/>
      </c>
      <c r="L5379" s="7" t="str">
        <f t="shared" si="421"/>
        <v/>
      </c>
      <c r="M5379" s="7" t="str">
        <f t="shared" ref="M5379:M5442" si="423">IF(L5379="","",L5379*G5379)</f>
        <v/>
      </c>
      <c r="N5379" s="7" t="str">
        <f t="shared" si="422"/>
        <v/>
      </c>
      <c r="O5379" s="8"/>
      <c r="P5379" s="26"/>
      <c r="S5379" s="10" t="str">
        <f t="shared" ref="S5379:S5442" si="424">IF(R5379="","",SUMIFS($N$3:$N$10000,$E$3:$E$10000,R5379))</f>
        <v/>
      </c>
    </row>
    <row r="5380" spans="5:19" x14ac:dyDescent="0.3">
      <c r="E5380" s="9" t="str">
        <f>IF(DADOS!C5380="","",DADOS!C5380)</f>
        <v/>
      </c>
      <c r="F5380" s="9" t="str">
        <f>IF(DADOS!E5380="","",DADOS!E5380)</f>
        <v/>
      </c>
      <c r="G5380" s="9" t="str">
        <f>IF(DADOS!F5380="","",DADOS!F5380)</f>
        <v/>
      </c>
      <c r="K5380" s="6" t="str">
        <f t="shared" ref="K5380:K5443" si="425">IF(F5380="","",F5380/PI())</f>
        <v/>
      </c>
      <c r="L5380" s="7" t="str">
        <f t="shared" ref="L5380:L5443" si="426">IF(K5380="","",(PI()*K5380^2)/40000)</f>
        <v/>
      </c>
      <c r="M5380" s="7" t="str">
        <f t="shared" si="423"/>
        <v/>
      </c>
      <c r="N5380" s="7" t="str">
        <f t="shared" ref="N5380:N5443" si="427">IF(M5380="","",M5380*N$1)</f>
        <v/>
      </c>
      <c r="O5380" s="8"/>
      <c r="P5380" s="26"/>
      <c r="S5380" s="10" t="str">
        <f t="shared" si="424"/>
        <v/>
      </c>
    </row>
    <row r="5381" spans="5:19" x14ac:dyDescent="0.3">
      <c r="E5381" s="9" t="str">
        <f>IF(DADOS!C5381="","",DADOS!C5381)</f>
        <v/>
      </c>
      <c r="F5381" s="9" t="str">
        <f>IF(DADOS!E5381="","",DADOS!E5381)</f>
        <v/>
      </c>
      <c r="G5381" s="9" t="str">
        <f>IF(DADOS!F5381="","",DADOS!F5381)</f>
        <v/>
      </c>
      <c r="K5381" s="6" t="str">
        <f t="shared" si="425"/>
        <v/>
      </c>
      <c r="L5381" s="7" t="str">
        <f t="shared" si="426"/>
        <v/>
      </c>
      <c r="M5381" s="7" t="str">
        <f t="shared" si="423"/>
        <v/>
      </c>
      <c r="N5381" s="7" t="str">
        <f t="shared" si="427"/>
        <v/>
      </c>
      <c r="O5381" s="8"/>
      <c r="P5381" s="26"/>
      <c r="S5381" s="10" t="str">
        <f t="shared" si="424"/>
        <v/>
      </c>
    </row>
    <row r="5382" spans="5:19" x14ac:dyDescent="0.3">
      <c r="E5382" s="9" t="str">
        <f>IF(DADOS!C5382="","",DADOS!C5382)</f>
        <v/>
      </c>
      <c r="F5382" s="9" t="str">
        <f>IF(DADOS!E5382="","",DADOS!E5382)</f>
        <v/>
      </c>
      <c r="G5382" s="9" t="str">
        <f>IF(DADOS!F5382="","",DADOS!F5382)</f>
        <v/>
      </c>
      <c r="K5382" s="6" t="str">
        <f t="shared" si="425"/>
        <v/>
      </c>
      <c r="L5382" s="7" t="str">
        <f t="shared" si="426"/>
        <v/>
      </c>
      <c r="M5382" s="7" t="str">
        <f t="shared" si="423"/>
        <v/>
      </c>
      <c r="N5382" s="7" t="str">
        <f t="shared" si="427"/>
        <v/>
      </c>
      <c r="O5382" s="8"/>
      <c r="P5382" s="26"/>
      <c r="S5382" s="10" t="str">
        <f t="shared" si="424"/>
        <v/>
      </c>
    </row>
    <row r="5383" spans="5:19" x14ac:dyDescent="0.3">
      <c r="E5383" s="9" t="str">
        <f>IF(DADOS!C5383="","",DADOS!C5383)</f>
        <v/>
      </c>
      <c r="F5383" s="9" t="str">
        <f>IF(DADOS!E5383="","",DADOS!E5383)</f>
        <v/>
      </c>
      <c r="G5383" s="9" t="str">
        <f>IF(DADOS!F5383="","",DADOS!F5383)</f>
        <v/>
      </c>
      <c r="K5383" s="6" t="str">
        <f t="shared" si="425"/>
        <v/>
      </c>
      <c r="L5383" s="7" t="str">
        <f t="shared" si="426"/>
        <v/>
      </c>
      <c r="M5383" s="7" t="str">
        <f t="shared" si="423"/>
        <v/>
      </c>
      <c r="N5383" s="7" t="str">
        <f t="shared" si="427"/>
        <v/>
      </c>
      <c r="O5383" s="8"/>
      <c r="P5383" s="26"/>
      <c r="S5383" s="10" t="str">
        <f t="shared" si="424"/>
        <v/>
      </c>
    </row>
    <row r="5384" spans="5:19" x14ac:dyDescent="0.3">
      <c r="E5384" s="9" t="str">
        <f>IF(DADOS!C5384="","",DADOS!C5384)</f>
        <v/>
      </c>
      <c r="F5384" s="9" t="str">
        <f>IF(DADOS!E5384="","",DADOS!E5384)</f>
        <v/>
      </c>
      <c r="G5384" s="9" t="str">
        <f>IF(DADOS!F5384="","",DADOS!F5384)</f>
        <v/>
      </c>
      <c r="K5384" s="6" t="str">
        <f t="shared" si="425"/>
        <v/>
      </c>
      <c r="L5384" s="7" t="str">
        <f t="shared" si="426"/>
        <v/>
      </c>
      <c r="M5384" s="7" t="str">
        <f t="shared" si="423"/>
        <v/>
      </c>
      <c r="N5384" s="7" t="str">
        <f t="shared" si="427"/>
        <v/>
      </c>
      <c r="O5384" s="8"/>
      <c r="P5384" s="26"/>
      <c r="S5384" s="10" t="str">
        <f t="shared" si="424"/>
        <v/>
      </c>
    </row>
    <row r="5385" spans="5:19" x14ac:dyDescent="0.3">
      <c r="E5385" s="9" t="str">
        <f>IF(DADOS!C5385="","",DADOS!C5385)</f>
        <v/>
      </c>
      <c r="F5385" s="9" t="str">
        <f>IF(DADOS!E5385="","",DADOS!E5385)</f>
        <v/>
      </c>
      <c r="G5385" s="9" t="str">
        <f>IF(DADOS!F5385="","",DADOS!F5385)</f>
        <v/>
      </c>
      <c r="K5385" s="6" t="str">
        <f t="shared" si="425"/>
        <v/>
      </c>
      <c r="L5385" s="7" t="str">
        <f t="shared" si="426"/>
        <v/>
      </c>
      <c r="M5385" s="7" t="str">
        <f t="shared" si="423"/>
        <v/>
      </c>
      <c r="N5385" s="7" t="str">
        <f t="shared" si="427"/>
        <v/>
      </c>
      <c r="O5385" s="8"/>
      <c r="P5385" s="26"/>
      <c r="S5385" s="10" t="str">
        <f t="shared" si="424"/>
        <v/>
      </c>
    </row>
    <row r="5386" spans="5:19" x14ac:dyDescent="0.3">
      <c r="E5386" s="9" t="str">
        <f>IF(DADOS!C5386="","",DADOS!C5386)</f>
        <v/>
      </c>
      <c r="F5386" s="9" t="str">
        <f>IF(DADOS!E5386="","",DADOS!E5386)</f>
        <v/>
      </c>
      <c r="G5386" s="9" t="str">
        <f>IF(DADOS!F5386="","",DADOS!F5386)</f>
        <v/>
      </c>
      <c r="K5386" s="6" t="str">
        <f t="shared" si="425"/>
        <v/>
      </c>
      <c r="L5386" s="7" t="str">
        <f t="shared" si="426"/>
        <v/>
      </c>
      <c r="M5386" s="7" t="str">
        <f t="shared" si="423"/>
        <v/>
      </c>
      <c r="N5386" s="7" t="str">
        <f t="shared" si="427"/>
        <v/>
      </c>
      <c r="O5386" s="8"/>
      <c r="P5386" s="26"/>
      <c r="S5386" s="10" t="str">
        <f t="shared" si="424"/>
        <v/>
      </c>
    </row>
    <row r="5387" spans="5:19" x14ac:dyDescent="0.3">
      <c r="E5387" s="9" t="str">
        <f>IF(DADOS!C5387="","",DADOS!C5387)</f>
        <v/>
      </c>
      <c r="F5387" s="9" t="str">
        <f>IF(DADOS!E5387="","",DADOS!E5387)</f>
        <v/>
      </c>
      <c r="G5387" s="9" t="str">
        <f>IF(DADOS!F5387="","",DADOS!F5387)</f>
        <v/>
      </c>
      <c r="K5387" s="6" t="str">
        <f t="shared" si="425"/>
        <v/>
      </c>
      <c r="L5387" s="7" t="str">
        <f t="shared" si="426"/>
        <v/>
      </c>
      <c r="M5387" s="7" t="str">
        <f t="shared" si="423"/>
        <v/>
      </c>
      <c r="N5387" s="7" t="str">
        <f t="shared" si="427"/>
        <v/>
      </c>
      <c r="O5387" s="8"/>
      <c r="P5387" s="26"/>
      <c r="S5387" s="10" t="str">
        <f t="shared" si="424"/>
        <v/>
      </c>
    </row>
    <row r="5388" spans="5:19" x14ac:dyDescent="0.3">
      <c r="E5388" s="9" t="str">
        <f>IF(DADOS!C5388="","",DADOS!C5388)</f>
        <v/>
      </c>
      <c r="F5388" s="9" t="str">
        <f>IF(DADOS!E5388="","",DADOS!E5388)</f>
        <v/>
      </c>
      <c r="G5388" s="9" t="str">
        <f>IF(DADOS!F5388="","",DADOS!F5388)</f>
        <v/>
      </c>
      <c r="K5388" s="6" t="str">
        <f t="shared" si="425"/>
        <v/>
      </c>
      <c r="L5388" s="7" t="str">
        <f t="shared" si="426"/>
        <v/>
      </c>
      <c r="M5388" s="7" t="str">
        <f t="shared" si="423"/>
        <v/>
      </c>
      <c r="N5388" s="7" t="str">
        <f t="shared" si="427"/>
        <v/>
      </c>
      <c r="O5388" s="8"/>
      <c r="P5388" s="26"/>
      <c r="S5388" s="10" t="str">
        <f t="shared" si="424"/>
        <v/>
      </c>
    </row>
    <row r="5389" spans="5:19" x14ac:dyDescent="0.3">
      <c r="E5389" s="9" t="str">
        <f>IF(DADOS!C5389="","",DADOS!C5389)</f>
        <v/>
      </c>
      <c r="F5389" s="9" t="str">
        <f>IF(DADOS!E5389="","",DADOS!E5389)</f>
        <v/>
      </c>
      <c r="G5389" s="9" t="str">
        <f>IF(DADOS!F5389="","",DADOS!F5389)</f>
        <v/>
      </c>
      <c r="K5389" s="6" t="str">
        <f t="shared" si="425"/>
        <v/>
      </c>
      <c r="L5389" s="7" t="str">
        <f t="shared" si="426"/>
        <v/>
      </c>
      <c r="M5389" s="7" t="str">
        <f t="shared" si="423"/>
        <v/>
      </c>
      <c r="N5389" s="7" t="str">
        <f t="shared" si="427"/>
        <v/>
      </c>
      <c r="O5389" s="8"/>
      <c r="P5389" s="26"/>
      <c r="S5389" s="10" t="str">
        <f t="shared" si="424"/>
        <v/>
      </c>
    </row>
    <row r="5390" spans="5:19" x14ac:dyDescent="0.3">
      <c r="E5390" s="9" t="str">
        <f>IF(DADOS!C5390="","",DADOS!C5390)</f>
        <v/>
      </c>
      <c r="F5390" s="9" t="str">
        <f>IF(DADOS!E5390="","",DADOS!E5390)</f>
        <v/>
      </c>
      <c r="G5390" s="9" t="str">
        <f>IF(DADOS!F5390="","",DADOS!F5390)</f>
        <v/>
      </c>
      <c r="K5390" s="6" t="str">
        <f t="shared" si="425"/>
        <v/>
      </c>
      <c r="L5390" s="7" t="str">
        <f t="shared" si="426"/>
        <v/>
      </c>
      <c r="M5390" s="7" t="str">
        <f t="shared" si="423"/>
        <v/>
      </c>
      <c r="N5390" s="7" t="str">
        <f t="shared" si="427"/>
        <v/>
      </c>
      <c r="O5390" s="8"/>
      <c r="P5390" s="26"/>
      <c r="S5390" s="10" t="str">
        <f t="shared" si="424"/>
        <v/>
      </c>
    </row>
    <row r="5391" spans="5:19" x14ac:dyDescent="0.3">
      <c r="E5391" s="9" t="str">
        <f>IF(DADOS!C5391="","",DADOS!C5391)</f>
        <v/>
      </c>
      <c r="F5391" s="9" t="str">
        <f>IF(DADOS!E5391="","",DADOS!E5391)</f>
        <v/>
      </c>
      <c r="G5391" s="9" t="str">
        <f>IF(DADOS!F5391="","",DADOS!F5391)</f>
        <v/>
      </c>
      <c r="K5391" s="6" t="str">
        <f t="shared" si="425"/>
        <v/>
      </c>
      <c r="L5391" s="7" t="str">
        <f t="shared" si="426"/>
        <v/>
      </c>
      <c r="M5391" s="7" t="str">
        <f t="shared" si="423"/>
        <v/>
      </c>
      <c r="N5391" s="7" t="str">
        <f t="shared" si="427"/>
        <v/>
      </c>
      <c r="O5391" s="8"/>
      <c r="P5391" s="26"/>
      <c r="S5391" s="10" t="str">
        <f t="shared" si="424"/>
        <v/>
      </c>
    </row>
    <row r="5392" spans="5:19" x14ac:dyDescent="0.3">
      <c r="E5392" s="9" t="str">
        <f>IF(DADOS!C5392="","",DADOS!C5392)</f>
        <v/>
      </c>
      <c r="F5392" s="9" t="str">
        <f>IF(DADOS!E5392="","",DADOS!E5392)</f>
        <v/>
      </c>
      <c r="G5392" s="9" t="str">
        <f>IF(DADOS!F5392="","",DADOS!F5392)</f>
        <v/>
      </c>
      <c r="K5392" s="6" t="str">
        <f t="shared" si="425"/>
        <v/>
      </c>
      <c r="L5392" s="7" t="str">
        <f t="shared" si="426"/>
        <v/>
      </c>
      <c r="M5392" s="7" t="str">
        <f t="shared" si="423"/>
        <v/>
      </c>
      <c r="N5392" s="7" t="str">
        <f t="shared" si="427"/>
        <v/>
      </c>
      <c r="O5392" s="8"/>
      <c r="P5392" s="26"/>
      <c r="S5392" s="10" t="str">
        <f t="shared" si="424"/>
        <v/>
      </c>
    </row>
    <row r="5393" spans="5:19" x14ac:dyDescent="0.3">
      <c r="E5393" s="9" t="str">
        <f>IF(DADOS!C5393="","",DADOS!C5393)</f>
        <v/>
      </c>
      <c r="F5393" s="9" t="str">
        <f>IF(DADOS!E5393="","",DADOS!E5393)</f>
        <v/>
      </c>
      <c r="G5393" s="9" t="str">
        <f>IF(DADOS!F5393="","",DADOS!F5393)</f>
        <v/>
      </c>
      <c r="K5393" s="6" t="str">
        <f t="shared" si="425"/>
        <v/>
      </c>
      <c r="L5393" s="7" t="str">
        <f t="shared" si="426"/>
        <v/>
      </c>
      <c r="M5393" s="7" t="str">
        <f t="shared" si="423"/>
        <v/>
      </c>
      <c r="N5393" s="7" t="str">
        <f t="shared" si="427"/>
        <v/>
      </c>
      <c r="O5393" s="8"/>
      <c r="P5393" s="26"/>
      <c r="S5393" s="10" t="str">
        <f t="shared" si="424"/>
        <v/>
      </c>
    </row>
    <row r="5394" spans="5:19" x14ac:dyDescent="0.3">
      <c r="E5394" s="9" t="str">
        <f>IF(DADOS!C5394="","",DADOS!C5394)</f>
        <v/>
      </c>
      <c r="F5394" s="9" t="str">
        <f>IF(DADOS!E5394="","",DADOS!E5394)</f>
        <v/>
      </c>
      <c r="G5394" s="9" t="str">
        <f>IF(DADOS!F5394="","",DADOS!F5394)</f>
        <v/>
      </c>
      <c r="K5394" s="6" t="str">
        <f t="shared" si="425"/>
        <v/>
      </c>
      <c r="L5394" s="7" t="str">
        <f t="shared" si="426"/>
        <v/>
      </c>
      <c r="M5394" s="7" t="str">
        <f t="shared" si="423"/>
        <v/>
      </c>
      <c r="N5394" s="7" t="str">
        <f t="shared" si="427"/>
        <v/>
      </c>
      <c r="O5394" s="8"/>
      <c r="P5394" s="26"/>
      <c r="S5394" s="10" t="str">
        <f t="shared" si="424"/>
        <v/>
      </c>
    </row>
    <row r="5395" spans="5:19" x14ac:dyDescent="0.3">
      <c r="E5395" s="9" t="str">
        <f>IF(DADOS!C5395="","",DADOS!C5395)</f>
        <v/>
      </c>
      <c r="F5395" s="9" t="str">
        <f>IF(DADOS!E5395="","",DADOS!E5395)</f>
        <v/>
      </c>
      <c r="G5395" s="9" t="str">
        <f>IF(DADOS!F5395="","",DADOS!F5395)</f>
        <v/>
      </c>
      <c r="K5395" s="6" t="str">
        <f t="shared" si="425"/>
        <v/>
      </c>
      <c r="L5395" s="7" t="str">
        <f t="shared" si="426"/>
        <v/>
      </c>
      <c r="M5395" s="7" t="str">
        <f t="shared" si="423"/>
        <v/>
      </c>
      <c r="N5395" s="7" t="str">
        <f t="shared" si="427"/>
        <v/>
      </c>
      <c r="O5395" s="8"/>
      <c r="P5395" s="26"/>
      <c r="S5395" s="10" t="str">
        <f t="shared" si="424"/>
        <v/>
      </c>
    </row>
    <row r="5396" spans="5:19" x14ac:dyDescent="0.3">
      <c r="E5396" s="9" t="str">
        <f>IF(DADOS!C5396="","",DADOS!C5396)</f>
        <v/>
      </c>
      <c r="F5396" s="9" t="str">
        <f>IF(DADOS!E5396="","",DADOS!E5396)</f>
        <v/>
      </c>
      <c r="G5396" s="9" t="str">
        <f>IF(DADOS!F5396="","",DADOS!F5396)</f>
        <v/>
      </c>
      <c r="K5396" s="6" t="str">
        <f t="shared" si="425"/>
        <v/>
      </c>
      <c r="L5396" s="7" t="str">
        <f t="shared" si="426"/>
        <v/>
      </c>
      <c r="M5396" s="7" t="str">
        <f t="shared" si="423"/>
        <v/>
      </c>
      <c r="N5396" s="7" t="str">
        <f t="shared" si="427"/>
        <v/>
      </c>
      <c r="O5396" s="8"/>
      <c r="P5396" s="26"/>
      <c r="S5396" s="10" t="str">
        <f t="shared" si="424"/>
        <v/>
      </c>
    </row>
    <row r="5397" spans="5:19" x14ac:dyDescent="0.3">
      <c r="E5397" s="9" t="str">
        <f>IF(DADOS!C5397="","",DADOS!C5397)</f>
        <v/>
      </c>
      <c r="F5397" s="9" t="str">
        <f>IF(DADOS!E5397="","",DADOS!E5397)</f>
        <v/>
      </c>
      <c r="G5397" s="9" t="str">
        <f>IF(DADOS!F5397="","",DADOS!F5397)</f>
        <v/>
      </c>
      <c r="K5397" s="6" t="str">
        <f t="shared" si="425"/>
        <v/>
      </c>
      <c r="L5397" s="7" t="str">
        <f t="shared" si="426"/>
        <v/>
      </c>
      <c r="M5397" s="7" t="str">
        <f t="shared" si="423"/>
        <v/>
      </c>
      <c r="N5397" s="7" t="str">
        <f t="shared" si="427"/>
        <v/>
      </c>
      <c r="O5397" s="8"/>
      <c r="P5397" s="26"/>
      <c r="S5397" s="10" t="str">
        <f t="shared" si="424"/>
        <v/>
      </c>
    </row>
    <row r="5398" spans="5:19" x14ac:dyDescent="0.3">
      <c r="E5398" s="9" t="str">
        <f>IF(DADOS!C5398="","",DADOS!C5398)</f>
        <v/>
      </c>
      <c r="F5398" s="9" t="str">
        <f>IF(DADOS!E5398="","",DADOS!E5398)</f>
        <v/>
      </c>
      <c r="G5398" s="9" t="str">
        <f>IF(DADOS!F5398="","",DADOS!F5398)</f>
        <v/>
      </c>
      <c r="K5398" s="6" t="str">
        <f t="shared" si="425"/>
        <v/>
      </c>
      <c r="L5398" s="7" t="str">
        <f t="shared" si="426"/>
        <v/>
      </c>
      <c r="M5398" s="7" t="str">
        <f t="shared" si="423"/>
        <v/>
      </c>
      <c r="N5398" s="7" t="str">
        <f t="shared" si="427"/>
        <v/>
      </c>
      <c r="O5398" s="8"/>
      <c r="P5398" s="26"/>
      <c r="S5398" s="10" t="str">
        <f t="shared" si="424"/>
        <v/>
      </c>
    </row>
    <row r="5399" spans="5:19" x14ac:dyDescent="0.3">
      <c r="E5399" s="9" t="str">
        <f>IF(DADOS!C5399="","",DADOS!C5399)</f>
        <v/>
      </c>
      <c r="F5399" s="9" t="str">
        <f>IF(DADOS!E5399="","",DADOS!E5399)</f>
        <v/>
      </c>
      <c r="G5399" s="9" t="str">
        <f>IF(DADOS!F5399="","",DADOS!F5399)</f>
        <v/>
      </c>
      <c r="K5399" s="6" t="str">
        <f t="shared" si="425"/>
        <v/>
      </c>
      <c r="L5399" s="7" t="str">
        <f t="shared" si="426"/>
        <v/>
      </c>
      <c r="M5399" s="7" t="str">
        <f t="shared" si="423"/>
        <v/>
      </c>
      <c r="N5399" s="7" t="str">
        <f t="shared" si="427"/>
        <v/>
      </c>
      <c r="O5399" s="8"/>
      <c r="P5399" s="26"/>
      <c r="S5399" s="10" t="str">
        <f t="shared" si="424"/>
        <v/>
      </c>
    </row>
    <row r="5400" spans="5:19" x14ac:dyDescent="0.3">
      <c r="E5400" s="9" t="str">
        <f>IF(DADOS!C5400="","",DADOS!C5400)</f>
        <v/>
      </c>
      <c r="F5400" s="9" t="str">
        <f>IF(DADOS!E5400="","",DADOS!E5400)</f>
        <v/>
      </c>
      <c r="G5400" s="9" t="str">
        <f>IF(DADOS!F5400="","",DADOS!F5400)</f>
        <v/>
      </c>
      <c r="K5400" s="6" t="str">
        <f t="shared" si="425"/>
        <v/>
      </c>
      <c r="L5400" s="7" t="str">
        <f t="shared" si="426"/>
        <v/>
      </c>
      <c r="M5400" s="7" t="str">
        <f t="shared" si="423"/>
        <v/>
      </c>
      <c r="N5400" s="7" t="str">
        <f t="shared" si="427"/>
        <v/>
      </c>
      <c r="O5400" s="8"/>
      <c r="P5400" s="26"/>
      <c r="S5400" s="10" t="str">
        <f t="shared" si="424"/>
        <v/>
      </c>
    </row>
    <row r="5401" spans="5:19" x14ac:dyDescent="0.3">
      <c r="E5401" s="9" t="str">
        <f>IF(DADOS!C5401="","",DADOS!C5401)</f>
        <v/>
      </c>
      <c r="F5401" s="9" t="str">
        <f>IF(DADOS!E5401="","",DADOS!E5401)</f>
        <v/>
      </c>
      <c r="G5401" s="9" t="str">
        <f>IF(DADOS!F5401="","",DADOS!F5401)</f>
        <v/>
      </c>
      <c r="K5401" s="6" t="str">
        <f t="shared" si="425"/>
        <v/>
      </c>
      <c r="L5401" s="7" t="str">
        <f t="shared" si="426"/>
        <v/>
      </c>
      <c r="M5401" s="7" t="str">
        <f t="shared" si="423"/>
        <v/>
      </c>
      <c r="N5401" s="7" t="str">
        <f t="shared" si="427"/>
        <v/>
      </c>
      <c r="O5401" s="8"/>
      <c r="P5401" s="26"/>
      <c r="S5401" s="10" t="str">
        <f t="shared" si="424"/>
        <v/>
      </c>
    </row>
    <row r="5402" spans="5:19" x14ac:dyDescent="0.3">
      <c r="E5402" s="9" t="str">
        <f>IF(DADOS!C5402="","",DADOS!C5402)</f>
        <v/>
      </c>
      <c r="F5402" s="9" t="str">
        <f>IF(DADOS!E5402="","",DADOS!E5402)</f>
        <v/>
      </c>
      <c r="G5402" s="9" t="str">
        <f>IF(DADOS!F5402="","",DADOS!F5402)</f>
        <v/>
      </c>
      <c r="K5402" s="6" t="str">
        <f t="shared" si="425"/>
        <v/>
      </c>
      <c r="L5402" s="7" t="str">
        <f t="shared" si="426"/>
        <v/>
      </c>
      <c r="M5402" s="7" t="str">
        <f t="shared" si="423"/>
        <v/>
      </c>
      <c r="N5402" s="7" t="str">
        <f t="shared" si="427"/>
        <v/>
      </c>
      <c r="O5402" s="8"/>
      <c r="P5402" s="26"/>
      <c r="S5402" s="10" t="str">
        <f t="shared" si="424"/>
        <v/>
      </c>
    </row>
    <row r="5403" spans="5:19" x14ac:dyDescent="0.3">
      <c r="E5403" s="9" t="str">
        <f>IF(DADOS!C5403="","",DADOS!C5403)</f>
        <v/>
      </c>
      <c r="F5403" s="9" t="str">
        <f>IF(DADOS!E5403="","",DADOS!E5403)</f>
        <v/>
      </c>
      <c r="G5403" s="9" t="str">
        <f>IF(DADOS!F5403="","",DADOS!F5403)</f>
        <v/>
      </c>
      <c r="K5403" s="6" t="str">
        <f t="shared" si="425"/>
        <v/>
      </c>
      <c r="L5403" s="7" t="str">
        <f t="shared" si="426"/>
        <v/>
      </c>
      <c r="M5403" s="7" t="str">
        <f t="shared" si="423"/>
        <v/>
      </c>
      <c r="N5403" s="7" t="str">
        <f t="shared" si="427"/>
        <v/>
      </c>
      <c r="O5403" s="8"/>
      <c r="P5403" s="26"/>
      <c r="S5403" s="10" t="str">
        <f t="shared" si="424"/>
        <v/>
      </c>
    </row>
    <row r="5404" spans="5:19" x14ac:dyDescent="0.3">
      <c r="E5404" s="9" t="str">
        <f>IF(DADOS!C5404="","",DADOS!C5404)</f>
        <v/>
      </c>
      <c r="F5404" s="9" t="str">
        <f>IF(DADOS!E5404="","",DADOS!E5404)</f>
        <v/>
      </c>
      <c r="G5404" s="9" t="str">
        <f>IF(DADOS!F5404="","",DADOS!F5404)</f>
        <v/>
      </c>
      <c r="K5404" s="6" t="str">
        <f t="shared" si="425"/>
        <v/>
      </c>
      <c r="L5404" s="7" t="str">
        <f t="shared" si="426"/>
        <v/>
      </c>
      <c r="M5404" s="7" t="str">
        <f t="shared" si="423"/>
        <v/>
      </c>
      <c r="N5404" s="7" t="str">
        <f t="shared" si="427"/>
        <v/>
      </c>
      <c r="O5404" s="8"/>
      <c r="P5404" s="26"/>
      <c r="S5404" s="10" t="str">
        <f t="shared" si="424"/>
        <v/>
      </c>
    </row>
    <row r="5405" spans="5:19" x14ac:dyDescent="0.3">
      <c r="E5405" s="9" t="str">
        <f>IF(DADOS!C5405="","",DADOS!C5405)</f>
        <v/>
      </c>
      <c r="F5405" s="9" t="str">
        <f>IF(DADOS!E5405="","",DADOS!E5405)</f>
        <v/>
      </c>
      <c r="G5405" s="9" t="str">
        <f>IF(DADOS!F5405="","",DADOS!F5405)</f>
        <v/>
      </c>
      <c r="K5405" s="6" t="str">
        <f t="shared" si="425"/>
        <v/>
      </c>
      <c r="L5405" s="7" t="str">
        <f t="shared" si="426"/>
        <v/>
      </c>
      <c r="M5405" s="7" t="str">
        <f t="shared" si="423"/>
        <v/>
      </c>
      <c r="N5405" s="7" t="str">
        <f t="shared" si="427"/>
        <v/>
      </c>
      <c r="O5405" s="8"/>
      <c r="P5405" s="26"/>
      <c r="S5405" s="10" t="str">
        <f t="shared" si="424"/>
        <v/>
      </c>
    </row>
    <row r="5406" spans="5:19" x14ac:dyDescent="0.3">
      <c r="E5406" s="9" t="str">
        <f>IF(DADOS!C5406="","",DADOS!C5406)</f>
        <v/>
      </c>
      <c r="F5406" s="9" t="str">
        <f>IF(DADOS!E5406="","",DADOS!E5406)</f>
        <v/>
      </c>
      <c r="G5406" s="9" t="str">
        <f>IF(DADOS!F5406="","",DADOS!F5406)</f>
        <v/>
      </c>
      <c r="K5406" s="6" t="str">
        <f t="shared" si="425"/>
        <v/>
      </c>
      <c r="L5406" s="7" t="str">
        <f t="shared" si="426"/>
        <v/>
      </c>
      <c r="M5406" s="7" t="str">
        <f t="shared" si="423"/>
        <v/>
      </c>
      <c r="N5406" s="7" t="str">
        <f t="shared" si="427"/>
        <v/>
      </c>
      <c r="O5406" s="8"/>
      <c r="P5406" s="26"/>
      <c r="S5406" s="10" t="str">
        <f t="shared" si="424"/>
        <v/>
      </c>
    </row>
    <row r="5407" spans="5:19" x14ac:dyDescent="0.3">
      <c r="E5407" s="9" t="str">
        <f>IF(DADOS!C5407="","",DADOS!C5407)</f>
        <v/>
      </c>
      <c r="F5407" s="9" t="str">
        <f>IF(DADOS!E5407="","",DADOS!E5407)</f>
        <v/>
      </c>
      <c r="G5407" s="9" t="str">
        <f>IF(DADOS!F5407="","",DADOS!F5407)</f>
        <v/>
      </c>
      <c r="K5407" s="6" t="str">
        <f t="shared" si="425"/>
        <v/>
      </c>
      <c r="L5407" s="7" t="str">
        <f t="shared" si="426"/>
        <v/>
      </c>
      <c r="M5407" s="7" t="str">
        <f t="shared" si="423"/>
        <v/>
      </c>
      <c r="N5407" s="7" t="str">
        <f t="shared" si="427"/>
        <v/>
      </c>
      <c r="O5407" s="8"/>
      <c r="P5407" s="26"/>
      <c r="S5407" s="10" t="str">
        <f t="shared" si="424"/>
        <v/>
      </c>
    </row>
    <row r="5408" spans="5:19" x14ac:dyDescent="0.3">
      <c r="E5408" s="9" t="str">
        <f>IF(DADOS!C5408="","",DADOS!C5408)</f>
        <v/>
      </c>
      <c r="F5408" s="9" t="str">
        <f>IF(DADOS!E5408="","",DADOS!E5408)</f>
        <v/>
      </c>
      <c r="G5408" s="9" t="str">
        <f>IF(DADOS!F5408="","",DADOS!F5408)</f>
        <v/>
      </c>
      <c r="K5408" s="6" t="str">
        <f t="shared" si="425"/>
        <v/>
      </c>
      <c r="L5408" s="7" t="str">
        <f t="shared" si="426"/>
        <v/>
      </c>
      <c r="M5408" s="7" t="str">
        <f t="shared" si="423"/>
        <v/>
      </c>
      <c r="N5408" s="7" t="str">
        <f t="shared" si="427"/>
        <v/>
      </c>
      <c r="O5408" s="8"/>
      <c r="P5408" s="26"/>
      <c r="S5408" s="10" t="str">
        <f t="shared" si="424"/>
        <v/>
      </c>
    </row>
    <row r="5409" spans="5:19" x14ac:dyDescent="0.3">
      <c r="E5409" s="9" t="str">
        <f>IF(DADOS!C5409="","",DADOS!C5409)</f>
        <v/>
      </c>
      <c r="F5409" s="9" t="str">
        <f>IF(DADOS!E5409="","",DADOS!E5409)</f>
        <v/>
      </c>
      <c r="G5409" s="9" t="str">
        <f>IF(DADOS!F5409="","",DADOS!F5409)</f>
        <v/>
      </c>
      <c r="K5409" s="6" t="str">
        <f t="shared" si="425"/>
        <v/>
      </c>
      <c r="L5409" s="7" t="str">
        <f t="shared" si="426"/>
        <v/>
      </c>
      <c r="M5409" s="7" t="str">
        <f t="shared" si="423"/>
        <v/>
      </c>
      <c r="N5409" s="7" t="str">
        <f t="shared" si="427"/>
        <v/>
      </c>
      <c r="O5409" s="8"/>
      <c r="P5409" s="26"/>
      <c r="S5409" s="10" t="str">
        <f t="shared" si="424"/>
        <v/>
      </c>
    </row>
    <row r="5410" spans="5:19" x14ac:dyDescent="0.3">
      <c r="E5410" s="9" t="str">
        <f>IF(DADOS!C5410="","",DADOS!C5410)</f>
        <v/>
      </c>
      <c r="F5410" s="9" t="str">
        <f>IF(DADOS!E5410="","",DADOS!E5410)</f>
        <v/>
      </c>
      <c r="G5410" s="9" t="str">
        <f>IF(DADOS!F5410="","",DADOS!F5410)</f>
        <v/>
      </c>
      <c r="K5410" s="6" t="str">
        <f t="shared" si="425"/>
        <v/>
      </c>
      <c r="L5410" s="7" t="str">
        <f t="shared" si="426"/>
        <v/>
      </c>
      <c r="M5410" s="7" t="str">
        <f t="shared" si="423"/>
        <v/>
      </c>
      <c r="N5410" s="7" t="str">
        <f t="shared" si="427"/>
        <v/>
      </c>
      <c r="O5410" s="8"/>
      <c r="P5410" s="26"/>
      <c r="S5410" s="10" t="str">
        <f t="shared" si="424"/>
        <v/>
      </c>
    </row>
    <row r="5411" spans="5:19" x14ac:dyDescent="0.3">
      <c r="E5411" s="9" t="str">
        <f>IF(DADOS!C5411="","",DADOS!C5411)</f>
        <v/>
      </c>
      <c r="F5411" s="9" t="str">
        <f>IF(DADOS!E5411="","",DADOS!E5411)</f>
        <v/>
      </c>
      <c r="G5411" s="9" t="str">
        <f>IF(DADOS!F5411="","",DADOS!F5411)</f>
        <v/>
      </c>
      <c r="K5411" s="6" t="str">
        <f t="shared" si="425"/>
        <v/>
      </c>
      <c r="L5411" s="7" t="str">
        <f t="shared" si="426"/>
        <v/>
      </c>
      <c r="M5411" s="7" t="str">
        <f t="shared" si="423"/>
        <v/>
      </c>
      <c r="N5411" s="7" t="str">
        <f t="shared" si="427"/>
        <v/>
      </c>
      <c r="O5411" s="8"/>
      <c r="P5411" s="26"/>
      <c r="S5411" s="10" t="str">
        <f t="shared" si="424"/>
        <v/>
      </c>
    </row>
    <row r="5412" spans="5:19" x14ac:dyDescent="0.3">
      <c r="E5412" s="9" t="str">
        <f>IF(DADOS!C5412="","",DADOS!C5412)</f>
        <v/>
      </c>
      <c r="F5412" s="9" t="str">
        <f>IF(DADOS!E5412="","",DADOS!E5412)</f>
        <v/>
      </c>
      <c r="G5412" s="9" t="str">
        <f>IF(DADOS!F5412="","",DADOS!F5412)</f>
        <v/>
      </c>
      <c r="K5412" s="6" t="str">
        <f t="shared" si="425"/>
        <v/>
      </c>
      <c r="L5412" s="7" t="str">
        <f t="shared" si="426"/>
        <v/>
      </c>
      <c r="M5412" s="7" t="str">
        <f t="shared" si="423"/>
        <v/>
      </c>
      <c r="N5412" s="7" t="str">
        <f t="shared" si="427"/>
        <v/>
      </c>
      <c r="O5412" s="8"/>
      <c r="P5412" s="26"/>
      <c r="S5412" s="10" t="str">
        <f t="shared" si="424"/>
        <v/>
      </c>
    </row>
    <row r="5413" spans="5:19" x14ac:dyDescent="0.3">
      <c r="E5413" s="9" t="str">
        <f>IF(DADOS!C5413="","",DADOS!C5413)</f>
        <v/>
      </c>
      <c r="F5413" s="9" t="str">
        <f>IF(DADOS!E5413="","",DADOS!E5413)</f>
        <v/>
      </c>
      <c r="G5413" s="9" t="str">
        <f>IF(DADOS!F5413="","",DADOS!F5413)</f>
        <v/>
      </c>
      <c r="K5413" s="6" t="str">
        <f t="shared" si="425"/>
        <v/>
      </c>
      <c r="L5413" s="7" t="str">
        <f t="shared" si="426"/>
        <v/>
      </c>
      <c r="M5413" s="7" t="str">
        <f t="shared" si="423"/>
        <v/>
      </c>
      <c r="N5413" s="7" t="str">
        <f t="shared" si="427"/>
        <v/>
      </c>
      <c r="O5413" s="8"/>
      <c r="P5413" s="26"/>
      <c r="S5413" s="10" t="str">
        <f t="shared" si="424"/>
        <v/>
      </c>
    </row>
    <row r="5414" spans="5:19" x14ac:dyDescent="0.3">
      <c r="E5414" s="9" t="str">
        <f>IF(DADOS!C5414="","",DADOS!C5414)</f>
        <v/>
      </c>
      <c r="F5414" s="9" t="str">
        <f>IF(DADOS!E5414="","",DADOS!E5414)</f>
        <v/>
      </c>
      <c r="G5414" s="9" t="str">
        <f>IF(DADOS!F5414="","",DADOS!F5414)</f>
        <v/>
      </c>
      <c r="K5414" s="6" t="str">
        <f t="shared" si="425"/>
        <v/>
      </c>
      <c r="L5414" s="7" t="str">
        <f t="shared" si="426"/>
        <v/>
      </c>
      <c r="M5414" s="7" t="str">
        <f t="shared" si="423"/>
        <v/>
      </c>
      <c r="N5414" s="7" t="str">
        <f t="shared" si="427"/>
        <v/>
      </c>
      <c r="O5414" s="8"/>
      <c r="P5414" s="26"/>
      <c r="S5414" s="10" t="str">
        <f t="shared" si="424"/>
        <v/>
      </c>
    </row>
    <row r="5415" spans="5:19" x14ac:dyDescent="0.3">
      <c r="E5415" s="9" t="str">
        <f>IF(DADOS!C5415="","",DADOS!C5415)</f>
        <v/>
      </c>
      <c r="F5415" s="9" t="str">
        <f>IF(DADOS!E5415="","",DADOS!E5415)</f>
        <v/>
      </c>
      <c r="G5415" s="9" t="str">
        <f>IF(DADOS!F5415="","",DADOS!F5415)</f>
        <v/>
      </c>
      <c r="K5415" s="6" t="str">
        <f t="shared" si="425"/>
        <v/>
      </c>
      <c r="L5415" s="7" t="str">
        <f t="shared" si="426"/>
        <v/>
      </c>
      <c r="M5415" s="7" t="str">
        <f t="shared" si="423"/>
        <v/>
      </c>
      <c r="N5415" s="7" t="str">
        <f t="shared" si="427"/>
        <v/>
      </c>
      <c r="O5415" s="8"/>
      <c r="P5415" s="26"/>
      <c r="S5415" s="10" t="str">
        <f t="shared" si="424"/>
        <v/>
      </c>
    </row>
    <row r="5416" spans="5:19" x14ac:dyDescent="0.3">
      <c r="E5416" s="9" t="str">
        <f>IF(DADOS!C5416="","",DADOS!C5416)</f>
        <v/>
      </c>
      <c r="F5416" s="9" t="str">
        <f>IF(DADOS!E5416="","",DADOS!E5416)</f>
        <v/>
      </c>
      <c r="G5416" s="9" t="str">
        <f>IF(DADOS!F5416="","",DADOS!F5416)</f>
        <v/>
      </c>
      <c r="K5416" s="6" t="str">
        <f t="shared" si="425"/>
        <v/>
      </c>
      <c r="L5416" s="7" t="str">
        <f t="shared" si="426"/>
        <v/>
      </c>
      <c r="M5416" s="7" t="str">
        <f t="shared" si="423"/>
        <v/>
      </c>
      <c r="N5416" s="7" t="str">
        <f t="shared" si="427"/>
        <v/>
      </c>
      <c r="O5416" s="8"/>
      <c r="P5416" s="26"/>
      <c r="S5416" s="10" t="str">
        <f t="shared" si="424"/>
        <v/>
      </c>
    </row>
    <row r="5417" spans="5:19" x14ac:dyDescent="0.3">
      <c r="E5417" s="9" t="str">
        <f>IF(DADOS!C5417="","",DADOS!C5417)</f>
        <v/>
      </c>
      <c r="F5417" s="9" t="str">
        <f>IF(DADOS!E5417="","",DADOS!E5417)</f>
        <v/>
      </c>
      <c r="G5417" s="9" t="str">
        <f>IF(DADOS!F5417="","",DADOS!F5417)</f>
        <v/>
      </c>
      <c r="K5417" s="6" t="str">
        <f t="shared" si="425"/>
        <v/>
      </c>
      <c r="L5417" s="7" t="str">
        <f t="shared" si="426"/>
        <v/>
      </c>
      <c r="M5417" s="7" t="str">
        <f t="shared" si="423"/>
        <v/>
      </c>
      <c r="N5417" s="7" t="str">
        <f t="shared" si="427"/>
        <v/>
      </c>
      <c r="O5417" s="8"/>
      <c r="P5417" s="26"/>
      <c r="S5417" s="10" t="str">
        <f t="shared" si="424"/>
        <v/>
      </c>
    </row>
    <row r="5418" spans="5:19" x14ac:dyDescent="0.3">
      <c r="E5418" s="9" t="str">
        <f>IF(DADOS!C5418="","",DADOS!C5418)</f>
        <v/>
      </c>
      <c r="F5418" s="9" t="str">
        <f>IF(DADOS!E5418="","",DADOS!E5418)</f>
        <v/>
      </c>
      <c r="G5418" s="9" t="str">
        <f>IF(DADOS!F5418="","",DADOS!F5418)</f>
        <v/>
      </c>
      <c r="K5418" s="6" t="str">
        <f t="shared" si="425"/>
        <v/>
      </c>
      <c r="L5418" s="7" t="str">
        <f t="shared" si="426"/>
        <v/>
      </c>
      <c r="M5418" s="7" t="str">
        <f t="shared" si="423"/>
        <v/>
      </c>
      <c r="N5418" s="7" t="str">
        <f t="shared" si="427"/>
        <v/>
      </c>
      <c r="O5418" s="8"/>
      <c r="P5418" s="26"/>
      <c r="S5418" s="10" t="str">
        <f t="shared" si="424"/>
        <v/>
      </c>
    </row>
    <row r="5419" spans="5:19" x14ac:dyDescent="0.3">
      <c r="E5419" s="9" t="str">
        <f>IF(DADOS!C5419="","",DADOS!C5419)</f>
        <v/>
      </c>
      <c r="F5419" s="9" t="str">
        <f>IF(DADOS!E5419="","",DADOS!E5419)</f>
        <v/>
      </c>
      <c r="G5419" s="9" t="str">
        <f>IF(DADOS!F5419="","",DADOS!F5419)</f>
        <v/>
      </c>
      <c r="K5419" s="6" t="str">
        <f t="shared" si="425"/>
        <v/>
      </c>
      <c r="L5419" s="7" t="str">
        <f t="shared" si="426"/>
        <v/>
      </c>
      <c r="M5419" s="7" t="str">
        <f t="shared" si="423"/>
        <v/>
      </c>
      <c r="N5419" s="7" t="str">
        <f t="shared" si="427"/>
        <v/>
      </c>
      <c r="O5419" s="8"/>
      <c r="P5419" s="26"/>
      <c r="S5419" s="10" t="str">
        <f t="shared" si="424"/>
        <v/>
      </c>
    </row>
    <row r="5420" spans="5:19" x14ac:dyDescent="0.3">
      <c r="E5420" s="9" t="str">
        <f>IF(DADOS!C5420="","",DADOS!C5420)</f>
        <v/>
      </c>
      <c r="F5420" s="9" t="str">
        <f>IF(DADOS!E5420="","",DADOS!E5420)</f>
        <v/>
      </c>
      <c r="G5420" s="9" t="str">
        <f>IF(DADOS!F5420="","",DADOS!F5420)</f>
        <v/>
      </c>
      <c r="K5420" s="6" t="str">
        <f t="shared" si="425"/>
        <v/>
      </c>
      <c r="L5420" s="7" t="str">
        <f t="shared" si="426"/>
        <v/>
      </c>
      <c r="M5420" s="7" t="str">
        <f t="shared" si="423"/>
        <v/>
      </c>
      <c r="N5420" s="7" t="str">
        <f t="shared" si="427"/>
        <v/>
      </c>
      <c r="O5420" s="8"/>
      <c r="P5420" s="26"/>
      <c r="S5420" s="10" t="str">
        <f t="shared" si="424"/>
        <v/>
      </c>
    </row>
    <row r="5421" spans="5:19" x14ac:dyDescent="0.3">
      <c r="E5421" s="9" t="str">
        <f>IF(DADOS!C5421="","",DADOS!C5421)</f>
        <v/>
      </c>
      <c r="F5421" s="9" t="str">
        <f>IF(DADOS!E5421="","",DADOS!E5421)</f>
        <v/>
      </c>
      <c r="G5421" s="9" t="str">
        <f>IF(DADOS!F5421="","",DADOS!F5421)</f>
        <v/>
      </c>
      <c r="K5421" s="6" t="str">
        <f t="shared" si="425"/>
        <v/>
      </c>
      <c r="L5421" s="7" t="str">
        <f t="shared" si="426"/>
        <v/>
      </c>
      <c r="M5421" s="7" t="str">
        <f t="shared" si="423"/>
        <v/>
      </c>
      <c r="N5421" s="7" t="str">
        <f t="shared" si="427"/>
        <v/>
      </c>
      <c r="O5421" s="8"/>
      <c r="P5421" s="26"/>
      <c r="S5421" s="10" t="str">
        <f t="shared" si="424"/>
        <v/>
      </c>
    </row>
    <row r="5422" spans="5:19" x14ac:dyDescent="0.3">
      <c r="E5422" s="9" t="str">
        <f>IF(DADOS!C5422="","",DADOS!C5422)</f>
        <v/>
      </c>
      <c r="F5422" s="9" t="str">
        <f>IF(DADOS!E5422="","",DADOS!E5422)</f>
        <v/>
      </c>
      <c r="G5422" s="9" t="str">
        <f>IF(DADOS!F5422="","",DADOS!F5422)</f>
        <v/>
      </c>
      <c r="K5422" s="6" t="str">
        <f t="shared" si="425"/>
        <v/>
      </c>
      <c r="L5422" s="7" t="str">
        <f t="shared" si="426"/>
        <v/>
      </c>
      <c r="M5422" s="7" t="str">
        <f t="shared" si="423"/>
        <v/>
      </c>
      <c r="N5422" s="7" t="str">
        <f t="shared" si="427"/>
        <v/>
      </c>
      <c r="O5422" s="8"/>
      <c r="P5422" s="26"/>
      <c r="S5422" s="10" t="str">
        <f t="shared" si="424"/>
        <v/>
      </c>
    </row>
    <row r="5423" spans="5:19" x14ac:dyDescent="0.3">
      <c r="E5423" s="9" t="str">
        <f>IF(DADOS!C5423="","",DADOS!C5423)</f>
        <v/>
      </c>
      <c r="F5423" s="9" t="str">
        <f>IF(DADOS!E5423="","",DADOS!E5423)</f>
        <v/>
      </c>
      <c r="G5423" s="9" t="str">
        <f>IF(DADOS!F5423="","",DADOS!F5423)</f>
        <v/>
      </c>
      <c r="K5423" s="6" t="str">
        <f t="shared" si="425"/>
        <v/>
      </c>
      <c r="L5423" s="7" t="str">
        <f t="shared" si="426"/>
        <v/>
      </c>
      <c r="M5423" s="7" t="str">
        <f t="shared" si="423"/>
        <v/>
      </c>
      <c r="N5423" s="7" t="str">
        <f t="shared" si="427"/>
        <v/>
      </c>
      <c r="O5423" s="8"/>
      <c r="P5423" s="26"/>
      <c r="S5423" s="10" t="str">
        <f t="shared" si="424"/>
        <v/>
      </c>
    </row>
    <row r="5424" spans="5:19" x14ac:dyDescent="0.3">
      <c r="E5424" s="9" t="str">
        <f>IF(DADOS!C5424="","",DADOS!C5424)</f>
        <v/>
      </c>
      <c r="F5424" s="9" t="str">
        <f>IF(DADOS!E5424="","",DADOS!E5424)</f>
        <v/>
      </c>
      <c r="G5424" s="9" t="str">
        <f>IF(DADOS!F5424="","",DADOS!F5424)</f>
        <v/>
      </c>
      <c r="K5424" s="6" t="str">
        <f t="shared" si="425"/>
        <v/>
      </c>
      <c r="L5424" s="7" t="str">
        <f t="shared" si="426"/>
        <v/>
      </c>
      <c r="M5424" s="7" t="str">
        <f t="shared" si="423"/>
        <v/>
      </c>
      <c r="N5424" s="7" t="str">
        <f t="shared" si="427"/>
        <v/>
      </c>
      <c r="O5424" s="8"/>
      <c r="P5424" s="26"/>
      <c r="S5424" s="10" t="str">
        <f t="shared" si="424"/>
        <v/>
      </c>
    </row>
    <row r="5425" spans="5:19" x14ac:dyDescent="0.3">
      <c r="E5425" s="9" t="str">
        <f>IF(DADOS!C5425="","",DADOS!C5425)</f>
        <v/>
      </c>
      <c r="F5425" s="9" t="str">
        <f>IF(DADOS!E5425="","",DADOS!E5425)</f>
        <v/>
      </c>
      <c r="G5425" s="9" t="str">
        <f>IF(DADOS!F5425="","",DADOS!F5425)</f>
        <v/>
      </c>
      <c r="K5425" s="6" t="str">
        <f t="shared" si="425"/>
        <v/>
      </c>
      <c r="L5425" s="7" t="str">
        <f t="shared" si="426"/>
        <v/>
      </c>
      <c r="M5425" s="7" t="str">
        <f t="shared" si="423"/>
        <v/>
      </c>
      <c r="N5425" s="7" t="str">
        <f t="shared" si="427"/>
        <v/>
      </c>
      <c r="O5425" s="8"/>
      <c r="P5425" s="26"/>
      <c r="S5425" s="10" t="str">
        <f t="shared" si="424"/>
        <v/>
      </c>
    </row>
    <row r="5426" spans="5:19" x14ac:dyDescent="0.3">
      <c r="E5426" s="9" t="str">
        <f>IF(DADOS!C5426="","",DADOS!C5426)</f>
        <v/>
      </c>
      <c r="F5426" s="9" t="str">
        <f>IF(DADOS!E5426="","",DADOS!E5426)</f>
        <v/>
      </c>
      <c r="G5426" s="9" t="str">
        <f>IF(DADOS!F5426="","",DADOS!F5426)</f>
        <v/>
      </c>
      <c r="K5426" s="6" t="str">
        <f t="shared" si="425"/>
        <v/>
      </c>
      <c r="L5426" s="7" t="str">
        <f t="shared" si="426"/>
        <v/>
      </c>
      <c r="M5426" s="7" t="str">
        <f t="shared" si="423"/>
        <v/>
      </c>
      <c r="N5426" s="7" t="str">
        <f t="shared" si="427"/>
        <v/>
      </c>
      <c r="O5426" s="8"/>
      <c r="P5426" s="26"/>
      <c r="S5426" s="10" t="str">
        <f t="shared" si="424"/>
        <v/>
      </c>
    </row>
    <row r="5427" spans="5:19" x14ac:dyDescent="0.3">
      <c r="E5427" s="9" t="str">
        <f>IF(DADOS!C5427="","",DADOS!C5427)</f>
        <v/>
      </c>
      <c r="F5427" s="9" t="str">
        <f>IF(DADOS!E5427="","",DADOS!E5427)</f>
        <v/>
      </c>
      <c r="G5427" s="9" t="str">
        <f>IF(DADOS!F5427="","",DADOS!F5427)</f>
        <v/>
      </c>
      <c r="K5427" s="6" t="str">
        <f t="shared" si="425"/>
        <v/>
      </c>
      <c r="L5427" s="7" t="str">
        <f t="shared" si="426"/>
        <v/>
      </c>
      <c r="M5427" s="7" t="str">
        <f t="shared" si="423"/>
        <v/>
      </c>
      <c r="N5427" s="7" t="str">
        <f t="shared" si="427"/>
        <v/>
      </c>
      <c r="O5427" s="8"/>
      <c r="P5427" s="26"/>
      <c r="S5427" s="10" t="str">
        <f t="shared" si="424"/>
        <v/>
      </c>
    </row>
    <row r="5428" spans="5:19" x14ac:dyDescent="0.3">
      <c r="E5428" s="9" t="str">
        <f>IF(DADOS!C5428="","",DADOS!C5428)</f>
        <v/>
      </c>
      <c r="F5428" s="9" t="str">
        <f>IF(DADOS!E5428="","",DADOS!E5428)</f>
        <v/>
      </c>
      <c r="G5428" s="9" t="str">
        <f>IF(DADOS!F5428="","",DADOS!F5428)</f>
        <v/>
      </c>
      <c r="K5428" s="6" t="str">
        <f t="shared" si="425"/>
        <v/>
      </c>
      <c r="L5428" s="7" t="str">
        <f t="shared" si="426"/>
        <v/>
      </c>
      <c r="M5428" s="7" t="str">
        <f t="shared" si="423"/>
        <v/>
      </c>
      <c r="N5428" s="7" t="str">
        <f t="shared" si="427"/>
        <v/>
      </c>
      <c r="O5428" s="8"/>
      <c r="P5428" s="26"/>
      <c r="S5428" s="10" t="str">
        <f t="shared" si="424"/>
        <v/>
      </c>
    </row>
    <row r="5429" spans="5:19" x14ac:dyDescent="0.3">
      <c r="E5429" s="9" t="str">
        <f>IF(DADOS!C5429="","",DADOS!C5429)</f>
        <v/>
      </c>
      <c r="F5429" s="9" t="str">
        <f>IF(DADOS!E5429="","",DADOS!E5429)</f>
        <v/>
      </c>
      <c r="G5429" s="9" t="str">
        <f>IF(DADOS!F5429="","",DADOS!F5429)</f>
        <v/>
      </c>
      <c r="K5429" s="6" t="str">
        <f t="shared" si="425"/>
        <v/>
      </c>
      <c r="L5429" s="7" t="str">
        <f t="shared" si="426"/>
        <v/>
      </c>
      <c r="M5429" s="7" t="str">
        <f t="shared" si="423"/>
        <v/>
      </c>
      <c r="N5429" s="7" t="str">
        <f t="shared" si="427"/>
        <v/>
      </c>
      <c r="O5429" s="8"/>
      <c r="P5429" s="26"/>
      <c r="S5429" s="10" t="str">
        <f t="shared" si="424"/>
        <v/>
      </c>
    </row>
    <row r="5430" spans="5:19" x14ac:dyDescent="0.3">
      <c r="E5430" s="9" t="str">
        <f>IF(DADOS!C5430="","",DADOS!C5430)</f>
        <v/>
      </c>
      <c r="F5430" s="9" t="str">
        <f>IF(DADOS!E5430="","",DADOS!E5430)</f>
        <v/>
      </c>
      <c r="G5430" s="9" t="str">
        <f>IF(DADOS!F5430="","",DADOS!F5430)</f>
        <v/>
      </c>
      <c r="K5430" s="6" t="str">
        <f t="shared" si="425"/>
        <v/>
      </c>
      <c r="L5430" s="7" t="str">
        <f t="shared" si="426"/>
        <v/>
      </c>
      <c r="M5430" s="7" t="str">
        <f t="shared" si="423"/>
        <v/>
      </c>
      <c r="N5430" s="7" t="str">
        <f t="shared" si="427"/>
        <v/>
      </c>
      <c r="O5430" s="8"/>
      <c r="P5430" s="26"/>
      <c r="S5430" s="10" t="str">
        <f t="shared" si="424"/>
        <v/>
      </c>
    </row>
    <row r="5431" spans="5:19" x14ac:dyDescent="0.3">
      <c r="E5431" s="9" t="str">
        <f>IF(DADOS!C5431="","",DADOS!C5431)</f>
        <v/>
      </c>
      <c r="F5431" s="9" t="str">
        <f>IF(DADOS!E5431="","",DADOS!E5431)</f>
        <v/>
      </c>
      <c r="G5431" s="9" t="str">
        <f>IF(DADOS!F5431="","",DADOS!F5431)</f>
        <v/>
      </c>
      <c r="K5431" s="6" t="str">
        <f t="shared" si="425"/>
        <v/>
      </c>
      <c r="L5431" s="7" t="str">
        <f t="shared" si="426"/>
        <v/>
      </c>
      <c r="M5431" s="7" t="str">
        <f t="shared" si="423"/>
        <v/>
      </c>
      <c r="N5431" s="7" t="str">
        <f t="shared" si="427"/>
        <v/>
      </c>
      <c r="O5431" s="8"/>
      <c r="P5431" s="26"/>
      <c r="S5431" s="10" t="str">
        <f t="shared" si="424"/>
        <v/>
      </c>
    </row>
    <row r="5432" spans="5:19" x14ac:dyDescent="0.3">
      <c r="E5432" s="9" t="str">
        <f>IF(DADOS!C5432="","",DADOS!C5432)</f>
        <v/>
      </c>
      <c r="F5432" s="9" t="str">
        <f>IF(DADOS!E5432="","",DADOS!E5432)</f>
        <v/>
      </c>
      <c r="G5432" s="9" t="str">
        <f>IF(DADOS!F5432="","",DADOS!F5432)</f>
        <v/>
      </c>
      <c r="K5432" s="6" t="str">
        <f t="shared" si="425"/>
        <v/>
      </c>
      <c r="L5432" s="7" t="str">
        <f t="shared" si="426"/>
        <v/>
      </c>
      <c r="M5432" s="7" t="str">
        <f t="shared" si="423"/>
        <v/>
      </c>
      <c r="N5432" s="7" t="str">
        <f t="shared" si="427"/>
        <v/>
      </c>
      <c r="O5432" s="8"/>
      <c r="P5432" s="26"/>
      <c r="S5432" s="10" t="str">
        <f t="shared" si="424"/>
        <v/>
      </c>
    </row>
    <row r="5433" spans="5:19" x14ac:dyDescent="0.3">
      <c r="E5433" s="9" t="str">
        <f>IF(DADOS!C5433="","",DADOS!C5433)</f>
        <v/>
      </c>
      <c r="F5433" s="9" t="str">
        <f>IF(DADOS!E5433="","",DADOS!E5433)</f>
        <v/>
      </c>
      <c r="G5433" s="9" t="str">
        <f>IF(DADOS!F5433="","",DADOS!F5433)</f>
        <v/>
      </c>
      <c r="K5433" s="6" t="str">
        <f t="shared" si="425"/>
        <v/>
      </c>
      <c r="L5433" s="7" t="str">
        <f t="shared" si="426"/>
        <v/>
      </c>
      <c r="M5433" s="7" t="str">
        <f t="shared" si="423"/>
        <v/>
      </c>
      <c r="N5433" s="7" t="str">
        <f t="shared" si="427"/>
        <v/>
      </c>
      <c r="O5433" s="8"/>
      <c r="P5433" s="26"/>
      <c r="S5433" s="10" t="str">
        <f t="shared" si="424"/>
        <v/>
      </c>
    </row>
    <row r="5434" spans="5:19" x14ac:dyDescent="0.3">
      <c r="E5434" s="9" t="str">
        <f>IF(DADOS!C5434="","",DADOS!C5434)</f>
        <v/>
      </c>
      <c r="F5434" s="9" t="str">
        <f>IF(DADOS!E5434="","",DADOS!E5434)</f>
        <v/>
      </c>
      <c r="G5434" s="9" t="str">
        <f>IF(DADOS!F5434="","",DADOS!F5434)</f>
        <v/>
      </c>
      <c r="K5434" s="6" t="str">
        <f t="shared" si="425"/>
        <v/>
      </c>
      <c r="L5434" s="7" t="str">
        <f t="shared" si="426"/>
        <v/>
      </c>
      <c r="M5434" s="7" t="str">
        <f t="shared" si="423"/>
        <v/>
      </c>
      <c r="N5434" s="7" t="str">
        <f t="shared" si="427"/>
        <v/>
      </c>
      <c r="O5434" s="8"/>
      <c r="P5434" s="26"/>
      <c r="S5434" s="10" t="str">
        <f t="shared" si="424"/>
        <v/>
      </c>
    </row>
    <row r="5435" spans="5:19" x14ac:dyDescent="0.3">
      <c r="E5435" s="9" t="str">
        <f>IF(DADOS!C5435="","",DADOS!C5435)</f>
        <v/>
      </c>
      <c r="F5435" s="9" t="str">
        <f>IF(DADOS!E5435="","",DADOS!E5435)</f>
        <v/>
      </c>
      <c r="G5435" s="9" t="str">
        <f>IF(DADOS!F5435="","",DADOS!F5435)</f>
        <v/>
      </c>
      <c r="K5435" s="6" t="str">
        <f t="shared" si="425"/>
        <v/>
      </c>
      <c r="L5435" s="7" t="str">
        <f t="shared" si="426"/>
        <v/>
      </c>
      <c r="M5435" s="7" t="str">
        <f t="shared" si="423"/>
        <v/>
      </c>
      <c r="N5435" s="7" t="str">
        <f t="shared" si="427"/>
        <v/>
      </c>
      <c r="O5435" s="8"/>
      <c r="P5435" s="26"/>
      <c r="S5435" s="10" t="str">
        <f t="shared" si="424"/>
        <v/>
      </c>
    </row>
    <row r="5436" spans="5:19" x14ac:dyDescent="0.3">
      <c r="E5436" s="9" t="str">
        <f>IF(DADOS!C5436="","",DADOS!C5436)</f>
        <v/>
      </c>
      <c r="F5436" s="9" t="str">
        <f>IF(DADOS!E5436="","",DADOS!E5436)</f>
        <v/>
      </c>
      <c r="G5436" s="9" t="str">
        <f>IF(DADOS!F5436="","",DADOS!F5436)</f>
        <v/>
      </c>
      <c r="K5436" s="6" t="str">
        <f t="shared" si="425"/>
        <v/>
      </c>
      <c r="L5436" s="7" t="str">
        <f t="shared" si="426"/>
        <v/>
      </c>
      <c r="M5436" s="7" t="str">
        <f t="shared" si="423"/>
        <v/>
      </c>
      <c r="N5436" s="7" t="str">
        <f t="shared" si="427"/>
        <v/>
      </c>
      <c r="O5436" s="8"/>
      <c r="P5436" s="26"/>
      <c r="S5436" s="10" t="str">
        <f t="shared" si="424"/>
        <v/>
      </c>
    </row>
    <row r="5437" spans="5:19" x14ac:dyDescent="0.3">
      <c r="E5437" s="9" t="str">
        <f>IF(DADOS!C5437="","",DADOS!C5437)</f>
        <v/>
      </c>
      <c r="F5437" s="9" t="str">
        <f>IF(DADOS!E5437="","",DADOS!E5437)</f>
        <v/>
      </c>
      <c r="G5437" s="9" t="str">
        <f>IF(DADOS!F5437="","",DADOS!F5437)</f>
        <v/>
      </c>
      <c r="K5437" s="6" t="str">
        <f t="shared" si="425"/>
        <v/>
      </c>
      <c r="L5437" s="7" t="str">
        <f t="shared" si="426"/>
        <v/>
      </c>
      <c r="M5437" s="7" t="str">
        <f t="shared" si="423"/>
        <v/>
      </c>
      <c r="N5437" s="7" t="str">
        <f t="shared" si="427"/>
        <v/>
      </c>
      <c r="O5437" s="8"/>
      <c r="P5437" s="26"/>
      <c r="S5437" s="10" t="str">
        <f t="shared" si="424"/>
        <v/>
      </c>
    </row>
    <row r="5438" spans="5:19" x14ac:dyDescent="0.3">
      <c r="E5438" s="9" t="str">
        <f>IF(DADOS!C5438="","",DADOS!C5438)</f>
        <v/>
      </c>
      <c r="F5438" s="9" t="str">
        <f>IF(DADOS!E5438="","",DADOS!E5438)</f>
        <v/>
      </c>
      <c r="G5438" s="9" t="str">
        <f>IF(DADOS!F5438="","",DADOS!F5438)</f>
        <v/>
      </c>
      <c r="K5438" s="6" t="str">
        <f t="shared" si="425"/>
        <v/>
      </c>
      <c r="L5438" s="7" t="str">
        <f t="shared" si="426"/>
        <v/>
      </c>
      <c r="M5438" s="7" t="str">
        <f t="shared" si="423"/>
        <v/>
      </c>
      <c r="N5438" s="7" t="str">
        <f t="shared" si="427"/>
        <v/>
      </c>
      <c r="O5438" s="8"/>
      <c r="P5438" s="26"/>
      <c r="S5438" s="10" t="str">
        <f t="shared" si="424"/>
        <v/>
      </c>
    </row>
    <row r="5439" spans="5:19" x14ac:dyDescent="0.3">
      <c r="E5439" s="9" t="str">
        <f>IF(DADOS!C5439="","",DADOS!C5439)</f>
        <v/>
      </c>
      <c r="F5439" s="9" t="str">
        <f>IF(DADOS!E5439="","",DADOS!E5439)</f>
        <v/>
      </c>
      <c r="G5439" s="9" t="str">
        <f>IF(DADOS!F5439="","",DADOS!F5439)</f>
        <v/>
      </c>
      <c r="K5439" s="6" t="str">
        <f t="shared" si="425"/>
        <v/>
      </c>
      <c r="L5439" s="7" t="str">
        <f t="shared" si="426"/>
        <v/>
      </c>
      <c r="M5439" s="7" t="str">
        <f t="shared" si="423"/>
        <v/>
      </c>
      <c r="N5439" s="7" t="str">
        <f t="shared" si="427"/>
        <v/>
      </c>
      <c r="O5439" s="8"/>
      <c r="P5439" s="26"/>
      <c r="S5439" s="10" t="str">
        <f t="shared" si="424"/>
        <v/>
      </c>
    </row>
    <row r="5440" spans="5:19" x14ac:dyDescent="0.3">
      <c r="E5440" s="9" t="str">
        <f>IF(DADOS!C5440="","",DADOS!C5440)</f>
        <v/>
      </c>
      <c r="F5440" s="9" t="str">
        <f>IF(DADOS!E5440="","",DADOS!E5440)</f>
        <v/>
      </c>
      <c r="G5440" s="9" t="str">
        <f>IF(DADOS!F5440="","",DADOS!F5440)</f>
        <v/>
      </c>
      <c r="K5440" s="6" t="str">
        <f t="shared" si="425"/>
        <v/>
      </c>
      <c r="L5440" s="7" t="str">
        <f t="shared" si="426"/>
        <v/>
      </c>
      <c r="M5440" s="7" t="str">
        <f t="shared" si="423"/>
        <v/>
      </c>
      <c r="N5440" s="7" t="str">
        <f t="shared" si="427"/>
        <v/>
      </c>
      <c r="O5440" s="8"/>
      <c r="P5440" s="26"/>
      <c r="S5440" s="10" t="str">
        <f t="shared" si="424"/>
        <v/>
      </c>
    </row>
    <row r="5441" spans="5:19" x14ac:dyDescent="0.3">
      <c r="E5441" s="9" t="str">
        <f>IF(DADOS!C5441="","",DADOS!C5441)</f>
        <v/>
      </c>
      <c r="F5441" s="9" t="str">
        <f>IF(DADOS!E5441="","",DADOS!E5441)</f>
        <v/>
      </c>
      <c r="G5441" s="9" t="str">
        <f>IF(DADOS!F5441="","",DADOS!F5441)</f>
        <v/>
      </c>
      <c r="K5441" s="6" t="str">
        <f t="shared" si="425"/>
        <v/>
      </c>
      <c r="L5441" s="7" t="str">
        <f t="shared" si="426"/>
        <v/>
      </c>
      <c r="M5441" s="7" t="str">
        <f t="shared" si="423"/>
        <v/>
      </c>
      <c r="N5441" s="7" t="str">
        <f t="shared" si="427"/>
        <v/>
      </c>
      <c r="O5441" s="8"/>
      <c r="P5441" s="26"/>
      <c r="S5441" s="10" t="str">
        <f t="shared" si="424"/>
        <v/>
      </c>
    </row>
    <row r="5442" spans="5:19" x14ac:dyDescent="0.3">
      <c r="E5442" s="9" t="str">
        <f>IF(DADOS!C5442="","",DADOS!C5442)</f>
        <v/>
      </c>
      <c r="F5442" s="9" t="str">
        <f>IF(DADOS!E5442="","",DADOS!E5442)</f>
        <v/>
      </c>
      <c r="G5442" s="9" t="str">
        <f>IF(DADOS!F5442="","",DADOS!F5442)</f>
        <v/>
      </c>
      <c r="K5442" s="6" t="str">
        <f t="shared" si="425"/>
        <v/>
      </c>
      <c r="L5442" s="7" t="str">
        <f t="shared" si="426"/>
        <v/>
      </c>
      <c r="M5442" s="7" t="str">
        <f t="shared" si="423"/>
        <v/>
      </c>
      <c r="N5442" s="7" t="str">
        <f t="shared" si="427"/>
        <v/>
      </c>
      <c r="O5442" s="8"/>
      <c r="P5442" s="26"/>
      <c r="S5442" s="10" t="str">
        <f t="shared" si="424"/>
        <v/>
      </c>
    </row>
    <row r="5443" spans="5:19" x14ac:dyDescent="0.3">
      <c r="E5443" s="9" t="str">
        <f>IF(DADOS!C5443="","",DADOS!C5443)</f>
        <v/>
      </c>
      <c r="F5443" s="9" t="str">
        <f>IF(DADOS!E5443="","",DADOS!E5443)</f>
        <v/>
      </c>
      <c r="G5443" s="9" t="str">
        <f>IF(DADOS!F5443="","",DADOS!F5443)</f>
        <v/>
      </c>
      <c r="K5443" s="6" t="str">
        <f t="shared" si="425"/>
        <v/>
      </c>
      <c r="L5443" s="7" t="str">
        <f t="shared" si="426"/>
        <v/>
      </c>
      <c r="M5443" s="7" t="str">
        <f t="shared" ref="M5443:M5506" si="428">IF(L5443="","",L5443*G5443)</f>
        <v/>
      </c>
      <c r="N5443" s="7" t="str">
        <f t="shared" si="427"/>
        <v/>
      </c>
      <c r="O5443" s="8"/>
      <c r="P5443" s="26"/>
      <c r="S5443" s="10" t="str">
        <f t="shared" ref="S5443:S5506" si="429">IF(R5443="","",SUMIFS($N$3:$N$10000,$E$3:$E$10000,R5443))</f>
        <v/>
      </c>
    </row>
    <row r="5444" spans="5:19" x14ac:dyDescent="0.3">
      <c r="E5444" s="9" t="str">
        <f>IF(DADOS!C5444="","",DADOS!C5444)</f>
        <v/>
      </c>
      <c r="F5444" s="9" t="str">
        <f>IF(DADOS!E5444="","",DADOS!E5444)</f>
        <v/>
      </c>
      <c r="G5444" s="9" t="str">
        <f>IF(DADOS!F5444="","",DADOS!F5444)</f>
        <v/>
      </c>
      <c r="K5444" s="6" t="str">
        <f t="shared" ref="K5444:K5507" si="430">IF(F5444="","",F5444/PI())</f>
        <v/>
      </c>
      <c r="L5444" s="7" t="str">
        <f t="shared" ref="L5444:L5507" si="431">IF(K5444="","",(PI()*K5444^2)/40000)</f>
        <v/>
      </c>
      <c r="M5444" s="7" t="str">
        <f t="shared" si="428"/>
        <v/>
      </c>
      <c r="N5444" s="7" t="str">
        <f t="shared" ref="N5444:N5507" si="432">IF(M5444="","",M5444*N$1)</f>
        <v/>
      </c>
      <c r="O5444" s="8"/>
      <c r="P5444" s="26"/>
      <c r="S5444" s="10" t="str">
        <f t="shared" si="429"/>
        <v/>
      </c>
    </row>
    <row r="5445" spans="5:19" x14ac:dyDescent="0.3">
      <c r="E5445" s="9" t="str">
        <f>IF(DADOS!C5445="","",DADOS!C5445)</f>
        <v/>
      </c>
      <c r="F5445" s="9" t="str">
        <f>IF(DADOS!E5445="","",DADOS!E5445)</f>
        <v/>
      </c>
      <c r="G5445" s="9" t="str">
        <f>IF(DADOS!F5445="","",DADOS!F5445)</f>
        <v/>
      </c>
      <c r="K5445" s="6" t="str">
        <f t="shared" si="430"/>
        <v/>
      </c>
      <c r="L5445" s="7" t="str">
        <f t="shared" si="431"/>
        <v/>
      </c>
      <c r="M5445" s="7" t="str">
        <f t="shared" si="428"/>
        <v/>
      </c>
      <c r="N5445" s="7" t="str">
        <f t="shared" si="432"/>
        <v/>
      </c>
      <c r="O5445" s="8"/>
      <c r="P5445" s="26"/>
      <c r="S5445" s="10" t="str">
        <f t="shared" si="429"/>
        <v/>
      </c>
    </row>
    <row r="5446" spans="5:19" x14ac:dyDescent="0.3">
      <c r="E5446" s="9" t="str">
        <f>IF(DADOS!C5446="","",DADOS!C5446)</f>
        <v/>
      </c>
      <c r="F5446" s="9" t="str">
        <f>IF(DADOS!E5446="","",DADOS!E5446)</f>
        <v/>
      </c>
      <c r="G5446" s="9" t="str">
        <f>IF(DADOS!F5446="","",DADOS!F5446)</f>
        <v/>
      </c>
      <c r="K5446" s="6" t="str">
        <f t="shared" si="430"/>
        <v/>
      </c>
      <c r="L5446" s="7" t="str">
        <f t="shared" si="431"/>
        <v/>
      </c>
      <c r="M5446" s="7" t="str">
        <f t="shared" si="428"/>
        <v/>
      </c>
      <c r="N5446" s="7" t="str">
        <f t="shared" si="432"/>
        <v/>
      </c>
      <c r="O5446" s="8"/>
      <c r="P5446" s="26"/>
      <c r="S5446" s="10" t="str">
        <f t="shared" si="429"/>
        <v/>
      </c>
    </row>
    <row r="5447" spans="5:19" x14ac:dyDescent="0.3">
      <c r="E5447" s="9" t="str">
        <f>IF(DADOS!C5447="","",DADOS!C5447)</f>
        <v/>
      </c>
      <c r="F5447" s="9" t="str">
        <f>IF(DADOS!E5447="","",DADOS!E5447)</f>
        <v/>
      </c>
      <c r="G5447" s="9" t="str">
        <f>IF(DADOS!F5447="","",DADOS!F5447)</f>
        <v/>
      </c>
      <c r="K5447" s="6" t="str">
        <f t="shared" si="430"/>
        <v/>
      </c>
      <c r="L5447" s="7" t="str">
        <f t="shared" si="431"/>
        <v/>
      </c>
      <c r="M5447" s="7" t="str">
        <f t="shared" si="428"/>
        <v/>
      </c>
      <c r="N5447" s="7" t="str">
        <f t="shared" si="432"/>
        <v/>
      </c>
      <c r="O5447" s="8"/>
      <c r="P5447" s="26"/>
      <c r="S5447" s="10" t="str">
        <f t="shared" si="429"/>
        <v/>
      </c>
    </row>
    <row r="5448" spans="5:19" x14ac:dyDescent="0.3">
      <c r="E5448" s="9" t="str">
        <f>IF(DADOS!C5448="","",DADOS!C5448)</f>
        <v/>
      </c>
      <c r="F5448" s="9" t="str">
        <f>IF(DADOS!E5448="","",DADOS!E5448)</f>
        <v/>
      </c>
      <c r="G5448" s="9" t="str">
        <f>IF(DADOS!F5448="","",DADOS!F5448)</f>
        <v/>
      </c>
      <c r="K5448" s="6" t="str">
        <f t="shared" si="430"/>
        <v/>
      </c>
      <c r="L5448" s="7" t="str">
        <f t="shared" si="431"/>
        <v/>
      </c>
      <c r="M5448" s="7" t="str">
        <f t="shared" si="428"/>
        <v/>
      </c>
      <c r="N5448" s="7" t="str">
        <f t="shared" si="432"/>
        <v/>
      </c>
      <c r="O5448" s="8"/>
      <c r="P5448" s="26"/>
      <c r="S5448" s="10" t="str">
        <f t="shared" si="429"/>
        <v/>
      </c>
    </row>
    <row r="5449" spans="5:19" x14ac:dyDescent="0.3">
      <c r="E5449" s="9" t="str">
        <f>IF(DADOS!C5449="","",DADOS!C5449)</f>
        <v/>
      </c>
      <c r="F5449" s="9" t="str">
        <f>IF(DADOS!E5449="","",DADOS!E5449)</f>
        <v/>
      </c>
      <c r="G5449" s="9" t="str">
        <f>IF(DADOS!F5449="","",DADOS!F5449)</f>
        <v/>
      </c>
      <c r="K5449" s="6" t="str">
        <f t="shared" si="430"/>
        <v/>
      </c>
      <c r="L5449" s="7" t="str">
        <f t="shared" si="431"/>
        <v/>
      </c>
      <c r="M5449" s="7" t="str">
        <f t="shared" si="428"/>
        <v/>
      </c>
      <c r="N5449" s="7" t="str">
        <f t="shared" si="432"/>
        <v/>
      </c>
      <c r="O5449" s="8"/>
      <c r="P5449" s="26"/>
      <c r="S5449" s="10" t="str">
        <f t="shared" si="429"/>
        <v/>
      </c>
    </row>
    <row r="5450" spans="5:19" x14ac:dyDescent="0.3">
      <c r="E5450" s="9" t="str">
        <f>IF(DADOS!C5450="","",DADOS!C5450)</f>
        <v/>
      </c>
      <c r="F5450" s="9" t="str">
        <f>IF(DADOS!E5450="","",DADOS!E5450)</f>
        <v/>
      </c>
      <c r="G5450" s="9" t="str">
        <f>IF(DADOS!F5450="","",DADOS!F5450)</f>
        <v/>
      </c>
      <c r="K5450" s="6" t="str">
        <f t="shared" si="430"/>
        <v/>
      </c>
      <c r="L5450" s="7" t="str">
        <f t="shared" si="431"/>
        <v/>
      </c>
      <c r="M5450" s="7" t="str">
        <f t="shared" si="428"/>
        <v/>
      </c>
      <c r="N5450" s="7" t="str">
        <f t="shared" si="432"/>
        <v/>
      </c>
      <c r="O5450" s="8"/>
      <c r="P5450" s="26"/>
      <c r="S5450" s="10" t="str">
        <f t="shared" si="429"/>
        <v/>
      </c>
    </row>
    <row r="5451" spans="5:19" x14ac:dyDescent="0.3">
      <c r="E5451" s="9" t="str">
        <f>IF(DADOS!C5451="","",DADOS!C5451)</f>
        <v/>
      </c>
      <c r="F5451" s="9" t="str">
        <f>IF(DADOS!E5451="","",DADOS!E5451)</f>
        <v/>
      </c>
      <c r="G5451" s="9" t="str">
        <f>IF(DADOS!F5451="","",DADOS!F5451)</f>
        <v/>
      </c>
      <c r="K5451" s="6" t="str">
        <f t="shared" si="430"/>
        <v/>
      </c>
      <c r="L5451" s="7" t="str">
        <f t="shared" si="431"/>
        <v/>
      </c>
      <c r="M5451" s="7" t="str">
        <f t="shared" si="428"/>
        <v/>
      </c>
      <c r="N5451" s="7" t="str">
        <f t="shared" si="432"/>
        <v/>
      </c>
      <c r="O5451" s="8"/>
      <c r="P5451" s="26"/>
      <c r="S5451" s="10" t="str">
        <f t="shared" si="429"/>
        <v/>
      </c>
    </row>
    <row r="5452" spans="5:19" x14ac:dyDescent="0.3">
      <c r="E5452" s="9" t="str">
        <f>IF(DADOS!C5452="","",DADOS!C5452)</f>
        <v/>
      </c>
      <c r="F5452" s="9" t="str">
        <f>IF(DADOS!E5452="","",DADOS!E5452)</f>
        <v/>
      </c>
      <c r="G5452" s="9" t="str">
        <f>IF(DADOS!F5452="","",DADOS!F5452)</f>
        <v/>
      </c>
      <c r="K5452" s="6" t="str">
        <f t="shared" si="430"/>
        <v/>
      </c>
      <c r="L5452" s="7" t="str">
        <f t="shared" si="431"/>
        <v/>
      </c>
      <c r="M5452" s="7" t="str">
        <f t="shared" si="428"/>
        <v/>
      </c>
      <c r="N5452" s="7" t="str">
        <f t="shared" si="432"/>
        <v/>
      </c>
      <c r="O5452" s="8"/>
      <c r="P5452" s="26"/>
      <c r="S5452" s="10" t="str">
        <f t="shared" si="429"/>
        <v/>
      </c>
    </row>
    <row r="5453" spans="5:19" x14ac:dyDescent="0.3">
      <c r="E5453" s="9" t="str">
        <f>IF(DADOS!C5453="","",DADOS!C5453)</f>
        <v/>
      </c>
      <c r="F5453" s="9" t="str">
        <f>IF(DADOS!E5453="","",DADOS!E5453)</f>
        <v/>
      </c>
      <c r="G5453" s="9" t="str">
        <f>IF(DADOS!F5453="","",DADOS!F5453)</f>
        <v/>
      </c>
      <c r="K5453" s="6" t="str">
        <f t="shared" si="430"/>
        <v/>
      </c>
      <c r="L5453" s="7" t="str">
        <f t="shared" si="431"/>
        <v/>
      </c>
      <c r="M5453" s="7" t="str">
        <f t="shared" si="428"/>
        <v/>
      </c>
      <c r="N5453" s="7" t="str">
        <f t="shared" si="432"/>
        <v/>
      </c>
      <c r="O5453" s="8"/>
      <c r="P5453" s="26"/>
      <c r="S5453" s="10" t="str">
        <f t="shared" si="429"/>
        <v/>
      </c>
    </row>
    <row r="5454" spans="5:19" x14ac:dyDescent="0.3">
      <c r="E5454" s="9" t="str">
        <f>IF(DADOS!C5454="","",DADOS!C5454)</f>
        <v/>
      </c>
      <c r="F5454" s="9" t="str">
        <f>IF(DADOS!E5454="","",DADOS!E5454)</f>
        <v/>
      </c>
      <c r="G5454" s="9" t="str">
        <f>IF(DADOS!F5454="","",DADOS!F5454)</f>
        <v/>
      </c>
      <c r="K5454" s="6" t="str">
        <f t="shared" si="430"/>
        <v/>
      </c>
      <c r="L5454" s="7" t="str">
        <f t="shared" si="431"/>
        <v/>
      </c>
      <c r="M5454" s="7" t="str">
        <f t="shared" si="428"/>
        <v/>
      </c>
      <c r="N5454" s="7" t="str">
        <f t="shared" si="432"/>
        <v/>
      </c>
      <c r="O5454" s="8"/>
      <c r="P5454" s="26"/>
      <c r="S5454" s="10" t="str">
        <f t="shared" si="429"/>
        <v/>
      </c>
    </row>
    <row r="5455" spans="5:19" x14ac:dyDescent="0.3">
      <c r="E5455" s="9" t="str">
        <f>IF(DADOS!C5455="","",DADOS!C5455)</f>
        <v/>
      </c>
      <c r="F5455" s="9" t="str">
        <f>IF(DADOS!E5455="","",DADOS!E5455)</f>
        <v/>
      </c>
      <c r="G5455" s="9" t="str">
        <f>IF(DADOS!F5455="","",DADOS!F5455)</f>
        <v/>
      </c>
      <c r="K5455" s="6" t="str">
        <f t="shared" si="430"/>
        <v/>
      </c>
      <c r="L5455" s="7" t="str">
        <f t="shared" si="431"/>
        <v/>
      </c>
      <c r="M5455" s="7" t="str">
        <f t="shared" si="428"/>
        <v/>
      </c>
      <c r="N5455" s="7" t="str">
        <f t="shared" si="432"/>
        <v/>
      </c>
      <c r="O5455" s="8"/>
      <c r="P5455" s="26"/>
      <c r="S5455" s="10" t="str">
        <f t="shared" si="429"/>
        <v/>
      </c>
    </row>
    <row r="5456" spans="5:19" x14ac:dyDescent="0.3">
      <c r="E5456" s="9" t="str">
        <f>IF(DADOS!C5456="","",DADOS!C5456)</f>
        <v/>
      </c>
      <c r="F5456" s="9" t="str">
        <f>IF(DADOS!E5456="","",DADOS!E5456)</f>
        <v/>
      </c>
      <c r="G5456" s="9" t="str">
        <f>IF(DADOS!F5456="","",DADOS!F5456)</f>
        <v/>
      </c>
      <c r="K5456" s="6" t="str">
        <f t="shared" si="430"/>
        <v/>
      </c>
      <c r="L5456" s="7" t="str">
        <f t="shared" si="431"/>
        <v/>
      </c>
      <c r="M5456" s="7" t="str">
        <f t="shared" si="428"/>
        <v/>
      </c>
      <c r="N5456" s="7" t="str">
        <f t="shared" si="432"/>
        <v/>
      </c>
      <c r="O5456" s="8"/>
      <c r="P5456" s="26"/>
      <c r="S5456" s="10" t="str">
        <f t="shared" si="429"/>
        <v/>
      </c>
    </row>
    <row r="5457" spans="5:19" x14ac:dyDescent="0.3">
      <c r="E5457" s="9" t="str">
        <f>IF(DADOS!C5457="","",DADOS!C5457)</f>
        <v/>
      </c>
      <c r="F5457" s="9" t="str">
        <f>IF(DADOS!E5457="","",DADOS!E5457)</f>
        <v/>
      </c>
      <c r="G5457" s="9" t="str">
        <f>IF(DADOS!F5457="","",DADOS!F5457)</f>
        <v/>
      </c>
      <c r="K5457" s="6" t="str">
        <f t="shared" si="430"/>
        <v/>
      </c>
      <c r="L5457" s="7" t="str">
        <f t="shared" si="431"/>
        <v/>
      </c>
      <c r="M5457" s="7" t="str">
        <f t="shared" si="428"/>
        <v/>
      </c>
      <c r="N5457" s="7" t="str">
        <f t="shared" si="432"/>
        <v/>
      </c>
      <c r="O5457" s="8"/>
      <c r="P5457" s="26"/>
      <c r="S5457" s="10" t="str">
        <f t="shared" si="429"/>
        <v/>
      </c>
    </row>
    <row r="5458" spans="5:19" x14ac:dyDescent="0.3">
      <c r="E5458" s="9" t="str">
        <f>IF(DADOS!C5458="","",DADOS!C5458)</f>
        <v/>
      </c>
      <c r="F5458" s="9" t="str">
        <f>IF(DADOS!E5458="","",DADOS!E5458)</f>
        <v/>
      </c>
      <c r="G5458" s="9" t="str">
        <f>IF(DADOS!F5458="","",DADOS!F5458)</f>
        <v/>
      </c>
      <c r="K5458" s="6" t="str">
        <f t="shared" si="430"/>
        <v/>
      </c>
      <c r="L5458" s="7" t="str">
        <f t="shared" si="431"/>
        <v/>
      </c>
      <c r="M5458" s="7" t="str">
        <f t="shared" si="428"/>
        <v/>
      </c>
      <c r="N5458" s="7" t="str">
        <f t="shared" si="432"/>
        <v/>
      </c>
      <c r="O5458" s="8"/>
      <c r="P5458" s="26"/>
      <c r="S5458" s="10" t="str">
        <f t="shared" si="429"/>
        <v/>
      </c>
    </row>
    <row r="5459" spans="5:19" x14ac:dyDescent="0.3">
      <c r="E5459" s="9" t="str">
        <f>IF(DADOS!C5459="","",DADOS!C5459)</f>
        <v/>
      </c>
      <c r="F5459" s="9" t="str">
        <f>IF(DADOS!E5459="","",DADOS!E5459)</f>
        <v/>
      </c>
      <c r="G5459" s="9" t="str">
        <f>IF(DADOS!F5459="","",DADOS!F5459)</f>
        <v/>
      </c>
      <c r="K5459" s="6" t="str">
        <f t="shared" si="430"/>
        <v/>
      </c>
      <c r="L5459" s="7" t="str">
        <f t="shared" si="431"/>
        <v/>
      </c>
      <c r="M5459" s="7" t="str">
        <f t="shared" si="428"/>
        <v/>
      </c>
      <c r="N5459" s="7" t="str">
        <f t="shared" si="432"/>
        <v/>
      </c>
      <c r="O5459" s="8"/>
      <c r="P5459" s="26"/>
      <c r="S5459" s="10" t="str">
        <f t="shared" si="429"/>
        <v/>
      </c>
    </row>
    <row r="5460" spans="5:19" x14ac:dyDescent="0.3">
      <c r="E5460" s="9" t="str">
        <f>IF(DADOS!C5460="","",DADOS!C5460)</f>
        <v/>
      </c>
      <c r="F5460" s="9" t="str">
        <f>IF(DADOS!E5460="","",DADOS!E5460)</f>
        <v/>
      </c>
      <c r="G5460" s="9" t="str">
        <f>IF(DADOS!F5460="","",DADOS!F5460)</f>
        <v/>
      </c>
      <c r="K5460" s="6" t="str">
        <f t="shared" si="430"/>
        <v/>
      </c>
      <c r="L5460" s="7" t="str">
        <f t="shared" si="431"/>
        <v/>
      </c>
      <c r="M5460" s="7" t="str">
        <f t="shared" si="428"/>
        <v/>
      </c>
      <c r="N5460" s="7" t="str">
        <f t="shared" si="432"/>
        <v/>
      </c>
      <c r="O5460" s="8"/>
      <c r="P5460" s="26"/>
      <c r="S5460" s="10" t="str">
        <f t="shared" si="429"/>
        <v/>
      </c>
    </row>
    <row r="5461" spans="5:19" x14ac:dyDescent="0.3">
      <c r="E5461" s="9" t="str">
        <f>IF(DADOS!C5461="","",DADOS!C5461)</f>
        <v/>
      </c>
      <c r="F5461" s="9" t="str">
        <f>IF(DADOS!E5461="","",DADOS!E5461)</f>
        <v/>
      </c>
      <c r="G5461" s="9" t="str">
        <f>IF(DADOS!F5461="","",DADOS!F5461)</f>
        <v/>
      </c>
      <c r="K5461" s="6" t="str">
        <f t="shared" si="430"/>
        <v/>
      </c>
      <c r="L5461" s="7" t="str">
        <f t="shared" si="431"/>
        <v/>
      </c>
      <c r="M5461" s="7" t="str">
        <f t="shared" si="428"/>
        <v/>
      </c>
      <c r="N5461" s="7" t="str">
        <f t="shared" si="432"/>
        <v/>
      </c>
      <c r="O5461" s="8"/>
      <c r="P5461" s="26"/>
      <c r="S5461" s="10" t="str">
        <f t="shared" si="429"/>
        <v/>
      </c>
    </row>
    <row r="5462" spans="5:19" x14ac:dyDescent="0.3">
      <c r="E5462" s="9" t="str">
        <f>IF(DADOS!C5462="","",DADOS!C5462)</f>
        <v/>
      </c>
      <c r="F5462" s="9" t="str">
        <f>IF(DADOS!E5462="","",DADOS!E5462)</f>
        <v/>
      </c>
      <c r="G5462" s="9" t="str">
        <f>IF(DADOS!F5462="","",DADOS!F5462)</f>
        <v/>
      </c>
      <c r="K5462" s="6" t="str">
        <f t="shared" si="430"/>
        <v/>
      </c>
      <c r="L5462" s="7" t="str">
        <f t="shared" si="431"/>
        <v/>
      </c>
      <c r="M5462" s="7" t="str">
        <f t="shared" si="428"/>
        <v/>
      </c>
      <c r="N5462" s="7" t="str">
        <f t="shared" si="432"/>
        <v/>
      </c>
      <c r="O5462" s="8"/>
      <c r="P5462" s="26"/>
      <c r="S5462" s="10" t="str">
        <f t="shared" si="429"/>
        <v/>
      </c>
    </row>
    <row r="5463" spans="5:19" x14ac:dyDescent="0.3">
      <c r="E5463" s="9" t="str">
        <f>IF(DADOS!C5463="","",DADOS!C5463)</f>
        <v/>
      </c>
      <c r="F5463" s="9" t="str">
        <f>IF(DADOS!E5463="","",DADOS!E5463)</f>
        <v/>
      </c>
      <c r="G5463" s="9" t="str">
        <f>IF(DADOS!F5463="","",DADOS!F5463)</f>
        <v/>
      </c>
      <c r="K5463" s="6" t="str">
        <f t="shared" si="430"/>
        <v/>
      </c>
      <c r="L5463" s="7" t="str">
        <f t="shared" si="431"/>
        <v/>
      </c>
      <c r="M5463" s="7" t="str">
        <f t="shared" si="428"/>
        <v/>
      </c>
      <c r="N5463" s="7" t="str">
        <f t="shared" si="432"/>
        <v/>
      </c>
      <c r="O5463" s="8"/>
      <c r="P5463" s="26"/>
      <c r="S5463" s="10" t="str">
        <f t="shared" si="429"/>
        <v/>
      </c>
    </row>
    <row r="5464" spans="5:19" x14ac:dyDescent="0.3">
      <c r="E5464" s="9" t="str">
        <f>IF(DADOS!C5464="","",DADOS!C5464)</f>
        <v/>
      </c>
      <c r="F5464" s="9" t="str">
        <f>IF(DADOS!E5464="","",DADOS!E5464)</f>
        <v/>
      </c>
      <c r="G5464" s="9" t="str">
        <f>IF(DADOS!F5464="","",DADOS!F5464)</f>
        <v/>
      </c>
      <c r="K5464" s="6" t="str">
        <f t="shared" si="430"/>
        <v/>
      </c>
      <c r="L5464" s="7" t="str">
        <f t="shared" si="431"/>
        <v/>
      </c>
      <c r="M5464" s="7" t="str">
        <f t="shared" si="428"/>
        <v/>
      </c>
      <c r="N5464" s="7" t="str">
        <f t="shared" si="432"/>
        <v/>
      </c>
      <c r="O5464" s="8"/>
      <c r="P5464" s="26"/>
      <c r="S5464" s="10" t="str">
        <f t="shared" si="429"/>
        <v/>
      </c>
    </row>
    <row r="5465" spans="5:19" x14ac:dyDescent="0.3">
      <c r="E5465" s="9" t="str">
        <f>IF(DADOS!C5465="","",DADOS!C5465)</f>
        <v/>
      </c>
      <c r="F5465" s="9" t="str">
        <f>IF(DADOS!E5465="","",DADOS!E5465)</f>
        <v/>
      </c>
      <c r="G5465" s="9" t="str">
        <f>IF(DADOS!F5465="","",DADOS!F5465)</f>
        <v/>
      </c>
      <c r="K5465" s="6" t="str">
        <f t="shared" si="430"/>
        <v/>
      </c>
      <c r="L5465" s="7" t="str">
        <f t="shared" si="431"/>
        <v/>
      </c>
      <c r="M5465" s="7" t="str">
        <f t="shared" si="428"/>
        <v/>
      </c>
      <c r="N5465" s="7" t="str">
        <f t="shared" si="432"/>
        <v/>
      </c>
      <c r="O5465" s="8"/>
      <c r="P5465" s="26"/>
      <c r="S5465" s="10" t="str">
        <f t="shared" si="429"/>
        <v/>
      </c>
    </row>
    <row r="5466" spans="5:19" x14ac:dyDescent="0.3">
      <c r="E5466" s="9" t="str">
        <f>IF(DADOS!C5466="","",DADOS!C5466)</f>
        <v/>
      </c>
      <c r="F5466" s="9" t="str">
        <f>IF(DADOS!E5466="","",DADOS!E5466)</f>
        <v/>
      </c>
      <c r="G5466" s="9" t="str">
        <f>IF(DADOS!F5466="","",DADOS!F5466)</f>
        <v/>
      </c>
      <c r="K5466" s="6" t="str">
        <f t="shared" si="430"/>
        <v/>
      </c>
      <c r="L5466" s="7" t="str">
        <f t="shared" si="431"/>
        <v/>
      </c>
      <c r="M5466" s="7" t="str">
        <f t="shared" si="428"/>
        <v/>
      </c>
      <c r="N5466" s="7" t="str">
        <f t="shared" si="432"/>
        <v/>
      </c>
      <c r="O5466" s="8"/>
      <c r="P5466" s="26"/>
      <c r="S5466" s="10" t="str">
        <f t="shared" si="429"/>
        <v/>
      </c>
    </row>
    <row r="5467" spans="5:19" x14ac:dyDescent="0.3">
      <c r="E5467" s="9" t="str">
        <f>IF(DADOS!C5467="","",DADOS!C5467)</f>
        <v/>
      </c>
      <c r="F5467" s="9" t="str">
        <f>IF(DADOS!E5467="","",DADOS!E5467)</f>
        <v/>
      </c>
      <c r="G5467" s="9" t="str">
        <f>IF(DADOS!F5467="","",DADOS!F5467)</f>
        <v/>
      </c>
      <c r="K5467" s="6" t="str">
        <f t="shared" si="430"/>
        <v/>
      </c>
      <c r="L5467" s="7" t="str">
        <f t="shared" si="431"/>
        <v/>
      </c>
      <c r="M5467" s="7" t="str">
        <f t="shared" si="428"/>
        <v/>
      </c>
      <c r="N5467" s="7" t="str">
        <f t="shared" si="432"/>
        <v/>
      </c>
      <c r="O5467" s="8"/>
      <c r="P5467" s="26"/>
      <c r="S5467" s="10" t="str">
        <f t="shared" si="429"/>
        <v/>
      </c>
    </row>
    <row r="5468" spans="5:19" x14ac:dyDescent="0.3">
      <c r="E5468" s="9" t="str">
        <f>IF(DADOS!C5468="","",DADOS!C5468)</f>
        <v/>
      </c>
      <c r="F5468" s="9" t="str">
        <f>IF(DADOS!E5468="","",DADOS!E5468)</f>
        <v/>
      </c>
      <c r="G5468" s="9" t="str">
        <f>IF(DADOS!F5468="","",DADOS!F5468)</f>
        <v/>
      </c>
      <c r="K5468" s="6" t="str">
        <f t="shared" si="430"/>
        <v/>
      </c>
      <c r="L5468" s="7" t="str">
        <f t="shared" si="431"/>
        <v/>
      </c>
      <c r="M5468" s="7" t="str">
        <f t="shared" si="428"/>
        <v/>
      </c>
      <c r="N5468" s="7" t="str">
        <f t="shared" si="432"/>
        <v/>
      </c>
      <c r="O5468" s="8"/>
      <c r="P5468" s="26"/>
      <c r="S5468" s="10" t="str">
        <f t="shared" si="429"/>
        <v/>
      </c>
    </row>
    <row r="5469" spans="5:19" x14ac:dyDescent="0.3">
      <c r="E5469" s="9" t="str">
        <f>IF(DADOS!C5469="","",DADOS!C5469)</f>
        <v/>
      </c>
      <c r="F5469" s="9" t="str">
        <f>IF(DADOS!E5469="","",DADOS!E5469)</f>
        <v/>
      </c>
      <c r="G5469" s="9" t="str">
        <f>IF(DADOS!F5469="","",DADOS!F5469)</f>
        <v/>
      </c>
      <c r="K5469" s="6" t="str">
        <f t="shared" si="430"/>
        <v/>
      </c>
      <c r="L5469" s="7" t="str">
        <f t="shared" si="431"/>
        <v/>
      </c>
      <c r="M5469" s="7" t="str">
        <f t="shared" si="428"/>
        <v/>
      </c>
      <c r="N5469" s="7" t="str">
        <f t="shared" si="432"/>
        <v/>
      </c>
      <c r="O5469" s="8"/>
      <c r="P5469" s="26"/>
      <c r="S5469" s="10" t="str">
        <f t="shared" si="429"/>
        <v/>
      </c>
    </row>
    <row r="5470" spans="5:19" x14ac:dyDescent="0.3">
      <c r="E5470" s="9" t="str">
        <f>IF(DADOS!C5470="","",DADOS!C5470)</f>
        <v/>
      </c>
      <c r="F5470" s="9" t="str">
        <f>IF(DADOS!E5470="","",DADOS!E5470)</f>
        <v/>
      </c>
      <c r="G5470" s="9" t="str">
        <f>IF(DADOS!F5470="","",DADOS!F5470)</f>
        <v/>
      </c>
      <c r="K5470" s="6" t="str">
        <f t="shared" si="430"/>
        <v/>
      </c>
      <c r="L5470" s="7" t="str">
        <f t="shared" si="431"/>
        <v/>
      </c>
      <c r="M5470" s="7" t="str">
        <f t="shared" si="428"/>
        <v/>
      </c>
      <c r="N5470" s="7" t="str">
        <f t="shared" si="432"/>
        <v/>
      </c>
      <c r="O5470" s="8"/>
      <c r="P5470" s="26"/>
      <c r="S5470" s="10" t="str">
        <f t="shared" si="429"/>
        <v/>
      </c>
    </row>
    <row r="5471" spans="5:19" x14ac:dyDescent="0.3">
      <c r="E5471" s="9" t="str">
        <f>IF(DADOS!C5471="","",DADOS!C5471)</f>
        <v/>
      </c>
      <c r="F5471" s="9" t="str">
        <f>IF(DADOS!E5471="","",DADOS!E5471)</f>
        <v/>
      </c>
      <c r="G5471" s="9" t="str">
        <f>IF(DADOS!F5471="","",DADOS!F5471)</f>
        <v/>
      </c>
      <c r="K5471" s="6" t="str">
        <f t="shared" si="430"/>
        <v/>
      </c>
      <c r="L5471" s="7" t="str">
        <f t="shared" si="431"/>
        <v/>
      </c>
      <c r="M5471" s="7" t="str">
        <f t="shared" si="428"/>
        <v/>
      </c>
      <c r="N5471" s="7" t="str">
        <f t="shared" si="432"/>
        <v/>
      </c>
      <c r="O5471" s="8"/>
      <c r="P5471" s="26"/>
      <c r="S5471" s="10" t="str">
        <f t="shared" si="429"/>
        <v/>
      </c>
    </row>
    <row r="5472" spans="5:19" x14ac:dyDescent="0.3">
      <c r="E5472" s="9" t="str">
        <f>IF(DADOS!C5472="","",DADOS!C5472)</f>
        <v/>
      </c>
      <c r="F5472" s="9" t="str">
        <f>IF(DADOS!E5472="","",DADOS!E5472)</f>
        <v/>
      </c>
      <c r="G5472" s="9" t="str">
        <f>IF(DADOS!F5472="","",DADOS!F5472)</f>
        <v/>
      </c>
      <c r="K5472" s="6" t="str">
        <f t="shared" si="430"/>
        <v/>
      </c>
      <c r="L5472" s="7" t="str">
        <f t="shared" si="431"/>
        <v/>
      </c>
      <c r="M5472" s="7" t="str">
        <f t="shared" si="428"/>
        <v/>
      </c>
      <c r="N5472" s="7" t="str">
        <f t="shared" si="432"/>
        <v/>
      </c>
      <c r="O5472" s="8"/>
      <c r="P5472" s="26"/>
      <c r="S5472" s="10" t="str">
        <f t="shared" si="429"/>
        <v/>
      </c>
    </row>
    <row r="5473" spans="5:19" x14ac:dyDescent="0.3">
      <c r="E5473" s="9" t="str">
        <f>IF(DADOS!C5473="","",DADOS!C5473)</f>
        <v/>
      </c>
      <c r="F5473" s="9" t="str">
        <f>IF(DADOS!E5473="","",DADOS!E5473)</f>
        <v/>
      </c>
      <c r="G5473" s="9" t="str">
        <f>IF(DADOS!F5473="","",DADOS!F5473)</f>
        <v/>
      </c>
      <c r="K5473" s="6" t="str">
        <f t="shared" si="430"/>
        <v/>
      </c>
      <c r="L5473" s="7" t="str">
        <f t="shared" si="431"/>
        <v/>
      </c>
      <c r="M5473" s="7" t="str">
        <f t="shared" si="428"/>
        <v/>
      </c>
      <c r="N5473" s="7" t="str">
        <f t="shared" si="432"/>
        <v/>
      </c>
      <c r="O5473" s="8"/>
      <c r="P5473" s="26"/>
      <c r="S5473" s="10" t="str">
        <f t="shared" si="429"/>
        <v/>
      </c>
    </row>
    <row r="5474" spans="5:19" x14ac:dyDescent="0.3">
      <c r="E5474" s="9" t="str">
        <f>IF(DADOS!C5474="","",DADOS!C5474)</f>
        <v/>
      </c>
      <c r="F5474" s="9" t="str">
        <f>IF(DADOS!E5474="","",DADOS!E5474)</f>
        <v/>
      </c>
      <c r="G5474" s="9" t="str">
        <f>IF(DADOS!F5474="","",DADOS!F5474)</f>
        <v/>
      </c>
      <c r="K5474" s="6" t="str">
        <f t="shared" si="430"/>
        <v/>
      </c>
      <c r="L5474" s="7" t="str">
        <f t="shared" si="431"/>
        <v/>
      </c>
      <c r="M5474" s="7" t="str">
        <f t="shared" si="428"/>
        <v/>
      </c>
      <c r="N5474" s="7" t="str">
        <f t="shared" si="432"/>
        <v/>
      </c>
      <c r="O5474" s="8"/>
      <c r="P5474" s="26"/>
      <c r="S5474" s="10" t="str">
        <f t="shared" si="429"/>
        <v/>
      </c>
    </row>
    <row r="5475" spans="5:19" x14ac:dyDescent="0.3">
      <c r="E5475" s="9" t="str">
        <f>IF(DADOS!C5475="","",DADOS!C5475)</f>
        <v/>
      </c>
      <c r="F5475" s="9" t="str">
        <f>IF(DADOS!E5475="","",DADOS!E5475)</f>
        <v/>
      </c>
      <c r="G5475" s="9" t="str">
        <f>IF(DADOS!F5475="","",DADOS!F5475)</f>
        <v/>
      </c>
      <c r="K5475" s="6" t="str">
        <f t="shared" si="430"/>
        <v/>
      </c>
      <c r="L5475" s="7" t="str">
        <f t="shared" si="431"/>
        <v/>
      </c>
      <c r="M5475" s="7" t="str">
        <f t="shared" si="428"/>
        <v/>
      </c>
      <c r="N5475" s="7" t="str">
        <f t="shared" si="432"/>
        <v/>
      </c>
      <c r="O5475" s="8"/>
      <c r="P5475" s="26"/>
      <c r="S5475" s="10" t="str">
        <f t="shared" si="429"/>
        <v/>
      </c>
    </row>
    <row r="5476" spans="5:19" x14ac:dyDescent="0.3">
      <c r="E5476" s="9" t="str">
        <f>IF(DADOS!C5476="","",DADOS!C5476)</f>
        <v/>
      </c>
      <c r="F5476" s="9" t="str">
        <f>IF(DADOS!E5476="","",DADOS!E5476)</f>
        <v/>
      </c>
      <c r="G5476" s="9" t="str">
        <f>IF(DADOS!F5476="","",DADOS!F5476)</f>
        <v/>
      </c>
      <c r="K5476" s="6" t="str">
        <f t="shared" si="430"/>
        <v/>
      </c>
      <c r="L5476" s="7" t="str">
        <f t="shared" si="431"/>
        <v/>
      </c>
      <c r="M5476" s="7" t="str">
        <f t="shared" si="428"/>
        <v/>
      </c>
      <c r="N5476" s="7" t="str">
        <f t="shared" si="432"/>
        <v/>
      </c>
      <c r="O5476" s="8"/>
      <c r="P5476" s="26"/>
      <c r="S5476" s="10" t="str">
        <f t="shared" si="429"/>
        <v/>
      </c>
    </row>
    <row r="5477" spans="5:19" x14ac:dyDescent="0.3">
      <c r="E5477" s="9" t="str">
        <f>IF(DADOS!C5477="","",DADOS!C5477)</f>
        <v/>
      </c>
      <c r="F5477" s="9" t="str">
        <f>IF(DADOS!E5477="","",DADOS!E5477)</f>
        <v/>
      </c>
      <c r="G5477" s="9" t="str">
        <f>IF(DADOS!F5477="","",DADOS!F5477)</f>
        <v/>
      </c>
      <c r="K5477" s="6" t="str">
        <f t="shared" si="430"/>
        <v/>
      </c>
      <c r="L5477" s="7" t="str">
        <f t="shared" si="431"/>
        <v/>
      </c>
      <c r="M5477" s="7" t="str">
        <f t="shared" si="428"/>
        <v/>
      </c>
      <c r="N5477" s="7" t="str">
        <f t="shared" si="432"/>
        <v/>
      </c>
      <c r="O5477" s="8"/>
      <c r="P5477" s="26"/>
      <c r="S5477" s="10" t="str">
        <f t="shared" si="429"/>
        <v/>
      </c>
    </row>
    <row r="5478" spans="5:19" x14ac:dyDescent="0.3">
      <c r="E5478" s="9" t="str">
        <f>IF(DADOS!C5478="","",DADOS!C5478)</f>
        <v/>
      </c>
      <c r="F5478" s="9" t="str">
        <f>IF(DADOS!E5478="","",DADOS!E5478)</f>
        <v/>
      </c>
      <c r="G5478" s="9" t="str">
        <f>IF(DADOS!F5478="","",DADOS!F5478)</f>
        <v/>
      </c>
      <c r="K5478" s="6" t="str">
        <f t="shared" si="430"/>
        <v/>
      </c>
      <c r="L5478" s="7" t="str">
        <f t="shared" si="431"/>
        <v/>
      </c>
      <c r="M5478" s="7" t="str">
        <f t="shared" si="428"/>
        <v/>
      </c>
      <c r="N5478" s="7" t="str">
        <f t="shared" si="432"/>
        <v/>
      </c>
      <c r="O5478" s="8"/>
      <c r="P5478" s="26"/>
      <c r="S5478" s="10" t="str">
        <f t="shared" si="429"/>
        <v/>
      </c>
    </row>
    <row r="5479" spans="5:19" x14ac:dyDescent="0.3">
      <c r="E5479" s="9" t="str">
        <f>IF(DADOS!C5479="","",DADOS!C5479)</f>
        <v/>
      </c>
      <c r="F5479" s="9" t="str">
        <f>IF(DADOS!E5479="","",DADOS!E5479)</f>
        <v/>
      </c>
      <c r="G5479" s="9" t="str">
        <f>IF(DADOS!F5479="","",DADOS!F5479)</f>
        <v/>
      </c>
      <c r="K5479" s="6" t="str">
        <f t="shared" si="430"/>
        <v/>
      </c>
      <c r="L5479" s="7" t="str">
        <f t="shared" si="431"/>
        <v/>
      </c>
      <c r="M5479" s="7" t="str">
        <f t="shared" si="428"/>
        <v/>
      </c>
      <c r="N5479" s="7" t="str">
        <f t="shared" si="432"/>
        <v/>
      </c>
      <c r="O5479" s="8"/>
      <c r="P5479" s="26"/>
      <c r="S5479" s="10" t="str">
        <f t="shared" si="429"/>
        <v/>
      </c>
    </row>
    <row r="5480" spans="5:19" x14ac:dyDescent="0.3">
      <c r="E5480" s="9" t="str">
        <f>IF(DADOS!C5480="","",DADOS!C5480)</f>
        <v/>
      </c>
      <c r="F5480" s="9" t="str">
        <f>IF(DADOS!E5480="","",DADOS!E5480)</f>
        <v/>
      </c>
      <c r="G5480" s="9" t="str">
        <f>IF(DADOS!F5480="","",DADOS!F5480)</f>
        <v/>
      </c>
      <c r="K5480" s="6" t="str">
        <f t="shared" si="430"/>
        <v/>
      </c>
      <c r="L5480" s="7" t="str">
        <f t="shared" si="431"/>
        <v/>
      </c>
      <c r="M5480" s="7" t="str">
        <f t="shared" si="428"/>
        <v/>
      </c>
      <c r="N5480" s="7" t="str">
        <f t="shared" si="432"/>
        <v/>
      </c>
      <c r="O5480" s="8"/>
      <c r="P5480" s="26"/>
      <c r="S5480" s="10" t="str">
        <f t="shared" si="429"/>
        <v/>
      </c>
    </row>
    <row r="5481" spans="5:19" x14ac:dyDescent="0.3">
      <c r="E5481" s="9" t="str">
        <f>IF(DADOS!C5481="","",DADOS!C5481)</f>
        <v/>
      </c>
      <c r="F5481" s="9" t="str">
        <f>IF(DADOS!E5481="","",DADOS!E5481)</f>
        <v/>
      </c>
      <c r="G5481" s="9" t="str">
        <f>IF(DADOS!F5481="","",DADOS!F5481)</f>
        <v/>
      </c>
      <c r="K5481" s="6" t="str">
        <f t="shared" si="430"/>
        <v/>
      </c>
      <c r="L5481" s="7" t="str">
        <f t="shared" si="431"/>
        <v/>
      </c>
      <c r="M5481" s="7" t="str">
        <f t="shared" si="428"/>
        <v/>
      </c>
      <c r="N5481" s="7" t="str">
        <f t="shared" si="432"/>
        <v/>
      </c>
      <c r="O5481" s="8"/>
      <c r="P5481" s="26"/>
      <c r="S5481" s="10" t="str">
        <f t="shared" si="429"/>
        <v/>
      </c>
    </row>
    <row r="5482" spans="5:19" x14ac:dyDescent="0.3">
      <c r="E5482" s="9" t="str">
        <f>IF(DADOS!C5482="","",DADOS!C5482)</f>
        <v/>
      </c>
      <c r="F5482" s="9" t="str">
        <f>IF(DADOS!E5482="","",DADOS!E5482)</f>
        <v/>
      </c>
      <c r="G5482" s="9" t="str">
        <f>IF(DADOS!F5482="","",DADOS!F5482)</f>
        <v/>
      </c>
      <c r="K5482" s="6" t="str">
        <f t="shared" si="430"/>
        <v/>
      </c>
      <c r="L5482" s="7" t="str">
        <f t="shared" si="431"/>
        <v/>
      </c>
      <c r="M5482" s="7" t="str">
        <f t="shared" si="428"/>
        <v/>
      </c>
      <c r="N5482" s="7" t="str">
        <f t="shared" si="432"/>
        <v/>
      </c>
      <c r="O5482" s="8"/>
      <c r="P5482" s="26"/>
      <c r="S5482" s="10" t="str">
        <f t="shared" si="429"/>
        <v/>
      </c>
    </row>
    <row r="5483" spans="5:19" x14ac:dyDescent="0.3">
      <c r="E5483" s="9" t="str">
        <f>IF(DADOS!C5483="","",DADOS!C5483)</f>
        <v/>
      </c>
      <c r="F5483" s="9" t="str">
        <f>IF(DADOS!E5483="","",DADOS!E5483)</f>
        <v/>
      </c>
      <c r="G5483" s="9" t="str">
        <f>IF(DADOS!F5483="","",DADOS!F5483)</f>
        <v/>
      </c>
      <c r="K5483" s="6" t="str">
        <f t="shared" si="430"/>
        <v/>
      </c>
      <c r="L5483" s="7" t="str">
        <f t="shared" si="431"/>
        <v/>
      </c>
      <c r="M5483" s="7" t="str">
        <f t="shared" si="428"/>
        <v/>
      </c>
      <c r="N5483" s="7" t="str">
        <f t="shared" si="432"/>
        <v/>
      </c>
      <c r="O5483" s="8"/>
      <c r="P5483" s="26"/>
      <c r="S5483" s="10" t="str">
        <f t="shared" si="429"/>
        <v/>
      </c>
    </row>
    <row r="5484" spans="5:19" x14ac:dyDescent="0.3">
      <c r="E5484" s="9" t="str">
        <f>IF(DADOS!C5484="","",DADOS!C5484)</f>
        <v/>
      </c>
      <c r="F5484" s="9" t="str">
        <f>IF(DADOS!E5484="","",DADOS!E5484)</f>
        <v/>
      </c>
      <c r="G5484" s="9" t="str">
        <f>IF(DADOS!F5484="","",DADOS!F5484)</f>
        <v/>
      </c>
      <c r="K5484" s="6" t="str">
        <f t="shared" si="430"/>
        <v/>
      </c>
      <c r="L5484" s="7" t="str">
        <f t="shared" si="431"/>
        <v/>
      </c>
      <c r="M5484" s="7" t="str">
        <f t="shared" si="428"/>
        <v/>
      </c>
      <c r="N5484" s="7" t="str">
        <f t="shared" si="432"/>
        <v/>
      </c>
      <c r="O5484" s="8"/>
      <c r="P5484" s="26"/>
      <c r="S5484" s="10" t="str">
        <f t="shared" si="429"/>
        <v/>
      </c>
    </row>
    <row r="5485" spans="5:19" x14ac:dyDescent="0.3">
      <c r="E5485" s="9" t="str">
        <f>IF(DADOS!C5485="","",DADOS!C5485)</f>
        <v/>
      </c>
      <c r="F5485" s="9" t="str">
        <f>IF(DADOS!E5485="","",DADOS!E5485)</f>
        <v/>
      </c>
      <c r="G5485" s="9" t="str">
        <f>IF(DADOS!F5485="","",DADOS!F5485)</f>
        <v/>
      </c>
      <c r="K5485" s="6" t="str">
        <f t="shared" si="430"/>
        <v/>
      </c>
      <c r="L5485" s="7" t="str">
        <f t="shared" si="431"/>
        <v/>
      </c>
      <c r="M5485" s="7" t="str">
        <f t="shared" si="428"/>
        <v/>
      </c>
      <c r="N5485" s="7" t="str">
        <f t="shared" si="432"/>
        <v/>
      </c>
      <c r="O5485" s="8"/>
      <c r="P5485" s="26"/>
      <c r="S5485" s="10" t="str">
        <f t="shared" si="429"/>
        <v/>
      </c>
    </row>
    <row r="5486" spans="5:19" x14ac:dyDescent="0.3">
      <c r="E5486" s="9" t="str">
        <f>IF(DADOS!C5486="","",DADOS!C5486)</f>
        <v/>
      </c>
      <c r="F5486" s="9" t="str">
        <f>IF(DADOS!E5486="","",DADOS!E5486)</f>
        <v/>
      </c>
      <c r="G5486" s="9" t="str">
        <f>IF(DADOS!F5486="","",DADOS!F5486)</f>
        <v/>
      </c>
      <c r="K5486" s="6" t="str">
        <f t="shared" si="430"/>
        <v/>
      </c>
      <c r="L5486" s="7" t="str">
        <f t="shared" si="431"/>
        <v/>
      </c>
      <c r="M5486" s="7" t="str">
        <f t="shared" si="428"/>
        <v/>
      </c>
      <c r="N5486" s="7" t="str">
        <f t="shared" si="432"/>
        <v/>
      </c>
      <c r="O5486" s="8"/>
      <c r="P5486" s="26"/>
      <c r="S5486" s="10" t="str">
        <f t="shared" si="429"/>
        <v/>
      </c>
    </row>
    <row r="5487" spans="5:19" x14ac:dyDescent="0.3">
      <c r="E5487" s="9" t="str">
        <f>IF(DADOS!C5487="","",DADOS!C5487)</f>
        <v/>
      </c>
      <c r="F5487" s="9" t="str">
        <f>IF(DADOS!E5487="","",DADOS!E5487)</f>
        <v/>
      </c>
      <c r="G5487" s="9" t="str">
        <f>IF(DADOS!F5487="","",DADOS!F5487)</f>
        <v/>
      </c>
      <c r="K5487" s="6" t="str">
        <f t="shared" si="430"/>
        <v/>
      </c>
      <c r="L5487" s="7" t="str">
        <f t="shared" si="431"/>
        <v/>
      </c>
      <c r="M5487" s="7" t="str">
        <f t="shared" si="428"/>
        <v/>
      </c>
      <c r="N5487" s="7" t="str">
        <f t="shared" si="432"/>
        <v/>
      </c>
      <c r="O5487" s="8"/>
      <c r="P5487" s="26"/>
      <c r="S5487" s="10" t="str">
        <f t="shared" si="429"/>
        <v/>
      </c>
    </row>
    <row r="5488" spans="5:19" x14ac:dyDescent="0.3">
      <c r="E5488" s="9" t="str">
        <f>IF(DADOS!C5488="","",DADOS!C5488)</f>
        <v/>
      </c>
      <c r="F5488" s="9" t="str">
        <f>IF(DADOS!E5488="","",DADOS!E5488)</f>
        <v/>
      </c>
      <c r="G5488" s="9" t="str">
        <f>IF(DADOS!F5488="","",DADOS!F5488)</f>
        <v/>
      </c>
      <c r="K5488" s="6" t="str">
        <f t="shared" si="430"/>
        <v/>
      </c>
      <c r="L5488" s="7" t="str">
        <f t="shared" si="431"/>
        <v/>
      </c>
      <c r="M5488" s="7" t="str">
        <f t="shared" si="428"/>
        <v/>
      </c>
      <c r="N5488" s="7" t="str">
        <f t="shared" si="432"/>
        <v/>
      </c>
      <c r="O5488" s="8"/>
      <c r="P5488" s="26"/>
      <c r="S5488" s="10" t="str">
        <f t="shared" si="429"/>
        <v/>
      </c>
    </row>
    <row r="5489" spans="5:19" x14ac:dyDescent="0.3">
      <c r="E5489" s="9" t="str">
        <f>IF(DADOS!C5489="","",DADOS!C5489)</f>
        <v/>
      </c>
      <c r="F5489" s="9" t="str">
        <f>IF(DADOS!E5489="","",DADOS!E5489)</f>
        <v/>
      </c>
      <c r="G5489" s="9" t="str">
        <f>IF(DADOS!F5489="","",DADOS!F5489)</f>
        <v/>
      </c>
      <c r="K5489" s="6" t="str">
        <f t="shared" si="430"/>
        <v/>
      </c>
      <c r="L5489" s="7" t="str">
        <f t="shared" si="431"/>
        <v/>
      </c>
      <c r="M5489" s="7" t="str">
        <f t="shared" si="428"/>
        <v/>
      </c>
      <c r="N5489" s="7" t="str">
        <f t="shared" si="432"/>
        <v/>
      </c>
      <c r="O5489" s="8"/>
      <c r="P5489" s="26"/>
      <c r="S5489" s="10" t="str">
        <f t="shared" si="429"/>
        <v/>
      </c>
    </row>
    <row r="5490" spans="5:19" x14ac:dyDescent="0.3">
      <c r="E5490" s="9" t="str">
        <f>IF(DADOS!C5490="","",DADOS!C5490)</f>
        <v/>
      </c>
      <c r="F5490" s="9" t="str">
        <f>IF(DADOS!E5490="","",DADOS!E5490)</f>
        <v/>
      </c>
      <c r="G5490" s="9" t="str">
        <f>IF(DADOS!F5490="","",DADOS!F5490)</f>
        <v/>
      </c>
      <c r="K5490" s="6" t="str">
        <f t="shared" si="430"/>
        <v/>
      </c>
      <c r="L5490" s="7" t="str">
        <f t="shared" si="431"/>
        <v/>
      </c>
      <c r="M5490" s="7" t="str">
        <f t="shared" si="428"/>
        <v/>
      </c>
      <c r="N5490" s="7" t="str">
        <f t="shared" si="432"/>
        <v/>
      </c>
      <c r="O5490" s="8"/>
      <c r="P5490" s="26"/>
      <c r="S5490" s="10" t="str">
        <f t="shared" si="429"/>
        <v/>
      </c>
    </row>
    <row r="5491" spans="5:19" x14ac:dyDescent="0.3">
      <c r="E5491" s="9" t="str">
        <f>IF(DADOS!C5491="","",DADOS!C5491)</f>
        <v/>
      </c>
      <c r="F5491" s="9" t="str">
        <f>IF(DADOS!E5491="","",DADOS!E5491)</f>
        <v/>
      </c>
      <c r="G5491" s="9" t="str">
        <f>IF(DADOS!F5491="","",DADOS!F5491)</f>
        <v/>
      </c>
      <c r="K5491" s="6" t="str">
        <f t="shared" si="430"/>
        <v/>
      </c>
      <c r="L5491" s="7" t="str">
        <f t="shared" si="431"/>
        <v/>
      </c>
      <c r="M5491" s="7" t="str">
        <f t="shared" si="428"/>
        <v/>
      </c>
      <c r="N5491" s="7" t="str">
        <f t="shared" si="432"/>
        <v/>
      </c>
      <c r="O5491" s="8"/>
      <c r="P5491" s="26"/>
      <c r="S5491" s="10" t="str">
        <f t="shared" si="429"/>
        <v/>
      </c>
    </row>
    <row r="5492" spans="5:19" x14ac:dyDescent="0.3">
      <c r="E5492" s="9" t="str">
        <f>IF(DADOS!C5492="","",DADOS!C5492)</f>
        <v/>
      </c>
      <c r="F5492" s="9" t="str">
        <f>IF(DADOS!E5492="","",DADOS!E5492)</f>
        <v/>
      </c>
      <c r="G5492" s="9" t="str">
        <f>IF(DADOS!F5492="","",DADOS!F5492)</f>
        <v/>
      </c>
      <c r="K5492" s="6" t="str">
        <f t="shared" si="430"/>
        <v/>
      </c>
      <c r="L5492" s="7" t="str">
        <f t="shared" si="431"/>
        <v/>
      </c>
      <c r="M5492" s="7" t="str">
        <f t="shared" si="428"/>
        <v/>
      </c>
      <c r="N5492" s="7" t="str">
        <f t="shared" si="432"/>
        <v/>
      </c>
      <c r="O5492" s="8"/>
      <c r="P5492" s="26"/>
      <c r="S5492" s="10" t="str">
        <f t="shared" si="429"/>
        <v/>
      </c>
    </row>
    <row r="5493" spans="5:19" x14ac:dyDescent="0.3">
      <c r="E5493" s="9" t="str">
        <f>IF(DADOS!C5493="","",DADOS!C5493)</f>
        <v/>
      </c>
      <c r="F5493" s="9" t="str">
        <f>IF(DADOS!E5493="","",DADOS!E5493)</f>
        <v/>
      </c>
      <c r="G5493" s="9" t="str">
        <f>IF(DADOS!F5493="","",DADOS!F5493)</f>
        <v/>
      </c>
      <c r="K5493" s="6" t="str">
        <f t="shared" si="430"/>
        <v/>
      </c>
      <c r="L5493" s="7" t="str">
        <f t="shared" si="431"/>
        <v/>
      </c>
      <c r="M5493" s="7" t="str">
        <f t="shared" si="428"/>
        <v/>
      </c>
      <c r="N5493" s="7" t="str">
        <f t="shared" si="432"/>
        <v/>
      </c>
      <c r="O5493" s="8"/>
      <c r="P5493" s="26"/>
      <c r="S5493" s="10" t="str">
        <f t="shared" si="429"/>
        <v/>
      </c>
    </row>
    <row r="5494" spans="5:19" x14ac:dyDescent="0.3">
      <c r="E5494" s="9" t="str">
        <f>IF(DADOS!C5494="","",DADOS!C5494)</f>
        <v/>
      </c>
      <c r="F5494" s="9" t="str">
        <f>IF(DADOS!E5494="","",DADOS!E5494)</f>
        <v/>
      </c>
      <c r="G5494" s="9" t="str">
        <f>IF(DADOS!F5494="","",DADOS!F5494)</f>
        <v/>
      </c>
      <c r="K5494" s="6" t="str">
        <f t="shared" si="430"/>
        <v/>
      </c>
      <c r="L5494" s="7" t="str">
        <f t="shared" si="431"/>
        <v/>
      </c>
      <c r="M5494" s="7" t="str">
        <f t="shared" si="428"/>
        <v/>
      </c>
      <c r="N5494" s="7" t="str">
        <f t="shared" si="432"/>
        <v/>
      </c>
      <c r="O5494" s="8"/>
      <c r="P5494" s="26"/>
      <c r="S5494" s="10" t="str">
        <f t="shared" si="429"/>
        <v/>
      </c>
    </row>
    <row r="5495" spans="5:19" x14ac:dyDescent="0.3">
      <c r="E5495" s="9" t="str">
        <f>IF(DADOS!C5495="","",DADOS!C5495)</f>
        <v/>
      </c>
      <c r="F5495" s="9" t="str">
        <f>IF(DADOS!E5495="","",DADOS!E5495)</f>
        <v/>
      </c>
      <c r="G5495" s="9" t="str">
        <f>IF(DADOS!F5495="","",DADOS!F5495)</f>
        <v/>
      </c>
      <c r="K5495" s="6" t="str">
        <f t="shared" si="430"/>
        <v/>
      </c>
      <c r="L5495" s="7" t="str">
        <f t="shared" si="431"/>
        <v/>
      </c>
      <c r="M5495" s="7" t="str">
        <f t="shared" si="428"/>
        <v/>
      </c>
      <c r="N5495" s="7" t="str">
        <f t="shared" si="432"/>
        <v/>
      </c>
      <c r="O5495" s="8"/>
      <c r="P5495" s="26"/>
      <c r="S5495" s="10" t="str">
        <f t="shared" si="429"/>
        <v/>
      </c>
    </row>
    <row r="5496" spans="5:19" x14ac:dyDescent="0.3">
      <c r="E5496" s="9" t="str">
        <f>IF(DADOS!C5496="","",DADOS!C5496)</f>
        <v/>
      </c>
      <c r="F5496" s="9" t="str">
        <f>IF(DADOS!E5496="","",DADOS!E5496)</f>
        <v/>
      </c>
      <c r="G5496" s="9" t="str">
        <f>IF(DADOS!F5496="","",DADOS!F5496)</f>
        <v/>
      </c>
      <c r="K5496" s="6" t="str">
        <f t="shared" si="430"/>
        <v/>
      </c>
      <c r="L5496" s="7" t="str">
        <f t="shared" si="431"/>
        <v/>
      </c>
      <c r="M5496" s="7" t="str">
        <f t="shared" si="428"/>
        <v/>
      </c>
      <c r="N5496" s="7" t="str">
        <f t="shared" si="432"/>
        <v/>
      </c>
      <c r="O5496" s="8"/>
      <c r="P5496" s="26"/>
      <c r="S5496" s="10" t="str">
        <f t="shared" si="429"/>
        <v/>
      </c>
    </row>
    <row r="5497" spans="5:19" x14ac:dyDescent="0.3">
      <c r="E5497" s="9" t="str">
        <f>IF(DADOS!C5497="","",DADOS!C5497)</f>
        <v/>
      </c>
      <c r="F5497" s="9" t="str">
        <f>IF(DADOS!E5497="","",DADOS!E5497)</f>
        <v/>
      </c>
      <c r="G5497" s="9" t="str">
        <f>IF(DADOS!F5497="","",DADOS!F5497)</f>
        <v/>
      </c>
      <c r="K5497" s="6" t="str">
        <f t="shared" si="430"/>
        <v/>
      </c>
      <c r="L5497" s="7" t="str">
        <f t="shared" si="431"/>
        <v/>
      </c>
      <c r="M5497" s="7" t="str">
        <f t="shared" si="428"/>
        <v/>
      </c>
      <c r="N5497" s="7" t="str">
        <f t="shared" si="432"/>
        <v/>
      </c>
      <c r="O5497" s="8"/>
      <c r="P5497" s="26"/>
      <c r="S5497" s="10" t="str">
        <f t="shared" si="429"/>
        <v/>
      </c>
    </row>
    <row r="5498" spans="5:19" x14ac:dyDescent="0.3">
      <c r="E5498" s="9" t="str">
        <f>IF(DADOS!C5498="","",DADOS!C5498)</f>
        <v/>
      </c>
      <c r="F5498" s="9" t="str">
        <f>IF(DADOS!E5498="","",DADOS!E5498)</f>
        <v/>
      </c>
      <c r="G5498" s="9" t="str">
        <f>IF(DADOS!F5498="","",DADOS!F5498)</f>
        <v/>
      </c>
      <c r="K5498" s="6" t="str">
        <f t="shared" si="430"/>
        <v/>
      </c>
      <c r="L5498" s="7" t="str">
        <f t="shared" si="431"/>
        <v/>
      </c>
      <c r="M5498" s="7" t="str">
        <f t="shared" si="428"/>
        <v/>
      </c>
      <c r="N5498" s="7" t="str">
        <f t="shared" si="432"/>
        <v/>
      </c>
      <c r="O5498" s="8"/>
      <c r="P5498" s="26"/>
      <c r="S5498" s="10" t="str">
        <f t="shared" si="429"/>
        <v/>
      </c>
    </row>
    <row r="5499" spans="5:19" x14ac:dyDescent="0.3">
      <c r="E5499" s="9" t="str">
        <f>IF(DADOS!C5499="","",DADOS!C5499)</f>
        <v/>
      </c>
      <c r="F5499" s="9" t="str">
        <f>IF(DADOS!E5499="","",DADOS!E5499)</f>
        <v/>
      </c>
      <c r="G5499" s="9" t="str">
        <f>IF(DADOS!F5499="","",DADOS!F5499)</f>
        <v/>
      </c>
      <c r="K5499" s="6" t="str">
        <f t="shared" si="430"/>
        <v/>
      </c>
      <c r="L5499" s="7" t="str">
        <f t="shared" si="431"/>
        <v/>
      </c>
      <c r="M5499" s="7" t="str">
        <f t="shared" si="428"/>
        <v/>
      </c>
      <c r="N5499" s="7" t="str">
        <f t="shared" si="432"/>
        <v/>
      </c>
      <c r="O5499" s="8"/>
      <c r="P5499" s="26"/>
      <c r="S5499" s="10" t="str">
        <f t="shared" si="429"/>
        <v/>
      </c>
    </row>
    <row r="5500" spans="5:19" x14ac:dyDescent="0.3">
      <c r="E5500" s="9" t="str">
        <f>IF(DADOS!C5500="","",DADOS!C5500)</f>
        <v/>
      </c>
      <c r="F5500" s="9" t="str">
        <f>IF(DADOS!E5500="","",DADOS!E5500)</f>
        <v/>
      </c>
      <c r="G5500" s="9" t="str">
        <f>IF(DADOS!F5500="","",DADOS!F5500)</f>
        <v/>
      </c>
      <c r="K5500" s="6" t="str">
        <f t="shared" si="430"/>
        <v/>
      </c>
      <c r="L5500" s="7" t="str">
        <f t="shared" si="431"/>
        <v/>
      </c>
      <c r="M5500" s="7" t="str">
        <f t="shared" si="428"/>
        <v/>
      </c>
      <c r="N5500" s="7" t="str">
        <f t="shared" si="432"/>
        <v/>
      </c>
      <c r="O5500" s="8"/>
      <c r="P5500" s="26"/>
      <c r="S5500" s="10" t="str">
        <f t="shared" si="429"/>
        <v/>
      </c>
    </row>
    <row r="5501" spans="5:19" x14ac:dyDescent="0.3">
      <c r="E5501" s="9" t="str">
        <f>IF(DADOS!C5501="","",DADOS!C5501)</f>
        <v/>
      </c>
      <c r="F5501" s="9" t="str">
        <f>IF(DADOS!E5501="","",DADOS!E5501)</f>
        <v/>
      </c>
      <c r="G5501" s="9" t="str">
        <f>IF(DADOS!F5501="","",DADOS!F5501)</f>
        <v/>
      </c>
      <c r="K5501" s="6" t="str">
        <f t="shared" si="430"/>
        <v/>
      </c>
      <c r="L5501" s="7" t="str">
        <f t="shared" si="431"/>
        <v/>
      </c>
      <c r="M5501" s="7" t="str">
        <f t="shared" si="428"/>
        <v/>
      </c>
      <c r="N5501" s="7" t="str">
        <f t="shared" si="432"/>
        <v/>
      </c>
      <c r="O5501" s="8"/>
      <c r="P5501" s="26"/>
      <c r="S5501" s="10" t="str">
        <f t="shared" si="429"/>
        <v/>
      </c>
    </row>
    <row r="5502" spans="5:19" x14ac:dyDescent="0.3">
      <c r="E5502" s="9" t="str">
        <f>IF(DADOS!C5502="","",DADOS!C5502)</f>
        <v/>
      </c>
      <c r="F5502" s="9" t="str">
        <f>IF(DADOS!E5502="","",DADOS!E5502)</f>
        <v/>
      </c>
      <c r="G5502" s="9" t="str">
        <f>IF(DADOS!F5502="","",DADOS!F5502)</f>
        <v/>
      </c>
      <c r="K5502" s="6" t="str">
        <f t="shared" si="430"/>
        <v/>
      </c>
      <c r="L5502" s="7" t="str">
        <f t="shared" si="431"/>
        <v/>
      </c>
      <c r="M5502" s="7" t="str">
        <f t="shared" si="428"/>
        <v/>
      </c>
      <c r="N5502" s="7" t="str">
        <f t="shared" si="432"/>
        <v/>
      </c>
      <c r="O5502" s="8"/>
      <c r="P5502" s="26"/>
      <c r="S5502" s="10" t="str">
        <f t="shared" si="429"/>
        <v/>
      </c>
    </row>
    <row r="5503" spans="5:19" x14ac:dyDescent="0.3">
      <c r="E5503" s="9" t="str">
        <f>IF(DADOS!C5503="","",DADOS!C5503)</f>
        <v/>
      </c>
      <c r="F5503" s="9" t="str">
        <f>IF(DADOS!E5503="","",DADOS!E5503)</f>
        <v/>
      </c>
      <c r="G5503" s="9" t="str">
        <f>IF(DADOS!F5503="","",DADOS!F5503)</f>
        <v/>
      </c>
      <c r="K5503" s="6" t="str">
        <f t="shared" si="430"/>
        <v/>
      </c>
      <c r="L5503" s="7" t="str">
        <f t="shared" si="431"/>
        <v/>
      </c>
      <c r="M5503" s="7" t="str">
        <f t="shared" si="428"/>
        <v/>
      </c>
      <c r="N5503" s="7" t="str">
        <f t="shared" si="432"/>
        <v/>
      </c>
      <c r="O5503" s="8"/>
      <c r="P5503" s="26"/>
      <c r="S5503" s="10" t="str">
        <f t="shared" si="429"/>
        <v/>
      </c>
    </row>
    <row r="5504" spans="5:19" x14ac:dyDescent="0.3">
      <c r="E5504" s="9" t="str">
        <f>IF(DADOS!C5504="","",DADOS!C5504)</f>
        <v/>
      </c>
      <c r="F5504" s="9" t="str">
        <f>IF(DADOS!E5504="","",DADOS!E5504)</f>
        <v/>
      </c>
      <c r="G5504" s="9" t="str">
        <f>IF(DADOS!F5504="","",DADOS!F5504)</f>
        <v/>
      </c>
      <c r="K5504" s="6" t="str">
        <f t="shared" si="430"/>
        <v/>
      </c>
      <c r="L5504" s="7" t="str">
        <f t="shared" si="431"/>
        <v/>
      </c>
      <c r="M5504" s="7" t="str">
        <f t="shared" si="428"/>
        <v/>
      </c>
      <c r="N5504" s="7" t="str">
        <f t="shared" si="432"/>
        <v/>
      </c>
      <c r="O5504" s="8"/>
      <c r="P5504" s="26"/>
      <c r="S5504" s="10" t="str">
        <f t="shared" si="429"/>
        <v/>
      </c>
    </row>
    <row r="5505" spans="5:19" x14ac:dyDescent="0.3">
      <c r="E5505" s="9" t="str">
        <f>IF(DADOS!C5505="","",DADOS!C5505)</f>
        <v/>
      </c>
      <c r="F5505" s="9" t="str">
        <f>IF(DADOS!E5505="","",DADOS!E5505)</f>
        <v/>
      </c>
      <c r="G5505" s="9" t="str">
        <f>IF(DADOS!F5505="","",DADOS!F5505)</f>
        <v/>
      </c>
      <c r="K5505" s="6" t="str">
        <f t="shared" si="430"/>
        <v/>
      </c>
      <c r="L5505" s="7" t="str">
        <f t="shared" si="431"/>
        <v/>
      </c>
      <c r="M5505" s="7" t="str">
        <f t="shared" si="428"/>
        <v/>
      </c>
      <c r="N5505" s="7" t="str">
        <f t="shared" si="432"/>
        <v/>
      </c>
      <c r="O5505" s="8"/>
      <c r="P5505" s="26"/>
      <c r="S5505" s="10" t="str">
        <f t="shared" si="429"/>
        <v/>
      </c>
    </row>
    <row r="5506" spans="5:19" x14ac:dyDescent="0.3">
      <c r="E5506" s="9" t="str">
        <f>IF(DADOS!C5506="","",DADOS!C5506)</f>
        <v/>
      </c>
      <c r="F5506" s="9" t="str">
        <f>IF(DADOS!E5506="","",DADOS!E5506)</f>
        <v/>
      </c>
      <c r="G5506" s="9" t="str">
        <f>IF(DADOS!F5506="","",DADOS!F5506)</f>
        <v/>
      </c>
      <c r="K5506" s="6" t="str">
        <f t="shared" si="430"/>
        <v/>
      </c>
      <c r="L5506" s="7" t="str">
        <f t="shared" si="431"/>
        <v/>
      </c>
      <c r="M5506" s="7" t="str">
        <f t="shared" si="428"/>
        <v/>
      </c>
      <c r="N5506" s="7" t="str">
        <f t="shared" si="432"/>
        <v/>
      </c>
      <c r="O5506" s="8"/>
      <c r="P5506" s="26"/>
      <c r="S5506" s="10" t="str">
        <f t="shared" si="429"/>
        <v/>
      </c>
    </row>
    <row r="5507" spans="5:19" x14ac:dyDescent="0.3">
      <c r="E5507" s="9" t="str">
        <f>IF(DADOS!C5507="","",DADOS!C5507)</f>
        <v/>
      </c>
      <c r="F5507" s="9" t="str">
        <f>IF(DADOS!E5507="","",DADOS!E5507)</f>
        <v/>
      </c>
      <c r="G5507" s="9" t="str">
        <f>IF(DADOS!F5507="","",DADOS!F5507)</f>
        <v/>
      </c>
      <c r="K5507" s="6" t="str">
        <f t="shared" si="430"/>
        <v/>
      </c>
      <c r="L5507" s="7" t="str">
        <f t="shared" si="431"/>
        <v/>
      </c>
      <c r="M5507" s="7" t="str">
        <f t="shared" ref="M5507:M5570" si="433">IF(L5507="","",L5507*G5507)</f>
        <v/>
      </c>
      <c r="N5507" s="7" t="str">
        <f t="shared" si="432"/>
        <v/>
      </c>
      <c r="O5507" s="8"/>
      <c r="P5507" s="26"/>
      <c r="S5507" s="10" t="str">
        <f t="shared" ref="S5507:S5570" si="434">IF(R5507="","",SUMIFS($N$3:$N$10000,$E$3:$E$10000,R5507))</f>
        <v/>
      </c>
    </row>
    <row r="5508" spans="5:19" x14ac:dyDescent="0.3">
      <c r="E5508" s="9" t="str">
        <f>IF(DADOS!C5508="","",DADOS!C5508)</f>
        <v/>
      </c>
      <c r="F5508" s="9" t="str">
        <f>IF(DADOS!E5508="","",DADOS!E5508)</f>
        <v/>
      </c>
      <c r="G5508" s="9" t="str">
        <f>IF(DADOS!F5508="","",DADOS!F5508)</f>
        <v/>
      </c>
      <c r="K5508" s="6" t="str">
        <f t="shared" ref="K5508:K5571" si="435">IF(F5508="","",F5508/PI())</f>
        <v/>
      </c>
      <c r="L5508" s="7" t="str">
        <f t="shared" ref="L5508:L5571" si="436">IF(K5508="","",(PI()*K5508^2)/40000)</f>
        <v/>
      </c>
      <c r="M5508" s="7" t="str">
        <f t="shared" si="433"/>
        <v/>
      </c>
      <c r="N5508" s="7" t="str">
        <f t="shared" ref="N5508:N5571" si="437">IF(M5508="","",M5508*N$1)</f>
        <v/>
      </c>
      <c r="O5508" s="8"/>
      <c r="P5508" s="26"/>
      <c r="S5508" s="10" t="str">
        <f t="shared" si="434"/>
        <v/>
      </c>
    </row>
    <row r="5509" spans="5:19" x14ac:dyDescent="0.3">
      <c r="E5509" s="9" t="str">
        <f>IF(DADOS!C5509="","",DADOS!C5509)</f>
        <v/>
      </c>
      <c r="F5509" s="9" t="str">
        <f>IF(DADOS!E5509="","",DADOS!E5509)</f>
        <v/>
      </c>
      <c r="G5509" s="9" t="str">
        <f>IF(DADOS!F5509="","",DADOS!F5509)</f>
        <v/>
      </c>
      <c r="K5509" s="6" t="str">
        <f t="shared" si="435"/>
        <v/>
      </c>
      <c r="L5509" s="7" t="str">
        <f t="shared" si="436"/>
        <v/>
      </c>
      <c r="M5509" s="7" t="str">
        <f t="shared" si="433"/>
        <v/>
      </c>
      <c r="N5509" s="7" t="str">
        <f t="shared" si="437"/>
        <v/>
      </c>
      <c r="O5509" s="8"/>
      <c r="P5509" s="26"/>
      <c r="S5509" s="10" t="str">
        <f t="shared" si="434"/>
        <v/>
      </c>
    </row>
    <row r="5510" spans="5:19" x14ac:dyDescent="0.3">
      <c r="E5510" s="9" t="str">
        <f>IF(DADOS!C5510="","",DADOS!C5510)</f>
        <v/>
      </c>
      <c r="F5510" s="9" t="str">
        <f>IF(DADOS!E5510="","",DADOS!E5510)</f>
        <v/>
      </c>
      <c r="G5510" s="9" t="str">
        <f>IF(DADOS!F5510="","",DADOS!F5510)</f>
        <v/>
      </c>
      <c r="K5510" s="6" t="str">
        <f t="shared" si="435"/>
        <v/>
      </c>
      <c r="L5510" s="7" t="str">
        <f t="shared" si="436"/>
        <v/>
      </c>
      <c r="M5510" s="7" t="str">
        <f t="shared" si="433"/>
        <v/>
      </c>
      <c r="N5510" s="7" t="str">
        <f t="shared" si="437"/>
        <v/>
      </c>
      <c r="O5510" s="8"/>
      <c r="P5510" s="26"/>
      <c r="S5510" s="10" t="str">
        <f t="shared" si="434"/>
        <v/>
      </c>
    </row>
    <row r="5511" spans="5:19" x14ac:dyDescent="0.3">
      <c r="E5511" s="9" t="str">
        <f>IF(DADOS!C5511="","",DADOS!C5511)</f>
        <v/>
      </c>
      <c r="F5511" s="9" t="str">
        <f>IF(DADOS!E5511="","",DADOS!E5511)</f>
        <v/>
      </c>
      <c r="G5511" s="9" t="str">
        <f>IF(DADOS!F5511="","",DADOS!F5511)</f>
        <v/>
      </c>
      <c r="K5511" s="6" t="str">
        <f t="shared" si="435"/>
        <v/>
      </c>
      <c r="L5511" s="7" t="str">
        <f t="shared" si="436"/>
        <v/>
      </c>
      <c r="M5511" s="7" t="str">
        <f t="shared" si="433"/>
        <v/>
      </c>
      <c r="N5511" s="7" t="str">
        <f t="shared" si="437"/>
        <v/>
      </c>
      <c r="O5511" s="8"/>
      <c r="P5511" s="26"/>
      <c r="S5511" s="10" t="str">
        <f t="shared" si="434"/>
        <v/>
      </c>
    </row>
    <row r="5512" spans="5:19" x14ac:dyDescent="0.3">
      <c r="E5512" s="9" t="str">
        <f>IF(DADOS!C5512="","",DADOS!C5512)</f>
        <v/>
      </c>
      <c r="F5512" s="9" t="str">
        <f>IF(DADOS!E5512="","",DADOS!E5512)</f>
        <v/>
      </c>
      <c r="G5512" s="9" t="str">
        <f>IF(DADOS!F5512="","",DADOS!F5512)</f>
        <v/>
      </c>
      <c r="K5512" s="6" t="str">
        <f t="shared" si="435"/>
        <v/>
      </c>
      <c r="L5512" s="7" t="str">
        <f t="shared" si="436"/>
        <v/>
      </c>
      <c r="M5512" s="7" t="str">
        <f t="shared" si="433"/>
        <v/>
      </c>
      <c r="N5512" s="7" t="str">
        <f t="shared" si="437"/>
        <v/>
      </c>
      <c r="O5512" s="8"/>
      <c r="P5512" s="26"/>
      <c r="S5512" s="10" t="str">
        <f t="shared" si="434"/>
        <v/>
      </c>
    </row>
    <row r="5513" spans="5:19" x14ac:dyDescent="0.3">
      <c r="E5513" s="9" t="str">
        <f>IF(DADOS!C5513="","",DADOS!C5513)</f>
        <v/>
      </c>
      <c r="F5513" s="9" t="str">
        <f>IF(DADOS!E5513="","",DADOS!E5513)</f>
        <v/>
      </c>
      <c r="G5513" s="9" t="str">
        <f>IF(DADOS!F5513="","",DADOS!F5513)</f>
        <v/>
      </c>
      <c r="K5513" s="6" t="str">
        <f t="shared" si="435"/>
        <v/>
      </c>
      <c r="L5513" s="7" t="str">
        <f t="shared" si="436"/>
        <v/>
      </c>
      <c r="M5513" s="7" t="str">
        <f t="shared" si="433"/>
        <v/>
      </c>
      <c r="N5513" s="7" t="str">
        <f t="shared" si="437"/>
        <v/>
      </c>
      <c r="O5513" s="8"/>
      <c r="P5513" s="26"/>
      <c r="S5513" s="10" t="str">
        <f t="shared" si="434"/>
        <v/>
      </c>
    </row>
    <row r="5514" spans="5:19" x14ac:dyDescent="0.3">
      <c r="E5514" s="9" t="str">
        <f>IF(DADOS!C5514="","",DADOS!C5514)</f>
        <v/>
      </c>
      <c r="F5514" s="9" t="str">
        <f>IF(DADOS!E5514="","",DADOS!E5514)</f>
        <v/>
      </c>
      <c r="G5514" s="9" t="str">
        <f>IF(DADOS!F5514="","",DADOS!F5514)</f>
        <v/>
      </c>
      <c r="K5514" s="6" t="str">
        <f t="shared" si="435"/>
        <v/>
      </c>
      <c r="L5514" s="7" t="str">
        <f t="shared" si="436"/>
        <v/>
      </c>
      <c r="M5514" s="7" t="str">
        <f t="shared" si="433"/>
        <v/>
      </c>
      <c r="N5514" s="7" t="str">
        <f t="shared" si="437"/>
        <v/>
      </c>
      <c r="O5514" s="8"/>
      <c r="P5514" s="26"/>
      <c r="S5514" s="10" t="str">
        <f t="shared" si="434"/>
        <v/>
      </c>
    </row>
    <row r="5515" spans="5:19" x14ac:dyDescent="0.3">
      <c r="E5515" s="9" t="str">
        <f>IF(DADOS!C5515="","",DADOS!C5515)</f>
        <v/>
      </c>
      <c r="F5515" s="9" t="str">
        <f>IF(DADOS!E5515="","",DADOS!E5515)</f>
        <v/>
      </c>
      <c r="G5515" s="9" t="str">
        <f>IF(DADOS!F5515="","",DADOS!F5515)</f>
        <v/>
      </c>
      <c r="K5515" s="6" t="str">
        <f t="shared" si="435"/>
        <v/>
      </c>
      <c r="L5515" s="7" t="str">
        <f t="shared" si="436"/>
        <v/>
      </c>
      <c r="M5515" s="7" t="str">
        <f t="shared" si="433"/>
        <v/>
      </c>
      <c r="N5515" s="7" t="str">
        <f t="shared" si="437"/>
        <v/>
      </c>
      <c r="O5515" s="8"/>
      <c r="P5515" s="26"/>
      <c r="S5515" s="10" t="str">
        <f t="shared" si="434"/>
        <v/>
      </c>
    </row>
    <row r="5516" spans="5:19" x14ac:dyDescent="0.3">
      <c r="E5516" s="9" t="str">
        <f>IF(DADOS!C5516="","",DADOS!C5516)</f>
        <v/>
      </c>
      <c r="F5516" s="9" t="str">
        <f>IF(DADOS!E5516="","",DADOS!E5516)</f>
        <v/>
      </c>
      <c r="G5516" s="9" t="str">
        <f>IF(DADOS!F5516="","",DADOS!F5516)</f>
        <v/>
      </c>
      <c r="K5516" s="6" t="str">
        <f t="shared" si="435"/>
        <v/>
      </c>
      <c r="L5516" s="7" t="str">
        <f t="shared" si="436"/>
        <v/>
      </c>
      <c r="M5516" s="7" t="str">
        <f t="shared" si="433"/>
        <v/>
      </c>
      <c r="N5516" s="7" t="str">
        <f t="shared" si="437"/>
        <v/>
      </c>
      <c r="O5516" s="8"/>
      <c r="P5516" s="26"/>
      <c r="S5516" s="10" t="str">
        <f t="shared" si="434"/>
        <v/>
      </c>
    </row>
    <row r="5517" spans="5:19" x14ac:dyDescent="0.3">
      <c r="E5517" s="9" t="str">
        <f>IF(DADOS!C5517="","",DADOS!C5517)</f>
        <v/>
      </c>
      <c r="F5517" s="9" t="str">
        <f>IF(DADOS!E5517="","",DADOS!E5517)</f>
        <v/>
      </c>
      <c r="G5517" s="9" t="str">
        <f>IF(DADOS!F5517="","",DADOS!F5517)</f>
        <v/>
      </c>
      <c r="K5517" s="6" t="str">
        <f t="shared" si="435"/>
        <v/>
      </c>
      <c r="L5517" s="7" t="str">
        <f t="shared" si="436"/>
        <v/>
      </c>
      <c r="M5517" s="7" t="str">
        <f t="shared" si="433"/>
        <v/>
      </c>
      <c r="N5517" s="7" t="str">
        <f t="shared" si="437"/>
        <v/>
      </c>
      <c r="O5517" s="8"/>
      <c r="P5517" s="26"/>
      <c r="S5517" s="10" t="str">
        <f t="shared" si="434"/>
        <v/>
      </c>
    </row>
    <row r="5518" spans="5:19" x14ac:dyDescent="0.3">
      <c r="E5518" s="9" t="str">
        <f>IF(DADOS!C5518="","",DADOS!C5518)</f>
        <v/>
      </c>
      <c r="F5518" s="9" t="str">
        <f>IF(DADOS!E5518="","",DADOS!E5518)</f>
        <v/>
      </c>
      <c r="G5518" s="9" t="str">
        <f>IF(DADOS!F5518="","",DADOS!F5518)</f>
        <v/>
      </c>
      <c r="K5518" s="6" t="str">
        <f t="shared" si="435"/>
        <v/>
      </c>
      <c r="L5518" s="7" t="str">
        <f t="shared" si="436"/>
        <v/>
      </c>
      <c r="M5518" s="7" t="str">
        <f t="shared" si="433"/>
        <v/>
      </c>
      <c r="N5518" s="7" t="str">
        <f t="shared" si="437"/>
        <v/>
      </c>
      <c r="O5518" s="8"/>
      <c r="P5518" s="26"/>
      <c r="S5518" s="10" t="str">
        <f t="shared" si="434"/>
        <v/>
      </c>
    </row>
    <row r="5519" spans="5:19" x14ac:dyDescent="0.3">
      <c r="E5519" s="9" t="str">
        <f>IF(DADOS!C5519="","",DADOS!C5519)</f>
        <v/>
      </c>
      <c r="F5519" s="9" t="str">
        <f>IF(DADOS!E5519="","",DADOS!E5519)</f>
        <v/>
      </c>
      <c r="G5519" s="9" t="str">
        <f>IF(DADOS!F5519="","",DADOS!F5519)</f>
        <v/>
      </c>
      <c r="K5519" s="6" t="str">
        <f t="shared" si="435"/>
        <v/>
      </c>
      <c r="L5519" s="7" t="str">
        <f t="shared" si="436"/>
        <v/>
      </c>
      <c r="M5519" s="7" t="str">
        <f t="shared" si="433"/>
        <v/>
      </c>
      <c r="N5519" s="7" t="str">
        <f t="shared" si="437"/>
        <v/>
      </c>
      <c r="O5519" s="8"/>
      <c r="P5519" s="26"/>
      <c r="S5519" s="10" t="str">
        <f t="shared" si="434"/>
        <v/>
      </c>
    </row>
    <row r="5520" spans="5:19" x14ac:dyDescent="0.3">
      <c r="E5520" s="9" t="str">
        <f>IF(DADOS!C5520="","",DADOS!C5520)</f>
        <v/>
      </c>
      <c r="F5520" s="9" t="str">
        <f>IF(DADOS!E5520="","",DADOS!E5520)</f>
        <v/>
      </c>
      <c r="G5520" s="9" t="str">
        <f>IF(DADOS!F5520="","",DADOS!F5520)</f>
        <v/>
      </c>
      <c r="K5520" s="6" t="str">
        <f t="shared" si="435"/>
        <v/>
      </c>
      <c r="L5520" s="7" t="str">
        <f t="shared" si="436"/>
        <v/>
      </c>
      <c r="M5520" s="7" t="str">
        <f t="shared" si="433"/>
        <v/>
      </c>
      <c r="N5520" s="7" t="str">
        <f t="shared" si="437"/>
        <v/>
      </c>
      <c r="O5520" s="8"/>
      <c r="P5520" s="26"/>
      <c r="S5520" s="10" t="str">
        <f t="shared" si="434"/>
        <v/>
      </c>
    </row>
    <row r="5521" spans="5:19" x14ac:dyDescent="0.3">
      <c r="E5521" s="9" t="str">
        <f>IF(DADOS!C5521="","",DADOS!C5521)</f>
        <v/>
      </c>
      <c r="F5521" s="9" t="str">
        <f>IF(DADOS!E5521="","",DADOS!E5521)</f>
        <v/>
      </c>
      <c r="G5521" s="9" t="str">
        <f>IF(DADOS!F5521="","",DADOS!F5521)</f>
        <v/>
      </c>
      <c r="K5521" s="6" t="str">
        <f t="shared" si="435"/>
        <v/>
      </c>
      <c r="L5521" s="7" t="str">
        <f t="shared" si="436"/>
        <v/>
      </c>
      <c r="M5521" s="7" t="str">
        <f t="shared" si="433"/>
        <v/>
      </c>
      <c r="N5521" s="7" t="str">
        <f t="shared" si="437"/>
        <v/>
      </c>
      <c r="O5521" s="8"/>
      <c r="P5521" s="26"/>
      <c r="S5521" s="10" t="str">
        <f t="shared" si="434"/>
        <v/>
      </c>
    </row>
    <row r="5522" spans="5:19" x14ac:dyDescent="0.3">
      <c r="E5522" s="9" t="str">
        <f>IF(DADOS!C5522="","",DADOS!C5522)</f>
        <v/>
      </c>
      <c r="F5522" s="9" t="str">
        <f>IF(DADOS!E5522="","",DADOS!E5522)</f>
        <v/>
      </c>
      <c r="G5522" s="9" t="str">
        <f>IF(DADOS!F5522="","",DADOS!F5522)</f>
        <v/>
      </c>
      <c r="K5522" s="6" t="str">
        <f t="shared" si="435"/>
        <v/>
      </c>
      <c r="L5522" s="7" t="str">
        <f t="shared" si="436"/>
        <v/>
      </c>
      <c r="M5522" s="7" t="str">
        <f t="shared" si="433"/>
        <v/>
      </c>
      <c r="N5522" s="7" t="str">
        <f t="shared" si="437"/>
        <v/>
      </c>
      <c r="O5522" s="8"/>
      <c r="P5522" s="26"/>
      <c r="S5522" s="10" t="str">
        <f t="shared" si="434"/>
        <v/>
      </c>
    </row>
    <row r="5523" spans="5:19" x14ac:dyDescent="0.3">
      <c r="E5523" s="9" t="str">
        <f>IF(DADOS!C5523="","",DADOS!C5523)</f>
        <v/>
      </c>
      <c r="F5523" s="9" t="str">
        <f>IF(DADOS!E5523="","",DADOS!E5523)</f>
        <v/>
      </c>
      <c r="G5523" s="9" t="str">
        <f>IF(DADOS!F5523="","",DADOS!F5523)</f>
        <v/>
      </c>
      <c r="K5523" s="6" t="str">
        <f t="shared" si="435"/>
        <v/>
      </c>
      <c r="L5523" s="7" t="str">
        <f t="shared" si="436"/>
        <v/>
      </c>
      <c r="M5523" s="7" t="str">
        <f t="shared" si="433"/>
        <v/>
      </c>
      <c r="N5523" s="7" t="str">
        <f t="shared" si="437"/>
        <v/>
      </c>
      <c r="O5523" s="8"/>
      <c r="P5523" s="26"/>
      <c r="S5523" s="10" t="str">
        <f t="shared" si="434"/>
        <v/>
      </c>
    </row>
    <row r="5524" spans="5:19" x14ac:dyDescent="0.3">
      <c r="E5524" s="9" t="str">
        <f>IF(DADOS!C5524="","",DADOS!C5524)</f>
        <v/>
      </c>
      <c r="F5524" s="9" t="str">
        <f>IF(DADOS!E5524="","",DADOS!E5524)</f>
        <v/>
      </c>
      <c r="G5524" s="9" t="str">
        <f>IF(DADOS!F5524="","",DADOS!F5524)</f>
        <v/>
      </c>
      <c r="K5524" s="6" t="str">
        <f t="shared" si="435"/>
        <v/>
      </c>
      <c r="L5524" s="7" t="str">
        <f t="shared" si="436"/>
        <v/>
      </c>
      <c r="M5524" s="7" t="str">
        <f t="shared" si="433"/>
        <v/>
      </c>
      <c r="N5524" s="7" t="str">
        <f t="shared" si="437"/>
        <v/>
      </c>
      <c r="O5524" s="8"/>
      <c r="P5524" s="26"/>
      <c r="S5524" s="10" t="str">
        <f t="shared" si="434"/>
        <v/>
      </c>
    </row>
    <row r="5525" spans="5:19" x14ac:dyDescent="0.3">
      <c r="E5525" s="9" t="str">
        <f>IF(DADOS!C5525="","",DADOS!C5525)</f>
        <v/>
      </c>
      <c r="F5525" s="9" t="str">
        <f>IF(DADOS!E5525="","",DADOS!E5525)</f>
        <v/>
      </c>
      <c r="G5525" s="9" t="str">
        <f>IF(DADOS!F5525="","",DADOS!F5525)</f>
        <v/>
      </c>
      <c r="K5525" s="6" t="str">
        <f t="shared" si="435"/>
        <v/>
      </c>
      <c r="L5525" s="7" t="str">
        <f t="shared" si="436"/>
        <v/>
      </c>
      <c r="M5525" s="7" t="str">
        <f t="shared" si="433"/>
        <v/>
      </c>
      <c r="N5525" s="7" t="str">
        <f t="shared" si="437"/>
        <v/>
      </c>
      <c r="O5525" s="8"/>
      <c r="P5525" s="26"/>
      <c r="S5525" s="10" t="str">
        <f t="shared" si="434"/>
        <v/>
      </c>
    </row>
    <row r="5526" spans="5:19" x14ac:dyDescent="0.3">
      <c r="E5526" s="9" t="str">
        <f>IF(DADOS!C5526="","",DADOS!C5526)</f>
        <v/>
      </c>
      <c r="F5526" s="9" t="str">
        <f>IF(DADOS!E5526="","",DADOS!E5526)</f>
        <v/>
      </c>
      <c r="G5526" s="9" t="str">
        <f>IF(DADOS!F5526="","",DADOS!F5526)</f>
        <v/>
      </c>
      <c r="K5526" s="6" t="str">
        <f t="shared" si="435"/>
        <v/>
      </c>
      <c r="L5526" s="7" t="str">
        <f t="shared" si="436"/>
        <v/>
      </c>
      <c r="M5526" s="7" t="str">
        <f t="shared" si="433"/>
        <v/>
      </c>
      <c r="N5526" s="7" t="str">
        <f t="shared" si="437"/>
        <v/>
      </c>
      <c r="O5526" s="8"/>
      <c r="P5526" s="26"/>
      <c r="S5526" s="10" t="str">
        <f t="shared" si="434"/>
        <v/>
      </c>
    </row>
    <row r="5527" spans="5:19" x14ac:dyDescent="0.3">
      <c r="E5527" s="9" t="str">
        <f>IF(DADOS!C5527="","",DADOS!C5527)</f>
        <v/>
      </c>
      <c r="F5527" s="9" t="str">
        <f>IF(DADOS!E5527="","",DADOS!E5527)</f>
        <v/>
      </c>
      <c r="G5527" s="9" t="str">
        <f>IF(DADOS!F5527="","",DADOS!F5527)</f>
        <v/>
      </c>
      <c r="K5527" s="6" t="str">
        <f t="shared" si="435"/>
        <v/>
      </c>
      <c r="L5527" s="7" t="str">
        <f t="shared" si="436"/>
        <v/>
      </c>
      <c r="M5527" s="7" t="str">
        <f t="shared" si="433"/>
        <v/>
      </c>
      <c r="N5527" s="7" t="str">
        <f t="shared" si="437"/>
        <v/>
      </c>
      <c r="O5527" s="8"/>
      <c r="P5527" s="26"/>
      <c r="S5527" s="10" t="str">
        <f t="shared" si="434"/>
        <v/>
      </c>
    </row>
    <row r="5528" spans="5:19" x14ac:dyDescent="0.3">
      <c r="E5528" s="9" t="str">
        <f>IF(DADOS!C5528="","",DADOS!C5528)</f>
        <v/>
      </c>
      <c r="F5528" s="9" t="str">
        <f>IF(DADOS!E5528="","",DADOS!E5528)</f>
        <v/>
      </c>
      <c r="G5528" s="9" t="str">
        <f>IF(DADOS!F5528="","",DADOS!F5528)</f>
        <v/>
      </c>
      <c r="K5528" s="6" t="str">
        <f t="shared" si="435"/>
        <v/>
      </c>
      <c r="L5528" s="7" t="str">
        <f t="shared" si="436"/>
        <v/>
      </c>
      <c r="M5528" s="7" t="str">
        <f t="shared" si="433"/>
        <v/>
      </c>
      <c r="N5528" s="7" t="str">
        <f t="shared" si="437"/>
        <v/>
      </c>
      <c r="O5528" s="8"/>
      <c r="P5528" s="26"/>
      <c r="S5528" s="10" t="str">
        <f t="shared" si="434"/>
        <v/>
      </c>
    </row>
    <row r="5529" spans="5:19" x14ac:dyDescent="0.3">
      <c r="E5529" s="9" t="str">
        <f>IF(DADOS!C5529="","",DADOS!C5529)</f>
        <v/>
      </c>
      <c r="F5529" s="9" t="str">
        <f>IF(DADOS!E5529="","",DADOS!E5529)</f>
        <v/>
      </c>
      <c r="G5529" s="9" t="str">
        <f>IF(DADOS!F5529="","",DADOS!F5529)</f>
        <v/>
      </c>
      <c r="K5529" s="6" t="str">
        <f t="shared" si="435"/>
        <v/>
      </c>
      <c r="L5529" s="7" t="str">
        <f t="shared" si="436"/>
        <v/>
      </c>
      <c r="M5529" s="7" t="str">
        <f t="shared" si="433"/>
        <v/>
      </c>
      <c r="N5529" s="7" t="str">
        <f t="shared" si="437"/>
        <v/>
      </c>
      <c r="O5529" s="8"/>
      <c r="P5529" s="26"/>
      <c r="S5529" s="10" t="str">
        <f t="shared" si="434"/>
        <v/>
      </c>
    </row>
    <row r="5530" spans="5:19" x14ac:dyDescent="0.3">
      <c r="E5530" s="9" t="str">
        <f>IF(DADOS!C5530="","",DADOS!C5530)</f>
        <v/>
      </c>
      <c r="F5530" s="9" t="str">
        <f>IF(DADOS!E5530="","",DADOS!E5530)</f>
        <v/>
      </c>
      <c r="G5530" s="9" t="str">
        <f>IF(DADOS!F5530="","",DADOS!F5530)</f>
        <v/>
      </c>
      <c r="K5530" s="6" t="str">
        <f t="shared" si="435"/>
        <v/>
      </c>
      <c r="L5530" s="7" t="str">
        <f t="shared" si="436"/>
        <v/>
      </c>
      <c r="M5530" s="7" t="str">
        <f t="shared" si="433"/>
        <v/>
      </c>
      <c r="N5530" s="7" t="str">
        <f t="shared" si="437"/>
        <v/>
      </c>
      <c r="O5530" s="8"/>
      <c r="P5530" s="26"/>
      <c r="S5530" s="10" t="str">
        <f t="shared" si="434"/>
        <v/>
      </c>
    </row>
    <row r="5531" spans="5:19" x14ac:dyDescent="0.3">
      <c r="E5531" s="9" t="str">
        <f>IF(DADOS!C5531="","",DADOS!C5531)</f>
        <v/>
      </c>
      <c r="F5531" s="9" t="str">
        <f>IF(DADOS!E5531="","",DADOS!E5531)</f>
        <v/>
      </c>
      <c r="G5531" s="9" t="str">
        <f>IF(DADOS!F5531="","",DADOS!F5531)</f>
        <v/>
      </c>
      <c r="K5531" s="6" t="str">
        <f t="shared" si="435"/>
        <v/>
      </c>
      <c r="L5531" s="7" t="str">
        <f t="shared" si="436"/>
        <v/>
      </c>
      <c r="M5531" s="7" t="str">
        <f t="shared" si="433"/>
        <v/>
      </c>
      <c r="N5531" s="7" t="str">
        <f t="shared" si="437"/>
        <v/>
      </c>
      <c r="O5531" s="8"/>
      <c r="P5531" s="26"/>
      <c r="S5531" s="10" t="str">
        <f t="shared" si="434"/>
        <v/>
      </c>
    </row>
    <row r="5532" spans="5:19" x14ac:dyDescent="0.3">
      <c r="E5532" s="9" t="str">
        <f>IF(DADOS!C5532="","",DADOS!C5532)</f>
        <v/>
      </c>
      <c r="F5532" s="9" t="str">
        <f>IF(DADOS!E5532="","",DADOS!E5532)</f>
        <v/>
      </c>
      <c r="G5532" s="9" t="str">
        <f>IF(DADOS!F5532="","",DADOS!F5532)</f>
        <v/>
      </c>
      <c r="K5532" s="6" t="str">
        <f t="shared" si="435"/>
        <v/>
      </c>
      <c r="L5532" s="7" t="str">
        <f t="shared" si="436"/>
        <v/>
      </c>
      <c r="M5532" s="7" t="str">
        <f t="shared" si="433"/>
        <v/>
      </c>
      <c r="N5532" s="7" t="str">
        <f t="shared" si="437"/>
        <v/>
      </c>
      <c r="O5532" s="8"/>
      <c r="P5532" s="26"/>
      <c r="S5532" s="10" t="str">
        <f t="shared" si="434"/>
        <v/>
      </c>
    </row>
    <row r="5533" spans="5:19" x14ac:dyDescent="0.3">
      <c r="E5533" s="9" t="str">
        <f>IF(DADOS!C5533="","",DADOS!C5533)</f>
        <v/>
      </c>
      <c r="F5533" s="9" t="str">
        <f>IF(DADOS!E5533="","",DADOS!E5533)</f>
        <v/>
      </c>
      <c r="G5533" s="9" t="str">
        <f>IF(DADOS!F5533="","",DADOS!F5533)</f>
        <v/>
      </c>
      <c r="K5533" s="6" t="str">
        <f t="shared" si="435"/>
        <v/>
      </c>
      <c r="L5533" s="7" t="str">
        <f t="shared" si="436"/>
        <v/>
      </c>
      <c r="M5533" s="7" t="str">
        <f t="shared" si="433"/>
        <v/>
      </c>
      <c r="N5533" s="7" t="str">
        <f t="shared" si="437"/>
        <v/>
      </c>
      <c r="O5533" s="8"/>
      <c r="P5533" s="26"/>
      <c r="S5533" s="10" t="str">
        <f t="shared" si="434"/>
        <v/>
      </c>
    </row>
    <row r="5534" spans="5:19" x14ac:dyDescent="0.3">
      <c r="E5534" s="9" t="str">
        <f>IF(DADOS!C5534="","",DADOS!C5534)</f>
        <v/>
      </c>
      <c r="F5534" s="9" t="str">
        <f>IF(DADOS!E5534="","",DADOS!E5534)</f>
        <v/>
      </c>
      <c r="G5534" s="9" t="str">
        <f>IF(DADOS!F5534="","",DADOS!F5534)</f>
        <v/>
      </c>
      <c r="K5534" s="6" t="str">
        <f t="shared" si="435"/>
        <v/>
      </c>
      <c r="L5534" s="7" t="str">
        <f t="shared" si="436"/>
        <v/>
      </c>
      <c r="M5534" s="7" t="str">
        <f t="shared" si="433"/>
        <v/>
      </c>
      <c r="N5534" s="7" t="str">
        <f t="shared" si="437"/>
        <v/>
      </c>
      <c r="O5534" s="8"/>
      <c r="P5534" s="26"/>
      <c r="S5534" s="10" t="str">
        <f t="shared" si="434"/>
        <v/>
      </c>
    </row>
    <row r="5535" spans="5:19" x14ac:dyDescent="0.3">
      <c r="E5535" s="9" t="str">
        <f>IF(DADOS!C5535="","",DADOS!C5535)</f>
        <v/>
      </c>
      <c r="F5535" s="9" t="str">
        <f>IF(DADOS!E5535="","",DADOS!E5535)</f>
        <v/>
      </c>
      <c r="G5535" s="9" t="str">
        <f>IF(DADOS!F5535="","",DADOS!F5535)</f>
        <v/>
      </c>
      <c r="K5535" s="6" t="str">
        <f t="shared" si="435"/>
        <v/>
      </c>
      <c r="L5535" s="7" t="str">
        <f t="shared" si="436"/>
        <v/>
      </c>
      <c r="M5535" s="7" t="str">
        <f t="shared" si="433"/>
        <v/>
      </c>
      <c r="N5535" s="7" t="str">
        <f t="shared" si="437"/>
        <v/>
      </c>
      <c r="O5535" s="8"/>
      <c r="P5535" s="26"/>
      <c r="S5535" s="10" t="str">
        <f t="shared" si="434"/>
        <v/>
      </c>
    </row>
    <row r="5536" spans="5:19" x14ac:dyDescent="0.3">
      <c r="E5536" s="9" t="str">
        <f>IF(DADOS!C5536="","",DADOS!C5536)</f>
        <v/>
      </c>
      <c r="F5536" s="9" t="str">
        <f>IF(DADOS!E5536="","",DADOS!E5536)</f>
        <v/>
      </c>
      <c r="G5536" s="9" t="str">
        <f>IF(DADOS!F5536="","",DADOS!F5536)</f>
        <v/>
      </c>
      <c r="K5536" s="6" t="str">
        <f t="shared" si="435"/>
        <v/>
      </c>
      <c r="L5536" s="7" t="str">
        <f t="shared" si="436"/>
        <v/>
      </c>
      <c r="M5536" s="7" t="str">
        <f t="shared" si="433"/>
        <v/>
      </c>
      <c r="N5536" s="7" t="str">
        <f t="shared" si="437"/>
        <v/>
      </c>
      <c r="O5536" s="8"/>
      <c r="P5536" s="26"/>
      <c r="S5536" s="10" t="str">
        <f t="shared" si="434"/>
        <v/>
      </c>
    </row>
    <row r="5537" spans="5:19" x14ac:dyDescent="0.3">
      <c r="E5537" s="9" t="str">
        <f>IF(DADOS!C5537="","",DADOS!C5537)</f>
        <v/>
      </c>
      <c r="F5537" s="9" t="str">
        <f>IF(DADOS!E5537="","",DADOS!E5537)</f>
        <v/>
      </c>
      <c r="G5537" s="9" t="str">
        <f>IF(DADOS!F5537="","",DADOS!F5537)</f>
        <v/>
      </c>
      <c r="K5537" s="6" t="str">
        <f t="shared" si="435"/>
        <v/>
      </c>
      <c r="L5537" s="7" t="str">
        <f t="shared" si="436"/>
        <v/>
      </c>
      <c r="M5537" s="7" t="str">
        <f t="shared" si="433"/>
        <v/>
      </c>
      <c r="N5537" s="7" t="str">
        <f t="shared" si="437"/>
        <v/>
      </c>
      <c r="O5537" s="8"/>
      <c r="P5537" s="26"/>
      <c r="S5537" s="10" t="str">
        <f t="shared" si="434"/>
        <v/>
      </c>
    </row>
    <row r="5538" spans="5:19" x14ac:dyDescent="0.3">
      <c r="E5538" s="9" t="str">
        <f>IF(DADOS!C5538="","",DADOS!C5538)</f>
        <v/>
      </c>
      <c r="F5538" s="9" t="str">
        <f>IF(DADOS!E5538="","",DADOS!E5538)</f>
        <v/>
      </c>
      <c r="G5538" s="9" t="str">
        <f>IF(DADOS!F5538="","",DADOS!F5538)</f>
        <v/>
      </c>
      <c r="K5538" s="6" t="str">
        <f t="shared" si="435"/>
        <v/>
      </c>
      <c r="L5538" s="7" t="str">
        <f t="shared" si="436"/>
        <v/>
      </c>
      <c r="M5538" s="7" t="str">
        <f t="shared" si="433"/>
        <v/>
      </c>
      <c r="N5538" s="7" t="str">
        <f t="shared" si="437"/>
        <v/>
      </c>
      <c r="O5538" s="8"/>
      <c r="P5538" s="26"/>
      <c r="S5538" s="10" t="str">
        <f t="shared" si="434"/>
        <v/>
      </c>
    </row>
    <row r="5539" spans="5:19" x14ac:dyDescent="0.3">
      <c r="E5539" s="9" t="str">
        <f>IF(DADOS!C5539="","",DADOS!C5539)</f>
        <v/>
      </c>
      <c r="F5539" s="9" t="str">
        <f>IF(DADOS!E5539="","",DADOS!E5539)</f>
        <v/>
      </c>
      <c r="G5539" s="9" t="str">
        <f>IF(DADOS!F5539="","",DADOS!F5539)</f>
        <v/>
      </c>
      <c r="K5539" s="6" t="str">
        <f t="shared" si="435"/>
        <v/>
      </c>
      <c r="L5539" s="7" t="str">
        <f t="shared" si="436"/>
        <v/>
      </c>
      <c r="M5539" s="7" t="str">
        <f t="shared" si="433"/>
        <v/>
      </c>
      <c r="N5539" s="7" t="str">
        <f t="shared" si="437"/>
        <v/>
      </c>
      <c r="O5539" s="8"/>
      <c r="P5539" s="26"/>
      <c r="S5539" s="10" t="str">
        <f t="shared" si="434"/>
        <v/>
      </c>
    </row>
    <row r="5540" spans="5:19" x14ac:dyDescent="0.3">
      <c r="E5540" s="9" t="str">
        <f>IF(DADOS!C5540="","",DADOS!C5540)</f>
        <v/>
      </c>
      <c r="F5540" s="9" t="str">
        <f>IF(DADOS!E5540="","",DADOS!E5540)</f>
        <v/>
      </c>
      <c r="G5540" s="9" t="str">
        <f>IF(DADOS!F5540="","",DADOS!F5540)</f>
        <v/>
      </c>
      <c r="K5540" s="6" t="str">
        <f t="shared" si="435"/>
        <v/>
      </c>
      <c r="L5540" s="7" t="str">
        <f t="shared" si="436"/>
        <v/>
      </c>
      <c r="M5540" s="7" t="str">
        <f t="shared" si="433"/>
        <v/>
      </c>
      <c r="N5540" s="7" t="str">
        <f t="shared" si="437"/>
        <v/>
      </c>
      <c r="O5540" s="8"/>
      <c r="P5540" s="26"/>
      <c r="S5540" s="10" t="str">
        <f t="shared" si="434"/>
        <v/>
      </c>
    </row>
    <row r="5541" spans="5:19" x14ac:dyDescent="0.3">
      <c r="E5541" s="9" t="str">
        <f>IF(DADOS!C5541="","",DADOS!C5541)</f>
        <v/>
      </c>
      <c r="F5541" s="9" t="str">
        <f>IF(DADOS!E5541="","",DADOS!E5541)</f>
        <v/>
      </c>
      <c r="G5541" s="9" t="str">
        <f>IF(DADOS!F5541="","",DADOS!F5541)</f>
        <v/>
      </c>
      <c r="K5541" s="6" t="str">
        <f t="shared" si="435"/>
        <v/>
      </c>
      <c r="L5541" s="7" t="str">
        <f t="shared" si="436"/>
        <v/>
      </c>
      <c r="M5541" s="7" t="str">
        <f t="shared" si="433"/>
        <v/>
      </c>
      <c r="N5541" s="7" t="str">
        <f t="shared" si="437"/>
        <v/>
      </c>
      <c r="O5541" s="8"/>
      <c r="P5541" s="26"/>
      <c r="S5541" s="10" t="str">
        <f t="shared" si="434"/>
        <v/>
      </c>
    </row>
    <row r="5542" spans="5:19" x14ac:dyDescent="0.3">
      <c r="E5542" s="9" t="str">
        <f>IF(DADOS!C5542="","",DADOS!C5542)</f>
        <v/>
      </c>
      <c r="F5542" s="9" t="str">
        <f>IF(DADOS!E5542="","",DADOS!E5542)</f>
        <v/>
      </c>
      <c r="G5542" s="9" t="str">
        <f>IF(DADOS!F5542="","",DADOS!F5542)</f>
        <v/>
      </c>
      <c r="K5542" s="6" t="str">
        <f t="shared" si="435"/>
        <v/>
      </c>
      <c r="L5542" s="7" t="str">
        <f t="shared" si="436"/>
        <v/>
      </c>
      <c r="M5542" s="7" t="str">
        <f t="shared" si="433"/>
        <v/>
      </c>
      <c r="N5542" s="7" t="str">
        <f t="shared" si="437"/>
        <v/>
      </c>
      <c r="O5542" s="8"/>
      <c r="P5542" s="26"/>
      <c r="S5542" s="10" t="str">
        <f t="shared" si="434"/>
        <v/>
      </c>
    </row>
    <row r="5543" spans="5:19" x14ac:dyDescent="0.3">
      <c r="E5543" s="9" t="str">
        <f>IF(DADOS!C5543="","",DADOS!C5543)</f>
        <v/>
      </c>
      <c r="F5543" s="9" t="str">
        <f>IF(DADOS!E5543="","",DADOS!E5543)</f>
        <v/>
      </c>
      <c r="G5543" s="9" t="str">
        <f>IF(DADOS!F5543="","",DADOS!F5543)</f>
        <v/>
      </c>
      <c r="K5543" s="6" t="str">
        <f t="shared" si="435"/>
        <v/>
      </c>
      <c r="L5543" s="7" t="str">
        <f t="shared" si="436"/>
        <v/>
      </c>
      <c r="M5543" s="7" t="str">
        <f t="shared" si="433"/>
        <v/>
      </c>
      <c r="N5543" s="7" t="str">
        <f t="shared" si="437"/>
        <v/>
      </c>
      <c r="O5543" s="8"/>
      <c r="P5543" s="26"/>
      <c r="S5543" s="10" t="str">
        <f t="shared" si="434"/>
        <v/>
      </c>
    </row>
    <row r="5544" spans="5:19" x14ac:dyDescent="0.3">
      <c r="E5544" s="9" t="str">
        <f>IF(DADOS!C5544="","",DADOS!C5544)</f>
        <v/>
      </c>
      <c r="F5544" s="9" t="str">
        <f>IF(DADOS!E5544="","",DADOS!E5544)</f>
        <v/>
      </c>
      <c r="G5544" s="9" t="str">
        <f>IF(DADOS!F5544="","",DADOS!F5544)</f>
        <v/>
      </c>
      <c r="K5544" s="6" t="str">
        <f t="shared" si="435"/>
        <v/>
      </c>
      <c r="L5544" s="7" t="str">
        <f t="shared" si="436"/>
        <v/>
      </c>
      <c r="M5544" s="7" t="str">
        <f t="shared" si="433"/>
        <v/>
      </c>
      <c r="N5544" s="7" t="str">
        <f t="shared" si="437"/>
        <v/>
      </c>
      <c r="O5544" s="8"/>
      <c r="P5544" s="26"/>
      <c r="S5544" s="10" t="str">
        <f t="shared" si="434"/>
        <v/>
      </c>
    </row>
    <row r="5545" spans="5:19" x14ac:dyDescent="0.3">
      <c r="E5545" s="9" t="str">
        <f>IF(DADOS!C5545="","",DADOS!C5545)</f>
        <v/>
      </c>
      <c r="F5545" s="9" t="str">
        <f>IF(DADOS!E5545="","",DADOS!E5545)</f>
        <v/>
      </c>
      <c r="G5545" s="9" t="str">
        <f>IF(DADOS!F5545="","",DADOS!F5545)</f>
        <v/>
      </c>
      <c r="K5545" s="6" t="str">
        <f t="shared" si="435"/>
        <v/>
      </c>
      <c r="L5545" s="7" t="str">
        <f t="shared" si="436"/>
        <v/>
      </c>
      <c r="M5545" s="7" t="str">
        <f t="shared" si="433"/>
        <v/>
      </c>
      <c r="N5545" s="7" t="str">
        <f t="shared" si="437"/>
        <v/>
      </c>
      <c r="O5545" s="8"/>
      <c r="P5545" s="26"/>
      <c r="S5545" s="10" t="str">
        <f t="shared" si="434"/>
        <v/>
      </c>
    </row>
    <row r="5546" spans="5:19" x14ac:dyDescent="0.3">
      <c r="E5546" s="9" t="str">
        <f>IF(DADOS!C5546="","",DADOS!C5546)</f>
        <v/>
      </c>
      <c r="F5546" s="9" t="str">
        <f>IF(DADOS!E5546="","",DADOS!E5546)</f>
        <v/>
      </c>
      <c r="G5546" s="9" t="str">
        <f>IF(DADOS!F5546="","",DADOS!F5546)</f>
        <v/>
      </c>
      <c r="K5546" s="6" t="str">
        <f t="shared" si="435"/>
        <v/>
      </c>
      <c r="L5546" s="7" t="str">
        <f t="shared" si="436"/>
        <v/>
      </c>
      <c r="M5546" s="7" t="str">
        <f t="shared" si="433"/>
        <v/>
      </c>
      <c r="N5546" s="7" t="str">
        <f t="shared" si="437"/>
        <v/>
      </c>
      <c r="O5546" s="8"/>
      <c r="P5546" s="26"/>
      <c r="S5546" s="10" t="str">
        <f t="shared" si="434"/>
        <v/>
      </c>
    </row>
    <row r="5547" spans="5:19" x14ac:dyDescent="0.3">
      <c r="E5547" s="9" t="str">
        <f>IF(DADOS!C5547="","",DADOS!C5547)</f>
        <v/>
      </c>
      <c r="F5547" s="9" t="str">
        <f>IF(DADOS!E5547="","",DADOS!E5547)</f>
        <v/>
      </c>
      <c r="G5547" s="9" t="str">
        <f>IF(DADOS!F5547="","",DADOS!F5547)</f>
        <v/>
      </c>
      <c r="K5547" s="6" t="str">
        <f t="shared" si="435"/>
        <v/>
      </c>
      <c r="L5547" s="7" t="str">
        <f t="shared" si="436"/>
        <v/>
      </c>
      <c r="M5547" s="7" t="str">
        <f t="shared" si="433"/>
        <v/>
      </c>
      <c r="N5547" s="7" t="str">
        <f t="shared" si="437"/>
        <v/>
      </c>
      <c r="O5547" s="8"/>
      <c r="P5547" s="26"/>
      <c r="S5547" s="10" t="str">
        <f t="shared" si="434"/>
        <v/>
      </c>
    </row>
    <row r="5548" spans="5:19" x14ac:dyDescent="0.3">
      <c r="E5548" s="9" t="str">
        <f>IF(DADOS!C5548="","",DADOS!C5548)</f>
        <v/>
      </c>
      <c r="F5548" s="9" t="str">
        <f>IF(DADOS!E5548="","",DADOS!E5548)</f>
        <v/>
      </c>
      <c r="G5548" s="9" t="str">
        <f>IF(DADOS!F5548="","",DADOS!F5548)</f>
        <v/>
      </c>
      <c r="K5548" s="6" t="str">
        <f t="shared" si="435"/>
        <v/>
      </c>
      <c r="L5548" s="7" t="str">
        <f t="shared" si="436"/>
        <v/>
      </c>
      <c r="M5548" s="7" t="str">
        <f t="shared" si="433"/>
        <v/>
      </c>
      <c r="N5548" s="7" t="str">
        <f t="shared" si="437"/>
        <v/>
      </c>
      <c r="O5548" s="8"/>
      <c r="P5548" s="26"/>
      <c r="S5548" s="10" t="str">
        <f t="shared" si="434"/>
        <v/>
      </c>
    </row>
    <row r="5549" spans="5:19" x14ac:dyDescent="0.3">
      <c r="E5549" s="9" t="str">
        <f>IF(DADOS!C5549="","",DADOS!C5549)</f>
        <v/>
      </c>
      <c r="F5549" s="9" t="str">
        <f>IF(DADOS!E5549="","",DADOS!E5549)</f>
        <v/>
      </c>
      <c r="G5549" s="9" t="str">
        <f>IF(DADOS!F5549="","",DADOS!F5549)</f>
        <v/>
      </c>
      <c r="K5549" s="6" t="str">
        <f t="shared" si="435"/>
        <v/>
      </c>
      <c r="L5549" s="7" t="str">
        <f t="shared" si="436"/>
        <v/>
      </c>
      <c r="M5549" s="7" t="str">
        <f t="shared" si="433"/>
        <v/>
      </c>
      <c r="N5549" s="7" t="str">
        <f t="shared" si="437"/>
        <v/>
      </c>
      <c r="O5549" s="8"/>
      <c r="P5549" s="26"/>
      <c r="S5549" s="10" t="str">
        <f t="shared" si="434"/>
        <v/>
      </c>
    </row>
    <row r="5550" spans="5:19" x14ac:dyDescent="0.3">
      <c r="E5550" s="9" t="str">
        <f>IF(DADOS!C5550="","",DADOS!C5550)</f>
        <v/>
      </c>
      <c r="F5550" s="9" t="str">
        <f>IF(DADOS!E5550="","",DADOS!E5550)</f>
        <v/>
      </c>
      <c r="G5550" s="9" t="str">
        <f>IF(DADOS!F5550="","",DADOS!F5550)</f>
        <v/>
      </c>
      <c r="K5550" s="6" t="str">
        <f t="shared" si="435"/>
        <v/>
      </c>
      <c r="L5550" s="7" t="str">
        <f t="shared" si="436"/>
        <v/>
      </c>
      <c r="M5550" s="7" t="str">
        <f t="shared" si="433"/>
        <v/>
      </c>
      <c r="N5550" s="7" t="str">
        <f t="shared" si="437"/>
        <v/>
      </c>
      <c r="O5550" s="8"/>
      <c r="P5550" s="26"/>
      <c r="S5550" s="10" t="str">
        <f t="shared" si="434"/>
        <v/>
      </c>
    </row>
    <row r="5551" spans="5:19" x14ac:dyDescent="0.3">
      <c r="E5551" s="9" t="str">
        <f>IF(DADOS!C5551="","",DADOS!C5551)</f>
        <v/>
      </c>
      <c r="F5551" s="9" t="str">
        <f>IF(DADOS!E5551="","",DADOS!E5551)</f>
        <v/>
      </c>
      <c r="G5551" s="9" t="str">
        <f>IF(DADOS!F5551="","",DADOS!F5551)</f>
        <v/>
      </c>
      <c r="K5551" s="6" t="str">
        <f t="shared" si="435"/>
        <v/>
      </c>
      <c r="L5551" s="7" t="str">
        <f t="shared" si="436"/>
        <v/>
      </c>
      <c r="M5551" s="7" t="str">
        <f t="shared" si="433"/>
        <v/>
      </c>
      <c r="N5551" s="7" t="str">
        <f t="shared" si="437"/>
        <v/>
      </c>
      <c r="O5551" s="8"/>
      <c r="P5551" s="26"/>
      <c r="S5551" s="10" t="str">
        <f t="shared" si="434"/>
        <v/>
      </c>
    </row>
    <row r="5552" spans="5:19" x14ac:dyDescent="0.3">
      <c r="E5552" s="9" t="str">
        <f>IF(DADOS!C5552="","",DADOS!C5552)</f>
        <v/>
      </c>
      <c r="F5552" s="9" t="str">
        <f>IF(DADOS!E5552="","",DADOS!E5552)</f>
        <v/>
      </c>
      <c r="G5552" s="9" t="str">
        <f>IF(DADOS!F5552="","",DADOS!F5552)</f>
        <v/>
      </c>
      <c r="K5552" s="6" t="str">
        <f t="shared" si="435"/>
        <v/>
      </c>
      <c r="L5552" s="7" t="str">
        <f t="shared" si="436"/>
        <v/>
      </c>
      <c r="M5552" s="7" t="str">
        <f t="shared" si="433"/>
        <v/>
      </c>
      <c r="N5552" s="7" t="str">
        <f t="shared" si="437"/>
        <v/>
      </c>
      <c r="O5552" s="8"/>
      <c r="P5552" s="26"/>
      <c r="S5552" s="10" t="str">
        <f t="shared" si="434"/>
        <v/>
      </c>
    </row>
    <row r="5553" spans="5:19" x14ac:dyDescent="0.3">
      <c r="E5553" s="9" t="str">
        <f>IF(DADOS!C5553="","",DADOS!C5553)</f>
        <v/>
      </c>
      <c r="F5553" s="9" t="str">
        <f>IF(DADOS!E5553="","",DADOS!E5553)</f>
        <v/>
      </c>
      <c r="G5553" s="9" t="str">
        <f>IF(DADOS!F5553="","",DADOS!F5553)</f>
        <v/>
      </c>
      <c r="K5553" s="6" t="str">
        <f t="shared" si="435"/>
        <v/>
      </c>
      <c r="L5553" s="7" t="str">
        <f t="shared" si="436"/>
        <v/>
      </c>
      <c r="M5553" s="7" t="str">
        <f t="shared" si="433"/>
        <v/>
      </c>
      <c r="N5553" s="7" t="str">
        <f t="shared" si="437"/>
        <v/>
      </c>
      <c r="O5553" s="8"/>
      <c r="P5553" s="26"/>
      <c r="S5553" s="10" t="str">
        <f t="shared" si="434"/>
        <v/>
      </c>
    </row>
    <row r="5554" spans="5:19" x14ac:dyDescent="0.3">
      <c r="E5554" s="9" t="str">
        <f>IF(DADOS!C5554="","",DADOS!C5554)</f>
        <v/>
      </c>
      <c r="F5554" s="9" t="str">
        <f>IF(DADOS!E5554="","",DADOS!E5554)</f>
        <v/>
      </c>
      <c r="G5554" s="9" t="str">
        <f>IF(DADOS!F5554="","",DADOS!F5554)</f>
        <v/>
      </c>
      <c r="K5554" s="6" t="str">
        <f t="shared" si="435"/>
        <v/>
      </c>
      <c r="L5554" s="7" t="str">
        <f t="shared" si="436"/>
        <v/>
      </c>
      <c r="M5554" s="7" t="str">
        <f t="shared" si="433"/>
        <v/>
      </c>
      <c r="N5554" s="7" t="str">
        <f t="shared" si="437"/>
        <v/>
      </c>
      <c r="O5554" s="8"/>
      <c r="P5554" s="26"/>
      <c r="S5554" s="10" t="str">
        <f t="shared" si="434"/>
        <v/>
      </c>
    </row>
    <row r="5555" spans="5:19" x14ac:dyDescent="0.3">
      <c r="E5555" s="9" t="str">
        <f>IF(DADOS!C5555="","",DADOS!C5555)</f>
        <v/>
      </c>
      <c r="F5555" s="9" t="str">
        <f>IF(DADOS!E5555="","",DADOS!E5555)</f>
        <v/>
      </c>
      <c r="G5555" s="9" t="str">
        <f>IF(DADOS!F5555="","",DADOS!F5555)</f>
        <v/>
      </c>
      <c r="K5555" s="6" t="str">
        <f t="shared" si="435"/>
        <v/>
      </c>
      <c r="L5555" s="7" t="str">
        <f t="shared" si="436"/>
        <v/>
      </c>
      <c r="M5555" s="7" t="str">
        <f t="shared" si="433"/>
        <v/>
      </c>
      <c r="N5555" s="7" t="str">
        <f t="shared" si="437"/>
        <v/>
      </c>
      <c r="O5555" s="8"/>
      <c r="P5555" s="26"/>
      <c r="S5555" s="10" t="str">
        <f t="shared" si="434"/>
        <v/>
      </c>
    </row>
    <row r="5556" spans="5:19" x14ac:dyDescent="0.3">
      <c r="E5556" s="9" t="str">
        <f>IF(DADOS!C5556="","",DADOS!C5556)</f>
        <v/>
      </c>
      <c r="F5556" s="9" t="str">
        <f>IF(DADOS!E5556="","",DADOS!E5556)</f>
        <v/>
      </c>
      <c r="G5556" s="9" t="str">
        <f>IF(DADOS!F5556="","",DADOS!F5556)</f>
        <v/>
      </c>
      <c r="K5556" s="6" t="str">
        <f t="shared" si="435"/>
        <v/>
      </c>
      <c r="L5556" s="7" t="str">
        <f t="shared" si="436"/>
        <v/>
      </c>
      <c r="M5556" s="7" t="str">
        <f t="shared" si="433"/>
        <v/>
      </c>
      <c r="N5556" s="7" t="str">
        <f t="shared" si="437"/>
        <v/>
      </c>
      <c r="O5556" s="8"/>
      <c r="P5556" s="26"/>
      <c r="S5556" s="10" t="str">
        <f t="shared" si="434"/>
        <v/>
      </c>
    </row>
    <row r="5557" spans="5:19" x14ac:dyDescent="0.3">
      <c r="E5557" s="9" t="str">
        <f>IF(DADOS!C5557="","",DADOS!C5557)</f>
        <v/>
      </c>
      <c r="F5557" s="9" t="str">
        <f>IF(DADOS!E5557="","",DADOS!E5557)</f>
        <v/>
      </c>
      <c r="G5557" s="9" t="str">
        <f>IF(DADOS!F5557="","",DADOS!F5557)</f>
        <v/>
      </c>
      <c r="K5557" s="6" t="str">
        <f t="shared" si="435"/>
        <v/>
      </c>
      <c r="L5557" s="7" t="str">
        <f t="shared" si="436"/>
        <v/>
      </c>
      <c r="M5557" s="7" t="str">
        <f t="shared" si="433"/>
        <v/>
      </c>
      <c r="N5557" s="7" t="str">
        <f t="shared" si="437"/>
        <v/>
      </c>
      <c r="O5557" s="8"/>
      <c r="P5557" s="26"/>
      <c r="S5557" s="10" t="str">
        <f t="shared" si="434"/>
        <v/>
      </c>
    </row>
    <row r="5558" spans="5:19" x14ac:dyDescent="0.3">
      <c r="E5558" s="9" t="str">
        <f>IF(DADOS!C5558="","",DADOS!C5558)</f>
        <v/>
      </c>
      <c r="F5558" s="9" t="str">
        <f>IF(DADOS!E5558="","",DADOS!E5558)</f>
        <v/>
      </c>
      <c r="G5558" s="9" t="str">
        <f>IF(DADOS!F5558="","",DADOS!F5558)</f>
        <v/>
      </c>
      <c r="K5558" s="6" t="str">
        <f t="shared" si="435"/>
        <v/>
      </c>
      <c r="L5558" s="7" t="str">
        <f t="shared" si="436"/>
        <v/>
      </c>
      <c r="M5558" s="7" t="str">
        <f t="shared" si="433"/>
        <v/>
      </c>
      <c r="N5558" s="7" t="str">
        <f t="shared" si="437"/>
        <v/>
      </c>
      <c r="O5558" s="8"/>
      <c r="P5558" s="26"/>
      <c r="S5558" s="10" t="str">
        <f t="shared" si="434"/>
        <v/>
      </c>
    </row>
    <row r="5559" spans="5:19" x14ac:dyDescent="0.3">
      <c r="E5559" s="9" t="str">
        <f>IF(DADOS!C5559="","",DADOS!C5559)</f>
        <v/>
      </c>
      <c r="F5559" s="9" t="str">
        <f>IF(DADOS!E5559="","",DADOS!E5559)</f>
        <v/>
      </c>
      <c r="G5559" s="9" t="str">
        <f>IF(DADOS!F5559="","",DADOS!F5559)</f>
        <v/>
      </c>
      <c r="K5559" s="6" t="str">
        <f t="shared" si="435"/>
        <v/>
      </c>
      <c r="L5559" s="7" t="str">
        <f t="shared" si="436"/>
        <v/>
      </c>
      <c r="M5559" s="7" t="str">
        <f t="shared" si="433"/>
        <v/>
      </c>
      <c r="N5559" s="7" t="str">
        <f t="shared" si="437"/>
        <v/>
      </c>
      <c r="O5559" s="8"/>
      <c r="P5559" s="26"/>
      <c r="S5559" s="10" t="str">
        <f t="shared" si="434"/>
        <v/>
      </c>
    </row>
    <row r="5560" spans="5:19" x14ac:dyDescent="0.3">
      <c r="E5560" s="9" t="str">
        <f>IF(DADOS!C5560="","",DADOS!C5560)</f>
        <v/>
      </c>
      <c r="F5560" s="9" t="str">
        <f>IF(DADOS!E5560="","",DADOS!E5560)</f>
        <v/>
      </c>
      <c r="G5560" s="9" t="str">
        <f>IF(DADOS!F5560="","",DADOS!F5560)</f>
        <v/>
      </c>
      <c r="K5560" s="6" t="str">
        <f t="shared" si="435"/>
        <v/>
      </c>
      <c r="L5560" s="7" t="str">
        <f t="shared" si="436"/>
        <v/>
      </c>
      <c r="M5560" s="7" t="str">
        <f t="shared" si="433"/>
        <v/>
      </c>
      <c r="N5560" s="7" t="str">
        <f t="shared" si="437"/>
        <v/>
      </c>
      <c r="O5560" s="8"/>
      <c r="P5560" s="26"/>
      <c r="S5560" s="10" t="str">
        <f t="shared" si="434"/>
        <v/>
      </c>
    </row>
    <row r="5561" spans="5:19" x14ac:dyDescent="0.3">
      <c r="E5561" s="9" t="str">
        <f>IF(DADOS!C5561="","",DADOS!C5561)</f>
        <v/>
      </c>
      <c r="F5561" s="9" t="str">
        <f>IF(DADOS!E5561="","",DADOS!E5561)</f>
        <v/>
      </c>
      <c r="G5561" s="9" t="str">
        <f>IF(DADOS!F5561="","",DADOS!F5561)</f>
        <v/>
      </c>
      <c r="K5561" s="6" t="str">
        <f t="shared" si="435"/>
        <v/>
      </c>
      <c r="L5561" s="7" t="str">
        <f t="shared" si="436"/>
        <v/>
      </c>
      <c r="M5561" s="7" t="str">
        <f t="shared" si="433"/>
        <v/>
      </c>
      <c r="N5561" s="7" t="str">
        <f t="shared" si="437"/>
        <v/>
      </c>
      <c r="O5561" s="8"/>
      <c r="P5561" s="26"/>
      <c r="S5561" s="10" t="str">
        <f t="shared" si="434"/>
        <v/>
      </c>
    </row>
    <row r="5562" spans="5:19" x14ac:dyDescent="0.3">
      <c r="E5562" s="9" t="str">
        <f>IF(DADOS!C5562="","",DADOS!C5562)</f>
        <v/>
      </c>
      <c r="F5562" s="9" t="str">
        <f>IF(DADOS!E5562="","",DADOS!E5562)</f>
        <v/>
      </c>
      <c r="G5562" s="9" t="str">
        <f>IF(DADOS!F5562="","",DADOS!F5562)</f>
        <v/>
      </c>
      <c r="K5562" s="6" t="str">
        <f t="shared" si="435"/>
        <v/>
      </c>
      <c r="L5562" s="7" t="str">
        <f t="shared" si="436"/>
        <v/>
      </c>
      <c r="M5562" s="7" t="str">
        <f t="shared" si="433"/>
        <v/>
      </c>
      <c r="N5562" s="7" t="str">
        <f t="shared" si="437"/>
        <v/>
      </c>
      <c r="O5562" s="8"/>
      <c r="P5562" s="26"/>
      <c r="S5562" s="10" t="str">
        <f t="shared" si="434"/>
        <v/>
      </c>
    </row>
    <row r="5563" spans="5:19" x14ac:dyDescent="0.3">
      <c r="E5563" s="9" t="str">
        <f>IF(DADOS!C5563="","",DADOS!C5563)</f>
        <v/>
      </c>
      <c r="F5563" s="9" t="str">
        <f>IF(DADOS!E5563="","",DADOS!E5563)</f>
        <v/>
      </c>
      <c r="G5563" s="9" t="str">
        <f>IF(DADOS!F5563="","",DADOS!F5563)</f>
        <v/>
      </c>
      <c r="K5563" s="6" t="str">
        <f t="shared" si="435"/>
        <v/>
      </c>
      <c r="L5563" s="7" t="str">
        <f t="shared" si="436"/>
        <v/>
      </c>
      <c r="M5563" s="7" t="str">
        <f t="shared" si="433"/>
        <v/>
      </c>
      <c r="N5563" s="7" t="str">
        <f t="shared" si="437"/>
        <v/>
      </c>
      <c r="O5563" s="8"/>
      <c r="P5563" s="26"/>
      <c r="S5563" s="10" t="str">
        <f t="shared" si="434"/>
        <v/>
      </c>
    </row>
    <row r="5564" spans="5:19" x14ac:dyDescent="0.3">
      <c r="E5564" s="9" t="str">
        <f>IF(DADOS!C5564="","",DADOS!C5564)</f>
        <v/>
      </c>
      <c r="F5564" s="9" t="str">
        <f>IF(DADOS!E5564="","",DADOS!E5564)</f>
        <v/>
      </c>
      <c r="G5564" s="9" t="str">
        <f>IF(DADOS!F5564="","",DADOS!F5564)</f>
        <v/>
      </c>
      <c r="K5564" s="6" t="str">
        <f t="shared" si="435"/>
        <v/>
      </c>
      <c r="L5564" s="7" t="str">
        <f t="shared" si="436"/>
        <v/>
      </c>
      <c r="M5564" s="7" t="str">
        <f t="shared" si="433"/>
        <v/>
      </c>
      <c r="N5564" s="7" t="str">
        <f t="shared" si="437"/>
        <v/>
      </c>
      <c r="O5564" s="8"/>
      <c r="P5564" s="26"/>
      <c r="S5564" s="10" t="str">
        <f t="shared" si="434"/>
        <v/>
      </c>
    </row>
    <row r="5565" spans="5:19" x14ac:dyDescent="0.3">
      <c r="E5565" s="9" t="str">
        <f>IF(DADOS!C5565="","",DADOS!C5565)</f>
        <v/>
      </c>
      <c r="F5565" s="9" t="str">
        <f>IF(DADOS!E5565="","",DADOS!E5565)</f>
        <v/>
      </c>
      <c r="G5565" s="9" t="str">
        <f>IF(DADOS!F5565="","",DADOS!F5565)</f>
        <v/>
      </c>
      <c r="K5565" s="6" t="str">
        <f t="shared" si="435"/>
        <v/>
      </c>
      <c r="L5565" s="7" t="str">
        <f t="shared" si="436"/>
        <v/>
      </c>
      <c r="M5565" s="7" t="str">
        <f t="shared" si="433"/>
        <v/>
      </c>
      <c r="N5565" s="7" t="str">
        <f t="shared" si="437"/>
        <v/>
      </c>
      <c r="O5565" s="8"/>
      <c r="P5565" s="26"/>
      <c r="S5565" s="10" t="str">
        <f t="shared" si="434"/>
        <v/>
      </c>
    </row>
    <row r="5566" spans="5:19" x14ac:dyDescent="0.3">
      <c r="E5566" s="9" t="str">
        <f>IF(DADOS!C5566="","",DADOS!C5566)</f>
        <v/>
      </c>
      <c r="F5566" s="9" t="str">
        <f>IF(DADOS!E5566="","",DADOS!E5566)</f>
        <v/>
      </c>
      <c r="G5566" s="9" t="str">
        <f>IF(DADOS!F5566="","",DADOS!F5566)</f>
        <v/>
      </c>
      <c r="K5566" s="6" t="str">
        <f t="shared" si="435"/>
        <v/>
      </c>
      <c r="L5566" s="7" t="str">
        <f t="shared" si="436"/>
        <v/>
      </c>
      <c r="M5566" s="7" t="str">
        <f t="shared" si="433"/>
        <v/>
      </c>
      <c r="N5566" s="7" t="str">
        <f t="shared" si="437"/>
        <v/>
      </c>
      <c r="O5566" s="8"/>
      <c r="P5566" s="26"/>
      <c r="S5566" s="10" t="str">
        <f t="shared" si="434"/>
        <v/>
      </c>
    </row>
    <row r="5567" spans="5:19" x14ac:dyDescent="0.3">
      <c r="E5567" s="9" t="str">
        <f>IF(DADOS!C5567="","",DADOS!C5567)</f>
        <v/>
      </c>
      <c r="F5567" s="9" t="str">
        <f>IF(DADOS!E5567="","",DADOS!E5567)</f>
        <v/>
      </c>
      <c r="G5567" s="9" t="str">
        <f>IF(DADOS!F5567="","",DADOS!F5567)</f>
        <v/>
      </c>
      <c r="K5567" s="6" t="str">
        <f t="shared" si="435"/>
        <v/>
      </c>
      <c r="L5567" s="7" t="str">
        <f t="shared" si="436"/>
        <v/>
      </c>
      <c r="M5567" s="7" t="str">
        <f t="shared" si="433"/>
        <v/>
      </c>
      <c r="N5567" s="7" t="str">
        <f t="shared" si="437"/>
        <v/>
      </c>
      <c r="O5567" s="8"/>
      <c r="P5567" s="26"/>
      <c r="S5567" s="10" t="str">
        <f t="shared" si="434"/>
        <v/>
      </c>
    </row>
    <row r="5568" spans="5:19" x14ac:dyDescent="0.3">
      <c r="E5568" s="9" t="str">
        <f>IF(DADOS!C5568="","",DADOS!C5568)</f>
        <v/>
      </c>
      <c r="F5568" s="9" t="str">
        <f>IF(DADOS!E5568="","",DADOS!E5568)</f>
        <v/>
      </c>
      <c r="G5568" s="9" t="str">
        <f>IF(DADOS!F5568="","",DADOS!F5568)</f>
        <v/>
      </c>
      <c r="K5568" s="6" t="str">
        <f t="shared" si="435"/>
        <v/>
      </c>
      <c r="L5568" s="7" t="str">
        <f t="shared" si="436"/>
        <v/>
      </c>
      <c r="M5568" s="7" t="str">
        <f t="shared" si="433"/>
        <v/>
      </c>
      <c r="N5568" s="7" t="str">
        <f t="shared" si="437"/>
        <v/>
      </c>
      <c r="O5568" s="8"/>
      <c r="P5568" s="26"/>
      <c r="S5568" s="10" t="str">
        <f t="shared" si="434"/>
        <v/>
      </c>
    </row>
    <row r="5569" spans="5:19" x14ac:dyDescent="0.3">
      <c r="E5569" s="9" t="str">
        <f>IF(DADOS!C5569="","",DADOS!C5569)</f>
        <v/>
      </c>
      <c r="F5569" s="9" t="str">
        <f>IF(DADOS!E5569="","",DADOS!E5569)</f>
        <v/>
      </c>
      <c r="G5569" s="9" t="str">
        <f>IF(DADOS!F5569="","",DADOS!F5569)</f>
        <v/>
      </c>
      <c r="K5569" s="6" t="str">
        <f t="shared" si="435"/>
        <v/>
      </c>
      <c r="L5569" s="7" t="str">
        <f t="shared" si="436"/>
        <v/>
      </c>
      <c r="M5569" s="7" t="str">
        <f t="shared" si="433"/>
        <v/>
      </c>
      <c r="N5569" s="7" t="str">
        <f t="shared" si="437"/>
        <v/>
      </c>
      <c r="O5569" s="8"/>
      <c r="P5569" s="26"/>
      <c r="S5569" s="10" t="str">
        <f t="shared" si="434"/>
        <v/>
      </c>
    </row>
    <row r="5570" spans="5:19" x14ac:dyDescent="0.3">
      <c r="E5570" s="9" t="str">
        <f>IF(DADOS!C5570="","",DADOS!C5570)</f>
        <v/>
      </c>
      <c r="F5570" s="9" t="str">
        <f>IF(DADOS!E5570="","",DADOS!E5570)</f>
        <v/>
      </c>
      <c r="G5570" s="9" t="str">
        <f>IF(DADOS!F5570="","",DADOS!F5570)</f>
        <v/>
      </c>
      <c r="K5570" s="6" t="str">
        <f t="shared" si="435"/>
        <v/>
      </c>
      <c r="L5570" s="7" t="str">
        <f t="shared" si="436"/>
        <v/>
      </c>
      <c r="M5570" s="7" t="str">
        <f t="shared" si="433"/>
        <v/>
      </c>
      <c r="N5570" s="7" t="str">
        <f t="shared" si="437"/>
        <v/>
      </c>
      <c r="O5570" s="8"/>
      <c r="P5570" s="26"/>
      <c r="S5570" s="10" t="str">
        <f t="shared" si="434"/>
        <v/>
      </c>
    </row>
    <row r="5571" spans="5:19" x14ac:dyDescent="0.3">
      <c r="E5571" s="9" t="str">
        <f>IF(DADOS!C5571="","",DADOS!C5571)</f>
        <v/>
      </c>
      <c r="F5571" s="9" t="str">
        <f>IF(DADOS!E5571="","",DADOS!E5571)</f>
        <v/>
      </c>
      <c r="G5571" s="9" t="str">
        <f>IF(DADOS!F5571="","",DADOS!F5571)</f>
        <v/>
      </c>
      <c r="K5571" s="6" t="str">
        <f t="shared" si="435"/>
        <v/>
      </c>
      <c r="L5571" s="7" t="str">
        <f t="shared" si="436"/>
        <v/>
      </c>
      <c r="M5571" s="7" t="str">
        <f t="shared" ref="M5571:M5634" si="438">IF(L5571="","",L5571*G5571)</f>
        <v/>
      </c>
      <c r="N5571" s="7" t="str">
        <f t="shared" si="437"/>
        <v/>
      </c>
      <c r="O5571" s="8"/>
      <c r="P5571" s="26"/>
      <c r="S5571" s="10" t="str">
        <f t="shared" ref="S5571:S5634" si="439">IF(R5571="","",SUMIFS($N$3:$N$10000,$E$3:$E$10000,R5571))</f>
        <v/>
      </c>
    </row>
    <row r="5572" spans="5:19" x14ac:dyDescent="0.3">
      <c r="E5572" s="9" t="str">
        <f>IF(DADOS!C5572="","",DADOS!C5572)</f>
        <v/>
      </c>
      <c r="F5572" s="9" t="str">
        <f>IF(DADOS!E5572="","",DADOS!E5572)</f>
        <v/>
      </c>
      <c r="G5572" s="9" t="str">
        <f>IF(DADOS!F5572="","",DADOS!F5572)</f>
        <v/>
      </c>
      <c r="K5572" s="6" t="str">
        <f t="shared" ref="K5572:K5635" si="440">IF(F5572="","",F5572/PI())</f>
        <v/>
      </c>
      <c r="L5572" s="7" t="str">
        <f t="shared" ref="L5572:L5635" si="441">IF(K5572="","",(PI()*K5572^2)/40000)</f>
        <v/>
      </c>
      <c r="M5572" s="7" t="str">
        <f t="shared" si="438"/>
        <v/>
      </c>
      <c r="N5572" s="7" t="str">
        <f t="shared" ref="N5572:N5635" si="442">IF(M5572="","",M5572*N$1)</f>
        <v/>
      </c>
      <c r="O5572" s="8"/>
      <c r="P5572" s="26"/>
      <c r="S5572" s="10" t="str">
        <f t="shared" si="439"/>
        <v/>
      </c>
    </row>
    <row r="5573" spans="5:19" x14ac:dyDescent="0.3">
      <c r="E5573" s="9" t="str">
        <f>IF(DADOS!C5573="","",DADOS!C5573)</f>
        <v/>
      </c>
      <c r="F5573" s="9" t="str">
        <f>IF(DADOS!E5573="","",DADOS!E5573)</f>
        <v/>
      </c>
      <c r="G5573" s="9" t="str">
        <f>IF(DADOS!F5573="","",DADOS!F5573)</f>
        <v/>
      </c>
      <c r="K5573" s="6" t="str">
        <f t="shared" si="440"/>
        <v/>
      </c>
      <c r="L5573" s="7" t="str">
        <f t="shared" si="441"/>
        <v/>
      </c>
      <c r="M5573" s="7" t="str">
        <f t="shared" si="438"/>
        <v/>
      </c>
      <c r="N5573" s="7" t="str">
        <f t="shared" si="442"/>
        <v/>
      </c>
      <c r="O5573" s="8"/>
      <c r="P5573" s="26"/>
      <c r="S5573" s="10" t="str">
        <f t="shared" si="439"/>
        <v/>
      </c>
    </row>
    <row r="5574" spans="5:19" x14ac:dyDescent="0.3">
      <c r="E5574" s="9" t="str">
        <f>IF(DADOS!C5574="","",DADOS!C5574)</f>
        <v/>
      </c>
      <c r="F5574" s="9" t="str">
        <f>IF(DADOS!E5574="","",DADOS!E5574)</f>
        <v/>
      </c>
      <c r="G5574" s="9" t="str">
        <f>IF(DADOS!F5574="","",DADOS!F5574)</f>
        <v/>
      </c>
      <c r="K5574" s="6" t="str">
        <f t="shared" si="440"/>
        <v/>
      </c>
      <c r="L5574" s="7" t="str">
        <f t="shared" si="441"/>
        <v/>
      </c>
      <c r="M5574" s="7" t="str">
        <f t="shared" si="438"/>
        <v/>
      </c>
      <c r="N5574" s="7" t="str">
        <f t="shared" si="442"/>
        <v/>
      </c>
      <c r="O5574" s="8"/>
      <c r="P5574" s="26"/>
      <c r="S5574" s="10" t="str">
        <f t="shared" si="439"/>
        <v/>
      </c>
    </row>
    <row r="5575" spans="5:19" x14ac:dyDescent="0.3">
      <c r="E5575" s="9" t="str">
        <f>IF(DADOS!C5575="","",DADOS!C5575)</f>
        <v/>
      </c>
      <c r="F5575" s="9" t="str">
        <f>IF(DADOS!E5575="","",DADOS!E5575)</f>
        <v/>
      </c>
      <c r="G5575" s="9" t="str">
        <f>IF(DADOS!F5575="","",DADOS!F5575)</f>
        <v/>
      </c>
      <c r="K5575" s="6" t="str">
        <f t="shared" si="440"/>
        <v/>
      </c>
      <c r="L5575" s="7" t="str">
        <f t="shared" si="441"/>
        <v/>
      </c>
      <c r="M5575" s="7" t="str">
        <f t="shared" si="438"/>
        <v/>
      </c>
      <c r="N5575" s="7" t="str">
        <f t="shared" si="442"/>
        <v/>
      </c>
      <c r="O5575" s="8"/>
      <c r="P5575" s="26"/>
      <c r="S5575" s="10" t="str">
        <f t="shared" si="439"/>
        <v/>
      </c>
    </row>
    <row r="5576" spans="5:19" x14ac:dyDescent="0.3">
      <c r="E5576" s="9" t="str">
        <f>IF(DADOS!C5576="","",DADOS!C5576)</f>
        <v/>
      </c>
      <c r="F5576" s="9" t="str">
        <f>IF(DADOS!E5576="","",DADOS!E5576)</f>
        <v/>
      </c>
      <c r="G5576" s="9" t="str">
        <f>IF(DADOS!F5576="","",DADOS!F5576)</f>
        <v/>
      </c>
      <c r="K5576" s="6" t="str">
        <f t="shared" si="440"/>
        <v/>
      </c>
      <c r="L5576" s="7" t="str">
        <f t="shared" si="441"/>
        <v/>
      </c>
      <c r="M5576" s="7" t="str">
        <f t="shared" si="438"/>
        <v/>
      </c>
      <c r="N5576" s="7" t="str">
        <f t="shared" si="442"/>
        <v/>
      </c>
      <c r="O5576" s="8"/>
      <c r="P5576" s="26"/>
      <c r="S5576" s="10" t="str">
        <f t="shared" si="439"/>
        <v/>
      </c>
    </row>
    <row r="5577" spans="5:19" x14ac:dyDescent="0.3">
      <c r="E5577" s="9" t="str">
        <f>IF(DADOS!C5577="","",DADOS!C5577)</f>
        <v/>
      </c>
      <c r="F5577" s="9" t="str">
        <f>IF(DADOS!E5577="","",DADOS!E5577)</f>
        <v/>
      </c>
      <c r="G5577" s="9" t="str">
        <f>IF(DADOS!F5577="","",DADOS!F5577)</f>
        <v/>
      </c>
      <c r="K5577" s="6" t="str">
        <f t="shared" si="440"/>
        <v/>
      </c>
      <c r="L5577" s="7" t="str">
        <f t="shared" si="441"/>
        <v/>
      </c>
      <c r="M5577" s="7" t="str">
        <f t="shared" si="438"/>
        <v/>
      </c>
      <c r="N5577" s="7" t="str">
        <f t="shared" si="442"/>
        <v/>
      </c>
      <c r="O5577" s="8"/>
      <c r="P5577" s="26"/>
      <c r="S5577" s="10" t="str">
        <f t="shared" si="439"/>
        <v/>
      </c>
    </row>
    <row r="5578" spans="5:19" x14ac:dyDescent="0.3">
      <c r="E5578" s="9" t="str">
        <f>IF(DADOS!C5578="","",DADOS!C5578)</f>
        <v/>
      </c>
      <c r="F5578" s="9" t="str">
        <f>IF(DADOS!E5578="","",DADOS!E5578)</f>
        <v/>
      </c>
      <c r="G5578" s="9" t="str">
        <f>IF(DADOS!F5578="","",DADOS!F5578)</f>
        <v/>
      </c>
      <c r="K5578" s="6" t="str">
        <f t="shared" si="440"/>
        <v/>
      </c>
      <c r="L5578" s="7" t="str">
        <f t="shared" si="441"/>
        <v/>
      </c>
      <c r="M5578" s="7" t="str">
        <f t="shared" si="438"/>
        <v/>
      </c>
      <c r="N5578" s="7" t="str">
        <f t="shared" si="442"/>
        <v/>
      </c>
      <c r="O5578" s="8"/>
      <c r="P5578" s="26"/>
      <c r="S5578" s="10" t="str">
        <f t="shared" si="439"/>
        <v/>
      </c>
    </row>
    <row r="5579" spans="5:19" x14ac:dyDescent="0.3">
      <c r="E5579" s="9" t="str">
        <f>IF(DADOS!C5579="","",DADOS!C5579)</f>
        <v/>
      </c>
      <c r="F5579" s="9" t="str">
        <f>IF(DADOS!E5579="","",DADOS!E5579)</f>
        <v/>
      </c>
      <c r="G5579" s="9" t="str">
        <f>IF(DADOS!F5579="","",DADOS!F5579)</f>
        <v/>
      </c>
      <c r="K5579" s="6" t="str">
        <f t="shared" si="440"/>
        <v/>
      </c>
      <c r="L5579" s="7" t="str">
        <f t="shared" si="441"/>
        <v/>
      </c>
      <c r="M5579" s="7" t="str">
        <f t="shared" si="438"/>
        <v/>
      </c>
      <c r="N5579" s="7" t="str">
        <f t="shared" si="442"/>
        <v/>
      </c>
      <c r="O5579" s="8"/>
      <c r="P5579" s="26"/>
      <c r="S5579" s="10" t="str">
        <f t="shared" si="439"/>
        <v/>
      </c>
    </row>
    <row r="5580" spans="5:19" x14ac:dyDescent="0.3">
      <c r="E5580" s="9" t="str">
        <f>IF(DADOS!C5580="","",DADOS!C5580)</f>
        <v/>
      </c>
      <c r="F5580" s="9" t="str">
        <f>IF(DADOS!E5580="","",DADOS!E5580)</f>
        <v/>
      </c>
      <c r="G5580" s="9" t="str">
        <f>IF(DADOS!F5580="","",DADOS!F5580)</f>
        <v/>
      </c>
      <c r="K5580" s="6" t="str">
        <f t="shared" si="440"/>
        <v/>
      </c>
      <c r="L5580" s="7" t="str">
        <f t="shared" si="441"/>
        <v/>
      </c>
      <c r="M5580" s="7" t="str">
        <f t="shared" si="438"/>
        <v/>
      </c>
      <c r="N5580" s="7" t="str">
        <f t="shared" si="442"/>
        <v/>
      </c>
      <c r="O5580" s="8"/>
      <c r="P5580" s="26"/>
      <c r="S5580" s="10" t="str">
        <f t="shared" si="439"/>
        <v/>
      </c>
    </row>
    <row r="5581" spans="5:19" x14ac:dyDescent="0.3">
      <c r="E5581" s="9" t="str">
        <f>IF(DADOS!C5581="","",DADOS!C5581)</f>
        <v/>
      </c>
      <c r="F5581" s="9" t="str">
        <f>IF(DADOS!E5581="","",DADOS!E5581)</f>
        <v/>
      </c>
      <c r="G5581" s="9" t="str">
        <f>IF(DADOS!F5581="","",DADOS!F5581)</f>
        <v/>
      </c>
      <c r="K5581" s="6" t="str">
        <f t="shared" si="440"/>
        <v/>
      </c>
      <c r="L5581" s="7" t="str">
        <f t="shared" si="441"/>
        <v/>
      </c>
      <c r="M5581" s="7" t="str">
        <f t="shared" si="438"/>
        <v/>
      </c>
      <c r="N5581" s="7" t="str">
        <f t="shared" si="442"/>
        <v/>
      </c>
      <c r="O5581" s="8"/>
      <c r="P5581" s="26"/>
      <c r="S5581" s="10" t="str">
        <f t="shared" si="439"/>
        <v/>
      </c>
    </row>
    <row r="5582" spans="5:19" x14ac:dyDescent="0.3">
      <c r="E5582" s="9" t="str">
        <f>IF(DADOS!C5582="","",DADOS!C5582)</f>
        <v/>
      </c>
      <c r="F5582" s="9" t="str">
        <f>IF(DADOS!E5582="","",DADOS!E5582)</f>
        <v/>
      </c>
      <c r="G5582" s="9" t="str">
        <f>IF(DADOS!F5582="","",DADOS!F5582)</f>
        <v/>
      </c>
      <c r="K5582" s="6" t="str">
        <f t="shared" si="440"/>
        <v/>
      </c>
      <c r="L5582" s="7" t="str">
        <f t="shared" si="441"/>
        <v/>
      </c>
      <c r="M5582" s="7" t="str">
        <f t="shared" si="438"/>
        <v/>
      </c>
      <c r="N5582" s="7" t="str">
        <f t="shared" si="442"/>
        <v/>
      </c>
      <c r="O5582" s="8"/>
      <c r="P5582" s="26"/>
      <c r="S5582" s="10" t="str">
        <f t="shared" si="439"/>
        <v/>
      </c>
    </row>
    <row r="5583" spans="5:19" x14ac:dyDescent="0.3">
      <c r="E5583" s="9" t="str">
        <f>IF(DADOS!C5583="","",DADOS!C5583)</f>
        <v/>
      </c>
      <c r="F5583" s="9" t="str">
        <f>IF(DADOS!E5583="","",DADOS!E5583)</f>
        <v/>
      </c>
      <c r="G5583" s="9" t="str">
        <f>IF(DADOS!F5583="","",DADOS!F5583)</f>
        <v/>
      </c>
      <c r="K5583" s="6" t="str">
        <f t="shared" si="440"/>
        <v/>
      </c>
      <c r="L5583" s="7" t="str">
        <f t="shared" si="441"/>
        <v/>
      </c>
      <c r="M5583" s="7" t="str">
        <f t="shared" si="438"/>
        <v/>
      </c>
      <c r="N5583" s="7" t="str">
        <f t="shared" si="442"/>
        <v/>
      </c>
      <c r="O5583" s="8"/>
      <c r="P5583" s="26"/>
      <c r="S5583" s="10" t="str">
        <f t="shared" si="439"/>
        <v/>
      </c>
    </row>
    <row r="5584" spans="5:19" x14ac:dyDescent="0.3">
      <c r="E5584" s="9" t="str">
        <f>IF(DADOS!C5584="","",DADOS!C5584)</f>
        <v/>
      </c>
      <c r="F5584" s="9" t="str">
        <f>IF(DADOS!E5584="","",DADOS!E5584)</f>
        <v/>
      </c>
      <c r="G5584" s="9" t="str">
        <f>IF(DADOS!F5584="","",DADOS!F5584)</f>
        <v/>
      </c>
      <c r="K5584" s="6" t="str">
        <f t="shared" si="440"/>
        <v/>
      </c>
      <c r="L5584" s="7" t="str">
        <f t="shared" si="441"/>
        <v/>
      </c>
      <c r="M5584" s="7" t="str">
        <f t="shared" si="438"/>
        <v/>
      </c>
      <c r="N5584" s="7" t="str">
        <f t="shared" si="442"/>
        <v/>
      </c>
      <c r="O5584" s="8"/>
      <c r="P5584" s="26"/>
      <c r="S5584" s="10" t="str">
        <f t="shared" si="439"/>
        <v/>
      </c>
    </row>
    <row r="5585" spans="5:19" x14ac:dyDescent="0.3">
      <c r="E5585" s="9" t="str">
        <f>IF(DADOS!C5585="","",DADOS!C5585)</f>
        <v/>
      </c>
      <c r="F5585" s="9" t="str">
        <f>IF(DADOS!E5585="","",DADOS!E5585)</f>
        <v/>
      </c>
      <c r="G5585" s="9" t="str">
        <f>IF(DADOS!F5585="","",DADOS!F5585)</f>
        <v/>
      </c>
      <c r="K5585" s="6" t="str">
        <f t="shared" si="440"/>
        <v/>
      </c>
      <c r="L5585" s="7" t="str">
        <f t="shared" si="441"/>
        <v/>
      </c>
      <c r="M5585" s="7" t="str">
        <f t="shared" si="438"/>
        <v/>
      </c>
      <c r="N5585" s="7" t="str">
        <f t="shared" si="442"/>
        <v/>
      </c>
      <c r="O5585" s="8"/>
      <c r="P5585" s="26"/>
      <c r="S5585" s="10" t="str">
        <f t="shared" si="439"/>
        <v/>
      </c>
    </row>
    <row r="5586" spans="5:19" x14ac:dyDescent="0.3">
      <c r="E5586" s="9" t="str">
        <f>IF(DADOS!C5586="","",DADOS!C5586)</f>
        <v/>
      </c>
      <c r="F5586" s="9" t="str">
        <f>IF(DADOS!E5586="","",DADOS!E5586)</f>
        <v/>
      </c>
      <c r="G5586" s="9" t="str">
        <f>IF(DADOS!F5586="","",DADOS!F5586)</f>
        <v/>
      </c>
      <c r="K5586" s="6" t="str">
        <f t="shared" si="440"/>
        <v/>
      </c>
      <c r="L5586" s="7" t="str">
        <f t="shared" si="441"/>
        <v/>
      </c>
      <c r="M5586" s="7" t="str">
        <f t="shared" si="438"/>
        <v/>
      </c>
      <c r="N5586" s="7" t="str">
        <f t="shared" si="442"/>
        <v/>
      </c>
      <c r="O5586" s="8"/>
      <c r="P5586" s="26"/>
      <c r="S5586" s="10" t="str">
        <f t="shared" si="439"/>
        <v/>
      </c>
    </row>
    <row r="5587" spans="5:19" x14ac:dyDescent="0.3">
      <c r="E5587" s="9" t="str">
        <f>IF(DADOS!C5587="","",DADOS!C5587)</f>
        <v/>
      </c>
      <c r="F5587" s="9" t="str">
        <f>IF(DADOS!E5587="","",DADOS!E5587)</f>
        <v/>
      </c>
      <c r="G5587" s="9" t="str">
        <f>IF(DADOS!F5587="","",DADOS!F5587)</f>
        <v/>
      </c>
      <c r="K5587" s="6" t="str">
        <f t="shared" si="440"/>
        <v/>
      </c>
      <c r="L5587" s="7" t="str">
        <f t="shared" si="441"/>
        <v/>
      </c>
      <c r="M5587" s="7" t="str">
        <f t="shared" si="438"/>
        <v/>
      </c>
      <c r="N5587" s="7" t="str">
        <f t="shared" si="442"/>
        <v/>
      </c>
      <c r="O5587" s="8"/>
      <c r="P5587" s="26"/>
      <c r="S5587" s="10" t="str">
        <f t="shared" si="439"/>
        <v/>
      </c>
    </row>
    <row r="5588" spans="5:19" x14ac:dyDescent="0.3">
      <c r="E5588" s="9" t="str">
        <f>IF(DADOS!C5588="","",DADOS!C5588)</f>
        <v/>
      </c>
      <c r="F5588" s="9" t="str">
        <f>IF(DADOS!E5588="","",DADOS!E5588)</f>
        <v/>
      </c>
      <c r="G5588" s="9" t="str">
        <f>IF(DADOS!F5588="","",DADOS!F5588)</f>
        <v/>
      </c>
      <c r="K5588" s="6" t="str">
        <f t="shared" si="440"/>
        <v/>
      </c>
      <c r="L5588" s="7" t="str">
        <f t="shared" si="441"/>
        <v/>
      </c>
      <c r="M5588" s="7" t="str">
        <f t="shared" si="438"/>
        <v/>
      </c>
      <c r="N5588" s="7" t="str">
        <f t="shared" si="442"/>
        <v/>
      </c>
      <c r="O5588" s="8"/>
      <c r="P5588" s="26"/>
      <c r="S5588" s="10" t="str">
        <f t="shared" si="439"/>
        <v/>
      </c>
    </row>
    <row r="5589" spans="5:19" x14ac:dyDescent="0.3">
      <c r="E5589" s="9" t="str">
        <f>IF(DADOS!C5589="","",DADOS!C5589)</f>
        <v/>
      </c>
      <c r="F5589" s="9" t="str">
        <f>IF(DADOS!E5589="","",DADOS!E5589)</f>
        <v/>
      </c>
      <c r="G5589" s="9" t="str">
        <f>IF(DADOS!F5589="","",DADOS!F5589)</f>
        <v/>
      </c>
      <c r="K5589" s="6" t="str">
        <f t="shared" si="440"/>
        <v/>
      </c>
      <c r="L5589" s="7" t="str">
        <f t="shared" si="441"/>
        <v/>
      </c>
      <c r="M5589" s="7" t="str">
        <f t="shared" si="438"/>
        <v/>
      </c>
      <c r="N5589" s="7" t="str">
        <f t="shared" si="442"/>
        <v/>
      </c>
      <c r="O5589" s="8"/>
      <c r="P5589" s="26"/>
      <c r="S5589" s="10" t="str">
        <f t="shared" si="439"/>
        <v/>
      </c>
    </row>
    <row r="5590" spans="5:19" x14ac:dyDescent="0.3">
      <c r="E5590" s="9" t="str">
        <f>IF(DADOS!C5590="","",DADOS!C5590)</f>
        <v/>
      </c>
      <c r="F5590" s="9" t="str">
        <f>IF(DADOS!E5590="","",DADOS!E5590)</f>
        <v/>
      </c>
      <c r="G5590" s="9" t="str">
        <f>IF(DADOS!F5590="","",DADOS!F5590)</f>
        <v/>
      </c>
      <c r="K5590" s="6" t="str">
        <f t="shared" si="440"/>
        <v/>
      </c>
      <c r="L5590" s="7" t="str">
        <f t="shared" si="441"/>
        <v/>
      </c>
      <c r="M5590" s="7" t="str">
        <f t="shared" si="438"/>
        <v/>
      </c>
      <c r="N5590" s="7" t="str">
        <f t="shared" si="442"/>
        <v/>
      </c>
      <c r="O5590" s="8"/>
      <c r="P5590" s="26"/>
      <c r="S5590" s="10" t="str">
        <f t="shared" si="439"/>
        <v/>
      </c>
    </row>
    <row r="5591" spans="5:19" x14ac:dyDescent="0.3">
      <c r="E5591" s="9" t="str">
        <f>IF(DADOS!C5591="","",DADOS!C5591)</f>
        <v/>
      </c>
      <c r="F5591" s="9" t="str">
        <f>IF(DADOS!E5591="","",DADOS!E5591)</f>
        <v/>
      </c>
      <c r="G5591" s="9" t="str">
        <f>IF(DADOS!F5591="","",DADOS!F5591)</f>
        <v/>
      </c>
      <c r="K5591" s="6" t="str">
        <f t="shared" si="440"/>
        <v/>
      </c>
      <c r="L5591" s="7" t="str">
        <f t="shared" si="441"/>
        <v/>
      </c>
      <c r="M5591" s="7" t="str">
        <f t="shared" si="438"/>
        <v/>
      </c>
      <c r="N5591" s="7" t="str">
        <f t="shared" si="442"/>
        <v/>
      </c>
      <c r="O5591" s="8"/>
      <c r="P5591" s="26"/>
      <c r="S5591" s="10" t="str">
        <f t="shared" si="439"/>
        <v/>
      </c>
    </row>
    <row r="5592" spans="5:19" x14ac:dyDescent="0.3">
      <c r="E5592" s="9" t="str">
        <f>IF(DADOS!C5592="","",DADOS!C5592)</f>
        <v/>
      </c>
      <c r="F5592" s="9" t="str">
        <f>IF(DADOS!E5592="","",DADOS!E5592)</f>
        <v/>
      </c>
      <c r="G5592" s="9" t="str">
        <f>IF(DADOS!F5592="","",DADOS!F5592)</f>
        <v/>
      </c>
      <c r="K5592" s="6" t="str">
        <f t="shared" si="440"/>
        <v/>
      </c>
      <c r="L5592" s="7" t="str">
        <f t="shared" si="441"/>
        <v/>
      </c>
      <c r="M5592" s="7" t="str">
        <f t="shared" si="438"/>
        <v/>
      </c>
      <c r="N5592" s="7" t="str">
        <f t="shared" si="442"/>
        <v/>
      </c>
      <c r="O5592" s="8"/>
      <c r="P5592" s="26"/>
      <c r="S5592" s="10" t="str">
        <f t="shared" si="439"/>
        <v/>
      </c>
    </row>
    <row r="5593" spans="5:19" x14ac:dyDescent="0.3">
      <c r="E5593" s="9" t="str">
        <f>IF(DADOS!C5593="","",DADOS!C5593)</f>
        <v/>
      </c>
      <c r="F5593" s="9" t="str">
        <f>IF(DADOS!E5593="","",DADOS!E5593)</f>
        <v/>
      </c>
      <c r="G5593" s="9" t="str">
        <f>IF(DADOS!F5593="","",DADOS!F5593)</f>
        <v/>
      </c>
      <c r="K5593" s="6" t="str">
        <f t="shared" si="440"/>
        <v/>
      </c>
      <c r="L5593" s="7" t="str">
        <f t="shared" si="441"/>
        <v/>
      </c>
      <c r="M5593" s="7" t="str">
        <f t="shared" si="438"/>
        <v/>
      </c>
      <c r="N5593" s="7" t="str">
        <f t="shared" si="442"/>
        <v/>
      </c>
      <c r="O5593" s="8"/>
      <c r="P5593" s="26"/>
      <c r="S5593" s="10" t="str">
        <f t="shared" si="439"/>
        <v/>
      </c>
    </row>
    <row r="5594" spans="5:19" x14ac:dyDescent="0.3">
      <c r="E5594" s="9" t="str">
        <f>IF(DADOS!C5594="","",DADOS!C5594)</f>
        <v/>
      </c>
      <c r="F5594" s="9" t="str">
        <f>IF(DADOS!E5594="","",DADOS!E5594)</f>
        <v/>
      </c>
      <c r="G5594" s="9" t="str">
        <f>IF(DADOS!F5594="","",DADOS!F5594)</f>
        <v/>
      </c>
      <c r="K5594" s="6" t="str">
        <f t="shared" si="440"/>
        <v/>
      </c>
      <c r="L5594" s="7" t="str">
        <f t="shared" si="441"/>
        <v/>
      </c>
      <c r="M5594" s="7" t="str">
        <f t="shared" si="438"/>
        <v/>
      </c>
      <c r="N5594" s="7" t="str">
        <f t="shared" si="442"/>
        <v/>
      </c>
      <c r="O5594" s="8"/>
      <c r="P5594" s="26"/>
      <c r="S5594" s="10" t="str">
        <f t="shared" si="439"/>
        <v/>
      </c>
    </row>
    <row r="5595" spans="5:19" x14ac:dyDescent="0.3">
      <c r="E5595" s="9" t="str">
        <f>IF(DADOS!C5595="","",DADOS!C5595)</f>
        <v/>
      </c>
      <c r="F5595" s="9" t="str">
        <f>IF(DADOS!E5595="","",DADOS!E5595)</f>
        <v/>
      </c>
      <c r="G5595" s="9" t="str">
        <f>IF(DADOS!F5595="","",DADOS!F5595)</f>
        <v/>
      </c>
      <c r="K5595" s="6" t="str">
        <f t="shared" si="440"/>
        <v/>
      </c>
      <c r="L5595" s="7" t="str">
        <f t="shared" si="441"/>
        <v/>
      </c>
      <c r="M5595" s="7" t="str">
        <f t="shared" si="438"/>
        <v/>
      </c>
      <c r="N5595" s="7" t="str">
        <f t="shared" si="442"/>
        <v/>
      </c>
      <c r="O5595" s="8"/>
      <c r="P5595" s="26"/>
      <c r="S5595" s="10" t="str">
        <f t="shared" si="439"/>
        <v/>
      </c>
    </row>
    <row r="5596" spans="5:19" x14ac:dyDescent="0.3">
      <c r="E5596" s="9" t="str">
        <f>IF(DADOS!C5596="","",DADOS!C5596)</f>
        <v/>
      </c>
      <c r="F5596" s="9" t="str">
        <f>IF(DADOS!E5596="","",DADOS!E5596)</f>
        <v/>
      </c>
      <c r="G5596" s="9" t="str">
        <f>IF(DADOS!F5596="","",DADOS!F5596)</f>
        <v/>
      </c>
      <c r="K5596" s="6" t="str">
        <f t="shared" si="440"/>
        <v/>
      </c>
      <c r="L5596" s="7" t="str">
        <f t="shared" si="441"/>
        <v/>
      </c>
      <c r="M5596" s="7" t="str">
        <f t="shared" si="438"/>
        <v/>
      </c>
      <c r="N5596" s="7" t="str">
        <f t="shared" si="442"/>
        <v/>
      </c>
      <c r="O5596" s="8"/>
      <c r="P5596" s="26"/>
      <c r="S5596" s="10" t="str">
        <f t="shared" si="439"/>
        <v/>
      </c>
    </row>
    <row r="5597" spans="5:19" x14ac:dyDescent="0.3">
      <c r="E5597" s="9" t="str">
        <f>IF(DADOS!C5597="","",DADOS!C5597)</f>
        <v/>
      </c>
      <c r="F5597" s="9" t="str">
        <f>IF(DADOS!E5597="","",DADOS!E5597)</f>
        <v/>
      </c>
      <c r="G5597" s="9" t="str">
        <f>IF(DADOS!F5597="","",DADOS!F5597)</f>
        <v/>
      </c>
      <c r="K5597" s="6" t="str">
        <f t="shared" si="440"/>
        <v/>
      </c>
      <c r="L5597" s="7" t="str">
        <f t="shared" si="441"/>
        <v/>
      </c>
      <c r="M5597" s="7" t="str">
        <f t="shared" si="438"/>
        <v/>
      </c>
      <c r="N5597" s="7" t="str">
        <f t="shared" si="442"/>
        <v/>
      </c>
      <c r="O5597" s="8"/>
      <c r="P5597" s="26"/>
      <c r="S5597" s="10" t="str">
        <f t="shared" si="439"/>
        <v/>
      </c>
    </row>
    <row r="5598" spans="5:19" x14ac:dyDescent="0.3">
      <c r="E5598" s="9" t="str">
        <f>IF(DADOS!C5598="","",DADOS!C5598)</f>
        <v/>
      </c>
      <c r="F5598" s="9" t="str">
        <f>IF(DADOS!E5598="","",DADOS!E5598)</f>
        <v/>
      </c>
      <c r="G5598" s="9" t="str">
        <f>IF(DADOS!F5598="","",DADOS!F5598)</f>
        <v/>
      </c>
      <c r="K5598" s="6" t="str">
        <f t="shared" si="440"/>
        <v/>
      </c>
      <c r="L5598" s="7" t="str">
        <f t="shared" si="441"/>
        <v/>
      </c>
      <c r="M5598" s="7" t="str">
        <f t="shared" si="438"/>
        <v/>
      </c>
      <c r="N5598" s="7" t="str">
        <f t="shared" si="442"/>
        <v/>
      </c>
      <c r="O5598" s="8"/>
      <c r="P5598" s="26"/>
      <c r="S5598" s="10" t="str">
        <f t="shared" si="439"/>
        <v/>
      </c>
    </row>
    <row r="5599" spans="5:19" x14ac:dyDescent="0.3">
      <c r="E5599" s="9" t="str">
        <f>IF(DADOS!C5599="","",DADOS!C5599)</f>
        <v/>
      </c>
      <c r="F5599" s="9" t="str">
        <f>IF(DADOS!E5599="","",DADOS!E5599)</f>
        <v/>
      </c>
      <c r="G5599" s="9" t="str">
        <f>IF(DADOS!F5599="","",DADOS!F5599)</f>
        <v/>
      </c>
      <c r="K5599" s="6" t="str">
        <f t="shared" si="440"/>
        <v/>
      </c>
      <c r="L5599" s="7" t="str">
        <f t="shared" si="441"/>
        <v/>
      </c>
      <c r="M5599" s="7" t="str">
        <f t="shared" si="438"/>
        <v/>
      </c>
      <c r="N5599" s="7" t="str">
        <f t="shared" si="442"/>
        <v/>
      </c>
      <c r="O5599" s="8"/>
      <c r="P5599" s="26"/>
      <c r="S5599" s="10" t="str">
        <f t="shared" si="439"/>
        <v/>
      </c>
    </row>
    <row r="5600" spans="5:19" x14ac:dyDescent="0.3">
      <c r="E5600" s="9" t="str">
        <f>IF(DADOS!C5600="","",DADOS!C5600)</f>
        <v/>
      </c>
      <c r="F5600" s="9" t="str">
        <f>IF(DADOS!E5600="","",DADOS!E5600)</f>
        <v/>
      </c>
      <c r="G5600" s="9" t="str">
        <f>IF(DADOS!F5600="","",DADOS!F5600)</f>
        <v/>
      </c>
      <c r="K5600" s="6" t="str">
        <f t="shared" si="440"/>
        <v/>
      </c>
      <c r="L5600" s="7" t="str">
        <f t="shared" si="441"/>
        <v/>
      </c>
      <c r="M5600" s="7" t="str">
        <f t="shared" si="438"/>
        <v/>
      </c>
      <c r="N5600" s="7" t="str">
        <f t="shared" si="442"/>
        <v/>
      </c>
      <c r="O5600" s="8"/>
      <c r="P5600" s="26"/>
      <c r="S5600" s="10" t="str">
        <f t="shared" si="439"/>
        <v/>
      </c>
    </row>
    <row r="5601" spans="5:19" x14ac:dyDescent="0.3">
      <c r="E5601" s="9" t="str">
        <f>IF(DADOS!C5601="","",DADOS!C5601)</f>
        <v/>
      </c>
      <c r="F5601" s="9" t="str">
        <f>IF(DADOS!E5601="","",DADOS!E5601)</f>
        <v/>
      </c>
      <c r="G5601" s="9" t="str">
        <f>IF(DADOS!F5601="","",DADOS!F5601)</f>
        <v/>
      </c>
      <c r="K5601" s="6" t="str">
        <f t="shared" si="440"/>
        <v/>
      </c>
      <c r="L5601" s="7" t="str">
        <f t="shared" si="441"/>
        <v/>
      </c>
      <c r="M5601" s="7" t="str">
        <f t="shared" si="438"/>
        <v/>
      </c>
      <c r="N5601" s="7" t="str">
        <f t="shared" si="442"/>
        <v/>
      </c>
      <c r="O5601" s="8"/>
      <c r="P5601" s="26"/>
      <c r="S5601" s="10" t="str">
        <f t="shared" si="439"/>
        <v/>
      </c>
    </row>
    <row r="5602" spans="5:19" x14ac:dyDescent="0.3">
      <c r="E5602" s="9" t="str">
        <f>IF(DADOS!C5602="","",DADOS!C5602)</f>
        <v/>
      </c>
      <c r="F5602" s="9" t="str">
        <f>IF(DADOS!E5602="","",DADOS!E5602)</f>
        <v/>
      </c>
      <c r="G5602" s="9" t="str">
        <f>IF(DADOS!F5602="","",DADOS!F5602)</f>
        <v/>
      </c>
      <c r="K5602" s="6" t="str">
        <f t="shared" si="440"/>
        <v/>
      </c>
      <c r="L5602" s="7" t="str">
        <f t="shared" si="441"/>
        <v/>
      </c>
      <c r="M5602" s="7" t="str">
        <f t="shared" si="438"/>
        <v/>
      </c>
      <c r="N5602" s="7" t="str">
        <f t="shared" si="442"/>
        <v/>
      </c>
      <c r="O5602" s="8"/>
      <c r="P5602" s="26"/>
      <c r="S5602" s="10" t="str">
        <f t="shared" si="439"/>
        <v/>
      </c>
    </row>
    <row r="5603" spans="5:19" x14ac:dyDescent="0.3">
      <c r="E5603" s="9" t="str">
        <f>IF(DADOS!C5603="","",DADOS!C5603)</f>
        <v/>
      </c>
      <c r="F5603" s="9" t="str">
        <f>IF(DADOS!E5603="","",DADOS!E5603)</f>
        <v/>
      </c>
      <c r="G5603" s="9" t="str">
        <f>IF(DADOS!F5603="","",DADOS!F5603)</f>
        <v/>
      </c>
      <c r="K5603" s="6" t="str">
        <f t="shared" si="440"/>
        <v/>
      </c>
      <c r="L5603" s="7" t="str">
        <f t="shared" si="441"/>
        <v/>
      </c>
      <c r="M5603" s="7" t="str">
        <f t="shared" si="438"/>
        <v/>
      </c>
      <c r="N5603" s="7" t="str">
        <f t="shared" si="442"/>
        <v/>
      </c>
      <c r="O5603" s="8"/>
      <c r="P5603" s="26"/>
      <c r="S5603" s="10" t="str">
        <f t="shared" si="439"/>
        <v/>
      </c>
    </row>
    <row r="5604" spans="5:19" x14ac:dyDescent="0.3">
      <c r="E5604" s="9" t="str">
        <f>IF(DADOS!C5604="","",DADOS!C5604)</f>
        <v/>
      </c>
      <c r="F5604" s="9" t="str">
        <f>IF(DADOS!E5604="","",DADOS!E5604)</f>
        <v/>
      </c>
      <c r="G5604" s="9" t="str">
        <f>IF(DADOS!F5604="","",DADOS!F5604)</f>
        <v/>
      </c>
      <c r="K5604" s="6" t="str">
        <f t="shared" si="440"/>
        <v/>
      </c>
      <c r="L5604" s="7" t="str">
        <f t="shared" si="441"/>
        <v/>
      </c>
      <c r="M5604" s="7" t="str">
        <f t="shared" si="438"/>
        <v/>
      </c>
      <c r="N5604" s="7" t="str">
        <f t="shared" si="442"/>
        <v/>
      </c>
      <c r="O5604" s="8"/>
      <c r="P5604" s="26"/>
      <c r="S5604" s="10" t="str">
        <f t="shared" si="439"/>
        <v/>
      </c>
    </row>
    <row r="5605" spans="5:19" x14ac:dyDescent="0.3">
      <c r="E5605" s="9" t="str">
        <f>IF(DADOS!C5605="","",DADOS!C5605)</f>
        <v/>
      </c>
      <c r="F5605" s="9" t="str">
        <f>IF(DADOS!E5605="","",DADOS!E5605)</f>
        <v/>
      </c>
      <c r="G5605" s="9" t="str">
        <f>IF(DADOS!F5605="","",DADOS!F5605)</f>
        <v/>
      </c>
      <c r="K5605" s="6" t="str">
        <f t="shared" si="440"/>
        <v/>
      </c>
      <c r="L5605" s="7" t="str">
        <f t="shared" si="441"/>
        <v/>
      </c>
      <c r="M5605" s="7" t="str">
        <f t="shared" si="438"/>
        <v/>
      </c>
      <c r="N5605" s="7" t="str">
        <f t="shared" si="442"/>
        <v/>
      </c>
      <c r="O5605" s="8"/>
      <c r="P5605" s="26"/>
      <c r="S5605" s="10" t="str">
        <f t="shared" si="439"/>
        <v/>
      </c>
    </row>
    <row r="5606" spans="5:19" x14ac:dyDescent="0.3">
      <c r="E5606" s="9" t="str">
        <f>IF(DADOS!C5606="","",DADOS!C5606)</f>
        <v/>
      </c>
      <c r="F5606" s="9" t="str">
        <f>IF(DADOS!E5606="","",DADOS!E5606)</f>
        <v/>
      </c>
      <c r="G5606" s="9" t="str">
        <f>IF(DADOS!F5606="","",DADOS!F5606)</f>
        <v/>
      </c>
      <c r="K5606" s="6" t="str">
        <f t="shared" si="440"/>
        <v/>
      </c>
      <c r="L5606" s="7" t="str">
        <f t="shared" si="441"/>
        <v/>
      </c>
      <c r="M5606" s="7" t="str">
        <f t="shared" si="438"/>
        <v/>
      </c>
      <c r="N5606" s="7" t="str">
        <f t="shared" si="442"/>
        <v/>
      </c>
      <c r="O5606" s="8"/>
      <c r="P5606" s="26"/>
      <c r="S5606" s="10" t="str">
        <f t="shared" si="439"/>
        <v/>
      </c>
    </row>
    <row r="5607" spans="5:19" x14ac:dyDescent="0.3">
      <c r="E5607" s="9" t="str">
        <f>IF(DADOS!C5607="","",DADOS!C5607)</f>
        <v/>
      </c>
      <c r="F5607" s="9" t="str">
        <f>IF(DADOS!E5607="","",DADOS!E5607)</f>
        <v/>
      </c>
      <c r="G5607" s="9" t="str">
        <f>IF(DADOS!F5607="","",DADOS!F5607)</f>
        <v/>
      </c>
      <c r="K5607" s="6" t="str">
        <f t="shared" si="440"/>
        <v/>
      </c>
      <c r="L5607" s="7" t="str">
        <f t="shared" si="441"/>
        <v/>
      </c>
      <c r="M5607" s="7" t="str">
        <f t="shared" si="438"/>
        <v/>
      </c>
      <c r="N5607" s="7" t="str">
        <f t="shared" si="442"/>
        <v/>
      </c>
      <c r="O5607" s="8"/>
      <c r="P5607" s="26"/>
      <c r="S5607" s="10" t="str">
        <f t="shared" si="439"/>
        <v/>
      </c>
    </row>
    <row r="5608" spans="5:19" x14ac:dyDescent="0.3">
      <c r="E5608" s="9" t="str">
        <f>IF(DADOS!C5608="","",DADOS!C5608)</f>
        <v/>
      </c>
      <c r="F5608" s="9" t="str">
        <f>IF(DADOS!E5608="","",DADOS!E5608)</f>
        <v/>
      </c>
      <c r="G5608" s="9" t="str">
        <f>IF(DADOS!F5608="","",DADOS!F5608)</f>
        <v/>
      </c>
      <c r="K5608" s="6" t="str">
        <f t="shared" si="440"/>
        <v/>
      </c>
      <c r="L5608" s="7" t="str">
        <f t="shared" si="441"/>
        <v/>
      </c>
      <c r="M5608" s="7" t="str">
        <f t="shared" si="438"/>
        <v/>
      </c>
      <c r="N5608" s="7" t="str">
        <f t="shared" si="442"/>
        <v/>
      </c>
      <c r="O5608" s="8"/>
      <c r="P5608" s="26"/>
      <c r="S5608" s="10" t="str">
        <f t="shared" si="439"/>
        <v/>
      </c>
    </row>
    <row r="5609" spans="5:19" x14ac:dyDescent="0.3">
      <c r="E5609" s="9" t="str">
        <f>IF(DADOS!C5609="","",DADOS!C5609)</f>
        <v/>
      </c>
      <c r="F5609" s="9" t="str">
        <f>IF(DADOS!E5609="","",DADOS!E5609)</f>
        <v/>
      </c>
      <c r="G5609" s="9" t="str">
        <f>IF(DADOS!F5609="","",DADOS!F5609)</f>
        <v/>
      </c>
      <c r="K5609" s="6" t="str">
        <f t="shared" si="440"/>
        <v/>
      </c>
      <c r="L5609" s="7" t="str">
        <f t="shared" si="441"/>
        <v/>
      </c>
      <c r="M5609" s="7" t="str">
        <f t="shared" si="438"/>
        <v/>
      </c>
      <c r="N5609" s="7" t="str">
        <f t="shared" si="442"/>
        <v/>
      </c>
      <c r="O5609" s="8"/>
      <c r="P5609" s="26"/>
      <c r="S5609" s="10" t="str">
        <f t="shared" si="439"/>
        <v/>
      </c>
    </row>
    <row r="5610" spans="5:19" x14ac:dyDescent="0.3">
      <c r="E5610" s="9" t="str">
        <f>IF(DADOS!C5610="","",DADOS!C5610)</f>
        <v/>
      </c>
      <c r="F5610" s="9" t="str">
        <f>IF(DADOS!E5610="","",DADOS!E5610)</f>
        <v/>
      </c>
      <c r="G5610" s="9" t="str">
        <f>IF(DADOS!F5610="","",DADOS!F5610)</f>
        <v/>
      </c>
      <c r="K5610" s="6" t="str">
        <f t="shared" si="440"/>
        <v/>
      </c>
      <c r="L5610" s="7" t="str">
        <f t="shared" si="441"/>
        <v/>
      </c>
      <c r="M5610" s="7" t="str">
        <f t="shared" si="438"/>
        <v/>
      </c>
      <c r="N5610" s="7" t="str">
        <f t="shared" si="442"/>
        <v/>
      </c>
      <c r="O5610" s="8"/>
      <c r="P5610" s="26"/>
      <c r="S5610" s="10" t="str">
        <f t="shared" si="439"/>
        <v/>
      </c>
    </row>
    <row r="5611" spans="5:19" x14ac:dyDescent="0.3">
      <c r="E5611" s="9" t="str">
        <f>IF(DADOS!C5611="","",DADOS!C5611)</f>
        <v/>
      </c>
      <c r="F5611" s="9" t="str">
        <f>IF(DADOS!E5611="","",DADOS!E5611)</f>
        <v/>
      </c>
      <c r="G5611" s="9" t="str">
        <f>IF(DADOS!F5611="","",DADOS!F5611)</f>
        <v/>
      </c>
      <c r="K5611" s="6" t="str">
        <f t="shared" si="440"/>
        <v/>
      </c>
      <c r="L5611" s="7" t="str">
        <f t="shared" si="441"/>
        <v/>
      </c>
      <c r="M5611" s="7" t="str">
        <f t="shared" si="438"/>
        <v/>
      </c>
      <c r="N5611" s="7" t="str">
        <f t="shared" si="442"/>
        <v/>
      </c>
      <c r="O5611" s="8"/>
      <c r="P5611" s="26"/>
      <c r="S5611" s="10" t="str">
        <f t="shared" si="439"/>
        <v/>
      </c>
    </row>
    <row r="5612" spans="5:19" x14ac:dyDescent="0.3">
      <c r="E5612" s="9" t="str">
        <f>IF(DADOS!C5612="","",DADOS!C5612)</f>
        <v/>
      </c>
      <c r="F5612" s="9" t="str">
        <f>IF(DADOS!E5612="","",DADOS!E5612)</f>
        <v/>
      </c>
      <c r="G5612" s="9" t="str">
        <f>IF(DADOS!F5612="","",DADOS!F5612)</f>
        <v/>
      </c>
      <c r="K5612" s="6" t="str">
        <f t="shared" si="440"/>
        <v/>
      </c>
      <c r="L5612" s="7" t="str">
        <f t="shared" si="441"/>
        <v/>
      </c>
      <c r="M5612" s="7" t="str">
        <f t="shared" si="438"/>
        <v/>
      </c>
      <c r="N5612" s="7" t="str">
        <f t="shared" si="442"/>
        <v/>
      </c>
      <c r="O5612" s="8"/>
      <c r="P5612" s="26"/>
      <c r="S5612" s="10" t="str">
        <f t="shared" si="439"/>
        <v/>
      </c>
    </row>
    <row r="5613" spans="5:19" x14ac:dyDescent="0.3">
      <c r="E5613" s="9" t="str">
        <f>IF(DADOS!C5613="","",DADOS!C5613)</f>
        <v/>
      </c>
      <c r="F5613" s="9" t="str">
        <f>IF(DADOS!E5613="","",DADOS!E5613)</f>
        <v/>
      </c>
      <c r="G5613" s="9" t="str">
        <f>IF(DADOS!F5613="","",DADOS!F5613)</f>
        <v/>
      </c>
      <c r="K5613" s="6" t="str">
        <f t="shared" si="440"/>
        <v/>
      </c>
      <c r="L5613" s="7" t="str">
        <f t="shared" si="441"/>
        <v/>
      </c>
      <c r="M5613" s="7" t="str">
        <f t="shared" si="438"/>
        <v/>
      </c>
      <c r="N5613" s="7" t="str">
        <f t="shared" si="442"/>
        <v/>
      </c>
      <c r="O5613" s="8"/>
      <c r="P5613" s="26"/>
      <c r="S5613" s="10" t="str">
        <f t="shared" si="439"/>
        <v/>
      </c>
    </row>
    <row r="5614" spans="5:19" x14ac:dyDescent="0.3">
      <c r="E5614" s="9" t="str">
        <f>IF(DADOS!C5614="","",DADOS!C5614)</f>
        <v/>
      </c>
      <c r="F5614" s="9" t="str">
        <f>IF(DADOS!E5614="","",DADOS!E5614)</f>
        <v/>
      </c>
      <c r="G5614" s="9" t="str">
        <f>IF(DADOS!F5614="","",DADOS!F5614)</f>
        <v/>
      </c>
      <c r="K5614" s="6" t="str">
        <f t="shared" si="440"/>
        <v/>
      </c>
      <c r="L5614" s="7" t="str">
        <f t="shared" si="441"/>
        <v/>
      </c>
      <c r="M5614" s="7" t="str">
        <f t="shared" si="438"/>
        <v/>
      </c>
      <c r="N5614" s="7" t="str">
        <f t="shared" si="442"/>
        <v/>
      </c>
      <c r="O5614" s="8"/>
      <c r="P5614" s="26"/>
      <c r="S5614" s="10" t="str">
        <f t="shared" si="439"/>
        <v/>
      </c>
    </row>
    <row r="5615" spans="5:19" x14ac:dyDescent="0.3">
      <c r="E5615" s="9" t="str">
        <f>IF(DADOS!C5615="","",DADOS!C5615)</f>
        <v/>
      </c>
      <c r="F5615" s="9" t="str">
        <f>IF(DADOS!E5615="","",DADOS!E5615)</f>
        <v/>
      </c>
      <c r="G5615" s="9" t="str">
        <f>IF(DADOS!F5615="","",DADOS!F5615)</f>
        <v/>
      </c>
      <c r="K5615" s="6" t="str">
        <f t="shared" si="440"/>
        <v/>
      </c>
      <c r="L5615" s="7" t="str">
        <f t="shared" si="441"/>
        <v/>
      </c>
      <c r="M5615" s="7" t="str">
        <f t="shared" si="438"/>
        <v/>
      </c>
      <c r="N5615" s="7" t="str">
        <f t="shared" si="442"/>
        <v/>
      </c>
      <c r="O5615" s="8"/>
      <c r="P5615" s="26"/>
      <c r="S5615" s="10" t="str">
        <f t="shared" si="439"/>
        <v/>
      </c>
    </row>
    <row r="5616" spans="5:19" x14ac:dyDescent="0.3">
      <c r="E5616" s="9" t="str">
        <f>IF(DADOS!C5616="","",DADOS!C5616)</f>
        <v/>
      </c>
      <c r="F5616" s="9" t="str">
        <f>IF(DADOS!E5616="","",DADOS!E5616)</f>
        <v/>
      </c>
      <c r="G5616" s="9" t="str">
        <f>IF(DADOS!F5616="","",DADOS!F5616)</f>
        <v/>
      </c>
      <c r="K5616" s="6" t="str">
        <f t="shared" si="440"/>
        <v/>
      </c>
      <c r="L5616" s="7" t="str">
        <f t="shared" si="441"/>
        <v/>
      </c>
      <c r="M5616" s="7" t="str">
        <f t="shared" si="438"/>
        <v/>
      </c>
      <c r="N5616" s="7" t="str">
        <f t="shared" si="442"/>
        <v/>
      </c>
      <c r="O5616" s="8"/>
      <c r="P5616" s="26"/>
      <c r="S5616" s="10" t="str">
        <f t="shared" si="439"/>
        <v/>
      </c>
    </row>
    <row r="5617" spans="5:19" x14ac:dyDescent="0.3">
      <c r="E5617" s="9" t="str">
        <f>IF(DADOS!C5617="","",DADOS!C5617)</f>
        <v/>
      </c>
      <c r="F5617" s="9" t="str">
        <f>IF(DADOS!E5617="","",DADOS!E5617)</f>
        <v/>
      </c>
      <c r="G5617" s="9" t="str">
        <f>IF(DADOS!F5617="","",DADOS!F5617)</f>
        <v/>
      </c>
      <c r="K5617" s="6" t="str">
        <f t="shared" si="440"/>
        <v/>
      </c>
      <c r="L5617" s="7" t="str">
        <f t="shared" si="441"/>
        <v/>
      </c>
      <c r="M5617" s="7" t="str">
        <f t="shared" si="438"/>
        <v/>
      </c>
      <c r="N5617" s="7" t="str">
        <f t="shared" si="442"/>
        <v/>
      </c>
      <c r="O5617" s="8"/>
      <c r="P5617" s="26"/>
      <c r="S5617" s="10" t="str">
        <f t="shared" si="439"/>
        <v/>
      </c>
    </row>
    <row r="5618" spans="5:19" x14ac:dyDescent="0.3">
      <c r="E5618" s="9" t="str">
        <f>IF(DADOS!C5618="","",DADOS!C5618)</f>
        <v/>
      </c>
      <c r="F5618" s="9" t="str">
        <f>IF(DADOS!E5618="","",DADOS!E5618)</f>
        <v/>
      </c>
      <c r="G5618" s="9" t="str">
        <f>IF(DADOS!F5618="","",DADOS!F5618)</f>
        <v/>
      </c>
      <c r="K5618" s="6" t="str">
        <f t="shared" si="440"/>
        <v/>
      </c>
      <c r="L5618" s="7" t="str">
        <f t="shared" si="441"/>
        <v/>
      </c>
      <c r="M5618" s="7" t="str">
        <f t="shared" si="438"/>
        <v/>
      </c>
      <c r="N5618" s="7" t="str">
        <f t="shared" si="442"/>
        <v/>
      </c>
      <c r="O5618" s="8"/>
      <c r="P5618" s="26"/>
      <c r="S5618" s="10" t="str">
        <f t="shared" si="439"/>
        <v/>
      </c>
    </row>
    <row r="5619" spans="5:19" x14ac:dyDescent="0.3">
      <c r="E5619" s="9" t="str">
        <f>IF(DADOS!C5619="","",DADOS!C5619)</f>
        <v/>
      </c>
      <c r="F5619" s="9" t="str">
        <f>IF(DADOS!E5619="","",DADOS!E5619)</f>
        <v/>
      </c>
      <c r="G5619" s="9" t="str">
        <f>IF(DADOS!F5619="","",DADOS!F5619)</f>
        <v/>
      </c>
      <c r="K5619" s="6" t="str">
        <f t="shared" si="440"/>
        <v/>
      </c>
      <c r="L5619" s="7" t="str">
        <f t="shared" si="441"/>
        <v/>
      </c>
      <c r="M5619" s="7" t="str">
        <f t="shared" si="438"/>
        <v/>
      </c>
      <c r="N5619" s="7" t="str">
        <f t="shared" si="442"/>
        <v/>
      </c>
      <c r="O5619" s="8"/>
      <c r="P5619" s="26"/>
      <c r="S5619" s="10" t="str">
        <f t="shared" si="439"/>
        <v/>
      </c>
    </row>
    <row r="5620" spans="5:19" x14ac:dyDescent="0.3">
      <c r="E5620" s="9" t="str">
        <f>IF(DADOS!C5620="","",DADOS!C5620)</f>
        <v/>
      </c>
      <c r="F5620" s="9" t="str">
        <f>IF(DADOS!E5620="","",DADOS!E5620)</f>
        <v/>
      </c>
      <c r="G5620" s="9" t="str">
        <f>IF(DADOS!F5620="","",DADOS!F5620)</f>
        <v/>
      </c>
      <c r="K5620" s="6" t="str">
        <f t="shared" si="440"/>
        <v/>
      </c>
      <c r="L5620" s="7" t="str">
        <f t="shared" si="441"/>
        <v/>
      </c>
      <c r="M5620" s="7" t="str">
        <f t="shared" si="438"/>
        <v/>
      </c>
      <c r="N5620" s="7" t="str">
        <f t="shared" si="442"/>
        <v/>
      </c>
      <c r="O5620" s="8"/>
      <c r="P5620" s="26"/>
      <c r="S5620" s="10" t="str">
        <f t="shared" si="439"/>
        <v/>
      </c>
    </row>
    <row r="5621" spans="5:19" x14ac:dyDescent="0.3">
      <c r="E5621" s="9" t="str">
        <f>IF(DADOS!C5621="","",DADOS!C5621)</f>
        <v/>
      </c>
      <c r="F5621" s="9" t="str">
        <f>IF(DADOS!E5621="","",DADOS!E5621)</f>
        <v/>
      </c>
      <c r="G5621" s="9" t="str">
        <f>IF(DADOS!F5621="","",DADOS!F5621)</f>
        <v/>
      </c>
      <c r="K5621" s="6" t="str">
        <f t="shared" si="440"/>
        <v/>
      </c>
      <c r="L5621" s="7" t="str">
        <f t="shared" si="441"/>
        <v/>
      </c>
      <c r="M5621" s="7" t="str">
        <f t="shared" si="438"/>
        <v/>
      </c>
      <c r="N5621" s="7" t="str">
        <f t="shared" si="442"/>
        <v/>
      </c>
      <c r="O5621" s="8"/>
      <c r="P5621" s="26"/>
      <c r="S5621" s="10" t="str">
        <f t="shared" si="439"/>
        <v/>
      </c>
    </row>
    <row r="5622" spans="5:19" x14ac:dyDescent="0.3">
      <c r="E5622" s="9" t="str">
        <f>IF(DADOS!C5622="","",DADOS!C5622)</f>
        <v/>
      </c>
      <c r="F5622" s="9" t="str">
        <f>IF(DADOS!E5622="","",DADOS!E5622)</f>
        <v/>
      </c>
      <c r="G5622" s="9" t="str">
        <f>IF(DADOS!F5622="","",DADOS!F5622)</f>
        <v/>
      </c>
      <c r="K5622" s="6" t="str">
        <f t="shared" si="440"/>
        <v/>
      </c>
      <c r="L5622" s="7" t="str">
        <f t="shared" si="441"/>
        <v/>
      </c>
      <c r="M5622" s="7" t="str">
        <f t="shared" si="438"/>
        <v/>
      </c>
      <c r="N5622" s="7" t="str">
        <f t="shared" si="442"/>
        <v/>
      </c>
      <c r="O5622" s="8"/>
      <c r="P5622" s="26"/>
      <c r="S5622" s="10" t="str">
        <f t="shared" si="439"/>
        <v/>
      </c>
    </row>
    <row r="5623" spans="5:19" x14ac:dyDescent="0.3">
      <c r="E5623" s="9" t="str">
        <f>IF(DADOS!C5623="","",DADOS!C5623)</f>
        <v/>
      </c>
      <c r="F5623" s="9" t="str">
        <f>IF(DADOS!E5623="","",DADOS!E5623)</f>
        <v/>
      </c>
      <c r="G5623" s="9" t="str">
        <f>IF(DADOS!F5623="","",DADOS!F5623)</f>
        <v/>
      </c>
      <c r="K5623" s="6" t="str">
        <f t="shared" si="440"/>
        <v/>
      </c>
      <c r="L5623" s="7" t="str">
        <f t="shared" si="441"/>
        <v/>
      </c>
      <c r="M5623" s="7" t="str">
        <f t="shared" si="438"/>
        <v/>
      </c>
      <c r="N5623" s="7" t="str">
        <f t="shared" si="442"/>
        <v/>
      </c>
      <c r="O5623" s="8"/>
      <c r="P5623" s="26"/>
      <c r="S5623" s="10" t="str">
        <f t="shared" si="439"/>
        <v/>
      </c>
    </row>
    <row r="5624" spans="5:19" x14ac:dyDescent="0.3">
      <c r="E5624" s="9" t="str">
        <f>IF(DADOS!C5624="","",DADOS!C5624)</f>
        <v/>
      </c>
      <c r="F5624" s="9" t="str">
        <f>IF(DADOS!E5624="","",DADOS!E5624)</f>
        <v/>
      </c>
      <c r="G5624" s="9" t="str">
        <f>IF(DADOS!F5624="","",DADOS!F5624)</f>
        <v/>
      </c>
      <c r="K5624" s="6" t="str">
        <f t="shared" si="440"/>
        <v/>
      </c>
      <c r="L5624" s="7" t="str">
        <f t="shared" si="441"/>
        <v/>
      </c>
      <c r="M5624" s="7" t="str">
        <f t="shared" si="438"/>
        <v/>
      </c>
      <c r="N5624" s="7" t="str">
        <f t="shared" si="442"/>
        <v/>
      </c>
      <c r="O5624" s="8"/>
      <c r="P5624" s="26"/>
      <c r="S5624" s="10" t="str">
        <f t="shared" si="439"/>
        <v/>
      </c>
    </row>
    <row r="5625" spans="5:19" x14ac:dyDescent="0.3">
      <c r="E5625" s="9" t="str">
        <f>IF(DADOS!C5625="","",DADOS!C5625)</f>
        <v/>
      </c>
      <c r="F5625" s="9" t="str">
        <f>IF(DADOS!E5625="","",DADOS!E5625)</f>
        <v/>
      </c>
      <c r="G5625" s="9" t="str">
        <f>IF(DADOS!F5625="","",DADOS!F5625)</f>
        <v/>
      </c>
      <c r="K5625" s="6" t="str">
        <f t="shared" si="440"/>
        <v/>
      </c>
      <c r="L5625" s="7" t="str">
        <f t="shared" si="441"/>
        <v/>
      </c>
      <c r="M5625" s="7" t="str">
        <f t="shared" si="438"/>
        <v/>
      </c>
      <c r="N5625" s="7" t="str">
        <f t="shared" si="442"/>
        <v/>
      </c>
      <c r="O5625" s="8"/>
      <c r="P5625" s="26"/>
      <c r="S5625" s="10" t="str">
        <f t="shared" si="439"/>
        <v/>
      </c>
    </row>
    <row r="5626" spans="5:19" x14ac:dyDescent="0.3">
      <c r="E5626" s="9" t="str">
        <f>IF(DADOS!C5626="","",DADOS!C5626)</f>
        <v/>
      </c>
      <c r="F5626" s="9" t="str">
        <f>IF(DADOS!E5626="","",DADOS!E5626)</f>
        <v/>
      </c>
      <c r="G5626" s="9" t="str">
        <f>IF(DADOS!F5626="","",DADOS!F5626)</f>
        <v/>
      </c>
      <c r="K5626" s="6" t="str">
        <f t="shared" si="440"/>
        <v/>
      </c>
      <c r="L5626" s="7" t="str">
        <f t="shared" si="441"/>
        <v/>
      </c>
      <c r="M5626" s="7" t="str">
        <f t="shared" si="438"/>
        <v/>
      </c>
      <c r="N5626" s="7" t="str">
        <f t="shared" si="442"/>
        <v/>
      </c>
      <c r="O5626" s="8"/>
      <c r="P5626" s="26"/>
      <c r="S5626" s="10" t="str">
        <f t="shared" si="439"/>
        <v/>
      </c>
    </row>
    <row r="5627" spans="5:19" x14ac:dyDescent="0.3">
      <c r="E5627" s="9" t="str">
        <f>IF(DADOS!C5627="","",DADOS!C5627)</f>
        <v/>
      </c>
      <c r="F5627" s="9" t="str">
        <f>IF(DADOS!E5627="","",DADOS!E5627)</f>
        <v/>
      </c>
      <c r="G5627" s="9" t="str">
        <f>IF(DADOS!F5627="","",DADOS!F5627)</f>
        <v/>
      </c>
      <c r="K5627" s="6" t="str">
        <f t="shared" si="440"/>
        <v/>
      </c>
      <c r="L5627" s="7" t="str">
        <f t="shared" si="441"/>
        <v/>
      </c>
      <c r="M5627" s="7" t="str">
        <f t="shared" si="438"/>
        <v/>
      </c>
      <c r="N5627" s="7" t="str">
        <f t="shared" si="442"/>
        <v/>
      </c>
      <c r="O5627" s="8"/>
      <c r="P5627" s="26"/>
      <c r="S5627" s="10" t="str">
        <f t="shared" si="439"/>
        <v/>
      </c>
    </row>
    <row r="5628" spans="5:19" x14ac:dyDescent="0.3">
      <c r="E5628" s="9" t="str">
        <f>IF(DADOS!C5628="","",DADOS!C5628)</f>
        <v/>
      </c>
      <c r="F5628" s="9" t="str">
        <f>IF(DADOS!E5628="","",DADOS!E5628)</f>
        <v/>
      </c>
      <c r="G5628" s="9" t="str">
        <f>IF(DADOS!F5628="","",DADOS!F5628)</f>
        <v/>
      </c>
      <c r="K5628" s="6" t="str">
        <f t="shared" si="440"/>
        <v/>
      </c>
      <c r="L5628" s="7" t="str">
        <f t="shared" si="441"/>
        <v/>
      </c>
      <c r="M5628" s="7" t="str">
        <f t="shared" si="438"/>
        <v/>
      </c>
      <c r="N5628" s="7" t="str">
        <f t="shared" si="442"/>
        <v/>
      </c>
      <c r="O5628" s="8"/>
      <c r="P5628" s="26"/>
      <c r="S5628" s="10" t="str">
        <f t="shared" si="439"/>
        <v/>
      </c>
    </row>
    <row r="5629" spans="5:19" x14ac:dyDescent="0.3">
      <c r="E5629" s="9" t="str">
        <f>IF(DADOS!C5629="","",DADOS!C5629)</f>
        <v/>
      </c>
      <c r="F5629" s="9" t="str">
        <f>IF(DADOS!E5629="","",DADOS!E5629)</f>
        <v/>
      </c>
      <c r="G5629" s="9" t="str">
        <f>IF(DADOS!F5629="","",DADOS!F5629)</f>
        <v/>
      </c>
      <c r="K5629" s="6" t="str">
        <f t="shared" si="440"/>
        <v/>
      </c>
      <c r="L5629" s="7" t="str">
        <f t="shared" si="441"/>
        <v/>
      </c>
      <c r="M5629" s="7" t="str">
        <f t="shared" si="438"/>
        <v/>
      </c>
      <c r="N5629" s="7" t="str">
        <f t="shared" si="442"/>
        <v/>
      </c>
      <c r="O5629" s="8"/>
      <c r="P5629" s="26"/>
      <c r="S5629" s="10" t="str">
        <f t="shared" si="439"/>
        <v/>
      </c>
    </row>
    <row r="5630" spans="5:19" x14ac:dyDescent="0.3">
      <c r="E5630" s="9" t="str">
        <f>IF(DADOS!C5630="","",DADOS!C5630)</f>
        <v/>
      </c>
      <c r="F5630" s="9" t="str">
        <f>IF(DADOS!E5630="","",DADOS!E5630)</f>
        <v/>
      </c>
      <c r="G5630" s="9" t="str">
        <f>IF(DADOS!F5630="","",DADOS!F5630)</f>
        <v/>
      </c>
      <c r="K5630" s="6" t="str">
        <f t="shared" si="440"/>
        <v/>
      </c>
      <c r="L5630" s="7" t="str">
        <f t="shared" si="441"/>
        <v/>
      </c>
      <c r="M5630" s="7" t="str">
        <f t="shared" si="438"/>
        <v/>
      </c>
      <c r="N5630" s="7" t="str">
        <f t="shared" si="442"/>
        <v/>
      </c>
      <c r="O5630" s="8"/>
      <c r="P5630" s="26"/>
      <c r="S5630" s="10" t="str">
        <f t="shared" si="439"/>
        <v/>
      </c>
    </row>
    <row r="5631" spans="5:19" x14ac:dyDescent="0.3">
      <c r="E5631" s="9" t="str">
        <f>IF(DADOS!C5631="","",DADOS!C5631)</f>
        <v/>
      </c>
      <c r="F5631" s="9" t="str">
        <f>IF(DADOS!E5631="","",DADOS!E5631)</f>
        <v/>
      </c>
      <c r="G5631" s="9" t="str">
        <f>IF(DADOS!F5631="","",DADOS!F5631)</f>
        <v/>
      </c>
      <c r="K5631" s="6" t="str">
        <f t="shared" si="440"/>
        <v/>
      </c>
      <c r="L5631" s="7" t="str">
        <f t="shared" si="441"/>
        <v/>
      </c>
      <c r="M5631" s="7" t="str">
        <f t="shared" si="438"/>
        <v/>
      </c>
      <c r="N5631" s="7" t="str">
        <f t="shared" si="442"/>
        <v/>
      </c>
      <c r="O5631" s="8"/>
      <c r="P5631" s="26"/>
      <c r="S5631" s="10" t="str">
        <f t="shared" si="439"/>
        <v/>
      </c>
    </row>
    <row r="5632" spans="5:19" x14ac:dyDescent="0.3">
      <c r="E5632" s="9" t="str">
        <f>IF(DADOS!C5632="","",DADOS!C5632)</f>
        <v/>
      </c>
      <c r="F5632" s="9" t="str">
        <f>IF(DADOS!E5632="","",DADOS!E5632)</f>
        <v/>
      </c>
      <c r="G5632" s="9" t="str">
        <f>IF(DADOS!F5632="","",DADOS!F5632)</f>
        <v/>
      </c>
      <c r="K5632" s="6" t="str">
        <f t="shared" si="440"/>
        <v/>
      </c>
      <c r="L5632" s="7" t="str">
        <f t="shared" si="441"/>
        <v/>
      </c>
      <c r="M5632" s="7" t="str">
        <f t="shared" si="438"/>
        <v/>
      </c>
      <c r="N5632" s="7" t="str">
        <f t="shared" si="442"/>
        <v/>
      </c>
      <c r="O5632" s="8"/>
      <c r="P5632" s="26"/>
      <c r="S5632" s="10" t="str">
        <f t="shared" si="439"/>
        <v/>
      </c>
    </row>
    <row r="5633" spans="5:19" x14ac:dyDescent="0.3">
      <c r="E5633" s="9" t="str">
        <f>IF(DADOS!C5633="","",DADOS!C5633)</f>
        <v/>
      </c>
      <c r="F5633" s="9" t="str">
        <f>IF(DADOS!E5633="","",DADOS!E5633)</f>
        <v/>
      </c>
      <c r="G5633" s="9" t="str">
        <f>IF(DADOS!F5633="","",DADOS!F5633)</f>
        <v/>
      </c>
      <c r="K5633" s="6" t="str">
        <f t="shared" si="440"/>
        <v/>
      </c>
      <c r="L5633" s="7" t="str">
        <f t="shared" si="441"/>
        <v/>
      </c>
      <c r="M5633" s="7" t="str">
        <f t="shared" si="438"/>
        <v/>
      </c>
      <c r="N5633" s="7" t="str">
        <f t="shared" si="442"/>
        <v/>
      </c>
      <c r="O5633" s="8"/>
      <c r="P5633" s="26"/>
      <c r="S5633" s="10" t="str">
        <f t="shared" si="439"/>
        <v/>
      </c>
    </row>
    <row r="5634" spans="5:19" x14ac:dyDescent="0.3">
      <c r="E5634" s="9" t="str">
        <f>IF(DADOS!C5634="","",DADOS!C5634)</f>
        <v/>
      </c>
      <c r="F5634" s="9" t="str">
        <f>IF(DADOS!E5634="","",DADOS!E5634)</f>
        <v/>
      </c>
      <c r="G5634" s="9" t="str">
        <f>IF(DADOS!F5634="","",DADOS!F5634)</f>
        <v/>
      </c>
      <c r="K5634" s="6" t="str">
        <f t="shared" si="440"/>
        <v/>
      </c>
      <c r="L5634" s="7" t="str">
        <f t="shared" si="441"/>
        <v/>
      </c>
      <c r="M5634" s="7" t="str">
        <f t="shared" si="438"/>
        <v/>
      </c>
      <c r="N5634" s="7" t="str">
        <f t="shared" si="442"/>
        <v/>
      </c>
      <c r="O5634" s="8"/>
      <c r="P5634" s="26"/>
      <c r="S5634" s="10" t="str">
        <f t="shared" si="439"/>
        <v/>
      </c>
    </row>
    <row r="5635" spans="5:19" x14ac:dyDescent="0.3">
      <c r="E5635" s="9" t="str">
        <f>IF(DADOS!C5635="","",DADOS!C5635)</f>
        <v/>
      </c>
      <c r="F5635" s="9" t="str">
        <f>IF(DADOS!E5635="","",DADOS!E5635)</f>
        <v/>
      </c>
      <c r="G5635" s="9" t="str">
        <f>IF(DADOS!F5635="","",DADOS!F5635)</f>
        <v/>
      </c>
      <c r="K5635" s="6" t="str">
        <f t="shared" si="440"/>
        <v/>
      </c>
      <c r="L5635" s="7" t="str">
        <f t="shared" si="441"/>
        <v/>
      </c>
      <c r="M5635" s="7" t="str">
        <f t="shared" ref="M5635:M5698" si="443">IF(L5635="","",L5635*G5635)</f>
        <v/>
      </c>
      <c r="N5635" s="7" t="str">
        <f t="shared" si="442"/>
        <v/>
      </c>
      <c r="O5635" s="8"/>
      <c r="P5635" s="26"/>
      <c r="S5635" s="10" t="str">
        <f t="shared" ref="S5635:S5698" si="444">IF(R5635="","",SUMIFS($N$3:$N$10000,$E$3:$E$10000,R5635))</f>
        <v/>
      </c>
    </row>
    <row r="5636" spans="5:19" x14ac:dyDescent="0.3">
      <c r="E5636" s="9" t="str">
        <f>IF(DADOS!C5636="","",DADOS!C5636)</f>
        <v/>
      </c>
      <c r="F5636" s="9" t="str">
        <f>IF(DADOS!E5636="","",DADOS!E5636)</f>
        <v/>
      </c>
      <c r="G5636" s="9" t="str">
        <f>IF(DADOS!F5636="","",DADOS!F5636)</f>
        <v/>
      </c>
      <c r="K5636" s="6" t="str">
        <f t="shared" ref="K5636:K5699" si="445">IF(F5636="","",F5636/PI())</f>
        <v/>
      </c>
      <c r="L5636" s="7" t="str">
        <f t="shared" ref="L5636:L5699" si="446">IF(K5636="","",(PI()*K5636^2)/40000)</f>
        <v/>
      </c>
      <c r="M5636" s="7" t="str">
        <f t="shared" si="443"/>
        <v/>
      </c>
      <c r="N5636" s="7" t="str">
        <f t="shared" ref="N5636:N5699" si="447">IF(M5636="","",M5636*N$1)</f>
        <v/>
      </c>
      <c r="O5636" s="8"/>
      <c r="P5636" s="26"/>
      <c r="S5636" s="10" t="str">
        <f t="shared" si="444"/>
        <v/>
      </c>
    </row>
    <row r="5637" spans="5:19" x14ac:dyDescent="0.3">
      <c r="E5637" s="9" t="str">
        <f>IF(DADOS!C5637="","",DADOS!C5637)</f>
        <v/>
      </c>
      <c r="F5637" s="9" t="str">
        <f>IF(DADOS!E5637="","",DADOS!E5637)</f>
        <v/>
      </c>
      <c r="G5637" s="9" t="str">
        <f>IF(DADOS!F5637="","",DADOS!F5637)</f>
        <v/>
      </c>
      <c r="K5637" s="6" t="str">
        <f t="shared" si="445"/>
        <v/>
      </c>
      <c r="L5637" s="7" t="str">
        <f t="shared" si="446"/>
        <v/>
      </c>
      <c r="M5637" s="7" t="str">
        <f t="shared" si="443"/>
        <v/>
      </c>
      <c r="N5637" s="7" t="str">
        <f t="shared" si="447"/>
        <v/>
      </c>
      <c r="O5637" s="8"/>
      <c r="P5637" s="26"/>
      <c r="S5637" s="10" t="str">
        <f t="shared" si="444"/>
        <v/>
      </c>
    </row>
    <row r="5638" spans="5:19" x14ac:dyDescent="0.3">
      <c r="E5638" s="9" t="str">
        <f>IF(DADOS!C5638="","",DADOS!C5638)</f>
        <v/>
      </c>
      <c r="F5638" s="9" t="str">
        <f>IF(DADOS!E5638="","",DADOS!E5638)</f>
        <v/>
      </c>
      <c r="G5638" s="9" t="str">
        <f>IF(DADOS!F5638="","",DADOS!F5638)</f>
        <v/>
      </c>
      <c r="K5638" s="6" t="str">
        <f t="shared" si="445"/>
        <v/>
      </c>
      <c r="L5638" s="7" t="str">
        <f t="shared" si="446"/>
        <v/>
      </c>
      <c r="M5638" s="7" t="str">
        <f t="shared" si="443"/>
        <v/>
      </c>
      <c r="N5638" s="7" t="str">
        <f t="shared" si="447"/>
        <v/>
      </c>
      <c r="O5638" s="8"/>
      <c r="P5638" s="26"/>
      <c r="S5638" s="10" t="str">
        <f t="shared" si="444"/>
        <v/>
      </c>
    </row>
    <row r="5639" spans="5:19" x14ac:dyDescent="0.3">
      <c r="E5639" s="9" t="str">
        <f>IF(DADOS!C5639="","",DADOS!C5639)</f>
        <v/>
      </c>
      <c r="F5639" s="9" t="str">
        <f>IF(DADOS!E5639="","",DADOS!E5639)</f>
        <v/>
      </c>
      <c r="G5639" s="9" t="str">
        <f>IF(DADOS!F5639="","",DADOS!F5639)</f>
        <v/>
      </c>
      <c r="K5639" s="6" t="str">
        <f t="shared" si="445"/>
        <v/>
      </c>
      <c r="L5639" s="7" t="str">
        <f t="shared" si="446"/>
        <v/>
      </c>
      <c r="M5639" s="7" t="str">
        <f t="shared" si="443"/>
        <v/>
      </c>
      <c r="N5639" s="7" t="str">
        <f t="shared" si="447"/>
        <v/>
      </c>
      <c r="O5639" s="8"/>
      <c r="P5639" s="26"/>
      <c r="S5639" s="10" t="str">
        <f t="shared" si="444"/>
        <v/>
      </c>
    </row>
    <row r="5640" spans="5:19" x14ac:dyDescent="0.3">
      <c r="E5640" s="9" t="str">
        <f>IF(DADOS!C5640="","",DADOS!C5640)</f>
        <v/>
      </c>
      <c r="F5640" s="9" t="str">
        <f>IF(DADOS!E5640="","",DADOS!E5640)</f>
        <v/>
      </c>
      <c r="G5640" s="9" t="str">
        <f>IF(DADOS!F5640="","",DADOS!F5640)</f>
        <v/>
      </c>
      <c r="K5640" s="6" t="str">
        <f t="shared" si="445"/>
        <v/>
      </c>
      <c r="L5640" s="7" t="str">
        <f t="shared" si="446"/>
        <v/>
      </c>
      <c r="M5640" s="7" t="str">
        <f t="shared" si="443"/>
        <v/>
      </c>
      <c r="N5640" s="7" t="str">
        <f t="shared" si="447"/>
        <v/>
      </c>
      <c r="O5640" s="8"/>
      <c r="P5640" s="26"/>
      <c r="S5640" s="10" t="str">
        <f t="shared" si="444"/>
        <v/>
      </c>
    </row>
    <row r="5641" spans="5:19" x14ac:dyDescent="0.3">
      <c r="E5641" s="9" t="str">
        <f>IF(DADOS!C5641="","",DADOS!C5641)</f>
        <v/>
      </c>
      <c r="F5641" s="9" t="str">
        <f>IF(DADOS!E5641="","",DADOS!E5641)</f>
        <v/>
      </c>
      <c r="G5641" s="9" t="str">
        <f>IF(DADOS!F5641="","",DADOS!F5641)</f>
        <v/>
      </c>
      <c r="K5641" s="6" t="str">
        <f t="shared" si="445"/>
        <v/>
      </c>
      <c r="L5641" s="7" t="str">
        <f t="shared" si="446"/>
        <v/>
      </c>
      <c r="M5641" s="7" t="str">
        <f t="shared" si="443"/>
        <v/>
      </c>
      <c r="N5641" s="7" t="str">
        <f t="shared" si="447"/>
        <v/>
      </c>
      <c r="O5641" s="8"/>
      <c r="P5641" s="26"/>
      <c r="S5641" s="10" t="str">
        <f t="shared" si="444"/>
        <v/>
      </c>
    </row>
    <row r="5642" spans="5:19" x14ac:dyDescent="0.3">
      <c r="E5642" s="9" t="str">
        <f>IF(DADOS!C5642="","",DADOS!C5642)</f>
        <v/>
      </c>
      <c r="F5642" s="9" t="str">
        <f>IF(DADOS!E5642="","",DADOS!E5642)</f>
        <v/>
      </c>
      <c r="G5642" s="9" t="str">
        <f>IF(DADOS!F5642="","",DADOS!F5642)</f>
        <v/>
      </c>
      <c r="K5642" s="6" t="str">
        <f t="shared" si="445"/>
        <v/>
      </c>
      <c r="L5642" s="7" t="str">
        <f t="shared" si="446"/>
        <v/>
      </c>
      <c r="M5642" s="7" t="str">
        <f t="shared" si="443"/>
        <v/>
      </c>
      <c r="N5642" s="7" t="str">
        <f t="shared" si="447"/>
        <v/>
      </c>
      <c r="O5642" s="8"/>
      <c r="P5642" s="26"/>
      <c r="S5642" s="10" t="str">
        <f t="shared" si="444"/>
        <v/>
      </c>
    </row>
    <row r="5643" spans="5:19" x14ac:dyDescent="0.3">
      <c r="E5643" s="9" t="str">
        <f>IF(DADOS!C5643="","",DADOS!C5643)</f>
        <v/>
      </c>
      <c r="F5643" s="9" t="str">
        <f>IF(DADOS!E5643="","",DADOS!E5643)</f>
        <v/>
      </c>
      <c r="G5643" s="9" t="str">
        <f>IF(DADOS!F5643="","",DADOS!F5643)</f>
        <v/>
      </c>
      <c r="K5643" s="6" t="str">
        <f t="shared" si="445"/>
        <v/>
      </c>
      <c r="L5643" s="7" t="str">
        <f t="shared" si="446"/>
        <v/>
      </c>
      <c r="M5643" s="7" t="str">
        <f t="shared" si="443"/>
        <v/>
      </c>
      <c r="N5643" s="7" t="str">
        <f t="shared" si="447"/>
        <v/>
      </c>
      <c r="O5643" s="8"/>
      <c r="P5643" s="26"/>
      <c r="S5643" s="10" t="str">
        <f t="shared" si="444"/>
        <v/>
      </c>
    </row>
    <row r="5644" spans="5:19" x14ac:dyDescent="0.3">
      <c r="E5644" s="9" t="str">
        <f>IF(DADOS!C5644="","",DADOS!C5644)</f>
        <v/>
      </c>
      <c r="F5644" s="9" t="str">
        <f>IF(DADOS!E5644="","",DADOS!E5644)</f>
        <v/>
      </c>
      <c r="G5644" s="9" t="str">
        <f>IF(DADOS!F5644="","",DADOS!F5644)</f>
        <v/>
      </c>
      <c r="K5644" s="6" t="str">
        <f t="shared" si="445"/>
        <v/>
      </c>
      <c r="L5644" s="7" t="str">
        <f t="shared" si="446"/>
        <v/>
      </c>
      <c r="M5644" s="7" t="str">
        <f t="shared" si="443"/>
        <v/>
      </c>
      <c r="N5644" s="7" t="str">
        <f t="shared" si="447"/>
        <v/>
      </c>
      <c r="O5644" s="8"/>
      <c r="P5644" s="26"/>
      <c r="S5644" s="10" t="str">
        <f t="shared" si="444"/>
        <v/>
      </c>
    </row>
    <row r="5645" spans="5:19" x14ac:dyDescent="0.3">
      <c r="E5645" s="9" t="str">
        <f>IF(DADOS!C5645="","",DADOS!C5645)</f>
        <v/>
      </c>
      <c r="F5645" s="9" t="str">
        <f>IF(DADOS!E5645="","",DADOS!E5645)</f>
        <v/>
      </c>
      <c r="G5645" s="9" t="str">
        <f>IF(DADOS!F5645="","",DADOS!F5645)</f>
        <v/>
      </c>
      <c r="K5645" s="6" t="str">
        <f t="shared" si="445"/>
        <v/>
      </c>
      <c r="L5645" s="7" t="str">
        <f t="shared" si="446"/>
        <v/>
      </c>
      <c r="M5645" s="7" t="str">
        <f t="shared" si="443"/>
        <v/>
      </c>
      <c r="N5645" s="7" t="str">
        <f t="shared" si="447"/>
        <v/>
      </c>
      <c r="O5645" s="8"/>
      <c r="P5645" s="26"/>
      <c r="S5645" s="10" t="str">
        <f t="shared" si="444"/>
        <v/>
      </c>
    </row>
    <row r="5646" spans="5:19" x14ac:dyDescent="0.3">
      <c r="E5646" s="9" t="str">
        <f>IF(DADOS!C5646="","",DADOS!C5646)</f>
        <v/>
      </c>
      <c r="F5646" s="9" t="str">
        <f>IF(DADOS!E5646="","",DADOS!E5646)</f>
        <v/>
      </c>
      <c r="G5646" s="9" t="str">
        <f>IF(DADOS!F5646="","",DADOS!F5646)</f>
        <v/>
      </c>
      <c r="K5646" s="6" t="str">
        <f t="shared" si="445"/>
        <v/>
      </c>
      <c r="L5646" s="7" t="str">
        <f t="shared" si="446"/>
        <v/>
      </c>
      <c r="M5646" s="7" t="str">
        <f t="shared" si="443"/>
        <v/>
      </c>
      <c r="N5646" s="7" t="str">
        <f t="shared" si="447"/>
        <v/>
      </c>
      <c r="O5646" s="8"/>
      <c r="P5646" s="26"/>
      <c r="S5646" s="10" t="str">
        <f t="shared" si="444"/>
        <v/>
      </c>
    </row>
    <row r="5647" spans="5:19" x14ac:dyDescent="0.3">
      <c r="E5647" s="9" t="str">
        <f>IF(DADOS!C5647="","",DADOS!C5647)</f>
        <v/>
      </c>
      <c r="F5647" s="9" t="str">
        <f>IF(DADOS!E5647="","",DADOS!E5647)</f>
        <v/>
      </c>
      <c r="G5647" s="9" t="str">
        <f>IF(DADOS!F5647="","",DADOS!F5647)</f>
        <v/>
      </c>
      <c r="K5647" s="6" t="str">
        <f t="shared" si="445"/>
        <v/>
      </c>
      <c r="L5647" s="7" t="str">
        <f t="shared" si="446"/>
        <v/>
      </c>
      <c r="M5647" s="7" t="str">
        <f t="shared" si="443"/>
        <v/>
      </c>
      <c r="N5647" s="7" t="str">
        <f t="shared" si="447"/>
        <v/>
      </c>
      <c r="O5647" s="8"/>
      <c r="P5647" s="26"/>
      <c r="S5647" s="10" t="str">
        <f t="shared" si="444"/>
        <v/>
      </c>
    </row>
    <row r="5648" spans="5:19" x14ac:dyDescent="0.3">
      <c r="E5648" s="9" t="str">
        <f>IF(DADOS!C5648="","",DADOS!C5648)</f>
        <v/>
      </c>
      <c r="F5648" s="9" t="str">
        <f>IF(DADOS!E5648="","",DADOS!E5648)</f>
        <v/>
      </c>
      <c r="G5648" s="9" t="str">
        <f>IF(DADOS!F5648="","",DADOS!F5648)</f>
        <v/>
      </c>
      <c r="K5648" s="6" t="str">
        <f t="shared" si="445"/>
        <v/>
      </c>
      <c r="L5648" s="7" t="str">
        <f t="shared" si="446"/>
        <v/>
      </c>
      <c r="M5648" s="7" t="str">
        <f t="shared" si="443"/>
        <v/>
      </c>
      <c r="N5648" s="7" t="str">
        <f t="shared" si="447"/>
        <v/>
      </c>
      <c r="O5648" s="8"/>
      <c r="P5648" s="26"/>
      <c r="S5648" s="10" t="str">
        <f t="shared" si="444"/>
        <v/>
      </c>
    </row>
    <row r="5649" spans="5:19" x14ac:dyDescent="0.3">
      <c r="E5649" s="9" t="str">
        <f>IF(DADOS!C5649="","",DADOS!C5649)</f>
        <v/>
      </c>
      <c r="F5649" s="9" t="str">
        <f>IF(DADOS!E5649="","",DADOS!E5649)</f>
        <v/>
      </c>
      <c r="G5649" s="9" t="str">
        <f>IF(DADOS!F5649="","",DADOS!F5649)</f>
        <v/>
      </c>
      <c r="K5649" s="6" t="str">
        <f t="shared" si="445"/>
        <v/>
      </c>
      <c r="L5649" s="7" t="str">
        <f t="shared" si="446"/>
        <v/>
      </c>
      <c r="M5649" s="7" t="str">
        <f t="shared" si="443"/>
        <v/>
      </c>
      <c r="N5649" s="7" t="str">
        <f t="shared" si="447"/>
        <v/>
      </c>
      <c r="O5649" s="8"/>
      <c r="P5649" s="26"/>
      <c r="S5649" s="10" t="str">
        <f t="shared" si="444"/>
        <v/>
      </c>
    </row>
    <row r="5650" spans="5:19" x14ac:dyDescent="0.3">
      <c r="E5650" s="9" t="str">
        <f>IF(DADOS!C5650="","",DADOS!C5650)</f>
        <v/>
      </c>
      <c r="F5650" s="9" t="str">
        <f>IF(DADOS!E5650="","",DADOS!E5650)</f>
        <v/>
      </c>
      <c r="G5650" s="9" t="str">
        <f>IF(DADOS!F5650="","",DADOS!F5650)</f>
        <v/>
      </c>
      <c r="K5650" s="6" t="str">
        <f t="shared" si="445"/>
        <v/>
      </c>
      <c r="L5650" s="7" t="str">
        <f t="shared" si="446"/>
        <v/>
      </c>
      <c r="M5650" s="7" t="str">
        <f t="shared" si="443"/>
        <v/>
      </c>
      <c r="N5650" s="7" t="str">
        <f t="shared" si="447"/>
        <v/>
      </c>
      <c r="O5650" s="8"/>
      <c r="P5650" s="26"/>
      <c r="S5650" s="10" t="str">
        <f t="shared" si="444"/>
        <v/>
      </c>
    </row>
    <row r="5651" spans="5:19" x14ac:dyDescent="0.3">
      <c r="E5651" s="9" t="str">
        <f>IF(DADOS!C5651="","",DADOS!C5651)</f>
        <v/>
      </c>
      <c r="F5651" s="9" t="str">
        <f>IF(DADOS!E5651="","",DADOS!E5651)</f>
        <v/>
      </c>
      <c r="G5651" s="9" t="str">
        <f>IF(DADOS!F5651="","",DADOS!F5651)</f>
        <v/>
      </c>
      <c r="K5651" s="6" t="str">
        <f t="shared" si="445"/>
        <v/>
      </c>
      <c r="L5651" s="7" t="str">
        <f t="shared" si="446"/>
        <v/>
      </c>
      <c r="M5651" s="7" t="str">
        <f t="shared" si="443"/>
        <v/>
      </c>
      <c r="N5651" s="7" t="str">
        <f t="shared" si="447"/>
        <v/>
      </c>
      <c r="O5651" s="8"/>
      <c r="P5651" s="26"/>
      <c r="S5651" s="10" t="str">
        <f t="shared" si="444"/>
        <v/>
      </c>
    </row>
    <row r="5652" spans="5:19" x14ac:dyDescent="0.3">
      <c r="E5652" s="9" t="str">
        <f>IF(DADOS!C5652="","",DADOS!C5652)</f>
        <v/>
      </c>
      <c r="F5652" s="9" t="str">
        <f>IF(DADOS!E5652="","",DADOS!E5652)</f>
        <v/>
      </c>
      <c r="G5652" s="9" t="str">
        <f>IF(DADOS!F5652="","",DADOS!F5652)</f>
        <v/>
      </c>
      <c r="K5652" s="6" t="str">
        <f t="shared" si="445"/>
        <v/>
      </c>
      <c r="L5652" s="7" t="str">
        <f t="shared" si="446"/>
        <v/>
      </c>
      <c r="M5652" s="7" t="str">
        <f t="shared" si="443"/>
        <v/>
      </c>
      <c r="N5652" s="7" t="str">
        <f t="shared" si="447"/>
        <v/>
      </c>
      <c r="O5652" s="8"/>
      <c r="P5652" s="26"/>
      <c r="S5652" s="10" t="str">
        <f t="shared" si="444"/>
        <v/>
      </c>
    </row>
    <row r="5653" spans="5:19" x14ac:dyDescent="0.3">
      <c r="E5653" s="9" t="str">
        <f>IF(DADOS!C5653="","",DADOS!C5653)</f>
        <v/>
      </c>
      <c r="F5653" s="9" t="str">
        <f>IF(DADOS!E5653="","",DADOS!E5653)</f>
        <v/>
      </c>
      <c r="G5653" s="9" t="str">
        <f>IF(DADOS!F5653="","",DADOS!F5653)</f>
        <v/>
      </c>
      <c r="K5653" s="6" t="str">
        <f t="shared" si="445"/>
        <v/>
      </c>
      <c r="L5653" s="7" t="str">
        <f t="shared" si="446"/>
        <v/>
      </c>
      <c r="M5653" s="7" t="str">
        <f t="shared" si="443"/>
        <v/>
      </c>
      <c r="N5653" s="7" t="str">
        <f t="shared" si="447"/>
        <v/>
      </c>
      <c r="O5653" s="8"/>
      <c r="P5653" s="26"/>
      <c r="S5653" s="10" t="str">
        <f t="shared" si="444"/>
        <v/>
      </c>
    </row>
    <row r="5654" spans="5:19" x14ac:dyDescent="0.3">
      <c r="E5654" s="9" t="str">
        <f>IF(DADOS!C5654="","",DADOS!C5654)</f>
        <v/>
      </c>
      <c r="F5654" s="9" t="str">
        <f>IF(DADOS!E5654="","",DADOS!E5654)</f>
        <v/>
      </c>
      <c r="G5654" s="9" t="str">
        <f>IF(DADOS!F5654="","",DADOS!F5654)</f>
        <v/>
      </c>
      <c r="K5654" s="6" t="str">
        <f t="shared" si="445"/>
        <v/>
      </c>
      <c r="L5654" s="7" t="str">
        <f t="shared" si="446"/>
        <v/>
      </c>
      <c r="M5654" s="7" t="str">
        <f t="shared" si="443"/>
        <v/>
      </c>
      <c r="N5654" s="7" t="str">
        <f t="shared" si="447"/>
        <v/>
      </c>
      <c r="O5654" s="8"/>
      <c r="P5654" s="26"/>
      <c r="S5654" s="10" t="str">
        <f t="shared" si="444"/>
        <v/>
      </c>
    </row>
    <row r="5655" spans="5:19" x14ac:dyDescent="0.3">
      <c r="E5655" s="9" t="str">
        <f>IF(DADOS!C5655="","",DADOS!C5655)</f>
        <v/>
      </c>
      <c r="F5655" s="9" t="str">
        <f>IF(DADOS!E5655="","",DADOS!E5655)</f>
        <v/>
      </c>
      <c r="G5655" s="9" t="str">
        <f>IF(DADOS!F5655="","",DADOS!F5655)</f>
        <v/>
      </c>
      <c r="K5655" s="6" t="str">
        <f t="shared" si="445"/>
        <v/>
      </c>
      <c r="L5655" s="7" t="str">
        <f t="shared" si="446"/>
        <v/>
      </c>
      <c r="M5655" s="7" t="str">
        <f t="shared" si="443"/>
        <v/>
      </c>
      <c r="N5655" s="7" t="str">
        <f t="shared" si="447"/>
        <v/>
      </c>
      <c r="O5655" s="8"/>
      <c r="P5655" s="26"/>
      <c r="S5655" s="10" t="str">
        <f t="shared" si="444"/>
        <v/>
      </c>
    </row>
    <row r="5656" spans="5:19" x14ac:dyDescent="0.3">
      <c r="E5656" s="9" t="str">
        <f>IF(DADOS!C5656="","",DADOS!C5656)</f>
        <v/>
      </c>
      <c r="F5656" s="9" t="str">
        <f>IF(DADOS!E5656="","",DADOS!E5656)</f>
        <v/>
      </c>
      <c r="G5656" s="9" t="str">
        <f>IF(DADOS!F5656="","",DADOS!F5656)</f>
        <v/>
      </c>
      <c r="K5656" s="6" t="str">
        <f t="shared" si="445"/>
        <v/>
      </c>
      <c r="L5656" s="7" t="str">
        <f t="shared" si="446"/>
        <v/>
      </c>
      <c r="M5656" s="7" t="str">
        <f t="shared" si="443"/>
        <v/>
      </c>
      <c r="N5656" s="7" t="str">
        <f t="shared" si="447"/>
        <v/>
      </c>
      <c r="O5656" s="8"/>
      <c r="P5656" s="26"/>
      <c r="S5656" s="10" t="str">
        <f t="shared" si="444"/>
        <v/>
      </c>
    </row>
    <row r="5657" spans="5:19" x14ac:dyDescent="0.3">
      <c r="E5657" s="9" t="str">
        <f>IF(DADOS!C5657="","",DADOS!C5657)</f>
        <v/>
      </c>
      <c r="F5657" s="9" t="str">
        <f>IF(DADOS!E5657="","",DADOS!E5657)</f>
        <v/>
      </c>
      <c r="G5657" s="9" t="str">
        <f>IF(DADOS!F5657="","",DADOS!F5657)</f>
        <v/>
      </c>
      <c r="K5657" s="6" t="str">
        <f t="shared" si="445"/>
        <v/>
      </c>
      <c r="L5657" s="7" t="str">
        <f t="shared" si="446"/>
        <v/>
      </c>
      <c r="M5657" s="7" t="str">
        <f t="shared" si="443"/>
        <v/>
      </c>
      <c r="N5657" s="7" t="str">
        <f t="shared" si="447"/>
        <v/>
      </c>
      <c r="O5657" s="8"/>
      <c r="P5657" s="26"/>
      <c r="S5657" s="10" t="str">
        <f t="shared" si="444"/>
        <v/>
      </c>
    </row>
    <row r="5658" spans="5:19" x14ac:dyDescent="0.3">
      <c r="E5658" s="9" t="str">
        <f>IF(DADOS!C5658="","",DADOS!C5658)</f>
        <v/>
      </c>
      <c r="F5658" s="9" t="str">
        <f>IF(DADOS!E5658="","",DADOS!E5658)</f>
        <v/>
      </c>
      <c r="G5658" s="9" t="str">
        <f>IF(DADOS!F5658="","",DADOS!F5658)</f>
        <v/>
      </c>
      <c r="K5658" s="6" t="str">
        <f t="shared" si="445"/>
        <v/>
      </c>
      <c r="L5658" s="7" t="str">
        <f t="shared" si="446"/>
        <v/>
      </c>
      <c r="M5658" s="7" t="str">
        <f t="shared" si="443"/>
        <v/>
      </c>
      <c r="N5658" s="7" t="str">
        <f t="shared" si="447"/>
        <v/>
      </c>
      <c r="O5658" s="8"/>
      <c r="P5658" s="26"/>
      <c r="S5658" s="10" t="str">
        <f t="shared" si="444"/>
        <v/>
      </c>
    </row>
    <row r="5659" spans="5:19" x14ac:dyDescent="0.3">
      <c r="E5659" s="9" t="str">
        <f>IF(DADOS!C5659="","",DADOS!C5659)</f>
        <v/>
      </c>
      <c r="F5659" s="9" t="str">
        <f>IF(DADOS!E5659="","",DADOS!E5659)</f>
        <v/>
      </c>
      <c r="G5659" s="9" t="str">
        <f>IF(DADOS!F5659="","",DADOS!F5659)</f>
        <v/>
      </c>
      <c r="K5659" s="6" t="str">
        <f t="shared" si="445"/>
        <v/>
      </c>
      <c r="L5659" s="7" t="str">
        <f t="shared" si="446"/>
        <v/>
      </c>
      <c r="M5659" s="7" t="str">
        <f t="shared" si="443"/>
        <v/>
      </c>
      <c r="N5659" s="7" t="str">
        <f t="shared" si="447"/>
        <v/>
      </c>
      <c r="O5659" s="8"/>
      <c r="P5659" s="26"/>
      <c r="S5659" s="10" t="str">
        <f t="shared" si="444"/>
        <v/>
      </c>
    </row>
    <row r="5660" spans="5:19" x14ac:dyDescent="0.3">
      <c r="E5660" s="9" t="str">
        <f>IF(DADOS!C5660="","",DADOS!C5660)</f>
        <v/>
      </c>
      <c r="F5660" s="9" t="str">
        <f>IF(DADOS!E5660="","",DADOS!E5660)</f>
        <v/>
      </c>
      <c r="G5660" s="9" t="str">
        <f>IF(DADOS!F5660="","",DADOS!F5660)</f>
        <v/>
      </c>
      <c r="K5660" s="6" t="str">
        <f t="shared" si="445"/>
        <v/>
      </c>
      <c r="L5660" s="7" t="str">
        <f t="shared" si="446"/>
        <v/>
      </c>
      <c r="M5660" s="7" t="str">
        <f t="shared" si="443"/>
        <v/>
      </c>
      <c r="N5660" s="7" t="str">
        <f t="shared" si="447"/>
        <v/>
      </c>
      <c r="O5660" s="8"/>
      <c r="P5660" s="26"/>
      <c r="S5660" s="10" t="str">
        <f t="shared" si="444"/>
        <v/>
      </c>
    </row>
    <row r="5661" spans="5:19" x14ac:dyDescent="0.3">
      <c r="E5661" s="9" t="str">
        <f>IF(DADOS!C5661="","",DADOS!C5661)</f>
        <v/>
      </c>
      <c r="F5661" s="9" t="str">
        <f>IF(DADOS!E5661="","",DADOS!E5661)</f>
        <v/>
      </c>
      <c r="G5661" s="9" t="str">
        <f>IF(DADOS!F5661="","",DADOS!F5661)</f>
        <v/>
      </c>
      <c r="K5661" s="6" t="str">
        <f t="shared" si="445"/>
        <v/>
      </c>
      <c r="L5661" s="7" t="str">
        <f t="shared" si="446"/>
        <v/>
      </c>
      <c r="M5661" s="7" t="str">
        <f t="shared" si="443"/>
        <v/>
      </c>
      <c r="N5661" s="7" t="str">
        <f t="shared" si="447"/>
        <v/>
      </c>
      <c r="O5661" s="8"/>
      <c r="P5661" s="26"/>
      <c r="S5661" s="10" t="str">
        <f t="shared" si="444"/>
        <v/>
      </c>
    </row>
    <row r="5662" spans="5:19" x14ac:dyDescent="0.3">
      <c r="E5662" s="9" t="str">
        <f>IF(DADOS!C5662="","",DADOS!C5662)</f>
        <v/>
      </c>
      <c r="F5662" s="9" t="str">
        <f>IF(DADOS!E5662="","",DADOS!E5662)</f>
        <v/>
      </c>
      <c r="G5662" s="9" t="str">
        <f>IF(DADOS!F5662="","",DADOS!F5662)</f>
        <v/>
      </c>
      <c r="K5662" s="6" t="str">
        <f t="shared" si="445"/>
        <v/>
      </c>
      <c r="L5662" s="7" t="str">
        <f t="shared" si="446"/>
        <v/>
      </c>
      <c r="M5662" s="7" t="str">
        <f t="shared" si="443"/>
        <v/>
      </c>
      <c r="N5662" s="7" t="str">
        <f t="shared" si="447"/>
        <v/>
      </c>
      <c r="O5662" s="8"/>
      <c r="P5662" s="26"/>
      <c r="S5662" s="10" t="str">
        <f t="shared" si="444"/>
        <v/>
      </c>
    </row>
    <row r="5663" spans="5:19" x14ac:dyDescent="0.3">
      <c r="E5663" s="9" t="str">
        <f>IF(DADOS!C5663="","",DADOS!C5663)</f>
        <v/>
      </c>
      <c r="F5663" s="9" t="str">
        <f>IF(DADOS!E5663="","",DADOS!E5663)</f>
        <v/>
      </c>
      <c r="G5663" s="9" t="str">
        <f>IF(DADOS!F5663="","",DADOS!F5663)</f>
        <v/>
      </c>
      <c r="K5663" s="6" t="str">
        <f t="shared" si="445"/>
        <v/>
      </c>
      <c r="L5663" s="7" t="str">
        <f t="shared" si="446"/>
        <v/>
      </c>
      <c r="M5663" s="7" t="str">
        <f t="shared" si="443"/>
        <v/>
      </c>
      <c r="N5663" s="7" t="str">
        <f t="shared" si="447"/>
        <v/>
      </c>
      <c r="O5663" s="8"/>
      <c r="P5663" s="26"/>
      <c r="S5663" s="10" t="str">
        <f t="shared" si="444"/>
        <v/>
      </c>
    </row>
    <row r="5664" spans="5:19" x14ac:dyDescent="0.3">
      <c r="E5664" s="9" t="str">
        <f>IF(DADOS!C5664="","",DADOS!C5664)</f>
        <v/>
      </c>
      <c r="F5664" s="9" t="str">
        <f>IF(DADOS!E5664="","",DADOS!E5664)</f>
        <v/>
      </c>
      <c r="G5664" s="9" t="str">
        <f>IF(DADOS!F5664="","",DADOS!F5664)</f>
        <v/>
      </c>
      <c r="K5664" s="6" t="str">
        <f t="shared" si="445"/>
        <v/>
      </c>
      <c r="L5664" s="7" t="str">
        <f t="shared" si="446"/>
        <v/>
      </c>
      <c r="M5664" s="7" t="str">
        <f t="shared" si="443"/>
        <v/>
      </c>
      <c r="N5664" s="7" t="str">
        <f t="shared" si="447"/>
        <v/>
      </c>
      <c r="O5664" s="8"/>
      <c r="P5664" s="26"/>
      <c r="S5664" s="10" t="str">
        <f t="shared" si="444"/>
        <v/>
      </c>
    </row>
    <row r="5665" spans="5:19" x14ac:dyDescent="0.3">
      <c r="E5665" s="9" t="str">
        <f>IF(DADOS!C5665="","",DADOS!C5665)</f>
        <v/>
      </c>
      <c r="F5665" s="9" t="str">
        <f>IF(DADOS!E5665="","",DADOS!E5665)</f>
        <v/>
      </c>
      <c r="G5665" s="9" t="str">
        <f>IF(DADOS!F5665="","",DADOS!F5665)</f>
        <v/>
      </c>
      <c r="K5665" s="6" t="str">
        <f t="shared" si="445"/>
        <v/>
      </c>
      <c r="L5665" s="7" t="str">
        <f t="shared" si="446"/>
        <v/>
      </c>
      <c r="M5665" s="7" t="str">
        <f t="shared" si="443"/>
        <v/>
      </c>
      <c r="N5665" s="7" t="str">
        <f t="shared" si="447"/>
        <v/>
      </c>
      <c r="O5665" s="8"/>
      <c r="P5665" s="26"/>
      <c r="S5665" s="10" t="str">
        <f t="shared" si="444"/>
        <v/>
      </c>
    </row>
    <row r="5666" spans="5:19" x14ac:dyDescent="0.3">
      <c r="E5666" s="9" t="str">
        <f>IF(DADOS!C5666="","",DADOS!C5666)</f>
        <v/>
      </c>
      <c r="F5666" s="9" t="str">
        <f>IF(DADOS!E5666="","",DADOS!E5666)</f>
        <v/>
      </c>
      <c r="G5666" s="9" t="str">
        <f>IF(DADOS!F5666="","",DADOS!F5666)</f>
        <v/>
      </c>
      <c r="K5666" s="6" t="str">
        <f t="shared" si="445"/>
        <v/>
      </c>
      <c r="L5666" s="7" t="str">
        <f t="shared" si="446"/>
        <v/>
      </c>
      <c r="M5666" s="7" t="str">
        <f t="shared" si="443"/>
        <v/>
      </c>
      <c r="N5666" s="7" t="str">
        <f t="shared" si="447"/>
        <v/>
      </c>
      <c r="O5666" s="8"/>
      <c r="P5666" s="26"/>
      <c r="S5666" s="10" t="str">
        <f t="shared" si="444"/>
        <v/>
      </c>
    </row>
    <row r="5667" spans="5:19" x14ac:dyDescent="0.3">
      <c r="E5667" s="9" t="str">
        <f>IF(DADOS!C5667="","",DADOS!C5667)</f>
        <v/>
      </c>
      <c r="F5667" s="9" t="str">
        <f>IF(DADOS!E5667="","",DADOS!E5667)</f>
        <v/>
      </c>
      <c r="G5667" s="9" t="str">
        <f>IF(DADOS!F5667="","",DADOS!F5667)</f>
        <v/>
      </c>
      <c r="K5667" s="6" t="str">
        <f t="shared" si="445"/>
        <v/>
      </c>
      <c r="L5667" s="7" t="str">
        <f t="shared" si="446"/>
        <v/>
      </c>
      <c r="M5667" s="7" t="str">
        <f t="shared" si="443"/>
        <v/>
      </c>
      <c r="N5667" s="7" t="str">
        <f t="shared" si="447"/>
        <v/>
      </c>
      <c r="O5667" s="8"/>
      <c r="P5667" s="26"/>
      <c r="S5667" s="10" t="str">
        <f t="shared" si="444"/>
        <v/>
      </c>
    </row>
    <row r="5668" spans="5:19" x14ac:dyDescent="0.3">
      <c r="E5668" s="9" t="str">
        <f>IF(DADOS!C5668="","",DADOS!C5668)</f>
        <v/>
      </c>
      <c r="F5668" s="9" t="str">
        <f>IF(DADOS!E5668="","",DADOS!E5668)</f>
        <v/>
      </c>
      <c r="G5668" s="9" t="str">
        <f>IF(DADOS!F5668="","",DADOS!F5668)</f>
        <v/>
      </c>
      <c r="K5668" s="6" t="str">
        <f t="shared" si="445"/>
        <v/>
      </c>
      <c r="L5668" s="7" t="str">
        <f t="shared" si="446"/>
        <v/>
      </c>
      <c r="M5668" s="7" t="str">
        <f t="shared" si="443"/>
        <v/>
      </c>
      <c r="N5668" s="7" t="str">
        <f t="shared" si="447"/>
        <v/>
      </c>
      <c r="O5668" s="8"/>
      <c r="P5668" s="26"/>
      <c r="S5668" s="10" t="str">
        <f t="shared" si="444"/>
        <v/>
      </c>
    </row>
    <row r="5669" spans="5:19" x14ac:dyDescent="0.3">
      <c r="E5669" s="9" t="str">
        <f>IF(DADOS!C5669="","",DADOS!C5669)</f>
        <v/>
      </c>
      <c r="F5669" s="9" t="str">
        <f>IF(DADOS!E5669="","",DADOS!E5669)</f>
        <v/>
      </c>
      <c r="G5669" s="9" t="str">
        <f>IF(DADOS!F5669="","",DADOS!F5669)</f>
        <v/>
      </c>
      <c r="K5669" s="6" t="str">
        <f t="shared" si="445"/>
        <v/>
      </c>
      <c r="L5669" s="7" t="str">
        <f t="shared" si="446"/>
        <v/>
      </c>
      <c r="M5669" s="7" t="str">
        <f t="shared" si="443"/>
        <v/>
      </c>
      <c r="N5669" s="7" t="str">
        <f t="shared" si="447"/>
        <v/>
      </c>
      <c r="O5669" s="8"/>
      <c r="P5669" s="26"/>
      <c r="S5669" s="10" t="str">
        <f t="shared" si="444"/>
        <v/>
      </c>
    </row>
    <row r="5670" spans="5:19" x14ac:dyDescent="0.3">
      <c r="E5670" s="9" t="str">
        <f>IF(DADOS!C5670="","",DADOS!C5670)</f>
        <v/>
      </c>
      <c r="F5670" s="9" t="str">
        <f>IF(DADOS!E5670="","",DADOS!E5670)</f>
        <v/>
      </c>
      <c r="G5670" s="9" t="str">
        <f>IF(DADOS!F5670="","",DADOS!F5670)</f>
        <v/>
      </c>
      <c r="K5670" s="6" t="str">
        <f t="shared" si="445"/>
        <v/>
      </c>
      <c r="L5670" s="7" t="str">
        <f t="shared" si="446"/>
        <v/>
      </c>
      <c r="M5670" s="7" t="str">
        <f t="shared" si="443"/>
        <v/>
      </c>
      <c r="N5670" s="7" t="str">
        <f t="shared" si="447"/>
        <v/>
      </c>
      <c r="O5670" s="8"/>
      <c r="P5670" s="26"/>
      <c r="S5670" s="10" t="str">
        <f t="shared" si="444"/>
        <v/>
      </c>
    </row>
    <row r="5671" spans="5:19" x14ac:dyDescent="0.3">
      <c r="E5671" s="9" t="str">
        <f>IF(DADOS!C5671="","",DADOS!C5671)</f>
        <v/>
      </c>
      <c r="F5671" s="9" t="str">
        <f>IF(DADOS!E5671="","",DADOS!E5671)</f>
        <v/>
      </c>
      <c r="G5671" s="9" t="str">
        <f>IF(DADOS!F5671="","",DADOS!F5671)</f>
        <v/>
      </c>
      <c r="K5671" s="6" t="str">
        <f t="shared" si="445"/>
        <v/>
      </c>
      <c r="L5671" s="7" t="str">
        <f t="shared" si="446"/>
        <v/>
      </c>
      <c r="M5671" s="7" t="str">
        <f t="shared" si="443"/>
        <v/>
      </c>
      <c r="N5671" s="7" t="str">
        <f t="shared" si="447"/>
        <v/>
      </c>
      <c r="O5671" s="8"/>
      <c r="P5671" s="26"/>
      <c r="S5671" s="10" t="str">
        <f t="shared" si="444"/>
        <v/>
      </c>
    </row>
    <row r="5672" spans="5:19" x14ac:dyDescent="0.3">
      <c r="E5672" s="9" t="str">
        <f>IF(DADOS!C5672="","",DADOS!C5672)</f>
        <v/>
      </c>
      <c r="F5672" s="9" t="str">
        <f>IF(DADOS!E5672="","",DADOS!E5672)</f>
        <v/>
      </c>
      <c r="G5672" s="9" t="str">
        <f>IF(DADOS!F5672="","",DADOS!F5672)</f>
        <v/>
      </c>
      <c r="K5672" s="6" t="str">
        <f t="shared" si="445"/>
        <v/>
      </c>
      <c r="L5672" s="7" t="str">
        <f t="shared" si="446"/>
        <v/>
      </c>
      <c r="M5672" s="7" t="str">
        <f t="shared" si="443"/>
        <v/>
      </c>
      <c r="N5672" s="7" t="str">
        <f t="shared" si="447"/>
        <v/>
      </c>
      <c r="O5672" s="8"/>
      <c r="P5672" s="26"/>
      <c r="S5672" s="10" t="str">
        <f t="shared" si="444"/>
        <v/>
      </c>
    </row>
    <row r="5673" spans="5:19" x14ac:dyDescent="0.3">
      <c r="E5673" s="9" t="str">
        <f>IF(DADOS!C5673="","",DADOS!C5673)</f>
        <v/>
      </c>
      <c r="F5673" s="9" t="str">
        <f>IF(DADOS!E5673="","",DADOS!E5673)</f>
        <v/>
      </c>
      <c r="G5673" s="9" t="str">
        <f>IF(DADOS!F5673="","",DADOS!F5673)</f>
        <v/>
      </c>
      <c r="K5673" s="6" t="str">
        <f t="shared" si="445"/>
        <v/>
      </c>
      <c r="L5673" s="7" t="str">
        <f t="shared" si="446"/>
        <v/>
      </c>
      <c r="M5673" s="7" t="str">
        <f t="shared" si="443"/>
        <v/>
      </c>
      <c r="N5673" s="7" t="str">
        <f t="shared" si="447"/>
        <v/>
      </c>
      <c r="O5673" s="8"/>
      <c r="P5673" s="26"/>
      <c r="S5673" s="10" t="str">
        <f t="shared" si="444"/>
        <v/>
      </c>
    </row>
    <row r="5674" spans="5:19" x14ac:dyDescent="0.3">
      <c r="E5674" s="9" t="str">
        <f>IF(DADOS!C5674="","",DADOS!C5674)</f>
        <v/>
      </c>
      <c r="F5674" s="9" t="str">
        <f>IF(DADOS!E5674="","",DADOS!E5674)</f>
        <v/>
      </c>
      <c r="G5674" s="9" t="str">
        <f>IF(DADOS!F5674="","",DADOS!F5674)</f>
        <v/>
      </c>
      <c r="K5674" s="6" t="str">
        <f t="shared" si="445"/>
        <v/>
      </c>
      <c r="L5674" s="7" t="str">
        <f t="shared" si="446"/>
        <v/>
      </c>
      <c r="M5674" s="7" t="str">
        <f t="shared" si="443"/>
        <v/>
      </c>
      <c r="N5674" s="7" t="str">
        <f t="shared" si="447"/>
        <v/>
      </c>
      <c r="O5674" s="8"/>
      <c r="P5674" s="26"/>
      <c r="S5674" s="10" t="str">
        <f t="shared" si="444"/>
        <v/>
      </c>
    </row>
    <row r="5675" spans="5:19" x14ac:dyDescent="0.3">
      <c r="E5675" s="9" t="str">
        <f>IF(DADOS!C5675="","",DADOS!C5675)</f>
        <v/>
      </c>
      <c r="F5675" s="9" t="str">
        <f>IF(DADOS!E5675="","",DADOS!E5675)</f>
        <v/>
      </c>
      <c r="G5675" s="9" t="str">
        <f>IF(DADOS!F5675="","",DADOS!F5675)</f>
        <v/>
      </c>
      <c r="K5675" s="6" t="str">
        <f t="shared" si="445"/>
        <v/>
      </c>
      <c r="L5675" s="7" t="str">
        <f t="shared" si="446"/>
        <v/>
      </c>
      <c r="M5675" s="7" t="str">
        <f t="shared" si="443"/>
        <v/>
      </c>
      <c r="N5675" s="7" t="str">
        <f t="shared" si="447"/>
        <v/>
      </c>
      <c r="O5675" s="8"/>
      <c r="P5675" s="26"/>
      <c r="S5675" s="10" t="str">
        <f t="shared" si="444"/>
        <v/>
      </c>
    </row>
    <row r="5676" spans="5:19" x14ac:dyDescent="0.3">
      <c r="E5676" s="9" t="str">
        <f>IF(DADOS!C5676="","",DADOS!C5676)</f>
        <v/>
      </c>
      <c r="F5676" s="9" t="str">
        <f>IF(DADOS!E5676="","",DADOS!E5676)</f>
        <v/>
      </c>
      <c r="G5676" s="9" t="str">
        <f>IF(DADOS!F5676="","",DADOS!F5676)</f>
        <v/>
      </c>
      <c r="K5676" s="6" t="str">
        <f t="shared" si="445"/>
        <v/>
      </c>
      <c r="L5676" s="7" t="str">
        <f t="shared" si="446"/>
        <v/>
      </c>
      <c r="M5676" s="7" t="str">
        <f t="shared" si="443"/>
        <v/>
      </c>
      <c r="N5676" s="7" t="str">
        <f t="shared" si="447"/>
        <v/>
      </c>
      <c r="O5676" s="8"/>
      <c r="P5676" s="26"/>
      <c r="S5676" s="10" t="str">
        <f t="shared" si="444"/>
        <v/>
      </c>
    </row>
    <row r="5677" spans="5:19" x14ac:dyDescent="0.3">
      <c r="E5677" s="9" t="str">
        <f>IF(DADOS!C5677="","",DADOS!C5677)</f>
        <v/>
      </c>
      <c r="F5677" s="9" t="str">
        <f>IF(DADOS!E5677="","",DADOS!E5677)</f>
        <v/>
      </c>
      <c r="G5677" s="9" t="str">
        <f>IF(DADOS!F5677="","",DADOS!F5677)</f>
        <v/>
      </c>
      <c r="K5677" s="6" t="str">
        <f t="shared" si="445"/>
        <v/>
      </c>
      <c r="L5677" s="7" t="str">
        <f t="shared" si="446"/>
        <v/>
      </c>
      <c r="M5677" s="7" t="str">
        <f t="shared" si="443"/>
        <v/>
      </c>
      <c r="N5677" s="7" t="str">
        <f t="shared" si="447"/>
        <v/>
      </c>
      <c r="O5677" s="8"/>
      <c r="P5677" s="26"/>
      <c r="S5677" s="10" t="str">
        <f t="shared" si="444"/>
        <v/>
      </c>
    </row>
    <row r="5678" spans="5:19" x14ac:dyDescent="0.3">
      <c r="E5678" s="9" t="str">
        <f>IF(DADOS!C5678="","",DADOS!C5678)</f>
        <v/>
      </c>
      <c r="F5678" s="9" t="str">
        <f>IF(DADOS!E5678="","",DADOS!E5678)</f>
        <v/>
      </c>
      <c r="G5678" s="9" t="str">
        <f>IF(DADOS!F5678="","",DADOS!F5678)</f>
        <v/>
      </c>
      <c r="K5678" s="6" t="str">
        <f t="shared" si="445"/>
        <v/>
      </c>
      <c r="L5678" s="7" t="str">
        <f t="shared" si="446"/>
        <v/>
      </c>
      <c r="M5678" s="7" t="str">
        <f t="shared" si="443"/>
        <v/>
      </c>
      <c r="N5678" s="7" t="str">
        <f t="shared" si="447"/>
        <v/>
      </c>
      <c r="O5678" s="8"/>
      <c r="P5678" s="26"/>
      <c r="S5678" s="10" t="str">
        <f t="shared" si="444"/>
        <v/>
      </c>
    </row>
    <row r="5679" spans="5:19" x14ac:dyDescent="0.3">
      <c r="E5679" s="9" t="str">
        <f>IF(DADOS!C5679="","",DADOS!C5679)</f>
        <v/>
      </c>
      <c r="F5679" s="9" t="str">
        <f>IF(DADOS!E5679="","",DADOS!E5679)</f>
        <v/>
      </c>
      <c r="G5679" s="9" t="str">
        <f>IF(DADOS!F5679="","",DADOS!F5679)</f>
        <v/>
      </c>
      <c r="K5679" s="6" t="str">
        <f t="shared" si="445"/>
        <v/>
      </c>
      <c r="L5679" s="7" t="str">
        <f t="shared" si="446"/>
        <v/>
      </c>
      <c r="M5679" s="7" t="str">
        <f t="shared" si="443"/>
        <v/>
      </c>
      <c r="N5679" s="7" t="str">
        <f t="shared" si="447"/>
        <v/>
      </c>
      <c r="O5679" s="8"/>
      <c r="P5679" s="26"/>
      <c r="S5679" s="10" t="str">
        <f t="shared" si="444"/>
        <v/>
      </c>
    </row>
    <row r="5680" spans="5:19" x14ac:dyDescent="0.3">
      <c r="E5680" s="9" t="str">
        <f>IF(DADOS!C5680="","",DADOS!C5680)</f>
        <v/>
      </c>
      <c r="F5680" s="9" t="str">
        <f>IF(DADOS!E5680="","",DADOS!E5680)</f>
        <v/>
      </c>
      <c r="G5680" s="9" t="str">
        <f>IF(DADOS!F5680="","",DADOS!F5680)</f>
        <v/>
      </c>
      <c r="K5680" s="6" t="str">
        <f t="shared" si="445"/>
        <v/>
      </c>
      <c r="L5680" s="7" t="str">
        <f t="shared" si="446"/>
        <v/>
      </c>
      <c r="M5680" s="7" t="str">
        <f t="shared" si="443"/>
        <v/>
      </c>
      <c r="N5680" s="7" t="str">
        <f t="shared" si="447"/>
        <v/>
      </c>
      <c r="O5680" s="8"/>
      <c r="P5680" s="26"/>
      <c r="S5680" s="10" t="str">
        <f t="shared" si="444"/>
        <v/>
      </c>
    </row>
    <row r="5681" spans="5:19" x14ac:dyDescent="0.3">
      <c r="E5681" s="9" t="str">
        <f>IF(DADOS!C5681="","",DADOS!C5681)</f>
        <v/>
      </c>
      <c r="F5681" s="9" t="str">
        <f>IF(DADOS!E5681="","",DADOS!E5681)</f>
        <v/>
      </c>
      <c r="G5681" s="9" t="str">
        <f>IF(DADOS!F5681="","",DADOS!F5681)</f>
        <v/>
      </c>
      <c r="K5681" s="6" t="str">
        <f t="shared" si="445"/>
        <v/>
      </c>
      <c r="L5681" s="7" t="str">
        <f t="shared" si="446"/>
        <v/>
      </c>
      <c r="M5681" s="7" t="str">
        <f t="shared" si="443"/>
        <v/>
      </c>
      <c r="N5681" s="7" t="str">
        <f t="shared" si="447"/>
        <v/>
      </c>
      <c r="O5681" s="8"/>
      <c r="P5681" s="26"/>
      <c r="S5681" s="10" t="str">
        <f t="shared" si="444"/>
        <v/>
      </c>
    </row>
    <row r="5682" spans="5:19" x14ac:dyDescent="0.3">
      <c r="E5682" s="9" t="str">
        <f>IF(DADOS!C5682="","",DADOS!C5682)</f>
        <v/>
      </c>
      <c r="F5682" s="9" t="str">
        <f>IF(DADOS!E5682="","",DADOS!E5682)</f>
        <v/>
      </c>
      <c r="G5682" s="9" t="str">
        <f>IF(DADOS!F5682="","",DADOS!F5682)</f>
        <v/>
      </c>
      <c r="K5682" s="6" t="str">
        <f t="shared" si="445"/>
        <v/>
      </c>
      <c r="L5682" s="7" t="str">
        <f t="shared" si="446"/>
        <v/>
      </c>
      <c r="M5682" s="7" t="str">
        <f t="shared" si="443"/>
        <v/>
      </c>
      <c r="N5682" s="7" t="str">
        <f t="shared" si="447"/>
        <v/>
      </c>
      <c r="O5682" s="8"/>
      <c r="P5682" s="26"/>
      <c r="S5682" s="10" t="str">
        <f t="shared" si="444"/>
        <v/>
      </c>
    </row>
    <row r="5683" spans="5:19" x14ac:dyDescent="0.3">
      <c r="E5683" s="9" t="str">
        <f>IF(DADOS!C5683="","",DADOS!C5683)</f>
        <v/>
      </c>
      <c r="F5683" s="9" t="str">
        <f>IF(DADOS!E5683="","",DADOS!E5683)</f>
        <v/>
      </c>
      <c r="G5683" s="9" t="str">
        <f>IF(DADOS!F5683="","",DADOS!F5683)</f>
        <v/>
      </c>
      <c r="K5683" s="6" t="str">
        <f t="shared" si="445"/>
        <v/>
      </c>
      <c r="L5683" s="7" t="str">
        <f t="shared" si="446"/>
        <v/>
      </c>
      <c r="M5683" s="7" t="str">
        <f t="shared" si="443"/>
        <v/>
      </c>
      <c r="N5683" s="7" t="str">
        <f t="shared" si="447"/>
        <v/>
      </c>
      <c r="O5683" s="8"/>
      <c r="P5683" s="26"/>
      <c r="S5683" s="10" t="str">
        <f t="shared" si="444"/>
        <v/>
      </c>
    </row>
    <row r="5684" spans="5:19" x14ac:dyDescent="0.3">
      <c r="E5684" s="9" t="str">
        <f>IF(DADOS!C5684="","",DADOS!C5684)</f>
        <v/>
      </c>
      <c r="F5684" s="9" t="str">
        <f>IF(DADOS!E5684="","",DADOS!E5684)</f>
        <v/>
      </c>
      <c r="G5684" s="9" t="str">
        <f>IF(DADOS!F5684="","",DADOS!F5684)</f>
        <v/>
      </c>
      <c r="K5684" s="6" t="str">
        <f t="shared" si="445"/>
        <v/>
      </c>
      <c r="L5684" s="7" t="str">
        <f t="shared" si="446"/>
        <v/>
      </c>
      <c r="M5684" s="7" t="str">
        <f t="shared" si="443"/>
        <v/>
      </c>
      <c r="N5684" s="7" t="str">
        <f t="shared" si="447"/>
        <v/>
      </c>
      <c r="O5684" s="8"/>
      <c r="P5684" s="26"/>
      <c r="S5684" s="10" t="str">
        <f t="shared" si="444"/>
        <v/>
      </c>
    </row>
    <row r="5685" spans="5:19" x14ac:dyDescent="0.3">
      <c r="E5685" s="9" t="str">
        <f>IF(DADOS!C5685="","",DADOS!C5685)</f>
        <v/>
      </c>
      <c r="F5685" s="9" t="str">
        <f>IF(DADOS!E5685="","",DADOS!E5685)</f>
        <v/>
      </c>
      <c r="G5685" s="9" t="str">
        <f>IF(DADOS!F5685="","",DADOS!F5685)</f>
        <v/>
      </c>
      <c r="K5685" s="6" t="str">
        <f t="shared" si="445"/>
        <v/>
      </c>
      <c r="L5685" s="7" t="str">
        <f t="shared" si="446"/>
        <v/>
      </c>
      <c r="M5685" s="7" t="str">
        <f t="shared" si="443"/>
        <v/>
      </c>
      <c r="N5685" s="7" t="str">
        <f t="shared" si="447"/>
        <v/>
      </c>
      <c r="O5685" s="8"/>
      <c r="P5685" s="26"/>
      <c r="S5685" s="10" t="str">
        <f t="shared" si="444"/>
        <v/>
      </c>
    </row>
    <row r="5686" spans="5:19" x14ac:dyDescent="0.3">
      <c r="E5686" s="9" t="str">
        <f>IF(DADOS!C5686="","",DADOS!C5686)</f>
        <v/>
      </c>
      <c r="F5686" s="9" t="str">
        <f>IF(DADOS!E5686="","",DADOS!E5686)</f>
        <v/>
      </c>
      <c r="G5686" s="9" t="str">
        <f>IF(DADOS!F5686="","",DADOS!F5686)</f>
        <v/>
      </c>
      <c r="K5686" s="6" t="str">
        <f t="shared" si="445"/>
        <v/>
      </c>
      <c r="L5686" s="7" t="str">
        <f t="shared" si="446"/>
        <v/>
      </c>
      <c r="M5686" s="7" t="str">
        <f t="shared" si="443"/>
        <v/>
      </c>
      <c r="N5686" s="7" t="str">
        <f t="shared" si="447"/>
        <v/>
      </c>
      <c r="O5686" s="8"/>
      <c r="P5686" s="26"/>
      <c r="S5686" s="10" t="str">
        <f t="shared" si="444"/>
        <v/>
      </c>
    </row>
    <row r="5687" spans="5:19" x14ac:dyDescent="0.3">
      <c r="E5687" s="9" t="str">
        <f>IF(DADOS!C5687="","",DADOS!C5687)</f>
        <v/>
      </c>
      <c r="F5687" s="9" t="str">
        <f>IF(DADOS!E5687="","",DADOS!E5687)</f>
        <v/>
      </c>
      <c r="G5687" s="9" t="str">
        <f>IF(DADOS!F5687="","",DADOS!F5687)</f>
        <v/>
      </c>
      <c r="K5687" s="6" t="str">
        <f t="shared" si="445"/>
        <v/>
      </c>
      <c r="L5687" s="7" t="str">
        <f t="shared" si="446"/>
        <v/>
      </c>
      <c r="M5687" s="7" t="str">
        <f t="shared" si="443"/>
        <v/>
      </c>
      <c r="N5687" s="7" t="str">
        <f t="shared" si="447"/>
        <v/>
      </c>
      <c r="O5687" s="8"/>
      <c r="P5687" s="26"/>
      <c r="S5687" s="10" t="str">
        <f t="shared" si="444"/>
        <v/>
      </c>
    </row>
    <row r="5688" spans="5:19" x14ac:dyDescent="0.3">
      <c r="E5688" s="9" t="str">
        <f>IF(DADOS!C5688="","",DADOS!C5688)</f>
        <v/>
      </c>
      <c r="F5688" s="9" t="str">
        <f>IF(DADOS!E5688="","",DADOS!E5688)</f>
        <v/>
      </c>
      <c r="G5688" s="9" t="str">
        <f>IF(DADOS!F5688="","",DADOS!F5688)</f>
        <v/>
      </c>
      <c r="K5688" s="6" t="str">
        <f t="shared" si="445"/>
        <v/>
      </c>
      <c r="L5688" s="7" t="str">
        <f t="shared" si="446"/>
        <v/>
      </c>
      <c r="M5688" s="7" t="str">
        <f t="shared" si="443"/>
        <v/>
      </c>
      <c r="N5688" s="7" t="str">
        <f t="shared" si="447"/>
        <v/>
      </c>
      <c r="O5688" s="8"/>
      <c r="P5688" s="26"/>
      <c r="S5688" s="10" t="str">
        <f t="shared" si="444"/>
        <v/>
      </c>
    </row>
    <row r="5689" spans="5:19" x14ac:dyDescent="0.3">
      <c r="E5689" s="9" t="str">
        <f>IF(DADOS!C5689="","",DADOS!C5689)</f>
        <v/>
      </c>
      <c r="F5689" s="9" t="str">
        <f>IF(DADOS!E5689="","",DADOS!E5689)</f>
        <v/>
      </c>
      <c r="G5689" s="9" t="str">
        <f>IF(DADOS!F5689="","",DADOS!F5689)</f>
        <v/>
      </c>
      <c r="K5689" s="6" t="str">
        <f t="shared" si="445"/>
        <v/>
      </c>
      <c r="L5689" s="7" t="str">
        <f t="shared" si="446"/>
        <v/>
      </c>
      <c r="M5689" s="7" t="str">
        <f t="shared" si="443"/>
        <v/>
      </c>
      <c r="N5689" s="7" t="str">
        <f t="shared" si="447"/>
        <v/>
      </c>
      <c r="O5689" s="8"/>
      <c r="P5689" s="26"/>
      <c r="S5689" s="10" t="str">
        <f t="shared" si="444"/>
        <v/>
      </c>
    </row>
    <row r="5690" spans="5:19" x14ac:dyDescent="0.3">
      <c r="E5690" s="9" t="str">
        <f>IF(DADOS!C5690="","",DADOS!C5690)</f>
        <v/>
      </c>
      <c r="F5690" s="9" t="str">
        <f>IF(DADOS!E5690="","",DADOS!E5690)</f>
        <v/>
      </c>
      <c r="G5690" s="9" t="str">
        <f>IF(DADOS!F5690="","",DADOS!F5690)</f>
        <v/>
      </c>
      <c r="K5690" s="6" t="str">
        <f t="shared" si="445"/>
        <v/>
      </c>
      <c r="L5690" s="7" t="str">
        <f t="shared" si="446"/>
        <v/>
      </c>
      <c r="M5690" s="7" t="str">
        <f t="shared" si="443"/>
        <v/>
      </c>
      <c r="N5690" s="7" t="str">
        <f t="shared" si="447"/>
        <v/>
      </c>
      <c r="O5690" s="8"/>
      <c r="P5690" s="26"/>
      <c r="S5690" s="10" t="str">
        <f t="shared" si="444"/>
        <v/>
      </c>
    </row>
    <row r="5691" spans="5:19" x14ac:dyDescent="0.3">
      <c r="E5691" s="9" t="str">
        <f>IF(DADOS!C5691="","",DADOS!C5691)</f>
        <v/>
      </c>
      <c r="F5691" s="9" t="str">
        <f>IF(DADOS!E5691="","",DADOS!E5691)</f>
        <v/>
      </c>
      <c r="G5691" s="9" t="str">
        <f>IF(DADOS!F5691="","",DADOS!F5691)</f>
        <v/>
      </c>
      <c r="K5691" s="6" t="str">
        <f t="shared" si="445"/>
        <v/>
      </c>
      <c r="L5691" s="7" t="str">
        <f t="shared" si="446"/>
        <v/>
      </c>
      <c r="M5691" s="7" t="str">
        <f t="shared" si="443"/>
        <v/>
      </c>
      <c r="N5691" s="7" t="str">
        <f t="shared" si="447"/>
        <v/>
      </c>
      <c r="O5691" s="8"/>
      <c r="P5691" s="26"/>
      <c r="S5691" s="10" t="str">
        <f t="shared" si="444"/>
        <v/>
      </c>
    </row>
    <row r="5692" spans="5:19" x14ac:dyDescent="0.3">
      <c r="E5692" s="9" t="str">
        <f>IF(DADOS!C5692="","",DADOS!C5692)</f>
        <v/>
      </c>
      <c r="F5692" s="9" t="str">
        <f>IF(DADOS!E5692="","",DADOS!E5692)</f>
        <v/>
      </c>
      <c r="G5692" s="9" t="str">
        <f>IF(DADOS!F5692="","",DADOS!F5692)</f>
        <v/>
      </c>
      <c r="K5692" s="6" t="str">
        <f t="shared" si="445"/>
        <v/>
      </c>
      <c r="L5692" s="7" t="str">
        <f t="shared" si="446"/>
        <v/>
      </c>
      <c r="M5692" s="7" t="str">
        <f t="shared" si="443"/>
        <v/>
      </c>
      <c r="N5692" s="7" t="str">
        <f t="shared" si="447"/>
        <v/>
      </c>
      <c r="O5692" s="8"/>
      <c r="P5692" s="26"/>
      <c r="S5692" s="10" t="str">
        <f t="shared" si="444"/>
        <v/>
      </c>
    </row>
    <row r="5693" spans="5:19" x14ac:dyDescent="0.3">
      <c r="E5693" s="9" t="str">
        <f>IF(DADOS!C5693="","",DADOS!C5693)</f>
        <v/>
      </c>
      <c r="F5693" s="9" t="str">
        <f>IF(DADOS!E5693="","",DADOS!E5693)</f>
        <v/>
      </c>
      <c r="G5693" s="9" t="str">
        <f>IF(DADOS!F5693="","",DADOS!F5693)</f>
        <v/>
      </c>
      <c r="K5693" s="6" t="str">
        <f t="shared" si="445"/>
        <v/>
      </c>
      <c r="L5693" s="7" t="str">
        <f t="shared" si="446"/>
        <v/>
      </c>
      <c r="M5693" s="7" t="str">
        <f t="shared" si="443"/>
        <v/>
      </c>
      <c r="N5693" s="7" t="str">
        <f t="shared" si="447"/>
        <v/>
      </c>
      <c r="O5693" s="8"/>
      <c r="P5693" s="26"/>
      <c r="S5693" s="10" t="str">
        <f t="shared" si="444"/>
        <v/>
      </c>
    </row>
    <row r="5694" spans="5:19" x14ac:dyDescent="0.3">
      <c r="E5694" s="9" t="str">
        <f>IF(DADOS!C5694="","",DADOS!C5694)</f>
        <v/>
      </c>
      <c r="F5694" s="9" t="str">
        <f>IF(DADOS!E5694="","",DADOS!E5694)</f>
        <v/>
      </c>
      <c r="G5694" s="9" t="str">
        <f>IF(DADOS!F5694="","",DADOS!F5694)</f>
        <v/>
      </c>
      <c r="K5694" s="6" t="str">
        <f t="shared" si="445"/>
        <v/>
      </c>
      <c r="L5694" s="7" t="str">
        <f t="shared" si="446"/>
        <v/>
      </c>
      <c r="M5694" s="7" t="str">
        <f t="shared" si="443"/>
        <v/>
      </c>
      <c r="N5694" s="7" t="str">
        <f t="shared" si="447"/>
        <v/>
      </c>
      <c r="O5694" s="8"/>
      <c r="P5694" s="26"/>
      <c r="S5694" s="10" t="str">
        <f t="shared" si="444"/>
        <v/>
      </c>
    </row>
    <row r="5695" spans="5:19" x14ac:dyDescent="0.3">
      <c r="E5695" s="9" t="str">
        <f>IF(DADOS!C5695="","",DADOS!C5695)</f>
        <v/>
      </c>
      <c r="F5695" s="9" t="str">
        <f>IF(DADOS!E5695="","",DADOS!E5695)</f>
        <v/>
      </c>
      <c r="G5695" s="9" t="str">
        <f>IF(DADOS!F5695="","",DADOS!F5695)</f>
        <v/>
      </c>
      <c r="K5695" s="6" t="str">
        <f t="shared" si="445"/>
        <v/>
      </c>
      <c r="L5695" s="7" t="str">
        <f t="shared" si="446"/>
        <v/>
      </c>
      <c r="M5695" s="7" t="str">
        <f t="shared" si="443"/>
        <v/>
      </c>
      <c r="N5695" s="7" t="str">
        <f t="shared" si="447"/>
        <v/>
      </c>
      <c r="O5695" s="8"/>
      <c r="P5695" s="26"/>
      <c r="S5695" s="10" t="str">
        <f t="shared" si="444"/>
        <v/>
      </c>
    </row>
    <row r="5696" spans="5:19" x14ac:dyDescent="0.3">
      <c r="E5696" s="9" t="str">
        <f>IF(DADOS!C5696="","",DADOS!C5696)</f>
        <v/>
      </c>
      <c r="F5696" s="9" t="str">
        <f>IF(DADOS!E5696="","",DADOS!E5696)</f>
        <v/>
      </c>
      <c r="G5696" s="9" t="str">
        <f>IF(DADOS!F5696="","",DADOS!F5696)</f>
        <v/>
      </c>
      <c r="K5696" s="6" t="str">
        <f t="shared" si="445"/>
        <v/>
      </c>
      <c r="L5696" s="7" t="str">
        <f t="shared" si="446"/>
        <v/>
      </c>
      <c r="M5696" s="7" t="str">
        <f t="shared" si="443"/>
        <v/>
      </c>
      <c r="N5696" s="7" t="str">
        <f t="shared" si="447"/>
        <v/>
      </c>
      <c r="O5696" s="8"/>
      <c r="P5696" s="26"/>
      <c r="S5696" s="10" t="str">
        <f t="shared" si="444"/>
        <v/>
      </c>
    </row>
    <row r="5697" spans="5:19" x14ac:dyDescent="0.3">
      <c r="E5697" s="9" t="str">
        <f>IF(DADOS!C5697="","",DADOS!C5697)</f>
        <v/>
      </c>
      <c r="F5697" s="9" t="str">
        <f>IF(DADOS!E5697="","",DADOS!E5697)</f>
        <v/>
      </c>
      <c r="G5697" s="9" t="str">
        <f>IF(DADOS!F5697="","",DADOS!F5697)</f>
        <v/>
      </c>
      <c r="K5697" s="6" t="str">
        <f t="shared" si="445"/>
        <v/>
      </c>
      <c r="L5697" s="7" t="str">
        <f t="shared" si="446"/>
        <v/>
      </c>
      <c r="M5697" s="7" t="str">
        <f t="shared" si="443"/>
        <v/>
      </c>
      <c r="N5697" s="7" t="str">
        <f t="shared" si="447"/>
        <v/>
      </c>
      <c r="O5697" s="8"/>
      <c r="P5697" s="26"/>
      <c r="S5697" s="10" t="str">
        <f t="shared" si="444"/>
        <v/>
      </c>
    </row>
    <row r="5698" spans="5:19" x14ac:dyDescent="0.3">
      <c r="E5698" s="9" t="str">
        <f>IF(DADOS!C5698="","",DADOS!C5698)</f>
        <v/>
      </c>
      <c r="F5698" s="9" t="str">
        <f>IF(DADOS!E5698="","",DADOS!E5698)</f>
        <v/>
      </c>
      <c r="G5698" s="9" t="str">
        <f>IF(DADOS!F5698="","",DADOS!F5698)</f>
        <v/>
      </c>
      <c r="K5698" s="6" t="str">
        <f t="shared" si="445"/>
        <v/>
      </c>
      <c r="L5698" s="7" t="str">
        <f t="shared" si="446"/>
        <v/>
      </c>
      <c r="M5698" s="7" t="str">
        <f t="shared" si="443"/>
        <v/>
      </c>
      <c r="N5698" s="7" t="str">
        <f t="shared" si="447"/>
        <v/>
      </c>
      <c r="O5698" s="8"/>
      <c r="P5698" s="26"/>
      <c r="S5698" s="10" t="str">
        <f t="shared" si="444"/>
        <v/>
      </c>
    </row>
    <row r="5699" spans="5:19" x14ac:dyDescent="0.3">
      <c r="E5699" s="9" t="str">
        <f>IF(DADOS!C5699="","",DADOS!C5699)</f>
        <v/>
      </c>
      <c r="F5699" s="9" t="str">
        <f>IF(DADOS!E5699="","",DADOS!E5699)</f>
        <v/>
      </c>
      <c r="G5699" s="9" t="str">
        <f>IF(DADOS!F5699="","",DADOS!F5699)</f>
        <v/>
      </c>
      <c r="K5699" s="6" t="str">
        <f t="shared" si="445"/>
        <v/>
      </c>
      <c r="L5699" s="7" t="str">
        <f t="shared" si="446"/>
        <v/>
      </c>
      <c r="M5699" s="7" t="str">
        <f t="shared" ref="M5699:M5762" si="448">IF(L5699="","",L5699*G5699)</f>
        <v/>
      </c>
      <c r="N5699" s="7" t="str">
        <f t="shared" si="447"/>
        <v/>
      </c>
      <c r="O5699" s="8"/>
      <c r="P5699" s="26"/>
      <c r="S5699" s="10" t="str">
        <f t="shared" ref="S5699:S5762" si="449">IF(R5699="","",SUMIFS($N$3:$N$10000,$E$3:$E$10000,R5699))</f>
        <v/>
      </c>
    </row>
    <row r="5700" spans="5:19" x14ac:dyDescent="0.3">
      <c r="E5700" s="9" t="str">
        <f>IF(DADOS!C5700="","",DADOS!C5700)</f>
        <v/>
      </c>
      <c r="F5700" s="9" t="str">
        <f>IF(DADOS!E5700="","",DADOS!E5700)</f>
        <v/>
      </c>
      <c r="G5700" s="9" t="str">
        <f>IF(DADOS!F5700="","",DADOS!F5700)</f>
        <v/>
      </c>
      <c r="K5700" s="6" t="str">
        <f t="shared" ref="K5700:K5763" si="450">IF(F5700="","",F5700/PI())</f>
        <v/>
      </c>
      <c r="L5700" s="7" t="str">
        <f t="shared" ref="L5700:L5763" si="451">IF(K5700="","",(PI()*K5700^2)/40000)</f>
        <v/>
      </c>
      <c r="M5700" s="7" t="str">
        <f t="shared" si="448"/>
        <v/>
      </c>
      <c r="N5700" s="7" t="str">
        <f t="shared" ref="N5700:N5763" si="452">IF(M5700="","",M5700*N$1)</f>
        <v/>
      </c>
      <c r="O5700" s="8"/>
      <c r="P5700" s="26"/>
      <c r="S5700" s="10" t="str">
        <f t="shared" si="449"/>
        <v/>
      </c>
    </row>
    <row r="5701" spans="5:19" x14ac:dyDescent="0.3">
      <c r="E5701" s="9" t="str">
        <f>IF(DADOS!C5701="","",DADOS!C5701)</f>
        <v/>
      </c>
      <c r="F5701" s="9" t="str">
        <f>IF(DADOS!E5701="","",DADOS!E5701)</f>
        <v/>
      </c>
      <c r="G5701" s="9" t="str">
        <f>IF(DADOS!F5701="","",DADOS!F5701)</f>
        <v/>
      </c>
      <c r="K5701" s="6" t="str">
        <f t="shared" si="450"/>
        <v/>
      </c>
      <c r="L5701" s="7" t="str">
        <f t="shared" si="451"/>
        <v/>
      </c>
      <c r="M5701" s="7" t="str">
        <f t="shared" si="448"/>
        <v/>
      </c>
      <c r="N5701" s="7" t="str">
        <f t="shared" si="452"/>
        <v/>
      </c>
      <c r="O5701" s="8"/>
      <c r="P5701" s="26"/>
      <c r="S5701" s="10" t="str">
        <f t="shared" si="449"/>
        <v/>
      </c>
    </row>
    <row r="5702" spans="5:19" x14ac:dyDescent="0.3">
      <c r="E5702" s="9" t="str">
        <f>IF(DADOS!C5702="","",DADOS!C5702)</f>
        <v/>
      </c>
      <c r="F5702" s="9" t="str">
        <f>IF(DADOS!E5702="","",DADOS!E5702)</f>
        <v/>
      </c>
      <c r="G5702" s="9" t="str">
        <f>IF(DADOS!F5702="","",DADOS!F5702)</f>
        <v/>
      </c>
      <c r="K5702" s="6" t="str">
        <f t="shared" si="450"/>
        <v/>
      </c>
      <c r="L5702" s="7" t="str">
        <f t="shared" si="451"/>
        <v/>
      </c>
      <c r="M5702" s="7" t="str">
        <f t="shared" si="448"/>
        <v/>
      </c>
      <c r="N5702" s="7" t="str">
        <f t="shared" si="452"/>
        <v/>
      </c>
      <c r="O5702" s="8"/>
      <c r="P5702" s="26"/>
      <c r="S5702" s="10" t="str">
        <f t="shared" si="449"/>
        <v/>
      </c>
    </row>
    <row r="5703" spans="5:19" x14ac:dyDescent="0.3">
      <c r="E5703" s="9" t="str">
        <f>IF(DADOS!C5703="","",DADOS!C5703)</f>
        <v/>
      </c>
      <c r="F5703" s="9" t="str">
        <f>IF(DADOS!E5703="","",DADOS!E5703)</f>
        <v/>
      </c>
      <c r="G5703" s="9" t="str">
        <f>IF(DADOS!F5703="","",DADOS!F5703)</f>
        <v/>
      </c>
      <c r="K5703" s="6" t="str">
        <f t="shared" si="450"/>
        <v/>
      </c>
      <c r="L5703" s="7" t="str">
        <f t="shared" si="451"/>
        <v/>
      </c>
      <c r="M5703" s="7" t="str">
        <f t="shared" si="448"/>
        <v/>
      </c>
      <c r="N5703" s="7" t="str">
        <f t="shared" si="452"/>
        <v/>
      </c>
      <c r="O5703" s="8"/>
      <c r="P5703" s="26"/>
      <c r="S5703" s="10" t="str">
        <f t="shared" si="449"/>
        <v/>
      </c>
    </row>
    <row r="5704" spans="5:19" x14ac:dyDescent="0.3">
      <c r="E5704" s="9" t="str">
        <f>IF(DADOS!C5704="","",DADOS!C5704)</f>
        <v/>
      </c>
      <c r="F5704" s="9" t="str">
        <f>IF(DADOS!E5704="","",DADOS!E5704)</f>
        <v/>
      </c>
      <c r="G5704" s="9" t="str">
        <f>IF(DADOS!F5704="","",DADOS!F5704)</f>
        <v/>
      </c>
      <c r="K5704" s="6" t="str">
        <f t="shared" si="450"/>
        <v/>
      </c>
      <c r="L5704" s="7" t="str">
        <f t="shared" si="451"/>
        <v/>
      </c>
      <c r="M5704" s="7" t="str">
        <f t="shared" si="448"/>
        <v/>
      </c>
      <c r="N5704" s="7" t="str">
        <f t="shared" si="452"/>
        <v/>
      </c>
      <c r="O5704" s="8"/>
      <c r="P5704" s="26"/>
      <c r="S5704" s="10" t="str">
        <f t="shared" si="449"/>
        <v/>
      </c>
    </row>
    <row r="5705" spans="5:19" x14ac:dyDescent="0.3">
      <c r="E5705" s="9" t="str">
        <f>IF(DADOS!C5705="","",DADOS!C5705)</f>
        <v/>
      </c>
      <c r="F5705" s="9" t="str">
        <f>IF(DADOS!E5705="","",DADOS!E5705)</f>
        <v/>
      </c>
      <c r="G5705" s="9" t="str">
        <f>IF(DADOS!F5705="","",DADOS!F5705)</f>
        <v/>
      </c>
      <c r="K5705" s="6" t="str">
        <f t="shared" si="450"/>
        <v/>
      </c>
      <c r="L5705" s="7" t="str">
        <f t="shared" si="451"/>
        <v/>
      </c>
      <c r="M5705" s="7" t="str">
        <f t="shared" si="448"/>
        <v/>
      </c>
      <c r="N5705" s="7" t="str">
        <f t="shared" si="452"/>
        <v/>
      </c>
      <c r="O5705" s="8"/>
      <c r="P5705" s="26"/>
      <c r="S5705" s="10" t="str">
        <f t="shared" si="449"/>
        <v/>
      </c>
    </row>
    <row r="5706" spans="5:19" x14ac:dyDescent="0.3">
      <c r="E5706" s="9" t="str">
        <f>IF(DADOS!C5706="","",DADOS!C5706)</f>
        <v/>
      </c>
      <c r="F5706" s="9" t="str">
        <f>IF(DADOS!E5706="","",DADOS!E5706)</f>
        <v/>
      </c>
      <c r="G5706" s="9" t="str">
        <f>IF(DADOS!F5706="","",DADOS!F5706)</f>
        <v/>
      </c>
      <c r="K5706" s="6" t="str">
        <f t="shared" si="450"/>
        <v/>
      </c>
      <c r="L5706" s="7" t="str">
        <f t="shared" si="451"/>
        <v/>
      </c>
      <c r="M5706" s="7" t="str">
        <f t="shared" si="448"/>
        <v/>
      </c>
      <c r="N5706" s="7" t="str">
        <f t="shared" si="452"/>
        <v/>
      </c>
      <c r="O5706" s="8"/>
      <c r="P5706" s="26"/>
      <c r="S5706" s="10" t="str">
        <f t="shared" si="449"/>
        <v/>
      </c>
    </row>
    <row r="5707" spans="5:19" x14ac:dyDescent="0.3">
      <c r="E5707" s="9" t="str">
        <f>IF(DADOS!C5707="","",DADOS!C5707)</f>
        <v/>
      </c>
      <c r="F5707" s="9" t="str">
        <f>IF(DADOS!E5707="","",DADOS!E5707)</f>
        <v/>
      </c>
      <c r="G5707" s="9" t="str">
        <f>IF(DADOS!F5707="","",DADOS!F5707)</f>
        <v/>
      </c>
      <c r="K5707" s="6" t="str">
        <f t="shared" si="450"/>
        <v/>
      </c>
      <c r="L5707" s="7" t="str">
        <f t="shared" si="451"/>
        <v/>
      </c>
      <c r="M5707" s="7" t="str">
        <f t="shared" si="448"/>
        <v/>
      </c>
      <c r="N5707" s="7" t="str">
        <f t="shared" si="452"/>
        <v/>
      </c>
      <c r="O5707" s="8"/>
      <c r="P5707" s="26"/>
      <c r="S5707" s="10" t="str">
        <f t="shared" si="449"/>
        <v/>
      </c>
    </row>
    <row r="5708" spans="5:19" x14ac:dyDescent="0.3">
      <c r="E5708" s="9" t="str">
        <f>IF(DADOS!C5708="","",DADOS!C5708)</f>
        <v/>
      </c>
      <c r="F5708" s="9" t="str">
        <f>IF(DADOS!E5708="","",DADOS!E5708)</f>
        <v/>
      </c>
      <c r="G5708" s="9" t="str">
        <f>IF(DADOS!F5708="","",DADOS!F5708)</f>
        <v/>
      </c>
      <c r="K5708" s="6" t="str">
        <f t="shared" si="450"/>
        <v/>
      </c>
      <c r="L5708" s="7" t="str">
        <f t="shared" si="451"/>
        <v/>
      </c>
      <c r="M5708" s="7" t="str">
        <f t="shared" si="448"/>
        <v/>
      </c>
      <c r="N5708" s="7" t="str">
        <f t="shared" si="452"/>
        <v/>
      </c>
      <c r="O5708" s="8"/>
      <c r="P5708" s="26"/>
      <c r="S5708" s="10" t="str">
        <f t="shared" si="449"/>
        <v/>
      </c>
    </row>
    <row r="5709" spans="5:19" x14ac:dyDescent="0.3">
      <c r="E5709" s="9" t="str">
        <f>IF(DADOS!C5709="","",DADOS!C5709)</f>
        <v/>
      </c>
      <c r="F5709" s="9" t="str">
        <f>IF(DADOS!E5709="","",DADOS!E5709)</f>
        <v/>
      </c>
      <c r="G5709" s="9" t="str">
        <f>IF(DADOS!F5709="","",DADOS!F5709)</f>
        <v/>
      </c>
      <c r="K5709" s="6" t="str">
        <f t="shared" si="450"/>
        <v/>
      </c>
      <c r="L5709" s="7" t="str">
        <f t="shared" si="451"/>
        <v/>
      </c>
      <c r="M5709" s="7" t="str">
        <f t="shared" si="448"/>
        <v/>
      </c>
      <c r="N5709" s="7" t="str">
        <f t="shared" si="452"/>
        <v/>
      </c>
      <c r="O5709" s="8"/>
      <c r="P5709" s="26"/>
      <c r="S5709" s="10" t="str">
        <f t="shared" si="449"/>
        <v/>
      </c>
    </row>
    <row r="5710" spans="5:19" x14ac:dyDescent="0.3">
      <c r="E5710" s="9" t="str">
        <f>IF(DADOS!C5710="","",DADOS!C5710)</f>
        <v/>
      </c>
      <c r="F5710" s="9" t="str">
        <f>IF(DADOS!E5710="","",DADOS!E5710)</f>
        <v/>
      </c>
      <c r="G5710" s="9" t="str">
        <f>IF(DADOS!F5710="","",DADOS!F5710)</f>
        <v/>
      </c>
      <c r="K5710" s="6" t="str">
        <f t="shared" si="450"/>
        <v/>
      </c>
      <c r="L5710" s="7" t="str">
        <f t="shared" si="451"/>
        <v/>
      </c>
      <c r="M5710" s="7" t="str">
        <f t="shared" si="448"/>
        <v/>
      </c>
      <c r="N5710" s="7" t="str">
        <f t="shared" si="452"/>
        <v/>
      </c>
      <c r="O5710" s="8"/>
      <c r="P5710" s="26"/>
      <c r="S5710" s="10" t="str">
        <f t="shared" si="449"/>
        <v/>
      </c>
    </row>
    <row r="5711" spans="5:19" x14ac:dyDescent="0.3">
      <c r="E5711" s="9" t="str">
        <f>IF(DADOS!C5711="","",DADOS!C5711)</f>
        <v/>
      </c>
      <c r="F5711" s="9" t="str">
        <f>IF(DADOS!E5711="","",DADOS!E5711)</f>
        <v/>
      </c>
      <c r="G5711" s="9" t="str">
        <f>IF(DADOS!F5711="","",DADOS!F5711)</f>
        <v/>
      </c>
      <c r="K5711" s="6" t="str">
        <f t="shared" si="450"/>
        <v/>
      </c>
      <c r="L5711" s="7" t="str">
        <f t="shared" si="451"/>
        <v/>
      </c>
      <c r="M5711" s="7" t="str">
        <f t="shared" si="448"/>
        <v/>
      </c>
      <c r="N5711" s="7" t="str">
        <f t="shared" si="452"/>
        <v/>
      </c>
      <c r="O5711" s="8"/>
      <c r="P5711" s="26"/>
      <c r="S5711" s="10" t="str">
        <f t="shared" si="449"/>
        <v/>
      </c>
    </row>
    <row r="5712" spans="5:19" x14ac:dyDescent="0.3">
      <c r="E5712" s="9" t="str">
        <f>IF(DADOS!C5712="","",DADOS!C5712)</f>
        <v/>
      </c>
      <c r="F5712" s="9" t="str">
        <f>IF(DADOS!E5712="","",DADOS!E5712)</f>
        <v/>
      </c>
      <c r="G5712" s="9" t="str">
        <f>IF(DADOS!F5712="","",DADOS!F5712)</f>
        <v/>
      </c>
      <c r="K5712" s="6" t="str">
        <f t="shared" si="450"/>
        <v/>
      </c>
      <c r="L5712" s="7" t="str">
        <f t="shared" si="451"/>
        <v/>
      </c>
      <c r="M5712" s="7" t="str">
        <f t="shared" si="448"/>
        <v/>
      </c>
      <c r="N5712" s="7" t="str">
        <f t="shared" si="452"/>
        <v/>
      </c>
      <c r="O5712" s="8"/>
      <c r="P5712" s="26"/>
      <c r="S5712" s="10" t="str">
        <f t="shared" si="449"/>
        <v/>
      </c>
    </row>
    <row r="5713" spans="5:19" x14ac:dyDescent="0.3">
      <c r="E5713" s="9" t="str">
        <f>IF(DADOS!C5713="","",DADOS!C5713)</f>
        <v/>
      </c>
      <c r="F5713" s="9" t="str">
        <f>IF(DADOS!E5713="","",DADOS!E5713)</f>
        <v/>
      </c>
      <c r="G5713" s="9" t="str">
        <f>IF(DADOS!F5713="","",DADOS!F5713)</f>
        <v/>
      </c>
      <c r="K5713" s="6" t="str">
        <f t="shared" si="450"/>
        <v/>
      </c>
      <c r="L5713" s="7" t="str">
        <f t="shared" si="451"/>
        <v/>
      </c>
      <c r="M5713" s="7" t="str">
        <f t="shared" si="448"/>
        <v/>
      </c>
      <c r="N5713" s="7" t="str">
        <f t="shared" si="452"/>
        <v/>
      </c>
      <c r="O5713" s="8"/>
      <c r="P5713" s="26"/>
      <c r="S5713" s="10" t="str">
        <f t="shared" si="449"/>
        <v/>
      </c>
    </row>
    <row r="5714" spans="5:19" x14ac:dyDescent="0.3">
      <c r="E5714" s="9" t="str">
        <f>IF(DADOS!C5714="","",DADOS!C5714)</f>
        <v/>
      </c>
      <c r="F5714" s="9" t="str">
        <f>IF(DADOS!E5714="","",DADOS!E5714)</f>
        <v/>
      </c>
      <c r="G5714" s="9" t="str">
        <f>IF(DADOS!F5714="","",DADOS!F5714)</f>
        <v/>
      </c>
      <c r="K5714" s="6" t="str">
        <f t="shared" si="450"/>
        <v/>
      </c>
      <c r="L5714" s="7" t="str">
        <f t="shared" si="451"/>
        <v/>
      </c>
      <c r="M5714" s="7" t="str">
        <f t="shared" si="448"/>
        <v/>
      </c>
      <c r="N5714" s="7" t="str">
        <f t="shared" si="452"/>
        <v/>
      </c>
      <c r="O5714" s="8"/>
      <c r="P5714" s="26"/>
      <c r="S5714" s="10" t="str">
        <f t="shared" si="449"/>
        <v/>
      </c>
    </row>
    <row r="5715" spans="5:19" x14ac:dyDescent="0.3">
      <c r="E5715" s="9" t="str">
        <f>IF(DADOS!C5715="","",DADOS!C5715)</f>
        <v/>
      </c>
      <c r="F5715" s="9" t="str">
        <f>IF(DADOS!E5715="","",DADOS!E5715)</f>
        <v/>
      </c>
      <c r="G5715" s="9" t="str">
        <f>IF(DADOS!F5715="","",DADOS!F5715)</f>
        <v/>
      </c>
      <c r="K5715" s="6" t="str">
        <f t="shared" si="450"/>
        <v/>
      </c>
      <c r="L5715" s="7" t="str">
        <f t="shared" si="451"/>
        <v/>
      </c>
      <c r="M5715" s="7" t="str">
        <f t="shared" si="448"/>
        <v/>
      </c>
      <c r="N5715" s="7" t="str">
        <f t="shared" si="452"/>
        <v/>
      </c>
      <c r="O5715" s="8"/>
      <c r="P5715" s="26"/>
      <c r="S5715" s="10" t="str">
        <f t="shared" si="449"/>
        <v/>
      </c>
    </row>
    <row r="5716" spans="5:19" x14ac:dyDescent="0.3">
      <c r="E5716" s="9" t="str">
        <f>IF(DADOS!C5716="","",DADOS!C5716)</f>
        <v/>
      </c>
      <c r="F5716" s="9" t="str">
        <f>IF(DADOS!E5716="","",DADOS!E5716)</f>
        <v/>
      </c>
      <c r="G5716" s="9" t="str">
        <f>IF(DADOS!F5716="","",DADOS!F5716)</f>
        <v/>
      </c>
      <c r="K5716" s="6" t="str">
        <f t="shared" si="450"/>
        <v/>
      </c>
      <c r="L5716" s="7" t="str">
        <f t="shared" si="451"/>
        <v/>
      </c>
      <c r="M5716" s="7" t="str">
        <f t="shared" si="448"/>
        <v/>
      </c>
      <c r="N5716" s="7" t="str">
        <f t="shared" si="452"/>
        <v/>
      </c>
      <c r="O5716" s="8"/>
      <c r="P5716" s="26"/>
      <c r="S5716" s="10" t="str">
        <f t="shared" si="449"/>
        <v/>
      </c>
    </row>
    <row r="5717" spans="5:19" x14ac:dyDescent="0.3">
      <c r="E5717" s="9" t="str">
        <f>IF(DADOS!C5717="","",DADOS!C5717)</f>
        <v/>
      </c>
      <c r="F5717" s="9" t="str">
        <f>IF(DADOS!E5717="","",DADOS!E5717)</f>
        <v/>
      </c>
      <c r="G5717" s="9" t="str">
        <f>IF(DADOS!F5717="","",DADOS!F5717)</f>
        <v/>
      </c>
      <c r="K5717" s="6" t="str">
        <f t="shared" si="450"/>
        <v/>
      </c>
      <c r="L5717" s="7" t="str">
        <f t="shared" si="451"/>
        <v/>
      </c>
      <c r="M5717" s="7" t="str">
        <f t="shared" si="448"/>
        <v/>
      </c>
      <c r="N5717" s="7" t="str">
        <f t="shared" si="452"/>
        <v/>
      </c>
      <c r="O5717" s="8"/>
      <c r="P5717" s="26"/>
      <c r="S5717" s="10" t="str">
        <f t="shared" si="449"/>
        <v/>
      </c>
    </row>
    <row r="5718" spans="5:19" x14ac:dyDescent="0.3">
      <c r="E5718" s="9" t="str">
        <f>IF(DADOS!C5718="","",DADOS!C5718)</f>
        <v/>
      </c>
      <c r="F5718" s="9" t="str">
        <f>IF(DADOS!E5718="","",DADOS!E5718)</f>
        <v/>
      </c>
      <c r="G5718" s="9" t="str">
        <f>IF(DADOS!F5718="","",DADOS!F5718)</f>
        <v/>
      </c>
      <c r="K5718" s="6" t="str">
        <f t="shared" si="450"/>
        <v/>
      </c>
      <c r="L5718" s="7" t="str">
        <f t="shared" si="451"/>
        <v/>
      </c>
      <c r="M5718" s="7" t="str">
        <f t="shared" si="448"/>
        <v/>
      </c>
      <c r="N5718" s="7" t="str">
        <f t="shared" si="452"/>
        <v/>
      </c>
      <c r="O5718" s="8"/>
      <c r="P5718" s="26"/>
      <c r="S5718" s="10" t="str">
        <f t="shared" si="449"/>
        <v/>
      </c>
    </row>
    <row r="5719" spans="5:19" x14ac:dyDescent="0.3">
      <c r="E5719" s="9" t="str">
        <f>IF(DADOS!C5719="","",DADOS!C5719)</f>
        <v/>
      </c>
      <c r="F5719" s="9" t="str">
        <f>IF(DADOS!E5719="","",DADOS!E5719)</f>
        <v/>
      </c>
      <c r="G5719" s="9" t="str">
        <f>IF(DADOS!F5719="","",DADOS!F5719)</f>
        <v/>
      </c>
      <c r="K5719" s="6" t="str">
        <f t="shared" si="450"/>
        <v/>
      </c>
      <c r="L5719" s="7" t="str">
        <f t="shared" si="451"/>
        <v/>
      </c>
      <c r="M5719" s="7" t="str">
        <f t="shared" si="448"/>
        <v/>
      </c>
      <c r="N5719" s="7" t="str">
        <f t="shared" si="452"/>
        <v/>
      </c>
      <c r="O5719" s="8"/>
      <c r="P5719" s="26"/>
      <c r="S5719" s="10" t="str">
        <f t="shared" si="449"/>
        <v/>
      </c>
    </row>
    <row r="5720" spans="5:19" x14ac:dyDescent="0.3">
      <c r="E5720" s="9" t="str">
        <f>IF(DADOS!C5720="","",DADOS!C5720)</f>
        <v/>
      </c>
      <c r="F5720" s="9" t="str">
        <f>IF(DADOS!E5720="","",DADOS!E5720)</f>
        <v/>
      </c>
      <c r="G5720" s="9" t="str">
        <f>IF(DADOS!F5720="","",DADOS!F5720)</f>
        <v/>
      </c>
      <c r="K5720" s="6" t="str">
        <f t="shared" si="450"/>
        <v/>
      </c>
      <c r="L5720" s="7" t="str">
        <f t="shared" si="451"/>
        <v/>
      </c>
      <c r="M5720" s="7" t="str">
        <f t="shared" si="448"/>
        <v/>
      </c>
      <c r="N5720" s="7" t="str">
        <f t="shared" si="452"/>
        <v/>
      </c>
      <c r="O5720" s="8"/>
      <c r="P5720" s="26"/>
      <c r="S5720" s="10" t="str">
        <f t="shared" si="449"/>
        <v/>
      </c>
    </row>
    <row r="5721" spans="5:19" x14ac:dyDescent="0.3">
      <c r="E5721" s="9" t="str">
        <f>IF(DADOS!C5721="","",DADOS!C5721)</f>
        <v/>
      </c>
      <c r="F5721" s="9" t="str">
        <f>IF(DADOS!E5721="","",DADOS!E5721)</f>
        <v/>
      </c>
      <c r="G5721" s="9" t="str">
        <f>IF(DADOS!F5721="","",DADOS!F5721)</f>
        <v/>
      </c>
      <c r="K5721" s="6" t="str">
        <f t="shared" si="450"/>
        <v/>
      </c>
      <c r="L5721" s="7" t="str">
        <f t="shared" si="451"/>
        <v/>
      </c>
      <c r="M5721" s="7" t="str">
        <f t="shared" si="448"/>
        <v/>
      </c>
      <c r="N5721" s="7" t="str">
        <f t="shared" si="452"/>
        <v/>
      </c>
      <c r="O5721" s="8"/>
      <c r="P5721" s="26"/>
      <c r="S5721" s="10" t="str">
        <f t="shared" si="449"/>
        <v/>
      </c>
    </row>
    <row r="5722" spans="5:19" x14ac:dyDescent="0.3">
      <c r="E5722" s="9" t="str">
        <f>IF(DADOS!C5722="","",DADOS!C5722)</f>
        <v/>
      </c>
      <c r="F5722" s="9" t="str">
        <f>IF(DADOS!E5722="","",DADOS!E5722)</f>
        <v/>
      </c>
      <c r="G5722" s="9" t="str">
        <f>IF(DADOS!F5722="","",DADOS!F5722)</f>
        <v/>
      </c>
      <c r="K5722" s="6" t="str">
        <f t="shared" si="450"/>
        <v/>
      </c>
      <c r="L5722" s="7" t="str">
        <f t="shared" si="451"/>
        <v/>
      </c>
      <c r="M5722" s="7" t="str">
        <f t="shared" si="448"/>
        <v/>
      </c>
      <c r="N5722" s="7" t="str">
        <f t="shared" si="452"/>
        <v/>
      </c>
      <c r="O5722" s="8"/>
      <c r="P5722" s="26"/>
      <c r="S5722" s="10" t="str">
        <f t="shared" si="449"/>
        <v/>
      </c>
    </row>
    <row r="5723" spans="5:19" x14ac:dyDescent="0.3">
      <c r="E5723" s="9" t="str">
        <f>IF(DADOS!C5723="","",DADOS!C5723)</f>
        <v/>
      </c>
      <c r="F5723" s="9" t="str">
        <f>IF(DADOS!E5723="","",DADOS!E5723)</f>
        <v/>
      </c>
      <c r="G5723" s="9" t="str">
        <f>IF(DADOS!F5723="","",DADOS!F5723)</f>
        <v/>
      </c>
      <c r="K5723" s="6" t="str">
        <f t="shared" si="450"/>
        <v/>
      </c>
      <c r="L5723" s="7" t="str">
        <f t="shared" si="451"/>
        <v/>
      </c>
      <c r="M5723" s="7" t="str">
        <f t="shared" si="448"/>
        <v/>
      </c>
      <c r="N5723" s="7" t="str">
        <f t="shared" si="452"/>
        <v/>
      </c>
      <c r="O5723" s="8"/>
      <c r="P5723" s="26"/>
      <c r="S5723" s="10" t="str">
        <f t="shared" si="449"/>
        <v/>
      </c>
    </row>
    <row r="5724" spans="5:19" x14ac:dyDescent="0.3">
      <c r="E5724" s="9" t="str">
        <f>IF(DADOS!C5724="","",DADOS!C5724)</f>
        <v/>
      </c>
      <c r="F5724" s="9" t="str">
        <f>IF(DADOS!E5724="","",DADOS!E5724)</f>
        <v/>
      </c>
      <c r="G5724" s="9" t="str">
        <f>IF(DADOS!F5724="","",DADOS!F5724)</f>
        <v/>
      </c>
      <c r="K5724" s="6" t="str">
        <f t="shared" si="450"/>
        <v/>
      </c>
      <c r="L5724" s="7" t="str">
        <f t="shared" si="451"/>
        <v/>
      </c>
      <c r="M5724" s="7" t="str">
        <f t="shared" si="448"/>
        <v/>
      </c>
      <c r="N5724" s="7" t="str">
        <f t="shared" si="452"/>
        <v/>
      </c>
      <c r="O5724" s="8"/>
      <c r="P5724" s="26"/>
      <c r="S5724" s="10" t="str">
        <f t="shared" si="449"/>
        <v/>
      </c>
    </row>
    <row r="5725" spans="5:19" x14ac:dyDescent="0.3">
      <c r="E5725" s="9" t="str">
        <f>IF(DADOS!C5725="","",DADOS!C5725)</f>
        <v/>
      </c>
      <c r="F5725" s="9" t="str">
        <f>IF(DADOS!E5725="","",DADOS!E5725)</f>
        <v/>
      </c>
      <c r="G5725" s="9" t="str">
        <f>IF(DADOS!F5725="","",DADOS!F5725)</f>
        <v/>
      </c>
      <c r="K5725" s="6" t="str">
        <f t="shared" si="450"/>
        <v/>
      </c>
      <c r="L5725" s="7" t="str">
        <f t="shared" si="451"/>
        <v/>
      </c>
      <c r="M5725" s="7" t="str">
        <f t="shared" si="448"/>
        <v/>
      </c>
      <c r="N5725" s="7" t="str">
        <f t="shared" si="452"/>
        <v/>
      </c>
      <c r="O5725" s="8"/>
      <c r="P5725" s="26"/>
      <c r="S5725" s="10" t="str">
        <f t="shared" si="449"/>
        <v/>
      </c>
    </row>
    <row r="5726" spans="5:19" x14ac:dyDescent="0.3">
      <c r="E5726" s="9" t="str">
        <f>IF(DADOS!C5726="","",DADOS!C5726)</f>
        <v/>
      </c>
      <c r="F5726" s="9" t="str">
        <f>IF(DADOS!E5726="","",DADOS!E5726)</f>
        <v/>
      </c>
      <c r="G5726" s="9" t="str">
        <f>IF(DADOS!F5726="","",DADOS!F5726)</f>
        <v/>
      </c>
      <c r="K5726" s="6" t="str">
        <f t="shared" si="450"/>
        <v/>
      </c>
      <c r="L5726" s="7" t="str">
        <f t="shared" si="451"/>
        <v/>
      </c>
      <c r="M5726" s="7" t="str">
        <f t="shared" si="448"/>
        <v/>
      </c>
      <c r="N5726" s="7" t="str">
        <f t="shared" si="452"/>
        <v/>
      </c>
      <c r="O5726" s="8"/>
      <c r="P5726" s="26"/>
      <c r="S5726" s="10" t="str">
        <f t="shared" si="449"/>
        <v/>
      </c>
    </row>
    <row r="5727" spans="5:19" x14ac:dyDescent="0.3">
      <c r="E5727" s="9" t="str">
        <f>IF(DADOS!C5727="","",DADOS!C5727)</f>
        <v/>
      </c>
      <c r="F5727" s="9" t="str">
        <f>IF(DADOS!E5727="","",DADOS!E5727)</f>
        <v/>
      </c>
      <c r="G5727" s="9" t="str">
        <f>IF(DADOS!F5727="","",DADOS!F5727)</f>
        <v/>
      </c>
      <c r="K5727" s="6" t="str">
        <f t="shared" si="450"/>
        <v/>
      </c>
      <c r="L5727" s="7" t="str">
        <f t="shared" si="451"/>
        <v/>
      </c>
      <c r="M5727" s="7" t="str">
        <f t="shared" si="448"/>
        <v/>
      </c>
      <c r="N5727" s="7" t="str">
        <f t="shared" si="452"/>
        <v/>
      </c>
      <c r="O5727" s="8"/>
      <c r="P5727" s="26"/>
      <c r="S5727" s="10" t="str">
        <f t="shared" si="449"/>
        <v/>
      </c>
    </row>
    <row r="5728" spans="5:19" x14ac:dyDescent="0.3">
      <c r="E5728" s="9" t="str">
        <f>IF(DADOS!C5728="","",DADOS!C5728)</f>
        <v/>
      </c>
      <c r="F5728" s="9" t="str">
        <f>IF(DADOS!E5728="","",DADOS!E5728)</f>
        <v/>
      </c>
      <c r="G5728" s="9" t="str">
        <f>IF(DADOS!F5728="","",DADOS!F5728)</f>
        <v/>
      </c>
      <c r="K5728" s="6" t="str">
        <f t="shared" si="450"/>
        <v/>
      </c>
      <c r="L5728" s="7" t="str">
        <f t="shared" si="451"/>
        <v/>
      </c>
      <c r="M5728" s="7" t="str">
        <f t="shared" si="448"/>
        <v/>
      </c>
      <c r="N5728" s="7" t="str">
        <f t="shared" si="452"/>
        <v/>
      </c>
      <c r="O5728" s="8"/>
      <c r="P5728" s="26"/>
      <c r="S5728" s="10" t="str">
        <f t="shared" si="449"/>
        <v/>
      </c>
    </row>
    <row r="5729" spans="5:19" x14ac:dyDescent="0.3">
      <c r="E5729" s="9" t="str">
        <f>IF(DADOS!C5729="","",DADOS!C5729)</f>
        <v/>
      </c>
      <c r="F5729" s="9" t="str">
        <f>IF(DADOS!E5729="","",DADOS!E5729)</f>
        <v/>
      </c>
      <c r="G5729" s="9" t="str">
        <f>IF(DADOS!F5729="","",DADOS!F5729)</f>
        <v/>
      </c>
      <c r="K5729" s="6" t="str">
        <f t="shared" si="450"/>
        <v/>
      </c>
      <c r="L5729" s="7" t="str">
        <f t="shared" si="451"/>
        <v/>
      </c>
      <c r="M5729" s="7" t="str">
        <f t="shared" si="448"/>
        <v/>
      </c>
      <c r="N5729" s="7" t="str">
        <f t="shared" si="452"/>
        <v/>
      </c>
      <c r="O5729" s="8"/>
      <c r="P5729" s="26"/>
      <c r="S5729" s="10" t="str">
        <f t="shared" si="449"/>
        <v/>
      </c>
    </row>
    <row r="5730" spans="5:19" x14ac:dyDescent="0.3">
      <c r="E5730" s="9" t="str">
        <f>IF(DADOS!C5730="","",DADOS!C5730)</f>
        <v/>
      </c>
      <c r="F5730" s="9" t="str">
        <f>IF(DADOS!E5730="","",DADOS!E5730)</f>
        <v/>
      </c>
      <c r="G5730" s="9" t="str">
        <f>IF(DADOS!F5730="","",DADOS!F5730)</f>
        <v/>
      </c>
      <c r="K5730" s="6" t="str">
        <f t="shared" si="450"/>
        <v/>
      </c>
      <c r="L5730" s="7" t="str">
        <f t="shared" si="451"/>
        <v/>
      </c>
      <c r="M5730" s="7" t="str">
        <f t="shared" si="448"/>
        <v/>
      </c>
      <c r="N5730" s="7" t="str">
        <f t="shared" si="452"/>
        <v/>
      </c>
      <c r="O5730" s="8"/>
      <c r="P5730" s="26"/>
      <c r="S5730" s="10" t="str">
        <f t="shared" si="449"/>
        <v/>
      </c>
    </row>
    <row r="5731" spans="5:19" x14ac:dyDescent="0.3">
      <c r="E5731" s="9" t="str">
        <f>IF(DADOS!C5731="","",DADOS!C5731)</f>
        <v/>
      </c>
      <c r="F5731" s="9" t="str">
        <f>IF(DADOS!E5731="","",DADOS!E5731)</f>
        <v/>
      </c>
      <c r="G5731" s="9" t="str">
        <f>IF(DADOS!F5731="","",DADOS!F5731)</f>
        <v/>
      </c>
      <c r="K5731" s="6" t="str">
        <f t="shared" si="450"/>
        <v/>
      </c>
      <c r="L5731" s="7" t="str">
        <f t="shared" si="451"/>
        <v/>
      </c>
      <c r="M5731" s="7" t="str">
        <f t="shared" si="448"/>
        <v/>
      </c>
      <c r="N5731" s="7" t="str">
        <f t="shared" si="452"/>
        <v/>
      </c>
      <c r="O5731" s="8"/>
      <c r="P5731" s="26"/>
      <c r="S5731" s="10" t="str">
        <f t="shared" si="449"/>
        <v/>
      </c>
    </row>
    <row r="5732" spans="5:19" x14ac:dyDescent="0.3">
      <c r="E5732" s="9" t="str">
        <f>IF(DADOS!C5732="","",DADOS!C5732)</f>
        <v/>
      </c>
      <c r="F5732" s="9" t="str">
        <f>IF(DADOS!E5732="","",DADOS!E5732)</f>
        <v/>
      </c>
      <c r="G5732" s="9" t="str">
        <f>IF(DADOS!F5732="","",DADOS!F5732)</f>
        <v/>
      </c>
      <c r="K5732" s="6" t="str">
        <f t="shared" si="450"/>
        <v/>
      </c>
      <c r="L5732" s="7" t="str">
        <f t="shared" si="451"/>
        <v/>
      </c>
      <c r="M5732" s="7" t="str">
        <f t="shared" si="448"/>
        <v/>
      </c>
      <c r="N5732" s="7" t="str">
        <f t="shared" si="452"/>
        <v/>
      </c>
      <c r="O5732" s="8"/>
      <c r="P5732" s="26"/>
      <c r="S5732" s="10" t="str">
        <f t="shared" si="449"/>
        <v/>
      </c>
    </row>
    <row r="5733" spans="5:19" x14ac:dyDescent="0.3">
      <c r="E5733" s="9" t="str">
        <f>IF(DADOS!C5733="","",DADOS!C5733)</f>
        <v/>
      </c>
      <c r="F5733" s="9" t="str">
        <f>IF(DADOS!E5733="","",DADOS!E5733)</f>
        <v/>
      </c>
      <c r="G5733" s="9" t="str">
        <f>IF(DADOS!F5733="","",DADOS!F5733)</f>
        <v/>
      </c>
      <c r="K5733" s="6" t="str">
        <f t="shared" si="450"/>
        <v/>
      </c>
      <c r="L5733" s="7" t="str">
        <f t="shared" si="451"/>
        <v/>
      </c>
      <c r="M5733" s="7" t="str">
        <f t="shared" si="448"/>
        <v/>
      </c>
      <c r="N5733" s="7" t="str">
        <f t="shared" si="452"/>
        <v/>
      </c>
      <c r="O5733" s="8"/>
      <c r="P5733" s="26"/>
      <c r="S5733" s="10" t="str">
        <f t="shared" si="449"/>
        <v/>
      </c>
    </row>
    <row r="5734" spans="5:19" x14ac:dyDescent="0.3">
      <c r="E5734" s="9" t="str">
        <f>IF(DADOS!C5734="","",DADOS!C5734)</f>
        <v/>
      </c>
      <c r="F5734" s="9" t="str">
        <f>IF(DADOS!E5734="","",DADOS!E5734)</f>
        <v/>
      </c>
      <c r="G5734" s="9" t="str">
        <f>IF(DADOS!F5734="","",DADOS!F5734)</f>
        <v/>
      </c>
      <c r="K5734" s="6" t="str">
        <f t="shared" si="450"/>
        <v/>
      </c>
      <c r="L5734" s="7" t="str">
        <f t="shared" si="451"/>
        <v/>
      </c>
      <c r="M5734" s="7" t="str">
        <f t="shared" si="448"/>
        <v/>
      </c>
      <c r="N5734" s="7" t="str">
        <f t="shared" si="452"/>
        <v/>
      </c>
      <c r="O5734" s="8"/>
      <c r="P5734" s="26"/>
      <c r="S5734" s="10" t="str">
        <f t="shared" si="449"/>
        <v/>
      </c>
    </row>
    <row r="5735" spans="5:19" x14ac:dyDescent="0.3">
      <c r="E5735" s="9" t="str">
        <f>IF(DADOS!C5735="","",DADOS!C5735)</f>
        <v/>
      </c>
      <c r="F5735" s="9" t="str">
        <f>IF(DADOS!E5735="","",DADOS!E5735)</f>
        <v/>
      </c>
      <c r="G5735" s="9" t="str">
        <f>IF(DADOS!F5735="","",DADOS!F5735)</f>
        <v/>
      </c>
      <c r="K5735" s="6" t="str">
        <f t="shared" si="450"/>
        <v/>
      </c>
      <c r="L5735" s="7" t="str">
        <f t="shared" si="451"/>
        <v/>
      </c>
      <c r="M5735" s="7" t="str">
        <f t="shared" si="448"/>
        <v/>
      </c>
      <c r="N5735" s="7" t="str">
        <f t="shared" si="452"/>
        <v/>
      </c>
      <c r="O5735" s="8"/>
      <c r="P5735" s="26"/>
      <c r="S5735" s="10" t="str">
        <f t="shared" si="449"/>
        <v/>
      </c>
    </row>
    <row r="5736" spans="5:19" x14ac:dyDescent="0.3">
      <c r="E5736" s="9" t="str">
        <f>IF(DADOS!C5736="","",DADOS!C5736)</f>
        <v/>
      </c>
      <c r="F5736" s="9" t="str">
        <f>IF(DADOS!E5736="","",DADOS!E5736)</f>
        <v/>
      </c>
      <c r="G5736" s="9" t="str">
        <f>IF(DADOS!F5736="","",DADOS!F5736)</f>
        <v/>
      </c>
      <c r="K5736" s="6" t="str">
        <f t="shared" si="450"/>
        <v/>
      </c>
      <c r="L5736" s="7" t="str">
        <f t="shared" si="451"/>
        <v/>
      </c>
      <c r="M5736" s="7" t="str">
        <f t="shared" si="448"/>
        <v/>
      </c>
      <c r="N5736" s="7" t="str">
        <f t="shared" si="452"/>
        <v/>
      </c>
      <c r="O5736" s="8"/>
      <c r="P5736" s="26"/>
      <c r="S5736" s="10" t="str">
        <f t="shared" si="449"/>
        <v/>
      </c>
    </row>
    <row r="5737" spans="5:19" x14ac:dyDescent="0.3">
      <c r="E5737" s="9" t="str">
        <f>IF(DADOS!C5737="","",DADOS!C5737)</f>
        <v/>
      </c>
      <c r="F5737" s="9" t="str">
        <f>IF(DADOS!E5737="","",DADOS!E5737)</f>
        <v/>
      </c>
      <c r="G5737" s="9" t="str">
        <f>IF(DADOS!F5737="","",DADOS!F5737)</f>
        <v/>
      </c>
      <c r="K5737" s="6" t="str">
        <f t="shared" si="450"/>
        <v/>
      </c>
      <c r="L5737" s="7" t="str">
        <f t="shared" si="451"/>
        <v/>
      </c>
      <c r="M5737" s="7" t="str">
        <f t="shared" si="448"/>
        <v/>
      </c>
      <c r="N5737" s="7" t="str">
        <f t="shared" si="452"/>
        <v/>
      </c>
      <c r="O5737" s="8"/>
      <c r="P5737" s="26"/>
      <c r="S5737" s="10" t="str">
        <f t="shared" si="449"/>
        <v/>
      </c>
    </row>
    <row r="5738" spans="5:19" x14ac:dyDescent="0.3">
      <c r="E5738" s="9" t="str">
        <f>IF(DADOS!C5738="","",DADOS!C5738)</f>
        <v/>
      </c>
      <c r="F5738" s="9" t="str">
        <f>IF(DADOS!E5738="","",DADOS!E5738)</f>
        <v/>
      </c>
      <c r="G5738" s="9" t="str">
        <f>IF(DADOS!F5738="","",DADOS!F5738)</f>
        <v/>
      </c>
      <c r="K5738" s="6" t="str">
        <f t="shared" si="450"/>
        <v/>
      </c>
      <c r="L5738" s="7" t="str">
        <f t="shared" si="451"/>
        <v/>
      </c>
      <c r="M5738" s="7" t="str">
        <f t="shared" si="448"/>
        <v/>
      </c>
      <c r="N5738" s="7" t="str">
        <f t="shared" si="452"/>
        <v/>
      </c>
      <c r="O5738" s="8"/>
      <c r="P5738" s="26"/>
      <c r="S5738" s="10" t="str">
        <f t="shared" si="449"/>
        <v/>
      </c>
    </row>
    <row r="5739" spans="5:19" x14ac:dyDescent="0.3">
      <c r="E5739" s="9" t="str">
        <f>IF(DADOS!C5739="","",DADOS!C5739)</f>
        <v/>
      </c>
      <c r="F5739" s="9" t="str">
        <f>IF(DADOS!E5739="","",DADOS!E5739)</f>
        <v/>
      </c>
      <c r="G5739" s="9" t="str">
        <f>IF(DADOS!F5739="","",DADOS!F5739)</f>
        <v/>
      </c>
      <c r="K5739" s="6" t="str">
        <f t="shared" si="450"/>
        <v/>
      </c>
      <c r="L5739" s="7" t="str">
        <f t="shared" si="451"/>
        <v/>
      </c>
      <c r="M5739" s="7" t="str">
        <f t="shared" si="448"/>
        <v/>
      </c>
      <c r="N5739" s="7" t="str">
        <f t="shared" si="452"/>
        <v/>
      </c>
      <c r="O5739" s="8"/>
      <c r="P5739" s="26"/>
      <c r="S5739" s="10" t="str">
        <f t="shared" si="449"/>
        <v/>
      </c>
    </row>
    <row r="5740" spans="5:19" x14ac:dyDescent="0.3">
      <c r="E5740" s="9" t="str">
        <f>IF(DADOS!C5740="","",DADOS!C5740)</f>
        <v/>
      </c>
      <c r="F5740" s="9" t="str">
        <f>IF(DADOS!E5740="","",DADOS!E5740)</f>
        <v/>
      </c>
      <c r="G5740" s="9" t="str">
        <f>IF(DADOS!F5740="","",DADOS!F5740)</f>
        <v/>
      </c>
      <c r="K5740" s="6" t="str">
        <f t="shared" si="450"/>
        <v/>
      </c>
      <c r="L5740" s="7" t="str">
        <f t="shared" si="451"/>
        <v/>
      </c>
      <c r="M5740" s="7" t="str">
        <f t="shared" si="448"/>
        <v/>
      </c>
      <c r="N5740" s="7" t="str">
        <f t="shared" si="452"/>
        <v/>
      </c>
      <c r="O5740" s="8"/>
      <c r="P5740" s="26"/>
      <c r="S5740" s="10" t="str">
        <f t="shared" si="449"/>
        <v/>
      </c>
    </row>
    <row r="5741" spans="5:19" x14ac:dyDescent="0.3">
      <c r="E5741" s="9" t="str">
        <f>IF(DADOS!C5741="","",DADOS!C5741)</f>
        <v/>
      </c>
      <c r="F5741" s="9" t="str">
        <f>IF(DADOS!E5741="","",DADOS!E5741)</f>
        <v/>
      </c>
      <c r="G5741" s="9" t="str">
        <f>IF(DADOS!F5741="","",DADOS!F5741)</f>
        <v/>
      </c>
      <c r="K5741" s="6" t="str">
        <f t="shared" si="450"/>
        <v/>
      </c>
      <c r="L5741" s="7" t="str">
        <f t="shared" si="451"/>
        <v/>
      </c>
      <c r="M5741" s="7" t="str">
        <f t="shared" si="448"/>
        <v/>
      </c>
      <c r="N5741" s="7" t="str">
        <f t="shared" si="452"/>
        <v/>
      </c>
      <c r="O5741" s="8"/>
      <c r="P5741" s="26"/>
      <c r="S5741" s="10" t="str">
        <f t="shared" si="449"/>
        <v/>
      </c>
    </row>
    <row r="5742" spans="5:19" x14ac:dyDescent="0.3">
      <c r="E5742" s="9" t="str">
        <f>IF(DADOS!C5742="","",DADOS!C5742)</f>
        <v/>
      </c>
      <c r="F5742" s="9" t="str">
        <f>IF(DADOS!E5742="","",DADOS!E5742)</f>
        <v/>
      </c>
      <c r="G5742" s="9" t="str">
        <f>IF(DADOS!F5742="","",DADOS!F5742)</f>
        <v/>
      </c>
      <c r="K5742" s="6" t="str">
        <f t="shared" si="450"/>
        <v/>
      </c>
      <c r="L5742" s="7" t="str">
        <f t="shared" si="451"/>
        <v/>
      </c>
      <c r="M5742" s="7" t="str">
        <f t="shared" si="448"/>
        <v/>
      </c>
      <c r="N5742" s="7" t="str">
        <f t="shared" si="452"/>
        <v/>
      </c>
      <c r="O5742" s="8"/>
      <c r="P5742" s="26"/>
      <c r="S5742" s="10" t="str">
        <f t="shared" si="449"/>
        <v/>
      </c>
    </row>
    <row r="5743" spans="5:19" x14ac:dyDescent="0.3">
      <c r="E5743" s="9" t="str">
        <f>IF(DADOS!C5743="","",DADOS!C5743)</f>
        <v/>
      </c>
      <c r="F5743" s="9" t="str">
        <f>IF(DADOS!E5743="","",DADOS!E5743)</f>
        <v/>
      </c>
      <c r="G5743" s="9" t="str">
        <f>IF(DADOS!F5743="","",DADOS!F5743)</f>
        <v/>
      </c>
      <c r="K5743" s="6" t="str">
        <f t="shared" si="450"/>
        <v/>
      </c>
      <c r="L5743" s="7" t="str">
        <f t="shared" si="451"/>
        <v/>
      </c>
      <c r="M5743" s="7" t="str">
        <f t="shared" si="448"/>
        <v/>
      </c>
      <c r="N5743" s="7" t="str">
        <f t="shared" si="452"/>
        <v/>
      </c>
      <c r="O5743" s="8"/>
      <c r="P5743" s="26"/>
      <c r="S5743" s="10" t="str">
        <f t="shared" si="449"/>
        <v/>
      </c>
    </row>
    <row r="5744" spans="5:19" x14ac:dyDescent="0.3">
      <c r="E5744" s="9" t="str">
        <f>IF(DADOS!C5744="","",DADOS!C5744)</f>
        <v/>
      </c>
      <c r="F5744" s="9" t="str">
        <f>IF(DADOS!E5744="","",DADOS!E5744)</f>
        <v/>
      </c>
      <c r="G5744" s="9" t="str">
        <f>IF(DADOS!F5744="","",DADOS!F5744)</f>
        <v/>
      </c>
      <c r="K5744" s="6" t="str">
        <f t="shared" si="450"/>
        <v/>
      </c>
      <c r="L5744" s="7" t="str">
        <f t="shared" si="451"/>
        <v/>
      </c>
      <c r="M5744" s="7" t="str">
        <f t="shared" si="448"/>
        <v/>
      </c>
      <c r="N5744" s="7" t="str">
        <f t="shared" si="452"/>
        <v/>
      </c>
      <c r="O5744" s="8"/>
      <c r="P5744" s="26"/>
      <c r="S5744" s="10" t="str">
        <f t="shared" si="449"/>
        <v/>
      </c>
    </row>
    <row r="5745" spans="5:19" x14ac:dyDescent="0.3">
      <c r="E5745" s="9" t="str">
        <f>IF(DADOS!C5745="","",DADOS!C5745)</f>
        <v/>
      </c>
      <c r="F5745" s="9" t="str">
        <f>IF(DADOS!E5745="","",DADOS!E5745)</f>
        <v/>
      </c>
      <c r="G5745" s="9" t="str">
        <f>IF(DADOS!F5745="","",DADOS!F5745)</f>
        <v/>
      </c>
      <c r="K5745" s="6" t="str">
        <f t="shared" si="450"/>
        <v/>
      </c>
      <c r="L5745" s="7" t="str">
        <f t="shared" si="451"/>
        <v/>
      </c>
      <c r="M5745" s="7" t="str">
        <f t="shared" si="448"/>
        <v/>
      </c>
      <c r="N5745" s="7" t="str">
        <f t="shared" si="452"/>
        <v/>
      </c>
      <c r="O5745" s="8"/>
      <c r="P5745" s="26"/>
      <c r="S5745" s="10" t="str">
        <f t="shared" si="449"/>
        <v/>
      </c>
    </row>
    <row r="5746" spans="5:19" x14ac:dyDescent="0.3">
      <c r="E5746" s="9" t="str">
        <f>IF(DADOS!C5746="","",DADOS!C5746)</f>
        <v/>
      </c>
      <c r="F5746" s="9" t="str">
        <f>IF(DADOS!E5746="","",DADOS!E5746)</f>
        <v/>
      </c>
      <c r="G5746" s="9" t="str">
        <f>IF(DADOS!F5746="","",DADOS!F5746)</f>
        <v/>
      </c>
      <c r="K5746" s="6" t="str">
        <f t="shared" si="450"/>
        <v/>
      </c>
      <c r="L5746" s="7" t="str">
        <f t="shared" si="451"/>
        <v/>
      </c>
      <c r="M5746" s="7" t="str">
        <f t="shared" si="448"/>
        <v/>
      </c>
      <c r="N5746" s="7" t="str">
        <f t="shared" si="452"/>
        <v/>
      </c>
      <c r="O5746" s="8"/>
      <c r="P5746" s="26"/>
      <c r="S5746" s="10" t="str">
        <f t="shared" si="449"/>
        <v/>
      </c>
    </row>
    <row r="5747" spans="5:19" x14ac:dyDescent="0.3">
      <c r="E5747" s="9" t="str">
        <f>IF(DADOS!C5747="","",DADOS!C5747)</f>
        <v/>
      </c>
      <c r="F5747" s="9" t="str">
        <f>IF(DADOS!E5747="","",DADOS!E5747)</f>
        <v/>
      </c>
      <c r="G5747" s="9" t="str">
        <f>IF(DADOS!F5747="","",DADOS!F5747)</f>
        <v/>
      </c>
      <c r="K5747" s="6" t="str">
        <f t="shared" si="450"/>
        <v/>
      </c>
      <c r="L5747" s="7" t="str">
        <f t="shared" si="451"/>
        <v/>
      </c>
      <c r="M5747" s="7" t="str">
        <f t="shared" si="448"/>
        <v/>
      </c>
      <c r="N5747" s="7" t="str">
        <f t="shared" si="452"/>
        <v/>
      </c>
      <c r="O5747" s="8"/>
      <c r="P5747" s="26"/>
      <c r="S5747" s="10" t="str">
        <f t="shared" si="449"/>
        <v/>
      </c>
    </row>
    <row r="5748" spans="5:19" x14ac:dyDescent="0.3">
      <c r="E5748" s="9" t="str">
        <f>IF(DADOS!C5748="","",DADOS!C5748)</f>
        <v/>
      </c>
      <c r="F5748" s="9" t="str">
        <f>IF(DADOS!E5748="","",DADOS!E5748)</f>
        <v/>
      </c>
      <c r="G5748" s="9" t="str">
        <f>IF(DADOS!F5748="","",DADOS!F5748)</f>
        <v/>
      </c>
      <c r="K5748" s="6" t="str">
        <f t="shared" si="450"/>
        <v/>
      </c>
      <c r="L5748" s="7" t="str">
        <f t="shared" si="451"/>
        <v/>
      </c>
      <c r="M5748" s="7" t="str">
        <f t="shared" si="448"/>
        <v/>
      </c>
      <c r="N5748" s="7" t="str">
        <f t="shared" si="452"/>
        <v/>
      </c>
      <c r="O5748" s="8"/>
      <c r="P5748" s="26"/>
      <c r="S5748" s="10" t="str">
        <f t="shared" si="449"/>
        <v/>
      </c>
    </row>
    <row r="5749" spans="5:19" x14ac:dyDescent="0.3">
      <c r="E5749" s="9" t="str">
        <f>IF(DADOS!C5749="","",DADOS!C5749)</f>
        <v/>
      </c>
      <c r="F5749" s="9" t="str">
        <f>IF(DADOS!E5749="","",DADOS!E5749)</f>
        <v/>
      </c>
      <c r="G5749" s="9" t="str">
        <f>IF(DADOS!F5749="","",DADOS!F5749)</f>
        <v/>
      </c>
      <c r="K5749" s="6" t="str">
        <f t="shared" si="450"/>
        <v/>
      </c>
      <c r="L5749" s="7" t="str">
        <f t="shared" si="451"/>
        <v/>
      </c>
      <c r="M5749" s="7" t="str">
        <f t="shared" si="448"/>
        <v/>
      </c>
      <c r="N5749" s="7" t="str">
        <f t="shared" si="452"/>
        <v/>
      </c>
      <c r="O5749" s="8"/>
      <c r="P5749" s="26"/>
      <c r="S5749" s="10" t="str">
        <f t="shared" si="449"/>
        <v/>
      </c>
    </row>
    <row r="5750" spans="5:19" x14ac:dyDescent="0.3">
      <c r="E5750" s="9" t="str">
        <f>IF(DADOS!C5750="","",DADOS!C5750)</f>
        <v/>
      </c>
      <c r="F5750" s="9" t="str">
        <f>IF(DADOS!E5750="","",DADOS!E5750)</f>
        <v/>
      </c>
      <c r="G5750" s="9" t="str">
        <f>IF(DADOS!F5750="","",DADOS!F5750)</f>
        <v/>
      </c>
      <c r="K5750" s="6" t="str">
        <f t="shared" si="450"/>
        <v/>
      </c>
      <c r="L5750" s="7" t="str">
        <f t="shared" si="451"/>
        <v/>
      </c>
      <c r="M5750" s="7" t="str">
        <f t="shared" si="448"/>
        <v/>
      </c>
      <c r="N5750" s="7" t="str">
        <f t="shared" si="452"/>
        <v/>
      </c>
      <c r="O5750" s="8"/>
      <c r="P5750" s="26"/>
      <c r="S5750" s="10" t="str">
        <f t="shared" si="449"/>
        <v/>
      </c>
    </row>
    <row r="5751" spans="5:19" x14ac:dyDescent="0.3">
      <c r="E5751" s="9" t="str">
        <f>IF(DADOS!C5751="","",DADOS!C5751)</f>
        <v/>
      </c>
      <c r="F5751" s="9" t="str">
        <f>IF(DADOS!E5751="","",DADOS!E5751)</f>
        <v/>
      </c>
      <c r="G5751" s="9" t="str">
        <f>IF(DADOS!F5751="","",DADOS!F5751)</f>
        <v/>
      </c>
      <c r="K5751" s="6" t="str">
        <f t="shared" si="450"/>
        <v/>
      </c>
      <c r="L5751" s="7" t="str">
        <f t="shared" si="451"/>
        <v/>
      </c>
      <c r="M5751" s="7" t="str">
        <f t="shared" si="448"/>
        <v/>
      </c>
      <c r="N5751" s="7" t="str">
        <f t="shared" si="452"/>
        <v/>
      </c>
      <c r="O5751" s="8"/>
      <c r="P5751" s="26"/>
      <c r="S5751" s="10" t="str">
        <f t="shared" si="449"/>
        <v/>
      </c>
    </row>
    <row r="5752" spans="5:19" x14ac:dyDescent="0.3">
      <c r="E5752" s="9" t="str">
        <f>IF(DADOS!C5752="","",DADOS!C5752)</f>
        <v/>
      </c>
      <c r="F5752" s="9" t="str">
        <f>IF(DADOS!E5752="","",DADOS!E5752)</f>
        <v/>
      </c>
      <c r="G5752" s="9" t="str">
        <f>IF(DADOS!F5752="","",DADOS!F5752)</f>
        <v/>
      </c>
      <c r="K5752" s="6" t="str">
        <f t="shared" si="450"/>
        <v/>
      </c>
      <c r="L5752" s="7" t="str">
        <f t="shared" si="451"/>
        <v/>
      </c>
      <c r="M5752" s="7" t="str">
        <f t="shared" si="448"/>
        <v/>
      </c>
      <c r="N5752" s="7" t="str">
        <f t="shared" si="452"/>
        <v/>
      </c>
      <c r="O5752" s="8"/>
      <c r="P5752" s="26"/>
      <c r="S5752" s="10" t="str">
        <f t="shared" si="449"/>
        <v/>
      </c>
    </row>
    <row r="5753" spans="5:19" x14ac:dyDescent="0.3">
      <c r="E5753" s="9" t="str">
        <f>IF(DADOS!C5753="","",DADOS!C5753)</f>
        <v/>
      </c>
      <c r="F5753" s="9" t="str">
        <f>IF(DADOS!E5753="","",DADOS!E5753)</f>
        <v/>
      </c>
      <c r="G5753" s="9" t="str">
        <f>IF(DADOS!F5753="","",DADOS!F5753)</f>
        <v/>
      </c>
      <c r="K5753" s="6" t="str">
        <f t="shared" si="450"/>
        <v/>
      </c>
      <c r="L5753" s="7" t="str">
        <f t="shared" si="451"/>
        <v/>
      </c>
      <c r="M5753" s="7" t="str">
        <f t="shared" si="448"/>
        <v/>
      </c>
      <c r="N5753" s="7" t="str">
        <f t="shared" si="452"/>
        <v/>
      </c>
      <c r="O5753" s="8"/>
      <c r="P5753" s="26"/>
      <c r="S5753" s="10" t="str">
        <f t="shared" si="449"/>
        <v/>
      </c>
    </row>
    <row r="5754" spans="5:19" x14ac:dyDescent="0.3">
      <c r="E5754" s="9" t="str">
        <f>IF(DADOS!C5754="","",DADOS!C5754)</f>
        <v/>
      </c>
      <c r="F5754" s="9" t="str">
        <f>IF(DADOS!E5754="","",DADOS!E5754)</f>
        <v/>
      </c>
      <c r="G5754" s="9" t="str">
        <f>IF(DADOS!F5754="","",DADOS!F5754)</f>
        <v/>
      </c>
      <c r="K5754" s="6" t="str">
        <f t="shared" si="450"/>
        <v/>
      </c>
      <c r="L5754" s="7" t="str">
        <f t="shared" si="451"/>
        <v/>
      </c>
      <c r="M5754" s="7" t="str">
        <f t="shared" si="448"/>
        <v/>
      </c>
      <c r="N5754" s="7" t="str">
        <f t="shared" si="452"/>
        <v/>
      </c>
      <c r="O5754" s="8"/>
      <c r="P5754" s="26"/>
      <c r="S5754" s="10" t="str">
        <f t="shared" si="449"/>
        <v/>
      </c>
    </row>
    <row r="5755" spans="5:19" x14ac:dyDescent="0.3">
      <c r="E5755" s="9" t="str">
        <f>IF(DADOS!C5755="","",DADOS!C5755)</f>
        <v/>
      </c>
      <c r="F5755" s="9" t="str">
        <f>IF(DADOS!E5755="","",DADOS!E5755)</f>
        <v/>
      </c>
      <c r="G5755" s="9" t="str">
        <f>IF(DADOS!F5755="","",DADOS!F5755)</f>
        <v/>
      </c>
      <c r="K5755" s="6" t="str">
        <f t="shared" si="450"/>
        <v/>
      </c>
      <c r="L5755" s="7" t="str">
        <f t="shared" si="451"/>
        <v/>
      </c>
      <c r="M5755" s="7" t="str">
        <f t="shared" si="448"/>
        <v/>
      </c>
      <c r="N5755" s="7" t="str">
        <f t="shared" si="452"/>
        <v/>
      </c>
      <c r="O5755" s="8"/>
      <c r="P5755" s="26"/>
      <c r="S5755" s="10" t="str">
        <f t="shared" si="449"/>
        <v/>
      </c>
    </row>
    <row r="5756" spans="5:19" x14ac:dyDescent="0.3">
      <c r="E5756" s="9" t="str">
        <f>IF(DADOS!C5756="","",DADOS!C5756)</f>
        <v/>
      </c>
      <c r="F5756" s="9" t="str">
        <f>IF(DADOS!E5756="","",DADOS!E5756)</f>
        <v/>
      </c>
      <c r="G5756" s="9" t="str">
        <f>IF(DADOS!F5756="","",DADOS!F5756)</f>
        <v/>
      </c>
      <c r="K5756" s="6" t="str">
        <f t="shared" si="450"/>
        <v/>
      </c>
      <c r="L5756" s="7" t="str">
        <f t="shared" si="451"/>
        <v/>
      </c>
      <c r="M5756" s="7" t="str">
        <f t="shared" si="448"/>
        <v/>
      </c>
      <c r="N5756" s="7" t="str">
        <f t="shared" si="452"/>
        <v/>
      </c>
      <c r="O5756" s="8"/>
      <c r="P5756" s="26"/>
      <c r="S5756" s="10" t="str">
        <f t="shared" si="449"/>
        <v/>
      </c>
    </row>
    <row r="5757" spans="5:19" x14ac:dyDescent="0.3">
      <c r="E5757" s="9" t="str">
        <f>IF(DADOS!C5757="","",DADOS!C5757)</f>
        <v/>
      </c>
      <c r="F5757" s="9" t="str">
        <f>IF(DADOS!E5757="","",DADOS!E5757)</f>
        <v/>
      </c>
      <c r="G5757" s="9" t="str">
        <f>IF(DADOS!F5757="","",DADOS!F5757)</f>
        <v/>
      </c>
      <c r="K5757" s="6" t="str">
        <f t="shared" si="450"/>
        <v/>
      </c>
      <c r="L5757" s="7" t="str">
        <f t="shared" si="451"/>
        <v/>
      </c>
      <c r="M5757" s="7" t="str">
        <f t="shared" si="448"/>
        <v/>
      </c>
      <c r="N5757" s="7" t="str">
        <f t="shared" si="452"/>
        <v/>
      </c>
      <c r="O5757" s="8"/>
      <c r="P5757" s="26"/>
      <c r="S5757" s="10" t="str">
        <f t="shared" si="449"/>
        <v/>
      </c>
    </row>
    <row r="5758" spans="5:19" x14ac:dyDescent="0.3">
      <c r="E5758" s="9" t="str">
        <f>IF(DADOS!C5758="","",DADOS!C5758)</f>
        <v/>
      </c>
      <c r="F5758" s="9" t="str">
        <f>IF(DADOS!E5758="","",DADOS!E5758)</f>
        <v/>
      </c>
      <c r="G5758" s="9" t="str">
        <f>IF(DADOS!F5758="","",DADOS!F5758)</f>
        <v/>
      </c>
      <c r="K5758" s="6" t="str">
        <f t="shared" si="450"/>
        <v/>
      </c>
      <c r="L5758" s="7" t="str">
        <f t="shared" si="451"/>
        <v/>
      </c>
      <c r="M5758" s="7" t="str">
        <f t="shared" si="448"/>
        <v/>
      </c>
      <c r="N5758" s="7" t="str">
        <f t="shared" si="452"/>
        <v/>
      </c>
      <c r="O5758" s="8"/>
      <c r="P5758" s="26"/>
      <c r="S5758" s="10" t="str">
        <f t="shared" si="449"/>
        <v/>
      </c>
    </row>
    <row r="5759" spans="5:19" x14ac:dyDescent="0.3">
      <c r="E5759" s="9" t="str">
        <f>IF(DADOS!C5759="","",DADOS!C5759)</f>
        <v/>
      </c>
      <c r="F5759" s="9" t="str">
        <f>IF(DADOS!E5759="","",DADOS!E5759)</f>
        <v/>
      </c>
      <c r="G5759" s="9" t="str">
        <f>IF(DADOS!F5759="","",DADOS!F5759)</f>
        <v/>
      </c>
      <c r="K5759" s="6" t="str">
        <f t="shared" si="450"/>
        <v/>
      </c>
      <c r="L5759" s="7" t="str">
        <f t="shared" si="451"/>
        <v/>
      </c>
      <c r="M5759" s="7" t="str">
        <f t="shared" si="448"/>
        <v/>
      </c>
      <c r="N5759" s="7" t="str">
        <f t="shared" si="452"/>
        <v/>
      </c>
      <c r="O5759" s="8"/>
      <c r="P5759" s="26"/>
      <c r="S5759" s="10" t="str">
        <f t="shared" si="449"/>
        <v/>
      </c>
    </row>
    <row r="5760" spans="5:19" x14ac:dyDescent="0.3">
      <c r="E5760" s="9" t="str">
        <f>IF(DADOS!C5760="","",DADOS!C5760)</f>
        <v/>
      </c>
      <c r="F5760" s="9" t="str">
        <f>IF(DADOS!E5760="","",DADOS!E5760)</f>
        <v/>
      </c>
      <c r="G5760" s="9" t="str">
        <f>IF(DADOS!F5760="","",DADOS!F5760)</f>
        <v/>
      </c>
      <c r="K5760" s="6" t="str">
        <f t="shared" si="450"/>
        <v/>
      </c>
      <c r="L5760" s="7" t="str">
        <f t="shared" si="451"/>
        <v/>
      </c>
      <c r="M5760" s="7" t="str">
        <f t="shared" si="448"/>
        <v/>
      </c>
      <c r="N5760" s="7" t="str">
        <f t="shared" si="452"/>
        <v/>
      </c>
      <c r="O5760" s="8"/>
      <c r="P5760" s="26"/>
      <c r="S5760" s="10" t="str">
        <f t="shared" si="449"/>
        <v/>
      </c>
    </row>
    <row r="5761" spans="5:19" x14ac:dyDescent="0.3">
      <c r="E5761" s="9" t="str">
        <f>IF(DADOS!C5761="","",DADOS!C5761)</f>
        <v/>
      </c>
      <c r="F5761" s="9" t="str">
        <f>IF(DADOS!E5761="","",DADOS!E5761)</f>
        <v/>
      </c>
      <c r="G5761" s="9" t="str">
        <f>IF(DADOS!F5761="","",DADOS!F5761)</f>
        <v/>
      </c>
      <c r="K5761" s="6" t="str">
        <f t="shared" si="450"/>
        <v/>
      </c>
      <c r="L5761" s="7" t="str">
        <f t="shared" si="451"/>
        <v/>
      </c>
      <c r="M5761" s="7" t="str">
        <f t="shared" si="448"/>
        <v/>
      </c>
      <c r="N5761" s="7" t="str">
        <f t="shared" si="452"/>
        <v/>
      </c>
      <c r="O5761" s="8"/>
      <c r="P5761" s="26"/>
      <c r="S5761" s="10" t="str">
        <f t="shared" si="449"/>
        <v/>
      </c>
    </row>
    <row r="5762" spans="5:19" x14ac:dyDescent="0.3">
      <c r="E5762" s="9" t="str">
        <f>IF(DADOS!C5762="","",DADOS!C5762)</f>
        <v/>
      </c>
      <c r="F5762" s="9" t="str">
        <f>IF(DADOS!E5762="","",DADOS!E5762)</f>
        <v/>
      </c>
      <c r="G5762" s="9" t="str">
        <f>IF(DADOS!F5762="","",DADOS!F5762)</f>
        <v/>
      </c>
      <c r="K5762" s="6" t="str">
        <f t="shared" si="450"/>
        <v/>
      </c>
      <c r="L5762" s="7" t="str">
        <f t="shared" si="451"/>
        <v/>
      </c>
      <c r="M5762" s="7" t="str">
        <f t="shared" si="448"/>
        <v/>
      </c>
      <c r="N5762" s="7" t="str">
        <f t="shared" si="452"/>
        <v/>
      </c>
      <c r="O5762" s="8"/>
      <c r="P5762" s="26"/>
      <c r="S5762" s="10" t="str">
        <f t="shared" si="449"/>
        <v/>
      </c>
    </row>
    <row r="5763" spans="5:19" x14ac:dyDescent="0.3">
      <c r="E5763" s="9" t="str">
        <f>IF(DADOS!C5763="","",DADOS!C5763)</f>
        <v/>
      </c>
      <c r="F5763" s="9" t="str">
        <f>IF(DADOS!E5763="","",DADOS!E5763)</f>
        <v/>
      </c>
      <c r="G5763" s="9" t="str">
        <f>IF(DADOS!F5763="","",DADOS!F5763)</f>
        <v/>
      </c>
      <c r="K5763" s="6" t="str">
        <f t="shared" si="450"/>
        <v/>
      </c>
      <c r="L5763" s="7" t="str">
        <f t="shared" si="451"/>
        <v/>
      </c>
      <c r="M5763" s="7" t="str">
        <f t="shared" ref="M5763:M5826" si="453">IF(L5763="","",L5763*G5763)</f>
        <v/>
      </c>
      <c r="N5763" s="7" t="str">
        <f t="shared" si="452"/>
        <v/>
      </c>
      <c r="O5763" s="8"/>
      <c r="P5763" s="26"/>
      <c r="S5763" s="10" t="str">
        <f t="shared" ref="S5763:S5826" si="454">IF(R5763="","",SUMIFS($N$3:$N$10000,$E$3:$E$10000,R5763))</f>
        <v/>
      </c>
    </row>
    <row r="5764" spans="5:19" x14ac:dyDescent="0.3">
      <c r="E5764" s="9" t="str">
        <f>IF(DADOS!C5764="","",DADOS!C5764)</f>
        <v/>
      </c>
      <c r="F5764" s="9" t="str">
        <f>IF(DADOS!E5764="","",DADOS!E5764)</f>
        <v/>
      </c>
      <c r="G5764" s="9" t="str">
        <f>IF(DADOS!F5764="","",DADOS!F5764)</f>
        <v/>
      </c>
      <c r="K5764" s="6" t="str">
        <f t="shared" ref="K5764:K5827" si="455">IF(F5764="","",F5764/PI())</f>
        <v/>
      </c>
      <c r="L5764" s="7" t="str">
        <f t="shared" ref="L5764:L5827" si="456">IF(K5764="","",(PI()*K5764^2)/40000)</f>
        <v/>
      </c>
      <c r="M5764" s="7" t="str">
        <f t="shared" si="453"/>
        <v/>
      </c>
      <c r="N5764" s="7" t="str">
        <f t="shared" ref="N5764:N5827" si="457">IF(M5764="","",M5764*N$1)</f>
        <v/>
      </c>
      <c r="O5764" s="8"/>
      <c r="P5764" s="26"/>
      <c r="S5764" s="10" t="str">
        <f t="shared" si="454"/>
        <v/>
      </c>
    </row>
    <row r="5765" spans="5:19" x14ac:dyDescent="0.3">
      <c r="E5765" s="9" t="str">
        <f>IF(DADOS!C5765="","",DADOS!C5765)</f>
        <v/>
      </c>
      <c r="F5765" s="9" t="str">
        <f>IF(DADOS!E5765="","",DADOS!E5765)</f>
        <v/>
      </c>
      <c r="G5765" s="9" t="str">
        <f>IF(DADOS!F5765="","",DADOS!F5765)</f>
        <v/>
      </c>
      <c r="K5765" s="6" t="str">
        <f t="shared" si="455"/>
        <v/>
      </c>
      <c r="L5765" s="7" t="str">
        <f t="shared" si="456"/>
        <v/>
      </c>
      <c r="M5765" s="7" t="str">
        <f t="shared" si="453"/>
        <v/>
      </c>
      <c r="N5765" s="7" t="str">
        <f t="shared" si="457"/>
        <v/>
      </c>
      <c r="O5765" s="8"/>
      <c r="P5765" s="26"/>
      <c r="S5765" s="10" t="str">
        <f t="shared" si="454"/>
        <v/>
      </c>
    </row>
    <row r="5766" spans="5:19" x14ac:dyDescent="0.3">
      <c r="E5766" s="9" t="str">
        <f>IF(DADOS!C5766="","",DADOS!C5766)</f>
        <v/>
      </c>
      <c r="F5766" s="9" t="str">
        <f>IF(DADOS!E5766="","",DADOS!E5766)</f>
        <v/>
      </c>
      <c r="G5766" s="9" t="str">
        <f>IF(DADOS!F5766="","",DADOS!F5766)</f>
        <v/>
      </c>
      <c r="K5766" s="6" t="str">
        <f t="shared" si="455"/>
        <v/>
      </c>
      <c r="L5766" s="7" t="str">
        <f t="shared" si="456"/>
        <v/>
      </c>
      <c r="M5766" s="7" t="str">
        <f t="shared" si="453"/>
        <v/>
      </c>
      <c r="N5766" s="7" t="str">
        <f t="shared" si="457"/>
        <v/>
      </c>
      <c r="O5766" s="8"/>
      <c r="P5766" s="26"/>
      <c r="S5766" s="10" t="str">
        <f t="shared" si="454"/>
        <v/>
      </c>
    </row>
    <row r="5767" spans="5:19" x14ac:dyDescent="0.3">
      <c r="E5767" s="9" t="str">
        <f>IF(DADOS!C5767="","",DADOS!C5767)</f>
        <v/>
      </c>
      <c r="F5767" s="9" t="str">
        <f>IF(DADOS!E5767="","",DADOS!E5767)</f>
        <v/>
      </c>
      <c r="G5767" s="9" t="str">
        <f>IF(DADOS!F5767="","",DADOS!F5767)</f>
        <v/>
      </c>
      <c r="K5767" s="6" t="str">
        <f t="shared" si="455"/>
        <v/>
      </c>
      <c r="L5767" s="7" t="str">
        <f t="shared" si="456"/>
        <v/>
      </c>
      <c r="M5767" s="7" t="str">
        <f t="shared" si="453"/>
        <v/>
      </c>
      <c r="N5767" s="7" t="str">
        <f t="shared" si="457"/>
        <v/>
      </c>
      <c r="O5767" s="8"/>
      <c r="P5767" s="26"/>
      <c r="S5767" s="10" t="str">
        <f t="shared" si="454"/>
        <v/>
      </c>
    </row>
    <row r="5768" spans="5:19" x14ac:dyDescent="0.3">
      <c r="E5768" s="9" t="str">
        <f>IF(DADOS!C5768="","",DADOS!C5768)</f>
        <v/>
      </c>
      <c r="F5768" s="9" t="str">
        <f>IF(DADOS!E5768="","",DADOS!E5768)</f>
        <v/>
      </c>
      <c r="G5768" s="9" t="str">
        <f>IF(DADOS!F5768="","",DADOS!F5768)</f>
        <v/>
      </c>
      <c r="K5768" s="6" t="str">
        <f t="shared" si="455"/>
        <v/>
      </c>
      <c r="L5768" s="7" t="str">
        <f t="shared" si="456"/>
        <v/>
      </c>
      <c r="M5768" s="7" t="str">
        <f t="shared" si="453"/>
        <v/>
      </c>
      <c r="N5768" s="7" t="str">
        <f t="shared" si="457"/>
        <v/>
      </c>
      <c r="O5768" s="8"/>
      <c r="P5768" s="26"/>
      <c r="S5768" s="10" t="str">
        <f t="shared" si="454"/>
        <v/>
      </c>
    </row>
    <row r="5769" spans="5:19" x14ac:dyDescent="0.3">
      <c r="E5769" s="9" t="str">
        <f>IF(DADOS!C5769="","",DADOS!C5769)</f>
        <v/>
      </c>
      <c r="F5769" s="9" t="str">
        <f>IF(DADOS!E5769="","",DADOS!E5769)</f>
        <v/>
      </c>
      <c r="G5769" s="9" t="str">
        <f>IF(DADOS!F5769="","",DADOS!F5769)</f>
        <v/>
      </c>
      <c r="K5769" s="6" t="str">
        <f t="shared" si="455"/>
        <v/>
      </c>
      <c r="L5769" s="7" t="str">
        <f t="shared" si="456"/>
        <v/>
      </c>
      <c r="M5769" s="7" t="str">
        <f t="shared" si="453"/>
        <v/>
      </c>
      <c r="N5769" s="7" t="str">
        <f t="shared" si="457"/>
        <v/>
      </c>
      <c r="O5769" s="8"/>
      <c r="P5769" s="26"/>
      <c r="S5769" s="10" t="str">
        <f t="shared" si="454"/>
        <v/>
      </c>
    </row>
    <row r="5770" spans="5:19" x14ac:dyDescent="0.3">
      <c r="E5770" s="9" t="str">
        <f>IF(DADOS!C5770="","",DADOS!C5770)</f>
        <v/>
      </c>
      <c r="F5770" s="9" t="str">
        <f>IF(DADOS!E5770="","",DADOS!E5770)</f>
        <v/>
      </c>
      <c r="G5770" s="9" t="str">
        <f>IF(DADOS!F5770="","",DADOS!F5770)</f>
        <v/>
      </c>
      <c r="K5770" s="6" t="str">
        <f t="shared" si="455"/>
        <v/>
      </c>
      <c r="L5770" s="7" t="str">
        <f t="shared" si="456"/>
        <v/>
      </c>
      <c r="M5770" s="7" t="str">
        <f t="shared" si="453"/>
        <v/>
      </c>
      <c r="N5770" s="7" t="str">
        <f t="shared" si="457"/>
        <v/>
      </c>
      <c r="O5770" s="8"/>
      <c r="P5770" s="26"/>
      <c r="S5770" s="10" t="str">
        <f t="shared" si="454"/>
        <v/>
      </c>
    </row>
    <row r="5771" spans="5:19" x14ac:dyDescent="0.3">
      <c r="E5771" s="9" t="str">
        <f>IF(DADOS!C5771="","",DADOS!C5771)</f>
        <v/>
      </c>
      <c r="F5771" s="9" t="str">
        <f>IF(DADOS!E5771="","",DADOS!E5771)</f>
        <v/>
      </c>
      <c r="G5771" s="9" t="str">
        <f>IF(DADOS!F5771="","",DADOS!F5771)</f>
        <v/>
      </c>
      <c r="K5771" s="6" t="str">
        <f t="shared" si="455"/>
        <v/>
      </c>
      <c r="L5771" s="7" t="str">
        <f t="shared" si="456"/>
        <v/>
      </c>
      <c r="M5771" s="7" t="str">
        <f t="shared" si="453"/>
        <v/>
      </c>
      <c r="N5771" s="7" t="str">
        <f t="shared" si="457"/>
        <v/>
      </c>
      <c r="O5771" s="8"/>
      <c r="P5771" s="26"/>
      <c r="S5771" s="10" t="str">
        <f t="shared" si="454"/>
        <v/>
      </c>
    </row>
    <row r="5772" spans="5:19" x14ac:dyDescent="0.3">
      <c r="E5772" s="9" t="str">
        <f>IF(DADOS!C5772="","",DADOS!C5772)</f>
        <v/>
      </c>
      <c r="F5772" s="9" t="str">
        <f>IF(DADOS!E5772="","",DADOS!E5772)</f>
        <v/>
      </c>
      <c r="G5772" s="9" t="str">
        <f>IF(DADOS!F5772="","",DADOS!F5772)</f>
        <v/>
      </c>
      <c r="K5772" s="6" t="str">
        <f t="shared" si="455"/>
        <v/>
      </c>
      <c r="L5772" s="7" t="str">
        <f t="shared" si="456"/>
        <v/>
      </c>
      <c r="M5772" s="7" t="str">
        <f t="shared" si="453"/>
        <v/>
      </c>
      <c r="N5772" s="7" t="str">
        <f t="shared" si="457"/>
        <v/>
      </c>
      <c r="O5772" s="8"/>
      <c r="P5772" s="26"/>
      <c r="S5772" s="10" t="str">
        <f t="shared" si="454"/>
        <v/>
      </c>
    </row>
    <row r="5773" spans="5:19" x14ac:dyDescent="0.3">
      <c r="E5773" s="9" t="str">
        <f>IF(DADOS!C5773="","",DADOS!C5773)</f>
        <v/>
      </c>
      <c r="F5773" s="9" t="str">
        <f>IF(DADOS!E5773="","",DADOS!E5773)</f>
        <v/>
      </c>
      <c r="G5773" s="9" t="str">
        <f>IF(DADOS!F5773="","",DADOS!F5773)</f>
        <v/>
      </c>
      <c r="K5773" s="6" t="str">
        <f t="shared" si="455"/>
        <v/>
      </c>
      <c r="L5773" s="7" t="str">
        <f t="shared" si="456"/>
        <v/>
      </c>
      <c r="M5773" s="7" t="str">
        <f t="shared" si="453"/>
        <v/>
      </c>
      <c r="N5773" s="7" t="str">
        <f t="shared" si="457"/>
        <v/>
      </c>
      <c r="O5773" s="8"/>
      <c r="P5773" s="26"/>
      <c r="S5773" s="10" t="str">
        <f t="shared" si="454"/>
        <v/>
      </c>
    </row>
    <row r="5774" spans="5:19" x14ac:dyDescent="0.3">
      <c r="E5774" s="9" t="str">
        <f>IF(DADOS!C5774="","",DADOS!C5774)</f>
        <v/>
      </c>
      <c r="F5774" s="9" t="str">
        <f>IF(DADOS!E5774="","",DADOS!E5774)</f>
        <v/>
      </c>
      <c r="G5774" s="9" t="str">
        <f>IF(DADOS!F5774="","",DADOS!F5774)</f>
        <v/>
      </c>
      <c r="K5774" s="6" t="str">
        <f t="shared" si="455"/>
        <v/>
      </c>
      <c r="L5774" s="7" t="str">
        <f t="shared" si="456"/>
        <v/>
      </c>
      <c r="M5774" s="7" t="str">
        <f t="shared" si="453"/>
        <v/>
      </c>
      <c r="N5774" s="7" t="str">
        <f t="shared" si="457"/>
        <v/>
      </c>
      <c r="O5774" s="8"/>
      <c r="P5774" s="26"/>
      <c r="S5774" s="10" t="str">
        <f t="shared" si="454"/>
        <v/>
      </c>
    </row>
    <row r="5775" spans="5:19" x14ac:dyDescent="0.3">
      <c r="E5775" s="9" t="str">
        <f>IF(DADOS!C5775="","",DADOS!C5775)</f>
        <v/>
      </c>
      <c r="F5775" s="9" t="str">
        <f>IF(DADOS!E5775="","",DADOS!E5775)</f>
        <v/>
      </c>
      <c r="G5775" s="9" t="str">
        <f>IF(DADOS!F5775="","",DADOS!F5775)</f>
        <v/>
      </c>
      <c r="K5775" s="6" t="str">
        <f t="shared" si="455"/>
        <v/>
      </c>
      <c r="L5775" s="7" t="str">
        <f t="shared" si="456"/>
        <v/>
      </c>
      <c r="M5775" s="7" t="str">
        <f t="shared" si="453"/>
        <v/>
      </c>
      <c r="N5775" s="7" t="str">
        <f t="shared" si="457"/>
        <v/>
      </c>
      <c r="O5775" s="8"/>
      <c r="P5775" s="26"/>
      <c r="S5775" s="10" t="str">
        <f t="shared" si="454"/>
        <v/>
      </c>
    </row>
    <row r="5776" spans="5:19" x14ac:dyDescent="0.3">
      <c r="E5776" s="9" t="str">
        <f>IF(DADOS!C5776="","",DADOS!C5776)</f>
        <v/>
      </c>
      <c r="F5776" s="9" t="str">
        <f>IF(DADOS!E5776="","",DADOS!E5776)</f>
        <v/>
      </c>
      <c r="G5776" s="9" t="str">
        <f>IF(DADOS!F5776="","",DADOS!F5776)</f>
        <v/>
      </c>
      <c r="K5776" s="6" t="str">
        <f t="shared" si="455"/>
        <v/>
      </c>
      <c r="L5776" s="7" t="str">
        <f t="shared" si="456"/>
        <v/>
      </c>
      <c r="M5776" s="7" t="str">
        <f t="shared" si="453"/>
        <v/>
      </c>
      <c r="N5776" s="7" t="str">
        <f t="shared" si="457"/>
        <v/>
      </c>
      <c r="O5776" s="8"/>
      <c r="P5776" s="26"/>
      <c r="S5776" s="10" t="str">
        <f t="shared" si="454"/>
        <v/>
      </c>
    </row>
    <row r="5777" spans="5:19" x14ac:dyDescent="0.3">
      <c r="E5777" s="9" t="str">
        <f>IF(DADOS!C5777="","",DADOS!C5777)</f>
        <v/>
      </c>
      <c r="F5777" s="9" t="str">
        <f>IF(DADOS!E5777="","",DADOS!E5777)</f>
        <v/>
      </c>
      <c r="G5777" s="9" t="str">
        <f>IF(DADOS!F5777="","",DADOS!F5777)</f>
        <v/>
      </c>
      <c r="K5777" s="6" t="str">
        <f t="shared" si="455"/>
        <v/>
      </c>
      <c r="L5777" s="7" t="str">
        <f t="shared" si="456"/>
        <v/>
      </c>
      <c r="M5777" s="7" t="str">
        <f t="shared" si="453"/>
        <v/>
      </c>
      <c r="N5777" s="7" t="str">
        <f t="shared" si="457"/>
        <v/>
      </c>
      <c r="O5777" s="8"/>
      <c r="P5777" s="26"/>
      <c r="S5777" s="10" t="str">
        <f t="shared" si="454"/>
        <v/>
      </c>
    </row>
    <row r="5778" spans="5:19" x14ac:dyDescent="0.3">
      <c r="E5778" s="9" t="str">
        <f>IF(DADOS!C5778="","",DADOS!C5778)</f>
        <v/>
      </c>
      <c r="F5778" s="9" t="str">
        <f>IF(DADOS!E5778="","",DADOS!E5778)</f>
        <v/>
      </c>
      <c r="G5778" s="9" t="str">
        <f>IF(DADOS!F5778="","",DADOS!F5778)</f>
        <v/>
      </c>
      <c r="K5778" s="6" t="str">
        <f t="shared" si="455"/>
        <v/>
      </c>
      <c r="L5778" s="7" t="str">
        <f t="shared" si="456"/>
        <v/>
      </c>
      <c r="M5778" s="7" t="str">
        <f t="shared" si="453"/>
        <v/>
      </c>
      <c r="N5778" s="7" t="str">
        <f t="shared" si="457"/>
        <v/>
      </c>
      <c r="O5778" s="8"/>
      <c r="P5778" s="26"/>
      <c r="S5778" s="10" t="str">
        <f t="shared" si="454"/>
        <v/>
      </c>
    </row>
    <row r="5779" spans="5:19" x14ac:dyDescent="0.3">
      <c r="E5779" s="9" t="str">
        <f>IF(DADOS!C5779="","",DADOS!C5779)</f>
        <v/>
      </c>
      <c r="F5779" s="9" t="str">
        <f>IF(DADOS!E5779="","",DADOS!E5779)</f>
        <v/>
      </c>
      <c r="G5779" s="9" t="str">
        <f>IF(DADOS!F5779="","",DADOS!F5779)</f>
        <v/>
      </c>
      <c r="K5779" s="6" t="str">
        <f t="shared" si="455"/>
        <v/>
      </c>
      <c r="L5779" s="7" t="str">
        <f t="shared" si="456"/>
        <v/>
      </c>
      <c r="M5779" s="7" t="str">
        <f t="shared" si="453"/>
        <v/>
      </c>
      <c r="N5779" s="7" t="str">
        <f t="shared" si="457"/>
        <v/>
      </c>
      <c r="O5779" s="8"/>
      <c r="P5779" s="26"/>
      <c r="S5779" s="10" t="str">
        <f t="shared" si="454"/>
        <v/>
      </c>
    </row>
    <row r="5780" spans="5:19" x14ac:dyDescent="0.3">
      <c r="E5780" s="9" t="str">
        <f>IF(DADOS!C5780="","",DADOS!C5780)</f>
        <v/>
      </c>
      <c r="F5780" s="9" t="str">
        <f>IF(DADOS!E5780="","",DADOS!E5780)</f>
        <v/>
      </c>
      <c r="G5780" s="9" t="str">
        <f>IF(DADOS!F5780="","",DADOS!F5780)</f>
        <v/>
      </c>
      <c r="K5780" s="6" t="str">
        <f t="shared" si="455"/>
        <v/>
      </c>
      <c r="L5780" s="7" t="str">
        <f t="shared" si="456"/>
        <v/>
      </c>
      <c r="M5780" s="7" t="str">
        <f t="shared" si="453"/>
        <v/>
      </c>
      <c r="N5780" s="7" t="str">
        <f t="shared" si="457"/>
        <v/>
      </c>
      <c r="O5780" s="8"/>
      <c r="P5780" s="26"/>
      <c r="S5780" s="10" t="str">
        <f t="shared" si="454"/>
        <v/>
      </c>
    </row>
    <row r="5781" spans="5:19" x14ac:dyDescent="0.3">
      <c r="E5781" s="9" t="str">
        <f>IF(DADOS!C5781="","",DADOS!C5781)</f>
        <v/>
      </c>
      <c r="F5781" s="9" t="str">
        <f>IF(DADOS!E5781="","",DADOS!E5781)</f>
        <v/>
      </c>
      <c r="G5781" s="9" t="str">
        <f>IF(DADOS!F5781="","",DADOS!F5781)</f>
        <v/>
      </c>
      <c r="K5781" s="6" t="str">
        <f t="shared" si="455"/>
        <v/>
      </c>
      <c r="L5781" s="7" t="str">
        <f t="shared" si="456"/>
        <v/>
      </c>
      <c r="M5781" s="7" t="str">
        <f t="shared" si="453"/>
        <v/>
      </c>
      <c r="N5781" s="7" t="str">
        <f t="shared" si="457"/>
        <v/>
      </c>
      <c r="O5781" s="8"/>
      <c r="P5781" s="26"/>
      <c r="S5781" s="10" t="str">
        <f t="shared" si="454"/>
        <v/>
      </c>
    </row>
    <row r="5782" spans="5:19" x14ac:dyDescent="0.3">
      <c r="E5782" s="9" t="str">
        <f>IF(DADOS!C5782="","",DADOS!C5782)</f>
        <v/>
      </c>
      <c r="F5782" s="9" t="str">
        <f>IF(DADOS!E5782="","",DADOS!E5782)</f>
        <v/>
      </c>
      <c r="G5782" s="9" t="str">
        <f>IF(DADOS!F5782="","",DADOS!F5782)</f>
        <v/>
      </c>
      <c r="K5782" s="6" t="str">
        <f t="shared" si="455"/>
        <v/>
      </c>
      <c r="L5782" s="7" t="str">
        <f t="shared" si="456"/>
        <v/>
      </c>
      <c r="M5782" s="7" t="str">
        <f t="shared" si="453"/>
        <v/>
      </c>
      <c r="N5782" s="7" t="str">
        <f t="shared" si="457"/>
        <v/>
      </c>
      <c r="O5782" s="8"/>
      <c r="P5782" s="26"/>
      <c r="S5782" s="10" t="str">
        <f t="shared" si="454"/>
        <v/>
      </c>
    </row>
    <row r="5783" spans="5:19" x14ac:dyDescent="0.3">
      <c r="E5783" s="9" t="str">
        <f>IF(DADOS!C5783="","",DADOS!C5783)</f>
        <v/>
      </c>
      <c r="F5783" s="9" t="str">
        <f>IF(DADOS!E5783="","",DADOS!E5783)</f>
        <v/>
      </c>
      <c r="G5783" s="9" t="str">
        <f>IF(DADOS!F5783="","",DADOS!F5783)</f>
        <v/>
      </c>
      <c r="K5783" s="6" t="str">
        <f t="shared" si="455"/>
        <v/>
      </c>
      <c r="L5783" s="7" t="str">
        <f t="shared" si="456"/>
        <v/>
      </c>
      <c r="M5783" s="7" t="str">
        <f t="shared" si="453"/>
        <v/>
      </c>
      <c r="N5783" s="7" t="str">
        <f t="shared" si="457"/>
        <v/>
      </c>
      <c r="O5783" s="8"/>
      <c r="P5783" s="26"/>
      <c r="S5783" s="10" t="str">
        <f t="shared" si="454"/>
        <v/>
      </c>
    </row>
    <row r="5784" spans="5:19" x14ac:dyDescent="0.3">
      <c r="E5784" s="9" t="str">
        <f>IF(DADOS!C5784="","",DADOS!C5784)</f>
        <v/>
      </c>
      <c r="F5784" s="9" t="str">
        <f>IF(DADOS!E5784="","",DADOS!E5784)</f>
        <v/>
      </c>
      <c r="G5784" s="9" t="str">
        <f>IF(DADOS!F5784="","",DADOS!F5784)</f>
        <v/>
      </c>
      <c r="K5784" s="6" t="str">
        <f t="shared" si="455"/>
        <v/>
      </c>
      <c r="L5784" s="7" t="str">
        <f t="shared" si="456"/>
        <v/>
      </c>
      <c r="M5784" s="7" t="str">
        <f t="shared" si="453"/>
        <v/>
      </c>
      <c r="N5784" s="7" t="str">
        <f t="shared" si="457"/>
        <v/>
      </c>
      <c r="O5784" s="8"/>
      <c r="P5784" s="26"/>
      <c r="S5784" s="10" t="str">
        <f t="shared" si="454"/>
        <v/>
      </c>
    </row>
    <row r="5785" spans="5:19" x14ac:dyDescent="0.3">
      <c r="E5785" s="9" t="str">
        <f>IF(DADOS!C5785="","",DADOS!C5785)</f>
        <v/>
      </c>
      <c r="F5785" s="9" t="str">
        <f>IF(DADOS!E5785="","",DADOS!E5785)</f>
        <v/>
      </c>
      <c r="G5785" s="9" t="str">
        <f>IF(DADOS!F5785="","",DADOS!F5785)</f>
        <v/>
      </c>
      <c r="K5785" s="6" t="str">
        <f t="shared" si="455"/>
        <v/>
      </c>
      <c r="L5785" s="7" t="str">
        <f t="shared" si="456"/>
        <v/>
      </c>
      <c r="M5785" s="7" t="str">
        <f t="shared" si="453"/>
        <v/>
      </c>
      <c r="N5785" s="7" t="str">
        <f t="shared" si="457"/>
        <v/>
      </c>
      <c r="O5785" s="8"/>
      <c r="P5785" s="26"/>
      <c r="S5785" s="10" t="str">
        <f t="shared" si="454"/>
        <v/>
      </c>
    </row>
    <row r="5786" spans="5:19" x14ac:dyDescent="0.3">
      <c r="E5786" s="9" t="str">
        <f>IF(DADOS!C5786="","",DADOS!C5786)</f>
        <v/>
      </c>
      <c r="F5786" s="9" t="str">
        <f>IF(DADOS!E5786="","",DADOS!E5786)</f>
        <v/>
      </c>
      <c r="G5786" s="9" t="str">
        <f>IF(DADOS!F5786="","",DADOS!F5786)</f>
        <v/>
      </c>
      <c r="K5786" s="6" t="str">
        <f t="shared" si="455"/>
        <v/>
      </c>
      <c r="L5786" s="7" t="str">
        <f t="shared" si="456"/>
        <v/>
      </c>
      <c r="M5786" s="7" t="str">
        <f t="shared" si="453"/>
        <v/>
      </c>
      <c r="N5786" s="7" t="str">
        <f t="shared" si="457"/>
        <v/>
      </c>
      <c r="O5786" s="8"/>
      <c r="P5786" s="26"/>
      <c r="S5786" s="10" t="str">
        <f t="shared" si="454"/>
        <v/>
      </c>
    </row>
    <row r="5787" spans="5:19" x14ac:dyDescent="0.3">
      <c r="E5787" s="9" t="str">
        <f>IF(DADOS!C5787="","",DADOS!C5787)</f>
        <v/>
      </c>
      <c r="F5787" s="9" t="str">
        <f>IF(DADOS!E5787="","",DADOS!E5787)</f>
        <v/>
      </c>
      <c r="G5787" s="9" t="str">
        <f>IF(DADOS!F5787="","",DADOS!F5787)</f>
        <v/>
      </c>
      <c r="K5787" s="6" t="str">
        <f t="shared" si="455"/>
        <v/>
      </c>
      <c r="L5787" s="7" t="str">
        <f t="shared" si="456"/>
        <v/>
      </c>
      <c r="M5787" s="7" t="str">
        <f t="shared" si="453"/>
        <v/>
      </c>
      <c r="N5787" s="7" t="str">
        <f t="shared" si="457"/>
        <v/>
      </c>
      <c r="O5787" s="8"/>
      <c r="P5787" s="26"/>
      <c r="S5787" s="10" t="str">
        <f t="shared" si="454"/>
        <v/>
      </c>
    </row>
    <row r="5788" spans="5:19" x14ac:dyDescent="0.3">
      <c r="E5788" s="9" t="str">
        <f>IF(DADOS!C5788="","",DADOS!C5788)</f>
        <v/>
      </c>
      <c r="F5788" s="9" t="str">
        <f>IF(DADOS!E5788="","",DADOS!E5788)</f>
        <v/>
      </c>
      <c r="G5788" s="9" t="str">
        <f>IF(DADOS!F5788="","",DADOS!F5788)</f>
        <v/>
      </c>
      <c r="K5788" s="6" t="str">
        <f t="shared" si="455"/>
        <v/>
      </c>
      <c r="L5788" s="7" t="str">
        <f t="shared" si="456"/>
        <v/>
      </c>
      <c r="M5788" s="7" t="str">
        <f t="shared" si="453"/>
        <v/>
      </c>
      <c r="N5788" s="7" t="str">
        <f t="shared" si="457"/>
        <v/>
      </c>
      <c r="O5788" s="8"/>
      <c r="P5788" s="26"/>
      <c r="S5788" s="10" t="str">
        <f t="shared" si="454"/>
        <v/>
      </c>
    </row>
    <row r="5789" spans="5:19" x14ac:dyDescent="0.3">
      <c r="E5789" s="9" t="str">
        <f>IF(DADOS!C5789="","",DADOS!C5789)</f>
        <v/>
      </c>
      <c r="F5789" s="9" t="str">
        <f>IF(DADOS!E5789="","",DADOS!E5789)</f>
        <v/>
      </c>
      <c r="G5789" s="9" t="str">
        <f>IF(DADOS!F5789="","",DADOS!F5789)</f>
        <v/>
      </c>
      <c r="K5789" s="6" t="str">
        <f t="shared" si="455"/>
        <v/>
      </c>
      <c r="L5789" s="7" t="str">
        <f t="shared" si="456"/>
        <v/>
      </c>
      <c r="M5789" s="7" t="str">
        <f t="shared" si="453"/>
        <v/>
      </c>
      <c r="N5789" s="7" t="str">
        <f t="shared" si="457"/>
        <v/>
      </c>
      <c r="O5789" s="8"/>
      <c r="P5789" s="26"/>
      <c r="S5789" s="10" t="str">
        <f t="shared" si="454"/>
        <v/>
      </c>
    </row>
    <row r="5790" spans="5:19" x14ac:dyDescent="0.3">
      <c r="E5790" s="9" t="str">
        <f>IF(DADOS!C5790="","",DADOS!C5790)</f>
        <v/>
      </c>
      <c r="F5790" s="9" t="str">
        <f>IF(DADOS!E5790="","",DADOS!E5790)</f>
        <v/>
      </c>
      <c r="G5790" s="9" t="str">
        <f>IF(DADOS!F5790="","",DADOS!F5790)</f>
        <v/>
      </c>
      <c r="K5790" s="6" t="str">
        <f t="shared" si="455"/>
        <v/>
      </c>
      <c r="L5790" s="7" t="str">
        <f t="shared" si="456"/>
        <v/>
      </c>
      <c r="M5790" s="7" t="str">
        <f t="shared" si="453"/>
        <v/>
      </c>
      <c r="N5790" s="7" t="str">
        <f t="shared" si="457"/>
        <v/>
      </c>
      <c r="O5790" s="8"/>
      <c r="P5790" s="26"/>
      <c r="S5790" s="10" t="str">
        <f t="shared" si="454"/>
        <v/>
      </c>
    </row>
    <row r="5791" spans="5:19" x14ac:dyDescent="0.3">
      <c r="E5791" s="9" t="str">
        <f>IF(DADOS!C5791="","",DADOS!C5791)</f>
        <v/>
      </c>
      <c r="F5791" s="9" t="str">
        <f>IF(DADOS!E5791="","",DADOS!E5791)</f>
        <v/>
      </c>
      <c r="G5791" s="9" t="str">
        <f>IF(DADOS!F5791="","",DADOS!F5791)</f>
        <v/>
      </c>
      <c r="K5791" s="6" t="str">
        <f t="shared" si="455"/>
        <v/>
      </c>
      <c r="L5791" s="7" t="str">
        <f t="shared" si="456"/>
        <v/>
      </c>
      <c r="M5791" s="7" t="str">
        <f t="shared" si="453"/>
        <v/>
      </c>
      <c r="N5791" s="7" t="str">
        <f t="shared" si="457"/>
        <v/>
      </c>
      <c r="O5791" s="8"/>
      <c r="P5791" s="26"/>
      <c r="S5791" s="10" t="str">
        <f t="shared" si="454"/>
        <v/>
      </c>
    </row>
    <row r="5792" spans="5:19" x14ac:dyDescent="0.3">
      <c r="E5792" s="9" t="str">
        <f>IF(DADOS!C5792="","",DADOS!C5792)</f>
        <v/>
      </c>
      <c r="F5792" s="9" t="str">
        <f>IF(DADOS!E5792="","",DADOS!E5792)</f>
        <v/>
      </c>
      <c r="G5792" s="9" t="str">
        <f>IF(DADOS!F5792="","",DADOS!F5792)</f>
        <v/>
      </c>
      <c r="K5792" s="6" t="str">
        <f t="shared" si="455"/>
        <v/>
      </c>
      <c r="L5792" s="7" t="str">
        <f t="shared" si="456"/>
        <v/>
      </c>
      <c r="M5792" s="7" t="str">
        <f t="shared" si="453"/>
        <v/>
      </c>
      <c r="N5792" s="7" t="str">
        <f t="shared" si="457"/>
        <v/>
      </c>
      <c r="O5792" s="8"/>
      <c r="P5792" s="26"/>
      <c r="S5792" s="10" t="str">
        <f t="shared" si="454"/>
        <v/>
      </c>
    </row>
    <row r="5793" spans="5:19" x14ac:dyDescent="0.3">
      <c r="E5793" s="9" t="str">
        <f>IF(DADOS!C5793="","",DADOS!C5793)</f>
        <v/>
      </c>
      <c r="F5793" s="9" t="str">
        <f>IF(DADOS!E5793="","",DADOS!E5793)</f>
        <v/>
      </c>
      <c r="G5793" s="9" t="str">
        <f>IF(DADOS!F5793="","",DADOS!F5793)</f>
        <v/>
      </c>
      <c r="K5793" s="6" t="str">
        <f t="shared" si="455"/>
        <v/>
      </c>
      <c r="L5793" s="7" t="str">
        <f t="shared" si="456"/>
        <v/>
      </c>
      <c r="M5793" s="7" t="str">
        <f t="shared" si="453"/>
        <v/>
      </c>
      <c r="N5793" s="7" t="str">
        <f t="shared" si="457"/>
        <v/>
      </c>
      <c r="O5793" s="8"/>
      <c r="P5793" s="26"/>
      <c r="S5793" s="10" t="str">
        <f t="shared" si="454"/>
        <v/>
      </c>
    </row>
    <row r="5794" spans="5:19" x14ac:dyDescent="0.3">
      <c r="E5794" s="9" t="str">
        <f>IF(DADOS!C5794="","",DADOS!C5794)</f>
        <v/>
      </c>
      <c r="F5794" s="9" t="str">
        <f>IF(DADOS!E5794="","",DADOS!E5794)</f>
        <v/>
      </c>
      <c r="G5794" s="9" t="str">
        <f>IF(DADOS!F5794="","",DADOS!F5794)</f>
        <v/>
      </c>
      <c r="K5794" s="6" t="str">
        <f t="shared" si="455"/>
        <v/>
      </c>
      <c r="L5794" s="7" t="str">
        <f t="shared" si="456"/>
        <v/>
      </c>
      <c r="M5794" s="7" t="str">
        <f t="shared" si="453"/>
        <v/>
      </c>
      <c r="N5794" s="7" t="str">
        <f t="shared" si="457"/>
        <v/>
      </c>
      <c r="O5794" s="8"/>
      <c r="P5794" s="26"/>
      <c r="S5794" s="10" t="str">
        <f t="shared" si="454"/>
        <v/>
      </c>
    </row>
    <row r="5795" spans="5:19" x14ac:dyDescent="0.3">
      <c r="E5795" s="9" t="str">
        <f>IF(DADOS!C5795="","",DADOS!C5795)</f>
        <v/>
      </c>
      <c r="F5795" s="9" t="str">
        <f>IF(DADOS!E5795="","",DADOS!E5795)</f>
        <v/>
      </c>
      <c r="G5795" s="9" t="str">
        <f>IF(DADOS!F5795="","",DADOS!F5795)</f>
        <v/>
      </c>
      <c r="K5795" s="6" t="str">
        <f t="shared" si="455"/>
        <v/>
      </c>
      <c r="L5795" s="7" t="str">
        <f t="shared" si="456"/>
        <v/>
      </c>
      <c r="M5795" s="7" t="str">
        <f t="shared" si="453"/>
        <v/>
      </c>
      <c r="N5795" s="7" t="str">
        <f t="shared" si="457"/>
        <v/>
      </c>
      <c r="O5795" s="8"/>
      <c r="P5795" s="26"/>
      <c r="S5795" s="10" t="str">
        <f t="shared" si="454"/>
        <v/>
      </c>
    </row>
    <row r="5796" spans="5:19" x14ac:dyDescent="0.3">
      <c r="E5796" s="9" t="str">
        <f>IF(DADOS!C5796="","",DADOS!C5796)</f>
        <v/>
      </c>
      <c r="F5796" s="9" t="str">
        <f>IF(DADOS!E5796="","",DADOS!E5796)</f>
        <v/>
      </c>
      <c r="G5796" s="9" t="str">
        <f>IF(DADOS!F5796="","",DADOS!F5796)</f>
        <v/>
      </c>
      <c r="K5796" s="6" t="str">
        <f t="shared" si="455"/>
        <v/>
      </c>
      <c r="L5796" s="7" t="str">
        <f t="shared" si="456"/>
        <v/>
      </c>
      <c r="M5796" s="7" t="str">
        <f t="shared" si="453"/>
        <v/>
      </c>
      <c r="N5796" s="7" t="str">
        <f t="shared" si="457"/>
        <v/>
      </c>
      <c r="O5796" s="8"/>
      <c r="P5796" s="26"/>
      <c r="S5796" s="10" t="str">
        <f t="shared" si="454"/>
        <v/>
      </c>
    </row>
    <row r="5797" spans="5:19" x14ac:dyDescent="0.3">
      <c r="E5797" s="9" t="str">
        <f>IF(DADOS!C5797="","",DADOS!C5797)</f>
        <v/>
      </c>
      <c r="F5797" s="9" t="str">
        <f>IF(DADOS!E5797="","",DADOS!E5797)</f>
        <v/>
      </c>
      <c r="G5797" s="9" t="str">
        <f>IF(DADOS!F5797="","",DADOS!F5797)</f>
        <v/>
      </c>
      <c r="K5797" s="6" t="str">
        <f t="shared" si="455"/>
        <v/>
      </c>
      <c r="L5797" s="7" t="str">
        <f t="shared" si="456"/>
        <v/>
      </c>
      <c r="M5797" s="7" t="str">
        <f t="shared" si="453"/>
        <v/>
      </c>
      <c r="N5797" s="7" t="str">
        <f t="shared" si="457"/>
        <v/>
      </c>
      <c r="O5797" s="8"/>
      <c r="P5797" s="26"/>
      <c r="S5797" s="10" t="str">
        <f t="shared" si="454"/>
        <v/>
      </c>
    </row>
    <row r="5798" spans="5:19" x14ac:dyDescent="0.3">
      <c r="E5798" s="9" t="str">
        <f>IF(DADOS!C5798="","",DADOS!C5798)</f>
        <v/>
      </c>
      <c r="F5798" s="9" t="str">
        <f>IF(DADOS!E5798="","",DADOS!E5798)</f>
        <v/>
      </c>
      <c r="G5798" s="9" t="str">
        <f>IF(DADOS!F5798="","",DADOS!F5798)</f>
        <v/>
      </c>
      <c r="K5798" s="6" t="str">
        <f t="shared" si="455"/>
        <v/>
      </c>
      <c r="L5798" s="7" t="str">
        <f t="shared" si="456"/>
        <v/>
      </c>
      <c r="M5798" s="7" t="str">
        <f t="shared" si="453"/>
        <v/>
      </c>
      <c r="N5798" s="7" t="str">
        <f t="shared" si="457"/>
        <v/>
      </c>
      <c r="O5798" s="8"/>
      <c r="P5798" s="26"/>
      <c r="S5798" s="10" t="str">
        <f t="shared" si="454"/>
        <v/>
      </c>
    </row>
    <row r="5799" spans="5:19" x14ac:dyDescent="0.3">
      <c r="E5799" s="9" t="str">
        <f>IF(DADOS!C5799="","",DADOS!C5799)</f>
        <v/>
      </c>
      <c r="F5799" s="9" t="str">
        <f>IF(DADOS!E5799="","",DADOS!E5799)</f>
        <v/>
      </c>
      <c r="G5799" s="9" t="str">
        <f>IF(DADOS!F5799="","",DADOS!F5799)</f>
        <v/>
      </c>
      <c r="K5799" s="6" t="str">
        <f t="shared" si="455"/>
        <v/>
      </c>
      <c r="L5799" s="7" t="str">
        <f t="shared" si="456"/>
        <v/>
      </c>
      <c r="M5799" s="7" t="str">
        <f t="shared" si="453"/>
        <v/>
      </c>
      <c r="N5799" s="7" t="str">
        <f t="shared" si="457"/>
        <v/>
      </c>
      <c r="O5799" s="8"/>
      <c r="P5799" s="26"/>
      <c r="S5799" s="10" t="str">
        <f t="shared" si="454"/>
        <v/>
      </c>
    </row>
    <row r="5800" spans="5:19" x14ac:dyDescent="0.3">
      <c r="E5800" s="9" t="str">
        <f>IF(DADOS!C5800="","",DADOS!C5800)</f>
        <v/>
      </c>
      <c r="F5800" s="9" t="str">
        <f>IF(DADOS!E5800="","",DADOS!E5800)</f>
        <v/>
      </c>
      <c r="G5800" s="9" t="str">
        <f>IF(DADOS!F5800="","",DADOS!F5800)</f>
        <v/>
      </c>
      <c r="K5800" s="6" t="str">
        <f t="shared" si="455"/>
        <v/>
      </c>
      <c r="L5800" s="7" t="str">
        <f t="shared" si="456"/>
        <v/>
      </c>
      <c r="M5800" s="7" t="str">
        <f t="shared" si="453"/>
        <v/>
      </c>
      <c r="N5800" s="7" t="str">
        <f t="shared" si="457"/>
        <v/>
      </c>
      <c r="O5800" s="8"/>
      <c r="P5800" s="26"/>
      <c r="S5800" s="10" t="str">
        <f t="shared" si="454"/>
        <v/>
      </c>
    </row>
    <row r="5801" spans="5:19" x14ac:dyDescent="0.3">
      <c r="E5801" s="9" t="str">
        <f>IF(DADOS!C5801="","",DADOS!C5801)</f>
        <v/>
      </c>
      <c r="F5801" s="9" t="str">
        <f>IF(DADOS!E5801="","",DADOS!E5801)</f>
        <v/>
      </c>
      <c r="G5801" s="9" t="str">
        <f>IF(DADOS!F5801="","",DADOS!F5801)</f>
        <v/>
      </c>
      <c r="K5801" s="6" t="str">
        <f t="shared" si="455"/>
        <v/>
      </c>
      <c r="L5801" s="7" t="str">
        <f t="shared" si="456"/>
        <v/>
      </c>
      <c r="M5801" s="7" t="str">
        <f t="shared" si="453"/>
        <v/>
      </c>
      <c r="N5801" s="7" t="str">
        <f t="shared" si="457"/>
        <v/>
      </c>
      <c r="O5801" s="8"/>
      <c r="P5801" s="26"/>
      <c r="S5801" s="10" t="str">
        <f t="shared" si="454"/>
        <v/>
      </c>
    </row>
    <row r="5802" spans="5:19" x14ac:dyDescent="0.3">
      <c r="E5802" s="9" t="str">
        <f>IF(DADOS!C5802="","",DADOS!C5802)</f>
        <v/>
      </c>
      <c r="F5802" s="9" t="str">
        <f>IF(DADOS!E5802="","",DADOS!E5802)</f>
        <v/>
      </c>
      <c r="G5802" s="9" t="str">
        <f>IF(DADOS!F5802="","",DADOS!F5802)</f>
        <v/>
      </c>
      <c r="K5802" s="6" t="str">
        <f t="shared" si="455"/>
        <v/>
      </c>
      <c r="L5802" s="7" t="str">
        <f t="shared" si="456"/>
        <v/>
      </c>
      <c r="M5802" s="7" t="str">
        <f t="shared" si="453"/>
        <v/>
      </c>
      <c r="N5802" s="7" t="str">
        <f t="shared" si="457"/>
        <v/>
      </c>
      <c r="O5802" s="8"/>
      <c r="P5802" s="26"/>
      <c r="S5802" s="10" t="str">
        <f t="shared" si="454"/>
        <v/>
      </c>
    </row>
    <row r="5803" spans="5:19" x14ac:dyDescent="0.3">
      <c r="E5803" s="9" t="str">
        <f>IF(DADOS!C5803="","",DADOS!C5803)</f>
        <v/>
      </c>
      <c r="F5803" s="9" t="str">
        <f>IF(DADOS!E5803="","",DADOS!E5803)</f>
        <v/>
      </c>
      <c r="G5803" s="9" t="str">
        <f>IF(DADOS!F5803="","",DADOS!F5803)</f>
        <v/>
      </c>
      <c r="K5803" s="6" t="str">
        <f t="shared" si="455"/>
        <v/>
      </c>
      <c r="L5803" s="7" t="str">
        <f t="shared" si="456"/>
        <v/>
      </c>
      <c r="M5803" s="7" t="str">
        <f t="shared" si="453"/>
        <v/>
      </c>
      <c r="N5803" s="7" t="str">
        <f t="shared" si="457"/>
        <v/>
      </c>
      <c r="O5803" s="8"/>
      <c r="P5803" s="26"/>
      <c r="S5803" s="10" t="str">
        <f t="shared" si="454"/>
        <v/>
      </c>
    </row>
    <row r="5804" spans="5:19" x14ac:dyDescent="0.3">
      <c r="E5804" s="9" t="str">
        <f>IF(DADOS!C5804="","",DADOS!C5804)</f>
        <v/>
      </c>
      <c r="F5804" s="9" t="str">
        <f>IF(DADOS!E5804="","",DADOS!E5804)</f>
        <v/>
      </c>
      <c r="G5804" s="9" t="str">
        <f>IF(DADOS!F5804="","",DADOS!F5804)</f>
        <v/>
      </c>
      <c r="K5804" s="6" t="str">
        <f t="shared" si="455"/>
        <v/>
      </c>
      <c r="L5804" s="7" t="str">
        <f t="shared" si="456"/>
        <v/>
      </c>
      <c r="M5804" s="7" t="str">
        <f t="shared" si="453"/>
        <v/>
      </c>
      <c r="N5804" s="7" t="str">
        <f t="shared" si="457"/>
        <v/>
      </c>
      <c r="O5804" s="8"/>
      <c r="P5804" s="26"/>
      <c r="S5804" s="10" t="str">
        <f t="shared" si="454"/>
        <v/>
      </c>
    </row>
    <row r="5805" spans="5:19" x14ac:dyDescent="0.3">
      <c r="E5805" s="9" t="str">
        <f>IF(DADOS!C5805="","",DADOS!C5805)</f>
        <v/>
      </c>
      <c r="F5805" s="9" t="str">
        <f>IF(DADOS!E5805="","",DADOS!E5805)</f>
        <v/>
      </c>
      <c r="G5805" s="9" t="str">
        <f>IF(DADOS!F5805="","",DADOS!F5805)</f>
        <v/>
      </c>
      <c r="K5805" s="6" t="str">
        <f t="shared" si="455"/>
        <v/>
      </c>
      <c r="L5805" s="7" t="str">
        <f t="shared" si="456"/>
        <v/>
      </c>
      <c r="M5805" s="7" t="str">
        <f t="shared" si="453"/>
        <v/>
      </c>
      <c r="N5805" s="7" t="str">
        <f t="shared" si="457"/>
        <v/>
      </c>
      <c r="O5805" s="8"/>
      <c r="P5805" s="26"/>
      <c r="S5805" s="10" t="str">
        <f t="shared" si="454"/>
        <v/>
      </c>
    </row>
    <row r="5806" spans="5:19" x14ac:dyDescent="0.3">
      <c r="E5806" s="9" t="str">
        <f>IF(DADOS!C5806="","",DADOS!C5806)</f>
        <v/>
      </c>
      <c r="F5806" s="9" t="str">
        <f>IF(DADOS!E5806="","",DADOS!E5806)</f>
        <v/>
      </c>
      <c r="G5806" s="9" t="str">
        <f>IF(DADOS!F5806="","",DADOS!F5806)</f>
        <v/>
      </c>
      <c r="K5806" s="6" t="str">
        <f t="shared" si="455"/>
        <v/>
      </c>
      <c r="L5806" s="7" t="str">
        <f t="shared" si="456"/>
        <v/>
      </c>
      <c r="M5806" s="7" t="str">
        <f t="shared" si="453"/>
        <v/>
      </c>
      <c r="N5806" s="7" t="str">
        <f t="shared" si="457"/>
        <v/>
      </c>
      <c r="O5806" s="8"/>
      <c r="P5806" s="26"/>
      <c r="S5806" s="10" t="str">
        <f t="shared" si="454"/>
        <v/>
      </c>
    </row>
    <row r="5807" spans="5:19" x14ac:dyDescent="0.3">
      <c r="E5807" s="9" t="str">
        <f>IF(DADOS!C5807="","",DADOS!C5807)</f>
        <v/>
      </c>
      <c r="F5807" s="9" t="str">
        <f>IF(DADOS!E5807="","",DADOS!E5807)</f>
        <v/>
      </c>
      <c r="G5807" s="9" t="str">
        <f>IF(DADOS!F5807="","",DADOS!F5807)</f>
        <v/>
      </c>
      <c r="K5807" s="6" t="str">
        <f t="shared" si="455"/>
        <v/>
      </c>
      <c r="L5807" s="7" t="str">
        <f t="shared" si="456"/>
        <v/>
      </c>
      <c r="M5807" s="7" t="str">
        <f t="shared" si="453"/>
        <v/>
      </c>
      <c r="N5807" s="7" t="str">
        <f t="shared" si="457"/>
        <v/>
      </c>
      <c r="O5807" s="8"/>
      <c r="P5807" s="26"/>
      <c r="S5807" s="10" t="str">
        <f t="shared" si="454"/>
        <v/>
      </c>
    </row>
    <row r="5808" spans="5:19" x14ac:dyDescent="0.3">
      <c r="E5808" s="9" t="str">
        <f>IF(DADOS!C5808="","",DADOS!C5808)</f>
        <v/>
      </c>
      <c r="F5808" s="9" t="str">
        <f>IF(DADOS!E5808="","",DADOS!E5808)</f>
        <v/>
      </c>
      <c r="G5808" s="9" t="str">
        <f>IF(DADOS!F5808="","",DADOS!F5808)</f>
        <v/>
      </c>
      <c r="K5808" s="6" t="str">
        <f t="shared" si="455"/>
        <v/>
      </c>
      <c r="L5808" s="7" t="str">
        <f t="shared" si="456"/>
        <v/>
      </c>
      <c r="M5808" s="7" t="str">
        <f t="shared" si="453"/>
        <v/>
      </c>
      <c r="N5808" s="7" t="str">
        <f t="shared" si="457"/>
        <v/>
      </c>
      <c r="O5808" s="8"/>
      <c r="P5808" s="26"/>
      <c r="S5808" s="10" t="str">
        <f t="shared" si="454"/>
        <v/>
      </c>
    </row>
    <row r="5809" spans="5:19" x14ac:dyDescent="0.3">
      <c r="E5809" s="9" t="str">
        <f>IF(DADOS!C5809="","",DADOS!C5809)</f>
        <v/>
      </c>
      <c r="F5809" s="9" t="str">
        <f>IF(DADOS!E5809="","",DADOS!E5809)</f>
        <v/>
      </c>
      <c r="G5809" s="9" t="str">
        <f>IF(DADOS!F5809="","",DADOS!F5809)</f>
        <v/>
      </c>
      <c r="K5809" s="6" t="str">
        <f t="shared" si="455"/>
        <v/>
      </c>
      <c r="L5809" s="7" t="str">
        <f t="shared" si="456"/>
        <v/>
      </c>
      <c r="M5809" s="7" t="str">
        <f t="shared" si="453"/>
        <v/>
      </c>
      <c r="N5809" s="7" t="str">
        <f t="shared" si="457"/>
        <v/>
      </c>
      <c r="O5809" s="8"/>
      <c r="P5809" s="26"/>
      <c r="S5809" s="10" t="str">
        <f t="shared" si="454"/>
        <v/>
      </c>
    </row>
    <row r="5810" spans="5:19" x14ac:dyDescent="0.3">
      <c r="E5810" s="9" t="str">
        <f>IF(DADOS!C5810="","",DADOS!C5810)</f>
        <v/>
      </c>
      <c r="F5810" s="9" t="str">
        <f>IF(DADOS!E5810="","",DADOS!E5810)</f>
        <v/>
      </c>
      <c r="G5810" s="9" t="str">
        <f>IF(DADOS!F5810="","",DADOS!F5810)</f>
        <v/>
      </c>
      <c r="K5810" s="6" t="str">
        <f t="shared" si="455"/>
        <v/>
      </c>
      <c r="L5810" s="7" t="str">
        <f t="shared" si="456"/>
        <v/>
      </c>
      <c r="M5810" s="7" t="str">
        <f t="shared" si="453"/>
        <v/>
      </c>
      <c r="N5810" s="7" t="str">
        <f t="shared" si="457"/>
        <v/>
      </c>
      <c r="O5810" s="8"/>
      <c r="P5810" s="26"/>
      <c r="S5810" s="10" t="str">
        <f t="shared" si="454"/>
        <v/>
      </c>
    </row>
    <row r="5811" spans="5:19" x14ac:dyDescent="0.3">
      <c r="E5811" s="9" t="str">
        <f>IF(DADOS!C5811="","",DADOS!C5811)</f>
        <v/>
      </c>
      <c r="F5811" s="9" t="str">
        <f>IF(DADOS!E5811="","",DADOS!E5811)</f>
        <v/>
      </c>
      <c r="G5811" s="9" t="str">
        <f>IF(DADOS!F5811="","",DADOS!F5811)</f>
        <v/>
      </c>
      <c r="K5811" s="6" t="str">
        <f t="shared" si="455"/>
        <v/>
      </c>
      <c r="L5811" s="7" t="str">
        <f t="shared" si="456"/>
        <v/>
      </c>
      <c r="M5811" s="7" t="str">
        <f t="shared" si="453"/>
        <v/>
      </c>
      <c r="N5811" s="7" t="str">
        <f t="shared" si="457"/>
        <v/>
      </c>
      <c r="O5811" s="8"/>
      <c r="P5811" s="26"/>
      <c r="S5811" s="10" t="str">
        <f t="shared" si="454"/>
        <v/>
      </c>
    </row>
    <row r="5812" spans="5:19" x14ac:dyDescent="0.3">
      <c r="E5812" s="9" t="str">
        <f>IF(DADOS!C5812="","",DADOS!C5812)</f>
        <v/>
      </c>
      <c r="F5812" s="9" t="str">
        <f>IF(DADOS!E5812="","",DADOS!E5812)</f>
        <v/>
      </c>
      <c r="G5812" s="9" t="str">
        <f>IF(DADOS!F5812="","",DADOS!F5812)</f>
        <v/>
      </c>
      <c r="K5812" s="6" t="str">
        <f t="shared" si="455"/>
        <v/>
      </c>
      <c r="L5812" s="7" t="str">
        <f t="shared" si="456"/>
        <v/>
      </c>
      <c r="M5812" s="7" t="str">
        <f t="shared" si="453"/>
        <v/>
      </c>
      <c r="N5812" s="7" t="str">
        <f t="shared" si="457"/>
        <v/>
      </c>
      <c r="O5812" s="8"/>
      <c r="P5812" s="26"/>
      <c r="S5812" s="10" t="str">
        <f t="shared" si="454"/>
        <v/>
      </c>
    </row>
    <row r="5813" spans="5:19" x14ac:dyDescent="0.3">
      <c r="E5813" s="9" t="str">
        <f>IF(DADOS!C5813="","",DADOS!C5813)</f>
        <v/>
      </c>
      <c r="F5813" s="9" t="str">
        <f>IF(DADOS!E5813="","",DADOS!E5813)</f>
        <v/>
      </c>
      <c r="G5813" s="9" t="str">
        <f>IF(DADOS!F5813="","",DADOS!F5813)</f>
        <v/>
      </c>
      <c r="K5813" s="6" t="str">
        <f t="shared" si="455"/>
        <v/>
      </c>
      <c r="L5813" s="7" t="str">
        <f t="shared" si="456"/>
        <v/>
      </c>
      <c r="M5813" s="7" t="str">
        <f t="shared" si="453"/>
        <v/>
      </c>
      <c r="N5813" s="7" t="str">
        <f t="shared" si="457"/>
        <v/>
      </c>
      <c r="O5813" s="8"/>
      <c r="P5813" s="26"/>
      <c r="S5813" s="10" t="str">
        <f t="shared" si="454"/>
        <v/>
      </c>
    </row>
    <row r="5814" spans="5:19" x14ac:dyDescent="0.3">
      <c r="E5814" s="9" t="str">
        <f>IF(DADOS!C5814="","",DADOS!C5814)</f>
        <v/>
      </c>
      <c r="F5814" s="9" t="str">
        <f>IF(DADOS!E5814="","",DADOS!E5814)</f>
        <v/>
      </c>
      <c r="G5814" s="9" t="str">
        <f>IF(DADOS!F5814="","",DADOS!F5814)</f>
        <v/>
      </c>
      <c r="K5814" s="6" t="str">
        <f t="shared" si="455"/>
        <v/>
      </c>
      <c r="L5814" s="7" t="str">
        <f t="shared" si="456"/>
        <v/>
      </c>
      <c r="M5814" s="7" t="str">
        <f t="shared" si="453"/>
        <v/>
      </c>
      <c r="N5814" s="7" t="str">
        <f t="shared" si="457"/>
        <v/>
      </c>
      <c r="O5814" s="8"/>
      <c r="P5814" s="26"/>
      <c r="S5814" s="10" t="str">
        <f t="shared" si="454"/>
        <v/>
      </c>
    </row>
    <row r="5815" spans="5:19" x14ac:dyDescent="0.3">
      <c r="E5815" s="9" t="str">
        <f>IF(DADOS!C5815="","",DADOS!C5815)</f>
        <v/>
      </c>
      <c r="F5815" s="9" t="str">
        <f>IF(DADOS!E5815="","",DADOS!E5815)</f>
        <v/>
      </c>
      <c r="G5815" s="9" t="str">
        <f>IF(DADOS!F5815="","",DADOS!F5815)</f>
        <v/>
      </c>
      <c r="K5815" s="6" t="str">
        <f t="shared" si="455"/>
        <v/>
      </c>
      <c r="L5815" s="7" t="str">
        <f t="shared" si="456"/>
        <v/>
      </c>
      <c r="M5815" s="7" t="str">
        <f t="shared" si="453"/>
        <v/>
      </c>
      <c r="N5815" s="7" t="str">
        <f t="shared" si="457"/>
        <v/>
      </c>
      <c r="O5815" s="8"/>
      <c r="P5815" s="26"/>
      <c r="S5815" s="10" t="str">
        <f t="shared" si="454"/>
        <v/>
      </c>
    </row>
    <row r="5816" spans="5:19" x14ac:dyDescent="0.3">
      <c r="E5816" s="9" t="str">
        <f>IF(DADOS!C5816="","",DADOS!C5816)</f>
        <v/>
      </c>
      <c r="F5816" s="9" t="str">
        <f>IF(DADOS!E5816="","",DADOS!E5816)</f>
        <v/>
      </c>
      <c r="G5816" s="9" t="str">
        <f>IF(DADOS!F5816="","",DADOS!F5816)</f>
        <v/>
      </c>
      <c r="K5816" s="6" t="str">
        <f t="shared" si="455"/>
        <v/>
      </c>
      <c r="L5816" s="7" t="str">
        <f t="shared" si="456"/>
        <v/>
      </c>
      <c r="M5816" s="7" t="str">
        <f t="shared" si="453"/>
        <v/>
      </c>
      <c r="N5816" s="7" t="str">
        <f t="shared" si="457"/>
        <v/>
      </c>
      <c r="O5816" s="8"/>
      <c r="P5816" s="26"/>
      <c r="S5816" s="10" t="str">
        <f t="shared" si="454"/>
        <v/>
      </c>
    </row>
    <row r="5817" spans="5:19" x14ac:dyDescent="0.3">
      <c r="E5817" s="9" t="str">
        <f>IF(DADOS!C5817="","",DADOS!C5817)</f>
        <v/>
      </c>
      <c r="F5817" s="9" t="str">
        <f>IF(DADOS!E5817="","",DADOS!E5817)</f>
        <v/>
      </c>
      <c r="G5817" s="9" t="str">
        <f>IF(DADOS!F5817="","",DADOS!F5817)</f>
        <v/>
      </c>
      <c r="K5817" s="6" t="str">
        <f t="shared" si="455"/>
        <v/>
      </c>
      <c r="L5817" s="7" t="str">
        <f t="shared" si="456"/>
        <v/>
      </c>
      <c r="M5817" s="7" t="str">
        <f t="shared" si="453"/>
        <v/>
      </c>
      <c r="N5817" s="7" t="str">
        <f t="shared" si="457"/>
        <v/>
      </c>
      <c r="O5817" s="8"/>
      <c r="P5817" s="26"/>
      <c r="S5817" s="10" t="str">
        <f t="shared" si="454"/>
        <v/>
      </c>
    </row>
    <row r="5818" spans="5:19" x14ac:dyDescent="0.3">
      <c r="E5818" s="9" t="str">
        <f>IF(DADOS!C5818="","",DADOS!C5818)</f>
        <v/>
      </c>
      <c r="F5818" s="9" t="str">
        <f>IF(DADOS!E5818="","",DADOS!E5818)</f>
        <v/>
      </c>
      <c r="G5818" s="9" t="str">
        <f>IF(DADOS!F5818="","",DADOS!F5818)</f>
        <v/>
      </c>
      <c r="K5818" s="6" t="str">
        <f t="shared" si="455"/>
        <v/>
      </c>
      <c r="L5818" s="7" t="str">
        <f t="shared" si="456"/>
        <v/>
      </c>
      <c r="M5818" s="7" t="str">
        <f t="shared" si="453"/>
        <v/>
      </c>
      <c r="N5818" s="7" t="str">
        <f t="shared" si="457"/>
        <v/>
      </c>
      <c r="O5818" s="8"/>
      <c r="P5818" s="26"/>
      <c r="S5818" s="10" t="str">
        <f t="shared" si="454"/>
        <v/>
      </c>
    </row>
    <row r="5819" spans="5:19" x14ac:dyDescent="0.3">
      <c r="E5819" s="9" t="str">
        <f>IF(DADOS!C5819="","",DADOS!C5819)</f>
        <v/>
      </c>
      <c r="F5819" s="9" t="str">
        <f>IF(DADOS!E5819="","",DADOS!E5819)</f>
        <v/>
      </c>
      <c r="G5819" s="9" t="str">
        <f>IF(DADOS!F5819="","",DADOS!F5819)</f>
        <v/>
      </c>
      <c r="K5819" s="6" t="str">
        <f t="shared" si="455"/>
        <v/>
      </c>
      <c r="L5819" s="7" t="str">
        <f t="shared" si="456"/>
        <v/>
      </c>
      <c r="M5819" s="7" t="str">
        <f t="shared" si="453"/>
        <v/>
      </c>
      <c r="N5819" s="7" t="str">
        <f t="shared" si="457"/>
        <v/>
      </c>
      <c r="O5819" s="8"/>
      <c r="P5819" s="26"/>
      <c r="S5819" s="10" t="str">
        <f t="shared" si="454"/>
        <v/>
      </c>
    </row>
    <row r="5820" spans="5:19" x14ac:dyDescent="0.3">
      <c r="E5820" s="9" t="str">
        <f>IF(DADOS!C5820="","",DADOS!C5820)</f>
        <v/>
      </c>
      <c r="F5820" s="9" t="str">
        <f>IF(DADOS!E5820="","",DADOS!E5820)</f>
        <v/>
      </c>
      <c r="G5820" s="9" t="str">
        <f>IF(DADOS!F5820="","",DADOS!F5820)</f>
        <v/>
      </c>
      <c r="K5820" s="6" t="str">
        <f t="shared" si="455"/>
        <v/>
      </c>
      <c r="L5820" s="7" t="str">
        <f t="shared" si="456"/>
        <v/>
      </c>
      <c r="M5820" s="7" t="str">
        <f t="shared" si="453"/>
        <v/>
      </c>
      <c r="N5820" s="7" t="str">
        <f t="shared" si="457"/>
        <v/>
      </c>
      <c r="O5820" s="8"/>
      <c r="P5820" s="26"/>
      <c r="S5820" s="10" t="str">
        <f t="shared" si="454"/>
        <v/>
      </c>
    </row>
    <row r="5821" spans="5:19" x14ac:dyDescent="0.3">
      <c r="E5821" s="9" t="str">
        <f>IF(DADOS!C5821="","",DADOS!C5821)</f>
        <v/>
      </c>
      <c r="F5821" s="9" t="str">
        <f>IF(DADOS!E5821="","",DADOS!E5821)</f>
        <v/>
      </c>
      <c r="G5821" s="9" t="str">
        <f>IF(DADOS!F5821="","",DADOS!F5821)</f>
        <v/>
      </c>
      <c r="K5821" s="6" t="str">
        <f t="shared" si="455"/>
        <v/>
      </c>
      <c r="L5821" s="7" t="str">
        <f t="shared" si="456"/>
        <v/>
      </c>
      <c r="M5821" s="7" t="str">
        <f t="shared" si="453"/>
        <v/>
      </c>
      <c r="N5821" s="7" t="str">
        <f t="shared" si="457"/>
        <v/>
      </c>
      <c r="O5821" s="8"/>
      <c r="P5821" s="26"/>
      <c r="S5821" s="10" t="str">
        <f t="shared" si="454"/>
        <v/>
      </c>
    </row>
    <row r="5822" spans="5:19" x14ac:dyDescent="0.3">
      <c r="E5822" s="9" t="str">
        <f>IF(DADOS!C5822="","",DADOS!C5822)</f>
        <v/>
      </c>
      <c r="F5822" s="9" t="str">
        <f>IF(DADOS!E5822="","",DADOS!E5822)</f>
        <v/>
      </c>
      <c r="G5822" s="9" t="str">
        <f>IF(DADOS!F5822="","",DADOS!F5822)</f>
        <v/>
      </c>
      <c r="K5822" s="6" t="str">
        <f t="shared" si="455"/>
        <v/>
      </c>
      <c r="L5822" s="7" t="str">
        <f t="shared" si="456"/>
        <v/>
      </c>
      <c r="M5822" s="7" t="str">
        <f t="shared" si="453"/>
        <v/>
      </c>
      <c r="N5822" s="7" t="str">
        <f t="shared" si="457"/>
        <v/>
      </c>
      <c r="O5822" s="8"/>
      <c r="P5822" s="26"/>
      <c r="S5822" s="10" t="str">
        <f t="shared" si="454"/>
        <v/>
      </c>
    </row>
    <row r="5823" spans="5:19" x14ac:dyDescent="0.3">
      <c r="E5823" s="9" t="str">
        <f>IF(DADOS!C5823="","",DADOS!C5823)</f>
        <v/>
      </c>
      <c r="F5823" s="9" t="str">
        <f>IF(DADOS!E5823="","",DADOS!E5823)</f>
        <v/>
      </c>
      <c r="G5823" s="9" t="str">
        <f>IF(DADOS!F5823="","",DADOS!F5823)</f>
        <v/>
      </c>
      <c r="K5823" s="6" t="str">
        <f t="shared" si="455"/>
        <v/>
      </c>
      <c r="L5823" s="7" t="str">
        <f t="shared" si="456"/>
        <v/>
      </c>
      <c r="M5823" s="7" t="str">
        <f t="shared" si="453"/>
        <v/>
      </c>
      <c r="N5823" s="7" t="str">
        <f t="shared" si="457"/>
        <v/>
      </c>
      <c r="O5823" s="8"/>
      <c r="P5823" s="26"/>
      <c r="S5823" s="10" t="str">
        <f t="shared" si="454"/>
        <v/>
      </c>
    </row>
    <row r="5824" spans="5:19" x14ac:dyDescent="0.3">
      <c r="E5824" s="9" t="str">
        <f>IF(DADOS!C5824="","",DADOS!C5824)</f>
        <v/>
      </c>
      <c r="F5824" s="9" t="str">
        <f>IF(DADOS!E5824="","",DADOS!E5824)</f>
        <v/>
      </c>
      <c r="G5824" s="9" t="str">
        <f>IF(DADOS!F5824="","",DADOS!F5824)</f>
        <v/>
      </c>
      <c r="K5824" s="6" t="str">
        <f t="shared" si="455"/>
        <v/>
      </c>
      <c r="L5824" s="7" t="str">
        <f t="shared" si="456"/>
        <v/>
      </c>
      <c r="M5824" s="7" t="str">
        <f t="shared" si="453"/>
        <v/>
      </c>
      <c r="N5824" s="7" t="str">
        <f t="shared" si="457"/>
        <v/>
      </c>
      <c r="O5824" s="8"/>
      <c r="P5824" s="26"/>
      <c r="S5824" s="10" t="str">
        <f t="shared" si="454"/>
        <v/>
      </c>
    </row>
    <row r="5825" spans="5:19" x14ac:dyDescent="0.3">
      <c r="E5825" s="9" t="str">
        <f>IF(DADOS!C5825="","",DADOS!C5825)</f>
        <v/>
      </c>
      <c r="F5825" s="9" t="str">
        <f>IF(DADOS!E5825="","",DADOS!E5825)</f>
        <v/>
      </c>
      <c r="G5825" s="9" t="str">
        <f>IF(DADOS!F5825="","",DADOS!F5825)</f>
        <v/>
      </c>
      <c r="K5825" s="6" t="str">
        <f t="shared" si="455"/>
        <v/>
      </c>
      <c r="L5825" s="7" t="str">
        <f t="shared" si="456"/>
        <v/>
      </c>
      <c r="M5825" s="7" t="str">
        <f t="shared" si="453"/>
        <v/>
      </c>
      <c r="N5825" s="7" t="str">
        <f t="shared" si="457"/>
        <v/>
      </c>
      <c r="O5825" s="8"/>
      <c r="P5825" s="26"/>
      <c r="S5825" s="10" t="str">
        <f t="shared" si="454"/>
        <v/>
      </c>
    </row>
    <row r="5826" spans="5:19" x14ac:dyDescent="0.3">
      <c r="E5826" s="9" t="str">
        <f>IF(DADOS!C5826="","",DADOS!C5826)</f>
        <v/>
      </c>
      <c r="F5826" s="9" t="str">
        <f>IF(DADOS!E5826="","",DADOS!E5826)</f>
        <v/>
      </c>
      <c r="G5826" s="9" t="str">
        <f>IF(DADOS!F5826="","",DADOS!F5826)</f>
        <v/>
      </c>
      <c r="K5826" s="6" t="str">
        <f t="shared" si="455"/>
        <v/>
      </c>
      <c r="L5826" s="7" t="str">
        <f t="shared" si="456"/>
        <v/>
      </c>
      <c r="M5826" s="7" t="str">
        <f t="shared" si="453"/>
        <v/>
      </c>
      <c r="N5826" s="7" t="str">
        <f t="shared" si="457"/>
        <v/>
      </c>
      <c r="O5826" s="8"/>
      <c r="P5826" s="26"/>
      <c r="S5826" s="10" t="str">
        <f t="shared" si="454"/>
        <v/>
      </c>
    </row>
    <row r="5827" spans="5:19" x14ac:dyDescent="0.3">
      <c r="E5827" s="9" t="str">
        <f>IF(DADOS!C5827="","",DADOS!C5827)</f>
        <v/>
      </c>
      <c r="F5827" s="9" t="str">
        <f>IF(DADOS!E5827="","",DADOS!E5827)</f>
        <v/>
      </c>
      <c r="G5827" s="9" t="str">
        <f>IF(DADOS!F5827="","",DADOS!F5827)</f>
        <v/>
      </c>
      <c r="K5827" s="6" t="str">
        <f t="shared" si="455"/>
        <v/>
      </c>
      <c r="L5827" s="7" t="str">
        <f t="shared" si="456"/>
        <v/>
      </c>
      <c r="M5827" s="7" t="str">
        <f t="shared" ref="M5827:M5890" si="458">IF(L5827="","",L5827*G5827)</f>
        <v/>
      </c>
      <c r="N5827" s="7" t="str">
        <f t="shared" si="457"/>
        <v/>
      </c>
      <c r="O5827" s="8"/>
      <c r="P5827" s="26"/>
      <c r="S5827" s="10" t="str">
        <f t="shared" ref="S5827:S5890" si="459">IF(R5827="","",SUMIFS($N$3:$N$10000,$E$3:$E$10000,R5827))</f>
        <v/>
      </c>
    </row>
    <row r="5828" spans="5:19" x14ac:dyDescent="0.3">
      <c r="E5828" s="9" t="str">
        <f>IF(DADOS!C5828="","",DADOS!C5828)</f>
        <v/>
      </c>
      <c r="F5828" s="9" t="str">
        <f>IF(DADOS!E5828="","",DADOS!E5828)</f>
        <v/>
      </c>
      <c r="G5828" s="9" t="str">
        <f>IF(DADOS!F5828="","",DADOS!F5828)</f>
        <v/>
      </c>
      <c r="K5828" s="6" t="str">
        <f t="shared" ref="K5828:K5891" si="460">IF(F5828="","",F5828/PI())</f>
        <v/>
      </c>
      <c r="L5828" s="7" t="str">
        <f t="shared" ref="L5828:L5891" si="461">IF(K5828="","",(PI()*K5828^2)/40000)</f>
        <v/>
      </c>
      <c r="M5828" s="7" t="str">
        <f t="shared" si="458"/>
        <v/>
      </c>
      <c r="N5828" s="7" t="str">
        <f t="shared" ref="N5828:N5891" si="462">IF(M5828="","",M5828*N$1)</f>
        <v/>
      </c>
      <c r="O5828" s="8"/>
      <c r="P5828" s="26"/>
      <c r="S5828" s="10" t="str">
        <f t="shared" si="459"/>
        <v/>
      </c>
    </row>
    <row r="5829" spans="5:19" x14ac:dyDescent="0.3">
      <c r="E5829" s="9" t="str">
        <f>IF(DADOS!C5829="","",DADOS!C5829)</f>
        <v/>
      </c>
      <c r="F5829" s="9" t="str">
        <f>IF(DADOS!E5829="","",DADOS!E5829)</f>
        <v/>
      </c>
      <c r="G5829" s="9" t="str">
        <f>IF(DADOS!F5829="","",DADOS!F5829)</f>
        <v/>
      </c>
      <c r="K5829" s="6" t="str">
        <f t="shared" si="460"/>
        <v/>
      </c>
      <c r="L5829" s="7" t="str">
        <f t="shared" si="461"/>
        <v/>
      </c>
      <c r="M5829" s="7" t="str">
        <f t="shared" si="458"/>
        <v/>
      </c>
      <c r="N5829" s="7" t="str">
        <f t="shared" si="462"/>
        <v/>
      </c>
      <c r="O5829" s="8"/>
      <c r="P5829" s="26"/>
      <c r="S5829" s="10" t="str">
        <f t="shared" si="459"/>
        <v/>
      </c>
    </row>
    <row r="5830" spans="5:19" x14ac:dyDescent="0.3">
      <c r="E5830" s="9" t="str">
        <f>IF(DADOS!C5830="","",DADOS!C5830)</f>
        <v/>
      </c>
      <c r="F5830" s="9" t="str">
        <f>IF(DADOS!E5830="","",DADOS!E5830)</f>
        <v/>
      </c>
      <c r="G5830" s="9" t="str">
        <f>IF(DADOS!F5830="","",DADOS!F5830)</f>
        <v/>
      </c>
      <c r="K5830" s="6" t="str">
        <f t="shared" si="460"/>
        <v/>
      </c>
      <c r="L5830" s="7" t="str">
        <f t="shared" si="461"/>
        <v/>
      </c>
      <c r="M5830" s="7" t="str">
        <f t="shared" si="458"/>
        <v/>
      </c>
      <c r="N5830" s="7" t="str">
        <f t="shared" si="462"/>
        <v/>
      </c>
      <c r="O5830" s="8"/>
      <c r="P5830" s="26"/>
      <c r="S5830" s="10" t="str">
        <f t="shared" si="459"/>
        <v/>
      </c>
    </row>
    <row r="5831" spans="5:19" x14ac:dyDescent="0.3">
      <c r="E5831" s="9" t="str">
        <f>IF(DADOS!C5831="","",DADOS!C5831)</f>
        <v/>
      </c>
      <c r="F5831" s="9" t="str">
        <f>IF(DADOS!E5831="","",DADOS!E5831)</f>
        <v/>
      </c>
      <c r="G5831" s="9" t="str">
        <f>IF(DADOS!F5831="","",DADOS!F5831)</f>
        <v/>
      </c>
      <c r="K5831" s="6" t="str">
        <f t="shared" si="460"/>
        <v/>
      </c>
      <c r="L5831" s="7" t="str">
        <f t="shared" si="461"/>
        <v/>
      </c>
      <c r="M5831" s="7" t="str">
        <f t="shared" si="458"/>
        <v/>
      </c>
      <c r="N5831" s="7" t="str">
        <f t="shared" si="462"/>
        <v/>
      </c>
      <c r="O5831" s="8"/>
      <c r="P5831" s="26"/>
      <c r="S5831" s="10" t="str">
        <f t="shared" si="459"/>
        <v/>
      </c>
    </row>
    <row r="5832" spans="5:19" x14ac:dyDescent="0.3">
      <c r="E5832" s="9" t="str">
        <f>IF(DADOS!C5832="","",DADOS!C5832)</f>
        <v/>
      </c>
      <c r="F5832" s="9" t="str">
        <f>IF(DADOS!E5832="","",DADOS!E5832)</f>
        <v/>
      </c>
      <c r="G5832" s="9" t="str">
        <f>IF(DADOS!F5832="","",DADOS!F5832)</f>
        <v/>
      </c>
      <c r="K5832" s="6" t="str">
        <f t="shared" si="460"/>
        <v/>
      </c>
      <c r="L5832" s="7" t="str">
        <f t="shared" si="461"/>
        <v/>
      </c>
      <c r="M5832" s="7" t="str">
        <f t="shared" si="458"/>
        <v/>
      </c>
      <c r="N5832" s="7" t="str">
        <f t="shared" si="462"/>
        <v/>
      </c>
      <c r="O5832" s="8"/>
      <c r="P5832" s="26"/>
      <c r="S5832" s="10" t="str">
        <f t="shared" si="459"/>
        <v/>
      </c>
    </row>
    <row r="5833" spans="5:19" x14ac:dyDescent="0.3">
      <c r="E5833" s="9" t="str">
        <f>IF(DADOS!C5833="","",DADOS!C5833)</f>
        <v/>
      </c>
      <c r="F5833" s="9" t="str">
        <f>IF(DADOS!E5833="","",DADOS!E5833)</f>
        <v/>
      </c>
      <c r="G5833" s="9" t="str">
        <f>IF(DADOS!F5833="","",DADOS!F5833)</f>
        <v/>
      </c>
      <c r="K5833" s="6" t="str">
        <f t="shared" si="460"/>
        <v/>
      </c>
      <c r="L5833" s="7" t="str">
        <f t="shared" si="461"/>
        <v/>
      </c>
      <c r="M5833" s="7" t="str">
        <f t="shared" si="458"/>
        <v/>
      </c>
      <c r="N5833" s="7" t="str">
        <f t="shared" si="462"/>
        <v/>
      </c>
      <c r="O5833" s="8"/>
      <c r="P5833" s="26"/>
      <c r="S5833" s="10" t="str">
        <f t="shared" si="459"/>
        <v/>
      </c>
    </row>
    <row r="5834" spans="5:19" x14ac:dyDescent="0.3">
      <c r="E5834" s="9" t="str">
        <f>IF(DADOS!C5834="","",DADOS!C5834)</f>
        <v/>
      </c>
      <c r="F5834" s="9" t="str">
        <f>IF(DADOS!E5834="","",DADOS!E5834)</f>
        <v/>
      </c>
      <c r="G5834" s="9" t="str">
        <f>IF(DADOS!F5834="","",DADOS!F5834)</f>
        <v/>
      </c>
      <c r="K5834" s="6" t="str">
        <f t="shared" si="460"/>
        <v/>
      </c>
      <c r="L5834" s="7" t="str">
        <f t="shared" si="461"/>
        <v/>
      </c>
      <c r="M5834" s="7" t="str">
        <f t="shared" si="458"/>
        <v/>
      </c>
      <c r="N5834" s="7" t="str">
        <f t="shared" si="462"/>
        <v/>
      </c>
      <c r="O5834" s="8"/>
      <c r="P5834" s="26"/>
      <c r="S5834" s="10" t="str">
        <f t="shared" si="459"/>
        <v/>
      </c>
    </row>
    <row r="5835" spans="5:19" x14ac:dyDescent="0.3">
      <c r="E5835" s="9" t="str">
        <f>IF(DADOS!C5835="","",DADOS!C5835)</f>
        <v/>
      </c>
      <c r="F5835" s="9" t="str">
        <f>IF(DADOS!E5835="","",DADOS!E5835)</f>
        <v/>
      </c>
      <c r="G5835" s="9" t="str">
        <f>IF(DADOS!F5835="","",DADOS!F5835)</f>
        <v/>
      </c>
      <c r="K5835" s="6" t="str">
        <f t="shared" si="460"/>
        <v/>
      </c>
      <c r="L5835" s="7" t="str">
        <f t="shared" si="461"/>
        <v/>
      </c>
      <c r="M5835" s="7" t="str">
        <f t="shared" si="458"/>
        <v/>
      </c>
      <c r="N5835" s="7" t="str">
        <f t="shared" si="462"/>
        <v/>
      </c>
      <c r="O5835" s="8"/>
      <c r="P5835" s="26"/>
      <c r="S5835" s="10" t="str">
        <f t="shared" si="459"/>
        <v/>
      </c>
    </row>
    <row r="5836" spans="5:19" x14ac:dyDescent="0.3">
      <c r="E5836" s="9" t="str">
        <f>IF(DADOS!C5836="","",DADOS!C5836)</f>
        <v/>
      </c>
      <c r="F5836" s="9" t="str">
        <f>IF(DADOS!E5836="","",DADOS!E5836)</f>
        <v/>
      </c>
      <c r="G5836" s="9" t="str">
        <f>IF(DADOS!F5836="","",DADOS!F5836)</f>
        <v/>
      </c>
      <c r="K5836" s="6" t="str">
        <f t="shared" si="460"/>
        <v/>
      </c>
      <c r="L5836" s="7" t="str">
        <f t="shared" si="461"/>
        <v/>
      </c>
      <c r="M5836" s="7" t="str">
        <f t="shared" si="458"/>
        <v/>
      </c>
      <c r="N5836" s="7" t="str">
        <f t="shared" si="462"/>
        <v/>
      </c>
      <c r="O5836" s="8"/>
      <c r="P5836" s="26"/>
      <c r="S5836" s="10" t="str">
        <f t="shared" si="459"/>
        <v/>
      </c>
    </row>
    <row r="5837" spans="5:19" x14ac:dyDescent="0.3">
      <c r="E5837" s="9" t="str">
        <f>IF(DADOS!C5837="","",DADOS!C5837)</f>
        <v/>
      </c>
      <c r="F5837" s="9" t="str">
        <f>IF(DADOS!E5837="","",DADOS!E5837)</f>
        <v/>
      </c>
      <c r="G5837" s="9" t="str">
        <f>IF(DADOS!F5837="","",DADOS!F5837)</f>
        <v/>
      </c>
      <c r="K5837" s="6" t="str">
        <f t="shared" si="460"/>
        <v/>
      </c>
      <c r="L5837" s="7" t="str">
        <f t="shared" si="461"/>
        <v/>
      </c>
      <c r="M5837" s="7" t="str">
        <f t="shared" si="458"/>
        <v/>
      </c>
      <c r="N5837" s="7" t="str">
        <f t="shared" si="462"/>
        <v/>
      </c>
      <c r="O5837" s="8"/>
      <c r="P5837" s="26"/>
      <c r="S5837" s="10" t="str">
        <f t="shared" si="459"/>
        <v/>
      </c>
    </row>
    <row r="5838" spans="5:19" x14ac:dyDescent="0.3">
      <c r="E5838" s="9" t="str">
        <f>IF(DADOS!C5838="","",DADOS!C5838)</f>
        <v/>
      </c>
      <c r="F5838" s="9" t="str">
        <f>IF(DADOS!E5838="","",DADOS!E5838)</f>
        <v/>
      </c>
      <c r="G5838" s="9" t="str">
        <f>IF(DADOS!F5838="","",DADOS!F5838)</f>
        <v/>
      </c>
      <c r="K5838" s="6" t="str">
        <f t="shared" si="460"/>
        <v/>
      </c>
      <c r="L5838" s="7" t="str">
        <f t="shared" si="461"/>
        <v/>
      </c>
      <c r="M5838" s="7" t="str">
        <f t="shared" si="458"/>
        <v/>
      </c>
      <c r="N5838" s="7" t="str">
        <f t="shared" si="462"/>
        <v/>
      </c>
      <c r="O5838" s="8"/>
      <c r="P5838" s="26"/>
      <c r="S5838" s="10" t="str">
        <f t="shared" si="459"/>
        <v/>
      </c>
    </row>
    <row r="5839" spans="5:19" x14ac:dyDescent="0.3">
      <c r="E5839" s="9" t="str">
        <f>IF(DADOS!C5839="","",DADOS!C5839)</f>
        <v/>
      </c>
      <c r="F5839" s="9" t="str">
        <f>IF(DADOS!E5839="","",DADOS!E5839)</f>
        <v/>
      </c>
      <c r="G5839" s="9" t="str">
        <f>IF(DADOS!F5839="","",DADOS!F5839)</f>
        <v/>
      </c>
      <c r="K5839" s="6" t="str">
        <f t="shared" si="460"/>
        <v/>
      </c>
      <c r="L5839" s="7" t="str">
        <f t="shared" si="461"/>
        <v/>
      </c>
      <c r="M5839" s="7" t="str">
        <f t="shared" si="458"/>
        <v/>
      </c>
      <c r="N5839" s="7" t="str">
        <f t="shared" si="462"/>
        <v/>
      </c>
      <c r="O5839" s="8"/>
      <c r="P5839" s="26"/>
      <c r="S5839" s="10" t="str">
        <f t="shared" si="459"/>
        <v/>
      </c>
    </row>
    <row r="5840" spans="5:19" x14ac:dyDescent="0.3">
      <c r="E5840" s="9" t="str">
        <f>IF(DADOS!C5840="","",DADOS!C5840)</f>
        <v/>
      </c>
      <c r="F5840" s="9" t="str">
        <f>IF(DADOS!E5840="","",DADOS!E5840)</f>
        <v/>
      </c>
      <c r="G5840" s="9" t="str">
        <f>IF(DADOS!F5840="","",DADOS!F5840)</f>
        <v/>
      </c>
      <c r="K5840" s="6" t="str">
        <f t="shared" si="460"/>
        <v/>
      </c>
      <c r="L5840" s="7" t="str">
        <f t="shared" si="461"/>
        <v/>
      </c>
      <c r="M5840" s="7" t="str">
        <f t="shared" si="458"/>
        <v/>
      </c>
      <c r="N5840" s="7" t="str">
        <f t="shared" si="462"/>
        <v/>
      </c>
      <c r="O5840" s="8"/>
      <c r="P5840" s="26"/>
      <c r="S5840" s="10" t="str">
        <f t="shared" si="459"/>
        <v/>
      </c>
    </row>
    <row r="5841" spans="5:19" x14ac:dyDescent="0.3">
      <c r="E5841" s="9" t="str">
        <f>IF(DADOS!C5841="","",DADOS!C5841)</f>
        <v/>
      </c>
      <c r="F5841" s="9" t="str">
        <f>IF(DADOS!E5841="","",DADOS!E5841)</f>
        <v/>
      </c>
      <c r="G5841" s="9" t="str">
        <f>IF(DADOS!F5841="","",DADOS!F5841)</f>
        <v/>
      </c>
      <c r="K5841" s="6" t="str">
        <f t="shared" si="460"/>
        <v/>
      </c>
      <c r="L5841" s="7" t="str">
        <f t="shared" si="461"/>
        <v/>
      </c>
      <c r="M5841" s="7" t="str">
        <f t="shared" si="458"/>
        <v/>
      </c>
      <c r="N5841" s="7" t="str">
        <f t="shared" si="462"/>
        <v/>
      </c>
      <c r="O5841" s="8"/>
      <c r="P5841" s="26"/>
      <c r="S5841" s="10" t="str">
        <f t="shared" si="459"/>
        <v/>
      </c>
    </row>
    <row r="5842" spans="5:19" x14ac:dyDescent="0.3">
      <c r="E5842" s="9" t="str">
        <f>IF(DADOS!C5842="","",DADOS!C5842)</f>
        <v/>
      </c>
      <c r="F5842" s="9" t="str">
        <f>IF(DADOS!E5842="","",DADOS!E5842)</f>
        <v/>
      </c>
      <c r="G5842" s="9" t="str">
        <f>IF(DADOS!F5842="","",DADOS!F5842)</f>
        <v/>
      </c>
      <c r="K5842" s="6" t="str">
        <f t="shared" si="460"/>
        <v/>
      </c>
      <c r="L5842" s="7" t="str">
        <f t="shared" si="461"/>
        <v/>
      </c>
      <c r="M5842" s="7" t="str">
        <f t="shared" si="458"/>
        <v/>
      </c>
      <c r="N5842" s="7" t="str">
        <f t="shared" si="462"/>
        <v/>
      </c>
      <c r="O5842" s="8"/>
      <c r="P5842" s="26"/>
      <c r="S5842" s="10" t="str">
        <f t="shared" si="459"/>
        <v/>
      </c>
    </row>
    <row r="5843" spans="5:19" x14ac:dyDescent="0.3">
      <c r="E5843" s="9" t="str">
        <f>IF(DADOS!C5843="","",DADOS!C5843)</f>
        <v/>
      </c>
      <c r="F5843" s="9" t="str">
        <f>IF(DADOS!E5843="","",DADOS!E5843)</f>
        <v/>
      </c>
      <c r="G5843" s="9" t="str">
        <f>IF(DADOS!F5843="","",DADOS!F5843)</f>
        <v/>
      </c>
      <c r="K5843" s="6" t="str">
        <f t="shared" si="460"/>
        <v/>
      </c>
      <c r="L5843" s="7" t="str">
        <f t="shared" si="461"/>
        <v/>
      </c>
      <c r="M5843" s="7" t="str">
        <f t="shared" si="458"/>
        <v/>
      </c>
      <c r="N5843" s="7" t="str">
        <f t="shared" si="462"/>
        <v/>
      </c>
      <c r="O5843" s="8"/>
      <c r="P5843" s="26"/>
      <c r="S5843" s="10" t="str">
        <f t="shared" si="459"/>
        <v/>
      </c>
    </row>
    <row r="5844" spans="5:19" x14ac:dyDescent="0.3">
      <c r="E5844" s="9" t="str">
        <f>IF(DADOS!C5844="","",DADOS!C5844)</f>
        <v/>
      </c>
      <c r="F5844" s="9" t="str">
        <f>IF(DADOS!E5844="","",DADOS!E5844)</f>
        <v/>
      </c>
      <c r="G5844" s="9" t="str">
        <f>IF(DADOS!F5844="","",DADOS!F5844)</f>
        <v/>
      </c>
      <c r="K5844" s="6" t="str">
        <f t="shared" si="460"/>
        <v/>
      </c>
      <c r="L5844" s="7" t="str">
        <f t="shared" si="461"/>
        <v/>
      </c>
      <c r="M5844" s="7" t="str">
        <f t="shared" si="458"/>
        <v/>
      </c>
      <c r="N5844" s="7" t="str">
        <f t="shared" si="462"/>
        <v/>
      </c>
      <c r="O5844" s="8"/>
      <c r="P5844" s="26"/>
      <c r="S5844" s="10" t="str">
        <f t="shared" si="459"/>
        <v/>
      </c>
    </row>
    <row r="5845" spans="5:19" x14ac:dyDescent="0.3">
      <c r="E5845" s="9" t="str">
        <f>IF(DADOS!C5845="","",DADOS!C5845)</f>
        <v/>
      </c>
      <c r="F5845" s="9" t="str">
        <f>IF(DADOS!E5845="","",DADOS!E5845)</f>
        <v/>
      </c>
      <c r="G5845" s="9" t="str">
        <f>IF(DADOS!F5845="","",DADOS!F5845)</f>
        <v/>
      </c>
      <c r="K5845" s="6" t="str">
        <f t="shared" si="460"/>
        <v/>
      </c>
      <c r="L5845" s="7" t="str">
        <f t="shared" si="461"/>
        <v/>
      </c>
      <c r="M5845" s="7" t="str">
        <f t="shared" si="458"/>
        <v/>
      </c>
      <c r="N5845" s="7" t="str">
        <f t="shared" si="462"/>
        <v/>
      </c>
      <c r="O5845" s="8"/>
      <c r="P5845" s="26"/>
      <c r="S5845" s="10" t="str">
        <f t="shared" si="459"/>
        <v/>
      </c>
    </row>
    <row r="5846" spans="5:19" x14ac:dyDescent="0.3">
      <c r="E5846" s="9" t="str">
        <f>IF(DADOS!C5846="","",DADOS!C5846)</f>
        <v/>
      </c>
      <c r="F5846" s="9" t="str">
        <f>IF(DADOS!E5846="","",DADOS!E5846)</f>
        <v/>
      </c>
      <c r="G5846" s="9" t="str">
        <f>IF(DADOS!F5846="","",DADOS!F5846)</f>
        <v/>
      </c>
      <c r="K5846" s="6" t="str">
        <f t="shared" si="460"/>
        <v/>
      </c>
      <c r="L5846" s="7" t="str">
        <f t="shared" si="461"/>
        <v/>
      </c>
      <c r="M5846" s="7" t="str">
        <f t="shared" si="458"/>
        <v/>
      </c>
      <c r="N5846" s="7" t="str">
        <f t="shared" si="462"/>
        <v/>
      </c>
      <c r="O5846" s="8"/>
      <c r="P5846" s="26"/>
      <c r="S5846" s="10" t="str">
        <f t="shared" si="459"/>
        <v/>
      </c>
    </row>
    <row r="5847" spans="5:19" x14ac:dyDescent="0.3">
      <c r="E5847" s="9" t="str">
        <f>IF(DADOS!C5847="","",DADOS!C5847)</f>
        <v/>
      </c>
      <c r="F5847" s="9" t="str">
        <f>IF(DADOS!E5847="","",DADOS!E5847)</f>
        <v/>
      </c>
      <c r="G5847" s="9" t="str">
        <f>IF(DADOS!F5847="","",DADOS!F5847)</f>
        <v/>
      </c>
      <c r="K5847" s="6" t="str">
        <f t="shared" si="460"/>
        <v/>
      </c>
      <c r="L5847" s="7" t="str">
        <f t="shared" si="461"/>
        <v/>
      </c>
      <c r="M5847" s="7" t="str">
        <f t="shared" si="458"/>
        <v/>
      </c>
      <c r="N5847" s="7" t="str">
        <f t="shared" si="462"/>
        <v/>
      </c>
      <c r="O5847" s="8"/>
      <c r="P5847" s="26"/>
      <c r="S5847" s="10" t="str">
        <f t="shared" si="459"/>
        <v/>
      </c>
    </row>
    <row r="5848" spans="5:19" x14ac:dyDescent="0.3">
      <c r="E5848" s="9" t="str">
        <f>IF(DADOS!C5848="","",DADOS!C5848)</f>
        <v/>
      </c>
      <c r="F5848" s="9" t="str">
        <f>IF(DADOS!E5848="","",DADOS!E5848)</f>
        <v/>
      </c>
      <c r="G5848" s="9" t="str">
        <f>IF(DADOS!F5848="","",DADOS!F5848)</f>
        <v/>
      </c>
      <c r="K5848" s="6" t="str">
        <f t="shared" si="460"/>
        <v/>
      </c>
      <c r="L5848" s="7" t="str">
        <f t="shared" si="461"/>
        <v/>
      </c>
      <c r="M5848" s="7" t="str">
        <f t="shared" si="458"/>
        <v/>
      </c>
      <c r="N5848" s="7" t="str">
        <f t="shared" si="462"/>
        <v/>
      </c>
      <c r="O5848" s="8"/>
      <c r="P5848" s="26"/>
      <c r="S5848" s="10" t="str">
        <f t="shared" si="459"/>
        <v/>
      </c>
    </row>
    <row r="5849" spans="5:19" x14ac:dyDescent="0.3">
      <c r="E5849" s="9" t="str">
        <f>IF(DADOS!C5849="","",DADOS!C5849)</f>
        <v/>
      </c>
      <c r="F5849" s="9" t="str">
        <f>IF(DADOS!E5849="","",DADOS!E5849)</f>
        <v/>
      </c>
      <c r="G5849" s="9" t="str">
        <f>IF(DADOS!F5849="","",DADOS!F5849)</f>
        <v/>
      </c>
      <c r="K5849" s="6" t="str">
        <f t="shared" si="460"/>
        <v/>
      </c>
      <c r="L5849" s="7" t="str">
        <f t="shared" si="461"/>
        <v/>
      </c>
      <c r="M5849" s="7" t="str">
        <f t="shared" si="458"/>
        <v/>
      </c>
      <c r="N5849" s="7" t="str">
        <f t="shared" si="462"/>
        <v/>
      </c>
      <c r="O5849" s="8"/>
      <c r="P5849" s="26"/>
      <c r="S5849" s="10" t="str">
        <f t="shared" si="459"/>
        <v/>
      </c>
    </row>
    <row r="5850" spans="5:19" x14ac:dyDescent="0.3">
      <c r="E5850" s="9" t="str">
        <f>IF(DADOS!C5850="","",DADOS!C5850)</f>
        <v/>
      </c>
      <c r="F5850" s="9" t="str">
        <f>IF(DADOS!E5850="","",DADOS!E5850)</f>
        <v/>
      </c>
      <c r="G5850" s="9" t="str">
        <f>IF(DADOS!F5850="","",DADOS!F5850)</f>
        <v/>
      </c>
      <c r="K5850" s="6" t="str">
        <f t="shared" si="460"/>
        <v/>
      </c>
      <c r="L5850" s="7" t="str">
        <f t="shared" si="461"/>
        <v/>
      </c>
      <c r="M5850" s="7" t="str">
        <f t="shared" si="458"/>
        <v/>
      </c>
      <c r="N5850" s="7" t="str">
        <f t="shared" si="462"/>
        <v/>
      </c>
      <c r="O5850" s="8"/>
      <c r="P5850" s="26"/>
      <c r="S5850" s="10" t="str">
        <f t="shared" si="459"/>
        <v/>
      </c>
    </row>
    <row r="5851" spans="5:19" x14ac:dyDescent="0.3">
      <c r="E5851" s="9" t="str">
        <f>IF(DADOS!C5851="","",DADOS!C5851)</f>
        <v/>
      </c>
      <c r="F5851" s="9" t="str">
        <f>IF(DADOS!E5851="","",DADOS!E5851)</f>
        <v/>
      </c>
      <c r="G5851" s="9" t="str">
        <f>IF(DADOS!F5851="","",DADOS!F5851)</f>
        <v/>
      </c>
      <c r="K5851" s="6" t="str">
        <f t="shared" si="460"/>
        <v/>
      </c>
      <c r="L5851" s="7" t="str">
        <f t="shared" si="461"/>
        <v/>
      </c>
      <c r="M5851" s="7" t="str">
        <f t="shared" si="458"/>
        <v/>
      </c>
      <c r="N5851" s="7" t="str">
        <f t="shared" si="462"/>
        <v/>
      </c>
      <c r="O5851" s="8"/>
      <c r="P5851" s="26"/>
      <c r="S5851" s="10" t="str">
        <f t="shared" si="459"/>
        <v/>
      </c>
    </row>
    <row r="5852" spans="5:19" x14ac:dyDescent="0.3">
      <c r="E5852" s="9" t="str">
        <f>IF(DADOS!C5852="","",DADOS!C5852)</f>
        <v/>
      </c>
      <c r="F5852" s="9" t="str">
        <f>IF(DADOS!E5852="","",DADOS!E5852)</f>
        <v/>
      </c>
      <c r="G5852" s="9" t="str">
        <f>IF(DADOS!F5852="","",DADOS!F5852)</f>
        <v/>
      </c>
      <c r="K5852" s="6" t="str">
        <f t="shared" si="460"/>
        <v/>
      </c>
      <c r="L5852" s="7" t="str">
        <f t="shared" si="461"/>
        <v/>
      </c>
      <c r="M5852" s="7" t="str">
        <f t="shared" si="458"/>
        <v/>
      </c>
      <c r="N5852" s="7" t="str">
        <f t="shared" si="462"/>
        <v/>
      </c>
      <c r="O5852" s="8"/>
      <c r="P5852" s="26"/>
      <c r="S5852" s="10" t="str">
        <f t="shared" si="459"/>
        <v/>
      </c>
    </row>
    <row r="5853" spans="5:19" x14ac:dyDescent="0.3">
      <c r="E5853" s="9" t="str">
        <f>IF(DADOS!C5853="","",DADOS!C5853)</f>
        <v/>
      </c>
      <c r="F5853" s="9" t="str">
        <f>IF(DADOS!E5853="","",DADOS!E5853)</f>
        <v/>
      </c>
      <c r="G5853" s="9" t="str">
        <f>IF(DADOS!F5853="","",DADOS!F5853)</f>
        <v/>
      </c>
      <c r="K5853" s="6" t="str">
        <f t="shared" si="460"/>
        <v/>
      </c>
      <c r="L5853" s="7" t="str">
        <f t="shared" si="461"/>
        <v/>
      </c>
      <c r="M5853" s="7" t="str">
        <f t="shared" si="458"/>
        <v/>
      </c>
      <c r="N5853" s="7" t="str">
        <f t="shared" si="462"/>
        <v/>
      </c>
      <c r="O5853" s="8"/>
      <c r="P5853" s="26"/>
      <c r="S5853" s="10" t="str">
        <f t="shared" si="459"/>
        <v/>
      </c>
    </row>
    <row r="5854" spans="5:19" x14ac:dyDescent="0.3">
      <c r="E5854" s="9" t="str">
        <f>IF(DADOS!C5854="","",DADOS!C5854)</f>
        <v/>
      </c>
      <c r="F5854" s="9" t="str">
        <f>IF(DADOS!E5854="","",DADOS!E5854)</f>
        <v/>
      </c>
      <c r="G5854" s="9" t="str">
        <f>IF(DADOS!F5854="","",DADOS!F5854)</f>
        <v/>
      </c>
      <c r="K5854" s="6" t="str">
        <f t="shared" si="460"/>
        <v/>
      </c>
      <c r="L5854" s="7" t="str">
        <f t="shared" si="461"/>
        <v/>
      </c>
      <c r="M5854" s="7" t="str">
        <f t="shared" si="458"/>
        <v/>
      </c>
      <c r="N5854" s="7" t="str">
        <f t="shared" si="462"/>
        <v/>
      </c>
      <c r="O5854" s="8"/>
      <c r="P5854" s="26"/>
      <c r="S5854" s="10" t="str">
        <f t="shared" si="459"/>
        <v/>
      </c>
    </row>
    <row r="5855" spans="5:19" x14ac:dyDescent="0.3">
      <c r="E5855" s="9" t="str">
        <f>IF(DADOS!C5855="","",DADOS!C5855)</f>
        <v/>
      </c>
      <c r="F5855" s="9" t="str">
        <f>IF(DADOS!E5855="","",DADOS!E5855)</f>
        <v/>
      </c>
      <c r="G5855" s="9" t="str">
        <f>IF(DADOS!F5855="","",DADOS!F5855)</f>
        <v/>
      </c>
      <c r="K5855" s="6" t="str">
        <f t="shared" si="460"/>
        <v/>
      </c>
      <c r="L5855" s="7" t="str">
        <f t="shared" si="461"/>
        <v/>
      </c>
      <c r="M5855" s="7" t="str">
        <f t="shared" si="458"/>
        <v/>
      </c>
      <c r="N5855" s="7" t="str">
        <f t="shared" si="462"/>
        <v/>
      </c>
      <c r="O5855" s="8"/>
      <c r="P5855" s="26"/>
      <c r="S5855" s="10" t="str">
        <f t="shared" si="459"/>
        <v/>
      </c>
    </row>
    <row r="5856" spans="5:19" x14ac:dyDescent="0.3">
      <c r="E5856" s="9" t="str">
        <f>IF(DADOS!C5856="","",DADOS!C5856)</f>
        <v/>
      </c>
      <c r="F5856" s="9" t="str">
        <f>IF(DADOS!E5856="","",DADOS!E5856)</f>
        <v/>
      </c>
      <c r="G5856" s="9" t="str">
        <f>IF(DADOS!F5856="","",DADOS!F5856)</f>
        <v/>
      </c>
      <c r="K5856" s="6" t="str">
        <f t="shared" si="460"/>
        <v/>
      </c>
      <c r="L5856" s="7" t="str">
        <f t="shared" si="461"/>
        <v/>
      </c>
      <c r="M5856" s="7" t="str">
        <f t="shared" si="458"/>
        <v/>
      </c>
      <c r="N5856" s="7" t="str">
        <f t="shared" si="462"/>
        <v/>
      </c>
      <c r="O5856" s="8"/>
      <c r="P5856" s="26"/>
      <c r="S5856" s="10" t="str">
        <f t="shared" si="459"/>
        <v/>
      </c>
    </row>
    <row r="5857" spans="5:19" x14ac:dyDescent="0.3">
      <c r="E5857" s="9" t="str">
        <f>IF(DADOS!C5857="","",DADOS!C5857)</f>
        <v/>
      </c>
      <c r="F5857" s="9" t="str">
        <f>IF(DADOS!E5857="","",DADOS!E5857)</f>
        <v/>
      </c>
      <c r="G5857" s="9" t="str">
        <f>IF(DADOS!F5857="","",DADOS!F5857)</f>
        <v/>
      </c>
      <c r="K5857" s="6" t="str">
        <f t="shared" si="460"/>
        <v/>
      </c>
      <c r="L5857" s="7" t="str">
        <f t="shared" si="461"/>
        <v/>
      </c>
      <c r="M5857" s="7" t="str">
        <f t="shared" si="458"/>
        <v/>
      </c>
      <c r="N5857" s="7" t="str">
        <f t="shared" si="462"/>
        <v/>
      </c>
      <c r="O5857" s="8"/>
      <c r="P5857" s="26"/>
      <c r="S5857" s="10" t="str">
        <f t="shared" si="459"/>
        <v/>
      </c>
    </row>
    <row r="5858" spans="5:19" x14ac:dyDescent="0.3">
      <c r="E5858" s="9" t="str">
        <f>IF(DADOS!C5858="","",DADOS!C5858)</f>
        <v/>
      </c>
      <c r="F5858" s="9" t="str">
        <f>IF(DADOS!E5858="","",DADOS!E5858)</f>
        <v/>
      </c>
      <c r="G5858" s="9" t="str">
        <f>IF(DADOS!F5858="","",DADOS!F5858)</f>
        <v/>
      </c>
      <c r="K5858" s="6" t="str">
        <f t="shared" si="460"/>
        <v/>
      </c>
      <c r="L5858" s="7" t="str">
        <f t="shared" si="461"/>
        <v/>
      </c>
      <c r="M5858" s="7" t="str">
        <f t="shared" si="458"/>
        <v/>
      </c>
      <c r="N5858" s="7" t="str">
        <f t="shared" si="462"/>
        <v/>
      </c>
      <c r="O5858" s="8"/>
      <c r="P5858" s="26"/>
      <c r="S5858" s="10" t="str">
        <f t="shared" si="459"/>
        <v/>
      </c>
    </row>
    <row r="5859" spans="5:19" x14ac:dyDescent="0.3">
      <c r="E5859" s="9" t="str">
        <f>IF(DADOS!C5859="","",DADOS!C5859)</f>
        <v/>
      </c>
      <c r="F5859" s="9" t="str">
        <f>IF(DADOS!E5859="","",DADOS!E5859)</f>
        <v/>
      </c>
      <c r="G5859" s="9" t="str">
        <f>IF(DADOS!F5859="","",DADOS!F5859)</f>
        <v/>
      </c>
      <c r="K5859" s="6" t="str">
        <f t="shared" si="460"/>
        <v/>
      </c>
      <c r="L5859" s="7" t="str">
        <f t="shared" si="461"/>
        <v/>
      </c>
      <c r="M5859" s="7" t="str">
        <f t="shared" si="458"/>
        <v/>
      </c>
      <c r="N5859" s="7" t="str">
        <f t="shared" si="462"/>
        <v/>
      </c>
      <c r="O5859" s="8"/>
      <c r="P5859" s="26"/>
      <c r="S5859" s="10" t="str">
        <f t="shared" si="459"/>
        <v/>
      </c>
    </row>
    <row r="5860" spans="5:19" x14ac:dyDescent="0.3">
      <c r="E5860" s="9" t="str">
        <f>IF(DADOS!C5860="","",DADOS!C5860)</f>
        <v/>
      </c>
      <c r="F5860" s="9" t="str">
        <f>IF(DADOS!E5860="","",DADOS!E5860)</f>
        <v/>
      </c>
      <c r="G5860" s="9" t="str">
        <f>IF(DADOS!F5860="","",DADOS!F5860)</f>
        <v/>
      </c>
      <c r="K5860" s="6" t="str">
        <f t="shared" si="460"/>
        <v/>
      </c>
      <c r="L5860" s="7" t="str">
        <f t="shared" si="461"/>
        <v/>
      </c>
      <c r="M5860" s="7" t="str">
        <f t="shared" si="458"/>
        <v/>
      </c>
      <c r="N5860" s="7" t="str">
        <f t="shared" si="462"/>
        <v/>
      </c>
      <c r="O5860" s="8"/>
      <c r="P5860" s="26"/>
      <c r="S5860" s="10" t="str">
        <f t="shared" si="459"/>
        <v/>
      </c>
    </row>
    <row r="5861" spans="5:19" x14ac:dyDescent="0.3">
      <c r="E5861" s="9" t="str">
        <f>IF(DADOS!C5861="","",DADOS!C5861)</f>
        <v/>
      </c>
      <c r="F5861" s="9" t="str">
        <f>IF(DADOS!E5861="","",DADOS!E5861)</f>
        <v/>
      </c>
      <c r="G5861" s="9" t="str">
        <f>IF(DADOS!F5861="","",DADOS!F5861)</f>
        <v/>
      </c>
      <c r="K5861" s="6" t="str">
        <f t="shared" si="460"/>
        <v/>
      </c>
      <c r="L5861" s="7" t="str">
        <f t="shared" si="461"/>
        <v/>
      </c>
      <c r="M5861" s="7" t="str">
        <f t="shared" si="458"/>
        <v/>
      </c>
      <c r="N5861" s="7" t="str">
        <f t="shared" si="462"/>
        <v/>
      </c>
      <c r="O5861" s="8"/>
      <c r="P5861" s="26"/>
      <c r="S5861" s="10" t="str">
        <f t="shared" si="459"/>
        <v/>
      </c>
    </row>
    <row r="5862" spans="5:19" x14ac:dyDescent="0.3">
      <c r="E5862" s="9" t="str">
        <f>IF(DADOS!C5862="","",DADOS!C5862)</f>
        <v/>
      </c>
      <c r="F5862" s="9" t="str">
        <f>IF(DADOS!E5862="","",DADOS!E5862)</f>
        <v/>
      </c>
      <c r="G5862" s="9" t="str">
        <f>IF(DADOS!F5862="","",DADOS!F5862)</f>
        <v/>
      </c>
      <c r="K5862" s="6" t="str">
        <f t="shared" si="460"/>
        <v/>
      </c>
      <c r="L5862" s="7" t="str">
        <f t="shared" si="461"/>
        <v/>
      </c>
      <c r="M5862" s="7" t="str">
        <f t="shared" si="458"/>
        <v/>
      </c>
      <c r="N5862" s="7" t="str">
        <f t="shared" si="462"/>
        <v/>
      </c>
      <c r="O5862" s="8"/>
      <c r="P5862" s="26"/>
      <c r="S5862" s="10" t="str">
        <f t="shared" si="459"/>
        <v/>
      </c>
    </row>
    <row r="5863" spans="5:19" x14ac:dyDescent="0.3">
      <c r="E5863" s="9" t="str">
        <f>IF(DADOS!C5863="","",DADOS!C5863)</f>
        <v/>
      </c>
      <c r="F5863" s="9" t="str">
        <f>IF(DADOS!E5863="","",DADOS!E5863)</f>
        <v/>
      </c>
      <c r="G5863" s="9" t="str">
        <f>IF(DADOS!F5863="","",DADOS!F5863)</f>
        <v/>
      </c>
      <c r="K5863" s="6" t="str">
        <f t="shared" si="460"/>
        <v/>
      </c>
      <c r="L5863" s="7" t="str">
        <f t="shared" si="461"/>
        <v/>
      </c>
      <c r="M5863" s="7" t="str">
        <f t="shared" si="458"/>
        <v/>
      </c>
      <c r="N5863" s="7" t="str">
        <f t="shared" si="462"/>
        <v/>
      </c>
      <c r="O5863" s="8"/>
      <c r="P5863" s="26"/>
      <c r="S5863" s="10" t="str">
        <f t="shared" si="459"/>
        <v/>
      </c>
    </row>
    <row r="5864" spans="5:19" x14ac:dyDescent="0.3">
      <c r="E5864" s="9" t="str">
        <f>IF(DADOS!C5864="","",DADOS!C5864)</f>
        <v/>
      </c>
      <c r="F5864" s="9" t="str">
        <f>IF(DADOS!E5864="","",DADOS!E5864)</f>
        <v/>
      </c>
      <c r="G5864" s="9" t="str">
        <f>IF(DADOS!F5864="","",DADOS!F5864)</f>
        <v/>
      </c>
      <c r="K5864" s="6" t="str">
        <f t="shared" si="460"/>
        <v/>
      </c>
      <c r="L5864" s="7" t="str">
        <f t="shared" si="461"/>
        <v/>
      </c>
      <c r="M5864" s="7" t="str">
        <f t="shared" si="458"/>
        <v/>
      </c>
      <c r="N5864" s="7" t="str">
        <f t="shared" si="462"/>
        <v/>
      </c>
      <c r="O5864" s="8"/>
      <c r="P5864" s="26"/>
      <c r="S5864" s="10" t="str">
        <f t="shared" si="459"/>
        <v/>
      </c>
    </row>
    <row r="5865" spans="5:19" x14ac:dyDescent="0.3">
      <c r="E5865" s="9" t="str">
        <f>IF(DADOS!C5865="","",DADOS!C5865)</f>
        <v/>
      </c>
      <c r="F5865" s="9" t="str">
        <f>IF(DADOS!E5865="","",DADOS!E5865)</f>
        <v/>
      </c>
      <c r="G5865" s="9" t="str">
        <f>IF(DADOS!F5865="","",DADOS!F5865)</f>
        <v/>
      </c>
      <c r="K5865" s="6" t="str">
        <f t="shared" si="460"/>
        <v/>
      </c>
      <c r="L5865" s="7" t="str">
        <f t="shared" si="461"/>
        <v/>
      </c>
      <c r="M5865" s="7" t="str">
        <f t="shared" si="458"/>
        <v/>
      </c>
      <c r="N5865" s="7" t="str">
        <f t="shared" si="462"/>
        <v/>
      </c>
      <c r="O5865" s="8"/>
      <c r="P5865" s="26"/>
      <c r="S5865" s="10" t="str">
        <f t="shared" si="459"/>
        <v/>
      </c>
    </row>
    <row r="5866" spans="5:19" x14ac:dyDescent="0.3">
      <c r="E5866" s="9" t="str">
        <f>IF(DADOS!C5866="","",DADOS!C5866)</f>
        <v/>
      </c>
      <c r="F5866" s="9" t="str">
        <f>IF(DADOS!E5866="","",DADOS!E5866)</f>
        <v/>
      </c>
      <c r="G5866" s="9" t="str">
        <f>IF(DADOS!F5866="","",DADOS!F5866)</f>
        <v/>
      </c>
      <c r="K5866" s="6" t="str">
        <f t="shared" si="460"/>
        <v/>
      </c>
      <c r="L5866" s="7" t="str">
        <f t="shared" si="461"/>
        <v/>
      </c>
      <c r="M5866" s="7" t="str">
        <f t="shared" si="458"/>
        <v/>
      </c>
      <c r="N5866" s="7" t="str">
        <f t="shared" si="462"/>
        <v/>
      </c>
      <c r="O5866" s="8"/>
      <c r="P5866" s="26"/>
      <c r="S5866" s="10" t="str">
        <f t="shared" si="459"/>
        <v/>
      </c>
    </row>
    <row r="5867" spans="5:19" x14ac:dyDescent="0.3">
      <c r="E5867" s="9" t="str">
        <f>IF(DADOS!C5867="","",DADOS!C5867)</f>
        <v/>
      </c>
      <c r="F5867" s="9" t="str">
        <f>IF(DADOS!E5867="","",DADOS!E5867)</f>
        <v/>
      </c>
      <c r="G5867" s="9" t="str">
        <f>IF(DADOS!F5867="","",DADOS!F5867)</f>
        <v/>
      </c>
      <c r="K5867" s="6" t="str">
        <f t="shared" si="460"/>
        <v/>
      </c>
      <c r="L5867" s="7" t="str">
        <f t="shared" si="461"/>
        <v/>
      </c>
      <c r="M5867" s="7" t="str">
        <f t="shared" si="458"/>
        <v/>
      </c>
      <c r="N5867" s="7" t="str">
        <f t="shared" si="462"/>
        <v/>
      </c>
      <c r="O5867" s="8"/>
      <c r="P5867" s="26"/>
      <c r="S5867" s="10" t="str">
        <f t="shared" si="459"/>
        <v/>
      </c>
    </row>
    <row r="5868" spans="5:19" x14ac:dyDescent="0.3">
      <c r="E5868" s="9" t="str">
        <f>IF(DADOS!C5868="","",DADOS!C5868)</f>
        <v/>
      </c>
      <c r="F5868" s="9" t="str">
        <f>IF(DADOS!E5868="","",DADOS!E5868)</f>
        <v/>
      </c>
      <c r="G5868" s="9" t="str">
        <f>IF(DADOS!F5868="","",DADOS!F5868)</f>
        <v/>
      </c>
      <c r="K5868" s="6" t="str">
        <f t="shared" si="460"/>
        <v/>
      </c>
      <c r="L5868" s="7" t="str">
        <f t="shared" si="461"/>
        <v/>
      </c>
      <c r="M5868" s="7" t="str">
        <f t="shared" si="458"/>
        <v/>
      </c>
      <c r="N5868" s="7" t="str">
        <f t="shared" si="462"/>
        <v/>
      </c>
      <c r="O5868" s="8"/>
      <c r="P5868" s="26"/>
      <c r="S5868" s="10" t="str">
        <f t="shared" si="459"/>
        <v/>
      </c>
    </row>
    <row r="5869" spans="5:19" x14ac:dyDescent="0.3">
      <c r="E5869" s="9" t="str">
        <f>IF(DADOS!C5869="","",DADOS!C5869)</f>
        <v/>
      </c>
      <c r="F5869" s="9" t="str">
        <f>IF(DADOS!E5869="","",DADOS!E5869)</f>
        <v/>
      </c>
      <c r="G5869" s="9" t="str">
        <f>IF(DADOS!F5869="","",DADOS!F5869)</f>
        <v/>
      </c>
      <c r="K5869" s="6" t="str">
        <f t="shared" si="460"/>
        <v/>
      </c>
      <c r="L5869" s="7" t="str">
        <f t="shared" si="461"/>
        <v/>
      </c>
      <c r="M5869" s="7" t="str">
        <f t="shared" si="458"/>
        <v/>
      </c>
      <c r="N5869" s="7" t="str">
        <f t="shared" si="462"/>
        <v/>
      </c>
      <c r="O5869" s="8"/>
      <c r="P5869" s="26"/>
      <c r="S5869" s="10" t="str">
        <f t="shared" si="459"/>
        <v/>
      </c>
    </row>
    <row r="5870" spans="5:19" x14ac:dyDescent="0.3">
      <c r="E5870" s="9" t="str">
        <f>IF(DADOS!C5870="","",DADOS!C5870)</f>
        <v/>
      </c>
      <c r="F5870" s="9" t="str">
        <f>IF(DADOS!E5870="","",DADOS!E5870)</f>
        <v/>
      </c>
      <c r="G5870" s="9" t="str">
        <f>IF(DADOS!F5870="","",DADOS!F5870)</f>
        <v/>
      </c>
      <c r="K5870" s="6" t="str">
        <f t="shared" si="460"/>
        <v/>
      </c>
      <c r="L5870" s="7" t="str">
        <f t="shared" si="461"/>
        <v/>
      </c>
      <c r="M5870" s="7" t="str">
        <f t="shared" si="458"/>
        <v/>
      </c>
      <c r="N5870" s="7" t="str">
        <f t="shared" si="462"/>
        <v/>
      </c>
      <c r="O5870" s="8"/>
      <c r="P5870" s="26"/>
      <c r="S5870" s="10" t="str">
        <f t="shared" si="459"/>
        <v/>
      </c>
    </row>
    <row r="5871" spans="5:19" x14ac:dyDescent="0.3">
      <c r="E5871" s="9" t="str">
        <f>IF(DADOS!C5871="","",DADOS!C5871)</f>
        <v/>
      </c>
      <c r="F5871" s="9" t="str">
        <f>IF(DADOS!E5871="","",DADOS!E5871)</f>
        <v/>
      </c>
      <c r="G5871" s="9" t="str">
        <f>IF(DADOS!F5871="","",DADOS!F5871)</f>
        <v/>
      </c>
      <c r="K5871" s="6" t="str">
        <f t="shared" si="460"/>
        <v/>
      </c>
      <c r="L5871" s="7" t="str">
        <f t="shared" si="461"/>
        <v/>
      </c>
      <c r="M5871" s="7" t="str">
        <f t="shared" si="458"/>
        <v/>
      </c>
      <c r="N5871" s="7" t="str">
        <f t="shared" si="462"/>
        <v/>
      </c>
      <c r="O5871" s="8"/>
      <c r="P5871" s="26"/>
      <c r="S5871" s="10" t="str">
        <f t="shared" si="459"/>
        <v/>
      </c>
    </row>
    <row r="5872" spans="5:19" x14ac:dyDescent="0.3">
      <c r="E5872" s="9" t="str">
        <f>IF(DADOS!C5872="","",DADOS!C5872)</f>
        <v/>
      </c>
      <c r="F5872" s="9" t="str">
        <f>IF(DADOS!E5872="","",DADOS!E5872)</f>
        <v/>
      </c>
      <c r="G5872" s="9" t="str">
        <f>IF(DADOS!F5872="","",DADOS!F5872)</f>
        <v/>
      </c>
      <c r="K5872" s="6" t="str">
        <f t="shared" si="460"/>
        <v/>
      </c>
      <c r="L5872" s="7" t="str">
        <f t="shared" si="461"/>
        <v/>
      </c>
      <c r="M5872" s="7" t="str">
        <f t="shared" si="458"/>
        <v/>
      </c>
      <c r="N5872" s="7" t="str">
        <f t="shared" si="462"/>
        <v/>
      </c>
      <c r="O5872" s="8"/>
      <c r="P5872" s="26"/>
      <c r="S5872" s="10" t="str">
        <f t="shared" si="459"/>
        <v/>
      </c>
    </row>
    <row r="5873" spans="5:19" x14ac:dyDescent="0.3">
      <c r="E5873" s="9" t="str">
        <f>IF(DADOS!C5873="","",DADOS!C5873)</f>
        <v/>
      </c>
      <c r="F5873" s="9" t="str">
        <f>IF(DADOS!E5873="","",DADOS!E5873)</f>
        <v/>
      </c>
      <c r="G5873" s="9" t="str">
        <f>IF(DADOS!F5873="","",DADOS!F5873)</f>
        <v/>
      </c>
      <c r="K5873" s="6" t="str">
        <f t="shared" si="460"/>
        <v/>
      </c>
      <c r="L5873" s="7" t="str">
        <f t="shared" si="461"/>
        <v/>
      </c>
      <c r="M5873" s="7" t="str">
        <f t="shared" si="458"/>
        <v/>
      </c>
      <c r="N5873" s="7" t="str">
        <f t="shared" si="462"/>
        <v/>
      </c>
      <c r="O5873" s="8"/>
      <c r="P5873" s="26"/>
      <c r="S5873" s="10" t="str">
        <f t="shared" si="459"/>
        <v/>
      </c>
    </row>
    <row r="5874" spans="5:19" x14ac:dyDescent="0.3">
      <c r="E5874" s="9" t="str">
        <f>IF(DADOS!C5874="","",DADOS!C5874)</f>
        <v/>
      </c>
      <c r="F5874" s="9" t="str">
        <f>IF(DADOS!E5874="","",DADOS!E5874)</f>
        <v/>
      </c>
      <c r="G5874" s="9" t="str">
        <f>IF(DADOS!F5874="","",DADOS!F5874)</f>
        <v/>
      </c>
      <c r="K5874" s="6" t="str">
        <f t="shared" si="460"/>
        <v/>
      </c>
      <c r="L5874" s="7" t="str">
        <f t="shared" si="461"/>
        <v/>
      </c>
      <c r="M5874" s="7" t="str">
        <f t="shared" si="458"/>
        <v/>
      </c>
      <c r="N5874" s="7" t="str">
        <f t="shared" si="462"/>
        <v/>
      </c>
      <c r="O5874" s="8"/>
      <c r="P5874" s="26"/>
      <c r="S5874" s="10" t="str">
        <f t="shared" si="459"/>
        <v/>
      </c>
    </row>
    <row r="5875" spans="5:19" x14ac:dyDescent="0.3">
      <c r="E5875" s="9" t="str">
        <f>IF(DADOS!C5875="","",DADOS!C5875)</f>
        <v/>
      </c>
      <c r="F5875" s="9" t="str">
        <f>IF(DADOS!E5875="","",DADOS!E5875)</f>
        <v/>
      </c>
      <c r="G5875" s="9" t="str">
        <f>IF(DADOS!F5875="","",DADOS!F5875)</f>
        <v/>
      </c>
      <c r="K5875" s="6" t="str">
        <f t="shared" si="460"/>
        <v/>
      </c>
      <c r="L5875" s="7" t="str">
        <f t="shared" si="461"/>
        <v/>
      </c>
      <c r="M5875" s="7" t="str">
        <f t="shared" si="458"/>
        <v/>
      </c>
      <c r="N5875" s="7" t="str">
        <f t="shared" si="462"/>
        <v/>
      </c>
      <c r="O5875" s="8"/>
      <c r="P5875" s="26"/>
      <c r="S5875" s="10" t="str">
        <f t="shared" si="459"/>
        <v/>
      </c>
    </row>
    <row r="5876" spans="5:19" x14ac:dyDescent="0.3">
      <c r="E5876" s="9" t="str">
        <f>IF(DADOS!C5876="","",DADOS!C5876)</f>
        <v/>
      </c>
      <c r="F5876" s="9" t="str">
        <f>IF(DADOS!E5876="","",DADOS!E5876)</f>
        <v/>
      </c>
      <c r="G5876" s="9" t="str">
        <f>IF(DADOS!F5876="","",DADOS!F5876)</f>
        <v/>
      </c>
      <c r="K5876" s="6" t="str">
        <f t="shared" si="460"/>
        <v/>
      </c>
      <c r="L5876" s="7" t="str">
        <f t="shared" si="461"/>
        <v/>
      </c>
      <c r="M5876" s="7" t="str">
        <f t="shared" si="458"/>
        <v/>
      </c>
      <c r="N5876" s="7" t="str">
        <f t="shared" si="462"/>
        <v/>
      </c>
      <c r="O5876" s="8"/>
      <c r="P5876" s="26"/>
      <c r="S5876" s="10" t="str">
        <f t="shared" si="459"/>
        <v/>
      </c>
    </row>
    <row r="5877" spans="5:19" x14ac:dyDescent="0.3">
      <c r="E5877" s="9" t="str">
        <f>IF(DADOS!C5877="","",DADOS!C5877)</f>
        <v/>
      </c>
      <c r="F5877" s="9" t="str">
        <f>IF(DADOS!E5877="","",DADOS!E5877)</f>
        <v/>
      </c>
      <c r="G5877" s="9" t="str">
        <f>IF(DADOS!F5877="","",DADOS!F5877)</f>
        <v/>
      </c>
      <c r="K5877" s="6" t="str">
        <f t="shared" si="460"/>
        <v/>
      </c>
      <c r="L5877" s="7" t="str">
        <f t="shared" si="461"/>
        <v/>
      </c>
      <c r="M5877" s="7" t="str">
        <f t="shared" si="458"/>
        <v/>
      </c>
      <c r="N5877" s="7" t="str">
        <f t="shared" si="462"/>
        <v/>
      </c>
      <c r="O5877" s="8"/>
      <c r="P5877" s="26"/>
      <c r="S5877" s="10" t="str">
        <f t="shared" si="459"/>
        <v/>
      </c>
    </row>
    <row r="5878" spans="5:19" x14ac:dyDescent="0.3">
      <c r="E5878" s="9" t="str">
        <f>IF(DADOS!C5878="","",DADOS!C5878)</f>
        <v/>
      </c>
      <c r="F5878" s="9" t="str">
        <f>IF(DADOS!E5878="","",DADOS!E5878)</f>
        <v/>
      </c>
      <c r="G5878" s="9" t="str">
        <f>IF(DADOS!F5878="","",DADOS!F5878)</f>
        <v/>
      </c>
      <c r="K5878" s="6" t="str">
        <f t="shared" si="460"/>
        <v/>
      </c>
      <c r="L5878" s="7" t="str">
        <f t="shared" si="461"/>
        <v/>
      </c>
      <c r="M5878" s="7" t="str">
        <f t="shared" si="458"/>
        <v/>
      </c>
      <c r="N5878" s="7" t="str">
        <f t="shared" si="462"/>
        <v/>
      </c>
      <c r="O5878" s="8"/>
      <c r="P5878" s="26"/>
      <c r="S5878" s="10" t="str">
        <f t="shared" si="459"/>
        <v/>
      </c>
    </row>
    <row r="5879" spans="5:19" x14ac:dyDescent="0.3">
      <c r="E5879" s="9" t="str">
        <f>IF(DADOS!C5879="","",DADOS!C5879)</f>
        <v/>
      </c>
      <c r="F5879" s="9" t="str">
        <f>IF(DADOS!E5879="","",DADOS!E5879)</f>
        <v/>
      </c>
      <c r="G5879" s="9" t="str">
        <f>IF(DADOS!F5879="","",DADOS!F5879)</f>
        <v/>
      </c>
      <c r="K5879" s="6" t="str">
        <f t="shared" si="460"/>
        <v/>
      </c>
      <c r="L5879" s="7" t="str">
        <f t="shared" si="461"/>
        <v/>
      </c>
      <c r="M5879" s="7" t="str">
        <f t="shared" si="458"/>
        <v/>
      </c>
      <c r="N5879" s="7" t="str">
        <f t="shared" si="462"/>
        <v/>
      </c>
      <c r="O5879" s="8"/>
      <c r="P5879" s="26"/>
      <c r="S5879" s="10" t="str">
        <f t="shared" si="459"/>
        <v/>
      </c>
    </row>
    <row r="5880" spans="5:19" x14ac:dyDescent="0.3">
      <c r="E5880" s="9" t="str">
        <f>IF(DADOS!C5880="","",DADOS!C5880)</f>
        <v/>
      </c>
      <c r="F5880" s="9" t="str">
        <f>IF(DADOS!E5880="","",DADOS!E5880)</f>
        <v/>
      </c>
      <c r="G5880" s="9" t="str">
        <f>IF(DADOS!F5880="","",DADOS!F5880)</f>
        <v/>
      </c>
      <c r="K5880" s="6" t="str">
        <f t="shared" si="460"/>
        <v/>
      </c>
      <c r="L5880" s="7" t="str">
        <f t="shared" si="461"/>
        <v/>
      </c>
      <c r="M5880" s="7" t="str">
        <f t="shared" si="458"/>
        <v/>
      </c>
      <c r="N5880" s="7" t="str">
        <f t="shared" si="462"/>
        <v/>
      </c>
      <c r="O5880" s="8"/>
      <c r="P5880" s="26"/>
      <c r="S5880" s="10" t="str">
        <f t="shared" si="459"/>
        <v/>
      </c>
    </row>
    <row r="5881" spans="5:19" x14ac:dyDescent="0.3">
      <c r="E5881" s="9" t="str">
        <f>IF(DADOS!C5881="","",DADOS!C5881)</f>
        <v/>
      </c>
      <c r="F5881" s="9" t="str">
        <f>IF(DADOS!E5881="","",DADOS!E5881)</f>
        <v/>
      </c>
      <c r="G5881" s="9" t="str">
        <f>IF(DADOS!F5881="","",DADOS!F5881)</f>
        <v/>
      </c>
      <c r="K5881" s="6" t="str">
        <f t="shared" si="460"/>
        <v/>
      </c>
      <c r="L5881" s="7" t="str">
        <f t="shared" si="461"/>
        <v/>
      </c>
      <c r="M5881" s="7" t="str">
        <f t="shared" si="458"/>
        <v/>
      </c>
      <c r="N5881" s="7" t="str">
        <f t="shared" si="462"/>
        <v/>
      </c>
      <c r="O5881" s="8"/>
      <c r="P5881" s="26"/>
      <c r="S5881" s="10" t="str">
        <f t="shared" si="459"/>
        <v/>
      </c>
    </row>
    <row r="5882" spans="5:19" x14ac:dyDescent="0.3">
      <c r="E5882" s="9" t="str">
        <f>IF(DADOS!C5882="","",DADOS!C5882)</f>
        <v/>
      </c>
      <c r="F5882" s="9" t="str">
        <f>IF(DADOS!E5882="","",DADOS!E5882)</f>
        <v/>
      </c>
      <c r="G5882" s="9" t="str">
        <f>IF(DADOS!F5882="","",DADOS!F5882)</f>
        <v/>
      </c>
      <c r="K5882" s="6" t="str">
        <f t="shared" si="460"/>
        <v/>
      </c>
      <c r="L5882" s="7" t="str">
        <f t="shared" si="461"/>
        <v/>
      </c>
      <c r="M5882" s="7" t="str">
        <f t="shared" si="458"/>
        <v/>
      </c>
      <c r="N5882" s="7" t="str">
        <f t="shared" si="462"/>
        <v/>
      </c>
      <c r="O5882" s="8"/>
      <c r="P5882" s="26"/>
      <c r="S5882" s="10" t="str">
        <f t="shared" si="459"/>
        <v/>
      </c>
    </row>
    <row r="5883" spans="5:19" x14ac:dyDescent="0.3">
      <c r="E5883" s="9" t="str">
        <f>IF(DADOS!C5883="","",DADOS!C5883)</f>
        <v/>
      </c>
      <c r="F5883" s="9" t="str">
        <f>IF(DADOS!E5883="","",DADOS!E5883)</f>
        <v/>
      </c>
      <c r="G5883" s="9" t="str">
        <f>IF(DADOS!F5883="","",DADOS!F5883)</f>
        <v/>
      </c>
      <c r="K5883" s="6" t="str">
        <f t="shared" si="460"/>
        <v/>
      </c>
      <c r="L5883" s="7" t="str">
        <f t="shared" si="461"/>
        <v/>
      </c>
      <c r="M5883" s="7" t="str">
        <f t="shared" si="458"/>
        <v/>
      </c>
      <c r="N5883" s="7" t="str">
        <f t="shared" si="462"/>
        <v/>
      </c>
      <c r="O5883" s="8"/>
      <c r="P5883" s="26"/>
      <c r="S5883" s="10" t="str">
        <f t="shared" si="459"/>
        <v/>
      </c>
    </row>
    <row r="5884" spans="5:19" x14ac:dyDescent="0.3">
      <c r="E5884" s="9" t="str">
        <f>IF(DADOS!C5884="","",DADOS!C5884)</f>
        <v/>
      </c>
      <c r="F5884" s="9" t="str">
        <f>IF(DADOS!E5884="","",DADOS!E5884)</f>
        <v/>
      </c>
      <c r="G5884" s="9" t="str">
        <f>IF(DADOS!F5884="","",DADOS!F5884)</f>
        <v/>
      </c>
      <c r="K5884" s="6" t="str">
        <f t="shared" si="460"/>
        <v/>
      </c>
      <c r="L5884" s="7" t="str">
        <f t="shared" si="461"/>
        <v/>
      </c>
      <c r="M5884" s="7" t="str">
        <f t="shared" si="458"/>
        <v/>
      </c>
      <c r="N5884" s="7" t="str">
        <f t="shared" si="462"/>
        <v/>
      </c>
      <c r="O5884" s="8"/>
      <c r="P5884" s="26"/>
      <c r="S5884" s="10" t="str">
        <f t="shared" si="459"/>
        <v/>
      </c>
    </row>
    <row r="5885" spans="5:19" x14ac:dyDescent="0.3">
      <c r="E5885" s="9" t="str">
        <f>IF(DADOS!C5885="","",DADOS!C5885)</f>
        <v/>
      </c>
      <c r="F5885" s="9" t="str">
        <f>IF(DADOS!E5885="","",DADOS!E5885)</f>
        <v/>
      </c>
      <c r="G5885" s="9" t="str">
        <f>IF(DADOS!F5885="","",DADOS!F5885)</f>
        <v/>
      </c>
      <c r="K5885" s="6" t="str">
        <f t="shared" si="460"/>
        <v/>
      </c>
      <c r="L5885" s="7" t="str">
        <f t="shared" si="461"/>
        <v/>
      </c>
      <c r="M5885" s="7" t="str">
        <f t="shared" si="458"/>
        <v/>
      </c>
      <c r="N5885" s="7" t="str">
        <f t="shared" si="462"/>
        <v/>
      </c>
      <c r="O5885" s="8"/>
      <c r="P5885" s="26"/>
      <c r="S5885" s="10" t="str">
        <f t="shared" si="459"/>
        <v/>
      </c>
    </row>
    <row r="5886" spans="5:19" x14ac:dyDescent="0.3">
      <c r="E5886" s="9" t="str">
        <f>IF(DADOS!C5886="","",DADOS!C5886)</f>
        <v/>
      </c>
      <c r="F5886" s="9" t="str">
        <f>IF(DADOS!E5886="","",DADOS!E5886)</f>
        <v/>
      </c>
      <c r="G5886" s="9" t="str">
        <f>IF(DADOS!F5886="","",DADOS!F5886)</f>
        <v/>
      </c>
      <c r="K5886" s="6" t="str">
        <f t="shared" si="460"/>
        <v/>
      </c>
      <c r="L5886" s="7" t="str">
        <f t="shared" si="461"/>
        <v/>
      </c>
      <c r="M5886" s="7" t="str">
        <f t="shared" si="458"/>
        <v/>
      </c>
      <c r="N5886" s="7" t="str">
        <f t="shared" si="462"/>
        <v/>
      </c>
      <c r="O5886" s="8"/>
      <c r="P5886" s="26"/>
      <c r="S5886" s="10" t="str">
        <f t="shared" si="459"/>
        <v/>
      </c>
    </row>
    <row r="5887" spans="5:19" x14ac:dyDescent="0.3">
      <c r="E5887" s="9" t="str">
        <f>IF(DADOS!C5887="","",DADOS!C5887)</f>
        <v/>
      </c>
      <c r="F5887" s="9" t="str">
        <f>IF(DADOS!E5887="","",DADOS!E5887)</f>
        <v/>
      </c>
      <c r="G5887" s="9" t="str">
        <f>IF(DADOS!F5887="","",DADOS!F5887)</f>
        <v/>
      </c>
      <c r="K5887" s="6" t="str">
        <f t="shared" si="460"/>
        <v/>
      </c>
      <c r="L5887" s="7" t="str">
        <f t="shared" si="461"/>
        <v/>
      </c>
      <c r="M5887" s="7" t="str">
        <f t="shared" si="458"/>
        <v/>
      </c>
      <c r="N5887" s="7" t="str">
        <f t="shared" si="462"/>
        <v/>
      </c>
      <c r="O5887" s="8"/>
      <c r="P5887" s="26"/>
      <c r="S5887" s="10" t="str">
        <f t="shared" si="459"/>
        <v/>
      </c>
    </row>
    <row r="5888" spans="5:19" x14ac:dyDescent="0.3">
      <c r="E5888" s="9" t="str">
        <f>IF(DADOS!C5888="","",DADOS!C5888)</f>
        <v/>
      </c>
      <c r="F5888" s="9" t="str">
        <f>IF(DADOS!E5888="","",DADOS!E5888)</f>
        <v/>
      </c>
      <c r="G5888" s="9" t="str">
        <f>IF(DADOS!F5888="","",DADOS!F5888)</f>
        <v/>
      </c>
      <c r="K5888" s="6" t="str">
        <f t="shared" si="460"/>
        <v/>
      </c>
      <c r="L5888" s="7" t="str">
        <f t="shared" si="461"/>
        <v/>
      </c>
      <c r="M5888" s="7" t="str">
        <f t="shared" si="458"/>
        <v/>
      </c>
      <c r="N5888" s="7" t="str">
        <f t="shared" si="462"/>
        <v/>
      </c>
      <c r="O5888" s="8"/>
      <c r="P5888" s="26"/>
      <c r="S5888" s="10" t="str">
        <f t="shared" si="459"/>
        <v/>
      </c>
    </row>
    <row r="5889" spans="5:19" x14ac:dyDescent="0.3">
      <c r="E5889" s="9" t="str">
        <f>IF(DADOS!C5889="","",DADOS!C5889)</f>
        <v/>
      </c>
      <c r="F5889" s="9" t="str">
        <f>IF(DADOS!E5889="","",DADOS!E5889)</f>
        <v/>
      </c>
      <c r="G5889" s="9" t="str">
        <f>IF(DADOS!F5889="","",DADOS!F5889)</f>
        <v/>
      </c>
      <c r="K5889" s="6" t="str">
        <f t="shared" si="460"/>
        <v/>
      </c>
      <c r="L5889" s="7" t="str">
        <f t="shared" si="461"/>
        <v/>
      </c>
      <c r="M5889" s="7" t="str">
        <f t="shared" si="458"/>
        <v/>
      </c>
      <c r="N5889" s="7" t="str">
        <f t="shared" si="462"/>
        <v/>
      </c>
      <c r="O5889" s="8"/>
      <c r="P5889" s="26"/>
      <c r="S5889" s="10" t="str">
        <f t="shared" si="459"/>
        <v/>
      </c>
    </row>
    <row r="5890" spans="5:19" x14ac:dyDescent="0.3">
      <c r="E5890" s="9" t="str">
        <f>IF(DADOS!C5890="","",DADOS!C5890)</f>
        <v/>
      </c>
      <c r="F5890" s="9" t="str">
        <f>IF(DADOS!E5890="","",DADOS!E5890)</f>
        <v/>
      </c>
      <c r="G5890" s="9" t="str">
        <f>IF(DADOS!F5890="","",DADOS!F5890)</f>
        <v/>
      </c>
      <c r="K5890" s="6" t="str">
        <f t="shared" si="460"/>
        <v/>
      </c>
      <c r="L5890" s="7" t="str">
        <f t="shared" si="461"/>
        <v/>
      </c>
      <c r="M5890" s="7" t="str">
        <f t="shared" si="458"/>
        <v/>
      </c>
      <c r="N5890" s="7" t="str">
        <f t="shared" si="462"/>
        <v/>
      </c>
      <c r="O5890" s="8"/>
      <c r="P5890" s="26"/>
      <c r="S5890" s="10" t="str">
        <f t="shared" si="459"/>
        <v/>
      </c>
    </row>
    <row r="5891" spans="5:19" x14ac:dyDescent="0.3">
      <c r="E5891" s="9" t="str">
        <f>IF(DADOS!C5891="","",DADOS!C5891)</f>
        <v/>
      </c>
      <c r="F5891" s="9" t="str">
        <f>IF(DADOS!E5891="","",DADOS!E5891)</f>
        <v/>
      </c>
      <c r="G5891" s="9" t="str">
        <f>IF(DADOS!F5891="","",DADOS!F5891)</f>
        <v/>
      </c>
      <c r="K5891" s="6" t="str">
        <f t="shared" si="460"/>
        <v/>
      </c>
      <c r="L5891" s="7" t="str">
        <f t="shared" si="461"/>
        <v/>
      </c>
      <c r="M5891" s="7" t="str">
        <f t="shared" ref="M5891:M5954" si="463">IF(L5891="","",L5891*G5891)</f>
        <v/>
      </c>
      <c r="N5891" s="7" t="str">
        <f t="shared" si="462"/>
        <v/>
      </c>
      <c r="O5891" s="8"/>
      <c r="P5891" s="26"/>
      <c r="S5891" s="10" t="str">
        <f t="shared" ref="S5891:S5954" si="464">IF(R5891="","",SUMIFS($N$3:$N$10000,$E$3:$E$10000,R5891))</f>
        <v/>
      </c>
    </row>
    <row r="5892" spans="5:19" x14ac:dyDescent="0.3">
      <c r="E5892" s="9" t="str">
        <f>IF(DADOS!C5892="","",DADOS!C5892)</f>
        <v/>
      </c>
      <c r="F5892" s="9" t="str">
        <f>IF(DADOS!E5892="","",DADOS!E5892)</f>
        <v/>
      </c>
      <c r="G5892" s="9" t="str">
        <f>IF(DADOS!F5892="","",DADOS!F5892)</f>
        <v/>
      </c>
      <c r="K5892" s="6" t="str">
        <f t="shared" ref="K5892:K5955" si="465">IF(F5892="","",F5892/PI())</f>
        <v/>
      </c>
      <c r="L5892" s="7" t="str">
        <f t="shared" ref="L5892:L5955" si="466">IF(K5892="","",(PI()*K5892^2)/40000)</f>
        <v/>
      </c>
      <c r="M5892" s="7" t="str">
        <f t="shared" si="463"/>
        <v/>
      </c>
      <c r="N5892" s="7" t="str">
        <f t="shared" ref="N5892:N5955" si="467">IF(M5892="","",M5892*N$1)</f>
        <v/>
      </c>
      <c r="O5892" s="8"/>
      <c r="P5892" s="26"/>
      <c r="S5892" s="10" t="str">
        <f t="shared" si="464"/>
        <v/>
      </c>
    </row>
    <row r="5893" spans="5:19" x14ac:dyDescent="0.3">
      <c r="E5893" s="9" t="str">
        <f>IF(DADOS!C5893="","",DADOS!C5893)</f>
        <v/>
      </c>
      <c r="F5893" s="9" t="str">
        <f>IF(DADOS!E5893="","",DADOS!E5893)</f>
        <v/>
      </c>
      <c r="G5893" s="9" t="str">
        <f>IF(DADOS!F5893="","",DADOS!F5893)</f>
        <v/>
      </c>
      <c r="K5893" s="6" t="str">
        <f t="shared" si="465"/>
        <v/>
      </c>
      <c r="L5893" s="7" t="str">
        <f t="shared" si="466"/>
        <v/>
      </c>
      <c r="M5893" s="7" t="str">
        <f t="shared" si="463"/>
        <v/>
      </c>
      <c r="N5893" s="7" t="str">
        <f t="shared" si="467"/>
        <v/>
      </c>
      <c r="O5893" s="8"/>
      <c r="P5893" s="26"/>
      <c r="S5893" s="10" t="str">
        <f t="shared" si="464"/>
        <v/>
      </c>
    </row>
    <row r="5894" spans="5:19" x14ac:dyDescent="0.3">
      <c r="E5894" s="9" t="str">
        <f>IF(DADOS!C5894="","",DADOS!C5894)</f>
        <v/>
      </c>
      <c r="F5894" s="9" t="str">
        <f>IF(DADOS!E5894="","",DADOS!E5894)</f>
        <v/>
      </c>
      <c r="G5894" s="9" t="str">
        <f>IF(DADOS!F5894="","",DADOS!F5894)</f>
        <v/>
      </c>
      <c r="K5894" s="6" t="str">
        <f t="shared" si="465"/>
        <v/>
      </c>
      <c r="L5894" s="7" t="str">
        <f t="shared" si="466"/>
        <v/>
      </c>
      <c r="M5894" s="7" t="str">
        <f t="shared" si="463"/>
        <v/>
      </c>
      <c r="N5894" s="7" t="str">
        <f t="shared" si="467"/>
        <v/>
      </c>
      <c r="O5894" s="8"/>
      <c r="P5894" s="26"/>
      <c r="S5894" s="10" t="str">
        <f t="shared" si="464"/>
        <v/>
      </c>
    </row>
    <row r="5895" spans="5:19" x14ac:dyDescent="0.3">
      <c r="E5895" s="9" t="str">
        <f>IF(DADOS!C5895="","",DADOS!C5895)</f>
        <v/>
      </c>
      <c r="F5895" s="9" t="str">
        <f>IF(DADOS!E5895="","",DADOS!E5895)</f>
        <v/>
      </c>
      <c r="G5895" s="9" t="str">
        <f>IF(DADOS!F5895="","",DADOS!F5895)</f>
        <v/>
      </c>
      <c r="K5895" s="6" t="str">
        <f t="shared" si="465"/>
        <v/>
      </c>
      <c r="L5895" s="7" t="str">
        <f t="shared" si="466"/>
        <v/>
      </c>
      <c r="M5895" s="7" t="str">
        <f t="shared" si="463"/>
        <v/>
      </c>
      <c r="N5895" s="7" t="str">
        <f t="shared" si="467"/>
        <v/>
      </c>
      <c r="O5895" s="8"/>
      <c r="P5895" s="26"/>
      <c r="S5895" s="10" t="str">
        <f t="shared" si="464"/>
        <v/>
      </c>
    </row>
    <row r="5896" spans="5:19" x14ac:dyDescent="0.3">
      <c r="E5896" s="9" t="str">
        <f>IF(DADOS!C5896="","",DADOS!C5896)</f>
        <v/>
      </c>
      <c r="F5896" s="9" t="str">
        <f>IF(DADOS!E5896="","",DADOS!E5896)</f>
        <v/>
      </c>
      <c r="G5896" s="9" t="str">
        <f>IF(DADOS!F5896="","",DADOS!F5896)</f>
        <v/>
      </c>
      <c r="K5896" s="6" t="str">
        <f t="shared" si="465"/>
        <v/>
      </c>
      <c r="L5896" s="7" t="str">
        <f t="shared" si="466"/>
        <v/>
      </c>
      <c r="M5896" s="7" t="str">
        <f t="shared" si="463"/>
        <v/>
      </c>
      <c r="N5896" s="7" t="str">
        <f t="shared" si="467"/>
        <v/>
      </c>
      <c r="O5896" s="8"/>
      <c r="P5896" s="26"/>
      <c r="S5896" s="10" t="str">
        <f t="shared" si="464"/>
        <v/>
      </c>
    </row>
    <row r="5897" spans="5:19" x14ac:dyDescent="0.3">
      <c r="E5897" s="9" t="str">
        <f>IF(DADOS!C5897="","",DADOS!C5897)</f>
        <v/>
      </c>
      <c r="F5897" s="9" t="str">
        <f>IF(DADOS!E5897="","",DADOS!E5897)</f>
        <v/>
      </c>
      <c r="G5897" s="9" t="str">
        <f>IF(DADOS!F5897="","",DADOS!F5897)</f>
        <v/>
      </c>
      <c r="K5897" s="6" t="str">
        <f t="shared" si="465"/>
        <v/>
      </c>
      <c r="L5897" s="7" t="str">
        <f t="shared" si="466"/>
        <v/>
      </c>
      <c r="M5897" s="7" t="str">
        <f t="shared" si="463"/>
        <v/>
      </c>
      <c r="N5897" s="7" t="str">
        <f t="shared" si="467"/>
        <v/>
      </c>
      <c r="O5897" s="8"/>
      <c r="P5897" s="26"/>
      <c r="S5897" s="10" t="str">
        <f t="shared" si="464"/>
        <v/>
      </c>
    </row>
    <row r="5898" spans="5:19" x14ac:dyDescent="0.3">
      <c r="E5898" s="9" t="str">
        <f>IF(DADOS!C5898="","",DADOS!C5898)</f>
        <v/>
      </c>
      <c r="F5898" s="9" t="str">
        <f>IF(DADOS!E5898="","",DADOS!E5898)</f>
        <v/>
      </c>
      <c r="G5898" s="9" t="str">
        <f>IF(DADOS!F5898="","",DADOS!F5898)</f>
        <v/>
      </c>
      <c r="K5898" s="6" t="str">
        <f t="shared" si="465"/>
        <v/>
      </c>
      <c r="L5898" s="7" t="str">
        <f t="shared" si="466"/>
        <v/>
      </c>
      <c r="M5898" s="7" t="str">
        <f t="shared" si="463"/>
        <v/>
      </c>
      <c r="N5898" s="7" t="str">
        <f t="shared" si="467"/>
        <v/>
      </c>
      <c r="O5898" s="8"/>
      <c r="P5898" s="26"/>
      <c r="S5898" s="10" t="str">
        <f t="shared" si="464"/>
        <v/>
      </c>
    </row>
    <row r="5899" spans="5:19" x14ac:dyDescent="0.3">
      <c r="E5899" s="9" t="str">
        <f>IF(DADOS!C5899="","",DADOS!C5899)</f>
        <v/>
      </c>
      <c r="F5899" s="9" t="str">
        <f>IF(DADOS!E5899="","",DADOS!E5899)</f>
        <v/>
      </c>
      <c r="G5899" s="9" t="str">
        <f>IF(DADOS!F5899="","",DADOS!F5899)</f>
        <v/>
      </c>
      <c r="K5899" s="6" t="str">
        <f t="shared" si="465"/>
        <v/>
      </c>
      <c r="L5899" s="7" t="str">
        <f t="shared" si="466"/>
        <v/>
      </c>
      <c r="M5899" s="7" t="str">
        <f t="shared" si="463"/>
        <v/>
      </c>
      <c r="N5899" s="7" t="str">
        <f t="shared" si="467"/>
        <v/>
      </c>
      <c r="O5899" s="8"/>
      <c r="P5899" s="26"/>
      <c r="S5899" s="10" t="str">
        <f t="shared" si="464"/>
        <v/>
      </c>
    </row>
    <row r="5900" spans="5:19" x14ac:dyDescent="0.3">
      <c r="E5900" s="9" t="str">
        <f>IF(DADOS!C5900="","",DADOS!C5900)</f>
        <v/>
      </c>
      <c r="F5900" s="9" t="str">
        <f>IF(DADOS!E5900="","",DADOS!E5900)</f>
        <v/>
      </c>
      <c r="G5900" s="9" t="str">
        <f>IF(DADOS!F5900="","",DADOS!F5900)</f>
        <v/>
      </c>
      <c r="K5900" s="6" t="str">
        <f t="shared" si="465"/>
        <v/>
      </c>
      <c r="L5900" s="7" t="str">
        <f t="shared" si="466"/>
        <v/>
      </c>
      <c r="M5900" s="7" t="str">
        <f t="shared" si="463"/>
        <v/>
      </c>
      <c r="N5900" s="7" t="str">
        <f t="shared" si="467"/>
        <v/>
      </c>
      <c r="O5900" s="8"/>
      <c r="P5900" s="26"/>
      <c r="S5900" s="10" t="str">
        <f t="shared" si="464"/>
        <v/>
      </c>
    </row>
    <row r="5901" spans="5:19" x14ac:dyDescent="0.3">
      <c r="E5901" s="9" t="str">
        <f>IF(DADOS!C5901="","",DADOS!C5901)</f>
        <v/>
      </c>
      <c r="F5901" s="9" t="str">
        <f>IF(DADOS!E5901="","",DADOS!E5901)</f>
        <v/>
      </c>
      <c r="G5901" s="9" t="str">
        <f>IF(DADOS!F5901="","",DADOS!F5901)</f>
        <v/>
      </c>
      <c r="K5901" s="6" t="str">
        <f t="shared" si="465"/>
        <v/>
      </c>
      <c r="L5901" s="7" t="str">
        <f t="shared" si="466"/>
        <v/>
      </c>
      <c r="M5901" s="7" t="str">
        <f t="shared" si="463"/>
        <v/>
      </c>
      <c r="N5901" s="7" t="str">
        <f t="shared" si="467"/>
        <v/>
      </c>
      <c r="O5901" s="8"/>
      <c r="P5901" s="26"/>
      <c r="S5901" s="10" t="str">
        <f t="shared" si="464"/>
        <v/>
      </c>
    </row>
    <row r="5902" spans="5:19" x14ac:dyDescent="0.3">
      <c r="E5902" s="9" t="str">
        <f>IF(DADOS!C5902="","",DADOS!C5902)</f>
        <v/>
      </c>
      <c r="F5902" s="9" t="str">
        <f>IF(DADOS!E5902="","",DADOS!E5902)</f>
        <v/>
      </c>
      <c r="G5902" s="9" t="str">
        <f>IF(DADOS!F5902="","",DADOS!F5902)</f>
        <v/>
      </c>
      <c r="K5902" s="6" t="str">
        <f t="shared" si="465"/>
        <v/>
      </c>
      <c r="L5902" s="7" t="str">
        <f t="shared" si="466"/>
        <v/>
      </c>
      <c r="M5902" s="7" t="str">
        <f t="shared" si="463"/>
        <v/>
      </c>
      <c r="N5902" s="7" t="str">
        <f t="shared" si="467"/>
        <v/>
      </c>
      <c r="O5902" s="8"/>
      <c r="P5902" s="26"/>
      <c r="S5902" s="10" t="str">
        <f t="shared" si="464"/>
        <v/>
      </c>
    </row>
    <row r="5903" spans="5:19" x14ac:dyDescent="0.3">
      <c r="E5903" s="9" t="str">
        <f>IF(DADOS!C5903="","",DADOS!C5903)</f>
        <v/>
      </c>
      <c r="F5903" s="9" t="str">
        <f>IF(DADOS!E5903="","",DADOS!E5903)</f>
        <v/>
      </c>
      <c r="G5903" s="9" t="str">
        <f>IF(DADOS!F5903="","",DADOS!F5903)</f>
        <v/>
      </c>
      <c r="K5903" s="6" t="str">
        <f t="shared" si="465"/>
        <v/>
      </c>
      <c r="L5903" s="7" t="str">
        <f t="shared" si="466"/>
        <v/>
      </c>
      <c r="M5903" s="7" t="str">
        <f t="shared" si="463"/>
        <v/>
      </c>
      <c r="N5903" s="7" t="str">
        <f t="shared" si="467"/>
        <v/>
      </c>
      <c r="O5903" s="8"/>
      <c r="P5903" s="26"/>
      <c r="S5903" s="10" t="str">
        <f t="shared" si="464"/>
        <v/>
      </c>
    </row>
    <row r="5904" spans="5:19" x14ac:dyDescent="0.3">
      <c r="E5904" s="9" t="str">
        <f>IF(DADOS!C5904="","",DADOS!C5904)</f>
        <v/>
      </c>
      <c r="F5904" s="9" t="str">
        <f>IF(DADOS!E5904="","",DADOS!E5904)</f>
        <v/>
      </c>
      <c r="G5904" s="9" t="str">
        <f>IF(DADOS!F5904="","",DADOS!F5904)</f>
        <v/>
      </c>
      <c r="K5904" s="6" t="str">
        <f t="shared" si="465"/>
        <v/>
      </c>
      <c r="L5904" s="7" t="str">
        <f t="shared" si="466"/>
        <v/>
      </c>
      <c r="M5904" s="7" t="str">
        <f t="shared" si="463"/>
        <v/>
      </c>
      <c r="N5904" s="7" t="str">
        <f t="shared" si="467"/>
        <v/>
      </c>
      <c r="O5904" s="8"/>
      <c r="P5904" s="26"/>
      <c r="S5904" s="10" t="str">
        <f t="shared" si="464"/>
        <v/>
      </c>
    </row>
    <row r="5905" spans="5:19" x14ac:dyDescent="0.3">
      <c r="E5905" s="9" t="str">
        <f>IF(DADOS!C5905="","",DADOS!C5905)</f>
        <v/>
      </c>
      <c r="F5905" s="9" t="str">
        <f>IF(DADOS!E5905="","",DADOS!E5905)</f>
        <v/>
      </c>
      <c r="G5905" s="9" t="str">
        <f>IF(DADOS!F5905="","",DADOS!F5905)</f>
        <v/>
      </c>
      <c r="K5905" s="6" t="str">
        <f t="shared" si="465"/>
        <v/>
      </c>
      <c r="L5905" s="7" t="str">
        <f t="shared" si="466"/>
        <v/>
      </c>
      <c r="M5905" s="7" t="str">
        <f t="shared" si="463"/>
        <v/>
      </c>
      <c r="N5905" s="7" t="str">
        <f t="shared" si="467"/>
        <v/>
      </c>
      <c r="O5905" s="8"/>
      <c r="P5905" s="26"/>
      <c r="S5905" s="10" t="str">
        <f t="shared" si="464"/>
        <v/>
      </c>
    </row>
    <row r="5906" spans="5:19" x14ac:dyDescent="0.3">
      <c r="E5906" s="9" t="str">
        <f>IF(DADOS!C5906="","",DADOS!C5906)</f>
        <v/>
      </c>
      <c r="F5906" s="9" t="str">
        <f>IF(DADOS!E5906="","",DADOS!E5906)</f>
        <v/>
      </c>
      <c r="G5906" s="9" t="str">
        <f>IF(DADOS!F5906="","",DADOS!F5906)</f>
        <v/>
      </c>
      <c r="K5906" s="6" t="str">
        <f t="shared" si="465"/>
        <v/>
      </c>
      <c r="L5906" s="7" t="str">
        <f t="shared" si="466"/>
        <v/>
      </c>
      <c r="M5906" s="7" t="str">
        <f t="shared" si="463"/>
        <v/>
      </c>
      <c r="N5906" s="7" t="str">
        <f t="shared" si="467"/>
        <v/>
      </c>
      <c r="O5906" s="8"/>
      <c r="P5906" s="26"/>
      <c r="S5906" s="10" t="str">
        <f t="shared" si="464"/>
        <v/>
      </c>
    </row>
    <row r="5907" spans="5:19" x14ac:dyDescent="0.3">
      <c r="E5907" s="9" t="str">
        <f>IF(DADOS!C5907="","",DADOS!C5907)</f>
        <v/>
      </c>
      <c r="F5907" s="9" t="str">
        <f>IF(DADOS!E5907="","",DADOS!E5907)</f>
        <v/>
      </c>
      <c r="G5907" s="9" t="str">
        <f>IF(DADOS!F5907="","",DADOS!F5907)</f>
        <v/>
      </c>
      <c r="K5907" s="6" t="str">
        <f t="shared" si="465"/>
        <v/>
      </c>
      <c r="L5907" s="7" t="str">
        <f t="shared" si="466"/>
        <v/>
      </c>
      <c r="M5907" s="7" t="str">
        <f t="shared" si="463"/>
        <v/>
      </c>
      <c r="N5907" s="7" t="str">
        <f t="shared" si="467"/>
        <v/>
      </c>
      <c r="O5907" s="8"/>
      <c r="P5907" s="26"/>
      <c r="S5907" s="10" t="str">
        <f t="shared" si="464"/>
        <v/>
      </c>
    </row>
    <row r="5908" spans="5:19" x14ac:dyDescent="0.3">
      <c r="E5908" s="9" t="str">
        <f>IF(DADOS!C5908="","",DADOS!C5908)</f>
        <v/>
      </c>
      <c r="F5908" s="9" t="str">
        <f>IF(DADOS!E5908="","",DADOS!E5908)</f>
        <v/>
      </c>
      <c r="G5908" s="9" t="str">
        <f>IF(DADOS!F5908="","",DADOS!F5908)</f>
        <v/>
      </c>
      <c r="K5908" s="6" t="str">
        <f t="shared" si="465"/>
        <v/>
      </c>
      <c r="L5908" s="7" t="str">
        <f t="shared" si="466"/>
        <v/>
      </c>
      <c r="M5908" s="7" t="str">
        <f t="shared" si="463"/>
        <v/>
      </c>
      <c r="N5908" s="7" t="str">
        <f t="shared" si="467"/>
        <v/>
      </c>
      <c r="O5908" s="8"/>
      <c r="P5908" s="26"/>
      <c r="S5908" s="10" t="str">
        <f t="shared" si="464"/>
        <v/>
      </c>
    </row>
    <row r="5909" spans="5:19" x14ac:dyDescent="0.3">
      <c r="E5909" s="9" t="str">
        <f>IF(DADOS!C5909="","",DADOS!C5909)</f>
        <v/>
      </c>
      <c r="F5909" s="9" t="str">
        <f>IF(DADOS!E5909="","",DADOS!E5909)</f>
        <v/>
      </c>
      <c r="G5909" s="9" t="str">
        <f>IF(DADOS!F5909="","",DADOS!F5909)</f>
        <v/>
      </c>
      <c r="K5909" s="6" t="str">
        <f t="shared" si="465"/>
        <v/>
      </c>
      <c r="L5909" s="7" t="str">
        <f t="shared" si="466"/>
        <v/>
      </c>
      <c r="M5909" s="7" t="str">
        <f t="shared" si="463"/>
        <v/>
      </c>
      <c r="N5909" s="7" t="str">
        <f t="shared" si="467"/>
        <v/>
      </c>
      <c r="O5909" s="8"/>
      <c r="P5909" s="26"/>
      <c r="S5909" s="10" t="str">
        <f t="shared" si="464"/>
        <v/>
      </c>
    </row>
    <row r="5910" spans="5:19" x14ac:dyDescent="0.3">
      <c r="E5910" s="9" t="str">
        <f>IF(DADOS!C5910="","",DADOS!C5910)</f>
        <v/>
      </c>
      <c r="F5910" s="9" t="str">
        <f>IF(DADOS!E5910="","",DADOS!E5910)</f>
        <v/>
      </c>
      <c r="G5910" s="9" t="str">
        <f>IF(DADOS!F5910="","",DADOS!F5910)</f>
        <v/>
      </c>
      <c r="K5910" s="6" t="str">
        <f t="shared" si="465"/>
        <v/>
      </c>
      <c r="L5910" s="7" t="str">
        <f t="shared" si="466"/>
        <v/>
      </c>
      <c r="M5910" s="7" t="str">
        <f t="shared" si="463"/>
        <v/>
      </c>
      <c r="N5910" s="7" t="str">
        <f t="shared" si="467"/>
        <v/>
      </c>
      <c r="O5910" s="8"/>
      <c r="P5910" s="26"/>
      <c r="S5910" s="10" t="str">
        <f t="shared" si="464"/>
        <v/>
      </c>
    </row>
    <row r="5911" spans="5:19" x14ac:dyDescent="0.3">
      <c r="E5911" s="9" t="str">
        <f>IF(DADOS!C5911="","",DADOS!C5911)</f>
        <v/>
      </c>
      <c r="F5911" s="9" t="str">
        <f>IF(DADOS!E5911="","",DADOS!E5911)</f>
        <v/>
      </c>
      <c r="G5911" s="9" t="str">
        <f>IF(DADOS!F5911="","",DADOS!F5911)</f>
        <v/>
      </c>
      <c r="K5911" s="6" t="str">
        <f t="shared" si="465"/>
        <v/>
      </c>
      <c r="L5911" s="7" t="str">
        <f t="shared" si="466"/>
        <v/>
      </c>
      <c r="M5911" s="7" t="str">
        <f t="shared" si="463"/>
        <v/>
      </c>
      <c r="N5911" s="7" t="str">
        <f t="shared" si="467"/>
        <v/>
      </c>
      <c r="O5911" s="8"/>
      <c r="P5911" s="26"/>
      <c r="S5911" s="10" t="str">
        <f t="shared" si="464"/>
        <v/>
      </c>
    </row>
    <row r="5912" spans="5:19" x14ac:dyDescent="0.3">
      <c r="E5912" s="9" t="str">
        <f>IF(DADOS!C5912="","",DADOS!C5912)</f>
        <v/>
      </c>
      <c r="F5912" s="9" t="str">
        <f>IF(DADOS!E5912="","",DADOS!E5912)</f>
        <v/>
      </c>
      <c r="G5912" s="9" t="str">
        <f>IF(DADOS!F5912="","",DADOS!F5912)</f>
        <v/>
      </c>
      <c r="K5912" s="6" t="str">
        <f t="shared" si="465"/>
        <v/>
      </c>
      <c r="L5912" s="7" t="str">
        <f t="shared" si="466"/>
        <v/>
      </c>
      <c r="M5912" s="7" t="str">
        <f t="shared" si="463"/>
        <v/>
      </c>
      <c r="N5912" s="7" t="str">
        <f t="shared" si="467"/>
        <v/>
      </c>
      <c r="O5912" s="8"/>
      <c r="P5912" s="26"/>
      <c r="S5912" s="10" t="str">
        <f t="shared" si="464"/>
        <v/>
      </c>
    </row>
    <row r="5913" spans="5:19" x14ac:dyDescent="0.3">
      <c r="E5913" s="9" t="str">
        <f>IF(DADOS!C5913="","",DADOS!C5913)</f>
        <v/>
      </c>
      <c r="F5913" s="9" t="str">
        <f>IF(DADOS!E5913="","",DADOS!E5913)</f>
        <v/>
      </c>
      <c r="G5913" s="9" t="str">
        <f>IF(DADOS!F5913="","",DADOS!F5913)</f>
        <v/>
      </c>
      <c r="K5913" s="6" t="str">
        <f t="shared" si="465"/>
        <v/>
      </c>
      <c r="L5913" s="7" t="str">
        <f t="shared" si="466"/>
        <v/>
      </c>
      <c r="M5913" s="7" t="str">
        <f t="shared" si="463"/>
        <v/>
      </c>
      <c r="N5913" s="7" t="str">
        <f t="shared" si="467"/>
        <v/>
      </c>
      <c r="O5913" s="8"/>
      <c r="P5913" s="26"/>
      <c r="S5913" s="10" t="str">
        <f t="shared" si="464"/>
        <v/>
      </c>
    </row>
    <row r="5914" spans="5:19" x14ac:dyDescent="0.3">
      <c r="E5914" s="9" t="str">
        <f>IF(DADOS!C5914="","",DADOS!C5914)</f>
        <v/>
      </c>
      <c r="F5914" s="9" t="str">
        <f>IF(DADOS!E5914="","",DADOS!E5914)</f>
        <v/>
      </c>
      <c r="G5914" s="9" t="str">
        <f>IF(DADOS!F5914="","",DADOS!F5914)</f>
        <v/>
      </c>
      <c r="K5914" s="6" t="str">
        <f t="shared" si="465"/>
        <v/>
      </c>
      <c r="L5914" s="7" t="str">
        <f t="shared" si="466"/>
        <v/>
      </c>
      <c r="M5914" s="7" t="str">
        <f t="shared" si="463"/>
        <v/>
      </c>
      <c r="N5914" s="7" t="str">
        <f t="shared" si="467"/>
        <v/>
      </c>
      <c r="O5914" s="8"/>
      <c r="P5914" s="26"/>
      <c r="S5914" s="10" t="str">
        <f t="shared" si="464"/>
        <v/>
      </c>
    </row>
    <row r="5915" spans="5:19" x14ac:dyDescent="0.3">
      <c r="E5915" s="9" t="str">
        <f>IF(DADOS!C5915="","",DADOS!C5915)</f>
        <v/>
      </c>
      <c r="F5915" s="9" t="str">
        <f>IF(DADOS!E5915="","",DADOS!E5915)</f>
        <v/>
      </c>
      <c r="G5915" s="9" t="str">
        <f>IF(DADOS!F5915="","",DADOS!F5915)</f>
        <v/>
      </c>
      <c r="K5915" s="6" t="str">
        <f t="shared" si="465"/>
        <v/>
      </c>
      <c r="L5915" s="7" t="str">
        <f t="shared" si="466"/>
        <v/>
      </c>
      <c r="M5915" s="7" t="str">
        <f t="shared" si="463"/>
        <v/>
      </c>
      <c r="N5915" s="7" t="str">
        <f t="shared" si="467"/>
        <v/>
      </c>
      <c r="O5915" s="8"/>
      <c r="P5915" s="26"/>
      <c r="S5915" s="10" t="str">
        <f t="shared" si="464"/>
        <v/>
      </c>
    </row>
    <row r="5916" spans="5:19" x14ac:dyDescent="0.3">
      <c r="E5916" s="9" t="str">
        <f>IF(DADOS!C5916="","",DADOS!C5916)</f>
        <v/>
      </c>
      <c r="F5916" s="9" t="str">
        <f>IF(DADOS!E5916="","",DADOS!E5916)</f>
        <v/>
      </c>
      <c r="G5916" s="9" t="str">
        <f>IF(DADOS!F5916="","",DADOS!F5916)</f>
        <v/>
      </c>
      <c r="K5916" s="6" t="str">
        <f t="shared" si="465"/>
        <v/>
      </c>
      <c r="L5916" s="7" t="str">
        <f t="shared" si="466"/>
        <v/>
      </c>
      <c r="M5916" s="7" t="str">
        <f t="shared" si="463"/>
        <v/>
      </c>
      <c r="N5916" s="7" t="str">
        <f t="shared" si="467"/>
        <v/>
      </c>
      <c r="O5916" s="8"/>
      <c r="P5916" s="26"/>
      <c r="S5916" s="10" t="str">
        <f t="shared" si="464"/>
        <v/>
      </c>
    </row>
    <row r="5917" spans="5:19" x14ac:dyDescent="0.3">
      <c r="E5917" s="9" t="str">
        <f>IF(DADOS!C5917="","",DADOS!C5917)</f>
        <v/>
      </c>
      <c r="F5917" s="9" t="str">
        <f>IF(DADOS!E5917="","",DADOS!E5917)</f>
        <v/>
      </c>
      <c r="G5917" s="9" t="str">
        <f>IF(DADOS!F5917="","",DADOS!F5917)</f>
        <v/>
      </c>
      <c r="K5917" s="6" t="str">
        <f t="shared" si="465"/>
        <v/>
      </c>
      <c r="L5917" s="7" t="str">
        <f t="shared" si="466"/>
        <v/>
      </c>
      <c r="M5917" s="7" t="str">
        <f t="shared" si="463"/>
        <v/>
      </c>
      <c r="N5917" s="7" t="str">
        <f t="shared" si="467"/>
        <v/>
      </c>
      <c r="O5917" s="8"/>
      <c r="P5917" s="26"/>
      <c r="S5917" s="10" t="str">
        <f t="shared" si="464"/>
        <v/>
      </c>
    </row>
    <row r="5918" spans="5:19" x14ac:dyDescent="0.3">
      <c r="E5918" s="9" t="str">
        <f>IF(DADOS!C5918="","",DADOS!C5918)</f>
        <v/>
      </c>
      <c r="F5918" s="9" t="str">
        <f>IF(DADOS!E5918="","",DADOS!E5918)</f>
        <v/>
      </c>
      <c r="G5918" s="9" t="str">
        <f>IF(DADOS!F5918="","",DADOS!F5918)</f>
        <v/>
      </c>
      <c r="K5918" s="6" t="str">
        <f t="shared" si="465"/>
        <v/>
      </c>
      <c r="L5918" s="7" t="str">
        <f t="shared" si="466"/>
        <v/>
      </c>
      <c r="M5918" s="7" t="str">
        <f t="shared" si="463"/>
        <v/>
      </c>
      <c r="N5918" s="7" t="str">
        <f t="shared" si="467"/>
        <v/>
      </c>
      <c r="O5918" s="8"/>
      <c r="P5918" s="26"/>
      <c r="S5918" s="10" t="str">
        <f t="shared" si="464"/>
        <v/>
      </c>
    </row>
    <row r="5919" spans="5:19" x14ac:dyDescent="0.3">
      <c r="E5919" s="9" t="str">
        <f>IF(DADOS!C5919="","",DADOS!C5919)</f>
        <v/>
      </c>
      <c r="F5919" s="9" t="str">
        <f>IF(DADOS!E5919="","",DADOS!E5919)</f>
        <v/>
      </c>
      <c r="G5919" s="9" t="str">
        <f>IF(DADOS!F5919="","",DADOS!F5919)</f>
        <v/>
      </c>
      <c r="K5919" s="6" t="str">
        <f t="shared" si="465"/>
        <v/>
      </c>
      <c r="L5919" s="7" t="str">
        <f t="shared" si="466"/>
        <v/>
      </c>
      <c r="M5919" s="7" t="str">
        <f t="shared" si="463"/>
        <v/>
      </c>
      <c r="N5919" s="7" t="str">
        <f t="shared" si="467"/>
        <v/>
      </c>
      <c r="O5919" s="8"/>
      <c r="P5919" s="26"/>
      <c r="S5919" s="10" t="str">
        <f t="shared" si="464"/>
        <v/>
      </c>
    </row>
    <row r="5920" spans="5:19" x14ac:dyDescent="0.3">
      <c r="E5920" s="9" t="str">
        <f>IF(DADOS!C5920="","",DADOS!C5920)</f>
        <v/>
      </c>
      <c r="F5920" s="9" t="str">
        <f>IF(DADOS!E5920="","",DADOS!E5920)</f>
        <v/>
      </c>
      <c r="G5920" s="9" t="str">
        <f>IF(DADOS!F5920="","",DADOS!F5920)</f>
        <v/>
      </c>
      <c r="K5920" s="6" t="str">
        <f t="shared" si="465"/>
        <v/>
      </c>
      <c r="L5920" s="7" t="str">
        <f t="shared" si="466"/>
        <v/>
      </c>
      <c r="M5920" s="7" t="str">
        <f t="shared" si="463"/>
        <v/>
      </c>
      <c r="N5920" s="7" t="str">
        <f t="shared" si="467"/>
        <v/>
      </c>
      <c r="O5920" s="8"/>
      <c r="P5920" s="26"/>
      <c r="S5920" s="10" t="str">
        <f t="shared" si="464"/>
        <v/>
      </c>
    </row>
    <row r="5921" spans="5:19" x14ac:dyDescent="0.3">
      <c r="E5921" s="9" t="str">
        <f>IF(DADOS!C5921="","",DADOS!C5921)</f>
        <v/>
      </c>
      <c r="F5921" s="9" t="str">
        <f>IF(DADOS!E5921="","",DADOS!E5921)</f>
        <v/>
      </c>
      <c r="G5921" s="9" t="str">
        <f>IF(DADOS!F5921="","",DADOS!F5921)</f>
        <v/>
      </c>
      <c r="K5921" s="6" t="str">
        <f t="shared" si="465"/>
        <v/>
      </c>
      <c r="L5921" s="7" t="str">
        <f t="shared" si="466"/>
        <v/>
      </c>
      <c r="M5921" s="7" t="str">
        <f t="shared" si="463"/>
        <v/>
      </c>
      <c r="N5921" s="7" t="str">
        <f t="shared" si="467"/>
        <v/>
      </c>
      <c r="O5921" s="8"/>
      <c r="P5921" s="26"/>
      <c r="S5921" s="10" t="str">
        <f t="shared" si="464"/>
        <v/>
      </c>
    </row>
    <row r="5922" spans="5:19" x14ac:dyDescent="0.3">
      <c r="E5922" s="9" t="str">
        <f>IF(DADOS!C5922="","",DADOS!C5922)</f>
        <v/>
      </c>
      <c r="F5922" s="9" t="str">
        <f>IF(DADOS!E5922="","",DADOS!E5922)</f>
        <v/>
      </c>
      <c r="G5922" s="9" t="str">
        <f>IF(DADOS!F5922="","",DADOS!F5922)</f>
        <v/>
      </c>
      <c r="K5922" s="6" t="str">
        <f t="shared" si="465"/>
        <v/>
      </c>
      <c r="L5922" s="7" t="str">
        <f t="shared" si="466"/>
        <v/>
      </c>
      <c r="M5922" s="7" t="str">
        <f t="shared" si="463"/>
        <v/>
      </c>
      <c r="N5922" s="7" t="str">
        <f t="shared" si="467"/>
        <v/>
      </c>
      <c r="O5922" s="8"/>
      <c r="P5922" s="26"/>
      <c r="S5922" s="10" t="str">
        <f t="shared" si="464"/>
        <v/>
      </c>
    </row>
    <row r="5923" spans="5:19" x14ac:dyDescent="0.3">
      <c r="E5923" s="9" t="str">
        <f>IF(DADOS!C5923="","",DADOS!C5923)</f>
        <v/>
      </c>
      <c r="F5923" s="9" t="str">
        <f>IF(DADOS!E5923="","",DADOS!E5923)</f>
        <v/>
      </c>
      <c r="G5923" s="9" t="str">
        <f>IF(DADOS!F5923="","",DADOS!F5923)</f>
        <v/>
      </c>
      <c r="K5923" s="6" t="str">
        <f t="shared" si="465"/>
        <v/>
      </c>
      <c r="L5923" s="7" t="str">
        <f t="shared" si="466"/>
        <v/>
      </c>
      <c r="M5923" s="7" t="str">
        <f t="shared" si="463"/>
        <v/>
      </c>
      <c r="N5923" s="7" t="str">
        <f t="shared" si="467"/>
        <v/>
      </c>
      <c r="O5923" s="8"/>
      <c r="P5923" s="26"/>
      <c r="S5923" s="10" t="str">
        <f t="shared" si="464"/>
        <v/>
      </c>
    </row>
    <row r="5924" spans="5:19" x14ac:dyDescent="0.3">
      <c r="E5924" s="9" t="str">
        <f>IF(DADOS!C5924="","",DADOS!C5924)</f>
        <v/>
      </c>
      <c r="F5924" s="9" t="str">
        <f>IF(DADOS!E5924="","",DADOS!E5924)</f>
        <v/>
      </c>
      <c r="G5924" s="9" t="str">
        <f>IF(DADOS!F5924="","",DADOS!F5924)</f>
        <v/>
      </c>
      <c r="K5924" s="6" t="str">
        <f t="shared" si="465"/>
        <v/>
      </c>
      <c r="L5924" s="7" t="str">
        <f t="shared" si="466"/>
        <v/>
      </c>
      <c r="M5924" s="7" t="str">
        <f t="shared" si="463"/>
        <v/>
      </c>
      <c r="N5924" s="7" t="str">
        <f t="shared" si="467"/>
        <v/>
      </c>
      <c r="O5924" s="8"/>
      <c r="P5924" s="26"/>
      <c r="S5924" s="10" t="str">
        <f t="shared" si="464"/>
        <v/>
      </c>
    </row>
    <row r="5925" spans="5:19" x14ac:dyDescent="0.3">
      <c r="E5925" s="9" t="str">
        <f>IF(DADOS!C5925="","",DADOS!C5925)</f>
        <v/>
      </c>
      <c r="F5925" s="9" t="str">
        <f>IF(DADOS!E5925="","",DADOS!E5925)</f>
        <v/>
      </c>
      <c r="G5925" s="9" t="str">
        <f>IF(DADOS!F5925="","",DADOS!F5925)</f>
        <v/>
      </c>
      <c r="K5925" s="6" t="str">
        <f t="shared" si="465"/>
        <v/>
      </c>
      <c r="L5925" s="7" t="str">
        <f t="shared" si="466"/>
        <v/>
      </c>
      <c r="M5925" s="7" t="str">
        <f t="shared" si="463"/>
        <v/>
      </c>
      <c r="N5925" s="7" t="str">
        <f t="shared" si="467"/>
        <v/>
      </c>
      <c r="O5925" s="8"/>
      <c r="P5925" s="26"/>
      <c r="S5925" s="10" t="str">
        <f t="shared" si="464"/>
        <v/>
      </c>
    </row>
    <row r="5926" spans="5:19" x14ac:dyDescent="0.3">
      <c r="E5926" s="9" t="str">
        <f>IF(DADOS!C5926="","",DADOS!C5926)</f>
        <v/>
      </c>
      <c r="F5926" s="9" t="str">
        <f>IF(DADOS!E5926="","",DADOS!E5926)</f>
        <v/>
      </c>
      <c r="G5926" s="9" t="str">
        <f>IF(DADOS!F5926="","",DADOS!F5926)</f>
        <v/>
      </c>
      <c r="K5926" s="6" t="str">
        <f t="shared" si="465"/>
        <v/>
      </c>
      <c r="L5926" s="7" t="str">
        <f t="shared" si="466"/>
        <v/>
      </c>
      <c r="M5926" s="7" t="str">
        <f t="shared" si="463"/>
        <v/>
      </c>
      <c r="N5926" s="7" t="str">
        <f t="shared" si="467"/>
        <v/>
      </c>
      <c r="O5926" s="8"/>
      <c r="P5926" s="26"/>
      <c r="S5926" s="10" t="str">
        <f t="shared" si="464"/>
        <v/>
      </c>
    </row>
    <row r="5927" spans="5:19" x14ac:dyDescent="0.3">
      <c r="E5927" s="9" t="str">
        <f>IF(DADOS!C5927="","",DADOS!C5927)</f>
        <v/>
      </c>
      <c r="F5927" s="9" t="str">
        <f>IF(DADOS!E5927="","",DADOS!E5927)</f>
        <v/>
      </c>
      <c r="G5927" s="9" t="str">
        <f>IF(DADOS!F5927="","",DADOS!F5927)</f>
        <v/>
      </c>
      <c r="K5927" s="6" t="str">
        <f t="shared" si="465"/>
        <v/>
      </c>
      <c r="L5927" s="7" t="str">
        <f t="shared" si="466"/>
        <v/>
      </c>
      <c r="M5927" s="7" t="str">
        <f t="shared" si="463"/>
        <v/>
      </c>
      <c r="N5927" s="7" t="str">
        <f t="shared" si="467"/>
        <v/>
      </c>
      <c r="O5927" s="8"/>
      <c r="P5927" s="26"/>
      <c r="S5927" s="10" t="str">
        <f t="shared" si="464"/>
        <v/>
      </c>
    </row>
    <row r="5928" spans="5:19" x14ac:dyDescent="0.3">
      <c r="E5928" s="9" t="str">
        <f>IF(DADOS!C5928="","",DADOS!C5928)</f>
        <v/>
      </c>
      <c r="F5928" s="9" t="str">
        <f>IF(DADOS!E5928="","",DADOS!E5928)</f>
        <v/>
      </c>
      <c r="G5928" s="9" t="str">
        <f>IF(DADOS!F5928="","",DADOS!F5928)</f>
        <v/>
      </c>
      <c r="K5928" s="6" t="str">
        <f t="shared" si="465"/>
        <v/>
      </c>
      <c r="L5928" s="7" t="str">
        <f t="shared" si="466"/>
        <v/>
      </c>
      <c r="M5928" s="7" t="str">
        <f t="shared" si="463"/>
        <v/>
      </c>
      <c r="N5928" s="7" t="str">
        <f t="shared" si="467"/>
        <v/>
      </c>
      <c r="O5928" s="8"/>
      <c r="P5928" s="26"/>
      <c r="S5928" s="10" t="str">
        <f t="shared" si="464"/>
        <v/>
      </c>
    </row>
    <row r="5929" spans="5:19" x14ac:dyDescent="0.3">
      <c r="E5929" s="9" t="str">
        <f>IF(DADOS!C5929="","",DADOS!C5929)</f>
        <v/>
      </c>
      <c r="F5929" s="9" t="str">
        <f>IF(DADOS!E5929="","",DADOS!E5929)</f>
        <v/>
      </c>
      <c r="G5929" s="9" t="str">
        <f>IF(DADOS!F5929="","",DADOS!F5929)</f>
        <v/>
      </c>
      <c r="K5929" s="6" t="str">
        <f t="shared" si="465"/>
        <v/>
      </c>
      <c r="L5929" s="7" t="str">
        <f t="shared" si="466"/>
        <v/>
      </c>
      <c r="M5929" s="7" t="str">
        <f t="shared" si="463"/>
        <v/>
      </c>
      <c r="N5929" s="7" t="str">
        <f t="shared" si="467"/>
        <v/>
      </c>
      <c r="O5929" s="8"/>
      <c r="P5929" s="26"/>
      <c r="S5929" s="10" t="str">
        <f t="shared" si="464"/>
        <v/>
      </c>
    </row>
    <row r="5930" spans="5:19" x14ac:dyDescent="0.3">
      <c r="E5930" s="9" t="str">
        <f>IF(DADOS!C5930="","",DADOS!C5930)</f>
        <v/>
      </c>
      <c r="F5930" s="9" t="str">
        <f>IF(DADOS!E5930="","",DADOS!E5930)</f>
        <v/>
      </c>
      <c r="G5930" s="9" t="str">
        <f>IF(DADOS!F5930="","",DADOS!F5930)</f>
        <v/>
      </c>
      <c r="K5930" s="6" t="str">
        <f t="shared" si="465"/>
        <v/>
      </c>
      <c r="L5930" s="7" t="str">
        <f t="shared" si="466"/>
        <v/>
      </c>
      <c r="M5930" s="7" t="str">
        <f t="shared" si="463"/>
        <v/>
      </c>
      <c r="N5930" s="7" t="str">
        <f t="shared" si="467"/>
        <v/>
      </c>
      <c r="O5930" s="8"/>
      <c r="P5930" s="26"/>
      <c r="S5930" s="10" t="str">
        <f t="shared" si="464"/>
        <v/>
      </c>
    </row>
    <row r="5931" spans="5:19" x14ac:dyDescent="0.3">
      <c r="E5931" s="9" t="str">
        <f>IF(DADOS!C5931="","",DADOS!C5931)</f>
        <v/>
      </c>
      <c r="F5931" s="9" t="str">
        <f>IF(DADOS!E5931="","",DADOS!E5931)</f>
        <v/>
      </c>
      <c r="G5931" s="9" t="str">
        <f>IF(DADOS!F5931="","",DADOS!F5931)</f>
        <v/>
      </c>
      <c r="K5931" s="6" t="str">
        <f t="shared" si="465"/>
        <v/>
      </c>
      <c r="L5931" s="7" t="str">
        <f t="shared" si="466"/>
        <v/>
      </c>
      <c r="M5931" s="7" t="str">
        <f t="shared" si="463"/>
        <v/>
      </c>
      <c r="N5931" s="7" t="str">
        <f t="shared" si="467"/>
        <v/>
      </c>
      <c r="O5931" s="8"/>
      <c r="P5931" s="26"/>
      <c r="S5931" s="10" t="str">
        <f t="shared" si="464"/>
        <v/>
      </c>
    </row>
    <row r="5932" spans="5:19" x14ac:dyDescent="0.3">
      <c r="E5932" s="9" t="str">
        <f>IF(DADOS!C5932="","",DADOS!C5932)</f>
        <v/>
      </c>
      <c r="F5932" s="9" t="str">
        <f>IF(DADOS!E5932="","",DADOS!E5932)</f>
        <v/>
      </c>
      <c r="G5932" s="9" t="str">
        <f>IF(DADOS!F5932="","",DADOS!F5932)</f>
        <v/>
      </c>
      <c r="K5932" s="6" t="str">
        <f t="shared" si="465"/>
        <v/>
      </c>
      <c r="L5932" s="7" t="str">
        <f t="shared" si="466"/>
        <v/>
      </c>
      <c r="M5932" s="7" t="str">
        <f t="shared" si="463"/>
        <v/>
      </c>
      <c r="N5932" s="7" t="str">
        <f t="shared" si="467"/>
        <v/>
      </c>
      <c r="O5932" s="8"/>
      <c r="P5932" s="26"/>
      <c r="S5932" s="10" t="str">
        <f t="shared" si="464"/>
        <v/>
      </c>
    </row>
    <row r="5933" spans="5:19" x14ac:dyDescent="0.3">
      <c r="E5933" s="9" t="str">
        <f>IF(DADOS!C5933="","",DADOS!C5933)</f>
        <v/>
      </c>
      <c r="F5933" s="9" t="str">
        <f>IF(DADOS!E5933="","",DADOS!E5933)</f>
        <v/>
      </c>
      <c r="G5933" s="9" t="str">
        <f>IF(DADOS!F5933="","",DADOS!F5933)</f>
        <v/>
      </c>
      <c r="K5933" s="6" t="str">
        <f t="shared" si="465"/>
        <v/>
      </c>
      <c r="L5933" s="7" t="str">
        <f t="shared" si="466"/>
        <v/>
      </c>
      <c r="M5933" s="7" t="str">
        <f t="shared" si="463"/>
        <v/>
      </c>
      <c r="N5933" s="7" t="str">
        <f t="shared" si="467"/>
        <v/>
      </c>
      <c r="O5933" s="8"/>
      <c r="P5933" s="26"/>
      <c r="S5933" s="10" t="str">
        <f t="shared" si="464"/>
        <v/>
      </c>
    </row>
    <row r="5934" spans="5:19" x14ac:dyDescent="0.3">
      <c r="E5934" s="9" t="str">
        <f>IF(DADOS!C5934="","",DADOS!C5934)</f>
        <v/>
      </c>
      <c r="F5934" s="9" t="str">
        <f>IF(DADOS!E5934="","",DADOS!E5934)</f>
        <v/>
      </c>
      <c r="G5934" s="9" t="str">
        <f>IF(DADOS!F5934="","",DADOS!F5934)</f>
        <v/>
      </c>
      <c r="K5934" s="6" t="str">
        <f t="shared" si="465"/>
        <v/>
      </c>
      <c r="L5934" s="7" t="str">
        <f t="shared" si="466"/>
        <v/>
      </c>
      <c r="M5934" s="7" t="str">
        <f t="shared" si="463"/>
        <v/>
      </c>
      <c r="N5934" s="7" t="str">
        <f t="shared" si="467"/>
        <v/>
      </c>
      <c r="O5934" s="8"/>
      <c r="P5934" s="26"/>
      <c r="S5934" s="10" t="str">
        <f t="shared" si="464"/>
        <v/>
      </c>
    </row>
    <row r="5935" spans="5:19" x14ac:dyDescent="0.3">
      <c r="E5935" s="9" t="str">
        <f>IF(DADOS!C5935="","",DADOS!C5935)</f>
        <v/>
      </c>
      <c r="F5935" s="9" t="str">
        <f>IF(DADOS!E5935="","",DADOS!E5935)</f>
        <v/>
      </c>
      <c r="G5935" s="9" t="str">
        <f>IF(DADOS!F5935="","",DADOS!F5935)</f>
        <v/>
      </c>
      <c r="K5935" s="6" t="str">
        <f t="shared" si="465"/>
        <v/>
      </c>
      <c r="L5935" s="7" t="str">
        <f t="shared" si="466"/>
        <v/>
      </c>
      <c r="M5935" s="7" t="str">
        <f t="shared" si="463"/>
        <v/>
      </c>
      <c r="N5935" s="7" t="str">
        <f t="shared" si="467"/>
        <v/>
      </c>
      <c r="O5935" s="8"/>
      <c r="P5935" s="26"/>
      <c r="S5935" s="10" t="str">
        <f t="shared" si="464"/>
        <v/>
      </c>
    </row>
    <row r="5936" spans="5:19" x14ac:dyDescent="0.3">
      <c r="E5936" s="9" t="str">
        <f>IF(DADOS!C5936="","",DADOS!C5936)</f>
        <v/>
      </c>
      <c r="F5936" s="9" t="str">
        <f>IF(DADOS!E5936="","",DADOS!E5936)</f>
        <v/>
      </c>
      <c r="G5936" s="9" t="str">
        <f>IF(DADOS!F5936="","",DADOS!F5936)</f>
        <v/>
      </c>
      <c r="K5936" s="6" t="str">
        <f t="shared" si="465"/>
        <v/>
      </c>
      <c r="L5936" s="7" t="str">
        <f t="shared" si="466"/>
        <v/>
      </c>
      <c r="M5936" s="7" t="str">
        <f t="shared" si="463"/>
        <v/>
      </c>
      <c r="N5936" s="7" t="str">
        <f t="shared" si="467"/>
        <v/>
      </c>
      <c r="O5936" s="8"/>
      <c r="P5936" s="26"/>
      <c r="S5936" s="10" t="str">
        <f t="shared" si="464"/>
        <v/>
      </c>
    </row>
    <row r="5937" spans="5:19" x14ac:dyDescent="0.3">
      <c r="E5937" s="9" t="str">
        <f>IF(DADOS!C5937="","",DADOS!C5937)</f>
        <v/>
      </c>
      <c r="F5937" s="9" t="str">
        <f>IF(DADOS!E5937="","",DADOS!E5937)</f>
        <v/>
      </c>
      <c r="G5937" s="9" t="str">
        <f>IF(DADOS!F5937="","",DADOS!F5937)</f>
        <v/>
      </c>
      <c r="K5937" s="6" t="str">
        <f t="shared" si="465"/>
        <v/>
      </c>
      <c r="L5937" s="7" t="str">
        <f t="shared" si="466"/>
        <v/>
      </c>
      <c r="M5937" s="7" t="str">
        <f t="shared" si="463"/>
        <v/>
      </c>
      <c r="N5937" s="7" t="str">
        <f t="shared" si="467"/>
        <v/>
      </c>
      <c r="O5937" s="8"/>
      <c r="P5937" s="26"/>
      <c r="S5937" s="10" t="str">
        <f t="shared" si="464"/>
        <v/>
      </c>
    </row>
    <row r="5938" spans="5:19" x14ac:dyDescent="0.3">
      <c r="E5938" s="9" t="str">
        <f>IF(DADOS!C5938="","",DADOS!C5938)</f>
        <v/>
      </c>
      <c r="F5938" s="9" t="str">
        <f>IF(DADOS!E5938="","",DADOS!E5938)</f>
        <v/>
      </c>
      <c r="G5938" s="9" t="str">
        <f>IF(DADOS!F5938="","",DADOS!F5938)</f>
        <v/>
      </c>
      <c r="K5938" s="6" t="str">
        <f t="shared" si="465"/>
        <v/>
      </c>
      <c r="L5938" s="7" t="str">
        <f t="shared" si="466"/>
        <v/>
      </c>
      <c r="M5938" s="7" t="str">
        <f t="shared" si="463"/>
        <v/>
      </c>
      <c r="N5938" s="7" t="str">
        <f t="shared" si="467"/>
        <v/>
      </c>
      <c r="O5938" s="8"/>
      <c r="P5938" s="26"/>
      <c r="S5938" s="10" t="str">
        <f t="shared" si="464"/>
        <v/>
      </c>
    </row>
    <row r="5939" spans="5:19" x14ac:dyDescent="0.3">
      <c r="E5939" s="9" t="str">
        <f>IF(DADOS!C5939="","",DADOS!C5939)</f>
        <v/>
      </c>
      <c r="F5939" s="9" t="str">
        <f>IF(DADOS!E5939="","",DADOS!E5939)</f>
        <v/>
      </c>
      <c r="G5939" s="9" t="str">
        <f>IF(DADOS!F5939="","",DADOS!F5939)</f>
        <v/>
      </c>
      <c r="K5939" s="6" t="str">
        <f t="shared" si="465"/>
        <v/>
      </c>
      <c r="L5939" s="7" t="str">
        <f t="shared" si="466"/>
        <v/>
      </c>
      <c r="M5939" s="7" t="str">
        <f t="shared" si="463"/>
        <v/>
      </c>
      <c r="N5939" s="7" t="str">
        <f t="shared" si="467"/>
        <v/>
      </c>
      <c r="O5939" s="8"/>
      <c r="P5939" s="26"/>
      <c r="S5939" s="10" t="str">
        <f t="shared" si="464"/>
        <v/>
      </c>
    </row>
    <row r="5940" spans="5:19" x14ac:dyDescent="0.3">
      <c r="E5940" s="9" t="str">
        <f>IF(DADOS!C5940="","",DADOS!C5940)</f>
        <v/>
      </c>
      <c r="F5940" s="9" t="str">
        <f>IF(DADOS!E5940="","",DADOS!E5940)</f>
        <v/>
      </c>
      <c r="G5940" s="9" t="str">
        <f>IF(DADOS!F5940="","",DADOS!F5940)</f>
        <v/>
      </c>
      <c r="K5940" s="6" t="str">
        <f t="shared" si="465"/>
        <v/>
      </c>
      <c r="L5940" s="7" t="str">
        <f t="shared" si="466"/>
        <v/>
      </c>
      <c r="M5940" s="7" t="str">
        <f t="shared" si="463"/>
        <v/>
      </c>
      <c r="N5940" s="7" t="str">
        <f t="shared" si="467"/>
        <v/>
      </c>
      <c r="O5940" s="8"/>
      <c r="P5940" s="26"/>
      <c r="S5940" s="10" t="str">
        <f t="shared" si="464"/>
        <v/>
      </c>
    </row>
    <row r="5941" spans="5:19" x14ac:dyDescent="0.3">
      <c r="E5941" s="9" t="str">
        <f>IF(DADOS!C5941="","",DADOS!C5941)</f>
        <v/>
      </c>
      <c r="F5941" s="9" t="str">
        <f>IF(DADOS!E5941="","",DADOS!E5941)</f>
        <v/>
      </c>
      <c r="G5941" s="9" t="str">
        <f>IF(DADOS!F5941="","",DADOS!F5941)</f>
        <v/>
      </c>
      <c r="K5941" s="6" t="str">
        <f t="shared" si="465"/>
        <v/>
      </c>
      <c r="L5941" s="7" t="str">
        <f t="shared" si="466"/>
        <v/>
      </c>
      <c r="M5941" s="7" t="str">
        <f t="shared" si="463"/>
        <v/>
      </c>
      <c r="N5941" s="7" t="str">
        <f t="shared" si="467"/>
        <v/>
      </c>
      <c r="O5941" s="8"/>
      <c r="P5941" s="26"/>
      <c r="S5941" s="10" t="str">
        <f t="shared" si="464"/>
        <v/>
      </c>
    </row>
    <row r="5942" spans="5:19" x14ac:dyDescent="0.3">
      <c r="E5942" s="9" t="str">
        <f>IF(DADOS!C5942="","",DADOS!C5942)</f>
        <v/>
      </c>
      <c r="F5942" s="9" t="str">
        <f>IF(DADOS!E5942="","",DADOS!E5942)</f>
        <v/>
      </c>
      <c r="G5942" s="9" t="str">
        <f>IF(DADOS!F5942="","",DADOS!F5942)</f>
        <v/>
      </c>
      <c r="K5942" s="6" t="str">
        <f t="shared" si="465"/>
        <v/>
      </c>
      <c r="L5942" s="7" t="str">
        <f t="shared" si="466"/>
        <v/>
      </c>
      <c r="M5942" s="7" t="str">
        <f t="shared" si="463"/>
        <v/>
      </c>
      <c r="N5942" s="7" t="str">
        <f t="shared" si="467"/>
        <v/>
      </c>
      <c r="O5942" s="8"/>
      <c r="P5942" s="26"/>
      <c r="S5942" s="10" t="str">
        <f t="shared" si="464"/>
        <v/>
      </c>
    </row>
    <row r="5943" spans="5:19" x14ac:dyDescent="0.3">
      <c r="E5943" s="9" t="str">
        <f>IF(DADOS!C5943="","",DADOS!C5943)</f>
        <v/>
      </c>
      <c r="F5943" s="9" t="str">
        <f>IF(DADOS!E5943="","",DADOS!E5943)</f>
        <v/>
      </c>
      <c r="G5943" s="9" t="str">
        <f>IF(DADOS!F5943="","",DADOS!F5943)</f>
        <v/>
      </c>
      <c r="K5943" s="6" t="str">
        <f t="shared" si="465"/>
        <v/>
      </c>
      <c r="L5943" s="7" t="str">
        <f t="shared" si="466"/>
        <v/>
      </c>
      <c r="M5943" s="7" t="str">
        <f t="shared" si="463"/>
        <v/>
      </c>
      <c r="N5943" s="7" t="str">
        <f t="shared" si="467"/>
        <v/>
      </c>
      <c r="O5943" s="8"/>
      <c r="P5943" s="26"/>
      <c r="S5943" s="10" t="str">
        <f t="shared" si="464"/>
        <v/>
      </c>
    </row>
    <row r="5944" spans="5:19" x14ac:dyDescent="0.3">
      <c r="E5944" s="9" t="str">
        <f>IF(DADOS!C5944="","",DADOS!C5944)</f>
        <v/>
      </c>
      <c r="F5944" s="9" t="str">
        <f>IF(DADOS!E5944="","",DADOS!E5944)</f>
        <v/>
      </c>
      <c r="G5944" s="9" t="str">
        <f>IF(DADOS!F5944="","",DADOS!F5944)</f>
        <v/>
      </c>
      <c r="K5944" s="6" t="str">
        <f t="shared" si="465"/>
        <v/>
      </c>
      <c r="L5944" s="7" t="str">
        <f t="shared" si="466"/>
        <v/>
      </c>
      <c r="M5944" s="7" t="str">
        <f t="shared" si="463"/>
        <v/>
      </c>
      <c r="N5944" s="7" t="str">
        <f t="shared" si="467"/>
        <v/>
      </c>
      <c r="O5944" s="8"/>
      <c r="P5944" s="26"/>
      <c r="S5944" s="10" t="str">
        <f t="shared" si="464"/>
        <v/>
      </c>
    </row>
    <row r="5945" spans="5:19" x14ac:dyDescent="0.3">
      <c r="E5945" s="9" t="str">
        <f>IF(DADOS!C5945="","",DADOS!C5945)</f>
        <v/>
      </c>
      <c r="F5945" s="9" t="str">
        <f>IF(DADOS!E5945="","",DADOS!E5945)</f>
        <v/>
      </c>
      <c r="G5945" s="9" t="str">
        <f>IF(DADOS!F5945="","",DADOS!F5945)</f>
        <v/>
      </c>
      <c r="K5945" s="6" t="str">
        <f t="shared" si="465"/>
        <v/>
      </c>
      <c r="L5945" s="7" t="str">
        <f t="shared" si="466"/>
        <v/>
      </c>
      <c r="M5945" s="7" t="str">
        <f t="shared" si="463"/>
        <v/>
      </c>
      <c r="N5945" s="7" t="str">
        <f t="shared" si="467"/>
        <v/>
      </c>
      <c r="O5945" s="8"/>
      <c r="P5945" s="26"/>
      <c r="S5945" s="10" t="str">
        <f t="shared" si="464"/>
        <v/>
      </c>
    </row>
    <row r="5946" spans="5:19" x14ac:dyDescent="0.3">
      <c r="E5946" s="9" t="str">
        <f>IF(DADOS!C5946="","",DADOS!C5946)</f>
        <v/>
      </c>
      <c r="F5946" s="9" t="str">
        <f>IF(DADOS!E5946="","",DADOS!E5946)</f>
        <v/>
      </c>
      <c r="G5946" s="9" t="str">
        <f>IF(DADOS!F5946="","",DADOS!F5946)</f>
        <v/>
      </c>
      <c r="K5946" s="6" t="str">
        <f t="shared" si="465"/>
        <v/>
      </c>
      <c r="L5946" s="7" t="str">
        <f t="shared" si="466"/>
        <v/>
      </c>
      <c r="M5946" s="7" t="str">
        <f t="shared" si="463"/>
        <v/>
      </c>
      <c r="N5946" s="7" t="str">
        <f t="shared" si="467"/>
        <v/>
      </c>
      <c r="O5946" s="8"/>
      <c r="P5946" s="26"/>
      <c r="S5946" s="10" t="str">
        <f t="shared" si="464"/>
        <v/>
      </c>
    </row>
    <row r="5947" spans="5:19" x14ac:dyDescent="0.3">
      <c r="E5947" s="9" t="str">
        <f>IF(DADOS!C5947="","",DADOS!C5947)</f>
        <v/>
      </c>
      <c r="F5947" s="9" t="str">
        <f>IF(DADOS!E5947="","",DADOS!E5947)</f>
        <v/>
      </c>
      <c r="G5947" s="9" t="str">
        <f>IF(DADOS!F5947="","",DADOS!F5947)</f>
        <v/>
      </c>
      <c r="K5947" s="6" t="str">
        <f t="shared" si="465"/>
        <v/>
      </c>
      <c r="L5947" s="7" t="str">
        <f t="shared" si="466"/>
        <v/>
      </c>
      <c r="M5947" s="7" t="str">
        <f t="shared" si="463"/>
        <v/>
      </c>
      <c r="N5947" s="7" t="str">
        <f t="shared" si="467"/>
        <v/>
      </c>
      <c r="O5947" s="8"/>
      <c r="P5947" s="26"/>
      <c r="S5947" s="10" t="str">
        <f t="shared" si="464"/>
        <v/>
      </c>
    </row>
    <row r="5948" spans="5:19" x14ac:dyDescent="0.3">
      <c r="E5948" s="9" t="str">
        <f>IF(DADOS!C5948="","",DADOS!C5948)</f>
        <v/>
      </c>
      <c r="F5948" s="9" t="str">
        <f>IF(DADOS!E5948="","",DADOS!E5948)</f>
        <v/>
      </c>
      <c r="G5948" s="9" t="str">
        <f>IF(DADOS!F5948="","",DADOS!F5948)</f>
        <v/>
      </c>
      <c r="K5948" s="6" t="str">
        <f t="shared" si="465"/>
        <v/>
      </c>
      <c r="L5948" s="7" t="str">
        <f t="shared" si="466"/>
        <v/>
      </c>
      <c r="M5948" s="7" t="str">
        <f t="shared" si="463"/>
        <v/>
      </c>
      <c r="N5948" s="7" t="str">
        <f t="shared" si="467"/>
        <v/>
      </c>
      <c r="O5948" s="8"/>
      <c r="P5948" s="26"/>
      <c r="S5948" s="10" t="str">
        <f t="shared" si="464"/>
        <v/>
      </c>
    </row>
    <row r="5949" spans="5:19" x14ac:dyDescent="0.3">
      <c r="E5949" s="9" t="str">
        <f>IF(DADOS!C5949="","",DADOS!C5949)</f>
        <v/>
      </c>
      <c r="F5949" s="9" t="str">
        <f>IF(DADOS!E5949="","",DADOS!E5949)</f>
        <v/>
      </c>
      <c r="G5949" s="9" t="str">
        <f>IF(DADOS!F5949="","",DADOS!F5949)</f>
        <v/>
      </c>
      <c r="K5949" s="6" t="str">
        <f t="shared" si="465"/>
        <v/>
      </c>
      <c r="L5949" s="7" t="str">
        <f t="shared" si="466"/>
        <v/>
      </c>
      <c r="M5949" s="7" t="str">
        <f t="shared" si="463"/>
        <v/>
      </c>
      <c r="N5949" s="7" t="str">
        <f t="shared" si="467"/>
        <v/>
      </c>
      <c r="O5949" s="8"/>
      <c r="P5949" s="26"/>
      <c r="S5949" s="10" t="str">
        <f t="shared" si="464"/>
        <v/>
      </c>
    </row>
    <row r="5950" spans="5:19" x14ac:dyDescent="0.3">
      <c r="E5950" s="9" t="str">
        <f>IF(DADOS!C5950="","",DADOS!C5950)</f>
        <v/>
      </c>
      <c r="F5950" s="9" t="str">
        <f>IF(DADOS!E5950="","",DADOS!E5950)</f>
        <v/>
      </c>
      <c r="G5950" s="9" t="str">
        <f>IF(DADOS!F5950="","",DADOS!F5950)</f>
        <v/>
      </c>
      <c r="K5950" s="6" t="str">
        <f t="shared" si="465"/>
        <v/>
      </c>
      <c r="L5950" s="7" t="str">
        <f t="shared" si="466"/>
        <v/>
      </c>
      <c r="M5950" s="7" t="str">
        <f t="shared" si="463"/>
        <v/>
      </c>
      <c r="N5950" s="7" t="str">
        <f t="shared" si="467"/>
        <v/>
      </c>
      <c r="O5950" s="8"/>
      <c r="P5950" s="26"/>
      <c r="S5950" s="10" t="str">
        <f t="shared" si="464"/>
        <v/>
      </c>
    </row>
    <row r="5951" spans="5:19" x14ac:dyDescent="0.3">
      <c r="E5951" s="9" t="str">
        <f>IF(DADOS!C5951="","",DADOS!C5951)</f>
        <v/>
      </c>
      <c r="F5951" s="9" t="str">
        <f>IF(DADOS!E5951="","",DADOS!E5951)</f>
        <v/>
      </c>
      <c r="G5951" s="9" t="str">
        <f>IF(DADOS!F5951="","",DADOS!F5951)</f>
        <v/>
      </c>
      <c r="K5951" s="6" t="str">
        <f t="shared" si="465"/>
        <v/>
      </c>
      <c r="L5951" s="7" t="str">
        <f t="shared" si="466"/>
        <v/>
      </c>
      <c r="M5951" s="7" t="str">
        <f t="shared" si="463"/>
        <v/>
      </c>
      <c r="N5951" s="7" t="str">
        <f t="shared" si="467"/>
        <v/>
      </c>
      <c r="O5951" s="8"/>
      <c r="P5951" s="26"/>
      <c r="S5951" s="10" t="str">
        <f t="shared" si="464"/>
        <v/>
      </c>
    </row>
    <row r="5952" spans="5:19" x14ac:dyDescent="0.3">
      <c r="E5952" s="9" t="str">
        <f>IF(DADOS!C5952="","",DADOS!C5952)</f>
        <v/>
      </c>
      <c r="F5952" s="9" t="str">
        <f>IF(DADOS!E5952="","",DADOS!E5952)</f>
        <v/>
      </c>
      <c r="G5952" s="9" t="str">
        <f>IF(DADOS!F5952="","",DADOS!F5952)</f>
        <v/>
      </c>
      <c r="K5952" s="6" t="str">
        <f t="shared" si="465"/>
        <v/>
      </c>
      <c r="L5952" s="7" t="str">
        <f t="shared" si="466"/>
        <v/>
      </c>
      <c r="M5952" s="7" t="str">
        <f t="shared" si="463"/>
        <v/>
      </c>
      <c r="N5952" s="7" t="str">
        <f t="shared" si="467"/>
        <v/>
      </c>
      <c r="O5952" s="8"/>
      <c r="P5952" s="26"/>
      <c r="S5952" s="10" t="str">
        <f t="shared" si="464"/>
        <v/>
      </c>
    </row>
    <row r="5953" spans="5:19" x14ac:dyDescent="0.3">
      <c r="E5953" s="9" t="str">
        <f>IF(DADOS!C5953="","",DADOS!C5953)</f>
        <v/>
      </c>
      <c r="F5953" s="9" t="str">
        <f>IF(DADOS!E5953="","",DADOS!E5953)</f>
        <v/>
      </c>
      <c r="G5953" s="9" t="str">
        <f>IF(DADOS!F5953="","",DADOS!F5953)</f>
        <v/>
      </c>
      <c r="K5953" s="6" t="str">
        <f t="shared" si="465"/>
        <v/>
      </c>
      <c r="L5953" s="7" t="str">
        <f t="shared" si="466"/>
        <v/>
      </c>
      <c r="M5953" s="7" t="str">
        <f t="shared" si="463"/>
        <v/>
      </c>
      <c r="N5953" s="7" t="str">
        <f t="shared" si="467"/>
        <v/>
      </c>
      <c r="O5953" s="8"/>
      <c r="P5953" s="26"/>
      <c r="S5953" s="10" t="str">
        <f t="shared" si="464"/>
        <v/>
      </c>
    </row>
    <row r="5954" spans="5:19" x14ac:dyDescent="0.3">
      <c r="E5954" s="9" t="str">
        <f>IF(DADOS!C5954="","",DADOS!C5954)</f>
        <v/>
      </c>
      <c r="F5954" s="9" t="str">
        <f>IF(DADOS!E5954="","",DADOS!E5954)</f>
        <v/>
      </c>
      <c r="G5954" s="9" t="str">
        <f>IF(DADOS!F5954="","",DADOS!F5954)</f>
        <v/>
      </c>
      <c r="K5954" s="6" t="str">
        <f t="shared" si="465"/>
        <v/>
      </c>
      <c r="L5954" s="7" t="str">
        <f t="shared" si="466"/>
        <v/>
      </c>
      <c r="M5954" s="7" t="str">
        <f t="shared" si="463"/>
        <v/>
      </c>
      <c r="N5954" s="7" t="str">
        <f t="shared" si="467"/>
        <v/>
      </c>
      <c r="O5954" s="8"/>
      <c r="P5954" s="26"/>
      <c r="S5954" s="10" t="str">
        <f t="shared" si="464"/>
        <v/>
      </c>
    </row>
    <row r="5955" spans="5:19" x14ac:dyDescent="0.3">
      <c r="E5955" s="9" t="str">
        <f>IF(DADOS!C5955="","",DADOS!C5955)</f>
        <v/>
      </c>
      <c r="F5955" s="9" t="str">
        <f>IF(DADOS!E5955="","",DADOS!E5955)</f>
        <v/>
      </c>
      <c r="G5955" s="9" t="str">
        <f>IF(DADOS!F5955="","",DADOS!F5955)</f>
        <v/>
      </c>
      <c r="K5955" s="6" t="str">
        <f t="shared" si="465"/>
        <v/>
      </c>
      <c r="L5955" s="7" t="str">
        <f t="shared" si="466"/>
        <v/>
      </c>
      <c r="M5955" s="7" t="str">
        <f t="shared" ref="M5955:M6018" si="468">IF(L5955="","",L5955*G5955)</f>
        <v/>
      </c>
      <c r="N5955" s="7" t="str">
        <f t="shared" si="467"/>
        <v/>
      </c>
      <c r="O5955" s="8"/>
      <c r="P5955" s="26"/>
      <c r="S5955" s="10" t="str">
        <f t="shared" ref="S5955:S6018" si="469">IF(R5955="","",SUMIFS($N$3:$N$10000,$E$3:$E$10000,R5955))</f>
        <v/>
      </c>
    </row>
    <row r="5956" spans="5:19" x14ac:dyDescent="0.3">
      <c r="E5956" s="9" t="str">
        <f>IF(DADOS!C5956="","",DADOS!C5956)</f>
        <v/>
      </c>
      <c r="F5956" s="9" t="str">
        <f>IF(DADOS!E5956="","",DADOS!E5956)</f>
        <v/>
      </c>
      <c r="G5956" s="9" t="str">
        <f>IF(DADOS!F5956="","",DADOS!F5956)</f>
        <v/>
      </c>
      <c r="K5956" s="6" t="str">
        <f t="shared" ref="K5956:K6019" si="470">IF(F5956="","",F5956/PI())</f>
        <v/>
      </c>
      <c r="L5956" s="7" t="str">
        <f t="shared" ref="L5956:L6019" si="471">IF(K5956="","",(PI()*K5956^2)/40000)</f>
        <v/>
      </c>
      <c r="M5956" s="7" t="str">
        <f t="shared" si="468"/>
        <v/>
      </c>
      <c r="N5956" s="7" t="str">
        <f t="shared" ref="N5956:N6019" si="472">IF(M5956="","",M5956*N$1)</f>
        <v/>
      </c>
      <c r="O5956" s="8"/>
      <c r="P5956" s="26"/>
      <c r="S5956" s="10" t="str">
        <f t="shared" si="469"/>
        <v/>
      </c>
    </row>
    <row r="5957" spans="5:19" x14ac:dyDescent="0.3">
      <c r="E5957" s="9" t="str">
        <f>IF(DADOS!C5957="","",DADOS!C5957)</f>
        <v/>
      </c>
      <c r="F5957" s="9" t="str">
        <f>IF(DADOS!E5957="","",DADOS!E5957)</f>
        <v/>
      </c>
      <c r="G5957" s="9" t="str">
        <f>IF(DADOS!F5957="","",DADOS!F5957)</f>
        <v/>
      </c>
      <c r="K5957" s="6" t="str">
        <f t="shared" si="470"/>
        <v/>
      </c>
      <c r="L5957" s="7" t="str">
        <f t="shared" si="471"/>
        <v/>
      </c>
      <c r="M5957" s="7" t="str">
        <f t="shared" si="468"/>
        <v/>
      </c>
      <c r="N5957" s="7" t="str">
        <f t="shared" si="472"/>
        <v/>
      </c>
      <c r="O5957" s="8"/>
      <c r="P5957" s="26"/>
      <c r="S5957" s="10" t="str">
        <f t="shared" si="469"/>
        <v/>
      </c>
    </row>
    <row r="5958" spans="5:19" x14ac:dyDescent="0.3">
      <c r="E5958" s="9" t="str">
        <f>IF(DADOS!C5958="","",DADOS!C5958)</f>
        <v/>
      </c>
      <c r="F5958" s="9" t="str">
        <f>IF(DADOS!E5958="","",DADOS!E5958)</f>
        <v/>
      </c>
      <c r="G5958" s="9" t="str">
        <f>IF(DADOS!F5958="","",DADOS!F5958)</f>
        <v/>
      </c>
      <c r="K5958" s="6" t="str">
        <f t="shared" si="470"/>
        <v/>
      </c>
      <c r="L5958" s="7" t="str">
        <f t="shared" si="471"/>
        <v/>
      </c>
      <c r="M5958" s="7" t="str">
        <f t="shared" si="468"/>
        <v/>
      </c>
      <c r="N5958" s="7" t="str">
        <f t="shared" si="472"/>
        <v/>
      </c>
      <c r="O5958" s="8"/>
      <c r="P5958" s="26"/>
      <c r="S5958" s="10" t="str">
        <f t="shared" si="469"/>
        <v/>
      </c>
    </row>
    <row r="5959" spans="5:19" x14ac:dyDescent="0.3">
      <c r="E5959" s="9" t="str">
        <f>IF(DADOS!C5959="","",DADOS!C5959)</f>
        <v/>
      </c>
      <c r="F5959" s="9" t="str">
        <f>IF(DADOS!E5959="","",DADOS!E5959)</f>
        <v/>
      </c>
      <c r="G5959" s="9" t="str">
        <f>IF(DADOS!F5959="","",DADOS!F5959)</f>
        <v/>
      </c>
      <c r="K5959" s="6" t="str">
        <f t="shared" si="470"/>
        <v/>
      </c>
      <c r="L5959" s="7" t="str">
        <f t="shared" si="471"/>
        <v/>
      </c>
      <c r="M5959" s="7" t="str">
        <f t="shared" si="468"/>
        <v/>
      </c>
      <c r="N5959" s="7" t="str">
        <f t="shared" si="472"/>
        <v/>
      </c>
      <c r="O5959" s="8"/>
      <c r="P5959" s="26"/>
      <c r="S5959" s="10" t="str">
        <f t="shared" si="469"/>
        <v/>
      </c>
    </row>
    <row r="5960" spans="5:19" x14ac:dyDescent="0.3">
      <c r="E5960" s="9" t="str">
        <f>IF(DADOS!C5960="","",DADOS!C5960)</f>
        <v/>
      </c>
      <c r="F5960" s="9" t="str">
        <f>IF(DADOS!E5960="","",DADOS!E5960)</f>
        <v/>
      </c>
      <c r="G5960" s="9" t="str">
        <f>IF(DADOS!F5960="","",DADOS!F5960)</f>
        <v/>
      </c>
      <c r="K5960" s="6" t="str">
        <f t="shared" si="470"/>
        <v/>
      </c>
      <c r="L5960" s="7" t="str">
        <f t="shared" si="471"/>
        <v/>
      </c>
      <c r="M5960" s="7" t="str">
        <f t="shared" si="468"/>
        <v/>
      </c>
      <c r="N5960" s="7" t="str">
        <f t="shared" si="472"/>
        <v/>
      </c>
      <c r="O5960" s="8"/>
      <c r="P5960" s="26"/>
      <c r="S5960" s="10" t="str">
        <f t="shared" si="469"/>
        <v/>
      </c>
    </row>
    <row r="5961" spans="5:19" x14ac:dyDescent="0.3">
      <c r="E5961" s="9" t="str">
        <f>IF(DADOS!C5961="","",DADOS!C5961)</f>
        <v/>
      </c>
      <c r="F5961" s="9" t="str">
        <f>IF(DADOS!E5961="","",DADOS!E5961)</f>
        <v/>
      </c>
      <c r="G5961" s="9" t="str">
        <f>IF(DADOS!F5961="","",DADOS!F5961)</f>
        <v/>
      </c>
      <c r="K5961" s="6" t="str">
        <f t="shared" si="470"/>
        <v/>
      </c>
      <c r="L5961" s="7" t="str">
        <f t="shared" si="471"/>
        <v/>
      </c>
      <c r="M5961" s="7" t="str">
        <f t="shared" si="468"/>
        <v/>
      </c>
      <c r="N5961" s="7" t="str">
        <f t="shared" si="472"/>
        <v/>
      </c>
      <c r="O5961" s="8"/>
      <c r="P5961" s="26"/>
      <c r="S5961" s="10" t="str">
        <f t="shared" si="469"/>
        <v/>
      </c>
    </row>
    <row r="5962" spans="5:19" x14ac:dyDescent="0.3">
      <c r="E5962" s="9" t="str">
        <f>IF(DADOS!C5962="","",DADOS!C5962)</f>
        <v/>
      </c>
      <c r="F5962" s="9" t="str">
        <f>IF(DADOS!E5962="","",DADOS!E5962)</f>
        <v/>
      </c>
      <c r="G5962" s="9" t="str">
        <f>IF(DADOS!F5962="","",DADOS!F5962)</f>
        <v/>
      </c>
      <c r="K5962" s="6" t="str">
        <f t="shared" si="470"/>
        <v/>
      </c>
      <c r="L5962" s="7" t="str">
        <f t="shared" si="471"/>
        <v/>
      </c>
      <c r="M5962" s="7" t="str">
        <f t="shared" si="468"/>
        <v/>
      </c>
      <c r="N5962" s="7" t="str">
        <f t="shared" si="472"/>
        <v/>
      </c>
      <c r="O5962" s="8"/>
      <c r="P5962" s="26"/>
      <c r="S5962" s="10" t="str">
        <f t="shared" si="469"/>
        <v/>
      </c>
    </row>
    <row r="5963" spans="5:19" x14ac:dyDescent="0.3">
      <c r="E5963" s="9" t="str">
        <f>IF(DADOS!C5963="","",DADOS!C5963)</f>
        <v/>
      </c>
      <c r="F5963" s="9" t="str">
        <f>IF(DADOS!E5963="","",DADOS!E5963)</f>
        <v/>
      </c>
      <c r="G5963" s="9" t="str">
        <f>IF(DADOS!F5963="","",DADOS!F5963)</f>
        <v/>
      </c>
      <c r="K5963" s="6" t="str">
        <f t="shared" si="470"/>
        <v/>
      </c>
      <c r="L5963" s="7" t="str">
        <f t="shared" si="471"/>
        <v/>
      </c>
      <c r="M5963" s="7" t="str">
        <f t="shared" si="468"/>
        <v/>
      </c>
      <c r="N5963" s="7" t="str">
        <f t="shared" si="472"/>
        <v/>
      </c>
      <c r="O5963" s="8"/>
      <c r="P5963" s="26"/>
      <c r="S5963" s="10" t="str">
        <f t="shared" si="469"/>
        <v/>
      </c>
    </row>
    <row r="5964" spans="5:19" x14ac:dyDescent="0.3">
      <c r="E5964" s="9" t="str">
        <f>IF(DADOS!C5964="","",DADOS!C5964)</f>
        <v/>
      </c>
      <c r="F5964" s="9" t="str">
        <f>IF(DADOS!E5964="","",DADOS!E5964)</f>
        <v/>
      </c>
      <c r="G5964" s="9" t="str">
        <f>IF(DADOS!F5964="","",DADOS!F5964)</f>
        <v/>
      </c>
      <c r="K5964" s="6" t="str">
        <f t="shared" si="470"/>
        <v/>
      </c>
      <c r="L5964" s="7" t="str">
        <f t="shared" si="471"/>
        <v/>
      </c>
      <c r="M5964" s="7" t="str">
        <f t="shared" si="468"/>
        <v/>
      </c>
      <c r="N5964" s="7" t="str">
        <f t="shared" si="472"/>
        <v/>
      </c>
      <c r="O5964" s="8"/>
      <c r="P5964" s="26"/>
      <c r="S5964" s="10" t="str">
        <f t="shared" si="469"/>
        <v/>
      </c>
    </row>
    <row r="5965" spans="5:19" x14ac:dyDescent="0.3">
      <c r="E5965" s="9" t="str">
        <f>IF(DADOS!C5965="","",DADOS!C5965)</f>
        <v/>
      </c>
      <c r="F5965" s="9" t="str">
        <f>IF(DADOS!E5965="","",DADOS!E5965)</f>
        <v/>
      </c>
      <c r="G5965" s="9" t="str">
        <f>IF(DADOS!F5965="","",DADOS!F5965)</f>
        <v/>
      </c>
      <c r="K5965" s="6" t="str">
        <f t="shared" si="470"/>
        <v/>
      </c>
      <c r="L5965" s="7" t="str">
        <f t="shared" si="471"/>
        <v/>
      </c>
      <c r="M5965" s="7" t="str">
        <f t="shared" si="468"/>
        <v/>
      </c>
      <c r="N5965" s="7" t="str">
        <f t="shared" si="472"/>
        <v/>
      </c>
      <c r="O5965" s="8"/>
      <c r="P5965" s="26"/>
      <c r="S5965" s="10" t="str">
        <f t="shared" si="469"/>
        <v/>
      </c>
    </row>
    <row r="5966" spans="5:19" x14ac:dyDescent="0.3">
      <c r="E5966" s="9" t="str">
        <f>IF(DADOS!C5966="","",DADOS!C5966)</f>
        <v/>
      </c>
      <c r="F5966" s="9" t="str">
        <f>IF(DADOS!E5966="","",DADOS!E5966)</f>
        <v/>
      </c>
      <c r="G5966" s="9" t="str">
        <f>IF(DADOS!F5966="","",DADOS!F5966)</f>
        <v/>
      </c>
      <c r="K5966" s="6" t="str">
        <f t="shared" si="470"/>
        <v/>
      </c>
      <c r="L5966" s="7" t="str">
        <f t="shared" si="471"/>
        <v/>
      </c>
      <c r="M5966" s="7" t="str">
        <f t="shared" si="468"/>
        <v/>
      </c>
      <c r="N5966" s="7" t="str">
        <f t="shared" si="472"/>
        <v/>
      </c>
      <c r="O5966" s="8"/>
      <c r="P5966" s="26"/>
      <c r="S5966" s="10" t="str">
        <f t="shared" si="469"/>
        <v/>
      </c>
    </row>
    <row r="5967" spans="5:19" x14ac:dyDescent="0.3">
      <c r="E5967" s="9" t="str">
        <f>IF(DADOS!C5967="","",DADOS!C5967)</f>
        <v/>
      </c>
      <c r="F5967" s="9" t="str">
        <f>IF(DADOS!E5967="","",DADOS!E5967)</f>
        <v/>
      </c>
      <c r="G5967" s="9" t="str">
        <f>IF(DADOS!F5967="","",DADOS!F5967)</f>
        <v/>
      </c>
      <c r="K5967" s="6" t="str">
        <f t="shared" si="470"/>
        <v/>
      </c>
      <c r="L5967" s="7" t="str">
        <f t="shared" si="471"/>
        <v/>
      </c>
      <c r="M5967" s="7" t="str">
        <f t="shared" si="468"/>
        <v/>
      </c>
      <c r="N5967" s="7" t="str">
        <f t="shared" si="472"/>
        <v/>
      </c>
      <c r="O5967" s="8"/>
      <c r="P5967" s="26"/>
      <c r="S5967" s="10" t="str">
        <f t="shared" si="469"/>
        <v/>
      </c>
    </row>
    <row r="5968" spans="5:19" x14ac:dyDescent="0.3">
      <c r="E5968" s="9" t="str">
        <f>IF(DADOS!C5968="","",DADOS!C5968)</f>
        <v/>
      </c>
      <c r="F5968" s="9" t="str">
        <f>IF(DADOS!E5968="","",DADOS!E5968)</f>
        <v/>
      </c>
      <c r="G5968" s="9" t="str">
        <f>IF(DADOS!F5968="","",DADOS!F5968)</f>
        <v/>
      </c>
      <c r="K5968" s="6" t="str">
        <f t="shared" si="470"/>
        <v/>
      </c>
      <c r="L5968" s="7" t="str">
        <f t="shared" si="471"/>
        <v/>
      </c>
      <c r="M5968" s="7" t="str">
        <f t="shared" si="468"/>
        <v/>
      </c>
      <c r="N5968" s="7" t="str">
        <f t="shared" si="472"/>
        <v/>
      </c>
      <c r="O5968" s="8"/>
      <c r="P5968" s="26"/>
      <c r="S5968" s="10" t="str">
        <f t="shared" si="469"/>
        <v/>
      </c>
    </row>
    <row r="5969" spans="5:19" x14ac:dyDescent="0.3">
      <c r="E5969" s="9" t="str">
        <f>IF(DADOS!C5969="","",DADOS!C5969)</f>
        <v/>
      </c>
      <c r="F5969" s="9" t="str">
        <f>IF(DADOS!E5969="","",DADOS!E5969)</f>
        <v/>
      </c>
      <c r="G5969" s="9" t="str">
        <f>IF(DADOS!F5969="","",DADOS!F5969)</f>
        <v/>
      </c>
      <c r="K5969" s="6" t="str">
        <f t="shared" si="470"/>
        <v/>
      </c>
      <c r="L5969" s="7" t="str">
        <f t="shared" si="471"/>
        <v/>
      </c>
      <c r="M5969" s="7" t="str">
        <f t="shared" si="468"/>
        <v/>
      </c>
      <c r="N5969" s="7" t="str">
        <f t="shared" si="472"/>
        <v/>
      </c>
      <c r="O5969" s="8"/>
      <c r="P5969" s="26"/>
      <c r="S5969" s="10" t="str">
        <f t="shared" si="469"/>
        <v/>
      </c>
    </row>
    <row r="5970" spans="5:19" x14ac:dyDescent="0.3">
      <c r="E5970" s="9" t="str">
        <f>IF(DADOS!C5970="","",DADOS!C5970)</f>
        <v/>
      </c>
      <c r="F5970" s="9" t="str">
        <f>IF(DADOS!E5970="","",DADOS!E5970)</f>
        <v/>
      </c>
      <c r="G5970" s="9" t="str">
        <f>IF(DADOS!F5970="","",DADOS!F5970)</f>
        <v/>
      </c>
      <c r="K5970" s="6" t="str">
        <f t="shared" si="470"/>
        <v/>
      </c>
      <c r="L5970" s="7" t="str">
        <f t="shared" si="471"/>
        <v/>
      </c>
      <c r="M5970" s="7" t="str">
        <f t="shared" si="468"/>
        <v/>
      </c>
      <c r="N5970" s="7" t="str">
        <f t="shared" si="472"/>
        <v/>
      </c>
      <c r="O5970" s="8"/>
      <c r="P5970" s="26"/>
      <c r="S5970" s="10" t="str">
        <f t="shared" si="469"/>
        <v/>
      </c>
    </row>
    <row r="5971" spans="5:19" x14ac:dyDescent="0.3">
      <c r="E5971" s="9" t="str">
        <f>IF(DADOS!C5971="","",DADOS!C5971)</f>
        <v/>
      </c>
      <c r="F5971" s="9" t="str">
        <f>IF(DADOS!E5971="","",DADOS!E5971)</f>
        <v/>
      </c>
      <c r="G5971" s="9" t="str">
        <f>IF(DADOS!F5971="","",DADOS!F5971)</f>
        <v/>
      </c>
      <c r="K5971" s="6" t="str">
        <f t="shared" si="470"/>
        <v/>
      </c>
      <c r="L5971" s="7" t="str">
        <f t="shared" si="471"/>
        <v/>
      </c>
      <c r="M5971" s="7" t="str">
        <f t="shared" si="468"/>
        <v/>
      </c>
      <c r="N5971" s="7" t="str">
        <f t="shared" si="472"/>
        <v/>
      </c>
      <c r="O5971" s="8"/>
      <c r="P5971" s="26"/>
      <c r="S5971" s="10" t="str">
        <f t="shared" si="469"/>
        <v/>
      </c>
    </row>
    <row r="5972" spans="5:19" x14ac:dyDescent="0.3">
      <c r="E5972" s="9" t="str">
        <f>IF(DADOS!C5972="","",DADOS!C5972)</f>
        <v/>
      </c>
      <c r="F5972" s="9" t="str">
        <f>IF(DADOS!E5972="","",DADOS!E5972)</f>
        <v/>
      </c>
      <c r="G5972" s="9" t="str">
        <f>IF(DADOS!F5972="","",DADOS!F5972)</f>
        <v/>
      </c>
      <c r="K5972" s="6" t="str">
        <f t="shared" si="470"/>
        <v/>
      </c>
      <c r="L5972" s="7" t="str">
        <f t="shared" si="471"/>
        <v/>
      </c>
      <c r="M5972" s="7" t="str">
        <f t="shared" si="468"/>
        <v/>
      </c>
      <c r="N5972" s="7" t="str">
        <f t="shared" si="472"/>
        <v/>
      </c>
      <c r="O5972" s="8"/>
      <c r="P5972" s="26"/>
      <c r="S5972" s="10" t="str">
        <f t="shared" si="469"/>
        <v/>
      </c>
    </row>
    <row r="5973" spans="5:19" x14ac:dyDescent="0.3">
      <c r="E5973" s="9" t="str">
        <f>IF(DADOS!C5973="","",DADOS!C5973)</f>
        <v/>
      </c>
      <c r="F5973" s="9" t="str">
        <f>IF(DADOS!E5973="","",DADOS!E5973)</f>
        <v/>
      </c>
      <c r="G5973" s="9" t="str">
        <f>IF(DADOS!F5973="","",DADOS!F5973)</f>
        <v/>
      </c>
      <c r="K5973" s="6" t="str">
        <f t="shared" si="470"/>
        <v/>
      </c>
      <c r="L5973" s="7" t="str">
        <f t="shared" si="471"/>
        <v/>
      </c>
      <c r="M5973" s="7" t="str">
        <f t="shared" si="468"/>
        <v/>
      </c>
      <c r="N5973" s="7" t="str">
        <f t="shared" si="472"/>
        <v/>
      </c>
      <c r="O5973" s="8"/>
      <c r="P5973" s="26"/>
      <c r="S5973" s="10" t="str">
        <f t="shared" si="469"/>
        <v/>
      </c>
    </row>
    <row r="5974" spans="5:19" x14ac:dyDescent="0.3">
      <c r="E5974" s="9" t="str">
        <f>IF(DADOS!C5974="","",DADOS!C5974)</f>
        <v/>
      </c>
      <c r="F5974" s="9" t="str">
        <f>IF(DADOS!E5974="","",DADOS!E5974)</f>
        <v/>
      </c>
      <c r="G5974" s="9" t="str">
        <f>IF(DADOS!F5974="","",DADOS!F5974)</f>
        <v/>
      </c>
      <c r="K5974" s="6" t="str">
        <f t="shared" si="470"/>
        <v/>
      </c>
      <c r="L5974" s="7" t="str">
        <f t="shared" si="471"/>
        <v/>
      </c>
      <c r="M5974" s="7" t="str">
        <f t="shared" si="468"/>
        <v/>
      </c>
      <c r="N5974" s="7" t="str">
        <f t="shared" si="472"/>
        <v/>
      </c>
      <c r="O5974" s="8"/>
      <c r="P5974" s="26"/>
      <c r="S5974" s="10" t="str">
        <f t="shared" si="469"/>
        <v/>
      </c>
    </row>
    <row r="5975" spans="5:19" x14ac:dyDescent="0.3">
      <c r="E5975" s="9" t="str">
        <f>IF(DADOS!C5975="","",DADOS!C5975)</f>
        <v/>
      </c>
      <c r="F5975" s="9" t="str">
        <f>IF(DADOS!E5975="","",DADOS!E5975)</f>
        <v/>
      </c>
      <c r="G5975" s="9" t="str">
        <f>IF(DADOS!F5975="","",DADOS!F5975)</f>
        <v/>
      </c>
      <c r="K5975" s="6" t="str">
        <f t="shared" si="470"/>
        <v/>
      </c>
      <c r="L5975" s="7" t="str">
        <f t="shared" si="471"/>
        <v/>
      </c>
      <c r="M5975" s="7" t="str">
        <f t="shared" si="468"/>
        <v/>
      </c>
      <c r="N5975" s="7" t="str">
        <f t="shared" si="472"/>
        <v/>
      </c>
      <c r="O5975" s="8"/>
      <c r="P5975" s="26"/>
      <c r="S5975" s="10" t="str">
        <f t="shared" si="469"/>
        <v/>
      </c>
    </row>
    <row r="5976" spans="5:19" x14ac:dyDescent="0.3">
      <c r="E5976" s="9" t="str">
        <f>IF(DADOS!C5976="","",DADOS!C5976)</f>
        <v/>
      </c>
      <c r="F5976" s="9" t="str">
        <f>IF(DADOS!E5976="","",DADOS!E5976)</f>
        <v/>
      </c>
      <c r="G5976" s="9" t="str">
        <f>IF(DADOS!F5976="","",DADOS!F5976)</f>
        <v/>
      </c>
      <c r="K5976" s="6" t="str">
        <f t="shared" si="470"/>
        <v/>
      </c>
      <c r="L5976" s="7" t="str">
        <f t="shared" si="471"/>
        <v/>
      </c>
      <c r="M5976" s="7" t="str">
        <f t="shared" si="468"/>
        <v/>
      </c>
      <c r="N5976" s="7" t="str">
        <f t="shared" si="472"/>
        <v/>
      </c>
      <c r="O5976" s="8"/>
      <c r="P5976" s="26"/>
      <c r="S5976" s="10" t="str">
        <f t="shared" si="469"/>
        <v/>
      </c>
    </row>
    <row r="5977" spans="5:19" x14ac:dyDescent="0.3">
      <c r="E5977" s="9" t="str">
        <f>IF(DADOS!C5977="","",DADOS!C5977)</f>
        <v/>
      </c>
      <c r="F5977" s="9" t="str">
        <f>IF(DADOS!E5977="","",DADOS!E5977)</f>
        <v/>
      </c>
      <c r="G5977" s="9" t="str">
        <f>IF(DADOS!F5977="","",DADOS!F5977)</f>
        <v/>
      </c>
      <c r="K5977" s="6" t="str">
        <f t="shared" si="470"/>
        <v/>
      </c>
      <c r="L5977" s="7" t="str">
        <f t="shared" si="471"/>
        <v/>
      </c>
      <c r="M5977" s="7" t="str">
        <f t="shared" si="468"/>
        <v/>
      </c>
      <c r="N5977" s="7" t="str">
        <f t="shared" si="472"/>
        <v/>
      </c>
      <c r="O5977" s="8"/>
      <c r="P5977" s="26"/>
      <c r="S5977" s="10" t="str">
        <f t="shared" si="469"/>
        <v/>
      </c>
    </row>
    <row r="5978" spans="5:19" x14ac:dyDescent="0.3">
      <c r="E5978" s="9" t="str">
        <f>IF(DADOS!C5978="","",DADOS!C5978)</f>
        <v/>
      </c>
      <c r="F5978" s="9" t="str">
        <f>IF(DADOS!E5978="","",DADOS!E5978)</f>
        <v/>
      </c>
      <c r="G5978" s="9" t="str">
        <f>IF(DADOS!F5978="","",DADOS!F5978)</f>
        <v/>
      </c>
      <c r="K5978" s="6" t="str">
        <f t="shared" si="470"/>
        <v/>
      </c>
      <c r="L5978" s="7" t="str">
        <f t="shared" si="471"/>
        <v/>
      </c>
      <c r="M5978" s="7" t="str">
        <f t="shared" si="468"/>
        <v/>
      </c>
      <c r="N5978" s="7" t="str">
        <f t="shared" si="472"/>
        <v/>
      </c>
      <c r="O5978" s="8"/>
      <c r="P5978" s="26"/>
      <c r="S5978" s="10" t="str">
        <f t="shared" si="469"/>
        <v/>
      </c>
    </row>
    <row r="5979" spans="5:19" x14ac:dyDescent="0.3">
      <c r="E5979" s="9" t="str">
        <f>IF(DADOS!C5979="","",DADOS!C5979)</f>
        <v/>
      </c>
      <c r="F5979" s="9" t="str">
        <f>IF(DADOS!E5979="","",DADOS!E5979)</f>
        <v/>
      </c>
      <c r="G5979" s="9" t="str">
        <f>IF(DADOS!F5979="","",DADOS!F5979)</f>
        <v/>
      </c>
      <c r="K5979" s="6" t="str">
        <f t="shared" si="470"/>
        <v/>
      </c>
      <c r="L5979" s="7" t="str">
        <f t="shared" si="471"/>
        <v/>
      </c>
      <c r="M5979" s="7" t="str">
        <f t="shared" si="468"/>
        <v/>
      </c>
      <c r="N5979" s="7" t="str">
        <f t="shared" si="472"/>
        <v/>
      </c>
      <c r="O5979" s="8"/>
      <c r="P5979" s="26"/>
      <c r="S5979" s="10" t="str">
        <f t="shared" si="469"/>
        <v/>
      </c>
    </row>
    <row r="5980" spans="5:19" x14ac:dyDescent="0.3">
      <c r="E5980" s="9" t="str">
        <f>IF(DADOS!C5980="","",DADOS!C5980)</f>
        <v/>
      </c>
      <c r="F5980" s="9" t="str">
        <f>IF(DADOS!E5980="","",DADOS!E5980)</f>
        <v/>
      </c>
      <c r="G5980" s="9" t="str">
        <f>IF(DADOS!F5980="","",DADOS!F5980)</f>
        <v/>
      </c>
      <c r="K5980" s="6" t="str">
        <f t="shared" si="470"/>
        <v/>
      </c>
      <c r="L5980" s="7" t="str">
        <f t="shared" si="471"/>
        <v/>
      </c>
      <c r="M5980" s="7" t="str">
        <f t="shared" si="468"/>
        <v/>
      </c>
      <c r="N5980" s="7" t="str">
        <f t="shared" si="472"/>
        <v/>
      </c>
      <c r="O5980" s="8"/>
      <c r="P5980" s="26"/>
      <c r="S5980" s="10" t="str">
        <f t="shared" si="469"/>
        <v/>
      </c>
    </row>
    <row r="5981" spans="5:19" x14ac:dyDescent="0.3">
      <c r="E5981" s="9" t="str">
        <f>IF(DADOS!C5981="","",DADOS!C5981)</f>
        <v/>
      </c>
      <c r="F5981" s="9" t="str">
        <f>IF(DADOS!E5981="","",DADOS!E5981)</f>
        <v/>
      </c>
      <c r="G5981" s="9" t="str">
        <f>IF(DADOS!F5981="","",DADOS!F5981)</f>
        <v/>
      </c>
      <c r="K5981" s="6" t="str">
        <f t="shared" si="470"/>
        <v/>
      </c>
      <c r="L5981" s="7" t="str">
        <f t="shared" si="471"/>
        <v/>
      </c>
      <c r="M5981" s="7" t="str">
        <f t="shared" si="468"/>
        <v/>
      </c>
      <c r="N5981" s="7" t="str">
        <f t="shared" si="472"/>
        <v/>
      </c>
      <c r="O5981" s="8"/>
      <c r="P5981" s="26"/>
      <c r="S5981" s="10" t="str">
        <f t="shared" si="469"/>
        <v/>
      </c>
    </row>
    <row r="5982" spans="5:19" x14ac:dyDescent="0.3">
      <c r="E5982" s="9" t="str">
        <f>IF(DADOS!C5982="","",DADOS!C5982)</f>
        <v/>
      </c>
      <c r="F5982" s="9" t="str">
        <f>IF(DADOS!E5982="","",DADOS!E5982)</f>
        <v/>
      </c>
      <c r="G5982" s="9" t="str">
        <f>IF(DADOS!F5982="","",DADOS!F5982)</f>
        <v/>
      </c>
      <c r="K5982" s="6" t="str">
        <f t="shared" si="470"/>
        <v/>
      </c>
      <c r="L5982" s="7" t="str">
        <f t="shared" si="471"/>
        <v/>
      </c>
      <c r="M5982" s="7" t="str">
        <f t="shared" si="468"/>
        <v/>
      </c>
      <c r="N5982" s="7" t="str">
        <f t="shared" si="472"/>
        <v/>
      </c>
      <c r="O5982" s="8"/>
      <c r="P5982" s="26"/>
      <c r="S5982" s="10" t="str">
        <f t="shared" si="469"/>
        <v/>
      </c>
    </row>
    <row r="5983" spans="5:19" x14ac:dyDescent="0.3">
      <c r="E5983" s="9" t="str">
        <f>IF(DADOS!C5983="","",DADOS!C5983)</f>
        <v/>
      </c>
      <c r="F5983" s="9" t="str">
        <f>IF(DADOS!E5983="","",DADOS!E5983)</f>
        <v/>
      </c>
      <c r="G5983" s="9" t="str">
        <f>IF(DADOS!F5983="","",DADOS!F5983)</f>
        <v/>
      </c>
      <c r="K5983" s="6" t="str">
        <f t="shared" si="470"/>
        <v/>
      </c>
      <c r="L5983" s="7" t="str">
        <f t="shared" si="471"/>
        <v/>
      </c>
      <c r="M5983" s="7" t="str">
        <f t="shared" si="468"/>
        <v/>
      </c>
      <c r="N5983" s="7" t="str">
        <f t="shared" si="472"/>
        <v/>
      </c>
      <c r="O5983" s="8"/>
      <c r="P5983" s="26"/>
      <c r="S5983" s="10" t="str">
        <f t="shared" si="469"/>
        <v/>
      </c>
    </row>
    <row r="5984" spans="5:19" x14ac:dyDescent="0.3">
      <c r="E5984" s="9" t="str">
        <f>IF(DADOS!C5984="","",DADOS!C5984)</f>
        <v/>
      </c>
      <c r="F5984" s="9" t="str">
        <f>IF(DADOS!E5984="","",DADOS!E5984)</f>
        <v/>
      </c>
      <c r="G5984" s="9" t="str">
        <f>IF(DADOS!F5984="","",DADOS!F5984)</f>
        <v/>
      </c>
      <c r="K5984" s="6" t="str">
        <f t="shared" si="470"/>
        <v/>
      </c>
      <c r="L5984" s="7" t="str">
        <f t="shared" si="471"/>
        <v/>
      </c>
      <c r="M5984" s="7" t="str">
        <f t="shared" si="468"/>
        <v/>
      </c>
      <c r="N5984" s="7" t="str">
        <f t="shared" si="472"/>
        <v/>
      </c>
      <c r="O5984" s="8"/>
      <c r="P5984" s="26"/>
      <c r="S5984" s="10" t="str">
        <f t="shared" si="469"/>
        <v/>
      </c>
    </row>
    <row r="5985" spans="5:19" x14ac:dyDescent="0.3">
      <c r="E5985" s="9" t="str">
        <f>IF(DADOS!C5985="","",DADOS!C5985)</f>
        <v/>
      </c>
      <c r="F5985" s="9" t="str">
        <f>IF(DADOS!E5985="","",DADOS!E5985)</f>
        <v/>
      </c>
      <c r="G5985" s="9" t="str">
        <f>IF(DADOS!F5985="","",DADOS!F5985)</f>
        <v/>
      </c>
      <c r="K5985" s="6" t="str">
        <f t="shared" si="470"/>
        <v/>
      </c>
      <c r="L5985" s="7" t="str">
        <f t="shared" si="471"/>
        <v/>
      </c>
      <c r="M5985" s="7" t="str">
        <f t="shared" si="468"/>
        <v/>
      </c>
      <c r="N5985" s="7" t="str">
        <f t="shared" si="472"/>
        <v/>
      </c>
      <c r="O5985" s="8"/>
      <c r="P5985" s="26"/>
      <c r="S5985" s="10" t="str">
        <f t="shared" si="469"/>
        <v/>
      </c>
    </row>
    <row r="5986" spans="5:19" x14ac:dyDescent="0.3">
      <c r="E5986" s="9" t="str">
        <f>IF(DADOS!C5986="","",DADOS!C5986)</f>
        <v/>
      </c>
      <c r="F5986" s="9" t="str">
        <f>IF(DADOS!E5986="","",DADOS!E5986)</f>
        <v/>
      </c>
      <c r="G5986" s="9" t="str">
        <f>IF(DADOS!F5986="","",DADOS!F5986)</f>
        <v/>
      </c>
      <c r="K5986" s="6" t="str">
        <f t="shared" si="470"/>
        <v/>
      </c>
      <c r="L5986" s="7" t="str">
        <f t="shared" si="471"/>
        <v/>
      </c>
      <c r="M5986" s="7" t="str">
        <f t="shared" si="468"/>
        <v/>
      </c>
      <c r="N5986" s="7" t="str">
        <f t="shared" si="472"/>
        <v/>
      </c>
      <c r="O5986" s="8"/>
      <c r="P5986" s="26"/>
      <c r="S5986" s="10" t="str">
        <f t="shared" si="469"/>
        <v/>
      </c>
    </row>
    <row r="5987" spans="5:19" x14ac:dyDescent="0.3">
      <c r="E5987" s="9" t="str">
        <f>IF(DADOS!C5987="","",DADOS!C5987)</f>
        <v/>
      </c>
      <c r="F5987" s="9" t="str">
        <f>IF(DADOS!E5987="","",DADOS!E5987)</f>
        <v/>
      </c>
      <c r="G5987" s="9" t="str">
        <f>IF(DADOS!F5987="","",DADOS!F5987)</f>
        <v/>
      </c>
      <c r="K5987" s="6" t="str">
        <f t="shared" si="470"/>
        <v/>
      </c>
      <c r="L5987" s="7" t="str">
        <f t="shared" si="471"/>
        <v/>
      </c>
      <c r="M5987" s="7" t="str">
        <f t="shared" si="468"/>
        <v/>
      </c>
      <c r="N5987" s="7" t="str">
        <f t="shared" si="472"/>
        <v/>
      </c>
      <c r="O5987" s="8"/>
      <c r="P5987" s="26"/>
      <c r="S5987" s="10" t="str">
        <f t="shared" si="469"/>
        <v/>
      </c>
    </row>
    <row r="5988" spans="5:19" x14ac:dyDescent="0.3">
      <c r="E5988" s="9" t="str">
        <f>IF(DADOS!C5988="","",DADOS!C5988)</f>
        <v/>
      </c>
      <c r="F5988" s="9" t="str">
        <f>IF(DADOS!E5988="","",DADOS!E5988)</f>
        <v/>
      </c>
      <c r="G5988" s="9" t="str">
        <f>IF(DADOS!F5988="","",DADOS!F5988)</f>
        <v/>
      </c>
      <c r="K5988" s="6" t="str">
        <f t="shared" si="470"/>
        <v/>
      </c>
      <c r="L5988" s="7" t="str">
        <f t="shared" si="471"/>
        <v/>
      </c>
      <c r="M5988" s="7" t="str">
        <f t="shared" si="468"/>
        <v/>
      </c>
      <c r="N5988" s="7" t="str">
        <f t="shared" si="472"/>
        <v/>
      </c>
      <c r="O5988" s="8"/>
      <c r="P5988" s="26"/>
      <c r="S5988" s="10" t="str">
        <f t="shared" si="469"/>
        <v/>
      </c>
    </row>
    <row r="5989" spans="5:19" x14ac:dyDescent="0.3">
      <c r="E5989" s="9" t="str">
        <f>IF(DADOS!C5989="","",DADOS!C5989)</f>
        <v/>
      </c>
      <c r="F5989" s="9" t="str">
        <f>IF(DADOS!E5989="","",DADOS!E5989)</f>
        <v/>
      </c>
      <c r="G5989" s="9" t="str">
        <f>IF(DADOS!F5989="","",DADOS!F5989)</f>
        <v/>
      </c>
      <c r="K5989" s="6" t="str">
        <f t="shared" si="470"/>
        <v/>
      </c>
      <c r="L5989" s="7" t="str">
        <f t="shared" si="471"/>
        <v/>
      </c>
      <c r="M5989" s="7" t="str">
        <f t="shared" si="468"/>
        <v/>
      </c>
      <c r="N5989" s="7" t="str">
        <f t="shared" si="472"/>
        <v/>
      </c>
      <c r="O5989" s="8"/>
      <c r="P5989" s="26"/>
      <c r="S5989" s="10" t="str">
        <f t="shared" si="469"/>
        <v/>
      </c>
    </row>
    <row r="5990" spans="5:19" x14ac:dyDescent="0.3">
      <c r="E5990" s="9" t="str">
        <f>IF(DADOS!C5990="","",DADOS!C5990)</f>
        <v/>
      </c>
      <c r="F5990" s="9" t="str">
        <f>IF(DADOS!E5990="","",DADOS!E5990)</f>
        <v/>
      </c>
      <c r="G5990" s="9" t="str">
        <f>IF(DADOS!F5990="","",DADOS!F5990)</f>
        <v/>
      </c>
      <c r="K5990" s="6" t="str">
        <f t="shared" si="470"/>
        <v/>
      </c>
      <c r="L5990" s="7" t="str">
        <f t="shared" si="471"/>
        <v/>
      </c>
      <c r="M5990" s="7" t="str">
        <f t="shared" si="468"/>
        <v/>
      </c>
      <c r="N5990" s="7" t="str">
        <f t="shared" si="472"/>
        <v/>
      </c>
      <c r="O5990" s="8"/>
      <c r="P5990" s="26"/>
      <c r="S5990" s="10" t="str">
        <f t="shared" si="469"/>
        <v/>
      </c>
    </row>
    <row r="5991" spans="5:19" x14ac:dyDescent="0.3">
      <c r="E5991" s="9" t="str">
        <f>IF(DADOS!C5991="","",DADOS!C5991)</f>
        <v/>
      </c>
      <c r="F5991" s="9" t="str">
        <f>IF(DADOS!E5991="","",DADOS!E5991)</f>
        <v/>
      </c>
      <c r="G5991" s="9" t="str">
        <f>IF(DADOS!F5991="","",DADOS!F5991)</f>
        <v/>
      </c>
      <c r="K5991" s="6" t="str">
        <f t="shared" si="470"/>
        <v/>
      </c>
      <c r="L5991" s="7" t="str">
        <f t="shared" si="471"/>
        <v/>
      </c>
      <c r="M5991" s="7" t="str">
        <f t="shared" si="468"/>
        <v/>
      </c>
      <c r="N5991" s="7" t="str">
        <f t="shared" si="472"/>
        <v/>
      </c>
      <c r="O5991" s="8"/>
      <c r="P5991" s="26"/>
      <c r="S5991" s="10" t="str">
        <f t="shared" si="469"/>
        <v/>
      </c>
    </row>
    <row r="5992" spans="5:19" x14ac:dyDescent="0.3">
      <c r="E5992" s="9" t="str">
        <f>IF(DADOS!C5992="","",DADOS!C5992)</f>
        <v/>
      </c>
      <c r="F5992" s="9" t="str">
        <f>IF(DADOS!E5992="","",DADOS!E5992)</f>
        <v/>
      </c>
      <c r="G5992" s="9" t="str">
        <f>IF(DADOS!F5992="","",DADOS!F5992)</f>
        <v/>
      </c>
      <c r="K5992" s="6" t="str">
        <f t="shared" si="470"/>
        <v/>
      </c>
      <c r="L5992" s="7" t="str">
        <f t="shared" si="471"/>
        <v/>
      </c>
      <c r="M5992" s="7" t="str">
        <f t="shared" si="468"/>
        <v/>
      </c>
      <c r="N5992" s="7" t="str">
        <f t="shared" si="472"/>
        <v/>
      </c>
      <c r="O5992" s="8"/>
      <c r="P5992" s="26"/>
      <c r="S5992" s="10" t="str">
        <f t="shared" si="469"/>
        <v/>
      </c>
    </row>
    <row r="5993" spans="5:19" x14ac:dyDescent="0.3">
      <c r="E5993" s="9" t="str">
        <f>IF(DADOS!C5993="","",DADOS!C5993)</f>
        <v/>
      </c>
      <c r="F5993" s="9" t="str">
        <f>IF(DADOS!E5993="","",DADOS!E5993)</f>
        <v/>
      </c>
      <c r="G5993" s="9" t="str">
        <f>IF(DADOS!F5993="","",DADOS!F5993)</f>
        <v/>
      </c>
      <c r="K5993" s="6" t="str">
        <f t="shared" si="470"/>
        <v/>
      </c>
      <c r="L5993" s="7" t="str">
        <f t="shared" si="471"/>
        <v/>
      </c>
      <c r="M5993" s="7" t="str">
        <f t="shared" si="468"/>
        <v/>
      </c>
      <c r="N5993" s="7" t="str">
        <f t="shared" si="472"/>
        <v/>
      </c>
      <c r="O5993" s="8"/>
      <c r="P5993" s="26"/>
      <c r="S5993" s="10" t="str">
        <f t="shared" si="469"/>
        <v/>
      </c>
    </row>
    <row r="5994" spans="5:19" x14ac:dyDescent="0.3">
      <c r="E5994" s="9" t="str">
        <f>IF(DADOS!C5994="","",DADOS!C5994)</f>
        <v/>
      </c>
      <c r="F5994" s="9" t="str">
        <f>IF(DADOS!E5994="","",DADOS!E5994)</f>
        <v/>
      </c>
      <c r="G5994" s="9" t="str">
        <f>IF(DADOS!F5994="","",DADOS!F5994)</f>
        <v/>
      </c>
      <c r="K5994" s="6" t="str">
        <f t="shared" si="470"/>
        <v/>
      </c>
      <c r="L5994" s="7" t="str">
        <f t="shared" si="471"/>
        <v/>
      </c>
      <c r="M5994" s="7" t="str">
        <f t="shared" si="468"/>
        <v/>
      </c>
      <c r="N5994" s="7" t="str">
        <f t="shared" si="472"/>
        <v/>
      </c>
      <c r="O5994" s="8"/>
      <c r="P5994" s="26"/>
      <c r="S5994" s="10" t="str">
        <f t="shared" si="469"/>
        <v/>
      </c>
    </row>
    <row r="5995" spans="5:19" x14ac:dyDescent="0.3">
      <c r="E5995" s="9" t="str">
        <f>IF(DADOS!C5995="","",DADOS!C5995)</f>
        <v/>
      </c>
      <c r="F5995" s="9" t="str">
        <f>IF(DADOS!E5995="","",DADOS!E5995)</f>
        <v/>
      </c>
      <c r="G5995" s="9" t="str">
        <f>IF(DADOS!F5995="","",DADOS!F5995)</f>
        <v/>
      </c>
      <c r="K5995" s="6" t="str">
        <f t="shared" si="470"/>
        <v/>
      </c>
      <c r="L5995" s="7" t="str">
        <f t="shared" si="471"/>
        <v/>
      </c>
      <c r="M5995" s="7" t="str">
        <f t="shared" si="468"/>
        <v/>
      </c>
      <c r="N5995" s="7" t="str">
        <f t="shared" si="472"/>
        <v/>
      </c>
      <c r="O5995" s="8"/>
      <c r="P5995" s="26"/>
      <c r="S5995" s="10" t="str">
        <f t="shared" si="469"/>
        <v/>
      </c>
    </row>
    <row r="5996" spans="5:19" x14ac:dyDescent="0.3">
      <c r="E5996" s="9" t="str">
        <f>IF(DADOS!C5996="","",DADOS!C5996)</f>
        <v/>
      </c>
      <c r="F5996" s="9" t="str">
        <f>IF(DADOS!E5996="","",DADOS!E5996)</f>
        <v/>
      </c>
      <c r="G5996" s="9" t="str">
        <f>IF(DADOS!F5996="","",DADOS!F5996)</f>
        <v/>
      </c>
      <c r="K5996" s="6" t="str">
        <f t="shared" si="470"/>
        <v/>
      </c>
      <c r="L5996" s="7" t="str">
        <f t="shared" si="471"/>
        <v/>
      </c>
      <c r="M5996" s="7" t="str">
        <f t="shared" si="468"/>
        <v/>
      </c>
      <c r="N5996" s="7" t="str">
        <f t="shared" si="472"/>
        <v/>
      </c>
      <c r="O5996" s="8"/>
      <c r="P5996" s="26"/>
      <c r="S5996" s="10" t="str">
        <f t="shared" si="469"/>
        <v/>
      </c>
    </row>
    <row r="5997" spans="5:19" x14ac:dyDescent="0.3">
      <c r="E5997" s="9" t="str">
        <f>IF(DADOS!C5997="","",DADOS!C5997)</f>
        <v/>
      </c>
      <c r="F5997" s="9" t="str">
        <f>IF(DADOS!E5997="","",DADOS!E5997)</f>
        <v/>
      </c>
      <c r="G5997" s="9" t="str">
        <f>IF(DADOS!F5997="","",DADOS!F5997)</f>
        <v/>
      </c>
      <c r="K5997" s="6" t="str">
        <f t="shared" si="470"/>
        <v/>
      </c>
      <c r="L5997" s="7" t="str">
        <f t="shared" si="471"/>
        <v/>
      </c>
      <c r="M5997" s="7" t="str">
        <f t="shared" si="468"/>
        <v/>
      </c>
      <c r="N5997" s="7" t="str">
        <f t="shared" si="472"/>
        <v/>
      </c>
      <c r="O5997" s="8"/>
      <c r="P5997" s="26"/>
      <c r="S5997" s="10" t="str">
        <f t="shared" si="469"/>
        <v/>
      </c>
    </row>
    <row r="5998" spans="5:19" x14ac:dyDescent="0.3">
      <c r="E5998" s="9" t="str">
        <f>IF(DADOS!C5998="","",DADOS!C5998)</f>
        <v/>
      </c>
      <c r="F5998" s="9" t="str">
        <f>IF(DADOS!E5998="","",DADOS!E5998)</f>
        <v/>
      </c>
      <c r="G5998" s="9" t="str">
        <f>IF(DADOS!F5998="","",DADOS!F5998)</f>
        <v/>
      </c>
      <c r="K5998" s="6" t="str">
        <f t="shared" si="470"/>
        <v/>
      </c>
      <c r="L5998" s="7" t="str">
        <f t="shared" si="471"/>
        <v/>
      </c>
      <c r="M5998" s="7" t="str">
        <f t="shared" si="468"/>
        <v/>
      </c>
      <c r="N5998" s="7" t="str">
        <f t="shared" si="472"/>
        <v/>
      </c>
      <c r="O5998" s="8"/>
      <c r="P5998" s="26"/>
      <c r="S5998" s="10" t="str">
        <f t="shared" si="469"/>
        <v/>
      </c>
    </row>
    <row r="5999" spans="5:19" x14ac:dyDescent="0.3">
      <c r="E5999" s="9" t="str">
        <f>IF(DADOS!C5999="","",DADOS!C5999)</f>
        <v/>
      </c>
      <c r="F5999" s="9" t="str">
        <f>IF(DADOS!E5999="","",DADOS!E5999)</f>
        <v/>
      </c>
      <c r="G5999" s="9" t="str">
        <f>IF(DADOS!F5999="","",DADOS!F5999)</f>
        <v/>
      </c>
      <c r="K5999" s="6" t="str">
        <f t="shared" si="470"/>
        <v/>
      </c>
      <c r="L5999" s="7" t="str">
        <f t="shared" si="471"/>
        <v/>
      </c>
      <c r="M5999" s="7" t="str">
        <f t="shared" si="468"/>
        <v/>
      </c>
      <c r="N5999" s="7" t="str">
        <f t="shared" si="472"/>
        <v/>
      </c>
      <c r="O5999" s="8"/>
      <c r="P5999" s="26"/>
      <c r="S5999" s="10" t="str">
        <f t="shared" si="469"/>
        <v/>
      </c>
    </row>
    <row r="6000" spans="5:19" x14ac:dyDescent="0.3">
      <c r="E6000" s="9" t="str">
        <f>IF(DADOS!C6000="","",DADOS!C6000)</f>
        <v/>
      </c>
      <c r="F6000" s="9" t="str">
        <f>IF(DADOS!E6000="","",DADOS!E6000)</f>
        <v/>
      </c>
      <c r="G6000" s="9" t="str">
        <f>IF(DADOS!F6000="","",DADOS!F6000)</f>
        <v/>
      </c>
      <c r="K6000" s="6" t="str">
        <f t="shared" si="470"/>
        <v/>
      </c>
      <c r="L6000" s="7" t="str">
        <f t="shared" si="471"/>
        <v/>
      </c>
      <c r="M6000" s="7" t="str">
        <f t="shared" si="468"/>
        <v/>
      </c>
      <c r="N6000" s="7" t="str">
        <f t="shared" si="472"/>
        <v/>
      </c>
      <c r="O6000" s="8"/>
      <c r="P6000" s="26"/>
      <c r="S6000" s="10" t="str">
        <f t="shared" si="469"/>
        <v/>
      </c>
    </row>
    <row r="6001" spans="5:19" x14ac:dyDescent="0.3">
      <c r="E6001" s="9" t="str">
        <f>IF(DADOS!C6001="","",DADOS!C6001)</f>
        <v/>
      </c>
      <c r="F6001" s="9" t="str">
        <f>IF(DADOS!E6001="","",DADOS!E6001)</f>
        <v/>
      </c>
      <c r="G6001" s="9" t="str">
        <f>IF(DADOS!F6001="","",DADOS!F6001)</f>
        <v/>
      </c>
      <c r="K6001" s="6" t="str">
        <f t="shared" si="470"/>
        <v/>
      </c>
      <c r="L6001" s="7" t="str">
        <f t="shared" si="471"/>
        <v/>
      </c>
      <c r="M6001" s="7" t="str">
        <f t="shared" si="468"/>
        <v/>
      </c>
      <c r="N6001" s="7" t="str">
        <f t="shared" si="472"/>
        <v/>
      </c>
      <c r="O6001" s="8"/>
      <c r="P6001" s="26"/>
      <c r="S6001" s="10" t="str">
        <f t="shared" si="469"/>
        <v/>
      </c>
    </row>
    <row r="6002" spans="5:19" x14ac:dyDescent="0.3">
      <c r="E6002" s="9" t="str">
        <f>IF(DADOS!C6002="","",DADOS!C6002)</f>
        <v/>
      </c>
      <c r="F6002" s="9" t="str">
        <f>IF(DADOS!E6002="","",DADOS!E6002)</f>
        <v/>
      </c>
      <c r="G6002" s="9" t="str">
        <f>IF(DADOS!F6002="","",DADOS!F6002)</f>
        <v/>
      </c>
      <c r="K6002" s="6" t="str">
        <f t="shared" si="470"/>
        <v/>
      </c>
      <c r="L6002" s="7" t="str">
        <f t="shared" si="471"/>
        <v/>
      </c>
      <c r="M6002" s="7" t="str">
        <f t="shared" si="468"/>
        <v/>
      </c>
      <c r="N6002" s="7" t="str">
        <f t="shared" si="472"/>
        <v/>
      </c>
      <c r="O6002" s="8"/>
      <c r="P6002" s="26"/>
      <c r="S6002" s="10" t="str">
        <f t="shared" si="469"/>
        <v/>
      </c>
    </row>
    <row r="6003" spans="5:19" x14ac:dyDescent="0.3">
      <c r="E6003" s="9" t="str">
        <f>IF(DADOS!C6003="","",DADOS!C6003)</f>
        <v/>
      </c>
      <c r="F6003" s="9" t="str">
        <f>IF(DADOS!E6003="","",DADOS!E6003)</f>
        <v/>
      </c>
      <c r="G6003" s="9" t="str">
        <f>IF(DADOS!F6003="","",DADOS!F6003)</f>
        <v/>
      </c>
      <c r="K6003" s="6" t="str">
        <f t="shared" si="470"/>
        <v/>
      </c>
      <c r="L6003" s="7" t="str">
        <f t="shared" si="471"/>
        <v/>
      </c>
      <c r="M6003" s="7" t="str">
        <f t="shared" si="468"/>
        <v/>
      </c>
      <c r="N6003" s="7" t="str">
        <f t="shared" si="472"/>
        <v/>
      </c>
      <c r="O6003" s="8"/>
      <c r="P6003" s="26"/>
      <c r="S6003" s="10" t="str">
        <f t="shared" si="469"/>
        <v/>
      </c>
    </row>
    <row r="6004" spans="5:19" x14ac:dyDescent="0.3">
      <c r="E6004" s="9" t="str">
        <f>IF(DADOS!C6004="","",DADOS!C6004)</f>
        <v/>
      </c>
      <c r="F6004" s="9" t="str">
        <f>IF(DADOS!E6004="","",DADOS!E6004)</f>
        <v/>
      </c>
      <c r="G6004" s="9" t="str">
        <f>IF(DADOS!F6004="","",DADOS!F6004)</f>
        <v/>
      </c>
      <c r="K6004" s="6" t="str">
        <f t="shared" si="470"/>
        <v/>
      </c>
      <c r="L6004" s="7" t="str">
        <f t="shared" si="471"/>
        <v/>
      </c>
      <c r="M6004" s="7" t="str">
        <f t="shared" si="468"/>
        <v/>
      </c>
      <c r="N6004" s="7" t="str">
        <f t="shared" si="472"/>
        <v/>
      </c>
      <c r="O6004" s="8"/>
      <c r="P6004" s="26"/>
      <c r="S6004" s="10" t="str">
        <f t="shared" si="469"/>
        <v/>
      </c>
    </row>
    <row r="6005" spans="5:19" x14ac:dyDescent="0.3">
      <c r="E6005" s="9" t="str">
        <f>IF(DADOS!C6005="","",DADOS!C6005)</f>
        <v/>
      </c>
      <c r="F6005" s="9" t="str">
        <f>IF(DADOS!E6005="","",DADOS!E6005)</f>
        <v/>
      </c>
      <c r="G6005" s="9" t="str">
        <f>IF(DADOS!F6005="","",DADOS!F6005)</f>
        <v/>
      </c>
      <c r="K6005" s="6" t="str">
        <f t="shared" si="470"/>
        <v/>
      </c>
      <c r="L6005" s="7" t="str">
        <f t="shared" si="471"/>
        <v/>
      </c>
      <c r="M6005" s="7" t="str">
        <f t="shared" si="468"/>
        <v/>
      </c>
      <c r="N6005" s="7" t="str">
        <f t="shared" si="472"/>
        <v/>
      </c>
      <c r="O6005" s="8"/>
      <c r="P6005" s="26"/>
      <c r="S6005" s="10" t="str">
        <f t="shared" si="469"/>
        <v/>
      </c>
    </row>
    <row r="6006" spans="5:19" x14ac:dyDescent="0.3">
      <c r="E6006" s="9" t="str">
        <f>IF(DADOS!C6006="","",DADOS!C6006)</f>
        <v/>
      </c>
      <c r="F6006" s="9" t="str">
        <f>IF(DADOS!E6006="","",DADOS!E6006)</f>
        <v/>
      </c>
      <c r="G6006" s="9" t="str">
        <f>IF(DADOS!F6006="","",DADOS!F6006)</f>
        <v/>
      </c>
      <c r="K6006" s="6" t="str">
        <f t="shared" si="470"/>
        <v/>
      </c>
      <c r="L6006" s="7" t="str">
        <f t="shared" si="471"/>
        <v/>
      </c>
      <c r="M6006" s="7" t="str">
        <f t="shared" si="468"/>
        <v/>
      </c>
      <c r="N6006" s="7" t="str">
        <f t="shared" si="472"/>
        <v/>
      </c>
      <c r="O6006" s="8"/>
      <c r="P6006" s="26"/>
      <c r="S6006" s="10" t="str">
        <f t="shared" si="469"/>
        <v/>
      </c>
    </row>
    <row r="6007" spans="5:19" x14ac:dyDescent="0.3">
      <c r="E6007" s="9" t="str">
        <f>IF(DADOS!C6007="","",DADOS!C6007)</f>
        <v/>
      </c>
      <c r="F6007" s="9" t="str">
        <f>IF(DADOS!E6007="","",DADOS!E6007)</f>
        <v/>
      </c>
      <c r="G6007" s="9" t="str">
        <f>IF(DADOS!F6007="","",DADOS!F6007)</f>
        <v/>
      </c>
      <c r="K6007" s="6" t="str">
        <f t="shared" si="470"/>
        <v/>
      </c>
      <c r="L6007" s="7" t="str">
        <f t="shared" si="471"/>
        <v/>
      </c>
      <c r="M6007" s="7" t="str">
        <f t="shared" si="468"/>
        <v/>
      </c>
      <c r="N6007" s="7" t="str">
        <f t="shared" si="472"/>
        <v/>
      </c>
      <c r="O6007" s="8"/>
      <c r="P6007" s="26"/>
      <c r="S6007" s="10" t="str">
        <f t="shared" si="469"/>
        <v/>
      </c>
    </row>
    <row r="6008" spans="5:19" x14ac:dyDescent="0.3">
      <c r="E6008" s="9" t="str">
        <f>IF(DADOS!C6008="","",DADOS!C6008)</f>
        <v/>
      </c>
      <c r="F6008" s="9" t="str">
        <f>IF(DADOS!E6008="","",DADOS!E6008)</f>
        <v/>
      </c>
      <c r="G6008" s="9" t="str">
        <f>IF(DADOS!F6008="","",DADOS!F6008)</f>
        <v/>
      </c>
      <c r="K6008" s="6" t="str">
        <f t="shared" si="470"/>
        <v/>
      </c>
      <c r="L6008" s="7" t="str">
        <f t="shared" si="471"/>
        <v/>
      </c>
      <c r="M6008" s="7" t="str">
        <f t="shared" si="468"/>
        <v/>
      </c>
      <c r="N6008" s="7" t="str">
        <f t="shared" si="472"/>
        <v/>
      </c>
      <c r="O6008" s="8"/>
      <c r="P6008" s="26"/>
      <c r="S6008" s="10" t="str">
        <f t="shared" si="469"/>
        <v/>
      </c>
    </row>
    <row r="6009" spans="5:19" x14ac:dyDescent="0.3">
      <c r="E6009" s="9" t="str">
        <f>IF(DADOS!C6009="","",DADOS!C6009)</f>
        <v/>
      </c>
      <c r="F6009" s="9" t="str">
        <f>IF(DADOS!E6009="","",DADOS!E6009)</f>
        <v/>
      </c>
      <c r="G6009" s="9" t="str">
        <f>IF(DADOS!F6009="","",DADOS!F6009)</f>
        <v/>
      </c>
      <c r="K6009" s="6" t="str">
        <f t="shared" si="470"/>
        <v/>
      </c>
      <c r="L6009" s="7" t="str">
        <f t="shared" si="471"/>
        <v/>
      </c>
      <c r="M6009" s="7" t="str">
        <f t="shared" si="468"/>
        <v/>
      </c>
      <c r="N6009" s="7" t="str">
        <f t="shared" si="472"/>
        <v/>
      </c>
      <c r="O6009" s="8"/>
      <c r="P6009" s="26"/>
      <c r="S6009" s="10" t="str">
        <f t="shared" si="469"/>
        <v/>
      </c>
    </row>
    <row r="6010" spans="5:19" x14ac:dyDescent="0.3">
      <c r="E6010" s="9" t="str">
        <f>IF(DADOS!C6010="","",DADOS!C6010)</f>
        <v/>
      </c>
      <c r="F6010" s="9" t="str">
        <f>IF(DADOS!E6010="","",DADOS!E6010)</f>
        <v/>
      </c>
      <c r="G6010" s="9" t="str">
        <f>IF(DADOS!F6010="","",DADOS!F6010)</f>
        <v/>
      </c>
      <c r="K6010" s="6" t="str">
        <f t="shared" si="470"/>
        <v/>
      </c>
      <c r="L6010" s="7" t="str">
        <f t="shared" si="471"/>
        <v/>
      </c>
      <c r="M6010" s="7" t="str">
        <f t="shared" si="468"/>
        <v/>
      </c>
      <c r="N6010" s="7" t="str">
        <f t="shared" si="472"/>
        <v/>
      </c>
      <c r="O6010" s="8"/>
      <c r="P6010" s="26"/>
      <c r="S6010" s="10" t="str">
        <f t="shared" si="469"/>
        <v/>
      </c>
    </row>
    <row r="6011" spans="5:19" x14ac:dyDescent="0.3">
      <c r="E6011" s="9" t="str">
        <f>IF(DADOS!C6011="","",DADOS!C6011)</f>
        <v/>
      </c>
      <c r="F6011" s="9" t="str">
        <f>IF(DADOS!E6011="","",DADOS!E6011)</f>
        <v/>
      </c>
      <c r="G6011" s="9" t="str">
        <f>IF(DADOS!F6011="","",DADOS!F6011)</f>
        <v/>
      </c>
      <c r="K6011" s="6" t="str">
        <f t="shared" si="470"/>
        <v/>
      </c>
      <c r="L6011" s="7" t="str">
        <f t="shared" si="471"/>
        <v/>
      </c>
      <c r="M6011" s="7" t="str">
        <f t="shared" si="468"/>
        <v/>
      </c>
      <c r="N6011" s="7" t="str">
        <f t="shared" si="472"/>
        <v/>
      </c>
      <c r="O6011" s="8"/>
      <c r="P6011" s="26"/>
      <c r="S6011" s="10" t="str">
        <f t="shared" si="469"/>
        <v/>
      </c>
    </row>
    <row r="6012" spans="5:19" x14ac:dyDescent="0.3">
      <c r="E6012" s="9" t="str">
        <f>IF(DADOS!C6012="","",DADOS!C6012)</f>
        <v/>
      </c>
      <c r="F6012" s="9" t="str">
        <f>IF(DADOS!E6012="","",DADOS!E6012)</f>
        <v/>
      </c>
      <c r="G6012" s="9" t="str">
        <f>IF(DADOS!F6012="","",DADOS!F6012)</f>
        <v/>
      </c>
      <c r="K6012" s="6" t="str">
        <f t="shared" si="470"/>
        <v/>
      </c>
      <c r="L6012" s="7" t="str">
        <f t="shared" si="471"/>
        <v/>
      </c>
      <c r="M6012" s="7" t="str">
        <f t="shared" si="468"/>
        <v/>
      </c>
      <c r="N6012" s="7" t="str">
        <f t="shared" si="472"/>
        <v/>
      </c>
      <c r="O6012" s="8"/>
      <c r="P6012" s="26"/>
      <c r="S6012" s="10" t="str">
        <f t="shared" si="469"/>
        <v/>
      </c>
    </row>
    <row r="6013" spans="5:19" x14ac:dyDescent="0.3">
      <c r="E6013" s="9" t="str">
        <f>IF(DADOS!C6013="","",DADOS!C6013)</f>
        <v/>
      </c>
      <c r="F6013" s="9" t="str">
        <f>IF(DADOS!E6013="","",DADOS!E6013)</f>
        <v/>
      </c>
      <c r="G6013" s="9" t="str">
        <f>IF(DADOS!F6013="","",DADOS!F6013)</f>
        <v/>
      </c>
      <c r="K6013" s="6" t="str">
        <f t="shared" si="470"/>
        <v/>
      </c>
      <c r="L6013" s="7" t="str">
        <f t="shared" si="471"/>
        <v/>
      </c>
      <c r="M6013" s="7" t="str">
        <f t="shared" si="468"/>
        <v/>
      </c>
      <c r="N6013" s="7" t="str">
        <f t="shared" si="472"/>
        <v/>
      </c>
      <c r="O6013" s="8"/>
      <c r="P6013" s="26"/>
      <c r="S6013" s="10" t="str">
        <f t="shared" si="469"/>
        <v/>
      </c>
    </row>
    <row r="6014" spans="5:19" x14ac:dyDescent="0.3">
      <c r="E6014" s="9" t="str">
        <f>IF(DADOS!C6014="","",DADOS!C6014)</f>
        <v/>
      </c>
      <c r="F6014" s="9" t="str">
        <f>IF(DADOS!E6014="","",DADOS!E6014)</f>
        <v/>
      </c>
      <c r="G6014" s="9" t="str">
        <f>IF(DADOS!F6014="","",DADOS!F6014)</f>
        <v/>
      </c>
      <c r="K6014" s="6" t="str">
        <f t="shared" si="470"/>
        <v/>
      </c>
      <c r="L6014" s="7" t="str">
        <f t="shared" si="471"/>
        <v/>
      </c>
      <c r="M6014" s="7" t="str">
        <f t="shared" si="468"/>
        <v/>
      </c>
      <c r="N6014" s="7" t="str">
        <f t="shared" si="472"/>
        <v/>
      </c>
      <c r="O6014" s="8"/>
      <c r="P6014" s="26"/>
      <c r="S6014" s="10" t="str">
        <f t="shared" si="469"/>
        <v/>
      </c>
    </row>
    <row r="6015" spans="5:19" x14ac:dyDescent="0.3">
      <c r="E6015" s="9" t="str">
        <f>IF(DADOS!C6015="","",DADOS!C6015)</f>
        <v/>
      </c>
      <c r="F6015" s="9" t="str">
        <f>IF(DADOS!E6015="","",DADOS!E6015)</f>
        <v/>
      </c>
      <c r="G6015" s="9" t="str">
        <f>IF(DADOS!F6015="","",DADOS!F6015)</f>
        <v/>
      </c>
      <c r="K6015" s="6" t="str">
        <f t="shared" si="470"/>
        <v/>
      </c>
      <c r="L6015" s="7" t="str">
        <f t="shared" si="471"/>
        <v/>
      </c>
      <c r="M6015" s="7" t="str">
        <f t="shared" si="468"/>
        <v/>
      </c>
      <c r="N6015" s="7" t="str">
        <f t="shared" si="472"/>
        <v/>
      </c>
      <c r="O6015" s="8"/>
      <c r="P6015" s="26"/>
      <c r="S6015" s="10" t="str">
        <f t="shared" si="469"/>
        <v/>
      </c>
    </row>
    <row r="6016" spans="5:19" x14ac:dyDescent="0.3">
      <c r="E6016" s="9" t="str">
        <f>IF(DADOS!C6016="","",DADOS!C6016)</f>
        <v/>
      </c>
      <c r="F6016" s="9" t="str">
        <f>IF(DADOS!E6016="","",DADOS!E6016)</f>
        <v/>
      </c>
      <c r="G6016" s="9" t="str">
        <f>IF(DADOS!F6016="","",DADOS!F6016)</f>
        <v/>
      </c>
      <c r="K6016" s="6" t="str">
        <f t="shared" si="470"/>
        <v/>
      </c>
      <c r="L6016" s="7" t="str">
        <f t="shared" si="471"/>
        <v/>
      </c>
      <c r="M6016" s="7" t="str">
        <f t="shared" si="468"/>
        <v/>
      </c>
      <c r="N6016" s="7" t="str">
        <f t="shared" si="472"/>
        <v/>
      </c>
      <c r="O6016" s="8"/>
      <c r="P6016" s="26"/>
      <c r="S6016" s="10" t="str">
        <f t="shared" si="469"/>
        <v/>
      </c>
    </row>
    <row r="6017" spans="5:19" x14ac:dyDescent="0.3">
      <c r="E6017" s="9" t="str">
        <f>IF(DADOS!C6017="","",DADOS!C6017)</f>
        <v/>
      </c>
      <c r="F6017" s="9" t="str">
        <f>IF(DADOS!E6017="","",DADOS!E6017)</f>
        <v/>
      </c>
      <c r="G6017" s="9" t="str">
        <f>IF(DADOS!F6017="","",DADOS!F6017)</f>
        <v/>
      </c>
      <c r="K6017" s="6" t="str">
        <f t="shared" si="470"/>
        <v/>
      </c>
      <c r="L6017" s="7" t="str">
        <f t="shared" si="471"/>
        <v/>
      </c>
      <c r="M6017" s="7" t="str">
        <f t="shared" si="468"/>
        <v/>
      </c>
      <c r="N6017" s="7" t="str">
        <f t="shared" si="472"/>
        <v/>
      </c>
      <c r="O6017" s="8"/>
      <c r="P6017" s="26"/>
      <c r="S6017" s="10" t="str">
        <f t="shared" si="469"/>
        <v/>
      </c>
    </row>
    <row r="6018" spans="5:19" x14ac:dyDescent="0.3">
      <c r="E6018" s="9" t="str">
        <f>IF(DADOS!C6018="","",DADOS!C6018)</f>
        <v/>
      </c>
      <c r="F6018" s="9" t="str">
        <f>IF(DADOS!E6018="","",DADOS!E6018)</f>
        <v/>
      </c>
      <c r="G6018" s="9" t="str">
        <f>IF(DADOS!F6018="","",DADOS!F6018)</f>
        <v/>
      </c>
      <c r="K6018" s="6" t="str">
        <f t="shared" si="470"/>
        <v/>
      </c>
      <c r="L6018" s="7" t="str">
        <f t="shared" si="471"/>
        <v/>
      </c>
      <c r="M6018" s="7" t="str">
        <f t="shared" si="468"/>
        <v/>
      </c>
      <c r="N6018" s="7" t="str">
        <f t="shared" si="472"/>
        <v/>
      </c>
      <c r="O6018" s="8"/>
      <c r="P6018" s="26"/>
      <c r="S6018" s="10" t="str">
        <f t="shared" si="469"/>
        <v/>
      </c>
    </row>
    <row r="6019" spans="5:19" x14ac:dyDescent="0.3">
      <c r="E6019" s="9" t="str">
        <f>IF(DADOS!C6019="","",DADOS!C6019)</f>
        <v/>
      </c>
      <c r="F6019" s="9" t="str">
        <f>IF(DADOS!E6019="","",DADOS!E6019)</f>
        <v/>
      </c>
      <c r="G6019" s="9" t="str">
        <f>IF(DADOS!F6019="","",DADOS!F6019)</f>
        <v/>
      </c>
      <c r="K6019" s="6" t="str">
        <f t="shared" si="470"/>
        <v/>
      </c>
      <c r="L6019" s="7" t="str">
        <f t="shared" si="471"/>
        <v/>
      </c>
      <c r="M6019" s="7" t="str">
        <f t="shared" ref="M6019:M6082" si="473">IF(L6019="","",L6019*G6019)</f>
        <v/>
      </c>
      <c r="N6019" s="7" t="str">
        <f t="shared" si="472"/>
        <v/>
      </c>
      <c r="O6019" s="8"/>
      <c r="P6019" s="26"/>
      <c r="S6019" s="10" t="str">
        <f t="shared" ref="S6019:S6082" si="474">IF(R6019="","",SUMIFS($N$3:$N$10000,$E$3:$E$10000,R6019))</f>
        <v/>
      </c>
    </row>
    <row r="6020" spans="5:19" x14ac:dyDescent="0.3">
      <c r="E6020" s="9" t="str">
        <f>IF(DADOS!C6020="","",DADOS!C6020)</f>
        <v/>
      </c>
      <c r="F6020" s="9" t="str">
        <f>IF(DADOS!E6020="","",DADOS!E6020)</f>
        <v/>
      </c>
      <c r="G6020" s="9" t="str">
        <f>IF(DADOS!F6020="","",DADOS!F6020)</f>
        <v/>
      </c>
      <c r="K6020" s="6" t="str">
        <f t="shared" ref="K6020:K6083" si="475">IF(F6020="","",F6020/PI())</f>
        <v/>
      </c>
      <c r="L6020" s="7" t="str">
        <f t="shared" ref="L6020:L6083" si="476">IF(K6020="","",(PI()*K6020^2)/40000)</f>
        <v/>
      </c>
      <c r="M6020" s="7" t="str">
        <f t="shared" si="473"/>
        <v/>
      </c>
      <c r="N6020" s="7" t="str">
        <f t="shared" ref="N6020:N6083" si="477">IF(M6020="","",M6020*N$1)</f>
        <v/>
      </c>
      <c r="O6020" s="8"/>
      <c r="P6020" s="26"/>
      <c r="S6020" s="10" t="str">
        <f t="shared" si="474"/>
        <v/>
      </c>
    </row>
    <row r="6021" spans="5:19" x14ac:dyDescent="0.3">
      <c r="E6021" s="9" t="str">
        <f>IF(DADOS!C6021="","",DADOS!C6021)</f>
        <v/>
      </c>
      <c r="F6021" s="9" t="str">
        <f>IF(DADOS!E6021="","",DADOS!E6021)</f>
        <v/>
      </c>
      <c r="G6021" s="9" t="str">
        <f>IF(DADOS!F6021="","",DADOS!F6021)</f>
        <v/>
      </c>
      <c r="K6021" s="6" t="str">
        <f t="shared" si="475"/>
        <v/>
      </c>
      <c r="L6021" s="7" t="str">
        <f t="shared" si="476"/>
        <v/>
      </c>
      <c r="M6021" s="7" t="str">
        <f t="shared" si="473"/>
        <v/>
      </c>
      <c r="N6021" s="7" t="str">
        <f t="shared" si="477"/>
        <v/>
      </c>
      <c r="O6021" s="8"/>
      <c r="P6021" s="26"/>
      <c r="S6021" s="10" t="str">
        <f t="shared" si="474"/>
        <v/>
      </c>
    </row>
    <row r="6022" spans="5:19" x14ac:dyDescent="0.3">
      <c r="E6022" s="9" t="str">
        <f>IF(DADOS!C6022="","",DADOS!C6022)</f>
        <v/>
      </c>
      <c r="F6022" s="9" t="str">
        <f>IF(DADOS!E6022="","",DADOS!E6022)</f>
        <v/>
      </c>
      <c r="G6022" s="9" t="str">
        <f>IF(DADOS!F6022="","",DADOS!F6022)</f>
        <v/>
      </c>
      <c r="K6022" s="6" t="str">
        <f t="shared" si="475"/>
        <v/>
      </c>
      <c r="L6022" s="7" t="str">
        <f t="shared" si="476"/>
        <v/>
      </c>
      <c r="M6022" s="7" t="str">
        <f t="shared" si="473"/>
        <v/>
      </c>
      <c r="N6022" s="7" t="str">
        <f t="shared" si="477"/>
        <v/>
      </c>
      <c r="O6022" s="8"/>
      <c r="P6022" s="26"/>
      <c r="S6022" s="10" t="str">
        <f t="shared" si="474"/>
        <v/>
      </c>
    </row>
    <row r="6023" spans="5:19" x14ac:dyDescent="0.3">
      <c r="E6023" s="9" t="str">
        <f>IF(DADOS!C6023="","",DADOS!C6023)</f>
        <v/>
      </c>
      <c r="F6023" s="9" t="str">
        <f>IF(DADOS!E6023="","",DADOS!E6023)</f>
        <v/>
      </c>
      <c r="G6023" s="9" t="str">
        <f>IF(DADOS!F6023="","",DADOS!F6023)</f>
        <v/>
      </c>
      <c r="K6023" s="6" t="str">
        <f t="shared" si="475"/>
        <v/>
      </c>
      <c r="L6023" s="7" t="str">
        <f t="shared" si="476"/>
        <v/>
      </c>
      <c r="M6023" s="7" t="str">
        <f t="shared" si="473"/>
        <v/>
      </c>
      <c r="N6023" s="7" t="str">
        <f t="shared" si="477"/>
        <v/>
      </c>
      <c r="O6023" s="8"/>
      <c r="P6023" s="26"/>
      <c r="S6023" s="10" t="str">
        <f t="shared" si="474"/>
        <v/>
      </c>
    </row>
    <row r="6024" spans="5:19" x14ac:dyDescent="0.3">
      <c r="E6024" s="9" t="str">
        <f>IF(DADOS!C6024="","",DADOS!C6024)</f>
        <v/>
      </c>
      <c r="F6024" s="9" t="str">
        <f>IF(DADOS!E6024="","",DADOS!E6024)</f>
        <v/>
      </c>
      <c r="G6024" s="9" t="str">
        <f>IF(DADOS!F6024="","",DADOS!F6024)</f>
        <v/>
      </c>
      <c r="K6024" s="6" t="str">
        <f t="shared" si="475"/>
        <v/>
      </c>
      <c r="L6024" s="7" t="str">
        <f t="shared" si="476"/>
        <v/>
      </c>
      <c r="M6024" s="7" t="str">
        <f t="shared" si="473"/>
        <v/>
      </c>
      <c r="N6024" s="7" t="str">
        <f t="shared" si="477"/>
        <v/>
      </c>
      <c r="O6024" s="8"/>
      <c r="P6024" s="26"/>
      <c r="S6024" s="10" t="str">
        <f t="shared" si="474"/>
        <v/>
      </c>
    </row>
    <row r="6025" spans="5:19" x14ac:dyDescent="0.3">
      <c r="E6025" s="9" t="str">
        <f>IF(DADOS!C6025="","",DADOS!C6025)</f>
        <v/>
      </c>
      <c r="F6025" s="9" t="str">
        <f>IF(DADOS!E6025="","",DADOS!E6025)</f>
        <v/>
      </c>
      <c r="G6025" s="9" t="str">
        <f>IF(DADOS!F6025="","",DADOS!F6025)</f>
        <v/>
      </c>
      <c r="K6025" s="6" t="str">
        <f t="shared" si="475"/>
        <v/>
      </c>
      <c r="L6025" s="7" t="str">
        <f t="shared" si="476"/>
        <v/>
      </c>
      <c r="M6025" s="7" t="str">
        <f t="shared" si="473"/>
        <v/>
      </c>
      <c r="N6025" s="7" t="str">
        <f t="shared" si="477"/>
        <v/>
      </c>
      <c r="O6025" s="8"/>
      <c r="P6025" s="26"/>
      <c r="S6025" s="10" t="str">
        <f t="shared" si="474"/>
        <v/>
      </c>
    </row>
    <row r="6026" spans="5:19" x14ac:dyDescent="0.3">
      <c r="E6026" s="9" t="str">
        <f>IF(DADOS!C6026="","",DADOS!C6026)</f>
        <v/>
      </c>
      <c r="F6026" s="9" t="str">
        <f>IF(DADOS!E6026="","",DADOS!E6026)</f>
        <v/>
      </c>
      <c r="G6026" s="9" t="str">
        <f>IF(DADOS!F6026="","",DADOS!F6026)</f>
        <v/>
      </c>
      <c r="K6026" s="6" t="str">
        <f t="shared" si="475"/>
        <v/>
      </c>
      <c r="L6026" s="7" t="str">
        <f t="shared" si="476"/>
        <v/>
      </c>
      <c r="M6026" s="7" t="str">
        <f t="shared" si="473"/>
        <v/>
      </c>
      <c r="N6026" s="7" t="str">
        <f t="shared" si="477"/>
        <v/>
      </c>
      <c r="O6026" s="8"/>
      <c r="P6026" s="26"/>
      <c r="S6026" s="10" t="str">
        <f t="shared" si="474"/>
        <v/>
      </c>
    </row>
    <row r="6027" spans="5:19" x14ac:dyDescent="0.3">
      <c r="E6027" s="9" t="str">
        <f>IF(DADOS!C6027="","",DADOS!C6027)</f>
        <v/>
      </c>
      <c r="F6027" s="9" t="str">
        <f>IF(DADOS!E6027="","",DADOS!E6027)</f>
        <v/>
      </c>
      <c r="G6027" s="9" t="str">
        <f>IF(DADOS!F6027="","",DADOS!F6027)</f>
        <v/>
      </c>
      <c r="K6027" s="6" t="str">
        <f t="shared" si="475"/>
        <v/>
      </c>
      <c r="L6027" s="7" t="str">
        <f t="shared" si="476"/>
        <v/>
      </c>
      <c r="M6027" s="7" t="str">
        <f t="shared" si="473"/>
        <v/>
      </c>
      <c r="N6027" s="7" t="str">
        <f t="shared" si="477"/>
        <v/>
      </c>
      <c r="O6027" s="8"/>
      <c r="P6027" s="26"/>
      <c r="S6027" s="10" t="str">
        <f t="shared" si="474"/>
        <v/>
      </c>
    </row>
    <row r="6028" spans="5:19" x14ac:dyDescent="0.3">
      <c r="E6028" s="9" t="str">
        <f>IF(DADOS!C6028="","",DADOS!C6028)</f>
        <v/>
      </c>
      <c r="F6028" s="9" t="str">
        <f>IF(DADOS!E6028="","",DADOS!E6028)</f>
        <v/>
      </c>
      <c r="G6028" s="9" t="str">
        <f>IF(DADOS!F6028="","",DADOS!F6028)</f>
        <v/>
      </c>
      <c r="K6028" s="6" t="str">
        <f t="shared" si="475"/>
        <v/>
      </c>
      <c r="L6028" s="7" t="str">
        <f t="shared" si="476"/>
        <v/>
      </c>
      <c r="M6028" s="7" t="str">
        <f t="shared" si="473"/>
        <v/>
      </c>
      <c r="N6028" s="7" t="str">
        <f t="shared" si="477"/>
        <v/>
      </c>
      <c r="O6028" s="8"/>
      <c r="P6028" s="26"/>
      <c r="S6028" s="10" t="str">
        <f t="shared" si="474"/>
        <v/>
      </c>
    </row>
    <row r="6029" spans="5:19" x14ac:dyDescent="0.3">
      <c r="E6029" s="9" t="str">
        <f>IF(DADOS!C6029="","",DADOS!C6029)</f>
        <v/>
      </c>
      <c r="F6029" s="9" t="str">
        <f>IF(DADOS!E6029="","",DADOS!E6029)</f>
        <v/>
      </c>
      <c r="G6029" s="9" t="str">
        <f>IF(DADOS!F6029="","",DADOS!F6029)</f>
        <v/>
      </c>
      <c r="K6029" s="6" t="str">
        <f t="shared" si="475"/>
        <v/>
      </c>
      <c r="L6029" s="7" t="str">
        <f t="shared" si="476"/>
        <v/>
      </c>
      <c r="M6029" s="7" t="str">
        <f t="shared" si="473"/>
        <v/>
      </c>
      <c r="N6029" s="7" t="str">
        <f t="shared" si="477"/>
        <v/>
      </c>
      <c r="O6029" s="8"/>
      <c r="P6029" s="26"/>
      <c r="S6029" s="10" t="str">
        <f t="shared" si="474"/>
        <v/>
      </c>
    </row>
    <row r="6030" spans="5:19" x14ac:dyDescent="0.3">
      <c r="E6030" s="9" t="str">
        <f>IF(DADOS!C6030="","",DADOS!C6030)</f>
        <v/>
      </c>
      <c r="F6030" s="9" t="str">
        <f>IF(DADOS!E6030="","",DADOS!E6030)</f>
        <v/>
      </c>
      <c r="G6030" s="9" t="str">
        <f>IF(DADOS!F6030="","",DADOS!F6030)</f>
        <v/>
      </c>
      <c r="K6030" s="6" t="str">
        <f t="shared" si="475"/>
        <v/>
      </c>
      <c r="L6030" s="7" t="str">
        <f t="shared" si="476"/>
        <v/>
      </c>
      <c r="M6030" s="7" t="str">
        <f t="shared" si="473"/>
        <v/>
      </c>
      <c r="N6030" s="7" t="str">
        <f t="shared" si="477"/>
        <v/>
      </c>
      <c r="O6030" s="8"/>
      <c r="P6030" s="26"/>
      <c r="S6030" s="10" t="str">
        <f t="shared" si="474"/>
        <v/>
      </c>
    </row>
    <row r="6031" spans="5:19" x14ac:dyDescent="0.3">
      <c r="E6031" s="9" t="str">
        <f>IF(DADOS!C6031="","",DADOS!C6031)</f>
        <v/>
      </c>
      <c r="F6031" s="9" t="str">
        <f>IF(DADOS!E6031="","",DADOS!E6031)</f>
        <v/>
      </c>
      <c r="G6031" s="9" t="str">
        <f>IF(DADOS!F6031="","",DADOS!F6031)</f>
        <v/>
      </c>
      <c r="K6031" s="6" t="str">
        <f t="shared" si="475"/>
        <v/>
      </c>
      <c r="L6031" s="7" t="str">
        <f t="shared" si="476"/>
        <v/>
      </c>
      <c r="M6031" s="7" t="str">
        <f t="shared" si="473"/>
        <v/>
      </c>
      <c r="N6031" s="7" t="str">
        <f t="shared" si="477"/>
        <v/>
      </c>
      <c r="O6031" s="8"/>
      <c r="P6031" s="26"/>
      <c r="S6031" s="10" t="str">
        <f t="shared" si="474"/>
        <v/>
      </c>
    </row>
    <row r="6032" spans="5:19" x14ac:dyDescent="0.3">
      <c r="E6032" s="9" t="str">
        <f>IF(DADOS!C6032="","",DADOS!C6032)</f>
        <v/>
      </c>
      <c r="F6032" s="9" t="str">
        <f>IF(DADOS!E6032="","",DADOS!E6032)</f>
        <v/>
      </c>
      <c r="G6032" s="9" t="str">
        <f>IF(DADOS!F6032="","",DADOS!F6032)</f>
        <v/>
      </c>
      <c r="K6032" s="6" t="str">
        <f t="shared" si="475"/>
        <v/>
      </c>
      <c r="L6032" s="7" t="str">
        <f t="shared" si="476"/>
        <v/>
      </c>
      <c r="M6032" s="7" t="str">
        <f t="shared" si="473"/>
        <v/>
      </c>
      <c r="N6032" s="7" t="str">
        <f t="shared" si="477"/>
        <v/>
      </c>
      <c r="O6032" s="8"/>
      <c r="P6032" s="26"/>
      <c r="S6032" s="10" t="str">
        <f t="shared" si="474"/>
        <v/>
      </c>
    </row>
    <row r="6033" spans="5:19" x14ac:dyDescent="0.3">
      <c r="E6033" s="9" t="str">
        <f>IF(DADOS!C6033="","",DADOS!C6033)</f>
        <v/>
      </c>
      <c r="F6033" s="9" t="str">
        <f>IF(DADOS!E6033="","",DADOS!E6033)</f>
        <v/>
      </c>
      <c r="G6033" s="9" t="str">
        <f>IF(DADOS!F6033="","",DADOS!F6033)</f>
        <v/>
      </c>
      <c r="K6033" s="6" t="str">
        <f t="shared" si="475"/>
        <v/>
      </c>
      <c r="L6033" s="7" t="str">
        <f t="shared" si="476"/>
        <v/>
      </c>
      <c r="M6033" s="7" t="str">
        <f t="shared" si="473"/>
        <v/>
      </c>
      <c r="N6033" s="7" t="str">
        <f t="shared" si="477"/>
        <v/>
      </c>
      <c r="O6033" s="8"/>
      <c r="P6033" s="26"/>
      <c r="S6033" s="10" t="str">
        <f t="shared" si="474"/>
        <v/>
      </c>
    </row>
    <row r="6034" spans="5:19" x14ac:dyDescent="0.3">
      <c r="E6034" s="9" t="str">
        <f>IF(DADOS!C6034="","",DADOS!C6034)</f>
        <v/>
      </c>
      <c r="F6034" s="9" t="str">
        <f>IF(DADOS!E6034="","",DADOS!E6034)</f>
        <v/>
      </c>
      <c r="G6034" s="9" t="str">
        <f>IF(DADOS!F6034="","",DADOS!F6034)</f>
        <v/>
      </c>
      <c r="K6034" s="6" t="str">
        <f t="shared" si="475"/>
        <v/>
      </c>
      <c r="L6034" s="7" t="str">
        <f t="shared" si="476"/>
        <v/>
      </c>
      <c r="M6034" s="7" t="str">
        <f t="shared" si="473"/>
        <v/>
      </c>
      <c r="N6034" s="7" t="str">
        <f t="shared" si="477"/>
        <v/>
      </c>
      <c r="O6034" s="8"/>
      <c r="P6034" s="26"/>
      <c r="S6034" s="10" t="str">
        <f t="shared" si="474"/>
        <v/>
      </c>
    </row>
    <row r="6035" spans="5:19" x14ac:dyDescent="0.3">
      <c r="E6035" s="9" t="str">
        <f>IF(DADOS!C6035="","",DADOS!C6035)</f>
        <v/>
      </c>
      <c r="F6035" s="9" t="str">
        <f>IF(DADOS!E6035="","",DADOS!E6035)</f>
        <v/>
      </c>
      <c r="G6035" s="9" t="str">
        <f>IF(DADOS!F6035="","",DADOS!F6035)</f>
        <v/>
      </c>
      <c r="K6035" s="6" t="str">
        <f t="shared" si="475"/>
        <v/>
      </c>
      <c r="L6035" s="7" t="str">
        <f t="shared" si="476"/>
        <v/>
      </c>
      <c r="M6035" s="7" t="str">
        <f t="shared" si="473"/>
        <v/>
      </c>
      <c r="N6035" s="7" t="str">
        <f t="shared" si="477"/>
        <v/>
      </c>
      <c r="O6035" s="8"/>
      <c r="P6035" s="26"/>
      <c r="S6035" s="10" t="str">
        <f t="shared" si="474"/>
        <v/>
      </c>
    </row>
    <row r="6036" spans="5:19" x14ac:dyDescent="0.3">
      <c r="E6036" s="9" t="str">
        <f>IF(DADOS!C6036="","",DADOS!C6036)</f>
        <v/>
      </c>
      <c r="F6036" s="9" t="str">
        <f>IF(DADOS!E6036="","",DADOS!E6036)</f>
        <v/>
      </c>
      <c r="G6036" s="9" t="str">
        <f>IF(DADOS!F6036="","",DADOS!F6036)</f>
        <v/>
      </c>
      <c r="K6036" s="6" t="str">
        <f t="shared" si="475"/>
        <v/>
      </c>
      <c r="L6036" s="7" t="str">
        <f t="shared" si="476"/>
        <v/>
      </c>
      <c r="M6036" s="7" t="str">
        <f t="shared" si="473"/>
        <v/>
      </c>
      <c r="N6036" s="7" t="str">
        <f t="shared" si="477"/>
        <v/>
      </c>
      <c r="O6036" s="8"/>
      <c r="P6036" s="26"/>
      <c r="S6036" s="10" t="str">
        <f t="shared" si="474"/>
        <v/>
      </c>
    </row>
    <row r="6037" spans="5:19" x14ac:dyDescent="0.3">
      <c r="E6037" s="9" t="str">
        <f>IF(DADOS!C6037="","",DADOS!C6037)</f>
        <v/>
      </c>
      <c r="F6037" s="9" t="str">
        <f>IF(DADOS!E6037="","",DADOS!E6037)</f>
        <v/>
      </c>
      <c r="G6037" s="9" t="str">
        <f>IF(DADOS!F6037="","",DADOS!F6037)</f>
        <v/>
      </c>
      <c r="K6037" s="6" t="str">
        <f t="shared" si="475"/>
        <v/>
      </c>
      <c r="L6037" s="7" t="str">
        <f t="shared" si="476"/>
        <v/>
      </c>
      <c r="M6037" s="7" t="str">
        <f t="shared" si="473"/>
        <v/>
      </c>
      <c r="N6037" s="7" t="str">
        <f t="shared" si="477"/>
        <v/>
      </c>
      <c r="O6037" s="8"/>
      <c r="P6037" s="26"/>
      <c r="S6037" s="10" t="str">
        <f t="shared" si="474"/>
        <v/>
      </c>
    </row>
    <row r="6038" spans="5:19" x14ac:dyDescent="0.3">
      <c r="E6038" s="9" t="str">
        <f>IF(DADOS!C6038="","",DADOS!C6038)</f>
        <v/>
      </c>
      <c r="F6038" s="9" t="str">
        <f>IF(DADOS!E6038="","",DADOS!E6038)</f>
        <v/>
      </c>
      <c r="G6038" s="9" t="str">
        <f>IF(DADOS!F6038="","",DADOS!F6038)</f>
        <v/>
      </c>
      <c r="K6038" s="6" t="str">
        <f t="shared" si="475"/>
        <v/>
      </c>
      <c r="L6038" s="7" t="str">
        <f t="shared" si="476"/>
        <v/>
      </c>
      <c r="M6038" s="7" t="str">
        <f t="shared" si="473"/>
        <v/>
      </c>
      <c r="N6038" s="7" t="str">
        <f t="shared" si="477"/>
        <v/>
      </c>
      <c r="O6038" s="8"/>
      <c r="P6038" s="26"/>
      <c r="S6038" s="10" t="str">
        <f t="shared" si="474"/>
        <v/>
      </c>
    </row>
    <row r="6039" spans="5:19" x14ac:dyDescent="0.3">
      <c r="E6039" s="9" t="str">
        <f>IF(DADOS!C6039="","",DADOS!C6039)</f>
        <v/>
      </c>
      <c r="F6039" s="9" t="str">
        <f>IF(DADOS!E6039="","",DADOS!E6039)</f>
        <v/>
      </c>
      <c r="G6039" s="9" t="str">
        <f>IF(DADOS!F6039="","",DADOS!F6039)</f>
        <v/>
      </c>
      <c r="K6039" s="6" t="str">
        <f t="shared" si="475"/>
        <v/>
      </c>
      <c r="L6039" s="7" t="str">
        <f t="shared" si="476"/>
        <v/>
      </c>
      <c r="M6039" s="7" t="str">
        <f t="shared" si="473"/>
        <v/>
      </c>
      <c r="N6039" s="7" t="str">
        <f t="shared" si="477"/>
        <v/>
      </c>
      <c r="O6039" s="8"/>
      <c r="P6039" s="26"/>
      <c r="S6039" s="10" t="str">
        <f t="shared" si="474"/>
        <v/>
      </c>
    </row>
    <row r="6040" spans="5:19" x14ac:dyDescent="0.3">
      <c r="E6040" s="9" t="str">
        <f>IF(DADOS!C6040="","",DADOS!C6040)</f>
        <v/>
      </c>
      <c r="F6040" s="9" t="str">
        <f>IF(DADOS!E6040="","",DADOS!E6040)</f>
        <v/>
      </c>
      <c r="G6040" s="9" t="str">
        <f>IF(DADOS!F6040="","",DADOS!F6040)</f>
        <v/>
      </c>
      <c r="K6040" s="6" t="str">
        <f t="shared" si="475"/>
        <v/>
      </c>
      <c r="L6040" s="7" t="str">
        <f t="shared" si="476"/>
        <v/>
      </c>
      <c r="M6040" s="7" t="str">
        <f t="shared" si="473"/>
        <v/>
      </c>
      <c r="N6040" s="7" t="str">
        <f t="shared" si="477"/>
        <v/>
      </c>
      <c r="O6040" s="8"/>
      <c r="P6040" s="26"/>
      <c r="S6040" s="10" t="str">
        <f t="shared" si="474"/>
        <v/>
      </c>
    </row>
    <row r="6041" spans="5:19" x14ac:dyDescent="0.3">
      <c r="E6041" s="9" t="str">
        <f>IF(DADOS!C6041="","",DADOS!C6041)</f>
        <v/>
      </c>
      <c r="F6041" s="9" t="str">
        <f>IF(DADOS!E6041="","",DADOS!E6041)</f>
        <v/>
      </c>
      <c r="G6041" s="9" t="str">
        <f>IF(DADOS!F6041="","",DADOS!F6041)</f>
        <v/>
      </c>
      <c r="K6041" s="6" t="str">
        <f t="shared" si="475"/>
        <v/>
      </c>
      <c r="L6041" s="7" t="str">
        <f t="shared" si="476"/>
        <v/>
      </c>
      <c r="M6041" s="7" t="str">
        <f t="shared" si="473"/>
        <v/>
      </c>
      <c r="N6041" s="7" t="str">
        <f t="shared" si="477"/>
        <v/>
      </c>
      <c r="O6041" s="8"/>
      <c r="P6041" s="26"/>
      <c r="S6041" s="10" t="str">
        <f t="shared" si="474"/>
        <v/>
      </c>
    </row>
    <row r="6042" spans="5:19" x14ac:dyDescent="0.3">
      <c r="E6042" s="9" t="str">
        <f>IF(DADOS!C6042="","",DADOS!C6042)</f>
        <v/>
      </c>
      <c r="F6042" s="9" t="str">
        <f>IF(DADOS!E6042="","",DADOS!E6042)</f>
        <v/>
      </c>
      <c r="G6042" s="9" t="str">
        <f>IF(DADOS!F6042="","",DADOS!F6042)</f>
        <v/>
      </c>
      <c r="K6042" s="6" t="str">
        <f t="shared" si="475"/>
        <v/>
      </c>
      <c r="L6042" s="7" t="str">
        <f t="shared" si="476"/>
        <v/>
      </c>
      <c r="M6042" s="7" t="str">
        <f t="shared" si="473"/>
        <v/>
      </c>
      <c r="N6042" s="7" t="str">
        <f t="shared" si="477"/>
        <v/>
      </c>
      <c r="O6042" s="8"/>
      <c r="P6042" s="26"/>
      <c r="S6042" s="10" t="str">
        <f t="shared" si="474"/>
        <v/>
      </c>
    </row>
    <row r="6043" spans="5:19" x14ac:dyDescent="0.3">
      <c r="E6043" s="9" t="str">
        <f>IF(DADOS!C6043="","",DADOS!C6043)</f>
        <v/>
      </c>
      <c r="F6043" s="9" t="str">
        <f>IF(DADOS!E6043="","",DADOS!E6043)</f>
        <v/>
      </c>
      <c r="G6043" s="9" t="str">
        <f>IF(DADOS!F6043="","",DADOS!F6043)</f>
        <v/>
      </c>
      <c r="K6043" s="6" t="str">
        <f t="shared" si="475"/>
        <v/>
      </c>
      <c r="L6043" s="7" t="str">
        <f t="shared" si="476"/>
        <v/>
      </c>
      <c r="M6043" s="7" t="str">
        <f t="shared" si="473"/>
        <v/>
      </c>
      <c r="N6043" s="7" t="str">
        <f t="shared" si="477"/>
        <v/>
      </c>
      <c r="O6043" s="8"/>
      <c r="P6043" s="26"/>
      <c r="S6043" s="10" t="str">
        <f t="shared" si="474"/>
        <v/>
      </c>
    </row>
    <row r="6044" spans="5:19" x14ac:dyDescent="0.3">
      <c r="E6044" s="9" t="str">
        <f>IF(DADOS!C6044="","",DADOS!C6044)</f>
        <v/>
      </c>
      <c r="F6044" s="9" t="str">
        <f>IF(DADOS!E6044="","",DADOS!E6044)</f>
        <v/>
      </c>
      <c r="G6044" s="9" t="str">
        <f>IF(DADOS!F6044="","",DADOS!F6044)</f>
        <v/>
      </c>
      <c r="K6044" s="6" t="str">
        <f t="shared" si="475"/>
        <v/>
      </c>
      <c r="L6044" s="7" t="str">
        <f t="shared" si="476"/>
        <v/>
      </c>
      <c r="M6044" s="7" t="str">
        <f t="shared" si="473"/>
        <v/>
      </c>
      <c r="N6044" s="7" t="str">
        <f t="shared" si="477"/>
        <v/>
      </c>
      <c r="O6044" s="8"/>
      <c r="P6044" s="26"/>
      <c r="S6044" s="10" t="str">
        <f t="shared" si="474"/>
        <v/>
      </c>
    </row>
    <row r="6045" spans="5:19" x14ac:dyDescent="0.3">
      <c r="E6045" s="9" t="str">
        <f>IF(DADOS!C6045="","",DADOS!C6045)</f>
        <v/>
      </c>
      <c r="F6045" s="9" t="str">
        <f>IF(DADOS!E6045="","",DADOS!E6045)</f>
        <v/>
      </c>
      <c r="G6045" s="9" t="str">
        <f>IF(DADOS!F6045="","",DADOS!F6045)</f>
        <v/>
      </c>
      <c r="K6045" s="6" t="str">
        <f t="shared" si="475"/>
        <v/>
      </c>
      <c r="L6045" s="7" t="str">
        <f t="shared" si="476"/>
        <v/>
      </c>
      <c r="M6045" s="7" t="str">
        <f t="shared" si="473"/>
        <v/>
      </c>
      <c r="N6045" s="7" t="str">
        <f t="shared" si="477"/>
        <v/>
      </c>
      <c r="O6045" s="8"/>
      <c r="P6045" s="26"/>
      <c r="S6045" s="10" t="str">
        <f t="shared" si="474"/>
        <v/>
      </c>
    </row>
    <row r="6046" spans="5:19" x14ac:dyDescent="0.3">
      <c r="E6046" s="9" t="str">
        <f>IF(DADOS!C6046="","",DADOS!C6046)</f>
        <v/>
      </c>
      <c r="F6046" s="9" t="str">
        <f>IF(DADOS!E6046="","",DADOS!E6046)</f>
        <v/>
      </c>
      <c r="G6046" s="9" t="str">
        <f>IF(DADOS!F6046="","",DADOS!F6046)</f>
        <v/>
      </c>
      <c r="K6046" s="6" t="str">
        <f t="shared" si="475"/>
        <v/>
      </c>
      <c r="L6046" s="7" t="str">
        <f t="shared" si="476"/>
        <v/>
      </c>
      <c r="M6046" s="7" t="str">
        <f t="shared" si="473"/>
        <v/>
      </c>
      <c r="N6046" s="7" t="str">
        <f t="shared" si="477"/>
        <v/>
      </c>
      <c r="O6046" s="8"/>
      <c r="P6046" s="26"/>
      <c r="S6046" s="10" t="str">
        <f t="shared" si="474"/>
        <v/>
      </c>
    </row>
    <row r="6047" spans="5:19" x14ac:dyDescent="0.3">
      <c r="E6047" s="9" t="str">
        <f>IF(DADOS!C6047="","",DADOS!C6047)</f>
        <v/>
      </c>
      <c r="F6047" s="9" t="str">
        <f>IF(DADOS!E6047="","",DADOS!E6047)</f>
        <v/>
      </c>
      <c r="G6047" s="9" t="str">
        <f>IF(DADOS!F6047="","",DADOS!F6047)</f>
        <v/>
      </c>
      <c r="K6047" s="6" t="str">
        <f t="shared" si="475"/>
        <v/>
      </c>
      <c r="L6047" s="7" t="str">
        <f t="shared" si="476"/>
        <v/>
      </c>
      <c r="M6047" s="7" t="str">
        <f t="shared" si="473"/>
        <v/>
      </c>
      <c r="N6047" s="7" t="str">
        <f t="shared" si="477"/>
        <v/>
      </c>
      <c r="O6047" s="8"/>
      <c r="P6047" s="26"/>
      <c r="S6047" s="10" t="str">
        <f t="shared" si="474"/>
        <v/>
      </c>
    </row>
    <row r="6048" spans="5:19" x14ac:dyDescent="0.3">
      <c r="E6048" s="9" t="str">
        <f>IF(DADOS!C6048="","",DADOS!C6048)</f>
        <v/>
      </c>
      <c r="F6048" s="9" t="str">
        <f>IF(DADOS!E6048="","",DADOS!E6048)</f>
        <v/>
      </c>
      <c r="G6048" s="9" t="str">
        <f>IF(DADOS!F6048="","",DADOS!F6048)</f>
        <v/>
      </c>
      <c r="K6048" s="6" t="str">
        <f t="shared" si="475"/>
        <v/>
      </c>
      <c r="L6048" s="7" t="str">
        <f t="shared" si="476"/>
        <v/>
      </c>
      <c r="M6048" s="7" t="str">
        <f t="shared" si="473"/>
        <v/>
      </c>
      <c r="N6048" s="7" t="str">
        <f t="shared" si="477"/>
        <v/>
      </c>
      <c r="O6048" s="8"/>
      <c r="P6048" s="26"/>
      <c r="S6048" s="10" t="str">
        <f t="shared" si="474"/>
        <v/>
      </c>
    </row>
    <row r="6049" spans="5:19" x14ac:dyDescent="0.3">
      <c r="E6049" s="9" t="str">
        <f>IF(DADOS!C6049="","",DADOS!C6049)</f>
        <v/>
      </c>
      <c r="F6049" s="9" t="str">
        <f>IF(DADOS!E6049="","",DADOS!E6049)</f>
        <v/>
      </c>
      <c r="G6049" s="9" t="str">
        <f>IF(DADOS!F6049="","",DADOS!F6049)</f>
        <v/>
      </c>
      <c r="K6049" s="6" t="str">
        <f t="shared" si="475"/>
        <v/>
      </c>
      <c r="L6049" s="7" t="str">
        <f t="shared" si="476"/>
        <v/>
      </c>
      <c r="M6049" s="7" t="str">
        <f t="shared" si="473"/>
        <v/>
      </c>
      <c r="N6049" s="7" t="str">
        <f t="shared" si="477"/>
        <v/>
      </c>
      <c r="O6049" s="8"/>
      <c r="P6049" s="26"/>
      <c r="S6049" s="10" t="str">
        <f t="shared" si="474"/>
        <v/>
      </c>
    </row>
    <row r="6050" spans="5:19" x14ac:dyDescent="0.3">
      <c r="E6050" s="9" t="str">
        <f>IF(DADOS!C6050="","",DADOS!C6050)</f>
        <v/>
      </c>
      <c r="F6050" s="9" t="str">
        <f>IF(DADOS!E6050="","",DADOS!E6050)</f>
        <v/>
      </c>
      <c r="G6050" s="9" t="str">
        <f>IF(DADOS!F6050="","",DADOS!F6050)</f>
        <v/>
      </c>
      <c r="K6050" s="6" t="str">
        <f t="shared" si="475"/>
        <v/>
      </c>
      <c r="L6050" s="7" t="str">
        <f t="shared" si="476"/>
        <v/>
      </c>
      <c r="M6050" s="7" t="str">
        <f t="shared" si="473"/>
        <v/>
      </c>
      <c r="N6050" s="7" t="str">
        <f t="shared" si="477"/>
        <v/>
      </c>
      <c r="O6050" s="8"/>
      <c r="P6050" s="26"/>
      <c r="S6050" s="10" t="str">
        <f t="shared" si="474"/>
        <v/>
      </c>
    </row>
    <row r="6051" spans="5:19" x14ac:dyDescent="0.3">
      <c r="E6051" s="9" t="str">
        <f>IF(DADOS!C6051="","",DADOS!C6051)</f>
        <v/>
      </c>
      <c r="F6051" s="9" t="str">
        <f>IF(DADOS!E6051="","",DADOS!E6051)</f>
        <v/>
      </c>
      <c r="G6051" s="9" t="str">
        <f>IF(DADOS!F6051="","",DADOS!F6051)</f>
        <v/>
      </c>
      <c r="K6051" s="6" t="str">
        <f t="shared" si="475"/>
        <v/>
      </c>
      <c r="L6051" s="7" t="str">
        <f t="shared" si="476"/>
        <v/>
      </c>
      <c r="M6051" s="7" t="str">
        <f t="shared" si="473"/>
        <v/>
      </c>
      <c r="N6051" s="7" t="str">
        <f t="shared" si="477"/>
        <v/>
      </c>
      <c r="O6051" s="8"/>
      <c r="P6051" s="26"/>
      <c r="S6051" s="10" t="str">
        <f t="shared" si="474"/>
        <v/>
      </c>
    </row>
    <row r="6052" spans="5:19" x14ac:dyDescent="0.3">
      <c r="E6052" s="9" t="str">
        <f>IF(DADOS!C6052="","",DADOS!C6052)</f>
        <v/>
      </c>
      <c r="F6052" s="9" t="str">
        <f>IF(DADOS!E6052="","",DADOS!E6052)</f>
        <v/>
      </c>
      <c r="G6052" s="9" t="str">
        <f>IF(DADOS!F6052="","",DADOS!F6052)</f>
        <v/>
      </c>
      <c r="K6052" s="6" t="str">
        <f t="shared" si="475"/>
        <v/>
      </c>
      <c r="L6052" s="7" t="str">
        <f t="shared" si="476"/>
        <v/>
      </c>
      <c r="M6052" s="7" t="str">
        <f t="shared" si="473"/>
        <v/>
      </c>
      <c r="N6052" s="7" t="str">
        <f t="shared" si="477"/>
        <v/>
      </c>
      <c r="O6052" s="8"/>
      <c r="P6052" s="26"/>
      <c r="S6052" s="10" t="str">
        <f t="shared" si="474"/>
        <v/>
      </c>
    </row>
    <row r="6053" spans="5:19" x14ac:dyDescent="0.3">
      <c r="E6053" s="9" t="str">
        <f>IF(DADOS!C6053="","",DADOS!C6053)</f>
        <v/>
      </c>
      <c r="F6053" s="9" t="str">
        <f>IF(DADOS!E6053="","",DADOS!E6053)</f>
        <v/>
      </c>
      <c r="G6053" s="9" t="str">
        <f>IF(DADOS!F6053="","",DADOS!F6053)</f>
        <v/>
      </c>
      <c r="K6053" s="6" t="str">
        <f t="shared" si="475"/>
        <v/>
      </c>
      <c r="L6053" s="7" t="str">
        <f t="shared" si="476"/>
        <v/>
      </c>
      <c r="M6053" s="7" t="str">
        <f t="shared" si="473"/>
        <v/>
      </c>
      <c r="N6053" s="7" t="str">
        <f t="shared" si="477"/>
        <v/>
      </c>
      <c r="O6053" s="8"/>
      <c r="P6053" s="26"/>
      <c r="S6053" s="10" t="str">
        <f t="shared" si="474"/>
        <v/>
      </c>
    </row>
    <row r="6054" spans="5:19" x14ac:dyDescent="0.3">
      <c r="E6054" s="9" t="str">
        <f>IF(DADOS!C6054="","",DADOS!C6054)</f>
        <v/>
      </c>
      <c r="F6054" s="9" t="str">
        <f>IF(DADOS!E6054="","",DADOS!E6054)</f>
        <v/>
      </c>
      <c r="G6054" s="9" t="str">
        <f>IF(DADOS!F6054="","",DADOS!F6054)</f>
        <v/>
      </c>
      <c r="K6054" s="6" t="str">
        <f t="shared" si="475"/>
        <v/>
      </c>
      <c r="L6054" s="7" t="str">
        <f t="shared" si="476"/>
        <v/>
      </c>
      <c r="M6054" s="7" t="str">
        <f t="shared" si="473"/>
        <v/>
      </c>
      <c r="N6054" s="7" t="str">
        <f t="shared" si="477"/>
        <v/>
      </c>
      <c r="O6054" s="8"/>
      <c r="P6054" s="26"/>
      <c r="S6054" s="10" t="str">
        <f t="shared" si="474"/>
        <v/>
      </c>
    </row>
    <row r="6055" spans="5:19" x14ac:dyDescent="0.3">
      <c r="E6055" s="9" t="str">
        <f>IF(DADOS!C6055="","",DADOS!C6055)</f>
        <v/>
      </c>
      <c r="F6055" s="9" t="str">
        <f>IF(DADOS!E6055="","",DADOS!E6055)</f>
        <v/>
      </c>
      <c r="G6055" s="9" t="str">
        <f>IF(DADOS!F6055="","",DADOS!F6055)</f>
        <v/>
      </c>
      <c r="K6055" s="6" t="str">
        <f t="shared" si="475"/>
        <v/>
      </c>
      <c r="L6055" s="7" t="str">
        <f t="shared" si="476"/>
        <v/>
      </c>
      <c r="M6055" s="7" t="str">
        <f t="shared" si="473"/>
        <v/>
      </c>
      <c r="N6055" s="7" t="str">
        <f t="shared" si="477"/>
        <v/>
      </c>
      <c r="O6055" s="8"/>
      <c r="P6055" s="26"/>
      <c r="S6055" s="10" t="str">
        <f t="shared" si="474"/>
        <v/>
      </c>
    </row>
    <row r="6056" spans="5:19" x14ac:dyDescent="0.3">
      <c r="E6056" s="9" t="str">
        <f>IF(DADOS!C6056="","",DADOS!C6056)</f>
        <v/>
      </c>
      <c r="F6056" s="9" t="str">
        <f>IF(DADOS!E6056="","",DADOS!E6056)</f>
        <v/>
      </c>
      <c r="G6056" s="9" t="str">
        <f>IF(DADOS!F6056="","",DADOS!F6056)</f>
        <v/>
      </c>
      <c r="K6056" s="6" t="str">
        <f t="shared" si="475"/>
        <v/>
      </c>
      <c r="L6056" s="7" t="str">
        <f t="shared" si="476"/>
        <v/>
      </c>
      <c r="M6056" s="7" t="str">
        <f t="shared" si="473"/>
        <v/>
      </c>
      <c r="N6056" s="7" t="str">
        <f t="shared" si="477"/>
        <v/>
      </c>
      <c r="O6056" s="8"/>
      <c r="P6056" s="26"/>
      <c r="S6056" s="10" t="str">
        <f t="shared" si="474"/>
        <v/>
      </c>
    </row>
    <row r="6057" spans="5:19" x14ac:dyDescent="0.3">
      <c r="E6057" s="9" t="str">
        <f>IF(DADOS!C6057="","",DADOS!C6057)</f>
        <v/>
      </c>
      <c r="F6057" s="9" t="str">
        <f>IF(DADOS!E6057="","",DADOS!E6057)</f>
        <v/>
      </c>
      <c r="G6057" s="9" t="str">
        <f>IF(DADOS!F6057="","",DADOS!F6057)</f>
        <v/>
      </c>
      <c r="K6057" s="6" t="str">
        <f t="shared" si="475"/>
        <v/>
      </c>
      <c r="L6057" s="7" t="str">
        <f t="shared" si="476"/>
        <v/>
      </c>
      <c r="M6057" s="7" t="str">
        <f t="shared" si="473"/>
        <v/>
      </c>
      <c r="N6057" s="7" t="str">
        <f t="shared" si="477"/>
        <v/>
      </c>
      <c r="O6057" s="8"/>
      <c r="P6057" s="26"/>
      <c r="S6057" s="10" t="str">
        <f t="shared" si="474"/>
        <v/>
      </c>
    </row>
    <row r="6058" spans="5:19" x14ac:dyDescent="0.3">
      <c r="E6058" s="9" t="str">
        <f>IF(DADOS!C6058="","",DADOS!C6058)</f>
        <v/>
      </c>
      <c r="F6058" s="9" t="str">
        <f>IF(DADOS!E6058="","",DADOS!E6058)</f>
        <v/>
      </c>
      <c r="G6058" s="9" t="str">
        <f>IF(DADOS!F6058="","",DADOS!F6058)</f>
        <v/>
      </c>
      <c r="K6058" s="6" t="str">
        <f t="shared" si="475"/>
        <v/>
      </c>
      <c r="L6058" s="7" t="str">
        <f t="shared" si="476"/>
        <v/>
      </c>
      <c r="M6058" s="7" t="str">
        <f t="shared" si="473"/>
        <v/>
      </c>
      <c r="N6058" s="7" t="str">
        <f t="shared" si="477"/>
        <v/>
      </c>
      <c r="O6058" s="8"/>
      <c r="P6058" s="26"/>
      <c r="S6058" s="10" t="str">
        <f t="shared" si="474"/>
        <v/>
      </c>
    </row>
    <row r="6059" spans="5:19" x14ac:dyDescent="0.3">
      <c r="E6059" s="9" t="str">
        <f>IF(DADOS!C6059="","",DADOS!C6059)</f>
        <v/>
      </c>
      <c r="F6059" s="9" t="str">
        <f>IF(DADOS!E6059="","",DADOS!E6059)</f>
        <v/>
      </c>
      <c r="G6059" s="9" t="str">
        <f>IF(DADOS!F6059="","",DADOS!F6059)</f>
        <v/>
      </c>
      <c r="K6059" s="6" t="str">
        <f t="shared" si="475"/>
        <v/>
      </c>
      <c r="L6059" s="7" t="str">
        <f t="shared" si="476"/>
        <v/>
      </c>
      <c r="M6059" s="7" t="str">
        <f t="shared" si="473"/>
        <v/>
      </c>
      <c r="N6059" s="7" t="str">
        <f t="shared" si="477"/>
        <v/>
      </c>
      <c r="O6059" s="8"/>
      <c r="P6059" s="26"/>
      <c r="S6059" s="10" t="str">
        <f t="shared" si="474"/>
        <v/>
      </c>
    </row>
    <row r="6060" spans="5:19" x14ac:dyDescent="0.3">
      <c r="E6060" s="9" t="str">
        <f>IF(DADOS!C6060="","",DADOS!C6060)</f>
        <v/>
      </c>
      <c r="F6060" s="9" t="str">
        <f>IF(DADOS!E6060="","",DADOS!E6060)</f>
        <v/>
      </c>
      <c r="G6060" s="9" t="str">
        <f>IF(DADOS!F6060="","",DADOS!F6060)</f>
        <v/>
      </c>
      <c r="K6060" s="6" t="str">
        <f t="shared" si="475"/>
        <v/>
      </c>
      <c r="L6060" s="7" t="str">
        <f t="shared" si="476"/>
        <v/>
      </c>
      <c r="M6060" s="7" t="str">
        <f t="shared" si="473"/>
        <v/>
      </c>
      <c r="N6060" s="7" t="str">
        <f t="shared" si="477"/>
        <v/>
      </c>
      <c r="O6060" s="8"/>
      <c r="P6060" s="26"/>
      <c r="S6060" s="10" t="str">
        <f t="shared" si="474"/>
        <v/>
      </c>
    </row>
    <row r="6061" spans="5:19" x14ac:dyDescent="0.3">
      <c r="E6061" s="9" t="str">
        <f>IF(DADOS!C6061="","",DADOS!C6061)</f>
        <v/>
      </c>
      <c r="F6061" s="9" t="str">
        <f>IF(DADOS!E6061="","",DADOS!E6061)</f>
        <v/>
      </c>
      <c r="G6061" s="9" t="str">
        <f>IF(DADOS!F6061="","",DADOS!F6061)</f>
        <v/>
      </c>
      <c r="K6061" s="6" t="str">
        <f t="shared" si="475"/>
        <v/>
      </c>
      <c r="L6061" s="7" t="str">
        <f t="shared" si="476"/>
        <v/>
      </c>
      <c r="M6061" s="7" t="str">
        <f t="shared" si="473"/>
        <v/>
      </c>
      <c r="N6061" s="7" t="str">
        <f t="shared" si="477"/>
        <v/>
      </c>
      <c r="O6061" s="8"/>
      <c r="P6061" s="26"/>
      <c r="S6061" s="10" t="str">
        <f t="shared" si="474"/>
        <v/>
      </c>
    </row>
    <row r="6062" spans="5:19" x14ac:dyDescent="0.3">
      <c r="E6062" s="9" t="str">
        <f>IF(DADOS!C6062="","",DADOS!C6062)</f>
        <v/>
      </c>
      <c r="F6062" s="9" t="str">
        <f>IF(DADOS!E6062="","",DADOS!E6062)</f>
        <v/>
      </c>
      <c r="G6062" s="9" t="str">
        <f>IF(DADOS!F6062="","",DADOS!F6062)</f>
        <v/>
      </c>
      <c r="K6062" s="6" t="str">
        <f t="shared" si="475"/>
        <v/>
      </c>
      <c r="L6062" s="7" t="str">
        <f t="shared" si="476"/>
        <v/>
      </c>
      <c r="M6062" s="7" t="str">
        <f t="shared" si="473"/>
        <v/>
      </c>
      <c r="N6062" s="7" t="str">
        <f t="shared" si="477"/>
        <v/>
      </c>
      <c r="O6062" s="8"/>
      <c r="P6062" s="26"/>
      <c r="S6062" s="10" t="str">
        <f t="shared" si="474"/>
        <v/>
      </c>
    </row>
    <row r="6063" spans="5:19" x14ac:dyDescent="0.3">
      <c r="E6063" s="9" t="str">
        <f>IF(DADOS!C6063="","",DADOS!C6063)</f>
        <v/>
      </c>
      <c r="F6063" s="9" t="str">
        <f>IF(DADOS!E6063="","",DADOS!E6063)</f>
        <v/>
      </c>
      <c r="G6063" s="9" t="str">
        <f>IF(DADOS!F6063="","",DADOS!F6063)</f>
        <v/>
      </c>
      <c r="K6063" s="6" t="str">
        <f t="shared" si="475"/>
        <v/>
      </c>
      <c r="L6063" s="7" t="str">
        <f t="shared" si="476"/>
        <v/>
      </c>
      <c r="M6063" s="7" t="str">
        <f t="shared" si="473"/>
        <v/>
      </c>
      <c r="N6063" s="7" t="str">
        <f t="shared" si="477"/>
        <v/>
      </c>
      <c r="O6063" s="8"/>
      <c r="P6063" s="26"/>
      <c r="S6063" s="10" t="str">
        <f t="shared" si="474"/>
        <v/>
      </c>
    </row>
    <row r="6064" spans="5:19" x14ac:dyDescent="0.3">
      <c r="E6064" s="9" t="str">
        <f>IF(DADOS!C6064="","",DADOS!C6064)</f>
        <v/>
      </c>
      <c r="F6064" s="9" t="str">
        <f>IF(DADOS!E6064="","",DADOS!E6064)</f>
        <v/>
      </c>
      <c r="G6064" s="9" t="str">
        <f>IF(DADOS!F6064="","",DADOS!F6064)</f>
        <v/>
      </c>
      <c r="K6064" s="6" t="str">
        <f t="shared" si="475"/>
        <v/>
      </c>
      <c r="L6064" s="7" t="str">
        <f t="shared" si="476"/>
        <v/>
      </c>
      <c r="M6064" s="7" t="str">
        <f t="shared" si="473"/>
        <v/>
      </c>
      <c r="N6064" s="7" t="str">
        <f t="shared" si="477"/>
        <v/>
      </c>
      <c r="O6064" s="8"/>
      <c r="P6064" s="26"/>
      <c r="S6064" s="10" t="str">
        <f t="shared" si="474"/>
        <v/>
      </c>
    </row>
    <row r="6065" spans="5:19" x14ac:dyDescent="0.3">
      <c r="E6065" s="9" t="str">
        <f>IF(DADOS!C6065="","",DADOS!C6065)</f>
        <v/>
      </c>
      <c r="F6065" s="9" t="str">
        <f>IF(DADOS!E6065="","",DADOS!E6065)</f>
        <v/>
      </c>
      <c r="G6065" s="9" t="str">
        <f>IF(DADOS!F6065="","",DADOS!F6065)</f>
        <v/>
      </c>
      <c r="K6065" s="6" t="str">
        <f t="shared" si="475"/>
        <v/>
      </c>
      <c r="L6065" s="7" t="str">
        <f t="shared" si="476"/>
        <v/>
      </c>
      <c r="M6065" s="7" t="str">
        <f t="shared" si="473"/>
        <v/>
      </c>
      <c r="N6065" s="7" t="str">
        <f t="shared" si="477"/>
        <v/>
      </c>
      <c r="O6065" s="8"/>
      <c r="P6065" s="26"/>
      <c r="S6065" s="10" t="str">
        <f t="shared" si="474"/>
        <v/>
      </c>
    </row>
    <row r="6066" spans="5:19" x14ac:dyDescent="0.3">
      <c r="E6066" s="9" t="str">
        <f>IF(DADOS!C6066="","",DADOS!C6066)</f>
        <v/>
      </c>
      <c r="F6066" s="9" t="str">
        <f>IF(DADOS!E6066="","",DADOS!E6066)</f>
        <v/>
      </c>
      <c r="G6066" s="9" t="str">
        <f>IF(DADOS!F6066="","",DADOS!F6066)</f>
        <v/>
      </c>
      <c r="K6066" s="6" t="str">
        <f t="shared" si="475"/>
        <v/>
      </c>
      <c r="L6066" s="7" t="str">
        <f t="shared" si="476"/>
        <v/>
      </c>
      <c r="M6066" s="7" t="str">
        <f t="shared" si="473"/>
        <v/>
      </c>
      <c r="N6066" s="7" t="str">
        <f t="shared" si="477"/>
        <v/>
      </c>
      <c r="O6066" s="8"/>
      <c r="P6066" s="26"/>
      <c r="S6066" s="10" t="str">
        <f t="shared" si="474"/>
        <v/>
      </c>
    </row>
    <row r="6067" spans="5:19" x14ac:dyDescent="0.3">
      <c r="E6067" s="9" t="str">
        <f>IF(DADOS!C6067="","",DADOS!C6067)</f>
        <v/>
      </c>
      <c r="F6067" s="9" t="str">
        <f>IF(DADOS!E6067="","",DADOS!E6067)</f>
        <v/>
      </c>
      <c r="G6067" s="9" t="str">
        <f>IF(DADOS!F6067="","",DADOS!F6067)</f>
        <v/>
      </c>
      <c r="K6067" s="6" t="str">
        <f t="shared" si="475"/>
        <v/>
      </c>
      <c r="L6067" s="7" t="str">
        <f t="shared" si="476"/>
        <v/>
      </c>
      <c r="M6067" s="7" t="str">
        <f t="shared" si="473"/>
        <v/>
      </c>
      <c r="N6067" s="7" t="str">
        <f t="shared" si="477"/>
        <v/>
      </c>
      <c r="O6067" s="8"/>
      <c r="P6067" s="26"/>
      <c r="S6067" s="10" t="str">
        <f t="shared" si="474"/>
        <v/>
      </c>
    </row>
    <row r="6068" spans="5:19" x14ac:dyDescent="0.3">
      <c r="E6068" s="9" t="str">
        <f>IF(DADOS!C6068="","",DADOS!C6068)</f>
        <v/>
      </c>
      <c r="F6068" s="9" t="str">
        <f>IF(DADOS!E6068="","",DADOS!E6068)</f>
        <v/>
      </c>
      <c r="G6068" s="9" t="str">
        <f>IF(DADOS!F6068="","",DADOS!F6068)</f>
        <v/>
      </c>
      <c r="K6068" s="6" t="str">
        <f t="shared" si="475"/>
        <v/>
      </c>
      <c r="L6068" s="7" t="str">
        <f t="shared" si="476"/>
        <v/>
      </c>
      <c r="M6068" s="7" t="str">
        <f t="shared" si="473"/>
        <v/>
      </c>
      <c r="N6068" s="7" t="str">
        <f t="shared" si="477"/>
        <v/>
      </c>
      <c r="O6068" s="8"/>
      <c r="P6068" s="26"/>
      <c r="S6068" s="10" t="str">
        <f t="shared" si="474"/>
        <v/>
      </c>
    </row>
    <row r="6069" spans="5:19" x14ac:dyDescent="0.3">
      <c r="E6069" s="9" t="str">
        <f>IF(DADOS!C6069="","",DADOS!C6069)</f>
        <v/>
      </c>
      <c r="F6069" s="9" t="str">
        <f>IF(DADOS!E6069="","",DADOS!E6069)</f>
        <v/>
      </c>
      <c r="G6069" s="9" t="str">
        <f>IF(DADOS!F6069="","",DADOS!F6069)</f>
        <v/>
      </c>
      <c r="K6069" s="6" t="str">
        <f t="shared" si="475"/>
        <v/>
      </c>
      <c r="L6069" s="7" t="str">
        <f t="shared" si="476"/>
        <v/>
      </c>
      <c r="M6069" s="7" t="str">
        <f t="shared" si="473"/>
        <v/>
      </c>
      <c r="N6069" s="7" t="str">
        <f t="shared" si="477"/>
        <v/>
      </c>
      <c r="O6069" s="8"/>
      <c r="P6069" s="26"/>
      <c r="S6069" s="10" t="str">
        <f t="shared" si="474"/>
        <v/>
      </c>
    </row>
    <row r="6070" spans="5:19" x14ac:dyDescent="0.3">
      <c r="E6070" s="9" t="str">
        <f>IF(DADOS!C6070="","",DADOS!C6070)</f>
        <v/>
      </c>
      <c r="F6070" s="9" t="str">
        <f>IF(DADOS!E6070="","",DADOS!E6070)</f>
        <v/>
      </c>
      <c r="G6070" s="9" t="str">
        <f>IF(DADOS!F6070="","",DADOS!F6070)</f>
        <v/>
      </c>
      <c r="K6070" s="6" t="str">
        <f t="shared" si="475"/>
        <v/>
      </c>
      <c r="L6070" s="7" t="str">
        <f t="shared" si="476"/>
        <v/>
      </c>
      <c r="M6070" s="7" t="str">
        <f t="shared" si="473"/>
        <v/>
      </c>
      <c r="N6070" s="7" t="str">
        <f t="shared" si="477"/>
        <v/>
      </c>
      <c r="O6070" s="8"/>
      <c r="P6070" s="26"/>
      <c r="S6070" s="10" t="str">
        <f t="shared" si="474"/>
        <v/>
      </c>
    </row>
    <row r="6071" spans="5:19" x14ac:dyDescent="0.3">
      <c r="E6071" s="9" t="str">
        <f>IF(DADOS!C6071="","",DADOS!C6071)</f>
        <v/>
      </c>
      <c r="F6071" s="9" t="str">
        <f>IF(DADOS!E6071="","",DADOS!E6071)</f>
        <v/>
      </c>
      <c r="G6071" s="9" t="str">
        <f>IF(DADOS!F6071="","",DADOS!F6071)</f>
        <v/>
      </c>
      <c r="K6071" s="6" t="str">
        <f t="shared" si="475"/>
        <v/>
      </c>
      <c r="L6071" s="7" t="str">
        <f t="shared" si="476"/>
        <v/>
      </c>
      <c r="M6071" s="7" t="str">
        <f t="shared" si="473"/>
        <v/>
      </c>
      <c r="N6071" s="7" t="str">
        <f t="shared" si="477"/>
        <v/>
      </c>
      <c r="O6071" s="8"/>
      <c r="P6071" s="26"/>
      <c r="S6071" s="10" t="str">
        <f t="shared" si="474"/>
        <v/>
      </c>
    </row>
    <row r="6072" spans="5:19" x14ac:dyDescent="0.3">
      <c r="E6072" s="9" t="str">
        <f>IF(DADOS!C6072="","",DADOS!C6072)</f>
        <v/>
      </c>
      <c r="F6072" s="9" t="str">
        <f>IF(DADOS!E6072="","",DADOS!E6072)</f>
        <v/>
      </c>
      <c r="G6072" s="9" t="str">
        <f>IF(DADOS!F6072="","",DADOS!F6072)</f>
        <v/>
      </c>
      <c r="K6072" s="6" t="str">
        <f t="shared" si="475"/>
        <v/>
      </c>
      <c r="L6072" s="7" t="str">
        <f t="shared" si="476"/>
        <v/>
      </c>
      <c r="M6072" s="7" t="str">
        <f t="shared" si="473"/>
        <v/>
      </c>
      <c r="N6072" s="7" t="str">
        <f t="shared" si="477"/>
        <v/>
      </c>
      <c r="O6072" s="8"/>
      <c r="P6072" s="26"/>
      <c r="S6072" s="10" t="str">
        <f t="shared" si="474"/>
        <v/>
      </c>
    </row>
    <row r="6073" spans="5:19" x14ac:dyDescent="0.3">
      <c r="E6073" s="9" t="str">
        <f>IF(DADOS!C6073="","",DADOS!C6073)</f>
        <v/>
      </c>
      <c r="F6073" s="9" t="str">
        <f>IF(DADOS!E6073="","",DADOS!E6073)</f>
        <v/>
      </c>
      <c r="G6073" s="9" t="str">
        <f>IF(DADOS!F6073="","",DADOS!F6073)</f>
        <v/>
      </c>
      <c r="K6073" s="6" t="str">
        <f t="shared" si="475"/>
        <v/>
      </c>
      <c r="L6073" s="7" t="str">
        <f t="shared" si="476"/>
        <v/>
      </c>
      <c r="M6073" s="7" t="str">
        <f t="shared" si="473"/>
        <v/>
      </c>
      <c r="N6073" s="7" t="str">
        <f t="shared" si="477"/>
        <v/>
      </c>
      <c r="O6073" s="8"/>
      <c r="P6073" s="26"/>
      <c r="S6073" s="10" t="str">
        <f t="shared" si="474"/>
        <v/>
      </c>
    </row>
    <row r="6074" spans="5:19" x14ac:dyDescent="0.3">
      <c r="E6074" s="9" t="str">
        <f>IF(DADOS!C6074="","",DADOS!C6074)</f>
        <v/>
      </c>
      <c r="F6074" s="9" t="str">
        <f>IF(DADOS!E6074="","",DADOS!E6074)</f>
        <v/>
      </c>
      <c r="G6074" s="9" t="str">
        <f>IF(DADOS!F6074="","",DADOS!F6074)</f>
        <v/>
      </c>
      <c r="K6074" s="6" t="str">
        <f t="shared" si="475"/>
        <v/>
      </c>
      <c r="L6074" s="7" t="str">
        <f t="shared" si="476"/>
        <v/>
      </c>
      <c r="M6074" s="7" t="str">
        <f t="shared" si="473"/>
        <v/>
      </c>
      <c r="N6074" s="7" t="str">
        <f t="shared" si="477"/>
        <v/>
      </c>
      <c r="O6074" s="8"/>
      <c r="P6074" s="26"/>
      <c r="S6074" s="10" t="str">
        <f t="shared" si="474"/>
        <v/>
      </c>
    </row>
    <row r="6075" spans="5:19" x14ac:dyDescent="0.3">
      <c r="E6075" s="9" t="str">
        <f>IF(DADOS!C6075="","",DADOS!C6075)</f>
        <v/>
      </c>
      <c r="F6075" s="9" t="str">
        <f>IF(DADOS!E6075="","",DADOS!E6075)</f>
        <v/>
      </c>
      <c r="G6075" s="9" t="str">
        <f>IF(DADOS!F6075="","",DADOS!F6075)</f>
        <v/>
      </c>
      <c r="K6075" s="6" t="str">
        <f t="shared" si="475"/>
        <v/>
      </c>
      <c r="L6075" s="7" t="str">
        <f t="shared" si="476"/>
        <v/>
      </c>
      <c r="M6075" s="7" t="str">
        <f t="shared" si="473"/>
        <v/>
      </c>
      <c r="N6075" s="7" t="str">
        <f t="shared" si="477"/>
        <v/>
      </c>
      <c r="O6075" s="8"/>
      <c r="P6075" s="26"/>
      <c r="S6075" s="10" t="str">
        <f t="shared" si="474"/>
        <v/>
      </c>
    </row>
    <row r="6076" spans="5:19" x14ac:dyDescent="0.3">
      <c r="E6076" s="9" t="str">
        <f>IF(DADOS!C6076="","",DADOS!C6076)</f>
        <v/>
      </c>
      <c r="F6076" s="9" t="str">
        <f>IF(DADOS!E6076="","",DADOS!E6076)</f>
        <v/>
      </c>
      <c r="G6076" s="9" t="str">
        <f>IF(DADOS!F6076="","",DADOS!F6076)</f>
        <v/>
      </c>
      <c r="K6076" s="6" t="str">
        <f t="shared" si="475"/>
        <v/>
      </c>
      <c r="L6076" s="7" t="str">
        <f t="shared" si="476"/>
        <v/>
      </c>
      <c r="M6076" s="7" t="str">
        <f t="shared" si="473"/>
        <v/>
      </c>
      <c r="N6076" s="7" t="str">
        <f t="shared" si="477"/>
        <v/>
      </c>
      <c r="O6076" s="8"/>
      <c r="P6076" s="26"/>
      <c r="S6076" s="10" t="str">
        <f t="shared" si="474"/>
        <v/>
      </c>
    </row>
    <row r="6077" spans="5:19" x14ac:dyDescent="0.3">
      <c r="E6077" s="9" t="str">
        <f>IF(DADOS!C6077="","",DADOS!C6077)</f>
        <v/>
      </c>
      <c r="F6077" s="9" t="str">
        <f>IF(DADOS!E6077="","",DADOS!E6077)</f>
        <v/>
      </c>
      <c r="G6077" s="9" t="str">
        <f>IF(DADOS!F6077="","",DADOS!F6077)</f>
        <v/>
      </c>
      <c r="K6077" s="6" t="str">
        <f t="shared" si="475"/>
        <v/>
      </c>
      <c r="L6077" s="7" t="str">
        <f t="shared" si="476"/>
        <v/>
      </c>
      <c r="M6077" s="7" t="str">
        <f t="shared" si="473"/>
        <v/>
      </c>
      <c r="N6077" s="7" t="str">
        <f t="shared" si="477"/>
        <v/>
      </c>
      <c r="O6077" s="8"/>
      <c r="P6077" s="26"/>
      <c r="S6077" s="10" t="str">
        <f t="shared" si="474"/>
        <v/>
      </c>
    </row>
    <row r="6078" spans="5:19" x14ac:dyDescent="0.3">
      <c r="E6078" s="9" t="str">
        <f>IF(DADOS!C6078="","",DADOS!C6078)</f>
        <v/>
      </c>
      <c r="F6078" s="9" t="str">
        <f>IF(DADOS!E6078="","",DADOS!E6078)</f>
        <v/>
      </c>
      <c r="G6078" s="9" t="str">
        <f>IF(DADOS!F6078="","",DADOS!F6078)</f>
        <v/>
      </c>
      <c r="K6078" s="6" t="str">
        <f t="shared" si="475"/>
        <v/>
      </c>
      <c r="L6078" s="7" t="str">
        <f t="shared" si="476"/>
        <v/>
      </c>
      <c r="M6078" s="7" t="str">
        <f t="shared" si="473"/>
        <v/>
      </c>
      <c r="N6078" s="7" t="str">
        <f t="shared" si="477"/>
        <v/>
      </c>
      <c r="O6078" s="8"/>
      <c r="P6078" s="26"/>
      <c r="S6078" s="10" t="str">
        <f t="shared" si="474"/>
        <v/>
      </c>
    </row>
    <row r="6079" spans="5:19" x14ac:dyDescent="0.3">
      <c r="E6079" s="9" t="str">
        <f>IF(DADOS!C6079="","",DADOS!C6079)</f>
        <v/>
      </c>
      <c r="F6079" s="9" t="str">
        <f>IF(DADOS!E6079="","",DADOS!E6079)</f>
        <v/>
      </c>
      <c r="G6079" s="9" t="str">
        <f>IF(DADOS!F6079="","",DADOS!F6079)</f>
        <v/>
      </c>
      <c r="K6079" s="6" t="str">
        <f t="shared" si="475"/>
        <v/>
      </c>
      <c r="L6079" s="7" t="str">
        <f t="shared" si="476"/>
        <v/>
      </c>
      <c r="M6079" s="7" t="str">
        <f t="shared" si="473"/>
        <v/>
      </c>
      <c r="N6079" s="7" t="str">
        <f t="shared" si="477"/>
        <v/>
      </c>
      <c r="O6079" s="8"/>
      <c r="P6079" s="26"/>
      <c r="S6079" s="10" t="str">
        <f t="shared" si="474"/>
        <v/>
      </c>
    </row>
    <row r="6080" spans="5:19" x14ac:dyDescent="0.3">
      <c r="E6080" s="9" t="str">
        <f>IF(DADOS!C6080="","",DADOS!C6080)</f>
        <v/>
      </c>
      <c r="F6080" s="9" t="str">
        <f>IF(DADOS!E6080="","",DADOS!E6080)</f>
        <v/>
      </c>
      <c r="G6080" s="9" t="str">
        <f>IF(DADOS!F6080="","",DADOS!F6080)</f>
        <v/>
      </c>
      <c r="K6080" s="6" t="str">
        <f t="shared" si="475"/>
        <v/>
      </c>
      <c r="L6080" s="7" t="str">
        <f t="shared" si="476"/>
        <v/>
      </c>
      <c r="M6080" s="7" t="str">
        <f t="shared" si="473"/>
        <v/>
      </c>
      <c r="N6080" s="7" t="str">
        <f t="shared" si="477"/>
        <v/>
      </c>
      <c r="O6080" s="8"/>
      <c r="P6080" s="26"/>
      <c r="S6080" s="10" t="str">
        <f t="shared" si="474"/>
        <v/>
      </c>
    </row>
    <row r="6081" spans="5:19" x14ac:dyDescent="0.3">
      <c r="E6081" s="9" t="str">
        <f>IF(DADOS!C6081="","",DADOS!C6081)</f>
        <v/>
      </c>
      <c r="F6081" s="9" t="str">
        <f>IF(DADOS!E6081="","",DADOS!E6081)</f>
        <v/>
      </c>
      <c r="G6081" s="9" t="str">
        <f>IF(DADOS!F6081="","",DADOS!F6081)</f>
        <v/>
      </c>
      <c r="K6081" s="6" t="str">
        <f t="shared" si="475"/>
        <v/>
      </c>
      <c r="L6081" s="7" t="str">
        <f t="shared" si="476"/>
        <v/>
      </c>
      <c r="M6081" s="7" t="str">
        <f t="shared" si="473"/>
        <v/>
      </c>
      <c r="N6081" s="7" t="str">
        <f t="shared" si="477"/>
        <v/>
      </c>
      <c r="O6081" s="8"/>
      <c r="P6081" s="26"/>
      <c r="S6081" s="10" t="str">
        <f t="shared" si="474"/>
        <v/>
      </c>
    </row>
    <row r="6082" spans="5:19" x14ac:dyDescent="0.3">
      <c r="E6082" s="9" t="str">
        <f>IF(DADOS!C6082="","",DADOS!C6082)</f>
        <v/>
      </c>
      <c r="F6082" s="9" t="str">
        <f>IF(DADOS!E6082="","",DADOS!E6082)</f>
        <v/>
      </c>
      <c r="G6082" s="9" t="str">
        <f>IF(DADOS!F6082="","",DADOS!F6082)</f>
        <v/>
      </c>
      <c r="K6082" s="6" t="str">
        <f t="shared" si="475"/>
        <v/>
      </c>
      <c r="L6082" s="7" t="str">
        <f t="shared" si="476"/>
        <v/>
      </c>
      <c r="M6082" s="7" t="str">
        <f t="shared" si="473"/>
        <v/>
      </c>
      <c r="N6082" s="7" t="str">
        <f t="shared" si="477"/>
        <v/>
      </c>
      <c r="O6082" s="8"/>
      <c r="P6082" s="26"/>
      <c r="S6082" s="10" t="str">
        <f t="shared" si="474"/>
        <v/>
      </c>
    </row>
    <row r="6083" spans="5:19" x14ac:dyDescent="0.3">
      <c r="E6083" s="9" t="str">
        <f>IF(DADOS!C6083="","",DADOS!C6083)</f>
        <v/>
      </c>
      <c r="F6083" s="9" t="str">
        <f>IF(DADOS!E6083="","",DADOS!E6083)</f>
        <v/>
      </c>
      <c r="G6083" s="9" t="str">
        <f>IF(DADOS!F6083="","",DADOS!F6083)</f>
        <v/>
      </c>
      <c r="K6083" s="6" t="str">
        <f t="shared" si="475"/>
        <v/>
      </c>
      <c r="L6083" s="7" t="str">
        <f t="shared" si="476"/>
        <v/>
      </c>
      <c r="M6083" s="7" t="str">
        <f t="shared" ref="M6083:M6146" si="478">IF(L6083="","",L6083*G6083)</f>
        <v/>
      </c>
      <c r="N6083" s="7" t="str">
        <f t="shared" si="477"/>
        <v/>
      </c>
      <c r="O6083" s="8"/>
      <c r="P6083" s="26"/>
      <c r="S6083" s="10" t="str">
        <f t="shared" ref="S6083:S6146" si="479">IF(R6083="","",SUMIFS($N$3:$N$10000,$E$3:$E$10000,R6083))</f>
        <v/>
      </c>
    </row>
    <row r="6084" spans="5:19" x14ac:dyDescent="0.3">
      <c r="E6084" s="9" t="str">
        <f>IF(DADOS!C6084="","",DADOS!C6084)</f>
        <v/>
      </c>
      <c r="F6084" s="9" t="str">
        <f>IF(DADOS!E6084="","",DADOS!E6084)</f>
        <v/>
      </c>
      <c r="G6084" s="9" t="str">
        <f>IF(DADOS!F6084="","",DADOS!F6084)</f>
        <v/>
      </c>
      <c r="K6084" s="6" t="str">
        <f t="shared" ref="K6084:K6147" si="480">IF(F6084="","",F6084/PI())</f>
        <v/>
      </c>
      <c r="L6084" s="7" t="str">
        <f t="shared" ref="L6084:L6147" si="481">IF(K6084="","",(PI()*K6084^2)/40000)</f>
        <v/>
      </c>
      <c r="M6084" s="7" t="str">
        <f t="shared" si="478"/>
        <v/>
      </c>
      <c r="N6084" s="7" t="str">
        <f t="shared" ref="N6084:N6147" si="482">IF(M6084="","",M6084*N$1)</f>
        <v/>
      </c>
      <c r="O6084" s="8"/>
      <c r="P6084" s="26"/>
      <c r="S6084" s="10" t="str">
        <f t="shared" si="479"/>
        <v/>
      </c>
    </row>
    <row r="6085" spans="5:19" x14ac:dyDescent="0.3">
      <c r="E6085" s="9" t="str">
        <f>IF(DADOS!C6085="","",DADOS!C6085)</f>
        <v/>
      </c>
      <c r="F6085" s="9" t="str">
        <f>IF(DADOS!E6085="","",DADOS!E6085)</f>
        <v/>
      </c>
      <c r="G6085" s="9" t="str">
        <f>IF(DADOS!F6085="","",DADOS!F6085)</f>
        <v/>
      </c>
      <c r="K6085" s="6" t="str">
        <f t="shared" si="480"/>
        <v/>
      </c>
      <c r="L6085" s="7" t="str">
        <f t="shared" si="481"/>
        <v/>
      </c>
      <c r="M6085" s="7" t="str">
        <f t="shared" si="478"/>
        <v/>
      </c>
      <c r="N6085" s="7" t="str">
        <f t="shared" si="482"/>
        <v/>
      </c>
      <c r="O6085" s="8"/>
      <c r="P6085" s="26"/>
      <c r="S6085" s="10" t="str">
        <f t="shared" si="479"/>
        <v/>
      </c>
    </row>
    <row r="6086" spans="5:19" x14ac:dyDescent="0.3">
      <c r="E6086" s="9" t="str">
        <f>IF(DADOS!C6086="","",DADOS!C6086)</f>
        <v/>
      </c>
      <c r="F6086" s="9" t="str">
        <f>IF(DADOS!E6086="","",DADOS!E6086)</f>
        <v/>
      </c>
      <c r="G6086" s="9" t="str">
        <f>IF(DADOS!F6086="","",DADOS!F6086)</f>
        <v/>
      </c>
      <c r="K6086" s="6" t="str">
        <f t="shared" si="480"/>
        <v/>
      </c>
      <c r="L6086" s="7" t="str">
        <f t="shared" si="481"/>
        <v/>
      </c>
      <c r="M6086" s="7" t="str">
        <f t="shared" si="478"/>
        <v/>
      </c>
      <c r="N6086" s="7" t="str">
        <f t="shared" si="482"/>
        <v/>
      </c>
      <c r="O6086" s="8"/>
      <c r="P6086" s="26"/>
      <c r="S6086" s="10" t="str">
        <f t="shared" si="479"/>
        <v/>
      </c>
    </row>
    <row r="6087" spans="5:19" x14ac:dyDescent="0.3">
      <c r="E6087" s="9" t="str">
        <f>IF(DADOS!C6087="","",DADOS!C6087)</f>
        <v/>
      </c>
      <c r="F6087" s="9" t="str">
        <f>IF(DADOS!E6087="","",DADOS!E6087)</f>
        <v/>
      </c>
      <c r="G6087" s="9" t="str">
        <f>IF(DADOS!F6087="","",DADOS!F6087)</f>
        <v/>
      </c>
      <c r="K6087" s="6" t="str">
        <f t="shared" si="480"/>
        <v/>
      </c>
      <c r="L6087" s="7" t="str">
        <f t="shared" si="481"/>
        <v/>
      </c>
      <c r="M6087" s="7" t="str">
        <f t="shared" si="478"/>
        <v/>
      </c>
      <c r="N6087" s="7" t="str">
        <f t="shared" si="482"/>
        <v/>
      </c>
      <c r="O6087" s="8"/>
      <c r="P6087" s="26"/>
      <c r="S6087" s="10" t="str">
        <f t="shared" si="479"/>
        <v/>
      </c>
    </row>
    <row r="6088" spans="5:19" x14ac:dyDescent="0.3">
      <c r="E6088" s="9" t="str">
        <f>IF(DADOS!C6088="","",DADOS!C6088)</f>
        <v/>
      </c>
      <c r="F6088" s="9" t="str">
        <f>IF(DADOS!E6088="","",DADOS!E6088)</f>
        <v/>
      </c>
      <c r="G6088" s="9" t="str">
        <f>IF(DADOS!F6088="","",DADOS!F6088)</f>
        <v/>
      </c>
      <c r="K6088" s="6" t="str">
        <f t="shared" si="480"/>
        <v/>
      </c>
      <c r="L6088" s="7" t="str">
        <f t="shared" si="481"/>
        <v/>
      </c>
      <c r="M6088" s="7" t="str">
        <f t="shared" si="478"/>
        <v/>
      </c>
      <c r="N6088" s="7" t="str">
        <f t="shared" si="482"/>
        <v/>
      </c>
      <c r="O6088" s="8"/>
      <c r="P6088" s="26"/>
      <c r="S6088" s="10" t="str">
        <f t="shared" si="479"/>
        <v/>
      </c>
    </row>
    <row r="6089" spans="5:19" x14ac:dyDescent="0.3">
      <c r="E6089" s="9" t="str">
        <f>IF(DADOS!C6089="","",DADOS!C6089)</f>
        <v/>
      </c>
      <c r="F6089" s="9" t="str">
        <f>IF(DADOS!E6089="","",DADOS!E6089)</f>
        <v/>
      </c>
      <c r="G6089" s="9" t="str">
        <f>IF(DADOS!F6089="","",DADOS!F6089)</f>
        <v/>
      </c>
      <c r="K6089" s="6" t="str">
        <f t="shared" si="480"/>
        <v/>
      </c>
      <c r="L6089" s="7" t="str">
        <f t="shared" si="481"/>
        <v/>
      </c>
      <c r="M6089" s="7" t="str">
        <f t="shared" si="478"/>
        <v/>
      </c>
      <c r="N6089" s="7" t="str">
        <f t="shared" si="482"/>
        <v/>
      </c>
      <c r="O6089" s="8"/>
      <c r="P6089" s="26"/>
      <c r="S6089" s="10" t="str">
        <f t="shared" si="479"/>
        <v/>
      </c>
    </row>
    <row r="6090" spans="5:19" x14ac:dyDescent="0.3">
      <c r="E6090" s="9" t="str">
        <f>IF(DADOS!C6090="","",DADOS!C6090)</f>
        <v/>
      </c>
      <c r="F6090" s="9" t="str">
        <f>IF(DADOS!E6090="","",DADOS!E6090)</f>
        <v/>
      </c>
      <c r="G6090" s="9" t="str">
        <f>IF(DADOS!F6090="","",DADOS!F6090)</f>
        <v/>
      </c>
      <c r="K6090" s="6" t="str">
        <f t="shared" si="480"/>
        <v/>
      </c>
      <c r="L6090" s="7" t="str">
        <f t="shared" si="481"/>
        <v/>
      </c>
      <c r="M6090" s="7" t="str">
        <f t="shared" si="478"/>
        <v/>
      </c>
      <c r="N6090" s="7" t="str">
        <f t="shared" si="482"/>
        <v/>
      </c>
      <c r="O6090" s="8"/>
      <c r="P6090" s="26"/>
      <c r="S6090" s="10" t="str">
        <f t="shared" si="479"/>
        <v/>
      </c>
    </row>
    <row r="6091" spans="5:19" x14ac:dyDescent="0.3">
      <c r="E6091" s="9" t="str">
        <f>IF(DADOS!C6091="","",DADOS!C6091)</f>
        <v/>
      </c>
      <c r="F6091" s="9" t="str">
        <f>IF(DADOS!E6091="","",DADOS!E6091)</f>
        <v/>
      </c>
      <c r="G6091" s="9" t="str">
        <f>IF(DADOS!F6091="","",DADOS!F6091)</f>
        <v/>
      </c>
      <c r="K6091" s="6" t="str">
        <f t="shared" si="480"/>
        <v/>
      </c>
      <c r="L6091" s="7" t="str">
        <f t="shared" si="481"/>
        <v/>
      </c>
      <c r="M6091" s="7" t="str">
        <f t="shared" si="478"/>
        <v/>
      </c>
      <c r="N6091" s="7" t="str">
        <f t="shared" si="482"/>
        <v/>
      </c>
      <c r="O6091" s="8"/>
      <c r="P6091" s="26"/>
      <c r="S6091" s="10" t="str">
        <f t="shared" si="479"/>
        <v/>
      </c>
    </row>
    <row r="6092" spans="5:19" x14ac:dyDescent="0.3">
      <c r="E6092" s="9" t="str">
        <f>IF(DADOS!C6092="","",DADOS!C6092)</f>
        <v/>
      </c>
      <c r="F6092" s="9" t="str">
        <f>IF(DADOS!E6092="","",DADOS!E6092)</f>
        <v/>
      </c>
      <c r="G6092" s="9" t="str">
        <f>IF(DADOS!F6092="","",DADOS!F6092)</f>
        <v/>
      </c>
      <c r="K6092" s="6" t="str">
        <f t="shared" si="480"/>
        <v/>
      </c>
      <c r="L6092" s="7" t="str">
        <f t="shared" si="481"/>
        <v/>
      </c>
      <c r="M6092" s="7" t="str">
        <f t="shared" si="478"/>
        <v/>
      </c>
      <c r="N6092" s="7" t="str">
        <f t="shared" si="482"/>
        <v/>
      </c>
      <c r="O6092" s="8"/>
      <c r="P6092" s="26"/>
      <c r="S6092" s="10" t="str">
        <f t="shared" si="479"/>
        <v/>
      </c>
    </row>
    <row r="6093" spans="5:19" x14ac:dyDescent="0.3">
      <c r="E6093" s="9" t="str">
        <f>IF(DADOS!C6093="","",DADOS!C6093)</f>
        <v/>
      </c>
      <c r="F6093" s="9" t="str">
        <f>IF(DADOS!E6093="","",DADOS!E6093)</f>
        <v/>
      </c>
      <c r="G6093" s="9" t="str">
        <f>IF(DADOS!F6093="","",DADOS!F6093)</f>
        <v/>
      </c>
      <c r="K6093" s="6" t="str">
        <f t="shared" si="480"/>
        <v/>
      </c>
      <c r="L6093" s="7" t="str">
        <f t="shared" si="481"/>
        <v/>
      </c>
      <c r="M6093" s="7" t="str">
        <f t="shared" si="478"/>
        <v/>
      </c>
      <c r="N6093" s="7" t="str">
        <f t="shared" si="482"/>
        <v/>
      </c>
      <c r="O6093" s="8"/>
      <c r="P6093" s="26"/>
      <c r="S6093" s="10" t="str">
        <f t="shared" si="479"/>
        <v/>
      </c>
    </row>
    <row r="6094" spans="5:19" x14ac:dyDescent="0.3">
      <c r="E6094" s="9" t="str">
        <f>IF(DADOS!C6094="","",DADOS!C6094)</f>
        <v/>
      </c>
      <c r="F6094" s="9" t="str">
        <f>IF(DADOS!E6094="","",DADOS!E6094)</f>
        <v/>
      </c>
      <c r="G6094" s="9" t="str">
        <f>IF(DADOS!F6094="","",DADOS!F6094)</f>
        <v/>
      </c>
      <c r="K6094" s="6" t="str">
        <f t="shared" si="480"/>
        <v/>
      </c>
      <c r="L6094" s="7" t="str">
        <f t="shared" si="481"/>
        <v/>
      </c>
      <c r="M6094" s="7" t="str">
        <f t="shared" si="478"/>
        <v/>
      </c>
      <c r="N6094" s="7" t="str">
        <f t="shared" si="482"/>
        <v/>
      </c>
      <c r="O6094" s="8"/>
      <c r="P6094" s="26"/>
      <c r="S6094" s="10" t="str">
        <f t="shared" si="479"/>
        <v/>
      </c>
    </row>
    <row r="6095" spans="5:19" x14ac:dyDescent="0.3">
      <c r="E6095" s="9" t="str">
        <f>IF(DADOS!C6095="","",DADOS!C6095)</f>
        <v/>
      </c>
      <c r="F6095" s="9" t="str">
        <f>IF(DADOS!E6095="","",DADOS!E6095)</f>
        <v/>
      </c>
      <c r="G6095" s="9" t="str">
        <f>IF(DADOS!F6095="","",DADOS!F6095)</f>
        <v/>
      </c>
      <c r="K6095" s="6" t="str">
        <f t="shared" si="480"/>
        <v/>
      </c>
      <c r="L6095" s="7" t="str">
        <f t="shared" si="481"/>
        <v/>
      </c>
      <c r="M6095" s="7" t="str">
        <f t="shared" si="478"/>
        <v/>
      </c>
      <c r="N6095" s="7" t="str">
        <f t="shared" si="482"/>
        <v/>
      </c>
      <c r="O6095" s="8"/>
      <c r="P6095" s="26"/>
      <c r="S6095" s="10" t="str">
        <f t="shared" si="479"/>
        <v/>
      </c>
    </row>
    <row r="6096" spans="5:19" x14ac:dyDescent="0.3">
      <c r="E6096" s="9" t="str">
        <f>IF(DADOS!C6096="","",DADOS!C6096)</f>
        <v/>
      </c>
      <c r="F6096" s="9" t="str">
        <f>IF(DADOS!E6096="","",DADOS!E6096)</f>
        <v/>
      </c>
      <c r="G6096" s="9" t="str">
        <f>IF(DADOS!F6096="","",DADOS!F6096)</f>
        <v/>
      </c>
      <c r="K6096" s="6" t="str">
        <f t="shared" si="480"/>
        <v/>
      </c>
      <c r="L6096" s="7" t="str">
        <f t="shared" si="481"/>
        <v/>
      </c>
      <c r="M6096" s="7" t="str">
        <f t="shared" si="478"/>
        <v/>
      </c>
      <c r="N6096" s="7" t="str">
        <f t="shared" si="482"/>
        <v/>
      </c>
      <c r="O6096" s="8"/>
      <c r="P6096" s="26"/>
      <c r="S6096" s="10" t="str">
        <f t="shared" si="479"/>
        <v/>
      </c>
    </row>
    <row r="6097" spans="5:19" x14ac:dyDescent="0.3">
      <c r="E6097" s="9" t="str">
        <f>IF(DADOS!C6097="","",DADOS!C6097)</f>
        <v/>
      </c>
      <c r="F6097" s="9" t="str">
        <f>IF(DADOS!E6097="","",DADOS!E6097)</f>
        <v/>
      </c>
      <c r="G6097" s="9" t="str">
        <f>IF(DADOS!F6097="","",DADOS!F6097)</f>
        <v/>
      </c>
      <c r="K6097" s="6" t="str">
        <f t="shared" si="480"/>
        <v/>
      </c>
      <c r="L6097" s="7" t="str">
        <f t="shared" si="481"/>
        <v/>
      </c>
      <c r="M6097" s="7" t="str">
        <f t="shared" si="478"/>
        <v/>
      </c>
      <c r="N6097" s="7" t="str">
        <f t="shared" si="482"/>
        <v/>
      </c>
      <c r="O6097" s="8"/>
      <c r="P6097" s="26"/>
      <c r="S6097" s="10" t="str">
        <f t="shared" si="479"/>
        <v/>
      </c>
    </row>
    <row r="6098" spans="5:19" x14ac:dyDescent="0.3">
      <c r="E6098" s="9" t="str">
        <f>IF(DADOS!C6098="","",DADOS!C6098)</f>
        <v/>
      </c>
      <c r="F6098" s="9" t="str">
        <f>IF(DADOS!E6098="","",DADOS!E6098)</f>
        <v/>
      </c>
      <c r="G6098" s="9" t="str">
        <f>IF(DADOS!F6098="","",DADOS!F6098)</f>
        <v/>
      </c>
      <c r="K6098" s="6" t="str">
        <f t="shared" si="480"/>
        <v/>
      </c>
      <c r="L6098" s="7" t="str">
        <f t="shared" si="481"/>
        <v/>
      </c>
      <c r="M6098" s="7" t="str">
        <f t="shared" si="478"/>
        <v/>
      </c>
      <c r="N6098" s="7" t="str">
        <f t="shared" si="482"/>
        <v/>
      </c>
      <c r="O6098" s="8"/>
      <c r="P6098" s="26"/>
      <c r="S6098" s="10" t="str">
        <f t="shared" si="479"/>
        <v/>
      </c>
    </row>
    <row r="6099" spans="5:19" x14ac:dyDescent="0.3">
      <c r="E6099" s="9" t="str">
        <f>IF(DADOS!C6099="","",DADOS!C6099)</f>
        <v/>
      </c>
      <c r="F6099" s="9" t="str">
        <f>IF(DADOS!E6099="","",DADOS!E6099)</f>
        <v/>
      </c>
      <c r="G6099" s="9" t="str">
        <f>IF(DADOS!F6099="","",DADOS!F6099)</f>
        <v/>
      </c>
      <c r="K6099" s="6" t="str">
        <f t="shared" si="480"/>
        <v/>
      </c>
      <c r="L6099" s="7" t="str">
        <f t="shared" si="481"/>
        <v/>
      </c>
      <c r="M6099" s="7" t="str">
        <f t="shared" si="478"/>
        <v/>
      </c>
      <c r="N6099" s="7" t="str">
        <f t="shared" si="482"/>
        <v/>
      </c>
      <c r="O6099" s="8"/>
      <c r="P6099" s="26"/>
      <c r="S6099" s="10" t="str">
        <f t="shared" si="479"/>
        <v/>
      </c>
    </row>
    <row r="6100" spans="5:19" x14ac:dyDescent="0.3">
      <c r="E6100" s="9" t="str">
        <f>IF(DADOS!C6100="","",DADOS!C6100)</f>
        <v/>
      </c>
      <c r="F6100" s="9" t="str">
        <f>IF(DADOS!E6100="","",DADOS!E6100)</f>
        <v/>
      </c>
      <c r="G6100" s="9" t="str">
        <f>IF(DADOS!F6100="","",DADOS!F6100)</f>
        <v/>
      </c>
      <c r="K6100" s="6" t="str">
        <f t="shared" si="480"/>
        <v/>
      </c>
      <c r="L6100" s="7" t="str">
        <f t="shared" si="481"/>
        <v/>
      </c>
      <c r="M6100" s="7" t="str">
        <f t="shared" si="478"/>
        <v/>
      </c>
      <c r="N6100" s="7" t="str">
        <f t="shared" si="482"/>
        <v/>
      </c>
      <c r="O6100" s="8"/>
      <c r="P6100" s="26"/>
      <c r="S6100" s="10" t="str">
        <f t="shared" si="479"/>
        <v/>
      </c>
    </row>
    <row r="6101" spans="5:19" x14ac:dyDescent="0.3">
      <c r="E6101" s="9" t="str">
        <f>IF(DADOS!C6101="","",DADOS!C6101)</f>
        <v/>
      </c>
      <c r="F6101" s="9" t="str">
        <f>IF(DADOS!E6101="","",DADOS!E6101)</f>
        <v/>
      </c>
      <c r="G6101" s="9" t="str">
        <f>IF(DADOS!F6101="","",DADOS!F6101)</f>
        <v/>
      </c>
      <c r="K6101" s="6" t="str">
        <f t="shared" si="480"/>
        <v/>
      </c>
      <c r="L6101" s="7" t="str">
        <f t="shared" si="481"/>
        <v/>
      </c>
      <c r="M6101" s="7" t="str">
        <f t="shared" si="478"/>
        <v/>
      </c>
      <c r="N6101" s="7" t="str">
        <f t="shared" si="482"/>
        <v/>
      </c>
      <c r="O6101" s="8"/>
      <c r="P6101" s="26"/>
      <c r="S6101" s="10" t="str">
        <f t="shared" si="479"/>
        <v/>
      </c>
    </row>
    <row r="6102" spans="5:19" x14ac:dyDescent="0.3">
      <c r="E6102" s="9" t="str">
        <f>IF(DADOS!C6102="","",DADOS!C6102)</f>
        <v/>
      </c>
      <c r="F6102" s="9" t="str">
        <f>IF(DADOS!E6102="","",DADOS!E6102)</f>
        <v/>
      </c>
      <c r="G6102" s="9" t="str">
        <f>IF(DADOS!F6102="","",DADOS!F6102)</f>
        <v/>
      </c>
      <c r="K6102" s="6" t="str">
        <f t="shared" si="480"/>
        <v/>
      </c>
      <c r="L6102" s="7" t="str">
        <f t="shared" si="481"/>
        <v/>
      </c>
      <c r="M6102" s="7" t="str">
        <f t="shared" si="478"/>
        <v/>
      </c>
      <c r="N6102" s="7" t="str">
        <f t="shared" si="482"/>
        <v/>
      </c>
      <c r="O6102" s="8"/>
      <c r="P6102" s="26"/>
      <c r="S6102" s="10" t="str">
        <f t="shared" si="479"/>
        <v/>
      </c>
    </row>
    <row r="6103" spans="5:19" x14ac:dyDescent="0.3">
      <c r="E6103" s="9" t="str">
        <f>IF(DADOS!C6103="","",DADOS!C6103)</f>
        <v/>
      </c>
      <c r="F6103" s="9" t="str">
        <f>IF(DADOS!E6103="","",DADOS!E6103)</f>
        <v/>
      </c>
      <c r="G6103" s="9" t="str">
        <f>IF(DADOS!F6103="","",DADOS!F6103)</f>
        <v/>
      </c>
      <c r="K6103" s="6" t="str">
        <f t="shared" si="480"/>
        <v/>
      </c>
      <c r="L6103" s="7" t="str">
        <f t="shared" si="481"/>
        <v/>
      </c>
      <c r="M6103" s="7" t="str">
        <f t="shared" si="478"/>
        <v/>
      </c>
      <c r="N6103" s="7" t="str">
        <f t="shared" si="482"/>
        <v/>
      </c>
      <c r="O6103" s="8"/>
      <c r="P6103" s="26"/>
      <c r="S6103" s="10" t="str">
        <f t="shared" si="479"/>
        <v/>
      </c>
    </row>
    <row r="6104" spans="5:19" x14ac:dyDescent="0.3">
      <c r="E6104" s="9" t="str">
        <f>IF(DADOS!C6104="","",DADOS!C6104)</f>
        <v/>
      </c>
      <c r="F6104" s="9" t="str">
        <f>IF(DADOS!E6104="","",DADOS!E6104)</f>
        <v/>
      </c>
      <c r="G6104" s="9" t="str">
        <f>IF(DADOS!F6104="","",DADOS!F6104)</f>
        <v/>
      </c>
      <c r="K6104" s="6" t="str">
        <f t="shared" si="480"/>
        <v/>
      </c>
      <c r="L6104" s="7" t="str">
        <f t="shared" si="481"/>
        <v/>
      </c>
      <c r="M6104" s="7" t="str">
        <f t="shared" si="478"/>
        <v/>
      </c>
      <c r="N6104" s="7" t="str">
        <f t="shared" si="482"/>
        <v/>
      </c>
      <c r="O6104" s="8"/>
      <c r="P6104" s="26"/>
      <c r="S6104" s="10" t="str">
        <f t="shared" si="479"/>
        <v/>
      </c>
    </row>
    <row r="6105" spans="5:19" x14ac:dyDescent="0.3">
      <c r="E6105" s="9" t="str">
        <f>IF(DADOS!C6105="","",DADOS!C6105)</f>
        <v/>
      </c>
      <c r="F6105" s="9" t="str">
        <f>IF(DADOS!E6105="","",DADOS!E6105)</f>
        <v/>
      </c>
      <c r="G6105" s="9" t="str">
        <f>IF(DADOS!F6105="","",DADOS!F6105)</f>
        <v/>
      </c>
      <c r="K6105" s="6" t="str">
        <f t="shared" si="480"/>
        <v/>
      </c>
      <c r="L6105" s="7" t="str">
        <f t="shared" si="481"/>
        <v/>
      </c>
      <c r="M6105" s="7" t="str">
        <f t="shared" si="478"/>
        <v/>
      </c>
      <c r="N6105" s="7" t="str">
        <f t="shared" si="482"/>
        <v/>
      </c>
      <c r="O6105" s="8"/>
      <c r="P6105" s="26"/>
      <c r="S6105" s="10" t="str">
        <f t="shared" si="479"/>
        <v/>
      </c>
    </row>
    <row r="6106" spans="5:19" x14ac:dyDescent="0.3">
      <c r="E6106" s="9" t="str">
        <f>IF(DADOS!C6106="","",DADOS!C6106)</f>
        <v/>
      </c>
      <c r="F6106" s="9" t="str">
        <f>IF(DADOS!E6106="","",DADOS!E6106)</f>
        <v/>
      </c>
      <c r="G6106" s="9" t="str">
        <f>IF(DADOS!F6106="","",DADOS!F6106)</f>
        <v/>
      </c>
      <c r="K6106" s="6" t="str">
        <f t="shared" si="480"/>
        <v/>
      </c>
      <c r="L6106" s="7" t="str">
        <f t="shared" si="481"/>
        <v/>
      </c>
      <c r="M6106" s="7" t="str">
        <f t="shared" si="478"/>
        <v/>
      </c>
      <c r="N6106" s="7" t="str">
        <f t="shared" si="482"/>
        <v/>
      </c>
      <c r="O6106" s="8"/>
      <c r="P6106" s="26"/>
      <c r="S6106" s="10" t="str">
        <f t="shared" si="479"/>
        <v/>
      </c>
    </row>
    <row r="6107" spans="5:19" x14ac:dyDescent="0.3">
      <c r="E6107" s="9" t="str">
        <f>IF(DADOS!C6107="","",DADOS!C6107)</f>
        <v/>
      </c>
      <c r="F6107" s="9" t="str">
        <f>IF(DADOS!E6107="","",DADOS!E6107)</f>
        <v/>
      </c>
      <c r="G6107" s="9" t="str">
        <f>IF(DADOS!F6107="","",DADOS!F6107)</f>
        <v/>
      </c>
      <c r="K6107" s="6" t="str">
        <f t="shared" si="480"/>
        <v/>
      </c>
      <c r="L6107" s="7" t="str">
        <f t="shared" si="481"/>
        <v/>
      </c>
      <c r="M6107" s="7" t="str">
        <f t="shared" si="478"/>
        <v/>
      </c>
      <c r="N6107" s="7" t="str">
        <f t="shared" si="482"/>
        <v/>
      </c>
      <c r="O6107" s="8"/>
      <c r="P6107" s="26"/>
      <c r="S6107" s="10" t="str">
        <f t="shared" si="479"/>
        <v/>
      </c>
    </row>
    <row r="6108" spans="5:19" x14ac:dyDescent="0.3">
      <c r="E6108" s="9" t="str">
        <f>IF(DADOS!C6108="","",DADOS!C6108)</f>
        <v/>
      </c>
      <c r="F6108" s="9" t="str">
        <f>IF(DADOS!E6108="","",DADOS!E6108)</f>
        <v/>
      </c>
      <c r="G6108" s="9" t="str">
        <f>IF(DADOS!F6108="","",DADOS!F6108)</f>
        <v/>
      </c>
      <c r="K6108" s="6" t="str">
        <f t="shared" si="480"/>
        <v/>
      </c>
      <c r="L6108" s="7" t="str">
        <f t="shared" si="481"/>
        <v/>
      </c>
      <c r="M6108" s="7" t="str">
        <f t="shared" si="478"/>
        <v/>
      </c>
      <c r="N6108" s="7" t="str">
        <f t="shared" si="482"/>
        <v/>
      </c>
      <c r="O6108" s="8"/>
      <c r="P6108" s="26"/>
      <c r="S6108" s="10" t="str">
        <f t="shared" si="479"/>
        <v/>
      </c>
    </row>
    <row r="6109" spans="5:19" x14ac:dyDescent="0.3">
      <c r="E6109" s="9" t="str">
        <f>IF(DADOS!C6109="","",DADOS!C6109)</f>
        <v/>
      </c>
      <c r="F6109" s="9" t="str">
        <f>IF(DADOS!E6109="","",DADOS!E6109)</f>
        <v/>
      </c>
      <c r="G6109" s="9" t="str">
        <f>IF(DADOS!F6109="","",DADOS!F6109)</f>
        <v/>
      </c>
      <c r="K6109" s="6" t="str">
        <f t="shared" si="480"/>
        <v/>
      </c>
      <c r="L6109" s="7" t="str">
        <f t="shared" si="481"/>
        <v/>
      </c>
      <c r="M6109" s="7" t="str">
        <f t="shared" si="478"/>
        <v/>
      </c>
      <c r="N6109" s="7" t="str">
        <f t="shared" si="482"/>
        <v/>
      </c>
      <c r="O6109" s="8"/>
      <c r="P6109" s="26"/>
      <c r="S6109" s="10" t="str">
        <f t="shared" si="479"/>
        <v/>
      </c>
    </row>
    <row r="6110" spans="5:19" x14ac:dyDescent="0.3">
      <c r="E6110" s="9" t="str">
        <f>IF(DADOS!C6110="","",DADOS!C6110)</f>
        <v/>
      </c>
      <c r="F6110" s="9" t="str">
        <f>IF(DADOS!E6110="","",DADOS!E6110)</f>
        <v/>
      </c>
      <c r="G6110" s="9" t="str">
        <f>IF(DADOS!F6110="","",DADOS!F6110)</f>
        <v/>
      </c>
      <c r="K6110" s="6" t="str">
        <f t="shared" si="480"/>
        <v/>
      </c>
      <c r="L6110" s="7" t="str">
        <f t="shared" si="481"/>
        <v/>
      </c>
      <c r="M6110" s="7" t="str">
        <f t="shared" si="478"/>
        <v/>
      </c>
      <c r="N6110" s="7" t="str">
        <f t="shared" si="482"/>
        <v/>
      </c>
      <c r="O6110" s="8"/>
      <c r="P6110" s="26"/>
      <c r="S6110" s="10" t="str">
        <f t="shared" si="479"/>
        <v/>
      </c>
    </row>
    <row r="6111" spans="5:19" x14ac:dyDescent="0.3">
      <c r="E6111" s="9" t="str">
        <f>IF(DADOS!C6111="","",DADOS!C6111)</f>
        <v/>
      </c>
      <c r="F6111" s="9" t="str">
        <f>IF(DADOS!E6111="","",DADOS!E6111)</f>
        <v/>
      </c>
      <c r="G6111" s="9" t="str">
        <f>IF(DADOS!F6111="","",DADOS!F6111)</f>
        <v/>
      </c>
      <c r="K6111" s="6" t="str">
        <f t="shared" si="480"/>
        <v/>
      </c>
      <c r="L6111" s="7" t="str">
        <f t="shared" si="481"/>
        <v/>
      </c>
      <c r="M6111" s="7" t="str">
        <f t="shared" si="478"/>
        <v/>
      </c>
      <c r="N6111" s="7" t="str">
        <f t="shared" si="482"/>
        <v/>
      </c>
      <c r="O6111" s="8"/>
      <c r="P6111" s="26"/>
      <c r="S6111" s="10" t="str">
        <f t="shared" si="479"/>
        <v/>
      </c>
    </row>
    <row r="6112" spans="5:19" x14ac:dyDescent="0.3">
      <c r="E6112" s="9" t="str">
        <f>IF(DADOS!C6112="","",DADOS!C6112)</f>
        <v/>
      </c>
      <c r="F6112" s="9" t="str">
        <f>IF(DADOS!E6112="","",DADOS!E6112)</f>
        <v/>
      </c>
      <c r="G6112" s="9" t="str">
        <f>IF(DADOS!F6112="","",DADOS!F6112)</f>
        <v/>
      </c>
      <c r="K6112" s="6" t="str">
        <f t="shared" si="480"/>
        <v/>
      </c>
      <c r="L6112" s="7" t="str">
        <f t="shared" si="481"/>
        <v/>
      </c>
      <c r="M6112" s="7" t="str">
        <f t="shared" si="478"/>
        <v/>
      </c>
      <c r="N6112" s="7" t="str">
        <f t="shared" si="482"/>
        <v/>
      </c>
      <c r="O6112" s="8"/>
      <c r="P6112" s="26"/>
      <c r="S6112" s="10" t="str">
        <f t="shared" si="479"/>
        <v/>
      </c>
    </row>
    <row r="6113" spans="5:19" x14ac:dyDescent="0.3">
      <c r="E6113" s="9" t="str">
        <f>IF(DADOS!C6113="","",DADOS!C6113)</f>
        <v/>
      </c>
      <c r="F6113" s="9" t="str">
        <f>IF(DADOS!E6113="","",DADOS!E6113)</f>
        <v/>
      </c>
      <c r="G6113" s="9" t="str">
        <f>IF(DADOS!F6113="","",DADOS!F6113)</f>
        <v/>
      </c>
      <c r="K6113" s="6" t="str">
        <f t="shared" si="480"/>
        <v/>
      </c>
      <c r="L6113" s="7" t="str">
        <f t="shared" si="481"/>
        <v/>
      </c>
      <c r="M6113" s="7" t="str">
        <f t="shared" si="478"/>
        <v/>
      </c>
      <c r="N6113" s="7" t="str">
        <f t="shared" si="482"/>
        <v/>
      </c>
      <c r="O6113" s="8"/>
      <c r="P6113" s="26"/>
      <c r="S6113" s="10" t="str">
        <f t="shared" si="479"/>
        <v/>
      </c>
    </row>
    <row r="6114" spans="5:19" x14ac:dyDescent="0.3">
      <c r="E6114" s="9" t="str">
        <f>IF(DADOS!C6114="","",DADOS!C6114)</f>
        <v/>
      </c>
      <c r="F6114" s="9" t="str">
        <f>IF(DADOS!E6114="","",DADOS!E6114)</f>
        <v/>
      </c>
      <c r="G6114" s="9" t="str">
        <f>IF(DADOS!F6114="","",DADOS!F6114)</f>
        <v/>
      </c>
      <c r="K6114" s="6" t="str">
        <f t="shared" si="480"/>
        <v/>
      </c>
      <c r="L6114" s="7" t="str">
        <f t="shared" si="481"/>
        <v/>
      </c>
      <c r="M6114" s="7" t="str">
        <f t="shared" si="478"/>
        <v/>
      </c>
      <c r="N6114" s="7" t="str">
        <f t="shared" si="482"/>
        <v/>
      </c>
      <c r="O6114" s="8"/>
      <c r="P6114" s="26"/>
      <c r="S6114" s="10" t="str">
        <f t="shared" si="479"/>
        <v/>
      </c>
    </row>
    <row r="6115" spans="5:19" x14ac:dyDescent="0.3">
      <c r="E6115" s="9" t="str">
        <f>IF(DADOS!C6115="","",DADOS!C6115)</f>
        <v/>
      </c>
      <c r="F6115" s="9" t="str">
        <f>IF(DADOS!E6115="","",DADOS!E6115)</f>
        <v/>
      </c>
      <c r="G6115" s="9" t="str">
        <f>IF(DADOS!F6115="","",DADOS!F6115)</f>
        <v/>
      </c>
      <c r="K6115" s="6" t="str">
        <f t="shared" si="480"/>
        <v/>
      </c>
      <c r="L6115" s="7" t="str">
        <f t="shared" si="481"/>
        <v/>
      </c>
      <c r="M6115" s="7" t="str">
        <f t="shared" si="478"/>
        <v/>
      </c>
      <c r="N6115" s="7" t="str">
        <f t="shared" si="482"/>
        <v/>
      </c>
      <c r="O6115" s="8"/>
      <c r="P6115" s="26"/>
      <c r="S6115" s="10" t="str">
        <f t="shared" si="479"/>
        <v/>
      </c>
    </row>
    <row r="6116" spans="5:19" x14ac:dyDescent="0.3">
      <c r="E6116" s="9" t="str">
        <f>IF(DADOS!C6116="","",DADOS!C6116)</f>
        <v/>
      </c>
      <c r="F6116" s="9" t="str">
        <f>IF(DADOS!E6116="","",DADOS!E6116)</f>
        <v/>
      </c>
      <c r="G6116" s="9" t="str">
        <f>IF(DADOS!F6116="","",DADOS!F6116)</f>
        <v/>
      </c>
      <c r="K6116" s="6" t="str">
        <f t="shared" si="480"/>
        <v/>
      </c>
      <c r="L6116" s="7" t="str">
        <f t="shared" si="481"/>
        <v/>
      </c>
      <c r="M6116" s="7" t="str">
        <f t="shared" si="478"/>
        <v/>
      </c>
      <c r="N6116" s="7" t="str">
        <f t="shared" si="482"/>
        <v/>
      </c>
      <c r="O6116" s="8"/>
      <c r="P6116" s="26"/>
      <c r="S6116" s="10" t="str">
        <f t="shared" si="479"/>
        <v/>
      </c>
    </row>
    <row r="6117" spans="5:19" x14ac:dyDescent="0.3">
      <c r="E6117" s="9" t="str">
        <f>IF(DADOS!C6117="","",DADOS!C6117)</f>
        <v/>
      </c>
      <c r="F6117" s="9" t="str">
        <f>IF(DADOS!E6117="","",DADOS!E6117)</f>
        <v/>
      </c>
      <c r="G6117" s="9" t="str">
        <f>IF(DADOS!F6117="","",DADOS!F6117)</f>
        <v/>
      </c>
      <c r="K6117" s="6" t="str">
        <f t="shared" si="480"/>
        <v/>
      </c>
      <c r="L6117" s="7" t="str">
        <f t="shared" si="481"/>
        <v/>
      </c>
      <c r="M6117" s="7" t="str">
        <f t="shared" si="478"/>
        <v/>
      </c>
      <c r="N6117" s="7" t="str">
        <f t="shared" si="482"/>
        <v/>
      </c>
      <c r="O6117" s="8"/>
      <c r="P6117" s="26"/>
      <c r="S6117" s="10" t="str">
        <f t="shared" si="479"/>
        <v/>
      </c>
    </row>
    <row r="6118" spans="5:19" x14ac:dyDescent="0.3">
      <c r="E6118" s="9" t="str">
        <f>IF(DADOS!C6118="","",DADOS!C6118)</f>
        <v/>
      </c>
      <c r="F6118" s="9" t="str">
        <f>IF(DADOS!E6118="","",DADOS!E6118)</f>
        <v/>
      </c>
      <c r="G6118" s="9" t="str">
        <f>IF(DADOS!F6118="","",DADOS!F6118)</f>
        <v/>
      </c>
      <c r="K6118" s="6" t="str">
        <f t="shared" si="480"/>
        <v/>
      </c>
      <c r="L6118" s="7" t="str">
        <f t="shared" si="481"/>
        <v/>
      </c>
      <c r="M6118" s="7" t="str">
        <f t="shared" si="478"/>
        <v/>
      </c>
      <c r="N6118" s="7" t="str">
        <f t="shared" si="482"/>
        <v/>
      </c>
      <c r="O6118" s="8"/>
      <c r="P6118" s="26"/>
      <c r="S6118" s="10" t="str">
        <f t="shared" si="479"/>
        <v/>
      </c>
    </row>
    <row r="6119" spans="5:19" x14ac:dyDescent="0.3">
      <c r="E6119" s="9" t="str">
        <f>IF(DADOS!C6119="","",DADOS!C6119)</f>
        <v/>
      </c>
      <c r="F6119" s="9" t="str">
        <f>IF(DADOS!E6119="","",DADOS!E6119)</f>
        <v/>
      </c>
      <c r="G6119" s="9" t="str">
        <f>IF(DADOS!F6119="","",DADOS!F6119)</f>
        <v/>
      </c>
      <c r="K6119" s="6" t="str">
        <f t="shared" si="480"/>
        <v/>
      </c>
      <c r="L6119" s="7" t="str">
        <f t="shared" si="481"/>
        <v/>
      </c>
      <c r="M6119" s="7" t="str">
        <f t="shared" si="478"/>
        <v/>
      </c>
      <c r="N6119" s="7" t="str">
        <f t="shared" si="482"/>
        <v/>
      </c>
      <c r="O6119" s="8"/>
      <c r="P6119" s="26"/>
      <c r="S6119" s="10" t="str">
        <f t="shared" si="479"/>
        <v/>
      </c>
    </row>
    <row r="6120" spans="5:19" x14ac:dyDescent="0.3">
      <c r="E6120" s="9" t="str">
        <f>IF(DADOS!C6120="","",DADOS!C6120)</f>
        <v/>
      </c>
      <c r="F6120" s="9" t="str">
        <f>IF(DADOS!E6120="","",DADOS!E6120)</f>
        <v/>
      </c>
      <c r="G6120" s="9" t="str">
        <f>IF(DADOS!F6120="","",DADOS!F6120)</f>
        <v/>
      </c>
      <c r="K6120" s="6" t="str">
        <f t="shared" si="480"/>
        <v/>
      </c>
      <c r="L6120" s="7" t="str">
        <f t="shared" si="481"/>
        <v/>
      </c>
      <c r="M6120" s="7" t="str">
        <f t="shared" si="478"/>
        <v/>
      </c>
      <c r="N6120" s="7" t="str">
        <f t="shared" si="482"/>
        <v/>
      </c>
      <c r="O6120" s="8"/>
      <c r="P6120" s="26"/>
      <c r="S6120" s="10" t="str">
        <f t="shared" si="479"/>
        <v/>
      </c>
    </row>
    <row r="6121" spans="5:19" x14ac:dyDescent="0.3">
      <c r="E6121" s="9" t="str">
        <f>IF(DADOS!C6121="","",DADOS!C6121)</f>
        <v/>
      </c>
      <c r="F6121" s="9" t="str">
        <f>IF(DADOS!E6121="","",DADOS!E6121)</f>
        <v/>
      </c>
      <c r="G6121" s="9" t="str">
        <f>IF(DADOS!F6121="","",DADOS!F6121)</f>
        <v/>
      </c>
      <c r="K6121" s="6" t="str">
        <f t="shared" si="480"/>
        <v/>
      </c>
      <c r="L6121" s="7" t="str">
        <f t="shared" si="481"/>
        <v/>
      </c>
      <c r="M6121" s="7" t="str">
        <f t="shared" si="478"/>
        <v/>
      </c>
      <c r="N6121" s="7" t="str">
        <f t="shared" si="482"/>
        <v/>
      </c>
      <c r="O6121" s="8"/>
      <c r="P6121" s="26"/>
      <c r="S6121" s="10" t="str">
        <f t="shared" si="479"/>
        <v/>
      </c>
    </row>
    <row r="6122" spans="5:19" x14ac:dyDescent="0.3">
      <c r="E6122" s="9" t="str">
        <f>IF(DADOS!C6122="","",DADOS!C6122)</f>
        <v/>
      </c>
      <c r="F6122" s="9" t="str">
        <f>IF(DADOS!E6122="","",DADOS!E6122)</f>
        <v/>
      </c>
      <c r="G6122" s="9" t="str">
        <f>IF(DADOS!F6122="","",DADOS!F6122)</f>
        <v/>
      </c>
      <c r="K6122" s="6" t="str">
        <f t="shared" si="480"/>
        <v/>
      </c>
      <c r="L6122" s="7" t="str">
        <f t="shared" si="481"/>
        <v/>
      </c>
      <c r="M6122" s="7" t="str">
        <f t="shared" si="478"/>
        <v/>
      </c>
      <c r="N6122" s="7" t="str">
        <f t="shared" si="482"/>
        <v/>
      </c>
      <c r="O6122" s="8"/>
      <c r="P6122" s="26"/>
      <c r="S6122" s="10" t="str">
        <f t="shared" si="479"/>
        <v/>
      </c>
    </row>
    <row r="6123" spans="5:19" x14ac:dyDescent="0.3">
      <c r="E6123" s="9" t="str">
        <f>IF(DADOS!C6123="","",DADOS!C6123)</f>
        <v/>
      </c>
      <c r="F6123" s="9" t="str">
        <f>IF(DADOS!E6123="","",DADOS!E6123)</f>
        <v/>
      </c>
      <c r="G6123" s="9" t="str">
        <f>IF(DADOS!F6123="","",DADOS!F6123)</f>
        <v/>
      </c>
      <c r="K6123" s="6" t="str">
        <f t="shared" si="480"/>
        <v/>
      </c>
      <c r="L6123" s="7" t="str">
        <f t="shared" si="481"/>
        <v/>
      </c>
      <c r="M6123" s="7" t="str">
        <f t="shared" si="478"/>
        <v/>
      </c>
      <c r="N6123" s="7" t="str">
        <f t="shared" si="482"/>
        <v/>
      </c>
      <c r="O6123" s="8"/>
      <c r="P6123" s="26"/>
      <c r="S6123" s="10" t="str">
        <f t="shared" si="479"/>
        <v/>
      </c>
    </row>
    <row r="6124" spans="5:19" x14ac:dyDescent="0.3">
      <c r="E6124" s="9" t="str">
        <f>IF(DADOS!C6124="","",DADOS!C6124)</f>
        <v/>
      </c>
      <c r="F6124" s="9" t="str">
        <f>IF(DADOS!E6124="","",DADOS!E6124)</f>
        <v/>
      </c>
      <c r="G6124" s="9" t="str">
        <f>IF(DADOS!F6124="","",DADOS!F6124)</f>
        <v/>
      </c>
      <c r="K6124" s="6" t="str">
        <f t="shared" si="480"/>
        <v/>
      </c>
      <c r="L6124" s="7" t="str">
        <f t="shared" si="481"/>
        <v/>
      </c>
      <c r="M6124" s="7" t="str">
        <f t="shared" si="478"/>
        <v/>
      </c>
      <c r="N6124" s="7" t="str">
        <f t="shared" si="482"/>
        <v/>
      </c>
      <c r="O6124" s="8"/>
      <c r="P6124" s="26"/>
      <c r="S6124" s="10" t="str">
        <f t="shared" si="479"/>
        <v/>
      </c>
    </row>
    <row r="6125" spans="5:19" x14ac:dyDescent="0.3">
      <c r="E6125" s="9" t="str">
        <f>IF(DADOS!C6125="","",DADOS!C6125)</f>
        <v/>
      </c>
      <c r="F6125" s="9" t="str">
        <f>IF(DADOS!E6125="","",DADOS!E6125)</f>
        <v/>
      </c>
      <c r="G6125" s="9" t="str">
        <f>IF(DADOS!F6125="","",DADOS!F6125)</f>
        <v/>
      </c>
      <c r="K6125" s="6" t="str">
        <f t="shared" si="480"/>
        <v/>
      </c>
      <c r="L6125" s="7" t="str">
        <f t="shared" si="481"/>
        <v/>
      </c>
      <c r="M6125" s="7" t="str">
        <f t="shared" si="478"/>
        <v/>
      </c>
      <c r="N6125" s="7" t="str">
        <f t="shared" si="482"/>
        <v/>
      </c>
      <c r="O6125" s="8"/>
      <c r="P6125" s="26"/>
      <c r="S6125" s="10" t="str">
        <f t="shared" si="479"/>
        <v/>
      </c>
    </row>
    <row r="6126" spans="5:19" x14ac:dyDescent="0.3">
      <c r="E6126" s="9" t="str">
        <f>IF(DADOS!C6126="","",DADOS!C6126)</f>
        <v/>
      </c>
      <c r="F6126" s="9" t="str">
        <f>IF(DADOS!E6126="","",DADOS!E6126)</f>
        <v/>
      </c>
      <c r="G6126" s="9" t="str">
        <f>IF(DADOS!F6126="","",DADOS!F6126)</f>
        <v/>
      </c>
      <c r="K6126" s="6" t="str">
        <f t="shared" si="480"/>
        <v/>
      </c>
      <c r="L6126" s="7" t="str">
        <f t="shared" si="481"/>
        <v/>
      </c>
      <c r="M6126" s="7" t="str">
        <f t="shared" si="478"/>
        <v/>
      </c>
      <c r="N6126" s="7" t="str">
        <f t="shared" si="482"/>
        <v/>
      </c>
      <c r="O6126" s="8"/>
      <c r="P6126" s="26"/>
      <c r="S6126" s="10" t="str">
        <f t="shared" si="479"/>
        <v/>
      </c>
    </row>
    <row r="6127" spans="5:19" x14ac:dyDescent="0.3">
      <c r="E6127" s="9" t="str">
        <f>IF(DADOS!C6127="","",DADOS!C6127)</f>
        <v/>
      </c>
      <c r="F6127" s="9" t="str">
        <f>IF(DADOS!E6127="","",DADOS!E6127)</f>
        <v/>
      </c>
      <c r="G6127" s="9" t="str">
        <f>IF(DADOS!F6127="","",DADOS!F6127)</f>
        <v/>
      </c>
      <c r="K6127" s="6" t="str">
        <f t="shared" si="480"/>
        <v/>
      </c>
      <c r="L6127" s="7" t="str">
        <f t="shared" si="481"/>
        <v/>
      </c>
      <c r="M6127" s="7" t="str">
        <f t="shared" si="478"/>
        <v/>
      </c>
      <c r="N6127" s="7" t="str">
        <f t="shared" si="482"/>
        <v/>
      </c>
      <c r="O6127" s="8"/>
      <c r="P6127" s="26"/>
      <c r="S6127" s="10" t="str">
        <f t="shared" si="479"/>
        <v/>
      </c>
    </row>
    <row r="6128" spans="5:19" x14ac:dyDescent="0.3">
      <c r="E6128" s="9" t="str">
        <f>IF(DADOS!C6128="","",DADOS!C6128)</f>
        <v/>
      </c>
      <c r="F6128" s="9" t="str">
        <f>IF(DADOS!E6128="","",DADOS!E6128)</f>
        <v/>
      </c>
      <c r="G6128" s="9" t="str">
        <f>IF(DADOS!F6128="","",DADOS!F6128)</f>
        <v/>
      </c>
      <c r="K6128" s="6" t="str">
        <f t="shared" si="480"/>
        <v/>
      </c>
      <c r="L6128" s="7" t="str">
        <f t="shared" si="481"/>
        <v/>
      </c>
      <c r="M6128" s="7" t="str">
        <f t="shared" si="478"/>
        <v/>
      </c>
      <c r="N6128" s="7" t="str">
        <f t="shared" si="482"/>
        <v/>
      </c>
      <c r="O6128" s="8"/>
      <c r="P6128" s="26"/>
      <c r="S6128" s="10" t="str">
        <f t="shared" si="479"/>
        <v/>
      </c>
    </row>
    <row r="6129" spans="5:19" x14ac:dyDescent="0.3">
      <c r="E6129" s="9" t="str">
        <f>IF(DADOS!C6129="","",DADOS!C6129)</f>
        <v/>
      </c>
      <c r="F6129" s="9" t="str">
        <f>IF(DADOS!E6129="","",DADOS!E6129)</f>
        <v/>
      </c>
      <c r="G6129" s="9" t="str">
        <f>IF(DADOS!F6129="","",DADOS!F6129)</f>
        <v/>
      </c>
      <c r="K6129" s="6" t="str">
        <f t="shared" si="480"/>
        <v/>
      </c>
      <c r="L6129" s="7" t="str">
        <f t="shared" si="481"/>
        <v/>
      </c>
      <c r="M6129" s="7" t="str">
        <f t="shared" si="478"/>
        <v/>
      </c>
      <c r="N6129" s="7" t="str">
        <f t="shared" si="482"/>
        <v/>
      </c>
      <c r="O6129" s="8"/>
      <c r="P6129" s="26"/>
      <c r="S6129" s="10" t="str">
        <f t="shared" si="479"/>
        <v/>
      </c>
    </row>
    <row r="6130" spans="5:19" x14ac:dyDescent="0.3">
      <c r="E6130" s="9" t="str">
        <f>IF(DADOS!C6130="","",DADOS!C6130)</f>
        <v/>
      </c>
      <c r="F6130" s="9" t="str">
        <f>IF(DADOS!E6130="","",DADOS!E6130)</f>
        <v/>
      </c>
      <c r="G6130" s="9" t="str">
        <f>IF(DADOS!F6130="","",DADOS!F6130)</f>
        <v/>
      </c>
      <c r="K6130" s="6" t="str">
        <f t="shared" si="480"/>
        <v/>
      </c>
      <c r="L6130" s="7" t="str">
        <f t="shared" si="481"/>
        <v/>
      </c>
      <c r="M6130" s="7" t="str">
        <f t="shared" si="478"/>
        <v/>
      </c>
      <c r="N6130" s="7" t="str">
        <f t="shared" si="482"/>
        <v/>
      </c>
      <c r="O6130" s="8"/>
      <c r="P6130" s="26"/>
      <c r="S6130" s="10" t="str">
        <f t="shared" si="479"/>
        <v/>
      </c>
    </row>
    <row r="6131" spans="5:19" x14ac:dyDescent="0.3">
      <c r="E6131" s="9" t="str">
        <f>IF(DADOS!C6131="","",DADOS!C6131)</f>
        <v/>
      </c>
      <c r="F6131" s="9" t="str">
        <f>IF(DADOS!E6131="","",DADOS!E6131)</f>
        <v/>
      </c>
      <c r="G6131" s="9" t="str">
        <f>IF(DADOS!F6131="","",DADOS!F6131)</f>
        <v/>
      </c>
      <c r="K6131" s="6" t="str">
        <f t="shared" si="480"/>
        <v/>
      </c>
      <c r="L6131" s="7" t="str">
        <f t="shared" si="481"/>
        <v/>
      </c>
      <c r="M6131" s="7" t="str">
        <f t="shared" si="478"/>
        <v/>
      </c>
      <c r="N6131" s="7" t="str">
        <f t="shared" si="482"/>
        <v/>
      </c>
      <c r="O6131" s="8"/>
      <c r="P6131" s="26"/>
      <c r="S6131" s="10" t="str">
        <f t="shared" si="479"/>
        <v/>
      </c>
    </row>
    <row r="6132" spans="5:19" x14ac:dyDescent="0.3">
      <c r="E6132" s="9" t="str">
        <f>IF(DADOS!C6132="","",DADOS!C6132)</f>
        <v/>
      </c>
      <c r="F6132" s="9" t="str">
        <f>IF(DADOS!E6132="","",DADOS!E6132)</f>
        <v/>
      </c>
      <c r="G6132" s="9" t="str">
        <f>IF(DADOS!F6132="","",DADOS!F6132)</f>
        <v/>
      </c>
      <c r="K6132" s="6" t="str">
        <f t="shared" si="480"/>
        <v/>
      </c>
      <c r="L6132" s="7" t="str">
        <f t="shared" si="481"/>
        <v/>
      </c>
      <c r="M6132" s="7" t="str">
        <f t="shared" si="478"/>
        <v/>
      </c>
      <c r="N6132" s="7" t="str">
        <f t="shared" si="482"/>
        <v/>
      </c>
      <c r="O6132" s="8"/>
      <c r="P6132" s="26"/>
      <c r="S6132" s="10" t="str">
        <f t="shared" si="479"/>
        <v/>
      </c>
    </row>
    <row r="6133" spans="5:19" x14ac:dyDescent="0.3">
      <c r="E6133" s="9" t="str">
        <f>IF(DADOS!C6133="","",DADOS!C6133)</f>
        <v/>
      </c>
      <c r="F6133" s="9" t="str">
        <f>IF(DADOS!E6133="","",DADOS!E6133)</f>
        <v/>
      </c>
      <c r="G6133" s="9" t="str">
        <f>IF(DADOS!F6133="","",DADOS!F6133)</f>
        <v/>
      </c>
      <c r="K6133" s="6" t="str">
        <f t="shared" si="480"/>
        <v/>
      </c>
      <c r="L6133" s="7" t="str">
        <f t="shared" si="481"/>
        <v/>
      </c>
      <c r="M6133" s="7" t="str">
        <f t="shared" si="478"/>
        <v/>
      </c>
      <c r="N6133" s="7" t="str">
        <f t="shared" si="482"/>
        <v/>
      </c>
      <c r="O6133" s="8"/>
      <c r="P6133" s="26"/>
      <c r="S6133" s="10" t="str">
        <f t="shared" si="479"/>
        <v/>
      </c>
    </row>
    <row r="6134" spans="5:19" x14ac:dyDescent="0.3">
      <c r="E6134" s="9" t="str">
        <f>IF(DADOS!C6134="","",DADOS!C6134)</f>
        <v/>
      </c>
      <c r="F6134" s="9" t="str">
        <f>IF(DADOS!E6134="","",DADOS!E6134)</f>
        <v/>
      </c>
      <c r="G6134" s="9" t="str">
        <f>IF(DADOS!F6134="","",DADOS!F6134)</f>
        <v/>
      </c>
      <c r="K6134" s="6" t="str">
        <f t="shared" si="480"/>
        <v/>
      </c>
      <c r="L6134" s="7" t="str">
        <f t="shared" si="481"/>
        <v/>
      </c>
      <c r="M6134" s="7" t="str">
        <f t="shared" si="478"/>
        <v/>
      </c>
      <c r="N6134" s="7" t="str">
        <f t="shared" si="482"/>
        <v/>
      </c>
      <c r="O6134" s="8"/>
      <c r="P6134" s="26"/>
      <c r="S6134" s="10" t="str">
        <f t="shared" si="479"/>
        <v/>
      </c>
    </row>
    <row r="6135" spans="5:19" x14ac:dyDescent="0.3">
      <c r="E6135" s="9" t="str">
        <f>IF(DADOS!C6135="","",DADOS!C6135)</f>
        <v/>
      </c>
      <c r="F6135" s="9" t="str">
        <f>IF(DADOS!E6135="","",DADOS!E6135)</f>
        <v/>
      </c>
      <c r="G6135" s="9" t="str">
        <f>IF(DADOS!F6135="","",DADOS!F6135)</f>
        <v/>
      </c>
      <c r="K6135" s="6" t="str">
        <f t="shared" si="480"/>
        <v/>
      </c>
      <c r="L6135" s="7" t="str">
        <f t="shared" si="481"/>
        <v/>
      </c>
      <c r="M6135" s="7" t="str">
        <f t="shared" si="478"/>
        <v/>
      </c>
      <c r="N6135" s="7" t="str">
        <f t="shared" si="482"/>
        <v/>
      </c>
      <c r="O6135" s="8"/>
      <c r="P6135" s="26"/>
      <c r="S6135" s="10" t="str">
        <f t="shared" si="479"/>
        <v/>
      </c>
    </row>
    <row r="6136" spans="5:19" x14ac:dyDescent="0.3">
      <c r="E6136" s="9" t="str">
        <f>IF(DADOS!C6136="","",DADOS!C6136)</f>
        <v/>
      </c>
      <c r="F6136" s="9" t="str">
        <f>IF(DADOS!E6136="","",DADOS!E6136)</f>
        <v/>
      </c>
      <c r="G6136" s="9" t="str">
        <f>IF(DADOS!F6136="","",DADOS!F6136)</f>
        <v/>
      </c>
      <c r="K6136" s="6" t="str">
        <f t="shared" si="480"/>
        <v/>
      </c>
      <c r="L6136" s="7" t="str">
        <f t="shared" si="481"/>
        <v/>
      </c>
      <c r="M6136" s="7" t="str">
        <f t="shared" si="478"/>
        <v/>
      </c>
      <c r="N6136" s="7" t="str">
        <f t="shared" si="482"/>
        <v/>
      </c>
      <c r="O6136" s="8"/>
      <c r="P6136" s="26"/>
      <c r="S6136" s="10" t="str">
        <f t="shared" si="479"/>
        <v/>
      </c>
    </row>
    <row r="6137" spans="5:19" x14ac:dyDescent="0.3">
      <c r="E6137" s="9" t="str">
        <f>IF(DADOS!C6137="","",DADOS!C6137)</f>
        <v/>
      </c>
      <c r="F6137" s="9" t="str">
        <f>IF(DADOS!E6137="","",DADOS!E6137)</f>
        <v/>
      </c>
      <c r="G6137" s="9" t="str">
        <f>IF(DADOS!F6137="","",DADOS!F6137)</f>
        <v/>
      </c>
      <c r="K6137" s="6" t="str">
        <f t="shared" si="480"/>
        <v/>
      </c>
      <c r="L6137" s="7" t="str">
        <f t="shared" si="481"/>
        <v/>
      </c>
      <c r="M6137" s="7" t="str">
        <f t="shared" si="478"/>
        <v/>
      </c>
      <c r="N6137" s="7" t="str">
        <f t="shared" si="482"/>
        <v/>
      </c>
      <c r="O6137" s="8"/>
      <c r="P6137" s="26"/>
      <c r="S6137" s="10" t="str">
        <f t="shared" si="479"/>
        <v/>
      </c>
    </row>
    <row r="6138" spans="5:19" x14ac:dyDescent="0.3">
      <c r="E6138" s="9" t="str">
        <f>IF(DADOS!C6138="","",DADOS!C6138)</f>
        <v/>
      </c>
      <c r="F6138" s="9" t="str">
        <f>IF(DADOS!E6138="","",DADOS!E6138)</f>
        <v/>
      </c>
      <c r="G6138" s="9" t="str">
        <f>IF(DADOS!F6138="","",DADOS!F6138)</f>
        <v/>
      </c>
      <c r="K6138" s="6" t="str">
        <f t="shared" si="480"/>
        <v/>
      </c>
      <c r="L6138" s="7" t="str">
        <f t="shared" si="481"/>
        <v/>
      </c>
      <c r="M6138" s="7" t="str">
        <f t="shared" si="478"/>
        <v/>
      </c>
      <c r="N6138" s="7" t="str">
        <f t="shared" si="482"/>
        <v/>
      </c>
      <c r="O6138" s="8"/>
      <c r="P6138" s="26"/>
      <c r="S6138" s="10" t="str">
        <f t="shared" si="479"/>
        <v/>
      </c>
    </row>
    <row r="6139" spans="5:19" x14ac:dyDescent="0.3">
      <c r="E6139" s="9" t="str">
        <f>IF(DADOS!C6139="","",DADOS!C6139)</f>
        <v/>
      </c>
      <c r="F6139" s="9" t="str">
        <f>IF(DADOS!E6139="","",DADOS!E6139)</f>
        <v/>
      </c>
      <c r="G6139" s="9" t="str">
        <f>IF(DADOS!F6139="","",DADOS!F6139)</f>
        <v/>
      </c>
      <c r="K6139" s="6" t="str">
        <f t="shared" si="480"/>
        <v/>
      </c>
      <c r="L6139" s="7" t="str">
        <f t="shared" si="481"/>
        <v/>
      </c>
      <c r="M6139" s="7" t="str">
        <f t="shared" si="478"/>
        <v/>
      </c>
      <c r="N6139" s="7" t="str">
        <f t="shared" si="482"/>
        <v/>
      </c>
      <c r="O6139" s="8"/>
      <c r="P6139" s="26"/>
      <c r="S6139" s="10" t="str">
        <f t="shared" si="479"/>
        <v/>
      </c>
    </row>
    <row r="6140" spans="5:19" x14ac:dyDescent="0.3">
      <c r="E6140" s="9" t="str">
        <f>IF(DADOS!C6140="","",DADOS!C6140)</f>
        <v/>
      </c>
      <c r="F6140" s="9" t="str">
        <f>IF(DADOS!E6140="","",DADOS!E6140)</f>
        <v/>
      </c>
      <c r="G6140" s="9" t="str">
        <f>IF(DADOS!F6140="","",DADOS!F6140)</f>
        <v/>
      </c>
      <c r="K6140" s="6" t="str">
        <f t="shared" si="480"/>
        <v/>
      </c>
      <c r="L6140" s="7" t="str">
        <f t="shared" si="481"/>
        <v/>
      </c>
      <c r="M6140" s="7" t="str">
        <f t="shared" si="478"/>
        <v/>
      </c>
      <c r="N6140" s="7" t="str">
        <f t="shared" si="482"/>
        <v/>
      </c>
      <c r="O6140" s="8"/>
      <c r="P6140" s="26"/>
      <c r="S6140" s="10" t="str">
        <f t="shared" si="479"/>
        <v/>
      </c>
    </row>
    <row r="6141" spans="5:19" x14ac:dyDescent="0.3">
      <c r="E6141" s="9" t="str">
        <f>IF(DADOS!C6141="","",DADOS!C6141)</f>
        <v/>
      </c>
      <c r="F6141" s="9" t="str">
        <f>IF(DADOS!E6141="","",DADOS!E6141)</f>
        <v/>
      </c>
      <c r="G6141" s="9" t="str">
        <f>IF(DADOS!F6141="","",DADOS!F6141)</f>
        <v/>
      </c>
      <c r="K6141" s="6" t="str">
        <f t="shared" si="480"/>
        <v/>
      </c>
      <c r="L6141" s="7" t="str">
        <f t="shared" si="481"/>
        <v/>
      </c>
      <c r="M6141" s="7" t="str">
        <f t="shared" si="478"/>
        <v/>
      </c>
      <c r="N6141" s="7" t="str">
        <f t="shared" si="482"/>
        <v/>
      </c>
      <c r="O6141" s="8"/>
      <c r="P6141" s="26"/>
      <c r="S6141" s="10" t="str">
        <f t="shared" si="479"/>
        <v/>
      </c>
    </row>
    <row r="6142" spans="5:19" x14ac:dyDescent="0.3">
      <c r="E6142" s="9" t="str">
        <f>IF(DADOS!C6142="","",DADOS!C6142)</f>
        <v/>
      </c>
      <c r="F6142" s="9" t="str">
        <f>IF(DADOS!E6142="","",DADOS!E6142)</f>
        <v/>
      </c>
      <c r="G6142" s="9" t="str">
        <f>IF(DADOS!F6142="","",DADOS!F6142)</f>
        <v/>
      </c>
      <c r="K6142" s="6" t="str">
        <f t="shared" si="480"/>
        <v/>
      </c>
      <c r="L6142" s="7" t="str">
        <f t="shared" si="481"/>
        <v/>
      </c>
      <c r="M6142" s="7" t="str">
        <f t="shared" si="478"/>
        <v/>
      </c>
      <c r="N6142" s="7" t="str">
        <f t="shared" si="482"/>
        <v/>
      </c>
      <c r="O6142" s="8"/>
      <c r="P6142" s="26"/>
      <c r="S6142" s="10" t="str">
        <f t="shared" si="479"/>
        <v/>
      </c>
    </row>
    <row r="6143" spans="5:19" x14ac:dyDescent="0.3">
      <c r="E6143" s="9" t="str">
        <f>IF(DADOS!C6143="","",DADOS!C6143)</f>
        <v/>
      </c>
      <c r="F6143" s="9" t="str">
        <f>IF(DADOS!E6143="","",DADOS!E6143)</f>
        <v/>
      </c>
      <c r="G6143" s="9" t="str">
        <f>IF(DADOS!F6143="","",DADOS!F6143)</f>
        <v/>
      </c>
      <c r="K6143" s="6" t="str">
        <f t="shared" si="480"/>
        <v/>
      </c>
      <c r="L6143" s="7" t="str">
        <f t="shared" si="481"/>
        <v/>
      </c>
      <c r="M6143" s="7" t="str">
        <f t="shared" si="478"/>
        <v/>
      </c>
      <c r="N6143" s="7" t="str">
        <f t="shared" si="482"/>
        <v/>
      </c>
      <c r="O6143" s="8"/>
      <c r="P6143" s="26"/>
      <c r="S6143" s="10" t="str">
        <f t="shared" si="479"/>
        <v/>
      </c>
    </row>
    <row r="6144" spans="5:19" x14ac:dyDescent="0.3">
      <c r="E6144" s="9" t="str">
        <f>IF(DADOS!C6144="","",DADOS!C6144)</f>
        <v/>
      </c>
      <c r="F6144" s="9" t="str">
        <f>IF(DADOS!E6144="","",DADOS!E6144)</f>
        <v/>
      </c>
      <c r="G6144" s="9" t="str">
        <f>IF(DADOS!F6144="","",DADOS!F6144)</f>
        <v/>
      </c>
      <c r="K6144" s="6" t="str">
        <f t="shared" si="480"/>
        <v/>
      </c>
      <c r="L6144" s="7" t="str">
        <f t="shared" si="481"/>
        <v/>
      </c>
      <c r="M6144" s="7" t="str">
        <f t="shared" si="478"/>
        <v/>
      </c>
      <c r="N6144" s="7" t="str">
        <f t="shared" si="482"/>
        <v/>
      </c>
      <c r="O6144" s="8"/>
      <c r="P6144" s="26"/>
      <c r="S6144" s="10" t="str">
        <f t="shared" si="479"/>
        <v/>
      </c>
    </row>
    <row r="6145" spans="5:19" x14ac:dyDescent="0.3">
      <c r="E6145" s="9" t="str">
        <f>IF(DADOS!C6145="","",DADOS!C6145)</f>
        <v/>
      </c>
      <c r="F6145" s="9" t="str">
        <f>IF(DADOS!E6145="","",DADOS!E6145)</f>
        <v/>
      </c>
      <c r="G6145" s="9" t="str">
        <f>IF(DADOS!F6145="","",DADOS!F6145)</f>
        <v/>
      </c>
      <c r="K6145" s="6" t="str">
        <f t="shared" si="480"/>
        <v/>
      </c>
      <c r="L6145" s="7" t="str">
        <f t="shared" si="481"/>
        <v/>
      </c>
      <c r="M6145" s="7" t="str">
        <f t="shared" si="478"/>
        <v/>
      </c>
      <c r="N6145" s="7" t="str">
        <f t="shared" si="482"/>
        <v/>
      </c>
      <c r="O6145" s="8"/>
      <c r="P6145" s="26"/>
      <c r="S6145" s="10" t="str">
        <f t="shared" si="479"/>
        <v/>
      </c>
    </row>
    <row r="6146" spans="5:19" x14ac:dyDescent="0.3">
      <c r="E6146" s="9" t="str">
        <f>IF(DADOS!C6146="","",DADOS!C6146)</f>
        <v/>
      </c>
      <c r="F6146" s="9" t="str">
        <f>IF(DADOS!E6146="","",DADOS!E6146)</f>
        <v/>
      </c>
      <c r="G6146" s="9" t="str">
        <f>IF(DADOS!F6146="","",DADOS!F6146)</f>
        <v/>
      </c>
      <c r="K6146" s="6" t="str">
        <f t="shared" si="480"/>
        <v/>
      </c>
      <c r="L6146" s="7" t="str">
        <f t="shared" si="481"/>
        <v/>
      </c>
      <c r="M6146" s="7" t="str">
        <f t="shared" si="478"/>
        <v/>
      </c>
      <c r="N6146" s="7" t="str">
        <f t="shared" si="482"/>
        <v/>
      </c>
      <c r="O6146" s="8"/>
      <c r="P6146" s="26"/>
      <c r="S6146" s="10" t="str">
        <f t="shared" si="479"/>
        <v/>
      </c>
    </row>
    <row r="6147" spans="5:19" x14ac:dyDescent="0.3">
      <c r="E6147" s="9" t="str">
        <f>IF(DADOS!C6147="","",DADOS!C6147)</f>
        <v/>
      </c>
      <c r="F6147" s="9" t="str">
        <f>IF(DADOS!E6147="","",DADOS!E6147)</f>
        <v/>
      </c>
      <c r="G6147" s="9" t="str">
        <f>IF(DADOS!F6147="","",DADOS!F6147)</f>
        <v/>
      </c>
      <c r="K6147" s="6" t="str">
        <f t="shared" si="480"/>
        <v/>
      </c>
      <c r="L6147" s="7" t="str">
        <f t="shared" si="481"/>
        <v/>
      </c>
      <c r="M6147" s="7" t="str">
        <f t="shared" ref="M6147:M6210" si="483">IF(L6147="","",L6147*G6147)</f>
        <v/>
      </c>
      <c r="N6147" s="7" t="str">
        <f t="shared" si="482"/>
        <v/>
      </c>
      <c r="O6147" s="8"/>
      <c r="P6147" s="26"/>
      <c r="S6147" s="10" t="str">
        <f t="shared" ref="S6147:S6210" si="484">IF(R6147="","",SUMIFS($N$3:$N$10000,$E$3:$E$10000,R6147))</f>
        <v/>
      </c>
    </row>
    <row r="6148" spans="5:19" x14ac:dyDescent="0.3">
      <c r="E6148" s="9" t="str">
        <f>IF(DADOS!C6148="","",DADOS!C6148)</f>
        <v/>
      </c>
      <c r="F6148" s="9" t="str">
        <f>IF(DADOS!E6148="","",DADOS!E6148)</f>
        <v/>
      </c>
      <c r="G6148" s="9" t="str">
        <f>IF(DADOS!F6148="","",DADOS!F6148)</f>
        <v/>
      </c>
      <c r="K6148" s="6" t="str">
        <f t="shared" ref="K6148:K6211" si="485">IF(F6148="","",F6148/PI())</f>
        <v/>
      </c>
      <c r="L6148" s="7" t="str">
        <f t="shared" ref="L6148:L6211" si="486">IF(K6148="","",(PI()*K6148^2)/40000)</f>
        <v/>
      </c>
      <c r="M6148" s="7" t="str">
        <f t="shared" si="483"/>
        <v/>
      </c>
      <c r="N6148" s="7" t="str">
        <f t="shared" ref="N6148:N6211" si="487">IF(M6148="","",M6148*N$1)</f>
        <v/>
      </c>
      <c r="O6148" s="8"/>
      <c r="P6148" s="26"/>
      <c r="S6148" s="10" t="str">
        <f t="shared" si="484"/>
        <v/>
      </c>
    </row>
    <row r="6149" spans="5:19" x14ac:dyDescent="0.3">
      <c r="E6149" s="9" t="str">
        <f>IF(DADOS!C6149="","",DADOS!C6149)</f>
        <v/>
      </c>
      <c r="F6149" s="9" t="str">
        <f>IF(DADOS!E6149="","",DADOS!E6149)</f>
        <v/>
      </c>
      <c r="G6149" s="9" t="str">
        <f>IF(DADOS!F6149="","",DADOS!F6149)</f>
        <v/>
      </c>
      <c r="K6149" s="6" t="str">
        <f t="shared" si="485"/>
        <v/>
      </c>
      <c r="L6149" s="7" t="str">
        <f t="shared" si="486"/>
        <v/>
      </c>
      <c r="M6149" s="7" t="str">
        <f t="shared" si="483"/>
        <v/>
      </c>
      <c r="N6149" s="7" t="str">
        <f t="shared" si="487"/>
        <v/>
      </c>
      <c r="O6149" s="8"/>
      <c r="P6149" s="26"/>
      <c r="S6149" s="10" t="str">
        <f t="shared" si="484"/>
        <v/>
      </c>
    </row>
    <row r="6150" spans="5:19" x14ac:dyDescent="0.3">
      <c r="E6150" s="9" t="str">
        <f>IF(DADOS!C6150="","",DADOS!C6150)</f>
        <v/>
      </c>
      <c r="F6150" s="9" t="str">
        <f>IF(DADOS!E6150="","",DADOS!E6150)</f>
        <v/>
      </c>
      <c r="G6150" s="9" t="str">
        <f>IF(DADOS!F6150="","",DADOS!F6150)</f>
        <v/>
      </c>
      <c r="K6150" s="6" t="str">
        <f t="shared" si="485"/>
        <v/>
      </c>
      <c r="L6150" s="7" t="str">
        <f t="shared" si="486"/>
        <v/>
      </c>
      <c r="M6150" s="7" t="str">
        <f t="shared" si="483"/>
        <v/>
      </c>
      <c r="N6150" s="7" t="str">
        <f t="shared" si="487"/>
        <v/>
      </c>
      <c r="O6150" s="8"/>
      <c r="P6150" s="26"/>
      <c r="S6150" s="10" t="str">
        <f t="shared" si="484"/>
        <v/>
      </c>
    </row>
    <row r="6151" spans="5:19" x14ac:dyDescent="0.3">
      <c r="E6151" s="9" t="str">
        <f>IF(DADOS!C6151="","",DADOS!C6151)</f>
        <v/>
      </c>
      <c r="F6151" s="9" t="str">
        <f>IF(DADOS!E6151="","",DADOS!E6151)</f>
        <v/>
      </c>
      <c r="G6151" s="9" t="str">
        <f>IF(DADOS!F6151="","",DADOS!F6151)</f>
        <v/>
      </c>
      <c r="K6151" s="6" t="str">
        <f t="shared" si="485"/>
        <v/>
      </c>
      <c r="L6151" s="7" t="str">
        <f t="shared" si="486"/>
        <v/>
      </c>
      <c r="M6151" s="7" t="str">
        <f t="shared" si="483"/>
        <v/>
      </c>
      <c r="N6151" s="7" t="str">
        <f t="shared" si="487"/>
        <v/>
      </c>
      <c r="O6151" s="8"/>
      <c r="P6151" s="26"/>
      <c r="S6151" s="10" t="str">
        <f t="shared" si="484"/>
        <v/>
      </c>
    </row>
    <row r="6152" spans="5:19" x14ac:dyDescent="0.3">
      <c r="E6152" s="9" t="str">
        <f>IF(DADOS!C6152="","",DADOS!C6152)</f>
        <v/>
      </c>
      <c r="F6152" s="9" t="str">
        <f>IF(DADOS!E6152="","",DADOS!E6152)</f>
        <v/>
      </c>
      <c r="G6152" s="9" t="str">
        <f>IF(DADOS!F6152="","",DADOS!F6152)</f>
        <v/>
      </c>
      <c r="K6152" s="6" t="str">
        <f t="shared" si="485"/>
        <v/>
      </c>
      <c r="L6152" s="7" t="str">
        <f t="shared" si="486"/>
        <v/>
      </c>
      <c r="M6152" s="7" t="str">
        <f t="shared" si="483"/>
        <v/>
      </c>
      <c r="N6152" s="7" t="str">
        <f t="shared" si="487"/>
        <v/>
      </c>
      <c r="O6152" s="8"/>
      <c r="P6152" s="26"/>
      <c r="S6152" s="10" t="str">
        <f t="shared" si="484"/>
        <v/>
      </c>
    </row>
    <row r="6153" spans="5:19" x14ac:dyDescent="0.3">
      <c r="E6153" s="9" t="str">
        <f>IF(DADOS!C6153="","",DADOS!C6153)</f>
        <v/>
      </c>
      <c r="F6153" s="9" t="str">
        <f>IF(DADOS!E6153="","",DADOS!E6153)</f>
        <v/>
      </c>
      <c r="G6153" s="9" t="str">
        <f>IF(DADOS!F6153="","",DADOS!F6153)</f>
        <v/>
      </c>
      <c r="K6153" s="6" t="str">
        <f t="shared" si="485"/>
        <v/>
      </c>
      <c r="L6153" s="7" t="str">
        <f t="shared" si="486"/>
        <v/>
      </c>
      <c r="M6153" s="7" t="str">
        <f t="shared" si="483"/>
        <v/>
      </c>
      <c r="N6153" s="7" t="str">
        <f t="shared" si="487"/>
        <v/>
      </c>
      <c r="O6153" s="8"/>
      <c r="P6153" s="26"/>
      <c r="S6153" s="10" t="str">
        <f t="shared" si="484"/>
        <v/>
      </c>
    </row>
    <row r="6154" spans="5:19" x14ac:dyDescent="0.3">
      <c r="E6154" s="9" t="str">
        <f>IF(DADOS!C6154="","",DADOS!C6154)</f>
        <v/>
      </c>
      <c r="F6154" s="9" t="str">
        <f>IF(DADOS!E6154="","",DADOS!E6154)</f>
        <v/>
      </c>
      <c r="G6154" s="9" t="str">
        <f>IF(DADOS!F6154="","",DADOS!F6154)</f>
        <v/>
      </c>
      <c r="K6154" s="6" t="str">
        <f t="shared" si="485"/>
        <v/>
      </c>
      <c r="L6154" s="7" t="str">
        <f t="shared" si="486"/>
        <v/>
      </c>
      <c r="M6154" s="7" t="str">
        <f t="shared" si="483"/>
        <v/>
      </c>
      <c r="N6154" s="7" t="str">
        <f t="shared" si="487"/>
        <v/>
      </c>
      <c r="O6154" s="8"/>
      <c r="P6154" s="26"/>
      <c r="S6154" s="10" t="str">
        <f t="shared" si="484"/>
        <v/>
      </c>
    </row>
    <row r="6155" spans="5:19" x14ac:dyDescent="0.3">
      <c r="E6155" s="9" t="str">
        <f>IF(DADOS!C6155="","",DADOS!C6155)</f>
        <v/>
      </c>
      <c r="F6155" s="9" t="str">
        <f>IF(DADOS!E6155="","",DADOS!E6155)</f>
        <v/>
      </c>
      <c r="G6155" s="9" t="str">
        <f>IF(DADOS!F6155="","",DADOS!F6155)</f>
        <v/>
      </c>
      <c r="K6155" s="6" t="str">
        <f t="shared" si="485"/>
        <v/>
      </c>
      <c r="L6155" s="7" t="str">
        <f t="shared" si="486"/>
        <v/>
      </c>
      <c r="M6155" s="7" t="str">
        <f t="shared" si="483"/>
        <v/>
      </c>
      <c r="N6155" s="7" t="str">
        <f t="shared" si="487"/>
        <v/>
      </c>
      <c r="O6155" s="8"/>
      <c r="P6155" s="26"/>
      <c r="S6155" s="10" t="str">
        <f t="shared" si="484"/>
        <v/>
      </c>
    </row>
    <row r="6156" spans="5:19" x14ac:dyDescent="0.3">
      <c r="E6156" s="9" t="str">
        <f>IF(DADOS!C6156="","",DADOS!C6156)</f>
        <v/>
      </c>
      <c r="F6156" s="9" t="str">
        <f>IF(DADOS!E6156="","",DADOS!E6156)</f>
        <v/>
      </c>
      <c r="G6156" s="9" t="str">
        <f>IF(DADOS!F6156="","",DADOS!F6156)</f>
        <v/>
      </c>
      <c r="K6156" s="6" t="str">
        <f t="shared" si="485"/>
        <v/>
      </c>
      <c r="L6156" s="7" t="str">
        <f t="shared" si="486"/>
        <v/>
      </c>
      <c r="M6156" s="7" t="str">
        <f t="shared" si="483"/>
        <v/>
      </c>
      <c r="N6156" s="7" t="str">
        <f t="shared" si="487"/>
        <v/>
      </c>
      <c r="O6156" s="8"/>
      <c r="P6156" s="26"/>
      <c r="S6156" s="10" t="str">
        <f t="shared" si="484"/>
        <v/>
      </c>
    </row>
    <row r="6157" spans="5:19" x14ac:dyDescent="0.3">
      <c r="E6157" s="9" t="str">
        <f>IF(DADOS!C6157="","",DADOS!C6157)</f>
        <v/>
      </c>
      <c r="F6157" s="9" t="str">
        <f>IF(DADOS!E6157="","",DADOS!E6157)</f>
        <v/>
      </c>
      <c r="G6157" s="9" t="str">
        <f>IF(DADOS!F6157="","",DADOS!F6157)</f>
        <v/>
      </c>
      <c r="K6157" s="6" t="str">
        <f t="shared" si="485"/>
        <v/>
      </c>
      <c r="L6157" s="7" t="str">
        <f t="shared" si="486"/>
        <v/>
      </c>
      <c r="M6157" s="7" t="str">
        <f t="shared" si="483"/>
        <v/>
      </c>
      <c r="N6157" s="7" t="str">
        <f t="shared" si="487"/>
        <v/>
      </c>
      <c r="O6157" s="8"/>
      <c r="P6157" s="26"/>
      <c r="S6157" s="10" t="str">
        <f t="shared" si="484"/>
        <v/>
      </c>
    </row>
    <row r="6158" spans="5:19" x14ac:dyDescent="0.3">
      <c r="E6158" s="9" t="str">
        <f>IF(DADOS!C6158="","",DADOS!C6158)</f>
        <v/>
      </c>
      <c r="F6158" s="9" t="str">
        <f>IF(DADOS!E6158="","",DADOS!E6158)</f>
        <v/>
      </c>
      <c r="G6158" s="9" t="str">
        <f>IF(DADOS!F6158="","",DADOS!F6158)</f>
        <v/>
      </c>
      <c r="K6158" s="6" t="str">
        <f t="shared" si="485"/>
        <v/>
      </c>
      <c r="L6158" s="7" t="str">
        <f t="shared" si="486"/>
        <v/>
      </c>
      <c r="M6158" s="7" t="str">
        <f t="shared" si="483"/>
        <v/>
      </c>
      <c r="N6158" s="7" t="str">
        <f t="shared" si="487"/>
        <v/>
      </c>
      <c r="O6158" s="8"/>
      <c r="P6158" s="26"/>
      <c r="S6158" s="10" t="str">
        <f t="shared" si="484"/>
        <v/>
      </c>
    </row>
    <row r="6159" spans="5:19" x14ac:dyDescent="0.3">
      <c r="E6159" s="9" t="str">
        <f>IF(DADOS!C6159="","",DADOS!C6159)</f>
        <v/>
      </c>
      <c r="F6159" s="9" t="str">
        <f>IF(DADOS!E6159="","",DADOS!E6159)</f>
        <v/>
      </c>
      <c r="G6159" s="9" t="str">
        <f>IF(DADOS!F6159="","",DADOS!F6159)</f>
        <v/>
      </c>
      <c r="K6159" s="6" t="str">
        <f t="shared" si="485"/>
        <v/>
      </c>
      <c r="L6159" s="7" t="str">
        <f t="shared" si="486"/>
        <v/>
      </c>
      <c r="M6159" s="7" t="str">
        <f t="shared" si="483"/>
        <v/>
      </c>
      <c r="N6159" s="7" t="str">
        <f t="shared" si="487"/>
        <v/>
      </c>
      <c r="O6159" s="8"/>
      <c r="P6159" s="26"/>
      <c r="S6159" s="10" t="str">
        <f t="shared" si="484"/>
        <v/>
      </c>
    </row>
    <row r="6160" spans="5:19" x14ac:dyDescent="0.3">
      <c r="E6160" s="9" t="str">
        <f>IF(DADOS!C6160="","",DADOS!C6160)</f>
        <v/>
      </c>
      <c r="F6160" s="9" t="str">
        <f>IF(DADOS!E6160="","",DADOS!E6160)</f>
        <v/>
      </c>
      <c r="G6160" s="9" t="str">
        <f>IF(DADOS!F6160="","",DADOS!F6160)</f>
        <v/>
      </c>
      <c r="K6160" s="6" t="str">
        <f t="shared" si="485"/>
        <v/>
      </c>
      <c r="L6160" s="7" t="str">
        <f t="shared" si="486"/>
        <v/>
      </c>
      <c r="M6160" s="7" t="str">
        <f t="shared" si="483"/>
        <v/>
      </c>
      <c r="N6160" s="7" t="str">
        <f t="shared" si="487"/>
        <v/>
      </c>
      <c r="O6160" s="8"/>
      <c r="P6160" s="26"/>
      <c r="S6160" s="10" t="str">
        <f t="shared" si="484"/>
        <v/>
      </c>
    </row>
    <row r="6161" spans="5:19" x14ac:dyDescent="0.3">
      <c r="E6161" s="9" t="str">
        <f>IF(DADOS!C6161="","",DADOS!C6161)</f>
        <v/>
      </c>
      <c r="F6161" s="9" t="str">
        <f>IF(DADOS!E6161="","",DADOS!E6161)</f>
        <v/>
      </c>
      <c r="G6161" s="9" t="str">
        <f>IF(DADOS!F6161="","",DADOS!F6161)</f>
        <v/>
      </c>
      <c r="K6161" s="6" t="str">
        <f t="shared" si="485"/>
        <v/>
      </c>
      <c r="L6161" s="7" t="str">
        <f t="shared" si="486"/>
        <v/>
      </c>
      <c r="M6161" s="7" t="str">
        <f t="shared" si="483"/>
        <v/>
      </c>
      <c r="N6161" s="7" t="str">
        <f t="shared" si="487"/>
        <v/>
      </c>
      <c r="O6161" s="8"/>
      <c r="P6161" s="26"/>
      <c r="S6161" s="10" t="str">
        <f t="shared" si="484"/>
        <v/>
      </c>
    </row>
    <row r="6162" spans="5:19" x14ac:dyDescent="0.3">
      <c r="E6162" s="9" t="str">
        <f>IF(DADOS!C6162="","",DADOS!C6162)</f>
        <v/>
      </c>
      <c r="F6162" s="9" t="str">
        <f>IF(DADOS!E6162="","",DADOS!E6162)</f>
        <v/>
      </c>
      <c r="G6162" s="9" t="str">
        <f>IF(DADOS!F6162="","",DADOS!F6162)</f>
        <v/>
      </c>
      <c r="K6162" s="6" t="str">
        <f t="shared" si="485"/>
        <v/>
      </c>
      <c r="L6162" s="7" t="str">
        <f t="shared" si="486"/>
        <v/>
      </c>
      <c r="M6162" s="7" t="str">
        <f t="shared" si="483"/>
        <v/>
      </c>
      <c r="N6162" s="7" t="str">
        <f t="shared" si="487"/>
        <v/>
      </c>
      <c r="O6162" s="8"/>
      <c r="P6162" s="26"/>
      <c r="S6162" s="10" t="str">
        <f t="shared" si="484"/>
        <v/>
      </c>
    </row>
    <row r="6163" spans="5:19" x14ac:dyDescent="0.3">
      <c r="E6163" s="9" t="str">
        <f>IF(DADOS!C6163="","",DADOS!C6163)</f>
        <v/>
      </c>
      <c r="F6163" s="9" t="str">
        <f>IF(DADOS!E6163="","",DADOS!E6163)</f>
        <v/>
      </c>
      <c r="G6163" s="9" t="str">
        <f>IF(DADOS!F6163="","",DADOS!F6163)</f>
        <v/>
      </c>
      <c r="K6163" s="6" t="str">
        <f t="shared" si="485"/>
        <v/>
      </c>
      <c r="L6163" s="7" t="str">
        <f t="shared" si="486"/>
        <v/>
      </c>
      <c r="M6163" s="7" t="str">
        <f t="shared" si="483"/>
        <v/>
      </c>
      <c r="N6163" s="7" t="str">
        <f t="shared" si="487"/>
        <v/>
      </c>
      <c r="O6163" s="8"/>
      <c r="P6163" s="26"/>
      <c r="S6163" s="10" t="str">
        <f t="shared" si="484"/>
        <v/>
      </c>
    </row>
    <row r="6164" spans="5:19" x14ac:dyDescent="0.3">
      <c r="E6164" s="9" t="str">
        <f>IF(DADOS!C6164="","",DADOS!C6164)</f>
        <v/>
      </c>
      <c r="F6164" s="9" t="str">
        <f>IF(DADOS!E6164="","",DADOS!E6164)</f>
        <v/>
      </c>
      <c r="G6164" s="9" t="str">
        <f>IF(DADOS!F6164="","",DADOS!F6164)</f>
        <v/>
      </c>
      <c r="K6164" s="6" t="str">
        <f t="shared" si="485"/>
        <v/>
      </c>
      <c r="L6164" s="7" t="str">
        <f t="shared" si="486"/>
        <v/>
      </c>
      <c r="M6164" s="7" t="str">
        <f t="shared" si="483"/>
        <v/>
      </c>
      <c r="N6164" s="7" t="str">
        <f t="shared" si="487"/>
        <v/>
      </c>
      <c r="O6164" s="8"/>
      <c r="P6164" s="26"/>
      <c r="S6164" s="10" t="str">
        <f t="shared" si="484"/>
        <v/>
      </c>
    </row>
    <row r="6165" spans="5:19" x14ac:dyDescent="0.3">
      <c r="E6165" s="9" t="str">
        <f>IF(DADOS!C6165="","",DADOS!C6165)</f>
        <v/>
      </c>
      <c r="F6165" s="9" t="str">
        <f>IF(DADOS!E6165="","",DADOS!E6165)</f>
        <v/>
      </c>
      <c r="G6165" s="9" t="str">
        <f>IF(DADOS!F6165="","",DADOS!F6165)</f>
        <v/>
      </c>
      <c r="K6165" s="6" t="str">
        <f t="shared" si="485"/>
        <v/>
      </c>
      <c r="L6165" s="7" t="str">
        <f t="shared" si="486"/>
        <v/>
      </c>
      <c r="M6165" s="7" t="str">
        <f t="shared" si="483"/>
        <v/>
      </c>
      <c r="N6165" s="7" t="str">
        <f t="shared" si="487"/>
        <v/>
      </c>
      <c r="O6165" s="8"/>
      <c r="P6165" s="26"/>
      <c r="S6165" s="10" t="str">
        <f t="shared" si="484"/>
        <v/>
      </c>
    </row>
    <row r="6166" spans="5:19" x14ac:dyDescent="0.3">
      <c r="E6166" s="9" t="str">
        <f>IF(DADOS!C6166="","",DADOS!C6166)</f>
        <v/>
      </c>
      <c r="F6166" s="9" t="str">
        <f>IF(DADOS!E6166="","",DADOS!E6166)</f>
        <v/>
      </c>
      <c r="G6166" s="9" t="str">
        <f>IF(DADOS!F6166="","",DADOS!F6166)</f>
        <v/>
      </c>
      <c r="K6166" s="6" t="str">
        <f t="shared" si="485"/>
        <v/>
      </c>
      <c r="L6166" s="7" t="str">
        <f t="shared" si="486"/>
        <v/>
      </c>
      <c r="M6166" s="7" t="str">
        <f t="shared" si="483"/>
        <v/>
      </c>
      <c r="N6166" s="7" t="str">
        <f t="shared" si="487"/>
        <v/>
      </c>
      <c r="O6166" s="8"/>
      <c r="P6166" s="26"/>
      <c r="S6166" s="10" t="str">
        <f t="shared" si="484"/>
        <v/>
      </c>
    </row>
    <row r="6167" spans="5:19" x14ac:dyDescent="0.3">
      <c r="E6167" s="9" t="str">
        <f>IF(DADOS!C6167="","",DADOS!C6167)</f>
        <v/>
      </c>
      <c r="F6167" s="9" t="str">
        <f>IF(DADOS!E6167="","",DADOS!E6167)</f>
        <v/>
      </c>
      <c r="G6167" s="9" t="str">
        <f>IF(DADOS!F6167="","",DADOS!F6167)</f>
        <v/>
      </c>
      <c r="K6167" s="6" t="str">
        <f t="shared" si="485"/>
        <v/>
      </c>
      <c r="L6167" s="7" t="str">
        <f t="shared" si="486"/>
        <v/>
      </c>
      <c r="M6167" s="7" t="str">
        <f t="shared" si="483"/>
        <v/>
      </c>
      <c r="N6167" s="7" t="str">
        <f t="shared" si="487"/>
        <v/>
      </c>
      <c r="O6167" s="8"/>
      <c r="P6167" s="26"/>
      <c r="S6167" s="10" t="str">
        <f t="shared" si="484"/>
        <v/>
      </c>
    </row>
    <row r="6168" spans="5:19" x14ac:dyDescent="0.3">
      <c r="E6168" s="9" t="str">
        <f>IF(DADOS!C6168="","",DADOS!C6168)</f>
        <v/>
      </c>
      <c r="F6168" s="9" t="str">
        <f>IF(DADOS!E6168="","",DADOS!E6168)</f>
        <v/>
      </c>
      <c r="G6168" s="9" t="str">
        <f>IF(DADOS!F6168="","",DADOS!F6168)</f>
        <v/>
      </c>
      <c r="K6168" s="6" t="str">
        <f t="shared" si="485"/>
        <v/>
      </c>
      <c r="L6168" s="7" t="str">
        <f t="shared" si="486"/>
        <v/>
      </c>
      <c r="M6168" s="7" t="str">
        <f t="shared" si="483"/>
        <v/>
      </c>
      <c r="N6168" s="7" t="str">
        <f t="shared" si="487"/>
        <v/>
      </c>
      <c r="O6168" s="8"/>
      <c r="P6168" s="26"/>
      <c r="S6168" s="10" t="str">
        <f t="shared" si="484"/>
        <v/>
      </c>
    </row>
    <row r="6169" spans="5:19" x14ac:dyDescent="0.3">
      <c r="E6169" s="9" t="str">
        <f>IF(DADOS!C6169="","",DADOS!C6169)</f>
        <v/>
      </c>
      <c r="F6169" s="9" t="str">
        <f>IF(DADOS!E6169="","",DADOS!E6169)</f>
        <v/>
      </c>
      <c r="G6169" s="9" t="str">
        <f>IF(DADOS!F6169="","",DADOS!F6169)</f>
        <v/>
      </c>
      <c r="K6169" s="6" t="str">
        <f t="shared" si="485"/>
        <v/>
      </c>
      <c r="L6169" s="7" t="str">
        <f t="shared" si="486"/>
        <v/>
      </c>
      <c r="M6169" s="7" t="str">
        <f t="shared" si="483"/>
        <v/>
      </c>
      <c r="N6169" s="7" t="str">
        <f t="shared" si="487"/>
        <v/>
      </c>
      <c r="O6169" s="8"/>
      <c r="P6169" s="26"/>
      <c r="S6169" s="10" t="str">
        <f t="shared" si="484"/>
        <v/>
      </c>
    </row>
    <row r="6170" spans="5:19" x14ac:dyDescent="0.3">
      <c r="E6170" s="9" t="str">
        <f>IF(DADOS!C6170="","",DADOS!C6170)</f>
        <v/>
      </c>
      <c r="F6170" s="9" t="str">
        <f>IF(DADOS!E6170="","",DADOS!E6170)</f>
        <v/>
      </c>
      <c r="G6170" s="9" t="str">
        <f>IF(DADOS!F6170="","",DADOS!F6170)</f>
        <v/>
      </c>
      <c r="K6170" s="6" t="str">
        <f t="shared" si="485"/>
        <v/>
      </c>
      <c r="L6170" s="7" t="str">
        <f t="shared" si="486"/>
        <v/>
      </c>
      <c r="M6170" s="7" t="str">
        <f t="shared" si="483"/>
        <v/>
      </c>
      <c r="N6170" s="7" t="str">
        <f t="shared" si="487"/>
        <v/>
      </c>
      <c r="O6170" s="8"/>
      <c r="P6170" s="26"/>
      <c r="S6170" s="10" t="str">
        <f t="shared" si="484"/>
        <v/>
      </c>
    </row>
    <row r="6171" spans="5:19" x14ac:dyDescent="0.3">
      <c r="E6171" s="9" t="str">
        <f>IF(DADOS!C6171="","",DADOS!C6171)</f>
        <v/>
      </c>
      <c r="F6171" s="9" t="str">
        <f>IF(DADOS!E6171="","",DADOS!E6171)</f>
        <v/>
      </c>
      <c r="G6171" s="9" t="str">
        <f>IF(DADOS!F6171="","",DADOS!F6171)</f>
        <v/>
      </c>
      <c r="K6171" s="6" t="str">
        <f t="shared" si="485"/>
        <v/>
      </c>
      <c r="L6171" s="7" t="str">
        <f t="shared" si="486"/>
        <v/>
      </c>
      <c r="M6171" s="7" t="str">
        <f t="shared" si="483"/>
        <v/>
      </c>
      <c r="N6171" s="7" t="str">
        <f t="shared" si="487"/>
        <v/>
      </c>
      <c r="O6171" s="8"/>
      <c r="P6171" s="26"/>
      <c r="S6171" s="10" t="str">
        <f t="shared" si="484"/>
        <v/>
      </c>
    </row>
    <row r="6172" spans="5:19" x14ac:dyDescent="0.3">
      <c r="E6172" s="9" t="str">
        <f>IF(DADOS!C6172="","",DADOS!C6172)</f>
        <v/>
      </c>
      <c r="F6172" s="9" t="str">
        <f>IF(DADOS!E6172="","",DADOS!E6172)</f>
        <v/>
      </c>
      <c r="G6172" s="9" t="str">
        <f>IF(DADOS!F6172="","",DADOS!F6172)</f>
        <v/>
      </c>
      <c r="K6172" s="6" t="str">
        <f t="shared" si="485"/>
        <v/>
      </c>
      <c r="L6172" s="7" t="str">
        <f t="shared" si="486"/>
        <v/>
      </c>
      <c r="M6172" s="7" t="str">
        <f t="shared" si="483"/>
        <v/>
      </c>
      <c r="N6172" s="7" t="str">
        <f t="shared" si="487"/>
        <v/>
      </c>
      <c r="O6172" s="8"/>
      <c r="P6172" s="26"/>
      <c r="S6172" s="10" t="str">
        <f t="shared" si="484"/>
        <v/>
      </c>
    </row>
    <row r="6173" spans="5:19" x14ac:dyDescent="0.3">
      <c r="E6173" s="9" t="str">
        <f>IF(DADOS!C6173="","",DADOS!C6173)</f>
        <v/>
      </c>
      <c r="F6173" s="9" t="str">
        <f>IF(DADOS!E6173="","",DADOS!E6173)</f>
        <v/>
      </c>
      <c r="G6173" s="9" t="str">
        <f>IF(DADOS!F6173="","",DADOS!F6173)</f>
        <v/>
      </c>
      <c r="K6173" s="6" t="str">
        <f t="shared" si="485"/>
        <v/>
      </c>
      <c r="L6173" s="7" t="str">
        <f t="shared" si="486"/>
        <v/>
      </c>
      <c r="M6173" s="7" t="str">
        <f t="shared" si="483"/>
        <v/>
      </c>
      <c r="N6173" s="7" t="str">
        <f t="shared" si="487"/>
        <v/>
      </c>
      <c r="O6173" s="8"/>
      <c r="P6173" s="26"/>
      <c r="S6173" s="10" t="str">
        <f t="shared" si="484"/>
        <v/>
      </c>
    </row>
    <row r="6174" spans="5:19" x14ac:dyDescent="0.3">
      <c r="E6174" s="9" t="str">
        <f>IF(DADOS!C6174="","",DADOS!C6174)</f>
        <v/>
      </c>
      <c r="F6174" s="9" t="str">
        <f>IF(DADOS!E6174="","",DADOS!E6174)</f>
        <v/>
      </c>
      <c r="G6174" s="9" t="str">
        <f>IF(DADOS!F6174="","",DADOS!F6174)</f>
        <v/>
      </c>
      <c r="K6174" s="6" t="str">
        <f t="shared" si="485"/>
        <v/>
      </c>
      <c r="L6174" s="7" t="str">
        <f t="shared" si="486"/>
        <v/>
      </c>
      <c r="M6174" s="7" t="str">
        <f t="shared" si="483"/>
        <v/>
      </c>
      <c r="N6174" s="7" t="str">
        <f t="shared" si="487"/>
        <v/>
      </c>
      <c r="O6174" s="8"/>
      <c r="P6174" s="26"/>
      <c r="S6174" s="10" t="str">
        <f t="shared" si="484"/>
        <v/>
      </c>
    </row>
    <row r="6175" spans="5:19" x14ac:dyDescent="0.3">
      <c r="E6175" s="9" t="str">
        <f>IF(DADOS!C6175="","",DADOS!C6175)</f>
        <v/>
      </c>
      <c r="F6175" s="9" t="str">
        <f>IF(DADOS!E6175="","",DADOS!E6175)</f>
        <v/>
      </c>
      <c r="G6175" s="9" t="str">
        <f>IF(DADOS!F6175="","",DADOS!F6175)</f>
        <v/>
      </c>
      <c r="K6175" s="6" t="str">
        <f t="shared" si="485"/>
        <v/>
      </c>
      <c r="L6175" s="7" t="str">
        <f t="shared" si="486"/>
        <v/>
      </c>
      <c r="M6175" s="7" t="str">
        <f t="shared" si="483"/>
        <v/>
      </c>
      <c r="N6175" s="7" t="str">
        <f t="shared" si="487"/>
        <v/>
      </c>
      <c r="O6175" s="8"/>
      <c r="P6175" s="26"/>
      <c r="S6175" s="10" t="str">
        <f t="shared" si="484"/>
        <v/>
      </c>
    </row>
    <row r="6176" spans="5:19" x14ac:dyDescent="0.3">
      <c r="E6176" s="9" t="str">
        <f>IF(DADOS!C6176="","",DADOS!C6176)</f>
        <v/>
      </c>
      <c r="F6176" s="9" t="str">
        <f>IF(DADOS!E6176="","",DADOS!E6176)</f>
        <v/>
      </c>
      <c r="G6176" s="9" t="str">
        <f>IF(DADOS!F6176="","",DADOS!F6176)</f>
        <v/>
      </c>
      <c r="K6176" s="6" t="str">
        <f t="shared" si="485"/>
        <v/>
      </c>
      <c r="L6176" s="7" t="str">
        <f t="shared" si="486"/>
        <v/>
      </c>
      <c r="M6176" s="7" t="str">
        <f t="shared" si="483"/>
        <v/>
      </c>
      <c r="N6176" s="7" t="str">
        <f t="shared" si="487"/>
        <v/>
      </c>
      <c r="O6176" s="8"/>
      <c r="P6176" s="26"/>
      <c r="S6176" s="10" t="str">
        <f t="shared" si="484"/>
        <v/>
      </c>
    </row>
    <row r="6177" spans="5:19" x14ac:dyDescent="0.3">
      <c r="E6177" s="9" t="str">
        <f>IF(DADOS!C6177="","",DADOS!C6177)</f>
        <v/>
      </c>
      <c r="F6177" s="9" t="str">
        <f>IF(DADOS!E6177="","",DADOS!E6177)</f>
        <v/>
      </c>
      <c r="G6177" s="9" t="str">
        <f>IF(DADOS!F6177="","",DADOS!F6177)</f>
        <v/>
      </c>
      <c r="K6177" s="6" t="str">
        <f t="shared" si="485"/>
        <v/>
      </c>
      <c r="L6177" s="7" t="str">
        <f t="shared" si="486"/>
        <v/>
      </c>
      <c r="M6177" s="7" t="str">
        <f t="shared" si="483"/>
        <v/>
      </c>
      <c r="N6177" s="7" t="str">
        <f t="shared" si="487"/>
        <v/>
      </c>
      <c r="O6177" s="8"/>
      <c r="P6177" s="26"/>
      <c r="S6177" s="10" t="str">
        <f t="shared" si="484"/>
        <v/>
      </c>
    </row>
    <row r="6178" spans="5:19" x14ac:dyDescent="0.3">
      <c r="E6178" s="9" t="str">
        <f>IF(DADOS!C6178="","",DADOS!C6178)</f>
        <v/>
      </c>
      <c r="F6178" s="9" t="str">
        <f>IF(DADOS!E6178="","",DADOS!E6178)</f>
        <v/>
      </c>
      <c r="G6178" s="9" t="str">
        <f>IF(DADOS!F6178="","",DADOS!F6178)</f>
        <v/>
      </c>
      <c r="K6178" s="6" t="str">
        <f t="shared" si="485"/>
        <v/>
      </c>
      <c r="L6178" s="7" t="str">
        <f t="shared" si="486"/>
        <v/>
      </c>
      <c r="M6178" s="7" t="str">
        <f t="shared" si="483"/>
        <v/>
      </c>
      <c r="N6178" s="7" t="str">
        <f t="shared" si="487"/>
        <v/>
      </c>
      <c r="O6178" s="8"/>
      <c r="P6178" s="26"/>
      <c r="S6178" s="10" t="str">
        <f t="shared" si="484"/>
        <v/>
      </c>
    </row>
    <row r="6179" spans="5:19" x14ac:dyDescent="0.3">
      <c r="E6179" s="9" t="str">
        <f>IF(DADOS!C6179="","",DADOS!C6179)</f>
        <v/>
      </c>
      <c r="F6179" s="9" t="str">
        <f>IF(DADOS!E6179="","",DADOS!E6179)</f>
        <v/>
      </c>
      <c r="G6179" s="9" t="str">
        <f>IF(DADOS!F6179="","",DADOS!F6179)</f>
        <v/>
      </c>
      <c r="K6179" s="6" t="str">
        <f t="shared" si="485"/>
        <v/>
      </c>
      <c r="L6179" s="7" t="str">
        <f t="shared" si="486"/>
        <v/>
      </c>
      <c r="M6179" s="7" t="str">
        <f t="shared" si="483"/>
        <v/>
      </c>
      <c r="N6179" s="7" t="str">
        <f t="shared" si="487"/>
        <v/>
      </c>
      <c r="O6179" s="8"/>
      <c r="P6179" s="26"/>
      <c r="S6179" s="10" t="str">
        <f t="shared" si="484"/>
        <v/>
      </c>
    </row>
    <row r="6180" spans="5:19" x14ac:dyDescent="0.3">
      <c r="E6180" s="9" t="str">
        <f>IF(DADOS!C6180="","",DADOS!C6180)</f>
        <v/>
      </c>
      <c r="F6180" s="9" t="str">
        <f>IF(DADOS!E6180="","",DADOS!E6180)</f>
        <v/>
      </c>
      <c r="G6180" s="9" t="str">
        <f>IF(DADOS!F6180="","",DADOS!F6180)</f>
        <v/>
      </c>
      <c r="K6180" s="6" t="str">
        <f t="shared" si="485"/>
        <v/>
      </c>
      <c r="L6180" s="7" t="str">
        <f t="shared" si="486"/>
        <v/>
      </c>
      <c r="M6180" s="7" t="str">
        <f t="shared" si="483"/>
        <v/>
      </c>
      <c r="N6180" s="7" t="str">
        <f t="shared" si="487"/>
        <v/>
      </c>
      <c r="O6180" s="8"/>
      <c r="P6180" s="26"/>
      <c r="S6180" s="10" t="str">
        <f t="shared" si="484"/>
        <v/>
      </c>
    </row>
    <row r="6181" spans="5:19" x14ac:dyDescent="0.3">
      <c r="E6181" s="9" t="str">
        <f>IF(DADOS!C6181="","",DADOS!C6181)</f>
        <v/>
      </c>
      <c r="F6181" s="9" t="str">
        <f>IF(DADOS!E6181="","",DADOS!E6181)</f>
        <v/>
      </c>
      <c r="G6181" s="9" t="str">
        <f>IF(DADOS!F6181="","",DADOS!F6181)</f>
        <v/>
      </c>
      <c r="K6181" s="6" t="str">
        <f t="shared" si="485"/>
        <v/>
      </c>
      <c r="L6181" s="7" t="str">
        <f t="shared" si="486"/>
        <v/>
      </c>
      <c r="M6181" s="7" t="str">
        <f t="shared" si="483"/>
        <v/>
      </c>
      <c r="N6181" s="7" t="str">
        <f t="shared" si="487"/>
        <v/>
      </c>
      <c r="O6181" s="8"/>
      <c r="P6181" s="26"/>
      <c r="S6181" s="10" t="str">
        <f t="shared" si="484"/>
        <v/>
      </c>
    </row>
    <row r="6182" spans="5:19" x14ac:dyDescent="0.3">
      <c r="E6182" s="9" t="str">
        <f>IF(DADOS!C6182="","",DADOS!C6182)</f>
        <v/>
      </c>
      <c r="F6182" s="9" t="str">
        <f>IF(DADOS!E6182="","",DADOS!E6182)</f>
        <v/>
      </c>
      <c r="G6182" s="9" t="str">
        <f>IF(DADOS!F6182="","",DADOS!F6182)</f>
        <v/>
      </c>
      <c r="K6182" s="6" t="str">
        <f t="shared" si="485"/>
        <v/>
      </c>
      <c r="L6182" s="7" t="str">
        <f t="shared" si="486"/>
        <v/>
      </c>
      <c r="M6182" s="7" t="str">
        <f t="shared" si="483"/>
        <v/>
      </c>
      <c r="N6182" s="7" t="str">
        <f t="shared" si="487"/>
        <v/>
      </c>
      <c r="O6182" s="8"/>
      <c r="P6182" s="26"/>
      <c r="S6182" s="10" t="str">
        <f t="shared" si="484"/>
        <v/>
      </c>
    </row>
    <row r="6183" spans="5:19" x14ac:dyDescent="0.3">
      <c r="E6183" s="9" t="str">
        <f>IF(DADOS!C6183="","",DADOS!C6183)</f>
        <v/>
      </c>
      <c r="F6183" s="9" t="str">
        <f>IF(DADOS!E6183="","",DADOS!E6183)</f>
        <v/>
      </c>
      <c r="G6183" s="9" t="str">
        <f>IF(DADOS!F6183="","",DADOS!F6183)</f>
        <v/>
      </c>
      <c r="K6183" s="6" t="str">
        <f t="shared" si="485"/>
        <v/>
      </c>
      <c r="L6183" s="7" t="str">
        <f t="shared" si="486"/>
        <v/>
      </c>
      <c r="M6183" s="7" t="str">
        <f t="shared" si="483"/>
        <v/>
      </c>
      <c r="N6183" s="7" t="str">
        <f t="shared" si="487"/>
        <v/>
      </c>
      <c r="O6183" s="8"/>
      <c r="P6183" s="26"/>
      <c r="S6183" s="10" t="str">
        <f t="shared" si="484"/>
        <v/>
      </c>
    </row>
    <row r="6184" spans="5:19" x14ac:dyDescent="0.3">
      <c r="E6184" s="9" t="str">
        <f>IF(DADOS!C6184="","",DADOS!C6184)</f>
        <v/>
      </c>
      <c r="F6184" s="9" t="str">
        <f>IF(DADOS!E6184="","",DADOS!E6184)</f>
        <v/>
      </c>
      <c r="G6184" s="9" t="str">
        <f>IF(DADOS!F6184="","",DADOS!F6184)</f>
        <v/>
      </c>
      <c r="K6184" s="6" t="str">
        <f t="shared" si="485"/>
        <v/>
      </c>
      <c r="L6184" s="7" t="str">
        <f t="shared" si="486"/>
        <v/>
      </c>
      <c r="M6184" s="7" t="str">
        <f t="shared" si="483"/>
        <v/>
      </c>
      <c r="N6184" s="7" t="str">
        <f t="shared" si="487"/>
        <v/>
      </c>
      <c r="O6184" s="8"/>
      <c r="P6184" s="26"/>
      <c r="S6184" s="10" t="str">
        <f t="shared" si="484"/>
        <v/>
      </c>
    </row>
    <row r="6185" spans="5:19" x14ac:dyDescent="0.3">
      <c r="E6185" s="9" t="str">
        <f>IF(DADOS!C6185="","",DADOS!C6185)</f>
        <v/>
      </c>
      <c r="F6185" s="9" t="str">
        <f>IF(DADOS!E6185="","",DADOS!E6185)</f>
        <v/>
      </c>
      <c r="G6185" s="9" t="str">
        <f>IF(DADOS!F6185="","",DADOS!F6185)</f>
        <v/>
      </c>
      <c r="K6185" s="6" t="str">
        <f t="shared" si="485"/>
        <v/>
      </c>
      <c r="L6185" s="7" t="str">
        <f t="shared" si="486"/>
        <v/>
      </c>
      <c r="M6185" s="7" t="str">
        <f t="shared" si="483"/>
        <v/>
      </c>
      <c r="N6185" s="7" t="str">
        <f t="shared" si="487"/>
        <v/>
      </c>
      <c r="O6185" s="8"/>
      <c r="P6185" s="26"/>
      <c r="S6185" s="10" t="str">
        <f t="shared" si="484"/>
        <v/>
      </c>
    </row>
    <row r="6186" spans="5:19" x14ac:dyDescent="0.3">
      <c r="E6186" s="9" t="str">
        <f>IF(DADOS!C6186="","",DADOS!C6186)</f>
        <v/>
      </c>
      <c r="F6186" s="9" t="str">
        <f>IF(DADOS!E6186="","",DADOS!E6186)</f>
        <v/>
      </c>
      <c r="G6186" s="9" t="str">
        <f>IF(DADOS!F6186="","",DADOS!F6186)</f>
        <v/>
      </c>
      <c r="K6186" s="6" t="str">
        <f t="shared" si="485"/>
        <v/>
      </c>
      <c r="L6186" s="7" t="str">
        <f t="shared" si="486"/>
        <v/>
      </c>
      <c r="M6186" s="7" t="str">
        <f t="shared" si="483"/>
        <v/>
      </c>
      <c r="N6186" s="7" t="str">
        <f t="shared" si="487"/>
        <v/>
      </c>
      <c r="O6186" s="8"/>
      <c r="P6186" s="26"/>
      <c r="S6186" s="10" t="str">
        <f t="shared" si="484"/>
        <v/>
      </c>
    </row>
    <row r="6187" spans="5:19" x14ac:dyDescent="0.3">
      <c r="E6187" s="9" t="str">
        <f>IF(DADOS!C6187="","",DADOS!C6187)</f>
        <v/>
      </c>
      <c r="F6187" s="9" t="str">
        <f>IF(DADOS!E6187="","",DADOS!E6187)</f>
        <v/>
      </c>
      <c r="G6187" s="9" t="str">
        <f>IF(DADOS!F6187="","",DADOS!F6187)</f>
        <v/>
      </c>
      <c r="K6187" s="6" t="str">
        <f t="shared" si="485"/>
        <v/>
      </c>
      <c r="L6187" s="7" t="str">
        <f t="shared" si="486"/>
        <v/>
      </c>
      <c r="M6187" s="7" t="str">
        <f t="shared" si="483"/>
        <v/>
      </c>
      <c r="N6187" s="7" t="str">
        <f t="shared" si="487"/>
        <v/>
      </c>
      <c r="O6187" s="8"/>
      <c r="P6187" s="26"/>
      <c r="S6187" s="10" t="str">
        <f t="shared" si="484"/>
        <v/>
      </c>
    </row>
    <row r="6188" spans="5:19" x14ac:dyDescent="0.3">
      <c r="E6188" s="9" t="str">
        <f>IF(DADOS!C6188="","",DADOS!C6188)</f>
        <v/>
      </c>
      <c r="F6188" s="9" t="str">
        <f>IF(DADOS!E6188="","",DADOS!E6188)</f>
        <v/>
      </c>
      <c r="G6188" s="9" t="str">
        <f>IF(DADOS!F6188="","",DADOS!F6188)</f>
        <v/>
      </c>
      <c r="K6188" s="6" t="str">
        <f t="shared" si="485"/>
        <v/>
      </c>
      <c r="L6188" s="7" t="str">
        <f t="shared" si="486"/>
        <v/>
      </c>
      <c r="M6188" s="7" t="str">
        <f t="shared" si="483"/>
        <v/>
      </c>
      <c r="N6188" s="7" t="str">
        <f t="shared" si="487"/>
        <v/>
      </c>
      <c r="O6188" s="8"/>
      <c r="P6188" s="26"/>
      <c r="S6188" s="10" t="str">
        <f t="shared" si="484"/>
        <v/>
      </c>
    </row>
    <row r="6189" spans="5:19" x14ac:dyDescent="0.3">
      <c r="E6189" s="9" t="str">
        <f>IF(DADOS!C6189="","",DADOS!C6189)</f>
        <v/>
      </c>
      <c r="F6189" s="9" t="str">
        <f>IF(DADOS!E6189="","",DADOS!E6189)</f>
        <v/>
      </c>
      <c r="G6189" s="9" t="str">
        <f>IF(DADOS!F6189="","",DADOS!F6189)</f>
        <v/>
      </c>
      <c r="K6189" s="6" t="str">
        <f t="shared" si="485"/>
        <v/>
      </c>
      <c r="L6189" s="7" t="str">
        <f t="shared" si="486"/>
        <v/>
      </c>
      <c r="M6189" s="7" t="str">
        <f t="shared" si="483"/>
        <v/>
      </c>
      <c r="N6189" s="7" t="str">
        <f t="shared" si="487"/>
        <v/>
      </c>
      <c r="O6189" s="8"/>
      <c r="P6189" s="26"/>
      <c r="S6189" s="10" t="str">
        <f t="shared" si="484"/>
        <v/>
      </c>
    </row>
    <row r="6190" spans="5:19" x14ac:dyDescent="0.3">
      <c r="E6190" s="9" t="str">
        <f>IF(DADOS!C6190="","",DADOS!C6190)</f>
        <v/>
      </c>
      <c r="F6190" s="9" t="str">
        <f>IF(DADOS!E6190="","",DADOS!E6190)</f>
        <v/>
      </c>
      <c r="G6190" s="9" t="str">
        <f>IF(DADOS!F6190="","",DADOS!F6190)</f>
        <v/>
      </c>
      <c r="K6190" s="6" t="str">
        <f t="shared" si="485"/>
        <v/>
      </c>
      <c r="L6190" s="7" t="str">
        <f t="shared" si="486"/>
        <v/>
      </c>
      <c r="M6190" s="7" t="str">
        <f t="shared" si="483"/>
        <v/>
      </c>
      <c r="N6190" s="7" t="str">
        <f t="shared" si="487"/>
        <v/>
      </c>
      <c r="O6190" s="8"/>
      <c r="P6190" s="26"/>
      <c r="S6190" s="10" t="str">
        <f t="shared" si="484"/>
        <v/>
      </c>
    </row>
    <row r="6191" spans="5:19" x14ac:dyDescent="0.3">
      <c r="E6191" s="9" t="str">
        <f>IF(DADOS!C6191="","",DADOS!C6191)</f>
        <v/>
      </c>
      <c r="F6191" s="9" t="str">
        <f>IF(DADOS!E6191="","",DADOS!E6191)</f>
        <v/>
      </c>
      <c r="G6191" s="9" t="str">
        <f>IF(DADOS!F6191="","",DADOS!F6191)</f>
        <v/>
      </c>
      <c r="K6191" s="6" t="str">
        <f t="shared" si="485"/>
        <v/>
      </c>
      <c r="L6191" s="7" t="str">
        <f t="shared" si="486"/>
        <v/>
      </c>
      <c r="M6191" s="7" t="str">
        <f t="shared" si="483"/>
        <v/>
      </c>
      <c r="N6191" s="7" t="str">
        <f t="shared" si="487"/>
        <v/>
      </c>
      <c r="O6191" s="8"/>
      <c r="P6191" s="26"/>
      <c r="S6191" s="10" t="str">
        <f t="shared" si="484"/>
        <v/>
      </c>
    </row>
    <row r="6192" spans="5:19" x14ac:dyDescent="0.3">
      <c r="E6192" s="9" t="str">
        <f>IF(DADOS!C6192="","",DADOS!C6192)</f>
        <v/>
      </c>
      <c r="F6192" s="9" t="str">
        <f>IF(DADOS!E6192="","",DADOS!E6192)</f>
        <v/>
      </c>
      <c r="G6192" s="9" t="str">
        <f>IF(DADOS!F6192="","",DADOS!F6192)</f>
        <v/>
      </c>
      <c r="K6192" s="6" t="str">
        <f t="shared" si="485"/>
        <v/>
      </c>
      <c r="L6192" s="7" t="str">
        <f t="shared" si="486"/>
        <v/>
      </c>
      <c r="M6192" s="7" t="str">
        <f t="shared" si="483"/>
        <v/>
      </c>
      <c r="N6192" s="7" t="str">
        <f t="shared" si="487"/>
        <v/>
      </c>
      <c r="O6192" s="8"/>
      <c r="P6192" s="26"/>
      <c r="S6192" s="10" t="str">
        <f t="shared" si="484"/>
        <v/>
      </c>
    </row>
    <row r="6193" spans="5:19" x14ac:dyDescent="0.3">
      <c r="E6193" s="9" t="str">
        <f>IF(DADOS!C6193="","",DADOS!C6193)</f>
        <v/>
      </c>
      <c r="F6193" s="9" t="str">
        <f>IF(DADOS!E6193="","",DADOS!E6193)</f>
        <v/>
      </c>
      <c r="G6193" s="9" t="str">
        <f>IF(DADOS!F6193="","",DADOS!F6193)</f>
        <v/>
      </c>
      <c r="K6193" s="6" t="str">
        <f t="shared" si="485"/>
        <v/>
      </c>
      <c r="L6193" s="7" t="str">
        <f t="shared" si="486"/>
        <v/>
      </c>
      <c r="M6193" s="7" t="str">
        <f t="shared" si="483"/>
        <v/>
      </c>
      <c r="N6193" s="7" t="str">
        <f t="shared" si="487"/>
        <v/>
      </c>
      <c r="O6193" s="8"/>
      <c r="P6193" s="26"/>
      <c r="S6193" s="10" t="str">
        <f t="shared" si="484"/>
        <v/>
      </c>
    </row>
    <row r="6194" spans="5:19" x14ac:dyDescent="0.3">
      <c r="E6194" s="9" t="str">
        <f>IF(DADOS!C6194="","",DADOS!C6194)</f>
        <v/>
      </c>
      <c r="F6194" s="9" t="str">
        <f>IF(DADOS!E6194="","",DADOS!E6194)</f>
        <v/>
      </c>
      <c r="G6194" s="9" t="str">
        <f>IF(DADOS!F6194="","",DADOS!F6194)</f>
        <v/>
      </c>
      <c r="K6194" s="6" t="str">
        <f t="shared" si="485"/>
        <v/>
      </c>
      <c r="L6194" s="7" t="str">
        <f t="shared" si="486"/>
        <v/>
      </c>
      <c r="M6194" s="7" t="str">
        <f t="shared" si="483"/>
        <v/>
      </c>
      <c r="N6194" s="7" t="str">
        <f t="shared" si="487"/>
        <v/>
      </c>
      <c r="O6194" s="8"/>
      <c r="P6194" s="26"/>
      <c r="S6194" s="10" t="str">
        <f t="shared" si="484"/>
        <v/>
      </c>
    </row>
    <row r="6195" spans="5:19" x14ac:dyDescent="0.3">
      <c r="E6195" s="9" t="str">
        <f>IF(DADOS!C6195="","",DADOS!C6195)</f>
        <v/>
      </c>
      <c r="F6195" s="9" t="str">
        <f>IF(DADOS!E6195="","",DADOS!E6195)</f>
        <v/>
      </c>
      <c r="G6195" s="9" t="str">
        <f>IF(DADOS!F6195="","",DADOS!F6195)</f>
        <v/>
      </c>
      <c r="K6195" s="6" t="str">
        <f t="shared" si="485"/>
        <v/>
      </c>
      <c r="L6195" s="7" t="str">
        <f t="shared" si="486"/>
        <v/>
      </c>
      <c r="M6195" s="7" t="str">
        <f t="shared" si="483"/>
        <v/>
      </c>
      <c r="N6195" s="7" t="str">
        <f t="shared" si="487"/>
        <v/>
      </c>
      <c r="O6195" s="8"/>
      <c r="P6195" s="26"/>
      <c r="S6195" s="10" t="str">
        <f t="shared" si="484"/>
        <v/>
      </c>
    </row>
    <row r="6196" spans="5:19" x14ac:dyDescent="0.3">
      <c r="E6196" s="9" t="str">
        <f>IF(DADOS!C6196="","",DADOS!C6196)</f>
        <v/>
      </c>
      <c r="F6196" s="9" t="str">
        <f>IF(DADOS!E6196="","",DADOS!E6196)</f>
        <v/>
      </c>
      <c r="G6196" s="9" t="str">
        <f>IF(DADOS!F6196="","",DADOS!F6196)</f>
        <v/>
      </c>
      <c r="K6196" s="6" t="str">
        <f t="shared" si="485"/>
        <v/>
      </c>
      <c r="L6196" s="7" t="str">
        <f t="shared" si="486"/>
        <v/>
      </c>
      <c r="M6196" s="7" t="str">
        <f t="shared" si="483"/>
        <v/>
      </c>
      <c r="N6196" s="7" t="str">
        <f t="shared" si="487"/>
        <v/>
      </c>
      <c r="O6196" s="8"/>
      <c r="P6196" s="26"/>
      <c r="S6196" s="10" t="str">
        <f t="shared" si="484"/>
        <v/>
      </c>
    </row>
    <row r="6197" spans="5:19" x14ac:dyDescent="0.3">
      <c r="E6197" s="9" t="str">
        <f>IF(DADOS!C6197="","",DADOS!C6197)</f>
        <v/>
      </c>
      <c r="F6197" s="9" t="str">
        <f>IF(DADOS!E6197="","",DADOS!E6197)</f>
        <v/>
      </c>
      <c r="G6197" s="9" t="str">
        <f>IF(DADOS!F6197="","",DADOS!F6197)</f>
        <v/>
      </c>
      <c r="K6197" s="6" t="str">
        <f t="shared" si="485"/>
        <v/>
      </c>
      <c r="L6197" s="7" t="str">
        <f t="shared" si="486"/>
        <v/>
      </c>
      <c r="M6197" s="7" t="str">
        <f t="shared" si="483"/>
        <v/>
      </c>
      <c r="N6197" s="7" t="str">
        <f t="shared" si="487"/>
        <v/>
      </c>
      <c r="O6197" s="8"/>
      <c r="P6197" s="26"/>
      <c r="S6197" s="10" t="str">
        <f t="shared" si="484"/>
        <v/>
      </c>
    </row>
    <row r="6198" spans="5:19" x14ac:dyDescent="0.3">
      <c r="E6198" s="9" t="str">
        <f>IF(DADOS!C6198="","",DADOS!C6198)</f>
        <v/>
      </c>
      <c r="F6198" s="9" t="str">
        <f>IF(DADOS!E6198="","",DADOS!E6198)</f>
        <v/>
      </c>
      <c r="G6198" s="9" t="str">
        <f>IF(DADOS!F6198="","",DADOS!F6198)</f>
        <v/>
      </c>
      <c r="K6198" s="6" t="str">
        <f t="shared" si="485"/>
        <v/>
      </c>
      <c r="L6198" s="7" t="str">
        <f t="shared" si="486"/>
        <v/>
      </c>
      <c r="M6198" s="7" t="str">
        <f t="shared" si="483"/>
        <v/>
      </c>
      <c r="N6198" s="7" t="str">
        <f t="shared" si="487"/>
        <v/>
      </c>
      <c r="O6198" s="8"/>
      <c r="P6198" s="26"/>
      <c r="S6198" s="10" t="str">
        <f t="shared" si="484"/>
        <v/>
      </c>
    </row>
    <row r="6199" spans="5:19" x14ac:dyDescent="0.3">
      <c r="E6199" s="9" t="str">
        <f>IF(DADOS!C6199="","",DADOS!C6199)</f>
        <v/>
      </c>
      <c r="F6199" s="9" t="str">
        <f>IF(DADOS!E6199="","",DADOS!E6199)</f>
        <v/>
      </c>
      <c r="G6199" s="9" t="str">
        <f>IF(DADOS!F6199="","",DADOS!F6199)</f>
        <v/>
      </c>
      <c r="K6199" s="6" t="str">
        <f t="shared" si="485"/>
        <v/>
      </c>
      <c r="L6199" s="7" t="str">
        <f t="shared" si="486"/>
        <v/>
      </c>
      <c r="M6199" s="7" t="str">
        <f t="shared" si="483"/>
        <v/>
      </c>
      <c r="N6199" s="7" t="str">
        <f t="shared" si="487"/>
        <v/>
      </c>
      <c r="O6199" s="8"/>
      <c r="P6199" s="26"/>
      <c r="S6199" s="10" t="str">
        <f t="shared" si="484"/>
        <v/>
      </c>
    </row>
    <row r="6200" spans="5:19" x14ac:dyDescent="0.3">
      <c r="E6200" s="9" t="str">
        <f>IF(DADOS!C6200="","",DADOS!C6200)</f>
        <v/>
      </c>
      <c r="F6200" s="9" t="str">
        <f>IF(DADOS!E6200="","",DADOS!E6200)</f>
        <v/>
      </c>
      <c r="G6200" s="9" t="str">
        <f>IF(DADOS!F6200="","",DADOS!F6200)</f>
        <v/>
      </c>
      <c r="K6200" s="6" t="str">
        <f t="shared" si="485"/>
        <v/>
      </c>
      <c r="L6200" s="7" t="str">
        <f t="shared" si="486"/>
        <v/>
      </c>
      <c r="M6200" s="7" t="str">
        <f t="shared" si="483"/>
        <v/>
      </c>
      <c r="N6200" s="7" t="str">
        <f t="shared" si="487"/>
        <v/>
      </c>
      <c r="O6200" s="8"/>
      <c r="P6200" s="26"/>
      <c r="S6200" s="10" t="str">
        <f t="shared" si="484"/>
        <v/>
      </c>
    </row>
    <row r="6201" spans="5:19" x14ac:dyDescent="0.3">
      <c r="E6201" s="9" t="str">
        <f>IF(DADOS!C6201="","",DADOS!C6201)</f>
        <v/>
      </c>
      <c r="F6201" s="9" t="str">
        <f>IF(DADOS!E6201="","",DADOS!E6201)</f>
        <v/>
      </c>
      <c r="G6201" s="9" t="str">
        <f>IF(DADOS!F6201="","",DADOS!F6201)</f>
        <v/>
      </c>
      <c r="K6201" s="6" t="str">
        <f t="shared" si="485"/>
        <v/>
      </c>
      <c r="L6201" s="7" t="str">
        <f t="shared" si="486"/>
        <v/>
      </c>
      <c r="M6201" s="7" t="str">
        <f t="shared" si="483"/>
        <v/>
      </c>
      <c r="N6201" s="7" t="str">
        <f t="shared" si="487"/>
        <v/>
      </c>
      <c r="O6201" s="8"/>
      <c r="P6201" s="26"/>
      <c r="S6201" s="10" t="str">
        <f t="shared" si="484"/>
        <v/>
      </c>
    </row>
    <row r="6202" spans="5:19" x14ac:dyDescent="0.3">
      <c r="E6202" s="9" t="str">
        <f>IF(DADOS!C6202="","",DADOS!C6202)</f>
        <v/>
      </c>
      <c r="F6202" s="9" t="str">
        <f>IF(DADOS!E6202="","",DADOS!E6202)</f>
        <v/>
      </c>
      <c r="G6202" s="9" t="str">
        <f>IF(DADOS!F6202="","",DADOS!F6202)</f>
        <v/>
      </c>
      <c r="K6202" s="6" t="str">
        <f t="shared" si="485"/>
        <v/>
      </c>
      <c r="L6202" s="7" t="str">
        <f t="shared" si="486"/>
        <v/>
      </c>
      <c r="M6202" s="7" t="str">
        <f t="shared" si="483"/>
        <v/>
      </c>
      <c r="N6202" s="7" t="str">
        <f t="shared" si="487"/>
        <v/>
      </c>
      <c r="O6202" s="8"/>
      <c r="P6202" s="26"/>
      <c r="S6202" s="10" t="str">
        <f t="shared" si="484"/>
        <v/>
      </c>
    </row>
    <row r="6203" spans="5:19" x14ac:dyDescent="0.3">
      <c r="E6203" s="9" t="str">
        <f>IF(DADOS!C6203="","",DADOS!C6203)</f>
        <v/>
      </c>
      <c r="F6203" s="9" t="str">
        <f>IF(DADOS!E6203="","",DADOS!E6203)</f>
        <v/>
      </c>
      <c r="G6203" s="9" t="str">
        <f>IF(DADOS!F6203="","",DADOS!F6203)</f>
        <v/>
      </c>
      <c r="K6203" s="6" t="str">
        <f t="shared" si="485"/>
        <v/>
      </c>
      <c r="L6203" s="7" t="str">
        <f t="shared" si="486"/>
        <v/>
      </c>
      <c r="M6203" s="7" t="str">
        <f t="shared" si="483"/>
        <v/>
      </c>
      <c r="N6203" s="7" t="str">
        <f t="shared" si="487"/>
        <v/>
      </c>
      <c r="O6203" s="8"/>
      <c r="P6203" s="26"/>
      <c r="S6203" s="10" t="str">
        <f t="shared" si="484"/>
        <v/>
      </c>
    </row>
    <row r="6204" spans="5:19" x14ac:dyDescent="0.3">
      <c r="E6204" s="9" t="str">
        <f>IF(DADOS!C6204="","",DADOS!C6204)</f>
        <v/>
      </c>
      <c r="F6204" s="9" t="str">
        <f>IF(DADOS!E6204="","",DADOS!E6204)</f>
        <v/>
      </c>
      <c r="G6204" s="9" t="str">
        <f>IF(DADOS!F6204="","",DADOS!F6204)</f>
        <v/>
      </c>
      <c r="K6204" s="6" t="str">
        <f t="shared" si="485"/>
        <v/>
      </c>
      <c r="L6204" s="7" t="str">
        <f t="shared" si="486"/>
        <v/>
      </c>
      <c r="M6204" s="7" t="str">
        <f t="shared" si="483"/>
        <v/>
      </c>
      <c r="N6204" s="7" t="str">
        <f t="shared" si="487"/>
        <v/>
      </c>
      <c r="O6204" s="8"/>
      <c r="P6204" s="26"/>
      <c r="S6204" s="10" t="str">
        <f t="shared" si="484"/>
        <v/>
      </c>
    </row>
    <row r="6205" spans="5:19" x14ac:dyDescent="0.3">
      <c r="E6205" s="9" t="str">
        <f>IF(DADOS!C6205="","",DADOS!C6205)</f>
        <v/>
      </c>
      <c r="F6205" s="9" t="str">
        <f>IF(DADOS!E6205="","",DADOS!E6205)</f>
        <v/>
      </c>
      <c r="G6205" s="9" t="str">
        <f>IF(DADOS!F6205="","",DADOS!F6205)</f>
        <v/>
      </c>
      <c r="K6205" s="6" t="str">
        <f t="shared" si="485"/>
        <v/>
      </c>
      <c r="L6205" s="7" t="str">
        <f t="shared" si="486"/>
        <v/>
      </c>
      <c r="M6205" s="7" t="str">
        <f t="shared" si="483"/>
        <v/>
      </c>
      <c r="N6205" s="7" t="str">
        <f t="shared" si="487"/>
        <v/>
      </c>
      <c r="O6205" s="8"/>
      <c r="P6205" s="26"/>
      <c r="S6205" s="10" t="str">
        <f t="shared" si="484"/>
        <v/>
      </c>
    </row>
    <row r="6206" spans="5:19" x14ac:dyDescent="0.3">
      <c r="E6206" s="9" t="str">
        <f>IF(DADOS!C6206="","",DADOS!C6206)</f>
        <v/>
      </c>
      <c r="F6206" s="9" t="str">
        <f>IF(DADOS!E6206="","",DADOS!E6206)</f>
        <v/>
      </c>
      <c r="G6206" s="9" t="str">
        <f>IF(DADOS!F6206="","",DADOS!F6206)</f>
        <v/>
      </c>
      <c r="K6206" s="6" t="str">
        <f t="shared" si="485"/>
        <v/>
      </c>
      <c r="L6206" s="7" t="str">
        <f t="shared" si="486"/>
        <v/>
      </c>
      <c r="M6206" s="7" t="str">
        <f t="shared" si="483"/>
        <v/>
      </c>
      <c r="N6206" s="7" t="str">
        <f t="shared" si="487"/>
        <v/>
      </c>
      <c r="O6206" s="8"/>
      <c r="P6206" s="26"/>
      <c r="S6206" s="10" t="str">
        <f t="shared" si="484"/>
        <v/>
      </c>
    </row>
    <row r="6207" spans="5:19" x14ac:dyDescent="0.3">
      <c r="E6207" s="9" t="str">
        <f>IF(DADOS!C6207="","",DADOS!C6207)</f>
        <v/>
      </c>
      <c r="F6207" s="9" t="str">
        <f>IF(DADOS!E6207="","",DADOS!E6207)</f>
        <v/>
      </c>
      <c r="G6207" s="9" t="str">
        <f>IF(DADOS!F6207="","",DADOS!F6207)</f>
        <v/>
      </c>
      <c r="K6207" s="6" t="str">
        <f t="shared" si="485"/>
        <v/>
      </c>
      <c r="L6207" s="7" t="str">
        <f t="shared" si="486"/>
        <v/>
      </c>
      <c r="M6207" s="7" t="str">
        <f t="shared" si="483"/>
        <v/>
      </c>
      <c r="N6207" s="7" t="str">
        <f t="shared" si="487"/>
        <v/>
      </c>
      <c r="O6207" s="8"/>
      <c r="P6207" s="26"/>
      <c r="S6207" s="10" t="str">
        <f t="shared" si="484"/>
        <v/>
      </c>
    </row>
    <row r="6208" spans="5:19" x14ac:dyDescent="0.3">
      <c r="E6208" s="9" t="str">
        <f>IF(DADOS!C6208="","",DADOS!C6208)</f>
        <v/>
      </c>
      <c r="F6208" s="9" t="str">
        <f>IF(DADOS!E6208="","",DADOS!E6208)</f>
        <v/>
      </c>
      <c r="G6208" s="9" t="str">
        <f>IF(DADOS!F6208="","",DADOS!F6208)</f>
        <v/>
      </c>
      <c r="K6208" s="6" t="str">
        <f t="shared" si="485"/>
        <v/>
      </c>
      <c r="L6208" s="7" t="str">
        <f t="shared" si="486"/>
        <v/>
      </c>
      <c r="M6208" s="7" t="str">
        <f t="shared" si="483"/>
        <v/>
      </c>
      <c r="N6208" s="7" t="str">
        <f t="shared" si="487"/>
        <v/>
      </c>
      <c r="O6208" s="8"/>
      <c r="P6208" s="26"/>
      <c r="S6208" s="10" t="str">
        <f t="shared" si="484"/>
        <v/>
      </c>
    </row>
    <row r="6209" spans="5:19" x14ac:dyDescent="0.3">
      <c r="E6209" s="9" t="str">
        <f>IF(DADOS!C6209="","",DADOS!C6209)</f>
        <v/>
      </c>
      <c r="F6209" s="9" t="str">
        <f>IF(DADOS!E6209="","",DADOS!E6209)</f>
        <v/>
      </c>
      <c r="G6209" s="9" t="str">
        <f>IF(DADOS!F6209="","",DADOS!F6209)</f>
        <v/>
      </c>
      <c r="K6209" s="6" t="str">
        <f t="shared" si="485"/>
        <v/>
      </c>
      <c r="L6209" s="7" t="str">
        <f t="shared" si="486"/>
        <v/>
      </c>
      <c r="M6209" s="7" t="str">
        <f t="shared" si="483"/>
        <v/>
      </c>
      <c r="N6209" s="7" t="str">
        <f t="shared" si="487"/>
        <v/>
      </c>
      <c r="O6209" s="8"/>
      <c r="P6209" s="26"/>
      <c r="S6209" s="10" t="str">
        <f t="shared" si="484"/>
        <v/>
      </c>
    </row>
    <row r="6210" spans="5:19" x14ac:dyDescent="0.3">
      <c r="E6210" s="9" t="str">
        <f>IF(DADOS!C6210="","",DADOS!C6210)</f>
        <v/>
      </c>
      <c r="F6210" s="9" t="str">
        <f>IF(DADOS!E6210="","",DADOS!E6210)</f>
        <v/>
      </c>
      <c r="G6210" s="9" t="str">
        <f>IF(DADOS!F6210="","",DADOS!F6210)</f>
        <v/>
      </c>
      <c r="K6210" s="6" t="str">
        <f t="shared" si="485"/>
        <v/>
      </c>
      <c r="L6210" s="7" t="str">
        <f t="shared" si="486"/>
        <v/>
      </c>
      <c r="M6210" s="7" t="str">
        <f t="shared" si="483"/>
        <v/>
      </c>
      <c r="N6210" s="7" t="str">
        <f t="shared" si="487"/>
        <v/>
      </c>
      <c r="O6210" s="8"/>
      <c r="P6210" s="26"/>
      <c r="S6210" s="10" t="str">
        <f t="shared" si="484"/>
        <v/>
      </c>
    </row>
    <row r="6211" spans="5:19" x14ac:dyDescent="0.3">
      <c r="E6211" s="9" t="str">
        <f>IF(DADOS!C6211="","",DADOS!C6211)</f>
        <v/>
      </c>
      <c r="F6211" s="9" t="str">
        <f>IF(DADOS!E6211="","",DADOS!E6211)</f>
        <v/>
      </c>
      <c r="G6211" s="9" t="str">
        <f>IF(DADOS!F6211="","",DADOS!F6211)</f>
        <v/>
      </c>
      <c r="K6211" s="6" t="str">
        <f t="shared" si="485"/>
        <v/>
      </c>
      <c r="L6211" s="7" t="str">
        <f t="shared" si="486"/>
        <v/>
      </c>
      <c r="M6211" s="7" t="str">
        <f t="shared" ref="M6211:M6274" si="488">IF(L6211="","",L6211*G6211)</f>
        <v/>
      </c>
      <c r="N6211" s="7" t="str">
        <f t="shared" si="487"/>
        <v/>
      </c>
      <c r="O6211" s="8"/>
      <c r="P6211" s="26"/>
      <c r="S6211" s="10" t="str">
        <f t="shared" ref="S6211:S6274" si="489">IF(R6211="","",SUMIFS($N$3:$N$10000,$E$3:$E$10000,R6211))</f>
        <v/>
      </c>
    </row>
    <row r="6212" spans="5:19" x14ac:dyDescent="0.3">
      <c r="E6212" s="9" t="str">
        <f>IF(DADOS!C6212="","",DADOS!C6212)</f>
        <v/>
      </c>
      <c r="F6212" s="9" t="str">
        <f>IF(DADOS!E6212="","",DADOS!E6212)</f>
        <v/>
      </c>
      <c r="G6212" s="9" t="str">
        <f>IF(DADOS!F6212="","",DADOS!F6212)</f>
        <v/>
      </c>
      <c r="K6212" s="6" t="str">
        <f t="shared" ref="K6212:K6275" si="490">IF(F6212="","",F6212/PI())</f>
        <v/>
      </c>
      <c r="L6212" s="7" t="str">
        <f t="shared" ref="L6212:L6275" si="491">IF(K6212="","",(PI()*K6212^2)/40000)</f>
        <v/>
      </c>
      <c r="M6212" s="7" t="str">
        <f t="shared" si="488"/>
        <v/>
      </c>
      <c r="N6212" s="7" t="str">
        <f t="shared" ref="N6212:N6275" si="492">IF(M6212="","",M6212*N$1)</f>
        <v/>
      </c>
      <c r="O6212" s="8"/>
      <c r="P6212" s="26"/>
      <c r="S6212" s="10" t="str">
        <f t="shared" si="489"/>
        <v/>
      </c>
    </row>
    <row r="6213" spans="5:19" x14ac:dyDescent="0.3">
      <c r="E6213" s="9" t="str">
        <f>IF(DADOS!C6213="","",DADOS!C6213)</f>
        <v/>
      </c>
      <c r="F6213" s="9" t="str">
        <f>IF(DADOS!E6213="","",DADOS!E6213)</f>
        <v/>
      </c>
      <c r="G6213" s="9" t="str">
        <f>IF(DADOS!F6213="","",DADOS!F6213)</f>
        <v/>
      </c>
      <c r="K6213" s="6" t="str">
        <f t="shared" si="490"/>
        <v/>
      </c>
      <c r="L6213" s="7" t="str">
        <f t="shared" si="491"/>
        <v/>
      </c>
      <c r="M6213" s="7" t="str">
        <f t="shared" si="488"/>
        <v/>
      </c>
      <c r="N6213" s="7" t="str">
        <f t="shared" si="492"/>
        <v/>
      </c>
      <c r="O6213" s="8"/>
      <c r="P6213" s="26"/>
      <c r="S6213" s="10" t="str">
        <f t="shared" si="489"/>
        <v/>
      </c>
    </row>
    <row r="6214" spans="5:19" x14ac:dyDescent="0.3">
      <c r="E6214" s="9" t="str">
        <f>IF(DADOS!C6214="","",DADOS!C6214)</f>
        <v/>
      </c>
      <c r="F6214" s="9" t="str">
        <f>IF(DADOS!E6214="","",DADOS!E6214)</f>
        <v/>
      </c>
      <c r="G6214" s="9" t="str">
        <f>IF(DADOS!F6214="","",DADOS!F6214)</f>
        <v/>
      </c>
      <c r="K6214" s="6" t="str">
        <f t="shared" si="490"/>
        <v/>
      </c>
      <c r="L6214" s="7" t="str">
        <f t="shared" si="491"/>
        <v/>
      </c>
      <c r="M6214" s="7" t="str">
        <f t="shared" si="488"/>
        <v/>
      </c>
      <c r="N6214" s="7" t="str">
        <f t="shared" si="492"/>
        <v/>
      </c>
      <c r="O6214" s="8"/>
      <c r="P6214" s="26"/>
      <c r="S6214" s="10" t="str">
        <f t="shared" si="489"/>
        <v/>
      </c>
    </row>
    <row r="6215" spans="5:19" x14ac:dyDescent="0.3">
      <c r="E6215" s="9" t="str">
        <f>IF(DADOS!C6215="","",DADOS!C6215)</f>
        <v/>
      </c>
      <c r="F6215" s="9" t="str">
        <f>IF(DADOS!E6215="","",DADOS!E6215)</f>
        <v/>
      </c>
      <c r="G6215" s="9" t="str">
        <f>IF(DADOS!F6215="","",DADOS!F6215)</f>
        <v/>
      </c>
      <c r="K6215" s="6" t="str">
        <f t="shared" si="490"/>
        <v/>
      </c>
      <c r="L6215" s="7" t="str">
        <f t="shared" si="491"/>
        <v/>
      </c>
      <c r="M6215" s="7" t="str">
        <f t="shared" si="488"/>
        <v/>
      </c>
      <c r="N6215" s="7" t="str">
        <f t="shared" si="492"/>
        <v/>
      </c>
      <c r="O6215" s="8"/>
      <c r="P6215" s="26"/>
      <c r="S6215" s="10" t="str">
        <f t="shared" si="489"/>
        <v/>
      </c>
    </row>
    <row r="6216" spans="5:19" x14ac:dyDescent="0.3">
      <c r="E6216" s="9" t="str">
        <f>IF(DADOS!C6216="","",DADOS!C6216)</f>
        <v/>
      </c>
      <c r="F6216" s="9" t="str">
        <f>IF(DADOS!E6216="","",DADOS!E6216)</f>
        <v/>
      </c>
      <c r="G6216" s="9" t="str">
        <f>IF(DADOS!F6216="","",DADOS!F6216)</f>
        <v/>
      </c>
      <c r="K6216" s="6" t="str">
        <f t="shared" si="490"/>
        <v/>
      </c>
      <c r="L6216" s="7" t="str">
        <f t="shared" si="491"/>
        <v/>
      </c>
      <c r="M6216" s="7" t="str">
        <f t="shared" si="488"/>
        <v/>
      </c>
      <c r="N6216" s="7" t="str">
        <f t="shared" si="492"/>
        <v/>
      </c>
      <c r="O6216" s="8"/>
      <c r="P6216" s="26"/>
      <c r="S6216" s="10" t="str">
        <f t="shared" si="489"/>
        <v/>
      </c>
    </row>
    <row r="6217" spans="5:19" x14ac:dyDescent="0.3">
      <c r="E6217" s="9" t="str">
        <f>IF(DADOS!C6217="","",DADOS!C6217)</f>
        <v/>
      </c>
      <c r="F6217" s="9" t="str">
        <f>IF(DADOS!E6217="","",DADOS!E6217)</f>
        <v/>
      </c>
      <c r="G6217" s="9" t="str">
        <f>IF(DADOS!F6217="","",DADOS!F6217)</f>
        <v/>
      </c>
      <c r="K6217" s="6" t="str">
        <f t="shared" si="490"/>
        <v/>
      </c>
      <c r="L6217" s="7" t="str">
        <f t="shared" si="491"/>
        <v/>
      </c>
      <c r="M6217" s="7" t="str">
        <f t="shared" si="488"/>
        <v/>
      </c>
      <c r="N6217" s="7" t="str">
        <f t="shared" si="492"/>
        <v/>
      </c>
      <c r="O6217" s="8"/>
      <c r="P6217" s="26"/>
      <c r="S6217" s="10" t="str">
        <f t="shared" si="489"/>
        <v/>
      </c>
    </row>
    <row r="6218" spans="5:19" x14ac:dyDescent="0.3">
      <c r="E6218" s="9" t="str">
        <f>IF(DADOS!C6218="","",DADOS!C6218)</f>
        <v/>
      </c>
      <c r="F6218" s="9" t="str">
        <f>IF(DADOS!E6218="","",DADOS!E6218)</f>
        <v/>
      </c>
      <c r="G6218" s="9" t="str">
        <f>IF(DADOS!F6218="","",DADOS!F6218)</f>
        <v/>
      </c>
      <c r="K6218" s="6" t="str">
        <f t="shared" si="490"/>
        <v/>
      </c>
      <c r="L6218" s="7" t="str">
        <f t="shared" si="491"/>
        <v/>
      </c>
      <c r="M6218" s="7" t="str">
        <f t="shared" si="488"/>
        <v/>
      </c>
      <c r="N6218" s="7" t="str">
        <f t="shared" si="492"/>
        <v/>
      </c>
      <c r="O6218" s="8"/>
      <c r="P6218" s="26"/>
      <c r="S6218" s="10" t="str">
        <f t="shared" si="489"/>
        <v/>
      </c>
    </row>
    <row r="6219" spans="5:19" x14ac:dyDescent="0.3">
      <c r="E6219" s="9" t="str">
        <f>IF(DADOS!C6219="","",DADOS!C6219)</f>
        <v/>
      </c>
      <c r="F6219" s="9" t="str">
        <f>IF(DADOS!E6219="","",DADOS!E6219)</f>
        <v/>
      </c>
      <c r="G6219" s="9" t="str">
        <f>IF(DADOS!F6219="","",DADOS!F6219)</f>
        <v/>
      </c>
      <c r="K6219" s="6" t="str">
        <f t="shared" si="490"/>
        <v/>
      </c>
      <c r="L6219" s="7" t="str">
        <f t="shared" si="491"/>
        <v/>
      </c>
      <c r="M6219" s="7" t="str">
        <f t="shared" si="488"/>
        <v/>
      </c>
      <c r="N6219" s="7" t="str">
        <f t="shared" si="492"/>
        <v/>
      </c>
      <c r="O6219" s="8"/>
      <c r="P6219" s="26"/>
      <c r="S6219" s="10" t="str">
        <f t="shared" si="489"/>
        <v/>
      </c>
    </row>
    <row r="6220" spans="5:19" x14ac:dyDescent="0.3">
      <c r="E6220" s="9" t="str">
        <f>IF(DADOS!C6220="","",DADOS!C6220)</f>
        <v/>
      </c>
      <c r="F6220" s="9" t="str">
        <f>IF(DADOS!E6220="","",DADOS!E6220)</f>
        <v/>
      </c>
      <c r="G6220" s="9" t="str">
        <f>IF(DADOS!F6220="","",DADOS!F6220)</f>
        <v/>
      </c>
      <c r="K6220" s="6" t="str">
        <f t="shared" si="490"/>
        <v/>
      </c>
      <c r="L6220" s="7" t="str">
        <f t="shared" si="491"/>
        <v/>
      </c>
      <c r="M6220" s="7" t="str">
        <f t="shared" si="488"/>
        <v/>
      </c>
      <c r="N6220" s="7" t="str">
        <f t="shared" si="492"/>
        <v/>
      </c>
      <c r="O6220" s="8"/>
      <c r="P6220" s="26"/>
      <c r="S6220" s="10" t="str">
        <f t="shared" si="489"/>
        <v/>
      </c>
    </row>
    <row r="6221" spans="5:19" x14ac:dyDescent="0.3">
      <c r="E6221" s="9" t="str">
        <f>IF(DADOS!C6221="","",DADOS!C6221)</f>
        <v/>
      </c>
      <c r="F6221" s="9" t="str">
        <f>IF(DADOS!E6221="","",DADOS!E6221)</f>
        <v/>
      </c>
      <c r="G6221" s="9" t="str">
        <f>IF(DADOS!F6221="","",DADOS!F6221)</f>
        <v/>
      </c>
      <c r="K6221" s="6" t="str">
        <f t="shared" si="490"/>
        <v/>
      </c>
      <c r="L6221" s="7" t="str">
        <f t="shared" si="491"/>
        <v/>
      </c>
      <c r="M6221" s="7" t="str">
        <f t="shared" si="488"/>
        <v/>
      </c>
      <c r="N6221" s="7" t="str">
        <f t="shared" si="492"/>
        <v/>
      </c>
      <c r="O6221" s="8"/>
      <c r="P6221" s="26"/>
      <c r="S6221" s="10" t="str">
        <f t="shared" si="489"/>
        <v/>
      </c>
    </row>
    <row r="6222" spans="5:19" x14ac:dyDescent="0.3">
      <c r="E6222" s="9" t="str">
        <f>IF(DADOS!C6222="","",DADOS!C6222)</f>
        <v/>
      </c>
      <c r="F6222" s="9" t="str">
        <f>IF(DADOS!E6222="","",DADOS!E6222)</f>
        <v/>
      </c>
      <c r="G6222" s="9" t="str">
        <f>IF(DADOS!F6222="","",DADOS!F6222)</f>
        <v/>
      </c>
      <c r="K6222" s="6" t="str">
        <f t="shared" si="490"/>
        <v/>
      </c>
      <c r="L6222" s="7" t="str">
        <f t="shared" si="491"/>
        <v/>
      </c>
      <c r="M6222" s="7" t="str">
        <f t="shared" si="488"/>
        <v/>
      </c>
      <c r="N6222" s="7" t="str">
        <f t="shared" si="492"/>
        <v/>
      </c>
      <c r="O6222" s="8"/>
      <c r="P6222" s="26"/>
      <c r="S6222" s="10" t="str">
        <f t="shared" si="489"/>
        <v/>
      </c>
    </row>
    <row r="6223" spans="5:19" x14ac:dyDescent="0.3">
      <c r="E6223" s="9" t="str">
        <f>IF(DADOS!C6223="","",DADOS!C6223)</f>
        <v/>
      </c>
      <c r="F6223" s="9" t="str">
        <f>IF(DADOS!E6223="","",DADOS!E6223)</f>
        <v/>
      </c>
      <c r="G6223" s="9" t="str">
        <f>IF(DADOS!F6223="","",DADOS!F6223)</f>
        <v/>
      </c>
      <c r="K6223" s="6" t="str">
        <f t="shared" si="490"/>
        <v/>
      </c>
      <c r="L6223" s="7" t="str">
        <f t="shared" si="491"/>
        <v/>
      </c>
      <c r="M6223" s="7" t="str">
        <f t="shared" si="488"/>
        <v/>
      </c>
      <c r="N6223" s="7" t="str">
        <f t="shared" si="492"/>
        <v/>
      </c>
      <c r="O6223" s="8"/>
      <c r="P6223" s="26"/>
      <c r="S6223" s="10" t="str">
        <f t="shared" si="489"/>
        <v/>
      </c>
    </row>
    <row r="6224" spans="5:19" x14ac:dyDescent="0.3">
      <c r="E6224" s="9" t="str">
        <f>IF(DADOS!C6224="","",DADOS!C6224)</f>
        <v/>
      </c>
      <c r="F6224" s="9" t="str">
        <f>IF(DADOS!E6224="","",DADOS!E6224)</f>
        <v/>
      </c>
      <c r="G6224" s="9" t="str">
        <f>IF(DADOS!F6224="","",DADOS!F6224)</f>
        <v/>
      </c>
      <c r="K6224" s="6" t="str">
        <f t="shared" si="490"/>
        <v/>
      </c>
      <c r="L6224" s="7" t="str">
        <f t="shared" si="491"/>
        <v/>
      </c>
      <c r="M6224" s="7" t="str">
        <f t="shared" si="488"/>
        <v/>
      </c>
      <c r="N6224" s="7" t="str">
        <f t="shared" si="492"/>
        <v/>
      </c>
      <c r="O6224" s="8"/>
      <c r="P6224" s="26"/>
      <c r="S6224" s="10" t="str">
        <f t="shared" si="489"/>
        <v/>
      </c>
    </row>
    <row r="6225" spans="5:19" x14ac:dyDescent="0.3">
      <c r="E6225" s="9" t="str">
        <f>IF(DADOS!C6225="","",DADOS!C6225)</f>
        <v/>
      </c>
      <c r="F6225" s="9" t="str">
        <f>IF(DADOS!E6225="","",DADOS!E6225)</f>
        <v/>
      </c>
      <c r="G6225" s="9" t="str">
        <f>IF(DADOS!F6225="","",DADOS!F6225)</f>
        <v/>
      </c>
      <c r="K6225" s="6" t="str">
        <f t="shared" si="490"/>
        <v/>
      </c>
      <c r="L6225" s="7" t="str">
        <f t="shared" si="491"/>
        <v/>
      </c>
      <c r="M6225" s="7" t="str">
        <f t="shared" si="488"/>
        <v/>
      </c>
      <c r="N6225" s="7" t="str">
        <f t="shared" si="492"/>
        <v/>
      </c>
      <c r="O6225" s="8"/>
      <c r="P6225" s="26"/>
      <c r="S6225" s="10" t="str">
        <f t="shared" si="489"/>
        <v/>
      </c>
    </row>
    <row r="6226" spans="5:19" x14ac:dyDescent="0.3">
      <c r="E6226" s="9" t="str">
        <f>IF(DADOS!C6226="","",DADOS!C6226)</f>
        <v/>
      </c>
      <c r="F6226" s="9" t="str">
        <f>IF(DADOS!E6226="","",DADOS!E6226)</f>
        <v/>
      </c>
      <c r="G6226" s="9" t="str">
        <f>IF(DADOS!F6226="","",DADOS!F6226)</f>
        <v/>
      </c>
      <c r="K6226" s="6" t="str">
        <f t="shared" si="490"/>
        <v/>
      </c>
      <c r="L6226" s="7" t="str">
        <f t="shared" si="491"/>
        <v/>
      </c>
      <c r="M6226" s="7" t="str">
        <f t="shared" si="488"/>
        <v/>
      </c>
      <c r="N6226" s="7" t="str">
        <f t="shared" si="492"/>
        <v/>
      </c>
      <c r="O6226" s="8"/>
      <c r="P6226" s="26"/>
      <c r="S6226" s="10" t="str">
        <f t="shared" si="489"/>
        <v/>
      </c>
    </row>
    <row r="6227" spans="5:19" x14ac:dyDescent="0.3">
      <c r="E6227" s="9" t="str">
        <f>IF(DADOS!C6227="","",DADOS!C6227)</f>
        <v/>
      </c>
      <c r="F6227" s="9" t="str">
        <f>IF(DADOS!E6227="","",DADOS!E6227)</f>
        <v/>
      </c>
      <c r="G6227" s="9" t="str">
        <f>IF(DADOS!F6227="","",DADOS!F6227)</f>
        <v/>
      </c>
      <c r="K6227" s="6" t="str">
        <f t="shared" si="490"/>
        <v/>
      </c>
      <c r="L6227" s="7" t="str">
        <f t="shared" si="491"/>
        <v/>
      </c>
      <c r="M6227" s="7" t="str">
        <f t="shared" si="488"/>
        <v/>
      </c>
      <c r="N6227" s="7" t="str">
        <f t="shared" si="492"/>
        <v/>
      </c>
      <c r="O6227" s="8"/>
      <c r="P6227" s="26"/>
      <c r="S6227" s="10" t="str">
        <f t="shared" si="489"/>
        <v/>
      </c>
    </row>
    <row r="6228" spans="5:19" x14ac:dyDescent="0.3">
      <c r="E6228" s="9" t="str">
        <f>IF(DADOS!C6228="","",DADOS!C6228)</f>
        <v/>
      </c>
      <c r="F6228" s="9" t="str">
        <f>IF(DADOS!E6228="","",DADOS!E6228)</f>
        <v/>
      </c>
      <c r="G6228" s="9" t="str">
        <f>IF(DADOS!F6228="","",DADOS!F6228)</f>
        <v/>
      </c>
      <c r="K6228" s="6" t="str">
        <f t="shared" si="490"/>
        <v/>
      </c>
      <c r="L6228" s="7" t="str">
        <f t="shared" si="491"/>
        <v/>
      </c>
      <c r="M6228" s="7" t="str">
        <f t="shared" si="488"/>
        <v/>
      </c>
      <c r="N6228" s="7" t="str">
        <f t="shared" si="492"/>
        <v/>
      </c>
      <c r="O6228" s="8"/>
      <c r="P6228" s="26"/>
      <c r="S6228" s="10" t="str">
        <f t="shared" si="489"/>
        <v/>
      </c>
    </row>
    <row r="6229" spans="5:19" x14ac:dyDescent="0.3">
      <c r="E6229" s="9" t="str">
        <f>IF(DADOS!C6229="","",DADOS!C6229)</f>
        <v/>
      </c>
      <c r="F6229" s="9" t="str">
        <f>IF(DADOS!E6229="","",DADOS!E6229)</f>
        <v/>
      </c>
      <c r="G6229" s="9" t="str">
        <f>IF(DADOS!F6229="","",DADOS!F6229)</f>
        <v/>
      </c>
      <c r="K6229" s="6" t="str">
        <f t="shared" si="490"/>
        <v/>
      </c>
      <c r="L6229" s="7" t="str">
        <f t="shared" si="491"/>
        <v/>
      </c>
      <c r="M6229" s="7" t="str">
        <f t="shared" si="488"/>
        <v/>
      </c>
      <c r="N6229" s="7" t="str">
        <f t="shared" si="492"/>
        <v/>
      </c>
      <c r="O6229" s="8"/>
      <c r="P6229" s="26"/>
      <c r="S6229" s="10" t="str">
        <f t="shared" si="489"/>
        <v/>
      </c>
    </row>
    <row r="6230" spans="5:19" x14ac:dyDescent="0.3">
      <c r="E6230" s="9" t="str">
        <f>IF(DADOS!C6230="","",DADOS!C6230)</f>
        <v/>
      </c>
      <c r="F6230" s="9" t="str">
        <f>IF(DADOS!E6230="","",DADOS!E6230)</f>
        <v/>
      </c>
      <c r="G6230" s="9" t="str">
        <f>IF(DADOS!F6230="","",DADOS!F6230)</f>
        <v/>
      </c>
      <c r="K6230" s="6" t="str">
        <f t="shared" si="490"/>
        <v/>
      </c>
      <c r="L6230" s="7" t="str">
        <f t="shared" si="491"/>
        <v/>
      </c>
      <c r="M6230" s="7" t="str">
        <f t="shared" si="488"/>
        <v/>
      </c>
      <c r="N6230" s="7" t="str">
        <f t="shared" si="492"/>
        <v/>
      </c>
      <c r="O6230" s="8"/>
      <c r="P6230" s="26"/>
      <c r="S6230" s="10" t="str">
        <f t="shared" si="489"/>
        <v/>
      </c>
    </row>
    <row r="6231" spans="5:19" x14ac:dyDescent="0.3">
      <c r="E6231" s="9" t="str">
        <f>IF(DADOS!C6231="","",DADOS!C6231)</f>
        <v/>
      </c>
      <c r="F6231" s="9" t="str">
        <f>IF(DADOS!E6231="","",DADOS!E6231)</f>
        <v/>
      </c>
      <c r="G6231" s="9" t="str">
        <f>IF(DADOS!F6231="","",DADOS!F6231)</f>
        <v/>
      </c>
      <c r="K6231" s="6" t="str">
        <f t="shared" si="490"/>
        <v/>
      </c>
      <c r="L6231" s="7" t="str">
        <f t="shared" si="491"/>
        <v/>
      </c>
      <c r="M6231" s="7" t="str">
        <f t="shared" si="488"/>
        <v/>
      </c>
      <c r="N6231" s="7" t="str">
        <f t="shared" si="492"/>
        <v/>
      </c>
      <c r="O6231" s="8"/>
      <c r="P6231" s="26"/>
      <c r="S6231" s="10" t="str">
        <f t="shared" si="489"/>
        <v/>
      </c>
    </row>
    <row r="6232" spans="5:19" x14ac:dyDescent="0.3">
      <c r="E6232" s="9" t="str">
        <f>IF(DADOS!C6232="","",DADOS!C6232)</f>
        <v/>
      </c>
      <c r="F6232" s="9" t="str">
        <f>IF(DADOS!E6232="","",DADOS!E6232)</f>
        <v/>
      </c>
      <c r="G6232" s="9" t="str">
        <f>IF(DADOS!F6232="","",DADOS!F6232)</f>
        <v/>
      </c>
      <c r="K6232" s="6" t="str">
        <f t="shared" si="490"/>
        <v/>
      </c>
      <c r="L6232" s="7" t="str">
        <f t="shared" si="491"/>
        <v/>
      </c>
      <c r="M6232" s="7" t="str">
        <f t="shared" si="488"/>
        <v/>
      </c>
      <c r="N6232" s="7" t="str">
        <f t="shared" si="492"/>
        <v/>
      </c>
      <c r="O6232" s="8"/>
      <c r="P6232" s="26"/>
      <c r="S6232" s="10" t="str">
        <f t="shared" si="489"/>
        <v/>
      </c>
    </row>
    <row r="6233" spans="5:19" x14ac:dyDescent="0.3">
      <c r="E6233" s="9" t="str">
        <f>IF(DADOS!C6233="","",DADOS!C6233)</f>
        <v/>
      </c>
      <c r="F6233" s="9" t="str">
        <f>IF(DADOS!E6233="","",DADOS!E6233)</f>
        <v/>
      </c>
      <c r="G6233" s="9" t="str">
        <f>IF(DADOS!F6233="","",DADOS!F6233)</f>
        <v/>
      </c>
      <c r="K6233" s="6" t="str">
        <f t="shared" si="490"/>
        <v/>
      </c>
      <c r="L6233" s="7" t="str">
        <f t="shared" si="491"/>
        <v/>
      </c>
      <c r="M6233" s="7" t="str">
        <f t="shared" si="488"/>
        <v/>
      </c>
      <c r="N6233" s="7" t="str">
        <f t="shared" si="492"/>
        <v/>
      </c>
      <c r="O6233" s="8"/>
      <c r="P6233" s="26"/>
      <c r="S6233" s="10" t="str">
        <f t="shared" si="489"/>
        <v/>
      </c>
    </row>
    <row r="6234" spans="5:19" x14ac:dyDescent="0.3">
      <c r="E6234" s="9" t="str">
        <f>IF(DADOS!C6234="","",DADOS!C6234)</f>
        <v/>
      </c>
      <c r="F6234" s="9" t="str">
        <f>IF(DADOS!E6234="","",DADOS!E6234)</f>
        <v/>
      </c>
      <c r="G6234" s="9" t="str">
        <f>IF(DADOS!F6234="","",DADOS!F6234)</f>
        <v/>
      </c>
      <c r="K6234" s="6" t="str">
        <f t="shared" si="490"/>
        <v/>
      </c>
      <c r="L6234" s="7" t="str">
        <f t="shared" si="491"/>
        <v/>
      </c>
      <c r="M6234" s="7" t="str">
        <f t="shared" si="488"/>
        <v/>
      </c>
      <c r="N6234" s="7" t="str">
        <f t="shared" si="492"/>
        <v/>
      </c>
      <c r="O6234" s="8"/>
      <c r="P6234" s="26"/>
      <c r="S6234" s="10" t="str">
        <f t="shared" si="489"/>
        <v/>
      </c>
    </row>
    <row r="6235" spans="5:19" x14ac:dyDescent="0.3">
      <c r="E6235" s="9" t="str">
        <f>IF(DADOS!C6235="","",DADOS!C6235)</f>
        <v/>
      </c>
      <c r="F6235" s="9" t="str">
        <f>IF(DADOS!E6235="","",DADOS!E6235)</f>
        <v/>
      </c>
      <c r="G6235" s="9" t="str">
        <f>IF(DADOS!F6235="","",DADOS!F6235)</f>
        <v/>
      </c>
      <c r="K6235" s="6" t="str">
        <f t="shared" si="490"/>
        <v/>
      </c>
      <c r="L6235" s="7" t="str">
        <f t="shared" si="491"/>
        <v/>
      </c>
      <c r="M6235" s="7" t="str">
        <f t="shared" si="488"/>
        <v/>
      </c>
      <c r="N6235" s="7" t="str">
        <f t="shared" si="492"/>
        <v/>
      </c>
      <c r="O6235" s="8"/>
      <c r="P6235" s="26"/>
      <c r="S6235" s="10" t="str">
        <f t="shared" si="489"/>
        <v/>
      </c>
    </row>
    <row r="6236" spans="5:19" x14ac:dyDescent="0.3">
      <c r="E6236" s="9" t="str">
        <f>IF(DADOS!C6236="","",DADOS!C6236)</f>
        <v/>
      </c>
      <c r="F6236" s="9" t="str">
        <f>IF(DADOS!E6236="","",DADOS!E6236)</f>
        <v/>
      </c>
      <c r="G6236" s="9" t="str">
        <f>IF(DADOS!F6236="","",DADOS!F6236)</f>
        <v/>
      </c>
      <c r="K6236" s="6" t="str">
        <f t="shared" si="490"/>
        <v/>
      </c>
      <c r="L6236" s="7" t="str">
        <f t="shared" si="491"/>
        <v/>
      </c>
      <c r="M6236" s="7" t="str">
        <f t="shared" si="488"/>
        <v/>
      </c>
      <c r="N6236" s="7" t="str">
        <f t="shared" si="492"/>
        <v/>
      </c>
      <c r="O6236" s="8"/>
      <c r="P6236" s="26"/>
      <c r="S6236" s="10" t="str">
        <f t="shared" si="489"/>
        <v/>
      </c>
    </row>
    <row r="6237" spans="5:19" x14ac:dyDescent="0.3">
      <c r="E6237" s="9" t="str">
        <f>IF(DADOS!C6237="","",DADOS!C6237)</f>
        <v/>
      </c>
      <c r="F6237" s="9" t="str">
        <f>IF(DADOS!E6237="","",DADOS!E6237)</f>
        <v/>
      </c>
      <c r="G6237" s="9" t="str">
        <f>IF(DADOS!F6237="","",DADOS!F6237)</f>
        <v/>
      </c>
      <c r="K6237" s="6" t="str">
        <f t="shared" si="490"/>
        <v/>
      </c>
      <c r="L6237" s="7" t="str">
        <f t="shared" si="491"/>
        <v/>
      </c>
      <c r="M6237" s="7" t="str">
        <f t="shared" si="488"/>
        <v/>
      </c>
      <c r="N6237" s="7" t="str">
        <f t="shared" si="492"/>
        <v/>
      </c>
      <c r="O6237" s="8"/>
      <c r="P6237" s="26"/>
      <c r="S6237" s="10" t="str">
        <f t="shared" si="489"/>
        <v/>
      </c>
    </row>
    <row r="6238" spans="5:19" x14ac:dyDescent="0.3">
      <c r="E6238" s="9" t="str">
        <f>IF(DADOS!C6238="","",DADOS!C6238)</f>
        <v/>
      </c>
      <c r="F6238" s="9" t="str">
        <f>IF(DADOS!E6238="","",DADOS!E6238)</f>
        <v/>
      </c>
      <c r="G6238" s="9" t="str">
        <f>IF(DADOS!F6238="","",DADOS!F6238)</f>
        <v/>
      </c>
      <c r="K6238" s="6" t="str">
        <f t="shared" si="490"/>
        <v/>
      </c>
      <c r="L6238" s="7" t="str">
        <f t="shared" si="491"/>
        <v/>
      </c>
      <c r="M6238" s="7" t="str">
        <f t="shared" si="488"/>
        <v/>
      </c>
      <c r="N6238" s="7" t="str">
        <f t="shared" si="492"/>
        <v/>
      </c>
      <c r="O6238" s="8"/>
      <c r="P6238" s="26"/>
      <c r="S6238" s="10" t="str">
        <f t="shared" si="489"/>
        <v/>
      </c>
    </row>
    <row r="6239" spans="5:19" x14ac:dyDescent="0.3">
      <c r="E6239" s="9" t="str">
        <f>IF(DADOS!C6239="","",DADOS!C6239)</f>
        <v/>
      </c>
      <c r="F6239" s="9" t="str">
        <f>IF(DADOS!E6239="","",DADOS!E6239)</f>
        <v/>
      </c>
      <c r="G6239" s="9" t="str">
        <f>IF(DADOS!F6239="","",DADOS!F6239)</f>
        <v/>
      </c>
      <c r="K6239" s="6" t="str">
        <f t="shared" si="490"/>
        <v/>
      </c>
      <c r="L6239" s="7" t="str">
        <f t="shared" si="491"/>
        <v/>
      </c>
      <c r="M6239" s="7" t="str">
        <f t="shared" si="488"/>
        <v/>
      </c>
      <c r="N6239" s="7" t="str">
        <f t="shared" si="492"/>
        <v/>
      </c>
      <c r="O6239" s="8"/>
      <c r="P6239" s="26"/>
      <c r="S6239" s="10" t="str">
        <f t="shared" si="489"/>
        <v/>
      </c>
    </row>
    <row r="6240" spans="5:19" x14ac:dyDescent="0.3">
      <c r="E6240" s="9" t="str">
        <f>IF(DADOS!C6240="","",DADOS!C6240)</f>
        <v/>
      </c>
      <c r="F6240" s="9" t="str">
        <f>IF(DADOS!E6240="","",DADOS!E6240)</f>
        <v/>
      </c>
      <c r="G6240" s="9" t="str">
        <f>IF(DADOS!F6240="","",DADOS!F6240)</f>
        <v/>
      </c>
      <c r="K6240" s="6" t="str">
        <f t="shared" si="490"/>
        <v/>
      </c>
      <c r="L6240" s="7" t="str">
        <f t="shared" si="491"/>
        <v/>
      </c>
      <c r="M6240" s="7" t="str">
        <f t="shared" si="488"/>
        <v/>
      </c>
      <c r="N6240" s="7" t="str">
        <f t="shared" si="492"/>
        <v/>
      </c>
      <c r="O6240" s="8"/>
      <c r="P6240" s="26"/>
      <c r="S6240" s="10" t="str">
        <f t="shared" si="489"/>
        <v/>
      </c>
    </row>
    <row r="6241" spans="5:19" x14ac:dyDescent="0.3">
      <c r="E6241" s="9" t="str">
        <f>IF(DADOS!C6241="","",DADOS!C6241)</f>
        <v/>
      </c>
      <c r="F6241" s="9" t="str">
        <f>IF(DADOS!E6241="","",DADOS!E6241)</f>
        <v/>
      </c>
      <c r="G6241" s="9" t="str">
        <f>IF(DADOS!F6241="","",DADOS!F6241)</f>
        <v/>
      </c>
      <c r="K6241" s="6" t="str">
        <f t="shared" si="490"/>
        <v/>
      </c>
      <c r="L6241" s="7" t="str">
        <f t="shared" si="491"/>
        <v/>
      </c>
      <c r="M6241" s="7" t="str">
        <f t="shared" si="488"/>
        <v/>
      </c>
      <c r="N6241" s="7" t="str">
        <f t="shared" si="492"/>
        <v/>
      </c>
      <c r="O6241" s="8"/>
      <c r="P6241" s="26"/>
      <c r="S6241" s="10" t="str">
        <f t="shared" si="489"/>
        <v/>
      </c>
    </row>
    <row r="6242" spans="5:19" x14ac:dyDescent="0.3">
      <c r="E6242" s="9" t="str">
        <f>IF(DADOS!C6242="","",DADOS!C6242)</f>
        <v/>
      </c>
      <c r="F6242" s="9" t="str">
        <f>IF(DADOS!E6242="","",DADOS!E6242)</f>
        <v/>
      </c>
      <c r="G6242" s="9" t="str">
        <f>IF(DADOS!F6242="","",DADOS!F6242)</f>
        <v/>
      </c>
      <c r="K6242" s="6" t="str">
        <f t="shared" si="490"/>
        <v/>
      </c>
      <c r="L6242" s="7" t="str">
        <f t="shared" si="491"/>
        <v/>
      </c>
      <c r="M6242" s="7" t="str">
        <f t="shared" si="488"/>
        <v/>
      </c>
      <c r="N6242" s="7" t="str">
        <f t="shared" si="492"/>
        <v/>
      </c>
      <c r="O6242" s="8"/>
      <c r="P6242" s="26"/>
      <c r="S6242" s="10" t="str">
        <f t="shared" si="489"/>
        <v/>
      </c>
    </row>
    <row r="6243" spans="5:19" x14ac:dyDescent="0.3">
      <c r="E6243" s="9" t="str">
        <f>IF(DADOS!C6243="","",DADOS!C6243)</f>
        <v/>
      </c>
      <c r="F6243" s="9" t="str">
        <f>IF(DADOS!E6243="","",DADOS!E6243)</f>
        <v/>
      </c>
      <c r="G6243" s="9" t="str">
        <f>IF(DADOS!F6243="","",DADOS!F6243)</f>
        <v/>
      </c>
      <c r="K6243" s="6" t="str">
        <f t="shared" si="490"/>
        <v/>
      </c>
      <c r="L6243" s="7" t="str">
        <f t="shared" si="491"/>
        <v/>
      </c>
      <c r="M6243" s="7" t="str">
        <f t="shared" si="488"/>
        <v/>
      </c>
      <c r="N6243" s="7" t="str">
        <f t="shared" si="492"/>
        <v/>
      </c>
      <c r="O6243" s="8"/>
      <c r="P6243" s="26"/>
      <c r="S6243" s="10" t="str">
        <f t="shared" si="489"/>
        <v/>
      </c>
    </row>
    <row r="6244" spans="5:19" x14ac:dyDescent="0.3">
      <c r="E6244" s="9" t="str">
        <f>IF(DADOS!C6244="","",DADOS!C6244)</f>
        <v/>
      </c>
      <c r="F6244" s="9" t="str">
        <f>IF(DADOS!E6244="","",DADOS!E6244)</f>
        <v/>
      </c>
      <c r="G6244" s="9" t="str">
        <f>IF(DADOS!F6244="","",DADOS!F6244)</f>
        <v/>
      </c>
      <c r="K6244" s="6" t="str">
        <f t="shared" si="490"/>
        <v/>
      </c>
      <c r="L6244" s="7" t="str">
        <f t="shared" si="491"/>
        <v/>
      </c>
      <c r="M6244" s="7" t="str">
        <f t="shared" si="488"/>
        <v/>
      </c>
      <c r="N6244" s="7" t="str">
        <f t="shared" si="492"/>
        <v/>
      </c>
      <c r="O6244" s="8"/>
      <c r="P6244" s="26"/>
      <c r="S6244" s="10" t="str">
        <f t="shared" si="489"/>
        <v/>
      </c>
    </row>
    <row r="6245" spans="5:19" x14ac:dyDescent="0.3">
      <c r="E6245" s="9" t="str">
        <f>IF(DADOS!C6245="","",DADOS!C6245)</f>
        <v/>
      </c>
      <c r="F6245" s="9" t="str">
        <f>IF(DADOS!E6245="","",DADOS!E6245)</f>
        <v/>
      </c>
      <c r="G6245" s="9" t="str">
        <f>IF(DADOS!F6245="","",DADOS!F6245)</f>
        <v/>
      </c>
      <c r="K6245" s="6" t="str">
        <f t="shared" si="490"/>
        <v/>
      </c>
      <c r="L6245" s="7" t="str">
        <f t="shared" si="491"/>
        <v/>
      </c>
      <c r="M6245" s="7" t="str">
        <f t="shared" si="488"/>
        <v/>
      </c>
      <c r="N6245" s="7" t="str">
        <f t="shared" si="492"/>
        <v/>
      </c>
      <c r="O6245" s="8"/>
      <c r="P6245" s="26"/>
      <c r="S6245" s="10" t="str">
        <f t="shared" si="489"/>
        <v/>
      </c>
    </row>
    <row r="6246" spans="5:19" x14ac:dyDescent="0.3">
      <c r="E6246" s="9" t="str">
        <f>IF(DADOS!C6246="","",DADOS!C6246)</f>
        <v/>
      </c>
      <c r="F6246" s="9" t="str">
        <f>IF(DADOS!E6246="","",DADOS!E6246)</f>
        <v/>
      </c>
      <c r="G6246" s="9" t="str">
        <f>IF(DADOS!F6246="","",DADOS!F6246)</f>
        <v/>
      </c>
      <c r="K6246" s="6" t="str">
        <f t="shared" si="490"/>
        <v/>
      </c>
      <c r="L6246" s="7" t="str">
        <f t="shared" si="491"/>
        <v/>
      </c>
      <c r="M6246" s="7" t="str">
        <f t="shared" si="488"/>
        <v/>
      </c>
      <c r="N6246" s="7" t="str">
        <f t="shared" si="492"/>
        <v/>
      </c>
      <c r="O6246" s="8"/>
      <c r="P6246" s="26"/>
      <c r="S6246" s="10" t="str">
        <f t="shared" si="489"/>
        <v/>
      </c>
    </row>
    <row r="6247" spans="5:19" x14ac:dyDescent="0.3">
      <c r="E6247" s="9" t="str">
        <f>IF(DADOS!C6247="","",DADOS!C6247)</f>
        <v/>
      </c>
      <c r="F6247" s="9" t="str">
        <f>IF(DADOS!E6247="","",DADOS!E6247)</f>
        <v/>
      </c>
      <c r="G6247" s="9" t="str">
        <f>IF(DADOS!F6247="","",DADOS!F6247)</f>
        <v/>
      </c>
      <c r="K6247" s="6" t="str">
        <f t="shared" si="490"/>
        <v/>
      </c>
      <c r="L6247" s="7" t="str">
        <f t="shared" si="491"/>
        <v/>
      </c>
      <c r="M6247" s="7" t="str">
        <f t="shared" si="488"/>
        <v/>
      </c>
      <c r="N6247" s="7" t="str">
        <f t="shared" si="492"/>
        <v/>
      </c>
      <c r="O6247" s="8"/>
      <c r="P6247" s="26"/>
      <c r="S6247" s="10" t="str">
        <f t="shared" si="489"/>
        <v/>
      </c>
    </row>
    <row r="6248" spans="5:19" x14ac:dyDescent="0.3">
      <c r="E6248" s="9" t="str">
        <f>IF(DADOS!C6248="","",DADOS!C6248)</f>
        <v/>
      </c>
      <c r="F6248" s="9" t="str">
        <f>IF(DADOS!E6248="","",DADOS!E6248)</f>
        <v/>
      </c>
      <c r="G6248" s="9" t="str">
        <f>IF(DADOS!F6248="","",DADOS!F6248)</f>
        <v/>
      </c>
      <c r="K6248" s="6" t="str">
        <f t="shared" si="490"/>
        <v/>
      </c>
      <c r="L6248" s="7" t="str">
        <f t="shared" si="491"/>
        <v/>
      </c>
      <c r="M6248" s="7" t="str">
        <f t="shared" si="488"/>
        <v/>
      </c>
      <c r="N6248" s="7" t="str">
        <f t="shared" si="492"/>
        <v/>
      </c>
      <c r="O6248" s="8"/>
      <c r="P6248" s="26"/>
      <c r="S6248" s="10" t="str">
        <f t="shared" si="489"/>
        <v/>
      </c>
    </row>
    <row r="6249" spans="5:19" x14ac:dyDescent="0.3">
      <c r="E6249" s="9" t="str">
        <f>IF(DADOS!C6249="","",DADOS!C6249)</f>
        <v/>
      </c>
      <c r="F6249" s="9" t="str">
        <f>IF(DADOS!E6249="","",DADOS!E6249)</f>
        <v/>
      </c>
      <c r="G6249" s="9" t="str">
        <f>IF(DADOS!F6249="","",DADOS!F6249)</f>
        <v/>
      </c>
      <c r="K6249" s="6" t="str">
        <f t="shared" si="490"/>
        <v/>
      </c>
      <c r="L6249" s="7" t="str">
        <f t="shared" si="491"/>
        <v/>
      </c>
      <c r="M6249" s="7" t="str">
        <f t="shared" si="488"/>
        <v/>
      </c>
      <c r="N6249" s="7" t="str">
        <f t="shared" si="492"/>
        <v/>
      </c>
      <c r="O6249" s="8"/>
      <c r="P6249" s="26"/>
      <c r="S6249" s="10" t="str">
        <f t="shared" si="489"/>
        <v/>
      </c>
    </row>
    <row r="6250" spans="5:19" x14ac:dyDescent="0.3">
      <c r="E6250" s="9" t="str">
        <f>IF(DADOS!C6250="","",DADOS!C6250)</f>
        <v/>
      </c>
      <c r="F6250" s="9" t="str">
        <f>IF(DADOS!E6250="","",DADOS!E6250)</f>
        <v/>
      </c>
      <c r="G6250" s="9" t="str">
        <f>IF(DADOS!F6250="","",DADOS!F6250)</f>
        <v/>
      </c>
      <c r="K6250" s="6" t="str">
        <f t="shared" si="490"/>
        <v/>
      </c>
      <c r="L6250" s="7" t="str">
        <f t="shared" si="491"/>
        <v/>
      </c>
      <c r="M6250" s="7" t="str">
        <f t="shared" si="488"/>
        <v/>
      </c>
      <c r="N6250" s="7" t="str">
        <f t="shared" si="492"/>
        <v/>
      </c>
      <c r="O6250" s="8"/>
      <c r="P6250" s="26"/>
      <c r="S6250" s="10" t="str">
        <f t="shared" si="489"/>
        <v/>
      </c>
    </row>
    <row r="6251" spans="5:19" x14ac:dyDescent="0.3">
      <c r="E6251" s="9" t="str">
        <f>IF(DADOS!C6251="","",DADOS!C6251)</f>
        <v/>
      </c>
      <c r="F6251" s="9" t="str">
        <f>IF(DADOS!E6251="","",DADOS!E6251)</f>
        <v/>
      </c>
      <c r="G6251" s="9" t="str">
        <f>IF(DADOS!F6251="","",DADOS!F6251)</f>
        <v/>
      </c>
      <c r="K6251" s="6" t="str">
        <f t="shared" si="490"/>
        <v/>
      </c>
      <c r="L6251" s="7" t="str">
        <f t="shared" si="491"/>
        <v/>
      </c>
      <c r="M6251" s="7" t="str">
        <f t="shared" si="488"/>
        <v/>
      </c>
      <c r="N6251" s="7" t="str">
        <f t="shared" si="492"/>
        <v/>
      </c>
      <c r="O6251" s="8"/>
      <c r="P6251" s="26"/>
      <c r="S6251" s="10" t="str">
        <f t="shared" si="489"/>
        <v/>
      </c>
    </row>
    <row r="6252" spans="5:19" x14ac:dyDescent="0.3">
      <c r="E6252" s="9" t="str">
        <f>IF(DADOS!C6252="","",DADOS!C6252)</f>
        <v/>
      </c>
      <c r="F6252" s="9" t="str">
        <f>IF(DADOS!E6252="","",DADOS!E6252)</f>
        <v/>
      </c>
      <c r="G6252" s="9" t="str">
        <f>IF(DADOS!F6252="","",DADOS!F6252)</f>
        <v/>
      </c>
      <c r="K6252" s="6" t="str">
        <f t="shared" si="490"/>
        <v/>
      </c>
      <c r="L6252" s="7" t="str">
        <f t="shared" si="491"/>
        <v/>
      </c>
      <c r="M6252" s="7" t="str">
        <f t="shared" si="488"/>
        <v/>
      </c>
      <c r="N6252" s="7" t="str">
        <f t="shared" si="492"/>
        <v/>
      </c>
      <c r="O6252" s="8"/>
      <c r="P6252" s="26"/>
      <c r="S6252" s="10" t="str">
        <f t="shared" si="489"/>
        <v/>
      </c>
    </row>
    <row r="6253" spans="5:19" x14ac:dyDescent="0.3">
      <c r="E6253" s="9" t="str">
        <f>IF(DADOS!C6253="","",DADOS!C6253)</f>
        <v/>
      </c>
      <c r="F6253" s="9" t="str">
        <f>IF(DADOS!E6253="","",DADOS!E6253)</f>
        <v/>
      </c>
      <c r="G6253" s="9" t="str">
        <f>IF(DADOS!F6253="","",DADOS!F6253)</f>
        <v/>
      </c>
      <c r="K6253" s="6" t="str">
        <f t="shared" si="490"/>
        <v/>
      </c>
      <c r="L6253" s="7" t="str">
        <f t="shared" si="491"/>
        <v/>
      </c>
      <c r="M6253" s="7" t="str">
        <f t="shared" si="488"/>
        <v/>
      </c>
      <c r="N6253" s="7" t="str">
        <f t="shared" si="492"/>
        <v/>
      </c>
      <c r="O6253" s="8"/>
      <c r="P6253" s="26"/>
      <c r="S6253" s="10" t="str">
        <f t="shared" si="489"/>
        <v/>
      </c>
    </row>
    <row r="6254" spans="5:19" x14ac:dyDescent="0.3">
      <c r="E6254" s="9" t="str">
        <f>IF(DADOS!C6254="","",DADOS!C6254)</f>
        <v/>
      </c>
      <c r="F6254" s="9" t="str">
        <f>IF(DADOS!E6254="","",DADOS!E6254)</f>
        <v/>
      </c>
      <c r="G6254" s="9" t="str">
        <f>IF(DADOS!F6254="","",DADOS!F6254)</f>
        <v/>
      </c>
      <c r="K6254" s="6" t="str">
        <f t="shared" si="490"/>
        <v/>
      </c>
      <c r="L6254" s="7" t="str">
        <f t="shared" si="491"/>
        <v/>
      </c>
      <c r="M6254" s="7" t="str">
        <f t="shared" si="488"/>
        <v/>
      </c>
      <c r="N6254" s="7" t="str">
        <f t="shared" si="492"/>
        <v/>
      </c>
      <c r="O6254" s="8"/>
      <c r="P6254" s="26"/>
      <c r="S6254" s="10" t="str">
        <f t="shared" si="489"/>
        <v/>
      </c>
    </row>
    <row r="6255" spans="5:19" x14ac:dyDescent="0.3">
      <c r="E6255" s="9" t="str">
        <f>IF(DADOS!C6255="","",DADOS!C6255)</f>
        <v/>
      </c>
      <c r="F6255" s="9" t="str">
        <f>IF(DADOS!E6255="","",DADOS!E6255)</f>
        <v/>
      </c>
      <c r="G6255" s="9" t="str">
        <f>IF(DADOS!F6255="","",DADOS!F6255)</f>
        <v/>
      </c>
      <c r="K6255" s="6" t="str">
        <f t="shared" si="490"/>
        <v/>
      </c>
      <c r="L6255" s="7" t="str">
        <f t="shared" si="491"/>
        <v/>
      </c>
      <c r="M6255" s="7" t="str">
        <f t="shared" si="488"/>
        <v/>
      </c>
      <c r="N6255" s="7" t="str">
        <f t="shared" si="492"/>
        <v/>
      </c>
      <c r="O6255" s="8"/>
      <c r="P6255" s="26"/>
      <c r="S6255" s="10" t="str">
        <f t="shared" si="489"/>
        <v/>
      </c>
    </row>
    <row r="6256" spans="5:19" x14ac:dyDescent="0.3">
      <c r="E6256" s="9" t="str">
        <f>IF(DADOS!C6256="","",DADOS!C6256)</f>
        <v/>
      </c>
      <c r="F6256" s="9" t="str">
        <f>IF(DADOS!E6256="","",DADOS!E6256)</f>
        <v/>
      </c>
      <c r="G6256" s="9" t="str">
        <f>IF(DADOS!F6256="","",DADOS!F6256)</f>
        <v/>
      </c>
      <c r="K6256" s="6" t="str">
        <f t="shared" si="490"/>
        <v/>
      </c>
      <c r="L6256" s="7" t="str">
        <f t="shared" si="491"/>
        <v/>
      </c>
      <c r="M6256" s="7" t="str">
        <f t="shared" si="488"/>
        <v/>
      </c>
      <c r="N6256" s="7" t="str">
        <f t="shared" si="492"/>
        <v/>
      </c>
      <c r="O6256" s="8"/>
      <c r="P6256" s="26"/>
      <c r="S6256" s="10" t="str">
        <f t="shared" si="489"/>
        <v/>
      </c>
    </row>
    <row r="6257" spans="5:19" x14ac:dyDescent="0.3">
      <c r="E6257" s="9" t="str">
        <f>IF(DADOS!C6257="","",DADOS!C6257)</f>
        <v/>
      </c>
      <c r="F6257" s="9" t="str">
        <f>IF(DADOS!E6257="","",DADOS!E6257)</f>
        <v/>
      </c>
      <c r="G6257" s="9" t="str">
        <f>IF(DADOS!F6257="","",DADOS!F6257)</f>
        <v/>
      </c>
      <c r="K6257" s="6" t="str">
        <f t="shared" si="490"/>
        <v/>
      </c>
      <c r="L6257" s="7" t="str">
        <f t="shared" si="491"/>
        <v/>
      </c>
      <c r="M6257" s="7" t="str">
        <f t="shared" si="488"/>
        <v/>
      </c>
      <c r="N6257" s="7" t="str">
        <f t="shared" si="492"/>
        <v/>
      </c>
      <c r="O6257" s="8"/>
      <c r="P6257" s="26"/>
      <c r="S6257" s="10" t="str">
        <f t="shared" si="489"/>
        <v/>
      </c>
    </row>
    <row r="6258" spans="5:19" x14ac:dyDescent="0.3">
      <c r="E6258" s="9" t="str">
        <f>IF(DADOS!C6258="","",DADOS!C6258)</f>
        <v/>
      </c>
      <c r="F6258" s="9" t="str">
        <f>IF(DADOS!E6258="","",DADOS!E6258)</f>
        <v/>
      </c>
      <c r="G6258" s="9" t="str">
        <f>IF(DADOS!F6258="","",DADOS!F6258)</f>
        <v/>
      </c>
      <c r="K6258" s="6" t="str">
        <f t="shared" si="490"/>
        <v/>
      </c>
      <c r="L6258" s="7" t="str">
        <f t="shared" si="491"/>
        <v/>
      </c>
      <c r="M6258" s="7" t="str">
        <f t="shared" si="488"/>
        <v/>
      </c>
      <c r="N6258" s="7" t="str">
        <f t="shared" si="492"/>
        <v/>
      </c>
      <c r="O6258" s="8"/>
      <c r="P6258" s="26"/>
      <c r="S6258" s="10" t="str">
        <f t="shared" si="489"/>
        <v/>
      </c>
    </row>
    <row r="6259" spans="5:19" x14ac:dyDescent="0.3">
      <c r="E6259" s="9" t="str">
        <f>IF(DADOS!C6259="","",DADOS!C6259)</f>
        <v/>
      </c>
      <c r="F6259" s="9" t="str">
        <f>IF(DADOS!E6259="","",DADOS!E6259)</f>
        <v/>
      </c>
      <c r="G6259" s="9" t="str">
        <f>IF(DADOS!F6259="","",DADOS!F6259)</f>
        <v/>
      </c>
      <c r="K6259" s="6" t="str">
        <f t="shared" si="490"/>
        <v/>
      </c>
      <c r="L6259" s="7" t="str">
        <f t="shared" si="491"/>
        <v/>
      </c>
      <c r="M6259" s="7" t="str">
        <f t="shared" si="488"/>
        <v/>
      </c>
      <c r="N6259" s="7" t="str">
        <f t="shared" si="492"/>
        <v/>
      </c>
      <c r="O6259" s="8"/>
      <c r="P6259" s="26"/>
      <c r="S6259" s="10" t="str">
        <f t="shared" si="489"/>
        <v/>
      </c>
    </row>
    <row r="6260" spans="5:19" x14ac:dyDescent="0.3">
      <c r="E6260" s="9" t="str">
        <f>IF(DADOS!C6260="","",DADOS!C6260)</f>
        <v/>
      </c>
      <c r="F6260" s="9" t="str">
        <f>IF(DADOS!E6260="","",DADOS!E6260)</f>
        <v/>
      </c>
      <c r="G6260" s="9" t="str">
        <f>IF(DADOS!F6260="","",DADOS!F6260)</f>
        <v/>
      </c>
      <c r="K6260" s="6" t="str">
        <f t="shared" si="490"/>
        <v/>
      </c>
      <c r="L6260" s="7" t="str">
        <f t="shared" si="491"/>
        <v/>
      </c>
      <c r="M6260" s="7" t="str">
        <f t="shared" si="488"/>
        <v/>
      </c>
      <c r="N6260" s="7" t="str">
        <f t="shared" si="492"/>
        <v/>
      </c>
      <c r="O6260" s="8"/>
      <c r="P6260" s="26"/>
      <c r="S6260" s="10" t="str">
        <f t="shared" si="489"/>
        <v/>
      </c>
    </row>
    <row r="6261" spans="5:19" x14ac:dyDescent="0.3">
      <c r="E6261" s="9" t="str">
        <f>IF(DADOS!C6261="","",DADOS!C6261)</f>
        <v/>
      </c>
      <c r="F6261" s="9" t="str">
        <f>IF(DADOS!E6261="","",DADOS!E6261)</f>
        <v/>
      </c>
      <c r="G6261" s="9" t="str">
        <f>IF(DADOS!F6261="","",DADOS!F6261)</f>
        <v/>
      </c>
      <c r="K6261" s="6" t="str">
        <f t="shared" si="490"/>
        <v/>
      </c>
      <c r="L6261" s="7" t="str">
        <f t="shared" si="491"/>
        <v/>
      </c>
      <c r="M6261" s="7" t="str">
        <f t="shared" si="488"/>
        <v/>
      </c>
      <c r="N6261" s="7" t="str">
        <f t="shared" si="492"/>
        <v/>
      </c>
      <c r="O6261" s="8"/>
      <c r="P6261" s="26"/>
      <c r="S6261" s="10" t="str">
        <f t="shared" si="489"/>
        <v/>
      </c>
    </row>
    <row r="6262" spans="5:19" x14ac:dyDescent="0.3">
      <c r="E6262" s="9" t="str">
        <f>IF(DADOS!C6262="","",DADOS!C6262)</f>
        <v/>
      </c>
      <c r="F6262" s="9" t="str">
        <f>IF(DADOS!E6262="","",DADOS!E6262)</f>
        <v/>
      </c>
      <c r="G6262" s="9" t="str">
        <f>IF(DADOS!F6262="","",DADOS!F6262)</f>
        <v/>
      </c>
      <c r="K6262" s="6" t="str">
        <f t="shared" si="490"/>
        <v/>
      </c>
      <c r="L6262" s="7" t="str">
        <f t="shared" si="491"/>
        <v/>
      </c>
      <c r="M6262" s="7" t="str">
        <f t="shared" si="488"/>
        <v/>
      </c>
      <c r="N6262" s="7" t="str">
        <f t="shared" si="492"/>
        <v/>
      </c>
      <c r="O6262" s="8"/>
      <c r="P6262" s="26"/>
      <c r="S6262" s="10" t="str">
        <f t="shared" si="489"/>
        <v/>
      </c>
    </row>
    <row r="6263" spans="5:19" x14ac:dyDescent="0.3">
      <c r="E6263" s="9" t="str">
        <f>IF(DADOS!C6263="","",DADOS!C6263)</f>
        <v/>
      </c>
      <c r="F6263" s="9" t="str">
        <f>IF(DADOS!E6263="","",DADOS!E6263)</f>
        <v/>
      </c>
      <c r="G6263" s="9" t="str">
        <f>IF(DADOS!F6263="","",DADOS!F6263)</f>
        <v/>
      </c>
      <c r="K6263" s="6" t="str">
        <f t="shared" si="490"/>
        <v/>
      </c>
      <c r="L6263" s="7" t="str">
        <f t="shared" si="491"/>
        <v/>
      </c>
      <c r="M6263" s="7" t="str">
        <f t="shared" si="488"/>
        <v/>
      </c>
      <c r="N6263" s="7" t="str">
        <f t="shared" si="492"/>
        <v/>
      </c>
      <c r="O6263" s="8"/>
      <c r="P6263" s="26"/>
      <c r="S6263" s="10" t="str">
        <f t="shared" si="489"/>
        <v/>
      </c>
    </row>
    <row r="6264" spans="5:19" x14ac:dyDescent="0.3">
      <c r="E6264" s="9" t="str">
        <f>IF(DADOS!C6264="","",DADOS!C6264)</f>
        <v/>
      </c>
      <c r="F6264" s="9" t="str">
        <f>IF(DADOS!E6264="","",DADOS!E6264)</f>
        <v/>
      </c>
      <c r="G6264" s="9" t="str">
        <f>IF(DADOS!F6264="","",DADOS!F6264)</f>
        <v/>
      </c>
      <c r="K6264" s="6" t="str">
        <f t="shared" si="490"/>
        <v/>
      </c>
      <c r="L6264" s="7" t="str">
        <f t="shared" si="491"/>
        <v/>
      </c>
      <c r="M6264" s="7" t="str">
        <f t="shared" si="488"/>
        <v/>
      </c>
      <c r="N6264" s="7" t="str">
        <f t="shared" si="492"/>
        <v/>
      </c>
      <c r="O6264" s="8"/>
      <c r="P6264" s="26"/>
      <c r="S6264" s="10" t="str">
        <f t="shared" si="489"/>
        <v/>
      </c>
    </row>
    <row r="6265" spans="5:19" x14ac:dyDescent="0.3">
      <c r="E6265" s="9" t="str">
        <f>IF(DADOS!C6265="","",DADOS!C6265)</f>
        <v/>
      </c>
      <c r="F6265" s="9" t="str">
        <f>IF(DADOS!E6265="","",DADOS!E6265)</f>
        <v/>
      </c>
      <c r="G6265" s="9" t="str">
        <f>IF(DADOS!F6265="","",DADOS!F6265)</f>
        <v/>
      </c>
      <c r="K6265" s="6" t="str">
        <f t="shared" si="490"/>
        <v/>
      </c>
      <c r="L6265" s="7" t="str">
        <f t="shared" si="491"/>
        <v/>
      </c>
      <c r="M6265" s="7" t="str">
        <f t="shared" si="488"/>
        <v/>
      </c>
      <c r="N6265" s="7" t="str">
        <f t="shared" si="492"/>
        <v/>
      </c>
      <c r="O6265" s="8"/>
      <c r="P6265" s="26"/>
      <c r="S6265" s="10" t="str">
        <f t="shared" si="489"/>
        <v/>
      </c>
    </row>
    <row r="6266" spans="5:19" x14ac:dyDescent="0.3">
      <c r="E6266" s="9" t="str">
        <f>IF(DADOS!C6266="","",DADOS!C6266)</f>
        <v/>
      </c>
      <c r="F6266" s="9" t="str">
        <f>IF(DADOS!E6266="","",DADOS!E6266)</f>
        <v/>
      </c>
      <c r="G6266" s="9" t="str">
        <f>IF(DADOS!F6266="","",DADOS!F6266)</f>
        <v/>
      </c>
      <c r="K6266" s="6" t="str">
        <f t="shared" si="490"/>
        <v/>
      </c>
      <c r="L6266" s="7" t="str">
        <f t="shared" si="491"/>
        <v/>
      </c>
      <c r="M6266" s="7" t="str">
        <f t="shared" si="488"/>
        <v/>
      </c>
      <c r="N6266" s="7" t="str">
        <f t="shared" si="492"/>
        <v/>
      </c>
      <c r="O6266" s="8"/>
      <c r="P6266" s="26"/>
      <c r="S6266" s="10" t="str">
        <f t="shared" si="489"/>
        <v/>
      </c>
    </row>
    <row r="6267" spans="5:19" x14ac:dyDescent="0.3">
      <c r="E6267" s="9" t="str">
        <f>IF(DADOS!C6267="","",DADOS!C6267)</f>
        <v/>
      </c>
      <c r="F6267" s="9" t="str">
        <f>IF(DADOS!E6267="","",DADOS!E6267)</f>
        <v/>
      </c>
      <c r="G6267" s="9" t="str">
        <f>IF(DADOS!F6267="","",DADOS!F6267)</f>
        <v/>
      </c>
      <c r="K6267" s="6" t="str">
        <f t="shared" si="490"/>
        <v/>
      </c>
      <c r="L6267" s="7" t="str">
        <f t="shared" si="491"/>
        <v/>
      </c>
      <c r="M6267" s="7" t="str">
        <f t="shared" si="488"/>
        <v/>
      </c>
      <c r="N6267" s="7" t="str">
        <f t="shared" si="492"/>
        <v/>
      </c>
      <c r="O6267" s="8"/>
      <c r="P6267" s="26"/>
      <c r="S6267" s="10" t="str">
        <f t="shared" si="489"/>
        <v/>
      </c>
    </row>
    <row r="6268" spans="5:19" x14ac:dyDescent="0.3">
      <c r="E6268" s="9" t="str">
        <f>IF(DADOS!C6268="","",DADOS!C6268)</f>
        <v/>
      </c>
      <c r="F6268" s="9" t="str">
        <f>IF(DADOS!E6268="","",DADOS!E6268)</f>
        <v/>
      </c>
      <c r="G6268" s="9" t="str">
        <f>IF(DADOS!F6268="","",DADOS!F6268)</f>
        <v/>
      </c>
      <c r="K6268" s="6" t="str">
        <f t="shared" si="490"/>
        <v/>
      </c>
      <c r="L6268" s="7" t="str">
        <f t="shared" si="491"/>
        <v/>
      </c>
      <c r="M6268" s="7" t="str">
        <f t="shared" si="488"/>
        <v/>
      </c>
      <c r="N6268" s="7" t="str">
        <f t="shared" si="492"/>
        <v/>
      </c>
      <c r="O6268" s="8"/>
      <c r="P6268" s="26"/>
      <c r="S6268" s="10" t="str">
        <f t="shared" si="489"/>
        <v/>
      </c>
    </row>
    <row r="6269" spans="5:19" x14ac:dyDescent="0.3">
      <c r="E6269" s="9" t="str">
        <f>IF(DADOS!C6269="","",DADOS!C6269)</f>
        <v/>
      </c>
      <c r="F6269" s="9" t="str">
        <f>IF(DADOS!E6269="","",DADOS!E6269)</f>
        <v/>
      </c>
      <c r="G6269" s="9" t="str">
        <f>IF(DADOS!F6269="","",DADOS!F6269)</f>
        <v/>
      </c>
      <c r="K6269" s="6" t="str">
        <f t="shared" si="490"/>
        <v/>
      </c>
      <c r="L6269" s="7" t="str">
        <f t="shared" si="491"/>
        <v/>
      </c>
      <c r="M6269" s="7" t="str">
        <f t="shared" si="488"/>
        <v/>
      </c>
      <c r="N6269" s="7" t="str">
        <f t="shared" si="492"/>
        <v/>
      </c>
      <c r="O6269" s="8"/>
      <c r="P6269" s="26"/>
      <c r="S6269" s="10" t="str">
        <f t="shared" si="489"/>
        <v/>
      </c>
    </row>
    <row r="6270" spans="5:19" x14ac:dyDescent="0.3">
      <c r="E6270" s="9" t="str">
        <f>IF(DADOS!C6270="","",DADOS!C6270)</f>
        <v/>
      </c>
      <c r="F6270" s="9" t="str">
        <f>IF(DADOS!E6270="","",DADOS!E6270)</f>
        <v/>
      </c>
      <c r="G6270" s="9" t="str">
        <f>IF(DADOS!F6270="","",DADOS!F6270)</f>
        <v/>
      </c>
      <c r="K6270" s="6" t="str">
        <f t="shared" si="490"/>
        <v/>
      </c>
      <c r="L6270" s="7" t="str">
        <f t="shared" si="491"/>
        <v/>
      </c>
      <c r="M6270" s="7" t="str">
        <f t="shared" si="488"/>
        <v/>
      </c>
      <c r="N6270" s="7" t="str">
        <f t="shared" si="492"/>
        <v/>
      </c>
      <c r="O6270" s="8"/>
      <c r="P6270" s="26"/>
      <c r="S6270" s="10" t="str">
        <f t="shared" si="489"/>
        <v/>
      </c>
    </row>
    <row r="6271" spans="5:19" x14ac:dyDescent="0.3">
      <c r="E6271" s="9" t="str">
        <f>IF(DADOS!C6271="","",DADOS!C6271)</f>
        <v/>
      </c>
      <c r="F6271" s="9" t="str">
        <f>IF(DADOS!E6271="","",DADOS!E6271)</f>
        <v/>
      </c>
      <c r="G6271" s="9" t="str">
        <f>IF(DADOS!F6271="","",DADOS!F6271)</f>
        <v/>
      </c>
      <c r="K6271" s="6" t="str">
        <f t="shared" si="490"/>
        <v/>
      </c>
      <c r="L6271" s="7" t="str">
        <f t="shared" si="491"/>
        <v/>
      </c>
      <c r="M6271" s="7" t="str">
        <f t="shared" si="488"/>
        <v/>
      </c>
      <c r="N6271" s="7" t="str">
        <f t="shared" si="492"/>
        <v/>
      </c>
      <c r="O6271" s="8"/>
      <c r="P6271" s="26"/>
      <c r="S6271" s="10" t="str">
        <f t="shared" si="489"/>
        <v/>
      </c>
    </row>
    <row r="6272" spans="5:19" x14ac:dyDescent="0.3">
      <c r="E6272" s="9" t="str">
        <f>IF(DADOS!C6272="","",DADOS!C6272)</f>
        <v/>
      </c>
      <c r="F6272" s="9" t="str">
        <f>IF(DADOS!E6272="","",DADOS!E6272)</f>
        <v/>
      </c>
      <c r="G6272" s="9" t="str">
        <f>IF(DADOS!F6272="","",DADOS!F6272)</f>
        <v/>
      </c>
      <c r="K6272" s="6" t="str">
        <f t="shared" si="490"/>
        <v/>
      </c>
      <c r="L6272" s="7" t="str">
        <f t="shared" si="491"/>
        <v/>
      </c>
      <c r="M6272" s="7" t="str">
        <f t="shared" si="488"/>
        <v/>
      </c>
      <c r="N6272" s="7" t="str">
        <f t="shared" si="492"/>
        <v/>
      </c>
      <c r="O6272" s="8"/>
      <c r="P6272" s="26"/>
      <c r="S6272" s="10" t="str">
        <f t="shared" si="489"/>
        <v/>
      </c>
    </row>
    <row r="6273" spans="5:19" x14ac:dyDescent="0.3">
      <c r="E6273" s="9" t="str">
        <f>IF(DADOS!C6273="","",DADOS!C6273)</f>
        <v/>
      </c>
      <c r="F6273" s="9" t="str">
        <f>IF(DADOS!E6273="","",DADOS!E6273)</f>
        <v/>
      </c>
      <c r="G6273" s="9" t="str">
        <f>IF(DADOS!F6273="","",DADOS!F6273)</f>
        <v/>
      </c>
      <c r="K6273" s="6" t="str">
        <f t="shared" si="490"/>
        <v/>
      </c>
      <c r="L6273" s="7" t="str">
        <f t="shared" si="491"/>
        <v/>
      </c>
      <c r="M6273" s="7" t="str">
        <f t="shared" si="488"/>
        <v/>
      </c>
      <c r="N6273" s="7" t="str">
        <f t="shared" si="492"/>
        <v/>
      </c>
      <c r="O6273" s="8"/>
      <c r="P6273" s="26"/>
      <c r="S6273" s="10" t="str">
        <f t="shared" si="489"/>
        <v/>
      </c>
    </row>
    <row r="6274" spans="5:19" x14ac:dyDescent="0.3">
      <c r="E6274" s="9" t="str">
        <f>IF(DADOS!C6274="","",DADOS!C6274)</f>
        <v/>
      </c>
      <c r="F6274" s="9" t="str">
        <f>IF(DADOS!E6274="","",DADOS!E6274)</f>
        <v/>
      </c>
      <c r="G6274" s="9" t="str">
        <f>IF(DADOS!F6274="","",DADOS!F6274)</f>
        <v/>
      </c>
      <c r="K6274" s="6" t="str">
        <f t="shared" si="490"/>
        <v/>
      </c>
      <c r="L6274" s="7" t="str">
        <f t="shared" si="491"/>
        <v/>
      </c>
      <c r="M6274" s="7" t="str">
        <f t="shared" si="488"/>
        <v/>
      </c>
      <c r="N6274" s="7" t="str">
        <f t="shared" si="492"/>
        <v/>
      </c>
      <c r="O6274" s="8"/>
      <c r="P6274" s="26"/>
      <c r="S6274" s="10" t="str">
        <f t="shared" si="489"/>
        <v/>
      </c>
    </row>
    <row r="6275" spans="5:19" x14ac:dyDescent="0.3">
      <c r="E6275" s="9" t="str">
        <f>IF(DADOS!C6275="","",DADOS!C6275)</f>
        <v/>
      </c>
      <c r="F6275" s="9" t="str">
        <f>IF(DADOS!E6275="","",DADOS!E6275)</f>
        <v/>
      </c>
      <c r="G6275" s="9" t="str">
        <f>IF(DADOS!F6275="","",DADOS!F6275)</f>
        <v/>
      </c>
      <c r="K6275" s="6" t="str">
        <f t="shared" si="490"/>
        <v/>
      </c>
      <c r="L6275" s="7" t="str">
        <f t="shared" si="491"/>
        <v/>
      </c>
      <c r="M6275" s="7" t="str">
        <f t="shared" ref="M6275:M6338" si="493">IF(L6275="","",L6275*G6275)</f>
        <v/>
      </c>
      <c r="N6275" s="7" t="str">
        <f t="shared" si="492"/>
        <v/>
      </c>
      <c r="O6275" s="8"/>
      <c r="P6275" s="26"/>
      <c r="S6275" s="10" t="str">
        <f t="shared" ref="S6275:S6338" si="494">IF(R6275="","",SUMIFS($N$3:$N$10000,$E$3:$E$10000,R6275))</f>
        <v/>
      </c>
    </row>
    <row r="6276" spans="5:19" x14ac:dyDescent="0.3">
      <c r="E6276" s="9" t="str">
        <f>IF(DADOS!C6276="","",DADOS!C6276)</f>
        <v/>
      </c>
      <c r="F6276" s="9" t="str">
        <f>IF(DADOS!E6276="","",DADOS!E6276)</f>
        <v/>
      </c>
      <c r="G6276" s="9" t="str">
        <f>IF(DADOS!F6276="","",DADOS!F6276)</f>
        <v/>
      </c>
      <c r="K6276" s="6" t="str">
        <f t="shared" ref="K6276:K6339" si="495">IF(F6276="","",F6276/PI())</f>
        <v/>
      </c>
      <c r="L6276" s="7" t="str">
        <f t="shared" ref="L6276:L6339" si="496">IF(K6276="","",(PI()*K6276^2)/40000)</f>
        <v/>
      </c>
      <c r="M6276" s="7" t="str">
        <f t="shared" si="493"/>
        <v/>
      </c>
      <c r="N6276" s="7" t="str">
        <f t="shared" ref="N6276:N6339" si="497">IF(M6276="","",M6276*N$1)</f>
        <v/>
      </c>
      <c r="O6276" s="8"/>
      <c r="P6276" s="26"/>
      <c r="S6276" s="10" t="str">
        <f t="shared" si="494"/>
        <v/>
      </c>
    </row>
    <row r="6277" spans="5:19" x14ac:dyDescent="0.3">
      <c r="E6277" s="9" t="str">
        <f>IF(DADOS!C6277="","",DADOS!C6277)</f>
        <v/>
      </c>
      <c r="F6277" s="9" t="str">
        <f>IF(DADOS!E6277="","",DADOS!E6277)</f>
        <v/>
      </c>
      <c r="G6277" s="9" t="str">
        <f>IF(DADOS!F6277="","",DADOS!F6277)</f>
        <v/>
      </c>
      <c r="K6277" s="6" t="str">
        <f t="shared" si="495"/>
        <v/>
      </c>
      <c r="L6277" s="7" t="str">
        <f t="shared" si="496"/>
        <v/>
      </c>
      <c r="M6277" s="7" t="str">
        <f t="shared" si="493"/>
        <v/>
      </c>
      <c r="N6277" s="7" t="str">
        <f t="shared" si="497"/>
        <v/>
      </c>
      <c r="O6277" s="8"/>
      <c r="P6277" s="26"/>
      <c r="S6277" s="10" t="str">
        <f t="shared" si="494"/>
        <v/>
      </c>
    </row>
    <row r="6278" spans="5:19" x14ac:dyDescent="0.3">
      <c r="E6278" s="9" t="str">
        <f>IF(DADOS!C6278="","",DADOS!C6278)</f>
        <v/>
      </c>
      <c r="F6278" s="9" t="str">
        <f>IF(DADOS!E6278="","",DADOS!E6278)</f>
        <v/>
      </c>
      <c r="G6278" s="9" t="str">
        <f>IF(DADOS!F6278="","",DADOS!F6278)</f>
        <v/>
      </c>
      <c r="K6278" s="6" t="str">
        <f t="shared" si="495"/>
        <v/>
      </c>
      <c r="L6278" s="7" t="str">
        <f t="shared" si="496"/>
        <v/>
      </c>
      <c r="M6278" s="7" t="str">
        <f t="shared" si="493"/>
        <v/>
      </c>
      <c r="N6278" s="7" t="str">
        <f t="shared" si="497"/>
        <v/>
      </c>
      <c r="O6278" s="8"/>
      <c r="P6278" s="26"/>
      <c r="S6278" s="10" t="str">
        <f t="shared" si="494"/>
        <v/>
      </c>
    </row>
    <row r="6279" spans="5:19" x14ac:dyDescent="0.3">
      <c r="E6279" s="9" t="str">
        <f>IF(DADOS!C6279="","",DADOS!C6279)</f>
        <v/>
      </c>
      <c r="F6279" s="9" t="str">
        <f>IF(DADOS!E6279="","",DADOS!E6279)</f>
        <v/>
      </c>
      <c r="G6279" s="9" t="str">
        <f>IF(DADOS!F6279="","",DADOS!F6279)</f>
        <v/>
      </c>
      <c r="K6279" s="6" t="str">
        <f t="shared" si="495"/>
        <v/>
      </c>
      <c r="L6279" s="7" t="str">
        <f t="shared" si="496"/>
        <v/>
      </c>
      <c r="M6279" s="7" t="str">
        <f t="shared" si="493"/>
        <v/>
      </c>
      <c r="N6279" s="7" t="str">
        <f t="shared" si="497"/>
        <v/>
      </c>
      <c r="O6279" s="8"/>
      <c r="P6279" s="26"/>
      <c r="S6279" s="10" t="str">
        <f t="shared" si="494"/>
        <v/>
      </c>
    </row>
    <row r="6280" spans="5:19" x14ac:dyDescent="0.3">
      <c r="E6280" s="9" t="str">
        <f>IF(DADOS!C6280="","",DADOS!C6280)</f>
        <v/>
      </c>
      <c r="F6280" s="9" t="str">
        <f>IF(DADOS!E6280="","",DADOS!E6280)</f>
        <v/>
      </c>
      <c r="G6280" s="9" t="str">
        <f>IF(DADOS!F6280="","",DADOS!F6280)</f>
        <v/>
      </c>
      <c r="K6280" s="6" t="str">
        <f t="shared" si="495"/>
        <v/>
      </c>
      <c r="L6280" s="7" t="str">
        <f t="shared" si="496"/>
        <v/>
      </c>
      <c r="M6280" s="7" t="str">
        <f t="shared" si="493"/>
        <v/>
      </c>
      <c r="N6280" s="7" t="str">
        <f t="shared" si="497"/>
        <v/>
      </c>
      <c r="O6280" s="8"/>
      <c r="P6280" s="26"/>
      <c r="S6280" s="10" t="str">
        <f t="shared" si="494"/>
        <v/>
      </c>
    </row>
    <row r="6281" spans="5:19" x14ac:dyDescent="0.3">
      <c r="E6281" s="9" t="str">
        <f>IF(DADOS!C6281="","",DADOS!C6281)</f>
        <v/>
      </c>
      <c r="F6281" s="9" t="str">
        <f>IF(DADOS!E6281="","",DADOS!E6281)</f>
        <v/>
      </c>
      <c r="G6281" s="9" t="str">
        <f>IF(DADOS!F6281="","",DADOS!F6281)</f>
        <v/>
      </c>
      <c r="K6281" s="6" t="str">
        <f t="shared" si="495"/>
        <v/>
      </c>
      <c r="L6281" s="7" t="str">
        <f t="shared" si="496"/>
        <v/>
      </c>
      <c r="M6281" s="7" t="str">
        <f t="shared" si="493"/>
        <v/>
      </c>
      <c r="N6281" s="7" t="str">
        <f t="shared" si="497"/>
        <v/>
      </c>
      <c r="O6281" s="8"/>
      <c r="P6281" s="26"/>
      <c r="S6281" s="10" t="str">
        <f t="shared" si="494"/>
        <v/>
      </c>
    </row>
    <row r="6282" spans="5:19" x14ac:dyDescent="0.3">
      <c r="E6282" s="9" t="str">
        <f>IF(DADOS!C6282="","",DADOS!C6282)</f>
        <v/>
      </c>
      <c r="F6282" s="9" t="str">
        <f>IF(DADOS!E6282="","",DADOS!E6282)</f>
        <v/>
      </c>
      <c r="G6282" s="9" t="str">
        <f>IF(DADOS!F6282="","",DADOS!F6282)</f>
        <v/>
      </c>
      <c r="K6282" s="6" t="str">
        <f t="shared" si="495"/>
        <v/>
      </c>
      <c r="L6282" s="7" t="str">
        <f t="shared" si="496"/>
        <v/>
      </c>
      <c r="M6282" s="7" t="str">
        <f t="shared" si="493"/>
        <v/>
      </c>
      <c r="N6282" s="7" t="str">
        <f t="shared" si="497"/>
        <v/>
      </c>
      <c r="O6282" s="8"/>
      <c r="P6282" s="26"/>
      <c r="S6282" s="10" t="str">
        <f t="shared" si="494"/>
        <v/>
      </c>
    </row>
    <row r="6283" spans="5:19" x14ac:dyDescent="0.3">
      <c r="E6283" s="9" t="str">
        <f>IF(DADOS!C6283="","",DADOS!C6283)</f>
        <v/>
      </c>
      <c r="F6283" s="9" t="str">
        <f>IF(DADOS!E6283="","",DADOS!E6283)</f>
        <v/>
      </c>
      <c r="G6283" s="9" t="str">
        <f>IF(DADOS!F6283="","",DADOS!F6283)</f>
        <v/>
      </c>
      <c r="K6283" s="6" t="str">
        <f t="shared" si="495"/>
        <v/>
      </c>
      <c r="L6283" s="7" t="str">
        <f t="shared" si="496"/>
        <v/>
      </c>
      <c r="M6283" s="7" t="str">
        <f t="shared" si="493"/>
        <v/>
      </c>
      <c r="N6283" s="7" t="str">
        <f t="shared" si="497"/>
        <v/>
      </c>
      <c r="O6283" s="8"/>
      <c r="P6283" s="26"/>
      <c r="S6283" s="10" t="str">
        <f t="shared" si="494"/>
        <v/>
      </c>
    </row>
    <row r="6284" spans="5:19" x14ac:dyDescent="0.3">
      <c r="E6284" s="9" t="str">
        <f>IF(DADOS!C6284="","",DADOS!C6284)</f>
        <v/>
      </c>
      <c r="F6284" s="9" t="str">
        <f>IF(DADOS!E6284="","",DADOS!E6284)</f>
        <v/>
      </c>
      <c r="G6284" s="9" t="str">
        <f>IF(DADOS!F6284="","",DADOS!F6284)</f>
        <v/>
      </c>
      <c r="K6284" s="6" t="str">
        <f t="shared" si="495"/>
        <v/>
      </c>
      <c r="L6284" s="7" t="str">
        <f t="shared" si="496"/>
        <v/>
      </c>
      <c r="M6284" s="7" t="str">
        <f t="shared" si="493"/>
        <v/>
      </c>
      <c r="N6284" s="7" t="str">
        <f t="shared" si="497"/>
        <v/>
      </c>
      <c r="O6284" s="8"/>
      <c r="P6284" s="26"/>
      <c r="S6284" s="10" t="str">
        <f t="shared" si="494"/>
        <v/>
      </c>
    </row>
    <row r="6285" spans="5:19" x14ac:dyDescent="0.3">
      <c r="E6285" s="9" t="str">
        <f>IF(DADOS!C6285="","",DADOS!C6285)</f>
        <v/>
      </c>
      <c r="F6285" s="9" t="str">
        <f>IF(DADOS!E6285="","",DADOS!E6285)</f>
        <v/>
      </c>
      <c r="G6285" s="9" t="str">
        <f>IF(DADOS!F6285="","",DADOS!F6285)</f>
        <v/>
      </c>
      <c r="K6285" s="6" t="str">
        <f t="shared" si="495"/>
        <v/>
      </c>
      <c r="L6285" s="7" t="str">
        <f t="shared" si="496"/>
        <v/>
      </c>
      <c r="M6285" s="7" t="str">
        <f t="shared" si="493"/>
        <v/>
      </c>
      <c r="N6285" s="7" t="str">
        <f t="shared" si="497"/>
        <v/>
      </c>
      <c r="O6285" s="8"/>
      <c r="P6285" s="26"/>
      <c r="S6285" s="10" t="str">
        <f t="shared" si="494"/>
        <v/>
      </c>
    </row>
    <row r="6286" spans="5:19" x14ac:dyDescent="0.3">
      <c r="E6286" s="9" t="str">
        <f>IF(DADOS!C6286="","",DADOS!C6286)</f>
        <v/>
      </c>
      <c r="F6286" s="9" t="str">
        <f>IF(DADOS!E6286="","",DADOS!E6286)</f>
        <v/>
      </c>
      <c r="G6286" s="9" t="str">
        <f>IF(DADOS!F6286="","",DADOS!F6286)</f>
        <v/>
      </c>
      <c r="K6286" s="6" t="str">
        <f t="shared" si="495"/>
        <v/>
      </c>
      <c r="L6286" s="7" t="str">
        <f t="shared" si="496"/>
        <v/>
      </c>
      <c r="M6286" s="7" t="str">
        <f t="shared" si="493"/>
        <v/>
      </c>
      <c r="N6286" s="7" t="str">
        <f t="shared" si="497"/>
        <v/>
      </c>
      <c r="O6286" s="8"/>
      <c r="P6286" s="26"/>
      <c r="S6286" s="10" t="str">
        <f t="shared" si="494"/>
        <v/>
      </c>
    </row>
    <row r="6287" spans="5:19" x14ac:dyDescent="0.3">
      <c r="E6287" s="9" t="str">
        <f>IF(DADOS!C6287="","",DADOS!C6287)</f>
        <v/>
      </c>
      <c r="F6287" s="9" t="str">
        <f>IF(DADOS!E6287="","",DADOS!E6287)</f>
        <v/>
      </c>
      <c r="G6287" s="9" t="str">
        <f>IF(DADOS!F6287="","",DADOS!F6287)</f>
        <v/>
      </c>
      <c r="K6287" s="6" t="str">
        <f t="shared" si="495"/>
        <v/>
      </c>
      <c r="L6287" s="7" t="str">
        <f t="shared" si="496"/>
        <v/>
      </c>
      <c r="M6287" s="7" t="str">
        <f t="shared" si="493"/>
        <v/>
      </c>
      <c r="N6287" s="7" t="str">
        <f t="shared" si="497"/>
        <v/>
      </c>
      <c r="O6287" s="8"/>
      <c r="P6287" s="26"/>
      <c r="S6287" s="10" t="str">
        <f t="shared" si="494"/>
        <v/>
      </c>
    </row>
    <row r="6288" spans="5:19" x14ac:dyDescent="0.3">
      <c r="E6288" s="9" t="str">
        <f>IF(DADOS!C6288="","",DADOS!C6288)</f>
        <v/>
      </c>
      <c r="F6288" s="9" t="str">
        <f>IF(DADOS!E6288="","",DADOS!E6288)</f>
        <v/>
      </c>
      <c r="G6288" s="9" t="str">
        <f>IF(DADOS!F6288="","",DADOS!F6288)</f>
        <v/>
      </c>
      <c r="K6288" s="6" t="str">
        <f t="shared" si="495"/>
        <v/>
      </c>
      <c r="L6288" s="7" t="str">
        <f t="shared" si="496"/>
        <v/>
      </c>
      <c r="M6288" s="7" t="str">
        <f t="shared" si="493"/>
        <v/>
      </c>
      <c r="N6288" s="7" t="str">
        <f t="shared" si="497"/>
        <v/>
      </c>
      <c r="O6288" s="8"/>
      <c r="P6288" s="26"/>
      <c r="S6288" s="10" t="str">
        <f t="shared" si="494"/>
        <v/>
      </c>
    </row>
    <row r="6289" spans="5:19" x14ac:dyDescent="0.3">
      <c r="E6289" s="9" t="str">
        <f>IF(DADOS!C6289="","",DADOS!C6289)</f>
        <v/>
      </c>
      <c r="F6289" s="9" t="str">
        <f>IF(DADOS!E6289="","",DADOS!E6289)</f>
        <v/>
      </c>
      <c r="G6289" s="9" t="str">
        <f>IF(DADOS!F6289="","",DADOS!F6289)</f>
        <v/>
      </c>
      <c r="K6289" s="6" t="str">
        <f t="shared" si="495"/>
        <v/>
      </c>
      <c r="L6289" s="7" t="str">
        <f t="shared" si="496"/>
        <v/>
      </c>
      <c r="M6289" s="7" t="str">
        <f t="shared" si="493"/>
        <v/>
      </c>
      <c r="N6289" s="7" t="str">
        <f t="shared" si="497"/>
        <v/>
      </c>
      <c r="O6289" s="8"/>
      <c r="P6289" s="26"/>
      <c r="S6289" s="10" t="str">
        <f t="shared" si="494"/>
        <v/>
      </c>
    </row>
    <row r="6290" spans="5:19" x14ac:dyDescent="0.3">
      <c r="E6290" s="9" t="str">
        <f>IF(DADOS!C6290="","",DADOS!C6290)</f>
        <v/>
      </c>
      <c r="F6290" s="9" t="str">
        <f>IF(DADOS!E6290="","",DADOS!E6290)</f>
        <v/>
      </c>
      <c r="G6290" s="9" t="str">
        <f>IF(DADOS!F6290="","",DADOS!F6290)</f>
        <v/>
      </c>
      <c r="K6290" s="6" t="str">
        <f t="shared" si="495"/>
        <v/>
      </c>
      <c r="L6290" s="7" t="str">
        <f t="shared" si="496"/>
        <v/>
      </c>
      <c r="M6290" s="7" t="str">
        <f t="shared" si="493"/>
        <v/>
      </c>
      <c r="N6290" s="7" t="str">
        <f t="shared" si="497"/>
        <v/>
      </c>
      <c r="O6290" s="8"/>
      <c r="P6290" s="26"/>
      <c r="S6290" s="10" t="str">
        <f t="shared" si="494"/>
        <v/>
      </c>
    </row>
    <row r="6291" spans="5:19" x14ac:dyDescent="0.3">
      <c r="E6291" s="9" t="str">
        <f>IF(DADOS!C6291="","",DADOS!C6291)</f>
        <v/>
      </c>
      <c r="F6291" s="9" t="str">
        <f>IF(DADOS!E6291="","",DADOS!E6291)</f>
        <v/>
      </c>
      <c r="G6291" s="9" t="str">
        <f>IF(DADOS!F6291="","",DADOS!F6291)</f>
        <v/>
      </c>
      <c r="K6291" s="6" t="str">
        <f t="shared" si="495"/>
        <v/>
      </c>
      <c r="L6291" s="7" t="str">
        <f t="shared" si="496"/>
        <v/>
      </c>
      <c r="M6291" s="7" t="str">
        <f t="shared" si="493"/>
        <v/>
      </c>
      <c r="N6291" s="7" t="str">
        <f t="shared" si="497"/>
        <v/>
      </c>
      <c r="O6291" s="8"/>
      <c r="P6291" s="26"/>
      <c r="S6291" s="10" t="str">
        <f t="shared" si="494"/>
        <v/>
      </c>
    </row>
    <row r="6292" spans="5:19" x14ac:dyDescent="0.3">
      <c r="E6292" s="9" t="str">
        <f>IF(DADOS!C6292="","",DADOS!C6292)</f>
        <v/>
      </c>
      <c r="F6292" s="9" t="str">
        <f>IF(DADOS!E6292="","",DADOS!E6292)</f>
        <v/>
      </c>
      <c r="G6292" s="9" t="str">
        <f>IF(DADOS!F6292="","",DADOS!F6292)</f>
        <v/>
      </c>
      <c r="K6292" s="6" t="str">
        <f t="shared" si="495"/>
        <v/>
      </c>
      <c r="L6292" s="7" t="str">
        <f t="shared" si="496"/>
        <v/>
      </c>
      <c r="M6292" s="7" t="str">
        <f t="shared" si="493"/>
        <v/>
      </c>
      <c r="N6292" s="7" t="str">
        <f t="shared" si="497"/>
        <v/>
      </c>
      <c r="O6292" s="8"/>
      <c r="P6292" s="26"/>
      <c r="S6292" s="10" t="str">
        <f t="shared" si="494"/>
        <v/>
      </c>
    </row>
    <row r="6293" spans="5:19" x14ac:dyDescent="0.3">
      <c r="E6293" s="9" t="str">
        <f>IF(DADOS!C6293="","",DADOS!C6293)</f>
        <v/>
      </c>
      <c r="F6293" s="9" t="str">
        <f>IF(DADOS!E6293="","",DADOS!E6293)</f>
        <v/>
      </c>
      <c r="G6293" s="9" t="str">
        <f>IF(DADOS!F6293="","",DADOS!F6293)</f>
        <v/>
      </c>
      <c r="K6293" s="6" t="str">
        <f t="shared" si="495"/>
        <v/>
      </c>
      <c r="L6293" s="7" t="str">
        <f t="shared" si="496"/>
        <v/>
      </c>
      <c r="M6293" s="7" t="str">
        <f t="shared" si="493"/>
        <v/>
      </c>
      <c r="N6293" s="7" t="str">
        <f t="shared" si="497"/>
        <v/>
      </c>
      <c r="O6293" s="8"/>
      <c r="P6293" s="26"/>
      <c r="S6293" s="10" t="str">
        <f t="shared" si="494"/>
        <v/>
      </c>
    </row>
    <row r="6294" spans="5:19" x14ac:dyDescent="0.3">
      <c r="E6294" s="9" t="str">
        <f>IF(DADOS!C6294="","",DADOS!C6294)</f>
        <v/>
      </c>
      <c r="F6294" s="9" t="str">
        <f>IF(DADOS!E6294="","",DADOS!E6294)</f>
        <v/>
      </c>
      <c r="G6294" s="9" t="str">
        <f>IF(DADOS!F6294="","",DADOS!F6294)</f>
        <v/>
      </c>
      <c r="K6294" s="6" t="str">
        <f t="shared" si="495"/>
        <v/>
      </c>
      <c r="L6294" s="7" t="str">
        <f t="shared" si="496"/>
        <v/>
      </c>
      <c r="M6294" s="7" t="str">
        <f t="shared" si="493"/>
        <v/>
      </c>
      <c r="N6294" s="7" t="str">
        <f t="shared" si="497"/>
        <v/>
      </c>
      <c r="O6294" s="8"/>
      <c r="P6294" s="26"/>
      <c r="S6294" s="10" t="str">
        <f t="shared" si="494"/>
        <v/>
      </c>
    </row>
    <row r="6295" spans="5:19" x14ac:dyDescent="0.3">
      <c r="E6295" s="9" t="str">
        <f>IF(DADOS!C6295="","",DADOS!C6295)</f>
        <v/>
      </c>
      <c r="F6295" s="9" t="str">
        <f>IF(DADOS!E6295="","",DADOS!E6295)</f>
        <v/>
      </c>
      <c r="G6295" s="9" t="str">
        <f>IF(DADOS!F6295="","",DADOS!F6295)</f>
        <v/>
      </c>
      <c r="K6295" s="6" t="str">
        <f t="shared" si="495"/>
        <v/>
      </c>
      <c r="L6295" s="7" t="str">
        <f t="shared" si="496"/>
        <v/>
      </c>
      <c r="M6295" s="7" t="str">
        <f t="shared" si="493"/>
        <v/>
      </c>
      <c r="N6295" s="7" t="str">
        <f t="shared" si="497"/>
        <v/>
      </c>
      <c r="O6295" s="8"/>
      <c r="P6295" s="26"/>
      <c r="S6295" s="10" t="str">
        <f t="shared" si="494"/>
        <v/>
      </c>
    </row>
    <row r="6296" spans="5:19" x14ac:dyDescent="0.3">
      <c r="E6296" s="9" t="str">
        <f>IF(DADOS!C6296="","",DADOS!C6296)</f>
        <v/>
      </c>
      <c r="F6296" s="9" t="str">
        <f>IF(DADOS!E6296="","",DADOS!E6296)</f>
        <v/>
      </c>
      <c r="G6296" s="9" t="str">
        <f>IF(DADOS!F6296="","",DADOS!F6296)</f>
        <v/>
      </c>
      <c r="K6296" s="6" t="str">
        <f t="shared" si="495"/>
        <v/>
      </c>
      <c r="L6296" s="7" t="str">
        <f t="shared" si="496"/>
        <v/>
      </c>
      <c r="M6296" s="7" t="str">
        <f t="shared" si="493"/>
        <v/>
      </c>
      <c r="N6296" s="7" t="str">
        <f t="shared" si="497"/>
        <v/>
      </c>
      <c r="O6296" s="8"/>
      <c r="P6296" s="26"/>
      <c r="S6296" s="10" t="str">
        <f t="shared" si="494"/>
        <v/>
      </c>
    </row>
    <row r="6297" spans="5:19" x14ac:dyDescent="0.3">
      <c r="E6297" s="9" t="str">
        <f>IF(DADOS!C6297="","",DADOS!C6297)</f>
        <v/>
      </c>
      <c r="F6297" s="9" t="str">
        <f>IF(DADOS!E6297="","",DADOS!E6297)</f>
        <v/>
      </c>
      <c r="G6297" s="9" t="str">
        <f>IF(DADOS!F6297="","",DADOS!F6297)</f>
        <v/>
      </c>
      <c r="K6297" s="6" t="str">
        <f t="shared" si="495"/>
        <v/>
      </c>
      <c r="L6297" s="7" t="str">
        <f t="shared" si="496"/>
        <v/>
      </c>
      <c r="M6297" s="7" t="str">
        <f t="shared" si="493"/>
        <v/>
      </c>
      <c r="N6297" s="7" t="str">
        <f t="shared" si="497"/>
        <v/>
      </c>
      <c r="O6297" s="8"/>
      <c r="P6297" s="26"/>
      <c r="S6297" s="10" t="str">
        <f t="shared" si="494"/>
        <v/>
      </c>
    </row>
    <row r="6298" spans="5:19" x14ac:dyDescent="0.3">
      <c r="E6298" s="9" t="str">
        <f>IF(DADOS!C6298="","",DADOS!C6298)</f>
        <v/>
      </c>
      <c r="F6298" s="9" t="str">
        <f>IF(DADOS!E6298="","",DADOS!E6298)</f>
        <v/>
      </c>
      <c r="G6298" s="9" t="str">
        <f>IF(DADOS!F6298="","",DADOS!F6298)</f>
        <v/>
      </c>
      <c r="K6298" s="6" t="str">
        <f t="shared" si="495"/>
        <v/>
      </c>
      <c r="L6298" s="7" t="str">
        <f t="shared" si="496"/>
        <v/>
      </c>
      <c r="M6298" s="7" t="str">
        <f t="shared" si="493"/>
        <v/>
      </c>
      <c r="N6298" s="7" t="str">
        <f t="shared" si="497"/>
        <v/>
      </c>
      <c r="O6298" s="8"/>
      <c r="P6298" s="26"/>
      <c r="S6298" s="10" t="str">
        <f t="shared" si="494"/>
        <v/>
      </c>
    </row>
    <row r="6299" spans="5:19" x14ac:dyDescent="0.3">
      <c r="E6299" s="9" t="str">
        <f>IF(DADOS!C6299="","",DADOS!C6299)</f>
        <v/>
      </c>
      <c r="F6299" s="9" t="str">
        <f>IF(DADOS!E6299="","",DADOS!E6299)</f>
        <v/>
      </c>
      <c r="G6299" s="9" t="str">
        <f>IF(DADOS!F6299="","",DADOS!F6299)</f>
        <v/>
      </c>
      <c r="K6299" s="6" t="str">
        <f t="shared" si="495"/>
        <v/>
      </c>
      <c r="L6299" s="7" t="str">
        <f t="shared" si="496"/>
        <v/>
      </c>
      <c r="M6299" s="7" t="str">
        <f t="shared" si="493"/>
        <v/>
      </c>
      <c r="N6299" s="7" t="str">
        <f t="shared" si="497"/>
        <v/>
      </c>
      <c r="O6299" s="8"/>
      <c r="P6299" s="26"/>
      <c r="S6299" s="10" t="str">
        <f t="shared" si="494"/>
        <v/>
      </c>
    </row>
    <row r="6300" spans="5:19" x14ac:dyDescent="0.3">
      <c r="E6300" s="9" t="str">
        <f>IF(DADOS!C6300="","",DADOS!C6300)</f>
        <v/>
      </c>
      <c r="F6300" s="9" t="str">
        <f>IF(DADOS!E6300="","",DADOS!E6300)</f>
        <v/>
      </c>
      <c r="G6300" s="9" t="str">
        <f>IF(DADOS!F6300="","",DADOS!F6300)</f>
        <v/>
      </c>
      <c r="K6300" s="6" t="str">
        <f t="shared" si="495"/>
        <v/>
      </c>
      <c r="L6300" s="7" t="str">
        <f t="shared" si="496"/>
        <v/>
      </c>
      <c r="M6300" s="7" t="str">
        <f t="shared" si="493"/>
        <v/>
      </c>
      <c r="N6300" s="7" t="str">
        <f t="shared" si="497"/>
        <v/>
      </c>
      <c r="O6300" s="8"/>
      <c r="P6300" s="26"/>
      <c r="S6300" s="10" t="str">
        <f t="shared" si="494"/>
        <v/>
      </c>
    </row>
    <row r="6301" spans="5:19" x14ac:dyDescent="0.3">
      <c r="E6301" s="9" t="str">
        <f>IF(DADOS!C6301="","",DADOS!C6301)</f>
        <v/>
      </c>
      <c r="F6301" s="9" t="str">
        <f>IF(DADOS!E6301="","",DADOS!E6301)</f>
        <v/>
      </c>
      <c r="G6301" s="9" t="str">
        <f>IF(DADOS!F6301="","",DADOS!F6301)</f>
        <v/>
      </c>
      <c r="K6301" s="6" t="str">
        <f t="shared" si="495"/>
        <v/>
      </c>
      <c r="L6301" s="7" t="str">
        <f t="shared" si="496"/>
        <v/>
      </c>
      <c r="M6301" s="7" t="str">
        <f t="shared" si="493"/>
        <v/>
      </c>
      <c r="N6301" s="7" t="str">
        <f t="shared" si="497"/>
        <v/>
      </c>
      <c r="O6301" s="8"/>
      <c r="P6301" s="26"/>
      <c r="S6301" s="10" t="str">
        <f t="shared" si="494"/>
        <v/>
      </c>
    </row>
    <row r="6302" spans="5:19" x14ac:dyDescent="0.3">
      <c r="E6302" s="9" t="str">
        <f>IF(DADOS!C6302="","",DADOS!C6302)</f>
        <v/>
      </c>
      <c r="F6302" s="9" t="str">
        <f>IF(DADOS!E6302="","",DADOS!E6302)</f>
        <v/>
      </c>
      <c r="G6302" s="9" t="str">
        <f>IF(DADOS!F6302="","",DADOS!F6302)</f>
        <v/>
      </c>
      <c r="K6302" s="6" t="str">
        <f t="shared" si="495"/>
        <v/>
      </c>
      <c r="L6302" s="7" t="str">
        <f t="shared" si="496"/>
        <v/>
      </c>
      <c r="M6302" s="7" t="str">
        <f t="shared" si="493"/>
        <v/>
      </c>
      <c r="N6302" s="7" t="str">
        <f t="shared" si="497"/>
        <v/>
      </c>
      <c r="O6302" s="8"/>
      <c r="P6302" s="26"/>
      <c r="S6302" s="10" t="str">
        <f t="shared" si="494"/>
        <v/>
      </c>
    </row>
    <row r="6303" spans="5:19" x14ac:dyDescent="0.3">
      <c r="E6303" s="9" t="str">
        <f>IF(DADOS!C6303="","",DADOS!C6303)</f>
        <v/>
      </c>
      <c r="F6303" s="9" t="str">
        <f>IF(DADOS!E6303="","",DADOS!E6303)</f>
        <v/>
      </c>
      <c r="G6303" s="9" t="str">
        <f>IF(DADOS!F6303="","",DADOS!F6303)</f>
        <v/>
      </c>
      <c r="K6303" s="6" t="str">
        <f t="shared" si="495"/>
        <v/>
      </c>
      <c r="L6303" s="7" t="str">
        <f t="shared" si="496"/>
        <v/>
      </c>
      <c r="M6303" s="7" t="str">
        <f t="shared" si="493"/>
        <v/>
      </c>
      <c r="N6303" s="7" t="str">
        <f t="shared" si="497"/>
        <v/>
      </c>
      <c r="O6303" s="8"/>
      <c r="P6303" s="26"/>
      <c r="S6303" s="10" t="str">
        <f t="shared" si="494"/>
        <v/>
      </c>
    </row>
    <row r="6304" spans="5:19" x14ac:dyDescent="0.3">
      <c r="E6304" s="9" t="str">
        <f>IF(DADOS!C6304="","",DADOS!C6304)</f>
        <v/>
      </c>
      <c r="F6304" s="9" t="str">
        <f>IF(DADOS!E6304="","",DADOS!E6304)</f>
        <v/>
      </c>
      <c r="G6304" s="9" t="str">
        <f>IF(DADOS!F6304="","",DADOS!F6304)</f>
        <v/>
      </c>
      <c r="K6304" s="6" t="str">
        <f t="shared" si="495"/>
        <v/>
      </c>
      <c r="L6304" s="7" t="str">
        <f t="shared" si="496"/>
        <v/>
      </c>
      <c r="M6304" s="7" t="str">
        <f t="shared" si="493"/>
        <v/>
      </c>
      <c r="N6304" s="7" t="str">
        <f t="shared" si="497"/>
        <v/>
      </c>
      <c r="O6304" s="8"/>
      <c r="P6304" s="26"/>
      <c r="S6304" s="10" t="str">
        <f t="shared" si="494"/>
        <v/>
      </c>
    </row>
    <row r="6305" spans="5:19" x14ac:dyDescent="0.3">
      <c r="E6305" s="9" t="str">
        <f>IF(DADOS!C6305="","",DADOS!C6305)</f>
        <v/>
      </c>
      <c r="F6305" s="9" t="str">
        <f>IF(DADOS!E6305="","",DADOS!E6305)</f>
        <v/>
      </c>
      <c r="G6305" s="9" t="str">
        <f>IF(DADOS!F6305="","",DADOS!F6305)</f>
        <v/>
      </c>
      <c r="K6305" s="6" t="str">
        <f t="shared" si="495"/>
        <v/>
      </c>
      <c r="L6305" s="7" t="str">
        <f t="shared" si="496"/>
        <v/>
      </c>
      <c r="M6305" s="7" t="str">
        <f t="shared" si="493"/>
        <v/>
      </c>
      <c r="N6305" s="7" t="str">
        <f t="shared" si="497"/>
        <v/>
      </c>
      <c r="O6305" s="8"/>
      <c r="P6305" s="26"/>
      <c r="S6305" s="10" t="str">
        <f t="shared" si="494"/>
        <v/>
      </c>
    </row>
    <row r="6306" spans="5:19" x14ac:dyDescent="0.3">
      <c r="E6306" s="9" t="str">
        <f>IF(DADOS!C6306="","",DADOS!C6306)</f>
        <v/>
      </c>
      <c r="F6306" s="9" t="str">
        <f>IF(DADOS!E6306="","",DADOS!E6306)</f>
        <v/>
      </c>
      <c r="G6306" s="9" t="str">
        <f>IF(DADOS!F6306="","",DADOS!F6306)</f>
        <v/>
      </c>
      <c r="K6306" s="6" t="str">
        <f t="shared" si="495"/>
        <v/>
      </c>
      <c r="L6306" s="7" t="str">
        <f t="shared" si="496"/>
        <v/>
      </c>
      <c r="M6306" s="7" t="str">
        <f t="shared" si="493"/>
        <v/>
      </c>
      <c r="N6306" s="7" t="str">
        <f t="shared" si="497"/>
        <v/>
      </c>
      <c r="O6306" s="8"/>
      <c r="P6306" s="26"/>
      <c r="S6306" s="10" t="str">
        <f t="shared" si="494"/>
        <v/>
      </c>
    </row>
    <row r="6307" spans="5:19" x14ac:dyDescent="0.3">
      <c r="E6307" s="9" t="str">
        <f>IF(DADOS!C6307="","",DADOS!C6307)</f>
        <v/>
      </c>
      <c r="F6307" s="9" t="str">
        <f>IF(DADOS!E6307="","",DADOS!E6307)</f>
        <v/>
      </c>
      <c r="G6307" s="9" t="str">
        <f>IF(DADOS!F6307="","",DADOS!F6307)</f>
        <v/>
      </c>
      <c r="K6307" s="6" t="str">
        <f t="shared" si="495"/>
        <v/>
      </c>
      <c r="L6307" s="7" t="str">
        <f t="shared" si="496"/>
        <v/>
      </c>
      <c r="M6307" s="7" t="str">
        <f t="shared" si="493"/>
        <v/>
      </c>
      <c r="N6307" s="7" t="str">
        <f t="shared" si="497"/>
        <v/>
      </c>
      <c r="O6307" s="8"/>
      <c r="P6307" s="26"/>
      <c r="S6307" s="10" t="str">
        <f t="shared" si="494"/>
        <v/>
      </c>
    </row>
    <row r="6308" spans="5:19" x14ac:dyDescent="0.3">
      <c r="E6308" s="9" t="str">
        <f>IF(DADOS!C6308="","",DADOS!C6308)</f>
        <v/>
      </c>
      <c r="F6308" s="9" t="str">
        <f>IF(DADOS!E6308="","",DADOS!E6308)</f>
        <v/>
      </c>
      <c r="G6308" s="9" t="str">
        <f>IF(DADOS!F6308="","",DADOS!F6308)</f>
        <v/>
      </c>
      <c r="K6308" s="6" t="str">
        <f t="shared" si="495"/>
        <v/>
      </c>
      <c r="L6308" s="7" t="str">
        <f t="shared" si="496"/>
        <v/>
      </c>
      <c r="M6308" s="7" t="str">
        <f t="shared" si="493"/>
        <v/>
      </c>
      <c r="N6308" s="7" t="str">
        <f t="shared" si="497"/>
        <v/>
      </c>
      <c r="O6308" s="8"/>
      <c r="P6308" s="26"/>
      <c r="S6308" s="10" t="str">
        <f t="shared" si="494"/>
        <v/>
      </c>
    </row>
    <row r="6309" spans="5:19" x14ac:dyDescent="0.3">
      <c r="E6309" s="9" t="str">
        <f>IF(DADOS!C6309="","",DADOS!C6309)</f>
        <v/>
      </c>
      <c r="F6309" s="9" t="str">
        <f>IF(DADOS!E6309="","",DADOS!E6309)</f>
        <v/>
      </c>
      <c r="G6309" s="9" t="str">
        <f>IF(DADOS!F6309="","",DADOS!F6309)</f>
        <v/>
      </c>
      <c r="K6309" s="6" t="str">
        <f t="shared" si="495"/>
        <v/>
      </c>
      <c r="L6309" s="7" t="str">
        <f t="shared" si="496"/>
        <v/>
      </c>
      <c r="M6309" s="7" t="str">
        <f t="shared" si="493"/>
        <v/>
      </c>
      <c r="N6309" s="7" t="str">
        <f t="shared" si="497"/>
        <v/>
      </c>
      <c r="O6309" s="8"/>
      <c r="P6309" s="26"/>
      <c r="S6309" s="10" t="str">
        <f t="shared" si="494"/>
        <v/>
      </c>
    </row>
    <row r="6310" spans="5:19" x14ac:dyDescent="0.3">
      <c r="E6310" s="9" t="str">
        <f>IF(DADOS!C6310="","",DADOS!C6310)</f>
        <v/>
      </c>
      <c r="F6310" s="9" t="str">
        <f>IF(DADOS!E6310="","",DADOS!E6310)</f>
        <v/>
      </c>
      <c r="G6310" s="9" t="str">
        <f>IF(DADOS!F6310="","",DADOS!F6310)</f>
        <v/>
      </c>
      <c r="K6310" s="6" t="str">
        <f t="shared" si="495"/>
        <v/>
      </c>
      <c r="L6310" s="7" t="str">
        <f t="shared" si="496"/>
        <v/>
      </c>
      <c r="M6310" s="7" t="str">
        <f t="shared" si="493"/>
        <v/>
      </c>
      <c r="N6310" s="7" t="str">
        <f t="shared" si="497"/>
        <v/>
      </c>
      <c r="O6310" s="8"/>
      <c r="P6310" s="26"/>
      <c r="S6310" s="10" t="str">
        <f t="shared" si="494"/>
        <v/>
      </c>
    </row>
    <row r="6311" spans="5:19" x14ac:dyDescent="0.3">
      <c r="E6311" s="9" t="str">
        <f>IF(DADOS!C6311="","",DADOS!C6311)</f>
        <v/>
      </c>
      <c r="F6311" s="9" t="str">
        <f>IF(DADOS!E6311="","",DADOS!E6311)</f>
        <v/>
      </c>
      <c r="G6311" s="9" t="str">
        <f>IF(DADOS!F6311="","",DADOS!F6311)</f>
        <v/>
      </c>
      <c r="K6311" s="6" t="str">
        <f t="shared" si="495"/>
        <v/>
      </c>
      <c r="L6311" s="7" t="str">
        <f t="shared" si="496"/>
        <v/>
      </c>
      <c r="M6311" s="7" t="str">
        <f t="shared" si="493"/>
        <v/>
      </c>
      <c r="N6311" s="7" t="str">
        <f t="shared" si="497"/>
        <v/>
      </c>
      <c r="O6311" s="8"/>
      <c r="P6311" s="26"/>
      <c r="S6311" s="10" t="str">
        <f t="shared" si="494"/>
        <v/>
      </c>
    </row>
    <row r="6312" spans="5:19" x14ac:dyDescent="0.3">
      <c r="E6312" s="9" t="str">
        <f>IF(DADOS!C6312="","",DADOS!C6312)</f>
        <v/>
      </c>
      <c r="F6312" s="9" t="str">
        <f>IF(DADOS!E6312="","",DADOS!E6312)</f>
        <v/>
      </c>
      <c r="G6312" s="9" t="str">
        <f>IF(DADOS!F6312="","",DADOS!F6312)</f>
        <v/>
      </c>
      <c r="K6312" s="6" t="str">
        <f t="shared" si="495"/>
        <v/>
      </c>
      <c r="L6312" s="7" t="str">
        <f t="shared" si="496"/>
        <v/>
      </c>
      <c r="M6312" s="7" t="str">
        <f t="shared" si="493"/>
        <v/>
      </c>
      <c r="N6312" s="7" t="str">
        <f t="shared" si="497"/>
        <v/>
      </c>
      <c r="O6312" s="8"/>
      <c r="P6312" s="26"/>
      <c r="S6312" s="10" t="str">
        <f t="shared" si="494"/>
        <v/>
      </c>
    </row>
    <row r="6313" spans="5:19" x14ac:dyDescent="0.3">
      <c r="E6313" s="9" t="str">
        <f>IF(DADOS!C6313="","",DADOS!C6313)</f>
        <v/>
      </c>
      <c r="F6313" s="9" t="str">
        <f>IF(DADOS!E6313="","",DADOS!E6313)</f>
        <v/>
      </c>
      <c r="G6313" s="9" t="str">
        <f>IF(DADOS!F6313="","",DADOS!F6313)</f>
        <v/>
      </c>
      <c r="K6313" s="6" t="str">
        <f t="shared" si="495"/>
        <v/>
      </c>
      <c r="L6313" s="7" t="str">
        <f t="shared" si="496"/>
        <v/>
      </c>
      <c r="M6313" s="7" t="str">
        <f t="shared" si="493"/>
        <v/>
      </c>
      <c r="N6313" s="7" t="str">
        <f t="shared" si="497"/>
        <v/>
      </c>
      <c r="O6313" s="8"/>
      <c r="P6313" s="26"/>
      <c r="S6313" s="10" t="str">
        <f t="shared" si="494"/>
        <v/>
      </c>
    </row>
    <row r="6314" spans="5:19" x14ac:dyDescent="0.3">
      <c r="E6314" s="9" t="str">
        <f>IF(DADOS!C6314="","",DADOS!C6314)</f>
        <v/>
      </c>
      <c r="F6314" s="9" t="str">
        <f>IF(DADOS!E6314="","",DADOS!E6314)</f>
        <v/>
      </c>
      <c r="G6314" s="9" t="str">
        <f>IF(DADOS!F6314="","",DADOS!F6314)</f>
        <v/>
      </c>
      <c r="K6314" s="6" t="str">
        <f t="shared" si="495"/>
        <v/>
      </c>
      <c r="L6314" s="7" t="str">
        <f t="shared" si="496"/>
        <v/>
      </c>
      <c r="M6314" s="7" t="str">
        <f t="shared" si="493"/>
        <v/>
      </c>
      <c r="N6314" s="7" t="str">
        <f t="shared" si="497"/>
        <v/>
      </c>
      <c r="O6314" s="8"/>
      <c r="P6314" s="26"/>
      <c r="S6314" s="10" t="str">
        <f t="shared" si="494"/>
        <v/>
      </c>
    </row>
    <row r="6315" spans="5:19" x14ac:dyDescent="0.3">
      <c r="E6315" s="9" t="str">
        <f>IF(DADOS!C6315="","",DADOS!C6315)</f>
        <v/>
      </c>
      <c r="F6315" s="9" t="str">
        <f>IF(DADOS!E6315="","",DADOS!E6315)</f>
        <v/>
      </c>
      <c r="G6315" s="9" t="str">
        <f>IF(DADOS!F6315="","",DADOS!F6315)</f>
        <v/>
      </c>
      <c r="K6315" s="6" t="str">
        <f t="shared" si="495"/>
        <v/>
      </c>
      <c r="L6315" s="7" t="str">
        <f t="shared" si="496"/>
        <v/>
      </c>
      <c r="M6315" s="7" t="str">
        <f t="shared" si="493"/>
        <v/>
      </c>
      <c r="N6315" s="7" t="str">
        <f t="shared" si="497"/>
        <v/>
      </c>
      <c r="O6315" s="8"/>
      <c r="P6315" s="26"/>
      <c r="S6315" s="10" t="str">
        <f t="shared" si="494"/>
        <v/>
      </c>
    </row>
    <row r="6316" spans="5:19" x14ac:dyDescent="0.3">
      <c r="E6316" s="9" t="str">
        <f>IF(DADOS!C6316="","",DADOS!C6316)</f>
        <v/>
      </c>
      <c r="F6316" s="9" t="str">
        <f>IF(DADOS!E6316="","",DADOS!E6316)</f>
        <v/>
      </c>
      <c r="G6316" s="9" t="str">
        <f>IF(DADOS!F6316="","",DADOS!F6316)</f>
        <v/>
      </c>
      <c r="K6316" s="6" t="str">
        <f t="shared" si="495"/>
        <v/>
      </c>
      <c r="L6316" s="7" t="str">
        <f t="shared" si="496"/>
        <v/>
      </c>
      <c r="M6316" s="7" t="str">
        <f t="shared" si="493"/>
        <v/>
      </c>
      <c r="N6316" s="7" t="str">
        <f t="shared" si="497"/>
        <v/>
      </c>
      <c r="O6316" s="8"/>
      <c r="P6316" s="26"/>
      <c r="S6316" s="10" t="str">
        <f t="shared" si="494"/>
        <v/>
      </c>
    </row>
    <row r="6317" spans="5:19" x14ac:dyDescent="0.3">
      <c r="E6317" s="9" t="str">
        <f>IF(DADOS!C6317="","",DADOS!C6317)</f>
        <v/>
      </c>
      <c r="F6317" s="9" t="str">
        <f>IF(DADOS!E6317="","",DADOS!E6317)</f>
        <v/>
      </c>
      <c r="G6317" s="9" t="str">
        <f>IF(DADOS!F6317="","",DADOS!F6317)</f>
        <v/>
      </c>
      <c r="K6317" s="6" t="str">
        <f t="shared" si="495"/>
        <v/>
      </c>
      <c r="L6317" s="7" t="str">
        <f t="shared" si="496"/>
        <v/>
      </c>
      <c r="M6317" s="7" t="str">
        <f t="shared" si="493"/>
        <v/>
      </c>
      <c r="N6317" s="7" t="str">
        <f t="shared" si="497"/>
        <v/>
      </c>
      <c r="O6317" s="8"/>
      <c r="P6317" s="26"/>
      <c r="S6317" s="10" t="str">
        <f t="shared" si="494"/>
        <v/>
      </c>
    </row>
    <row r="6318" spans="5:19" x14ac:dyDescent="0.3">
      <c r="E6318" s="9" t="str">
        <f>IF(DADOS!C6318="","",DADOS!C6318)</f>
        <v/>
      </c>
      <c r="F6318" s="9" t="str">
        <f>IF(DADOS!E6318="","",DADOS!E6318)</f>
        <v/>
      </c>
      <c r="G6318" s="9" t="str">
        <f>IF(DADOS!F6318="","",DADOS!F6318)</f>
        <v/>
      </c>
      <c r="K6318" s="6" t="str">
        <f t="shared" si="495"/>
        <v/>
      </c>
      <c r="L6318" s="7" t="str">
        <f t="shared" si="496"/>
        <v/>
      </c>
      <c r="M6318" s="7" t="str">
        <f t="shared" si="493"/>
        <v/>
      </c>
      <c r="N6318" s="7" t="str">
        <f t="shared" si="497"/>
        <v/>
      </c>
      <c r="O6318" s="8"/>
      <c r="P6318" s="26"/>
      <c r="S6318" s="10" t="str">
        <f t="shared" si="494"/>
        <v/>
      </c>
    </row>
    <row r="6319" spans="5:19" x14ac:dyDescent="0.3">
      <c r="E6319" s="9" t="str">
        <f>IF(DADOS!C6319="","",DADOS!C6319)</f>
        <v/>
      </c>
      <c r="F6319" s="9" t="str">
        <f>IF(DADOS!E6319="","",DADOS!E6319)</f>
        <v/>
      </c>
      <c r="G6319" s="9" t="str">
        <f>IF(DADOS!F6319="","",DADOS!F6319)</f>
        <v/>
      </c>
      <c r="K6319" s="6" t="str">
        <f t="shared" si="495"/>
        <v/>
      </c>
      <c r="L6319" s="7" t="str">
        <f t="shared" si="496"/>
        <v/>
      </c>
      <c r="M6319" s="7" t="str">
        <f t="shared" si="493"/>
        <v/>
      </c>
      <c r="N6319" s="7" t="str">
        <f t="shared" si="497"/>
        <v/>
      </c>
      <c r="O6319" s="8"/>
      <c r="P6319" s="26"/>
      <c r="S6319" s="10" t="str">
        <f t="shared" si="494"/>
        <v/>
      </c>
    </row>
    <row r="6320" spans="5:19" x14ac:dyDescent="0.3">
      <c r="E6320" s="9" t="str">
        <f>IF(DADOS!C6320="","",DADOS!C6320)</f>
        <v/>
      </c>
      <c r="F6320" s="9" t="str">
        <f>IF(DADOS!E6320="","",DADOS!E6320)</f>
        <v/>
      </c>
      <c r="G6320" s="9" t="str">
        <f>IF(DADOS!F6320="","",DADOS!F6320)</f>
        <v/>
      </c>
      <c r="K6320" s="6" t="str">
        <f t="shared" si="495"/>
        <v/>
      </c>
      <c r="L6320" s="7" t="str">
        <f t="shared" si="496"/>
        <v/>
      </c>
      <c r="M6320" s="7" t="str">
        <f t="shared" si="493"/>
        <v/>
      </c>
      <c r="N6320" s="7" t="str">
        <f t="shared" si="497"/>
        <v/>
      </c>
      <c r="O6320" s="8"/>
      <c r="P6320" s="26"/>
      <c r="S6320" s="10" t="str">
        <f t="shared" si="494"/>
        <v/>
      </c>
    </row>
    <row r="6321" spans="5:19" x14ac:dyDescent="0.3">
      <c r="E6321" s="9" t="str">
        <f>IF(DADOS!C6321="","",DADOS!C6321)</f>
        <v/>
      </c>
      <c r="F6321" s="9" t="str">
        <f>IF(DADOS!E6321="","",DADOS!E6321)</f>
        <v/>
      </c>
      <c r="G6321" s="9" t="str">
        <f>IF(DADOS!F6321="","",DADOS!F6321)</f>
        <v/>
      </c>
      <c r="K6321" s="6" t="str">
        <f t="shared" si="495"/>
        <v/>
      </c>
      <c r="L6321" s="7" t="str">
        <f t="shared" si="496"/>
        <v/>
      </c>
      <c r="M6321" s="7" t="str">
        <f t="shared" si="493"/>
        <v/>
      </c>
      <c r="N6321" s="7" t="str">
        <f t="shared" si="497"/>
        <v/>
      </c>
      <c r="O6321" s="8"/>
      <c r="P6321" s="26"/>
      <c r="S6321" s="10" t="str">
        <f t="shared" si="494"/>
        <v/>
      </c>
    </row>
    <row r="6322" spans="5:19" x14ac:dyDescent="0.3">
      <c r="E6322" s="9" t="str">
        <f>IF(DADOS!C6322="","",DADOS!C6322)</f>
        <v/>
      </c>
      <c r="F6322" s="9" t="str">
        <f>IF(DADOS!E6322="","",DADOS!E6322)</f>
        <v/>
      </c>
      <c r="G6322" s="9" t="str">
        <f>IF(DADOS!F6322="","",DADOS!F6322)</f>
        <v/>
      </c>
      <c r="K6322" s="6" t="str">
        <f t="shared" si="495"/>
        <v/>
      </c>
      <c r="L6322" s="7" t="str">
        <f t="shared" si="496"/>
        <v/>
      </c>
      <c r="M6322" s="7" t="str">
        <f t="shared" si="493"/>
        <v/>
      </c>
      <c r="N6322" s="7" t="str">
        <f t="shared" si="497"/>
        <v/>
      </c>
      <c r="O6322" s="8"/>
      <c r="P6322" s="26"/>
      <c r="S6322" s="10" t="str">
        <f t="shared" si="494"/>
        <v/>
      </c>
    </row>
    <row r="6323" spans="5:19" x14ac:dyDescent="0.3">
      <c r="E6323" s="9" t="str">
        <f>IF(DADOS!C6323="","",DADOS!C6323)</f>
        <v/>
      </c>
      <c r="F6323" s="9" t="str">
        <f>IF(DADOS!E6323="","",DADOS!E6323)</f>
        <v/>
      </c>
      <c r="G6323" s="9" t="str">
        <f>IF(DADOS!F6323="","",DADOS!F6323)</f>
        <v/>
      </c>
      <c r="K6323" s="6" t="str">
        <f t="shared" si="495"/>
        <v/>
      </c>
      <c r="L6323" s="7" t="str">
        <f t="shared" si="496"/>
        <v/>
      </c>
      <c r="M6323" s="7" t="str">
        <f t="shared" si="493"/>
        <v/>
      </c>
      <c r="N6323" s="7" t="str">
        <f t="shared" si="497"/>
        <v/>
      </c>
      <c r="O6323" s="8"/>
      <c r="P6323" s="26"/>
      <c r="S6323" s="10" t="str">
        <f t="shared" si="494"/>
        <v/>
      </c>
    </row>
    <row r="6324" spans="5:19" x14ac:dyDescent="0.3">
      <c r="E6324" s="9" t="str">
        <f>IF(DADOS!C6324="","",DADOS!C6324)</f>
        <v/>
      </c>
      <c r="F6324" s="9" t="str">
        <f>IF(DADOS!E6324="","",DADOS!E6324)</f>
        <v/>
      </c>
      <c r="G6324" s="9" t="str">
        <f>IF(DADOS!F6324="","",DADOS!F6324)</f>
        <v/>
      </c>
      <c r="K6324" s="6" t="str">
        <f t="shared" si="495"/>
        <v/>
      </c>
      <c r="L6324" s="7" t="str">
        <f t="shared" si="496"/>
        <v/>
      </c>
      <c r="M6324" s="7" t="str">
        <f t="shared" si="493"/>
        <v/>
      </c>
      <c r="N6324" s="7" t="str">
        <f t="shared" si="497"/>
        <v/>
      </c>
      <c r="O6324" s="8"/>
      <c r="P6324" s="26"/>
      <c r="S6324" s="10" t="str">
        <f t="shared" si="494"/>
        <v/>
      </c>
    </row>
    <row r="6325" spans="5:19" x14ac:dyDescent="0.3">
      <c r="E6325" s="9" t="str">
        <f>IF(DADOS!C6325="","",DADOS!C6325)</f>
        <v/>
      </c>
      <c r="F6325" s="9" t="str">
        <f>IF(DADOS!E6325="","",DADOS!E6325)</f>
        <v/>
      </c>
      <c r="G6325" s="9" t="str">
        <f>IF(DADOS!F6325="","",DADOS!F6325)</f>
        <v/>
      </c>
      <c r="K6325" s="6" t="str">
        <f t="shared" si="495"/>
        <v/>
      </c>
      <c r="L6325" s="7" t="str">
        <f t="shared" si="496"/>
        <v/>
      </c>
      <c r="M6325" s="7" t="str">
        <f t="shared" si="493"/>
        <v/>
      </c>
      <c r="N6325" s="7" t="str">
        <f t="shared" si="497"/>
        <v/>
      </c>
      <c r="O6325" s="8"/>
      <c r="P6325" s="26"/>
      <c r="S6325" s="10" t="str">
        <f t="shared" si="494"/>
        <v/>
      </c>
    </row>
    <row r="6326" spans="5:19" x14ac:dyDescent="0.3">
      <c r="E6326" s="9" t="str">
        <f>IF(DADOS!C6326="","",DADOS!C6326)</f>
        <v/>
      </c>
      <c r="F6326" s="9" t="str">
        <f>IF(DADOS!E6326="","",DADOS!E6326)</f>
        <v/>
      </c>
      <c r="G6326" s="9" t="str">
        <f>IF(DADOS!F6326="","",DADOS!F6326)</f>
        <v/>
      </c>
      <c r="K6326" s="6" t="str">
        <f t="shared" si="495"/>
        <v/>
      </c>
      <c r="L6326" s="7" t="str">
        <f t="shared" si="496"/>
        <v/>
      </c>
      <c r="M6326" s="7" t="str">
        <f t="shared" si="493"/>
        <v/>
      </c>
      <c r="N6326" s="7" t="str">
        <f t="shared" si="497"/>
        <v/>
      </c>
      <c r="O6326" s="8"/>
      <c r="P6326" s="26"/>
      <c r="S6326" s="10" t="str">
        <f t="shared" si="494"/>
        <v/>
      </c>
    </row>
    <row r="6327" spans="5:19" x14ac:dyDescent="0.3">
      <c r="E6327" s="9" t="str">
        <f>IF(DADOS!C6327="","",DADOS!C6327)</f>
        <v/>
      </c>
      <c r="F6327" s="9" t="str">
        <f>IF(DADOS!E6327="","",DADOS!E6327)</f>
        <v/>
      </c>
      <c r="G6327" s="9" t="str">
        <f>IF(DADOS!F6327="","",DADOS!F6327)</f>
        <v/>
      </c>
      <c r="K6327" s="6" t="str">
        <f t="shared" si="495"/>
        <v/>
      </c>
      <c r="L6327" s="7" t="str">
        <f t="shared" si="496"/>
        <v/>
      </c>
      <c r="M6327" s="7" t="str">
        <f t="shared" si="493"/>
        <v/>
      </c>
      <c r="N6327" s="7" t="str">
        <f t="shared" si="497"/>
        <v/>
      </c>
      <c r="O6327" s="8"/>
      <c r="P6327" s="26"/>
      <c r="S6327" s="10" t="str">
        <f t="shared" si="494"/>
        <v/>
      </c>
    </row>
    <row r="6328" spans="5:19" x14ac:dyDescent="0.3">
      <c r="E6328" s="9" t="str">
        <f>IF(DADOS!C6328="","",DADOS!C6328)</f>
        <v/>
      </c>
      <c r="F6328" s="9" t="str">
        <f>IF(DADOS!E6328="","",DADOS!E6328)</f>
        <v/>
      </c>
      <c r="G6328" s="9" t="str">
        <f>IF(DADOS!F6328="","",DADOS!F6328)</f>
        <v/>
      </c>
      <c r="K6328" s="6" t="str">
        <f t="shared" si="495"/>
        <v/>
      </c>
      <c r="L6328" s="7" t="str">
        <f t="shared" si="496"/>
        <v/>
      </c>
      <c r="M6328" s="7" t="str">
        <f t="shared" si="493"/>
        <v/>
      </c>
      <c r="N6328" s="7" t="str">
        <f t="shared" si="497"/>
        <v/>
      </c>
      <c r="O6328" s="8"/>
      <c r="P6328" s="26"/>
      <c r="S6328" s="10" t="str">
        <f t="shared" si="494"/>
        <v/>
      </c>
    </row>
    <row r="6329" spans="5:19" x14ac:dyDescent="0.3">
      <c r="E6329" s="9" t="str">
        <f>IF(DADOS!C6329="","",DADOS!C6329)</f>
        <v/>
      </c>
      <c r="F6329" s="9" t="str">
        <f>IF(DADOS!E6329="","",DADOS!E6329)</f>
        <v/>
      </c>
      <c r="G6329" s="9" t="str">
        <f>IF(DADOS!F6329="","",DADOS!F6329)</f>
        <v/>
      </c>
      <c r="K6329" s="6" t="str">
        <f t="shared" si="495"/>
        <v/>
      </c>
      <c r="L6329" s="7" t="str">
        <f t="shared" si="496"/>
        <v/>
      </c>
      <c r="M6329" s="7" t="str">
        <f t="shared" si="493"/>
        <v/>
      </c>
      <c r="N6329" s="7" t="str">
        <f t="shared" si="497"/>
        <v/>
      </c>
      <c r="O6329" s="8"/>
      <c r="P6329" s="26"/>
      <c r="S6329" s="10" t="str">
        <f t="shared" si="494"/>
        <v/>
      </c>
    </row>
    <row r="6330" spans="5:19" x14ac:dyDescent="0.3">
      <c r="E6330" s="9" t="str">
        <f>IF(DADOS!C6330="","",DADOS!C6330)</f>
        <v/>
      </c>
      <c r="F6330" s="9" t="str">
        <f>IF(DADOS!E6330="","",DADOS!E6330)</f>
        <v/>
      </c>
      <c r="G6330" s="9" t="str">
        <f>IF(DADOS!F6330="","",DADOS!F6330)</f>
        <v/>
      </c>
      <c r="K6330" s="6" t="str">
        <f t="shared" si="495"/>
        <v/>
      </c>
      <c r="L6330" s="7" t="str">
        <f t="shared" si="496"/>
        <v/>
      </c>
      <c r="M6330" s="7" t="str">
        <f t="shared" si="493"/>
        <v/>
      </c>
      <c r="N6330" s="7" t="str">
        <f t="shared" si="497"/>
        <v/>
      </c>
      <c r="O6330" s="8"/>
      <c r="P6330" s="26"/>
      <c r="S6330" s="10" t="str">
        <f t="shared" si="494"/>
        <v/>
      </c>
    </row>
    <row r="6331" spans="5:19" x14ac:dyDescent="0.3">
      <c r="E6331" s="9" t="str">
        <f>IF(DADOS!C6331="","",DADOS!C6331)</f>
        <v/>
      </c>
      <c r="F6331" s="9" t="str">
        <f>IF(DADOS!E6331="","",DADOS!E6331)</f>
        <v/>
      </c>
      <c r="G6331" s="9" t="str">
        <f>IF(DADOS!F6331="","",DADOS!F6331)</f>
        <v/>
      </c>
      <c r="K6331" s="6" t="str">
        <f t="shared" si="495"/>
        <v/>
      </c>
      <c r="L6331" s="7" t="str">
        <f t="shared" si="496"/>
        <v/>
      </c>
      <c r="M6331" s="7" t="str">
        <f t="shared" si="493"/>
        <v/>
      </c>
      <c r="N6331" s="7" t="str">
        <f t="shared" si="497"/>
        <v/>
      </c>
      <c r="O6331" s="8"/>
      <c r="P6331" s="26"/>
      <c r="S6331" s="10" t="str">
        <f t="shared" si="494"/>
        <v/>
      </c>
    </row>
    <row r="6332" spans="5:19" x14ac:dyDescent="0.3">
      <c r="E6332" s="9" t="str">
        <f>IF(DADOS!C6332="","",DADOS!C6332)</f>
        <v/>
      </c>
      <c r="F6332" s="9" t="str">
        <f>IF(DADOS!E6332="","",DADOS!E6332)</f>
        <v/>
      </c>
      <c r="G6332" s="9" t="str">
        <f>IF(DADOS!F6332="","",DADOS!F6332)</f>
        <v/>
      </c>
      <c r="K6332" s="6" t="str">
        <f t="shared" si="495"/>
        <v/>
      </c>
      <c r="L6332" s="7" t="str">
        <f t="shared" si="496"/>
        <v/>
      </c>
      <c r="M6332" s="7" t="str">
        <f t="shared" si="493"/>
        <v/>
      </c>
      <c r="N6332" s="7" t="str">
        <f t="shared" si="497"/>
        <v/>
      </c>
      <c r="O6332" s="8"/>
      <c r="P6332" s="26"/>
      <c r="S6332" s="10" t="str">
        <f t="shared" si="494"/>
        <v/>
      </c>
    </row>
    <row r="6333" spans="5:19" x14ac:dyDescent="0.3">
      <c r="E6333" s="9" t="str">
        <f>IF(DADOS!C6333="","",DADOS!C6333)</f>
        <v/>
      </c>
      <c r="F6333" s="9" t="str">
        <f>IF(DADOS!E6333="","",DADOS!E6333)</f>
        <v/>
      </c>
      <c r="G6333" s="9" t="str">
        <f>IF(DADOS!F6333="","",DADOS!F6333)</f>
        <v/>
      </c>
      <c r="K6333" s="6" t="str">
        <f t="shared" si="495"/>
        <v/>
      </c>
      <c r="L6333" s="7" t="str">
        <f t="shared" si="496"/>
        <v/>
      </c>
      <c r="M6333" s="7" t="str">
        <f t="shared" si="493"/>
        <v/>
      </c>
      <c r="N6333" s="7" t="str">
        <f t="shared" si="497"/>
        <v/>
      </c>
      <c r="O6333" s="8"/>
      <c r="P6333" s="26"/>
      <c r="S6333" s="10" t="str">
        <f t="shared" si="494"/>
        <v/>
      </c>
    </row>
    <row r="6334" spans="5:19" x14ac:dyDescent="0.3">
      <c r="E6334" s="9" t="str">
        <f>IF(DADOS!C6334="","",DADOS!C6334)</f>
        <v/>
      </c>
      <c r="F6334" s="9" t="str">
        <f>IF(DADOS!E6334="","",DADOS!E6334)</f>
        <v/>
      </c>
      <c r="G6334" s="9" t="str">
        <f>IF(DADOS!F6334="","",DADOS!F6334)</f>
        <v/>
      </c>
      <c r="K6334" s="6" t="str">
        <f t="shared" si="495"/>
        <v/>
      </c>
      <c r="L6334" s="7" t="str">
        <f t="shared" si="496"/>
        <v/>
      </c>
      <c r="M6334" s="7" t="str">
        <f t="shared" si="493"/>
        <v/>
      </c>
      <c r="N6334" s="7" t="str">
        <f t="shared" si="497"/>
        <v/>
      </c>
      <c r="O6334" s="8"/>
      <c r="P6334" s="26"/>
      <c r="S6334" s="10" t="str">
        <f t="shared" si="494"/>
        <v/>
      </c>
    </row>
    <row r="6335" spans="5:19" x14ac:dyDescent="0.3">
      <c r="E6335" s="9" t="str">
        <f>IF(DADOS!C6335="","",DADOS!C6335)</f>
        <v/>
      </c>
      <c r="F6335" s="9" t="str">
        <f>IF(DADOS!E6335="","",DADOS!E6335)</f>
        <v/>
      </c>
      <c r="G6335" s="9" t="str">
        <f>IF(DADOS!F6335="","",DADOS!F6335)</f>
        <v/>
      </c>
      <c r="K6335" s="6" t="str">
        <f t="shared" si="495"/>
        <v/>
      </c>
      <c r="L6335" s="7" t="str">
        <f t="shared" si="496"/>
        <v/>
      </c>
      <c r="M6335" s="7" t="str">
        <f t="shared" si="493"/>
        <v/>
      </c>
      <c r="N6335" s="7" t="str">
        <f t="shared" si="497"/>
        <v/>
      </c>
      <c r="O6335" s="8"/>
      <c r="P6335" s="26"/>
      <c r="S6335" s="10" t="str">
        <f t="shared" si="494"/>
        <v/>
      </c>
    </row>
    <row r="6336" spans="5:19" x14ac:dyDescent="0.3">
      <c r="E6336" s="9" t="str">
        <f>IF(DADOS!C6336="","",DADOS!C6336)</f>
        <v/>
      </c>
      <c r="F6336" s="9" t="str">
        <f>IF(DADOS!E6336="","",DADOS!E6336)</f>
        <v/>
      </c>
      <c r="G6336" s="9" t="str">
        <f>IF(DADOS!F6336="","",DADOS!F6336)</f>
        <v/>
      </c>
      <c r="K6336" s="6" t="str">
        <f t="shared" si="495"/>
        <v/>
      </c>
      <c r="L6336" s="7" t="str">
        <f t="shared" si="496"/>
        <v/>
      </c>
      <c r="M6336" s="7" t="str">
        <f t="shared" si="493"/>
        <v/>
      </c>
      <c r="N6336" s="7" t="str">
        <f t="shared" si="497"/>
        <v/>
      </c>
      <c r="O6336" s="8"/>
      <c r="P6336" s="26"/>
      <c r="S6336" s="10" t="str">
        <f t="shared" si="494"/>
        <v/>
      </c>
    </row>
    <row r="6337" spans="5:19" x14ac:dyDescent="0.3">
      <c r="E6337" s="9" t="str">
        <f>IF(DADOS!C6337="","",DADOS!C6337)</f>
        <v/>
      </c>
      <c r="F6337" s="9" t="str">
        <f>IF(DADOS!E6337="","",DADOS!E6337)</f>
        <v/>
      </c>
      <c r="G6337" s="9" t="str">
        <f>IF(DADOS!F6337="","",DADOS!F6337)</f>
        <v/>
      </c>
      <c r="K6337" s="6" t="str">
        <f t="shared" si="495"/>
        <v/>
      </c>
      <c r="L6337" s="7" t="str">
        <f t="shared" si="496"/>
        <v/>
      </c>
      <c r="M6337" s="7" t="str">
        <f t="shared" si="493"/>
        <v/>
      </c>
      <c r="N6337" s="7" t="str">
        <f t="shared" si="497"/>
        <v/>
      </c>
      <c r="O6337" s="8"/>
      <c r="P6337" s="26"/>
      <c r="S6337" s="10" t="str">
        <f t="shared" si="494"/>
        <v/>
      </c>
    </row>
    <row r="6338" spans="5:19" x14ac:dyDescent="0.3">
      <c r="E6338" s="9" t="str">
        <f>IF(DADOS!C6338="","",DADOS!C6338)</f>
        <v/>
      </c>
      <c r="F6338" s="9" t="str">
        <f>IF(DADOS!E6338="","",DADOS!E6338)</f>
        <v/>
      </c>
      <c r="G6338" s="9" t="str">
        <f>IF(DADOS!F6338="","",DADOS!F6338)</f>
        <v/>
      </c>
      <c r="K6338" s="6" t="str">
        <f t="shared" si="495"/>
        <v/>
      </c>
      <c r="L6338" s="7" t="str">
        <f t="shared" si="496"/>
        <v/>
      </c>
      <c r="M6338" s="7" t="str">
        <f t="shared" si="493"/>
        <v/>
      </c>
      <c r="N6338" s="7" t="str">
        <f t="shared" si="497"/>
        <v/>
      </c>
      <c r="O6338" s="8"/>
      <c r="P6338" s="26"/>
      <c r="S6338" s="10" t="str">
        <f t="shared" si="494"/>
        <v/>
      </c>
    </row>
    <row r="6339" spans="5:19" x14ac:dyDescent="0.3">
      <c r="E6339" s="9" t="str">
        <f>IF(DADOS!C6339="","",DADOS!C6339)</f>
        <v/>
      </c>
      <c r="F6339" s="9" t="str">
        <f>IF(DADOS!E6339="","",DADOS!E6339)</f>
        <v/>
      </c>
      <c r="G6339" s="9" t="str">
        <f>IF(DADOS!F6339="","",DADOS!F6339)</f>
        <v/>
      </c>
      <c r="K6339" s="6" t="str">
        <f t="shared" si="495"/>
        <v/>
      </c>
      <c r="L6339" s="7" t="str">
        <f t="shared" si="496"/>
        <v/>
      </c>
      <c r="M6339" s="7" t="str">
        <f t="shared" ref="M6339:M6402" si="498">IF(L6339="","",L6339*G6339)</f>
        <v/>
      </c>
      <c r="N6339" s="7" t="str">
        <f t="shared" si="497"/>
        <v/>
      </c>
      <c r="O6339" s="8"/>
      <c r="P6339" s="26"/>
      <c r="S6339" s="10" t="str">
        <f t="shared" ref="S6339:S6402" si="499">IF(R6339="","",SUMIFS($N$3:$N$10000,$E$3:$E$10000,R6339))</f>
        <v/>
      </c>
    </row>
    <row r="6340" spans="5:19" x14ac:dyDescent="0.3">
      <c r="E6340" s="9" t="str">
        <f>IF(DADOS!C6340="","",DADOS!C6340)</f>
        <v/>
      </c>
      <c r="F6340" s="9" t="str">
        <f>IF(DADOS!E6340="","",DADOS!E6340)</f>
        <v/>
      </c>
      <c r="G6340" s="9" t="str">
        <f>IF(DADOS!F6340="","",DADOS!F6340)</f>
        <v/>
      </c>
      <c r="K6340" s="6" t="str">
        <f t="shared" ref="K6340:K6403" si="500">IF(F6340="","",F6340/PI())</f>
        <v/>
      </c>
      <c r="L6340" s="7" t="str">
        <f t="shared" ref="L6340:L6403" si="501">IF(K6340="","",(PI()*K6340^2)/40000)</f>
        <v/>
      </c>
      <c r="M6340" s="7" t="str">
        <f t="shared" si="498"/>
        <v/>
      </c>
      <c r="N6340" s="7" t="str">
        <f t="shared" ref="N6340:N6403" si="502">IF(M6340="","",M6340*N$1)</f>
        <v/>
      </c>
      <c r="O6340" s="8"/>
      <c r="P6340" s="26"/>
      <c r="S6340" s="10" t="str">
        <f t="shared" si="499"/>
        <v/>
      </c>
    </row>
    <row r="6341" spans="5:19" x14ac:dyDescent="0.3">
      <c r="E6341" s="9" t="str">
        <f>IF(DADOS!C6341="","",DADOS!C6341)</f>
        <v/>
      </c>
      <c r="F6341" s="9" t="str">
        <f>IF(DADOS!E6341="","",DADOS!E6341)</f>
        <v/>
      </c>
      <c r="G6341" s="9" t="str">
        <f>IF(DADOS!F6341="","",DADOS!F6341)</f>
        <v/>
      </c>
      <c r="K6341" s="6" t="str">
        <f t="shared" si="500"/>
        <v/>
      </c>
      <c r="L6341" s="7" t="str">
        <f t="shared" si="501"/>
        <v/>
      </c>
      <c r="M6341" s="7" t="str">
        <f t="shared" si="498"/>
        <v/>
      </c>
      <c r="N6341" s="7" t="str">
        <f t="shared" si="502"/>
        <v/>
      </c>
      <c r="O6341" s="8"/>
      <c r="P6341" s="26"/>
      <c r="S6341" s="10" t="str">
        <f t="shared" si="499"/>
        <v/>
      </c>
    </row>
    <row r="6342" spans="5:19" x14ac:dyDescent="0.3">
      <c r="E6342" s="9" t="str">
        <f>IF(DADOS!C6342="","",DADOS!C6342)</f>
        <v/>
      </c>
      <c r="F6342" s="9" t="str">
        <f>IF(DADOS!E6342="","",DADOS!E6342)</f>
        <v/>
      </c>
      <c r="G6342" s="9" t="str">
        <f>IF(DADOS!F6342="","",DADOS!F6342)</f>
        <v/>
      </c>
      <c r="K6342" s="6" t="str">
        <f t="shared" si="500"/>
        <v/>
      </c>
      <c r="L6342" s="7" t="str">
        <f t="shared" si="501"/>
        <v/>
      </c>
      <c r="M6342" s="7" t="str">
        <f t="shared" si="498"/>
        <v/>
      </c>
      <c r="N6342" s="7" t="str">
        <f t="shared" si="502"/>
        <v/>
      </c>
      <c r="O6342" s="8"/>
      <c r="P6342" s="26"/>
      <c r="S6342" s="10" t="str">
        <f t="shared" si="499"/>
        <v/>
      </c>
    </row>
    <row r="6343" spans="5:19" x14ac:dyDescent="0.3">
      <c r="E6343" s="9" t="str">
        <f>IF(DADOS!C6343="","",DADOS!C6343)</f>
        <v/>
      </c>
      <c r="F6343" s="9" t="str">
        <f>IF(DADOS!E6343="","",DADOS!E6343)</f>
        <v/>
      </c>
      <c r="G6343" s="9" t="str">
        <f>IF(DADOS!F6343="","",DADOS!F6343)</f>
        <v/>
      </c>
      <c r="K6343" s="6" t="str">
        <f t="shared" si="500"/>
        <v/>
      </c>
      <c r="L6343" s="7" t="str">
        <f t="shared" si="501"/>
        <v/>
      </c>
      <c r="M6343" s="7" t="str">
        <f t="shared" si="498"/>
        <v/>
      </c>
      <c r="N6343" s="7" t="str">
        <f t="shared" si="502"/>
        <v/>
      </c>
      <c r="O6343" s="8"/>
      <c r="P6343" s="26"/>
      <c r="S6343" s="10" t="str">
        <f t="shared" si="499"/>
        <v/>
      </c>
    </row>
    <row r="6344" spans="5:19" x14ac:dyDescent="0.3">
      <c r="E6344" s="9" t="str">
        <f>IF(DADOS!C6344="","",DADOS!C6344)</f>
        <v/>
      </c>
      <c r="F6344" s="9" t="str">
        <f>IF(DADOS!E6344="","",DADOS!E6344)</f>
        <v/>
      </c>
      <c r="G6344" s="9" t="str">
        <f>IF(DADOS!F6344="","",DADOS!F6344)</f>
        <v/>
      </c>
      <c r="K6344" s="6" t="str">
        <f t="shared" si="500"/>
        <v/>
      </c>
      <c r="L6344" s="7" t="str">
        <f t="shared" si="501"/>
        <v/>
      </c>
      <c r="M6344" s="7" t="str">
        <f t="shared" si="498"/>
        <v/>
      </c>
      <c r="N6344" s="7" t="str">
        <f t="shared" si="502"/>
        <v/>
      </c>
      <c r="O6344" s="8"/>
      <c r="P6344" s="26"/>
      <c r="S6344" s="10" t="str">
        <f t="shared" si="499"/>
        <v/>
      </c>
    </row>
    <row r="6345" spans="5:19" x14ac:dyDescent="0.3">
      <c r="E6345" s="9" t="str">
        <f>IF(DADOS!C6345="","",DADOS!C6345)</f>
        <v/>
      </c>
      <c r="F6345" s="9" t="str">
        <f>IF(DADOS!E6345="","",DADOS!E6345)</f>
        <v/>
      </c>
      <c r="G6345" s="9" t="str">
        <f>IF(DADOS!F6345="","",DADOS!F6345)</f>
        <v/>
      </c>
      <c r="K6345" s="6" t="str">
        <f t="shared" si="500"/>
        <v/>
      </c>
      <c r="L6345" s="7" t="str">
        <f t="shared" si="501"/>
        <v/>
      </c>
      <c r="M6345" s="7" t="str">
        <f t="shared" si="498"/>
        <v/>
      </c>
      <c r="N6345" s="7" t="str">
        <f t="shared" si="502"/>
        <v/>
      </c>
      <c r="O6345" s="8"/>
      <c r="P6345" s="26"/>
      <c r="S6345" s="10" t="str">
        <f t="shared" si="499"/>
        <v/>
      </c>
    </row>
    <row r="6346" spans="5:19" x14ac:dyDescent="0.3">
      <c r="E6346" s="9" t="str">
        <f>IF(DADOS!C6346="","",DADOS!C6346)</f>
        <v/>
      </c>
      <c r="F6346" s="9" t="str">
        <f>IF(DADOS!E6346="","",DADOS!E6346)</f>
        <v/>
      </c>
      <c r="G6346" s="9" t="str">
        <f>IF(DADOS!F6346="","",DADOS!F6346)</f>
        <v/>
      </c>
      <c r="K6346" s="6" t="str">
        <f t="shared" si="500"/>
        <v/>
      </c>
      <c r="L6346" s="7" t="str">
        <f t="shared" si="501"/>
        <v/>
      </c>
      <c r="M6346" s="7" t="str">
        <f t="shared" si="498"/>
        <v/>
      </c>
      <c r="N6346" s="7" t="str">
        <f t="shared" si="502"/>
        <v/>
      </c>
      <c r="O6346" s="8"/>
      <c r="P6346" s="26"/>
      <c r="S6346" s="10" t="str">
        <f t="shared" si="499"/>
        <v/>
      </c>
    </row>
    <row r="6347" spans="5:19" x14ac:dyDescent="0.3">
      <c r="E6347" s="9" t="str">
        <f>IF(DADOS!C6347="","",DADOS!C6347)</f>
        <v/>
      </c>
      <c r="F6347" s="9" t="str">
        <f>IF(DADOS!E6347="","",DADOS!E6347)</f>
        <v/>
      </c>
      <c r="G6347" s="9" t="str">
        <f>IF(DADOS!F6347="","",DADOS!F6347)</f>
        <v/>
      </c>
      <c r="K6347" s="6" t="str">
        <f t="shared" si="500"/>
        <v/>
      </c>
      <c r="L6347" s="7" t="str">
        <f t="shared" si="501"/>
        <v/>
      </c>
      <c r="M6347" s="7" t="str">
        <f t="shared" si="498"/>
        <v/>
      </c>
      <c r="N6347" s="7" t="str">
        <f t="shared" si="502"/>
        <v/>
      </c>
      <c r="O6347" s="8"/>
      <c r="P6347" s="26"/>
      <c r="S6347" s="10" t="str">
        <f t="shared" si="499"/>
        <v/>
      </c>
    </row>
    <row r="6348" spans="5:19" x14ac:dyDescent="0.3">
      <c r="E6348" s="9" t="str">
        <f>IF(DADOS!C6348="","",DADOS!C6348)</f>
        <v/>
      </c>
      <c r="F6348" s="9" t="str">
        <f>IF(DADOS!E6348="","",DADOS!E6348)</f>
        <v/>
      </c>
      <c r="G6348" s="9" t="str">
        <f>IF(DADOS!F6348="","",DADOS!F6348)</f>
        <v/>
      </c>
      <c r="K6348" s="6" t="str">
        <f t="shared" si="500"/>
        <v/>
      </c>
      <c r="L6348" s="7" t="str">
        <f t="shared" si="501"/>
        <v/>
      </c>
      <c r="M6348" s="7" t="str">
        <f t="shared" si="498"/>
        <v/>
      </c>
      <c r="N6348" s="7" t="str">
        <f t="shared" si="502"/>
        <v/>
      </c>
      <c r="O6348" s="8"/>
      <c r="P6348" s="26"/>
      <c r="S6348" s="10" t="str">
        <f t="shared" si="499"/>
        <v/>
      </c>
    </row>
    <row r="6349" spans="5:19" x14ac:dyDescent="0.3">
      <c r="E6349" s="9" t="str">
        <f>IF(DADOS!C6349="","",DADOS!C6349)</f>
        <v/>
      </c>
      <c r="F6349" s="9" t="str">
        <f>IF(DADOS!E6349="","",DADOS!E6349)</f>
        <v/>
      </c>
      <c r="G6349" s="9" t="str">
        <f>IF(DADOS!F6349="","",DADOS!F6349)</f>
        <v/>
      </c>
      <c r="K6349" s="6" t="str">
        <f t="shared" si="500"/>
        <v/>
      </c>
      <c r="L6349" s="7" t="str">
        <f t="shared" si="501"/>
        <v/>
      </c>
      <c r="M6349" s="7" t="str">
        <f t="shared" si="498"/>
        <v/>
      </c>
      <c r="N6349" s="7" t="str">
        <f t="shared" si="502"/>
        <v/>
      </c>
      <c r="O6349" s="8"/>
      <c r="P6349" s="26"/>
      <c r="S6349" s="10" t="str">
        <f t="shared" si="499"/>
        <v/>
      </c>
    </row>
    <row r="6350" spans="5:19" x14ac:dyDescent="0.3">
      <c r="E6350" s="9" t="str">
        <f>IF(DADOS!C6350="","",DADOS!C6350)</f>
        <v/>
      </c>
      <c r="F6350" s="9" t="str">
        <f>IF(DADOS!E6350="","",DADOS!E6350)</f>
        <v/>
      </c>
      <c r="G6350" s="9" t="str">
        <f>IF(DADOS!F6350="","",DADOS!F6350)</f>
        <v/>
      </c>
      <c r="K6350" s="6" t="str">
        <f t="shared" si="500"/>
        <v/>
      </c>
      <c r="L6350" s="7" t="str">
        <f t="shared" si="501"/>
        <v/>
      </c>
      <c r="M6350" s="7" t="str">
        <f t="shared" si="498"/>
        <v/>
      </c>
      <c r="N6350" s="7" t="str">
        <f t="shared" si="502"/>
        <v/>
      </c>
      <c r="O6350" s="8"/>
      <c r="P6350" s="26"/>
      <c r="S6350" s="10" t="str">
        <f t="shared" si="499"/>
        <v/>
      </c>
    </row>
    <row r="6351" spans="5:19" x14ac:dyDescent="0.3">
      <c r="E6351" s="9" t="str">
        <f>IF(DADOS!C6351="","",DADOS!C6351)</f>
        <v/>
      </c>
      <c r="F6351" s="9" t="str">
        <f>IF(DADOS!E6351="","",DADOS!E6351)</f>
        <v/>
      </c>
      <c r="G6351" s="9" t="str">
        <f>IF(DADOS!F6351="","",DADOS!F6351)</f>
        <v/>
      </c>
      <c r="K6351" s="6" t="str">
        <f t="shared" si="500"/>
        <v/>
      </c>
      <c r="L6351" s="7" t="str">
        <f t="shared" si="501"/>
        <v/>
      </c>
      <c r="M6351" s="7" t="str">
        <f t="shared" si="498"/>
        <v/>
      </c>
      <c r="N6351" s="7" t="str">
        <f t="shared" si="502"/>
        <v/>
      </c>
      <c r="O6351" s="8"/>
      <c r="P6351" s="26"/>
      <c r="S6351" s="10" t="str">
        <f t="shared" si="499"/>
        <v/>
      </c>
    </row>
    <row r="6352" spans="5:19" x14ac:dyDescent="0.3">
      <c r="E6352" s="9" t="str">
        <f>IF(DADOS!C6352="","",DADOS!C6352)</f>
        <v/>
      </c>
      <c r="F6352" s="9" t="str">
        <f>IF(DADOS!E6352="","",DADOS!E6352)</f>
        <v/>
      </c>
      <c r="G6352" s="9" t="str">
        <f>IF(DADOS!F6352="","",DADOS!F6352)</f>
        <v/>
      </c>
      <c r="K6352" s="6" t="str">
        <f t="shared" si="500"/>
        <v/>
      </c>
      <c r="L6352" s="7" t="str">
        <f t="shared" si="501"/>
        <v/>
      </c>
      <c r="M6352" s="7" t="str">
        <f t="shared" si="498"/>
        <v/>
      </c>
      <c r="N6352" s="7" t="str">
        <f t="shared" si="502"/>
        <v/>
      </c>
      <c r="O6352" s="8"/>
      <c r="P6352" s="26"/>
      <c r="S6352" s="10" t="str">
        <f t="shared" si="499"/>
        <v/>
      </c>
    </row>
    <row r="6353" spans="5:19" x14ac:dyDescent="0.3">
      <c r="E6353" s="9" t="str">
        <f>IF(DADOS!C6353="","",DADOS!C6353)</f>
        <v/>
      </c>
      <c r="F6353" s="9" t="str">
        <f>IF(DADOS!E6353="","",DADOS!E6353)</f>
        <v/>
      </c>
      <c r="G6353" s="9" t="str">
        <f>IF(DADOS!F6353="","",DADOS!F6353)</f>
        <v/>
      </c>
      <c r="K6353" s="6" t="str">
        <f t="shared" si="500"/>
        <v/>
      </c>
      <c r="L6353" s="7" t="str">
        <f t="shared" si="501"/>
        <v/>
      </c>
      <c r="M6353" s="7" t="str">
        <f t="shared" si="498"/>
        <v/>
      </c>
      <c r="N6353" s="7" t="str">
        <f t="shared" si="502"/>
        <v/>
      </c>
      <c r="O6353" s="8"/>
      <c r="P6353" s="26"/>
      <c r="S6353" s="10" t="str">
        <f t="shared" si="499"/>
        <v/>
      </c>
    </row>
    <row r="6354" spans="5:19" x14ac:dyDescent="0.3">
      <c r="E6354" s="9" t="str">
        <f>IF(DADOS!C6354="","",DADOS!C6354)</f>
        <v/>
      </c>
      <c r="F6354" s="9" t="str">
        <f>IF(DADOS!E6354="","",DADOS!E6354)</f>
        <v/>
      </c>
      <c r="G6354" s="9" t="str">
        <f>IF(DADOS!F6354="","",DADOS!F6354)</f>
        <v/>
      </c>
      <c r="K6354" s="6" t="str">
        <f t="shared" si="500"/>
        <v/>
      </c>
      <c r="L6354" s="7" t="str">
        <f t="shared" si="501"/>
        <v/>
      </c>
      <c r="M6354" s="7" t="str">
        <f t="shared" si="498"/>
        <v/>
      </c>
      <c r="N6354" s="7" t="str">
        <f t="shared" si="502"/>
        <v/>
      </c>
      <c r="O6354" s="8"/>
      <c r="P6354" s="26"/>
      <c r="S6354" s="10" t="str">
        <f t="shared" si="499"/>
        <v/>
      </c>
    </row>
    <row r="6355" spans="5:19" x14ac:dyDescent="0.3">
      <c r="E6355" s="9" t="str">
        <f>IF(DADOS!C6355="","",DADOS!C6355)</f>
        <v/>
      </c>
      <c r="F6355" s="9" t="str">
        <f>IF(DADOS!E6355="","",DADOS!E6355)</f>
        <v/>
      </c>
      <c r="G6355" s="9" t="str">
        <f>IF(DADOS!F6355="","",DADOS!F6355)</f>
        <v/>
      </c>
      <c r="K6355" s="6" t="str">
        <f t="shared" si="500"/>
        <v/>
      </c>
      <c r="L6355" s="7" t="str">
        <f t="shared" si="501"/>
        <v/>
      </c>
      <c r="M6355" s="7" t="str">
        <f t="shared" si="498"/>
        <v/>
      </c>
      <c r="N6355" s="7" t="str">
        <f t="shared" si="502"/>
        <v/>
      </c>
      <c r="O6355" s="8"/>
      <c r="P6355" s="26"/>
      <c r="S6355" s="10" t="str">
        <f t="shared" si="499"/>
        <v/>
      </c>
    </row>
    <row r="6356" spans="5:19" x14ac:dyDescent="0.3">
      <c r="E6356" s="9" t="str">
        <f>IF(DADOS!C6356="","",DADOS!C6356)</f>
        <v/>
      </c>
      <c r="F6356" s="9" t="str">
        <f>IF(DADOS!E6356="","",DADOS!E6356)</f>
        <v/>
      </c>
      <c r="G6356" s="9" t="str">
        <f>IF(DADOS!F6356="","",DADOS!F6356)</f>
        <v/>
      </c>
      <c r="K6356" s="6" t="str">
        <f t="shared" si="500"/>
        <v/>
      </c>
      <c r="L6356" s="7" t="str">
        <f t="shared" si="501"/>
        <v/>
      </c>
      <c r="M6356" s="7" t="str">
        <f t="shared" si="498"/>
        <v/>
      </c>
      <c r="N6356" s="7" t="str">
        <f t="shared" si="502"/>
        <v/>
      </c>
      <c r="O6356" s="8"/>
      <c r="P6356" s="26"/>
      <c r="S6356" s="10" t="str">
        <f t="shared" si="499"/>
        <v/>
      </c>
    </row>
    <row r="6357" spans="5:19" x14ac:dyDescent="0.3">
      <c r="E6357" s="9" t="str">
        <f>IF(DADOS!C6357="","",DADOS!C6357)</f>
        <v/>
      </c>
      <c r="F6357" s="9" t="str">
        <f>IF(DADOS!E6357="","",DADOS!E6357)</f>
        <v/>
      </c>
      <c r="G6357" s="9" t="str">
        <f>IF(DADOS!F6357="","",DADOS!F6357)</f>
        <v/>
      </c>
      <c r="K6357" s="6" t="str">
        <f t="shared" si="500"/>
        <v/>
      </c>
      <c r="L6357" s="7" t="str">
        <f t="shared" si="501"/>
        <v/>
      </c>
      <c r="M6357" s="7" t="str">
        <f t="shared" si="498"/>
        <v/>
      </c>
      <c r="N6357" s="7" t="str">
        <f t="shared" si="502"/>
        <v/>
      </c>
      <c r="O6357" s="8"/>
      <c r="P6357" s="26"/>
      <c r="S6357" s="10" t="str">
        <f t="shared" si="499"/>
        <v/>
      </c>
    </row>
    <row r="6358" spans="5:19" x14ac:dyDescent="0.3">
      <c r="E6358" s="9" t="str">
        <f>IF(DADOS!C6358="","",DADOS!C6358)</f>
        <v/>
      </c>
      <c r="F6358" s="9" t="str">
        <f>IF(DADOS!E6358="","",DADOS!E6358)</f>
        <v/>
      </c>
      <c r="G6358" s="9" t="str">
        <f>IF(DADOS!F6358="","",DADOS!F6358)</f>
        <v/>
      </c>
      <c r="K6358" s="6" t="str">
        <f t="shared" si="500"/>
        <v/>
      </c>
      <c r="L6358" s="7" t="str">
        <f t="shared" si="501"/>
        <v/>
      </c>
      <c r="M6358" s="7" t="str">
        <f t="shared" si="498"/>
        <v/>
      </c>
      <c r="N6358" s="7" t="str">
        <f t="shared" si="502"/>
        <v/>
      </c>
      <c r="O6358" s="8"/>
      <c r="P6358" s="26"/>
      <c r="S6358" s="10" t="str">
        <f t="shared" si="499"/>
        <v/>
      </c>
    </row>
    <row r="6359" spans="5:19" x14ac:dyDescent="0.3">
      <c r="E6359" s="9" t="str">
        <f>IF(DADOS!C6359="","",DADOS!C6359)</f>
        <v/>
      </c>
      <c r="F6359" s="9" t="str">
        <f>IF(DADOS!E6359="","",DADOS!E6359)</f>
        <v/>
      </c>
      <c r="G6359" s="9" t="str">
        <f>IF(DADOS!F6359="","",DADOS!F6359)</f>
        <v/>
      </c>
      <c r="K6359" s="6" t="str">
        <f t="shared" si="500"/>
        <v/>
      </c>
      <c r="L6359" s="7" t="str">
        <f t="shared" si="501"/>
        <v/>
      </c>
      <c r="M6359" s="7" t="str">
        <f t="shared" si="498"/>
        <v/>
      </c>
      <c r="N6359" s="7" t="str">
        <f t="shared" si="502"/>
        <v/>
      </c>
      <c r="O6359" s="8"/>
      <c r="P6359" s="26"/>
      <c r="S6359" s="10" t="str">
        <f t="shared" si="499"/>
        <v/>
      </c>
    </row>
    <row r="6360" spans="5:19" x14ac:dyDescent="0.3">
      <c r="E6360" s="9" t="str">
        <f>IF(DADOS!C6360="","",DADOS!C6360)</f>
        <v/>
      </c>
      <c r="F6360" s="9" t="str">
        <f>IF(DADOS!E6360="","",DADOS!E6360)</f>
        <v/>
      </c>
      <c r="G6360" s="9" t="str">
        <f>IF(DADOS!F6360="","",DADOS!F6360)</f>
        <v/>
      </c>
      <c r="K6360" s="6" t="str">
        <f t="shared" si="500"/>
        <v/>
      </c>
      <c r="L6360" s="7" t="str">
        <f t="shared" si="501"/>
        <v/>
      </c>
      <c r="M6360" s="7" t="str">
        <f t="shared" si="498"/>
        <v/>
      </c>
      <c r="N6360" s="7" t="str">
        <f t="shared" si="502"/>
        <v/>
      </c>
      <c r="O6360" s="8"/>
      <c r="P6360" s="26"/>
      <c r="S6360" s="10" t="str">
        <f t="shared" si="499"/>
        <v/>
      </c>
    </row>
    <row r="6361" spans="5:19" x14ac:dyDescent="0.3">
      <c r="E6361" s="9" t="str">
        <f>IF(DADOS!C6361="","",DADOS!C6361)</f>
        <v/>
      </c>
      <c r="F6361" s="9" t="str">
        <f>IF(DADOS!E6361="","",DADOS!E6361)</f>
        <v/>
      </c>
      <c r="G6361" s="9" t="str">
        <f>IF(DADOS!F6361="","",DADOS!F6361)</f>
        <v/>
      </c>
      <c r="K6361" s="6" t="str">
        <f t="shared" si="500"/>
        <v/>
      </c>
      <c r="L6361" s="7" t="str">
        <f t="shared" si="501"/>
        <v/>
      </c>
      <c r="M6361" s="7" t="str">
        <f t="shared" si="498"/>
        <v/>
      </c>
      <c r="N6361" s="7" t="str">
        <f t="shared" si="502"/>
        <v/>
      </c>
      <c r="O6361" s="8"/>
      <c r="P6361" s="26"/>
      <c r="S6361" s="10" t="str">
        <f t="shared" si="499"/>
        <v/>
      </c>
    </row>
    <row r="6362" spans="5:19" x14ac:dyDescent="0.3">
      <c r="E6362" s="9" t="str">
        <f>IF(DADOS!C6362="","",DADOS!C6362)</f>
        <v/>
      </c>
      <c r="F6362" s="9" t="str">
        <f>IF(DADOS!E6362="","",DADOS!E6362)</f>
        <v/>
      </c>
      <c r="G6362" s="9" t="str">
        <f>IF(DADOS!F6362="","",DADOS!F6362)</f>
        <v/>
      </c>
      <c r="K6362" s="6" t="str">
        <f t="shared" si="500"/>
        <v/>
      </c>
      <c r="L6362" s="7" t="str">
        <f t="shared" si="501"/>
        <v/>
      </c>
      <c r="M6362" s="7" t="str">
        <f t="shared" si="498"/>
        <v/>
      </c>
      <c r="N6362" s="7" t="str">
        <f t="shared" si="502"/>
        <v/>
      </c>
      <c r="O6362" s="8"/>
      <c r="P6362" s="26"/>
      <c r="S6362" s="10" t="str">
        <f t="shared" si="499"/>
        <v/>
      </c>
    </row>
    <row r="6363" spans="5:19" x14ac:dyDescent="0.3">
      <c r="E6363" s="9" t="str">
        <f>IF(DADOS!C6363="","",DADOS!C6363)</f>
        <v/>
      </c>
      <c r="F6363" s="9" t="str">
        <f>IF(DADOS!E6363="","",DADOS!E6363)</f>
        <v/>
      </c>
      <c r="G6363" s="9" t="str">
        <f>IF(DADOS!F6363="","",DADOS!F6363)</f>
        <v/>
      </c>
      <c r="K6363" s="6" t="str">
        <f t="shared" si="500"/>
        <v/>
      </c>
      <c r="L6363" s="7" t="str">
        <f t="shared" si="501"/>
        <v/>
      </c>
      <c r="M6363" s="7" t="str">
        <f t="shared" si="498"/>
        <v/>
      </c>
      <c r="N6363" s="7" t="str">
        <f t="shared" si="502"/>
        <v/>
      </c>
      <c r="O6363" s="8"/>
      <c r="P6363" s="26"/>
      <c r="S6363" s="10" t="str">
        <f t="shared" si="499"/>
        <v/>
      </c>
    </row>
    <row r="6364" spans="5:19" x14ac:dyDescent="0.3">
      <c r="E6364" s="9" t="str">
        <f>IF(DADOS!C6364="","",DADOS!C6364)</f>
        <v/>
      </c>
      <c r="F6364" s="9" t="str">
        <f>IF(DADOS!E6364="","",DADOS!E6364)</f>
        <v/>
      </c>
      <c r="G6364" s="9" t="str">
        <f>IF(DADOS!F6364="","",DADOS!F6364)</f>
        <v/>
      </c>
      <c r="K6364" s="6" t="str">
        <f t="shared" si="500"/>
        <v/>
      </c>
      <c r="L6364" s="7" t="str">
        <f t="shared" si="501"/>
        <v/>
      </c>
      <c r="M6364" s="7" t="str">
        <f t="shared" si="498"/>
        <v/>
      </c>
      <c r="N6364" s="7" t="str">
        <f t="shared" si="502"/>
        <v/>
      </c>
      <c r="O6364" s="8"/>
      <c r="P6364" s="26"/>
      <c r="S6364" s="10" t="str">
        <f t="shared" si="499"/>
        <v/>
      </c>
    </row>
    <row r="6365" spans="5:19" x14ac:dyDescent="0.3">
      <c r="E6365" s="9" t="str">
        <f>IF(DADOS!C6365="","",DADOS!C6365)</f>
        <v/>
      </c>
      <c r="F6365" s="9" t="str">
        <f>IF(DADOS!E6365="","",DADOS!E6365)</f>
        <v/>
      </c>
      <c r="G6365" s="9" t="str">
        <f>IF(DADOS!F6365="","",DADOS!F6365)</f>
        <v/>
      </c>
      <c r="K6365" s="6" t="str">
        <f t="shared" si="500"/>
        <v/>
      </c>
      <c r="L6365" s="7" t="str">
        <f t="shared" si="501"/>
        <v/>
      </c>
      <c r="M6365" s="7" t="str">
        <f t="shared" si="498"/>
        <v/>
      </c>
      <c r="N6365" s="7" t="str">
        <f t="shared" si="502"/>
        <v/>
      </c>
      <c r="O6365" s="8"/>
      <c r="P6365" s="26"/>
      <c r="S6365" s="10" t="str">
        <f t="shared" si="499"/>
        <v/>
      </c>
    </row>
    <row r="6366" spans="5:19" x14ac:dyDescent="0.3">
      <c r="E6366" s="9" t="str">
        <f>IF(DADOS!C6366="","",DADOS!C6366)</f>
        <v/>
      </c>
      <c r="F6366" s="9" t="str">
        <f>IF(DADOS!E6366="","",DADOS!E6366)</f>
        <v/>
      </c>
      <c r="G6366" s="9" t="str">
        <f>IF(DADOS!F6366="","",DADOS!F6366)</f>
        <v/>
      </c>
      <c r="K6366" s="6" t="str">
        <f t="shared" si="500"/>
        <v/>
      </c>
      <c r="L6366" s="7" t="str">
        <f t="shared" si="501"/>
        <v/>
      </c>
      <c r="M6366" s="7" t="str">
        <f t="shared" si="498"/>
        <v/>
      </c>
      <c r="N6366" s="7" t="str">
        <f t="shared" si="502"/>
        <v/>
      </c>
      <c r="O6366" s="8"/>
      <c r="P6366" s="26"/>
      <c r="S6366" s="10" t="str">
        <f t="shared" si="499"/>
        <v/>
      </c>
    </row>
    <row r="6367" spans="5:19" x14ac:dyDescent="0.3">
      <c r="E6367" s="9" t="str">
        <f>IF(DADOS!C6367="","",DADOS!C6367)</f>
        <v/>
      </c>
      <c r="F6367" s="9" t="str">
        <f>IF(DADOS!E6367="","",DADOS!E6367)</f>
        <v/>
      </c>
      <c r="G6367" s="9" t="str">
        <f>IF(DADOS!F6367="","",DADOS!F6367)</f>
        <v/>
      </c>
      <c r="K6367" s="6" t="str">
        <f t="shared" si="500"/>
        <v/>
      </c>
      <c r="L6367" s="7" t="str">
        <f t="shared" si="501"/>
        <v/>
      </c>
      <c r="M6367" s="7" t="str">
        <f t="shared" si="498"/>
        <v/>
      </c>
      <c r="N6367" s="7" t="str">
        <f t="shared" si="502"/>
        <v/>
      </c>
      <c r="O6367" s="8"/>
      <c r="P6367" s="26"/>
      <c r="S6367" s="10" t="str">
        <f t="shared" si="499"/>
        <v/>
      </c>
    </row>
    <row r="6368" spans="5:19" x14ac:dyDescent="0.3">
      <c r="E6368" s="9" t="str">
        <f>IF(DADOS!C6368="","",DADOS!C6368)</f>
        <v/>
      </c>
      <c r="F6368" s="9" t="str">
        <f>IF(DADOS!E6368="","",DADOS!E6368)</f>
        <v/>
      </c>
      <c r="G6368" s="9" t="str">
        <f>IF(DADOS!F6368="","",DADOS!F6368)</f>
        <v/>
      </c>
      <c r="K6368" s="6" t="str">
        <f t="shared" si="500"/>
        <v/>
      </c>
      <c r="L6368" s="7" t="str">
        <f t="shared" si="501"/>
        <v/>
      </c>
      <c r="M6368" s="7" t="str">
        <f t="shared" si="498"/>
        <v/>
      </c>
      <c r="N6368" s="7" t="str">
        <f t="shared" si="502"/>
        <v/>
      </c>
      <c r="O6368" s="8"/>
      <c r="P6368" s="26"/>
      <c r="S6368" s="10" t="str">
        <f t="shared" si="499"/>
        <v/>
      </c>
    </row>
    <row r="6369" spans="5:19" x14ac:dyDescent="0.3">
      <c r="E6369" s="9" t="str">
        <f>IF(DADOS!C6369="","",DADOS!C6369)</f>
        <v/>
      </c>
      <c r="F6369" s="9" t="str">
        <f>IF(DADOS!E6369="","",DADOS!E6369)</f>
        <v/>
      </c>
      <c r="G6369" s="9" t="str">
        <f>IF(DADOS!F6369="","",DADOS!F6369)</f>
        <v/>
      </c>
      <c r="K6369" s="6" t="str">
        <f t="shared" si="500"/>
        <v/>
      </c>
      <c r="L6369" s="7" t="str">
        <f t="shared" si="501"/>
        <v/>
      </c>
      <c r="M6369" s="7" t="str">
        <f t="shared" si="498"/>
        <v/>
      </c>
      <c r="N6369" s="7" t="str">
        <f t="shared" si="502"/>
        <v/>
      </c>
      <c r="O6369" s="8"/>
      <c r="P6369" s="26"/>
      <c r="S6369" s="10" t="str">
        <f t="shared" si="499"/>
        <v/>
      </c>
    </row>
    <row r="6370" spans="5:19" x14ac:dyDescent="0.3">
      <c r="E6370" s="9" t="str">
        <f>IF(DADOS!C6370="","",DADOS!C6370)</f>
        <v/>
      </c>
      <c r="F6370" s="9" t="str">
        <f>IF(DADOS!E6370="","",DADOS!E6370)</f>
        <v/>
      </c>
      <c r="G6370" s="9" t="str">
        <f>IF(DADOS!F6370="","",DADOS!F6370)</f>
        <v/>
      </c>
      <c r="K6370" s="6" t="str">
        <f t="shared" si="500"/>
        <v/>
      </c>
      <c r="L6370" s="7" t="str">
        <f t="shared" si="501"/>
        <v/>
      </c>
      <c r="M6370" s="7" t="str">
        <f t="shared" si="498"/>
        <v/>
      </c>
      <c r="N6370" s="7" t="str">
        <f t="shared" si="502"/>
        <v/>
      </c>
      <c r="O6370" s="8"/>
      <c r="P6370" s="26"/>
      <c r="S6370" s="10" t="str">
        <f t="shared" si="499"/>
        <v/>
      </c>
    </row>
    <row r="6371" spans="5:19" x14ac:dyDescent="0.3">
      <c r="E6371" s="9" t="str">
        <f>IF(DADOS!C6371="","",DADOS!C6371)</f>
        <v/>
      </c>
      <c r="F6371" s="9" t="str">
        <f>IF(DADOS!E6371="","",DADOS!E6371)</f>
        <v/>
      </c>
      <c r="G6371" s="9" t="str">
        <f>IF(DADOS!F6371="","",DADOS!F6371)</f>
        <v/>
      </c>
      <c r="K6371" s="6" t="str">
        <f t="shared" si="500"/>
        <v/>
      </c>
      <c r="L6371" s="7" t="str">
        <f t="shared" si="501"/>
        <v/>
      </c>
      <c r="M6371" s="7" t="str">
        <f t="shared" si="498"/>
        <v/>
      </c>
      <c r="N6371" s="7" t="str">
        <f t="shared" si="502"/>
        <v/>
      </c>
      <c r="O6371" s="8"/>
      <c r="P6371" s="26"/>
      <c r="S6371" s="10" t="str">
        <f t="shared" si="499"/>
        <v/>
      </c>
    </row>
    <row r="6372" spans="5:19" x14ac:dyDescent="0.3">
      <c r="E6372" s="9" t="str">
        <f>IF(DADOS!C6372="","",DADOS!C6372)</f>
        <v/>
      </c>
      <c r="F6372" s="9" t="str">
        <f>IF(DADOS!E6372="","",DADOS!E6372)</f>
        <v/>
      </c>
      <c r="G6372" s="9" t="str">
        <f>IF(DADOS!F6372="","",DADOS!F6372)</f>
        <v/>
      </c>
      <c r="K6372" s="6" t="str">
        <f t="shared" si="500"/>
        <v/>
      </c>
      <c r="L6372" s="7" t="str">
        <f t="shared" si="501"/>
        <v/>
      </c>
      <c r="M6372" s="7" t="str">
        <f t="shared" si="498"/>
        <v/>
      </c>
      <c r="N6372" s="7" t="str">
        <f t="shared" si="502"/>
        <v/>
      </c>
      <c r="O6372" s="8"/>
      <c r="P6372" s="26"/>
      <c r="S6372" s="10" t="str">
        <f t="shared" si="499"/>
        <v/>
      </c>
    </row>
    <row r="6373" spans="5:19" x14ac:dyDescent="0.3">
      <c r="E6373" s="9" t="str">
        <f>IF(DADOS!C6373="","",DADOS!C6373)</f>
        <v/>
      </c>
      <c r="F6373" s="9" t="str">
        <f>IF(DADOS!E6373="","",DADOS!E6373)</f>
        <v/>
      </c>
      <c r="G6373" s="9" t="str">
        <f>IF(DADOS!F6373="","",DADOS!F6373)</f>
        <v/>
      </c>
      <c r="K6373" s="6" t="str">
        <f t="shared" si="500"/>
        <v/>
      </c>
      <c r="L6373" s="7" t="str">
        <f t="shared" si="501"/>
        <v/>
      </c>
      <c r="M6373" s="7" t="str">
        <f t="shared" si="498"/>
        <v/>
      </c>
      <c r="N6373" s="7" t="str">
        <f t="shared" si="502"/>
        <v/>
      </c>
      <c r="O6373" s="8"/>
      <c r="P6373" s="26"/>
      <c r="S6373" s="10" t="str">
        <f t="shared" si="499"/>
        <v/>
      </c>
    </row>
    <row r="6374" spans="5:19" x14ac:dyDescent="0.3">
      <c r="E6374" s="9" t="str">
        <f>IF(DADOS!C6374="","",DADOS!C6374)</f>
        <v/>
      </c>
      <c r="F6374" s="9" t="str">
        <f>IF(DADOS!E6374="","",DADOS!E6374)</f>
        <v/>
      </c>
      <c r="G6374" s="9" t="str">
        <f>IF(DADOS!F6374="","",DADOS!F6374)</f>
        <v/>
      </c>
      <c r="K6374" s="6" t="str">
        <f t="shared" si="500"/>
        <v/>
      </c>
      <c r="L6374" s="7" t="str">
        <f t="shared" si="501"/>
        <v/>
      </c>
      <c r="M6374" s="7" t="str">
        <f t="shared" si="498"/>
        <v/>
      </c>
      <c r="N6374" s="7" t="str">
        <f t="shared" si="502"/>
        <v/>
      </c>
      <c r="O6374" s="8"/>
      <c r="P6374" s="26"/>
      <c r="S6374" s="10" t="str">
        <f t="shared" si="499"/>
        <v/>
      </c>
    </row>
    <row r="6375" spans="5:19" x14ac:dyDescent="0.3">
      <c r="E6375" s="9" t="str">
        <f>IF(DADOS!C6375="","",DADOS!C6375)</f>
        <v/>
      </c>
      <c r="F6375" s="9" t="str">
        <f>IF(DADOS!E6375="","",DADOS!E6375)</f>
        <v/>
      </c>
      <c r="G6375" s="9" t="str">
        <f>IF(DADOS!F6375="","",DADOS!F6375)</f>
        <v/>
      </c>
      <c r="K6375" s="6" t="str">
        <f t="shared" si="500"/>
        <v/>
      </c>
      <c r="L6375" s="7" t="str">
        <f t="shared" si="501"/>
        <v/>
      </c>
      <c r="M6375" s="7" t="str">
        <f t="shared" si="498"/>
        <v/>
      </c>
      <c r="N6375" s="7" t="str">
        <f t="shared" si="502"/>
        <v/>
      </c>
      <c r="O6375" s="8"/>
      <c r="P6375" s="26"/>
      <c r="S6375" s="10" t="str">
        <f t="shared" si="499"/>
        <v/>
      </c>
    </row>
    <row r="6376" spans="5:19" x14ac:dyDescent="0.3">
      <c r="E6376" s="9" t="str">
        <f>IF(DADOS!C6376="","",DADOS!C6376)</f>
        <v/>
      </c>
      <c r="F6376" s="9" t="str">
        <f>IF(DADOS!E6376="","",DADOS!E6376)</f>
        <v/>
      </c>
      <c r="G6376" s="9" t="str">
        <f>IF(DADOS!F6376="","",DADOS!F6376)</f>
        <v/>
      </c>
      <c r="K6376" s="6" t="str">
        <f t="shared" si="500"/>
        <v/>
      </c>
      <c r="L6376" s="7" t="str">
        <f t="shared" si="501"/>
        <v/>
      </c>
      <c r="M6376" s="7" t="str">
        <f t="shared" si="498"/>
        <v/>
      </c>
      <c r="N6376" s="7" t="str">
        <f t="shared" si="502"/>
        <v/>
      </c>
      <c r="O6376" s="8"/>
      <c r="P6376" s="26"/>
      <c r="S6376" s="10" t="str">
        <f t="shared" si="499"/>
        <v/>
      </c>
    </row>
    <row r="6377" spans="5:19" x14ac:dyDescent="0.3">
      <c r="E6377" s="9" t="str">
        <f>IF(DADOS!C6377="","",DADOS!C6377)</f>
        <v/>
      </c>
      <c r="F6377" s="9" t="str">
        <f>IF(DADOS!E6377="","",DADOS!E6377)</f>
        <v/>
      </c>
      <c r="G6377" s="9" t="str">
        <f>IF(DADOS!F6377="","",DADOS!F6377)</f>
        <v/>
      </c>
      <c r="K6377" s="6" t="str">
        <f t="shared" si="500"/>
        <v/>
      </c>
      <c r="L6377" s="7" t="str">
        <f t="shared" si="501"/>
        <v/>
      </c>
      <c r="M6377" s="7" t="str">
        <f t="shared" si="498"/>
        <v/>
      </c>
      <c r="N6377" s="7" t="str">
        <f t="shared" si="502"/>
        <v/>
      </c>
      <c r="O6377" s="8"/>
      <c r="P6377" s="26"/>
      <c r="S6377" s="10" t="str">
        <f t="shared" si="499"/>
        <v/>
      </c>
    </row>
    <row r="6378" spans="5:19" x14ac:dyDescent="0.3">
      <c r="E6378" s="9" t="str">
        <f>IF(DADOS!C6378="","",DADOS!C6378)</f>
        <v/>
      </c>
      <c r="F6378" s="9" t="str">
        <f>IF(DADOS!E6378="","",DADOS!E6378)</f>
        <v/>
      </c>
      <c r="G6378" s="9" t="str">
        <f>IF(DADOS!F6378="","",DADOS!F6378)</f>
        <v/>
      </c>
      <c r="K6378" s="6" t="str">
        <f t="shared" si="500"/>
        <v/>
      </c>
      <c r="L6378" s="7" t="str">
        <f t="shared" si="501"/>
        <v/>
      </c>
      <c r="M6378" s="7" t="str">
        <f t="shared" si="498"/>
        <v/>
      </c>
      <c r="N6378" s="7" t="str">
        <f t="shared" si="502"/>
        <v/>
      </c>
      <c r="O6378" s="8"/>
      <c r="P6378" s="26"/>
      <c r="S6378" s="10" t="str">
        <f t="shared" si="499"/>
        <v/>
      </c>
    </row>
    <row r="6379" spans="5:19" x14ac:dyDescent="0.3">
      <c r="E6379" s="9" t="str">
        <f>IF(DADOS!C6379="","",DADOS!C6379)</f>
        <v/>
      </c>
      <c r="F6379" s="9" t="str">
        <f>IF(DADOS!E6379="","",DADOS!E6379)</f>
        <v/>
      </c>
      <c r="G6379" s="9" t="str">
        <f>IF(DADOS!F6379="","",DADOS!F6379)</f>
        <v/>
      </c>
      <c r="K6379" s="6" t="str">
        <f t="shared" si="500"/>
        <v/>
      </c>
      <c r="L6379" s="7" t="str">
        <f t="shared" si="501"/>
        <v/>
      </c>
      <c r="M6379" s="7" t="str">
        <f t="shared" si="498"/>
        <v/>
      </c>
      <c r="N6379" s="7" t="str">
        <f t="shared" si="502"/>
        <v/>
      </c>
      <c r="O6379" s="8"/>
      <c r="P6379" s="26"/>
      <c r="S6379" s="10" t="str">
        <f t="shared" si="499"/>
        <v/>
      </c>
    </row>
    <row r="6380" spans="5:19" x14ac:dyDescent="0.3">
      <c r="E6380" s="9" t="str">
        <f>IF(DADOS!C6380="","",DADOS!C6380)</f>
        <v/>
      </c>
      <c r="F6380" s="9" t="str">
        <f>IF(DADOS!E6380="","",DADOS!E6380)</f>
        <v/>
      </c>
      <c r="G6380" s="9" t="str">
        <f>IF(DADOS!F6380="","",DADOS!F6380)</f>
        <v/>
      </c>
      <c r="K6380" s="6" t="str">
        <f t="shared" si="500"/>
        <v/>
      </c>
      <c r="L6380" s="7" t="str">
        <f t="shared" si="501"/>
        <v/>
      </c>
      <c r="M6380" s="7" t="str">
        <f t="shared" si="498"/>
        <v/>
      </c>
      <c r="N6380" s="7" t="str">
        <f t="shared" si="502"/>
        <v/>
      </c>
      <c r="O6380" s="8"/>
      <c r="P6380" s="26"/>
      <c r="S6380" s="10" t="str">
        <f t="shared" si="499"/>
        <v/>
      </c>
    </row>
    <row r="6381" spans="5:19" x14ac:dyDescent="0.3">
      <c r="E6381" s="9" t="str">
        <f>IF(DADOS!C6381="","",DADOS!C6381)</f>
        <v/>
      </c>
      <c r="F6381" s="9" t="str">
        <f>IF(DADOS!E6381="","",DADOS!E6381)</f>
        <v/>
      </c>
      <c r="G6381" s="9" t="str">
        <f>IF(DADOS!F6381="","",DADOS!F6381)</f>
        <v/>
      </c>
      <c r="K6381" s="6" t="str">
        <f t="shared" si="500"/>
        <v/>
      </c>
      <c r="L6381" s="7" t="str">
        <f t="shared" si="501"/>
        <v/>
      </c>
      <c r="M6381" s="7" t="str">
        <f t="shared" si="498"/>
        <v/>
      </c>
      <c r="N6381" s="7" t="str">
        <f t="shared" si="502"/>
        <v/>
      </c>
      <c r="O6381" s="8"/>
      <c r="P6381" s="26"/>
      <c r="S6381" s="10" t="str">
        <f t="shared" si="499"/>
        <v/>
      </c>
    </row>
    <row r="6382" spans="5:19" x14ac:dyDescent="0.3">
      <c r="E6382" s="9" t="str">
        <f>IF(DADOS!C6382="","",DADOS!C6382)</f>
        <v/>
      </c>
      <c r="F6382" s="9" t="str">
        <f>IF(DADOS!E6382="","",DADOS!E6382)</f>
        <v/>
      </c>
      <c r="G6382" s="9" t="str">
        <f>IF(DADOS!F6382="","",DADOS!F6382)</f>
        <v/>
      </c>
      <c r="K6382" s="6" t="str">
        <f t="shared" si="500"/>
        <v/>
      </c>
      <c r="L6382" s="7" t="str">
        <f t="shared" si="501"/>
        <v/>
      </c>
      <c r="M6382" s="7" t="str">
        <f t="shared" si="498"/>
        <v/>
      </c>
      <c r="N6382" s="7" t="str">
        <f t="shared" si="502"/>
        <v/>
      </c>
      <c r="O6382" s="8"/>
      <c r="P6382" s="26"/>
      <c r="S6382" s="10" t="str">
        <f t="shared" si="499"/>
        <v/>
      </c>
    </row>
    <row r="6383" spans="5:19" x14ac:dyDescent="0.3">
      <c r="E6383" s="9" t="str">
        <f>IF(DADOS!C6383="","",DADOS!C6383)</f>
        <v/>
      </c>
      <c r="F6383" s="9" t="str">
        <f>IF(DADOS!E6383="","",DADOS!E6383)</f>
        <v/>
      </c>
      <c r="G6383" s="9" t="str">
        <f>IF(DADOS!F6383="","",DADOS!F6383)</f>
        <v/>
      </c>
      <c r="K6383" s="6" t="str">
        <f t="shared" si="500"/>
        <v/>
      </c>
      <c r="L6383" s="7" t="str">
        <f t="shared" si="501"/>
        <v/>
      </c>
      <c r="M6383" s="7" t="str">
        <f t="shared" si="498"/>
        <v/>
      </c>
      <c r="N6383" s="7" t="str">
        <f t="shared" si="502"/>
        <v/>
      </c>
      <c r="O6383" s="8"/>
      <c r="P6383" s="26"/>
      <c r="S6383" s="10" t="str">
        <f t="shared" si="499"/>
        <v/>
      </c>
    </row>
    <row r="6384" spans="5:19" x14ac:dyDescent="0.3">
      <c r="E6384" s="9" t="str">
        <f>IF(DADOS!C6384="","",DADOS!C6384)</f>
        <v/>
      </c>
      <c r="F6384" s="9" t="str">
        <f>IF(DADOS!E6384="","",DADOS!E6384)</f>
        <v/>
      </c>
      <c r="G6384" s="9" t="str">
        <f>IF(DADOS!F6384="","",DADOS!F6384)</f>
        <v/>
      </c>
      <c r="K6384" s="6" t="str">
        <f t="shared" si="500"/>
        <v/>
      </c>
      <c r="L6384" s="7" t="str">
        <f t="shared" si="501"/>
        <v/>
      </c>
      <c r="M6384" s="7" t="str">
        <f t="shared" si="498"/>
        <v/>
      </c>
      <c r="N6384" s="7" t="str">
        <f t="shared" si="502"/>
        <v/>
      </c>
      <c r="O6384" s="8"/>
      <c r="P6384" s="26"/>
      <c r="S6384" s="10" t="str">
        <f t="shared" si="499"/>
        <v/>
      </c>
    </row>
    <row r="6385" spans="5:19" x14ac:dyDescent="0.3">
      <c r="E6385" s="9" t="str">
        <f>IF(DADOS!C6385="","",DADOS!C6385)</f>
        <v/>
      </c>
      <c r="F6385" s="9" t="str">
        <f>IF(DADOS!E6385="","",DADOS!E6385)</f>
        <v/>
      </c>
      <c r="G6385" s="9" t="str">
        <f>IF(DADOS!F6385="","",DADOS!F6385)</f>
        <v/>
      </c>
      <c r="K6385" s="6" t="str">
        <f t="shared" si="500"/>
        <v/>
      </c>
      <c r="L6385" s="7" t="str">
        <f t="shared" si="501"/>
        <v/>
      </c>
      <c r="M6385" s="7" t="str">
        <f t="shared" si="498"/>
        <v/>
      </c>
      <c r="N6385" s="7" t="str">
        <f t="shared" si="502"/>
        <v/>
      </c>
      <c r="O6385" s="8"/>
      <c r="P6385" s="26"/>
      <c r="S6385" s="10" t="str">
        <f t="shared" si="499"/>
        <v/>
      </c>
    </row>
    <row r="6386" spans="5:19" x14ac:dyDescent="0.3">
      <c r="E6386" s="9" t="str">
        <f>IF(DADOS!C6386="","",DADOS!C6386)</f>
        <v/>
      </c>
      <c r="F6386" s="9" t="str">
        <f>IF(DADOS!E6386="","",DADOS!E6386)</f>
        <v/>
      </c>
      <c r="G6386" s="9" t="str">
        <f>IF(DADOS!F6386="","",DADOS!F6386)</f>
        <v/>
      </c>
      <c r="K6386" s="6" t="str">
        <f t="shared" si="500"/>
        <v/>
      </c>
      <c r="L6386" s="7" t="str">
        <f t="shared" si="501"/>
        <v/>
      </c>
      <c r="M6386" s="7" t="str">
        <f t="shared" si="498"/>
        <v/>
      </c>
      <c r="N6386" s="7" t="str">
        <f t="shared" si="502"/>
        <v/>
      </c>
      <c r="O6386" s="8"/>
      <c r="P6386" s="26"/>
      <c r="S6386" s="10" t="str">
        <f t="shared" si="499"/>
        <v/>
      </c>
    </row>
    <row r="6387" spans="5:19" x14ac:dyDescent="0.3">
      <c r="E6387" s="9" t="str">
        <f>IF(DADOS!C6387="","",DADOS!C6387)</f>
        <v/>
      </c>
      <c r="F6387" s="9" t="str">
        <f>IF(DADOS!E6387="","",DADOS!E6387)</f>
        <v/>
      </c>
      <c r="G6387" s="9" t="str">
        <f>IF(DADOS!F6387="","",DADOS!F6387)</f>
        <v/>
      </c>
      <c r="K6387" s="6" t="str">
        <f t="shared" si="500"/>
        <v/>
      </c>
      <c r="L6387" s="7" t="str">
        <f t="shared" si="501"/>
        <v/>
      </c>
      <c r="M6387" s="7" t="str">
        <f t="shared" si="498"/>
        <v/>
      </c>
      <c r="N6387" s="7" t="str">
        <f t="shared" si="502"/>
        <v/>
      </c>
      <c r="O6387" s="8"/>
      <c r="P6387" s="26"/>
      <c r="S6387" s="10" t="str">
        <f t="shared" si="499"/>
        <v/>
      </c>
    </row>
    <row r="6388" spans="5:19" x14ac:dyDescent="0.3">
      <c r="E6388" s="9" t="str">
        <f>IF(DADOS!C6388="","",DADOS!C6388)</f>
        <v/>
      </c>
      <c r="F6388" s="9" t="str">
        <f>IF(DADOS!E6388="","",DADOS!E6388)</f>
        <v/>
      </c>
      <c r="G6388" s="9" t="str">
        <f>IF(DADOS!F6388="","",DADOS!F6388)</f>
        <v/>
      </c>
      <c r="K6388" s="6" t="str">
        <f t="shared" si="500"/>
        <v/>
      </c>
      <c r="L6388" s="7" t="str">
        <f t="shared" si="501"/>
        <v/>
      </c>
      <c r="M6388" s="7" t="str">
        <f t="shared" si="498"/>
        <v/>
      </c>
      <c r="N6388" s="7" t="str">
        <f t="shared" si="502"/>
        <v/>
      </c>
      <c r="O6388" s="8"/>
      <c r="P6388" s="26"/>
      <c r="S6388" s="10" t="str">
        <f t="shared" si="499"/>
        <v/>
      </c>
    </row>
    <row r="6389" spans="5:19" x14ac:dyDescent="0.3">
      <c r="E6389" s="9" t="str">
        <f>IF(DADOS!C6389="","",DADOS!C6389)</f>
        <v/>
      </c>
      <c r="F6389" s="9" t="str">
        <f>IF(DADOS!E6389="","",DADOS!E6389)</f>
        <v/>
      </c>
      <c r="G6389" s="9" t="str">
        <f>IF(DADOS!F6389="","",DADOS!F6389)</f>
        <v/>
      </c>
      <c r="K6389" s="6" t="str">
        <f t="shared" si="500"/>
        <v/>
      </c>
      <c r="L6389" s="7" t="str">
        <f t="shared" si="501"/>
        <v/>
      </c>
      <c r="M6389" s="7" t="str">
        <f t="shared" si="498"/>
        <v/>
      </c>
      <c r="N6389" s="7" t="str">
        <f t="shared" si="502"/>
        <v/>
      </c>
      <c r="O6389" s="8"/>
      <c r="P6389" s="26"/>
      <c r="S6389" s="10" t="str">
        <f t="shared" si="499"/>
        <v/>
      </c>
    </row>
    <row r="6390" spans="5:19" x14ac:dyDescent="0.3">
      <c r="E6390" s="9" t="str">
        <f>IF(DADOS!C6390="","",DADOS!C6390)</f>
        <v/>
      </c>
      <c r="F6390" s="9" t="str">
        <f>IF(DADOS!E6390="","",DADOS!E6390)</f>
        <v/>
      </c>
      <c r="G6390" s="9" t="str">
        <f>IF(DADOS!F6390="","",DADOS!F6390)</f>
        <v/>
      </c>
      <c r="K6390" s="6" t="str">
        <f t="shared" si="500"/>
        <v/>
      </c>
      <c r="L6390" s="7" t="str">
        <f t="shared" si="501"/>
        <v/>
      </c>
      <c r="M6390" s="7" t="str">
        <f t="shared" si="498"/>
        <v/>
      </c>
      <c r="N6390" s="7" t="str">
        <f t="shared" si="502"/>
        <v/>
      </c>
      <c r="O6390" s="8"/>
      <c r="P6390" s="26"/>
      <c r="S6390" s="10" t="str">
        <f t="shared" si="499"/>
        <v/>
      </c>
    </row>
    <row r="6391" spans="5:19" x14ac:dyDescent="0.3">
      <c r="E6391" s="9" t="str">
        <f>IF(DADOS!C6391="","",DADOS!C6391)</f>
        <v/>
      </c>
      <c r="F6391" s="9" t="str">
        <f>IF(DADOS!E6391="","",DADOS!E6391)</f>
        <v/>
      </c>
      <c r="G6391" s="9" t="str">
        <f>IF(DADOS!F6391="","",DADOS!F6391)</f>
        <v/>
      </c>
      <c r="K6391" s="6" t="str">
        <f t="shared" si="500"/>
        <v/>
      </c>
      <c r="L6391" s="7" t="str">
        <f t="shared" si="501"/>
        <v/>
      </c>
      <c r="M6391" s="7" t="str">
        <f t="shared" si="498"/>
        <v/>
      </c>
      <c r="N6391" s="7" t="str">
        <f t="shared" si="502"/>
        <v/>
      </c>
      <c r="O6391" s="8"/>
      <c r="P6391" s="26"/>
      <c r="S6391" s="10" t="str">
        <f t="shared" si="499"/>
        <v/>
      </c>
    </row>
    <row r="6392" spans="5:19" x14ac:dyDescent="0.3">
      <c r="E6392" s="9" t="str">
        <f>IF(DADOS!C6392="","",DADOS!C6392)</f>
        <v/>
      </c>
      <c r="F6392" s="9" t="str">
        <f>IF(DADOS!E6392="","",DADOS!E6392)</f>
        <v/>
      </c>
      <c r="G6392" s="9" t="str">
        <f>IF(DADOS!F6392="","",DADOS!F6392)</f>
        <v/>
      </c>
      <c r="K6392" s="6" t="str">
        <f t="shared" si="500"/>
        <v/>
      </c>
      <c r="L6392" s="7" t="str">
        <f t="shared" si="501"/>
        <v/>
      </c>
      <c r="M6392" s="7" t="str">
        <f t="shared" si="498"/>
        <v/>
      </c>
      <c r="N6392" s="7" t="str">
        <f t="shared" si="502"/>
        <v/>
      </c>
      <c r="O6392" s="8"/>
      <c r="P6392" s="26"/>
      <c r="S6392" s="10" t="str">
        <f t="shared" si="499"/>
        <v/>
      </c>
    </row>
    <row r="6393" spans="5:19" x14ac:dyDescent="0.3">
      <c r="E6393" s="9" t="str">
        <f>IF(DADOS!C6393="","",DADOS!C6393)</f>
        <v/>
      </c>
      <c r="F6393" s="9" t="str">
        <f>IF(DADOS!E6393="","",DADOS!E6393)</f>
        <v/>
      </c>
      <c r="G6393" s="9" t="str">
        <f>IF(DADOS!F6393="","",DADOS!F6393)</f>
        <v/>
      </c>
      <c r="K6393" s="6" t="str">
        <f t="shared" si="500"/>
        <v/>
      </c>
      <c r="L6393" s="7" t="str">
        <f t="shared" si="501"/>
        <v/>
      </c>
      <c r="M6393" s="7" t="str">
        <f t="shared" si="498"/>
        <v/>
      </c>
      <c r="N6393" s="7" t="str">
        <f t="shared" si="502"/>
        <v/>
      </c>
      <c r="O6393" s="8"/>
      <c r="P6393" s="26"/>
      <c r="S6393" s="10" t="str">
        <f t="shared" si="499"/>
        <v/>
      </c>
    </row>
    <row r="6394" spans="5:19" x14ac:dyDescent="0.3">
      <c r="E6394" s="9" t="str">
        <f>IF(DADOS!C6394="","",DADOS!C6394)</f>
        <v/>
      </c>
      <c r="F6394" s="9" t="str">
        <f>IF(DADOS!E6394="","",DADOS!E6394)</f>
        <v/>
      </c>
      <c r="G6394" s="9" t="str">
        <f>IF(DADOS!F6394="","",DADOS!F6394)</f>
        <v/>
      </c>
      <c r="K6394" s="6" t="str">
        <f t="shared" si="500"/>
        <v/>
      </c>
      <c r="L6394" s="7" t="str">
        <f t="shared" si="501"/>
        <v/>
      </c>
      <c r="M6394" s="7" t="str">
        <f t="shared" si="498"/>
        <v/>
      </c>
      <c r="N6394" s="7" t="str">
        <f t="shared" si="502"/>
        <v/>
      </c>
      <c r="O6394" s="8"/>
      <c r="P6394" s="26"/>
      <c r="S6394" s="10" t="str">
        <f t="shared" si="499"/>
        <v/>
      </c>
    </row>
    <row r="6395" spans="5:19" x14ac:dyDescent="0.3">
      <c r="E6395" s="9" t="str">
        <f>IF(DADOS!C6395="","",DADOS!C6395)</f>
        <v/>
      </c>
      <c r="F6395" s="9" t="str">
        <f>IF(DADOS!E6395="","",DADOS!E6395)</f>
        <v/>
      </c>
      <c r="G6395" s="9" t="str">
        <f>IF(DADOS!F6395="","",DADOS!F6395)</f>
        <v/>
      </c>
      <c r="K6395" s="6" t="str">
        <f t="shared" si="500"/>
        <v/>
      </c>
      <c r="L6395" s="7" t="str">
        <f t="shared" si="501"/>
        <v/>
      </c>
      <c r="M6395" s="7" t="str">
        <f t="shared" si="498"/>
        <v/>
      </c>
      <c r="N6395" s="7" t="str">
        <f t="shared" si="502"/>
        <v/>
      </c>
      <c r="O6395" s="8"/>
      <c r="P6395" s="26"/>
      <c r="S6395" s="10" t="str">
        <f t="shared" si="499"/>
        <v/>
      </c>
    </row>
    <row r="6396" spans="5:19" x14ac:dyDescent="0.3">
      <c r="E6396" s="9" t="str">
        <f>IF(DADOS!C6396="","",DADOS!C6396)</f>
        <v/>
      </c>
      <c r="F6396" s="9" t="str">
        <f>IF(DADOS!E6396="","",DADOS!E6396)</f>
        <v/>
      </c>
      <c r="G6396" s="9" t="str">
        <f>IF(DADOS!F6396="","",DADOS!F6396)</f>
        <v/>
      </c>
      <c r="K6396" s="6" t="str">
        <f t="shared" si="500"/>
        <v/>
      </c>
      <c r="L6396" s="7" t="str">
        <f t="shared" si="501"/>
        <v/>
      </c>
      <c r="M6396" s="7" t="str">
        <f t="shared" si="498"/>
        <v/>
      </c>
      <c r="N6396" s="7" t="str">
        <f t="shared" si="502"/>
        <v/>
      </c>
      <c r="O6396" s="8"/>
      <c r="P6396" s="26"/>
      <c r="S6396" s="10" t="str">
        <f t="shared" si="499"/>
        <v/>
      </c>
    </row>
    <row r="6397" spans="5:19" x14ac:dyDescent="0.3">
      <c r="E6397" s="9" t="str">
        <f>IF(DADOS!C6397="","",DADOS!C6397)</f>
        <v/>
      </c>
      <c r="F6397" s="9" t="str">
        <f>IF(DADOS!E6397="","",DADOS!E6397)</f>
        <v/>
      </c>
      <c r="G6397" s="9" t="str">
        <f>IF(DADOS!F6397="","",DADOS!F6397)</f>
        <v/>
      </c>
      <c r="K6397" s="6" t="str">
        <f t="shared" si="500"/>
        <v/>
      </c>
      <c r="L6397" s="7" t="str">
        <f t="shared" si="501"/>
        <v/>
      </c>
      <c r="M6397" s="7" t="str">
        <f t="shared" si="498"/>
        <v/>
      </c>
      <c r="N6397" s="7" t="str">
        <f t="shared" si="502"/>
        <v/>
      </c>
      <c r="O6397" s="8"/>
      <c r="P6397" s="26"/>
      <c r="S6397" s="10" t="str">
        <f t="shared" si="499"/>
        <v/>
      </c>
    </row>
    <row r="6398" spans="5:19" x14ac:dyDescent="0.3">
      <c r="E6398" s="9" t="str">
        <f>IF(DADOS!C6398="","",DADOS!C6398)</f>
        <v/>
      </c>
      <c r="F6398" s="9" t="str">
        <f>IF(DADOS!E6398="","",DADOS!E6398)</f>
        <v/>
      </c>
      <c r="G6398" s="9" t="str">
        <f>IF(DADOS!F6398="","",DADOS!F6398)</f>
        <v/>
      </c>
      <c r="K6398" s="6" t="str">
        <f t="shared" si="500"/>
        <v/>
      </c>
      <c r="L6398" s="7" t="str">
        <f t="shared" si="501"/>
        <v/>
      </c>
      <c r="M6398" s="7" t="str">
        <f t="shared" si="498"/>
        <v/>
      </c>
      <c r="N6398" s="7" t="str">
        <f t="shared" si="502"/>
        <v/>
      </c>
      <c r="O6398" s="8"/>
      <c r="P6398" s="26"/>
      <c r="S6398" s="10" t="str">
        <f t="shared" si="499"/>
        <v/>
      </c>
    </row>
    <row r="6399" spans="5:19" x14ac:dyDescent="0.3">
      <c r="E6399" s="9" t="str">
        <f>IF(DADOS!C6399="","",DADOS!C6399)</f>
        <v/>
      </c>
      <c r="F6399" s="9" t="str">
        <f>IF(DADOS!E6399="","",DADOS!E6399)</f>
        <v/>
      </c>
      <c r="G6399" s="9" t="str">
        <f>IF(DADOS!F6399="","",DADOS!F6399)</f>
        <v/>
      </c>
      <c r="K6399" s="6" t="str">
        <f t="shared" si="500"/>
        <v/>
      </c>
      <c r="L6399" s="7" t="str">
        <f t="shared" si="501"/>
        <v/>
      </c>
      <c r="M6399" s="7" t="str">
        <f t="shared" si="498"/>
        <v/>
      </c>
      <c r="N6399" s="7" t="str">
        <f t="shared" si="502"/>
        <v/>
      </c>
      <c r="O6399" s="8"/>
      <c r="P6399" s="26"/>
      <c r="S6399" s="10" t="str">
        <f t="shared" si="499"/>
        <v/>
      </c>
    </row>
    <row r="6400" spans="5:19" x14ac:dyDescent="0.3">
      <c r="E6400" s="9" t="str">
        <f>IF(DADOS!C6400="","",DADOS!C6400)</f>
        <v/>
      </c>
      <c r="F6400" s="9" t="str">
        <f>IF(DADOS!E6400="","",DADOS!E6400)</f>
        <v/>
      </c>
      <c r="G6400" s="9" t="str">
        <f>IF(DADOS!F6400="","",DADOS!F6400)</f>
        <v/>
      </c>
      <c r="K6400" s="6" t="str">
        <f t="shared" si="500"/>
        <v/>
      </c>
      <c r="L6400" s="7" t="str">
        <f t="shared" si="501"/>
        <v/>
      </c>
      <c r="M6400" s="7" t="str">
        <f t="shared" si="498"/>
        <v/>
      </c>
      <c r="N6400" s="7" t="str">
        <f t="shared" si="502"/>
        <v/>
      </c>
      <c r="O6400" s="8"/>
      <c r="P6400" s="26"/>
      <c r="S6400" s="10" t="str">
        <f t="shared" si="499"/>
        <v/>
      </c>
    </row>
    <row r="6401" spans="5:19" x14ac:dyDescent="0.3">
      <c r="E6401" s="9" t="str">
        <f>IF(DADOS!C6401="","",DADOS!C6401)</f>
        <v/>
      </c>
      <c r="F6401" s="9" t="str">
        <f>IF(DADOS!E6401="","",DADOS!E6401)</f>
        <v/>
      </c>
      <c r="G6401" s="9" t="str">
        <f>IF(DADOS!F6401="","",DADOS!F6401)</f>
        <v/>
      </c>
      <c r="K6401" s="6" t="str">
        <f t="shared" si="500"/>
        <v/>
      </c>
      <c r="L6401" s="7" t="str">
        <f t="shared" si="501"/>
        <v/>
      </c>
      <c r="M6401" s="7" t="str">
        <f t="shared" si="498"/>
        <v/>
      </c>
      <c r="N6401" s="7" t="str">
        <f t="shared" si="502"/>
        <v/>
      </c>
      <c r="O6401" s="8"/>
      <c r="P6401" s="26"/>
      <c r="S6401" s="10" t="str">
        <f t="shared" si="499"/>
        <v/>
      </c>
    </row>
    <row r="6402" spans="5:19" x14ac:dyDescent="0.3">
      <c r="E6402" s="9" t="str">
        <f>IF(DADOS!C6402="","",DADOS!C6402)</f>
        <v/>
      </c>
      <c r="F6402" s="9" t="str">
        <f>IF(DADOS!E6402="","",DADOS!E6402)</f>
        <v/>
      </c>
      <c r="G6402" s="9" t="str">
        <f>IF(DADOS!F6402="","",DADOS!F6402)</f>
        <v/>
      </c>
      <c r="K6402" s="6" t="str">
        <f t="shared" si="500"/>
        <v/>
      </c>
      <c r="L6402" s="7" t="str">
        <f t="shared" si="501"/>
        <v/>
      </c>
      <c r="M6402" s="7" t="str">
        <f t="shared" si="498"/>
        <v/>
      </c>
      <c r="N6402" s="7" t="str">
        <f t="shared" si="502"/>
        <v/>
      </c>
      <c r="O6402" s="8"/>
      <c r="P6402" s="26"/>
      <c r="S6402" s="10" t="str">
        <f t="shared" si="499"/>
        <v/>
      </c>
    </row>
    <row r="6403" spans="5:19" x14ac:dyDescent="0.3">
      <c r="E6403" s="9" t="str">
        <f>IF(DADOS!C6403="","",DADOS!C6403)</f>
        <v/>
      </c>
      <c r="F6403" s="9" t="str">
        <f>IF(DADOS!E6403="","",DADOS!E6403)</f>
        <v/>
      </c>
      <c r="G6403" s="9" t="str">
        <f>IF(DADOS!F6403="","",DADOS!F6403)</f>
        <v/>
      </c>
      <c r="K6403" s="6" t="str">
        <f t="shared" si="500"/>
        <v/>
      </c>
      <c r="L6403" s="7" t="str">
        <f t="shared" si="501"/>
        <v/>
      </c>
      <c r="M6403" s="7" t="str">
        <f t="shared" ref="M6403:M6466" si="503">IF(L6403="","",L6403*G6403)</f>
        <v/>
      </c>
      <c r="N6403" s="7" t="str">
        <f t="shared" si="502"/>
        <v/>
      </c>
      <c r="O6403" s="8"/>
      <c r="P6403" s="26"/>
      <c r="S6403" s="10" t="str">
        <f t="shared" ref="S6403:S6466" si="504">IF(R6403="","",SUMIFS($N$3:$N$10000,$E$3:$E$10000,R6403))</f>
        <v/>
      </c>
    </row>
    <row r="6404" spans="5:19" x14ac:dyDescent="0.3">
      <c r="E6404" s="9" t="str">
        <f>IF(DADOS!C6404="","",DADOS!C6404)</f>
        <v/>
      </c>
      <c r="F6404" s="9" t="str">
        <f>IF(DADOS!E6404="","",DADOS!E6404)</f>
        <v/>
      </c>
      <c r="G6404" s="9" t="str">
        <f>IF(DADOS!F6404="","",DADOS!F6404)</f>
        <v/>
      </c>
      <c r="K6404" s="6" t="str">
        <f t="shared" ref="K6404:K6467" si="505">IF(F6404="","",F6404/PI())</f>
        <v/>
      </c>
      <c r="L6404" s="7" t="str">
        <f t="shared" ref="L6404:L6467" si="506">IF(K6404="","",(PI()*K6404^2)/40000)</f>
        <v/>
      </c>
      <c r="M6404" s="7" t="str">
        <f t="shared" si="503"/>
        <v/>
      </c>
      <c r="N6404" s="7" t="str">
        <f t="shared" ref="N6404:N6467" si="507">IF(M6404="","",M6404*N$1)</f>
        <v/>
      </c>
      <c r="O6404" s="8"/>
      <c r="P6404" s="26"/>
      <c r="S6404" s="10" t="str">
        <f t="shared" si="504"/>
        <v/>
      </c>
    </row>
    <row r="6405" spans="5:19" x14ac:dyDescent="0.3">
      <c r="E6405" s="9" t="str">
        <f>IF(DADOS!C6405="","",DADOS!C6405)</f>
        <v/>
      </c>
      <c r="F6405" s="9" t="str">
        <f>IF(DADOS!E6405="","",DADOS!E6405)</f>
        <v/>
      </c>
      <c r="G6405" s="9" t="str">
        <f>IF(DADOS!F6405="","",DADOS!F6405)</f>
        <v/>
      </c>
      <c r="K6405" s="6" t="str">
        <f t="shared" si="505"/>
        <v/>
      </c>
      <c r="L6405" s="7" t="str">
        <f t="shared" si="506"/>
        <v/>
      </c>
      <c r="M6405" s="7" t="str">
        <f t="shared" si="503"/>
        <v/>
      </c>
      <c r="N6405" s="7" t="str">
        <f t="shared" si="507"/>
        <v/>
      </c>
      <c r="O6405" s="8"/>
      <c r="P6405" s="26"/>
      <c r="S6405" s="10" t="str">
        <f t="shared" si="504"/>
        <v/>
      </c>
    </row>
    <row r="6406" spans="5:19" x14ac:dyDescent="0.3">
      <c r="E6406" s="9" t="str">
        <f>IF(DADOS!C6406="","",DADOS!C6406)</f>
        <v/>
      </c>
      <c r="F6406" s="9" t="str">
        <f>IF(DADOS!E6406="","",DADOS!E6406)</f>
        <v/>
      </c>
      <c r="G6406" s="9" t="str">
        <f>IF(DADOS!F6406="","",DADOS!F6406)</f>
        <v/>
      </c>
      <c r="K6406" s="6" t="str">
        <f t="shared" si="505"/>
        <v/>
      </c>
      <c r="L6406" s="7" t="str">
        <f t="shared" si="506"/>
        <v/>
      </c>
      <c r="M6406" s="7" t="str">
        <f t="shared" si="503"/>
        <v/>
      </c>
      <c r="N6406" s="7" t="str">
        <f t="shared" si="507"/>
        <v/>
      </c>
      <c r="O6406" s="8"/>
      <c r="P6406" s="26"/>
      <c r="S6406" s="10" t="str">
        <f t="shared" si="504"/>
        <v/>
      </c>
    </row>
    <row r="6407" spans="5:19" x14ac:dyDescent="0.3">
      <c r="E6407" s="9" t="str">
        <f>IF(DADOS!C6407="","",DADOS!C6407)</f>
        <v/>
      </c>
      <c r="F6407" s="9" t="str">
        <f>IF(DADOS!E6407="","",DADOS!E6407)</f>
        <v/>
      </c>
      <c r="G6407" s="9" t="str">
        <f>IF(DADOS!F6407="","",DADOS!F6407)</f>
        <v/>
      </c>
      <c r="K6407" s="6" t="str">
        <f t="shared" si="505"/>
        <v/>
      </c>
      <c r="L6407" s="7" t="str">
        <f t="shared" si="506"/>
        <v/>
      </c>
      <c r="M6407" s="7" t="str">
        <f t="shared" si="503"/>
        <v/>
      </c>
      <c r="N6407" s="7" t="str">
        <f t="shared" si="507"/>
        <v/>
      </c>
      <c r="O6407" s="8"/>
      <c r="P6407" s="26"/>
      <c r="S6407" s="10" t="str">
        <f t="shared" si="504"/>
        <v/>
      </c>
    </row>
    <row r="6408" spans="5:19" x14ac:dyDescent="0.3">
      <c r="E6408" s="9" t="str">
        <f>IF(DADOS!C6408="","",DADOS!C6408)</f>
        <v/>
      </c>
      <c r="F6408" s="9" t="str">
        <f>IF(DADOS!E6408="","",DADOS!E6408)</f>
        <v/>
      </c>
      <c r="G6408" s="9" t="str">
        <f>IF(DADOS!F6408="","",DADOS!F6408)</f>
        <v/>
      </c>
      <c r="K6408" s="6" t="str">
        <f t="shared" si="505"/>
        <v/>
      </c>
      <c r="L6408" s="7" t="str">
        <f t="shared" si="506"/>
        <v/>
      </c>
      <c r="M6408" s="7" t="str">
        <f t="shared" si="503"/>
        <v/>
      </c>
      <c r="N6408" s="7" t="str">
        <f t="shared" si="507"/>
        <v/>
      </c>
      <c r="O6408" s="8"/>
      <c r="P6408" s="26"/>
      <c r="S6408" s="10" t="str">
        <f t="shared" si="504"/>
        <v/>
      </c>
    </row>
    <row r="6409" spans="5:19" x14ac:dyDescent="0.3">
      <c r="E6409" s="9" t="str">
        <f>IF(DADOS!C6409="","",DADOS!C6409)</f>
        <v/>
      </c>
      <c r="F6409" s="9" t="str">
        <f>IF(DADOS!E6409="","",DADOS!E6409)</f>
        <v/>
      </c>
      <c r="G6409" s="9" t="str">
        <f>IF(DADOS!F6409="","",DADOS!F6409)</f>
        <v/>
      </c>
      <c r="K6409" s="6" t="str">
        <f t="shared" si="505"/>
        <v/>
      </c>
      <c r="L6409" s="7" t="str">
        <f t="shared" si="506"/>
        <v/>
      </c>
      <c r="M6409" s="7" t="str">
        <f t="shared" si="503"/>
        <v/>
      </c>
      <c r="N6409" s="7" t="str">
        <f t="shared" si="507"/>
        <v/>
      </c>
      <c r="O6409" s="8"/>
      <c r="P6409" s="26"/>
      <c r="S6409" s="10" t="str">
        <f t="shared" si="504"/>
        <v/>
      </c>
    </row>
    <row r="6410" spans="5:19" x14ac:dyDescent="0.3">
      <c r="E6410" s="9" t="str">
        <f>IF(DADOS!C6410="","",DADOS!C6410)</f>
        <v/>
      </c>
      <c r="F6410" s="9" t="str">
        <f>IF(DADOS!E6410="","",DADOS!E6410)</f>
        <v/>
      </c>
      <c r="G6410" s="9" t="str">
        <f>IF(DADOS!F6410="","",DADOS!F6410)</f>
        <v/>
      </c>
      <c r="K6410" s="6" t="str">
        <f t="shared" si="505"/>
        <v/>
      </c>
      <c r="L6410" s="7" t="str">
        <f t="shared" si="506"/>
        <v/>
      </c>
      <c r="M6410" s="7" t="str">
        <f t="shared" si="503"/>
        <v/>
      </c>
      <c r="N6410" s="7" t="str">
        <f t="shared" si="507"/>
        <v/>
      </c>
      <c r="O6410" s="8"/>
      <c r="P6410" s="26"/>
      <c r="S6410" s="10" t="str">
        <f t="shared" si="504"/>
        <v/>
      </c>
    </row>
    <row r="6411" spans="5:19" x14ac:dyDescent="0.3">
      <c r="E6411" s="9" t="str">
        <f>IF(DADOS!C6411="","",DADOS!C6411)</f>
        <v/>
      </c>
      <c r="F6411" s="9" t="str">
        <f>IF(DADOS!E6411="","",DADOS!E6411)</f>
        <v/>
      </c>
      <c r="G6411" s="9" t="str">
        <f>IF(DADOS!F6411="","",DADOS!F6411)</f>
        <v/>
      </c>
      <c r="K6411" s="6" t="str">
        <f t="shared" si="505"/>
        <v/>
      </c>
      <c r="L6411" s="7" t="str">
        <f t="shared" si="506"/>
        <v/>
      </c>
      <c r="M6411" s="7" t="str">
        <f t="shared" si="503"/>
        <v/>
      </c>
      <c r="N6411" s="7" t="str">
        <f t="shared" si="507"/>
        <v/>
      </c>
      <c r="O6411" s="8"/>
      <c r="P6411" s="26"/>
      <c r="S6411" s="10" t="str">
        <f t="shared" si="504"/>
        <v/>
      </c>
    </row>
    <row r="6412" spans="5:19" x14ac:dyDescent="0.3">
      <c r="E6412" s="9" t="str">
        <f>IF(DADOS!C6412="","",DADOS!C6412)</f>
        <v/>
      </c>
      <c r="F6412" s="9" t="str">
        <f>IF(DADOS!E6412="","",DADOS!E6412)</f>
        <v/>
      </c>
      <c r="G6412" s="9" t="str">
        <f>IF(DADOS!F6412="","",DADOS!F6412)</f>
        <v/>
      </c>
      <c r="K6412" s="6" t="str">
        <f t="shared" si="505"/>
        <v/>
      </c>
      <c r="L6412" s="7" t="str">
        <f t="shared" si="506"/>
        <v/>
      </c>
      <c r="M6412" s="7" t="str">
        <f t="shared" si="503"/>
        <v/>
      </c>
      <c r="N6412" s="7" t="str">
        <f t="shared" si="507"/>
        <v/>
      </c>
      <c r="O6412" s="8"/>
      <c r="P6412" s="26"/>
      <c r="S6412" s="10" t="str">
        <f t="shared" si="504"/>
        <v/>
      </c>
    </row>
    <row r="6413" spans="5:19" x14ac:dyDescent="0.3">
      <c r="E6413" s="9" t="str">
        <f>IF(DADOS!C6413="","",DADOS!C6413)</f>
        <v/>
      </c>
      <c r="F6413" s="9" t="str">
        <f>IF(DADOS!E6413="","",DADOS!E6413)</f>
        <v/>
      </c>
      <c r="G6413" s="9" t="str">
        <f>IF(DADOS!F6413="","",DADOS!F6413)</f>
        <v/>
      </c>
      <c r="K6413" s="6" t="str">
        <f t="shared" si="505"/>
        <v/>
      </c>
      <c r="L6413" s="7" t="str">
        <f t="shared" si="506"/>
        <v/>
      </c>
      <c r="M6413" s="7" t="str">
        <f t="shared" si="503"/>
        <v/>
      </c>
      <c r="N6413" s="7" t="str">
        <f t="shared" si="507"/>
        <v/>
      </c>
      <c r="O6413" s="8"/>
      <c r="P6413" s="26"/>
      <c r="S6413" s="10" t="str">
        <f t="shared" si="504"/>
        <v/>
      </c>
    </row>
    <row r="6414" spans="5:19" x14ac:dyDescent="0.3">
      <c r="E6414" s="9" t="str">
        <f>IF(DADOS!C6414="","",DADOS!C6414)</f>
        <v/>
      </c>
      <c r="F6414" s="9" t="str">
        <f>IF(DADOS!E6414="","",DADOS!E6414)</f>
        <v/>
      </c>
      <c r="G6414" s="9" t="str">
        <f>IF(DADOS!F6414="","",DADOS!F6414)</f>
        <v/>
      </c>
      <c r="K6414" s="6" t="str">
        <f t="shared" si="505"/>
        <v/>
      </c>
      <c r="L6414" s="7" t="str">
        <f t="shared" si="506"/>
        <v/>
      </c>
      <c r="M6414" s="7" t="str">
        <f t="shared" si="503"/>
        <v/>
      </c>
      <c r="N6414" s="7" t="str">
        <f t="shared" si="507"/>
        <v/>
      </c>
      <c r="O6414" s="8"/>
      <c r="P6414" s="26"/>
      <c r="S6414" s="10" t="str">
        <f t="shared" si="504"/>
        <v/>
      </c>
    </row>
    <row r="6415" spans="5:19" x14ac:dyDescent="0.3">
      <c r="E6415" s="9" t="str">
        <f>IF(DADOS!C6415="","",DADOS!C6415)</f>
        <v/>
      </c>
      <c r="F6415" s="9" t="str">
        <f>IF(DADOS!E6415="","",DADOS!E6415)</f>
        <v/>
      </c>
      <c r="G6415" s="9" t="str">
        <f>IF(DADOS!F6415="","",DADOS!F6415)</f>
        <v/>
      </c>
      <c r="K6415" s="6" t="str">
        <f t="shared" si="505"/>
        <v/>
      </c>
      <c r="L6415" s="7" t="str">
        <f t="shared" si="506"/>
        <v/>
      </c>
      <c r="M6415" s="7" t="str">
        <f t="shared" si="503"/>
        <v/>
      </c>
      <c r="N6415" s="7" t="str">
        <f t="shared" si="507"/>
        <v/>
      </c>
      <c r="O6415" s="8"/>
      <c r="P6415" s="26"/>
      <c r="S6415" s="10" t="str">
        <f t="shared" si="504"/>
        <v/>
      </c>
    </row>
    <row r="6416" spans="5:19" x14ac:dyDescent="0.3">
      <c r="E6416" s="9" t="str">
        <f>IF(DADOS!C6416="","",DADOS!C6416)</f>
        <v/>
      </c>
      <c r="F6416" s="9" t="str">
        <f>IF(DADOS!E6416="","",DADOS!E6416)</f>
        <v/>
      </c>
      <c r="G6416" s="9" t="str">
        <f>IF(DADOS!F6416="","",DADOS!F6416)</f>
        <v/>
      </c>
      <c r="K6416" s="6" t="str">
        <f t="shared" si="505"/>
        <v/>
      </c>
      <c r="L6416" s="7" t="str">
        <f t="shared" si="506"/>
        <v/>
      </c>
      <c r="M6416" s="7" t="str">
        <f t="shared" si="503"/>
        <v/>
      </c>
      <c r="N6416" s="7" t="str">
        <f t="shared" si="507"/>
        <v/>
      </c>
      <c r="O6416" s="8"/>
      <c r="P6416" s="26"/>
      <c r="S6416" s="10" t="str">
        <f t="shared" si="504"/>
        <v/>
      </c>
    </row>
    <row r="6417" spans="5:19" x14ac:dyDescent="0.3">
      <c r="E6417" s="9" t="str">
        <f>IF(DADOS!C6417="","",DADOS!C6417)</f>
        <v/>
      </c>
      <c r="F6417" s="9" t="str">
        <f>IF(DADOS!E6417="","",DADOS!E6417)</f>
        <v/>
      </c>
      <c r="G6417" s="9" t="str">
        <f>IF(DADOS!F6417="","",DADOS!F6417)</f>
        <v/>
      </c>
      <c r="K6417" s="6" t="str">
        <f t="shared" si="505"/>
        <v/>
      </c>
      <c r="L6417" s="7" t="str">
        <f t="shared" si="506"/>
        <v/>
      </c>
      <c r="M6417" s="7" t="str">
        <f t="shared" si="503"/>
        <v/>
      </c>
      <c r="N6417" s="7" t="str">
        <f t="shared" si="507"/>
        <v/>
      </c>
      <c r="O6417" s="8"/>
      <c r="P6417" s="26"/>
      <c r="S6417" s="10" t="str">
        <f t="shared" si="504"/>
        <v/>
      </c>
    </row>
    <row r="6418" spans="5:19" x14ac:dyDescent="0.3">
      <c r="E6418" s="9" t="str">
        <f>IF(DADOS!C6418="","",DADOS!C6418)</f>
        <v/>
      </c>
      <c r="F6418" s="9" t="str">
        <f>IF(DADOS!E6418="","",DADOS!E6418)</f>
        <v/>
      </c>
      <c r="G6418" s="9" t="str">
        <f>IF(DADOS!F6418="","",DADOS!F6418)</f>
        <v/>
      </c>
      <c r="K6418" s="6" t="str">
        <f t="shared" si="505"/>
        <v/>
      </c>
      <c r="L6418" s="7" t="str">
        <f t="shared" si="506"/>
        <v/>
      </c>
      <c r="M6418" s="7" t="str">
        <f t="shared" si="503"/>
        <v/>
      </c>
      <c r="N6418" s="7" t="str">
        <f t="shared" si="507"/>
        <v/>
      </c>
      <c r="O6418" s="8"/>
      <c r="P6418" s="26"/>
      <c r="S6418" s="10" t="str">
        <f t="shared" si="504"/>
        <v/>
      </c>
    </row>
    <row r="6419" spans="5:19" x14ac:dyDescent="0.3">
      <c r="E6419" s="9" t="str">
        <f>IF(DADOS!C6419="","",DADOS!C6419)</f>
        <v/>
      </c>
      <c r="F6419" s="9" t="str">
        <f>IF(DADOS!E6419="","",DADOS!E6419)</f>
        <v/>
      </c>
      <c r="G6419" s="9" t="str">
        <f>IF(DADOS!F6419="","",DADOS!F6419)</f>
        <v/>
      </c>
      <c r="K6419" s="6" t="str">
        <f t="shared" si="505"/>
        <v/>
      </c>
      <c r="L6419" s="7" t="str">
        <f t="shared" si="506"/>
        <v/>
      </c>
      <c r="M6419" s="7" t="str">
        <f t="shared" si="503"/>
        <v/>
      </c>
      <c r="N6419" s="7" t="str">
        <f t="shared" si="507"/>
        <v/>
      </c>
      <c r="O6419" s="8"/>
      <c r="P6419" s="26"/>
      <c r="S6419" s="10" t="str">
        <f t="shared" si="504"/>
        <v/>
      </c>
    </row>
    <row r="6420" spans="5:19" x14ac:dyDescent="0.3">
      <c r="E6420" s="9" t="str">
        <f>IF(DADOS!C6420="","",DADOS!C6420)</f>
        <v/>
      </c>
      <c r="F6420" s="9" t="str">
        <f>IF(DADOS!E6420="","",DADOS!E6420)</f>
        <v/>
      </c>
      <c r="G6420" s="9" t="str">
        <f>IF(DADOS!F6420="","",DADOS!F6420)</f>
        <v/>
      </c>
      <c r="K6420" s="6" t="str">
        <f t="shared" si="505"/>
        <v/>
      </c>
      <c r="L6420" s="7" t="str">
        <f t="shared" si="506"/>
        <v/>
      </c>
      <c r="M6420" s="7" t="str">
        <f t="shared" si="503"/>
        <v/>
      </c>
      <c r="N6420" s="7" t="str">
        <f t="shared" si="507"/>
        <v/>
      </c>
      <c r="O6420" s="8"/>
      <c r="P6420" s="26"/>
      <c r="S6420" s="10" t="str">
        <f t="shared" si="504"/>
        <v/>
      </c>
    </row>
    <row r="6421" spans="5:19" x14ac:dyDescent="0.3">
      <c r="E6421" s="9" t="str">
        <f>IF(DADOS!C6421="","",DADOS!C6421)</f>
        <v/>
      </c>
      <c r="F6421" s="9" t="str">
        <f>IF(DADOS!E6421="","",DADOS!E6421)</f>
        <v/>
      </c>
      <c r="G6421" s="9" t="str">
        <f>IF(DADOS!F6421="","",DADOS!F6421)</f>
        <v/>
      </c>
      <c r="K6421" s="6" t="str">
        <f t="shared" si="505"/>
        <v/>
      </c>
      <c r="L6421" s="7" t="str">
        <f t="shared" si="506"/>
        <v/>
      </c>
      <c r="M6421" s="7" t="str">
        <f t="shared" si="503"/>
        <v/>
      </c>
      <c r="N6421" s="7" t="str">
        <f t="shared" si="507"/>
        <v/>
      </c>
      <c r="O6421" s="8"/>
      <c r="P6421" s="26"/>
      <c r="S6421" s="10" t="str">
        <f t="shared" si="504"/>
        <v/>
      </c>
    </row>
    <row r="6422" spans="5:19" x14ac:dyDescent="0.3">
      <c r="E6422" s="9" t="str">
        <f>IF(DADOS!C6422="","",DADOS!C6422)</f>
        <v/>
      </c>
      <c r="F6422" s="9" t="str">
        <f>IF(DADOS!E6422="","",DADOS!E6422)</f>
        <v/>
      </c>
      <c r="G6422" s="9" t="str">
        <f>IF(DADOS!F6422="","",DADOS!F6422)</f>
        <v/>
      </c>
      <c r="K6422" s="6" t="str">
        <f t="shared" si="505"/>
        <v/>
      </c>
      <c r="L6422" s="7" t="str">
        <f t="shared" si="506"/>
        <v/>
      </c>
      <c r="M6422" s="7" t="str">
        <f t="shared" si="503"/>
        <v/>
      </c>
      <c r="N6422" s="7" t="str">
        <f t="shared" si="507"/>
        <v/>
      </c>
      <c r="O6422" s="8"/>
      <c r="P6422" s="26"/>
      <c r="S6422" s="10" t="str">
        <f t="shared" si="504"/>
        <v/>
      </c>
    </row>
    <row r="6423" spans="5:19" x14ac:dyDescent="0.3">
      <c r="E6423" s="9" t="str">
        <f>IF(DADOS!C6423="","",DADOS!C6423)</f>
        <v/>
      </c>
      <c r="F6423" s="9" t="str">
        <f>IF(DADOS!E6423="","",DADOS!E6423)</f>
        <v/>
      </c>
      <c r="G6423" s="9" t="str">
        <f>IF(DADOS!F6423="","",DADOS!F6423)</f>
        <v/>
      </c>
      <c r="K6423" s="6" t="str">
        <f t="shared" si="505"/>
        <v/>
      </c>
      <c r="L6423" s="7" t="str">
        <f t="shared" si="506"/>
        <v/>
      </c>
      <c r="M6423" s="7" t="str">
        <f t="shared" si="503"/>
        <v/>
      </c>
      <c r="N6423" s="7" t="str">
        <f t="shared" si="507"/>
        <v/>
      </c>
      <c r="O6423" s="8"/>
      <c r="P6423" s="26"/>
      <c r="S6423" s="10" t="str">
        <f t="shared" si="504"/>
        <v/>
      </c>
    </row>
    <row r="6424" spans="5:19" x14ac:dyDescent="0.3">
      <c r="E6424" s="9" t="str">
        <f>IF(DADOS!C6424="","",DADOS!C6424)</f>
        <v/>
      </c>
      <c r="F6424" s="9" t="str">
        <f>IF(DADOS!E6424="","",DADOS!E6424)</f>
        <v/>
      </c>
      <c r="G6424" s="9" t="str">
        <f>IF(DADOS!F6424="","",DADOS!F6424)</f>
        <v/>
      </c>
      <c r="K6424" s="6" t="str">
        <f t="shared" si="505"/>
        <v/>
      </c>
      <c r="L6424" s="7" t="str">
        <f t="shared" si="506"/>
        <v/>
      </c>
      <c r="M6424" s="7" t="str">
        <f t="shared" si="503"/>
        <v/>
      </c>
      <c r="N6424" s="7" t="str">
        <f t="shared" si="507"/>
        <v/>
      </c>
      <c r="O6424" s="8"/>
      <c r="P6424" s="26"/>
      <c r="S6424" s="10" t="str">
        <f t="shared" si="504"/>
        <v/>
      </c>
    </row>
    <row r="6425" spans="5:19" x14ac:dyDescent="0.3">
      <c r="E6425" s="9" t="str">
        <f>IF(DADOS!C6425="","",DADOS!C6425)</f>
        <v/>
      </c>
      <c r="F6425" s="9" t="str">
        <f>IF(DADOS!E6425="","",DADOS!E6425)</f>
        <v/>
      </c>
      <c r="G6425" s="9" t="str">
        <f>IF(DADOS!F6425="","",DADOS!F6425)</f>
        <v/>
      </c>
      <c r="K6425" s="6" t="str">
        <f t="shared" si="505"/>
        <v/>
      </c>
      <c r="L6425" s="7" t="str">
        <f t="shared" si="506"/>
        <v/>
      </c>
      <c r="M6425" s="7" t="str">
        <f t="shared" si="503"/>
        <v/>
      </c>
      <c r="N6425" s="7" t="str">
        <f t="shared" si="507"/>
        <v/>
      </c>
      <c r="O6425" s="8"/>
      <c r="P6425" s="26"/>
      <c r="S6425" s="10" t="str">
        <f t="shared" si="504"/>
        <v/>
      </c>
    </row>
    <row r="6426" spans="5:19" x14ac:dyDescent="0.3">
      <c r="E6426" s="9" t="str">
        <f>IF(DADOS!C6426="","",DADOS!C6426)</f>
        <v/>
      </c>
      <c r="F6426" s="9" t="str">
        <f>IF(DADOS!E6426="","",DADOS!E6426)</f>
        <v/>
      </c>
      <c r="G6426" s="9" t="str">
        <f>IF(DADOS!F6426="","",DADOS!F6426)</f>
        <v/>
      </c>
      <c r="K6426" s="6" t="str">
        <f t="shared" si="505"/>
        <v/>
      </c>
      <c r="L6426" s="7" t="str">
        <f t="shared" si="506"/>
        <v/>
      </c>
      <c r="M6426" s="7" t="str">
        <f t="shared" si="503"/>
        <v/>
      </c>
      <c r="N6426" s="7" t="str">
        <f t="shared" si="507"/>
        <v/>
      </c>
      <c r="O6426" s="8"/>
      <c r="P6426" s="26"/>
      <c r="S6426" s="10" t="str">
        <f t="shared" si="504"/>
        <v/>
      </c>
    </row>
    <row r="6427" spans="5:19" x14ac:dyDescent="0.3">
      <c r="E6427" s="9" t="str">
        <f>IF(DADOS!C6427="","",DADOS!C6427)</f>
        <v/>
      </c>
      <c r="F6427" s="9" t="str">
        <f>IF(DADOS!E6427="","",DADOS!E6427)</f>
        <v/>
      </c>
      <c r="G6427" s="9" t="str">
        <f>IF(DADOS!F6427="","",DADOS!F6427)</f>
        <v/>
      </c>
      <c r="K6427" s="6" t="str">
        <f t="shared" si="505"/>
        <v/>
      </c>
      <c r="L6427" s="7" t="str">
        <f t="shared" si="506"/>
        <v/>
      </c>
      <c r="M6427" s="7" t="str">
        <f t="shared" si="503"/>
        <v/>
      </c>
      <c r="N6427" s="7" t="str">
        <f t="shared" si="507"/>
        <v/>
      </c>
      <c r="O6427" s="8"/>
      <c r="P6427" s="26"/>
      <c r="S6427" s="10" t="str">
        <f t="shared" si="504"/>
        <v/>
      </c>
    </row>
    <row r="6428" spans="5:19" x14ac:dyDescent="0.3">
      <c r="E6428" s="9" t="str">
        <f>IF(DADOS!C6428="","",DADOS!C6428)</f>
        <v/>
      </c>
      <c r="F6428" s="9" t="str">
        <f>IF(DADOS!E6428="","",DADOS!E6428)</f>
        <v/>
      </c>
      <c r="G6428" s="9" t="str">
        <f>IF(DADOS!F6428="","",DADOS!F6428)</f>
        <v/>
      </c>
      <c r="K6428" s="6" t="str">
        <f t="shared" si="505"/>
        <v/>
      </c>
      <c r="L6428" s="7" t="str">
        <f t="shared" si="506"/>
        <v/>
      </c>
      <c r="M6428" s="7" t="str">
        <f t="shared" si="503"/>
        <v/>
      </c>
      <c r="N6428" s="7" t="str">
        <f t="shared" si="507"/>
        <v/>
      </c>
      <c r="O6428" s="8"/>
      <c r="P6428" s="26"/>
      <c r="S6428" s="10" t="str">
        <f t="shared" si="504"/>
        <v/>
      </c>
    </row>
    <row r="6429" spans="5:19" x14ac:dyDescent="0.3">
      <c r="E6429" s="9" t="str">
        <f>IF(DADOS!C6429="","",DADOS!C6429)</f>
        <v/>
      </c>
      <c r="F6429" s="9" t="str">
        <f>IF(DADOS!E6429="","",DADOS!E6429)</f>
        <v/>
      </c>
      <c r="G6429" s="9" t="str">
        <f>IF(DADOS!F6429="","",DADOS!F6429)</f>
        <v/>
      </c>
      <c r="K6429" s="6" t="str">
        <f t="shared" si="505"/>
        <v/>
      </c>
      <c r="L6429" s="7" t="str">
        <f t="shared" si="506"/>
        <v/>
      </c>
      <c r="M6429" s="7" t="str">
        <f t="shared" si="503"/>
        <v/>
      </c>
      <c r="N6429" s="7" t="str">
        <f t="shared" si="507"/>
        <v/>
      </c>
      <c r="O6429" s="8"/>
      <c r="P6429" s="26"/>
      <c r="S6429" s="10" t="str">
        <f t="shared" si="504"/>
        <v/>
      </c>
    </row>
    <row r="6430" spans="5:19" x14ac:dyDescent="0.3">
      <c r="E6430" s="9" t="str">
        <f>IF(DADOS!C6430="","",DADOS!C6430)</f>
        <v/>
      </c>
      <c r="F6430" s="9" t="str">
        <f>IF(DADOS!E6430="","",DADOS!E6430)</f>
        <v/>
      </c>
      <c r="G6430" s="9" t="str">
        <f>IF(DADOS!F6430="","",DADOS!F6430)</f>
        <v/>
      </c>
      <c r="K6430" s="6" t="str">
        <f t="shared" si="505"/>
        <v/>
      </c>
      <c r="L6430" s="7" t="str">
        <f t="shared" si="506"/>
        <v/>
      </c>
      <c r="M6430" s="7" t="str">
        <f t="shared" si="503"/>
        <v/>
      </c>
      <c r="N6430" s="7" t="str">
        <f t="shared" si="507"/>
        <v/>
      </c>
      <c r="O6430" s="8"/>
      <c r="P6430" s="26"/>
      <c r="S6430" s="10" t="str">
        <f t="shared" si="504"/>
        <v/>
      </c>
    </row>
    <row r="6431" spans="5:19" x14ac:dyDescent="0.3">
      <c r="E6431" s="9" t="str">
        <f>IF(DADOS!C6431="","",DADOS!C6431)</f>
        <v/>
      </c>
      <c r="F6431" s="9" t="str">
        <f>IF(DADOS!E6431="","",DADOS!E6431)</f>
        <v/>
      </c>
      <c r="G6431" s="9" t="str">
        <f>IF(DADOS!F6431="","",DADOS!F6431)</f>
        <v/>
      </c>
      <c r="K6431" s="6" t="str">
        <f t="shared" si="505"/>
        <v/>
      </c>
      <c r="L6431" s="7" t="str">
        <f t="shared" si="506"/>
        <v/>
      </c>
      <c r="M6431" s="7" t="str">
        <f t="shared" si="503"/>
        <v/>
      </c>
      <c r="N6431" s="7" t="str">
        <f t="shared" si="507"/>
        <v/>
      </c>
      <c r="O6431" s="8"/>
      <c r="P6431" s="26"/>
      <c r="S6431" s="10" t="str">
        <f t="shared" si="504"/>
        <v/>
      </c>
    </row>
    <row r="6432" spans="5:19" x14ac:dyDescent="0.3">
      <c r="E6432" s="9" t="str">
        <f>IF(DADOS!C6432="","",DADOS!C6432)</f>
        <v/>
      </c>
      <c r="F6432" s="9" t="str">
        <f>IF(DADOS!E6432="","",DADOS!E6432)</f>
        <v/>
      </c>
      <c r="G6432" s="9" t="str">
        <f>IF(DADOS!F6432="","",DADOS!F6432)</f>
        <v/>
      </c>
      <c r="K6432" s="6" t="str">
        <f t="shared" si="505"/>
        <v/>
      </c>
      <c r="L6432" s="7" t="str">
        <f t="shared" si="506"/>
        <v/>
      </c>
      <c r="M6432" s="7" t="str">
        <f t="shared" si="503"/>
        <v/>
      </c>
      <c r="N6432" s="7" t="str">
        <f t="shared" si="507"/>
        <v/>
      </c>
      <c r="O6432" s="8"/>
      <c r="P6432" s="26"/>
      <c r="S6432" s="10" t="str">
        <f t="shared" si="504"/>
        <v/>
      </c>
    </row>
    <row r="6433" spans="5:19" x14ac:dyDescent="0.3">
      <c r="E6433" s="9" t="str">
        <f>IF(DADOS!C6433="","",DADOS!C6433)</f>
        <v/>
      </c>
      <c r="F6433" s="9" t="str">
        <f>IF(DADOS!E6433="","",DADOS!E6433)</f>
        <v/>
      </c>
      <c r="G6433" s="9" t="str">
        <f>IF(DADOS!F6433="","",DADOS!F6433)</f>
        <v/>
      </c>
      <c r="K6433" s="6" t="str">
        <f t="shared" si="505"/>
        <v/>
      </c>
      <c r="L6433" s="7" t="str">
        <f t="shared" si="506"/>
        <v/>
      </c>
      <c r="M6433" s="7" t="str">
        <f t="shared" si="503"/>
        <v/>
      </c>
      <c r="N6433" s="7" t="str">
        <f t="shared" si="507"/>
        <v/>
      </c>
      <c r="O6433" s="8"/>
      <c r="P6433" s="26"/>
      <c r="S6433" s="10" t="str">
        <f t="shared" si="504"/>
        <v/>
      </c>
    </row>
    <row r="6434" spans="5:19" x14ac:dyDescent="0.3">
      <c r="E6434" s="9" t="str">
        <f>IF(DADOS!C6434="","",DADOS!C6434)</f>
        <v/>
      </c>
      <c r="F6434" s="9" t="str">
        <f>IF(DADOS!E6434="","",DADOS!E6434)</f>
        <v/>
      </c>
      <c r="G6434" s="9" t="str">
        <f>IF(DADOS!F6434="","",DADOS!F6434)</f>
        <v/>
      </c>
      <c r="K6434" s="6" t="str">
        <f t="shared" si="505"/>
        <v/>
      </c>
      <c r="L6434" s="7" t="str">
        <f t="shared" si="506"/>
        <v/>
      </c>
      <c r="M6434" s="7" t="str">
        <f t="shared" si="503"/>
        <v/>
      </c>
      <c r="N6434" s="7" t="str">
        <f t="shared" si="507"/>
        <v/>
      </c>
      <c r="O6434" s="8"/>
      <c r="P6434" s="26"/>
      <c r="S6434" s="10" t="str">
        <f t="shared" si="504"/>
        <v/>
      </c>
    </row>
    <row r="6435" spans="5:19" x14ac:dyDescent="0.3">
      <c r="E6435" s="9" t="str">
        <f>IF(DADOS!C6435="","",DADOS!C6435)</f>
        <v/>
      </c>
      <c r="F6435" s="9" t="str">
        <f>IF(DADOS!E6435="","",DADOS!E6435)</f>
        <v/>
      </c>
      <c r="G6435" s="9" t="str">
        <f>IF(DADOS!F6435="","",DADOS!F6435)</f>
        <v/>
      </c>
      <c r="K6435" s="6" t="str">
        <f t="shared" si="505"/>
        <v/>
      </c>
      <c r="L6435" s="7" t="str">
        <f t="shared" si="506"/>
        <v/>
      </c>
      <c r="M6435" s="7" t="str">
        <f t="shared" si="503"/>
        <v/>
      </c>
      <c r="N6435" s="7" t="str">
        <f t="shared" si="507"/>
        <v/>
      </c>
      <c r="O6435" s="8"/>
      <c r="P6435" s="26"/>
      <c r="S6435" s="10" t="str">
        <f t="shared" si="504"/>
        <v/>
      </c>
    </row>
    <row r="6436" spans="5:19" x14ac:dyDescent="0.3">
      <c r="E6436" s="9" t="str">
        <f>IF(DADOS!C6436="","",DADOS!C6436)</f>
        <v/>
      </c>
      <c r="F6436" s="9" t="str">
        <f>IF(DADOS!E6436="","",DADOS!E6436)</f>
        <v/>
      </c>
      <c r="G6436" s="9" t="str">
        <f>IF(DADOS!F6436="","",DADOS!F6436)</f>
        <v/>
      </c>
      <c r="K6436" s="6" t="str">
        <f t="shared" si="505"/>
        <v/>
      </c>
      <c r="L6436" s="7" t="str">
        <f t="shared" si="506"/>
        <v/>
      </c>
      <c r="M6436" s="7" t="str">
        <f t="shared" si="503"/>
        <v/>
      </c>
      <c r="N6436" s="7" t="str">
        <f t="shared" si="507"/>
        <v/>
      </c>
      <c r="O6436" s="8"/>
      <c r="P6436" s="26"/>
      <c r="S6436" s="10" t="str">
        <f t="shared" si="504"/>
        <v/>
      </c>
    </row>
    <row r="6437" spans="5:19" x14ac:dyDescent="0.3">
      <c r="E6437" s="9" t="str">
        <f>IF(DADOS!C6437="","",DADOS!C6437)</f>
        <v/>
      </c>
      <c r="F6437" s="9" t="str">
        <f>IF(DADOS!E6437="","",DADOS!E6437)</f>
        <v/>
      </c>
      <c r="G6437" s="9" t="str">
        <f>IF(DADOS!F6437="","",DADOS!F6437)</f>
        <v/>
      </c>
      <c r="K6437" s="6" t="str">
        <f t="shared" si="505"/>
        <v/>
      </c>
      <c r="L6437" s="7" t="str">
        <f t="shared" si="506"/>
        <v/>
      </c>
      <c r="M6437" s="7" t="str">
        <f t="shared" si="503"/>
        <v/>
      </c>
      <c r="N6437" s="7" t="str">
        <f t="shared" si="507"/>
        <v/>
      </c>
      <c r="O6437" s="8"/>
      <c r="P6437" s="26"/>
      <c r="S6437" s="10" t="str">
        <f t="shared" si="504"/>
        <v/>
      </c>
    </row>
    <row r="6438" spans="5:19" x14ac:dyDescent="0.3">
      <c r="E6438" s="9" t="str">
        <f>IF(DADOS!C6438="","",DADOS!C6438)</f>
        <v/>
      </c>
      <c r="F6438" s="9" t="str">
        <f>IF(DADOS!E6438="","",DADOS!E6438)</f>
        <v/>
      </c>
      <c r="G6438" s="9" t="str">
        <f>IF(DADOS!F6438="","",DADOS!F6438)</f>
        <v/>
      </c>
      <c r="K6438" s="6" t="str">
        <f t="shared" si="505"/>
        <v/>
      </c>
      <c r="L6438" s="7" t="str">
        <f t="shared" si="506"/>
        <v/>
      </c>
      <c r="M6438" s="7" t="str">
        <f t="shared" si="503"/>
        <v/>
      </c>
      <c r="N6438" s="7" t="str">
        <f t="shared" si="507"/>
        <v/>
      </c>
      <c r="O6438" s="8"/>
      <c r="P6438" s="26"/>
      <c r="S6438" s="10" t="str">
        <f t="shared" si="504"/>
        <v/>
      </c>
    </row>
    <row r="6439" spans="5:19" x14ac:dyDescent="0.3">
      <c r="E6439" s="9" t="str">
        <f>IF(DADOS!C6439="","",DADOS!C6439)</f>
        <v/>
      </c>
      <c r="F6439" s="9" t="str">
        <f>IF(DADOS!E6439="","",DADOS!E6439)</f>
        <v/>
      </c>
      <c r="G6439" s="9" t="str">
        <f>IF(DADOS!F6439="","",DADOS!F6439)</f>
        <v/>
      </c>
      <c r="K6439" s="6" t="str">
        <f t="shared" si="505"/>
        <v/>
      </c>
      <c r="L6439" s="7" t="str">
        <f t="shared" si="506"/>
        <v/>
      </c>
      <c r="M6439" s="7" t="str">
        <f t="shared" si="503"/>
        <v/>
      </c>
      <c r="N6439" s="7" t="str">
        <f t="shared" si="507"/>
        <v/>
      </c>
      <c r="O6439" s="8"/>
      <c r="P6439" s="26"/>
      <c r="S6439" s="10" t="str">
        <f t="shared" si="504"/>
        <v/>
      </c>
    </row>
    <row r="6440" spans="5:19" x14ac:dyDescent="0.3">
      <c r="E6440" s="9" t="str">
        <f>IF(DADOS!C6440="","",DADOS!C6440)</f>
        <v/>
      </c>
      <c r="F6440" s="9" t="str">
        <f>IF(DADOS!E6440="","",DADOS!E6440)</f>
        <v/>
      </c>
      <c r="G6440" s="9" t="str">
        <f>IF(DADOS!F6440="","",DADOS!F6440)</f>
        <v/>
      </c>
      <c r="K6440" s="6" t="str">
        <f t="shared" si="505"/>
        <v/>
      </c>
      <c r="L6440" s="7" t="str">
        <f t="shared" si="506"/>
        <v/>
      </c>
      <c r="M6440" s="7" t="str">
        <f t="shared" si="503"/>
        <v/>
      </c>
      <c r="N6440" s="7" t="str">
        <f t="shared" si="507"/>
        <v/>
      </c>
      <c r="O6440" s="8"/>
      <c r="P6440" s="26"/>
      <c r="S6440" s="10" t="str">
        <f t="shared" si="504"/>
        <v/>
      </c>
    </row>
    <row r="6441" spans="5:19" x14ac:dyDescent="0.3">
      <c r="E6441" s="9" t="str">
        <f>IF(DADOS!C6441="","",DADOS!C6441)</f>
        <v/>
      </c>
      <c r="F6441" s="9" t="str">
        <f>IF(DADOS!E6441="","",DADOS!E6441)</f>
        <v/>
      </c>
      <c r="G6441" s="9" t="str">
        <f>IF(DADOS!F6441="","",DADOS!F6441)</f>
        <v/>
      </c>
      <c r="K6441" s="6" t="str">
        <f t="shared" si="505"/>
        <v/>
      </c>
      <c r="L6441" s="7" t="str">
        <f t="shared" si="506"/>
        <v/>
      </c>
      <c r="M6441" s="7" t="str">
        <f t="shared" si="503"/>
        <v/>
      </c>
      <c r="N6441" s="7" t="str">
        <f t="shared" si="507"/>
        <v/>
      </c>
      <c r="O6441" s="8"/>
      <c r="P6441" s="26"/>
      <c r="S6441" s="10" t="str">
        <f t="shared" si="504"/>
        <v/>
      </c>
    </row>
    <row r="6442" spans="5:19" x14ac:dyDescent="0.3">
      <c r="E6442" s="9" t="str">
        <f>IF(DADOS!C6442="","",DADOS!C6442)</f>
        <v/>
      </c>
      <c r="F6442" s="9" t="str">
        <f>IF(DADOS!E6442="","",DADOS!E6442)</f>
        <v/>
      </c>
      <c r="G6442" s="9" t="str">
        <f>IF(DADOS!F6442="","",DADOS!F6442)</f>
        <v/>
      </c>
      <c r="K6442" s="6" t="str">
        <f t="shared" si="505"/>
        <v/>
      </c>
      <c r="L6442" s="7" t="str">
        <f t="shared" si="506"/>
        <v/>
      </c>
      <c r="M6442" s="7" t="str">
        <f t="shared" si="503"/>
        <v/>
      </c>
      <c r="N6442" s="7" t="str">
        <f t="shared" si="507"/>
        <v/>
      </c>
      <c r="O6442" s="8"/>
      <c r="P6442" s="26"/>
      <c r="S6442" s="10" t="str">
        <f t="shared" si="504"/>
        <v/>
      </c>
    </row>
    <row r="6443" spans="5:19" x14ac:dyDescent="0.3">
      <c r="E6443" s="9" t="str">
        <f>IF(DADOS!C6443="","",DADOS!C6443)</f>
        <v/>
      </c>
      <c r="F6443" s="9" t="str">
        <f>IF(DADOS!E6443="","",DADOS!E6443)</f>
        <v/>
      </c>
      <c r="G6443" s="9" t="str">
        <f>IF(DADOS!F6443="","",DADOS!F6443)</f>
        <v/>
      </c>
      <c r="K6443" s="6" t="str">
        <f t="shared" si="505"/>
        <v/>
      </c>
      <c r="L6443" s="7" t="str">
        <f t="shared" si="506"/>
        <v/>
      </c>
      <c r="M6443" s="7" t="str">
        <f t="shared" si="503"/>
        <v/>
      </c>
      <c r="N6443" s="7" t="str">
        <f t="shared" si="507"/>
        <v/>
      </c>
      <c r="O6443" s="8"/>
      <c r="P6443" s="26"/>
      <c r="S6443" s="10" t="str">
        <f t="shared" si="504"/>
        <v/>
      </c>
    </row>
    <row r="6444" spans="5:19" x14ac:dyDescent="0.3">
      <c r="E6444" s="9" t="str">
        <f>IF(DADOS!C6444="","",DADOS!C6444)</f>
        <v/>
      </c>
      <c r="F6444" s="9" t="str">
        <f>IF(DADOS!E6444="","",DADOS!E6444)</f>
        <v/>
      </c>
      <c r="G6444" s="9" t="str">
        <f>IF(DADOS!F6444="","",DADOS!F6444)</f>
        <v/>
      </c>
      <c r="K6444" s="6" t="str">
        <f t="shared" si="505"/>
        <v/>
      </c>
      <c r="L6444" s="7" t="str">
        <f t="shared" si="506"/>
        <v/>
      </c>
      <c r="M6444" s="7" t="str">
        <f t="shared" si="503"/>
        <v/>
      </c>
      <c r="N6444" s="7" t="str">
        <f t="shared" si="507"/>
        <v/>
      </c>
      <c r="O6444" s="8"/>
      <c r="P6444" s="26"/>
      <c r="S6444" s="10" t="str">
        <f t="shared" si="504"/>
        <v/>
      </c>
    </row>
    <row r="6445" spans="5:19" x14ac:dyDescent="0.3">
      <c r="E6445" s="9" t="str">
        <f>IF(DADOS!C6445="","",DADOS!C6445)</f>
        <v/>
      </c>
      <c r="F6445" s="9" t="str">
        <f>IF(DADOS!E6445="","",DADOS!E6445)</f>
        <v/>
      </c>
      <c r="G6445" s="9" t="str">
        <f>IF(DADOS!F6445="","",DADOS!F6445)</f>
        <v/>
      </c>
      <c r="K6445" s="6" t="str">
        <f t="shared" si="505"/>
        <v/>
      </c>
      <c r="L6445" s="7" t="str">
        <f t="shared" si="506"/>
        <v/>
      </c>
      <c r="M6445" s="7" t="str">
        <f t="shared" si="503"/>
        <v/>
      </c>
      <c r="N6445" s="7" t="str">
        <f t="shared" si="507"/>
        <v/>
      </c>
      <c r="O6445" s="8"/>
      <c r="P6445" s="26"/>
      <c r="S6445" s="10" t="str">
        <f t="shared" si="504"/>
        <v/>
      </c>
    </row>
    <row r="6446" spans="5:19" x14ac:dyDescent="0.3">
      <c r="E6446" s="9" t="str">
        <f>IF(DADOS!C6446="","",DADOS!C6446)</f>
        <v/>
      </c>
      <c r="F6446" s="9" t="str">
        <f>IF(DADOS!E6446="","",DADOS!E6446)</f>
        <v/>
      </c>
      <c r="G6446" s="9" t="str">
        <f>IF(DADOS!F6446="","",DADOS!F6446)</f>
        <v/>
      </c>
      <c r="K6446" s="6" t="str">
        <f t="shared" si="505"/>
        <v/>
      </c>
      <c r="L6446" s="7" t="str">
        <f t="shared" si="506"/>
        <v/>
      </c>
      <c r="M6446" s="7" t="str">
        <f t="shared" si="503"/>
        <v/>
      </c>
      <c r="N6446" s="7" t="str">
        <f t="shared" si="507"/>
        <v/>
      </c>
      <c r="O6446" s="8"/>
      <c r="P6446" s="26"/>
      <c r="S6446" s="10" t="str">
        <f t="shared" si="504"/>
        <v/>
      </c>
    </row>
    <row r="6447" spans="5:19" x14ac:dyDescent="0.3">
      <c r="E6447" s="9" t="str">
        <f>IF(DADOS!C6447="","",DADOS!C6447)</f>
        <v/>
      </c>
      <c r="F6447" s="9" t="str">
        <f>IF(DADOS!E6447="","",DADOS!E6447)</f>
        <v/>
      </c>
      <c r="G6447" s="9" t="str">
        <f>IF(DADOS!F6447="","",DADOS!F6447)</f>
        <v/>
      </c>
      <c r="K6447" s="6" t="str">
        <f t="shared" si="505"/>
        <v/>
      </c>
      <c r="L6447" s="7" t="str">
        <f t="shared" si="506"/>
        <v/>
      </c>
      <c r="M6447" s="7" t="str">
        <f t="shared" si="503"/>
        <v/>
      </c>
      <c r="N6447" s="7" t="str">
        <f t="shared" si="507"/>
        <v/>
      </c>
      <c r="O6447" s="8"/>
      <c r="P6447" s="26"/>
      <c r="S6447" s="10" t="str">
        <f t="shared" si="504"/>
        <v/>
      </c>
    </row>
    <row r="6448" spans="5:19" x14ac:dyDescent="0.3">
      <c r="E6448" s="9" t="str">
        <f>IF(DADOS!C6448="","",DADOS!C6448)</f>
        <v/>
      </c>
      <c r="F6448" s="9" t="str">
        <f>IF(DADOS!E6448="","",DADOS!E6448)</f>
        <v/>
      </c>
      <c r="G6448" s="9" t="str">
        <f>IF(DADOS!F6448="","",DADOS!F6448)</f>
        <v/>
      </c>
      <c r="K6448" s="6" t="str">
        <f t="shared" si="505"/>
        <v/>
      </c>
      <c r="L6448" s="7" t="str">
        <f t="shared" si="506"/>
        <v/>
      </c>
      <c r="M6448" s="7" t="str">
        <f t="shared" si="503"/>
        <v/>
      </c>
      <c r="N6448" s="7" t="str">
        <f t="shared" si="507"/>
        <v/>
      </c>
      <c r="O6448" s="8"/>
      <c r="P6448" s="26"/>
      <c r="S6448" s="10" t="str">
        <f t="shared" si="504"/>
        <v/>
      </c>
    </row>
    <row r="6449" spans="5:19" x14ac:dyDescent="0.3">
      <c r="E6449" s="9" t="str">
        <f>IF(DADOS!C6449="","",DADOS!C6449)</f>
        <v/>
      </c>
      <c r="F6449" s="9" t="str">
        <f>IF(DADOS!E6449="","",DADOS!E6449)</f>
        <v/>
      </c>
      <c r="G6449" s="9" t="str">
        <f>IF(DADOS!F6449="","",DADOS!F6449)</f>
        <v/>
      </c>
      <c r="K6449" s="6" t="str">
        <f t="shared" si="505"/>
        <v/>
      </c>
      <c r="L6449" s="7" t="str">
        <f t="shared" si="506"/>
        <v/>
      </c>
      <c r="M6449" s="7" t="str">
        <f t="shared" si="503"/>
        <v/>
      </c>
      <c r="N6449" s="7" t="str">
        <f t="shared" si="507"/>
        <v/>
      </c>
      <c r="O6449" s="8"/>
      <c r="P6449" s="26"/>
      <c r="S6449" s="10" t="str">
        <f t="shared" si="504"/>
        <v/>
      </c>
    </row>
    <row r="6450" spans="5:19" x14ac:dyDescent="0.3">
      <c r="E6450" s="9" t="str">
        <f>IF(DADOS!C6450="","",DADOS!C6450)</f>
        <v/>
      </c>
      <c r="F6450" s="9" t="str">
        <f>IF(DADOS!E6450="","",DADOS!E6450)</f>
        <v/>
      </c>
      <c r="G6450" s="9" t="str">
        <f>IF(DADOS!F6450="","",DADOS!F6450)</f>
        <v/>
      </c>
      <c r="K6450" s="6" t="str">
        <f t="shared" si="505"/>
        <v/>
      </c>
      <c r="L6450" s="7" t="str">
        <f t="shared" si="506"/>
        <v/>
      </c>
      <c r="M6450" s="7" t="str">
        <f t="shared" si="503"/>
        <v/>
      </c>
      <c r="N6450" s="7" t="str">
        <f t="shared" si="507"/>
        <v/>
      </c>
      <c r="O6450" s="8"/>
      <c r="P6450" s="26"/>
      <c r="S6450" s="10" t="str">
        <f t="shared" si="504"/>
        <v/>
      </c>
    </row>
    <row r="6451" spans="5:19" x14ac:dyDescent="0.3">
      <c r="E6451" s="9" t="str">
        <f>IF(DADOS!C6451="","",DADOS!C6451)</f>
        <v/>
      </c>
      <c r="F6451" s="9" t="str">
        <f>IF(DADOS!E6451="","",DADOS!E6451)</f>
        <v/>
      </c>
      <c r="G6451" s="9" t="str">
        <f>IF(DADOS!F6451="","",DADOS!F6451)</f>
        <v/>
      </c>
      <c r="K6451" s="6" t="str">
        <f t="shared" si="505"/>
        <v/>
      </c>
      <c r="L6451" s="7" t="str">
        <f t="shared" si="506"/>
        <v/>
      </c>
      <c r="M6451" s="7" t="str">
        <f t="shared" si="503"/>
        <v/>
      </c>
      <c r="N6451" s="7" t="str">
        <f t="shared" si="507"/>
        <v/>
      </c>
      <c r="O6451" s="8"/>
      <c r="P6451" s="26"/>
      <c r="S6451" s="10" t="str">
        <f t="shared" si="504"/>
        <v/>
      </c>
    </row>
    <row r="6452" spans="5:19" x14ac:dyDescent="0.3">
      <c r="E6452" s="9" t="str">
        <f>IF(DADOS!C6452="","",DADOS!C6452)</f>
        <v/>
      </c>
      <c r="F6452" s="9" t="str">
        <f>IF(DADOS!E6452="","",DADOS!E6452)</f>
        <v/>
      </c>
      <c r="G6452" s="9" t="str">
        <f>IF(DADOS!F6452="","",DADOS!F6452)</f>
        <v/>
      </c>
      <c r="K6452" s="6" t="str">
        <f t="shared" si="505"/>
        <v/>
      </c>
      <c r="L6452" s="7" t="str">
        <f t="shared" si="506"/>
        <v/>
      </c>
      <c r="M6452" s="7" t="str">
        <f t="shared" si="503"/>
        <v/>
      </c>
      <c r="N6452" s="7" t="str">
        <f t="shared" si="507"/>
        <v/>
      </c>
      <c r="O6452" s="8"/>
      <c r="P6452" s="26"/>
      <c r="S6452" s="10" t="str">
        <f t="shared" si="504"/>
        <v/>
      </c>
    </row>
    <row r="6453" spans="5:19" x14ac:dyDescent="0.3">
      <c r="E6453" s="9" t="str">
        <f>IF(DADOS!C6453="","",DADOS!C6453)</f>
        <v/>
      </c>
      <c r="F6453" s="9" t="str">
        <f>IF(DADOS!E6453="","",DADOS!E6453)</f>
        <v/>
      </c>
      <c r="G6453" s="9" t="str">
        <f>IF(DADOS!F6453="","",DADOS!F6453)</f>
        <v/>
      </c>
      <c r="K6453" s="6" t="str">
        <f t="shared" si="505"/>
        <v/>
      </c>
      <c r="L6453" s="7" t="str">
        <f t="shared" si="506"/>
        <v/>
      </c>
      <c r="M6453" s="7" t="str">
        <f t="shared" si="503"/>
        <v/>
      </c>
      <c r="N6453" s="7" t="str">
        <f t="shared" si="507"/>
        <v/>
      </c>
      <c r="O6453" s="8"/>
      <c r="P6453" s="26"/>
      <c r="S6453" s="10" t="str">
        <f t="shared" si="504"/>
        <v/>
      </c>
    </row>
    <row r="6454" spans="5:19" x14ac:dyDescent="0.3">
      <c r="E6454" s="9" t="str">
        <f>IF(DADOS!C6454="","",DADOS!C6454)</f>
        <v/>
      </c>
      <c r="F6454" s="9" t="str">
        <f>IF(DADOS!E6454="","",DADOS!E6454)</f>
        <v/>
      </c>
      <c r="G6454" s="9" t="str">
        <f>IF(DADOS!F6454="","",DADOS!F6454)</f>
        <v/>
      </c>
      <c r="K6454" s="6" t="str">
        <f t="shared" si="505"/>
        <v/>
      </c>
      <c r="L6454" s="7" t="str">
        <f t="shared" si="506"/>
        <v/>
      </c>
      <c r="M6454" s="7" t="str">
        <f t="shared" si="503"/>
        <v/>
      </c>
      <c r="N6454" s="7" t="str">
        <f t="shared" si="507"/>
        <v/>
      </c>
      <c r="O6454" s="8"/>
      <c r="P6454" s="26"/>
      <c r="S6454" s="10" t="str">
        <f t="shared" si="504"/>
        <v/>
      </c>
    </row>
    <row r="6455" spans="5:19" x14ac:dyDescent="0.3">
      <c r="E6455" s="9" t="str">
        <f>IF(DADOS!C6455="","",DADOS!C6455)</f>
        <v/>
      </c>
      <c r="F6455" s="9" t="str">
        <f>IF(DADOS!E6455="","",DADOS!E6455)</f>
        <v/>
      </c>
      <c r="G6455" s="9" t="str">
        <f>IF(DADOS!F6455="","",DADOS!F6455)</f>
        <v/>
      </c>
      <c r="K6455" s="6" t="str">
        <f t="shared" si="505"/>
        <v/>
      </c>
      <c r="L6455" s="7" t="str">
        <f t="shared" si="506"/>
        <v/>
      </c>
      <c r="M6455" s="7" t="str">
        <f t="shared" si="503"/>
        <v/>
      </c>
      <c r="N6455" s="7" t="str">
        <f t="shared" si="507"/>
        <v/>
      </c>
      <c r="O6455" s="8"/>
      <c r="P6455" s="26"/>
      <c r="S6455" s="10" t="str">
        <f t="shared" si="504"/>
        <v/>
      </c>
    </row>
    <row r="6456" spans="5:19" x14ac:dyDescent="0.3">
      <c r="E6456" s="9" t="str">
        <f>IF(DADOS!C6456="","",DADOS!C6456)</f>
        <v/>
      </c>
      <c r="F6456" s="9" t="str">
        <f>IF(DADOS!E6456="","",DADOS!E6456)</f>
        <v/>
      </c>
      <c r="G6456" s="9" t="str">
        <f>IF(DADOS!F6456="","",DADOS!F6456)</f>
        <v/>
      </c>
      <c r="K6456" s="6" t="str">
        <f t="shared" si="505"/>
        <v/>
      </c>
      <c r="L6456" s="7" t="str">
        <f t="shared" si="506"/>
        <v/>
      </c>
      <c r="M6456" s="7" t="str">
        <f t="shared" si="503"/>
        <v/>
      </c>
      <c r="N6456" s="7" t="str">
        <f t="shared" si="507"/>
        <v/>
      </c>
      <c r="O6456" s="8"/>
      <c r="P6456" s="26"/>
      <c r="S6456" s="10" t="str">
        <f t="shared" si="504"/>
        <v/>
      </c>
    </row>
    <row r="6457" spans="5:19" x14ac:dyDescent="0.3">
      <c r="E6457" s="9" t="str">
        <f>IF(DADOS!C6457="","",DADOS!C6457)</f>
        <v/>
      </c>
      <c r="F6457" s="9" t="str">
        <f>IF(DADOS!E6457="","",DADOS!E6457)</f>
        <v/>
      </c>
      <c r="G6457" s="9" t="str">
        <f>IF(DADOS!F6457="","",DADOS!F6457)</f>
        <v/>
      </c>
      <c r="K6457" s="6" t="str">
        <f t="shared" si="505"/>
        <v/>
      </c>
      <c r="L6457" s="7" t="str">
        <f t="shared" si="506"/>
        <v/>
      </c>
      <c r="M6457" s="7" t="str">
        <f t="shared" si="503"/>
        <v/>
      </c>
      <c r="N6457" s="7" t="str">
        <f t="shared" si="507"/>
        <v/>
      </c>
      <c r="O6457" s="8"/>
      <c r="P6457" s="26"/>
      <c r="S6457" s="10" t="str">
        <f t="shared" si="504"/>
        <v/>
      </c>
    </row>
    <row r="6458" spans="5:19" x14ac:dyDescent="0.3">
      <c r="E6458" s="9" t="str">
        <f>IF(DADOS!C6458="","",DADOS!C6458)</f>
        <v/>
      </c>
      <c r="F6458" s="9" t="str">
        <f>IF(DADOS!E6458="","",DADOS!E6458)</f>
        <v/>
      </c>
      <c r="G6458" s="9" t="str">
        <f>IF(DADOS!F6458="","",DADOS!F6458)</f>
        <v/>
      </c>
      <c r="K6458" s="6" t="str">
        <f t="shared" si="505"/>
        <v/>
      </c>
      <c r="L6458" s="7" t="str">
        <f t="shared" si="506"/>
        <v/>
      </c>
      <c r="M6458" s="7" t="str">
        <f t="shared" si="503"/>
        <v/>
      </c>
      <c r="N6458" s="7" t="str">
        <f t="shared" si="507"/>
        <v/>
      </c>
      <c r="O6458" s="8"/>
      <c r="P6458" s="26"/>
      <c r="S6458" s="10" t="str">
        <f t="shared" si="504"/>
        <v/>
      </c>
    </row>
    <row r="6459" spans="5:19" x14ac:dyDescent="0.3">
      <c r="E6459" s="9" t="str">
        <f>IF(DADOS!C6459="","",DADOS!C6459)</f>
        <v/>
      </c>
      <c r="F6459" s="9" t="str">
        <f>IF(DADOS!E6459="","",DADOS!E6459)</f>
        <v/>
      </c>
      <c r="G6459" s="9" t="str">
        <f>IF(DADOS!F6459="","",DADOS!F6459)</f>
        <v/>
      </c>
      <c r="K6459" s="6" t="str">
        <f t="shared" si="505"/>
        <v/>
      </c>
      <c r="L6459" s="7" t="str">
        <f t="shared" si="506"/>
        <v/>
      </c>
      <c r="M6459" s="7" t="str">
        <f t="shared" si="503"/>
        <v/>
      </c>
      <c r="N6459" s="7" t="str">
        <f t="shared" si="507"/>
        <v/>
      </c>
      <c r="O6459" s="8"/>
      <c r="P6459" s="26"/>
      <c r="S6459" s="10" t="str">
        <f t="shared" si="504"/>
        <v/>
      </c>
    </row>
    <row r="6460" spans="5:19" x14ac:dyDescent="0.3">
      <c r="E6460" s="9" t="str">
        <f>IF(DADOS!C6460="","",DADOS!C6460)</f>
        <v/>
      </c>
      <c r="F6460" s="9" t="str">
        <f>IF(DADOS!E6460="","",DADOS!E6460)</f>
        <v/>
      </c>
      <c r="G6460" s="9" t="str">
        <f>IF(DADOS!F6460="","",DADOS!F6460)</f>
        <v/>
      </c>
      <c r="K6460" s="6" t="str">
        <f t="shared" si="505"/>
        <v/>
      </c>
      <c r="L6460" s="7" t="str">
        <f t="shared" si="506"/>
        <v/>
      </c>
      <c r="M6460" s="7" t="str">
        <f t="shared" si="503"/>
        <v/>
      </c>
      <c r="N6460" s="7" t="str">
        <f t="shared" si="507"/>
        <v/>
      </c>
      <c r="O6460" s="8"/>
      <c r="P6460" s="26"/>
      <c r="S6460" s="10" t="str">
        <f t="shared" si="504"/>
        <v/>
      </c>
    </row>
    <row r="6461" spans="5:19" x14ac:dyDescent="0.3">
      <c r="E6461" s="9" t="str">
        <f>IF(DADOS!C6461="","",DADOS!C6461)</f>
        <v/>
      </c>
      <c r="F6461" s="9" t="str">
        <f>IF(DADOS!E6461="","",DADOS!E6461)</f>
        <v/>
      </c>
      <c r="G6461" s="9" t="str">
        <f>IF(DADOS!F6461="","",DADOS!F6461)</f>
        <v/>
      </c>
      <c r="K6461" s="6" t="str">
        <f t="shared" si="505"/>
        <v/>
      </c>
      <c r="L6461" s="7" t="str">
        <f t="shared" si="506"/>
        <v/>
      </c>
      <c r="M6461" s="7" t="str">
        <f t="shared" si="503"/>
        <v/>
      </c>
      <c r="N6461" s="7" t="str">
        <f t="shared" si="507"/>
        <v/>
      </c>
      <c r="O6461" s="8"/>
      <c r="P6461" s="26"/>
      <c r="S6461" s="10" t="str">
        <f t="shared" si="504"/>
        <v/>
      </c>
    </row>
    <row r="6462" spans="5:19" x14ac:dyDescent="0.3">
      <c r="E6462" s="9" t="str">
        <f>IF(DADOS!C6462="","",DADOS!C6462)</f>
        <v/>
      </c>
      <c r="F6462" s="9" t="str">
        <f>IF(DADOS!E6462="","",DADOS!E6462)</f>
        <v/>
      </c>
      <c r="G6462" s="9" t="str">
        <f>IF(DADOS!F6462="","",DADOS!F6462)</f>
        <v/>
      </c>
      <c r="K6462" s="6" t="str">
        <f t="shared" si="505"/>
        <v/>
      </c>
      <c r="L6462" s="7" t="str">
        <f t="shared" si="506"/>
        <v/>
      </c>
      <c r="M6462" s="7" t="str">
        <f t="shared" si="503"/>
        <v/>
      </c>
      <c r="N6462" s="7" t="str">
        <f t="shared" si="507"/>
        <v/>
      </c>
      <c r="O6462" s="8"/>
      <c r="P6462" s="26"/>
      <c r="S6462" s="10" t="str">
        <f t="shared" si="504"/>
        <v/>
      </c>
    </row>
    <row r="6463" spans="5:19" x14ac:dyDescent="0.3">
      <c r="E6463" s="9" t="str">
        <f>IF(DADOS!C6463="","",DADOS!C6463)</f>
        <v/>
      </c>
      <c r="F6463" s="9" t="str">
        <f>IF(DADOS!E6463="","",DADOS!E6463)</f>
        <v/>
      </c>
      <c r="G6463" s="9" t="str">
        <f>IF(DADOS!F6463="","",DADOS!F6463)</f>
        <v/>
      </c>
      <c r="K6463" s="6" t="str">
        <f t="shared" si="505"/>
        <v/>
      </c>
      <c r="L6463" s="7" t="str">
        <f t="shared" si="506"/>
        <v/>
      </c>
      <c r="M6463" s="7" t="str">
        <f t="shared" si="503"/>
        <v/>
      </c>
      <c r="N6463" s="7" t="str">
        <f t="shared" si="507"/>
        <v/>
      </c>
      <c r="O6463" s="8"/>
      <c r="P6463" s="26"/>
      <c r="S6463" s="10" t="str">
        <f t="shared" si="504"/>
        <v/>
      </c>
    </row>
    <row r="6464" spans="5:19" x14ac:dyDescent="0.3">
      <c r="E6464" s="9" t="str">
        <f>IF(DADOS!C6464="","",DADOS!C6464)</f>
        <v/>
      </c>
      <c r="F6464" s="9" t="str">
        <f>IF(DADOS!E6464="","",DADOS!E6464)</f>
        <v/>
      </c>
      <c r="G6464" s="9" t="str">
        <f>IF(DADOS!F6464="","",DADOS!F6464)</f>
        <v/>
      </c>
      <c r="K6464" s="6" t="str">
        <f t="shared" si="505"/>
        <v/>
      </c>
      <c r="L6464" s="7" t="str">
        <f t="shared" si="506"/>
        <v/>
      </c>
      <c r="M6464" s="7" t="str">
        <f t="shared" si="503"/>
        <v/>
      </c>
      <c r="N6464" s="7" t="str">
        <f t="shared" si="507"/>
        <v/>
      </c>
      <c r="O6464" s="8"/>
      <c r="P6464" s="26"/>
      <c r="S6464" s="10" t="str">
        <f t="shared" si="504"/>
        <v/>
      </c>
    </row>
    <row r="6465" spans="5:19" x14ac:dyDescent="0.3">
      <c r="E6465" s="9" t="str">
        <f>IF(DADOS!C6465="","",DADOS!C6465)</f>
        <v/>
      </c>
      <c r="F6465" s="9" t="str">
        <f>IF(DADOS!E6465="","",DADOS!E6465)</f>
        <v/>
      </c>
      <c r="G6465" s="9" t="str">
        <f>IF(DADOS!F6465="","",DADOS!F6465)</f>
        <v/>
      </c>
      <c r="K6465" s="6" t="str">
        <f t="shared" si="505"/>
        <v/>
      </c>
      <c r="L6465" s="7" t="str">
        <f t="shared" si="506"/>
        <v/>
      </c>
      <c r="M6465" s="7" t="str">
        <f t="shared" si="503"/>
        <v/>
      </c>
      <c r="N6465" s="7" t="str">
        <f t="shared" si="507"/>
        <v/>
      </c>
      <c r="O6465" s="8"/>
      <c r="P6465" s="26"/>
      <c r="S6465" s="10" t="str">
        <f t="shared" si="504"/>
        <v/>
      </c>
    </row>
    <row r="6466" spans="5:19" x14ac:dyDescent="0.3">
      <c r="E6466" s="9" t="str">
        <f>IF(DADOS!C6466="","",DADOS!C6466)</f>
        <v/>
      </c>
      <c r="F6466" s="9" t="str">
        <f>IF(DADOS!E6466="","",DADOS!E6466)</f>
        <v/>
      </c>
      <c r="G6466" s="9" t="str">
        <f>IF(DADOS!F6466="","",DADOS!F6466)</f>
        <v/>
      </c>
      <c r="K6466" s="6" t="str">
        <f t="shared" si="505"/>
        <v/>
      </c>
      <c r="L6466" s="7" t="str">
        <f t="shared" si="506"/>
        <v/>
      </c>
      <c r="M6466" s="7" t="str">
        <f t="shared" si="503"/>
        <v/>
      </c>
      <c r="N6466" s="7" t="str">
        <f t="shared" si="507"/>
        <v/>
      </c>
      <c r="O6466" s="8"/>
      <c r="P6466" s="26"/>
      <c r="S6466" s="10" t="str">
        <f t="shared" si="504"/>
        <v/>
      </c>
    </row>
    <row r="6467" spans="5:19" x14ac:dyDescent="0.3">
      <c r="E6467" s="9" t="str">
        <f>IF(DADOS!C6467="","",DADOS!C6467)</f>
        <v/>
      </c>
      <c r="F6467" s="9" t="str">
        <f>IF(DADOS!E6467="","",DADOS!E6467)</f>
        <v/>
      </c>
      <c r="G6467" s="9" t="str">
        <f>IF(DADOS!F6467="","",DADOS!F6467)</f>
        <v/>
      </c>
      <c r="K6467" s="6" t="str">
        <f t="shared" si="505"/>
        <v/>
      </c>
      <c r="L6467" s="7" t="str">
        <f t="shared" si="506"/>
        <v/>
      </c>
      <c r="M6467" s="7" t="str">
        <f t="shared" ref="M6467:M6530" si="508">IF(L6467="","",L6467*G6467)</f>
        <v/>
      </c>
      <c r="N6467" s="7" t="str">
        <f t="shared" si="507"/>
        <v/>
      </c>
      <c r="O6467" s="8"/>
      <c r="P6467" s="26"/>
      <c r="S6467" s="10" t="str">
        <f t="shared" ref="S6467:S6530" si="509">IF(R6467="","",SUMIFS($N$3:$N$10000,$E$3:$E$10000,R6467))</f>
        <v/>
      </c>
    </row>
    <row r="6468" spans="5:19" x14ac:dyDescent="0.3">
      <c r="E6468" s="9" t="str">
        <f>IF(DADOS!C6468="","",DADOS!C6468)</f>
        <v/>
      </c>
      <c r="F6468" s="9" t="str">
        <f>IF(DADOS!E6468="","",DADOS!E6468)</f>
        <v/>
      </c>
      <c r="G6468" s="9" t="str">
        <f>IF(DADOS!F6468="","",DADOS!F6468)</f>
        <v/>
      </c>
      <c r="K6468" s="6" t="str">
        <f t="shared" ref="K6468:K6531" si="510">IF(F6468="","",F6468/PI())</f>
        <v/>
      </c>
      <c r="L6468" s="7" t="str">
        <f t="shared" ref="L6468:L6531" si="511">IF(K6468="","",(PI()*K6468^2)/40000)</f>
        <v/>
      </c>
      <c r="M6468" s="7" t="str">
        <f t="shared" si="508"/>
        <v/>
      </c>
      <c r="N6468" s="7" t="str">
        <f t="shared" ref="N6468:N6531" si="512">IF(M6468="","",M6468*N$1)</f>
        <v/>
      </c>
      <c r="O6468" s="8"/>
      <c r="P6468" s="26"/>
      <c r="S6468" s="10" t="str">
        <f t="shared" si="509"/>
        <v/>
      </c>
    </row>
    <row r="6469" spans="5:19" x14ac:dyDescent="0.3">
      <c r="E6469" s="9" t="str">
        <f>IF(DADOS!C6469="","",DADOS!C6469)</f>
        <v/>
      </c>
      <c r="F6469" s="9" t="str">
        <f>IF(DADOS!E6469="","",DADOS!E6469)</f>
        <v/>
      </c>
      <c r="G6469" s="9" t="str">
        <f>IF(DADOS!F6469="","",DADOS!F6469)</f>
        <v/>
      </c>
      <c r="K6469" s="6" t="str">
        <f t="shared" si="510"/>
        <v/>
      </c>
      <c r="L6469" s="7" t="str">
        <f t="shared" si="511"/>
        <v/>
      </c>
      <c r="M6469" s="7" t="str">
        <f t="shared" si="508"/>
        <v/>
      </c>
      <c r="N6469" s="7" t="str">
        <f t="shared" si="512"/>
        <v/>
      </c>
      <c r="O6469" s="8"/>
      <c r="P6469" s="26"/>
      <c r="S6469" s="10" t="str">
        <f t="shared" si="509"/>
        <v/>
      </c>
    </row>
    <row r="6470" spans="5:19" x14ac:dyDescent="0.3">
      <c r="E6470" s="9" t="str">
        <f>IF(DADOS!C6470="","",DADOS!C6470)</f>
        <v/>
      </c>
      <c r="F6470" s="9" t="str">
        <f>IF(DADOS!E6470="","",DADOS!E6470)</f>
        <v/>
      </c>
      <c r="G6470" s="9" t="str">
        <f>IF(DADOS!F6470="","",DADOS!F6470)</f>
        <v/>
      </c>
      <c r="K6470" s="6" t="str">
        <f t="shared" si="510"/>
        <v/>
      </c>
      <c r="L6470" s="7" t="str">
        <f t="shared" si="511"/>
        <v/>
      </c>
      <c r="M6470" s="7" t="str">
        <f t="shared" si="508"/>
        <v/>
      </c>
      <c r="N6470" s="7" t="str">
        <f t="shared" si="512"/>
        <v/>
      </c>
      <c r="O6470" s="8"/>
      <c r="P6470" s="26"/>
      <c r="S6470" s="10" t="str">
        <f t="shared" si="509"/>
        <v/>
      </c>
    </row>
    <row r="6471" spans="5:19" x14ac:dyDescent="0.3">
      <c r="E6471" s="9" t="str">
        <f>IF(DADOS!C6471="","",DADOS!C6471)</f>
        <v/>
      </c>
      <c r="F6471" s="9" t="str">
        <f>IF(DADOS!E6471="","",DADOS!E6471)</f>
        <v/>
      </c>
      <c r="G6471" s="9" t="str">
        <f>IF(DADOS!F6471="","",DADOS!F6471)</f>
        <v/>
      </c>
      <c r="K6471" s="6" t="str">
        <f t="shared" si="510"/>
        <v/>
      </c>
      <c r="L6471" s="7" t="str">
        <f t="shared" si="511"/>
        <v/>
      </c>
      <c r="M6471" s="7" t="str">
        <f t="shared" si="508"/>
        <v/>
      </c>
      <c r="N6471" s="7" t="str">
        <f t="shared" si="512"/>
        <v/>
      </c>
      <c r="O6471" s="8"/>
      <c r="P6471" s="26"/>
      <c r="S6471" s="10" t="str">
        <f t="shared" si="509"/>
        <v/>
      </c>
    </row>
    <row r="6472" spans="5:19" x14ac:dyDescent="0.3">
      <c r="E6472" s="9" t="str">
        <f>IF(DADOS!C6472="","",DADOS!C6472)</f>
        <v/>
      </c>
      <c r="F6472" s="9" t="str">
        <f>IF(DADOS!E6472="","",DADOS!E6472)</f>
        <v/>
      </c>
      <c r="G6472" s="9" t="str">
        <f>IF(DADOS!F6472="","",DADOS!F6472)</f>
        <v/>
      </c>
      <c r="K6472" s="6" t="str">
        <f t="shared" si="510"/>
        <v/>
      </c>
      <c r="L6472" s="7" t="str">
        <f t="shared" si="511"/>
        <v/>
      </c>
      <c r="M6472" s="7" t="str">
        <f t="shared" si="508"/>
        <v/>
      </c>
      <c r="N6472" s="7" t="str">
        <f t="shared" si="512"/>
        <v/>
      </c>
      <c r="O6472" s="8"/>
      <c r="P6472" s="26"/>
      <c r="S6472" s="10" t="str">
        <f t="shared" si="509"/>
        <v/>
      </c>
    </row>
    <row r="6473" spans="5:19" x14ac:dyDescent="0.3">
      <c r="E6473" s="9" t="str">
        <f>IF(DADOS!C6473="","",DADOS!C6473)</f>
        <v/>
      </c>
      <c r="F6473" s="9" t="str">
        <f>IF(DADOS!E6473="","",DADOS!E6473)</f>
        <v/>
      </c>
      <c r="G6473" s="9" t="str">
        <f>IF(DADOS!F6473="","",DADOS!F6473)</f>
        <v/>
      </c>
      <c r="K6473" s="6" t="str">
        <f t="shared" si="510"/>
        <v/>
      </c>
      <c r="L6473" s="7" t="str">
        <f t="shared" si="511"/>
        <v/>
      </c>
      <c r="M6473" s="7" t="str">
        <f t="shared" si="508"/>
        <v/>
      </c>
      <c r="N6473" s="7" t="str">
        <f t="shared" si="512"/>
        <v/>
      </c>
      <c r="O6473" s="8"/>
      <c r="P6473" s="26"/>
      <c r="S6473" s="10" t="str">
        <f t="shared" si="509"/>
        <v/>
      </c>
    </row>
    <row r="6474" spans="5:19" x14ac:dyDescent="0.3">
      <c r="E6474" s="9" t="str">
        <f>IF(DADOS!C6474="","",DADOS!C6474)</f>
        <v/>
      </c>
      <c r="F6474" s="9" t="str">
        <f>IF(DADOS!E6474="","",DADOS!E6474)</f>
        <v/>
      </c>
      <c r="G6474" s="9" t="str">
        <f>IF(DADOS!F6474="","",DADOS!F6474)</f>
        <v/>
      </c>
      <c r="K6474" s="6" t="str">
        <f t="shared" si="510"/>
        <v/>
      </c>
      <c r="L6474" s="7" t="str">
        <f t="shared" si="511"/>
        <v/>
      </c>
      <c r="M6474" s="7" t="str">
        <f t="shared" si="508"/>
        <v/>
      </c>
      <c r="N6474" s="7" t="str">
        <f t="shared" si="512"/>
        <v/>
      </c>
      <c r="O6474" s="8"/>
      <c r="P6474" s="26"/>
      <c r="S6474" s="10" t="str">
        <f t="shared" si="509"/>
        <v/>
      </c>
    </row>
    <row r="6475" spans="5:19" x14ac:dyDescent="0.3">
      <c r="E6475" s="9" t="str">
        <f>IF(DADOS!C6475="","",DADOS!C6475)</f>
        <v/>
      </c>
      <c r="F6475" s="9" t="str">
        <f>IF(DADOS!E6475="","",DADOS!E6475)</f>
        <v/>
      </c>
      <c r="G6475" s="9" t="str">
        <f>IF(DADOS!F6475="","",DADOS!F6475)</f>
        <v/>
      </c>
      <c r="K6475" s="6" t="str">
        <f t="shared" si="510"/>
        <v/>
      </c>
      <c r="L6475" s="7" t="str">
        <f t="shared" si="511"/>
        <v/>
      </c>
      <c r="M6475" s="7" t="str">
        <f t="shared" si="508"/>
        <v/>
      </c>
      <c r="N6475" s="7" t="str">
        <f t="shared" si="512"/>
        <v/>
      </c>
      <c r="O6475" s="8"/>
      <c r="P6475" s="26"/>
      <c r="S6475" s="10" t="str">
        <f t="shared" si="509"/>
        <v/>
      </c>
    </row>
    <row r="6476" spans="5:19" x14ac:dyDescent="0.3">
      <c r="E6476" s="9" t="str">
        <f>IF(DADOS!C6476="","",DADOS!C6476)</f>
        <v/>
      </c>
      <c r="F6476" s="9" t="str">
        <f>IF(DADOS!E6476="","",DADOS!E6476)</f>
        <v/>
      </c>
      <c r="G6476" s="9" t="str">
        <f>IF(DADOS!F6476="","",DADOS!F6476)</f>
        <v/>
      </c>
      <c r="K6476" s="6" t="str">
        <f t="shared" si="510"/>
        <v/>
      </c>
      <c r="L6476" s="7" t="str">
        <f t="shared" si="511"/>
        <v/>
      </c>
      <c r="M6476" s="7" t="str">
        <f t="shared" si="508"/>
        <v/>
      </c>
      <c r="N6476" s="7" t="str">
        <f t="shared" si="512"/>
        <v/>
      </c>
      <c r="O6476" s="8"/>
      <c r="P6476" s="26"/>
      <c r="S6476" s="10" t="str">
        <f t="shared" si="509"/>
        <v/>
      </c>
    </row>
    <row r="6477" spans="5:19" x14ac:dyDescent="0.3">
      <c r="E6477" s="9" t="str">
        <f>IF(DADOS!C6477="","",DADOS!C6477)</f>
        <v/>
      </c>
      <c r="F6477" s="9" t="str">
        <f>IF(DADOS!E6477="","",DADOS!E6477)</f>
        <v/>
      </c>
      <c r="G6477" s="9" t="str">
        <f>IF(DADOS!F6477="","",DADOS!F6477)</f>
        <v/>
      </c>
      <c r="K6477" s="6" t="str">
        <f t="shared" si="510"/>
        <v/>
      </c>
      <c r="L6477" s="7" t="str">
        <f t="shared" si="511"/>
        <v/>
      </c>
      <c r="M6477" s="7" t="str">
        <f t="shared" si="508"/>
        <v/>
      </c>
      <c r="N6477" s="7" t="str">
        <f t="shared" si="512"/>
        <v/>
      </c>
      <c r="O6477" s="8"/>
      <c r="P6477" s="26"/>
      <c r="S6477" s="10" t="str">
        <f t="shared" si="509"/>
        <v/>
      </c>
    </row>
    <row r="6478" spans="5:19" x14ac:dyDescent="0.3">
      <c r="E6478" s="9" t="str">
        <f>IF(DADOS!C6478="","",DADOS!C6478)</f>
        <v/>
      </c>
      <c r="F6478" s="9" t="str">
        <f>IF(DADOS!E6478="","",DADOS!E6478)</f>
        <v/>
      </c>
      <c r="G6478" s="9" t="str">
        <f>IF(DADOS!F6478="","",DADOS!F6478)</f>
        <v/>
      </c>
      <c r="K6478" s="6" t="str">
        <f t="shared" si="510"/>
        <v/>
      </c>
      <c r="L6478" s="7" t="str">
        <f t="shared" si="511"/>
        <v/>
      </c>
      <c r="M6478" s="7" t="str">
        <f t="shared" si="508"/>
        <v/>
      </c>
      <c r="N6478" s="7" t="str">
        <f t="shared" si="512"/>
        <v/>
      </c>
      <c r="O6478" s="8"/>
      <c r="P6478" s="26"/>
      <c r="S6478" s="10" t="str">
        <f t="shared" si="509"/>
        <v/>
      </c>
    </row>
    <row r="6479" spans="5:19" x14ac:dyDescent="0.3">
      <c r="E6479" s="9" t="str">
        <f>IF(DADOS!C6479="","",DADOS!C6479)</f>
        <v/>
      </c>
      <c r="F6479" s="9" t="str">
        <f>IF(DADOS!E6479="","",DADOS!E6479)</f>
        <v/>
      </c>
      <c r="G6479" s="9" t="str">
        <f>IF(DADOS!F6479="","",DADOS!F6479)</f>
        <v/>
      </c>
      <c r="K6479" s="6" t="str">
        <f t="shared" si="510"/>
        <v/>
      </c>
      <c r="L6479" s="7" t="str">
        <f t="shared" si="511"/>
        <v/>
      </c>
      <c r="M6479" s="7" t="str">
        <f t="shared" si="508"/>
        <v/>
      </c>
      <c r="N6479" s="7" t="str">
        <f t="shared" si="512"/>
        <v/>
      </c>
      <c r="O6479" s="8"/>
      <c r="P6479" s="26"/>
      <c r="S6479" s="10" t="str">
        <f t="shared" si="509"/>
        <v/>
      </c>
    </row>
    <row r="6480" spans="5:19" x14ac:dyDescent="0.3">
      <c r="E6480" s="9" t="str">
        <f>IF(DADOS!C6480="","",DADOS!C6480)</f>
        <v/>
      </c>
      <c r="F6480" s="9" t="str">
        <f>IF(DADOS!E6480="","",DADOS!E6480)</f>
        <v/>
      </c>
      <c r="G6480" s="9" t="str">
        <f>IF(DADOS!F6480="","",DADOS!F6480)</f>
        <v/>
      </c>
      <c r="K6480" s="6" t="str">
        <f t="shared" si="510"/>
        <v/>
      </c>
      <c r="L6480" s="7" t="str">
        <f t="shared" si="511"/>
        <v/>
      </c>
      <c r="M6480" s="7" t="str">
        <f t="shared" si="508"/>
        <v/>
      </c>
      <c r="N6480" s="7" t="str">
        <f t="shared" si="512"/>
        <v/>
      </c>
      <c r="O6480" s="8"/>
      <c r="P6480" s="26"/>
      <c r="S6480" s="10" t="str">
        <f t="shared" si="509"/>
        <v/>
      </c>
    </row>
    <row r="6481" spans="5:19" x14ac:dyDescent="0.3">
      <c r="E6481" s="9" t="str">
        <f>IF(DADOS!C6481="","",DADOS!C6481)</f>
        <v/>
      </c>
      <c r="F6481" s="9" t="str">
        <f>IF(DADOS!E6481="","",DADOS!E6481)</f>
        <v/>
      </c>
      <c r="G6481" s="9" t="str">
        <f>IF(DADOS!F6481="","",DADOS!F6481)</f>
        <v/>
      </c>
      <c r="K6481" s="6" t="str">
        <f t="shared" si="510"/>
        <v/>
      </c>
      <c r="L6481" s="7" t="str">
        <f t="shared" si="511"/>
        <v/>
      </c>
      <c r="M6481" s="7" t="str">
        <f t="shared" si="508"/>
        <v/>
      </c>
      <c r="N6481" s="7" t="str">
        <f t="shared" si="512"/>
        <v/>
      </c>
      <c r="O6481" s="8"/>
      <c r="P6481" s="26"/>
      <c r="S6481" s="10" t="str">
        <f t="shared" si="509"/>
        <v/>
      </c>
    </row>
    <row r="6482" spans="5:19" x14ac:dyDescent="0.3">
      <c r="E6482" s="9" t="str">
        <f>IF(DADOS!C6482="","",DADOS!C6482)</f>
        <v/>
      </c>
      <c r="F6482" s="9" t="str">
        <f>IF(DADOS!E6482="","",DADOS!E6482)</f>
        <v/>
      </c>
      <c r="G6482" s="9" t="str">
        <f>IF(DADOS!F6482="","",DADOS!F6482)</f>
        <v/>
      </c>
      <c r="K6482" s="6" t="str">
        <f t="shared" si="510"/>
        <v/>
      </c>
      <c r="L6482" s="7" t="str">
        <f t="shared" si="511"/>
        <v/>
      </c>
      <c r="M6482" s="7" t="str">
        <f t="shared" si="508"/>
        <v/>
      </c>
      <c r="N6482" s="7" t="str">
        <f t="shared" si="512"/>
        <v/>
      </c>
      <c r="O6482" s="8"/>
      <c r="P6482" s="26"/>
      <c r="S6482" s="10" t="str">
        <f t="shared" si="509"/>
        <v/>
      </c>
    </row>
    <row r="6483" spans="5:19" x14ac:dyDescent="0.3">
      <c r="E6483" s="9" t="str">
        <f>IF(DADOS!C6483="","",DADOS!C6483)</f>
        <v/>
      </c>
      <c r="F6483" s="9" t="str">
        <f>IF(DADOS!E6483="","",DADOS!E6483)</f>
        <v/>
      </c>
      <c r="G6483" s="9" t="str">
        <f>IF(DADOS!F6483="","",DADOS!F6483)</f>
        <v/>
      </c>
      <c r="K6483" s="6" t="str">
        <f t="shared" si="510"/>
        <v/>
      </c>
      <c r="L6483" s="7" t="str">
        <f t="shared" si="511"/>
        <v/>
      </c>
      <c r="M6483" s="7" t="str">
        <f t="shared" si="508"/>
        <v/>
      </c>
      <c r="N6483" s="7" t="str">
        <f t="shared" si="512"/>
        <v/>
      </c>
      <c r="O6483" s="8"/>
      <c r="P6483" s="26"/>
      <c r="S6483" s="10" t="str">
        <f t="shared" si="509"/>
        <v/>
      </c>
    </row>
    <row r="6484" spans="5:19" x14ac:dyDescent="0.3">
      <c r="E6484" s="9" t="str">
        <f>IF(DADOS!C6484="","",DADOS!C6484)</f>
        <v/>
      </c>
      <c r="F6484" s="9" t="str">
        <f>IF(DADOS!E6484="","",DADOS!E6484)</f>
        <v/>
      </c>
      <c r="G6484" s="9" t="str">
        <f>IF(DADOS!F6484="","",DADOS!F6484)</f>
        <v/>
      </c>
      <c r="K6484" s="6" t="str">
        <f t="shared" si="510"/>
        <v/>
      </c>
      <c r="L6484" s="7" t="str">
        <f t="shared" si="511"/>
        <v/>
      </c>
      <c r="M6484" s="7" t="str">
        <f t="shared" si="508"/>
        <v/>
      </c>
      <c r="N6484" s="7" t="str">
        <f t="shared" si="512"/>
        <v/>
      </c>
      <c r="O6484" s="8"/>
      <c r="P6484" s="26"/>
      <c r="S6484" s="10" t="str">
        <f t="shared" si="509"/>
        <v/>
      </c>
    </row>
    <row r="6485" spans="5:19" x14ac:dyDescent="0.3">
      <c r="E6485" s="9" t="str">
        <f>IF(DADOS!C6485="","",DADOS!C6485)</f>
        <v/>
      </c>
      <c r="F6485" s="9" t="str">
        <f>IF(DADOS!E6485="","",DADOS!E6485)</f>
        <v/>
      </c>
      <c r="G6485" s="9" t="str">
        <f>IF(DADOS!F6485="","",DADOS!F6485)</f>
        <v/>
      </c>
      <c r="K6485" s="6" t="str">
        <f t="shared" si="510"/>
        <v/>
      </c>
      <c r="L6485" s="7" t="str">
        <f t="shared" si="511"/>
        <v/>
      </c>
      <c r="M6485" s="7" t="str">
        <f t="shared" si="508"/>
        <v/>
      </c>
      <c r="N6485" s="7" t="str">
        <f t="shared" si="512"/>
        <v/>
      </c>
      <c r="O6485" s="8"/>
      <c r="P6485" s="26"/>
      <c r="S6485" s="10" t="str">
        <f t="shared" si="509"/>
        <v/>
      </c>
    </row>
    <row r="6486" spans="5:19" x14ac:dyDescent="0.3">
      <c r="E6486" s="9" t="str">
        <f>IF(DADOS!C6486="","",DADOS!C6486)</f>
        <v/>
      </c>
      <c r="F6486" s="9" t="str">
        <f>IF(DADOS!E6486="","",DADOS!E6486)</f>
        <v/>
      </c>
      <c r="G6486" s="9" t="str">
        <f>IF(DADOS!F6486="","",DADOS!F6486)</f>
        <v/>
      </c>
      <c r="K6486" s="6" t="str">
        <f t="shared" si="510"/>
        <v/>
      </c>
      <c r="L6486" s="7" t="str">
        <f t="shared" si="511"/>
        <v/>
      </c>
      <c r="M6486" s="7" t="str">
        <f t="shared" si="508"/>
        <v/>
      </c>
      <c r="N6486" s="7" t="str">
        <f t="shared" si="512"/>
        <v/>
      </c>
      <c r="O6486" s="8"/>
      <c r="P6486" s="26"/>
      <c r="S6486" s="10" t="str">
        <f t="shared" si="509"/>
        <v/>
      </c>
    </row>
    <row r="6487" spans="5:19" x14ac:dyDescent="0.3">
      <c r="E6487" s="9" t="str">
        <f>IF(DADOS!C6487="","",DADOS!C6487)</f>
        <v/>
      </c>
      <c r="F6487" s="9" t="str">
        <f>IF(DADOS!E6487="","",DADOS!E6487)</f>
        <v/>
      </c>
      <c r="G6487" s="9" t="str">
        <f>IF(DADOS!F6487="","",DADOS!F6487)</f>
        <v/>
      </c>
      <c r="K6487" s="6" t="str">
        <f t="shared" si="510"/>
        <v/>
      </c>
      <c r="L6487" s="7" t="str">
        <f t="shared" si="511"/>
        <v/>
      </c>
      <c r="M6487" s="7" t="str">
        <f t="shared" si="508"/>
        <v/>
      </c>
      <c r="N6487" s="7" t="str">
        <f t="shared" si="512"/>
        <v/>
      </c>
      <c r="O6487" s="8"/>
      <c r="P6487" s="26"/>
      <c r="S6487" s="10" t="str">
        <f t="shared" si="509"/>
        <v/>
      </c>
    </row>
    <row r="6488" spans="5:19" x14ac:dyDescent="0.3">
      <c r="E6488" s="9" t="str">
        <f>IF(DADOS!C6488="","",DADOS!C6488)</f>
        <v/>
      </c>
      <c r="F6488" s="9" t="str">
        <f>IF(DADOS!E6488="","",DADOS!E6488)</f>
        <v/>
      </c>
      <c r="G6488" s="9" t="str">
        <f>IF(DADOS!F6488="","",DADOS!F6488)</f>
        <v/>
      </c>
      <c r="K6488" s="6" t="str">
        <f t="shared" si="510"/>
        <v/>
      </c>
      <c r="L6488" s="7" t="str">
        <f t="shared" si="511"/>
        <v/>
      </c>
      <c r="M6488" s="7" t="str">
        <f t="shared" si="508"/>
        <v/>
      </c>
      <c r="N6488" s="7" t="str">
        <f t="shared" si="512"/>
        <v/>
      </c>
      <c r="O6488" s="8"/>
      <c r="P6488" s="26"/>
      <c r="S6488" s="10" t="str">
        <f t="shared" si="509"/>
        <v/>
      </c>
    </row>
    <row r="6489" spans="5:19" x14ac:dyDescent="0.3">
      <c r="E6489" s="9" t="str">
        <f>IF(DADOS!C6489="","",DADOS!C6489)</f>
        <v/>
      </c>
      <c r="F6489" s="9" t="str">
        <f>IF(DADOS!E6489="","",DADOS!E6489)</f>
        <v/>
      </c>
      <c r="G6489" s="9" t="str">
        <f>IF(DADOS!F6489="","",DADOS!F6489)</f>
        <v/>
      </c>
      <c r="K6489" s="6" t="str">
        <f t="shared" si="510"/>
        <v/>
      </c>
      <c r="L6489" s="7" t="str">
        <f t="shared" si="511"/>
        <v/>
      </c>
      <c r="M6489" s="7" t="str">
        <f t="shared" si="508"/>
        <v/>
      </c>
      <c r="N6489" s="7" t="str">
        <f t="shared" si="512"/>
        <v/>
      </c>
      <c r="O6489" s="8"/>
      <c r="P6489" s="26"/>
      <c r="S6489" s="10" t="str">
        <f t="shared" si="509"/>
        <v/>
      </c>
    </row>
    <row r="6490" spans="5:19" x14ac:dyDescent="0.3">
      <c r="E6490" s="9" t="str">
        <f>IF(DADOS!C6490="","",DADOS!C6490)</f>
        <v/>
      </c>
      <c r="F6490" s="9" t="str">
        <f>IF(DADOS!E6490="","",DADOS!E6490)</f>
        <v/>
      </c>
      <c r="G6490" s="9" t="str">
        <f>IF(DADOS!F6490="","",DADOS!F6490)</f>
        <v/>
      </c>
      <c r="K6490" s="6" t="str">
        <f t="shared" si="510"/>
        <v/>
      </c>
      <c r="L6490" s="7" t="str">
        <f t="shared" si="511"/>
        <v/>
      </c>
      <c r="M6490" s="7" t="str">
        <f t="shared" si="508"/>
        <v/>
      </c>
      <c r="N6490" s="7" t="str">
        <f t="shared" si="512"/>
        <v/>
      </c>
      <c r="O6490" s="8"/>
      <c r="P6490" s="26"/>
      <c r="S6490" s="10" t="str">
        <f t="shared" si="509"/>
        <v/>
      </c>
    </row>
    <row r="6491" spans="5:19" x14ac:dyDescent="0.3">
      <c r="E6491" s="9" t="str">
        <f>IF(DADOS!C6491="","",DADOS!C6491)</f>
        <v/>
      </c>
      <c r="F6491" s="9" t="str">
        <f>IF(DADOS!E6491="","",DADOS!E6491)</f>
        <v/>
      </c>
      <c r="G6491" s="9" t="str">
        <f>IF(DADOS!F6491="","",DADOS!F6491)</f>
        <v/>
      </c>
      <c r="K6491" s="6" t="str">
        <f t="shared" si="510"/>
        <v/>
      </c>
      <c r="L6491" s="7" t="str">
        <f t="shared" si="511"/>
        <v/>
      </c>
      <c r="M6491" s="7" t="str">
        <f t="shared" si="508"/>
        <v/>
      </c>
      <c r="N6491" s="7" t="str">
        <f t="shared" si="512"/>
        <v/>
      </c>
      <c r="O6491" s="8"/>
      <c r="P6491" s="26"/>
      <c r="S6491" s="10" t="str">
        <f t="shared" si="509"/>
        <v/>
      </c>
    </row>
    <row r="6492" spans="5:19" x14ac:dyDescent="0.3">
      <c r="E6492" s="9" t="str">
        <f>IF(DADOS!C6492="","",DADOS!C6492)</f>
        <v/>
      </c>
      <c r="F6492" s="9" t="str">
        <f>IF(DADOS!E6492="","",DADOS!E6492)</f>
        <v/>
      </c>
      <c r="G6492" s="9" t="str">
        <f>IF(DADOS!F6492="","",DADOS!F6492)</f>
        <v/>
      </c>
      <c r="K6492" s="6" t="str">
        <f t="shared" si="510"/>
        <v/>
      </c>
      <c r="L6492" s="7" t="str">
        <f t="shared" si="511"/>
        <v/>
      </c>
      <c r="M6492" s="7" t="str">
        <f t="shared" si="508"/>
        <v/>
      </c>
      <c r="N6492" s="7" t="str">
        <f t="shared" si="512"/>
        <v/>
      </c>
      <c r="O6492" s="8"/>
      <c r="P6492" s="26"/>
      <c r="S6492" s="10" t="str">
        <f t="shared" si="509"/>
        <v/>
      </c>
    </row>
    <row r="6493" spans="5:19" x14ac:dyDescent="0.3">
      <c r="E6493" s="9" t="str">
        <f>IF(DADOS!C6493="","",DADOS!C6493)</f>
        <v/>
      </c>
      <c r="F6493" s="9" t="str">
        <f>IF(DADOS!E6493="","",DADOS!E6493)</f>
        <v/>
      </c>
      <c r="G6493" s="9" t="str">
        <f>IF(DADOS!F6493="","",DADOS!F6493)</f>
        <v/>
      </c>
      <c r="K6493" s="6" t="str">
        <f t="shared" si="510"/>
        <v/>
      </c>
      <c r="L6493" s="7" t="str">
        <f t="shared" si="511"/>
        <v/>
      </c>
      <c r="M6493" s="7" t="str">
        <f t="shared" si="508"/>
        <v/>
      </c>
      <c r="N6493" s="7" t="str">
        <f t="shared" si="512"/>
        <v/>
      </c>
      <c r="O6493" s="8"/>
      <c r="P6493" s="26"/>
      <c r="S6493" s="10" t="str">
        <f t="shared" si="509"/>
        <v/>
      </c>
    </row>
    <row r="6494" spans="5:19" x14ac:dyDescent="0.3">
      <c r="E6494" s="9" t="str">
        <f>IF(DADOS!C6494="","",DADOS!C6494)</f>
        <v/>
      </c>
      <c r="F6494" s="9" t="str">
        <f>IF(DADOS!E6494="","",DADOS!E6494)</f>
        <v/>
      </c>
      <c r="G6494" s="9" t="str">
        <f>IF(DADOS!F6494="","",DADOS!F6494)</f>
        <v/>
      </c>
      <c r="K6494" s="6" t="str">
        <f t="shared" si="510"/>
        <v/>
      </c>
      <c r="L6494" s="7" t="str">
        <f t="shared" si="511"/>
        <v/>
      </c>
      <c r="M6494" s="7" t="str">
        <f t="shared" si="508"/>
        <v/>
      </c>
      <c r="N6494" s="7" t="str">
        <f t="shared" si="512"/>
        <v/>
      </c>
      <c r="O6494" s="8"/>
      <c r="P6494" s="26"/>
      <c r="S6494" s="10" t="str">
        <f t="shared" si="509"/>
        <v/>
      </c>
    </row>
    <row r="6495" spans="5:19" x14ac:dyDescent="0.3">
      <c r="E6495" s="9" t="str">
        <f>IF(DADOS!C6495="","",DADOS!C6495)</f>
        <v/>
      </c>
      <c r="F6495" s="9" t="str">
        <f>IF(DADOS!E6495="","",DADOS!E6495)</f>
        <v/>
      </c>
      <c r="G6495" s="9" t="str">
        <f>IF(DADOS!F6495="","",DADOS!F6495)</f>
        <v/>
      </c>
      <c r="K6495" s="6" t="str">
        <f t="shared" si="510"/>
        <v/>
      </c>
      <c r="L6495" s="7" t="str">
        <f t="shared" si="511"/>
        <v/>
      </c>
      <c r="M6495" s="7" t="str">
        <f t="shared" si="508"/>
        <v/>
      </c>
      <c r="N6495" s="7" t="str">
        <f t="shared" si="512"/>
        <v/>
      </c>
      <c r="O6495" s="8"/>
      <c r="P6495" s="26"/>
      <c r="S6495" s="10" t="str">
        <f t="shared" si="509"/>
        <v/>
      </c>
    </row>
    <row r="6496" spans="5:19" x14ac:dyDescent="0.3">
      <c r="E6496" s="9" t="str">
        <f>IF(DADOS!C6496="","",DADOS!C6496)</f>
        <v/>
      </c>
      <c r="F6496" s="9" t="str">
        <f>IF(DADOS!E6496="","",DADOS!E6496)</f>
        <v/>
      </c>
      <c r="G6496" s="9" t="str">
        <f>IF(DADOS!F6496="","",DADOS!F6496)</f>
        <v/>
      </c>
      <c r="K6496" s="6" t="str">
        <f t="shared" si="510"/>
        <v/>
      </c>
      <c r="L6496" s="7" t="str">
        <f t="shared" si="511"/>
        <v/>
      </c>
      <c r="M6496" s="7" t="str">
        <f t="shared" si="508"/>
        <v/>
      </c>
      <c r="N6496" s="7" t="str">
        <f t="shared" si="512"/>
        <v/>
      </c>
      <c r="O6496" s="8"/>
      <c r="P6496" s="26"/>
      <c r="S6496" s="10" t="str">
        <f t="shared" si="509"/>
        <v/>
      </c>
    </row>
    <row r="6497" spans="5:19" x14ac:dyDescent="0.3">
      <c r="E6497" s="9" t="str">
        <f>IF(DADOS!C6497="","",DADOS!C6497)</f>
        <v/>
      </c>
      <c r="F6497" s="9" t="str">
        <f>IF(DADOS!E6497="","",DADOS!E6497)</f>
        <v/>
      </c>
      <c r="G6497" s="9" t="str">
        <f>IF(DADOS!F6497="","",DADOS!F6497)</f>
        <v/>
      </c>
      <c r="K6497" s="6" t="str">
        <f t="shared" si="510"/>
        <v/>
      </c>
      <c r="L6497" s="7" t="str">
        <f t="shared" si="511"/>
        <v/>
      </c>
      <c r="M6497" s="7" t="str">
        <f t="shared" si="508"/>
        <v/>
      </c>
      <c r="N6497" s="7" t="str">
        <f t="shared" si="512"/>
        <v/>
      </c>
      <c r="O6497" s="8"/>
      <c r="P6497" s="26"/>
      <c r="S6497" s="10" t="str">
        <f t="shared" si="509"/>
        <v/>
      </c>
    </row>
    <row r="6498" spans="5:19" x14ac:dyDescent="0.3">
      <c r="E6498" s="9" t="str">
        <f>IF(DADOS!C6498="","",DADOS!C6498)</f>
        <v/>
      </c>
      <c r="F6498" s="9" t="str">
        <f>IF(DADOS!E6498="","",DADOS!E6498)</f>
        <v/>
      </c>
      <c r="G6498" s="9" t="str">
        <f>IF(DADOS!F6498="","",DADOS!F6498)</f>
        <v/>
      </c>
      <c r="K6498" s="6" t="str">
        <f t="shared" si="510"/>
        <v/>
      </c>
      <c r="L6498" s="7" t="str">
        <f t="shared" si="511"/>
        <v/>
      </c>
      <c r="M6498" s="7" t="str">
        <f t="shared" si="508"/>
        <v/>
      </c>
      <c r="N6498" s="7" t="str">
        <f t="shared" si="512"/>
        <v/>
      </c>
      <c r="O6498" s="8"/>
      <c r="P6498" s="26"/>
      <c r="S6498" s="10" t="str">
        <f t="shared" si="509"/>
        <v/>
      </c>
    </row>
    <row r="6499" spans="5:19" x14ac:dyDescent="0.3">
      <c r="E6499" s="9" t="str">
        <f>IF(DADOS!C6499="","",DADOS!C6499)</f>
        <v/>
      </c>
      <c r="F6499" s="9" t="str">
        <f>IF(DADOS!E6499="","",DADOS!E6499)</f>
        <v/>
      </c>
      <c r="G6499" s="9" t="str">
        <f>IF(DADOS!F6499="","",DADOS!F6499)</f>
        <v/>
      </c>
      <c r="K6499" s="6" t="str">
        <f t="shared" si="510"/>
        <v/>
      </c>
      <c r="L6499" s="7" t="str">
        <f t="shared" si="511"/>
        <v/>
      </c>
      <c r="M6499" s="7" t="str">
        <f t="shared" si="508"/>
        <v/>
      </c>
      <c r="N6499" s="7" t="str">
        <f t="shared" si="512"/>
        <v/>
      </c>
      <c r="O6499" s="8"/>
      <c r="P6499" s="26"/>
      <c r="S6499" s="10" t="str">
        <f t="shared" si="509"/>
        <v/>
      </c>
    </row>
    <row r="6500" spans="5:19" x14ac:dyDescent="0.3">
      <c r="E6500" s="9" t="str">
        <f>IF(DADOS!C6500="","",DADOS!C6500)</f>
        <v/>
      </c>
      <c r="F6500" s="9" t="str">
        <f>IF(DADOS!E6500="","",DADOS!E6500)</f>
        <v/>
      </c>
      <c r="G6500" s="9" t="str">
        <f>IF(DADOS!F6500="","",DADOS!F6500)</f>
        <v/>
      </c>
      <c r="K6500" s="6" t="str">
        <f t="shared" si="510"/>
        <v/>
      </c>
      <c r="L6500" s="7" t="str">
        <f t="shared" si="511"/>
        <v/>
      </c>
      <c r="M6500" s="7" t="str">
        <f t="shared" si="508"/>
        <v/>
      </c>
      <c r="N6500" s="7" t="str">
        <f t="shared" si="512"/>
        <v/>
      </c>
      <c r="O6500" s="8"/>
      <c r="P6500" s="26"/>
      <c r="S6500" s="10" t="str">
        <f t="shared" si="509"/>
        <v/>
      </c>
    </row>
    <row r="6501" spans="5:19" x14ac:dyDescent="0.3">
      <c r="E6501" s="9" t="str">
        <f>IF(DADOS!C6501="","",DADOS!C6501)</f>
        <v/>
      </c>
      <c r="F6501" s="9" t="str">
        <f>IF(DADOS!E6501="","",DADOS!E6501)</f>
        <v/>
      </c>
      <c r="G6501" s="9" t="str">
        <f>IF(DADOS!F6501="","",DADOS!F6501)</f>
        <v/>
      </c>
      <c r="K6501" s="6" t="str">
        <f t="shared" si="510"/>
        <v/>
      </c>
      <c r="L6501" s="7" t="str">
        <f t="shared" si="511"/>
        <v/>
      </c>
      <c r="M6501" s="7" t="str">
        <f t="shared" si="508"/>
        <v/>
      </c>
      <c r="N6501" s="7" t="str">
        <f t="shared" si="512"/>
        <v/>
      </c>
      <c r="O6501" s="8"/>
      <c r="P6501" s="26"/>
      <c r="S6501" s="10" t="str">
        <f t="shared" si="509"/>
        <v/>
      </c>
    </row>
    <row r="6502" spans="5:19" x14ac:dyDescent="0.3">
      <c r="E6502" s="9" t="str">
        <f>IF(DADOS!C6502="","",DADOS!C6502)</f>
        <v/>
      </c>
      <c r="F6502" s="9" t="str">
        <f>IF(DADOS!E6502="","",DADOS!E6502)</f>
        <v/>
      </c>
      <c r="G6502" s="9" t="str">
        <f>IF(DADOS!F6502="","",DADOS!F6502)</f>
        <v/>
      </c>
      <c r="K6502" s="6" t="str">
        <f t="shared" si="510"/>
        <v/>
      </c>
      <c r="L6502" s="7" t="str">
        <f t="shared" si="511"/>
        <v/>
      </c>
      <c r="M6502" s="7" t="str">
        <f t="shared" si="508"/>
        <v/>
      </c>
      <c r="N6502" s="7" t="str">
        <f t="shared" si="512"/>
        <v/>
      </c>
      <c r="O6502" s="8"/>
      <c r="P6502" s="26"/>
      <c r="S6502" s="10" t="str">
        <f t="shared" si="509"/>
        <v/>
      </c>
    </row>
    <row r="6503" spans="5:19" x14ac:dyDescent="0.3">
      <c r="E6503" s="9" t="str">
        <f>IF(DADOS!C6503="","",DADOS!C6503)</f>
        <v/>
      </c>
      <c r="F6503" s="9" t="str">
        <f>IF(DADOS!E6503="","",DADOS!E6503)</f>
        <v/>
      </c>
      <c r="G6503" s="9" t="str">
        <f>IF(DADOS!F6503="","",DADOS!F6503)</f>
        <v/>
      </c>
      <c r="K6503" s="6" t="str">
        <f t="shared" si="510"/>
        <v/>
      </c>
      <c r="L6503" s="7" t="str">
        <f t="shared" si="511"/>
        <v/>
      </c>
      <c r="M6503" s="7" t="str">
        <f t="shared" si="508"/>
        <v/>
      </c>
      <c r="N6503" s="7" t="str">
        <f t="shared" si="512"/>
        <v/>
      </c>
      <c r="O6503" s="8"/>
      <c r="P6503" s="26"/>
      <c r="S6503" s="10" t="str">
        <f t="shared" si="509"/>
        <v/>
      </c>
    </row>
    <row r="6504" spans="5:19" x14ac:dyDescent="0.3">
      <c r="E6504" s="9" t="str">
        <f>IF(DADOS!C6504="","",DADOS!C6504)</f>
        <v/>
      </c>
      <c r="F6504" s="9" t="str">
        <f>IF(DADOS!E6504="","",DADOS!E6504)</f>
        <v/>
      </c>
      <c r="G6504" s="9" t="str">
        <f>IF(DADOS!F6504="","",DADOS!F6504)</f>
        <v/>
      </c>
      <c r="K6504" s="6" t="str">
        <f t="shared" si="510"/>
        <v/>
      </c>
      <c r="L6504" s="7" t="str">
        <f t="shared" si="511"/>
        <v/>
      </c>
      <c r="M6504" s="7" t="str">
        <f t="shared" si="508"/>
        <v/>
      </c>
      <c r="N6504" s="7" t="str">
        <f t="shared" si="512"/>
        <v/>
      </c>
      <c r="O6504" s="8"/>
      <c r="P6504" s="26"/>
      <c r="S6504" s="10" t="str">
        <f t="shared" si="509"/>
        <v/>
      </c>
    </row>
    <row r="6505" spans="5:19" x14ac:dyDescent="0.3">
      <c r="E6505" s="9" t="str">
        <f>IF(DADOS!C6505="","",DADOS!C6505)</f>
        <v/>
      </c>
      <c r="F6505" s="9" t="str">
        <f>IF(DADOS!E6505="","",DADOS!E6505)</f>
        <v/>
      </c>
      <c r="G6505" s="9" t="str">
        <f>IF(DADOS!F6505="","",DADOS!F6505)</f>
        <v/>
      </c>
      <c r="K6505" s="6" t="str">
        <f t="shared" si="510"/>
        <v/>
      </c>
      <c r="L6505" s="7" t="str">
        <f t="shared" si="511"/>
        <v/>
      </c>
      <c r="M6505" s="7" t="str">
        <f t="shared" si="508"/>
        <v/>
      </c>
      <c r="N6505" s="7" t="str">
        <f t="shared" si="512"/>
        <v/>
      </c>
      <c r="O6505" s="8"/>
      <c r="P6505" s="26"/>
      <c r="S6505" s="10" t="str">
        <f t="shared" si="509"/>
        <v/>
      </c>
    </row>
    <row r="6506" spans="5:19" x14ac:dyDescent="0.3">
      <c r="E6506" s="9" t="str">
        <f>IF(DADOS!C6506="","",DADOS!C6506)</f>
        <v/>
      </c>
      <c r="F6506" s="9" t="str">
        <f>IF(DADOS!E6506="","",DADOS!E6506)</f>
        <v/>
      </c>
      <c r="G6506" s="9" t="str">
        <f>IF(DADOS!F6506="","",DADOS!F6506)</f>
        <v/>
      </c>
      <c r="K6506" s="6" t="str">
        <f t="shared" si="510"/>
        <v/>
      </c>
      <c r="L6506" s="7" t="str">
        <f t="shared" si="511"/>
        <v/>
      </c>
      <c r="M6506" s="7" t="str">
        <f t="shared" si="508"/>
        <v/>
      </c>
      <c r="N6506" s="7" t="str">
        <f t="shared" si="512"/>
        <v/>
      </c>
      <c r="O6506" s="8"/>
      <c r="P6506" s="26"/>
      <c r="S6506" s="10" t="str">
        <f t="shared" si="509"/>
        <v/>
      </c>
    </row>
    <row r="6507" spans="5:19" x14ac:dyDescent="0.3">
      <c r="E6507" s="9" t="str">
        <f>IF(DADOS!C6507="","",DADOS!C6507)</f>
        <v/>
      </c>
      <c r="F6507" s="9" t="str">
        <f>IF(DADOS!E6507="","",DADOS!E6507)</f>
        <v/>
      </c>
      <c r="G6507" s="9" t="str">
        <f>IF(DADOS!F6507="","",DADOS!F6507)</f>
        <v/>
      </c>
      <c r="K6507" s="6" t="str">
        <f t="shared" si="510"/>
        <v/>
      </c>
      <c r="L6507" s="7" t="str">
        <f t="shared" si="511"/>
        <v/>
      </c>
      <c r="M6507" s="7" t="str">
        <f t="shared" si="508"/>
        <v/>
      </c>
      <c r="N6507" s="7" t="str">
        <f t="shared" si="512"/>
        <v/>
      </c>
      <c r="O6507" s="8"/>
      <c r="P6507" s="26"/>
      <c r="S6507" s="10" t="str">
        <f t="shared" si="509"/>
        <v/>
      </c>
    </row>
    <row r="6508" spans="5:19" x14ac:dyDescent="0.3">
      <c r="E6508" s="9" t="str">
        <f>IF(DADOS!C6508="","",DADOS!C6508)</f>
        <v/>
      </c>
      <c r="F6508" s="9" t="str">
        <f>IF(DADOS!E6508="","",DADOS!E6508)</f>
        <v/>
      </c>
      <c r="G6508" s="9" t="str">
        <f>IF(DADOS!F6508="","",DADOS!F6508)</f>
        <v/>
      </c>
      <c r="K6508" s="6" t="str">
        <f t="shared" si="510"/>
        <v/>
      </c>
      <c r="L6508" s="7" t="str">
        <f t="shared" si="511"/>
        <v/>
      </c>
      <c r="M6508" s="7" t="str">
        <f t="shared" si="508"/>
        <v/>
      </c>
      <c r="N6508" s="7" t="str">
        <f t="shared" si="512"/>
        <v/>
      </c>
      <c r="O6508" s="8"/>
      <c r="P6508" s="26"/>
      <c r="S6508" s="10" t="str">
        <f t="shared" si="509"/>
        <v/>
      </c>
    </row>
    <row r="6509" spans="5:19" x14ac:dyDescent="0.3">
      <c r="E6509" s="9" t="str">
        <f>IF(DADOS!C6509="","",DADOS!C6509)</f>
        <v/>
      </c>
      <c r="F6509" s="9" t="str">
        <f>IF(DADOS!E6509="","",DADOS!E6509)</f>
        <v/>
      </c>
      <c r="G6509" s="9" t="str">
        <f>IF(DADOS!F6509="","",DADOS!F6509)</f>
        <v/>
      </c>
      <c r="K6509" s="6" t="str">
        <f t="shared" si="510"/>
        <v/>
      </c>
      <c r="L6509" s="7" t="str">
        <f t="shared" si="511"/>
        <v/>
      </c>
      <c r="M6509" s="7" t="str">
        <f t="shared" si="508"/>
        <v/>
      </c>
      <c r="N6509" s="7" t="str">
        <f t="shared" si="512"/>
        <v/>
      </c>
      <c r="O6509" s="8"/>
      <c r="P6509" s="26"/>
      <c r="S6509" s="10" t="str">
        <f t="shared" si="509"/>
        <v/>
      </c>
    </row>
    <row r="6510" spans="5:19" x14ac:dyDescent="0.3">
      <c r="E6510" s="9" t="str">
        <f>IF(DADOS!C6510="","",DADOS!C6510)</f>
        <v/>
      </c>
      <c r="F6510" s="9" t="str">
        <f>IF(DADOS!E6510="","",DADOS!E6510)</f>
        <v/>
      </c>
      <c r="G6510" s="9" t="str">
        <f>IF(DADOS!F6510="","",DADOS!F6510)</f>
        <v/>
      </c>
      <c r="K6510" s="6" t="str">
        <f t="shared" si="510"/>
        <v/>
      </c>
      <c r="L6510" s="7" t="str">
        <f t="shared" si="511"/>
        <v/>
      </c>
      <c r="M6510" s="7" t="str">
        <f t="shared" si="508"/>
        <v/>
      </c>
      <c r="N6510" s="7" t="str">
        <f t="shared" si="512"/>
        <v/>
      </c>
      <c r="O6510" s="8"/>
      <c r="P6510" s="26"/>
      <c r="S6510" s="10" t="str">
        <f t="shared" si="509"/>
        <v/>
      </c>
    </row>
    <row r="6511" spans="5:19" x14ac:dyDescent="0.3">
      <c r="E6511" s="9" t="str">
        <f>IF(DADOS!C6511="","",DADOS!C6511)</f>
        <v/>
      </c>
      <c r="F6511" s="9" t="str">
        <f>IF(DADOS!E6511="","",DADOS!E6511)</f>
        <v/>
      </c>
      <c r="G6511" s="9" t="str">
        <f>IF(DADOS!F6511="","",DADOS!F6511)</f>
        <v/>
      </c>
      <c r="K6511" s="6" t="str">
        <f t="shared" si="510"/>
        <v/>
      </c>
      <c r="L6511" s="7" t="str">
        <f t="shared" si="511"/>
        <v/>
      </c>
      <c r="M6511" s="7" t="str">
        <f t="shared" si="508"/>
        <v/>
      </c>
      <c r="N6511" s="7" t="str">
        <f t="shared" si="512"/>
        <v/>
      </c>
      <c r="O6511" s="8"/>
      <c r="P6511" s="26"/>
      <c r="S6511" s="10" t="str">
        <f t="shared" si="509"/>
        <v/>
      </c>
    </row>
    <row r="6512" spans="5:19" x14ac:dyDescent="0.3">
      <c r="E6512" s="9" t="str">
        <f>IF(DADOS!C6512="","",DADOS!C6512)</f>
        <v/>
      </c>
      <c r="F6512" s="9" t="str">
        <f>IF(DADOS!E6512="","",DADOS!E6512)</f>
        <v/>
      </c>
      <c r="G6512" s="9" t="str">
        <f>IF(DADOS!F6512="","",DADOS!F6512)</f>
        <v/>
      </c>
      <c r="K6512" s="6" t="str">
        <f t="shared" si="510"/>
        <v/>
      </c>
      <c r="L6512" s="7" t="str">
        <f t="shared" si="511"/>
        <v/>
      </c>
      <c r="M6512" s="7" t="str">
        <f t="shared" si="508"/>
        <v/>
      </c>
      <c r="N6512" s="7" t="str">
        <f t="shared" si="512"/>
        <v/>
      </c>
      <c r="O6512" s="8"/>
      <c r="P6512" s="26"/>
      <c r="S6512" s="10" t="str">
        <f t="shared" si="509"/>
        <v/>
      </c>
    </row>
    <row r="6513" spans="5:19" x14ac:dyDescent="0.3">
      <c r="E6513" s="9" t="str">
        <f>IF(DADOS!C6513="","",DADOS!C6513)</f>
        <v/>
      </c>
      <c r="F6513" s="9" t="str">
        <f>IF(DADOS!E6513="","",DADOS!E6513)</f>
        <v/>
      </c>
      <c r="G6513" s="9" t="str">
        <f>IF(DADOS!F6513="","",DADOS!F6513)</f>
        <v/>
      </c>
      <c r="K6513" s="6" t="str">
        <f t="shared" si="510"/>
        <v/>
      </c>
      <c r="L6513" s="7" t="str">
        <f t="shared" si="511"/>
        <v/>
      </c>
      <c r="M6513" s="7" t="str">
        <f t="shared" si="508"/>
        <v/>
      </c>
      <c r="N6513" s="7" t="str">
        <f t="shared" si="512"/>
        <v/>
      </c>
      <c r="O6513" s="8"/>
      <c r="P6513" s="26"/>
      <c r="S6513" s="10" t="str">
        <f t="shared" si="509"/>
        <v/>
      </c>
    </row>
    <row r="6514" spans="5:19" x14ac:dyDescent="0.3">
      <c r="E6514" s="9" t="str">
        <f>IF(DADOS!C6514="","",DADOS!C6514)</f>
        <v/>
      </c>
      <c r="F6514" s="9" t="str">
        <f>IF(DADOS!E6514="","",DADOS!E6514)</f>
        <v/>
      </c>
      <c r="G6514" s="9" t="str">
        <f>IF(DADOS!F6514="","",DADOS!F6514)</f>
        <v/>
      </c>
      <c r="K6514" s="6" t="str">
        <f t="shared" si="510"/>
        <v/>
      </c>
      <c r="L6514" s="7" t="str">
        <f t="shared" si="511"/>
        <v/>
      </c>
      <c r="M6514" s="7" t="str">
        <f t="shared" si="508"/>
        <v/>
      </c>
      <c r="N6514" s="7" t="str">
        <f t="shared" si="512"/>
        <v/>
      </c>
      <c r="O6514" s="8"/>
      <c r="P6514" s="26"/>
      <c r="S6514" s="10" t="str">
        <f t="shared" si="509"/>
        <v/>
      </c>
    </row>
    <row r="6515" spans="5:19" x14ac:dyDescent="0.3">
      <c r="E6515" s="9" t="str">
        <f>IF(DADOS!C6515="","",DADOS!C6515)</f>
        <v/>
      </c>
      <c r="F6515" s="9" t="str">
        <f>IF(DADOS!E6515="","",DADOS!E6515)</f>
        <v/>
      </c>
      <c r="G6515" s="9" t="str">
        <f>IF(DADOS!F6515="","",DADOS!F6515)</f>
        <v/>
      </c>
      <c r="K6515" s="6" t="str">
        <f t="shared" si="510"/>
        <v/>
      </c>
      <c r="L6515" s="7" t="str">
        <f t="shared" si="511"/>
        <v/>
      </c>
      <c r="M6515" s="7" t="str">
        <f t="shared" si="508"/>
        <v/>
      </c>
      <c r="N6515" s="7" t="str">
        <f t="shared" si="512"/>
        <v/>
      </c>
      <c r="O6515" s="8"/>
      <c r="P6515" s="26"/>
      <c r="S6515" s="10" t="str">
        <f t="shared" si="509"/>
        <v/>
      </c>
    </row>
    <row r="6516" spans="5:19" x14ac:dyDescent="0.3">
      <c r="E6516" s="9" t="str">
        <f>IF(DADOS!C6516="","",DADOS!C6516)</f>
        <v/>
      </c>
      <c r="F6516" s="9" t="str">
        <f>IF(DADOS!E6516="","",DADOS!E6516)</f>
        <v/>
      </c>
      <c r="G6516" s="9" t="str">
        <f>IF(DADOS!F6516="","",DADOS!F6516)</f>
        <v/>
      </c>
      <c r="K6516" s="6" t="str">
        <f t="shared" si="510"/>
        <v/>
      </c>
      <c r="L6516" s="7" t="str">
        <f t="shared" si="511"/>
        <v/>
      </c>
      <c r="M6516" s="7" t="str">
        <f t="shared" si="508"/>
        <v/>
      </c>
      <c r="N6516" s="7" t="str">
        <f t="shared" si="512"/>
        <v/>
      </c>
      <c r="O6516" s="8"/>
      <c r="P6516" s="26"/>
      <c r="S6516" s="10" t="str">
        <f t="shared" si="509"/>
        <v/>
      </c>
    </row>
    <row r="6517" spans="5:19" x14ac:dyDescent="0.3">
      <c r="E6517" s="9" t="str">
        <f>IF(DADOS!C6517="","",DADOS!C6517)</f>
        <v/>
      </c>
      <c r="F6517" s="9" t="str">
        <f>IF(DADOS!E6517="","",DADOS!E6517)</f>
        <v/>
      </c>
      <c r="G6517" s="9" t="str">
        <f>IF(DADOS!F6517="","",DADOS!F6517)</f>
        <v/>
      </c>
      <c r="K6517" s="6" t="str">
        <f t="shared" si="510"/>
        <v/>
      </c>
      <c r="L6517" s="7" t="str">
        <f t="shared" si="511"/>
        <v/>
      </c>
      <c r="M6517" s="7" t="str">
        <f t="shared" si="508"/>
        <v/>
      </c>
      <c r="N6517" s="7" t="str">
        <f t="shared" si="512"/>
        <v/>
      </c>
      <c r="O6517" s="8"/>
      <c r="P6517" s="26"/>
      <c r="S6517" s="10" t="str">
        <f t="shared" si="509"/>
        <v/>
      </c>
    </row>
    <row r="6518" spans="5:19" x14ac:dyDescent="0.3">
      <c r="E6518" s="9" t="str">
        <f>IF(DADOS!C6518="","",DADOS!C6518)</f>
        <v/>
      </c>
      <c r="F6518" s="9" t="str">
        <f>IF(DADOS!E6518="","",DADOS!E6518)</f>
        <v/>
      </c>
      <c r="G6518" s="9" t="str">
        <f>IF(DADOS!F6518="","",DADOS!F6518)</f>
        <v/>
      </c>
      <c r="K6518" s="6" t="str">
        <f t="shared" si="510"/>
        <v/>
      </c>
      <c r="L6518" s="7" t="str">
        <f t="shared" si="511"/>
        <v/>
      </c>
      <c r="M6518" s="7" t="str">
        <f t="shared" si="508"/>
        <v/>
      </c>
      <c r="N6518" s="7" t="str">
        <f t="shared" si="512"/>
        <v/>
      </c>
      <c r="O6518" s="8"/>
      <c r="P6518" s="26"/>
      <c r="S6518" s="10" t="str">
        <f t="shared" si="509"/>
        <v/>
      </c>
    </row>
    <row r="6519" spans="5:19" x14ac:dyDescent="0.3">
      <c r="E6519" s="9" t="str">
        <f>IF(DADOS!C6519="","",DADOS!C6519)</f>
        <v/>
      </c>
      <c r="F6519" s="9" t="str">
        <f>IF(DADOS!E6519="","",DADOS!E6519)</f>
        <v/>
      </c>
      <c r="G6519" s="9" t="str">
        <f>IF(DADOS!F6519="","",DADOS!F6519)</f>
        <v/>
      </c>
      <c r="K6519" s="6" t="str">
        <f t="shared" si="510"/>
        <v/>
      </c>
      <c r="L6519" s="7" t="str">
        <f t="shared" si="511"/>
        <v/>
      </c>
      <c r="M6519" s="7" t="str">
        <f t="shared" si="508"/>
        <v/>
      </c>
      <c r="N6519" s="7" t="str">
        <f t="shared" si="512"/>
        <v/>
      </c>
      <c r="O6519" s="8"/>
      <c r="P6519" s="26"/>
      <c r="S6519" s="10" t="str">
        <f t="shared" si="509"/>
        <v/>
      </c>
    </row>
    <row r="6520" spans="5:19" x14ac:dyDescent="0.3">
      <c r="E6520" s="9" t="str">
        <f>IF(DADOS!C6520="","",DADOS!C6520)</f>
        <v/>
      </c>
      <c r="F6520" s="9" t="str">
        <f>IF(DADOS!E6520="","",DADOS!E6520)</f>
        <v/>
      </c>
      <c r="G6520" s="9" t="str">
        <f>IF(DADOS!F6520="","",DADOS!F6520)</f>
        <v/>
      </c>
      <c r="K6520" s="6" t="str">
        <f t="shared" si="510"/>
        <v/>
      </c>
      <c r="L6520" s="7" t="str">
        <f t="shared" si="511"/>
        <v/>
      </c>
      <c r="M6520" s="7" t="str">
        <f t="shared" si="508"/>
        <v/>
      </c>
      <c r="N6520" s="7" t="str">
        <f t="shared" si="512"/>
        <v/>
      </c>
      <c r="O6520" s="8"/>
      <c r="P6520" s="26"/>
      <c r="S6520" s="10" t="str">
        <f t="shared" si="509"/>
        <v/>
      </c>
    </row>
    <row r="6521" spans="5:19" x14ac:dyDescent="0.3">
      <c r="E6521" s="9" t="str">
        <f>IF(DADOS!C6521="","",DADOS!C6521)</f>
        <v/>
      </c>
      <c r="F6521" s="9" t="str">
        <f>IF(DADOS!E6521="","",DADOS!E6521)</f>
        <v/>
      </c>
      <c r="G6521" s="9" t="str">
        <f>IF(DADOS!F6521="","",DADOS!F6521)</f>
        <v/>
      </c>
      <c r="K6521" s="6" t="str">
        <f t="shared" si="510"/>
        <v/>
      </c>
      <c r="L6521" s="7" t="str">
        <f t="shared" si="511"/>
        <v/>
      </c>
      <c r="M6521" s="7" t="str">
        <f t="shared" si="508"/>
        <v/>
      </c>
      <c r="N6521" s="7" t="str">
        <f t="shared" si="512"/>
        <v/>
      </c>
      <c r="O6521" s="8"/>
      <c r="P6521" s="26"/>
      <c r="S6521" s="10" t="str">
        <f t="shared" si="509"/>
        <v/>
      </c>
    </row>
    <row r="6522" spans="5:19" x14ac:dyDescent="0.3">
      <c r="E6522" s="9" t="str">
        <f>IF(DADOS!C6522="","",DADOS!C6522)</f>
        <v/>
      </c>
      <c r="F6522" s="9" t="str">
        <f>IF(DADOS!E6522="","",DADOS!E6522)</f>
        <v/>
      </c>
      <c r="G6522" s="9" t="str">
        <f>IF(DADOS!F6522="","",DADOS!F6522)</f>
        <v/>
      </c>
      <c r="K6522" s="6" t="str">
        <f t="shared" si="510"/>
        <v/>
      </c>
      <c r="L6522" s="7" t="str">
        <f t="shared" si="511"/>
        <v/>
      </c>
      <c r="M6522" s="7" t="str">
        <f t="shared" si="508"/>
        <v/>
      </c>
      <c r="N6522" s="7" t="str">
        <f t="shared" si="512"/>
        <v/>
      </c>
      <c r="O6522" s="8"/>
      <c r="P6522" s="26"/>
      <c r="S6522" s="10" t="str">
        <f t="shared" si="509"/>
        <v/>
      </c>
    </row>
    <row r="6523" spans="5:19" x14ac:dyDescent="0.3">
      <c r="E6523" s="9" t="str">
        <f>IF(DADOS!C6523="","",DADOS!C6523)</f>
        <v/>
      </c>
      <c r="F6523" s="9" t="str">
        <f>IF(DADOS!E6523="","",DADOS!E6523)</f>
        <v/>
      </c>
      <c r="G6523" s="9" t="str">
        <f>IF(DADOS!F6523="","",DADOS!F6523)</f>
        <v/>
      </c>
      <c r="K6523" s="6" t="str">
        <f t="shared" si="510"/>
        <v/>
      </c>
      <c r="L6523" s="7" t="str">
        <f t="shared" si="511"/>
        <v/>
      </c>
      <c r="M6523" s="7" t="str">
        <f t="shared" si="508"/>
        <v/>
      </c>
      <c r="N6523" s="7" t="str">
        <f t="shared" si="512"/>
        <v/>
      </c>
      <c r="O6523" s="8"/>
      <c r="P6523" s="26"/>
      <c r="S6523" s="10" t="str">
        <f t="shared" si="509"/>
        <v/>
      </c>
    </row>
    <row r="6524" spans="5:19" x14ac:dyDescent="0.3">
      <c r="E6524" s="9" t="str">
        <f>IF(DADOS!C6524="","",DADOS!C6524)</f>
        <v/>
      </c>
      <c r="F6524" s="9" t="str">
        <f>IF(DADOS!E6524="","",DADOS!E6524)</f>
        <v/>
      </c>
      <c r="G6524" s="9" t="str">
        <f>IF(DADOS!F6524="","",DADOS!F6524)</f>
        <v/>
      </c>
      <c r="K6524" s="6" t="str">
        <f t="shared" si="510"/>
        <v/>
      </c>
      <c r="L6524" s="7" t="str">
        <f t="shared" si="511"/>
        <v/>
      </c>
      <c r="M6524" s="7" t="str">
        <f t="shared" si="508"/>
        <v/>
      </c>
      <c r="N6524" s="7" t="str">
        <f t="shared" si="512"/>
        <v/>
      </c>
      <c r="O6524" s="8"/>
      <c r="P6524" s="26"/>
      <c r="S6524" s="10" t="str">
        <f t="shared" si="509"/>
        <v/>
      </c>
    </row>
    <row r="6525" spans="5:19" x14ac:dyDescent="0.3">
      <c r="E6525" s="9" t="str">
        <f>IF(DADOS!C6525="","",DADOS!C6525)</f>
        <v/>
      </c>
      <c r="F6525" s="9" t="str">
        <f>IF(DADOS!E6525="","",DADOS!E6525)</f>
        <v/>
      </c>
      <c r="G6525" s="9" t="str">
        <f>IF(DADOS!F6525="","",DADOS!F6525)</f>
        <v/>
      </c>
      <c r="K6525" s="6" t="str">
        <f t="shared" si="510"/>
        <v/>
      </c>
      <c r="L6525" s="7" t="str">
        <f t="shared" si="511"/>
        <v/>
      </c>
      <c r="M6525" s="7" t="str">
        <f t="shared" si="508"/>
        <v/>
      </c>
      <c r="N6525" s="7" t="str">
        <f t="shared" si="512"/>
        <v/>
      </c>
      <c r="O6525" s="8"/>
      <c r="P6525" s="26"/>
      <c r="S6525" s="10" t="str">
        <f t="shared" si="509"/>
        <v/>
      </c>
    </row>
    <row r="6526" spans="5:19" x14ac:dyDescent="0.3">
      <c r="E6526" s="9" t="str">
        <f>IF(DADOS!C6526="","",DADOS!C6526)</f>
        <v/>
      </c>
      <c r="F6526" s="9" t="str">
        <f>IF(DADOS!E6526="","",DADOS!E6526)</f>
        <v/>
      </c>
      <c r="G6526" s="9" t="str">
        <f>IF(DADOS!F6526="","",DADOS!F6526)</f>
        <v/>
      </c>
      <c r="K6526" s="6" t="str">
        <f t="shared" si="510"/>
        <v/>
      </c>
      <c r="L6526" s="7" t="str">
        <f t="shared" si="511"/>
        <v/>
      </c>
      <c r="M6526" s="7" t="str">
        <f t="shared" si="508"/>
        <v/>
      </c>
      <c r="N6526" s="7" t="str">
        <f t="shared" si="512"/>
        <v/>
      </c>
      <c r="O6526" s="8"/>
      <c r="P6526" s="26"/>
      <c r="S6526" s="10" t="str">
        <f t="shared" si="509"/>
        <v/>
      </c>
    </row>
    <row r="6527" spans="5:19" x14ac:dyDescent="0.3">
      <c r="E6527" s="9" t="str">
        <f>IF(DADOS!C6527="","",DADOS!C6527)</f>
        <v/>
      </c>
      <c r="F6527" s="9" t="str">
        <f>IF(DADOS!E6527="","",DADOS!E6527)</f>
        <v/>
      </c>
      <c r="G6527" s="9" t="str">
        <f>IF(DADOS!F6527="","",DADOS!F6527)</f>
        <v/>
      </c>
      <c r="K6527" s="6" t="str">
        <f t="shared" si="510"/>
        <v/>
      </c>
      <c r="L6527" s="7" t="str">
        <f t="shared" si="511"/>
        <v/>
      </c>
      <c r="M6527" s="7" t="str">
        <f t="shared" si="508"/>
        <v/>
      </c>
      <c r="N6527" s="7" t="str">
        <f t="shared" si="512"/>
        <v/>
      </c>
      <c r="O6527" s="8"/>
      <c r="P6527" s="26"/>
      <c r="S6527" s="10" t="str">
        <f t="shared" si="509"/>
        <v/>
      </c>
    </row>
    <row r="6528" spans="5:19" x14ac:dyDescent="0.3">
      <c r="E6528" s="9" t="str">
        <f>IF(DADOS!C6528="","",DADOS!C6528)</f>
        <v/>
      </c>
      <c r="F6528" s="9" t="str">
        <f>IF(DADOS!E6528="","",DADOS!E6528)</f>
        <v/>
      </c>
      <c r="G6528" s="9" t="str">
        <f>IF(DADOS!F6528="","",DADOS!F6528)</f>
        <v/>
      </c>
      <c r="K6528" s="6" t="str">
        <f t="shared" si="510"/>
        <v/>
      </c>
      <c r="L6528" s="7" t="str">
        <f t="shared" si="511"/>
        <v/>
      </c>
      <c r="M6528" s="7" t="str">
        <f t="shared" si="508"/>
        <v/>
      </c>
      <c r="N6528" s="7" t="str">
        <f t="shared" si="512"/>
        <v/>
      </c>
      <c r="O6528" s="8"/>
      <c r="P6528" s="26"/>
      <c r="S6528" s="10" t="str">
        <f t="shared" si="509"/>
        <v/>
      </c>
    </row>
    <row r="6529" spans="5:19" x14ac:dyDescent="0.3">
      <c r="E6529" s="9" t="str">
        <f>IF(DADOS!C6529="","",DADOS!C6529)</f>
        <v/>
      </c>
      <c r="F6529" s="9" t="str">
        <f>IF(DADOS!E6529="","",DADOS!E6529)</f>
        <v/>
      </c>
      <c r="G6529" s="9" t="str">
        <f>IF(DADOS!F6529="","",DADOS!F6529)</f>
        <v/>
      </c>
      <c r="K6529" s="6" t="str">
        <f t="shared" si="510"/>
        <v/>
      </c>
      <c r="L6529" s="7" t="str">
        <f t="shared" si="511"/>
        <v/>
      </c>
      <c r="M6529" s="7" t="str">
        <f t="shared" si="508"/>
        <v/>
      </c>
      <c r="N6529" s="7" t="str">
        <f t="shared" si="512"/>
        <v/>
      </c>
      <c r="O6529" s="8"/>
      <c r="P6529" s="26"/>
      <c r="S6529" s="10" t="str">
        <f t="shared" si="509"/>
        <v/>
      </c>
    </row>
    <row r="6530" spans="5:19" x14ac:dyDescent="0.3">
      <c r="E6530" s="9" t="str">
        <f>IF(DADOS!C6530="","",DADOS!C6530)</f>
        <v/>
      </c>
      <c r="F6530" s="9" t="str">
        <f>IF(DADOS!E6530="","",DADOS!E6530)</f>
        <v/>
      </c>
      <c r="G6530" s="9" t="str">
        <f>IF(DADOS!F6530="","",DADOS!F6530)</f>
        <v/>
      </c>
      <c r="K6530" s="6" t="str">
        <f t="shared" si="510"/>
        <v/>
      </c>
      <c r="L6530" s="7" t="str">
        <f t="shared" si="511"/>
        <v/>
      </c>
      <c r="M6530" s="7" t="str">
        <f t="shared" si="508"/>
        <v/>
      </c>
      <c r="N6530" s="7" t="str">
        <f t="shared" si="512"/>
        <v/>
      </c>
      <c r="O6530" s="8"/>
      <c r="P6530" s="26"/>
      <c r="S6530" s="10" t="str">
        <f t="shared" si="509"/>
        <v/>
      </c>
    </row>
    <row r="6531" spans="5:19" x14ac:dyDescent="0.3">
      <c r="E6531" s="9" t="str">
        <f>IF(DADOS!C6531="","",DADOS!C6531)</f>
        <v/>
      </c>
      <c r="F6531" s="9" t="str">
        <f>IF(DADOS!E6531="","",DADOS!E6531)</f>
        <v/>
      </c>
      <c r="G6531" s="9" t="str">
        <f>IF(DADOS!F6531="","",DADOS!F6531)</f>
        <v/>
      </c>
      <c r="K6531" s="6" t="str">
        <f t="shared" si="510"/>
        <v/>
      </c>
      <c r="L6531" s="7" t="str">
        <f t="shared" si="511"/>
        <v/>
      </c>
      <c r="M6531" s="7" t="str">
        <f t="shared" ref="M6531:M6594" si="513">IF(L6531="","",L6531*G6531)</f>
        <v/>
      </c>
      <c r="N6531" s="7" t="str">
        <f t="shared" si="512"/>
        <v/>
      </c>
      <c r="O6531" s="8"/>
      <c r="P6531" s="26"/>
      <c r="S6531" s="10" t="str">
        <f t="shared" ref="S6531:S6594" si="514">IF(R6531="","",SUMIFS($N$3:$N$10000,$E$3:$E$10000,R6531))</f>
        <v/>
      </c>
    </row>
    <row r="6532" spans="5:19" x14ac:dyDescent="0.3">
      <c r="E6532" s="9" t="str">
        <f>IF(DADOS!C6532="","",DADOS!C6532)</f>
        <v/>
      </c>
      <c r="F6532" s="9" t="str">
        <f>IF(DADOS!E6532="","",DADOS!E6532)</f>
        <v/>
      </c>
      <c r="G6532" s="9" t="str">
        <f>IF(DADOS!F6532="","",DADOS!F6532)</f>
        <v/>
      </c>
      <c r="K6532" s="6" t="str">
        <f t="shared" ref="K6532:K6595" si="515">IF(F6532="","",F6532/PI())</f>
        <v/>
      </c>
      <c r="L6532" s="7" t="str">
        <f t="shared" ref="L6532:L6595" si="516">IF(K6532="","",(PI()*K6532^2)/40000)</f>
        <v/>
      </c>
      <c r="M6532" s="7" t="str">
        <f t="shared" si="513"/>
        <v/>
      </c>
      <c r="N6532" s="7" t="str">
        <f t="shared" ref="N6532:N6595" si="517">IF(M6532="","",M6532*N$1)</f>
        <v/>
      </c>
      <c r="O6532" s="8"/>
      <c r="P6532" s="26"/>
      <c r="S6532" s="10" t="str">
        <f t="shared" si="514"/>
        <v/>
      </c>
    </row>
    <row r="6533" spans="5:19" x14ac:dyDescent="0.3">
      <c r="E6533" s="9" t="str">
        <f>IF(DADOS!C6533="","",DADOS!C6533)</f>
        <v/>
      </c>
      <c r="F6533" s="9" t="str">
        <f>IF(DADOS!E6533="","",DADOS!E6533)</f>
        <v/>
      </c>
      <c r="G6533" s="9" t="str">
        <f>IF(DADOS!F6533="","",DADOS!F6533)</f>
        <v/>
      </c>
      <c r="K6533" s="6" t="str">
        <f t="shared" si="515"/>
        <v/>
      </c>
      <c r="L6533" s="7" t="str">
        <f t="shared" si="516"/>
        <v/>
      </c>
      <c r="M6533" s="7" t="str">
        <f t="shared" si="513"/>
        <v/>
      </c>
      <c r="N6533" s="7" t="str">
        <f t="shared" si="517"/>
        <v/>
      </c>
      <c r="O6533" s="8"/>
      <c r="P6533" s="26"/>
      <c r="S6533" s="10" t="str">
        <f t="shared" si="514"/>
        <v/>
      </c>
    </row>
    <row r="6534" spans="5:19" x14ac:dyDescent="0.3">
      <c r="E6534" s="9" t="str">
        <f>IF(DADOS!C6534="","",DADOS!C6534)</f>
        <v/>
      </c>
      <c r="F6534" s="9" t="str">
        <f>IF(DADOS!E6534="","",DADOS!E6534)</f>
        <v/>
      </c>
      <c r="G6534" s="9" t="str">
        <f>IF(DADOS!F6534="","",DADOS!F6534)</f>
        <v/>
      </c>
      <c r="K6534" s="6" t="str">
        <f t="shared" si="515"/>
        <v/>
      </c>
      <c r="L6534" s="7" t="str">
        <f t="shared" si="516"/>
        <v/>
      </c>
      <c r="M6534" s="7" t="str">
        <f t="shared" si="513"/>
        <v/>
      </c>
      <c r="N6534" s="7" t="str">
        <f t="shared" si="517"/>
        <v/>
      </c>
      <c r="O6534" s="8"/>
      <c r="P6534" s="26"/>
      <c r="S6534" s="10" t="str">
        <f t="shared" si="514"/>
        <v/>
      </c>
    </row>
    <row r="6535" spans="5:19" x14ac:dyDescent="0.3">
      <c r="E6535" s="9" t="str">
        <f>IF(DADOS!C6535="","",DADOS!C6535)</f>
        <v/>
      </c>
      <c r="F6535" s="9" t="str">
        <f>IF(DADOS!E6535="","",DADOS!E6535)</f>
        <v/>
      </c>
      <c r="G6535" s="9" t="str">
        <f>IF(DADOS!F6535="","",DADOS!F6535)</f>
        <v/>
      </c>
      <c r="K6535" s="6" t="str">
        <f t="shared" si="515"/>
        <v/>
      </c>
      <c r="L6535" s="7" t="str">
        <f t="shared" si="516"/>
        <v/>
      </c>
      <c r="M6535" s="7" t="str">
        <f t="shared" si="513"/>
        <v/>
      </c>
      <c r="N6535" s="7" t="str">
        <f t="shared" si="517"/>
        <v/>
      </c>
      <c r="O6535" s="8"/>
      <c r="P6535" s="26"/>
      <c r="S6535" s="10" t="str">
        <f t="shared" si="514"/>
        <v/>
      </c>
    </row>
    <row r="6536" spans="5:19" x14ac:dyDescent="0.3">
      <c r="E6536" s="9" t="str">
        <f>IF(DADOS!C6536="","",DADOS!C6536)</f>
        <v/>
      </c>
      <c r="F6536" s="9" t="str">
        <f>IF(DADOS!E6536="","",DADOS!E6536)</f>
        <v/>
      </c>
      <c r="G6536" s="9" t="str">
        <f>IF(DADOS!F6536="","",DADOS!F6536)</f>
        <v/>
      </c>
      <c r="K6536" s="6" t="str">
        <f t="shared" si="515"/>
        <v/>
      </c>
      <c r="L6536" s="7" t="str">
        <f t="shared" si="516"/>
        <v/>
      </c>
      <c r="M6536" s="7" t="str">
        <f t="shared" si="513"/>
        <v/>
      </c>
      <c r="N6536" s="7" t="str">
        <f t="shared" si="517"/>
        <v/>
      </c>
      <c r="O6536" s="8"/>
      <c r="P6536" s="26"/>
      <c r="S6536" s="10" t="str">
        <f t="shared" si="514"/>
        <v/>
      </c>
    </row>
    <row r="6537" spans="5:19" x14ac:dyDescent="0.3">
      <c r="E6537" s="9" t="str">
        <f>IF(DADOS!C6537="","",DADOS!C6537)</f>
        <v/>
      </c>
      <c r="F6537" s="9" t="str">
        <f>IF(DADOS!E6537="","",DADOS!E6537)</f>
        <v/>
      </c>
      <c r="G6537" s="9" t="str">
        <f>IF(DADOS!F6537="","",DADOS!F6537)</f>
        <v/>
      </c>
      <c r="K6537" s="6" t="str">
        <f t="shared" si="515"/>
        <v/>
      </c>
      <c r="L6537" s="7" t="str">
        <f t="shared" si="516"/>
        <v/>
      </c>
      <c r="M6537" s="7" t="str">
        <f t="shared" si="513"/>
        <v/>
      </c>
      <c r="N6537" s="7" t="str">
        <f t="shared" si="517"/>
        <v/>
      </c>
      <c r="O6537" s="8"/>
      <c r="P6537" s="26"/>
      <c r="S6537" s="10" t="str">
        <f t="shared" si="514"/>
        <v/>
      </c>
    </row>
    <row r="6538" spans="5:19" x14ac:dyDescent="0.3">
      <c r="E6538" s="9" t="str">
        <f>IF(DADOS!C6538="","",DADOS!C6538)</f>
        <v/>
      </c>
      <c r="F6538" s="9" t="str">
        <f>IF(DADOS!E6538="","",DADOS!E6538)</f>
        <v/>
      </c>
      <c r="G6538" s="9" t="str">
        <f>IF(DADOS!F6538="","",DADOS!F6538)</f>
        <v/>
      </c>
      <c r="K6538" s="6" t="str">
        <f t="shared" si="515"/>
        <v/>
      </c>
      <c r="L6538" s="7" t="str">
        <f t="shared" si="516"/>
        <v/>
      </c>
      <c r="M6538" s="7" t="str">
        <f t="shared" si="513"/>
        <v/>
      </c>
      <c r="N6538" s="7" t="str">
        <f t="shared" si="517"/>
        <v/>
      </c>
      <c r="O6538" s="8"/>
      <c r="P6538" s="26"/>
      <c r="S6538" s="10" t="str">
        <f t="shared" si="514"/>
        <v/>
      </c>
    </row>
    <row r="6539" spans="5:19" x14ac:dyDescent="0.3">
      <c r="E6539" s="9" t="str">
        <f>IF(DADOS!C6539="","",DADOS!C6539)</f>
        <v/>
      </c>
      <c r="F6539" s="9" t="str">
        <f>IF(DADOS!E6539="","",DADOS!E6539)</f>
        <v/>
      </c>
      <c r="G6539" s="9" t="str">
        <f>IF(DADOS!F6539="","",DADOS!F6539)</f>
        <v/>
      </c>
      <c r="K6539" s="6" t="str">
        <f t="shared" si="515"/>
        <v/>
      </c>
      <c r="L6539" s="7" t="str">
        <f t="shared" si="516"/>
        <v/>
      </c>
      <c r="M6539" s="7" t="str">
        <f t="shared" si="513"/>
        <v/>
      </c>
      <c r="N6539" s="7" t="str">
        <f t="shared" si="517"/>
        <v/>
      </c>
      <c r="O6539" s="8"/>
      <c r="P6539" s="26"/>
      <c r="S6539" s="10" t="str">
        <f t="shared" si="514"/>
        <v/>
      </c>
    </row>
    <row r="6540" spans="5:19" x14ac:dyDescent="0.3">
      <c r="E6540" s="9" t="str">
        <f>IF(DADOS!C6540="","",DADOS!C6540)</f>
        <v/>
      </c>
      <c r="F6540" s="9" t="str">
        <f>IF(DADOS!E6540="","",DADOS!E6540)</f>
        <v/>
      </c>
      <c r="G6540" s="9" t="str">
        <f>IF(DADOS!F6540="","",DADOS!F6540)</f>
        <v/>
      </c>
      <c r="K6540" s="6" t="str">
        <f t="shared" si="515"/>
        <v/>
      </c>
      <c r="L6540" s="7" t="str">
        <f t="shared" si="516"/>
        <v/>
      </c>
      <c r="M6540" s="7" t="str">
        <f t="shared" si="513"/>
        <v/>
      </c>
      <c r="N6540" s="7" t="str">
        <f t="shared" si="517"/>
        <v/>
      </c>
      <c r="O6540" s="8"/>
      <c r="P6540" s="26"/>
      <c r="S6540" s="10" t="str">
        <f t="shared" si="514"/>
        <v/>
      </c>
    </row>
    <row r="6541" spans="5:19" x14ac:dyDescent="0.3">
      <c r="E6541" s="9" t="str">
        <f>IF(DADOS!C6541="","",DADOS!C6541)</f>
        <v/>
      </c>
      <c r="F6541" s="9" t="str">
        <f>IF(DADOS!E6541="","",DADOS!E6541)</f>
        <v/>
      </c>
      <c r="G6541" s="9" t="str">
        <f>IF(DADOS!F6541="","",DADOS!F6541)</f>
        <v/>
      </c>
      <c r="K6541" s="6" t="str">
        <f t="shared" si="515"/>
        <v/>
      </c>
      <c r="L6541" s="7" t="str">
        <f t="shared" si="516"/>
        <v/>
      </c>
      <c r="M6541" s="7" t="str">
        <f t="shared" si="513"/>
        <v/>
      </c>
      <c r="N6541" s="7" t="str">
        <f t="shared" si="517"/>
        <v/>
      </c>
      <c r="O6541" s="8"/>
      <c r="P6541" s="26"/>
      <c r="S6541" s="10" t="str">
        <f t="shared" si="514"/>
        <v/>
      </c>
    </row>
    <row r="6542" spans="5:19" x14ac:dyDescent="0.3">
      <c r="E6542" s="9" t="str">
        <f>IF(DADOS!C6542="","",DADOS!C6542)</f>
        <v/>
      </c>
      <c r="F6542" s="9" t="str">
        <f>IF(DADOS!E6542="","",DADOS!E6542)</f>
        <v/>
      </c>
      <c r="G6542" s="9" t="str">
        <f>IF(DADOS!F6542="","",DADOS!F6542)</f>
        <v/>
      </c>
      <c r="K6542" s="6" t="str">
        <f t="shared" si="515"/>
        <v/>
      </c>
      <c r="L6542" s="7" t="str">
        <f t="shared" si="516"/>
        <v/>
      </c>
      <c r="M6542" s="7" t="str">
        <f t="shared" si="513"/>
        <v/>
      </c>
      <c r="N6542" s="7" t="str">
        <f t="shared" si="517"/>
        <v/>
      </c>
      <c r="O6542" s="8"/>
      <c r="P6542" s="26"/>
      <c r="S6542" s="10" t="str">
        <f t="shared" si="514"/>
        <v/>
      </c>
    </row>
    <row r="6543" spans="5:19" x14ac:dyDescent="0.3">
      <c r="E6543" s="9" t="str">
        <f>IF(DADOS!C6543="","",DADOS!C6543)</f>
        <v/>
      </c>
      <c r="F6543" s="9" t="str">
        <f>IF(DADOS!E6543="","",DADOS!E6543)</f>
        <v/>
      </c>
      <c r="G6543" s="9" t="str">
        <f>IF(DADOS!F6543="","",DADOS!F6543)</f>
        <v/>
      </c>
      <c r="K6543" s="6" t="str">
        <f t="shared" si="515"/>
        <v/>
      </c>
      <c r="L6543" s="7" t="str">
        <f t="shared" si="516"/>
        <v/>
      </c>
      <c r="M6543" s="7" t="str">
        <f t="shared" si="513"/>
        <v/>
      </c>
      <c r="N6543" s="7" t="str">
        <f t="shared" si="517"/>
        <v/>
      </c>
      <c r="O6543" s="8"/>
      <c r="P6543" s="26"/>
      <c r="S6543" s="10" t="str">
        <f t="shared" si="514"/>
        <v/>
      </c>
    </row>
    <row r="6544" spans="5:19" x14ac:dyDescent="0.3">
      <c r="E6544" s="9" t="str">
        <f>IF(DADOS!C6544="","",DADOS!C6544)</f>
        <v/>
      </c>
      <c r="F6544" s="9" t="str">
        <f>IF(DADOS!E6544="","",DADOS!E6544)</f>
        <v/>
      </c>
      <c r="G6544" s="9" t="str">
        <f>IF(DADOS!F6544="","",DADOS!F6544)</f>
        <v/>
      </c>
      <c r="K6544" s="6" t="str">
        <f t="shared" si="515"/>
        <v/>
      </c>
      <c r="L6544" s="7" t="str">
        <f t="shared" si="516"/>
        <v/>
      </c>
      <c r="M6544" s="7" t="str">
        <f t="shared" si="513"/>
        <v/>
      </c>
      <c r="N6544" s="7" t="str">
        <f t="shared" si="517"/>
        <v/>
      </c>
      <c r="O6544" s="8"/>
      <c r="P6544" s="26"/>
      <c r="S6544" s="10" t="str">
        <f t="shared" si="514"/>
        <v/>
      </c>
    </row>
    <row r="6545" spans="5:19" x14ac:dyDescent="0.3">
      <c r="E6545" s="9" t="str">
        <f>IF(DADOS!C6545="","",DADOS!C6545)</f>
        <v/>
      </c>
      <c r="F6545" s="9" t="str">
        <f>IF(DADOS!E6545="","",DADOS!E6545)</f>
        <v/>
      </c>
      <c r="G6545" s="9" t="str">
        <f>IF(DADOS!F6545="","",DADOS!F6545)</f>
        <v/>
      </c>
      <c r="K6545" s="6" t="str">
        <f t="shared" si="515"/>
        <v/>
      </c>
      <c r="L6545" s="7" t="str">
        <f t="shared" si="516"/>
        <v/>
      </c>
      <c r="M6545" s="7" t="str">
        <f t="shared" si="513"/>
        <v/>
      </c>
      <c r="N6545" s="7" t="str">
        <f t="shared" si="517"/>
        <v/>
      </c>
      <c r="O6545" s="8"/>
      <c r="P6545" s="26"/>
      <c r="S6545" s="10" t="str">
        <f t="shared" si="514"/>
        <v/>
      </c>
    </row>
    <row r="6546" spans="5:19" x14ac:dyDescent="0.3">
      <c r="E6546" s="9" t="str">
        <f>IF(DADOS!C6546="","",DADOS!C6546)</f>
        <v/>
      </c>
      <c r="F6546" s="9" t="str">
        <f>IF(DADOS!E6546="","",DADOS!E6546)</f>
        <v/>
      </c>
      <c r="G6546" s="9" t="str">
        <f>IF(DADOS!F6546="","",DADOS!F6546)</f>
        <v/>
      </c>
      <c r="K6546" s="6" t="str">
        <f t="shared" si="515"/>
        <v/>
      </c>
      <c r="L6546" s="7" t="str">
        <f t="shared" si="516"/>
        <v/>
      </c>
      <c r="M6546" s="7" t="str">
        <f t="shared" si="513"/>
        <v/>
      </c>
      <c r="N6546" s="7" t="str">
        <f t="shared" si="517"/>
        <v/>
      </c>
      <c r="O6546" s="8"/>
      <c r="P6546" s="26"/>
      <c r="S6546" s="10" t="str">
        <f t="shared" si="514"/>
        <v/>
      </c>
    </row>
    <row r="6547" spans="5:19" x14ac:dyDescent="0.3">
      <c r="E6547" s="9" t="str">
        <f>IF(DADOS!C6547="","",DADOS!C6547)</f>
        <v/>
      </c>
      <c r="F6547" s="9" t="str">
        <f>IF(DADOS!E6547="","",DADOS!E6547)</f>
        <v/>
      </c>
      <c r="G6547" s="9" t="str">
        <f>IF(DADOS!F6547="","",DADOS!F6547)</f>
        <v/>
      </c>
      <c r="K6547" s="6" t="str">
        <f t="shared" si="515"/>
        <v/>
      </c>
      <c r="L6547" s="7" t="str">
        <f t="shared" si="516"/>
        <v/>
      </c>
      <c r="M6547" s="7" t="str">
        <f t="shared" si="513"/>
        <v/>
      </c>
      <c r="N6547" s="7" t="str">
        <f t="shared" si="517"/>
        <v/>
      </c>
      <c r="O6547" s="8"/>
      <c r="P6547" s="26"/>
      <c r="S6547" s="10" t="str">
        <f t="shared" si="514"/>
        <v/>
      </c>
    </row>
    <row r="6548" spans="5:19" x14ac:dyDescent="0.3">
      <c r="E6548" s="9" t="str">
        <f>IF(DADOS!C6548="","",DADOS!C6548)</f>
        <v/>
      </c>
      <c r="F6548" s="9" t="str">
        <f>IF(DADOS!E6548="","",DADOS!E6548)</f>
        <v/>
      </c>
      <c r="G6548" s="9" t="str">
        <f>IF(DADOS!F6548="","",DADOS!F6548)</f>
        <v/>
      </c>
      <c r="K6548" s="6" t="str">
        <f t="shared" si="515"/>
        <v/>
      </c>
      <c r="L6548" s="7" t="str">
        <f t="shared" si="516"/>
        <v/>
      </c>
      <c r="M6548" s="7" t="str">
        <f t="shared" si="513"/>
        <v/>
      </c>
      <c r="N6548" s="7" t="str">
        <f t="shared" si="517"/>
        <v/>
      </c>
      <c r="O6548" s="8"/>
      <c r="P6548" s="26"/>
      <c r="S6548" s="10" t="str">
        <f t="shared" si="514"/>
        <v/>
      </c>
    </row>
    <row r="6549" spans="5:19" x14ac:dyDescent="0.3">
      <c r="E6549" s="9" t="str">
        <f>IF(DADOS!C6549="","",DADOS!C6549)</f>
        <v/>
      </c>
      <c r="F6549" s="9" t="str">
        <f>IF(DADOS!E6549="","",DADOS!E6549)</f>
        <v/>
      </c>
      <c r="G6549" s="9" t="str">
        <f>IF(DADOS!F6549="","",DADOS!F6549)</f>
        <v/>
      </c>
      <c r="K6549" s="6" t="str">
        <f t="shared" si="515"/>
        <v/>
      </c>
      <c r="L6549" s="7" t="str">
        <f t="shared" si="516"/>
        <v/>
      </c>
      <c r="M6549" s="7" t="str">
        <f t="shared" si="513"/>
        <v/>
      </c>
      <c r="N6549" s="7" t="str">
        <f t="shared" si="517"/>
        <v/>
      </c>
      <c r="O6549" s="8"/>
      <c r="P6549" s="26"/>
      <c r="S6549" s="10" t="str">
        <f t="shared" si="514"/>
        <v/>
      </c>
    </row>
    <row r="6550" spans="5:19" x14ac:dyDescent="0.3">
      <c r="E6550" s="9" t="str">
        <f>IF(DADOS!C6550="","",DADOS!C6550)</f>
        <v/>
      </c>
      <c r="F6550" s="9" t="str">
        <f>IF(DADOS!E6550="","",DADOS!E6550)</f>
        <v/>
      </c>
      <c r="G6550" s="9" t="str">
        <f>IF(DADOS!F6550="","",DADOS!F6550)</f>
        <v/>
      </c>
      <c r="K6550" s="6" t="str">
        <f t="shared" si="515"/>
        <v/>
      </c>
      <c r="L6550" s="7" t="str">
        <f t="shared" si="516"/>
        <v/>
      </c>
      <c r="M6550" s="7" t="str">
        <f t="shared" si="513"/>
        <v/>
      </c>
      <c r="N6550" s="7" t="str">
        <f t="shared" si="517"/>
        <v/>
      </c>
      <c r="O6550" s="8"/>
      <c r="P6550" s="26"/>
      <c r="S6550" s="10" t="str">
        <f t="shared" si="514"/>
        <v/>
      </c>
    </row>
    <row r="6551" spans="5:19" x14ac:dyDescent="0.3">
      <c r="E6551" s="9" t="str">
        <f>IF(DADOS!C6551="","",DADOS!C6551)</f>
        <v/>
      </c>
      <c r="F6551" s="9" t="str">
        <f>IF(DADOS!E6551="","",DADOS!E6551)</f>
        <v/>
      </c>
      <c r="G6551" s="9" t="str">
        <f>IF(DADOS!F6551="","",DADOS!F6551)</f>
        <v/>
      </c>
      <c r="K6551" s="6" t="str">
        <f t="shared" si="515"/>
        <v/>
      </c>
      <c r="L6551" s="7" t="str">
        <f t="shared" si="516"/>
        <v/>
      </c>
      <c r="M6551" s="7" t="str">
        <f t="shared" si="513"/>
        <v/>
      </c>
      <c r="N6551" s="7" t="str">
        <f t="shared" si="517"/>
        <v/>
      </c>
      <c r="O6551" s="8"/>
      <c r="P6551" s="26"/>
      <c r="S6551" s="10" t="str">
        <f t="shared" si="514"/>
        <v/>
      </c>
    </row>
    <row r="6552" spans="5:19" x14ac:dyDescent="0.3">
      <c r="E6552" s="9" t="str">
        <f>IF(DADOS!C6552="","",DADOS!C6552)</f>
        <v/>
      </c>
      <c r="F6552" s="9" t="str">
        <f>IF(DADOS!E6552="","",DADOS!E6552)</f>
        <v/>
      </c>
      <c r="G6552" s="9" t="str">
        <f>IF(DADOS!F6552="","",DADOS!F6552)</f>
        <v/>
      </c>
      <c r="K6552" s="6" t="str">
        <f t="shared" si="515"/>
        <v/>
      </c>
      <c r="L6552" s="7" t="str">
        <f t="shared" si="516"/>
        <v/>
      </c>
      <c r="M6552" s="7" t="str">
        <f t="shared" si="513"/>
        <v/>
      </c>
      <c r="N6552" s="7" t="str">
        <f t="shared" si="517"/>
        <v/>
      </c>
      <c r="O6552" s="8"/>
      <c r="P6552" s="26"/>
      <c r="S6552" s="10" t="str">
        <f t="shared" si="514"/>
        <v/>
      </c>
    </row>
    <row r="6553" spans="5:19" x14ac:dyDescent="0.3">
      <c r="E6553" s="9" t="str">
        <f>IF(DADOS!C6553="","",DADOS!C6553)</f>
        <v/>
      </c>
      <c r="F6553" s="9" t="str">
        <f>IF(DADOS!E6553="","",DADOS!E6553)</f>
        <v/>
      </c>
      <c r="G6553" s="9" t="str">
        <f>IF(DADOS!F6553="","",DADOS!F6553)</f>
        <v/>
      </c>
      <c r="K6553" s="6" t="str">
        <f t="shared" si="515"/>
        <v/>
      </c>
      <c r="L6553" s="7" t="str">
        <f t="shared" si="516"/>
        <v/>
      </c>
      <c r="M6553" s="7" t="str">
        <f t="shared" si="513"/>
        <v/>
      </c>
      <c r="N6553" s="7" t="str">
        <f t="shared" si="517"/>
        <v/>
      </c>
      <c r="O6553" s="8"/>
      <c r="P6553" s="26"/>
      <c r="S6553" s="10" t="str">
        <f t="shared" si="514"/>
        <v/>
      </c>
    </row>
    <row r="6554" spans="5:19" x14ac:dyDescent="0.3">
      <c r="E6554" s="9" t="str">
        <f>IF(DADOS!C6554="","",DADOS!C6554)</f>
        <v/>
      </c>
      <c r="F6554" s="9" t="str">
        <f>IF(DADOS!E6554="","",DADOS!E6554)</f>
        <v/>
      </c>
      <c r="G6554" s="9" t="str">
        <f>IF(DADOS!F6554="","",DADOS!F6554)</f>
        <v/>
      </c>
      <c r="K6554" s="6" t="str">
        <f t="shared" si="515"/>
        <v/>
      </c>
      <c r="L6554" s="7" t="str">
        <f t="shared" si="516"/>
        <v/>
      </c>
      <c r="M6554" s="7" t="str">
        <f t="shared" si="513"/>
        <v/>
      </c>
      <c r="N6554" s="7" t="str">
        <f t="shared" si="517"/>
        <v/>
      </c>
      <c r="O6554" s="8"/>
      <c r="P6554" s="26"/>
      <c r="S6554" s="10" t="str">
        <f t="shared" si="514"/>
        <v/>
      </c>
    </row>
    <row r="6555" spans="5:19" x14ac:dyDescent="0.3">
      <c r="E6555" s="9" t="str">
        <f>IF(DADOS!C6555="","",DADOS!C6555)</f>
        <v/>
      </c>
      <c r="F6555" s="9" t="str">
        <f>IF(DADOS!E6555="","",DADOS!E6555)</f>
        <v/>
      </c>
      <c r="G6555" s="9" t="str">
        <f>IF(DADOS!F6555="","",DADOS!F6555)</f>
        <v/>
      </c>
      <c r="K6555" s="6" t="str">
        <f t="shared" si="515"/>
        <v/>
      </c>
      <c r="L6555" s="7" t="str">
        <f t="shared" si="516"/>
        <v/>
      </c>
      <c r="M6555" s="7" t="str">
        <f t="shared" si="513"/>
        <v/>
      </c>
      <c r="N6555" s="7" t="str">
        <f t="shared" si="517"/>
        <v/>
      </c>
      <c r="O6555" s="8"/>
      <c r="P6555" s="26"/>
      <c r="S6555" s="10" t="str">
        <f t="shared" si="514"/>
        <v/>
      </c>
    </row>
    <row r="6556" spans="5:19" x14ac:dyDescent="0.3">
      <c r="E6556" s="9" t="str">
        <f>IF(DADOS!C6556="","",DADOS!C6556)</f>
        <v/>
      </c>
      <c r="F6556" s="9" t="str">
        <f>IF(DADOS!E6556="","",DADOS!E6556)</f>
        <v/>
      </c>
      <c r="G6556" s="9" t="str">
        <f>IF(DADOS!F6556="","",DADOS!F6556)</f>
        <v/>
      </c>
      <c r="K6556" s="6" t="str">
        <f t="shared" si="515"/>
        <v/>
      </c>
      <c r="L6556" s="7" t="str">
        <f t="shared" si="516"/>
        <v/>
      </c>
      <c r="M6556" s="7" t="str">
        <f t="shared" si="513"/>
        <v/>
      </c>
      <c r="N6556" s="7" t="str">
        <f t="shared" si="517"/>
        <v/>
      </c>
      <c r="O6556" s="8"/>
      <c r="P6556" s="26"/>
      <c r="S6556" s="10" t="str">
        <f t="shared" si="514"/>
        <v/>
      </c>
    </row>
    <row r="6557" spans="5:19" x14ac:dyDescent="0.3">
      <c r="E6557" s="9" t="str">
        <f>IF(DADOS!C6557="","",DADOS!C6557)</f>
        <v/>
      </c>
      <c r="F6557" s="9" t="str">
        <f>IF(DADOS!E6557="","",DADOS!E6557)</f>
        <v/>
      </c>
      <c r="G6557" s="9" t="str">
        <f>IF(DADOS!F6557="","",DADOS!F6557)</f>
        <v/>
      </c>
      <c r="K6557" s="6" t="str">
        <f t="shared" si="515"/>
        <v/>
      </c>
      <c r="L6557" s="7" t="str">
        <f t="shared" si="516"/>
        <v/>
      </c>
      <c r="M6557" s="7" t="str">
        <f t="shared" si="513"/>
        <v/>
      </c>
      <c r="N6557" s="7" t="str">
        <f t="shared" si="517"/>
        <v/>
      </c>
      <c r="O6557" s="8"/>
      <c r="P6557" s="26"/>
      <c r="S6557" s="10" t="str">
        <f t="shared" si="514"/>
        <v/>
      </c>
    </row>
    <row r="6558" spans="5:19" x14ac:dyDescent="0.3">
      <c r="E6558" s="9" t="str">
        <f>IF(DADOS!C6558="","",DADOS!C6558)</f>
        <v/>
      </c>
      <c r="F6558" s="9" t="str">
        <f>IF(DADOS!E6558="","",DADOS!E6558)</f>
        <v/>
      </c>
      <c r="G6558" s="9" t="str">
        <f>IF(DADOS!F6558="","",DADOS!F6558)</f>
        <v/>
      </c>
      <c r="K6558" s="6" t="str">
        <f t="shared" si="515"/>
        <v/>
      </c>
      <c r="L6558" s="7" t="str">
        <f t="shared" si="516"/>
        <v/>
      </c>
      <c r="M6558" s="7" t="str">
        <f t="shared" si="513"/>
        <v/>
      </c>
      <c r="N6558" s="7" t="str">
        <f t="shared" si="517"/>
        <v/>
      </c>
      <c r="O6558" s="8"/>
      <c r="P6558" s="26"/>
      <c r="S6558" s="10" t="str">
        <f t="shared" si="514"/>
        <v/>
      </c>
    </row>
    <row r="6559" spans="5:19" x14ac:dyDescent="0.3">
      <c r="E6559" s="9" t="str">
        <f>IF(DADOS!C6559="","",DADOS!C6559)</f>
        <v/>
      </c>
      <c r="F6559" s="9" t="str">
        <f>IF(DADOS!E6559="","",DADOS!E6559)</f>
        <v/>
      </c>
      <c r="G6559" s="9" t="str">
        <f>IF(DADOS!F6559="","",DADOS!F6559)</f>
        <v/>
      </c>
      <c r="K6559" s="6" t="str">
        <f t="shared" si="515"/>
        <v/>
      </c>
      <c r="L6559" s="7" t="str">
        <f t="shared" si="516"/>
        <v/>
      </c>
      <c r="M6559" s="7" t="str">
        <f t="shared" si="513"/>
        <v/>
      </c>
      <c r="N6559" s="7" t="str">
        <f t="shared" si="517"/>
        <v/>
      </c>
      <c r="O6559" s="8"/>
      <c r="P6559" s="26"/>
      <c r="S6559" s="10" t="str">
        <f t="shared" si="514"/>
        <v/>
      </c>
    </row>
    <row r="6560" spans="5:19" x14ac:dyDescent="0.3">
      <c r="E6560" s="9" t="str">
        <f>IF(DADOS!C6560="","",DADOS!C6560)</f>
        <v/>
      </c>
      <c r="F6560" s="9" t="str">
        <f>IF(DADOS!E6560="","",DADOS!E6560)</f>
        <v/>
      </c>
      <c r="G6560" s="9" t="str">
        <f>IF(DADOS!F6560="","",DADOS!F6560)</f>
        <v/>
      </c>
      <c r="K6560" s="6" t="str">
        <f t="shared" si="515"/>
        <v/>
      </c>
      <c r="L6560" s="7" t="str">
        <f t="shared" si="516"/>
        <v/>
      </c>
      <c r="M6560" s="7" t="str">
        <f t="shared" si="513"/>
        <v/>
      </c>
      <c r="N6560" s="7" t="str">
        <f t="shared" si="517"/>
        <v/>
      </c>
      <c r="O6560" s="8"/>
      <c r="P6560" s="26"/>
      <c r="S6560" s="10" t="str">
        <f t="shared" si="514"/>
        <v/>
      </c>
    </row>
    <row r="6561" spans="5:19" x14ac:dyDescent="0.3">
      <c r="E6561" s="9" t="str">
        <f>IF(DADOS!C6561="","",DADOS!C6561)</f>
        <v/>
      </c>
      <c r="F6561" s="9" t="str">
        <f>IF(DADOS!E6561="","",DADOS!E6561)</f>
        <v/>
      </c>
      <c r="G6561" s="9" t="str">
        <f>IF(DADOS!F6561="","",DADOS!F6561)</f>
        <v/>
      </c>
      <c r="K6561" s="6" t="str">
        <f t="shared" si="515"/>
        <v/>
      </c>
      <c r="L6561" s="7" t="str">
        <f t="shared" si="516"/>
        <v/>
      </c>
      <c r="M6561" s="7" t="str">
        <f t="shared" si="513"/>
        <v/>
      </c>
      <c r="N6561" s="7" t="str">
        <f t="shared" si="517"/>
        <v/>
      </c>
      <c r="O6561" s="8"/>
      <c r="P6561" s="26"/>
      <c r="S6561" s="10" t="str">
        <f t="shared" si="514"/>
        <v/>
      </c>
    </row>
    <row r="6562" spans="5:19" x14ac:dyDescent="0.3">
      <c r="E6562" s="9" t="str">
        <f>IF(DADOS!C6562="","",DADOS!C6562)</f>
        <v/>
      </c>
      <c r="F6562" s="9" t="str">
        <f>IF(DADOS!E6562="","",DADOS!E6562)</f>
        <v/>
      </c>
      <c r="G6562" s="9" t="str">
        <f>IF(DADOS!F6562="","",DADOS!F6562)</f>
        <v/>
      </c>
      <c r="K6562" s="6" t="str">
        <f t="shared" si="515"/>
        <v/>
      </c>
      <c r="L6562" s="7" t="str">
        <f t="shared" si="516"/>
        <v/>
      </c>
      <c r="M6562" s="7" t="str">
        <f t="shared" si="513"/>
        <v/>
      </c>
      <c r="N6562" s="7" t="str">
        <f t="shared" si="517"/>
        <v/>
      </c>
      <c r="O6562" s="8"/>
      <c r="P6562" s="26"/>
      <c r="S6562" s="10" t="str">
        <f t="shared" si="514"/>
        <v/>
      </c>
    </row>
    <row r="6563" spans="5:19" x14ac:dyDescent="0.3">
      <c r="E6563" s="9" t="str">
        <f>IF(DADOS!C6563="","",DADOS!C6563)</f>
        <v/>
      </c>
      <c r="F6563" s="9" t="str">
        <f>IF(DADOS!E6563="","",DADOS!E6563)</f>
        <v/>
      </c>
      <c r="G6563" s="9" t="str">
        <f>IF(DADOS!F6563="","",DADOS!F6563)</f>
        <v/>
      </c>
      <c r="K6563" s="6" t="str">
        <f t="shared" si="515"/>
        <v/>
      </c>
      <c r="L6563" s="7" t="str">
        <f t="shared" si="516"/>
        <v/>
      </c>
      <c r="M6563" s="7" t="str">
        <f t="shared" si="513"/>
        <v/>
      </c>
      <c r="N6563" s="7" t="str">
        <f t="shared" si="517"/>
        <v/>
      </c>
      <c r="O6563" s="8"/>
      <c r="P6563" s="26"/>
      <c r="S6563" s="10" t="str">
        <f t="shared" si="514"/>
        <v/>
      </c>
    </row>
    <row r="6564" spans="5:19" x14ac:dyDescent="0.3">
      <c r="E6564" s="9" t="str">
        <f>IF(DADOS!C6564="","",DADOS!C6564)</f>
        <v/>
      </c>
      <c r="F6564" s="9" t="str">
        <f>IF(DADOS!E6564="","",DADOS!E6564)</f>
        <v/>
      </c>
      <c r="G6564" s="9" t="str">
        <f>IF(DADOS!F6564="","",DADOS!F6564)</f>
        <v/>
      </c>
      <c r="K6564" s="6" t="str">
        <f t="shared" si="515"/>
        <v/>
      </c>
      <c r="L6564" s="7" t="str">
        <f t="shared" si="516"/>
        <v/>
      </c>
      <c r="M6564" s="7" t="str">
        <f t="shared" si="513"/>
        <v/>
      </c>
      <c r="N6564" s="7" t="str">
        <f t="shared" si="517"/>
        <v/>
      </c>
      <c r="O6564" s="8"/>
      <c r="P6564" s="26"/>
      <c r="S6564" s="10" t="str">
        <f t="shared" si="514"/>
        <v/>
      </c>
    </row>
    <row r="6565" spans="5:19" x14ac:dyDescent="0.3">
      <c r="E6565" s="9" t="str">
        <f>IF(DADOS!C6565="","",DADOS!C6565)</f>
        <v/>
      </c>
      <c r="F6565" s="9" t="str">
        <f>IF(DADOS!E6565="","",DADOS!E6565)</f>
        <v/>
      </c>
      <c r="G6565" s="9" t="str">
        <f>IF(DADOS!F6565="","",DADOS!F6565)</f>
        <v/>
      </c>
      <c r="K6565" s="6" t="str">
        <f t="shared" si="515"/>
        <v/>
      </c>
      <c r="L6565" s="7" t="str">
        <f t="shared" si="516"/>
        <v/>
      </c>
      <c r="M6565" s="7" t="str">
        <f t="shared" si="513"/>
        <v/>
      </c>
      <c r="N6565" s="7" t="str">
        <f t="shared" si="517"/>
        <v/>
      </c>
      <c r="O6565" s="8"/>
      <c r="P6565" s="26"/>
      <c r="S6565" s="10" t="str">
        <f t="shared" si="514"/>
        <v/>
      </c>
    </row>
    <row r="6566" spans="5:19" x14ac:dyDescent="0.3">
      <c r="E6566" s="9" t="str">
        <f>IF(DADOS!C6566="","",DADOS!C6566)</f>
        <v/>
      </c>
      <c r="F6566" s="9" t="str">
        <f>IF(DADOS!E6566="","",DADOS!E6566)</f>
        <v/>
      </c>
      <c r="G6566" s="9" t="str">
        <f>IF(DADOS!F6566="","",DADOS!F6566)</f>
        <v/>
      </c>
      <c r="K6566" s="6" t="str">
        <f t="shared" si="515"/>
        <v/>
      </c>
      <c r="L6566" s="7" t="str">
        <f t="shared" si="516"/>
        <v/>
      </c>
      <c r="M6566" s="7" t="str">
        <f t="shared" si="513"/>
        <v/>
      </c>
      <c r="N6566" s="7" t="str">
        <f t="shared" si="517"/>
        <v/>
      </c>
      <c r="O6566" s="8"/>
      <c r="P6566" s="26"/>
      <c r="S6566" s="10" t="str">
        <f t="shared" si="514"/>
        <v/>
      </c>
    </row>
    <row r="6567" spans="5:19" x14ac:dyDescent="0.3">
      <c r="E6567" s="9" t="str">
        <f>IF(DADOS!C6567="","",DADOS!C6567)</f>
        <v/>
      </c>
      <c r="F6567" s="9" t="str">
        <f>IF(DADOS!E6567="","",DADOS!E6567)</f>
        <v/>
      </c>
      <c r="G6567" s="9" t="str">
        <f>IF(DADOS!F6567="","",DADOS!F6567)</f>
        <v/>
      </c>
      <c r="K6567" s="6" t="str">
        <f t="shared" si="515"/>
        <v/>
      </c>
      <c r="L6567" s="7" t="str">
        <f t="shared" si="516"/>
        <v/>
      </c>
      <c r="M6567" s="7" t="str">
        <f t="shared" si="513"/>
        <v/>
      </c>
      <c r="N6567" s="7" t="str">
        <f t="shared" si="517"/>
        <v/>
      </c>
      <c r="O6567" s="8"/>
      <c r="P6567" s="26"/>
      <c r="S6567" s="10" t="str">
        <f t="shared" si="514"/>
        <v/>
      </c>
    </row>
    <row r="6568" spans="5:19" x14ac:dyDescent="0.3">
      <c r="E6568" s="9" t="str">
        <f>IF(DADOS!C6568="","",DADOS!C6568)</f>
        <v/>
      </c>
      <c r="F6568" s="9" t="str">
        <f>IF(DADOS!E6568="","",DADOS!E6568)</f>
        <v/>
      </c>
      <c r="G6568" s="9" t="str">
        <f>IF(DADOS!F6568="","",DADOS!F6568)</f>
        <v/>
      </c>
      <c r="K6568" s="6" t="str">
        <f t="shared" si="515"/>
        <v/>
      </c>
      <c r="L6568" s="7" t="str">
        <f t="shared" si="516"/>
        <v/>
      </c>
      <c r="M6568" s="7" t="str">
        <f t="shared" si="513"/>
        <v/>
      </c>
      <c r="N6568" s="7" t="str">
        <f t="shared" si="517"/>
        <v/>
      </c>
      <c r="O6568" s="8"/>
      <c r="P6568" s="26"/>
      <c r="S6568" s="10" t="str">
        <f t="shared" si="514"/>
        <v/>
      </c>
    </row>
    <row r="6569" spans="5:19" x14ac:dyDescent="0.3">
      <c r="E6569" s="9" t="str">
        <f>IF(DADOS!C6569="","",DADOS!C6569)</f>
        <v/>
      </c>
      <c r="F6569" s="9" t="str">
        <f>IF(DADOS!E6569="","",DADOS!E6569)</f>
        <v/>
      </c>
      <c r="G6569" s="9" t="str">
        <f>IF(DADOS!F6569="","",DADOS!F6569)</f>
        <v/>
      </c>
      <c r="K6569" s="6" t="str">
        <f t="shared" si="515"/>
        <v/>
      </c>
      <c r="L6569" s="7" t="str">
        <f t="shared" si="516"/>
        <v/>
      </c>
      <c r="M6569" s="7" t="str">
        <f t="shared" si="513"/>
        <v/>
      </c>
      <c r="N6569" s="7" t="str">
        <f t="shared" si="517"/>
        <v/>
      </c>
      <c r="O6569" s="8"/>
      <c r="P6569" s="26"/>
      <c r="S6569" s="10" t="str">
        <f t="shared" si="514"/>
        <v/>
      </c>
    </row>
    <row r="6570" spans="5:19" x14ac:dyDescent="0.3">
      <c r="E6570" s="9" t="str">
        <f>IF(DADOS!C6570="","",DADOS!C6570)</f>
        <v/>
      </c>
      <c r="F6570" s="9" t="str">
        <f>IF(DADOS!E6570="","",DADOS!E6570)</f>
        <v/>
      </c>
      <c r="G6570" s="9" t="str">
        <f>IF(DADOS!F6570="","",DADOS!F6570)</f>
        <v/>
      </c>
      <c r="K6570" s="6" t="str">
        <f t="shared" si="515"/>
        <v/>
      </c>
      <c r="L6570" s="7" t="str">
        <f t="shared" si="516"/>
        <v/>
      </c>
      <c r="M6570" s="7" t="str">
        <f t="shared" si="513"/>
        <v/>
      </c>
      <c r="N6570" s="7" t="str">
        <f t="shared" si="517"/>
        <v/>
      </c>
      <c r="O6570" s="8"/>
      <c r="P6570" s="26"/>
      <c r="S6570" s="10" t="str">
        <f t="shared" si="514"/>
        <v/>
      </c>
    </row>
    <row r="6571" spans="5:19" x14ac:dyDescent="0.3">
      <c r="E6571" s="9" t="str">
        <f>IF(DADOS!C6571="","",DADOS!C6571)</f>
        <v/>
      </c>
      <c r="F6571" s="9" t="str">
        <f>IF(DADOS!E6571="","",DADOS!E6571)</f>
        <v/>
      </c>
      <c r="G6571" s="9" t="str">
        <f>IF(DADOS!F6571="","",DADOS!F6571)</f>
        <v/>
      </c>
      <c r="K6571" s="6" t="str">
        <f t="shared" si="515"/>
        <v/>
      </c>
      <c r="L6571" s="7" t="str">
        <f t="shared" si="516"/>
        <v/>
      </c>
      <c r="M6571" s="7" t="str">
        <f t="shared" si="513"/>
        <v/>
      </c>
      <c r="N6571" s="7" t="str">
        <f t="shared" si="517"/>
        <v/>
      </c>
      <c r="O6571" s="8"/>
      <c r="P6571" s="26"/>
      <c r="S6571" s="10" t="str">
        <f t="shared" si="514"/>
        <v/>
      </c>
    </row>
    <row r="6572" spans="5:19" x14ac:dyDescent="0.3">
      <c r="E6572" s="9" t="str">
        <f>IF(DADOS!C6572="","",DADOS!C6572)</f>
        <v/>
      </c>
      <c r="F6572" s="9" t="str">
        <f>IF(DADOS!E6572="","",DADOS!E6572)</f>
        <v/>
      </c>
      <c r="G6572" s="9" t="str">
        <f>IF(DADOS!F6572="","",DADOS!F6572)</f>
        <v/>
      </c>
      <c r="K6572" s="6" t="str">
        <f t="shared" si="515"/>
        <v/>
      </c>
      <c r="L6572" s="7" t="str">
        <f t="shared" si="516"/>
        <v/>
      </c>
      <c r="M6572" s="7" t="str">
        <f t="shared" si="513"/>
        <v/>
      </c>
      <c r="N6572" s="7" t="str">
        <f t="shared" si="517"/>
        <v/>
      </c>
      <c r="O6572" s="8"/>
      <c r="P6572" s="26"/>
      <c r="S6572" s="10" t="str">
        <f t="shared" si="514"/>
        <v/>
      </c>
    </row>
    <row r="6573" spans="5:19" x14ac:dyDescent="0.3">
      <c r="E6573" s="9" t="str">
        <f>IF(DADOS!C6573="","",DADOS!C6573)</f>
        <v/>
      </c>
      <c r="F6573" s="9" t="str">
        <f>IF(DADOS!E6573="","",DADOS!E6573)</f>
        <v/>
      </c>
      <c r="G6573" s="9" t="str">
        <f>IF(DADOS!F6573="","",DADOS!F6573)</f>
        <v/>
      </c>
      <c r="K6573" s="6" t="str">
        <f t="shared" si="515"/>
        <v/>
      </c>
      <c r="L6573" s="7" t="str">
        <f t="shared" si="516"/>
        <v/>
      </c>
      <c r="M6573" s="7" t="str">
        <f t="shared" si="513"/>
        <v/>
      </c>
      <c r="N6573" s="7" t="str">
        <f t="shared" si="517"/>
        <v/>
      </c>
      <c r="O6573" s="8"/>
      <c r="P6573" s="26"/>
      <c r="S6573" s="10" t="str">
        <f t="shared" si="514"/>
        <v/>
      </c>
    </row>
    <row r="6574" spans="5:19" x14ac:dyDescent="0.3">
      <c r="E6574" s="9" t="str">
        <f>IF(DADOS!C6574="","",DADOS!C6574)</f>
        <v/>
      </c>
      <c r="F6574" s="9" t="str">
        <f>IF(DADOS!E6574="","",DADOS!E6574)</f>
        <v/>
      </c>
      <c r="G6574" s="9" t="str">
        <f>IF(DADOS!F6574="","",DADOS!F6574)</f>
        <v/>
      </c>
      <c r="K6574" s="6" t="str">
        <f t="shared" si="515"/>
        <v/>
      </c>
      <c r="L6574" s="7" t="str">
        <f t="shared" si="516"/>
        <v/>
      </c>
      <c r="M6574" s="7" t="str">
        <f t="shared" si="513"/>
        <v/>
      </c>
      <c r="N6574" s="7" t="str">
        <f t="shared" si="517"/>
        <v/>
      </c>
      <c r="O6574" s="8"/>
      <c r="P6574" s="26"/>
      <c r="S6574" s="10" t="str">
        <f t="shared" si="514"/>
        <v/>
      </c>
    </row>
    <row r="6575" spans="5:19" x14ac:dyDescent="0.3">
      <c r="E6575" s="9" t="str">
        <f>IF(DADOS!C6575="","",DADOS!C6575)</f>
        <v/>
      </c>
      <c r="F6575" s="9" t="str">
        <f>IF(DADOS!E6575="","",DADOS!E6575)</f>
        <v/>
      </c>
      <c r="G6575" s="9" t="str">
        <f>IF(DADOS!F6575="","",DADOS!F6575)</f>
        <v/>
      </c>
      <c r="K6575" s="6" t="str">
        <f t="shared" si="515"/>
        <v/>
      </c>
      <c r="L6575" s="7" t="str">
        <f t="shared" si="516"/>
        <v/>
      </c>
      <c r="M6575" s="7" t="str">
        <f t="shared" si="513"/>
        <v/>
      </c>
      <c r="N6575" s="7" t="str">
        <f t="shared" si="517"/>
        <v/>
      </c>
      <c r="O6575" s="8"/>
      <c r="P6575" s="26"/>
      <c r="S6575" s="10" t="str">
        <f t="shared" si="514"/>
        <v/>
      </c>
    </row>
    <row r="6576" spans="5:19" x14ac:dyDescent="0.3">
      <c r="E6576" s="9" t="str">
        <f>IF(DADOS!C6576="","",DADOS!C6576)</f>
        <v/>
      </c>
      <c r="F6576" s="9" t="str">
        <f>IF(DADOS!E6576="","",DADOS!E6576)</f>
        <v/>
      </c>
      <c r="G6576" s="9" t="str">
        <f>IF(DADOS!F6576="","",DADOS!F6576)</f>
        <v/>
      </c>
      <c r="K6576" s="6" t="str">
        <f t="shared" si="515"/>
        <v/>
      </c>
      <c r="L6576" s="7" t="str">
        <f t="shared" si="516"/>
        <v/>
      </c>
      <c r="M6576" s="7" t="str">
        <f t="shared" si="513"/>
        <v/>
      </c>
      <c r="N6576" s="7" t="str">
        <f t="shared" si="517"/>
        <v/>
      </c>
      <c r="O6576" s="8"/>
      <c r="P6576" s="26"/>
      <c r="S6576" s="10" t="str">
        <f t="shared" si="514"/>
        <v/>
      </c>
    </row>
    <row r="6577" spans="5:19" x14ac:dyDescent="0.3">
      <c r="E6577" s="9" t="str">
        <f>IF(DADOS!C6577="","",DADOS!C6577)</f>
        <v/>
      </c>
      <c r="F6577" s="9" t="str">
        <f>IF(DADOS!E6577="","",DADOS!E6577)</f>
        <v/>
      </c>
      <c r="G6577" s="9" t="str">
        <f>IF(DADOS!F6577="","",DADOS!F6577)</f>
        <v/>
      </c>
      <c r="K6577" s="6" t="str">
        <f t="shared" si="515"/>
        <v/>
      </c>
      <c r="L6577" s="7" t="str">
        <f t="shared" si="516"/>
        <v/>
      </c>
      <c r="M6577" s="7" t="str">
        <f t="shared" si="513"/>
        <v/>
      </c>
      <c r="N6577" s="7" t="str">
        <f t="shared" si="517"/>
        <v/>
      </c>
      <c r="O6577" s="8"/>
      <c r="P6577" s="26"/>
      <c r="S6577" s="10" t="str">
        <f t="shared" si="514"/>
        <v/>
      </c>
    </row>
    <row r="6578" spans="5:19" x14ac:dyDescent="0.3">
      <c r="E6578" s="9" t="str">
        <f>IF(DADOS!C6578="","",DADOS!C6578)</f>
        <v/>
      </c>
      <c r="F6578" s="9" t="str">
        <f>IF(DADOS!E6578="","",DADOS!E6578)</f>
        <v/>
      </c>
      <c r="G6578" s="9" t="str">
        <f>IF(DADOS!F6578="","",DADOS!F6578)</f>
        <v/>
      </c>
      <c r="K6578" s="6" t="str">
        <f t="shared" si="515"/>
        <v/>
      </c>
      <c r="L6578" s="7" t="str">
        <f t="shared" si="516"/>
        <v/>
      </c>
      <c r="M6578" s="7" t="str">
        <f t="shared" si="513"/>
        <v/>
      </c>
      <c r="N6578" s="7" t="str">
        <f t="shared" si="517"/>
        <v/>
      </c>
      <c r="O6578" s="8"/>
      <c r="P6578" s="26"/>
      <c r="S6578" s="10" t="str">
        <f t="shared" si="514"/>
        <v/>
      </c>
    </row>
    <row r="6579" spans="5:19" x14ac:dyDescent="0.3">
      <c r="E6579" s="9" t="str">
        <f>IF(DADOS!C6579="","",DADOS!C6579)</f>
        <v/>
      </c>
      <c r="F6579" s="9" t="str">
        <f>IF(DADOS!E6579="","",DADOS!E6579)</f>
        <v/>
      </c>
      <c r="G6579" s="9" t="str">
        <f>IF(DADOS!F6579="","",DADOS!F6579)</f>
        <v/>
      </c>
      <c r="K6579" s="6" t="str">
        <f t="shared" si="515"/>
        <v/>
      </c>
      <c r="L6579" s="7" t="str">
        <f t="shared" si="516"/>
        <v/>
      </c>
      <c r="M6579" s="7" t="str">
        <f t="shared" si="513"/>
        <v/>
      </c>
      <c r="N6579" s="7" t="str">
        <f t="shared" si="517"/>
        <v/>
      </c>
      <c r="O6579" s="8"/>
      <c r="P6579" s="26"/>
      <c r="S6579" s="10" t="str">
        <f t="shared" si="514"/>
        <v/>
      </c>
    </row>
    <row r="6580" spans="5:19" x14ac:dyDescent="0.3">
      <c r="E6580" s="9" t="str">
        <f>IF(DADOS!C6580="","",DADOS!C6580)</f>
        <v/>
      </c>
      <c r="F6580" s="9" t="str">
        <f>IF(DADOS!E6580="","",DADOS!E6580)</f>
        <v/>
      </c>
      <c r="G6580" s="9" t="str">
        <f>IF(DADOS!F6580="","",DADOS!F6580)</f>
        <v/>
      </c>
      <c r="K6580" s="6" t="str">
        <f t="shared" si="515"/>
        <v/>
      </c>
      <c r="L6580" s="7" t="str">
        <f t="shared" si="516"/>
        <v/>
      </c>
      <c r="M6580" s="7" t="str">
        <f t="shared" si="513"/>
        <v/>
      </c>
      <c r="N6580" s="7" t="str">
        <f t="shared" si="517"/>
        <v/>
      </c>
      <c r="O6580" s="8"/>
      <c r="P6580" s="26"/>
      <c r="S6580" s="10" t="str">
        <f t="shared" si="514"/>
        <v/>
      </c>
    </row>
    <row r="6581" spans="5:19" x14ac:dyDescent="0.3">
      <c r="E6581" s="9" t="str">
        <f>IF(DADOS!C6581="","",DADOS!C6581)</f>
        <v/>
      </c>
      <c r="F6581" s="9" t="str">
        <f>IF(DADOS!E6581="","",DADOS!E6581)</f>
        <v/>
      </c>
      <c r="G6581" s="9" t="str">
        <f>IF(DADOS!F6581="","",DADOS!F6581)</f>
        <v/>
      </c>
      <c r="K6581" s="6" t="str">
        <f t="shared" si="515"/>
        <v/>
      </c>
      <c r="L6581" s="7" t="str">
        <f t="shared" si="516"/>
        <v/>
      </c>
      <c r="M6581" s="7" t="str">
        <f t="shared" si="513"/>
        <v/>
      </c>
      <c r="N6581" s="7" t="str">
        <f t="shared" si="517"/>
        <v/>
      </c>
      <c r="O6581" s="8"/>
      <c r="P6581" s="26"/>
      <c r="S6581" s="10" t="str">
        <f t="shared" si="514"/>
        <v/>
      </c>
    </row>
    <row r="6582" spans="5:19" x14ac:dyDescent="0.3">
      <c r="E6582" s="9" t="str">
        <f>IF(DADOS!C6582="","",DADOS!C6582)</f>
        <v/>
      </c>
      <c r="F6582" s="9" t="str">
        <f>IF(DADOS!E6582="","",DADOS!E6582)</f>
        <v/>
      </c>
      <c r="G6582" s="9" t="str">
        <f>IF(DADOS!F6582="","",DADOS!F6582)</f>
        <v/>
      </c>
      <c r="K6582" s="6" t="str">
        <f t="shared" si="515"/>
        <v/>
      </c>
      <c r="L6582" s="7" t="str">
        <f t="shared" si="516"/>
        <v/>
      </c>
      <c r="M6582" s="7" t="str">
        <f t="shared" si="513"/>
        <v/>
      </c>
      <c r="N6582" s="7" t="str">
        <f t="shared" si="517"/>
        <v/>
      </c>
      <c r="O6582" s="8"/>
      <c r="P6582" s="26"/>
      <c r="S6582" s="10" t="str">
        <f t="shared" si="514"/>
        <v/>
      </c>
    </row>
    <row r="6583" spans="5:19" x14ac:dyDescent="0.3">
      <c r="E6583" s="9" t="str">
        <f>IF(DADOS!C6583="","",DADOS!C6583)</f>
        <v/>
      </c>
      <c r="F6583" s="9" t="str">
        <f>IF(DADOS!E6583="","",DADOS!E6583)</f>
        <v/>
      </c>
      <c r="G6583" s="9" t="str">
        <f>IF(DADOS!F6583="","",DADOS!F6583)</f>
        <v/>
      </c>
      <c r="K6583" s="6" t="str">
        <f t="shared" si="515"/>
        <v/>
      </c>
      <c r="L6583" s="7" t="str">
        <f t="shared" si="516"/>
        <v/>
      </c>
      <c r="M6583" s="7" t="str">
        <f t="shared" si="513"/>
        <v/>
      </c>
      <c r="N6583" s="7" t="str">
        <f t="shared" si="517"/>
        <v/>
      </c>
      <c r="O6583" s="8"/>
      <c r="P6583" s="26"/>
      <c r="S6583" s="10" t="str">
        <f t="shared" si="514"/>
        <v/>
      </c>
    </row>
    <row r="6584" spans="5:19" x14ac:dyDescent="0.3">
      <c r="E6584" s="9" t="str">
        <f>IF(DADOS!C6584="","",DADOS!C6584)</f>
        <v/>
      </c>
      <c r="F6584" s="9" t="str">
        <f>IF(DADOS!E6584="","",DADOS!E6584)</f>
        <v/>
      </c>
      <c r="G6584" s="9" t="str">
        <f>IF(DADOS!F6584="","",DADOS!F6584)</f>
        <v/>
      </c>
      <c r="K6584" s="6" t="str">
        <f t="shared" si="515"/>
        <v/>
      </c>
      <c r="L6584" s="7" t="str">
        <f t="shared" si="516"/>
        <v/>
      </c>
      <c r="M6584" s="7" t="str">
        <f t="shared" si="513"/>
        <v/>
      </c>
      <c r="N6584" s="7" t="str">
        <f t="shared" si="517"/>
        <v/>
      </c>
      <c r="O6584" s="8"/>
      <c r="P6584" s="26"/>
      <c r="S6584" s="10" t="str">
        <f t="shared" si="514"/>
        <v/>
      </c>
    </row>
    <row r="6585" spans="5:19" x14ac:dyDescent="0.3">
      <c r="E6585" s="9" t="str">
        <f>IF(DADOS!C6585="","",DADOS!C6585)</f>
        <v/>
      </c>
      <c r="F6585" s="9" t="str">
        <f>IF(DADOS!E6585="","",DADOS!E6585)</f>
        <v/>
      </c>
      <c r="G6585" s="9" t="str">
        <f>IF(DADOS!F6585="","",DADOS!F6585)</f>
        <v/>
      </c>
      <c r="K6585" s="6" t="str">
        <f t="shared" si="515"/>
        <v/>
      </c>
      <c r="L6585" s="7" t="str">
        <f t="shared" si="516"/>
        <v/>
      </c>
      <c r="M6585" s="7" t="str">
        <f t="shared" si="513"/>
        <v/>
      </c>
      <c r="N6585" s="7" t="str">
        <f t="shared" si="517"/>
        <v/>
      </c>
      <c r="O6585" s="8"/>
      <c r="P6585" s="26"/>
      <c r="S6585" s="10" t="str">
        <f t="shared" si="514"/>
        <v/>
      </c>
    </row>
    <row r="6586" spans="5:19" x14ac:dyDescent="0.3">
      <c r="E6586" s="9" t="str">
        <f>IF(DADOS!C6586="","",DADOS!C6586)</f>
        <v/>
      </c>
      <c r="F6586" s="9" t="str">
        <f>IF(DADOS!E6586="","",DADOS!E6586)</f>
        <v/>
      </c>
      <c r="G6586" s="9" t="str">
        <f>IF(DADOS!F6586="","",DADOS!F6586)</f>
        <v/>
      </c>
      <c r="K6586" s="6" t="str">
        <f t="shared" si="515"/>
        <v/>
      </c>
      <c r="L6586" s="7" t="str">
        <f t="shared" si="516"/>
        <v/>
      </c>
      <c r="M6586" s="7" t="str">
        <f t="shared" si="513"/>
        <v/>
      </c>
      <c r="N6586" s="7" t="str">
        <f t="shared" si="517"/>
        <v/>
      </c>
      <c r="O6586" s="8"/>
      <c r="P6586" s="26"/>
      <c r="S6586" s="10" t="str">
        <f t="shared" si="514"/>
        <v/>
      </c>
    </row>
    <row r="6587" spans="5:19" x14ac:dyDescent="0.3">
      <c r="E6587" s="9" t="str">
        <f>IF(DADOS!C6587="","",DADOS!C6587)</f>
        <v/>
      </c>
      <c r="F6587" s="9" t="str">
        <f>IF(DADOS!E6587="","",DADOS!E6587)</f>
        <v/>
      </c>
      <c r="G6587" s="9" t="str">
        <f>IF(DADOS!F6587="","",DADOS!F6587)</f>
        <v/>
      </c>
      <c r="K6587" s="6" t="str">
        <f t="shared" si="515"/>
        <v/>
      </c>
      <c r="L6587" s="7" t="str">
        <f t="shared" si="516"/>
        <v/>
      </c>
      <c r="M6587" s="7" t="str">
        <f t="shared" si="513"/>
        <v/>
      </c>
      <c r="N6587" s="7" t="str">
        <f t="shared" si="517"/>
        <v/>
      </c>
      <c r="O6587" s="8"/>
      <c r="P6587" s="26"/>
      <c r="S6587" s="10" t="str">
        <f t="shared" si="514"/>
        <v/>
      </c>
    </row>
    <row r="6588" spans="5:19" x14ac:dyDescent="0.3">
      <c r="E6588" s="9" t="str">
        <f>IF(DADOS!C6588="","",DADOS!C6588)</f>
        <v/>
      </c>
      <c r="F6588" s="9" t="str">
        <f>IF(DADOS!E6588="","",DADOS!E6588)</f>
        <v/>
      </c>
      <c r="G6588" s="9" t="str">
        <f>IF(DADOS!F6588="","",DADOS!F6588)</f>
        <v/>
      </c>
      <c r="K6588" s="6" t="str">
        <f t="shared" si="515"/>
        <v/>
      </c>
      <c r="L6588" s="7" t="str">
        <f t="shared" si="516"/>
        <v/>
      </c>
      <c r="M6588" s="7" t="str">
        <f t="shared" si="513"/>
        <v/>
      </c>
      <c r="N6588" s="7" t="str">
        <f t="shared" si="517"/>
        <v/>
      </c>
      <c r="O6588" s="8"/>
      <c r="P6588" s="26"/>
      <c r="S6588" s="10" t="str">
        <f t="shared" si="514"/>
        <v/>
      </c>
    </row>
    <row r="6589" spans="5:19" x14ac:dyDescent="0.3">
      <c r="E6589" s="9" t="str">
        <f>IF(DADOS!C6589="","",DADOS!C6589)</f>
        <v/>
      </c>
      <c r="F6589" s="9" t="str">
        <f>IF(DADOS!E6589="","",DADOS!E6589)</f>
        <v/>
      </c>
      <c r="G6589" s="9" t="str">
        <f>IF(DADOS!F6589="","",DADOS!F6589)</f>
        <v/>
      </c>
      <c r="K6589" s="6" t="str">
        <f t="shared" si="515"/>
        <v/>
      </c>
      <c r="L6589" s="7" t="str">
        <f t="shared" si="516"/>
        <v/>
      </c>
      <c r="M6589" s="7" t="str">
        <f t="shared" si="513"/>
        <v/>
      </c>
      <c r="N6589" s="7" t="str">
        <f t="shared" si="517"/>
        <v/>
      </c>
      <c r="O6589" s="8"/>
      <c r="P6589" s="26"/>
      <c r="S6589" s="10" t="str">
        <f t="shared" si="514"/>
        <v/>
      </c>
    </row>
    <row r="6590" spans="5:19" x14ac:dyDescent="0.3">
      <c r="E6590" s="9" t="str">
        <f>IF(DADOS!C6590="","",DADOS!C6590)</f>
        <v/>
      </c>
      <c r="F6590" s="9" t="str">
        <f>IF(DADOS!E6590="","",DADOS!E6590)</f>
        <v/>
      </c>
      <c r="G6590" s="9" t="str">
        <f>IF(DADOS!F6590="","",DADOS!F6590)</f>
        <v/>
      </c>
      <c r="K6590" s="6" t="str">
        <f t="shared" si="515"/>
        <v/>
      </c>
      <c r="L6590" s="7" t="str">
        <f t="shared" si="516"/>
        <v/>
      </c>
      <c r="M6590" s="7" t="str">
        <f t="shared" si="513"/>
        <v/>
      </c>
      <c r="N6590" s="7" t="str">
        <f t="shared" si="517"/>
        <v/>
      </c>
      <c r="O6590" s="8"/>
      <c r="P6590" s="26"/>
      <c r="S6590" s="10" t="str">
        <f t="shared" si="514"/>
        <v/>
      </c>
    </row>
    <row r="6591" spans="5:19" x14ac:dyDescent="0.3">
      <c r="E6591" s="9" t="str">
        <f>IF(DADOS!C6591="","",DADOS!C6591)</f>
        <v/>
      </c>
      <c r="F6591" s="9" t="str">
        <f>IF(DADOS!E6591="","",DADOS!E6591)</f>
        <v/>
      </c>
      <c r="G6591" s="9" t="str">
        <f>IF(DADOS!F6591="","",DADOS!F6591)</f>
        <v/>
      </c>
      <c r="K6591" s="6" t="str">
        <f t="shared" si="515"/>
        <v/>
      </c>
      <c r="L6591" s="7" t="str">
        <f t="shared" si="516"/>
        <v/>
      </c>
      <c r="M6591" s="7" t="str">
        <f t="shared" si="513"/>
        <v/>
      </c>
      <c r="N6591" s="7" t="str">
        <f t="shared" si="517"/>
        <v/>
      </c>
      <c r="O6591" s="8"/>
      <c r="P6591" s="26"/>
      <c r="S6591" s="10" t="str">
        <f t="shared" si="514"/>
        <v/>
      </c>
    </row>
    <row r="6592" spans="5:19" x14ac:dyDescent="0.3">
      <c r="E6592" s="9" t="str">
        <f>IF(DADOS!C6592="","",DADOS!C6592)</f>
        <v/>
      </c>
      <c r="F6592" s="9" t="str">
        <f>IF(DADOS!E6592="","",DADOS!E6592)</f>
        <v/>
      </c>
      <c r="G6592" s="9" t="str">
        <f>IF(DADOS!F6592="","",DADOS!F6592)</f>
        <v/>
      </c>
      <c r="K6592" s="6" t="str">
        <f t="shared" si="515"/>
        <v/>
      </c>
      <c r="L6592" s="7" t="str">
        <f t="shared" si="516"/>
        <v/>
      </c>
      <c r="M6592" s="7" t="str">
        <f t="shared" si="513"/>
        <v/>
      </c>
      <c r="N6592" s="7" t="str">
        <f t="shared" si="517"/>
        <v/>
      </c>
      <c r="O6592" s="8"/>
      <c r="P6592" s="26"/>
      <c r="S6592" s="10" t="str">
        <f t="shared" si="514"/>
        <v/>
      </c>
    </row>
    <row r="6593" spans="5:19" x14ac:dyDescent="0.3">
      <c r="E6593" s="9" t="str">
        <f>IF(DADOS!C6593="","",DADOS!C6593)</f>
        <v/>
      </c>
      <c r="F6593" s="9" t="str">
        <f>IF(DADOS!E6593="","",DADOS!E6593)</f>
        <v/>
      </c>
      <c r="G6593" s="9" t="str">
        <f>IF(DADOS!F6593="","",DADOS!F6593)</f>
        <v/>
      </c>
      <c r="K6593" s="6" t="str">
        <f t="shared" si="515"/>
        <v/>
      </c>
      <c r="L6593" s="7" t="str">
        <f t="shared" si="516"/>
        <v/>
      </c>
      <c r="M6593" s="7" t="str">
        <f t="shared" si="513"/>
        <v/>
      </c>
      <c r="N6593" s="7" t="str">
        <f t="shared" si="517"/>
        <v/>
      </c>
      <c r="O6593" s="8"/>
      <c r="P6593" s="26"/>
      <c r="S6593" s="10" t="str">
        <f t="shared" si="514"/>
        <v/>
      </c>
    </row>
    <row r="6594" spans="5:19" x14ac:dyDescent="0.3">
      <c r="E6594" s="9" t="str">
        <f>IF(DADOS!C6594="","",DADOS!C6594)</f>
        <v/>
      </c>
      <c r="F6594" s="9" t="str">
        <f>IF(DADOS!E6594="","",DADOS!E6594)</f>
        <v/>
      </c>
      <c r="G6594" s="9" t="str">
        <f>IF(DADOS!F6594="","",DADOS!F6594)</f>
        <v/>
      </c>
      <c r="K6594" s="6" t="str">
        <f t="shared" si="515"/>
        <v/>
      </c>
      <c r="L6594" s="7" t="str">
        <f t="shared" si="516"/>
        <v/>
      </c>
      <c r="M6594" s="7" t="str">
        <f t="shared" si="513"/>
        <v/>
      </c>
      <c r="N6594" s="7" t="str">
        <f t="shared" si="517"/>
        <v/>
      </c>
      <c r="O6594" s="8"/>
      <c r="P6594" s="26"/>
      <c r="S6594" s="10" t="str">
        <f t="shared" si="514"/>
        <v/>
      </c>
    </row>
    <row r="6595" spans="5:19" x14ac:dyDescent="0.3">
      <c r="E6595" s="9" t="str">
        <f>IF(DADOS!C6595="","",DADOS!C6595)</f>
        <v/>
      </c>
      <c r="F6595" s="9" t="str">
        <f>IF(DADOS!E6595="","",DADOS!E6595)</f>
        <v/>
      </c>
      <c r="G6595" s="9" t="str">
        <f>IF(DADOS!F6595="","",DADOS!F6595)</f>
        <v/>
      </c>
      <c r="K6595" s="6" t="str">
        <f t="shared" si="515"/>
        <v/>
      </c>
      <c r="L6595" s="7" t="str">
        <f t="shared" si="516"/>
        <v/>
      </c>
      <c r="M6595" s="7" t="str">
        <f t="shared" ref="M6595:M6658" si="518">IF(L6595="","",L6595*G6595)</f>
        <v/>
      </c>
      <c r="N6595" s="7" t="str">
        <f t="shared" si="517"/>
        <v/>
      </c>
      <c r="O6595" s="8"/>
      <c r="P6595" s="26"/>
      <c r="S6595" s="10" t="str">
        <f t="shared" ref="S6595:S6658" si="519">IF(R6595="","",SUMIFS($N$3:$N$10000,$E$3:$E$10000,R6595))</f>
        <v/>
      </c>
    </row>
    <row r="6596" spans="5:19" x14ac:dyDescent="0.3">
      <c r="E6596" s="9" t="str">
        <f>IF(DADOS!C6596="","",DADOS!C6596)</f>
        <v/>
      </c>
      <c r="F6596" s="9" t="str">
        <f>IF(DADOS!E6596="","",DADOS!E6596)</f>
        <v/>
      </c>
      <c r="G6596" s="9" t="str">
        <f>IF(DADOS!F6596="","",DADOS!F6596)</f>
        <v/>
      </c>
      <c r="K6596" s="6" t="str">
        <f t="shared" ref="K6596:K6659" si="520">IF(F6596="","",F6596/PI())</f>
        <v/>
      </c>
      <c r="L6596" s="7" t="str">
        <f t="shared" ref="L6596:L6659" si="521">IF(K6596="","",(PI()*K6596^2)/40000)</f>
        <v/>
      </c>
      <c r="M6596" s="7" t="str">
        <f t="shared" si="518"/>
        <v/>
      </c>
      <c r="N6596" s="7" t="str">
        <f t="shared" ref="N6596:N6659" si="522">IF(M6596="","",M6596*N$1)</f>
        <v/>
      </c>
      <c r="O6596" s="8"/>
      <c r="P6596" s="26"/>
      <c r="S6596" s="10" t="str">
        <f t="shared" si="519"/>
        <v/>
      </c>
    </row>
    <row r="6597" spans="5:19" x14ac:dyDescent="0.3">
      <c r="E6597" s="9" t="str">
        <f>IF(DADOS!C6597="","",DADOS!C6597)</f>
        <v/>
      </c>
      <c r="F6597" s="9" t="str">
        <f>IF(DADOS!E6597="","",DADOS!E6597)</f>
        <v/>
      </c>
      <c r="G6597" s="9" t="str">
        <f>IF(DADOS!F6597="","",DADOS!F6597)</f>
        <v/>
      </c>
      <c r="K6597" s="6" t="str">
        <f t="shared" si="520"/>
        <v/>
      </c>
      <c r="L6597" s="7" t="str">
        <f t="shared" si="521"/>
        <v/>
      </c>
      <c r="M6597" s="7" t="str">
        <f t="shared" si="518"/>
        <v/>
      </c>
      <c r="N6597" s="7" t="str">
        <f t="shared" si="522"/>
        <v/>
      </c>
      <c r="O6597" s="8"/>
      <c r="P6597" s="26"/>
      <c r="S6597" s="10" t="str">
        <f t="shared" si="519"/>
        <v/>
      </c>
    </row>
    <row r="6598" spans="5:19" x14ac:dyDescent="0.3">
      <c r="E6598" s="9" t="str">
        <f>IF(DADOS!C6598="","",DADOS!C6598)</f>
        <v/>
      </c>
      <c r="F6598" s="9" t="str">
        <f>IF(DADOS!E6598="","",DADOS!E6598)</f>
        <v/>
      </c>
      <c r="G6598" s="9" t="str">
        <f>IF(DADOS!F6598="","",DADOS!F6598)</f>
        <v/>
      </c>
      <c r="K6598" s="6" t="str">
        <f t="shared" si="520"/>
        <v/>
      </c>
      <c r="L6598" s="7" t="str">
        <f t="shared" si="521"/>
        <v/>
      </c>
      <c r="M6598" s="7" t="str">
        <f t="shared" si="518"/>
        <v/>
      </c>
      <c r="N6598" s="7" t="str">
        <f t="shared" si="522"/>
        <v/>
      </c>
      <c r="O6598" s="8"/>
      <c r="P6598" s="26"/>
      <c r="S6598" s="10" t="str">
        <f t="shared" si="519"/>
        <v/>
      </c>
    </row>
    <row r="6599" spans="5:19" x14ac:dyDescent="0.3">
      <c r="E6599" s="9" t="str">
        <f>IF(DADOS!C6599="","",DADOS!C6599)</f>
        <v/>
      </c>
      <c r="F6599" s="9" t="str">
        <f>IF(DADOS!E6599="","",DADOS!E6599)</f>
        <v/>
      </c>
      <c r="G6599" s="9" t="str">
        <f>IF(DADOS!F6599="","",DADOS!F6599)</f>
        <v/>
      </c>
      <c r="K6599" s="6" t="str">
        <f t="shared" si="520"/>
        <v/>
      </c>
      <c r="L6599" s="7" t="str">
        <f t="shared" si="521"/>
        <v/>
      </c>
      <c r="M6599" s="7" t="str">
        <f t="shared" si="518"/>
        <v/>
      </c>
      <c r="N6599" s="7" t="str">
        <f t="shared" si="522"/>
        <v/>
      </c>
      <c r="O6599" s="8"/>
      <c r="P6599" s="26"/>
      <c r="S6599" s="10" t="str">
        <f t="shared" si="519"/>
        <v/>
      </c>
    </row>
    <row r="6600" spans="5:19" x14ac:dyDescent="0.3">
      <c r="E6600" s="9" t="str">
        <f>IF(DADOS!C6600="","",DADOS!C6600)</f>
        <v/>
      </c>
      <c r="F6600" s="9" t="str">
        <f>IF(DADOS!E6600="","",DADOS!E6600)</f>
        <v/>
      </c>
      <c r="G6600" s="9" t="str">
        <f>IF(DADOS!F6600="","",DADOS!F6600)</f>
        <v/>
      </c>
      <c r="K6600" s="6" t="str">
        <f t="shared" si="520"/>
        <v/>
      </c>
      <c r="L6600" s="7" t="str">
        <f t="shared" si="521"/>
        <v/>
      </c>
      <c r="M6600" s="7" t="str">
        <f t="shared" si="518"/>
        <v/>
      </c>
      <c r="N6600" s="7" t="str">
        <f t="shared" si="522"/>
        <v/>
      </c>
      <c r="O6600" s="8"/>
      <c r="P6600" s="26"/>
      <c r="S6600" s="10" t="str">
        <f t="shared" si="519"/>
        <v/>
      </c>
    </row>
    <row r="6601" spans="5:19" x14ac:dyDescent="0.3">
      <c r="E6601" s="9" t="str">
        <f>IF(DADOS!C6601="","",DADOS!C6601)</f>
        <v/>
      </c>
      <c r="F6601" s="9" t="str">
        <f>IF(DADOS!E6601="","",DADOS!E6601)</f>
        <v/>
      </c>
      <c r="G6601" s="9" t="str">
        <f>IF(DADOS!F6601="","",DADOS!F6601)</f>
        <v/>
      </c>
      <c r="K6601" s="6" t="str">
        <f t="shared" si="520"/>
        <v/>
      </c>
      <c r="L6601" s="7" t="str">
        <f t="shared" si="521"/>
        <v/>
      </c>
      <c r="M6601" s="7" t="str">
        <f t="shared" si="518"/>
        <v/>
      </c>
      <c r="N6601" s="7" t="str">
        <f t="shared" si="522"/>
        <v/>
      </c>
      <c r="O6601" s="8"/>
      <c r="P6601" s="26"/>
      <c r="S6601" s="10" t="str">
        <f t="shared" si="519"/>
        <v/>
      </c>
    </row>
    <row r="6602" spans="5:19" x14ac:dyDescent="0.3">
      <c r="E6602" s="9" t="str">
        <f>IF(DADOS!C6602="","",DADOS!C6602)</f>
        <v/>
      </c>
      <c r="F6602" s="9" t="str">
        <f>IF(DADOS!E6602="","",DADOS!E6602)</f>
        <v/>
      </c>
      <c r="G6602" s="9" t="str">
        <f>IF(DADOS!F6602="","",DADOS!F6602)</f>
        <v/>
      </c>
      <c r="K6602" s="6" t="str">
        <f t="shared" si="520"/>
        <v/>
      </c>
      <c r="L6602" s="7" t="str">
        <f t="shared" si="521"/>
        <v/>
      </c>
      <c r="M6602" s="7" t="str">
        <f t="shared" si="518"/>
        <v/>
      </c>
      <c r="N6602" s="7" t="str">
        <f t="shared" si="522"/>
        <v/>
      </c>
      <c r="O6602" s="8"/>
      <c r="P6602" s="26"/>
      <c r="S6602" s="10" t="str">
        <f t="shared" si="519"/>
        <v/>
      </c>
    </row>
    <row r="6603" spans="5:19" x14ac:dyDescent="0.3">
      <c r="E6603" s="9" t="str">
        <f>IF(DADOS!C6603="","",DADOS!C6603)</f>
        <v/>
      </c>
      <c r="F6603" s="9" t="str">
        <f>IF(DADOS!E6603="","",DADOS!E6603)</f>
        <v/>
      </c>
      <c r="G6603" s="9" t="str">
        <f>IF(DADOS!F6603="","",DADOS!F6603)</f>
        <v/>
      </c>
      <c r="K6603" s="6" t="str">
        <f t="shared" si="520"/>
        <v/>
      </c>
      <c r="L6603" s="7" t="str">
        <f t="shared" si="521"/>
        <v/>
      </c>
      <c r="M6603" s="7" t="str">
        <f t="shared" si="518"/>
        <v/>
      </c>
      <c r="N6603" s="7" t="str">
        <f t="shared" si="522"/>
        <v/>
      </c>
      <c r="O6603" s="8"/>
      <c r="P6603" s="26"/>
      <c r="S6603" s="10" t="str">
        <f t="shared" si="519"/>
        <v/>
      </c>
    </row>
    <row r="6604" spans="5:19" x14ac:dyDescent="0.3">
      <c r="E6604" s="9" t="str">
        <f>IF(DADOS!C6604="","",DADOS!C6604)</f>
        <v/>
      </c>
      <c r="F6604" s="9" t="str">
        <f>IF(DADOS!E6604="","",DADOS!E6604)</f>
        <v/>
      </c>
      <c r="G6604" s="9" t="str">
        <f>IF(DADOS!F6604="","",DADOS!F6604)</f>
        <v/>
      </c>
      <c r="K6604" s="6" t="str">
        <f t="shared" si="520"/>
        <v/>
      </c>
      <c r="L6604" s="7" t="str">
        <f t="shared" si="521"/>
        <v/>
      </c>
      <c r="M6604" s="7" t="str">
        <f t="shared" si="518"/>
        <v/>
      </c>
      <c r="N6604" s="7" t="str">
        <f t="shared" si="522"/>
        <v/>
      </c>
      <c r="O6604" s="8"/>
      <c r="P6604" s="26"/>
      <c r="S6604" s="10" t="str">
        <f t="shared" si="519"/>
        <v/>
      </c>
    </row>
    <row r="6605" spans="5:19" x14ac:dyDescent="0.3">
      <c r="E6605" s="9" t="str">
        <f>IF(DADOS!C6605="","",DADOS!C6605)</f>
        <v/>
      </c>
      <c r="F6605" s="9" t="str">
        <f>IF(DADOS!E6605="","",DADOS!E6605)</f>
        <v/>
      </c>
      <c r="G6605" s="9" t="str">
        <f>IF(DADOS!F6605="","",DADOS!F6605)</f>
        <v/>
      </c>
      <c r="K6605" s="6" t="str">
        <f t="shared" si="520"/>
        <v/>
      </c>
      <c r="L6605" s="7" t="str">
        <f t="shared" si="521"/>
        <v/>
      </c>
      <c r="M6605" s="7" t="str">
        <f t="shared" si="518"/>
        <v/>
      </c>
      <c r="N6605" s="7" t="str">
        <f t="shared" si="522"/>
        <v/>
      </c>
      <c r="O6605" s="8"/>
      <c r="P6605" s="26"/>
      <c r="S6605" s="10" t="str">
        <f t="shared" si="519"/>
        <v/>
      </c>
    </row>
    <row r="6606" spans="5:19" x14ac:dyDescent="0.3">
      <c r="E6606" s="9" t="str">
        <f>IF(DADOS!C6606="","",DADOS!C6606)</f>
        <v/>
      </c>
      <c r="F6606" s="9" t="str">
        <f>IF(DADOS!E6606="","",DADOS!E6606)</f>
        <v/>
      </c>
      <c r="G6606" s="9" t="str">
        <f>IF(DADOS!F6606="","",DADOS!F6606)</f>
        <v/>
      </c>
      <c r="K6606" s="6" t="str">
        <f t="shared" si="520"/>
        <v/>
      </c>
      <c r="L6606" s="7" t="str">
        <f t="shared" si="521"/>
        <v/>
      </c>
      <c r="M6606" s="7" t="str">
        <f t="shared" si="518"/>
        <v/>
      </c>
      <c r="N6606" s="7" t="str">
        <f t="shared" si="522"/>
        <v/>
      </c>
      <c r="O6606" s="8"/>
      <c r="P6606" s="26"/>
      <c r="S6606" s="10" t="str">
        <f t="shared" si="519"/>
        <v/>
      </c>
    </row>
    <row r="6607" spans="5:19" x14ac:dyDescent="0.3">
      <c r="E6607" s="9" t="str">
        <f>IF(DADOS!C6607="","",DADOS!C6607)</f>
        <v/>
      </c>
      <c r="F6607" s="9" t="str">
        <f>IF(DADOS!E6607="","",DADOS!E6607)</f>
        <v/>
      </c>
      <c r="G6607" s="9" t="str">
        <f>IF(DADOS!F6607="","",DADOS!F6607)</f>
        <v/>
      </c>
      <c r="K6607" s="6" t="str">
        <f t="shared" si="520"/>
        <v/>
      </c>
      <c r="L6607" s="7" t="str">
        <f t="shared" si="521"/>
        <v/>
      </c>
      <c r="M6607" s="7" t="str">
        <f t="shared" si="518"/>
        <v/>
      </c>
      <c r="N6607" s="7" t="str">
        <f t="shared" si="522"/>
        <v/>
      </c>
      <c r="O6607" s="8"/>
      <c r="P6607" s="26"/>
      <c r="S6607" s="10" t="str">
        <f t="shared" si="519"/>
        <v/>
      </c>
    </row>
    <row r="6608" spans="5:19" x14ac:dyDescent="0.3">
      <c r="E6608" s="9" t="str">
        <f>IF(DADOS!C6608="","",DADOS!C6608)</f>
        <v/>
      </c>
      <c r="F6608" s="9" t="str">
        <f>IF(DADOS!E6608="","",DADOS!E6608)</f>
        <v/>
      </c>
      <c r="G6608" s="9" t="str">
        <f>IF(DADOS!F6608="","",DADOS!F6608)</f>
        <v/>
      </c>
      <c r="K6608" s="6" t="str">
        <f t="shared" si="520"/>
        <v/>
      </c>
      <c r="L6608" s="7" t="str">
        <f t="shared" si="521"/>
        <v/>
      </c>
      <c r="M6608" s="7" t="str">
        <f t="shared" si="518"/>
        <v/>
      </c>
      <c r="N6608" s="7" t="str">
        <f t="shared" si="522"/>
        <v/>
      </c>
      <c r="O6608" s="8"/>
      <c r="P6608" s="26"/>
      <c r="S6608" s="10" t="str">
        <f t="shared" si="519"/>
        <v/>
      </c>
    </row>
    <row r="6609" spans="5:19" x14ac:dyDescent="0.3">
      <c r="E6609" s="9" t="str">
        <f>IF(DADOS!C6609="","",DADOS!C6609)</f>
        <v/>
      </c>
      <c r="F6609" s="9" t="str">
        <f>IF(DADOS!E6609="","",DADOS!E6609)</f>
        <v/>
      </c>
      <c r="G6609" s="9" t="str">
        <f>IF(DADOS!F6609="","",DADOS!F6609)</f>
        <v/>
      </c>
      <c r="K6609" s="6" t="str">
        <f t="shared" si="520"/>
        <v/>
      </c>
      <c r="L6609" s="7" t="str">
        <f t="shared" si="521"/>
        <v/>
      </c>
      <c r="M6609" s="7" t="str">
        <f t="shared" si="518"/>
        <v/>
      </c>
      <c r="N6609" s="7" t="str">
        <f t="shared" si="522"/>
        <v/>
      </c>
      <c r="O6609" s="8"/>
      <c r="P6609" s="26"/>
      <c r="S6609" s="10" t="str">
        <f t="shared" si="519"/>
        <v/>
      </c>
    </row>
    <row r="6610" spans="5:19" x14ac:dyDescent="0.3">
      <c r="E6610" s="9" t="str">
        <f>IF(DADOS!C6610="","",DADOS!C6610)</f>
        <v/>
      </c>
      <c r="F6610" s="9" t="str">
        <f>IF(DADOS!E6610="","",DADOS!E6610)</f>
        <v/>
      </c>
      <c r="G6610" s="9" t="str">
        <f>IF(DADOS!F6610="","",DADOS!F6610)</f>
        <v/>
      </c>
      <c r="K6610" s="6" t="str">
        <f t="shared" si="520"/>
        <v/>
      </c>
      <c r="L6610" s="7" t="str">
        <f t="shared" si="521"/>
        <v/>
      </c>
      <c r="M6610" s="7" t="str">
        <f t="shared" si="518"/>
        <v/>
      </c>
      <c r="N6610" s="7" t="str">
        <f t="shared" si="522"/>
        <v/>
      </c>
      <c r="O6610" s="8"/>
      <c r="P6610" s="26"/>
      <c r="S6610" s="10" t="str">
        <f t="shared" si="519"/>
        <v/>
      </c>
    </row>
    <row r="6611" spans="5:19" x14ac:dyDescent="0.3">
      <c r="E6611" s="9" t="str">
        <f>IF(DADOS!C6611="","",DADOS!C6611)</f>
        <v/>
      </c>
      <c r="F6611" s="9" t="str">
        <f>IF(DADOS!E6611="","",DADOS!E6611)</f>
        <v/>
      </c>
      <c r="G6611" s="9" t="str">
        <f>IF(DADOS!F6611="","",DADOS!F6611)</f>
        <v/>
      </c>
      <c r="K6611" s="6" t="str">
        <f t="shared" si="520"/>
        <v/>
      </c>
      <c r="L6611" s="7" t="str">
        <f t="shared" si="521"/>
        <v/>
      </c>
      <c r="M6611" s="7" t="str">
        <f t="shared" si="518"/>
        <v/>
      </c>
      <c r="N6611" s="7" t="str">
        <f t="shared" si="522"/>
        <v/>
      </c>
      <c r="O6611" s="8"/>
      <c r="P6611" s="26"/>
      <c r="S6611" s="10" t="str">
        <f t="shared" si="519"/>
        <v/>
      </c>
    </row>
    <row r="6612" spans="5:19" x14ac:dyDescent="0.3">
      <c r="E6612" s="9" t="str">
        <f>IF(DADOS!C6612="","",DADOS!C6612)</f>
        <v/>
      </c>
      <c r="F6612" s="9" t="str">
        <f>IF(DADOS!E6612="","",DADOS!E6612)</f>
        <v/>
      </c>
      <c r="G6612" s="9" t="str">
        <f>IF(DADOS!F6612="","",DADOS!F6612)</f>
        <v/>
      </c>
      <c r="K6612" s="6" t="str">
        <f t="shared" si="520"/>
        <v/>
      </c>
      <c r="L6612" s="7" t="str">
        <f t="shared" si="521"/>
        <v/>
      </c>
      <c r="M6612" s="7" t="str">
        <f t="shared" si="518"/>
        <v/>
      </c>
      <c r="N6612" s="7" t="str">
        <f t="shared" si="522"/>
        <v/>
      </c>
      <c r="O6612" s="8"/>
      <c r="P6612" s="26"/>
      <c r="S6612" s="10" t="str">
        <f t="shared" si="519"/>
        <v/>
      </c>
    </row>
    <row r="6613" spans="5:19" x14ac:dyDescent="0.3">
      <c r="E6613" s="9" t="str">
        <f>IF(DADOS!C6613="","",DADOS!C6613)</f>
        <v/>
      </c>
      <c r="F6613" s="9" t="str">
        <f>IF(DADOS!E6613="","",DADOS!E6613)</f>
        <v/>
      </c>
      <c r="G6613" s="9" t="str">
        <f>IF(DADOS!F6613="","",DADOS!F6613)</f>
        <v/>
      </c>
      <c r="K6613" s="6" t="str">
        <f t="shared" si="520"/>
        <v/>
      </c>
      <c r="L6613" s="7" t="str">
        <f t="shared" si="521"/>
        <v/>
      </c>
      <c r="M6613" s="7" t="str">
        <f t="shared" si="518"/>
        <v/>
      </c>
      <c r="N6613" s="7" t="str">
        <f t="shared" si="522"/>
        <v/>
      </c>
      <c r="O6613" s="8"/>
      <c r="P6613" s="26"/>
      <c r="S6613" s="10" t="str">
        <f t="shared" si="519"/>
        <v/>
      </c>
    </row>
    <row r="6614" spans="5:19" x14ac:dyDescent="0.3">
      <c r="E6614" s="9" t="str">
        <f>IF(DADOS!C6614="","",DADOS!C6614)</f>
        <v/>
      </c>
      <c r="F6614" s="9" t="str">
        <f>IF(DADOS!E6614="","",DADOS!E6614)</f>
        <v/>
      </c>
      <c r="G6614" s="9" t="str">
        <f>IF(DADOS!F6614="","",DADOS!F6614)</f>
        <v/>
      </c>
      <c r="K6614" s="6" t="str">
        <f t="shared" si="520"/>
        <v/>
      </c>
      <c r="L6614" s="7" t="str">
        <f t="shared" si="521"/>
        <v/>
      </c>
      <c r="M6614" s="7" t="str">
        <f t="shared" si="518"/>
        <v/>
      </c>
      <c r="N6614" s="7" t="str">
        <f t="shared" si="522"/>
        <v/>
      </c>
      <c r="O6614" s="8"/>
      <c r="P6614" s="26"/>
      <c r="S6614" s="10" t="str">
        <f t="shared" si="519"/>
        <v/>
      </c>
    </row>
    <row r="6615" spans="5:19" x14ac:dyDescent="0.3">
      <c r="E6615" s="9" t="str">
        <f>IF(DADOS!C6615="","",DADOS!C6615)</f>
        <v/>
      </c>
      <c r="F6615" s="9" t="str">
        <f>IF(DADOS!E6615="","",DADOS!E6615)</f>
        <v/>
      </c>
      <c r="G6615" s="9" t="str">
        <f>IF(DADOS!F6615="","",DADOS!F6615)</f>
        <v/>
      </c>
      <c r="K6615" s="6" t="str">
        <f t="shared" si="520"/>
        <v/>
      </c>
      <c r="L6615" s="7" t="str">
        <f t="shared" si="521"/>
        <v/>
      </c>
      <c r="M6615" s="7" t="str">
        <f t="shared" si="518"/>
        <v/>
      </c>
      <c r="N6615" s="7" t="str">
        <f t="shared" si="522"/>
        <v/>
      </c>
      <c r="O6615" s="8"/>
      <c r="P6615" s="26"/>
      <c r="S6615" s="10" t="str">
        <f t="shared" si="519"/>
        <v/>
      </c>
    </row>
    <row r="6616" spans="5:19" x14ac:dyDescent="0.3">
      <c r="E6616" s="9" t="str">
        <f>IF(DADOS!C6616="","",DADOS!C6616)</f>
        <v/>
      </c>
      <c r="F6616" s="9" t="str">
        <f>IF(DADOS!E6616="","",DADOS!E6616)</f>
        <v/>
      </c>
      <c r="G6616" s="9" t="str">
        <f>IF(DADOS!F6616="","",DADOS!F6616)</f>
        <v/>
      </c>
      <c r="K6616" s="6" t="str">
        <f t="shared" si="520"/>
        <v/>
      </c>
      <c r="L6616" s="7" t="str">
        <f t="shared" si="521"/>
        <v/>
      </c>
      <c r="M6616" s="7" t="str">
        <f t="shared" si="518"/>
        <v/>
      </c>
      <c r="N6616" s="7" t="str">
        <f t="shared" si="522"/>
        <v/>
      </c>
      <c r="O6616" s="8"/>
      <c r="P6616" s="26"/>
      <c r="S6616" s="10" t="str">
        <f t="shared" si="519"/>
        <v/>
      </c>
    </row>
    <row r="6617" spans="5:19" x14ac:dyDescent="0.3">
      <c r="E6617" s="9" t="str">
        <f>IF(DADOS!C6617="","",DADOS!C6617)</f>
        <v/>
      </c>
      <c r="F6617" s="9" t="str">
        <f>IF(DADOS!E6617="","",DADOS!E6617)</f>
        <v/>
      </c>
      <c r="G6617" s="9" t="str">
        <f>IF(DADOS!F6617="","",DADOS!F6617)</f>
        <v/>
      </c>
      <c r="K6617" s="6" t="str">
        <f t="shared" si="520"/>
        <v/>
      </c>
      <c r="L6617" s="7" t="str">
        <f t="shared" si="521"/>
        <v/>
      </c>
      <c r="M6617" s="7" t="str">
        <f t="shared" si="518"/>
        <v/>
      </c>
      <c r="N6617" s="7" t="str">
        <f t="shared" si="522"/>
        <v/>
      </c>
      <c r="O6617" s="8"/>
      <c r="P6617" s="26"/>
      <c r="S6617" s="10" t="str">
        <f t="shared" si="519"/>
        <v/>
      </c>
    </row>
    <row r="6618" spans="5:19" x14ac:dyDescent="0.3">
      <c r="E6618" s="9" t="str">
        <f>IF(DADOS!C6618="","",DADOS!C6618)</f>
        <v/>
      </c>
      <c r="F6618" s="9" t="str">
        <f>IF(DADOS!E6618="","",DADOS!E6618)</f>
        <v/>
      </c>
      <c r="G6618" s="9" t="str">
        <f>IF(DADOS!F6618="","",DADOS!F6618)</f>
        <v/>
      </c>
      <c r="K6618" s="6" t="str">
        <f t="shared" si="520"/>
        <v/>
      </c>
      <c r="L6618" s="7" t="str">
        <f t="shared" si="521"/>
        <v/>
      </c>
      <c r="M6618" s="7" t="str">
        <f t="shared" si="518"/>
        <v/>
      </c>
      <c r="N6618" s="7" t="str">
        <f t="shared" si="522"/>
        <v/>
      </c>
      <c r="O6618" s="8"/>
      <c r="P6618" s="26"/>
      <c r="S6618" s="10" t="str">
        <f t="shared" si="519"/>
        <v/>
      </c>
    </row>
    <row r="6619" spans="5:19" x14ac:dyDescent="0.3">
      <c r="E6619" s="9" t="str">
        <f>IF(DADOS!C6619="","",DADOS!C6619)</f>
        <v/>
      </c>
      <c r="F6619" s="9" t="str">
        <f>IF(DADOS!E6619="","",DADOS!E6619)</f>
        <v/>
      </c>
      <c r="G6619" s="9" t="str">
        <f>IF(DADOS!F6619="","",DADOS!F6619)</f>
        <v/>
      </c>
      <c r="K6619" s="6" t="str">
        <f t="shared" si="520"/>
        <v/>
      </c>
      <c r="L6619" s="7" t="str">
        <f t="shared" si="521"/>
        <v/>
      </c>
      <c r="M6619" s="7" t="str">
        <f t="shared" si="518"/>
        <v/>
      </c>
      <c r="N6619" s="7" t="str">
        <f t="shared" si="522"/>
        <v/>
      </c>
      <c r="O6619" s="8"/>
      <c r="P6619" s="26"/>
      <c r="S6619" s="10" t="str">
        <f t="shared" si="519"/>
        <v/>
      </c>
    </row>
    <row r="6620" spans="5:19" x14ac:dyDescent="0.3">
      <c r="E6620" s="9" t="str">
        <f>IF(DADOS!C6620="","",DADOS!C6620)</f>
        <v/>
      </c>
      <c r="F6620" s="9" t="str">
        <f>IF(DADOS!E6620="","",DADOS!E6620)</f>
        <v/>
      </c>
      <c r="G6620" s="9" t="str">
        <f>IF(DADOS!F6620="","",DADOS!F6620)</f>
        <v/>
      </c>
      <c r="K6620" s="6" t="str">
        <f t="shared" si="520"/>
        <v/>
      </c>
      <c r="L6620" s="7" t="str">
        <f t="shared" si="521"/>
        <v/>
      </c>
      <c r="M6620" s="7" t="str">
        <f t="shared" si="518"/>
        <v/>
      </c>
      <c r="N6620" s="7" t="str">
        <f t="shared" si="522"/>
        <v/>
      </c>
      <c r="O6620" s="8"/>
      <c r="P6620" s="26"/>
      <c r="S6620" s="10" t="str">
        <f t="shared" si="519"/>
        <v/>
      </c>
    </row>
    <row r="6621" spans="5:19" x14ac:dyDescent="0.3">
      <c r="E6621" s="9" t="str">
        <f>IF(DADOS!C6621="","",DADOS!C6621)</f>
        <v/>
      </c>
      <c r="F6621" s="9" t="str">
        <f>IF(DADOS!E6621="","",DADOS!E6621)</f>
        <v/>
      </c>
      <c r="G6621" s="9" t="str">
        <f>IF(DADOS!F6621="","",DADOS!F6621)</f>
        <v/>
      </c>
      <c r="K6621" s="6" t="str">
        <f t="shared" si="520"/>
        <v/>
      </c>
      <c r="L6621" s="7" t="str">
        <f t="shared" si="521"/>
        <v/>
      </c>
      <c r="M6621" s="7" t="str">
        <f t="shared" si="518"/>
        <v/>
      </c>
      <c r="N6621" s="7" t="str">
        <f t="shared" si="522"/>
        <v/>
      </c>
      <c r="O6621" s="8"/>
      <c r="P6621" s="26"/>
      <c r="S6621" s="10" t="str">
        <f t="shared" si="519"/>
        <v/>
      </c>
    </row>
    <row r="6622" spans="5:19" x14ac:dyDescent="0.3">
      <c r="E6622" s="9" t="str">
        <f>IF(DADOS!C6622="","",DADOS!C6622)</f>
        <v/>
      </c>
      <c r="F6622" s="9" t="str">
        <f>IF(DADOS!E6622="","",DADOS!E6622)</f>
        <v/>
      </c>
      <c r="G6622" s="9" t="str">
        <f>IF(DADOS!F6622="","",DADOS!F6622)</f>
        <v/>
      </c>
      <c r="K6622" s="6" t="str">
        <f t="shared" si="520"/>
        <v/>
      </c>
      <c r="L6622" s="7" t="str">
        <f t="shared" si="521"/>
        <v/>
      </c>
      <c r="M6622" s="7" t="str">
        <f t="shared" si="518"/>
        <v/>
      </c>
      <c r="N6622" s="7" t="str">
        <f t="shared" si="522"/>
        <v/>
      </c>
      <c r="O6622" s="8"/>
      <c r="P6622" s="26"/>
      <c r="S6622" s="10" t="str">
        <f t="shared" si="519"/>
        <v/>
      </c>
    </row>
    <row r="6623" spans="5:19" x14ac:dyDescent="0.3">
      <c r="E6623" s="9" t="str">
        <f>IF(DADOS!C6623="","",DADOS!C6623)</f>
        <v/>
      </c>
      <c r="F6623" s="9" t="str">
        <f>IF(DADOS!E6623="","",DADOS!E6623)</f>
        <v/>
      </c>
      <c r="G6623" s="9" t="str">
        <f>IF(DADOS!F6623="","",DADOS!F6623)</f>
        <v/>
      </c>
      <c r="K6623" s="6" t="str">
        <f t="shared" si="520"/>
        <v/>
      </c>
      <c r="L6623" s="7" t="str">
        <f t="shared" si="521"/>
        <v/>
      </c>
      <c r="M6623" s="7" t="str">
        <f t="shared" si="518"/>
        <v/>
      </c>
      <c r="N6623" s="7" t="str">
        <f t="shared" si="522"/>
        <v/>
      </c>
      <c r="O6623" s="8"/>
      <c r="P6623" s="26"/>
      <c r="S6623" s="10" t="str">
        <f t="shared" si="519"/>
        <v/>
      </c>
    </row>
    <row r="6624" spans="5:19" x14ac:dyDescent="0.3">
      <c r="E6624" s="9" t="str">
        <f>IF(DADOS!C6624="","",DADOS!C6624)</f>
        <v/>
      </c>
      <c r="F6624" s="9" t="str">
        <f>IF(DADOS!E6624="","",DADOS!E6624)</f>
        <v/>
      </c>
      <c r="G6624" s="9" t="str">
        <f>IF(DADOS!F6624="","",DADOS!F6624)</f>
        <v/>
      </c>
      <c r="K6624" s="6" t="str">
        <f t="shared" si="520"/>
        <v/>
      </c>
      <c r="L6624" s="7" t="str">
        <f t="shared" si="521"/>
        <v/>
      </c>
      <c r="M6624" s="7" t="str">
        <f t="shared" si="518"/>
        <v/>
      </c>
      <c r="N6624" s="7" t="str">
        <f t="shared" si="522"/>
        <v/>
      </c>
      <c r="O6624" s="8"/>
      <c r="P6624" s="26"/>
      <c r="S6624" s="10" t="str">
        <f t="shared" si="519"/>
        <v/>
      </c>
    </row>
    <row r="6625" spans="5:19" x14ac:dyDescent="0.3">
      <c r="E6625" s="9" t="str">
        <f>IF(DADOS!C6625="","",DADOS!C6625)</f>
        <v/>
      </c>
      <c r="F6625" s="9" t="str">
        <f>IF(DADOS!E6625="","",DADOS!E6625)</f>
        <v/>
      </c>
      <c r="G6625" s="9" t="str">
        <f>IF(DADOS!F6625="","",DADOS!F6625)</f>
        <v/>
      </c>
      <c r="K6625" s="6" t="str">
        <f t="shared" si="520"/>
        <v/>
      </c>
      <c r="L6625" s="7" t="str">
        <f t="shared" si="521"/>
        <v/>
      </c>
      <c r="M6625" s="7" t="str">
        <f t="shared" si="518"/>
        <v/>
      </c>
      <c r="N6625" s="7" t="str">
        <f t="shared" si="522"/>
        <v/>
      </c>
      <c r="O6625" s="8"/>
      <c r="P6625" s="26"/>
      <c r="S6625" s="10" t="str">
        <f t="shared" si="519"/>
        <v/>
      </c>
    </row>
    <row r="6626" spans="5:19" x14ac:dyDescent="0.3">
      <c r="E6626" s="9" t="str">
        <f>IF(DADOS!C6626="","",DADOS!C6626)</f>
        <v/>
      </c>
      <c r="F6626" s="9" t="str">
        <f>IF(DADOS!E6626="","",DADOS!E6626)</f>
        <v/>
      </c>
      <c r="G6626" s="9" t="str">
        <f>IF(DADOS!F6626="","",DADOS!F6626)</f>
        <v/>
      </c>
      <c r="K6626" s="6" t="str">
        <f t="shared" si="520"/>
        <v/>
      </c>
      <c r="L6626" s="7" t="str">
        <f t="shared" si="521"/>
        <v/>
      </c>
      <c r="M6626" s="7" t="str">
        <f t="shared" si="518"/>
        <v/>
      </c>
      <c r="N6626" s="7" t="str">
        <f t="shared" si="522"/>
        <v/>
      </c>
      <c r="O6626" s="8"/>
      <c r="P6626" s="26"/>
      <c r="S6626" s="10" t="str">
        <f t="shared" si="519"/>
        <v/>
      </c>
    </row>
    <row r="6627" spans="5:19" x14ac:dyDescent="0.3">
      <c r="E6627" s="9" t="str">
        <f>IF(DADOS!C6627="","",DADOS!C6627)</f>
        <v/>
      </c>
      <c r="F6627" s="9" t="str">
        <f>IF(DADOS!E6627="","",DADOS!E6627)</f>
        <v/>
      </c>
      <c r="G6627" s="9" t="str">
        <f>IF(DADOS!F6627="","",DADOS!F6627)</f>
        <v/>
      </c>
      <c r="K6627" s="6" t="str">
        <f t="shared" si="520"/>
        <v/>
      </c>
      <c r="L6627" s="7" t="str">
        <f t="shared" si="521"/>
        <v/>
      </c>
      <c r="M6627" s="7" t="str">
        <f t="shared" si="518"/>
        <v/>
      </c>
      <c r="N6627" s="7" t="str">
        <f t="shared" si="522"/>
        <v/>
      </c>
      <c r="O6627" s="8"/>
      <c r="P6627" s="26"/>
      <c r="S6627" s="10" t="str">
        <f t="shared" si="519"/>
        <v/>
      </c>
    </row>
    <row r="6628" spans="5:19" x14ac:dyDescent="0.3">
      <c r="E6628" s="9" t="str">
        <f>IF(DADOS!C6628="","",DADOS!C6628)</f>
        <v/>
      </c>
      <c r="F6628" s="9" t="str">
        <f>IF(DADOS!E6628="","",DADOS!E6628)</f>
        <v/>
      </c>
      <c r="G6628" s="9" t="str">
        <f>IF(DADOS!F6628="","",DADOS!F6628)</f>
        <v/>
      </c>
      <c r="K6628" s="6" t="str">
        <f t="shared" si="520"/>
        <v/>
      </c>
      <c r="L6628" s="7" t="str">
        <f t="shared" si="521"/>
        <v/>
      </c>
      <c r="M6628" s="7" t="str">
        <f t="shared" si="518"/>
        <v/>
      </c>
      <c r="N6628" s="7" t="str">
        <f t="shared" si="522"/>
        <v/>
      </c>
      <c r="O6628" s="8"/>
      <c r="P6628" s="26"/>
      <c r="S6628" s="10" t="str">
        <f t="shared" si="519"/>
        <v/>
      </c>
    </row>
    <row r="6629" spans="5:19" x14ac:dyDescent="0.3">
      <c r="E6629" s="9" t="str">
        <f>IF(DADOS!C6629="","",DADOS!C6629)</f>
        <v/>
      </c>
      <c r="F6629" s="9" t="str">
        <f>IF(DADOS!E6629="","",DADOS!E6629)</f>
        <v/>
      </c>
      <c r="G6629" s="9" t="str">
        <f>IF(DADOS!F6629="","",DADOS!F6629)</f>
        <v/>
      </c>
      <c r="K6629" s="6" t="str">
        <f t="shared" si="520"/>
        <v/>
      </c>
      <c r="L6629" s="7" t="str">
        <f t="shared" si="521"/>
        <v/>
      </c>
      <c r="M6629" s="7" t="str">
        <f t="shared" si="518"/>
        <v/>
      </c>
      <c r="N6629" s="7" t="str">
        <f t="shared" si="522"/>
        <v/>
      </c>
      <c r="O6629" s="8"/>
      <c r="P6629" s="26"/>
      <c r="S6629" s="10" t="str">
        <f t="shared" si="519"/>
        <v/>
      </c>
    </row>
    <row r="6630" spans="5:19" x14ac:dyDescent="0.3">
      <c r="E6630" s="9" t="str">
        <f>IF(DADOS!C6630="","",DADOS!C6630)</f>
        <v/>
      </c>
      <c r="F6630" s="9" t="str">
        <f>IF(DADOS!E6630="","",DADOS!E6630)</f>
        <v/>
      </c>
      <c r="G6630" s="9" t="str">
        <f>IF(DADOS!F6630="","",DADOS!F6630)</f>
        <v/>
      </c>
      <c r="K6630" s="6" t="str">
        <f t="shared" si="520"/>
        <v/>
      </c>
      <c r="L6630" s="7" t="str">
        <f t="shared" si="521"/>
        <v/>
      </c>
      <c r="M6630" s="7" t="str">
        <f t="shared" si="518"/>
        <v/>
      </c>
      <c r="N6630" s="7" t="str">
        <f t="shared" si="522"/>
        <v/>
      </c>
      <c r="O6630" s="8"/>
      <c r="P6630" s="26"/>
      <c r="S6630" s="10" t="str">
        <f t="shared" si="519"/>
        <v/>
      </c>
    </row>
    <row r="6631" spans="5:19" x14ac:dyDescent="0.3">
      <c r="E6631" s="9" t="str">
        <f>IF(DADOS!C6631="","",DADOS!C6631)</f>
        <v/>
      </c>
      <c r="F6631" s="9" t="str">
        <f>IF(DADOS!E6631="","",DADOS!E6631)</f>
        <v/>
      </c>
      <c r="G6631" s="9" t="str">
        <f>IF(DADOS!F6631="","",DADOS!F6631)</f>
        <v/>
      </c>
      <c r="K6631" s="6" t="str">
        <f t="shared" si="520"/>
        <v/>
      </c>
      <c r="L6631" s="7" t="str">
        <f t="shared" si="521"/>
        <v/>
      </c>
      <c r="M6631" s="7" t="str">
        <f t="shared" si="518"/>
        <v/>
      </c>
      <c r="N6631" s="7" t="str">
        <f t="shared" si="522"/>
        <v/>
      </c>
      <c r="O6631" s="8"/>
      <c r="P6631" s="26"/>
      <c r="S6631" s="10" t="str">
        <f t="shared" si="519"/>
        <v/>
      </c>
    </row>
    <row r="6632" spans="5:19" x14ac:dyDescent="0.3">
      <c r="E6632" s="9" t="str">
        <f>IF(DADOS!C6632="","",DADOS!C6632)</f>
        <v/>
      </c>
      <c r="F6632" s="9" t="str">
        <f>IF(DADOS!E6632="","",DADOS!E6632)</f>
        <v/>
      </c>
      <c r="G6632" s="9" t="str">
        <f>IF(DADOS!F6632="","",DADOS!F6632)</f>
        <v/>
      </c>
      <c r="K6632" s="6" t="str">
        <f t="shared" si="520"/>
        <v/>
      </c>
      <c r="L6632" s="7" t="str">
        <f t="shared" si="521"/>
        <v/>
      </c>
      <c r="M6632" s="7" t="str">
        <f t="shared" si="518"/>
        <v/>
      </c>
      <c r="N6632" s="7" t="str">
        <f t="shared" si="522"/>
        <v/>
      </c>
      <c r="O6632" s="8"/>
      <c r="P6632" s="26"/>
      <c r="S6632" s="10" t="str">
        <f t="shared" si="519"/>
        <v/>
      </c>
    </row>
    <row r="6633" spans="5:19" x14ac:dyDescent="0.3">
      <c r="E6633" s="9" t="str">
        <f>IF(DADOS!C6633="","",DADOS!C6633)</f>
        <v/>
      </c>
      <c r="F6633" s="9" t="str">
        <f>IF(DADOS!E6633="","",DADOS!E6633)</f>
        <v/>
      </c>
      <c r="G6633" s="9" t="str">
        <f>IF(DADOS!F6633="","",DADOS!F6633)</f>
        <v/>
      </c>
      <c r="K6633" s="6" t="str">
        <f t="shared" si="520"/>
        <v/>
      </c>
      <c r="L6633" s="7" t="str">
        <f t="shared" si="521"/>
        <v/>
      </c>
      <c r="M6633" s="7" t="str">
        <f t="shared" si="518"/>
        <v/>
      </c>
      <c r="N6633" s="7" t="str">
        <f t="shared" si="522"/>
        <v/>
      </c>
      <c r="O6633" s="8"/>
      <c r="P6633" s="26"/>
      <c r="S6633" s="10" t="str">
        <f t="shared" si="519"/>
        <v/>
      </c>
    </row>
    <row r="6634" spans="5:19" x14ac:dyDescent="0.3">
      <c r="E6634" s="9" t="str">
        <f>IF(DADOS!C6634="","",DADOS!C6634)</f>
        <v/>
      </c>
      <c r="F6634" s="9" t="str">
        <f>IF(DADOS!E6634="","",DADOS!E6634)</f>
        <v/>
      </c>
      <c r="G6634" s="9" t="str">
        <f>IF(DADOS!F6634="","",DADOS!F6634)</f>
        <v/>
      </c>
      <c r="K6634" s="6" t="str">
        <f t="shared" si="520"/>
        <v/>
      </c>
      <c r="L6634" s="7" t="str">
        <f t="shared" si="521"/>
        <v/>
      </c>
      <c r="M6634" s="7" t="str">
        <f t="shared" si="518"/>
        <v/>
      </c>
      <c r="N6634" s="7" t="str">
        <f t="shared" si="522"/>
        <v/>
      </c>
      <c r="O6634" s="8"/>
      <c r="P6634" s="26"/>
      <c r="S6634" s="10" t="str">
        <f t="shared" si="519"/>
        <v/>
      </c>
    </row>
    <row r="6635" spans="5:19" x14ac:dyDescent="0.3">
      <c r="E6635" s="9" t="str">
        <f>IF(DADOS!C6635="","",DADOS!C6635)</f>
        <v/>
      </c>
      <c r="F6635" s="9" t="str">
        <f>IF(DADOS!E6635="","",DADOS!E6635)</f>
        <v/>
      </c>
      <c r="G6635" s="9" t="str">
        <f>IF(DADOS!F6635="","",DADOS!F6635)</f>
        <v/>
      </c>
      <c r="K6635" s="6" t="str">
        <f t="shared" si="520"/>
        <v/>
      </c>
      <c r="L6635" s="7" t="str">
        <f t="shared" si="521"/>
        <v/>
      </c>
      <c r="M6635" s="7" t="str">
        <f t="shared" si="518"/>
        <v/>
      </c>
      <c r="N6635" s="7" t="str">
        <f t="shared" si="522"/>
        <v/>
      </c>
      <c r="O6635" s="8"/>
      <c r="P6635" s="26"/>
      <c r="S6635" s="10" t="str">
        <f t="shared" si="519"/>
        <v/>
      </c>
    </row>
    <row r="6636" spans="5:19" x14ac:dyDescent="0.3">
      <c r="E6636" s="9" t="str">
        <f>IF(DADOS!C6636="","",DADOS!C6636)</f>
        <v/>
      </c>
      <c r="F6636" s="9" t="str">
        <f>IF(DADOS!E6636="","",DADOS!E6636)</f>
        <v/>
      </c>
      <c r="G6636" s="9" t="str">
        <f>IF(DADOS!F6636="","",DADOS!F6636)</f>
        <v/>
      </c>
      <c r="K6636" s="6" t="str">
        <f t="shared" si="520"/>
        <v/>
      </c>
      <c r="L6636" s="7" t="str">
        <f t="shared" si="521"/>
        <v/>
      </c>
      <c r="M6636" s="7" t="str">
        <f t="shared" si="518"/>
        <v/>
      </c>
      <c r="N6636" s="7" t="str">
        <f t="shared" si="522"/>
        <v/>
      </c>
      <c r="O6636" s="8"/>
      <c r="P6636" s="26"/>
      <c r="S6636" s="10" t="str">
        <f t="shared" si="519"/>
        <v/>
      </c>
    </row>
    <row r="6637" spans="5:19" x14ac:dyDescent="0.3">
      <c r="E6637" s="9" t="str">
        <f>IF(DADOS!C6637="","",DADOS!C6637)</f>
        <v/>
      </c>
      <c r="F6637" s="9" t="str">
        <f>IF(DADOS!E6637="","",DADOS!E6637)</f>
        <v/>
      </c>
      <c r="G6637" s="9" t="str">
        <f>IF(DADOS!F6637="","",DADOS!F6637)</f>
        <v/>
      </c>
      <c r="K6637" s="6" t="str">
        <f t="shared" si="520"/>
        <v/>
      </c>
      <c r="L6637" s="7" t="str">
        <f t="shared" si="521"/>
        <v/>
      </c>
      <c r="M6637" s="7" t="str">
        <f t="shared" si="518"/>
        <v/>
      </c>
      <c r="N6637" s="7" t="str">
        <f t="shared" si="522"/>
        <v/>
      </c>
      <c r="O6637" s="8"/>
      <c r="P6637" s="26"/>
      <c r="S6637" s="10" t="str">
        <f t="shared" si="519"/>
        <v/>
      </c>
    </row>
    <row r="6638" spans="5:19" x14ac:dyDescent="0.3">
      <c r="E6638" s="9" t="str">
        <f>IF(DADOS!C6638="","",DADOS!C6638)</f>
        <v/>
      </c>
      <c r="F6638" s="9" t="str">
        <f>IF(DADOS!E6638="","",DADOS!E6638)</f>
        <v/>
      </c>
      <c r="G6638" s="9" t="str">
        <f>IF(DADOS!F6638="","",DADOS!F6638)</f>
        <v/>
      </c>
      <c r="K6638" s="6" t="str">
        <f t="shared" si="520"/>
        <v/>
      </c>
      <c r="L6638" s="7" t="str">
        <f t="shared" si="521"/>
        <v/>
      </c>
      <c r="M6638" s="7" t="str">
        <f t="shared" si="518"/>
        <v/>
      </c>
      <c r="N6638" s="7" t="str">
        <f t="shared" si="522"/>
        <v/>
      </c>
      <c r="O6638" s="8"/>
      <c r="P6638" s="26"/>
      <c r="S6638" s="10" t="str">
        <f t="shared" si="519"/>
        <v/>
      </c>
    </row>
    <row r="6639" spans="5:19" x14ac:dyDescent="0.3">
      <c r="E6639" s="9" t="str">
        <f>IF(DADOS!C6639="","",DADOS!C6639)</f>
        <v/>
      </c>
      <c r="F6639" s="9" t="str">
        <f>IF(DADOS!E6639="","",DADOS!E6639)</f>
        <v/>
      </c>
      <c r="G6639" s="9" t="str">
        <f>IF(DADOS!F6639="","",DADOS!F6639)</f>
        <v/>
      </c>
      <c r="K6639" s="6" t="str">
        <f t="shared" si="520"/>
        <v/>
      </c>
      <c r="L6639" s="7" t="str">
        <f t="shared" si="521"/>
        <v/>
      </c>
      <c r="M6639" s="7" t="str">
        <f t="shared" si="518"/>
        <v/>
      </c>
      <c r="N6639" s="7" t="str">
        <f t="shared" si="522"/>
        <v/>
      </c>
      <c r="O6639" s="8"/>
      <c r="P6639" s="26"/>
      <c r="S6639" s="10" t="str">
        <f t="shared" si="519"/>
        <v/>
      </c>
    </row>
    <row r="6640" spans="5:19" x14ac:dyDescent="0.3">
      <c r="E6640" s="9" t="str">
        <f>IF(DADOS!C6640="","",DADOS!C6640)</f>
        <v/>
      </c>
      <c r="F6640" s="9" t="str">
        <f>IF(DADOS!E6640="","",DADOS!E6640)</f>
        <v/>
      </c>
      <c r="G6640" s="9" t="str">
        <f>IF(DADOS!F6640="","",DADOS!F6640)</f>
        <v/>
      </c>
      <c r="K6640" s="6" t="str">
        <f t="shared" si="520"/>
        <v/>
      </c>
      <c r="L6640" s="7" t="str">
        <f t="shared" si="521"/>
        <v/>
      </c>
      <c r="M6640" s="7" t="str">
        <f t="shared" si="518"/>
        <v/>
      </c>
      <c r="N6640" s="7" t="str">
        <f t="shared" si="522"/>
        <v/>
      </c>
      <c r="O6640" s="8"/>
      <c r="P6640" s="26"/>
      <c r="S6640" s="10" t="str">
        <f t="shared" si="519"/>
        <v/>
      </c>
    </row>
    <row r="6641" spans="5:19" x14ac:dyDescent="0.3">
      <c r="E6641" s="9" t="str">
        <f>IF(DADOS!C6641="","",DADOS!C6641)</f>
        <v/>
      </c>
      <c r="F6641" s="9" t="str">
        <f>IF(DADOS!E6641="","",DADOS!E6641)</f>
        <v/>
      </c>
      <c r="G6641" s="9" t="str">
        <f>IF(DADOS!F6641="","",DADOS!F6641)</f>
        <v/>
      </c>
      <c r="K6641" s="6" t="str">
        <f t="shared" si="520"/>
        <v/>
      </c>
      <c r="L6641" s="7" t="str">
        <f t="shared" si="521"/>
        <v/>
      </c>
      <c r="M6641" s="7" t="str">
        <f t="shared" si="518"/>
        <v/>
      </c>
      <c r="N6641" s="7" t="str">
        <f t="shared" si="522"/>
        <v/>
      </c>
      <c r="O6641" s="8"/>
      <c r="P6641" s="26"/>
      <c r="S6641" s="10" t="str">
        <f t="shared" si="519"/>
        <v/>
      </c>
    </row>
    <row r="6642" spans="5:19" x14ac:dyDescent="0.3">
      <c r="E6642" s="9" t="str">
        <f>IF(DADOS!C6642="","",DADOS!C6642)</f>
        <v/>
      </c>
      <c r="F6642" s="9" t="str">
        <f>IF(DADOS!E6642="","",DADOS!E6642)</f>
        <v/>
      </c>
      <c r="G6642" s="9" t="str">
        <f>IF(DADOS!F6642="","",DADOS!F6642)</f>
        <v/>
      </c>
      <c r="K6642" s="6" t="str">
        <f t="shared" si="520"/>
        <v/>
      </c>
      <c r="L6642" s="7" t="str">
        <f t="shared" si="521"/>
        <v/>
      </c>
      <c r="M6642" s="7" t="str">
        <f t="shared" si="518"/>
        <v/>
      </c>
      <c r="N6642" s="7" t="str">
        <f t="shared" si="522"/>
        <v/>
      </c>
      <c r="O6642" s="8"/>
      <c r="P6642" s="26"/>
      <c r="S6642" s="10" t="str">
        <f t="shared" si="519"/>
        <v/>
      </c>
    </row>
    <row r="6643" spans="5:19" x14ac:dyDescent="0.3">
      <c r="E6643" s="9" t="str">
        <f>IF(DADOS!C6643="","",DADOS!C6643)</f>
        <v/>
      </c>
      <c r="F6643" s="9" t="str">
        <f>IF(DADOS!E6643="","",DADOS!E6643)</f>
        <v/>
      </c>
      <c r="G6643" s="9" t="str">
        <f>IF(DADOS!F6643="","",DADOS!F6643)</f>
        <v/>
      </c>
      <c r="K6643" s="6" t="str">
        <f t="shared" si="520"/>
        <v/>
      </c>
      <c r="L6643" s="7" t="str">
        <f t="shared" si="521"/>
        <v/>
      </c>
      <c r="M6643" s="7" t="str">
        <f t="shared" si="518"/>
        <v/>
      </c>
      <c r="N6643" s="7" t="str">
        <f t="shared" si="522"/>
        <v/>
      </c>
      <c r="O6643" s="8"/>
      <c r="P6643" s="26"/>
      <c r="S6643" s="10" t="str">
        <f t="shared" si="519"/>
        <v/>
      </c>
    </row>
    <row r="6644" spans="5:19" x14ac:dyDescent="0.3">
      <c r="E6644" s="9" t="str">
        <f>IF(DADOS!C6644="","",DADOS!C6644)</f>
        <v/>
      </c>
      <c r="F6644" s="9" t="str">
        <f>IF(DADOS!E6644="","",DADOS!E6644)</f>
        <v/>
      </c>
      <c r="G6644" s="9" t="str">
        <f>IF(DADOS!F6644="","",DADOS!F6644)</f>
        <v/>
      </c>
      <c r="K6644" s="6" t="str">
        <f t="shared" si="520"/>
        <v/>
      </c>
      <c r="L6644" s="7" t="str">
        <f t="shared" si="521"/>
        <v/>
      </c>
      <c r="M6644" s="7" t="str">
        <f t="shared" si="518"/>
        <v/>
      </c>
      <c r="N6644" s="7" t="str">
        <f t="shared" si="522"/>
        <v/>
      </c>
      <c r="O6644" s="8"/>
      <c r="P6644" s="26"/>
      <c r="S6644" s="10" t="str">
        <f t="shared" si="519"/>
        <v/>
      </c>
    </row>
    <row r="6645" spans="5:19" x14ac:dyDescent="0.3">
      <c r="E6645" s="9" t="str">
        <f>IF(DADOS!C6645="","",DADOS!C6645)</f>
        <v/>
      </c>
      <c r="F6645" s="9" t="str">
        <f>IF(DADOS!E6645="","",DADOS!E6645)</f>
        <v/>
      </c>
      <c r="G6645" s="9" t="str">
        <f>IF(DADOS!F6645="","",DADOS!F6645)</f>
        <v/>
      </c>
      <c r="K6645" s="6" t="str">
        <f t="shared" si="520"/>
        <v/>
      </c>
      <c r="L6645" s="7" t="str">
        <f t="shared" si="521"/>
        <v/>
      </c>
      <c r="M6645" s="7" t="str">
        <f t="shared" si="518"/>
        <v/>
      </c>
      <c r="N6645" s="7" t="str">
        <f t="shared" si="522"/>
        <v/>
      </c>
      <c r="O6645" s="8"/>
      <c r="P6645" s="26"/>
      <c r="S6645" s="10" t="str">
        <f t="shared" si="519"/>
        <v/>
      </c>
    </row>
    <row r="6646" spans="5:19" x14ac:dyDescent="0.3">
      <c r="E6646" s="9" t="str">
        <f>IF(DADOS!C6646="","",DADOS!C6646)</f>
        <v/>
      </c>
      <c r="F6646" s="9" t="str">
        <f>IF(DADOS!E6646="","",DADOS!E6646)</f>
        <v/>
      </c>
      <c r="G6646" s="9" t="str">
        <f>IF(DADOS!F6646="","",DADOS!F6646)</f>
        <v/>
      </c>
      <c r="K6646" s="6" t="str">
        <f t="shared" si="520"/>
        <v/>
      </c>
      <c r="L6646" s="7" t="str">
        <f t="shared" si="521"/>
        <v/>
      </c>
      <c r="M6646" s="7" t="str">
        <f t="shared" si="518"/>
        <v/>
      </c>
      <c r="N6646" s="7" t="str">
        <f t="shared" si="522"/>
        <v/>
      </c>
      <c r="O6646" s="8"/>
      <c r="P6646" s="26"/>
      <c r="S6646" s="10" t="str">
        <f t="shared" si="519"/>
        <v/>
      </c>
    </row>
    <row r="6647" spans="5:19" x14ac:dyDescent="0.3">
      <c r="E6647" s="9" t="str">
        <f>IF(DADOS!C6647="","",DADOS!C6647)</f>
        <v/>
      </c>
      <c r="F6647" s="9" t="str">
        <f>IF(DADOS!E6647="","",DADOS!E6647)</f>
        <v/>
      </c>
      <c r="G6647" s="9" t="str">
        <f>IF(DADOS!F6647="","",DADOS!F6647)</f>
        <v/>
      </c>
      <c r="K6647" s="6" t="str">
        <f t="shared" si="520"/>
        <v/>
      </c>
      <c r="L6647" s="7" t="str">
        <f t="shared" si="521"/>
        <v/>
      </c>
      <c r="M6647" s="7" t="str">
        <f t="shared" si="518"/>
        <v/>
      </c>
      <c r="N6647" s="7" t="str">
        <f t="shared" si="522"/>
        <v/>
      </c>
      <c r="O6647" s="8"/>
      <c r="P6647" s="26"/>
      <c r="S6647" s="10" t="str">
        <f t="shared" si="519"/>
        <v/>
      </c>
    </row>
    <row r="6648" spans="5:19" x14ac:dyDescent="0.3">
      <c r="E6648" s="9" t="str">
        <f>IF(DADOS!C6648="","",DADOS!C6648)</f>
        <v/>
      </c>
      <c r="F6648" s="9" t="str">
        <f>IF(DADOS!E6648="","",DADOS!E6648)</f>
        <v/>
      </c>
      <c r="G6648" s="9" t="str">
        <f>IF(DADOS!F6648="","",DADOS!F6648)</f>
        <v/>
      </c>
      <c r="K6648" s="6" t="str">
        <f t="shared" si="520"/>
        <v/>
      </c>
      <c r="L6648" s="7" t="str">
        <f t="shared" si="521"/>
        <v/>
      </c>
      <c r="M6648" s="7" t="str">
        <f t="shared" si="518"/>
        <v/>
      </c>
      <c r="N6648" s="7" t="str">
        <f t="shared" si="522"/>
        <v/>
      </c>
      <c r="O6648" s="8"/>
      <c r="P6648" s="26"/>
      <c r="S6648" s="10" t="str">
        <f t="shared" si="519"/>
        <v/>
      </c>
    </row>
    <row r="6649" spans="5:19" x14ac:dyDescent="0.3">
      <c r="E6649" s="9" t="str">
        <f>IF(DADOS!C6649="","",DADOS!C6649)</f>
        <v/>
      </c>
      <c r="F6649" s="9" t="str">
        <f>IF(DADOS!E6649="","",DADOS!E6649)</f>
        <v/>
      </c>
      <c r="G6649" s="9" t="str">
        <f>IF(DADOS!F6649="","",DADOS!F6649)</f>
        <v/>
      </c>
      <c r="K6649" s="6" t="str">
        <f t="shared" si="520"/>
        <v/>
      </c>
      <c r="L6649" s="7" t="str">
        <f t="shared" si="521"/>
        <v/>
      </c>
      <c r="M6649" s="7" t="str">
        <f t="shared" si="518"/>
        <v/>
      </c>
      <c r="N6649" s="7" t="str">
        <f t="shared" si="522"/>
        <v/>
      </c>
      <c r="O6649" s="8"/>
      <c r="P6649" s="26"/>
      <c r="S6649" s="10" t="str">
        <f t="shared" si="519"/>
        <v/>
      </c>
    </row>
    <row r="6650" spans="5:19" x14ac:dyDescent="0.3">
      <c r="E6650" s="9" t="str">
        <f>IF(DADOS!C6650="","",DADOS!C6650)</f>
        <v/>
      </c>
      <c r="F6650" s="9" t="str">
        <f>IF(DADOS!E6650="","",DADOS!E6650)</f>
        <v/>
      </c>
      <c r="G6650" s="9" t="str">
        <f>IF(DADOS!F6650="","",DADOS!F6650)</f>
        <v/>
      </c>
      <c r="K6650" s="6" t="str">
        <f t="shared" si="520"/>
        <v/>
      </c>
      <c r="L6650" s="7" t="str">
        <f t="shared" si="521"/>
        <v/>
      </c>
      <c r="M6650" s="7" t="str">
        <f t="shared" si="518"/>
        <v/>
      </c>
      <c r="N6650" s="7" t="str">
        <f t="shared" si="522"/>
        <v/>
      </c>
      <c r="O6650" s="8"/>
      <c r="P6650" s="26"/>
      <c r="S6650" s="10" t="str">
        <f t="shared" si="519"/>
        <v/>
      </c>
    </row>
    <row r="6651" spans="5:19" x14ac:dyDescent="0.3">
      <c r="E6651" s="9" t="str">
        <f>IF(DADOS!C6651="","",DADOS!C6651)</f>
        <v/>
      </c>
      <c r="F6651" s="9" t="str">
        <f>IF(DADOS!E6651="","",DADOS!E6651)</f>
        <v/>
      </c>
      <c r="G6651" s="9" t="str">
        <f>IF(DADOS!F6651="","",DADOS!F6651)</f>
        <v/>
      </c>
      <c r="K6651" s="6" t="str">
        <f t="shared" si="520"/>
        <v/>
      </c>
      <c r="L6651" s="7" t="str">
        <f t="shared" si="521"/>
        <v/>
      </c>
      <c r="M6651" s="7" t="str">
        <f t="shared" si="518"/>
        <v/>
      </c>
      <c r="N6651" s="7" t="str">
        <f t="shared" si="522"/>
        <v/>
      </c>
      <c r="O6651" s="8"/>
      <c r="P6651" s="26"/>
      <c r="S6651" s="10" t="str">
        <f t="shared" si="519"/>
        <v/>
      </c>
    </row>
    <row r="6652" spans="5:19" x14ac:dyDescent="0.3">
      <c r="E6652" s="9" t="str">
        <f>IF(DADOS!C6652="","",DADOS!C6652)</f>
        <v/>
      </c>
      <c r="F6652" s="9" t="str">
        <f>IF(DADOS!E6652="","",DADOS!E6652)</f>
        <v/>
      </c>
      <c r="G6652" s="9" t="str">
        <f>IF(DADOS!F6652="","",DADOS!F6652)</f>
        <v/>
      </c>
      <c r="K6652" s="6" t="str">
        <f t="shared" si="520"/>
        <v/>
      </c>
      <c r="L6652" s="7" t="str">
        <f t="shared" si="521"/>
        <v/>
      </c>
      <c r="M6652" s="7" t="str">
        <f t="shared" si="518"/>
        <v/>
      </c>
      <c r="N6652" s="7" t="str">
        <f t="shared" si="522"/>
        <v/>
      </c>
      <c r="O6652" s="8"/>
      <c r="P6652" s="26"/>
      <c r="S6652" s="10" t="str">
        <f t="shared" si="519"/>
        <v/>
      </c>
    </row>
    <row r="6653" spans="5:19" x14ac:dyDescent="0.3">
      <c r="E6653" s="9" t="str">
        <f>IF(DADOS!C6653="","",DADOS!C6653)</f>
        <v/>
      </c>
      <c r="F6653" s="9" t="str">
        <f>IF(DADOS!E6653="","",DADOS!E6653)</f>
        <v/>
      </c>
      <c r="G6653" s="9" t="str">
        <f>IF(DADOS!F6653="","",DADOS!F6653)</f>
        <v/>
      </c>
      <c r="K6653" s="6" t="str">
        <f t="shared" si="520"/>
        <v/>
      </c>
      <c r="L6653" s="7" t="str">
        <f t="shared" si="521"/>
        <v/>
      </c>
      <c r="M6653" s="7" t="str">
        <f t="shared" si="518"/>
        <v/>
      </c>
      <c r="N6653" s="7" t="str">
        <f t="shared" si="522"/>
        <v/>
      </c>
      <c r="O6653" s="8"/>
      <c r="P6653" s="26"/>
      <c r="S6653" s="10" t="str">
        <f t="shared" si="519"/>
        <v/>
      </c>
    </row>
    <row r="6654" spans="5:19" x14ac:dyDescent="0.3">
      <c r="E6654" s="9" t="str">
        <f>IF(DADOS!C6654="","",DADOS!C6654)</f>
        <v/>
      </c>
      <c r="F6654" s="9" t="str">
        <f>IF(DADOS!E6654="","",DADOS!E6654)</f>
        <v/>
      </c>
      <c r="G6654" s="9" t="str">
        <f>IF(DADOS!F6654="","",DADOS!F6654)</f>
        <v/>
      </c>
      <c r="K6654" s="6" t="str">
        <f t="shared" si="520"/>
        <v/>
      </c>
      <c r="L6654" s="7" t="str">
        <f t="shared" si="521"/>
        <v/>
      </c>
      <c r="M6654" s="7" t="str">
        <f t="shared" si="518"/>
        <v/>
      </c>
      <c r="N6654" s="7" t="str">
        <f t="shared" si="522"/>
        <v/>
      </c>
      <c r="O6654" s="8"/>
      <c r="P6654" s="26"/>
      <c r="S6654" s="10" t="str">
        <f t="shared" si="519"/>
        <v/>
      </c>
    </row>
    <row r="6655" spans="5:19" x14ac:dyDescent="0.3">
      <c r="E6655" s="9" t="str">
        <f>IF(DADOS!C6655="","",DADOS!C6655)</f>
        <v/>
      </c>
      <c r="F6655" s="9" t="str">
        <f>IF(DADOS!E6655="","",DADOS!E6655)</f>
        <v/>
      </c>
      <c r="G6655" s="9" t="str">
        <f>IF(DADOS!F6655="","",DADOS!F6655)</f>
        <v/>
      </c>
      <c r="K6655" s="6" t="str">
        <f t="shared" si="520"/>
        <v/>
      </c>
      <c r="L6655" s="7" t="str">
        <f t="shared" si="521"/>
        <v/>
      </c>
      <c r="M6655" s="7" t="str">
        <f t="shared" si="518"/>
        <v/>
      </c>
      <c r="N6655" s="7" t="str">
        <f t="shared" si="522"/>
        <v/>
      </c>
      <c r="O6655" s="8"/>
      <c r="P6655" s="26"/>
      <c r="S6655" s="10" t="str">
        <f t="shared" si="519"/>
        <v/>
      </c>
    </row>
    <row r="6656" spans="5:19" x14ac:dyDescent="0.3">
      <c r="E6656" s="9" t="str">
        <f>IF(DADOS!C6656="","",DADOS!C6656)</f>
        <v/>
      </c>
      <c r="F6656" s="9" t="str">
        <f>IF(DADOS!E6656="","",DADOS!E6656)</f>
        <v/>
      </c>
      <c r="G6656" s="9" t="str">
        <f>IF(DADOS!F6656="","",DADOS!F6656)</f>
        <v/>
      </c>
      <c r="K6656" s="6" t="str">
        <f t="shared" si="520"/>
        <v/>
      </c>
      <c r="L6656" s="7" t="str">
        <f t="shared" si="521"/>
        <v/>
      </c>
      <c r="M6656" s="7" t="str">
        <f t="shared" si="518"/>
        <v/>
      </c>
      <c r="N6656" s="7" t="str">
        <f t="shared" si="522"/>
        <v/>
      </c>
      <c r="O6656" s="8"/>
      <c r="P6656" s="26"/>
      <c r="S6656" s="10" t="str">
        <f t="shared" si="519"/>
        <v/>
      </c>
    </row>
    <row r="6657" spans="5:19" x14ac:dyDescent="0.3">
      <c r="E6657" s="9" t="str">
        <f>IF(DADOS!C6657="","",DADOS!C6657)</f>
        <v/>
      </c>
      <c r="F6657" s="9" t="str">
        <f>IF(DADOS!E6657="","",DADOS!E6657)</f>
        <v/>
      </c>
      <c r="G6657" s="9" t="str">
        <f>IF(DADOS!F6657="","",DADOS!F6657)</f>
        <v/>
      </c>
      <c r="K6657" s="6" t="str">
        <f t="shared" si="520"/>
        <v/>
      </c>
      <c r="L6657" s="7" t="str">
        <f t="shared" si="521"/>
        <v/>
      </c>
      <c r="M6657" s="7" t="str">
        <f t="shared" si="518"/>
        <v/>
      </c>
      <c r="N6657" s="7" t="str">
        <f t="shared" si="522"/>
        <v/>
      </c>
      <c r="O6657" s="8"/>
      <c r="P6657" s="26"/>
      <c r="S6657" s="10" t="str">
        <f t="shared" si="519"/>
        <v/>
      </c>
    </row>
    <row r="6658" spans="5:19" x14ac:dyDescent="0.3">
      <c r="E6658" s="9" t="str">
        <f>IF(DADOS!C6658="","",DADOS!C6658)</f>
        <v/>
      </c>
      <c r="F6658" s="9" t="str">
        <f>IF(DADOS!E6658="","",DADOS!E6658)</f>
        <v/>
      </c>
      <c r="G6658" s="9" t="str">
        <f>IF(DADOS!F6658="","",DADOS!F6658)</f>
        <v/>
      </c>
      <c r="K6658" s="6" t="str">
        <f t="shared" si="520"/>
        <v/>
      </c>
      <c r="L6658" s="7" t="str">
        <f t="shared" si="521"/>
        <v/>
      </c>
      <c r="M6658" s="7" t="str">
        <f t="shared" si="518"/>
        <v/>
      </c>
      <c r="N6658" s="7" t="str">
        <f t="shared" si="522"/>
        <v/>
      </c>
      <c r="O6658" s="8"/>
      <c r="P6658" s="26"/>
      <c r="S6658" s="10" t="str">
        <f t="shared" si="519"/>
        <v/>
      </c>
    </row>
    <row r="6659" spans="5:19" x14ac:dyDescent="0.3">
      <c r="E6659" s="9" t="str">
        <f>IF(DADOS!C6659="","",DADOS!C6659)</f>
        <v/>
      </c>
      <c r="F6659" s="9" t="str">
        <f>IF(DADOS!E6659="","",DADOS!E6659)</f>
        <v/>
      </c>
      <c r="G6659" s="9" t="str">
        <f>IF(DADOS!F6659="","",DADOS!F6659)</f>
        <v/>
      </c>
      <c r="K6659" s="6" t="str">
        <f t="shared" si="520"/>
        <v/>
      </c>
      <c r="L6659" s="7" t="str">
        <f t="shared" si="521"/>
        <v/>
      </c>
      <c r="M6659" s="7" t="str">
        <f t="shared" ref="M6659:M6722" si="523">IF(L6659="","",L6659*G6659)</f>
        <v/>
      </c>
      <c r="N6659" s="7" t="str">
        <f t="shared" si="522"/>
        <v/>
      </c>
      <c r="O6659" s="8"/>
      <c r="P6659" s="26"/>
      <c r="S6659" s="10" t="str">
        <f t="shared" ref="S6659:S6722" si="524">IF(R6659="","",SUMIFS($N$3:$N$10000,$E$3:$E$10000,R6659))</f>
        <v/>
      </c>
    </row>
    <row r="6660" spans="5:19" x14ac:dyDescent="0.3">
      <c r="E6660" s="9" t="str">
        <f>IF(DADOS!C6660="","",DADOS!C6660)</f>
        <v/>
      </c>
      <c r="F6660" s="9" t="str">
        <f>IF(DADOS!E6660="","",DADOS!E6660)</f>
        <v/>
      </c>
      <c r="G6660" s="9" t="str">
        <f>IF(DADOS!F6660="","",DADOS!F6660)</f>
        <v/>
      </c>
      <c r="K6660" s="6" t="str">
        <f t="shared" ref="K6660:K6723" si="525">IF(F6660="","",F6660/PI())</f>
        <v/>
      </c>
      <c r="L6660" s="7" t="str">
        <f t="shared" ref="L6660:L6723" si="526">IF(K6660="","",(PI()*K6660^2)/40000)</f>
        <v/>
      </c>
      <c r="M6660" s="7" t="str">
        <f t="shared" si="523"/>
        <v/>
      </c>
      <c r="N6660" s="7" t="str">
        <f t="shared" ref="N6660:N6723" si="527">IF(M6660="","",M6660*N$1)</f>
        <v/>
      </c>
      <c r="O6660" s="8"/>
      <c r="P6660" s="26"/>
      <c r="S6660" s="10" t="str">
        <f t="shared" si="524"/>
        <v/>
      </c>
    </row>
    <row r="6661" spans="5:19" x14ac:dyDescent="0.3">
      <c r="E6661" s="9" t="str">
        <f>IF(DADOS!C6661="","",DADOS!C6661)</f>
        <v/>
      </c>
      <c r="F6661" s="9" t="str">
        <f>IF(DADOS!E6661="","",DADOS!E6661)</f>
        <v/>
      </c>
      <c r="G6661" s="9" t="str">
        <f>IF(DADOS!F6661="","",DADOS!F6661)</f>
        <v/>
      </c>
      <c r="K6661" s="6" t="str">
        <f t="shared" si="525"/>
        <v/>
      </c>
      <c r="L6661" s="7" t="str">
        <f t="shared" si="526"/>
        <v/>
      </c>
      <c r="M6661" s="7" t="str">
        <f t="shared" si="523"/>
        <v/>
      </c>
      <c r="N6661" s="7" t="str">
        <f t="shared" si="527"/>
        <v/>
      </c>
      <c r="O6661" s="8"/>
      <c r="P6661" s="26"/>
      <c r="S6661" s="10" t="str">
        <f t="shared" si="524"/>
        <v/>
      </c>
    </row>
    <row r="6662" spans="5:19" x14ac:dyDescent="0.3">
      <c r="E6662" s="9" t="str">
        <f>IF(DADOS!C6662="","",DADOS!C6662)</f>
        <v/>
      </c>
      <c r="F6662" s="9" t="str">
        <f>IF(DADOS!E6662="","",DADOS!E6662)</f>
        <v/>
      </c>
      <c r="G6662" s="9" t="str">
        <f>IF(DADOS!F6662="","",DADOS!F6662)</f>
        <v/>
      </c>
      <c r="K6662" s="6" t="str">
        <f t="shared" si="525"/>
        <v/>
      </c>
      <c r="L6662" s="7" t="str">
        <f t="shared" si="526"/>
        <v/>
      </c>
      <c r="M6662" s="7" t="str">
        <f t="shared" si="523"/>
        <v/>
      </c>
      <c r="N6662" s="7" t="str">
        <f t="shared" si="527"/>
        <v/>
      </c>
      <c r="O6662" s="8"/>
      <c r="P6662" s="26"/>
      <c r="S6662" s="10" t="str">
        <f t="shared" si="524"/>
        <v/>
      </c>
    </row>
    <row r="6663" spans="5:19" x14ac:dyDescent="0.3">
      <c r="E6663" s="9" t="str">
        <f>IF(DADOS!C6663="","",DADOS!C6663)</f>
        <v/>
      </c>
      <c r="F6663" s="9" t="str">
        <f>IF(DADOS!E6663="","",DADOS!E6663)</f>
        <v/>
      </c>
      <c r="G6663" s="9" t="str">
        <f>IF(DADOS!F6663="","",DADOS!F6663)</f>
        <v/>
      </c>
      <c r="K6663" s="6" t="str">
        <f t="shared" si="525"/>
        <v/>
      </c>
      <c r="L6663" s="7" t="str">
        <f t="shared" si="526"/>
        <v/>
      </c>
      <c r="M6663" s="7" t="str">
        <f t="shared" si="523"/>
        <v/>
      </c>
      <c r="N6663" s="7" t="str">
        <f t="shared" si="527"/>
        <v/>
      </c>
      <c r="O6663" s="8"/>
      <c r="P6663" s="26"/>
      <c r="S6663" s="10" t="str">
        <f t="shared" si="524"/>
        <v/>
      </c>
    </row>
    <row r="6664" spans="5:19" x14ac:dyDescent="0.3">
      <c r="E6664" s="9" t="str">
        <f>IF(DADOS!C6664="","",DADOS!C6664)</f>
        <v/>
      </c>
      <c r="F6664" s="9" t="str">
        <f>IF(DADOS!E6664="","",DADOS!E6664)</f>
        <v/>
      </c>
      <c r="G6664" s="9" t="str">
        <f>IF(DADOS!F6664="","",DADOS!F6664)</f>
        <v/>
      </c>
      <c r="K6664" s="6" t="str">
        <f t="shared" si="525"/>
        <v/>
      </c>
      <c r="L6664" s="7" t="str">
        <f t="shared" si="526"/>
        <v/>
      </c>
      <c r="M6664" s="7" t="str">
        <f t="shared" si="523"/>
        <v/>
      </c>
      <c r="N6664" s="7" t="str">
        <f t="shared" si="527"/>
        <v/>
      </c>
      <c r="O6664" s="8"/>
      <c r="P6664" s="26"/>
      <c r="S6664" s="10" t="str">
        <f t="shared" si="524"/>
        <v/>
      </c>
    </row>
    <row r="6665" spans="5:19" x14ac:dyDescent="0.3">
      <c r="E6665" s="9" t="str">
        <f>IF(DADOS!C6665="","",DADOS!C6665)</f>
        <v/>
      </c>
      <c r="F6665" s="9" t="str">
        <f>IF(DADOS!E6665="","",DADOS!E6665)</f>
        <v/>
      </c>
      <c r="G6665" s="9" t="str">
        <f>IF(DADOS!F6665="","",DADOS!F6665)</f>
        <v/>
      </c>
      <c r="K6665" s="6" t="str">
        <f t="shared" si="525"/>
        <v/>
      </c>
      <c r="L6665" s="7" t="str">
        <f t="shared" si="526"/>
        <v/>
      </c>
      <c r="M6665" s="7" t="str">
        <f t="shared" si="523"/>
        <v/>
      </c>
      <c r="N6665" s="7" t="str">
        <f t="shared" si="527"/>
        <v/>
      </c>
      <c r="O6665" s="8"/>
      <c r="P6665" s="26"/>
      <c r="S6665" s="10" t="str">
        <f t="shared" si="524"/>
        <v/>
      </c>
    </row>
    <row r="6666" spans="5:19" x14ac:dyDescent="0.3">
      <c r="E6666" s="9" t="str">
        <f>IF(DADOS!C6666="","",DADOS!C6666)</f>
        <v/>
      </c>
      <c r="F6666" s="9" t="str">
        <f>IF(DADOS!E6666="","",DADOS!E6666)</f>
        <v/>
      </c>
      <c r="G6666" s="9" t="str">
        <f>IF(DADOS!F6666="","",DADOS!F6666)</f>
        <v/>
      </c>
      <c r="K6666" s="6" t="str">
        <f t="shared" si="525"/>
        <v/>
      </c>
      <c r="L6666" s="7" t="str">
        <f t="shared" si="526"/>
        <v/>
      </c>
      <c r="M6666" s="7" t="str">
        <f t="shared" si="523"/>
        <v/>
      </c>
      <c r="N6666" s="7" t="str">
        <f t="shared" si="527"/>
        <v/>
      </c>
      <c r="O6666" s="8"/>
      <c r="P6666" s="26"/>
      <c r="S6666" s="10" t="str">
        <f t="shared" si="524"/>
        <v/>
      </c>
    </row>
    <row r="6667" spans="5:19" x14ac:dyDescent="0.3">
      <c r="E6667" s="9" t="str">
        <f>IF(DADOS!C6667="","",DADOS!C6667)</f>
        <v/>
      </c>
      <c r="F6667" s="9" t="str">
        <f>IF(DADOS!E6667="","",DADOS!E6667)</f>
        <v/>
      </c>
      <c r="G6667" s="9" t="str">
        <f>IF(DADOS!F6667="","",DADOS!F6667)</f>
        <v/>
      </c>
      <c r="K6667" s="6" t="str">
        <f t="shared" si="525"/>
        <v/>
      </c>
      <c r="L6667" s="7" t="str">
        <f t="shared" si="526"/>
        <v/>
      </c>
      <c r="M6667" s="7" t="str">
        <f t="shared" si="523"/>
        <v/>
      </c>
      <c r="N6667" s="7" t="str">
        <f t="shared" si="527"/>
        <v/>
      </c>
      <c r="O6667" s="8"/>
      <c r="P6667" s="26"/>
      <c r="S6667" s="10" t="str">
        <f t="shared" si="524"/>
        <v/>
      </c>
    </row>
    <row r="6668" spans="5:19" x14ac:dyDescent="0.3">
      <c r="E6668" s="9" t="str">
        <f>IF(DADOS!C6668="","",DADOS!C6668)</f>
        <v/>
      </c>
      <c r="F6668" s="9" t="str">
        <f>IF(DADOS!E6668="","",DADOS!E6668)</f>
        <v/>
      </c>
      <c r="G6668" s="9" t="str">
        <f>IF(DADOS!F6668="","",DADOS!F6668)</f>
        <v/>
      </c>
      <c r="K6668" s="6" t="str">
        <f t="shared" si="525"/>
        <v/>
      </c>
      <c r="L6668" s="7" t="str">
        <f t="shared" si="526"/>
        <v/>
      </c>
      <c r="M6668" s="7" t="str">
        <f t="shared" si="523"/>
        <v/>
      </c>
      <c r="N6668" s="7" t="str">
        <f t="shared" si="527"/>
        <v/>
      </c>
      <c r="O6668" s="8"/>
      <c r="P6668" s="26"/>
      <c r="S6668" s="10" t="str">
        <f t="shared" si="524"/>
        <v/>
      </c>
    </row>
    <row r="6669" spans="5:19" x14ac:dyDescent="0.3">
      <c r="E6669" s="9" t="str">
        <f>IF(DADOS!C6669="","",DADOS!C6669)</f>
        <v/>
      </c>
      <c r="F6669" s="9" t="str">
        <f>IF(DADOS!E6669="","",DADOS!E6669)</f>
        <v/>
      </c>
      <c r="G6669" s="9" t="str">
        <f>IF(DADOS!F6669="","",DADOS!F6669)</f>
        <v/>
      </c>
      <c r="K6669" s="6" t="str">
        <f t="shared" si="525"/>
        <v/>
      </c>
      <c r="L6669" s="7" t="str">
        <f t="shared" si="526"/>
        <v/>
      </c>
      <c r="M6669" s="7" t="str">
        <f t="shared" si="523"/>
        <v/>
      </c>
      <c r="N6669" s="7" t="str">
        <f t="shared" si="527"/>
        <v/>
      </c>
      <c r="O6669" s="8"/>
      <c r="P6669" s="26"/>
      <c r="S6669" s="10" t="str">
        <f t="shared" si="524"/>
        <v/>
      </c>
    </row>
    <row r="6670" spans="5:19" x14ac:dyDescent="0.3">
      <c r="E6670" s="9" t="str">
        <f>IF(DADOS!C6670="","",DADOS!C6670)</f>
        <v/>
      </c>
      <c r="F6670" s="9" t="str">
        <f>IF(DADOS!E6670="","",DADOS!E6670)</f>
        <v/>
      </c>
      <c r="G6670" s="9" t="str">
        <f>IF(DADOS!F6670="","",DADOS!F6670)</f>
        <v/>
      </c>
      <c r="K6670" s="6" t="str">
        <f t="shared" si="525"/>
        <v/>
      </c>
      <c r="L6670" s="7" t="str">
        <f t="shared" si="526"/>
        <v/>
      </c>
      <c r="M6670" s="7" t="str">
        <f t="shared" si="523"/>
        <v/>
      </c>
      <c r="N6670" s="7" t="str">
        <f t="shared" si="527"/>
        <v/>
      </c>
      <c r="O6670" s="8"/>
      <c r="P6670" s="26"/>
      <c r="S6670" s="10" t="str">
        <f t="shared" si="524"/>
        <v/>
      </c>
    </row>
    <row r="6671" spans="5:19" x14ac:dyDescent="0.3">
      <c r="E6671" s="9" t="str">
        <f>IF(DADOS!C6671="","",DADOS!C6671)</f>
        <v/>
      </c>
      <c r="F6671" s="9" t="str">
        <f>IF(DADOS!E6671="","",DADOS!E6671)</f>
        <v/>
      </c>
      <c r="G6671" s="9" t="str">
        <f>IF(DADOS!F6671="","",DADOS!F6671)</f>
        <v/>
      </c>
      <c r="K6671" s="6" t="str">
        <f t="shared" si="525"/>
        <v/>
      </c>
      <c r="L6671" s="7" t="str">
        <f t="shared" si="526"/>
        <v/>
      </c>
      <c r="M6671" s="7" t="str">
        <f t="shared" si="523"/>
        <v/>
      </c>
      <c r="N6671" s="7" t="str">
        <f t="shared" si="527"/>
        <v/>
      </c>
      <c r="O6671" s="8"/>
      <c r="P6671" s="26"/>
      <c r="S6671" s="10" t="str">
        <f t="shared" si="524"/>
        <v/>
      </c>
    </row>
    <row r="6672" spans="5:19" x14ac:dyDescent="0.3">
      <c r="E6672" s="9" t="str">
        <f>IF(DADOS!C6672="","",DADOS!C6672)</f>
        <v/>
      </c>
      <c r="F6672" s="9" t="str">
        <f>IF(DADOS!E6672="","",DADOS!E6672)</f>
        <v/>
      </c>
      <c r="G6672" s="9" t="str">
        <f>IF(DADOS!F6672="","",DADOS!F6672)</f>
        <v/>
      </c>
      <c r="K6672" s="6" t="str">
        <f t="shared" si="525"/>
        <v/>
      </c>
      <c r="L6672" s="7" t="str">
        <f t="shared" si="526"/>
        <v/>
      </c>
      <c r="M6672" s="7" t="str">
        <f t="shared" si="523"/>
        <v/>
      </c>
      <c r="N6672" s="7" t="str">
        <f t="shared" si="527"/>
        <v/>
      </c>
      <c r="O6672" s="8"/>
      <c r="P6672" s="26"/>
      <c r="S6672" s="10" t="str">
        <f t="shared" si="524"/>
        <v/>
      </c>
    </row>
    <row r="6673" spans="5:19" x14ac:dyDescent="0.3">
      <c r="E6673" s="9" t="str">
        <f>IF(DADOS!C6673="","",DADOS!C6673)</f>
        <v/>
      </c>
      <c r="F6673" s="9" t="str">
        <f>IF(DADOS!E6673="","",DADOS!E6673)</f>
        <v/>
      </c>
      <c r="G6673" s="9" t="str">
        <f>IF(DADOS!F6673="","",DADOS!F6673)</f>
        <v/>
      </c>
      <c r="K6673" s="6" t="str">
        <f t="shared" si="525"/>
        <v/>
      </c>
      <c r="L6673" s="7" t="str">
        <f t="shared" si="526"/>
        <v/>
      </c>
      <c r="M6673" s="7" t="str">
        <f t="shared" si="523"/>
        <v/>
      </c>
      <c r="N6673" s="7" t="str">
        <f t="shared" si="527"/>
        <v/>
      </c>
      <c r="O6673" s="8"/>
      <c r="P6673" s="26"/>
      <c r="S6673" s="10" t="str">
        <f t="shared" si="524"/>
        <v/>
      </c>
    </row>
    <row r="6674" spans="5:19" x14ac:dyDescent="0.3">
      <c r="E6674" s="9" t="str">
        <f>IF(DADOS!C6674="","",DADOS!C6674)</f>
        <v/>
      </c>
      <c r="F6674" s="9" t="str">
        <f>IF(DADOS!E6674="","",DADOS!E6674)</f>
        <v/>
      </c>
      <c r="G6674" s="9" t="str">
        <f>IF(DADOS!F6674="","",DADOS!F6674)</f>
        <v/>
      </c>
      <c r="K6674" s="6" t="str">
        <f t="shared" si="525"/>
        <v/>
      </c>
      <c r="L6674" s="7" t="str">
        <f t="shared" si="526"/>
        <v/>
      </c>
      <c r="M6674" s="7" t="str">
        <f t="shared" si="523"/>
        <v/>
      </c>
      <c r="N6674" s="7" t="str">
        <f t="shared" si="527"/>
        <v/>
      </c>
      <c r="O6674" s="8"/>
      <c r="P6674" s="26"/>
      <c r="S6674" s="10" t="str">
        <f t="shared" si="524"/>
        <v/>
      </c>
    </row>
    <row r="6675" spans="5:19" x14ac:dyDescent="0.3">
      <c r="E6675" s="9" t="str">
        <f>IF(DADOS!C6675="","",DADOS!C6675)</f>
        <v/>
      </c>
      <c r="F6675" s="9" t="str">
        <f>IF(DADOS!E6675="","",DADOS!E6675)</f>
        <v/>
      </c>
      <c r="G6675" s="9" t="str">
        <f>IF(DADOS!F6675="","",DADOS!F6675)</f>
        <v/>
      </c>
      <c r="K6675" s="6" t="str">
        <f t="shared" si="525"/>
        <v/>
      </c>
      <c r="L6675" s="7" t="str">
        <f t="shared" si="526"/>
        <v/>
      </c>
      <c r="M6675" s="7" t="str">
        <f t="shared" si="523"/>
        <v/>
      </c>
      <c r="N6675" s="7" t="str">
        <f t="shared" si="527"/>
        <v/>
      </c>
      <c r="O6675" s="8"/>
      <c r="P6675" s="26"/>
      <c r="S6675" s="10" t="str">
        <f t="shared" si="524"/>
        <v/>
      </c>
    </row>
    <row r="6676" spans="5:19" x14ac:dyDescent="0.3">
      <c r="E6676" s="9" t="str">
        <f>IF(DADOS!C6676="","",DADOS!C6676)</f>
        <v/>
      </c>
      <c r="F6676" s="9" t="str">
        <f>IF(DADOS!E6676="","",DADOS!E6676)</f>
        <v/>
      </c>
      <c r="G6676" s="9" t="str">
        <f>IF(DADOS!F6676="","",DADOS!F6676)</f>
        <v/>
      </c>
      <c r="K6676" s="6" t="str">
        <f t="shared" si="525"/>
        <v/>
      </c>
      <c r="L6676" s="7" t="str">
        <f t="shared" si="526"/>
        <v/>
      </c>
      <c r="M6676" s="7" t="str">
        <f t="shared" si="523"/>
        <v/>
      </c>
      <c r="N6676" s="7" t="str">
        <f t="shared" si="527"/>
        <v/>
      </c>
      <c r="O6676" s="8"/>
      <c r="P6676" s="26"/>
      <c r="S6676" s="10" t="str">
        <f t="shared" si="524"/>
        <v/>
      </c>
    </row>
    <row r="6677" spans="5:19" x14ac:dyDescent="0.3">
      <c r="E6677" s="9" t="str">
        <f>IF(DADOS!C6677="","",DADOS!C6677)</f>
        <v/>
      </c>
      <c r="F6677" s="9" t="str">
        <f>IF(DADOS!E6677="","",DADOS!E6677)</f>
        <v/>
      </c>
      <c r="G6677" s="9" t="str">
        <f>IF(DADOS!F6677="","",DADOS!F6677)</f>
        <v/>
      </c>
      <c r="K6677" s="6" t="str">
        <f t="shared" si="525"/>
        <v/>
      </c>
      <c r="L6677" s="7" t="str">
        <f t="shared" si="526"/>
        <v/>
      </c>
      <c r="M6677" s="7" t="str">
        <f t="shared" si="523"/>
        <v/>
      </c>
      <c r="N6677" s="7" t="str">
        <f t="shared" si="527"/>
        <v/>
      </c>
      <c r="O6677" s="8"/>
      <c r="P6677" s="26"/>
      <c r="S6677" s="10" t="str">
        <f t="shared" si="524"/>
        <v/>
      </c>
    </row>
    <row r="6678" spans="5:19" x14ac:dyDescent="0.3">
      <c r="E6678" s="9" t="str">
        <f>IF(DADOS!C6678="","",DADOS!C6678)</f>
        <v/>
      </c>
      <c r="F6678" s="9" t="str">
        <f>IF(DADOS!E6678="","",DADOS!E6678)</f>
        <v/>
      </c>
      <c r="G6678" s="9" t="str">
        <f>IF(DADOS!F6678="","",DADOS!F6678)</f>
        <v/>
      </c>
      <c r="K6678" s="6" t="str">
        <f t="shared" si="525"/>
        <v/>
      </c>
      <c r="L6678" s="7" t="str">
        <f t="shared" si="526"/>
        <v/>
      </c>
      <c r="M6678" s="7" t="str">
        <f t="shared" si="523"/>
        <v/>
      </c>
      <c r="N6678" s="7" t="str">
        <f t="shared" si="527"/>
        <v/>
      </c>
      <c r="O6678" s="8"/>
      <c r="P6678" s="26"/>
      <c r="S6678" s="10" t="str">
        <f t="shared" si="524"/>
        <v/>
      </c>
    </row>
    <row r="6679" spans="5:19" x14ac:dyDescent="0.3">
      <c r="E6679" s="9" t="str">
        <f>IF(DADOS!C6679="","",DADOS!C6679)</f>
        <v/>
      </c>
      <c r="F6679" s="9" t="str">
        <f>IF(DADOS!E6679="","",DADOS!E6679)</f>
        <v/>
      </c>
      <c r="G6679" s="9" t="str">
        <f>IF(DADOS!F6679="","",DADOS!F6679)</f>
        <v/>
      </c>
      <c r="K6679" s="6" t="str">
        <f t="shared" si="525"/>
        <v/>
      </c>
      <c r="L6679" s="7" t="str">
        <f t="shared" si="526"/>
        <v/>
      </c>
      <c r="M6679" s="7" t="str">
        <f t="shared" si="523"/>
        <v/>
      </c>
      <c r="N6679" s="7" t="str">
        <f t="shared" si="527"/>
        <v/>
      </c>
      <c r="O6679" s="8"/>
      <c r="P6679" s="26"/>
      <c r="S6679" s="10" t="str">
        <f t="shared" si="524"/>
        <v/>
      </c>
    </row>
    <row r="6680" spans="5:19" x14ac:dyDescent="0.3">
      <c r="E6680" s="9" t="str">
        <f>IF(DADOS!C6680="","",DADOS!C6680)</f>
        <v/>
      </c>
      <c r="F6680" s="9" t="str">
        <f>IF(DADOS!E6680="","",DADOS!E6680)</f>
        <v/>
      </c>
      <c r="G6680" s="9" t="str">
        <f>IF(DADOS!F6680="","",DADOS!F6680)</f>
        <v/>
      </c>
      <c r="K6680" s="6" t="str">
        <f t="shared" si="525"/>
        <v/>
      </c>
      <c r="L6680" s="7" t="str">
        <f t="shared" si="526"/>
        <v/>
      </c>
      <c r="M6680" s="7" t="str">
        <f t="shared" si="523"/>
        <v/>
      </c>
      <c r="N6680" s="7" t="str">
        <f t="shared" si="527"/>
        <v/>
      </c>
      <c r="O6680" s="8"/>
      <c r="P6680" s="26"/>
      <c r="S6680" s="10" t="str">
        <f t="shared" si="524"/>
        <v/>
      </c>
    </row>
    <row r="6681" spans="5:19" x14ac:dyDescent="0.3">
      <c r="E6681" s="9" t="str">
        <f>IF(DADOS!C6681="","",DADOS!C6681)</f>
        <v/>
      </c>
      <c r="F6681" s="9" t="str">
        <f>IF(DADOS!E6681="","",DADOS!E6681)</f>
        <v/>
      </c>
      <c r="G6681" s="9" t="str">
        <f>IF(DADOS!F6681="","",DADOS!F6681)</f>
        <v/>
      </c>
      <c r="K6681" s="6" t="str">
        <f t="shared" si="525"/>
        <v/>
      </c>
      <c r="L6681" s="7" t="str">
        <f t="shared" si="526"/>
        <v/>
      </c>
      <c r="M6681" s="7" t="str">
        <f t="shared" si="523"/>
        <v/>
      </c>
      <c r="N6681" s="7" t="str">
        <f t="shared" si="527"/>
        <v/>
      </c>
      <c r="O6681" s="8"/>
      <c r="P6681" s="26"/>
      <c r="S6681" s="10" t="str">
        <f t="shared" si="524"/>
        <v/>
      </c>
    </row>
    <row r="6682" spans="5:19" x14ac:dyDescent="0.3">
      <c r="E6682" s="9" t="str">
        <f>IF(DADOS!C6682="","",DADOS!C6682)</f>
        <v/>
      </c>
      <c r="F6682" s="9" t="str">
        <f>IF(DADOS!E6682="","",DADOS!E6682)</f>
        <v/>
      </c>
      <c r="G6682" s="9" t="str">
        <f>IF(DADOS!F6682="","",DADOS!F6682)</f>
        <v/>
      </c>
      <c r="K6682" s="6" t="str">
        <f t="shared" si="525"/>
        <v/>
      </c>
      <c r="L6682" s="7" t="str">
        <f t="shared" si="526"/>
        <v/>
      </c>
      <c r="M6682" s="7" t="str">
        <f t="shared" si="523"/>
        <v/>
      </c>
      <c r="N6682" s="7" t="str">
        <f t="shared" si="527"/>
        <v/>
      </c>
      <c r="O6682" s="8"/>
      <c r="P6682" s="26"/>
      <c r="S6682" s="10" t="str">
        <f t="shared" si="524"/>
        <v/>
      </c>
    </row>
    <row r="6683" spans="5:19" x14ac:dyDescent="0.3">
      <c r="E6683" s="9" t="str">
        <f>IF(DADOS!C6683="","",DADOS!C6683)</f>
        <v/>
      </c>
      <c r="F6683" s="9" t="str">
        <f>IF(DADOS!E6683="","",DADOS!E6683)</f>
        <v/>
      </c>
      <c r="G6683" s="9" t="str">
        <f>IF(DADOS!F6683="","",DADOS!F6683)</f>
        <v/>
      </c>
      <c r="K6683" s="6" t="str">
        <f t="shared" si="525"/>
        <v/>
      </c>
      <c r="L6683" s="7" t="str">
        <f t="shared" si="526"/>
        <v/>
      </c>
      <c r="M6683" s="7" t="str">
        <f t="shared" si="523"/>
        <v/>
      </c>
      <c r="N6683" s="7" t="str">
        <f t="shared" si="527"/>
        <v/>
      </c>
      <c r="O6683" s="8"/>
      <c r="P6683" s="26"/>
      <c r="S6683" s="10" t="str">
        <f t="shared" si="524"/>
        <v/>
      </c>
    </row>
    <row r="6684" spans="5:19" x14ac:dyDescent="0.3">
      <c r="E6684" s="9" t="str">
        <f>IF(DADOS!C6684="","",DADOS!C6684)</f>
        <v/>
      </c>
      <c r="F6684" s="9" t="str">
        <f>IF(DADOS!E6684="","",DADOS!E6684)</f>
        <v/>
      </c>
      <c r="G6684" s="9" t="str">
        <f>IF(DADOS!F6684="","",DADOS!F6684)</f>
        <v/>
      </c>
      <c r="K6684" s="6" t="str">
        <f t="shared" si="525"/>
        <v/>
      </c>
      <c r="L6684" s="7" t="str">
        <f t="shared" si="526"/>
        <v/>
      </c>
      <c r="M6684" s="7" t="str">
        <f t="shared" si="523"/>
        <v/>
      </c>
      <c r="N6684" s="7" t="str">
        <f t="shared" si="527"/>
        <v/>
      </c>
      <c r="O6684" s="8"/>
      <c r="P6684" s="26"/>
      <c r="S6684" s="10" t="str">
        <f t="shared" si="524"/>
        <v/>
      </c>
    </row>
    <row r="6685" spans="5:19" x14ac:dyDescent="0.3">
      <c r="E6685" s="9" t="str">
        <f>IF(DADOS!C6685="","",DADOS!C6685)</f>
        <v/>
      </c>
      <c r="F6685" s="9" t="str">
        <f>IF(DADOS!E6685="","",DADOS!E6685)</f>
        <v/>
      </c>
      <c r="G6685" s="9" t="str">
        <f>IF(DADOS!F6685="","",DADOS!F6685)</f>
        <v/>
      </c>
      <c r="K6685" s="6" t="str">
        <f t="shared" si="525"/>
        <v/>
      </c>
      <c r="L6685" s="7" t="str">
        <f t="shared" si="526"/>
        <v/>
      </c>
      <c r="M6685" s="7" t="str">
        <f t="shared" si="523"/>
        <v/>
      </c>
      <c r="N6685" s="7" t="str">
        <f t="shared" si="527"/>
        <v/>
      </c>
      <c r="O6685" s="8"/>
      <c r="P6685" s="26"/>
      <c r="S6685" s="10" t="str">
        <f t="shared" si="524"/>
        <v/>
      </c>
    </row>
    <row r="6686" spans="5:19" x14ac:dyDescent="0.3">
      <c r="E6686" s="9" t="str">
        <f>IF(DADOS!C6686="","",DADOS!C6686)</f>
        <v/>
      </c>
      <c r="F6686" s="9" t="str">
        <f>IF(DADOS!E6686="","",DADOS!E6686)</f>
        <v/>
      </c>
      <c r="G6686" s="9" t="str">
        <f>IF(DADOS!F6686="","",DADOS!F6686)</f>
        <v/>
      </c>
      <c r="K6686" s="6" t="str">
        <f t="shared" si="525"/>
        <v/>
      </c>
      <c r="L6686" s="7" t="str">
        <f t="shared" si="526"/>
        <v/>
      </c>
      <c r="M6686" s="7" t="str">
        <f t="shared" si="523"/>
        <v/>
      </c>
      <c r="N6686" s="7" t="str">
        <f t="shared" si="527"/>
        <v/>
      </c>
      <c r="O6686" s="8"/>
      <c r="P6686" s="26"/>
      <c r="S6686" s="10" t="str">
        <f t="shared" si="524"/>
        <v/>
      </c>
    </row>
    <row r="6687" spans="5:19" x14ac:dyDescent="0.3">
      <c r="E6687" s="9" t="str">
        <f>IF(DADOS!C6687="","",DADOS!C6687)</f>
        <v/>
      </c>
      <c r="F6687" s="9" t="str">
        <f>IF(DADOS!E6687="","",DADOS!E6687)</f>
        <v/>
      </c>
      <c r="G6687" s="9" t="str">
        <f>IF(DADOS!F6687="","",DADOS!F6687)</f>
        <v/>
      </c>
      <c r="K6687" s="6" t="str">
        <f t="shared" si="525"/>
        <v/>
      </c>
      <c r="L6687" s="7" t="str">
        <f t="shared" si="526"/>
        <v/>
      </c>
      <c r="M6687" s="7" t="str">
        <f t="shared" si="523"/>
        <v/>
      </c>
      <c r="N6687" s="7" t="str">
        <f t="shared" si="527"/>
        <v/>
      </c>
      <c r="O6687" s="8"/>
      <c r="P6687" s="26"/>
      <c r="S6687" s="10" t="str">
        <f t="shared" si="524"/>
        <v/>
      </c>
    </row>
    <row r="6688" spans="5:19" x14ac:dyDescent="0.3">
      <c r="E6688" s="9" t="str">
        <f>IF(DADOS!C6688="","",DADOS!C6688)</f>
        <v/>
      </c>
      <c r="F6688" s="9" t="str">
        <f>IF(DADOS!E6688="","",DADOS!E6688)</f>
        <v/>
      </c>
      <c r="G6688" s="9" t="str">
        <f>IF(DADOS!F6688="","",DADOS!F6688)</f>
        <v/>
      </c>
      <c r="K6688" s="6" t="str">
        <f t="shared" si="525"/>
        <v/>
      </c>
      <c r="L6688" s="7" t="str">
        <f t="shared" si="526"/>
        <v/>
      </c>
      <c r="M6688" s="7" t="str">
        <f t="shared" si="523"/>
        <v/>
      </c>
      <c r="N6688" s="7" t="str">
        <f t="shared" si="527"/>
        <v/>
      </c>
      <c r="O6688" s="8"/>
      <c r="P6688" s="26"/>
      <c r="S6688" s="10" t="str">
        <f t="shared" si="524"/>
        <v/>
      </c>
    </row>
    <row r="6689" spans="5:19" x14ac:dyDescent="0.3">
      <c r="E6689" s="9" t="str">
        <f>IF(DADOS!C6689="","",DADOS!C6689)</f>
        <v/>
      </c>
      <c r="F6689" s="9" t="str">
        <f>IF(DADOS!E6689="","",DADOS!E6689)</f>
        <v/>
      </c>
      <c r="G6689" s="9" t="str">
        <f>IF(DADOS!F6689="","",DADOS!F6689)</f>
        <v/>
      </c>
      <c r="K6689" s="6" t="str">
        <f t="shared" si="525"/>
        <v/>
      </c>
      <c r="L6689" s="7" t="str">
        <f t="shared" si="526"/>
        <v/>
      </c>
      <c r="M6689" s="7" t="str">
        <f t="shared" si="523"/>
        <v/>
      </c>
      <c r="N6689" s="7" t="str">
        <f t="shared" si="527"/>
        <v/>
      </c>
      <c r="O6689" s="8"/>
      <c r="P6689" s="26"/>
      <c r="S6689" s="10" t="str">
        <f t="shared" si="524"/>
        <v/>
      </c>
    </row>
    <row r="6690" spans="5:19" x14ac:dyDescent="0.3">
      <c r="E6690" s="9" t="str">
        <f>IF(DADOS!C6690="","",DADOS!C6690)</f>
        <v/>
      </c>
      <c r="F6690" s="9" t="str">
        <f>IF(DADOS!E6690="","",DADOS!E6690)</f>
        <v/>
      </c>
      <c r="G6690" s="9" t="str">
        <f>IF(DADOS!F6690="","",DADOS!F6690)</f>
        <v/>
      </c>
      <c r="K6690" s="6" t="str">
        <f t="shared" si="525"/>
        <v/>
      </c>
      <c r="L6690" s="7" t="str">
        <f t="shared" si="526"/>
        <v/>
      </c>
      <c r="M6690" s="7" t="str">
        <f t="shared" si="523"/>
        <v/>
      </c>
      <c r="N6690" s="7" t="str">
        <f t="shared" si="527"/>
        <v/>
      </c>
      <c r="O6690" s="8"/>
      <c r="P6690" s="26"/>
      <c r="S6690" s="10" t="str">
        <f t="shared" si="524"/>
        <v/>
      </c>
    </row>
    <row r="6691" spans="5:19" x14ac:dyDescent="0.3">
      <c r="E6691" s="9" t="str">
        <f>IF(DADOS!C6691="","",DADOS!C6691)</f>
        <v/>
      </c>
      <c r="F6691" s="9" t="str">
        <f>IF(DADOS!E6691="","",DADOS!E6691)</f>
        <v/>
      </c>
      <c r="G6691" s="9" t="str">
        <f>IF(DADOS!F6691="","",DADOS!F6691)</f>
        <v/>
      </c>
      <c r="K6691" s="6" t="str">
        <f t="shared" si="525"/>
        <v/>
      </c>
      <c r="L6691" s="7" t="str">
        <f t="shared" si="526"/>
        <v/>
      </c>
      <c r="M6691" s="7" t="str">
        <f t="shared" si="523"/>
        <v/>
      </c>
      <c r="N6691" s="7" t="str">
        <f t="shared" si="527"/>
        <v/>
      </c>
      <c r="O6691" s="8"/>
      <c r="P6691" s="26"/>
      <c r="S6691" s="10" t="str">
        <f t="shared" si="524"/>
        <v/>
      </c>
    </row>
    <row r="6692" spans="5:19" x14ac:dyDescent="0.3">
      <c r="E6692" s="9" t="str">
        <f>IF(DADOS!C6692="","",DADOS!C6692)</f>
        <v/>
      </c>
      <c r="F6692" s="9" t="str">
        <f>IF(DADOS!E6692="","",DADOS!E6692)</f>
        <v/>
      </c>
      <c r="G6692" s="9" t="str">
        <f>IF(DADOS!F6692="","",DADOS!F6692)</f>
        <v/>
      </c>
      <c r="K6692" s="6" t="str">
        <f t="shared" si="525"/>
        <v/>
      </c>
      <c r="L6692" s="7" t="str">
        <f t="shared" si="526"/>
        <v/>
      </c>
      <c r="M6692" s="7" t="str">
        <f t="shared" si="523"/>
        <v/>
      </c>
      <c r="N6692" s="7" t="str">
        <f t="shared" si="527"/>
        <v/>
      </c>
      <c r="O6692" s="8"/>
      <c r="P6692" s="26"/>
      <c r="S6692" s="10" t="str">
        <f t="shared" si="524"/>
        <v/>
      </c>
    </row>
    <row r="6693" spans="5:19" x14ac:dyDescent="0.3">
      <c r="E6693" s="9" t="str">
        <f>IF(DADOS!C6693="","",DADOS!C6693)</f>
        <v/>
      </c>
      <c r="F6693" s="9" t="str">
        <f>IF(DADOS!E6693="","",DADOS!E6693)</f>
        <v/>
      </c>
      <c r="G6693" s="9" t="str">
        <f>IF(DADOS!F6693="","",DADOS!F6693)</f>
        <v/>
      </c>
      <c r="K6693" s="6" t="str">
        <f t="shared" si="525"/>
        <v/>
      </c>
      <c r="L6693" s="7" t="str">
        <f t="shared" si="526"/>
        <v/>
      </c>
      <c r="M6693" s="7" t="str">
        <f t="shared" si="523"/>
        <v/>
      </c>
      <c r="N6693" s="7" t="str">
        <f t="shared" si="527"/>
        <v/>
      </c>
      <c r="O6693" s="8"/>
      <c r="P6693" s="26"/>
      <c r="S6693" s="10" t="str">
        <f t="shared" si="524"/>
        <v/>
      </c>
    </row>
    <row r="6694" spans="5:19" x14ac:dyDescent="0.3">
      <c r="E6694" s="9" t="str">
        <f>IF(DADOS!C6694="","",DADOS!C6694)</f>
        <v/>
      </c>
      <c r="F6694" s="9" t="str">
        <f>IF(DADOS!E6694="","",DADOS!E6694)</f>
        <v/>
      </c>
      <c r="G6694" s="9" t="str">
        <f>IF(DADOS!F6694="","",DADOS!F6694)</f>
        <v/>
      </c>
      <c r="K6694" s="6" t="str">
        <f t="shared" si="525"/>
        <v/>
      </c>
      <c r="L6694" s="7" t="str">
        <f t="shared" si="526"/>
        <v/>
      </c>
      <c r="M6694" s="7" t="str">
        <f t="shared" si="523"/>
        <v/>
      </c>
      <c r="N6694" s="7" t="str">
        <f t="shared" si="527"/>
        <v/>
      </c>
      <c r="O6694" s="8"/>
      <c r="P6694" s="26"/>
      <c r="S6694" s="10" t="str">
        <f t="shared" si="524"/>
        <v/>
      </c>
    </row>
    <row r="6695" spans="5:19" x14ac:dyDescent="0.3">
      <c r="E6695" s="9" t="str">
        <f>IF(DADOS!C6695="","",DADOS!C6695)</f>
        <v/>
      </c>
      <c r="F6695" s="9" t="str">
        <f>IF(DADOS!E6695="","",DADOS!E6695)</f>
        <v/>
      </c>
      <c r="G6695" s="9" t="str">
        <f>IF(DADOS!F6695="","",DADOS!F6695)</f>
        <v/>
      </c>
      <c r="K6695" s="6" t="str">
        <f t="shared" si="525"/>
        <v/>
      </c>
      <c r="L6695" s="7" t="str">
        <f t="shared" si="526"/>
        <v/>
      </c>
      <c r="M6695" s="7" t="str">
        <f t="shared" si="523"/>
        <v/>
      </c>
      <c r="N6695" s="7" t="str">
        <f t="shared" si="527"/>
        <v/>
      </c>
      <c r="O6695" s="8"/>
      <c r="P6695" s="26"/>
      <c r="S6695" s="10" t="str">
        <f t="shared" si="524"/>
        <v/>
      </c>
    </row>
    <row r="6696" spans="5:19" x14ac:dyDescent="0.3">
      <c r="E6696" s="9" t="str">
        <f>IF(DADOS!C6696="","",DADOS!C6696)</f>
        <v/>
      </c>
      <c r="F6696" s="9" t="str">
        <f>IF(DADOS!E6696="","",DADOS!E6696)</f>
        <v/>
      </c>
      <c r="G6696" s="9" t="str">
        <f>IF(DADOS!F6696="","",DADOS!F6696)</f>
        <v/>
      </c>
      <c r="K6696" s="6" t="str">
        <f t="shared" si="525"/>
        <v/>
      </c>
      <c r="L6696" s="7" t="str">
        <f t="shared" si="526"/>
        <v/>
      </c>
      <c r="M6696" s="7" t="str">
        <f t="shared" si="523"/>
        <v/>
      </c>
      <c r="N6696" s="7" t="str">
        <f t="shared" si="527"/>
        <v/>
      </c>
      <c r="O6696" s="8"/>
      <c r="P6696" s="26"/>
      <c r="S6696" s="10" t="str">
        <f t="shared" si="524"/>
        <v/>
      </c>
    </row>
    <row r="6697" spans="5:19" x14ac:dyDescent="0.3">
      <c r="E6697" s="9" t="str">
        <f>IF(DADOS!C6697="","",DADOS!C6697)</f>
        <v/>
      </c>
      <c r="F6697" s="9" t="str">
        <f>IF(DADOS!E6697="","",DADOS!E6697)</f>
        <v/>
      </c>
      <c r="G6697" s="9" t="str">
        <f>IF(DADOS!F6697="","",DADOS!F6697)</f>
        <v/>
      </c>
      <c r="K6697" s="6" t="str">
        <f t="shared" si="525"/>
        <v/>
      </c>
      <c r="L6697" s="7" t="str">
        <f t="shared" si="526"/>
        <v/>
      </c>
      <c r="M6697" s="7" t="str">
        <f t="shared" si="523"/>
        <v/>
      </c>
      <c r="N6697" s="7" t="str">
        <f t="shared" si="527"/>
        <v/>
      </c>
      <c r="O6697" s="8"/>
      <c r="P6697" s="26"/>
      <c r="S6697" s="10" t="str">
        <f t="shared" si="524"/>
        <v/>
      </c>
    </row>
    <row r="6698" spans="5:19" x14ac:dyDescent="0.3">
      <c r="E6698" s="9" t="str">
        <f>IF(DADOS!C6698="","",DADOS!C6698)</f>
        <v/>
      </c>
      <c r="F6698" s="9" t="str">
        <f>IF(DADOS!E6698="","",DADOS!E6698)</f>
        <v/>
      </c>
      <c r="G6698" s="9" t="str">
        <f>IF(DADOS!F6698="","",DADOS!F6698)</f>
        <v/>
      </c>
      <c r="K6698" s="6" t="str">
        <f t="shared" si="525"/>
        <v/>
      </c>
      <c r="L6698" s="7" t="str">
        <f t="shared" si="526"/>
        <v/>
      </c>
      <c r="M6698" s="7" t="str">
        <f t="shared" si="523"/>
        <v/>
      </c>
      <c r="N6698" s="7" t="str">
        <f t="shared" si="527"/>
        <v/>
      </c>
      <c r="O6698" s="8"/>
      <c r="P6698" s="26"/>
      <c r="S6698" s="10" t="str">
        <f t="shared" si="524"/>
        <v/>
      </c>
    </row>
    <row r="6699" spans="5:19" x14ac:dyDescent="0.3">
      <c r="E6699" s="9" t="str">
        <f>IF(DADOS!C6699="","",DADOS!C6699)</f>
        <v/>
      </c>
      <c r="F6699" s="9" t="str">
        <f>IF(DADOS!E6699="","",DADOS!E6699)</f>
        <v/>
      </c>
      <c r="G6699" s="9" t="str">
        <f>IF(DADOS!F6699="","",DADOS!F6699)</f>
        <v/>
      </c>
      <c r="K6699" s="6" t="str">
        <f t="shared" si="525"/>
        <v/>
      </c>
      <c r="L6699" s="7" t="str">
        <f t="shared" si="526"/>
        <v/>
      </c>
      <c r="M6699" s="7" t="str">
        <f t="shared" si="523"/>
        <v/>
      </c>
      <c r="N6699" s="7" t="str">
        <f t="shared" si="527"/>
        <v/>
      </c>
      <c r="O6699" s="8"/>
      <c r="P6699" s="26"/>
      <c r="S6699" s="10" t="str">
        <f t="shared" si="524"/>
        <v/>
      </c>
    </row>
    <row r="6700" spans="5:19" x14ac:dyDescent="0.3">
      <c r="E6700" s="9" t="str">
        <f>IF(DADOS!C6700="","",DADOS!C6700)</f>
        <v/>
      </c>
      <c r="F6700" s="9" t="str">
        <f>IF(DADOS!E6700="","",DADOS!E6700)</f>
        <v/>
      </c>
      <c r="G6700" s="9" t="str">
        <f>IF(DADOS!F6700="","",DADOS!F6700)</f>
        <v/>
      </c>
      <c r="K6700" s="6" t="str">
        <f t="shared" si="525"/>
        <v/>
      </c>
      <c r="L6700" s="7" t="str">
        <f t="shared" si="526"/>
        <v/>
      </c>
      <c r="M6700" s="7" t="str">
        <f t="shared" si="523"/>
        <v/>
      </c>
      <c r="N6700" s="7" t="str">
        <f t="shared" si="527"/>
        <v/>
      </c>
      <c r="O6700" s="8"/>
      <c r="P6700" s="26"/>
      <c r="S6700" s="10" t="str">
        <f t="shared" si="524"/>
        <v/>
      </c>
    </row>
    <row r="6701" spans="5:19" x14ac:dyDescent="0.3">
      <c r="E6701" s="9" t="str">
        <f>IF(DADOS!C6701="","",DADOS!C6701)</f>
        <v/>
      </c>
      <c r="F6701" s="9" t="str">
        <f>IF(DADOS!E6701="","",DADOS!E6701)</f>
        <v/>
      </c>
      <c r="G6701" s="9" t="str">
        <f>IF(DADOS!F6701="","",DADOS!F6701)</f>
        <v/>
      </c>
      <c r="K6701" s="6" t="str">
        <f t="shared" si="525"/>
        <v/>
      </c>
      <c r="L6701" s="7" t="str">
        <f t="shared" si="526"/>
        <v/>
      </c>
      <c r="M6701" s="7" t="str">
        <f t="shared" si="523"/>
        <v/>
      </c>
      <c r="N6701" s="7" t="str">
        <f t="shared" si="527"/>
        <v/>
      </c>
      <c r="O6701" s="8"/>
      <c r="P6701" s="26"/>
      <c r="S6701" s="10" t="str">
        <f t="shared" si="524"/>
        <v/>
      </c>
    </row>
    <row r="6702" spans="5:19" x14ac:dyDescent="0.3">
      <c r="E6702" s="9" t="str">
        <f>IF(DADOS!C6702="","",DADOS!C6702)</f>
        <v/>
      </c>
      <c r="F6702" s="9" t="str">
        <f>IF(DADOS!E6702="","",DADOS!E6702)</f>
        <v/>
      </c>
      <c r="G6702" s="9" t="str">
        <f>IF(DADOS!F6702="","",DADOS!F6702)</f>
        <v/>
      </c>
      <c r="K6702" s="6" t="str">
        <f t="shared" si="525"/>
        <v/>
      </c>
      <c r="L6702" s="7" t="str">
        <f t="shared" si="526"/>
        <v/>
      </c>
      <c r="M6702" s="7" t="str">
        <f t="shared" si="523"/>
        <v/>
      </c>
      <c r="N6702" s="7" t="str">
        <f t="shared" si="527"/>
        <v/>
      </c>
      <c r="O6702" s="8"/>
      <c r="P6702" s="26"/>
      <c r="S6702" s="10" t="str">
        <f t="shared" si="524"/>
        <v/>
      </c>
    </row>
    <row r="6703" spans="5:19" x14ac:dyDescent="0.3">
      <c r="E6703" s="9" t="str">
        <f>IF(DADOS!C6703="","",DADOS!C6703)</f>
        <v/>
      </c>
      <c r="F6703" s="9" t="str">
        <f>IF(DADOS!E6703="","",DADOS!E6703)</f>
        <v/>
      </c>
      <c r="G6703" s="9" t="str">
        <f>IF(DADOS!F6703="","",DADOS!F6703)</f>
        <v/>
      </c>
      <c r="K6703" s="6" t="str">
        <f t="shared" si="525"/>
        <v/>
      </c>
      <c r="L6703" s="7" t="str">
        <f t="shared" si="526"/>
        <v/>
      </c>
      <c r="M6703" s="7" t="str">
        <f t="shared" si="523"/>
        <v/>
      </c>
      <c r="N6703" s="7" t="str">
        <f t="shared" si="527"/>
        <v/>
      </c>
      <c r="O6703" s="8"/>
      <c r="P6703" s="26"/>
      <c r="S6703" s="10" t="str">
        <f t="shared" si="524"/>
        <v/>
      </c>
    </row>
    <row r="6704" spans="5:19" x14ac:dyDescent="0.3">
      <c r="E6704" s="9" t="str">
        <f>IF(DADOS!C6704="","",DADOS!C6704)</f>
        <v/>
      </c>
      <c r="F6704" s="9" t="str">
        <f>IF(DADOS!E6704="","",DADOS!E6704)</f>
        <v/>
      </c>
      <c r="G6704" s="9" t="str">
        <f>IF(DADOS!F6704="","",DADOS!F6704)</f>
        <v/>
      </c>
      <c r="K6704" s="6" t="str">
        <f t="shared" si="525"/>
        <v/>
      </c>
      <c r="L6704" s="7" t="str">
        <f t="shared" si="526"/>
        <v/>
      </c>
      <c r="M6704" s="7" t="str">
        <f t="shared" si="523"/>
        <v/>
      </c>
      <c r="N6704" s="7" t="str">
        <f t="shared" si="527"/>
        <v/>
      </c>
      <c r="O6704" s="8"/>
      <c r="P6704" s="26"/>
      <c r="S6704" s="10" t="str">
        <f t="shared" si="524"/>
        <v/>
      </c>
    </row>
    <row r="6705" spans="5:19" x14ac:dyDescent="0.3">
      <c r="E6705" s="9" t="str">
        <f>IF(DADOS!C6705="","",DADOS!C6705)</f>
        <v/>
      </c>
      <c r="F6705" s="9" t="str">
        <f>IF(DADOS!E6705="","",DADOS!E6705)</f>
        <v/>
      </c>
      <c r="G6705" s="9" t="str">
        <f>IF(DADOS!F6705="","",DADOS!F6705)</f>
        <v/>
      </c>
      <c r="K6705" s="6" t="str">
        <f t="shared" si="525"/>
        <v/>
      </c>
      <c r="L6705" s="7" t="str">
        <f t="shared" si="526"/>
        <v/>
      </c>
      <c r="M6705" s="7" t="str">
        <f t="shared" si="523"/>
        <v/>
      </c>
      <c r="N6705" s="7" t="str">
        <f t="shared" si="527"/>
        <v/>
      </c>
      <c r="O6705" s="8"/>
      <c r="P6705" s="26"/>
      <c r="S6705" s="10" t="str">
        <f t="shared" si="524"/>
        <v/>
      </c>
    </row>
    <row r="6706" spans="5:19" x14ac:dyDescent="0.3">
      <c r="E6706" s="9" t="str">
        <f>IF(DADOS!C6706="","",DADOS!C6706)</f>
        <v/>
      </c>
      <c r="F6706" s="9" t="str">
        <f>IF(DADOS!E6706="","",DADOS!E6706)</f>
        <v/>
      </c>
      <c r="G6706" s="9" t="str">
        <f>IF(DADOS!F6706="","",DADOS!F6706)</f>
        <v/>
      </c>
      <c r="K6706" s="6" t="str">
        <f t="shared" si="525"/>
        <v/>
      </c>
      <c r="L6706" s="7" t="str">
        <f t="shared" si="526"/>
        <v/>
      </c>
      <c r="M6706" s="7" t="str">
        <f t="shared" si="523"/>
        <v/>
      </c>
      <c r="N6706" s="7" t="str">
        <f t="shared" si="527"/>
        <v/>
      </c>
      <c r="O6706" s="8"/>
      <c r="P6706" s="26"/>
      <c r="S6706" s="10" t="str">
        <f t="shared" si="524"/>
        <v/>
      </c>
    </row>
    <row r="6707" spans="5:19" x14ac:dyDescent="0.3">
      <c r="E6707" s="9" t="str">
        <f>IF(DADOS!C6707="","",DADOS!C6707)</f>
        <v/>
      </c>
      <c r="F6707" s="9" t="str">
        <f>IF(DADOS!E6707="","",DADOS!E6707)</f>
        <v/>
      </c>
      <c r="G6707" s="9" t="str">
        <f>IF(DADOS!F6707="","",DADOS!F6707)</f>
        <v/>
      </c>
      <c r="K6707" s="6" t="str">
        <f t="shared" si="525"/>
        <v/>
      </c>
      <c r="L6707" s="7" t="str">
        <f t="shared" si="526"/>
        <v/>
      </c>
      <c r="M6707" s="7" t="str">
        <f t="shared" si="523"/>
        <v/>
      </c>
      <c r="N6707" s="7" t="str">
        <f t="shared" si="527"/>
        <v/>
      </c>
      <c r="O6707" s="8"/>
      <c r="P6707" s="26"/>
      <c r="S6707" s="10" t="str">
        <f t="shared" si="524"/>
        <v/>
      </c>
    </row>
    <row r="6708" spans="5:19" x14ac:dyDescent="0.3">
      <c r="E6708" s="9" t="str">
        <f>IF(DADOS!C6708="","",DADOS!C6708)</f>
        <v/>
      </c>
      <c r="F6708" s="9" t="str">
        <f>IF(DADOS!E6708="","",DADOS!E6708)</f>
        <v/>
      </c>
      <c r="G6708" s="9" t="str">
        <f>IF(DADOS!F6708="","",DADOS!F6708)</f>
        <v/>
      </c>
      <c r="K6708" s="6" t="str">
        <f t="shared" si="525"/>
        <v/>
      </c>
      <c r="L6708" s="7" t="str">
        <f t="shared" si="526"/>
        <v/>
      </c>
      <c r="M6708" s="7" t="str">
        <f t="shared" si="523"/>
        <v/>
      </c>
      <c r="N6708" s="7" t="str">
        <f t="shared" si="527"/>
        <v/>
      </c>
      <c r="O6708" s="8"/>
      <c r="P6708" s="26"/>
      <c r="S6708" s="10" t="str">
        <f t="shared" si="524"/>
        <v/>
      </c>
    </row>
    <row r="6709" spans="5:19" x14ac:dyDescent="0.3">
      <c r="E6709" s="9" t="str">
        <f>IF(DADOS!C6709="","",DADOS!C6709)</f>
        <v/>
      </c>
      <c r="F6709" s="9" t="str">
        <f>IF(DADOS!E6709="","",DADOS!E6709)</f>
        <v/>
      </c>
      <c r="G6709" s="9" t="str">
        <f>IF(DADOS!F6709="","",DADOS!F6709)</f>
        <v/>
      </c>
      <c r="K6709" s="6" t="str">
        <f t="shared" si="525"/>
        <v/>
      </c>
      <c r="L6709" s="7" t="str">
        <f t="shared" si="526"/>
        <v/>
      </c>
      <c r="M6709" s="7" t="str">
        <f t="shared" si="523"/>
        <v/>
      </c>
      <c r="N6709" s="7" t="str">
        <f t="shared" si="527"/>
        <v/>
      </c>
      <c r="O6709" s="8"/>
      <c r="P6709" s="26"/>
      <c r="S6709" s="10" t="str">
        <f t="shared" si="524"/>
        <v/>
      </c>
    </row>
    <row r="6710" spans="5:19" x14ac:dyDescent="0.3">
      <c r="E6710" s="9" t="str">
        <f>IF(DADOS!C6710="","",DADOS!C6710)</f>
        <v/>
      </c>
      <c r="F6710" s="9" t="str">
        <f>IF(DADOS!E6710="","",DADOS!E6710)</f>
        <v/>
      </c>
      <c r="G6710" s="9" t="str">
        <f>IF(DADOS!F6710="","",DADOS!F6710)</f>
        <v/>
      </c>
      <c r="K6710" s="6" t="str">
        <f t="shared" si="525"/>
        <v/>
      </c>
      <c r="L6710" s="7" t="str">
        <f t="shared" si="526"/>
        <v/>
      </c>
      <c r="M6710" s="7" t="str">
        <f t="shared" si="523"/>
        <v/>
      </c>
      <c r="N6710" s="7" t="str">
        <f t="shared" si="527"/>
        <v/>
      </c>
      <c r="O6710" s="8"/>
      <c r="P6710" s="26"/>
      <c r="S6710" s="10" t="str">
        <f t="shared" si="524"/>
        <v/>
      </c>
    </row>
    <row r="6711" spans="5:19" x14ac:dyDescent="0.3">
      <c r="E6711" s="9" t="str">
        <f>IF(DADOS!C6711="","",DADOS!C6711)</f>
        <v/>
      </c>
      <c r="F6711" s="9" t="str">
        <f>IF(DADOS!E6711="","",DADOS!E6711)</f>
        <v/>
      </c>
      <c r="G6711" s="9" t="str">
        <f>IF(DADOS!F6711="","",DADOS!F6711)</f>
        <v/>
      </c>
      <c r="K6711" s="6" t="str">
        <f t="shared" si="525"/>
        <v/>
      </c>
      <c r="L6711" s="7" t="str">
        <f t="shared" si="526"/>
        <v/>
      </c>
      <c r="M6711" s="7" t="str">
        <f t="shared" si="523"/>
        <v/>
      </c>
      <c r="N6711" s="7" t="str">
        <f t="shared" si="527"/>
        <v/>
      </c>
      <c r="O6711" s="8"/>
      <c r="P6711" s="26"/>
      <c r="S6711" s="10" t="str">
        <f t="shared" si="524"/>
        <v/>
      </c>
    </row>
    <row r="6712" spans="5:19" x14ac:dyDescent="0.3">
      <c r="E6712" s="9" t="str">
        <f>IF(DADOS!C6712="","",DADOS!C6712)</f>
        <v/>
      </c>
      <c r="F6712" s="9" t="str">
        <f>IF(DADOS!E6712="","",DADOS!E6712)</f>
        <v/>
      </c>
      <c r="G6712" s="9" t="str">
        <f>IF(DADOS!F6712="","",DADOS!F6712)</f>
        <v/>
      </c>
      <c r="K6712" s="6" t="str">
        <f t="shared" si="525"/>
        <v/>
      </c>
      <c r="L6712" s="7" t="str">
        <f t="shared" si="526"/>
        <v/>
      </c>
      <c r="M6712" s="7" t="str">
        <f t="shared" si="523"/>
        <v/>
      </c>
      <c r="N6712" s="7" t="str">
        <f t="shared" si="527"/>
        <v/>
      </c>
      <c r="O6712" s="8"/>
      <c r="P6712" s="26"/>
      <c r="S6712" s="10" t="str">
        <f t="shared" si="524"/>
        <v/>
      </c>
    </row>
    <row r="6713" spans="5:19" x14ac:dyDescent="0.3">
      <c r="E6713" s="9" t="str">
        <f>IF(DADOS!C6713="","",DADOS!C6713)</f>
        <v/>
      </c>
      <c r="F6713" s="9" t="str">
        <f>IF(DADOS!E6713="","",DADOS!E6713)</f>
        <v/>
      </c>
      <c r="G6713" s="9" t="str">
        <f>IF(DADOS!F6713="","",DADOS!F6713)</f>
        <v/>
      </c>
      <c r="K6713" s="6" t="str">
        <f t="shared" si="525"/>
        <v/>
      </c>
      <c r="L6713" s="7" t="str">
        <f t="shared" si="526"/>
        <v/>
      </c>
      <c r="M6713" s="7" t="str">
        <f t="shared" si="523"/>
        <v/>
      </c>
      <c r="N6713" s="7" t="str">
        <f t="shared" si="527"/>
        <v/>
      </c>
      <c r="O6713" s="8"/>
      <c r="P6713" s="26"/>
      <c r="S6713" s="10" t="str">
        <f t="shared" si="524"/>
        <v/>
      </c>
    </row>
    <row r="6714" spans="5:19" x14ac:dyDescent="0.3">
      <c r="E6714" s="9" t="str">
        <f>IF(DADOS!C6714="","",DADOS!C6714)</f>
        <v/>
      </c>
      <c r="F6714" s="9" t="str">
        <f>IF(DADOS!E6714="","",DADOS!E6714)</f>
        <v/>
      </c>
      <c r="G6714" s="9" t="str">
        <f>IF(DADOS!F6714="","",DADOS!F6714)</f>
        <v/>
      </c>
      <c r="K6714" s="6" t="str">
        <f t="shared" si="525"/>
        <v/>
      </c>
      <c r="L6714" s="7" t="str">
        <f t="shared" si="526"/>
        <v/>
      </c>
      <c r="M6714" s="7" t="str">
        <f t="shared" si="523"/>
        <v/>
      </c>
      <c r="N6714" s="7" t="str">
        <f t="shared" si="527"/>
        <v/>
      </c>
      <c r="O6714" s="8"/>
      <c r="P6714" s="26"/>
      <c r="S6714" s="10" t="str">
        <f t="shared" si="524"/>
        <v/>
      </c>
    </row>
    <row r="6715" spans="5:19" x14ac:dyDescent="0.3">
      <c r="E6715" s="9" t="str">
        <f>IF(DADOS!C6715="","",DADOS!C6715)</f>
        <v/>
      </c>
      <c r="F6715" s="9" t="str">
        <f>IF(DADOS!E6715="","",DADOS!E6715)</f>
        <v/>
      </c>
      <c r="G6715" s="9" t="str">
        <f>IF(DADOS!F6715="","",DADOS!F6715)</f>
        <v/>
      </c>
      <c r="K6715" s="6" t="str">
        <f t="shared" si="525"/>
        <v/>
      </c>
      <c r="L6715" s="7" t="str">
        <f t="shared" si="526"/>
        <v/>
      </c>
      <c r="M6715" s="7" t="str">
        <f t="shared" si="523"/>
        <v/>
      </c>
      <c r="N6715" s="7" t="str">
        <f t="shared" si="527"/>
        <v/>
      </c>
      <c r="O6715" s="8"/>
      <c r="P6715" s="26"/>
      <c r="S6715" s="10" t="str">
        <f t="shared" si="524"/>
        <v/>
      </c>
    </row>
    <row r="6716" spans="5:19" x14ac:dyDescent="0.3">
      <c r="E6716" s="9" t="str">
        <f>IF(DADOS!C6716="","",DADOS!C6716)</f>
        <v/>
      </c>
      <c r="F6716" s="9" t="str">
        <f>IF(DADOS!E6716="","",DADOS!E6716)</f>
        <v/>
      </c>
      <c r="G6716" s="9" t="str">
        <f>IF(DADOS!F6716="","",DADOS!F6716)</f>
        <v/>
      </c>
      <c r="K6716" s="6" t="str">
        <f t="shared" si="525"/>
        <v/>
      </c>
      <c r="L6716" s="7" t="str">
        <f t="shared" si="526"/>
        <v/>
      </c>
      <c r="M6716" s="7" t="str">
        <f t="shared" si="523"/>
        <v/>
      </c>
      <c r="N6716" s="7" t="str">
        <f t="shared" si="527"/>
        <v/>
      </c>
      <c r="O6716" s="8"/>
      <c r="P6716" s="26"/>
      <c r="S6716" s="10" t="str">
        <f t="shared" si="524"/>
        <v/>
      </c>
    </row>
    <row r="6717" spans="5:19" x14ac:dyDescent="0.3">
      <c r="E6717" s="9" t="str">
        <f>IF(DADOS!C6717="","",DADOS!C6717)</f>
        <v/>
      </c>
      <c r="F6717" s="9" t="str">
        <f>IF(DADOS!E6717="","",DADOS!E6717)</f>
        <v/>
      </c>
      <c r="G6717" s="9" t="str">
        <f>IF(DADOS!F6717="","",DADOS!F6717)</f>
        <v/>
      </c>
      <c r="K6717" s="6" t="str">
        <f t="shared" si="525"/>
        <v/>
      </c>
      <c r="L6717" s="7" t="str">
        <f t="shared" si="526"/>
        <v/>
      </c>
      <c r="M6717" s="7" t="str">
        <f t="shared" si="523"/>
        <v/>
      </c>
      <c r="N6717" s="7" t="str">
        <f t="shared" si="527"/>
        <v/>
      </c>
      <c r="O6717" s="8"/>
      <c r="P6717" s="26"/>
      <c r="S6717" s="10" t="str">
        <f t="shared" si="524"/>
        <v/>
      </c>
    </row>
    <row r="6718" spans="5:19" x14ac:dyDescent="0.3">
      <c r="E6718" s="9" t="str">
        <f>IF(DADOS!C6718="","",DADOS!C6718)</f>
        <v/>
      </c>
      <c r="F6718" s="9" t="str">
        <f>IF(DADOS!E6718="","",DADOS!E6718)</f>
        <v/>
      </c>
      <c r="G6718" s="9" t="str">
        <f>IF(DADOS!F6718="","",DADOS!F6718)</f>
        <v/>
      </c>
      <c r="K6718" s="6" t="str">
        <f t="shared" si="525"/>
        <v/>
      </c>
      <c r="L6718" s="7" t="str">
        <f t="shared" si="526"/>
        <v/>
      </c>
      <c r="M6718" s="7" t="str">
        <f t="shared" si="523"/>
        <v/>
      </c>
      <c r="N6718" s="7" t="str">
        <f t="shared" si="527"/>
        <v/>
      </c>
      <c r="O6718" s="8"/>
      <c r="P6718" s="26"/>
      <c r="S6718" s="10" t="str">
        <f t="shared" si="524"/>
        <v/>
      </c>
    </row>
    <row r="6719" spans="5:19" x14ac:dyDescent="0.3">
      <c r="E6719" s="9" t="str">
        <f>IF(DADOS!C6719="","",DADOS!C6719)</f>
        <v/>
      </c>
      <c r="F6719" s="9" t="str">
        <f>IF(DADOS!E6719="","",DADOS!E6719)</f>
        <v/>
      </c>
      <c r="G6719" s="9" t="str">
        <f>IF(DADOS!F6719="","",DADOS!F6719)</f>
        <v/>
      </c>
      <c r="K6719" s="6" t="str">
        <f t="shared" si="525"/>
        <v/>
      </c>
      <c r="L6719" s="7" t="str">
        <f t="shared" si="526"/>
        <v/>
      </c>
      <c r="M6719" s="7" t="str">
        <f t="shared" si="523"/>
        <v/>
      </c>
      <c r="N6719" s="7" t="str">
        <f t="shared" si="527"/>
        <v/>
      </c>
      <c r="O6719" s="8"/>
      <c r="P6719" s="26"/>
      <c r="S6719" s="10" t="str">
        <f t="shared" si="524"/>
        <v/>
      </c>
    </row>
    <row r="6720" spans="5:19" x14ac:dyDescent="0.3">
      <c r="E6720" s="9" t="str">
        <f>IF(DADOS!C6720="","",DADOS!C6720)</f>
        <v/>
      </c>
      <c r="F6720" s="9" t="str">
        <f>IF(DADOS!E6720="","",DADOS!E6720)</f>
        <v/>
      </c>
      <c r="G6720" s="9" t="str">
        <f>IF(DADOS!F6720="","",DADOS!F6720)</f>
        <v/>
      </c>
      <c r="K6720" s="6" t="str">
        <f t="shared" si="525"/>
        <v/>
      </c>
      <c r="L6720" s="7" t="str">
        <f t="shared" si="526"/>
        <v/>
      </c>
      <c r="M6720" s="7" t="str">
        <f t="shared" si="523"/>
        <v/>
      </c>
      <c r="N6720" s="7" t="str">
        <f t="shared" si="527"/>
        <v/>
      </c>
      <c r="O6720" s="8"/>
      <c r="P6720" s="26"/>
      <c r="S6720" s="10" t="str">
        <f t="shared" si="524"/>
        <v/>
      </c>
    </row>
    <row r="6721" spans="5:19" x14ac:dyDescent="0.3">
      <c r="E6721" s="9" t="str">
        <f>IF(DADOS!C6721="","",DADOS!C6721)</f>
        <v/>
      </c>
      <c r="F6721" s="9" t="str">
        <f>IF(DADOS!E6721="","",DADOS!E6721)</f>
        <v/>
      </c>
      <c r="G6721" s="9" t="str">
        <f>IF(DADOS!F6721="","",DADOS!F6721)</f>
        <v/>
      </c>
      <c r="K6721" s="6" t="str">
        <f t="shared" si="525"/>
        <v/>
      </c>
      <c r="L6721" s="7" t="str">
        <f t="shared" si="526"/>
        <v/>
      </c>
      <c r="M6721" s="7" t="str">
        <f t="shared" si="523"/>
        <v/>
      </c>
      <c r="N6721" s="7" t="str">
        <f t="shared" si="527"/>
        <v/>
      </c>
      <c r="O6721" s="8"/>
      <c r="P6721" s="26"/>
      <c r="S6721" s="10" t="str">
        <f t="shared" si="524"/>
        <v/>
      </c>
    </row>
    <row r="6722" spans="5:19" x14ac:dyDescent="0.3">
      <c r="E6722" s="9" t="str">
        <f>IF(DADOS!C6722="","",DADOS!C6722)</f>
        <v/>
      </c>
      <c r="F6722" s="9" t="str">
        <f>IF(DADOS!E6722="","",DADOS!E6722)</f>
        <v/>
      </c>
      <c r="G6722" s="9" t="str">
        <f>IF(DADOS!F6722="","",DADOS!F6722)</f>
        <v/>
      </c>
      <c r="K6722" s="6" t="str">
        <f t="shared" si="525"/>
        <v/>
      </c>
      <c r="L6722" s="7" t="str">
        <f t="shared" si="526"/>
        <v/>
      </c>
      <c r="M6722" s="7" t="str">
        <f t="shared" si="523"/>
        <v/>
      </c>
      <c r="N6722" s="7" t="str">
        <f t="shared" si="527"/>
        <v/>
      </c>
      <c r="O6722" s="8"/>
      <c r="P6722" s="26"/>
      <c r="S6722" s="10" t="str">
        <f t="shared" si="524"/>
        <v/>
      </c>
    </row>
    <row r="6723" spans="5:19" x14ac:dyDescent="0.3">
      <c r="E6723" s="9" t="str">
        <f>IF(DADOS!C6723="","",DADOS!C6723)</f>
        <v/>
      </c>
      <c r="F6723" s="9" t="str">
        <f>IF(DADOS!E6723="","",DADOS!E6723)</f>
        <v/>
      </c>
      <c r="G6723" s="9" t="str">
        <f>IF(DADOS!F6723="","",DADOS!F6723)</f>
        <v/>
      </c>
      <c r="K6723" s="6" t="str">
        <f t="shared" si="525"/>
        <v/>
      </c>
      <c r="L6723" s="7" t="str">
        <f t="shared" si="526"/>
        <v/>
      </c>
      <c r="M6723" s="7" t="str">
        <f t="shared" ref="M6723:M6786" si="528">IF(L6723="","",L6723*G6723)</f>
        <v/>
      </c>
      <c r="N6723" s="7" t="str">
        <f t="shared" si="527"/>
        <v/>
      </c>
      <c r="O6723" s="8"/>
      <c r="P6723" s="26"/>
      <c r="S6723" s="10" t="str">
        <f t="shared" ref="S6723:S6786" si="529">IF(R6723="","",SUMIFS($N$3:$N$10000,$E$3:$E$10000,R6723))</f>
        <v/>
      </c>
    </row>
    <row r="6724" spans="5:19" x14ac:dyDescent="0.3">
      <c r="E6724" s="9" t="str">
        <f>IF(DADOS!C6724="","",DADOS!C6724)</f>
        <v/>
      </c>
      <c r="F6724" s="9" t="str">
        <f>IF(DADOS!E6724="","",DADOS!E6724)</f>
        <v/>
      </c>
      <c r="G6724" s="9" t="str">
        <f>IF(DADOS!F6724="","",DADOS!F6724)</f>
        <v/>
      </c>
      <c r="K6724" s="6" t="str">
        <f t="shared" ref="K6724:K6787" si="530">IF(F6724="","",F6724/PI())</f>
        <v/>
      </c>
      <c r="L6724" s="7" t="str">
        <f t="shared" ref="L6724:L6787" si="531">IF(K6724="","",(PI()*K6724^2)/40000)</f>
        <v/>
      </c>
      <c r="M6724" s="7" t="str">
        <f t="shared" si="528"/>
        <v/>
      </c>
      <c r="N6724" s="7" t="str">
        <f t="shared" ref="N6724:N6787" si="532">IF(M6724="","",M6724*N$1)</f>
        <v/>
      </c>
      <c r="O6724" s="8"/>
      <c r="P6724" s="26"/>
      <c r="S6724" s="10" t="str">
        <f t="shared" si="529"/>
        <v/>
      </c>
    </row>
    <row r="6725" spans="5:19" x14ac:dyDescent="0.3">
      <c r="E6725" s="9" t="str">
        <f>IF(DADOS!C6725="","",DADOS!C6725)</f>
        <v/>
      </c>
      <c r="F6725" s="9" t="str">
        <f>IF(DADOS!E6725="","",DADOS!E6725)</f>
        <v/>
      </c>
      <c r="G6725" s="9" t="str">
        <f>IF(DADOS!F6725="","",DADOS!F6725)</f>
        <v/>
      </c>
      <c r="K6725" s="6" t="str">
        <f t="shared" si="530"/>
        <v/>
      </c>
      <c r="L6725" s="7" t="str">
        <f t="shared" si="531"/>
        <v/>
      </c>
      <c r="M6725" s="7" t="str">
        <f t="shared" si="528"/>
        <v/>
      </c>
      <c r="N6725" s="7" t="str">
        <f t="shared" si="532"/>
        <v/>
      </c>
      <c r="O6725" s="8"/>
      <c r="P6725" s="26"/>
      <c r="S6725" s="10" t="str">
        <f t="shared" si="529"/>
        <v/>
      </c>
    </row>
    <row r="6726" spans="5:19" x14ac:dyDescent="0.3">
      <c r="E6726" s="9" t="str">
        <f>IF(DADOS!C6726="","",DADOS!C6726)</f>
        <v/>
      </c>
      <c r="F6726" s="9" t="str">
        <f>IF(DADOS!E6726="","",DADOS!E6726)</f>
        <v/>
      </c>
      <c r="G6726" s="9" t="str">
        <f>IF(DADOS!F6726="","",DADOS!F6726)</f>
        <v/>
      </c>
      <c r="K6726" s="6" t="str">
        <f t="shared" si="530"/>
        <v/>
      </c>
      <c r="L6726" s="7" t="str">
        <f t="shared" si="531"/>
        <v/>
      </c>
      <c r="M6726" s="7" t="str">
        <f t="shared" si="528"/>
        <v/>
      </c>
      <c r="N6726" s="7" t="str">
        <f t="shared" si="532"/>
        <v/>
      </c>
      <c r="O6726" s="8"/>
      <c r="P6726" s="26"/>
      <c r="S6726" s="10" t="str">
        <f t="shared" si="529"/>
        <v/>
      </c>
    </row>
    <row r="6727" spans="5:19" x14ac:dyDescent="0.3">
      <c r="E6727" s="9" t="str">
        <f>IF(DADOS!C6727="","",DADOS!C6727)</f>
        <v/>
      </c>
      <c r="F6727" s="9" t="str">
        <f>IF(DADOS!E6727="","",DADOS!E6727)</f>
        <v/>
      </c>
      <c r="G6727" s="9" t="str">
        <f>IF(DADOS!F6727="","",DADOS!F6727)</f>
        <v/>
      </c>
      <c r="K6727" s="6" t="str">
        <f t="shared" si="530"/>
        <v/>
      </c>
      <c r="L6727" s="7" t="str">
        <f t="shared" si="531"/>
        <v/>
      </c>
      <c r="M6727" s="7" t="str">
        <f t="shared" si="528"/>
        <v/>
      </c>
      <c r="N6727" s="7" t="str">
        <f t="shared" si="532"/>
        <v/>
      </c>
      <c r="O6727" s="8"/>
      <c r="P6727" s="26"/>
      <c r="S6727" s="10" t="str">
        <f t="shared" si="529"/>
        <v/>
      </c>
    </row>
    <row r="6728" spans="5:19" x14ac:dyDescent="0.3">
      <c r="E6728" s="9" t="str">
        <f>IF(DADOS!C6728="","",DADOS!C6728)</f>
        <v/>
      </c>
      <c r="F6728" s="9" t="str">
        <f>IF(DADOS!E6728="","",DADOS!E6728)</f>
        <v/>
      </c>
      <c r="G6728" s="9" t="str">
        <f>IF(DADOS!F6728="","",DADOS!F6728)</f>
        <v/>
      </c>
      <c r="K6728" s="6" t="str">
        <f t="shared" si="530"/>
        <v/>
      </c>
      <c r="L6728" s="7" t="str">
        <f t="shared" si="531"/>
        <v/>
      </c>
      <c r="M6728" s="7" t="str">
        <f t="shared" si="528"/>
        <v/>
      </c>
      <c r="N6728" s="7" t="str">
        <f t="shared" si="532"/>
        <v/>
      </c>
      <c r="O6728" s="8"/>
      <c r="P6728" s="26"/>
      <c r="S6728" s="10" t="str">
        <f t="shared" si="529"/>
        <v/>
      </c>
    </row>
    <row r="6729" spans="5:19" x14ac:dyDescent="0.3">
      <c r="E6729" s="9" t="str">
        <f>IF(DADOS!C6729="","",DADOS!C6729)</f>
        <v/>
      </c>
      <c r="F6729" s="9" t="str">
        <f>IF(DADOS!E6729="","",DADOS!E6729)</f>
        <v/>
      </c>
      <c r="G6729" s="9" t="str">
        <f>IF(DADOS!F6729="","",DADOS!F6729)</f>
        <v/>
      </c>
      <c r="K6729" s="6" t="str">
        <f t="shared" si="530"/>
        <v/>
      </c>
      <c r="L6729" s="7" t="str">
        <f t="shared" si="531"/>
        <v/>
      </c>
      <c r="M6729" s="7" t="str">
        <f t="shared" si="528"/>
        <v/>
      </c>
      <c r="N6729" s="7" t="str">
        <f t="shared" si="532"/>
        <v/>
      </c>
      <c r="O6729" s="8"/>
      <c r="P6729" s="26"/>
      <c r="S6729" s="10" t="str">
        <f t="shared" si="529"/>
        <v/>
      </c>
    </row>
    <row r="6730" spans="5:19" x14ac:dyDescent="0.3">
      <c r="E6730" s="9" t="str">
        <f>IF(DADOS!C6730="","",DADOS!C6730)</f>
        <v/>
      </c>
      <c r="F6730" s="9" t="str">
        <f>IF(DADOS!E6730="","",DADOS!E6730)</f>
        <v/>
      </c>
      <c r="G6730" s="9" t="str">
        <f>IF(DADOS!F6730="","",DADOS!F6730)</f>
        <v/>
      </c>
      <c r="K6730" s="6" t="str">
        <f t="shared" si="530"/>
        <v/>
      </c>
      <c r="L6730" s="7" t="str">
        <f t="shared" si="531"/>
        <v/>
      </c>
      <c r="M6730" s="7" t="str">
        <f t="shared" si="528"/>
        <v/>
      </c>
      <c r="N6730" s="7" t="str">
        <f t="shared" si="532"/>
        <v/>
      </c>
      <c r="O6730" s="8"/>
      <c r="P6730" s="26"/>
      <c r="S6730" s="10" t="str">
        <f t="shared" si="529"/>
        <v/>
      </c>
    </row>
    <row r="6731" spans="5:19" x14ac:dyDescent="0.3">
      <c r="E6731" s="9" t="str">
        <f>IF(DADOS!C6731="","",DADOS!C6731)</f>
        <v/>
      </c>
      <c r="F6731" s="9" t="str">
        <f>IF(DADOS!E6731="","",DADOS!E6731)</f>
        <v/>
      </c>
      <c r="G6731" s="9" t="str">
        <f>IF(DADOS!F6731="","",DADOS!F6731)</f>
        <v/>
      </c>
      <c r="K6731" s="6" t="str">
        <f t="shared" si="530"/>
        <v/>
      </c>
      <c r="L6731" s="7" t="str">
        <f t="shared" si="531"/>
        <v/>
      </c>
      <c r="M6731" s="7" t="str">
        <f t="shared" si="528"/>
        <v/>
      </c>
      <c r="N6731" s="7" t="str">
        <f t="shared" si="532"/>
        <v/>
      </c>
      <c r="O6731" s="8"/>
      <c r="P6731" s="26"/>
      <c r="S6731" s="10" t="str">
        <f t="shared" si="529"/>
        <v/>
      </c>
    </row>
    <row r="6732" spans="5:19" x14ac:dyDescent="0.3">
      <c r="E6732" s="9" t="str">
        <f>IF(DADOS!C6732="","",DADOS!C6732)</f>
        <v/>
      </c>
      <c r="F6732" s="9" t="str">
        <f>IF(DADOS!E6732="","",DADOS!E6732)</f>
        <v/>
      </c>
      <c r="G6732" s="9" t="str">
        <f>IF(DADOS!F6732="","",DADOS!F6732)</f>
        <v/>
      </c>
      <c r="K6732" s="6" t="str">
        <f t="shared" si="530"/>
        <v/>
      </c>
      <c r="L6732" s="7" t="str">
        <f t="shared" si="531"/>
        <v/>
      </c>
      <c r="M6732" s="7" t="str">
        <f t="shared" si="528"/>
        <v/>
      </c>
      <c r="N6732" s="7" t="str">
        <f t="shared" si="532"/>
        <v/>
      </c>
      <c r="O6732" s="8"/>
      <c r="P6732" s="26"/>
      <c r="S6732" s="10" t="str">
        <f t="shared" si="529"/>
        <v/>
      </c>
    </row>
    <row r="6733" spans="5:19" x14ac:dyDescent="0.3">
      <c r="E6733" s="9" t="str">
        <f>IF(DADOS!C6733="","",DADOS!C6733)</f>
        <v/>
      </c>
      <c r="F6733" s="9" t="str">
        <f>IF(DADOS!E6733="","",DADOS!E6733)</f>
        <v/>
      </c>
      <c r="G6733" s="9" t="str">
        <f>IF(DADOS!F6733="","",DADOS!F6733)</f>
        <v/>
      </c>
      <c r="K6733" s="6" t="str">
        <f t="shared" si="530"/>
        <v/>
      </c>
      <c r="L6733" s="7" t="str">
        <f t="shared" si="531"/>
        <v/>
      </c>
      <c r="M6733" s="7" t="str">
        <f t="shared" si="528"/>
        <v/>
      </c>
      <c r="N6733" s="7" t="str">
        <f t="shared" si="532"/>
        <v/>
      </c>
      <c r="O6733" s="8"/>
      <c r="P6733" s="26"/>
      <c r="S6733" s="10" t="str">
        <f t="shared" si="529"/>
        <v/>
      </c>
    </row>
    <row r="6734" spans="5:19" x14ac:dyDescent="0.3">
      <c r="E6734" s="9" t="str">
        <f>IF(DADOS!C6734="","",DADOS!C6734)</f>
        <v/>
      </c>
      <c r="F6734" s="9" t="str">
        <f>IF(DADOS!E6734="","",DADOS!E6734)</f>
        <v/>
      </c>
      <c r="G6734" s="9" t="str">
        <f>IF(DADOS!F6734="","",DADOS!F6734)</f>
        <v/>
      </c>
      <c r="K6734" s="6" t="str">
        <f t="shared" si="530"/>
        <v/>
      </c>
      <c r="L6734" s="7" t="str">
        <f t="shared" si="531"/>
        <v/>
      </c>
      <c r="M6734" s="7" t="str">
        <f t="shared" si="528"/>
        <v/>
      </c>
      <c r="N6734" s="7" t="str">
        <f t="shared" si="532"/>
        <v/>
      </c>
      <c r="O6734" s="8"/>
      <c r="P6734" s="26"/>
      <c r="S6734" s="10" t="str">
        <f t="shared" si="529"/>
        <v/>
      </c>
    </row>
    <row r="6735" spans="5:19" x14ac:dyDescent="0.3">
      <c r="E6735" s="9" t="str">
        <f>IF(DADOS!C6735="","",DADOS!C6735)</f>
        <v/>
      </c>
      <c r="F6735" s="9" t="str">
        <f>IF(DADOS!E6735="","",DADOS!E6735)</f>
        <v/>
      </c>
      <c r="G6735" s="9" t="str">
        <f>IF(DADOS!F6735="","",DADOS!F6735)</f>
        <v/>
      </c>
      <c r="K6735" s="6" t="str">
        <f t="shared" si="530"/>
        <v/>
      </c>
      <c r="L6735" s="7" t="str">
        <f t="shared" si="531"/>
        <v/>
      </c>
      <c r="M6735" s="7" t="str">
        <f t="shared" si="528"/>
        <v/>
      </c>
      <c r="N6735" s="7" t="str">
        <f t="shared" si="532"/>
        <v/>
      </c>
      <c r="O6735" s="8"/>
      <c r="P6735" s="26"/>
      <c r="S6735" s="10" t="str">
        <f t="shared" si="529"/>
        <v/>
      </c>
    </row>
    <row r="6736" spans="5:19" x14ac:dyDescent="0.3">
      <c r="E6736" s="9" t="str">
        <f>IF(DADOS!C6736="","",DADOS!C6736)</f>
        <v/>
      </c>
      <c r="F6736" s="9" t="str">
        <f>IF(DADOS!E6736="","",DADOS!E6736)</f>
        <v/>
      </c>
      <c r="G6736" s="9" t="str">
        <f>IF(DADOS!F6736="","",DADOS!F6736)</f>
        <v/>
      </c>
      <c r="K6736" s="6" t="str">
        <f t="shared" si="530"/>
        <v/>
      </c>
      <c r="L6736" s="7" t="str">
        <f t="shared" si="531"/>
        <v/>
      </c>
      <c r="M6736" s="7" t="str">
        <f t="shared" si="528"/>
        <v/>
      </c>
      <c r="N6736" s="7" t="str">
        <f t="shared" si="532"/>
        <v/>
      </c>
      <c r="O6736" s="8"/>
      <c r="P6736" s="26"/>
      <c r="S6736" s="10" t="str">
        <f t="shared" si="529"/>
        <v/>
      </c>
    </row>
    <row r="6737" spans="5:19" x14ac:dyDescent="0.3">
      <c r="E6737" s="9" t="str">
        <f>IF(DADOS!C6737="","",DADOS!C6737)</f>
        <v/>
      </c>
      <c r="F6737" s="9" t="str">
        <f>IF(DADOS!E6737="","",DADOS!E6737)</f>
        <v/>
      </c>
      <c r="G6737" s="9" t="str">
        <f>IF(DADOS!F6737="","",DADOS!F6737)</f>
        <v/>
      </c>
      <c r="K6737" s="6" t="str">
        <f t="shared" si="530"/>
        <v/>
      </c>
      <c r="L6737" s="7" t="str">
        <f t="shared" si="531"/>
        <v/>
      </c>
      <c r="M6737" s="7" t="str">
        <f t="shared" si="528"/>
        <v/>
      </c>
      <c r="N6737" s="7" t="str">
        <f t="shared" si="532"/>
        <v/>
      </c>
      <c r="O6737" s="8"/>
      <c r="P6737" s="26"/>
      <c r="S6737" s="10" t="str">
        <f t="shared" si="529"/>
        <v/>
      </c>
    </row>
    <row r="6738" spans="5:19" x14ac:dyDescent="0.3">
      <c r="E6738" s="9" t="str">
        <f>IF(DADOS!C6738="","",DADOS!C6738)</f>
        <v/>
      </c>
      <c r="F6738" s="9" t="str">
        <f>IF(DADOS!E6738="","",DADOS!E6738)</f>
        <v/>
      </c>
      <c r="G6738" s="9" t="str">
        <f>IF(DADOS!F6738="","",DADOS!F6738)</f>
        <v/>
      </c>
      <c r="K6738" s="6" t="str">
        <f t="shared" si="530"/>
        <v/>
      </c>
      <c r="L6738" s="7" t="str">
        <f t="shared" si="531"/>
        <v/>
      </c>
      <c r="M6738" s="7" t="str">
        <f t="shared" si="528"/>
        <v/>
      </c>
      <c r="N6738" s="7" t="str">
        <f t="shared" si="532"/>
        <v/>
      </c>
      <c r="O6738" s="8"/>
      <c r="P6738" s="26"/>
      <c r="S6738" s="10" t="str">
        <f t="shared" si="529"/>
        <v/>
      </c>
    </row>
    <row r="6739" spans="5:19" x14ac:dyDescent="0.3">
      <c r="E6739" s="9" t="str">
        <f>IF(DADOS!C6739="","",DADOS!C6739)</f>
        <v/>
      </c>
      <c r="F6739" s="9" t="str">
        <f>IF(DADOS!E6739="","",DADOS!E6739)</f>
        <v/>
      </c>
      <c r="G6739" s="9" t="str">
        <f>IF(DADOS!F6739="","",DADOS!F6739)</f>
        <v/>
      </c>
      <c r="K6739" s="6" t="str">
        <f t="shared" si="530"/>
        <v/>
      </c>
      <c r="L6739" s="7" t="str">
        <f t="shared" si="531"/>
        <v/>
      </c>
      <c r="M6739" s="7" t="str">
        <f t="shared" si="528"/>
        <v/>
      </c>
      <c r="N6739" s="7" t="str">
        <f t="shared" si="532"/>
        <v/>
      </c>
      <c r="O6739" s="8"/>
      <c r="P6739" s="26"/>
      <c r="S6739" s="10" t="str">
        <f t="shared" si="529"/>
        <v/>
      </c>
    </row>
    <row r="6740" spans="5:19" x14ac:dyDescent="0.3">
      <c r="E6740" s="9" t="str">
        <f>IF(DADOS!C6740="","",DADOS!C6740)</f>
        <v/>
      </c>
      <c r="F6740" s="9" t="str">
        <f>IF(DADOS!E6740="","",DADOS!E6740)</f>
        <v/>
      </c>
      <c r="G6740" s="9" t="str">
        <f>IF(DADOS!F6740="","",DADOS!F6740)</f>
        <v/>
      </c>
      <c r="K6740" s="6" t="str">
        <f t="shared" si="530"/>
        <v/>
      </c>
      <c r="L6740" s="7" t="str">
        <f t="shared" si="531"/>
        <v/>
      </c>
      <c r="M6740" s="7" t="str">
        <f t="shared" si="528"/>
        <v/>
      </c>
      <c r="N6740" s="7" t="str">
        <f t="shared" si="532"/>
        <v/>
      </c>
      <c r="O6740" s="8"/>
      <c r="P6740" s="26"/>
      <c r="S6740" s="10" t="str">
        <f t="shared" si="529"/>
        <v/>
      </c>
    </row>
    <row r="6741" spans="5:19" x14ac:dyDescent="0.3">
      <c r="E6741" s="9" t="str">
        <f>IF(DADOS!C6741="","",DADOS!C6741)</f>
        <v/>
      </c>
      <c r="F6741" s="9" t="str">
        <f>IF(DADOS!E6741="","",DADOS!E6741)</f>
        <v/>
      </c>
      <c r="G6741" s="9" t="str">
        <f>IF(DADOS!F6741="","",DADOS!F6741)</f>
        <v/>
      </c>
      <c r="K6741" s="6" t="str">
        <f t="shared" si="530"/>
        <v/>
      </c>
      <c r="L6741" s="7" t="str">
        <f t="shared" si="531"/>
        <v/>
      </c>
      <c r="M6741" s="7" t="str">
        <f t="shared" si="528"/>
        <v/>
      </c>
      <c r="N6741" s="7" t="str">
        <f t="shared" si="532"/>
        <v/>
      </c>
      <c r="O6741" s="8"/>
      <c r="P6741" s="26"/>
      <c r="S6741" s="10" t="str">
        <f t="shared" si="529"/>
        <v/>
      </c>
    </row>
    <row r="6742" spans="5:19" x14ac:dyDescent="0.3">
      <c r="E6742" s="9" t="str">
        <f>IF(DADOS!C6742="","",DADOS!C6742)</f>
        <v/>
      </c>
      <c r="F6742" s="9" t="str">
        <f>IF(DADOS!E6742="","",DADOS!E6742)</f>
        <v/>
      </c>
      <c r="G6742" s="9" t="str">
        <f>IF(DADOS!F6742="","",DADOS!F6742)</f>
        <v/>
      </c>
      <c r="K6742" s="6" t="str">
        <f t="shared" si="530"/>
        <v/>
      </c>
      <c r="L6742" s="7" t="str">
        <f t="shared" si="531"/>
        <v/>
      </c>
      <c r="M6742" s="7" t="str">
        <f t="shared" si="528"/>
        <v/>
      </c>
      <c r="N6742" s="7" t="str">
        <f t="shared" si="532"/>
        <v/>
      </c>
      <c r="O6742" s="8"/>
      <c r="P6742" s="26"/>
      <c r="S6742" s="10" t="str">
        <f t="shared" si="529"/>
        <v/>
      </c>
    </row>
    <row r="6743" spans="5:19" x14ac:dyDescent="0.3">
      <c r="E6743" s="9" t="str">
        <f>IF(DADOS!C6743="","",DADOS!C6743)</f>
        <v/>
      </c>
      <c r="F6743" s="9" t="str">
        <f>IF(DADOS!E6743="","",DADOS!E6743)</f>
        <v/>
      </c>
      <c r="G6743" s="9" t="str">
        <f>IF(DADOS!F6743="","",DADOS!F6743)</f>
        <v/>
      </c>
      <c r="K6743" s="6" t="str">
        <f t="shared" si="530"/>
        <v/>
      </c>
      <c r="L6743" s="7" t="str">
        <f t="shared" si="531"/>
        <v/>
      </c>
      <c r="M6743" s="7" t="str">
        <f t="shared" si="528"/>
        <v/>
      </c>
      <c r="N6743" s="7" t="str">
        <f t="shared" si="532"/>
        <v/>
      </c>
      <c r="O6743" s="8"/>
      <c r="P6743" s="26"/>
      <c r="S6743" s="10" t="str">
        <f t="shared" si="529"/>
        <v/>
      </c>
    </row>
    <row r="6744" spans="5:19" x14ac:dyDescent="0.3">
      <c r="E6744" s="9" t="str">
        <f>IF(DADOS!C6744="","",DADOS!C6744)</f>
        <v/>
      </c>
      <c r="F6744" s="9" t="str">
        <f>IF(DADOS!E6744="","",DADOS!E6744)</f>
        <v/>
      </c>
      <c r="G6744" s="9" t="str">
        <f>IF(DADOS!F6744="","",DADOS!F6744)</f>
        <v/>
      </c>
      <c r="K6744" s="6" t="str">
        <f t="shared" si="530"/>
        <v/>
      </c>
      <c r="L6744" s="7" t="str">
        <f t="shared" si="531"/>
        <v/>
      </c>
      <c r="M6744" s="7" t="str">
        <f t="shared" si="528"/>
        <v/>
      </c>
      <c r="N6744" s="7" t="str">
        <f t="shared" si="532"/>
        <v/>
      </c>
      <c r="O6744" s="8"/>
      <c r="P6744" s="26"/>
      <c r="S6744" s="10" t="str">
        <f t="shared" si="529"/>
        <v/>
      </c>
    </row>
    <row r="6745" spans="5:19" x14ac:dyDescent="0.3">
      <c r="E6745" s="9" t="str">
        <f>IF(DADOS!C6745="","",DADOS!C6745)</f>
        <v/>
      </c>
      <c r="F6745" s="9" t="str">
        <f>IF(DADOS!E6745="","",DADOS!E6745)</f>
        <v/>
      </c>
      <c r="G6745" s="9" t="str">
        <f>IF(DADOS!F6745="","",DADOS!F6745)</f>
        <v/>
      </c>
      <c r="K6745" s="6" t="str">
        <f t="shared" si="530"/>
        <v/>
      </c>
      <c r="L6745" s="7" t="str">
        <f t="shared" si="531"/>
        <v/>
      </c>
      <c r="M6745" s="7" t="str">
        <f t="shared" si="528"/>
        <v/>
      </c>
      <c r="N6745" s="7" t="str">
        <f t="shared" si="532"/>
        <v/>
      </c>
      <c r="O6745" s="8"/>
      <c r="P6745" s="26"/>
      <c r="S6745" s="10" t="str">
        <f t="shared" si="529"/>
        <v/>
      </c>
    </row>
    <row r="6746" spans="5:19" x14ac:dyDescent="0.3">
      <c r="E6746" s="9" t="str">
        <f>IF(DADOS!C6746="","",DADOS!C6746)</f>
        <v/>
      </c>
      <c r="F6746" s="9" t="str">
        <f>IF(DADOS!E6746="","",DADOS!E6746)</f>
        <v/>
      </c>
      <c r="G6746" s="9" t="str">
        <f>IF(DADOS!F6746="","",DADOS!F6746)</f>
        <v/>
      </c>
      <c r="K6746" s="6" t="str">
        <f t="shared" si="530"/>
        <v/>
      </c>
      <c r="L6746" s="7" t="str">
        <f t="shared" si="531"/>
        <v/>
      </c>
      <c r="M6746" s="7" t="str">
        <f t="shared" si="528"/>
        <v/>
      </c>
      <c r="N6746" s="7" t="str">
        <f t="shared" si="532"/>
        <v/>
      </c>
      <c r="O6746" s="8"/>
      <c r="P6746" s="26"/>
      <c r="S6746" s="10" t="str">
        <f t="shared" si="529"/>
        <v/>
      </c>
    </row>
    <row r="6747" spans="5:19" x14ac:dyDescent="0.3">
      <c r="E6747" s="9" t="str">
        <f>IF(DADOS!C6747="","",DADOS!C6747)</f>
        <v/>
      </c>
      <c r="F6747" s="9" t="str">
        <f>IF(DADOS!E6747="","",DADOS!E6747)</f>
        <v/>
      </c>
      <c r="G6747" s="9" t="str">
        <f>IF(DADOS!F6747="","",DADOS!F6747)</f>
        <v/>
      </c>
      <c r="K6747" s="6" t="str">
        <f t="shared" si="530"/>
        <v/>
      </c>
      <c r="L6747" s="7" t="str">
        <f t="shared" si="531"/>
        <v/>
      </c>
      <c r="M6747" s="7" t="str">
        <f t="shared" si="528"/>
        <v/>
      </c>
      <c r="N6747" s="7" t="str">
        <f t="shared" si="532"/>
        <v/>
      </c>
      <c r="O6747" s="8"/>
      <c r="P6747" s="26"/>
      <c r="S6747" s="10" t="str">
        <f t="shared" si="529"/>
        <v/>
      </c>
    </row>
    <row r="6748" spans="5:19" x14ac:dyDescent="0.3">
      <c r="E6748" s="9" t="str">
        <f>IF(DADOS!C6748="","",DADOS!C6748)</f>
        <v/>
      </c>
      <c r="F6748" s="9" t="str">
        <f>IF(DADOS!E6748="","",DADOS!E6748)</f>
        <v/>
      </c>
      <c r="G6748" s="9" t="str">
        <f>IF(DADOS!F6748="","",DADOS!F6748)</f>
        <v/>
      </c>
      <c r="K6748" s="6" t="str">
        <f t="shared" si="530"/>
        <v/>
      </c>
      <c r="L6748" s="7" t="str">
        <f t="shared" si="531"/>
        <v/>
      </c>
      <c r="M6748" s="7" t="str">
        <f t="shared" si="528"/>
        <v/>
      </c>
      <c r="N6748" s="7" t="str">
        <f t="shared" si="532"/>
        <v/>
      </c>
      <c r="O6748" s="8"/>
      <c r="P6748" s="26"/>
      <c r="S6748" s="10" t="str">
        <f t="shared" si="529"/>
        <v/>
      </c>
    </row>
    <row r="6749" spans="5:19" x14ac:dyDescent="0.3">
      <c r="E6749" s="9" t="str">
        <f>IF(DADOS!C6749="","",DADOS!C6749)</f>
        <v/>
      </c>
      <c r="F6749" s="9" t="str">
        <f>IF(DADOS!E6749="","",DADOS!E6749)</f>
        <v/>
      </c>
      <c r="G6749" s="9" t="str">
        <f>IF(DADOS!F6749="","",DADOS!F6749)</f>
        <v/>
      </c>
      <c r="K6749" s="6" t="str">
        <f t="shared" si="530"/>
        <v/>
      </c>
      <c r="L6749" s="7" t="str">
        <f t="shared" si="531"/>
        <v/>
      </c>
      <c r="M6749" s="7" t="str">
        <f t="shared" si="528"/>
        <v/>
      </c>
      <c r="N6749" s="7" t="str">
        <f t="shared" si="532"/>
        <v/>
      </c>
      <c r="O6749" s="8"/>
      <c r="P6749" s="26"/>
      <c r="S6749" s="10" t="str">
        <f t="shared" si="529"/>
        <v/>
      </c>
    </row>
    <row r="6750" spans="5:19" x14ac:dyDescent="0.3">
      <c r="E6750" s="9" t="str">
        <f>IF(DADOS!C6750="","",DADOS!C6750)</f>
        <v/>
      </c>
      <c r="F6750" s="9" t="str">
        <f>IF(DADOS!E6750="","",DADOS!E6750)</f>
        <v/>
      </c>
      <c r="G6750" s="9" t="str">
        <f>IF(DADOS!F6750="","",DADOS!F6750)</f>
        <v/>
      </c>
      <c r="K6750" s="6" t="str">
        <f t="shared" si="530"/>
        <v/>
      </c>
      <c r="L6750" s="7" t="str">
        <f t="shared" si="531"/>
        <v/>
      </c>
      <c r="M6750" s="7" t="str">
        <f t="shared" si="528"/>
        <v/>
      </c>
      <c r="N6750" s="7" t="str">
        <f t="shared" si="532"/>
        <v/>
      </c>
      <c r="O6750" s="8"/>
      <c r="P6750" s="26"/>
      <c r="S6750" s="10" t="str">
        <f t="shared" si="529"/>
        <v/>
      </c>
    </row>
    <row r="6751" spans="5:19" x14ac:dyDescent="0.3">
      <c r="E6751" s="9" t="str">
        <f>IF(DADOS!C6751="","",DADOS!C6751)</f>
        <v/>
      </c>
      <c r="F6751" s="9" t="str">
        <f>IF(DADOS!E6751="","",DADOS!E6751)</f>
        <v/>
      </c>
      <c r="G6751" s="9" t="str">
        <f>IF(DADOS!F6751="","",DADOS!F6751)</f>
        <v/>
      </c>
      <c r="K6751" s="6" t="str">
        <f t="shared" si="530"/>
        <v/>
      </c>
      <c r="L6751" s="7" t="str">
        <f t="shared" si="531"/>
        <v/>
      </c>
      <c r="M6751" s="7" t="str">
        <f t="shared" si="528"/>
        <v/>
      </c>
      <c r="N6751" s="7" t="str">
        <f t="shared" si="532"/>
        <v/>
      </c>
      <c r="O6751" s="8"/>
      <c r="P6751" s="26"/>
      <c r="S6751" s="10" t="str">
        <f t="shared" si="529"/>
        <v/>
      </c>
    </row>
    <row r="6752" spans="5:19" x14ac:dyDescent="0.3">
      <c r="E6752" s="9" t="str">
        <f>IF(DADOS!C6752="","",DADOS!C6752)</f>
        <v/>
      </c>
      <c r="F6752" s="9" t="str">
        <f>IF(DADOS!E6752="","",DADOS!E6752)</f>
        <v/>
      </c>
      <c r="G6752" s="9" t="str">
        <f>IF(DADOS!F6752="","",DADOS!F6752)</f>
        <v/>
      </c>
      <c r="K6752" s="6" t="str">
        <f t="shared" si="530"/>
        <v/>
      </c>
      <c r="L6752" s="7" t="str">
        <f t="shared" si="531"/>
        <v/>
      </c>
      <c r="M6752" s="7" t="str">
        <f t="shared" si="528"/>
        <v/>
      </c>
      <c r="N6752" s="7" t="str">
        <f t="shared" si="532"/>
        <v/>
      </c>
      <c r="O6752" s="8"/>
      <c r="P6752" s="26"/>
      <c r="S6752" s="10" t="str">
        <f t="shared" si="529"/>
        <v/>
      </c>
    </row>
    <row r="6753" spans="5:19" x14ac:dyDescent="0.3">
      <c r="E6753" s="9" t="str">
        <f>IF(DADOS!C6753="","",DADOS!C6753)</f>
        <v/>
      </c>
      <c r="F6753" s="9" t="str">
        <f>IF(DADOS!E6753="","",DADOS!E6753)</f>
        <v/>
      </c>
      <c r="G6753" s="9" t="str">
        <f>IF(DADOS!F6753="","",DADOS!F6753)</f>
        <v/>
      </c>
      <c r="K6753" s="6" t="str">
        <f t="shared" si="530"/>
        <v/>
      </c>
      <c r="L6753" s="7" t="str">
        <f t="shared" si="531"/>
        <v/>
      </c>
      <c r="M6753" s="7" t="str">
        <f t="shared" si="528"/>
        <v/>
      </c>
      <c r="N6753" s="7" t="str">
        <f t="shared" si="532"/>
        <v/>
      </c>
      <c r="O6753" s="8"/>
      <c r="P6753" s="26"/>
      <c r="S6753" s="10" t="str">
        <f t="shared" si="529"/>
        <v/>
      </c>
    </row>
    <row r="6754" spans="5:19" x14ac:dyDescent="0.3">
      <c r="E6754" s="9" t="str">
        <f>IF(DADOS!C6754="","",DADOS!C6754)</f>
        <v/>
      </c>
      <c r="F6754" s="9" t="str">
        <f>IF(DADOS!E6754="","",DADOS!E6754)</f>
        <v/>
      </c>
      <c r="G6754" s="9" t="str">
        <f>IF(DADOS!F6754="","",DADOS!F6754)</f>
        <v/>
      </c>
      <c r="K6754" s="6" t="str">
        <f t="shared" si="530"/>
        <v/>
      </c>
      <c r="L6754" s="7" t="str">
        <f t="shared" si="531"/>
        <v/>
      </c>
      <c r="M6754" s="7" t="str">
        <f t="shared" si="528"/>
        <v/>
      </c>
      <c r="N6754" s="7" t="str">
        <f t="shared" si="532"/>
        <v/>
      </c>
      <c r="O6754" s="8"/>
      <c r="P6754" s="26"/>
      <c r="S6754" s="10" t="str">
        <f t="shared" si="529"/>
        <v/>
      </c>
    </row>
    <row r="6755" spans="5:19" x14ac:dyDescent="0.3">
      <c r="E6755" s="9" t="str">
        <f>IF(DADOS!C6755="","",DADOS!C6755)</f>
        <v/>
      </c>
      <c r="F6755" s="9" t="str">
        <f>IF(DADOS!E6755="","",DADOS!E6755)</f>
        <v/>
      </c>
      <c r="G6755" s="9" t="str">
        <f>IF(DADOS!F6755="","",DADOS!F6755)</f>
        <v/>
      </c>
      <c r="K6755" s="6" t="str">
        <f t="shared" si="530"/>
        <v/>
      </c>
      <c r="L6755" s="7" t="str">
        <f t="shared" si="531"/>
        <v/>
      </c>
      <c r="M6755" s="7" t="str">
        <f t="shared" si="528"/>
        <v/>
      </c>
      <c r="N6755" s="7" t="str">
        <f t="shared" si="532"/>
        <v/>
      </c>
      <c r="O6755" s="8"/>
      <c r="P6755" s="26"/>
      <c r="S6755" s="10" t="str">
        <f t="shared" si="529"/>
        <v/>
      </c>
    </row>
    <row r="6756" spans="5:19" x14ac:dyDescent="0.3">
      <c r="E6756" s="9" t="str">
        <f>IF(DADOS!C6756="","",DADOS!C6756)</f>
        <v/>
      </c>
      <c r="F6756" s="9" t="str">
        <f>IF(DADOS!E6756="","",DADOS!E6756)</f>
        <v/>
      </c>
      <c r="G6756" s="9" t="str">
        <f>IF(DADOS!F6756="","",DADOS!F6756)</f>
        <v/>
      </c>
      <c r="K6756" s="6" t="str">
        <f t="shared" si="530"/>
        <v/>
      </c>
      <c r="L6756" s="7" t="str">
        <f t="shared" si="531"/>
        <v/>
      </c>
      <c r="M6756" s="7" t="str">
        <f t="shared" si="528"/>
        <v/>
      </c>
      <c r="N6756" s="7" t="str">
        <f t="shared" si="532"/>
        <v/>
      </c>
      <c r="O6756" s="8"/>
      <c r="P6756" s="26"/>
      <c r="S6756" s="10" t="str">
        <f t="shared" si="529"/>
        <v/>
      </c>
    </row>
    <row r="6757" spans="5:19" x14ac:dyDescent="0.3">
      <c r="E6757" s="9" t="str">
        <f>IF(DADOS!C6757="","",DADOS!C6757)</f>
        <v/>
      </c>
      <c r="F6757" s="9" t="str">
        <f>IF(DADOS!E6757="","",DADOS!E6757)</f>
        <v/>
      </c>
      <c r="G6757" s="9" t="str">
        <f>IF(DADOS!F6757="","",DADOS!F6757)</f>
        <v/>
      </c>
      <c r="K6757" s="6" t="str">
        <f t="shared" si="530"/>
        <v/>
      </c>
      <c r="L6757" s="7" t="str">
        <f t="shared" si="531"/>
        <v/>
      </c>
      <c r="M6757" s="7" t="str">
        <f t="shared" si="528"/>
        <v/>
      </c>
      <c r="N6757" s="7" t="str">
        <f t="shared" si="532"/>
        <v/>
      </c>
      <c r="O6757" s="8"/>
      <c r="P6757" s="26"/>
      <c r="S6757" s="10" t="str">
        <f t="shared" si="529"/>
        <v/>
      </c>
    </row>
    <row r="6758" spans="5:19" x14ac:dyDescent="0.3">
      <c r="E6758" s="9" t="str">
        <f>IF(DADOS!C6758="","",DADOS!C6758)</f>
        <v/>
      </c>
      <c r="F6758" s="9" t="str">
        <f>IF(DADOS!E6758="","",DADOS!E6758)</f>
        <v/>
      </c>
      <c r="G6758" s="9" t="str">
        <f>IF(DADOS!F6758="","",DADOS!F6758)</f>
        <v/>
      </c>
      <c r="K6758" s="6" t="str">
        <f t="shared" si="530"/>
        <v/>
      </c>
      <c r="L6758" s="7" t="str">
        <f t="shared" si="531"/>
        <v/>
      </c>
      <c r="M6758" s="7" t="str">
        <f t="shared" si="528"/>
        <v/>
      </c>
      <c r="N6758" s="7" t="str">
        <f t="shared" si="532"/>
        <v/>
      </c>
      <c r="O6758" s="8"/>
      <c r="P6758" s="26"/>
      <c r="S6758" s="10" t="str">
        <f t="shared" si="529"/>
        <v/>
      </c>
    </row>
    <row r="6759" spans="5:19" x14ac:dyDescent="0.3">
      <c r="E6759" s="9" t="str">
        <f>IF(DADOS!C6759="","",DADOS!C6759)</f>
        <v/>
      </c>
      <c r="F6759" s="9" t="str">
        <f>IF(DADOS!E6759="","",DADOS!E6759)</f>
        <v/>
      </c>
      <c r="G6759" s="9" t="str">
        <f>IF(DADOS!F6759="","",DADOS!F6759)</f>
        <v/>
      </c>
      <c r="K6759" s="6" t="str">
        <f t="shared" si="530"/>
        <v/>
      </c>
      <c r="L6759" s="7" t="str">
        <f t="shared" si="531"/>
        <v/>
      </c>
      <c r="M6759" s="7" t="str">
        <f t="shared" si="528"/>
        <v/>
      </c>
      <c r="N6759" s="7" t="str">
        <f t="shared" si="532"/>
        <v/>
      </c>
      <c r="O6759" s="8"/>
      <c r="P6759" s="26"/>
      <c r="S6759" s="10" t="str">
        <f t="shared" si="529"/>
        <v/>
      </c>
    </row>
    <row r="6760" spans="5:19" x14ac:dyDescent="0.3">
      <c r="E6760" s="9" t="str">
        <f>IF(DADOS!C6760="","",DADOS!C6760)</f>
        <v/>
      </c>
      <c r="F6760" s="9" t="str">
        <f>IF(DADOS!E6760="","",DADOS!E6760)</f>
        <v/>
      </c>
      <c r="G6760" s="9" t="str">
        <f>IF(DADOS!F6760="","",DADOS!F6760)</f>
        <v/>
      </c>
      <c r="K6760" s="6" t="str">
        <f t="shared" si="530"/>
        <v/>
      </c>
      <c r="L6760" s="7" t="str">
        <f t="shared" si="531"/>
        <v/>
      </c>
      <c r="M6760" s="7" t="str">
        <f t="shared" si="528"/>
        <v/>
      </c>
      <c r="N6760" s="7" t="str">
        <f t="shared" si="532"/>
        <v/>
      </c>
      <c r="O6760" s="8"/>
      <c r="P6760" s="26"/>
      <c r="S6760" s="10" t="str">
        <f t="shared" si="529"/>
        <v/>
      </c>
    </row>
    <row r="6761" spans="5:19" x14ac:dyDescent="0.3">
      <c r="E6761" s="9" t="str">
        <f>IF(DADOS!C6761="","",DADOS!C6761)</f>
        <v/>
      </c>
      <c r="F6761" s="9" t="str">
        <f>IF(DADOS!E6761="","",DADOS!E6761)</f>
        <v/>
      </c>
      <c r="G6761" s="9" t="str">
        <f>IF(DADOS!F6761="","",DADOS!F6761)</f>
        <v/>
      </c>
      <c r="K6761" s="6" t="str">
        <f t="shared" si="530"/>
        <v/>
      </c>
      <c r="L6761" s="7" t="str">
        <f t="shared" si="531"/>
        <v/>
      </c>
      <c r="M6761" s="7" t="str">
        <f t="shared" si="528"/>
        <v/>
      </c>
      <c r="N6761" s="7" t="str">
        <f t="shared" si="532"/>
        <v/>
      </c>
      <c r="O6761" s="8"/>
      <c r="P6761" s="26"/>
      <c r="S6761" s="10" t="str">
        <f t="shared" si="529"/>
        <v/>
      </c>
    </row>
    <row r="6762" spans="5:19" x14ac:dyDescent="0.3">
      <c r="E6762" s="9" t="str">
        <f>IF(DADOS!C6762="","",DADOS!C6762)</f>
        <v/>
      </c>
      <c r="F6762" s="9" t="str">
        <f>IF(DADOS!E6762="","",DADOS!E6762)</f>
        <v/>
      </c>
      <c r="G6762" s="9" t="str">
        <f>IF(DADOS!F6762="","",DADOS!F6762)</f>
        <v/>
      </c>
      <c r="K6762" s="6" t="str">
        <f t="shared" si="530"/>
        <v/>
      </c>
      <c r="L6762" s="7" t="str">
        <f t="shared" si="531"/>
        <v/>
      </c>
      <c r="M6762" s="7" t="str">
        <f t="shared" si="528"/>
        <v/>
      </c>
      <c r="N6762" s="7" t="str">
        <f t="shared" si="532"/>
        <v/>
      </c>
      <c r="O6762" s="8"/>
      <c r="P6762" s="26"/>
      <c r="S6762" s="10" t="str">
        <f t="shared" si="529"/>
        <v/>
      </c>
    </row>
    <row r="6763" spans="5:19" x14ac:dyDescent="0.3">
      <c r="E6763" s="9" t="str">
        <f>IF(DADOS!C6763="","",DADOS!C6763)</f>
        <v/>
      </c>
      <c r="F6763" s="9" t="str">
        <f>IF(DADOS!E6763="","",DADOS!E6763)</f>
        <v/>
      </c>
      <c r="G6763" s="9" t="str">
        <f>IF(DADOS!F6763="","",DADOS!F6763)</f>
        <v/>
      </c>
      <c r="K6763" s="6" t="str">
        <f t="shared" si="530"/>
        <v/>
      </c>
      <c r="L6763" s="7" t="str">
        <f t="shared" si="531"/>
        <v/>
      </c>
      <c r="M6763" s="7" t="str">
        <f t="shared" si="528"/>
        <v/>
      </c>
      <c r="N6763" s="7" t="str">
        <f t="shared" si="532"/>
        <v/>
      </c>
      <c r="O6763" s="8"/>
      <c r="P6763" s="26"/>
      <c r="S6763" s="10" t="str">
        <f t="shared" si="529"/>
        <v/>
      </c>
    </row>
    <row r="6764" spans="5:19" x14ac:dyDescent="0.3">
      <c r="E6764" s="9" t="str">
        <f>IF(DADOS!C6764="","",DADOS!C6764)</f>
        <v/>
      </c>
      <c r="F6764" s="9" t="str">
        <f>IF(DADOS!E6764="","",DADOS!E6764)</f>
        <v/>
      </c>
      <c r="G6764" s="9" t="str">
        <f>IF(DADOS!F6764="","",DADOS!F6764)</f>
        <v/>
      </c>
      <c r="K6764" s="6" t="str">
        <f t="shared" si="530"/>
        <v/>
      </c>
      <c r="L6764" s="7" t="str">
        <f t="shared" si="531"/>
        <v/>
      </c>
      <c r="M6764" s="7" t="str">
        <f t="shared" si="528"/>
        <v/>
      </c>
      <c r="N6764" s="7" t="str">
        <f t="shared" si="532"/>
        <v/>
      </c>
      <c r="O6764" s="8"/>
      <c r="P6764" s="26"/>
      <c r="S6764" s="10" t="str">
        <f t="shared" si="529"/>
        <v/>
      </c>
    </row>
    <row r="6765" spans="5:19" x14ac:dyDescent="0.3">
      <c r="E6765" s="9" t="str">
        <f>IF(DADOS!C6765="","",DADOS!C6765)</f>
        <v/>
      </c>
      <c r="F6765" s="9" t="str">
        <f>IF(DADOS!E6765="","",DADOS!E6765)</f>
        <v/>
      </c>
      <c r="G6765" s="9" t="str">
        <f>IF(DADOS!F6765="","",DADOS!F6765)</f>
        <v/>
      </c>
      <c r="K6765" s="6" t="str">
        <f t="shared" si="530"/>
        <v/>
      </c>
      <c r="L6765" s="7" t="str">
        <f t="shared" si="531"/>
        <v/>
      </c>
      <c r="M6765" s="7" t="str">
        <f t="shared" si="528"/>
        <v/>
      </c>
      <c r="N6765" s="7" t="str">
        <f t="shared" si="532"/>
        <v/>
      </c>
      <c r="O6765" s="8"/>
      <c r="P6765" s="26"/>
      <c r="S6765" s="10" t="str">
        <f t="shared" si="529"/>
        <v/>
      </c>
    </row>
    <row r="6766" spans="5:19" x14ac:dyDescent="0.3">
      <c r="E6766" s="9" t="str">
        <f>IF(DADOS!C6766="","",DADOS!C6766)</f>
        <v/>
      </c>
      <c r="F6766" s="9" t="str">
        <f>IF(DADOS!E6766="","",DADOS!E6766)</f>
        <v/>
      </c>
      <c r="G6766" s="9" t="str">
        <f>IF(DADOS!F6766="","",DADOS!F6766)</f>
        <v/>
      </c>
      <c r="K6766" s="6" t="str">
        <f t="shared" si="530"/>
        <v/>
      </c>
      <c r="L6766" s="7" t="str">
        <f t="shared" si="531"/>
        <v/>
      </c>
      <c r="M6766" s="7" t="str">
        <f t="shared" si="528"/>
        <v/>
      </c>
      <c r="N6766" s="7" t="str">
        <f t="shared" si="532"/>
        <v/>
      </c>
      <c r="O6766" s="8"/>
      <c r="P6766" s="26"/>
      <c r="S6766" s="10" t="str">
        <f t="shared" si="529"/>
        <v/>
      </c>
    </row>
    <row r="6767" spans="5:19" x14ac:dyDescent="0.3">
      <c r="E6767" s="9" t="str">
        <f>IF(DADOS!C6767="","",DADOS!C6767)</f>
        <v/>
      </c>
      <c r="F6767" s="9" t="str">
        <f>IF(DADOS!E6767="","",DADOS!E6767)</f>
        <v/>
      </c>
      <c r="G6767" s="9" t="str">
        <f>IF(DADOS!F6767="","",DADOS!F6767)</f>
        <v/>
      </c>
      <c r="K6767" s="6" t="str">
        <f t="shared" si="530"/>
        <v/>
      </c>
      <c r="L6767" s="7" t="str">
        <f t="shared" si="531"/>
        <v/>
      </c>
      <c r="M6767" s="7" t="str">
        <f t="shared" si="528"/>
        <v/>
      </c>
      <c r="N6767" s="7" t="str">
        <f t="shared" si="532"/>
        <v/>
      </c>
      <c r="O6767" s="8"/>
      <c r="P6767" s="26"/>
      <c r="S6767" s="10" t="str">
        <f t="shared" si="529"/>
        <v/>
      </c>
    </row>
    <row r="6768" spans="5:19" x14ac:dyDescent="0.3">
      <c r="E6768" s="9" t="str">
        <f>IF(DADOS!C6768="","",DADOS!C6768)</f>
        <v/>
      </c>
      <c r="F6768" s="9" t="str">
        <f>IF(DADOS!E6768="","",DADOS!E6768)</f>
        <v/>
      </c>
      <c r="G6768" s="9" t="str">
        <f>IF(DADOS!F6768="","",DADOS!F6768)</f>
        <v/>
      </c>
      <c r="K6768" s="6" t="str">
        <f t="shared" si="530"/>
        <v/>
      </c>
      <c r="L6768" s="7" t="str">
        <f t="shared" si="531"/>
        <v/>
      </c>
      <c r="M6768" s="7" t="str">
        <f t="shared" si="528"/>
        <v/>
      </c>
      <c r="N6768" s="7" t="str">
        <f t="shared" si="532"/>
        <v/>
      </c>
      <c r="O6768" s="8"/>
      <c r="P6768" s="26"/>
      <c r="S6768" s="10" t="str">
        <f t="shared" si="529"/>
        <v/>
      </c>
    </row>
    <row r="6769" spans="5:19" x14ac:dyDescent="0.3">
      <c r="E6769" s="9" t="str">
        <f>IF(DADOS!C6769="","",DADOS!C6769)</f>
        <v/>
      </c>
      <c r="F6769" s="9" t="str">
        <f>IF(DADOS!E6769="","",DADOS!E6769)</f>
        <v/>
      </c>
      <c r="G6769" s="9" t="str">
        <f>IF(DADOS!F6769="","",DADOS!F6769)</f>
        <v/>
      </c>
      <c r="K6769" s="6" t="str">
        <f t="shared" si="530"/>
        <v/>
      </c>
      <c r="L6769" s="7" t="str">
        <f t="shared" si="531"/>
        <v/>
      </c>
      <c r="M6769" s="7" t="str">
        <f t="shared" si="528"/>
        <v/>
      </c>
      <c r="N6769" s="7" t="str">
        <f t="shared" si="532"/>
        <v/>
      </c>
      <c r="O6769" s="8"/>
      <c r="P6769" s="26"/>
      <c r="S6769" s="10" t="str">
        <f t="shared" si="529"/>
        <v/>
      </c>
    </row>
    <row r="6770" spans="5:19" x14ac:dyDescent="0.3">
      <c r="E6770" s="9" t="str">
        <f>IF(DADOS!C6770="","",DADOS!C6770)</f>
        <v/>
      </c>
      <c r="F6770" s="9" t="str">
        <f>IF(DADOS!E6770="","",DADOS!E6770)</f>
        <v/>
      </c>
      <c r="G6770" s="9" t="str">
        <f>IF(DADOS!F6770="","",DADOS!F6770)</f>
        <v/>
      </c>
      <c r="K6770" s="6" t="str">
        <f t="shared" si="530"/>
        <v/>
      </c>
      <c r="L6770" s="7" t="str">
        <f t="shared" si="531"/>
        <v/>
      </c>
      <c r="M6770" s="7" t="str">
        <f t="shared" si="528"/>
        <v/>
      </c>
      <c r="N6770" s="7" t="str">
        <f t="shared" si="532"/>
        <v/>
      </c>
      <c r="O6770" s="8"/>
      <c r="P6770" s="26"/>
      <c r="S6770" s="10" t="str">
        <f t="shared" si="529"/>
        <v/>
      </c>
    </row>
    <row r="6771" spans="5:19" x14ac:dyDescent="0.3">
      <c r="E6771" s="9" t="str">
        <f>IF(DADOS!C6771="","",DADOS!C6771)</f>
        <v/>
      </c>
      <c r="F6771" s="9" t="str">
        <f>IF(DADOS!E6771="","",DADOS!E6771)</f>
        <v/>
      </c>
      <c r="G6771" s="9" t="str">
        <f>IF(DADOS!F6771="","",DADOS!F6771)</f>
        <v/>
      </c>
      <c r="K6771" s="6" t="str">
        <f t="shared" si="530"/>
        <v/>
      </c>
      <c r="L6771" s="7" t="str">
        <f t="shared" si="531"/>
        <v/>
      </c>
      <c r="M6771" s="7" t="str">
        <f t="shared" si="528"/>
        <v/>
      </c>
      <c r="N6771" s="7" t="str">
        <f t="shared" si="532"/>
        <v/>
      </c>
      <c r="O6771" s="8"/>
      <c r="P6771" s="26"/>
      <c r="S6771" s="10" t="str">
        <f t="shared" si="529"/>
        <v/>
      </c>
    </row>
    <row r="6772" spans="5:19" x14ac:dyDescent="0.3">
      <c r="E6772" s="9" t="str">
        <f>IF(DADOS!C6772="","",DADOS!C6772)</f>
        <v/>
      </c>
      <c r="F6772" s="9" t="str">
        <f>IF(DADOS!E6772="","",DADOS!E6772)</f>
        <v/>
      </c>
      <c r="G6772" s="9" t="str">
        <f>IF(DADOS!F6772="","",DADOS!F6772)</f>
        <v/>
      </c>
      <c r="K6772" s="6" t="str">
        <f t="shared" si="530"/>
        <v/>
      </c>
      <c r="L6772" s="7" t="str">
        <f t="shared" si="531"/>
        <v/>
      </c>
      <c r="M6772" s="7" t="str">
        <f t="shared" si="528"/>
        <v/>
      </c>
      <c r="N6772" s="7" t="str">
        <f t="shared" si="532"/>
        <v/>
      </c>
      <c r="O6772" s="8"/>
      <c r="P6772" s="26"/>
      <c r="S6772" s="10" t="str">
        <f t="shared" si="529"/>
        <v/>
      </c>
    </row>
    <row r="6773" spans="5:19" x14ac:dyDescent="0.3">
      <c r="E6773" s="9" t="str">
        <f>IF(DADOS!C6773="","",DADOS!C6773)</f>
        <v/>
      </c>
      <c r="F6773" s="9" t="str">
        <f>IF(DADOS!E6773="","",DADOS!E6773)</f>
        <v/>
      </c>
      <c r="G6773" s="9" t="str">
        <f>IF(DADOS!F6773="","",DADOS!F6773)</f>
        <v/>
      </c>
      <c r="K6773" s="6" t="str">
        <f t="shared" si="530"/>
        <v/>
      </c>
      <c r="L6773" s="7" t="str">
        <f t="shared" si="531"/>
        <v/>
      </c>
      <c r="M6773" s="7" t="str">
        <f t="shared" si="528"/>
        <v/>
      </c>
      <c r="N6773" s="7" t="str">
        <f t="shared" si="532"/>
        <v/>
      </c>
      <c r="O6773" s="8"/>
      <c r="P6773" s="26"/>
      <c r="S6773" s="10" t="str">
        <f t="shared" si="529"/>
        <v/>
      </c>
    </row>
    <row r="6774" spans="5:19" x14ac:dyDescent="0.3">
      <c r="E6774" s="9" t="str">
        <f>IF(DADOS!C6774="","",DADOS!C6774)</f>
        <v/>
      </c>
      <c r="F6774" s="9" t="str">
        <f>IF(DADOS!E6774="","",DADOS!E6774)</f>
        <v/>
      </c>
      <c r="G6774" s="9" t="str">
        <f>IF(DADOS!F6774="","",DADOS!F6774)</f>
        <v/>
      </c>
      <c r="K6774" s="6" t="str">
        <f t="shared" si="530"/>
        <v/>
      </c>
      <c r="L6774" s="7" t="str">
        <f t="shared" si="531"/>
        <v/>
      </c>
      <c r="M6774" s="7" t="str">
        <f t="shared" si="528"/>
        <v/>
      </c>
      <c r="N6774" s="7" t="str">
        <f t="shared" si="532"/>
        <v/>
      </c>
      <c r="O6774" s="8"/>
      <c r="P6774" s="26"/>
      <c r="S6774" s="10" t="str">
        <f t="shared" si="529"/>
        <v/>
      </c>
    </row>
    <row r="6775" spans="5:19" x14ac:dyDescent="0.3">
      <c r="E6775" s="9" t="str">
        <f>IF(DADOS!C6775="","",DADOS!C6775)</f>
        <v/>
      </c>
      <c r="F6775" s="9" t="str">
        <f>IF(DADOS!E6775="","",DADOS!E6775)</f>
        <v/>
      </c>
      <c r="G6775" s="9" t="str">
        <f>IF(DADOS!F6775="","",DADOS!F6775)</f>
        <v/>
      </c>
      <c r="K6775" s="6" t="str">
        <f t="shared" si="530"/>
        <v/>
      </c>
      <c r="L6775" s="7" t="str">
        <f t="shared" si="531"/>
        <v/>
      </c>
      <c r="M6775" s="7" t="str">
        <f t="shared" si="528"/>
        <v/>
      </c>
      <c r="N6775" s="7" t="str">
        <f t="shared" si="532"/>
        <v/>
      </c>
      <c r="O6775" s="8"/>
      <c r="P6775" s="26"/>
      <c r="S6775" s="10" t="str">
        <f t="shared" si="529"/>
        <v/>
      </c>
    </row>
    <row r="6776" spans="5:19" x14ac:dyDescent="0.3">
      <c r="E6776" s="9" t="str">
        <f>IF(DADOS!C6776="","",DADOS!C6776)</f>
        <v/>
      </c>
      <c r="F6776" s="9" t="str">
        <f>IF(DADOS!E6776="","",DADOS!E6776)</f>
        <v/>
      </c>
      <c r="G6776" s="9" t="str">
        <f>IF(DADOS!F6776="","",DADOS!F6776)</f>
        <v/>
      </c>
      <c r="K6776" s="6" t="str">
        <f t="shared" si="530"/>
        <v/>
      </c>
      <c r="L6776" s="7" t="str">
        <f t="shared" si="531"/>
        <v/>
      </c>
      <c r="M6776" s="7" t="str">
        <f t="shared" si="528"/>
        <v/>
      </c>
      <c r="N6776" s="7" t="str">
        <f t="shared" si="532"/>
        <v/>
      </c>
      <c r="O6776" s="8"/>
      <c r="P6776" s="26"/>
      <c r="S6776" s="10" t="str">
        <f t="shared" si="529"/>
        <v/>
      </c>
    </row>
    <row r="6777" spans="5:19" x14ac:dyDescent="0.3">
      <c r="E6777" s="9" t="str">
        <f>IF(DADOS!C6777="","",DADOS!C6777)</f>
        <v/>
      </c>
      <c r="F6777" s="9" t="str">
        <f>IF(DADOS!E6777="","",DADOS!E6777)</f>
        <v/>
      </c>
      <c r="G6777" s="9" t="str">
        <f>IF(DADOS!F6777="","",DADOS!F6777)</f>
        <v/>
      </c>
      <c r="K6777" s="6" t="str">
        <f t="shared" si="530"/>
        <v/>
      </c>
      <c r="L6777" s="7" t="str">
        <f t="shared" si="531"/>
        <v/>
      </c>
      <c r="M6777" s="7" t="str">
        <f t="shared" si="528"/>
        <v/>
      </c>
      <c r="N6777" s="7" t="str">
        <f t="shared" si="532"/>
        <v/>
      </c>
      <c r="O6777" s="8"/>
      <c r="P6777" s="26"/>
      <c r="S6777" s="10" t="str">
        <f t="shared" si="529"/>
        <v/>
      </c>
    </row>
    <row r="6778" spans="5:19" x14ac:dyDescent="0.3">
      <c r="E6778" s="9" t="str">
        <f>IF(DADOS!C6778="","",DADOS!C6778)</f>
        <v/>
      </c>
      <c r="F6778" s="9" t="str">
        <f>IF(DADOS!E6778="","",DADOS!E6778)</f>
        <v/>
      </c>
      <c r="G6778" s="9" t="str">
        <f>IF(DADOS!F6778="","",DADOS!F6778)</f>
        <v/>
      </c>
      <c r="K6778" s="6" t="str">
        <f t="shared" si="530"/>
        <v/>
      </c>
      <c r="L6778" s="7" t="str">
        <f t="shared" si="531"/>
        <v/>
      </c>
      <c r="M6778" s="7" t="str">
        <f t="shared" si="528"/>
        <v/>
      </c>
      <c r="N6778" s="7" t="str">
        <f t="shared" si="532"/>
        <v/>
      </c>
      <c r="O6778" s="8"/>
      <c r="P6778" s="26"/>
      <c r="S6778" s="10" t="str">
        <f t="shared" si="529"/>
        <v/>
      </c>
    </row>
    <row r="6779" spans="5:19" x14ac:dyDescent="0.3">
      <c r="E6779" s="9" t="str">
        <f>IF(DADOS!C6779="","",DADOS!C6779)</f>
        <v/>
      </c>
      <c r="F6779" s="9" t="str">
        <f>IF(DADOS!E6779="","",DADOS!E6779)</f>
        <v/>
      </c>
      <c r="G6779" s="9" t="str">
        <f>IF(DADOS!F6779="","",DADOS!F6779)</f>
        <v/>
      </c>
      <c r="K6779" s="6" t="str">
        <f t="shared" si="530"/>
        <v/>
      </c>
      <c r="L6779" s="7" t="str">
        <f t="shared" si="531"/>
        <v/>
      </c>
      <c r="M6779" s="7" t="str">
        <f t="shared" si="528"/>
        <v/>
      </c>
      <c r="N6779" s="7" t="str">
        <f t="shared" si="532"/>
        <v/>
      </c>
      <c r="O6779" s="8"/>
      <c r="P6779" s="26"/>
      <c r="S6779" s="10" t="str">
        <f t="shared" si="529"/>
        <v/>
      </c>
    </row>
    <row r="6780" spans="5:19" x14ac:dyDescent="0.3">
      <c r="E6780" s="9" t="str">
        <f>IF(DADOS!C6780="","",DADOS!C6780)</f>
        <v/>
      </c>
      <c r="F6780" s="9" t="str">
        <f>IF(DADOS!E6780="","",DADOS!E6780)</f>
        <v/>
      </c>
      <c r="G6780" s="9" t="str">
        <f>IF(DADOS!F6780="","",DADOS!F6780)</f>
        <v/>
      </c>
      <c r="K6780" s="6" t="str">
        <f t="shared" si="530"/>
        <v/>
      </c>
      <c r="L6780" s="7" t="str">
        <f t="shared" si="531"/>
        <v/>
      </c>
      <c r="M6780" s="7" t="str">
        <f t="shared" si="528"/>
        <v/>
      </c>
      <c r="N6780" s="7" t="str">
        <f t="shared" si="532"/>
        <v/>
      </c>
      <c r="O6780" s="8"/>
      <c r="P6780" s="26"/>
      <c r="S6780" s="10" t="str">
        <f t="shared" si="529"/>
        <v/>
      </c>
    </row>
    <row r="6781" spans="5:19" x14ac:dyDescent="0.3">
      <c r="E6781" s="9" t="str">
        <f>IF(DADOS!C6781="","",DADOS!C6781)</f>
        <v/>
      </c>
      <c r="F6781" s="9" t="str">
        <f>IF(DADOS!E6781="","",DADOS!E6781)</f>
        <v/>
      </c>
      <c r="G6781" s="9" t="str">
        <f>IF(DADOS!F6781="","",DADOS!F6781)</f>
        <v/>
      </c>
      <c r="K6781" s="6" t="str">
        <f t="shared" si="530"/>
        <v/>
      </c>
      <c r="L6781" s="7" t="str">
        <f t="shared" si="531"/>
        <v/>
      </c>
      <c r="M6781" s="7" t="str">
        <f t="shared" si="528"/>
        <v/>
      </c>
      <c r="N6781" s="7" t="str">
        <f t="shared" si="532"/>
        <v/>
      </c>
      <c r="O6781" s="8"/>
      <c r="P6781" s="26"/>
      <c r="S6781" s="10" t="str">
        <f t="shared" si="529"/>
        <v/>
      </c>
    </row>
    <row r="6782" spans="5:19" x14ac:dyDescent="0.3">
      <c r="E6782" s="9" t="str">
        <f>IF(DADOS!C6782="","",DADOS!C6782)</f>
        <v/>
      </c>
      <c r="F6782" s="9" t="str">
        <f>IF(DADOS!E6782="","",DADOS!E6782)</f>
        <v/>
      </c>
      <c r="G6782" s="9" t="str">
        <f>IF(DADOS!F6782="","",DADOS!F6782)</f>
        <v/>
      </c>
      <c r="K6782" s="6" t="str">
        <f t="shared" si="530"/>
        <v/>
      </c>
      <c r="L6782" s="7" t="str">
        <f t="shared" si="531"/>
        <v/>
      </c>
      <c r="M6782" s="7" t="str">
        <f t="shared" si="528"/>
        <v/>
      </c>
      <c r="N6782" s="7" t="str">
        <f t="shared" si="532"/>
        <v/>
      </c>
      <c r="O6782" s="8"/>
      <c r="P6782" s="26"/>
      <c r="S6782" s="10" t="str">
        <f t="shared" si="529"/>
        <v/>
      </c>
    </row>
    <row r="6783" spans="5:19" x14ac:dyDescent="0.3">
      <c r="E6783" s="9" t="str">
        <f>IF(DADOS!C6783="","",DADOS!C6783)</f>
        <v/>
      </c>
      <c r="F6783" s="9" t="str">
        <f>IF(DADOS!E6783="","",DADOS!E6783)</f>
        <v/>
      </c>
      <c r="G6783" s="9" t="str">
        <f>IF(DADOS!F6783="","",DADOS!F6783)</f>
        <v/>
      </c>
      <c r="K6783" s="6" t="str">
        <f t="shared" si="530"/>
        <v/>
      </c>
      <c r="L6783" s="7" t="str">
        <f t="shared" si="531"/>
        <v/>
      </c>
      <c r="M6783" s="7" t="str">
        <f t="shared" si="528"/>
        <v/>
      </c>
      <c r="N6783" s="7" t="str">
        <f t="shared" si="532"/>
        <v/>
      </c>
      <c r="O6783" s="8"/>
      <c r="P6783" s="26"/>
      <c r="S6783" s="10" t="str">
        <f t="shared" si="529"/>
        <v/>
      </c>
    </row>
    <row r="6784" spans="5:19" x14ac:dyDescent="0.3">
      <c r="E6784" s="9" t="str">
        <f>IF(DADOS!C6784="","",DADOS!C6784)</f>
        <v/>
      </c>
      <c r="F6784" s="9" t="str">
        <f>IF(DADOS!E6784="","",DADOS!E6784)</f>
        <v/>
      </c>
      <c r="G6784" s="9" t="str">
        <f>IF(DADOS!F6784="","",DADOS!F6784)</f>
        <v/>
      </c>
      <c r="K6784" s="6" t="str">
        <f t="shared" si="530"/>
        <v/>
      </c>
      <c r="L6784" s="7" t="str">
        <f t="shared" si="531"/>
        <v/>
      </c>
      <c r="M6784" s="7" t="str">
        <f t="shared" si="528"/>
        <v/>
      </c>
      <c r="N6784" s="7" t="str">
        <f t="shared" si="532"/>
        <v/>
      </c>
      <c r="O6784" s="8"/>
      <c r="P6784" s="26"/>
      <c r="S6784" s="10" t="str">
        <f t="shared" si="529"/>
        <v/>
      </c>
    </row>
    <row r="6785" spans="5:19" x14ac:dyDescent="0.3">
      <c r="E6785" s="9" t="str">
        <f>IF(DADOS!C6785="","",DADOS!C6785)</f>
        <v/>
      </c>
      <c r="F6785" s="9" t="str">
        <f>IF(DADOS!E6785="","",DADOS!E6785)</f>
        <v/>
      </c>
      <c r="G6785" s="9" t="str">
        <f>IF(DADOS!F6785="","",DADOS!F6785)</f>
        <v/>
      </c>
      <c r="K6785" s="6" t="str">
        <f t="shared" si="530"/>
        <v/>
      </c>
      <c r="L6785" s="7" t="str">
        <f t="shared" si="531"/>
        <v/>
      </c>
      <c r="M6785" s="7" t="str">
        <f t="shared" si="528"/>
        <v/>
      </c>
      <c r="N6785" s="7" t="str">
        <f t="shared" si="532"/>
        <v/>
      </c>
      <c r="O6785" s="8"/>
      <c r="P6785" s="26"/>
      <c r="S6785" s="10" t="str">
        <f t="shared" si="529"/>
        <v/>
      </c>
    </row>
    <row r="6786" spans="5:19" x14ac:dyDescent="0.3">
      <c r="E6786" s="9" t="str">
        <f>IF(DADOS!C6786="","",DADOS!C6786)</f>
        <v/>
      </c>
      <c r="F6786" s="9" t="str">
        <f>IF(DADOS!E6786="","",DADOS!E6786)</f>
        <v/>
      </c>
      <c r="G6786" s="9" t="str">
        <f>IF(DADOS!F6786="","",DADOS!F6786)</f>
        <v/>
      </c>
      <c r="K6786" s="6" t="str">
        <f t="shared" si="530"/>
        <v/>
      </c>
      <c r="L6786" s="7" t="str">
        <f t="shared" si="531"/>
        <v/>
      </c>
      <c r="M6786" s="7" t="str">
        <f t="shared" si="528"/>
        <v/>
      </c>
      <c r="N6786" s="7" t="str">
        <f t="shared" si="532"/>
        <v/>
      </c>
      <c r="O6786" s="8"/>
      <c r="P6786" s="26"/>
      <c r="S6786" s="10" t="str">
        <f t="shared" si="529"/>
        <v/>
      </c>
    </row>
    <row r="6787" spans="5:19" x14ac:dyDescent="0.3">
      <c r="E6787" s="9" t="str">
        <f>IF(DADOS!C6787="","",DADOS!C6787)</f>
        <v/>
      </c>
      <c r="F6787" s="9" t="str">
        <f>IF(DADOS!E6787="","",DADOS!E6787)</f>
        <v/>
      </c>
      <c r="G6787" s="9" t="str">
        <f>IF(DADOS!F6787="","",DADOS!F6787)</f>
        <v/>
      </c>
      <c r="K6787" s="6" t="str">
        <f t="shared" si="530"/>
        <v/>
      </c>
      <c r="L6787" s="7" t="str">
        <f t="shared" si="531"/>
        <v/>
      </c>
      <c r="M6787" s="7" t="str">
        <f t="shared" ref="M6787:M6850" si="533">IF(L6787="","",L6787*G6787)</f>
        <v/>
      </c>
      <c r="N6787" s="7" t="str">
        <f t="shared" si="532"/>
        <v/>
      </c>
      <c r="O6787" s="8"/>
      <c r="P6787" s="26"/>
      <c r="S6787" s="10" t="str">
        <f t="shared" ref="S6787:S6850" si="534">IF(R6787="","",SUMIFS($N$3:$N$10000,$E$3:$E$10000,R6787))</f>
        <v/>
      </c>
    </row>
    <row r="6788" spans="5:19" x14ac:dyDescent="0.3">
      <c r="E6788" s="9" t="str">
        <f>IF(DADOS!C6788="","",DADOS!C6788)</f>
        <v/>
      </c>
      <c r="F6788" s="9" t="str">
        <f>IF(DADOS!E6788="","",DADOS!E6788)</f>
        <v/>
      </c>
      <c r="G6788" s="9" t="str">
        <f>IF(DADOS!F6788="","",DADOS!F6788)</f>
        <v/>
      </c>
      <c r="K6788" s="6" t="str">
        <f t="shared" ref="K6788:K6851" si="535">IF(F6788="","",F6788/PI())</f>
        <v/>
      </c>
      <c r="L6788" s="7" t="str">
        <f t="shared" ref="L6788:L6851" si="536">IF(K6788="","",(PI()*K6788^2)/40000)</f>
        <v/>
      </c>
      <c r="M6788" s="7" t="str">
        <f t="shared" si="533"/>
        <v/>
      </c>
      <c r="N6788" s="7" t="str">
        <f t="shared" ref="N6788:N6851" si="537">IF(M6788="","",M6788*N$1)</f>
        <v/>
      </c>
      <c r="O6788" s="8"/>
      <c r="P6788" s="26"/>
      <c r="S6788" s="10" t="str">
        <f t="shared" si="534"/>
        <v/>
      </c>
    </row>
    <row r="6789" spans="5:19" x14ac:dyDescent="0.3">
      <c r="E6789" s="9" t="str">
        <f>IF(DADOS!C6789="","",DADOS!C6789)</f>
        <v/>
      </c>
      <c r="F6789" s="9" t="str">
        <f>IF(DADOS!E6789="","",DADOS!E6789)</f>
        <v/>
      </c>
      <c r="G6789" s="9" t="str">
        <f>IF(DADOS!F6789="","",DADOS!F6789)</f>
        <v/>
      </c>
      <c r="K6789" s="6" t="str">
        <f t="shared" si="535"/>
        <v/>
      </c>
      <c r="L6789" s="7" t="str">
        <f t="shared" si="536"/>
        <v/>
      </c>
      <c r="M6789" s="7" t="str">
        <f t="shared" si="533"/>
        <v/>
      </c>
      <c r="N6789" s="7" t="str">
        <f t="shared" si="537"/>
        <v/>
      </c>
      <c r="O6789" s="8"/>
      <c r="P6789" s="26"/>
      <c r="S6789" s="10" t="str">
        <f t="shared" si="534"/>
        <v/>
      </c>
    </row>
    <row r="6790" spans="5:19" x14ac:dyDescent="0.3">
      <c r="E6790" s="9" t="str">
        <f>IF(DADOS!C6790="","",DADOS!C6790)</f>
        <v/>
      </c>
      <c r="F6790" s="9" t="str">
        <f>IF(DADOS!E6790="","",DADOS!E6790)</f>
        <v/>
      </c>
      <c r="G6790" s="9" t="str">
        <f>IF(DADOS!F6790="","",DADOS!F6790)</f>
        <v/>
      </c>
      <c r="K6790" s="6" t="str">
        <f t="shared" si="535"/>
        <v/>
      </c>
      <c r="L6790" s="7" t="str">
        <f t="shared" si="536"/>
        <v/>
      </c>
      <c r="M6790" s="7" t="str">
        <f t="shared" si="533"/>
        <v/>
      </c>
      <c r="N6790" s="7" t="str">
        <f t="shared" si="537"/>
        <v/>
      </c>
      <c r="O6790" s="8"/>
      <c r="P6790" s="26"/>
      <c r="S6790" s="10" t="str">
        <f t="shared" si="534"/>
        <v/>
      </c>
    </row>
    <row r="6791" spans="5:19" x14ac:dyDescent="0.3">
      <c r="E6791" s="9" t="str">
        <f>IF(DADOS!C6791="","",DADOS!C6791)</f>
        <v/>
      </c>
      <c r="F6791" s="9" t="str">
        <f>IF(DADOS!E6791="","",DADOS!E6791)</f>
        <v/>
      </c>
      <c r="G6791" s="9" t="str">
        <f>IF(DADOS!F6791="","",DADOS!F6791)</f>
        <v/>
      </c>
      <c r="K6791" s="6" t="str">
        <f t="shared" si="535"/>
        <v/>
      </c>
      <c r="L6791" s="7" t="str">
        <f t="shared" si="536"/>
        <v/>
      </c>
      <c r="M6791" s="7" t="str">
        <f t="shared" si="533"/>
        <v/>
      </c>
      <c r="N6791" s="7" t="str">
        <f t="shared" si="537"/>
        <v/>
      </c>
      <c r="O6791" s="8"/>
      <c r="P6791" s="26"/>
      <c r="S6791" s="10" t="str">
        <f t="shared" si="534"/>
        <v/>
      </c>
    </row>
    <row r="6792" spans="5:19" x14ac:dyDescent="0.3">
      <c r="E6792" s="9" t="str">
        <f>IF(DADOS!C6792="","",DADOS!C6792)</f>
        <v/>
      </c>
      <c r="F6792" s="9" t="str">
        <f>IF(DADOS!E6792="","",DADOS!E6792)</f>
        <v/>
      </c>
      <c r="G6792" s="9" t="str">
        <f>IF(DADOS!F6792="","",DADOS!F6792)</f>
        <v/>
      </c>
      <c r="K6792" s="6" t="str">
        <f t="shared" si="535"/>
        <v/>
      </c>
      <c r="L6792" s="7" t="str">
        <f t="shared" si="536"/>
        <v/>
      </c>
      <c r="M6792" s="7" t="str">
        <f t="shared" si="533"/>
        <v/>
      </c>
      <c r="N6792" s="7" t="str">
        <f t="shared" si="537"/>
        <v/>
      </c>
      <c r="O6792" s="8"/>
      <c r="P6792" s="26"/>
      <c r="S6792" s="10" t="str">
        <f t="shared" si="534"/>
        <v/>
      </c>
    </row>
    <row r="6793" spans="5:19" x14ac:dyDescent="0.3">
      <c r="E6793" s="9" t="str">
        <f>IF(DADOS!C6793="","",DADOS!C6793)</f>
        <v/>
      </c>
      <c r="F6793" s="9" t="str">
        <f>IF(DADOS!E6793="","",DADOS!E6793)</f>
        <v/>
      </c>
      <c r="G6793" s="9" t="str">
        <f>IF(DADOS!F6793="","",DADOS!F6793)</f>
        <v/>
      </c>
      <c r="K6793" s="6" t="str">
        <f t="shared" si="535"/>
        <v/>
      </c>
      <c r="L6793" s="7" t="str">
        <f t="shared" si="536"/>
        <v/>
      </c>
      <c r="M6793" s="7" t="str">
        <f t="shared" si="533"/>
        <v/>
      </c>
      <c r="N6793" s="7" t="str">
        <f t="shared" si="537"/>
        <v/>
      </c>
      <c r="O6793" s="8"/>
      <c r="P6793" s="26"/>
      <c r="S6793" s="10" t="str">
        <f t="shared" si="534"/>
        <v/>
      </c>
    </row>
    <row r="6794" spans="5:19" x14ac:dyDescent="0.3">
      <c r="E6794" s="9" t="str">
        <f>IF(DADOS!C6794="","",DADOS!C6794)</f>
        <v/>
      </c>
      <c r="F6794" s="9" t="str">
        <f>IF(DADOS!E6794="","",DADOS!E6794)</f>
        <v/>
      </c>
      <c r="G6794" s="9" t="str">
        <f>IF(DADOS!F6794="","",DADOS!F6794)</f>
        <v/>
      </c>
      <c r="K6794" s="6" t="str">
        <f t="shared" si="535"/>
        <v/>
      </c>
      <c r="L6794" s="7" t="str">
        <f t="shared" si="536"/>
        <v/>
      </c>
      <c r="M6794" s="7" t="str">
        <f t="shared" si="533"/>
        <v/>
      </c>
      <c r="N6794" s="7" t="str">
        <f t="shared" si="537"/>
        <v/>
      </c>
      <c r="O6794" s="8"/>
      <c r="P6794" s="26"/>
      <c r="S6794" s="10" t="str">
        <f t="shared" si="534"/>
        <v/>
      </c>
    </row>
    <row r="6795" spans="5:19" x14ac:dyDescent="0.3">
      <c r="E6795" s="9" t="str">
        <f>IF(DADOS!C6795="","",DADOS!C6795)</f>
        <v/>
      </c>
      <c r="F6795" s="9" t="str">
        <f>IF(DADOS!E6795="","",DADOS!E6795)</f>
        <v/>
      </c>
      <c r="G6795" s="9" t="str">
        <f>IF(DADOS!F6795="","",DADOS!F6795)</f>
        <v/>
      </c>
      <c r="K6795" s="6" t="str">
        <f t="shared" si="535"/>
        <v/>
      </c>
      <c r="L6795" s="7" t="str">
        <f t="shared" si="536"/>
        <v/>
      </c>
      <c r="M6795" s="7" t="str">
        <f t="shared" si="533"/>
        <v/>
      </c>
      <c r="N6795" s="7" t="str">
        <f t="shared" si="537"/>
        <v/>
      </c>
      <c r="O6795" s="8"/>
      <c r="P6795" s="26"/>
      <c r="S6795" s="10" t="str">
        <f t="shared" si="534"/>
        <v/>
      </c>
    </row>
    <row r="6796" spans="5:19" x14ac:dyDescent="0.3">
      <c r="E6796" s="9" t="str">
        <f>IF(DADOS!C6796="","",DADOS!C6796)</f>
        <v/>
      </c>
      <c r="F6796" s="9" t="str">
        <f>IF(DADOS!E6796="","",DADOS!E6796)</f>
        <v/>
      </c>
      <c r="G6796" s="9" t="str">
        <f>IF(DADOS!F6796="","",DADOS!F6796)</f>
        <v/>
      </c>
      <c r="K6796" s="6" t="str">
        <f t="shared" si="535"/>
        <v/>
      </c>
      <c r="L6796" s="7" t="str">
        <f t="shared" si="536"/>
        <v/>
      </c>
      <c r="M6796" s="7" t="str">
        <f t="shared" si="533"/>
        <v/>
      </c>
      <c r="N6796" s="7" t="str">
        <f t="shared" si="537"/>
        <v/>
      </c>
      <c r="O6796" s="8"/>
      <c r="P6796" s="26"/>
      <c r="S6796" s="10" t="str">
        <f t="shared" si="534"/>
        <v/>
      </c>
    </row>
    <row r="6797" spans="5:19" x14ac:dyDescent="0.3">
      <c r="E6797" s="9" t="str">
        <f>IF(DADOS!C6797="","",DADOS!C6797)</f>
        <v/>
      </c>
      <c r="F6797" s="9" t="str">
        <f>IF(DADOS!E6797="","",DADOS!E6797)</f>
        <v/>
      </c>
      <c r="G6797" s="9" t="str">
        <f>IF(DADOS!F6797="","",DADOS!F6797)</f>
        <v/>
      </c>
      <c r="K6797" s="6" t="str">
        <f t="shared" si="535"/>
        <v/>
      </c>
      <c r="L6797" s="7" t="str">
        <f t="shared" si="536"/>
        <v/>
      </c>
      <c r="M6797" s="7" t="str">
        <f t="shared" si="533"/>
        <v/>
      </c>
      <c r="N6797" s="7" t="str">
        <f t="shared" si="537"/>
        <v/>
      </c>
      <c r="O6797" s="8"/>
      <c r="P6797" s="26"/>
      <c r="S6797" s="10" t="str">
        <f t="shared" si="534"/>
        <v/>
      </c>
    </row>
    <row r="6798" spans="5:19" x14ac:dyDescent="0.3">
      <c r="E6798" s="9" t="str">
        <f>IF(DADOS!C6798="","",DADOS!C6798)</f>
        <v/>
      </c>
      <c r="F6798" s="9" t="str">
        <f>IF(DADOS!E6798="","",DADOS!E6798)</f>
        <v/>
      </c>
      <c r="G6798" s="9" t="str">
        <f>IF(DADOS!F6798="","",DADOS!F6798)</f>
        <v/>
      </c>
      <c r="K6798" s="6" t="str">
        <f t="shared" si="535"/>
        <v/>
      </c>
      <c r="L6798" s="7" t="str">
        <f t="shared" si="536"/>
        <v/>
      </c>
      <c r="M6798" s="7" t="str">
        <f t="shared" si="533"/>
        <v/>
      </c>
      <c r="N6798" s="7" t="str">
        <f t="shared" si="537"/>
        <v/>
      </c>
      <c r="O6798" s="8"/>
      <c r="P6798" s="26"/>
      <c r="S6798" s="10" t="str">
        <f t="shared" si="534"/>
        <v/>
      </c>
    </row>
    <row r="6799" spans="5:19" x14ac:dyDescent="0.3">
      <c r="E6799" s="9" t="str">
        <f>IF(DADOS!C6799="","",DADOS!C6799)</f>
        <v/>
      </c>
      <c r="F6799" s="9" t="str">
        <f>IF(DADOS!E6799="","",DADOS!E6799)</f>
        <v/>
      </c>
      <c r="G6799" s="9" t="str">
        <f>IF(DADOS!F6799="","",DADOS!F6799)</f>
        <v/>
      </c>
      <c r="K6799" s="6" t="str">
        <f t="shared" si="535"/>
        <v/>
      </c>
      <c r="L6799" s="7" t="str">
        <f t="shared" si="536"/>
        <v/>
      </c>
      <c r="M6799" s="7" t="str">
        <f t="shared" si="533"/>
        <v/>
      </c>
      <c r="N6799" s="7" t="str">
        <f t="shared" si="537"/>
        <v/>
      </c>
      <c r="O6799" s="8"/>
      <c r="P6799" s="26"/>
      <c r="S6799" s="10" t="str">
        <f t="shared" si="534"/>
        <v/>
      </c>
    </row>
    <row r="6800" spans="5:19" x14ac:dyDescent="0.3">
      <c r="E6800" s="9" t="str">
        <f>IF(DADOS!C6800="","",DADOS!C6800)</f>
        <v/>
      </c>
      <c r="F6800" s="9" t="str">
        <f>IF(DADOS!E6800="","",DADOS!E6800)</f>
        <v/>
      </c>
      <c r="G6800" s="9" t="str">
        <f>IF(DADOS!F6800="","",DADOS!F6800)</f>
        <v/>
      </c>
      <c r="K6800" s="6" t="str">
        <f t="shared" si="535"/>
        <v/>
      </c>
      <c r="L6800" s="7" t="str">
        <f t="shared" si="536"/>
        <v/>
      </c>
      <c r="M6800" s="7" t="str">
        <f t="shared" si="533"/>
        <v/>
      </c>
      <c r="N6800" s="7" t="str">
        <f t="shared" si="537"/>
        <v/>
      </c>
      <c r="O6800" s="8"/>
      <c r="P6800" s="26"/>
      <c r="S6800" s="10" t="str">
        <f t="shared" si="534"/>
        <v/>
      </c>
    </row>
    <row r="6801" spans="5:19" x14ac:dyDescent="0.3">
      <c r="E6801" s="9" t="str">
        <f>IF(DADOS!C6801="","",DADOS!C6801)</f>
        <v/>
      </c>
      <c r="F6801" s="9" t="str">
        <f>IF(DADOS!E6801="","",DADOS!E6801)</f>
        <v/>
      </c>
      <c r="G6801" s="9" t="str">
        <f>IF(DADOS!F6801="","",DADOS!F6801)</f>
        <v/>
      </c>
      <c r="K6801" s="6" t="str">
        <f t="shared" si="535"/>
        <v/>
      </c>
      <c r="L6801" s="7" t="str">
        <f t="shared" si="536"/>
        <v/>
      </c>
      <c r="M6801" s="7" t="str">
        <f t="shared" si="533"/>
        <v/>
      </c>
      <c r="N6801" s="7" t="str">
        <f t="shared" si="537"/>
        <v/>
      </c>
      <c r="O6801" s="8"/>
      <c r="P6801" s="26"/>
      <c r="S6801" s="10" t="str">
        <f t="shared" si="534"/>
        <v/>
      </c>
    </row>
    <row r="6802" spans="5:19" x14ac:dyDescent="0.3">
      <c r="E6802" s="9" t="str">
        <f>IF(DADOS!C6802="","",DADOS!C6802)</f>
        <v/>
      </c>
      <c r="F6802" s="9" t="str">
        <f>IF(DADOS!E6802="","",DADOS!E6802)</f>
        <v/>
      </c>
      <c r="G6802" s="9" t="str">
        <f>IF(DADOS!F6802="","",DADOS!F6802)</f>
        <v/>
      </c>
      <c r="K6802" s="6" t="str">
        <f t="shared" si="535"/>
        <v/>
      </c>
      <c r="L6802" s="7" t="str">
        <f t="shared" si="536"/>
        <v/>
      </c>
      <c r="M6802" s="7" t="str">
        <f t="shared" si="533"/>
        <v/>
      </c>
      <c r="N6802" s="7" t="str">
        <f t="shared" si="537"/>
        <v/>
      </c>
      <c r="O6802" s="8"/>
      <c r="P6802" s="26"/>
      <c r="S6802" s="10" t="str">
        <f t="shared" si="534"/>
        <v/>
      </c>
    </row>
    <row r="6803" spans="5:19" x14ac:dyDescent="0.3">
      <c r="E6803" s="9" t="str">
        <f>IF(DADOS!C6803="","",DADOS!C6803)</f>
        <v/>
      </c>
      <c r="F6803" s="9" t="str">
        <f>IF(DADOS!E6803="","",DADOS!E6803)</f>
        <v/>
      </c>
      <c r="G6803" s="9" t="str">
        <f>IF(DADOS!F6803="","",DADOS!F6803)</f>
        <v/>
      </c>
      <c r="K6803" s="6" t="str">
        <f t="shared" si="535"/>
        <v/>
      </c>
      <c r="L6803" s="7" t="str">
        <f t="shared" si="536"/>
        <v/>
      </c>
      <c r="M6803" s="7" t="str">
        <f t="shared" si="533"/>
        <v/>
      </c>
      <c r="N6803" s="7" t="str">
        <f t="shared" si="537"/>
        <v/>
      </c>
      <c r="O6803" s="8"/>
      <c r="P6803" s="26"/>
      <c r="S6803" s="10" t="str">
        <f t="shared" si="534"/>
        <v/>
      </c>
    </row>
    <row r="6804" spans="5:19" x14ac:dyDescent="0.3">
      <c r="E6804" s="9" t="str">
        <f>IF(DADOS!C6804="","",DADOS!C6804)</f>
        <v/>
      </c>
      <c r="F6804" s="9" t="str">
        <f>IF(DADOS!E6804="","",DADOS!E6804)</f>
        <v/>
      </c>
      <c r="G6804" s="9" t="str">
        <f>IF(DADOS!F6804="","",DADOS!F6804)</f>
        <v/>
      </c>
      <c r="K6804" s="6" t="str">
        <f t="shared" si="535"/>
        <v/>
      </c>
      <c r="L6804" s="7" t="str">
        <f t="shared" si="536"/>
        <v/>
      </c>
      <c r="M6804" s="7" t="str">
        <f t="shared" si="533"/>
        <v/>
      </c>
      <c r="N6804" s="7" t="str">
        <f t="shared" si="537"/>
        <v/>
      </c>
      <c r="O6804" s="8"/>
      <c r="P6804" s="26"/>
      <c r="S6804" s="10" t="str">
        <f t="shared" si="534"/>
        <v/>
      </c>
    </row>
    <row r="6805" spans="5:19" x14ac:dyDescent="0.3">
      <c r="E6805" s="9" t="str">
        <f>IF(DADOS!C6805="","",DADOS!C6805)</f>
        <v/>
      </c>
      <c r="F6805" s="9" t="str">
        <f>IF(DADOS!E6805="","",DADOS!E6805)</f>
        <v/>
      </c>
      <c r="G6805" s="9" t="str">
        <f>IF(DADOS!F6805="","",DADOS!F6805)</f>
        <v/>
      </c>
      <c r="K6805" s="6" t="str">
        <f t="shared" si="535"/>
        <v/>
      </c>
      <c r="L6805" s="7" t="str">
        <f t="shared" si="536"/>
        <v/>
      </c>
      <c r="M6805" s="7" t="str">
        <f t="shared" si="533"/>
        <v/>
      </c>
      <c r="N6805" s="7" t="str">
        <f t="shared" si="537"/>
        <v/>
      </c>
      <c r="O6805" s="8"/>
      <c r="P6805" s="26"/>
      <c r="S6805" s="10" t="str">
        <f t="shared" si="534"/>
        <v/>
      </c>
    </row>
    <row r="6806" spans="5:19" x14ac:dyDescent="0.3">
      <c r="E6806" s="9" t="str">
        <f>IF(DADOS!C6806="","",DADOS!C6806)</f>
        <v/>
      </c>
      <c r="F6806" s="9" t="str">
        <f>IF(DADOS!E6806="","",DADOS!E6806)</f>
        <v/>
      </c>
      <c r="G6806" s="9" t="str">
        <f>IF(DADOS!F6806="","",DADOS!F6806)</f>
        <v/>
      </c>
      <c r="K6806" s="6" t="str">
        <f t="shared" si="535"/>
        <v/>
      </c>
      <c r="L6806" s="7" t="str">
        <f t="shared" si="536"/>
        <v/>
      </c>
      <c r="M6806" s="7" t="str">
        <f t="shared" si="533"/>
        <v/>
      </c>
      <c r="N6806" s="7" t="str">
        <f t="shared" si="537"/>
        <v/>
      </c>
      <c r="O6806" s="8"/>
      <c r="P6806" s="26"/>
      <c r="S6806" s="10" t="str">
        <f t="shared" si="534"/>
        <v/>
      </c>
    </row>
    <row r="6807" spans="5:19" x14ac:dyDescent="0.3">
      <c r="E6807" s="9" t="str">
        <f>IF(DADOS!C6807="","",DADOS!C6807)</f>
        <v/>
      </c>
      <c r="F6807" s="9" t="str">
        <f>IF(DADOS!E6807="","",DADOS!E6807)</f>
        <v/>
      </c>
      <c r="G6807" s="9" t="str">
        <f>IF(DADOS!F6807="","",DADOS!F6807)</f>
        <v/>
      </c>
      <c r="K6807" s="6" t="str">
        <f t="shared" si="535"/>
        <v/>
      </c>
      <c r="L6807" s="7" t="str">
        <f t="shared" si="536"/>
        <v/>
      </c>
      <c r="M6807" s="7" t="str">
        <f t="shared" si="533"/>
        <v/>
      </c>
      <c r="N6807" s="7" t="str">
        <f t="shared" si="537"/>
        <v/>
      </c>
      <c r="O6807" s="8"/>
      <c r="P6807" s="26"/>
      <c r="S6807" s="10" t="str">
        <f t="shared" si="534"/>
        <v/>
      </c>
    </row>
    <row r="6808" spans="5:19" x14ac:dyDescent="0.3">
      <c r="E6808" s="9" t="str">
        <f>IF(DADOS!C6808="","",DADOS!C6808)</f>
        <v/>
      </c>
      <c r="F6808" s="9" t="str">
        <f>IF(DADOS!E6808="","",DADOS!E6808)</f>
        <v/>
      </c>
      <c r="G6808" s="9" t="str">
        <f>IF(DADOS!F6808="","",DADOS!F6808)</f>
        <v/>
      </c>
      <c r="K6808" s="6" t="str">
        <f t="shared" si="535"/>
        <v/>
      </c>
      <c r="L6808" s="7" t="str">
        <f t="shared" si="536"/>
        <v/>
      </c>
      <c r="M6808" s="7" t="str">
        <f t="shared" si="533"/>
        <v/>
      </c>
      <c r="N6808" s="7" t="str">
        <f t="shared" si="537"/>
        <v/>
      </c>
      <c r="O6808" s="8"/>
      <c r="P6808" s="26"/>
      <c r="S6808" s="10" t="str">
        <f t="shared" si="534"/>
        <v/>
      </c>
    </row>
    <row r="6809" spans="5:19" x14ac:dyDescent="0.3">
      <c r="E6809" s="9" t="str">
        <f>IF(DADOS!C6809="","",DADOS!C6809)</f>
        <v/>
      </c>
      <c r="F6809" s="9" t="str">
        <f>IF(DADOS!E6809="","",DADOS!E6809)</f>
        <v/>
      </c>
      <c r="G6809" s="9" t="str">
        <f>IF(DADOS!F6809="","",DADOS!F6809)</f>
        <v/>
      </c>
      <c r="K6809" s="6" t="str">
        <f t="shared" si="535"/>
        <v/>
      </c>
      <c r="L6809" s="7" t="str">
        <f t="shared" si="536"/>
        <v/>
      </c>
      <c r="M6809" s="7" t="str">
        <f t="shared" si="533"/>
        <v/>
      </c>
      <c r="N6809" s="7" t="str">
        <f t="shared" si="537"/>
        <v/>
      </c>
      <c r="O6809" s="8"/>
      <c r="P6809" s="26"/>
      <c r="S6809" s="10" t="str">
        <f t="shared" si="534"/>
        <v/>
      </c>
    </row>
    <row r="6810" spans="5:19" x14ac:dyDescent="0.3">
      <c r="E6810" s="9" t="str">
        <f>IF(DADOS!C6810="","",DADOS!C6810)</f>
        <v/>
      </c>
      <c r="F6810" s="9" t="str">
        <f>IF(DADOS!E6810="","",DADOS!E6810)</f>
        <v/>
      </c>
      <c r="G6810" s="9" t="str">
        <f>IF(DADOS!F6810="","",DADOS!F6810)</f>
        <v/>
      </c>
      <c r="K6810" s="6" t="str">
        <f t="shared" si="535"/>
        <v/>
      </c>
      <c r="L6810" s="7" t="str">
        <f t="shared" si="536"/>
        <v/>
      </c>
      <c r="M6810" s="7" t="str">
        <f t="shared" si="533"/>
        <v/>
      </c>
      <c r="N6810" s="7" t="str">
        <f t="shared" si="537"/>
        <v/>
      </c>
      <c r="O6810" s="8"/>
      <c r="P6810" s="26"/>
      <c r="S6810" s="10" t="str">
        <f t="shared" si="534"/>
        <v/>
      </c>
    </row>
    <row r="6811" spans="5:19" x14ac:dyDescent="0.3">
      <c r="E6811" s="9" t="str">
        <f>IF(DADOS!C6811="","",DADOS!C6811)</f>
        <v/>
      </c>
      <c r="F6811" s="9" t="str">
        <f>IF(DADOS!E6811="","",DADOS!E6811)</f>
        <v/>
      </c>
      <c r="G6811" s="9" t="str">
        <f>IF(DADOS!F6811="","",DADOS!F6811)</f>
        <v/>
      </c>
      <c r="K6811" s="6" t="str">
        <f t="shared" si="535"/>
        <v/>
      </c>
      <c r="L6811" s="7" t="str">
        <f t="shared" si="536"/>
        <v/>
      </c>
      <c r="M6811" s="7" t="str">
        <f t="shared" si="533"/>
        <v/>
      </c>
      <c r="N6811" s="7" t="str">
        <f t="shared" si="537"/>
        <v/>
      </c>
      <c r="O6811" s="8"/>
      <c r="P6811" s="26"/>
      <c r="S6811" s="10" t="str">
        <f t="shared" si="534"/>
        <v/>
      </c>
    </row>
    <row r="6812" spans="5:19" x14ac:dyDescent="0.3">
      <c r="E6812" s="9" t="str">
        <f>IF(DADOS!C6812="","",DADOS!C6812)</f>
        <v/>
      </c>
      <c r="F6812" s="9" t="str">
        <f>IF(DADOS!E6812="","",DADOS!E6812)</f>
        <v/>
      </c>
      <c r="G6812" s="9" t="str">
        <f>IF(DADOS!F6812="","",DADOS!F6812)</f>
        <v/>
      </c>
      <c r="K6812" s="6" t="str">
        <f t="shared" si="535"/>
        <v/>
      </c>
      <c r="L6812" s="7" t="str">
        <f t="shared" si="536"/>
        <v/>
      </c>
      <c r="M6812" s="7" t="str">
        <f t="shared" si="533"/>
        <v/>
      </c>
      <c r="N6812" s="7" t="str">
        <f t="shared" si="537"/>
        <v/>
      </c>
      <c r="O6812" s="8"/>
      <c r="P6812" s="26"/>
      <c r="S6812" s="10" t="str">
        <f t="shared" si="534"/>
        <v/>
      </c>
    </row>
    <row r="6813" spans="5:19" x14ac:dyDescent="0.3">
      <c r="E6813" s="9" t="str">
        <f>IF(DADOS!C6813="","",DADOS!C6813)</f>
        <v/>
      </c>
      <c r="F6813" s="9" t="str">
        <f>IF(DADOS!E6813="","",DADOS!E6813)</f>
        <v/>
      </c>
      <c r="G6813" s="9" t="str">
        <f>IF(DADOS!F6813="","",DADOS!F6813)</f>
        <v/>
      </c>
      <c r="K6813" s="6" t="str">
        <f t="shared" si="535"/>
        <v/>
      </c>
      <c r="L6813" s="7" t="str">
        <f t="shared" si="536"/>
        <v/>
      </c>
      <c r="M6813" s="7" t="str">
        <f t="shared" si="533"/>
        <v/>
      </c>
      <c r="N6813" s="7" t="str">
        <f t="shared" si="537"/>
        <v/>
      </c>
      <c r="O6813" s="8"/>
      <c r="P6813" s="26"/>
      <c r="S6813" s="10" t="str">
        <f t="shared" si="534"/>
        <v/>
      </c>
    </row>
    <row r="6814" spans="5:19" x14ac:dyDescent="0.3">
      <c r="E6814" s="9" t="str">
        <f>IF(DADOS!C6814="","",DADOS!C6814)</f>
        <v/>
      </c>
      <c r="F6814" s="9" t="str">
        <f>IF(DADOS!E6814="","",DADOS!E6814)</f>
        <v/>
      </c>
      <c r="G6814" s="9" t="str">
        <f>IF(DADOS!F6814="","",DADOS!F6814)</f>
        <v/>
      </c>
      <c r="K6814" s="6" t="str">
        <f t="shared" si="535"/>
        <v/>
      </c>
      <c r="L6814" s="7" t="str">
        <f t="shared" si="536"/>
        <v/>
      </c>
      <c r="M6814" s="7" t="str">
        <f t="shared" si="533"/>
        <v/>
      </c>
      <c r="N6814" s="7" t="str">
        <f t="shared" si="537"/>
        <v/>
      </c>
      <c r="O6814" s="8"/>
      <c r="P6814" s="26"/>
      <c r="S6814" s="10" t="str">
        <f t="shared" si="534"/>
        <v/>
      </c>
    </row>
    <row r="6815" spans="5:19" x14ac:dyDescent="0.3">
      <c r="E6815" s="9" t="str">
        <f>IF(DADOS!C6815="","",DADOS!C6815)</f>
        <v/>
      </c>
      <c r="F6815" s="9" t="str">
        <f>IF(DADOS!E6815="","",DADOS!E6815)</f>
        <v/>
      </c>
      <c r="G6815" s="9" t="str">
        <f>IF(DADOS!F6815="","",DADOS!F6815)</f>
        <v/>
      </c>
      <c r="K6815" s="6" t="str">
        <f t="shared" si="535"/>
        <v/>
      </c>
      <c r="L6815" s="7" t="str">
        <f t="shared" si="536"/>
        <v/>
      </c>
      <c r="M6815" s="7" t="str">
        <f t="shared" si="533"/>
        <v/>
      </c>
      <c r="N6815" s="7" t="str">
        <f t="shared" si="537"/>
        <v/>
      </c>
      <c r="O6815" s="8"/>
      <c r="P6815" s="26"/>
      <c r="S6815" s="10" t="str">
        <f t="shared" si="534"/>
        <v/>
      </c>
    </row>
    <row r="6816" spans="5:19" x14ac:dyDescent="0.3">
      <c r="E6816" s="9" t="str">
        <f>IF(DADOS!C6816="","",DADOS!C6816)</f>
        <v/>
      </c>
      <c r="F6816" s="9" t="str">
        <f>IF(DADOS!E6816="","",DADOS!E6816)</f>
        <v/>
      </c>
      <c r="G6816" s="9" t="str">
        <f>IF(DADOS!F6816="","",DADOS!F6816)</f>
        <v/>
      </c>
      <c r="K6816" s="6" t="str">
        <f t="shared" si="535"/>
        <v/>
      </c>
      <c r="L6816" s="7" t="str">
        <f t="shared" si="536"/>
        <v/>
      </c>
      <c r="M6816" s="7" t="str">
        <f t="shared" si="533"/>
        <v/>
      </c>
      <c r="N6816" s="7" t="str">
        <f t="shared" si="537"/>
        <v/>
      </c>
      <c r="O6816" s="8"/>
      <c r="P6816" s="26"/>
      <c r="S6816" s="10" t="str">
        <f t="shared" si="534"/>
        <v/>
      </c>
    </row>
    <row r="6817" spans="5:19" x14ac:dyDescent="0.3">
      <c r="E6817" s="9" t="str">
        <f>IF(DADOS!C6817="","",DADOS!C6817)</f>
        <v/>
      </c>
      <c r="F6817" s="9" t="str">
        <f>IF(DADOS!E6817="","",DADOS!E6817)</f>
        <v/>
      </c>
      <c r="G6817" s="9" t="str">
        <f>IF(DADOS!F6817="","",DADOS!F6817)</f>
        <v/>
      </c>
      <c r="K6817" s="6" t="str">
        <f t="shared" si="535"/>
        <v/>
      </c>
      <c r="L6817" s="7" t="str">
        <f t="shared" si="536"/>
        <v/>
      </c>
      <c r="M6817" s="7" t="str">
        <f t="shared" si="533"/>
        <v/>
      </c>
      <c r="N6817" s="7" t="str">
        <f t="shared" si="537"/>
        <v/>
      </c>
      <c r="O6817" s="8"/>
      <c r="P6817" s="26"/>
      <c r="S6817" s="10" t="str">
        <f t="shared" si="534"/>
        <v/>
      </c>
    </row>
    <row r="6818" spans="5:19" x14ac:dyDescent="0.3">
      <c r="E6818" s="9" t="str">
        <f>IF(DADOS!C6818="","",DADOS!C6818)</f>
        <v/>
      </c>
      <c r="F6818" s="9" t="str">
        <f>IF(DADOS!E6818="","",DADOS!E6818)</f>
        <v/>
      </c>
      <c r="G6818" s="9" t="str">
        <f>IF(DADOS!F6818="","",DADOS!F6818)</f>
        <v/>
      </c>
      <c r="K6818" s="6" t="str">
        <f t="shared" si="535"/>
        <v/>
      </c>
      <c r="L6818" s="7" t="str">
        <f t="shared" si="536"/>
        <v/>
      </c>
      <c r="M6818" s="7" t="str">
        <f t="shared" si="533"/>
        <v/>
      </c>
      <c r="N6818" s="7" t="str">
        <f t="shared" si="537"/>
        <v/>
      </c>
      <c r="O6818" s="8"/>
      <c r="P6818" s="26"/>
      <c r="S6818" s="10" t="str">
        <f t="shared" si="534"/>
        <v/>
      </c>
    </row>
    <row r="6819" spans="5:19" x14ac:dyDescent="0.3">
      <c r="E6819" s="9" t="str">
        <f>IF(DADOS!C6819="","",DADOS!C6819)</f>
        <v/>
      </c>
      <c r="F6819" s="9" t="str">
        <f>IF(DADOS!E6819="","",DADOS!E6819)</f>
        <v/>
      </c>
      <c r="G6819" s="9" t="str">
        <f>IF(DADOS!F6819="","",DADOS!F6819)</f>
        <v/>
      </c>
      <c r="K6819" s="6" t="str">
        <f t="shared" si="535"/>
        <v/>
      </c>
      <c r="L6819" s="7" t="str">
        <f t="shared" si="536"/>
        <v/>
      </c>
      <c r="M6819" s="7" t="str">
        <f t="shared" si="533"/>
        <v/>
      </c>
      <c r="N6819" s="7" t="str">
        <f t="shared" si="537"/>
        <v/>
      </c>
      <c r="O6819" s="8"/>
      <c r="P6819" s="26"/>
      <c r="S6819" s="10" t="str">
        <f t="shared" si="534"/>
        <v/>
      </c>
    </row>
    <row r="6820" spans="5:19" x14ac:dyDescent="0.3">
      <c r="E6820" s="9" t="str">
        <f>IF(DADOS!C6820="","",DADOS!C6820)</f>
        <v/>
      </c>
      <c r="F6820" s="9" t="str">
        <f>IF(DADOS!E6820="","",DADOS!E6820)</f>
        <v/>
      </c>
      <c r="G6820" s="9" t="str">
        <f>IF(DADOS!F6820="","",DADOS!F6820)</f>
        <v/>
      </c>
      <c r="K6820" s="6" t="str">
        <f t="shared" si="535"/>
        <v/>
      </c>
      <c r="L6820" s="7" t="str">
        <f t="shared" si="536"/>
        <v/>
      </c>
      <c r="M6820" s="7" t="str">
        <f t="shared" si="533"/>
        <v/>
      </c>
      <c r="N6820" s="7" t="str">
        <f t="shared" si="537"/>
        <v/>
      </c>
      <c r="O6820" s="8"/>
      <c r="P6820" s="26"/>
      <c r="S6820" s="10" t="str">
        <f t="shared" si="534"/>
        <v/>
      </c>
    </row>
    <row r="6821" spans="5:19" x14ac:dyDescent="0.3">
      <c r="E6821" s="9" t="str">
        <f>IF(DADOS!C6821="","",DADOS!C6821)</f>
        <v/>
      </c>
      <c r="F6821" s="9" t="str">
        <f>IF(DADOS!E6821="","",DADOS!E6821)</f>
        <v/>
      </c>
      <c r="G6821" s="9" t="str">
        <f>IF(DADOS!F6821="","",DADOS!F6821)</f>
        <v/>
      </c>
      <c r="K6821" s="6" t="str">
        <f t="shared" si="535"/>
        <v/>
      </c>
      <c r="L6821" s="7" t="str">
        <f t="shared" si="536"/>
        <v/>
      </c>
      <c r="M6821" s="7" t="str">
        <f t="shared" si="533"/>
        <v/>
      </c>
      <c r="N6821" s="7" t="str">
        <f t="shared" si="537"/>
        <v/>
      </c>
      <c r="O6821" s="8"/>
      <c r="P6821" s="26"/>
      <c r="S6821" s="10" t="str">
        <f t="shared" si="534"/>
        <v/>
      </c>
    </row>
    <row r="6822" spans="5:19" x14ac:dyDescent="0.3">
      <c r="E6822" s="9" t="str">
        <f>IF(DADOS!C6822="","",DADOS!C6822)</f>
        <v/>
      </c>
      <c r="F6822" s="9" t="str">
        <f>IF(DADOS!E6822="","",DADOS!E6822)</f>
        <v/>
      </c>
      <c r="G6822" s="9" t="str">
        <f>IF(DADOS!F6822="","",DADOS!F6822)</f>
        <v/>
      </c>
      <c r="K6822" s="6" t="str">
        <f t="shared" si="535"/>
        <v/>
      </c>
      <c r="L6822" s="7" t="str">
        <f t="shared" si="536"/>
        <v/>
      </c>
      <c r="M6822" s="7" t="str">
        <f t="shared" si="533"/>
        <v/>
      </c>
      <c r="N6822" s="7" t="str">
        <f t="shared" si="537"/>
        <v/>
      </c>
      <c r="O6822" s="8"/>
      <c r="P6822" s="26"/>
      <c r="S6822" s="10" t="str">
        <f t="shared" si="534"/>
        <v/>
      </c>
    </row>
    <row r="6823" spans="5:19" x14ac:dyDescent="0.3">
      <c r="E6823" s="9" t="str">
        <f>IF(DADOS!C6823="","",DADOS!C6823)</f>
        <v/>
      </c>
      <c r="F6823" s="9" t="str">
        <f>IF(DADOS!E6823="","",DADOS!E6823)</f>
        <v/>
      </c>
      <c r="G6823" s="9" t="str">
        <f>IF(DADOS!F6823="","",DADOS!F6823)</f>
        <v/>
      </c>
      <c r="K6823" s="6" t="str">
        <f t="shared" si="535"/>
        <v/>
      </c>
      <c r="L6823" s="7" t="str">
        <f t="shared" si="536"/>
        <v/>
      </c>
      <c r="M6823" s="7" t="str">
        <f t="shared" si="533"/>
        <v/>
      </c>
      <c r="N6823" s="7" t="str">
        <f t="shared" si="537"/>
        <v/>
      </c>
      <c r="O6823" s="8"/>
      <c r="P6823" s="26"/>
      <c r="S6823" s="10" t="str">
        <f t="shared" si="534"/>
        <v/>
      </c>
    </row>
    <row r="6824" spans="5:19" x14ac:dyDescent="0.3">
      <c r="E6824" s="9" t="str">
        <f>IF(DADOS!C6824="","",DADOS!C6824)</f>
        <v/>
      </c>
      <c r="F6824" s="9" t="str">
        <f>IF(DADOS!E6824="","",DADOS!E6824)</f>
        <v/>
      </c>
      <c r="G6824" s="9" t="str">
        <f>IF(DADOS!F6824="","",DADOS!F6824)</f>
        <v/>
      </c>
      <c r="K6824" s="6" t="str">
        <f t="shared" si="535"/>
        <v/>
      </c>
      <c r="L6824" s="7" t="str">
        <f t="shared" si="536"/>
        <v/>
      </c>
      <c r="M6824" s="7" t="str">
        <f t="shared" si="533"/>
        <v/>
      </c>
      <c r="N6824" s="7" t="str">
        <f t="shared" si="537"/>
        <v/>
      </c>
      <c r="O6824" s="8"/>
      <c r="P6824" s="26"/>
      <c r="S6824" s="10" t="str">
        <f t="shared" si="534"/>
        <v/>
      </c>
    </row>
    <row r="6825" spans="5:19" x14ac:dyDescent="0.3">
      <c r="E6825" s="9" t="str">
        <f>IF(DADOS!C6825="","",DADOS!C6825)</f>
        <v/>
      </c>
      <c r="F6825" s="9" t="str">
        <f>IF(DADOS!E6825="","",DADOS!E6825)</f>
        <v/>
      </c>
      <c r="G6825" s="9" t="str">
        <f>IF(DADOS!F6825="","",DADOS!F6825)</f>
        <v/>
      </c>
      <c r="K6825" s="6" t="str">
        <f t="shared" si="535"/>
        <v/>
      </c>
      <c r="L6825" s="7" t="str">
        <f t="shared" si="536"/>
        <v/>
      </c>
      <c r="M6825" s="7" t="str">
        <f t="shared" si="533"/>
        <v/>
      </c>
      <c r="N6825" s="7" t="str">
        <f t="shared" si="537"/>
        <v/>
      </c>
      <c r="O6825" s="8"/>
      <c r="P6825" s="26"/>
      <c r="S6825" s="10" t="str">
        <f t="shared" si="534"/>
        <v/>
      </c>
    </row>
    <row r="6826" spans="5:19" x14ac:dyDescent="0.3">
      <c r="E6826" s="9" t="str">
        <f>IF(DADOS!C6826="","",DADOS!C6826)</f>
        <v/>
      </c>
      <c r="F6826" s="9" t="str">
        <f>IF(DADOS!E6826="","",DADOS!E6826)</f>
        <v/>
      </c>
      <c r="G6826" s="9" t="str">
        <f>IF(DADOS!F6826="","",DADOS!F6826)</f>
        <v/>
      </c>
      <c r="K6826" s="6" t="str">
        <f t="shared" si="535"/>
        <v/>
      </c>
      <c r="L6826" s="7" t="str">
        <f t="shared" si="536"/>
        <v/>
      </c>
      <c r="M6826" s="7" t="str">
        <f t="shared" si="533"/>
        <v/>
      </c>
      <c r="N6826" s="7" t="str">
        <f t="shared" si="537"/>
        <v/>
      </c>
      <c r="O6826" s="8"/>
      <c r="P6826" s="26"/>
      <c r="S6826" s="10" t="str">
        <f t="shared" si="534"/>
        <v/>
      </c>
    </row>
    <row r="6827" spans="5:19" x14ac:dyDescent="0.3">
      <c r="E6827" s="9" t="str">
        <f>IF(DADOS!C6827="","",DADOS!C6827)</f>
        <v/>
      </c>
      <c r="F6827" s="9" t="str">
        <f>IF(DADOS!E6827="","",DADOS!E6827)</f>
        <v/>
      </c>
      <c r="G6827" s="9" t="str">
        <f>IF(DADOS!F6827="","",DADOS!F6827)</f>
        <v/>
      </c>
      <c r="K6827" s="6" t="str">
        <f t="shared" si="535"/>
        <v/>
      </c>
      <c r="L6827" s="7" t="str">
        <f t="shared" si="536"/>
        <v/>
      </c>
      <c r="M6827" s="7" t="str">
        <f t="shared" si="533"/>
        <v/>
      </c>
      <c r="N6827" s="7" t="str">
        <f t="shared" si="537"/>
        <v/>
      </c>
      <c r="O6827" s="8"/>
      <c r="P6827" s="26"/>
      <c r="S6827" s="10" t="str">
        <f t="shared" si="534"/>
        <v/>
      </c>
    </row>
    <row r="6828" spans="5:19" x14ac:dyDescent="0.3">
      <c r="E6828" s="9" t="str">
        <f>IF(DADOS!C6828="","",DADOS!C6828)</f>
        <v/>
      </c>
      <c r="F6828" s="9" t="str">
        <f>IF(DADOS!E6828="","",DADOS!E6828)</f>
        <v/>
      </c>
      <c r="G6828" s="9" t="str">
        <f>IF(DADOS!F6828="","",DADOS!F6828)</f>
        <v/>
      </c>
      <c r="K6828" s="6" t="str">
        <f t="shared" si="535"/>
        <v/>
      </c>
      <c r="L6828" s="7" t="str">
        <f t="shared" si="536"/>
        <v/>
      </c>
      <c r="M6828" s="7" t="str">
        <f t="shared" si="533"/>
        <v/>
      </c>
      <c r="N6828" s="7" t="str">
        <f t="shared" si="537"/>
        <v/>
      </c>
      <c r="O6828" s="8"/>
      <c r="P6828" s="26"/>
      <c r="S6828" s="10" t="str">
        <f t="shared" si="534"/>
        <v/>
      </c>
    </row>
    <row r="6829" spans="5:19" x14ac:dyDescent="0.3">
      <c r="E6829" s="9" t="str">
        <f>IF(DADOS!C6829="","",DADOS!C6829)</f>
        <v/>
      </c>
      <c r="F6829" s="9" t="str">
        <f>IF(DADOS!E6829="","",DADOS!E6829)</f>
        <v/>
      </c>
      <c r="G6829" s="9" t="str">
        <f>IF(DADOS!F6829="","",DADOS!F6829)</f>
        <v/>
      </c>
      <c r="K6829" s="6" t="str">
        <f t="shared" si="535"/>
        <v/>
      </c>
      <c r="L6829" s="7" t="str">
        <f t="shared" si="536"/>
        <v/>
      </c>
      <c r="M6829" s="7" t="str">
        <f t="shared" si="533"/>
        <v/>
      </c>
      <c r="N6829" s="7" t="str">
        <f t="shared" si="537"/>
        <v/>
      </c>
      <c r="O6829" s="8"/>
      <c r="P6829" s="26"/>
      <c r="S6829" s="10" t="str">
        <f t="shared" si="534"/>
        <v/>
      </c>
    </row>
    <row r="6830" spans="5:19" x14ac:dyDescent="0.3">
      <c r="E6830" s="9" t="str">
        <f>IF(DADOS!C6830="","",DADOS!C6830)</f>
        <v/>
      </c>
      <c r="F6830" s="9" t="str">
        <f>IF(DADOS!E6830="","",DADOS!E6830)</f>
        <v/>
      </c>
      <c r="G6830" s="9" t="str">
        <f>IF(DADOS!F6830="","",DADOS!F6830)</f>
        <v/>
      </c>
      <c r="K6830" s="6" t="str">
        <f t="shared" si="535"/>
        <v/>
      </c>
      <c r="L6830" s="7" t="str">
        <f t="shared" si="536"/>
        <v/>
      </c>
      <c r="M6830" s="7" t="str">
        <f t="shared" si="533"/>
        <v/>
      </c>
      <c r="N6830" s="7" t="str">
        <f t="shared" si="537"/>
        <v/>
      </c>
      <c r="O6830" s="8"/>
      <c r="P6830" s="26"/>
      <c r="S6830" s="10" t="str">
        <f t="shared" si="534"/>
        <v/>
      </c>
    </row>
    <row r="6831" spans="5:19" x14ac:dyDescent="0.3">
      <c r="E6831" s="9" t="str">
        <f>IF(DADOS!C6831="","",DADOS!C6831)</f>
        <v/>
      </c>
      <c r="F6831" s="9" t="str">
        <f>IF(DADOS!E6831="","",DADOS!E6831)</f>
        <v/>
      </c>
      <c r="G6831" s="9" t="str">
        <f>IF(DADOS!F6831="","",DADOS!F6831)</f>
        <v/>
      </c>
      <c r="K6831" s="6" t="str">
        <f t="shared" si="535"/>
        <v/>
      </c>
      <c r="L6831" s="7" t="str">
        <f t="shared" si="536"/>
        <v/>
      </c>
      <c r="M6831" s="7" t="str">
        <f t="shared" si="533"/>
        <v/>
      </c>
      <c r="N6831" s="7" t="str">
        <f t="shared" si="537"/>
        <v/>
      </c>
      <c r="O6831" s="8"/>
      <c r="P6831" s="26"/>
      <c r="S6831" s="10" t="str">
        <f t="shared" si="534"/>
        <v/>
      </c>
    </row>
    <row r="6832" spans="5:19" x14ac:dyDescent="0.3">
      <c r="E6832" s="9" t="str">
        <f>IF(DADOS!C6832="","",DADOS!C6832)</f>
        <v/>
      </c>
      <c r="F6832" s="9" t="str">
        <f>IF(DADOS!E6832="","",DADOS!E6832)</f>
        <v/>
      </c>
      <c r="G6832" s="9" t="str">
        <f>IF(DADOS!F6832="","",DADOS!F6832)</f>
        <v/>
      </c>
      <c r="K6832" s="6" t="str">
        <f t="shared" si="535"/>
        <v/>
      </c>
      <c r="L6832" s="7" t="str">
        <f t="shared" si="536"/>
        <v/>
      </c>
      <c r="M6832" s="7" t="str">
        <f t="shared" si="533"/>
        <v/>
      </c>
      <c r="N6832" s="7" t="str">
        <f t="shared" si="537"/>
        <v/>
      </c>
      <c r="O6832" s="8"/>
      <c r="P6832" s="26"/>
      <c r="S6832" s="10" t="str">
        <f t="shared" si="534"/>
        <v/>
      </c>
    </row>
    <row r="6833" spans="5:19" x14ac:dyDescent="0.3">
      <c r="E6833" s="9" t="str">
        <f>IF(DADOS!C6833="","",DADOS!C6833)</f>
        <v/>
      </c>
      <c r="F6833" s="9" t="str">
        <f>IF(DADOS!E6833="","",DADOS!E6833)</f>
        <v/>
      </c>
      <c r="G6833" s="9" t="str">
        <f>IF(DADOS!F6833="","",DADOS!F6833)</f>
        <v/>
      </c>
      <c r="K6833" s="6" t="str">
        <f t="shared" si="535"/>
        <v/>
      </c>
      <c r="L6833" s="7" t="str">
        <f t="shared" si="536"/>
        <v/>
      </c>
      <c r="M6833" s="7" t="str">
        <f t="shared" si="533"/>
        <v/>
      </c>
      <c r="N6833" s="7" t="str">
        <f t="shared" si="537"/>
        <v/>
      </c>
      <c r="O6833" s="8"/>
      <c r="P6833" s="26"/>
      <c r="S6833" s="10" t="str">
        <f t="shared" si="534"/>
        <v/>
      </c>
    </row>
    <row r="6834" spans="5:19" x14ac:dyDescent="0.3">
      <c r="E6834" s="9" t="str">
        <f>IF(DADOS!C6834="","",DADOS!C6834)</f>
        <v/>
      </c>
      <c r="F6834" s="9" t="str">
        <f>IF(DADOS!E6834="","",DADOS!E6834)</f>
        <v/>
      </c>
      <c r="G6834" s="9" t="str">
        <f>IF(DADOS!F6834="","",DADOS!F6834)</f>
        <v/>
      </c>
      <c r="K6834" s="6" t="str">
        <f t="shared" si="535"/>
        <v/>
      </c>
      <c r="L6834" s="7" t="str">
        <f t="shared" si="536"/>
        <v/>
      </c>
      <c r="M6834" s="7" t="str">
        <f t="shared" si="533"/>
        <v/>
      </c>
      <c r="N6834" s="7" t="str">
        <f t="shared" si="537"/>
        <v/>
      </c>
      <c r="O6834" s="8"/>
      <c r="P6834" s="26"/>
      <c r="S6834" s="10" t="str">
        <f t="shared" si="534"/>
        <v/>
      </c>
    </row>
    <row r="6835" spans="5:19" x14ac:dyDescent="0.3">
      <c r="E6835" s="9" t="str">
        <f>IF(DADOS!C6835="","",DADOS!C6835)</f>
        <v/>
      </c>
      <c r="F6835" s="9" t="str">
        <f>IF(DADOS!E6835="","",DADOS!E6835)</f>
        <v/>
      </c>
      <c r="G6835" s="9" t="str">
        <f>IF(DADOS!F6835="","",DADOS!F6835)</f>
        <v/>
      </c>
      <c r="K6835" s="6" t="str">
        <f t="shared" si="535"/>
        <v/>
      </c>
      <c r="L6835" s="7" t="str">
        <f t="shared" si="536"/>
        <v/>
      </c>
      <c r="M6835" s="7" t="str">
        <f t="shared" si="533"/>
        <v/>
      </c>
      <c r="N6835" s="7" t="str">
        <f t="shared" si="537"/>
        <v/>
      </c>
      <c r="O6835" s="8"/>
      <c r="P6835" s="26"/>
      <c r="S6835" s="10" t="str">
        <f t="shared" si="534"/>
        <v/>
      </c>
    </row>
    <row r="6836" spans="5:19" x14ac:dyDescent="0.3">
      <c r="E6836" s="9" t="str">
        <f>IF(DADOS!C6836="","",DADOS!C6836)</f>
        <v/>
      </c>
      <c r="F6836" s="9" t="str">
        <f>IF(DADOS!E6836="","",DADOS!E6836)</f>
        <v/>
      </c>
      <c r="G6836" s="9" t="str">
        <f>IF(DADOS!F6836="","",DADOS!F6836)</f>
        <v/>
      </c>
      <c r="K6836" s="6" t="str">
        <f t="shared" si="535"/>
        <v/>
      </c>
      <c r="L6836" s="7" t="str">
        <f t="shared" si="536"/>
        <v/>
      </c>
      <c r="M6836" s="7" t="str">
        <f t="shared" si="533"/>
        <v/>
      </c>
      <c r="N6836" s="7" t="str">
        <f t="shared" si="537"/>
        <v/>
      </c>
      <c r="O6836" s="8"/>
      <c r="P6836" s="26"/>
      <c r="S6836" s="10" t="str">
        <f t="shared" si="534"/>
        <v/>
      </c>
    </row>
    <row r="6837" spans="5:19" x14ac:dyDescent="0.3">
      <c r="E6837" s="9" t="str">
        <f>IF(DADOS!C6837="","",DADOS!C6837)</f>
        <v/>
      </c>
      <c r="F6837" s="9" t="str">
        <f>IF(DADOS!E6837="","",DADOS!E6837)</f>
        <v/>
      </c>
      <c r="G6837" s="9" t="str">
        <f>IF(DADOS!F6837="","",DADOS!F6837)</f>
        <v/>
      </c>
      <c r="K6837" s="6" t="str">
        <f t="shared" si="535"/>
        <v/>
      </c>
      <c r="L6837" s="7" t="str">
        <f t="shared" si="536"/>
        <v/>
      </c>
      <c r="M6837" s="7" t="str">
        <f t="shared" si="533"/>
        <v/>
      </c>
      <c r="N6837" s="7" t="str">
        <f t="shared" si="537"/>
        <v/>
      </c>
      <c r="O6837" s="8"/>
      <c r="P6837" s="26"/>
      <c r="S6837" s="10" t="str">
        <f t="shared" si="534"/>
        <v/>
      </c>
    </row>
    <row r="6838" spans="5:19" x14ac:dyDescent="0.3">
      <c r="E6838" s="9" t="str">
        <f>IF(DADOS!C6838="","",DADOS!C6838)</f>
        <v/>
      </c>
      <c r="F6838" s="9" t="str">
        <f>IF(DADOS!E6838="","",DADOS!E6838)</f>
        <v/>
      </c>
      <c r="G6838" s="9" t="str">
        <f>IF(DADOS!F6838="","",DADOS!F6838)</f>
        <v/>
      </c>
      <c r="K6838" s="6" t="str">
        <f t="shared" si="535"/>
        <v/>
      </c>
      <c r="L6838" s="7" t="str">
        <f t="shared" si="536"/>
        <v/>
      </c>
      <c r="M6838" s="7" t="str">
        <f t="shared" si="533"/>
        <v/>
      </c>
      <c r="N6838" s="7" t="str">
        <f t="shared" si="537"/>
        <v/>
      </c>
      <c r="O6838" s="8"/>
      <c r="P6838" s="26"/>
      <c r="S6838" s="10" t="str">
        <f t="shared" si="534"/>
        <v/>
      </c>
    </row>
    <row r="6839" spans="5:19" x14ac:dyDescent="0.3">
      <c r="E6839" s="9" t="str">
        <f>IF(DADOS!C6839="","",DADOS!C6839)</f>
        <v/>
      </c>
      <c r="F6839" s="9" t="str">
        <f>IF(DADOS!E6839="","",DADOS!E6839)</f>
        <v/>
      </c>
      <c r="G6839" s="9" t="str">
        <f>IF(DADOS!F6839="","",DADOS!F6839)</f>
        <v/>
      </c>
      <c r="K6839" s="6" t="str">
        <f t="shared" si="535"/>
        <v/>
      </c>
      <c r="L6839" s="7" t="str">
        <f t="shared" si="536"/>
        <v/>
      </c>
      <c r="M6839" s="7" t="str">
        <f t="shared" si="533"/>
        <v/>
      </c>
      <c r="N6839" s="7" t="str">
        <f t="shared" si="537"/>
        <v/>
      </c>
      <c r="O6839" s="8"/>
      <c r="P6839" s="26"/>
      <c r="S6839" s="10" t="str">
        <f t="shared" si="534"/>
        <v/>
      </c>
    </row>
    <row r="6840" spans="5:19" x14ac:dyDescent="0.3">
      <c r="E6840" s="9" t="str">
        <f>IF(DADOS!C6840="","",DADOS!C6840)</f>
        <v/>
      </c>
      <c r="F6840" s="9" t="str">
        <f>IF(DADOS!E6840="","",DADOS!E6840)</f>
        <v/>
      </c>
      <c r="G6840" s="9" t="str">
        <f>IF(DADOS!F6840="","",DADOS!F6840)</f>
        <v/>
      </c>
      <c r="K6840" s="6" t="str">
        <f t="shared" si="535"/>
        <v/>
      </c>
      <c r="L6840" s="7" t="str">
        <f t="shared" si="536"/>
        <v/>
      </c>
      <c r="M6840" s="7" t="str">
        <f t="shared" si="533"/>
        <v/>
      </c>
      <c r="N6840" s="7" t="str">
        <f t="shared" si="537"/>
        <v/>
      </c>
      <c r="O6840" s="8"/>
      <c r="P6840" s="26"/>
      <c r="S6840" s="10" t="str">
        <f t="shared" si="534"/>
        <v/>
      </c>
    </row>
    <row r="6841" spans="5:19" x14ac:dyDescent="0.3">
      <c r="E6841" s="9" t="str">
        <f>IF(DADOS!C6841="","",DADOS!C6841)</f>
        <v/>
      </c>
      <c r="F6841" s="9" t="str">
        <f>IF(DADOS!E6841="","",DADOS!E6841)</f>
        <v/>
      </c>
      <c r="G6841" s="9" t="str">
        <f>IF(DADOS!F6841="","",DADOS!F6841)</f>
        <v/>
      </c>
      <c r="K6841" s="6" t="str">
        <f t="shared" si="535"/>
        <v/>
      </c>
      <c r="L6841" s="7" t="str">
        <f t="shared" si="536"/>
        <v/>
      </c>
      <c r="M6841" s="7" t="str">
        <f t="shared" si="533"/>
        <v/>
      </c>
      <c r="N6841" s="7" t="str">
        <f t="shared" si="537"/>
        <v/>
      </c>
      <c r="O6841" s="8"/>
      <c r="P6841" s="26"/>
      <c r="S6841" s="10" t="str">
        <f t="shared" si="534"/>
        <v/>
      </c>
    </row>
    <row r="6842" spans="5:19" x14ac:dyDescent="0.3">
      <c r="E6842" s="9" t="str">
        <f>IF(DADOS!C6842="","",DADOS!C6842)</f>
        <v/>
      </c>
      <c r="F6842" s="9" t="str">
        <f>IF(DADOS!E6842="","",DADOS!E6842)</f>
        <v/>
      </c>
      <c r="G6842" s="9" t="str">
        <f>IF(DADOS!F6842="","",DADOS!F6842)</f>
        <v/>
      </c>
      <c r="K6842" s="6" t="str">
        <f t="shared" si="535"/>
        <v/>
      </c>
      <c r="L6842" s="7" t="str">
        <f t="shared" si="536"/>
        <v/>
      </c>
      <c r="M6842" s="7" t="str">
        <f t="shared" si="533"/>
        <v/>
      </c>
      <c r="N6842" s="7" t="str">
        <f t="shared" si="537"/>
        <v/>
      </c>
      <c r="O6842" s="8"/>
      <c r="P6842" s="26"/>
      <c r="S6842" s="10" t="str">
        <f t="shared" si="534"/>
        <v/>
      </c>
    </row>
    <row r="6843" spans="5:19" x14ac:dyDescent="0.3">
      <c r="E6843" s="9" t="str">
        <f>IF(DADOS!C6843="","",DADOS!C6843)</f>
        <v/>
      </c>
      <c r="F6843" s="9" t="str">
        <f>IF(DADOS!E6843="","",DADOS!E6843)</f>
        <v/>
      </c>
      <c r="G6843" s="9" t="str">
        <f>IF(DADOS!F6843="","",DADOS!F6843)</f>
        <v/>
      </c>
      <c r="K6843" s="6" t="str">
        <f t="shared" si="535"/>
        <v/>
      </c>
      <c r="L6843" s="7" t="str">
        <f t="shared" si="536"/>
        <v/>
      </c>
      <c r="M6843" s="7" t="str">
        <f t="shared" si="533"/>
        <v/>
      </c>
      <c r="N6843" s="7" t="str">
        <f t="shared" si="537"/>
        <v/>
      </c>
      <c r="O6843" s="8"/>
      <c r="P6843" s="26"/>
      <c r="S6843" s="10" t="str">
        <f t="shared" si="534"/>
        <v/>
      </c>
    </row>
    <row r="6844" spans="5:19" x14ac:dyDescent="0.3">
      <c r="E6844" s="9" t="str">
        <f>IF(DADOS!C6844="","",DADOS!C6844)</f>
        <v/>
      </c>
      <c r="F6844" s="9" t="str">
        <f>IF(DADOS!E6844="","",DADOS!E6844)</f>
        <v/>
      </c>
      <c r="G6844" s="9" t="str">
        <f>IF(DADOS!F6844="","",DADOS!F6844)</f>
        <v/>
      </c>
      <c r="K6844" s="6" t="str">
        <f t="shared" si="535"/>
        <v/>
      </c>
      <c r="L6844" s="7" t="str">
        <f t="shared" si="536"/>
        <v/>
      </c>
      <c r="M6844" s="7" t="str">
        <f t="shared" si="533"/>
        <v/>
      </c>
      <c r="N6844" s="7" t="str">
        <f t="shared" si="537"/>
        <v/>
      </c>
      <c r="O6844" s="8"/>
      <c r="P6844" s="26"/>
      <c r="S6844" s="10" t="str">
        <f t="shared" si="534"/>
        <v/>
      </c>
    </row>
    <row r="6845" spans="5:19" x14ac:dyDescent="0.3">
      <c r="E6845" s="9" t="str">
        <f>IF(DADOS!C6845="","",DADOS!C6845)</f>
        <v/>
      </c>
      <c r="F6845" s="9" t="str">
        <f>IF(DADOS!E6845="","",DADOS!E6845)</f>
        <v/>
      </c>
      <c r="G6845" s="9" t="str">
        <f>IF(DADOS!F6845="","",DADOS!F6845)</f>
        <v/>
      </c>
      <c r="K6845" s="6" t="str">
        <f t="shared" si="535"/>
        <v/>
      </c>
      <c r="L6845" s="7" t="str">
        <f t="shared" si="536"/>
        <v/>
      </c>
      <c r="M6845" s="7" t="str">
        <f t="shared" si="533"/>
        <v/>
      </c>
      <c r="N6845" s="7" t="str">
        <f t="shared" si="537"/>
        <v/>
      </c>
      <c r="O6845" s="8"/>
      <c r="P6845" s="26"/>
      <c r="S6845" s="10" t="str">
        <f t="shared" si="534"/>
        <v/>
      </c>
    </row>
    <row r="6846" spans="5:19" x14ac:dyDescent="0.3">
      <c r="E6846" s="9" t="str">
        <f>IF(DADOS!C6846="","",DADOS!C6846)</f>
        <v/>
      </c>
      <c r="F6846" s="9" t="str">
        <f>IF(DADOS!E6846="","",DADOS!E6846)</f>
        <v/>
      </c>
      <c r="G6846" s="9" t="str">
        <f>IF(DADOS!F6846="","",DADOS!F6846)</f>
        <v/>
      </c>
      <c r="K6846" s="6" t="str">
        <f t="shared" si="535"/>
        <v/>
      </c>
      <c r="L6846" s="7" t="str">
        <f t="shared" si="536"/>
        <v/>
      </c>
      <c r="M6846" s="7" t="str">
        <f t="shared" si="533"/>
        <v/>
      </c>
      <c r="N6846" s="7" t="str">
        <f t="shared" si="537"/>
        <v/>
      </c>
      <c r="O6846" s="8"/>
      <c r="P6846" s="26"/>
      <c r="S6846" s="10" t="str">
        <f t="shared" si="534"/>
        <v/>
      </c>
    </row>
    <row r="6847" spans="5:19" x14ac:dyDescent="0.3">
      <c r="E6847" s="9" t="str">
        <f>IF(DADOS!C6847="","",DADOS!C6847)</f>
        <v/>
      </c>
      <c r="F6847" s="9" t="str">
        <f>IF(DADOS!E6847="","",DADOS!E6847)</f>
        <v/>
      </c>
      <c r="G6847" s="9" t="str">
        <f>IF(DADOS!F6847="","",DADOS!F6847)</f>
        <v/>
      </c>
      <c r="K6847" s="6" t="str">
        <f t="shared" si="535"/>
        <v/>
      </c>
      <c r="L6847" s="7" t="str">
        <f t="shared" si="536"/>
        <v/>
      </c>
      <c r="M6847" s="7" t="str">
        <f t="shared" si="533"/>
        <v/>
      </c>
      <c r="N6847" s="7" t="str">
        <f t="shared" si="537"/>
        <v/>
      </c>
      <c r="O6847" s="8"/>
      <c r="P6847" s="26"/>
      <c r="S6847" s="10" t="str">
        <f t="shared" si="534"/>
        <v/>
      </c>
    </row>
    <row r="6848" spans="5:19" x14ac:dyDescent="0.3">
      <c r="E6848" s="9" t="str">
        <f>IF(DADOS!C6848="","",DADOS!C6848)</f>
        <v/>
      </c>
      <c r="F6848" s="9" t="str">
        <f>IF(DADOS!E6848="","",DADOS!E6848)</f>
        <v/>
      </c>
      <c r="G6848" s="9" t="str">
        <f>IF(DADOS!F6848="","",DADOS!F6848)</f>
        <v/>
      </c>
      <c r="K6848" s="6" t="str">
        <f t="shared" si="535"/>
        <v/>
      </c>
      <c r="L6848" s="7" t="str">
        <f t="shared" si="536"/>
        <v/>
      </c>
      <c r="M6848" s="7" t="str">
        <f t="shared" si="533"/>
        <v/>
      </c>
      <c r="N6848" s="7" t="str">
        <f t="shared" si="537"/>
        <v/>
      </c>
      <c r="O6848" s="8"/>
      <c r="P6848" s="26"/>
      <c r="S6848" s="10" t="str">
        <f t="shared" si="534"/>
        <v/>
      </c>
    </row>
    <row r="6849" spans="5:19" x14ac:dyDescent="0.3">
      <c r="E6849" s="9" t="str">
        <f>IF(DADOS!C6849="","",DADOS!C6849)</f>
        <v/>
      </c>
      <c r="F6849" s="9" t="str">
        <f>IF(DADOS!E6849="","",DADOS!E6849)</f>
        <v/>
      </c>
      <c r="G6849" s="9" t="str">
        <f>IF(DADOS!F6849="","",DADOS!F6849)</f>
        <v/>
      </c>
      <c r="K6849" s="6" t="str">
        <f t="shared" si="535"/>
        <v/>
      </c>
      <c r="L6849" s="7" t="str">
        <f t="shared" si="536"/>
        <v/>
      </c>
      <c r="M6849" s="7" t="str">
        <f t="shared" si="533"/>
        <v/>
      </c>
      <c r="N6849" s="7" t="str">
        <f t="shared" si="537"/>
        <v/>
      </c>
      <c r="O6849" s="8"/>
      <c r="P6849" s="26"/>
      <c r="S6849" s="10" t="str">
        <f t="shared" si="534"/>
        <v/>
      </c>
    </row>
    <row r="6850" spans="5:19" x14ac:dyDescent="0.3">
      <c r="E6850" s="9" t="str">
        <f>IF(DADOS!C6850="","",DADOS!C6850)</f>
        <v/>
      </c>
      <c r="F6850" s="9" t="str">
        <f>IF(DADOS!E6850="","",DADOS!E6850)</f>
        <v/>
      </c>
      <c r="G6850" s="9" t="str">
        <f>IF(DADOS!F6850="","",DADOS!F6850)</f>
        <v/>
      </c>
      <c r="K6850" s="6" t="str">
        <f t="shared" si="535"/>
        <v/>
      </c>
      <c r="L6850" s="7" t="str">
        <f t="shared" si="536"/>
        <v/>
      </c>
      <c r="M6850" s="7" t="str">
        <f t="shared" si="533"/>
        <v/>
      </c>
      <c r="N6850" s="7" t="str">
        <f t="shared" si="537"/>
        <v/>
      </c>
      <c r="O6850" s="8"/>
      <c r="P6850" s="26"/>
      <c r="S6850" s="10" t="str">
        <f t="shared" si="534"/>
        <v/>
      </c>
    </row>
    <row r="6851" spans="5:19" x14ac:dyDescent="0.3">
      <c r="E6851" s="9" t="str">
        <f>IF(DADOS!C6851="","",DADOS!C6851)</f>
        <v/>
      </c>
      <c r="F6851" s="9" t="str">
        <f>IF(DADOS!E6851="","",DADOS!E6851)</f>
        <v/>
      </c>
      <c r="G6851" s="9" t="str">
        <f>IF(DADOS!F6851="","",DADOS!F6851)</f>
        <v/>
      </c>
      <c r="K6851" s="6" t="str">
        <f t="shared" si="535"/>
        <v/>
      </c>
      <c r="L6851" s="7" t="str">
        <f t="shared" si="536"/>
        <v/>
      </c>
      <c r="M6851" s="7" t="str">
        <f t="shared" ref="M6851:M6914" si="538">IF(L6851="","",L6851*G6851)</f>
        <v/>
      </c>
      <c r="N6851" s="7" t="str">
        <f t="shared" si="537"/>
        <v/>
      </c>
      <c r="O6851" s="8"/>
      <c r="P6851" s="26"/>
      <c r="S6851" s="10" t="str">
        <f t="shared" ref="S6851:S6914" si="539">IF(R6851="","",SUMIFS($N$3:$N$10000,$E$3:$E$10000,R6851))</f>
        <v/>
      </c>
    </row>
    <row r="6852" spans="5:19" x14ac:dyDescent="0.3">
      <c r="E6852" s="9" t="str">
        <f>IF(DADOS!C6852="","",DADOS!C6852)</f>
        <v/>
      </c>
      <c r="F6852" s="9" t="str">
        <f>IF(DADOS!E6852="","",DADOS!E6852)</f>
        <v/>
      </c>
      <c r="G6852" s="9" t="str">
        <f>IF(DADOS!F6852="","",DADOS!F6852)</f>
        <v/>
      </c>
      <c r="K6852" s="6" t="str">
        <f t="shared" ref="K6852:K6915" si="540">IF(F6852="","",F6852/PI())</f>
        <v/>
      </c>
      <c r="L6852" s="7" t="str">
        <f t="shared" ref="L6852:L6915" si="541">IF(K6852="","",(PI()*K6852^2)/40000)</f>
        <v/>
      </c>
      <c r="M6852" s="7" t="str">
        <f t="shared" si="538"/>
        <v/>
      </c>
      <c r="N6852" s="7" t="str">
        <f t="shared" ref="N6852:N6915" si="542">IF(M6852="","",M6852*N$1)</f>
        <v/>
      </c>
      <c r="O6852" s="8"/>
      <c r="P6852" s="26"/>
      <c r="S6852" s="10" t="str">
        <f t="shared" si="539"/>
        <v/>
      </c>
    </row>
    <row r="6853" spans="5:19" x14ac:dyDescent="0.3">
      <c r="E6853" s="9" t="str">
        <f>IF(DADOS!C6853="","",DADOS!C6853)</f>
        <v/>
      </c>
      <c r="F6853" s="9" t="str">
        <f>IF(DADOS!E6853="","",DADOS!E6853)</f>
        <v/>
      </c>
      <c r="G6853" s="9" t="str">
        <f>IF(DADOS!F6853="","",DADOS!F6853)</f>
        <v/>
      </c>
      <c r="K6853" s="6" t="str">
        <f t="shared" si="540"/>
        <v/>
      </c>
      <c r="L6853" s="7" t="str">
        <f t="shared" si="541"/>
        <v/>
      </c>
      <c r="M6853" s="7" t="str">
        <f t="shared" si="538"/>
        <v/>
      </c>
      <c r="N6853" s="7" t="str">
        <f t="shared" si="542"/>
        <v/>
      </c>
      <c r="O6853" s="8"/>
      <c r="P6853" s="26"/>
      <c r="S6853" s="10" t="str">
        <f t="shared" si="539"/>
        <v/>
      </c>
    </row>
    <row r="6854" spans="5:19" x14ac:dyDescent="0.3">
      <c r="E6854" s="9" t="str">
        <f>IF(DADOS!C6854="","",DADOS!C6854)</f>
        <v/>
      </c>
      <c r="F6854" s="9" t="str">
        <f>IF(DADOS!E6854="","",DADOS!E6854)</f>
        <v/>
      </c>
      <c r="G6854" s="9" t="str">
        <f>IF(DADOS!F6854="","",DADOS!F6854)</f>
        <v/>
      </c>
      <c r="K6854" s="6" t="str">
        <f t="shared" si="540"/>
        <v/>
      </c>
      <c r="L6854" s="7" t="str">
        <f t="shared" si="541"/>
        <v/>
      </c>
      <c r="M6854" s="7" t="str">
        <f t="shared" si="538"/>
        <v/>
      </c>
      <c r="N6854" s="7" t="str">
        <f t="shared" si="542"/>
        <v/>
      </c>
      <c r="O6854" s="8"/>
      <c r="P6854" s="26"/>
      <c r="S6854" s="10" t="str">
        <f t="shared" si="539"/>
        <v/>
      </c>
    </row>
    <row r="6855" spans="5:19" x14ac:dyDescent="0.3">
      <c r="E6855" s="9" t="str">
        <f>IF(DADOS!C6855="","",DADOS!C6855)</f>
        <v/>
      </c>
      <c r="F6855" s="9" t="str">
        <f>IF(DADOS!E6855="","",DADOS!E6855)</f>
        <v/>
      </c>
      <c r="G6855" s="9" t="str">
        <f>IF(DADOS!F6855="","",DADOS!F6855)</f>
        <v/>
      </c>
      <c r="K6855" s="6" t="str">
        <f t="shared" si="540"/>
        <v/>
      </c>
      <c r="L6855" s="7" t="str">
        <f t="shared" si="541"/>
        <v/>
      </c>
      <c r="M6855" s="7" t="str">
        <f t="shared" si="538"/>
        <v/>
      </c>
      <c r="N6855" s="7" t="str">
        <f t="shared" si="542"/>
        <v/>
      </c>
      <c r="O6855" s="8"/>
      <c r="P6855" s="26"/>
      <c r="S6855" s="10" t="str">
        <f t="shared" si="539"/>
        <v/>
      </c>
    </row>
    <row r="6856" spans="5:19" x14ac:dyDescent="0.3">
      <c r="E6856" s="9" t="str">
        <f>IF(DADOS!C6856="","",DADOS!C6856)</f>
        <v/>
      </c>
      <c r="F6856" s="9" t="str">
        <f>IF(DADOS!E6856="","",DADOS!E6856)</f>
        <v/>
      </c>
      <c r="G6856" s="9" t="str">
        <f>IF(DADOS!F6856="","",DADOS!F6856)</f>
        <v/>
      </c>
      <c r="K6856" s="6" t="str">
        <f t="shared" si="540"/>
        <v/>
      </c>
      <c r="L6856" s="7" t="str">
        <f t="shared" si="541"/>
        <v/>
      </c>
      <c r="M6856" s="7" t="str">
        <f t="shared" si="538"/>
        <v/>
      </c>
      <c r="N6856" s="7" t="str">
        <f t="shared" si="542"/>
        <v/>
      </c>
      <c r="O6856" s="8"/>
      <c r="P6856" s="26"/>
      <c r="S6856" s="10" t="str">
        <f t="shared" si="539"/>
        <v/>
      </c>
    </row>
    <row r="6857" spans="5:19" x14ac:dyDescent="0.3">
      <c r="E6857" s="9" t="str">
        <f>IF(DADOS!C6857="","",DADOS!C6857)</f>
        <v/>
      </c>
      <c r="F6857" s="9" t="str">
        <f>IF(DADOS!E6857="","",DADOS!E6857)</f>
        <v/>
      </c>
      <c r="G6857" s="9" t="str">
        <f>IF(DADOS!F6857="","",DADOS!F6857)</f>
        <v/>
      </c>
      <c r="K6857" s="6" t="str">
        <f t="shared" si="540"/>
        <v/>
      </c>
      <c r="L6857" s="7" t="str">
        <f t="shared" si="541"/>
        <v/>
      </c>
      <c r="M6857" s="7" t="str">
        <f t="shared" si="538"/>
        <v/>
      </c>
      <c r="N6857" s="7" t="str">
        <f t="shared" si="542"/>
        <v/>
      </c>
      <c r="O6857" s="8"/>
      <c r="P6857" s="26"/>
      <c r="S6857" s="10" t="str">
        <f t="shared" si="539"/>
        <v/>
      </c>
    </row>
    <row r="6858" spans="5:19" x14ac:dyDescent="0.3">
      <c r="E6858" s="9" t="str">
        <f>IF(DADOS!C6858="","",DADOS!C6858)</f>
        <v/>
      </c>
      <c r="F6858" s="9" t="str">
        <f>IF(DADOS!E6858="","",DADOS!E6858)</f>
        <v/>
      </c>
      <c r="G6858" s="9" t="str">
        <f>IF(DADOS!F6858="","",DADOS!F6858)</f>
        <v/>
      </c>
      <c r="K6858" s="6" t="str">
        <f t="shared" si="540"/>
        <v/>
      </c>
      <c r="L6858" s="7" t="str">
        <f t="shared" si="541"/>
        <v/>
      </c>
      <c r="M6858" s="7" t="str">
        <f t="shared" si="538"/>
        <v/>
      </c>
      <c r="N6858" s="7" t="str">
        <f t="shared" si="542"/>
        <v/>
      </c>
      <c r="O6858" s="8"/>
      <c r="P6858" s="26"/>
      <c r="S6858" s="10" t="str">
        <f t="shared" si="539"/>
        <v/>
      </c>
    </row>
    <row r="6859" spans="5:19" x14ac:dyDescent="0.3">
      <c r="E6859" s="9" t="str">
        <f>IF(DADOS!C6859="","",DADOS!C6859)</f>
        <v/>
      </c>
      <c r="F6859" s="9" t="str">
        <f>IF(DADOS!E6859="","",DADOS!E6859)</f>
        <v/>
      </c>
      <c r="G6859" s="9" t="str">
        <f>IF(DADOS!F6859="","",DADOS!F6859)</f>
        <v/>
      </c>
      <c r="K6859" s="6" t="str">
        <f t="shared" si="540"/>
        <v/>
      </c>
      <c r="L6859" s="7" t="str">
        <f t="shared" si="541"/>
        <v/>
      </c>
      <c r="M6859" s="7" t="str">
        <f t="shared" si="538"/>
        <v/>
      </c>
      <c r="N6859" s="7" t="str">
        <f t="shared" si="542"/>
        <v/>
      </c>
      <c r="O6859" s="8"/>
      <c r="P6859" s="26"/>
      <c r="S6859" s="10" t="str">
        <f t="shared" si="539"/>
        <v/>
      </c>
    </row>
    <row r="6860" spans="5:19" x14ac:dyDescent="0.3">
      <c r="E6860" s="9" t="str">
        <f>IF(DADOS!C6860="","",DADOS!C6860)</f>
        <v/>
      </c>
      <c r="F6860" s="9" t="str">
        <f>IF(DADOS!E6860="","",DADOS!E6860)</f>
        <v/>
      </c>
      <c r="G6860" s="9" t="str">
        <f>IF(DADOS!F6860="","",DADOS!F6860)</f>
        <v/>
      </c>
      <c r="K6860" s="6" t="str">
        <f t="shared" si="540"/>
        <v/>
      </c>
      <c r="L6860" s="7" t="str">
        <f t="shared" si="541"/>
        <v/>
      </c>
      <c r="M6860" s="7" t="str">
        <f t="shared" si="538"/>
        <v/>
      </c>
      <c r="N6860" s="7" t="str">
        <f t="shared" si="542"/>
        <v/>
      </c>
      <c r="O6860" s="8"/>
      <c r="P6860" s="26"/>
      <c r="S6860" s="10" t="str">
        <f t="shared" si="539"/>
        <v/>
      </c>
    </row>
    <row r="6861" spans="5:19" x14ac:dyDescent="0.3">
      <c r="E6861" s="9" t="str">
        <f>IF(DADOS!C6861="","",DADOS!C6861)</f>
        <v/>
      </c>
      <c r="F6861" s="9" t="str">
        <f>IF(DADOS!E6861="","",DADOS!E6861)</f>
        <v/>
      </c>
      <c r="G6861" s="9" t="str">
        <f>IF(DADOS!F6861="","",DADOS!F6861)</f>
        <v/>
      </c>
      <c r="K6861" s="6" t="str">
        <f t="shared" si="540"/>
        <v/>
      </c>
      <c r="L6861" s="7" t="str">
        <f t="shared" si="541"/>
        <v/>
      </c>
      <c r="M6861" s="7" t="str">
        <f t="shared" si="538"/>
        <v/>
      </c>
      <c r="N6861" s="7" t="str">
        <f t="shared" si="542"/>
        <v/>
      </c>
      <c r="O6861" s="8"/>
      <c r="P6861" s="26"/>
      <c r="S6861" s="10" t="str">
        <f t="shared" si="539"/>
        <v/>
      </c>
    </row>
    <row r="6862" spans="5:19" x14ac:dyDescent="0.3">
      <c r="E6862" s="9" t="str">
        <f>IF(DADOS!C6862="","",DADOS!C6862)</f>
        <v/>
      </c>
      <c r="F6862" s="9" t="str">
        <f>IF(DADOS!E6862="","",DADOS!E6862)</f>
        <v/>
      </c>
      <c r="G6862" s="9" t="str">
        <f>IF(DADOS!F6862="","",DADOS!F6862)</f>
        <v/>
      </c>
      <c r="K6862" s="6" t="str">
        <f t="shared" si="540"/>
        <v/>
      </c>
      <c r="L6862" s="7" t="str">
        <f t="shared" si="541"/>
        <v/>
      </c>
      <c r="M6862" s="7" t="str">
        <f t="shared" si="538"/>
        <v/>
      </c>
      <c r="N6862" s="7" t="str">
        <f t="shared" si="542"/>
        <v/>
      </c>
      <c r="O6862" s="8"/>
      <c r="P6862" s="26"/>
      <c r="S6862" s="10" t="str">
        <f t="shared" si="539"/>
        <v/>
      </c>
    </row>
    <row r="6863" spans="5:19" x14ac:dyDescent="0.3">
      <c r="E6863" s="9" t="str">
        <f>IF(DADOS!C6863="","",DADOS!C6863)</f>
        <v/>
      </c>
      <c r="F6863" s="9" t="str">
        <f>IF(DADOS!E6863="","",DADOS!E6863)</f>
        <v/>
      </c>
      <c r="G6863" s="9" t="str">
        <f>IF(DADOS!F6863="","",DADOS!F6863)</f>
        <v/>
      </c>
      <c r="K6863" s="6" t="str">
        <f t="shared" si="540"/>
        <v/>
      </c>
      <c r="L6863" s="7" t="str">
        <f t="shared" si="541"/>
        <v/>
      </c>
      <c r="M6863" s="7" t="str">
        <f t="shared" si="538"/>
        <v/>
      </c>
      <c r="N6863" s="7" t="str">
        <f t="shared" si="542"/>
        <v/>
      </c>
      <c r="O6863" s="8"/>
      <c r="P6863" s="26"/>
      <c r="S6863" s="10" t="str">
        <f t="shared" si="539"/>
        <v/>
      </c>
    </row>
    <row r="6864" spans="5:19" x14ac:dyDescent="0.3">
      <c r="E6864" s="9" t="str">
        <f>IF(DADOS!C6864="","",DADOS!C6864)</f>
        <v/>
      </c>
      <c r="F6864" s="9" t="str">
        <f>IF(DADOS!E6864="","",DADOS!E6864)</f>
        <v/>
      </c>
      <c r="G6864" s="9" t="str">
        <f>IF(DADOS!F6864="","",DADOS!F6864)</f>
        <v/>
      </c>
      <c r="K6864" s="6" t="str">
        <f t="shared" si="540"/>
        <v/>
      </c>
      <c r="L6864" s="7" t="str">
        <f t="shared" si="541"/>
        <v/>
      </c>
      <c r="M6864" s="7" t="str">
        <f t="shared" si="538"/>
        <v/>
      </c>
      <c r="N6864" s="7" t="str">
        <f t="shared" si="542"/>
        <v/>
      </c>
      <c r="O6864" s="8"/>
      <c r="P6864" s="26"/>
      <c r="S6864" s="10" t="str">
        <f t="shared" si="539"/>
        <v/>
      </c>
    </row>
    <row r="6865" spans="5:19" x14ac:dyDescent="0.3">
      <c r="E6865" s="9" t="str">
        <f>IF(DADOS!C6865="","",DADOS!C6865)</f>
        <v/>
      </c>
      <c r="F6865" s="9" t="str">
        <f>IF(DADOS!E6865="","",DADOS!E6865)</f>
        <v/>
      </c>
      <c r="G6865" s="9" t="str">
        <f>IF(DADOS!F6865="","",DADOS!F6865)</f>
        <v/>
      </c>
      <c r="K6865" s="6" t="str">
        <f t="shared" si="540"/>
        <v/>
      </c>
      <c r="L6865" s="7" t="str">
        <f t="shared" si="541"/>
        <v/>
      </c>
      <c r="M6865" s="7" t="str">
        <f t="shared" si="538"/>
        <v/>
      </c>
      <c r="N6865" s="7" t="str">
        <f t="shared" si="542"/>
        <v/>
      </c>
      <c r="O6865" s="8"/>
      <c r="P6865" s="26"/>
      <c r="S6865" s="10" t="str">
        <f t="shared" si="539"/>
        <v/>
      </c>
    </row>
    <row r="6866" spans="5:19" x14ac:dyDescent="0.3">
      <c r="E6866" s="9" t="str">
        <f>IF(DADOS!C6866="","",DADOS!C6866)</f>
        <v/>
      </c>
      <c r="F6866" s="9" t="str">
        <f>IF(DADOS!E6866="","",DADOS!E6866)</f>
        <v/>
      </c>
      <c r="G6866" s="9" t="str">
        <f>IF(DADOS!F6866="","",DADOS!F6866)</f>
        <v/>
      </c>
      <c r="K6866" s="6" t="str">
        <f t="shared" si="540"/>
        <v/>
      </c>
      <c r="L6866" s="7" t="str">
        <f t="shared" si="541"/>
        <v/>
      </c>
      <c r="M6866" s="7" t="str">
        <f t="shared" si="538"/>
        <v/>
      </c>
      <c r="N6866" s="7" t="str">
        <f t="shared" si="542"/>
        <v/>
      </c>
      <c r="O6866" s="8"/>
      <c r="P6866" s="26"/>
      <c r="S6866" s="10" t="str">
        <f t="shared" si="539"/>
        <v/>
      </c>
    </row>
    <row r="6867" spans="5:19" x14ac:dyDescent="0.3">
      <c r="E6867" s="9" t="str">
        <f>IF(DADOS!C6867="","",DADOS!C6867)</f>
        <v/>
      </c>
      <c r="F6867" s="9" t="str">
        <f>IF(DADOS!E6867="","",DADOS!E6867)</f>
        <v/>
      </c>
      <c r="G6867" s="9" t="str">
        <f>IF(DADOS!F6867="","",DADOS!F6867)</f>
        <v/>
      </c>
      <c r="K6867" s="6" t="str">
        <f t="shared" si="540"/>
        <v/>
      </c>
      <c r="L6867" s="7" t="str">
        <f t="shared" si="541"/>
        <v/>
      </c>
      <c r="M6867" s="7" t="str">
        <f t="shared" si="538"/>
        <v/>
      </c>
      <c r="N6867" s="7" t="str">
        <f t="shared" si="542"/>
        <v/>
      </c>
      <c r="O6867" s="8"/>
      <c r="P6867" s="26"/>
      <c r="S6867" s="10" t="str">
        <f t="shared" si="539"/>
        <v/>
      </c>
    </row>
    <row r="6868" spans="5:19" x14ac:dyDescent="0.3">
      <c r="E6868" s="9" t="str">
        <f>IF(DADOS!C6868="","",DADOS!C6868)</f>
        <v/>
      </c>
      <c r="F6868" s="9" t="str">
        <f>IF(DADOS!E6868="","",DADOS!E6868)</f>
        <v/>
      </c>
      <c r="G6868" s="9" t="str">
        <f>IF(DADOS!F6868="","",DADOS!F6868)</f>
        <v/>
      </c>
      <c r="K6868" s="6" t="str">
        <f t="shared" si="540"/>
        <v/>
      </c>
      <c r="L6868" s="7" t="str">
        <f t="shared" si="541"/>
        <v/>
      </c>
      <c r="M6868" s="7" t="str">
        <f t="shared" si="538"/>
        <v/>
      </c>
      <c r="N6868" s="7" t="str">
        <f t="shared" si="542"/>
        <v/>
      </c>
      <c r="O6868" s="8"/>
      <c r="P6868" s="26"/>
      <c r="S6868" s="10" t="str">
        <f t="shared" si="539"/>
        <v/>
      </c>
    </row>
    <row r="6869" spans="5:19" x14ac:dyDescent="0.3">
      <c r="E6869" s="9" t="str">
        <f>IF(DADOS!C6869="","",DADOS!C6869)</f>
        <v/>
      </c>
      <c r="F6869" s="9" t="str">
        <f>IF(DADOS!E6869="","",DADOS!E6869)</f>
        <v/>
      </c>
      <c r="G6869" s="9" t="str">
        <f>IF(DADOS!F6869="","",DADOS!F6869)</f>
        <v/>
      </c>
      <c r="K6869" s="6" t="str">
        <f t="shared" si="540"/>
        <v/>
      </c>
      <c r="L6869" s="7" t="str">
        <f t="shared" si="541"/>
        <v/>
      </c>
      <c r="M6869" s="7" t="str">
        <f t="shared" si="538"/>
        <v/>
      </c>
      <c r="N6869" s="7" t="str">
        <f t="shared" si="542"/>
        <v/>
      </c>
      <c r="O6869" s="8"/>
      <c r="P6869" s="26"/>
      <c r="S6869" s="10" t="str">
        <f t="shared" si="539"/>
        <v/>
      </c>
    </row>
    <row r="6870" spans="5:19" x14ac:dyDescent="0.3">
      <c r="E6870" s="9" t="str">
        <f>IF(DADOS!C6870="","",DADOS!C6870)</f>
        <v/>
      </c>
      <c r="F6870" s="9" t="str">
        <f>IF(DADOS!E6870="","",DADOS!E6870)</f>
        <v/>
      </c>
      <c r="G6870" s="9" t="str">
        <f>IF(DADOS!F6870="","",DADOS!F6870)</f>
        <v/>
      </c>
      <c r="K6870" s="6" t="str">
        <f t="shared" si="540"/>
        <v/>
      </c>
      <c r="L6870" s="7" t="str">
        <f t="shared" si="541"/>
        <v/>
      </c>
      <c r="M6870" s="7" t="str">
        <f t="shared" si="538"/>
        <v/>
      </c>
      <c r="N6870" s="7" t="str">
        <f t="shared" si="542"/>
        <v/>
      </c>
      <c r="O6870" s="8"/>
      <c r="P6870" s="26"/>
      <c r="S6870" s="10" t="str">
        <f t="shared" si="539"/>
        <v/>
      </c>
    </row>
    <row r="6871" spans="5:19" x14ac:dyDescent="0.3">
      <c r="E6871" s="9" t="str">
        <f>IF(DADOS!C6871="","",DADOS!C6871)</f>
        <v/>
      </c>
      <c r="F6871" s="9" t="str">
        <f>IF(DADOS!E6871="","",DADOS!E6871)</f>
        <v/>
      </c>
      <c r="G6871" s="9" t="str">
        <f>IF(DADOS!F6871="","",DADOS!F6871)</f>
        <v/>
      </c>
      <c r="K6871" s="6" t="str">
        <f t="shared" si="540"/>
        <v/>
      </c>
      <c r="L6871" s="7" t="str">
        <f t="shared" si="541"/>
        <v/>
      </c>
      <c r="M6871" s="7" t="str">
        <f t="shared" si="538"/>
        <v/>
      </c>
      <c r="N6871" s="7" t="str">
        <f t="shared" si="542"/>
        <v/>
      </c>
      <c r="O6871" s="8"/>
      <c r="P6871" s="26"/>
      <c r="S6871" s="10" t="str">
        <f t="shared" si="539"/>
        <v/>
      </c>
    </row>
    <row r="6872" spans="5:19" x14ac:dyDescent="0.3">
      <c r="E6872" s="9" t="str">
        <f>IF(DADOS!C6872="","",DADOS!C6872)</f>
        <v/>
      </c>
      <c r="F6872" s="9" t="str">
        <f>IF(DADOS!E6872="","",DADOS!E6872)</f>
        <v/>
      </c>
      <c r="G6872" s="9" t="str">
        <f>IF(DADOS!F6872="","",DADOS!F6872)</f>
        <v/>
      </c>
      <c r="K6872" s="6" t="str">
        <f t="shared" si="540"/>
        <v/>
      </c>
      <c r="L6872" s="7" t="str">
        <f t="shared" si="541"/>
        <v/>
      </c>
      <c r="M6872" s="7" t="str">
        <f t="shared" si="538"/>
        <v/>
      </c>
      <c r="N6872" s="7" t="str">
        <f t="shared" si="542"/>
        <v/>
      </c>
      <c r="O6872" s="8"/>
      <c r="P6872" s="26"/>
      <c r="S6872" s="10" t="str">
        <f t="shared" si="539"/>
        <v/>
      </c>
    </row>
    <row r="6873" spans="5:19" x14ac:dyDescent="0.3">
      <c r="E6873" s="9" t="str">
        <f>IF(DADOS!C6873="","",DADOS!C6873)</f>
        <v/>
      </c>
      <c r="F6873" s="9" t="str">
        <f>IF(DADOS!E6873="","",DADOS!E6873)</f>
        <v/>
      </c>
      <c r="G6873" s="9" t="str">
        <f>IF(DADOS!F6873="","",DADOS!F6873)</f>
        <v/>
      </c>
      <c r="K6873" s="6" t="str">
        <f t="shared" si="540"/>
        <v/>
      </c>
      <c r="L6873" s="7" t="str">
        <f t="shared" si="541"/>
        <v/>
      </c>
      <c r="M6873" s="7" t="str">
        <f t="shared" si="538"/>
        <v/>
      </c>
      <c r="N6873" s="7" t="str">
        <f t="shared" si="542"/>
        <v/>
      </c>
      <c r="O6873" s="8"/>
      <c r="P6873" s="26"/>
      <c r="S6873" s="10" t="str">
        <f t="shared" si="539"/>
        <v/>
      </c>
    </row>
    <row r="6874" spans="5:19" x14ac:dyDescent="0.3">
      <c r="E6874" s="9" t="str">
        <f>IF(DADOS!C6874="","",DADOS!C6874)</f>
        <v/>
      </c>
      <c r="F6874" s="9" t="str">
        <f>IF(DADOS!E6874="","",DADOS!E6874)</f>
        <v/>
      </c>
      <c r="G6874" s="9" t="str">
        <f>IF(DADOS!F6874="","",DADOS!F6874)</f>
        <v/>
      </c>
      <c r="K6874" s="6" t="str">
        <f t="shared" si="540"/>
        <v/>
      </c>
      <c r="L6874" s="7" t="str">
        <f t="shared" si="541"/>
        <v/>
      </c>
      <c r="M6874" s="7" t="str">
        <f t="shared" si="538"/>
        <v/>
      </c>
      <c r="N6874" s="7" t="str">
        <f t="shared" si="542"/>
        <v/>
      </c>
      <c r="O6874" s="8"/>
      <c r="P6874" s="26"/>
      <c r="S6874" s="10" t="str">
        <f t="shared" si="539"/>
        <v/>
      </c>
    </row>
    <row r="6875" spans="5:19" x14ac:dyDescent="0.3">
      <c r="E6875" s="9" t="str">
        <f>IF(DADOS!C6875="","",DADOS!C6875)</f>
        <v/>
      </c>
      <c r="F6875" s="9" t="str">
        <f>IF(DADOS!E6875="","",DADOS!E6875)</f>
        <v/>
      </c>
      <c r="G6875" s="9" t="str">
        <f>IF(DADOS!F6875="","",DADOS!F6875)</f>
        <v/>
      </c>
      <c r="K6875" s="6" t="str">
        <f t="shared" si="540"/>
        <v/>
      </c>
      <c r="L6875" s="7" t="str">
        <f t="shared" si="541"/>
        <v/>
      </c>
      <c r="M6875" s="7" t="str">
        <f t="shared" si="538"/>
        <v/>
      </c>
      <c r="N6875" s="7" t="str">
        <f t="shared" si="542"/>
        <v/>
      </c>
      <c r="O6875" s="8"/>
      <c r="P6875" s="26"/>
      <c r="S6875" s="10" t="str">
        <f t="shared" si="539"/>
        <v/>
      </c>
    </row>
    <row r="6876" spans="5:19" x14ac:dyDescent="0.3">
      <c r="E6876" s="9" t="str">
        <f>IF(DADOS!C6876="","",DADOS!C6876)</f>
        <v/>
      </c>
      <c r="F6876" s="9" t="str">
        <f>IF(DADOS!E6876="","",DADOS!E6876)</f>
        <v/>
      </c>
      <c r="G6876" s="9" t="str">
        <f>IF(DADOS!F6876="","",DADOS!F6876)</f>
        <v/>
      </c>
      <c r="K6876" s="6" t="str">
        <f t="shared" si="540"/>
        <v/>
      </c>
      <c r="L6876" s="7" t="str">
        <f t="shared" si="541"/>
        <v/>
      </c>
      <c r="M6876" s="7" t="str">
        <f t="shared" si="538"/>
        <v/>
      </c>
      <c r="N6876" s="7" t="str">
        <f t="shared" si="542"/>
        <v/>
      </c>
      <c r="O6876" s="8"/>
      <c r="P6876" s="26"/>
      <c r="S6876" s="10" t="str">
        <f t="shared" si="539"/>
        <v/>
      </c>
    </row>
    <row r="6877" spans="5:19" x14ac:dyDescent="0.3">
      <c r="E6877" s="9" t="str">
        <f>IF(DADOS!C6877="","",DADOS!C6877)</f>
        <v/>
      </c>
      <c r="F6877" s="9" t="str">
        <f>IF(DADOS!E6877="","",DADOS!E6877)</f>
        <v/>
      </c>
      <c r="G6877" s="9" t="str">
        <f>IF(DADOS!F6877="","",DADOS!F6877)</f>
        <v/>
      </c>
      <c r="K6877" s="6" t="str">
        <f t="shared" si="540"/>
        <v/>
      </c>
      <c r="L6877" s="7" t="str">
        <f t="shared" si="541"/>
        <v/>
      </c>
      <c r="M6877" s="7" t="str">
        <f t="shared" si="538"/>
        <v/>
      </c>
      <c r="N6877" s="7" t="str">
        <f t="shared" si="542"/>
        <v/>
      </c>
      <c r="O6877" s="8"/>
      <c r="P6877" s="26"/>
      <c r="S6877" s="10" t="str">
        <f t="shared" si="539"/>
        <v/>
      </c>
    </row>
    <row r="6878" spans="5:19" x14ac:dyDescent="0.3">
      <c r="E6878" s="9" t="str">
        <f>IF(DADOS!C6878="","",DADOS!C6878)</f>
        <v/>
      </c>
      <c r="F6878" s="9" t="str">
        <f>IF(DADOS!E6878="","",DADOS!E6878)</f>
        <v/>
      </c>
      <c r="G6878" s="9" t="str">
        <f>IF(DADOS!F6878="","",DADOS!F6878)</f>
        <v/>
      </c>
      <c r="K6878" s="6" t="str">
        <f t="shared" si="540"/>
        <v/>
      </c>
      <c r="L6878" s="7" t="str">
        <f t="shared" si="541"/>
        <v/>
      </c>
      <c r="M6878" s="7" t="str">
        <f t="shared" si="538"/>
        <v/>
      </c>
      <c r="N6878" s="7" t="str">
        <f t="shared" si="542"/>
        <v/>
      </c>
      <c r="O6878" s="8"/>
      <c r="P6878" s="26"/>
      <c r="S6878" s="10" t="str">
        <f t="shared" si="539"/>
        <v/>
      </c>
    </row>
    <row r="6879" spans="5:19" x14ac:dyDescent="0.3">
      <c r="E6879" s="9" t="str">
        <f>IF(DADOS!C6879="","",DADOS!C6879)</f>
        <v/>
      </c>
      <c r="F6879" s="9" t="str">
        <f>IF(DADOS!E6879="","",DADOS!E6879)</f>
        <v/>
      </c>
      <c r="G6879" s="9" t="str">
        <f>IF(DADOS!F6879="","",DADOS!F6879)</f>
        <v/>
      </c>
      <c r="K6879" s="6" t="str">
        <f t="shared" si="540"/>
        <v/>
      </c>
      <c r="L6879" s="7" t="str">
        <f t="shared" si="541"/>
        <v/>
      </c>
      <c r="M6879" s="7" t="str">
        <f t="shared" si="538"/>
        <v/>
      </c>
      <c r="N6879" s="7" t="str">
        <f t="shared" si="542"/>
        <v/>
      </c>
      <c r="O6879" s="8"/>
      <c r="P6879" s="26"/>
      <c r="S6879" s="10" t="str">
        <f t="shared" si="539"/>
        <v/>
      </c>
    </row>
    <row r="6880" spans="5:19" x14ac:dyDescent="0.3">
      <c r="E6880" s="9" t="str">
        <f>IF(DADOS!C6880="","",DADOS!C6880)</f>
        <v/>
      </c>
      <c r="F6880" s="9" t="str">
        <f>IF(DADOS!E6880="","",DADOS!E6880)</f>
        <v/>
      </c>
      <c r="G6880" s="9" t="str">
        <f>IF(DADOS!F6880="","",DADOS!F6880)</f>
        <v/>
      </c>
      <c r="K6880" s="6" t="str">
        <f t="shared" si="540"/>
        <v/>
      </c>
      <c r="L6880" s="7" t="str">
        <f t="shared" si="541"/>
        <v/>
      </c>
      <c r="M6880" s="7" t="str">
        <f t="shared" si="538"/>
        <v/>
      </c>
      <c r="N6880" s="7" t="str">
        <f t="shared" si="542"/>
        <v/>
      </c>
      <c r="O6880" s="8"/>
      <c r="P6880" s="26"/>
      <c r="S6880" s="10" t="str">
        <f t="shared" si="539"/>
        <v/>
      </c>
    </row>
    <row r="6881" spans="5:19" x14ac:dyDescent="0.3">
      <c r="E6881" s="9" t="str">
        <f>IF(DADOS!C6881="","",DADOS!C6881)</f>
        <v/>
      </c>
      <c r="F6881" s="9" t="str">
        <f>IF(DADOS!E6881="","",DADOS!E6881)</f>
        <v/>
      </c>
      <c r="G6881" s="9" t="str">
        <f>IF(DADOS!F6881="","",DADOS!F6881)</f>
        <v/>
      </c>
      <c r="K6881" s="6" t="str">
        <f t="shared" si="540"/>
        <v/>
      </c>
      <c r="L6881" s="7" t="str">
        <f t="shared" si="541"/>
        <v/>
      </c>
      <c r="M6881" s="7" t="str">
        <f t="shared" si="538"/>
        <v/>
      </c>
      <c r="N6881" s="7" t="str">
        <f t="shared" si="542"/>
        <v/>
      </c>
      <c r="O6881" s="8"/>
      <c r="P6881" s="26"/>
      <c r="S6881" s="10" t="str">
        <f t="shared" si="539"/>
        <v/>
      </c>
    </row>
    <row r="6882" spans="5:19" x14ac:dyDescent="0.3">
      <c r="E6882" s="9" t="str">
        <f>IF(DADOS!C6882="","",DADOS!C6882)</f>
        <v/>
      </c>
      <c r="F6882" s="9" t="str">
        <f>IF(DADOS!E6882="","",DADOS!E6882)</f>
        <v/>
      </c>
      <c r="G6882" s="9" t="str">
        <f>IF(DADOS!F6882="","",DADOS!F6882)</f>
        <v/>
      </c>
      <c r="K6882" s="6" t="str">
        <f t="shared" si="540"/>
        <v/>
      </c>
      <c r="L6882" s="7" t="str">
        <f t="shared" si="541"/>
        <v/>
      </c>
      <c r="M6882" s="7" t="str">
        <f t="shared" si="538"/>
        <v/>
      </c>
      <c r="N6882" s="7" t="str">
        <f t="shared" si="542"/>
        <v/>
      </c>
      <c r="O6882" s="8"/>
      <c r="P6882" s="26"/>
      <c r="S6882" s="10" t="str">
        <f t="shared" si="539"/>
        <v/>
      </c>
    </row>
    <row r="6883" spans="5:19" x14ac:dyDescent="0.3">
      <c r="E6883" s="9" t="str">
        <f>IF(DADOS!C6883="","",DADOS!C6883)</f>
        <v/>
      </c>
      <c r="F6883" s="9" t="str">
        <f>IF(DADOS!E6883="","",DADOS!E6883)</f>
        <v/>
      </c>
      <c r="G6883" s="9" t="str">
        <f>IF(DADOS!F6883="","",DADOS!F6883)</f>
        <v/>
      </c>
      <c r="K6883" s="6" t="str">
        <f t="shared" si="540"/>
        <v/>
      </c>
      <c r="L6883" s="7" t="str">
        <f t="shared" si="541"/>
        <v/>
      </c>
      <c r="M6883" s="7" t="str">
        <f t="shared" si="538"/>
        <v/>
      </c>
      <c r="N6883" s="7" t="str">
        <f t="shared" si="542"/>
        <v/>
      </c>
      <c r="O6883" s="8"/>
      <c r="P6883" s="26"/>
      <c r="S6883" s="10" t="str">
        <f t="shared" si="539"/>
        <v/>
      </c>
    </row>
    <row r="6884" spans="5:19" x14ac:dyDescent="0.3">
      <c r="E6884" s="9" t="str">
        <f>IF(DADOS!C6884="","",DADOS!C6884)</f>
        <v/>
      </c>
      <c r="F6884" s="9" t="str">
        <f>IF(DADOS!E6884="","",DADOS!E6884)</f>
        <v/>
      </c>
      <c r="G6884" s="9" t="str">
        <f>IF(DADOS!F6884="","",DADOS!F6884)</f>
        <v/>
      </c>
      <c r="K6884" s="6" t="str">
        <f t="shared" si="540"/>
        <v/>
      </c>
      <c r="L6884" s="7" t="str">
        <f t="shared" si="541"/>
        <v/>
      </c>
      <c r="M6884" s="7" t="str">
        <f t="shared" si="538"/>
        <v/>
      </c>
      <c r="N6884" s="7" t="str">
        <f t="shared" si="542"/>
        <v/>
      </c>
      <c r="O6884" s="8"/>
      <c r="P6884" s="26"/>
      <c r="S6884" s="10" t="str">
        <f t="shared" si="539"/>
        <v/>
      </c>
    </row>
    <row r="6885" spans="5:19" x14ac:dyDescent="0.3">
      <c r="E6885" s="9" t="str">
        <f>IF(DADOS!C6885="","",DADOS!C6885)</f>
        <v/>
      </c>
      <c r="F6885" s="9" t="str">
        <f>IF(DADOS!E6885="","",DADOS!E6885)</f>
        <v/>
      </c>
      <c r="G6885" s="9" t="str">
        <f>IF(DADOS!F6885="","",DADOS!F6885)</f>
        <v/>
      </c>
      <c r="K6885" s="6" t="str">
        <f t="shared" si="540"/>
        <v/>
      </c>
      <c r="L6885" s="7" t="str">
        <f t="shared" si="541"/>
        <v/>
      </c>
      <c r="M6885" s="7" t="str">
        <f t="shared" si="538"/>
        <v/>
      </c>
      <c r="N6885" s="7" t="str">
        <f t="shared" si="542"/>
        <v/>
      </c>
      <c r="O6885" s="8"/>
      <c r="P6885" s="26"/>
      <c r="S6885" s="10" t="str">
        <f t="shared" si="539"/>
        <v/>
      </c>
    </row>
    <row r="6886" spans="5:19" x14ac:dyDescent="0.3">
      <c r="E6886" s="9" t="str">
        <f>IF(DADOS!C6886="","",DADOS!C6886)</f>
        <v/>
      </c>
      <c r="F6886" s="9" t="str">
        <f>IF(DADOS!E6886="","",DADOS!E6886)</f>
        <v/>
      </c>
      <c r="G6886" s="9" t="str">
        <f>IF(DADOS!F6886="","",DADOS!F6886)</f>
        <v/>
      </c>
      <c r="K6886" s="6" t="str">
        <f t="shared" si="540"/>
        <v/>
      </c>
      <c r="L6886" s="7" t="str">
        <f t="shared" si="541"/>
        <v/>
      </c>
      <c r="M6886" s="7" t="str">
        <f t="shared" si="538"/>
        <v/>
      </c>
      <c r="N6886" s="7" t="str">
        <f t="shared" si="542"/>
        <v/>
      </c>
      <c r="O6886" s="8"/>
      <c r="P6886" s="26"/>
      <c r="S6886" s="10" t="str">
        <f t="shared" si="539"/>
        <v/>
      </c>
    </row>
    <row r="6887" spans="5:19" x14ac:dyDescent="0.3">
      <c r="E6887" s="9" t="str">
        <f>IF(DADOS!C6887="","",DADOS!C6887)</f>
        <v/>
      </c>
      <c r="F6887" s="9" t="str">
        <f>IF(DADOS!E6887="","",DADOS!E6887)</f>
        <v/>
      </c>
      <c r="G6887" s="9" t="str">
        <f>IF(DADOS!F6887="","",DADOS!F6887)</f>
        <v/>
      </c>
      <c r="K6887" s="6" t="str">
        <f t="shared" si="540"/>
        <v/>
      </c>
      <c r="L6887" s="7" t="str">
        <f t="shared" si="541"/>
        <v/>
      </c>
      <c r="M6887" s="7" t="str">
        <f t="shared" si="538"/>
        <v/>
      </c>
      <c r="N6887" s="7" t="str">
        <f t="shared" si="542"/>
        <v/>
      </c>
      <c r="O6887" s="8"/>
      <c r="P6887" s="26"/>
      <c r="S6887" s="10" t="str">
        <f t="shared" si="539"/>
        <v/>
      </c>
    </row>
    <row r="6888" spans="5:19" x14ac:dyDescent="0.3">
      <c r="E6888" s="9" t="str">
        <f>IF(DADOS!C6888="","",DADOS!C6888)</f>
        <v/>
      </c>
      <c r="F6888" s="9" t="str">
        <f>IF(DADOS!E6888="","",DADOS!E6888)</f>
        <v/>
      </c>
      <c r="G6888" s="9" t="str">
        <f>IF(DADOS!F6888="","",DADOS!F6888)</f>
        <v/>
      </c>
      <c r="K6888" s="6" t="str">
        <f t="shared" si="540"/>
        <v/>
      </c>
      <c r="L6888" s="7" t="str">
        <f t="shared" si="541"/>
        <v/>
      </c>
      <c r="M6888" s="7" t="str">
        <f t="shared" si="538"/>
        <v/>
      </c>
      <c r="N6888" s="7" t="str">
        <f t="shared" si="542"/>
        <v/>
      </c>
      <c r="O6888" s="8"/>
      <c r="P6888" s="26"/>
      <c r="S6888" s="10" t="str">
        <f t="shared" si="539"/>
        <v/>
      </c>
    </row>
    <row r="6889" spans="5:19" x14ac:dyDescent="0.3">
      <c r="E6889" s="9" t="str">
        <f>IF(DADOS!C6889="","",DADOS!C6889)</f>
        <v/>
      </c>
      <c r="F6889" s="9" t="str">
        <f>IF(DADOS!E6889="","",DADOS!E6889)</f>
        <v/>
      </c>
      <c r="G6889" s="9" t="str">
        <f>IF(DADOS!F6889="","",DADOS!F6889)</f>
        <v/>
      </c>
      <c r="K6889" s="6" t="str">
        <f t="shared" si="540"/>
        <v/>
      </c>
      <c r="L6889" s="7" t="str">
        <f t="shared" si="541"/>
        <v/>
      </c>
      <c r="M6889" s="7" t="str">
        <f t="shared" si="538"/>
        <v/>
      </c>
      <c r="N6889" s="7" t="str">
        <f t="shared" si="542"/>
        <v/>
      </c>
      <c r="O6889" s="8"/>
      <c r="P6889" s="26"/>
      <c r="S6889" s="10" t="str">
        <f t="shared" si="539"/>
        <v/>
      </c>
    </row>
    <row r="6890" spans="5:19" x14ac:dyDescent="0.3">
      <c r="E6890" s="9" t="str">
        <f>IF(DADOS!C6890="","",DADOS!C6890)</f>
        <v/>
      </c>
      <c r="F6890" s="9" t="str">
        <f>IF(DADOS!E6890="","",DADOS!E6890)</f>
        <v/>
      </c>
      <c r="G6890" s="9" t="str">
        <f>IF(DADOS!F6890="","",DADOS!F6890)</f>
        <v/>
      </c>
      <c r="K6890" s="6" t="str">
        <f t="shared" si="540"/>
        <v/>
      </c>
      <c r="L6890" s="7" t="str">
        <f t="shared" si="541"/>
        <v/>
      </c>
      <c r="M6890" s="7" t="str">
        <f t="shared" si="538"/>
        <v/>
      </c>
      <c r="N6890" s="7" t="str">
        <f t="shared" si="542"/>
        <v/>
      </c>
      <c r="O6890" s="8"/>
      <c r="P6890" s="26"/>
      <c r="S6890" s="10" t="str">
        <f t="shared" si="539"/>
        <v/>
      </c>
    </row>
    <row r="6891" spans="5:19" x14ac:dyDescent="0.3">
      <c r="E6891" s="9" t="str">
        <f>IF(DADOS!C6891="","",DADOS!C6891)</f>
        <v/>
      </c>
      <c r="F6891" s="9" t="str">
        <f>IF(DADOS!E6891="","",DADOS!E6891)</f>
        <v/>
      </c>
      <c r="G6891" s="9" t="str">
        <f>IF(DADOS!F6891="","",DADOS!F6891)</f>
        <v/>
      </c>
      <c r="K6891" s="6" t="str">
        <f t="shared" si="540"/>
        <v/>
      </c>
      <c r="L6891" s="7" t="str">
        <f t="shared" si="541"/>
        <v/>
      </c>
      <c r="M6891" s="7" t="str">
        <f t="shared" si="538"/>
        <v/>
      </c>
      <c r="N6891" s="7" t="str">
        <f t="shared" si="542"/>
        <v/>
      </c>
      <c r="O6891" s="8"/>
      <c r="P6891" s="26"/>
      <c r="S6891" s="10" t="str">
        <f t="shared" si="539"/>
        <v/>
      </c>
    </row>
    <row r="6892" spans="5:19" x14ac:dyDescent="0.3">
      <c r="E6892" s="9" t="str">
        <f>IF(DADOS!C6892="","",DADOS!C6892)</f>
        <v/>
      </c>
      <c r="F6892" s="9" t="str">
        <f>IF(DADOS!E6892="","",DADOS!E6892)</f>
        <v/>
      </c>
      <c r="G6892" s="9" t="str">
        <f>IF(DADOS!F6892="","",DADOS!F6892)</f>
        <v/>
      </c>
      <c r="K6892" s="6" t="str">
        <f t="shared" si="540"/>
        <v/>
      </c>
      <c r="L6892" s="7" t="str">
        <f t="shared" si="541"/>
        <v/>
      </c>
      <c r="M6892" s="7" t="str">
        <f t="shared" si="538"/>
        <v/>
      </c>
      <c r="N6892" s="7" t="str">
        <f t="shared" si="542"/>
        <v/>
      </c>
      <c r="O6892" s="8"/>
      <c r="P6892" s="26"/>
      <c r="S6892" s="10" t="str">
        <f t="shared" si="539"/>
        <v/>
      </c>
    </row>
    <row r="6893" spans="5:19" x14ac:dyDescent="0.3">
      <c r="E6893" s="9" t="str">
        <f>IF(DADOS!C6893="","",DADOS!C6893)</f>
        <v/>
      </c>
      <c r="F6893" s="9" t="str">
        <f>IF(DADOS!E6893="","",DADOS!E6893)</f>
        <v/>
      </c>
      <c r="G6893" s="9" t="str">
        <f>IF(DADOS!F6893="","",DADOS!F6893)</f>
        <v/>
      </c>
      <c r="K6893" s="6" t="str">
        <f t="shared" si="540"/>
        <v/>
      </c>
      <c r="L6893" s="7" t="str">
        <f t="shared" si="541"/>
        <v/>
      </c>
      <c r="M6893" s="7" t="str">
        <f t="shared" si="538"/>
        <v/>
      </c>
      <c r="N6893" s="7" t="str">
        <f t="shared" si="542"/>
        <v/>
      </c>
      <c r="O6893" s="8"/>
      <c r="P6893" s="26"/>
      <c r="S6893" s="10" t="str">
        <f t="shared" si="539"/>
        <v/>
      </c>
    </row>
    <row r="6894" spans="5:19" x14ac:dyDescent="0.3">
      <c r="E6894" s="9" t="str">
        <f>IF(DADOS!C6894="","",DADOS!C6894)</f>
        <v/>
      </c>
      <c r="F6894" s="9" t="str">
        <f>IF(DADOS!E6894="","",DADOS!E6894)</f>
        <v/>
      </c>
      <c r="G6894" s="9" t="str">
        <f>IF(DADOS!F6894="","",DADOS!F6894)</f>
        <v/>
      </c>
      <c r="K6894" s="6" t="str">
        <f t="shared" si="540"/>
        <v/>
      </c>
      <c r="L6894" s="7" t="str">
        <f t="shared" si="541"/>
        <v/>
      </c>
      <c r="M6894" s="7" t="str">
        <f t="shared" si="538"/>
        <v/>
      </c>
      <c r="N6894" s="7" t="str">
        <f t="shared" si="542"/>
        <v/>
      </c>
      <c r="O6894" s="8"/>
      <c r="P6894" s="26"/>
      <c r="S6894" s="10" t="str">
        <f t="shared" si="539"/>
        <v/>
      </c>
    </row>
    <row r="6895" spans="5:19" x14ac:dyDescent="0.3">
      <c r="E6895" s="9" t="str">
        <f>IF(DADOS!C6895="","",DADOS!C6895)</f>
        <v/>
      </c>
      <c r="F6895" s="9" t="str">
        <f>IF(DADOS!E6895="","",DADOS!E6895)</f>
        <v/>
      </c>
      <c r="G6895" s="9" t="str">
        <f>IF(DADOS!F6895="","",DADOS!F6895)</f>
        <v/>
      </c>
      <c r="K6895" s="6" t="str">
        <f t="shared" si="540"/>
        <v/>
      </c>
      <c r="L6895" s="7" t="str">
        <f t="shared" si="541"/>
        <v/>
      </c>
      <c r="M6895" s="7" t="str">
        <f t="shared" si="538"/>
        <v/>
      </c>
      <c r="N6895" s="7" t="str">
        <f t="shared" si="542"/>
        <v/>
      </c>
      <c r="O6895" s="8"/>
      <c r="P6895" s="26"/>
      <c r="S6895" s="10" t="str">
        <f t="shared" si="539"/>
        <v/>
      </c>
    </row>
    <row r="6896" spans="5:19" x14ac:dyDescent="0.3">
      <c r="E6896" s="9" t="str">
        <f>IF(DADOS!C6896="","",DADOS!C6896)</f>
        <v/>
      </c>
      <c r="F6896" s="9" t="str">
        <f>IF(DADOS!E6896="","",DADOS!E6896)</f>
        <v/>
      </c>
      <c r="G6896" s="9" t="str">
        <f>IF(DADOS!F6896="","",DADOS!F6896)</f>
        <v/>
      </c>
      <c r="K6896" s="6" t="str">
        <f t="shared" si="540"/>
        <v/>
      </c>
      <c r="L6896" s="7" t="str">
        <f t="shared" si="541"/>
        <v/>
      </c>
      <c r="M6896" s="7" t="str">
        <f t="shared" si="538"/>
        <v/>
      </c>
      <c r="N6896" s="7" t="str">
        <f t="shared" si="542"/>
        <v/>
      </c>
      <c r="O6896" s="8"/>
      <c r="P6896" s="26"/>
      <c r="S6896" s="10" t="str">
        <f t="shared" si="539"/>
        <v/>
      </c>
    </row>
    <row r="6897" spans="5:19" x14ac:dyDescent="0.3">
      <c r="E6897" s="9" t="str">
        <f>IF(DADOS!C6897="","",DADOS!C6897)</f>
        <v/>
      </c>
      <c r="F6897" s="9" t="str">
        <f>IF(DADOS!E6897="","",DADOS!E6897)</f>
        <v/>
      </c>
      <c r="G6897" s="9" t="str">
        <f>IF(DADOS!F6897="","",DADOS!F6897)</f>
        <v/>
      </c>
      <c r="K6897" s="6" t="str">
        <f t="shared" si="540"/>
        <v/>
      </c>
      <c r="L6897" s="7" t="str">
        <f t="shared" si="541"/>
        <v/>
      </c>
      <c r="M6897" s="7" t="str">
        <f t="shared" si="538"/>
        <v/>
      </c>
      <c r="N6897" s="7" t="str">
        <f t="shared" si="542"/>
        <v/>
      </c>
      <c r="O6897" s="8"/>
      <c r="P6897" s="26"/>
      <c r="S6897" s="10" t="str">
        <f t="shared" si="539"/>
        <v/>
      </c>
    </row>
    <row r="6898" spans="5:19" x14ac:dyDescent="0.3">
      <c r="E6898" s="9" t="str">
        <f>IF(DADOS!C6898="","",DADOS!C6898)</f>
        <v/>
      </c>
      <c r="F6898" s="9" t="str">
        <f>IF(DADOS!E6898="","",DADOS!E6898)</f>
        <v/>
      </c>
      <c r="G6898" s="9" t="str">
        <f>IF(DADOS!F6898="","",DADOS!F6898)</f>
        <v/>
      </c>
      <c r="K6898" s="6" t="str">
        <f t="shared" si="540"/>
        <v/>
      </c>
      <c r="L6898" s="7" t="str">
        <f t="shared" si="541"/>
        <v/>
      </c>
      <c r="M6898" s="7" t="str">
        <f t="shared" si="538"/>
        <v/>
      </c>
      <c r="N6898" s="7" t="str">
        <f t="shared" si="542"/>
        <v/>
      </c>
      <c r="O6898" s="8"/>
      <c r="P6898" s="26"/>
      <c r="S6898" s="10" t="str">
        <f t="shared" si="539"/>
        <v/>
      </c>
    </row>
    <row r="6899" spans="5:19" x14ac:dyDescent="0.3">
      <c r="E6899" s="9" t="str">
        <f>IF(DADOS!C6899="","",DADOS!C6899)</f>
        <v/>
      </c>
      <c r="F6899" s="9" t="str">
        <f>IF(DADOS!E6899="","",DADOS!E6899)</f>
        <v/>
      </c>
      <c r="G6899" s="9" t="str">
        <f>IF(DADOS!F6899="","",DADOS!F6899)</f>
        <v/>
      </c>
      <c r="K6899" s="6" t="str">
        <f t="shared" si="540"/>
        <v/>
      </c>
      <c r="L6899" s="7" t="str">
        <f t="shared" si="541"/>
        <v/>
      </c>
      <c r="M6899" s="7" t="str">
        <f t="shared" si="538"/>
        <v/>
      </c>
      <c r="N6899" s="7" t="str">
        <f t="shared" si="542"/>
        <v/>
      </c>
      <c r="O6899" s="8"/>
      <c r="P6899" s="26"/>
      <c r="S6899" s="10" t="str">
        <f t="shared" si="539"/>
        <v/>
      </c>
    </row>
    <row r="6900" spans="5:19" x14ac:dyDescent="0.3">
      <c r="E6900" s="9" t="str">
        <f>IF(DADOS!C6900="","",DADOS!C6900)</f>
        <v/>
      </c>
      <c r="F6900" s="9" t="str">
        <f>IF(DADOS!E6900="","",DADOS!E6900)</f>
        <v/>
      </c>
      <c r="G6900" s="9" t="str">
        <f>IF(DADOS!F6900="","",DADOS!F6900)</f>
        <v/>
      </c>
      <c r="K6900" s="6" t="str">
        <f t="shared" si="540"/>
        <v/>
      </c>
      <c r="L6900" s="7" t="str">
        <f t="shared" si="541"/>
        <v/>
      </c>
      <c r="M6900" s="7" t="str">
        <f t="shared" si="538"/>
        <v/>
      </c>
      <c r="N6900" s="7" t="str">
        <f t="shared" si="542"/>
        <v/>
      </c>
      <c r="O6900" s="8"/>
      <c r="P6900" s="26"/>
      <c r="S6900" s="10" t="str">
        <f t="shared" si="539"/>
        <v/>
      </c>
    </row>
    <row r="6901" spans="5:19" x14ac:dyDescent="0.3">
      <c r="E6901" s="9" t="str">
        <f>IF(DADOS!C6901="","",DADOS!C6901)</f>
        <v/>
      </c>
      <c r="F6901" s="9" t="str">
        <f>IF(DADOS!E6901="","",DADOS!E6901)</f>
        <v/>
      </c>
      <c r="G6901" s="9" t="str">
        <f>IF(DADOS!F6901="","",DADOS!F6901)</f>
        <v/>
      </c>
      <c r="K6901" s="6" t="str">
        <f t="shared" si="540"/>
        <v/>
      </c>
      <c r="L6901" s="7" t="str">
        <f t="shared" si="541"/>
        <v/>
      </c>
      <c r="M6901" s="7" t="str">
        <f t="shared" si="538"/>
        <v/>
      </c>
      <c r="N6901" s="7" t="str">
        <f t="shared" si="542"/>
        <v/>
      </c>
      <c r="O6901" s="8"/>
      <c r="P6901" s="26"/>
      <c r="S6901" s="10" t="str">
        <f t="shared" si="539"/>
        <v/>
      </c>
    </row>
    <row r="6902" spans="5:19" x14ac:dyDescent="0.3">
      <c r="E6902" s="9" t="str">
        <f>IF(DADOS!C6902="","",DADOS!C6902)</f>
        <v/>
      </c>
      <c r="F6902" s="9" t="str">
        <f>IF(DADOS!E6902="","",DADOS!E6902)</f>
        <v/>
      </c>
      <c r="G6902" s="9" t="str">
        <f>IF(DADOS!F6902="","",DADOS!F6902)</f>
        <v/>
      </c>
      <c r="K6902" s="6" t="str">
        <f t="shared" si="540"/>
        <v/>
      </c>
      <c r="L6902" s="7" t="str">
        <f t="shared" si="541"/>
        <v/>
      </c>
      <c r="M6902" s="7" t="str">
        <f t="shared" si="538"/>
        <v/>
      </c>
      <c r="N6902" s="7" t="str">
        <f t="shared" si="542"/>
        <v/>
      </c>
      <c r="O6902" s="8"/>
      <c r="P6902" s="26"/>
      <c r="S6902" s="10" t="str">
        <f t="shared" si="539"/>
        <v/>
      </c>
    </row>
    <row r="6903" spans="5:19" x14ac:dyDescent="0.3">
      <c r="E6903" s="9" t="str">
        <f>IF(DADOS!C6903="","",DADOS!C6903)</f>
        <v/>
      </c>
      <c r="F6903" s="9" t="str">
        <f>IF(DADOS!E6903="","",DADOS!E6903)</f>
        <v/>
      </c>
      <c r="G6903" s="9" t="str">
        <f>IF(DADOS!F6903="","",DADOS!F6903)</f>
        <v/>
      </c>
      <c r="K6903" s="6" t="str">
        <f t="shared" si="540"/>
        <v/>
      </c>
      <c r="L6903" s="7" t="str">
        <f t="shared" si="541"/>
        <v/>
      </c>
      <c r="M6903" s="7" t="str">
        <f t="shared" si="538"/>
        <v/>
      </c>
      <c r="N6903" s="7" t="str">
        <f t="shared" si="542"/>
        <v/>
      </c>
      <c r="O6903" s="8"/>
      <c r="P6903" s="26"/>
      <c r="S6903" s="10" t="str">
        <f t="shared" si="539"/>
        <v/>
      </c>
    </row>
    <row r="6904" spans="5:19" x14ac:dyDescent="0.3">
      <c r="E6904" s="9" t="str">
        <f>IF(DADOS!C6904="","",DADOS!C6904)</f>
        <v/>
      </c>
      <c r="F6904" s="9" t="str">
        <f>IF(DADOS!E6904="","",DADOS!E6904)</f>
        <v/>
      </c>
      <c r="G6904" s="9" t="str">
        <f>IF(DADOS!F6904="","",DADOS!F6904)</f>
        <v/>
      </c>
      <c r="K6904" s="6" t="str">
        <f t="shared" si="540"/>
        <v/>
      </c>
      <c r="L6904" s="7" t="str">
        <f t="shared" si="541"/>
        <v/>
      </c>
      <c r="M6904" s="7" t="str">
        <f t="shared" si="538"/>
        <v/>
      </c>
      <c r="N6904" s="7" t="str">
        <f t="shared" si="542"/>
        <v/>
      </c>
      <c r="O6904" s="8"/>
      <c r="P6904" s="26"/>
      <c r="S6904" s="10" t="str">
        <f t="shared" si="539"/>
        <v/>
      </c>
    </row>
    <row r="6905" spans="5:19" x14ac:dyDescent="0.3">
      <c r="E6905" s="9" t="str">
        <f>IF(DADOS!C6905="","",DADOS!C6905)</f>
        <v/>
      </c>
      <c r="F6905" s="9" t="str">
        <f>IF(DADOS!E6905="","",DADOS!E6905)</f>
        <v/>
      </c>
      <c r="G6905" s="9" t="str">
        <f>IF(DADOS!F6905="","",DADOS!F6905)</f>
        <v/>
      </c>
      <c r="K6905" s="6" t="str">
        <f t="shared" si="540"/>
        <v/>
      </c>
      <c r="L6905" s="7" t="str">
        <f t="shared" si="541"/>
        <v/>
      </c>
      <c r="M6905" s="7" t="str">
        <f t="shared" si="538"/>
        <v/>
      </c>
      <c r="N6905" s="7" t="str">
        <f t="shared" si="542"/>
        <v/>
      </c>
      <c r="O6905" s="8"/>
      <c r="P6905" s="26"/>
      <c r="S6905" s="10" t="str">
        <f t="shared" si="539"/>
        <v/>
      </c>
    </row>
    <row r="6906" spans="5:19" x14ac:dyDescent="0.3">
      <c r="E6906" s="9" t="str">
        <f>IF(DADOS!C6906="","",DADOS!C6906)</f>
        <v/>
      </c>
      <c r="F6906" s="9" t="str">
        <f>IF(DADOS!E6906="","",DADOS!E6906)</f>
        <v/>
      </c>
      <c r="G6906" s="9" t="str">
        <f>IF(DADOS!F6906="","",DADOS!F6906)</f>
        <v/>
      </c>
      <c r="K6906" s="6" t="str">
        <f t="shared" si="540"/>
        <v/>
      </c>
      <c r="L6906" s="7" t="str">
        <f t="shared" si="541"/>
        <v/>
      </c>
      <c r="M6906" s="7" t="str">
        <f t="shared" si="538"/>
        <v/>
      </c>
      <c r="N6906" s="7" t="str">
        <f t="shared" si="542"/>
        <v/>
      </c>
      <c r="O6906" s="8"/>
      <c r="P6906" s="26"/>
      <c r="S6906" s="10" t="str">
        <f t="shared" si="539"/>
        <v/>
      </c>
    </row>
    <row r="6907" spans="5:19" x14ac:dyDescent="0.3">
      <c r="E6907" s="9" t="str">
        <f>IF(DADOS!C6907="","",DADOS!C6907)</f>
        <v/>
      </c>
      <c r="F6907" s="9" t="str">
        <f>IF(DADOS!E6907="","",DADOS!E6907)</f>
        <v/>
      </c>
      <c r="G6907" s="9" t="str">
        <f>IF(DADOS!F6907="","",DADOS!F6907)</f>
        <v/>
      </c>
      <c r="K6907" s="6" t="str">
        <f t="shared" si="540"/>
        <v/>
      </c>
      <c r="L6907" s="7" t="str">
        <f t="shared" si="541"/>
        <v/>
      </c>
      <c r="M6907" s="7" t="str">
        <f t="shared" si="538"/>
        <v/>
      </c>
      <c r="N6907" s="7" t="str">
        <f t="shared" si="542"/>
        <v/>
      </c>
      <c r="O6907" s="8"/>
      <c r="P6907" s="26"/>
      <c r="S6907" s="10" t="str">
        <f t="shared" si="539"/>
        <v/>
      </c>
    </row>
    <row r="6908" spans="5:19" x14ac:dyDescent="0.3">
      <c r="E6908" s="9" t="str">
        <f>IF(DADOS!C6908="","",DADOS!C6908)</f>
        <v/>
      </c>
      <c r="F6908" s="9" t="str">
        <f>IF(DADOS!E6908="","",DADOS!E6908)</f>
        <v/>
      </c>
      <c r="G6908" s="9" t="str">
        <f>IF(DADOS!F6908="","",DADOS!F6908)</f>
        <v/>
      </c>
      <c r="K6908" s="6" t="str">
        <f t="shared" si="540"/>
        <v/>
      </c>
      <c r="L6908" s="7" t="str">
        <f t="shared" si="541"/>
        <v/>
      </c>
      <c r="M6908" s="7" t="str">
        <f t="shared" si="538"/>
        <v/>
      </c>
      <c r="N6908" s="7" t="str">
        <f t="shared" si="542"/>
        <v/>
      </c>
      <c r="O6908" s="8"/>
      <c r="P6908" s="26"/>
      <c r="S6908" s="10" t="str">
        <f t="shared" si="539"/>
        <v/>
      </c>
    </row>
    <row r="6909" spans="5:19" x14ac:dyDescent="0.3">
      <c r="E6909" s="9" t="str">
        <f>IF(DADOS!C6909="","",DADOS!C6909)</f>
        <v/>
      </c>
      <c r="F6909" s="9" t="str">
        <f>IF(DADOS!E6909="","",DADOS!E6909)</f>
        <v/>
      </c>
      <c r="G6909" s="9" t="str">
        <f>IF(DADOS!F6909="","",DADOS!F6909)</f>
        <v/>
      </c>
      <c r="K6909" s="6" t="str">
        <f t="shared" si="540"/>
        <v/>
      </c>
      <c r="L6909" s="7" t="str">
        <f t="shared" si="541"/>
        <v/>
      </c>
      <c r="M6909" s="7" t="str">
        <f t="shared" si="538"/>
        <v/>
      </c>
      <c r="N6909" s="7" t="str">
        <f t="shared" si="542"/>
        <v/>
      </c>
      <c r="O6909" s="8"/>
      <c r="P6909" s="26"/>
      <c r="S6909" s="10" t="str">
        <f t="shared" si="539"/>
        <v/>
      </c>
    </row>
    <row r="6910" spans="5:19" x14ac:dyDescent="0.3">
      <c r="E6910" s="9" t="str">
        <f>IF(DADOS!C6910="","",DADOS!C6910)</f>
        <v/>
      </c>
      <c r="F6910" s="9" t="str">
        <f>IF(DADOS!E6910="","",DADOS!E6910)</f>
        <v/>
      </c>
      <c r="G6910" s="9" t="str">
        <f>IF(DADOS!F6910="","",DADOS!F6910)</f>
        <v/>
      </c>
      <c r="K6910" s="6" t="str">
        <f t="shared" si="540"/>
        <v/>
      </c>
      <c r="L6910" s="7" t="str">
        <f t="shared" si="541"/>
        <v/>
      </c>
      <c r="M6910" s="7" t="str">
        <f t="shared" si="538"/>
        <v/>
      </c>
      <c r="N6910" s="7" t="str">
        <f t="shared" si="542"/>
        <v/>
      </c>
      <c r="O6910" s="8"/>
      <c r="P6910" s="26"/>
      <c r="S6910" s="10" t="str">
        <f t="shared" si="539"/>
        <v/>
      </c>
    </row>
    <row r="6911" spans="5:19" x14ac:dyDescent="0.3">
      <c r="E6911" s="9" t="str">
        <f>IF(DADOS!C6911="","",DADOS!C6911)</f>
        <v/>
      </c>
      <c r="F6911" s="9" t="str">
        <f>IF(DADOS!E6911="","",DADOS!E6911)</f>
        <v/>
      </c>
      <c r="G6911" s="9" t="str">
        <f>IF(DADOS!F6911="","",DADOS!F6911)</f>
        <v/>
      </c>
      <c r="K6911" s="6" t="str">
        <f t="shared" si="540"/>
        <v/>
      </c>
      <c r="L6911" s="7" t="str">
        <f t="shared" si="541"/>
        <v/>
      </c>
      <c r="M6911" s="7" t="str">
        <f t="shared" si="538"/>
        <v/>
      </c>
      <c r="N6911" s="7" t="str">
        <f t="shared" si="542"/>
        <v/>
      </c>
      <c r="O6911" s="8"/>
      <c r="P6911" s="26"/>
      <c r="S6911" s="10" t="str">
        <f t="shared" si="539"/>
        <v/>
      </c>
    </row>
    <row r="6912" spans="5:19" x14ac:dyDescent="0.3">
      <c r="E6912" s="9" t="str">
        <f>IF(DADOS!C6912="","",DADOS!C6912)</f>
        <v/>
      </c>
      <c r="F6912" s="9" t="str">
        <f>IF(DADOS!E6912="","",DADOS!E6912)</f>
        <v/>
      </c>
      <c r="G6912" s="9" t="str">
        <f>IF(DADOS!F6912="","",DADOS!F6912)</f>
        <v/>
      </c>
      <c r="K6912" s="6" t="str">
        <f t="shared" si="540"/>
        <v/>
      </c>
      <c r="L6912" s="7" t="str">
        <f t="shared" si="541"/>
        <v/>
      </c>
      <c r="M6912" s="7" t="str">
        <f t="shared" si="538"/>
        <v/>
      </c>
      <c r="N6912" s="7" t="str">
        <f t="shared" si="542"/>
        <v/>
      </c>
      <c r="O6912" s="8"/>
      <c r="P6912" s="26"/>
      <c r="S6912" s="10" t="str">
        <f t="shared" si="539"/>
        <v/>
      </c>
    </row>
    <row r="6913" spans="5:19" x14ac:dyDescent="0.3">
      <c r="E6913" s="9" t="str">
        <f>IF(DADOS!C6913="","",DADOS!C6913)</f>
        <v/>
      </c>
      <c r="F6913" s="9" t="str">
        <f>IF(DADOS!E6913="","",DADOS!E6913)</f>
        <v/>
      </c>
      <c r="G6913" s="9" t="str">
        <f>IF(DADOS!F6913="","",DADOS!F6913)</f>
        <v/>
      </c>
      <c r="K6913" s="6" t="str">
        <f t="shared" si="540"/>
        <v/>
      </c>
      <c r="L6913" s="7" t="str">
        <f t="shared" si="541"/>
        <v/>
      </c>
      <c r="M6913" s="7" t="str">
        <f t="shared" si="538"/>
        <v/>
      </c>
      <c r="N6913" s="7" t="str">
        <f t="shared" si="542"/>
        <v/>
      </c>
      <c r="O6913" s="8"/>
      <c r="P6913" s="26"/>
      <c r="S6913" s="10" t="str">
        <f t="shared" si="539"/>
        <v/>
      </c>
    </row>
    <row r="6914" spans="5:19" x14ac:dyDescent="0.3">
      <c r="E6914" s="9" t="str">
        <f>IF(DADOS!C6914="","",DADOS!C6914)</f>
        <v/>
      </c>
      <c r="F6914" s="9" t="str">
        <f>IF(DADOS!E6914="","",DADOS!E6914)</f>
        <v/>
      </c>
      <c r="G6914" s="9" t="str">
        <f>IF(DADOS!F6914="","",DADOS!F6914)</f>
        <v/>
      </c>
      <c r="K6914" s="6" t="str">
        <f t="shared" si="540"/>
        <v/>
      </c>
      <c r="L6914" s="7" t="str">
        <f t="shared" si="541"/>
        <v/>
      </c>
      <c r="M6914" s="7" t="str">
        <f t="shared" si="538"/>
        <v/>
      </c>
      <c r="N6914" s="7" t="str">
        <f t="shared" si="542"/>
        <v/>
      </c>
      <c r="O6914" s="8"/>
      <c r="P6914" s="26"/>
      <c r="S6914" s="10" t="str">
        <f t="shared" si="539"/>
        <v/>
      </c>
    </row>
    <row r="6915" spans="5:19" x14ac:dyDescent="0.3">
      <c r="E6915" s="9" t="str">
        <f>IF(DADOS!C6915="","",DADOS!C6915)</f>
        <v/>
      </c>
      <c r="F6915" s="9" t="str">
        <f>IF(DADOS!E6915="","",DADOS!E6915)</f>
        <v/>
      </c>
      <c r="G6915" s="9" t="str">
        <f>IF(DADOS!F6915="","",DADOS!F6915)</f>
        <v/>
      </c>
      <c r="K6915" s="6" t="str">
        <f t="shared" si="540"/>
        <v/>
      </c>
      <c r="L6915" s="7" t="str">
        <f t="shared" si="541"/>
        <v/>
      </c>
      <c r="M6915" s="7" t="str">
        <f t="shared" ref="M6915:M6978" si="543">IF(L6915="","",L6915*G6915)</f>
        <v/>
      </c>
      <c r="N6915" s="7" t="str">
        <f t="shared" si="542"/>
        <v/>
      </c>
      <c r="O6915" s="8"/>
      <c r="P6915" s="26"/>
      <c r="S6915" s="10" t="str">
        <f t="shared" ref="S6915:S6978" si="544">IF(R6915="","",SUMIFS($N$3:$N$10000,$E$3:$E$10000,R6915))</f>
        <v/>
      </c>
    </row>
    <row r="6916" spans="5:19" x14ac:dyDescent="0.3">
      <c r="E6916" s="9" t="str">
        <f>IF(DADOS!C6916="","",DADOS!C6916)</f>
        <v/>
      </c>
      <c r="F6916" s="9" t="str">
        <f>IF(DADOS!E6916="","",DADOS!E6916)</f>
        <v/>
      </c>
      <c r="G6916" s="9" t="str">
        <f>IF(DADOS!F6916="","",DADOS!F6916)</f>
        <v/>
      </c>
      <c r="K6916" s="6" t="str">
        <f t="shared" ref="K6916:K6979" si="545">IF(F6916="","",F6916/PI())</f>
        <v/>
      </c>
      <c r="L6916" s="7" t="str">
        <f t="shared" ref="L6916:L6979" si="546">IF(K6916="","",(PI()*K6916^2)/40000)</f>
        <v/>
      </c>
      <c r="M6916" s="7" t="str">
        <f t="shared" si="543"/>
        <v/>
      </c>
      <c r="N6916" s="7" t="str">
        <f t="shared" ref="N6916:N6979" si="547">IF(M6916="","",M6916*N$1)</f>
        <v/>
      </c>
      <c r="O6916" s="8"/>
      <c r="P6916" s="26"/>
      <c r="S6916" s="10" t="str">
        <f t="shared" si="544"/>
        <v/>
      </c>
    </row>
    <row r="6917" spans="5:19" x14ac:dyDescent="0.3">
      <c r="E6917" s="9" t="str">
        <f>IF(DADOS!C6917="","",DADOS!C6917)</f>
        <v/>
      </c>
      <c r="F6917" s="9" t="str">
        <f>IF(DADOS!E6917="","",DADOS!E6917)</f>
        <v/>
      </c>
      <c r="G6917" s="9" t="str">
        <f>IF(DADOS!F6917="","",DADOS!F6917)</f>
        <v/>
      </c>
      <c r="K6917" s="6" t="str">
        <f t="shared" si="545"/>
        <v/>
      </c>
      <c r="L6917" s="7" t="str">
        <f t="shared" si="546"/>
        <v/>
      </c>
      <c r="M6917" s="7" t="str">
        <f t="shared" si="543"/>
        <v/>
      </c>
      <c r="N6917" s="7" t="str">
        <f t="shared" si="547"/>
        <v/>
      </c>
      <c r="O6917" s="8"/>
      <c r="P6917" s="26"/>
      <c r="S6917" s="10" t="str">
        <f t="shared" si="544"/>
        <v/>
      </c>
    </row>
    <row r="6918" spans="5:19" x14ac:dyDescent="0.3">
      <c r="E6918" s="9" t="str">
        <f>IF(DADOS!C6918="","",DADOS!C6918)</f>
        <v/>
      </c>
      <c r="F6918" s="9" t="str">
        <f>IF(DADOS!E6918="","",DADOS!E6918)</f>
        <v/>
      </c>
      <c r="G6918" s="9" t="str">
        <f>IF(DADOS!F6918="","",DADOS!F6918)</f>
        <v/>
      </c>
      <c r="K6918" s="6" t="str">
        <f t="shared" si="545"/>
        <v/>
      </c>
      <c r="L6918" s="7" t="str">
        <f t="shared" si="546"/>
        <v/>
      </c>
      <c r="M6918" s="7" t="str">
        <f t="shared" si="543"/>
        <v/>
      </c>
      <c r="N6918" s="7" t="str">
        <f t="shared" si="547"/>
        <v/>
      </c>
      <c r="O6918" s="8"/>
      <c r="P6918" s="26"/>
      <c r="S6918" s="10" t="str">
        <f t="shared" si="544"/>
        <v/>
      </c>
    </row>
    <row r="6919" spans="5:19" x14ac:dyDescent="0.3">
      <c r="E6919" s="9" t="str">
        <f>IF(DADOS!C6919="","",DADOS!C6919)</f>
        <v/>
      </c>
      <c r="F6919" s="9" t="str">
        <f>IF(DADOS!E6919="","",DADOS!E6919)</f>
        <v/>
      </c>
      <c r="G6919" s="9" t="str">
        <f>IF(DADOS!F6919="","",DADOS!F6919)</f>
        <v/>
      </c>
      <c r="K6919" s="6" t="str">
        <f t="shared" si="545"/>
        <v/>
      </c>
      <c r="L6919" s="7" t="str">
        <f t="shared" si="546"/>
        <v/>
      </c>
      <c r="M6919" s="7" t="str">
        <f t="shared" si="543"/>
        <v/>
      </c>
      <c r="N6919" s="7" t="str">
        <f t="shared" si="547"/>
        <v/>
      </c>
      <c r="O6919" s="8"/>
      <c r="P6919" s="26"/>
      <c r="S6919" s="10" t="str">
        <f t="shared" si="544"/>
        <v/>
      </c>
    </row>
    <row r="6920" spans="5:19" x14ac:dyDescent="0.3">
      <c r="E6920" s="9" t="str">
        <f>IF(DADOS!C6920="","",DADOS!C6920)</f>
        <v/>
      </c>
      <c r="F6920" s="9" t="str">
        <f>IF(DADOS!E6920="","",DADOS!E6920)</f>
        <v/>
      </c>
      <c r="G6920" s="9" t="str">
        <f>IF(DADOS!F6920="","",DADOS!F6920)</f>
        <v/>
      </c>
      <c r="K6920" s="6" t="str">
        <f t="shared" si="545"/>
        <v/>
      </c>
      <c r="L6920" s="7" t="str">
        <f t="shared" si="546"/>
        <v/>
      </c>
      <c r="M6920" s="7" t="str">
        <f t="shared" si="543"/>
        <v/>
      </c>
      <c r="N6920" s="7" t="str">
        <f t="shared" si="547"/>
        <v/>
      </c>
      <c r="O6920" s="8"/>
      <c r="P6920" s="26"/>
      <c r="S6920" s="10" t="str">
        <f t="shared" si="544"/>
        <v/>
      </c>
    </row>
    <row r="6921" spans="5:19" x14ac:dyDescent="0.3">
      <c r="E6921" s="9" t="str">
        <f>IF(DADOS!C6921="","",DADOS!C6921)</f>
        <v/>
      </c>
      <c r="F6921" s="9" t="str">
        <f>IF(DADOS!E6921="","",DADOS!E6921)</f>
        <v/>
      </c>
      <c r="G6921" s="9" t="str">
        <f>IF(DADOS!F6921="","",DADOS!F6921)</f>
        <v/>
      </c>
      <c r="K6921" s="6" t="str">
        <f t="shared" si="545"/>
        <v/>
      </c>
      <c r="L6921" s="7" t="str">
        <f t="shared" si="546"/>
        <v/>
      </c>
      <c r="M6921" s="7" t="str">
        <f t="shared" si="543"/>
        <v/>
      </c>
      <c r="N6921" s="7" t="str">
        <f t="shared" si="547"/>
        <v/>
      </c>
      <c r="O6921" s="8"/>
      <c r="P6921" s="26"/>
      <c r="S6921" s="10" t="str">
        <f t="shared" si="544"/>
        <v/>
      </c>
    </row>
    <row r="6922" spans="5:19" x14ac:dyDescent="0.3">
      <c r="E6922" s="9" t="str">
        <f>IF(DADOS!C6922="","",DADOS!C6922)</f>
        <v/>
      </c>
      <c r="F6922" s="9" t="str">
        <f>IF(DADOS!E6922="","",DADOS!E6922)</f>
        <v/>
      </c>
      <c r="G6922" s="9" t="str">
        <f>IF(DADOS!F6922="","",DADOS!F6922)</f>
        <v/>
      </c>
      <c r="K6922" s="6" t="str">
        <f t="shared" si="545"/>
        <v/>
      </c>
      <c r="L6922" s="7" t="str">
        <f t="shared" si="546"/>
        <v/>
      </c>
      <c r="M6922" s="7" t="str">
        <f t="shared" si="543"/>
        <v/>
      </c>
      <c r="N6922" s="7" t="str">
        <f t="shared" si="547"/>
        <v/>
      </c>
      <c r="O6922" s="8"/>
      <c r="P6922" s="26"/>
      <c r="S6922" s="10" t="str">
        <f t="shared" si="544"/>
        <v/>
      </c>
    </row>
    <row r="6923" spans="5:19" x14ac:dyDescent="0.3">
      <c r="E6923" s="9" t="str">
        <f>IF(DADOS!C6923="","",DADOS!C6923)</f>
        <v/>
      </c>
      <c r="F6923" s="9" t="str">
        <f>IF(DADOS!E6923="","",DADOS!E6923)</f>
        <v/>
      </c>
      <c r="G6923" s="9" t="str">
        <f>IF(DADOS!F6923="","",DADOS!F6923)</f>
        <v/>
      </c>
      <c r="K6923" s="6" t="str">
        <f t="shared" si="545"/>
        <v/>
      </c>
      <c r="L6923" s="7" t="str">
        <f t="shared" si="546"/>
        <v/>
      </c>
      <c r="M6923" s="7" t="str">
        <f t="shared" si="543"/>
        <v/>
      </c>
      <c r="N6923" s="7" t="str">
        <f t="shared" si="547"/>
        <v/>
      </c>
      <c r="O6923" s="8"/>
      <c r="P6923" s="26"/>
      <c r="S6923" s="10" t="str">
        <f t="shared" si="544"/>
        <v/>
      </c>
    </row>
    <row r="6924" spans="5:19" x14ac:dyDescent="0.3">
      <c r="E6924" s="9" t="str">
        <f>IF(DADOS!C6924="","",DADOS!C6924)</f>
        <v/>
      </c>
      <c r="F6924" s="9" t="str">
        <f>IF(DADOS!E6924="","",DADOS!E6924)</f>
        <v/>
      </c>
      <c r="G6924" s="9" t="str">
        <f>IF(DADOS!F6924="","",DADOS!F6924)</f>
        <v/>
      </c>
      <c r="K6924" s="6" t="str">
        <f t="shared" si="545"/>
        <v/>
      </c>
      <c r="L6924" s="7" t="str">
        <f t="shared" si="546"/>
        <v/>
      </c>
      <c r="M6924" s="7" t="str">
        <f t="shared" si="543"/>
        <v/>
      </c>
      <c r="N6924" s="7" t="str">
        <f t="shared" si="547"/>
        <v/>
      </c>
      <c r="O6924" s="8"/>
      <c r="P6924" s="26"/>
      <c r="S6924" s="10" t="str">
        <f t="shared" si="544"/>
        <v/>
      </c>
    </row>
    <row r="6925" spans="5:19" x14ac:dyDescent="0.3">
      <c r="E6925" s="9" t="str">
        <f>IF(DADOS!C6925="","",DADOS!C6925)</f>
        <v/>
      </c>
      <c r="F6925" s="9" t="str">
        <f>IF(DADOS!E6925="","",DADOS!E6925)</f>
        <v/>
      </c>
      <c r="G6925" s="9" t="str">
        <f>IF(DADOS!F6925="","",DADOS!F6925)</f>
        <v/>
      </c>
      <c r="K6925" s="6" t="str">
        <f t="shared" si="545"/>
        <v/>
      </c>
      <c r="L6925" s="7" t="str">
        <f t="shared" si="546"/>
        <v/>
      </c>
      <c r="M6925" s="7" t="str">
        <f t="shared" si="543"/>
        <v/>
      </c>
      <c r="N6925" s="7" t="str">
        <f t="shared" si="547"/>
        <v/>
      </c>
      <c r="O6925" s="8"/>
      <c r="P6925" s="26"/>
      <c r="S6925" s="10" t="str">
        <f t="shared" si="544"/>
        <v/>
      </c>
    </row>
    <row r="6926" spans="5:19" x14ac:dyDescent="0.3">
      <c r="E6926" s="9" t="str">
        <f>IF(DADOS!C6926="","",DADOS!C6926)</f>
        <v/>
      </c>
      <c r="F6926" s="9" t="str">
        <f>IF(DADOS!E6926="","",DADOS!E6926)</f>
        <v/>
      </c>
      <c r="G6926" s="9" t="str">
        <f>IF(DADOS!F6926="","",DADOS!F6926)</f>
        <v/>
      </c>
      <c r="K6926" s="6" t="str">
        <f t="shared" si="545"/>
        <v/>
      </c>
      <c r="L6926" s="7" t="str">
        <f t="shared" si="546"/>
        <v/>
      </c>
      <c r="M6926" s="7" t="str">
        <f t="shared" si="543"/>
        <v/>
      </c>
      <c r="N6926" s="7" t="str">
        <f t="shared" si="547"/>
        <v/>
      </c>
      <c r="O6926" s="8"/>
      <c r="P6926" s="26"/>
      <c r="S6926" s="10" t="str">
        <f t="shared" si="544"/>
        <v/>
      </c>
    </row>
    <row r="6927" spans="5:19" x14ac:dyDescent="0.3">
      <c r="E6927" s="9" t="str">
        <f>IF(DADOS!C6927="","",DADOS!C6927)</f>
        <v/>
      </c>
      <c r="F6927" s="9" t="str">
        <f>IF(DADOS!E6927="","",DADOS!E6927)</f>
        <v/>
      </c>
      <c r="G6927" s="9" t="str">
        <f>IF(DADOS!F6927="","",DADOS!F6927)</f>
        <v/>
      </c>
      <c r="K6927" s="6" t="str">
        <f t="shared" si="545"/>
        <v/>
      </c>
      <c r="L6927" s="7" t="str">
        <f t="shared" si="546"/>
        <v/>
      </c>
      <c r="M6927" s="7" t="str">
        <f t="shared" si="543"/>
        <v/>
      </c>
      <c r="N6927" s="7" t="str">
        <f t="shared" si="547"/>
        <v/>
      </c>
      <c r="O6927" s="8"/>
      <c r="P6927" s="26"/>
      <c r="S6927" s="10" t="str">
        <f t="shared" si="544"/>
        <v/>
      </c>
    </row>
    <row r="6928" spans="5:19" x14ac:dyDescent="0.3">
      <c r="E6928" s="9" t="str">
        <f>IF(DADOS!C6928="","",DADOS!C6928)</f>
        <v/>
      </c>
      <c r="F6928" s="9" t="str">
        <f>IF(DADOS!E6928="","",DADOS!E6928)</f>
        <v/>
      </c>
      <c r="G6928" s="9" t="str">
        <f>IF(DADOS!F6928="","",DADOS!F6928)</f>
        <v/>
      </c>
      <c r="K6928" s="6" t="str">
        <f t="shared" si="545"/>
        <v/>
      </c>
      <c r="L6928" s="7" t="str">
        <f t="shared" si="546"/>
        <v/>
      </c>
      <c r="M6928" s="7" t="str">
        <f t="shared" si="543"/>
        <v/>
      </c>
      <c r="N6928" s="7" t="str">
        <f t="shared" si="547"/>
        <v/>
      </c>
      <c r="O6928" s="8"/>
      <c r="P6928" s="26"/>
      <c r="S6928" s="10" t="str">
        <f t="shared" si="544"/>
        <v/>
      </c>
    </row>
    <row r="6929" spans="5:19" x14ac:dyDescent="0.3">
      <c r="E6929" s="9" t="str">
        <f>IF(DADOS!C6929="","",DADOS!C6929)</f>
        <v/>
      </c>
      <c r="F6929" s="9" t="str">
        <f>IF(DADOS!E6929="","",DADOS!E6929)</f>
        <v/>
      </c>
      <c r="G6929" s="9" t="str">
        <f>IF(DADOS!F6929="","",DADOS!F6929)</f>
        <v/>
      </c>
      <c r="K6929" s="6" t="str">
        <f t="shared" si="545"/>
        <v/>
      </c>
      <c r="L6929" s="7" t="str">
        <f t="shared" si="546"/>
        <v/>
      </c>
      <c r="M6929" s="7" t="str">
        <f t="shared" si="543"/>
        <v/>
      </c>
      <c r="N6929" s="7" t="str">
        <f t="shared" si="547"/>
        <v/>
      </c>
      <c r="O6929" s="8"/>
      <c r="P6929" s="26"/>
      <c r="S6929" s="10" t="str">
        <f t="shared" si="544"/>
        <v/>
      </c>
    </row>
    <row r="6930" spans="5:19" x14ac:dyDescent="0.3">
      <c r="E6930" s="9" t="str">
        <f>IF(DADOS!C6930="","",DADOS!C6930)</f>
        <v/>
      </c>
      <c r="F6930" s="9" t="str">
        <f>IF(DADOS!E6930="","",DADOS!E6930)</f>
        <v/>
      </c>
      <c r="G6930" s="9" t="str">
        <f>IF(DADOS!F6930="","",DADOS!F6930)</f>
        <v/>
      </c>
      <c r="K6930" s="6" t="str">
        <f t="shared" si="545"/>
        <v/>
      </c>
      <c r="L6930" s="7" t="str">
        <f t="shared" si="546"/>
        <v/>
      </c>
      <c r="M6930" s="7" t="str">
        <f t="shared" si="543"/>
        <v/>
      </c>
      <c r="N6930" s="7" t="str">
        <f t="shared" si="547"/>
        <v/>
      </c>
      <c r="O6930" s="8"/>
      <c r="P6930" s="26"/>
      <c r="S6930" s="10" t="str">
        <f t="shared" si="544"/>
        <v/>
      </c>
    </row>
    <row r="6931" spans="5:19" x14ac:dyDescent="0.3">
      <c r="E6931" s="9" t="str">
        <f>IF(DADOS!C6931="","",DADOS!C6931)</f>
        <v/>
      </c>
      <c r="F6931" s="9" t="str">
        <f>IF(DADOS!E6931="","",DADOS!E6931)</f>
        <v/>
      </c>
      <c r="G6931" s="9" t="str">
        <f>IF(DADOS!F6931="","",DADOS!F6931)</f>
        <v/>
      </c>
      <c r="K6931" s="6" t="str">
        <f t="shared" si="545"/>
        <v/>
      </c>
      <c r="L6931" s="7" t="str">
        <f t="shared" si="546"/>
        <v/>
      </c>
      <c r="M6931" s="7" t="str">
        <f t="shared" si="543"/>
        <v/>
      </c>
      <c r="N6931" s="7" t="str">
        <f t="shared" si="547"/>
        <v/>
      </c>
      <c r="O6931" s="8"/>
      <c r="P6931" s="26"/>
      <c r="S6931" s="10" t="str">
        <f t="shared" si="544"/>
        <v/>
      </c>
    </row>
    <row r="6932" spans="5:19" x14ac:dyDescent="0.3">
      <c r="E6932" s="9" t="str">
        <f>IF(DADOS!C6932="","",DADOS!C6932)</f>
        <v/>
      </c>
      <c r="F6932" s="9" t="str">
        <f>IF(DADOS!E6932="","",DADOS!E6932)</f>
        <v/>
      </c>
      <c r="G6932" s="9" t="str">
        <f>IF(DADOS!F6932="","",DADOS!F6932)</f>
        <v/>
      </c>
      <c r="K6932" s="6" t="str">
        <f t="shared" si="545"/>
        <v/>
      </c>
      <c r="L6932" s="7" t="str">
        <f t="shared" si="546"/>
        <v/>
      </c>
      <c r="M6932" s="7" t="str">
        <f t="shared" si="543"/>
        <v/>
      </c>
      <c r="N6932" s="7" t="str">
        <f t="shared" si="547"/>
        <v/>
      </c>
      <c r="O6932" s="8"/>
      <c r="P6932" s="26"/>
      <c r="S6932" s="10" t="str">
        <f t="shared" si="544"/>
        <v/>
      </c>
    </row>
    <row r="6933" spans="5:19" x14ac:dyDescent="0.3">
      <c r="E6933" s="9" t="str">
        <f>IF(DADOS!C6933="","",DADOS!C6933)</f>
        <v/>
      </c>
      <c r="F6933" s="9" t="str">
        <f>IF(DADOS!E6933="","",DADOS!E6933)</f>
        <v/>
      </c>
      <c r="G6933" s="9" t="str">
        <f>IF(DADOS!F6933="","",DADOS!F6933)</f>
        <v/>
      </c>
      <c r="K6933" s="6" t="str">
        <f t="shared" si="545"/>
        <v/>
      </c>
      <c r="L6933" s="7" t="str">
        <f t="shared" si="546"/>
        <v/>
      </c>
      <c r="M6933" s="7" t="str">
        <f t="shared" si="543"/>
        <v/>
      </c>
      <c r="N6933" s="7" t="str">
        <f t="shared" si="547"/>
        <v/>
      </c>
      <c r="O6933" s="8"/>
      <c r="P6933" s="26"/>
      <c r="S6933" s="10" t="str">
        <f t="shared" si="544"/>
        <v/>
      </c>
    </row>
    <row r="6934" spans="5:19" x14ac:dyDescent="0.3">
      <c r="E6934" s="9" t="str">
        <f>IF(DADOS!C6934="","",DADOS!C6934)</f>
        <v/>
      </c>
      <c r="F6934" s="9" t="str">
        <f>IF(DADOS!E6934="","",DADOS!E6934)</f>
        <v/>
      </c>
      <c r="G6934" s="9" t="str">
        <f>IF(DADOS!F6934="","",DADOS!F6934)</f>
        <v/>
      </c>
      <c r="K6934" s="6" t="str">
        <f t="shared" si="545"/>
        <v/>
      </c>
      <c r="L6934" s="7" t="str">
        <f t="shared" si="546"/>
        <v/>
      </c>
      <c r="M6934" s="7" t="str">
        <f t="shared" si="543"/>
        <v/>
      </c>
      <c r="N6934" s="7" t="str">
        <f t="shared" si="547"/>
        <v/>
      </c>
      <c r="O6934" s="8"/>
      <c r="P6934" s="26"/>
      <c r="S6934" s="10" t="str">
        <f t="shared" si="544"/>
        <v/>
      </c>
    </row>
    <row r="6935" spans="5:19" x14ac:dyDescent="0.3">
      <c r="E6935" s="9" t="str">
        <f>IF(DADOS!C6935="","",DADOS!C6935)</f>
        <v/>
      </c>
      <c r="F6935" s="9" t="str">
        <f>IF(DADOS!E6935="","",DADOS!E6935)</f>
        <v/>
      </c>
      <c r="G6935" s="9" t="str">
        <f>IF(DADOS!F6935="","",DADOS!F6935)</f>
        <v/>
      </c>
      <c r="K6935" s="6" t="str">
        <f t="shared" si="545"/>
        <v/>
      </c>
      <c r="L6935" s="7" t="str">
        <f t="shared" si="546"/>
        <v/>
      </c>
      <c r="M6935" s="7" t="str">
        <f t="shared" si="543"/>
        <v/>
      </c>
      <c r="N6935" s="7" t="str">
        <f t="shared" si="547"/>
        <v/>
      </c>
      <c r="O6935" s="8"/>
      <c r="P6935" s="26"/>
      <c r="S6935" s="10" t="str">
        <f t="shared" si="544"/>
        <v/>
      </c>
    </row>
    <row r="6936" spans="5:19" x14ac:dyDescent="0.3">
      <c r="E6936" s="9" t="str">
        <f>IF(DADOS!C6936="","",DADOS!C6936)</f>
        <v/>
      </c>
      <c r="F6936" s="9" t="str">
        <f>IF(DADOS!E6936="","",DADOS!E6936)</f>
        <v/>
      </c>
      <c r="G6936" s="9" t="str">
        <f>IF(DADOS!F6936="","",DADOS!F6936)</f>
        <v/>
      </c>
      <c r="K6936" s="6" t="str">
        <f t="shared" si="545"/>
        <v/>
      </c>
      <c r="L6936" s="7" t="str">
        <f t="shared" si="546"/>
        <v/>
      </c>
      <c r="M6936" s="7" t="str">
        <f t="shared" si="543"/>
        <v/>
      </c>
      <c r="N6936" s="7" t="str">
        <f t="shared" si="547"/>
        <v/>
      </c>
      <c r="O6936" s="8"/>
      <c r="P6936" s="26"/>
      <c r="S6936" s="10" t="str">
        <f t="shared" si="544"/>
        <v/>
      </c>
    </row>
    <row r="6937" spans="5:19" x14ac:dyDescent="0.3">
      <c r="E6937" s="9" t="str">
        <f>IF(DADOS!C6937="","",DADOS!C6937)</f>
        <v/>
      </c>
      <c r="F6937" s="9" t="str">
        <f>IF(DADOS!E6937="","",DADOS!E6937)</f>
        <v/>
      </c>
      <c r="G6937" s="9" t="str">
        <f>IF(DADOS!F6937="","",DADOS!F6937)</f>
        <v/>
      </c>
      <c r="K6937" s="6" t="str">
        <f t="shared" si="545"/>
        <v/>
      </c>
      <c r="L6937" s="7" t="str">
        <f t="shared" si="546"/>
        <v/>
      </c>
      <c r="M6937" s="7" t="str">
        <f t="shared" si="543"/>
        <v/>
      </c>
      <c r="N6937" s="7" t="str">
        <f t="shared" si="547"/>
        <v/>
      </c>
      <c r="O6937" s="8"/>
      <c r="P6937" s="26"/>
      <c r="S6937" s="10" t="str">
        <f t="shared" si="544"/>
        <v/>
      </c>
    </row>
    <row r="6938" spans="5:19" x14ac:dyDescent="0.3">
      <c r="E6938" s="9" t="str">
        <f>IF(DADOS!C6938="","",DADOS!C6938)</f>
        <v/>
      </c>
      <c r="F6938" s="9" t="str">
        <f>IF(DADOS!E6938="","",DADOS!E6938)</f>
        <v/>
      </c>
      <c r="G6938" s="9" t="str">
        <f>IF(DADOS!F6938="","",DADOS!F6938)</f>
        <v/>
      </c>
      <c r="K6938" s="6" t="str">
        <f t="shared" si="545"/>
        <v/>
      </c>
      <c r="L6938" s="7" t="str">
        <f t="shared" si="546"/>
        <v/>
      </c>
      <c r="M6938" s="7" t="str">
        <f t="shared" si="543"/>
        <v/>
      </c>
      <c r="N6938" s="7" t="str">
        <f t="shared" si="547"/>
        <v/>
      </c>
      <c r="O6938" s="8"/>
      <c r="P6938" s="26"/>
      <c r="S6938" s="10" t="str">
        <f t="shared" si="544"/>
        <v/>
      </c>
    </row>
    <row r="6939" spans="5:19" x14ac:dyDescent="0.3">
      <c r="E6939" s="9" t="str">
        <f>IF(DADOS!C6939="","",DADOS!C6939)</f>
        <v/>
      </c>
      <c r="F6939" s="9" t="str">
        <f>IF(DADOS!E6939="","",DADOS!E6939)</f>
        <v/>
      </c>
      <c r="G6939" s="9" t="str">
        <f>IF(DADOS!F6939="","",DADOS!F6939)</f>
        <v/>
      </c>
      <c r="K6939" s="6" t="str">
        <f t="shared" si="545"/>
        <v/>
      </c>
      <c r="L6939" s="7" t="str">
        <f t="shared" si="546"/>
        <v/>
      </c>
      <c r="M6939" s="7" t="str">
        <f t="shared" si="543"/>
        <v/>
      </c>
      <c r="N6939" s="7" t="str">
        <f t="shared" si="547"/>
        <v/>
      </c>
      <c r="O6939" s="8"/>
      <c r="P6939" s="26"/>
      <c r="S6939" s="10" t="str">
        <f t="shared" si="544"/>
        <v/>
      </c>
    </row>
    <row r="6940" spans="5:19" x14ac:dyDescent="0.3">
      <c r="E6940" s="9" t="str">
        <f>IF(DADOS!C6940="","",DADOS!C6940)</f>
        <v/>
      </c>
      <c r="F6940" s="9" t="str">
        <f>IF(DADOS!E6940="","",DADOS!E6940)</f>
        <v/>
      </c>
      <c r="G6940" s="9" t="str">
        <f>IF(DADOS!F6940="","",DADOS!F6940)</f>
        <v/>
      </c>
      <c r="K6940" s="6" t="str">
        <f t="shared" si="545"/>
        <v/>
      </c>
      <c r="L6940" s="7" t="str">
        <f t="shared" si="546"/>
        <v/>
      </c>
      <c r="M6940" s="7" t="str">
        <f t="shared" si="543"/>
        <v/>
      </c>
      <c r="N6940" s="7" t="str">
        <f t="shared" si="547"/>
        <v/>
      </c>
      <c r="O6940" s="8"/>
      <c r="P6940" s="26"/>
      <c r="S6940" s="10" t="str">
        <f t="shared" si="544"/>
        <v/>
      </c>
    </row>
    <row r="6941" spans="5:19" x14ac:dyDescent="0.3">
      <c r="E6941" s="9" t="str">
        <f>IF(DADOS!C6941="","",DADOS!C6941)</f>
        <v/>
      </c>
      <c r="F6941" s="9" t="str">
        <f>IF(DADOS!E6941="","",DADOS!E6941)</f>
        <v/>
      </c>
      <c r="G6941" s="9" t="str">
        <f>IF(DADOS!F6941="","",DADOS!F6941)</f>
        <v/>
      </c>
      <c r="K6941" s="6" t="str">
        <f t="shared" si="545"/>
        <v/>
      </c>
      <c r="L6941" s="7" t="str">
        <f t="shared" si="546"/>
        <v/>
      </c>
      <c r="M6941" s="7" t="str">
        <f t="shared" si="543"/>
        <v/>
      </c>
      <c r="N6941" s="7" t="str">
        <f t="shared" si="547"/>
        <v/>
      </c>
      <c r="O6941" s="8"/>
      <c r="P6941" s="26"/>
      <c r="S6941" s="10" t="str">
        <f t="shared" si="544"/>
        <v/>
      </c>
    </row>
    <row r="6942" spans="5:19" x14ac:dyDescent="0.3">
      <c r="E6942" s="9" t="str">
        <f>IF(DADOS!C6942="","",DADOS!C6942)</f>
        <v/>
      </c>
      <c r="F6942" s="9" t="str">
        <f>IF(DADOS!E6942="","",DADOS!E6942)</f>
        <v/>
      </c>
      <c r="G6942" s="9" t="str">
        <f>IF(DADOS!F6942="","",DADOS!F6942)</f>
        <v/>
      </c>
      <c r="K6942" s="6" t="str">
        <f t="shared" si="545"/>
        <v/>
      </c>
      <c r="L6942" s="7" t="str">
        <f t="shared" si="546"/>
        <v/>
      </c>
      <c r="M6942" s="7" t="str">
        <f t="shared" si="543"/>
        <v/>
      </c>
      <c r="N6942" s="7" t="str">
        <f t="shared" si="547"/>
        <v/>
      </c>
      <c r="O6942" s="8"/>
      <c r="P6942" s="26"/>
      <c r="S6942" s="10" t="str">
        <f t="shared" si="544"/>
        <v/>
      </c>
    </row>
    <row r="6943" spans="5:19" x14ac:dyDescent="0.3">
      <c r="E6943" s="9" t="str">
        <f>IF(DADOS!C6943="","",DADOS!C6943)</f>
        <v/>
      </c>
      <c r="F6943" s="9" t="str">
        <f>IF(DADOS!E6943="","",DADOS!E6943)</f>
        <v/>
      </c>
      <c r="G6943" s="9" t="str">
        <f>IF(DADOS!F6943="","",DADOS!F6943)</f>
        <v/>
      </c>
      <c r="K6943" s="6" t="str">
        <f t="shared" si="545"/>
        <v/>
      </c>
      <c r="L6943" s="7" t="str">
        <f t="shared" si="546"/>
        <v/>
      </c>
      <c r="M6943" s="7" t="str">
        <f t="shared" si="543"/>
        <v/>
      </c>
      <c r="N6943" s="7" t="str">
        <f t="shared" si="547"/>
        <v/>
      </c>
      <c r="O6943" s="8"/>
      <c r="P6943" s="26"/>
      <c r="S6943" s="10" t="str">
        <f t="shared" si="544"/>
        <v/>
      </c>
    </row>
    <row r="6944" spans="5:19" x14ac:dyDescent="0.3">
      <c r="E6944" s="9" t="str">
        <f>IF(DADOS!C6944="","",DADOS!C6944)</f>
        <v/>
      </c>
      <c r="F6944" s="9" t="str">
        <f>IF(DADOS!E6944="","",DADOS!E6944)</f>
        <v/>
      </c>
      <c r="G6944" s="9" t="str">
        <f>IF(DADOS!F6944="","",DADOS!F6944)</f>
        <v/>
      </c>
      <c r="K6944" s="6" t="str">
        <f t="shared" si="545"/>
        <v/>
      </c>
      <c r="L6944" s="7" t="str">
        <f t="shared" si="546"/>
        <v/>
      </c>
      <c r="M6944" s="7" t="str">
        <f t="shared" si="543"/>
        <v/>
      </c>
      <c r="N6944" s="7" t="str">
        <f t="shared" si="547"/>
        <v/>
      </c>
      <c r="O6944" s="8"/>
      <c r="P6944" s="26"/>
      <c r="S6944" s="10" t="str">
        <f t="shared" si="544"/>
        <v/>
      </c>
    </row>
    <row r="6945" spans="5:19" x14ac:dyDescent="0.3">
      <c r="E6945" s="9" t="str">
        <f>IF(DADOS!C6945="","",DADOS!C6945)</f>
        <v/>
      </c>
      <c r="F6945" s="9" t="str">
        <f>IF(DADOS!E6945="","",DADOS!E6945)</f>
        <v/>
      </c>
      <c r="G6945" s="9" t="str">
        <f>IF(DADOS!F6945="","",DADOS!F6945)</f>
        <v/>
      </c>
      <c r="K6945" s="6" t="str">
        <f t="shared" si="545"/>
        <v/>
      </c>
      <c r="L6945" s="7" t="str">
        <f t="shared" si="546"/>
        <v/>
      </c>
      <c r="M6945" s="7" t="str">
        <f t="shared" si="543"/>
        <v/>
      </c>
      <c r="N6945" s="7" t="str">
        <f t="shared" si="547"/>
        <v/>
      </c>
      <c r="O6945" s="8"/>
      <c r="P6945" s="26"/>
      <c r="S6945" s="10" t="str">
        <f t="shared" si="544"/>
        <v/>
      </c>
    </row>
    <row r="6946" spans="5:19" x14ac:dyDescent="0.3">
      <c r="E6946" s="9" t="str">
        <f>IF(DADOS!C6946="","",DADOS!C6946)</f>
        <v/>
      </c>
      <c r="F6946" s="9" t="str">
        <f>IF(DADOS!E6946="","",DADOS!E6946)</f>
        <v/>
      </c>
      <c r="G6946" s="9" t="str">
        <f>IF(DADOS!F6946="","",DADOS!F6946)</f>
        <v/>
      </c>
      <c r="K6946" s="6" t="str">
        <f t="shared" si="545"/>
        <v/>
      </c>
      <c r="L6946" s="7" t="str">
        <f t="shared" si="546"/>
        <v/>
      </c>
      <c r="M6946" s="7" t="str">
        <f t="shared" si="543"/>
        <v/>
      </c>
      <c r="N6946" s="7" t="str">
        <f t="shared" si="547"/>
        <v/>
      </c>
      <c r="O6946" s="8"/>
      <c r="P6946" s="26"/>
      <c r="S6946" s="10" t="str">
        <f t="shared" si="544"/>
        <v/>
      </c>
    </row>
    <row r="6947" spans="5:19" x14ac:dyDescent="0.3">
      <c r="E6947" s="9" t="str">
        <f>IF(DADOS!C6947="","",DADOS!C6947)</f>
        <v/>
      </c>
      <c r="F6947" s="9" t="str">
        <f>IF(DADOS!E6947="","",DADOS!E6947)</f>
        <v/>
      </c>
      <c r="G6947" s="9" t="str">
        <f>IF(DADOS!F6947="","",DADOS!F6947)</f>
        <v/>
      </c>
      <c r="K6947" s="6" t="str">
        <f t="shared" si="545"/>
        <v/>
      </c>
      <c r="L6947" s="7" t="str">
        <f t="shared" si="546"/>
        <v/>
      </c>
      <c r="M6947" s="7" t="str">
        <f t="shared" si="543"/>
        <v/>
      </c>
      <c r="N6947" s="7" t="str">
        <f t="shared" si="547"/>
        <v/>
      </c>
      <c r="O6947" s="8"/>
      <c r="P6947" s="26"/>
      <c r="S6947" s="10" t="str">
        <f t="shared" si="544"/>
        <v/>
      </c>
    </row>
    <row r="6948" spans="5:19" x14ac:dyDescent="0.3">
      <c r="E6948" s="9" t="str">
        <f>IF(DADOS!C6948="","",DADOS!C6948)</f>
        <v/>
      </c>
      <c r="F6948" s="9" t="str">
        <f>IF(DADOS!E6948="","",DADOS!E6948)</f>
        <v/>
      </c>
      <c r="G6948" s="9" t="str">
        <f>IF(DADOS!F6948="","",DADOS!F6948)</f>
        <v/>
      </c>
      <c r="K6948" s="6" t="str">
        <f t="shared" si="545"/>
        <v/>
      </c>
      <c r="L6948" s="7" t="str">
        <f t="shared" si="546"/>
        <v/>
      </c>
      <c r="M6948" s="7" t="str">
        <f t="shared" si="543"/>
        <v/>
      </c>
      <c r="N6948" s="7" t="str">
        <f t="shared" si="547"/>
        <v/>
      </c>
      <c r="O6948" s="8"/>
      <c r="P6948" s="26"/>
      <c r="S6948" s="10" t="str">
        <f t="shared" si="544"/>
        <v/>
      </c>
    </row>
    <row r="6949" spans="5:19" x14ac:dyDescent="0.3">
      <c r="E6949" s="9" t="str">
        <f>IF(DADOS!C6949="","",DADOS!C6949)</f>
        <v/>
      </c>
      <c r="F6949" s="9" t="str">
        <f>IF(DADOS!E6949="","",DADOS!E6949)</f>
        <v/>
      </c>
      <c r="G6949" s="9" t="str">
        <f>IF(DADOS!F6949="","",DADOS!F6949)</f>
        <v/>
      </c>
      <c r="K6949" s="6" t="str">
        <f t="shared" si="545"/>
        <v/>
      </c>
      <c r="L6949" s="7" t="str">
        <f t="shared" si="546"/>
        <v/>
      </c>
      <c r="M6949" s="7" t="str">
        <f t="shared" si="543"/>
        <v/>
      </c>
      <c r="N6949" s="7" t="str">
        <f t="shared" si="547"/>
        <v/>
      </c>
      <c r="O6949" s="8"/>
      <c r="P6949" s="26"/>
      <c r="S6949" s="10" t="str">
        <f t="shared" si="544"/>
        <v/>
      </c>
    </row>
    <row r="6950" spans="5:19" x14ac:dyDescent="0.3">
      <c r="E6950" s="9" t="str">
        <f>IF(DADOS!C6950="","",DADOS!C6950)</f>
        <v/>
      </c>
      <c r="F6950" s="9" t="str">
        <f>IF(DADOS!E6950="","",DADOS!E6950)</f>
        <v/>
      </c>
      <c r="G6950" s="9" t="str">
        <f>IF(DADOS!F6950="","",DADOS!F6950)</f>
        <v/>
      </c>
      <c r="K6950" s="6" t="str">
        <f t="shared" si="545"/>
        <v/>
      </c>
      <c r="L6950" s="7" t="str">
        <f t="shared" si="546"/>
        <v/>
      </c>
      <c r="M6950" s="7" t="str">
        <f t="shared" si="543"/>
        <v/>
      </c>
      <c r="N6950" s="7" t="str">
        <f t="shared" si="547"/>
        <v/>
      </c>
      <c r="O6950" s="8"/>
      <c r="P6950" s="26"/>
      <c r="S6950" s="10" t="str">
        <f t="shared" si="544"/>
        <v/>
      </c>
    </row>
    <row r="6951" spans="5:19" x14ac:dyDescent="0.3">
      <c r="E6951" s="9" t="str">
        <f>IF(DADOS!C6951="","",DADOS!C6951)</f>
        <v/>
      </c>
      <c r="F6951" s="9" t="str">
        <f>IF(DADOS!E6951="","",DADOS!E6951)</f>
        <v/>
      </c>
      <c r="G6951" s="9" t="str">
        <f>IF(DADOS!F6951="","",DADOS!F6951)</f>
        <v/>
      </c>
      <c r="K6951" s="6" t="str">
        <f t="shared" si="545"/>
        <v/>
      </c>
      <c r="L6951" s="7" t="str">
        <f t="shared" si="546"/>
        <v/>
      </c>
      <c r="M6951" s="7" t="str">
        <f t="shared" si="543"/>
        <v/>
      </c>
      <c r="N6951" s="7" t="str">
        <f t="shared" si="547"/>
        <v/>
      </c>
      <c r="O6951" s="8"/>
      <c r="P6951" s="26"/>
      <c r="S6951" s="10" t="str">
        <f t="shared" si="544"/>
        <v/>
      </c>
    </row>
    <row r="6952" spans="5:19" x14ac:dyDescent="0.3">
      <c r="E6952" s="9" t="str">
        <f>IF(DADOS!C6952="","",DADOS!C6952)</f>
        <v/>
      </c>
      <c r="F6952" s="9" t="str">
        <f>IF(DADOS!E6952="","",DADOS!E6952)</f>
        <v/>
      </c>
      <c r="G6952" s="9" t="str">
        <f>IF(DADOS!F6952="","",DADOS!F6952)</f>
        <v/>
      </c>
      <c r="K6952" s="6" t="str">
        <f t="shared" si="545"/>
        <v/>
      </c>
      <c r="L6952" s="7" t="str">
        <f t="shared" si="546"/>
        <v/>
      </c>
      <c r="M6952" s="7" t="str">
        <f t="shared" si="543"/>
        <v/>
      </c>
      <c r="N6952" s="7" t="str">
        <f t="shared" si="547"/>
        <v/>
      </c>
      <c r="O6952" s="8"/>
      <c r="P6952" s="26"/>
      <c r="S6952" s="10" t="str">
        <f t="shared" si="544"/>
        <v/>
      </c>
    </row>
    <row r="6953" spans="5:19" x14ac:dyDescent="0.3">
      <c r="E6953" s="9" t="str">
        <f>IF(DADOS!C6953="","",DADOS!C6953)</f>
        <v/>
      </c>
      <c r="F6953" s="9" t="str">
        <f>IF(DADOS!E6953="","",DADOS!E6953)</f>
        <v/>
      </c>
      <c r="G6953" s="9" t="str">
        <f>IF(DADOS!F6953="","",DADOS!F6953)</f>
        <v/>
      </c>
      <c r="K6953" s="6" t="str">
        <f t="shared" si="545"/>
        <v/>
      </c>
      <c r="L6953" s="7" t="str">
        <f t="shared" si="546"/>
        <v/>
      </c>
      <c r="M6953" s="7" t="str">
        <f t="shared" si="543"/>
        <v/>
      </c>
      <c r="N6953" s="7" t="str">
        <f t="shared" si="547"/>
        <v/>
      </c>
      <c r="O6953" s="8"/>
      <c r="P6953" s="26"/>
      <c r="S6953" s="10" t="str">
        <f t="shared" si="544"/>
        <v/>
      </c>
    </row>
    <row r="6954" spans="5:19" x14ac:dyDescent="0.3">
      <c r="E6954" s="9" t="str">
        <f>IF(DADOS!C6954="","",DADOS!C6954)</f>
        <v/>
      </c>
      <c r="F6954" s="9" t="str">
        <f>IF(DADOS!E6954="","",DADOS!E6954)</f>
        <v/>
      </c>
      <c r="G6954" s="9" t="str">
        <f>IF(DADOS!F6954="","",DADOS!F6954)</f>
        <v/>
      </c>
      <c r="K6954" s="6" t="str">
        <f t="shared" si="545"/>
        <v/>
      </c>
      <c r="L6954" s="7" t="str">
        <f t="shared" si="546"/>
        <v/>
      </c>
      <c r="M6954" s="7" t="str">
        <f t="shared" si="543"/>
        <v/>
      </c>
      <c r="N6954" s="7" t="str">
        <f t="shared" si="547"/>
        <v/>
      </c>
      <c r="O6954" s="8"/>
      <c r="P6954" s="26"/>
      <c r="S6954" s="10" t="str">
        <f t="shared" si="544"/>
        <v/>
      </c>
    </row>
    <row r="6955" spans="5:19" x14ac:dyDescent="0.3">
      <c r="E6955" s="9" t="str">
        <f>IF(DADOS!C6955="","",DADOS!C6955)</f>
        <v/>
      </c>
      <c r="F6955" s="9" t="str">
        <f>IF(DADOS!E6955="","",DADOS!E6955)</f>
        <v/>
      </c>
      <c r="G6955" s="9" t="str">
        <f>IF(DADOS!F6955="","",DADOS!F6955)</f>
        <v/>
      </c>
      <c r="K6955" s="6" t="str">
        <f t="shared" si="545"/>
        <v/>
      </c>
      <c r="L6955" s="7" t="str">
        <f t="shared" si="546"/>
        <v/>
      </c>
      <c r="M6955" s="7" t="str">
        <f t="shared" si="543"/>
        <v/>
      </c>
      <c r="N6955" s="7" t="str">
        <f t="shared" si="547"/>
        <v/>
      </c>
      <c r="O6955" s="8"/>
      <c r="P6955" s="26"/>
      <c r="S6955" s="10" t="str">
        <f t="shared" si="544"/>
        <v/>
      </c>
    </row>
    <row r="6956" spans="5:19" x14ac:dyDescent="0.3">
      <c r="E6956" s="9" t="str">
        <f>IF(DADOS!C6956="","",DADOS!C6956)</f>
        <v/>
      </c>
      <c r="F6956" s="9" t="str">
        <f>IF(DADOS!E6956="","",DADOS!E6956)</f>
        <v/>
      </c>
      <c r="G6956" s="9" t="str">
        <f>IF(DADOS!F6956="","",DADOS!F6956)</f>
        <v/>
      </c>
      <c r="K6956" s="6" t="str">
        <f t="shared" si="545"/>
        <v/>
      </c>
      <c r="L6956" s="7" t="str">
        <f t="shared" si="546"/>
        <v/>
      </c>
      <c r="M6956" s="7" t="str">
        <f t="shared" si="543"/>
        <v/>
      </c>
      <c r="N6956" s="7" t="str">
        <f t="shared" si="547"/>
        <v/>
      </c>
      <c r="O6956" s="8"/>
      <c r="P6956" s="26"/>
      <c r="S6956" s="10" t="str">
        <f t="shared" si="544"/>
        <v/>
      </c>
    </row>
    <row r="6957" spans="5:19" x14ac:dyDescent="0.3">
      <c r="E6957" s="9" t="str">
        <f>IF(DADOS!C6957="","",DADOS!C6957)</f>
        <v/>
      </c>
      <c r="F6957" s="9" t="str">
        <f>IF(DADOS!E6957="","",DADOS!E6957)</f>
        <v/>
      </c>
      <c r="G6957" s="9" t="str">
        <f>IF(DADOS!F6957="","",DADOS!F6957)</f>
        <v/>
      </c>
      <c r="K6957" s="6" t="str">
        <f t="shared" si="545"/>
        <v/>
      </c>
      <c r="L6957" s="7" t="str">
        <f t="shared" si="546"/>
        <v/>
      </c>
      <c r="M6957" s="7" t="str">
        <f t="shared" si="543"/>
        <v/>
      </c>
      <c r="N6957" s="7" t="str">
        <f t="shared" si="547"/>
        <v/>
      </c>
      <c r="O6957" s="8"/>
      <c r="P6957" s="26"/>
      <c r="S6957" s="10" t="str">
        <f t="shared" si="544"/>
        <v/>
      </c>
    </row>
    <row r="6958" spans="5:19" x14ac:dyDescent="0.3">
      <c r="E6958" s="9" t="str">
        <f>IF(DADOS!C6958="","",DADOS!C6958)</f>
        <v/>
      </c>
      <c r="F6958" s="9" t="str">
        <f>IF(DADOS!E6958="","",DADOS!E6958)</f>
        <v/>
      </c>
      <c r="G6958" s="9" t="str">
        <f>IF(DADOS!F6958="","",DADOS!F6958)</f>
        <v/>
      </c>
      <c r="K6958" s="6" t="str">
        <f t="shared" si="545"/>
        <v/>
      </c>
      <c r="L6958" s="7" t="str">
        <f t="shared" si="546"/>
        <v/>
      </c>
      <c r="M6958" s="7" t="str">
        <f t="shared" si="543"/>
        <v/>
      </c>
      <c r="N6958" s="7" t="str">
        <f t="shared" si="547"/>
        <v/>
      </c>
      <c r="O6958" s="8"/>
      <c r="P6958" s="26"/>
      <c r="S6958" s="10" t="str">
        <f t="shared" si="544"/>
        <v/>
      </c>
    </row>
    <row r="6959" spans="5:19" x14ac:dyDescent="0.3">
      <c r="E6959" s="9" t="str">
        <f>IF(DADOS!C6959="","",DADOS!C6959)</f>
        <v/>
      </c>
      <c r="F6959" s="9" t="str">
        <f>IF(DADOS!E6959="","",DADOS!E6959)</f>
        <v/>
      </c>
      <c r="G6959" s="9" t="str">
        <f>IF(DADOS!F6959="","",DADOS!F6959)</f>
        <v/>
      </c>
      <c r="K6959" s="6" t="str">
        <f t="shared" si="545"/>
        <v/>
      </c>
      <c r="L6959" s="7" t="str">
        <f t="shared" si="546"/>
        <v/>
      </c>
      <c r="M6959" s="7" t="str">
        <f t="shared" si="543"/>
        <v/>
      </c>
      <c r="N6959" s="7" t="str">
        <f t="shared" si="547"/>
        <v/>
      </c>
      <c r="O6959" s="8"/>
      <c r="P6959" s="26"/>
      <c r="S6959" s="10" t="str">
        <f t="shared" si="544"/>
        <v/>
      </c>
    </row>
    <row r="6960" spans="5:19" x14ac:dyDescent="0.3">
      <c r="E6960" s="9" t="str">
        <f>IF(DADOS!C6960="","",DADOS!C6960)</f>
        <v/>
      </c>
      <c r="F6960" s="9" t="str">
        <f>IF(DADOS!E6960="","",DADOS!E6960)</f>
        <v/>
      </c>
      <c r="G6960" s="9" t="str">
        <f>IF(DADOS!F6960="","",DADOS!F6960)</f>
        <v/>
      </c>
      <c r="K6960" s="6" t="str">
        <f t="shared" si="545"/>
        <v/>
      </c>
      <c r="L6960" s="7" t="str">
        <f t="shared" si="546"/>
        <v/>
      </c>
      <c r="M6960" s="7" t="str">
        <f t="shared" si="543"/>
        <v/>
      </c>
      <c r="N6960" s="7" t="str">
        <f t="shared" si="547"/>
        <v/>
      </c>
      <c r="O6960" s="8"/>
      <c r="P6960" s="26"/>
      <c r="S6960" s="10" t="str">
        <f t="shared" si="544"/>
        <v/>
      </c>
    </row>
    <row r="6961" spans="5:19" x14ac:dyDescent="0.3">
      <c r="E6961" s="9" t="str">
        <f>IF(DADOS!C6961="","",DADOS!C6961)</f>
        <v/>
      </c>
      <c r="F6961" s="9" t="str">
        <f>IF(DADOS!E6961="","",DADOS!E6961)</f>
        <v/>
      </c>
      <c r="G6961" s="9" t="str">
        <f>IF(DADOS!F6961="","",DADOS!F6961)</f>
        <v/>
      </c>
      <c r="K6961" s="6" t="str">
        <f t="shared" si="545"/>
        <v/>
      </c>
      <c r="L6961" s="7" t="str">
        <f t="shared" si="546"/>
        <v/>
      </c>
      <c r="M6961" s="7" t="str">
        <f t="shared" si="543"/>
        <v/>
      </c>
      <c r="N6961" s="7" t="str">
        <f t="shared" si="547"/>
        <v/>
      </c>
      <c r="O6961" s="8"/>
      <c r="P6961" s="26"/>
      <c r="S6961" s="10" t="str">
        <f t="shared" si="544"/>
        <v/>
      </c>
    </row>
    <row r="6962" spans="5:19" x14ac:dyDescent="0.3">
      <c r="E6962" s="9" t="str">
        <f>IF(DADOS!C6962="","",DADOS!C6962)</f>
        <v/>
      </c>
      <c r="F6962" s="9" t="str">
        <f>IF(DADOS!E6962="","",DADOS!E6962)</f>
        <v/>
      </c>
      <c r="G6962" s="9" t="str">
        <f>IF(DADOS!F6962="","",DADOS!F6962)</f>
        <v/>
      </c>
      <c r="K6962" s="6" t="str">
        <f t="shared" si="545"/>
        <v/>
      </c>
      <c r="L6962" s="7" t="str">
        <f t="shared" si="546"/>
        <v/>
      </c>
      <c r="M6962" s="7" t="str">
        <f t="shared" si="543"/>
        <v/>
      </c>
      <c r="N6962" s="7" t="str">
        <f t="shared" si="547"/>
        <v/>
      </c>
      <c r="O6962" s="8"/>
      <c r="P6962" s="26"/>
      <c r="S6962" s="10" t="str">
        <f t="shared" si="544"/>
        <v/>
      </c>
    </row>
    <row r="6963" spans="5:19" x14ac:dyDescent="0.3">
      <c r="E6963" s="9" t="str">
        <f>IF(DADOS!C6963="","",DADOS!C6963)</f>
        <v/>
      </c>
      <c r="F6963" s="9" t="str">
        <f>IF(DADOS!E6963="","",DADOS!E6963)</f>
        <v/>
      </c>
      <c r="G6963" s="9" t="str">
        <f>IF(DADOS!F6963="","",DADOS!F6963)</f>
        <v/>
      </c>
      <c r="K6963" s="6" t="str">
        <f t="shared" si="545"/>
        <v/>
      </c>
      <c r="L6963" s="7" t="str">
        <f t="shared" si="546"/>
        <v/>
      </c>
      <c r="M6963" s="7" t="str">
        <f t="shared" si="543"/>
        <v/>
      </c>
      <c r="N6963" s="7" t="str">
        <f t="shared" si="547"/>
        <v/>
      </c>
      <c r="O6963" s="8"/>
      <c r="P6963" s="26"/>
      <c r="S6963" s="10" t="str">
        <f t="shared" si="544"/>
        <v/>
      </c>
    </row>
    <row r="6964" spans="5:19" x14ac:dyDescent="0.3">
      <c r="E6964" s="9" t="str">
        <f>IF(DADOS!C6964="","",DADOS!C6964)</f>
        <v/>
      </c>
      <c r="F6964" s="9" t="str">
        <f>IF(DADOS!E6964="","",DADOS!E6964)</f>
        <v/>
      </c>
      <c r="G6964" s="9" t="str">
        <f>IF(DADOS!F6964="","",DADOS!F6964)</f>
        <v/>
      </c>
      <c r="K6964" s="6" t="str">
        <f t="shared" si="545"/>
        <v/>
      </c>
      <c r="L6964" s="7" t="str">
        <f t="shared" si="546"/>
        <v/>
      </c>
      <c r="M6964" s="7" t="str">
        <f t="shared" si="543"/>
        <v/>
      </c>
      <c r="N6964" s="7" t="str">
        <f t="shared" si="547"/>
        <v/>
      </c>
      <c r="O6964" s="8"/>
      <c r="P6964" s="26"/>
      <c r="S6964" s="10" t="str">
        <f t="shared" si="544"/>
        <v/>
      </c>
    </row>
    <row r="6965" spans="5:19" x14ac:dyDescent="0.3">
      <c r="E6965" s="9" t="str">
        <f>IF(DADOS!C6965="","",DADOS!C6965)</f>
        <v/>
      </c>
      <c r="F6965" s="9" t="str">
        <f>IF(DADOS!E6965="","",DADOS!E6965)</f>
        <v/>
      </c>
      <c r="G6965" s="9" t="str">
        <f>IF(DADOS!F6965="","",DADOS!F6965)</f>
        <v/>
      </c>
      <c r="K6965" s="6" t="str">
        <f t="shared" si="545"/>
        <v/>
      </c>
      <c r="L6965" s="7" t="str">
        <f t="shared" si="546"/>
        <v/>
      </c>
      <c r="M6965" s="7" t="str">
        <f t="shared" si="543"/>
        <v/>
      </c>
      <c r="N6965" s="7" t="str">
        <f t="shared" si="547"/>
        <v/>
      </c>
      <c r="O6965" s="8"/>
      <c r="P6965" s="26"/>
      <c r="S6965" s="10" t="str">
        <f t="shared" si="544"/>
        <v/>
      </c>
    </row>
    <row r="6966" spans="5:19" x14ac:dyDescent="0.3">
      <c r="E6966" s="9" t="str">
        <f>IF(DADOS!C6966="","",DADOS!C6966)</f>
        <v/>
      </c>
      <c r="F6966" s="9" t="str">
        <f>IF(DADOS!E6966="","",DADOS!E6966)</f>
        <v/>
      </c>
      <c r="G6966" s="9" t="str">
        <f>IF(DADOS!F6966="","",DADOS!F6966)</f>
        <v/>
      </c>
      <c r="K6966" s="6" t="str">
        <f t="shared" si="545"/>
        <v/>
      </c>
      <c r="L6966" s="7" t="str">
        <f t="shared" si="546"/>
        <v/>
      </c>
      <c r="M6966" s="7" t="str">
        <f t="shared" si="543"/>
        <v/>
      </c>
      <c r="N6966" s="7" t="str">
        <f t="shared" si="547"/>
        <v/>
      </c>
      <c r="O6966" s="8"/>
      <c r="P6966" s="26"/>
      <c r="S6966" s="10" t="str">
        <f t="shared" si="544"/>
        <v/>
      </c>
    </row>
    <row r="6967" spans="5:19" x14ac:dyDescent="0.3">
      <c r="E6967" s="9" t="str">
        <f>IF(DADOS!C6967="","",DADOS!C6967)</f>
        <v/>
      </c>
      <c r="F6967" s="9" t="str">
        <f>IF(DADOS!E6967="","",DADOS!E6967)</f>
        <v/>
      </c>
      <c r="G6967" s="9" t="str">
        <f>IF(DADOS!F6967="","",DADOS!F6967)</f>
        <v/>
      </c>
      <c r="K6967" s="6" t="str">
        <f t="shared" si="545"/>
        <v/>
      </c>
      <c r="L6967" s="7" t="str">
        <f t="shared" si="546"/>
        <v/>
      </c>
      <c r="M6967" s="7" t="str">
        <f t="shared" si="543"/>
        <v/>
      </c>
      <c r="N6967" s="7" t="str">
        <f t="shared" si="547"/>
        <v/>
      </c>
      <c r="O6967" s="8"/>
      <c r="P6967" s="26"/>
      <c r="S6967" s="10" t="str">
        <f t="shared" si="544"/>
        <v/>
      </c>
    </row>
    <row r="6968" spans="5:19" x14ac:dyDescent="0.3">
      <c r="E6968" s="9" t="str">
        <f>IF(DADOS!C6968="","",DADOS!C6968)</f>
        <v/>
      </c>
      <c r="F6968" s="9" t="str">
        <f>IF(DADOS!E6968="","",DADOS!E6968)</f>
        <v/>
      </c>
      <c r="G6968" s="9" t="str">
        <f>IF(DADOS!F6968="","",DADOS!F6968)</f>
        <v/>
      </c>
      <c r="K6968" s="6" t="str">
        <f t="shared" si="545"/>
        <v/>
      </c>
      <c r="L6968" s="7" t="str">
        <f t="shared" si="546"/>
        <v/>
      </c>
      <c r="M6968" s="7" t="str">
        <f t="shared" si="543"/>
        <v/>
      </c>
      <c r="N6968" s="7" t="str">
        <f t="shared" si="547"/>
        <v/>
      </c>
      <c r="O6968" s="8"/>
      <c r="P6968" s="26"/>
      <c r="S6968" s="10" t="str">
        <f t="shared" si="544"/>
        <v/>
      </c>
    </row>
    <row r="6969" spans="5:19" x14ac:dyDescent="0.3">
      <c r="E6969" s="9" t="str">
        <f>IF(DADOS!C6969="","",DADOS!C6969)</f>
        <v/>
      </c>
      <c r="F6969" s="9" t="str">
        <f>IF(DADOS!E6969="","",DADOS!E6969)</f>
        <v/>
      </c>
      <c r="G6969" s="9" t="str">
        <f>IF(DADOS!F6969="","",DADOS!F6969)</f>
        <v/>
      </c>
      <c r="K6969" s="6" t="str">
        <f t="shared" si="545"/>
        <v/>
      </c>
      <c r="L6969" s="7" t="str">
        <f t="shared" si="546"/>
        <v/>
      </c>
      <c r="M6969" s="7" t="str">
        <f t="shared" si="543"/>
        <v/>
      </c>
      <c r="N6969" s="7" t="str">
        <f t="shared" si="547"/>
        <v/>
      </c>
      <c r="O6969" s="8"/>
      <c r="P6969" s="26"/>
      <c r="S6969" s="10" t="str">
        <f t="shared" si="544"/>
        <v/>
      </c>
    </row>
    <row r="6970" spans="5:19" x14ac:dyDescent="0.3">
      <c r="E6970" s="9" t="str">
        <f>IF(DADOS!C6970="","",DADOS!C6970)</f>
        <v/>
      </c>
      <c r="F6970" s="9" t="str">
        <f>IF(DADOS!E6970="","",DADOS!E6970)</f>
        <v/>
      </c>
      <c r="G6970" s="9" t="str">
        <f>IF(DADOS!F6970="","",DADOS!F6970)</f>
        <v/>
      </c>
      <c r="K6970" s="6" t="str">
        <f t="shared" si="545"/>
        <v/>
      </c>
      <c r="L6970" s="7" t="str">
        <f t="shared" si="546"/>
        <v/>
      </c>
      <c r="M6970" s="7" t="str">
        <f t="shared" si="543"/>
        <v/>
      </c>
      <c r="N6970" s="7" t="str">
        <f t="shared" si="547"/>
        <v/>
      </c>
      <c r="O6970" s="8"/>
      <c r="P6970" s="26"/>
      <c r="S6970" s="10" t="str">
        <f t="shared" si="544"/>
        <v/>
      </c>
    </row>
    <row r="6971" spans="5:19" x14ac:dyDescent="0.3">
      <c r="E6971" s="9" t="str">
        <f>IF(DADOS!C6971="","",DADOS!C6971)</f>
        <v/>
      </c>
      <c r="F6971" s="9" t="str">
        <f>IF(DADOS!E6971="","",DADOS!E6971)</f>
        <v/>
      </c>
      <c r="G6971" s="9" t="str">
        <f>IF(DADOS!F6971="","",DADOS!F6971)</f>
        <v/>
      </c>
      <c r="K6971" s="6" t="str">
        <f t="shared" si="545"/>
        <v/>
      </c>
      <c r="L6971" s="7" t="str">
        <f t="shared" si="546"/>
        <v/>
      </c>
      <c r="M6971" s="7" t="str">
        <f t="shared" si="543"/>
        <v/>
      </c>
      <c r="N6971" s="7" t="str">
        <f t="shared" si="547"/>
        <v/>
      </c>
      <c r="O6971" s="8"/>
      <c r="P6971" s="26"/>
      <c r="S6971" s="10" t="str">
        <f t="shared" si="544"/>
        <v/>
      </c>
    </row>
    <row r="6972" spans="5:19" x14ac:dyDescent="0.3">
      <c r="E6972" s="9" t="str">
        <f>IF(DADOS!C6972="","",DADOS!C6972)</f>
        <v/>
      </c>
      <c r="F6972" s="9" t="str">
        <f>IF(DADOS!E6972="","",DADOS!E6972)</f>
        <v/>
      </c>
      <c r="G6972" s="9" t="str">
        <f>IF(DADOS!F6972="","",DADOS!F6972)</f>
        <v/>
      </c>
      <c r="K6972" s="6" t="str">
        <f t="shared" si="545"/>
        <v/>
      </c>
      <c r="L6972" s="7" t="str">
        <f t="shared" si="546"/>
        <v/>
      </c>
      <c r="M6972" s="7" t="str">
        <f t="shared" si="543"/>
        <v/>
      </c>
      <c r="N6972" s="7" t="str">
        <f t="shared" si="547"/>
        <v/>
      </c>
      <c r="O6972" s="8"/>
      <c r="P6972" s="26"/>
      <c r="S6972" s="10" t="str">
        <f t="shared" si="544"/>
        <v/>
      </c>
    </row>
    <row r="6973" spans="5:19" x14ac:dyDescent="0.3">
      <c r="E6973" s="9" t="str">
        <f>IF(DADOS!C6973="","",DADOS!C6973)</f>
        <v/>
      </c>
      <c r="F6973" s="9" t="str">
        <f>IF(DADOS!E6973="","",DADOS!E6973)</f>
        <v/>
      </c>
      <c r="G6973" s="9" t="str">
        <f>IF(DADOS!F6973="","",DADOS!F6973)</f>
        <v/>
      </c>
      <c r="K6973" s="6" t="str">
        <f t="shared" si="545"/>
        <v/>
      </c>
      <c r="L6973" s="7" t="str">
        <f t="shared" si="546"/>
        <v/>
      </c>
      <c r="M6973" s="7" t="str">
        <f t="shared" si="543"/>
        <v/>
      </c>
      <c r="N6973" s="7" t="str">
        <f t="shared" si="547"/>
        <v/>
      </c>
      <c r="O6973" s="8"/>
      <c r="P6973" s="26"/>
      <c r="S6973" s="10" t="str">
        <f t="shared" si="544"/>
        <v/>
      </c>
    </row>
    <row r="6974" spans="5:19" x14ac:dyDescent="0.3">
      <c r="E6974" s="9" t="str">
        <f>IF(DADOS!C6974="","",DADOS!C6974)</f>
        <v/>
      </c>
      <c r="F6974" s="9" t="str">
        <f>IF(DADOS!E6974="","",DADOS!E6974)</f>
        <v/>
      </c>
      <c r="G6974" s="9" t="str">
        <f>IF(DADOS!F6974="","",DADOS!F6974)</f>
        <v/>
      </c>
      <c r="K6974" s="6" t="str">
        <f t="shared" si="545"/>
        <v/>
      </c>
      <c r="L6974" s="7" t="str">
        <f t="shared" si="546"/>
        <v/>
      </c>
      <c r="M6974" s="7" t="str">
        <f t="shared" si="543"/>
        <v/>
      </c>
      <c r="N6974" s="7" t="str">
        <f t="shared" si="547"/>
        <v/>
      </c>
      <c r="O6974" s="8"/>
      <c r="P6974" s="26"/>
      <c r="S6974" s="10" t="str">
        <f t="shared" si="544"/>
        <v/>
      </c>
    </row>
    <row r="6975" spans="5:19" x14ac:dyDescent="0.3">
      <c r="E6975" s="9" t="str">
        <f>IF(DADOS!C6975="","",DADOS!C6975)</f>
        <v/>
      </c>
      <c r="F6975" s="9" t="str">
        <f>IF(DADOS!E6975="","",DADOS!E6975)</f>
        <v/>
      </c>
      <c r="G6975" s="9" t="str">
        <f>IF(DADOS!F6975="","",DADOS!F6975)</f>
        <v/>
      </c>
      <c r="K6975" s="6" t="str">
        <f t="shared" si="545"/>
        <v/>
      </c>
      <c r="L6975" s="7" t="str">
        <f t="shared" si="546"/>
        <v/>
      </c>
      <c r="M6975" s="7" t="str">
        <f t="shared" si="543"/>
        <v/>
      </c>
      <c r="N6975" s="7" t="str">
        <f t="shared" si="547"/>
        <v/>
      </c>
      <c r="O6975" s="8"/>
      <c r="P6975" s="26"/>
      <c r="S6975" s="10" t="str">
        <f t="shared" si="544"/>
        <v/>
      </c>
    </row>
    <row r="6976" spans="5:19" x14ac:dyDescent="0.3">
      <c r="E6976" s="9" t="str">
        <f>IF(DADOS!C6976="","",DADOS!C6976)</f>
        <v/>
      </c>
      <c r="F6976" s="9" t="str">
        <f>IF(DADOS!E6976="","",DADOS!E6976)</f>
        <v/>
      </c>
      <c r="G6976" s="9" t="str">
        <f>IF(DADOS!F6976="","",DADOS!F6976)</f>
        <v/>
      </c>
      <c r="K6976" s="6" t="str">
        <f t="shared" si="545"/>
        <v/>
      </c>
      <c r="L6976" s="7" t="str">
        <f t="shared" si="546"/>
        <v/>
      </c>
      <c r="M6976" s="7" t="str">
        <f t="shared" si="543"/>
        <v/>
      </c>
      <c r="N6976" s="7" t="str">
        <f t="shared" si="547"/>
        <v/>
      </c>
      <c r="O6976" s="8"/>
      <c r="P6976" s="26"/>
      <c r="S6976" s="10" t="str">
        <f t="shared" si="544"/>
        <v/>
      </c>
    </row>
    <row r="6977" spans="5:19" x14ac:dyDescent="0.3">
      <c r="E6977" s="9" t="str">
        <f>IF(DADOS!C6977="","",DADOS!C6977)</f>
        <v/>
      </c>
      <c r="F6977" s="9" t="str">
        <f>IF(DADOS!E6977="","",DADOS!E6977)</f>
        <v/>
      </c>
      <c r="G6977" s="9" t="str">
        <f>IF(DADOS!F6977="","",DADOS!F6977)</f>
        <v/>
      </c>
      <c r="K6977" s="6" t="str">
        <f t="shared" si="545"/>
        <v/>
      </c>
      <c r="L6977" s="7" t="str">
        <f t="shared" si="546"/>
        <v/>
      </c>
      <c r="M6977" s="7" t="str">
        <f t="shared" si="543"/>
        <v/>
      </c>
      <c r="N6977" s="7" t="str">
        <f t="shared" si="547"/>
        <v/>
      </c>
      <c r="O6977" s="8"/>
      <c r="P6977" s="26"/>
      <c r="S6977" s="10" t="str">
        <f t="shared" si="544"/>
        <v/>
      </c>
    </row>
    <row r="6978" spans="5:19" x14ac:dyDescent="0.3">
      <c r="E6978" s="9" t="str">
        <f>IF(DADOS!C6978="","",DADOS!C6978)</f>
        <v/>
      </c>
      <c r="F6978" s="9" t="str">
        <f>IF(DADOS!E6978="","",DADOS!E6978)</f>
        <v/>
      </c>
      <c r="G6978" s="9" t="str">
        <f>IF(DADOS!F6978="","",DADOS!F6978)</f>
        <v/>
      </c>
      <c r="K6978" s="6" t="str">
        <f t="shared" si="545"/>
        <v/>
      </c>
      <c r="L6978" s="7" t="str">
        <f t="shared" si="546"/>
        <v/>
      </c>
      <c r="M6978" s="7" t="str">
        <f t="shared" si="543"/>
        <v/>
      </c>
      <c r="N6978" s="7" t="str">
        <f t="shared" si="547"/>
        <v/>
      </c>
      <c r="O6978" s="8"/>
      <c r="P6978" s="26"/>
      <c r="S6978" s="10" t="str">
        <f t="shared" si="544"/>
        <v/>
      </c>
    </row>
    <row r="6979" spans="5:19" x14ac:dyDescent="0.3">
      <c r="E6979" s="9" t="str">
        <f>IF(DADOS!C6979="","",DADOS!C6979)</f>
        <v/>
      </c>
      <c r="F6979" s="9" t="str">
        <f>IF(DADOS!E6979="","",DADOS!E6979)</f>
        <v/>
      </c>
      <c r="G6979" s="9" t="str">
        <f>IF(DADOS!F6979="","",DADOS!F6979)</f>
        <v/>
      </c>
      <c r="K6979" s="6" t="str">
        <f t="shared" si="545"/>
        <v/>
      </c>
      <c r="L6979" s="7" t="str">
        <f t="shared" si="546"/>
        <v/>
      </c>
      <c r="M6979" s="7" t="str">
        <f t="shared" ref="M6979:M7042" si="548">IF(L6979="","",L6979*G6979)</f>
        <v/>
      </c>
      <c r="N6979" s="7" t="str">
        <f t="shared" si="547"/>
        <v/>
      </c>
      <c r="O6979" s="8"/>
      <c r="P6979" s="26"/>
      <c r="S6979" s="10" t="str">
        <f t="shared" ref="S6979:S7042" si="549">IF(R6979="","",SUMIFS($N$3:$N$10000,$E$3:$E$10000,R6979))</f>
        <v/>
      </c>
    </row>
    <row r="6980" spans="5:19" x14ac:dyDescent="0.3">
      <c r="E6980" s="9" t="str">
        <f>IF(DADOS!C6980="","",DADOS!C6980)</f>
        <v/>
      </c>
      <c r="F6980" s="9" t="str">
        <f>IF(DADOS!E6980="","",DADOS!E6980)</f>
        <v/>
      </c>
      <c r="G6980" s="9" t="str">
        <f>IF(DADOS!F6980="","",DADOS!F6980)</f>
        <v/>
      </c>
      <c r="K6980" s="6" t="str">
        <f t="shared" ref="K6980:K7043" si="550">IF(F6980="","",F6980/PI())</f>
        <v/>
      </c>
      <c r="L6980" s="7" t="str">
        <f t="shared" ref="L6980:L7043" si="551">IF(K6980="","",(PI()*K6980^2)/40000)</f>
        <v/>
      </c>
      <c r="M6980" s="7" t="str">
        <f t="shared" si="548"/>
        <v/>
      </c>
      <c r="N6980" s="7" t="str">
        <f t="shared" ref="N6980:N7043" si="552">IF(M6980="","",M6980*N$1)</f>
        <v/>
      </c>
      <c r="O6980" s="8"/>
      <c r="P6980" s="26"/>
      <c r="S6980" s="10" t="str">
        <f t="shared" si="549"/>
        <v/>
      </c>
    </row>
    <row r="6981" spans="5:19" x14ac:dyDescent="0.3">
      <c r="E6981" s="9" t="str">
        <f>IF(DADOS!C6981="","",DADOS!C6981)</f>
        <v/>
      </c>
      <c r="F6981" s="9" t="str">
        <f>IF(DADOS!E6981="","",DADOS!E6981)</f>
        <v/>
      </c>
      <c r="G6981" s="9" t="str">
        <f>IF(DADOS!F6981="","",DADOS!F6981)</f>
        <v/>
      </c>
      <c r="K6981" s="6" t="str">
        <f t="shared" si="550"/>
        <v/>
      </c>
      <c r="L6981" s="7" t="str">
        <f t="shared" si="551"/>
        <v/>
      </c>
      <c r="M6981" s="7" t="str">
        <f t="shared" si="548"/>
        <v/>
      </c>
      <c r="N6981" s="7" t="str">
        <f t="shared" si="552"/>
        <v/>
      </c>
      <c r="O6981" s="8"/>
      <c r="P6981" s="26"/>
      <c r="S6981" s="10" t="str">
        <f t="shared" si="549"/>
        <v/>
      </c>
    </row>
    <row r="6982" spans="5:19" x14ac:dyDescent="0.3">
      <c r="E6982" s="9" t="str">
        <f>IF(DADOS!C6982="","",DADOS!C6982)</f>
        <v/>
      </c>
      <c r="F6982" s="9" t="str">
        <f>IF(DADOS!E6982="","",DADOS!E6982)</f>
        <v/>
      </c>
      <c r="G6982" s="9" t="str">
        <f>IF(DADOS!F6982="","",DADOS!F6982)</f>
        <v/>
      </c>
      <c r="K6982" s="6" t="str">
        <f t="shared" si="550"/>
        <v/>
      </c>
      <c r="L6982" s="7" t="str">
        <f t="shared" si="551"/>
        <v/>
      </c>
      <c r="M6982" s="7" t="str">
        <f t="shared" si="548"/>
        <v/>
      </c>
      <c r="N6982" s="7" t="str">
        <f t="shared" si="552"/>
        <v/>
      </c>
      <c r="O6982" s="8"/>
      <c r="P6982" s="26"/>
      <c r="S6982" s="10" t="str">
        <f t="shared" si="549"/>
        <v/>
      </c>
    </row>
    <row r="6983" spans="5:19" x14ac:dyDescent="0.3">
      <c r="E6983" s="9" t="str">
        <f>IF(DADOS!C6983="","",DADOS!C6983)</f>
        <v/>
      </c>
      <c r="F6983" s="9" t="str">
        <f>IF(DADOS!E6983="","",DADOS!E6983)</f>
        <v/>
      </c>
      <c r="G6983" s="9" t="str">
        <f>IF(DADOS!F6983="","",DADOS!F6983)</f>
        <v/>
      </c>
      <c r="K6983" s="6" t="str">
        <f t="shared" si="550"/>
        <v/>
      </c>
      <c r="L6983" s="7" t="str">
        <f t="shared" si="551"/>
        <v/>
      </c>
      <c r="M6983" s="7" t="str">
        <f t="shared" si="548"/>
        <v/>
      </c>
      <c r="N6983" s="7" t="str">
        <f t="shared" si="552"/>
        <v/>
      </c>
      <c r="O6983" s="8"/>
      <c r="P6983" s="26"/>
      <c r="S6983" s="10" t="str">
        <f t="shared" si="549"/>
        <v/>
      </c>
    </row>
    <row r="6984" spans="5:19" x14ac:dyDescent="0.3">
      <c r="E6984" s="9" t="str">
        <f>IF(DADOS!C6984="","",DADOS!C6984)</f>
        <v/>
      </c>
      <c r="F6984" s="9" t="str">
        <f>IF(DADOS!E6984="","",DADOS!E6984)</f>
        <v/>
      </c>
      <c r="G6984" s="9" t="str">
        <f>IF(DADOS!F6984="","",DADOS!F6984)</f>
        <v/>
      </c>
      <c r="K6984" s="6" t="str">
        <f t="shared" si="550"/>
        <v/>
      </c>
      <c r="L6984" s="7" t="str">
        <f t="shared" si="551"/>
        <v/>
      </c>
      <c r="M6984" s="7" t="str">
        <f t="shared" si="548"/>
        <v/>
      </c>
      <c r="N6984" s="7" t="str">
        <f t="shared" si="552"/>
        <v/>
      </c>
      <c r="O6984" s="8"/>
      <c r="P6984" s="26"/>
      <c r="S6984" s="10" t="str">
        <f t="shared" si="549"/>
        <v/>
      </c>
    </row>
    <row r="6985" spans="5:19" x14ac:dyDescent="0.3">
      <c r="E6985" s="9" t="str">
        <f>IF(DADOS!C6985="","",DADOS!C6985)</f>
        <v/>
      </c>
      <c r="F6985" s="9" t="str">
        <f>IF(DADOS!E6985="","",DADOS!E6985)</f>
        <v/>
      </c>
      <c r="G6985" s="9" t="str">
        <f>IF(DADOS!F6985="","",DADOS!F6985)</f>
        <v/>
      </c>
      <c r="K6985" s="6" t="str">
        <f t="shared" si="550"/>
        <v/>
      </c>
      <c r="L6985" s="7" t="str">
        <f t="shared" si="551"/>
        <v/>
      </c>
      <c r="M6985" s="7" t="str">
        <f t="shared" si="548"/>
        <v/>
      </c>
      <c r="N6985" s="7" t="str">
        <f t="shared" si="552"/>
        <v/>
      </c>
      <c r="O6985" s="8"/>
      <c r="P6985" s="26"/>
      <c r="S6985" s="10" t="str">
        <f t="shared" si="549"/>
        <v/>
      </c>
    </row>
    <row r="6986" spans="5:19" x14ac:dyDescent="0.3">
      <c r="E6986" s="9" t="str">
        <f>IF(DADOS!C6986="","",DADOS!C6986)</f>
        <v/>
      </c>
      <c r="F6986" s="9" t="str">
        <f>IF(DADOS!E6986="","",DADOS!E6986)</f>
        <v/>
      </c>
      <c r="G6986" s="9" t="str">
        <f>IF(DADOS!F6986="","",DADOS!F6986)</f>
        <v/>
      </c>
      <c r="K6986" s="6" t="str">
        <f t="shared" si="550"/>
        <v/>
      </c>
      <c r="L6986" s="7" t="str">
        <f t="shared" si="551"/>
        <v/>
      </c>
      <c r="M6986" s="7" t="str">
        <f t="shared" si="548"/>
        <v/>
      </c>
      <c r="N6986" s="7" t="str">
        <f t="shared" si="552"/>
        <v/>
      </c>
      <c r="O6986" s="8"/>
      <c r="P6986" s="26"/>
      <c r="S6986" s="10" t="str">
        <f t="shared" si="549"/>
        <v/>
      </c>
    </row>
    <row r="6987" spans="5:19" x14ac:dyDescent="0.3">
      <c r="E6987" s="9" t="str">
        <f>IF(DADOS!C6987="","",DADOS!C6987)</f>
        <v/>
      </c>
      <c r="F6987" s="9" t="str">
        <f>IF(DADOS!E6987="","",DADOS!E6987)</f>
        <v/>
      </c>
      <c r="G6987" s="9" t="str">
        <f>IF(DADOS!F6987="","",DADOS!F6987)</f>
        <v/>
      </c>
      <c r="K6987" s="6" t="str">
        <f t="shared" si="550"/>
        <v/>
      </c>
      <c r="L6987" s="7" t="str">
        <f t="shared" si="551"/>
        <v/>
      </c>
      <c r="M6987" s="7" t="str">
        <f t="shared" si="548"/>
        <v/>
      </c>
      <c r="N6987" s="7" t="str">
        <f t="shared" si="552"/>
        <v/>
      </c>
      <c r="O6987" s="8"/>
      <c r="P6987" s="26"/>
      <c r="S6987" s="10" t="str">
        <f t="shared" si="549"/>
        <v/>
      </c>
    </row>
    <row r="6988" spans="5:19" x14ac:dyDescent="0.3">
      <c r="E6988" s="9" t="str">
        <f>IF(DADOS!C6988="","",DADOS!C6988)</f>
        <v/>
      </c>
      <c r="F6988" s="9" t="str">
        <f>IF(DADOS!E6988="","",DADOS!E6988)</f>
        <v/>
      </c>
      <c r="G6988" s="9" t="str">
        <f>IF(DADOS!F6988="","",DADOS!F6988)</f>
        <v/>
      </c>
      <c r="K6988" s="6" t="str">
        <f t="shared" si="550"/>
        <v/>
      </c>
      <c r="L6988" s="7" t="str">
        <f t="shared" si="551"/>
        <v/>
      </c>
      <c r="M6988" s="7" t="str">
        <f t="shared" si="548"/>
        <v/>
      </c>
      <c r="N6988" s="7" t="str">
        <f t="shared" si="552"/>
        <v/>
      </c>
      <c r="O6988" s="8"/>
      <c r="P6988" s="26"/>
      <c r="S6988" s="10" t="str">
        <f t="shared" si="549"/>
        <v/>
      </c>
    </row>
    <row r="6989" spans="5:19" x14ac:dyDescent="0.3">
      <c r="E6989" s="9" t="str">
        <f>IF(DADOS!C6989="","",DADOS!C6989)</f>
        <v/>
      </c>
      <c r="F6989" s="9" t="str">
        <f>IF(DADOS!E6989="","",DADOS!E6989)</f>
        <v/>
      </c>
      <c r="G6989" s="9" t="str">
        <f>IF(DADOS!F6989="","",DADOS!F6989)</f>
        <v/>
      </c>
      <c r="K6989" s="6" t="str">
        <f t="shared" si="550"/>
        <v/>
      </c>
      <c r="L6989" s="7" t="str">
        <f t="shared" si="551"/>
        <v/>
      </c>
      <c r="M6989" s="7" t="str">
        <f t="shared" si="548"/>
        <v/>
      </c>
      <c r="N6989" s="7" t="str">
        <f t="shared" si="552"/>
        <v/>
      </c>
      <c r="O6989" s="8"/>
      <c r="P6989" s="26"/>
      <c r="S6989" s="10" t="str">
        <f t="shared" si="549"/>
        <v/>
      </c>
    </row>
    <row r="6990" spans="5:19" x14ac:dyDescent="0.3">
      <c r="E6990" s="9" t="str">
        <f>IF(DADOS!C6990="","",DADOS!C6990)</f>
        <v/>
      </c>
      <c r="F6990" s="9" t="str">
        <f>IF(DADOS!E6990="","",DADOS!E6990)</f>
        <v/>
      </c>
      <c r="G6990" s="9" t="str">
        <f>IF(DADOS!F6990="","",DADOS!F6990)</f>
        <v/>
      </c>
      <c r="K6990" s="6" t="str">
        <f t="shared" si="550"/>
        <v/>
      </c>
      <c r="L6990" s="7" t="str">
        <f t="shared" si="551"/>
        <v/>
      </c>
      <c r="M6990" s="7" t="str">
        <f t="shared" si="548"/>
        <v/>
      </c>
      <c r="N6990" s="7" t="str">
        <f t="shared" si="552"/>
        <v/>
      </c>
      <c r="O6990" s="8"/>
      <c r="P6990" s="26"/>
      <c r="S6990" s="10" t="str">
        <f t="shared" si="549"/>
        <v/>
      </c>
    </row>
    <row r="6991" spans="5:19" x14ac:dyDescent="0.3">
      <c r="E6991" s="9" t="str">
        <f>IF(DADOS!C6991="","",DADOS!C6991)</f>
        <v/>
      </c>
      <c r="F6991" s="9" t="str">
        <f>IF(DADOS!E6991="","",DADOS!E6991)</f>
        <v/>
      </c>
      <c r="G6991" s="9" t="str">
        <f>IF(DADOS!F6991="","",DADOS!F6991)</f>
        <v/>
      </c>
      <c r="K6991" s="6" t="str">
        <f t="shared" si="550"/>
        <v/>
      </c>
      <c r="L6991" s="7" t="str">
        <f t="shared" si="551"/>
        <v/>
      </c>
      <c r="M6991" s="7" t="str">
        <f t="shared" si="548"/>
        <v/>
      </c>
      <c r="N6991" s="7" t="str">
        <f t="shared" si="552"/>
        <v/>
      </c>
      <c r="O6991" s="8"/>
      <c r="P6991" s="26"/>
      <c r="S6991" s="10" t="str">
        <f t="shared" si="549"/>
        <v/>
      </c>
    </row>
    <row r="6992" spans="5:19" x14ac:dyDescent="0.3">
      <c r="E6992" s="9" t="str">
        <f>IF(DADOS!C6992="","",DADOS!C6992)</f>
        <v/>
      </c>
      <c r="F6992" s="9" t="str">
        <f>IF(DADOS!E6992="","",DADOS!E6992)</f>
        <v/>
      </c>
      <c r="G6992" s="9" t="str">
        <f>IF(DADOS!F6992="","",DADOS!F6992)</f>
        <v/>
      </c>
      <c r="K6992" s="6" t="str">
        <f t="shared" si="550"/>
        <v/>
      </c>
      <c r="L6992" s="7" t="str">
        <f t="shared" si="551"/>
        <v/>
      </c>
      <c r="M6992" s="7" t="str">
        <f t="shared" si="548"/>
        <v/>
      </c>
      <c r="N6992" s="7" t="str">
        <f t="shared" si="552"/>
        <v/>
      </c>
      <c r="O6992" s="8"/>
      <c r="P6992" s="26"/>
      <c r="S6992" s="10" t="str">
        <f t="shared" si="549"/>
        <v/>
      </c>
    </row>
    <row r="6993" spans="5:19" x14ac:dyDescent="0.3">
      <c r="E6993" s="9" t="str">
        <f>IF(DADOS!C6993="","",DADOS!C6993)</f>
        <v/>
      </c>
      <c r="F6993" s="9" t="str">
        <f>IF(DADOS!E6993="","",DADOS!E6993)</f>
        <v/>
      </c>
      <c r="G6993" s="9" t="str">
        <f>IF(DADOS!F6993="","",DADOS!F6993)</f>
        <v/>
      </c>
      <c r="K6993" s="6" t="str">
        <f t="shared" si="550"/>
        <v/>
      </c>
      <c r="L6993" s="7" t="str">
        <f t="shared" si="551"/>
        <v/>
      </c>
      <c r="M6993" s="7" t="str">
        <f t="shared" si="548"/>
        <v/>
      </c>
      <c r="N6993" s="7" t="str">
        <f t="shared" si="552"/>
        <v/>
      </c>
      <c r="O6993" s="8"/>
      <c r="P6993" s="26"/>
      <c r="S6993" s="10" t="str">
        <f t="shared" si="549"/>
        <v/>
      </c>
    </row>
    <row r="6994" spans="5:19" x14ac:dyDescent="0.3">
      <c r="E6994" s="9" t="str">
        <f>IF(DADOS!C6994="","",DADOS!C6994)</f>
        <v/>
      </c>
      <c r="F6994" s="9" t="str">
        <f>IF(DADOS!E6994="","",DADOS!E6994)</f>
        <v/>
      </c>
      <c r="G6994" s="9" t="str">
        <f>IF(DADOS!F6994="","",DADOS!F6994)</f>
        <v/>
      </c>
      <c r="K6994" s="6" t="str">
        <f t="shared" si="550"/>
        <v/>
      </c>
      <c r="L6994" s="7" t="str">
        <f t="shared" si="551"/>
        <v/>
      </c>
      <c r="M6994" s="7" t="str">
        <f t="shared" si="548"/>
        <v/>
      </c>
      <c r="N6994" s="7" t="str">
        <f t="shared" si="552"/>
        <v/>
      </c>
      <c r="O6994" s="8"/>
      <c r="P6994" s="26"/>
      <c r="S6994" s="10" t="str">
        <f t="shared" si="549"/>
        <v/>
      </c>
    </row>
    <row r="6995" spans="5:19" x14ac:dyDescent="0.3">
      <c r="E6995" s="9" t="str">
        <f>IF(DADOS!C6995="","",DADOS!C6995)</f>
        <v/>
      </c>
      <c r="F6995" s="9" t="str">
        <f>IF(DADOS!E6995="","",DADOS!E6995)</f>
        <v/>
      </c>
      <c r="G6995" s="9" t="str">
        <f>IF(DADOS!F6995="","",DADOS!F6995)</f>
        <v/>
      </c>
      <c r="K6995" s="6" t="str">
        <f t="shared" si="550"/>
        <v/>
      </c>
      <c r="L6995" s="7" t="str">
        <f t="shared" si="551"/>
        <v/>
      </c>
      <c r="M6995" s="7" t="str">
        <f t="shared" si="548"/>
        <v/>
      </c>
      <c r="N6995" s="7" t="str">
        <f t="shared" si="552"/>
        <v/>
      </c>
      <c r="O6995" s="8"/>
      <c r="P6995" s="26"/>
      <c r="S6995" s="10" t="str">
        <f t="shared" si="549"/>
        <v/>
      </c>
    </row>
    <row r="6996" spans="5:19" x14ac:dyDescent="0.3">
      <c r="E6996" s="9" t="str">
        <f>IF(DADOS!C6996="","",DADOS!C6996)</f>
        <v/>
      </c>
      <c r="F6996" s="9" t="str">
        <f>IF(DADOS!E6996="","",DADOS!E6996)</f>
        <v/>
      </c>
      <c r="G6996" s="9" t="str">
        <f>IF(DADOS!F6996="","",DADOS!F6996)</f>
        <v/>
      </c>
      <c r="K6996" s="6" t="str">
        <f t="shared" si="550"/>
        <v/>
      </c>
      <c r="L6996" s="7" t="str">
        <f t="shared" si="551"/>
        <v/>
      </c>
      <c r="M6996" s="7" t="str">
        <f t="shared" si="548"/>
        <v/>
      </c>
      <c r="N6996" s="7" t="str">
        <f t="shared" si="552"/>
        <v/>
      </c>
      <c r="O6996" s="8"/>
      <c r="P6996" s="26"/>
      <c r="S6996" s="10" t="str">
        <f t="shared" si="549"/>
        <v/>
      </c>
    </row>
    <row r="6997" spans="5:19" x14ac:dyDescent="0.3">
      <c r="E6997" s="9" t="str">
        <f>IF(DADOS!C6997="","",DADOS!C6997)</f>
        <v/>
      </c>
      <c r="F6997" s="9" t="str">
        <f>IF(DADOS!E6997="","",DADOS!E6997)</f>
        <v/>
      </c>
      <c r="G6997" s="9" t="str">
        <f>IF(DADOS!F6997="","",DADOS!F6997)</f>
        <v/>
      </c>
      <c r="K6997" s="6" t="str">
        <f t="shared" si="550"/>
        <v/>
      </c>
      <c r="L6997" s="7" t="str">
        <f t="shared" si="551"/>
        <v/>
      </c>
      <c r="M6997" s="7" t="str">
        <f t="shared" si="548"/>
        <v/>
      </c>
      <c r="N6997" s="7" t="str">
        <f t="shared" si="552"/>
        <v/>
      </c>
      <c r="O6997" s="8"/>
      <c r="P6997" s="26"/>
      <c r="S6997" s="10" t="str">
        <f t="shared" si="549"/>
        <v/>
      </c>
    </row>
    <row r="6998" spans="5:19" x14ac:dyDescent="0.3">
      <c r="E6998" s="9" t="str">
        <f>IF(DADOS!C6998="","",DADOS!C6998)</f>
        <v/>
      </c>
      <c r="F6998" s="9" t="str">
        <f>IF(DADOS!E6998="","",DADOS!E6998)</f>
        <v/>
      </c>
      <c r="G6998" s="9" t="str">
        <f>IF(DADOS!F6998="","",DADOS!F6998)</f>
        <v/>
      </c>
      <c r="K6998" s="6" t="str">
        <f t="shared" si="550"/>
        <v/>
      </c>
      <c r="L6998" s="7" t="str">
        <f t="shared" si="551"/>
        <v/>
      </c>
      <c r="M6998" s="7" t="str">
        <f t="shared" si="548"/>
        <v/>
      </c>
      <c r="N6998" s="7" t="str">
        <f t="shared" si="552"/>
        <v/>
      </c>
      <c r="O6998" s="8"/>
      <c r="P6998" s="26"/>
      <c r="S6998" s="10" t="str">
        <f t="shared" si="549"/>
        <v/>
      </c>
    </row>
    <row r="6999" spans="5:19" x14ac:dyDescent="0.3">
      <c r="E6999" s="9" t="str">
        <f>IF(DADOS!C6999="","",DADOS!C6999)</f>
        <v/>
      </c>
      <c r="F6999" s="9" t="str">
        <f>IF(DADOS!E6999="","",DADOS!E6999)</f>
        <v/>
      </c>
      <c r="G6999" s="9" t="str">
        <f>IF(DADOS!F6999="","",DADOS!F6999)</f>
        <v/>
      </c>
      <c r="K6999" s="6" t="str">
        <f t="shared" si="550"/>
        <v/>
      </c>
      <c r="L6999" s="7" t="str">
        <f t="shared" si="551"/>
        <v/>
      </c>
      <c r="M6999" s="7" t="str">
        <f t="shared" si="548"/>
        <v/>
      </c>
      <c r="N6999" s="7" t="str">
        <f t="shared" si="552"/>
        <v/>
      </c>
      <c r="O6999" s="8"/>
      <c r="P6999" s="26"/>
      <c r="S6999" s="10" t="str">
        <f t="shared" si="549"/>
        <v/>
      </c>
    </row>
    <row r="7000" spans="5:19" x14ac:dyDescent="0.3">
      <c r="E7000" s="9" t="str">
        <f>IF(DADOS!C7000="","",DADOS!C7000)</f>
        <v/>
      </c>
      <c r="F7000" s="9" t="str">
        <f>IF(DADOS!E7000="","",DADOS!E7000)</f>
        <v/>
      </c>
      <c r="G7000" s="9" t="str">
        <f>IF(DADOS!F7000="","",DADOS!F7000)</f>
        <v/>
      </c>
      <c r="K7000" s="6" t="str">
        <f t="shared" si="550"/>
        <v/>
      </c>
      <c r="L7000" s="7" t="str">
        <f t="shared" si="551"/>
        <v/>
      </c>
      <c r="M7000" s="7" t="str">
        <f t="shared" si="548"/>
        <v/>
      </c>
      <c r="N7000" s="7" t="str">
        <f t="shared" si="552"/>
        <v/>
      </c>
      <c r="O7000" s="8"/>
      <c r="P7000" s="26"/>
      <c r="S7000" s="10" t="str">
        <f t="shared" si="549"/>
        <v/>
      </c>
    </row>
    <row r="7001" spans="5:19" x14ac:dyDescent="0.3">
      <c r="E7001" s="9" t="str">
        <f>IF(DADOS!C7001="","",DADOS!C7001)</f>
        <v/>
      </c>
      <c r="F7001" s="9" t="str">
        <f>IF(DADOS!E7001="","",DADOS!E7001)</f>
        <v/>
      </c>
      <c r="G7001" s="9" t="str">
        <f>IF(DADOS!F7001="","",DADOS!F7001)</f>
        <v/>
      </c>
      <c r="K7001" s="6" t="str">
        <f t="shared" si="550"/>
        <v/>
      </c>
      <c r="L7001" s="7" t="str">
        <f t="shared" si="551"/>
        <v/>
      </c>
      <c r="M7001" s="7" t="str">
        <f t="shared" si="548"/>
        <v/>
      </c>
      <c r="N7001" s="7" t="str">
        <f t="shared" si="552"/>
        <v/>
      </c>
      <c r="O7001" s="8"/>
      <c r="P7001" s="26"/>
      <c r="S7001" s="10" t="str">
        <f t="shared" si="549"/>
        <v/>
      </c>
    </row>
    <row r="7002" spans="5:19" x14ac:dyDescent="0.3">
      <c r="E7002" s="9" t="str">
        <f>IF(DADOS!C7002="","",DADOS!C7002)</f>
        <v/>
      </c>
      <c r="F7002" s="9" t="str">
        <f>IF(DADOS!E7002="","",DADOS!E7002)</f>
        <v/>
      </c>
      <c r="G7002" s="9" t="str">
        <f>IF(DADOS!F7002="","",DADOS!F7002)</f>
        <v/>
      </c>
      <c r="K7002" s="6" t="str">
        <f t="shared" si="550"/>
        <v/>
      </c>
      <c r="L7002" s="7" t="str">
        <f t="shared" si="551"/>
        <v/>
      </c>
      <c r="M7002" s="7" t="str">
        <f t="shared" si="548"/>
        <v/>
      </c>
      <c r="N7002" s="7" t="str">
        <f t="shared" si="552"/>
        <v/>
      </c>
      <c r="O7002" s="8"/>
      <c r="P7002" s="26"/>
      <c r="S7002" s="10" t="str">
        <f t="shared" si="549"/>
        <v/>
      </c>
    </row>
    <row r="7003" spans="5:19" x14ac:dyDescent="0.3">
      <c r="E7003" s="9" t="str">
        <f>IF(DADOS!C7003="","",DADOS!C7003)</f>
        <v/>
      </c>
      <c r="F7003" s="9" t="str">
        <f>IF(DADOS!E7003="","",DADOS!E7003)</f>
        <v/>
      </c>
      <c r="G7003" s="9" t="str">
        <f>IF(DADOS!F7003="","",DADOS!F7003)</f>
        <v/>
      </c>
      <c r="K7003" s="6" t="str">
        <f t="shared" si="550"/>
        <v/>
      </c>
      <c r="L7003" s="7" t="str">
        <f t="shared" si="551"/>
        <v/>
      </c>
      <c r="M7003" s="7" t="str">
        <f t="shared" si="548"/>
        <v/>
      </c>
      <c r="N7003" s="7" t="str">
        <f t="shared" si="552"/>
        <v/>
      </c>
      <c r="O7003" s="8"/>
      <c r="P7003" s="26"/>
      <c r="S7003" s="10" t="str">
        <f t="shared" si="549"/>
        <v/>
      </c>
    </row>
    <row r="7004" spans="5:19" x14ac:dyDescent="0.3">
      <c r="E7004" s="9" t="str">
        <f>IF(DADOS!C7004="","",DADOS!C7004)</f>
        <v/>
      </c>
      <c r="F7004" s="9" t="str">
        <f>IF(DADOS!E7004="","",DADOS!E7004)</f>
        <v/>
      </c>
      <c r="G7004" s="9" t="str">
        <f>IF(DADOS!F7004="","",DADOS!F7004)</f>
        <v/>
      </c>
      <c r="K7004" s="6" t="str">
        <f t="shared" si="550"/>
        <v/>
      </c>
      <c r="L7004" s="7" t="str">
        <f t="shared" si="551"/>
        <v/>
      </c>
      <c r="M7004" s="7" t="str">
        <f t="shared" si="548"/>
        <v/>
      </c>
      <c r="N7004" s="7" t="str">
        <f t="shared" si="552"/>
        <v/>
      </c>
      <c r="O7004" s="8"/>
      <c r="P7004" s="26"/>
      <c r="S7004" s="10" t="str">
        <f t="shared" si="549"/>
        <v/>
      </c>
    </row>
    <row r="7005" spans="5:19" x14ac:dyDescent="0.3">
      <c r="E7005" s="9" t="str">
        <f>IF(DADOS!C7005="","",DADOS!C7005)</f>
        <v/>
      </c>
      <c r="F7005" s="9" t="str">
        <f>IF(DADOS!E7005="","",DADOS!E7005)</f>
        <v/>
      </c>
      <c r="G7005" s="9" t="str">
        <f>IF(DADOS!F7005="","",DADOS!F7005)</f>
        <v/>
      </c>
      <c r="K7005" s="6" t="str">
        <f t="shared" si="550"/>
        <v/>
      </c>
      <c r="L7005" s="7" t="str">
        <f t="shared" si="551"/>
        <v/>
      </c>
      <c r="M7005" s="7" t="str">
        <f t="shared" si="548"/>
        <v/>
      </c>
      <c r="N7005" s="7" t="str">
        <f t="shared" si="552"/>
        <v/>
      </c>
      <c r="O7005" s="8"/>
      <c r="P7005" s="26"/>
      <c r="S7005" s="10" t="str">
        <f t="shared" si="549"/>
        <v/>
      </c>
    </row>
    <row r="7006" spans="5:19" x14ac:dyDescent="0.3">
      <c r="E7006" s="9" t="str">
        <f>IF(DADOS!C7006="","",DADOS!C7006)</f>
        <v/>
      </c>
      <c r="F7006" s="9" t="str">
        <f>IF(DADOS!E7006="","",DADOS!E7006)</f>
        <v/>
      </c>
      <c r="G7006" s="9" t="str">
        <f>IF(DADOS!F7006="","",DADOS!F7006)</f>
        <v/>
      </c>
      <c r="K7006" s="6" t="str">
        <f t="shared" si="550"/>
        <v/>
      </c>
      <c r="L7006" s="7" t="str">
        <f t="shared" si="551"/>
        <v/>
      </c>
      <c r="M7006" s="7" t="str">
        <f t="shared" si="548"/>
        <v/>
      </c>
      <c r="N7006" s="7" t="str">
        <f t="shared" si="552"/>
        <v/>
      </c>
      <c r="O7006" s="8"/>
      <c r="P7006" s="26"/>
      <c r="S7006" s="10" t="str">
        <f t="shared" si="549"/>
        <v/>
      </c>
    </row>
    <row r="7007" spans="5:19" x14ac:dyDescent="0.3">
      <c r="E7007" s="9" t="str">
        <f>IF(DADOS!C7007="","",DADOS!C7007)</f>
        <v/>
      </c>
      <c r="F7007" s="9" t="str">
        <f>IF(DADOS!E7007="","",DADOS!E7007)</f>
        <v/>
      </c>
      <c r="G7007" s="9" t="str">
        <f>IF(DADOS!F7007="","",DADOS!F7007)</f>
        <v/>
      </c>
      <c r="K7007" s="6" t="str">
        <f t="shared" si="550"/>
        <v/>
      </c>
      <c r="L7007" s="7" t="str">
        <f t="shared" si="551"/>
        <v/>
      </c>
      <c r="M7007" s="7" t="str">
        <f t="shared" si="548"/>
        <v/>
      </c>
      <c r="N7007" s="7" t="str">
        <f t="shared" si="552"/>
        <v/>
      </c>
      <c r="O7007" s="8"/>
      <c r="P7007" s="26"/>
      <c r="S7007" s="10" t="str">
        <f t="shared" si="549"/>
        <v/>
      </c>
    </row>
    <row r="7008" spans="5:19" x14ac:dyDescent="0.3">
      <c r="E7008" s="9" t="str">
        <f>IF(DADOS!C7008="","",DADOS!C7008)</f>
        <v/>
      </c>
      <c r="F7008" s="9" t="str">
        <f>IF(DADOS!E7008="","",DADOS!E7008)</f>
        <v/>
      </c>
      <c r="G7008" s="9" t="str">
        <f>IF(DADOS!F7008="","",DADOS!F7008)</f>
        <v/>
      </c>
      <c r="K7008" s="6" t="str">
        <f t="shared" si="550"/>
        <v/>
      </c>
      <c r="L7008" s="7" t="str">
        <f t="shared" si="551"/>
        <v/>
      </c>
      <c r="M7008" s="7" t="str">
        <f t="shared" si="548"/>
        <v/>
      </c>
      <c r="N7008" s="7" t="str">
        <f t="shared" si="552"/>
        <v/>
      </c>
      <c r="O7008" s="8"/>
      <c r="P7008" s="26"/>
      <c r="S7008" s="10" t="str">
        <f t="shared" si="549"/>
        <v/>
      </c>
    </row>
    <row r="7009" spans="5:19" x14ac:dyDescent="0.3">
      <c r="E7009" s="9" t="str">
        <f>IF(DADOS!C7009="","",DADOS!C7009)</f>
        <v/>
      </c>
      <c r="F7009" s="9" t="str">
        <f>IF(DADOS!E7009="","",DADOS!E7009)</f>
        <v/>
      </c>
      <c r="G7009" s="9" t="str">
        <f>IF(DADOS!F7009="","",DADOS!F7009)</f>
        <v/>
      </c>
      <c r="K7009" s="6" t="str">
        <f t="shared" si="550"/>
        <v/>
      </c>
      <c r="L7009" s="7" t="str">
        <f t="shared" si="551"/>
        <v/>
      </c>
      <c r="M7009" s="7" t="str">
        <f t="shared" si="548"/>
        <v/>
      </c>
      <c r="N7009" s="7" t="str">
        <f t="shared" si="552"/>
        <v/>
      </c>
      <c r="O7009" s="8"/>
      <c r="P7009" s="26"/>
      <c r="S7009" s="10" t="str">
        <f t="shared" si="549"/>
        <v/>
      </c>
    </row>
    <row r="7010" spans="5:19" x14ac:dyDescent="0.3">
      <c r="E7010" s="9" t="str">
        <f>IF(DADOS!C7010="","",DADOS!C7010)</f>
        <v/>
      </c>
      <c r="F7010" s="9" t="str">
        <f>IF(DADOS!E7010="","",DADOS!E7010)</f>
        <v/>
      </c>
      <c r="G7010" s="9" t="str">
        <f>IF(DADOS!F7010="","",DADOS!F7010)</f>
        <v/>
      </c>
      <c r="K7010" s="6" t="str">
        <f t="shared" si="550"/>
        <v/>
      </c>
      <c r="L7010" s="7" t="str">
        <f t="shared" si="551"/>
        <v/>
      </c>
      <c r="M7010" s="7" t="str">
        <f t="shared" si="548"/>
        <v/>
      </c>
      <c r="N7010" s="7" t="str">
        <f t="shared" si="552"/>
        <v/>
      </c>
      <c r="O7010" s="8"/>
      <c r="P7010" s="26"/>
      <c r="S7010" s="10" t="str">
        <f t="shared" si="549"/>
        <v/>
      </c>
    </row>
    <row r="7011" spans="5:19" x14ac:dyDescent="0.3">
      <c r="E7011" s="9" t="str">
        <f>IF(DADOS!C7011="","",DADOS!C7011)</f>
        <v/>
      </c>
      <c r="F7011" s="9" t="str">
        <f>IF(DADOS!E7011="","",DADOS!E7011)</f>
        <v/>
      </c>
      <c r="G7011" s="9" t="str">
        <f>IF(DADOS!F7011="","",DADOS!F7011)</f>
        <v/>
      </c>
      <c r="K7011" s="6" t="str">
        <f t="shared" si="550"/>
        <v/>
      </c>
      <c r="L7011" s="7" t="str">
        <f t="shared" si="551"/>
        <v/>
      </c>
      <c r="M7011" s="7" t="str">
        <f t="shared" si="548"/>
        <v/>
      </c>
      <c r="N7011" s="7" t="str">
        <f t="shared" si="552"/>
        <v/>
      </c>
      <c r="O7011" s="8"/>
      <c r="P7011" s="26"/>
      <c r="S7011" s="10" t="str">
        <f t="shared" si="549"/>
        <v/>
      </c>
    </row>
    <row r="7012" spans="5:19" x14ac:dyDescent="0.3">
      <c r="E7012" s="9" t="str">
        <f>IF(DADOS!C7012="","",DADOS!C7012)</f>
        <v/>
      </c>
      <c r="F7012" s="9" t="str">
        <f>IF(DADOS!E7012="","",DADOS!E7012)</f>
        <v/>
      </c>
      <c r="G7012" s="9" t="str">
        <f>IF(DADOS!F7012="","",DADOS!F7012)</f>
        <v/>
      </c>
      <c r="K7012" s="6" t="str">
        <f t="shared" si="550"/>
        <v/>
      </c>
      <c r="L7012" s="7" t="str">
        <f t="shared" si="551"/>
        <v/>
      </c>
      <c r="M7012" s="7" t="str">
        <f t="shared" si="548"/>
        <v/>
      </c>
      <c r="N7012" s="7" t="str">
        <f t="shared" si="552"/>
        <v/>
      </c>
      <c r="O7012" s="8"/>
      <c r="P7012" s="26"/>
      <c r="S7012" s="10" t="str">
        <f t="shared" si="549"/>
        <v/>
      </c>
    </row>
    <row r="7013" spans="5:19" x14ac:dyDescent="0.3">
      <c r="E7013" s="9" t="str">
        <f>IF(DADOS!C7013="","",DADOS!C7013)</f>
        <v/>
      </c>
      <c r="F7013" s="9" t="str">
        <f>IF(DADOS!E7013="","",DADOS!E7013)</f>
        <v/>
      </c>
      <c r="G7013" s="9" t="str">
        <f>IF(DADOS!F7013="","",DADOS!F7013)</f>
        <v/>
      </c>
      <c r="K7013" s="6" t="str">
        <f t="shared" si="550"/>
        <v/>
      </c>
      <c r="L7013" s="7" t="str">
        <f t="shared" si="551"/>
        <v/>
      </c>
      <c r="M7013" s="7" t="str">
        <f t="shared" si="548"/>
        <v/>
      </c>
      <c r="N7013" s="7" t="str">
        <f t="shared" si="552"/>
        <v/>
      </c>
      <c r="O7013" s="8"/>
      <c r="P7013" s="26"/>
      <c r="S7013" s="10" t="str">
        <f t="shared" si="549"/>
        <v/>
      </c>
    </row>
    <row r="7014" spans="5:19" x14ac:dyDescent="0.3">
      <c r="E7014" s="9" t="str">
        <f>IF(DADOS!C7014="","",DADOS!C7014)</f>
        <v/>
      </c>
      <c r="F7014" s="9" t="str">
        <f>IF(DADOS!E7014="","",DADOS!E7014)</f>
        <v/>
      </c>
      <c r="G7014" s="9" t="str">
        <f>IF(DADOS!F7014="","",DADOS!F7014)</f>
        <v/>
      </c>
      <c r="K7014" s="6" t="str">
        <f t="shared" si="550"/>
        <v/>
      </c>
      <c r="L7014" s="7" t="str">
        <f t="shared" si="551"/>
        <v/>
      </c>
      <c r="M7014" s="7" t="str">
        <f t="shared" si="548"/>
        <v/>
      </c>
      <c r="N7014" s="7" t="str">
        <f t="shared" si="552"/>
        <v/>
      </c>
      <c r="O7014" s="8"/>
      <c r="P7014" s="26"/>
      <c r="S7014" s="10" t="str">
        <f t="shared" si="549"/>
        <v/>
      </c>
    </row>
    <row r="7015" spans="5:19" x14ac:dyDescent="0.3">
      <c r="E7015" s="9" t="str">
        <f>IF(DADOS!C7015="","",DADOS!C7015)</f>
        <v/>
      </c>
      <c r="F7015" s="9" t="str">
        <f>IF(DADOS!E7015="","",DADOS!E7015)</f>
        <v/>
      </c>
      <c r="G7015" s="9" t="str">
        <f>IF(DADOS!F7015="","",DADOS!F7015)</f>
        <v/>
      </c>
      <c r="K7015" s="6" t="str">
        <f t="shared" si="550"/>
        <v/>
      </c>
      <c r="L7015" s="7" t="str">
        <f t="shared" si="551"/>
        <v/>
      </c>
      <c r="M7015" s="7" t="str">
        <f t="shared" si="548"/>
        <v/>
      </c>
      <c r="N7015" s="7" t="str">
        <f t="shared" si="552"/>
        <v/>
      </c>
      <c r="O7015" s="8"/>
      <c r="P7015" s="26"/>
      <c r="S7015" s="10" t="str">
        <f t="shared" si="549"/>
        <v/>
      </c>
    </row>
    <row r="7016" spans="5:19" x14ac:dyDescent="0.3">
      <c r="E7016" s="9" t="str">
        <f>IF(DADOS!C7016="","",DADOS!C7016)</f>
        <v/>
      </c>
      <c r="F7016" s="9" t="str">
        <f>IF(DADOS!E7016="","",DADOS!E7016)</f>
        <v/>
      </c>
      <c r="G7016" s="9" t="str">
        <f>IF(DADOS!F7016="","",DADOS!F7016)</f>
        <v/>
      </c>
      <c r="K7016" s="6" t="str">
        <f t="shared" si="550"/>
        <v/>
      </c>
      <c r="L7016" s="7" t="str">
        <f t="shared" si="551"/>
        <v/>
      </c>
      <c r="M7016" s="7" t="str">
        <f t="shared" si="548"/>
        <v/>
      </c>
      <c r="N7016" s="7" t="str">
        <f t="shared" si="552"/>
        <v/>
      </c>
      <c r="O7016" s="8"/>
      <c r="P7016" s="26"/>
      <c r="S7016" s="10" t="str">
        <f t="shared" si="549"/>
        <v/>
      </c>
    </row>
    <row r="7017" spans="5:19" x14ac:dyDescent="0.3">
      <c r="E7017" s="9" t="str">
        <f>IF(DADOS!C7017="","",DADOS!C7017)</f>
        <v/>
      </c>
      <c r="F7017" s="9" t="str">
        <f>IF(DADOS!E7017="","",DADOS!E7017)</f>
        <v/>
      </c>
      <c r="G7017" s="9" t="str">
        <f>IF(DADOS!F7017="","",DADOS!F7017)</f>
        <v/>
      </c>
      <c r="K7017" s="6" t="str">
        <f t="shared" si="550"/>
        <v/>
      </c>
      <c r="L7017" s="7" t="str">
        <f t="shared" si="551"/>
        <v/>
      </c>
      <c r="M7017" s="7" t="str">
        <f t="shared" si="548"/>
        <v/>
      </c>
      <c r="N7017" s="7" t="str">
        <f t="shared" si="552"/>
        <v/>
      </c>
      <c r="O7017" s="8"/>
      <c r="P7017" s="26"/>
      <c r="S7017" s="10" t="str">
        <f t="shared" si="549"/>
        <v/>
      </c>
    </row>
    <row r="7018" spans="5:19" x14ac:dyDescent="0.3">
      <c r="E7018" s="9" t="str">
        <f>IF(DADOS!C7018="","",DADOS!C7018)</f>
        <v/>
      </c>
      <c r="F7018" s="9" t="str">
        <f>IF(DADOS!E7018="","",DADOS!E7018)</f>
        <v/>
      </c>
      <c r="G7018" s="9" t="str">
        <f>IF(DADOS!F7018="","",DADOS!F7018)</f>
        <v/>
      </c>
      <c r="K7018" s="6" t="str">
        <f t="shared" si="550"/>
        <v/>
      </c>
      <c r="L7018" s="7" t="str">
        <f t="shared" si="551"/>
        <v/>
      </c>
      <c r="M7018" s="7" t="str">
        <f t="shared" si="548"/>
        <v/>
      </c>
      <c r="N7018" s="7" t="str">
        <f t="shared" si="552"/>
        <v/>
      </c>
      <c r="O7018" s="8"/>
      <c r="P7018" s="26"/>
      <c r="S7018" s="10" t="str">
        <f t="shared" si="549"/>
        <v/>
      </c>
    </row>
    <row r="7019" spans="5:19" x14ac:dyDescent="0.3">
      <c r="E7019" s="9" t="str">
        <f>IF(DADOS!C7019="","",DADOS!C7019)</f>
        <v/>
      </c>
      <c r="F7019" s="9" t="str">
        <f>IF(DADOS!E7019="","",DADOS!E7019)</f>
        <v/>
      </c>
      <c r="G7019" s="9" t="str">
        <f>IF(DADOS!F7019="","",DADOS!F7019)</f>
        <v/>
      </c>
      <c r="K7019" s="6" t="str">
        <f t="shared" si="550"/>
        <v/>
      </c>
      <c r="L7019" s="7" t="str">
        <f t="shared" si="551"/>
        <v/>
      </c>
      <c r="M7019" s="7" t="str">
        <f t="shared" si="548"/>
        <v/>
      </c>
      <c r="N7019" s="7" t="str">
        <f t="shared" si="552"/>
        <v/>
      </c>
      <c r="O7019" s="8"/>
      <c r="P7019" s="26"/>
      <c r="S7019" s="10" t="str">
        <f t="shared" si="549"/>
        <v/>
      </c>
    </row>
    <row r="7020" spans="5:19" x14ac:dyDescent="0.3">
      <c r="E7020" s="9" t="str">
        <f>IF(DADOS!C7020="","",DADOS!C7020)</f>
        <v/>
      </c>
      <c r="F7020" s="9" t="str">
        <f>IF(DADOS!E7020="","",DADOS!E7020)</f>
        <v/>
      </c>
      <c r="G7020" s="9" t="str">
        <f>IF(DADOS!F7020="","",DADOS!F7020)</f>
        <v/>
      </c>
      <c r="K7020" s="6" t="str">
        <f t="shared" si="550"/>
        <v/>
      </c>
      <c r="L7020" s="7" t="str">
        <f t="shared" si="551"/>
        <v/>
      </c>
      <c r="M7020" s="7" t="str">
        <f t="shared" si="548"/>
        <v/>
      </c>
      <c r="N7020" s="7" t="str">
        <f t="shared" si="552"/>
        <v/>
      </c>
      <c r="O7020" s="8"/>
      <c r="P7020" s="26"/>
      <c r="S7020" s="10" t="str">
        <f t="shared" si="549"/>
        <v/>
      </c>
    </row>
    <row r="7021" spans="5:19" x14ac:dyDescent="0.3">
      <c r="E7021" s="9" t="str">
        <f>IF(DADOS!C7021="","",DADOS!C7021)</f>
        <v/>
      </c>
      <c r="F7021" s="9" t="str">
        <f>IF(DADOS!E7021="","",DADOS!E7021)</f>
        <v/>
      </c>
      <c r="G7021" s="9" t="str">
        <f>IF(DADOS!F7021="","",DADOS!F7021)</f>
        <v/>
      </c>
      <c r="K7021" s="6" t="str">
        <f t="shared" si="550"/>
        <v/>
      </c>
      <c r="L7021" s="7" t="str">
        <f t="shared" si="551"/>
        <v/>
      </c>
      <c r="M7021" s="7" t="str">
        <f t="shared" si="548"/>
        <v/>
      </c>
      <c r="N7021" s="7" t="str">
        <f t="shared" si="552"/>
        <v/>
      </c>
      <c r="O7021" s="8"/>
      <c r="P7021" s="26"/>
      <c r="S7021" s="10" t="str">
        <f t="shared" si="549"/>
        <v/>
      </c>
    </row>
    <row r="7022" spans="5:19" x14ac:dyDescent="0.3">
      <c r="E7022" s="9" t="str">
        <f>IF(DADOS!C7022="","",DADOS!C7022)</f>
        <v/>
      </c>
      <c r="F7022" s="9" t="str">
        <f>IF(DADOS!E7022="","",DADOS!E7022)</f>
        <v/>
      </c>
      <c r="G7022" s="9" t="str">
        <f>IF(DADOS!F7022="","",DADOS!F7022)</f>
        <v/>
      </c>
      <c r="K7022" s="6" t="str">
        <f t="shared" si="550"/>
        <v/>
      </c>
      <c r="L7022" s="7" t="str">
        <f t="shared" si="551"/>
        <v/>
      </c>
      <c r="M7022" s="7" t="str">
        <f t="shared" si="548"/>
        <v/>
      </c>
      <c r="N7022" s="7" t="str">
        <f t="shared" si="552"/>
        <v/>
      </c>
      <c r="O7022" s="8"/>
      <c r="P7022" s="26"/>
      <c r="S7022" s="10" t="str">
        <f t="shared" si="549"/>
        <v/>
      </c>
    </row>
    <row r="7023" spans="5:19" x14ac:dyDescent="0.3">
      <c r="E7023" s="9" t="str">
        <f>IF(DADOS!C7023="","",DADOS!C7023)</f>
        <v/>
      </c>
      <c r="F7023" s="9" t="str">
        <f>IF(DADOS!E7023="","",DADOS!E7023)</f>
        <v/>
      </c>
      <c r="G7023" s="9" t="str">
        <f>IF(DADOS!F7023="","",DADOS!F7023)</f>
        <v/>
      </c>
      <c r="K7023" s="6" t="str">
        <f t="shared" si="550"/>
        <v/>
      </c>
      <c r="L7023" s="7" t="str">
        <f t="shared" si="551"/>
        <v/>
      </c>
      <c r="M7023" s="7" t="str">
        <f t="shared" si="548"/>
        <v/>
      </c>
      <c r="N7023" s="7" t="str">
        <f t="shared" si="552"/>
        <v/>
      </c>
      <c r="O7023" s="8"/>
      <c r="P7023" s="26"/>
      <c r="S7023" s="10" t="str">
        <f t="shared" si="549"/>
        <v/>
      </c>
    </row>
    <row r="7024" spans="5:19" x14ac:dyDescent="0.3">
      <c r="E7024" s="9" t="str">
        <f>IF(DADOS!C7024="","",DADOS!C7024)</f>
        <v/>
      </c>
      <c r="F7024" s="9" t="str">
        <f>IF(DADOS!E7024="","",DADOS!E7024)</f>
        <v/>
      </c>
      <c r="G7024" s="9" t="str">
        <f>IF(DADOS!F7024="","",DADOS!F7024)</f>
        <v/>
      </c>
      <c r="K7024" s="6" t="str">
        <f t="shared" si="550"/>
        <v/>
      </c>
      <c r="L7024" s="7" t="str">
        <f t="shared" si="551"/>
        <v/>
      </c>
      <c r="M7024" s="7" t="str">
        <f t="shared" si="548"/>
        <v/>
      </c>
      <c r="N7024" s="7" t="str">
        <f t="shared" si="552"/>
        <v/>
      </c>
      <c r="O7024" s="8"/>
      <c r="P7024" s="26"/>
      <c r="S7024" s="10" t="str">
        <f t="shared" si="549"/>
        <v/>
      </c>
    </row>
    <row r="7025" spans="5:19" x14ac:dyDescent="0.3">
      <c r="E7025" s="9" t="str">
        <f>IF(DADOS!C7025="","",DADOS!C7025)</f>
        <v/>
      </c>
      <c r="F7025" s="9" t="str">
        <f>IF(DADOS!E7025="","",DADOS!E7025)</f>
        <v/>
      </c>
      <c r="G7025" s="9" t="str">
        <f>IF(DADOS!F7025="","",DADOS!F7025)</f>
        <v/>
      </c>
      <c r="K7025" s="6" t="str">
        <f t="shared" si="550"/>
        <v/>
      </c>
      <c r="L7025" s="7" t="str">
        <f t="shared" si="551"/>
        <v/>
      </c>
      <c r="M7025" s="7" t="str">
        <f t="shared" si="548"/>
        <v/>
      </c>
      <c r="N7025" s="7" t="str">
        <f t="shared" si="552"/>
        <v/>
      </c>
      <c r="O7025" s="8"/>
      <c r="P7025" s="26"/>
      <c r="S7025" s="10" t="str">
        <f t="shared" si="549"/>
        <v/>
      </c>
    </row>
    <row r="7026" spans="5:19" x14ac:dyDescent="0.3">
      <c r="E7026" s="9" t="str">
        <f>IF(DADOS!C7026="","",DADOS!C7026)</f>
        <v/>
      </c>
      <c r="F7026" s="9" t="str">
        <f>IF(DADOS!E7026="","",DADOS!E7026)</f>
        <v/>
      </c>
      <c r="G7026" s="9" t="str">
        <f>IF(DADOS!F7026="","",DADOS!F7026)</f>
        <v/>
      </c>
      <c r="K7026" s="6" t="str">
        <f t="shared" si="550"/>
        <v/>
      </c>
      <c r="L7026" s="7" t="str">
        <f t="shared" si="551"/>
        <v/>
      </c>
      <c r="M7026" s="7" t="str">
        <f t="shared" si="548"/>
        <v/>
      </c>
      <c r="N7026" s="7" t="str">
        <f t="shared" si="552"/>
        <v/>
      </c>
      <c r="O7026" s="8"/>
      <c r="P7026" s="26"/>
      <c r="S7026" s="10" t="str">
        <f t="shared" si="549"/>
        <v/>
      </c>
    </row>
    <row r="7027" spans="5:19" x14ac:dyDescent="0.3">
      <c r="E7027" s="9" t="str">
        <f>IF(DADOS!C7027="","",DADOS!C7027)</f>
        <v/>
      </c>
      <c r="F7027" s="9" t="str">
        <f>IF(DADOS!E7027="","",DADOS!E7027)</f>
        <v/>
      </c>
      <c r="G7027" s="9" t="str">
        <f>IF(DADOS!F7027="","",DADOS!F7027)</f>
        <v/>
      </c>
      <c r="K7027" s="6" t="str">
        <f t="shared" si="550"/>
        <v/>
      </c>
      <c r="L7027" s="7" t="str">
        <f t="shared" si="551"/>
        <v/>
      </c>
      <c r="M7027" s="7" t="str">
        <f t="shared" si="548"/>
        <v/>
      </c>
      <c r="N7027" s="7" t="str">
        <f t="shared" si="552"/>
        <v/>
      </c>
      <c r="O7027" s="8"/>
      <c r="P7027" s="26"/>
      <c r="S7027" s="10" t="str">
        <f t="shared" si="549"/>
        <v/>
      </c>
    </row>
    <row r="7028" spans="5:19" x14ac:dyDescent="0.3">
      <c r="E7028" s="9" t="str">
        <f>IF(DADOS!C7028="","",DADOS!C7028)</f>
        <v/>
      </c>
      <c r="F7028" s="9" t="str">
        <f>IF(DADOS!E7028="","",DADOS!E7028)</f>
        <v/>
      </c>
      <c r="G7028" s="9" t="str">
        <f>IF(DADOS!F7028="","",DADOS!F7028)</f>
        <v/>
      </c>
      <c r="K7028" s="6" t="str">
        <f t="shared" si="550"/>
        <v/>
      </c>
      <c r="L7028" s="7" t="str">
        <f t="shared" si="551"/>
        <v/>
      </c>
      <c r="M7028" s="7" t="str">
        <f t="shared" si="548"/>
        <v/>
      </c>
      <c r="N7028" s="7" t="str">
        <f t="shared" si="552"/>
        <v/>
      </c>
      <c r="O7028" s="8"/>
      <c r="P7028" s="26"/>
      <c r="S7028" s="10" t="str">
        <f t="shared" si="549"/>
        <v/>
      </c>
    </row>
    <row r="7029" spans="5:19" x14ac:dyDescent="0.3">
      <c r="E7029" s="9" t="str">
        <f>IF(DADOS!C7029="","",DADOS!C7029)</f>
        <v/>
      </c>
      <c r="F7029" s="9" t="str">
        <f>IF(DADOS!E7029="","",DADOS!E7029)</f>
        <v/>
      </c>
      <c r="G7029" s="9" t="str">
        <f>IF(DADOS!F7029="","",DADOS!F7029)</f>
        <v/>
      </c>
      <c r="K7029" s="6" t="str">
        <f t="shared" si="550"/>
        <v/>
      </c>
      <c r="L7029" s="7" t="str">
        <f t="shared" si="551"/>
        <v/>
      </c>
      <c r="M7029" s="7" t="str">
        <f t="shared" si="548"/>
        <v/>
      </c>
      <c r="N7029" s="7" t="str">
        <f t="shared" si="552"/>
        <v/>
      </c>
      <c r="O7029" s="8"/>
      <c r="P7029" s="26"/>
      <c r="S7029" s="10" t="str">
        <f t="shared" si="549"/>
        <v/>
      </c>
    </row>
    <row r="7030" spans="5:19" x14ac:dyDescent="0.3">
      <c r="E7030" s="9" t="str">
        <f>IF(DADOS!C7030="","",DADOS!C7030)</f>
        <v/>
      </c>
      <c r="F7030" s="9" t="str">
        <f>IF(DADOS!E7030="","",DADOS!E7030)</f>
        <v/>
      </c>
      <c r="G7030" s="9" t="str">
        <f>IF(DADOS!F7030="","",DADOS!F7030)</f>
        <v/>
      </c>
      <c r="K7030" s="6" t="str">
        <f t="shared" si="550"/>
        <v/>
      </c>
      <c r="L7030" s="7" t="str">
        <f t="shared" si="551"/>
        <v/>
      </c>
      <c r="M7030" s="7" t="str">
        <f t="shared" si="548"/>
        <v/>
      </c>
      <c r="N7030" s="7" t="str">
        <f t="shared" si="552"/>
        <v/>
      </c>
      <c r="O7030" s="8"/>
      <c r="P7030" s="26"/>
      <c r="S7030" s="10" t="str">
        <f t="shared" si="549"/>
        <v/>
      </c>
    </row>
    <row r="7031" spans="5:19" x14ac:dyDescent="0.3">
      <c r="E7031" s="9" t="str">
        <f>IF(DADOS!C7031="","",DADOS!C7031)</f>
        <v/>
      </c>
      <c r="F7031" s="9" t="str">
        <f>IF(DADOS!E7031="","",DADOS!E7031)</f>
        <v/>
      </c>
      <c r="G7031" s="9" t="str">
        <f>IF(DADOS!F7031="","",DADOS!F7031)</f>
        <v/>
      </c>
      <c r="K7031" s="6" t="str">
        <f t="shared" si="550"/>
        <v/>
      </c>
      <c r="L7031" s="7" t="str">
        <f t="shared" si="551"/>
        <v/>
      </c>
      <c r="M7031" s="7" t="str">
        <f t="shared" si="548"/>
        <v/>
      </c>
      <c r="N7031" s="7" t="str">
        <f t="shared" si="552"/>
        <v/>
      </c>
      <c r="O7031" s="8"/>
      <c r="P7031" s="26"/>
      <c r="S7031" s="10" t="str">
        <f t="shared" si="549"/>
        <v/>
      </c>
    </row>
    <row r="7032" spans="5:19" x14ac:dyDescent="0.3">
      <c r="E7032" s="9" t="str">
        <f>IF(DADOS!C7032="","",DADOS!C7032)</f>
        <v/>
      </c>
      <c r="F7032" s="9" t="str">
        <f>IF(DADOS!E7032="","",DADOS!E7032)</f>
        <v/>
      </c>
      <c r="G7032" s="9" t="str">
        <f>IF(DADOS!F7032="","",DADOS!F7032)</f>
        <v/>
      </c>
      <c r="K7032" s="6" t="str">
        <f t="shared" si="550"/>
        <v/>
      </c>
      <c r="L7032" s="7" t="str">
        <f t="shared" si="551"/>
        <v/>
      </c>
      <c r="M7032" s="7" t="str">
        <f t="shared" si="548"/>
        <v/>
      </c>
      <c r="N7032" s="7" t="str">
        <f t="shared" si="552"/>
        <v/>
      </c>
      <c r="O7032" s="8"/>
      <c r="P7032" s="26"/>
      <c r="S7032" s="10" t="str">
        <f t="shared" si="549"/>
        <v/>
      </c>
    </row>
    <row r="7033" spans="5:19" x14ac:dyDescent="0.3">
      <c r="E7033" s="9" t="str">
        <f>IF(DADOS!C7033="","",DADOS!C7033)</f>
        <v/>
      </c>
      <c r="F7033" s="9" t="str">
        <f>IF(DADOS!E7033="","",DADOS!E7033)</f>
        <v/>
      </c>
      <c r="G7033" s="9" t="str">
        <f>IF(DADOS!F7033="","",DADOS!F7033)</f>
        <v/>
      </c>
      <c r="K7033" s="6" t="str">
        <f t="shared" si="550"/>
        <v/>
      </c>
      <c r="L7033" s="7" t="str">
        <f t="shared" si="551"/>
        <v/>
      </c>
      <c r="M7033" s="7" t="str">
        <f t="shared" si="548"/>
        <v/>
      </c>
      <c r="N7033" s="7" t="str">
        <f t="shared" si="552"/>
        <v/>
      </c>
      <c r="O7033" s="8"/>
      <c r="P7033" s="26"/>
      <c r="S7033" s="10" t="str">
        <f t="shared" si="549"/>
        <v/>
      </c>
    </row>
    <row r="7034" spans="5:19" x14ac:dyDescent="0.3">
      <c r="E7034" s="9" t="str">
        <f>IF(DADOS!C7034="","",DADOS!C7034)</f>
        <v/>
      </c>
      <c r="F7034" s="9" t="str">
        <f>IF(DADOS!E7034="","",DADOS!E7034)</f>
        <v/>
      </c>
      <c r="G7034" s="9" t="str">
        <f>IF(DADOS!F7034="","",DADOS!F7034)</f>
        <v/>
      </c>
      <c r="K7034" s="6" t="str">
        <f t="shared" si="550"/>
        <v/>
      </c>
      <c r="L7034" s="7" t="str">
        <f t="shared" si="551"/>
        <v/>
      </c>
      <c r="M7034" s="7" t="str">
        <f t="shared" si="548"/>
        <v/>
      </c>
      <c r="N7034" s="7" t="str">
        <f t="shared" si="552"/>
        <v/>
      </c>
      <c r="O7034" s="8"/>
      <c r="P7034" s="26"/>
      <c r="S7034" s="10" t="str">
        <f t="shared" si="549"/>
        <v/>
      </c>
    </row>
    <row r="7035" spans="5:19" x14ac:dyDescent="0.3">
      <c r="E7035" s="9" t="str">
        <f>IF(DADOS!C7035="","",DADOS!C7035)</f>
        <v/>
      </c>
      <c r="F7035" s="9" t="str">
        <f>IF(DADOS!E7035="","",DADOS!E7035)</f>
        <v/>
      </c>
      <c r="G7035" s="9" t="str">
        <f>IF(DADOS!F7035="","",DADOS!F7035)</f>
        <v/>
      </c>
      <c r="K7035" s="6" t="str">
        <f t="shared" si="550"/>
        <v/>
      </c>
      <c r="L7035" s="7" t="str">
        <f t="shared" si="551"/>
        <v/>
      </c>
      <c r="M7035" s="7" t="str">
        <f t="shared" si="548"/>
        <v/>
      </c>
      <c r="N7035" s="7" t="str">
        <f t="shared" si="552"/>
        <v/>
      </c>
      <c r="O7035" s="8"/>
      <c r="P7035" s="26"/>
      <c r="S7035" s="10" t="str">
        <f t="shared" si="549"/>
        <v/>
      </c>
    </row>
    <row r="7036" spans="5:19" x14ac:dyDescent="0.3">
      <c r="E7036" s="9" t="str">
        <f>IF(DADOS!C7036="","",DADOS!C7036)</f>
        <v/>
      </c>
      <c r="F7036" s="9" t="str">
        <f>IF(DADOS!E7036="","",DADOS!E7036)</f>
        <v/>
      </c>
      <c r="G7036" s="9" t="str">
        <f>IF(DADOS!F7036="","",DADOS!F7036)</f>
        <v/>
      </c>
      <c r="K7036" s="6" t="str">
        <f t="shared" si="550"/>
        <v/>
      </c>
      <c r="L7036" s="7" t="str">
        <f t="shared" si="551"/>
        <v/>
      </c>
      <c r="M7036" s="7" t="str">
        <f t="shared" si="548"/>
        <v/>
      </c>
      <c r="N7036" s="7" t="str">
        <f t="shared" si="552"/>
        <v/>
      </c>
      <c r="O7036" s="8"/>
      <c r="P7036" s="26"/>
      <c r="S7036" s="10" t="str">
        <f t="shared" si="549"/>
        <v/>
      </c>
    </row>
    <row r="7037" spans="5:19" x14ac:dyDescent="0.3">
      <c r="E7037" s="9" t="str">
        <f>IF(DADOS!C7037="","",DADOS!C7037)</f>
        <v/>
      </c>
      <c r="F7037" s="9" t="str">
        <f>IF(DADOS!E7037="","",DADOS!E7037)</f>
        <v/>
      </c>
      <c r="G7037" s="9" t="str">
        <f>IF(DADOS!F7037="","",DADOS!F7037)</f>
        <v/>
      </c>
      <c r="K7037" s="6" t="str">
        <f t="shared" si="550"/>
        <v/>
      </c>
      <c r="L7037" s="7" t="str">
        <f t="shared" si="551"/>
        <v/>
      </c>
      <c r="M7037" s="7" t="str">
        <f t="shared" si="548"/>
        <v/>
      </c>
      <c r="N7037" s="7" t="str">
        <f t="shared" si="552"/>
        <v/>
      </c>
      <c r="O7037" s="8"/>
      <c r="P7037" s="26"/>
      <c r="S7037" s="10" t="str">
        <f t="shared" si="549"/>
        <v/>
      </c>
    </row>
    <row r="7038" spans="5:19" x14ac:dyDescent="0.3">
      <c r="E7038" s="9" t="str">
        <f>IF(DADOS!C7038="","",DADOS!C7038)</f>
        <v/>
      </c>
      <c r="F7038" s="9" t="str">
        <f>IF(DADOS!E7038="","",DADOS!E7038)</f>
        <v/>
      </c>
      <c r="G7038" s="9" t="str">
        <f>IF(DADOS!F7038="","",DADOS!F7038)</f>
        <v/>
      </c>
      <c r="K7038" s="6" t="str">
        <f t="shared" si="550"/>
        <v/>
      </c>
      <c r="L7038" s="7" t="str">
        <f t="shared" si="551"/>
        <v/>
      </c>
      <c r="M7038" s="7" t="str">
        <f t="shared" si="548"/>
        <v/>
      </c>
      <c r="N7038" s="7" t="str">
        <f t="shared" si="552"/>
        <v/>
      </c>
      <c r="O7038" s="8"/>
      <c r="P7038" s="26"/>
      <c r="S7038" s="10" t="str">
        <f t="shared" si="549"/>
        <v/>
      </c>
    </row>
    <row r="7039" spans="5:19" x14ac:dyDescent="0.3">
      <c r="E7039" s="9" t="str">
        <f>IF(DADOS!C7039="","",DADOS!C7039)</f>
        <v/>
      </c>
      <c r="F7039" s="9" t="str">
        <f>IF(DADOS!E7039="","",DADOS!E7039)</f>
        <v/>
      </c>
      <c r="G7039" s="9" t="str">
        <f>IF(DADOS!F7039="","",DADOS!F7039)</f>
        <v/>
      </c>
      <c r="K7039" s="6" t="str">
        <f t="shared" si="550"/>
        <v/>
      </c>
      <c r="L7039" s="7" t="str">
        <f t="shared" si="551"/>
        <v/>
      </c>
      <c r="M7039" s="7" t="str">
        <f t="shared" si="548"/>
        <v/>
      </c>
      <c r="N7039" s="7" t="str">
        <f t="shared" si="552"/>
        <v/>
      </c>
      <c r="O7039" s="8"/>
      <c r="P7039" s="26"/>
      <c r="S7039" s="10" t="str">
        <f t="shared" si="549"/>
        <v/>
      </c>
    </row>
    <row r="7040" spans="5:19" x14ac:dyDescent="0.3">
      <c r="E7040" s="9" t="str">
        <f>IF(DADOS!C7040="","",DADOS!C7040)</f>
        <v/>
      </c>
      <c r="F7040" s="9" t="str">
        <f>IF(DADOS!E7040="","",DADOS!E7040)</f>
        <v/>
      </c>
      <c r="G7040" s="9" t="str">
        <f>IF(DADOS!F7040="","",DADOS!F7040)</f>
        <v/>
      </c>
      <c r="K7040" s="6" t="str">
        <f t="shared" si="550"/>
        <v/>
      </c>
      <c r="L7040" s="7" t="str">
        <f t="shared" si="551"/>
        <v/>
      </c>
      <c r="M7040" s="7" t="str">
        <f t="shared" si="548"/>
        <v/>
      </c>
      <c r="N7040" s="7" t="str">
        <f t="shared" si="552"/>
        <v/>
      </c>
      <c r="O7040" s="8"/>
      <c r="P7040" s="26"/>
      <c r="S7040" s="10" t="str">
        <f t="shared" si="549"/>
        <v/>
      </c>
    </row>
    <row r="7041" spans="5:19" x14ac:dyDescent="0.3">
      <c r="E7041" s="9" t="str">
        <f>IF(DADOS!C7041="","",DADOS!C7041)</f>
        <v/>
      </c>
      <c r="F7041" s="9" t="str">
        <f>IF(DADOS!E7041="","",DADOS!E7041)</f>
        <v/>
      </c>
      <c r="G7041" s="9" t="str">
        <f>IF(DADOS!F7041="","",DADOS!F7041)</f>
        <v/>
      </c>
      <c r="K7041" s="6" t="str">
        <f t="shared" si="550"/>
        <v/>
      </c>
      <c r="L7041" s="7" t="str">
        <f t="shared" si="551"/>
        <v/>
      </c>
      <c r="M7041" s="7" t="str">
        <f t="shared" si="548"/>
        <v/>
      </c>
      <c r="N7041" s="7" t="str">
        <f t="shared" si="552"/>
        <v/>
      </c>
      <c r="O7041" s="8"/>
      <c r="P7041" s="26"/>
      <c r="S7041" s="10" t="str">
        <f t="shared" si="549"/>
        <v/>
      </c>
    </row>
    <row r="7042" spans="5:19" x14ac:dyDescent="0.3">
      <c r="E7042" s="9" t="str">
        <f>IF(DADOS!C7042="","",DADOS!C7042)</f>
        <v/>
      </c>
      <c r="F7042" s="9" t="str">
        <f>IF(DADOS!E7042="","",DADOS!E7042)</f>
        <v/>
      </c>
      <c r="G7042" s="9" t="str">
        <f>IF(DADOS!F7042="","",DADOS!F7042)</f>
        <v/>
      </c>
      <c r="K7042" s="6" t="str">
        <f t="shared" si="550"/>
        <v/>
      </c>
      <c r="L7042" s="7" t="str">
        <f t="shared" si="551"/>
        <v/>
      </c>
      <c r="M7042" s="7" t="str">
        <f t="shared" si="548"/>
        <v/>
      </c>
      <c r="N7042" s="7" t="str">
        <f t="shared" si="552"/>
        <v/>
      </c>
      <c r="O7042" s="8"/>
      <c r="P7042" s="26"/>
      <c r="S7042" s="10" t="str">
        <f t="shared" si="549"/>
        <v/>
      </c>
    </row>
    <row r="7043" spans="5:19" x14ac:dyDescent="0.3">
      <c r="E7043" s="9" t="str">
        <f>IF(DADOS!C7043="","",DADOS!C7043)</f>
        <v/>
      </c>
      <c r="F7043" s="9" t="str">
        <f>IF(DADOS!E7043="","",DADOS!E7043)</f>
        <v/>
      </c>
      <c r="G7043" s="9" t="str">
        <f>IF(DADOS!F7043="","",DADOS!F7043)</f>
        <v/>
      </c>
      <c r="K7043" s="6" t="str">
        <f t="shared" si="550"/>
        <v/>
      </c>
      <c r="L7043" s="7" t="str">
        <f t="shared" si="551"/>
        <v/>
      </c>
      <c r="M7043" s="7" t="str">
        <f t="shared" ref="M7043:M7106" si="553">IF(L7043="","",L7043*G7043)</f>
        <v/>
      </c>
      <c r="N7043" s="7" t="str">
        <f t="shared" si="552"/>
        <v/>
      </c>
      <c r="O7043" s="8"/>
      <c r="P7043" s="26"/>
      <c r="S7043" s="10" t="str">
        <f t="shared" ref="S7043:S7106" si="554">IF(R7043="","",SUMIFS($N$3:$N$10000,$E$3:$E$10000,R7043))</f>
        <v/>
      </c>
    </row>
    <row r="7044" spans="5:19" x14ac:dyDescent="0.3">
      <c r="E7044" s="9" t="str">
        <f>IF(DADOS!C7044="","",DADOS!C7044)</f>
        <v/>
      </c>
      <c r="F7044" s="9" t="str">
        <f>IF(DADOS!E7044="","",DADOS!E7044)</f>
        <v/>
      </c>
      <c r="G7044" s="9" t="str">
        <f>IF(DADOS!F7044="","",DADOS!F7044)</f>
        <v/>
      </c>
      <c r="K7044" s="6" t="str">
        <f t="shared" ref="K7044:K7107" si="555">IF(F7044="","",F7044/PI())</f>
        <v/>
      </c>
      <c r="L7044" s="7" t="str">
        <f t="shared" ref="L7044:L7107" si="556">IF(K7044="","",(PI()*K7044^2)/40000)</f>
        <v/>
      </c>
      <c r="M7044" s="7" t="str">
        <f t="shared" si="553"/>
        <v/>
      </c>
      <c r="N7044" s="7" t="str">
        <f t="shared" ref="N7044:N7107" si="557">IF(M7044="","",M7044*N$1)</f>
        <v/>
      </c>
      <c r="O7044" s="8"/>
      <c r="P7044" s="26"/>
      <c r="S7044" s="10" t="str">
        <f t="shared" si="554"/>
        <v/>
      </c>
    </row>
    <row r="7045" spans="5:19" x14ac:dyDescent="0.3">
      <c r="E7045" s="9" t="str">
        <f>IF(DADOS!C7045="","",DADOS!C7045)</f>
        <v/>
      </c>
      <c r="F7045" s="9" t="str">
        <f>IF(DADOS!E7045="","",DADOS!E7045)</f>
        <v/>
      </c>
      <c r="G7045" s="9" t="str">
        <f>IF(DADOS!F7045="","",DADOS!F7045)</f>
        <v/>
      </c>
      <c r="K7045" s="6" t="str">
        <f t="shared" si="555"/>
        <v/>
      </c>
      <c r="L7045" s="7" t="str">
        <f t="shared" si="556"/>
        <v/>
      </c>
      <c r="M7045" s="7" t="str">
        <f t="shared" si="553"/>
        <v/>
      </c>
      <c r="N7045" s="7" t="str">
        <f t="shared" si="557"/>
        <v/>
      </c>
      <c r="O7045" s="8"/>
      <c r="P7045" s="26"/>
      <c r="S7045" s="10" t="str">
        <f t="shared" si="554"/>
        <v/>
      </c>
    </row>
    <row r="7046" spans="5:19" x14ac:dyDescent="0.3">
      <c r="E7046" s="9" t="str">
        <f>IF(DADOS!C7046="","",DADOS!C7046)</f>
        <v/>
      </c>
      <c r="F7046" s="9" t="str">
        <f>IF(DADOS!E7046="","",DADOS!E7046)</f>
        <v/>
      </c>
      <c r="G7046" s="9" t="str">
        <f>IF(DADOS!F7046="","",DADOS!F7046)</f>
        <v/>
      </c>
      <c r="K7046" s="6" t="str">
        <f t="shared" si="555"/>
        <v/>
      </c>
      <c r="L7046" s="7" t="str">
        <f t="shared" si="556"/>
        <v/>
      </c>
      <c r="M7046" s="7" t="str">
        <f t="shared" si="553"/>
        <v/>
      </c>
      <c r="N7046" s="7" t="str">
        <f t="shared" si="557"/>
        <v/>
      </c>
      <c r="O7046" s="8"/>
      <c r="P7046" s="26"/>
      <c r="S7046" s="10" t="str">
        <f t="shared" si="554"/>
        <v/>
      </c>
    </row>
    <row r="7047" spans="5:19" x14ac:dyDescent="0.3">
      <c r="E7047" s="9" t="str">
        <f>IF(DADOS!C7047="","",DADOS!C7047)</f>
        <v/>
      </c>
      <c r="F7047" s="9" t="str">
        <f>IF(DADOS!E7047="","",DADOS!E7047)</f>
        <v/>
      </c>
      <c r="G7047" s="9" t="str">
        <f>IF(DADOS!F7047="","",DADOS!F7047)</f>
        <v/>
      </c>
      <c r="K7047" s="6" t="str">
        <f t="shared" si="555"/>
        <v/>
      </c>
      <c r="L7047" s="7" t="str">
        <f t="shared" si="556"/>
        <v/>
      </c>
      <c r="M7047" s="7" t="str">
        <f t="shared" si="553"/>
        <v/>
      </c>
      <c r="N7047" s="7" t="str">
        <f t="shared" si="557"/>
        <v/>
      </c>
      <c r="O7047" s="8"/>
      <c r="P7047" s="26"/>
      <c r="S7047" s="10" t="str">
        <f t="shared" si="554"/>
        <v/>
      </c>
    </row>
    <row r="7048" spans="5:19" x14ac:dyDescent="0.3">
      <c r="E7048" s="9" t="str">
        <f>IF(DADOS!C7048="","",DADOS!C7048)</f>
        <v/>
      </c>
      <c r="F7048" s="9" t="str">
        <f>IF(DADOS!E7048="","",DADOS!E7048)</f>
        <v/>
      </c>
      <c r="G7048" s="9" t="str">
        <f>IF(DADOS!F7048="","",DADOS!F7048)</f>
        <v/>
      </c>
      <c r="K7048" s="6" t="str">
        <f t="shared" si="555"/>
        <v/>
      </c>
      <c r="L7048" s="7" t="str">
        <f t="shared" si="556"/>
        <v/>
      </c>
      <c r="M7048" s="7" t="str">
        <f t="shared" si="553"/>
        <v/>
      </c>
      <c r="N7048" s="7" t="str">
        <f t="shared" si="557"/>
        <v/>
      </c>
      <c r="O7048" s="8"/>
      <c r="P7048" s="26"/>
      <c r="S7048" s="10" t="str">
        <f t="shared" si="554"/>
        <v/>
      </c>
    </row>
    <row r="7049" spans="5:19" x14ac:dyDescent="0.3">
      <c r="E7049" s="9" t="str">
        <f>IF(DADOS!C7049="","",DADOS!C7049)</f>
        <v/>
      </c>
      <c r="F7049" s="9" t="str">
        <f>IF(DADOS!E7049="","",DADOS!E7049)</f>
        <v/>
      </c>
      <c r="G7049" s="9" t="str">
        <f>IF(DADOS!F7049="","",DADOS!F7049)</f>
        <v/>
      </c>
      <c r="K7049" s="6" t="str">
        <f t="shared" si="555"/>
        <v/>
      </c>
      <c r="L7049" s="7" t="str">
        <f t="shared" si="556"/>
        <v/>
      </c>
      <c r="M7049" s="7" t="str">
        <f t="shared" si="553"/>
        <v/>
      </c>
      <c r="N7049" s="7" t="str">
        <f t="shared" si="557"/>
        <v/>
      </c>
      <c r="O7049" s="8"/>
      <c r="P7049" s="26"/>
      <c r="S7049" s="10" t="str">
        <f t="shared" si="554"/>
        <v/>
      </c>
    </row>
    <row r="7050" spans="5:19" x14ac:dyDescent="0.3">
      <c r="E7050" s="9" t="str">
        <f>IF(DADOS!C7050="","",DADOS!C7050)</f>
        <v/>
      </c>
      <c r="F7050" s="9" t="str">
        <f>IF(DADOS!E7050="","",DADOS!E7050)</f>
        <v/>
      </c>
      <c r="G7050" s="9" t="str">
        <f>IF(DADOS!F7050="","",DADOS!F7050)</f>
        <v/>
      </c>
      <c r="K7050" s="6" t="str">
        <f t="shared" si="555"/>
        <v/>
      </c>
      <c r="L7050" s="7" t="str">
        <f t="shared" si="556"/>
        <v/>
      </c>
      <c r="M7050" s="7" t="str">
        <f t="shared" si="553"/>
        <v/>
      </c>
      <c r="N7050" s="7" t="str">
        <f t="shared" si="557"/>
        <v/>
      </c>
      <c r="O7050" s="8"/>
      <c r="P7050" s="26"/>
      <c r="S7050" s="10" t="str">
        <f t="shared" si="554"/>
        <v/>
      </c>
    </row>
    <row r="7051" spans="5:19" x14ac:dyDescent="0.3">
      <c r="E7051" s="9" t="str">
        <f>IF(DADOS!C7051="","",DADOS!C7051)</f>
        <v/>
      </c>
      <c r="F7051" s="9" t="str">
        <f>IF(DADOS!E7051="","",DADOS!E7051)</f>
        <v/>
      </c>
      <c r="G7051" s="9" t="str">
        <f>IF(DADOS!F7051="","",DADOS!F7051)</f>
        <v/>
      </c>
      <c r="K7051" s="6" t="str">
        <f t="shared" si="555"/>
        <v/>
      </c>
      <c r="L7051" s="7" t="str">
        <f t="shared" si="556"/>
        <v/>
      </c>
      <c r="M7051" s="7" t="str">
        <f t="shared" si="553"/>
        <v/>
      </c>
      <c r="N7051" s="7" t="str">
        <f t="shared" si="557"/>
        <v/>
      </c>
      <c r="O7051" s="8"/>
      <c r="P7051" s="26"/>
      <c r="S7051" s="10" t="str">
        <f t="shared" si="554"/>
        <v/>
      </c>
    </row>
    <row r="7052" spans="5:19" x14ac:dyDescent="0.3">
      <c r="E7052" s="9" t="str">
        <f>IF(DADOS!C7052="","",DADOS!C7052)</f>
        <v/>
      </c>
      <c r="F7052" s="9" t="str">
        <f>IF(DADOS!E7052="","",DADOS!E7052)</f>
        <v/>
      </c>
      <c r="G7052" s="9" t="str">
        <f>IF(DADOS!F7052="","",DADOS!F7052)</f>
        <v/>
      </c>
      <c r="K7052" s="6" t="str">
        <f t="shared" si="555"/>
        <v/>
      </c>
      <c r="L7052" s="7" t="str">
        <f t="shared" si="556"/>
        <v/>
      </c>
      <c r="M7052" s="7" t="str">
        <f t="shared" si="553"/>
        <v/>
      </c>
      <c r="N7052" s="7" t="str">
        <f t="shared" si="557"/>
        <v/>
      </c>
      <c r="O7052" s="8"/>
      <c r="P7052" s="26"/>
      <c r="S7052" s="10" t="str">
        <f t="shared" si="554"/>
        <v/>
      </c>
    </row>
    <row r="7053" spans="5:19" x14ac:dyDescent="0.3">
      <c r="E7053" s="9" t="str">
        <f>IF(DADOS!C7053="","",DADOS!C7053)</f>
        <v/>
      </c>
      <c r="F7053" s="9" t="str">
        <f>IF(DADOS!E7053="","",DADOS!E7053)</f>
        <v/>
      </c>
      <c r="G7053" s="9" t="str">
        <f>IF(DADOS!F7053="","",DADOS!F7053)</f>
        <v/>
      </c>
      <c r="K7053" s="6" t="str">
        <f t="shared" si="555"/>
        <v/>
      </c>
      <c r="L7053" s="7" t="str">
        <f t="shared" si="556"/>
        <v/>
      </c>
      <c r="M7053" s="7" t="str">
        <f t="shared" si="553"/>
        <v/>
      </c>
      <c r="N7053" s="7" t="str">
        <f t="shared" si="557"/>
        <v/>
      </c>
      <c r="O7053" s="8"/>
      <c r="P7053" s="26"/>
      <c r="S7053" s="10" t="str">
        <f t="shared" si="554"/>
        <v/>
      </c>
    </row>
    <row r="7054" spans="5:19" x14ac:dyDescent="0.3">
      <c r="E7054" s="9" t="str">
        <f>IF(DADOS!C7054="","",DADOS!C7054)</f>
        <v/>
      </c>
      <c r="F7054" s="9" t="str">
        <f>IF(DADOS!E7054="","",DADOS!E7054)</f>
        <v/>
      </c>
      <c r="G7054" s="9" t="str">
        <f>IF(DADOS!F7054="","",DADOS!F7054)</f>
        <v/>
      </c>
      <c r="K7054" s="6" t="str">
        <f t="shared" si="555"/>
        <v/>
      </c>
      <c r="L7054" s="7" t="str">
        <f t="shared" si="556"/>
        <v/>
      </c>
      <c r="M7054" s="7" t="str">
        <f t="shared" si="553"/>
        <v/>
      </c>
      <c r="N7054" s="7" t="str">
        <f t="shared" si="557"/>
        <v/>
      </c>
      <c r="O7054" s="8"/>
      <c r="P7054" s="26"/>
      <c r="S7054" s="10" t="str">
        <f t="shared" si="554"/>
        <v/>
      </c>
    </row>
    <row r="7055" spans="5:19" x14ac:dyDescent="0.3">
      <c r="E7055" s="9" t="str">
        <f>IF(DADOS!C7055="","",DADOS!C7055)</f>
        <v/>
      </c>
      <c r="F7055" s="9" t="str">
        <f>IF(DADOS!E7055="","",DADOS!E7055)</f>
        <v/>
      </c>
      <c r="G7055" s="9" t="str">
        <f>IF(DADOS!F7055="","",DADOS!F7055)</f>
        <v/>
      </c>
      <c r="K7055" s="6" t="str">
        <f t="shared" si="555"/>
        <v/>
      </c>
      <c r="L7055" s="7" t="str">
        <f t="shared" si="556"/>
        <v/>
      </c>
      <c r="M7055" s="7" t="str">
        <f t="shared" si="553"/>
        <v/>
      </c>
      <c r="N7055" s="7" t="str">
        <f t="shared" si="557"/>
        <v/>
      </c>
      <c r="O7055" s="8"/>
      <c r="P7055" s="26"/>
      <c r="S7055" s="10" t="str">
        <f t="shared" si="554"/>
        <v/>
      </c>
    </row>
    <row r="7056" spans="5:19" x14ac:dyDescent="0.3">
      <c r="E7056" s="9" t="str">
        <f>IF(DADOS!C7056="","",DADOS!C7056)</f>
        <v/>
      </c>
      <c r="F7056" s="9" t="str">
        <f>IF(DADOS!E7056="","",DADOS!E7056)</f>
        <v/>
      </c>
      <c r="G7056" s="9" t="str">
        <f>IF(DADOS!F7056="","",DADOS!F7056)</f>
        <v/>
      </c>
      <c r="K7056" s="6" t="str">
        <f t="shared" si="555"/>
        <v/>
      </c>
      <c r="L7056" s="7" t="str">
        <f t="shared" si="556"/>
        <v/>
      </c>
      <c r="M7056" s="7" t="str">
        <f t="shared" si="553"/>
        <v/>
      </c>
      <c r="N7056" s="7" t="str">
        <f t="shared" si="557"/>
        <v/>
      </c>
      <c r="O7056" s="8"/>
      <c r="P7056" s="26"/>
      <c r="S7056" s="10" t="str">
        <f t="shared" si="554"/>
        <v/>
      </c>
    </row>
    <row r="7057" spans="5:19" x14ac:dyDescent="0.3">
      <c r="E7057" s="9" t="str">
        <f>IF(DADOS!C7057="","",DADOS!C7057)</f>
        <v/>
      </c>
      <c r="F7057" s="9" t="str">
        <f>IF(DADOS!E7057="","",DADOS!E7057)</f>
        <v/>
      </c>
      <c r="G7057" s="9" t="str">
        <f>IF(DADOS!F7057="","",DADOS!F7057)</f>
        <v/>
      </c>
      <c r="K7057" s="6" t="str">
        <f t="shared" si="555"/>
        <v/>
      </c>
      <c r="L7057" s="7" t="str">
        <f t="shared" si="556"/>
        <v/>
      </c>
      <c r="M7057" s="7" t="str">
        <f t="shared" si="553"/>
        <v/>
      </c>
      <c r="N7057" s="7" t="str">
        <f t="shared" si="557"/>
        <v/>
      </c>
      <c r="O7057" s="8"/>
      <c r="P7057" s="26"/>
      <c r="S7057" s="10" t="str">
        <f t="shared" si="554"/>
        <v/>
      </c>
    </row>
    <row r="7058" spans="5:19" x14ac:dyDescent="0.3">
      <c r="E7058" s="9" t="str">
        <f>IF(DADOS!C7058="","",DADOS!C7058)</f>
        <v/>
      </c>
      <c r="F7058" s="9" t="str">
        <f>IF(DADOS!E7058="","",DADOS!E7058)</f>
        <v/>
      </c>
      <c r="G7058" s="9" t="str">
        <f>IF(DADOS!F7058="","",DADOS!F7058)</f>
        <v/>
      </c>
      <c r="K7058" s="6" t="str">
        <f t="shared" si="555"/>
        <v/>
      </c>
      <c r="L7058" s="7" t="str">
        <f t="shared" si="556"/>
        <v/>
      </c>
      <c r="M7058" s="7" t="str">
        <f t="shared" si="553"/>
        <v/>
      </c>
      <c r="N7058" s="7" t="str">
        <f t="shared" si="557"/>
        <v/>
      </c>
      <c r="O7058" s="8"/>
      <c r="P7058" s="26"/>
      <c r="S7058" s="10" t="str">
        <f t="shared" si="554"/>
        <v/>
      </c>
    </row>
    <row r="7059" spans="5:19" x14ac:dyDescent="0.3">
      <c r="E7059" s="9" t="str">
        <f>IF(DADOS!C7059="","",DADOS!C7059)</f>
        <v/>
      </c>
      <c r="F7059" s="9" t="str">
        <f>IF(DADOS!E7059="","",DADOS!E7059)</f>
        <v/>
      </c>
      <c r="G7059" s="9" t="str">
        <f>IF(DADOS!F7059="","",DADOS!F7059)</f>
        <v/>
      </c>
      <c r="K7059" s="6" t="str">
        <f t="shared" si="555"/>
        <v/>
      </c>
      <c r="L7059" s="7" t="str">
        <f t="shared" si="556"/>
        <v/>
      </c>
      <c r="M7059" s="7" t="str">
        <f t="shared" si="553"/>
        <v/>
      </c>
      <c r="N7059" s="7" t="str">
        <f t="shared" si="557"/>
        <v/>
      </c>
      <c r="O7059" s="8"/>
      <c r="P7059" s="26"/>
      <c r="S7059" s="10" t="str">
        <f t="shared" si="554"/>
        <v/>
      </c>
    </row>
    <row r="7060" spans="5:19" x14ac:dyDescent="0.3">
      <c r="E7060" s="9" t="str">
        <f>IF(DADOS!C7060="","",DADOS!C7060)</f>
        <v/>
      </c>
      <c r="F7060" s="9" t="str">
        <f>IF(DADOS!E7060="","",DADOS!E7060)</f>
        <v/>
      </c>
      <c r="G7060" s="9" t="str">
        <f>IF(DADOS!F7060="","",DADOS!F7060)</f>
        <v/>
      </c>
      <c r="K7060" s="6" t="str">
        <f t="shared" si="555"/>
        <v/>
      </c>
      <c r="L7060" s="7" t="str">
        <f t="shared" si="556"/>
        <v/>
      </c>
      <c r="M7060" s="7" t="str">
        <f t="shared" si="553"/>
        <v/>
      </c>
      <c r="N7060" s="7" t="str">
        <f t="shared" si="557"/>
        <v/>
      </c>
      <c r="O7060" s="8"/>
      <c r="P7060" s="26"/>
      <c r="S7060" s="10" t="str">
        <f t="shared" si="554"/>
        <v/>
      </c>
    </row>
    <row r="7061" spans="5:19" x14ac:dyDescent="0.3">
      <c r="E7061" s="9" t="str">
        <f>IF(DADOS!C7061="","",DADOS!C7061)</f>
        <v/>
      </c>
      <c r="F7061" s="9" t="str">
        <f>IF(DADOS!E7061="","",DADOS!E7061)</f>
        <v/>
      </c>
      <c r="G7061" s="9" t="str">
        <f>IF(DADOS!F7061="","",DADOS!F7061)</f>
        <v/>
      </c>
      <c r="K7061" s="6" t="str">
        <f t="shared" si="555"/>
        <v/>
      </c>
      <c r="L7061" s="7" t="str">
        <f t="shared" si="556"/>
        <v/>
      </c>
      <c r="M7061" s="7" t="str">
        <f t="shared" si="553"/>
        <v/>
      </c>
      <c r="N7061" s="7" t="str">
        <f t="shared" si="557"/>
        <v/>
      </c>
      <c r="O7061" s="8"/>
      <c r="P7061" s="26"/>
      <c r="S7061" s="10" t="str">
        <f t="shared" si="554"/>
        <v/>
      </c>
    </row>
    <row r="7062" spans="5:19" x14ac:dyDescent="0.3">
      <c r="E7062" s="9" t="str">
        <f>IF(DADOS!C7062="","",DADOS!C7062)</f>
        <v/>
      </c>
      <c r="F7062" s="9" t="str">
        <f>IF(DADOS!E7062="","",DADOS!E7062)</f>
        <v/>
      </c>
      <c r="G7062" s="9" t="str">
        <f>IF(DADOS!F7062="","",DADOS!F7062)</f>
        <v/>
      </c>
      <c r="K7062" s="6" t="str">
        <f t="shared" si="555"/>
        <v/>
      </c>
      <c r="L7062" s="7" t="str">
        <f t="shared" si="556"/>
        <v/>
      </c>
      <c r="M7062" s="7" t="str">
        <f t="shared" si="553"/>
        <v/>
      </c>
      <c r="N7062" s="7" t="str">
        <f t="shared" si="557"/>
        <v/>
      </c>
      <c r="O7062" s="8"/>
      <c r="P7062" s="26"/>
      <c r="S7062" s="10" t="str">
        <f t="shared" si="554"/>
        <v/>
      </c>
    </row>
    <row r="7063" spans="5:19" x14ac:dyDescent="0.3">
      <c r="E7063" s="9" t="str">
        <f>IF(DADOS!C7063="","",DADOS!C7063)</f>
        <v/>
      </c>
      <c r="F7063" s="9" t="str">
        <f>IF(DADOS!E7063="","",DADOS!E7063)</f>
        <v/>
      </c>
      <c r="G7063" s="9" t="str">
        <f>IF(DADOS!F7063="","",DADOS!F7063)</f>
        <v/>
      </c>
      <c r="K7063" s="6" t="str">
        <f t="shared" si="555"/>
        <v/>
      </c>
      <c r="L7063" s="7" t="str">
        <f t="shared" si="556"/>
        <v/>
      </c>
      <c r="M7063" s="7" t="str">
        <f t="shared" si="553"/>
        <v/>
      </c>
      <c r="N7063" s="7" t="str">
        <f t="shared" si="557"/>
        <v/>
      </c>
      <c r="O7063" s="8"/>
      <c r="P7063" s="26"/>
      <c r="S7063" s="10" t="str">
        <f t="shared" si="554"/>
        <v/>
      </c>
    </row>
    <row r="7064" spans="5:19" x14ac:dyDescent="0.3">
      <c r="E7064" s="9" t="str">
        <f>IF(DADOS!C7064="","",DADOS!C7064)</f>
        <v/>
      </c>
      <c r="F7064" s="9" t="str">
        <f>IF(DADOS!E7064="","",DADOS!E7064)</f>
        <v/>
      </c>
      <c r="G7064" s="9" t="str">
        <f>IF(DADOS!F7064="","",DADOS!F7064)</f>
        <v/>
      </c>
      <c r="K7064" s="6" t="str">
        <f t="shared" si="555"/>
        <v/>
      </c>
      <c r="L7064" s="7" t="str">
        <f t="shared" si="556"/>
        <v/>
      </c>
      <c r="M7064" s="7" t="str">
        <f t="shared" si="553"/>
        <v/>
      </c>
      <c r="N7064" s="7" t="str">
        <f t="shared" si="557"/>
        <v/>
      </c>
      <c r="O7064" s="8"/>
      <c r="P7064" s="26"/>
      <c r="S7064" s="10" t="str">
        <f t="shared" si="554"/>
        <v/>
      </c>
    </row>
    <row r="7065" spans="5:19" x14ac:dyDescent="0.3">
      <c r="E7065" s="9" t="str">
        <f>IF(DADOS!C7065="","",DADOS!C7065)</f>
        <v/>
      </c>
      <c r="F7065" s="9" t="str">
        <f>IF(DADOS!E7065="","",DADOS!E7065)</f>
        <v/>
      </c>
      <c r="G7065" s="9" t="str">
        <f>IF(DADOS!F7065="","",DADOS!F7065)</f>
        <v/>
      </c>
      <c r="K7065" s="6" t="str">
        <f t="shared" si="555"/>
        <v/>
      </c>
      <c r="L7065" s="7" t="str">
        <f t="shared" si="556"/>
        <v/>
      </c>
      <c r="M7065" s="7" t="str">
        <f t="shared" si="553"/>
        <v/>
      </c>
      <c r="N7065" s="7" t="str">
        <f t="shared" si="557"/>
        <v/>
      </c>
      <c r="O7065" s="8"/>
      <c r="P7065" s="26"/>
      <c r="S7065" s="10" t="str">
        <f t="shared" si="554"/>
        <v/>
      </c>
    </row>
    <row r="7066" spans="5:19" x14ac:dyDescent="0.3">
      <c r="E7066" s="9" t="str">
        <f>IF(DADOS!C7066="","",DADOS!C7066)</f>
        <v/>
      </c>
      <c r="F7066" s="9" t="str">
        <f>IF(DADOS!E7066="","",DADOS!E7066)</f>
        <v/>
      </c>
      <c r="G7066" s="9" t="str">
        <f>IF(DADOS!F7066="","",DADOS!F7066)</f>
        <v/>
      </c>
      <c r="K7066" s="6" t="str">
        <f t="shared" si="555"/>
        <v/>
      </c>
      <c r="L7066" s="7" t="str">
        <f t="shared" si="556"/>
        <v/>
      </c>
      <c r="M7066" s="7" t="str">
        <f t="shared" si="553"/>
        <v/>
      </c>
      <c r="N7066" s="7" t="str">
        <f t="shared" si="557"/>
        <v/>
      </c>
      <c r="O7066" s="8"/>
      <c r="P7066" s="26"/>
      <c r="S7066" s="10" t="str">
        <f t="shared" si="554"/>
        <v/>
      </c>
    </row>
    <row r="7067" spans="5:19" x14ac:dyDescent="0.3">
      <c r="E7067" s="9" t="str">
        <f>IF(DADOS!C7067="","",DADOS!C7067)</f>
        <v/>
      </c>
      <c r="F7067" s="9" t="str">
        <f>IF(DADOS!E7067="","",DADOS!E7067)</f>
        <v/>
      </c>
      <c r="G7067" s="9" t="str">
        <f>IF(DADOS!F7067="","",DADOS!F7067)</f>
        <v/>
      </c>
      <c r="K7067" s="6" t="str">
        <f t="shared" si="555"/>
        <v/>
      </c>
      <c r="L7067" s="7" t="str">
        <f t="shared" si="556"/>
        <v/>
      </c>
      <c r="M7067" s="7" t="str">
        <f t="shared" si="553"/>
        <v/>
      </c>
      <c r="N7067" s="7" t="str">
        <f t="shared" si="557"/>
        <v/>
      </c>
      <c r="O7067" s="8"/>
      <c r="P7067" s="26"/>
      <c r="S7067" s="10" t="str">
        <f t="shared" si="554"/>
        <v/>
      </c>
    </row>
    <row r="7068" spans="5:19" x14ac:dyDescent="0.3">
      <c r="E7068" s="9" t="str">
        <f>IF(DADOS!C7068="","",DADOS!C7068)</f>
        <v/>
      </c>
      <c r="F7068" s="9" t="str">
        <f>IF(DADOS!E7068="","",DADOS!E7068)</f>
        <v/>
      </c>
      <c r="G7068" s="9" t="str">
        <f>IF(DADOS!F7068="","",DADOS!F7068)</f>
        <v/>
      </c>
      <c r="K7068" s="6" t="str">
        <f t="shared" si="555"/>
        <v/>
      </c>
      <c r="L7068" s="7" t="str">
        <f t="shared" si="556"/>
        <v/>
      </c>
      <c r="M7068" s="7" t="str">
        <f t="shared" si="553"/>
        <v/>
      </c>
      <c r="N7068" s="7" t="str">
        <f t="shared" si="557"/>
        <v/>
      </c>
      <c r="O7068" s="8"/>
      <c r="P7068" s="26"/>
      <c r="S7068" s="10" t="str">
        <f t="shared" si="554"/>
        <v/>
      </c>
    </row>
    <row r="7069" spans="5:19" x14ac:dyDescent="0.3">
      <c r="E7069" s="9" t="str">
        <f>IF(DADOS!C7069="","",DADOS!C7069)</f>
        <v/>
      </c>
      <c r="F7069" s="9" t="str">
        <f>IF(DADOS!E7069="","",DADOS!E7069)</f>
        <v/>
      </c>
      <c r="G7069" s="9" t="str">
        <f>IF(DADOS!F7069="","",DADOS!F7069)</f>
        <v/>
      </c>
      <c r="K7069" s="6" t="str">
        <f t="shared" si="555"/>
        <v/>
      </c>
      <c r="L7069" s="7" t="str">
        <f t="shared" si="556"/>
        <v/>
      </c>
      <c r="M7069" s="7" t="str">
        <f t="shared" si="553"/>
        <v/>
      </c>
      <c r="N7069" s="7" t="str">
        <f t="shared" si="557"/>
        <v/>
      </c>
      <c r="O7069" s="8"/>
      <c r="P7069" s="26"/>
      <c r="S7069" s="10" t="str">
        <f t="shared" si="554"/>
        <v/>
      </c>
    </row>
    <row r="7070" spans="5:19" x14ac:dyDescent="0.3">
      <c r="E7070" s="9" t="str">
        <f>IF(DADOS!C7070="","",DADOS!C7070)</f>
        <v/>
      </c>
      <c r="F7070" s="9" t="str">
        <f>IF(DADOS!E7070="","",DADOS!E7070)</f>
        <v/>
      </c>
      <c r="G7070" s="9" t="str">
        <f>IF(DADOS!F7070="","",DADOS!F7070)</f>
        <v/>
      </c>
      <c r="K7070" s="6" t="str">
        <f t="shared" si="555"/>
        <v/>
      </c>
      <c r="L7070" s="7" t="str">
        <f t="shared" si="556"/>
        <v/>
      </c>
      <c r="M7070" s="7" t="str">
        <f t="shared" si="553"/>
        <v/>
      </c>
      <c r="N7070" s="7" t="str">
        <f t="shared" si="557"/>
        <v/>
      </c>
      <c r="O7070" s="8"/>
      <c r="P7070" s="26"/>
      <c r="S7070" s="10" t="str">
        <f t="shared" si="554"/>
        <v/>
      </c>
    </row>
    <row r="7071" spans="5:19" x14ac:dyDescent="0.3">
      <c r="E7071" s="9" t="str">
        <f>IF(DADOS!C7071="","",DADOS!C7071)</f>
        <v/>
      </c>
      <c r="F7071" s="9" t="str">
        <f>IF(DADOS!E7071="","",DADOS!E7071)</f>
        <v/>
      </c>
      <c r="G7071" s="9" t="str">
        <f>IF(DADOS!F7071="","",DADOS!F7071)</f>
        <v/>
      </c>
      <c r="K7071" s="6" t="str">
        <f t="shared" si="555"/>
        <v/>
      </c>
      <c r="L7071" s="7" t="str">
        <f t="shared" si="556"/>
        <v/>
      </c>
      <c r="M7071" s="7" t="str">
        <f t="shared" si="553"/>
        <v/>
      </c>
      <c r="N7071" s="7" t="str">
        <f t="shared" si="557"/>
        <v/>
      </c>
      <c r="O7071" s="8"/>
      <c r="P7071" s="26"/>
      <c r="S7071" s="10" t="str">
        <f t="shared" si="554"/>
        <v/>
      </c>
    </row>
    <row r="7072" spans="5:19" x14ac:dyDescent="0.3">
      <c r="E7072" s="9" t="str">
        <f>IF(DADOS!C7072="","",DADOS!C7072)</f>
        <v/>
      </c>
      <c r="F7072" s="9" t="str">
        <f>IF(DADOS!E7072="","",DADOS!E7072)</f>
        <v/>
      </c>
      <c r="G7072" s="9" t="str">
        <f>IF(DADOS!F7072="","",DADOS!F7072)</f>
        <v/>
      </c>
      <c r="K7072" s="6" t="str">
        <f t="shared" si="555"/>
        <v/>
      </c>
      <c r="L7072" s="7" t="str">
        <f t="shared" si="556"/>
        <v/>
      </c>
      <c r="M7072" s="7" t="str">
        <f t="shared" si="553"/>
        <v/>
      </c>
      <c r="N7072" s="7" t="str">
        <f t="shared" si="557"/>
        <v/>
      </c>
      <c r="O7072" s="8"/>
      <c r="P7072" s="26"/>
      <c r="S7072" s="10" t="str">
        <f t="shared" si="554"/>
        <v/>
      </c>
    </row>
    <row r="7073" spans="5:19" x14ac:dyDescent="0.3">
      <c r="E7073" s="9" t="str">
        <f>IF(DADOS!C7073="","",DADOS!C7073)</f>
        <v/>
      </c>
      <c r="F7073" s="9" t="str">
        <f>IF(DADOS!E7073="","",DADOS!E7073)</f>
        <v/>
      </c>
      <c r="G7073" s="9" t="str">
        <f>IF(DADOS!F7073="","",DADOS!F7073)</f>
        <v/>
      </c>
      <c r="K7073" s="6" t="str">
        <f t="shared" si="555"/>
        <v/>
      </c>
      <c r="L7073" s="7" t="str">
        <f t="shared" si="556"/>
        <v/>
      </c>
      <c r="M7073" s="7" t="str">
        <f t="shared" si="553"/>
        <v/>
      </c>
      <c r="N7073" s="7" t="str">
        <f t="shared" si="557"/>
        <v/>
      </c>
      <c r="O7073" s="8"/>
      <c r="P7073" s="26"/>
      <c r="S7073" s="10" t="str">
        <f t="shared" si="554"/>
        <v/>
      </c>
    </row>
    <row r="7074" spans="5:19" x14ac:dyDescent="0.3">
      <c r="E7074" s="9" t="str">
        <f>IF(DADOS!C7074="","",DADOS!C7074)</f>
        <v/>
      </c>
      <c r="F7074" s="9" t="str">
        <f>IF(DADOS!E7074="","",DADOS!E7074)</f>
        <v/>
      </c>
      <c r="G7074" s="9" t="str">
        <f>IF(DADOS!F7074="","",DADOS!F7074)</f>
        <v/>
      </c>
      <c r="K7074" s="6" t="str">
        <f t="shared" si="555"/>
        <v/>
      </c>
      <c r="L7074" s="7" t="str">
        <f t="shared" si="556"/>
        <v/>
      </c>
      <c r="M7074" s="7" t="str">
        <f t="shared" si="553"/>
        <v/>
      </c>
      <c r="N7074" s="7" t="str">
        <f t="shared" si="557"/>
        <v/>
      </c>
      <c r="O7074" s="8"/>
      <c r="P7074" s="26"/>
      <c r="S7074" s="10" t="str">
        <f t="shared" si="554"/>
        <v/>
      </c>
    </row>
    <row r="7075" spans="5:19" x14ac:dyDescent="0.3">
      <c r="E7075" s="9" t="str">
        <f>IF(DADOS!C7075="","",DADOS!C7075)</f>
        <v/>
      </c>
      <c r="F7075" s="9" t="str">
        <f>IF(DADOS!E7075="","",DADOS!E7075)</f>
        <v/>
      </c>
      <c r="G7075" s="9" t="str">
        <f>IF(DADOS!F7075="","",DADOS!F7075)</f>
        <v/>
      </c>
      <c r="K7075" s="6" t="str">
        <f t="shared" si="555"/>
        <v/>
      </c>
      <c r="L7075" s="7" t="str">
        <f t="shared" si="556"/>
        <v/>
      </c>
      <c r="M7075" s="7" t="str">
        <f t="shared" si="553"/>
        <v/>
      </c>
      <c r="N7075" s="7" t="str">
        <f t="shared" si="557"/>
        <v/>
      </c>
      <c r="O7075" s="8"/>
      <c r="P7075" s="26"/>
      <c r="S7075" s="10" t="str">
        <f t="shared" si="554"/>
        <v/>
      </c>
    </row>
    <row r="7076" spans="5:19" x14ac:dyDescent="0.3">
      <c r="E7076" s="9" t="str">
        <f>IF(DADOS!C7076="","",DADOS!C7076)</f>
        <v/>
      </c>
      <c r="F7076" s="9" t="str">
        <f>IF(DADOS!E7076="","",DADOS!E7076)</f>
        <v/>
      </c>
      <c r="G7076" s="9" t="str">
        <f>IF(DADOS!F7076="","",DADOS!F7076)</f>
        <v/>
      </c>
      <c r="K7076" s="6" t="str">
        <f t="shared" si="555"/>
        <v/>
      </c>
      <c r="L7076" s="7" t="str">
        <f t="shared" si="556"/>
        <v/>
      </c>
      <c r="M7076" s="7" t="str">
        <f t="shared" si="553"/>
        <v/>
      </c>
      <c r="N7076" s="7" t="str">
        <f t="shared" si="557"/>
        <v/>
      </c>
      <c r="O7076" s="8"/>
      <c r="P7076" s="26"/>
      <c r="S7076" s="10" t="str">
        <f t="shared" si="554"/>
        <v/>
      </c>
    </row>
    <row r="7077" spans="5:19" x14ac:dyDescent="0.3">
      <c r="E7077" s="9" t="str">
        <f>IF(DADOS!C7077="","",DADOS!C7077)</f>
        <v/>
      </c>
      <c r="F7077" s="9" t="str">
        <f>IF(DADOS!E7077="","",DADOS!E7077)</f>
        <v/>
      </c>
      <c r="G7077" s="9" t="str">
        <f>IF(DADOS!F7077="","",DADOS!F7077)</f>
        <v/>
      </c>
      <c r="K7077" s="6" t="str">
        <f t="shared" si="555"/>
        <v/>
      </c>
      <c r="L7077" s="7" t="str">
        <f t="shared" si="556"/>
        <v/>
      </c>
      <c r="M7077" s="7" t="str">
        <f t="shared" si="553"/>
        <v/>
      </c>
      <c r="N7077" s="7" t="str">
        <f t="shared" si="557"/>
        <v/>
      </c>
      <c r="O7077" s="8"/>
      <c r="P7077" s="26"/>
      <c r="S7077" s="10" t="str">
        <f t="shared" si="554"/>
        <v/>
      </c>
    </row>
    <row r="7078" spans="5:19" x14ac:dyDescent="0.3">
      <c r="E7078" s="9" t="str">
        <f>IF(DADOS!C7078="","",DADOS!C7078)</f>
        <v/>
      </c>
      <c r="F7078" s="9" t="str">
        <f>IF(DADOS!E7078="","",DADOS!E7078)</f>
        <v/>
      </c>
      <c r="G7078" s="9" t="str">
        <f>IF(DADOS!F7078="","",DADOS!F7078)</f>
        <v/>
      </c>
      <c r="K7078" s="6" t="str">
        <f t="shared" si="555"/>
        <v/>
      </c>
      <c r="L7078" s="7" t="str">
        <f t="shared" si="556"/>
        <v/>
      </c>
      <c r="M7078" s="7" t="str">
        <f t="shared" si="553"/>
        <v/>
      </c>
      <c r="N7078" s="7" t="str">
        <f t="shared" si="557"/>
        <v/>
      </c>
      <c r="O7078" s="8"/>
      <c r="P7078" s="26"/>
      <c r="S7078" s="10" t="str">
        <f t="shared" si="554"/>
        <v/>
      </c>
    </row>
    <row r="7079" spans="5:19" x14ac:dyDescent="0.3">
      <c r="E7079" s="9" t="str">
        <f>IF(DADOS!C7079="","",DADOS!C7079)</f>
        <v/>
      </c>
      <c r="F7079" s="9" t="str">
        <f>IF(DADOS!E7079="","",DADOS!E7079)</f>
        <v/>
      </c>
      <c r="G7079" s="9" t="str">
        <f>IF(DADOS!F7079="","",DADOS!F7079)</f>
        <v/>
      </c>
      <c r="K7079" s="6" t="str">
        <f t="shared" si="555"/>
        <v/>
      </c>
      <c r="L7079" s="7" t="str">
        <f t="shared" si="556"/>
        <v/>
      </c>
      <c r="M7079" s="7" t="str">
        <f t="shared" si="553"/>
        <v/>
      </c>
      <c r="N7079" s="7" t="str">
        <f t="shared" si="557"/>
        <v/>
      </c>
      <c r="O7079" s="8"/>
      <c r="P7079" s="26"/>
      <c r="S7079" s="10" t="str">
        <f t="shared" si="554"/>
        <v/>
      </c>
    </row>
    <row r="7080" spans="5:19" x14ac:dyDescent="0.3">
      <c r="E7080" s="9" t="str">
        <f>IF(DADOS!C7080="","",DADOS!C7080)</f>
        <v/>
      </c>
      <c r="F7080" s="9" t="str">
        <f>IF(DADOS!E7080="","",DADOS!E7080)</f>
        <v/>
      </c>
      <c r="G7080" s="9" t="str">
        <f>IF(DADOS!F7080="","",DADOS!F7080)</f>
        <v/>
      </c>
      <c r="K7080" s="6" t="str">
        <f t="shared" si="555"/>
        <v/>
      </c>
      <c r="L7080" s="7" t="str">
        <f t="shared" si="556"/>
        <v/>
      </c>
      <c r="M7080" s="7" t="str">
        <f t="shared" si="553"/>
        <v/>
      </c>
      <c r="N7080" s="7" t="str">
        <f t="shared" si="557"/>
        <v/>
      </c>
      <c r="O7080" s="8"/>
      <c r="P7080" s="26"/>
      <c r="S7080" s="10" t="str">
        <f t="shared" si="554"/>
        <v/>
      </c>
    </row>
    <row r="7081" spans="5:19" x14ac:dyDescent="0.3">
      <c r="E7081" s="9" t="str">
        <f>IF(DADOS!C7081="","",DADOS!C7081)</f>
        <v/>
      </c>
      <c r="F7081" s="9" t="str">
        <f>IF(DADOS!E7081="","",DADOS!E7081)</f>
        <v/>
      </c>
      <c r="G7081" s="9" t="str">
        <f>IF(DADOS!F7081="","",DADOS!F7081)</f>
        <v/>
      </c>
      <c r="K7081" s="6" t="str">
        <f t="shared" si="555"/>
        <v/>
      </c>
      <c r="L7081" s="7" t="str">
        <f t="shared" si="556"/>
        <v/>
      </c>
      <c r="M7081" s="7" t="str">
        <f t="shared" si="553"/>
        <v/>
      </c>
      <c r="N7081" s="7" t="str">
        <f t="shared" si="557"/>
        <v/>
      </c>
      <c r="O7081" s="8"/>
      <c r="P7081" s="26"/>
      <c r="S7081" s="10" t="str">
        <f t="shared" si="554"/>
        <v/>
      </c>
    </row>
    <row r="7082" spans="5:19" x14ac:dyDescent="0.3">
      <c r="E7082" s="9" t="str">
        <f>IF(DADOS!C7082="","",DADOS!C7082)</f>
        <v/>
      </c>
      <c r="F7082" s="9" t="str">
        <f>IF(DADOS!E7082="","",DADOS!E7082)</f>
        <v/>
      </c>
      <c r="G7082" s="9" t="str">
        <f>IF(DADOS!F7082="","",DADOS!F7082)</f>
        <v/>
      </c>
      <c r="K7082" s="6" t="str">
        <f t="shared" si="555"/>
        <v/>
      </c>
      <c r="L7082" s="7" t="str">
        <f t="shared" si="556"/>
        <v/>
      </c>
      <c r="M7082" s="7" t="str">
        <f t="shared" si="553"/>
        <v/>
      </c>
      <c r="N7082" s="7" t="str">
        <f t="shared" si="557"/>
        <v/>
      </c>
      <c r="O7082" s="8"/>
      <c r="P7082" s="26"/>
      <c r="S7082" s="10" t="str">
        <f t="shared" si="554"/>
        <v/>
      </c>
    </row>
    <row r="7083" spans="5:19" x14ac:dyDescent="0.3">
      <c r="E7083" s="9" t="str">
        <f>IF(DADOS!C7083="","",DADOS!C7083)</f>
        <v/>
      </c>
      <c r="F7083" s="9" t="str">
        <f>IF(DADOS!E7083="","",DADOS!E7083)</f>
        <v/>
      </c>
      <c r="G7083" s="9" t="str">
        <f>IF(DADOS!F7083="","",DADOS!F7083)</f>
        <v/>
      </c>
      <c r="K7083" s="6" t="str">
        <f t="shared" si="555"/>
        <v/>
      </c>
      <c r="L7083" s="7" t="str">
        <f t="shared" si="556"/>
        <v/>
      </c>
      <c r="M7083" s="7" t="str">
        <f t="shared" si="553"/>
        <v/>
      </c>
      <c r="N7083" s="7" t="str">
        <f t="shared" si="557"/>
        <v/>
      </c>
      <c r="O7083" s="8"/>
      <c r="P7083" s="26"/>
      <c r="S7083" s="10" t="str">
        <f t="shared" si="554"/>
        <v/>
      </c>
    </row>
    <row r="7084" spans="5:19" x14ac:dyDescent="0.3">
      <c r="E7084" s="9" t="str">
        <f>IF(DADOS!C7084="","",DADOS!C7084)</f>
        <v/>
      </c>
      <c r="F7084" s="9" t="str">
        <f>IF(DADOS!E7084="","",DADOS!E7084)</f>
        <v/>
      </c>
      <c r="G7084" s="9" t="str">
        <f>IF(DADOS!F7084="","",DADOS!F7084)</f>
        <v/>
      </c>
      <c r="K7084" s="6" t="str">
        <f t="shared" si="555"/>
        <v/>
      </c>
      <c r="L7084" s="7" t="str">
        <f t="shared" si="556"/>
        <v/>
      </c>
      <c r="M7084" s="7" t="str">
        <f t="shared" si="553"/>
        <v/>
      </c>
      <c r="N7084" s="7" t="str">
        <f t="shared" si="557"/>
        <v/>
      </c>
      <c r="O7084" s="8"/>
      <c r="P7084" s="26"/>
      <c r="S7084" s="10" t="str">
        <f t="shared" si="554"/>
        <v/>
      </c>
    </row>
    <row r="7085" spans="5:19" x14ac:dyDescent="0.3">
      <c r="E7085" s="9" t="str">
        <f>IF(DADOS!C7085="","",DADOS!C7085)</f>
        <v/>
      </c>
      <c r="F7085" s="9" t="str">
        <f>IF(DADOS!E7085="","",DADOS!E7085)</f>
        <v/>
      </c>
      <c r="G7085" s="9" t="str">
        <f>IF(DADOS!F7085="","",DADOS!F7085)</f>
        <v/>
      </c>
      <c r="K7085" s="6" t="str">
        <f t="shared" si="555"/>
        <v/>
      </c>
      <c r="L7085" s="7" t="str">
        <f t="shared" si="556"/>
        <v/>
      </c>
      <c r="M7085" s="7" t="str">
        <f t="shared" si="553"/>
        <v/>
      </c>
      <c r="N7085" s="7" t="str">
        <f t="shared" si="557"/>
        <v/>
      </c>
      <c r="O7085" s="8"/>
      <c r="P7085" s="26"/>
      <c r="S7085" s="10" t="str">
        <f t="shared" si="554"/>
        <v/>
      </c>
    </row>
    <row r="7086" spans="5:19" x14ac:dyDescent="0.3">
      <c r="E7086" s="9" t="str">
        <f>IF(DADOS!C7086="","",DADOS!C7086)</f>
        <v/>
      </c>
      <c r="F7086" s="9" t="str">
        <f>IF(DADOS!E7086="","",DADOS!E7086)</f>
        <v/>
      </c>
      <c r="G7086" s="9" t="str">
        <f>IF(DADOS!F7086="","",DADOS!F7086)</f>
        <v/>
      </c>
      <c r="K7086" s="6" t="str">
        <f t="shared" si="555"/>
        <v/>
      </c>
      <c r="L7086" s="7" t="str">
        <f t="shared" si="556"/>
        <v/>
      </c>
      <c r="M7086" s="7" t="str">
        <f t="shared" si="553"/>
        <v/>
      </c>
      <c r="N7086" s="7" t="str">
        <f t="shared" si="557"/>
        <v/>
      </c>
      <c r="O7086" s="8"/>
      <c r="P7086" s="26"/>
      <c r="S7086" s="10" t="str">
        <f t="shared" si="554"/>
        <v/>
      </c>
    </row>
    <row r="7087" spans="5:19" x14ac:dyDescent="0.3">
      <c r="E7087" s="9" t="str">
        <f>IF(DADOS!C7087="","",DADOS!C7087)</f>
        <v/>
      </c>
      <c r="F7087" s="9" t="str">
        <f>IF(DADOS!E7087="","",DADOS!E7087)</f>
        <v/>
      </c>
      <c r="G7087" s="9" t="str">
        <f>IF(DADOS!F7087="","",DADOS!F7087)</f>
        <v/>
      </c>
      <c r="K7087" s="6" t="str">
        <f t="shared" si="555"/>
        <v/>
      </c>
      <c r="L7087" s="7" t="str">
        <f t="shared" si="556"/>
        <v/>
      </c>
      <c r="M7087" s="7" t="str">
        <f t="shared" si="553"/>
        <v/>
      </c>
      <c r="N7087" s="7" t="str">
        <f t="shared" si="557"/>
        <v/>
      </c>
      <c r="O7087" s="8"/>
      <c r="P7087" s="26"/>
      <c r="S7087" s="10" t="str">
        <f t="shared" si="554"/>
        <v/>
      </c>
    </row>
    <row r="7088" spans="5:19" x14ac:dyDescent="0.3">
      <c r="E7088" s="9" t="str">
        <f>IF(DADOS!C7088="","",DADOS!C7088)</f>
        <v/>
      </c>
      <c r="F7088" s="9" t="str">
        <f>IF(DADOS!E7088="","",DADOS!E7088)</f>
        <v/>
      </c>
      <c r="G7088" s="9" t="str">
        <f>IF(DADOS!F7088="","",DADOS!F7088)</f>
        <v/>
      </c>
      <c r="K7088" s="6" t="str">
        <f t="shared" si="555"/>
        <v/>
      </c>
      <c r="L7088" s="7" t="str">
        <f t="shared" si="556"/>
        <v/>
      </c>
      <c r="M7088" s="7" t="str">
        <f t="shared" si="553"/>
        <v/>
      </c>
      <c r="N7088" s="7" t="str">
        <f t="shared" si="557"/>
        <v/>
      </c>
      <c r="O7088" s="8"/>
      <c r="P7088" s="26"/>
      <c r="S7088" s="10" t="str">
        <f t="shared" si="554"/>
        <v/>
      </c>
    </row>
    <row r="7089" spans="5:19" x14ac:dyDescent="0.3">
      <c r="E7089" s="9" t="str">
        <f>IF(DADOS!C7089="","",DADOS!C7089)</f>
        <v/>
      </c>
      <c r="F7089" s="9" t="str">
        <f>IF(DADOS!E7089="","",DADOS!E7089)</f>
        <v/>
      </c>
      <c r="G7089" s="9" t="str">
        <f>IF(DADOS!F7089="","",DADOS!F7089)</f>
        <v/>
      </c>
      <c r="K7089" s="6" t="str">
        <f t="shared" si="555"/>
        <v/>
      </c>
      <c r="L7089" s="7" t="str">
        <f t="shared" si="556"/>
        <v/>
      </c>
      <c r="M7089" s="7" t="str">
        <f t="shared" si="553"/>
        <v/>
      </c>
      <c r="N7089" s="7" t="str">
        <f t="shared" si="557"/>
        <v/>
      </c>
      <c r="O7089" s="8"/>
      <c r="P7089" s="26"/>
      <c r="S7089" s="10" t="str">
        <f t="shared" si="554"/>
        <v/>
      </c>
    </row>
    <row r="7090" spans="5:19" x14ac:dyDescent="0.3">
      <c r="E7090" s="9" t="str">
        <f>IF(DADOS!C7090="","",DADOS!C7090)</f>
        <v/>
      </c>
      <c r="F7090" s="9" t="str">
        <f>IF(DADOS!E7090="","",DADOS!E7090)</f>
        <v/>
      </c>
      <c r="G7090" s="9" t="str">
        <f>IF(DADOS!F7090="","",DADOS!F7090)</f>
        <v/>
      </c>
      <c r="K7090" s="6" t="str">
        <f t="shared" si="555"/>
        <v/>
      </c>
      <c r="L7090" s="7" t="str">
        <f t="shared" si="556"/>
        <v/>
      </c>
      <c r="M7090" s="7" t="str">
        <f t="shared" si="553"/>
        <v/>
      </c>
      <c r="N7090" s="7" t="str">
        <f t="shared" si="557"/>
        <v/>
      </c>
      <c r="O7090" s="8"/>
      <c r="P7090" s="26"/>
      <c r="S7090" s="10" t="str">
        <f t="shared" si="554"/>
        <v/>
      </c>
    </row>
    <row r="7091" spans="5:19" x14ac:dyDescent="0.3">
      <c r="E7091" s="9" t="str">
        <f>IF(DADOS!C7091="","",DADOS!C7091)</f>
        <v/>
      </c>
      <c r="F7091" s="9" t="str">
        <f>IF(DADOS!E7091="","",DADOS!E7091)</f>
        <v/>
      </c>
      <c r="G7091" s="9" t="str">
        <f>IF(DADOS!F7091="","",DADOS!F7091)</f>
        <v/>
      </c>
      <c r="K7091" s="6" t="str">
        <f t="shared" si="555"/>
        <v/>
      </c>
      <c r="L7091" s="7" t="str">
        <f t="shared" si="556"/>
        <v/>
      </c>
      <c r="M7091" s="7" t="str">
        <f t="shared" si="553"/>
        <v/>
      </c>
      <c r="N7091" s="7" t="str">
        <f t="shared" si="557"/>
        <v/>
      </c>
      <c r="O7091" s="8"/>
      <c r="P7091" s="26"/>
      <c r="S7091" s="10" t="str">
        <f t="shared" si="554"/>
        <v/>
      </c>
    </row>
    <row r="7092" spans="5:19" x14ac:dyDescent="0.3">
      <c r="E7092" s="9" t="str">
        <f>IF(DADOS!C7092="","",DADOS!C7092)</f>
        <v/>
      </c>
      <c r="F7092" s="9" t="str">
        <f>IF(DADOS!E7092="","",DADOS!E7092)</f>
        <v/>
      </c>
      <c r="G7092" s="9" t="str">
        <f>IF(DADOS!F7092="","",DADOS!F7092)</f>
        <v/>
      </c>
      <c r="K7092" s="6" t="str">
        <f t="shared" si="555"/>
        <v/>
      </c>
      <c r="L7092" s="7" t="str">
        <f t="shared" si="556"/>
        <v/>
      </c>
      <c r="M7092" s="7" t="str">
        <f t="shared" si="553"/>
        <v/>
      </c>
      <c r="N7092" s="7" t="str">
        <f t="shared" si="557"/>
        <v/>
      </c>
      <c r="O7092" s="8"/>
      <c r="P7092" s="26"/>
      <c r="S7092" s="10" t="str">
        <f t="shared" si="554"/>
        <v/>
      </c>
    </row>
    <row r="7093" spans="5:19" x14ac:dyDescent="0.3">
      <c r="E7093" s="9" t="str">
        <f>IF(DADOS!C7093="","",DADOS!C7093)</f>
        <v/>
      </c>
      <c r="F7093" s="9" t="str">
        <f>IF(DADOS!E7093="","",DADOS!E7093)</f>
        <v/>
      </c>
      <c r="G7093" s="9" t="str">
        <f>IF(DADOS!F7093="","",DADOS!F7093)</f>
        <v/>
      </c>
      <c r="K7093" s="6" t="str">
        <f t="shared" si="555"/>
        <v/>
      </c>
      <c r="L7093" s="7" t="str">
        <f t="shared" si="556"/>
        <v/>
      </c>
      <c r="M7093" s="7" t="str">
        <f t="shared" si="553"/>
        <v/>
      </c>
      <c r="N7093" s="7" t="str">
        <f t="shared" si="557"/>
        <v/>
      </c>
      <c r="O7093" s="8"/>
      <c r="P7093" s="26"/>
      <c r="S7093" s="10" t="str">
        <f t="shared" si="554"/>
        <v/>
      </c>
    </row>
    <row r="7094" spans="5:19" x14ac:dyDescent="0.3">
      <c r="E7094" s="9" t="str">
        <f>IF(DADOS!C7094="","",DADOS!C7094)</f>
        <v/>
      </c>
      <c r="F7094" s="9" t="str">
        <f>IF(DADOS!E7094="","",DADOS!E7094)</f>
        <v/>
      </c>
      <c r="G7094" s="9" t="str">
        <f>IF(DADOS!F7094="","",DADOS!F7094)</f>
        <v/>
      </c>
      <c r="K7094" s="6" t="str">
        <f t="shared" si="555"/>
        <v/>
      </c>
      <c r="L7094" s="7" t="str">
        <f t="shared" si="556"/>
        <v/>
      </c>
      <c r="M7094" s="7" t="str">
        <f t="shared" si="553"/>
        <v/>
      </c>
      <c r="N7094" s="7" t="str">
        <f t="shared" si="557"/>
        <v/>
      </c>
      <c r="O7094" s="8"/>
      <c r="P7094" s="26"/>
      <c r="S7094" s="10" t="str">
        <f t="shared" si="554"/>
        <v/>
      </c>
    </row>
    <row r="7095" spans="5:19" x14ac:dyDescent="0.3">
      <c r="E7095" s="9" t="str">
        <f>IF(DADOS!C7095="","",DADOS!C7095)</f>
        <v/>
      </c>
      <c r="F7095" s="9" t="str">
        <f>IF(DADOS!E7095="","",DADOS!E7095)</f>
        <v/>
      </c>
      <c r="G7095" s="9" t="str">
        <f>IF(DADOS!F7095="","",DADOS!F7095)</f>
        <v/>
      </c>
      <c r="K7095" s="6" t="str">
        <f t="shared" si="555"/>
        <v/>
      </c>
      <c r="L7095" s="7" t="str">
        <f t="shared" si="556"/>
        <v/>
      </c>
      <c r="M7095" s="7" t="str">
        <f t="shared" si="553"/>
        <v/>
      </c>
      <c r="N7095" s="7" t="str">
        <f t="shared" si="557"/>
        <v/>
      </c>
      <c r="O7095" s="8"/>
      <c r="P7095" s="26"/>
      <c r="S7095" s="10" t="str">
        <f t="shared" si="554"/>
        <v/>
      </c>
    </row>
    <row r="7096" spans="5:19" x14ac:dyDescent="0.3">
      <c r="E7096" s="9" t="str">
        <f>IF(DADOS!C7096="","",DADOS!C7096)</f>
        <v/>
      </c>
      <c r="F7096" s="9" t="str">
        <f>IF(DADOS!E7096="","",DADOS!E7096)</f>
        <v/>
      </c>
      <c r="G7096" s="9" t="str">
        <f>IF(DADOS!F7096="","",DADOS!F7096)</f>
        <v/>
      </c>
      <c r="K7096" s="6" t="str">
        <f t="shared" si="555"/>
        <v/>
      </c>
      <c r="L7096" s="7" t="str">
        <f t="shared" si="556"/>
        <v/>
      </c>
      <c r="M7096" s="7" t="str">
        <f t="shared" si="553"/>
        <v/>
      </c>
      <c r="N7096" s="7" t="str">
        <f t="shared" si="557"/>
        <v/>
      </c>
      <c r="O7096" s="8"/>
      <c r="P7096" s="26"/>
      <c r="S7096" s="10" t="str">
        <f t="shared" si="554"/>
        <v/>
      </c>
    </row>
    <row r="7097" spans="5:19" x14ac:dyDescent="0.3">
      <c r="E7097" s="9" t="str">
        <f>IF(DADOS!C7097="","",DADOS!C7097)</f>
        <v/>
      </c>
      <c r="F7097" s="9" t="str">
        <f>IF(DADOS!E7097="","",DADOS!E7097)</f>
        <v/>
      </c>
      <c r="G7097" s="9" t="str">
        <f>IF(DADOS!F7097="","",DADOS!F7097)</f>
        <v/>
      </c>
      <c r="K7097" s="6" t="str">
        <f t="shared" si="555"/>
        <v/>
      </c>
      <c r="L7097" s="7" t="str">
        <f t="shared" si="556"/>
        <v/>
      </c>
      <c r="M7097" s="7" t="str">
        <f t="shared" si="553"/>
        <v/>
      </c>
      <c r="N7097" s="7" t="str">
        <f t="shared" si="557"/>
        <v/>
      </c>
      <c r="O7097" s="8"/>
      <c r="P7097" s="26"/>
      <c r="S7097" s="10" t="str">
        <f t="shared" si="554"/>
        <v/>
      </c>
    </row>
    <row r="7098" spans="5:19" x14ac:dyDescent="0.3">
      <c r="E7098" s="9" t="str">
        <f>IF(DADOS!C7098="","",DADOS!C7098)</f>
        <v/>
      </c>
      <c r="F7098" s="9" t="str">
        <f>IF(DADOS!E7098="","",DADOS!E7098)</f>
        <v/>
      </c>
      <c r="G7098" s="9" t="str">
        <f>IF(DADOS!F7098="","",DADOS!F7098)</f>
        <v/>
      </c>
      <c r="K7098" s="6" t="str">
        <f t="shared" si="555"/>
        <v/>
      </c>
      <c r="L7098" s="7" t="str">
        <f t="shared" si="556"/>
        <v/>
      </c>
      <c r="M7098" s="7" t="str">
        <f t="shared" si="553"/>
        <v/>
      </c>
      <c r="N7098" s="7" t="str">
        <f t="shared" si="557"/>
        <v/>
      </c>
      <c r="O7098" s="8"/>
      <c r="P7098" s="26"/>
      <c r="S7098" s="10" t="str">
        <f t="shared" si="554"/>
        <v/>
      </c>
    </row>
    <row r="7099" spans="5:19" x14ac:dyDescent="0.3">
      <c r="E7099" s="9" t="str">
        <f>IF(DADOS!C7099="","",DADOS!C7099)</f>
        <v/>
      </c>
      <c r="F7099" s="9" t="str">
        <f>IF(DADOS!E7099="","",DADOS!E7099)</f>
        <v/>
      </c>
      <c r="G7099" s="9" t="str">
        <f>IF(DADOS!F7099="","",DADOS!F7099)</f>
        <v/>
      </c>
      <c r="K7099" s="6" t="str">
        <f t="shared" si="555"/>
        <v/>
      </c>
      <c r="L7099" s="7" t="str">
        <f t="shared" si="556"/>
        <v/>
      </c>
      <c r="M7099" s="7" t="str">
        <f t="shared" si="553"/>
        <v/>
      </c>
      <c r="N7099" s="7" t="str">
        <f t="shared" si="557"/>
        <v/>
      </c>
      <c r="O7099" s="8"/>
      <c r="P7099" s="26"/>
      <c r="S7099" s="10" t="str">
        <f t="shared" si="554"/>
        <v/>
      </c>
    </row>
    <row r="7100" spans="5:19" x14ac:dyDescent="0.3">
      <c r="E7100" s="9" t="str">
        <f>IF(DADOS!C7100="","",DADOS!C7100)</f>
        <v/>
      </c>
      <c r="F7100" s="9" t="str">
        <f>IF(DADOS!E7100="","",DADOS!E7100)</f>
        <v/>
      </c>
      <c r="G7100" s="9" t="str">
        <f>IF(DADOS!F7100="","",DADOS!F7100)</f>
        <v/>
      </c>
      <c r="K7100" s="6" t="str">
        <f t="shared" si="555"/>
        <v/>
      </c>
      <c r="L7100" s="7" t="str">
        <f t="shared" si="556"/>
        <v/>
      </c>
      <c r="M7100" s="7" t="str">
        <f t="shared" si="553"/>
        <v/>
      </c>
      <c r="N7100" s="7" t="str">
        <f t="shared" si="557"/>
        <v/>
      </c>
      <c r="O7100" s="8"/>
      <c r="P7100" s="26"/>
      <c r="S7100" s="10" t="str">
        <f t="shared" si="554"/>
        <v/>
      </c>
    </row>
    <row r="7101" spans="5:19" x14ac:dyDescent="0.3">
      <c r="E7101" s="9" t="str">
        <f>IF(DADOS!C7101="","",DADOS!C7101)</f>
        <v/>
      </c>
      <c r="F7101" s="9" t="str">
        <f>IF(DADOS!E7101="","",DADOS!E7101)</f>
        <v/>
      </c>
      <c r="G7101" s="9" t="str">
        <f>IF(DADOS!F7101="","",DADOS!F7101)</f>
        <v/>
      </c>
      <c r="K7101" s="6" t="str">
        <f t="shared" si="555"/>
        <v/>
      </c>
      <c r="L7101" s="7" t="str">
        <f t="shared" si="556"/>
        <v/>
      </c>
      <c r="M7101" s="7" t="str">
        <f t="shared" si="553"/>
        <v/>
      </c>
      <c r="N7101" s="7" t="str">
        <f t="shared" si="557"/>
        <v/>
      </c>
      <c r="O7101" s="8"/>
      <c r="P7101" s="26"/>
      <c r="S7101" s="10" t="str">
        <f t="shared" si="554"/>
        <v/>
      </c>
    </row>
    <row r="7102" spans="5:19" x14ac:dyDescent="0.3">
      <c r="E7102" s="9" t="str">
        <f>IF(DADOS!C7102="","",DADOS!C7102)</f>
        <v/>
      </c>
      <c r="F7102" s="9" t="str">
        <f>IF(DADOS!E7102="","",DADOS!E7102)</f>
        <v/>
      </c>
      <c r="G7102" s="9" t="str">
        <f>IF(DADOS!F7102="","",DADOS!F7102)</f>
        <v/>
      </c>
      <c r="K7102" s="6" t="str">
        <f t="shared" si="555"/>
        <v/>
      </c>
      <c r="L7102" s="7" t="str">
        <f t="shared" si="556"/>
        <v/>
      </c>
      <c r="M7102" s="7" t="str">
        <f t="shared" si="553"/>
        <v/>
      </c>
      <c r="N7102" s="7" t="str">
        <f t="shared" si="557"/>
        <v/>
      </c>
      <c r="O7102" s="8"/>
      <c r="P7102" s="26"/>
      <c r="S7102" s="10" t="str">
        <f t="shared" si="554"/>
        <v/>
      </c>
    </row>
    <row r="7103" spans="5:19" x14ac:dyDescent="0.3">
      <c r="E7103" s="9" t="str">
        <f>IF(DADOS!C7103="","",DADOS!C7103)</f>
        <v/>
      </c>
      <c r="F7103" s="9" t="str">
        <f>IF(DADOS!E7103="","",DADOS!E7103)</f>
        <v/>
      </c>
      <c r="G7103" s="9" t="str">
        <f>IF(DADOS!F7103="","",DADOS!F7103)</f>
        <v/>
      </c>
      <c r="K7103" s="6" t="str">
        <f t="shared" si="555"/>
        <v/>
      </c>
      <c r="L7103" s="7" t="str">
        <f t="shared" si="556"/>
        <v/>
      </c>
      <c r="M7103" s="7" t="str">
        <f t="shared" si="553"/>
        <v/>
      </c>
      <c r="N7103" s="7" t="str">
        <f t="shared" si="557"/>
        <v/>
      </c>
      <c r="O7103" s="8"/>
      <c r="P7103" s="26"/>
      <c r="S7103" s="10" t="str">
        <f t="shared" si="554"/>
        <v/>
      </c>
    </row>
    <row r="7104" spans="5:19" x14ac:dyDescent="0.3">
      <c r="E7104" s="9" t="str">
        <f>IF(DADOS!C7104="","",DADOS!C7104)</f>
        <v/>
      </c>
      <c r="F7104" s="9" t="str">
        <f>IF(DADOS!E7104="","",DADOS!E7104)</f>
        <v/>
      </c>
      <c r="G7104" s="9" t="str">
        <f>IF(DADOS!F7104="","",DADOS!F7104)</f>
        <v/>
      </c>
      <c r="K7104" s="6" t="str">
        <f t="shared" si="555"/>
        <v/>
      </c>
      <c r="L7104" s="7" t="str">
        <f t="shared" si="556"/>
        <v/>
      </c>
      <c r="M7104" s="7" t="str">
        <f t="shared" si="553"/>
        <v/>
      </c>
      <c r="N7104" s="7" t="str">
        <f t="shared" si="557"/>
        <v/>
      </c>
      <c r="O7104" s="8"/>
      <c r="P7104" s="26"/>
      <c r="S7104" s="10" t="str">
        <f t="shared" si="554"/>
        <v/>
      </c>
    </row>
    <row r="7105" spans="5:19" x14ac:dyDescent="0.3">
      <c r="E7105" s="9" t="str">
        <f>IF(DADOS!C7105="","",DADOS!C7105)</f>
        <v/>
      </c>
      <c r="F7105" s="9" t="str">
        <f>IF(DADOS!E7105="","",DADOS!E7105)</f>
        <v/>
      </c>
      <c r="G7105" s="9" t="str">
        <f>IF(DADOS!F7105="","",DADOS!F7105)</f>
        <v/>
      </c>
      <c r="K7105" s="6" t="str">
        <f t="shared" si="555"/>
        <v/>
      </c>
      <c r="L7105" s="7" t="str">
        <f t="shared" si="556"/>
        <v/>
      </c>
      <c r="M7105" s="7" t="str">
        <f t="shared" si="553"/>
        <v/>
      </c>
      <c r="N7105" s="7" t="str">
        <f t="shared" si="557"/>
        <v/>
      </c>
      <c r="O7105" s="8"/>
      <c r="P7105" s="26"/>
      <c r="S7105" s="10" t="str">
        <f t="shared" si="554"/>
        <v/>
      </c>
    </row>
    <row r="7106" spans="5:19" x14ac:dyDescent="0.3">
      <c r="E7106" s="9" t="str">
        <f>IF(DADOS!C7106="","",DADOS!C7106)</f>
        <v/>
      </c>
      <c r="F7106" s="9" t="str">
        <f>IF(DADOS!E7106="","",DADOS!E7106)</f>
        <v/>
      </c>
      <c r="G7106" s="9" t="str">
        <f>IF(DADOS!F7106="","",DADOS!F7106)</f>
        <v/>
      </c>
      <c r="K7106" s="6" t="str">
        <f t="shared" si="555"/>
        <v/>
      </c>
      <c r="L7106" s="7" t="str">
        <f t="shared" si="556"/>
        <v/>
      </c>
      <c r="M7106" s="7" t="str">
        <f t="shared" si="553"/>
        <v/>
      </c>
      <c r="N7106" s="7" t="str">
        <f t="shared" si="557"/>
        <v/>
      </c>
      <c r="O7106" s="8"/>
      <c r="P7106" s="26"/>
      <c r="S7106" s="10" t="str">
        <f t="shared" si="554"/>
        <v/>
      </c>
    </row>
    <row r="7107" spans="5:19" x14ac:dyDescent="0.3">
      <c r="E7107" s="9" t="str">
        <f>IF(DADOS!C7107="","",DADOS!C7107)</f>
        <v/>
      </c>
      <c r="F7107" s="9" t="str">
        <f>IF(DADOS!E7107="","",DADOS!E7107)</f>
        <v/>
      </c>
      <c r="G7107" s="9" t="str">
        <f>IF(DADOS!F7107="","",DADOS!F7107)</f>
        <v/>
      </c>
      <c r="K7107" s="6" t="str">
        <f t="shared" si="555"/>
        <v/>
      </c>
      <c r="L7107" s="7" t="str">
        <f t="shared" si="556"/>
        <v/>
      </c>
      <c r="M7107" s="7" t="str">
        <f t="shared" ref="M7107:M7170" si="558">IF(L7107="","",L7107*G7107)</f>
        <v/>
      </c>
      <c r="N7107" s="7" t="str">
        <f t="shared" si="557"/>
        <v/>
      </c>
      <c r="O7107" s="8"/>
      <c r="P7107" s="26"/>
      <c r="S7107" s="10" t="str">
        <f t="shared" ref="S7107:S7170" si="559">IF(R7107="","",SUMIFS($N$3:$N$10000,$E$3:$E$10000,R7107))</f>
        <v/>
      </c>
    </row>
    <row r="7108" spans="5:19" x14ac:dyDescent="0.3">
      <c r="E7108" s="9" t="str">
        <f>IF(DADOS!C7108="","",DADOS!C7108)</f>
        <v/>
      </c>
      <c r="F7108" s="9" t="str">
        <f>IF(DADOS!E7108="","",DADOS!E7108)</f>
        <v/>
      </c>
      <c r="G7108" s="9" t="str">
        <f>IF(DADOS!F7108="","",DADOS!F7108)</f>
        <v/>
      </c>
      <c r="K7108" s="6" t="str">
        <f t="shared" ref="K7108:K7171" si="560">IF(F7108="","",F7108/PI())</f>
        <v/>
      </c>
      <c r="L7108" s="7" t="str">
        <f t="shared" ref="L7108:L7171" si="561">IF(K7108="","",(PI()*K7108^2)/40000)</f>
        <v/>
      </c>
      <c r="M7108" s="7" t="str">
        <f t="shared" si="558"/>
        <v/>
      </c>
      <c r="N7108" s="7" t="str">
        <f t="shared" ref="N7108:N7171" si="562">IF(M7108="","",M7108*N$1)</f>
        <v/>
      </c>
      <c r="O7108" s="8"/>
      <c r="P7108" s="26"/>
      <c r="S7108" s="10" t="str">
        <f t="shared" si="559"/>
        <v/>
      </c>
    </row>
    <row r="7109" spans="5:19" x14ac:dyDescent="0.3">
      <c r="E7109" s="9" t="str">
        <f>IF(DADOS!C7109="","",DADOS!C7109)</f>
        <v/>
      </c>
      <c r="F7109" s="9" t="str">
        <f>IF(DADOS!E7109="","",DADOS!E7109)</f>
        <v/>
      </c>
      <c r="G7109" s="9" t="str">
        <f>IF(DADOS!F7109="","",DADOS!F7109)</f>
        <v/>
      </c>
      <c r="K7109" s="6" t="str">
        <f t="shared" si="560"/>
        <v/>
      </c>
      <c r="L7109" s="7" t="str">
        <f t="shared" si="561"/>
        <v/>
      </c>
      <c r="M7109" s="7" t="str">
        <f t="shared" si="558"/>
        <v/>
      </c>
      <c r="N7109" s="7" t="str">
        <f t="shared" si="562"/>
        <v/>
      </c>
      <c r="O7109" s="8"/>
      <c r="P7109" s="26"/>
      <c r="S7109" s="10" t="str">
        <f t="shared" si="559"/>
        <v/>
      </c>
    </row>
    <row r="7110" spans="5:19" x14ac:dyDescent="0.3">
      <c r="E7110" s="9" t="str">
        <f>IF(DADOS!C7110="","",DADOS!C7110)</f>
        <v/>
      </c>
      <c r="F7110" s="9" t="str">
        <f>IF(DADOS!E7110="","",DADOS!E7110)</f>
        <v/>
      </c>
      <c r="G7110" s="9" t="str">
        <f>IF(DADOS!F7110="","",DADOS!F7110)</f>
        <v/>
      </c>
      <c r="K7110" s="6" t="str">
        <f t="shared" si="560"/>
        <v/>
      </c>
      <c r="L7110" s="7" t="str">
        <f t="shared" si="561"/>
        <v/>
      </c>
      <c r="M7110" s="7" t="str">
        <f t="shared" si="558"/>
        <v/>
      </c>
      <c r="N7110" s="7" t="str">
        <f t="shared" si="562"/>
        <v/>
      </c>
      <c r="O7110" s="8"/>
      <c r="P7110" s="26"/>
      <c r="S7110" s="10" t="str">
        <f t="shared" si="559"/>
        <v/>
      </c>
    </row>
    <row r="7111" spans="5:19" x14ac:dyDescent="0.3">
      <c r="E7111" s="9" t="str">
        <f>IF(DADOS!C7111="","",DADOS!C7111)</f>
        <v/>
      </c>
      <c r="F7111" s="9" t="str">
        <f>IF(DADOS!E7111="","",DADOS!E7111)</f>
        <v/>
      </c>
      <c r="G7111" s="9" t="str">
        <f>IF(DADOS!F7111="","",DADOS!F7111)</f>
        <v/>
      </c>
      <c r="K7111" s="6" t="str">
        <f t="shared" si="560"/>
        <v/>
      </c>
      <c r="L7111" s="7" t="str">
        <f t="shared" si="561"/>
        <v/>
      </c>
      <c r="M7111" s="7" t="str">
        <f t="shared" si="558"/>
        <v/>
      </c>
      <c r="N7111" s="7" t="str">
        <f t="shared" si="562"/>
        <v/>
      </c>
      <c r="O7111" s="8"/>
      <c r="P7111" s="26"/>
      <c r="S7111" s="10" t="str">
        <f t="shared" si="559"/>
        <v/>
      </c>
    </row>
    <row r="7112" spans="5:19" x14ac:dyDescent="0.3">
      <c r="E7112" s="9" t="str">
        <f>IF(DADOS!C7112="","",DADOS!C7112)</f>
        <v/>
      </c>
      <c r="F7112" s="9" t="str">
        <f>IF(DADOS!E7112="","",DADOS!E7112)</f>
        <v/>
      </c>
      <c r="G7112" s="9" t="str">
        <f>IF(DADOS!F7112="","",DADOS!F7112)</f>
        <v/>
      </c>
      <c r="K7112" s="6" t="str">
        <f t="shared" si="560"/>
        <v/>
      </c>
      <c r="L7112" s="7" t="str">
        <f t="shared" si="561"/>
        <v/>
      </c>
      <c r="M7112" s="7" t="str">
        <f t="shared" si="558"/>
        <v/>
      </c>
      <c r="N7112" s="7" t="str">
        <f t="shared" si="562"/>
        <v/>
      </c>
      <c r="O7112" s="8"/>
      <c r="P7112" s="26"/>
      <c r="S7112" s="10" t="str">
        <f t="shared" si="559"/>
        <v/>
      </c>
    </row>
    <row r="7113" spans="5:19" x14ac:dyDescent="0.3">
      <c r="E7113" s="9" t="str">
        <f>IF(DADOS!C7113="","",DADOS!C7113)</f>
        <v/>
      </c>
      <c r="F7113" s="9" t="str">
        <f>IF(DADOS!E7113="","",DADOS!E7113)</f>
        <v/>
      </c>
      <c r="G7113" s="9" t="str">
        <f>IF(DADOS!F7113="","",DADOS!F7113)</f>
        <v/>
      </c>
      <c r="K7113" s="6" t="str">
        <f t="shared" si="560"/>
        <v/>
      </c>
      <c r="L7113" s="7" t="str">
        <f t="shared" si="561"/>
        <v/>
      </c>
      <c r="M7113" s="7" t="str">
        <f t="shared" si="558"/>
        <v/>
      </c>
      <c r="N7113" s="7" t="str">
        <f t="shared" si="562"/>
        <v/>
      </c>
      <c r="O7113" s="8"/>
      <c r="P7113" s="26"/>
      <c r="S7113" s="10" t="str">
        <f t="shared" si="559"/>
        <v/>
      </c>
    </row>
    <row r="7114" spans="5:19" x14ac:dyDescent="0.3">
      <c r="E7114" s="9" t="str">
        <f>IF(DADOS!C7114="","",DADOS!C7114)</f>
        <v/>
      </c>
      <c r="F7114" s="9" t="str">
        <f>IF(DADOS!E7114="","",DADOS!E7114)</f>
        <v/>
      </c>
      <c r="G7114" s="9" t="str">
        <f>IF(DADOS!F7114="","",DADOS!F7114)</f>
        <v/>
      </c>
      <c r="K7114" s="6" t="str">
        <f t="shared" si="560"/>
        <v/>
      </c>
      <c r="L7114" s="7" t="str">
        <f t="shared" si="561"/>
        <v/>
      </c>
      <c r="M7114" s="7" t="str">
        <f t="shared" si="558"/>
        <v/>
      </c>
      <c r="N7114" s="7" t="str">
        <f t="shared" si="562"/>
        <v/>
      </c>
      <c r="O7114" s="8"/>
      <c r="P7114" s="26"/>
      <c r="S7114" s="10" t="str">
        <f t="shared" si="559"/>
        <v/>
      </c>
    </row>
    <row r="7115" spans="5:19" x14ac:dyDescent="0.3">
      <c r="E7115" s="9" t="str">
        <f>IF(DADOS!C7115="","",DADOS!C7115)</f>
        <v/>
      </c>
      <c r="F7115" s="9" t="str">
        <f>IF(DADOS!E7115="","",DADOS!E7115)</f>
        <v/>
      </c>
      <c r="G7115" s="9" t="str">
        <f>IF(DADOS!F7115="","",DADOS!F7115)</f>
        <v/>
      </c>
      <c r="K7115" s="6" t="str">
        <f t="shared" si="560"/>
        <v/>
      </c>
      <c r="L7115" s="7" t="str">
        <f t="shared" si="561"/>
        <v/>
      </c>
      <c r="M7115" s="7" t="str">
        <f t="shared" si="558"/>
        <v/>
      </c>
      <c r="N7115" s="7" t="str">
        <f t="shared" si="562"/>
        <v/>
      </c>
      <c r="O7115" s="8"/>
      <c r="P7115" s="26"/>
      <c r="S7115" s="10" t="str">
        <f t="shared" si="559"/>
        <v/>
      </c>
    </row>
    <row r="7116" spans="5:19" x14ac:dyDescent="0.3">
      <c r="E7116" s="9" t="str">
        <f>IF(DADOS!C7116="","",DADOS!C7116)</f>
        <v/>
      </c>
      <c r="F7116" s="9" t="str">
        <f>IF(DADOS!E7116="","",DADOS!E7116)</f>
        <v/>
      </c>
      <c r="G7116" s="9" t="str">
        <f>IF(DADOS!F7116="","",DADOS!F7116)</f>
        <v/>
      </c>
      <c r="K7116" s="6" t="str">
        <f t="shared" si="560"/>
        <v/>
      </c>
      <c r="L7116" s="7" t="str">
        <f t="shared" si="561"/>
        <v/>
      </c>
      <c r="M7116" s="7" t="str">
        <f t="shared" si="558"/>
        <v/>
      </c>
      <c r="N7116" s="7" t="str">
        <f t="shared" si="562"/>
        <v/>
      </c>
      <c r="O7116" s="8"/>
      <c r="P7116" s="26"/>
      <c r="S7116" s="10" t="str">
        <f t="shared" si="559"/>
        <v/>
      </c>
    </row>
    <row r="7117" spans="5:19" x14ac:dyDescent="0.3">
      <c r="E7117" s="9" t="str">
        <f>IF(DADOS!C7117="","",DADOS!C7117)</f>
        <v/>
      </c>
      <c r="F7117" s="9" t="str">
        <f>IF(DADOS!E7117="","",DADOS!E7117)</f>
        <v/>
      </c>
      <c r="G7117" s="9" t="str">
        <f>IF(DADOS!F7117="","",DADOS!F7117)</f>
        <v/>
      </c>
      <c r="K7117" s="6" t="str">
        <f t="shared" si="560"/>
        <v/>
      </c>
      <c r="L7117" s="7" t="str">
        <f t="shared" si="561"/>
        <v/>
      </c>
      <c r="M7117" s="7" t="str">
        <f t="shared" si="558"/>
        <v/>
      </c>
      <c r="N7117" s="7" t="str">
        <f t="shared" si="562"/>
        <v/>
      </c>
      <c r="O7117" s="8"/>
      <c r="P7117" s="26"/>
      <c r="S7117" s="10" t="str">
        <f t="shared" si="559"/>
        <v/>
      </c>
    </row>
    <row r="7118" spans="5:19" x14ac:dyDescent="0.3">
      <c r="E7118" s="9" t="str">
        <f>IF(DADOS!C7118="","",DADOS!C7118)</f>
        <v/>
      </c>
      <c r="F7118" s="9" t="str">
        <f>IF(DADOS!E7118="","",DADOS!E7118)</f>
        <v/>
      </c>
      <c r="G7118" s="9" t="str">
        <f>IF(DADOS!F7118="","",DADOS!F7118)</f>
        <v/>
      </c>
      <c r="K7118" s="6" t="str">
        <f t="shared" si="560"/>
        <v/>
      </c>
      <c r="L7118" s="7" t="str">
        <f t="shared" si="561"/>
        <v/>
      </c>
      <c r="M7118" s="7" t="str">
        <f t="shared" si="558"/>
        <v/>
      </c>
      <c r="N7118" s="7" t="str">
        <f t="shared" si="562"/>
        <v/>
      </c>
      <c r="O7118" s="8"/>
      <c r="P7118" s="26"/>
      <c r="S7118" s="10" t="str">
        <f t="shared" si="559"/>
        <v/>
      </c>
    </row>
    <row r="7119" spans="5:19" x14ac:dyDescent="0.3">
      <c r="E7119" s="9" t="str">
        <f>IF(DADOS!C7119="","",DADOS!C7119)</f>
        <v/>
      </c>
      <c r="F7119" s="9" t="str">
        <f>IF(DADOS!E7119="","",DADOS!E7119)</f>
        <v/>
      </c>
      <c r="G7119" s="9" t="str">
        <f>IF(DADOS!F7119="","",DADOS!F7119)</f>
        <v/>
      </c>
      <c r="K7119" s="6" t="str">
        <f t="shared" si="560"/>
        <v/>
      </c>
      <c r="L7119" s="7" t="str">
        <f t="shared" si="561"/>
        <v/>
      </c>
      <c r="M7119" s="7" t="str">
        <f t="shared" si="558"/>
        <v/>
      </c>
      <c r="N7119" s="7" t="str">
        <f t="shared" si="562"/>
        <v/>
      </c>
      <c r="O7119" s="8"/>
      <c r="P7119" s="26"/>
      <c r="S7119" s="10" t="str">
        <f t="shared" si="559"/>
        <v/>
      </c>
    </row>
    <row r="7120" spans="5:19" x14ac:dyDescent="0.3">
      <c r="E7120" s="9" t="str">
        <f>IF(DADOS!C7120="","",DADOS!C7120)</f>
        <v/>
      </c>
      <c r="F7120" s="9" t="str">
        <f>IF(DADOS!E7120="","",DADOS!E7120)</f>
        <v/>
      </c>
      <c r="G7120" s="9" t="str">
        <f>IF(DADOS!F7120="","",DADOS!F7120)</f>
        <v/>
      </c>
      <c r="K7120" s="6" t="str">
        <f t="shared" si="560"/>
        <v/>
      </c>
      <c r="L7120" s="7" t="str">
        <f t="shared" si="561"/>
        <v/>
      </c>
      <c r="M7120" s="7" t="str">
        <f t="shared" si="558"/>
        <v/>
      </c>
      <c r="N7120" s="7" t="str">
        <f t="shared" si="562"/>
        <v/>
      </c>
      <c r="O7120" s="8"/>
      <c r="P7120" s="26"/>
      <c r="S7120" s="10" t="str">
        <f t="shared" si="559"/>
        <v/>
      </c>
    </row>
    <row r="7121" spans="5:19" x14ac:dyDescent="0.3">
      <c r="E7121" s="9" t="str">
        <f>IF(DADOS!C7121="","",DADOS!C7121)</f>
        <v/>
      </c>
      <c r="F7121" s="9" t="str">
        <f>IF(DADOS!E7121="","",DADOS!E7121)</f>
        <v/>
      </c>
      <c r="G7121" s="9" t="str">
        <f>IF(DADOS!F7121="","",DADOS!F7121)</f>
        <v/>
      </c>
      <c r="K7121" s="6" t="str">
        <f t="shared" si="560"/>
        <v/>
      </c>
      <c r="L7121" s="7" t="str">
        <f t="shared" si="561"/>
        <v/>
      </c>
      <c r="M7121" s="7" t="str">
        <f t="shared" si="558"/>
        <v/>
      </c>
      <c r="N7121" s="7" t="str">
        <f t="shared" si="562"/>
        <v/>
      </c>
      <c r="O7121" s="8"/>
      <c r="P7121" s="26"/>
      <c r="S7121" s="10" t="str">
        <f t="shared" si="559"/>
        <v/>
      </c>
    </row>
    <row r="7122" spans="5:19" x14ac:dyDescent="0.3">
      <c r="E7122" s="9" t="str">
        <f>IF(DADOS!C7122="","",DADOS!C7122)</f>
        <v/>
      </c>
      <c r="F7122" s="9" t="str">
        <f>IF(DADOS!E7122="","",DADOS!E7122)</f>
        <v/>
      </c>
      <c r="G7122" s="9" t="str">
        <f>IF(DADOS!F7122="","",DADOS!F7122)</f>
        <v/>
      </c>
      <c r="K7122" s="6" t="str">
        <f t="shared" si="560"/>
        <v/>
      </c>
      <c r="L7122" s="7" t="str">
        <f t="shared" si="561"/>
        <v/>
      </c>
      <c r="M7122" s="7" t="str">
        <f t="shared" si="558"/>
        <v/>
      </c>
      <c r="N7122" s="7" t="str">
        <f t="shared" si="562"/>
        <v/>
      </c>
      <c r="O7122" s="8"/>
      <c r="P7122" s="26"/>
      <c r="S7122" s="10" t="str">
        <f t="shared" si="559"/>
        <v/>
      </c>
    </row>
    <row r="7123" spans="5:19" x14ac:dyDescent="0.3">
      <c r="E7123" s="9" t="str">
        <f>IF(DADOS!C7123="","",DADOS!C7123)</f>
        <v/>
      </c>
      <c r="F7123" s="9" t="str">
        <f>IF(DADOS!E7123="","",DADOS!E7123)</f>
        <v/>
      </c>
      <c r="G7123" s="9" t="str">
        <f>IF(DADOS!F7123="","",DADOS!F7123)</f>
        <v/>
      </c>
      <c r="K7123" s="6" t="str">
        <f t="shared" si="560"/>
        <v/>
      </c>
      <c r="L7123" s="7" t="str">
        <f t="shared" si="561"/>
        <v/>
      </c>
      <c r="M7123" s="7" t="str">
        <f t="shared" si="558"/>
        <v/>
      </c>
      <c r="N7123" s="7" t="str">
        <f t="shared" si="562"/>
        <v/>
      </c>
      <c r="O7123" s="8"/>
      <c r="P7123" s="26"/>
      <c r="S7123" s="10" t="str">
        <f t="shared" si="559"/>
        <v/>
      </c>
    </row>
    <row r="7124" spans="5:19" x14ac:dyDescent="0.3">
      <c r="E7124" s="9" t="str">
        <f>IF(DADOS!C7124="","",DADOS!C7124)</f>
        <v/>
      </c>
      <c r="F7124" s="9" t="str">
        <f>IF(DADOS!E7124="","",DADOS!E7124)</f>
        <v/>
      </c>
      <c r="G7124" s="9" t="str">
        <f>IF(DADOS!F7124="","",DADOS!F7124)</f>
        <v/>
      </c>
      <c r="K7124" s="6" t="str">
        <f t="shared" si="560"/>
        <v/>
      </c>
      <c r="L7124" s="7" t="str">
        <f t="shared" si="561"/>
        <v/>
      </c>
      <c r="M7124" s="7" t="str">
        <f t="shared" si="558"/>
        <v/>
      </c>
      <c r="N7124" s="7" t="str">
        <f t="shared" si="562"/>
        <v/>
      </c>
      <c r="O7124" s="8"/>
      <c r="P7124" s="26"/>
      <c r="S7124" s="10" t="str">
        <f t="shared" si="559"/>
        <v/>
      </c>
    </row>
    <row r="7125" spans="5:19" x14ac:dyDescent="0.3">
      <c r="E7125" s="9" t="str">
        <f>IF(DADOS!C7125="","",DADOS!C7125)</f>
        <v/>
      </c>
      <c r="F7125" s="9" t="str">
        <f>IF(DADOS!E7125="","",DADOS!E7125)</f>
        <v/>
      </c>
      <c r="G7125" s="9" t="str">
        <f>IF(DADOS!F7125="","",DADOS!F7125)</f>
        <v/>
      </c>
      <c r="K7125" s="6" t="str">
        <f t="shared" si="560"/>
        <v/>
      </c>
      <c r="L7125" s="7" t="str">
        <f t="shared" si="561"/>
        <v/>
      </c>
      <c r="M7125" s="7" t="str">
        <f t="shared" si="558"/>
        <v/>
      </c>
      <c r="N7125" s="7" t="str">
        <f t="shared" si="562"/>
        <v/>
      </c>
      <c r="O7125" s="8"/>
      <c r="P7125" s="26"/>
      <c r="S7125" s="10" t="str">
        <f t="shared" si="559"/>
        <v/>
      </c>
    </row>
    <row r="7126" spans="5:19" x14ac:dyDescent="0.3">
      <c r="E7126" s="9" t="str">
        <f>IF(DADOS!C7126="","",DADOS!C7126)</f>
        <v/>
      </c>
      <c r="F7126" s="9" t="str">
        <f>IF(DADOS!E7126="","",DADOS!E7126)</f>
        <v/>
      </c>
      <c r="G7126" s="9" t="str">
        <f>IF(DADOS!F7126="","",DADOS!F7126)</f>
        <v/>
      </c>
      <c r="K7126" s="6" t="str">
        <f t="shared" si="560"/>
        <v/>
      </c>
      <c r="L7126" s="7" t="str">
        <f t="shared" si="561"/>
        <v/>
      </c>
      <c r="M7126" s="7" t="str">
        <f t="shared" si="558"/>
        <v/>
      </c>
      <c r="N7126" s="7" t="str">
        <f t="shared" si="562"/>
        <v/>
      </c>
      <c r="O7126" s="8"/>
      <c r="P7126" s="26"/>
      <c r="S7126" s="10" t="str">
        <f t="shared" si="559"/>
        <v/>
      </c>
    </row>
    <row r="7127" spans="5:19" x14ac:dyDescent="0.3">
      <c r="E7127" s="9" t="str">
        <f>IF(DADOS!C7127="","",DADOS!C7127)</f>
        <v/>
      </c>
      <c r="F7127" s="9" t="str">
        <f>IF(DADOS!E7127="","",DADOS!E7127)</f>
        <v/>
      </c>
      <c r="G7127" s="9" t="str">
        <f>IF(DADOS!F7127="","",DADOS!F7127)</f>
        <v/>
      </c>
      <c r="K7127" s="6" t="str">
        <f t="shared" si="560"/>
        <v/>
      </c>
      <c r="L7127" s="7" t="str">
        <f t="shared" si="561"/>
        <v/>
      </c>
      <c r="M7127" s="7" t="str">
        <f t="shared" si="558"/>
        <v/>
      </c>
      <c r="N7127" s="7" t="str">
        <f t="shared" si="562"/>
        <v/>
      </c>
      <c r="O7127" s="8"/>
      <c r="P7127" s="26"/>
      <c r="S7127" s="10" t="str">
        <f t="shared" si="559"/>
        <v/>
      </c>
    </row>
    <row r="7128" spans="5:19" x14ac:dyDescent="0.3">
      <c r="E7128" s="9" t="str">
        <f>IF(DADOS!C7128="","",DADOS!C7128)</f>
        <v/>
      </c>
      <c r="F7128" s="9" t="str">
        <f>IF(DADOS!E7128="","",DADOS!E7128)</f>
        <v/>
      </c>
      <c r="G7128" s="9" t="str">
        <f>IF(DADOS!F7128="","",DADOS!F7128)</f>
        <v/>
      </c>
      <c r="K7128" s="6" t="str">
        <f t="shared" si="560"/>
        <v/>
      </c>
      <c r="L7128" s="7" t="str">
        <f t="shared" si="561"/>
        <v/>
      </c>
      <c r="M7128" s="7" t="str">
        <f t="shared" si="558"/>
        <v/>
      </c>
      <c r="N7128" s="7" t="str">
        <f t="shared" si="562"/>
        <v/>
      </c>
      <c r="O7128" s="8"/>
      <c r="P7128" s="26"/>
      <c r="S7128" s="10" t="str">
        <f t="shared" si="559"/>
        <v/>
      </c>
    </row>
    <row r="7129" spans="5:19" x14ac:dyDescent="0.3">
      <c r="E7129" s="9" t="str">
        <f>IF(DADOS!C7129="","",DADOS!C7129)</f>
        <v/>
      </c>
      <c r="F7129" s="9" t="str">
        <f>IF(DADOS!E7129="","",DADOS!E7129)</f>
        <v/>
      </c>
      <c r="G7129" s="9" t="str">
        <f>IF(DADOS!F7129="","",DADOS!F7129)</f>
        <v/>
      </c>
      <c r="K7129" s="6" t="str">
        <f t="shared" si="560"/>
        <v/>
      </c>
      <c r="L7129" s="7" t="str">
        <f t="shared" si="561"/>
        <v/>
      </c>
      <c r="M7129" s="7" t="str">
        <f t="shared" si="558"/>
        <v/>
      </c>
      <c r="N7129" s="7" t="str">
        <f t="shared" si="562"/>
        <v/>
      </c>
      <c r="O7129" s="8"/>
      <c r="P7129" s="26"/>
      <c r="S7129" s="10" t="str">
        <f t="shared" si="559"/>
        <v/>
      </c>
    </row>
    <row r="7130" spans="5:19" x14ac:dyDescent="0.3">
      <c r="E7130" s="9" t="str">
        <f>IF(DADOS!C7130="","",DADOS!C7130)</f>
        <v/>
      </c>
      <c r="F7130" s="9" t="str">
        <f>IF(DADOS!E7130="","",DADOS!E7130)</f>
        <v/>
      </c>
      <c r="G7130" s="9" t="str">
        <f>IF(DADOS!F7130="","",DADOS!F7130)</f>
        <v/>
      </c>
      <c r="K7130" s="6" t="str">
        <f t="shared" si="560"/>
        <v/>
      </c>
      <c r="L7130" s="7" t="str">
        <f t="shared" si="561"/>
        <v/>
      </c>
      <c r="M7130" s="7" t="str">
        <f t="shared" si="558"/>
        <v/>
      </c>
      <c r="N7130" s="7" t="str">
        <f t="shared" si="562"/>
        <v/>
      </c>
      <c r="O7130" s="8"/>
      <c r="P7130" s="26"/>
      <c r="S7130" s="10" t="str">
        <f t="shared" si="559"/>
        <v/>
      </c>
    </row>
    <row r="7131" spans="5:19" x14ac:dyDescent="0.3">
      <c r="E7131" s="9" t="str">
        <f>IF(DADOS!C7131="","",DADOS!C7131)</f>
        <v/>
      </c>
      <c r="F7131" s="9" t="str">
        <f>IF(DADOS!E7131="","",DADOS!E7131)</f>
        <v/>
      </c>
      <c r="G7131" s="9" t="str">
        <f>IF(DADOS!F7131="","",DADOS!F7131)</f>
        <v/>
      </c>
      <c r="K7131" s="6" t="str">
        <f t="shared" si="560"/>
        <v/>
      </c>
      <c r="L7131" s="7" t="str">
        <f t="shared" si="561"/>
        <v/>
      </c>
      <c r="M7131" s="7" t="str">
        <f t="shared" si="558"/>
        <v/>
      </c>
      <c r="N7131" s="7" t="str">
        <f t="shared" si="562"/>
        <v/>
      </c>
      <c r="O7131" s="8"/>
      <c r="P7131" s="26"/>
      <c r="S7131" s="10" t="str">
        <f t="shared" si="559"/>
        <v/>
      </c>
    </row>
    <row r="7132" spans="5:19" x14ac:dyDescent="0.3">
      <c r="E7132" s="9" t="str">
        <f>IF(DADOS!C7132="","",DADOS!C7132)</f>
        <v/>
      </c>
      <c r="F7132" s="9" t="str">
        <f>IF(DADOS!E7132="","",DADOS!E7132)</f>
        <v/>
      </c>
      <c r="G7132" s="9" t="str">
        <f>IF(DADOS!F7132="","",DADOS!F7132)</f>
        <v/>
      </c>
      <c r="K7132" s="6" t="str">
        <f t="shared" si="560"/>
        <v/>
      </c>
      <c r="L7132" s="7" t="str">
        <f t="shared" si="561"/>
        <v/>
      </c>
      <c r="M7132" s="7" t="str">
        <f t="shared" si="558"/>
        <v/>
      </c>
      <c r="N7132" s="7" t="str">
        <f t="shared" si="562"/>
        <v/>
      </c>
      <c r="O7132" s="8"/>
      <c r="P7132" s="26"/>
      <c r="S7132" s="10" t="str">
        <f t="shared" si="559"/>
        <v/>
      </c>
    </row>
    <row r="7133" spans="5:19" x14ac:dyDescent="0.3">
      <c r="E7133" s="9" t="str">
        <f>IF(DADOS!C7133="","",DADOS!C7133)</f>
        <v/>
      </c>
      <c r="F7133" s="9" t="str">
        <f>IF(DADOS!E7133="","",DADOS!E7133)</f>
        <v/>
      </c>
      <c r="G7133" s="9" t="str">
        <f>IF(DADOS!F7133="","",DADOS!F7133)</f>
        <v/>
      </c>
      <c r="K7133" s="6" t="str">
        <f t="shared" si="560"/>
        <v/>
      </c>
      <c r="L7133" s="7" t="str">
        <f t="shared" si="561"/>
        <v/>
      </c>
      <c r="M7133" s="7" t="str">
        <f t="shared" si="558"/>
        <v/>
      </c>
      <c r="N7133" s="7" t="str">
        <f t="shared" si="562"/>
        <v/>
      </c>
      <c r="O7133" s="8"/>
      <c r="P7133" s="26"/>
      <c r="S7133" s="10" t="str">
        <f t="shared" si="559"/>
        <v/>
      </c>
    </row>
    <row r="7134" spans="5:19" x14ac:dyDescent="0.3">
      <c r="E7134" s="9" t="str">
        <f>IF(DADOS!C7134="","",DADOS!C7134)</f>
        <v/>
      </c>
      <c r="F7134" s="9" t="str">
        <f>IF(DADOS!E7134="","",DADOS!E7134)</f>
        <v/>
      </c>
      <c r="G7134" s="9" t="str">
        <f>IF(DADOS!F7134="","",DADOS!F7134)</f>
        <v/>
      </c>
      <c r="K7134" s="6" t="str">
        <f t="shared" si="560"/>
        <v/>
      </c>
      <c r="L7134" s="7" t="str">
        <f t="shared" si="561"/>
        <v/>
      </c>
      <c r="M7134" s="7" t="str">
        <f t="shared" si="558"/>
        <v/>
      </c>
      <c r="N7134" s="7" t="str">
        <f t="shared" si="562"/>
        <v/>
      </c>
      <c r="O7134" s="8"/>
      <c r="P7134" s="26"/>
      <c r="S7134" s="10" t="str">
        <f t="shared" si="559"/>
        <v/>
      </c>
    </row>
    <row r="7135" spans="5:19" x14ac:dyDescent="0.3">
      <c r="E7135" s="9" t="str">
        <f>IF(DADOS!C7135="","",DADOS!C7135)</f>
        <v/>
      </c>
      <c r="F7135" s="9" t="str">
        <f>IF(DADOS!E7135="","",DADOS!E7135)</f>
        <v/>
      </c>
      <c r="G7135" s="9" t="str">
        <f>IF(DADOS!F7135="","",DADOS!F7135)</f>
        <v/>
      </c>
      <c r="K7135" s="6" t="str">
        <f t="shared" si="560"/>
        <v/>
      </c>
      <c r="L7135" s="7" t="str">
        <f t="shared" si="561"/>
        <v/>
      </c>
      <c r="M7135" s="7" t="str">
        <f t="shared" si="558"/>
        <v/>
      </c>
      <c r="N7135" s="7" t="str">
        <f t="shared" si="562"/>
        <v/>
      </c>
      <c r="O7135" s="8"/>
      <c r="P7135" s="26"/>
      <c r="S7135" s="10" t="str">
        <f t="shared" si="559"/>
        <v/>
      </c>
    </row>
    <row r="7136" spans="5:19" x14ac:dyDescent="0.3">
      <c r="E7136" s="9" t="str">
        <f>IF(DADOS!C7136="","",DADOS!C7136)</f>
        <v/>
      </c>
      <c r="F7136" s="9" t="str">
        <f>IF(DADOS!E7136="","",DADOS!E7136)</f>
        <v/>
      </c>
      <c r="G7136" s="9" t="str">
        <f>IF(DADOS!F7136="","",DADOS!F7136)</f>
        <v/>
      </c>
      <c r="K7136" s="6" t="str">
        <f t="shared" si="560"/>
        <v/>
      </c>
      <c r="L7136" s="7" t="str">
        <f t="shared" si="561"/>
        <v/>
      </c>
      <c r="M7136" s="7" t="str">
        <f t="shared" si="558"/>
        <v/>
      </c>
      <c r="N7136" s="7" t="str">
        <f t="shared" si="562"/>
        <v/>
      </c>
      <c r="O7136" s="8"/>
      <c r="P7136" s="26"/>
      <c r="S7136" s="10" t="str">
        <f t="shared" si="559"/>
        <v/>
      </c>
    </row>
    <row r="7137" spans="5:19" x14ac:dyDescent="0.3">
      <c r="E7137" s="9" t="str">
        <f>IF(DADOS!C7137="","",DADOS!C7137)</f>
        <v/>
      </c>
      <c r="F7137" s="9" t="str">
        <f>IF(DADOS!E7137="","",DADOS!E7137)</f>
        <v/>
      </c>
      <c r="G7137" s="9" t="str">
        <f>IF(DADOS!F7137="","",DADOS!F7137)</f>
        <v/>
      </c>
      <c r="K7137" s="6" t="str">
        <f t="shared" si="560"/>
        <v/>
      </c>
      <c r="L7137" s="7" t="str">
        <f t="shared" si="561"/>
        <v/>
      </c>
      <c r="M7137" s="7" t="str">
        <f t="shared" si="558"/>
        <v/>
      </c>
      <c r="N7137" s="7" t="str">
        <f t="shared" si="562"/>
        <v/>
      </c>
      <c r="O7137" s="8"/>
      <c r="P7137" s="26"/>
      <c r="S7137" s="10" t="str">
        <f t="shared" si="559"/>
        <v/>
      </c>
    </row>
    <row r="7138" spans="5:19" x14ac:dyDescent="0.3">
      <c r="E7138" s="9" t="str">
        <f>IF(DADOS!C7138="","",DADOS!C7138)</f>
        <v/>
      </c>
      <c r="F7138" s="9" t="str">
        <f>IF(DADOS!E7138="","",DADOS!E7138)</f>
        <v/>
      </c>
      <c r="G7138" s="9" t="str">
        <f>IF(DADOS!F7138="","",DADOS!F7138)</f>
        <v/>
      </c>
      <c r="K7138" s="6" t="str">
        <f t="shared" si="560"/>
        <v/>
      </c>
      <c r="L7138" s="7" t="str">
        <f t="shared" si="561"/>
        <v/>
      </c>
      <c r="M7138" s="7" t="str">
        <f t="shared" si="558"/>
        <v/>
      </c>
      <c r="N7138" s="7" t="str">
        <f t="shared" si="562"/>
        <v/>
      </c>
      <c r="O7138" s="8"/>
      <c r="P7138" s="26"/>
      <c r="S7138" s="10" t="str">
        <f t="shared" si="559"/>
        <v/>
      </c>
    </row>
    <row r="7139" spans="5:19" x14ac:dyDescent="0.3">
      <c r="E7139" s="9" t="str">
        <f>IF(DADOS!C7139="","",DADOS!C7139)</f>
        <v/>
      </c>
      <c r="F7139" s="9" t="str">
        <f>IF(DADOS!E7139="","",DADOS!E7139)</f>
        <v/>
      </c>
      <c r="G7139" s="9" t="str">
        <f>IF(DADOS!F7139="","",DADOS!F7139)</f>
        <v/>
      </c>
      <c r="K7139" s="6" t="str">
        <f t="shared" si="560"/>
        <v/>
      </c>
      <c r="L7139" s="7" t="str">
        <f t="shared" si="561"/>
        <v/>
      </c>
      <c r="M7139" s="7" t="str">
        <f t="shared" si="558"/>
        <v/>
      </c>
      <c r="N7139" s="7" t="str">
        <f t="shared" si="562"/>
        <v/>
      </c>
      <c r="O7139" s="8"/>
      <c r="P7139" s="26"/>
      <c r="S7139" s="10" t="str">
        <f t="shared" si="559"/>
        <v/>
      </c>
    </row>
    <row r="7140" spans="5:19" x14ac:dyDescent="0.3">
      <c r="E7140" s="9" t="str">
        <f>IF(DADOS!C7140="","",DADOS!C7140)</f>
        <v/>
      </c>
      <c r="F7140" s="9" t="str">
        <f>IF(DADOS!E7140="","",DADOS!E7140)</f>
        <v/>
      </c>
      <c r="G7140" s="9" t="str">
        <f>IF(DADOS!F7140="","",DADOS!F7140)</f>
        <v/>
      </c>
      <c r="K7140" s="6" t="str">
        <f t="shared" si="560"/>
        <v/>
      </c>
      <c r="L7140" s="7" t="str">
        <f t="shared" si="561"/>
        <v/>
      </c>
      <c r="M7140" s="7" t="str">
        <f t="shared" si="558"/>
        <v/>
      </c>
      <c r="N7140" s="7" t="str">
        <f t="shared" si="562"/>
        <v/>
      </c>
      <c r="O7140" s="8"/>
      <c r="P7140" s="26"/>
      <c r="S7140" s="10" t="str">
        <f t="shared" si="559"/>
        <v/>
      </c>
    </row>
    <row r="7141" spans="5:19" x14ac:dyDescent="0.3">
      <c r="E7141" s="9" t="str">
        <f>IF(DADOS!C7141="","",DADOS!C7141)</f>
        <v/>
      </c>
      <c r="F7141" s="9" t="str">
        <f>IF(DADOS!E7141="","",DADOS!E7141)</f>
        <v/>
      </c>
      <c r="G7141" s="9" t="str">
        <f>IF(DADOS!F7141="","",DADOS!F7141)</f>
        <v/>
      </c>
      <c r="K7141" s="6" t="str">
        <f t="shared" si="560"/>
        <v/>
      </c>
      <c r="L7141" s="7" t="str">
        <f t="shared" si="561"/>
        <v/>
      </c>
      <c r="M7141" s="7" t="str">
        <f t="shared" si="558"/>
        <v/>
      </c>
      <c r="N7141" s="7" t="str">
        <f t="shared" si="562"/>
        <v/>
      </c>
      <c r="O7141" s="8"/>
      <c r="P7141" s="26"/>
      <c r="S7141" s="10" t="str">
        <f t="shared" si="559"/>
        <v/>
      </c>
    </row>
    <row r="7142" spans="5:19" x14ac:dyDescent="0.3">
      <c r="E7142" s="9" t="str">
        <f>IF(DADOS!C7142="","",DADOS!C7142)</f>
        <v/>
      </c>
      <c r="F7142" s="9" t="str">
        <f>IF(DADOS!E7142="","",DADOS!E7142)</f>
        <v/>
      </c>
      <c r="G7142" s="9" t="str">
        <f>IF(DADOS!F7142="","",DADOS!F7142)</f>
        <v/>
      </c>
      <c r="K7142" s="6" t="str">
        <f t="shared" si="560"/>
        <v/>
      </c>
      <c r="L7142" s="7" t="str">
        <f t="shared" si="561"/>
        <v/>
      </c>
      <c r="M7142" s="7" t="str">
        <f t="shared" si="558"/>
        <v/>
      </c>
      <c r="N7142" s="7" t="str">
        <f t="shared" si="562"/>
        <v/>
      </c>
      <c r="O7142" s="8"/>
      <c r="P7142" s="26"/>
      <c r="S7142" s="10" t="str">
        <f t="shared" si="559"/>
        <v/>
      </c>
    </row>
    <row r="7143" spans="5:19" x14ac:dyDescent="0.3">
      <c r="E7143" s="9" t="str">
        <f>IF(DADOS!C7143="","",DADOS!C7143)</f>
        <v/>
      </c>
      <c r="F7143" s="9" t="str">
        <f>IF(DADOS!E7143="","",DADOS!E7143)</f>
        <v/>
      </c>
      <c r="G7143" s="9" t="str">
        <f>IF(DADOS!F7143="","",DADOS!F7143)</f>
        <v/>
      </c>
      <c r="K7143" s="6" t="str">
        <f t="shared" si="560"/>
        <v/>
      </c>
      <c r="L7143" s="7" t="str">
        <f t="shared" si="561"/>
        <v/>
      </c>
      <c r="M7143" s="7" t="str">
        <f t="shared" si="558"/>
        <v/>
      </c>
      <c r="N7143" s="7" t="str">
        <f t="shared" si="562"/>
        <v/>
      </c>
      <c r="O7143" s="8"/>
      <c r="P7143" s="26"/>
      <c r="S7143" s="10" t="str">
        <f t="shared" si="559"/>
        <v/>
      </c>
    </row>
    <row r="7144" spans="5:19" x14ac:dyDescent="0.3">
      <c r="E7144" s="9" t="str">
        <f>IF(DADOS!C7144="","",DADOS!C7144)</f>
        <v/>
      </c>
      <c r="F7144" s="9" t="str">
        <f>IF(DADOS!E7144="","",DADOS!E7144)</f>
        <v/>
      </c>
      <c r="G7144" s="9" t="str">
        <f>IF(DADOS!F7144="","",DADOS!F7144)</f>
        <v/>
      </c>
      <c r="K7144" s="6" t="str">
        <f t="shared" si="560"/>
        <v/>
      </c>
      <c r="L7144" s="7" t="str">
        <f t="shared" si="561"/>
        <v/>
      </c>
      <c r="M7144" s="7" t="str">
        <f t="shared" si="558"/>
        <v/>
      </c>
      <c r="N7144" s="7" t="str">
        <f t="shared" si="562"/>
        <v/>
      </c>
      <c r="O7144" s="8"/>
      <c r="P7144" s="26"/>
      <c r="S7144" s="10" t="str">
        <f t="shared" si="559"/>
        <v/>
      </c>
    </row>
    <row r="7145" spans="5:19" x14ac:dyDescent="0.3">
      <c r="E7145" s="9" t="str">
        <f>IF(DADOS!C7145="","",DADOS!C7145)</f>
        <v/>
      </c>
      <c r="F7145" s="9" t="str">
        <f>IF(DADOS!E7145="","",DADOS!E7145)</f>
        <v/>
      </c>
      <c r="G7145" s="9" t="str">
        <f>IF(DADOS!F7145="","",DADOS!F7145)</f>
        <v/>
      </c>
      <c r="K7145" s="6" t="str">
        <f t="shared" si="560"/>
        <v/>
      </c>
      <c r="L7145" s="7" t="str">
        <f t="shared" si="561"/>
        <v/>
      </c>
      <c r="M7145" s="7" t="str">
        <f t="shared" si="558"/>
        <v/>
      </c>
      <c r="N7145" s="7" t="str">
        <f t="shared" si="562"/>
        <v/>
      </c>
      <c r="O7145" s="8"/>
      <c r="P7145" s="26"/>
      <c r="S7145" s="10" t="str">
        <f t="shared" si="559"/>
        <v/>
      </c>
    </row>
    <row r="7146" spans="5:19" x14ac:dyDescent="0.3">
      <c r="E7146" s="9" t="str">
        <f>IF(DADOS!C7146="","",DADOS!C7146)</f>
        <v/>
      </c>
      <c r="F7146" s="9" t="str">
        <f>IF(DADOS!E7146="","",DADOS!E7146)</f>
        <v/>
      </c>
      <c r="G7146" s="9" t="str">
        <f>IF(DADOS!F7146="","",DADOS!F7146)</f>
        <v/>
      </c>
      <c r="K7146" s="6" t="str">
        <f t="shared" si="560"/>
        <v/>
      </c>
      <c r="L7146" s="7" t="str">
        <f t="shared" si="561"/>
        <v/>
      </c>
      <c r="M7146" s="7" t="str">
        <f t="shared" si="558"/>
        <v/>
      </c>
      <c r="N7146" s="7" t="str">
        <f t="shared" si="562"/>
        <v/>
      </c>
      <c r="O7146" s="8"/>
      <c r="P7146" s="26"/>
      <c r="S7146" s="10" t="str">
        <f t="shared" si="559"/>
        <v/>
      </c>
    </row>
    <row r="7147" spans="5:19" x14ac:dyDescent="0.3">
      <c r="E7147" s="9" t="str">
        <f>IF(DADOS!C7147="","",DADOS!C7147)</f>
        <v/>
      </c>
      <c r="F7147" s="9" t="str">
        <f>IF(DADOS!E7147="","",DADOS!E7147)</f>
        <v/>
      </c>
      <c r="G7147" s="9" t="str">
        <f>IF(DADOS!F7147="","",DADOS!F7147)</f>
        <v/>
      </c>
      <c r="K7147" s="6" t="str">
        <f t="shared" si="560"/>
        <v/>
      </c>
      <c r="L7147" s="7" t="str">
        <f t="shared" si="561"/>
        <v/>
      </c>
      <c r="M7147" s="7" t="str">
        <f t="shared" si="558"/>
        <v/>
      </c>
      <c r="N7147" s="7" t="str">
        <f t="shared" si="562"/>
        <v/>
      </c>
      <c r="O7147" s="8"/>
      <c r="P7147" s="26"/>
      <c r="S7147" s="10" t="str">
        <f t="shared" si="559"/>
        <v/>
      </c>
    </row>
    <row r="7148" spans="5:19" x14ac:dyDescent="0.3">
      <c r="E7148" s="9" t="str">
        <f>IF(DADOS!C7148="","",DADOS!C7148)</f>
        <v/>
      </c>
      <c r="F7148" s="9" t="str">
        <f>IF(DADOS!E7148="","",DADOS!E7148)</f>
        <v/>
      </c>
      <c r="G7148" s="9" t="str">
        <f>IF(DADOS!F7148="","",DADOS!F7148)</f>
        <v/>
      </c>
      <c r="K7148" s="6" t="str">
        <f t="shared" si="560"/>
        <v/>
      </c>
      <c r="L7148" s="7" t="str">
        <f t="shared" si="561"/>
        <v/>
      </c>
      <c r="M7148" s="7" t="str">
        <f t="shared" si="558"/>
        <v/>
      </c>
      <c r="N7148" s="7" t="str">
        <f t="shared" si="562"/>
        <v/>
      </c>
      <c r="O7148" s="8"/>
      <c r="P7148" s="26"/>
      <c r="S7148" s="10" t="str">
        <f t="shared" si="559"/>
        <v/>
      </c>
    </row>
    <row r="7149" spans="5:19" x14ac:dyDescent="0.3">
      <c r="E7149" s="9" t="str">
        <f>IF(DADOS!C7149="","",DADOS!C7149)</f>
        <v/>
      </c>
      <c r="F7149" s="9" t="str">
        <f>IF(DADOS!E7149="","",DADOS!E7149)</f>
        <v/>
      </c>
      <c r="G7149" s="9" t="str">
        <f>IF(DADOS!F7149="","",DADOS!F7149)</f>
        <v/>
      </c>
      <c r="K7149" s="6" t="str">
        <f t="shared" si="560"/>
        <v/>
      </c>
      <c r="L7149" s="7" t="str">
        <f t="shared" si="561"/>
        <v/>
      </c>
      <c r="M7149" s="7" t="str">
        <f t="shared" si="558"/>
        <v/>
      </c>
      <c r="N7149" s="7" t="str">
        <f t="shared" si="562"/>
        <v/>
      </c>
      <c r="O7149" s="8"/>
      <c r="P7149" s="26"/>
      <c r="S7149" s="10" t="str">
        <f t="shared" si="559"/>
        <v/>
      </c>
    </row>
    <row r="7150" spans="5:19" x14ac:dyDescent="0.3">
      <c r="E7150" s="9" t="str">
        <f>IF(DADOS!C7150="","",DADOS!C7150)</f>
        <v/>
      </c>
      <c r="F7150" s="9" t="str">
        <f>IF(DADOS!E7150="","",DADOS!E7150)</f>
        <v/>
      </c>
      <c r="G7150" s="9" t="str">
        <f>IF(DADOS!F7150="","",DADOS!F7150)</f>
        <v/>
      </c>
      <c r="K7150" s="6" t="str">
        <f t="shared" si="560"/>
        <v/>
      </c>
      <c r="L7150" s="7" t="str">
        <f t="shared" si="561"/>
        <v/>
      </c>
      <c r="M7150" s="7" t="str">
        <f t="shared" si="558"/>
        <v/>
      </c>
      <c r="N7150" s="7" t="str">
        <f t="shared" si="562"/>
        <v/>
      </c>
      <c r="O7150" s="8"/>
      <c r="P7150" s="26"/>
      <c r="S7150" s="10" t="str">
        <f t="shared" si="559"/>
        <v/>
      </c>
    </row>
    <row r="7151" spans="5:19" x14ac:dyDescent="0.3">
      <c r="E7151" s="9" t="str">
        <f>IF(DADOS!C7151="","",DADOS!C7151)</f>
        <v/>
      </c>
      <c r="F7151" s="9" t="str">
        <f>IF(DADOS!E7151="","",DADOS!E7151)</f>
        <v/>
      </c>
      <c r="G7151" s="9" t="str">
        <f>IF(DADOS!F7151="","",DADOS!F7151)</f>
        <v/>
      </c>
      <c r="K7151" s="6" t="str">
        <f t="shared" si="560"/>
        <v/>
      </c>
      <c r="L7151" s="7" t="str">
        <f t="shared" si="561"/>
        <v/>
      </c>
      <c r="M7151" s="7" t="str">
        <f t="shared" si="558"/>
        <v/>
      </c>
      <c r="N7151" s="7" t="str">
        <f t="shared" si="562"/>
        <v/>
      </c>
      <c r="O7151" s="8"/>
      <c r="P7151" s="26"/>
      <c r="S7151" s="10" t="str">
        <f t="shared" si="559"/>
        <v/>
      </c>
    </row>
    <row r="7152" spans="5:19" x14ac:dyDescent="0.3">
      <c r="E7152" s="9" t="str">
        <f>IF(DADOS!C7152="","",DADOS!C7152)</f>
        <v/>
      </c>
      <c r="F7152" s="9" t="str">
        <f>IF(DADOS!E7152="","",DADOS!E7152)</f>
        <v/>
      </c>
      <c r="G7152" s="9" t="str">
        <f>IF(DADOS!F7152="","",DADOS!F7152)</f>
        <v/>
      </c>
      <c r="K7152" s="6" t="str">
        <f t="shared" si="560"/>
        <v/>
      </c>
      <c r="L7152" s="7" t="str">
        <f t="shared" si="561"/>
        <v/>
      </c>
      <c r="M7152" s="7" t="str">
        <f t="shared" si="558"/>
        <v/>
      </c>
      <c r="N7152" s="7" t="str">
        <f t="shared" si="562"/>
        <v/>
      </c>
      <c r="O7152" s="8"/>
      <c r="P7152" s="26"/>
      <c r="S7152" s="10" t="str">
        <f t="shared" si="559"/>
        <v/>
      </c>
    </row>
    <row r="7153" spans="5:19" x14ac:dyDescent="0.3">
      <c r="E7153" s="9" t="str">
        <f>IF(DADOS!C7153="","",DADOS!C7153)</f>
        <v/>
      </c>
      <c r="F7153" s="9" t="str">
        <f>IF(DADOS!E7153="","",DADOS!E7153)</f>
        <v/>
      </c>
      <c r="G7153" s="9" t="str">
        <f>IF(DADOS!F7153="","",DADOS!F7153)</f>
        <v/>
      </c>
      <c r="K7153" s="6" t="str">
        <f t="shared" si="560"/>
        <v/>
      </c>
      <c r="L7153" s="7" t="str">
        <f t="shared" si="561"/>
        <v/>
      </c>
      <c r="M7153" s="7" t="str">
        <f t="shared" si="558"/>
        <v/>
      </c>
      <c r="N7153" s="7" t="str">
        <f t="shared" si="562"/>
        <v/>
      </c>
      <c r="O7153" s="8"/>
      <c r="P7153" s="26"/>
      <c r="S7153" s="10" t="str">
        <f t="shared" si="559"/>
        <v/>
      </c>
    </row>
    <row r="7154" spans="5:19" x14ac:dyDescent="0.3">
      <c r="E7154" s="9" t="str">
        <f>IF(DADOS!C7154="","",DADOS!C7154)</f>
        <v/>
      </c>
      <c r="F7154" s="9" t="str">
        <f>IF(DADOS!E7154="","",DADOS!E7154)</f>
        <v/>
      </c>
      <c r="G7154" s="9" t="str">
        <f>IF(DADOS!F7154="","",DADOS!F7154)</f>
        <v/>
      </c>
      <c r="K7154" s="6" t="str">
        <f t="shared" si="560"/>
        <v/>
      </c>
      <c r="L7154" s="7" t="str">
        <f t="shared" si="561"/>
        <v/>
      </c>
      <c r="M7154" s="7" t="str">
        <f t="shared" si="558"/>
        <v/>
      </c>
      <c r="N7154" s="7" t="str">
        <f t="shared" si="562"/>
        <v/>
      </c>
      <c r="O7154" s="8"/>
      <c r="P7154" s="26"/>
      <c r="S7154" s="10" t="str">
        <f t="shared" si="559"/>
        <v/>
      </c>
    </row>
    <row r="7155" spans="5:19" x14ac:dyDescent="0.3">
      <c r="E7155" s="9" t="str">
        <f>IF(DADOS!C7155="","",DADOS!C7155)</f>
        <v/>
      </c>
      <c r="F7155" s="9" t="str">
        <f>IF(DADOS!E7155="","",DADOS!E7155)</f>
        <v/>
      </c>
      <c r="G7155" s="9" t="str">
        <f>IF(DADOS!F7155="","",DADOS!F7155)</f>
        <v/>
      </c>
      <c r="K7155" s="6" t="str">
        <f t="shared" si="560"/>
        <v/>
      </c>
      <c r="L7155" s="7" t="str">
        <f t="shared" si="561"/>
        <v/>
      </c>
      <c r="M7155" s="7" t="str">
        <f t="shared" si="558"/>
        <v/>
      </c>
      <c r="N7155" s="7" t="str">
        <f t="shared" si="562"/>
        <v/>
      </c>
      <c r="O7155" s="8"/>
      <c r="P7155" s="26"/>
      <c r="S7155" s="10" t="str">
        <f t="shared" si="559"/>
        <v/>
      </c>
    </row>
    <row r="7156" spans="5:19" x14ac:dyDescent="0.3">
      <c r="E7156" s="9" t="str">
        <f>IF(DADOS!C7156="","",DADOS!C7156)</f>
        <v/>
      </c>
      <c r="F7156" s="9" t="str">
        <f>IF(DADOS!E7156="","",DADOS!E7156)</f>
        <v/>
      </c>
      <c r="G7156" s="9" t="str">
        <f>IF(DADOS!F7156="","",DADOS!F7156)</f>
        <v/>
      </c>
      <c r="K7156" s="6" t="str">
        <f t="shared" si="560"/>
        <v/>
      </c>
      <c r="L7156" s="7" t="str">
        <f t="shared" si="561"/>
        <v/>
      </c>
      <c r="M7156" s="7" t="str">
        <f t="shared" si="558"/>
        <v/>
      </c>
      <c r="N7156" s="7" t="str">
        <f t="shared" si="562"/>
        <v/>
      </c>
      <c r="O7156" s="8"/>
      <c r="P7156" s="26"/>
      <c r="S7156" s="10" t="str">
        <f t="shared" si="559"/>
        <v/>
      </c>
    </row>
    <row r="7157" spans="5:19" x14ac:dyDescent="0.3">
      <c r="E7157" s="9" t="str">
        <f>IF(DADOS!C7157="","",DADOS!C7157)</f>
        <v/>
      </c>
      <c r="F7157" s="9" t="str">
        <f>IF(DADOS!E7157="","",DADOS!E7157)</f>
        <v/>
      </c>
      <c r="G7157" s="9" t="str">
        <f>IF(DADOS!F7157="","",DADOS!F7157)</f>
        <v/>
      </c>
      <c r="K7157" s="6" t="str">
        <f t="shared" si="560"/>
        <v/>
      </c>
      <c r="L7157" s="7" t="str">
        <f t="shared" si="561"/>
        <v/>
      </c>
      <c r="M7157" s="7" t="str">
        <f t="shared" si="558"/>
        <v/>
      </c>
      <c r="N7157" s="7" t="str">
        <f t="shared" si="562"/>
        <v/>
      </c>
      <c r="O7157" s="8"/>
      <c r="P7157" s="26"/>
      <c r="S7157" s="10" t="str">
        <f t="shared" si="559"/>
        <v/>
      </c>
    </row>
    <row r="7158" spans="5:19" x14ac:dyDescent="0.3">
      <c r="E7158" s="9" t="str">
        <f>IF(DADOS!C7158="","",DADOS!C7158)</f>
        <v/>
      </c>
      <c r="F7158" s="9" t="str">
        <f>IF(DADOS!E7158="","",DADOS!E7158)</f>
        <v/>
      </c>
      <c r="G7158" s="9" t="str">
        <f>IF(DADOS!F7158="","",DADOS!F7158)</f>
        <v/>
      </c>
      <c r="K7158" s="6" t="str">
        <f t="shared" si="560"/>
        <v/>
      </c>
      <c r="L7158" s="7" t="str">
        <f t="shared" si="561"/>
        <v/>
      </c>
      <c r="M7158" s="7" t="str">
        <f t="shared" si="558"/>
        <v/>
      </c>
      <c r="N7158" s="7" t="str">
        <f t="shared" si="562"/>
        <v/>
      </c>
      <c r="O7158" s="8"/>
      <c r="P7158" s="26"/>
      <c r="S7158" s="10" t="str">
        <f t="shared" si="559"/>
        <v/>
      </c>
    </row>
    <row r="7159" spans="5:19" x14ac:dyDescent="0.3">
      <c r="E7159" s="9" t="str">
        <f>IF(DADOS!C7159="","",DADOS!C7159)</f>
        <v/>
      </c>
      <c r="F7159" s="9" t="str">
        <f>IF(DADOS!E7159="","",DADOS!E7159)</f>
        <v/>
      </c>
      <c r="G7159" s="9" t="str">
        <f>IF(DADOS!F7159="","",DADOS!F7159)</f>
        <v/>
      </c>
      <c r="K7159" s="6" t="str">
        <f t="shared" si="560"/>
        <v/>
      </c>
      <c r="L7159" s="7" t="str">
        <f t="shared" si="561"/>
        <v/>
      </c>
      <c r="M7159" s="7" t="str">
        <f t="shared" si="558"/>
        <v/>
      </c>
      <c r="N7159" s="7" t="str">
        <f t="shared" si="562"/>
        <v/>
      </c>
      <c r="O7159" s="8"/>
      <c r="P7159" s="26"/>
      <c r="S7159" s="10" t="str">
        <f t="shared" si="559"/>
        <v/>
      </c>
    </row>
    <row r="7160" spans="5:19" x14ac:dyDescent="0.3">
      <c r="E7160" s="9" t="str">
        <f>IF(DADOS!C7160="","",DADOS!C7160)</f>
        <v/>
      </c>
      <c r="F7160" s="9" t="str">
        <f>IF(DADOS!E7160="","",DADOS!E7160)</f>
        <v/>
      </c>
      <c r="G7160" s="9" t="str">
        <f>IF(DADOS!F7160="","",DADOS!F7160)</f>
        <v/>
      </c>
      <c r="K7160" s="6" t="str">
        <f t="shared" si="560"/>
        <v/>
      </c>
      <c r="L7160" s="7" t="str">
        <f t="shared" si="561"/>
        <v/>
      </c>
      <c r="M7160" s="7" t="str">
        <f t="shared" si="558"/>
        <v/>
      </c>
      <c r="N7160" s="7" t="str">
        <f t="shared" si="562"/>
        <v/>
      </c>
      <c r="O7160" s="8"/>
      <c r="P7160" s="26"/>
      <c r="S7160" s="10" t="str">
        <f t="shared" si="559"/>
        <v/>
      </c>
    </row>
    <row r="7161" spans="5:19" x14ac:dyDescent="0.3">
      <c r="E7161" s="9" t="str">
        <f>IF(DADOS!C7161="","",DADOS!C7161)</f>
        <v/>
      </c>
      <c r="F7161" s="9" t="str">
        <f>IF(DADOS!E7161="","",DADOS!E7161)</f>
        <v/>
      </c>
      <c r="G7161" s="9" t="str">
        <f>IF(DADOS!F7161="","",DADOS!F7161)</f>
        <v/>
      </c>
      <c r="K7161" s="6" t="str">
        <f t="shared" si="560"/>
        <v/>
      </c>
      <c r="L7161" s="7" t="str">
        <f t="shared" si="561"/>
        <v/>
      </c>
      <c r="M7161" s="7" t="str">
        <f t="shared" si="558"/>
        <v/>
      </c>
      <c r="N7161" s="7" t="str">
        <f t="shared" si="562"/>
        <v/>
      </c>
      <c r="O7161" s="8"/>
      <c r="P7161" s="26"/>
      <c r="S7161" s="10" t="str">
        <f t="shared" si="559"/>
        <v/>
      </c>
    </row>
    <row r="7162" spans="5:19" x14ac:dyDescent="0.3">
      <c r="E7162" s="9" t="str">
        <f>IF(DADOS!C7162="","",DADOS!C7162)</f>
        <v/>
      </c>
      <c r="F7162" s="9" t="str">
        <f>IF(DADOS!E7162="","",DADOS!E7162)</f>
        <v/>
      </c>
      <c r="G7162" s="9" t="str">
        <f>IF(DADOS!F7162="","",DADOS!F7162)</f>
        <v/>
      </c>
      <c r="K7162" s="6" t="str">
        <f t="shared" si="560"/>
        <v/>
      </c>
      <c r="L7162" s="7" t="str">
        <f t="shared" si="561"/>
        <v/>
      </c>
      <c r="M7162" s="7" t="str">
        <f t="shared" si="558"/>
        <v/>
      </c>
      <c r="N7162" s="7" t="str">
        <f t="shared" si="562"/>
        <v/>
      </c>
      <c r="O7162" s="8"/>
      <c r="P7162" s="26"/>
      <c r="S7162" s="10" t="str">
        <f t="shared" si="559"/>
        <v/>
      </c>
    </row>
    <row r="7163" spans="5:19" x14ac:dyDescent="0.3">
      <c r="E7163" s="9" t="str">
        <f>IF(DADOS!C7163="","",DADOS!C7163)</f>
        <v/>
      </c>
      <c r="F7163" s="9" t="str">
        <f>IF(DADOS!E7163="","",DADOS!E7163)</f>
        <v/>
      </c>
      <c r="G7163" s="9" t="str">
        <f>IF(DADOS!F7163="","",DADOS!F7163)</f>
        <v/>
      </c>
      <c r="K7163" s="6" t="str">
        <f t="shared" si="560"/>
        <v/>
      </c>
      <c r="L7163" s="7" t="str">
        <f t="shared" si="561"/>
        <v/>
      </c>
      <c r="M7163" s="7" t="str">
        <f t="shared" si="558"/>
        <v/>
      </c>
      <c r="N7163" s="7" t="str">
        <f t="shared" si="562"/>
        <v/>
      </c>
      <c r="O7163" s="8"/>
      <c r="P7163" s="26"/>
      <c r="S7163" s="10" t="str">
        <f t="shared" si="559"/>
        <v/>
      </c>
    </row>
    <row r="7164" spans="5:19" x14ac:dyDescent="0.3">
      <c r="E7164" s="9" t="str">
        <f>IF(DADOS!C7164="","",DADOS!C7164)</f>
        <v/>
      </c>
      <c r="F7164" s="9" t="str">
        <f>IF(DADOS!E7164="","",DADOS!E7164)</f>
        <v/>
      </c>
      <c r="G7164" s="9" t="str">
        <f>IF(DADOS!F7164="","",DADOS!F7164)</f>
        <v/>
      </c>
      <c r="K7164" s="6" t="str">
        <f t="shared" si="560"/>
        <v/>
      </c>
      <c r="L7164" s="7" t="str">
        <f t="shared" si="561"/>
        <v/>
      </c>
      <c r="M7164" s="7" t="str">
        <f t="shared" si="558"/>
        <v/>
      </c>
      <c r="N7164" s="7" t="str">
        <f t="shared" si="562"/>
        <v/>
      </c>
      <c r="O7164" s="8"/>
      <c r="P7164" s="26"/>
      <c r="S7164" s="10" t="str">
        <f t="shared" si="559"/>
        <v/>
      </c>
    </row>
    <row r="7165" spans="5:19" x14ac:dyDescent="0.3">
      <c r="E7165" s="9" t="str">
        <f>IF(DADOS!C7165="","",DADOS!C7165)</f>
        <v/>
      </c>
      <c r="F7165" s="9" t="str">
        <f>IF(DADOS!E7165="","",DADOS!E7165)</f>
        <v/>
      </c>
      <c r="G7165" s="9" t="str">
        <f>IF(DADOS!F7165="","",DADOS!F7165)</f>
        <v/>
      </c>
      <c r="K7165" s="6" t="str">
        <f t="shared" si="560"/>
        <v/>
      </c>
      <c r="L7165" s="7" t="str">
        <f t="shared" si="561"/>
        <v/>
      </c>
      <c r="M7165" s="7" t="str">
        <f t="shared" si="558"/>
        <v/>
      </c>
      <c r="N7165" s="7" t="str">
        <f t="shared" si="562"/>
        <v/>
      </c>
      <c r="O7165" s="8"/>
      <c r="P7165" s="26"/>
      <c r="S7165" s="10" t="str">
        <f t="shared" si="559"/>
        <v/>
      </c>
    </row>
    <row r="7166" spans="5:19" x14ac:dyDescent="0.3">
      <c r="E7166" s="9" t="str">
        <f>IF(DADOS!C7166="","",DADOS!C7166)</f>
        <v/>
      </c>
      <c r="F7166" s="9" t="str">
        <f>IF(DADOS!E7166="","",DADOS!E7166)</f>
        <v/>
      </c>
      <c r="G7166" s="9" t="str">
        <f>IF(DADOS!F7166="","",DADOS!F7166)</f>
        <v/>
      </c>
      <c r="K7166" s="6" t="str">
        <f t="shared" si="560"/>
        <v/>
      </c>
      <c r="L7166" s="7" t="str">
        <f t="shared" si="561"/>
        <v/>
      </c>
      <c r="M7166" s="7" t="str">
        <f t="shared" si="558"/>
        <v/>
      </c>
      <c r="N7166" s="7" t="str">
        <f t="shared" si="562"/>
        <v/>
      </c>
      <c r="O7166" s="8"/>
      <c r="P7166" s="26"/>
      <c r="S7166" s="10" t="str">
        <f t="shared" si="559"/>
        <v/>
      </c>
    </row>
    <row r="7167" spans="5:19" x14ac:dyDescent="0.3">
      <c r="E7167" s="9" t="str">
        <f>IF(DADOS!C7167="","",DADOS!C7167)</f>
        <v/>
      </c>
      <c r="F7167" s="9" t="str">
        <f>IF(DADOS!E7167="","",DADOS!E7167)</f>
        <v/>
      </c>
      <c r="G7167" s="9" t="str">
        <f>IF(DADOS!F7167="","",DADOS!F7167)</f>
        <v/>
      </c>
      <c r="K7167" s="6" t="str">
        <f t="shared" si="560"/>
        <v/>
      </c>
      <c r="L7167" s="7" t="str">
        <f t="shared" si="561"/>
        <v/>
      </c>
      <c r="M7167" s="7" t="str">
        <f t="shared" si="558"/>
        <v/>
      </c>
      <c r="N7167" s="7" t="str">
        <f t="shared" si="562"/>
        <v/>
      </c>
      <c r="O7167" s="8"/>
      <c r="P7167" s="26"/>
      <c r="S7167" s="10" t="str">
        <f t="shared" si="559"/>
        <v/>
      </c>
    </row>
    <row r="7168" spans="5:19" x14ac:dyDescent="0.3">
      <c r="E7168" s="9" t="str">
        <f>IF(DADOS!C7168="","",DADOS!C7168)</f>
        <v/>
      </c>
      <c r="F7168" s="9" t="str">
        <f>IF(DADOS!E7168="","",DADOS!E7168)</f>
        <v/>
      </c>
      <c r="G7168" s="9" t="str">
        <f>IF(DADOS!F7168="","",DADOS!F7168)</f>
        <v/>
      </c>
      <c r="K7168" s="6" t="str">
        <f t="shared" si="560"/>
        <v/>
      </c>
      <c r="L7168" s="7" t="str">
        <f t="shared" si="561"/>
        <v/>
      </c>
      <c r="M7168" s="7" t="str">
        <f t="shared" si="558"/>
        <v/>
      </c>
      <c r="N7168" s="7" t="str">
        <f t="shared" si="562"/>
        <v/>
      </c>
      <c r="O7168" s="8"/>
      <c r="P7168" s="26"/>
      <c r="S7168" s="10" t="str">
        <f t="shared" si="559"/>
        <v/>
      </c>
    </row>
    <row r="7169" spans="5:19" x14ac:dyDescent="0.3">
      <c r="E7169" s="9" t="str">
        <f>IF(DADOS!C7169="","",DADOS!C7169)</f>
        <v/>
      </c>
      <c r="F7169" s="9" t="str">
        <f>IF(DADOS!E7169="","",DADOS!E7169)</f>
        <v/>
      </c>
      <c r="G7169" s="9" t="str">
        <f>IF(DADOS!F7169="","",DADOS!F7169)</f>
        <v/>
      </c>
      <c r="K7169" s="6" t="str">
        <f t="shared" si="560"/>
        <v/>
      </c>
      <c r="L7169" s="7" t="str">
        <f t="shared" si="561"/>
        <v/>
      </c>
      <c r="M7169" s="7" t="str">
        <f t="shared" si="558"/>
        <v/>
      </c>
      <c r="N7169" s="7" t="str">
        <f t="shared" si="562"/>
        <v/>
      </c>
      <c r="O7169" s="8"/>
      <c r="P7169" s="26"/>
      <c r="S7169" s="10" t="str">
        <f t="shared" si="559"/>
        <v/>
      </c>
    </row>
    <row r="7170" spans="5:19" x14ac:dyDescent="0.3">
      <c r="E7170" s="9" t="str">
        <f>IF(DADOS!C7170="","",DADOS!C7170)</f>
        <v/>
      </c>
      <c r="F7170" s="9" t="str">
        <f>IF(DADOS!E7170="","",DADOS!E7170)</f>
        <v/>
      </c>
      <c r="G7170" s="9" t="str">
        <f>IF(DADOS!F7170="","",DADOS!F7170)</f>
        <v/>
      </c>
      <c r="K7170" s="6" t="str">
        <f t="shared" si="560"/>
        <v/>
      </c>
      <c r="L7170" s="7" t="str">
        <f t="shared" si="561"/>
        <v/>
      </c>
      <c r="M7170" s="7" t="str">
        <f t="shared" si="558"/>
        <v/>
      </c>
      <c r="N7170" s="7" t="str">
        <f t="shared" si="562"/>
        <v/>
      </c>
      <c r="O7170" s="8"/>
      <c r="P7170" s="26"/>
      <c r="S7170" s="10" t="str">
        <f t="shared" si="559"/>
        <v/>
      </c>
    </row>
    <row r="7171" spans="5:19" x14ac:dyDescent="0.3">
      <c r="E7171" s="9" t="str">
        <f>IF(DADOS!C7171="","",DADOS!C7171)</f>
        <v/>
      </c>
      <c r="F7171" s="9" t="str">
        <f>IF(DADOS!E7171="","",DADOS!E7171)</f>
        <v/>
      </c>
      <c r="G7171" s="9" t="str">
        <f>IF(DADOS!F7171="","",DADOS!F7171)</f>
        <v/>
      </c>
      <c r="K7171" s="6" t="str">
        <f t="shared" si="560"/>
        <v/>
      </c>
      <c r="L7171" s="7" t="str">
        <f t="shared" si="561"/>
        <v/>
      </c>
      <c r="M7171" s="7" t="str">
        <f t="shared" ref="M7171:M7234" si="563">IF(L7171="","",L7171*G7171)</f>
        <v/>
      </c>
      <c r="N7171" s="7" t="str">
        <f t="shared" si="562"/>
        <v/>
      </c>
      <c r="O7171" s="8"/>
      <c r="P7171" s="26"/>
      <c r="S7171" s="10" t="str">
        <f t="shared" ref="S7171:S7234" si="564">IF(R7171="","",SUMIFS($N$3:$N$10000,$E$3:$E$10000,R7171))</f>
        <v/>
      </c>
    </row>
    <row r="7172" spans="5:19" x14ac:dyDescent="0.3">
      <c r="E7172" s="9" t="str">
        <f>IF(DADOS!C7172="","",DADOS!C7172)</f>
        <v/>
      </c>
      <c r="F7172" s="9" t="str">
        <f>IF(DADOS!E7172="","",DADOS!E7172)</f>
        <v/>
      </c>
      <c r="G7172" s="9" t="str">
        <f>IF(DADOS!F7172="","",DADOS!F7172)</f>
        <v/>
      </c>
      <c r="K7172" s="6" t="str">
        <f t="shared" ref="K7172:K7235" si="565">IF(F7172="","",F7172/PI())</f>
        <v/>
      </c>
      <c r="L7172" s="7" t="str">
        <f t="shared" ref="L7172:L7235" si="566">IF(K7172="","",(PI()*K7172^2)/40000)</f>
        <v/>
      </c>
      <c r="M7172" s="7" t="str">
        <f t="shared" si="563"/>
        <v/>
      </c>
      <c r="N7172" s="7" t="str">
        <f t="shared" ref="N7172:N7235" si="567">IF(M7172="","",M7172*N$1)</f>
        <v/>
      </c>
      <c r="O7172" s="8"/>
      <c r="P7172" s="26"/>
      <c r="S7172" s="10" t="str">
        <f t="shared" si="564"/>
        <v/>
      </c>
    </row>
    <row r="7173" spans="5:19" x14ac:dyDescent="0.3">
      <c r="E7173" s="9" t="str">
        <f>IF(DADOS!C7173="","",DADOS!C7173)</f>
        <v/>
      </c>
      <c r="F7173" s="9" t="str">
        <f>IF(DADOS!E7173="","",DADOS!E7173)</f>
        <v/>
      </c>
      <c r="G7173" s="9" t="str">
        <f>IF(DADOS!F7173="","",DADOS!F7173)</f>
        <v/>
      </c>
      <c r="K7173" s="6" t="str">
        <f t="shared" si="565"/>
        <v/>
      </c>
      <c r="L7173" s="7" t="str">
        <f t="shared" si="566"/>
        <v/>
      </c>
      <c r="M7173" s="7" t="str">
        <f t="shared" si="563"/>
        <v/>
      </c>
      <c r="N7173" s="7" t="str">
        <f t="shared" si="567"/>
        <v/>
      </c>
      <c r="O7173" s="8"/>
      <c r="P7173" s="26"/>
      <c r="S7173" s="10" t="str">
        <f t="shared" si="564"/>
        <v/>
      </c>
    </row>
    <row r="7174" spans="5:19" x14ac:dyDescent="0.3">
      <c r="E7174" s="9" t="str">
        <f>IF(DADOS!C7174="","",DADOS!C7174)</f>
        <v/>
      </c>
      <c r="F7174" s="9" t="str">
        <f>IF(DADOS!E7174="","",DADOS!E7174)</f>
        <v/>
      </c>
      <c r="G7174" s="9" t="str">
        <f>IF(DADOS!F7174="","",DADOS!F7174)</f>
        <v/>
      </c>
      <c r="K7174" s="6" t="str">
        <f t="shared" si="565"/>
        <v/>
      </c>
      <c r="L7174" s="7" t="str">
        <f t="shared" si="566"/>
        <v/>
      </c>
      <c r="M7174" s="7" t="str">
        <f t="shared" si="563"/>
        <v/>
      </c>
      <c r="N7174" s="7" t="str">
        <f t="shared" si="567"/>
        <v/>
      </c>
      <c r="O7174" s="8"/>
      <c r="P7174" s="26"/>
      <c r="S7174" s="10" t="str">
        <f t="shared" si="564"/>
        <v/>
      </c>
    </row>
    <row r="7175" spans="5:19" x14ac:dyDescent="0.3">
      <c r="E7175" s="9" t="str">
        <f>IF(DADOS!C7175="","",DADOS!C7175)</f>
        <v/>
      </c>
      <c r="F7175" s="9" t="str">
        <f>IF(DADOS!E7175="","",DADOS!E7175)</f>
        <v/>
      </c>
      <c r="G7175" s="9" t="str">
        <f>IF(DADOS!F7175="","",DADOS!F7175)</f>
        <v/>
      </c>
      <c r="K7175" s="6" t="str">
        <f t="shared" si="565"/>
        <v/>
      </c>
      <c r="L7175" s="7" t="str">
        <f t="shared" si="566"/>
        <v/>
      </c>
      <c r="M7175" s="7" t="str">
        <f t="shared" si="563"/>
        <v/>
      </c>
      <c r="N7175" s="7" t="str">
        <f t="shared" si="567"/>
        <v/>
      </c>
      <c r="O7175" s="8"/>
      <c r="P7175" s="26"/>
      <c r="S7175" s="10" t="str">
        <f t="shared" si="564"/>
        <v/>
      </c>
    </row>
    <row r="7176" spans="5:19" x14ac:dyDescent="0.3">
      <c r="E7176" s="9" t="str">
        <f>IF(DADOS!C7176="","",DADOS!C7176)</f>
        <v/>
      </c>
      <c r="F7176" s="9" t="str">
        <f>IF(DADOS!E7176="","",DADOS!E7176)</f>
        <v/>
      </c>
      <c r="G7176" s="9" t="str">
        <f>IF(DADOS!F7176="","",DADOS!F7176)</f>
        <v/>
      </c>
      <c r="K7176" s="6" t="str">
        <f t="shared" si="565"/>
        <v/>
      </c>
      <c r="L7176" s="7" t="str">
        <f t="shared" si="566"/>
        <v/>
      </c>
      <c r="M7176" s="7" t="str">
        <f t="shared" si="563"/>
        <v/>
      </c>
      <c r="N7176" s="7" t="str">
        <f t="shared" si="567"/>
        <v/>
      </c>
      <c r="O7176" s="8"/>
      <c r="P7176" s="26"/>
      <c r="S7176" s="10" t="str">
        <f t="shared" si="564"/>
        <v/>
      </c>
    </row>
    <row r="7177" spans="5:19" x14ac:dyDescent="0.3">
      <c r="E7177" s="9" t="str">
        <f>IF(DADOS!C7177="","",DADOS!C7177)</f>
        <v/>
      </c>
      <c r="F7177" s="9" t="str">
        <f>IF(DADOS!E7177="","",DADOS!E7177)</f>
        <v/>
      </c>
      <c r="G7177" s="9" t="str">
        <f>IF(DADOS!F7177="","",DADOS!F7177)</f>
        <v/>
      </c>
      <c r="K7177" s="6" t="str">
        <f t="shared" si="565"/>
        <v/>
      </c>
      <c r="L7177" s="7" t="str">
        <f t="shared" si="566"/>
        <v/>
      </c>
      <c r="M7177" s="7" t="str">
        <f t="shared" si="563"/>
        <v/>
      </c>
      <c r="N7177" s="7" t="str">
        <f t="shared" si="567"/>
        <v/>
      </c>
      <c r="O7177" s="8"/>
      <c r="P7177" s="26"/>
      <c r="S7177" s="10" t="str">
        <f t="shared" si="564"/>
        <v/>
      </c>
    </row>
    <row r="7178" spans="5:19" x14ac:dyDescent="0.3">
      <c r="E7178" s="9" t="str">
        <f>IF(DADOS!C7178="","",DADOS!C7178)</f>
        <v/>
      </c>
      <c r="F7178" s="9" t="str">
        <f>IF(DADOS!E7178="","",DADOS!E7178)</f>
        <v/>
      </c>
      <c r="G7178" s="9" t="str">
        <f>IF(DADOS!F7178="","",DADOS!F7178)</f>
        <v/>
      </c>
      <c r="K7178" s="6" t="str">
        <f t="shared" si="565"/>
        <v/>
      </c>
      <c r="L7178" s="7" t="str">
        <f t="shared" si="566"/>
        <v/>
      </c>
      <c r="M7178" s="7" t="str">
        <f t="shared" si="563"/>
        <v/>
      </c>
      <c r="N7178" s="7" t="str">
        <f t="shared" si="567"/>
        <v/>
      </c>
      <c r="O7178" s="8"/>
      <c r="P7178" s="26"/>
      <c r="S7178" s="10" t="str">
        <f t="shared" si="564"/>
        <v/>
      </c>
    </row>
    <row r="7179" spans="5:19" x14ac:dyDescent="0.3">
      <c r="E7179" s="9" t="str">
        <f>IF(DADOS!C7179="","",DADOS!C7179)</f>
        <v/>
      </c>
      <c r="F7179" s="9" t="str">
        <f>IF(DADOS!E7179="","",DADOS!E7179)</f>
        <v/>
      </c>
      <c r="G7179" s="9" t="str">
        <f>IF(DADOS!F7179="","",DADOS!F7179)</f>
        <v/>
      </c>
      <c r="K7179" s="6" t="str">
        <f t="shared" si="565"/>
        <v/>
      </c>
      <c r="L7179" s="7" t="str">
        <f t="shared" si="566"/>
        <v/>
      </c>
      <c r="M7179" s="7" t="str">
        <f t="shared" si="563"/>
        <v/>
      </c>
      <c r="N7179" s="7" t="str">
        <f t="shared" si="567"/>
        <v/>
      </c>
      <c r="O7179" s="8"/>
      <c r="P7179" s="26"/>
      <c r="S7179" s="10" t="str">
        <f t="shared" si="564"/>
        <v/>
      </c>
    </row>
    <row r="7180" spans="5:19" x14ac:dyDescent="0.3">
      <c r="E7180" s="9" t="str">
        <f>IF(DADOS!C7180="","",DADOS!C7180)</f>
        <v/>
      </c>
      <c r="F7180" s="9" t="str">
        <f>IF(DADOS!E7180="","",DADOS!E7180)</f>
        <v/>
      </c>
      <c r="G7180" s="9" t="str">
        <f>IF(DADOS!F7180="","",DADOS!F7180)</f>
        <v/>
      </c>
      <c r="K7180" s="6" t="str">
        <f t="shared" si="565"/>
        <v/>
      </c>
      <c r="L7180" s="7" t="str">
        <f t="shared" si="566"/>
        <v/>
      </c>
      <c r="M7180" s="7" t="str">
        <f t="shared" si="563"/>
        <v/>
      </c>
      <c r="N7180" s="7" t="str">
        <f t="shared" si="567"/>
        <v/>
      </c>
      <c r="O7180" s="8"/>
      <c r="P7180" s="26"/>
      <c r="S7180" s="10" t="str">
        <f t="shared" si="564"/>
        <v/>
      </c>
    </row>
    <row r="7181" spans="5:19" x14ac:dyDescent="0.3">
      <c r="E7181" s="9" t="str">
        <f>IF(DADOS!C7181="","",DADOS!C7181)</f>
        <v/>
      </c>
      <c r="F7181" s="9" t="str">
        <f>IF(DADOS!E7181="","",DADOS!E7181)</f>
        <v/>
      </c>
      <c r="G7181" s="9" t="str">
        <f>IF(DADOS!F7181="","",DADOS!F7181)</f>
        <v/>
      </c>
      <c r="K7181" s="6" t="str">
        <f t="shared" si="565"/>
        <v/>
      </c>
      <c r="L7181" s="7" t="str">
        <f t="shared" si="566"/>
        <v/>
      </c>
      <c r="M7181" s="7" t="str">
        <f t="shared" si="563"/>
        <v/>
      </c>
      <c r="N7181" s="7" t="str">
        <f t="shared" si="567"/>
        <v/>
      </c>
      <c r="O7181" s="8"/>
      <c r="P7181" s="26"/>
      <c r="S7181" s="10" t="str">
        <f t="shared" si="564"/>
        <v/>
      </c>
    </row>
    <row r="7182" spans="5:19" x14ac:dyDescent="0.3">
      <c r="E7182" s="9" t="str">
        <f>IF(DADOS!C7182="","",DADOS!C7182)</f>
        <v/>
      </c>
      <c r="F7182" s="9" t="str">
        <f>IF(DADOS!E7182="","",DADOS!E7182)</f>
        <v/>
      </c>
      <c r="G7182" s="9" t="str">
        <f>IF(DADOS!F7182="","",DADOS!F7182)</f>
        <v/>
      </c>
      <c r="K7182" s="6" t="str">
        <f t="shared" si="565"/>
        <v/>
      </c>
      <c r="L7182" s="7" t="str">
        <f t="shared" si="566"/>
        <v/>
      </c>
      <c r="M7182" s="7" t="str">
        <f t="shared" si="563"/>
        <v/>
      </c>
      <c r="N7182" s="7" t="str">
        <f t="shared" si="567"/>
        <v/>
      </c>
      <c r="O7182" s="8"/>
      <c r="P7182" s="26"/>
      <c r="S7182" s="10" t="str">
        <f t="shared" si="564"/>
        <v/>
      </c>
    </row>
    <row r="7183" spans="5:19" x14ac:dyDescent="0.3">
      <c r="E7183" s="9" t="str">
        <f>IF(DADOS!C7183="","",DADOS!C7183)</f>
        <v/>
      </c>
      <c r="F7183" s="9" t="str">
        <f>IF(DADOS!E7183="","",DADOS!E7183)</f>
        <v/>
      </c>
      <c r="G7183" s="9" t="str">
        <f>IF(DADOS!F7183="","",DADOS!F7183)</f>
        <v/>
      </c>
      <c r="K7183" s="6" t="str">
        <f t="shared" si="565"/>
        <v/>
      </c>
      <c r="L7183" s="7" t="str">
        <f t="shared" si="566"/>
        <v/>
      </c>
      <c r="M7183" s="7" t="str">
        <f t="shared" si="563"/>
        <v/>
      </c>
      <c r="N7183" s="7" t="str">
        <f t="shared" si="567"/>
        <v/>
      </c>
      <c r="O7183" s="8"/>
      <c r="P7183" s="26"/>
      <c r="S7183" s="10" t="str">
        <f t="shared" si="564"/>
        <v/>
      </c>
    </row>
    <row r="7184" spans="5:19" x14ac:dyDescent="0.3">
      <c r="E7184" s="9" t="str">
        <f>IF(DADOS!C7184="","",DADOS!C7184)</f>
        <v/>
      </c>
      <c r="F7184" s="9" t="str">
        <f>IF(DADOS!E7184="","",DADOS!E7184)</f>
        <v/>
      </c>
      <c r="G7184" s="9" t="str">
        <f>IF(DADOS!F7184="","",DADOS!F7184)</f>
        <v/>
      </c>
      <c r="K7184" s="6" t="str">
        <f t="shared" si="565"/>
        <v/>
      </c>
      <c r="L7184" s="7" t="str">
        <f t="shared" si="566"/>
        <v/>
      </c>
      <c r="M7184" s="7" t="str">
        <f t="shared" si="563"/>
        <v/>
      </c>
      <c r="N7184" s="7" t="str">
        <f t="shared" si="567"/>
        <v/>
      </c>
      <c r="O7184" s="8"/>
      <c r="P7184" s="26"/>
      <c r="S7184" s="10" t="str">
        <f t="shared" si="564"/>
        <v/>
      </c>
    </row>
    <row r="7185" spans="5:19" x14ac:dyDescent="0.3">
      <c r="E7185" s="9" t="str">
        <f>IF(DADOS!C7185="","",DADOS!C7185)</f>
        <v/>
      </c>
      <c r="F7185" s="9" t="str">
        <f>IF(DADOS!E7185="","",DADOS!E7185)</f>
        <v/>
      </c>
      <c r="G7185" s="9" t="str">
        <f>IF(DADOS!F7185="","",DADOS!F7185)</f>
        <v/>
      </c>
      <c r="K7185" s="6" t="str">
        <f t="shared" si="565"/>
        <v/>
      </c>
      <c r="L7185" s="7" t="str">
        <f t="shared" si="566"/>
        <v/>
      </c>
      <c r="M7185" s="7" t="str">
        <f t="shared" si="563"/>
        <v/>
      </c>
      <c r="N7185" s="7" t="str">
        <f t="shared" si="567"/>
        <v/>
      </c>
      <c r="O7185" s="8"/>
      <c r="P7185" s="26"/>
      <c r="S7185" s="10" t="str">
        <f t="shared" si="564"/>
        <v/>
      </c>
    </row>
    <row r="7186" spans="5:19" x14ac:dyDescent="0.3">
      <c r="E7186" s="9" t="str">
        <f>IF(DADOS!C7186="","",DADOS!C7186)</f>
        <v/>
      </c>
      <c r="F7186" s="9" t="str">
        <f>IF(DADOS!E7186="","",DADOS!E7186)</f>
        <v/>
      </c>
      <c r="G7186" s="9" t="str">
        <f>IF(DADOS!F7186="","",DADOS!F7186)</f>
        <v/>
      </c>
      <c r="K7186" s="6" t="str">
        <f t="shared" si="565"/>
        <v/>
      </c>
      <c r="L7186" s="7" t="str">
        <f t="shared" si="566"/>
        <v/>
      </c>
      <c r="M7186" s="7" t="str">
        <f t="shared" si="563"/>
        <v/>
      </c>
      <c r="N7186" s="7" t="str">
        <f t="shared" si="567"/>
        <v/>
      </c>
      <c r="O7186" s="8"/>
      <c r="P7186" s="26"/>
      <c r="S7186" s="10" t="str">
        <f t="shared" si="564"/>
        <v/>
      </c>
    </row>
    <row r="7187" spans="5:19" x14ac:dyDescent="0.3">
      <c r="E7187" s="9" t="str">
        <f>IF(DADOS!C7187="","",DADOS!C7187)</f>
        <v/>
      </c>
      <c r="F7187" s="9" t="str">
        <f>IF(DADOS!E7187="","",DADOS!E7187)</f>
        <v/>
      </c>
      <c r="G7187" s="9" t="str">
        <f>IF(DADOS!F7187="","",DADOS!F7187)</f>
        <v/>
      </c>
      <c r="K7187" s="6" t="str">
        <f t="shared" si="565"/>
        <v/>
      </c>
      <c r="L7187" s="7" t="str">
        <f t="shared" si="566"/>
        <v/>
      </c>
      <c r="M7187" s="7" t="str">
        <f t="shared" si="563"/>
        <v/>
      </c>
      <c r="N7187" s="7" t="str">
        <f t="shared" si="567"/>
        <v/>
      </c>
      <c r="O7187" s="8"/>
      <c r="P7187" s="26"/>
      <c r="S7187" s="10" t="str">
        <f t="shared" si="564"/>
        <v/>
      </c>
    </row>
    <row r="7188" spans="5:19" x14ac:dyDescent="0.3">
      <c r="E7188" s="9" t="str">
        <f>IF(DADOS!C7188="","",DADOS!C7188)</f>
        <v/>
      </c>
      <c r="F7188" s="9" t="str">
        <f>IF(DADOS!E7188="","",DADOS!E7188)</f>
        <v/>
      </c>
      <c r="G7188" s="9" t="str">
        <f>IF(DADOS!F7188="","",DADOS!F7188)</f>
        <v/>
      </c>
      <c r="K7188" s="6" t="str">
        <f t="shared" si="565"/>
        <v/>
      </c>
      <c r="L7188" s="7" t="str">
        <f t="shared" si="566"/>
        <v/>
      </c>
      <c r="M7188" s="7" t="str">
        <f t="shared" si="563"/>
        <v/>
      </c>
      <c r="N7188" s="7" t="str">
        <f t="shared" si="567"/>
        <v/>
      </c>
      <c r="O7188" s="8"/>
      <c r="P7188" s="26"/>
      <c r="S7188" s="10" t="str">
        <f t="shared" si="564"/>
        <v/>
      </c>
    </row>
    <row r="7189" spans="5:19" x14ac:dyDescent="0.3">
      <c r="E7189" s="9" t="str">
        <f>IF(DADOS!C7189="","",DADOS!C7189)</f>
        <v/>
      </c>
      <c r="F7189" s="9" t="str">
        <f>IF(DADOS!E7189="","",DADOS!E7189)</f>
        <v/>
      </c>
      <c r="G7189" s="9" t="str">
        <f>IF(DADOS!F7189="","",DADOS!F7189)</f>
        <v/>
      </c>
      <c r="K7189" s="6" t="str">
        <f t="shared" si="565"/>
        <v/>
      </c>
      <c r="L7189" s="7" t="str">
        <f t="shared" si="566"/>
        <v/>
      </c>
      <c r="M7189" s="7" t="str">
        <f t="shared" si="563"/>
        <v/>
      </c>
      <c r="N7189" s="7" t="str">
        <f t="shared" si="567"/>
        <v/>
      </c>
      <c r="O7189" s="8"/>
      <c r="P7189" s="26"/>
      <c r="S7189" s="10" t="str">
        <f t="shared" si="564"/>
        <v/>
      </c>
    </row>
    <row r="7190" spans="5:19" x14ac:dyDescent="0.3">
      <c r="E7190" s="9" t="str">
        <f>IF(DADOS!C7190="","",DADOS!C7190)</f>
        <v/>
      </c>
      <c r="F7190" s="9" t="str">
        <f>IF(DADOS!E7190="","",DADOS!E7190)</f>
        <v/>
      </c>
      <c r="G7190" s="9" t="str">
        <f>IF(DADOS!F7190="","",DADOS!F7190)</f>
        <v/>
      </c>
      <c r="K7190" s="6" t="str">
        <f t="shared" si="565"/>
        <v/>
      </c>
      <c r="L7190" s="7" t="str">
        <f t="shared" si="566"/>
        <v/>
      </c>
      <c r="M7190" s="7" t="str">
        <f t="shared" si="563"/>
        <v/>
      </c>
      <c r="N7190" s="7" t="str">
        <f t="shared" si="567"/>
        <v/>
      </c>
      <c r="O7190" s="8"/>
      <c r="P7190" s="26"/>
      <c r="S7190" s="10" t="str">
        <f t="shared" si="564"/>
        <v/>
      </c>
    </row>
    <row r="7191" spans="5:19" x14ac:dyDescent="0.3">
      <c r="E7191" s="9" t="str">
        <f>IF(DADOS!C7191="","",DADOS!C7191)</f>
        <v/>
      </c>
      <c r="F7191" s="9" t="str">
        <f>IF(DADOS!E7191="","",DADOS!E7191)</f>
        <v/>
      </c>
      <c r="G7191" s="9" t="str">
        <f>IF(DADOS!F7191="","",DADOS!F7191)</f>
        <v/>
      </c>
      <c r="K7191" s="6" t="str">
        <f t="shared" si="565"/>
        <v/>
      </c>
      <c r="L7191" s="7" t="str">
        <f t="shared" si="566"/>
        <v/>
      </c>
      <c r="M7191" s="7" t="str">
        <f t="shared" si="563"/>
        <v/>
      </c>
      <c r="N7191" s="7" t="str">
        <f t="shared" si="567"/>
        <v/>
      </c>
      <c r="O7191" s="8"/>
      <c r="P7191" s="26"/>
      <c r="S7191" s="10" t="str">
        <f t="shared" si="564"/>
        <v/>
      </c>
    </row>
    <row r="7192" spans="5:19" x14ac:dyDescent="0.3">
      <c r="E7192" s="9" t="str">
        <f>IF(DADOS!C7192="","",DADOS!C7192)</f>
        <v/>
      </c>
      <c r="F7192" s="9" t="str">
        <f>IF(DADOS!E7192="","",DADOS!E7192)</f>
        <v/>
      </c>
      <c r="G7192" s="9" t="str">
        <f>IF(DADOS!F7192="","",DADOS!F7192)</f>
        <v/>
      </c>
      <c r="K7192" s="6" t="str">
        <f t="shared" si="565"/>
        <v/>
      </c>
      <c r="L7192" s="7" t="str">
        <f t="shared" si="566"/>
        <v/>
      </c>
      <c r="M7192" s="7" t="str">
        <f t="shared" si="563"/>
        <v/>
      </c>
      <c r="N7192" s="7" t="str">
        <f t="shared" si="567"/>
        <v/>
      </c>
      <c r="O7192" s="8"/>
      <c r="P7192" s="26"/>
      <c r="S7192" s="10" t="str">
        <f t="shared" si="564"/>
        <v/>
      </c>
    </row>
    <row r="7193" spans="5:19" x14ac:dyDescent="0.3">
      <c r="E7193" s="9" t="str">
        <f>IF(DADOS!C7193="","",DADOS!C7193)</f>
        <v/>
      </c>
      <c r="F7193" s="9" t="str">
        <f>IF(DADOS!E7193="","",DADOS!E7193)</f>
        <v/>
      </c>
      <c r="G7193" s="9" t="str">
        <f>IF(DADOS!F7193="","",DADOS!F7193)</f>
        <v/>
      </c>
      <c r="K7193" s="6" t="str">
        <f t="shared" si="565"/>
        <v/>
      </c>
      <c r="L7193" s="7" t="str">
        <f t="shared" si="566"/>
        <v/>
      </c>
      <c r="M7193" s="7" t="str">
        <f t="shared" si="563"/>
        <v/>
      </c>
      <c r="N7193" s="7" t="str">
        <f t="shared" si="567"/>
        <v/>
      </c>
      <c r="O7193" s="8"/>
      <c r="P7193" s="26"/>
      <c r="S7193" s="10" t="str">
        <f t="shared" si="564"/>
        <v/>
      </c>
    </row>
    <row r="7194" spans="5:19" x14ac:dyDescent="0.3">
      <c r="E7194" s="9" t="str">
        <f>IF(DADOS!C7194="","",DADOS!C7194)</f>
        <v/>
      </c>
      <c r="F7194" s="9" t="str">
        <f>IF(DADOS!E7194="","",DADOS!E7194)</f>
        <v/>
      </c>
      <c r="G7194" s="9" t="str">
        <f>IF(DADOS!F7194="","",DADOS!F7194)</f>
        <v/>
      </c>
      <c r="K7194" s="6" t="str">
        <f t="shared" si="565"/>
        <v/>
      </c>
      <c r="L7194" s="7" t="str">
        <f t="shared" si="566"/>
        <v/>
      </c>
      <c r="M7194" s="7" t="str">
        <f t="shared" si="563"/>
        <v/>
      </c>
      <c r="N7194" s="7" t="str">
        <f t="shared" si="567"/>
        <v/>
      </c>
      <c r="O7194" s="8"/>
      <c r="P7194" s="26"/>
      <c r="S7194" s="10" t="str">
        <f t="shared" si="564"/>
        <v/>
      </c>
    </row>
    <row r="7195" spans="5:19" x14ac:dyDescent="0.3">
      <c r="E7195" s="9" t="str">
        <f>IF(DADOS!C7195="","",DADOS!C7195)</f>
        <v/>
      </c>
      <c r="F7195" s="9" t="str">
        <f>IF(DADOS!E7195="","",DADOS!E7195)</f>
        <v/>
      </c>
      <c r="G7195" s="9" t="str">
        <f>IF(DADOS!F7195="","",DADOS!F7195)</f>
        <v/>
      </c>
      <c r="K7195" s="6" t="str">
        <f t="shared" si="565"/>
        <v/>
      </c>
      <c r="L7195" s="7" t="str">
        <f t="shared" si="566"/>
        <v/>
      </c>
      <c r="M7195" s="7" t="str">
        <f t="shared" si="563"/>
        <v/>
      </c>
      <c r="N7195" s="7" t="str">
        <f t="shared" si="567"/>
        <v/>
      </c>
      <c r="O7195" s="8"/>
      <c r="P7195" s="26"/>
      <c r="S7195" s="10" t="str">
        <f t="shared" si="564"/>
        <v/>
      </c>
    </row>
    <row r="7196" spans="5:19" x14ac:dyDescent="0.3">
      <c r="E7196" s="9" t="str">
        <f>IF(DADOS!C7196="","",DADOS!C7196)</f>
        <v/>
      </c>
      <c r="F7196" s="9" t="str">
        <f>IF(DADOS!E7196="","",DADOS!E7196)</f>
        <v/>
      </c>
      <c r="G7196" s="9" t="str">
        <f>IF(DADOS!F7196="","",DADOS!F7196)</f>
        <v/>
      </c>
      <c r="K7196" s="6" t="str">
        <f t="shared" si="565"/>
        <v/>
      </c>
      <c r="L7196" s="7" t="str">
        <f t="shared" si="566"/>
        <v/>
      </c>
      <c r="M7196" s="7" t="str">
        <f t="shared" si="563"/>
        <v/>
      </c>
      <c r="N7196" s="7" t="str">
        <f t="shared" si="567"/>
        <v/>
      </c>
      <c r="O7196" s="8"/>
      <c r="P7196" s="26"/>
      <c r="S7196" s="10" t="str">
        <f t="shared" si="564"/>
        <v/>
      </c>
    </row>
    <row r="7197" spans="5:19" x14ac:dyDescent="0.3">
      <c r="E7197" s="9" t="str">
        <f>IF(DADOS!C7197="","",DADOS!C7197)</f>
        <v/>
      </c>
      <c r="F7197" s="9" t="str">
        <f>IF(DADOS!E7197="","",DADOS!E7197)</f>
        <v/>
      </c>
      <c r="G7197" s="9" t="str">
        <f>IF(DADOS!F7197="","",DADOS!F7197)</f>
        <v/>
      </c>
      <c r="K7197" s="6" t="str">
        <f t="shared" si="565"/>
        <v/>
      </c>
      <c r="L7197" s="7" t="str">
        <f t="shared" si="566"/>
        <v/>
      </c>
      <c r="M7197" s="7" t="str">
        <f t="shared" si="563"/>
        <v/>
      </c>
      <c r="N7197" s="7" t="str">
        <f t="shared" si="567"/>
        <v/>
      </c>
      <c r="O7197" s="8"/>
      <c r="P7197" s="26"/>
      <c r="S7197" s="10" t="str">
        <f t="shared" si="564"/>
        <v/>
      </c>
    </row>
    <row r="7198" spans="5:19" x14ac:dyDescent="0.3">
      <c r="E7198" s="9" t="str">
        <f>IF(DADOS!C7198="","",DADOS!C7198)</f>
        <v/>
      </c>
      <c r="F7198" s="9" t="str">
        <f>IF(DADOS!E7198="","",DADOS!E7198)</f>
        <v/>
      </c>
      <c r="G7198" s="9" t="str">
        <f>IF(DADOS!F7198="","",DADOS!F7198)</f>
        <v/>
      </c>
      <c r="K7198" s="6" t="str">
        <f t="shared" si="565"/>
        <v/>
      </c>
      <c r="L7198" s="7" t="str">
        <f t="shared" si="566"/>
        <v/>
      </c>
      <c r="M7198" s="7" t="str">
        <f t="shared" si="563"/>
        <v/>
      </c>
      <c r="N7198" s="7" t="str">
        <f t="shared" si="567"/>
        <v/>
      </c>
      <c r="O7198" s="8"/>
      <c r="P7198" s="26"/>
      <c r="S7198" s="10" t="str">
        <f t="shared" si="564"/>
        <v/>
      </c>
    </row>
    <row r="7199" spans="5:19" x14ac:dyDescent="0.3">
      <c r="E7199" s="9" t="str">
        <f>IF(DADOS!C7199="","",DADOS!C7199)</f>
        <v/>
      </c>
      <c r="F7199" s="9" t="str">
        <f>IF(DADOS!E7199="","",DADOS!E7199)</f>
        <v/>
      </c>
      <c r="G7199" s="9" t="str">
        <f>IF(DADOS!F7199="","",DADOS!F7199)</f>
        <v/>
      </c>
      <c r="K7199" s="6" t="str">
        <f t="shared" si="565"/>
        <v/>
      </c>
      <c r="L7199" s="7" t="str">
        <f t="shared" si="566"/>
        <v/>
      </c>
      <c r="M7199" s="7" t="str">
        <f t="shared" si="563"/>
        <v/>
      </c>
      <c r="N7199" s="7" t="str">
        <f t="shared" si="567"/>
        <v/>
      </c>
      <c r="O7199" s="8"/>
      <c r="P7199" s="26"/>
      <c r="S7199" s="10" t="str">
        <f t="shared" si="564"/>
        <v/>
      </c>
    </row>
    <row r="7200" spans="5:19" x14ac:dyDescent="0.3">
      <c r="E7200" s="9" t="str">
        <f>IF(DADOS!C7200="","",DADOS!C7200)</f>
        <v/>
      </c>
      <c r="F7200" s="9" t="str">
        <f>IF(DADOS!E7200="","",DADOS!E7200)</f>
        <v/>
      </c>
      <c r="G7200" s="9" t="str">
        <f>IF(DADOS!F7200="","",DADOS!F7200)</f>
        <v/>
      </c>
      <c r="K7200" s="6" t="str">
        <f t="shared" si="565"/>
        <v/>
      </c>
      <c r="L7200" s="7" t="str">
        <f t="shared" si="566"/>
        <v/>
      </c>
      <c r="M7200" s="7" t="str">
        <f t="shared" si="563"/>
        <v/>
      </c>
      <c r="N7200" s="7" t="str">
        <f t="shared" si="567"/>
        <v/>
      </c>
      <c r="O7200" s="8"/>
      <c r="P7200" s="26"/>
      <c r="S7200" s="10" t="str">
        <f t="shared" si="564"/>
        <v/>
      </c>
    </row>
    <row r="7201" spans="5:19" x14ac:dyDescent="0.3">
      <c r="E7201" s="9" t="str">
        <f>IF(DADOS!C7201="","",DADOS!C7201)</f>
        <v/>
      </c>
      <c r="F7201" s="9" t="str">
        <f>IF(DADOS!E7201="","",DADOS!E7201)</f>
        <v/>
      </c>
      <c r="G7201" s="9" t="str">
        <f>IF(DADOS!F7201="","",DADOS!F7201)</f>
        <v/>
      </c>
      <c r="K7201" s="6" t="str">
        <f t="shared" si="565"/>
        <v/>
      </c>
      <c r="L7201" s="7" t="str">
        <f t="shared" si="566"/>
        <v/>
      </c>
      <c r="M7201" s="7" t="str">
        <f t="shared" si="563"/>
        <v/>
      </c>
      <c r="N7201" s="7" t="str">
        <f t="shared" si="567"/>
        <v/>
      </c>
      <c r="O7201" s="8"/>
      <c r="P7201" s="26"/>
      <c r="S7201" s="10" t="str">
        <f t="shared" si="564"/>
        <v/>
      </c>
    </row>
    <row r="7202" spans="5:19" x14ac:dyDescent="0.3">
      <c r="E7202" s="9" t="str">
        <f>IF(DADOS!C7202="","",DADOS!C7202)</f>
        <v/>
      </c>
      <c r="F7202" s="9" t="str">
        <f>IF(DADOS!E7202="","",DADOS!E7202)</f>
        <v/>
      </c>
      <c r="G7202" s="9" t="str">
        <f>IF(DADOS!F7202="","",DADOS!F7202)</f>
        <v/>
      </c>
      <c r="K7202" s="6" t="str">
        <f t="shared" si="565"/>
        <v/>
      </c>
      <c r="L7202" s="7" t="str">
        <f t="shared" si="566"/>
        <v/>
      </c>
      <c r="M7202" s="7" t="str">
        <f t="shared" si="563"/>
        <v/>
      </c>
      <c r="N7202" s="7" t="str">
        <f t="shared" si="567"/>
        <v/>
      </c>
      <c r="O7202" s="8"/>
      <c r="P7202" s="26"/>
      <c r="S7202" s="10" t="str">
        <f t="shared" si="564"/>
        <v/>
      </c>
    </row>
    <row r="7203" spans="5:19" x14ac:dyDescent="0.3">
      <c r="E7203" s="9" t="str">
        <f>IF(DADOS!C7203="","",DADOS!C7203)</f>
        <v/>
      </c>
      <c r="F7203" s="9" t="str">
        <f>IF(DADOS!E7203="","",DADOS!E7203)</f>
        <v/>
      </c>
      <c r="G7203" s="9" t="str">
        <f>IF(DADOS!F7203="","",DADOS!F7203)</f>
        <v/>
      </c>
      <c r="K7203" s="6" t="str">
        <f t="shared" si="565"/>
        <v/>
      </c>
      <c r="L7203" s="7" t="str">
        <f t="shared" si="566"/>
        <v/>
      </c>
      <c r="M7203" s="7" t="str">
        <f t="shared" si="563"/>
        <v/>
      </c>
      <c r="N7203" s="7" t="str">
        <f t="shared" si="567"/>
        <v/>
      </c>
      <c r="O7203" s="8"/>
      <c r="P7203" s="26"/>
      <c r="S7203" s="10" t="str">
        <f t="shared" si="564"/>
        <v/>
      </c>
    </row>
    <row r="7204" spans="5:19" x14ac:dyDescent="0.3">
      <c r="E7204" s="9" t="str">
        <f>IF(DADOS!C7204="","",DADOS!C7204)</f>
        <v/>
      </c>
      <c r="F7204" s="9" t="str">
        <f>IF(DADOS!E7204="","",DADOS!E7204)</f>
        <v/>
      </c>
      <c r="G7204" s="9" t="str">
        <f>IF(DADOS!F7204="","",DADOS!F7204)</f>
        <v/>
      </c>
      <c r="K7204" s="6" t="str">
        <f t="shared" si="565"/>
        <v/>
      </c>
      <c r="L7204" s="7" t="str">
        <f t="shared" si="566"/>
        <v/>
      </c>
      <c r="M7204" s="7" t="str">
        <f t="shared" si="563"/>
        <v/>
      </c>
      <c r="N7204" s="7" t="str">
        <f t="shared" si="567"/>
        <v/>
      </c>
      <c r="O7204" s="8"/>
      <c r="P7204" s="26"/>
      <c r="S7204" s="10" t="str">
        <f t="shared" si="564"/>
        <v/>
      </c>
    </row>
    <row r="7205" spans="5:19" x14ac:dyDescent="0.3">
      <c r="E7205" s="9" t="str">
        <f>IF(DADOS!C7205="","",DADOS!C7205)</f>
        <v/>
      </c>
      <c r="F7205" s="9" t="str">
        <f>IF(DADOS!E7205="","",DADOS!E7205)</f>
        <v/>
      </c>
      <c r="G7205" s="9" t="str">
        <f>IF(DADOS!F7205="","",DADOS!F7205)</f>
        <v/>
      </c>
      <c r="K7205" s="6" t="str">
        <f t="shared" si="565"/>
        <v/>
      </c>
      <c r="L7205" s="7" t="str">
        <f t="shared" si="566"/>
        <v/>
      </c>
      <c r="M7205" s="7" t="str">
        <f t="shared" si="563"/>
        <v/>
      </c>
      <c r="N7205" s="7" t="str">
        <f t="shared" si="567"/>
        <v/>
      </c>
      <c r="O7205" s="8"/>
      <c r="P7205" s="26"/>
      <c r="S7205" s="10" t="str">
        <f t="shared" si="564"/>
        <v/>
      </c>
    </row>
    <row r="7206" spans="5:19" x14ac:dyDescent="0.3">
      <c r="E7206" s="9" t="str">
        <f>IF(DADOS!C7206="","",DADOS!C7206)</f>
        <v/>
      </c>
      <c r="F7206" s="9" t="str">
        <f>IF(DADOS!E7206="","",DADOS!E7206)</f>
        <v/>
      </c>
      <c r="G7206" s="9" t="str">
        <f>IF(DADOS!F7206="","",DADOS!F7206)</f>
        <v/>
      </c>
      <c r="K7206" s="6" t="str">
        <f t="shared" si="565"/>
        <v/>
      </c>
      <c r="L7206" s="7" t="str">
        <f t="shared" si="566"/>
        <v/>
      </c>
      <c r="M7206" s="7" t="str">
        <f t="shared" si="563"/>
        <v/>
      </c>
      <c r="N7206" s="7" t="str">
        <f t="shared" si="567"/>
        <v/>
      </c>
      <c r="O7206" s="8"/>
      <c r="P7206" s="26"/>
      <c r="S7206" s="10" t="str">
        <f t="shared" si="564"/>
        <v/>
      </c>
    </row>
    <row r="7207" spans="5:19" x14ac:dyDescent="0.3">
      <c r="E7207" s="9" t="str">
        <f>IF(DADOS!C7207="","",DADOS!C7207)</f>
        <v/>
      </c>
      <c r="F7207" s="9" t="str">
        <f>IF(DADOS!E7207="","",DADOS!E7207)</f>
        <v/>
      </c>
      <c r="G7207" s="9" t="str">
        <f>IF(DADOS!F7207="","",DADOS!F7207)</f>
        <v/>
      </c>
      <c r="K7207" s="6" t="str">
        <f t="shared" si="565"/>
        <v/>
      </c>
      <c r="L7207" s="7" t="str">
        <f t="shared" si="566"/>
        <v/>
      </c>
      <c r="M7207" s="7" t="str">
        <f t="shared" si="563"/>
        <v/>
      </c>
      <c r="N7207" s="7" t="str">
        <f t="shared" si="567"/>
        <v/>
      </c>
      <c r="O7207" s="8"/>
      <c r="P7207" s="26"/>
      <c r="S7207" s="10" t="str">
        <f t="shared" si="564"/>
        <v/>
      </c>
    </row>
    <row r="7208" spans="5:19" x14ac:dyDescent="0.3">
      <c r="E7208" s="9" t="str">
        <f>IF(DADOS!C7208="","",DADOS!C7208)</f>
        <v/>
      </c>
      <c r="F7208" s="9" t="str">
        <f>IF(DADOS!E7208="","",DADOS!E7208)</f>
        <v/>
      </c>
      <c r="G7208" s="9" t="str">
        <f>IF(DADOS!F7208="","",DADOS!F7208)</f>
        <v/>
      </c>
      <c r="K7208" s="6" t="str">
        <f t="shared" si="565"/>
        <v/>
      </c>
      <c r="L7208" s="7" t="str">
        <f t="shared" si="566"/>
        <v/>
      </c>
      <c r="M7208" s="7" t="str">
        <f t="shared" si="563"/>
        <v/>
      </c>
      <c r="N7208" s="7" t="str">
        <f t="shared" si="567"/>
        <v/>
      </c>
      <c r="O7208" s="8"/>
      <c r="P7208" s="26"/>
      <c r="S7208" s="10" t="str">
        <f t="shared" si="564"/>
        <v/>
      </c>
    </row>
    <row r="7209" spans="5:19" x14ac:dyDescent="0.3">
      <c r="E7209" s="9" t="str">
        <f>IF(DADOS!C7209="","",DADOS!C7209)</f>
        <v/>
      </c>
      <c r="F7209" s="9" t="str">
        <f>IF(DADOS!E7209="","",DADOS!E7209)</f>
        <v/>
      </c>
      <c r="G7209" s="9" t="str">
        <f>IF(DADOS!F7209="","",DADOS!F7209)</f>
        <v/>
      </c>
      <c r="K7209" s="6" t="str">
        <f t="shared" si="565"/>
        <v/>
      </c>
      <c r="L7209" s="7" t="str">
        <f t="shared" si="566"/>
        <v/>
      </c>
      <c r="M7209" s="7" t="str">
        <f t="shared" si="563"/>
        <v/>
      </c>
      <c r="N7209" s="7" t="str">
        <f t="shared" si="567"/>
        <v/>
      </c>
      <c r="O7209" s="8"/>
      <c r="P7209" s="26"/>
      <c r="S7209" s="10" t="str">
        <f t="shared" si="564"/>
        <v/>
      </c>
    </row>
    <row r="7210" spans="5:19" x14ac:dyDescent="0.3">
      <c r="E7210" s="9" t="str">
        <f>IF(DADOS!C7210="","",DADOS!C7210)</f>
        <v/>
      </c>
      <c r="F7210" s="9" t="str">
        <f>IF(DADOS!E7210="","",DADOS!E7210)</f>
        <v/>
      </c>
      <c r="G7210" s="9" t="str">
        <f>IF(DADOS!F7210="","",DADOS!F7210)</f>
        <v/>
      </c>
      <c r="K7210" s="6" t="str">
        <f t="shared" si="565"/>
        <v/>
      </c>
      <c r="L7210" s="7" t="str">
        <f t="shared" si="566"/>
        <v/>
      </c>
      <c r="M7210" s="7" t="str">
        <f t="shared" si="563"/>
        <v/>
      </c>
      <c r="N7210" s="7" t="str">
        <f t="shared" si="567"/>
        <v/>
      </c>
      <c r="O7210" s="8"/>
      <c r="P7210" s="26"/>
      <c r="S7210" s="10" t="str">
        <f t="shared" si="564"/>
        <v/>
      </c>
    </row>
    <row r="7211" spans="5:19" x14ac:dyDescent="0.3">
      <c r="E7211" s="9" t="str">
        <f>IF(DADOS!C7211="","",DADOS!C7211)</f>
        <v/>
      </c>
      <c r="F7211" s="9" t="str">
        <f>IF(DADOS!E7211="","",DADOS!E7211)</f>
        <v/>
      </c>
      <c r="G7211" s="9" t="str">
        <f>IF(DADOS!F7211="","",DADOS!F7211)</f>
        <v/>
      </c>
      <c r="K7211" s="6" t="str">
        <f t="shared" si="565"/>
        <v/>
      </c>
      <c r="L7211" s="7" t="str">
        <f t="shared" si="566"/>
        <v/>
      </c>
      <c r="M7211" s="7" t="str">
        <f t="shared" si="563"/>
        <v/>
      </c>
      <c r="N7211" s="7" t="str">
        <f t="shared" si="567"/>
        <v/>
      </c>
      <c r="O7211" s="8"/>
      <c r="P7211" s="26"/>
      <c r="S7211" s="10" t="str">
        <f t="shared" si="564"/>
        <v/>
      </c>
    </row>
    <row r="7212" spans="5:19" x14ac:dyDescent="0.3">
      <c r="E7212" s="9" t="str">
        <f>IF(DADOS!C7212="","",DADOS!C7212)</f>
        <v/>
      </c>
      <c r="F7212" s="9" t="str">
        <f>IF(DADOS!E7212="","",DADOS!E7212)</f>
        <v/>
      </c>
      <c r="G7212" s="9" t="str">
        <f>IF(DADOS!F7212="","",DADOS!F7212)</f>
        <v/>
      </c>
      <c r="K7212" s="6" t="str">
        <f t="shared" si="565"/>
        <v/>
      </c>
      <c r="L7212" s="7" t="str">
        <f t="shared" si="566"/>
        <v/>
      </c>
      <c r="M7212" s="7" t="str">
        <f t="shared" si="563"/>
        <v/>
      </c>
      <c r="N7212" s="7" t="str">
        <f t="shared" si="567"/>
        <v/>
      </c>
      <c r="O7212" s="8"/>
      <c r="P7212" s="26"/>
      <c r="S7212" s="10" t="str">
        <f t="shared" si="564"/>
        <v/>
      </c>
    </row>
    <row r="7213" spans="5:19" x14ac:dyDescent="0.3">
      <c r="E7213" s="9" t="str">
        <f>IF(DADOS!C7213="","",DADOS!C7213)</f>
        <v/>
      </c>
      <c r="F7213" s="9" t="str">
        <f>IF(DADOS!E7213="","",DADOS!E7213)</f>
        <v/>
      </c>
      <c r="G7213" s="9" t="str">
        <f>IF(DADOS!F7213="","",DADOS!F7213)</f>
        <v/>
      </c>
      <c r="K7213" s="6" t="str">
        <f t="shared" si="565"/>
        <v/>
      </c>
      <c r="L7213" s="7" t="str">
        <f t="shared" si="566"/>
        <v/>
      </c>
      <c r="M7213" s="7" t="str">
        <f t="shared" si="563"/>
        <v/>
      </c>
      <c r="N7213" s="7" t="str">
        <f t="shared" si="567"/>
        <v/>
      </c>
      <c r="O7213" s="8"/>
      <c r="P7213" s="26"/>
      <c r="S7213" s="10" t="str">
        <f t="shared" si="564"/>
        <v/>
      </c>
    </row>
    <row r="7214" spans="5:19" x14ac:dyDescent="0.3">
      <c r="E7214" s="9" t="str">
        <f>IF(DADOS!C7214="","",DADOS!C7214)</f>
        <v/>
      </c>
      <c r="F7214" s="9" t="str">
        <f>IF(DADOS!E7214="","",DADOS!E7214)</f>
        <v/>
      </c>
      <c r="G7214" s="9" t="str">
        <f>IF(DADOS!F7214="","",DADOS!F7214)</f>
        <v/>
      </c>
      <c r="K7214" s="6" t="str">
        <f t="shared" si="565"/>
        <v/>
      </c>
      <c r="L7214" s="7" t="str">
        <f t="shared" si="566"/>
        <v/>
      </c>
      <c r="M7214" s="7" t="str">
        <f t="shared" si="563"/>
        <v/>
      </c>
      <c r="N7214" s="7" t="str">
        <f t="shared" si="567"/>
        <v/>
      </c>
      <c r="O7214" s="8"/>
      <c r="P7214" s="26"/>
      <c r="S7214" s="10" t="str">
        <f t="shared" si="564"/>
        <v/>
      </c>
    </row>
    <row r="7215" spans="5:19" x14ac:dyDescent="0.3">
      <c r="E7215" s="9" t="str">
        <f>IF(DADOS!C7215="","",DADOS!C7215)</f>
        <v/>
      </c>
      <c r="F7215" s="9" t="str">
        <f>IF(DADOS!E7215="","",DADOS!E7215)</f>
        <v/>
      </c>
      <c r="G7215" s="9" t="str">
        <f>IF(DADOS!F7215="","",DADOS!F7215)</f>
        <v/>
      </c>
      <c r="K7215" s="6" t="str">
        <f t="shared" si="565"/>
        <v/>
      </c>
      <c r="L7215" s="7" t="str">
        <f t="shared" si="566"/>
        <v/>
      </c>
      <c r="M7215" s="7" t="str">
        <f t="shared" si="563"/>
        <v/>
      </c>
      <c r="N7215" s="7" t="str">
        <f t="shared" si="567"/>
        <v/>
      </c>
      <c r="O7215" s="8"/>
      <c r="P7215" s="26"/>
      <c r="S7215" s="10" t="str">
        <f t="shared" si="564"/>
        <v/>
      </c>
    </row>
    <row r="7216" spans="5:19" x14ac:dyDescent="0.3">
      <c r="E7216" s="9" t="str">
        <f>IF(DADOS!C7216="","",DADOS!C7216)</f>
        <v/>
      </c>
      <c r="F7216" s="9" t="str">
        <f>IF(DADOS!E7216="","",DADOS!E7216)</f>
        <v/>
      </c>
      <c r="G7216" s="9" t="str">
        <f>IF(DADOS!F7216="","",DADOS!F7216)</f>
        <v/>
      </c>
      <c r="K7216" s="6" t="str">
        <f t="shared" si="565"/>
        <v/>
      </c>
      <c r="L7216" s="7" t="str">
        <f t="shared" si="566"/>
        <v/>
      </c>
      <c r="M7216" s="7" t="str">
        <f t="shared" si="563"/>
        <v/>
      </c>
      <c r="N7216" s="7" t="str">
        <f t="shared" si="567"/>
        <v/>
      </c>
      <c r="O7216" s="8"/>
      <c r="P7216" s="26"/>
      <c r="S7216" s="10" t="str">
        <f t="shared" si="564"/>
        <v/>
      </c>
    </row>
    <row r="7217" spans="5:19" x14ac:dyDescent="0.3">
      <c r="E7217" s="9" t="str">
        <f>IF(DADOS!C7217="","",DADOS!C7217)</f>
        <v/>
      </c>
      <c r="F7217" s="9" t="str">
        <f>IF(DADOS!E7217="","",DADOS!E7217)</f>
        <v/>
      </c>
      <c r="G7217" s="9" t="str">
        <f>IF(DADOS!F7217="","",DADOS!F7217)</f>
        <v/>
      </c>
      <c r="K7217" s="6" t="str">
        <f t="shared" si="565"/>
        <v/>
      </c>
      <c r="L7217" s="7" t="str">
        <f t="shared" si="566"/>
        <v/>
      </c>
      <c r="M7217" s="7" t="str">
        <f t="shared" si="563"/>
        <v/>
      </c>
      <c r="N7217" s="7" t="str">
        <f t="shared" si="567"/>
        <v/>
      </c>
      <c r="O7217" s="8"/>
      <c r="P7217" s="26"/>
      <c r="S7217" s="10" t="str">
        <f t="shared" si="564"/>
        <v/>
      </c>
    </row>
    <row r="7218" spans="5:19" x14ac:dyDescent="0.3">
      <c r="E7218" s="9" t="str">
        <f>IF(DADOS!C7218="","",DADOS!C7218)</f>
        <v/>
      </c>
      <c r="F7218" s="9" t="str">
        <f>IF(DADOS!E7218="","",DADOS!E7218)</f>
        <v/>
      </c>
      <c r="G7218" s="9" t="str">
        <f>IF(DADOS!F7218="","",DADOS!F7218)</f>
        <v/>
      </c>
      <c r="K7218" s="6" t="str">
        <f t="shared" si="565"/>
        <v/>
      </c>
      <c r="L7218" s="7" t="str">
        <f t="shared" si="566"/>
        <v/>
      </c>
      <c r="M7218" s="7" t="str">
        <f t="shared" si="563"/>
        <v/>
      </c>
      <c r="N7218" s="7" t="str">
        <f t="shared" si="567"/>
        <v/>
      </c>
      <c r="O7218" s="8"/>
      <c r="P7218" s="26"/>
      <c r="S7218" s="10" t="str">
        <f t="shared" si="564"/>
        <v/>
      </c>
    </row>
    <row r="7219" spans="5:19" x14ac:dyDescent="0.3">
      <c r="E7219" s="9" t="str">
        <f>IF(DADOS!C7219="","",DADOS!C7219)</f>
        <v/>
      </c>
      <c r="F7219" s="9" t="str">
        <f>IF(DADOS!E7219="","",DADOS!E7219)</f>
        <v/>
      </c>
      <c r="G7219" s="9" t="str">
        <f>IF(DADOS!F7219="","",DADOS!F7219)</f>
        <v/>
      </c>
      <c r="K7219" s="6" t="str">
        <f t="shared" si="565"/>
        <v/>
      </c>
      <c r="L7219" s="7" t="str">
        <f t="shared" si="566"/>
        <v/>
      </c>
      <c r="M7219" s="7" t="str">
        <f t="shared" si="563"/>
        <v/>
      </c>
      <c r="N7219" s="7" t="str">
        <f t="shared" si="567"/>
        <v/>
      </c>
      <c r="O7219" s="8"/>
      <c r="P7219" s="26"/>
      <c r="S7219" s="10" t="str">
        <f t="shared" si="564"/>
        <v/>
      </c>
    </row>
    <row r="7220" spans="5:19" x14ac:dyDescent="0.3">
      <c r="E7220" s="9" t="str">
        <f>IF(DADOS!C7220="","",DADOS!C7220)</f>
        <v/>
      </c>
      <c r="F7220" s="9" t="str">
        <f>IF(DADOS!E7220="","",DADOS!E7220)</f>
        <v/>
      </c>
      <c r="G7220" s="9" t="str">
        <f>IF(DADOS!F7220="","",DADOS!F7220)</f>
        <v/>
      </c>
      <c r="K7220" s="6" t="str">
        <f t="shared" si="565"/>
        <v/>
      </c>
      <c r="L7220" s="7" t="str">
        <f t="shared" si="566"/>
        <v/>
      </c>
      <c r="M7220" s="7" t="str">
        <f t="shared" si="563"/>
        <v/>
      </c>
      <c r="N7220" s="7" t="str">
        <f t="shared" si="567"/>
        <v/>
      </c>
      <c r="O7220" s="8"/>
      <c r="P7220" s="26"/>
      <c r="S7220" s="10" t="str">
        <f t="shared" si="564"/>
        <v/>
      </c>
    </row>
    <row r="7221" spans="5:19" x14ac:dyDescent="0.3">
      <c r="E7221" s="9" t="str">
        <f>IF(DADOS!C7221="","",DADOS!C7221)</f>
        <v/>
      </c>
      <c r="F7221" s="9" t="str">
        <f>IF(DADOS!E7221="","",DADOS!E7221)</f>
        <v/>
      </c>
      <c r="G7221" s="9" t="str">
        <f>IF(DADOS!F7221="","",DADOS!F7221)</f>
        <v/>
      </c>
      <c r="K7221" s="6" t="str">
        <f t="shared" si="565"/>
        <v/>
      </c>
      <c r="L7221" s="7" t="str">
        <f t="shared" si="566"/>
        <v/>
      </c>
      <c r="M7221" s="7" t="str">
        <f t="shared" si="563"/>
        <v/>
      </c>
      <c r="N7221" s="7" t="str">
        <f t="shared" si="567"/>
        <v/>
      </c>
      <c r="O7221" s="8"/>
      <c r="P7221" s="26"/>
      <c r="S7221" s="10" t="str">
        <f t="shared" si="564"/>
        <v/>
      </c>
    </row>
    <row r="7222" spans="5:19" x14ac:dyDescent="0.3">
      <c r="E7222" s="9" t="str">
        <f>IF(DADOS!C7222="","",DADOS!C7222)</f>
        <v/>
      </c>
      <c r="F7222" s="9" t="str">
        <f>IF(DADOS!E7222="","",DADOS!E7222)</f>
        <v/>
      </c>
      <c r="G7222" s="9" t="str">
        <f>IF(DADOS!F7222="","",DADOS!F7222)</f>
        <v/>
      </c>
      <c r="K7222" s="6" t="str">
        <f t="shared" si="565"/>
        <v/>
      </c>
      <c r="L7222" s="7" t="str">
        <f t="shared" si="566"/>
        <v/>
      </c>
      <c r="M7222" s="7" t="str">
        <f t="shared" si="563"/>
        <v/>
      </c>
      <c r="N7222" s="7" t="str">
        <f t="shared" si="567"/>
        <v/>
      </c>
      <c r="O7222" s="8"/>
      <c r="P7222" s="26"/>
      <c r="S7222" s="10" t="str">
        <f t="shared" si="564"/>
        <v/>
      </c>
    </row>
    <row r="7223" spans="5:19" x14ac:dyDescent="0.3">
      <c r="E7223" s="9" t="str">
        <f>IF(DADOS!C7223="","",DADOS!C7223)</f>
        <v/>
      </c>
      <c r="F7223" s="9" t="str">
        <f>IF(DADOS!E7223="","",DADOS!E7223)</f>
        <v/>
      </c>
      <c r="G7223" s="9" t="str">
        <f>IF(DADOS!F7223="","",DADOS!F7223)</f>
        <v/>
      </c>
      <c r="K7223" s="6" t="str">
        <f t="shared" si="565"/>
        <v/>
      </c>
      <c r="L7223" s="7" t="str">
        <f t="shared" si="566"/>
        <v/>
      </c>
      <c r="M7223" s="7" t="str">
        <f t="shared" si="563"/>
        <v/>
      </c>
      <c r="N7223" s="7" t="str">
        <f t="shared" si="567"/>
        <v/>
      </c>
      <c r="O7223" s="8"/>
      <c r="P7223" s="26"/>
      <c r="S7223" s="10" t="str">
        <f t="shared" si="564"/>
        <v/>
      </c>
    </row>
    <row r="7224" spans="5:19" x14ac:dyDescent="0.3">
      <c r="E7224" s="9" t="str">
        <f>IF(DADOS!C7224="","",DADOS!C7224)</f>
        <v/>
      </c>
      <c r="F7224" s="9" t="str">
        <f>IF(DADOS!E7224="","",DADOS!E7224)</f>
        <v/>
      </c>
      <c r="G7224" s="9" t="str">
        <f>IF(DADOS!F7224="","",DADOS!F7224)</f>
        <v/>
      </c>
      <c r="K7224" s="6" t="str">
        <f t="shared" si="565"/>
        <v/>
      </c>
      <c r="L7224" s="7" t="str">
        <f t="shared" si="566"/>
        <v/>
      </c>
      <c r="M7224" s="7" t="str">
        <f t="shared" si="563"/>
        <v/>
      </c>
      <c r="N7224" s="7" t="str">
        <f t="shared" si="567"/>
        <v/>
      </c>
      <c r="O7224" s="8"/>
      <c r="P7224" s="26"/>
      <c r="S7224" s="10" t="str">
        <f t="shared" si="564"/>
        <v/>
      </c>
    </row>
    <row r="7225" spans="5:19" x14ac:dyDescent="0.3">
      <c r="E7225" s="9" t="str">
        <f>IF(DADOS!C7225="","",DADOS!C7225)</f>
        <v/>
      </c>
      <c r="F7225" s="9" t="str">
        <f>IF(DADOS!E7225="","",DADOS!E7225)</f>
        <v/>
      </c>
      <c r="G7225" s="9" t="str">
        <f>IF(DADOS!F7225="","",DADOS!F7225)</f>
        <v/>
      </c>
      <c r="K7225" s="6" t="str">
        <f t="shared" si="565"/>
        <v/>
      </c>
      <c r="L7225" s="7" t="str">
        <f t="shared" si="566"/>
        <v/>
      </c>
      <c r="M7225" s="7" t="str">
        <f t="shared" si="563"/>
        <v/>
      </c>
      <c r="N7225" s="7" t="str">
        <f t="shared" si="567"/>
        <v/>
      </c>
      <c r="O7225" s="8"/>
      <c r="P7225" s="26"/>
      <c r="S7225" s="10" t="str">
        <f t="shared" si="564"/>
        <v/>
      </c>
    </row>
    <row r="7226" spans="5:19" x14ac:dyDescent="0.3">
      <c r="E7226" s="9" t="str">
        <f>IF(DADOS!C7226="","",DADOS!C7226)</f>
        <v/>
      </c>
      <c r="F7226" s="9" t="str">
        <f>IF(DADOS!E7226="","",DADOS!E7226)</f>
        <v/>
      </c>
      <c r="G7226" s="9" t="str">
        <f>IF(DADOS!F7226="","",DADOS!F7226)</f>
        <v/>
      </c>
      <c r="K7226" s="6" t="str">
        <f t="shared" si="565"/>
        <v/>
      </c>
      <c r="L7226" s="7" t="str">
        <f t="shared" si="566"/>
        <v/>
      </c>
      <c r="M7226" s="7" t="str">
        <f t="shared" si="563"/>
        <v/>
      </c>
      <c r="N7226" s="7" t="str">
        <f t="shared" si="567"/>
        <v/>
      </c>
      <c r="O7226" s="8"/>
      <c r="P7226" s="26"/>
      <c r="S7226" s="10" t="str">
        <f t="shared" si="564"/>
        <v/>
      </c>
    </row>
    <row r="7227" spans="5:19" x14ac:dyDescent="0.3">
      <c r="E7227" s="9" t="str">
        <f>IF(DADOS!C7227="","",DADOS!C7227)</f>
        <v/>
      </c>
      <c r="F7227" s="9" t="str">
        <f>IF(DADOS!E7227="","",DADOS!E7227)</f>
        <v/>
      </c>
      <c r="G7227" s="9" t="str">
        <f>IF(DADOS!F7227="","",DADOS!F7227)</f>
        <v/>
      </c>
      <c r="K7227" s="6" t="str">
        <f t="shared" si="565"/>
        <v/>
      </c>
      <c r="L7227" s="7" t="str">
        <f t="shared" si="566"/>
        <v/>
      </c>
      <c r="M7227" s="7" t="str">
        <f t="shared" si="563"/>
        <v/>
      </c>
      <c r="N7227" s="7" t="str">
        <f t="shared" si="567"/>
        <v/>
      </c>
      <c r="O7227" s="8"/>
      <c r="P7227" s="26"/>
      <c r="S7227" s="10" t="str">
        <f t="shared" si="564"/>
        <v/>
      </c>
    </row>
    <row r="7228" spans="5:19" x14ac:dyDescent="0.3">
      <c r="E7228" s="9" t="str">
        <f>IF(DADOS!C7228="","",DADOS!C7228)</f>
        <v/>
      </c>
      <c r="F7228" s="9" t="str">
        <f>IF(DADOS!E7228="","",DADOS!E7228)</f>
        <v/>
      </c>
      <c r="G7228" s="9" t="str">
        <f>IF(DADOS!F7228="","",DADOS!F7228)</f>
        <v/>
      </c>
      <c r="K7228" s="6" t="str">
        <f t="shared" si="565"/>
        <v/>
      </c>
      <c r="L7228" s="7" t="str">
        <f t="shared" si="566"/>
        <v/>
      </c>
      <c r="M7228" s="7" t="str">
        <f t="shared" si="563"/>
        <v/>
      </c>
      <c r="N7228" s="7" t="str">
        <f t="shared" si="567"/>
        <v/>
      </c>
      <c r="O7228" s="8"/>
      <c r="P7228" s="26"/>
      <c r="S7228" s="10" t="str">
        <f t="shared" si="564"/>
        <v/>
      </c>
    </row>
    <row r="7229" spans="5:19" x14ac:dyDescent="0.3">
      <c r="E7229" s="9" t="str">
        <f>IF(DADOS!C7229="","",DADOS!C7229)</f>
        <v/>
      </c>
      <c r="F7229" s="9" t="str">
        <f>IF(DADOS!E7229="","",DADOS!E7229)</f>
        <v/>
      </c>
      <c r="G7229" s="9" t="str">
        <f>IF(DADOS!F7229="","",DADOS!F7229)</f>
        <v/>
      </c>
      <c r="K7229" s="6" t="str">
        <f t="shared" si="565"/>
        <v/>
      </c>
      <c r="L7229" s="7" t="str">
        <f t="shared" si="566"/>
        <v/>
      </c>
      <c r="M7229" s="7" t="str">
        <f t="shared" si="563"/>
        <v/>
      </c>
      <c r="N7229" s="7" t="str">
        <f t="shared" si="567"/>
        <v/>
      </c>
      <c r="O7229" s="8"/>
      <c r="P7229" s="26"/>
      <c r="S7229" s="10" t="str">
        <f t="shared" si="564"/>
        <v/>
      </c>
    </row>
    <row r="7230" spans="5:19" x14ac:dyDescent="0.3">
      <c r="E7230" s="9" t="str">
        <f>IF(DADOS!C7230="","",DADOS!C7230)</f>
        <v/>
      </c>
      <c r="F7230" s="9" t="str">
        <f>IF(DADOS!E7230="","",DADOS!E7230)</f>
        <v/>
      </c>
      <c r="G7230" s="9" t="str">
        <f>IF(DADOS!F7230="","",DADOS!F7230)</f>
        <v/>
      </c>
      <c r="K7230" s="6" t="str">
        <f t="shared" si="565"/>
        <v/>
      </c>
      <c r="L7230" s="7" t="str">
        <f t="shared" si="566"/>
        <v/>
      </c>
      <c r="M7230" s="7" t="str">
        <f t="shared" si="563"/>
        <v/>
      </c>
      <c r="N7230" s="7" t="str">
        <f t="shared" si="567"/>
        <v/>
      </c>
      <c r="O7230" s="8"/>
      <c r="P7230" s="26"/>
      <c r="S7230" s="10" t="str">
        <f t="shared" si="564"/>
        <v/>
      </c>
    </row>
    <row r="7231" spans="5:19" x14ac:dyDescent="0.3">
      <c r="E7231" s="9" t="str">
        <f>IF(DADOS!C7231="","",DADOS!C7231)</f>
        <v/>
      </c>
      <c r="F7231" s="9" t="str">
        <f>IF(DADOS!E7231="","",DADOS!E7231)</f>
        <v/>
      </c>
      <c r="G7231" s="9" t="str">
        <f>IF(DADOS!F7231="","",DADOS!F7231)</f>
        <v/>
      </c>
      <c r="K7231" s="6" t="str">
        <f t="shared" si="565"/>
        <v/>
      </c>
      <c r="L7231" s="7" t="str">
        <f t="shared" si="566"/>
        <v/>
      </c>
      <c r="M7231" s="7" t="str">
        <f t="shared" si="563"/>
        <v/>
      </c>
      <c r="N7231" s="7" t="str">
        <f t="shared" si="567"/>
        <v/>
      </c>
      <c r="O7231" s="8"/>
      <c r="P7231" s="26"/>
      <c r="S7231" s="10" t="str">
        <f t="shared" si="564"/>
        <v/>
      </c>
    </row>
    <row r="7232" spans="5:19" x14ac:dyDescent="0.3">
      <c r="E7232" s="9" t="str">
        <f>IF(DADOS!C7232="","",DADOS!C7232)</f>
        <v/>
      </c>
      <c r="F7232" s="9" t="str">
        <f>IF(DADOS!E7232="","",DADOS!E7232)</f>
        <v/>
      </c>
      <c r="G7232" s="9" t="str">
        <f>IF(DADOS!F7232="","",DADOS!F7232)</f>
        <v/>
      </c>
      <c r="K7232" s="6" t="str">
        <f t="shared" si="565"/>
        <v/>
      </c>
      <c r="L7232" s="7" t="str">
        <f t="shared" si="566"/>
        <v/>
      </c>
      <c r="M7232" s="7" t="str">
        <f t="shared" si="563"/>
        <v/>
      </c>
      <c r="N7232" s="7" t="str">
        <f t="shared" si="567"/>
        <v/>
      </c>
      <c r="O7232" s="8"/>
      <c r="P7232" s="26"/>
      <c r="S7232" s="10" t="str">
        <f t="shared" si="564"/>
        <v/>
      </c>
    </row>
    <row r="7233" spans="5:19" x14ac:dyDescent="0.3">
      <c r="E7233" s="9" t="str">
        <f>IF(DADOS!C7233="","",DADOS!C7233)</f>
        <v/>
      </c>
      <c r="F7233" s="9" t="str">
        <f>IF(DADOS!E7233="","",DADOS!E7233)</f>
        <v/>
      </c>
      <c r="G7233" s="9" t="str">
        <f>IF(DADOS!F7233="","",DADOS!F7233)</f>
        <v/>
      </c>
      <c r="K7233" s="6" t="str">
        <f t="shared" si="565"/>
        <v/>
      </c>
      <c r="L7233" s="7" t="str">
        <f t="shared" si="566"/>
        <v/>
      </c>
      <c r="M7233" s="7" t="str">
        <f t="shared" si="563"/>
        <v/>
      </c>
      <c r="N7233" s="7" t="str">
        <f t="shared" si="567"/>
        <v/>
      </c>
      <c r="O7233" s="8"/>
      <c r="P7233" s="26"/>
      <c r="S7233" s="10" t="str">
        <f t="shared" si="564"/>
        <v/>
      </c>
    </row>
    <row r="7234" spans="5:19" x14ac:dyDescent="0.3">
      <c r="E7234" s="9" t="str">
        <f>IF(DADOS!C7234="","",DADOS!C7234)</f>
        <v/>
      </c>
      <c r="F7234" s="9" t="str">
        <f>IF(DADOS!E7234="","",DADOS!E7234)</f>
        <v/>
      </c>
      <c r="G7234" s="9" t="str">
        <f>IF(DADOS!F7234="","",DADOS!F7234)</f>
        <v/>
      </c>
      <c r="K7234" s="6" t="str">
        <f t="shared" si="565"/>
        <v/>
      </c>
      <c r="L7234" s="7" t="str">
        <f t="shared" si="566"/>
        <v/>
      </c>
      <c r="M7234" s="7" t="str">
        <f t="shared" si="563"/>
        <v/>
      </c>
      <c r="N7234" s="7" t="str">
        <f t="shared" si="567"/>
        <v/>
      </c>
      <c r="O7234" s="8"/>
      <c r="P7234" s="26"/>
      <c r="S7234" s="10" t="str">
        <f t="shared" si="564"/>
        <v/>
      </c>
    </row>
    <row r="7235" spans="5:19" x14ac:dyDescent="0.3">
      <c r="E7235" s="9" t="str">
        <f>IF(DADOS!C7235="","",DADOS!C7235)</f>
        <v/>
      </c>
      <c r="F7235" s="9" t="str">
        <f>IF(DADOS!E7235="","",DADOS!E7235)</f>
        <v/>
      </c>
      <c r="G7235" s="9" t="str">
        <f>IF(DADOS!F7235="","",DADOS!F7235)</f>
        <v/>
      </c>
      <c r="K7235" s="6" t="str">
        <f t="shared" si="565"/>
        <v/>
      </c>
      <c r="L7235" s="7" t="str">
        <f t="shared" si="566"/>
        <v/>
      </c>
      <c r="M7235" s="7" t="str">
        <f t="shared" ref="M7235:M7298" si="568">IF(L7235="","",L7235*G7235)</f>
        <v/>
      </c>
      <c r="N7235" s="7" t="str">
        <f t="shared" si="567"/>
        <v/>
      </c>
      <c r="O7235" s="8"/>
      <c r="P7235" s="26"/>
      <c r="S7235" s="10" t="str">
        <f t="shared" ref="S7235:S7298" si="569">IF(R7235="","",SUMIFS($N$3:$N$10000,$E$3:$E$10000,R7235))</f>
        <v/>
      </c>
    </row>
    <row r="7236" spans="5:19" x14ac:dyDescent="0.3">
      <c r="E7236" s="9" t="str">
        <f>IF(DADOS!C7236="","",DADOS!C7236)</f>
        <v/>
      </c>
      <c r="F7236" s="9" t="str">
        <f>IF(DADOS!E7236="","",DADOS!E7236)</f>
        <v/>
      </c>
      <c r="G7236" s="9" t="str">
        <f>IF(DADOS!F7236="","",DADOS!F7236)</f>
        <v/>
      </c>
      <c r="K7236" s="6" t="str">
        <f t="shared" ref="K7236:K7299" si="570">IF(F7236="","",F7236/PI())</f>
        <v/>
      </c>
      <c r="L7236" s="7" t="str">
        <f t="shared" ref="L7236:L7299" si="571">IF(K7236="","",(PI()*K7236^2)/40000)</f>
        <v/>
      </c>
      <c r="M7236" s="7" t="str">
        <f t="shared" si="568"/>
        <v/>
      </c>
      <c r="N7236" s="7" t="str">
        <f t="shared" ref="N7236:N7299" si="572">IF(M7236="","",M7236*N$1)</f>
        <v/>
      </c>
      <c r="O7236" s="8"/>
      <c r="P7236" s="26"/>
      <c r="S7236" s="10" t="str">
        <f t="shared" si="569"/>
        <v/>
      </c>
    </row>
    <row r="7237" spans="5:19" x14ac:dyDescent="0.3">
      <c r="E7237" s="9" t="str">
        <f>IF(DADOS!C7237="","",DADOS!C7237)</f>
        <v/>
      </c>
      <c r="F7237" s="9" t="str">
        <f>IF(DADOS!E7237="","",DADOS!E7237)</f>
        <v/>
      </c>
      <c r="G7237" s="9" t="str">
        <f>IF(DADOS!F7237="","",DADOS!F7237)</f>
        <v/>
      </c>
      <c r="K7237" s="6" t="str">
        <f t="shared" si="570"/>
        <v/>
      </c>
      <c r="L7237" s="7" t="str">
        <f t="shared" si="571"/>
        <v/>
      </c>
      <c r="M7237" s="7" t="str">
        <f t="shared" si="568"/>
        <v/>
      </c>
      <c r="N7237" s="7" t="str">
        <f t="shared" si="572"/>
        <v/>
      </c>
      <c r="O7237" s="8"/>
      <c r="P7237" s="26"/>
      <c r="S7237" s="10" t="str">
        <f t="shared" si="569"/>
        <v/>
      </c>
    </row>
    <row r="7238" spans="5:19" x14ac:dyDescent="0.3">
      <c r="E7238" s="9" t="str">
        <f>IF(DADOS!C7238="","",DADOS!C7238)</f>
        <v/>
      </c>
      <c r="F7238" s="9" t="str">
        <f>IF(DADOS!E7238="","",DADOS!E7238)</f>
        <v/>
      </c>
      <c r="G7238" s="9" t="str">
        <f>IF(DADOS!F7238="","",DADOS!F7238)</f>
        <v/>
      </c>
      <c r="K7238" s="6" t="str">
        <f t="shared" si="570"/>
        <v/>
      </c>
      <c r="L7238" s="7" t="str">
        <f t="shared" si="571"/>
        <v/>
      </c>
      <c r="M7238" s="7" t="str">
        <f t="shared" si="568"/>
        <v/>
      </c>
      <c r="N7238" s="7" t="str">
        <f t="shared" si="572"/>
        <v/>
      </c>
      <c r="O7238" s="8"/>
      <c r="P7238" s="26"/>
      <c r="S7238" s="10" t="str">
        <f t="shared" si="569"/>
        <v/>
      </c>
    </row>
    <row r="7239" spans="5:19" x14ac:dyDescent="0.3">
      <c r="E7239" s="9" t="str">
        <f>IF(DADOS!C7239="","",DADOS!C7239)</f>
        <v/>
      </c>
      <c r="F7239" s="9" t="str">
        <f>IF(DADOS!E7239="","",DADOS!E7239)</f>
        <v/>
      </c>
      <c r="G7239" s="9" t="str">
        <f>IF(DADOS!F7239="","",DADOS!F7239)</f>
        <v/>
      </c>
      <c r="K7239" s="6" t="str">
        <f t="shared" si="570"/>
        <v/>
      </c>
      <c r="L7239" s="7" t="str">
        <f t="shared" si="571"/>
        <v/>
      </c>
      <c r="M7239" s="7" t="str">
        <f t="shared" si="568"/>
        <v/>
      </c>
      <c r="N7239" s="7" t="str">
        <f t="shared" si="572"/>
        <v/>
      </c>
      <c r="O7239" s="8"/>
      <c r="P7239" s="26"/>
      <c r="S7239" s="10" t="str">
        <f t="shared" si="569"/>
        <v/>
      </c>
    </row>
    <row r="7240" spans="5:19" x14ac:dyDescent="0.3">
      <c r="E7240" s="9" t="str">
        <f>IF(DADOS!C7240="","",DADOS!C7240)</f>
        <v/>
      </c>
      <c r="F7240" s="9" t="str">
        <f>IF(DADOS!E7240="","",DADOS!E7240)</f>
        <v/>
      </c>
      <c r="G7240" s="9" t="str">
        <f>IF(DADOS!F7240="","",DADOS!F7240)</f>
        <v/>
      </c>
      <c r="K7240" s="6" t="str">
        <f t="shared" si="570"/>
        <v/>
      </c>
      <c r="L7240" s="7" t="str">
        <f t="shared" si="571"/>
        <v/>
      </c>
      <c r="M7240" s="7" t="str">
        <f t="shared" si="568"/>
        <v/>
      </c>
      <c r="N7240" s="7" t="str">
        <f t="shared" si="572"/>
        <v/>
      </c>
      <c r="O7240" s="8"/>
      <c r="P7240" s="26"/>
      <c r="S7240" s="10" t="str">
        <f t="shared" si="569"/>
        <v/>
      </c>
    </row>
    <row r="7241" spans="5:19" x14ac:dyDescent="0.3">
      <c r="E7241" s="9" t="str">
        <f>IF(DADOS!C7241="","",DADOS!C7241)</f>
        <v/>
      </c>
      <c r="F7241" s="9" t="str">
        <f>IF(DADOS!E7241="","",DADOS!E7241)</f>
        <v/>
      </c>
      <c r="G7241" s="9" t="str">
        <f>IF(DADOS!F7241="","",DADOS!F7241)</f>
        <v/>
      </c>
      <c r="K7241" s="6" t="str">
        <f t="shared" si="570"/>
        <v/>
      </c>
      <c r="L7241" s="7" t="str">
        <f t="shared" si="571"/>
        <v/>
      </c>
      <c r="M7241" s="7" t="str">
        <f t="shared" si="568"/>
        <v/>
      </c>
      <c r="N7241" s="7" t="str">
        <f t="shared" si="572"/>
        <v/>
      </c>
      <c r="O7241" s="8"/>
      <c r="P7241" s="26"/>
      <c r="S7241" s="10" t="str">
        <f t="shared" si="569"/>
        <v/>
      </c>
    </row>
    <row r="7242" spans="5:19" x14ac:dyDescent="0.3">
      <c r="E7242" s="9" t="str">
        <f>IF(DADOS!C7242="","",DADOS!C7242)</f>
        <v/>
      </c>
      <c r="F7242" s="9" t="str">
        <f>IF(DADOS!E7242="","",DADOS!E7242)</f>
        <v/>
      </c>
      <c r="G7242" s="9" t="str">
        <f>IF(DADOS!F7242="","",DADOS!F7242)</f>
        <v/>
      </c>
      <c r="K7242" s="6" t="str">
        <f t="shared" si="570"/>
        <v/>
      </c>
      <c r="L7242" s="7" t="str">
        <f t="shared" si="571"/>
        <v/>
      </c>
      <c r="M7242" s="7" t="str">
        <f t="shared" si="568"/>
        <v/>
      </c>
      <c r="N7242" s="7" t="str">
        <f t="shared" si="572"/>
        <v/>
      </c>
      <c r="O7242" s="8"/>
      <c r="P7242" s="26"/>
      <c r="S7242" s="10" t="str">
        <f t="shared" si="569"/>
        <v/>
      </c>
    </row>
    <row r="7243" spans="5:19" x14ac:dyDescent="0.3">
      <c r="E7243" s="9" t="str">
        <f>IF(DADOS!C7243="","",DADOS!C7243)</f>
        <v/>
      </c>
      <c r="F7243" s="9" t="str">
        <f>IF(DADOS!E7243="","",DADOS!E7243)</f>
        <v/>
      </c>
      <c r="G7243" s="9" t="str">
        <f>IF(DADOS!F7243="","",DADOS!F7243)</f>
        <v/>
      </c>
      <c r="K7243" s="6" t="str">
        <f t="shared" si="570"/>
        <v/>
      </c>
      <c r="L7243" s="7" t="str">
        <f t="shared" si="571"/>
        <v/>
      </c>
      <c r="M7243" s="7" t="str">
        <f t="shared" si="568"/>
        <v/>
      </c>
      <c r="N7243" s="7" t="str">
        <f t="shared" si="572"/>
        <v/>
      </c>
      <c r="O7243" s="8"/>
      <c r="P7243" s="26"/>
      <c r="S7243" s="10" t="str">
        <f t="shared" si="569"/>
        <v/>
      </c>
    </row>
    <row r="7244" spans="5:19" x14ac:dyDescent="0.3">
      <c r="E7244" s="9" t="str">
        <f>IF(DADOS!C7244="","",DADOS!C7244)</f>
        <v/>
      </c>
      <c r="F7244" s="9" t="str">
        <f>IF(DADOS!E7244="","",DADOS!E7244)</f>
        <v/>
      </c>
      <c r="G7244" s="9" t="str">
        <f>IF(DADOS!F7244="","",DADOS!F7244)</f>
        <v/>
      </c>
      <c r="K7244" s="6" t="str">
        <f t="shared" si="570"/>
        <v/>
      </c>
      <c r="L7244" s="7" t="str">
        <f t="shared" si="571"/>
        <v/>
      </c>
      <c r="M7244" s="7" t="str">
        <f t="shared" si="568"/>
        <v/>
      </c>
      <c r="N7244" s="7" t="str">
        <f t="shared" si="572"/>
        <v/>
      </c>
      <c r="O7244" s="8"/>
      <c r="P7244" s="26"/>
      <c r="S7244" s="10" t="str">
        <f t="shared" si="569"/>
        <v/>
      </c>
    </row>
    <row r="7245" spans="5:19" x14ac:dyDescent="0.3">
      <c r="E7245" s="9" t="str">
        <f>IF(DADOS!C7245="","",DADOS!C7245)</f>
        <v/>
      </c>
      <c r="F7245" s="9" t="str">
        <f>IF(DADOS!E7245="","",DADOS!E7245)</f>
        <v/>
      </c>
      <c r="G7245" s="9" t="str">
        <f>IF(DADOS!F7245="","",DADOS!F7245)</f>
        <v/>
      </c>
      <c r="K7245" s="6" t="str">
        <f t="shared" si="570"/>
        <v/>
      </c>
      <c r="L7245" s="7" t="str">
        <f t="shared" si="571"/>
        <v/>
      </c>
      <c r="M7245" s="7" t="str">
        <f t="shared" si="568"/>
        <v/>
      </c>
      <c r="N7245" s="7" t="str">
        <f t="shared" si="572"/>
        <v/>
      </c>
      <c r="O7245" s="8"/>
      <c r="P7245" s="26"/>
      <c r="S7245" s="10" t="str">
        <f t="shared" si="569"/>
        <v/>
      </c>
    </row>
    <row r="7246" spans="5:19" x14ac:dyDescent="0.3">
      <c r="E7246" s="9" t="str">
        <f>IF(DADOS!C7246="","",DADOS!C7246)</f>
        <v/>
      </c>
      <c r="F7246" s="9" t="str">
        <f>IF(DADOS!E7246="","",DADOS!E7246)</f>
        <v/>
      </c>
      <c r="G7246" s="9" t="str">
        <f>IF(DADOS!F7246="","",DADOS!F7246)</f>
        <v/>
      </c>
      <c r="K7246" s="6" t="str">
        <f t="shared" si="570"/>
        <v/>
      </c>
      <c r="L7246" s="7" t="str">
        <f t="shared" si="571"/>
        <v/>
      </c>
      <c r="M7246" s="7" t="str">
        <f t="shared" si="568"/>
        <v/>
      </c>
      <c r="N7246" s="7" t="str">
        <f t="shared" si="572"/>
        <v/>
      </c>
      <c r="O7246" s="8"/>
      <c r="P7246" s="26"/>
      <c r="S7246" s="10" t="str">
        <f t="shared" si="569"/>
        <v/>
      </c>
    </row>
    <row r="7247" spans="5:19" x14ac:dyDescent="0.3">
      <c r="E7247" s="9" t="str">
        <f>IF(DADOS!C7247="","",DADOS!C7247)</f>
        <v/>
      </c>
      <c r="F7247" s="9" t="str">
        <f>IF(DADOS!E7247="","",DADOS!E7247)</f>
        <v/>
      </c>
      <c r="G7247" s="9" t="str">
        <f>IF(DADOS!F7247="","",DADOS!F7247)</f>
        <v/>
      </c>
      <c r="K7247" s="6" t="str">
        <f t="shared" si="570"/>
        <v/>
      </c>
      <c r="L7247" s="7" t="str">
        <f t="shared" si="571"/>
        <v/>
      </c>
      <c r="M7247" s="7" t="str">
        <f t="shared" si="568"/>
        <v/>
      </c>
      <c r="N7247" s="7" t="str">
        <f t="shared" si="572"/>
        <v/>
      </c>
      <c r="O7247" s="8"/>
      <c r="P7247" s="26"/>
      <c r="S7247" s="10" t="str">
        <f t="shared" si="569"/>
        <v/>
      </c>
    </row>
    <row r="7248" spans="5:19" x14ac:dyDescent="0.3">
      <c r="E7248" s="9" t="str">
        <f>IF(DADOS!C7248="","",DADOS!C7248)</f>
        <v/>
      </c>
      <c r="F7248" s="9" t="str">
        <f>IF(DADOS!E7248="","",DADOS!E7248)</f>
        <v/>
      </c>
      <c r="G7248" s="9" t="str">
        <f>IF(DADOS!F7248="","",DADOS!F7248)</f>
        <v/>
      </c>
      <c r="K7248" s="6" t="str">
        <f t="shared" si="570"/>
        <v/>
      </c>
      <c r="L7248" s="7" t="str">
        <f t="shared" si="571"/>
        <v/>
      </c>
      <c r="M7248" s="7" t="str">
        <f t="shared" si="568"/>
        <v/>
      </c>
      <c r="N7248" s="7" t="str">
        <f t="shared" si="572"/>
        <v/>
      </c>
      <c r="O7248" s="8"/>
      <c r="P7248" s="26"/>
      <c r="S7248" s="10" t="str">
        <f t="shared" si="569"/>
        <v/>
      </c>
    </row>
    <row r="7249" spans="5:19" x14ac:dyDescent="0.3">
      <c r="E7249" s="9" t="str">
        <f>IF(DADOS!C7249="","",DADOS!C7249)</f>
        <v/>
      </c>
      <c r="F7249" s="9" t="str">
        <f>IF(DADOS!E7249="","",DADOS!E7249)</f>
        <v/>
      </c>
      <c r="G7249" s="9" t="str">
        <f>IF(DADOS!F7249="","",DADOS!F7249)</f>
        <v/>
      </c>
      <c r="K7249" s="6" t="str">
        <f t="shared" si="570"/>
        <v/>
      </c>
      <c r="L7249" s="7" t="str">
        <f t="shared" si="571"/>
        <v/>
      </c>
      <c r="M7249" s="7" t="str">
        <f t="shared" si="568"/>
        <v/>
      </c>
      <c r="N7249" s="7" t="str">
        <f t="shared" si="572"/>
        <v/>
      </c>
      <c r="O7249" s="8"/>
      <c r="P7249" s="26"/>
      <c r="S7249" s="10" t="str">
        <f t="shared" si="569"/>
        <v/>
      </c>
    </row>
    <row r="7250" spans="5:19" x14ac:dyDescent="0.3">
      <c r="E7250" s="9" t="str">
        <f>IF(DADOS!C7250="","",DADOS!C7250)</f>
        <v/>
      </c>
      <c r="F7250" s="9" t="str">
        <f>IF(DADOS!E7250="","",DADOS!E7250)</f>
        <v/>
      </c>
      <c r="G7250" s="9" t="str">
        <f>IF(DADOS!F7250="","",DADOS!F7250)</f>
        <v/>
      </c>
      <c r="K7250" s="6" t="str">
        <f t="shared" si="570"/>
        <v/>
      </c>
      <c r="L7250" s="7" t="str">
        <f t="shared" si="571"/>
        <v/>
      </c>
      <c r="M7250" s="7" t="str">
        <f t="shared" si="568"/>
        <v/>
      </c>
      <c r="N7250" s="7" t="str">
        <f t="shared" si="572"/>
        <v/>
      </c>
      <c r="O7250" s="8"/>
      <c r="P7250" s="26"/>
      <c r="S7250" s="10" t="str">
        <f t="shared" si="569"/>
        <v/>
      </c>
    </row>
    <row r="7251" spans="5:19" x14ac:dyDescent="0.3">
      <c r="E7251" s="9" t="str">
        <f>IF(DADOS!C7251="","",DADOS!C7251)</f>
        <v/>
      </c>
      <c r="F7251" s="9" t="str">
        <f>IF(DADOS!E7251="","",DADOS!E7251)</f>
        <v/>
      </c>
      <c r="G7251" s="9" t="str">
        <f>IF(DADOS!F7251="","",DADOS!F7251)</f>
        <v/>
      </c>
      <c r="K7251" s="6" t="str">
        <f t="shared" si="570"/>
        <v/>
      </c>
      <c r="L7251" s="7" t="str">
        <f t="shared" si="571"/>
        <v/>
      </c>
      <c r="M7251" s="7" t="str">
        <f t="shared" si="568"/>
        <v/>
      </c>
      <c r="N7251" s="7" t="str">
        <f t="shared" si="572"/>
        <v/>
      </c>
      <c r="O7251" s="8"/>
      <c r="P7251" s="26"/>
      <c r="S7251" s="10" t="str">
        <f t="shared" si="569"/>
        <v/>
      </c>
    </row>
    <row r="7252" spans="5:19" x14ac:dyDescent="0.3">
      <c r="E7252" s="9" t="str">
        <f>IF(DADOS!C7252="","",DADOS!C7252)</f>
        <v/>
      </c>
      <c r="F7252" s="9" t="str">
        <f>IF(DADOS!E7252="","",DADOS!E7252)</f>
        <v/>
      </c>
      <c r="G7252" s="9" t="str">
        <f>IF(DADOS!F7252="","",DADOS!F7252)</f>
        <v/>
      </c>
      <c r="K7252" s="6" t="str">
        <f t="shared" si="570"/>
        <v/>
      </c>
      <c r="L7252" s="7" t="str">
        <f t="shared" si="571"/>
        <v/>
      </c>
      <c r="M7252" s="7" t="str">
        <f t="shared" si="568"/>
        <v/>
      </c>
      <c r="N7252" s="7" t="str">
        <f t="shared" si="572"/>
        <v/>
      </c>
      <c r="O7252" s="8"/>
      <c r="P7252" s="26"/>
      <c r="S7252" s="10" t="str">
        <f t="shared" si="569"/>
        <v/>
      </c>
    </row>
    <row r="7253" spans="5:19" x14ac:dyDescent="0.3">
      <c r="E7253" s="9" t="str">
        <f>IF(DADOS!C7253="","",DADOS!C7253)</f>
        <v/>
      </c>
      <c r="F7253" s="9" t="str">
        <f>IF(DADOS!E7253="","",DADOS!E7253)</f>
        <v/>
      </c>
      <c r="G7253" s="9" t="str">
        <f>IF(DADOS!F7253="","",DADOS!F7253)</f>
        <v/>
      </c>
      <c r="K7253" s="6" t="str">
        <f t="shared" si="570"/>
        <v/>
      </c>
      <c r="L7253" s="7" t="str">
        <f t="shared" si="571"/>
        <v/>
      </c>
      <c r="M7253" s="7" t="str">
        <f t="shared" si="568"/>
        <v/>
      </c>
      <c r="N7253" s="7" t="str">
        <f t="shared" si="572"/>
        <v/>
      </c>
      <c r="O7253" s="8"/>
      <c r="P7253" s="26"/>
      <c r="S7253" s="10" t="str">
        <f t="shared" si="569"/>
        <v/>
      </c>
    </row>
    <row r="7254" spans="5:19" x14ac:dyDescent="0.3">
      <c r="E7254" s="9" t="str">
        <f>IF(DADOS!C7254="","",DADOS!C7254)</f>
        <v/>
      </c>
      <c r="F7254" s="9" t="str">
        <f>IF(DADOS!E7254="","",DADOS!E7254)</f>
        <v/>
      </c>
      <c r="G7254" s="9" t="str">
        <f>IF(DADOS!F7254="","",DADOS!F7254)</f>
        <v/>
      </c>
      <c r="K7254" s="6" t="str">
        <f t="shared" si="570"/>
        <v/>
      </c>
      <c r="L7254" s="7" t="str">
        <f t="shared" si="571"/>
        <v/>
      </c>
      <c r="M7254" s="7" t="str">
        <f t="shared" si="568"/>
        <v/>
      </c>
      <c r="N7254" s="7" t="str">
        <f t="shared" si="572"/>
        <v/>
      </c>
      <c r="O7254" s="8"/>
      <c r="P7254" s="26"/>
      <c r="S7254" s="10" t="str">
        <f t="shared" si="569"/>
        <v/>
      </c>
    </row>
    <row r="7255" spans="5:19" x14ac:dyDescent="0.3">
      <c r="E7255" s="9" t="str">
        <f>IF(DADOS!C7255="","",DADOS!C7255)</f>
        <v/>
      </c>
      <c r="F7255" s="9" t="str">
        <f>IF(DADOS!E7255="","",DADOS!E7255)</f>
        <v/>
      </c>
      <c r="G7255" s="9" t="str">
        <f>IF(DADOS!F7255="","",DADOS!F7255)</f>
        <v/>
      </c>
      <c r="K7255" s="6" t="str">
        <f t="shared" si="570"/>
        <v/>
      </c>
      <c r="L7255" s="7" t="str">
        <f t="shared" si="571"/>
        <v/>
      </c>
      <c r="M7255" s="7" t="str">
        <f t="shared" si="568"/>
        <v/>
      </c>
      <c r="N7255" s="7" t="str">
        <f t="shared" si="572"/>
        <v/>
      </c>
      <c r="O7255" s="8"/>
      <c r="P7255" s="26"/>
      <c r="S7255" s="10" t="str">
        <f t="shared" si="569"/>
        <v/>
      </c>
    </row>
    <row r="7256" spans="5:19" x14ac:dyDescent="0.3">
      <c r="E7256" s="9" t="str">
        <f>IF(DADOS!C7256="","",DADOS!C7256)</f>
        <v/>
      </c>
      <c r="F7256" s="9" t="str">
        <f>IF(DADOS!E7256="","",DADOS!E7256)</f>
        <v/>
      </c>
      <c r="G7256" s="9" t="str">
        <f>IF(DADOS!F7256="","",DADOS!F7256)</f>
        <v/>
      </c>
      <c r="K7256" s="6" t="str">
        <f t="shared" si="570"/>
        <v/>
      </c>
      <c r="L7256" s="7" t="str">
        <f t="shared" si="571"/>
        <v/>
      </c>
      <c r="M7256" s="7" t="str">
        <f t="shared" si="568"/>
        <v/>
      </c>
      <c r="N7256" s="7" t="str">
        <f t="shared" si="572"/>
        <v/>
      </c>
      <c r="O7256" s="8"/>
      <c r="P7256" s="26"/>
      <c r="S7256" s="10" t="str">
        <f t="shared" si="569"/>
        <v/>
      </c>
    </row>
    <row r="7257" spans="5:19" x14ac:dyDescent="0.3">
      <c r="E7257" s="9" t="str">
        <f>IF(DADOS!C7257="","",DADOS!C7257)</f>
        <v/>
      </c>
      <c r="F7257" s="9" t="str">
        <f>IF(DADOS!E7257="","",DADOS!E7257)</f>
        <v/>
      </c>
      <c r="G7257" s="9" t="str">
        <f>IF(DADOS!F7257="","",DADOS!F7257)</f>
        <v/>
      </c>
      <c r="K7257" s="6" t="str">
        <f t="shared" si="570"/>
        <v/>
      </c>
      <c r="L7257" s="7" t="str">
        <f t="shared" si="571"/>
        <v/>
      </c>
      <c r="M7257" s="7" t="str">
        <f t="shared" si="568"/>
        <v/>
      </c>
      <c r="N7257" s="7" t="str">
        <f t="shared" si="572"/>
        <v/>
      </c>
      <c r="O7257" s="8"/>
      <c r="P7257" s="26"/>
      <c r="S7257" s="10" t="str">
        <f t="shared" si="569"/>
        <v/>
      </c>
    </row>
    <row r="7258" spans="5:19" x14ac:dyDescent="0.3">
      <c r="E7258" s="9" t="str">
        <f>IF(DADOS!C7258="","",DADOS!C7258)</f>
        <v/>
      </c>
      <c r="F7258" s="9" t="str">
        <f>IF(DADOS!E7258="","",DADOS!E7258)</f>
        <v/>
      </c>
      <c r="G7258" s="9" t="str">
        <f>IF(DADOS!F7258="","",DADOS!F7258)</f>
        <v/>
      </c>
      <c r="K7258" s="6" t="str">
        <f t="shared" si="570"/>
        <v/>
      </c>
      <c r="L7258" s="7" t="str">
        <f t="shared" si="571"/>
        <v/>
      </c>
      <c r="M7258" s="7" t="str">
        <f t="shared" si="568"/>
        <v/>
      </c>
      <c r="N7258" s="7" t="str">
        <f t="shared" si="572"/>
        <v/>
      </c>
      <c r="O7258" s="8"/>
      <c r="P7258" s="26"/>
      <c r="S7258" s="10" t="str">
        <f t="shared" si="569"/>
        <v/>
      </c>
    </row>
    <row r="7259" spans="5:19" x14ac:dyDescent="0.3">
      <c r="E7259" s="9" t="str">
        <f>IF(DADOS!C7259="","",DADOS!C7259)</f>
        <v/>
      </c>
      <c r="F7259" s="9" t="str">
        <f>IF(DADOS!E7259="","",DADOS!E7259)</f>
        <v/>
      </c>
      <c r="G7259" s="9" t="str">
        <f>IF(DADOS!F7259="","",DADOS!F7259)</f>
        <v/>
      </c>
      <c r="K7259" s="6" t="str">
        <f t="shared" si="570"/>
        <v/>
      </c>
      <c r="L7259" s="7" t="str">
        <f t="shared" si="571"/>
        <v/>
      </c>
      <c r="M7259" s="7" t="str">
        <f t="shared" si="568"/>
        <v/>
      </c>
      <c r="N7259" s="7" t="str">
        <f t="shared" si="572"/>
        <v/>
      </c>
      <c r="O7259" s="8"/>
      <c r="P7259" s="26"/>
      <c r="S7259" s="10" t="str">
        <f t="shared" si="569"/>
        <v/>
      </c>
    </row>
    <row r="7260" spans="5:19" x14ac:dyDescent="0.3">
      <c r="E7260" s="9" t="str">
        <f>IF(DADOS!C7260="","",DADOS!C7260)</f>
        <v/>
      </c>
      <c r="F7260" s="9" t="str">
        <f>IF(DADOS!E7260="","",DADOS!E7260)</f>
        <v/>
      </c>
      <c r="G7260" s="9" t="str">
        <f>IF(DADOS!F7260="","",DADOS!F7260)</f>
        <v/>
      </c>
      <c r="K7260" s="6" t="str">
        <f t="shared" si="570"/>
        <v/>
      </c>
      <c r="L7260" s="7" t="str">
        <f t="shared" si="571"/>
        <v/>
      </c>
      <c r="M7260" s="7" t="str">
        <f t="shared" si="568"/>
        <v/>
      </c>
      <c r="N7260" s="7" t="str">
        <f t="shared" si="572"/>
        <v/>
      </c>
      <c r="O7260" s="8"/>
      <c r="P7260" s="26"/>
      <c r="S7260" s="10" t="str">
        <f t="shared" si="569"/>
        <v/>
      </c>
    </row>
    <row r="7261" spans="5:19" x14ac:dyDescent="0.3">
      <c r="E7261" s="9" t="str">
        <f>IF(DADOS!C7261="","",DADOS!C7261)</f>
        <v/>
      </c>
      <c r="F7261" s="9" t="str">
        <f>IF(DADOS!E7261="","",DADOS!E7261)</f>
        <v/>
      </c>
      <c r="G7261" s="9" t="str">
        <f>IF(DADOS!F7261="","",DADOS!F7261)</f>
        <v/>
      </c>
      <c r="K7261" s="6" t="str">
        <f t="shared" si="570"/>
        <v/>
      </c>
      <c r="L7261" s="7" t="str">
        <f t="shared" si="571"/>
        <v/>
      </c>
      <c r="M7261" s="7" t="str">
        <f t="shared" si="568"/>
        <v/>
      </c>
      <c r="N7261" s="7" t="str">
        <f t="shared" si="572"/>
        <v/>
      </c>
      <c r="O7261" s="8"/>
      <c r="P7261" s="26"/>
      <c r="S7261" s="10" t="str">
        <f t="shared" si="569"/>
        <v/>
      </c>
    </row>
    <row r="7262" spans="5:19" x14ac:dyDescent="0.3">
      <c r="E7262" s="9" t="str">
        <f>IF(DADOS!C7262="","",DADOS!C7262)</f>
        <v/>
      </c>
      <c r="F7262" s="9" t="str">
        <f>IF(DADOS!E7262="","",DADOS!E7262)</f>
        <v/>
      </c>
      <c r="G7262" s="9" t="str">
        <f>IF(DADOS!F7262="","",DADOS!F7262)</f>
        <v/>
      </c>
      <c r="K7262" s="6" t="str">
        <f t="shared" si="570"/>
        <v/>
      </c>
      <c r="L7262" s="7" t="str">
        <f t="shared" si="571"/>
        <v/>
      </c>
      <c r="M7262" s="7" t="str">
        <f t="shared" si="568"/>
        <v/>
      </c>
      <c r="N7262" s="7" t="str">
        <f t="shared" si="572"/>
        <v/>
      </c>
      <c r="O7262" s="8"/>
      <c r="P7262" s="26"/>
      <c r="S7262" s="10" t="str">
        <f t="shared" si="569"/>
        <v/>
      </c>
    </row>
    <row r="7263" spans="5:19" x14ac:dyDescent="0.3">
      <c r="E7263" s="9" t="str">
        <f>IF(DADOS!C7263="","",DADOS!C7263)</f>
        <v/>
      </c>
      <c r="F7263" s="9" t="str">
        <f>IF(DADOS!E7263="","",DADOS!E7263)</f>
        <v/>
      </c>
      <c r="G7263" s="9" t="str">
        <f>IF(DADOS!F7263="","",DADOS!F7263)</f>
        <v/>
      </c>
      <c r="K7263" s="6" t="str">
        <f t="shared" si="570"/>
        <v/>
      </c>
      <c r="L7263" s="7" t="str">
        <f t="shared" si="571"/>
        <v/>
      </c>
      <c r="M7263" s="7" t="str">
        <f t="shared" si="568"/>
        <v/>
      </c>
      <c r="N7263" s="7" t="str">
        <f t="shared" si="572"/>
        <v/>
      </c>
      <c r="O7263" s="8"/>
      <c r="P7263" s="26"/>
      <c r="S7263" s="10" t="str">
        <f t="shared" si="569"/>
        <v/>
      </c>
    </row>
    <row r="7264" spans="5:19" x14ac:dyDescent="0.3">
      <c r="E7264" s="9" t="str">
        <f>IF(DADOS!C7264="","",DADOS!C7264)</f>
        <v/>
      </c>
      <c r="F7264" s="9" t="str">
        <f>IF(DADOS!E7264="","",DADOS!E7264)</f>
        <v/>
      </c>
      <c r="G7264" s="9" t="str">
        <f>IF(DADOS!F7264="","",DADOS!F7264)</f>
        <v/>
      </c>
      <c r="K7264" s="6" t="str">
        <f t="shared" si="570"/>
        <v/>
      </c>
      <c r="L7264" s="7" t="str">
        <f t="shared" si="571"/>
        <v/>
      </c>
      <c r="M7264" s="7" t="str">
        <f t="shared" si="568"/>
        <v/>
      </c>
      <c r="N7264" s="7" t="str">
        <f t="shared" si="572"/>
        <v/>
      </c>
      <c r="O7264" s="8"/>
      <c r="P7264" s="26"/>
      <c r="S7264" s="10" t="str">
        <f t="shared" si="569"/>
        <v/>
      </c>
    </row>
    <row r="7265" spans="5:19" x14ac:dyDescent="0.3">
      <c r="E7265" s="9" t="str">
        <f>IF(DADOS!C7265="","",DADOS!C7265)</f>
        <v/>
      </c>
      <c r="F7265" s="9" t="str">
        <f>IF(DADOS!E7265="","",DADOS!E7265)</f>
        <v/>
      </c>
      <c r="G7265" s="9" t="str">
        <f>IF(DADOS!F7265="","",DADOS!F7265)</f>
        <v/>
      </c>
      <c r="K7265" s="6" t="str">
        <f t="shared" si="570"/>
        <v/>
      </c>
      <c r="L7265" s="7" t="str">
        <f t="shared" si="571"/>
        <v/>
      </c>
      <c r="M7265" s="7" t="str">
        <f t="shared" si="568"/>
        <v/>
      </c>
      <c r="N7265" s="7" t="str">
        <f t="shared" si="572"/>
        <v/>
      </c>
      <c r="O7265" s="8"/>
      <c r="P7265" s="26"/>
      <c r="S7265" s="10" t="str">
        <f t="shared" si="569"/>
        <v/>
      </c>
    </row>
    <row r="7266" spans="5:19" x14ac:dyDescent="0.3">
      <c r="E7266" s="9" t="str">
        <f>IF(DADOS!C7266="","",DADOS!C7266)</f>
        <v/>
      </c>
      <c r="F7266" s="9" t="str">
        <f>IF(DADOS!E7266="","",DADOS!E7266)</f>
        <v/>
      </c>
      <c r="G7266" s="9" t="str">
        <f>IF(DADOS!F7266="","",DADOS!F7266)</f>
        <v/>
      </c>
      <c r="K7266" s="6" t="str">
        <f t="shared" si="570"/>
        <v/>
      </c>
      <c r="L7266" s="7" t="str">
        <f t="shared" si="571"/>
        <v/>
      </c>
      <c r="M7266" s="7" t="str">
        <f t="shared" si="568"/>
        <v/>
      </c>
      <c r="N7266" s="7" t="str">
        <f t="shared" si="572"/>
        <v/>
      </c>
      <c r="O7266" s="8"/>
      <c r="P7266" s="26"/>
      <c r="S7266" s="10" t="str">
        <f t="shared" si="569"/>
        <v/>
      </c>
    </row>
    <row r="7267" spans="5:19" x14ac:dyDescent="0.3">
      <c r="E7267" s="9" t="str">
        <f>IF(DADOS!C7267="","",DADOS!C7267)</f>
        <v/>
      </c>
      <c r="F7267" s="9" t="str">
        <f>IF(DADOS!E7267="","",DADOS!E7267)</f>
        <v/>
      </c>
      <c r="G7267" s="9" t="str">
        <f>IF(DADOS!F7267="","",DADOS!F7267)</f>
        <v/>
      </c>
      <c r="K7267" s="6" t="str">
        <f t="shared" si="570"/>
        <v/>
      </c>
      <c r="L7267" s="7" t="str">
        <f t="shared" si="571"/>
        <v/>
      </c>
      <c r="M7267" s="7" t="str">
        <f t="shared" si="568"/>
        <v/>
      </c>
      <c r="N7267" s="7" t="str">
        <f t="shared" si="572"/>
        <v/>
      </c>
      <c r="O7267" s="8"/>
      <c r="P7267" s="26"/>
      <c r="S7267" s="10" t="str">
        <f t="shared" si="569"/>
        <v/>
      </c>
    </row>
    <row r="7268" spans="5:19" x14ac:dyDescent="0.3">
      <c r="E7268" s="9" t="str">
        <f>IF(DADOS!C7268="","",DADOS!C7268)</f>
        <v/>
      </c>
      <c r="F7268" s="9" t="str">
        <f>IF(DADOS!E7268="","",DADOS!E7268)</f>
        <v/>
      </c>
      <c r="G7268" s="9" t="str">
        <f>IF(DADOS!F7268="","",DADOS!F7268)</f>
        <v/>
      </c>
      <c r="K7268" s="6" t="str">
        <f t="shared" si="570"/>
        <v/>
      </c>
      <c r="L7268" s="7" t="str">
        <f t="shared" si="571"/>
        <v/>
      </c>
      <c r="M7268" s="7" t="str">
        <f t="shared" si="568"/>
        <v/>
      </c>
      <c r="N7268" s="7" t="str">
        <f t="shared" si="572"/>
        <v/>
      </c>
      <c r="O7268" s="8"/>
      <c r="P7268" s="26"/>
      <c r="S7268" s="10" t="str">
        <f t="shared" si="569"/>
        <v/>
      </c>
    </row>
    <row r="7269" spans="5:19" x14ac:dyDescent="0.3">
      <c r="E7269" s="9" t="str">
        <f>IF(DADOS!C7269="","",DADOS!C7269)</f>
        <v/>
      </c>
      <c r="F7269" s="9" t="str">
        <f>IF(DADOS!E7269="","",DADOS!E7269)</f>
        <v/>
      </c>
      <c r="G7269" s="9" t="str">
        <f>IF(DADOS!F7269="","",DADOS!F7269)</f>
        <v/>
      </c>
      <c r="K7269" s="6" t="str">
        <f t="shared" si="570"/>
        <v/>
      </c>
      <c r="L7269" s="7" t="str">
        <f t="shared" si="571"/>
        <v/>
      </c>
      <c r="M7269" s="7" t="str">
        <f t="shared" si="568"/>
        <v/>
      </c>
      <c r="N7269" s="7" t="str">
        <f t="shared" si="572"/>
        <v/>
      </c>
      <c r="O7269" s="8"/>
      <c r="P7269" s="26"/>
      <c r="S7269" s="10" t="str">
        <f t="shared" si="569"/>
        <v/>
      </c>
    </row>
    <row r="7270" spans="5:19" x14ac:dyDescent="0.3">
      <c r="E7270" s="9" t="str">
        <f>IF(DADOS!C7270="","",DADOS!C7270)</f>
        <v/>
      </c>
      <c r="F7270" s="9" t="str">
        <f>IF(DADOS!E7270="","",DADOS!E7270)</f>
        <v/>
      </c>
      <c r="G7270" s="9" t="str">
        <f>IF(DADOS!F7270="","",DADOS!F7270)</f>
        <v/>
      </c>
      <c r="K7270" s="6" t="str">
        <f t="shared" si="570"/>
        <v/>
      </c>
      <c r="L7270" s="7" t="str">
        <f t="shared" si="571"/>
        <v/>
      </c>
      <c r="M7270" s="7" t="str">
        <f t="shared" si="568"/>
        <v/>
      </c>
      <c r="N7270" s="7" t="str">
        <f t="shared" si="572"/>
        <v/>
      </c>
      <c r="O7270" s="8"/>
      <c r="P7270" s="26"/>
      <c r="S7270" s="10" t="str">
        <f t="shared" si="569"/>
        <v/>
      </c>
    </row>
    <row r="7271" spans="5:19" x14ac:dyDescent="0.3">
      <c r="E7271" s="9" t="str">
        <f>IF(DADOS!C7271="","",DADOS!C7271)</f>
        <v/>
      </c>
      <c r="F7271" s="9" t="str">
        <f>IF(DADOS!E7271="","",DADOS!E7271)</f>
        <v/>
      </c>
      <c r="G7271" s="9" t="str">
        <f>IF(DADOS!F7271="","",DADOS!F7271)</f>
        <v/>
      </c>
      <c r="K7271" s="6" t="str">
        <f t="shared" si="570"/>
        <v/>
      </c>
      <c r="L7271" s="7" t="str">
        <f t="shared" si="571"/>
        <v/>
      </c>
      <c r="M7271" s="7" t="str">
        <f t="shared" si="568"/>
        <v/>
      </c>
      <c r="N7271" s="7" t="str">
        <f t="shared" si="572"/>
        <v/>
      </c>
      <c r="O7271" s="8"/>
      <c r="P7271" s="26"/>
      <c r="S7271" s="10" t="str">
        <f t="shared" si="569"/>
        <v/>
      </c>
    </row>
    <row r="7272" spans="5:19" x14ac:dyDescent="0.3">
      <c r="E7272" s="9" t="str">
        <f>IF(DADOS!C7272="","",DADOS!C7272)</f>
        <v/>
      </c>
      <c r="F7272" s="9" t="str">
        <f>IF(DADOS!E7272="","",DADOS!E7272)</f>
        <v/>
      </c>
      <c r="G7272" s="9" t="str">
        <f>IF(DADOS!F7272="","",DADOS!F7272)</f>
        <v/>
      </c>
      <c r="K7272" s="6" t="str">
        <f t="shared" si="570"/>
        <v/>
      </c>
      <c r="L7272" s="7" t="str">
        <f t="shared" si="571"/>
        <v/>
      </c>
      <c r="M7272" s="7" t="str">
        <f t="shared" si="568"/>
        <v/>
      </c>
      <c r="N7272" s="7" t="str">
        <f t="shared" si="572"/>
        <v/>
      </c>
      <c r="O7272" s="8"/>
      <c r="P7272" s="26"/>
      <c r="S7272" s="10" t="str">
        <f t="shared" si="569"/>
        <v/>
      </c>
    </row>
    <row r="7273" spans="5:19" x14ac:dyDescent="0.3">
      <c r="E7273" s="9" t="str">
        <f>IF(DADOS!C7273="","",DADOS!C7273)</f>
        <v/>
      </c>
      <c r="F7273" s="9" t="str">
        <f>IF(DADOS!E7273="","",DADOS!E7273)</f>
        <v/>
      </c>
      <c r="G7273" s="9" t="str">
        <f>IF(DADOS!F7273="","",DADOS!F7273)</f>
        <v/>
      </c>
      <c r="K7273" s="6" t="str">
        <f t="shared" si="570"/>
        <v/>
      </c>
      <c r="L7273" s="7" t="str">
        <f t="shared" si="571"/>
        <v/>
      </c>
      <c r="M7273" s="7" t="str">
        <f t="shared" si="568"/>
        <v/>
      </c>
      <c r="N7273" s="7" t="str">
        <f t="shared" si="572"/>
        <v/>
      </c>
      <c r="O7273" s="8"/>
      <c r="P7273" s="26"/>
      <c r="S7273" s="10" t="str">
        <f t="shared" si="569"/>
        <v/>
      </c>
    </row>
    <row r="7274" spans="5:19" x14ac:dyDescent="0.3">
      <c r="E7274" s="9" t="str">
        <f>IF(DADOS!C7274="","",DADOS!C7274)</f>
        <v/>
      </c>
      <c r="F7274" s="9" t="str">
        <f>IF(DADOS!E7274="","",DADOS!E7274)</f>
        <v/>
      </c>
      <c r="G7274" s="9" t="str">
        <f>IF(DADOS!F7274="","",DADOS!F7274)</f>
        <v/>
      </c>
      <c r="K7274" s="6" t="str">
        <f t="shared" si="570"/>
        <v/>
      </c>
      <c r="L7274" s="7" t="str">
        <f t="shared" si="571"/>
        <v/>
      </c>
      <c r="M7274" s="7" t="str">
        <f t="shared" si="568"/>
        <v/>
      </c>
      <c r="N7274" s="7" t="str">
        <f t="shared" si="572"/>
        <v/>
      </c>
      <c r="O7274" s="8"/>
      <c r="P7274" s="26"/>
      <c r="S7274" s="10" t="str">
        <f t="shared" si="569"/>
        <v/>
      </c>
    </row>
    <row r="7275" spans="5:19" x14ac:dyDescent="0.3">
      <c r="E7275" s="9" t="str">
        <f>IF(DADOS!C7275="","",DADOS!C7275)</f>
        <v/>
      </c>
      <c r="F7275" s="9" t="str">
        <f>IF(DADOS!E7275="","",DADOS!E7275)</f>
        <v/>
      </c>
      <c r="G7275" s="9" t="str">
        <f>IF(DADOS!F7275="","",DADOS!F7275)</f>
        <v/>
      </c>
      <c r="K7275" s="6" t="str">
        <f t="shared" si="570"/>
        <v/>
      </c>
      <c r="L7275" s="7" t="str">
        <f t="shared" si="571"/>
        <v/>
      </c>
      <c r="M7275" s="7" t="str">
        <f t="shared" si="568"/>
        <v/>
      </c>
      <c r="N7275" s="7" t="str">
        <f t="shared" si="572"/>
        <v/>
      </c>
      <c r="O7275" s="8"/>
      <c r="P7275" s="26"/>
      <c r="S7275" s="10" t="str">
        <f t="shared" si="569"/>
        <v/>
      </c>
    </row>
    <row r="7276" spans="5:19" x14ac:dyDescent="0.3">
      <c r="E7276" s="9" t="str">
        <f>IF(DADOS!C7276="","",DADOS!C7276)</f>
        <v/>
      </c>
      <c r="F7276" s="9" t="str">
        <f>IF(DADOS!E7276="","",DADOS!E7276)</f>
        <v/>
      </c>
      <c r="G7276" s="9" t="str">
        <f>IF(DADOS!F7276="","",DADOS!F7276)</f>
        <v/>
      </c>
      <c r="K7276" s="6" t="str">
        <f t="shared" si="570"/>
        <v/>
      </c>
      <c r="L7276" s="7" t="str">
        <f t="shared" si="571"/>
        <v/>
      </c>
      <c r="M7276" s="7" t="str">
        <f t="shared" si="568"/>
        <v/>
      </c>
      <c r="N7276" s="7" t="str">
        <f t="shared" si="572"/>
        <v/>
      </c>
      <c r="O7276" s="8"/>
      <c r="P7276" s="26"/>
      <c r="S7276" s="10" t="str">
        <f t="shared" si="569"/>
        <v/>
      </c>
    </row>
    <row r="7277" spans="5:19" x14ac:dyDescent="0.3">
      <c r="E7277" s="9" t="str">
        <f>IF(DADOS!C7277="","",DADOS!C7277)</f>
        <v/>
      </c>
      <c r="F7277" s="9" t="str">
        <f>IF(DADOS!E7277="","",DADOS!E7277)</f>
        <v/>
      </c>
      <c r="G7277" s="9" t="str">
        <f>IF(DADOS!F7277="","",DADOS!F7277)</f>
        <v/>
      </c>
      <c r="K7277" s="6" t="str">
        <f t="shared" si="570"/>
        <v/>
      </c>
      <c r="L7277" s="7" t="str">
        <f t="shared" si="571"/>
        <v/>
      </c>
      <c r="M7277" s="7" t="str">
        <f t="shared" si="568"/>
        <v/>
      </c>
      <c r="N7277" s="7" t="str">
        <f t="shared" si="572"/>
        <v/>
      </c>
      <c r="O7277" s="8"/>
      <c r="P7277" s="26"/>
      <c r="S7277" s="10" t="str">
        <f t="shared" si="569"/>
        <v/>
      </c>
    </row>
    <row r="7278" spans="5:19" x14ac:dyDescent="0.3">
      <c r="E7278" s="9" t="str">
        <f>IF(DADOS!C7278="","",DADOS!C7278)</f>
        <v/>
      </c>
      <c r="F7278" s="9" t="str">
        <f>IF(DADOS!E7278="","",DADOS!E7278)</f>
        <v/>
      </c>
      <c r="G7278" s="9" t="str">
        <f>IF(DADOS!F7278="","",DADOS!F7278)</f>
        <v/>
      </c>
      <c r="K7278" s="6" t="str">
        <f t="shared" si="570"/>
        <v/>
      </c>
      <c r="L7278" s="7" t="str">
        <f t="shared" si="571"/>
        <v/>
      </c>
      <c r="M7278" s="7" t="str">
        <f t="shared" si="568"/>
        <v/>
      </c>
      <c r="N7278" s="7" t="str">
        <f t="shared" si="572"/>
        <v/>
      </c>
      <c r="O7278" s="8"/>
      <c r="P7278" s="26"/>
      <c r="S7278" s="10" t="str">
        <f t="shared" si="569"/>
        <v/>
      </c>
    </row>
    <row r="7279" spans="5:19" x14ac:dyDescent="0.3">
      <c r="E7279" s="9" t="str">
        <f>IF(DADOS!C7279="","",DADOS!C7279)</f>
        <v/>
      </c>
      <c r="F7279" s="9" t="str">
        <f>IF(DADOS!E7279="","",DADOS!E7279)</f>
        <v/>
      </c>
      <c r="G7279" s="9" t="str">
        <f>IF(DADOS!F7279="","",DADOS!F7279)</f>
        <v/>
      </c>
      <c r="K7279" s="6" t="str">
        <f t="shared" si="570"/>
        <v/>
      </c>
      <c r="L7279" s="7" t="str">
        <f t="shared" si="571"/>
        <v/>
      </c>
      <c r="M7279" s="7" t="str">
        <f t="shared" si="568"/>
        <v/>
      </c>
      <c r="N7279" s="7" t="str">
        <f t="shared" si="572"/>
        <v/>
      </c>
      <c r="O7279" s="8"/>
      <c r="P7279" s="26"/>
      <c r="S7279" s="10" t="str">
        <f t="shared" si="569"/>
        <v/>
      </c>
    </row>
    <row r="7280" spans="5:19" x14ac:dyDescent="0.3">
      <c r="E7280" s="9" t="str">
        <f>IF(DADOS!C7280="","",DADOS!C7280)</f>
        <v/>
      </c>
      <c r="F7280" s="9" t="str">
        <f>IF(DADOS!E7280="","",DADOS!E7280)</f>
        <v/>
      </c>
      <c r="G7280" s="9" t="str">
        <f>IF(DADOS!F7280="","",DADOS!F7280)</f>
        <v/>
      </c>
      <c r="K7280" s="6" t="str">
        <f t="shared" si="570"/>
        <v/>
      </c>
      <c r="L7280" s="7" t="str">
        <f t="shared" si="571"/>
        <v/>
      </c>
      <c r="M7280" s="7" t="str">
        <f t="shared" si="568"/>
        <v/>
      </c>
      <c r="N7280" s="7" t="str">
        <f t="shared" si="572"/>
        <v/>
      </c>
      <c r="O7280" s="8"/>
      <c r="P7280" s="26"/>
      <c r="S7280" s="10" t="str">
        <f t="shared" si="569"/>
        <v/>
      </c>
    </row>
    <row r="7281" spans="5:19" x14ac:dyDescent="0.3">
      <c r="E7281" s="9" t="str">
        <f>IF(DADOS!C7281="","",DADOS!C7281)</f>
        <v/>
      </c>
      <c r="F7281" s="9" t="str">
        <f>IF(DADOS!E7281="","",DADOS!E7281)</f>
        <v/>
      </c>
      <c r="G7281" s="9" t="str">
        <f>IF(DADOS!F7281="","",DADOS!F7281)</f>
        <v/>
      </c>
      <c r="K7281" s="6" t="str">
        <f t="shared" si="570"/>
        <v/>
      </c>
      <c r="L7281" s="7" t="str">
        <f t="shared" si="571"/>
        <v/>
      </c>
      <c r="M7281" s="7" t="str">
        <f t="shared" si="568"/>
        <v/>
      </c>
      <c r="N7281" s="7" t="str">
        <f t="shared" si="572"/>
        <v/>
      </c>
      <c r="O7281" s="8"/>
      <c r="P7281" s="26"/>
      <c r="S7281" s="10" t="str">
        <f t="shared" si="569"/>
        <v/>
      </c>
    </row>
    <row r="7282" spans="5:19" x14ac:dyDescent="0.3">
      <c r="E7282" s="9" t="str">
        <f>IF(DADOS!C7282="","",DADOS!C7282)</f>
        <v/>
      </c>
      <c r="F7282" s="9" t="str">
        <f>IF(DADOS!E7282="","",DADOS!E7282)</f>
        <v/>
      </c>
      <c r="G7282" s="9" t="str">
        <f>IF(DADOS!F7282="","",DADOS!F7282)</f>
        <v/>
      </c>
      <c r="K7282" s="6" t="str">
        <f t="shared" si="570"/>
        <v/>
      </c>
      <c r="L7282" s="7" t="str">
        <f t="shared" si="571"/>
        <v/>
      </c>
      <c r="M7282" s="7" t="str">
        <f t="shared" si="568"/>
        <v/>
      </c>
      <c r="N7282" s="7" t="str">
        <f t="shared" si="572"/>
        <v/>
      </c>
      <c r="O7282" s="8"/>
      <c r="P7282" s="26"/>
      <c r="S7282" s="10" t="str">
        <f t="shared" si="569"/>
        <v/>
      </c>
    </row>
    <row r="7283" spans="5:19" x14ac:dyDescent="0.3">
      <c r="E7283" s="9" t="str">
        <f>IF(DADOS!C7283="","",DADOS!C7283)</f>
        <v/>
      </c>
      <c r="F7283" s="9" t="str">
        <f>IF(DADOS!E7283="","",DADOS!E7283)</f>
        <v/>
      </c>
      <c r="G7283" s="9" t="str">
        <f>IF(DADOS!F7283="","",DADOS!F7283)</f>
        <v/>
      </c>
      <c r="K7283" s="6" t="str">
        <f t="shared" si="570"/>
        <v/>
      </c>
      <c r="L7283" s="7" t="str">
        <f t="shared" si="571"/>
        <v/>
      </c>
      <c r="M7283" s="7" t="str">
        <f t="shared" si="568"/>
        <v/>
      </c>
      <c r="N7283" s="7" t="str">
        <f t="shared" si="572"/>
        <v/>
      </c>
      <c r="O7283" s="8"/>
      <c r="P7283" s="26"/>
      <c r="S7283" s="10" t="str">
        <f t="shared" si="569"/>
        <v/>
      </c>
    </row>
    <row r="7284" spans="5:19" x14ac:dyDescent="0.3">
      <c r="E7284" s="9" t="str">
        <f>IF(DADOS!C7284="","",DADOS!C7284)</f>
        <v/>
      </c>
      <c r="F7284" s="9" t="str">
        <f>IF(DADOS!E7284="","",DADOS!E7284)</f>
        <v/>
      </c>
      <c r="G7284" s="9" t="str">
        <f>IF(DADOS!F7284="","",DADOS!F7284)</f>
        <v/>
      </c>
      <c r="K7284" s="6" t="str">
        <f t="shared" si="570"/>
        <v/>
      </c>
      <c r="L7284" s="7" t="str">
        <f t="shared" si="571"/>
        <v/>
      </c>
      <c r="M7284" s="7" t="str">
        <f t="shared" si="568"/>
        <v/>
      </c>
      <c r="N7284" s="7" t="str">
        <f t="shared" si="572"/>
        <v/>
      </c>
      <c r="O7284" s="8"/>
      <c r="P7284" s="26"/>
      <c r="S7284" s="10" t="str">
        <f t="shared" si="569"/>
        <v/>
      </c>
    </row>
    <row r="7285" spans="5:19" x14ac:dyDescent="0.3">
      <c r="E7285" s="9" t="str">
        <f>IF(DADOS!C7285="","",DADOS!C7285)</f>
        <v/>
      </c>
      <c r="F7285" s="9" t="str">
        <f>IF(DADOS!E7285="","",DADOS!E7285)</f>
        <v/>
      </c>
      <c r="G7285" s="9" t="str">
        <f>IF(DADOS!F7285="","",DADOS!F7285)</f>
        <v/>
      </c>
      <c r="K7285" s="6" t="str">
        <f t="shared" si="570"/>
        <v/>
      </c>
      <c r="L7285" s="7" t="str">
        <f t="shared" si="571"/>
        <v/>
      </c>
      <c r="M7285" s="7" t="str">
        <f t="shared" si="568"/>
        <v/>
      </c>
      <c r="N7285" s="7" t="str">
        <f t="shared" si="572"/>
        <v/>
      </c>
      <c r="O7285" s="8"/>
      <c r="P7285" s="26"/>
      <c r="S7285" s="10" t="str">
        <f t="shared" si="569"/>
        <v/>
      </c>
    </row>
    <row r="7286" spans="5:19" x14ac:dyDescent="0.3">
      <c r="E7286" s="9" t="str">
        <f>IF(DADOS!C7286="","",DADOS!C7286)</f>
        <v/>
      </c>
      <c r="F7286" s="9" t="str">
        <f>IF(DADOS!E7286="","",DADOS!E7286)</f>
        <v/>
      </c>
      <c r="G7286" s="9" t="str">
        <f>IF(DADOS!F7286="","",DADOS!F7286)</f>
        <v/>
      </c>
      <c r="K7286" s="6" t="str">
        <f t="shared" si="570"/>
        <v/>
      </c>
      <c r="L7286" s="7" t="str">
        <f t="shared" si="571"/>
        <v/>
      </c>
      <c r="M7286" s="7" t="str">
        <f t="shared" si="568"/>
        <v/>
      </c>
      <c r="N7286" s="7" t="str">
        <f t="shared" si="572"/>
        <v/>
      </c>
      <c r="O7286" s="8"/>
      <c r="P7286" s="26"/>
      <c r="S7286" s="10" t="str">
        <f t="shared" si="569"/>
        <v/>
      </c>
    </row>
    <row r="7287" spans="5:19" x14ac:dyDescent="0.3">
      <c r="E7287" s="9" t="str">
        <f>IF(DADOS!C7287="","",DADOS!C7287)</f>
        <v/>
      </c>
      <c r="F7287" s="9" t="str">
        <f>IF(DADOS!E7287="","",DADOS!E7287)</f>
        <v/>
      </c>
      <c r="G7287" s="9" t="str">
        <f>IF(DADOS!F7287="","",DADOS!F7287)</f>
        <v/>
      </c>
      <c r="K7287" s="6" t="str">
        <f t="shared" si="570"/>
        <v/>
      </c>
      <c r="L7287" s="7" t="str">
        <f t="shared" si="571"/>
        <v/>
      </c>
      <c r="M7287" s="7" t="str">
        <f t="shared" si="568"/>
        <v/>
      </c>
      <c r="N7287" s="7" t="str">
        <f t="shared" si="572"/>
        <v/>
      </c>
      <c r="O7287" s="8"/>
      <c r="P7287" s="26"/>
      <c r="S7287" s="10" t="str">
        <f t="shared" si="569"/>
        <v/>
      </c>
    </row>
    <row r="7288" spans="5:19" x14ac:dyDescent="0.3">
      <c r="E7288" s="9" t="str">
        <f>IF(DADOS!C7288="","",DADOS!C7288)</f>
        <v/>
      </c>
      <c r="F7288" s="9" t="str">
        <f>IF(DADOS!E7288="","",DADOS!E7288)</f>
        <v/>
      </c>
      <c r="G7288" s="9" t="str">
        <f>IF(DADOS!F7288="","",DADOS!F7288)</f>
        <v/>
      </c>
      <c r="K7288" s="6" t="str">
        <f t="shared" si="570"/>
        <v/>
      </c>
      <c r="L7288" s="7" t="str">
        <f t="shared" si="571"/>
        <v/>
      </c>
      <c r="M7288" s="7" t="str">
        <f t="shared" si="568"/>
        <v/>
      </c>
      <c r="N7288" s="7" t="str">
        <f t="shared" si="572"/>
        <v/>
      </c>
      <c r="O7288" s="8"/>
      <c r="P7288" s="26"/>
      <c r="S7288" s="10" t="str">
        <f t="shared" si="569"/>
        <v/>
      </c>
    </row>
    <row r="7289" spans="5:19" x14ac:dyDescent="0.3">
      <c r="E7289" s="9" t="str">
        <f>IF(DADOS!C7289="","",DADOS!C7289)</f>
        <v/>
      </c>
      <c r="F7289" s="9" t="str">
        <f>IF(DADOS!E7289="","",DADOS!E7289)</f>
        <v/>
      </c>
      <c r="G7289" s="9" t="str">
        <f>IF(DADOS!F7289="","",DADOS!F7289)</f>
        <v/>
      </c>
      <c r="K7289" s="6" t="str">
        <f t="shared" si="570"/>
        <v/>
      </c>
      <c r="L7289" s="7" t="str">
        <f t="shared" si="571"/>
        <v/>
      </c>
      <c r="M7289" s="7" t="str">
        <f t="shared" si="568"/>
        <v/>
      </c>
      <c r="N7289" s="7" t="str">
        <f t="shared" si="572"/>
        <v/>
      </c>
      <c r="O7289" s="8"/>
      <c r="P7289" s="26"/>
      <c r="S7289" s="10" t="str">
        <f t="shared" si="569"/>
        <v/>
      </c>
    </row>
    <row r="7290" spans="5:19" x14ac:dyDescent="0.3">
      <c r="E7290" s="9" t="str">
        <f>IF(DADOS!C7290="","",DADOS!C7290)</f>
        <v/>
      </c>
      <c r="F7290" s="9" t="str">
        <f>IF(DADOS!E7290="","",DADOS!E7290)</f>
        <v/>
      </c>
      <c r="G7290" s="9" t="str">
        <f>IF(DADOS!F7290="","",DADOS!F7290)</f>
        <v/>
      </c>
      <c r="K7290" s="6" t="str">
        <f t="shared" si="570"/>
        <v/>
      </c>
      <c r="L7290" s="7" t="str">
        <f t="shared" si="571"/>
        <v/>
      </c>
      <c r="M7290" s="7" t="str">
        <f t="shared" si="568"/>
        <v/>
      </c>
      <c r="N7290" s="7" t="str">
        <f t="shared" si="572"/>
        <v/>
      </c>
      <c r="O7290" s="8"/>
      <c r="P7290" s="26"/>
      <c r="S7290" s="10" t="str">
        <f t="shared" si="569"/>
        <v/>
      </c>
    </row>
    <row r="7291" spans="5:19" x14ac:dyDescent="0.3">
      <c r="E7291" s="9" t="str">
        <f>IF(DADOS!C7291="","",DADOS!C7291)</f>
        <v/>
      </c>
      <c r="F7291" s="9" t="str">
        <f>IF(DADOS!E7291="","",DADOS!E7291)</f>
        <v/>
      </c>
      <c r="G7291" s="9" t="str">
        <f>IF(DADOS!F7291="","",DADOS!F7291)</f>
        <v/>
      </c>
      <c r="K7291" s="6" t="str">
        <f t="shared" si="570"/>
        <v/>
      </c>
      <c r="L7291" s="7" t="str">
        <f t="shared" si="571"/>
        <v/>
      </c>
      <c r="M7291" s="7" t="str">
        <f t="shared" si="568"/>
        <v/>
      </c>
      <c r="N7291" s="7" t="str">
        <f t="shared" si="572"/>
        <v/>
      </c>
      <c r="O7291" s="8"/>
      <c r="P7291" s="26"/>
      <c r="S7291" s="10" t="str">
        <f t="shared" si="569"/>
        <v/>
      </c>
    </row>
    <row r="7292" spans="5:19" x14ac:dyDescent="0.3">
      <c r="E7292" s="9" t="str">
        <f>IF(DADOS!C7292="","",DADOS!C7292)</f>
        <v/>
      </c>
      <c r="F7292" s="9" t="str">
        <f>IF(DADOS!E7292="","",DADOS!E7292)</f>
        <v/>
      </c>
      <c r="G7292" s="9" t="str">
        <f>IF(DADOS!F7292="","",DADOS!F7292)</f>
        <v/>
      </c>
      <c r="K7292" s="6" t="str">
        <f t="shared" si="570"/>
        <v/>
      </c>
      <c r="L7292" s="7" t="str">
        <f t="shared" si="571"/>
        <v/>
      </c>
      <c r="M7292" s="7" t="str">
        <f t="shared" si="568"/>
        <v/>
      </c>
      <c r="N7292" s="7" t="str">
        <f t="shared" si="572"/>
        <v/>
      </c>
      <c r="O7292" s="8"/>
      <c r="P7292" s="26"/>
      <c r="S7292" s="10" t="str">
        <f t="shared" si="569"/>
        <v/>
      </c>
    </row>
    <row r="7293" spans="5:19" x14ac:dyDescent="0.3">
      <c r="E7293" s="9" t="str">
        <f>IF(DADOS!C7293="","",DADOS!C7293)</f>
        <v/>
      </c>
      <c r="F7293" s="9" t="str">
        <f>IF(DADOS!E7293="","",DADOS!E7293)</f>
        <v/>
      </c>
      <c r="G7293" s="9" t="str">
        <f>IF(DADOS!F7293="","",DADOS!F7293)</f>
        <v/>
      </c>
      <c r="K7293" s="6" t="str">
        <f t="shared" si="570"/>
        <v/>
      </c>
      <c r="L7293" s="7" t="str">
        <f t="shared" si="571"/>
        <v/>
      </c>
      <c r="M7293" s="7" t="str">
        <f t="shared" si="568"/>
        <v/>
      </c>
      <c r="N7293" s="7" t="str">
        <f t="shared" si="572"/>
        <v/>
      </c>
      <c r="O7293" s="8"/>
      <c r="P7293" s="26"/>
      <c r="S7293" s="10" t="str">
        <f t="shared" si="569"/>
        <v/>
      </c>
    </row>
    <row r="7294" spans="5:19" x14ac:dyDescent="0.3">
      <c r="E7294" s="9" t="str">
        <f>IF(DADOS!C7294="","",DADOS!C7294)</f>
        <v/>
      </c>
      <c r="F7294" s="9" t="str">
        <f>IF(DADOS!E7294="","",DADOS!E7294)</f>
        <v/>
      </c>
      <c r="G7294" s="9" t="str">
        <f>IF(DADOS!F7294="","",DADOS!F7294)</f>
        <v/>
      </c>
      <c r="K7294" s="6" t="str">
        <f t="shared" si="570"/>
        <v/>
      </c>
      <c r="L7294" s="7" t="str">
        <f t="shared" si="571"/>
        <v/>
      </c>
      <c r="M7294" s="7" t="str">
        <f t="shared" si="568"/>
        <v/>
      </c>
      <c r="N7294" s="7" t="str">
        <f t="shared" si="572"/>
        <v/>
      </c>
      <c r="O7294" s="8"/>
      <c r="P7294" s="26"/>
      <c r="S7294" s="10" t="str">
        <f t="shared" si="569"/>
        <v/>
      </c>
    </row>
    <row r="7295" spans="5:19" x14ac:dyDescent="0.3">
      <c r="E7295" s="9" t="str">
        <f>IF(DADOS!C7295="","",DADOS!C7295)</f>
        <v/>
      </c>
      <c r="F7295" s="9" t="str">
        <f>IF(DADOS!E7295="","",DADOS!E7295)</f>
        <v/>
      </c>
      <c r="G7295" s="9" t="str">
        <f>IF(DADOS!F7295="","",DADOS!F7295)</f>
        <v/>
      </c>
      <c r="K7295" s="6" t="str">
        <f t="shared" si="570"/>
        <v/>
      </c>
      <c r="L7295" s="7" t="str">
        <f t="shared" si="571"/>
        <v/>
      </c>
      <c r="M7295" s="7" t="str">
        <f t="shared" si="568"/>
        <v/>
      </c>
      <c r="N7295" s="7" t="str">
        <f t="shared" si="572"/>
        <v/>
      </c>
      <c r="O7295" s="8"/>
      <c r="P7295" s="26"/>
      <c r="S7295" s="10" t="str">
        <f t="shared" si="569"/>
        <v/>
      </c>
    </row>
    <row r="7296" spans="5:19" x14ac:dyDescent="0.3">
      <c r="E7296" s="9" t="str">
        <f>IF(DADOS!C7296="","",DADOS!C7296)</f>
        <v/>
      </c>
      <c r="F7296" s="9" t="str">
        <f>IF(DADOS!E7296="","",DADOS!E7296)</f>
        <v/>
      </c>
      <c r="G7296" s="9" t="str">
        <f>IF(DADOS!F7296="","",DADOS!F7296)</f>
        <v/>
      </c>
      <c r="K7296" s="6" t="str">
        <f t="shared" si="570"/>
        <v/>
      </c>
      <c r="L7296" s="7" t="str">
        <f t="shared" si="571"/>
        <v/>
      </c>
      <c r="M7296" s="7" t="str">
        <f t="shared" si="568"/>
        <v/>
      </c>
      <c r="N7296" s="7" t="str">
        <f t="shared" si="572"/>
        <v/>
      </c>
      <c r="O7296" s="8"/>
      <c r="P7296" s="26"/>
      <c r="S7296" s="10" t="str">
        <f t="shared" si="569"/>
        <v/>
      </c>
    </row>
    <row r="7297" spans="5:19" x14ac:dyDescent="0.3">
      <c r="E7297" s="9" t="str">
        <f>IF(DADOS!C7297="","",DADOS!C7297)</f>
        <v/>
      </c>
      <c r="F7297" s="9" t="str">
        <f>IF(DADOS!E7297="","",DADOS!E7297)</f>
        <v/>
      </c>
      <c r="G7297" s="9" t="str">
        <f>IF(DADOS!F7297="","",DADOS!F7297)</f>
        <v/>
      </c>
      <c r="K7297" s="6" t="str">
        <f t="shared" si="570"/>
        <v/>
      </c>
      <c r="L7297" s="7" t="str">
        <f t="shared" si="571"/>
        <v/>
      </c>
      <c r="M7297" s="7" t="str">
        <f t="shared" si="568"/>
        <v/>
      </c>
      <c r="N7297" s="7" t="str">
        <f t="shared" si="572"/>
        <v/>
      </c>
      <c r="O7297" s="8"/>
      <c r="P7297" s="26"/>
      <c r="S7297" s="10" t="str">
        <f t="shared" si="569"/>
        <v/>
      </c>
    </row>
    <row r="7298" spans="5:19" x14ac:dyDescent="0.3">
      <c r="E7298" s="9" t="str">
        <f>IF(DADOS!C7298="","",DADOS!C7298)</f>
        <v/>
      </c>
      <c r="F7298" s="9" t="str">
        <f>IF(DADOS!E7298="","",DADOS!E7298)</f>
        <v/>
      </c>
      <c r="G7298" s="9" t="str">
        <f>IF(DADOS!F7298="","",DADOS!F7298)</f>
        <v/>
      </c>
      <c r="K7298" s="6" t="str">
        <f t="shared" si="570"/>
        <v/>
      </c>
      <c r="L7298" s="7" t="str">
        <f t="shared" si="571"/>
        <v/>
      </c>
      <c r="M7298" s="7" t="str">
        <f t="shared" si="568"/>
        <v/>
      </c>
      <c r="N7298" s="7" t="str">
        <f t="shared" si="572"/>
        <v/>
      </c>
      <c r="O7298" s="8"/>
      <c r="P7298" s="26"/>
      <c r="S7298" s="10" t="str">
        <f t="shared" si="569"/>
        <v/>
      </c>
    </row>
    <row r="7299" spans="5:19" x14ac:dyDescent="0.3">
      <c r="E7299" s="9" t="str">
        <f>IF(DADOS!C7299="","",DADOS!C7299)</f>
        <v/>
      </c>
      <c r="F7299" s="9" t="str">
        <f>IF(DADOS!E7299="","",DADOS!E7299)</f>
        <v/>
      </c>
      <c r="G7299" s="9" t="str">
        <f>IF(DADOS!F7299="","",DADOS!F7299)</f>
        <v/>
      </c>
      <c r="K7299" s="6" t="str">
        <f t="shared" si="570"/>
        <v/>
      </c>
      <c r="L7299" s="7" t="str">
        <f t="shared" si="571"/>
        <v/>
      </c>
      <c r="M7299" s="7" t="str">
        <f t="shared" ref="M7299:M7362" si="573">IF(L7299="","",L7299*G7299)</f>
        <v/>
      </c>
      <c r="N7299" s="7" t="str">
        <f t="shared" si="572"/>
        <v/>
      </c>
      <c r="O7299" s="8"/>
      <c r="P7299" s="26"/>
      <c r="S7299" s="10" t="str">
        <f t="shared" ref="S7299:S7362" si="574">IF(R7299="","",SUMIFS($N$3:$N$10000,$E$3:$E$10000,R7299))</f>
        <v/>
      </c>
    </row>
    <row r="7300" spans="5:19" x14ac:dyDescent="0.3">
      <c r="E7300" s="9" t="str">
        <f>IF(DADOS!C7300="","",DADOS!C7300)</f>
        <v/>
      </c>
      <c r="F7300" s="9" t="str">
        <f>IF(DADOS!E7300="","",DADOS!E7300)</f>
        <v/>
      </c>
      <c r="G7300" s="9" t="str">
        <f>IF(DADOS!F7300="","",DADOS!F7300)</f>
        <v/>
      </c>
      <c r="K7300" s="6" t="str">
        <f t="shared" ref="K7300:K7363" si="575">IF(F7300="","",F7300/PI())</f>
        <v/>
      </c>
      <c r="L7300" s="7" t="str">
        <f t="shared" ref="L7300:L7363" si="576">IF(K7300="","",(PI()*K7300^2)/40000)</f>
        <v/>
      </c>
      <c r="M7300" s="7" t="str">
        <f t="shared" si="573"/>
        <v/>
      </c>
      <c r="N7300" s="7" t="str">
        <f t="shared" ref="N7300:N7363" si="577">IF(M7300="","",M7300*N$1)</f>
        <v/>
      </c>
      <c r="O7300" s="8"/>
      <c r="P7300" s="26"/>
      <c r="S7300" s="10" t="str">
        <f t="shared" si="574"/>
        <v/>
      </c>
    </row>
    <row r="7301" spans="5:19" x14ac:dyDescent="0.3">
      <c r="E7301" s="9" t="str">
        <f>IF(DADOS!C7301="","",DADOS!C7301)</f>
        <v/>
      </c>
      <c r="F7301" s="9" t="str">
        <f>IF(DADOS!E7301="","",DADOS!E7301)</f>
        <v/>
      </c>
      <c r="G7301" s="9" t="str">
        <f>IF(DADOS!F7301="","",DADOS!F7301)</f>
        <v/>
      </c>
      <c r="K7301" s="6" t="str">
        <f t="shared" si="575"/>
        <v/>
      </c>
      <c r="L7301" s="7" t="str">
        <f t="shared" si="576"/>
        <v/>
      </c>
      <c r="M7301" s="7" t="str">
        <f t="shared" si="573"/>
        <v/>
      </c>
      <c r="N7301" s="7" t="str">
        <f t="shared" si="577"/>
        <v/>
      </c>
      <c r="O7301" s="8"/>
      <c r="P7301" s="26"/>
      <c r="S7301" s="10" t="str">
        <f t="shared" si="574"/>
        <v/>
      </c>
    </row>
    <row r="7302" spans="5:19" x14ac:dyDescent="0.3">
      <c r="E7302" s="9" t="str">
        <f>IF(DADOS!C7302="","",DADOS!C7302)</f>
        <v/>
      </c>
      <c r="F7302" s="9" t="str">
        <f>IF(DADOS!E7302="","",DADOS!E7302)</f>
        <v/>
      </c>
      <c r="G7302" s="9" t="str">
        <f>IF(DADOS!F7302="","",DADOS!F7302)</f>
        <v/>
      </c>
      <c r="K7302" s="6" t="str">
        <f t="shared" si="575"/>
        <v/>
      </c>
      <c r="L7302" s="7" t="str">
        <f t="shared" si="576"/>
        <v/>
      </c>
      <c r="M7302" s="7" t="str">
        <f t="shared" si="573"/>
        <v/>
      </c>
      <c r="N7302" s="7" t="str">
        <f t="shared" si="577"/>
        <v/>
      </c>
      <c r="O7302" s="8"/>
      <c r="P7302" s="26"/>
      <c r="S7302" s="10" t="str">
        <f t="shared" si="574"/>
        <v/>
      </c>
    </row>
    <row r="7303" spans="5:19" x14ac:dyDescent="0.3">
      <c r="E7303" s="9" t="str">
        <f>IF(DADOS!C7303="","",DADOS!C7303)</f>
        <v/>
      </c>
      <c r="F7303" s="9" t="str">
        <f>IF(DADOS!E7303="","",DADOS!E7303)</f>
        <v/>
      </c>
      <c r="G7303" s="9" t="str">
        <f>IF(DADOS!F7303="","",DADOS!F7303)</f>
        <v/>
      </c>
      <c r="K7303" s="6" t="str">
        <f t="shared" si="575"/>
        <v/>
      </c>
      <c r="L7303" s="7" t="str">
        <f t="shared" si="576"/>
        <v/>
      </c>
      <c r="M7303" s="7" t="str">
        <f t="shared" si="573"/>
        <v/>
      </c>
      <c r="N7303" s="7" t="str">
        <f t="shared" si="577"/>
        <v/>
      </c>
      <c r="O7303" s="8"/>
      <c r="P7303" s="26"/>
      <c r="S7303" s="10" t="str">
        <f t="shared" si="574"/>
        <v/>
      </c>
    </row>
    <row r="7304" spans="5:19" x14ac:dyDescent="0.3">
      <c r="E7304" s="9" t="str">
        <f>IF(DADOS!C7304="","",DADOS!C7304)</f>
        <v/>
      </c>
      <c r="F7304" s="9" t="str">
        <f>IF(DADOS!E7304="","",DADOS!E7304)</f>
        <v/>
      </c>
      <c r="G7304" s="9" t="str">
        <f>IF(DADOS!F7304="","",DADOS!F7304)</f>
        <v/>
      </c>
      <c r="K7304" s="6" t="str">
        <f t="shared" si="575"/>
        <v/>
      </c>
      <c r="L7304" s="7" t="str">
        <f t="shared" si="576"/>
        <v/>
      </c>
      <c r="M7304" s="7" t="str">
        <f t="shared" si="573"/>
        <v/>
      </c>
      <c r="N7304" s="7" t="str">
        <f t="shared" si="577"/>
        <v/>
      </c>
      <c r="O7304" s="8"/>
      <c r="P7304" s="26"/>
      <c r="S7304" s="10" t="str">
        <f t="shared" si="574"/>
        <v/>
      </c>
    </row>
    <row r="7305" spans="5:19" x14ac:dyDescent="0.3">
      <c r="E7305" s="9" t="str">
        <f>IF(DADOS!C7305="","",DADOS!C7305)</f>
        <v/>
      </c>
      <c r="F7305" s="9" t="str">
        <f>IF(DADOS!E7305="","",DADOS!E7305)</f>
        <v/>
      </c>
      <c r="G7305" s="9" t="str">
        <f>IF(DADOS!F7305="","",DADOS!F7305)</f>
        <v/>
      </c>
      <c r="K7305" s="6" t="str">
        <f t="shared" si="575"/>
        <v/>
      </c>
      <c r="L7305" s="7" t="str">
        <f t="shared" si="576"/>
        <v/>
      </c>
      <c r="M7305" s="7" t="str">
        <f t="shared" si="573"/>
        <v/>
      </c>
      <c r="N7305" s="7" t="str">
        <f t="shared" si="577"/>
        <v/>
      </c>
      <c r="O7305" s="8"/>
      <c r="P7305" s="26"/>
      <c r="S7305" s="10" t="str">
        <f t="shared" si="574"/>
        <v/>
      </c>
    </row>
    <row r="7306" spans="5:19" x14ac:dyDescent="0.3">
      <c r="E7306" s="9" t="str">
        <f>IF(DADOS!C7306="","",DADOS!C7306)</f>
        <v/>
      </c>
      <c r="F7306" s="9" t="str">
        <f>IF(DADOS!E7306="","",DADOS!E7306)</f>
        <v/>
      </c>
      <c r="G7306" s="9" t="str">
        <f>IF(DADOS!F7306="","",DADOS!F7306)</f>
        <v/>
      </c>
      <c r="K7306" s="6" t="str">
        <f t="shared" si="575"/>
        <v/>
      </c>
      <c r="L7306" s="7" t="str">
        <f t="shared" si="576"/>
        <v/>
      </c>
      <c r="M7306" s="7" t="str">
        <f t="shared" si="573"/>
        <v/>
      </c>
      <c r="N7306" s="7" t="str">
        <f t="shared" si="577"/>
        <v/>
      </c>
      <c r="O7306" s="8"/>
      <c r="P7306" s="26"/>
      <c r="S7306" s="10" t="str">
        <f t="shared" si="574"/>
        <v/>
      </c>
    </row>
    <row r="7307" spans="5:19" x14ac:dyDescent="0.3">
      <c r="E7307" s="9" t="str">
        <f>IF(DADOS!C7307="","",DADOS!C7307)</f>
        <v/>
      </c>
      <c r="F7307" s="9" t="str">
        <f>IF(DADOS!E7307="","",DADOS!E7307)</f>
        <v/>
      </c>
      <c r="G7307" s="9" t="str">
        <f>IF(DADOS!F7307="","",DADOS!F7307)</f>
        <v/>
      </c>
      <c r="K7307" s="6" t="str">
        <f t="shared" si="575"/>
        <v/>
      </c>
      <c r="L7307" s="7" t="str">
        <f t="shared" si="576"/>
        <v/>
      </c>
      <c r="M7307" s="7" t="str">
        <f t="shared" si="573"/>
        <v/>
      </c>
      <c r="N7307" s="7" t="str">
        <f t="shared" si="577"/>
        <v/>
      </c>
      <c r="O7307" s="8"/>
      <c r="P7307" s="26"/>
      <c r="S7307" s="10" t="str">
        <f t="shared" si="574"/>
        <v/>
      </c>
    </row>
    <row r="7308" spans="5:19" x14ac:dyDescent="0.3">
      <c r="E7308" s="9" t="str">
        <f>IF(DADOS!C7308="","",DADOS!C7308)</f>
        <v/>
      </c>
      <c r="F7308" s="9" t="str">
        <f>IF(DADOS!E7308="","",DADOS!E7308)</f>
        <v/>
      </c>
      <c r="G7308" s="9" t="str">
        <f>IF(DADOS!F7308="","",DADOS!F7308)</f>
        <v/>
      </c>
      <c r="K7308" s="6" t="str">
        <f t="shared" si="575"/>
        <v/>
      </c>
      <c r="L7308" s="7" t="str">
        <f t="shared" si="576"/>
        <v/>
      </c>
      <c r="M7308" s="7" t="str">
        <f t="shared" si="573"/>
        <v/>
      </c>
      <c r="N7308" s="7" t="str">
        <f t="shared" si="577"/>
        <v/>
      </c>
      <c r="O7308" s="8"/>
      <c r="P7308" s="26"/>
      <c r="S7308" s="10" t="str">
        <f t="shared" si="574"/>
        <v/>
      </c>
    </row>
    <row r="7309" spans="5:19" x14ac:dyDescent="0.3">
      <c r="E7309" s="9" t="str">
        <f>IF(DADOS!C7309="","",DADOS!C7309)</f>
        <v/>
      </c>
      <c r="F7309" s="9" t="str">
        <f>IF(DADOS!E7309="","",DADOS!E7309)</f>
        <v/>
      </c>
      <c r="G7309" s="9" t="str">
        <f>IF(DADOS!F7309="","",DADOS!F7309)</f>
        <v/>
      </c>
      <c r="K7309" s="6" t="str">
        <f t="shared" si="575"/>
        <v/>
      </c>
      <c r="L7309" s="7" t="str">
        <f t="shared" si="576"/>
        <v/>
      </c>
      <c r="M7309" s="7" t="str">
        <f t="shared" si="573"/>
        <v/>
      </c>
      <c r="N7309" s="7" t="str">
        <f t="shared" si="577"/>
        <v/>
      </c>
      <c r="O7309" s="8"/>
      <c r="P7309" s="26"/>
      <c r="S7309" s="10" t="str">
        <f t="shared" si="574"/>
        <v/>
      </c>
    </row>
    <row r="7310" spans="5:19" x14ac:dyDescent="0.3">
      <c r="E7310" s="9" t="str">
        <f>IF(DADOS!C7310="","",DADOS!C7310)</f>
        <v/>
      </c>
      <c r="F7310" s="9" t="str">
        <f>IF(DADOS!E7310="","",DADOS!E7310)</f>
        <v/>
      </c>
      <c r="G7310" s="9" t="str">
        <f>IF(DADOS!F7310="","",DADOS!F7310)</f>
        <v/>
      </c>
      <c r="K7310" s="6" t="str">
        <f t="shared" si="575"/>
        <v/>
      </c>
      <c r="L7310" s="7" t="str">
        <f t="shared" si="576"/>
        <v/>
      </c>
      <c r="M7310" s="7" t="str">
        <f t="shared" si="573"/>
        <v/>
      </c>
      <c r="N7310" s="7" t="str">
        <f t="shared" si="577"/>
        <v/>
      </c>
      <c r="O7310" s="8"/>
      <c r="P7310" s="26"/>
      <c r="S7310" s="10" t="str">
        <f t="shared" si="574"/>
        <v/>
      </c>
    </row>
    <row r="7311" spans="5:19" x14ac:dyDescent="0.3">
      <c r="E7311" s="9" t="str">
        <f>IF(DADOS!C7311="","",DADOS!C7311)</f>
        <v/>
      </c>
      <c r="F7311" s="9" t="str">
        <f>IF(DADOS!E7311="","",DADOS!E7311)</f>
        <v/>
      </c>
      <c r="G7311" s="9" t="str">
        <f>IF(DADOS!F7311="","",DADOS!F7311)</f>
        <v/>
      </c>
      <c r="K7311" s="6" t="str">
        <f t="shared" si="575"/>
        <v/>
      </c>
      <c r="L7311" s="7" t="str">
        <f t="shared" si="576"/>
        <v/>
      </c>
      <c r="M7311" s="7" t="str">
        <f t="shared" si="573"/>
        <v/>
      </c>
      <c r="N7311" s="7" t="str">
        <f t="shared" si="577"/>
        <v/>
      </c>
      <c r="O7311" s="8"/>
      <c r="P7311" s="26"/>
      <c r="S7311" s="10" t="str">
        <f t="shared" si="574"/>
        <v/>
      </c>
    </row>
    <row r="7312" spans="5:19" x14ac:dyDescent="0.3">
      <c r="E7312" s="9" t="str">
        <f>IF(DADOS!C7312="","",DADOS!C7312)</f>
        <v/>
      </c>
      <c r="F7312" s="9" t="str">
        <f>IF(DADOS!E7312="","",DADOS!E7312)</f>
        <v/>
      </c>
      <c r="G7312" s="9" t="str">
        <f>IF(DADOS!F7312="","",DADOS!F7312)</f>
        <v/>
      </c>
      <c r="K7312" s="6" t="str">
        <f t="shared" si="575"/>
        <v/>
      </c>
      <c r="L7312" s="7" t="str">
        <f t="shared" si="576"/>
        <v/>
      </c>
      <c r="M7312" s="7" t="str">
        <f t="shared" si="573"/>
        <v/>
      </c>
      <c r="N7312" s="7" t="str">
        <f t="shared" si="577"/>
        <v/>
      </c>
      <c r="O7312" s="8"/>
      <c r="P7312" s="26"/>
      <c r="S7312" s="10" t="str">
        <f t="shared" si="574"/>
        <v/>
      </c>
    </row>
    <row r="7313" spans="5:19" x14ac:dyDescent="0.3">
      <c r="E7313" s="9" t="str">
        <f>IF(DADOS!C7313="","",DADOS!C7313)</f>
        <v/>
      </c>
      <c r="F7313" s="9" t="str">
        <f>IF(DADOS!E7313="","",DADOS!E7313)</f>
        <v/>
      </c>
      <c r="G7313" s="9" t="str">
        <f>IF(DADOS!F7313="","",DADOS!F7313)</f>
        <v/>
      </c>
      <c r="K7313" s="6" t="str">
        <f t="shared" si="575"/>
        <v/>
      </c>
      <c r="L7313" s="7" t="str">
        <f t="shared" si="576"/>
        <v/>
      </c>
      <c r="M7313" s="7" t="str">
        <f t="shared" si="573"/>
        <v/>
      </c>
      <c r="N7313" s="7" t="str">
        <f t="shared" si="577"/>
        <v/>
      </c>
      <c r="O7313" s="8"/>
      <c r="P7313" s="26"/>
      <c r="S7313" s="10" t="str">
        <f t="shared" si="574"/>
        <v/>
      </c>
    </row>
    <row r="7314" spans="5:19" x14ac:dyDescent="0.3">
      <c r="E7314" s="9" t="str">
        <f>IF(DADOS!C7314="","",DADOS!C7314)</f>
        <v/>
      </c>
      <c r="F7314" s="9" t="str">
        <f>IF(DADOS!E7314="","",DADOS!E7314)</f>
        <v/>
      </c>
      <c r="G7314" s="9" t="str">
        <f>IF(DADOS!F7314="","",DADOS!F7314)</f>
        <v/>
      </c>
      <c r="K7314" s="6" t="str">
        <f t="shared" si="575"/>
        <v/>
      </c>
      <c r="L7314" s="7" t="str">
        <f t="shared" si="576"/>
        <v/>
      </c>
      <c r="M7314" s="7" t="str">
        <f t="shared" si="573"/>
        <v/>
      </c>
      <c r="N7314" s="7" t="str">
        <f t="shared" si="577"/>
        <v/>
      </c>
      <c r="O7314" s="8"/>
      <c r="P7314" s="26"/>
      <c r="S7314" s="10" t="str">
        <f t="shared" si="574"/>
        <v/>
      </c>
    </row>
    <row r="7315" spans="5:19" x14ac:dyDescent="0.3">
      <c r="E7315" s="9" t="str">
        <f>IF(DADOS!C7315="","",DADOS!C7315)</f>
        <v/>
      </c>
      <c r="F7315" s="9" t="str">
        <f>IF(DADOS!E7315="","",DADOS!E7315)</f>
        <v/>
      </c>
      <c r="G7315" s="9" t="str">
        <f>IF(DADOS!F7315="","",DADOS!F7315)</f>
        <v/>
      </c>
      <c r="K7315" s="6" t="str">
        <f t="shared" si="575"/>
        <v/>
      </c>
      <c r="L7315" s="7" t="str">
        <f t="shared" si="576"/>
        <v/>
      </c>
      <c r="M7315" s="7" t="str">
        <f t="shared" si="573"/>
        <v/>
      </c>
      <c r="N7315" s="7" t="str">
        <f t="shared" si="577"/>
        <v/>
      </c>
      <c r="O7315" s="8"/>
      <c r="P7315" s="26"/>
      <c r="S7315" s="10" t="str">
        <f t="shared" si="574"/>
        <v/>
      </c>
    </row>
    <row r="7316" spans="5:19" x14ac:dyDescent="0.3">
      <c r="E7316" s="9" t="str">
        <f>IF(DADOS!C7316="","",DADOS!C7316)</f>
        <v/>
      </c>
      <c r="F7316" s="9" t="str">
        <f>IF(DADOS!E7316="","",DADOS!E7316)</f>
        <v/>
      </c>
      <c r="G7316" s="9" t="str">
        <f>IF(DADOS!F7316="","",DADOS!F7316)</f>
        <v/>
      </c>
      <c r="K7316" s="6" t="str">
        <f t="shared" si="575"/>
        <v/>
      </c>
      <c r="L7316" s="7" t="str">
        <f t="shared" si="576"/>
        <v/>
      </c>
      <c r="M7316" s="7" t="str">
        <f t="shared" si="573"/>
        <v/>
      </c>
      <c r="N7316" s="7" t="str">
        <f t="shared" si="577"/>
        <v/>
      </c>
      <c r="O7316" s="8"/>
      <c r="P7316" s="26"/>
      <c r="S7316" s="10" t="str">
        <f t="shared" si="574"/>
        <v/>
      </c>
    </row>
    <row r="7317" spans="5:19" x14ac:dyDescent="0.3">
      <c r="E7317" s="9" t="str">
        <f>IF(DADOS!C7317="","",DADOS!C7317)</f>
        <v/>
      </c>
      <c r="F7317" s="9" t="str">
        <f>IF(DADOS!E7317="","",DADOS!E7317)</f>
        <v/>
      </c>
      <c r="G7317" s="9" t="str">
        <f>IF(DADOS!F7317="","",DADOS!F7317)</f>
        <v/>
      </c>
      <c r="K7317" s="6" t="str">
        <f t="shared" si="575"/>
        <v/>
      </c>
      <c r="L7317" s="7" t="str">
        <f t="shared" si="576"/>
        <v/>
      </c>
      <c r="M7317" s="7" t="str">
        <f t="shared" si="573"/>
        <v/>
      </c>
      <c r="N7317" s="7" t="str">
        <f t="shared" si="577"/>
        <v/>
      </c>
      <c r="O7317" s="8"/>
      <c r="P7317" s="26"/>
      <c r="S7317" s="10" t="str">
        <f t="shared" si="574"/>
        <v/>
      </c>
    </row>
    <row r="7318" spans="5:19" x14ac:dyDescent="0.3">
      <c r="E7318" s="9" t="str">
        <f>IF(DADOS!C7318="","",DADOS!C7318)</f>
        <v/>
      </c>
      <c r="F7318" s="9" t="str">
        <f>IF(DADOS!E7318="","",DADOS!E7318)</f>
        <v/>
      </c>
      <c r="G7318" s="9" t="str">
        <f>IF(DADOS!F7318="","",DADOS!F7318)</f>
        <v/>
      </c>
      <c r="K7318" s="6" t="str">
        <f t="shared" si="575"/>
        <v/>
      </c>
      <c r="L7318" s="7" t="str">
        <f t="shared" si="576"/>
        <v/>
      </c>
      <c r="M7318" s="7" t="str">
        <f t="shared" si="573"/>
        <v/>
      </c>
      <c r="N7318" s="7" t="str">
        <f t="shared" si="577"/>
        <v/>
      </c>
      <c r="O7318" s="8"/>
      <c r="P7318" s="26"/>
      <c r="S7318" s="10" t="str">
        <f t="shared" si="574"/>
        <v/>
      </c>
    </row>
    <row r="7319" spans="5:19" x14ac:dyDescent="0.3">
      <c r="E7319" s="9" t="str">
        <f>IF(DADOS!C7319="","",DADOS!C7319)</f>
        <v/>
      </c>
      <c r="F7319" s="9" t="str">
        <f>IF(DADOS!E7319="","",DADOS!E7319)</f>
        <v/>
      </c>
      <c r="G7319" s="9" t="str">
        <f>IF(DADOS!F7319="","",DADOS!F7319)</f>
        <v/>
      </c>
      <c r="K7319" s="6" t="str">
        <f t="shared" si="575"/>
        <v/>
      </c>
      <c r="L7319" s="7" t="str">
        <f t="shared" si="576"/>
        <v/>
      </c>
      <c r="M7319" s="7" t="str">
        <f t="shared" si="573"/>
        <v/>
      </c>
      <c r="N7319" s="7" t="str">
        <f t="shared" si="577"/>
        <v/>
      </c>
      <c r="O7319" s="8"/>
      <c r="P7319" s="26"/>
      <c r="S7319" s="10" t="str">
        <f t="shared" si="574"/>
        <v/>
      </c>
    </row>
    <row r="7320" spans="5:19" x14ac:dyDescent="0.3">
      <c r="E7320" s="9" t="str">
        <f>IF(DADOS!C7320="","",DADOS!C7320)</f>
        <v/>
      </c>
      <c r="F7320" s="9" t="str">
        <f>IF(DADOS!E7320="","",DADOS!E7320)</f>
        <v/>
      </c>
      <c r="G7320" s="9" t="str">
        <f>IF(DADOS!F7320="","",DADOS!F7320)</f>
        <v/>
      </c>
      <c r="K7320" s="6" t="str">
        <f t="shared" si="575"/>
        <v/>
      </c>
      <c r="L7320" s="7" t="str">
        <f t="shared" si="576"/>
        <v/>
      </c>
      <c r="M7320" s="7" t="str">
        <f t="shared" si="573"/>
        <v/>
      </c>
      <c r="N7320" s="7" t="str">
        <f t="shared" si="577"/>
        <v/>
      </c>
      <c r="O7320" s="8"/>
      <c r="P7320" s="26"/>
      <c r="S7320" s="10" t="str">
        <f t="shared" si="574"/>
        <v/>
      </c>
    </row>
    <row r="7321" spans="5:19" x14ac:dyDescent="0.3">
      <c r="E7321" s="9" t="str">
        <f>IF(DADOS!C7321="","",DADOS!C7321)</f>
        <v/>
      </c>
      <c r="F7321" s="9" t="str">
        <f>IF(DADOS!E7321="","",DADOS!E7321)</f>
        <v/>
      </c>
      <c r="G7321" s="9" t="str">
        <f>IF(DADOS!F7321="","",DADOS!F7321)</f>
        <v/>
      </c>
      <c r="K7321" s="6" t="str">
        <f t="shared" si="575"/>
        <v/>
      </c>
      <c r="L7321" s="7" t="str">
        <f t="shared" si="576"/>
        <v/>
      </c>
      <c r="M7321" s="7" t="str">
        <f t="shared" si="573"/>
        <v/>
      </c>
      <c r="N7321" s="7" t="str">
        <f t="shared" si="577"/>
        <v/>
      </c>
      <c r="O7321" s="8"/>
      <c r="P7321" s="26"/>
      <c r="S7321" s="10" t="str">
        <f t="shared" si="574"/>
        <v/>
      </c>
    </row>
    <row r="7322" spans="5:19" x14ac:dyDescent="0.3">
      <c r="E7322" s="9" t="str">
        <f>IF(DADOS!C7322="","",DADOS!C7322)</f>
        <v/>
      </c>
      <c r="F7322" s="9" t="str">
        <f>IF(DADOS!E7322="","",DADOS!E7322)</f>
        <v/>
      </c>
      <c r="G7322" s="9" t="str">
        <f>IF(DADOS!F7322="","",DADOS!F7322)</f>
        <v/>
      </c>
      <c r="K7322" s="6" t="str">
        <f t="shared" si="575"/>
        <v/>
      </c>
      <c r="L7322" s="7" t="str">
        <f t="shared" si="576"/>
        <v/>
      </c>
      <c r="M7322" s="7" t="str">
        <f t="shared" si="573"/>
        <v/>
      </c>
      <c r="N7322" s="7" t="str">
        <f t="shared" si="577"/>
        <v/>
      </c>
      <c r="O7322" s="8"/>
      <c r="P7322" s="26"/>
      <c r="S7322" s="10" t="str">
        <f t="shared" si="574"/>
        <v/>
      </c>
    </row>
    <row r="7323" spans="5:19" x14ac:dyDescent="0.3">
      <c r="E7323" s="9" t="str">
        <f>IF(DADOS!C7323="","",DADOS!C7323)</f>
        <v/>
      </c>
      <c r="F7323" s="9" t="str">
        <f>IF(DADOS!E7323="","",DADOS!E7323)</f>
        <v/>
      </c>
      <c r="G7323" s="9" t="str">
        <f>IF(DADOS!F7323="","",DADOS!F7323)</f>
        <v/>
      </c>
      <c r="K7323" s="6" t="str">
        <f t="shared" si="575"/>
        <v/>
      </c>
      <c r="L7323" s="7" t="str">
        <f t="shared" si="576"/>
        <v/>
      </c>
      <c r="M7323" s="7" t="str">
        <f t="shared" si="573"/>
        <v/>
      </c>
      <c r="N7323" s="7" t="str">
        <f t="shared" si="577"/>
        <v/>
      </c>
      <c r="O7323" s="8"/>
      <c r="P7323" s="26"/>
      <c r="S7323" s="10" t="str">
        <f t="shared" si="574"/>
        <v/>
      </c>
    </row>
    <row r="7324" spans="5:19" x14ac:dyDescent="0.3">
      <c r="E7324" s="9" t="str">
        <f>IF(DADOS!C7324="","",DADOS!C7324)</f>
        <v/>
      </c>
      <c r="F7324" s="9" t="str">
        <f>IF(DADOS!E7324="","",DADOS!E7324)</f>
        <v/>
      </c>
      <c r="G7324" s="9" t="str">
        <f>IF(DADOS!F7324="","",DADOS!F7324)</f>
        <v/>
      </c>
      <c r="K7324" s="6" t="str">
        <f t="shared" si="575"/>
        <v/>
      </c>
      <c r="L7324" s="7" t="str">
        <f t="shared" si="576"/>
        <v/>
      </c>
      <c r="M7324" s="7" t="str">
        <f t="shared" si="573"/>
        <v/>
      </c>
      <c r="N7324" s="7" t="str">
        <f t="shared" si="577"/>
        <v/>
      </c>
      <c r="O7324" s="8"/>
      <c r="P7324" s="26"/>
      <c r="S7324" s="10" t="str">
        <f t="shared" si="574"/>
        <v/>
      </c>
    </row>
    <row r="7325" spans="5:19" x14ac:dyDescent="0.3">
      <c r="E7325" s="9" t="str">
        <f>IF(DADOS!C7325="","",DADOS!C7325)</f>
        <v/>
      </c>
      <c r="F7325" s="9" t="str">
        <f>IF(DADOS!E7325="","",DADOS!E7325)</f>
        <v/>
      </c>
      <c r="G7325" s="9" t="str">
        <f>IF(DADOS!F7325="","",DADOS!F7325)</f>
        <v/>
      </c>
      <c r="K7325" s="6" t="str">
        <f t="shared" si="575"/>
        <v/>
      </c>
      <c r="L7325" s="7" t="str">
        <f t="shared" si="576"/>
        <v/>
      </c>
      <c r="M7325" s="7" t="str">
        <f t="shared" si="573"/>
        <v/>
      </c>
      <c r="N7325" s="7" t="str">
        <f t="shared" si="577"/>
        <v/>
      </c>
      <c r="O7325" s="8"/>
      <c r="P7325" s="26"/>
      <c r="S7325" s="10" t="str">
        <f t="shared" si="574"/>
        <v/>
      </c>
    </row>
    <row r="7326" spans="5:19" x14ac:dyDescent="0.3">
      <c r="E7326" s="9" t="str">
        <f>IF(DADOS!C7326="","",DADOS!C7326)</f>
        <v/>
      </c>
      <c r="F7326" s="9" t="str">
        <f>IF(DADOS!E7326="","",DADOS!E7326)</f>
        <v/>
      </c>
      <c r="G7326" s="9" t="str">
        <f>IF(DADOS!F7326="","",DADOS!F7326)</f>
        <v/>
      </c>
      <c r="K7326" s="6" t="str">
        <f t="shared" si="575"/>
        <v/>
      </c>
      <c r="L7326" s="7" t="str">
        <f t="shared" si="576"/>
        <v/>
      </c>
      <c r="M7326" s="7" t="str">
        <f t="shared" si="573"/>
        <v/>
      </c>
      <c r="N7326" s="7" t="str">
        <f t="shared" si="577"/>
        <v/>
      </c>
      <c r="O7326" s="8"/>
      <c r="P7326" s="26"/>
      <c r="S7326" s="10" t="str">
        <f t="shared" si="574"/>
        <v/>
      </c>
    </row>
    <row r="7327" spans="5:19" x14ac:dyDescent="0.3">
      <c r="E7327" s="9" t="str">
        <f>IF(DADOS!C7327="","",DADOS!C7327)</f>
        <v/>
      </c>
      <c r="F7327" s="9" t="str">
        <f>IF(DADOS!E7327="","",DADOS!E7327)</f>
        <v/>
      </c>
      <c r="G7327" s="9" t="str">
        <f>IF(DADOS!F7327="","",DADOS!F7327)</f>
        <v/>
      </c>
      <c r="K7327" s="6" t="str">
        <f t="shared" si="575"/>
        <v/>
      </c>
      <c r="L7327" s="7" t="str">
        <f t="shared" si="576"/>
        <v/>
      </c>
      <c r="M7327" s="7" t="str">
        <f t="shared" si="573"/>
        <v/>
      </c>
      <c r="N7327" s="7" t="str">
        <f t="shared" si="577"/>
        <v/>
      </c>
      <c r="O7327" s="8"/>
      <c r="P7327" s="26"/>
      <c r="S7327" s="10" t="str">
        <f t="shared" si="574"/>
        <v/>
      </c>
    </row>
    <row r="7328" spans="5:19" x14ac:dyDescent="0.3">
      <c r="E7328" s="9" t="str">
        <f>IF(DADOS!C7328="","",DADOS!C7328)</f>
        <v/>
      </c>
      <c r="F7328" s="9" t="str">
        <f>IF(DADOS!E7328="","",DADOS!E7328)</f>
        <v/>
      </c>
      <c r="G7328" s="9" t="str">
        <f>IF(DADOS!F7328="","",DADOS!F7328)</f>
        <v/>
      </c>
      <c r="K7328" s="6" t="str">
        <f t="shared" si="575"/>
        <v/>
      </c>
      <c r="L7328" s="7" t="str">
        <f t="shared" si="576"/>
        <v/>
      </c>
      <c r="M7328" s="7" t="str">
        <f t="shared" si="573"/>
        <v/>
      </c>
      <c r="N7328" s="7" t="str">
        <f t="shared" si="577"/>
        <v/>
      </c>
      <c r="O7328" s="8"/>
      <c r="P7328" s="26"/>
      <c r="S7328" s="10" t="str">
        <f t="shared" si="574"/>
        <v/>
      </c>
    </row>
    <row r="7329" spans="5:19" x14ac:dyDescent="0.3">
      <c r="E7329" s="9" t="str">
        <f>IF(DADOS!C7329="","",DADOS!C7329)</f>
        <v/>
      </c>
      <c r="F7329" s="9" t="str">
        <f>IF(DADOS!E7329="","",DADOS!E7329)</f>
        <v/>
      </c>
      <c r="G7329" s="9" t="str">
        <f>IF(DADOS!F7329="","",DADOS!F7329)</f>
        <v/>
      </c>
      <c r="K7329" s="6" t="str">
        <f t="shared" si="575"/>
        <v/>
      </c>
      <c r="L7329" s="7" t="str">
        <f t="shared" si="576"/>
        <v/>
      </c>
      <c r="M7329" s="7" t="str">
        <f t="shared" si="573"/>
        <v/>
      </c>
      <c r="N7329" s="7" t="str">
        <f t="shared" si="577"/>
        <v/>
      </c>
      <c r="O7329" s="8"/>
      <c r="P7329" s="26"/>
      <c r="S7329" s="10" t="str">
        <f t="shared" si="574"/>
        <v/>
      </c>
    </row>
    <row r="7330" spans="5:19" x14ac:dyDescent="0.3">
      <c r="E7330" s="9" t="str">
        <f>IF(DADOS!C7330="","",DADOS!C7330)</f>
        <v/>
      </c>
      <c r="F7330" s="9" t="str">
        <f>IF(DADOS!E7330="","",DADOS!E7330)</f>
        <v/>
      </c>
      <c r="G7330" s="9" t="str">
        <f>IF(DADOS!F7330="","",DADOS!F7330)</f>
        <v/>
      </c>
      <c r="K7330" s="6" t="str">
        <f t="shared" si="575"/>
        <v/>
      </c>
      <c r="L7330" s="7" t="str">
        <f t="shared" si="576"/>
        <v/>
      </c>
      <c r="M7330" s="7" t="str">
        <f t="shared" si="573"/>
        <v/>
      </c>
      <c r="N7330" s="7" t="str">
        <f t="shared" si="577"/>
        <v/>
      </c>
      <c r="O7330" s="8"/>
      <c r="P7330" s="26"/>
      <c r="S7330" s="10" t="str">
        <f t="shared" si="574"/>
        <v/>
      </c>
    </row>
    <row r="7331" spans="5:19" x14ac:dyDescent="0.3">
      <c r="E7331" s="9" t="str">
        <f>IF(DADOS!C7331="","",DADOS!C7331)</f>
        <v/>
      </c>
      <c r="F7331" s="9" t="str">
        <f>IF(DADOS!E7331="","",DADOS!E7331)</f>
        <v/>
      </c>
      <c r="G7331" s="9" t="str">
        <f>IF(DADOS!F7331="","",DADOS!F7331)</f>
        <v/>
      </c>
      <c r="K7331" s="6" t="str">
        <f t="shared" si="575"/>
        <v/>
      </c>
      <c r="L7331" s="7" t="str">
        <f t="shared" si="576"/>
        <v/>
      </c>
      <c r="M7331" s="7" t="str">
        <f t="shared" si="573"/>
        <v/>
      </c>
      <c r="N7331" s="7" t="str">
        <f t="shared" si="577"/>
        <v/>
      </c>
      <c r="O7331" s="8"/>
      <c r="P7331" s="26"/>
      <c r="S7331" s="10" t="str">
        <f t="shared" si="574"/>
        <v/>
      </c>
    </row>
    <row r="7332" spans="5:19" x14ac:dyDescent="0.3">
      <c r="E7332" s="9" t="str">
        <f>IF(DADOS!C7332="","",DADOS!C7332)</f>
        <v/>
      </c>
      <c r="F7332" s="9" t="str">
        <f>IF(DADOS!E7332="","",DADOS!E7332)</f>
        <v/>
      </c>
      <c r="G7332" s="9" t="str">
        <f>IF(DADOS!F7332="","",DADOS!F7332)</f>
        <v/>
      </c>
      <c r="K7332" s="6" t="str">
        <f t="shared" si="575"/>
        <v/>
      </c>
      <c r="L7332" s="7" t="str">
        <f t="shared" si="576"/>
        <v/>
      </c>
      <c r="M7332" s="7" t="str">
        <f t="shared" si="573"/>
        <v/>
      </c>
      <c r="N7332" s="7" t="str">
        <f t="shared" si="577"/>
        <v/>
      </c>
      <c r="O7332" s="8"/>
      <c r="P7332" s="26"/>
      <c r="S7332" s="10" t="str">
        <f t="shared" si="574"/>
        <v/>
      </c>
    </row>
    <row r="7333" spans="5:19" x14ac:dyDescent="0.3">
      <c r="E7333" s="9" t="str">
        <f>IF(DADOS!C7333="","",DADOS!C7333)</f>
        <v/>
      </c>
      <c r="F7333" s="9" t="str">
        <f>IF(DADOS!E7333="","",DADOS!E7333)</f>
        <v/>
      </c>
      <c r="G7333" s="9" t="str">
        <f>IF(DADOS!F7333="","",DADOS!F7333)</f>
        <v/>
      </c>
      <c r="K7333" s="6" t="str">
        <f t="shared" si="575"/>
        <v/>
      </c>
      <c r="L7333" s="7" t="str">
        <f t="shared" si="576"/>
        <v/>
      </c>
      <c r="M7333" s="7" t="str">
        <f t="shared" si="573"/>
        <v/>
      </c>
      <c r="N7333" s="7" t="str">
        <f t="shared" si="577"/>
        <v/>
      </c>
      <c r="O7333" s="8"/>
      <c r="P7333" s="26"/>
      <c r="S7333" s="10" t="str">
        <f t="shared" si="574"/>
        <v/>
      </c>
    </row>
    <row r="7334" spans="5:19" x14ac:dyDescent="0.3">
      <c r="E7334" s="9" t="str">
        <f>IF(DADOS!C7334="","",DADOS!C7334)</f>
        <v/>
      </c>
      <c r="F7334" s="9" t="str">
        <f>IF(DADOS!E7334="","",DADOS!E7334)</f>
        <v/>
      </c>
      <c r="G7334" s="9" t="str">
        <f>IF(DADOS!F7334="","",DADOS!F7334)</f>
        <v/>
      </c>
      <c r="K7334" s="6" t="str">
        <f t="shared" si="575"/>
        <v/>
      </c>
      <c r="L7334" s="7" t="str">
        <f t="shared" si="576"/>
        <v/>
      </c>
      <c r="M7334" s="7" t="str">
        <f t="shared" si="573"/>
        <v/>
      </c>
      <c r="N7334" s="7" t="str">
        <f t="shared" si="577"/>
        <v/>
      </c>
      <c r="O7334" s="8"/>
      <c r="P7334" s="26"/>
      <c r="S7334" s="10" t="str">
        <f t="shared" si="574"/>
        <v/>
      </c>
    </row>
    <row r="7335" spans="5:19" x14ac:dyDescent="0.3">
      <c r="E7335" s="9" t="str">
        <f>IF(DADOS!C7335="","",DADOS!C7335)</f>
        <v/>
      </c>
      <c r="F7335" s="9" t="str">
        <f>IF(DADOS!E7335="","",DADOS!E7335)</f>
        <v/>
      </c>
      <c r="G7335" s="9" t="str">
        <f>IF(DADOS!F7335="","",DADOS!F7335)</f>
        <v/>
      </c>
      <c r="K7335" s="6" t="str">
        <f t="shared" si="575"/>
        <v/>
      </c>
      <c r="L7335" s="7" t="str">
        <f t="shared" si="576"/>
        <v/>
      </c>
      <c r="M7335" s="7" t="str">
        <f t="shared" si="573"/>
        <v/>
      </c>
      <c r="N7335" s="7" t="str">
        <f t="shared" si="577"/>
        <v/>
      </c>
      <c r="O7335" s="8"/>
      <c r="P7335" s="26"/>
      <c r="S7335" s="10" t="str">
        <f t="shared" si="574"/>
        <v/>
      </c>
    </row>
    <row r="7336" spans="5:19" x14ac:dyDescent="0.3">
      <c r="E7336" s="9" t="str">
        <f>IF(DADOS!C7336="","",DADOS!C7336)</f>
        <v/>
      </c>
      <c r="F7336" s="9" t="str">
        <f>IF(DADOS!E7336="","",DADOS!E7336)</f>
        <v/>
      </c>
      <c r="G7336" s="9" t="str">
        <f>IF(DADOS!F7336="","",DADOS!F7336)</f>
        <v/>
      </c>
      <c r="K7336" s="6" t="str">
        <f t="shared" si="575"/>
        <v/>
      </c>
      <c r="L7336" s="7" t="str">
        <f t="shared" si="576"/>
        <v/>
      </c>
      <c r="M7336" s="7" t="str">
        <f t="shared" si="573"/>
        <v/>
      </c>
      <c r="N7336" s="7" t="str">
        <f t="shared" si="577"/>
        <v/>
      </c>
      <c r="O7336" s="8"/>
      <c r="P7336" s="26"/>
      <c r="S7336" s="10" t="str">
        <f t="shared" si="574"/>
        <v/>
      </c>
    </row>
    <row r="7337" spans="5:19" x14ac:dyDescent="0.3">
      <c r="E7337" s="9" t="str">
        <f>IF(DADOS!C7337="","",DADOS!C7337)</f>
        <v/>
      </c>
      <c r="F7337" s="9" t="str">
        <f>IF(DADOS!E7337="","",DADOS!E7337)</f>
        <v/>
      </c>
      <c r="G7337" s="9" t="str">
        <f>IF(DADOS!F7337="","",DADOS!F7337)</f>
        <v/>
      </c>
      <c r="K7337" s="6" t="str">
        <f t="shared" si="575"/>
        <v/>
      </c>
      <c r="L7337" s="7" t="str">
        <f t="shared" si="576"/>
        <v/>
      </c>
      <c r="M7337" s="7" t="str">
        <f t="shared" si="573"/>
        <v/>
      </c>
      <c r="N7337" s="7" t="str">
        <f t="shared" si="577"/>
        <v/>
      </c>
      <c r="O7337" s="8"/>
      <c r="P7337" s="26"/>
      <c r="S7337" s="10" t="str">
        <f t="shared" si="574"/>
        <v/>
      </c>
    </row>
    <row r="7338" spans="5:19" x14ac:dyDescent="0.3">
      <c r="E7338" s="9" t="str">
        <f>IF(DADOS!C7338="","",DADOS!C7338)</f>
        <v/>
      </c>
      <c r="F7338" s="9" t="str">
        <f>IF(DADOS!E7338="","",DADOS!E7338)</f>
        <v/>
      </c>
      <c r="G7338" s="9" t="str">
        <f>IF(DADOS!F7338="","",DADOS!F7338)</f>
        <v/>
      </c>
      <c r="K7338" s="6" t="str">
        <f t="shared" si="575"/>
        <v/>
      </c>
      <c r="L7338" s="7" t="str">
        <f t="shared" si="576"/>
        <v/>
      </c>
      <c r="M7338" s="7" t="str">
        <f t="shared" si="573"/>
        <v/>
      </c>
      <c r="N7338" s="7" t="str">
        <f t="shared" si="577"/>
        <v/>
      </c>
      <c r="O7338" s="8"/>
      <c r="P7338" s="26"/>
      <c r="S7338" s="10" t="str">
        <f t="shared" si="574"/>
        <v/>
      </c>
    </row>
    <row r="7339" spans="5:19" x14ac:dyDescent="0.3">
      <c r="E7339" s="9" t="str">
        <f>IF(DADOS!C7339="","",DADOS!C7339)</f>
        <v/>
      </c>
      <c r="F7339" s="9" t="str">
        <f>IF(DADOS!E7339="","",DADOS!E7339)</f>
        <v/>
      </c>
      <c r="G7339" s="9" t="str">
        <f>IF(DADOS!F7339="","",DADOS!F7339)</f>
        <v/>
      </c>
      <c r="K7339" s="6" t="str">
        <f t="shared" si="575"/>
        <v/>
      </c>
      <c r="L7339" s="7" t="str">
        <f t="shared" si="576"/>
        <v/>
      </c>
      <c r="M7339" s="7" t="str">
        <f t="shared" si="573"/>
        <v/>
      </c>
      <c r="N7339" s="7" t="str">
        <f t="shared" si="577"/>
        <v/>
      </c>
      <c r="O7339" s="8"/>
      <c r="P7339" s="26"/>
      <c r="S7339" s="10" t="str">
        <f t="shared" si="574"/>
        <v/>
      </c>
    </row>
    <row r="7340" spans="5:19" x14ac:dyDescent="0.3">
      <c r="E7340" s="9" t="str">
        <f>IF(DADOS!C7340="","",DADOS!C7340)</f>
        <v/>
      </c>
      <c r="F7340" s="9" t="str">
        <f>IF(DADOS!E7340="","",DADOS!E7340)</f>
        <v/>
      </c>
      <c r="G7340" s="9" t="str">
        <f>IF(DADOS!F7340="","",DADOS!F7340)</f>
        <v/>
      </c>
      <c r="K7340" s="6" t="str">
        <f t="shared" si="575"/>
        <v/>
      </c>
      <c r="L7340" s="7" t="str">
        <f t="shared" si="576"/>
        <v/>
      </c>
      <c r="M7340" s="7" t="str">
        <f t="shared" si="573"/>
        <v/>
      </c>
      <c r="N7340" s="7" t="str">
        <f t="shared" si="577"/>
        <v/>
      </c>
      <c r="O7340" s="8"/>
      <c r="P7340" s="26"/>
      <c r="S7340" s="10" t="str">
        <f t="shared" si="574"/>
        <v/>
      </c>
    </row>
    <row r="7341" spans="5:19" x14ac:dyDescent="0.3">
      <c r="E7341" s="9" t="str">
        <f>IF(DADOS!C7341="","",DADOS!C7341)</f>
        <v/>
      </c>
      <c r="F7341" s="9" t="str">
        <f>IF(DADOS!E7341="","",DADOS!E7341)</f>
        <v/>
      </c>
      <c r="G7341" s="9" t="str">
        <f>IF(DADOS!F7341="","",DADOS!F7341)</f>
        <v/>
      </c>
      <c r="K7341" s="6" t="str">
        <f t="shared" si="575"/>
        <v/>
      </c>
      <c r="L7341" s="7" t="str">
        <f t="shared" si="576"/>
        <v/>
      </c>
      <c r="M7341" s="7" t="str">
        <f t="shared" si="573"/>
        <v/>
      </c>
      <c r="N7341" s="7" t="str">
        <f t="shared" si="577"/>
        <v/>
      </c>
      <c r="O7341" s="8"/>
      <c r="P7341" s="26"/>
      <c r="S7341" s="10" t="str">
        <f t="shared" si="574"/>
        <v/>
      </c>
    </row>
    <row r="7342" spans="5:19" x14ac:dyDescent="0.3">
      <c r="E7342" s="9" t="str">
        <f>IF(DADOS!C7342="","",DADOS!C7342)</f>
        <v/>
      </c>
      <c r="F7342" s="9" t="str">
        <f>IF(DADOS!E7342="","",DADOS!E7342)</f>
        <v/>
      </c>
      <c r="G7342" s="9" t="str">
        <f>IF(DADOS!F7342="","",DADOS!F7342)</f>
        <v/>
      </c>
      <c r="K7342" s="6" t="str">
        <f t="shared" si="575"/>
        <v/>
      </c>
      <c r="L7342" s="7" t="str">
        <f t="shared" si="576"/>
        <v/>
      </c>
      <c r="M7342" s="7" t="str">
        <f t="shared" si="573"/>
        <v/>
      </c>
      <c r="N7342" s="7" t="str">
        <f t="shared" si="577"/>
        <v/>
      </c>
      <c r="O7342" s="8"/>
      <c r="P7342" s="26"/>
      <c r="S7342" s="10" t="str">
        <f t="shared" si="574"/>
        <v/>
      </c>
    </row>
    <row r="7343" spans="5:19" x14ac:dyDescent="0.3">
      <c r="E7343" s="9" t="str">
        <f>IF(DADOS!C7343="","",DADOS!C7343)</f>
        <v/>
      </c>
      <c r="F7343" s="9" t="str">
        <f>IF(DADOS!E7343="","",DADOS!E7343)</f>
        <v/>
      </c>
      <c r="G7343" s="9" t="str">
        <f>IF(DADOS!F7343="","",DADOS!F7343)</f>
        <v/>
      </c>
      <c r="K7343" s="6" t="str">
        <f t="shared" si="575"/>
        <v/>
      </c>
      <c r="L7343" s="7" t="str">
        <f t="shared" si="576"/>
        <v/>
      </c>
      <c r="M7343" s="7" t="str">
        <f t="shared" si="573"/>
        <v/>
      </c>
      <c r="N7343" s="7" t="str">
        <f t="shared" si="577"/>
        <v/>
      </c>
      <c r="O7343" s="8"/>
      <c r="P7343" s="26"/>
      <c r="S7343" s="10" t="str">
        <f t="shared" si="574"/>
        <v/>
      </c>
    </row>
    <row r="7344" spans="5:19" x14ac:dyDescent="0.3">
      <c r="E7344" s="9" t="str">
        <f>IF(DADOS!C7344="","",DADOS!C7344)</f>
        <v/>
      </c>
      <c r="F7344" s="9" t="str">
        <f>IF(DADOS!E7344="","",DADOS!E7344)</f>
        <v/>
      </c>
      <c r="G7344" s="9" t="str">
        <f>IF(DADOS!F7344="","",DADOS!F7344)</f>
        <v/>
      </c>
      <c r="K7344" s="6" t="str">
        <f t="shared" si="575"/>
        <v/>
      </c>
      <c r="L7344" s="7" t="str">
        <f t="shared" si="576"/>
        <v/>
      </c>
      <c r="M7344" s="7" t="str">
        <f t="shared" si="573"/>
        <v/>
      </c>
      <c r="N7344" s="7" t="str">
        <f t="shared" si="577"/>
        <v/>
      </c>
      <c r="O7344" s="8"/>
      <c r="P7344" s="26"/>
      <c r="S7344" s="10" t="str">
        <f t="shared" si="574"/>
        <v/>
      </c>
    </row>
    <row r="7345" spans="5:19" x14ac:dyDescent="0.3">
      <c r="E7345" s="9" t="str">
        <f>IF(DADOS!C7345="","",DADOS!C7345)</f>
        <v/>
      </c>
      <c r="F7345" s="9" t="str">
        <f>IF(DADOS!E7345="","",DADOS!E7345)</f>
        <v/>
      </c>
      <c r="G7345" s="9" t="str">
        <f>IF(DADOS!F7345="","",DADOS!F7345)</f>
        <v/>
      </c>
      <c r="K7345" s="6" t="str">
        <f t="shared" si="575"/>
        <v/>
      </c>
      <c r="L7345" s="7" t="str">
        <f t="shared" si="576"/>
        <v/>
      </c>
      <c r="M7345" s="7" t="str">
        <f t="shared" si="573"/>
        <v/>
      </c>
      <c r="N7345" s="7" t="str">
        <f t="shared" si="577"/>
        <v/>
      </c>
      <c r="O7345" s="8"/>
      <c r="P7345" s="26"/>
      <c r="S7345" s="10" t="str">
        <f t="shared" si="574"/>
        <v/>
      </c>
    </row>
    <row r="7346" spans="5:19" x14ac:dyDescent="0.3">
      <c r="E7346" s="9" t="str">
        <f>IF(DADOS!C7346="","",DADOS!C7346)</f>
        <v/>
      </c>
      <c r="F7346" s="9" t="str">
        <f>IF(DADOS!E7346="","",DADOS!E7346)</f>
        <v/>
      </c>
      <c r="G7346" s="9" t="str">
        <f>IF(DADOS!F7346="","",DADOS!F7346)</f>
        <v/>
      </c>
      <c r="K7346" s="6" t="str">
        <f t="shared" si="575"/>
        <v/>
      </c>
      <c r="L7346" s="7" t="str">
        <f t="shared" si="576"/>
        <v/>
      </c>
      <c r="M7346" s="7" t="str">
        <f t="shared" si="573"/>
        <v/>
      </c>
      <c r="N7346" s="7" t="str">
        <f t="shared" si="577"/>
        <v/>
      </c>
      <c r="O7346" s="8"/>
      <c r="P7346" s="26"/>
      <c r="S7346" s="10" t="str">
        <f t="shared" si="574"/>
        <v/>
      </c>
    </row>
    <row r="7347" spans="5:19" x14ac:dyDescent="0.3">
      <c r="E7347" s="9" t="str">
        <f>IF(DADOS!C7347="","",DADOS!C7347)</f>
        <v/>
      </c>
      <c r="F7347" s="9" t="str">
        <f>IF(DADOS!E7347="","",DADOS!E7347)</f>
        <v/>
      </c>
      <c r="G7347" s="9" t="str">
        <f>IF(DADOS!F7347="","",DADOS!F7347)</f>
        <v/>
      </c>
      <c r="K7347" s="6" t="str">
        <f t="shared" si="575"/>
        <v/>
      </c>
      <c r="L7347" s="7" t="str">
        <f t="shared" si="576"/>
        <v/>
      </c>
      <c r="M7347" s="7" t="str">
        <f t="shared" si="573"/>
        <v/>
      </c>
      <c r="N7347" s="7" t="str">
        <f t="shared" si="577"/>
        <v/>
      </c>
      <c r="O7347" s="8"/>
      <c r="P7347" s="26"/>
      <c r="S7347" s="10" t="str">
        <f t="shared" si="574"/>
        <v/>
      </c>
    </row>
    <row r="7348" spans="5:19" x14ac:dyDescent="0.3">
      <c r="E7348" s="9" t="str">
        <f>IF(DADOS!C7348="","",DADOS!C7348)</f>
        <v/>
      </c>
      <c r="F7348" s="9" t="str">
        <f>IF(DADOS!E7348="","",DADOS!E7348)</f>
        <v/>
      </c>
      <c r="G7348" s="9" t="str">
        <f>IF(DADOS!F7348="","",DADOS!F7348)</f>
        <v/>
      </c>
      <c r="K7348" s="6" t="str">
        <f t="shared" si="575"/>
        <v/>
      </c>
      <c r="L7348" s="7" t="str">
        <f t="shared" si="576"/>
        <v/>
      </c>
      <c r="M7348" s="7" t="str">
        <f t="shared" si="573"/>
        <v/>
      </c>
      <c r="N7348" s="7" t="str">
        <f t="shared" si="577"/>
        <v/>
      </c>
      <c r="O7348" s="8"/>
      <c r="P7348" s="26"/>
      <c r="S7348" s="10" t="str">
        <f t="shared" si="574"/>
        <v/>
      </c>
    </row>
    <row r="7349" spans="5:19" x14ac:dyDescent="0.3">
      <c r="E7349" s="9" t="str">
        <f>IF(DADOS!C7349="","",DADOS!C7349)</f>
        <v/>
      </c>
      <c r="F7349" s="9" t="str">
        <f>IF(DADOS!E7349="","",DADOS!E7349)</f>
        <v/>
      </c>
      <c r="G7349" s="9" t="str">
        <f>IF(DADOS!F7349="","",DADOS!F7349)</f>
        <v/>
      </c>
      <c r="K7349" s="6" t="str">
        <f t="shared" si="575"/>
        <v/>
      </c>
      <c r="L7349" s="7" t="str">
        <f t="shared" si="576"/>
        <v/>
      </c>
      <c r="M7349" s="7" t="str">
        <f t="shared" si="573"/>
        <v/>
      </c>
      <c r="N7349" s="7" t="str">
        <f t="shared" si="577"/>
        <v/>
      </c>
      <c r="O7349" s="8"/>
      <c r="P7349" s="26"/>
      <c r="S7349" s="10" t="str">
        <f t="shared" si="574"/>
        <v/>
      </c>
    </row>
    <row r="7350" spans="5:19" x14ac:dyDescent="0.3">
      <c r="E7350" s="9" t="str">
        <f>IF(DADOS!C7350="","",DADOS!C7350)</f>
        <v/>
      </c>
      <c r="F7350" s="9" t="str">
        <f>IF(DADOS!E7350="","",DADOS!E7350)</f>
        <v/>
      </c>
      <c r="G7350" s="9" t="str">
        <f>IF(DADOS!F7350="","",DADOS!F7350)</f>
        <v/>
      </c>
      <c r="K7350" s="6" t="str">
        <f t="shared" si="575"/>
        <v/>
      </c>
      <c r="L7350" s="7" t="str">
        <f t="shared" si="576"/>
        <v/>
      </c>
      <c r="M7350" s="7" t="str">
        <f t="shared" si="573"/>
        <v/>
      </c>
      <c r="N7350" s="7" t="str">
        <f t="shared" si="577"/>
        <v/>
      </c>
      <c r="O7350" s="8"/>
      <c r="P7350" s="26"/>
      <c r="S7350" s="10" t="str">
        <f t="shared" si="574"/>
        <v/>
      </c>
    </row>
    <row r="7351" spans="5:19" x14ac:dyDescent="0.3">
      <c r="E7351" s="9" t="str">
        <f>IF(DADOS!C7351="","",DADOS!C7351)</f>
        <v/>
      </c>
      <c r="F7351" s="9" t="str">
        <f>IF(DADOS!E7351="","",DADOS!E7351)</f>
        <v/>
      </c>
      <c r="G7351" s="9" t="str">
        <f>IF(DADOS!F7351="","",DADOS!F7351)</f>
        <v/>
      </c>
      <c r="K7351" s="6" t="str">
        <f t="shared" si="575"/>
        <v/>
      </c>
      <c r="L7351" s="7" t="str">
        <f t="shared" si="576"/>
        <v/>
      </c>
      <c r="M7351" s="7" t="str">
        <f t="shared" si="573"/>
        <v/>
      </c>
      <c r="N7351" s="7" t="str">
        <f t="shared" si="577"/>
        <v/>
      </c>
      <c r="O7351" s="8"/>
      <c r="P7351" s="26"/>
      <c r="S7351" s="10" t="str">
        <f t="shared" si="574"/>
        <v/>
      </c>
    </row>
    <row r="7352" spans="5:19" x14ac:dyDescent="0.3">
      <c r="E7352" s="9" t="str">
        <f>IF(DADOS!C7352="","",DADOS!C7352)</f>
        <v/>
      </c>
      <c r="F7352" s="9" t="str">
        <f>IF(DADOS!E7352="","",DADOS!E7352)</f>
        <v/>
      </c>
      <c r="G7352" s="9" t="str">
        <f>IF(DADOS!F7352="","",DADOS!F7352)</f>
        <v/>
      </c>
      <c r="K7352" s="6" t="str">
        <f t="shared" si="575"/>
        <v/>
      </c>
      <c r="L7352" s="7" t="str">
        <f t="shared" si="576"/>
        <v/>
      </c>
      <c r="M7352" s="7" t="str">
        <f t="shared" si="573"/>
        <v/>
      </c>
      <c r="N7352" s="7" t="str">
        <f t="shared" si="577"/>
        <v/>
      </c>
      <c r="O7352" s="8"/>
      <c r="P7352" s="26"/>
      <c r="S7352" s="10" t="str">
        <f t="shared" si="574"/>
        <v/>
      </c>
    </row>
    <row r="7353" spans="5:19" x14ac:dyDescent="0.3">
      <c r="E7353" s="9" t="str">
        <f>IF(DADOS!C7353="","",DADOS!C7353)</f>
        <v/>
      </c>
      <c r="F7353" s="9" t="str">
        <f>IF(DADOS!E7353="","",DADOS!E7353)</f>
        <v/>
      </c>
      <c r="G7353" s="9" t="str">
        <f>IF(DADOS!F7353="","",DADOS!F7353)</f>
        <v/>
      </c>
      <c r="K7353" s="6" t="str">
        <f t="shared" si="575"/>
        <v/>
      </c>
      <c r="L7353" s="7" t="str">
        <f t="shared" si="576"/>
        <v/>
      </c>
      <c r="M7353" s="7" t="str">
        <f t="shared" si="573"/>
        <v/>
      </c>
      <c r="N7353" s="7" t="str">
        <f t="shared" si="577"/>
        <v/>
      </c>
      <c r="O7353" s="8"/>
      <c r="P7353" s="26"/>
      <c r="S7353" s="10" t="str">
        <f t="shared" si="574"/>
        <v/>
      </c>
    </row>
    <row r="7354" spans="5:19" x14ac:dyDescent="0.3">
      <c r="E7354" s="9" t="str">
        <f>IF(DADOS!C7354="","",DADOS!C7354)</f>
        <v/>
      </c>
      <c r="F7354" s="9" t="str">
        <f>IF(DADOS!E7354="","",DADOS!E7354)</f>
        <v/>
      </c>
      <c r="G7354" s="9" t="str">
        <f>IF(DADOS!F7354="","",DADOS!F7354)</f>
        <v/>
      </c>
      <c r="K7354" s="6" t="str">
        <f t="shared" si="575"/>
        <v/>
      </c>
      <c r="L7354" s="7" t="str">
        <f t="shared" si="576"/>
        <v/>
      </c>
      <c r="M7354" s="7" t="str">
        <f t="shared" si="573"/>
        <v/>
      </c>
      <c r="N7354" s="7" t="str">
        <f t="shared" si="577"/>
        <v/>
      </c>
      <c r="O7354" s="8"/>
      <c r="P7354" s="26"/>
      <c r="S7354" s="10" t="str">
        <f t="shared" si="574"/>
        <v/>
      </c>
    </row>
    <row r="7355" spans="5:19" x14ac:dyDescent="0.3">
      <c r="E7355" s="9" t="str">
        <f>IF(DADOS!C7355="","",DADOS!C7355)</f>
        <v/>
      </c>
      <c r="F7355" s="9" t="str">
        <f>IF(DADOS!E7355="","",DADOS!E7355)</f>
        <v/>
      </c>
      <c r="G7355" s="9" t="str">
        <f>IF(DADOS!F7355="","",DADOS!F7355)</f>
        <v/>
      </c>
      <c r="K7355" s="6" t="str">
        <f t="shared" si="575"/>
        <v/>
      </c>
      <c r="L7355" s="7" t="str">
        <f t="shared" si="576"/>
        <v/>
      </c>
      <c r="M7355" s="7" t="str">
        <f t="shared" si="573"/>
        <v/>
      </c>
      <c r="N7355" s="7" t="str">
        <f t="shared" si="577"/>
        <v/>
      </c>
      <c r="O7355" s="8"/>
      <c r="P7355" s="26"/>
      <c r="S7355" s="10" t="str">
        <f t="shared" si="574"/>
        <v/>
      </c>
    </row>
    <row r="7356" spans="5:19" x14ac:dyDescent="0.3">
      <c r="E7356" s="9" t="str">
        <f>IF(DADOS!C7356="","",DADOS!C7356)</f>
        <v/>
      </c>
      <c r="F7356" s="9" t="str">
        <f>IF(DADOS!E7356="","",DADOS!E7356)</f>
        <v/>
      </c>
      <c r="G7356" s="9" t="str">
        <f>IF(DADOS!F7356="","",DADOS!F7356)</f>
        <v/>
      </c>
      <c r="K7356" s="6" t="str">
        <f t="shared" si="575"/>
        <v/>
      </c>
      <c r="L7356" s="7" t="str">
        <f t="shared" si="576"/>
        <v/>
      </c>
      <c r="M7356" s="7" t="str">
        <f t="shared" si="573"/>
        <v/>
      </c>
      <c r="N7356" s="7" t="str">
        <f t="shared" si="577"/>
        <v/>
      </c>
      <c r="O7356" s="8"/>
      <c r="P7356" s="26"/>
      <c r="S7356" s="10" t="str">
        <f t="shared" si="574"/>
        <v/>
      </c>
    </row>
    <row r="7357" spans="5:19" x14ac:dyDescent="0.3">
      <c r="E7357" s="9" t="str">
        <f>IF(DADOS!C7357="","",DADOS!C7357)</f>
        <v/>
      </c>
      <c r="F7357" s="9" t="str">
        <f>IF(DADOS!E7357="","",DADOS!E7357)</f>
        <v/>
      </c>
      <c r="G7357" s="9" t="str">
        <f>IF(DADOS!F7357="","",DADOS!F7357)</f>
        <v/>
      </c>
      <c r="K7357" s="6" t="str">
        <f t="shared" si="575"/>
        <v/>
      </c>
      <c r="L7357" s="7" t="str">
        <f t="shared" si="576"/>
        <v/>
      </c>
      <c r="M7357" s="7" t="str">
        <f t="shared" si="573"/>
        <v/>
      </c>
      <c r="N7357" s="7" t="str">
        <f t="shared" si="577"/>
        <v/>
      </c>
      <c r="O7357" s="8"/>
      <c r="P7357" s="26"/>
      <c r="S7357" s="10" t="str">
        <f t="shared" si="574"/>
        <v/>
      </c>
    </row>
    <row r="7358" spans="5:19" x14ac:dyDescent="0.3">
      <c r="E7358" s="9" t="str">
        <f>IF(DADOS!C7358="","",DADOS!C7358)</f>
        <v/>
      </c>
      <c r="F7358" s="9" t="str">
        <f>IF(DADOS!E7358="","",DADOS!E7358)</f>
        <v/>
      </c>
      <c r="G7358" s="9" t="str">
        <f>IF(DADOS!F7358="","",DADOS!F7358)</f>
        <v/>
      </c>
      <c r="K7358" s="6" t="str">
        <f t="shared" si="575"/>
        <v/>
      </c>
      <c r="L7358" s="7" t="str">
        <f t="shared" si="576"/>
        <v/>
      </c>
      <c r="M7358" s="7" t="str">
        <f t="shared" si="573"/>
        <v/>
      </c>
      <c r="N7358" s="7" t="str">
        <f t="shared" si="577"/>
        <v/>
      </c>
      <c r="O7358" s="8"/>
      <c r="P7358" s="26"/>
      <c r="S7358" s="10" t="str">
        <f t="shared" si="574"/>
        <v/>
      </c>
    </row>
    <row r="7359" spans="5:19" x14ac:dyDescent="0.3">
      <c r="E7359" s="9" t="str">
        <f>IF(DADOS!C7359="","",DADOS!C7359)</f>
        <v/>
      </c>
      <c r="F7359" s="9" t="str">
        <f>IF(DADOS!E7359="","",DADOS!E7359)</f>
        <v/>
      </c>
      <c r="G7359" s="9" t="str">
        <f>IF(DADOS!F7359="","",DADOS!F7359)</f>
        <v/>
      </c>
      <c r="K7359" s="6" t="str">
        <f t="shared" si="575"/>
        <v/>
      </c>
      <c r="L7359" s="7" t="str">
        <f t="shared" si="576"/>
        <v/>
      </c>
      <c r="M7359" s="7" t="str">
        <f t="shared" si="573"/>
        <v/>
      </c>
      <c r="N7359" s="7" t="str">
        <f t="shared" si="577"/>
        <v/>
      </c>
      <c r="O7359" s="8"/>
      <c r="P7359" s="26"/>
      <c r="S7359" s="10" t="str">
        <f t="shared" si="574"/>
        <v/>
      </c>
    </row>
    <row r="7360" spans="5:19" x14ac:dyDescent="0.3">
      <c r="E7360" s="9" t="str">
        <f>IF(DADOS!C7360="","",DADOS!C7360)</f>
        <v/>
      </c>
      <c r="F7360" s="9" t="str">
        <f>IF(DADOS!E7360="","",DADOS!E7360)</f>
        <v/>
      </c>
      <c r="G7360" s="9" t="str">
        <f>IF(DADOS!F7360="","",DADOS!F7360)</f>
        <v/>
      </c>
      <c r="K7360" s="6" t="str">
        <f t="shared" si="575"/>
        <v/>
      </c>
      <c r="L7360" s="7" t="str">
        <f t="shared" si="576"/>
        <v/>
      </c>
      <c r="M7360" s="7" t="str">
        <f t="shared" si="573"/>
        <v/>
      </c>
      <c r="N7360" s="7" t="str">
        <f t="shared" si="577"/>
        <v/>
      </c>
      <c r="O7360" s="8"/>
      <c r="P7360" s="26"/>
      <c r="S7360" s="10" t="str">
        <f t="shared" si="574"/>
        <v/>
      </c>
    </row>
    <row r="7361" spans="5:19" x14ac:dyDescent="0.3">
      <c r="E7361" s="9" t="str">
        <f>IF(DADOS!C7361="","",DADOS!C7361)</f>
        <v/>
      </c>
      <c r="F7361" s="9" t="str">
        <f>IF(DADOS!E7361="","",DADOS!E7361)</f>
        <v/>
      </c>
      <c r="G7361" s="9" t="str">
        <f>IF(DADOS!F7361="","",DADOS!F7361)</f>
        <v/>
      </c>
      <c r="K7361" s="6" t="str">
        <f t="shared" si="575"/>
        <v/>
      </c>
      <c r="L7361" s="7" t="str">
        <f t="shared" si="576"/>
        <v/>
      </c>
      <c r="M7361" s="7" t="str">
        <f t="shared" si="573"/>
        <v/>
      </c>
      <c r="N7361" s="7" t="str">
        <f t="shared" si="577"/>
        <v/>
      </c>
      <c r="O7361" s="8"/>
      <c r="P7361" s="26"/>
      <c r="S7361" s="10" t="str">
        <f t="shared" si="574"/>
        <v/>
      </c>
    </row>
    <row r="7362" spans="5:19" x14ac:dyDescent="0.3">
      <c r="E7362" s="9" t="str">
        <f>IF(DADOS!C7362="","",DADOS!C7362)</f>
        <v/>
      </c>
      <c r="F7362" s="9" t="str">
        <f>IF(DADOS!E7362="","",DADOS!E7362)</f>
        <v/>
      </c>
      <c r="G7362" s="9" t="str">
        <f>IF(DADOS!F7362="","",DADOS!F7362)</f>
        <v/>
      </c>
      <c r="K7362" s="6" t="str">
        <f t="shared" si="575"/>
        <v/>
      </c>
      <c r="L7362" s="7" t="str">
        <f t="shared" si="576"/>
        <v/>
      </c>
      <c r="M7362" s="7" t="str">
        <f t="shared" si="573"/>
        <v/>
      </c>
      <c r="N7362" s="7" t="str">
        <f t="shared" si="577"/>
        <v/>
      </c>
      <c r="O7362" s="8"/>
      <c r="P7362" s="26"/>
      <c r="S7362" s="10" t="str">
        <f t="shared" si="574"/>
        <v/>
      </c>
    </row>
    <row r="7363" spans="5:19" x14ac:dyDescent="0.3">
      <c r="E7363" s="9" t="str">
        <f>IF(DADOS!C7363="","",DADOS!C7363)</f>
        <v/>
      </c>
      <c r="F7363" s="9" t="str">
        <f>IF(DADOS!E7363="","",DADOS!E7363)</f>
        <v/>
      </c>
      <c r="G7363" s="9" t="str">
        <f>IF(DADOS!F7363="","",DADOS!F7363)</f>
        <v/>
      </c>
      <c r="K7363" s="6" t="str">
        <f t="shared" si="575"/>
        <v/>
      </c>
      <c r="L7363" s="7" t="str">
        <f t="shared" si="576"/>
        <v/>
      </c>
      <c r="M7363" s="7" t="str">
        <f t="shared" ref="M7363:M7426" si="578">IF(L7363="","",L7363*G7363)</f>
        <v/>
      </c>
      <c r="N7363" s="7" t="str">
        <f t="shared" si="577"/>
        <v/>
      </c>
      <c r="O7363" s="8"/>
      <c r="P7363" s="26"/>
      <c r="S7363" s="10" t="str">
        <f t="shared" ref="S7363:S7426" si="579">IF(R7363="","",SUMIFS($N$3:$N$10000,$E$3:$E$10000,R7363))</f>
        <v/>
      </c>
    </row>
    <row r="7364" spans="5:19" x14ac:dyDescent="0.3">
      <c r="E7364" s="9" t="str">
        <f>IF(DADOS!C7364="","",DADOS!C7364)</f>
        <v/>
      </c>
      <c r="F7364" s="9" t="str">
        <f>IF(DADOS!E7364="","",DADOS!E7364)</f>
        <v/>
      </c>
      <c r="G7364" s="9" t="str">
        <f>IF(DADOS!F7364="","",DADOS!F7364)</f>
        <v/>
      </c>
      <c r="K7364" s="6" t="str">
        <f t="shared" ref="K7364:K7427" si="580">IF(F7364="","",F7364/PI())</f>
        <v/>
      </c>
      <c r="L7364" s="7" t="str">
        <f t="shared" ref="L7364:L7427" si="581">IF(K7364="","",(PI()*K7364^2)/40000)</f>
        <v/>
      </c>
      <c r="M7364" s="7" t="str">
        <f t="shared" si="578"/>
        <v/>
      </c>
      <c r="N7364" s="7" t="str">
        <f t="shared" ref="N7364:N7427" si="582">IF(M7364="","",M7364*N$1)</f>
        <v/>
      </c>
      <c r="O7364" s="8"/>
      <c r="P7364" s="26"/>
      <c r="S7364" s="10" t="str">
        <f t="shared" si="579"/>
        <v/>
      </c>
    </row>
    <row r="7365" spans="5:19" x14ac:dyDescent="0.3">
      <c r="E7365" s="9" t="str">
        <f>IF(DADOS!C7365="","",DADOS!C7365)</f>
        <v/>
      </c>
      <c r="F7365" s="9" t="str">
        <f>IF(DADOS!E7365="","",DADOS!E7365)</f>
        <v/>
      </c>
      <c r="G7365" s="9" t="str">
        <f>IF(DADOS!F7365="","",DADOS!F7365)</f>
        <v/>
      </c>
      <c r="K7365" s="6" t="str">
        <f t="shared" si="580"/>
        <v/>
      </c>
      <c r="L7365" s="7" t="str">
        <f t="shared" si="581"/>
        <v/>
      </c>
      <c r="M7365" s="7" t="str">
        <f t="shared" si="578"/>
        <v/>
      </c>
      <c r="N7365" s="7" t="str">
        <f t="shared" si="582"/>
        <v/>
      </c>
      <c r="O7365" s="8"/>
      <c r="P7365" s="26"/>
      <c r="S7365" s="10" t="str">
        <f t="shared" si="579"/>
        <v/>
      </c>
    </row>
    <row r="7366" spans="5:19" x14ac:dyDescent="0.3">
      <c r="E7366" s="9" t="str">
        <f>IF(DADOS!C7366="","",DADOS!C7366)</f>
        <v/>
      </c>
      <c r="F7366" s="9" t="str">
        <f>IF(DADOS!E7366="","",DADOS!E7366)</f>
        <v/>
      </c>
      <c r="G7366" s="9" t="str">
        <f>IF(DADOS!F7366="","",DADOS!F7366)</f>
        <v/>
      </c>
      <c r="K7366" s="6" t="str">
        <f t="shared" si="580"/>
        <v/>
      </c>
      <c r="L7366" s="7" t="str">
        <f t="shared" si="581"/>
        <v/>
      </c>
      <c r="M7366" s="7" t="str">
        <f t="shared" si="578"/>
        <v/>
      </c>
      <c r="N7366" s="7" t="str">
        <f t="shared" si="582"/>
        <v/>
      </c>
      <c r="O7366" s="8"/>
      <c r="P7366" s="26"/>
      <c r="S7366" s="10" t="str">
        <f t="shared" si="579"/>
        <v/>
      </c>
    </row>
    <row r="7367" spans="5:19" x14ac:dyDescent="0.3">
      <c r="E7367" s="9" t="str">
        <f>IF(DADOS!C7367="","",DADOS!C7367)</f>
        <v/>
      </c>
      <c r="F7367" s="9" t="str">
        <f>IF(DADOS!E7367="","",DADOS!E7367)</f>
        <v/>
      </c>
      <c r="G7367" s="9" t="str">
        <f>IF(DADOS!F7367="","",DADOS!F7367)</f>
        <v/>
      </c>
      <c r="K7367" s="6" t="str">
        <f t="shared" si="580"/>
        <v/>
      </c>
      <c r="L7367" s="7" t="str">
        <f t="shared" si="581"/>
        <v/>
      </c>
      <c r="M7367" s="7" t="str">
        <f t="shared" si="578"/>
        <v/>
      </c>
      <c r="N7367" s="7" t="str">
        <f t="shared" si="582"/>
        <v/>
      </c>
      <c r="O7367" s="8"/>
      <c r="P7367" s="26"/>
      <c r="S7367" s="10" t="str">
        <f t="shared" si="579"/>
        <v/>
      </c>
    </row>
    <row r="7368" spans="5:19" x14ac:dyDescent="0.3">
      <c r="E7368" s="9" t="str">
        <f>IF(DADOS!C7368="","",DADOS!C7368)</f>
        <v/>
      </c>
      <c r="F7368" s="9" t="str">
        <f>IF(DADOS!E7368="","",DADOS!E7368)</f>
        <v/>
      </c>
      <c r="G7368" s="9" t="str">
        <f>IF(DADOS!F7368="","",DADOS!F7368)</f>
        <v/>
      </c>
      <c r="K7368" s="6" t="str">
        <f t="shared" si="580"/>
        <v/>
      </c>
      <c r="L7368" s="7" t="str">
        <f t="shared" si="581"/>
        <v/>
      </c>
      <c r="M7368" s="7" t="str">
        <f t="shared" si="578"/>
        <v/>
      </c>
      <c r="N7368" s="7" t="str">
        <f t="shared" si="582"/>
        <v/>
      </c>
      <c r="O7368" s="8"/>
      <c r="P7368" s="26"/>
      <c r="S7368" s="10" t="str">
        <f t="shared" si="579"/>
        <v/>
      </c>
    </row>
    <row r="7369" spans="5:19" x14ac:dyDescent="0.3">
      <c r="E7369" s="9" t="str">
        <f>IF(DADOS!C7369="","",DADOS!C7369)</f>
        <v/>
      </c>
      <c r="F7369" s="9" t="str">
        <f>IF(DADOS!E7369="","",DADOS!E7369)</f>
        <v/>
      </c>
      <c r="G7369" s="9" t="str">
        <f>IF(DADOS!F7369="","",DADOS!F7369)</f>
        <v/>
      </c>
      <c r="K7369" s="6" t="str">
        <f t="shared" si="580"/>
        <v/>
      </c>
      <c r="L7369" s="7" t="str">
        <f t="shared" si="581"/>
        <v/>
      </c>
      <c r="M7369" s="7" t="str">
        <f t="shared" si="578"/>
        <v/>
      </c>
      <c r="N7369" s="7" t="str">
        <f t="shared" si="582"/>
        <v/>
      </c>
      <c r="O7369" s="8"/>
      <c r="P7369" s="26"/>
      <c r="S7369" s="10" t="str">
        <f t="shared" si="579"/>
        <v/>
      </c>
    </row>
    <row r="7370" spans="5:19" x14ac:dyDescent="0.3">
      <c r="E7370" s="9" t="str">
        <f>IF(DADOS!C7370="","",DADOS!C7370)</f>
        <v/>
      </c>
      <c r="F7370" s="9" t="str">
        <f>IF(DADOS!E7370="","",DADOS!E7370)</f>
        <v/>
      </c>
      <c r="G7370" s="9" t="str">
        <f>IF(DADOS!F7370="","",DADOS!F7370)</f>
        <v/>
      </c>
      <c r="K7370" s="6" t="str">
        <f t="shared" si="580"/>
        <v/>
      </c>
      <c r="L7370" s="7" t="str">
        <f t="shared" si="581"/>
        <v/>
      </c>
      <c r="M7370" s="7" t="str">
        <f t="shared" si="578"/>
        <v/>
      </c>
      <c r="N7370" s="7" t="str">
        <f t="shared" si="582"/>
        <v/>
      </c>
      <c r="O7370" s="8"/>
      <c r="P7370" s="26"/>
      <c r="S7370" s="10" t="str">
        <f t="shared" si="579"/>
        <v/>
      </c>
    </row>
    <row r="7371" spans="5:19" x14ac:dyDescent="0.3">
      <c r="E7371" s="9" t="str">
        <f>IF(DADOS!C7371="","",DADOS!C7371)</f>
        <v/>
      </c>
      <c r="F7371" s="9" t="str">
        <f>IF(DADOS!E7371="","",DADOS!E7371)</f>
        <v/>
      </c>
      <c r="G7371" s="9" t="str">
        <f>IF(DADOS!F7371="","",DADOS!F7371)</f>
        <v/>
      </c>
      <c r="K7371" s="6" t="str">
        <f t="shared" si="580"/>
        <v/>
      </c>
      <c r="L7371" s="7" t="str">
        <f t="shared" si="581"/>
        <v/>
      </c>
      <c r="M7371" s="7" t="str">
        <f t="shared" si="578"/>
        <v/>
      </c>
      <c r="N7371" s="7" t="str">
        <f t="shared" si="582"/>
        <v/>
      </c>
      <c r="O7371" s="8"/>
      <c r="P7371" s="26"/>
      <c r="S7371" s="10" t="str">
        <f t="shared" si="579"/>
        <v/>
      </c>
    </row>
    <row r="7372" spans="5:19" x14ac:dyDescent="0.3">
      <c r="E7372" s="9" t="str">
        <f>IF(DADOS!C7372="","",DADOS!C7372)</f>
        <v/>
      </c>
      <c r="F7372" s="9" t="str">
        <f>IF(DADOS!E7372="","",DADOS!E7372)</f>
        <v/>
      </c>
      <c r="G7372" s="9" t="str">
        <f>IF(DADOS!F7372="","",DADOS!F7372)</f>
        <v/>
      </c>
      <c r="K7372" s="6" t="str">
        <f t="shared" si="580"/>
        <v/>
      </c>
      <c r="L7372" s="7" t="str">
        <f t="shared" si="581"/>
        <v/>
      </c>
      <c r="M7372" s="7" t="str">
        <f t="shared" si="578"/>
        <v/>
      </c>
      <c r="N7372" s="7" t="str">
        <f t="shared" si="582"/>
        <v/>
      </c>
      <c r="O7372" s="8"/>
      <c r="P7372" s="26"/>
      <c r="S7372" s="10" t="str">
        <f t="shared" si="579"/>
        <v/>
      </c>
    </row>
    <row r="7373" spans="5:19" x14ac:dyDescent="0.3">
      <c r="E7373" s="9" t="str">
        <f>IF(DADOS!C7373="","",DADOS!C7373)</f>
        <v/>
      </c>
      <c r="F7373" s="9" t="str">
        <f>IF(DADOS!E7373="","",DADOS!E7373)</f>
        <v/>
      </c>
      <c r="G7373" s="9" t="str">
        <f>IF(DADOS!F7373="","",DADOS!F7373)</f>
        <v/>
      </c>
      <c r="K7373" s="6" t="str">
        <f t="shared" si="580"/>
        <v/>
      </c>
      <c r="L7373" s="7" t="str">
        <f t="shared" si="581"/>
        <v/>
      </c>
      <c r="M7373" s="7" t="str">
        <f t="shared" si="578"/>
        <v/>
      </c>
      <c r="N7373" s="7" t="str">
        <f t="shared" si="582"/>
        <v/>
      </c>
      <c r="O7373" s="8"/>
      <c r="P7373" s="26"/>
      <c r="S7373" s="10" t="str">
        <f t="shared" si="579"/>
        <v/>
      </c>
    </row>
    <row r="7374" spans="5:19" x14ac:dyDescent="0.3">
      <c r="E7374" s="9" t="str">
        <f>IF(DADOS!C7374="","",DADOS!C7374)</f>
        <v/>
      </c>
      <c r="F7374" s="9" t="str">
        <f>IF(DADOS!E7374="","",DADOS!E7374)</f>
        <v/>
      </c>
      <c r="G7374" s="9" t="str">
        <f>IF(DADOS!F7374="","",DADOS!F7374)</f>
        <v/>
      </c>
      <c r="K7374" s="6" t="str">
        <f t="shared" si="580"/>
        <v/>
      </c>
      <c r="L7374" s="7" t="str">
        <f t="shared" si="581"/>
        <v/>
      </c>
      <c r="M7374" s="7" t="str">
        <f t="shared" si="578"/>
        <v/>
      </c>
      <c r="N7374" s="7" t="str">
        <f t="shared" si="582"/>
        <v/>
      </c>
      <c r="O7374" s="8"/>
      <c r="P7374" s="26"/>
      <c r="S7374" s="10" t="str">
        <f t="shared" si="579"/>
        <v/>
      </c>
    </row>
    <row r="7375" spans="5:19" x14ac:dyDescent="0.3">
      <c r="E7375" s="9" t="str">
        <f>IF(DADOS!C7375="","",DADOS!C7375)</f>
        <v/>
      </c>
      <c r="F7375" s="9" t="str">
        <f>IF(DADOS!E7375="","",DADOS!E7375)</f>
        <v/>
      </c>
      <c r="G7375" s="9" t="str">
        <f>IF(DADOS!F7375="","",DADOS!F7375)</f>
        <v/>
      </c>
      <c r="K7375" s="6" t="str">
        <f t="shared" si="580"/>
        <v/>
      </c>
      <c r="L7375" s="7" t="str">
        <f t="shared" si="581"/>
        <v/>
      </c>
      <c r="M7375" s="7" t="str">
        <f t="shared" si="578"/>
        <v/>
      </c>
      <c r="N7375" s="7" t="str">
        <f t="shared" si="582"/>
        <v/>
      </c>
      <c r="O7375" s="8"/>
      <c r="P7375" s="26"/>
      <c r="S7375" s="10" t="str">
        <f t="shared" si="579"/>
        <v/>
      </c>
    </row>
    <row r="7376" spans="5:19" x14ac:dyDescent="0.3">
      <c r="E7376" s="9" t="str">
        <f>IF(DADOS!C7376="","",DADOS!C7376)</f>
        <v/>
      </c>
      <c r="F7376" s="9" t="str">
        <f>IF(DADOS!E7376="","",DADOS!E7376)</f>
        <v/>
      </c>
      <c r="G7376" s="9" t="str">
        <f>IF(DADOS!F7376="","",DADOS!F7376)</f>
        <v/>
      </c>
      <c r="K7376" s="6" t="str">
        <f t="shared" si="580"/>
        <v/>
      </c>
      <c r="L7376" s="7" t="str">
        <f t="shared" si="581"/>
        <v/>
      </c>
      <c r="M7376" s="7" t="str">
        <f t="shared" si="578"/>
        <v/>
      </c>
      <c r="N7376" s="7" t="str">
        <f t="shared" si="582"/>
        <v/>
      </c>
      <c r="O7376" s="8"/>
      <c r="P7376" s="26"/>
      <c r="S7376" s="10" t="str">
        <f t="shared" si="579"/>
        <v/>
      </c>
    </row>
    <row r="7377" spans="5:19" x14ac:dyDescent="0.3">
      <c r="E7377" s="9" t="str">
        <f>IF(DADOS!C7377="","",DADOS!C7377)</f>
        <v/>
      </c>
      <c r="F7377" s="9" t="str">
        <f>IF(DADOS!E7377="","",DADOS!E7377)</f>
        <v/>
      </c>
      <c r="G7377" s="9" t="str">
        <f>IF(DADOS!F7377="","",DADOS!F7377)</f>
        <v/>
      </c>
      <c r="K7377" s="6" t="str">
        <f t="shared" si="580"/>
        <v/>
      </c>
      <c r="L7377" s="7" t="str">
        <f t="shared" si="581"/>
        <v/>
      </c>
      <c r="M7377" s="7" t="str">
        <f t="shared" si="578"/>
        <v/>
      </c>
      <c r="N7377" s="7" t="str">
        <f t="shared" si="582"/>
        <v/>
      </c>
      <c r="O7377" s="8"/>
      <c r="P7377" s="26"/>
      <c r="S7377" s="10" t="str">
        <f t="shared" si="579"/>
        <v/>
      </c>
    </row>
    <row r="7378" spans="5:19" x14ac:dyDescent="0.3">
      <c r="E7378" s="9" t="str">
        <f>IF(DADOS!C7378="","",DADOS!C7378)</f>
        <v/>
      </c>
      <c r="F7378" s="9" t="str">
        <f>IF(DADOS!E7378="","",DADOS!E7378)</f>
        <v/>
      </c>
      <c r="G7378" s="9" t="str">
        <f>IF(DADOS!F7378="","",DADOS!F7378)</f>
        <v/>
      </c>
      <c r="K7378" s="6" t="str">
        <f t="shared" si="580"/>
        <v/>
      </c>
      <c r="L7378" s="7" t="str">
        <f t="shared" si="581"/>
        <v/>
      </c>
      <c r="M7378" s="7" t="str">
        <f t="shared" si="578"/>
        <v/>
      </c>
      <c r="N7378" s="7" t="str">
        <f t="shared" si="582"/>
        <v/>
      </c>
      <c r="O7378" s="8"/>
      <c r="P7378" s="26"/>
      <c r="S7378" s="10" t="str">
        <f t="shared" si="579"/>
        <v/>
      </c>
    </row>
    <row r="7379" spans="5:19" x14ac:dyDescent="0.3">
      <c r="E7379" s="9" t="str">
        <f>IF(DADOS!C7379="","",DADOS!C7379)</f>
        <v/>
      </c>
      <c r="F7379" s="9" t="str">
        <f>IF(DADOS!E7379="","",DADOS!E7379)</f>
        <v/>
      </c>
      <c r="G7379" s="9" t="str">
        <f>IF(DADOS!F7379="","",DADOS!F7379)</f>
        <v/>
      </c>
      <c r="K7379" s="6" t="str">
        <f t="shared" si="580"/>
        <v/>
      </c>
      <c r="L7379" s="7" t="str">
        <f t="shared" si="581"/>
        <v/>
      </c>
      <c r="M7379" s="7" t="str">
        <f t="shared" si="578"/>
        <v/>
      </c>
      <c r="N7379" s="7" t="str">
        <f t="shared" si="582"/>
        <v/>
      </c>
      <c r="O7379" s="8"/>
      <c r="P7379" s="26"/>
      <c r="S7379" s="10" t="str">
        <f t="shared" si="579"/>
        <v/>
      </c>
    </row>
    <row r="7380" spans="5:19" x14ac:dyDescent="0.3">
      <c r="E7380" s="9" t="str">
        <f>IF(DADOS!C7380="","",DADOS!C7380)</f>
        <v/>
      </c>
      <c r="F7380" s="9" t="str">
        <f>IF(DADOS!E7380="","",DADOS!E7380)</f>
        <v/>
      </c>
      <c r="G7380" s="9" t="str">
        <f>IF(DADOS!F7380="","",DADOS!F7380)</f>
        <v/>
      </c>
      <c r="K7380" s="6" t="str">
        <f t="shared" si="580"/>
        <v/>
      </c>
      <c r="L7380" s="7" t="str">
        <f t="shared" si="581"/>
        <v/>
      </c>
      <c r="M7380" s="7" t="str">
        <f t="shared" si="578"/>
        <v/>
      </c>
      <c r="N7380" s="7" t="str">
        <f t="shared" si="582"/>
        <v/>
      </c>
      <c r="O7380" s="8"/>
      <c r="P7380" s="26"/>
      <c r="S7380" s="10" t="str">
        <f t="shared" si="579"/>
        <v/>
      </c>
    </row>
    <row r="7381" spans="5:19" x14ac:dyDescent="0.3">
      <c r="E7381" s="9" t="str">
        <f>IF(DADOS!C7381="","",DADOS!C7381)</f>
        <v/>
      </c>
      <c r="F7381" s="9" t="str">
        <f>IF(DADOS!E7381="","",DADOS!E7381)</f>
        <v/>
      </c>
      <c r="G7381" s="9" t="str">
        <f>IF(DADOS!F7381="","",DADOS!F7381)</f>
        <v/>
      </c>
      <c r="K7381" s="6" t="str">
        <f t="shared" si="580"/>
        <v/>
      </c>
      <c r="L7381" s="7" t="str">
        <f t="shared" si="581"/>
        <v/>
      </c>
      <c r="M7381" s="7" t="str">
        <f t="shared" si="578"/>
        <v/>
      </c>
      <c r="N7381" s="7" t="str">
        <f t="shared" si="582"/>
        <v/>
      </c>
      <c r="O7381" s="8"/>
      <c r="P7381" s="26"/>
      <c r="S7381" s="10" t="str">
        <f t="shared" si="579"/>
        <v/>
      </c>
    </row>
    <row r="7382" spans="5:19" x14ac:dyDescent="0.3">
      <c r="E7382" s="9" t="str">
        <f>IF(DADOS!C7382="","",DADOS!C7382)</f>
        <v/>
      </c>
      <c r="F7382" s="9" t="str">
        <f>IF(DADOS!E7382="","",DADOS!E7382)</f>
        <v/>
      </c>
      <c r="G7382" s="9" t="str">
        <f>IF(DADOS!F7382="","",DADOS!F7382)</f>
        <v/>
      </c>
      <c r="K7382" s="6" t="str">
        <f t="shared" si="580"/>
        <v/>
      </c>
      <c r="L7382" s="7" t="str">
        <f t="shared" si="581"/>
        <v/>
      </c>
      <c r="M7382" s="7" t="str">
        <f t="shared" si="578"/>
        <v/>
      </c>
      <c r="N7382" s="7" t="str">
        <f t="shared" si="582"/>
        <v/>
      </c>
      <c r="O7382" s="8"/>
      <c r="P7382" s="26"/>
      <c r="S7382" s="10" t="str">
        <f t="shared" si="579"/>
        <v/>
      </c>
    </row>
    <row r="7383" spans="5:19" x14ac:dyDescent="0.3">
      <c r="E7383" s="9" t="str">
        <f>IF(DADOS!C7383="","",DADOS!C7383)</f>
        <v/>
      </c>
      <c r="F7383" s="9" t="str">
        <f>IF(DADOS!E7383="","",DADOS!E7383)</f>
        <v/>
      </c>
      <c r="G7383" s="9" t="str">
        <f>IF(DADOS!F7383="","",DADOS!F7383)</f>
        <v/>
      </c>
      <c r="K7383" s="6" t="str">
        <f t="shared" si="580"/>
        <v/>
      </c>
      <c r="L7383" s="7" t="str">
        <f t="shared" si="581"/>
        <v/>
      </c>
      <c r="M7383" s="7" t="str">
        <f t="shared" si="578"/>
        <v/>
      </c>
      <c r="N7383" s="7" t="str">
        <f t="shared" si="582"/>
        <v/>
      </c>
      <c r="O7383" s="8"/>
      <c r="P7383" s="26"/>
      <c r="S7383" s="10" t="str">
        <f t="shared" si="579"/>
        <v/>
      </c>
    </row>
    <row r="7384" spans="5:19" x14ac:dyDescent="0.3">
      <c r="E7384" s="9" t="str">
        <f>IF(DADOS!C7384="","",DADOS!C7384)</f>
        <v/>
      </c>
      <c r="F7384" s="9" t="str">
        <f>IF(DADOS!E7384="","",DADOS!E7384)</f>
        <v/>
      </c>
      <c r="G7384" s="9" t="str">
        <f>IF(DADOS!F7384="","",DADOS!F7384)</f>
        <v/>
      </c>
      <c r="K7384" s="6" t="str">
        <f t="shared" si="580"/>
        <v/>
      </c>
      <c r="L7384" s="7" t="str">
        <f t="shared" si="581"/>
        <v/>
      </c>
      <c r="M7384" s="7" t="str">
        <f t="shared" si="578"/>
        <v/>
      </c>
      <c r="N7384" s="7" t="str">
        <f t="shared" si="582"/>
        <v/>
      </c>
      <c r="O7384" s="8"/>
      <c r="P7384" s="26"/>
      <c r="S7384" s="10" t="str">
        <f t="shared" si="579"/>
        <v/>
      </c>
    </row>
    <row r="7385" spans="5:19" x14ac:dyDescent="0.3">
      <c r="E7385" s="9" t="str">
        <f>IF(DADOS!C7385="","",DADOS!C7385)</f>
        <v/>
      </c>
      <c r="F7385" s="9" t="str">
        <f>IF(DADOS!E7385="","",DADOS!E7385)</f>
        <v/>
      </c>
      <c r="G7385" s="9" t="str">
        <f>IF(DADOS!F7385="","",DADOS!F7385)</f>
        <v/>
      </c>
      <c r="K7385" s="6" t="str">
        <f t="shared" si="580"/>
        <v/>
      </c>
      <c r="L7385" s="7" t="str">
        <f t="shared" si="581"/>
        <v/>
      </c>
      <c r="M7385" s="7" t="str">
        <f t="shared" si="578"/>
        <v/>
      </c>
      <c r="N7385" s="7" t="str">
        <f t="shared" si="582"/>
        <v/>
      </c>
      <c r="O7385" s="8"/>
      <c r="P7385" s="26"/>
      <c r="S7385" s="10" t="str">
        <f t="shared" si="579"/>
        <v/>
      </c>
    </row>
    <row r="7386" spans="5:19" x14ac:dyDescent="0.3">
      <c r="E7386" s="9" t="str">
        <f>IF(DADOS!C7386="","",DADOS!C7386)</f>
        <v/>
      </c>
      <c r="F7386" s="9" t="str">
        <f>IF(DADOS!E7386="","",DADOS!E7386)</f>
        <v/>
      </c>
      <c r="G7386" s="9" t="str">
        <f>IF(DADOS!F7386="","",DADOS!F7386)</f>
        <v/>
      </c>
      <c r="K7386" s="6" t="str">
        <f t="shared" si="580"/>
        <v/>
      </c>
      <c r="L7386" s="7" t="str">
        <f t="shared" si="581"/>
        <v/>
      </c>
      <c r="M7386" s="7" t="str">
        <f t="shared" si="578"/>
        <v/>
      </c>
      <c r="N7386" s="7" t="str">
        <f t="shared" si="582"/>
        <v/>
      </c>
      <c r="O7386" s="8"/>
      <c r="P7386" s="26"/>
      <c r="S7386" s="10" t="str">
        <f t="shared" si="579"/>
        <v/>
      </c>
    </row>
    <row r="7387" spans="5:19" x14ac:dyDescent="0.3">
      <c r="E7387" s="9" t="str">
        <f>IF(DADOS!C7387="","",DADOS!C7387)</f>
        <v/>
      </c>
      <c r="F7387" s="9" t="str">
        <f>IF(DADOS!E7387="","",DADOS!E7387)</f>
        <v/>
      </c>
      <c r="G7387" s="9" t="str">
        <f>IF(DADOS!F7387="","",DADOS!F7387)</f>
        <v/>
      </c>
      <c r="K7387" s="6" t="str">
        <f t="shared" si="580"/>
        <v/>
      </c>
      <c r="L7387" s="7" t="str">
        <f t="shared" si="581"/>
        <v/>
      </c>
      <c r="M7387" s="7" t="str">
        <f t="shared" si="578"/>
        <v/>
      </c>
      <c r="N7387" s="7" t="str">
        <f t="shared" si="582"/>
        <v/>
      </c>
      <c r="O7387" s="8"/>
      <c r="P7387" s="26"/>
      <c r="S7387" s="10" t="str">
        <f t="shared" si="579"/>
        <v/>
      </c>
    </row>
    <row r="7388" spans="5:19" x14ac:dyDescent="0.3">
      <c r="E7388" s="9" t="str">
        <f>IF(DADOS!C7388="","",DADOS!C7388)</f>
        <v/>
      </c>
      <c r="F7388" s="9" t="str">
        <f>IF(DADOS!E7388="","",DADOS!E7388)</f>
        <v/>
      </c>
      <c r="G7388" s="9" t="str">
        <f>IF(DADOS!F7388="","",DADOS!F7388)</f>
        <v/>
      </c>
      <c r="K7388" s="6" t="str">
        <f t="shared" si="580"/>
        <v/>
      </c>
      <c r="L7388" s="7" t="str">
        <f t="shared" si="581"/>
        <v/>
      </c>
      <c r="M7388" s="7" t="str">
        <f t="shared" si="578"/>
        <v/>
      </c>
      <c r="N7388" s="7" t="str">
        <f t="shared" si="582"/>
        <v/>
      </c>
      <c r="O7388" s="8"/>
      <c r="P7388" s="26"/>
      <c r="S7388" s="10" t="str">
        <f t="shared" si="579"/>
        <v/>
      </c>
    </row>
    <row r="7389" spans="5:19" x14ac:dyDescent="0.3">
      <c r="E7389" s="9" t="str">
        <f>IF(DADOS!C7389="","",DADOS!C7389)</f>
        <v/>
      </c>
      <c r="F7389" s="9" t="str">
        <f>IF(DADOS!E7389="","",DADOS!E7389)</f>
        <v/>
      </c>
      <c r="G7389" s="9" t="str">
        <f>IF(DADOS!F7389="","",DADOS!F7389)</f>
        <v/>
      </c>
      <c r="K7389" s="6" t="str">
        <f t="shared" si="580"/>
        <v/>
      </c>
      <c r="L7389" s="7" t="str">
        <f t="shared" si="581"/>
        <v/>
      </c>
      <c r="M7389" s="7" t="str">
        <f t="shared" si="578"/>
        <v/>
      </c>
      <c r="N7389" s="7" t="str">
        <f t="shared" si="582"/>
        <v/>
      </c>
      <c r="O7389" s="8"/>
      <c r="P7389" s="26"/>
      <c r="S7389" s="10" t="str">
        <f t="shared" si="579"/>
        <v/>
      </c>
    </row>
    <row r="7390" spans="5:19" x14ac:dyDescent="0.3">
      <c r="E7390" s="9" t="str">
        <f>IF(DADOS!C7390="","",DADOS!C7390)</f>
        <v/>
      </c>
      <c r="F7390" s="9" t="str">
        <f>IF(DADOS!E7390="","",DADOS!E7390)</f>
        <v/>
      </c>
      <c r="G7390" s="9" t="str">
        <f>IF(DADOS!F7390="","",DADOS!F7390)</f>
        <v/>
      </c>
      <c r="K7390" s="6" t="str">
        <f t="shared" si="580"/>
        <v/>
      </c>
      <c r="L7390" s="7" t="str">
        <f t="shared" si="581"/>
        <v/>
      </c>
      <c r="M7390" s="7" t="str">
        <f t="shared" si="578"/>
        <v/>
      </c>
      <c r="N7390" s="7" t="str">
        <f t="shared" si="582"/>
        <v/>
      </c>
      <c r="O7390" s="8"/>
      <c r="P7390" s="26"/>
      <c r="S7390" s="10" t="str">
        <f t="shared" si="579"/>
        <v/>
      </c>
    </row>
    <row r="7391" spans="5:19" x14ac:dyDescent="0.3">
      <c r="E7391" s="9" t="str">
        <f>IF(DADOS!C7391="","",DADOS!C7391)</f>
        <v/>
      </c>
      <c r="F7391" s="9" t="str">
        <f>IF(DADOS!E7391="","",DADOS!E7391)</f>
        <v/>
      </c>
      <c r="G7391" s="9" t="str">
        <f>IF(DADOS!F7391="","",DADOS!F7391)</f>
        <v/>
      </c>
      <c r="K7391" s="6" t="str">
        <f t="shared" si="580"/>
        <v/>
      </c>
      <c r="L7391" s="7" t="str">
        <f t="shared" si="581"/>
        <v/>
      </c>
      <c r="M7391" s="7" t="str">
        <f t="shared" si="578"/>
        <v/>
      </c>
      <c r="N7391" s="7" t="str">
        <f t="shared" si="582"/>
        <v/>
      </c>
      <c r="O7391" s="8"/>
      <c r="P7391" s="26"/>
      <c r="S7391" s="10" t="str">
        <f t="shared" si="579"/>
        <v/>
      </c>
    </row>
    <row r="7392" spans="5:19" x14ac:dyDescent="0.3">
      <c r="E7392" s="9" t="str">
        <f>IF(DADOS!C7392="","",DADOS!C7392)</f>
        <v/>
      </c>
      <c r="F7392" s="9" t="str">
        <f>IF(DADOS!E7392="","",DADOS!E7392)</f>
        <v/>
      </c>
      <c r="G7392" s="9" t="str">
        <f>IF(DADOS!F7392="","",DADOS!F7392)</f>
        <v/>
      </c>
      <c r="K7392" s="6" t="str">
        <f t="shared" si="580"/>
        <v/>
      </c>
      <c r="L7392" s="7" t="str">
        <f t="shared" si="581"/>
        <v/>
      </c>
      <c r="M7392" s="7" t="str">
        <f t="shared" si="578"/>
        <v/>
      </c>
      <c r="N7392" s="7" t="str">
        <f t="shared" si="582"/>
        <v/>
      </c>
      <c r="O7392" s="8"/>
      <c r="P7392" s="26"/>
      <c r="S7392" s="10" t="str">
        <f t="shared" si="579"/>
        <v/>
      </c>
    </row>
    <row r="7393" spans="5:19" x14ac:dyDescent="0.3">
      <c r="E7393" s="9" t="str">
        <f>IF(DADOS!C7393="","",DADOS!C7393)</f>
        <v/>
      </c>
      <c r="F7393" s="9" t="str">
        <f>IF(DADOS!E7393="","",DADOS!E7393)</f>
        <v/>
      </c>
      <c r="G7393" s="9" t="str">
        <f>IF(DADOS!F7393="","",DADOS!F7393)</f>
        <v/>
      </c>
      <c r="K7393" s="6" t="str">
        <f t="shared" si="580"/>
        <v/>
      </c>
      <c r="L7393" s="7" t="str">
        <f t="shared" si="581"/>
        <v/>
      </c>
      <c r="M7393" s="7" t="str">
        <f t="shared" si="578"/>
        <v/>
      </c>
      <c r="N7393" s="7" t="str">
        <f t="shared" si="582"/>
        <v/>
      </c>
      <c r="O7393" s="8"/>
      <c r="P7393" s="26"/>
      <c r="S7393" s="10" t="str">
        <f t="shared" si="579"/>
        <v/>
      </c>
    </row>
    <row r="7394" spans="5:19" x14ac:dyDescent="0.3">
      <c r="E7394" s="9" t="str">
        <f>IF(DADOS!C7394="","",DADOS!C7394)</f>
        <v/>
      </c>
      <c r="F7394" s="9" t="str">
        <f>IF(DADOS!E7394="","",DADOS!E7394)</f>
        <v/>
      </c>
      <c r="G7394" s="9" t="str">
        <f>IF(DADOS!F7394="","",DADOS!F7394)</f>
        <v/>
      </c>
      <c r="K7394" s="6" t="str">
        <f t="shared" si="580"/>
        <v/>
      </c>
      <c r="L7394" s="7" t="str">
        <f t="shared" si="581"/>
        <v/>
      </c>
      <c r="M7394" s="7" t="str">
        <f t="shared" si="578"/>
        <v/>
      </c>
      <c r="N7394" s="7" t="str">
        <f t="shared" si="582"/>
        <v/>
      </c>
      <c r="O7394" s="8"/>
      <c r="P7394" s="26"/>
      <c r="S7394" s="10" t="str">
        <f t="shared" si="579"/>
        <v/>
      </c>
    </row>
    <row r="7395" spans="5:19" x14ac:dyDescent="0.3">
      <c r="E7395" s="9" t="str">
        <f>IF(DADOS!C7395="","",DADOS!C7395)</f>
        <v/>
      </c>
      <c r="F7395" s="9" t="str">
        <f>IF(DADOS!E7395="","",DADOS!E7395)</f>
        <v/>
      </c>
      <c r="G7395" s="9" t="str">
        <f>IF(DADOS!F7395="","",DADOS!F7395)</f>
        <v/>
      </c>
      <c r="K7395" s="6" t="str">
        <f t="shared" si="580"/>
        <v/>
      </c>
      <c r="L7395" s="7" t="str">
        <f t="shared" si="581"/>
        <v/>
      </c>
      <c r="M7395" s="7" t="str">
        <f t="shared" si="578"/>
        <v/>
      </c>
      <c r="N7395" s="7" t="str">
        <f t="shared" si="582"/>
        <v/>
      </c>
      <c r="O7395" s="8"/>
      <c r="P7395" s="26"/>
      <c r="S7395" s="10" t="str">
        <f t="shared" si="579"/>
        <v/>
      </c>
    </row>
    <row r="7396" spans="5:19" x14ac:dyDescent="0.3">
      <c r="E7396" s="9" t="str">
        <f>IF(DADOS!C7396="","",DADOS!C7396)</f>
        <v/>
      </c>
      <c r="F7396" s="9" t="str">
        <f>IF(DADOS!E7396="","",DADOS!E7396)</f>
        <v/>
      </c>
      <c r="G7396" s="9" t="str">
        <f>IF(DADOS!F7396="","",DADOS!F7396)</f>
        <v/>
      </c>
      <c r="K7396" s="6" t="str">
        <f t="shared" si="580"/>
        <v/>
      </c>
      <c r="L7396" s="7" t="str">
        <f t="shared" si="581"/>
        <v/>
      </c>
      <c r="M7396" s="7" t="str">
        <f t="shared" si="578"/>
        <v/>
      </c>
      <c r="N7396" s="7" t="str">
        <f t="shared" si="582"/>
        <v/>
      </c>
      <c r="O7396" s="8"/>
      <c r="P7396" s="26"/>
      <c r="S7396" s="10" t="str">
        <f t="shared" si="579"/>
        <v/>
      </c>
    </row>
    <row r="7397" spans="5:19" x14ac:dyDescent="0.3">
      <c r="E7397" s="9" t="str">
        <f>IF(DADOS!C7397="","",DADOS!C7397)</f>
        <v/>
      </c>
      <c r="F7397" s="9" t="str">
        <f>IF(DADOS!E7397="","",DADOS!E7397)</f>
        <v/>
      </c>
      <c r="G7397" s="9" t="str">
        <f>IF(DADOS!F7397="","",DADOS!F7397)</f>
        <v/>
      </c>
      <c r="K7397" s="6" t="str">
        <f t="shared" si="580"/>
        <v/>
      </c>
      <c r="L7397" s="7" t="str">
        <f t="shared" si="581"/>
        <v/>
      </c>
      <c r="M7397" s="7" t="str">
        <f t="shared" si="578"/>
        <v/>
      </c>
      <c r="N7397" s="7" t="str">
        <f t="shared" si="582"/>
        <v/>
      </c>
      <c r="O7397" s="8"/>
      <c r="P7397" s="26"/>
      <c r="S7397" s="10" t="str">
        <f t="shared" si="579"/>
        <v/>
      </c>
    </row>
    <row r="7398" spans="5:19" x14ac:dyDescent="0.3">
      <c r="E7398" s="9" t="str">
        <f>IF(DADOS!C7398="","",DADOS!C7398)</f>
        <v/>
      </c>
      <c r="F7398" s="9" t="str">
        <f>IF(DADOS!E7398="","",DADOS!E7398)</f>
        <v/>
      </c>
      <c r="G7398" s="9" t="str">
        <f>IF(DADOS!F7398="","",DADOS!F7398)</f>
        <v/>
      </c>
      <c r="K7398" s="6" t="str">
        <f t="shared" si="580"/>
        <v/>
      </c>
      <c r="L7398" s="7" t="str">
        <f t="shared" si="581"/>
        <v/>
      </c>
      <c r="M7398" s="7" t="str">
        <f t="shared" si="578"/>
        <v/>
      </c>
      <c r="N7398" s="7" t="str">
        <f t="shared" si="582"/>
        <v/>
      </c>
      <c r="O7398" s="8"/>
      <c r="P7398" s="26"/>
      <c r="S7398" s="10" t="str">
        <f t="shared" si="579"/>
        <v/>
      </c>
    </row>
    <row r="7399" spans="5:19" x14ac:dyDescent="0.3">
      <c r="E7399" s="9" t="str">
        <f>IF(DADOS!C7399="","",DADOS!C7399)</f>
        <v/>
      </c>
      <c r="F7399" s="9" t="str">
        <f>IF(DADOS!E7399="","",DADOS!E7399)</f>
        <v/>
      </c>
      <c r="G7399" s="9" t="str">
        <f>IF(DADOS!F7399="","",DADOS!F7399)</f>
        <v/>
      </c>
      <c r="K7399" s="6" t="str">
        <f t="shared" si="580"/>
        <v/>
      </c>
      <c r="L7399" s="7" t="str">
        <f t="shared" si="581"/>
        <v/>
      </c>
      <c r="M7399" s="7" t="str">
        <f t="shared" si="578"/>
        <v/>
      </c>
      <c r="N7399" s="7" t="str">
        <f t="shared" si="582"/>
        <v/>
      </c>
      <c r="O7399" s="8"/>
      <c r="P7399" s="26"/>
      <c r="S7399" s="10" t="str">
        <f t="shared" si="579"/>
        <v/>
      </c>
    </row>
    <row r="7400" spans="5:19" x14ac:dyDescent="0.3">
      <c r="E7400" s="9" t="str">
        <f>IF(DADOS!C7400="","",DADOS!C7400)</f>
        <v/>
      </c>
      <c r="F7400" s="9" t="str">
        <f>IF(DADOS!E7400="","",DADOS!E7400)</f>
        <v/>
      </c>
      <c r="G7400" s="9" t="str">
        <f>IF(DADOS!F7400="","",DADOS!F7400)</f>
        <v/>
      </c>
      <c r="K7400" s="6" t="str">
        <f t="shared" si="580"/>
        <v/>
      </c>
      <c r="L7400" s="7" t="str">
        <f t="shared" si="581"/>
        <v/>
      </c>
      <c r="M7400" s="7" t="str">
        <f t="shared" si="578"/>
        <v/>
      </c>
      <c r="N7400" s="7" t="str">
        <f t="shared" si="582"/>
        <v/>
      </c>
      <c r="O7400" s="8"/>
      <c r="P7400" s="26"/>
      <c r="S7400" s="10" t="str">
        <f t="shared" si="579"/>
        <v/>
      </c>
    </row>
    <row r="7401" spans="5:19" x14ac:dyDescent="0.3">
      <c r="E7401" s="9" t="str">
        <f>IF(DADOS!C7401="","",DADOS!C7401)</f>
        <v/>
      </c>
      <c r="F7401" s="9" t="str">
        <f>IF(DADOS!E7401="","",DADOS!E7401)</f>
        <v/>
      </c>
      <c r="G7401" s="9" t="str">
        <f>IF(DADOS!F7401="","",DADOS!F7401)</f>
        <v/>
      </c>
      <c r="K7401" s="6" t="str">
        <f t="shared" si="580"/>
        <v/>
      </c>
      <c r="L7401" s="7" t="str">
        <f t="shared" si="581"/>
        <v/>
      </c>
      <c r="M7401" s="7" t="str">
        <f t="shared" si="578"/>
        <v/>
      </c>
      <c r="N7401" s="7" t="str">
        <f t="shared" si="582"/>
        <v/>
      </c>
      <c r="O7401" s="8"/>
      <c r="P7401" s="26"/>
      <c r="S7401" s="10" t="str">
        <f t="shared" si="579"/>
        <v/>
      </c>
    </row>
    <row r="7402" spans="5:19" x14ac:dyDescent="0.3">
      <c r="E7402" s="9" t="str">
        <f>IF(DADOS!C7402="","",DADOS!C7402)</f>
        <v/>
      </c>
      <c r="F7402" s="9" t="str">
        <f>IF(DADOS!E7402="","",DADOS!E7402)</f>
        <v/>
      </c>
      <c r="G7402" s="9" t="str">
        <f>IF(DADOS!F7402="","",DADOS!F7402)</f>
        <v/>
      </c>
      <c r="K7402" s="6" t="str">
        <f t="shared" si="580"/>
        <v/>
      </c>
      <c r="L7402" s="7" t="str">
        <f t="shared" si="581"/>
        <v/>
      </c>
      <c r="M7402" s="7" t="str">
        <f t="shared" si="578"/>
        <v/>
      </c>
      <c r="N7402" s="7" t="str">
        <f t="shared" si="582"/>
        <v/>
      </c>
      <c r="O7402" s="8"/>
      <c r="P7402" s="26"/>
      <c r="S7402" s="10" t="str">
        <f t="shared" si="579"/>
        <v/>
      </c>
    </row>
    <row r="7403" spans="5:19" x14ac:dyDescent="0.3">
      <c r="E7403" s="9" t="str">
        <f>IF(DADOS!C7403="","",DADOS!C7403)</f>
        <v/>
      </c>
      <c r="F7403" s="9" t="str">
        <f>IF(DADOS!E7403="","",DADOS!E7403)</f>
        <v/>
      </c>
      <c r="G7403" s="9" t="str">
        <f>IF(DADOS!F7403="","",DADOS!F7403)</f>
        <v/>
      </c>
      <c r="K7403" s="6" t="str">
        <f t="shared" si="580"/>
        <v/>
      </c>
      <c r="L7403" s="7" t="str">
        <f t="shared" si="581"/>
        <v/>
      </c>
      <c r="M7403" s="7" t="str">
        <f t="shared" si="578"/>
        <v/>
      </c>
      <c r="N7403" s="7" t="str">
        <f t="shared" si="582"/>
        <v/>
      </c>
      <c r="O7403" s="8"/>
      <c r="P7403" s="26"/>
      <c r="S7403" s="10" t="str">
        <f t="shared" si="579"/>
        <v/>
      </c>
    </row>
    <row r="7404" spans="5:19" x14ac:dyDescent="0.3">
      <c r="E7404" s="9" t="str">
        <f>IF(DADOS!C7404="","",DADOS!C7404)</f>
        <v/>
      </c>
      <c r="F7404" s="9" t="str">
        <f>IF(DADOS!E7404="","",DADOS!E7404)</f>
        <v/>
      </c>
      <c r="G7404" s="9" t="str">
        <f>IF(DADOS!F7404="","",DADOS!F7404)</f>
        <v/>
      </c>
      <c r="K7404" s="6" t="str">
        <f t="shared" si="580"/>
        <v/>
      </c>
      <c r="L7404" s="7" t="str">
        <f t="shared" si="581"/>
        <v/>
      </c>
      <c r="M7404" s="7" t="str">
        <f t="shared" si="578"/>
        <v/>
      </c>
      <c r="N7404" s="7" t="str">
        <f t="shared" si="582"/>
        <v/>
      </c>
      <c r="O7404" s="8"/>
      <c r="P7404" s="26"/>
      <c r="S7404" s="10" t="str">
        <f t="shared" si="579"/>
        <v/>
      </c>
    </row>
    <row r="7405" spans="5:19" x14ac:dyDescent="0.3">
      <c r="E7405" s="9" t="str">
        <f>IF(DADOS!C7405="","",DADOS!C7405)</f>
        <v/>
      </c>
      <c r="F7405" s="9" t="str">
        <f>IF(DADOS!E7405="","",DADOS!E7405)</f>
        <v/>
      </c>
      <c r="G7405" s="9" t="str">
        <f>IF(DADOS!F7405="","",DADOS!F7405)</f>
        <v/>
      </c>
      <c r="K7405" s="6" t="str">
        <f t="shared" si="580"/>
        <v/>
      </c>
      <c r="L7405" s="7" t="str">
        <f t="shared" si="581"/>
        <v/>
      </c>
      <c r="M7405" s="7" t="str">
        <f t="shared" si="578"/>
        <v/>
      </c>
      <c r="N7405" s="7" t="str">
        <f t="shared" si="582"/>
        <v/>
      </c>
      <c r="O7405" s="8"/>
      <c r="P7405" s="26"/>
      <c r="S7405" s="10" t="str">
        <f t="shared" si="579"/>
        <v/>
      </c>
    </row>
    <row r="7406" spans="5:19" x14ac:dyDescent="0.3">
      <c r="E7406" s="9" t="str">
        <f>IF(DADOS!C7406="","",DADOS!C7406)</f>
        <v/>
      </c>
      <c r="F7406" s="9" t="str">
        <f>IF(DADOS!E7406="","",DADOS!E7406)</f>
        <v/>
      </c>
      <c r="G7406" s="9" t="str">
        <f>IF(DADOS!F7406="","",DADOS!F7406)</f>
        <v/>
      </c>
      <c r="K7406" s="6" t="str">
        <f t="shared" si="580"/>
        <v/>
      </c>
      <c r="L7406" s="7" t="str">
        <f t="shared" si="581"/>
        <v/>
      </c>
      <c r="M7406" s="7" t="str">
        <f t="shared" si="578"/>
        <v/>
      </c>
      <c r="N7406" s="7" t="str">
        <f t="shared" si="582"/>
        <v/>
      </c>
      <c r="O7406" s="8"/>
      <c r="P7406" s="26"/>
      <c r="S7406" s="10" t="str">
        <f t="shared" si="579"/>
        <v/>
      </c>
    </row>
    <row r="7407" spans="5:19" x14ac:dyDescent="0.3">
      <c r="E7407" s="9" t="str">
        <f>IF(DADOS!C7407="","",DADOS!C7407)</f>
        <v/>
      </c>
      <c r="F7407" s="9" t="str">
        <f>IF(DADOS!E7407="","",DADOS!E7407)</f>
        <v/>
      </c>
      <c r="G7407" s="9" t="str">
        <f>IF(DADOS!F7407="","",DADOS!F7407)</f>
        <v/>
      </c>
      <c r="K7407" s="6" t="str">
        <f t="shared" si="580"/>
        <v/>
      </c>
      <c r="L7407" s="7" t="str">
        <f t="shared" si="581"/>
        <v/>
      </c>
      <c r="M7407" s="7" t="str">
        <f t="shared" si="578"/>
        <v/>
      </c>
      <c r="N7407" s="7" t="str">
        <f t="shared" si="582"/>
        <v/>
      </c>
      <c r="O7407" s="8"/>
      <c r="P7407" s="26"/>
      <c r="S7407" s="10" t="str">
        <f t="shared" si="579"/>
        <v/>
      </c>
    </row>
    <row r="7408" spans="5:19" x14ac:dyDescent="0.3">
      <c r="E7408" s="9" t="str">
        <f>IF(DADOS!C7408="","",DADOS!C7408)</f>
        <v/>
      </c>
      <c r="F7408" s="9" t="str">
        <f>IF(DADOS!E7408="","",DADOS!E7408)</f>
        <v/>
      </c>
      <c r="G7408" s="9" t="str">
        <f>IF(DADOS!F7408="","",DADOS!F7408)</f>
        <v/>
      </c>
      <c r="K7408" s="6" t="str">
        <f t="shared" si="580"/>
        <v/>
      </c>
      <c r="L7408" s="7" t="str">
        <f t="shared" si="581"/>
        <v/>
      </c>
      <c r="M7408" s="7" t="str">
        <f t="shared" si="578"/>
        <v/>
      </c>
      <c r="N7408" s="7" t="str">
        <f t="shared" si="582"/>
        <v/>
      </c>
      <c r="O7408" s="8"/>
      <c r="P7408" s="26"/>
      <c r="S7408" s="10" t="str">
        <f t="shared" si="579"/>
        <v/>
      </c>
    </row>
    <row r="7409" spans="5:19" x14ac:dyDescent="0.3">
      <c r="E7409" s="9" t="str">
        <f>IF(DADOS!C7409="","",DADOS!C7409)</f>
        <v/>
      </c>
      <c r="F7409" s="9" t="str">
        <f>IF(DADOS!E7409="","",DADOS!E7409)</f>
        <v/>
      </c>
      <c r="G7409" s="9" t="str">
        <f>IF(DADOS!F7409="","",DADOS!F7409)</f>
        <v/>
      </c>
      <c r="K7409" s="6" t="str">
        <f t="shared" si="580"/>
        <v/>
      </c>
      <c r="L7409" s="7" t="str">
        <f t="shared" si="581"/>
        <v/>
      </c>
      <c r="M7409" s="7" t="str">
        <f t="shared" si="578"/>
        <v/>
      </c>
      <c r="N7409" s="7" t="str">
        <f t="shared" si="582"/>
        <v/>
      </c>
      <c r="O7409" s="8"/>
      <c r="P7409" s="26"/>
      <c r="S7409" s="10" t="str">
        <f t="shared" si="579"/>
        <v/>
      </c>
    </row>
    <row r="7410" spans="5:19" x14ac:dyDescent="0.3">
      <c r="E7410" s="9" t="str">
        <f>IF(DADOS!C7410="","",DADOS!C7410)</f>
        <v/>
      </c>
      <c r="F7410" s="9" t="str">
        <f>IF(DADOS!E7410="","",DADOS!E7410)</f>
        <v/>
      </c>
      <c r="G7410" s="9" t="str">
        <f>IF(DADOS!F7410="","",DADOS!F7410)</f>
        <v/>
      </c>
      <c r="K7410" s="6" t="str">
        <f t="shared" si="580"/>
        <v/>
      </c>
      <c r="L7410" s="7" t="str">
        <f t="shared" si="581"/>
        <v/>
      </c>
      <c r="M7410" s="7" t="str">
        <f t="shared" si="578"/>
        <v/>
      </c>
      <c r="N7410" s="7" t="str">
        <f t="shared" si="582"/>
        <v/>
      </c>
      <c r="O7410" s="8"/>
      <c r="P7410" s="26"/>
      <c r="S7410" s="10" t="str">
        <f t="shared" si="579"/>
        <v/>
      </c>
    </row>
    <row r="7411" spans="5:19" x14ac:dyDescent="0.3">
      <c r="E7411" s="9" t="str">
        <f>IF(DADOS!C7411="","",DADOS!C7411)</f>
        <v/>
      </c>
      <c r="F7411" s="9" t="str">
        <f>IF(DADOS!E7411="","",DADOS!E7411)</f>
        <v/>
      </c>
      <c r="G7411" s="9" t="str">
        <f>IF(DADOS!F7411="","",DADOS!F7411)</f>
        <v/>
      </c>
      <c r="K7411" s="6" t="str">
        <f t="shared" si="580"/>
        <v/>
      </c>
      <c r="L7411" s="7" t="str">
        <f t="shared" si="581"/>
        <v/>
      </c>
      <c r="M7411" s="7" t="str">
        <f t="shared" si="578"/>
        <v/>
      </c>
      <c r="N7411" s="7" t="str">
        <f t="shared" si="582"/>
        <v/>
      </c>
      <c r="O7411" s="8"/>
      <c r="P7411" s="26"/>
      <c r="S7411" s="10" t="str">
        <f t="shared" si="579"/>
        <v/>
      </c>
    </row>
    <row r="7412" spans="5:19" x14ac:dyDescent="0.3">
      <c r="E7412" s="9" t="str">
        <f>IF(DADOS!C7412="","",DADOS!C7412)</f>
        <v/>
      </c>
      <c r="F7412" s="9" t="str">
        <f>IF(DADOS!E7412="","",DADOS!E7412)</f>
        <v/>
      </c>
      <c r="G7412" s="9" t="str">
        <f>IF(DADOS!F7412="","",DADOS!F7412)</f>
        <v/>
      </c>
      <c r="K7412" s="6" t="str">
        <f t="shared" si="580"/>
        <v/>
      </c>
      <c r="L7412" s="7" t="str">
        <f t="shared" si="581"/>
        <v/>
      </c>
      <c r="M7412" s="7" t="str">
        <f t="shared" si="578"/>
        <v/>
      </c>
      <c r="N7412" s="7" t="str">
        <f t="shared" si="582"/>
        <v/>
      </c>
      <c r="O7412" s="8"/>
      <c r="P7412" s="26"/>
      <c r="S7412" s="10" t="str">
        <f t="shared" si="579"/>
        <v/>
      </c>
    </row>
    <row r="7413" spans="5:19" x14ac:dyDescent="0.3">
      <c r="E7413" s="9" t="str">
        <f>IF(DADOS!C7413="","",DADOS!C7413)</f>
        <v/>
      </c>
      <c r="F7413" s="9" t="str">
        <f>IF(DADOS!E7413="","",DADOS!E7413)</f>
        <v/>
      </c>
      <c r="G7413" s="9" t="str">
        <f>IF(DADOS!F7413="","",DADOS!F7413)</f>
        <v/>
      </c>
      <c r="K7413" s="6" t="str">
        <f t="shared" si="580"/>
        <v/>
      </c>
      <c r="L7413" s="7" t="str">
        <f t="shared" si="581"/>
        <v/>
      </c>
      <c r="M7413" s="7" t="str">
        <f t="shared" si="578"/>
        <v/>
      </c>
      <c r="N7413" s="7" t="str">
        <f t="shared" si="582"/>
        <v/>
      </c>
      <c r="O7413" s="8"/>
      <c r="P7413" s="26"/>
      <c r="S7413" s="10" t="str">
        <f t="shared" si="579"/>
        <v/>
      </c>
    </row>
    <row r="7414" spans="5:19" x14ac:dyDescent="0.3">
      <c r="E7414" s="9" t="str">
        <f>IF(DADOS!C7414="","",DADOS!C7414)</f>
        <v/>
      </c>
      <c r="F7414" s="9" t="str">
        <f>IF(DADOS!E7414="","",DADOS!E7414)</f>
        <v/>
      </c>
      <c r="G7414" s="9" t="str">
        <f>IF(DADOS!F7414="","",DADOS!F7414)</f>
        <v/>
      </c>
      <c r="K7414" s="6" t="str">
        <f t="shared" si="580"/>
        <v/>
      </c>
      <c r="L7414" s="7" t="str">
        <f t="shared" si="581"/>
        <v/>
      </c>
      <c r="M7414" s="7" t="str">
        <f t="shared" si="578"/>
        <v/>
      </c>
      <c r="N7414" s="7" t="str">
        <f t="shared" si="582"/>
        <v/>
      </c>
      <c r="O7414" s="8"/>
      <c r="P7414" s="26"/>
      <c r="S7414" s="10" t="str">
        <f t="shared" si="579"/>
        <v/>
      </c>
    </row>
    <row r="7415" spans="5:19" x14ac:dyDescent="0.3">
      <c r="E7415" s="9" t="str">
        <f>IF(DADOS!C7415="","",DADOS!C7415)</f>
        <v/>
      </c>
      <c r="F7415" s="9" t="str">
        <f>IF(DADOS!E7415="","",DADOS!E7415)</f>
        <v/>
      </c>
      <c r="G7415" s="9" t="str">
        <f>IF(DADOS!F7415="","",DADOS!F7415)</f>
        <v/>
      </c>
      <c r="K7415" s="6" t="str">
        <f t="shared" si="580"/>
        <v/>
      </c>
      <c r="L7415" s="7" t="str">
        <f t="shared" si="581"/>
        <v/>
      </c>
      <c r="M7415" s="7" t="str">
        <f t="shared" si="578"/>
        <v/>
      </c>
      <c r="N7415" s="7" t="str">
        <f t="shared" si="582"/>
        <v/>
      </c>
      <c r="O7415" s="8"/>
      <c r="P7415" s="26"/>
      <c r="S7415" s="10" t="str">
        <f t="shared" si="579"/>
        <v/>
      </c>
    </row>
    <row r="7416" spans="5:19" x14ac:dyDescent="0.3">
      <c r="E7416" s="9" t="str">
        <f>IF(DADOS!C7416="","",DADOS!C7416)</f>
        <v/>
      </c>
      <c r="F7416" s="9" t="str">
        <f>IF(DADOS!E7416="","",DADOS!E7416)</f>
        <v/>
      </c>
      <c r="G7416" s="9" t="str">
        <f>IF(DADOS!F7416="","",DADOS!F7416)</f>
        <v/>
      </c>
      <c r="K7416" s="6" t="str">
        <f t="shared" si="580"/>
        <v/>
      </c>
      <c r="L7416" s="7" t="str">
        <f t="shared" si="581"/>
        <v/>
      </c>
      <c r="M7416" s="7" t="str">
        <f t="shared" si="578"/>
        <v/>
      </c>
      <c r="N7416" s="7" t="str">
        <f t="shared" si="582"/>
        <v/>
      </c>
      <c r="O7416" s="8"/>
      <c r="P7416" s="26"/>
      <c r="S7416" s="10" t="str">
        <f t="shared" si="579"/>
        <v/>
      </c>
    </row>
    <row r="7417" spans="5:19" x14ac:dyDescent="0.3">
      <c r="E7417" s="9" t="str">
        <f>IF(DADOS!C7417="","",DADOS!C7417)</f>
        <v/>
      </c>
      <c r="F7417" s="9" t="str">
        <f>IF(DADOS!E7417="","",DADOS!E7417)</f>
        <v/>
      </c>
      <c r="G7417" s="9" t="str">
        <f>IF(DADOS!F7417="","",DADOS!F7417)</f>
        <v/>
      </c>
      <c r="K7417" s="6" t="str">
        <f t="shared" si="580"/>
        <v/>
      </c>
      <c r="L7417" s="7" t="str">
        <f t="shared" si="581"/>
        <v/>
      </c>
      <c r="M7417" s="7" t="str">
        <f t="shared" si="578"/>
        <v/>
      </c>
      <c r="N7417" s="7" t="str">
        <f t="shared" si="582"/>
        <v/>
      </c>
      <c r="O7417" s="8"/>
      <c r="P7417" s="26"/>
      <c r="S7417" s="10" t="str">
        <f t="shared" si="579"/>
        <v/>
      </c>
    </row>
    <row r="7418" spans="5:19" x14ac:dyDescent="0.3">
      <c r="E7418" s="9" t="str">
        <f>IF(DADOS!C7418="","",DADOS!C7418)</f>
        <v/>
      </c>
      <c r="F7418" s="9" t="str">
        <f>IF(DADOS!E7418="","",DADOS!E7418)</f>
        <v/>
      </c>
      <c r="G7418" s="9" t="str">
        <f>IF(DADOS!F7418="","",DADOS!F7418)</f>
        <v/>
      </c>
      <c r="K7418" s="6" t="str">
        <f t="shared" si="580"/>
        <v/>
      </c>
      <c r="L7418" s="7" t="str">
        <f t="shared" si="581"/>
        <v/>
      </c>
      <c r="M7418" s="7" t="str">
        <f t="shared" si="578"/>
        <v/>
      </c>
      <c r="N7418" s="7" t="str">
        <f t="shared" si="582"/>
        <v/>
      </c>
      <c r="O7418" s="8"/>
      <c r="P7418" s="26"/>
      <c r="S7418" s="10" t="str">
        <f t="shared" si="579"/>
        <v/>
      </c>
    </row>
    <row r="7419" spans="5:19" x14ac:dyDescent="0.3">
      <c r="E7419" s="9" t="str">
        <f>IF(DADOS!C7419="","",DADOS!C7419)</f>
        <v/>
      </c>
      <c r="F7419" s="9" t="str">
        <f>IF(DADOS!E7419="","",DADOS!E7419)</f>
        <v/>
      </c>
      <c r="G7419" s="9" t="str">
        <f>IF(DADOS!F7419="","",DADOS!F7419)</f>
        <v/>
      </c>
      <c r="K7419" s="6" t="str">
        <f t="shared" si="580"/>
        <v/>
      </c>
      <c r="L7419" s="7" t="str">
        <f t="shared" si="581"/>
        <v/>
      </c>
      <c r="M7419" s="7" t="str">
        <f t="shared" si="578"/>
        <v/>
      </c>
      <c r="N7419" s="7" t="str">
        <f t="shared" si="582"/>
        <v/>
      </c>
      <c r="O7419" s="8"/>
      <c r="P7419" s="26"/>
      <c r="S7419" s="10" t="str">
        <f t="shared" si="579"/>
        <v/>
      </c>
    </row>
    <row r="7420" spans="5:19" x14ac:dyDescent="0.3">
      <c r="E7420" s="9" t="str">
        <f>IF(DADOS!C7420="","",DADOS!C7420)</f>
        <v/>
      </c>
      <c r="F7420" s="9" t="str">
        <f>IF(DADOS!E7420="","",DADOS!E7420)</f>
        <v/>
      </c>
      <c r="G7420" s="9" t="str">
        <f>IF(DADOS!F7420="","",DADOS!F7420)</f>
        <v/>
      </c>
      <c r="K7420" s="6" t="str">
        <f t="shared" si="580"/>
        <v/>
      </c>
      <c r="L7420" s="7" t="str">
        <f t="shared" si="581"/>
        <v/>
      </c>
      <c r="M7420" s="7" t="str">
        <f t="shared" si="578"/>
        <v/>
      </c>
      <c r="N7420" s="7" t="str">
        <f t="shared" si="582"/>
        <v/>
      </c>
      <c r="O7420" s="8"/>
      <c r="P7420" s="26"/>
      <c r="S7420" s="10" t="str">
        <f t="shared" si="579"/>
        <v/>
      </c>
    </row>
    <row r="7421" spans="5:19" x14ac:dyDescent="0.3">
      <c r="E7421" s="9" t="str">
        <f>IF(DADOS!C7421="","",DADOS!C7421)</f>
        <v/>
      </c>
      <c r="F7421" s="9" t="str">
        <f>IF(DADOS!E7421="","",DADOS!E7421)</f>
        <v/>
      </c>
      <c r="G7421" s="9" t="str">
        <f>IF(DADOS!F7421="","",DADOS!F7421)</f>
        <v/>
      </c>
      <c r="K7421" s="6" t="str">
        <f t="shared" si="580"/>
        <v/>
      </c>
      <c r="L7421" s="7" t="str">
        <f t="shared" si="581"/>
        <v/>
      </c>
      <c r="M7421" s="7" t="str">
        <f t="shared" si="578"/>
        <v/>
      </c>
      <c r="N7421" s="7" t="str">
        <f t="shared" si="582"/>
        <v/>
      </c>
      <c r="O7421" s="8"/>
      <c r="P7421" s="26"/>
      <c r="S7421" s="10" t="str">
        <f t="shared" si="579"/>
        <v/>
      </c>
    </row>
    <row r="7422" spans="5:19" x14ac:dyDescent="0.3">
      <c r="E7422" s="9" t="str">
        <f>IF(DADOS!C7422="","",DADOS!C7422)</f>
        <v/>
      </c>
      <c r="F7422" s="9" t="str">
        <f>IF(DADOS!E7422="","",DADOS!E7422)</f>
        <v/>
      </c>
      <c r="G7422" s="9" t="str">
        <f>IF(DADOS!F7422="","",DADOS!F7422)</f>
        <v/>
      </c>
      <c r="K7422" s="6" t="str">
        <f t="shared" si="580"/>
        <v/>
      </c>
      <c r="L7422" s="7" t="str">
        <f t="shared" si="581"/>
        <v/>
      </c>
      <c r="M7422" s="7" t="str">
        <f t="shared" si="578"/>
        <v/>
      </c>
      <c r="N7422" s="7" t="str">
        <f t="shared" si="582"/>
        <v/>
      </c>
      <c r="O7422" s="8"/>
      <c r="P7422" s="26"/>
      <c r="S7422" s="10" t="str">
        <f t="shared" si="579"/>
        <v/>
      </c>
    </row>
    <row r="7423" spans="5:19" x14ac:dyDescent="0.3">
      <c r="E7423" s="9" t="str">
        <f>IF(DADOS!C7423="","",DADOS!C7423)</f>
        <v/>
      </c>
      <c r="F7423" s="9" t="str">
        <f>IF(DADOS!E7423="","",DADOS!E7423)</f>
        <v/>
      </c>
      <c r="G7423" s="9" t="str">
        <f>IF(DADOS!F7423="","",DADOS!F7423)</f>
        <v/>
      </c>
      <c r="K7423" s="6" t="str">
        <f t="shared" si="580"/>
        <v/>
      </c>
      <c r="L7423" s="7" t="str">
        <f t="shared" si="581"/>
        <v/>
      </c>
      <c r="M7423" s="7" t="str">
        <f t="shared" si="578"/>
        <v/>
      </c>
      <c r="N7423" s="7" t="str">
        <f t="shared" si="582"/>
        <v/>
      </c>
      <c r="O7423" s="8"/>
      <c r="P7423" s="26"/>
      <c r="S7423" s="10" t="str">
        <f t="shared" si="579"/>
        <v/>
      </c>
    </row>
    <row r="7424" spans="5:19" x14ac:dyDescent="0.3">
      <c r="E7424" s="9" t="str">
        <f>IF(DADOS!C7424="","",DADOS!C7424)</f>
        <v/>
      </c>
      <c r="F7424" s="9" t="str">
        <f>IF(DADOS!E7424="","",DADOS!E7424)</f>
        <v/>
      </c>
      <c r="G7424" s="9" t="str">
        <f>IF(DADOS!F7424="","",DADOS!F7424)</f>
        <v/>
      </c>
      <c r="K7424" s="6" t="str">
        <f t="shared" si="580"/>
        <v/>
      </c>
      <c r="L7424" s="7" t="str">
        <f t="shared" si="581"/>
        <v/>
      </c>
      <c r="M7424" s="7" t="str">
        <f t="shared" si="578"/>
        <v/>
      </c>
      <c r="N7424" s="7" t="str">
        <f t="shared" si="582"/>
        <v/>
      </c>
      <c r="O7424" s="8"/>
      <c r="P7424" s="26"/>
      <c r="S7424" s="10" t="str">
        <f t="shared" si="579"/>
        <v/>
      </c>
    </row>
    <row r="7425" spans="5:19" x14ac:dyDescent="0.3">
      <c r="E7425" s="9" t="str">
        <f>IF(DADOS!C7425="","",DADOS!C7425)</f>
        <v/>
      </c>
      <c r="F7425" s="9" t="str">
        <f>IF(DADOS!E7425="","",DADOS!E7425)</f>
        <v/>
      </c>
      <c r="G7425" s="9" t="str">
        <f>IF(DADOS!F7425="","",DADOS!F7425)</f>
        <v/>
      </c>
      <c r="K7425" s="6" t="str">
        <f t="shared" si="580"/>
        <v/>
      </c>
      <c r="L7425" s="7" t="str">
        <f t="shared" si="581"/>
        <v/>
      </c>
      <c r="M7425" s="7" t="str">
        <f t="shared" si="578"/>
        <v/>
      </c>
      <c r="N7425" s="7" t="str">
        <f t="shared" si="582"/>
        <v/>
      </c>
      <c r="O7425" s="8"/>
      <c r="P7425" s="26"/>
      <c r="S7425" s="10" t="str">
        <f t="shared" si="579"/>
        <v/>
      </c>
    </row>
    <row r="7426" spans="5:19" x14ac:dyDescent="0.3">
      <c r="E7426" s="9" t="str">
        <f>IF(DADOS!C7426="","",DADOS!C7426)</f>
        <v/>
      </c>
      <c r="F7426" s="9" t="str">
        <f>IF(DADOS!E7426="","",DADOS!E7426)</f>
        <v/>
      </c>
      <c r="G7426" s="9" t="str">
        <f>IF(DADOS!F7426="","",DADOS!F7426)</f>
        <v/>
      </c>
      <c r="K7426" s="6" t="str">
        <f t="shared" si="580"/>
        <v/>
      </c>
      <c r="L7426" s="7" t="str">
        <f t="shared" si="581"/>
        <v/>
      </c>
      <c r="M7426" s="7" t="str">
        <f t="shared" si="578"/>
        <v/>
      </c>
      <c r="N7426" s="7" t="str">
        <f t="shared" si="582"/>
        <v/>
      </c>
      <c r="O7426" s="8"/>
      <c r="P7426" s="26"/>
      <c r="S7426" s="10" t="str">
        <f t="shared" si="579"/>
        <v/>
      </c>
    </row>
    <row r="7427" spans="5:19" x14ac:dyDescent="0.3">
      <c r="E7427" s="9" t="str">
        <f>IF(DADOS!C7427="","",DADOS!C7427)</f>
        <v/>
      </c>
      <c r="F7427" s="9" t="str">
        <f>IF(DADOS!E7427="","",DADOS!E7427)</f>
        <v/>
      </c>
      <c r="G7427" s="9" t="str">
        <f>IF(DADOS!F7427="","",DADOS!F7427)</f>
        <v/>
      </c>
      <c r="K7427" s="6" t="str">
        <f t="shared" si="580"/>
        <v/>
      </c>
      <c r="L7427" s="7" t="str">
        <f t="shared" si="581"/>
        <v/>
      </c>
      <c r="M7427" s="7" t="str">
        <f t="shared" ref="M7427:M7490" si="583">IF(L7427="","",L7427*G7427)</f>
        <v/>
      </c>
      <c r="N7427" s="7" t="str">
        <f t="shared" si="582"/>
        <v/>
      </c>
      <c r="O7427" s="8"/>
      <c r="P7427" s="26"/>
      <c r="S7427" s="10" t="str">
        <f t="shared" ref="S7427:S7490" si="584">IF(R7427="","",SUMIFS($N$3:$N$10000,$E$3:$E$10000,R7427))</f>
        <v/>
      </c>
    </row>
    <row r="7428" spans="5:19" x14ac:dyDescent="0.3">
      <c r="E7428" s="9" t="str">
        <f>IF(DADOS!C7428="","",DADOS!C7428)</f>
        <v/>
      </c>
      <c r="F7428" s="9" t="str">
        <f>IF(DADOS!E7428="","",DADOS!E7428)</f>
        <v/>
      </c>
      <c r="G7428" s="9" t="str">
        <f>IF(DADOS!F7428="","",DADOS!F7428)</f>
        <v/>
      </c>
      <c r="K7428" s="6" t="str">
        <f t="shared" ref="K7428:K7491" si="585">IF(F7428="","",F7428/PI())</f>
        <v/>
      </c>
      <c r="L7428" s="7" t="str">
        <f t="shared" ref="L7428:L7491" si="586">IF(K7428="","",(PI()*K7428^2)/40000)</f>
        <v/>
      </c>
      <c r="M7428" s="7" t="str">
        <f t="shared" si="583"/>
        <v/>
      </c>
      <c r="N7428" s="7" t="str">
        <f t="shared" ref="N7428:N7491" si="587">IF(M7428="","",M7428*N$1)</f>
        <v/>
      </c>
      <c r="O7428" s="8"/>
      <c r="P7428" s="26"/>
      <c r="S7428" s="10" t="str">
        <f t="shared" si="584"/>
        <v/>
      </c>
    </row>
    <row r="7429" spans="5:19" x14ac:dyDescent="0.3">
      <c r="E7429" s="9" t="str">
        <f>IF(DADOS!C7429="","",DADOS!C7429)</f>
        <v/>
      </c>
      <c r="F7429" s="9" t="str">
        <f>IF(DADOS!E7429="","",DADOS!E7429)</f>
        <v/>
      </c>
      <c r="G7429" s="9" t="str">
        <f>IF(DADOS!F7429="","",DADOS!F7429)</f>
        <v/>
      </c>
      <c r="K7429" s="6" t="str">
        <f t="shared" si="585"/>
        <v/>
      </c>
      <c r="L7429" s="7" t="str">
        <f t="shared" si="586"/>
        <v/>
      </c>
      <c r="M7429" s="7" t="str">
        <f t="shared" si="583"/>
        <v/>
      </c>
      <c r="N7429" s="7" t="str">
        <f t="shared" si="587"/>
        <v/>
      </c>
      <c r="O7429" s="8"/>
      <c r="P7429" s="26"/>
      <c r="S7429" s="10" t="str">
        <f t="shared" si="584"/>
        <v/>
      </c>
    </row>
    <row r="7430" spans="5:19" x14ac:dyDescent="0.3">
      <c r="E7430" s="9" t="str">
        <f>IF(DADOS!C7430="","",DADOS!C7430)</f>
        <v/>
      </c>
      <c r="F7430" s="9" t="str">
        <f>IF(DADOS!E7430="","",DADOS!E7430)</f>
        <v/>
      </c>
      <c r="G7430" s="9" t="str">
        <f>IF(DADOS!F7430="","",DADOS!F7430)</f>
        <v/>
      </c>
      <c r="K7430" s="6" t="str">
        <f t="shared" si="585"/>
        <v/>
      </c>
      <c r="L7430" s="7" t="str">
        <f t="shared" si="586"/>
        <v/>
      </c>
      <c r="M7430" s="7" t="str">
        <f t="shared" si="583"/>
        <v/>
      </c>
      <c r="N7430" s="7" t="str">
        <f t="shared" si="587"/>
        <v/>
      </c>
      <c r="O7430" s="8"/>
      <c r="P7430" s="26"/>
      <c r="S7430" s="10" t="str">
        <f t="shared" si="584"/>
        <v/>
      </c>
    </row>
    <row r="7431" spans="5:19" x14ac:dyDescent="0.3">
      <c r="E7431" s="9" t="str">
        <f>IF(DADOS!C7431="","",DADOS!C7431)</f>
        <v/>
      </c>
      <c r="F7431" s="9" t="str">
        <f>IF(DADOS!E7431="","",DADOS!E7431)</f>
        <v/>
      </c>
      <c r="G7431" s="9" t="str">
        <f>IF(DADOS!F7431="","",DADOS!F7431)</f>
        <v/>
      </c>
      <c r="K7431" s="6" t="str">
        <f t="shared" si="585"/>
        <v/>
      </c>
      <c r="L7431" s="7" t="str">
        <f t="shared" si="586"/>
        <v/>
      </c>
      <c r="M7431" s="7" t="str">
        <f t="shared" si="583"/>
        <v/>
      </c>
      <c r="N7431" s="7" t="str">
        <f t="shared" si="587"/>
        <v/>
      </c>
      <c r="O7431" s="8"/>
      <c r="P7431" s="26"/>
      <c r="S7431" s="10" t="str">
        <f t="shared" si="584"/>
        <v/>
      </c>
    </row>
    <row r="7432" spans="5:19" x14ac:dyDescent="0.3">
      <c r="E7432" s="9" t="str">
        <f>IF(DADOS!C7432="","",DADOS!C7432)</f>
        <v/>
      </c>
      <c r="F7432" s="9" t="str">
        <f>IF(DADOS!E7432="","",DADOS!E7432)</f>
        <v/>
      </c>
      <c r="G7432" s="9" t="str">
        <f>IF(DADOS!F7432="","",DADOS!F7432)</f>
        <v/>
      </c>
      <c r="K7432" s="6" t="str">
        <f t="shared" si="585"/>
        <v/>
      </c>
      <c r="L7432" s="7" t="str">
        <f t="shared" si="586"/>
        <v/>
      </c>
      <c r="M7432" s="7" t="str">
        <f t="shared" si="583"/>
        <v/>
      </c>
      <c r="N7432" s="7" t="str">
        <f t="shared" si="587"/>
        <v/>
      </c>
      <c r="O7432" s="8"/>
      <c r="P7432" s="26"/>
      <c r="S7432" s="10" t="str">
        <f t="shared" si="584"/>
        <v/>
      </c>
    </row>
    <row r="7433" spans="5:19" x14ac:dyDescent="0.3">
      <c r="E7433" s="9" t="str">
        <f>IF(DADOS!C7433="","",DADOS!C7433)</f>
        <v/>
      </c>
      <c r="F7433" s="9" t="str">
        <f>IF(DADOS!E7433="","",DADOS!E7433)</f>
        <v/>
      </c>
      <c r="G7433" s="9" t="str">
        <f>IF(DADOS!F7433="","",DADOS!F7433)</f>
        <v/>
      </c>
      <c r="K7433" s="6" t="str">
        <f t="shared" si="585"/>
        <v/>
      </c>
      <c r="L7433" s="7" t="str">
        <f t="shared" si="586"/>
        <v/>
      </c>
      <c r="M7433" s="7" t="str">
        <f t="shared" si="583"/>
        <v/>
      </c>
      <c r="N7433" s="7" t="str">
        <f t="shared" si="587"/>
        <v/>
      </c>
      <c r="O7433" s="8"/>
      <c r="P7433" s="26"/>
      <c r="S7433" s="10" t="str">
        <f t="shared" si="584"/>
        <v/>
      </c>
    </row>
    <row r="7434" spans="5:19" x14ac:dyDescent="0.3">
      <c r="E7434" s="9" t="str">
        <f>IF(DADOS!C7434="","",DADOS!C7434)</f>
        <v/>
      </c>
      <c r="F7434" s="9" t="str">
        <f>IF(DADOS!E7434="","",DADOS!E7434)</f>
        <v/>
      </c>
      <c r="G7434" s="9" t="str">
        <f>IF(DADOS!F7434="","",DADOS!F7434)</f>
        <v/>
      </c>
      <c r="K7434" s="6" t="str">
        <f t="shared" si="585"/>
        <v/>
      </c>
      <c r="L7434" s="7" t="str">
        <f t="shared" si="586"/>
        <v/>
      </c>
      <c r="M7434" s="7" t="str">
        <f t="shared" si="583"/>
        <v/>
      </c>
      <c r="N7434" s="7" t="str">
        <f t="shared" si="587"/>
        <v/>
      </c>
      <c r="O7434" s="8"/>
      <c r="P7434" s="26"/>
      <c r="S7434" s="10" t="str">
        <f t="shared" si="584"/>
        <v/>
      </c>
    </row>
    <row r="7435" spans="5:19" x14ac:dyDescent="0.3">
      <c r="E7435" s="9" t="str">
        <f>IF(DADOS!C7435="","",DADOS!C7435)</f>
        <v/>
      </c>
      <c r="F7435" s="9" t="str">
        <f>IF(DADOS!E7435="","",DADOS!E7435)</f>
        <v/>
      </c>
      <c r="G7435" s="9" t="str">
        <f>IF(DADOS!F7435="","",DADOS!F7435)</f>
        <v/>
      </c>
      <c r="K7435" s="6" t="str">
        <f t="shared" si="585"/>
        <v/>
      </c>
      <c r="L7435" s="7" t="str">
        <f t="shared" si="586"/>
        <v/>
      </c>
      <c r="M7435" s="7" t="str">
        <f t="shared" si="583"/>
        <v/>
      </c>
      <c r="N7435" s="7" t="str">
        <f t="shared" si="587"/>
        <v/>
      </c>
      <c r="O7435" s="8"/>
      <c r="P7435" s="26"/>
      <c r="S7435" s="10" t="str">
        <f t="shared" si="584"/>
        <v/>
      </c>
    </row>
    <row r="7436" spans="5:19" x14ac:dyDescent="0.3">
      <c r="E7436" s="9" t="str">
        <f>IF(DADOS!C7436="","",DADOS!C7436)</f>
        <v/>
      </c>
      <c r="F7436" s="9" t="str">
        <f>IF(DADOS!E7436="","",DADOS!E7436)</f>
        <v/>
      </c>
      <c r="G7436" s="9" t="str">
        <f>IF(DADOS!F7436="","",DADOS!F7436)</f>
        <v/>
      </c>
      <c r="K7436" s="6" t="str">
        <f t="shared" si="585"/>
        <v/>
      </c>
      <c r="L7436" s="7" t="str">
        <f t="shared" si="586"/>
        <v/>
      </c>
      <c r="M7436" s="7" t="str">
        <f t="shared" si="583"/>
        <v/>
      </c>
      <c r="N7436" s="7" t="str">
        <f t="shared" si="587"/>
        <v/>
      </c>
      <c r="O7436" s="8"/>
      <c r="P7436" s="26"/>
      <c r="S7436" s="10" t="str">
        <f t="shared" si="584"/>
        <v/>
      </c>
    </row>
    <row r="7437" spans="5:19" x14ac:dyDescent="0.3">
      <c r="E7437" s="9" t="str">
        <f>IF(DADOS!C7437="","",DADOS!C7437)</f>
        <v/>
      </c>
      <c r="F7437" s="9" t="str">
        <f>IF(DADOS!E7437="","",DADOS!E7437)</f>
        <v/>
      </c>
      <c r="G7437" s="9" t="str">
        <f>IF(DADOS!F7437="","",DADOS!F7437)</f>
        <v/>
      </c>
      <c r="K7437" s="6" t="str">
        <f t="shared" si="585"/>
        <v/>
      </c>
      <c r="L7437" s="7" t="str">
        <f t="shared" si="586"/>
        <v/>
      </c>
      <c r="M7437" s="7" t="str">
        <f t="shared" si="583"/>
        <v/>
      </c>
      <c r="N7437" s="7" t="str">
        <f t="shared" si="587"/>
        <v/>
      </c>
      <c r="O7437" s="8"/>
      <c r="P7437" s="26"/>
      <c r="S7437" s="10" t="str">
        <f t="shared" si="584"/>
        <v/>
      </c>
    </row>
    <row r="7438" spans="5:19" x14ac:dyDescent="0.3">
      <c r="E7438" s="9" t="str">
        <f>IF(DADOS!C7438="","",DADOS!C7438)</f>
        <v/>
      </c>
      <c r="F7438" s="9" t="str">
        <f>IF(DADOS!E7438="","",DADOS!E7438)</f>
        <v/>
      </c>
      <c r="G7438" s="9" t="str">
        <f>IF(DADOS!F7438="","",DADOS!F7438)</f>
        <v/>
      </c>
      <c r="K7438" s="6" t="str">
        <f t="shared" si="585"/>
        <v/>
      </c>
      <c r="L7438" s="7" t="str">
        <f t="shared" si="586"/>
        <v/>
      </c>
      <c r="M7438" s="7" t="str">
        <f t="shared" si="583"/>
        <v/>
      </c>
      <c r="N7438" s="7" t="str">
        <f t="shared" si="587"/>
        <v/>
      </c>
      <c r="O7438" s="8"/>
      <c r="P7438" s="26"/>
      <c r="S7438" s="10" t="str">
        <f t="shared" si="584"/>
        <v/>
      </c>
    </row>
    <row r="7439" spans="5:19" x14ac:dyDescent="0.3">
      <c r="E7439" s="9" t="str">
        <f>IF(DADOS!C7439="","",DADOS!C7439)</f>
        <v/>
      </c>
      <c r="F7439" s="9" t="str">
        <f>IF(DADOS!E7439="","",DADOS!E7439)</f>
        <v/>
      </c>
      <c r="G7439" s="9" t="str">
        <f>IF(DADOS!F7439="","",DADOS!F7439)</f>
        <v/>
      </c>
      <c r="K7439" s="6" t="str">
        <f t="shared" si="585"/>
        <v/>
      </c>
      <c r="L7439" s="7" t="str">
        <f t="shared" si="586"/>
        <v/>
      </c>
      <c r="M7439" s="7" t="str">
        <f t="shared" si="583"/>
        <v/>
      </c>
      <c r="N7439" s="7" t="str">
        <f t="shared" si="587"/>
        <v/>
      </c>
      <c r="O7439" s="8"/>
      <c r="P7439" s="26"/>
      <c r="S7439" s="10" t="str">
        <f t="shared" si="584"/>
        <v/>
      </c>
    </row>
    <row r="7440" spans="5:19" x14ac:dyDescent="0.3">
      <c r="E7440" s="9" t="str">
        <f>IF(DADOS!C7440="","",DADOS!C7440)</f>
        <v/>
      </c>
      <c r="F7440" s="9" t="str">
        <f>IF(DADOS!E7440="","",DADOS!E7440)</f>
        <v/>
      </c>
      <c r="G7440" s="9" t="str">
        <f>IF(DADOS!F7440="","",DADOS!F7440)</f>
        <v/>
      </c>
      <c r="K7440" s="6" t="str">
        <f t="shared" si="585"/>
        <v/>
      </c>
      <c r="L7440" s="7" t="str">
        <f t="shared" si="586"/>
        <v/>
      </c>
      <c r="M7440" s="7" t="str">
        <f t="shared" si="583"/>
        <v/>
      </c>
      <c r="N7440" s="7" t="str">
        <f t="shared" si="587"/>
        <v/>
      </c>
      <c r="O7440" s="8"/>
      <c r="P7440" s="26"/>
      <c r="S7440" s="10" t="str">
        <f t="shared" si="584"/>
        <v/>
      </c>
    </row>
    <row r="7441" spans="5:19" x14ac:dyDescent="0.3">
      <c r="E7441" s="9" t="str">
        <f>IF(DADOS!C7441="","",DADOS!C7441)</f>
        <v/>
      </c>
      <c r="F7441" s="9" t="str">
        <f>IF(DADOS!E7441="","",DADOS!E7441)</f>
        <v/>
      </c>
      <c r="G7441" s="9" t="str">
        <f>IF(DADOS!F7441="","",DADOS!F7441)</f>
        <v/>
      </c>
      <c r="K7441" s="6" t="str">
        <f t="shared" si="585"/>
        <v/>
      </c>
      <c r="L7441" s="7" t="str">
        <f t="shared" si="586"/>
        <v/>
      </c>
      <c r="M7441" s="7" t="str">
        <f t="shared" si="583"/>
        <v/>
      </c>
      <c r="N7441" s="7" t="str">
        <f t="shared" si="587"/>
        <v/>
      </c>
      <c r="O7441" s="8"/>
      <c r="P7441" s="26"/>
      <c r="S7441" s="10" t="str">
        <f t="shared" si="584"/>
        <v/>
      </c>
    </row>
    <row r="7442" spans="5:19" x14ac:dyDescent="0.3">
      <c r="E7442" s="9" t="str">
        <f>IF(DADOS!C7442="","",DADOS!C7442)</f>
        <v/>
      </c>
      <c r="F7442" s="9" t="str">
        <f>IF(DADOS!E7442="","",DADOS!E7442)</f>
        <v/>
      </c>
      <c r="G7442" s="9" t="str">
        <f>IF(DADOS!F7442="","",DADOS!F7442)</f>
        <v/>
      </c>
      <c r="K7442" s="6" t="str">
        <f t="shared" si="585"/>
        <v/>
      </c>
      <c r="L7442" s="7" t="str">
        <f t="shared" si="586"/>
        <v/>
      </c>
      <c r="M7442" s="7" t="str">
        <f t="shared" si="583"/>
        <v/>
      </c>
      <c r="N7442" s="7" t="str">
        <f t="shared" si="587"/>
        <v/>
      </c>
      <c r="O7442" s="8"/>
      <c r="P7442" s="26"/>
      <c r="S7442" s="10" t="str">
        <f t="shared" si="584"/>
        <v/>
      </c>
    </row>
    <row r="7443" spans="5:19" x14ac:dyDescent="0.3">
      <c r="E7443" s="9" t="str">
        <f>IF(DADOS!C7443="","",DADOS!C7443)</f>
        <v/>
      </c>
      <c r="F7443" s="9" t="str">
        <f>IF(DADOS!E7443="","",DADOS!E7443)</f>
        <v/>
      </c>
      <c r="G7443" s="9" t="str">
        <f>IF(DADOS!F7443="","",DADOS!F7443)</f>
        <v/>
      </c>
      <c r="K7443" s="6" t="str">
        <f t="shared" si="585"/>
        <v/>
      </c>
      <c r="L7443" s="7" t="str">
        <f t="shared" si="586"/>
        <v/>
      </c>
      <c r="M7443" s="7" t="str">
        <f t="shared" si="583"/>
        <v/>
      </c>
      <c r="N7443" s="7" t="str">
        <f t="shared" si="587"/>
        <v/>
      </c>
      <c r="O7443" s="8"/>
      <c r="P7443" s="26"/>
      <c r="S7443" s="10" t="str">
        <f t="shared" si="584"/>
        <v/>
      </c>
    </row>
    <row r="7444" spans="5:19" x14ac:dyDescent="0.3">
      <c r="E7444" s="9" t="str">
        <f>IF(DADOS!C7444="","",DADOS!C7444)</f>
        <v/>
      </c>
      <c r="F7444" s="9" t="str">
        <f>IF(DADOS!E7444="","",DADOS!E7444)</f>
        <v/>
      </c>
      <c r="G7444" s="9" t="str">
        <f>IF(DADOS!F7444="","",DADOS!F7444)</f>
        <v/>
      </c>
      <c r="K7444" s="6" t="str">
        <f t="shared" si="585"/>
        <v/>
      </c>
      <c r="L7444" s="7" t="str">
        <f t="shared" si="586"/>
        <v/>
      </c>
      <c r="M7444" s="7" t="str">
        <f t="shared" si="583"/>
        <v/>
      </c>
      <c r="N7444" s="7" t="str">
        <f t="shared" si="587"/>
        <v/>
      </c>
      <c r="O7444" s="8"/>
      <c r="P7444" s="26"/>
      <c r="S7444" s="10" t="str">
        <f t="shared" si="584"/>
        <v/>
      </c>
    </row>
    <row r="7445" spans="5:19" x14ac:dyDescent="0.3">
      <c r="E7445" s="9" t="str">
        <f>IF(DADOS!C7445="","",DADOS!C7445)</f>
        <v/>
      </c>
      <c r="F7445" s="9" t="str">
        <f>IF(DADOS!E7445="","",DADOS!E7445)</f>
        <v/>
      </c>
      <c r="G7445" s="9" t="str">
        <f>IF(DADOS!F7445="","",DADOS!F7445)</f>
        <v/>
      </c>
      <c r="K7445" s="6" t="str">
        <f t="shared" si="585"/>
        <v/>
      </c>
      <c r="L7445" s="7" t="str">
        <f t="shared" si="586"/>
        <v/>
      </c>
      <c r="M7445" s="7" t="str">
        <f t="shared" si="583"/>
        <v/>
      </c>
      <c r="N7445" s="7" t="str">
        <f t="shared" si="587"/>
        <v/>
      </c>
      <c r="O7445" s="8"/>
      <c r="P7445" s="26"/>
      <c r="S7445" s="10" t="str">
        <f t="shared" si="584"/>
        <v/>
      </c>
    </row>
    <row r="7446" spans="5:19" x14ac:dyDescent="0.3">
      <c r="E7446" s="9" t="str">
        <f>IF(DADOS!C7446="","",DADOS!C7446)</f>
        <v/>
      </c>
      <c r="F7446" s="9" t="str">
        <f>IF(DADOS!E7446="","",DADOS!E7446)</f>
        <v/>
      </c>
      <c r="G7446" s="9" t="str">
        <f>IF(DADOS!F7446="","",DADOS!F7446)</f>
        <v/>
      </c>
      <c r="K7446" s="6" t="str">
        <f t="shared" si="585"/>
        <v/>
      </c>
      <c r="L7446" s="7" t="str">
        <f t="shared" si="586"/>
        <v/>
      </c>
      <c r="M7446" s="7" t="str">
        <f t="shared" si="583"/>
        <v/>
      </c>
      <c r="N7446" s="7" t="str">
        <f t="shared" si="587"/>
        <v/>
      </c>
      <c r="O7446" s="8"/>
      <c r="P7446" s="26"/>
      <c r="S7446" s="10" t="str">
        <f t="shared" si="584"/>
        <v/>
      </c>
    </row>
    <row r="7447" spans="5:19" x14ac:dyDescent="0.3">
      <c r="E7447" s="9" t="str">
        <f>IF(DADOS!C7447="","",DADOS!C7447)</f>
        <v/>
      </c>
      <c r="F7447" s="9" t="str">
        <f>IF(DADOS!E7447="","",DADOS!E7447)</f>
        <v/>
      </c>
      <c r="G7447" s="9" t="str">
        <f>IF(DADOS!F7447="","",DADOS!F7447)</f>
        <v/>
      </c>
      <c r="K7447" s="6" t="str">
        <f t="shared" si="585"/>
        <v/>
      </c>
      <c r="L7447" s="7" t="str">
        <f t="shared" si="586"/>
        <v/>
      </c>
      <c r="M7447" s="7" t="str">
        <f t="shared" si="583"/>
        <v/>
      </c>
      <c r="N7447" s="7" t="str">
        <f t="shared" si="587"/>
        <v/>
      </c>
      <c r="O7447" s="8"/>
      <c r="P7447" s="26"/>
      <c r="S7447" s="10" t="str">
        <f t="shared" si="584"/>
        <v/>
      </c>
    </row>
    <row r="7448" spans="5:19" x14ac:dyDescent="0.3">
      <c r="E7448" s="9" t="str">
        <f>IF(DADOS!C7448="","",DADOS!C7448)</f>
        <v/>
      </c>
      <c r="F7448" s="9" t="str">
        <f>IF(DADOS!E7448="","",DADOS!E7448)</f>
        <v/>
      </c>
      <c r="G7448" s="9" t="str">
        <f>IF(DADOS!F7448="","",DADOS!F7448)</f>
        <v/>
      </c>
      <c r="K7448" s="6" t="str">
        <f t="shared" si="585"/>
        <v/>
      </c>
      <c r="L7448" s="7" t="str">
        <f t="shared" si="586"/>
        <v/>
      </c>
      <c r="M7448" s="7" t="str">
        <f t="shared" si="583"/>
        <v/>
      </c>
      <c r="N7448" s="7" t="str">
        <f t="shared" si="587"/>
        <v/>
      </c>
      <c r="O7448" s="8"/>
      <c r="P7448" s="26"/>
      <c r="S7448" s="10" t="str">
        <f t="shared" si="584"/>
        <v/>
      </c>
    </row>
    <row r="7449" spans="5:19" x14ac:dyDescent="0.3">
      <c r="E7449" s="9" t="str">
        <f>IF(DADOS!C7449="","",DADOS!C7449)</f>
        <v/>
      </c>
      <c r="F7449" s="9" t="str">
        <f>IF(DADOS!E7449="","",DADOS!E7449)</f>
        <v/>
      </c>
      <c r="G7449" s="9" t="str">
        <f>IF(DADOS!F7449="","",DADOS!F7449)</f>
        <v/>
      </c>
      <c r="K7449" s="6" t="str">
        <f t="shared" si="585"/>
        <v/>
      </c>
      <c r="L7449" s="7" t="str">
        <f t="shared" si="586"/>
        <v/>
      </c>
      <c r="M7449" s="7" t="str">
        <f t="shared" si="583"/>
        <v/>
      </c>
      <c r="N7449" s="7" t="str">
        <f t="shared" si="587"/>
        <v/>
      </c>
      <c r="O7449" s="8"/>
      <c r="P7449" s="26"/>
      <c r="S7449" s="10" t="str">
        <f t="shared" si="584"/>
        <v/>
      </c>
    </row>
    <row r="7450" spans="5:19" x14ac:dyDescent="0.3">
      <c r="E7450" s="9" t="str">
        <f>IF(DADOS!C7450="","",DADOS!C7450)</f>
        <v/>
      </c>
      <c r="F7450" s="9" t="str">
        <f>IF(DADOS!E7450="","",DADOS!E7450)</f>
        <v/>
      </c>
      <c r="G7450" s="9" t="str">
        <f>IF(DADOS!F7450="","",DADOS!F7450)</f>
        <v/>
      </c>
      <c r="K7450" s="6" t="str">
        <f t="shared" si="585"/>
        <v/>
      </c>
      <c r="L7450" s="7" t="str">
        <f t="shared" si="586"/>
        <v/>
      </c>
      <c r="M7450" s="7" t="str">
        <f t="shared" si="583"/>
        <v/>
      </c>
      <c r="N7450" s="7" t="str">
        <f t="shared" si="587"/>
        <v/>
      </c>
      <c r="O7450" s="8"/>
      <c r="P7450" s="26"/>
      <c r="S7450" s="10" t="str">
        <f t="shared" si="584"/>
        <v/>
      </c>
    </row>
    <row r="7451" spans="5:19" x14ac:dyDescent="0.3">
      <c r="E7451" s="9" t="str">
        <f>IF(DADOS!C7451="","",DADOS!C7451)</f>
        <v/>
      </c>
      <c r="F7451" s="9" t="str">
        <f>IF(DADOS!E7451="","",DADOS!E7451)</f>
        <v/>
      </c>
      <c r="G7451" s="9" t="str">
        <f>IF(DADOS!F7451="","",DADOS!F7451)</f>
        <v/>
      </c>
      <c r="K7451" s="6" t="str">
        <f t="shared" si="585"/>
        <v/>
      </c>
      <c r="L7451" s="7" t="str">
        <f t="shared" si="586"/>
        <v/>
      </c>
      <c r="M7451" s="7" t="str">
        <f t="shared" si="583"/>
        <v/>
      </c>
      <c r="N7451" s="7" t="str">
        <f t="shared" si="587"/>
        <v/>
      </c>
      <c r="O7451" s="8"/>
      <c r="P7451" s="26"/>
      <c r="S7451" s="10" t="str">
        <f t="shared" si="584"/>
        <v/>
      </c>
    </row>
    <row r="7452" spans="5:19" x14ac:dyDescent="0.3">
      <c r="E7452" s="9" t="str">
        <f>IF(DADOS!C7452="","",DADOS!C7452)</f>
        <v/>
      </c>
      <c r="F7452" s="9" t="str">
        <f>IF(DADOS!E7452="","",DADOS!E7452)</f>
        <v/>
      </c>
      <c r="G7452" s="9" t="str">
        <f>IF(DADOS!F7452="","",DADOS!F7452)</f>
        <v/>
      </c>
      <c r="K7452" s="6" t="str">
        <f t="shared" si="585"/>
        <v/>
      </c>
      <c r="L7452" s="7" t="str">
        <f t="shared" si="586"/>
        <v/>
      </c>
      <c r="M7452" s="7" t="str">
        <f t="shared" si="583"/>
        <v/>
      </c>
      <c r="N7452" s="7" t="str">
        <f t="shared" si="587"/>
        <v/>
      </c>
      <c r="O7452" s="8"/>
      <c r="P7452" s="26"/>
      <c r="S7452" s="10" t="str">
        <f t="shared" si="584"/>
        <v/>
      </c>
    </row>
    <row r="7453" spans="5:19" x14ac:dyDescent="0.3">
      <c r="E7453" s="9" t="str">
        <f>IF(DADOS!C7453="","",DADOS!C7453)</f>
        <v/>
      </c>
      <c r="F7453" s="9" t="str">
        <f>IF(DADOS!E7453="","",DADOS!E7453)</f>
        <v/>
      </c>
      <c r="G7453" s="9" t="str">
        <f>IF(DADOS!F7453="","",DADOS!F7453)</f>
        <v/>
      </c>
      <c r="K7453" s="6" t="str">
        <f t="shared" si="585"/>
        <v/>
      </c>
      <c r="L7453" s="7" t="str">
        <f t="shared" si="586"/>
        <v/>
      </c>
      <c r="M7453" s="7" t="str">
        <f t="shared" si="583"/>
        <v/>
      </c>
      <c r="N7453" s="7" t="str">
        <f t="shared" si="587"/>
        <v/>
      </c>
      <c r="O7453" s="8"/>
      <c r="P7453" s="26"/>
      <c r="S7453" s="10" t="str">
        <f t="shared" si="584"/>
        <v/>
      </c>
    </row>
    <row r="7454" spans="5:19" x14ac:dyDescent="0.3">
      <c r="E7454" s="9" t="str">
        <f>IF(DADOS!C7454="","",DADOS!C7454)</f>
        <v/>
      </c>
      <c r="F7454" s="9" t="str">
        <f>IF(DADOS!E7454="","",DADOS!E7454)</f>
        <v/>
      </c>
      <c r="G7454" s="9" t="str">
        <f>IF(DADOS!F7454="","",DADOS!F7454)</f>
        <v/>
      </c>
      <c r="K7454" s="6" t="str">
        <f t="shared" si="585"/>
        <v/>
      </c>
      <c r="L7454" s="7" t="str">
        <f t="shared" si="586"/>
        <v/>
      </c>
      <c r="M7454" s="7" t="str">
        <f t="shared" si="583"/>
        <v/>
      </c>
      <c r="N7454" s="7" t="str">
        <f t="shared" si="587"/>
        <v/>
      </c>
      <c r="O7454" s="8"/>
      <c r="P7454" s="26"/>
      <c r="S7454" s="10" t="str">
        <f t="shared" si="584"/>
        <v/>
      </c>
    </row>
    <row r="7455" spans="5:19" x14ac:dyDescent="0.3">
      <c r="E7455" s="9" t="str">
        <f>IF(DADOS!C7455="","",DADOS!C7455)</f>
        <v/>
      </c>
      <c r="F7455" s="9" t="str">
        <f>IF(DADOS!E7455="","",DADOS!E7455)</f>
        <v/>
      </c>
      <c r="G7455" s="9" t="str">
        <f>IF(DADOS!F7455="","",DADOS!F7455)</f>
        <v/>
      </c>
      <c r="K7455" s="6" t="str">
        <f t="shared" si="585"/>
        <v/>
      </c>
      <c r="L7455" s="7" t="str">
        <f t="shared" si="586"/>
        <v/>
      </c>
      <c r="M7455" s="7" t="str">
        <f t="shared" si="583"/>
        <v/>
      </c>
      <c r="N7455" s="7" t="str">
        <f t="shared" si="587"/>
        <v/>
      </c>
      <c r="O7455" s="8"/>
      <c r="P7455" s="26"/>
      <c r="S7455" s="10" t="str">
        <f t="shared" si="584"/>
        <v/>
      </c>
    </row>
    <row r="7456" spans="5:19" x14ac:dyDescent="0.3">
      <c r="E7456" s="9" t="str">
        <f>IF(DADOS!C7456="","",DADOS!C7456)</f>
        <v/>
      </c>
      <c r="F7456" s="9" t="str">
        <f>IF(DADOS!E7456="","",DADOS!E7456)</f>
        <v/>
      </c>
      <c r="G7456" s="9" t="str">
        <f>IF(DADOS!F7456="","",DADOS!F7456)</f>
        <v/>
      </c>
      <c r="K7456" s="6" t="str">
        <f t="shared" si="585"/>
        <v/>
      </c>
      <c r="L7456" s="7" t="str">
        <f t="shared" si="586"/>
        <v/>
      </c>
      <c r="M7456" s="7" t="str">
        <f t="shared" si="583"/>
        <v/>
      </c>
      <c r="N7456" s="7" t="str">
        <f t="shared" si="587"/>
        <v/>
      </c>
      <c r="O7456" s="8"/>
      <c r="P7456" s="26"/>
      <c r="S7456" s="10" t="str">
        <f t="shared" si="584"/>
        <v/>
      </c>
    </row>
    <row r="7457" spans="5:19" x14ac:dyDescent="0.3">
      <c r="E7457" s="9" t="str">
        <f>IF(DADOS!C7457="","",DADOS!C7457)</f>
        <v/>
      </c>
      <c r="F7457" s="9" t="str">
        <f>IF(DADOS!E7457="","",DADOS!E7457)</f>
        <v/>
      </c>
      <c r="G7457" s="9" t="str">
        <f>IF(DADOS!F7457="","",DADOS!F7457)</f>
        <v/>
      </c>
      <c r="K7457" s="6" t="str">
        <f t="shared" si="585"/>
        <v/>
      </c>
      <c r="L7457" s="7" t="str">
        <f t="shared" si="586"/>
        <v/>
      </c>
      <c r="M7457" s="7" t="str">
        <f t="shared" si="583"/>
        <v/>
      </c>
      <c r="N7457" s="7" t="str">
        <f t="shared" si="587"/>
        <v/>
      </c>
      <c r="O7457" s="8"/>
      <c r="P7457" s="26"/>
      <c r="S7457" s="10" t="str">
        <f t="shared" si="584"/>
        <v/>
      </c>
    </row>
    <row r="7458" spans="5:19" x14ac:dyDescent="0.3">
      <c r="E7458" s="9" t="str">
        <f>IF(DADOS!C7458="","",DADOS!C7458)</f>
        <v/>
      </c>
      <c r="F7458" s="9" t="str">
        <f>IF(DADOS!E7458="","",DADOS!E7458)</f>
        <v/>
      </c>
      <c r="G7458" s="9" t="str">
        <f>IF(DADOS!F7458="","",DADOS!F7458)</f>
        <v/>
      </c>
      <c r="K7458" s="6" t="str">
        <f t="shared" si="585"/>
        <v/>
      </c>
      <c r="L7458" s="7" t="str">
        <f t="shared" si="586"/>
        <v/>
      </c>
      <c r="M7458" s="7" t="str">
        <f t="shared" si="583"/>
        <v/>
      </c>
      <c r="N7458" s="7" t="str">
        <f t="shared" si="587"/>
        <v/>
      </c>
      <c r="O7458" s="8"/>
      <c r="P7458" s="26"/>
      <c r="S7458" s="10" t="str">
        <f t="shared" si="584"/>
        <v/>
      </c>
    </row>
    <row r="7459" spans="5:19" x14ac:dyDescent="0.3">
      <c r="E7459" s="9" t="str">
        <f>IF(DADOS!C7459="","",DADOS!C7459)</f>
        <v/>
      </c>
      <c r="F7459" s="9" t="str">
        <f>IF(DADOS!E7459="","",DADOS!E7459)</f>
        <v/>
      </c>
      <c r="G7459" s="9" t="str">
        <f>IF(DADOS!F7459="","",DADOS!F7459)</f>
        <v/>
      </c>
      <c r="K7459" s="6" t="str">
        <f t="shared" si="585"/>
        <v/>
      </c>
      <c r="L7459" s="7" t="str">
        <f t="shared" si="586"/>
        <v/>
      </c>
      <c r="M7459" s="7" t="str">
        <f t="shared" si="583"/>
        <v/>
      </c>
      <c r="N7459" s="7" t="str">
        <f t="shared" si="587"/>
        <v/>
      </c>
      <c r="O7459" s="8"/>
      <c r="P7459" s="26"/>
      <c r="S7459" s="10" t="str">
        <f t="shared" si="584"/>
        <v/>
      </c>
    </row>
    <row r="7460" spans="5:19" x14ac:dyDescent="0.3">
      <c r="E7460" s="9" t="str">
        <f>IF(DADOS!C7460="","",DADOS!C7460)</f>
        <v/>
      </c>
      <c r="F7460" s="9" t="str">
        <f>IF(DADOS!E7460="","",DADOS!E7460)</f>
        <v/>
      </c>
      <c r="G7460" s="9" t="str">
        <f>IF(DADOS!F7460="","",DADOS!F7460)</f>
        <v/>
      </c>
      <c r="K7460" s="6" t="str">
        <f t="shared" si="585"/>
        <v/>
      </c>
      <c r="L7460" s="7" t="str">
        <f t="shared" si="586"/>
        <v/>
      </c>
      <c r="M7460" s="7" t="str">
        <f t="shared" si="583"/>
        <v/>
      </c>
      <c r="N7460" s="7" t="str">
        <f t="shared" si="587"/>
        <v/>
      </c>
      <c r="O7460" s="8"/>
      <c r="P7460" s="26"/>
      <c r="S7460" s="10" t="str">
        <f t="shared" si="584"/>
        <v/>
      </c>
    </row>
    <row r="7461" spans="5:19" x14ac:dyDescent="0.3">
      <c r="E7461" s="9" t="str">
        <f>IF(DADOS!C7461="","",DADOS!C7461)</f>
        <v/>
      </c>
      <c r="F7461" s="9" t="str">
        <f>IF(DADOS!E7461="","",DADOS!E7461)</f>
        <v/>
      </c>
      <c r="G7461" s="9" t="str">
        <f>IF(DADOS!F7461="","",DADOS!F7461)</f>
        <v/>
      </c>
      <c r="K7461" s="6" t="str">
        <f t="shared" si="585"/>
        <v/>
      </c>
      <c r="L7461" s="7" t="str">
        <f t="shared" si="586"/>
        <v/>
      </c>
      <c r="M7461" s="7" t="str">
        <f t="shared" si="583"/>
        <v/>
      </c>
      <c r="N7461" s="7" t="str">
        <f t="shared" si="587"/>
        <v/>
      </c>
      <c r="O7461" s="8"/>
      <c r="P7461" s="26"/>
      <c r="S7461" s="10" t="str">
        <f t="shared" si="584"/>
        <v/>
      </c>
    </row>
    <row r="7462" spans="5:19" x14ac:dyDescent="0.3">
      <c r="E7462" s="9" t="str">
        <f>IF(DADOS!C7462="","",DADOS!C7462)</f>
        <v/>
      </c>
      <c r="F7462" s="9" t="str">
        <f>IF(DADOS!E7462="","",DADOS!E7462)</f>
        <v/>
      </c>
      <c r="G7462" s="9" t="str">
        <f>IF(DADOS!F7462="","",DADOS!F7462)</f>
        <v/>
      </c>
      <c r="K7462" s="6" t="str">
        <f t="shared" si="585"/>
        <v/>
      </c>
      <c r="L7462" s="7" t="str">
        <f t="shared" si="586"/>
        <v/>
      </c>
      <c r="M7462" s="7" t="str">
        <f t="shared" si="583"/>
        <v/>
      </c>
      <c r="N7462" s="7" t="str">
        <f t="shared" si="587"/>
        <v/>
      </c>
      <c r="O7462" s="8"/>
      <c r="P7462" s="26"/>
      <c r="S7462" s="10" t="str">
        <f t="shared" si="584"/>
        <v/>
      </c>
    </row>
    <row r="7463" spans="5:19" x14ac:dyDescent="0.3">
      <c r="E7463" s="9" t="str">
        <f>IF(DADOS!C7463="","",DADOS!C7463)</f>
        <v/>
      </c>
      <c r="F7463" s="9" t="str">
        <f>IF(DADOS!E7463="","",DADOS!E7463)</f>
        <v/>
      </c>
      <c r="G7463" s="9" t="str">
        <f>IF(DADOS!F7463="","",DADOS!F7463)</f>
        <v/>
      </c>
      <c r="K7463" s="6" t="str">
        <f t="shared" si="585"/>
        <v/>
      </c>
      <c r="L7463" s="7" t="str">
        <f t="shared" si="586"/>
        <v/>
      </c>
      <c r="M7463" s="7" t="str">
        <f t="shared" si="583"/>
        <v/>
      </c>
      <c r="N7463" s="7" t="str">
        <f t="shared" si="587"/>
        <v/>
      </c>
      <c r="O7463" s="8"/>
      <c r="P7463" s="26"/>
      <c r="S7463" s="10" t="str">
        <f t="shared" si="584"/>
        <v/>
      </c>
    </row>
    <row r="7464" spans="5:19" x14ac:dyDescent="0.3">
      <c r="E7464" s="9" t="str">
        <f>IF(DADOS!C7464="","",DADOS!C7464)</f>
        <v/>
      </c>
      <c r="F7464" s="9" t="str">
        <f>IF(DADOS!E7464="","",DADOS!E7464)</f>
        <v/>
      </c>
      <c r="G7464" s="9" t="str">
        <f>IF(DADOS!F7464="","",DADOS!F7464)</f>
        <v/>
      </c>
      <c r="K7464" s="6" t="str">
        <f t="shared" si="585"/>
        <v/>
      </c>
      <c r="L7464" s="7" t="str">
        <f t="shared" si="586"/>
        <v/>
      </c>
      <c r="M7464" s="7" t="str">
        <f t="shared" si="583"/>
        <v/>
      </c>
      <c r="N7464" s="7" t="str">
        <f t="shared" si="587"/>
        <v/>
      </c>
      <c r="O7464" s="8"/>
      <c r="P7464" s="26"/>
      <c r="S7464" s="10" t="str">
        <f t="shared" si="584"/>
        <v/>
      </c>
    </row>
    <row r="7465" spans="5:19" x14ac:dyDescent="0.3">
      <c r="E7465" s="9" t="str">
        <f>IF(DADOS!C7465="","",DADOS!C7465)</f>
        <v/>
      </c>
      <c r="F7465" s="9" t="str">
        <f>IF(DADOS!E7465="","",DADOS!E7465)</f>
        <v/>
      </c>
      <c r="G7465" s="9" t="str">
        <f>IF(DADOS!F7465="","",DADOS!F7465)</f>
        <v/>
      </c>
      <c r="K7465" s="6" t="str">
        <f t="shared" si="585"/>
        <v/>
      </c>
      <c r="L7465" s="7" t="str">
        <f t="shared" si="586"/>
        <v/>
      </c>
      <c r="M7465" s="7" t="str">
        <f t="shared" si="583"/>
        <v/>
      </c>
      <c r="N7465" s="7" t="str">
        <f t="shared" si="587"/>
        <v/>
      </c>
      <c r="O7465" s="8"/>
      <c r="P7465" s="26"/>
      <c r="S7465" s="10" t="str">
        <f t="shared" si="584"/>
        <v/>
      </c>
    </row>
    <row r="7466" spans="5:19" x14ac:dyDescent="0.3">
      <c r="E7466" s="9" t="str">
        <f>IF(DADOS!C7466="","",DADOS!C7466)</f>
        <v/>
      </c>
      <c r="F7466" s="9" t="str">
        <f>IF(DADOS!E7466="","",DADOS!E7466)</f>
        <v/>
      </c>
      <c r="G7466" s="9" t="str">
        <f>IF(DADOS!F7466="","",DADOS!F7466)</f>
        <v/>
      </c>
      <c r="K7466" s="6" t="str">
        <f t="shared" si="585"/>
        <v/>
      </c>
      <c r="L7466" s="7" t="str">
        <f t="shared" si="586"/>
        <v/>
      </c>
      <c r="M7466" s="7" t="str">
        <f t="shared" si="583"/>
        <v/>
      </c>
      <c r="N7466" s="7" t="str">
        <f t="shared" si="587"/>
        <v/>
      </c>
      <c r="O7466" s="8"/>
      <c r="P7466" s="26"/>
      <c r="S7466" s="10" t="str">
        <f t="shared" si="584"/>
        <v/>
      </c>
    </row>
    <row r="7467" spans="5:19" x14ac:dyDescent="0.3">
      <c r="E7467" s="9" t="str">
        <f>IF(DADOS!C7467="","",DADOS!C7467)</f>
        <v/>
      </c>
      <c r="F7467" s="9" t="str">
        <f>IF(DADOS!E7467="","",DADOS!E7467)</f>
        <v/>
      </c>
      <c r="G7467" s="9" t="str">
        <f>IF(DADOS!F7467="","",DADOS!F7467)</f>
        <v/>
      </c>
      <c r="K7467" s="6" t="str">
        <f t="shared" si="585"/>
        <v/>
      </c>
      <c r="L7467" s="7" t="str">
        <f t="shared" si="586"/>
        <v/>
      </c>
      <c r="M7467" s="7" t="str">
        <f t="shared" si="583"/>
        <v/>
      </c>
      <c r="N7467" s="7" t="str">
        <f t="shared" si="587"/>
        <v/>
      </c>
      <c r="O7467" s="8"/>
      <c r="P7467" s="26"/>
      <c r="S7467" s="10" t="str">
        <f t="shared" si="584"/>
        <v/>
      </c>
    </row>
    <row r="7468" spans="5:19" x14ac:dyDescent="0.3">
      <c r="E7468" s="9" t="str">
        <f>IF(DADOS!C7468="","",DADOS!C7468)</f>
        <v/>
      </c>
      <c r="F7468" s="9" t="str">
        <f>IF(DADOS!E7468="","",DADOS!E7468)</f>
        <v/>
      </c>
      <c r="G7468" s="9" t="str">
        <f>IF(DADOS!F7468="","",DADOS!F7468)</f>
        <v/>
      </c>
      <c r="K7468" s="6" t="str">
        <f t="shared" si="585"/>
        <v/>
      </c>
      <c r="L7468" s="7" t="str">
        <f t="shared" si="586"/>
        <v/>
      </c>
      <c r="M7468" s="7" t="str">
        <f t="shared" si="583"/>
        <v/>
      </c>
      <c r="N7468" s="7" t="str">
        <f t="shared" si="587"/>
        <v/>
      </c>
      <c r="O7468" s="8"/>
      <c r="P7468" s="26"/>
      <c r="S7468" s="10" t="str">
        <f t="shared" si="584"/>
        <v/>
      </c>
    </row>
    <row r="7469" spans="5:19" x14ac:dyDescent="0.3">
      <c r="E7469" s="9" t="str">
        <f>IF(DADOS!C7469="","",DADOS!C7469)</f>
        <v/>
      </c>
      <c r="F7469" s="9" t="str">
        <f>IF(DADOS!E7469="","",DADOS!E7469)</f>
        <v/>
      </c>
      <c r="G7469" s="9" t="str">
        <f>IF(DADOS!F7469="","",DADOS!F7469)</f>
        <v/>
      </c>
      <c r="K7469" s="6" t="str">
        <f t="shared" si="585"/>
        <v/>
      </c>
      <c r="L7469" s="7" t="str">
        <f t="shared" si="586"/>
        <v/>
      </c>
      <c r="M7469" s="7" t="str">
        <f t="shared" si="583"/>
        <v/>
      </c>
      <c r="N7469" s="7" t="str">
        <f t="shared" si="587"/>
        <v/>
      </c>
      <c r="O7469" s="8"/>
      <c r="P7469" s="26"/>
      <c r="S7469" s="10" t="str">
        <f t="shared" si="584"/>
        <v/>
      </c>
    </row>
    <row r="7470" spans="5:19" x14ac:dyDescent="0.3">
      <c r="E7470" s="9" t="str">
        <f>IF(DADOS!C7470="","",DADOS!C7470)</f>
        <v/>
      </c>
      <c r="F7470" s="9" t="str">
        <f>IF(DADOS!E7470="","",DADOS!E7470)</f>
        <v/>
      </c>
      <c r="G7470" s="9" t="str">
        <f>IF(DADOS!F7470="","",DADOS!F7470)</f>
        <v/>
      </c>
      <c r="K7470" s="6" t="str">
        <f t="shared" si="585"/>
        <v/>
      </c>
      <c r="L7470" s="7" t="str">
        <f t="shared" si="586"/>
        <v/>
      </c>
      <c r="M7470" s="7" t="str">
        <f t="shared" si="583"/>
        <v/>
      </c>
      <c r="N7470" s="7" t="str">
        <f t="shared" si="587"/>
        <v/>
      </c>
      <c r="O7470" s="8"/>
      <c r="P7470" s="26"/>
      <c r="S7470" s="10" t="str">
        <f t="shared" si="584"/>
        <v/>
      </c>
    </row>
    <row r="7471" spans="5:19" x14ac:dyDescent="0.3">
      <c r="E7471" s="9" t="str">
        <f>IF(DADOS!C7471="","",DADOS!C7471)</f>
        <v/>
      </c>
      <c r="F7471" s="9" t="str">
        <f>IF(DADOS!E7471="","",DADOS!E7471)</f>
        <v/>
      </c>
      <c r="G7471" s="9" t="str">
        <f>IF(DADOS!F7471="","",DADOS!F7471)</f>
        <v/>
      </c>
      <c r="K7471" s="6" t="str">
        <f t="shared" si="585"/>
        <v/>
      </c>
      <c r="L7471" s="7" t="str">
        <f t="shared" si="586"/>
        <v/>
      </c>
      <c r="M7471" s="7" t="str">
        <f t="shared" si="583"/>
        <v/>
      </c>
      <c r="N7471" s="7" t="str">
        <f t="shared" si="587"/>
        <v/>
      </c>
      <c r="O7471" s="8"/>
      <c r="P7471" s="26"/>
      <c r="S7471" s="10" t="str">
        <f t="shared" si="584"/>
        <v/>
      </c>
    </row>
    <row r="7472" spans="5:19" x14ac:dyDescent="0.3">
      <c r="E7472" s="9" t="str">
        <f>IF(DADOS!C7472="","",DADOS!C7472)</f>
        <v/>
      </c>
      <c r="F7472" s="9" t="str">
        <f>IF(DADOS!E7472="","",DADOS!E7472)</f>
        <v/>
      </c>
      <c r="G7472" s="9" t="str">
        <f>IF(DADOS!F7472="","",DADOS!F7472)</f>
        <v/>
      </c>
      <c r="K7472" s="6" t="str">
        <f t="shared" si="585"/>
        <v/>
      </c>
      <c r="L7472" s="7" t="str">
        <f t="shared" si="586"/>
        <v/>
      </c>
      <c r="M7472" s="7" t="str">
        <f t="shared" si="583"/>
        <v/>
      </c>
      <c r="N7472" s="7" t="str">
        <f t="shared" si="587"/>
        <v/>
      </c>
      <c r="O7472" s="8"/>
      <c r="P7472" s="26"/>
      <c r="S7472" s="10" t="str">
        <f t="shared" si="584"/>
        <v/>
      </c>
    </row>
    <row r="7473" spans="5:19" x14ac:dyDescent="0.3">
      <c r="E7473" s="9" t="str">
        <f>IF(DADOS!C7473="","",DADOS!C7473)</f>
        <v/>
      </c>
      <c r="F7473" s="9" t="str">
        <f>IF(DADOS!E7473="","",DADOS!E7473)</f>
        <v/>
      </c>
      <c r="G7473" s="9" t="str">
        <f>IF(DADOS!F7473="","",DADOS!F7473)</f>
        <v/>
      </c>
      <c r="K7473" s="6" t="str">
        <f t="shared" si="585"/>
        <v/>
      </c>
      <c r="L7473" s="7" t="str">
        <f t="shared" si="586"/>
        <v/>
      </c>
      <c r="M7473" s="7" t="str">
        <f t="shared" si="583"/>
        <v/>
      </c>
      <c r="N7473" s="7" t="str">
        <f t="shared" si="587"/>
        <v/>
      </c>
      <c r="O7473" s="8"/>
      <c r="P7473" s="26"/>
      <c r="S7473" s="10" t="str">
        <f t="shared" si="584"/>
        <v/>
      </c>
    </row>
    <row r="7474" spans="5:19" x14ac:dyDescent="0.3">
      <c r="E7474" s="9" t="str">
        <f>IF(DADOS!C7474="","",DADOS!C7474)</f>
        <v/>
      </c>
      <c r="F7474" s="9" t="str">
        <f>IF(DADOS!E7474="","",DADOS!E7474)</f>
        <v/>
      </c>
      <c r="G7474" s="9" t="str">
        <f>IF(DADOS!F7474="","",DADOS!F7474)</f>
        <v/>
      </c>
      <c r="K7474" s="6" t="str">
        <f t="shared" si="585"/>
        <v/>
      </c>
      <c r="L7474" s="7" t="str">
        <f t="shared" si="586"/>
        <v/>
      </c>
      <c r="M7474" s="7" t="str">
        <f t="shared" si="583"/>
        <v/>
      </c>
      <c r="N7474" s="7" t="str">
        <f t="shared" si="587"/>
        <v/>
      </c>
      <c r="O7474" s="8"/>
      <c r="P7474" s="26"/>
      <c r="S7474" s="10" t="str">
        <f t="shared" si="584"/>
        <v/>
      </c>
    </row>
    <row r="7475" spans="5:19" x14ac:dyDescent="0.3">
      <c r="E7475" s="9" t="str">
        <f>IF(DADOS!C7475="","",DADOS!C7475)</f>
        <v/>
      </c>
      <c r="F7475" s="9" t="str">
        <f>IF(DADOS!E7475="","",DADOS!E7475)</f>
        <v/>
      </c>
      <c r="G7475" s="9" t="str">
        <f>IF(DADOS!F7475="","",DADOS!F7475)</f>
        <v/>
      </c>
      <c r="K7475" s="6" t="str">
        <f t="shared" si="585"/>
        <v/>
      </c>
      <c r="L7475" s="7" t="str">
        <f t="shared" si="586"/>
        <v/>
      </c>
      <c r="M7475" s="7" t="str">
        <f t="shared" si="583"/>
        <v/>
      </c>
      <c r="N7475" s="7" t="str">
        <f t="shared" si="587"/>
        <v/>
      </c>
      <c r="O7475" s="8"/>
      <c r="P7475" s="26"/>
      <c r="S7475" s="10" t="str">
        <f t="shared" si="584"/>
        <v/>
      </c>
    </row>
    <row r="7476" spans="5:19" x14ac:dyDescent="0.3">
      <c r="E7476" s="9" t="str">
        <f>IF(DADOS!C7476="","",DADOS!C7476)</f>
        <v/>
      </c>
      <c r="F7476" s="9" t="str">
        <f>IF(DADOS!E7476="","",DADOS!E7476)</f>
        <v/>
      </c>
      <c r="G7476" s="9" t="str">
        <f>IF(DADOS!F7476="","",DADOS!F7476)</f>
        <v/>
      </c>
      <c r="K7476" s="6" t="str">
        <f t="shared" si="585"/>
        <v/>
      </c>
      <c r="L7476" s="7" t="str">
        <f t="shared" si="586"/>
        <v/>
      </c>
      <c r="M7476" s="7" t="str">
        <f t="shared" si="583"/>
        <v/>
      </c>
      <c r="N7476" s="7" t="str">
        <f t="shared" si="587"/>
        <v/>
      </c>
      <c r="O7476" s="8"/>
      <c r="P7476" s="26"/>
      <c r="S7476" s="10" t="str">
        <f t="shared" si="584"/>
        <v/>
      </c>
    </row>
    <row r="7477" spans="5:19" x14ac:dyDescent="0.3">
      <c r="E7477" s="9" t="str">
        <f>IF(DADOS!C7477="","",DADOS!C7477)</f>
        <v/>
      </c>
      <c r="F7477" s="9" t="str">
        <f>IF(DADOS!E7477="","",DADOS!E7477)</f>
        <v/>
      </c>
      <c r="G7477" s="9" t="str">
        <f>IF(DADOS!F7477="","",DADOS!F7477)</f>
        <v/>
      </c>
      <c r="K7477" s="6" t="str">
        <f t="shared" si="585"/>
        <v/>
      </c>
      <c r="L7477" s="7" t="str">
        <f t="shared" si="586"/>
        <v/>
      </c>
      <c r="M7477" s="7" t="str">
        <f t="shared" si="583"/>
        <v/>
      </c>
      <c r="N7477" s="7" t="str">
        <f t="shared" si="587"/>
        <v/>
      </c>
      <c r="O7477" s="8"/>
      <c r="P7477" s="26"/>
      <c r="S7477" s="10" t="str">
        <f t="shared" si="584"/>
        <v/>
      </c>
    </row>
    <row r="7478" spans="5:19" x14ac:dyDescent="0.3">
      <c r="E7478" s="9" t="str">
        <f>IF(DADOS!C7478="","",DADOS!C7478)</f>
        <v/>
      </c>
      <c r="F7478" s="9" t="str">
        <f>IF(DADOS!E7478="","",DADOS!E7478)</f>
        <v/>
      </c>
      <c r="G7478" s="9" t="str">
        <f>IF(DADOS!F7478="","",DADOS!F7478)</f>
        <v/>
      </c>
      <c r="K7478" s="6" t="str">
        <f t="shared" si="585"/>
        <v/>
      </c>
      <c r="L7478" s="7" t="str">
        <f t="shared" si="586"/>
        <v/>
      </c>
      <c r="M7478" s="7" t="str">
        <f t="shared" si="583"/>
        <v/>
      </c>
      <c r="N7478" s="7" t="str">
        <f t="shared" si="587"/>
        <v/>
      </c>
      <c r="O7478" s="8"/>
      <c r="P7478" s="26"/>
      <c r="S7478" s="10" t="str">
        <f t="shared" si="584"/>
        <v/>
      </c>
    </row>
    <row r="7479" spans="5:19" x14ac:dyDescent="0.3">
      <c r="E7479" s="9" t="str">
        <f>IF(DADOS!C7479="","",DADOS!C7479)</f>
        <v/>
      </c>
      <c r="F7479" s="9" t="str">
        <f>IF(DADOS!E7479="","",DADOS!E7479)</f>
        <v/>
      </c>
      <c r="G7479" s="9" t="str">
        <f>IF(DADOS!F7479="","",DADOS!F7479)</f>
        <v/>
      </c>
      <c r="K7479" s="6" t="str">
        <f t="shared" si="585"/>
        <v/>
      </c>
      <c r="L7479" s="7" t="str">
        <f t="shared" si="586"/>
        <v/>
      </c>
      <c r="M7479" s="7" t="str">
        <f t="shared" si="583"/>
        <v/>
      </c>
      <c r="N7479" s="7" t="str">
        <f t="shared" si="587"/>
        <v/>
      </c>
      <c r="O7479" s="8"/>
      <c r="P7479" s="26"/>
      <c r="S7479" s="10" t="str">
        <f t="shared" si="584"/>
        <v/>
      </c>
    </row>
    <row r="7480" spans="5:19" x14ac:dyDescent="0.3">
      <c r="E7480" s="9" t="str">
        <f>IF(DADOS!C7480="","",DADOS!C7480)</f>
        <v/>
      </c>
      <c r="F7480" s="9" t="str">
        <f>IF(DADOS!E7480="","",DADOS!E7480)</f>
        <v/>
      </c>
      <c r="G7480" s="9" t="str">
        <f>IF(DADOS!F7480="","",DADOS!F7480)</f>
        <v/>
      </c>
      <c r="K7480" s="6" t="str">
        <f t="shared" si="585"/>
        <v/>
      </c>
      <c r="L7480" s="7" t="str">
        <f t="shared" si="586"/>
        <v/>
      </c>
      <c r="M7480" s="7" t="str">
        <f t="shared" si="583"/>
        <v/>
      </c>
      <c r="N7480" s="7" t="str">
        <f t="shared" si="587"/>
        <v/>
      </c>
      <c r="O7480" s="8"/>
      <c r="P7480" s="26"/>
      <c r="S7480" s="10" t="str">
        <f t="shared" si="584"/>
        <v/>
      </c>
    </row>
    <row r="7481" spans="5:19" x14ac:dyDescent="0.3">
      <c r="E7481" s="9" t="str">
        <f>IF(DADOS!C7481="","",DADOS!C7481)</f>
        <v/>
      </c>
      <c r="F7481" s="9" t="str">
        <f>IF(DADOS!E7481="","",DADOS!E7481)</f>
        <v/>
      </c>
      <c r="G7481" s="9" t="str">
        <f>IF(DADOS!F7481="","",DADOS!F7481)</f>
        <v/>
      </c>
      <c r="K7481" s="6" t="str">
        <f t="shared" si="585"/>
        <v/>
      </c>
      <c r="L7481" s="7" t="str">
        <f t="shared" si="586"/>
        <v/>
      </c>
      <c r="M7481" s="7" t="str">
        <f t="shared" si="583"/>
        <v/>
      </c>
      <c r="N7481" s="7" t="str">
        <f t="shared" si="587"/>
        <v/>
      </c>
      <c r="O7481" s="8"/>
      <c r="P7481" s="26"/>
      <c r="S7481" s="10" t="str">
        <f t="shared" si="584"/>
        <v/>
      </c>
    </row>
    <row r="7482" spans="5:19" x14ac:dyDescent="0.3">
      <c r="E7482" s="9" t="str">
        <f>IF(DADOS!C7482="","",DADOS!C7482)</f>
        <v/>
      </c>
      <c r="F7482" s="9" t="str">
        <f>IF(DADOS!E7482="","",DADOS!E7482)</f>
        <v/>
      </c>
      <c r="G7482" s="9" t="str">
        <f>IF(DADOS!F7482="","",DADOS!F7482)</f>
        <v/>
      </c>
      <c r="K7482" s="6" t="str">
        <f t="shared" si="585"/>
        <v/>
      </c>
      <c r="L7482" s="7" t="str">
        <f t="shared" si="586"/>
        <v/>
      </c>
      <c r="M7482" s="7" t="str">
        <f t="shared" si="583"/>
        <v/>
      </c>
      <c r="N7482" s="7" t="str">
        <f t="shared" si="587"/>
        <v/>
      </c>
      <c r="O7482" s="8"/>
      <c r="P7482" s="26"/>
      <c r="S7482" s="10" t="str">
        <f t="shared" si="584"/>
        <v/>
      </c>
    </row>
    <row r="7483" spans="5:19" x14ac:dyDescent="0.3">
      <c r="E7483" s="9" t="str">
        <f>IF(DADOS!C7483="","",DADOS!C7483)</f>
        <v/>
      </c>
      <c r="F7483" s="9" t="str">
        <f>IF(DADOS!E7483="","",DADOS!E7483)</f>
        <v/>
      </c>
      <c r="G7483" s="9" t="str">
        <f>IF(DADOS!F7483="","",DADOS!F7483)</f>
        <v/>
      </c>
      <c r="K7483" s="6" t="str">
        <f t="shared" si="585"/>
        <v/>
      </c>
      <c r="L7483" s="7" t="str">
        <f t="shared" si="586"/>
        <v/>
      </c>
      <c r="M7483" s="7" t="str">
        <f t="shared" si="583"/>
        <v/>
      </c>
      <c r="N7483" s="7" t="str">
        <f t="shared" si="587"/>
        <v/>
      </c>
      <c r="O7483" s="8"/>
      <c r="P7483" s="26"/>
      <c r="S7483" s="10" t="str">
        <f t="shared" si="584"/>
        <v/>
      </c>
    </row>
    <row r="7484" spans="5:19" x14ac:dyDescent="0.3">
      <c r="E7484" s="9" t="str">
        <f>IF(DADOS!C7484="","",DADOS!C7484)</f>
        <v/>
      </c>
      <c r="F7484" s="9" t="str">
        <f>IF(DADOS!E7484="","",DADOS!E7484)</f>
        <v/>
      </c>
      <c r="G7484" s="9" t="str">
        <f>IF(DADOS!F7484="","",DADOS!F7484)</f>
        <v/>
      </c>
      <c r="K7484" s="6" t="str">
        <f t="shared" si="585"/>
        <v/>
      </c>
      <c r="L7484" s="7" t="str">
        <f t="shared" si="586"/>
        <v/>
      </c>
      <c r="M7484" s="7" t="str">
        <f t="shared" si="583"/>
        <v/>
      </c>
      <c r="N7484" s="7" t="str">
        <f t="shared" si="587"/>
        <v/>
      </c>
      <c r="O7484" s="8"/>
      <c r="P7484" s="26"/>
      <c r="S7484" s="10" t="str">
        <f t="shared" si="584"/>
        <v/>
      </c>
    </row>
    <row r="7485" spans="5:19" x14ac:dyDescent="0.3">
      <c r="E7485" s="9" t="str">
        <f>IF(DADOS!C7485="","",DADOS!C7485)</f>
        <v/>
      </c>
      <c r="F7485" s="9" t="str">
        <f>IF(DADOS!E7485="","",DADOS!E7485)</f>
        <v/>
      </c>
      <c r="G7485" s="9" t="str">
        <f>IF(DADOS!F7485="","",DADOS!F7485)</f>
        <v/>
      </c>
      <c r="K7485" s="6" t="str">
        <f t="shared" si="585"/>
        <v/>
      </c>
      <c r="L7485" s="7" t="str">
        <f t="shared" si="586"/>
        <v/>
      </c>
      <c r="M7485" s="7" t="str">
        <f t="shared" si="583"/>
        <v/>
      </c>
      <c r="N7485" s="7" t="str">
        <f t="shared" si="587"/>
        <v/>
      </c>
      <c r="O7485" s="8"/>
      <c r="P7485" s="26"/>
      <c r="S7485" s="10" t="str">
        <f t="shared" si="584"/>
        <v/>
      </c>
    </row>
    <row r="7486" spans="5:19" x14ac:dyDescent="0.3">
      <c r="E7486" s="9" t="str">
        <f>IF(DADOS!C7486="","",DADOS!C7486)</f>
        <v/>
      </c>
      <c r="F7486" s="9" t="str">
        <f>IF(DADOS!E7486="","",DADOS!E7486)</f>
        <v/>
      </c>
      <c r="G7486" s="9" t="str">
        <f>IF(DADOS!F7486="","",DADOS!F7486)</f>
        <v/>
      </c>
      <c r="K7486" s="6" t="str">
        <f t="shared" si="585"/>
        <v/>
      </c>
      <c r="L7486" s="7" t="str">
        <f t="shared" si="586"/>
        <v/>
      </c>
      <c r="M7486" s="7" t="str">
        <f t="shared" si="583"/>
        <v/>
      </c>
      <c r="N7486" s="7" t="str">
        <f t="shared" si="587"/>
        <v/>
      </c>
      <c r="O7486" s="8"/>
      <c r="P7486" s="26"/>
      <c r="S7486" s="10" t="str">
        <f t="shared" si="584"/>
        <v/>
      </c>
    </row>
    <row r="7487" spans="5:19" x14ac:dyDescent="0.3">
      <c r="E7487" s="9" t="str">
        <f>IF(DADOS!C7487="","",DADOS!C7487)</f>
        <v/>
      </c>
      <c r="F7487" s="9" t="str">
        <f>IF(DADOS!E7487="","",DADOS!E7487)</f>
        <v/>
      </c>
      <c r="G7487" s="9" t="str">
        <f>IF(DADOS!F7487="","",DADOS!F7487)</f>
        <v/>
      </c>
      <c r="K7487" s="6" t="str">
        <f t="shared" si="585"/>
        <v/>
      </c>
      <c r="L7487" s="7" t="str">
        <f t="shared" si="586"/>
        <v/>
      </c>
      <c r="M7487" s="7" t="str">
        <f t="shared" si="583"/>
        <v/>
      </c>
      <c r="N7487" s="7" t="str">
        <f t="shared" si="587"/>
        <v/>
      </c>
      <c r="O7487" s="8"/>
      <c r="P7487" s="26"/>
      <c r="S7487" s="10" t="str">
        <f t="shared" si="584"/>
        <v/>
      </c>
    </row>
    <row r="7488" spans="5:19" x14ac:dyDescent="0.3">
      <c r="E7488" s="9" t="str">
        <f>IF(DADOS!C7488="","",DADOS!C7488)</f>
        <v/>
      </c>
      <c r="F7488" s="9" t="str">
        <f>IF(DADOS!E7488="","",DADOS!E7488)</f>
        <v/>
      </c>
      <c r="G7488" s="9" t="str">
        <f>IF(DADOS!F7488="","",DADOS!F7488)</f>
        <v/>
      </c>
      <c r="K7488" s="6" t="str">
        <f t="shared" si="585"/>
        <v/>
      </c>
      <c r="L7488" s="7" t="str">
        <f t="shared" si="586"/>
        <v/>
      </c>
      <c r="M7488" s="7" t="str">
        <f t="shared" si="583"/>
        <v/>
      </c>
      <c r="N7488" s="7" t="str">
        <f t="shared" si="587"/>
        <v/>
      </c>
      <c r="O7488" s="8"/>
      <c r="P7488" s="26"/>
      <c r="S7488" s="10" t="str">
        <f t="shared" si="584"/>
        <v/>
      </c>
    </row>
    <row r="7489" spans="5:19" x14ac:dyDescent="0.3">
      <c r="E7489" s="9" t="str">
        <f>IF(DADOS!C7489="","",DADOS!C7489)</f>
        <v/>
      </c>
      <c r="F7489" s="9" t="str">
        <f>IF(DADOS!E7489="","",DADOS!E7489)</f>
        <v/>
      </c>
      <c r="G7489" s="9" t="str">
        <f>IF(DADOS!F7489="","",DADOS!F7489)</f>
        <v/>
      </c>
      <c r="K7489" s="6" t="str">
        <f t="shared" si="585"/>
        <v/>
      </c>
      <c r="L7489" s="7" t="str">
        <f t="shared" si="586"/>
        <v/>
      </c>
      <c r="M7489" s="7" t="str">
        <f t="shared" si="583"/>
        <v/>
      </c>
      <c r="N7489" s="7" t="str">
        <f t="shared" si="587"/>
        <v/>
      </c>
      <c r="O7489" s="8"/>
      <c r="P7489" s="26"/>
      <c r="S7489" s="10" t="str">
        <f t="shared" si="584"/>
        <v/>
      </c>
    </row>
    <row r="7490" spans="5:19" x14ac:dyDescent="0.3">
      <c r="E7490" s="9" t="str">
        <f>IF(DADOS!C7490="","",DADOS!C7490)</f>
        <v/>
      </c>
      <c r="F7490" s="9" t="str">
        <f>IF(DADOS!E7490="","",DADOS!E7490)</f>
        <v/>
      </c>
      <c r="G7490" s="9" t="str">
        <f>IF(DADOS!F7490="","",DADOS!F7490)</f>
        <v/>
      </c>
      <c r="K7490" s="6" t="str">
        <f t="shared" si="585"/>
        <v/>
      </c>
      <c r="L7490" s="7" t="str">
        <f t="shared" si="586"/>
        <v/>
      </c>
      <c r="M7490" s="7" t="str">
        <f t="shared" si="583"/>
        <v/>
      </c>
      <c r="N7490" s="7" t="str">
        <f t="shared" si="587"/>
        <v/>
      </c>
      <c r="O7490" s="8"/>
      <c r="P7490" s="26"/>
      <c r="S7490" s="10" t="str">
        <f t="shared" si="584"/>
        <v/>
      </c>
    </row>
    <row r="7491" spans="5:19" x14ac:dyDescent="0.3">
      <c r="E7491" s="9" t="str">
        <f>IF(DADOS!C7491="","",DADOS!C7491)</f>
        <v/>
      </c>
      <c r="F7491" s="9" t="str">
        <f>IF(DADOS!E7491="","",DADOS!E7491)</f>
        <v/>
      </c>
      <c r="G7491" s="9" t="str">
        <f>IF(DADOS!F7491="","",DADOS!F7491)</f>
        <v/>
      </c>
      <c r="K7491" s="6" t="str">
        <f t="shared" si="585"/>
        <v/>
      </c>
      <c r="L7491" s="7" t="str">
        <f t="shared" si="586"/>
        <v/>
      </c>
      <c r="M7491" s="7" t="str">
        <f t="shared" ref="M7491:M7554" si="588">IF(L7491="","",L7491*G7491)</f>
        <v/>
      </c>
      <c r="N7491" s="7" t="str">
        <f t="shared" si="587"/>
        <v/>
      </c>
      <c r="O7491" s="8"/>
      <c r="P7491" s="26"/>
      <c r="S7491" s="10" t="str">
        <f t="shared" ref="S7491:S7554" si="589">IF(R7491="","",SUMIFS($N$3:$N$10000,$E$3:$E$10000,R7491))</f>
        <v/>
      </c>
    </row>
    <row r="7492" spans="5:19" x14ac:dyDescent="0.3">
      <c r="E7492" s="9" t="str">
        <f>IF(DADOS!C7492="","",DADOS!C7492)</f>
        <v/>
      </c>
      <c r="F7492" s="9" t="str">
        <f>IF(DADOS!E7492="","",DADOS!E7492)</f>
        <v/>
      </c>
      <c r="G7492" s="9" t="str">
        <f>IF(DADOS!F7492="","",DADOS!F7492)</f>
        <v/>
      </c>
      <c r="K7492" s="6" t="str">
        <f t="shared" ref="K7492:K7555" si="590">IF(F7492="","",F7492/PI())</f>
        <v/>
      </c>
      <c r="L7492" s="7" t="str">
        <f t="shared" ref="L7492:L7555" si="591">IF(K7492="","",(PI()*K7492^2)/40000)</f>
        <v/>
      </c>
      <c r="M7492" s="7" t="str">
        <f t="shared" si="588"/>
        <v/>
      </c>
      <c r="N7492" s="7" t="str">
        <f t="shared" ref="N7492:N7555" si="592">IF(M7492="","",M7492*N$1)</f>
        <v/>
      </c>
      <c r="O7492" s="8"/>
      <c r="P7492" s="26"/>
      <c r="S7492" s="10" t="str">
        <f t="shared" si="589"/>
        <v/>
      </c>
    </row>
    <row r="7493" spans="5:19" x14ac:dyDescent="0.3">
      <c r="E7493" s="9" t="str">
        <f>IF(DADOS!C7493="","",DADOS!C7493)</f>
        <v/>
      </c>
      <c r="F7493" s="9" t="str">
        <f>IF(DADOS!E7493="","",DADOS!E7493)</f>
        <v/>
      </c>
      <c r="G7493" s="9" t="str">
        <f>IF(DADOS!F7493="","",DADOS!F7493)</f>
        <v/>
      </c>
      <c r="K7493" s="6" t="str">
        <f t="shared" si="590"/>
        <v/>
      </c>
      <c r="L7493" s="7" t="str">
        <f t="shared" si="591"/>
        <v/>
      </c>
      <c r="M7493" s="7" t="str">
        <f t="shared" si="588"/>
        <v/>
      </c>
      <c r="N7493" s="7" t="str">
        <f t="shared" si="592"/>
        <v/>
      </c>
      <c r="O7493" s="8"/>
      <c r="P7493" s="26"/>
      <c r="S7493" s="10" t="str">
        <f t="shared" si="589"/>
        <v/>
      </c>
    </row>
    <row r="7494" spans="5:19" x14ac:dyDescent="0.3">
      <c r="E7494" s="9" t="str">
        <f>IF(DADOS!C7494="","",DADOS!C7494)</f>
        <v/>
      </c>
      <c r="F7494" s="9" t="str">
        <f>IF(DADOS!E7494="","",DADOS!E7494)</f>
        <v/>
      </c>
      <c r="G7494" s="9" t="str">
        <f>IF(DADOS!F7494="","",DADOS!F7494)</f>
        <v/>
      </c>
      <c r="K7494" s="6" t="str">
        <f t="shared" si="590"/>
        <v/>
      </c>
      <c r="L7494" s="7" t="str">
        <f t="shared" si="591"/>
        <v/>
      </c>
      <c r="M7494" s="7" t="str">
        <f t="shared" si="588"/>
        <v/>
      </c>
      <c r="N7494" s="7" t="str">
        <f t="shared" si="592"/>
        <v/>
      </c>
      <c r="O7494" s="8"/>
      <c r="P7494" s="26"/>
      <c r="S7494" s="10" t="str">
        <f t="shared" si="589"/>
        <v/>
      </c>
    </row>
    <row r="7495" spans="5:19" x14ac:dyDescent="0.3">
      <c r="E7495" s="9" t="str">
        <f>IF(DADOS!C7495="","",DADOS!C7495)</f>
        <v/>
      </c>
      <c r="F7495" s="9" t="str">
        <f>IF(DADOS!E7495="","",DADOS!E7495)</f>
        <v/>
      </c>
      <c r="G7495" s="9" t="str">
        <f>IF(DADOS!F7495="","",DADOS!F7495)</f>
        <v/>
      </c>
      <c r="K7495" s="6" t="str">
        <f t="shared" si="590"/>
        <v/>
      </c>
      <c r="L7495" s="7" t="str">
        <f t="shared" si="591"/>
        <v/>
      </c>
      <c r="M7495" s="7" t="str">
        <f t="shared" si="588"/>
        <v/>
      </c>
      <c r="N7495" s="7" t="str">
        <f t="shared" si="592"/>
        <v/>
      </c>
      <c r="O7495" s="8"/>
      <c r="P7495" s="26"/>
      <c r="S7495" s="10" t="str">
        <f t="shared" si="589"/>
        <v/>
      </c>
    </row>
    <row r="7496" spans="5:19" x14ac:dyDescent="0.3">
      <c r="E7496" s="9" t="str">
        <f>IF(DADOS!C7496="","",DADOS!C7496)</f>
        <v/>
      </c>
      <c r="F7496" s="9" t="str">
        <f>IF(DADOS!E7496="","",DADOS!E7496)</f>
        <v/>
      </c>
      <c r="G7496" s="9" t="str">
        <f>IF(DADOS!F7496="","",DADOS!F7496)</f>
        <v/>
      </c>
      <c r="K7496" s="6" t="str">
        <f t="shared" si="590"/>
        <v/>
      </c>
      <c r="L7496" s="7" t="str">
        <f t="shared" si="591"/>
        <v/>
      </c>
      <c r="M7496" s="7" t="str">
        <f t="shared" si="588"/>
        <v/>
      </c>
      <c r="N7496" s="7" t="str">
        <f t="shared" si="592"/>
        <v/>
      </c>
      <c r="O7496" s="8"/>
      <c r="P7496" s="26"/>
      <c r="S7496" s="10" t="str">
        <f t="shared" si="589"/>
        <v/>
      </c>
    </row>
    <row r="7497" spans="5:19" x14ac:dyDescent="0.3">
      <c r="E7497" s="9" t="str">
        <f>IF(DADOS!C7497="","",DADOS!C7497)</f>
        <v/>
      </c>
      <c r="F7497" s="9" t="str">
        <f>IF(DADOS!E7497="","",DADOS!E7497)</f>
        <v/>
      </c>
      <c r="G7497" s="9" t="str">
        <f>IF(DADOS!F7497="","",DADOS!F7497)</f>
        <v/>
      </c>
      <c r="K7497" s="6" t="str">
        <f t="shared" si="590"/>
        <v/>
      </c>
      <c r="L7497" s="7" t="str">
        <f t="shared" si="591"/>
        <v/>
      </c>
      <c r="M7497" s="7" t="str">
        <f t="shared" si="588"/>
        <v/>
      </c>
      <c r="N7497" s="7" t="str">
        <f t="shared" si="592"/>
        <v/>
      </c>
      <c r="O7497" s="8"/>
      <c r="P7497" s="26"/>
      <c r="S7497" s="10" t="str">
        <f t="shared" si="589"/>
        <v/>
      </c>
    </row>
    <row r="7498" spans="5:19" x14ac:dyDescent="0.3">
      <c r="E7498" s="9" t="str">
        <f>IF(DADOS!C7498="","",DADOS!C7498)</f>
        <v/>
      </c>
      <c r="F7498" s="9" t="str">
        <f>IF(DADOS!E7498="","",DADOS!E7498)</f>
        <v/>
      </c>
      <c r="G7498" s="9" t="str">
        <f>IF(DADOS!F7498="","",DADOS!F7498)</f>
        <v/>
      </c>
      <c r="K7498" s="6" t="str">
        <f t="shared" si="590"/>
        <v/>
      </c>
      <c r="L7498" s="7" t="str">
        <f t="shared" si="591"/>
        <v/>
      </c>
      <c r="M7498" s="7" t="str">
        <f t="shared" si="588"/>
        <v/>
      </c>
      <c r="N7498" s="7" t="str">
        <f t="shared" si="592"/>
        <v/>
      </c>
      <c r="O7498" s="8"/>
      <c r="P7498" s="26"/>
      <c r="S7498" s="10" t="str">
        <f t="shared" si="589"/>
        <v/>
      </c>
    </row>
    <row r="7499" spans="5:19" x14ac:dyDescent="0.3">
      <c r="E7499" s="9" t="str">
        <f>IF(DADOS!C7499="","",DADOS!C7499)</f>
        <v/>
      </c>
      <c r="F7499" s="9" t="str">
        <f>IF(DADOS!E7499="","",DADOS!E7499)</f>
        <v/>
      </c>
      <c r="G7499" s="9" t="str">
        <f>IF(DADOS!F7499="","",DADOS!F7499)</f>
        <v/>
      </c>
      <c r="K7499" s="6" t="str">
        <f t="shared" si="590"/>
        <v/>
      </c>
      <c r="L7499" s="7" t="str">
        <f t="shared" si="591"/>
        <v/>
      </c>
      <c r="M7499" s="7" t="str">
        <f t="shared" si="588"/>
        <v/>
      </c>
      <c r="N7499" s="7" t="str">
        <f t="shared" si="592"/>
        <v/>
      </c>
      <c r="O7499" s="8"/>
      <c r="P7499" s="26"/>
      <c r="S7499" s="10" t="str">
        <f t="shared" si="589"/>
        <v/>
      </c>
    </row>
    <row r="7500" spans="5:19" x14ac:dyDescent="0.3">
      <c r="E7500" s="9" t="str">
        <f>IF(DADOS!C7500="","",DADOS!C7500)</f>
        <v/>
      </c>
      <c r="F7500" s="9" t="str">
        <f>IF(DADOS!E7500="","",DADOS!E7500)</f>
        <v/>
      </c>
      <c r="G7500" s="9" t="str">
        <f>IF(DADOS!F7500="","",DADOS!F7500)</f>
        <v/>
      </c>
      <c r="K7500" s="6" t="str">
        <f t="shared" si="590"/>
        <v/>
      </c>
      <c r="L7500" s="7" t="str">
        <f t="shared" si="591"/>
        <v/>
      </c>
      <c r="M7500" s="7" t="str">
        <f t="shared" si="588"/>
        <v/>
      </c>
      <c r="N7500" s="7" t="str">
        <f t="shared" si="592"/>
        <v/>
      </c>
      <c r="O7500" s="8"/>
      <c r="P7500" s="26"/>
      <c r="S7500" s="10" t="str">
        <f t="shared" si="589"/>
        <v/>
      </c>
    </row>
    <row r="7501" spans="5:19" x14ac:dyDescent="0.3">
      <c r="E7501" s="9" t="str">
        <f>IF(DADOS!C7501="","",DADOS!C7501)</f>
        <v/>
      </c>
      <c r="F7501" s="9" t="str">
        <f>IF(DADOS!E7501="","",DADOS!E7501)</f>
        <v/>
      </c>
      <c r="G7501" s="9" t="str">
        <f>IF(DADOS!F7501="","",DADOS!F7501)</f>
        <v/>
      </c>
      <c r="K7501" s="6" t="str">
        <f t="shared" si="590"/>
        <v/>
      </c>
      <c r="L7501" s="7" t="str">
        <f t="shared" si="591"/>
        <v/>
      </c>
      <c r="M7501" s="7" t="str">
        <f t="shared" si="588"/>
        <v/>
      </c>
      <c r="N7501" s="7" t="str">
        <f t="shared" si="592"/>
        <v/>
      </c>
      <c r="O7501" s="8"/>
      <c r="P7501" s="26"/>
      <c r="S7501" s="10" t="str">
        <f t="shared" si="589"/>
        <v/>
      </c>
    </row>
    <row r="7502" spans="5:19" x14ac:dyDescent="0.3">
      <c r="E7502" s="9" t="str">
        <f>IF(DADOS!C7502="","",DADOS!C7502)</f>
        <v/>
      </c>
      <c r="F7502" s="9" t="str">
        <f>IF(DADOS!E7502="","",DADOS!E7502)</f>
        <v/>
      </c>
      <c r="G7502" s="9" t="str">
        <f>IF(DADOS!F7502="","",DADOS!F7502)</f>
        <v/>
      </c>
      <c r="K7502" s="6" t="str">
        <f t="shared" si="590"/>
        <v/>
      </c>
      <c r="L7502" s="7" t="str">
        <f t="shared" si="591"/>
        <v/>
      </c>
      <c r="M7502" s="7" t="str">
        <f t="shared" si="588"/>
        <v/>
      </c>
      <c r="N7502" s="7" t="str">
        <f t="shared" si="592"/>
        <v/>
      </c>
      <c r="O7502" s="8"/>
      <c r="P7502" s="26"/>
      <c r="S7502" s="10" t="str">
        <f t="shared" si="589"/>
        <v/>
      </c>
    </row>
    <row r="7503" spans="5:19" x14ac:dyDescent="0.3">
      <c r="E7503" s="9" t="str">
        <f>IF(DADOS!C7503="","",DADOS!C7503)</f>
        <v/>
      </c>
      <c r="F7503" s="9" t="str">
        <f>IF(DADOS!E7503="","",DADOS!E7503)</f>
        <v/>
      </c>
      <c r="G7503" s="9" t="str">
        <f>IF(DADOS!F7503="","",DADOS!F7503)</f>
        <v/>
      </c>
      <c r="K7503" s="6" t="str">
        <f t="shared" si="590"/>
        <v/>
      </c>
      <c r="L7503" s="7" t="str">
        <f t="shared" si="591"/>
        <v/>
      </c>
      <c r="M7503" s="7" t="str">
        <f t="shared" si="588"/>
        <v/>
      </c>
      <c r="N7503" s="7" t="str">
        <f t="shared" si="592"/>
        <v/>
      </c>
      <c r="O7503" s="8"/>
      <c r="P7503" s="26"/>
      <c r="S7503" s="10" t="str">
        <f t="shared" si="589"/>
        <v/>
      </c>
    </row>
    <row r="7504" spans="5:19" x14ac:dyDescent="0.3">
      <c r="E7504" s="9" t="str">
        <f>IF(DADOS!C7504="","",DADOS!C7504)</f>
        <v/>
      </c>
      <c r="F7504" s="9" t="str">
        <f>IF(DADOS!E7504="","",DADOS!E7504)</f>
        <v/>
      </c>
      <c r="G7504" s="9" t="str">
        <f>IF(DADOS!F7504="","",DADOS!F7504)</f>
        <v/>
      </c>
      <c r="K7504" s="6" t="str">
        <f t="shared" si="590"/>
        <v/>
      </c>
      <c r="L7504" s="7" t="str">
        <f t="shared" si="591"/>
        <v/>
      </c>
      <c r="M7504" s="7" t="str">
        <f t="shared" si="588"/>
        <v/>
      </c>
      <c r="N7504" s="7" t="str">
        <f t="shared" si="592"/>
        <v/>
      </c>
      <c r="O7504" s="8"/>
      <c r="P7504" s="26"/>
      <c r="S7504" s="10" t="str">
        <f t="shared" si="589"/>
        <v/>
      </c>
    </row>
    <row r="7505" spans="5:19" x14ac:dyDescent="0.3">
      <c r="E7505" s="9" t="str">
        <f>IF(DADOS!C7505="","",DADOS!C7505)</f>
        <v/>
      </c>
      <c r="F7505" s="9" t="str">
        <f>IF(DADOS!E7505="","",DADOS!E7505)</f>
        <v/>
      </c>
      <c r="G7505" s="9" t="str">
        <f>IF(DADOS!F7505="","",DADOS!F7505)</f>
        <v/>
      </c>
      <c r="K7505" s="6" t="str">
        <f t="shared" si="590"/>
        <v/>
      </c>
      <c r="L7505" s="7" t="str">
        <f t="shared" si="591"/>
        <v/>
      </c>
      <c r="M7505" s="7" t="str">
        <f t="shared" si="588"/>
        <v/>
      </c>
      <c r="N7505" s="7" t="str">
        <f t="shared" si="592"/>
        <v/>
      </c>
      <c r="O7505" s="8"/>
      <c r="P7505" s="26"/>
      <c r="S7505" s="10" t="str">
        <f t="shared" si="589"/>
        <v/>
      </c>
    </row>
    <row r="7506" spans="5:19" x14ac:dyDescent="0.3">
      <c r="E7506" s="9" t="str">
        <f>IF(DADOS!C7506="","",DADOS!C7506)</f>
        <v/>
      </c>
      <c r="F7506" s="9" t="str">
        <f>IF(DADOS!E7506="","",DADOS!E7506)</f>
        <v/>
      </c>
      <c r="G7506" s="9" t="str">
        <f>IF(DADOS!F7506="","",DADOS!F7506)</f>
        <v/>
      </c>
      <c r="K7506" s="6" t="str">
        <f t="shared" si="590"/>
        <v/>
      </c>
      <c r="L7506" s="7" t="str">
        <f t="shared" si="591"/>
        <v/>
      </c>
      <c r="M7506" s="7" t="str">
        <f t="shared" si="588"/>
        <v/>
      </c>
      <c r="N7506" s="7" t="str">
        <f t="shared" si="592"/>
        <v/>
      </c>
      <c r="O7506" s="8"/>
      <c r="P7506" s="26"/>
      <c r="S7506" s="10" t="str">
        <f t="shared" si="589"/>
        <v/>
      </c>
    </row>
    <row r="7507" spans="5:19" x14ac:dyDescent="0.3">
      <c r="E7507" s="9" t="str">
        <f>IF(DADOS!C7507="","",DADOS!C7507)</f>
        <v/>
      </c>
      <c r="F7507" s="9" t="str">
        <f>IF(DADOS!E7507="","",DADOS!E7507)</f>
        <v/>
      </c>
      <c r="G7507" s="9" t="str">
        <f>IF(DADOS!F7507="","",DADOS!F7507)</f>
        <v/>
      </c>
      <c r="K7507" s="6" t="str">
        <f t="shared" si="590"/>
        <v/>
      </c>
      <c r="L7507" s="7" t="str">
        <f t="shared" si="591"/>
        <v/>
      </c>
      <c r="M7507" s="7" t="str">
        <f t="shared" si="588"/>
        <v/>
      </c>
      <c r="N7507" s="7" t="str">
        <f t="shared" si="592"/>
        <v/>
      </c>
      <c r="O7507" s="8"/>
      <c r="P7507" s="26"/>
      <c r="S7507" s="10" t="str">
        <f t="shared" si="589"/>
        <v/>
      </c>
    </row>
    <row r="7508" spans="5:19" x14ac:dyDescent="0.3">
      <c r="E7508" s="9" t="str">
        <f>IF(DADOS!C7508="","",DADOS!C7508)</f>
        <v/>
      </c>
      <c r="F7508" s="9" t="str">
        <f>IF(DADOS!E7508="","",DADOS!E7508)</f>
        <v/>
      </c>
      <c r="G7508" s="9" t="str">
        <f>IF(DADOS!F7508="","",DADOS!F7508)</f>
        <v/>
      </c>
      <c r="K7508" s="6" t="str">
        <f t="shared" si="590"/>
        <v/>
      </c>
      <c r="L7508" s="7" t="str">
        <f t="shared" si="591"/>
        <v/>
      </c>
      <c r="M7508" s="7" t="str">
        <f t="shared" si="588"/>
        <v/>
      </c>
      <c r="N7508" s="7" t="str">
        <f t="shared" si="592"/>
        <v/>
      </c>
      <c r="O7508" s="8"/>
      <c r="P7508" s="26"/>
      <c r="S7508" s="10" t="str">
        <f t="shared" si="589"/>
        <v/>
      </c>
    </row>
    <row r="7509" spans="5:19" x14ac:dyDescent="0.3">
      <c r="E7509" s="9" t="str">
        <f>IF(DADOS!C7509="","",DADOS!C7509)</f>
        <v/>
      </c>
      <c r="F7509" s="9" t="str">
        <f>IF(DADOS!E7509="","",DADOS!E7509)</f>
        <v/>
      </c>
      <c r="G7509" s="9" t="str">
        <f>IF(DADOS!F7509="","",DADOS!F7509)</f>
        <v/>
      </c>
      <c r="K7509" s="6" t="str">
        <f t="shared" si="590"/>
        <v/>
      </c>
      <c r="L7509" s="7" t="str">
        <f t="shared" si="591"/>
        <v/>
      </c>
      <c r="M7509" s="7" t="str">
        <f t="shared" si="588"/>
        <v/>
      </c>
      <c r="N7509" s="7" t="str">
        <f t="shared" si="592"/>
        <v/>
      </c>
      <c r="O7509" s="8"/>
      <c r="P7509" s="26"/>
      <c r="S7509" s="10" t="str">
        <f t="shared" si="589"/>
        <v/>
      </c>
    </row>
    <row r="7510" spans="5:19" x14ac:dyDescent="0.3">
      <c r="E7510" s="9" t="str">
        <f>IF(DADOS!C7510="","",DADOS!C7510)</f>
        <v/>
      </c>
      <c r="F7510" s="9" t="str">
        <f>IF(DADOS!E7510="","",DADOS!E7510)</f>
        <v/>
      </c>
      <c r="G7510" s="9" t="str">
        <f>IF(DADOS!F7510="","",DADOS!F7510)</f>
        <v/>
      </c>
      <c r="K7510" s="6" t="str">
        <f t="shared" si="590"/>
        <v/>
      </c>
      <c r="L7510" s="7" t="str">
        <f t="shared" si="591"/>
        <v/>
      </c>
      <c r="M7510" s="7" t="str">
        <f t="shared" si="588"/>
        <v/>
      </c>
      <c r="N7510" s="7" t="str">
        <f t="shared" si="592"/>
        <v/>
      </c>
      <c r="O7510" s="8"/>
      <c r="P7510" s="26"/>
      <c r="S7510" s="10" t="str">
        <f t="shared" si="589"/>
        <v/>
      </c>
    </row>
    <row r="7511" spans="5:19" x14ac:dyDescent="0.3">
      <c r="E7511" s="9" t="str">
        <f>IF(DADOS!C7511="","",DADOS!C7511)</f>
        <v/>
      </c>
      <c r="F7511" s="9" t="str">
        <f>IF(DADOS!E7511="","",DADOS!E7511)</f>
        <v/>
      </c>
      <c r="G7511" s="9" t="str">
        <f>IF(DADOS!F7511="","",DADOS!F7511)</f>
        <v/>
      </c>
      <c r="K7511" s="6" t="str">
        <f t="shared" si="590"/>
        <v/>
      </c>
      <c r="L7511" s="7" t="str">
        <f t="shared" si="591"/>
        <v/>
      </c>
      <c r="M7511" s="7" t="str">
        <f t="shared" si="588"/>
        <v/>
      </c>
      <c r="N7511" s="7" t="str">
        <f t="shared" si="592"/>
        <v/>
      </c>
      <c r="O7511" s="8"/>
      <c r="P7511" s="26"/>
      <c r="S7511" s="10" t="str">
        <f t="shared" si="589"/>
        <v/>
      </c>
    </row>
    <row r="7512" spans="5:19" x14ac:dyDescent="0.3">
      <c r="E7512" s="9" t="str">
        <f>IF(DADOS!C7512="","",DADOS!C7512)</f>
        <v/>
      </c>
      <c r="F7512" s="9" t="str">
        <f>IF(DADOS!E7512="","",DADOS!E7512)</f>
        <v/>
      </c>
      <c r="G7512" s="9" t="str">
        <f>IF(DADOS!F7512="","",DADOS!F7512)</f>
        <v/>
      </c>
      <c r="K7512" s="6" t="str">
        <f t="shared" si="590"/>
        <v/>
      </c>
      <c r="L7512" s="7" t="str">
        <f t="shared" si="591"/>
        <v/>
      </c>
      <c r="M7512" s="7" t="str">
        <f t="shared" si="588"/>
        <v/>
      </c>
      <c r="N7512" s="7" t="str">
        <f t="shared" si="592"/>
        <v/>
      </c>
      <c r="O7512" s="8"/>
      <c r="P7512" s="26"/>
      <c r="S7512" s="10" t="str">
        <f t="shared" si="589"/>
        <v/>
      </c>
    </row>
    <row r="7513" spans="5:19" x14ac:dyDescent="0.3">
      <c r="E7513" s="9" t="str">
        <f>IF(DADOS!C7513="","",DADOS!C7513)</f>
        <v/>
      </c>
      <c r="F7513" s="9" t="str">
        <f>IF(DADOS!E7513="","",DADOS!E7513)</f>
        <v/>
      </c>
      <c r="G7513" s="9" t="str">
        <f>IF(DADOS!F7513="","",DADOS!F7513)</f>
        <v/>
      </c>
      <c r="K7513" s="6" t="str">
        <f t="shared" si="590"/>
        <v/>
      </c>
      <c r="L7513" s="7" t="str">
        <f t="shared" si="591"/>
        <v/>
      </c>
      <c r="M7513" s="7" t="str">
        <f t="shared" si="588"/>
        <v/>
      </c>
      <c r="N7513" s="7" t="str">
        <f t="shared" si="592"/>
        <v/>
      </c>
      <c r="O7513" s="8"/>
      <c r="P7513" s="26"/>
      <c r="S7513" s="10" t="str">
        <f t="shared" si="589"/>
        <v/>
      </c>
    </row>
    <row r="7514" spans="5:19" x14ac:dyDescent="0.3">
      <c r="E7514" s="9" t="str">
        <f>IF(DADOS!C7514="","",DADOS!C7514)</f>
        <v/>
      </c>
      <c r="F7514" s="9" t="str">
        <f>IF(DADOS!E7514="","",DADOS!E7514)</f>
        <v/>
      </c>
      <c r="G7514" s="9" t="str">
        <f>IF(DADOS!F7514="","",DADOS!F7514)</f>
        <v/>
      </c>
      <c r="K7514" s="6" t="str">
        <f t="shared" si="590"/>
        <v/>
      </c>
      <c r="L7514" s="7" t="str">
        <f t="shared" si="591"/>
        <v/>
      </c>
      <c r="M7514" s="7" t="str">
        <f t="shared" si="588"/>
        <v/>
      </c>
      <c r="N7514" s="7" t="str">
        <f t="shared" si="592"/>
        <v/>
      </c>
      <c r="O7514" s="8"/>
      <c r="P7514" s="26"/>
      <c r="S7514" s="10" t="str">
        <f t="shared" si="589"/>
        <v/>
      </c>
    </row>
    <row r="7515" spans="5:19" x14ac:dyDescent="0.3">
      <c r="E7515" s="9" t="str">
        <f>IF(DADOS!C7515="","",DADOS!C7515)</f>
        <v/>
      </c>
      <c r="F7515" s="9" t="str">
        <f>IF(DADOS!E7515="","",DADOS!E7515)</f>
        <v/>
      </c>
      <c r="G7515" s="9" t="str">
        <f>IF(DADOS!F7515="","",DADOS!F7515)</f>
        <v/>
      </c>
      <c r="K7515" s="6" t="str">
        <f t="shared" si="590"/>
        <v/>
      </c>
      <c r="L7515" s="7" t="str">
        <f t="shared" si="591"/>
        <v/>
      </c>
      <c r="M7515" s="7" t="str">
        <f t="shared" si="588"/>
        <v/>
      </c>
      <c r="N7515" s="7" t="str">
        <f t="shared" si="592"/>
        <v/>
      </c>
      <c r="O7515" s="8"/>
      <c r="P7515" s="26"/>
      <c r="S7515" s="10" t="str">
        <f t="shared" si="589"/>
        <v/>
      </c>
    </row>
    <row r="7516" spans="5:19" x14ac:dyDescent="0.3">
      <c r="E7516" s="9" t="str">
        <f>IF(DADOS!C7516="","",DADOS!C7516)</f>
        <v/>
      </c>
      <c r="F7516" s="9" t="str">
        <f>IF(DADOS!E7516="","",DADOS!E7516)</f>
        <v/>
      </c>
      <c r="G7516" s="9" t="str">
        <f>IF(DADOS!F7516="","",DADOS!F7516)</f>
        <v/>
      </c>
      <c r="K7516" s="6" t="str">
        <f t="shared" si="590"/>
        <v/>
      </c>
      <c r="L7516" s="7" t="str">
        <f t="shared" si="591"/>
        <v/>
      </c>
      <c r="M7516" s="7" t="str">
        <f t="shared" si="588"/>
        <v/>
      </c>
      <c r="N7516" s="7" t="str">
        <f t="shared" si="592"/>
        <v/>
      </c>
      <c r="O7516" s="8"/>
      <c r="P7516" s="26"/>
      <c r="S7516" s="10" t="str">
        <f t="shared" si="589"/>
        <v/>
      </c>
    </row>
    <row r="7517" spans="5:19" x14ac:dyDescent="0.3">
      <c r="E7517" s="9" t="str">
        <f>IF(DADOS!C7517="","",DADOS!C7517)</f>
        <v/>
      </c>
      <c r="F7517" s="9" t="str">
        <f>IF(DADOS!E7517="","",DADOS!E7517)</f>
        <v/>
      </c>
      <c r="G7517" s="9" t="str">
        <f>IF(DADOS!F7517="","",DADOS!F7517)</f>
        <v/>
      </c>
      <c r="K7517" s="6" t="str">
        <f t="shared" si="590"/>
        <v/>
      </c>
      <c r="L7517" s="7" t="str">
        <f t="shared" si="591"/>
        <v/>
      </c>
      <c r="M7517" s="7" t="str">
        <f t="shared" si="588"/>
        <v/>
      </c>
      <c r="N7517" s="7" t="str">
        <f t="shared" si="592"/>
        <v/>
      </c>
      <c r="O7517" s="8"/>
      <c r="P7517" s="26"/>
      <c r="S7517" s="10" t="str">
        <f t="shared" si="589"/>
        <v/>
      </c>
    </row>
    <row r="7518" spans="5:19" x14ac:dyDescent="0.3">
      <c r="E7518" s="9" t="str">
        <f>IF(DADOS!C7518="","",DADOS!C7518)</f>
        <v/>
      </c>
      <c r="F7518" s="9" t="str">
        <f>IF(DADOS!E7518="","",DADOS!E7518)</f>
        <v/>
      </c>
      <c r="G7518" s="9" t="str">
        <f>IF(DADOS!F7518="","",DADOS!F7518)</f>
        <v/>
      </c>
      <c r="K7518" s="6" t="str">
        <f t="shared" si="590"/>
        <v/>
      </c>
      <c r="L7518" s="7" t="str">
        <f t="shared" si="591"/>
        <v/>
      </c>
      <c r="M7518" s="7" t="str">
        <f t="shared" si="588"/>
        <v/>
      </c>
      <c r="N7518" s="7" t="str">
        <f t="shared" si="592"/>
        <v/>
      </c>
      <c r="O7518" s="8"/>
      <c r="P7518" s="26"/>
      <c r="S7518" s="10" t="str">
        <f t="shared" si="589"/>
        <v/>
      </c>
    </row>
    <row r="7519" spans="5:19" x14ac:dyDescent="0.3">
      <c r="E7519" s="9" t="str">
        <f>IF(DADOS!C7519="","",DADOS!C7519)</f>
        <v/>
      </c>
      <c r="F7519" s="9" t="str">
        <f>IF(DADOS!E7519="","",DADOS!E7519)</f>
        <v/>
      </c>
      <c r="G7519" s="9" t="str">
        <f>IF(DADOS!F7519="","",DADOS!F7519)</f>
        <v/>
      </c>
      <c r="K7519" s="6" t="str">
        <f t="shared" si="590"/>
        <v/>
      </c>
      <c r="L7519" s="7" t="str">
        <f t="shared" si="591"/>
        <v/>
      </c>
      <c r="M7519" s="7" t="str">
        <f t="shared" si="588"/>
        <v/>
      </c>
      <c r="N7519" s="7" t="str">
        <f t="shared" si="592"/>
        <v/>
      </c>
      <c r="O7519" s="8"/>
      <c r="P7519" s="26"/>
      <c r="S7519" s="10" t="str">
        <f t="shared" si="589"/>
        <v/>
      </c>
    </row>
    <row r="7520" spans="5:19" x14ac:dyDescent="0.3">
      <c r="E7520" s="9" t="str">
        <f>IF(DADOS!C7520="","",DADOS!C7520)</f>
        <v/>
      </c>
      <c r="F7520" s="9" t="str">
        <f>IF(DADOS!E7520="","",DADOS!E7520)</f>
        <v/>
      </c>
      <c r="G7520" s="9" t="str">
        <f>IF(DADOS!F7520="","",DADOS!F7520)</f>
        <v/>
      </c>
      <c r="K7520" s="6" t="str">
        <f t="shared" si="590"/>
        <v/>
      </c>
      <c r="L7520" s="7" t="str">
        <f t="shared" si="591"/>
        <v/>
      </c>
      <c r="M7520" s="7" t="str">
        <f t="shared" si="588"/>
        <v/>
      </c>
      <c r="N7520" s="7" t="str">
        <f t="shared" si="592"/>
        <v/>
      </c>
      <c r="O7520" s="8"/>
      <c r="P7520" s="26"/>
      <c r="S7520" s="10" t="str">
        <f t="shared" si="589"/>
        <v/>
      </c>
    </row>
    <row r="7521" spans="5:19" x14ac:dyDescent="0.3">
      <c r="E7521" s="9" t="str">
        <f>IF(DADOS!C7521="","",DADOS!C7521)</f>
        <v/>
      </c>
      <c r="F7521" s="9" t="str">
        <f>IF(DADOS!E7521="","",DADOS!E7521)</f>
        <v/>
      </c>
      <c r="G7521" s="9" t="str">
        <f>IF(DADOS!F7521="","",DADOS!F7521)</f>
        <v/>
      </c>
      <c r="K7521" s="6" t="str">
        <f t="shared" si="590"/>
        <v/>
      </c>
      <c r="L7521" s="7" t="str">
        <f t="shared" si="591"/>
        <v/>
      </c>
      <c r="M7521" s="7" t="str">
        <f t="shared" si="588"/>
        <v/>
      </c>
      <c r="N7521" s="7" t="str">
        <f t="shared" si="592"/>
        <v/>
      </c>
      <c r="O7521" s="8"/>
      <c r="P7521" s="26"/>
      <c r="S7521" s="10" t="str">
        <f t="shared" si="589"/>
        <v/>
      </c>
    </row>
    <row r="7522" spans="5:19" x14ac:dyDescent="0.3">
      <c r="E7522" s="9" t="str">
        <f>IF(DADOS!C7522="","",DADOS!C7522)</f>
        <v/>
      </c>
      <c r="F7522" s="9" t="str">
        <f>IF(DADOS!E7522="","",DADOS!E7522)</f>
        <v/>
      </c>
      <c r="G7522" s="9" t="str">
        <f>IF(DADOS!F7522="","",DADOS!F7522)</f>
        <v/>
      </c>
      <c r="K7522" s="6" t="str">
        <f t="shared" si="590"/>
        <v/>
      </c>
      <c r="L7522" s="7" t="str">
        <f t="shared" si="591"/>
        <v/>
      </c>
      <c r="M7522" s="7" t="str">
        <f t="shared" si="588"/>
        <v/>
      </c>
      <c r="N7522" s="7" t="str">
        <f t="shared" si="592"/>
        <v/>
      </c>
      <c r="O7522" s="8"/>
      <c r="P7522" s="26"/>
      <c r="S7522" s="10" t="str">
        <f t="shared" si="589"/>
        <v/>
      </c>
    </row>
    <row r="7523" spans="5:19" x14ac:dyDescent="0.3">
      <c r="E7523" s="9" t="str">
        <f>IF(DADOS!C7523="","",DADOS!C7523)</f>
        <v/>
      </c>
      <c r="F7523" s="9" t="str">
        <f>IF(DADOS!E7523="","",DADOS!E7523)</f>
        <v/>
      </c>
      <c r="G7523" s="9" t="str">
        <f>IF(DADOS!F7523="","",DADOS!F7523)</f>
        <v/>
      </c>
      <c r="K7523" s="6" t="str">
        <f t="shared" si="590"/>
        <v/>
      </c>
      <c r="L7523" s="7" t="str">
        <f t="shared" si="591"/>
        <v/>
      </c>
      <c r="M7523" s="7" t="str">
        <f t="shared" si="588"/>
        <v/>
      </c>
      <c r="N7523" s="7" t="str">
        <f t="shared" si="592"/>
        <v/>
      </c>
      <c r="O7523" s="8"/>
      <c r="P7523" s="26"/>
      <c r="S7523" s="10" t="str">
        <f t="shared" si="589"/>
        <v/>
      </c>
    </row>
    <row r="7524" spans="5:19" x14ac:dyDescent="0.3">
      <c r="E7524" s="9" t="str">
        <f>IF(DADOS!C7524="","",DADOS!C7524)</f>
        <v/>
      </c>
      <c r="F7524" s="9" t="str">
        <f>IF(DADOS!E7524="","",DADOS!E7524)</f>
        <v/>
      </c>
      <c r="G7524" s="9" t="str">
        <f>IF(DADOS!F7524="","",DADOS!F7524)</f>
        <v/>
      </c>
      <c r="K7524" s="6" t="str">
        <f t="shared" si="590"/>
        <v/>
      </c>
      <c r="L7524" s="7" t="str">
        <f t="shared" si="591"/>
        <v/>
      </c>
      <c r="M7524" s="7" t="str">
        <f t="shared" si="588"/>
        <v/>
      </c>
      <c r="N7524" s="7" t="str">
        <f t="shared" si="592"/>
        <v/>
      </c>
      <c r="O7524" s="8"/>
      <c r="P7524" s="26"/>
      <c r="S7524" s="10" t="str">
        <f t="shared" si="589"/>
        <v/>
      </c>
    </row>
    <row r="7525" spans="5:19" x14ac:dyDescent="0.3">
      <c r="E7525" s="9" t="str">
        <f>IF(DADOS!C7525="","",DADOS!C7525)</f>
        <v/>
      </c>
      <c r="F7525" s="9" t="str">
        <f>IF(DADOS!E7525="","",DADOS!E7525)</f>
        <v/>
      </c>
      <c r="G7525" s="9" t="str">
        <f>IF(DADOS!F7525="","",DADOS!F7525)</f>
        <v/>
      </c>
      <c r="K7525" s="6" t="str">
        <f t="shared" si="590"/>
        <v/>
      </c>
      <c r="L7525" s="7" t="str">
        <f t="shared" si="591"/>
        <v/>
      </c>
      <c r="M7525" s="7" t="str">
        <f t="shared" si="588"/>
        <v/>
      </c>
      <c r="N7525" s="7" t="str">
        <f t="shared" si="592"/>
        <v/>
      </c>
      <c r="O7525" s="8"/>
      <c r="P7525" s="26"/>
      <c r="S7525" s="10" t="str">
        <f t="shared" si="589"/>
        <v/>
      </c>
    </row>
    <row r="7526" spans="5:19" x14ac:dyDescent="0.3">
      <c r="E7526" s="9" t="str">
        <f>IF(DADOS!C7526="","",DADOS!C7526)</f>
        <v/>
      </c>
      <c r="F7526" s="9" t="str">
        <f>IF(DADOS!E7526="","",DADOS!E7526)</f>
        <v/>
      </c>
      <c r="G7526" s="9" t="str">
        <f>IF(DADOS!F7526="","",DADOS!F7526)</f>
        <v/>
      </c>
      <c r="K7526" s="6" t="str">
        <f t="shared" si="590"/>
        <v/>
      </c>
      <c r="L7526" s="7" t="str">
        <f t="shared" si="591"/>
        <v/>
      </c>
      <c r="M7526" s="7" t="str">
        <f t="shared" si="588"/>
        <v/>
      </c>
      <c r="N7526" s="7" t="str">
        <f t="shared" si="592"/>
        <v/>
      </c>
      <c r="O7526" s="8"/>
      <c r="P7526" s="26"/>
      <c r="S7526" s="10" t="str">
        <f t="shared" si="589"/>
        <v/>
      </c>
    </row>
    <row r="7527" spans="5:19" x14ac:dyDescent="0.3">
      <c r="E7527" s="9" t="str">
        <f>IF(DADOS!C7527="","",DADOS!C7527)</f>
        <v/>
      </c>
      <c r="F7527" s="9" t="str">
        <f>IF(DADOS!E7527="","",DADOS!E7527)</f>
        <v/>
      </c>
      <c r="G7527" s="9" t="str">
        <f>IF(DADOS!F7527="","",DADOS!F7527)</f>
        <v/>
      </c>
      <c r="K7527" s="6" t="str">
        <f t="shared" si="590"/>
        <v/>
      </c>
      <c r="L7527" s="7" t="str">
        <f t="shared" si="591"/>
        <v/>
      </c>
      <c r="M7527" s="7" t="str">
        <f t="shared" si="588"/>
        <v/>
      </c>
      <c r="N7527" s="7" t="str">
        <f t="shared" si="592"/>
        <v/>
      </c>
      <c r="O7527" s="8"/>
      <c r="P7527" s="26"/>
      <c r="S7527" s="10" t="str">
        <f t="shared" si="589"/>
        <v/>
      </c>
    </row>
    <row r="7528" spans="5:19" x14ac:dyDescent="0.3">
      <c r="E7528" s="9" t="str">
        <f>IF(DADOS!C7528="","",DADOS!C7528)</f>
        <v/>
      </c>
      <c r="F7528" s="9" t="str">
        <f>IF(DADOS!E7528="","",DADOS!E7528)</f>
        <v/>
      </c>
      <c r="G7528" s="9" t="str">
        <f>IF(DADOS!F7528="","",DADOS!F7528)</f>
        <v/>
      </c>
      <c r="K7528" s="6" t="str">
        <f t="shared" si="590"/>
        <v/>
      </c>
      <c r="L7528" s="7" t="str">
        <f t="shared" si="591"/>
        <v/>
      </c>
      <c r="M7528" s="7" t="str">
        <f t="shared" si="588"/>
        <v/>
      </c>
      <c r="N7528" s="7" t="str">
        <f t="shared" si="592"/>
        <v/>
      </c>
      <c r="O7528" s="8"/>
      <c r="P7528" s="26"/>
      <c r="S7528" s="10" t="str">
        <f t="shared" si="589"/>
        <v/>
      </c>
    </row>
    <row r="7529" spans="5:19" x14ac:dyDescent="0.3">
      <c r="E7529" s="9" t="str">
        <f>IF(DADOS!C7529="","",DADOS!C7529)</f>
        <v/>
      </c>
      <c r="F7529" s="9" t="str">
        <f>IF(DADOS!E7529="","",DADOS!E7529)</f>
        <v/>
      </c>
      <c r="G7529" s="9" t="str">
        <f>IF(DADOS!F7529="","",DADOS!F7529)</f>
        <v/>
      </c>
      <c r="K7529" s="6" t="str">
        <f t="shared" si="590"/>
        <v/>
      </c>
      <c r="L7529" s="7" t="str">
        <f t="shared" si="591"/>
        <v/>
      </c>
      <c r="M7529" s="7" t="str">
        <f t="shared" si="588"/>
        <v/>
      </c>
      <c r="N7529" s="7" t="str">
        <f t="shared" si="592"/>
        <v/>
      </c>
      <c r="O7529" s="8"/>
      <c r="P7529" s="26"/>
      <c r="S7529" s="10" t="str">
        <f t="shared" si="589"/>
        <v/>
      </c>
    </row>
    <row r="7530" spans="5:19" x14ac:dyDescent="0.3">
      <c r="E7530" s="9" t="str">
        <f>IF(DADOS!C7530="","",DADOS!C7530)</f>
        <v/>
      </c>
      <c r="F7530" s="9" t="str">
        <f>IF(DADOS!E7530="","",DADOS!E7530)</f>
        <v/>
      </c>
      <c r="G7530" s="9" t="str">
        <f>IF(DADOS!F7530="","",DADOS!F7530)</f>
        <v/>
      </c>
      <c r="K7530" s="6" t="str">
        <f t="shared" si="590"/>
        <v/>
      </c>
      <c r="L7530" s="7" t="str">
        <f t="shared" si="591"/>
        <v/>
      </c>
      <c r="M7530" s="7" t="str">
        <f t="shared" si="588"/>
        <v/>
      </c>
      <c r="N7530" s="7" t="str">
        <f t="shared" si="592"/>
        <v/>
      </c>
      <c r="O7530" s="8"/>
      <c r="P7530" s="26"/>
      <c r="S7530" s="10" t="str">
        <f t="shared" si="589"/>
        <v/>
      </c>
    </row>
    <row r="7531" spans="5:19" x14ac:dyDescent="0.3">
      <c r="E7531" s="9" t="str">
        <f>IF(DADOS!C7531="","",DADOS!C7531)</f>
        <v/>
      </c>
      <c r="F7531" s="9" t="str">
        <f>IF(DADOS!E7531="","",DADOS!E7531)</f>
        <v/>
      </c>
      <c r="G7531" s="9" t="str">
        <f>IF(DADOS!F7531="","",DADOS!F7531)</f>
        <v/>
      </c>
      <c r="K7531" s="6" t="str">
        <f t="shared" si="590"/>
        <v/>
      </c>
      <c r="L7531" s="7" t="str">
        <f t="shared" si="591"/>
        <v/>
      </c>
      <c r="M7531" s="7" t="str">
        <f t="shared" si="588"/>
        <v/>
      </c>
      <c r="N7531" s="7" t="str">
        <f t="shared" si="592"/>
        <v/>
      </c>
      <c r="O7531" s="8"/>
      <c r="P7531" s="26"/>
      <c r="S7531" s="10" t="str">
        <f t="shared" si="589"/>
        <v/>
      </c>
    </row>
    <row r="7532" spans="5:19" x14ac:dyDescent="0.3">
      <c r="E7532" s="9" t="str">
        <f>IF(DADOS!C7532="","",DADOS!C7532)</f>
        <v/>
      </c>
      <c r="F7532" s="9" t="str">
        <f>IF(DADOS!E7532="","",DADOS!E7532)</f>
        <v/>
      </c>
      <c r="G7532" s="9" t="str">
        <f>IF(DADOS!F7532="","",DADOS!F7532)</f>
        <v/>
      </c>
      <c r="K7532" s="6" t="str">
        <f t="shared" si="590"/>
        <v/>
      </c>
      <c r="L7532" s="7" t="str">
        <f t="shared" si="591"/>
        <v/>
      </c>
      <c r="M7532" s="7" t="str">
        <f t="shared" si="588"/>
        <v/>
      </c>
      <c r="N7532" s="7" t="str">
        <f t="shared" si="592"/>
        <v/>
      </c>
      <c r="O7532" s="8"/>
      <c r="P7532" s="26"/>
      <c r="S7532" s="10" t="str">
        <f t="shared" si="589"/>
        <v/>
      </c>
    </row>
    <row r="7533" spans="5:19" x14ac:dyDescent="0.3">
      <c r="E7533" s="9" t="str">
        <f>IF(DADOS!C7533="","",DADOS!C7533)</f>
        <v/>
      </c>
      <c r="F7533" s="9" t="str">
        <f>IF(DADOS!E7533="","",DADOS!E7533)</f>
        <v/>
      </c>
      <c r="G7533" s="9" t="str">
        <f>IF(DADOS!F7533="","",DADOS!F7533)</f>
        <v/>
      </c>
      <c r="K7533" s="6" t="str">
        <f t="shared" si="590"/>
        <v/>
      </c>
      <c r="L7533" s="7" t="str">
        <f t="shared" si="591"/>
        <v/>
      </c>
      <c r="M7533" s="7" t="str">
        <f t="shared" si="588"/>
        <v/>
      </c>
      <c r="N7533" s="7" t="str">
        <f t="shared" si="592"/>
        <v/>
      </c>
      <c r="O7533" s="8"/>
      <c r="P7533" s="26"/>
      <c r="S7533" s="10" t="str">
        <f t="shared" si="589"/>
        <v/>
      </c>
    </row>
    <row r="7534" spans="5:19" x14ac:dyDescent="0.3">
      <c r="E7534" s="9" t="str">
        <f>IF(DADOS!C7534="","",DADOS!C7534)</f>
        <v/>
      </c>
      <c r="F7534" s="9" t="str">
        <f>IF(DADOS!E7534="","",DADOS!E7534)</f>
        <v/>
      </c>
      <c r="G7534" s="9" t="str">
        <f>IF(DADOS!F7534="","",DADOS!F7534)</f>
        <v/>
      </c>
      <c r="K7534" s="6" t="str">
        <f t="shared" si="590"/>
        <v/>
      </c>
      <c r="L7534" s="7" t="str">
        <f t="shared" si="591"/>
        <v/>
      </c>
      <c r="M7534" s="7" t="str">
        <f t="shared" si="588"/>
        <v/>
      </c>
      <c r="N7534" s="7" t="str">
        <f t="shared" si="592"/>
        <v/>
      </c>
      <c r="O7534" s="8"/>
      <c r="P7534" s="26"/>
      <c r="S7534" s="10" t="str">
        <f t="shared" si="589"/>
        <v/>
      </c>
    </row>
    <row r="7535" spans="5:19" x14ac:dyDescent="0.3">
      <c r="E7535" s="9" t="str">
        <f>IF(DADOS!C7535="","",DADOS!C7535)</f>
        <v/>
      </c>
      <c r="F7535" s="9" t="str">
        <f>IF(DADOS!E7535="","",DADOS!E7535)</f>
        <v/>
      </c>
      <c r="G7535" s="9" t="str">
        <f>IF(DADOS!F7535="","",DADOS!F7535)</f>
        <v/>
      </c>
      <c r="K7535" s="6" t="str">
        <f t="shared" si="590"/>
        <v/>
      </c>
      <c r="L7535" s="7" t="str">
        <f t="shared" si="591"/>
        <v/>
      </c>
      <c r="M7535" s="7" t="str">
        <f t="shared" si="588"/>
        <v/>
      </c>
      <c r="N7535" s="7" t="str">
        <f t="shared" si="592"/>
        <v/>
      </c>
      <c r="O7535" s="8"/>
      <c r="P7535" s="26"/>
      <c r="S7535" s="10" t="str">
        <f t="shared" si="589"/>
        <v/>
      </c>
    </row>
    <row r="7536" spans="5:19" x14ac:dyDescent="0.3">
      <c r="E7536" s="9" t="str">
        <f>IF(DADOS!C7536="","",DADOS!C7536)</f>
        <v/>
      </c>
      <c r="F7536" s="9" t="str">
        <f>IF(DADOS!E7536="","",DADOS!E7536)</f>
        <v/>
      </c>
      <c r="G7536" s="9" t="str">
        <f>IF(DADOS!F7536="","",DADOS!F7536)</f>
        <v/>
      </c>
      <c r="K7536" s="6" t="str">
        <f t="shared" si="590"/>
        <v/>
      </c>
      <c r="L7536" s="7" t="str">
        <f t="shared" si="591"/>
        <v/>
      </c>
      <c r="M7536" s="7" t="str">
        <f t="shared" si="588"/>
        <v/>
      </c>
      <c r="N7536" s="7" t="str">
        <f t="shared" si="592"/>
        <v/>
      </c>
      <c r="O7536" s="8"/>
      <c r="P7536" s="26"/>
      <c r="S7536" s="10" t="str">
        <f t="shared" si="589"/>
        <v/>
      </c>
    </row>
    <row r="7537" spans="5:19" x14ac:dyDescent="0.3">
      <c r="E7537" s="9" t="str">
        <f>IF(DADOS!C7537="","",DADOS!C7537)</f>
        <v/>
      </c>
      <c r="F7537" s="9" t="str">
        <f>IF(DADOS!E7537="","",DADOS!E7537)</f>
        <v/>
      </c>
      <c r="G7537" s="9" t="str">
        <f>IF(DADOS!F7537="","",DADOS!F7537)</f>
        <v/>
      </c>
      <c r="K7537" s="6" t="str">
        <f t="shared" si="590"/>
        <v/>
      </c>
      <c r="L7537" s="7" t="str">
        <f t="shared" si="591"/>
        <v/>
      </c>
      <c r="M7537" s="7" t="str">
        <f t="shared" si="588"/>
        <v/>
      </c>
      <c r="N7537" s="7" t="str">
        <f t="shared" si="592"/>
        <v/>
      </c>
      <c r="O7537" s="8"/>
      <c r="P7537" s="26"/>
      <c r="S7537" s="10" t="str">
        <f t="shared" si="589"/>
        <v/>
      </c>
    </row>
    <row r="7538" spans="5:19" x14ac:dyDescent="0.3">
      <c r="E7538" s="9" t="str">
        <f>IF(DADOS!C7538="","",DADOS!C7538)</f>
        <v/>
      </c>
      <c r="F7538" s="9" t="str">
        <f>IF(DADOS!E7538="","",DADOS!E7538)</f>
        <v/>
      </c>
      <c r="G7538" s="9" t="str">
        <f>IF(DADOS!F7538="","",DADOS!F7538)</f>
        <v/>
      </c>
      <c r="K7538" s="6" t="str">
        <f t="shared" si="590"/>
        <v/>
      </c>
      <c r="L7538" s="7" t="str">
        <f t="shared" si="591"/>
        <v/>
      </c>
      <c r="M7538" s="7" t="str">
        <f t="shared" si="588"/>
        <v/>
      </c>
      <c r="N7538" s="7" t="str">
        <f t="shared" si="592"/>
        <v/>
      </c>
      <c r="O7538" s="8"/>
      <c r="P7538" s="26"/>
      <c r="S7538" s="10" t="str">
        <f t="shared" si="589"/>
        <v/>
      </c>
    </row>
    <row r="7539" spans="5:19" x14ac:dyDescent="0.3">
      <c r="E7539" s="9" t="str">
        <f>IF(DADOS!C7539="","",DADOS!C7539)</f>
        <v/>
      </c>
      <c r="F7539" s="9" t="str">
        <f>IF(DADOS!E7539="","",DADOS!E7539)</f>
        <v/>
      </c>
      <c r="G7539" s="9" t="str">
        <f>IF(DADOS!F7539="","",DADOS!F7539)</f>
        <v/>
      </c>
      <c r="K7539" s="6" t="str">
        <f t="shared" si="590"/>
        <v/>
      </c>
      <c r="L7539" s="7" t="str">
        <f t="shared" si="591"/>
        <v/>
      </c>
      <c r="M7539" s="7" t="str">
        <f t="shared" si="588"/>
        <v/>
      </c>
      <c r="N7539" s="7" t="str">
        <f t="shared" si="592"/>
        <v/>
      </c>
      <c r="O7539" s="8"/>
      <c r="P7539" s="26"/>
      <c r="S7539" s="10" t="str">
        <f t="shared" si="589"/>
        <v/>
      </c>
    </row>
    <row r="7540" spans="5:19" x14ac:dyDescent="0.3">
      <c r="E7540" s="9" t="str">
        <f>IF(DADOS!C7540="","",DADOS!C7540)</f>
        <v/>
      </c>
      <c r="F7540" s="9" t="str">
        <f>IF(DADOS!E7540="","",DADOS!E7540)</f>
        <v/>
      </c>
      <c r="G7540" s="9" t="str">
        <f>IF(DADOS!F7540="","",DADOS!F7540)</f>
        <v/>
      </c>
      <c r="K7540" s="6" t="str">
        <f t="shared" si="590"/>
        <v/>
      </c>
      <c r="L7540" s="7" t="str">
        <f t="shared" si="591"/>
        <v/>
      </c>
      <c r="M7540" s="7" t="str">
        <f t="shared" si="588"/>
        <v/>
      </c>
      <c r="N7540" s="7" t="str">
        <f t="shared" si="592"/>
        <v/>
      </c>
      <c r="O7540" s="8"/>
      <c r="P7540" s="26"/>
      <c r="S7540" s="10" t="str">
        <f t="shared" si="589"/>
        <v/>
      </c>
    </row>
    <row r="7541" spans="5:19" x14ac:dyDescent="0.3">
      <c r="E7541" s="9" t="str">
        <f>IF(DADOS!C7541="","",DADOS!C7541)</f>
        <v/>
      </c>
      <c r="F7541" s="9" t="str">
        <f>IF(DADOS!E7541="","",DADOS!E7541)</f>
        <v/>
      </c>
      <c r="G7541" s="9" t="str">
        <f>IF(DADOS!F7541="","",DADOS!F7541)</f>
        <v/>
      </c>
      <c r="K7541" s="6" t="str">
        <f t="shared" si="590"/>
        <v/>
      </c>
      <c r="L7541" s="7" t="str">
        <f t="shared" si="591"/>
        <v/>
      </c>
      <c r="M7541" s="7" t="str">
        <f t="shared" si="588"/>
        <v/>
      </c>
      <c r="N7541" s="7" t="str">
        <f t="shared" si="592"/>
        <v/>
      </c>
      <c r="O7541" s="8"/>
      <c r="P7541" s="26"/>
      <c r="S7541" s="10" t="str">
        <f t="shared" si="589"/>
        <v/>
      </c>
    </row>
    <row r="7542" spans="5:19" x14ac:dyDescent="0.3">
      <c r="E7542" s="9" t="str">
        <f>IF(DADOS!C7542="","",DADOS!C7542)</f>
        <v/>
      </c>
      <c r="F7542" s="9" t="str">
        <f>IF(DADOS!E7542="","",DADOS!E7542)</f>
        <v/>
      </c>
      <c r="G7542" s="9" t="str">
        <f>IF(DADOS!F7542="","",DADOS!F7542)</f>
        <v/>
      </c>
      <c r="K7542" s="6" t="str">
        <f t="shared" si="590"/>
        <v/>
      </c>
      <c r="L7542" s="7" t="str">
        <f t="shared" si="591"/>
        <v/>
      </c>
      <c r="M7542" s="7" t="str">
        <f t="shared" si="588"/>
        <v/>
      </c>
      <c r="N7542" s="7" t="str">
        <f t="shared" si="592"/>
        <v/>
      </c>
      <c r="O7542" s="8"/>
      <c r="P7542" s="26"/>
      <c r="S7542" s="10" t="str">
        <f t="shared" si="589"/>
        <v/>
      </c>
    </row>
    <row r="7543" spans="5:19" x14ac:dyDescent="0.3">
      <c r="E7543" s="9" t="str">
        <f>IF(DADOS!C7543="","",DADOS!C7543)</f>
        <v/>
      </c>
      <c r="F7543" s="9" t="str">
        <f>IF(DADOS!E7543="","",DADOS!E7543)</f>
        <v/>
      </c>
      <c r="G7543" s="9" t="str">
        <f>IF(DADOS!F7543="","",DADOS!F7543)</f>
        <v/>
      </c>
      <c r="K7543" s="6" t="str">
        <f t="shared" si="590"/>
        <v/>
      </c>
      <c r="L7543" s="7" t="str">
        <f t="shared" si="591"/>
        <v/>
      </c>
      <c r="M7543" s="7" t="str">
        <f t="shared" si="588"/>
        <v/>
      </c>
      <c r="N7543" s="7" t="str">
        <f t="shared" si="592"/>
        <v/>
      </c>
      <c r="O7543" s="8"/>
      <c r="P7543" s="26"/>
      <c r="S7543" s="10" t="str">
        <f t="shared" si="589"/>
        <v/>
      </c>
    </row>
    <row r="7544" spans="5:19" x14ac:dyDescent="0.3">
      <c r="E7544" s="9" t="str">
        <f>IF(DADOS!C7544="","",DADOS!C7544)</f>
        <v/>
      </c>
      <c r="F7544" s="9" t="str">
        <f>IF(DADOS!E7544="","",DADOS!E7544)</f>
        <v/>
      </c>
      <c r="G7544" s="9" t="str">
        <f>IF(DADOS!F7544="","",DADOS!F7544)</f>
        <v/>
      </c>
      <c r="K7544" s="6" t="str">
        <f t="shared" si="590"/>
        <v/>
      </c>
      <c r="L7544" s="7" t="str">
        <f t="shared" si="591"/>
        <v/>
      </c>
      <c r="M7544" s="7" t="str">
        <f t="shared" si="588"/>
        <v/>
      </c>
      <c r="N7544" s="7" t="str">
        <f t="shared" si="592"/>
        <v/>
      </c>
      <c r="O7544" s="8"/>
      <c r="P7544" s="26"/>
      <c r="S7544" s="10" t="str">
        <f t="shared" si="589"/>
        <v/>
      </c>
    </row>
    <row r="7545" spans="5:19" x14ac:dyDescent="0.3">
      <c r="E7545" s="9" t="str">
        <f>IF(DADOS!C7545="","",DADOS!C7545)</f>
        <v/>
      </c>
      <c r="F7545" s="9" t="str">
        <f>IF(DADOS!E7545="","",DADOS!E7545)</f>
        <v/>
      </c>
      <c r="G7545" s="9" t="str">
        <f>IF(DADOS!F7545="","",DADOS!F7545)</f>
        <v/>
      </c>
      <c r="K7545" s="6" t="str">
        <f t="shared" si="590"/>
        <v/>
      </c>
      <c r="L7545" s="7" t="str">
        <f t="shared" si="591"/>
        <v/>
      </c>
      <c r="M7545" s="7" t="str">
        <f t="shared" si="588"/>
        <v/>
      </c>
      <c r="N7545" s="7" t="str">
        <f t="shared" si="592"/>
        <v/>
      </c>
      <c r="O7545" s="8"/>
      <c r="P7545" s="26"/>
      <c r="S7545" s="10" t="str">
        <f t="shared" si="589"/>
        <v/>
      </c>
    </row>
    <row r="7546" spans="5:19" x14ac:dyDescent="0.3">
      <c r="E7546" s="9" t="str">
        <f>IF(DADOS!C7546="","",DADOS!C7546)</f>
        <v/>
      </c>
      <c r="F7546" s="9" t="str">
        <f>IF(DADOS!E7546="","",DADOS!E7546)</f>
        <v/>
      </c>
      <c r="G7546" s="9" t="str">
        <f>IF(DADOS!F7546="","",DADOS!F7546)</f>
        <v/>
      </c>
      <c r="K7546" s="6" t="str">
        <f t="shared" si="590"/>
        <v/>
      </c>
      <c r="L7546" s="7" t="str">
        <f t="shared" si="591"/>
        <v/>
      </c>
      <c r="M7546" s="7" t="str">
        <f t="shared" si="588"/>
        <v/>
      </c>
      <c r="N7546" s="7" t="str">
        <f t="shared" si="592"/>
        <v/>
      </c>
      <c r="O7546" s="8"/>
      <c r="P7546" s="26"/>
      <c r="S7546" s="10" t="str">
        <f t="shared" si="589"/>
        <v/>
      </c>
    </row>
    <row r="7547" spans="5:19" x14ac:dyDescent="0.3">
      <c r="E7547" s="9" t="str">
        <f>IF(DADOS!C7547="","",DADOS!C7547)</f>
        <v/>
      </c>
      <c r="F7547" s="9" t="str">
        <f>IF(DADOS!E7547="","",DADOS!E7547)</f>
        <v/>
      </c>
      <c r="G7547" s="9" t="str">
        <f>IF(DADOS!F7547="","",DADOS!F7547)</f>
        <v/>
      </c>
      <c r="K7547" s="6" t="str">
        <f t="shared" si="590"/>
        <v/>
      </c>
      <c r="L7547" s="7" t="str">
        <f t="shared" si="591"/>
        <v/>
      </c>
      <c r="M7547" s="7" t="str">
        <f t="shared" si="588"/>
        <v/>
      </c>
      <c r="N7547" s="7" t="str">
        <f t="shared" si="592"/>
        <v/>
      </c>
      <c r="O7547" s="8"/>
      <c r="P7547" s="26"/>
      <c r="S7547" s="10" t="str">
        <f t="shared" si="589"/>
        <v/>
      </c>
    </row>
    <row r="7548" spans="5:19" x14ac:dyDescent="0.3">
      <c r="E7548" s="9" t="str">
        <f>IF(DADOS!C7548="","",DADOS!C7548)</f>
        <v/>
      </c>
      <c r="F7548" s="9" t="str">
        <f>IF(DADOS!E7548="","",DADOS!E7548)</f>
        <v/>
      </c>
      <c r="G7548" s="9" t="str">
        <f>IF(DADOS!F7548="","",DADOS!F7548)</f>
        <v/>
      </c>
      <c r="K7548" s="6" t="str">
        <f t="shared" si="590"/>
        <v/>
      </c>
      <c r="L7548" s="7" t="str">
        <f t="shared" si="591"/>
        <v/>
      </c>
      <c r="M7548" s="7" t="str">
        <f t="shared" si="588"/>
        <v/>
      </c>
      <c r="N7548" s="7" t="str">
        <f t="shared" si="592"/>
        <v/>
      </c>
      <c r="O7548" s="8"/>
      <c r="P7548" s="26"/>
      <c r="S7548" s="10" t="str">
        <f t="shared" si="589"/>
        <v/>
      </c>
    </row>
    <row r="7549" spans="5:19" x14ac:dyDescent="0.3">
      <c r="E7549" s="9" t="str">
        <f>IF(DADOS!C7549="","",DADOS!C7549)</f>
        <v/>
      </c>
      <c r="F7549" s="9" t="str">
        <f>IF(DADOS!E7549="","",DADOS!E7549)</f>
        <v/>
      </c>
      <c r="G7549" s="9" t="str">
        <f>IF(DADOS!F7549="","",DADOS!F7549)</f>
        <v/>
      </c>
      <c r="K7549" s="6" t="str">
        <f t="shared" si="590"/>
        <v/>
      </c>
      <c r="L7549" s="7" t="str">
        <f t="shared" si="591"/>
        <v/>
      </c>
      <c r="M7549" s="7" t="str">
        <f t="shared" si="588"/>
        <v/>
      </c>
      <c r="N7549" s="7" t="str">
        <f t="shared" si="592"/>
        <v/>
      </c>
      <c r="O7549" s="8"/>
      <c r="P7549" s="26"/>
      <c r="S7549" s="10" t="str">
        <f t="shared" si="589"/>
        <v/>
      </c>
    </row>
    <row r="7550" spans="5:19" x14ac:dyDescent="0.3">
      <c r="E7550" s="9" t="str">
        <f>IF(DADOS!C7550="","",DADOS!C7550)</f>
        <v/>
      </c>
      <c r="F7550" s="9" t="str">
        <f>IF(DADOS!E7550="","",DADOS!E7550)</f>
        <v/>
      </c>
      <c r="G7550" s="9" t="str">
        <f>IF(DADOS!F7550="","",DADOS!F7550)</f>
        <v/>
      </c>
      <c r="K7550" s="6" t="str">
        <f t="shared" si="590"/>
        <v/>
      </c>
      <c r="L7550" s="7" t="str">
        <f t="shared" si="591"/>
        <v/>
      </c>
      <c r="M7550" s="7" t="str">
        <f t="shared" si="588"/>
        <v/>
      </c>
      <c r="N7550" s="7" t="str">
        <f t="shared" si="592"/>
        <v/>
      </c>
      <c r="O7550" s="8"/>
      <c r="P7550" s="26"/>
      <c r="S7550" s="10" t="str">
        <f t="shared" si="589"/>
        <v/>
      </c>
    </row>
    <row r="7551" spans="5:19" x14ac:dyDescent="0.3">
      <c r="E7551" s="9" t="str">
        <f>IF(DADOS!C7551="","",DADOS!C7551)</f>
        <v/>
      </c>
      <c r="F7551" s="9" t="str">
        <f>IF(DADOS!E7551="","",DADOS!E7551)</f>
        <v/>
      </c>
      <c r="G7551" s="9" t="str">
        <f>IF(DADOS!F7551="","",DADOS!F7551)</f>
        <v/>
      </c>
      <c r="K7551" s="6" t="str">
        <f t="shared" si="590"/>
        <v/>
      </c>
      <c r="L7551" s="7" t="str">
        <f t="shared" si="591"/>
        <v/>
      </c>
      <c r="M7551" s="7" t="str">
        <f t="shared" si="588"/>
        <v/>
      </c>
      <c r="N7551" s="7" t="str">
        <f t="shared" si="592"/>
        <v/>
      </c>
      <c r="O7551" s="8"/>
      <c r="P7551" s="26"/>
      <c r="S7551" s="10" t="str">
        <f t="shared" si="589"/>
        <v/>
      </c>
    </row>
    <row r="7552" spans="5:19" x14ac:dyDescent="0.3">
      <c r="E7552" s="9" t="str">
        <f>IF(DADOS!C7552="","",DADOS!C7552)</f>
        <v/>
      </c>
      <c r="F7552" s="9" t="str">
        <f>IF(DADOS!E7552="","",DADOS!E7552)</f>
        <v/>
      </c>
      <c r="G7552" s="9" t="str">
        <f>IF(DADOS!F7552="","",DADOS!F7552)</f>
        <v/>
      </c>
      <c r="K7552" s="6" t="str">
        <f t="shared" si="590"/>
        <v/>
      </c>
      <c r="L7552" s="7" t="str">
        <f t="shared" si="591"/>
        <v/>
      </c>
      <c r="M7552" s="7" t="str">
        <f t="shared" si="588"/>
        <v/>
      </c>
      <c r="N7552" s="7" t="str">
        <f t="shared" si="592"/>
        <v/>
      </c>
      <c r="O7552" s="8"/>
      <c r="P7552" s="26"/>
      <c r="S7552" s="10" t="str">
        <f t="shared" si="589"/>
        <v/>
      </c>
    </row>
    <row r="7553" spans="5:19" x14ac:dyDescent="0.3">
      <c r="E7553" s="9" t="str">
        <f>IF(DADOS!C7553="","",DADOS!C7553)</f>
        <v/>
      </c>
      <c r="F7553" s="9" t="str">
        <f>IF(DADOS!E7553="","",DADOS!E7553)</f>
        <v/>
      </c>
      <c r="G7553" s="9" t="str">
        <f>IF(DADOS!F7553="","",DADOS!F7553)</f>
        <v/>
      </c>
      <c r="K7553" s="6" t="str">
        <f t="shared" si="590"/>
        <v/>
      </c>
      <c r="L7553" s="7" t="str">
        <f t="shared" si="591"/>
        <v/>
      </c>
      <c r="M7553" s="7" t="str">
        <f t="shared" si="588"/>
        <v/>
      </c>
      <c r="N7553" s="7" t="str">
        <f t="shared" si="592"/>
        <v/>
      </c>
      <c r="O7553" s="8"/>
      <c r="P7553" s="26"/>
      <c r="S7553" s="10" t="str">
        <f t="shared" si="589"/>
        <v/>
      </c>
    </row>
    <row r="7554" spans="5:19" x14ac:dyDescent="0.3">
      <c r="E7554" s="9" t="str">
        <f>IF(DADOS!C7554="","",DADOS!C7554)</f>
        <v/>
      </c>
      <c r="F7554" s="9" t="str">
        <f>IF(DADOS!E7554="","",DADOS!E7554)</f>
        <v/>
      </c>
      <c r="G7554" s="9" t="str">
        <f>IF(DADOS!F7554="","",DADOS!F7554)</f>
        <v/>
      </c>
      <c r="K7554" s="6" t="str">
        <f t="shared" si="590"/>
        <v/>
      </c>
      <c r="L7554" s="7" t="str">
        <f t="shared" si="591"/>
        <v/>
      </c>
      <c r="M7554" s="7" t="str">
        <f t="shared" si="588"/>
        <v/>
      </c>
      <c r="N7554" s="7" t="str">
        <f t="shared" si="592"/>
        <v/>
      </c>
      <c r="O7554" s="8"/>
      <c r="P7554" s="26"/>
      <c r="S7554" s="10" t="str">
        <f t="shared" si="589"/>
        <v/>
      </c>
    </row>
    <row r="7555" spans="5:19" x14ac:dyDescent="0.3">
      <c r="E7555" s="9" t="str">
        <f>IF(DADOS!C7555="","",DADOS!C7555)</f>
        <v/>
      </c>
      <c r="F7555" s="9" t="str">
        <f>IF(DADOS!E7555="","",DADOS!E7555)</f>
        <v/>
      </c>
      <c r="G7555" s="9" t="str">
        <f>IF(DADOS!F7555="","",DADOS!F7555)</f>
        <v/>
      </c>
      <c r="K7555" s="6" t="str">
        <f t="shared" si="590"/>
        <v/>
      </c>
      <c r="L7555" s="7" t="str">
        <f t="shared" si="591"/>
        <v/>
      </c>
      <c r="M7555" s="7" t="str">
        <f t="shared" ref="M7555:M7618" si="593">IF(L7555="","",L7555*G7555)</f>
        <v/>
      </c>
      <c r="N7555" s="7" t="str">
        <f t="shared" si="592"/>
        <v/>
      </c>
      <c r="O7555" s="8"/>
      <c r="P7555" s="26"/>
      <c r="S7555" s="10" t="str">
        <f t="shared" ref="S7555:S7618" si="594">IF(R7555="","",SUMIFS($N$3:$N$10000,$E$3:$E$10000,R7555))</f>
        <v/>
      </c>
    </row>
    <row r="7556" spans="5:19" x14ac:dyDescent="0.3">
      <c r="E7556" s="9" t="str">
        <f>IF(DADOS!C7556="","",DADOS!C7556)</f>
        <v/>
      </c>
      <c r="F7556" s="9" t="str">
        <f>IF(DADOS!E7556="","",DADOS!E7556)</f>
        <v/>
      </c>
      <c r="G7556" s="9" t="str">
        <f>IF(DADOS!F7556="","",DADOS!F7556)</f>
        <v/>
      </c>
      <c r="K7556" s="6" t="str">
        <f t="shared" ref="K7556:K7619" si="595">IF(F7556="","",F7556/PI())</f>
        <v/>
      </c>
      <c r="L7556" s="7" t="str">
        <f t="shared" ref="L7556:L7619" si="596">IF(K7556="","",(PI()*K7556^2)/40000)</f>
        <v/>
      </c>
      <c r="M7556" s="7" t="str">
        <f t="shared" si="593"/>
        <v/>
      </c>
      <c r="N7556" s="7" t="str">
        <f t="shared" ref="N7556:N7619" si="597">IF(M7556="","",M7556*N$1)</f>
        <v/>
      </c>
      <c r="O7556" s="8"/>
      <c r="P7556" s="26"/>
      <c r="S7556" s="10" t="str">
        <f t="shared" si="594"/>
        <v/>
      </c>
    </row>
    <row r="7557" spans="5:19" x14ac:dyDescent="0.3">
      <c r="E7557" s="9" t="str">
        <f>IF(DADOS!C7557="","",DADOS!C7557)</f>
        <v/>
      </c>
      <c r="F7557" s="9" t="str">
        <f>IF(DADOS!E7557="","",DADOS!E7557)</f>
        <v/>
      </c>
      <c r="G7557" s="9" t="str">
        <f>IF(DADOS!F7557="","",DADOS!F7557)</f>
        <v/>
      </c>
      <c r="K7557" s="6" t="str">
        <f t="shared" si="595"/>
        <v/>
      </c>
      <c r="L7557" s="7" t="str">
        <f t="shared" si="596"/>
        <v/>
      </c>
      <c r="M7557" s="7" t="str">
        <f t="shared" si="593"/>
        <v/>
      </c>
      <c r="N7557" s="7" t="str">
        <f t="shared" si="597"/>
        <v/>
      </c>
      <c r="O7557" s="8"/>
      <c r="P7557" s="26"/>
      <c r="S7557" s="10" t="str">
        <f t="shared" si="594"/>
        <v/>
      </c>
    </row>
    <row r="7558" spans="5:19" x14ac:dyDescent="0.3">
      <c r="E7558" s="9" t="str">
        <f>IF(DADOS!C7558="","",DADOS!C7558)</f>
        <v/>
      </c>
      <c r="F7558" s="9" t="str">
        <f>IF(DADOS!E7558="","",DADOS!E7558)</f>
        <v/>
      </c>
      <c r="G7558" s="9" t="str">
        <f>IF(DADOS!F7558="","",DADOS!F7558)</f>
        <v/>
      </c>
      <c r="K7558" s="6" t="str">
        <f t="shared" si="595"/>
        <v/>
      </c>
      <c r="L7558" s="7" t="str">
        <f t="shared" si="596"/>
        <v/>
      </c>
      <c r="M7558" s="7" t="str">
        <f t="shared" si="593"/>
        <v/>
      </c>
      <c r="N7558" s="7" t="str">
        <f t="shared" si="597"/>
        <v/>
      </c>
      <c r="O7558" s="8"/>
      <c r="P7558" s="26"/>
      <c r="S7558" s="10" t="str">
        <f t="shared" si="594"/>
        <v/>
      </c>
    </row>
    <row r="7559" spans="5:19" x14ac:dyDescent="0.3">
      <c r="E7559" s="9" t="str">
        <f>IF(DADOS!C7559="","",DADOS!C7559)</f>
        <v/>
      </c>
      <c r="F7559" s="9" t="str">
        <f>IF(DADOS!E7559="","",DADOS!E7559)</f>
        <v/>
      </c>
      <c r="G7559" s="9" t="str">
        <f>IF(DADOS!F7559="","",DADOS!F7559)</f>
        <v/>
      </c>
      <c r="K7559" s="6" t="str">
        <f t="shared" si="595"/>
        <v/>
      </c>
      <c r="L7559" s="7" t="str">
        <f t="shared" si="596"/>
        <v/>
      </c>
      <c r="M7559" s="7" t="str">
        <f t="shared" si="593"/>
        <v/>
      </c>
      <c r="N7559" s="7" t="str">
        <f t="shared" si="597"/>
        <v/>
      </c>
      <c r="O7559" s="8"/>
      <c r="P7559" s="26"/>
      <c r="S7559" s="10" t="str">
        <f t="shared" si="594"/>
        <v/>
      </c>
    </row>
    <row r="7560" spans="5:19" x14ac:dyDescent="0.3">
      <c r="E7560" s="9" t="str">
        <f>IF(DADOS!C7560="","",DADOS!C7560)</f>
        <v/>
      </c>
      <c r="F7560" s="9" t="str">
        <f>IF(DADOS!E7560="","",DADOS!E7560)</f>
        <v/>
      </c>
      <c r="G7560" s="9" t="str">
        <f>IF(DADOS!F7560="","",DADOS!F7560)</f>
        <v/>
      </c>
      <c r="K7560" s="6" t="str">
        <f t="shared" si="595"/>
        <v/>
      </c>
      <c r="L7560" s="7" t="str">
        <f t="shared" si="596"/>
        <v/>
      </c>
      <c r="M7560" s="7" t="str">
        <f t="shared" si="593"/>
        <v/>
      </c>
      <c r="N7560" s="7" t="str">
        <f t="shared" si="597"/>
        <v/>
      </c>
      <c r="O7560" s="8"/>
      <c r="P7560" s="26"/>
      <c r="S7560" s="10" t="str">
        <f t="shared" si="594"/>
        <v/>
      </c>
    </row>
    <row r="7561" spans="5:19" x14ac:dyDescent="0.3">
      <c r="E7561" s="9" t="str">
        <f>IF(DADOS!C7561="","",DADOS!C7561)</f>
        <v/>
      </c>
      <c r="F7561" s="9" t="str">
        <f>IF(DADOS!E7561="","",DADOS!E7561)</f>
        <v/>
      </c>
      <c r="G7561" s="9" t="str">
        <f>IF(DADOS!F7561="","",DADOS!F7561)</f>
        <v/>
      </c>
      <c r="K7561" s="6" t="str">
        <f t="shared" si="595"/>
        <v/>
      </c>
      <c r="L7561" s="7" t="str">
        <f t="shared" si="596"/>
        <v/>
      </c>
      <c r="M7561" s="7" t="str">
        <f t="shared" si="593"/>
        <v/>
      </c>
      <c r="N7561" s="7" t="str">
        <f t="shared" si="597"/>
        <v/>
      </c>
      <c r="O7561" s="8"/>
      <c r="P7561" s="26"/>
      <c r="S7561" s="10" t="str">
        <f t="shared" si="594"/>
        <v/>
      </c>
    </row>
    <row r="7562" spans="5:19" x14ac:dyDescent="0.3">
      <c r="E7562" s="9" t="str">
        <f>IF(DADOS!C7562="","",DADOS!C7562)</f>
        <v/>
      </c>
      <c r="F7562" s="9" t="str">
        <f>IF(DADOS!E7562="","",DADOS!E7562)</f>
        <v/>
      </c>
      <c r="G7562" s="9" t="str">
        <f>IF(DADOS!F7562="","",DADOS!F7562)</f>
        <v/>
      </c>
      <c r="K7562" s="6" t="str">
        <f t="shared" si="595"/>
        <v/>
      </c>
      <c r="L7562" s="7" t="str">
        <f t="shared" si="596"/>
        <v/>
      </c>
      <c r="M7562" s="7" t="str">
        <f t="shared" si="593"/>
        <v/>
      </c>
      <c r="N7562" s="7" t="str">
        <f t="shared" si="597"/>
        <v/>
      </c>
      <c r="O7562" s="8"/>
      <c r="P7562" s="26"/>
      <c r="S7562" s="10" t="str">
        <f t="shared" si="594"/>
        <v/>
      </c>
    </row>
    <row r="7563" spans="5:19" x14ac:dyDescent="0.3">
      <c r="E7563" s="9" t="str">
        <f>IF(DADOS!C7563="","",DADOS!C7563)</f>
        <v/>
      </c>
      <c r="F7563" s="9" t="str">
        <f>IF(DADOS!E7563="","",DADOS!E7563)</f>
        <v/>
      </c>
      <c r="G7563" s="9" t="str">
        <f>IF(DADOS!F7563="","",DADOS!F7563)</f>
        <v/>
      </c>
      <c r="K7563" s="6" t="str">
        <f t="shared" si="595"/>
        <v/>
      </c>
      <c r="L7563" s="7" t="str">
        <f t="shared" si="596"/>
        <v/>
      </c>
      <c r="M7563" s="7" t="str">
        <f t="shared" si="593"/>
        <v/>
      </c>
      <c r="N7563" s="7" t="str">
        <f t="shared" si="597"/>
        <v/>
      </c>
      <c r="O7563" s="8"/>
      <c r="P7563" s="26"/>
      <c r="S7563" s="10" t="str">
        <f t="shared" si="594"/>
        <v/>
      </c>
    </row>
    <row r="7564" spans="5:19" x14ac:dyDescent="0.3">
      <c r="E7564" s="9" t="str">
        <f>IF(DADOS!C7564="","",DADOS!C7564)</f>
        <v/>
      </c>
      <c r="F7564" s="9" t="str">
        <f>IF(DADOS!E7564="","",DADOS!E7564)</f>
        <v/>
      </c>
      <c r="G7564" s="9" t="str">
        <f>IF(DADOS!F7564="","",DADOS!F7564)</f>
        <v/>
      </c>
      <c r="K7564" s="6" t="str">
        <f t="shared" si="595"/>
        <v/>
      </c>
      <c r="L7564" s="7" t="str">
        <f t="shared" si="596"/>
        <v/>
      </c>
      <c r="M7564" s="7" t="str">
        <f t="shared" si="593"/>
        <v/>
      </c>
      <c r="N7564" s="7" t="str">
        <f t="shared" si="597"/>
        <v/>
      </c>
      <c r="O7564" s="8"/>
      <c r="P7564" s="26"/>
      <c r="S7564" s="10" t="str">
        <f t="shared" si="594"/>
        <v/>
      </c>
    </row>
    <row r="7565" spans="5:19" x14ac:dyDescent="0.3">
      <c r="E7565" s="9" t="str">
        <f>IF(DADOS!C7565="","",DADOS!C7565)</f>
        <v/>
      </c>
      <c r="F7565" s="9" t="str">
        <f>IF(DADOS!E7565="","",DADOS!E7565)</f>
        <v/>
      </c>
      <c r="G7565" s="9" t="str">
        <f>IF(DADOS!F7565="","",DADOS!F7565)</f>
        <v/>
      </c>
      <c r="K7565" s="6" t="str">
        <f t="shared" si="595"/>
        <v/>
      </c>
      <c r="L7565" s="7" t="str">
        <f t="shared" si="596"/>
        <v/>
      </c>
      <c r="M7565" s="7" t="str">
        <f t="shared" si="593"/>
        <v/>
      </c>
      <c r="N7565" s="7" t="str">
        <f t="shared" si="597"/>
        <v/>
      </c>
      <c r="O7565" s="8"/>
      <c r="P7565" s="26"/>
      <c r="S7565" s="10" t="str">
        <f t="shared" si="594"/>
        <v/>
      </c>
    </row>
    <row r="7566" spans="5:19" x14ac:dyDescent="0.3">
      <c r="E7566" s="9" t="str">
        <f>IF(DADOS!C7566="","",DADOS!C7566)</f>
        <v/>
      </c>
      <c r="F7566" s="9" t="str">
        <f>IF(DADOS!E7566="","",DADOS!E7566)</f>
        <v/>
      </c>
      <c r="G7566" s="9" t="str">
        <f>IF(DADOS!F7566="","",DADOS!F7566)</f>
        <v/>
      </c>
      <c r="K7566" s="6" t="str">
        <f t="shared" si="595"/>
        <v/>
      </c>
      <c r="L7566" s="7" t="str">
        <f t="shared" si="596"/>
        <v/>
      </c>
      <c r="M7566" s="7" t="str">
        <f t="shared" si="593"/>
        <v/>
      </c>
      <c r="N7566" s="7" t="str">
        <f t="shared" si="597"/>
        <v/>
      </c>
      <c r="O7566" s="8"/>
      <c r="P7566" s="26"/>
      <c r="S7566" s="10" t="str">
        <f t="shared" si="594"/>
        <v/>
      </c>
    </row>
    <row r="7567" spans="5:19" x14ac:dyDescent="0.3">
      <c r="E7567" s="9" t="str">
        <f>IF(DADOS!C7567="","",DADOS!C7567)</f>
        <v/>
      </c>
      <c r="F7567" s="9" t="str">
        <f>IF(DADOS!E7567="","",DADOS!E7567)</f>
        <v/>
      </c>
      <c r="G7567" s="9" t="str">
        <f>IF(DADOS!F7567="","",DADOS!F7567)</f>
        <v/>
      </c>
      <c r="K7567" s="6" t="str">
        <f t="shared" si="595"/>
        <v/>
      </c>
      <c r="L7567" s="7" t="str">
        <f t="shared" si="596"/>
        <v/>
      </c>
      <c r="M7567" s="7" t="str">
        <f t="shared" si="593"/>
        <v/>
      </c>
      <c r="N7567" s="7" t="str">
        <f t="shared" si="597"/>
        <v/>
      </c>
      <c r="O7567" s="8"/>
      <c r="P7567" s="26"/>
      <c r="S7567" s="10" t="str">
        <f t="shared" si="594"/>
        <v/>
      </c>
    </row>
    <row r="7568" spans="5:19" x14ac:dyDescent="0.3">
      <c r="E7568" s="9" t="str">
        <f>IF(DADOS!C7568="","",DADOS!C7568)</f>
        <v/>
      </c>
      <c r="F7568" s="9" t="str">
        <f>IF(DADOS!E7568="","",DADOS!E7568)</f>
        <v/>
      </c>
      <c r="G7568" s="9" t="str">
        <f>IF(DADOS!F7568="","",DADOS!F7568)</f>
        <v/>
      </c>
      <c r="K7568" s="6" t="str">
        <f t="shared" si="595"/>
        <v/>
      </c>
      <c r="L7568" s="7" t="str">
        <f t="shared" si="596"/>
        <v/>
      </c>
      <c r="M7568" s="7" t="str">
        <f t="shared" si="593"/>
        <v/>
      </c>
      <c r="N7568" s="7" t="str">
        <f t="shared" si="597"/>
        <v/>
      </c>
      <c r="O7568" s="8"/>
      <c r="P7568" s="26"/>
      <c r="S7568" s="10" t="str">
        <f t="shared" si="594"/>
        <v/>
      </c>
    </row>
    <row r="7569" spans="5:19" x14ac:dyDescent="0.3">
      <c r="E7569" s="9" t="str">
        <f>IF(DADOS!C7569="","",DADOS!C7569)</f>
        <v/>
      </c>
      <c r="F7569" s="9" t="str">
        <f>IF(DADOS!E7569="","",DADOS!E7569)</f>
        <v/>
      </c>
      <c r="G7569" s="9" t="str">
        <f>IF(DADOS!F7569="","",DADOS!F7569)</f>
        <v/>
      </c>
      <c r="K7569" s="6" t="str">
        <f t="shared" si="595"/>
        <v/>
      </c>
      <c r="L7569" s="7" t="str">
        <f t="shared" si="596"/>
        <v/>
      </c>
      <c r="M7569" s="7" t="str">
        <f t="shared" si="593"/>
        <v/>
      </c>
      <c r="N7569" s="7" t="str">
        <f t="shared" si="597"/>
        <v/>
      </c>
      <c r="O7569" s="8"/>
      <c r="P7569" s="26"/>
      <c r="S7569" s="10" t="str">
        <f t="shared" si="594"/>
        <v/>
      </c>
    </row>
    <row r="7570" spans="5:19" x14ac:dyDescent="0.3">
      <c r="E7570" s="9" t="str">
        <f>IF(DADOS!C7570="","",DADOS!C7570)</f>
        <v/>
      </c>
      <c r="F7570" s="9" t="str">
        <f>IF(DADOS!E7570="","",DADOS!E7570)</f>
        <v/>
      </c>
      <c r="G7570" s="9" t="str">
        <f>IF(DADOS!F7570="","",DADOS!F7570)</f>
        <v/>
      </c>
      <c r="K7570" s="6" t="str">
        <f t="shared" si="595"/>
        <v/>
      </c>
      <c r="L7570" s="7" t="str">
        <f t="shared" si="596"/>
        <v/>
      </c>
      <c r="M7570" s="7" t="str">
        <f t="shared" si="593"/>
        <v/>
      </c>
      <c r="N7570" s="7" t="str">
        <f t="shared" si="597"/>
        <v/>
      </c>
      <c r="O7570" s="8"/>
      <c r="P7570" s="26"/>
      <c r="S7570" s="10" t="str">
        <f t="shared" si="594"/>
        <v/>
      </c>
    </row>
    <row r="7571" spans="5:19" x14ac:dyDescent="0.3">
      <c r="E7571" s="9" t="str">
        <f>IF(DADOS!C7571="","",DADOS!C7571)</f>
        <v/>
      </c>
      <c r="F7571" s="9" t="str">
        <f>IF(DADOS!E7571="","",DADOS!E7571)</f>
        <v/>
      </c>
      <c r="G7571" s="9" t="str">
        <f>IF(DADOS!F7571="","",DADOS!F7571)</f>
        <v/>
      </c>
      <c r="K7571" s="6" t="str">
        <f t="shared" si="595"/>
        <v/>
      </c>
      <c r="L7571" s="7" t="str">
        <f t="shared" si="596"/>
        <v/>
      </c>
      <c r="M7571" s="7" t="str">
        <f t="shared" si="593"/>
        <v/>
      </c>
      <c r="N7571" s="7" t="str">
        <f t="shared" si="597"/>
        <v/>
      </c>
      <c r="O7571" s="8"/>
      <c r="P7571" s="26"/>
      <c r="S7571" s="10" t="str">
        <f t="shared" si="594"/>
        <v/>
      </c>
    </row>
    <row r="7572" spans="5:19" x14ac:dyDescent="0.3">
      <c r="E7572" s="9" t="str">
        <f>IF(DADOS!C7572="","",DADOS!C7572)</f>
        <v/>
      </c>
      <c r="F7572" s="9" t="str">
        <f>IF(DADOS!E7572="","",DADOS!E7572)</f>
        <v/>
      </c>
      <c r="G7572" s="9" t="str">
        <f>IF(DADOS!F7572="","",DADOS!F7572)</f>
        <v/>
      </c>
      <c r="K7572" s="6" t="str">
        <f t="shared" si="595"/>
        <v/>
      </c>
      <c r="L7572" s="7" t="str">
        <f t="shared" si="596"/>
        <v/>
      </c>
      <c r="M7572" s="7" t="str">
        <f t="shared" si="593"/>
        <v/>
      </c>
      <c r="N7572" s="7" t="str">
        <f t="shared" si="597"/>
        <v/>
      </c>
      <c r="O7572" s="8"/>
      <c r="P7572" s="26"/>
      <c r="S7572" s="10" t="str">
        <f t="shared" si="594"/>
        <v/>
      </c>
    </row>
    <row r="7573" spans="5:19" x14ac:dyDescent="0.3">
      <c r="E7573" s="9" t="str">
        <f>IF(DADOS!C7573="","",DADOS!C7573)</f>
        <v/>
      </c>
      <c r="F7573" s="9" t="str">
        <f>IF(DADOS!E7573="","",DADOS!E7573)</f>
        <v/>
      </c>
      <c r="G7573" s="9" t="str">
        <f>IF(DADOS!F7573="","",DADOS!F7573)</f>
        <v/>
      </c>
      <c r="K7573" s="6" t="str">
        <f t="shared" si="595"/>
        <v/>
      </c>
      <c r="L7573" s="7" t="str">
        <f t="shared" si="596"/>
        <v/>
      </c>
      <c r="M7573" s="7" t="str">
        <f t="shared" si="593"/>
        <v/>
      </c>
      <c r="N7573" s="7" t="str">
        <f t="shared" si="597"/>
        <v/>
      </c>
      <c r="O7573" s="8"/>
      <c r="P7573" s="26"/>
      <c r="S7573" s="10" t="str">
        <f t="shared" si="594"/>
        <v/>
      </c>
    </row>
    <row r="7574" spans="5:19" x14ac:dyDescent="0.3">
      <c r="E7574" s="9" t="str">
        <f>IF(DADOS!C7574="","",DADOS!C7574)</f>
        <v/>
      </c>
      <c r="F7574" s="9" t="str">
        <f>IF(DADOS!E7574="","",DADOS!E7574)</f>
        <v/>
      </c>
      <c r="G7574" s="9" t="str">
        <f>IF(DADOS!F7574="","",DADOS!F7574)</f>
        <v/>
      </c>
      <c r="K7574" s="6" t="str">
        <f t="shared" si="595"/>
        <v/>
      </c>
      <c r="L7574" s="7" t="str">
        <f t="shared" si="596"/>
        <v/>
      </c>
      <c r="M7574" s="7" t="str">
        <f t="shared" si="593"/>
        <v/>
      </c>
      <c r="N7574" s="7" t="str">
        <f t="shared" si="597"/>
        <v/>
      </c>
      <c r="O7574" s="8"/>
      <c r="P7574" s="26"/>
      <c r="S7574" s="10" t="str">
        <f t="shared" si="594"/>
        <v/>
      </c>
    </row>
    <row r="7575" spans="5:19" x14ac:dyDescent="0.3">
      <c r="E7575" s="9" t="str">
        <f>IF(DADOS!C7575="","",DADOS!C7575)</f>
        <v/>
      </c>
      <c r="F7575" s="9" t="str">
        <f>IF(DADOS!E7575="","",DADOS!E7575)</f>
        <v/>
      </c>
      <c r="G7575" s="9" t="str">
        <f>IF(DADOS!F7575="","",DADOS!F7575)</f>
        <v/>
      </c>
      <c r="K7575" s="6" t="str">
        <f t="shared" si="595"/>
        <v/>
      </c>
      <c r="L7575" s="7" t="str">
        <f t="shared" si="596"/>
        <v/>
      </c>
      <c r="M7575" s="7" t="str">
        <f t="shared" si="593"/>
        <v/>
      </c>
      <c r="N7575" s="7" t="str">
        <f t="shared" si="597"/>
        <v/>
      </c>
      <c r="O7575" s="8"/>
      <c r="P7575" s="26"/>
      <c r="S7575" s="10" t="str">
        <f t="shared" si="594"/>
        <v/>
      </c>
    </row>
    <row r="7576" spans="5:19" x14ac:dyDescent="0.3">
      <c r="E7576" s="9" t="str">
        <f>IF(DADOS!C7576="","",DADOS!C7576)</f>
        <v/>
      </c>
      <c r="F7576" s="9" t="str">
        <f>IF(DADOS!E7576="","",DADOS!E7576)</f>
        <v/>
      </c>
      <c r="G7576" s="9" t="str">
        <f>IF(DADOS!F7576="","",DADOS!F7576)</f>
        <v/>
      </c>
      <c r="K7576" s="6" t="str">
        <f t="shared" si="595"/>
        <v/>
      </c>
      <c r="L7576" s="7" t="str">
        <f t="shared" si="596"/>
        <v/>
      </c>
      <c r="M7576" s="7" t="str">
        <f t="shared" si="593"/>
        <v/>
      </c>
      <c r="N7576" s="7" t="str">
        <f t="shared" si="597"/>
        <v/>
      </c>
      <c r="O7576" s="8"/>
      <c r="P7576" s="26"/>
      <c r="S7576" s="10" t="str">
        <f t="shared" si="594"/>
        <v/>
      </c>
    </row>
    <row r="7577" spans="5:19" x14ac:dyDescent="0.3">
      <c r="E7577" s="9" t="str">
        <f>IF(DADOS!C7577="","",DADOS!C7577)</f>
        <v/>
      </c>
      <c r="F7577" s="9" t="str">
        <f>IF(DADOS!E7577="","",DADOS!E7577)</f>
        <v/>
      </c>
      <c r="G7577" s="9" t="str">
        <f>IF(DADOS!F7577="","",DADOS!F7577)</f>
        <v/>
      </c>
      <c r="K7577" s="6" t="str">
        <f t="shared" si="595"/>
        <v/>
      </c>
      <c r="L7577" s="7" t="str">
        <f t="shared" si="596"/>
        <v/>
      </c>
      <c r="M7577" s="7" t="str">
        <f t="shared" si="593"/>
        <v/>
      </c>
      <c r="N7577" s="7" t="str">
        <f t="shared" si="597"/>
        <v/>
      </c>
      <c r="O7577" s="8"/>
      <c r="P7577" s="26"/>
      <c r="S7577" s="10" t="str">
        <f t="shared" si="594"/>
        <v/>
      </c>
    </row>
    <row r="7578" spans="5:19" x14ac:dyDescent="0.3">
      <c r="E7578" s="9" t="str">
        <f>IF(DADOS!C7578="","",DADOS!C7578)</f>
        <v/>
      </c>
      <c r="F7578" s="9" t="str">
        <f>IF(DADOS!E7578="","",DADOS!E7578)</f>
        <v/>
      </c>
      <c r="G7578" s="9" t="str">
        <f>IF(DADOS!F7578="","",DADOS!F7578)</f>
        <v/>
      </c>
      <c r="K7578" s="6" t="str">
        <f t="shared" si="595"/>
        <v/>
      </c>
      <c r="L7578" s="7" t="str">
        <f t="shared" si="596"/>
        <v/>
      </c>
      <c r="M7578" s="7" t="str">
        <f t="shared" si="593"/>
        <v/>
      </c>
      <c r="N7578" s="7" t="str">
        <f t="shared" si="597"/>
        <v/>
      </c>
      <c r="O7578" s="8"/>
      <c r="P7578" s="26"/>
      <c r="S7578" s="10" t="str">
        <f t="shared" si="594"/>
        <v/>
      </c>
    </row>
    <row r="7579" spans="5:19" x14ac:dyDescent="0.3">
      <c r="E7579" s="9" t="str">
        <f>IF(DADOS!C7579="","",DADOS!C7579)</f>
        <v/>
      </c>
      <c r="F7579" s="9" t="str">
        <f>IF(DADOS!E7579="","",DADOS!E7579)</f>
        <v/>
      </c>
      <c r="G7579" s="9" t="str">
        <f>IF(DADOS!F7579="","",DADOS!F7579)</f>
        <v/>
      </c>
      <c r="K7579" s="6" t="str">
        <f t="shared" si="595"/>
        <v/>
      </c>
      <c r="L7579" s="7" t="str">
        <f t="shared" si="596"/>
        <v/>
      </c>
      <c r="M7579" s="7" t="str">
        <f t="shared" si="593"/>
        <v/>
      </c>
      <c r="N7579" s="7" t="str">
        <f t="shared" si="597"/>
        <v/>
      </c>
      <c r="O7579" s="8"/>
      <c r="P7579" s="26"/>
      <c r="S7579" s="10" t="str">
        <f t="shared" si="594"/>
        <v/>
      </c>
    </row>
    <row r="7580" spans="5:19" x14ac:dyDescent="0.3">
      <c r="E7580" s="9" t="str">
        <f>IF(DADOS!C7580="","",DADOS!C7580)</f>
        <v/>
      </c>
      <c r="F7580" s="9" t="str">
        <f>IF(DADOS!E7580="","",DADOS!E7580)</f>
        <v/>
      </c>
      <c r="G7580" s="9" t="str">
        <f>IF(DADOS!F7580="","",DADOS!F7580)</f>
        <v/>
      </c>
      <c r="K7580" s="6" t="str">
        <f t="shared" si="595"/>
        <v/>
      </c>
      <c r="L7580" s="7" t="str">
        <f t="shared" si="596"/>
        <v/>
      </c>
      <c r="M7580" s="7" t="str">
        <f t="shared" si="593"/>
        <v/>
      </c>
      <c r="N7580" s="7" t="str">
        <f t="shared" si="597"/>
        <v/>
      </c>
      <c r="O7580" s="8"/>
      <c r="P7580" s="26"/>
      <c r="S7580" s="10" t="str">
        <f t="shared" si="594"/>
        <v/>
      </c>
    </row>
    <row r="7581" spans="5:19" x14ac:dyDescent="0.3">
      <c r="E7581" s="9" t="str">
        <f>IF(DADOS!C7581="","",DADOS!C7581)</f>
        <v/>
      </c>
      <c r="F7581" s="9" t="str">
        <f>IF(DADOS!E7581="","",DADOS!E7581)</f>
        <v/>
      </c>
      <c r="G7581" s="9" t="str">
        <f>IF(DADOS!F7581="","",DADOS!F7581)</f>
        <v/>
      </c>
      <c r="K7581" s="6" t="str">
        <f t="shared" si="595"/>
        <v/>
      </c>
      <c r="L7581" s="7" t="str">
        <f t="shared" si="596"/>
        <v/>
      </c>
      <c r="M7581" s="7" t="str">
        <f t="shared" si="593"/>
        <v/>
      </c>
      <c r="N7581" s="7" t="str">
        <f t="shared" si="597"/>
        <v/>
      </c>
      <c r="O7581" s="8"/>
      <c r="P7581" s="26"/>
      <c r="S7581" s="10" t="str">
        <f t="shared" si="594"/>
        <v/>
      </c>
    </row>
    <row r="7582" spans="5:19" x14ac:dyDescent="0.3">
      <c r="E7582" s="9" t="str">
        <f>IF(DADOS!C7582="","",DADOS!C7582)</f>
        <v/>
      </c>
      <c r="F7582" s="9" t="str">
        <f>IF(DADOS!E7582="","",DADOS!E7582)</f>
        <v/>
      </c>
      <c r="G7582" s="9" t="str">
        <f>IF(DADOS!F7582="","",DADOS!F7582)</f>
        <v/>
      </c>
      <c r="K7582" s="6" t="str">
        <f t="shared" si="595"/>
        <v/>
      </c>
      <c r="L7582" s="7" t="str">
        <f t="shared" si="596"/>
        <v/>
      </c>
      <c r="M7582" s="7" t="str">
        <f t="shared" si="593"/>
        <v/>
      </c>
      <c r="N7582" s="7" t="str">
        <f t="shared" si="597"/>
        <v/>
      </c>
      <c r="O7582" s="8"/>
      <c r="P7582" s="26"/>
      <c r="S7582" s="10" t="str">
        <f t="shared" si="594"/>
        <v/>
      </c>
    </row>
    <row r="7583" spans="5:19" x14ac:dyDescent="0.3">
      <c r="E7583" s="9" t="str">
        <f>IF(DADOS!C7583="","",DADOS!C7583)</f>
        <v/>
      </c>
      <c r="F7583" s="9" t="str">
        <f>IF(DADOS!E7583="","",DADOS!E7583)</f>
        <v/>
      </c>
      <c r="G7583" s="9" t="str">
        <f>IF(DADOS!F7583="","",DADOS!F7583)</f>
        <v/>
      </c>
      <c r="K7583" s="6" t="str">
        <f t="shared" si="595"/>
        <v/>
      </c>
      <c r="L7583" s="7" t="str">
        <f t="shared" si="596"/>
        <v/>
      </c>
      <c r="M7583" s="7" t="str">
        <f t="shared" si="593"/>
        <v/>
      </c>
      <c r="N7583" s="7" t="str">
        <f t="shared" si="597"/>
        <v/>
      </c>
      <c r="O7583" s="8"/>
      <c r="P7583" s="26"/>
      <c r="S7583" s="10" t="str">
        <f t="shared" si="594"/>
        <v/>
      </c>
    </row>
    <row r="7584" spans="5:19" x14ac:dyDescent="0.3">
      <c r="E7584" s="9" t="str">
        <f>IF(DADOS!C7584="","",DADOS!C7584)</f>
        <v/>
      </c>
      <c r="F7584" s="9" t="str">
        <f>IF(DADOS!E7584="","",DADOS!E7584)</f>
        <v/>
      </c>
      <c r="G7584" s="9" t="str">
        <f>IF(DADOS!F7584="","",DADOS!F7584)</f>
        <v/>
      </c>
      <c r="K7584" s="6" t="str">
        <f t="shared" si="595"/>
        <v/>
      </c>
      <c r="L7584" s="7" t="str">
        <f t="shared" si="596"/>
        <v/>
      </c>
      <c r="M7584" s="7" t="str">
        <f t="shared" si="593"/>
        <v/>
      </c>
      <c r="N7584" s="7" t="str">
        <f t="shared" si="597"/>
        <v/>
      </c>
      <c r="O7584" s="8"/>
      <c r="P7584" s="26"/>
      <c r="S7584" s="10" t="str">
        <f t="shared" si="594"/>
        <v/>
      </c>
    </row>
    <row r="7585" spans="5:19" x14ac:dyDescent="0.3">
      <c r="E7585" s="9" t="str">
        <f>IF(DADOS!C7585="","",DADOS!C7585)</f>
        <v/>
      </c>
      <c r="F7585" s="9" t="str">
        <f>IF(DADOS!E7585="","",DADOS!E7585)</f>
        <v/>
      </c>
      <c r="G7585" s="9" t="str">
        <f>IF(DADOS!F7585="","",DADOS!F7585)</f>
        <v/>
      </c>
      <c r="K7585" s="6" t="str">
        <f t="shared" si="595"/>
        <v/>
      </c>
      <c r="L7585" s="7" t="str">
        <f t="shared" si="596"/>
        <v/>
      </c>
      <c r="M7585" s="7" t="str">
        <f t="shared" si="593"/>
        <v/>
      </c>
      <c r="N7585" s="7" t="str">
        <f t="shared" si="597"/>
        <v/>
      </c>
      <c r="O7585" s="8"/>
      <c r="P7585" s="26"/>
      <c r="S7585" s="10" t="str">
        <f t="shared" si="594"/>
        <v/>
      </c>
    </row>
    <row r="7586" spans="5:19" x14ac:dyDescent="0.3">
      <c r="E7586" s="9" t="str">
        <f>IF(DADOS!C7586="","",DADOS!C7586)</f>
        <v/>
      </c>
      <c r="F7586" s="9" t="str">
        <f>IF(DADOS!E7586="","",DADOS!E7586)</f>
        <v/>
      </c>
      <c r="G7586" s="9" t="str">
        <f>IF(DADOS!F7586="","",DADOS!F7586)</f>
        <v/>
      </c>
      <c r="K7586" s="6" t="str">
        <f t="shared" si="595"/>
        <v/>
      </c>
      <c r="L7586" s="7" t="str">
        <f t="shared" si="596"/>
        <v/>
      </c>
      <c r="M7586" s="7" t="str">
        <f t="shared" si="593"/>
        <v/>
      </c>
      <c r="N7586" s="7" t="str">
        <f t="shared" si="597"/>
        <v/>
      </c>
      <c r="O7586" s="8"/>
      <c r="P7586" s="26"/>
      <c r="S7586" s="10" t="str">
        <f t="shared" si="594"/>
        <v/>
      </c>
    </row>
    <row r="7587" spans="5:19" x14ac:dyDescent="0.3">
      <c r="E7587" s="9" t="str">
        <f>IF(DADOS!C7587="","",DADOS!C7587)</f>
        <v/>
      </c>
      <c r="F7587" s="9" t="str">
        <f>IF(DADOS!E7587="","",DADOS!E7587)</f>
        <v/>
      </c>
      <c r="G7587" s="9" t="str">
        <f>IF(DADOS!F7587="","",DADOS!F7587)</f>
        <v/>
      </c>
      <c r="K7587" s="6" t="str">
        <f t="shared" si="595"/>
        <v/>
      </c>
      <c r="L7587" s="7" t="str">
        <f t="shared" si="596"/>
        <v/>
      </c>
      <c r="M7587" s="7" t="str">
        <f t="shared" si="593"/>
        <v/>
      </c>
      <c r="N7587" s="7" t="str">
        <f t="shared" si="597"/>
        <v/>
      </c>
      <c r="O7587" s="8"/>
      <c r="P7587" s="26"/>
      <c r="S7587" s="10" t="str">
        <f t="shared" si="594"/>
        <v/>
      </c>
    </row>
    <row r="7588" spans="5:19" x14ac:dyDescent="0.3">
      <c r="E7588" s="9" t="str">
        <f>IF(DADOS!C7588="","",DADOS!C7588)</f>
        <v/>
      </c>
      <c r="F7588" s="9" t="str">
        <f>IF(DADOS!E7588="","",DADOS!E7588)</f>
        <v/>
      </c>
      <c r="G7588" s="9" t="str">
        <f>IF(DADOS!F7588="","",DADOS!F7588)</f>
        <v/>
      </c>
      <c r="K7588" s="6" t="str">
        <f t="shared" si="595"/>
        <v/>
      </c>
      <c r="L7588" s="7" t="str">
        <f t="shared" si="596"/>
        <v/>
      </c>
      <c r="M7588" s="7" t="str">
        <f t="shared" si="593"/>
        <v/>
      </c>
      <c r="N7588" s="7" t="str">
        <f t="shared" si="597"/>
        <v/>
      </c>
      <c r="O7588" s="8"/>
      <c r="P7588" s="26"/>
      <c r="S7588" s="10" t="str">
        <f t="shared" si="594"/>
        <v/>
      </c>
    </row>
    <row r="7589" spans="5:19" x14ac:dyDescent="0.3">
      <c r="E7589" s="9" t="str">
        <f>IF(DADOS!C7589="","",DADOS!C7589)</f>
        <v/>
      </c>
      <c r="F7589" s="9" t="str">
        <f>IF(DADOS!E7589="","",DADOS!E7589)</f>
        <v/>
      </c>
      <c r="G7589" s="9" t="str">
        <f>IF(DADOS!F7589="","",DADOS!F7589)</f>
        <v/>
      </c>
      <c r="K7589" s="6" t="str">
        <f t="shared" si="595"/>
        <v/>
      </c>
      <c r="L7589" s="7" t="str">
        <f t="shared" si="596"/>
        <v/>
      </c>
      <c r="M7589" s="7" t="str">
        <f t="shared" si="593"/>
        <v/>
      </c>
      <c r="N7589" s="7" t="str">
        <f t="shared" si="597"/>
        <v/>
      </c>
      <c r="O7589" s="8"/>
      <c r="P7589" s="26"/>
      <c r="S7589" s="10" t="str">
        <f t="shared" si="594"/>
        <v/>
      </c>
    </row>
    <row r="7590" spans="5:19" x14ac:dyDescent="0.3">
      <c r="E7590" s="9" t="str">
        <f>IF(DADOS!C7590="","",DADOS!C7590)</f>
        <v/>
      </c>
      <c r="F7590" s="9" t="str">
        <f>IF(DADOS!E7590="","",DADOS!E7590)</f>
        <v/>
      </c>
      <c r="G7590" s="9" t="str">
        <f>IF(DADOS!F7590="","",DADOS!F7590)</f>
        <v/>
      </c>
      <c r="K7590" s="6" t="str">
        <f t="shared" si="595"/>
        <v/>
      </c>
      <c r="L7590" s="7" t="str">
        <f t="shared" si="596"/>
        <v/>
      </c>
      <c r="M7590" s="7" t="str">
        <f t="shared" si="593"/>
        <v/>
      </c>
      <c r="N7590" s="7" t="str">
        <f t="shared" si="597"/>
        <v/>
      </c>
      <c r="O7590" s="8"/>
      <c r="P7590" s="26"/>
      <c r="S7590" s="10" t="str">
        <f t="shared" si="594"/>
        <v/>
      </c>
    </row>
    <row r="7591" spans="5:19" x14ac:dyDescent="0.3">
      <c r="E7591" s="9" t="str">
        <f>IF(DADOS!C7591="","",DADOS!C7591)</f>
        <v/>
      </c>
      <c r="F7591" s="9" t="str">
        <f>IF(DADOS!E7591="","",DADOS!E7591)</f>
        <v/>
      </c>
      <c r="G7591" s="9" t="str">
        <f>IF(DADOS!F7591="","",DADOS!F7591)</f>
        <v/>
      </c>
      <c r="K7591" s="6" t="str">
        <f t="shared" si="595"/>
        <v/>
      </c>
      <c r="L7591" s="7" t="str">
        <f t="shared" si="596"/>
        <v/>
      </c>
      <c r="M7591" s="7" t="str">
        <f t="shared" si="593"/>
        <v/>
      </c>
      <c r="N7591" s="7" t="str">
        <f t="shared" si="597"/>
        <v/>
      </c>
      <c r="O7591" s="8"/>
      <c r="P7591" s="26"/>
      <c r="S7591" s="10" t="str">
        <f t="shared" si="594"/>
        <v/>
      </c>
    </row>
    <row r="7592" spans="5:19" x14ac:dyDescent="0.3">
      <c r="E7592" s="9" t="str">
        <f>IF(DADOS!C7592="","",DADOS!C7592)</f>
        <v/>
      </c>
      <c r="F7592" s="9" t="str">
        <f>IF(DADOS!E7592="","",DADOS!E7592)</f>
        <v/>
      </c>
      <c r="G7592" s="9" t="str">
        <f>IF(DADOS!F7592="","",DADOS!F7592)</f>
        <v/>
      </c>
      <c r="K7592" s="6" t="str">
        <f t="shared" si="595"/>
        <v/>
      </c>
      <c r="L7592" s="7" t="str">
        <f t="shared" si="596"/>
        <v/>
      </c>
      <c r="M7592" s="7" t="str">
        <f t="shared" si="593"/>
        <v/>
      </c>
      <c r="N7592" s="7" t="str">
        <f t="shared" si="597"/>
        <v/>
      </c>
      <c r="O7592" s="8"/>
      <c r="P7592" s="26"/>
      <c r="S7592" s="10" t="str">
        <f t="shared" si="594"/>
        <v/>
      </c>
    </row>
    <row r="7593" spans="5:19" x14ac:dyDescent="0.3">
      <c r="E7593" s="9" t="str">
        <f>IF(DADOS!C7593="","",DADOS!C7593)</f>
        <v/>
      </c>
      <c r="F7593" s="9" t="str">
        <f>IF(DADOS!E7593="","",DADOS!E7593)</f>
        <v/>
      </c>
      <c r="G7593" s="9" t="str">
        <f>IF(DADOS!F7593="","",DADOS!F7593)</f>
        <v/>
      </c>
      <c r="K7593" s="6" t="str">
        <f t="shared" si="595"/>
        <v/>
      </c>
      <c r="L7593" s="7" t="str">
        <f t="shared" si="596"/>
        <v/>
      </c>
      <c r="M7593" s="7" t="str">
        <f t="shared" si="593"/>
        <v/>
      </c>
      <c r="N7593" s="7" t="str">
        <f t="shared" si="597"/>
        <v/>
      </c>
      <c r="O7593" s="8"/>
      <c r="P7593" s="26"/>
      <c r="S7593" s="10" t="str">
        <f t="shared" si="594"/>
        <v/>
      </c>
    </row>
    <row r="7594" spans="5:19" x14ac:dyDescent="0.3">
      <c r="E7594" s="9" t="str">
        <f>IF(DADOS!C7594="","",DADOS!C7594)</f>
        <v/>
      </c>
      <c r="F7594" s="9" t="str">
        <f>IF(DADOS!E7594="","",DADOS!E7594)</f>
        <v/>
      </c>
      <c r="G7594" s="9" t="str">
        <f>IF(DADOS!F7594="","",DADOS!F7594)</f>
        <v/>
      </c>
      <c r="K7594" s="6" t="str">
        <f t="shared" si="595"/>
        <v/>
      </c>
      <c r="L7594" s="7" t="str">
        <f t="shared" si="596"/>
        <v/>
      </c>
      <c r="M7594" s="7" t="str">
        <f t="shared" si="593"/>
        <v/>
      </c>
      <c r="N7594" s="7" t="str">
        <f t="shared" si="597"/>
        <v/>
      </c>
      <c r="O7594" s="8"/>
      <c r="P7594" s="26"/>
      <c r="S7594" s="10" t="str">
        <f t="shared" si="594"/>
        <v/>
      </c>
    </row>
    <row r="7595" spans="5:19" x14ac:dyDescent="0.3">
      <c r="E7595" s="9" t="str">
        <f>IF(DADOS!C7595="","",DADOS!C7595)</f>
        <v/>
      </c>
      <c r="F7595" s="9" t="str">
        <f>IF(DADOS!E7595="","",DADOS!E7595)</f>
        <v/>
      </c>
      <c r="G7595" s="9" t="str">
        <f>IF(DADOS!F7595="","",DADOS!F7595)</f>
        <v/>
      </c>
      <c r="K7595" s="6" t="str">
        <f t="shared" si="595"/>
        <v/>
      </c>
      <c r="L7595" s="7" t="str">
        <f t="shared" si="596"/>
        <v/>
      </c>
      <c r="M7595" s="7" t="str">
        <f t="shared" si="593"/>
        <v/>
      </c>
      <c r="N7595" s="7" t="str">
        <f t="shared" si="597"/>
        <v/>
      </c>
      <c r="O7595" s="8"/>
      <c r="P7595" s="26"/>
      <c r="S7595" s="10" t="str">
        <f t="shared" si="594"/>
        <v/>
      </c>
    </row>
    <row r="7596" spans="5:19" x14ac:dyDescent="0.3">
      <c r="E7596" s="9" t="str">
        <f>IF(DADOS!C7596="","",DADOS!C7596)</f>
        <v/>
      </c>
      <c r="F7596" s="9" t="str">
        <f>IF(DADOS!E7596="","",DADOS!E7596)</f>
        <v/>
      </c>
      <c r="G7596" s="9" t="str">
        <f>IF(DADOS!F7596="","",DADOS!F7596)</f>
        <v/>
      </c>
      <c r="K7596" s="6" t="str">
        <f t="shared" si="595"/>
        <v/>
      </c>
      <c r="L7596" s="7" t="str">
        <f t="shared" si="596"/>
        <v/>
      </c>
      <c r="M7596" s="7" t="str">
        <f t="shared" si="593"/>
        <v/>
      </c>
      <c r="N7596" s="7" t="str">
        <f t="shared" si="597"/>
        <v/>
      </c>
      <c r="O7596" s="8"/>
      <c r="P7596" s="26"/>
      <c r="S7596" s="10" t="str">
        <f t="shared" si="594"/>
        <v/>
      </c>
    </row>
    <row r="7597" spans="5:19" x14ac:dyDescent="0.3">
      <c r="E7597" s="9" t="str">
        <f>IF(DADOS!C7597="","",DADOS!C7597)</f>
        <v/>
      </c>
      <c r="F7597" s="9" t="str">
        <f>IF(DADOS!E7597="","",DADOS!E7597)</f>
        <v/>
      </c>
      <c r="G7597" s="9" t="str">
        <f>IF(DADOS!F7597="","",DADOS!F7597)</f>
        <v/>
      </c>
      <c r="K7597" s="6" t="str">
        <f t="shared" si="595"/>
        <v/>
      </c>
      <c r="L7597" s="7" t="str">
        <f t="shared" si="596"/>
        <v/>
      </c>
      <c r="M7597" s="7" t="str">
        <f t="shared" si="593"/>
        <v/>
      </c>
      <c r="N7597" s="7" t="str">
        <f t="shared" si="597"/>
        <v/>
      </c>
      <c r="O7597" s="8"/>
      <c r="P7597" s="26"/>
      <c r="S7597" s="10" t="str">
        <f t="shared" si="594"/>
        <v/>
      </c>
    </row>
    <row r="7598" spans="5:19" x14ac:dyDescent="0.3">
      <c r="E7598" s="9" t="str">
        <f>IF(DADOS!C7598="","",DADOS!C7598)</f>
        <v/>
      </c>
      <c r="F7598" s="9" t="str">
        <f>IF(DADOS!E7598="","",DADOS!E7598)</f>
        <v/>
      </c>
      <c r="G7598" s="9" t="str">
        <f>IF(DADOS!F7598="","",DADOS!F7598)</f>
        <v/>
      </c>
      <c r="K7598" s="6" t="str">
        <f t="shared" si="595"/>
        <v/>
      </c>
      <c r="L7598" s="7" t="str">
        <f t="shared" si="596"/>
        <v/>
      </c>
      <c r="M7598" s="7" t="str">
        <f t="shared" si="593"/>
        <v/>
      </c>
      <c r="N7598" s="7" t="str">
        <f t="shared" si="597"/>
        <v/>
      </c>
      <c r="O7598" s="8"/>
      <c r="P7598" s="26"/>
      <c r="S7598" s="10" t="str">
        <f t="shared" si="594"/>
        <v/>
      </c>
    </row>
    <row r="7599" spans="5:19" x14ac:dyDescent="0.3">
      <c r="E7599" s="9" t="str">
        <f>IF(DADOS!C7599="","",DADOS!C7599)</f>
        <v/>
      </c>
      <c r="F7599" s="9" t="str">
        <f>IF(DADOS!E7599="","",DADOS!E7599)</f>
        <v/>
      </c>
      <c r="G7599" s="9" t="str">
        <f>IF(DADOS!F7599="","",DADOS!F7599)</f>
        <v/>
      </c>
      <c r="K7599" s="6" t="str">
        <f t="shared" si="595"/>
        <v/>
      </c>
      <c r="L7599" s="7" t="str">
        <f t="shared" si="596"/>
        <v/>
      </c>
      <c r="M7599" s="7" t="str">
        <f t="shared" si="593"/>
        <v/>
      </c>
      <c r="N7599" s="7" t="str">
        <f t="shared" si="597"/>
        <v/>
      </c>
      <c r="O7599" s="8"/>
      <c r="P7599" s="26"/>
      <c r="S7599" s="10" t="str">
        <f t="shared" si="594"/>
        <v/>
      </c>
    </row>
    <row r="7600" spans="5:19" x14ac:dyDescent="0.3">
      <c r="E7600" s="9" t="str">
        <f>IF(DADOS!C7600="","",DADOS!C7600)</f>
        <v/>
      </c>
      <c r="F7600" s="9" t="str">
        <f>IF(DADOS!E7600="","",DADOS!E7600)</f>
        <v/>
      </c>
      <c r="G7600" s="9" t="str">
        <f>IF(DADOS!F7600="","",DADOS!F7600)</f>
        <v/>
      </c>
      <c r="K7600" s="6" t="str">
        <f t="shared" si="595"/>
        <v/>
      </c>
      <c r="L7600" s="7" t="str">
        <f t="shared" si="596"/>
        <v/>
      </c>
      <c r="M7600" s="7" t="str">
        <f t="shared" si="593"/>
        <v/>
      </c>
      <c r="N7600" s="7" t="str">
        <f t="shared" si="597"/>
        <v/>
      </c>
      <c r="O7600" s="8"/>
      <c r="P7600" s="26"/>
      <c r="S7600" s="10" t="str">
        <f t="shared" si="594"/>
        <v/>
      </c>
    </row>
    <row r="7601" spans="5:19" x14ac:dyDescent="0.3">
      <c r="E7601" s="9" t="str">
        <f>IF(DADOS!C7601="","",DADOS!C7601)</f>
        <v/>
      </c>
      <c r="F7601" s="9" t="str">
        <f>IF(DADOS!E7601="","",DADOS!E7601)</f>
        <v/>
      </c>
      <c r="G7601" s="9" t="str">
        <f>IF(DADOS!F7601="","",DADOS!F7601)</f>
        <v/>
      </c>
      <c r="K7601" s="6" t="str">
        <f t="shared" si="595"/>
        <v/>
      </c>
      <c r="L7601" s="7" t="str">
        <f t="shared" si="596"/>
        <v/>
      </c>
      <c r="M7601" s="7" t="str">
        <f t="shared" si="593"/>
        <v/>
      </c>
      <c r="N7601" s="7" t="str">
        <f t="shared" si="597"/>
        <v/>
      </c>
      <c r="O7601" s="8"/>
      <c r="P7601" s="26"/>
      <c r="S7601" s="10" t="str">
        <f t="shared" si="594"/>
        <v/>
      </c>
    </row>
    <row r="7602" spans="5:19" x14ac:dyDescent="0.3">
      <c r="E7602" s="9" t="str">
        <f>IF(DADOS!C7602="","",DADOS!C7602)</f>
        <v/>
      </c>
      <c r="F7602" s="9" t="str">
        <f>IF(DADOS!E7602="","",DADOS!E7602)</f>
        <v/>
      </c>
      <c r="G7602" s="9" t="str">
        <f>IF(DADOS!F7602="","",DADOS!F7602)</f>
        <v/>
      </c>
      <c r="K7602" s="6" t="str">
        <f t="shared" si="595"/>
        <v/>
      </c>
      <c r="L7602" s="7" t="str">
        <f t="shared" si="596"/>
        <v/>
      </c>
      <c r="M7602" s="7" t="str">
        <f t="shared" si="593"/>
        <v/>
      </c>
      <c r="N7602" s="7" t="str">
        <f t="shared" si="597"/>
        <v/>
      </c>
      <c r="O7602" s="8"/>
      <c r="P7602" s="26"/>
      <c r="S7602" s="10" t="str">
        <f t="shared" si="594"/>
        <v/>
      </c>
    </row>
    <row r="7603" spans="5:19" x14ac:dyDescent="0.3">
      <c r="E7603" s="9" t="str">
        <f>IF(DADOS!C7603="","",DADOS!C7603)</f>
        <v/>
      </c>
      <c r="F7603" s="9" t="str">
        <f>IF(DADOS!E7603="","",DADOS!E7603)</f>
        <v/>
      </c>
      <c r="G7603" s="9" t="str">
        <f>IF(DADOS!F7603="","",DADOS!F7603)</f>
        <v/>
      </c>
      <c r="K7603" s="6" t="str">
        <f t="shared" si="595"/>
        <v/>
      </c>
      <c r="L7603" s="7" t="str">
        <f t="shared" si="596"/>
        <v/>
      </c>
      <c r="M7603" s="7" t="str">
        <f t="shared" si="593"/>
        <v/>
      </c>
      <c r="N7603" s="7" t="str">
        <f t="shared" si="597"/>
        <v/>
      </c>
      <c r="O7603" s="8"/>
      <c r="P7603" s="26"/>
      <c r="S7603" s="10" t="str">
        <f t="shared" si="594"/>
        <v/>
      </c>
    </row>
    <row r="7604" spans="5:19" x14ac:dyDescent="0.3">
      <c r="E7604" s="9" t="str">
        <f>IF(DADOS!C7604="","",DADOS!C7604)</f>
        <v/>
      </c>
      <c r="F7604" s="9" t="str">
        <f>IF(DADOS!E7604="","",DADOS!E7604)</f>
        <v/>
      </c>
      <c r="G7604" s="9" t="str">
        <f>IF(DADOS!F7604="","",DADOS!F7604)</f>
        <v/>
      </c>
      <c r="K7604" s="6" t="str">
        <f t="shared" si="595"/>
        <v/>
      </c>
      <c r="L7604" s="7" t="str">
        <f t="shared" si="596"/>
        <v/>
      </c>
      <c r="M7604" s="7" t="str">
        <f t="shared" si="593"/>
        <v/>
      </c>
      <c r="N7604" s="7" t="str">
        <f t="shared" si="597"/>
        <v/>
      </c>
      <c r="O7604" s="8"/>
      <c r="P7604" s="26"/>
      <c r="S7604" s="10" t="str">
        <f t="shared" si="594"/>
        <v/>
      </c>
    </row>
    <row r="7605" spans="5:19" x14ac:dyDescent="0.3">
      <c r="E7605" s="9" t="str">
        <f>IF(DADOS!C7605="","",DADOS!C7605)</f>
        <v/>
      </c>
      <c r="F7605" s="9" t="str">
        <f>IF(DADOS!E7605="","",DADOS!E7605)</f>
        <v/>
      </c>
      <c r="G7605" s="9" t="str">
        <f>IF(DADOS!F7605="","",DADOS!F7605)</f>
        <v/>
      </c>
      <c r="K7605" s="6" t="str">
        <f t="shared" si="595"/>
        <v/>
      </c>
      <c r="L7605" s="7" t="str">
        <f t="shared" si="596"/>
        <v/>
      </c>
      <c r="M7605" s="7" t="str">
        <f t="shared" si="593"/>
        <v/>
      </c>
      <c r="N7605" s="7" t="str">
        <f t="shared" si="597"/>
        <v/>
      </c>
      <c r="O7605" s="8"/>
      <c r="P7605" s="26"/>
      <c r="S7605" s="10" t="str">
        <f t="shared" si="594"/>
        <v/>
      </c>
    </row>
    <row r="7606" spans="5:19" x14ac:dyDescent="0.3">
      <c r="E7606" s="9" t="str">
        <f>IF(DADOS!C7606="","",DADOS!C7606)</f>
        <v/>
      </c>
      <c r="F7606" s="9" t="str">
        <f>IF(DADOS!E7606="","",DADOS!E7606)</f>
        <v/>
      </c>
      <c r="G7606" s="9" t="str">
        <f>IF(DADOS!F7606="","",DADOS!F7606)</f>
        <v/>
      </c>
      <c r="K7606" s="6" t="str">
        <f t="shared" si="595"/>
        <v/>
      </c>
      <c r="L7606" s="7" t="str">
        <f t="shared" si="596"/>
        <v/>
      </c>
      <c r="M7606" s="7" t="str">
        <f t="shared" si="593"/>
        <v/>
      </c>
      <c r="N7606" s="7" t="str">
        <f t="shared" si="597"/>
        <v/>
      </c>
      <c r="O7606" s="8"/>
      <c r="P7606" s="26"/>
      <c r="S7606" s="10" t="str">
        <f t="shared" si="594"/>
        <v/>
      </c>
    </row>
    <row r="7607" spans="5:19" x14ac:dyDescent="0.3">
      <c r="E7607" s="9" t="str">
        <f>IF(DADOS!C7607="","",DADOS!C7607)</f>
        <v/>
      </c>
      <c r="F7607" s="9" t="str">
        <f>IF(DADOS!E7607="","",DADOS!E7607)</f>
        <v/>
      </c>
      <c r="G7607" s="9" t="str">
        <f>IF(DADOS!F7607="","",DADOS!F7607)</f>
        <v/>
      </c>
      <c r="K7607" s="6" t="str">
        <f t="shared" si="595"/>
        <v/>
      </c>
      <c r="L7607" s="7" t="str">
        <f t="shared" si="596"/>
        <v/>
      </c>
      <c r="M7607" s="7" t="str">
        <f t="shared" si="593"/>
        <v/>
      </c>
      <c r="N7607" s="7" t="str">
        <f t="shared" si="597"/>
        <v/>
      </c>
      <c r="O7607" s="8"/>
      <c r="P7607" s="26"/>
      <c r="S7607" s="10" t="str">
        <f t="shared" si="594"/>
        <v/>
      </c>
    </row>
    <row r="7608" spans="5:19" x14ac:dyDescent="0.3">
      <c r="E7608" s="9" t="str">
        <f>IF(DADOS!C7608="","",DADOS!C7608)</f>
        <v/>
      </c>
      <c r="F7608" s="9" t="str">
        <f>IF(DADOS!E7608="","",DADOS!E7608)</f>
        <v/>
      </c>
      <c r="G7608" s="9" t="str">
        <f>IF(DADOS!F7608="","",DADOS!F7608)</f>
        <v/>
      </c>
      <c r="K7608" s="6" t="str">
        <f t="shared" si="595"/>
        <v/>
      </c>
      <c r="L7608" s="7" t="str">
        <f t="shared" si="596"/>
        <v/>
      </c>
      <c r="M7608" s="7" t="str">
        <f t="shared" si="593"/>
        <v/>
      </c>
      <c r="N7608" s="7" t="str">
        <f t="shared" si="597"/>
        <v/>
      </c>
      <c r="O7608" s="8"/>
      <c r="P7608" s="26"/>
      <c r="S7608" s="10" t="str">
        <f t="shared" si="594"/>
        <v/>
      </c>
    </row>
    <row r="7609" spans="5:19" x14ac:dyDescent="0.3">
      <c r="E7609" s="9" t="str">
        <f>IF(DADOS!C7609="","",DADOS!C7609)</f>
        <v/>
      </c>
      <c r="F7609" s="9" t="str">
        <f>IF(DADOS!E7609="","",DADOS!E7609)</f>
        <v/>
      </c>
      <c r="G7609" s="9" t="str">
        <f>IF(DADOS!F7609="","",DADOS!F7609)</f>
        <v/>
      </c>
      <c r="K7609" s="6" t="str">
        <f t="shared" si="595"/>
        <v/>
      </c>
      <c r="L7609" s="7" t="str">
        <f t="shared" si="596"/>
        <v/>
      </c>
      <c r="M7609" s="7" t="str">
        <f t="shared" si="593"/>
        <v/>
      </c>
      <c r="N7609" s="7" t="str">
        <f t="shared" si="597"/>
        <v/>
      </c>
      <c r="O7609" s="8"/>
      <c r="P7609" s="26"/>
      <c r="S7609" s="10" t="str">
        <f t="shared" si="594"/>
        <v/>
      </c>
    </row>
    <row r="7610" spans="5:19" x14ac:dyDescent="0.3">
      <c r="E7610" s="9" t="str">
        <f>IF(DADOS!C7610="","",DADOS!C7610)</f>
        <v/>
      </c>
      <c r="F7610" s="9" t="str">
        <f>IF(DADOS!E7610="","",DADOS!E7610)</f>
        <v/>
      </c>
      <c r="G7610" s="9" t="str">
        <f>IF(DADOS!F7610="","",DADOS!F7610)</f>
        <v/>
      </c>
      <c r="K7610" s="6" t="str">
        <f t="shared" si="595"/>
        <v/>
      </c>
      <c r="L7610" s="7" t="str">
        <f t="shared" si="596"/>
        <v/>
      </c>
      <c r="M7610" s="7" t="str">
        <f t="shared" si="593"/>
        <v/>
      </c>
      <c r="N7610" s="7" t="str">
        <f t="shared" si="597"/>
        <v/>
      </c>
      <c r="O7610" s="8"/>
      <c r="P7610" s="26"/>
      <c r="S7610" s="10" t="str">
        <f t="shared" si="594"/>
        <v/>
      </c>
    </row>
    <row r="7611" spans="5:19" x14ac:dyDescent="0.3">
      <c r="E7611" s="9" t="str">
        <f>IF(DADOS!C7611="","",DADOS!C7611)</f>
        <v/>
      </c>
      <c r="F7611" s="9" t="str">
        <f>IF(DADOS!E7611="","",DADOS!E7611)</f>
        <v/>
      </c>
      <c r="G7611" s="9" t="str">
        <f>IF(DADOS!F7611="","",DADOS!F7611)</f>
        <v/>
      </c>
      <c r="K7611" s="6" t="str">
        <f t="shared" si="595"/>
        <v/>
      </c>
      <c r="L7611" s="7" t="str">
        <f t="shared" si="596"/>
        <v/>
      </c>
      <c r="M7611" s="7" t="str">
        <f t="shared" si="593"/>
        <v/>
      </c>
      <c r="N7611" s="7" t="str">
        <f t="shared" si="597"/>
        <v/>
      </c>
      <c r="O7611" s="8"/>
      <c r="P7611" s="26"/>
      <c r="S7611" s="10" t="str">
        <f t="shared" si="594"/>
        <v/>
      </c>
    </row>
    <row r="7612" spans="5:19" x14ac:dyDescent="0.3">
      <c r="E7612" s="9" t="str">
        <f>IF(DADOS!C7612="","",DADOS!C7612)</f>
        <v/>
      </c>
      <c r="F7612" s="9" t="str">
        <f>IF(DADOS!E7612="","",DADOS!E7612)</f>
        <v/>
      </c>
      <c r="G7612" s="9" t="str">
        <f>IF(DADOS!F7612="","",DADOS!F7612)</f>
        <v/>
      </c>
      <c r="K7612" s="6" t="str">
        <f t="shared" si="595"/>
        <v/>
      </c>
      <c r="L7612" s="7" t="str">
        <f t="shared" si="596"/>
        <v/>
      </c>
      <c r="M7612" s="7" t="str">
        <f t="shared" si="593"/>
        <v/>
      </c>
      <c r="N7612" s="7" t="str">
        <f t="shared" si="597"/>
        <v/>
      </c>
      <c r="O7612" s="8"/>
      <c r="P7612" s="26"/>
      <c r="S7612" s="10" t="str">
        <f t="shared" si="594"/>
        <v/>
      </c>
    </row>
    <row r="7613" spans="5:19" x14ac:dyDescent="0.3">
      <c r="E7613" s="9" t="str">
        <f>IF(DADOS!C7613="","",DADOS!C7613)</f>
        <v/>
      </c>
      <c r="F7613" s="9" t="str">
        <f>IF(DADOS!E7613="","",DADOS!E7613)</f>
        <v/>
      </c>
      <c r="G7613" s="9" t="str">
        <f>IF(DADOS!F7613="","",DADOS!F7613)</f>
        <v/>
      </c>
      <c r="K7613" s="6" t="str">
        <f t="shared" si="595"/>
        <v/>
      </c>
      <c r="L7613" s="7" t="str">
        <f t="shared" si="596"/>
        <v/>
      </c>
      <c r="M7613" s="7" t="str">
        <f t="shared" si="593"/>
        <v/>
      </c>
      <c r="N7613" s="7" t="str">
        <f t="shared" si="597"/>
        <v/>
      </c>
      <c r="O7613" s="8"/>
      <c r="P7613" s="26"/>
      <c r="S7613" s="10" t="str">
        <f t="shared" si="594"/>
        <v/>
      </c>
    </row>
    <row r="7614" spans="5:19" x14ac:dyDescent="0.3">
      <c r="E7614" s="9" t="str">
        <f>IF(DADOS!C7614="","",DADOS!C7614)</f>
        <v/>
      </c>
      <c r="F7614" s="9" t="str">
        <f>IF(DADOS!E7614="","",DADOS!E7614)</f>
        <v/>
      </c>
      <c r="G7614" s="9" t="str">
        <f>IF(DADOS!F7614="","",DADOS!F7614)</f>
        <v/>
      </c>
      <c r="K7614" s="6" t="str">
        <f t="shared" si="595"/>
        <v/>
      </c>
      <c r="L7614" s="7" t="str">
        <f t="shared" si="596"/>
        <v/>
      </c>
      <c r="M7614" s="7" t="str">
        <f t="shared" si="593"/>
        <v/>
      </c>
      <c r="N7614" s="7" t="str">
        <f t="shared" si="597"/>
        <v/>
      </c>
      <c r="O7614" s="8"/>
      <c r="P7614" s="26"/>
      <c r="S7614" s="10" t="str">
        <f t="shared" si="594"/>
        <v/>
      </c>
    </row>
    <row r="7615" spans="5:19" x14ac:dyDescent="0.3">
      <c r="E7615" s="9" t="str">
        <f>IF(DADOS!C7615="","",DADOS!C7615)</f>
        <v/>
      </c>
      <c r="F7615" s="9" t="str">
        <f>IF(DADOS!E7615="","",DADOS!E7615)</f>
        <v/>
      </c>
      <c r="G7615" s="9" t="str">
        <f>IF(DADOS!F7615="","",DADOS!F7615)</f>
        <v/>
      </c>
      <c r="K7615" s="6" t="str">
        <f t="shared" si="595"/>
        <v/>
      </c>
      <c r="L7615" s="7" t="str">
        <f t="shared" si="596"/>
        <v/>
      </c>
      <c r="M7615" s="7" t="str">
        <f t="shared" si="593"/>
        <v/>
      </c>
      <c r="N7615" s="7" t="str">
        <f t="shared" si="597"/>
        <v/>
      </c>
      <c r="O7615" s="8"/>
      <c r="P7615" s="26"/>
      <c r="S7615" s="10" t="str">
        <f t="shared" si="594"/>
        <v/>
      </c>
    </row>
    <row r="7616" spans="5:19" x14ac:dyDescent="0.3">
      <c r="E7616" s="9" t="str">
        <f>IF(DADOS!C7616="","",DADOS!C7616)</f>
        <v/>
      </c>
      <c r="F7616" s="9" t="str">
        <f>IF(DADOS!E7616="","",DADOS!E7616)</f>
        <v/>
      </c>
      <c r="G7616" s="9" t="str">
        <f>IF(DADOS!F7616="","",DADOS!F7616)</f>
        <v/>
      </c>
      <c r="K7616" s="6" t="str">
        <f t="shared" si="595"/>
        <v/>
      </c>
      <c r="L7616" s="7" t="str">
        <f t="shared" si="596"/>
        <v/>
      </c>
      <c r="M7616" s="7" t="str">
        <f t="shared" si="593"/>
        <v/>
      </c>
      <c r="N7616" s="7" t="str">
        <f t="shared" si="597"/>
        <v/>
      </c>
      <c r="O7616" s="8"/>
      <c r="P7616" s="26"/>
      <c r="S7616" s="10" t="str">
        <f t="shared" si="594"/>
        <v/>
      </c>
    </row>
    <row r="7617" spans="5:19" x14ac:dyDescent="0.3">
      <c r="E7617" s="9" t="str">
        <f>IF(DADOS!C7617="","",DADOS!C7617)</f>
        <v/>
      </c>
      <c r="F7617" s="9" t="str">
        <f>IF(DADOS!E7617="","",DADOS!E7617)</f>
        <v/>
      </c>
      <c r="G7617" s="9" t="str">
        <f>IF(DADOS!F7617="","",DADOS!F7617)</f>
        <v/>
      </c>
      <c r="K7617" s="6" t="str">
        <f t="shared" si="595"/>
        <v/>
      </c>
      <c r="L7617" s="7" t="str">
        <f t="shared" si="596"/>
        <v/>
      </c>
      <c r="M7617" s="7" t="str">
        <f t="shared" si="593"/>
        <v/>
      </c>
      <c r="N7617" s="7" t="str">
        <f t="shared" si="597"/>
        <v/>
      </c>
      <c r="O7617" s="8"/>
      <c r="P7617" s="26"/>
      <c r="S7617" s="10" t="str">
        <f t="shared" si="594"/>
        <v/>
      </c>
    </row>
    <row r="7618" spans="5:19" x14ac:dyDescent="0.3">
      <c r="E7618" s="9" t="str">
        <f>IF(DADOS!C7618="","",DADOS!C7618)</f>
        <v/>
      </c>
      <c r="F7618" s="9" t="str">
        <f>IF(DADOS!E7618="","",DADOS!E7618)</f>
        <v/>
      </c>
      <c r="G7618" s="9" t="str">
        <f>IF(DADOS!F7618="","",DADOS!F7618)</f>
        <v/>
      </c>
      <c r="K7618" s="6" t="str">
        <f t="shared" si="595"/>
        <v/>
      </c>
      <c r="L7618" s="7" t="str">
        <f t="shared" si="596"/>
        <v/>
      </c>
      <c r="M7618" s="7" t="str">
        <f t="shared" si="593"/>
        <v/>
      </c>
      <c r="N7618" s="7" t="str">
        <f t="shared" si="597"/>
        <v/>
      </c>
      <c r="O7618" s="8"/>
      <c r="P7618" s="26"/>
      <c r="S7618" s="10" t="str">
        <f t="shared" si="594"/>
        <v/>
      </c>
    </row>
    <row r="7619" spans="5:19" x14ac:dyDescent="0.3">
      <c r="E7619" s="9" t="str">
        <f>IF(DADOS!C7619="","",DADOS!C7619)</f>
        <v/>
      </c>
      <c r="F7619" s="9" t="str">
        <f>IF(DADOS!E7619="","",DADOS!E7619)</f>
        <v/>
      </c>
      <c r="G7619" s="9" t="str">
        <f>IF(DADOS!F7619="","",DADOS!F7619)</f>
        <v/>
      </c>
      <c r="K7619" s="6" t="str">
        <f t="shared" si="595"/>
        <v/>
      </c>
      <c r="L7619" s="7" t="str">
        <f t="shared" si="596"/>
        <v/>
      </c>
      <c r="M7619" s="7" t="str">
        <f t="shared" ref="M7619:M7682" si="598">IF(L7619="","",L7619*G7619)</f>
        <v/>
      </c>
      <c r="N7619" s="7" t="str">
        <f t="shared" si="597"/>
        <v/>
      </c>
      <c r="O7619" s="8"/>
      <c r="P7619" s="26"/>
      <c r="S7619" s="10" t="str">
        <f t="shared" ref="S7619:S7682" si="599">IF(R7619="","",SUMIFS($N$3:$N$10000,$E$3:$E$10000,R7619))</f>
        <v/>
      </c>
    </row>
    <row r="7620" spans="5:19" x14ac:dyDescent="0.3">
      <c r="E7620" s="9" t="str">
        <f>IF(DADOS!C7620="","",DADOS!C7620)</f>
        <v/>
      </c>
      <c r="F7620" s="9" t="str">
        <f>IF(DADOS!E7620="","",DADOS!E7620)</f>
        <v/>
      </c>
      <c r="G7620" s="9" t="str">
        <f>IF(DADOS!F7620="","",DADOS!F7620)</f>
        <v/>
      </c>
      <c r="K7620" s="6" t="str">
        <f t="shared" ref="K7620:K7683" si="600">IF(F7620="","",F7620/PI())</f>
        <v/>
      </c>
      <c r="L7620" s="7" t="str">
        <f t="shared" ref="L7620:L7683" si="601">IF(K7620="","",(PI()*K7620^2)/40000)</f>
        <v/>
      </c>
      <c r="M7620" s="7" t="str">
        <f t="shared" si="598"/>
        <v/>
      </c>
      <c r="N7620" s="7" t="str">
        <f t="shared" ref="N7620:N7683" si="602">IF(M7620="","",M7620*N$1)</f>
        <v/>
      </c>
      <c r="O7620" s="8"/>
      <c r="P7620" s="26"/>
      <c r="S7620" s="10" t="str">
        <f t="shared" si="599"/>
        <v/>
      </c>
    </row>
    <row r="7621" spans="5:19" x14ac:dyDescent="0.3">
      <c r="E7621" s="9" t="str">
        <f>IF(DADOS!C7621="","",DADOS!C7621)</f>
        <v/>
      </c>
      <c r="F7621" s="9" t="str">
        <f>IF(DADOS!E7621="","",DADOS!E7621)</f>
        <v/>
      </c>
      <c r="G7621" s="9" t="str">
        <f>IF(DADOS!F7621="","",DADOS!F7621)</f>
        <v/>
      </c>
      <c r="K7621" s="6" t="str">
        <f t="shared" si="600"/>
        <v/>
      </c>
      <c r="L7621" s="7" t="str">
        <f t="shared" si="601"/>
        <v/>
      </c>
      <c r="M7621" s="7" t="str">
        <f t="shared" si="598"/>
        <v/>
      </c>
      <c r="N7621" s="7" t="str">
        <f t="shared" si="602"/>
        <v/>
      </c>
      <c r="O7621" s="8"/>
      <c r="P7621" s="26"/>
      <c r="S7621" s="10" t="str">
        <f t="shared" si="599"/>
        <v/>
      </c>
    </row>
    <row r="7622" spans="5:19" x14ac:dyDescent="0.3">
      <c r="E7622" s="9" t="str">
        <f>IF(DADOS!C7622="","",DADOS!C7622)</f>
        <v/>
      </c>
      <c r="F7622" s="9" t="str">
        <f>IF(DADOS!E7622="","",DADOS!E7622)</f>
        <v/>
      </c>
      <c r="G7622" s="9" t="str">
        <f>IF(DADOS!F7622="","",DADOS!F7622)</f>
        <v/>
      </c>
      <c r="K7622" s="6" t="str">
        <f t="shared" si="600"/>
        <v/>
      </c>
      <c r="L7622" s="7" t="str">
        <f t="shared" si="601"/>
        <v/>
      </c>
      <c r="M7622" s="7" t="str">
        <f t="shared" si="598"/>
        <v/>
      </c>
      <c r="N7622" s="7" t="str">
        <f t="shared" si="602"/>
        <v/>
      </c>
      <c r="O7622" s="8"/>
      <c r="P7622" s="26"/>
      <c r="S7622" s="10" t="str">
        <f t="shared" si="599"/>
        <v/>
      </c>
    </row>
    <row r="7623" spans="5:19" x14ac:dyDescent="0.3">
      <c r="E7623" s="9" t="str">
        <f>IF(DADOS!C7623="","",DADOS!C7623)</f>
        <v/>
      </c>
      <c r="F7623" s="9" t="str">
        <f>IF(DADOS!E7623="","",DADOS!E7623)</f>
        <v/>
      </c>
      <c r="G7623" s="9" t="str">
        <f>IF(DADOS!F7623="","",DADOS!F7623)</f>
        <v/>
      </c>
      <c r="K7623" s="6" t="str">
        <f t="shared" si="600"/>
        <v/>
      </c>
      <c r="L7623" s="7" t="str">
        <f t="shared" si="601"/>
        <v/>
      </c>
      <c r="M7623" s="7" t="str">
        <f t="shared" si="598"/>
        <v/>
      </c>
      <c r="N7623" s="7" t="str">
        <f t="shared" si="602"/>
        <v/>
      </c>
      <c r="O7623" s="8"/>
      <c r="P7623" s="26"/>
      <c r="S7623" s="10" t="str">
        <f t="shared" si="599"/>
        <v/>
      </c>
    </row>
    <row r="7624" spans="5:19" x14ac:dyDescent="0.3">
      <c r="E7624" s="9" t="str">
        <f>IF(DADOS!C7624="","",DADOS!C7624)</f>
        <v/>
      </c>
      <c r="F7624" s="9" t="str">
        <f>IF(DADOS!E7624="","",DADOS!E7624)</f>
        <v/>
      </c>
      <c r="G7624" s="9" t="str">
        <f>IF(DADOS!F7624="","",DADOS!F7624)</f>
        <v/>
      </c>
      <c r="K7624" s="6" t="str">
        <f t="shared" si="600"/>
        <v/>
      </c>
      <c r="L7624" s="7" t="str">
        <f t="shared" si="601"/>
        <v/>
      </c>
      <c r="M7624" s="7" t="str">
        <f t="shared" si="598"/>
        <v/>
      </c>
      <c r="N7624" s="7" t="str">
        <f t="shared" si="602"/>
        <v/>
      </c>
      <c r="O7624" s="8"/>
      <c r="P7624" s="26"/>
      <c r="S7624" s="10" t="str">
        <f t="shared" si="599"/>
        <v/>
      </c>
    </row>
    <row r="7625" spans="5:19" x14ac:dyDescent="0.3">
      <c r="E7625" s="9" t="str">
        <f>IF(DADOS!C7625="","",DADOS!C7625)</f>
        <v/>
      </c>
      <c r="F7625" s="9" t="str">
        <f>IF(DADOS!E7625="","",DADOS!E7625)</f>
        <v/>
      </c>
      <c r="G7625" s="9" t="str">
        <f>IF(DADOS!F7625="","",DADOS!F7625)</f>
        <v/>
      </c>
      <c r="K7625" s="6" t="str">
        <f t="shared" si="600"/>
        <v/>
      </c>
      <c r="L7625" s="7" t="str">
        <f t="shared" si="601"/>
        <v/>
      </c>
      <c r="M7625" s="7" t="str">
        <f t="shared" si="598"/>
        <v/>
      </c>
      <c r="N7625" s="7" t="str">
        <f t="shared" si="602"/>
        <v/>
      </c>
      <c r="O7625" s="8"/>
      <c r="P7625" s="26"/>
      <c r="S7625" s="10" t="str">
        <f t="shared" si="599"/>
        <v/>
      </c>
    </row>
    <row r="7626" spans="5:19" x14ac:dyDescent="0.3">
      <c r="E7626" s="9" t="str">
        <f>IF(DADOS!C7626="","",DADOS!C7626)</f>
        <v/>
      </c>
      <c r="F7626" s="9" t="str">
        <f>IF(DADOS!E7626="","",DADOS!E7626)</f>
        <v/>
      </c>
      <c r="G7626" s="9" t="str">
        <f>IF(DADOS!F7626="","",DADOS!F7626)</f>
        <v/>
      </c>
      <c r="K7626" s="6" t="str">
        <f t="shared" si="600"/>
        <v/>
      </c>
      <c r="L7626" s="7" t="str">
        <f t="shared" si="601"/>
        <v/>
      </c>
      <c r="M7626" s="7" t="str">
        <f t="shared" si="598"/>
        <v/>
      </c>
      <c r="N7626" s="7" t="str">
        <f t="shared" si="602"/>
        <v/>
      </c>
      <c r="O7626" s="8"/>
      <c r="P7626" s="26"/>
      <c r="S7626" s="10" t="str">
        <f t="shared" si="599"/>
        <v/>
      </c>
    </row>
    <row r="7627" spans="5:19" x14ac:dyDescent="0.3">
      <c r="E7627" s="9" t="str">
        <f>IF(DADOS!C7627="","",DADOS!C7627)</f>
        <v/>
      </c>
      <c r="F7627" s="9" t="str">
        <f>IF(DADOS!E7627="","",DADOS!E7627)</f>
        <v/>
      </c>
      <c r="G7627" s="9" t="str">
        <f>IF(DADOS!F7627="","",DADOS!F7627)</f>
        <v/>
      </c>
      <c r="K7627" s="6" t="str">
        <f t="shared" si="600"/>
        <v/>
      </c>
      <c r="L7627" s="7" t="str">
        <f t="shared" si="601"/>
        <v/>
      </c>
      <c r="M7627" s="7" t="str">
        <f t="shared" si="598"/>
        <v/>
      </c>
      <c r="N7627" s="7" t="str">
        <f t="shared" si="602"/>
        <v/>
      </c>
      <c r="O7627" s="8"/>
      <c r="P7627" s="26"/>
      <c r="S7627" s="10" t="str">
        <f t="shared" si="599"/>
        <v/>
      </c>
    </row>
    <row r="7628" spans="5:19" x14ac:dyDescent="0.3">
      <c r="E7628" s="9" t="str">
        <f>IF(DADOS!C7628="","",DADOS!C7628)</f>
        <v/>
      </c>
      <c r="F7628" s="9" t="str">
        <f>IF(DADOS!E7628="","",DADOS!E7628)</f>
        <v/>
      </c>
      <c r="G7628" s="9" t="str">
        <f>IF(DADOS!F7628="","",DADOS!F7628)</f>
        <v/>
      </c>
      <c r="K7628" s="6" t="str">
        <f t="shared" si="600"/>
        <v/>
      </c>
      <c r="L7628" s="7" t="str">
        <f t="shared" si="601"/>
        <v/>
      </c>
      <c r="M7628" s="7" t="str">
        <f t="shared" si="598"/>
        <v/>
      </c>
      <c r="N7628" s="7" t="str">
        <f t="shared" si="602"/>
        <v/>
      </c>
      <c r="O7628" s="8"/>
      <c r="P7628" s="26"/>
      <c r="S7628" s="10" t="str">
        <f t="shared" si="599"/>
        <v/>
      </c>
    </row>
    <row r="7629" spans="5:19" x14ac:dyDescent="0.3">
      <c r="E7629" s="9" t="str">
        <f>IF(DADOS!C7629="","",DADOS!C7629)</f>
        <v/>
      </c>
      <c r="F7629" s="9" t="str">
        <f>IF(DADOS!E7629="","",DADOS!E7629)</f>
        <v/>
      </c>
      <c r="G7629" s="9" t="str">
        <f>IF(DADOS!F7629="","",DADOS!F7629)</f>
        <v/>
      </c>
      <c r="K7629" s="6" t="str">
        <f t="shared" si="600"/>
        <v/>
      </c>
      <c r="L7629" s="7" t="str">
        <f t="shared" si="601"/>
        <v/>
      </c>
      <c r="M7629" s="7" t="str">
        <f t="shared" si="598"/>
        <v/>
      </c>
      <c r="N7629" s="7" t="str">
        <f t="shared" si="602"/>
        <v/>
      </c>
      <c r="O7629" s="8"/>
      <c r="P7629" s="26"/>
      <c r="S7629" s="10" t="str">
        <f t="shared" si="599"/>
        <v/>
      </c>
    </row>
    <row r="7630" spans="5:19" x14ac:dyDescent="0.3">
      <c r="E7630" s="9" t="str">
        <f>IF(DADOS!C7630="","",DADOS!C7630)</f>
        <v/>
      </c>
      <c r="F7630" s="9" t="str">
        <f>IF(DADOS!E7630="","",DADOS!E7630)</f>
        <v/>
      </c>
      <c r="G7630" s="9" t="str">
        <f>IF(DADOS!F7630="","",DADOS!F7630)</f>
        <v/>
      </c>
      <c r="K7630" s="6" t="str">
        <f t="shared" si="600"/>
        <v/>
      </c>
      <c r="L7630" s="7" t="str">
        <f t="shared" si="601"/>
        <v/>
      </c>
      <c r="M7630" s="7" t="str">
        <f t="shared" si="598"/>
        <v/>
      </c>
      <c r="N7630" s="7" t="str">
        <f t="shared" si="602"/>
        <v/>
      </c>
      <c r="O7630" s="8"/>
      <c r="P7630" s="26"/>
      <c r="S7630" s="10" t="str">
        <f t="shared" si="599"/>
        <v/>
      </c>
    </row>
    <row r="7631" spans="5:19" x14ac:dyDescent="0.3">
      <c r="E7631" s="9" t="str">
        <f>IF(DADOS!C7631="","",DADOS!C7631)</f>
        <v/>
      </c>
      <c r="F7631" s="9" t="str">
        <f>IF(DADOS!E7631="","",DADOS!E7631)</f>
        <v/>
      </c>
      <c r="G7631" s="9" t="str">
        <f>IF(DADOS!F7631="","",DADOS!F7631)</f>
        <v/>
      </c>
      <c r="K7631" s="6" t="str">
        <f t="shared" si="600"/>
        <v/>
      </c>
      <c r="L7631" s="7" t="str">
        <f t="shared" si="601"/>
        <v/>
      </c>
      <c r="M7631" s="7" t="str">
        <f t="shared" si="598"/>
        <v/>
      </c>
      <c r="N7631" s="7" t="str">
        <f t="shared" si="602"/>
        <v/>
      </c>
      <c r="O7631" s="8"/>
      <c r="P7631" s="26"/>
      <c r="S7631" s="10" t="str">
        <f t="shared" si="599"/>
        <v/>
      </c>
    </row>
    <row r="7632" spans="5:19" x14ac:dyDescent="0.3">
      <c r="E7632" s="9" t="str">
        <f>IF(DADOS!C7632="","",DADOS!C7632)</f>
        <v/>
      </c>
      <c r="F7632" s="9" t="str">
        <f>IF(DADOS!E7632="","",DADOS!E7632)</f>
        <v/>
      </c>
      <c r="G7632" s="9" t="str">
        <f>IF(DADOS!F7632="","",DADOS!F7632)</f>
        <v/>
      </c>
      <c r="K7632" s="6" t="str">
        <f t="shared" si="600"/>
        <v/>
      </c>
      <c r="L7632" s="7" t="str">
        <f t="shared" si="601"/>
        <v/>
      </c>
      <c r="M7632" s="7" t="str">
        <f t="shared" si="598"/>
        <v/>
      </c>
      <c r="N7632" s="7" t="str">
        <f t="shared" si="602"/>
        <v/>
      </c>
      <c r="O7632" s="8"/>
      <c r="P7632" s="26"/>
      <c r="S7632" s="10" t="str">
        <f t="shared" si="599"/>
        <v/>
      </c>
    </row>
    <row r="7633" spans="5:19" x14ac:dyDescent="0.3">
      <c r="E7633" s="9" t="str">
        <f>IF(DADOS!C7633="","",DADOS!C7633)</f>
        <v/>
      </c>
      <c r="F7633" s="9" t="str">
        <f>IF(DADOS!E7633="","",DADOS!E7633)</f>
        <v/>
      </c>
      <c r="G7633" s="9" t="str">
        <f>IF(DADOS!F7633="","",DADOS!F7633)</f>
        <v/>
      </c>
      <c r="K7633" s="6" t="str">
        <f t="shared" si="600"/>
        <v/>
      </c>
      <c r="L7633" s="7" t="str">
        <f t="shared" si="601"/>
        <v/>
      </c>
      <c r="M7633" s="7" t="str">
        <f t="shared" si="598"/>
        <v/>
      </c>
      <c r="N7633" s="7" t="str">
        <f t="shared" si="602"/>
        <v/>
      </c>
      <c r="O7633" s="8"/>
      <c r="P7633" s="26"/>
      <c r="S7633" s="10" t="str">
        <f t="shared" si="599"/>
        <v/>
      </c>
    </row>
    <row r="7634" spans="5:19" x14ac:dyDescent="0.3">
      <c r="E7634" s="9" t="str">
        <f>IF(DADOS!C7634="","",DADOS!C7634)</f>
        <v/>
      </c>
      <c r="F7634" s="9" t="str">
        <f>IF(DADOS!E7634="","",DADOS!E7634)</f>
        <v/>
      </c>
      <c r="G7634" s="9" t="str">
        <f>IF(DADOS!F7634="","",DADOS!F7634)</f>
        <v/>
      </c>
      <c r="K7634" s="6" t="str">
        <f t="shared" si="600"/>
        <v/>
      </c>
      <c r="L7634" s="7" t="str">
        <f t="shared" si="601"/>
        <v/>
      </c>
      <c r="M7634" s="7" t="str">
        <f t="shared" si="598"/>
        <v/>
      </c>
      <c r="N7634" s="7" t="str">
        <f t="shared" si="602"/>
        <v/>
      </c>
      <c r="O7634" s="8"/>
      <c r="P7634" s="26"/>
      <c r="S7634" s="10" t="str">
        <f t="shared" si="599"/>
        <v/>
      </c>
    </row>
    <row r="7635" spans="5:19" x14ac:dyDescent="0.3">
      <c r="E7635" s="9" t="str">
        <f>IF(DADOS!C7635="","",DADOS!C7635)</f>
        <v/>
      </c>
      <c r="F7635" s="9" t="str">
        <f>IF(DADOS!E7635="","",DADOS!E7635)</f>
        <v/>
      </c>
      <c r="G7635" s="9" t="str">
        <f>IF(DADOS!F7635="","",DADOS!F7635)</f>
        <v/>
      </c>
      <c r="K7635" s="6" t="str">
        <f t="shared" si="600"/>
        <v/>
      </c>
      <c r="L7635" s="7" t="str">
        <f t="shared" si="601"/>
        <v/>
      </c>
      <c r="M7635" s="7" t="str">
        <f t="shared" si="598"/>
        <v/>
      </c>
      <c r="N7635" s="7" t="str">
        <f t="shared" si="602"/>
        <v/>
      </c>
      <c r="O7635" s="8"/>
      <c r="P7635" s="26"/>
      <c r="S7635" s="10" t="str">
        <f t="shared" si="599"/>
        <v/>
      </c>
    </row>
    <row r="7636" spans="5:19" x14ac:dyDescent="0.3">
      <c r="E7636" s="9" t="str">
        <f>IF(DADOS!C7636="","",DADOS!C7636)</f>
        <v/>
      </c>
      <c r="F7636" s="9" t="str">
        <f>IF(DADOS!E7636="","",DADOS!E7636)</f>
        <v/>
      </c>
      <c r="G7636" s="9" t="str">
        <f>IF(DADOS!F7636="","",DADOS!F7636)</f>
        <v/>
      </c>
      <c r="K7636" s="6" t="str">
        <f t="shared" si="600"/>
        <v/>
      </c>
      <c r="L7636" s="7" t="str">
        <f t="shared" si="601"/>
        <v/>
      </c>
      <c r="M7636" s="7" t="str">
        <f t="shared" si="598"/>
        <v/>
      </c>
      <c r="N7636" s="7" t="str">
        <f t="shared" si="602"/>
        <v/>
      </c>
      <c r="O7636" s="8"/>
      <c r="P7636" s="26"/>
      <c r="S7636" s="10" t="str">
        <f t="shared" si="599"/>
        <v/>
      </c>
    </row>
    <row r="7637" spans="5:19" x14ac:dyDescent="0.3">
      <c r="E7637" s="9" t="str">
        <f>IF(DADOS!C7637="","",DADOS!C7637)</f>
        <v/>
      </c>
      <c r="F7637" s="9" t="str">
        <f>IF(DADOS!E7637="","",DADOS!E7637)</f>
        <v/>
      </c>
      <c r="G7637" s="9" t="str">
        <f>IF(DADOS!F7637="","",DADOS!F7637)</f>
        <v/>
      </c>
      <c r="K7637" s="6" t="str">
        <f t="shared" si="600"/>
        <v/>
      </c>
      <c r="L7637" s="7" t="str">
        <f t="shared" si="601"/>
        <v/>
      </c>
      <c r="M7637" s="7" t="str">
        <f t="shared" si="598"/>
        <v/>
      </c>
      <c r="N7637" s="7" t="str">
        <f t="shared" si="602"/>
        <v/>
      </c>
      <c r="O7637" s="8"/>
      <c r="P7637" s="26"/>
      <c r="S7637" s="10" t="str">
        <f t="shared" si="599"/>
        <v/>
      </c>
    </row>
    <row r="7638" spans="5:19" x14ac:dyDescent="0.3">
      <c r="E7638" s="9" t="str">
        <f>IF(DADOS!C7638="","",DADOS!C7638)</f>
        <v/>
      </c>
      <c r="F7638" s="9" t="str">
        <f>IF(DADOS!E7638="","",DADOS!E7638)</f>
        <v/>
      </c>
      <c r="G7638" s="9" t="str">
        <f>IF(DADOS!F7638="","",DADOS!F7638)</f>
        <v/>
      </c>
      <c r="K7638" s="6" t="str">
        <f t="shared" si="600"/>
        <v/>
      </c>
      <c r="L7638" s="7" t="str">
        <f t="shared" si="601"/>
        <v/>
      </c>
      <c r="M7638" s="7" t="str">
        <f t="shared" si="598"/>
        <v/>
      </c>
      <c r="N7638" s="7" t="str">
        <f t="shared" si="602"/>
        <v/>
      </c>
      <c r="O7638" s="8"/>
      <c r="P7638" s="26"/>
      <c r="S7638" s="10" t="str">
        <f t="shared" si="599"/>
        <v/>
      </c>
    </row>
    <row r="7639" spans="5:19" x14ac:dyDescent="0.3">
      <c r="E7639" s="9" t="str">
        <f>IF(DADOS!C7639="","",DADOS!C7639)</f>
        <v/>
      </c>
      <c r="F7639" s="9" t="str">
        <f>IF(DADOS!E7639="","",DADOS!E7639)</f>
        <v/>
      </c>
      <c r="G7639" s="9" t="str">
        <f>IF(DADOS!F7639="","",DADOS!F7639)</f>
        <v/>
      </c>
      <c r="K7639" s="6" t="str">
        <f t="shared" si="600"/>
        <v/>
      </c>
      <c r="L7639" s="7" t="str">
        <f t="shared" si="601"/>
        <v/>
      </c>
      <c r="M7639" s="7" t="str">
        <f t="shared" si="598"/>
        <v/>
      </c>
      <c r="N7639" s="7" t="str">
        <f t="shared" si="602"/>
        <v/>
      </c>
      <c r="O7639" s="8"/>
      <c r="P7639" s="26"/>
      <c r="S7639" s="10" t="str">
        <f t="shared" si="599"/>
        <v/>
      </c>
    </row>
    <row r="7640" spans="5:19" x14ac:dyDescent="0.3">
      <c r="E7640" s="9" t="str">
        <f>IF(DADOS!C7640="","",DADOS!C7640)</f>
        <v/>
      </c>
      <c r="F7640" s="9" t="str">
        <f>IF(DADOS!E7640="","",DADOS!E7640)</f>
        <v/>
      </c>
      <c r="G7640" s="9" t="str">
        <f>IF(DADOS!F7640="","",DADOS!F7640)</f>
        <v/>
      </c>
      <c r="K7640" s="6" t="str">
        <f t="shared" si="600"/>
        <v/>
      </c>
      <c r="L7640" s="7" t="str">
        <f t="shared" si="601"/>
        <v/>
      </c>
      <c r="M7640" s="7" t="str">
        <f t="shared" si="598"/>
        <v/>
      </c>
      <c r="N7640" s="7" t="str">
        <f t="shared" si="602"/>
        <v/>
      </c>
      <c r="O7640" s="8"/>
      <c r="P7640" s="26"/>
      <c r="S7640" s="10" t="str">
        <f t="shared" si="599"/>
        <v/>
      </c>
    </row>
    <row r="7641" spans="5:19" x14ac:dyDescent="0.3">
      <c r="E7641" s="9" t="str">
        <f>IF(DADOS!C7641="","",DADOS!C7641)</f>
        <v/>
      </c>
      <c r="F7641" s="9" t="str">
        <f>IF(DADOS!E7641="","",DADOS!E7641)</f>
        <v/>
      </c>
      <c r="G7641" s="9" t="str">
        <f>IF(DADOS!F7641="","",DADOS!F7641)</f>
        <v/>
      </c>
      <c r="K7641" s="6" t="str">
        <f t="shared" si="600"/>
        <v/>
      </c>
      <c r="L7641" s="7" t="str">
        <f t="shared" si="601"/>
        <v/>
      </c>
      <c r="M7641" s="7" t="str">
        <f t="shared" si="598"/>
        <v/>
      </c>
      <c r="N7641" s="7" t="str">
        <f t="shared" si="602"/>
        <v/>
      </c>
      <c r="O7641" s="8"/>
      <c r="P7641" s="26"/>
      <c r="S7641" s="10" t="str">
        <f t="shared" si="599"/>
        <v/>
      </c>
    </row>
    <row r="7642" spans="5:19" x14ac:dyDescent="0.3">
      <c r="E7642" s="9" t="str">
        <f>IF(DADOS!C7642="","",DADOS!C7642)</f>
        <v/>
      </c>
      <c r="F7642" s="9" t="str">
        <f>IF(DADOS!E7642="","",DADOS!E7642)</f>
        <v/>
      </c>
      <c r="G7642" s="9" t="str">
        <f>IF(DADOS!F7642="","",DADOS!F7642)</f>
        <v/>
      </c>
      <c r="K7642" s="6" t="str">
        <f t="shared" si="600"/>
        <v/>
      </c>
      <c r="L7642" s="7" t="str">
        <f t="shared" si="601"/>
        <v/>
      </c>
      <c r="M7642" s="7" t="str">
        <f t="shared" si="598"/>
        <v/>
      </c>
      <c r="N7642" s="7" t="str">
        <f t="shared" si="602"/>
        <v/>
      </c>
      <c r="O7642" s="8"/>
      <c r="P7642" s="26"/>
      <c r="S7642" s="10" t="str">
        <f t="shared" si="599"/>
        <v/>
      </c>
    </row>
    <row r="7643" spans="5:19" x14ac:dyDescent="0.3">
      <c r="E7643" s="9" t="str">
        <f>IF(DADOS!C7643="","",DADOS!C7643)</f>
        <v/>
      </c>
      <c r="F7643" s="9" t="str">
        <f>IF(DADOS!E7643="","",DADOS!E7643)</f>
        <v/>
      </c>
      <c r="G7643" s="9" t="str">
        <f>IF(DADOS!F7643="","",DADOS!F7643)</f>
        <v/>
      </c>
      <c r="K7643" s="6" t="str">
        <f t="shared" si="600"/>
        <v/>
      </c>
      <c r="L7643" s="7" t="str">
        <f t="shared" si="601"/>
        <v/>
      </c>
      <c r="M7643" s="7" t="str">
        <f t="shared" si="598"/>
        <v/>
      </c>
      <c r="N7643" s="7" t="str">
        <f t="shared" si="602"/>
        <v/>
      </c>
      <c r="O7643" s="8"/>
      <c r="P7643" s="26"/>
      <c r="S7643" s="10" t="str">
        <f t="shared" si="599"/>
        <v/>
      </c>
    </row>
    <row r="7644" spans="5:19" x14ac:dyDescent="0.3">
      <c r="E7644" s="9" t="str">
        <f>IF(DADOS!C7644="","",DADOS!C7644)</f>
        <v/>
      </c>
      <c r="F7644" s="9" t="str">
        <f>IF(DADOS!E7644="","",DADOS!E7644)</f>
        <v/>
      </c>
      <c r="G7644" s="9" t="str">
        <f>IF(DADOS!F7644="","",DADOS!F7644)</f>
        <v/>
      </c>
      <c r="K7644" s="6" t="str">
        <f t="shared" si="600"/>
        <v/>
      </c>
      <c r="L7644" s="7" t="str">
        <f t="shared" si="601"/>
        <v/>
      </c>
      <c r="M7644" s="7" t="str">
        <f t="shared" si="598"/>
        <v/>
      </c>
      <c r="N7644" s="7" t="str">
        <f t="shared" si="602"/>
        <v/>
      </c>
      <c r="O7644" s="8"/>
      <c r="P7644" s="26"/>
      <c r="S7644" s="10" t="str">
        <f t="shared" si="599"/>
        <v/>
      </c>
    </row>
    <row r="7645" spans="5:19" x14ac:dyDescent="0.3">
      <c r="E7645" s="9" t="str">
        <f>IF(DADOS!C7645="","",DADOS!C7645)</f>
        <v/>
      </c>
      <c r="F7645" s="9" t="str">
        <f>IF(DADOS!E7645="","",DADOS!E7645)</f>
        <v/>
      </c>
      <c r="G7645" s="9" t="str">
        <f>IF(DADOS!F7645="","",DADOS!F7645)</f>
        <v/>
      </c>
      <c r="K7645" s="6" t="str">
        <f t="shared" si="600"/>
        <v/>
      </c>
      <c r="L7645" s="7" t="str">
        <f t="shared" si="601"/>
        <v/>
      </c>
      <c r="M7645" s="7" t="str">
        <f t="shared" si="598"/>
        <v/>
      </c>
      <c r="N7645" s="7" t="str">
        <f t="shared" si="602"/>
        <v/>
      </c>
      <c r="O7645" s="8"/>
      <c r="P7645" s="26"/>
      <c r="S7645" s="10" t="str">
        <f t="shared" si="599"/>
        <v/>
      </c>
    </row>
    <row r="7646" spans="5:19" x14ac:dyDescent="0.3">
      <c r="E7646" s="9" t="str">
        <f>IF(DADOS!C7646="","",DADOS!C7646)</f>
        <v/>
      </c>
      <c r="F7646" s="9" t="str">
        <f>IF(DADOS!E7646="","",DADOS!E7646)</f>
        <v/>
      </c>
      <c r="G7646" s="9" t="str">
        <f>IF(DADOS!F7646="","",DADOS!F7646)</f>
        <v/>
      </c>
      <c r="K7646" s="6" t="str">
        <f t="shared" si="600"/>
        <v/>
      </c>
      <c r="L7646" s="7" t="str">
        <f t="shared" si="601"/>
        <v/>
      </c>
      <c r="M7646" s="7" t="str">
        <f t="shared" si="598"/>
        <v/>
      </c>
      <c r="N7646" s="7" t="str">
        <f t="shared" si="602"/>
        <v/>
      </c>
      <c r="O7646" s="8"/>
      <c r="P7646" s="26"/>
      <c r="S7646" s="10" t="str">
        <f t="shared" si="599"/>
        <v/>
      </c>
    </row>
    <row r="7647" spans="5:19" x14ac:dyDescent="0.3">
      <c r="E7647" s="9" t="str">
        <f>IF(DADOS!C7647="","",DADOS!C7647)</f>
        <v/>
      </c>
      <c r="F7647" s="9" t="str">
        <f>IF(DADOS!E7647="","",DADOS!E7647)</f>
        <v/>
      </c>
      <c r="G7647" s="9" t="str">
        <f>IF(DADOS!F7647="","",DADOS!F7647)</f>
        <v/>
      </c>
      <c r="K7647" s="6" t="str">
        <f t="shared" si="600"/>
        <v/>
      </c>
      <c r="L7647" s="7" t="str">
        <f t="shared" si="601"/>
        <v/>
      </c>
      <c r="M7647" s="7" t="str">
        <f t="shared" si="598"/>
        <v/>
      </c>
      <c r="N7647" s="7" t="str">
        <f t="shared" si="602"/>
        <v/>
      </c>
      <c r="O7647" s="8"/>
      <c r="P7647" s="26"/>
      <c r="S7647" s="10" t="str">
        <f t="shared" si="599"/>
        <v/>
      </c>
    </row>
    <row r="7648" spans="5:19" x14ac:dyDescent="0.3">
      <c r="E7648" s="9" t="str">
        <f>IF(DADOS!C7648="","",DADOS!C7648)</f>
        <v/>
      </c>
      <c r="F7648" s="9" t="str">
        <f>IF(DADOS!E7648="","",DADOS!E7648)</f>
        <v/>
      </c>
      <c r="G7648" s="9" t="str">
        <f>IF(DADOS!F7648="","",DADOS!F7648)</f>
        <v/>
      </c>
      <c r="K7648" s="6" t="str">
        <f t="shared" si="600"/>
        <v/>
      </c>
      <c r="L7648" s="7" t="str">
        <f t="shared" si="601"/>
        <v/>
      </c>
      <c r="M7648" s="7" t="str">
        <f t="shared" si="598"/>
        <v/>
      </c>
      <c r="N7648" s="7" t="str">
        <f t="shared" si="602"/>
        <v/>
      </c>
      <c r="O7648" s="8"/>
      <c r="P7648" s="26"/>
      <c r="S7648" s="10" t="str">
        <f t="shared" si="599"/>
        <v/>
      </c>
    </row>
    <row r="7649" spans="5:19" x14ac:dyDescent="0.3">
      <c r="E7649" s="9" t="str">
        <f>IF(DADOS!C7649="","",DADOS!C7649)</f>
        <v/>
      </c>
      <c r="F7649" s="9" t="str">
        <f>IF(DADOS!E7649="","",DADOS!E7649)</f>
        <v/>
      </c>
      <c r="G7649" s="9" t="str">
        <f>IF(DADOS!F7649="","",DADOS!F7649)</f>
        <v/>
      </c>
      <c r="K7649" s="6" t="str">
        <f t="shared" si="600"/>
        <v/>
      </c>
      <c r="L7649" s="7" t="str">
        <f t="shared" si="601"/>
        <v/>
      </c>
      <c r="M7649" s="7" t="str">
        <f t="shared" si="598"/>
        <v/>
      </c>
      <c r="N7649" s="7" t="str">
        <f t="shared" si="602"/>
        <v/>
      </c>
      <c r="O7649" s="8"/>
      <c r="P7649" s="26"/>
      <c r="S7649" s="10" t="str">
        <f t="shared" si="599"/>
        <v/>
      </c>
    </row>
    <row r="7650" spans="5:19" x14ac:dyDescent="0.3">
      <c r="E7650" s="9" t="str">
        <f>IF(DADOS!C7650="","",DADOS!C7650)</f>
        <v/>
      </c>
      <c r="F7650" s="9" t="str">
        <f>IF(DADOS!E7650="","",DADOS!E7650)</f>
        <v/>
      </c>
      <c r="G7650" s="9" t="str">
        <f>IF(DADOS!F7650="","",DADOS!F7650)</f>
        <v/>
      </c>
      <c r="K7650" s="6" t="str">
        <f t="shared" si="600"/>
        <v/>
      </c>
      <c r="L7650" s="7" t="str">
        <f t="shared" si="601"/>
        <v/>
      </c>
      <c r="M7650" s="7" t="str">
        <f t="shared" si="598"/>
        <v/>
      </c>
      <c r="N7650" s="7" t="str">
        <f t="shared" si="602"/>
        <v/>
      </c>
      <c r="O7650" s="8"/>
      <c r="P7650" s="26"/>
      <c r="S7650" s="10" t="str">
        <f t="shared" si="599"/>
        <v/>
      </c>
    </row>
    <row r="7651" spans="5:19" x14ac:dyDescent="0.3">
      <c r="E7651" s="9" t="str">
        <f>IF(DADOS!C7651="","",DADOS!C7651)</f>
        <v/>
      </c>
      <c r="F7651" s="9" t="str">
        <f>IF(DADOS!E7651="","",DADOS!E7651)</f>
        <v/>
      </c>
      <c r="G7651" s="9" t="str">
        <f>IF(DADOS!F7651="","",DADOS!F7651)</f>
        <v/>
      </c>
      <c r="K7651" s="6" t="str">
        <f t="shared" si="600"/>
        <v/>
      </c>
      <c r="L7651" s="7" t="str">
        <f t="shared" si="601"/>
        <v/>
      </c>
      <c r="M7651" s="7" t="str">
        <f t="shared" si="598"/>
        <v/>
      </c>
      <c r="N7651" s="7" t="str">
        <f t="shared" si="602"/>
        <v/>
      </c>
      <c r="O7651" s="8"/>
      <c r="P7651" s="26"/>
      <c r="S7651" s="10" t="str">
        <f t="shared" si="599"/>
        <v/>
      </c>
    </row>
    <row r="7652" spans="5:19" x14ac:dyDescent="0.3">
      <c r="E7652" s="9" t="str">
        <f>IF(DADOS!C7652="","",DADOS!C7652)</f>
        <v/>
      </c>
      <c r="F7652" s="9" t="str">
        <f>IF(DADOS!E7652="","",DADOS!E7652)</f>
        <v/>
      </c>
      <c r="G7652" s="9" t="str">
        <f>IF(DADOS!F7652="","",DADOS!F7652)</f>
        <v/>
      </c>
      <c r="K7652" s="6" t="str">
        <f t="shared" si="600"/>
        <v/>
      </c>
      <c r="L7652" s="7" t="str">
        <f t="shared" si="601"/>
        <v/>
      </c>
      <c r="M7652" s="7" t="str">
        <f t="shared" si="598"/>
        <v/>
      </c>
      <c r="N7652" s="7" t="str">
        <f t="shared" si="602"/>
        <v/>
      </c>
      <c r="O7652" s="8"/>
      <c r="P7652" s="26"/>
      <c r="S7652" s="10" t="str">
        <f t="shared" si="599"/>
        <v/>
      </c>
    </row>
    <row r="7653" spans="5:19" x14ac:dyDescent="0.3">
      <c r="E7653" s="9" t="str">
        <f>IF(DADOS!C7653="","",DADOS!C7653)</f>
        <v/>
      </c>
      <c r="F7653" s="9" t="str">
        <f>IF(DADOS!E7653="","",DADOS!E7653)</f>
        <v/>
      </c>
      <c r="G7653" s="9" t="str">
        <f>IF(DADOS!F7653="","",DADOS!F7653)</f>
        <v/>
      </c>
      <c r="K7653" s="6" t="str">
        <f t="shared" si="600"/>
        <v/>
      </c>
      <c r="L7653" s="7" t="str">
        <f t="shared" si="601"/>
        <v/>
      </c>
      <c r="M7653" s="7" t="str">
        <f t="shared" si="598"/>
        <v/>
      </c>
      <c r="N7653" s="7" t="str">
        <f t="shared" si="602"/>
        <v/>
      </c>
      <c r="O7653" s="8"/>
      <c r="P7653" s="26"/>
      <c r="S7653" s="10" t="str">
        <f t="shared" si="599"/>
        <v/>
      </c>
    </row>
    <row r="7654" spans="5:19" x14ac:dyDescent="0.3">
      <c r="E7654" s="9" t="str">
        <f>IF(DADOS!C7654="","",DADOS!C7654)</f>
        <v/>
      </c>
      <c r="F7654" s="9" t="str">
        <f>IF(DADOS!E7654="","",DADOS!E7654)</f>
        <v/>
      </c>
      <c r="G7654" s="9" t="str">
        <f>IF(DADOS!F7654="","",DADOS!F7654)</f>
        <v/>
      </c>
      <c r="K7654" s="6" t="str">
        <f t="shared" si="600"/>
        <v/>
      </c>
      <c r="L7654" s="7" t="str">
        <f t="shared" si="601"/>
        <v/>
      </c>
      <c r="M7654" s="7" t="str">
        <f t="shared" si="598"/>
        <v/>
      </c>
      <c r="N7654" s="7" t="str">
        <f t="shared" si="602"/>
        <v/>
      </c>
      <c r="O7654" s="8"/>
      <c r="P7654" s="26"/>
      <c r="S7654" s="10" t="str">
        <f t="shared" si="599"/>
        <v/>
      </c>
    </row>
    <row r="7655" spans="5:19" x14ac:dyDescent="0.3">
      <c r="E7655" s="9" t="str">
        <f>IF(DADOS!C7655="","",DADOS!C7655)</f>
        <v/>
      </c>
      <c r="F7655" s="9" t="str">
        <f>IF(DADOS!E7655="","",DADOS!E7655)</f>
        <v/>
      </c>
      <c r="G7655" s="9" t="str">
        <f>IF(DADOS!F7655="","",DADOS!F7655)</f>
        <v/>
      </c>
      <c r="K7655" s="6" t="str">
        <f t="shared" si="600"/>
        <v/>
      </c>
      <c r="L7655" s="7" t="str">
        <f t="shared" si="601"/>
        <v/>
      </c>
      <c r="M7655" s="7" t="str">
        <f t="shared" si="598"/>
        <v/>
      </c>
      <c r="N7655" s="7" t="str">
        <f t="shared" si="602"/>
        <v/>
      </c>
      <c r="O7655" s="8"/>
      <c r="P7655" s="26"/>
      <c r="S7655" s="10" t="str">
        <f t="shared" si="599"/>
        <v/>
      </c>
    </row>
    <row r="7656" spans="5:19" x14ac:dyDescent="0.3">
      <c r="E7656" s="9" t="str">
        <f>IF(DADOS!C7656="","",DADOS!C7656)</f>
        <v/>
      </c>
      <c r="F7656" s="9" t="str">
        <f>IF(DADOS!E7656="","",DADOS!E7656)</f>
        <v/>
      </c>
      <c r="G7656" s="9" t="str">
        <f>IF(DADOS!F7656="","",DADOS!F7656)</f>
        <v/>
      </c>
      <c r="K7656" s="6" t="str">
        <f t="shared" si="600"/>
        <v/>
      </c>
      <c r="L7656" s="7" t="str">
        <f t="shared" si="601"/>
        <v/>
      </c>
      <c r="M7656" s="7" t="str">
        <f t="shared" si="598"/>
        <v/>
      </c>
      <c r="N7656" s="7" t="str">
        <f t="shared" si="602"/>
        <v/>
      </c>
      <c r="O7656" s="8"/>
      <c r="P7656" s="26"/>
      <c r="S7656" s="10" t="str">
        <f t="shared" si="599"/>
        <v/>
      </c>
    </row>
    <row r="7657" spans="5:19" x14ac:dyDescent="0.3">
      <c r="E7657" s="9" t="str">
        <f>IF(DADOS!C7657="","",DADOS!C7657)</f>
        <v/>
      </c>
      <c r="F7657" s="9" t="str">
        <f>IF(DADOS!E7657="","",DADOS!E7657)</f>
        <v/>
      </c>
      <c r="G7657" s="9" t="str">
        <f>IF(DADOS!F7657="","",DADOS!F7657)</f>
        <v/>
      </c>
      <c r="K7657" s="6" t="str">
        <f t="shared" si="600"/>
        <v/>
      </c>
      <c r="L7657" s="7" t="str">
        <f t="shared" si="601"/>
        <v/>
      </c>
      <c r="M7657" s="7" t="str">
        <f t="shared" si="598"/>
        <v/>
      </c>
      <c r="N7657" s="7" t="str">
        <f t="shared" si="602"/>
        <v/>
      </c>
      <c r="O7657" s="8"/>
      <c r="P7657" s="26"/>
      <c r="S7657" s="10" t="str">
        <f t="shared" si="599"/>
        <v/>
      </c>
    </row>
    <row r="7658" spans="5:19" x14ac:dyDescent="0.3">
      <c r="E7658" s="9" t="str">
        <f>IF(DADOS!C7658="","",DADOS!C7658)</f>
        <v/>
      </c>
      <c r="F7658" s="9" t="str">
        <f>IF(DADOS!E7658="","",DADOS!E7658)</f>
        <v/>
      </c>
      <c r="G7658" s="9" t="str">
        <f>IF(DADOS!F7658="","",DADOS!F7658)</f>
        <v/>
      </c>
      <c r="K7658" s="6" t="str">
        <f t="shared" si="600"/>
        <v/>
      </c>
      <c r="L7658" s="7" t="str">
        <f t="shared" si="601"/>
        <v/>
      </c>
      <c r="M7658" s="7" t="str">
        <f t="shared" si="598"/>
        <v/>
      </c>
      <c r="N7658" s="7" t="str">
        <f t="shared" si="602"/>
        <v/>
      </c>
      <c r="O7658" s="8"/>
      <c r="P7658" s="26"/>
      <c r="S7658" s="10" t="str">
        <f t="shared" si="599"/>
        <v/>
      </c>
    </row>
    <row r="7659" spans="5:19" x14ac:dyDescent="0.3">
      <c r="E7659" s="9" t="str">
        <f>IF(DADOS!C7659="","",DADOS!C7659)</f>
        <v/>
      </c>
      <c r="F7659" s="9" t="str">
        <f>IF(DADOS!E7659="","",DADOS!E7659)</f>
        <v/>
      </c>
      <c r="G7659" s="9" t="str">
        <f>IF(DADOS!F7659="","",DADOS!F7659)</f>
        <v/>
      </c>
      <c r="K7659" s="6" t="str">
        <f t="shared" si="600"/>
        <v/>
      </c>
      <c r="L7659" s="7" t="str">
        <f t="shared" si="601"/>
        <v/>
      </c>
      <c r="M7659" s="7" t="str">
        <f t="shared" si="598"/>
        <v/>
      </c>
      <c r="N7659" s="7" t="str">
        <f t="shared" si="602"/>
        <v/>
      </c>
      <c r="O7659" s="8"/>
      <c r="P7659" s="26"/>
      <c r="S7659" s="10" t="str">
        <f t="shared" si="599"/>
        <v/>
      </c>
    </row>
    <row r="7660" spans="5:19" x14ac:dyDescent="0.3">
      <c r="E7660" s="9" t="str">
        <f>IF(DADOS!C7660="","",DADOS!C7660)</f>
        <v/>
      </c>
      <c r="F7660" s="9" t="str">
        <f>IF(DADOS!E7660="","",DADOS!E7660)</f>
        <v/>
      </c>
      <c r="G7660" s="9" t="str">
        <f>IF(DADOS!F7660="","",DADOS!F7660)</f>
        <v/>
      </c>
      <c r="K7660" s="6" t="str">
        <f t="shared" si="600"/>
        <v/>
      </c>
      <c r="L7660" s="7" t="str">
        <f t="shared" si="601"/>
        <v/>
      </c>
      <c r="M7660" s="7" t="str">
        <f t="shared" si="598"/>
        <v/>
      </c>
      <c r="N7660" s="7" t="str">
        <f t="shared" si="602"/>
        <v/>
      </c>
      <c r="O7660" s="8"/>
      <c r="P7660" s="26"/>
      <c r="S7660" s="10" t="str">
        <f t="shared" si="599"/>
        <v/>
      </c>
    </row>
    <row r="7661" spans="5:19" x14ac:dyDescent="0.3">
      <c r="E7661" s="9" t="str">
        <f>IF(DADOS!C7661="","",DADOS!C7661)</f>
        <v/>
      </c>
      <c r="F7661" s="9" t="str">
        <f>IF(DADOS!E7661="","",DADOS!E7661)</f>
        <v/>
      </c>
      <c r="G7661" s="9" t="str">
        <f>IF(DADOS!F7661="","",DADOS!F7661)</f>
        <v/>
      </c>
      <c r="K7661" s="6" t="str">
        <f t="shared" si="600"/>
        <v/>
      </c>
      <c r="L7661" s="7" t="str">
        <f t="shared" si="601"/>
        <v/>
      </c>
      <c r="M7661" s="7" t="str">
        <f t="shared" si="598"/>
        <v/>
      </c>
      <c r="N7661" s="7" t="str">
        <f t="shared" si="602"/>
        <v/>
      </c>
      <c r="O7661" s="8"/>
      <c r="P7661" s="26"/>
      <c r="S7661" s="10" t="str">
        <f t="shared" si="599"/>
        <v/>
      </c>
    </row>
    <row r="7662" spans="5:19" x14ac:dyDescent="0.3">
      <c r="E7662" s="9" t="str">
        <f>IF(DADOS!C7662="","",DADOS!C7662)</f>
        <v/>
      </c>
      <c r="F7662" s="9" t="str">
        <f>IF(DADOS!E7662="","",DADOS!E7662)</f>
        <v/>
      </c>
      <c r="G7662" s="9" t="str">
        <f>IF(DADOS!F7662="","",DADOS!F7662)</f>
        <v/>
      </c>
      <c r="K7662" s="6" t="str">
        <f t="shared" si="600"/>
        <v/>
      </c>
      <c r="L7662" s="7" t="str">
        <f t="shared" si="601"/>
        <v/>
      </c>
      <c r="M7662" s="7" t="str">
        <f t="shared" si="598"/>
        <v/>
      </c>
      <c r="N7662" s="7" t="str">
        <f t="shared" si="602"/>
        <v/>
      </c>
      <c r="O7662" s="8"/>
      <c r="P7662" s="26"/>
      <c r="S7662" s="10" t="str">
        <f t="shared" si="599"/>
        <v/>
      </c>
    </row>
    <row r="7663" spans="5:19" x14ac:dyDescent="0.3">
      <c r="E7663" s="9" t="str">
        <f>IF(DADOS!C7663="","",DADOS!C7663)</f>
        <v/>
      </c>
      <c r="F7663" s="9" t="str">
        <f>IF(DADOS!E7663="","",DADOS!E7663)</f>
        <v/>
      </c>
      <c r="G7663" s="9" t="str">
        <f>IF(DADOS!F7663="","",DADOS!F7663)</f>
        <v/>
      </c>
      <c r="K7663" s="6" t="str">
        <f t="shared" si="600"/>
        <v/>
      </c>
      <c r="L7663" s="7" t="str">
        <f t="shared" si="601"/>
        <v/>
      </c>
      <c r="M7663" s="7" t="str">
        <f t="shared" si="598"/>
        <v/>
      </c>
      <c r="N7663" s="7" t="str">
        <f t="shared" si="602"/>
        <v/>
      </c>
      <c r="O7663" s="8"/>
      <c r="P7663" s="26"/>
      <c r="S7663" s="10" t="str">
        <f t="shared" si="599"/>
        <v/>
      </c>
    </row>
    <row r="7664" spans="5:19" x14ac:dyDescent="0.3">
      <c r="E7664" s="9" t="str">
        <f>IF(DADOS!C7664="","",DADOS!C7664)</f>
        <v/>
      </c>
      <c r="F7664" s="9" t="str">
        <f>IF(DADOS!E7664="","",DADOS!E7664)</f>
        <v/>
      </c>
      <c r="G7664" s="9" t="str">
        <f>IF(DADOS!F7664="","",DADOS!F7664)</f>
        <v/>
      </c>
      <c r="K7664" s="6" t="str">
        <f t="shared" si="600"/>
        <v/>
      </c>
      <c r="L7664" s="7" t="str">
        <f t="shared" si="601"/>
        <v/>
      </c>
      <c r="M7664" s="7" t="str">
        <f t="shared" si="598"/>
        <v/>
      </c>
      <c r="N7664" s="7" t="str">
        <f t="shared" si="602"/>
        <v/>
      </c>
      <c r="O7664" s="8"/>
      <c r="P7664" s="26"/>
      <c r="S7664" s="10" t="str">
        <f t="shared" si="599"/>
        <v/>
      </c>
    </row>
    <row r="7665" spans="5:19" x14ac:dyDescent="0.3">
      <c r="E7665" s="9" t="str">
        <f>IF(DADOS!C7665="","",DADOS!C7665)</f>
        <v/>
      </c>
      <c r="F7665" s="9" t="str">
        <f>IF(DADOS!E7665="","",DADOS!E7665)</f>
        <v/>
      </c>
      <c r="G7665" s="9" t="str">
        <f>IF(DADOS!F7665="","",DADOS!F7665)</f>
        <v/>
      </c>
      <c r="K7665" s="6" t="str">
        <f t="shared" si="600"/>
        <v/>
      </c>
      <c r="L7665" s="7" t="str">
        <f t="shared" si="601"/>
        <v/>
      </c>
      <c r="M7665" s="7" t="str">
        <f t="shared" si="598"/>
        <v/>
      </c>
      <c r="N7665" s="7" t="str">
        <f t="shared" si="602"/>
        <v/>
      </c>
      <c r="O7665" s="8"/>
      <c r="P7665" s="26"/>
      <c r="S7665" s="10" t="str">
        <f t="shared" si="599"/>
        <v/>
      </c>
    </row>
    <row r="7666" spans="5:19" x14ac:dyDescent="0.3">
      <c r="E7666" s="9" t="str">
        <f>IF(DADOS!C7666="","",DADOS!C7666)</f>
        <v/>
      </c>
      <c r="F7666" s="9" t="str">
        <f>IF(DADOS!E7666="","",DADOS!E7666)</f>
        <v/>
      </c>
      <c r="G7666" s="9" t="str">
        <f>IF(DADOS!F7666="","",DADOS!F7666)</f>
        <v/>
      </c>
      <c r="K7666" s="6" t="str">
        <f t="shared" si="600"/>
        <v/>
      </c>
      <c r="L7666" s="7" t="str">
        <f t="shared" si="601"/>
        <v/>
      </c>
      <c r="M7666" s="7" t="str">
        <f t="shared" si="598"/>
        <v/>
      </c>
      <c r="N7666" s="7" t="str">
        <f t="shared" si="602"/>
        <v/>
      </c>
      <c r="O7666" s="8"/>
      <c r="P7666" s="26"/>
      <c r="S7666" s="10" t="str">
        <f t="shared" si="599"/>
        <v/>
      </c>
    </row>
    <row r="7667" spans="5:19" x14ac:dyDescent="0.3">
      <c r="E7667" s="9" t="str">
        <f>IF(DADOS!C7667="","",DADOS!C7667)</f>
        <v/>
      </c>
      <c r="F7667" s="9" t="str">
        <f>IF(DADOS!E7667="","",DADOS!E7667)</f>
        <v/>
      </c>
      <c r="G7667" s="9" t="str">
        <f>IF(DADOS!F7667="","",DADOS!F7667)</f>
        <v/>
      </c>
      <c r="K7667" s="6" t="str">
        <f t="shared" si="600"/>
        <v/>
      </c>
      <c r="L7667" s="7" t="str">
        <f t="shared" si="601"/>
        <v/>
      </c>
      <c r="M7667" s="7" t="str">
        <f t="shared" si="598"/>
        <v/>
      </c>
      <c r="N7667" s="7" t="str">
        <f t="shared" si="602"/>
        <v/>
      </c>
      <c r="O7667" s="8"/>
      <c r="P7667" s="26"/>
      <c r="S7667" s="10" t="str">
        <f t="shared" si="599"/>
        <v/>
      </c>
    </row>
    <row r="7668" spans="5:19" x14ac:dyDescent="0.3">
      <c r="E7668" s="9" t="str">
        <f>IF(DADOS!C7668="","",DADOS!C7668)</f>
        <v/>
      </c>
      <c r="F7668" s="9" t="str">
        <f>IF(DADOS!E7668="","",DADOS!E7668)</f>
        <v/>
      </c>
      <c r="G7668" s="9" t="str">
        <f>IF(DADOS!F7668="","",DADOS!F7668)</f>
        <v/>
      </c>
      <c r="K7668" s="6" t="str">
        <f t="shared" si="600"/>
        <v/>
      </c>
      <c r="L7668" s="7" t="str">
        <f t="shared" si="601"/>
        <v/>
      </c>
      <c r="M7668" s="7" t="str">
        <f t="shared" si="598"/>
        <v/>
      </c>
      <c r="N7668" s="7" t="str">
        <f t="shared" si="602"/>
        <v/>
      </c>
      <c r="O7668" s="8"/>
      <c r="P7668" s="26"/>
      <c r="S7668" s="10" t="str">
        <f t="shared" si="599"/>
        <v/>
      </c>
    </row>
    <row r="7669" spans="5:19" x14ac:dyDescent="0.3">
      <c r="E7669" s="9" t="str">
        <f>IF(DADOS!C7669="","",DADOS!C7669)</f>
        <v/>
      </c>
      <c r="F7669" s="9" t="str">
        <f>IF(DADOS!E7669="","",DADOS!E7669)</f>
        <v/>
      </c>
      <c r="G7669" s="9" t="str">
        <f>IF(DADOS!F7669="","",DADOS!F7669)</f>
        <v/>
      </c>
      <c r="K7669" s="6" t="str">
        <f t="shared" si="600"/>
        <v/>
      </c>
      <c r="L7669" s="7" t="str">
        <f t="shared" si="601"/>
        <v/>
      </c>
      <c r="M7669" s="7" t="str">
        <f t="shared" si="598"/>
        <v/>
      </c>
      <c r="N7669" s="7" t="str">
        <f t="shared" si="602"/>
        <v/>
      </c>
      <c r="O7669" s="8"/>
      <c r="P7669" s="26"/>
      <c r="S7669" s="10" t="str">
        <f t="shared" si="599"/>
        <v/>
      </c>
    </row>
    <row r="7670" spans="5:19" x14ac:dyDescent="0.3">
      <c r="E7670" s="9" t="str">
        <f>IF(DADOS!C7670="","",DADOS!C7670)</f>
        <v/>
      </c>
      <c r="F7670" s="9" t="str">
        <f>IF(DADOS!E7670="","",DADOS!E7670)</f>
        <v/>
      </c>
      <c r="G7670" s="9" t="str">
        <f>IF(DADOS!F7670="","",DADOS!F7670)</f>
        <v/>
      </c>
      <c r="K7670" s="6" t="str">
        <f t="shared" si="600"/>
        <v/>
      </c>
      <c r="L7670" s="7" t="str">
        <f t="shared" si="601"/>
        <v/>
      </c>
      <c r="M7670" s="7" t="str">
        <f t="shared" si="598"/>
        <v/>
      </c>
      <c r="N7670" s="7" t="str">
        <f t="shared" si="602"/>
        <v/>
      </c>
      <c r="O7670" s="8"/>
      <c r="P7670" s="26"/>
      <c r="S7670" s="10" t="str">
        <f t="shared" si="599"/>
        <v/>
      </c>
    </row>
    <row r="7671" spans="5:19" x14ac:dyDescent="0.3">
      <c r="E7671" s="9" t="str">
        <f>IF(DADOS!C7671="","",DADOS!C7671)</f>
        <v/>
      </c>
      <c r="F7671" s="9" t="str">
        <f>IF(DADOS!E7671="","",DADOS!E7671)</f>
        <v/>
      </c>
      <c r="G7671" s="9" t="str">
        <f>IF(DADOS!F7671="","",DADOS!F7671)</f>
        <v/>
      </c>
      <c r="K7671" s="6" t="str">
        <f t="shared" si="600"/>
        <v/>
      </c>
      <c r="L7671" s="7" t="str">
        <f t="shared" si="601"/>
        <v/>
      </c>
      <c r="M7671" s="7" t="str">
        <f t="shared" si="598"/>
        <v/>
      </c>
      <c r="N7671" s="7" t="str">
        <f t="shared" si="602"/>
        <v/>
      </c>
      <c r="O7671" s="8"/>
      <c r="P7671" s="26"/>
      <c r="S7671" s="10" t="str">
        <f t="shared" si="599"/>
        <v/>
      </c>
    </row>
    <row r="7672" spans="5:19" x14ac:dyDescent="0.3">
      <c r="E7672" s="9" t="str">
        <f>IF(DADOS!C7672="","",DADOS!C7672)</f>
        <v/>
      </c>
      <c r="F7672" s="9" t="str">
        <f>IF(DADOS!E7672="","",DADOS!E7672)</f>
        <v/>
      </c>
      <c r="G7672" s="9" t="str">
        <f>IF(DADOS!F7672="","",DADOS!F7672)</f>
        <v/>
      </c>
      <c r="K7672" s="6" t="str">
        <f t="shared" si="600"/>
        <v/>
      </c>
      <c r="L7672" s="7" t="str">
        <f t="shared" si="601"/>
        <v/>
      </c>
      <c r="M7672" s="7" t="str">
        <f t="shared" si="598"/>
        <v/>
      </c>
      <c r="N7672" s="7" t="str">
        <f t="shared" si="602"/>
        <v/>
      </c>
      <c r="O7672" s="8"/>
      <c r="P7672" s="26"/>
      <c r="S7672" s="10" t="str">
        <f t="shared" si="599"/>
        <v/>
      </c>
    </row>
    <row r="7673" spans="5:19" x14ac:dyDescent="0.3">
      <c r="E7673" s="9" t="str">
        <f>IF(DADOS!C7673="","",DADOS!C7673)</f>
        <v/>
      </c>
      <c r="F7673" s="9" t="str">
        <f>IF(DADOS!E7673="","",DADOS!E7673)</f>
        <v/>
      </c>
      <c r="G7673" s="9" t="str">
        <f>IF(DADOS!F7673="","",DADOS!F7673)</f>
        <v/>
      </c>
      <c r="K7673" s="6" t="str">
        <f t="shared" si="600"/>
        <v/>
      </c>
      <c r="L7673" s="7" t="str">
        <f t="shared" si="601"/>
        <v/>
      </c>
      <c r="M7673" s="7" t="str">
        <f t="shared" si="598"/>
        <v/>
      </c>
      <c r="N7673" s="7" t="str">
        <f t="shared" si="602"/>
        <v/>
      </c>
      <c r="O7673" s="8"/>
      <c r="P7673" s="26"/>
      <c r="S7673" s="10" t="str">
        <f t="shared" si="599"/>
        <v/>
      </c>
    </row>
    <row r="7674" spans="5:19" x14ac:dyDescent="0.3">
      <c r="E7674" s="9" t="str">
        <f>IF(DADOS!C7674="","",DADOS!C7674)</f>
        <v/>
      </c>
      <c r="F7674" s="9" t="str">
        <f>IF(DADOS!E7674="","",DADOS!E7674)</f>
        <v/>
      </c>
      <c r="G7674" s="9" t="str">
        <f>IF(DADOS!F7674="","",DADOS!F7674)</f>
        <v/>
      </c>
      <c r="K7674" s="6" t="str">
        <f t="shared" si="600"/>
        <v/>
      </c>
      <c r="L7674" s="7" t="str">
        <f t="shared" si="601"/>
        <v/>
      </c>
      <c r="M7674" s="7" t="str">
        <f t="shared" si="598"/>
        <v/>
      </c>
      <c r="N7674" s="7" t="str">
        <f t="shared" si="602"/>
        <v/>
      </c>
      <c r="O7674" s="8"/>
      <c r="P7674" s="26"/>
      <c r="S7674" s="10" t="str">
        <f t="shared" si="599"/>
        <v/>
      </c>
    </row>
    <row r="7675" spans="5:19" x14ac:dyDescent="0.3">
      <c r="E7675" s="9" t="str">
        <f>IF(DADOS!C7675="","",DADOS!C7675)</f>
        <v/>
      </c>
      <c r="F7675" s="9" t="str">
        <f>IF(DADOS!E7675="","",DADOS!E7675)</f>
        <v/>
      </c>
      <c r="G7675" s="9" t="str">
        <f>IF(DADOS!F7675="","",DADOS!F7675)</f>
        <v/>
      </c>
      <c r="K7675" s="6" t="str">
        <f t="shared" si="600"/>
        <v/>
      </c>
      <c r="L7675" s="7" t="str">
        <f t="shared" si="601"/>
        <v/>
      </c>
      <c r="M7675" s="7" t="str">
        <f t="shared" si="598"/>
        <v/>
      </c>
      <c r="N7675" s="7" t="str">
        <f t="shared" si="602"/>
        <v/>
      </c>
      <c r="O7675" s="8"/>
      <c r="P7675" s="26"/>
      <c r="S7675" s="10" t="str">
        <f t="shared" si="599"/>
        <v/>
      </c>
    </row>
    <row r="7676" spans="5:19" x14ac:dyDescent="0.3">
      <c r="E7676" s="9" t="str">
        <f>IF(DADOS!C7676="","",DADOS!C7676)</f>
        <v/>
      </c>
      <c r="F7676" s="9" t="str">
        <f>IF(DADOS!E7676="","",DADOS!E7676)</f>
        <v/>
      </c>
      <c r="G7676" s="9" t="str">
        <f>IF(DADOS!F7676="","",DADOS!F7676)</f>
        <v/>
      </c>
      <c r="K7676" s="6" t="str">
        <f t="shared" si="600"/>
        <v/>
      </c>
      <c r="L7676" s="7" t="str">
        <f t="shared" si="601"/>
        <v/>
      </c>
      <c r="M7676" s="7" t="str">
        <f t="shared" si="598"/>
        <v/>
      </c>
      <c r="N7676" s="7" t="str">
        <f t="shared" si="602"/>
        <v/>
      </c>
      <c r="O7676" s="8"/>
      <c r="P7676" s="26"/>
      <c r="S7676" s="10" t="str">
        <f t="shared" si="599"/>
        <v/>
      </c>
    </row>
    <row r="7677" spans="5:19" x14ac:dyDescent="0.3">
      <c r="E7677" s="9" t="str">
        <f>IF(DADOS!C7677="","",DADOS!C7677)</f>
        <v/>
      </c>
      <c r="F7677" s="9" t="str">
        <f>IF(DADOS!E7677="","",DADOS!E7677)</f>
        <v/>
      </c>
      <c r="G7677" s="9" t="str">
        <f>IF(DADOS!F7677="","",DADOS!F7677)</f>
        <v/>
      </c>
      <c r="K7677" s="6" t="str">
        <f t="shared" si="600"/>
        <v/>
      </c>
      <c r="L7677" s="7" t="str">
        <f t="shared" si="601"/>
        <v/>
      </c>
      <c r="M7677" s="7" t="str">
        <f t="shared" si="598"/>
        <v/>
      </c>
      <c r="N7677" s="7" t="str">
        <f t="shared" si="602"/>
        <v/>
      </c>
      <c r="O7677" s="8"/>
      <c r="P7677" s="26"/>
      <c r="S7677" s="10" t="str">
        <f t="shared" si="599"/>
        <v/>
      </c>
    </row>
    <row r="7678" spans="5:19" x14ac:dyDescent="0.3">
      <c r="E7678" s="9" t="str">
        <f>IF(DADOS!C7678="","",DADOS!C7678)</f>
        <v/>
      </c>
      <c r="F7678" s="9" t="str">
        <f>IF(DADOS!E7678="","",DADOS!E7678)</f>
        <v/>
      </c>
      <c r="G7678" s="9" t="str">
        <f>IF(DADOS!F7678="","",DADOS!F7678)</f>
        <v/>
      </c>
      <c r="K7678" s="6" t="str">
        <f t="shared" si="600"/>
        <v/>
      </c>
      <c r="L7678" s="7" t="str">
        <f t="shared" si="601"/>
        <v/>
      </c>
      <c r="M7678" s="7" t="str">
        <f t="shared" si="598"/>
        <v/>
      </c>
      <c r="N7678" s="7" t="str">
        <f t="shared" si="602"/>
        <v/>
      </c>
      <c r="O7678" s="8"/>
      <c r="P7678" s="26"/>
      <c r="S7678" s="10" t="str">
        <f t="shared" si="599"/>
        <v/>
      </c>
    </row>
    <row r="7679" spans="5:19" x14ac:dyDescent="0.3">
      <c r="E7679" s="9" t="str">
        <f>IF(DADOS!C7679="","",DADOS!C7679)</f>
        <v/>
      </c>
      <c r="F7679" s="9" t="str">
        <f>IF(DADOS!E7679="","",DADOS!E7679)</f>
        <v/>
      </c>
      <c r="G7679" s="9" t="str">
        <f>IF(DADOS!F7679="","",DADOS!F7679)</f>
        <v/>
      </c>
      <c r="K7679" s="6" t="str">
        <f t="shared" si="600"/>
        <v/>
      </c>
      <c r="L7679" s="7" t="str">
        <f t="shared" si="601"/>
        <v/>
      </c>
      <c r="M7679" s="7" t="str">
        <f t="shared" si="598"/>
        <v/>
      </c>
      <c r="N7679" s="7" t="str">
        <f t="shared" si="602"/>
        <v/>
      </c>
      <c r="O7679" s="8"/>
      <c r="P7679" s="26"/>
      <c r="S7679" s="10" t="str">
        <f t="shared" si="599"/>
        <v/>
      </c>
    </row>
    <row r="7680" spans="5:19" x14ac:dyDescent="0.3">
      <c r="E7680" s="9" t="str">
        <f>IF(DADOS!C7680="","",DADOS!C7680)</f>
        <v/>
      </c>
      <c r="F7680" s="9" t="str">
        <f>IF(DADOS!E7680="","",DADOS!E7680)</f>
        <v/>
      </c>
      <c r="G7680" s="9" t="str">
        <f>IF(DADOS!F7680="","",DADOS!F7680)</f>
        <v/>
      </c>
      <c r="K7680" s="6" t="str">
        <f t="shared" si="600"/>
        <v/>
      </c>
      <c r="L7680" s="7" t="str">
        <f t="shared" si="601"/>
        <v/>
      </c>
      <c r="M7680" s="7" t="str">
        <f t="shared" si="598"/>
        <v/>
      </c>
      <c r="N7680" s="7" t="str">
        <f t="shared" si="602"/>
        <v/>
      </c>
      <c r="O7680" s="8"/>
      <c r="P7680" s="26"/>
      <c r="S7680" s="10" t="str">
        <f t="shared" si="599"/>
        <v/>
      </c>
    </row>
    <row r="7681" spans="5:19" x14ac:dyDescent="0.3">
      <c r="E7681" s="9" t="str">
        <f>IF(DADOS!C7681="","",DADOS!C7681)</f>
        <v/>
      </c>
      <c r="F7681" s="9" t="str">
        <f>IF(DADOS!E7681="","",DADOS!E7681)</f>
        <v/>
      </c>
      <c r="G7681" s="9" t="str">
        <f>IF(DADOS!F7681="","",DADOS!F7681)</f>
        <v/>
      </c>
      <c r="K7681" s="6" t="str">
        <f t="shared" si="600"/>
        <v/>
      </c>
      <c r="L7681" s="7" t="str">
        <f t="shared" si="601"/>
        <v/>
      </c>
      <c r="M7681" s="7" t="str">
        <f t="shared" si="598"/>
        <v/>
      </c>
      <c r="N7681" s="7" t="str">
        <f t="shared" si="602"/>
        <v/>
      </c>
      <c r="O7681" s="8"/>
      <c r="P7681" s="26"/>
      <c r="S7681" s="10" t="str">
        <f t="shared" si="599"/>
        <v/>
      </c>
    </row>
    <row r="7682" spans="5:19" x14ac:dyDescent="0.3">
      <c r="E7682" s="9" t="str">
        <f>IF(DADOS!C7682="","",DADOS!C7682)</f>
        <v/>
      </c>
      <c r="F7682" s="9" t="str">
        <f>IF(DADOS!E7682="","",DADOS!E7682)</f>
        <v/>
      </c>
      <c r="G7682" s="9" t="str">
        <f>IF(DADOS!F7682="","",DADOS!F7682)</f>
        <v/>
      </c>
      <c r="K7682" s="6" t="str">
        <f t="shared" si="600"/>
        <v/>
      </c>
      <c r="L7682" s="7" t="str">
        <f t="shared" si="601"/>
        <v/>
      </c>
      <c r="M7682" s="7" t="str">
        <f t="shared" si="598"/>
        <v/>
      </c>
      <c r="N7682" s="7" t="str">
        <f t="shared" si="602"/>
        <v/>
      </c>
      <c r="O7682" s="8"/>
      <c r="P7682" s="26"/>
      <c r="S7682" s="10" t="str">
        <f t="shared" si="599"/>
        <v/>
      </c>
    </row>
    <row r="7683" spans="5:19" x14ac:dyDescent="0.3">
      <c r="E7683" s="9" t="str">
        <f>IF(DADOS!C7683="","",DADOS!C7683)</f>
        <v/>
      </c>
      <c r="F7683" s="9" t="str">
        <f>IF(DADOS!E7683="","",DADOS!E7683)</f>
        <v/>
      </c>
      <c r="G7683" s="9" t="str">
        <f>IF(DADOS!F7683="","",DADOS!F7683)</f>
        <v/>
      </c>
      <c r="K7683" s="6" t="str">
        <f t="shared" si="600"/>
        <v/>
      </c>
      <c r="L7683" s="7" t="str">
        <f t="shared" si="601"/>
        <v/>
      </c>
      <c r="M7683" s="7" t="str">
        <f t="shared" ref="M7683:M7746" si="603">IF(L7683="","",L7683*G7683)</f>
        <v/>
      </c>
      <c r="N7683" s="7" t="str">
        <f t="shared" si="602"/>
        <v/>
      </c>
      <c r="O7683" s="8"/>
      <c r="P7683" s="26"/>
      <c r="S7683" s="10" t="str">
        <f t="shared" ref="S7683:S7746" si="604">IF(R7683="","",SUMIFS($N$3:$N$10000,$E$3:$E$10000,R7683))</f>
        <v/>
      </c>
    </row>
    <row r="7684" spans="5:19" x14ac:dyDescent="0.3">
      <c r="E7684" s="9" t="str">
        <f>IF(DADOS!C7684="","",DADOS!C7684)</f>
        <v/>
      </c>
      <c r="F7684" s="9" t="str">
        <f>IF(DADOS!E7684="","",DADOS!E7684)</f>
        <v/>
      </c>
      <c r="G7684" s="9" t="str">
        <f>IF(DADOS!F7684="","",DADOS!F7684)</f>
        <v/>
      </c>
      <c r="K7684" s="6" t="str">
        <f t="shared" ref="K7684:K7747" si="605">IF(F7684="","",F7684/PI())</f>
        <v/>
      </c>
      <c r="L7684" s="7" t="str">
        <f t="shared" ref="L7684:L7747" si="606">IF(K7684="","",(PI()*K7684^2)/40000)</f>
        <v/>
      </c>
      <c r="M7684" s="7" t="str">
        <f t="shared" si="603"/>
        <v/>
      </c>
      <c r="N7684" s="7" t="str">
        <f t="shared" ref="N7684:N7747" si="607">IF(M7684="","",M7684*N$1)</f>
        <v/>
      </c>
      <c r="O7684" s="8"/>
      <c r="P7684" s="26"/>
      <c r="S7684" s="10" t="str">
        <f t="shared" si="604"/>
        <v/>
      </c>
    </row>
    <row r="7685" spans="5:19" x14ac:dyDescent="0.3">
      <c r="E7685" s="9" t="str">
        <f>IF(DADOS!C7685="","",DADOS!C7685)</f>
        <v/>
      </c>
      <c r="F7685" s="9" t="str">
        <f>IF(DADOS!E7685="","",DADOS!E7685)</f>
        <v/>
      </c>
      <c r="G7685" s="9" t="str">
        <f>IF(DADOS!F7685="","",DADOS!F7685)</f>
        <v/>
      </c>
      <c r="K7685" s="6" t="str">
        <f t="shared" si="605"/>
        <v/>
      </c>
      <c r="L7685" s="7" t="str">
        <f t="shared" si="606"/>
        <v/>
      </c>
      <c r="M7685" s="7" t="str">
        <f t="shared" si="603"/>
        <v/>
      </c>
      <c r="N7685" s="7" t="str">
        <f t="shared" si="607"/>
        <v/>
      </c>
      <c r="O7685" s="8"/>
      <c r="P7685" s="26"/>
      <c r="S7685" s="10" t="str">
        <f t="shared" si="604"/>
        <v/>
      </c>
    </row>
    <row r="7686" spans="5:19" x14ac:dyDescent="0.3">
      <c r="E7686" s="9" t="str">
        <f>IF(DADOS!C7686="","",DADOS!C7686)</f>
        <v/>
      </c>
      <c r="F7686" s="9" t="str">
        <f>IF(DADOS!E7686="","",DADOS!E7686)</f>
        <v/>
      </c>
      <c r="G7686" s="9" t="str">
        <f>IF(DADOS!F7686="","",DADOS!F7686)</f>
        <v/>
      </c>
      <c r="K7686" s="6" t="str">
        <f t="shared" si="605"/>
        <v/>
      </c>
      <c r="L7686" s="7" t="str">
        <f t="shared" si="606"/>
        <v/>
      </c>
      <c r="M7686" s="7" t="str">
        <f t="shared" si="603"/>
        <v/>
      </c>
      <c r="N7686" s="7" t="str">
        <f t="shared" si="607"/>
        <v/>
      </c>
      <c r="O7686" s="8"/>
      <c r="P7686" s="26"/>
      <c r="S7686" s="10" t="str">
        <f t="shared" si="604"/>
        <v/>
      </c>
    </row>
    <row r="7687" spans="5:19" x14ac:dyDescent="0.3">
      <c r="E7687" s="9" t="str">
        <f>IF(DADOS!C7687="","",DADOS!C7687)</f>
        <v/>
      </c>
      <c r="F7687" s="9" t="str">
        <f>IF(DADOS!E7687="","",DADOS!E7687)</f>
        <v/>
      </c>
      <c r="G7687" s="9" t="str">
        <f>IF(DADOS!F7687="","",DADOS!F7687)</f>
        <v/>
      </c>
      <c r="K7687" s="6" t="str">
        <f t="shared" si="605"/>
        <v/>
      </c>
      <c r="L7687" s="7" t="str">
        <f t="shared" si="606"/>
        <v/>
      </c>
      <c r="M7687" s="7" t="str">
        <f t="shared" si="603"/>
        <v/>
      </c>
      <c r="N7687" s="7" t="str">
        <f t="shared" si="607"/>
        <v/>
      </c>
      <c r="O7687" s="8"/>
      <c r="P7687" s="26"/>
      <c r="S7687" s="10" t="str">
        <f t="shared" si="604"/>
        <v/>
      </c>
    </row>
    <row r="7688" spans="5:19" x14ac:dyDescent="0.3">
      <c r="E7688" s="9" t="str">
        <f>IF(DADOS!C7688="","",DADOS!C7688)</f>
        <v/>
      </c>
      <c r="F7688" s="9" t="str">
        <f>IF(DADOS!E7688="","",DADOS!E7688)</f>
        <v/>
      </c>
      <c r="G7688" s="9" t="str">
        <f>IF(DADOS!F7688="","",DADOS!F7688)</f>
        <v/>
      </c>
      <c r="K7688" s="6" t="str">
        <f t="shared" si="605"/>
        <v/>
      </c>
      <c r="L7688" s="7" t="str">
        <f t="shared" si="606"/>
        <v/>
      </c>
      <c r="M7688" s="7" t="str">
        <f t="shared" si="603"/>
        <v/>
      </c>
      <c r="N7688" s="7" t="str">
        <f t="shared" si="607"/>
        <v/>
      </c>
      <c r="O7688" s="8"/>
      <c r="P7688" s="26"/>
      <c r="S7688" s="10" t="str">
        <f t="shared" si="604"/>
        <v/>
      </c>
    </row>
    <row r="7689" spans="5:19" x14ac:dyDescent="0.3">
      <c r="E7689" s="9" t="str">
        <f>IF(DADOS!C7689="","",DADOS!C7689)</f>
        <v/>
      </c>
      <c r="F7689" s="9" t="str">
        <f>IF(DADOS!E7689="","",DADOS!E7689)</f>
        <v/>
      </c>
      <c r="G7689" s="9" t="str">
        <f>IF(DADOS!F7689="","",DADOS!F7689)</f>
        <v/>
      </c>
      <c r="K7689" s="6" t="str">
        <f t="shared" si="605"/>
        <v/>
      </c>
      <c r="L7689" s="7" t="str">
        <f t="shared" si="606"/>
        <v/>
      </c>
      <c r="M7689" s="7" t="str">
        <f t="shared" si="603"/>
        <v/>
      </c>
      <c r="N7689" s="7" t="str">
        <f t="shared" si="607"/>
        <v/>
      </c>
      <c r="O7689" s="8"/>
      <c r="P7689" s="26"/>
      <c r="S7689" s="10" t="str">
        <f t="shared" si="604"/>
        <v/>
      </c>
    </row>
    <row r="7690" spans="5:19" x14ac:dyDescent="0.3">
      <c r="E7690" s="9" t="str">
        <f>IF(DADOS!C7690="","",DADOS!C7690)</f>
        <v/>
      </c>
      <c r="F7690" s="9" t="str">
        <f>IF(DADOS!E7690="","",DADOS!E7690)</f>
        <v/>
      </c>
      <c r="G7690" s="9" t="str">
        <f>IF(DADOS!F7690="","",DADOS!F7690)</f>
        <v/>
      </c>
      <c r="K7690" s="6" t="str">
        <f t="shared" si="605"/>
        <v/>
      </c>
      <c r="L7690" s="7" t="str">
        <f t="shared" si="606"/>
        <v/>
      </c>
      <c r="M7690" s="7" t="str">
        <f t="shared" si="603"/>
        <v/>
      </c>
      <c r="N7690" s="7" t="str">
        <f t="shared" si="607"/>
        <v/>
      </c>
      <c r="O7690" s="8"/>
      <c r="P7690" s="26"/>
      <c r="S7690" s="10" t="str">
        <f t="shared" si="604"/>
        <v/>
      </c>
    </row>
    <row r="7691" spans="5:19" x14ac:dyDescent="0.3">
      <c r="E7691" s="9" t="str">
        <f>IF(DADOS!C7691="","",DADOS!C7691)</f>
        <v/>
      </c>
      <c r="F7691" s="9" t="str">
        <f>IF(DADOS!E7691="","",DADOS!E7691)</f>
        <v/>
      </c>
      <c r="G7691" s="9" t="str">
        <f>IF(DADOS!F7691="","",DADOS!F7691)</f>
        <v/>
      </c>
      <c r="K7691" s="6" t="str">
        <f t="shared" si="605"/>
        <v/>
      </c>
      <c r="L7691" s="7" t="str">
        <f t="shared" si="606"/>
        <v/>
      </c>
      <c r="M7691" s="7" t="str">
        <f t="shared" si="603"/>
        <v/>
      </c>
      <c r="N7691" s="7" t="str">
        <f t="shared" si="607"/>
        <v/>
      </c>
      <c r="O7691" s="8"/>
      <c r="P7691" s="26"/>
      <c r="S7691" s="10" t="str">
        <f t="shared" si="604"/>
        <v/>
      </c>
    </row>
    <row r="7692" spans="5:19" x14ac:dyDescent="0.3">
      <c r="E7692" s="9" t="str">
        <f>IF(DADOS!C7692="","",DADOS!C7692)</f>
        <v/>
      </c>
      <c r="F7692" s="9" t="str">
        <f>IF(DADOS!E7692="","",DADOS!E7692)</f>
        <v/>
      </c>
      <c r="G7692" s="9" t="str">
        <f>IF(DADOS!F7692="","",DADOS!F7692)</f>
        <v/>
      </c>
      <c r="K7692" s="6" t="str">
        <f t="shared" si="605"/>
        <v/>
      </c>
      <c r="L7692" s="7" t="str">
        <f t="shared" si="606"/>
        <v/>
      </c>
      <c r="M7692" s="7" t="str">
        <f t="shared" si="603"/>
        <v/>
      </c>
      <c r="N7692" s="7" t="str">
        <f t="shared" si="607"/>
        <v/>
      </c>
      <c r="O7692" s="8"/>
      <c r="P7692" s="26"/>
      <c r="S7692" s="10" t="str">
        <f t="shared" si="604"/>
        <v/>
      </c>
    </row>
    <row r="7693" spans="5:19" x14ac:dyDescent="0.3">
      <c r="E7693" s="9" t="str">
        <f>IF(DADOS!C7693="","",DADOS!C7693)</f>
        <v/>
      </c>
      <c r="F7693" s="9" t="str">
        <f>IF(DADOS!E7693="","",DADOS!E7693)</f>
        <v/>
      </c>
      <c r="G7693" s="9" t="str">
        <f>IF(DADOS!F7693="","",DADOS!F7693)</f>
        <v/>
      </c>
      <c r="K7693" s="6" t="str">
        <f t="shared" si="605"/>
        <v/>
      </c>
      <c r="L7693" s="7" t="str">
        <f t="shared" si="606"/>
        <v/>
      </c>
      <c r="M7693" s="7" t="str">
        <f t="shared" si="603"/>
        <v/>
      </c>
      <c r="N7693" s="7" t="str">
        <f t="shared" si="607"/>
        <v/>
      </c>
      <c r="O7693" s="8"/>
      <c r="P7693" s="26"/>
      <c r="S7693" s="10" t="str">
        <f t="shared" si="604"/>
        <v/>
      </c>
    </row>
    <row r="7694" spans="5:19" x14ac:dyDescent="0.3">
      <c r="E7694" s="9" t="str">
        <f>IF(DADOS!C7694="","",DADOS!C7694)</f>
        <v/>
      </c>
      <c r="F7694" s="9" t="str">
        <f>IF(DADOS!E7694="","",DADOS!E7694)</f>
        <v/>
      </c>
      <c r="G7694" s="9" t="str">
        <f>IF(DADOS!F7694="","",DADOS!F7694)</f>
        <v/>
      </c>
      <c r="K7694" s="6" t="str">
        <f t="shared" si="605"/>
        <v/>
      </c>
      <c r="L7694" s="7" t="str">
        <f t="shared" si="606"/>
        <v/>
      </c>
      <c r="M7694" s="7" t="str">
        <f t="shared" si="603"/>
        <v/>
      </c>
      <c r="N7694" s="7" t="str">
        <f t="shared" si="607"/>
        <v/>
      </c>
      <c r="O7694" s="8"/>
      <c r="P7694" s="26"/>
      <c r="S7694" s="10" t="str">
        <f t="shared" si="604"/>
        <v/>
      </c>
    </row>
    <row r="7695" spans="5:19" x14ac:dyDescent="0.3">
      <c r="E7695" s="9" t="str">
        <f>IF(DADOS!C7695="","",DADOS!C7695)</f>
        <v/>
      </c>
      <c r="F7695" s="9" t="str">
        <f>IF(DADOS!E7695="","",DADOS!E7695)</f>
        <v/>
      </c>
      <c r="G7695" s="9" t="str">
        <f>IF(DADOS!F7695="","",DADOS!F7695)</f>
        <v/>
      </c>
      <c r="K7695" s="6" t="str">
        <f t="shared" si="605"/>
        <v/>
      </c>
      <c r="L7695" s="7" t="str">
        <f t="shared" si="606"/>
        <v/>
      </c>
      <c r="M7695" s="7" t="str">
        <f t="shared" si="603"/>
        <v/>
      </c>
      <c r="N7695" s="7" t="str">
        <f t="shared" si="607"/>
        <v/>
      </c>
      <c r="O7695" s="8"/>
      <c r="P7695" s="26"/>
      <c r="S7695" s="10" t="str">
        <f t="shared" si="604"/>
        <v/>
      </c>
    </row>
    <row r="7696" spans="5:19" x14ac:dyDescent="0.3">
      <c r="E7696" s="9" t="str">
        <f>IF(DADOS!C7696="","",DADOS!C7696)</f>
        <v/>
      </c>
      <c r="F7696" s="9" t="str">
        <f>IF(DADOS!E7696="","",DADOS!E7696)</f>
        <v/>
      </c>
      <c r="G7696" s="9" t="str">
        <f>IF(DADOS!F7696="","",DADOS!F7696)</f>
        <v/>
      </c>
      <c r="K7696" s="6" t="str">
        <f t="shared" si="605"/>
        <v/>
      </c>
      <c r="L7696" s="7" t="str">
        <f t="shared" si="606"/>
        <v/>
      </c>
      <c r="M7696" s="7" t="str">
        <f t="shared" si="603"/>
        <v/>
      </c>
      <c r="N7696" s="7" t="str">
        <f t="shared" si="607"/>
        <v/>
      </c>
      <c r="O7696" s="8"/>
      <c r="P7696" s="26"/>
      <c r="S7696" s="10" t="str">
        <f t="shared" si="604"/>
        <v/>
      </c>
    </row>
    <row r="7697" spans="5:19" x14ac:dyDescent="0.3">
      <c r="E7697" s="9" t="str">
        <f>IF(DADOS!C7697="","",DADOS!C7697)</f>
        <v/>
      </c>
      <c r="F7697" s="9" t="str">
        <f>IF(DADOS!E7697="","",DADOS!E7697)</f>
        <v/>
      </c>
      <c r="G7697" s="9" t="str">
        <f>IF(DADOS!F7697="","",DADOS!F7697)</f>
        <v/>
      </c>
      <c r="K7697" s="6" t="str">
        <f t="shared" si="605"/>
        <v/>
      </c>
      <c r="L7697" s="7" t="str">
        <f t="shared" si="606"/>
        <v/>
      </c>
      <c r="M7697" s="7" t="str">
        <f t="shared" si="603"/>
        <v/>
      </c>
      <c r="N7697" s="7" t="str">
        <f t="shared" si="607"/>
        <v/>
      </c>
      <c r="O7697" s="8"/>
      <c r="P7697" s="26"/>
      <c r="S7697" s="10" t="str">
        <f t="shared" si="604"/>
        <v/>
      </c>
    </row>
    <row r="7698" spans="5:19" x14ac:dyDescent="0.3">
      <c r="E7698" s="9" t="str">
        <f>IF(DADOS!C7698="","",DADOS!C7698)</f>
        <v/>
      </c>
      <c r="F7698" s="9" t="str">
        <f>IF(DADOS!E7698="","",DADOS!E7698)</f>
        <v/>
      </c>
      <c r="G7698" s="9" t="str">
        <f>IF(DADOS!F7698="","",DADOS!F7698)</f>
        <v/>
      </c>
      <c r="K7698" s="6" t="str">
        <f t="shared" si="605"/>
        <v/>
      </c>
      <c r="L7698" s="7" t="str">
        <f t="shared" si="606"/>
        <v/>
      </c>
      <c r="M7698" s="7" t="str">
        <f t="shared" si="603"/>
        <v/>
      </c>
      <c r="N7698" s="7" t="str">
        <f t="shared" si="607"/>
        <v/>
      </c>
      <c r="O7698" s="8"/>
      <c r="P7698" s="26"/>
      <c r="S7698" s="10" t="str">
        <f t="shared" si="604"/>
        <v/>
      </c>
    </row>
    <row r="7699" spans="5:19" x14ac:dyDescent="0.3">
      <c r="E7699" s="9" t="str">
        <f>IF(DADOS!C7699="","",DADOS!C7699)</f>
        <v/>
      </c>
      <c r="F7699" s="9" t="str">
        <f>IF(DADOS!E7699="","",DADOS!E7699)</f>
        <v/>
      </c>
      <c r="G7699" s="9" t="str">
        <f>IF(DADOS!F7699="","",DADOS!F7699)</f>
        <v/>
      </c>
      <c r="K7699" s="6" t="str">
        <f t="shared" si="605"/>
        <v/>
      </c>
      <c r="L7699" s="7" t="str">
        <f t="shared" si="606"/>
        <v/>
      </c>
      <c r="M7699" s="7" t="str">
        <f t="shared" si="603"/>
        <v/>
      </c>
      <c r="N7699" s="7" t="str">
        <f t="shared" si="607"/>
        <v/>
      </c>
      <c r="O7699" s="8"/>
      <c r="P7699" s="26"/>
      <c r="S7699" s="10" t="str">
        <f t="shared" si="604"/>
        <v/>
      </c>
    </row>
    <row r="7700" spans="5:19" x14ac:dyDescent="0.3">
      <c r="E7700" s="9" t="str">
        <f>IF(DADOS!C7700="","",DADOS!C7700)</f>
        <v/>
      </c>
      <c r="F7700" s="9" t="str">
        <f>IF(DADOS!E7700="","",DADOS!E7700)</f>
        <v/>
      </c>
      <c r="G7700" s="9" t="str">
        <f>IF(DADOS!F7700="","",DADOS!F7700)</f>
        <v/>
      </c>
      <c r="K7700" s="6" t="str">
        <f t="shared" si="605"/>
        <v/>
      </c>
      <c r="L7700" s="7" t="str">
        <f t="shared" si="606"/>
        <v/>
      </c>
      <c r="M7700" s="7" t="str">
        <f t="shared" si="603"/>
        <v/>
      </c>
      <c r="N7700" s="7" t="str">
        <f t="shared" si="607"/>
        <v/>
      </c>
      <c r="O7700" s="8"/>
      <c r="P7700" s="26"/>
      <c r="S7700" s="10" t="str">
        <f t="shared" si="604"/>
        <v/>
      </c>
    </row>
    <row r="7701" spans="5:19" x14ac:dyDescent="0.3">
      <c r="E7701" s="9" t="str">
        <f>IF(DADOS!C7701="","",DADOS!C7701)</f>
        <v/>
      </c>
      <c r="F7701" s="9" t="str">
        <f>IF(DADOS!E7701="","",DADOS!E7701)</f>
        <v/>
      </c>
      <c r="G7701" s="9" t="str">
        <f>IF(DADOS!F7701="","",DADOS!F7701)</f>
        <v/>
      </c>
      <c r="K7701" s="6" t="str">
        <f t="shared" si="605"/>
        <v/>
      </c>
      <c r="L7701" s="7" t="str">
        <f t="shared" si="606"/>
        <v/>
      </c>
      <c r="M7701" s="7" t="str">
        <f t="shared" si="603"/>
        <v/>
      </c>
      <c r="N7701" s="7" t="str">
        <f t="shared" si="607"/>
        <v/>
      </c>
      <c r="O7701" s="8"/>
      <c r="P7701" s="26"/>
      <c r="S7701" s="10" t="str">
        <f t="shared" si="604"/>
        <v/>
      </c>
    </row>
    <row r="7702" spans="5:19" x14ac:dyDescent="0.3">
      <c r="E7702" s="9" t="str">
        <f>IF(DADOS!C7702="","",DADOS!C7702)</f>
        <v/>
      </c>
      <c r="F7702" s="9" t="str">
        <f>IF(DADOS!E7702="","",DADOS!E7702)</f>
        <v/>
      </c>
      <c r="G7702" s="9" t="str">
        <f>IF(DADOS!F7702="","",DADOS!F7702)</f>
        <v/>
      </c>
      <c r="K7702" s="6" t="str">
        <f t="shared" si="605"/>
        <v/>
      </c>
      <c r="L7702" s="7" t="str">
        <f t="shared" si="606"/>
        <v/>
      </c>
      <c r="M7702" s="7" t="str">
        <f t="shared" si="603"/>
        <v/>
      </c>
      <c r="N7702" s="7" t="str">
        <f t="shared" si="607"/>
        <v/>
      </c>
      <c r="O7702" s="8"/>
      <c r="P7702" s="26"/>
      <c r="S7702" s="10" t="str">
        <f t="shared" si="604"/>
        <v/>
      </c>
    </row>
    <row r="7703" spans="5:19" x14ac:dyDescent="0.3">
      <c r="E7703" s="9" t="str">
        <f>IF(DADOS!C7703="","",DADOS!C7703)</f>
        <v/>
      </c>
      <c r="F7703" s="9" t="str">
        <f>IF(DADOS!E7703="","",DADOS!E7703)</f>
        <v/>
      </c>
      <c r="G7703" s="9" t="str">
        <f>IF(DADOS!F7703="","",DADOS!F7703)</f>
        <v/>
      </c>
      <c r="K7703" s="6" t="str">
        <f t="shared" si="605"/>
        <v/>
      </c>
      <c r="L7703" s="7" t="str">
        <f t="shared" si="606"/>
        <v/>
      </c>
      <c r="M7703" s="7" t="str">
        <f t="shared" si="603"/>
        <v/>
      </c>
      <c r="N7703" s="7" t="str">
        <f t="shared" si="607"/>
        <v/>
      </c>
      <c r="O7703" s="8"/>
      <c r="P7703" s="26"/>
      <c r="S7703" s="10" t="str">
        <f t="shared" si="604"/>
        <v/>
      </c>
    </row>
    <row r="7704" spans="5:19" x14ac:dyDescent="0.3">
      <c r="E7704" s="9" t="str">
        <f>IF(DADOS!C7704="","",DADOS!C7704)</f>
        <v/>
      </c>
      <c r="F7704" s="9" t="str">
        <f>IF(DADOS!E7704="","",DADOS!E7704)</f>
        <v/>
      </c>
      <c r="G7704" s="9" t="str">
        <f>IF(DADOS!F7704="","",DADOS!F7704)</f>
        <v/>
      </c>
      <c r="K7704" s="6" t="str">
        <f t="shared" si="605"/>
        <v/>
      </c>
      <c r="L7704" s="7" t="str">
        <f t="shared" si="606"/>
        <v/>
      </c>
      <c r="M7704" s="7" t="str">
        <f t="shared" si="603"/>
        <v/>
      </c>
      <c r="N7704" s="7" t="str">
        <f t="shared" si="607"/>
        <v/>
      </c>
      <c r="O7704" s="8"/>
      <c r="P7704" s="26"/>
      <c r="S7704" s="10" t="str">
        <f t="shared" si="604"/>
        <v/>
      </c>
    </row>
    <row r="7705" spans="5:19" x14ac:dyDescent="0.3">
      <c r="E7705" s="9" t="str">
        <f>IF(DADOS!C7705="","",DADOS!C7705)</f>
        <v/>
      </c>
      <c r="F7705" s="9" t="str">
        <f>IF(DADOS!E7705="","",DADOS!E7705)</f>
        <v/>
      </c>
      <c r="G7705" s="9" t="str">
        <f>IF(DADOS!F7705="","",DADOS!F7705)</f>
        <v/>
      </c>
      <c r="K7705" s="6" t="str">
        <f t="shared" si="605"/>
        <v/>
      </c>
      <c r="L7705" s="7" t="str">
        <f t="shared" si="606"/>
        <v/>
      </c>
      <c r="M7705" s="7" t="str">
        <f t="shared" si="603"/>
        <v/>
      </c>
      <c r="N7705" s="7" t="str">
        <f t="shared" si="607"/>
        <v/>
      </c>
      <c r="O7705" s="8"/>
      <c r="P7705" s="26"/>
      <c r="S7705" s="10" t="str">
        <f t="shared" si="604"/>
        <v/>
      </c>
    </row>
    <row r="7706" spans="5:19" x14ac:dyDescent="0.3">
      <c r="E7706" s="9" t="str">
        <f>IF(DADOS!C7706="","",DADOS!C7706)</f>
        <v/>
      </c>
      <c r="F7706" s="9" t="str">
        <f>IF(DADOS!E7706="","",DADOS!E7706)</f>
        <v/>
      </c>
      <c r="G7706" s="9" t="str">
        <f>IF(DADOS!F7706="","",DADOS!F7706)</f>
        <v/>
      </c>
      <c r="K7706" s="6" t="str">
        <f t="shared" si="605"/>
        <v/>
      </c>
      <c r="L7706" s="7" t="str">
        <f t="shared" si="606"/>
        <v/>
      </c>
      <c r="M7706" s="7" t="str">
        <f t="shared" si="603"/>
        <v/>
      </c>
      <c r="N7706" s="7" t="str">
        <f t="shared" si="607"/>
        <v/>
      </c>
      <c r="O7706" s="8"/>
      <c r="P7706" s="26"/>
      <c r="S7706" s="10" t="str">
        <f t="shared" si="604"/>
        <v/>
      </c>
    </row>
    <row r="7707" spans="5:19" x14ac:dyDescent="0.3">
      <c r="E7707" s="9" t="str">
        <f>IF(DADOS!C7707="","",DADOS!C7707)</f>
        <v/>
      </c>
      <c r="F7707" s="9" t="str">
        <f>IF(DADOS!E7707="","",DADOS!E7707)</f>
        <v/>
      </c>
      <c r="G7707" s="9" t="str">
        <f>IF(DADOS!F7707="","",DADOS!F7707)</f>
        <v/>
      </c>
      <c r="K7707" s="6" t="str">
        <f t="shared" si="605"/>
        <v/>
      </c>
      <c r="L7707" s="7" t="str">
        <f t="shared" si="606"/>
        <v/>
      </c>
      <c r="M7707" s="7" t="str">
        <f t="shared" si="603"/>
        <v/>
      </c>
      <c r="N7707" s="7" t="str">
        <f t="shared" si="607"/>
        <v/>
      </c>
      <c r="O7707" s="8"/>
      <c r="P7707" s="26"/>
      <c r="S7707" s="10" t="str">
        <f t="shared" si="604"/>
        <v/>
      </c>
    </row>
    <row r="7708" spans="5:19" x14ac:dyDescent="0.3">
      <c r="E7708" s="9" t="str">
        <f>IF(DADOS!C7708="","",DADOS!C7708)</f>
        <v/>
      </c>
      <c r="F7708" s="9" t="str">
        <f>IF(DADOS!E7708="","",DADOS!E7708)</f>
        <v/>
      </c>
      <c r="G7708" s="9" t="str">
        <f>IF(DADOS!F7708="","",DADOS!F7708)</f>
        <v/>
      </c>
      <c r="K7708" s="6" t="str">
        <f t="shared" si="605"/>
        <v/>
      </c>
      <c r="L7708" s="7" t="str">
        <f t="shared" si="606"/>
        <v/>
      </c>
      <c r="M7708" s="7" t="str">
        <f t="shared" si="603"/>
        <v/>
      </c>
      <c r="N7708" s="7" t="str">
        <f t="shared" si="607"/>
        <v/>
      </c>
      <c r="O7708" s="8"/>
      <c r="P7708" s="26"/>
      <c r="S7708" s="10" t="str">
        <f t="shared" si="604"/>
        <v/>
      </c>
    </row>
    <row r="7709" spans="5:19" x14ac:dyDescent="0.3">
      <c r="E7709" s="9" t="str">
        <f>IF(DADOS!C7709="","",DADOS!C7709)</f>
        <v/>
      </c>
      <c r="F7709" s="9" t="str">
        <f>IF(DADOS!E7709="","",DADOS!E7709)</f>
        <v/>
      </c>
      <c r="G7709" s="9" t="str">
        <f>IF(DADOS!F7709="","",DADOS!F7709)</f>
        <v/>
      </c>
      <c r="K7709" s="6" t="str">
        <f t="shared" si="605"/>
        <v/>
      </c>
      <c r="L7709" s="7" t="str">
        <f t="shared" si="606"/>
        <v/>
      </c>
      <c r="M7709" s="7" t="str">
        <f t="shared" si="603"/>
        <v/>
      </c>
      <c r="N7709" s="7" t="str">
        <f t="shared" si="607"/>
        <v/>
      </c>
      <c r="O7709" s="8"/>
      <c r="P7709" s="26"/>
      <c r="S7709" s="10" t="str">
        <f t="shared" si="604"/>
        <v/>
      </c>
    </row>
    <row r="7710" spans="5:19" x14ac:dyDescent="0.3">
      <c r="E7710" s="9" t="str">
        <f>IF(DADOS!C7710="","",DADOS!C7710)</f>
        <v/>
      </c>
      <c r="F7710" s="9" t="str">
        <f>IF(DADOS!E7710="","",DADOS!E7710)</f>
        <v/>
      </c>
      <c r="G7710" s="9" t="str">
        <f>IF(DADOS!F7710="","",DADOS!F7710)</f>
        <v/>
      </c>
      <c r="K7710" s="6" t="str">
        <f t="shared" si="605"/>
        <v/>
      </c>
      <c r="L7710" s="7" t="str">
        <f t="shared" si="606"/>
        <v/>
      </c>
      <c r="M7710" s="7" t="str">
        <f t="shared" si="603"/>
        <v/>
      </c>
      <c r="N7710" s="7" t="str">
        <f t="shared" si="607"/>
        <v/>
      </c>
      <c r="O7710" s="8"/>
      <c r="P7710" s="26"/>
      <c r="S7710" s="10" t="str">
        <f t="shared" si="604"/>
        <v/>
      </c>
    </row>
    <row r="7711" spans="5:19" x14ac:dyDescent="0.3">
      <c r="E7711" s="9" t="str">
        <f>IF(DADOS!C7711="","",DADOS!C7711)</f>
        <v/>
      </c>
      <c r="F7711" s="9" t="str">
        <f>IF(DADOS!E7711="","",DADOS!E7711)</f>
        <v/>
      </c>
      <c r="G7711" s="9" t="str">
        <f>IF(DADOS!F7711="","",DADOS!F7711)</f>
        <v/>
      </c>
      <c r="K7711" s="6" t="str">
        <f t="shared" si="605"/>
        <v/>
      </c>
      <c r="L7711" s="7" t="str">
        <f t="shared" si="606"/>
        <v/>
      </c>
      <c r="M7711" s="7" t="str">
        <f t="shared" si="603"/>
        <v/>
      </c>
      <c r="N7711" s="7" t="str">
        <f t="shared" si="607"/>
        <v/>
      </c>
      <c r="O7711" s="8"/>
      <c r="P7711" s="26"/>
      <c r="S7711" s="10" t="str">
        <f t="shared" si="604"/>
        <v/>
      </c>
    </row>
    <row r="7712" spans="5:19" x14ac:dyDescent="0.3">
      <c r="E7712" s="9" t="str">
        <f>IF(DADOS!C7712="","",DADOS!C7712)</f>
        <v/>
      </c>
      <c r="F7712" s="9" t="str">
        <f>IF(DADOS!E7712="","",DADOS!E7712)</f>
        <v/>
      </c>
      <c r="G7712" s="9" t="str">
        <f>IF(DADOS!F7712="","",DADOS!F7712)</f>
        <v/>
      </c>
      <c r="K7712" s="6" t="str">
        <f t="shared" si="605"/>
        <v/>
      </c>
      <c r="L7712" s="7" t="str">
        <f t="shared" si="606"/>
        <v/>
      </c>
      <c r="M7712" s="7" t="str">
        <f t="shared" si="603"/>
        <v/>
      </c>
      <c r="N7712" s="7" t="str">
        <f t="shared" si="607"/>
        <v/>
      </c>
      <c r="O7712" s="8"/>
      <c r="P7712" s="26"/>
      <c r="S7712" s="10" t="str">
        <f t="shared" si="604"/>
        <v/>
      </c>
    </row>
    <row r="7713" spans="5:19" x14ac:dyDescent="0.3">
      <c r="E7713" s="9" t="str">
        <f>IF(DADOS!C7713="","",DADOS!C7713)</f>
        <v/>
      </c>
      <c r="F7713" s="9" t="str">
        <f>IF(DADOS!E7713="","",DADOS!E7713)</f>
        <v/>
      </c>
      <c r="G7713" s="9" t="str">
        <f>IF(DADOS!F7713="","",DADOS!F7713)</f>
        <v/>
      </c>
      <c r="K7713" s="6" t="str">
        <f t="shared" si="605"/>
        <v/>
      </c>
      <c r="L7713" s="7" t="str">
        <f t="shared" si="606"/>
        <v/>
      </c>
      <c r="M7713" s="7" t="str">
        <f t="shared" si="603"/>
        <v/>
      </c>
      <c r="N7713" s="7" t="str">
        <f t="shared" si="607"/>
        <v/>
      </c>
      <c r="O7713" s="8"/>
      <c r="P7713" s="26"/>
      <c r="S7713" s="10" t="str">
        <f t="shared" si="604"/>
        <v/>
      </c>
    </row>
    <row r="7714" spans="5:19" x14ac:dyDescent="0.3">
      <c r="E7714" s="9" t="str">
        <f>IF(DADOS!C7714="","",DADOS!C7714)</f>
        <v/>
      </c>
      <c r="F7714" s="9" t="str">
        <f>IF(DADOS!E7714="","",DADOS!E7714)</f>
        <v/>
      </c>
      <c r="G7714" s="9" t="str">
        <f>IF(DADOS!F7714="","",DADOS!F7714)</f>
        <v/>
      </c>
      <c r="K7714" s="6" t="str">
        <f t="shared" si="605"/>
        <v/>
      </c>
      <c r="L7714" s="7" t="str">
        <f t="shared" si="606"/>
        <v/>
      </c>
      <c r="M7714" s="7" t="str">
        <f t="shared" si="603"/>
        <v/>
      </c>
      <c r="N7714" s="7" t="str">
        <f t="shared" si="607"/>
        <v/>
      </c>
      <c r="O7714" s="8"/>
      <c r="P7714" s="26"/>
      <c r="S7714" s="10" t="str">
        <f t="shared" si="604"/>
        <v/>
      </c>
    </row>
    <row r="7715" spans="5:19" x14ac:dyDescent="0.3">
      <c r="E7715" s="9" t="str">
        <f>IF(DADOS!C7715="","",DADOS!C7715)</f>
        <v/>
      </c>
      <c r="F7715" s="9" t="str">
        <f>IF(DADOS!E7715="","",DADOS!E7715)</f>
        <v/>
      </c>
      <c r="G7715" s="9" t="str">
        <f>IF(DADOS!F7715="","",DADOS!F7715)</f>
        <v/>
      </c>
      <c r="K7715" s="6" t="str">
        <f t="shared" si="605"/>
        <v/>
      </c>
      <c r="L7715" s="7" t="str">
        <f t="shared" si="606"/>
        <v/>
      </c>
      <c r="M7715" s="7" t="str">
        <f t="shared" si="603"/>
        <v/>
      </c>
      <c r="N7715" s="7" t="str">
        <f t="shared" si="607"/>
        <v/>
      </c>
      <c r="O7715" s="8"/>
      <c r="P7715" s="26"/>
      <c r="S7715" s="10" t="str">
        <f t="shared" si="604"/>
        <v/>
      </c>
    </row>
    <row r="7716" spans="5:19" x14ac:dyDescent="0.3">
      <c r="E7716" s="9" t="str">
        <f>IF(DADOS!C7716="","",DADOS!C7716)</f>
        <v/>
      </c>
      <c r="F7716" s="9" t="str">
        <f>IF(DADOS!E7716="","",DADOS!E7716)</f>
        <v/>
      </c>
      <c r="G7716" s="9" t="str">
        <f>IF(DADOS!F7716="","",DADOS!F7716)</f>
        <v/>
      </c>
      <c r="K7716" s="6" t="str">
        <f t="shared" si="605"/>
        <v/>
      </c>
      <c r="L7716" s="7" t="str">
        <f t="shared" si="606"/>
        <v/>
      </c>
      <c r="M7716" s="7" t="str">
        <f t="shared" si="603"/>
        <v/>
      </c>
      <c r="N7716" s="7" t="str">
        <f t="shared" si="607"/>
        <v/>
      </c>
      <c r="O7716" s="8"/>
      <c r="P7716" s="26"/>
      <c r="S7716" s="10" t="str">
        <f t="shared" si="604"/>
        <v/>
      </c>
    </row>
    <row r="7717" spans="5:19" x14ac:dyDescent="0.3">
      <c r="E7717" s="9" t="str">
        <f>IF(DADOS!C7717="","",DADOS!C7717)</f>
        <v/>
      </c>
      <c r="F7717" s="9" t="str">
        <f>IF(DADOS!E7717="","",DADOS!E7717)</f>
        <v/>
      </c>
      <c r="G7717" s="9" t="str">
        <f>IF(DADOS!F7717="","",DADOS!F7717)</f>
        <v/>
      </c>
      <c r="K7717" s="6" t="str">
        <f t="shared" si="605"/>
        <v/>
      </c>
      <c r="L7717" s="7" t="str">
        <f t="shared" si="606"/>
        <v/>
      </c>
      <c r="M7717" s="7" t="str">
        <f t="shared" si="603"/>
        <v/>
      </c>
      <c r="N7717" s="7" t="str">
        <f t="shared" si="607"/>
        <v/>
      </c>
      <c r="O7717" s="8"/>
      <c r="P7717" s="26"/>
      <c r="S7717" s="10" t="str">
        <f t="shared" si="604"/>
        <v/>
      </c>
    </row>
    <row r="7718" spans="5:19" x14ac:dyDescent="0.3">
      <c r="E7718" s="9" t="str">
        <f>IF(DADOS!C7718="","",DADOS!C7718)</f>
        <v/>
      </c>
      <c r="F7718" s="9" t="str">
        <f>IF(DADOS!E7718="","",DADOS!E7718)</f>
        <v/>
      </c>
      <c r="G7718" s="9" t="str">
        <f>IF(DADOS!F7718="","",DADOS!F7718)</f>
        <v/>
      </c>
      <c r="K7718" s="6" t="str">
        <f t="shared" si="605"/>
        <v/>
      </c>
      <c r="L7718" s="7" t="str">
        <f t="shared" si="606"/>
        <v/>
      </c>
      <c r="M7718" s="7" t="str">
        <f t="shared" si="603"/>
        <v/>
      </c>
      <c r="N7718" s="7" t="str">
        <f t="shared" si="607"/>
        <v/>
      </c>
      <c r="O7718" s="8"/>
      <c r="P7718" s="26"/>
      <c r="S7718" s="10" t="str">
        <f t="shared" si="604"/>
        <v/>
      </c>
    </row>
    <row r="7719" spans="5:19" x14ac:dyDescent="0.3">
      <c r="E7719" s="9" t="str">
        <f>IF(DADOS!C7719="","",DADOS!C7719)</f>
        <v/>
      </c>
      <c r="F7719" s="9" t="str">
        <f>IF(DADOS!E7719="","",DADOS!E7719)</f>
        <v/>
      </c>
      <c r="G7719" s="9" t="str">
        <f>IF(DADOS!F7719="","",DADOS!F7719)</f>
        <v/>
      </c>
      <c r="K7719" s="6" t="str">
        <f t="shared" si="605"/>
        <v/>
      </c>
      <c r="L7719" s="7" t="str">
        <f t="shared" si="606"/>
        <v/>
      </c>
      <c r="M7719" s="7" t="str">
        <f t="shared" si="603"/>
        <v/>
      </c>
      <c r="N7719" s="7" t="str">
        <f t="shared" si="607"/>
        <v/>
      </c>
      <c r="O7719" s="8"/>
      <c r="P7719" s="26"/>
      <c r="S7719" s="10" t="str">
        <f t="shared" si="604"/>
        <v/>
      </c>
    </row>
    <row r="7720" spans="5:19" x14ac:dyDescent="0.3">
      <c r="E7720" s="9" t="str">
        <f>IF(DADOS!C7720="","",DADOS!C7720)</f>
        <v/>
      </c>
      <c r="F7720" s="9" t="str">
        <f>IF(DADOS!E7720="","",DADOS!E7720)</f>
        <v/>
      </c>
      <c r="G7720" s="9" t="str">
        <f>IF(DADOS!F7720="","",DADOS!F7720)</f>
        <v/>
      </c>
      <c r="K7720" s="6" t="str">
        <f t="shared" si="605"/>
        <v/>
      </c>
      <c r="L7720" s="7" t="str">
        <f t="shared" si="606"/>
        <v/>
      </c>
      <c r="M7720" s="7" t="str">
        <f t="shared" si="603"/>
        <v/>
      </c>
      <c r="N7720" s="7" t="str">
        <f t="shared" si="607"/>
        <v/>
      </c>
      <c r="O7720" s="8"/>
      <c r="P7720" s="26"/>
      <c r="S7720" s="10" t="str">
        <f t="shared" si="604"/>
        <v/>
      </c>
    </row>
    <row r="7721" spans="5:19" x14ac:dyDescent="0.3">
      <c r="E7721" s="9" t="str">
        <f>IF(DADOS!C7721="","",DADOS!C7721)</f>
        <v/>
      </c>
      <c r="F7721" s="9" t="str">
        <f>IF(DADOS!E7721="","",DADOS!E7721)</f>
        <v/>
      </c>
      <c r="G7721" s="9" t="str">
        <f>IF(DADOS!F7721="","",DADOS!F7721)</f>
        <v/>
      </c>
      <c r="K7721" s="6" t="str">
        <f t="shared" si="605"/>
        <v/>
      </c>
      <c r="L7721" s="7" t="str">
        <f t="shared" si="606"/>
        <v/>
      </c>
      <c r="M7721" s="7" t="str">
        <f t="shared" si="603"/>
        <v/>
      </c>
      <c r="N7721" s="7" t="str">
        <f t="shared" si="607"/>
        <v/>
      </c>
      <c r="O7721" s="8"/>
      <c r="P7721" s="26"/>
      <c r="S7721" s="10" t="str">
        <f t="shared" si="604"/>
        <v/>
      </c>
    </row>
    <row r="7722" spans="5:19" x14ac:dyDescent="0.3">
      <c r="E7722" s="9" t="str">
        <f>IF(DADOS!C7722="","",DADOS!C7722)</f>
        <v/>
      </c>
      <c r="F7722" s="9" t="str">
        <f>IF(DADOS!E7722="","",DADOS!E7722)</f>
        <v/>
      </c>
      <c r="G7722" s="9" t="str">
        <f>IF(DADOS!F7722="","",DADOS!F7722)</f>
        <v/>
      </c>
      <c r="K7722" s="6" t="str">
        <f t="shared" si="605"/>
        <v/>
      </c>
      <c r="L7722" s="7" t="str">
        <f t="shared" si="606"/>
        <v/>
      </c>
      <c r="M7722" s="7" t="str">
        <f t="shared" si="603"/>
        <v/>
      </c>
      <c r="N7722" s="7" t="str">
        <f t="shared" si="607"/>
        <v/>
      </c>
      <c r="O7722" s="8"/>
      <c r="P7722" s="26"/>
      <c r="S7722" s="10" t="str">
        <f t="shared" si="604"/>
        <v/>
      </c>
    </row>
    <row r="7723" spans="5:19" x14ac:dyDescent="0.3">
      <c r="E7723" s="9" t="str">
        <f>IF(DADOS!C7723="","",DADOS!C7723)</f>
        <v/>
      </c>
      <c r="F7723" s="9" t="str">
        <f>IF(DADOS!E7723="","",DADOS!E7723)</f>
        <v/>
      </c>
      <c r="G7723" s="9" t="str">
        <f>IF(DADOS!F7723="","",DADOS!F7723)</f>
        <v/>
      </c>
      <c r="K7723" s="6" t="str">
        <f t="shared" si="605"/>
        <v/>
      </c>
      <c r="L7723" s="7" t="str">
        <f t="shared" si="606"/>
        <v/>
      </c>
      <c r="M7723" s="7" t="str">
        <f t="shared" si="603"/>
        <v/>
      </c>
      <c r="N7723" s="7" t="str">
        <f t="shared" si="607"/>
        <v/>
      </c>
      <c r="O7723" s="8"/>
      <c r="P7723" s="26"/>
      <c r="S7723" s="10" t="str">
        <f t="shared" si="604"/>
        <v/>
      </c>
    </row>
    <row r="7724" spans="5:19" x14ac:dyDescent="0.3">
      <c r="E7724" s="9" t="str">
        <f>IF(DADOS!C7724="","",DADOS!C7724)</f>
        <v/>
      </c>
      <c r="F7724" s="9" t="str">
        <f>IF(DADOS!E7724="","",DADOS!E7724)</f>
        <v/>
      </c>
      <c r="G7724" s="9" t="str">
        <f>IF(DADOS!F7724="","",DADOS!F7724)</f>
        <v/>
      </c>
      <c r="K7724" s="6" t="str">
        <f t="shared" si="605"/>
        <v/>
      </c>
      <c r="L7724" s="7" t="str">
        <f t="shared" si="606"/>
        <v/>
      </c>
      <c r="M7724" s="7" t="str">
        <f t="shared" si="603"/>
        <v/>
      </c>
      <c r="N7724" s="7" t="str">
        <f t="shared" si="607"/>
        <v/>
      </c>
      <c r="O7724" s="8"/>
      <c r="P7724" s="26"/>
      <c r="S7724" s="10" t="str">
        <f t="shared" si="604"/>
        <v/>
      </c>
    </row>
    <row r="7725" spans="5:19" x14ac:dyDescent="0.3">
      <c r="E7725" s="9" t="str">
        <f>IF(DADOS!C7725="","",DADOS!C7725)</f>
        <v/>
      </c>
      <c r="F7725" s="9" t="str">
        <f>IF(DADOS!E7725="","",DADOS!E7725)</f>
        <v/>
      </c>
      <c r="G7725" s="9" t="str">
        <f>IF(DADOS!F7725="","",DADOS!F7725)</f>
        <v/>
      </c>
      <c r="K7725" s="6" t="str">
        <f t="shared" si="605"/>
        <v/>
      </c>
      <c r="L7725" s="7" t="str">
        <f t="shared" si="606"/>
        <v/>
      </c>
      <c r="M7725" s="7" t="str">
        <f t="shared" si="603"/>
        <v/>
      </c>
      <c r="N7725" s="7" t="str">
        <f t="shared" si="607"/>
        <v/>
      </c>
      <c r="O7725" s="8"/>
      <c r="P7725" s="26"/>
      <c r="S7725" s="10" t="str">
        <f t="shared" si="604"/>
        <v/>
      </c>
    </row>
    <row r="7726" spans="5:19" x14ac:dyDescent="0.3">
      <c r="E7726" s="9" t="str">
        <f>IF(DADOS!C7726="","",DADOS!C7726)</f>
        <v/>
      </c>
      <c r="F7726" s="9" t="str">
        <f>IF(DADOS!E7726="","",DADOS!E7726)</f>
        <v/>
      </c>
      <c r="G7726" s="9" t="str">
        <f>IF(DADOS!F7726="","",DADOS!F7726)</f>
        <v/>
      </c>
      <c r="K7726" s="6" t="str">
        <f t="shared" si="605"/>
        <v/>
      </c>
      <c r="L7726" s="7" t="str">
        <f t="shared" si="606"/>
        <v/>
      </c>
      <c r="M7726" s="7" t="str">
        <f t="shared" si="603"/>
        <v/>
      </c>
      <c r="N7726" s="7" t="str">
        <f t="shared" si="607"/>
        <v/>
      </c>
      <c r="O7726" s="8"/>
      <c r="P7726" s="26"/>
      <c r="S7726" s="10" t="str">
        <f t="shared" si="604"/>
        <v/>
      </c>
    </row>
    <row r="7727" spans="5:19" x14ac:dyDescent="0.3">
      <c r="E7727" s="9" t="str">
        <f>IF(DADOS!C7727="","",DADOS!C7727)</f>
        <v/>
      </c>
      <c r="F7727" s="9" t="str">
        <f>IF(DADOS!E7727="","",DADOS!E7727)</f>
        <v/>
      </c>
      <c r="G7727" s="9" t="str">
        <f>IF(DADOS!F7727="","",DADOS!F7727)</f>
        <v/>
      </c>
      <c r="K7727" s="6" t="str">
        <f t="shared" si="605"/>
        <v/>
      </c>
      <c r="L7727" s="7" t="str">
        <f t="shared" si="606"/>
        <v/>
      </c>
      <c r="M7727" s="7" t="str">
        <f t="shared" si="603"/>
        <v/>
      </c>
      <c r="N7727" s="7" t="str">
        <f t="shared" si="607"/>
        <v/>
      </c>
      <c r="O7727" s="8"/>
      <c r="P7727" s="26"/>
      <c r="S7727" s="10" t="str">
        <f t="shared" si="604"/>
        <v/>
      </c>
    </row>
    <row r="7728" spans="5:19" x14ac:dyDescent="0.3">
      <c r="E7728" s="9" t="str">
        <f>IF(DADOS!C7728="","",DADOS!C7728)</f>
        <v/>
      </c>
      <c r="F7728" s="9" t="str">
        <f>IF(DADOS!E7728="","",DADOS!E7728)</f>
        <v/>
      </c>
      <c r="G7728" s="9" t="str">
        <f>IF(DADOS!F7728="","",DADOS!F7728)</f>
        <v/>
      </c>
      <c r="K7728" s="6" t="str">
        <f t="shared" si="605"/>
        <v/>
      </c>
      <c r="L7728" s="7" t="str">
        <f t="shared" si="606"/>
        <v/>
      </c>
      <c r="M7728" s="7" t="str">
        <f t="shared" si="603"/>
        <v/>
      </c>
      <c r="N7728" s="7" t="str">
        <f t="shared" si="607"/>
        <v/>
      </c>
      <c r="O7728" s="8"/>
      <c r="P7728" s="26"/>
      <c r="S7728" s="10" t="str">
        <f t="shared" si="604"/>
        <v/>
      </c>
    </row>
    <row r="7729" spans="5:19" x14ac:dyDescent="0.3">
      <c r="E7729" s="9" t="str">
        <f>IF(DADOS!C7729="","",DADOS!C7729)</f>
        <v/>
      </c>
      <c r="F7729" s="9" t="str">
        <f>IF(DADOS!E7729="","",DADOS!E7729)</f>
        <v/>
      </c>
      <c r="G7729" s="9" t="str">
        <f>IF(DADOS!F7729="","",DADOS!F7729)</f>
        <v/>
      </c>
      <c r="K7729" s="6" t="str">
        <f t="shared" si="605"/>
        <v/>
      </c>
      <c r="L7729" s="7" t="str">
        <f t="shared" si="606"/>
        <v/>
      </c>
      <c r="M7729" s="7" t="str">
        <f t="shared" si="603"/>
        <v/>
      </c>
      <c r="N7729" s="7" t="str">
        <f t="shared" si="607"/>
        <v/>
      </c>
      <c r="O7729" s="8"/>
      <c r="P7729" s="26"/>
      <c r="S7729" s="10" t="str">
        <f t="shared" si="604"/>
        <v/>
      </c>
    </row>
    <row r="7730" spans="5:19" x14ac:dyDescent="0.3">
      <c r="E7730" s="9" t="str">
        <f>IF(DADOS!C7730="","",DADOS!C7730)</f>
        <v/>
      </c>
      <c r="F7730" s="9" t="str">
        <f>IF(DADOS!E7730="","",DADOS!E7730)</f>
        <v/>
      </c>
      <c r="G7730" s="9" t="str">
        <f>IF(DADOS!F7730="","",DADOS!F7730)</f>
        <v/>
      </c>
      <c r="K7730" s="6" t="str">
        <f t="shared" si="605"/>
        <v/>
      </c>
      <c r="L7730" s="7" t="str">
        <f t="shared" si="606"/>
        <v/>
      </c>
      <c r="M7730" s="7" t="str">
        <f t="shared" si="603"/>
        <v/>
      </c>
      <c r="N7730" s="7" t="str">
        <f t="shared" si="607"/>
        <v/>
      </c>
      <c r="O7730" s="8"/>
      <c r="P7730" s="26"/>
      <c r="S7730" s="10" t="str">
        <f t="shared" si="604"/>
        <v/>
      </c>
    </row>
    <row r="7731" spans="5:19" x14ac:dyDescent="0.3">
      <c r="E7731" s="9" t="str">
        <f>IF(DADOS!C7731="","",DADOS!C7731)</f>
        <v/>
      </c>
      <c r="F7731" s="9" t="str">
        <f>IF(DADOS!E7731="","",DADOS!E7731)</f>
        <v/>
      </c>
      <c r="G7731" s="9" t="str">
        <f>IF(DADOS!F7731="","",DADOS!F7731)</f>
        <v/>
      </c>
      <c r="K7731" s="6" t="str">
        <f t="shared" si="605"/>
        <v/>
      </c>
      <c r="L7731" s="7" t="str">
        <f t="shared" si="606"/>
        <v/>
      </c>
      <c r="M7731" s="7" t="str">
        <f t="shared" si="603"/>
        <v/>
      </c>
      <c r="N7731" s="7" t="str">
        <f t="shared" si="607"/>
        <v/>
      </c>
      <c r="O7731" s="8"/>
      <c r="P7731" s="26"/>
      <c r="S7731" s="10" t="str">
        <f t="shared" si="604"/>
        <v/>
      </c>
    </row>
    <row r="7732" spans="5:19" x14ac:dyDescent="0.3">
      <c r="E7732" s="9" t="str">
        <f>IF(DADOS!C7732="","",DADOS!C7732)</f>
        <v/>
      </c>
      <c r="F7732" s="9" t="str">
        <f>IF(DADOS!E7732="","",DADOS!E7732)</f>
        <v/>
      </c>
      <c r="G7732" s="9" t="str">
        <f>IF(DADOS!F7732="","",DADOS!F7732)</f>
        <v/>
      </c>
      <c r="K7732" s="6" t="str">
        <f t="shared" si="605"/>
        <v/>
      </c>
      <c r="L7732" s="7" t="str">
        <f t="shared" si="606"/>
        <v/>
      </c>
      <c r="M7732" s="7" t="str">
        <f t="shared" si="603"/>
        <v/>
      </c>
      <c r="N7732" s="7" t="str">
        <f t="shared" si="607"/>
        <v/>
      </c>
      <c r="O7732" s="8"/>
      <c r="P7732" s="26"/>
      <c r="S7732" s="10" t="str">
        <f t="shared" si="604"/>
        <v/>
      </c>
    </row>
    <row r="7733" spans="5:19" x14ac:dyDescent="0.3">
      <c r="E7733" s="9" t="str">
        <f>IF(DADOS!C7733="","",DADOS!C7733)</f>
        <v/>
      </c>
      <c r="F7733" s="9" t="str">
        <f>IF(DADOS!E7733="","",DADOS!E7733)</f>
        <v/>
      </c>
      <c r="G7733" s="9" t="str">
        <f>IF(DADOS!F7733="","",DADOS!F7733)</f>
        <v/>
      </c>
      <c r="K7733" s="6" t="str">
        <f t="shared" si="605"/>
        <v/>
      </c>
      <c r="L7733" s="7" t="str">
        <f t="shared" si="606"/>
        <v/>
      </c>
      <c r="M7733" s="7" t="str">
        <f t="shared" si="603"/>
        <v/>
      </c>
      <c r="N7733" s="7" t="str">
        <f t="shared" si="607"/>
        <v/>
      </c>
      <c r="O7733" s="8"/>
      <c r="P7733" s="26"/>
      <c r="S7733" s="10" t="str">
        <f t="shared" si="604"/>
        <v/>
      </c>
    </row>
    <row r="7734" spans="5:19" x14ac:dyDescent="0.3">
      <c r="E7734" s="9" t="str">
        <f>IF(DADOS!C7734="","",DADOS!C7734)</f>
        <v/>
      </c>
      <c r="F7734" s="9" t="str">
        <f>IF(DADOS!E7734="","",DADOS!E7734)</f>
        <v/>
      </c>
      <c r="G7734" s="9" t="str">
        <f>IF(DADOS!F7734="","",DADOS!F7734)</f>
        <v/>
      </c>
      <c r="K7734" s="6" t="str">
        <f t="shared" si="605"/>
        <v/>
      </c>
      <c r="L7734" s="7" t="str">
        <f t="shared" si="606"/>
        <v/>
      </c>
      <c r="M7734" s="7" t="str">
        <f t="shared" si="603"/>
        <v/>
      </c>
      <c r="N7734" s="7" t="str">
        <f t="shared" si="607"/>
        <v/>
      </c>
      <c r="O7734" s="8"/>
      <c r="P7734" s="26"/>
      <c r="S7734" s="10" t="str">
        <f t="shared" si="604"/>
        <v/>
      </c>
    </row>
    <row r="7735" spans="5:19" x14ac:dyDescent="0.3">
      <c r="E7735" s="9" t="str">
        <f>IF(DADOS!C7735="","",DADOS!C7735)</f>
        <v/>
      </c>
      <c r="F7735" s="9" t="str">
        <f>IF(DADOS!E7735="","",DADOS!E7735)</f>
        <v/>
      </c>
      <c r="G7735" s="9" t="str">
        <f>IF(DADOS!F7735="","",DADOS!F7735)</f>
        <v/>
      </c>
      <c r="K7735" s="6" t="str">
        <f t="shared" si="605"/>
        <v/>
      </c>
      <c r="L7735" s="7" t="str">
        <f t="shared" si="606"/>
        <v/>
      </c>
      <c r="M7735" s="7" t="str">
        <f t="shared" si="603"/>
        <v/>
      </c>
      <c r="N7735" s="7" t="str">
        <f t="shared" si="607"/>
        <v/>
      </c>
      <c r="O7735" s="8"/>
      <c r="P7735" s="26"/>
      <c r="S7735" s="10" t="str">
        <f t="shared" si="604"/>
        <v/>
      </c>
    </row>
    <row r="7736" spans="5:19" x14ac:dyDescent="0.3">
      <c r="E7736" s="9" t="str">
        <f>IF(DADOS!C7736="","",DADOS!C7736)</f>
        <v/>
      </c>
      <c r="F7736" s="9" t="str">
        <f>IF(DADOS!E7736="","",DADOS!E7736)</f>
        <v/>
      </c>
      <c r="G7736" s="9" t="str">
        <f>IF(DADOS!F7736="","",DADOS!F7736)</f>
        <v/>
      </c>
      <c r="K7736" s="6" t="str">
        <f t="shared" si="605"/>
        <v/>
      </c>
      <c r="L7736" s="7" t="str">
        <f t="shared" si="606"/>
        <v/>
      </c>
      <c r="M7736" s="7" t="str">
        <f t="shared" si="603"/>
        <v/>
      </c>
      <c r="N7736" s="7" t="str">
        <f t="shared" si="607"/>
        <v/>
      </c>
      <c r="O7736" s="8"/>
      <c r="P7736" s="26"/>
      <c r="S7736" s="10" t="str">
        <f t="shared" si="604"/>
        <v/>
      </c>
    </row>
    <row r="7737" spans="5:19" x14ac:dyDescent="0.3">
      <c r="E7737" s="9" t="str">
        <f>IF(DADOS!C7737="","",DADOS!C7737)</f>
        <v/>
      </c>
      <c r="F7737" s="9" t="str">
        <f>IF(DADOS!E7737="","",DADOS!E7737)</f>
        <v/>
      </c>
      <c r="G7737" s="9" t="str">
        <f>IF(DADOS!F7737="","",DADOS!F7737)</f>
        <v/>
      </c>
      <c r="K7737" s="6" t="str">
        <f t="shared" si="605"/>
        <v/>
      </c>
      <c r="L7737" s="7" t="str">
        <f t="shared" si="606"/>
        <v/>
      </c>
      <c r="M7737" s="7" t="str">
        <f t="shared" si="603"/>
        <v/>
      </c>
      <c r="N7737" s="7" t="str">
        <f t="shared" si="607"/>
        <v/>
      </c>
      <c r="O7737" s="8"/>
      <c r="P7737" s="26"/>
      <c r="S7737" s="10" t="str">
        <f t="shared" si="604"/>
        <v/>
      </c>
    </row>
    <row r="7738" spans="5:19" x14ac:dyDescent="0.3">
      <c r="E7738" s="9" t="str">
        <f>IF(DADOS!C7738="","",DADOS!C7738)</f>
        <v/>
      </c>
      <c r="F7738" s="9" t="str">
        <f>IF(DADOS!E7738="","",DADOS!E7738)</f>
        <v/>
      </c>
      <c r="G7738" s="9" t="str">
        <f>IF(DADOS!F7738="","",DADOS!F7738)</f>
        <v/>
      </c>
      <c r="K7738" s="6" t="str">
        <f t="shared" si="605"/>
        <v/>
      </c>
      <c r="L7738" s="7" t="str">
        <f t="shared" si="606"/>
        <v/>
      </c>
      <c r="M7738" s="7" t="str">
        <f t="shared" si="603"/>
        <v/>
      </c>
      <c r="N7738" s="7" t="str">
        <f t="shared" si="607"/>
        <v/>
      </c>
      <c r="O7738" s="8"/>
      <c r="P7738" s="26"/>
      <c r="S7738" s="10" t="str">
        <f t="shared" si="604"/>
        <v/>
      </c>
    </row>
    <row r="7739" spans="5:19" x14ac:dyDescent="0.3">
      <c r="E7739" s="9" t="str">
        <f>IF(DADOS!C7739="","",DADOS!C7739)</f>
        <v/>
      </c>
      <c r="F7739" s="9" t="str">
        <f>IF(DADOS!E7739="","",DADOS!E7739)</f>
        <v/>
      </c>
      <c r="G7739" s="9" t="str">
        <f>IF(DADOS!F7739="","",DADOS!F7739)</f>
        <v/>
      </c>
      <c r="K7739" s="6" t="str">
        <f t="shared" si="605"/>
        <v/>
      </c>
      <c r="L7739" s="7" t="str">
        <f t="shared" si="606"/>
        <v/>
      </c>
      <c r="M7739" s="7" t="str">
        <f t="shared" si="603"/>
        <v/>
      </c>
      <c r="N7739" s="7" t="str">
        <f t="shared" si="607"/>
        <v/>
      </c>
      <c r="O7739" s="8"/>
      <c r="P7739" s="26"/>
      <c r="S7739" s="10" t="str">
        <f t="shared" si="604"/>
        <v/>
      </c>
    </row>
    <row r="7740" spans="5:19" x14ac:dyDescent="0.3">
      <c r="E7740" s="9" t="str">
        <f>IF(DADOS!C7740="","",DADOS!C7740)</f>
        <v/>
      </c>
      <c r="F7740" s="9" t="str">
        <f>IF(DADOS!E7740="","",DADOS!E7740)</f>
        <v/>
      </c>
      <c r="G7740" s="9" t="str">
        <f>IF(DADOS!F7740="","",DADOS!F7740)</f>
        <v/>
      </c>
      <c r="K7740" s="6" t="str">
        <f t="shared" si="605"/>
        <v/>
      </c>
      <c r="L7740" s="7" t="str">
        <f t="shared" si="606"/>
        <v/>
      </c>
      <c r="M7740" s="7" t="str">
        <f t="shared" si="603"/>
        <v/>
      </c>
      <c r="N7740" s="7" t="str">
        <f t="shared" si="607"/>
        <v/>
      </c>
      <c r="O7740" s="8"/>
      <c r="P7740" s="26"/>
      <c r="S7740" s="10" t="str">
        <f t="shared" si="604"/>
        <v/>
      </c>
    </row>
    <row r="7741" spans="5:19" x14ac:dyDescent="0.3">
      <c r="E7741" s="9" t="str">
        <f>IF(DADOS!C7741="","",DADOS!C7741)</f>
        <v/>
      </c>
      <c r="F7741" s="9" t="str">
        <f>IF(DADOS!E7741="","",DADOS!E7741)</f>
        <v/>
      </c>
      <c r="G7741" s="9" t="str">
        <f>IF(DADOS!F7741="","",DADOS!F7741)</f>
        <v/>
      </c>
      <c r="K7741" s="6" t="str">
        <f t="shared" si="605"/>
        <v/>
      </c>
      <c r="L7741" s="7" t="str">
        <f t="shared" si="606"/>
        <v/>
      </c>
      <c r="M7741" s="7" t="str">
        <f t="shared" si="603"/>
        <v/>
      </c>
      <c r="N7741" s="7" t="str">
        <f t="shared" si="607"/>
        <v/>
      </c>
      <c r="O7741" s="8"/>
      <c r="P7741" s="26"/>
      <c r="S7741" s="10" t="str">
        <f t="shared" si="604"/>
        <v/>
      </c>
    </row>
    <row r="7742" spans="5:19" x14ac:dyDescent="0.3">
      <c r="E7742" s="9" t="str">
        <f>IF(DADOS!C7742="","",DADOS!C7742)</f>
        <v/>
      </c>
      <c r="F7742" s="9" t="str">
        <f>IF(DADOS!E7742="","",DADOS!E7742)</f>
        <v/>
      </c>
      <c r="G7742" s="9" t="str">
        <f>IF(DADOS!F7742="","",DADOS!F7742)</f>
        <v/>
      </c>
      <c r="K7742" s="6" t="str">
        <f t="shared" si="605"/>
        <v/>
      </c>
      <c r="L7742" s="7" t="str">
        <f t="shared" si="606"/>
        <v/>
      </c>
      <c r="M7742" s="7" t="str">
        <f t="shared" si="603"/>
        <v/>
      </c>
      <c r="N7742" s="7" t="str">
        <f t="shared" si="607"/>
        <v/>
      </c>
      <c r="O7742" s="8"/>
      <c r="P7742" s="26"/>
      <c r="S7742" s="10" t="str">
        <f t="shared" si="604"/>
        <v/>
      </c>
    </row>
    <row r="7743" spans="5:19" x14ac:dyDescent="0.3">
      <c r="E7743" s="9" t="str">
        <f>IF(DADOS!C7743="","",DADOS!C7743)</f>
        <v/>
      </c>
      <c r="F7743" s="9" t="str">
        <f>IF(DADOS!E7743="","",DADOS!E7743)</f>
        <v/>
      </c>
      <c r="G7743" s="9" t="str">
        <f>IF(DADOS!F7743="","",DADOS!F7743)</f>
        <v/>
      </c>
      <c r="K7743" s="6" t="str">
        <f t="shared" si="605"/>
        <v/>
      </c>
      <c r="L7743" s="7" t="str">
        <f t="shared" si="606"/>
        <v/>
      </c>
      <c r="M7743" s="7" t="str">
        <f t="shared" si="603"/>
        <v/>
      </c>
      <c r="N7743" s="7" t="str">
        <f t="shared" si="607"/>
        <v/>
      </c>
      <c r="O7743" s="8"/>
      <c r="P7743" s="26"/>
      <c r="S7743" s="10" t="str">
        <f t="shared" si="604"/>
        <v/>
      </c>
    </row>
    <row r="7744" spans="5:19" x14ac:dyDescent="0.3">
      <c r="E7744" s="9" t="str">
        <f>IF(DADOS!C7744="","",DADOS!C7744)</f>
        <v/>
      </c>
      <c r="F7744" s="9" t="str">
        <f>IF(DADOS!E7744="","",DADOS!E7744)</f>
        <v/>
      </c>
      <c r="G7744" s="9" t="str">
        <f>IF(DADOS!F7744="","",DADOS!F7744)</f>
        <v/>
      </c>
      <c r="K7744" s="6" t="str">
        <f t="shared" si="605"/>
        <v/>
      </c>
      <c r="L7744" s="7" t="str">
        <f t="shared" si="606"/>
        <v/>
      </c>
      <c r="M7744" s="7" t="str">
        <f t="shared" si="603"/>
        <v/>
      </c>
      <c r="N7744" s="7" t="str">
        <f t="shared" si="607"/>
        <v/>
      </c>
      <c r="O7744" s="8"/>
      <c r="P7744" s="26"/>
      <c r="S7744" s="10" t="str">
        <f t="shared" si="604"/>
        <v/>
      </c>
    </row>
    <row r="7745" spans="5:19" x14ac:dyDescent="0.3">
      <c r="E7745" s="9" t="str">
        <f>IF(DADOS!C7745="","",DADOS!C7745)</f>
        <v/>
      </c>
      <c r="F7745" s="9" t="str">
        <f>IF(DADOS!E7745="","",DADOS!E7745)</f>
        <v/>
      </c>
      <c r="G7745" s="9" t="str">
        <f>IF(DADOS!F7745="","",DADOS!F7745)</f>
        <v/>
      </c>
      <c r="K7745" s="6" t="str">
        <f t="shared" si="605"/>
        <v/>
      </c>
      <c r="L7745" s="7" t="str">
        <f t="shared" si="606"/>
        <v/>
      </c>
      <c r="M7745" s="7" t="str">
        <f t="shared" si="603"/>
        <v/>
      </c>
      <c r="N7745" s="7" t="str">
        <f t="shared" si="607"/>
        <v/>
      </c>
      <c r="O7745" s="8"/>
      <c r="P7745" s="26"/>
      <c r="S7745" s="10" t="str">
        <f t="shared" si="604"/>
        <v/>
      </c>
    </row>
    <row r="7746" spans="5:19" x14ac:dyDescent="0.3">
      <c r="E7746" s="9" t="str">
        <f>IF(DADOS!C7746="","",DADOS!C7746)</f>
        <v/>
      </c>
      <c r="F7746" s="9" t="str">
        <f>IF(DADOS!E7746="","",DADOS!E7746)</f>
        <v/>
      </c>
      <c r="G7746" s="9" t="str">
        <f>IF(DADOS!F7746="","",DADOS!F7746)</f>
        <v/>
      </c>
      <c r="K7746" s="6" t="str">
        <f t="shared" si="605"/>
        <v/>
      </c>
      <c r="L7746" s="7" t="str">
        <f t="shared" si="606"/>
        <v/>
      </c>
      <c r="M7746" s="7" t="str">
        <f t="shared" si="603"/>
        <v/>
      </c>
      <c r="N7746" s="7" t="str">
        <f t="shared" si="607"/>
        <v/>
      </c>
      <c r="O7746" s="8"/>
      <c r="P7746" s="26"/>
      <c r="S7746" s="10" t="str">
        <f t="shared" si="604"/>
        <v/>
      </c>
    </row>
    <row r="7747" spans="5:19" x14ac:dyDescent="0.3">
      <c r="E7747" s="9" t="str">
        <f>IF(DADOS!C7747="","",DADOS!C7747)</f>
        <v/>
      </c>
      <c r="F7747" s="9" t="str">
        <f>IF(DADOS!E7747="","",DADOS!E7747)</f>
        <v/>
      </c>
      <c r="G7747" s="9" t="str">
        <f>IF(DADOS!F7747="","",DADOS!F7747)</f>
        <v/>
      </c>
      <c r="K7747" s="6" t="str">
        <f t="shared" si="605"/>
        <v/>
      </c>
      <c r="L7747" s="7" t="str">
        <f t="shared" si="606"/>
        <v/>
      </c>
      <c r="M7747" s="7" t="str">
        <f t="shared" ref="M7747:M7810" si="608">IF(L7747="","",L7747*G7747)</f>
        <v/>
      </c>
      <c r="N7747" s="7" t="str">
        <f t="shared" si="607"/>
        <v/>
      </c>
      <c r="O7747" s="8"/>
      <c r="P7747" s="26"/>
      <c r="S7747" s="10" t="str">
        <f t="shared" ref="S7747:S7810" si="609">IF(R7747="","",SUMIFS($N$3:$N$10000,$E$3:$E$10000,R7747))</f>
        <v/>
      </c>
    </row>
    <row r="7748" spans="5:19" x14ac:dyDescent="0.3">
      <c r="E7748" s="9" t="str">
        <f>IF(DADOS!C7748="","",DADOS!C7748)</f>
        <v/>
      </c>
      <c r="F7748" s="9" t="str">
        <f>IF(DADOS!E7748="","",DADOS!E7748)</f>
        <v/>
      </c>
      <c r="G7748" s="9" t="str">
        <f>IF(DADOS!F7748="","",DADOS!F7748)</f>
        <v/>
      </c>
      <c r="K7748" s="6" t="str">
        <f t="shared" ref="K7748:K7811" si="610">IF(F7748="","",F7748/PI())</f>
        <v/>
      </c>
      <c r="L7748" s="7" t="str">
        <f t="shared" ref="L7748:L7811" si="611">IF(K7748="","",(PI()*K7748^2)/40000)</f>
        <v/>
      </c>
      <c r="M7748" s="7" t="str">
        <f t="shared" si="608"/>
        <v/>
      </c>
      <c r="N7748" s="7" t="str">
        <f t="shared" ref="N7748:N7811" si="612">IF(M7748="","",M7748*N$1)</f>
        <v/>
      </c>
      <c r="O7748" s="8"/>
      <c r="P7748" s="26"/>
      <c r="S7748" s="10" t="str">
        <f t="shared" si="609"/>
        <v/>
      </c>
    </row>
    <row r="7749" spans="5:19" x14ac:dyDescent="0.3">
      <c r="E7749" s="9" t="str">
        <f>IF(DADOS!C7749="","",DADOS!C7749)</f>
        <v/>
      </c>
      <c r="F7749" s="9" t="str">
        <f>IF(DADOS!E7749="","",DADOS!E7749)</f>
        <v/>
      </c>
      <c r="G7749" s="9" t="str">
        <f>IF(DADOS!F7749="","",DADOS!F7749)</f>
        <v/>
      </c>
      <c r="K7749" s="6" t="str">
        <f t="shared" si="610"/>
        <v/>
      </c>
      <c r="L7749" s="7" t="str">
        <f t="shared" si="611"/>
        <v/>
      </c>
      <c r="M7749" s="7" t="str">
        <f t="shared" si="608"/>
        <v/>
      </c>
      <c r="N7749" s="7" t="str">
        <f t="shared" si="612"/>
        <v/>
      </c>
      <c r="O7749" s="8"/>
      <c r="P7749" s="26"/>
      <c r="S7749" s="10" t="str">
        <f t="shared" si="609"/>
        <v/>
      </c>
    </row>
    <row r="7750" spans="5:19" x14ac:dyDescent="0.3">
      <c r="E7750" s="9" t="str">
        <f>IF(DADOS!C7750="","",DADOS!C7750)</f>
        <v/>
      </c>
      <c r="F7750" s="9" t="str">
        <f>IF(DADOS!E7750="","",DADOS!E7750)</f>
        <v/>
      </c>
      <c r="G7750" s="9" t="str">
        <f>IF(DADOS!F7750="","",DADOS!F7750)</f>
        <v/>
      </c>
      <c r="K7750" s="6" t="str">
        <f t="shared" si="610"/>
        <v/>
      </c>
      <c r="L7750" s="7" t="str">
        <f t="shared" si="611"/>
        <v/>
      </c>
      <c r="M7750" s="7" t="str">
        <f t="shared" si="608"/>
        <v/>
      </c>
      <c r="N7750" s="7" t="str">
        <f t="shared" si="612"/>
        <v/>
      </c>
      <c r="O7750" s="8"/>
      <c r="P7750" s="26"/>
      <c r="S7750" s="10" t="str">
        <f t="shared" si="609"/>
        <v/>
      </c>
    </row>
    <row r="7751" spans="5:19" x14ac:dyDescent="0.3">
      <c r="E7751" s="9" t="str">
        <f>IF(DADOS!C7751="","",DADOS!C7751)</f>
        <v/>
      </c>
      <c r="F7751" s="9" t="str">
        <f>IF(DADOS!E7751="","",DADOS!E7751)</f>
        <v/>
      </c>
      <c r="G7751" s="9" t="str">
        <f>IF(DADOS!F7751="","",DADOS!F7751)</f>
        <v/>
      </c>
      <c r="K7751" s="6" t="str">
        <f t="shared" si="610"/>
        <v/>
      </c>
      <c r="L7751" s="7" t="str">
        <f t="shared" si="611"/>
        <v/>
      </c>
      <c r="M7751" s="7" t="str">
        <f t="shared" si="608"/>
        <v/>
      </c>
      <c r="N7751" s="7" t="str">
        <f t="shared" si="612"/>
        <v/>
      </c>
      <c r="O7751" s="8"/>
      <c r="P7751" s="26"/>
      <c r="S7751" s="10" t="str">
        <f t="shared" si="609"/>
        <v/>
      </c>
    </row>
    <row r="7752" spans="5:19" x14ac:dyDescent="0.3">
      <c r="E7752" s="9" t="str">
        <f>IF(DADOS!C7752="","",DADOS!C7752)</f>
        <v/>
      </c>
      <c r="F7752" s="9" t="str">
        <f>IF(DADOS!E7752="","",DADOS!E7752)</f>
        <v/>
      </c>
      <c r="G7752" s="9" t="str">
        <f>IF(DADOS!F7752="","",DADOS!F7752)</f>
        <v/>
      </c>
      <c r="K7752" s="6" t="str">
        <f t="shared" si="610"/>
        <v/>
      </c>
      <c r="L7752" s="7" t="str">
        <f t="shared" si="611"/>
        <v/>
      </c>
      <c r="M7752" s="7" t="str">
        <f t="shared" si="608"/>
        <v/>
      </c>
      <c r="N7752" s="7" t="str">
        <f t="shared" si="612"/>
        <v/>
      </c>
      <c r="O7752" s="8"/>
      <c r="P7752" s="26"/>
      <c r="S7752" s="10" t="str">
        <f t="shared" si="609"/>
        <v/>
      </c>
    </row>
    <row r="7753" spans="5:19" x14ac:dyDescent="0.3">
      <c r="E7753" s="9" t="str">
        <f>IF(DADOS!C7753="","",DADOS!C7753)</f>
        <v/>
      </c>
      <c r="F7753" s="9" t="str">
        <f>IF(DADOS!E7753="","",DADOS!E7753)</f>
        <v/>
      </c>
      <c r="G7753" s="9" t="str">
        <f>IF(DADOS!F7753="","",DADOS!F7753)</f>
        <v/>
      </c>
      <c r="K7753" s="6" t="str">
        <f t="shared" si="610"/>
        <v/>
      </c>
      <c r="L7753" s="7" t="str">
        <f t="shared" si="611"/>
        <v/>
      </c>
      <c r="M7753" s="7" t="str">
        <f t="shared" si="608"/>
        <v/>
      </c>
      <c r="N7753" s="7" t="str">
        <f t="shared" si="612"/>
        <v/>
      </c>
      <c r="O7753" s="8"/>
      <c r="P7753" s="26"/>
      <c r="S7753" s="10" t="str">
        <f t="shared" si="609"/>
        <v/>
      </c>
    </row>
    <row r="7754" spans="5:19" x14ac:dyDescent="0.3">
      <c r="E7754" s="9" t="str">
        <f>IF(DADOS!C7754="","",DADOS!C7754)</f>
        <v/>
      </c>
      <c r="F7754" s="9" t="str">
        <f>IF(DADOS!E7754="","",DADOS!E7754)</f>
        <v/>
      </c>
      <c r="G7754" s="9" t="str">
        <f>IF(DADOS!F7754="","",DADOS!F7754)</f>
        <v/>
      </c>
      <c r="K7754" s="6" t="str">
        <f t="shared" si="610"/>
        <v/>
      </c>
      <c r="L7754" s="7" t="str">
        <f t="shared" si="611"/>
        <v/>
      </c>
      <c r="M7754" s="7" t="str">
        <f t="shared" si="608"/>
        <v/>
      </c>
      <c r="N7754" s="7" t="str">
        <f t="shared" si="612"/>
        <v/>
      </c>
      <c r="O7754" s="8"/>
      <c r="P7754" s="26"/>
      <c r="S7754" s="10" t="str">
        <f t="shared" si="609"/>
        <v/>
      </c>
    </row>
    <row r="7755" spans="5:19" x14ac:dyDescent="0.3">
      <c r="E7755" s="9" t="str">
        <f>IF(DADOS!C7755="","",DADOS!C7755)</f>
        <v/>
      </c>
      <c r="F7755" s="9" t="str">
        <f>IF(DADOS!E7755="","",DADOS!E7755)</f>
        <v/>
      </c>
      <c r="G7755" s="9" t="str">
        <f>IF(DADOS!F7755="","",DADOS!F7755)</f>
        <v/>
      </c>
      <c r="K7755" s="6" t="str">
        <f t="shared" si="610"/>
        <v/>
      </c>
      <c r="L7755" s="7" t="str">
        <f t="shared" si="611"/>
        <v/>
      </c>
      <c r="M7755" s="7" t="str">
        <f t="shared" si="608"/>
        <v/>
      </c>
      <c r="N7755" s="7" t="str">
        <f t="shared" si="612"/>
        <v/>
      </c>
      <c r="O7755" s="8"/>
      <c r="P7755" s="26"/>
      <c r="S7755" s="10" t="str">
        <f t="shared" si="609"/>
        <v/>
      </c>
    </row>
    <row r="7756" spans="5:19" x14ac:dyDescent="0.3">
      <c r="E7756" s="9" t="str">
        <f>IF(DADOS!C7756="","",DADOS!C7756)</f>
        <v/>
      </c>
      <c r="F7756" s="9" t="str">
        <f>IF(DADOS!E7756="","",DADOS!E7756)</f>
        <v/>
      </c>
      <c r="G7756" s="9" t="str">
        <f>IF(DADOS!F7756="","",DADOS!F7756)</f>
        <v/>
      </c>
      <c r="K7756" s="6" t="str">
        <f t="shared" si="610"/>
        <v/>
      </c>
      <c r="L7756" s="7" t="str">
        <f t="shared" si="611"/>
        <v/>
      </c>
      <c r="M7756" s="7" t="str">
        <f t="shared" si="608"/>
        <v/>
      </c>
      <c r="N7756" s="7" t="str">
        <f t="shared" si="612"/>
        <v/>
      </c>
      <c r="O7756" s="8"/>
      <c r="P7756" s="26"/>
      <c r="S7756" s="10" t="str">
        <f t="shared" si="609"/>
        <v/>
      </c>
    </row>
    <row r="7757" spans="5:19" x14ac:dyDescent="0.3">
      <c r="E7757" s="9" t="str">
        <f>IF(DADOS!C7757="","",DADOS!C7757)</f>
        <v/>
      </c>
      <c r="F7757" s="9" t="str">
        <f>IF(DADOS!E7757="","",DADOS!E7757)</f>
        <v/>
      </c>
      <c r="G7757" s="9" t="str">
        <f>IF(DADOS!F7757="","",DADOS!F7757)</f>
        <v/>
      </c>
      <c r="K7757" s="6" t="str">
        <f t="shared" si="610"/>
        <v/>
      </c>
      <c r="L7757" s="7" t="str">
        <f t="shared" si="611"/>
        <v/>
      </c>
      <c r="M7757" s="7" t="str">
        <f t="shared" si="608"/>
        <v/>
      </c>
      <c r="N7757" s="7" t="str">
        <f t="shared" si="612"/>
        <v/>
      </c>
      <c r="O7757" s="8"/>
      <c r="P7757" s="26"/>
      <c r="S7757" s="10" t="str">
        <f t="shared" si="609"/>
        <v/>
      </c>
    </row>
    <row r="7758" spans="5:19" x14ac:dyDescent="0.3">
      <c r="E7758" s="9" t="str">
        <f>IF(DADOS!C7758="","",DADOS!C7758)</f>
        <v/>
      </c>
      <c r="F7758" s="9" t="str">
        <f>IF(DADOS!E7758="","",DADOS!E7758)</f>
        <v/>
      </c>
      <c r="G7758" s="9" t="str">
        <f>IF(DADOS!F7758="","",DADOS!F7758)</f>
        <v/>
      </c>
      <c r="K7758" s="6" t="str">
        <f t="shared" si="610"/>
        <v/>
      </c>
      <c r="L7758" s="7" t="str">
        <f t="shared" si="611"/>
        <v/>
      </c>
      <c r="M7758" s="7" t="str">
        <f t="shared" si="608"/>
        <v/>
      </c>
      <c r="N7758" s="7" t="str">
        <f t="shared" si="612"/>
        <v/>
      </c>
      <c r="O7758" s="8"/>
      <c r="P7758" s="26"/>
      <c r="S7758" s="10" t="str">
        <f t="shared" si="609"/>
        <v/>
      </c>
    </row>
    <row r="7759" spans="5:19" x14ac:dyDescent="0.3">
      <c r="E7759" s="9" t="str">
        <f>IF(DADOS!C7759="","",DADOS!C7759)</f>
        <v/>
      </c>
      <c r="F7759" s="9" t="str">
        <f>IF(DADOS!E7759="","",DADOS!E7759)</f>
        <v/>
      </c>
      <c r="G7759" s="9" t="str">
        <f>IF(DADOS!F7759="","",DADOS!F7759)</f>
        <v/>
      </c>
      <c r="K7759" s="6" t="str">
        <f t="shared" si="610"/>
        <v/>
      </c>
      <c r="L7759" s="7" t="str">
        <f t="shared" si="611"/>
        <v/>
      </c>
      <c r="M7759" s="7" t="str">
        <f t="shared" si="608"/>
        <v/>
      </c>
      <c r="N7759" s="7" t="str">
        <f t="shared" si="612"/>
        <v/>
      </c>
      <c r="O7759" s="8"/>
      <c r="P7759" s="26"/>
      <c r="S7759" s="10" t="str">
        <f t="shared" si="609"/>
        <v/>
      </c>
    </row>
    <row r="7760" spans="5:19" x14ac:dyDescent="0.3">
      <c r="E7760" s="9" t="str">
        <f>IF(DADOS!C7760="","",DADOS!C7760)</f>
        <v/>
      </c>
      <c r="F7760" s="9" t="str">
        <f>IF(DADOS!E7760="","",DADOS!E7760)</f>
        <v/>
      </c>
      <c r="G7760" s="9" t="str">
        <f>IF(DADOS!F7760="","",DADOS!F7760)</f>
        <v/>
      </c>
      <c r="K7760" s="6" t="str">
        <f t="shared" si="610"/>
        <v/>
      </c>
      <c r="L7760" s="7" t="str">
        <f t="shared" si="611"/>
        <v/>
      </c>
      <c r="M7760" s="7" t="str">
        <f t="shared" si="608"/>
        <v/>
      </c>
      <c r="N7760" s="7" t="str">
        <f t="shared" si="612"/>
        <v/>
      </c>
      <c r="O7760" s="8"/>
      <c r="P7760" s="26"/>
      <c r="S7760" s="10" t="str">
        <f t="shared" si="609"/>
        <v/>
      </c>
    </row>
    <row r="7761" spans="5:19" x14ac:dyDescent="0.3">
      <c r="E7761" s="9" t="str">
        <f>IF(DADOS!C7761="","",DADOS!C7761)</f>
        <v/>
      </c>
      <c r="F7761" s="9" t="str">
        <f>IF(DADOS!E7761="","",DADOS!E7761)</f>
        <v/>
      </c>
      <c r="G7761" s="9" t="str">
        <f>IF(DADOS!F7761="","",DADOS!F7761)</f>
        <v/>
      </c>
      <c r="K7761" s="6" t="str">
        <f t="shared" si="610"/>
        <v/>
      </c>
      <c r="L7761" s="7" t="str">
        <f t="shared" si="611"/>
        <v/>
      </c>
      <c r="M7761" s="7" t="str">
        <f t="shared" si="608"/>
        <v/>
      </c>
      <c r="N7761" s="7" t="str">
        <f t="shared" si="612"/>
        <v/>
      </c>
      <c r="O7761" s="8"/>
      <c r="P7761" s="26"/>
      <c r="S7761" s="10" t="str">
        <f t="shared" si="609"/>
        <v/>
      </c>
    </row>
    <row r="7762" spans="5:19" x14ac:dyDescent="0.3">
      <c r="E7762" s="9" t="str">
        <f>IF(DADOS!C7762="","",DADOS!C7762)</f>
        <v/>
      </c>
      <c r="F7762" s="9" t="str">
        <f>IF(DADOS!E7762="","",DADOS!E7762)</f>
        <v/>
      </c>
      <c r="G7762" s="9" t="str">
        <f>IF(DADOS!F7762="","",DADOS!F7762)</f>
        <v/>
      </c>
      <c r="K7762" s="6" t="str">
        <f t="shared" si="610"/>
        <v/>
      </c>
      <c r="L7762" s="7" t="str">
        <f t="shared" si="611"/>
        <v/>
      </c>
      <c r="M7762" s="7" t="str">
        <f t="shared" si="608"/>
        <v/>
      </c>
      <c r="N7762" s="7" t="str">
        <f t="shared" si="612"/>
        <v/>
      </c>
      <c r="O7762" s="8"/>
      <c r="P7762" s="26"/>
      <c r="S7762" s="10" t="str">
        <f t="shared" si="609"/>
        <v/>
      </c>
    </row>
    <row r="7763" spans="5:19" x14ac:dyDescent="0.3">
      <c r="E7763" s="9" t="str">
        <f>IF(DADOS!C7763="","",DADOS!C7763)</f>
        <v/>
      </c>
      <c r="F7763" s="9" t="str">
        <f>IF(DADOS!E7763="","",DADOS!E7763)</f>
        <v/>
      </c>
      <c r="G7763" s="9" t="str">
        <f>IF(DADOS!F7763="","",DADOS!F7763)</f>
        <v/>
      </c>
      <c r="K7763" s="6" t="str">
        <f t="shared" si="610"/>
        <v/>
      </c>
      <c r="L7763" s="7" t="str">
        <f t="shared" si="611"/>
        <v/>
      </c>
      <c r="M7763" s="7" t="str">
        <f t="shared" si="608"/>
        <v/>
      </c>
      <c r="N7763" s="7" t="str">
        <f t="shared" si="612"/>
        <v/>
      </c>
      <c r="O7763" s="8"/>
      <c r="P7763" s="26"/>
      <c r="S7763" s="10" t="str">
        <f t="shared" si="609"/>
        <v/>
      </c>
    </row>
    <row r="7764" spans="5:19" x14ac:dyDescent="0.3">
      <c r="E7764" s="9" t="str">
        <f>IF(DADOS!C7764="","",DADOS!C7764)</f>
        <v/>
      </c>
      <c r="F7764" s="9" t="str">
        <f>IF(DADOS!E7764="","",DADOS!E7764)</f>
        <v/>
      </c>
      <c r="G7764" s="9" t="str">
        <f>IF(DADOS!F7764="","",DADOS!F7764)</f>
        <v/>
      </c>
      <c r="K7764" s="6" t="str">
        <f t="shared" si="610"/>
        <v/>
      </c>
      <c r="L7764" s="7" t="str">
        <f t="shared" si="611"/>
        <v/>
      </c>
      <c r="M7764" s="7" t="str">
        <f t="shared" si="608"/>
        <v/>
      </c>
      <c r="N7764" s="7" t="str">
        <f t="shared" si="612"/>
        <v/>
      </c>
      <c r="O7764" s="8"/>
      <c r="P7764" s="26"/>
      <c r="S7764" s="10" t="str">
        <f t="shared" si="609"/>
        <v/>
      </c>
    </row>
    <row r="7765" spans="5:19" x14ac:dyDescent="0.3">
      <c r="E7765" s="9" t="str">
        <f>IF(DADOS!C7765="","",DADOS!C7765)</f>
        <v/>
      </c>
      <c r="F7765" s="9" t="str">
        <f>IF(DADOS!E7765="","",DADOS!E7765)</f>
        <v/>
      </c>
      <c r="G7765" s="9" t="str">
        <f>IF(DADOS!F7765="","",DADOS!F7765)</f>
        <v/>
      </c>
      <c r="K7765" s="6" t="str">
        <f t="shared" si="610"/>
        <v/>
      </c>
      <c r="L7765" s="7" t="str">
        <f t="shared" si="611"/>
        <v/>
      </c>
      <c r="M7765" s="7" t="str">
        <f t="shared" si="608"/>
        <v/>
      </c>
      <c r="N7765" s="7" t="str">
        <f t="shared" si="612"/>
        <v/>
      </c>
      <c r="O7765" s="8"/>
      <c r="P7765" s="26"/>
      <c r="S7765" s="10" t="str">
        <f t="shared" si="609"/>
        <v/>
      </c>
    </row>
    <row r="7766" spans="5:19" x14ac:dyDescent="0.3">
      <c r="E7766" s="9" t="str">
        <f>IF(DADOS!C7766="","",DADOS!C7766)</f>
        <v/>
      </c>
      <c r="F7766" s="9" t="str">
        <f>IF(DADOS!E7766="","",DADOS!E7766)</f>
        <v/>
      </c>
      <c r="G7766" s="9" t="str">
        <f>IF(DADOS!F7766="","",DADOS!F7766)</f>
        <v/>
      </c>
      <c r="K7766" s="6" t="str">
        <f t="shared" si="610"/>
        <v/>
      </c>
      <c r="L7766" s="7" t="str">
        <f t="shared" si="611"/>
        <v/>
      </c>
      <c r="M7766" s="7" t="str">
        <f t="shared" si="608"/>
        <v/>
      </c>
      <c r="N7766" s="7" t="str">
        <f t="shared" si="612"/>
        <v/>
      </c>
      <c r="O7766" s="8"/>
      <c r="P7766" s="26"/>
      <c r="S7766" s="10" t="str">
        <f t="shared" si="609"/>
        <v/>
      </c>
    </row>
    <row r="7767" spans="5:19" x14ac:dyDescent="0.3">
      <c r="E7767" s="9" t="str">
        <f>IF(DADOS!C7767="","",DADOS!C7767)</f>
        <v/>
      </c>
      <c r="F7767" s="9" t="str">
        <f>IF(DADOS!E7767="","",DADOS!E7767)</f>
        <v/>
      </c>
      <c r="G7767" s="9" t="str">
        <f>IF(DADOS!F7767="","",DADOS!F7767)</f>
        <v/>
      </c>
      <c r="K7767" s="6" t="str">
        <f t="shared" si="610"/>
        <v/>
      </c>
      <c r="L7767" s="7" t="str">
        <f t="shared" si="611"/>
        <v/>
      </c>
      <c r="M7767" s="7" t="str">
        <f t="shared" si="608"/>
        <v/>
      </c>
      <c r="N7767" s="7" t="str">
        <f t="shared" si="612"/>
        <v/>
      </c>
      <c r="O7767" s="8"/>
      <c r="P7767" s="26"/>
      <c r="S7767" s="10" t="str">
        <f t="shared" si="609"/>
        <v/>
      </c>
    </row>
    <row r="7768" spans="5:19" x14ac:dyDescent="0.3">
      <c r="E7768" s="9" t="str">
        <f>IF(DADOS!C7768="","",DADOS!C7768)</f>
        <v/>
      </c>
      <c r="F7768" s="9" t="str">
        <f>IF(DADOS!E7768="","",DADOS!E7768)</f>
        <v/>
      </c>
      <c r="G7768" s="9" t="str">
        <f>IF(DADOS!F7768="","",DADOS!F7768)</f>
        <v/>
      </c>
      <c r="K7768" s="6" t="str">
        <f t="shared" si="610"/>
        <v/>
      </c>
      <c r="L7768" s="7" t="str">
        <f t="shared" si="611"/>
        <v/>
      </c>
      <c r="M7768" s="7" t="str">
        <f t="shared" si="608"/>
        <v/>
      </c>
      <c r="N7768" s="7" t="str">
        <f t="shared" si="612"/>
        <v/>
      </c>
      <c r="O7768" s="8"/>
      <c r="P7768" s="26"/>
      <c r="S7768" s="10" t="str">
        <f t="shared" si="609"/>
        <v/>
      </c>
    </row>
    <row r="7769" spans="5:19" x14ac:dyDescent="0.3">
      <c r="E7769" s="9" t="str">
        <f>IF(DADOS!C7769="","",DADOS!C7769)</f>
        <v/>
      </c>
      <c r="F7769" s="9" t="str">
        <f>IF(DADOS!E7769="","",DADOS!E7769)</f>
        <v/>
      </c>
      <c r="G7769" s="9" t="str">
        <f>IF(DADOS!F7769="","",DADOS!F7769)</f>
        <v/>
      </c>
      <c r="K7769" s="6" t="str">
        <f t="shared" si="610"/>
        <v/>
      </c>
      <c r="L7769" s="7" t="str">
        <f t="shared" si="611"/>
        <v/>
      </c>
      <c r="M7769" s="7" t="str">
        <f t="shared" si="608"/>
        <v/>
      </c>
      <c r="N7769" s="7" t="str">
        <f t="shared" si="612"/>
        <v/>
      </c>
      <c r="O7769" s="8"/>
      <c r="P7769" s="26"/>
      <c r="S7769" s="10" t="str">
        <f t="shared" si="609"/>
        <v/>
      </c>
    </row>
    <row r="7770" spans="5:19" x14ac:dyDescent="0.3">
      <c r="E7770" s="9" t="str">
        <f>IF(DADOS!C7770="","",DADOS!C7770)</f>
        <v/>
      </c>
      <c r="F7770" s="9" t="str">
        <f>IF(DADOS!E7770="","",DADOS!E7770)</f>
        <v/>
      </c>
      <c r="G7770" s="9" t="str">
        <f>IF(DADOS!F7770="","",DADOS!F7770)</f>
        <v/>
      </c>
      <c r="K7770" s="6" t="str">
        <f t="shared" si="610"/>
        <v/>
      </c>
      <c r="L7770" s="7" t="str">
        <f t="shared" si="611"/>
        <v/>
      </c>
      <c r="M7770" s="7" t="str">
        <f t="shared" si="608"/>
        <v/>
      </c>
      <c r="N7770" s="7" t="str">
        <f t="shared" si="612"/>
        <v/>
      </c>
      <c r="O7770" s="8"/>
      <c r="P7770" s="26"/>
      <c r="S7770" s="10" t="str">
        <f t="shared" si="609"/>
        <v/>
      </c>
    </row>
    <row r="7771" spans="5:19" x14ac:dyDescent="0.3">
      <c r="E7771" s="9" t="str">
        <f>IF(DADOS!C7771="","",DADOS!C7771)</f>
        <v/>
      </c>
      <c r="F7771" s="9" t="str">
        <f>IF(DADOS!E7771="","",DADOS!E7771)</f>
        <v/>
      </c>
      <c r="G7771" s="9" t="str">
        <f>IF(DADOS!F7771="","",DADOS!F7771)</f>
        <v/>
      </c>
      <c r="K7771" s="6" t="str">
        <f t="shared" si="610"/>
        <v/>
      </c>
      <c r="L7771" s="7" t="str">
        <f t="shared" si="611"/>
        <v/>
      </c>
      <c r="M7771" s="7" t="str">
        <f t="shared" si="608"/>
        <v/>
      </c>
      <c r="N7771" s="7" t="str">
        <f t="shared" si="612"/>
        <v/>
      </c>
      <c r="O7771" s="8"/>
      <c r="P7771" s="26"/>
      <c r="S7771" s="10" t="str">
        <f t="shared" si="609"/>
        <v/>
      </c>
    </row>
    <row r="7772" spans="5:19" x14ac:dyDescent="0.3">
      <c r="E7772" s="9" t="str">
        <f>IF(DADOS!C7772="","",DADOS!C7772)</f>
        <v/>
      </c>
      <c r="F7772" s="9" t="str">
        <f>IF(DADOS!E7772="","",DADOS!E7772)</f>
        <v/>
      </c>
      <c r="G7772" s="9" t="str">
        <f>IF(DADOS!F7772="","",DADOS!F7772)</f>
        <v/>
      </c>
      <c r="K7772" s="6" t="str">
        <f t="shared" si="610"/>
        <v/>
      </c>
      <c r="L7772" s="7" t="str">
        <f t="shared" si="611"/>
        <v/>
      </c>
      <c r="M7772" s="7" t="str">
        <f t="shared" si="608"/>
        <v/>
      </c>
      <c r="N7772" s="7" t="str">
        <f t="shared" si="612"/>
        <v/>
      </c>
      <c r="O7772" s="8"/>
      <c r="P7772" s="26"/>
      <c r="S7772" s="10" t="str">
        <f t="shared" si="609"/>
        <v/>
      </c>
    </row>
    <row r="7773" spans="5:19" x14ac:dyDescent="0.3">
      <c r="E7773" s="9" t="str">
        <f>IF(DADOS!C7773="","",DADOS!C7773)</f>
        <v/>
      </c>
      <c r="F7773" s="9" t="str">
        <f>IF(DADOS!E7773="","",DADOS!E7773)</f>
        <v/>
      </c>
      <c r="G7773" s="9" t="str">
        <f>IF(DADOS!F7773="","",DADOS!F7773)</f>
        <v/>
      </c>
      <c r="K7773" s="6" t="str">
        <f t="shared" si="610"/>
        <v/>
      </c>
      <c r="L7773" s="7" t="str">
        <f t="shared" si="611"/>
        <v/>
      </c>
      <c r="M7773" s="7" t="str">
        <f t="shared" si="608"/>
        <v/>
      </c>
      <c r="N7773" s="7" t="str">
        <f t="shared" si="612"/>
        <v/>
      </c>
      <c r="O7773" s="8"/>
      <c r="P7773" s="26"/>
      <c r="S7773" s="10" t="str">
        <f t="shared" si="609"/>
        <v/>
      </c>
    </row>
    <row r="7774" spans="5:19" x14ac:dyDescent="0.3">
      <c r="E7774" s="9" t="str">
        <f>IF(DADOS!C7774="","",DADOS!C7774)</f>
        <v/>
      </c>
      <c r="F7774" s="9" t="str">
        <f>IF(DADOS!E7774="","",DADOS!E7774)</f>
        <v/>
      </c>
      <c r="G7774" s="9" t="str">
        <f>IF(DADOS!F7774="","",DADOS!F7774)</f>
        <v/>
      </c>
      <c r="K7774" s="6" t="str">
        <f t="shared" si="610"/>
        <v/>
      </c>
      <c r="L7774" s="7" t="str">
        <f t="shared" si="611"/>
        <v/>
      </c>
      <c r="M7774" s="7" t="str">
        <f t="shared" si="608"/>
        <v/>
      </c>
      <c r="N7774" s="7" t="str">
        <f t="shared" si="612"/>
        <v/>
      </c>
      <c r="O7774" s="8"/>
      <c r="P7774" s="26"/>
      <c r="S7774" s="10" t="str">
        <f t="shared" si="609"/>
        <v/>
      </c>
    </row>
    <row r="7775" spans="5:19" x14ac:dyDescent="0.3">
      <c r="E7775" s="9" t="str">
        <f>IF(DADOS!C7775="","",DADOS!C7775)</f>
        <v/>
      </c>
      <c r="F7775" s="9" t="str">
        <f>IF(DADOS!E7775="","",DADOS!E7775)</f>
        <v/>
      </c>
      <c r="G7775" s="9" t="str">
        <f>IF(DADOS!F7775="","",DADOS!F7775)</f>
        <v/>
      </c>
      <c r="K7775" s="6" t="str">
        <f t="shared" si="610"/>
        <v/>
      </c>
      <c r="L7775" s="7" t="str">
        <f t="shared" si="611"/>
        <v/>
      </c>
      <c r="M7775" s="7" t="str">
        <f t="shared" si="608"/>
        <v/>
      </c>
      <c r="N7775" s="7" t="str">
        <f t="shared" si="612"/>
        <v/>
      </c>
      <c r="O7775" s="8"/>
      <c r="P7775" s="26"/>
      <c r="S7775" s="10" t="str">
        <f t="shared" si="609"/>
        <v/>
      </c>
    </row>
    <row r="7776" spans="5:19" x14ac:dyDescent="0.3">
      <c r="E7776" s="9" t="str">
        <f>IF(DADOS!C7776="","",DADOS!C7776)</f>
        <v/>
      </c>
      <c r="F7776" s="9" t="str">
        <f>IF(DADOS!E7776="","",DADOS!E7776)</f>
        <v/>
      </c>
      <c r="G7776" s="9" t="str">
        <f>IF(DADOS!F7776="","",DADOS!F7776)</f>
        <v/>
      </c>
      <c r="K7776" s="6" t="str">
        <f t="shared" si="610"/>
        <v/>
      </c>
      <c r="L7776" s="7" t="str">
        <f t="shared" si="611"/>
        <v/>
      </c>
      <c r="M7776" s="7" t="str">
        <f t="shared" si="608"/>
        <v/>
      </c>
      <c r="N7776" s="7" t="str">
        <f t="shared" si="612"/>
        <v/>
      </c>
      <c r="O7776" s="8"/>
      <c r="P7776" s="26"/>
      <c r="S7776" s="10" t="str">
        <f t="shared" si="609"/>
        <v/>
      </c>
    </row>
    <row r="7777" spans="5:19" x14ac:dyDescent="0.3">
      <c r="E7777" s="9" t="str">
        <f>IF(DADOS!C7777="","",DADOS!C7777)</f>
        <v/>
      </c>
      <c r="F7777" s="9" t="str">
        <f>IF(DADOS!E7777="","",DADOS!E7777)</f>
        <v/>
      </c>
      <c r="G7777" s="9" t="str">
        <f>IF(DADOS!F7777="","",DADOS!F7777)</f>
        <v/>
      </c>
      <c r="K7777" s="6" t="str">
        <f t="shared" si="610"/>
        <v/>
      </c>
      <c r="L7777" s="7" t="str">
        <f t="shared" si="611"/>
        <v/>
      </c>
      <c r="M7777" s="7" t="str">
        <f t="shared" si="608"/>
        <v/>
      </c>
      <c r="N7777" s="7" t="str">
        <f t="shared" si="612"/>
        <v/>
      </c>
      <c r="O7777" s="8"/>
      <c r="P7777" s="26"/>
      <c r="S7777" s="10" t="str">
        <f t="shared" si="609"/>
        <v/>
      </c>
    </row>
    <row r="7778" spans="5:19" x14ac:dyDescent="0.3">
      <c r="E7778" s="9" t="str">
        <f>IF(DADOS!C7778="","",DADOS!C7778)</f>
        <v/>
      </c>
      <c r="F7778" s="9" t="str">
        <f>IF(DADOS!E7778="","",DADOS!E7778)</f>
        <v/>
      </c>
      <c r="G7778" s="9" t="str">
        <f>IF(DADOS!F7778="","",DADOS!F7778)</f>
        <v/>
      </c>
      <c r="K7778" s="6" t="str">
        <f t="shared" si="610"/>
        <v/>
      </c>
      <c r="L7778" s="7" t="str">
        <f t="shared" si="611"/>
        <v/>
      </c>
      <c r="M7778" s="7" t="str">
        <f t="shared" si="608"/>
        <v/>
      </c>
      <c r="N7778" s="7" t="str">
        <f t="shared" si="612"/>
        <v/>
      </c>
      <c r="O7778" s="8"/>
      <c r="P7778" s="26"/>
      <c r="S7778" s="10" t="str">
        <f t="shared" si="609"/>
        <v/>
      </c>
    </row>
    <row r="7779" spans="5:19" x14ac:dyDescent="0.3">
      <c r="E7779" s="9" t="str">
        <f>IF(DADOS!C7779="","",DADOS!C7779)</f>
        <v/>
      </c>
      <c r="F7779" s="9" t="str">
        <f>IF(DADOS!E7779="","",DADOS!E7779)</f>
        <v/>
      </c>
      <c r="G7779" s="9" t="str">
        <f>IF(DADOS!F7779="","",DADOS!F7779)</f>
        <v/>
      </c>
      <c r="K7779" s="6" t="str">
        <f t="shared" si="610"/>
        <v/>
      </c>
      <c r="L7779" s="7" t="str">
        <f t="shared" si="611"/>
        <v/>
      </c>
      <c r="M7779" s="7" t="str">
        <f t="shared" si="608"/>
        <v/>
      </c>
      <c r="N7779" s="7" t="str">
        <f t="shared" si="612"/>
        <v/>
      </c>
      <c r="O7779" s="8"/>
      <c r="P7779" s="26"/>
      <c r="S7779" s="10" t="str">
        <f t="shared" si="609"/>
        <v/>
      </c>
    </row>
    <row r="7780" spans="5:19" x14ac:dyDescent="0.3">
      <c r="E7780" s="9" t="str">
        <f>IF(DADOS!C7780="","",DADOS!C7780)</f>
        <v/>
      </c>
      <c r="F7780" s="9" t="str">
        <f>IF(DADOS!E7780="","",DADOS!E7780)</f>
        <v/>
      </c>
      <c r="G7780" s="9" t="str">
        <f>IF(DADOS!F7780="","",DADOS!F7780)</f>
        <v/>
      </c>
      <c r="K7780" s="6" t="str">
        <f t="shared" si="610"/>
        <v/>
      </c>
      <c r="L7780" s="7" t="str">
        <f t="shared" si="611"/>
        <v/>
      </c>
      <c r="M7780" s="7" t="str">
        <f t="shared" si="608"/>
        <v/>
      </c>
      <c r="N7780" s="7" t="str">
        <f t="shared" si="612"/>
        <v/>
      </c>
      <c r="O7780" s="8"/>
      <c r="P7780" s="26"/>
      <c r="S7780" s="10" t="str">
        <f t="shared" si="609"/>
        <v/>
      </c>
    </row>
    <row r="7781" spans="5:19" x14ac:dyDescent="0.3">
      <c r="E7781" s="9" t="str">
        <f>IF(DADOS!C7781="","",DADOS!C7781)</f>
        <v/>
      </c>
      <c r="F7781" s="9" t="str">
        <f>IF(DADOS!E7781="","",DADOS!E7781)</f>
        <v/>
      </c>
      <c r="G7781" s="9" t="str">
        <f>IF(DADOS!F7781="","",DADOS!F7781)</f>
        <v/>
      </c>
      <c r="K7781" s="6" t="str">
        <f t="shared" si="610"/>
        <v/>
      </c>
      <c r="L7781" s="7" t="str">
        <f t="shared" si="611"/>
        <v/>
      </c>
      <c r="M7781" s="7" t="str">
        <f t="shared" si="608"/>
        <v/>
      </c>
      <c r="N7781" s="7" t="str">
        <f t="shared" si="612"/>
        <v/>
      </c>
      <c r="O7781" s="8"/>
      <c r="P7781" s="26"/>
      <c r="S7781" s="10" t="str">
        <f t="shared" si="609"/>
        <v/>
      </c>
    </row>
    <row r="7782" spans="5:19" x14ac:dyDescent="0.3">
      <c r="E7782" s="9" t="str">
        <f>IF(DADOS!C7782="","",DADOS!C7782)</f>
        <v/>
      </c>
      <c r="F7782" s="9" t="str">
        <f>IF(DADOS!E7782="","",DADOS!E7782)</f>
        <v/>
      </c>
      <c r="G7782" s="9" t="str">
        <f>IF(DADOS!F7782="","",DADOS!F7782)</f>
        <v/>
      </c>
      <c r="K7782" s="6" t="str">
        <f t="shared" si="610"/>
        <v/>
      </c>
      <c r="L7782" s="7" t="str">
        <f t="shared" si="611"/>
        <v/>
      </c>
      <c r="M7782" s="7" t="str">
        <f t="shared" si="608"/>
        <v/>
      </c>
      <c r="N7782" s="7" t="str">
        <f t="shared" si="612"/>
        <v/>
      </c>
      <c r="O7782" s="8"/>
      <c r="P7782" s="26"/>
      <c r="S7782" s="10" t="str">
        <f t="shared" si="609"/>
        <v/>
      </c>
    </row>
    <row r="7783" spans="5:19" x14ac:dyDescent="0.3">
      <c r="E7783" s="9" t="str">
        <f>IF(DADOS!C7783="","",DADOS!C7783)</f>
        <v/>
      </c>
      <c r="F7783" s="9" t="str">
        <f>IF(DADOS!E7783="","",DADOS!E7783)</f>
        <v/>
      </c>
      <c r="G7783" s="9" t="str">
        <f>IF(DADOS!F7783="","",DADOS!F7783)</f>
        <v/>
      </c>
      <c r="K7783" s="6" t="str">
        <f t="shared" si="610"/>
        <v/>
      </c>
      <c r="L7783" s="7" t="str">
        <f t="shared" si="611"/>
        <v/>
      </c>
      <c r="M7783" s="7" t="str">
        <f t="shared" si="608"/>
        <v/>
      </c>
      <c r="N7783" s="7" t="str">
        <f t="shared" si="612"/>
        <v/>
      </c>
      <c r="O7783" s="8"/>
      <c r="P7783" s="26"/>
      <c r="S7783" s="10" t="str">
        <f t="shared" si="609"/>
        <v/>
      </c>
    </row>
    <row r="7784" spans="5:19" x14ac:dyDescent="0.3">
      <c r="E7784" s="9" t="str">
        <f>IF(DADOS!C7784="","",DADOS!C7784)</f>
        <v/>
      </c>
      <c r="F7784" s="9" t="str">
        <f>IF(DADOS!E7784="","",DADOS!E7784)</f>
        <v/>
      </c>
      <c r="G7784" s="9" t="str">
        <f>IF(DADOS!F7784="","",DADOS!F7784)</f>
        <v/>
      </c>
      <c r="K7784" s="6" t="str">
        <f t="shared" si="610"/>
        <v/>
      </c>
      <c r="L7784" s="7" t="str">
        <f t="shared" si="611"/>
        <v/>
      </c>
      <c r="M7784" s="7" t="str">
        <f t="shared" si="608"/>
        <v/>
      </c>
      <c r="N7784" s="7" t="str">
        <f t="shared" si="612"/>
        <v/>
      </c>
      <c r="O7784" s="8"/>
      <c r="P7784" s="26"/>
      <c r="S7784" s="10" t="str">
        <f t="shared" si="609"/>
        <v/>
      </c>
    </row>
    <row r="7785" spans="5:19" x14ac:dyDescent="0.3">
      <c r="E7785" s="9" t="str">
        <f>IF(DADOS!C7785="","",DADOS!C7785)</f>
        <v/>
      </c>
      <c r="F7785" s="9" t="str">
        <f>IF(DADOS!E7785="","",DADOS!E7785)</f>
        <v/>
      </c>
      <c r="G7785" s="9" t="str">
        <f>IF(DADOS!F7785="","",DADOS!F7785)</f>
        <v/>
      </c>
      <c r="K7785" s="6" t="str">
        <f t="shared" si="610"/>
        <v/>
      </c>
      <c r="L7785" s="7" t="str">
        <f t="shared" si="611"/>
        <v/>
      </c>
      <c r="M7785" s="7" t="str">
        <f t="shared" si="608"/>
        <v/>
      </c>
      <c r="N7785" s="7" t="str">
        <f t="shared" si="612"/>
        <v/>
      </c>
      <c r="O7785" s="8"/>
      <c r="P7785" s="26"/>
      <c r="S7785" s="10" t="str">
        <f t="shared" si="609"/>
        <v/>
      </c>
    </row>
    <row r="7786" spans="5:19" x14ac:dyDescent="0.3">
      <c r="E7786" s="9" t="str">
        <f>IF(DADOS!C7786="","",DADOS!C7786)</f>
        <v/>
      </c>
      <c r="F7786" s="9" t="str">
        <f>IF(DADOS!E7786="","",DADOS!E7786)</f>
        <v/>
      </c>
      <c r="G7786" s="9" t="str">
        <f>IF(DADOS!F7786="","",DADOS!F7786)</f>
        <v/>
      </c>
      <c r="K7786" s="6" t="str">
        <f t="shared" si="610"/>
        <v/>
      </c>
      <c r="L7786" s="7" t="str">
        <f t="shared" si="611"/>
        <v/>
      </c>
      <c r="M7786" s="7" t="str">
        <f t="shared" si="608"/>
        <v/>
      </c>
      <c r="N7786" s="7" t="str">
        <f t="shared" si="612"/>
        <v/>
      </c>
      <c r="O7786" s="8"/>
      <c r="P7786" s="26"/>
      <c r="S7786" s="10" t="str">
        <f t="shared" si="609"/>
        <v/>
      </c>
    </row>
    <row r="7787" spans="5:19" x14ac:dyDescent="0.3">
      <c r="E7787" s="9" t="str">
        <f>IF(DADOS!C7787="","",DADOS!C7787)</f>
        <v/>
      </c>
      <c r="F7787" s="9" t="str">
        <f>IF(DADOS!E7787="","",DADOS!E7787)</f>
        <v/>
      </c>
      <c r="G7787" s="9" t="str">
        <f>IF(DADOS!F7787="","",DADOS!F7787)</f>
        <v/>
      </c>
      <c r="K7787" s="6" t="str">
        <f t="shared" si="610"/>
        <v/>
      </c>
      <c r="L7787" s="7" t="str">
        <f t="shared" si="611"/>
        <v/>
      </c>
      <c r="M7787" s="7" t="str">
        <f t="shared" si="608"/>
        <v/>
      </c>
      <c r="N7787" s="7" t="str">
        <f t="shared" si="612"/>
        <v/>
      </c>
      <c r="O7787" s="8"/>
      <c r="P7787" s="26"/>
      <c r="S7787" s="10" t="str">
        <f t="shared" si="609"/>
        <v/>
      </c>
    </row>
    <row r="7788" spans="5:19" x14ac:dyDescent="0.3">
      <c r="E7788" s="9" t="str">
        <f>IF(DADOS!C7788="","",DADOS!C7788)</f>
        <v/>
      </c>
      <c r="F7788" s="9" t="str">
        <f>IF(DADOS!E7788="","",DADOS!E7788)</f>
        <v/>
      </c>
      <c r="G7788" s="9" t="str">
        <f>IF(DADOS!F7788="","",DADOS!F7788)</f>
        <v/>
      </c>
      <c r="K7788" s="6" t="str">
        <f t="shared" si="610"/>
        <v/>
      </c>
      <c r="L7788" s="7" t="str">
        <f t="shared" si="611"/>
        <v/>
      </c>
      <c r="M7788" s="7" t="str">
        <f t="shared" si="608"/>
        <v/>
      </c>
      <c r="N7788" s="7" t="str">
        <f t="shared" si="612"/>
        <v/>
      </c>
      <c r="O7788" s="8"/>
      <c r="P7788" s="26"/>
      <c r="S7788" s="10" t="str">
        <f t="shared" si="609"/>
        <v/>
      </c>
    </row>
    <row r="7789" spans="5:19" x14ac:dyDescent="0.3">
      <c r="E7789" s="9" t="str">
        <f>IF(DADOS!C7789="","",DADOS!C7789)</f>
        <v/>
      </c>
      <c r="F7789" s="9" t="str">
        <f>IF(DADOS!E7789="","",DADOS!E7789)</f>
        <v/>
      </c>
      <c r="G7789" s="9" t="str">
        <f>IF(DADOS!F7789="","",DADOS!F7789)</f>
        <v/>
      </c>
      <c r="K7789" s="6" t="str">
        <f t="shared" si="610"/>
        <v/>
      </c>
      <c r="L7789" s="7" t="str">
        <f t="shared" si="611"/>
        <v/>
      </c>
      <c r="M7789" s="7" t="str">
        <f t="shared" si="608"/>
        <v/>
      </c>
      <c r="N7789" s="7" t="str">
        <f t="shared" si="612"/>
        <v/>
      </c>
      <c r="O7789" s="8"/>
      <c r="P7789" s="26"/>
      <c r="S7789" s="10" t="str">
        <f t="shared" si="609"/>
        <v/>
      </c>
    </row>
    <row r="7790" spans="5:19" x14ac:dyDescent="0.3">
      <c r="E7790" s="9" t="str">
        <f>IF(DADOS!C7790="","",DADOS!C7790)</f>
        <v/>
      </c>
      <c r="F7790" s="9" t="str">
        <f>IF(DADOS!E7790="","",DADOS!E7790)</f>
        <v/>
      </c>
      <c r="G7790" s="9" t="str">
        <f>IF(DADOS!F7790="","",DADOS!F7790)</f>
        <v/>
      </c>
      <c r="K7790" s="6" t="str">
        <f t="shared" si="610"/>
        <v/>
      </c>
      <c r="L7790" s="7" t="str">
        <f t="shared" si="611"/>
        <v/>
      </c>
      <c r="M7790" s="7" t="str">
        <f t="shared" si="608"/>
        <v/>
      </c>
      <c r="N7790" s="7" t="str">
        <f t="shared" si="612"/>
        <v/>
      </c>
      <c r="O7790" s="8"/>
      <c r="P7790" s="26"/>
      <c r="S7790" s="10" t="str">
        <f t="shared" si="609"/>
        <v/>
      </c>
    </row>
    <row r="7791" spans="5:19" x14ac:dyDescent="0.3">
      <c r="E7791" s="9" t="str">
        <f>IF(DADOS!C7791="","",DADOS!C7791)</f>
        <v/>
      </c>
      <c r="F7791" s="9" t="str">
        <f>IF(DADOS!E7791="","",DADOS!E7791)</f>
        <v/>
      </c>
      <c r="G7791" s="9" t="str">
        <f>IF(DADOS!F7791="","",DADOS!F7791)</f>
        <v/>
      </c>
      <c r="K7791" s="6" t="str">
        <f t="shared" si="610"/>
        <v/>
      </c>
      <c r="L7791" s="7" t="str">
        <f t="shared" si="611"/>
        <v/>
      </c>
      <c r="M7791" s="7" t="str">
        <f t="shared" si="608"/>
        <v/>
      </c>
      <c r="N7791" s="7" t="str">
        <f t="shared" si="612"/>
        <v/>
      </c>
      <c r="O7791" s="8"/>
      <c r="P7791" s="26"/>
      <c r="S7791" s="10" t="str">
        <f t="shared" si="609"/>
        <v/>
      </c>
    </row>
    <row r="7792" spans="5:19" x14ac:dyDescent="0.3">
      <c r="E7792" s="9" t="str">
        <f>IF(DADOS!C7792="","",DADOS!C7792)</f>
        <v/>
      </c>
      <c r="F7792" s="9" t="str">
        <f>IF(DADOS!E7792="","",DADOS!E7792)</f>
        <v/>
      </c>
      <c r="G7792" s="9" t="str">
        <f>IF(DADOS!F7792="","",DADOS!F7792)</f>
        <v/>
      </c>
      <c r="K7792" s="6" t="str">
        <f t="shared" si="610"/>
        <v/>
      </c>
      <c r="L7792" s="7" t="str">
        <f t="shared" si="611"/>
        <v/>
      </c>
      <c r="M7792" s="7" t="str">
        <f t="shared" si="608"/>
        <v/>
      </c>
      <c r="N7792" s="7" t="str">
        <f t="shared" si="612"/>
        <v/>
      </c>
      <c r="O7792" s="8"/>
      <c r="P7792" s="26"/>
      <c r="S7792" s="10" t="str">
        <f t="shared" si="609"/>
        <v/>
      </c>
    </row>
    <row r="7793" spans="5:19" x14ac:dyDescent="0.3">
      <c r="E7793" s="9" t="str">
        <f>IF(DADOS!C7793="","",DADOS!C7793)</f>
        <v/>
      </c>
      <c r="F7793" s="9" t="str">
        <f>IF(DADOS!E7793="","",DADOS!E7793)</f>
        <v/>
      </c>
      <c r="G7793" s="9" t="str">
        <f>IF(DADOS!F7793="","",DADOS!F7793)</f>
        <v/>
      </c>
      <c r="K7793" s="6" t="str">
        <f t="shared" si="610"/>
        <v/>
      </c>
      <c r="L7793" s="7" t="str">
        <f t="shared" si="611"/>
        <v/>
      </c>
      <c r="M7793" s="7" t="str">
        <f t="shared" si="608"/>
        <v/>
      </c>
      <c r="N7793" s="7" t="str">
        <f t="shared" si="612"/>
        <v/>
      </c>
      <c r="O7793" s="8"/>
      <c r="P7793" s="26"/>
      <c r="S7793" s="10" t="str">
        <f t="shared" si="609"/>
        <v/>
      </c>
    </row>
    <row r="7794" spans="5:19" x14ac:dyDescent="0.3">
      <c r="E7794" s="9" t="str">
        <f>IF(DADOS!C7794="","",DADOS!C7794)</f>
        <v/>
      </c>
      <c r="F7794" s="9" t="str">
        <f>IF(DADOS!E7794="","",DADOS!E7794)</f>
        <v/>
      </c>
      <c r="G7794" s="9" t="str">
        <f>IF(DADOS!F7794="","",DADOS!F7794)</f>
        <v/>
      </c>
      <c r="K7794" s="6" t="str">
        <f t="shared" si="610"/>
        <v/>
      </c>
      <c r="L7794" s="7" t="str">
        <f t="shared" si="611"/>
        <v/>
      </c>
      <c r="M7794" s="7" t="str">
        <f t="shared" si="608"/>
        <v/>
      </c>
      <c r="N7794" s="7" t="str">
        <f t="shared" si="612"/>
        <v/>
      </c>
      <c r="O7794" s="8"/>
      <c r="P7794" s="26"/>
      <c r="S7794" s="10" t="str">
        <f t="shared" si="609"/>
        <v/>
      </c>
    </row>
    <row r="7795" spans="5:19" x14ac:dyDescent="0.3">
      <c r="E7795" s="9" t="str">
        <f>IF(DADOS!C7795="","",DADOS!C7795)</f>
        <v/>
      </c>
      <c r="F7795" s="9" t="str">
        <f>IF(DADOS!E7795="","",DADOS!E7795)</f>
        <v/>
      </c>
      <c r="G7795" s="9" t="str">
        <f>IF(DADOS!F7795="","",DADOS!F7795)</f>
        <v/>
      </c>
      <c r="K7795" s="6" t="str">
        <f t="shared" si="610"/>
        <v/>
      </c>
      <c r="L7795" s="7" t="str">
        <f t="shared" si="611"/>
        <v/>
      </c>
      <c r="M7795" s="7" t="str">
        <f t="shared" si="608"/>
        <v/>
      </c>
      <c r="N7795" s="7" t="str">
        <f t="shared" si="612"/>
        <v/>
      </c>
      <c r="O7795" s="8"/>
      <c r="P7795" s="26"/>
      <c r="S7795" s="10" t="str">
        <f t="shared" si="609"/>
        <v/>
      </c>
    </row>
    <row r="7796" spans="5:19" x14ac:dyDescent="0.3">
      <c r="E7796" s="9" t="str">
        <f>IF(DADOS!C7796="","",DADOS!C7796)</f>
        <v/>
      </c>
      <c r="F7796" s="9" t="str">
        <f>IF(DADOS!E7796="","",DADOS!E7796)</f>
        <v/>
      </c>
      <c r="G7796" s="9" t="str">
        <f>IF(DADOS!F7796="","",DADOS!F7796)</f>
        <v/>
      </c>
      <c r="K7796" s="6" t="str">
        <f t="shared" si="610"/>
        <v/>
      </c>
      <c r="L7796" s="7" t="str">
        <f t="shared" si="611"/>
        <v/>
      </c>
      <c r="M7796" s="7" t="str">
        <f t="shared" si="608"/>
        <v/>
      </c>
      <c r="N7796" s="7" t="str">
        <f t="shared" si="612"/>
        <v/>
      </c>
      <c r="O7796" s="8"/>
      <c r="P7796" s="26"/>
      <c r="S7796" s="10" t="str">
        <f t="shared" si="609"/>
        <v/>
      </c>
    </row>
    <row r="7797" spans="5:19" x14ac:dyDescent="0.3">
      <c r="E7797" s="9" t="str">
        <f>IF(DADOS!C7797="","",DADOS!C7797)</f>
        <v/>
      </c>
      <c r="F7797" s="9" t="str">
        <f>IF(DADOS!E7797="","",DADOS!E7797)</f>
        <v/>
      </c>
      <c r="G7797" s="9" t="str">
        <f>IF(DADOS!F7797="","",DADOS!F7797)</f>
        <v/>
      </c>
      <c r="K7797" s="6" t="str">
        <f t="shared" si="610"/>
        <v/>
      </c>
      <c r="L7797" s="7" t="str">
        <f t="shared" si="611"/>
        <v/>
      </c>
      <c r="M7797" s="7" t="str">
        <f t="shared" si="608"/>
        <v/>
      </c>
      <c r="N7797" s="7" t="str">
        <f t="shared" si="612"/>
        <v/>
      </c>
      <c r="O7797" s="8"/>
      <c r="P7797" s="26"/>
      <c r="S7797" s="10" t="str">
        <f t="shared" si="609"/>
        <v/>
      </c>
    </row>
    <row r="7798" spans="5:19" x14ac:dyDescent="0.3">
      <c r="E7798" s="9" t="str">
        <f>IF(DADOS!C7798="","",DADOS!C7798)</f>
        <v/>
      </c>
      <c r="F7798" s="9" t="str">
        <f>IF(DADOS!E7798="","",DADOS!E7798)</f>
        <v/>
      </c>
      <c r="G7798" s="9" t="str">
        <f>IF(DADOS!F7798="","",DADOS!F7798)</f>
        <v/>
      </c>
      <c r="K7798" s="6" t="str">
        <f t="shared" si="610"/>
        <v/>
      </c>
      <c r="L7798" s="7" t="str">
        <f t="shared" si="611"/>
        <v/>
      </c>
      <c r="M7798" s="7" t="str">
        <f t="shared" si="608"/>
        <v/>
      </c>
      <c r="N7798" s="7" t="str">
        <f t="shared" si="612"/>
        <v/>
      </c>
      <c r="O7798" s="8"/>
      <c r="P7798" s="26"/>
      <c r="S7798" s="10" t="str">
        <f t="shared" si="609"/>
        <v/>
      </c>
    </row>
    <row r="7799" spans="5:19" x14ac:dyDescent="0.3">
      <c r="E7799" s="9" t="str">
        <f>IF(DADOS!C7799="","",DADOS!C7799)</f>
        <v/>
      </c>
      <c r="F7799" s="9" t="str">
        <f>IF(DADOS!E7799="","",DADOS!E7799)</f>
        <v/>
      </c>
      <c r="G7799" s="9" t="str">
        <f>IF(DADOS!F7799="","",DADOS!F7799)</f>
        <v/>
      </c>
      <c r="K7799" s="6" t="str">
        <f t="shared" si="610"/>
        <v/>
      </c>
      <c r="L7799" s="7" t="str">
        <f t="shared" si="611"/>
        <v/>
      </c>
      <c r="M7799" s="7" t="str">
        <f t="shared" si="608"/>
        <v/>
      </c>
      <c r="N7799" s="7" t="str">
        <f t="shared" si="612"/>
        <v/>
      </c>
      <c r="O7799" s="8"/>
      <c r="P7799" s="26"/>
      <c r="S7799" s="10" t="str">
        <f t="shared" si="609"/>
        <v/>
      </c>
    </row>
    <row r="7800" spans="5:19" x14ac:dyDescent="0.3">
      <c r="E7800" s="9" t="str">
        <f>IF(DADOS!C7800="","",DADOS!C7800)</f>
        <v/>
      </c>
      <c r="F7800" s="9" t="str">
        <f>IF(DADOS!E7800="","",DADOS!E7800)</f>
        <v/>
      </c>
      <c r="G7800" s="9" t="str">
        <f>IF(DADOS!F7800="","",DADOS!F7800)</f>
        <v/>
      </c>
      <c r="K7800" s="6" t="str">
        <f t="shared" si="610"/>
        <v/>
      </c>
      <c r="L7800" s="7" t="str">
        <f t="shared" si="611"/>
        <v/>
      </c>
      <c r="M7800" s="7" t="str">
        <f t="shared" si="608"/>
        <v/>
      </c>
      <c r="N7800" s="7" t="str">
        <f t="shared" si="612"/>
        <v/>
      </c>
      <c r="O7800" s="8"/>
      <c r="P7800" s="26"/>
      <c r="S7800" s="10" t="str">
        <f t="shared" si="609"/>
        <v/>
      </c>
    </row>
    <row r="7801" spans="5:19" x14ac:dyDescent="0.3">
      <c r="E7801" s="9" t="str">
        <f>IF(DADOS!C7801="","",DADOS!C7801)</f>
        <v/>
      </c>
      <c r="F7801" s="9" t="str">
        <f>IF(DADOS!E7801="","",DADOS!E7801)</f>
        <v/>
      </c>
      <c r="G7801" s="9" t="str">
        <f>IF(DADOS!F7801="","",DADOS!F7801)</f>
        <v/>
      </c>
      <c r="K7801" s="6" t="str">
        <f t="shared" si="610"/>
        <v/>
      </c>
      <c r="L7801" s="7" t="str">
        <f t="shared" si="611"/>
        <v/>
      </c>
      <c r="M7801" s="7" t="str">
        <f t="shared" si="608"/>
        <v/>
      </c>
      <c r="N7801" s="7" t="str">
        <f t="shared" si="612"/>
        <v/>
      </c>
      <c r="O7801" s="8"/>
      <c r="P7801" s="26"/>
      <c r="S7801" s="10" t="str">
        <f t="shared" si="609"/>
        <v/>
      </c>
    </row>
    <row r="7802" spans="5:19" x14ac:dyDescent="0.3">
      <c r="E7802" s="9" t="str">
        <f>IF(DADOS!C7802="","",DADOS!C7802)</f>
        <v/>
      </c>
      <c r="F7802" s="9" t="str">
        <f>IF(DADOS!E7802="","",DADOS!E7802)</f>
        <v/>
      </c>
      <c r="G7802" s="9" t="str">
        <f>IF(DADOS!F7802="","",DADOS!F7802)</f>
        <v/>
      </c>
      <c r="K7802" s="6" t="str">
        <f t="shared" si="610"/>
        <v/>
      </c>
      <c r="L7802" s="7" t="str">
        <f t="shared" si="611"/>
        <v/>
      </c>
      <c r="M7802" s="7" t="str">
        <f t="shared" si="608"/>
        <v/>
      </c>
      <c r="N7802" s="7" t="str">
        <f t="shared" si="612"/>
        <v/>
      </c>
      <c r="O7802" s="8"/>
      <c r="P7802" s="26"/>
      <c r="S7802" s="10" t="str">
        <f t="shared" si="609"/>
        <v/>
      </c>
    </row>
    <row r="7803" spans="5:19" x14ac:dyDescent="0.3">
      <c r="E7803" s="9" t="str">
        <f>IF(DADOS!C7803="","",DADOS!C7803)</f>
        <v/>
      </c>
      <c r="F7803" s="9" t="str">
        <f>IF(DADOS!E7803="","",DADOS!E7803)</f>
        <v/>
      </c>
      <c r="G7803" s="9" t="str">
        <f>IF(DADOS!F7803="","",DADOS!F7803)</f>
        <v/>
      </c>
      <c r="K7803" s="6" t="str">
        <f t="shared" si="610"/>
        <v/>
      </c>
      <c r="L7803" s="7" t="str">
        <f t="shared" si="611"/>
        <v/>
      </c>
      <c r="M7803" s="7" t="str">
        <f t="shared" si="608"/>
        <v/>
      </c>
      <c r="N7803" s="7" t="str">
        <f t="shared" si="612"/>
        <v/>
      </c>
      <c r="O7803" s="8"/>
      <c r="P7803" s="26"/>
      <c r="S7803" s="10" t="str">
        <f t="shared" si="609"/>
        <v/>
      </c>
    </row>
    <row r="7804" spans="5:19" x14ac:dyDescent="0.3">
      <c r="E7804" s="9" t="str">
        <f>IF(DADOS!C7804="","",DADOS!C7804)</f>
        <v/>
      </c>
      <c r="F7804" s="9" t="str">
        <f>IF(DADOS!E7804="","",DADOS!E7804)</f>
        <v/>
      </c>
      <c r="G7804" s="9" t="str">
        <f>IF(DADOS!F7804="","",DADOS!F7804)</f>
        <v/>
      </c>
      <c r="K7804" s="6" t="str">
        <f t="shared" si="610"/>
        <v/>
      </c>
      <c r="L7804" s="7" t="str">
        <f t="shared" si="611"/>
        <v/>
      </c>
      <c r="M7804" s="7" t="str">
        <f t="shared" si="608"/>
        <v/>
      </c>
      <c r="N7804" s="7" t="str">
        <f t="shared" si="612"/>
        <v/>
      </c>
      <c r="O7804" s="8"/>
      <c r="P7804" s="26"/>
      <c r="S7804" s="10" t="str">
        <f t="shared" si="609"/>
        <v/>
      </c>
    </row>
    <row r="7805" spans="5:19" x14ac:dyDescent="0.3">
      <c r="E7805" s="9" t="str">
        <f>IF(DADOS!C7805="","",DADOS!C7805)</f>
        <v/>
      </c>
      <c r="F7805" s="9" t="str">
        <f>IF(DADOS!E7805="","",DADOS!E7805)</f>
        <v/>
      </c>
      <c r="G7805" s="9" t="str">
        <f>IF(DADOS!F7805="","",DADOS!F7805)</f>
        <v/>
      </c>
      <c r="K7805" s="6" t="str">
        <f t="shared" si="610"/>
        <v/>
      </c>
      <c r="L7805" s="7" t="str">
        <f t="shared" si="611"/>
        <v/>
      </c>
      <c r="M7805" s="7" t="str">
        <f t="shared" si="608"/>
        <v/>
      </c>
      <c r="N7805" s="7" t="str">
        <f t="shared" si="612"/>
        <v/>
      </c>
      <c r="O7805" s="8"/>
      <c r="P7805" s="26"/>
      <c r="S7805" s="10" t="str">
        <f t="shared" si="609"/>
        <v/>
      </c>
    </row>
    <row r="7806" spans="5:19" x14ac:dyDescent="0.3">
      <c r="E7806" s="9" t="str">
        <f>IF(DADOS!C7806="","",DADOS!C7806)</f>
        <v/>
      </c>
      <c r="F7806" s="9" t="str">
        <f>IF(DADOS!E7806="","",DADOS!E7806)</f>
        <v/>
      </c>
      <c r="G7806" s="9" t="str">
        <f>IF(DADOS!F7806="","",DADOS!F7806)</f>
        <v/>
      </c>
      <c r="K7806" s="6" t="str">
        <f t="shared" si="610"/>
        <v/>
      </c>
      <c r="L7806" s="7" t="str">
        <f t="shared" si="611"/>
        <v/>
      </c>
      <c r="M7806" s="7" t="str">
        <f t="shared" si="608"/>
        <v/>
      </c>
      <c r="N7806" s="7" t="str">
        <f t="shared" si="612"/>
        <v/>
      </c>
      <c r="O7806" s="8"/>
      <c r="P7806" s="26"/>
      <c r="S7806" s="10" t="str">
        <f t="shared" si="609"/>
        <v/>
      </c>
    </row>
    <row r="7807" spans="5:19" x14ac:dyDescent="0.3">
      <c r="E7807" s="9" t="str">
        <f>IF(DADOS!C7807="","",DADOS!C7807)</f>
        <v/>
      </c>
      <c r="F7807" s="9" t="str">
        <f>IF(DADOS!E7807="","",DADOS!E7807)</f>
        <v/>
      </c>
      <c r="G7807" s="9" t="str">
        <f>IF(DADOS!F7807="","",DADOS!F7807)</f>
        <v/>
      </c>
      <c r="K7807" s="6" t="str">
        <f t="shared" si="610"/>
        <v/>
      </c>
      <c r="L7807" s="7" t="str">
        <f t="shared" si="611"/>
        <v/>
      </c>
      <c r="M7807" s="7" t="str">
        <f t="shared" si="608"/>
        <v/>
      </c>
      <c r="N7807" s="7" t="str">
        <f t="shared" si="612"/>
        <v/>
      </c>
      <c r="O7807" s="8"/>
      <c r="P7807" s="26"/>
      <c r="S7807" s="10" t="str">
        <f t="shared" si="609"/>
        <v/>
      </c>
    </row>
    <row r="7808" spans="5:19" x14ac:dyDescent="0.3">
      <c r="E7808" s="9" t="str">
        <f>IF(DADOS!C7808="","",DADOS!C7808)</f>
        <v/>
      </c>
      <c r="F7808" s="9" t="str">
        <f>IF(DADOS!E7808="","",DADOS!E7808)</f>
        <v/>
      </c>
      <c r="G7808" s="9" t="str">
        <f>IF(DADOS!F7808="","",DADOS!F7808)</f>
        <v/>
      </c>
      <c r="K7808" s="6" t="str">
        <f t="shared" si="610"/>
        <v/>
      </c>
      <c r="L7808" s="7" t="str">
        <f t="shared" si="611"/>
        <v/>
      </c>
      <c r="M7808" s="7" t="str">
        <f t="shared" si="608"/>
        <v/>
      </c>
      <c r="N7808" s="7" t="str">
        <f t="shared" si="612"/>
        <v/>
      </c>
      <c r="O7808" s="8"/>
      <c r="P7808" s="26"/>
      <c r="S7808" s="10" t="str">
        <f t="shared" si="609"/>
        <v/>
      </c>
    </row>
    <row r="7809" spans="5:19" x14ac:dyDescent="0.3">
      <c r="E7809" s="9" t="str">
        <f>IF(DADOS!C7809="","",DADOS!C7809)</f>
        <v/>
      </c>
      <c r="F7809" s="9" t="str">
        <f>IF(DADOS!E7809="","",DADOS!E7809)</f>
        <v/>
      </c>
      <c r="G7809" s="9" t="str">
        <f>IF(DADOS!F7809="","",DADOS!F7809)</f>
        <v/>
      </c>
      <c r="K7809" s="6" t="str">
        <f t="shared" si="610"/>
        <v/>
      </c>
      <c r="L7809" s="7" t="str">
        <f t="shared" si="611"/>
        <v/>
      </c>
      <c r="M7809" s="7" t="str">
        <f t="shared" si="608"/>
        <v/>
      </c>
      <c r="N7809" s="7" t="str">
        <f t="shared" si="612"/>
        <v/>
      </c>
      <c r="O7809" s="8"/>
      <c r="P7809" s="26"/>
      <c r="S7809" s="10" t="str">
        <f t="shared" si="609"/>
        <v/>
      </c>
    </row>
    <row r="7810" spans="5:19" x14ac:dyDescent="0.3">
      <c r="E7810" s="9" t="str">
        <f>IF(DADOS!C7810="","",DADOS!C7810)</f>
        <v/>
      </c>
      <c r="F7810" s="9" t="str">
        <f>IF(DADOS!E7810="","",DADOS!E7810)</f>
        <v/>
      </c>
      <c r="G7810" s="9" t="str">
        <f>IF(DADOS!F7810="","",DADOS!F7810)</f>
        <v/>
      </c>
      <c r="K7810" s="6" t="str">
        <f t="shared" si="610"/>
        <v/>
      </c>
      <c r="L7810" s="7" t="str">
        <f t="shared" si="611"/>
        <v/>
      </c>
      <c r="M7810" s="7" t="str">
        <f t="shared" si="608"/>
        <v/>
      </c>
      <c r="N7810" s="7" t="str">
        <f t="shared" si="612"/>
        <v/>
      </c>
      <c r="O7810" s="8"/>
      <c r="P7810" s="26"/>
      <c r="S7810" s="10" t="str">
        <f t="shared" si="609"/>
        <v/>
      </c>
    </row>
    <row r="7811" spans="5:19" x14ac:dyDescent="0.3">
      <c r="E7811" s="9" t="str">
        <f>IF(DADOS!C7811="","",DADOS!C7811)</f>
        <v/>
      </c>
      <c r="F7811" s="9" t="str">
        <f>IF(DADOS!E7811="","",DADOS!E7811)</f>
        <v/>
      </c>
      <c r="G7811" s="9" t="str">
        <f>IF(DADOS!F7811="","",DADOS!F7811)</f>
        <v/>
      </c>
      <c r="K7811" s="6" t="str">
        <f t="shared" si="610"/>
        <v/>
      </c>
      <c r="L7811" s="7" t="str">
        <f t="shared" si="611"/>
        <v/>
      </c>
      <c r="M7811" s="7" t="str">
        <f t="shared" ref="M7811:M7874" si="613">IF(L7811="","",L7811*G7811)</f>
        <v/>
      </c>
      <c r="N7811" s="7" t="str">
        <f t="shared" si="612"/>
        <v/>
      </c>
      <c r="O7811" s="8"/>
      <c r="P7811" s="26"/>
      <c r="S7811" s="10" t="str">
        <f t="shared" ref="S7811:S7874" si="614">IF(R7811="","",SUMIFS($N$3:$N$10000,$E$3:$E$10000,R7811))</f>
        <v/>
      </c>
    </row>
    <row r="7812" spans="5:19" x14ac:dyDescent="0.3">
      <c r="E7812" s="9" t="str">
        <f>IF(DADOS!C7812="","",DADOS!C7812)</f>
        <v/>
      </c>
      <c r="F7812" s="9" t="str">
        <f>IF(DADOS!E7812="","",DADOS!E7812)</f>
        <v/>
      </c>
      <c r="G7812" s="9" t="str">
        <f>IF(DADOS!F7812="","",DADOS!F7812)</f>
        <v/>
      </c>
      <c r="K7812" s="6" t="str">
        <f t="shared" ref="K7812:K7875" si="615">IF(F7812="","",F7812/PI())</f>
        <v/>
      </c>
      <c r="L7812" s="7" t="str">
        <f t="shared" ref="L7812:L7875" si="616">IF(K7812="","",(PI()*K7812^2)/40000)</f>
        <v/>
      </c>
      <c r="M7812" s="7" t="str">
        <f t="shared" si="613"/>
        <v/>
      </c>
      <c r="N7812" s="7" t="str">
        <f t="shared" ref="N7812:N7875" si="617">IF(M7812="","",M7812*N$1)</f>
        <v/>
      </c>
      <c r="O7812" s="8"/>
      <c r="P7812" s="26"/>
      <c r="S7812" s="10" t="str">
        <f t="shared" si="614"/>
        <v/>
      </c>
    </row>
    <row r="7813" spans="5:19" x14ac:dyDescent="0.3">
      <c r="E7813" s="9" t="str">
        <f>IF(DADOS!C7813="","",DADOS!C7813)</f>
        <v/>
      </c>
      <c r="F7813" s="9" t="str">
        <f>IF(DADOS!E7813="","",DADOS!E7813)</f>
        <v/>
      </c>
      <c r="G7813" s="9" t="str">
        <f>IF(DADOS!F7813="","",DADOS!F7813)</f>
        <v/>
      </c>
      <c r="K7813" s="6" t="str">
        <f t="shared" si="615"/>
        <v/>
      </c>
      <c r="L7813" s="7" t="str">
        <f t="shared" si="616"/>
        <v/>
      </c>
      <c r="M7813" s="7" t="str">
        <f t="shared" si="613"/>
        <v/>
      </c>
      <c r="N7813" s="7" t="str">
        <f t="shared" si="617"/>
        <v/>
      </c>
      <c r="O7813" s="8"/>
      <c r="P7813" s="26"/>
      <c r="S7813" s="10" t="str">
        <f t="shared" si="614"/>
        <v/>
      </c>
    </row>
    <row r="7814" spans="5:19" x14ac:dyDescent="0.3">
      <c r="E7814" s="9" t="str">
        <f>IF(DADOS!C7814="","",DADOS!C7814)</f>
        <v/>
      </c>
      <c r="F7814" s="9" t="str">
        <f>IF(DADOS!E7814="","",DADOS!E7814)</f>
        <v/>
      </c>
      <c r="G7814" s="9" t="str">
        <f>IF(DADOS!F7814="","",DADOS!F7814)</f>
        <v/>
      </c>
      <c r="K7814" s="6" t="str">
        <f t="shared" si="615"/>
        <v/>
      </c>
      <c r="L7814" s="7" t="str">
        <f t="shared" si="616"/>
        <v/>
      </c>
      <c r="M7814" s="7" t="str">
        <f t="shared" si="613"/>
        <v/>
      </c>
      <c r="N7814" s="7" t="str">
        <f t="shared" si="617"/>
        <v/>
      </c>
      <c r="O7814" s="8"/>
      <c r="P7814" s="26"/>
      <c r="S7814" s="10" t="str">
        <f t="shared" si="614"/>
        <v/>
      </c>
    </row>
    <row r="7815" spans="5:19" x14ac:dyDescent="0.3">
      <c r="E7815" s="9" t="str">
        <f>IF(DADOS!C7815="","",DADOS!C7815)</f>
        <v/>
      </c>
      <c r="F7815" s="9" t="str">
        <f>IF(DADOS!E7815="","",DADOS!E7815)</f>
        <v/>
      </c>
      <c r="G7815" s="9" t="str">
        <f>IF(DADOS!F7815="","",DADOS!F7815)</f>
        <v/>
      </c>
      <c r="K7815" s="6" t="str">
        <f t="shared" si="615"/>
        <v/>
      </c>
      <c r="L7815" s="7" t="str">
        <f t="shared" si="616"/>
        <v/>
      </c>
      <c r="M7815" s="7" t="str">
        <f t="shared" si="613"/>
        <v/>
      </c>
      <c r="N7815" s="7" t="str">
        <f t="shared" si="617"/>
        <v/>
      </c>
      <c r="O7815" s="8"/>
      <c r="P7815" s="26"/>
      <c r="S7815" s="10" t="str">
        <f t="shared" si="614"/>
        <v/>
      </c>
    </row>
    <row r="7816" spans="5:19" x14ac:dyDescent="0.3">
      <c r="E7816" s="9" t="str">
        <f>IF(DADOS!C7816="","",DADOS!C7816)</f>
        <v/>
      </c>
      <c r="F7816" s="9" t="str">
        <f>IF(DADOS!E7816="","",DADOS!E7816)</f>
        <v/>
      </c>
      <c r="G7816" s="9" t="str">
        <f>IF(DADOS!F7816="","",DADOS!F7816)</f>
        <v/>
      </c>
      <c r="K7816" s="6" t="str">
        <f t="shared" si="615"/>
        <v/>
      </c>
      <c r="L7816" s="7" t="str">
        <f t="shared" si="616"/>
        <v/>
      </c>
      <c r="M7816" s="7" t="str">
        <f t="shared" si="613"/>
        <v/>
      </c>
      <c r="N7816" s="7" t="str">
        <f t="shared" si="617"/>
        <v/>
      </c>
      <c r="O7816" s="8"/>
      <c r="P7816" s="26"/>
      <c r="S7816" s="10" t="str">
        <f t="shared" si="614"/>
        <v/>
      </c>
    </row>
    <row r="7817" spans="5:19" x14ac:dyDescent="0.3">
      <c r="E7817" s="9" t="str">
        <f>IF(DADOS!C7817="","",DADOS!C7817)</f>
        <v/>
      </c>
      <c r="F7817" s="9" t="str">
        <f>IF(DADOS!E7817="","",DADOS!E7817)</f>
        <v/>
      </c>
      <c r="G7817" s="9" t="str">
        <f>IF(DADOS!F7817="","",DADOS!F7817)</f>
        <v/>
      </c>
      <c r="K7817" s="6" t="str">
        <f t="shared" si="615"/>
        <v/>
      </c>
      <c r="L7817" s="7" t="str">
        <f t="shared" si="616"/>
        <v/>
      </c>
      <c r="M7817" s="7" t="str">
        <f t="shared" si="613"/>
        <v/>
      </c>
      <c r="N7817" s="7" t="str">
        <f t="shared" si="617"/>
        <v/>
      </c>
      <c r="O7817" s="8"/>
      <c r="P7817" s="26"/>
      <c r="S7817" s="10" t="str">
        <f t="shared" si="614"/>
        <v/>
      </c>
    </row>
    <row r="7818" spans="5:19" x14ac:dyDescent="0.3">
      <c r="E7818" s="9" t="str">
        <f>IF(DADOS!C7818="","",DADOS!C7818)</f>
        <v/>
      </c>
      <c r="F7818" s="9" t="str">
        <f>IF(DADOS!E7818="","",DADOS!E7818)</f>
        <v/>
      </c>
      <c r="G7818" s="9" t="str">
        <f>IF(DADOS!F7818="","",DADOS!F7818)</f>
        <v/>
      </c>
      <c r="K7818" s="6" t="str">
        <f t="shared" si="615"/>
        <v/>
      </c>
      <c r="L7818" s="7" t="str">
        <f t="shared" si="616"/>
        <v/>
      </c>
      <c r="M7818" s="7" t="str">
        <f t="shared" si="613"/>
        <v/>
      </c>
      <c r="N7818" s="7" t="str">
        <f t="shared" si="617"/>
        <v/>
      </c>
      <c r="O7818" s="8"/>
      <c r="P7818" s="26"/>
      <c r="S7818" s="10" t="str">
        <f t="shared" si="614"/>
        <v/>
      </c>
    </row>
    <row r="7819" spans="5:19" x14ac:dyDescent="0.3">
      <c r="E7819" s="9" t="str">
        <f>IF(DADOS!C7819="","",DADOS!C7819)</f>
        <v/>
      </c>
      <c r="F7819" s="9" t="str">
        <f>IF(DADOS!E7819="","",DADOS!E7819)</f>
        <v/>
      </c>
      <c r="G7819" s="9" t="str">
        <f>IF(DADOS!F7819="","",DADOS!F7819)</f>
        <v/>
      </c>
      <c r="K7819" s="6" t="str">
        <f t="shared" si="615"/>
        <v/>
      </c>
      <c r="L7819" s="7" t="str">
        <f t="shared" si="616"/>
        <v/>
      </c>
      <c r="M7819" s="7" t="str">
        <f t="shared" si="613"/>
        <v/>
      </c>
      <c r="N7819" s="7" t="str">
        <f t="shared" si="617"/>
        <v/>
      </c>
      <c r="O7819" s="8"/>
      <c r="P7819" s="26"/>
      <c r="S7819" s="10" t="str">
        <f t="shared" si="614"/>
        <v/>
      </c>
    </row>
    <row r="7820" spans="5:19" x14ac:dyDescent="0.3">
      <c r="E7820" s="9" t="str">
        <f>IF(DADOS!C7820="","",DADOS!C7820)</f>
        <v/>
      </c>
      <c r="F7820" s="9" t="str">
        <f>IF(DADOS!E7820="","",DADOS!E7820)</f>
        <v/>
      </c>
      <c r="G7820" s="9" t="str">
        <f>IF(DADOS!F7820="","",DADOS!F7820)</f>
        <v/>
      </c>
      <c r="K7820" s="6" t="str">
        <f t="shared" si="615"/>
        <v/>
      </c>
      <c r="L7820" s="7" t="str">
        <f t="shared" si="616"/>
        <v/>
      </c>
      <c r="M7820" s="7" t="str">
        <f t="shared" si="613"/>
        <v/>
      </c>
      <c r="N7820" s="7" t="str">
        <f t="shared" si="617"/>
        <v/>
      </c>
      <c r="O7820" s="8"/>
      <c r="P7820" s="26"/>
      <c r="S7820" s="10" t="str">
        <f t="shared" si="614"/>
        <v/>
      </c>
    </row>
    <row r="7821" spans="5:19" x14ac:dyDescent="0.3">
      <c r="E7821" s="9" t="str">
        <f>IF(DADOS!C7821="","",DADOS!C7821)</f>
        <v/>
      </c>
      <c r="F7821" s="9" t="str">
        <f>IF(DADOS!E7821="","",DADOS!E7821)</f>
        <v/>
      </c>
      <c r="G7821" s="9" t="str">
        <f>IF(DADOS!F7821="","",DADOS!F7821)</f>
        <v/>
      </c>
      <c r="K7821" s="6" t="str">
        <f t="shared" si="615"/>
        <v/>
      </c>
      <c r="L7821" s="7" t="str">
        <f t="shared" si="616"/>
        <v/>
      </c>
      <c r="M7821" s="7" t="str">
        <f t="shared" si="613"/>
        <v/>
      </c>
      <c r="N7821" s="7" t="str">
        <f t="shared" si="617"/>
        <v/>
      </c>
      <c r="O7821" s="8"/>
      <c r="P7821" s="26"/>
      <c r="S7821" s="10" t="str">
        <f t="shared" si="614"/>
        <v/>
      </c>
    </row>
    <row r="7822" spans="5:19" x14ac:dyDescent="0.3">
      <c r="E7822" s="9" t="str">
        <f>IF(DADOS!C7822="","",DADOS!C7822)</f>
        <v/>
      </c>
      <c r="F7822" s="9" t="str">
        <f>IF(DADOS!E7822="","",DADOS!E7822)</f>
        <v/>
      </c>
      <c r="G7822" s="9" t="str">
        <f>IF(DADOS!F7822="","",DADOS!F7822)</f>
        <v/>
      </c>
      <c r="K7822" s="6" t="str">
        <f t="shared" si="615"/>
        <v/>
      </c>
      <c r="L7822" s="7" t="str">
        <f t="shared" si="616"/>
        <v/>
      </c>
      <c r="M7822" s="7" t="str">
        <f t="shared" si="613"/>
        <v/>
      </c>
      <c r="N7822" s="7" t="str">
        <f t="shared" si="617"/>
        <v/>
      </c>
      <c r="O7822" s="8"/>
      <c r="P7822" s="26"/>
      <c r="S7822" s="10" t="str">
        <f t="shared" si="614"/>
        <v/>
      </c>
    </row>
    <row r="7823" spans="5:19" x14ac:dyDescent="0.3">
      <c r="E7823" s="9" t="str">
        <f>IF(DADOS!C7823="","",DADOS!C7823)</f>
        <v/>
      </c>
      <c r="F7823" s="9" t="str">
        <f>IF(DADOS!E7823="","",DADOS!E7823)</f>
        <v/>
      </c>
      <c r="G7823" s="9" t="str">
        <f>IF(DADOS!F7823="","",DADOS!F7823)</f>
        <v/>
      </c>
      <c r="K7823" s="6" t="str">
        <f t="shared" si="615"/>
        <v/>
      </c>
      <c r="L7823" s="7" t="str">
        <f t="shared" si="616"/>
        <v/>
      </c>
      <c r="M7823" s="7" t="str">
        <f t="shared" si="613"/>
        <v/>
      </c>
      <c r="N7823" s="7" t="str">
        <f t="shared" si="617"/>
        <v/>
      </c>
      <c r="O7823" s="8"/>
      <c r="P7823" s="26"/>
      <c r="S7823" s="10" t="str">
        <f t="shared" si="614"/>
        <v/>
      </c>
    </row>
    <row r="7824" spans="5:19" x14ac:dyDescent="0.3">
      <c r="E7824" s="9" t="str">
        <f>IF(DADOS!C7824="","",DADOS!C7824)</f>
        <v/>
      </c>
      <c r="F7824" s="9" t="str">
        <f>IF(DADOS!E7824="","",DADOS!E7824)</f>
        <v/>
      </c>
      <c r="G7824" s="9" t="str">
        <f>IF(DADOS!F7824="","",DADOS!F7824)</f>
        <v/>
      </c>
      <c r="K7824" s="6" t="str">
        <f t="shared" si="615"/>
        <v/>
      </c>
      <c r="L7824" s="7" t="str">
        <f t="shared" si="616"/>
        <v/>
      </c>
      <c r="M7824" s="7" t="str">
        <f t="shared" si="613"/>
        <v/>
      </c>
      <c r="N7824" s="7" t="str">
        <f t="shared" si="617"/>
        <v/>
      </c>
      <c r="O7824" s="8"/>
      <c r="P7824" s="26"/>
      <c r="S7824" s="10" t="str">
        <f t="shared" si="614"/>
        <v/>
      </c>
    </row>
    <row r="7825" spans="5:19" x14ac:dyDescent="0.3">
      <c r="E7825" s="9" t="str">
        <f>IF(DADOS!C7825="","",DADOS!C7825)</f>
        <v/>
      </c>
      <c r="F7825" s="9" t="str">
        <f>IF(DADOS!E7825="","",DADOS!E7825)</f>
        <v/>
      </c>
      <c r="G7825" s="9" t="str">
        <f>IF(DADOS!F7825="","",DADOS!F7825)</f>
        <v/>
      </c>
      <c r="K7825" s="6" t="str">
        <f t="shared" si="615"/>
        <v/>
      </c>
      <c r="L7825" s="7" t="str">
        <f t="shared" si="616"/>
        <v/>
      </c>
      <c r="M7825" s="7" t="str">
        <f t="shared" si="613"/>
        <v/>
      </c>
      <c r="N7825" s="7" t="str">
        <f t="shared" si="617"/>
        <v/>
      </c>
      <c r="O7825" s="8"/>
      <c r="P7825" s="26"/>
      <c r="S7825" s="10" t="str">
        <f t="shared" si="614"/>
        <v/>
      </c>
    </row>
    <row r="7826" spans="5:19" x14ac:dyDescent="0.3">
      <c r="E7826" s="9" t="str">
        <f>IF(DADOS!C7826="","",DADOS!C7826)</f>
        <v/>
      </c>
      <c r="F7826" s="9" t="str">
        <f>IF(DADOS!E7826="","",DADOS!E7826)</f>
        <v/>
      </c>
      <c r="G7826" s="9" t="str">
        <f>IF(DADOS!F7826="","",DADOS!F7826)</f>
        <v/>
      </c>
      <c r="K7826" s="6" t="str">
        <f t="shared" si="615"/>
        <v/>
      </c>
      <c r="L7826" s="7" t="str">
        <f t="shared" si="616"/>
        <v/>
      </c>
      <c r="M7826" s="7" t="str">
        <f t="shared" si="613"/>
        <v/>
      </c>
      <c r="N7826" s="7" t="str">
        <f t="shared" si="617"/>
        <v/>
      </c>
      <c r="O7826" s="8"/>
      <c r="P7826" s="26"/>
      <c r="S7826" s="10" t="str">
        <f t="shared" si="614"/>
        <v/>
      </c>
    </row>
    <row r="7827" spans="5:19" x14ac:dyDescent="0.3">
      <c r="E7827" s="9" t="str">
        <f>IF(DADOS!C7827="","",DADOS!C7827)</f>
        <v/>
      </c>
      <c r="F7827" s="9" t="str">
        <f>IF(DADOS!E7827="","",DADOS!E7827)</f>
        <v/>
      </c>
      <c r="G7827" s="9" t="str">
        <f>IF(DADOS!F7827="","",DADOS!F7827)</f>
        <v/>
      </c>
      <c r="K7827" s="6" t="str">
        <f t="shared" si="615"/>
        <v/>
      </c>
      <c r="L7827" s="7" t="str">
        <f t="shared" si="616"/>
        <v/>
      </c>
      <c r="M7827" s="7" t="str">
        <f t="shared" si="613"/>
        <v/>
      </c>
      <c r="N7827" s="7" t="str">
        <f t="shared" si="617"/>
        <v/>
      </c>
      <c r="O7827" s="8"/>
      <c r="P7827" s="26"/>
      <c r="S7827" s="10" t="str">
        <f t="shared" si="614"/>
        <v/>
      </c>
    </row>
    <row r="7828" spans="5:19" x14ac:dyDescent="0.3">
      <c r="E7828" s="9" t="str">
        <f>IF(DADOS!C7828="","",DADOS!C7828)</f>
        <v/>
      </c>
      <c r="F7828" s="9" t="str">
        <f>IF(DADOS!E7828="","",DADOS!E7828)</f>
        <v/>
      </c>
      <c r="G7828" s="9" t="str">
        <f>IF(DADOS!F7828="","",DADOS!F7828)</f>
        <v/>
      </c>
      <c r="K7828" s="6" t="str">
        <f t="shared" si="615"/>
        <v/>
      </c>
      <c r="L7828" s="7" t="str">
        <f t="shared" si="616"/>
        <v/>
      </c>
      <c r="M7828" s="7" t="str">
        <f t="shared" si="613"/>
        <v/>
      </c>
      <c r="N7828" s="7" t="str">
        <f t="shared" si="617"/>
        <v/>
      </c>
      <c r="O7828" s="8"/>
      <c r="P7828" s="26"/>
      <c r="S7828" s="10" t="str">
        <f t="shared" si="614"/>
        <v/>
      </c>
    </row>
    <row r="7829" spans="5:19" x14ac:dyDescent="0.3">
      <c r="E7829" s="9" t="str">
        <f>IF(DADOS!C7829="","",DADOS!C7829)</f>
        <v/>
      </c>
      <c r="F7829" s="9" t="str">
        <f>IF(DADOS!E7829="","",DADOS!E7829)</f>
        <v/>
      </c>
      <c r="G7829" s="9" t="str">
        <f>IF(DADOS!F7829="","",DADOS!F7829)</f>
        <v/>
      </c>
      <c r="K7829" s="6" t="str">
        <f t="shared" si="615"/>
        <v/>
      </c>
      <c r="L7829" s="7" t="str">
        <f t="shared" si="616"/>
        <v/>
      </c>
      <c r="M7829" s="7" t="str">
        <f t="shared" si="613"/>
        <v/>
      </c>
      <c r="N7829" s="7" t="str">
        <f t="shared" si="617"/>
        <v/>
      </c>
      <c r="O7829" s="8"/>
      <c r="P7829" s="26"/>
      <c r="S7829" s="10" t="str">
        <f t="shared" si="614"/>
        <v/>
      </c>
    </row>
    <row r="7830" spans="5:19" x14ac:dyDescent="0.3">
      <c r="E7830" s="9" t="str">
        <f>IF(DADOS!C7830="","",DADOS!C7830)</f>
        <v/>
      </c>
      <c r="F7830" s="9" t="str">
        <f>IF(DADOS!E7830="","",DADOS!E7830)</f>
        <v/>
      </c>
      <c r="G7830" s="9" t="str">
        <f>IF(DADOS!F7830="","",DADOS!F7830)</f>
        <v/>
      </c>
      <c r="K7830" s="6" t="str">
        <f t="shared" si="615"/>
        <v/>
      </c>
      <c r="L7830" s="7" t="str">
        <f t="shared" si="616"/>
        <v/>
      </c>
      <c r="M7830" s="7" t="str">
        <f t="shared" si="613"/>
        <v/>
      </c>
      <c r="N7830" s="7" t="str">
        <f t="shared" si="617"/>
        <v/>
      </c>
      <c r="O7830" s="8"/>
      <c r="P7830" s="26"/>
      <c r="S7830" s="10" t="str">
        <f t="shared" si="614"/>
        <v/>
      </c>
    </row>
    <row r="7831" spans="5:19" x14ac:dyDescent="0.3">
      <c r="E7831" s="9" t="str">
        <f>IF(DADOS!C7831="","",DADOS!C7831)</f>
        <v/>
      </c>
      <c r="F7831" s="9" t="str">
        <f>IF(DADOS!E7831="","",DADOS!E7831)</f>
        <v/>
      </c>
      <c r="G7831" s="9" t="str">
        <f>IF(DADOS!F7831="","",DADOS!F7831)</f>
        <v/>
      </c>
      <c r="K7831" s="6" t="str">
        <f t="shared" si="615"/>
        <v/>
      </c>
      <c r="L7831" s="7" t="str">
        <f t="shared" si="616"/>
        <v/>
      </c>
      <c r="M7831" s="7" t="str">
        <f t="shared" si="613"/>
        <v/>
      </c>
      <c r="N7831" s="7" t="str">
        <f t="shared" si="617"/>
        <v/>
      </c>
      <c r="O7831" s="8"/>
      <c r="P7831" s="26"/>
      <c r="S7831" s="10" t="str">
        <f t="shared" si="614"/>
        <v/>
      </c>
    </row>
    <row r="7832" spans="5:19" x14ac:dyDescent="0.3">
      <c r="E7832" s="9" t="str">
        <f>IF(DADOS!C7832="","",DADOS!C7832)</f>
        <v/>
      </c>
      <c r="F7832" s="9" t="str">
        <f>IF(DADOS!E7832="","",DADOS!E7832)</f>
        <v/>
      </c>
      <c r="G7832" s="9" t="str">
        <f>IF(DADOS!F7832="","",DADOS!F7832)</f>
        <v/>
      </c>
      <c r="K7832" s="6" t="str">
        <f t="shared" si="615"/>
        <v/>
      </c>
      <c r="L7832" s="7" t="str">
        <f t="shared" si="616"/>
        <v/>
      </c>
      <c r="M7832" s="7" t="str">
        <f t="shared" si="613"/>
        <v/>
      </c>
      <c r="N7832" s="7" t="str">
        <f t="shared" si="617"/>
        <v/>
      </c>
      <c r="O7832" s="8"/>
      <c r="P7832" s="26"/>
      <c r="S7832" s="10" t="str">
        <f t="shared" si="614"/>
        <v/>
      </c>
    </row>
    <row r="7833" spans="5:19" x14ac:dyDescent="0.3">
      <c r="E7833" s="9" t="str">
        <f>IF(DADOS!C7833="","",DADOS!C7833)</f>
        <v/>
      </c>
      <c r="F7833" s="9" t="str">
        <f>IF(DADOS!E7833="","",DADOS!E7833)</f>
        <v/>
      </c>
      <c r="G7833" s="9" t="str">
        <f>IF(DADOS!F7833="","",DADOS!F7833)</f>
        <v/>
      </c>
      <c r="K7833" s="6" t="str">
        <f t="shared" si="615"/>
        <v/>
      </c>
      <c r="L7833" s="7" t="str">
        <f t="shared" si="616"/>
        <v/>
      </c>
      <c r="M7833" s="7" t="str">
        <f t="shared" si="613"/>
        <v/>
      </c>
      <c r="N7833" s="7" t="str">
        <f t="shared" si="617"/>
        <v/>
      </c>
      <c r="O7833" s="8"/>
      <c r="P7833" s="26"/>
      <c r="S7833" s="10" t="str">
        <f t="shared" si="614"/>
        <v/>
      </c>
    </row>
    <row r="7834" spans="5:19" x14ac:dyDescent="0.3">
      <c r="E7834" s="9" t="str">
        <f>IF(DADOS!C7834="","",DADOS!C7834)</f>
        <v/>
      </c>
      <c r="F7834" s="9" t="str">
        <f>IF(DADOS!E7834="","",DADOS!E7834)</f>
        <v/>
      </c>
      <c r="G7834" s="9" t="str">
        <f>IF(DADOS!F7834="","",DADOS!F7834)</f>
        <v/>
      </c>
      <c r="K7834" s="6" t="str">
        <f t="shared" si="615"/>
        <v/>
      </c>
      <c r="L7834" s="7" t="str">
        <f t="shared" si="616"/>
        <v/>
      </c>
      <c r="M7834" s="7" t="str">
        <f t="shared" si="613"/>
        <v/>
      </c>
      <c r="N7834" s="7" t="str">
        <f t="shared" si="617"/>
        <v/>
      </c>
      <c r="O7834" s="8"/>
      <c r="P7834" s="26"/>
      <c r="S7834" s="10" t="str">
        <f t="shared" si="614"/>
        <v/>
      </c>
    </row>
    <row r="7835" spans="5:19" x14ac:dyDescent="0.3">
      <c r="E7835" s="9" t="str">
        <f>IF(DADOS!C7835="","",DADOS!C7835)</f>
        <v/>
      </c>
      <c r="F7835" s="9" t="str">
        <f>IF(DADOS!E7835="","",DADOS!E7835)</f>
        <v/>
      </c>
      <c r="G7835" s="9" t="str">
        <f>IF(DADOS!F7835="","",DADOS!F7835)</f>
        <v/>
      </c>
      <c r="K7835" s="6" t="str">
        <f t="shared" si="615"/>
        <v/>
      </c>
      <c r="L7835" s="7" t="str">
        <f t="shared" si="616"/>
        <v/>
      </c>
      <c r="M7835" s="7" t="str">
        <f t="shared" si="613"/>
        <v/>
      </c>
      <c r="N7835" s="7" t="str">
        <f t="shared" si="617"/>
        <v/>
      </c>
      <c r="O7835" s="8"/>
      <c r="P7835" s="26"/>
      <c r="S7835" s="10" t="str">
        <f t="shared" si="614"/>
        <v/>
      </c>
    </row>
    <row r="7836" spans="5:19" x14ac:dyDescent="0.3">
      <c r="E7836" s="9" t="str">
        <f>IF(DADOS!C7836="","",DADOS!C7836)</f>
        <v/>
      </c>
      <c r="F7836" s="9" t="str">
        <f>IF(DADOS!E7836="","",DADOS!E7836)</f>
        <v/>
      </c>
      <c r="G7836" s="9" t="str">
        <f>IF(DADOS!F7836="","",DADOS!F7836)</f>
        <v/>
      </c>
      <c r="K7836" s="6" t="str">
        <f t="shared" si="615"/>
        <v/>
      </c>
      <c r="L7836" s="7" t="str">
        <f t="shared" si="616"/>
        <v/>
      </c>
      <c r="M7836" s="7" t="str">
        <f t="shared" si="613"/>
        <v/>
      </c>
      <c r="N7836" s="7" t="str">
        <f t="shared" si="617"/>
        <v/>
      </c>
      <c r="O7836" s="8"/>
      <c r="P7836" s="26"/>
      <c r="S7836" s="10" t="str">
        <f t="shared" si="614"/>
        <v/>
      </c>
    </row>
    <row r="7837" spans="5:19" x14ac:dyDescent="0.3">
      <c r="E7837" s="9" t="str">
        <f>IF(DADOS!C7837="","",DADOS!C7837)</f>
        <v/>
      </c>
      <c r="F7837" s="9" t="str">
        <f>IF(DADOS!E7837="","",DADOS!E7837)</f>
        <v/>
      </c>
      <c r="G7837" s="9" t="str">
        <f>IF(DADOS!F7837="","",DADOS!F7837)</f>
        <v/>
      </c>
      <c r="K7837" s="6" t="str">
        <f t="shared" si="615"/>
        <v/>
      </c>
      <c r="L7837" s="7" t="str">
        <f t="shared" si="616"/>
        <v/>
      </c>
      <c r="M7837" s="7" t="str">
        <f t="shared" si="613"/>
        <v/>
      </c>
      <c r="N7837" s="7" t="str">
        <f t="shared" si="617"/>
        <v/>
      </c>
      <c r="O7837" s="8"/>
      <c r="P7837" s="26"/>
      <c r="S7837" s="10" t="str">
        <f t="shared" si="614"/>
        <v/>
      </c>
    </row>
    <row r="7838" spans="5:19" x14ac:dyDescent="0.3">
      <c r="E7838" s="9" t="str">
        <f>IF(DADOS!C7838="","",DADOS!C7838)</f>
        <v/>
      </c>
      <c r="F7838" s="9" t="str">
        <f>IF(DADOS!E7838="","",DADOS!E7838)</f>
        <v/>
      </c>
      <c r="G7838" s="9" t="str">
        <f>IF(DADOS!F7838="","",DADOS!F7838)</f>
        <v/>
      </c>
      <c r="K7838" s="6" t="str">
        <f t="shared" si="615"/>
        <v/>
      </c>
      <c r="L7838" s="7" t="str">
        <f t="shared" si="616"/>
        <v/>
      </c>
      <c r="M7838" s="7" t="str">
        <f t="shared" si="613"/>
        <v/>
      </c>
      <c r="N7838" s="7" t="str">
        <f t="shared" si="617"/>
        <v/>
      </c>
      <c r="O7838" s="8"/>
      <c r="P7838" s="26"/>
      <c r="S7838" s="10" t="str">
        <f t="shared" si="614"/>
        <v/>
      </c>
    </row>
    <row r="7839" spans="5:19" x14ac:dyDescent="0.3">
      <c r="E7839" s="9" t="str">
        <f>IF(DADOS!C7839="","",DADOS!C7839)</f>
        <v/>
      </c>
      <c r="F7839" s="9" t="str">
        <f>IF(DADOS!E7839="","",DADOS!E7839)</f>
        <v/>
      </c>
      <c r="G7839" s="9" t="str">
        <f>IF(DADOS!F7839="","",DADOS!F7839)</f>
        <v/>
      </c>
      <c r="K7839" s="6" t="str">
        <f t="shared" si="615"/>
        <v/>
      </c>
      <c r="L7839" s="7" t="str">
        <f t="shared" si="616"/>
        <v/>
      </c>
      <c r="M7839" s="7" t="str">
        <f t="shared" si="613"/>
        <v/>
      </c>
      <c r="N7839" s="7" t="str">
        <f t="shared" si="617"/>
        <v/>
      </c>
      <c r="O7839" s="8"/>
      <c r="P7839" s="26"/>
      <c r="S7839" s="10" t="str">
        <f t="shared" si="614"/>
        <v/>
      </c>
    </row>
    <row r="7840" spans="5:19" x14ac:dyDescent="0.3">
      <c r="E7840" s="9" t="str">
        <f>IF(DADOS!C7840="","",DADOS!C7840)</f>
        <v/>
      </c>
      <c r="F7840" s="9" t="str">
        <f>IF(DADOS!E7840="","",DADOS!E7840)</f>
        <v/>
      </c>
      <c r="G7840" s="9" t="str">
        <f>IF(DADOS!F7840="","",DADOS!F7840)</f>
        <v/>
      </c>
      <c r="K7840" s="6" t="str">
        <f t="shared" si="615"/>
        <v/>
      </c>
      <c r="L7840" s="7" t="str">
        <f t="shared" si="616"/>
        <v/>
      </c>
      <c r="M7840" s="7" t="str">
        <f t="shared" si="613"/>
        <v/>
      </c>
      <c r="N7840" s="7" t="str">
        <f t="shared" si="617"/>
        <v/>
      </c>
      <c r="O7840" s="8"/>
      <c r="P7840" s="26"/>
      <c r="S7840" s="10" t="str">
        <f t="shared" si="614"/>
        <v/>
      </c>
    </row>
    <row r="7841" spans="5:19" x14ac:dyDescent="0.3">
      <c r="E7841" s="9" t="str">
        <f>IF(DADOS!C7841="","",DADOS!C7841)</f>
        <v/>
      </c>
      <c r="F7841" s="9" t="str">
        <f>IF(DADOS!E7841="","",DADOS!E7841)</f>
        <v/>
      </c>
      <c r="G7841" s="9" t="str">
        <f>IF(DADOS!F7841="","",DADOS!F7841)</f>
        <v/>
      </c>
      <c r="K7841" s="6" t="str">
        <f t="shared" si="615"/>
        <v/>
      </c>
      <c r="L7841" s="7" t="str">
        <f t="shared" si="616"/>
        <v/>
      </c>
      <c r="M7841" s="7" t="str">
        <f t="shared" si="613"/>
        <v/>
      </c>
      <c r="N7841" s="7" t="str">
        <f t="shared" si="617"/>
        <v/>
      </c>
      <c r="O7841" s="8"/>
      <c r="P7841" s="26"/>
      <c r="S7841" s="10" t="str">
        <f t="shared" si="614"/>
        <v/>
      </c>
    </row>
    <row r="7842" spans="5:19" x14ac:dyDescent="0.3">
      <c r="E7842" s="9" t="str">
        <f>IF(DADOS!C7842="","",DADOS!C7842)</f>
        <v/>
      </c>
      <c r="F7842" s="9" t="str">
        <f>IF(DADOS!E7842="","",DADOS!E7842)</f>
        <v/>
      </c>
      <c r="G7842" s="9" t="str">
        <f>IF(DADOS!F7842="","",DADOS!F7842)</f>
        <v/>
      </c>
      <c r="K7842" s="6" t="str">
        <f t="shared" si="615"/>
        <v/>
      </c>
      <c r="L7842" s="7" t="str">
        <f t="shared" si="616"/>
        <v/>
      </c>
      <c r="M7842" s="7" t="str">
        <f t="shared" si="613"/>
        <v/>
      </c>
      <c r="N7842" s="7" t="str">
        <f t="shared" si="617"/>
        <v/>
      </c>
      <c r="O7842" s="8"/>
      <c r="P7842" s="26"/>
      <c r="S7842" s="10" t="str">
        <f t="shared" si="614"/>
        <v/>
      </c>
    </row>
    <row r="7843" spans="5:19" x14ac:dyDescent="0.3">
      <c r="E7843" s="9" t="str">
        <f>IF(DADOS!C7843="","",DADOS!C7843)</f>
        <v/>
      </c>
      <c r="F7843" s="9" t="str">
        <f>IF(DADOS!E7843="","",DADOS!E7843)</f>
        <v/>
      </c>
      <c r="G7843" s="9" t="str">
        <f>IF(DADOS!F7843="","",DADOS!F7843)</f>
        <v/>
      </c>
      <c r="K7843" s="6" t="str">
        <f t="shared" si="615"/>
        <v/>
      </c>
      <c r="L7843" s="7" t="str">
        <f t="shared" si="616"/>
        <v/>
      </c>
      <c r="M7843" s="7" t="str">
        <f t="shared" si="613"/>
        <v/>
      </c>
      <c r="N7843" s="7" t="str">
        <f t="shared" si="617"/>
        <v/>
      </c>
      <c r="O7843" s="8"/>
      <c r="P7843" s="26"/>
      <c r="S7843" s="10" t="str">
        <f t="shared" si="614"/>
        <v/>
      </c>
    </row>
    <row r="7844" spans="5:19" x14ac:dyDescent="0.3">
      <c r="E7844" s="9" t="str">
        <f>IF(DADOS!C7844="","",DADOS!C7844)</f>
        <v/>
      </c>
      <c r="F7844" s="9" t="str">
        <f>IF(DADOS!E7844="","",DADOS!E7844)</f>
        <v/>
      </c>
      <c r="G7844" s="9" t="str">
        <f>IF(DADOS!F7844="","",DADOS!F7844)</f>
        <v/>
      </c>
      <c r="K7844" s="6" t="str">
        <f t="shared" si="615"/>
        <v/>
      </c>
      <c r="L7844" s="7" t="str">
        <f t="shared" si="616"/>
        <v/>
      </c>
      <c r="M7844" s="7" t="str">
        <f t="shared" si="613"/>
        <v/>
      </c>
      <c r="N7844" s="7" t="str">
        <f t="shared" si="617"/>
        <v/>
      </c>
      <c r="O7844" s="8"/>
      <c r="P7844" s="26"/>
      <c r="S7844" s="10" t="str">
        <f t="shared" si="614"/>
        <v/>
      </c>
    </row>
    <row r="7845" spans="5:19" x14ac:dyDescent="0.3">
      <c r="E7845" s="9" t="str">
        <f>IF(DADOS!C7845="","",DADOS!C7845)</f>
        <v/>
      </c>
      <c r="F7845" s="9" t="str">
        <f>IF(DADOS!E7845="","",DADOS!E7845)</f>
        <v/>
      </c>
      <c r="G7845" s="9" t="str">
        <f>IF(DADOS!F7845="","",DADOS!F7845)</f>
        <v/>
      </c>
      <c r="K7845" s="6" t="str">
        <f t="shared" si="615"/>
        <v/>
      </c>
      <c r="L7845" s="7" t="str">
        <f t="shared" si="616"/>
        <v/>
      </c>
      <c r="M7845" s="7" t="str">
        <f t="shared" si="613"/>
        <v/>
      </c>
      <c r="N7845" s="7" t="str">
        <f t="shared" si="617"/>
        <v/>
      </c>
      <c r="O7845" s="8"/>
      <c r="P7845" s="26"/>
      <c r="S7845" s="10" t="str">
        <f t="shared" si="614"/>
        <v/>
      </c>
    </row>
    <row r="7846" spans="5:19" x14ac:dyDescent="0.3">
      <c r="E7846" s="9" t="str">
        <f>IF(DADOS!C7846="","",DADOS!C7846)</f>
        <v/>
      </c>
      <c r="F7846" s="9" t="str">
        <f>IF(DADOS!E7846="","",DADOS!E7846)</f>
        <v/>
      </c>
      <c r="G7846" s="9" t="str">
        <f>IF(DADOS!F7846="","",DADOS!F7846)</f>
        <v/>
      </c>
      <c r="K7846" s="6" t="str">
        <f t="shared" si="615"/>
        <v/>
      </c>
      <c r="L7846" s="7" t="str">
        <f t="shared" si="616"/>
        <v/>
      </c>
      <c r="M7846" s="7" t="str">
        <f t="shared" si="613"/>
        <v/>
      </c>
      <c r="N7846" s="7" t="str">
        <f t="shared" si="617"/>
        <v/>
      </c>
      <c r="O7846" s="8"/>
      <c r="P7846" s="26"/>
      <c r="S7846" s="10" t="str">
        <f t="shared" si="614"/>
        <v/>
      </c>
    </row>
    <row r="7847" spans="5:19" x14ac:dyDescent="0.3">
      <c r="E7847" s="9" t="str">
        <f>IF(DADOS!C7847="","",DADOS!C7847)</f>
        <v/>
      </c>
      <c r="F7847" s="9" t="str">
        <f>IF(DADOS!E7847="","",DADOS!E7847)</f>
        <v/>
      </c>
      <c r="G7847" s="9" t="str">
        <f>IF(DADOS!F7847="","",DADOS!F7847)</f>
        <v/>
      </c>
      <c r="K7847" s="6" t="str">
        <f t="shared" si="615"/>
        <v/>
      </c>
      <c r="L7847" s="7" t="str">
        <f t="shared" si="616"/>
        <v/>
      </c>
      <c r="M7847" s="7" t="str">
        <f t="shared" si="613"/>
        <v/>
      </c>
      <c r="N7847" s="7" t="str">
        <f t="shared" si="617"/>
        <v/>
      </c>
      <c r="O7847" s="8"/>
      <c r="P7847" s="26"/>
      <c r="S7847" s="10" t="str">
        <f t="shared" si="614"/>
        <v/>
      </c>
    </row>
    <row r="7848" spans="5:19" x14ac:dyDescent="0.3">
      <c r="E7848" s="9" t="str">
        <f>IF(DADOS!C7848="","",DADOS!C7848)</f>
        <v/>
      </c>
      <c r="F7848" s="9" t="str">
        <f>IF(DADOS!E7848="","",DADOS!E7848)</f>
        <v/>
      </c>
      <c r="G7848" s="9" t="str">
        <f>IF(DADOS!F7848="","",DADOS!F7848)</f>
        <v/>
      </c>
      <c r="K7848" s="6" t="str">
        <f t="shared" si="615"/>
        <v/>
      </c>
      <c r="L7848" s="7" t="str">
        <f t="shared" si="616"/>
        <v/>
      </c>
      <c r="M7848" s="7" t="str">
        <f t="shared" si="613"/>
        <v/>
      </c>
      <c r="N7848" s="7" t="str">
        <f t="shared" si="617"/>
        <v/>
      </c>
      <c r="O7848" s="8"/>
      <c r="P7848" s="26"/>
      <c r="S7848" s="10" t="str">
        <f t="shared" si="614"/>
        <v/>
      </c>
    </row>
    <row r="7849" spans="5:19" x14ac:dyDescent="0.3">
      <c r="E7849" s="9" t="str">
        <f>IF(DADOS!C7849="","",DADOS!C7849)</f>
        <v/>
      </c>
      <c r="F7849" s="9" t="str">
        <f>IF(DADOS!E7849="","",DADOS!E7849)</f>
        <v/>
      </c>
      <c r="G7849" s="9" t="str">
        <f>IF(DADOS!F7849="","",DADOS!F7849)</f>
        <v/>
      </c>
      <c r="K7849" s="6" t="str">
        <f t="shared" si="615"/>
        <v/>
      </c>
      <c r="L7849" s="7" t="str">
        <f t="shared" si="616"/>
        <v/>
      </c>
      <c r="M7849" s="7" t="str">
        <f t="shared" si="613"/>
        <v/>
      </c>
      <c r="N7849" s="7" t="str">
        <f t="shared" si="617"/>
        <v/>
      </c>
      <c r="O7849" s="8"/>
      <c r="P7849" s="26"/>
      <c r="S7849" s="10" t="str">
        <f t="shared" si="614"/>
        <v/>
      </c>
    </row>
    <row r="7850" spans="5:19" x14ac:dyDescent="0.3">
      <c r="E7850" s="9" t="str">
        <f>IF(DADOS!C7850="","",DADOS!C7850)</f>
        <v/>
      </c>
      <c r="F7850" s="9" t="str">
        <f>IF(DADOS!E7850="","",DADOS!E7850)</f>
        <v/>
      </c>
      <c r="G7850" s="9" t="str">
        <f>IF(DADOS!F7850="","",DADOS!F7850)</f>
        <v/>
      </c>
      <c r="K7850" s="6" t="str">
        <f t="shared" si="615"/>
        <v/>
      </c>
      <c r="L7850" s="7" t="str">
        <f t="shared" si="616"/>
        <v/>
      </c>
      <c r="M7850" s="7" t="str">
        <f t="shared" si="613"/>
        <v/>
      </c>
      <c r="N7850" s="7" t="str">
        <f t="shared" si="617"/>
        <v/>
      </c>
      <c r="O7850" s="8"/>
      <c r="P7850" s="26"/>
      <c r="S7850" s="10" t="str">
        <f t="shared" si="614"/>
        <v/>
      </c>
    </row>
    <row r="7851" spans="5:19" x14ac:dyDescent="0.3">
      <c r="E7851" s="9" t="str">
        <f>IF(DADOS!C7851="","",DADOS!C7851)</f>
        <v/>
      </c>
      <c r="F7851" s="9" t="str">
        <f>IF(DADOS!E7851="","",DADOS!E7851)</f>
        <v/>
      </c>
      <c r="G7851" s="9" t="str">
        <f>IF(DADOS!F7851="","",DADOS!F7851)</f>
        <v/>
      </c>
      <c r="K7851" s="6" t="str">
        <f t="shared" si="615"/>
        <v/>
      </c>
      <c r="L7851" s="7" t="str">
        <f t="shared" si="616"/>
        <v/>
      </c>
      <c r="M7851" s="7" t="str">
        <f t="shared" si="613"/>
        <v/>
      </c>
      <c r="N7851" s="7" t="str">
        <f t="shared" si="617"/>
        <v/>
      </c>
      <c r="O7851" s="8"/>
      <c r="P7851" s="26"/>
      <c r="S7851" s="10" t="str">
        <f t="shared" si="614"/>
        <v/>
      </c>
    </row>
    <row r="7852" spans="5:19" x14ac:dyDescent="0.3">
      <c r="E7852" s="9" t="str">
        <f>IF(DADOS!C7852="","",DADOS!C7852)</f>
        <v/>
      </c>
      <c r="F7852" s="9" t="str">
        <f>IF(DADOS!E7852="","",DADOS!E7852)</f>
        <v/>
      </c>
      <c r="G7852" s="9" t="str">
        <f>IF(DADOS!F7852="","",DADOS!F7852)</f>
        <v/>
      </c>
      <c r="K7852" s="6" t="str">
        <f t="shared" si="615"/>
        <v/>
      </c>
      <c r="L7852" s="7" t="str">
        <f t="shared" si="616"/>
        <v/>
      </c>
      <c r="M7852" s="7" t="str">
        <f t="shared" si="613"/>
        <v/>
      </c>
      <c r="N7852" s="7" t="str">
        <f t="shared" si="617"/>
        <v/>
      </c>
      <c r="O7852" s="8"/>
      <c r="P7852" s="26"/>
      <c r="S7852" s="10" t="str">
        <f t="shared" si="614"/>
        <v/>
      </c>
    </row>
    <row r="7853" spans="5:19" x14ac:dyDescent="0.3">
      <c r="E7853" s="9" t="str">
        <f>IF(DADOS!C7853="","",DADOS!C7853)</f>
        <v/>
      </c>
      <c r="F7853" s="9" t="str">
        <f>IF(DADOS!E7853="","",DADOS!E7853)</f>
        <v/>
      </c>
      <c r="G7853" s="9" t="str">
        <f>IF(DADOS!F7853="","",DADOS!F7853)</f>
        <v/>
      </c>
      <c r="K7853" s="6" t="str">
        <f t="shared" si="615"/>
        <v/>
      </c>
      <c r="L7853" s="7" t="str">
        <f t="shared" si="616"/>
        <v/>
      </c>
      <c r="M7853" s="7" t="str">
        <f t="shared" si="613"/>
        <v/>
      </c>
      <c r="N7853" s="7" t="str">
        <f t="shared" si="617"/>
        <v/>
      </c>
      <c r="O7853" s="8"/>
      <c r="P7853" s="26"/>
      <c r="S7853" s="10" t="str">
        <f t="shared" si="614"/>
        <v/>
      </c>
    </row>
    <row r="7854" spans="5:19" x14ac:dyDescent="0.3">
      <c r="E7854" s="9" t="str">
        <f>IF(DADOS!C7854="","",DADOS!C7854)</f>
        <v/>
      </c>
      <c r="F7854" s="9" t="str">
        <f>IF(DADOS!E7854="","",DADOS!E7854)</f>
        <v/>
      </c>
      <c r="G7854" s="9" t="str">
        <f>IF(DADOS!F7854="","",DADOS!F7854)</f>
        <v/>
      </c>
      <c r="K7854" s="6" t="str">
        <f t="shared" si="615"/>
        <v/>
      </c>
      <c r="L7854" s="7" t="str">
        <f t="shared" si="616"/>
        <v/>
      </c>
      <c r="M7854" s="7" t="str">
        <f t="shared" si="613"/>
        <v/>
      </c>
      <c r="N7854" s="7" t="str">
        <f t="shared" si="617"/>
        <v/>
      </c>
      <c r="O7854" s="8"/>
      <c r="P7854" s="26"/>
      <c r="S7854" s="10" t="str">
        <f t="shared" si="614"/>
        <v/>
      </c>
    </row>
    <row r="7855" spans="5:19" x14ac:dyDescent="0.3">
      <c r="E7855" s="9" t="str">
        <f>IF(DADOS!C7855="","",DADOS!C7855)</f>
        <v/>
      </c>
      <c r="F7855" s="9" t="str">
        <f>IF(DADOS!E7855="","",DADOS!E7855)</f>
        <v/>
      </c>
      <c r="G7855" s="9" t="str">
        <f>IF(DADOS!F7855="","",DADOS!F7855)</f>
        <v/>
      </c>
      <c r="K7855" s="6" t="str">
        <f t="shared" si="615"/>
        <v/>
      </c>
      <c r="L7855" s="7" t="str">
        <f t="shared" si="616"/>
        <v/>
      </c>
      <c r="M7855" s="7" t="str">
        <f t="shared" si="613"/>
        <v/>
      </c>
      <c r="N7855" s="7" t="str">
        <f t="shared" si="617"/>
        <v/>
      </c>
      <c r="O7855" s="8"/>
      <c r="P7855" s="26"/>
      <c r="S7855" s="10" t="str">
        <f t="shared" si="614"/>
        <v/>
      </c>
    </row>
    <row r="7856" spans="5:19" x14ac:dyDescent="0.3">
      <c r="E7856" s="9" t="str">
        <f>IF(DADOS!C7856="","",DADOS!C7856)</f>
        <v/>
      </c>
      <c r="F7856" s="9" t="str">
        <f>IF(DADOS!E7856="","",DADOS!E7856)</f>
        <v/>
      </c>
      <c r="G7856" s="9" t="str">
        <f>IF(DADOS!F7856="","",DADOS!F7856)</f>
        <v/>
      </c>
      <c r="K7856" s="6" t="str">
        <f t="shared" si="615"/>
        <v/>
      </c>
      <c r="L7856" s="7" t="str">
        <f t="shared" si="616"/>
        <v/>
      </c>
      <c r="M7856" s="7" t="str">
        <f t="shared" si="613"/>
        <v/>
      </c>
      <c r="N7856" s="7" t="str">
        <f t="shared" si="617"/>
        <v/>
      </c>
      <c r="O7856" s="8"/>
      <c r="P7856" s="26"/>
      <c r="S7856" s="10" t="str">
        <f t="shared" si="614"/>
        <v/>
      </c>
    </row>
    <row r="7857" spans="5:19" x14ac:dyDescent="0.3">
      <c r="E7857" s="9" t="str">
        <f>IF(DADOS!C7857="","",DADOS!C7857)</f>
        <v/>
      </c>
      <c r="F7857" s="9" t="str">
        <f>IF(DADOS!E7857="","",DADOS!E7857)</f>
        <v/>
      </c>
      <c r="G7857" s="9" t="str">
        <f>IF(DADOS!F7857="","",DADOS!F7857)</f>
        <v/>
      </c>
      <c r="K7857" s="6" t="str">
        <f t="shared" si="615"/>
        <v/>
      </c>
      <c r="L7857" s="7" t="str">
        <f t="shared" si="616"/>
        <v/>
      </c>
      <c r="M7857" s="7" t="str">
        <f t="shared" si="613"/>
        <v/>
      </c>
      <c r="N7857" s="7" t="str">
        <f t="shared" si="617"/>
        <v/>
      </c>
      <c r="O7857" s="8"/>
      <c r="P7857" s="26"/>
      <c r="S7857" s="10" t="str">
        <f t="shared" si="614"/>
        <v/>
      </c>
    </row>
    <row r="7858" spans="5:19" x14ac:dyDescent="0.3">
      <c r="E7858" s="9" t="str">
        <f>IF(DADOS!C7858="","",DADOS!C7858)</f>
        <v/>
      </c>
      <c r="F7858" s="9" t="str">
        <f>IF(DADOS!E7858="","",DADOS!E7858)</f>
        <v/>
      </c>
      <c r="G7858" s="9" t="str">
        <f>IF(DADOS!F7858="","",DADOS!F7858)</f>
        <v/>
      </c>
      <c r="K7858" s="6" t="str">
        <f t="shared" si="615"/>
        <v/>
      </c>
      <c r="L7858" s="7" t="str">
        <f t="shared" si="616"/>
        <v/>
      </c>
      <c r="M7858" s="7" t="str">
        <f t="shared" si="613"/>
        <v/>
      </c>
      <c r="N7858" s="7" t="str">
        <f t="shared" si="617"/>
        <v/>
      </c>
      <c r="O7858" s="8"/>
      <c r="P7858" s="26"/>
      <c r="S7858" s="10" t="str">
        <f t="shared" si="614"/>
        <v/>
      </c>
    </row>
    <row r="7859" spans="5:19" x14ac:dyDescent="0.3">
      <c r="E7859" s="9" t="str">
        <f>IF(DADOS!C7859="","",DADOS!C7859)</f>
        <v/>
      </c>
      <c r="F7859" s="9" t="str">
        <f>IF(DADOS!E7859="","",DADOS!E7859)</f>
        <v/>
      </c>
      <c r="G7859" s="9" t="str">
        <f>IF(DADOS!F7859="","",DADOS!F7859)</f>
        <v/>
      </c>
      <c r="K7859" s="6" t="str">
        <f t="shared" si="615"/>
        <v/>
      </c>
      <c r="L7859" s="7" t="str">
        <f t="shared" si="616"/>
        <v/>
      </c>
      <c r="M7859" s="7" t="str">
        <f t="shared" si="613"/>
        <v/>
      </c>
      <c r="N7859" s="7" t="str">
        <f t="shared" si="617"/>
        <v/>
      </c>
      <c r="O7859" s="8"/>
      <c r="P7859" s="26"/>
      <c r="S7859" s="10" t="str">
        <f t="shared" si="614"/>
        <v/>
      </c>
    </row>
    <row r="7860" spans="5:19" x14ac:dyDescent="0.3">
      <c r="E7860" s="9" t="str">
        <f>IF(DADOS!C7860="","",DADOS!C7860)</f>
        <v/>
      </c>
      <c r="F7860" s="9" t="str">
        <f>IF(DADOS!E7860="","",DADOS!E7860)</f>
        <v/>
      </c>
      <c r="G7860" s="9" t="str">
        <f>IF(DADOS!F7860="","",DADOS!F7860)</f>
        <v/>
      </c>
      <c r="K7860" s="6" t="str">
        <f t="shared" si="615"/>
        <v/>
      </c>
      <c r="L7860" s="7" t="str">
        <f t="shared" si="616"/>
        <v/>
      </c>
      <c r="M7860" s="7" t="str">
        <f t="shared" si="613"/>
        <v/>
      </c>
      <c r="N7860" s="7" t="str">
        <f t="shared" si="617"/>
        <v/>
      </c>
      <c r="O7860" s="8"/>
      <c r="P7860" s="26"/>
      <c r="S7860" s="10" t="str">
        <f t="shared" si="614"/>
        <v/>
      </c>
    </row>
    <row r="7861" spans="5:19" x14ac:dyDescent="0.3">
      <c r="E7861" s="9" t="str">
        <f>IF(DADOS!C7861="","",DADOS!C7861)</f>
        <v/>
      </c>
      <c r="F7861" s="9" t="str">
        <f>IF(DADOS!E7861="","",DADOS!E7861)</f>
        <v/>
      </c>
      <c r="G7861" s="9" t="str">
        <f>IF(DADOS!F7861="","",DADOS!F7861)</f>
        <v/>
      </c>
      <c r="K7861" s="6" t="str">
        <f t="shared" si="615"/>
        <v/>
      </c>
      <c r="L7861" s="7" t="str">
        <f t="shared" si="616"/>
        <v/>
      </c>
      <c r="M7861" s="7" t="str">
        <f t="shared" si="613"/>
        <v/>
      </c>
      <c r="N7861" s="7" t="str">
        <f t="shared" si="617"/>
        <v/>
      </c>
      <c r="O7861" s="8"/>
      <c r="P7861" s="26"/>
      <c r="S7861" s="10" t="str">
        <f t="shared" si="614"/>
        <v/>
      </c>
    </row>
    <row r="7862" spans="5:19" x14ac:dyDescent="0.3">
      <c r="E7862" s="9" t="str">
        <f>IF(DADOS!C7862="","",DADOS!C7862)</f>
        <v/>
      </c>
      <c r="F7862" s="9" t="str">
        <f>IF(DADOS!E7862="","",DADOS!E7862)</f>
        <v/>
      </c>
      <c r="G7862" s="9" t="str">
        <f>IF(DADOS!F7862="","",DADOS!F7862)</f>
        <v/>
      </c>
      <c r="K7862" s="6" t="str">
        <f t="shared" si="615"/>
        <v/>
      </c>
      <c r="L7862" s="7" t="str">
        <f t="shared" si="616"/>
        <v/>
      </c>
      <c r="M7862" s="7" t="str">
        <f t="shared" si="613"/>
        <v/>
      </c>
      <c r="N7862" s="7" t="str">
        <f t="shared" si="617"/>
        <v/>
      </c>
      <c r="O7862" s="8"/>
      <c r="P7862" s="26"/>
      <c r="S7862" s="10" t="str">
        <f t="shared" si="614"/>
        <v/>
      </c>
    </row>
    <row r="7863" spans="5:19" x14ac:dyDescent="0.3">
      <c r="E7863" s="9" t="str">
        <f>IF(DADOS!C7863="","",DADOS!C7863)</f>
        <v/>
      </c>
      <c r="F7863" s="9" t="str">
        <f>IF(DADOS!E7863="","",DADOS!E7863)</f>
        <v/>
      </c>
      <c r="G7863" s="9" t="str">
        <f>IF(DADOS!F7863="","",DADOS!F7863)</f>
        <v/>
      </c>
      <c r="K7863" s="6" t="str">
        <f t="shared" si="615"/>
        <v/>
      </c>
      <c r="L7863" s="7" t="str">
        <f t="shared" si="616"/>
        <v/>
      </c>
      <c r="M7863" s="7" t="str">
        <f t="shared" si="613"/>
        <v/>
      </c>
      <c r="N7863" s="7" t="str">
        <f t="shared" si="617"/>
        <v/>
      </c>
      <c r="O7863" s="8"/>
      <c r="P7863" s="26"/>
      <c r="S7863" s="10" t="str">
        <f t="shared" si="614"/>
        <v/>
      </c>
    </row>
    <row r="7864" spans="5:19" x14ac:dyDescent="0.3">
      <c r="E7864" s="9" t="str">
        <f>IF(DADOS!C7864="","",DADOS!C7864)</f>
        <v/>
      </c>
      <c r="F7864" s="9" t="str">
        <f>IF(DADOS!E7864="","",DADOS!E7864)</f>
        <v/>
      </c>
      <c r="G7864" s="9" t="str">
        <f>IF(DADOS!F7864="","",DADOS!F7864)</f>
        <v/>
      </c>
      <c r="K7864" s="6" t="str">
        <f t="shared" si="615"/>
        <v/>
      </c>
      <c r="L7864" s="7" t="str">
        <f t="shared" si="616"/>
        <v/>
      </c>
      <c r="M7864" s="7" t="str">
        <f t="shared" si="613"/>
        <v/>
      </c>
      <c r="N7864" s="7" t="str">
        <f t="shared" si="617"/>
        <v/>
      </c>
      <c r="O7864" s="8"/>
      <c r="P7864" s="26"/>
      <c r="S7864" s="10" t="str">
        <f t="shared" si="614"/>
        <v/>
      </c>
    </row>
    <row r="7865" spans="5:19" x14ac:dyDescent="0.3">
      <c r="E7865" s="9" t="str">
        <f>IF(DADOS!C7865="","",DADOS!C7865)</f>
        <v/>
      </c>
      <c r="F7865" s="9" t="str">
        <f>IF(DADOS!E7865="","",DADOS!E7865)</f>
        <v/>
      </c>
      <c r="G7865" s="9" t="str">
        <f>IF(DADOS!F7865="","",DADOS!F7865)</f>
        <v/>
      </c>
      <c r="K7865" s="6" t="str">
        <f t="shared" si="615"/>
        <v/>
      </c>
      <c r="L7865" s="7" t="str">
        <f t="shared" si="616"/>
        <v/>
      </c>
      <c r="M7865" s="7" t="str">
        <f t="shared" si="613"/>
        <v/>
      </c>
      <c r="N7865" s="7" t="str">
        <f t="shared" si="617"/>
        <v/>
      </c>
      <c r="O7865" s="8"/>
      <c r="P7865" s="26"/>
      <c r="S7865" s="10" t="str">
        <f t="shared" si="614"/>
        <v/>
      </c>
    </row>
    <row r="7866" spans="5:19" x14ac:dyDescent="0.3">
      <c r="E7866" s="9" t="str">
        <f>IF(DADOS!C7866="","",DADOS!C7866)</f>
        <v/>
      </c>
      <c r="F7866" s="9" t="str">
        <f>IF(DADOS!E7866="","",DADOS!E7866)</f>
        <v/>
      </c>
      <c r="G7866" s="9" t="str">
        <f>IF(DADOS!F7866="","",DADOS!F7866)</f>
        <v/>
      </c>
      <c r="K7866" s="6" t="str">
        <f t="shared" si="615"/>
        <v/>
      </c>
      <c r="L7866" s="7" t="str">
        <f t="shared" si="616"/>
        <v/>
      </c>
      <c r="M7866" s="7" t="str">
        <f t="shared" si="613"/>
        <v/>
      </c>
      <c r="N7866" s="7" t="str">
        <f t="shared" si="617"/>
        <v/>
      </c>
      <c r="O7866" s="8"/>
      <c r="P7866" s="26"/>
      <c r="S7866" s="10" t="str">
        <f t="shared" si="614"/>
        <v/>
      </c>
    </row>
    <row r="7867" spans="5:19" x14ac:dyDescent="0.3">
      <c r="E7867" s="9" t="str">
        <f>IF(DADOS!C7867="","",DADOS!C7867)</f>
        <v/>
      </c>
      <c r="F7867" s="9" t="str">
        <f>IF(DADOS!E7867="","",DADOS!E7867)</f>
        <v/>
      </c>
      <c r="G7867" s="9" t="str">
        <f>IF(DADOS!F7867="","",DADOS!F7867)</f>
        <v/>
      </c>
      <c r="K7867" s="6" t="str">
        <f t="shared" si="615"/>
        <v/>
      </c>
      <c r="L7867" s="7" t="str">
        <f t="shared" si="616"/>
        <v/>
      </c>
      <c r="M7867" s="7" t="str">
        <f t="shared" si="613"/>
        <v/>
      </c>
      <c r="N7867" s="7" t="str">
        <f t="shared" si="617"/>
        <v/>
      </c>
      <c r="O7867" s="8"/>
      <c r="P7867" s="26"/>
      <c r="S7867" s="10" t="str">
        <f t="shared" si="614"/>
        <v/>
      </c>
    </row>
    <row r="7868" spans="5:19" x14ac:dyDescent="0.3">
      <c r="E7868" s="9" t="str">
        <f>IF(DADOS!C7868="","",DADOS!C7868)</f>
        <v/>
      </c>
      <c r="F7868" s="9" t="str">
        <f>IF(DADOS!E7868="","",DADOS!E7868)</f>
        <v/>
      </c>
      <c r="G7868" s="9" t="str">
        <f>IF(DADOS!F7868="","",DADOS!F7868)</f>
        <v/>
      </c>
      <c r="K7868" s="6" t="str">
        <f t="shared" si="615"/>
        <v/>
      </c>
      <c r="L7868" s="7" t="str">
        <f t="shared" si="616"/>
        <v/>
      </c>
      <c r="M7868" s="7" t="str">
        <f t="shared" si="613"/>
        <v/>
      </c>
      <c r="N7868" s="7" t="str">
        <f t="shared" si="617"/>
        <v/>
      </c>
      <c r="O7868" s="8"/>
      <c r="P7868" s="26"/>
      <c r="S7868" s="10" t="str">
        <f t="shared" si="614"/>
        <v/>
      </c>
    </row>
    <row r="7869" spans="5:19" x14ac:dyDescent="0.3">
      <c r="E7869" s="9" t="str">
        <f>IF(DADOS!C7869="","",DADOS!C7869)</f>
        <v/>
      </c>
      <c r="F7869" s="9" t="str">
        <f>IF(DADOS!E7869="","",DADOS!E7869)</f>
        <v/>
      </c>
      <c r="G7869" s="9" t="str">
        <f>IF(DADOS!F7869="","",DADOS!F7869)</f>
        <v/>
      </c>
      <c r="K7869" s="6" t="str">
        <f t="shared" si="615"/>
        <v/>
      </c>
      <c r="L7869" s="7" t="str">
        <f t="shared" si="616"/>
        <v/>
      </c>
      <c r="M7869" s="7" t="str">
        <f t="shared" si="613"/>
        <v/>
      </c>
      <c r="N7869" s="7" t="str">
        <f t="shared" si="617"/>
        <v/>
      </c>
      <c r="O7869" s="8"/>
      <c r="P7869" s="26"/>
      <c r="S7869" s="10" t="str">
        <f t="shared" si="614"/>
        <v/>
      </c>
    </row>
    <row r="7870" spans="5:19" x14ac:dyDescent="0.3">
      <c r="E7870" s="9" t="str">
        <f>IF(DADOS!C7870="","",DADOS!C7870)</f>
        <v/>
      </c>
      <c r="F7870" s="9" t="str">
        <f>IF(DADOS!E7870="","",DADOS!E7870)</f>
        <v/>
      </c>
      <c r="G7870" s="9" t="str">
        <f>IF(DADOS!F7870="","",DADOS!F7870)</f>
        <v/>
      </c>
      <c r="K7870" s="6" t="str">
        <f t="shared" si="615"/>
        <v/>
      </c>
      <c r="L7870" s="7" t="str">
        <f t="shared" si="616"/>
        <v/>
      </c>
      <c r="M7870" s="7" t="str">
        <f t="shared" si="613"/>
        <v/>
      </c>
      <c r="N7870" s="7" t="str">
        <f t="shared" si="617"/>
        <v/>
      </c>
      <c r="O7870" s="8"/>
      <c r="P7870" s="26"/>
      <c r="S7870" s="10" t="str">
        <f t="shared" si="614"/>
        <v/>
      </c>
    </row>
    <row r="7871" spans="5:19" x14ac:dyDescent="0.3">
      <c r="E7871" s="9" t="str">
        <f>IF(DADOS!C7871="","",DADOS!C7871)</f>
        <v/>
      </c>
      <c r="F7871" s="9" t="str">
        <f>IF(DADOS!E7871="","",DADOS!E7871)</f>
        <v/>
      </c>
      <c r="G7871" s="9" t="str">
        <f>IF(DADOS!F7871="","",DADOS!F7871)</f>
        <v/>
      </c>
      <c r="K7871" s="6" t="str">
        <f t="shared" si="615"/>
        <v/>
      </c>
      <c r="L7871" s="7" t="str">
        <f t="shared" si="616"/>
        <v/>
      </c>
      <c r="M7871" s="7" t="str">
        <f t="shared" si="613"/>
        <v/>
      </c>
      <c r="N7871" s="7" t="str">
        <f t="shared" si="617"/>
        <v/>
      </c>
      <c r="O7871" s="8"/>
      <c r="P7871" s="26"/>
      <c r="S7871" s="10" t="str">
        <f t="shared" si="614"/>
        <v/>
      </c>
    </row>
    <row r="7872" spans="5:19" x14ac:dyDescent="0.3">
      <c r="E7872" s="9" t="str">
        <f>IF(DADOS!C7872="","",DADOS!C7872)</f>
        <v/>
      </c>
      <c r="F7872" s="9" t="str">
        <f>IF(DADOS!E7872="","",DADOS!E7872)</f>
        <v/>
      </c>
      <c r="G7872" s="9" t="str">
        <f>IF(DADOS!F7872="","",DADOS!F7872)</f>
        <v/>
      </c>
      <c r="K7872" s="6" t="str">
        <f t="shared" si="615"/>
        <v/>
      </c>
      <c r="L7872" s="7" t="str">
        <f t="shared" si="616"/>
        <v/>
      </c>
      <c r="M7872" s="7" t="str">
        <f t="shared" si="613"/>
        <v/>
      </c>
      <c r="N7872" s="7" t="str">
        <f t="shared" si="617"/>
        <v/>
      </c>
      <c r="O7872" s="8"/>
      <c r="P7872" s="26"/>
      <c r="S7872" s="10" t="str">
        <f t="shared" si="614"/>
        <v/>
      </c>
    </row>
    <row r="7873" spans="5:19" x14ac:dyDescent="0.3">
      <c r="E7873" s="9" t="str">
        <f>IF(DADOS!C7873="","",DADOS!C7873)</f>
        <v/>
      </c>
      <c r="F7873" s="9" t="str">
        <f>IF(DADOS!E7873="","",DADOS!E7873)</f>
        <v/>
      </c>
      <c r="G7873" s="9" t="str">
        <f>IF(DADOS!F7873="","",DADOS!F7873)</f>
        <v/>
      </c>
      <c r="K7873" s="6" t="str">
        <f t="shared" si="615"/>
        <v/>
      </c>
      <c r="L7873" s="7" t="str">
        <f t="shared" si="616"/>
        <v/>
      </c>
      <c r="M7873" s="7" t="str">
        <f t="shared" si="613"/>
        <v/>
      </c>
      <c r="N7873" s="7" t="str">
        <f t="shared" si="617"/>
        <v/>
      </c>
      <c r="O7873" s="8"/>
      <c r="P7873" s="26"/>
      <c r="S7873" s="10" t="str">
        <f t="shared" si="614"/>
        <v/>
      </c>
    </row>
    <row r="7874" spans="5:19" x14ac:dyDescent="0.3">
      <c r="E7874" s="9" t="str">
        <f>IF(DADOS!C7874="","",DADOS!C7874)</f>
        <v/>
      </c>
      <c r="F7874" s="9" t="str">
        <f>IF(DADOS!E7874="","",DADOS!E7874)</f>
        <v/>
      </c>
      <c r="G7874" s="9" t="str">
        <f>IF(DADOS!F7874="","",DADOS!F7874)</f>
        <v/>
      </c>
      <c r="K7874" s="6" t="str">
        <f t="shared" si="615"/>
        <v/>
      </c>
      <c r="L7874" s="7" t="str">
        <f t="shared" si="616"/>
        <v/>
      </c>
      <c r="M7874" s="7" t="str">
        <f t="shared" si="613"/>
        <v/>
      </c>
      <c r="N7874" s="7" t="str">
        <f t="shared" si="617"/>
        <v/>
      </c>
      <c r="O7874" s="8"/>
      <c r="P7874" s="26"/>
      <c r="S7874" s="10" t="str">
        <f t="shared" si="614"/>
        <v/>
      </c>
    </row>
    <row r="7875" spans="5:19" x14ac:dyDescent="0.3">
      <c r="E7875" s="9" t="str">
        <f>IF(DADOS!C7875="","",DADOS!C7875)</f>
        <v/>
      </c>
      <c r="F7875" s="9" t="str">
        <f>IF(DADOS!E7875="","",DADOS!E7875)</f>
        <v/>
      </c>
      <c r="G7875" s="9" t="str">
        <f>IF(DADOS!F7875="","",DADOS!F7875)</f>
        <v/>
      </c>
      <c r="K7875" s="6" t="str">
        <f t="shared" si="615"/>
        <v/>
      </c>
      <c r="L7875" s="7" t="str">
        <f t="shared" si="616"/>
        <v/>
      </c>
      <c r="M7875" s="7" t="str">
        <f t="shared" ref="M7875:M7938" si="618">IF(L7875="","",L7875*G7875)</f>
        <v/>
      </c>
      <c r="N7875" s="7" t="str">
        <f t="shared" si="617"/>
        <v/>
      </c>
      <c r="O7875" s="8"/>
      <c r="P7875" s="26"/>
      <c r="S7875" s="10" t="str">
        <f t="shared" ref="S7875:S7938" si="619">IF(R7875="","",SUMIFS($N$3:$N$10000,$E$3:$E$10000,R7875))</f>
        <v/>
      </c>
    </row>
    <row r="7876" spans="5:19" x14ac:dyDescent="0.3">
      <c r="E7876" s="9" t="str">
        <f>IF(DADOS!C7876="","",DADOS!C7876)</f>
        <v/>
      </c>
      <c r="F7876" s="9" t="str">
        <f>IF(DADOS!E7876="","",DADOS!E7876)</f>
        <v/>
      </c>
      <c r="G7876" s="9" t="str">
        <f>IF(DADOS!F7876="","",DADOS!F7876)</f>
        <v/>
      </c>
      <c r="K7876" s="6" t="str">
        <f t="shared" ref="K7876:K7939" si="620">IF(F7876="","",F7876/PI())</f>
        <v/>
      </c>
      <c r="L7876" s="7" t="str">
        <f t="shared" ref="L7876:L7939" si="621">IF(K7876="","",(PI()*K7876^2)/40000)</f>
        <v/>
      </c>
      <c r="M7876" s="7" t="str">
        <f t="shared" si="618"/>
        <v/>
      </c>
      <c r="N7876" s="7" t="str">
        <f t="shared" ref="N7876:N7939" si="622">IF(M7876="","",M7876*N$1)</f>
        <v/>
      </c>
      <c r="O7876" s="8"/>
      <c r="P7876" s="26"/>
      <c r="S7876" s="10" t="str">
        <f t="shared" si="619"/>
        <v/>
      </c>
    </row>
    <row r="7877" spans="5:19" x14ac:dyDescent="0.3">
      <c r="E7877" s="9" t="str">
        <f>IF(DADOS!C7877="","",DADOS!C7877)</f>
        <v/>
      </c>
      <c r="F7877" s="9" t="str">
        <f>IF(DADOS!E7877="","",DADOS!E7877)</f>
        <v/>
      </c>
      <c r="G7877" s="9" t="str">
        <f>IF(DADOS!F7877="","",DADOS!F7877)</f>
        <v/>
      </c>
      <c r="K7877" s="6" t="str">
        <f t="shared" si="620"/>
        <v/>
      </c>
      <c r="L7877" s="7" t="str">
        <f t="shared" si="621"/>
        <v/>
      </c>
      <c r="M7877" s="7" t="str">
        <f t="shared" si="618"/>
        <v/>
      </c>
      <c r="N7877" s="7" t="str">
        <f t="shared" si="622"/>
        <v/>
      </c>
      <c r="O7877" s="8"/>
      <c r="P7877" s="26"/>
      <c r="S7877" s="10" t="str">
        <f t="shared" si="619"/>
        <v/>
      </c>
    </row>
    <row r="7878" spans="5:19" x14ac:dyDescent="0.3">
      <c r="E7878" s="9" t="str">
        <f>IF(DADOS!C7878="","",DADOS!C7878)</f>
        <v/>
      </c>
      <c r="F7878" s="9" t="str">
        <f>IF(DADOS!E7878="","",DADOS!E7878)</f>
        <v/>
      </c>
      <c r="G7878" s="9" t="str">
        <f>IF(DADOS!F7878="","",DADOS!F7878)</f>
        <v/>
      </c>
      <c r="K7878" s="6" t="str">
        <f t="shared" si="620"/>
        <v/>
      </c>
      <c r="L7878" s="7" t="str">
        <f t="shared" si="621"/>
        <v/>
      </c>
      <c r="M7878" s="7" t="str">
        <f t="shared" si="618"/>
        <v/>
      </c>
      <c r="N7878" s="7" t="str">
        <f t="shared" si="622"/>
        <v/>
      </c>
      <c r="O7878" s="8"/>
      <c r="P7878" s="26"/>
      <c r="S7878" s="10" t="str">
        <f t="shared" si="619"/>
        <v/>
      </c>
    </row>
    <row r="7879" spans="5:19" x14ac:dyDescent="0.3">
      <c r="E7879" s="9" t="str">
        <f>IF(DADOS!C7879="","",DADOS!C7879)</f>
        <v/>
      </c>
      <c r="F7879" s="9" t="str">
        <f>IF(DADOS!E7879="","",DADOS!E7879)</f>
        <v/>
      </c>
      <c r="G7879" s="9" t="str">
        <f>IF(DADOS!F7879="","",DADOS!F7879)</f>
        <v/>
      </c>
      <c r="K7879" s="6" t="str">
        <f t="shared" si="620"/>
        <v/>
      </c>
      <c r="L7879" s="7" t="str">
        <f t="shared" si="621"/>
        <v/>
      </c>
      <c r="M7879" s="7" t="str">
        <f t="shared" si="618"/>
        <v/>
      </c>
      <c r="N7879" s="7" t="str">
        <f t="shared" si="622"/>
        <v/>
      </c>
      <c r="O7879" s="8"/>
      <c r="P7879" s="26"/>
      <c r="S7879" s="10" t="str">
        <f t="shared" si="619"/>
        <v/>
      </c>
    </row>
    <row r="7880" spans="5:19" x14ac:dyDescent="0.3">
      <c r="E7880" s="9" t="str">
        <f>IF(DADOS!C7880="","",DADOS!C7880)</f>
        <v/>
      </c>
      <c r="F7880" s="9" t="str">
        <f>IF(DADOS!E7880="","",DADOS!E7880)</f>
        <v/>
      </c>
      <c r="G7880" s="9" t="str">
        <f>IF(DADOS!F7880="","",DADOS!F7880)</f>
        <v/>
      </c>
      <c r="K7880" s="6" t="str">
        <f t="shared" si="620"/>
        <v/>
      </c>
      <c r="L7880" s="7" t="str">
        <f t="shared" si="621"/>
        <v/>
      </c>
      <c r="M7880" s="7" t="str">
        <f t="shared" si="618"/>
        <v/>
      </c>
      <c r="N7880" s="7" t="str">
        <f t="shared" si="622"/>
        <v/>
      </c>
      <c r="O7880" s="8"/>
      <c r="P7880" s="26"/>
      <c r="S7880" s="10" t="str">
        <f t="shared" si="619"/>
        <v/>
      </c>
    </row>
    <row r="7881" spans="5:19" x14ac:dyDescent="0.3">
      <c r="E7881" s="9" t="str">
        <f>IF(DADOS!C7881="","",DADOS!C7881)</f>
        <v/>
      </c>
      <c r="F7881" s="9" t="str">
        <f>IF(DADOS!E7881="","",DADOS!E7881)</f>
        <v/>
      </c>
      <c r="G7881" s="9" t="str">
        <f>IF(DADOS!F7881="","",DADOS!F7881)</f>
        <v/>
      </c>
      <c r="K7881" s="6" t="str">
        <f t="shared" si="620"/>
        <v/>
      </c>
      <c r="L7881" s="7" t="str">
        <f t="shared" si="621"/>
        <v/>
      </c>
      <c r="M7881" s="7" t="str">
        <f t="shared" si="618"/>
        <v/>
      </c>
      <c r="N7881" s="7" t="str">
        <f t="shared" si="622"/>
        <v/>
      </c>
      <c r="O7881" s="8"/>
      <c r="P7881" s="26"/>
      <c r="S7881" s="10" t="str">
        <f t="shared" si="619"/>
        <v/>
      </c>
    </row>
    <row r="7882" spans="5:19" x14ac:dyDescent="0.3">
      <c r="E7882" s="9" t="str">
        <f>IF(DADOS!C7882="","",DADOS!C7882)</f>
        <v/>
      </c>
      <c r="F7882" s="9" t="str">
        <f>IF(DADOS!E7882="","",DADOS!E7882)</f>
        <v/>
      </c>
      <c r="G7882" s="9" t="str">
        <f>IF(DADOS!F7882="","",DADOS!F7882)</f>
        <v/>
      </c>
      <c r="K7882" s="6" t="str">
        <f t="shared" si="620"/>
        <v/>
      </c>
      <c r="L7882" s="7" t="str">
        <f t="shared" si="621"/>
        <v/>
      </c>
      <c r="M7882" s="7" t="str">
        <f t="shared" si="618"/>
        <v/>
      </c>
      <c r="N7882" s="7" t="str">
        <f t="shared" si="622"/>
        <v/>
      </c>
      <c r="O7882" s="8"/>
      <c r="P7882" s="26"/>
      <c r="S7882" s="10" t="str">
        <f t="shared" si="619"/>
        <v/>
      </c>
    </row>
    <row r="7883" spans="5:19" x14ac:dyDescent="0.3">
      <c r="E7883" s="9" t="str">
        <f>IF(DADOS!C7883="","",DADOS!C7883)</f>
        <v/>
      </c>
      <c r="F7883" s="9" t="str">
        <f>IF(DADOS!E7883="","",DADOS!E7883)</f>
        <v/>
      </c>
      <c r="G7883" s="9" t="str">
        <f>IF(DADOS!F7883="","",DADOS!F7883)</f>
        <v/>
      </c>
      <c r="K7883" s="6" t="str">
        <f t="shared" si="620"/>
        <v/>
      </c>
      <c r="L7883" s="7" t="str">
        <f t="shared" si="621"/>
        <v/>
      </c>
      <c r="M7883" s="7" t="str">
        <f t="shared" si="618"/>
        <v/>
      </c>
      <c r="N7883" s="7" t="str">
        <f t="shared" si="622"/>
        <v/>
      </c>
      <c r="O7883" s="8"/>
      <c r="P7883" s="26"/>
      <c r="S7883" s="10" t="str">
        <f t="shared" si="619"/>
        <v/>
      </c>
    </row>
    <row r="7884" spans="5:19" x14ac:dyDescent="0.3">
      <c r="E7884" s="9" t="str">
        <f>IF(DADOS!C7884="","",DADOS!C7884)</f>
        <v/>
      </c>
      <c r="F7884" s="9" t="str">
        <f>IF(DADOS!E7884="","",DADOS!E7884)</f>
        <v/>
      </c>
      <c r="G7884" s="9" t="str">
        <f>IF(DADOS!F7884="","",DADOS!F7884)</f>
        <v/>
      </c>
      <c r="K7884" s="6" t="str">
        <f t="shared" si="620"/>
        <v/>
      </c>
      <c r="L7884" s="7" t="str">
        <f t="shared" si="621"/>
        <v/>
      </c>
      <c r="M7884" s="7" t="str">
        <f t="shared" si="618"/>
        <v/>
      </c>
      <c r="N7884" s="7" t="str">
        <f t="shared" si="622"/>
        <v/>
      </c>
      <c r="O7884" s="8"/>
      <c r="P7884" s="26"/>
      <c r="S7884" s="10" t="str">
        <f t="shared" si="619"/>
        <v/>
      </c>
    </row>
    <row r="7885" spans="5:19" x14ac:dyDescent="0.3">
      <c r="E7885" s="9" t="str">
        <f>IF(DADOS!C7885="","",DADOS!C7885)</f>
        <v/>
      </c>
      <c r="F7885" s="9" t="str">
        <f>IF(DADOS!E7885="","",DADOS!E7885)</f>
        <v/>
      </c>
      <c r="G7885" s="9" t="str">
        <f>IF(DADOS!F7885="","",DADOS!F7885)</f>
        <v/>
      </c>
      <c r="K7885" s="6" t="str">
        <f t="shared" si="620"/>
        <v/>
      </c>
      <c r="L7885" s="7" t="str">
        <f t="shared" si="621"/>
        <v/>
      </c>
      <c r="M7885" s="7" t="str">
        <f t="shared" si="618"/>
        <v/>
      </c>
      <c r="N7885" s="7" t="str">
        <f t="shared" si="622"/>
        <v/>
      </c>
      <c r="O7885" s="8"/>
      <c r="P7885" s="26"/>
      <c r="S7885" s="10" t="str">
        <f t="shared" si="619"/>
        <v/>
      </c>
    </row>
    <row r="7886" spans="5:19" x14ac:dyDescent="0.3">
      <c r="E7886" s="9" t="str">
        <f>IF(DADOS!C7886="","",DADOS!C7886)</f>
        <v/>
      </c>
      <c r="F7886" s="9" t="str">
        <f>IF(DADOS!E7886="","",DADOS!E7886)</f>
        <v/>
      </c>
      <c r="G7886" s="9" t="str">
        <f>IF(DADOS!F7886="","",DADOS!F7886)</f>
        <v/>
      </c>
      <c r="K7886" s="6" t="str">
        <f t="shared" si="620"/>
        <v/>
      </c>
      <c r="L7886" s="7" t="str">
        <f t="shared" si="621"/>
        <v/>
      </c>
      <c r="M7886" s="7" t="str">
        <f t="shared" si="618"/>
        <v/>
      </c>
      <c r="N7886" s="7" t="str">
        <f t="shared" si="622"/>
        <v/>
      </c>
      <c r="O7886" s="8"/>
      <c r="P7886" s="26"/>
      <c r="S7886" s="10" t="str">
        <f t="shared" si="619"/>
        <v/>
      </c>
    </row>
    <row r="7887" spans="5:19" x14ac:dyDescent="0.3">
      <c r="E7887" s="9" t="str">
        <f>IF(DADOS!C7887="","",DADOS!C7887)</f>
        <v/>
      </c>
      <c r="F7887" s="9" t="str">
        <f>IF(DADOS!E7887="","",DADOS!E7887)</f>
        <v/>
      </c>
      <c r="G7887" s="9" t="str">
        <f>IF(DADOS!F7887="","",DADOS!F7887)</f>
        <v/>
      </c>
      <c r="K7887" s="6" t="str">
        <f t="shared" si="620"/>
        <v/>
      </c>
      <c r="L7887" s="7" t="str">
        <f t="shared" si="621"/>
        <v/>
      </c>
      <c r="M7887" s="7" t="str">
        <f t="shared" si="618"/>
        <v/>
      </c>
      <c r="N7887" s="7" t="str">
        <f t="shared" si="622"/>
        <v/>
      </c>
      <c r="O7887" s="8"/>
      <c r="P7887" s="26"/>
      <c r="S7887" s="10" t="str">
        <f t="shared" si="619"/>
        <v/>
      </c>
    </row>
    <row r="7888" spans="5:19" x14ac:dyDescent="0.3">
      <c r="E7888" s="9" t="str">
        <f>IF(DADOS!C7888="","",DADOS!C7888)</f>
        <v/>
      </c>
      <c r="F7888" s="9" t="str">
        <f>IF(DADOS!E7888="","",DADOS!E7888)</f>
        <v/>
      </c>
      <c r="G7888" s="9" t="str">
        <f>IF(DADOS!F7888="","",DADOS!F7888)</f>
        <v/>
      </c>
      <c r="K7888" s="6" t="str">
        <f t="shared" si="620"/>
        <v/>
      </c>
      <c r="L7888" s="7" t="str">
        <f t="shared" si="621"/>
        <v/>
      </c>
      <c r="M7888" s="7" t="str">
        <f t="shared" si="618"/>
        <v/>
      </c>
      <c r="N7888" s="7" t="str">
        <f t="shared" si="622"/>
        <v/>
      </c>
      <c r="O7888" s="8"/>
      <c r="P7888" s="26"/>
      <c r="S7888" s="10" t="str">
        <f t="shared" si="619"/>
        <v/>
      </c>
    </row>
    <row r="7889" spans="5:19" x14ac:dyDescent="0.3">
      <c r="E7889" s="9" t="str">
        <f>IF(DADOS!C7889="","",DADOS!C7889)</f>
        <v/>
      </c>
      <c r="F7889" s="9" t="str">
        <f>IF(DADOS!E7889="","",DADOS!E7889)</f>
        <v/>
      </c>
      <c r="G7889" s="9" t="str">
        <f>IF(DADOS!F7889="","",DADOS!F7889)</f>
        <v/>
      </c>
      <c r="K7889" s="6" t="str">
        <f t="shared" si="620"/>
        <v/>
      </c>
      <c r="L7889" s="7" t="str">
        <f t="shared" si="621"/>
        <v/>
      </c>
      <c r="M7889" s="7" t="str">
        <f t="shared" si="618"/>
        <v/>
      </c>
      <c r="N7889" s="7" t="str">
        <f t="shared" si="622"/>
        <v/>
      </c>
      <c r="O7889" s="8"/>
      <c r="P7889" s="26"/>
      <c r="S7889" s="10" t="str">
        <f t="shared" si="619"/>
        <v/>
      </c>
    </row>
    <row r="7890" spans="5:19" x14ac:dyDescent="0.3">
      <c r="E7890" s="9" t="str">
        <f>IF(DADOS!C7890="","",DADOS!C7890)</f>
        <v/>
      </c>
      <c r="F7890" s="9" t="str">
        <f>IF(DADOS!E7890="","",DADOS!E7890)</f>
        <v/>
      </c>
      <c r="G7890" s="9" t="str">
        <f>IF(DADOS!F7890="","",DADOS!F7890)</f>
        <v/>
      </c>
      <c r="K7890" s="6" t="str">
        <f t="shared" si="620"/>
        <v/>
      </c>
      <c r="L7890" s="7" t="str">
        <f t="shared" si="621"/>
        <v/>
      </c>
      <c r="M7890" s="7" t="str">
        <f t="shared" si="618"/>
        <v/>
      </c>
      <c r="N7890" s="7" t="str">
        <f t="shared" si="622"/>
        <v/>
      </c>
      <c r="O7890" s="8"/>
      <c r="P7890" s="26"/>
      <c r="S7890" s="10" t="str">
        <f t="shared" si="619"/>
        <v/>
      </c>
    </row>
    <row r="7891" spans="5:19" x14ac:dyDescent="0.3">
      <c r="E7891" s="9" t="str">
        <f>IF(DADOS!C7891="","",DADOS!C7891)</f>
        <v/>
      </c>
      <c r="F7891" s="9" t="str">
        <f>IF(DADOS!E7891="","",DADOS!E7891)</f>
        <v/>
      </c>
      <c r="G7891" s="9" t="str">
        <f>IF(DADOS!F7891="","",DADOS!F7891)</f>
        <v/>
      </c>
      <c r="K7891" s="6" t="str">
        <f t="shared" si="620"/>
        <v/>
      </c>
      <c r="L7891" s="7" t="str">
        <f t="shared" si="621"/>
        <v/>
      </c>
      <c r="M7891" s="7" t="str">
        <f t="shared" si="618"/>
        <v/>
      </c>
      <c r="N7891" s="7" t="str">
        <f t="shared" si="622"/>
        <v/>
      </c>
      <c r="O7891" s="8"/>
      <c r="P7891" s="26"/>
      <c r="S7891" s="10" t="str">
        <f t="shared" si="619"/>
        <v/>
      </c>
    </row>
    <row r="7892" spans="5:19" x14ac:dyDescent="0.3">
      <c r="E7892" s="9" t="str">
        <f>IF(DADOS!C7892="","",DADOS!C7892)</f>
        <v/>
      </c>
      <c r="F7892" s="9" t="str">
        <f>IF(DADOS!E7892="","",DADOS!E7892)</f>
        <v/>
      </c>
      <c r="G7892" s="9" t="str">
        <f>IF(DADOS!F7892="","",DADOS!F7892)</f>
        <v/>
      </c>
      <c r="K7892" s="6" t="str">
        <f t="shared" si="620"/>
        <v/>
      </c>
      <c r="L7892" s="7" t="str">
        <f t="shared" si="621"/>
        <v/>
      </c>
      <c r="M7892" s="7" t="str">
        <f t="shared" si="618"/>
        <v/>
      </c>
      <c r="N7892" s="7" t="str">
        <f t="shared" si="622"/>
        <v/>
      </c>
      <c r="O7892" s="8"/>
      <c r="P7892" s="26"/>
      <c r="S7892" s="10" t="str">
        <f t="shared" si="619"/>
        <v/>
      </c>
    </row>
    <row r="7893" spans="5:19" x14ac:dyDescent="0.3">
      <c r="E7893" s="9" t="str">
        <f>IF(DADOS!C7893="","",DADOS!C7893)</f>
        <v/>
      </c>
      <c r="F7893" s="9" t="str">
        <f>IF(DADOS!E7893="","",DADOS!E7893)</f>
        <v/>
      </c>
      <c r="G7893" s="9" t="str">
        <f>IF(DADOS!F7893="","",DADOS!F7893)</f>
        <v/>
      </c>
      <c r="K7893" s="6" t="str">
        <f t="shared" si="620"/>
        <v/>
      </c>
      <c r="L7893" s="7" t="str">
        <f t="shared" si="621"/>
        <v/>
      </c>
      <c r="M7893" s="7" t="str">
        <f t="shared" si="618"/>
        <v/>
      </c>
      <c r="N7893" s="7" t="str">
        <f t="shared" si="622"/>
        <v/>
      </c>
      <c r="O7893" s="8"/>
      <c r="P7893" s="26"/>
      <c r="S7893" s="10" t="str">
        <f t="shared" si="619"/>
        <v/>
      </c>
    </row>
    <row r="7894" spans="5:19" x14ac:dyDescent="0.3">
      <c r="E7894" s="9" t="str">
        <f>IF(DADOS!C7894="","",DADOS!C7894)</f>
        <v/>
      </c>
      <c r="F7894" s="9" t="str">
        <f>IF(DADOS!E7894="","",DADOS!E7894)</f>
        <v/>
      </c>
      <c r="G7894" s="9" t="str">
        <f>IF(DADOS!F7894="","",DADOS!F7894)</f>
        <v/>
      </c>
      <c r="K7894" s="6" t="str">
        <f t="shared" si="620"/>
        <v/>
      </c>
      <c r="L7894" s="7" t="str">
        <f t="shared" si="621"/>
        <v/>
      </c>
      <c r="M7894" s="7" t="str">
        <f t="shared" si="618"/>
        <v/>
      </c>
      <c r="N7894" s="7" t="str">
        <f t="shared" si="622"/>
        <v/>
      </c>
      <c r="O7894" s="8"/>
      <c r="P7894" s="26"/>
      <c r="S7894" s="10" t="str">
        <f t="shared" si="619"/>
        <v/>
      </c>
    </row>
    <row r="7895" spans="5:19" x14ac:dyDescent="0.3">
      <c r="E7895" s="9" t="str">
        <f>IF(DADOS!C7895="","",DADOS!C7895)</f>
        <v/>
      </c>
      <c r="F7895" s="9" t="str">
        <f>IF(DADOS!E7895="","",DADOS!E7895)</f>
        <v/>
      </c>
      <c r="G7895" s="9" t="str">
        <f>IF(DADOS!F7895="","",DADOS!F7895)</f>
        <v/>
      </c>
      <c r="K7895" s="6" t="str">
        <f t="shared" si="620"/>
        <v/>
      </c>
      <c r="L7895" s="7" t="str">
        <f t="shared" si="621"/>
        <v/>
      </c>
      <c r="M7895" s="7" t="str">
        <f t="shared" si="618"/>
        <v/>
      </c>
      <c r="N7895" s="7" t="str">
        <f t="shared" si="622"/>
        <v/>
      </c>
      <c r="O7895" s="8"/>
      <c r="P7895" s="26"/>
      <c r="S7895" s="10" t="str">
        <f t="shared" si="619"/>
        <v/>
      </c>
    </row>
    <row r="7896" spans="5:19" x14ac:dyDescent="0.3">
      <c r="E7896" s="9" t="str">
        <f>IF(DADOS!C7896="","",DADOS!C7896)</f>
        <v/>
      </c>
      <c r="F7896" s="9" t="str">
        <f>IF(DADOS!E7896="","",DADOS!E7896)</f>
        <v/>
      </c>
      <c r="G7896" s="9" t="str">
        <f>IF(DADOS!F7896="","",DADOS!F7896)</f>
        <v/>
      </c>
      <c r="K7896" s="6" t="str">
        <f t="shared" si="620"/>
        <v/>
      </c>
      <c r="L7896" s="7" t="str">
        <f t="shared" si="621"/>
        <v/>
      </c>
      <c r="M7896" s="7" t="str">
        <f t="shared" si="618"/>
        <v/>
      </c>
      <c r="N7896" s="7" t="str">
        <f t="shared" si="622"/>
        <v/>
      </c>
      <c r="O7896" s="8"/>
      <c r="P7896" s="26"/>
      <c r="S7896" s="10" t="str">
        <f t="shared" si="619"/>
        <v/>
      </c>
    </row>
    <row r="7897" spans="5:19" x14ac:dyDescent="0.3">
      <c r="E7897" s="9" t="str">
        <f>IF(DADOS!C7897="","",DADOS!C7897)</f>
        <v/>
      </c>
      <c r="F7897" s="9" t="str">
        <f>IF(DADOS!E7897="","",DADOS!E7897)</f>
        <v/>
      </c>
      <c r="G7897" s="9" t="str">
        <f>IF(DADOS!F7897="","",DADOS!F7897)</f>
        <v/>
      </c>
      <c r="K7897" s="6" t="str">
        <f t="shared" si="620"/>
        <v/>
      </c>
      <c r="L7897" s="7" t="str">
        <f t="shared" si="621"/>
        <v/>
      </c>
      <c r="M7897" s="7" t="str">
        <f t="shared" si="618"/>
        <v/>
      </c>
      <c r="N7897" s="7" t="str">
        <f t="shared" si="622"/>
        <v/>
      </c>
      <c r="O7897" s="8"/>
      <c r="P7897" s="26"/>
      <c r="S7897" s="10" t="str">
        <f t="shared" si="619"/>
        <v/>
      </c>
    </row>
    <row r="7898" spans="5:19" x14ac:dyDescent="0.3">
      <c r="E7898" s="9" t="str">
        <f>IF(DADOS!C7898="","",DADOS!C7898)</f>
        <v/>
      </c>
      <c r="F7898" s="9" t="str">
        <f>IF(DADOS!E7898="","",DADOS!E7898)</f>
        <v/>
      </c>
      <c r="G7898" s="9" t="str">
        <f>IF(DADOS!F7898="","",DADOS!F7898)</f>
        <v/>
      </c>
      <c r="K7898" s="6" t="str">
        <f t="shared" si="620"/>
        <v/>
      </c>
      <c r="L7898" s="7" t="str">
        <f t="shared" si="621"/>
        <v/>
      </c>
      <c r="M7898" s="7" t="str">
        <f t="shared" si="618"/>
        <v/>
      </c>
      <c r="N7898" s="7" t="str">
        <f t="shared" si="622"/>
        <v/>
      </c>
      <c r="O7898" s="8"/>
      <c r="P7898" s="26"/>
      <c r="S7898" s="10" t="str">
        <f t="shared" si="619"/>
        <v/>
      </c>
    </row>
    <row r="7899" spans="5:19" x14ac:dyDescent="0.3">
      <c r="E7899" s="9" t="str">
        <f>IF(DADOS!C7899="","",DADOS!C7899)</f>
        <v/>
      </c>
      <c r="F7899" s="9" t="str">
        <f>IF(DADOS!E7899="","",DADOS!E7899)</f>
        <v/>
      </c>
      <c r="G7899" s="9" t="str">
        <f>IF(DADOS!F7899="","",DADOS!F7899)</f>
        <v/>
      </c>
      <c r="K7899" s="6" t="str">
        <f t="shared" si="620"/>
        <v/>
      </c>
      <c r="L7899" s="7" t="str">
        <f t="shared" si="621"/>
        <v/>
      </c>
      <c r="M7899" s="7" t="str">
        <f t="shared" si="618"/>
        <v/>
      </c>
      <c r="N7899" s="7" t="str">
        <f t="shared" si="622"/>
        <v/>
      </c>
      <c r="O7899" s="8"/>
      <c r="P7899" s="26"/>
      <c r="S7899" s="10" t="str">
        <f t="shared" si="619"/>
        <v/>
      </c>
    </row>
    <row r="7900" spans="5:19" x14ac:dyDescent="0.3">
      <c r="E7900" s="9" t="str">
        <f>IF(DADOS!C7900="","",DADOS!C7900)</f>
        <v/>
      </c>
      <c r="F7900" s="9" t="str">
        <f>IF(DADOS!E7900="","",DADOS!E7900)</f>
        <v/>
      </c>
      <c r="G7900" s="9" t="str">
        <f>IF(DADOS!F7900="","",DADOS!F7900)</f>
        <v/>
      </c>
      <c r="K7900" s="6" t="str">
        <f t="shared" si="620"/>
        <v/>
      </c>
      <c r="L7900" s="7" t="str">
        <f t="shared" si="621"/>
        <v/>
      </c>
      <c r="M7900" s="7" t="str">
        <f t="shared" si="618"/>
        <v/>
      </c>
      <c r="N7900" s="7" t="str">
        <f t="shared" si="622"/>
        <v/>
      </c>
      <c r="O7900" s="8"/>
      <c r="P7900" s="26"/>
      <c r="S7900" s="10" t="str">
        <f t="shared" si="619"/>
        <v/>
      </c>
    </row>
    <row r="7901" spans="5:19" x14ac:dyDescent="0.3">
      <c r="E7901" s="9" t="str">
        <f>IF(DADOS!C7901="","",DADOS!C7901)</f>
        <v/>
      </c>
      <c r="F7901" s="9" t="str">
        <f>IF(DADOS!E7901="","",DADOS!E7901)</f>
        <v/>
      </c>
      <c r="G7901" s="9" t="str">
        <f>IF(DADOS!F7901="","",DADOS!F7901)</f>
        <v/>
      </c>
      <c r="K7901" s="6" t="str">
        <f t="shared" si="620"/>
        <v/>
      </c>
      <c r="L7901" s="7" t="str">
        <f t="shared" si="621"/>
        <v/>
      </c>
      <c r="M7901" s="7" t="str">
        <f t="shared" si="618"/>
        <v/>
      </c>
      <c r="N7901" s="7" t="str">
        <f t="shared" si="622"/>
        <v/>
      </c>
      <c r="O7901" s="8"/>
      <c r="P7901" s="26"/>
      <c r="S7901" s="10" t="str">
        <f t="shared" si="619"/>
        <v/>
      </c>
    </row>
    <row r="7902" spans="5:19" x14ac:dyDescent="0.3">
      <c r="E7902" s="9" t="str">
        <f>IF(DADOS!C7902="","",DADOS!C7902)</f>
        <v/>
      </c>
      <c r="F7902" s="9" t="str">
        <f>IF(DADOS!E7902="","",DADOS!E7902)</f>
        <v/>
      </c>
      <c r="G7902" s="9" t="str">
        <f>IF(DADOS!F7902="","",DADOS!F7902)</f>
        <v/>
      </c>
      <c r="K7902" s="6" t="str">
        <f t="shared" si="620"/>
        <v/>
      </c>
      <c r="L7902" s="7" t="str">
        <f t="shared" si="621"/>
        <v/>
      </c>
      <c r="M7902" s="7" t="str">
        <f t="shared" si="618"/>
        <v/>
      </c>
      <c r="N7902" s="7" t="str">
        <f t="shared" si="622"/>
        <v/>
      </c>
      <c r="O7902" s="8"/>
      <c r="P7902" s="26"/>
      <c r="S7902" s="10" t="str">
        <f t="shared" si="619"/>
        <v/>
      </c>
    </row>
    <row r="7903" spans="5:19" x14ac:dyDescent="0.3">
      <c r="E7903" s="9" t="str">
        <f>IF(DADOS!C7903="","",DADOS!C7903)</f>
        <v/>
      </c>
      <c r="F7903" s="9" t="str">
        <f>IF(DADOS!E7903="","",DADOS!E7903)</f>
        <v/>
      </c>
      <c r="G7903" s="9" t="str">
        <f>IF(DADOS!F7903="","",DADOS!F7903)</f>
        <v/>
      </c>
      <c r="K7903" s="6" t="str">
        <f t="shared" si="620"/>
        <v/>
      </c>
      <c r="L7903" s="7" t="str">
        <f t="shared" si="621"/>
        <v/>
      </c>
      <c r="M7903" s="7" t="str">
        <f t="shared" si="618"/>
        <v/>
      </c>
      <c r="N7903" s="7" t="str">
        <f t="shared" si="622"/>
        <v/>
      </c>
      <c r="O7903" s="8"/>
      <c r="P7903" s="26"/>
      <c r="S7903" s="10" t="str">
        <f t="shared" si="619"/>
        <v/>
      </c>
    </row>
    <row r="7904" spans="5:19" x14ac:dyDescent="0.3">
      <c r="E7904" s="9" t="str">
        <f>IF(DADOS!C7904="","",DADOS!C7904)</f>
        <v/>
      </c>
      <c r="F7904" s="9" t="str">
        <f>IF(DADOS!E7904="","",DADOS!E7904)</f>
        <v/>
      </c>
      <c r="G7904" s="9" t="str">
        <f>IF(DADOS!F7904="","",DADOS!F7904)</f>
        <v/>
      </c>
      <c r="K7904" s="6" t="str">
        <f t="shared" si="620"/>
        <v/>
      </c>
      <c r="L7904" s="7" t="str">
        <f t="shared" si="621"/>
        <v/>
      </c>
      <c r="M7904" s="7" t="str">
        <f t="shared" si="618"/>
        <v/>
      </c>
      <c r="N7904" s="7" t="str">
        <f t="shared" si="622"/>
        <v/>
      </c>
      <c r="O7904" s="8"/>
      <c r="P7904" s="26"/>
      <c r="S7904" s="10" t="str">
        <f t="shared" si="619"/>
        <v/>
      </c>
    </row>
    <row r="7905" spans="5:19" x14ac:dyDescent="0.3">
      <c r="E7905" s="9" t="str">
        <f>IF(DADOS!C7905="","",DADOS!C7905)</f>
        <v/>
      </c>
      <c r="F7905" s="9" t="str">
        <f>IF(DADOS!E7905="","",DADOS!E7905)</f>
        <v/>
      </c>
      <c r="G7905" s="9" t="str">
        <f>IF(DADOS!F7905="","",DADOS!F7905)</f>
        <v/>
      </c>
      <c r="K7905" s="6" t="str">
        <f t="shared" si="620"/>
        <v/>
      </c>
      <c r="L7905" s="7" t="str">
        <f t="shared" si="621"/>
        <v/>
      </c>
      <c r="M7905" s="7" t="str">
        <f t="shared" si="618"/>
        <v/>
      </c>
      <c r="N7905" s="7" t="str">
        <f t="shared" si="622"/>
        <v/>
      </c>
      <c r="O7905" s="8"/>
      <c r="P7905" s="26"/>
      <c r="S7905" s="10" t="str">
        <f t="shared" si="619"/>
        <v/>
      </c>
    </row>
    <row r="7906" spans="5:19" x14ac:dyDescent="0.3">
      <c r="E7906" s="9" t="str">
        <f>IF(DADOS!C7906="","",DADOS!C7906)</f>
        <v/>
      </c>
      <c r="F7906" s="9" t="str">
        <f>IF(DADOS!E7906="","",DADOS!E7906)</f>
        <v/>
      </c>
      <c r="G7906" s="9" t="str">
        <f>IF(DADOS!F7906="","",DADOS!F7906)</f>
        <v/>
      </c>
      <c r="K7906" s="6" t="str">
        <f t="shared" si="620"/>
        <v/>
      </c>
      <c r="L7906" s="7" t="str">
        <f t="shared" si="621"/>
        <v/>
      </c>
      <c r="M7906" s="7" t="str">
        <f t="shared" si="618"/>
        <v/>
      </c>
      <c r="N7906" s="7" t="str">
        <f t="shared" si="622"/>
        <v/>
      </c>
      <c r="O7906" s="8"/>
      <c r="P7906" s="26"/>
      <c r="S7906" s="10" t="str">
        <f t="shared" si="619"/>
        <v/>
      </c>
    </row>
    <row r="7907" spans="5:19" x14ac:dyDescent="0.3">
      <c r="E7907" s="9" t="str">
        <f>IF(DADOS!C7907="","",DADOS!C7907)</f>
        <v/>
      </c>
      <c r="F7907" s="9" t="str">
        <f>IF(DADOS!E7907="","",DADOS!E7907)</f>
        <v/>
      </c>
      <c r="G7907" s="9" t="str">
        <f>IF(DADOS!F7907="","",DADOS!F7907)</f>
        <v/>
      </c>
      <c r="K7907" s="6" t="str">
        <f t="shared" si="620"/>
        <v/>
      </c>
      <c r="L7907" s="7" t="str">
        <f t="shared" si="621"/>
        <v/>
      </c>
      <c r="M7907" s="7" t="str">
        <f t="shared" si="618"/>
        <v/>
      </c>
      <c r="N7907" s="7" t="str">
        <f t="shared" si="622"/>
        <v/>
      </c>
      <c r="O7907" s="8"/>
      <c r="P7907" s="26"/>
      <c r="S7907" s="10" t="str">
        <f t="shared" si="619"/>
        <v/>
      </c>
    </row>
    <row r="7908" spans="5:19" x14ac:dyDescent="0.3">
      <c r="E7908" s="9" t="str">
        <f>IF(DADOS!C7908="","",DADOS!C7908)</f>
        <v/>
      </c>
      <c r="F7908" s="9" t="str">
        <f>IF(DADOS!E7908="","",DADOS!E7908)</f>
        <v/>
      </c>
      <c r="G7908" s="9" t="str">
        <f>IF(DADOS!F7908="","",DADOS!F7908)</f>
        <v/>
      </c>
      <c r="K7908" s="6" t="str">
        <f t="shared" si="620"/>
        <v/>
      </c>
      <c r="L7908" s="7" t="str">
        <f t="shared" si="621"/>
        <v/>
      </c>
      <c r="M7908" s="7" t="str">
        <f t="shared" si="618"/>
        <v/>
      </c>
      <c r="N7908" s="7" t="str">
        <f t="shared" si="622"/>
        <v/>
      </c>
      <c r="O7908" s="8"/>
      <c r="P7908" s="26"/>
      <c r="S7908" s="10" t="str">
        <f t="shared" si="619"/>
        <v/>
      </c>
    </row>
    <row r="7909" spans="5:19" x14ac:dyDescent="0.3">
      <c r="E7909" s="9" t="str">
        <f>IF(DADOS!C7909="","",DADOS!C7909)</f>
        <v/>
      </c>
      <c r="F7909" s="9" t="str">
        <f>IF(DADOS!E7909="","",DADOS!E7909)</f>
        <v/>
      </c>
      <c r="G7909" s="9" t="str">
        <f>IF(DADOS!F7909="","",DADOS!F7909)</f>
        <v/>
      </c>
      <c r="K7909" s="6" t="str">
        <f t="shared" si="620"/>
        <v/>
      </c>
      <c r="L7909" s="7" t="str">
        <f t="shared" si="621"/>
        <v/>
      </c>
      <c r="M7909" s="7" t="str">
        <f t="shared" si="618"/>
        <v/>
      </c>
      <c r="N7909" s="7" t="str">
        <f t="shared" si="622"/>
        <v/>
      </c>
      <c r="O7909" s="8"/>
      <c r="P7909" s="26"/>
      <c r="S7909" s="10" t="str">
        <f t="shared" si="619"/>
        <v/>
      </c>
    </row>
    <row r="7910" spans="5:19" x14ac:dyDescent="0.3">
      <c r="E7910" s="9" t="str">
        <f>IF(DADOS!C7910="","",DADOS!C7910)</f>
        <v/>
      </c>
      <c r="F7910" s="9" t="str">
        <f>IF(DADOS!E7910="","",DADOS!E7910)</f>
        <v/>
      </c>
      <c r="G7910" s="9" t="str">
        <f>IF(DADOS!F7910="","",DADOS!F7910)</f>
        <v/>
      </c>
      <c r="K7910" s="6" t="str">
        <f t="shared" si="620"/>
        <v/>
      </c>
      <c r="L7910" s="7" t="str">
        <f t="shared" si="621"/>
        <v/>
      </c>
      <c r="M7910" s="7" t="str">
        <f t="shared" si="618"/>
        <v/>
      </c>
      <c r="N7910" s="7" t="str">
        <f t="shared" si="622"/>
        <v/>
      </c>
      <c r="O7910" s="8"/>
      <c r="P7910" s="26"/>
      <c r="S7910" s="10" t="str">
        <f t="shared" si="619"/>
        <v/>
      </c>
    </row>
    <row r="7911" spans="5:19" x14ac:dyDescent="0.3">
      <c r="E7911" s="9" t="str">
        <f>IF(DADOS!C7911="","",DADOS!C7911)</f>
        <v/>
      </c>
      <c r="F7911" s="9" t="str">
        <f>IF(DADOS!E7911="","",DADOS!E7911)</f>
        <v/>
      </c>
      <c r="G7911" s="9" t="str">
        <f>IF(DADOS!F7911="","",DADOS!F7911)</f>
        <v/>
      </c>
      <c r="K7911" s="6" t="str">
        <f t="shared" si="620"/>
        <v/>
      </c>
      <c r="L7911" s="7" t="str">
        <f t="shared" si="621"/>
        <v/>
      </c>
      <c r="M7911" s="7" t="str">
        <f t="shared" si="618"/>
        <v/>
      </c>
      <c r="N7911" s="7" t="str">
        <f t="shared" si="622"/>
        <v/>
      </c>
      <c r="O7911" s="8"/>
      <c r="P7911" s="26"/>
      <c r="S7911" s="10" t="str">
        <f t="shared" si="619"/>
        <v/>
      </c>
    </row>
    <row r="7912" spans="5:19" x14ac:dyDescent="0.3">
      <c r="E7912" s="9" t="str">
        <f>IF(DADOS!C7912="","",DADOS!C7912)</f>
        <v/>
      </c>
      <c r="F7912" s="9" t="str">
        <f>IF(DADOS!E7912="","",DADOS!E7912)</f>
        <v/>
      </c>
      <c r="G7912" s="9" t="str">
        <f>IF(DADOS!F7912="","",DADOS!F7912)</f>
        <v/>
      </c>
      <c r="K7912" s="6" t="str">
        <f t="shared" si="620"/>
        <v/>
      </c>
      <c r="L7912" s="7" t="str">
        <f t="shared" si="621"/>
        <v/>
      </c>
      <c r="M7912" s="7" t="str">
        <f t="shared" si="618"/>
        <v/>
      </c>
      <c r="N7912" s="7" t="str">
        <f t="shared" si="622"/>
        <v/>
      </c>
      <c r="O7912" s="8"/>
      <c r="P7912" s="26"/>
      <c r="S7912" s="10" t="str">
        <f t="shared" si="619"/>
        <v/>
      </c>
    </row>
    <row r="7913" spans="5:19" x14ac:dyDescent="0.3">
      <c r="E7913" s="9" t="str">
        <f>IF(DADOS!C7913="","",DADOS!C7913)</f>
        <v/>
      </c>
      <c r="F7913" s="9" t="str">
        <f>IF(DADOS!E7913="","",DADOS!E7913)</f>
        <v/>
      </c>
      <c r="G7913" s="9" t="str">
        <f>IF(DADOS!F7913="","",DADOS!F7913)</f>
        <v/>
      </c>
      <c r="K7913" s="6" t="str">
        <f t="shared" si="620"/>
        <v/>
      </c>
      <c r="L7913" s="7" t="str">
        <f t="shared" si="621"/>
        <v/>
      </c>
      <c r="M7913" s="7" t="str">
        <f t="shared" si="618"/>
        <v/>
      </c>
      <c r="N7913" s="7" t="str">
        <f t="shared" si="622"/>
        <v/>
      </c>
      <c r="O7913" s="8"/>
      <c r="P7913" s="26"/>
      <c r="S7913" s="10" t="str">
        <f t="shared" si="619"/>
        <v/>
      </c>
    </row>
    <row r="7914" spans="5:19" x14ac:dyDescent="0.3">
      <c r="E7914" s="9" t="str">
        <f>IF(DADOS!C7914="","",DADOS!C7914)</f>
        <v/>
      </c>
      <c r="F7914" s="9" t="str">
        <f>IF(DADOS!E7914="","",DADOS!E7914)</f>
        <v/>
      </c>
      <c r="G7914" s="9" t="str">
        <f>IF(DADOS!F7914="","",DADOS!F7914)</f>
        <v/>
      </c>
      <c r="K7914" s="6" t="str">
        <f t="shared" si="620"/>
        <v/>
      </c>
      <c r="L7914" s="7" t="str">
        <f t="shared" si="621"/>
        <v/>
      </c>
      <c r="M7914" s="7" t="str">
        <f t="shared" si="618"/>
        <v/>
      </c>
      <c r="N7914" s="7" t="str">
        <f t="shared" si="622"/>
        <v/>
      </c>
      <c r="O7914" s="8"/>
      <c r="P7914" s="26"/>
      <c r="S7914" s="10" t="str">
        <f t="shared" si="619"/>
        <v/>
      </c>
    </row>
    <row r="7915" spans="5:19" x14ac:dyDescent="0.3">
      <c r="E7915" s="9" t="str">
        <f>IF(DADOS!C7915="","",DADOS!C7915)</f>
        <v/>
      </c>
      <c r="F7915" s="9" t="str">
        <f>IF(DADOS!E7915="","",DADOS!E7915)</f>
        <v/>
      </c>
      <c r="G7915" s="9" t="str">
        <f>IF(DADOS!F7915="","",DADOS!F7915)</f>
        <v/>
      </c>
      <c r="K7915" s="6" t="str">
        <f t="shared" si="620"/>
        <v/>
      </c>
      <c r="L7915" s="7" t="str">
        <f t="shared" si="621"/>
        <v/>
      </c>
      <c r="M7915" s="7" t="str">
        <f t="shared" si="618"/>
        <v/>
      </c>
      <c r="N7915" s="7" t="str">
        <f t="shared" si="622"/>
        <v/>
      </c>
      <c r="O7915" s="8"/>
      <c r="P7915" s="26"/>
      <c r="S7915" s="10" t="str">
        <f t="shared" si="619"/>
        <v/>
      </c>
    </row>
    <row r="7916" spans="5:19" x14ac:dyDescent="0.3">
      <c r="E7916" s="9" t="str">
        <f>IF(DADOS!C7916="","",DADOS!C7916)</f>
        <v/>
      </c>
      <c r="F7916" s="9" t="str">
        <f>IF(DADOS!E7916="","",DADOS!E7916)</f>
        <v/>
      </c>
      <c r="G7916" s="9" t="str">
        <f>IF(DADOS!F7916="","",DADOS!F7916)</f>
        <v/>
      </c>
      <c r="K7916" s="6" t="str">
        <f t="shared" si="620"/>
        <v/>
      </c>
      <c r="L7916" s="7" t="str">
        <f t="shared" si="621"/>
        <v/>
      </c>
      <c r="M7916" s="7" t="str">
        <f t="shared" si="618"/>
        <v/>
      </c>
      <c r="N7916" s="7" t="str">
        <f t="shared" si="622"/>
        <v/>
      </c>
      <c r="O7916" s="8"/>
      <c r="P7916" s="26"/>
      <c r="S7916" s="10" t="str">
        <f t="shared" si="619"/>
        <v/>
      </c>
    </row>
    <row r="7917" spans="5:19" x14ac:dyDescent="0.3">
      <c r="E7917" s="9" t="str">
        <f>IF(DADOS!C7917="","",DADOS!C7917)</f>
        <v/>
      </c>
      <c r="F7917" s="9" t="str">
        <f>IF(DADOS!E7917="","",DADOS!E7917)</f>
        <v/>
      </c>
      <c r="G7917" s="9" t="str">
        <f>IF(DADOS!F7917="","",DADOS!F7917)</f>
        <v/>
      </c>
      <c r="K7917" s="6" t="str">
        <f t="shared" si="620"/>
        <v/>
      </c>
      <c r="L7917" s="7" t="str">
        <f t="shared" si="621"/>
        <v/>
      </c>
      <c r="M7917" s="7" t="str">
        <f t="shared" si="618"/>
        <v/>
      </c>
      <c r="N7917" s="7" t="str">
        <f t="shared" si="622"/>
        <v/>
      </c>
      <c r="O7917" s="8"/>
      <c r="P7917" s="26"/>
      <c r="S7917" s="10" t="str">
        <f t="shared" si="619"/>
        <v/>
      </c>
    </row>
    <row r="7918" spans="5:19" x14ac:dyDescent="0.3">
      <c r="E7918" s="9" t="str">
        <f>IF(DADOS!C7918="","",DADOS!C7918)</f>
        <v/>
      </c>
      <c r="F7918" s="9" t="str">
        <f>IF(DADOS!E7918="","",DADOS!E7918)</f>
        <v/>
      </c>
      <c r="G7918" s="9" t="str">
        <f>IF(DADOS!F7918="","",DADOS!F7918)</f>
        <v/>
      </c>
      <c r="K7918" s="6" t="str">
        <f t="shared" si="620"/>
        <v/>
      </c>
      <c r="L7918" s="7" t="str">
        <f t="shared" si="621"/>
        <v/>
      </c>
      <c r="M7918" s="7" t="str">
        <f t="shared" si="618"/>
        <v/>
      </c>
      <c r="N7918" s="7" t="str">
        <f t="shared" si="622"/>
        <v/>
      </c>
      <c r="O7918" s="8"/>
      <c r="P7918" s="26"/>
      <c r="S7918" s="10" t="str">
        <f t="shared" si="619"/>
        <v/>
      </c>
    </row>
    <row r="7919" spans="5:19" x14ac:dyDescent="0.3">
      <c r="E7919" s="9" t="str">
        <f>IF(DADOS!C7919="","",DADOS!C7919)</f>
        <v/>
      </c>
      <c r="F7919" s="9" t="str">
        <f>IF(DADOS!E7919="","",DADOS!E7919)</f>
        <v/>
      </c>
      <c r="G7919" s="9" t="str">
        <f>IF(DADOS!F7919="","",DADOS!F7919)</f>
        <v/>
      </c>
      <c r="K7919" s="6" t="str">
        <f t="shared" si="620"/>
        <v/>
      </c>
      <c r="L7919" s="7" t="str">
        <f t="shared" si="621"/>
        <v/>
      </c>
      <c r="M7919" s="7" t="str">
        <f t="shared" si="618"/>
        <v/>
      </c>
      <c r="N7919" s="7" t="str">
        <f t="shared" si="622"/>
        <v/>
      </c>
      <c r="O7919" s="8"/>
      <c r="P7919" s="26"/>
      <c r="S7919" s="10" t="str">
        <f t="shared" si="619"/>
        <v/>
      </c>
    </row>
    <row r="7920" spans="5:19" x14ac:dyDescent="0.3">
      <c r="E7920" s="9" t="str">
        <f>IF(DADOS!C7920="","",DADOS!C7920)</f>
        <v/>
      </c>
      <c r="F7920" s="9" t="str">
        <f>IF(DADOS!E7920="","",DADOS!E7920)</f>
        <v/>
      </c>
      <c r="G7920" s="9" t="str">
        <f>IF(DADOS!F7920="","",DADOS!F7920)</f>
        <v/>
      </c>
      <c r="K7920" s="6" t="str">
        <f t="shared" si="620"/>
        <v/>
      </c>
      <c r="L7920" s="7" t="str">
        <f t="shared" si="621"/>
        <v/>
      </c>
      <c r="M7920" s="7" t="str">
        <f t="shared" si="618"/>
        <v/>
      </c>
      <c r="N7920" s="7" t="str">
        <f t="shared" si="622"/>
        <v/>
      </c>
      <c r="O7920" s="8"/>
      <c r="P7920" s="26"/>
      <c r="S7920" s="10" t="str">
        <f t="shared" si="619"/>
        <v/>
      </c>
    </row>
    <row r="7921" spans="5:19" x14ac:dyDescent="0.3">
      <c r="E7921" s="9" t="str">
        <f>IF(DADOS!C7921="","",DADOS!C7921)</f>
        <v/>
      </c>
      <c r="F7921" s="9" t="str">
        <f>IF(DADOS!E7921="","",DADOS!E7921)</f>
        <v/>
      </c>
      <c r="G7921" s="9" t="str">
        <f>IF(DADOS!F7921="","",DADOS!F7921)</f>
        <v/>
      </c>
      <c r="K7921" s="6" t="str">
        <f t="shared" si="620"/>
        <v/>
      </c>
      <c r="L7921" s="7" t="str">
        <f t="shared" si="621"/>
        <v/>
      </c>
      <c r="M7921" s="7" t="str">
        <f t="shared" si="618"/>
        <v/>
      </c>
      <c r="N7921" s="7" t="str">
        <f t="shared" si="622"/>
        <v/>
      </c>
      <c r="O7921" s="8"/>
      <c r="P7921" s="26"/>
      <c r="S7921" s="10" t="str">
        <f t="shared" si="619"/>
        <v/>
      </c>
    </row>
    <row r="7922" spans="5:19" x14ac:dyDescent="0.3">
      <c r="E7922" s="9" t="str">
        <f>IF(DADOS!C7922="","",DADOS!C7922)</f>
        <v/>
      </c>
      <c r="F7922" s="9" t="str">
        <f>IF(DADOS!E7922="","",DADOS!E7922)</f>
        <v/>
      </c>
      <c r="G7922" s="9" t="str">
        <f>IF(DADOS!F7922="","",DADOS!F7922)</f>
        <v/>
      </c>
      <c r="K7922" s="6" t="str">
        <f t="shared" si="620"/>
        <v/>
      </c>
      <c r="L7922" s="7" t="str">
        <f t="shared" si="621"/>
        <v/>
      </c>
      <c r="M7922" s="7" t="str">
        <f t="shared" si="618"/>
        <v/>
      </c>
      <c r="N7922" s="7" t="str">
        <f t="shared" si="622"/>
        <v/>
      </c>
      <c r="O7922" s="8"/>
      <c r="P7922" s="26"/>
      <c r="S7922" s="10" t="str">
        <f t="shared" si="619"/>
        <v/>
      </c>
    </row>
    <row r="7923" spans="5:19" x14ac:dyDescent="0.3">
      <c r="E7923" s="9" t="str">
        <f>IF(DADOS!C7923="","",DADOS!C7923)</f>
        <v/>
      </c>
      <c r="F7923" s="9" t="str">
        <f>IF(DADOS!E7923="","",DADOS!E7923)</f>
        <v/>
      </c>
      <c r="G7923" s="9" t="str">
        <f>IF(DADOS!F7923="","",DADOS!F7923)</f>
        <v/>
      </c>
      <c r="K7923" s="6" t="str">
        <f t="shared" si="620"/>
        <v/>
      </c>
      <c r="L7923" s="7" t="str">
        <f t="shared" si="621"/>
        <v/>
      </c>
      <c r="M7923" s="7" t="str">
        <f t="shared" si="618"/>
        <v/>
      </c>
      <c r="N7923" s="7" t="str">
        <f t="shared" si="622"/>
        <v/>
      </c>
      <c r="O7923" s="8"/>
      <c r="P7923" s="26"/>
      <c r="S7923" s="10" t="str">
        <f t="shared" si="619"/>
        <v/>
      </c>
    </row>
    <row r="7924" spans="5:19" x14ac:dyDescent="0.3">
      <c r="E7924" s="9" t="str">
        <f>IF(DADOS!C7924="","",DADOS!C7924)</f>
        <v/>
      </c>
      <c r="F7924" s="9" t="str">
        <f>IF(DADOS!E7924="","",DADOS!E7924)</f>
        <v/>
      </c>
      <c r="G7924" s="9" t="str">
        <f>IF(DADOS!F7924="","",DADOS!F7924)</f>
        <v/>
      </c>
      <c r="K7924" s="6" t="str">
        <f t="shared" si="620"/>
        <v/>
      </c>
      <c r="L7924" s="7" t="str">
        <f t="shared" si="621"/>
        <v/>
      </c>
      <c r="M7924" s="7" t="str">
        <f t="shared" si="618"/>
        <v/>
      </c>
      <c r="N7924" s="7" t="str">
        <f t="shared" si="622"/>
        <v/>
      </c>
      <c r="O7924" s="8"/>
      <c r="P7924" s="26"/>
      <c r="S7924" s="10" t="str">
        <f t="shared" si="619"/>
        <v/>
      </c>
    </row>
    <row r="7925" spans="5:19" x14ac:dyDescent="0.3">
      <c r="E7925" s="9" t="str">
        <f>IF(DADOS!C7925="","",DADOS!C7925)</f>
        <v/>
      </c>
      <c r="F7925" s="9" t="str">
        <f>IF(DADOS!E7925="","",DADOS!E7925)</f>
        <v/>
      </c>
      <c r="G7925" s="9" t="str">
        <f>IF(DADOS!F7925="","",DADOS!F7925)</f>
        <v/>
      </c>
      <c r="K7925" s="6" t="str">
        <f t="shared" si="620"/>
        <v/>
      </c>
      <c r="L7925" s="7" t="str">
        <f t="shared" si="621"/>
        <v/>
      </c>
      <c r="M7925" s="7" t="str">
        <f t="shared" si="618"/>
        <v/>
      </c>
      <c r="N7925" s="7" t="str">
        <f t="shared" si="622"/>
        <v/>
      </c>
      <c r="O7925" s="8"/>
      <c r="P7925" s="26"/>
      <c r="S7925" s="10" t="str">
        <f t="shared" si="619"/>
        <v/>
      </c>
    </row>
    <row r="7926" spans="5:19" x14ac:dyDescent="0.3">
      <c r="E7926" s="9" t="str">
        <f>IF(DADOS!C7926="","",DADOS!C7926)</f>
        <v/>
      </c>
      <c r="F7926" s="9" t="str">
        <f>IF(DADOS!E7926="","",DADOS!E7926)</f>
        <v/>
      </c>
      <c r="G7926" s="9" t="str">
        <f>IF(DADOS!F7926="","",DADOS!F7926)</f>
        <v/>
      </c>
      <c r="K7926" s="6" t="str">
        <f t="shared" si="620"/>
        <v/>
      </c>
      <c r="L7926" s="7" t="str">
        <f t="shared" si="621"/>
        <v/>
      </c>
      <c r="M7926" s="7" t="str">
        <f t="shared" si="618"/>
        <v/>
      </c>
      <c r="N7926" s="7" t="str">
        <f t="shared" si="622"/>
        <v/>
      </c>
      <c r="O7926" s="8"/>
      <c r="P7926" s="26"/>
      <c r="S7926" s="10" t="str">
        <f t="shared" si="619"/>
        <v/>
      </c>
    </row>
    <row r="7927" spans="5:19" x14ac:dyDescent="0.3">
      <c r="E7927" s="9" t="str">
        <f>IF(DADOS!C7927="","",DADOS!C7927)</f>
        <v/>
      </c>
      <c r="F7927" s="9" t="str">
        <f>IF(DADOS!E7927="","",DADOS!E7927)</f>
        <v/>
      </c>
      <c r="G7927" s="9" t="str">
        <f>IF(DADOS!F7927="","",DADOS!F7927)</f>
        <v/>
      </c>
      <c r="K7927" s="6" t="str">
        <f t="shared" si="620"/>
        <v/>
      </c>
      <c r="L7927" s="7" t="str">
        <f t="shared" si="621"/>
        <v/>
      </c>
      <c r="M7927" s="7" t="str">
        <f t="shared" si="618"/>
        <v/>
      </c>
      <c r="N7927" s="7" t="str">
        <f t="shared" si="622"/>
        <v/>
      </c>
      <c r="O7927" s="8"/>
      <c r="P7927" s="26"/>
      <c r="S7927" s="10" t="str">
        <f t="shared" si="619"/>
        <v/>
      </c>
    </row>
    <row r="7928" spans="5:19" x14ac:dyDescent="0.3">
      <c r="E7928" s="9" t="str">
        <f>IF(DADOS!C7928="","",DADOS!C7928)</f>
        <v/>
      </c>
      <c r="F7928" s="9" t="str">
        <f>IF(DADOS!E7928="","",DADOS!E7928)</f>
        <v/>
      </c>
      <c r="G7928" s="9" t="str">
        <f>IF(DADOS!F7928="","",DADOS!F7928)</f>
        <v/>
      </c>
      <c r="K7928" s="6" t="str">
        <f t="shared" si="620"/>
        <v/>
      </c>
      <c r="L7928" s="7" t="str">
        <f t="shared" si="621"/>
        <v/>
      </c>
      <c r="M7928" s="7" t="str">
        <f t="shared" si="618"/>
        <v/>
      </c>
      <c r="N7928" s="7" t="str">
        <f t="shared" si="622"/>
        <v/>
      </c>
      <c r="O7928" s="8"/>
      <c r="P7928" s="26"/>
      <c r="S7928" s="10" t="str">
        <f t="shared" si="619"/>
        <v/>
      </c>
    </row>
    <row r="7929" spans="5:19" x14ac:dyDescent="0.3">
      <c r="E7929" s="9" t="str">
        <f>IF(DADOS!C7929="","",DADOS!C7929)</f>
        <v/>
      </c>
      <c r="F7929" s="9" t="str">
        <f>IF(DADOS!E7929="","",DADOS!E7929)</f>
        <v/>
      </c>
      <c r="G7929" s="9" t="str">
        <f>IF(DADOS!F7929="","",DADOS!F7929)</f>
        <v/>
      </c>
      <c r="K7929" s="6" t="str">
        <f t="shared" si="620"/>
        <v/>
      </c>
      <c r="L7929" s="7" t="str">
        <f t="shared" si="621"/>
        <v/>
      </c>
      <c r="M7929" s="7" t="str">
        <f t="shared" si="618"/>
        <v/>
      </c>
      <c r="N7929" s="7" t="str">
        <f t="shared" si="622"/>
        <v/>
      </c>
      <c r="O7929" s="8"/>
      <c r="P7929" s="26"/>
      <c r="S7929" s="10" t="str">
        <f t="shared" si="619"/>
        <v/>
      </c>
    </row>
    <row r="7930" spans="5:19" x14ac:dyDescent="0.3">
      <c r="E7930" s="9" t="str">
        <f>IF(DADOS!C7930="","",DADOS!C7930)</f>
        <v/>
      </c>
      <c r="F7930" s="9" t="str">
        <f>IF(DADOS!E7930="","",DADOS!E7930)</f>
        <v/>
      </c>
      <c r="G7930" s="9" t="str">
        <f>IF(DADOS!F7930="","",DADOS!F7930)</f>
        <v/>
      </c>
      <c r="K7930" s="6" t="str">
        <f t="shared" si="620"/>
        <v/>
      </c>
      <c r="L7930" s="7" t="str">
        <f t="shared" si="621"/>
        <v/>
      </c>
      <c r="M7930" s="7" t="str">
        <f t="shared" si="618"/>
        <v/>
      </c>
      <c r="N7930" s="7" t="str">
        <f t="shared" si="622"/>
        <v/>
      </c>
      <c r="O7930" s="8"/>
      <c r="P7930" s="26"/>
      <c r="S7930" s="10" t="str">
        <f t="shared" si="619"/>
        <v/>
      </c>
    </row>
    <row r="7931" spans="5:19" x14ac:dyDescent="0.3">
      <c r="E7931" s="9" t="str">
        <f>IF(DADOS!C7931="","",DADOS!C7931)</f>
        <v/>
      </c>
      <c r="F7931" s="9" t="str">
        <f>IF(DADOS!E7931="","",DADOS!E7931)</f>
        <v/>
      </c>
      <c r="G7931" s="9" t="str">
        <f>IF(DADOS!F7931="","",DADOS!F7931)</f>
        <v/>
      </c>
      <c r="K7931" s="6" t="str">
        <f t="shared" si="620"/>
        <v/>
      </c>
      <c r="L7931" s="7" t="str">
        <f t="shared" si="621"/>
        <v/>
      </c>
      <c r="M7931" s="7" t="str">
        <f t="shared" si="618"/>
        <v/>
      </c>
      <c r="N7931" s="7" t="str">
        <f t="shared" si="622"/>
        <v/>
      </c>
      <c r="O7931" s="8"/>
      <c r="P7931" s="26"/>
      <c r="S7931" s="10" t="str">
        <f t="shared" si="619"/>
        <v/>
      </c>
    </row>
    <row r="7932" spans="5:19" x14ac:dyDescent="0.3">
      <c r="E7932" s="9" t="str">
        <f>IF(DADOS!C7932="","",DADOS!C7932)</f>
        <v/>
      </c>
      <c r="F7932" s="9" t="str">
        <f>IF(DADOS!E7932="","",DADOS!E7932)</f>
        <v/>
      </c>
      <c r="G7932" s="9" t="str">
        <f>IF(DADOS!F7932="","",DADOS!F7932)</f>
        <v/>
      </c>
      <c r="K7932" s="6" t="str">
        <f t="shared" si="620"/>
        <v/>
      </c>
      <c r="L7932" s="7" t="str">
        <f t="shared" si="621"/>
        <v/>
      </c>
      <c r="M7932" s="7" t="str">
        <f t="shared" si="618"/>
        <v/>
      </c>
      <c r="N7932" s="7" t="str">
        <f t="shared" si="622"/>
        <v/>
      </c>
      <c r="O7932" s="8"/>
      <c r="P7932" s="26"/>
      <c r="S7932" s="10" t="str">
        <f t="shared" si="619"/>
        <v/>
      </c>
    </row>
    <row r="7933" spans="5:19" x14ac:dyDescent="0.3">
      <c r="E7933" s="9" t="str">
        <f>IF(DADOS!C7933="","",DADOS!C7933)</f>
        <v/>
      </c>
      <c r="F7933" s="9" t="str">
        <f>IF(DADOS!E7933="","",DADOS!E7933)</f>
        <v/>
      </c>
      <c r="G7933" s="9" t="str">
        <f>IF(DADOS!F7933="","",DADOS!F7933)</f>
        <v/>
      </c>
      <c r="K7933" s="6" t="str">
        <f t="shared" si="620"/>
        <v/>
      </c>
      <c r="L7933" s="7" t="str">
        <f t="shared" si="621"/>
        <v/>
      </c>
      <c r="M7933" s="7" t="str">
        <f t="shared" si="618"/>
        <v/>
      </c>
      <c r="N7933" s="7" t="str">
        <f t="shared" si="622"/>
        <v/>
      </c>
      <c r="O7933" s="8"/>
      <c r="P7933" s="26"/>
      <c r="S7933" s="10" t="str">
        <f t="shared" si="619"/>
        <v/>
      </c>
    </row>
    <row r="7934" spans="5:19" x14ac:dyDescent="0.3">
      <c r="E7934" s="9" t="str">
        <f>IF(DADOS!C7934="","",DADOS!C7934)</f>
        <v/>
      </c>
      <c r="F7934" s="9" t="str">
        <f>IF(DADOS!E7934="","",DADOS!E7934)</f>
        <v/>
      </c>
      <c r="G7934" s="9" t="str">
        <f>IF(DADOS!F7934="","",DADOS!F7934)</f>
        <v/>
      </c>
      <c r="K7934" s="6" t="str">
        <f t="shared" si="620"/>
        <v/>
      </c>
      <c r="L7934" s="7" t="str">
        <f t="shared" si="621"/>
        <v/>
      </c>
      <c r="M7934" s="7" t="str">
        <f t="shared" si="618"/>
        <v/>
      </c>
      <c r="N7934" s="7" t="str">
        <f t="shared" si="622"/>
        <v/>
      </c>
      <c r="O7934" s="8"/>
      <c r="P7934" s="26"/>
      <c r="S7934" s="10" t="str">
        <f t="shared" si="619"/>
        <v/>
      </c>
    </row>
    <row r="7935" spans="5:19" x14ac:dyDescent="0.3">
      <c r="E7935" s="9" t="str">
        <f>IF(DADOS!C7935="","",DADOS!C7935)</f>
        <v/>
      </c>
      <c r="F7935" s="9" t="str">
        <f>IF(DADOS!E7935="","",DADOS!E7935)</f>
        <v/>
      </c>
      <c r="G7935" s="9" t="str">
        <f>IF(DADOS!F7935="","",DADOS!F7935)</f>
        <v/>
      </c>
      <c r="K7935" s="6" t="str">
        <f t="shared" si="620"/>
        <v/>
      </c>
      <c r="L7935" s="7" t="str">
        <f t="shared" si="621"/>
        <v/>
      </c>
      <c r="M7935" s="7" t="str">
        <f t="shared" si="618"/>
        <v/>
      </c>
      <c r="N7935" s="7" t="str">
        <f t="shared" si="622"/>
        <v/>
      </c>
      <c r="O7935" s="8"/>
      <c r="P7935" s="26"/>
      <c r="S7935" s="10" t="str">
        <f t="shared" si="619"/>
        <v/>
      </c>
    </row>
    <row r="7936" spans="5:19" x14ac:dyDescent="0.3">
      <c r="E7936" s="9" t="str">
        <f>IF(DADOS!C7936="","",DADOS!C7936)</f>
        <v/>
      </c>
      <c r="F7936" s="9" t="str">
        <f>IF(DADOS!E7936="","",DADOS!E7936)</f>
        <v/>
      </c>
      <c r="G7936" s="9" t="str">
        <f>IF(DADOS!F7936="","",DADOS!F7936)</f>
        <v/>
      </c>
      <c r="K7936" s="6" t="str">
        <f t="shared" si="620"/>
        <v/>
      </c>
      <c r="L7936" s="7" t="str">
        <f t="shared" si="621"/>
        <v/>
      </c>
      <c r="M7936" s="7" t="str">
        <f t="shared" si="618"/>
        <v/>
      </c>
      <c r="N7936" s="7" t="str">
        <f t="shared" si="622"/>
        <v/>
      </c>
      <c r="O7936" s="8"/>
      <c r="P7936" s="26"/>
      <c r="S7936" s="10" t="str">
        <f t="shared" si="619"/>
        <v/>
      </c>
    </row>
    <row r="7937" spans="5:19" x14ac:dyDescent="0.3">
      <c r="E7937" s="9" t="str">
        <f>IF(DADOS!C7937="","",DADOS!C7937)</f>
        <v/>
      </c>
      <c r="F7937" s="9" t="str">
        <f>IF(DADOS!E7937="","",DADOS!E7937)</f>
        <v/>
      </c>
      <c r="G7937" s="9" t="str">
        <f>IF(DADOS!F7937="","",DADOS!F7937)</f>
        <v/>
      </c>
      <c r="K7937" s="6" t="str">
        <f t="shared" si="620"/>
        <v/>
      </c>
      <c r="L7937" s="7" t="str">
        <f t="shared" si="621"/>
        <v/>
      </c>
      <c r="M7937" s="7" t="str">
        <f t="shared" si="618"/>
        <v/>
      </c>
      <c r="N7937" s="7" t="str">
        <f t="shared" si="622"/>
        <v/>
      </c>
      <c r="O7937" s="8"/>
      <c r="P7937" s="26"/>
      <c r="S7937" s="10" t="str">
        <f t="shared" si="619"/>
        <v/>
      </c>
    </row>
    <row r="7938" spans="5:19" x14ac:dyDescent="0.3">
      <c r="E7938" s="9" t="str">
        <f>IF(DADOS!C7938="","",DADOS!C7938)</f>
        <v/>
      </c>
      <c r="F7938" s="9" t="str">
        <f>IF(DADOS!E7938="","",DADOS!E7938)</f>
        <v/>
      </c>
      <c r="G7938" s="9" t="str">
        <f>IF(DADOS!F7938="","",DADOS!F7938)</f>
        <v/>
      </c>
      <c r="K7938" s="6" t="str">
        <f t="shared" si="620"/>
        <v/>
      </c>
      <c r="L7938" s="7" t="str">
        <f t="shared" si="621"/>
        <v/>
      </c>
      <c r="M7938" s="7" t="str">
        <f t="shared" si="618"/>
        <v/>
      </c>
      <c r="N7938" s="7" t="str">
        <f t="shared" si="622"/>
        <v/>
      </c>
      <c r="O7938" s="8"/>
      <c r="P7938" s="26"/>
      <c r="S7938" s="10" t="str">
        <f t="shared" si="619"/>
        <v/>
      </c>
    </row>
    <row r="7939" spans="5:19" x14ac:dyDescent="0.3">
      <c r="E7939" s="9" t="str">
        <f>IF(DADOS!C7939="","",DADOS!C7939)</f>
        <v/>
      </c>
      <c r="F7939" s="9" t="str">
        <f>IF(DADOS!E7939="","",DADOS!E7939)</f>
        <v/>
      </c>
      <c r="G7939" s="9" t="str">
        <f>IF(DADOS!F7939="","",DADOS!F7939)</f>
        <v/>
      </c>
      <c r="K7939" s="6" t="str">
        <f t="shared" si="620"/>
        <v/>
      </c>
      <c r="L7939" s="7" t="str">
        <f t="shared" si="621"/>
        <v/>
      </c>
      <c r="M7939" s="7" t="str">
        <f t="shared" ref="M7939:M8002" si="623">IF(L7939="","",L7939*G7939)</f>
        <v/>
      </c>
      <c r="N7939" s="7" t="str">
        <f t="shared" si="622"/>
        <v/>
      </c>
      <c r="O7939" s="8"/>
      <c r="P7939" s="26"/>
      <c r="S7939" s="10" t="str">
        <f t="shared" ref="S7939:S8002" si="624">IF(R7939="","",SUMIFS($N$3:$N$10000,$E$3:$E$10000,R7939))</f>
        <v/>
      </c>
    </row>
    <row r="7940" spans="5:19" x14ac:dyDescent="0.3">
      <c r="E7940" s="9" t="str">
        <f>IF(DADOS!C7940="","",DADOS!C7940)</f>
        <v/>
      </c>
      <c r="F7940" s="9" t="str">
        <f>IF(DADOS!E7940="","",DADOS!E7940)</f>
        <v/>
      </c>
      <c r="G7940" s="9" t="str">
        <f>IF(DADOS!F7940="","",DADOS!F7940)</f>
        <v/>
      </c>
      <c r="K7940" s="6" t="str">
        <f t="shared" ref="K7940:K8003" si="625">IF(F7940="","",F7940/PI())</f>
        <v/>
      </c>
      <c r="L7940" s="7" t="str">
        <f t="shared" ref="L7940:L8003" si="626">IF(K7940="","",(PI()*K7940^2)/40000)</f>
        <v/>
      </c>
      <c r="M7940" s="7" t="str">
        <f t="shared" si="623"/>
        <v/>
      </c>
      <c r="N7940" s="7" t="str">
        <f t="shared" ref="N7940:N8003" si="627">IF(M7940="","",M7940*N$1)</f>
        <v/>
      </c>
      <c r="O7940" s="8"/>
      <c r="P7940" s="26"/>
      <c r="S7940" s="10" t="str">
        <f t="shared" si="624"/>
        <v/>
      </c>
    </row>
    <row r="7941" spans="5:19" x14ac:dyDescent="0.3">
      <c r="E7941" s="9" t="str">
        <f>IF(DADOS!C7941="","",DADOS!C7941)</f>
        <v/>
      </c>
      <c r="F7941" s="9" t="str">
        <f>IF(DADOS!E7941="","",DADOS!E7941)</f>
        <v/>
      </c>
      <c r="G7941" s="9" t="str">
        <f>IF(DADOS!F7941="","",DADOS!F7941)</f>
        <v/>
      </c>
      <c r="K7941" s="6" t="str">
        <f t="shared" si="625"/>
        <v/>
      </c>
      <c r="L7941" s="7" t="str">
        <f t="shared" si="626"/>
        <v/>
      </c>
      <c r="M7941" s="7" t="str">
        <f t="shared" si="623"/>
        <v/>
      </c>
      <c r="N7941" s="7" t="str">
        <f t="shared" si="627"/>
        <v/>
      </c>
      <c r="O7941" s="8"/>
      <c r="P7941" s="26"/>
      <c r="S7941" s="10" t="str">
        <f t="shared" si="624"/>
        <v/>
      </c>
    </row>
    <row r="7942" spans="5:19" x14ac:dyDescent="0.3">
      <c r="E7942" s="9" t="str">
        <f>IF(DADOS!C7942="","",DADOS!C7942)</f>
        <v/>
      </c>
      <c r="F7942" s="9" t="str">
        <f>IF(DADOS!E7942="","",DADOS!E7942)</f>
        <v/>
      </c>
      <c r="G7942" s="9" t="str">
        <f>IF(DADOS!F7942="","",DADOS!F7942)</f>
        <v/>
      </c>
      <c r="K7942" s="6" t="str">
        <f t="shared" si="625"/>
        <v/>
      </c>
      <c r="L7942" s="7" t="str">
        <f t="shared" si="626"/>
        <v/>
      </c>
      <c r="M7942" s="7" t="str">
        <f t="shared" si="623"/>
        <v/>
      </c>
      <c r="N7942" s="7" t="str">
        <f t="shared" si="627"/>
        <v/>
      </c>
      <c r="O7942" s="8"/>
      <c r="P7942" s="26"/>
      <c r="S7942" s="10" t="str">
        <f t="shared" si="624"/>
        <v/>
      </c>
    </row>
    <row r="7943" spans="5:19" x14ac:dyDescent="0.3">
      <c r="E7943" s="9" t="str">
        <f>IF(DADOS!C7943="","",DADOS!C7943)</f>
        <v/>
      </c>
      <c r="F7943" s="9" t="str">
        <f>IF(DADOS!E7943="","",DADOS!E7943)</f>
        <v/>
      </c>
      <c r="G7943" s="9" t="str">
        <f>IF(DADOS!F7943="","",DADOS!F7943)</f>
        <v/>
      </c>
      <c r="K7943" s="6" t="str">
        <f t="shared" si="625"/>
        <v/>
      </c>
      <c r="L7943" s="7" t="str">
        <f t="shared" si="626"/>
        <v/>
      </c>
      <c r="M7943" s="7" t="str">
        <f t="shared" si="623"/>
        <v/>
      </c>
      <c r="N7943" s="7" t="str">
        <f t="shared" si="627"/>
        <v/>
      </c>
      <c r="O7943" s="8"/>
      <c r="P7943" s="26"/>
      <c r="S7943" s="10" t="str">
        <f t="shared" si="624"/>
        <v/>
      </c>
    </row>
    <row r="7944" spans="5:19" x14ac:dyDescent="0.3">
      <c r="E7944" s="9" t="str">
        <f>IF(DADOS!C7944="","",DADOS!C7944)</f>
        <v/>
      </c>
      <c r="F7944" s="9" t="str">
        <f>IF(DADOS!E7944="","",DADOS!E7944)</f>
        <v/>
      </c>
      <c r="G7944" s="9" t="str">
        <f>IF(DADOS!F7944="","",DADOS!F7944)</f>
        <v/>
      </c>
      <c r="K7944" s="6" t="str">
        <f t="shared" si="625"/>
        <v/>
      </c>
      <c r="L7944" s="7" t="str">
        <f t="shared" si="626"/>
        <v/>
      </c>
      <c r="M7944" s="7" t="str">
        <f t="shared" si="623"/>
        <v/>
      </c>
      <c r="N7944" s="7" t="str">
        <f t="shared" si="627"/>
        <v/>
      </c>
      <c r="O7944" s="8"/>
      <c r="P7944" s="26"/>
      <c r="S7944" s="10" t="str">
        <f t="shared" si="624"/>
        <v/>
      </c>
    </row>
    <row r="7945" spans="5:19" x14ac:dyDescent="0.3">
      <c r="E7945" s="9" t="str">
        <f>IF(DADOS!C7945="","",DADOS!C7945)</f>
        <v/>
      </c>
      <c r="F7945" s="9" t="str">
        <f>IF(DADOS!E7945="","",DADOS!E7945)</f>
        <v/>
      </c>
      <c r="G7945" s="9" t="str">
        <f>IF(DADOS!F7945="","",DADOS!F7945)</f>
        <v/>
      </c>
      <c r="K7945" s="6" t="str">
        <f t="shared" si="625"/>
        <v/>
      </c>
      <c r="L7945" s="7" t="str">
        <f t="shared" si="626"/>
        <v/>
      </c>
      <c r="M7945" s="7" t="str">
        <f t="shared" si="623"/>
        <v/>
      </c>
      <c r="N7945" s="7" t="str">
        <f t="shared" si="627"/>
        <v/>
      </c>
      <c r="O7945" s="8"/>
      <c r="P7945" s="26"/>
      <c r="S7945" s="10" t="str">
        <f t="shared" si="624"/>
        <v/>
      </c>
    </row>
    <row r="7946" spans="5:19" x14ac:dyDescent="0.3">
      <c r="E7946" s="9" t="str">
        <f>IF(DADOS!C7946="","",DADOS!C7946)</f>
        <v/>
      </c>
      <c r="F7946" s="9" t="str">
        <f>IF(DADOS!E7946="","",DADOS!E7946)</f>
        <v/>
      </c>
      <c r="G7946" s="9" t="str">
        <f>IF(DADOS!F7946="","",DADOS!F7946)</f>
        <v/>
      </c>
      <c r="K7946" s="6" t="str">
        <f t="shared" si="625"/>
        <v/>
      </c>
      <c r="L7946" s="7" t="str">
        <f t="shared" si="626"/>
        <v/>
      </c>
      <c r="M7946" s="7" t="str">
        <f t="shared" si="623"/>
        <v/>
      </c>
      <c r="N7946" s="7" t="str">
        <f t="shared" si="627"/>
        <v/>
      </c>
      <c r="O7946" s="8"/>
      <c r="P7946" s="26"/>
      <c r="S7946" s="10" t="str">
        <f t="shared" si="624"/>
        <v/>
      </c>
    </row>
    <row r="7947" spans="5:19" x14ac:dyDescent="0.3">
      <c r="E7947" s="9" t="str">
        <f>IF(DADOS!C7947="","",DADOS!C7947)</f>
        <v/>
      </c>
      <c r="F7947" s="9" t="str">
        <f>IF(DADOS!E7947="","",DADOS!E7947)</f>
        <v/>
      </c>
      <c r="G7947" s="9" t="str">
        <f>IF(DADOS!F7947="","",DADOS!F7947)</f>
        <v/>
      </c>
      <c r="K7947" s="6" t="str">
        <f t="shared" si="625"/>
        <v/>
      </c>
      <c r="L7947" s="7" t="str">
        <f t="shared" si="626"/>
        <v/>
      </c>
      <c r="M7947" s="7" t="str">
        <f t="shared" si="623"/>
        <v/>
      </c>
      <c r="N7947" s="7" t="str">
        <f t="shared" si="627"/>
        <v/>
      </c>
      <c r="O7947" s="8"/>
      <c r="P7947" s="26"/>
      <c r="S7947" s="10" t="str">
        <f t="shared" si="624"/>
        <v/>
      </c>
    </row>
    <row r="7948" spans="5:19" x14ac:dyDescent="0.3">
      <c r="E7948" s="9" t="str">
        <f>IF(DADOS!C7948="","",DADOS!C7948)</f>
        <v/>
      </c>
      <c r="F7948" s="9" t="str">
        <f>IF(DADOS!E7948="","",DADOS!E7948)</f>
        <v/>
      </c>
      <c r="G7948" s="9" t="str">
        <f>IF(DADOS!F7948="","",DADOS!F7948)</f>
        <v/>
      </c>
      <c r="K7948" s="6" t="str">
        <f t="shared" si="625"/>
        <v/>
      </c>
      <c r="L7948" s="7" t="str">
        <f t="shared" si="626"/>
        <v/>
      </c>
      <c r="M7948" s="7" t="str">
        <f t="shared" si="623"/>
        <v/>
      </c>
      <c r="N7948" s="7" t="str">
        <f t="shared" si="627"/>
        <v/>
      </c>
      <c r="O7948" s="8"/>
      <c r="P7948" s="26"/>
      <c r="S7948" s="10" t="str">
        <f t="shared" si="624"/>
        <v/>
      </c>
    </row>
    <row r="7949" spans="5:19" x14ac:dyDescent="0.3">
      <c r="E7949" s="9" t="str">
        <f>IF(DADOS!C7949="","",DADOS!C7949)</f>
        <v/>
      </c>
      <c r="F7949" s="9" t="str">
        <f>IF(DADOS!E7949="","",DADOS!E7949)</f>
        <v/>
      </c>
      <c r="G7949" s="9" t="str">
        <f>IF(DADOS!F7949="","",DADOS!F7949)</f>
        <v/>
      </c>
      <c r="K7949" s="6" t="str">
        <f t="shared" si="625"/>
        <v/>
      </c>
      <c r="L7949" s="7" t="str">
        <f t="shared" si="626"/>
        <v/>
      </c>
      <c r="M7949" s="7" t="str">
        <f t="shared" si="623"/>
        <v/>
      </c>
      <c r="N7949" s="7" t="str">
        <f t="shared" si="627"/>
        <v/>
      </c>
      <c r="O7949" s="8"/>
      <c r="P7949" s="26"/>
      <c r="S7949" s="10" t="str">
        <f t="shared" si="624"/>
        <v/>
      </c>
    </row>
    <row r="7950" spans="5:19" x14ac:dyDescent="0.3">
      <c r="E7950" s="9" t="str">
        <f>IF(DADOS!C7950="","",DADOS!C7950)</f>
        <v/>
      </c>
      <c r="F7950" s="9" t="str">
        <f>IF(DADOS!E7950="","",DADOS!E7950)</f>
        <v/>
      </c>
      <c r="G7950" s="9" t="str">
        <f>IF(DADOS!F7950="","",DADOS!F7950)</f>
        <v/>
      </c>
      <c r="K7950" s="6" t="str">
        <f t="shared" si="625"/>
        <v/>
      </c>
      <c r="L7950" s="7" t="str">
        <f t="shared" si="626"/>
        <v/>
      </c>
      <c r="M7950" s="7" t="str">
        <f t="shared" si="623"/>
        <v/>
      </c>
      <c r="N7950" s="7" t="str">
        <f t="shared" si="627"/>
        <v/>
      </c>
      <c r="O7950" s="8"/>
      <c r="P7950" s="26"/>
      <c r="S7950" s="10" t="str">
        <f t="shared" si="624"/>
        <v/>
      </c>
    </row>
    <row r="7951" spans="5:19" x14ac:dyDescent="0.3">
      <c r="E7951" s="9" t="str">
        <f>IF(DADOS!C7951="","",DADOS!C7951)</f>
        <v/>
      </c>
      <c r="F7951" s="9" t="str">
        <f>IF(DADOS!E7951="","",DADOS!E7951)</f>
        <v/>
      </c>
      <c r="G7951" s="9" t="str">
        <f>IF(DADOS!F7951="","",DADOS!F7951)</f>
        <v/>
      </c>
      <c r="K7951" s="6" t="str">
        <f t="shared" si="625"/>
        <v/>
      </c>
      <c r="L7951" s="7" t="str">
        <f t="shared" si="626"/>
        <v/>
      </c>
      <c r="M7951" s="7" t="str">
        <f t="shared" si="623"/>
        <v/>
      </c>
      <c r="N7951" s="7" t="str">
        <f t="shared" si="627"/>
        <v/>
      </c>
      <c r="O7951" s="8"/>
      <c r="P7951" s="26"/>
      <c r="S7951" s="10" t="str">
        <f t="shared" si="624"/>
        <v/>
      </c>
    </row>
    <row r="7952" spans="5:19" x14ac:dyDescent="0.3">
      <c r="E7952" s="9" t="str">
        <f>IF(DADOS!C7952="","",DADOS!C7952)</f>
        <v/>
      </c>
      <c r="F7952" s="9" t="str">
        <f>IF(DADOS!E7952="","",DADOS!E7952)</f>
        <v/>
      </c>
      <c r="G7952" s="9" t="str">
        <f>IF(DADOS!F7952="","",DADOS!F7952)</f>
        <v/>
      </c>
      <c r="K7952" s="6" t="str">
        <f t="shared" si="625"/>
        <v/>
      </c>
      <c r="L7952" s="7" t="str">
        <f t="shared" si="626"/>
        <v/>
      </c>
      <c r="M7952" s="7" t="str">
        <f t="shared" si="623"/>
        <v/>
      </c>
      <c r="N7952" s="7" t="str">
        <f t="shared" si="627"/>
        <v/>
      </c>
      <c r="O7952" s="8"/>
      <c r="P7952" s="26"/>
      <c r="S7952" s="10" t="str">
        <f t="shared" si="624"/>
        <v/>
      </c>
    </row>
    <row r="7953" spans="5:19" x14ac:dyDescent="0.3">
      <c r="E7953" s="9" t="str">
        <f>IF(DADOS!C7953="","",DADOS!C7953)</f>
        <v/>
      </c>
      <c r="F7953" s="9" t="str">
        <f>IF(DADOS!E7953="","",DADOS!E7953)</f>
        <v/>
      </c>
      <c r="G7953" s="9" t="str">
        <f>IF(DADOS!F7953="","",DADOS!F7953)</f>
        <v/>
      </c>
      <c r="K7953" s="6" t="str">
        <f t="shared" si="625"/>
        <v/>
      </c>
      <c r="L7953" s="7" t="str">
        <f t="shared" si="626"/>
        <v/>
      </c>
      <c r="M7953" s="7" t="str">
        <f t="shared" si="623"/>
        <v/>
      </c>
      <c r="N7953" s="7" t="str">
        <f t="shared" si="627"/>
        <v/>
      </c>
      <c r="O7953" s="8"/>
      <c r="P7953" s="26"/>
      <c r="S7953" s="10" t="str">
        <f t="shared" si="624"/>
        <v/>
      </c>
    </row>
    <row r="7954" spans="5:19" x14ac:dyDescent="0.3">
      <c r="E7954" s="9" t="str">
        <f>IF(DADOS!C7954="","",DADOS!C7954)</f>
        <v/>
      </c>
      <c r="F7954" s="9" t="str">
        <f>IF(DADOS!E7954="","",DADOS!E7954)</f>
        <v/>
      </c>
      <c r="G7954" s="9" t="str">
        <f>IF(DADOS!F7954="","",DADOS!F7954)</f>
        <v/>
      </c>
      <c r="K7954" s="6" t="str">
        <f t="shared" si="625"/>
        <v/>
      </c>
      <c r="L7954" s="7" t="str">
        <f t="shared" si="626"/>
        <v/>
      </c>
      <c r="M7954" s="7" t="str">
        <f t="shared" si="623"/>
        <v/>
      </c>
      <c r="N7954" s="7" t="str">
        <f t="shared" si="627"/>
        <v/>
      </c>
      <c r="O7954" s="8"/>
      <c r="P7954" s="26"/>
      <c r="S7954" s="10" t="str">
        <f t="shared" si="624"/>
        <v/>
      </c>
    </row>
    <row r="7955" spans="5:19" x14ac:dyDescent="0.3">
      <c r="E7955" s="9" t="str">
        <f>IF(DADOS!C7955="","",DADOS!C7955)</f>
        <v/>
      </c>
      <c r="F7955" s="9" t="str">
        <f>IF(DADOS!E7955="","",DADOS!E7955)</f>
        <v/>
      </c>
      <c r="G7955" s="9" t="str">
        <f>IF(DADOS!F7955="","",DADOS!F7955)</f>
        <v/>
      </c>
      <c r="K7955" s="6" t="str">
        <f t="shared" si="625"/>
        <v/>
      </c>
      <c r="L7955" s="7" t="str">
        <f t="shared" si="626"/>
        <v/>
      </c>
      <c r="M7955" s="7" t="str">
        <f t="shared" si="623"/>
        <v/>
      </c>
      <c r="N7955" s="7" t="str">
        <f t="shared" si="627"/>
        <v/>
      </c>
      <c r="O7955" s="8"/>
      <c r="P7955" s="26"/>
      <c r="S7955" s="10" t="str">
        <f t="shared" si="624"/>
        <v/>
      </c>
    </row>
    <row r="7956" spans="5:19" x14ac:dyDescent="0.3">
      <c r="E7956" s="9" t="str">
        <f>IF(DADOS!C7956="","",DADOS!C7956)</f>
        <v/>
      </c>
      <c r="F7956" s="9" t="str">
        <f>IF(DADOS!E7956="","",DADOS!E7956)</f>
        <v/>
      </c>
      <c r="G7956" s="9" t="str">
        <f>IF(DADOS!F7956="","",DADOS!F7956)</f>
        <v/>
      </c>
      <c r="K7956" s="6" t="str">
        <f t="shared" si="625"/>
        <v/>
      </c>
      <c r="L7956" s="7" t="str">
        <f t="shared" si="626"/>
        <v/>
      </c>
      <c r="M7956" s="7" t="str">
        <f t="shared" si="623"/>
        <v/>
      </c>
      <c r="N7956" s="7" t="str">
        <f t="shared" si="627"/>
        <v/>
      </c>
      <c r="O7956" s="8"/>
      <c r="P7956" s="26"/>
      <c r="S7956" s="10" t="str">
        <f t="shared" si="624"/>
        <v/>
      </c>
    </row>
    <row r="7957" spans="5:19" x14ac:dyDescent="0.3">
      <c r="E7957" s="9" t="str">
        <f>IF(DADOS!C7957="","",DADOS!C7957)</f>
        <v/>
      </c>
      <c r="F7957" s="9" t="str">
        <f>IF(DADOS!E7957="","",DADOS!E7957)</f>
        <v/>
      </c>
      <c r="G7957" s="9" t="str">
        <f>IF(DADOS!F7957="","",DADOS!F7957)</f>
        <v/>
      </c>
      <c r="K7957" s="6" t="str">
        <f t="shared" si="625"/>
        <v/>
      </c>
      <c r="L7957" s="7" t="str">
        <f t="shared" si="626"/>
        <v/>
      </c>
      <c r="M7957" s="7" t="str">
        <f t="shared" si="623"/>
        <v/>
      </c>
      <c r="N7957" s="7" t="str">
        <f t="shared" si="627"/>
        <v/>
      </c>
      <c r="O7957" s="8"/>
      <c r="P7957" s="26"/>
      <c r="S7957" s="10" t="str">
        <f t="shared" si="624"/>
        <v/>
      </c>
    </row>
    <row r="7958" spans="5:19" x14ac:dyDescent="0.3">
      <c r="E7958" s="9" t="str">
        <f>IF(DADOS!C7958="","",DADOS!C7958)</f>
        <v/>
      </c>
      <c r="F7958" s="9" t="str">
        <f>IF(DADOS!E7958="","",DADOS!E7958)</f>
        <v/>
      </c>
      <c r="G7958" s="9" t="str">
        <f>IF(DADOS!F7958="","",DADOS!F7958)</f>
        <v/>
      </c>
      <c r="K7958" s="6" t="str">
        <f t="shared" si="625"/>
        <v/>
      </c>
      <c r="L7958" s="7" t="str">
        <f t="shared" si="626"/>
        <v/>
      </c>
      <c r="M7958" s="7" t="str">
        <f t="shared" si="623"/>
        <v/>
      </c>
      <c r="N7958" s="7" t="str">
        <f t="shared" si="627"/>
        <v/>
      </c>
      <c r="O7958" s="8"/>
      <c r="P7958" s="26"/>
      <c r="S7958" s="10" t="str">
        <f t="shared" si="624"/>
        <v/>
      </c>
    </row>
    <row r="7959" spans="5:19" x14ac:dyDescent="0.3">
      <c r="E7959" s="9" t="str">
        <f>IF(DADOS!C7959="","",DADOS!C7959)</f>
        <v/>
      </c>
      <c r="F7959" s="9" t="str">
        <f>IF(DADOS!E7959="","",DADOS!E7959)</f>
        <v/>
      </c>
      <c r="G7959" s="9" t="str">
        <f>IF(DADOS!F7959="","",DADOS!F7959)</f>
        <v/>
      </c>
      <c r="K7959" s="6" t="str">
        <f t="shared" si="625"/>
        <v/>
      </c>
      <c r="L7959" s="7" t="str">
        <f t="shared" si="626"/>
        <v/>
      </c>
      <c r="M7959" s="7" t="str">
        <f t="shared" si="623"/>
        <v/>
      </c>
      <c r="N7959" s="7" t="str">
        <f t="shared" si="627"/>
        <v/>
      </c>
      <c r="O7959" s="8"/>
      <c r="P7959" s="26"/>
      <c r="S7959" s="10" t="str">
        <f t="shared" si="624"/>
        <v/>
      </c>
    </row>
    <row r="7960" spans="5:19" x14ac:dyDescent="0.3">
      <c r="E7960" s="9" t="str">
        <f>IF(DADOS!C7960="","",DADOS!C7960)</f>
        <v/>
      </c>
      <c r="F7960" s="9" t="str">
        <f>IF(DADOS!E7960="","",DADOS!E7960)</f>
        <v/>
      </c>
      <c r="G7960" s="9" t="str">
        <f>IF(DADOS!F7960="","",DADOS!F7960)</f>
        <v/>
      </c>
      <c r="K7960" s="6" t="str">
        <f t="shared" si="625"/>
        <v/>
      </c>
      <c r="L7960" s="7" t="str">
        <f t="shared" si="626"/>
        <v/>
      </c>
      <c r="M7960" s="7" t="str">
        <f t="shared" si="623"/>
        <v/>
      </c>
      <c r="N7960" s="7" t="str">
        <f t="shared" si="627"/>
        <v/>
      </c>
      <c r="O7960" s="8"/>
      <c r="P7960" s="26"/>
      <c r="S7960" s="10" t="str">
        <f t="shared" si="624"/>
        <v/>
      </c>
    </row>
    <row r="7961" spans="5:19" x14ac:dyDescent="0.3">
      <c r="E7961" s="9" t="str">
        <f>IF(DADOS!C7961="","",DADOS!C7961)</f>
        <v/>
      </c>
      <c r="F7961" s="9" t="str">
        <f>IF(DADOS!E7961="","",DADOS!E7961)</f>
        <v/>
      </c>
      <c r="G7961" s="9" t="str">
        <f>IF(DADOS!F7961="","",DADOS!F7961)</f>
        <v/>
      </c>
      <c r="K7961" s="6" t="str">
        <f t="shared" si="625"/>
        <v/>
      </c>
      <c r="L7961" s="7" t="str">
        <f t="shared" si="626"/>
        <v/>
      </c>
      <c r="M7961" s="7" t="str">
        <f t="shared" si="623"/>
        <v/>
      </c>
      <c r="N7961" s="7" t="str">
        <f t="shared" si="627"/>
        <v/>
      </c>
      <c r="O7961" s="8"/>
      <c r="P7961" s="26"/>
      <c r="S7961" s="10" t="str">
        <f t="shared" si="624"/>
        <v/>
      </c>
    </row>
    <row r="7962" spans="5:19" x14ac:dyDescent="0.3">
      <c r="E7962" s="9" t="str">
        <f>IF(DADOS!C7962="","",DADOS!C7962)</f>
        <v/>
      </c>
      <c r="F7962" s="9" t="str">
        <f>IF(DADOS!E7962="","",DADOS!E7962)</f>
        <v/>
      </c>
      <c r="G7962" s="9" t="str">
        <f>IF(DADOS!F7962="","",DADOS!F7962)</f>
        <v/>
      </c>
      <c r="K7962" s="6" t="str">
        <f t="shared" si="625"/>
        <v/>
      </c>
      <c r="L7962" s="7" t="str">
        <f t="shared" si="626"/>
        <v/>
      </c>
      <c r="M7962" s="7" t="str">
        <f t="shared" si="623"/>
        <v/>
      </c>
      <c r="N7962" s="7" t="str">
        <f t="shared" si="627"/>
        <v/>
      </c>
      <c r="O7962" s="8"/>
      <c r="P7962" s="26"/>
      <c r="S7962" s="10" t="str">
        <f t="shared" si="624"/>
        <v/>
      </c>
    </row>
    <row r="7963" spans="5:19" x14ac:dyDescent="0.3">
      <c r="E7963" s="9" t="str">
        <f>IF(DADOS!C7963="","",DADOS!C7963)</f>
        <v/>
      </c>
      <c r="F7963" s="9" t="str">
        <f>IF(DADOS!E7963="","",DADOS!E7963)</f>
        <v/>
      </c>
      <c r="G7963" s="9" t="str">
        <f>IF(DADOS!F7963="","",DADOS!F7963)</f>
        <v/>
      </c>
      <c r="K7963" s="6" t="str">
        <f t="shared" si="625"/>
        <v/>
      </c>
      <c r="L7963" s="7" t="str">
        <f t="shared" si="626"/>
        <v/>
      </c>
      <c r="M7963" s="7" t="str">
        <f t="shared" si="623"/>
        <v/>
      </c>
      <c r="N7963" s="7" t="str">
        <f t="shared" si="627"/>
        <v/>
      </c>
      <c r="O7963" s="8"/>
      <c r="P7963" s="26"/>
      <c r="S7963" s="10" t="str">
        <f t="shared" si="624"/>
        <v/>
      </c>
    </row>
    <row r="7964" spans="5:19" x14ac:dyDescent="0.3">
      <c r="E7964" s="9" t="str">
        <f>IF(DADOS!C7964="","",DADOS!C7964)</f>
        <v/>
      </c>
      <c r="F7964" s="9" t="str">
        <f>IF(DADOS!E7964="","",DADOS!E7964)</f>
        <v/>
      </c>
      <c r="G7964" s="9" t="str">
        <f>IF(DADOS!F7964="","",DADOS!F7964)</f>
        <v/>
      </c>
      <c r="K7964" s="6" t="str">
        <f t="shared" si="625"/>
        <v/>
      </c>
      <c r="L7964" s="7" t="str">
        <f t="shared" si="626"/>
        <v/>
      </c>
      <c r="M7964" s="7" t="str">
        <f t="shared" si="623"/>
        <v/>
      </c>
      <c r="N7964" s="7" t="str">
        <f t="shared" si="627"/>
        <v/>
      </c>
      <c r="O7964" s="8"/>
      <c r="P7964" s="26"/>
      <c r="S7964" s="10" t="str">
        <f t="shared" si="624"/>
        <v/>
      </c>
    </row>
    <row r="7965" spans="5:19" x14ac:dyDescent="0.3">
      <c r="E7965" s="9" t="str">
        <f>IF(DADOS!C7965="","",DADOS!C7965)</f>
        <v/>
      </c>
      <c r="F7965" s="9" t="str">
        <f>IF(DADOS!E7965="","",DADOS!E7965)</f>
        <v/>
      </c>
      <c r="G7965" s="9" t="str">
        <f>IF(DADOS!F7965="","",DADOS!F7965)</f>
        <v/>
      </c>
      <c r="K7965" s="6" t="str">
        <f t="shared" si="625"/>
        <v/>
      </c>
      <c r="L7965" s="7" t="str">
        <f t="shared" si="626"/>
        <v/>
      </c>
      <c r="M7965" s="7" t="str">
        <f t="shared" si="623"/>
        <v/>
      </c>
      <c r="N7965" s="7" t="str">
        <f t="shared" si="627"/>
        <v/>
      </c>
      <c r="O7965" s="8"/>
      <c r="P7965" s="26"/>
      <c r="S7965" s="10" t="str">
        <f t="shared" si="624"/>
        <v/>
      </c>
    </row>
    <row r="7966" spans="5:19" x14ac:dyDescent="0.3">
      <c r="E7966" s="9" t="str">
        <f>IF(DADOS!C7966="","",DADOS!C7966)</f>
        <v/>
      </c>
      <c r="F7966" s="9" t="str">
        <f>IF(DADOS!E7966="","",DADOS!E7966)</f>
        <v/>
      </c>
      <c r="G7966" s="9" t="str">
        <f>IF(DADOS!F7966="","",DADOS!F7966)</f>
        <v/>
      </c>
      <c r="K7966" s="6" t="str">
        <f t="shared" si="625"/>
        <v/>
      </c>
      <c r="L7966" s="7" t="str">
        <f t="shared" si="626"/>
        <v/>
      </c>
      <c r="M7966" s="7" t="str">
        <f t="shared" si="623"/>
        <v/>
      </c>
      <c r="N7966" s="7" t="str">
        <f t="shared" si="627"/>
        <v/>
      </c>
      <c r="O7966" s="8"/>
      <c r="P7966" s="26"/>
      <c r="S7966" s="10" t="str">
        <f t="shared" si="624"/>
        <v/>
      </c>
    </row>
    <row r="7967" spans="5:19" x14ac:dyDescent="0.3">
      <c r="E7967" s="9" t="str">
        <f>IF(DADOS!C7967="","",DADOS!C7967)</f>
        <v/>
      </c>
      <c r="F7967" s="9" t="str">
        <f>IF(DADOS!E7967="","",DADOS!E7967)</f>
        <v/>
      </c>
      <c r="G7967" s="9" t="str">
        <f>IF(DADOS!F7967="","",DADOS!F7967)</f>
        <v/>
      </c>
      <c r="K7967" s="6" t="str">
        <f t="shared" si="625"/>
        <v/>
      </c>
      <c r="L7967" s="7" t="str">
        <f t="shared" si="626"/>
        <v/>
      </c>
      <c r="M7967" s="7" t="str">
        <f t="shared" si="623"/>
        <v/>
      </c>
      <c r="N7967" s="7" t="str">
        <f t="shared" si="627"/>
        <v/>
      </c>
      <c r="O7967" s="8"/>
      <c r="P7967" s="26"/>
      <c r="S7967" s="10" t="str">
        <f t="shared" si="624"/>
        <v/>
      </c>
    </row>
    <row r="7968" spans="5:19" x14ac:dyDescent="0.3">
      <c r="E7968" s="9" t="str">
        <f>IF(DADOS!C7968="","",DADOS!C7968)</f>
        <v/>
      </c>
      <c r="F7968" s="9" t="str">
        <f>IF(DADOS!E7968="","",DADOS!E7968)</f>
        <v/>
      </c>
      <c r="G7968" s="9" t="str">
        <f>IF(DADOS!F7968="","",DADOS!F7968)</f>
        <v/>
      </c>
      <c r="K7968" s="6" t="str">
        <f t="shared" si="625"/>
        <v/>
      </c>
      <c r="L7968" s="7" t="str">
        <f t="shared" si="626"/>
        <v/>
      </c>
      <c r="M7968" s="7" t="str">
        <f t="shared" si="623"/>
        <v/>
      </c>
      <c r="N7968" s="7" t="str">
        <f t="shared" si="627"/>
        <v/>
      </c>
      <c r="O7968" s="8"/>
      <c r="P7968" s="26"/>
      <c r="S7968" s="10" t="str">
        <f t="shared" si="624"/>
        <v/>
      </c>
    </row>
    <row r="7969" spans="5:19" x14ac:dyDescent="0.3">
      <c r="E7969" s="9" t="str">
        <f>IF(DADOS!C7969="","",DADOS!C7969)</f>
        <v/>
      </c>
      <c r="F7969" s="9" t="str">
        <f>IF(DADOS!E7969="","",DADOS!E7969)</f>
        <v/>
      </c>
      <c r="G7969" s="9" t="str">
        <f>IF(DADOS!F7969="","",DADOS!F7969)</f>
        <v/>
      </c>
      <c r="K7969" s="6" t="str">
        <f t="shared" si="625"/>
        <v/>
      </c>
      <c r="L7969" s="7" t="str">
        <f t="shared" si="626"/>
        <v/>
      </c>
      <c r="M7969" s="7" t="str">
        <f t="shared" si="623"/>
        <v/>
      </c>
      <c r="N7969" s="7" t="str">
        <f t="shared" si="627"/>
        <v/>
      </c>
      <c r="O7969" s="8"/>
      <c r="P7969" s="26"/>
      <c r="S7969" s="10" t="str">
        <f t="shared" si="624"/>
        <v/>
      </c>
    </row>
    <row r="7970" spans="5:19" x14ac:dyDescent="0.3">
      <c r="E7970" s="9" t="str">
        <f>IF(DADOS!C7970="","",DADOS!C7970)</f>
        <v/>
      </c>
      <c r="F7970" s="9" t="str">
        <f>IF(DADOS!E7970="","",DADOS!E7970)</f>
        <v/>
      </c>
      <c r="G7970" s="9" t="str">
        <f>IF(DADOS!F7970="","",DADOS!F7970)</f>
        <v/>
      </c>
      <c r="K7970" s="6" t="str">
        <f t="shared" si="625"/>
        <v/>
      </c>
      <c r="L7970" s="7" t="str">
        <f t="shared" si="626"/>
        <v/>
      </c>
      <c r="M7970" s="7" t="str">
        <f t="shared" si="623"/>
        <v/>
      </c>
      <c r="N7970" s="7" t="str">
        <f t="shared" si="627"/>
        <v/>
      </c>
      <c r="O7970" s="8"/>
      <c r="P7970" s="26"/>
      <c r="S7970" s="10" t="str">
        <f t="shared" si="624"/>
        <v/>
      </c>
    </row>
    <row r="7971" spans="5:19" x14ac:dyDescent="0.3">
      <c r="E7971" s="9" t="str">
        <f>IF(DADOS!C7971="","",DADOS!C7971)</f>
        <v/>
      </c>
      <c r="F7971" s="9" t="str">
        <f>IF(DADOS!E7971="","",DADOS!E7971)</f>
        <v/>
      </c>
      <c r="G7971" s="9" t="str">
        <f>IF(DADOS!F7971="","",DADOS!F7971)</f>
        <v/>
      </c>
      <c r="K7971" s="6" t="str">
        <f t="shared" si="625"/>
        <v/>
      </c>
      <c r="L7971" s="7" t="str">
        <f t="shared" si="626"/>
        <v/>
      </c>
      <c r="M7971" s="7" t="str">
        <f t="shared" si="623"/>
        <v/>
      </c>
      <c r="N7971" s="7" t="str">
        <f t="shared" si="627"/>
        <v/>
      </c>
      <c r="O7971" s="8"/>
      <c r="P7971" s="26"/>
      <c r="S7971" s="10" t="str">
        <f t="shared" si="624"/>
        <v/>
      </c>
    </row>
    <row r="7972" spans="5:19" x14ac:dyDescent="0.3">
      <c r="E7972" s="9" t="str">
        <f>IF(DADOS!C7972="","",DADOS!C7972)</f>
        <v/>
      </c>
      <c r="F7972" s="9" t="str">
        <f>IF(DADOS!E7972="","",DADOS!E7972)</f>
        <v/>
      </c>
      <c r="G7972" s="9" t="str">
        <f>IF(DADOS!F7972="","",DADOS!F7972)</f>
        <v/>
      </c>
      <c r="K7972" s="6" t="str">
        <f t="shared" si="625"/>
        <v/>
      </c>
      <c r="L7972" s="7" t="str">
        <f t="shared" si="626"/>
        <v/>
      </c>
      <c r="M7972" s="7" t="str">
        <f t="shared" si="623"/>
        <v/>
      </c>
      <c r="N7972" s="7" t="str">
        <f t="shared" si="627"/>
        <v/>
      </c>
      <c r="O7972" s="8"/>
      <c r="P7972" s="26"/>
      <c r="S7972" s="10" t="str">
        <f t="shared" si="624"/>
        <v/>
      </c>
    </row>
    <row r="7973" spans="5:19" x14ac:dyDescent="0.3">
      <c r="E7973" s="9" t="str">
        <f>IF(DADOS!C7973="","",DADOS!C7973)</f>
        <v/>
      </c>
      <c r="F7973" s="9" t="str">
        <f>IF(DADOS!E7973="","",DADOS!E7973)</f>
        <v/>
      </c>
      <c r="G7973" s="9" t="str">
        <f>IF(DADOS!F7973="","",DADOS!F7973)</f>
        <v/>
      </c>
      <c r="K7973" s="6" t="str">
        <f t="shared" si="625"/>
        <v/>
      </c>
      <c r="L7973" s="7" t="str">
        <f t="shared" si="626"/>
        <v/>
      </c>
      <c r="M7973" s="7" t="str">
        <f t="shared" si="623"/>
        <v/>
      </c>
      <c r="N7973" s="7" t="str">
        <f t="shared" si="627"/>
        <v/>
      </c>
      <c r="O7973" s="8"/>
      <c r="P7973" s="26"/>
      <c r="S7973" s="10" t="str">
        <f t="shared" si="624"/>
        <v/>
      </c>
    </row>
    <row r="7974" spans="5:19" x14ac:dyDescent="0.3">
      <c r="E7974" s="9" t="str">
        <f>IF(DADOS!C7974="","",DADOS!C7974)</f>
        <v/>
      </c>
      <c r="F7974" s="9" t="str">
        <f>IF(DADOS!E7974="","",DADOS!E7974)</f>
        <v/>
      </c>
      <c r="G7974" s="9" t="str">
        <f>IF(DADOS!F7974="","",DADOS!F7974)</f>
        <v/>
      </c>
      <c r="K7974" s="6" t="str">
        <f t="shared" si="625"/>
        <v/>
      </c>
      <c r="L7974" s="7" t="str">
        <f t="shared" si="626"/>
        <v/>
      </c>
      <c r="M7974" s="7" t="str">
        <f t="shared" si="623"/>
        <v/>
      </c>
      <c r="N7974" s="7" t="str">
        <f t="shared" si="627"/>
        <v/>
      </c>
      <c r="O7974" s="8"/>
      <c r="P7974" s="26"/>
      <c r="S7974" s="10" t="str">
        <f t="shared" si="624"/>
        <v/>
      </c>
    </row>
    <row r="7975" spans="5:19" x14ac:dyDescent="0.3">
      <c r="E7975" s="9" t="str">
        <f>IF(DADOS!C7975="","",DADOS!C7975)</f>
        <v/>
      </c>
      <c r="F7975" s="9" t="str">
        <f>IF(DADOS!E7975="","",DADOS!E7975)</f>
        <v/>
      </c>
      <c r="G7975" s="9" t="str">
        <f>IF(DADOS!F7975="","",DADOS!F7975)</f>
        <v/>
      </c>
      <c r="K7975" s="6" t="str">
        <f t="shared" si="625"/>
        <v/>
      </c>
      <c r="L7975" s="7" t="str">
        <f t="shared" si="626"/>
        <v/>
      </c>
      <c r="M7975" s="7" t="str">
        <f t="shared" si="623"/>
        <v/>
      </c>
      <c r="N7975" s="7" t="str">
        <f t="shared" si="627"/>
        <v/>
      </c>
      <c r="O7975" s="8"/>
      <c r="P7975" s="26"/>
      <c r="S7975" s="10" t="str">
        <f t="shared" si="624"/>
        <v/>
      </c>
    </row>
    <row r="7976" spans="5:19" x14ac:dyDescent="0.3">
      <c r="E7976" s="9" t="str">
        <f>IF(DADOS!C7976="","",DADOS!C7976)</f>
        <v/>
      </c>
      <c r="F7976" s="9" t="str">
        <f>IF(DADOS!E7976="","",DADOS!E7976)</f>
        <v/>
      </c>
      <c r="G7976" s="9" t="str">
        <f>IF(DADOS!F7976="","",DADOS!F7976)</f>
        <v/>
      </c>
      <c r="K7976" s="6" t="str">
        <f t="shared" si="625"/>
        <v/>
      </c>
      <c r="L7976" s="7" t="str">
        <f t="shared" si="626"/>
        <v/>
      </c>
      <c r="M7976" s="7" t="str">
        <f t="shared" si="623"/>
        <v/>
      </c>
      <c r="N7976" s="7" t="str">
        <f t="shared" si="627"/>
        <v/>
      </c>
      <c r="O7976" s="8"/>
      <c r="P7976" s="26"/>
      <c r="S7976" s="10" t="str">
        <f t="shared" si="624"/>
        <v/>
      </c>
    </row>
    <row r="7977" spans="5:19" x14ac:dyDescent="0.3">
      <c r="E7977" s="9" t="str">
        <f>IF(DADOS!C7977="","",DADOS!C7977)</f>
        <v/>
      </c>
      <c r="F7977" s="9" t="str">
        <f>IF(DADOS!E7977="","",DADOS!E7977)</f>
        <v/>
      </c>
      <c r="G7977" s="9" t="str">
        <f>IF(DADOS!F7977="","",DADOS!F7977)</f>
        <v/>
      </c>
      <c r="K7977" s="6" t="str">
        <f t="shared" si="625"/>
        <v/>
      </c>
      <c r="L7977" s="7" t="str">
        <f t="shared" si="626"/>
        <v/>
      </c>
      <c r="M7977" s="7" t="str">
        <f t="shared" si="623"/>
        <v/>
      </c>
      <c r="N7977" s="7" t="str">
        <f t="shared" si="627"/>
        <v/>
      </c>
      <c r="O7977" s="8"/>
      <c r="P7977" s="26"/>
      <c r="S7977" s="10" t="str">
        <f t="shared" si="624"/>
        <v/>
      </c>
    </row>
    <row r="7978" spans="5:19" x14ac:dyDescent="0.3">
      <c r="E7978" s="9" t="str">
        <f>IF(DADOS!C7978="","",DADOS!C7978)</f>
        <v/>
      </c>
      <c r="F7978" s="9" t="str">
        <f>IF(DADOS!E7978="","",DADOS!E7978)</f>
        <v/>
      </c>
      <c r="G7978" s="9" t="str">
        <f>IF(DADOS!F7978="","",DADOS!F7978)</f>
        <v/>
      </c>
      <c r="K7978" s="6" t="str">
        <f t="shared" si="625"/>
        <v/>
      </c>
      <c r="L7978" s="7" t="str">
        <f t="shared" si="626"/>
        <v/>
      </c>
      <c r="M7978" s="7" t="str">
        <f t="shared" si="623"/>
        <v/>
      </c>
      <c r="N7978" s="7" t="str">
        <f t="shared" si="627"/>
        <v/>
      </c>
      <c r="O7978" s="8"/>
      <c r="P7978" s="26"/>
      <c r="S7978" s="10" t="str">
        <f t="shared" si="624"/>
        <v/>
      </c>
    </row>
    <row r="7979" spans="5:19" x14ac:dyDescent="0.3">
      <c r="E7979" s="9" t="str">
        <f>IF(DADOS!C7979="","",DADOS!C7979)</f>
        <v/>
      </c>
      <c r="F7979" s="9" t="str">
        <f>IF(DADOS!E7979="","",DADOS!E7979)</f>
        <v/>
      </c>
      <c r="G7979" s="9" t="str">
        <f>IF(DADOS!F7979="","",DADOS!F7979)</f>
        <v/>
      </c>
      <c r="K7979" s="6" t="str">
        <f t="shared" si="625"/>
        <v/>
      </c>
      <c r="L7979" s="7" t="str">
        <f t="shared" si="626"/>
        <v/>
      </c>
      <c r="M7979" s="7" t="str">
        <f t="shared" si="623"/>
        <v/>
      </c>
      <c r="N7979" s="7" t="str">
        <f t="shared" si="627"/>
        <v/>
      </c>
      <c r="O7979" s="8"/>
      <c r="P7979" s="26"/>
      <c r="S7979" s="10" t="str">
        <f t="shared" si="624"/>
        <v/>
      </c>
    </row>
    <row r="7980" spans="5:19" x14ac:dyDescent="0.3">
      <c r="E7980" s="9" t="str">
        <f>IF(DADOS!C7980="","",DADOS!C7980)</f>
        <v/>
      </c>
      <c r="F7980" s="9" t="str">
        <f>IF(DADOS!E7980="","",DADOS!E7980)</f>
        <v/>
      </c>
      <c r="G7980" s="9" t="str">
        <f>IF(DADOS!F7980="","",DADOS!F7980)</f>
        <v/>
      </c>
      <c r="K7980" s="6" t="str">
        <f t="shared" si="625"/>
        <v/>
      </c>
      <c r="L7980" s="7" t="str">
        <f t="shared" si="626"/>
        <v/>
      </c>
      <c r="M7980" s="7" t="str">
        <f t="shared" si="623"/>
        <v/>
      </c>
      <c r="N7980" s="7" t="str">
        <f t="shared" si="627"/>
        <v/>
      </c>
      <c r="O7980" s="8"/>
      <c r="P7980" s="26"/>
      <c r="S7980" s="10" t="str">
        <f t="shared" si="624"/>
        <v/>
      </c>
    </row>
    <row r="7981" spans="5:19" x14ac:dyDescent="0.3">
      <c r="E7981" s="9" t="str">
        <f>IF(DADOS!C7981="","",DADOS!C7981)</f>
        <v/>
      </c>
      <c r="F7981" s="9" t="str">
        <f>IF(DADOS!E7981="","",DADOS!E7981)</f>
        <v/>
      </c>
      <c r="G7981" s="9" t="str">
        <f>IF(DADOS!F7981="","",DADOS!F7981)</f>
        <v/>
      </c>
      <c r="K7981" s="6" t="str">
        <f t="shared" si="625"/>
        <v/>
      </c>
      <c r="L7981" s="7" t="str">
        <f t="shared" si="626"/>
        <v/>
      </c>
      <c r="M7981" s="7" t="str">
        <f t="shared" si="623"/>
        <v/>
      </c>
      <c r="N7981" s="7" t="str">
        <f t="shared" si="627"/>
        <v/>
      </c>
      <c r="O7981" s="8"/>
      <c r="P7981" s="26"/>
      <c r="S7981" s="10" t="str">
        <f t="shared" si="624"/>
        <v/>
      </c>
    </row>
    <row r="7982" spans="5:19" x14ac:dyDescent="0.3">
      <c r="E7982" s="9" t="str">
        <f>IF(DADOS!C7982="","",DADOS!C7982)</f>
        <v/>
      </c>
      <c r="F7982" s="9" t="str">
        <f>IF(DADOS!E7982="","",DADOS!E7982)</f>
        <v/>
      </c>
      <c r="G7982" s="9" t="str">
        <f>IF(DADOS!F7982="","",DADOS!F7982)</f>
        <v/>
      </c>
      <c r="K7982" s="6" t="str">
        <f t="shared" si="625"/>
        <v/>
      </c>
      <c r="L7982" s="7" t="str">
        <f t="shared" si="626"/>
        <v/>
      </c>
      <c r="M7982" s="7" t="str">
        <f t="shared" si="623"/>
        <v/>
      </c>
      <c r="N7982" s="7" t="str">
        <f t="shared" si="627"/>
        <v/>
      </c>
      <c r="O7982" s="8"/>
      <c r="P7982" s="26"/>
      <c r="S7982" s="10" t="str">
        <f t="shared" si="624"/>
        <v/>
      </c>
    </row>
    <row r="7983" spans="5:19" x14ac:dyDescent="0.3">
      <c r="E7983" s="9" t="str">
        <f>IF(DADOS!C7983="","",DADOS!C7983)</f>
        <v/>
      </c>
      <c r="F7983" s="9" t="str">
        <f>IF(DADOS!E7983="","",DADOS!E7983)</f>
        <v/>
      </c>
      <c r="G7983" s="9" t="str">
        <f>IF(DADOS!F7983="","",DADOS!F7983)</f>
        <v/>
      </c>
      <c r="K7983" s="6" t="str">
        <f t="shared" si="625"/>
        <v/>
      </c>
      <c r="L7983" s="7" t="str">
        <f t="shared" si="626"/>
        <v/>
      </c>
      <c r="M7983" s="7" t="str">
        <f t="shared" si="623"/>
        <v/>
      </c>
      <c r="N7983" s="7" t="str">
        <f t="shared" si="627"/>
        <v/>
      </c>
      <c r="O7983" s="8"/>
      <c r="P7983" s="26"/>
      <c r="S7983" s="10" t="str">
        <f t="shared" si="624"/>
        <v/>
      </c>
    </row>
    <row r="7984" spans="5:19" x14ac:dyDescent="0.3">
      <c r="E7984" s="9" t="str">
        <f>IF(DADOS!C7984="","",DADOS!C7984)</f>
        <v/>
      </c>
      <c r="F7984" s="9" t="str">
        <f>IF(DADOS!E7984="","",DADOS!E7984)</f>
        <v/>
      </c>
      <c r="G7984" s="9" t="str">
        <f>IF(DADOS!F7984="","",DADOS!F7984)</f>
        <v/>
      </c>
      <c r="K7984" s="6" t="str">
        <f t="shared" si="625"/>
        <v/>
      </c>
      <c r="L7984" s="7" t="str">
        <f t="shared" si="626"/>
        <v/>
      </c>
      <c r="M7984" s="7" t="str">
        <f t="shared" si="623"/>
        <v/>
      </c>
      <c r="N7984" s="7" t="str">
        <f t="shared" si="627"/>
        <v/>
      </c>
      <c r="O7984" s="8"/>
      <c r="P7984" s="26"/>
      <c r="S7984" s="10" t="str">
        <f t="shared" si="624"/>
        <v/>
      </c>
    </row>
    <row r="7985" spans="5:19" x14ac:dyDescent="0.3">
      <c r="E7985" s="9" t="str">
        <f>IF(DADOS!C7985="","",DADOS!C7985)</f>
        <v/>
      </c>
      <c r="F7985" s="9" t="str">
        <f>IF(DADOS!E7985="","",DADOS!E7985)</f>
        <v/>
      </c>
      <c r="G7985" s="9" t="str">
        <f>IF(DADOS!F7985="","",DADOS!F7985)</f>
        <v/>
      </c>
      <c r="K7985" s="6" t="str">
        <f t="shared" si="625"/>
        <v/>
      </c>
      <c r="L7985" s="7" t="str">
        <f t="shared" si="626"/>
        <v/>
      </c>
      <c r="M7985" s="7" t="str">
        <f t="shared" si="623"/>
        <v/>
      </c>
      <c r="N7985" s="7" t="str">
        <f t="shared" si="627"/>
        <v/>
      </c>
      <c r="O7985" s="8"/>
      <c r="P7985" s="26"/>
      <c r="S7985" s="10" t="str">
        <f t="shared" si="624"/>
        <v/>
      </c>
    </row>
    <row r="7986" spans="5:19" x14ac:dyDescent="0.3">
      <c r="E7986" s="9" t="str">
        <f>IF(DADOS!C7986="","",DADOS!C7986)</f>
        <v/>
      </c>
      <c r="F7986" s="9" t="str">
        <f>IF(DADOS!E7986="","",DADOS!E7986)</f>
        <v/>
      </c>
      <c r="G7986" s="9" t="str">
        <f>IF(DADOS!F7986="","",DADOS!F7986)</f>
        <v/>
      </c>
      <c r="K7986" s="6" t="str">
        <f t="shared" si="625"/>
        <v/>
      </c>
      <c r="L7986" s="7" t="str">
        <f t="shared" si="626"/>
        <v/>
      </c>
      <c r="M7986" s="7" t="str">
        <f t="shared" si="623"/>
        <v/>
      </c>
      <c r="N7986" s="7" t="str">
        <f t="shared" si="627"/>
        <v/>
      </c>
      <c r="O7986" s="8"/>
      <c r="P7986" s="26"/>
      <c r="S7986" s="10" t="str">
        <f t="shared" si="624"/>
        <v/>
      </c>
    </row>
    <row r="7987" spans="5:19" x14ac:dyDescent="0.3">
      <c r="E7987" s="9" t="str">
        <f>IF(DADOS!C7987="","",DADOS!C7987)</f>
        <v/>
      </c>
      <c r="F7987" s="9" t="str">
        <f>IF(DADOS!E7987="","",DADOS!E7987)</f>
        <v/>
      </c>
      <c r="G7987" s="9" t="str">
        <f>IF(DADOS!F7987="","",DADOS!F7987)</f>
        <v/>
      </c>
      <c r="K7987" s="6" t="str">
        <f t="shared" si="625"/>
        <v/>
      </c>
      <c r="L7987" s="7" t="str">
        <f t="shared" si="626"/>
        <v/>
      </c>
      <c r="M7987" s="7" t="str">
        <f t="shared" si="623"/>
        <v/>
      </c>
      <c r="N7987" s="7" t="str">
        <f t="shared" si="627"/>
        <v/>
      </c>
      <c r="O7987" s="8"/>
      <c r="P7987" s="26"/>
      <c r="S7987" s="10" t="str">
        <f t="shared" si="624"/>
        <v/>
      </c>
    </row>
    <row r="7988" spans="5:19" x14ac:dyDescent="0.3">
      <c r="E7988" s="9" t="str">
        <f>IF(DADOS!C7988="","",DADOS!C7988)</f>
        <v/>
      </c>
      <c r="F7988" s="9" t="str">
        <f>IF(DADOS!E7988="","",DADOS!E7988)</f>
        <v/>
      </c>
      <c r="G7988" s="9" t="str">
        <f>IF(DADOS!F7988="","",DADOS!F7988)</f>
        <v/>
      </c>
      <c r="K7988" s="6" t="str">
        <f t="shared" si="625"/>
        <v/>
      </c>
      <c r="L7988" s="7" t="str">
        <f t="shared" si="626"/>
        <v/>
      </c>
      <c r="M7988" s="7" t="str">
        <f t="shared" si="623"/>
        <v/>
      </c>
      <c r="N7988" s="7" t="str">
        <f t="shared" si="627"/>
        <v/>
      </c>
      <c r="O7988" s="8"/>
      <c r="P7988" s="26"/>
      <c r="S7988" s="10" t="str">
        <f t="shared" si="624"/>
        <v/>
      </c>
    </row>
    <row r="7989" spans="5:19" x14ac:dyDescent="0.3">
      <c r="E7989" s="9" t="str">
        <f>IF(DADOS!C7989="","",DADOS!C7989)</f>
        <v/>
      </c>
      <c r="F7989" s="9" t="str">
        <f>IF(DADOS!E7989="","",DADOS!E7989)</f>
        <v/>
      </c>
      <c r="G7989" s="9" t="str">
        <f>IF(DADOS!F7989="","",DADOS!F7989)</f>
        <v/>
      </c>
      <c r="K7989" s="6" t="str">
        <f t="shared" si="625"/>
        <v/>
      </c>
      <c r="L7989" s="7" t="str">
        <f t="shared" si="626"/>
        <v/>
      </c>
      <c r="M7989" s="7" t="str">
        <f t="shared" si="623"/>
        <v/>
      </c>
      <c r="N7989" s="7" t="str">
        <f t="shared" si="627"/>
        <v/>
      </c>
      <c r="O7989" s="8"/>
      <c r="P7989" s="26"/>
      <c r="S7989" s="10" t="str">
        <f t="shared" si="624"/>
        <v/>
      </c>
    </row>
    <row r="7990" spans="5:19" x14ac:dyDescent="0.3">
      <c r="E7990" s="9" t="str">
        <f>IF(DADOS!C7990="","",DADOS!C7990)</f>
        <v/>
      </c>
      <c r="F7990" s="9" t="str">
        <f>IF(DADOS!E7990="","",DADOS!E7990)</f>
        <v/>
      </c>
      <c r="G7990" s="9" t="str">
        <f>IF(DADOS!F7990="","",DADOS!F7990)</f>
        <v/>
      </c>
      <c r="K7990" s="6" t="str">
        <f t="shared" si="625"/>
        <v/>
      </c>
      <c r="L7990" s="7" t="str">
        <f t="shared" si="626"/>
        <v/>
      </c>
      <c r="M7990" s="7" t="str">
        <f t="shared" si="623"/>
        <v/>
      </c>
      <c r="N7990" s="7" t="str">
        <f t="shared" si="627"/>
        <v/>
      </c>
      <c r="O7990" s="8"/>
      <c r="P7990" s="26"/>
      <c r="S7990" s="10" t="str">
        <f t="shared" si="624"/>
        <v/>
      </c>
    </row>
    <row r="7991" spans="5:19" x14ac:dyDescent="0.3">
      <c r="E7991" s="9" t="str">
        <f>IF(DADOS!C7991="","",DADOS!C7991)</f>
        <v/>
      </c>
      <c r="F7991" s="9" t="str">
        <f>IF(DADOS!E7991="","",DADOS!E7991)</f>
        <v/>
      </c>
      <c r="G7991" s="9" t="str">
        <f>IF(DADOS!F7991="","",DADOS!F7991)</f>
        <v/>
      </c>
      <c r="K7991" s="6" t="str">
        <f t="shared" si="625"/>
        <v/>
      </c>
      <c r="L7991" s="7" t="str">
        <f t="shared" si="626"/>
        <v/>
      </c>
      <c r="M7991" s="7" t="str">
        <f t="shared" si="623"/>
        <v/>
      </c>
      <c r="N7991" s="7" t="str">
        <f t="shared" si="627"/>
        <v/>
      </c>
      <c r="O7991" s="8"/>
      <c r="P7991" s="26"/>
      <c r="S7991" s="10" t="str">
        <f t="shared" si="624"/>
        <v/>
      </c>
    </row>
    <row r="7992" spans="5:19" x14ac:dyDescent="0.3">
      <c r="E7992" s="9" t="str">
        <f>IF(DADOS!C7992="","",DADOS!C7992)</f>
        <v/>
      </c>
      <c r="F7992" s="9" t="str">
        <f>IF(DADOS!E7992="","",DADOS!E7992)</f>
        <v/>
      </c>
      <c r="G7992" s="9" t="str">
        <f>IF(DADOS!F7992="","",DADOS!F7992)</f>
        <v/>
      </c>
      <c r="K7992" s="6" t="str">
        <f t="shared" si="625"/>
        <v/>
      </c>
      <c r="L7992" s="7" t="str">
        <f t="shared" si="626"/>
        <v/>
      </c>
      <c r="M7992" s="7" t="str">
        <f t="shared" si="623"/>
        <v/>
      </c>
      <c r="N7992" s="7" t="str">
        <f t="shared" si="627"/>
        <v/>
      </c>
      <c r="O7992" s="8"/>
      <c r="P7992" s="26"/>
      <c r="S7992" s="10" t="str">
        <f t="shared" si="624"/>
        <v/>
      </c>
    </row>
    <row r="7993" spans="5:19" x14ac:dyDescent="0.3">
      <c r="E7993" s="9" t="str">
        <f>IF(DADOS!C7993="","",DADOS!C7993)</f>
        <v/>
      </c>
      <c r="F7993" s="9" t="str">
        <f>IF(DADOS!E7993="","",DADOS!E7993)</f>
        <v/>
      </c>
      <c r="G7993" s="9" t="str">
        <f>IF(DADOS!F7993="","",DADOS!F7993)</f>
        <v/>
      </c>
      <c r="K7993" s="6" t="str">
        <f t="shared" si="625"/>
        <v/>
      </c>
      <c r="L7993" s="7" t="str">
        <f t="shared" si="626"/>
        <v/>
      </c>
      <c r="M7993" s="7" t="str">
        <f t="shared" si="623"/>
        <v/>
      </c>
      <c r="N7993" s="7" t="str">
        <f t="shared" si="627"/>
        <v/>
      </c>
      <c r="O7993" s="8"/>
      <c r="P7993" s="26"/>
      <c r="S7993" s="10" t="str">
        <f t="shared" si="624"/>
        <v/>
      </c>
    </row>
    <row r="7994" spans="5:19" x14ac:dyDescent="0.3">
      <c r="E7994" s="9" t="str">
        <f>IF(DADOS!C7994="","",DADOS!C7994)</f>
        <v/>
      </c>
      <c r="F7994" s="9" t="str">
        <f>IF(DADOS!E7994="","",DADOS!E7994)</f>
        <v/>
      </c>
      <c r="G7994" s="9" t="str">
        <f>IF(DADOS!F7994="","",DADOS!F7994)</f>
        <v/>
      </c>
      <c r="K7994" s="6" t="str">
        <f t="shared" si="625"/>
        <v/>
      </c>
      <c r="L7994" s="7" t="str">
        <f t="shared" si="626"/>
        <v/>
      </c>
      <c r="M7994" s="7" t="str">
        <f t="shared" si="623"/>
        <v/>
      </c>
      <c r="N7994" s="7" t="str">
        <f t="shared" si="627"/>
        <v/>
      </c>
      <c r="O7994" s="8"/>
      <c r="P7994" s="26"/>
      <c r="S7994" s="10" t="str">
        <f t="shared" si="624"/>
        <v/>
      </c>
    </row>
    <row r="7995" spans="5:19" x14ac:dyDescent="0.3">
      <c r="E7995" s="9" t="str">
        <f>IF(DADOS!C7995="","",DADOS!C7995)</f>
        <v/>
      </c>
      <c r="F7995" s="9" t="str">
        <f>IF(DADOS!E7995="","",DADOS!E7995)</f>
        <v/>
      </c>
      <c r="G7995" s="9" t="str">
        <f>IF(DADOS!F7995="","",DADOS!F7995)</f>
        <v/>
      </c>
      <c r="K7995" s="6" t="str">
        <f t="shared" si="625"/>
        <v/>
      </c>
      <c r="L7995" s="7" t="str">
        <f t="shared" si="626"/>
        <v/>
      </c>
      <c r="M7995" s="7" t="str">
        <f t="shared" si="623"/>
        <v/>
      </c>
      <c r="N7995" s="7" t="str">
        <f t="shared" si="627"/>
        <v/>
      </c>
      <c r="O7995" s="8"/>
      <c r="P7995" s="26"/>
      <c r="S7995" s="10" t="str">
        <f t="shared" si="624"/>
        <v/>
      </c>
    </row>
    <row r="7996" spans="5:19" x14ac:dyDescent="0.3">
      <c r="E7996" s="9" t="str">
        <f>IF(DADOS!C7996="","",DADOS!C7996)</f>
        <v/>
      </c>
      <c r="F7996" s="9" t="str">
        <f>IF(DADOS!E7996="","",DADOS!E7996)</f>
        <v/>
      </c>
      <c r="G7996" s="9" t="str">
        <f>IF(DADOS!F7996="","",DADOS!F7996)</f>
        <v/>
      </c>
      <c r="K7996" s="6" t="str">
        <f t="shared" si="625"/>
        <v/>
      </c>
      <c r="L7996" s="7" t="str">
        <f t="shared" si="626"/>
        <v/>
      </c>
      <c r="M7996" s="7" t="str">
        <f t="shared" si="623"/>
        <v/>
      </c>
      <c r="N7996" s="7" t="str">
        <f t="shared" si="627"/>
        <v/>
      </c>
      <c r="O7996" s="8"/>
      <c r="P7996" s="26"/>
      <c r="S7996" s="10" t="str">
        <f t="shared" si="624"/>
        <v/>
      </c>
    </row>
    <row r="7997" spans="5:19" x14ac:dyDescent="0.3">
      <c r="E7997" s="9" t="str">
        <f>IF(DADOS!C7997="","",DADOS!C7997)</f>
        <v/>
      </c>
      <c r="F7997" s="9" t="str">
        <f>IF(DADOS!E7997="","",DADOS!E7997)</f>
        <v/>
      </c>
      <c r="G7997" s="9" t="str">
        <f>IF(DADOS!F7997="","",DADOS!F7997)</f>
        <v/>
      </c>
      <c r="K7997" s="6" t="str">
        <f t="shared" si="625"/>
        <v/>
      </c>
      <c r="L7997" s="7" t="str">
        <f t="shared" si="626"/>
        <v/>
      </c>
      <c r="M7997" s="7" t="str">
        <f t="shared" si="623"/>
        <v/>
      </c>
      <c r="N7997" s="7" t="str">
        <f t="shared" si="627"/>
        <v/>
      </c>
      <c r="O7997" s="8"/>
      <c r="P7997" s="26"/>
      <c r="S7997" s="10" t="str">
        <f t="shared" si="624"/>
        <v/>
      </c>
    </row>
    <row r="7998" spans="5:19" x14ac:dyDescent="0.3">
      <c r="E7998" s="9" t="str">
        <f>IF(DADOS!C7998="","",DADOS!C7998)</f>
        <v/>
      </c>
      <c r="F7998" s="9" t="str">
        <f>IF(DADOS!E7998="","",DADOS!E7998)</f>
        <v/>
      </c>
      <c r="G7998" s="9" t="str">
        <f>IF(DADOS!F7998="","",DADOS!F7998)</f>
        <v/>
      </c>
      <c r="K7998" s="6" t="str">
        <f t="shared" si="625"/>
        <v/>
      </c>
      <c r="L7998" s="7" t="str">
        <f t="shared" si="626"/>
        <v/>
      </c>
      <c r="M7998" s="7" t="str">
        <f t="shared" si="623"/>
        <v/>
      </c>
      <c r="N7998" s="7" t="str">
        <f t="shared" si="627"/>
        <v/>
      </c>
      <c r="O7998" s="8"/>
      <c r="P7998" s="26"/>
      <c r="S7998" s="10" t="str">
        <f t="shared" si="624"/>
        <v/>
      </c>
    </row>
    <row r="7999" spans="5:19" x14ac:dyDescent="0.3">
      <c r="E7999" s="9" t="str">
        <f>IF(DADOS!C7999="","",DADOS!C7999)</f>
        <v/>
      </c>
      <c r="F7999" s="9" t="str">
        <f>IF(DADOS!E7999="","",DADOS!E7999)</f>
        <v/>
      </c>
      <c r="G7999" s="9" t="str">
        <f>IF(DADOS!F7999="","",DADOS!F7999)</f>
        <v/>
      </c>
      <c r="K7999" s="6" t="str">
        <f t="shared" si="625"/>
        <v/>
      </c>
      <c r="L7999" s="7" t="str">
        <f t="shared" si="626"/>
        <v/>
      </c>
      <c r="M7999" s="7" t="str">
        <f t="shared" si="623"/>
        <v/>
      </c>
      <c r="N7999" s="7" t="str">
        <f t="shared" si="627"/>
        <v/>
      </c>
      <c r="O7999" s="8"/>
      <c r="P7999" s="26"/>
      <c r="S7999" s="10" t="str">
        <f t="shared" si="624"/>
        <v/>
      </c>
    </row>
    <row r="8000" spans="5:19" x14ac:dyDescent="0.3">
      <c r="E8000" s="9" t="str">
        <f>IF(DADOS!C8000="","",DADOS!C8000)</f>
        <v/>
      </c>
      <c r="F8000" s="9" t="str">
        <f>IF(DADOS!E8000="","",DADOS!E8000)</f>
        <v/>
      </c>
      <c r="G8000" s="9" t="str">
        <f>IF(DADOS!F8000="","",DADOS!F8000)</f>
        <v/>
      </c>
      <c r="K8000" s="6" t="str">
        <f t="shared" si="625"/>
        <v/>
      </c>
      <c r="L8000" s="7" t="str">
        <f t="shared" si="626"/>
        <v/>
      </c>
      <c r="M8000" s="7" t="str">
        <f t="shared" si="623"/>
        <v/>
      </c>
      <c r="N8000" s="7" t="str">
        <f t="shared" si="627"/>
        <v/>
      </c>
      <c r="O8000" s="8"/>
      <c r="P8000" s="26"/>
      <c r="S8000" s="10" t="str">
        <f t="shared" si="624"/>
        <v/>
      </c>
    </row>
    <row r="8001" spans="5:19" x14ac:dyDescent="0.3">
      <c r="E8001" s="9" t="str">
        <f>IF(DADOS!C8001="","",DADOS!C8001)</f>
        <v/>
      </c>
      <c r="F8001" s="9" t="str">
        <f>IF(DADOS!E8001="","",DADOS!E8001)</f>
        <v/>
      </c>
      <c r="G8001" s="9" t="str">
        <f>IF(DADOS!F8001="","",DADOS!F8001)</f>
        <v/>
      </c>
      <c r="K8001" s="6" t="str">
        <f t="shared" si="625"/>
        <v/>
      </c>
      <c r="L8001" s="7" t="str">
        <f t="shared" si="626"/>
        <v/>
      </c>
      <c r="M8001" s="7" t="str">
        <f t="shared" si="623"/>
        <v/>
      </c>
      <c r="N8001" s="7" t="str">
        <f t="shared" si="627"/>
        <v/>
      </c>
      <c r="O8001" s="8"/>
      <c r="P8001" s="26"/>
      <c r="S8001" s="10" t="str">
        <f t="shared" si="624"/>
        <v/>
      </c>
    </row>
    <row r="8002" spans="5:19" x14ac:dyDescent="0.3">
      <c r="E8002" s="9" t="str">
        <f>IF(DADOS!C8002="","",DADOS!C8002)</f>
        <v/>
      </c>
      <c r="F8002" s="9" t="str">
        <f>IF(DADOS!E8002="","",DADOS!E8002)</f>
        <v/>
      </c>
      <c r="G8002" s="9" t="str">
        <f>IF(DADOS!F8002="","",DADOS!F8002)</f>
        <v/>
      </c>
      <c r="K8002" s="6" t="str">
        <f t="shared" si="625"/>
        <v/>
      </c>
      <c r="L8002" s="7" t="str">
        <f t="shared" si="626"/>
        <v/>
      </c>
      <c r="M8002" s="7" t="str">
        <f t="shared" si="623"/>
        <v/>
      </c>
      <c r="N8002" s="7" t="str">
        <f t="shared" si="627"/>
        <v/>
      </c>
      <c r="O8002" s="8"/>
      <c r="P8002" s="26"/>
      <c r="S8002" s="10" t="str">
        <f t="shared" si="624"/>
        <v/>
      </c>
    </row>
    <row r="8003" spans="5:19" x14ac:dyDescent="0.3">
      <c r="E8003" s="9" t="str">
        <f>IF(DADOS!C8003="","",DADOS!C8003)</f>
        <v/>
      </c>
      <c r="F8003" s="9" t="str">
        <f>IF(DADOS!E8003="","",DADOS!E8003)</f>
        <v/>
      </c>
      <c r="G8003" s="9" t="str">
        <f>IF(DADOS!F8003="","",DADOS!F8003)</f>
        <v/>
      </c>
      <c r="K8003" s="6" t="str">
        <f t="shared" si="625"/>
        <v/>
      </c>
      <c r="L8003" s="7" t="str">
        <f t="shared" si="626"/>
        <v/>
      </c>
      <c r="M8003" s="7" t="str">
        <f t="shared" ref="M8003:M8066" si="628">IF(L8003="","",L8003*G8003)</f>
        <v/>
      </c>
      <c r="N8003" s="7" t="str">
        <f t="shared" si="627"/>
        <v/>
      </c>
      <c r="O8003" s="8"/>
      <c r="P8003" s="26"/>
      <c r="S8003" s="10" t="str">
        <f t="shared" ref="S8003:S8066" si="629">IF(R8003="","",SUMIFS($N$3:$N$10000,$E$3:$E$10000,R8003))</f>
        <v/>
      </c>
    </row>
    <row r="8004" spans="5:19" x14ac:dyDescent="0.3">
      <c r="E8004" s="9" t="str">
        <f>IF(DADOS!C8004="","",DADOS!C8004)</f>
        <v/>
      </c>
      <c r="F8004" s="9" t="str">
        <f>IF(DADOS!E8004="","",DADOS!E8004)</f>
        <v/>
      </c>
      <c r="G8004" s="9" t="str">
        <f>IF(DADOS!F8004="","",DADOS!F8004)</f>
        <v/>
      </c>
      <c r="K8004" s="6" t="str">
        <f t="shared" ref="K8004:K8067" si="630">IF(F8004="","",F8004/PI())</f>
        <v/>
      </c>
      <c r="L8004" s="7" t="str">
        <f t="shared" ref="L8004:L8067" si="631">IF(K8004="","",(PI()*K8004^2)/40000)</f>
        <v/>
      </c>
      <c r="M8004" s="7" t="str">
        <f t="shared" si="628"/>
        <v/>
      </c>
      <c r="N8004" s="7" t="str">
        <f t="shared" ref="N8004:N8067" si="632">IF(M8004="","",M8004*N$1)</f>
        <v/>
      </c>
      <c r="O8004" s="8"/>
      <c r="P8004" s="26"/>
      <c r="S8004" s="10" t="str">
        <f t="shared" si="629"/>
        <v/>
      </c>
    </row>
    <row r="8005" spans="5:19" x14ac:dyDescent="0.3">
      <c r="E8005" s="9" t="str">
        <f>IF(DADOS!C8005="","",DADOS!C8005)</f>
        <v/>
      </c>
      <c r="F8005" s="9" t="str">
        <f>IF(DADOS!E8005="","",DADOS!E8005)</f>
        <v/>
      </c>
      <c r="G8005" s="9" t="str">
        <f>IF(DADOS!F8005="","",DADOS!F8005)</f>
        <v/>
      </c>
      <c r="K8005" s="6" t="str">
        <f t="shared" si="630"/>
        <v/>
      </c>
      <c r="L8005" s="7" t="str">
        <f t="shared" si="631"/>
        <v/>
      </c>
      <c r="M8005" s="7" t="str">
        <f t="shared" si="628"/>
        <v/>
      </c>
      <c r="N8005" s="7" t="str">
        <f t="shared" si="632"/>
        <v/>
      </c>
      <c r="O8005" s="8"/>
      <c r="P8005" s="26"/>
      <c r="S8005" s="10" t="str">
        <f t="shared" si="629"/>
        <v/>
      </c>
    </row>
    <row r="8006" spans="5:19" x14ac:dyDescent="0.3">
      <c r="E8006" s="9" t="str">
        <f>IF(DADOS!C8006="","",DADOS!C8006)</f>
        <v/>
      </c>
      <c r="F8006" s="9" t="str">
        <f>IF(DADOS!E8006="","",DADOS!E8006)</f>
        <v/>
      </c>
      <c r="G8006" s="9" t="str">
        <f>IF(DADOS!F8006="","",DADOS!F8006)</f>
        <v/>
      </c>
      <c r="K8006" s="6" t="str">
        <f t="shared" si="630"/>
        <v/>
      </c>
      <c r="L8006" s="7" t="str">
        <f t="shared" si="631"/>
        <v/>
      </c>
      <c r="M8006" s="7" t="str">
        <f t="shared" si="628"/>
        <v/>
      </c>
      <c r="N8006" s="7" t="str">
        <f t="shared" si="632"/>
        <v/>
      </c>
      <c r="O8006" s="8"/>
      <c r="P8006" s="26"/>
      <c r="S8006" s="10" t="str">
        <f t="shared" si="629"/>
        <v/>
      </c>
    </row>
    <row r="8007" spans="5:19" x14ac:dyDescent="0.3">
      <c r="E8007" s="9" t="str">
        <f>IF(DADOS!C8007="","",DADOS!C8007)</f>
        <v/>
      </c>
      <c r="F8007" s="9" t="str">
        <f>IF(DADOS!E8007="","",DADOS!E8007)</f>
        <v/>
      </c>
      <c r="G8007" s="9" t="str">
        <f>IF(DADOS!F8007="","",DADOS!F8007)</f>
        <v/>
      </c>
      <c r="K8007" s="6" t="str">
        <f t="shared" si="630"/>
        <v/>
      </c>
      <c r="L8007" s="7" t="str">
        <f t="shared" si="631"/>
        <v/>
      </c>
      <c r="M8007" s="7" t="str">
        <f t="shared" si="628"/>
        <v/>
      </c>
      <c r="N8007" s="7" t="str">
        <f t="shared" si="632"/>
        <v/>
      </c>
      <c r="O8007" s="8"/>
      <c r="P8007" s="26"/>
      <c r="S8007" s="10" t="str">
        <f t="shared" si="629"/>
        <v/>
      </c>
    </row>
    <row r="8008" spans="5:19" x14ac:dyDescent="0.3">
      <c r="E8008" s="9" t="str">
        <f>IF(DADOS!C8008="","",DADOS!C8008)</f>
        <v/>
      </c>
      <c r="F8008" s="9" t="str">
        <f>IF(DADOS!E8008="","",DADOS!E8008)</f>
        <v/>
      </c>
      <c r="G8008" s="9" t="str">
        <f>IF(DADOS!F8008="","",DADOS!F8008)</f>
        <v/>
      </c>
      <c r="K8008" s="6" t="str">
        <f t="shared" si="630"/>
        <v/>
      </c>
      <c r="L8008" s="7" t="str">
        <f t="shared" si="631"/>
        <v/>
      </c>
      <c r="M8008" s="7" t="str">
        <f t="shared" si="628"/>
        <v/>
      </c>
      <c r="N8008" s="7" t="str">
        <f t="shared" si="632"/>
        <v/>
      </c>
      <c r="O8008" s="8"/>
      <c r="P8008" s="26"/>
      <c r="S8008" s="10" t="str">
        <f t="shared" si="629"/>
        <v/>
      </c>
    </row>
    <row r="8009" spans="5:19" x14ac:dyDescent="0.3">
      <c r="E8009" s="9" t="str">
        <f>IF(DADOS!C8009="","",DADOS!C8009)</f>
        <v/>
      </c>
      <c r="F8009" s="9" t="str">
        <f>IF(DADOS!E8009="","",DADOS!E8009)</f>
        <v/>
      </c>
      <c r="G8009" s="9" t="str">
        <f>IF(DADOS!F8009="","",DADOS!F8009)</f>
        <v/>
      </c>
      <c r="K8009" s="6" t="str">
        <f t="shared" si="630"/>
        <v/>
      </c>
      <c r="L8009" s="7" t="str">
        <f t="shared" si="631"/>
        <v/>
      </c>
      <c r="M8009" s="7" t="str">
        <f t="shared" si="628"/>
        <v/>
      </c>
      <c r="N8009" s="7" t="str">
        <f t="shared" si="632"/>
        <v/>
      </c>
      <c r="O8009" s="8"/>
      <c r="P8009" s="26"/>
      <c r="S8009" s="10" t="str">
        <f t="shared" si="629"/>
        <v/>
      </c>
    </row>
    <row r="8010" spans="5:19" x14ac:dyDescent="0.3">
      <c r="E8010" s="9" t="str">
        <f>IF(DADOS!C8010="","",DADOS!C8010)</f>
        <v/>
      </c>
      <c r="F8010" s="9" t="str">
        <f>IF(DADOS!E8010="","",DADOS!E8010)</f>
        <v/>
      </c>
      <c r="G8010" s="9" t="str">
        <f>IF(DADOS!F8010="","",DADOS!F8010)</f>
        <v/>
      </c>
      <c r="K8010" s="6" t="str">
        <f t="shared" si="630"/>
        <v/>
      </c>
      <c r="L8010" s="7" t="str">
        <f t="shared" si="631"/>
        <v/>
      </c>
      <c r="M8010" s="7" t="str">
        <f t="shared" si="628"/>
        <v/>
      </c>
      <c r="N8010" s="7" t="str">
        <f t="shared" si="632"/>
        <v/>
      </c>
      <c r="O8010" s="8"/>
      <c r="P8010" s="26"/>
      <c r="S8010" s="10" t="str">
        <f t="shared" si="629"/>
        <v/>
      </c>
    </row>
    <row r="8011" spans="5:19" x14ac:dyDescent="0.3">
      <c r="E8011" s="9" t="str">
        <f>IF(DADOS!C8011="","",DADOS!C8011)</f>
        <v/>
      </c>
      <c r="F8011" s="9" t="str">
        <f>IF(DADOS!E8011="","",DADOS!E8011)</f>
        <v/>
      </c>
      <c r="G8011" s="9" t="str">
        <f>IF(DADOS!F8011="","",DADOS!F8011)</f>
        <v/>
      </c>
      <c r="K8011" s="6" t="str">
        <f t="shared" si="630"/>
        <v/>
      </c>
      <c r="L8011" s="7" t="str">
        <f t="shared" si="631"/>
        <v/>
      </c>
      <c r="M8011" s="7" t="str">
        <f t="shared" si="628"/>
        <v/>
      </c>
      <c r="N8011" s="7" t="str">
        <f t="shared" si="632"/>
        <v/>
      </c>
      <c r="O8011" s="8"/>
      <c r="P8011" s="26"/>
      <c r="S8011" s="10" t="str">
        <f t="shared" si="629"/>
        <v/>
      </c>
    </row>
    <row r="8012" spans="5:19" x14ac:dyDescent="0.3">
      <c r="E8012" s="9" t="str">
        <f>IF(DADOS!C8012="","",DADOS!C8012)</f>
        <v/>
      </c>
      <c r="F8012" s="9" t="str">
        <f>IF(DADOS!E8012="","",DADOS!E8012)</f>
        <v/>
      </c>
      <c r="G8012" s="9" t="str">
        <f>IF(DADOS!F8012="","",DADOS!F8012)</f>
        <v/>
      </c>
      <c r="K8012" s="6" t="str">
        <f t="shared" si="630"/>
        <v/>
      </c>
      <c r="L8012" s="7" t="str">
        <f t="shared" si="631"/>
        <v/>
      </c>
      <c r="M8012" s="7" t="str">
        <f t="shared" si="628"/>
        <v/>
      </c>
      <c r="N8012" s="7" t="str">
        <f t="shared" si="632"/>
        <v/>
      </c>
      <c r="O8012" s="8"/>
      <c r="P8012" s="26"/>
      <c r="S8012" s="10" t="str">
        <f t="shared" si="629"/>
        <v/>
      </c>
    </row>
    <row r="8013" spans="5:19" x14ac:dyDescent="0.3">
      <c r="E8013" s="9" t="str">
        <f>IF(DADOS!C8013="","",DADOS!C8013)</f>
        <v/>
      </c>
      <c r="F8013" s="9" t="str">
        <f>IF(DADOS!E8013="","",DADOS!E8013)</f>
        <v/>
      </c>
      <c r="G8013" s="9" t="str">
        <f>IF(DADOS!F8013="","",DADOS!F8013)</f>
        <v/>
      </c>
      <c r="K8013" s="6" t="str">
        <f t="shared" si="630"/>
        <v/>
      </c>
      <c r="L8013" s="7" t="str">
        <f t="shared" si="631"/>
        <v/>
      </c>
      <c r="M8013" s="7" t="str">
        <f t="shared" si="628"/>
        <v/>
      </c>
      <c r="N8013" s="7" t="str">
        <f t="shared" si="632"/>
        <v/>
      </c>
      <c r="O8013" s="8"/>
      <c r="P8013" s="26"/>
      <c r="S8013" s="10" t="str">
        <f t="shared" si="629"/>
        <v/>
      </c>
    </row>
    <row r="8014" spans="5:19" x14ac:dyDescent="0.3">
      <c r="E8014" s="9" t="str">
        <f>IF(DADOS!C8014="","",DADOS!C8014)</f>
        <v/>
      </c>
      <c r="F8014" s="9" t="str">
        <f>IF(DADOS!E8014="","",DADOS!E8014)</f>
        <v/>
      </c>
      <c r="G8014" s="9" t="str">
        <f>IF(DADOS!F8014="","",DADOS!F8014)</f>
        <v/>
      </c>
      <c r="K8014" s="6" t="str">
        <f t="shared" si="630"/>
        <v/>
      </c>
      <c r="L8014" s="7" t="str">
        <f t="shared" si="631"/>
        <v/>
      </c>
      <c r="M8014" s="7" t="str">
        <f t="shared" si="628"/>
        <v/>
      </c>
      <c r="N8014" s="7" t="str">
        <f t="shared" si="632"/>
        <v/>
      </c>
      <c r="O8014" s="8"/>
      <c r="P8014" s="26"/>
      <c r="S8014" s="10" t="str">
        <f t="shared" si="629"/>
        <v/>
      </c>
    </row>
    <row r="8015" spans="5:19" x14ac:dyDescent="0.3">
      <c r="E8015" s="9" t="str">
        <f>IF(DADOS!C8015="","",DADOS!C8015)</f>
        <v/>
      </c>
      <c r="F8015" s="9" t="str">
        <f>IF(DADOS!E8015="","",DADOS!E8015)</f>
        <v/>
      </c>
      <c r="G8015" s="9" t="str">
        <f>IF(DADOS!F8015="","",DADOS!F8015)</f>
        <v/>
      </c>
      <c r="K8015" s="6" t="str">
        <f t="shared" si="630"/>
        <v/>
      </c>
      <c r="L8015" s="7" t="str">
        <f t="shared" si="631"/>
        <v/>
      </c>
      <c r="M8015" s="7" t="str">
        <f t="shared" si="628"/>
        <v/>
      </c>
      <c r="N8015" s="7" t="str">
        <f t="shared" si="632"/>
        <v/>
      </c>
      <c r="O8015" s="8"/>
      <c r="P8015" s="26"/>
      <c r="S8015" s="10" t="str">
        <f t="shared" si="629"/>
        <v/>
      </c>
    </row>
    <row r="8016" spans="5:19" x14ac:dyDescent="0.3">
      <c r="E8016" s="9" t="str">
        <f>IF(DADOS!C8016="","",DADOS!C8016)</f>
        <v/>
      </c>
      <c r="F8016" s="9" t="str">
        <f>IF(DADOS!E8016="","",DADOS!E8016)</f>
        <v/>
      </c>
      <c r="G8016" s="9" t="str">
        <f>IF(DADOS!F8016="","",DADOS!F8016)</f>
        <v/>
      </c>
      <c r="K8016" s="6" t="str">
        <f t="shared" si="630"/>
        <v/>
      </c>
      <c r="L8016" s="7" t="str">
        <f t="shared" si="631"/>
        <v/>
      </c>
      <c r="M8016" s="7" t="str">
        <f t="shared" si="628"/>
        <v/>
      </c>
      <c r="N8016" s="7" t="str">
        <f t="shared" si="632"/>
        <v/>
      </c>
      <c r="O8016" s="8"/>
      <c r="P8016" s="26"/>
      <c r="S8016" s="10" t="str">
        <f t="shared" si="629"/>
        <v/>
      </c>
    </row>
    <row r="8017" spans="5:19" x14ac:dyDescent="0.3">
      <c r="E8017" s="9" t="str">
        <f>IF(DADOS!C8017="","",DADOS!C8017)</f>
        <v/>
      </c>
      <c r="F8017" s="9" t="str">
        <f>IF(DADOS!E8017="","",DADOS!E8017)</f>
        <v/>
      </c>
      <c r="G8017" s="9" t="str">
        <f>IF(DADOS!F8017="","",DADOS!F8017)</f>
        <v/>
      </c>
      <c r="K8017" s="6" t="str">
        <f t="shared" si="630"/>
        <v/>
      </c>
      <c r="L8017" s="7" t="str">
        <f t="shared" si="631"/>
        <v/>
      </c>
      <c r="M8017" s="7" t="str">
        <f t="shared" si="628"/>
        <v/>
      </c>
      <c r="N8017" s="7" t="str">
        <f t="shared" si="632"/>
        <v/>
      </c>
      <c r="O8017" s="8"/>
      <c r="P8017" s="26"/>
      <c r="S8017" s="10" t="str">
        <f t="shared" si="629"/>
        <v/>
      </c>
    </row>
    <row r="8018" spans="5:19" x14ac:dyDescent="0.3">
      <c r="E8018" s="9" t="str">
        <f>IF(DADOS!C8018="","",DADOS!C8018)</f>
        <v/>
      </c>
      <c r="F8018" s="9" t="str">
        <f>IF(DADOS!E8018="","",DADOS!E8018)</f>
        <v/>
      </c>
      <c r="G8018" s="9" t="str">
        <f>IF(DADOS!F8018="","",DADOS!F8018)</f>
        <v/>
      </c>
      <c r="K8018" s="6" t="str">
        <f t="shared" si="630"/>
        <v/>
      </c>
      <c r="L8018" s="7" t="str">
        <f t="shared" si="631"/>
        <v/>
      </c>
      <c r="M8018" s="7" t="str">
        <f t="shared" si="628"/>
        <v/>
      </c>
      <c r="N8018" s="7" t="str">
        <f t="shared" si="632"/>
        <v/>
      </c>
      <c r="O8018" s="8"/>
      <c r="P8018" s="26"/>
      <c r="S8018" s="10" t="str">
        <f t="shared" si="629"/>
        <v/>
      </c>
    </row>
    <row r="8019" spans="5:19" x14ac:dyDescent="0.3">
      <c r="E8019" s="9" t="str">
        <f>IF(DADOS!C8019="","",DADOS!C8019)</f>
        <v/>
      </c>
      <c r="F8019" s="9" t="str">
        <f>IF(DADOS!E8019="","",DADOS!E8019)</f>
        <v/>
      </c>
      <c r="G8019" s="9" t="str">
        <f>IF(DADOS!F8019="","",DADOS!F8019)</f>
        <v/>
      </c>
      <c r="K8019" s="6" t="str">
        <f t="shared" si="630"/>
        <v/>
      </c>
      <c r="L8019" s="7" t="str">
        <f t="shared" si="631"/>
        <v/>
      </c>
      <c r="M8019" s="7" t="str">
        <f t="shared" si="628"/>
        <v/>
      </c>
      <c r="N8019" s="7" t="str">
        <f t="shared" si="632"/>
        <v/>
      </c>
      <c r="O8019" s="8"/>
      <c r="P8019" s="26"/>
      <c r="S8019" s="10" t="str">
        <f t="shared" si="629"/>
        <v/>
      </c>
    </row>
    <row r="8020" spans="5:19" x14ac:dyDescent="0.3">
      <c r="E8020" s="9" t="str">
        <f>IF(DADOS!C8020="","",DADOS!C8020)</f>
        <v/>
      </c>
      <c r="F8020" s="9" t="str">
        <f>IF(DADOS!E8020="","",DADOS!E8020)</f>
        <v/>
      </c>
      <c r="G8020" s="9" t="str">
        <f>IF(DADOS!F8020="","",DADOS!F8020)</f>
        <v/>
      </c>
      <c r="K8020" s="6" t="str">
        <f t="shared" si="630"/>
        <v/>
      </c>
      <c r="L8020" s="7" t="str">
        <f t="shared" si="631"/>
        <v/>
      </c>
      <c r="M8020" s="7" t="str">
        <f t="shared" si="628"/>
        <v/>
      </c>
      <c r="N8020" s="7" t="str">
        <f t="shared" si="632"/>
        <v/>
      </c>
      <c r="O8020" s="8"/>
      <c r="P8020" s="26"/>
      <c r="S8020" s="10" t="str">
        <f t="shared" si="629"/>
        <v/>
      </c>
    </row>
    <row r="8021" spans="5:19" x14ac:dyDescent="0.3">
      <c r="E8021" s="9" t="str">
        <f>IF(DADOS!C8021="","",DADOS!C8021)</f>
        <v/>
      </c>
      <c r="F8021" s="9" t="str">
        <f>IF(DADOS!E8021="","",DADOS!E8021)</f>
        <v/>
      </c>
      <c r="G8021" s="9" t="str">
        <f>IF(DADOS!F8021="","",DADOS!F8021)</f>
        <v/>
      </c>
      <c r="K8021" s="6" t="str">
        <f t="shared" si="630"/>
        <v/>
      </c>
      <c r="L8021" s="7" t="str">
        <f t="shared" si="631"/>
        <v/>
      </c>
      <c r="M8021" s="7" t="str">
        <f t="shared" si="628"/>
        <v/>
      </c>
      <c r="N8021" s="7" t="str">
        <f t="shared" si="632"/>
        <v/>
      </c>
      <c r="O8021" s="8"/>
      <c r="P8021" s="26"/>
      <c r="S8021" s="10" t="str">
        <f t="shared" si="629"/>
        <v/>
      </c>
    </row>
    <row r="8022" spans="5:19" x14ac:dyDescent="0.3">
      <c r="E8022" s="9" t="str">
        <f>IF(DADOS!C8022="","",DADOS!C8022)</f>
        <v/>
      </c>
      <c r="F8022" s="9" t="str">
        <f>IF(DADOS!E8022="","",DADOS!E8022)</f>
        <v/>
      </c>
      <c r="G8022" s="9" t="str">
        <f>IF(DADOS!F8022="","",DADOS!F8022)</f>
        <v/>
      </c>
      <c r="K8022" s="6" t="str">
        <f t="shared" si="630"/>
        <v/>
      </c>
      <c r="L8022" s="7" t="str">
        <f t="shared" si="631"/>
        <v/>
      </c>
      <c r="M8022" s="7" t="str">
        <f t="shared" si="628"/>
        <v/>
      </c>
      <c r="N8022" s="7" t="str">
        <f t="shared" si="632"/>
        <v/>
      </c>
      <c r="O8022" s="8"/>
      <c r="P8022" s="26"/>
      <c r="S8022" s="10" t="str">
        <f t="shared" si="629"/>
        <v/>
      </c>
    </row>
    <row r="8023" spans="5:19" x14ac:dyDescent="0.3">
      <c r="E8023" s="9" t="str">
        <f>IF(DADOS!C8023="","",DADOS!C8023)</f>
        <v/>
      </c>
      <c r="F8023" s="9" t="str">
        <f>IF(DADOS!E8023="","",DADOS!E8023)</f>
        <v/>
      </c>
      <c r="G8023" s="9" t="str">
        <f>IF(DADOS!F8023="","",DADOS!F8023)</f>
        <v/>
      </c>
      <c r="K8023" s="6" t="str">
        <f t="shared" si="630"/>
        <v/>
      </c>
      <c r="L8023" s="7" t="str">
        <f t="shared" si="631"/>
        <v/>
      </c>
      <c r="M8023" s="7" t="str">
        <f t="shared" si="628"/>
        <v/>
      </c>
      <c r="N8023" s="7" t="str">
        <f t="shared" si="632"/>
        <v/>
      </c>
      <c r="O8023" s="8"/>
      <c r="P8023" s="26"/>
      <c r="S8023" s="10" t="str">
        <f t="shared" si="629"/>
        <v/>
      </c>
    </row>
    <row r="8024" spans="5:19" x14ac:dyDescent="0.3">
      <c r="E8024" s="9" t="str">
        <f>IF(DADOS!C8024="","",DADOS!C8024)</f>
        <v/>
      </c>
      <c r="F8024" s="9" t="str">
        <f>IF(DADOS!E8024="","",DADOS!E8024)</f>
        <v/>
      </c>
      <c r="G8024" s="9" t="str">
        <f>IF(DADOS!F8024="","",DADOS!F8024)</f>
        <v/>
      </c>
      <c r="K8024" s="6" t="str">
        <f t="shared" si="630"/>
        <v/>
      </c>
      <c r="L8024" s="7" t="str">
        <f t="shared" si="631"/>
        <v/>
      </c>
      <c r="M8024" s="7" t="str">
        <f t="shared" si="628"/>
        <v/>
      </c>
      <c r="N8024" s="7" t="str">
        <f t="shared" si="632"/>
        <v/>
      </c>
      <c r="O8024" s="8"/>
      <c r="P8024" s="26"/>
      <c r="S8024" s="10" t="str">
        <f t="shared" si="629"/>
        <v/>
      </c>
    </row>
    <row r="8025" spans="5:19" x14ac:dyDescent="0.3">
      <c r="E8025" s="9" t="str">
        <f>IF(DADOS!C8025="","",DADOS!C8025)</f>
        <v/>
      </c>
      <c r="F8025" s="9" t="str">
        <f>IF(DADOS!E8025="","",DADOS!E8025)</f>
        <v/>
      </c>
      <c r="G8025" s="9" t="str">
        <f>IF(DADOS!F8025="","",DADOS!F8025)</f>
        <v/>
      </c>
      <c r="K8025" s="6" t="str">
        <f t="shared" si="630"/>
        <v/>
      </c>
      <c r="L8025" s="7" t="str">
        <f t="shared" si="631"/>
        <v/>
      </c>
      <c r="M8025" s="7" t="str">
        <f t="shared" si="628"/>
        <v/>
      </c>
      <c r="N8025" s="7" t="str">
        <f t="shared" si="632"/>
        <v/>
      </c>
      <c r="O8025" s="8"/>
      <c r="P8025" s="26"/>
      <c r="S8025" s="10" t="str">
        <f t="shared" si="629"/>
        <v/>
      </c>
    </row>
    <row r="8026" spans="5:19" x14ac:dyDescent="0.3">
      <c r="E8026" s="9" t="str">
        <f>IF(DADOS!C8026="","",DADOS!C8026)</f>
        <v/>
      </c>
      <c r="F8026" s="9" t="str">
        <f>IF(DADOS!E8026="","",DADOS!E8026)</f>
        <v/>
      </c>
      <c r="G8026" s="9" t="str">
        <f>IF(DADOS!F8026="","",DADOS!F8026)</f>
        <v/>
      </c>
      <c r="K8026" s="6" t="str">
        <f t="shared" si="630"/>
        <v/>
      </c>
      <c r="L8026" s="7" t="str">
        <f t="shared" si="631"/>
        <v/>
      </c>
      <c r="M8026" s="7" t="str">
        <f t="shared" si="628"/>
        <v/>
      </c>
      <c r="N8026" s="7" t="str">
        <f t="shared" si="632"/>
        <v/>
      </c>
      <c r="O8026" s="8"/>
      <c r="P8026" s="26"/>
      <c r="S8026" s="10" t="str">
        <f t="shared" si="629"/>
        <v/>
      </c>
    </row>
    <row r="8027" spans="5:19" x14ac:dyDescent="0.3">
      <c r="E8027" s="9" t="str">
        <f>IF(DADOS!C8027="","",DADOS!C8027)</f>
        <v/>
      </c>
      <c r="F8027" s="9" t="str">
        <f>IF(DADOS!E8027="","",DADOS!E8027)</f>
        <v/>
      </c>
      <c r="G8027" s="9" t="str">
        <f>IF(DADOS!F8027="","",DADOS!F8027)</f>
        <v/>
      </c>
      <c r="K8027" s="6" t="str">
        <f t="shared" si="630"/>
        <v/>
      </c>
      <c r="L8027" s="7" t="str">
        <f t="shared" si="631"/>
        <v/>
      </c>
      <c r="M8027" s="7" t="str">
        <f t="shared" si="628"/>
        <v/>
      </c>
      <c r="N8027" s="7" t="str">
        <f t="shared" si="632"/>
        <v/>
      </c>
      <c r="O8027" s="8"/>
      <c r="P8027" s="26"/>
      <c r="S8027" s="10" t="str">
        <f t="shared" si="629"/>
        <v/>
      </c>
    </row>
    <row r="8028" spans="5:19" x14ac:dyDescent="0.3">
      <c r="E8028" s="9" t="str">
        <f>IF(DADOS!C8028="","",DADOS!C8028)</f>
        <v/>
      </c>
      <c r="F8028" s="9" t="str">
        <f>IF(DADOS!E8028="","",DADOS!E8028)</f>
        <v/>
      </c>
      <c r="G8028" s="9" t="str">
        <f>IF(DADOS!F8028="","",DADOS!F8028)</f>
        <v/>
      </c>
      <c r="K8028" s="6" t="str">
        <f t="shared" si="630"/>
        <v/>
      </c>
      <c r="L8028" s="7" t="str">
        <f t="shared" si="631"/>
        <v/>
      </c>
      <c r="M8028" s="7" t="str">
        <f t="shared" si="628"/>
        <v/>
      </c>
      <c r="N8028" s="7" t="str">
        <f t="shared" si="632"/>
        <v/>
      </c>
      <c r="O8028" s="8"/>
      <c r="P8028" s="26"/>
      <c r="S8028" s="10" t="str">
        <f t="shared" si="629"/>
        <v/>
      </c>
    </row>
    <row r="8029" spans="5:19" x14ac:dyDescent="0.3">
      <c r="E8029" s="9" t="str">
        <f>IF(DADOS!C8029="","",DADOS!C8029)</f>
        <v/>
      </c>
      <c r="F8029" s="9" t="str">
        <f>IF(DADOS!E8029="","",DADOS!E8029)</f>
        <v/>
      </c>
      <c r="G8029" s="9" t="str">
        <f>IF(DADOS!F8029="","",DADOS!F8029)</f>
        <v/>
      </c>
      <c r="K8029" s="6" t="str">
        <f t="shared" si="630"/>
        <v/>
      </c>
      <c r="L8029" s="7" t="str">
        <f t="shared" si="631"/>
        <v/>
      </c>
      <c r="M8029" s="7" t="str">
        <f t="shared" si="628"/>
        <v/>
      </c>
      <c r="N8029" s="7" t="str">
        <f t="shared" si="632"/>
        <v/>
      </c>
      <c r="O8029" s="8"/>
      <c r="P8029" s="26"/>
      <c r="S8029" s="10" t="str">
        <f t="shared" si="629"/>
        <v/>
      </c>
    </row>
    <row r="8030" spans="5:19" x14ac:dyDescent="0.3">
      <c r="E8030" s="9" t="str">
        <f>IF(DADOS!C8030="","",DADOS!C8030)</f>
        <v/>
      </c>
      <c r="F8030" s="9" t="str">
        <f>IF(DADOS!E8030="","",DADOS!E8030)</f>
        <v/>
      </c>
      <c r="G8030" s="9" t="str">
        <f>IF(DADOS!F8030="","",DADOS!F8030)</f>
        <v/>
      </c>
      <c r="K8030" s="6" t="str">
        <f t="shared" si="630"/>
        <v/>
      </c>
      <c r="L8030" s="7" t="str">
        <f t="shared" si="631"/>
        <v/>
      </c>
      <c r="M8030" s="7" t="str">
        <f t="shared" si="628"/>
        <v/>
      </c>
      <c r="N8030" s="7" t="str">
        <f t="shared" si="632"/>
        <v/>
      </c>
      <c r="O8030" s="8"/>
      <c r="P8030" s="26"/>
      <c r="S8030" s="10" t="str">
        <f t="shared" si="629"/>
        <v/>
      </c>
    </row>
    <row r="8031" spans="5:19" x14ac:dyDescent="0.3">
      <c r="E8031" s="9" t="str">
        <f>IF(DADOS!C8031="","",DADOS!C8031)</f>
        <v/>
      </c>
      <c r="F8031" s="9" t="str">
        <f>IF(DADOS!E8031="","",DADOS!E8031)</f>
        <v/>
      </c>
      <c r="G8031" s="9" t="str">
        <f>IF(DADOS!F8031="","",DADOS!F8031)</f>
        <v/>
      </c>
      <c r="K8031" s="6" t="str">
        <f t="shared" si="630"/>
        <v/>
      </c>
      <c r="L8031" s="7" t="str">
        <f t="shared" si="631"/>
        <v/>
      </c>
      <c r="M8031" s="7" t="str">
        <f t="shared" si="628"/>
        <v/>
      </c>
      <c r="N8031" s="7" t="str">
        <f t="shared" si="632"/>
        <v/>
      </c>
      <c r="O8031" s="8"/>
      <c r="P8031" s="26"/>
      <c r="S8031" s="10" t="str">
        <f t="shared" si="629"/>
        <v/>
      </c>
    </row>
    <row r="8032" spans="5:19" x14ac:dyDescent="0.3">
      <c r="E8032" s="9" t="str">
        <f>IF(DADOS!C8032="","",DADOS!C8032)</f>
        <v/>
      </c>
      <c r="F8032" s="9" t="str">
        <f>IF(DADOS!E8032="","",DADOS!E8032)</f>
        <v/>
      </c>
      <c r="G8032" s="9" t="str">
        <f>IF(DADOS!F8032="","",DADOS!F8032)</f>
        <v/>
      </c>
      <c r="K8032" s="6" t="str">
        <f t="shared" si="630"/>
        <v/>
      </c>
      <c r="L8032" s="7" t="str">
        <f t="shared" si="631"/>
        <v/>
      </c>
      <c r="M8032" s="7" t="str">
        <f t="shared" si="628"/>
        <v/>
      </c>
      <c r="N8032" s="7" t="str">
        <f t="shared" si="632"/>
        <v/>
      </c>
      <c r="O8032" s="8"/>
      <c r="P8032" s="26"/>
      <c r="S8032" s="10" t="str">
        <f t="shared" si="629"/>
        <v/>
      </c>
    </row>
    <row r="8033" spans="5:19" x14ac:dyDescent="0.3">
      <c r="E8033" s="9" t="str">
        <f>IF(DADOS!C8033="","",DADOS!C8033)</f>
        <v/>
      </c>
      <c r="F8033" s="9" t="str">
        <f>IF(DADOS!E8033="","",DADOS!E8033)</f>
        <v/>
      </c>
      <c r="G8033" s="9" t="str">
        <f>IF(DADOS!F8033="","",DADOS!F8033)</f>
        <v/>
      </c>
      <c r="K8033" s="6" t="str">
        <f t="shared" si="630"/>
        <v/>
      </c>
      <c r="L8033" s="7" t="str">
        <f t="shared" si="631"/>
        <v/>
      </c>
      <c r="M8033" s="7" t="str">
        <f t="shared" si="628"/>
        <v/>
      </c>
      <c r="N8033" s="7" t="str">
        <f t="shared" si="632"/>
        <v/>
      </c>
      <c r="O8033" s="8"/>
      <c r="P8033" s="26"/>
      <c r="S8033" s="10" t="str">
        <f t="shared" si="629"/>
        <v/>
      </c>
    </row>
    <row r="8034" spans="5:19" x14ac:dyDescent="0.3">
      <c r="E8034" s="9" t="str">
        <f>IF(DADOS!C8034="","",DADOS!C8034)</f>
        <v/>
      </c>
      <c r="F8034" s="9" t="str">
        <f>IF(DADOS!E8034="","",DADOS!E8034)</f>
        <v/>
      </c>
      <c r="G8034" s="9" t="str">
        <f>IF(DADOS!F8034="","",DADOS!F8034)</f>
        <v/>
      </c>
      <c r="K8034" s="6" t="str">
        <f t="shared" si="630"/>
        <v/>
      </c>
      <c r="L8034" s="7" t="str">
        <f t="shared" si="631"/>
        <v/>
      </c>
      <c r="M8034" s="7" t="str">
        <f t="shared" si="628"/>
        <v/>
      </c>
      <c r="N8034" s="7" t="str">
        <f t="shared" si="632"/>
        <v/>
      </c>
      <c r="O8034" s="8"/>
      <c r="P8034" s="26"/>
      <c r="S8034" s="10" t="str">
        <f t="shared" si="629"/>
        <v/>
      </c>
    </row>
    <row r="8035" spans="5:19" x14ac:dyDescent="0.3">
      <c r="E8035" s="9" t="str">
        <f>IF(DADOS!C8035="","",DADOS!C8035)</f>
        <v/>
      </c>
      <c r="F8035" s="9" t="str">
        <f>IF(DADOS!E8035="","",DADOS!E8035)</f>
        <v/>
      </c>
      <c r="G8035" s="9" t="str">
        <f>IF(DADOS!F8035="","",DADOS!F8035)</f>
        <v/>
      </c>
      <c r="K8035" s="6" t="str">
        <f t="shared" si="630"/>
        <v/>
      </c>
      <c r="L8035" s="7" t="str">
        <f t="shared" si="631"/>
        <v/>
      </c>
      <c r="M8035" s="7" t="str">
        <f t="shared" si="628"/>
        <v/>
      </c>
      <c r="N8035" s="7" t="str">
        <f t="shared" si="632"/>
        <v/>
      </c>
      <c r="O8035" s="8"/>
      <c r="P8035" s="26"/>
      <c r="S8035" s="10" t="str">
        <f t="shared" si="629"/>
        <v/>
      </c>
    </row>
    <row r="8036" spans="5:19" x14ac:dyDescent="0.3">
      <c r="E8036" s="9" t="str">
        <f>IF(DADOS!C8036="","",DADOS!C8036)</f>
        <v/>
      </c>
      <c r="F8036" s="9" t="str">
        <f>IF(DADOS!E8036="","",DADOS!E8036)</f>
        <v/>
      </c>
      <c r="G8036" s="9" t="str">
        <f>IF(DADOS!F8036="","",DADOS!F8036)</f>
        <v/>
      </c>
      <c r="K8036" s="6" t="str">
        <f t="shared" si="630"/>
        <v/>
      </c>
      <c r="L8036" s="7" t="str">
        <f t="shared" si="631"/>
        <v/>
      </c>
      <c r="M8036" s="7" t="str">
        <f t="shared" si="628"/>
        <v/>
      </c>
      <c r="N8036" s="7" t="str">
        <f t="shared" si="632"/>
        <v/>
      </c>
      <c r="O8036" s="8"/>
      <c r="P8036" s="26"/>
      <c r="S8036" s="10" t="str">
        <f t="shared" si="629"/>
        <v/>
      </c>
    </row>
    <row r="8037" spans="5:19" x14ac:dyDescent="0.3">
      <c r="E8037" s="9" t="str">
        <f>IF(DADOS!C8037="","",DADOS!C8037)</f>
        <v/>
      </c>
      <c r="F8037" s="9" t="str">
        <f>IF(DADOS!E8037="","",DADOS!E8037)</f>
        <v/>
      </c>
      <c r="G8037" s="9" t="str">
        <f>IF(DADOS!F8037="","",DADOS!F8037)</f>
        <v/>
      </c>
      <c r="K8037" s="6" t="str">
        <f t="shared" si="630"/>
        <v/>
      </c>
      <c r="L8037" s="7" t="str">
        <f t="shared" si="631"/>
        <v/>
      </c>
      <c r="M8037" s="7" t="str">
        <f t="shared" si="628"/>
        <v/>
      </c>
      <c r="N8037" s="7" t="str">
        <f t="shared" si="632"/>
        <v/>
      </c>
      <c r="O8037" s="8"/>
      <c r="P8037" s="26"/>
      <c r="S8037" s="10" t="str">
        <f t="shared" si="629"/>
        <v/>
      </c>
    </row>
    <row r="8038" spans="5:19" x14ac:dyDescent="0.3">
      <c r="E8038" s="9" t="str">
        <f>IF(DADOS!C8038="","",DADOS!C8038)</f>
        <v/>
      </c>
      <c r="F8038" s="9" t="str">
        <f>IF(DADOS!E8038="","",DADOS!E8038)</f>
        <v/>
      </c>
      <c r="G8038" s="9" t="str">
        <f>IF(DADOS!F8038="","",DADOS!F8038)</f>
        <v/>
      </c>
      <c r="K8038" s="6" t="str">
        <f t="shared" si="630"/>
        <v/>
      </c>
      <c r="L8038" s="7" t="str">
        <f t="shared" si="631"/>
        <v/>
      </c>
      <c r="M8038" s="7" t="str">
        <f t="shared" si="628"/>
        <v/>
      </c>
      <c r="N8038" s="7" t="str">
        <f t="shared" si="632"/>
        <v/>
      </c>
      <c r="O8038" s="8"/>
      <c r="P8038" s="26"/>
      <c r="S8038" s="10" t="str">
        <f t="shared" si="629"/>
        <v/>
      </c>
    </row>
    <row r="8039" spans="5:19" x14ac:dyDescent="0.3">
      <c r="E8039" s="9" t="str">
        <f>IF(DADOS!C8039="","",DADOS!C8039)</f>
        <v/>
      </c>
      <c r="F8039" s="9" t="str">
        <f>IF(DADOS!E8039="","",DADOS!E8039)</f>
        <v/>
      </c>
      <c r="G8039" s="9" t="str">
        <f>IF(DADOS!F8039="","",DADOS!F8039)</f>
        <v/>
      </c>
      <c r="K8039" s="6" t="str">
        <f t="shared" si="630"/>
        <v/>
      </c>
      <c r="L8039" s="7" t="str">
        <f t="shared" si="631"/>
        <v/>
      </c>
      <c r="M8039" s="7" t="str">
        <f t="shared" si="628"/>
        <v/>
      </c>
      <c r="N8039" s="7" t="str">
        <f t="shared" si="632"/>
        <v/>
      </c>
      <c r="O8039" s="8"/>
      <c r="P8039" s="26"/>
      <c r="S8039" s="10" t="str">
        <f t="shared" si="629"/>
        <v/>
      </c>
    </row>
    <row r="8040" spans="5:19" x14ac:dyDescent="0.3">
      <c r="E8040" s="9" t="str">
        <f>IF(DADOS!C8040="","",DADOS!C8040)</f>
        <v/>
      </c>
      <c r="F8040" s="9" t="str">
        <f>IF(DADOS!E8040="","",DADOS!E8040)</f>
        <v/>
      </c>
      <c r="G8040" s="9" t="str">
        <f>IF(DADOS!F8040="","",DADOS!F8040)</f>
        <v/>
      </c>
      <c r="K8040" s="6" t="str">
        <f t="shared" si="630"/>
        <v/>
      </c>
      <c r="L8040" s="7" t="str">
        <f t="shared" si="631"/>
        <v/>
      </c>
      <c r="M8040" s="7" t="str">
        <f t="shared" si="628"/>
        <v/>
      </c>
      <c r="N8040" s="7" t="str">
        <f t="shared" si="632"/>
        <v/>
      </c>
      <c r="O8040" s="8"/>
      <c r="P8040" s="26"/>
      <c r="S8040" s="10" t="str">
        <f t="shared" si="629"/>
        <v/>
      </c>
    </row>
    <row r="8041" spans="5:19" x14ac:dyDescent="0.3">
      <c r="E8041" s="9" t="str">
        <f>IF(DADOS!C8041="","",DADOS!C8041)</f>
        <v/>
      </c>
      <c r="F8041" s="9" t="str">
        <f>IF(DADOS!E8041="","",DADOS!E8041)</f>
        <v/>
      </c>
      <c r="G8041" s="9" t="str">
        <f>IF(DADOS!F8041="","",DADOS!F8041)</f>
        <v/>
      </c>
      <c r="K8041" s="6" t="str">
        <f t="shared" si="630"/>
        <v/>
      </c>
      <c r="L8041" s="7" t="str">
        <f t="shared" si="631"/>
        <v/>
      </c>
      <c r="M8041" s="7" t="str">
        <f t="shared" si="628"/>
        <v/>
      </c>
      <c r="N8041" s="7" t="str">
        <f t="shared" si="632"/>
        <v/>
      </c>
      <c r="O8041" s="8"/>
      <c r="P8041" s="26"/>
      <c r="S8041" s="10" t="str">
        <f t="shared" si="629"/>
        <v/>
      </c>
    </row>
    <row r="8042" spans="5:19" x14ac:dyDescent="0.3">
      <c r="E8042" s="9" t="str">
        <f>IF(DADOS!C8042="","",DADOS!C8042)</f>
        <v/>
      </c>
      <c r="F8042" s="9" t="str">
        <f>IF(DADOS!E8042="","",DADOS!E8042)</f>
        <v/>
      </c>
      <c r="G8042" s="9" t="str">
        <f>IF(DADOS!F8042="","",DADOS!F8042)</f>
        <v/>
      </c>
      <c r="K8042" s="6" t="str">
        <f t="shared" si="630"/>
        <v/>
      </c>
      <c r="L8042" s="7" t="str">
        <f t="shared" si="631"/>
        <v/>
      </c>
      <c r="M8042" s="7" t="str">
        <f t="shared" si="628"/>
        <v/>
      </c>
      <c r="N8042" s="7" t="str">
        <f t="shared" si="632"/>
        <v/>
      </c>
      <c r="O8042" s="8"/>
      <c r="P8042" s="26"/>
      <c r="S8042" s="10" t="str">
        <f t="shared" si="629"/>
        <v/>
      </c>
    </row>
    <row r="8043" spans="5:19" x14ac:dyDescent="0.3">
      <c r="E8043" s="9" t="str">
        <f>IF(DADOS!C8043="","",DADOS!C8043)</f>
        <v/>
      </c>
      <c r="F8043" s="9" t="str">
        <f>IF(DADOS!E8043="","",DADOS!E8043)</f>
        <v/>
      </c>
      <c r="G8043" s="9" t="str">
        <f>IF(DADOS!F8043="","",DADOS!F8043)</f>
        <v/>
      </c>
      <c r="K8043" s="6" t="str">
        <f t="shared" si="630"/>
        <v/>
      </c>
      <c r="L8043" s="7" t="str">
        <f t="shared" si="631"/>
        <v/>
      </c>
      <c r="M8043" s="7" t="str">
        <f t="shared" si="628"/>
        <v/>
      </c>
      <c r="N8043" s="7" t="str">
        <f t="shared" si="632"/>
        <v/>
      </c>
      <c r="O8043" s="8"/>
      <c r="P8043" s="26"/>
      <c r="S8043" s="10" t="str">
        <f t="shared" si="629"/>
        <v/>
      </c>
    </row>
    <row r="8044" spans="5:19" x14ac:dyDescent="0.3">
      <c r="E8044" s="9" t="str">
        <f>IF(DADOS!C8044="","",DADOS!C8044)</f>
        <v/>
      </c>
      <c r="F8044" s="9" t="str">
        <f>IF(DADOS!E8044="","",DADOS!E8044)</f>
        <v/>
      </c>
      <c r="G8044" s="9" t="str">
        <f>IF(DADOS!F8044="","",DADOS!F8044)</f>
        <v/>
      </c>
      <c r="K8044" s="6" t="str">
        <f t="shared" si="630"/>
        <v/>
      </c>
      <c r="L8044" s="7" t="str">
        <f t="shared" si="631"/>
        <v/>
      </c>
      <c r="M8044" s="7" t="str">
        <f t="shared" si="628"/>
        <v/>
      </c>
      <c r="N8044" s="7" t="str">
        <f t="shared" si="632"/>
        <v/>
      </c>
      <c r="O8044" s="8"/>
      <c r="P8044" s="26"/>
      <c r="S8044" s="10" t="str">
        <f t="shared" si="629"/>
        <v/>
      </c>
    </row>
    <row r="8045" spans="5:19" x14ac:dyDescent="0.3">
      <c r="E8045" s="9" t="str">
        <f>IF(DADOS!C8045="","",DADOS!C8045)</f>
        <v/>
      </c>
      <c r="F8045" s="9" t="str">
        <f>IF(DADOS!E8045="","",DADOS!E8045)</f>
        <v/>
      </c>
      <c r="G8045" s="9" t="str">
        <f>IF(DADOS!F8045="","",DADOS!F8045)</f>
        <v/>
      </c>
      <c r="K8045" s="6" t="str">
        <f t="shared" si="630"/>
        <v/>
      </c>
      <c r="L8045" s="7" t="str">
        <f t="shared" si="631"/>
        <v/>
      </c>
      <c r="M8045" s="7" t="str">
        <f t="shared" si="628"/>
        <v/>
      </c>
      <c r="N8045" s="7" t="str">
        <f t="shared" si="632"/>
        <v/>
      </c>
      <c r="O8045" s="8"/>
      <c r="P8045" s="26"/>
      <c r="S8045" s="10" t="str">
        <f t="shared" si="629"/>
        <v/>
      </c>
    </row>
    <row r="8046" spans="5:19" x14ac:dyDescent="0.3">
      <c r="E8046" s="9" t="str">
        <f>IF(DADOS!C8046="","",DADOS!C8046)</f>
        <v/>
      </c>
      <c r="F8046" s="9" t="str">
        <f>IF(DADOS!E8046="","",DADOS!E8046)</f>
        <v/>
      </c>
      <c r="G8046" s="9" t="str">
        <f>IF(DADOS!F8046="","",DADOS!F8046)</f>
        <v/>
      </c>
      <c r="K8046" s="6" t="str">
        <f t="shared" si="630"/>
        <v/>
      </c>
      <c r="L8046" s="7" t="str">
        <f t="shared" si="631"/>
        <v/>
      </c>
      <c r="M8046" s="7" t="str">
        <f t="shared" si="628"/>
        <v/>
      </c>
      <c r="N8046" s="7" t="str">
        <f t="shared" si="632"/>
        <v/>
      </c>
      <c r="O8046" s="8"/>
      <c r="P8046" s="26"/>
      <c r="S8046" s="10" t="str">
        <f t="shared" si="629"/>
        <v/>
      </c>
    </row>
    <row r="8047" spans="5:19" x14ac:dyDescent="0.3">
      <c r="E8047" s="9" t="str">
        <f>IF(DADOS!C8047="","",DADOS!C8047)</f>
        <v/>
      </c>
      <c r="F8047" s="9" t="str">
        <f>IF(DADOS!E8047="","",DADOS!E8047)</f>
        <v/>
      </c>
      <c r="G8047" s="9" t="str">
        <f>IF(DADOS!F8047="","",DADOS!F8047)</f>
        <v/>
      </c>
      <c r="K8047" s="6" t="str">
        <f t="shared" si="630"/>
        <v/>
      </c>
      <c r="L8047" s="7" t="str">
        <f t="shared" si="631"/>
        <v/>
      </c>
      <c r="M8047" s="7" t="str">
        <f t="shared" si="628"/>
        <v/>
      </c>
      <c r="N8047" s="7" t="str">
        <f t="shared" si="632"/>
        <v/>
      </c>
      <c r="O8047" s="8"/>
      <c r="P8047" s="26"/>
      <c r="S8047" s="10" t="str">
        <f t="shared" si="629"/>
        <v/>
      </c>
    </row>
    <row r="8048" spans="5:19" x14ac:dyDescent="0.3">
      <c r="E8048" s="9" t="str">
        <f>IF(DADOS!C8048="","",DADOS!C8048)</f>
        <v/>
      </c>
      <c r="F8048" s="9" t="str">
        <f>IF(DADOS!E8048="","",DADOS!E8048)</f>
        <v/>
      </c>
      <c r="G8048" s="9" t="str">
        <f>IF(DADOS!F8048="","",DADOS!F8048)</f>
        <v/>
      </c>
      <c r="K8048" s="6" t="str">
        <f t="shared" si="630"/>
        <v/>
      </c>
      <c r="L8048" s="7" t="str">
        <f t="shared" si="631"/>
        <v/>
      </c>
      <c r="M8048" s="7" t="str">
        <f t="shared" si="628"/>
        <v/>
      </c>
      <c r="N8048" s="7" t="str">
        <f t="shared" si="632"/>
        <v/>
      </c>
      <c r="O8048" s="8"/>
      <c r="P8048" s="26"/>
      <c r="S8048" s="10" t="str">
        <f t="shared" si="629"/>
        <v/>
      </c>
    </row>
    <row r="8049" spans="5:19" x14ac:dyDescent="0.3">
      <c r="E8049" s="9" t="str">
        <f>IF(DADOS!C8049="","",DADOS!C8049)</f>
        <v/>
      </c>
      <c r="F8049" s="9" t="str">
        <f>IF(DADOS!E8049="","",DADOS!E8049)</f>
        <v/>
      </c>
      <c r="G8049" s="9" t="str">
        <f>IF(DADOS!F8049="","",DADOS!F8049)</f>
        <v/>
      </c>
      <c r="K8049" s="6" t="str">
        <f t="shared" si="630"/>
        <v/>
      </c>
      <c r="L8049" s="7" t="str">
        <f t="shared" si="631"/>
        <v/>
      </c>
      <c r="M8049" s="7" t="str">
        <f t="shared" si="628"/>
        <v/>
      </c>
      <c r="N8049" s="7" t="str">
        <f t="shared" si="632"/>
        <v/>
      </c>
      <c r="O8049" s="8"/>
      <c r="P8049" s="26"/>
      <c r="S8049" s="10" t="str">
        <f t="shared" si="629"/>
        <v/>
      </c>
    </row>
    <row r="8050" spans="5:19" x14ac:dyDescent="0.3">
      <c r="E8050" s="9" t="str">
        <f>IF(DADOS!C8050="","",DADOS!C8050)</f>
        <v/>
      </c>
      <c r="F8050" s="9" t="str">
        <f>IF(DADOS!E8050="","",DADOS!E8050)</f>
        <v/>
      </c>
      <c r="G8050" s="9" t="str">
        <f>IF(DADOS!F8050="","",DADOS!F8050)</f>
        <v/>
      </c>
      <c r="K8050" s="6" t="str">
        <f t="shared" si="630"/>
        <v/>
      </c>
      <c r="L8050" s="7" t="str">
        <f t="shared" si="631"/>
        <v/>
      </c>
      <c r="M8050" s="7" t="str">
        <f t="shared" si="628"/>
        <v/>
      </c>
      <c r="N8050" s="7" t="str">
        <f t="shared" si="632"/>
        <v/>
      </c>
      <c r="O8050" s="8"/>
      <c r="P8050" s="26"/>
      <c r="S8050" s="10" t="str">
        <f t="shared" si="629"/>
        <v/>
      </c>
    </row>
    <row r="8051" spans="5:19" x14ac:dyDescent="0.3">
      <c r="E8051" s="9" t="str">
        <f>IF(DADOS!C8051="","",DADOS!C8051)</f>
        <v/>
      </c>
      <c r="F8051" s="9" t="str">
        <f>IF(DADOS!E8051="","",DADOS!E8051)</f>
        <v/>
      </c>
      <c r="G8051" s="9" t="str">
        <f>IF(DADOS!F8051="","",DADOS!F8051)</f>
        <v/>
      </c>
      <c r="K8051" s="6" t="str">
        <f t="shared" si="630"/>
        <v/>
      </c>
      <c r="L8051" s="7" t="str">
        <f t="shared" si="631"/>
        <v/>
      </c>
      <c r="M8051" s="7" t="str">
        <f t="shared" si="628"/>
        <v/>
      </c>
      <c r="N8051" s="7" t="str">
        <f t="shared" si="632"/>
        <v/>
      </c>
      <c r="O8051" s="8"/>
      <c r="P8051" s="26"/>
      <c r="S8051" s="10" t="str">
        <f t="shared" si="629"/>
        <v/>
      </c>
    </row>
    <row r="8052" spans="5:19" x14ac:dyDescent="0.3">
      <c r="E8052" s="9" t="str">
        <f>IF(DADOS!C8052="","",DADOS!C8052)</f>
        <v/>
      </c>
      <c r="F8052" s="9" t="str">
        <f>IF(DADOS!E8052="","",DADOS!E8052)</f>
        <v/>
      </c>
      <c r="G8052" s="9" t="str">
        <f>IF(DADOS!F8052="","",DADOS!F8052)</f>
        <v/>
      </c>
      <c r="K8052" s="6" t="str">
        <f t="shared" si="630"/>
        <v/>
      </c>
      <c r="L8052" s="7" t="str">
        <f t="shared" si="631"/>
        <v/>
      </c>
      <c r="M8052" s="7" t="str">
        <f t="shared" si="628"/>
        <v/>
      </c>
      <c r="N8052" s="7" t="str">
        <f t="shared" si="632"/>
        <v/>
      </c>
      <c r="O8052" s="8"/>
      <c r="P8052" s="26"/>
      <c r="S8052" s="10" t="str">
        <f t="shared" si="629"/>
        <v/>
      </c>
    </row>
    <row r="8053" spans="5:19" x14ac:dyDescent="0.3">
      <c r="E8053" s="9" t="str">
        <f>IF(DADOS!C8053="","",DADOS!C8053)</f>
        <v/>
      </c>
      <c r="F8053" s="9" t="str">
        <f>IF(DADOS!E8053="","",DADOS!E8053)</f>
        <v/>
      </c>
      <c r="G8053" s="9" t="str">
        <f>IF(DADOS!F8053="","",DADOS!F8053)</f>
        <v/>
      </c>
      <c r="K8053" s="6" t="str">
        <f t="shared" si="630"/>
        <v/>
      </c>
      <c r="L8053" s="7" t="str">
        <f t="shared" si="631"/>
        <v/>
      </c>
      <c r="M8053" s="7" t="str">
        <f t="shared" si="628"/>
        <v/>
      </c>
      <c r="N8053" s="7" t="str">
        <f t="shared" si="632"/>
        <v/>
      </c>
      <c r="O8053" s="8"/>
      <c r="P8053" s="26"/>
      <c r="S8053" s="10" t="str">
        <f t="shared" si="629"/>
        <v/>
      </c>
    </row>
    <row r="8054" spans="5:19" x14ac:dyDescent="0.3">
      <c r="E8054" s="9" t="str">
        <f>IF(DADOS!C8054="","",DADOS!C8054)</f>
        <v/>
      </c>
      <c r="F8054" s="9" t="str">
        <f>IF(DADOS!E8054="","",DADOS!E8054)</f>
        <v/>
      </c>
      <c r="G8054" s="9" t="str">
        <f>IF(DADOS!F8054="","",DADOS!F8054)</f>
        <v/>
      </c>
      <c r="K8054" s="6" t="str">
        <f t="shared" si="630"/>
        <v/>
      </c>
      <c r="L8054" s="7" t="str">
        <f t="shared" si="631"/>
        <v/>
      </c>
      <c r="M8054" s="7" t="str">
        <f t="shared" si="628"/>
        <v/>
      </c>
      <c r="N8054" s="7" t="str">
        <f t="shared" si="632"/>
        <v/>
      </c>
      <c r="O8054" s="8"/>
      <c r="P8054" s="26"/>
      <c r="S8054" s="10" t="str">
        <f t="shared" si="629"/>
        <v/>
      </c>
    </row>
    <row r="8055" spans="5:19" x14ac:dyDescent="0.3">
      <c r="E8055" s="9" t="str">
        <f>IF(DADOS!C8055="","",DADOS!C8055)</f>
        <v/>
      </c>
      <c r="F8055" s="9" t="str">
        <f>IF(DADOS!E8055="","",DADOS!E8055)</f>
        <v/>
      </c>
      <c r="G8055" s="9" t="str">
        <f>IF(DADOS!F8055="","",DADOS!F8055)</f>
        <v/>
      </c>
      <c r="K8055" s="6" t="str">
        <f t="shared" si="630"/>
        <v/>
      </c>
      <c r="L8055" s="7" t="str">
        <f t="shared" si="631"/>
        <v/>
      </c>
      <c r="M8055" s="7" t="str">
        <f t="shared" si="628"/>
        <v/>
      </c>
      <c r="N8055" s="7" t="str">
        <f t="shared" si="632"/>
        <v/>
      </c>
      <c r="O8055" s="8"/>
      <c r="P8055" s="26"/>
      <c r="S8055" s="10" t="str">
        <f t="shared" si="629"/>
        <v/>
      </c>
    </row>
    <row r="8056" spans="5:19" x14ac:dyDescent="0.3">
      <c r="E8056" s="9" t="str">
        <f>IF(DADOS!C8056="","",DADOS!C8056)</f>
        <v/>
      </c>
      <c r="F8056" s="9" t="str">
        <f>IF(DADOS!E8056="","",DADOS!E8056)</f>
        <v/>
      </c>
      <c r="G8056" s="9" t="str">
        <f>IF(DADOS!F8056="","",DADOS!F8056)</f>
        <v/>
      </c>
      <c r="K8056" s="6" t="str">
        <f t="shared" si="630"/>
        <v/>
      </c>
      <c r="L8056" s="7" t="str">
        <f t="shared" si="631"/>
        <v/>
      </c>
      <c r="M8056" s="7" t="str">
        <f t="shared" si="628"/>
        <v/>
      </c>
      <c r="N8056" s="7" t="str">
        <f t="shared" si="632"/>
        <v/>
      </c>
      <c r="O8056" s="8"/>
      <c r="P8056" s="26"/>
      <c r="S8056" s="10" t="str">
        <f t="shared" si="629"/>
        <v/>
      </c>
    </row>
    <row r="8057" spans="5:19" x14ac:dyDescent="0.3">
      <c r="E8057" s="9" t="str">
        <f>IF(DADOS!C8057="","",DADOS!C8057)</f>
        <v/>
      </c>
      <c r="F8057" s="9" t="str">
        <f>IF(DADOS!E8057="","",DADOS!E8057)</f>
        <v/>
      </c>
      <c r="G8057" s="9" t="str">
        <f>IF(DADOS!F8057="","",DADOS!F8057)</f>
        <v/>
      </c>
      <c r="K8057" s="6" t="str">
        <f t="shared" si="630"/>
        <v/>
      </c>
      <c r="L8057" s="7" t="str">
        <f t="shared" si="631"/>
        <v/>
      </c>
      <c r="M8057" s="7" t="str">
        <f t="shared" si="628"/>
        <v/>
      </c>
      <c r="N8057" s="7" t="str">
        <f t="shared" si="632"/>
        <v/>
      </c>
      <c r="O8057" s="8"/>
      <c r="P8057" s="26"/>
      <c r="S8057" s="10" t="str">
        <f t="shared" si="629"/>
        <v/>
      </c>
    </row>
    <row r="8058" spans="5:19" x14ac:dyDescent="0.3">
      <c r="E8058" s="9" t="str">
        <f>IF(DADOS!C8058="","",DADOS!C8058)</f>
        <v/>
      </c>
      <c r="F8058" s="9" t="str">
        <f>IF(DADOS!E8058="","",DADOS!E8058)</f>
        <v/>
      </c>
      <c r="G8058" s="9" t="str">
        <f>IF(DADOS!F8058="","",DADOS!F8058)</f>
        <v/>
      </c>
      <c r="K8058" s="6" t="str">
        <f t="shared" si="630"/>
        <v/>
      </c>
      <c r="L8058" s="7" t="str">
        <f t="shared" si="631"/>
        <v/>
      </c>
      <c r="M8058" s="7" t="str">
        <f t="shared" si="628"/>
        <v/>
      </c>
      <c r="N8058" s="7" t="str">
        <f t="shared" si="632"/>
        <v/>
      </c>
      <c r="O8058" s="8"/>
      <c r="P8058" s="26"/>
      <c r="S8058" s="10" t="str">
        <f t="shared" si="629"/>
        <v/>
      </c>
    </row>
    <row r="8059" spans="5:19" x14ac:dyDescent="0.3">
      <c r="E8059" s="9" t="str">
        <f>IF(DADOS!C8059="","",DADOS!C8059)</f>
        <v/>
      </c>
      <c r="F8059" s="9" t="str">
        <f>IF(DADOS!E8059="","",DADOS!E8059)</f>
        <v/>
      </c>
      <c r="G8059" s="9" t="str">
        <f>IF(DADOS!F8059="","",DADOS!F8059)</f>
        <v/>
      </c>
      <c r="K8059" s="6" t="str">
        <f t="shared" si="630"/>
        <v/>
      </c>
      <c r="L8059" s="7" t="str">
        <f t="shared" si="631"/>
        <v/>
      </c>
      <c r="M8059" s="7" t="str">
        <f t="shared" si="628"/>
        <v/>
      </c>
      <c r="N8059" s="7" t="str">
        <f t="shared" si="632"/>
        <v/>
      </c>
      <c r="O8059" s="8"/>
      <c r="P8059" s="26"/>
      <c r="S8059" s="10" t="str">
        <f t="shared" si="629"/>
        <v/>
      </c>
    </row>
    <row r="8060" spans="5:19" x14ac:dyDescent="0.3">
      <c r="E8060" s="9" t="str">
        <f>IF(DADOS!C8060="","",DADOS!C8060)</f>
        <v/>
      </c>
      <c r="F8060" s="9" t="str">
        <f>IF(DADOS!E8060="","",DADOS!E8060)</f>
        <v/>
      </c>
      <c r="G8060" s="9" t="str">
        <f>IF(DADOS!F8060="","",DADOS!F8060)</f>
        <v/>
      </c>
      <c r="K8060" s="6" t="str">
        <f t="shared" si="630"/>
        <v/>
      </c>
      <c r="L8060" s="7" t="str">
        <f t="shared" si="631"/>
        <v/>
      </c>
      <c r="M8060" s="7" t="str">
        <f t="shared" si="628"/>
        <v/>
      </c>
      <c r="N8060" s="7" t="str">
        <f t="shared" si="632"/>
        <v/>
      </c>
      <c r="O8060" s="8"/>
      <c r="P8060" s="26"/>
      <c r="S8060" s="10" t="str">
        <f t="shared" si="629"/>
        <v/>
      </c>
    </row>
    <row r="8061" spans="5:19" x14ac:dyDescent="0.3">
      <c r="E8061" s="9" t="str">
        <f>IF(DADOS!C8061="","",DADOS!C8061)</f>
        <v/>
      </c>
      <c r="F8061" s="9" t="str">
        <f>IF(DADOS!E8061="","",DADOS!E8061)</f>
        <v/>
      </c>
      <c r="G8061" s="9" t="str">
        <f>IF(DADOS!F8061="","",DADOS!F8061)</f>
        <v/>
      </c>
      <c r="K8061" s="6" t="str">
        <f t="shared" si="630"/>
        <v/>
      </c>
      <c r="L8061" s="7" t="str">
        <f t="shared" si="631"/>
        <v/>
      </c>
      <c r="M8061" s="7" t="str">
        <f t="shared" si="628"/>
        <v/>
      </c>
      <c r="N8061" s="7" t="str">
        <f t="shared" si="632"/>
        <v/>
      </c>
      <c r="O8061" s="8"/>
      <c r="P8061" s="26"/>
      <c r="S8061" s="10" t="str">
        <f t="shared" si="629"/>
        <v/>
      </c>
    </row>
    <row r="8062" spans="5:19" x14ac:dyDescent="0.3">
      <c r="E8062" s="9" t="str">
        <f>IF(DADOS!C8062="","",DADOS!C8062)</f>
        <v/>
      </c>
      <c r="F8062" s="9" t="str">
        <f>IF(DADOS!E8062="","",DADOS!E8062)</f>
        <v/>
      </c>
      <c r="G8062" s="9" t="str">
        <f>IF(DADOS!F8062="","",DADOS!F8062)</f>
        <v/>
      </c>
      <c r="K8062" s="6" t="str">
        <f t="shared" si="630"/>
        <v/>
      </c>
      <c r="L8062" s="7" t="str">
        <f t="shared" si="631"/>
        <v/>
      </c>
      <c r="M8062" s="7" t="str">
        <f t="shared" si="628"/>
        <v/>
      </c>
      <c r="N8062" s="7" t="str">
        <f t="shared" si="632"/>
        <v/>
      </c>
      <c r="O8062" s="8"/>
      <c r="P8062" s="26"/>
      <c r="S8062" s="10" t="str">
        <f t="shared" si="629"/>
        <v/>
      </c>
    </row>
    <row r="8063" spans="5:19" x14ac:dyDescent="0.3">
      <c r="E8063" s="9" t="str">
        <f>IF(DADOS!C8063="","",DADOS!C8063)</f>
        <v/>
      </c>
      <c r="F8063" s="9" t="str">
        <f>IF(DADOS!E8063="","",DADOS!E8063)</f>
        <v/>
      </c>
      <c r="G8063" s="9" t="str">
        <f>IF(DADOS!F8063="","",DADOS!F8063)</f>
        <v/>
      </c>
      <c r="K8063" s="6" t="str">
        <f t="shared" si="630"/>
        <v/>
      </c>
      <c r="L8063" s="7" t="str">
        <f t="shared" si="631"/>
        <v/>
      </c>
      <c r="M8063" s="7" t="str">
        <f t="shared" si="628"/>
        <v/>
      </c>
      <c r="N8063" s="7" t="str">
        <f t="shared" si="632"/>
        <v/>
      </c>
      <c r="O8063" s="8"/>
      <c r="P8063" s="26"/>
      <c r="S8063" s="10" t="str">
        <f t="shared" si="629"/>
        <v/>
      </c>
    </row>
    <row r="8064" spans="5:19" x14ac:dyDescent="0.3">
      <c r="E8064" s="9" t="str">
        <f>IF(DADOS!C8064="","",DADOS!C8064)</f>
        <v/>
      </c>
      <c r="F8064" s="9" t="str">
        <f>IF(DADOS!E8064="","",DADOS!E8064)</f>
        <v/>
      </c>
      <c r="G8064" s="9" t="str">
        <f>IF(DADOS!F8064="","",DADOS!F8064)</f>
        <v/>
      </c>
      <c r="K8064" s="6" t="str">
        <f t="shared" si="630"/>
        <v/>
      </c>
      <c r="L8064" s="7" t="str">
        <f t="shared" si="631"/>
        <v/>
      </c>
      <c r="M8064" s="7" t="str">
        <f t="shared" si="628"/>
        <v/>
      </c>
      <c r="N8064" s="7" t="str">
        <f t="shared" si="632"/>
        <v/>
      </c>
      <c r="O8064" s="8"/>
      <c r="P8064" s="26"/>
      <c r="S8064" s="10" t="str">
        <f t="shared" si="629"/>
        <v/>
      </c>
    </row>
    <row r="8065" spans="5:19" x14ac:dyDescent="0.3">
      <c r="E8065" s="9" t="str">
        <f>IF(DADOS!C8065="","",DADOS!C8065)</f>
        <v/>
      </c>
      <c r="F8065" s="9" t="str">
        <f>IF(DADOS!E8065="","",DADOS!E8065)</f>
        <v/>
      </c>
      <c r="G8065" s="9" t="str">
        <f>IF(DADOS!F8065="","",DADOS!F8065)</f>
        <v/>
      </c>
      <c r="K8065" s="6" t="str">
        <f t="shared" si="630"/>
        <v/>
      </c>
      <c r="L8065" s="7" t="str">
        <f t="shared" si="631"/>
        <v/>
      </c>
      <c r="M8065" s="7" t="str">
        <f t="shared" si="628"/>
        <v/>
      </c>
      <c r="N8065" s="7" t="str">
        <f t="shared" si="632"/>
        <v/>
      </c>
      <c r="O8065" s="8"/>
      <c r="P8065" s="26"/>
      <c r="S8065" s="10" t="str">
        <f t="shared" si="629"/>
        <v/>
      </c>
    </row>
    <row r="8066" spans="5:19" x14ac:dyDescent="0.3">
      <c r="E8066" s="9" t="str">
        <f>IF(DADOS!C8066="","",DADOS!C8066)</f>
        <v/>
      </c>
      <c r="F8066" s="9" t="str">
        <f>IF(DADOS!E8066="","",DADOS!E8066)</f>
        <v/>
      </c>
      <c r="G8066" s="9" t="str">
        <f>IF(DADOS!F8066="","",DADOS!F8066)</f>
        <v/>
      </c>
      <c r="K8066" s="6" t="str">
        <f t="shared" si="630"/>
        <v/>
      </c>
      <c r="L8066" s="7" t="str">
        <f t="shared" si="631"/>
        <v/>
      </c>
      <c r="M8066" s="7" t="str">
        <f t="shared" si="628"/>
        <v/>
      </c>
      <c r="N8066" s="7" t="str">
        <f t="shared" si="632"/>
        <v/>
      </c>
      <c r="O8066" s="8"/>
      <c r="P8066" s="26"/>
      <c r="S8066" s="10" t="str">
        <f t="shared" si="629"/>
        <v/>
      </c>
    </row>
    <row r="8067" spans="5:19" x14ac:dyDescent="0.3">
      <c r="E8067" s="9" t="str">
        <f>IF(DADOS!C8067="","",DADOS!C8067)</f>
        <v/>
      </c>
      <c r="F8067" s="9" t="str">
        <f>IF(DADOS!E8067="","",DADOS!E8067)</f>
        <v/>
      </c>
      <c r="G8067" s="9" t="str">
        <f>IF(DADOS!F8067="","",DADOS!F8067)</f>
        <v/>
      </c>
      <c r="K8067" s="6" t="str">
        <f t="shared" si="630"/>
        <v/>
      </c>
      <c r="L8067" s="7" t="str">
        <f t="shared" si="631"/>
        <v/>
      </c>
      <c r="M8067" s="7" t="str">
        <f t="shared" ref="M8067:M8130" si="633">IF(L8067="","",L8067*G8067)</f>
        <v/>
      </c>
      <c r="N8067" s="7" t="str">
        <f t="shared" si="632"/>
        <v/>
      </c>
      <c r="O8067" s="8"/>
      <c r="P8067" s="26"/>
      <c r="S8067" s="10" t="str">
        <f t="shared" ref="S8067:S8130" si="634">IF(R8067="","",SUMIFS($N$3:$N$10000,$E$3:$E$10000,R8067))</f>
        <v/>
      </c>
    </row>
    <row r="8068" spans="5:19" x14ac:dyDescent="0.3">
      <c r="E8068" s="9" t="str">
        <f>IF(DADOS!C8068="","",DADOS!C8068)</f>
        <v/>
      </c>
      <c r="F8068" s="9" t="str">
        <f>IF(DADOS!E8068="","",DADOS!E8068)</f>
        <v/>
      </c>
      <c r="G8068" s="9" t="str">
        <f>IF(DADOS!F8068="","",DADOS!F8068)</f>
        <v/>
      </c>
      <c r="K8068" s="6" t="str">
        <f t="shared" ref="K8068:K8131" si="635">IF(F8068="","",F8068/PI())</f>
        <v/>
      </c>
      <c r="L8068" s="7" t="str">
        <f t="shared" ref="L8068:L8131" si="636">IF(K8068="","",(PI()*K8068^2)/40000)</f>
        <v/>
      </c>
      <c r="M8068" s="7" t="str">
        <f t="shared" si="633"/>
        <v/>
      </c>
      <c r="N8068" s="7" t="str">
        <f t="shared" ref="N8068:N8131" si="637">IF(M8068="","",M8068*N$1)</f>
        <v/>
      </c>
      <c r="O8068" s="8"/>
      <c r="P8068" s="26"/>
      <c r="S8068" s="10" t="str">
        <f t="shared" si="634"/>
        <v/>
      </c>
    </row>
    <row r="8069" spans="5:19" x14ac:dyDescent="0.3">
      <c r="E8069" s="9" t="str">
        <f>IF(DADOS!C8069="","",DADOS!C8069)</f>
        <v/>
      </c>
      <c r="F8069" s="9" t="str">
        <f>IF(DADOS!E8069="","",DADOS!E8069)</f>
        <v/>
      </c>
      <c r="G8069" s="9" t="str">
        <f>IF(DADOS!F8069="","",DADOS!F8069)</f>
        <v/>
      </c>
      <c r="K8069" s="6" t="str">
        <f t="shared" si="635"/>
        <v/>
      </c>
      <c r="L8069" s="7" t="str">
        <f t="shared" si="636"/>
        <v/>
      </c>
      <c r="M8069" s="7" t="str">
        <f t="shared" si="633"/>
        <v/>
      </c>
      <c r="N8069" s="7" t="str">
        <f t="shared" si="637"/>
        <v/>
      </c>
      <c r="O8069" s="8"/>
      <c r="P8069" s="26"/>
      <c r="S8069" s="10" t="str">
        <f t="shared" si="634"/>
        <v/>
      </c>
    </row>
    <row r="8070" spans="5:19" x14ac:dyDescent="0.3">
      <c r="E8070" s="9" t="str">
        <f>IF(DADOS!C8070="","",DADOS!C8070)</f>
        <v/>
      </c>
      <c r="F8070" s="9" t="str">
        <f>IF(DADOS!E8070="","",DADOS!E8070)</f>
        <v/>
      </c>
      <c r="G8070" s="9" t="str">
        <f>IF(DADOS!F8070="","",DADOS!F8070)</f>
        <v/>
      </c>
      <c r="K8070" s="6" t="str">
        <f t="shared" si="635"/>
        <v/>
      </c>
      <c r="L8070" s="7" t="str">
        <f t="shared" si="636"/>
        <v/>
      </c>
      <c r="M8070" s="7" t="str">
        <f t="shared" si="633"/>
        <v/>
      </c>
      <c r="N8070" s="7" t="str">
        <f t="shared" si="637"/>
        <v/>
      </c>
      <c r="O8070" s="8"/>
      <c r="P8070" s="26"/>
      <c r="S8070" s="10" t="str">
        <f t="shared" si="634"/>
        <v/>
      </c>
    </row>
    <row r="8071" spans="5:19" x14ac:dyDescent="0.3">
      <c r="E8071" s="9" t="str">
        <f>IF(DADOS!C8071="","",DADOS!C8071)</f>
        <v/>
      </c>
      <c r="F8071" s="9" t="str">
        <f>IF(DADOS!E8071="","",DADOS!E8071)</f>
        <v/>
      </c>
      <c r="G8071" s="9" t="str">
        <f>IF(DADOS!F8071="","",DADOS!F8071)</f>
        <v/>
      </c>
      <c r="K8071" s="6" t="str">
        <f t="shared" si="635"/>
        <v/>
      </c>
      <c r="L8071" s="7" t="str">
        <f t="shared" si="636"/>
        <v/>
      </c>
      <c r="M8071" s="7" t="str">
        <f t="shared" si="633"/>
        <v/>
      </c>
      <c r="N8071" s="7" t="str">
        <f t="shared" si="637"/>
        <v/>
      </c>
      <c r="O8071" s="8"/>
      <c r="P8071" s="26"/>
      <c r="S8071" s="10" t="str">
        <f t="shared" si="634"/>
        <v/>
      </c>
    </row>
    <row r="8072" spans="5:19" x14ac:dyDescent="0.3">
      <c r="E8072" s="9" t="str">
        <f>IF(DADOS!C8072="","",DADOS!C8072)</f>
        <v/>
      </c>
      <c r="F8072" s="9" t="str">
        <f>IF(DADOS!E8072="","",DADOS!E8072)</f>
        <v/>
      </c>
      <c r="G8072" s="9" t="str">
        <f>IF(DADOS!F8072="","",DADOS!F8072)</f>
        <v/>
      </c>
      <c r="K8072" s="6" t="str">
        <f t="shared" si="635"/>
        <v/>
      </c>
      <c r="L8072" s="7" t="str">
        <f t="shared" si="636"/>
        <v/>
      </c>
      <c r="M8072" s="7" t="str">
        <f t="shared" si="633"/>
        <v/>
      </c>
      <c r="N8072" s="7" t="str">
        <f t="shared" si="637"/>
        <v/>
      </c>
      <c r="O8072" s="8"/>
      <c r="P8072" s="26"/>
      <c r="S8072" s="10" t="str">
        <f t="shared" si="634"/>
        <v/>
      </c>
    </row>
    <row r="8073" spans="5:19" x14ac:dyDescent="0.3">
      <c r="E8073" s="9" t="str">
        <f>IF(DADOS!C8073="","",DADOS!C8073)</f>
        <v/>
      </c>
      <c r="F8073" s="9" t="str">
        <f>IF(DADOS!E8073="","",DADOS!E8073)</f>
        <v/>
      </c>
      <c r="G8073" s="9" t="str">
        <f>IF(DADOS!F8073="","",DADOS!F8073)</f>
        <v/>
      </c>
      <c r="K8073" s="6" t="str">
        <f t="shared" si="635"/>
        <v/>
      </c>
      <c r="L8073" s="7" t="str">
        <f t="shared" si="636"/>
        <v/>
      </c>
      <c r="M8073" s="7" t="str">
        <f t="shared" si="633"/>
        <v/>
      </c>
      <c r="N8073" s="7" t="str">
        <f t="shared" si="637"/>
        <v/>
      </c>
      <c r="O8073" s="8"/>
      <c r="P8073" s="26"/>
      <c r="S8073" s="10" t="str">
        <f t="shared" si="634"/>
        <v/>
      </c>
    </row>
    <row r="8074" spans="5:19" x14ac:dyDescent="0.3">
      <c r="E8074" s="9" t="str">
        <f>IF(DADOS!C8074="","",DADOS!C8074)</f>
        <v/>
      </c>
      <c r="F8074" s="9" t="str">
        <f>IF(DADOS!E8074="","",DADOS!E8074)</f>
        <v/>
      </c>
      <c r="G8074" s="9" t="str">
        <f>IF(DADOS!F8074="","",DADOS!F8074)</f>
        <v/>
      </c>
      <c r="K8074" s="6" t="str">
        <f t="shared" si="635"/>
        <v/>
      </c>
      <c r="L8074" s="7" t="str">
        <f t="shared" si="636"/>
        <v/>
      </c>
      <c r="M8074" s="7" t="str">
        <f t="shared" si="633"/>
        <v/>
      </c>
      <c r="N8074" s="7" t="str">
        <f t="shared" si="637"/>
        <v/>
      </c>
      <c r="O8074" s="8"/>
      <c r="P8074" s="26"/>
      <c r="S8074" s="10" t="str">
        <f t="shared" si="634"/>
        <v/>
      </c>
    </row>
    <row r="8075" spans="5:19" x14ac:dyDescent="0.3">
      <c r="E8075" s="9" t="str">
        <f>IF(DADOS!C8075="","",DADOS!C8075)</f>
        <v/>
      </c>
      <c r="F8075" s="9" t="str">
        <f>IF(DADOS!E8075="","",DADOS!E8075)</f>
        <v/>
      </c>
      <c r="G8075" s="9" t="str">
        <f>IF(DADOS!F8075="","",DADOS!F8075)</f>
        <v/>
      </c>
      <c r="K8075" s="6" t="str">
        <f t="shared" si="635"/>
        <v/>
      </c>
      <c r="L8075" s="7" t="str">
        <f t="shared" si="636"/>
        <v/>
      </c>
      <c r="M8075" s="7" t="str">
        <f t="shared" si="633"/>
        <v/>
      </c>
      <c r="N8075" s="7" t="str">
        <f t="shared" si="637"/>
        <v/>
      </c>
      <c r="O8075" s="8"/>
      <c r="P8075" s="26"/>
      <c r="S8075" s="10" t="str">
        <f t="shared" si="634"/>
        <v/>
      </c>
    </row>
    <row r="8076" spans="5:19" x14ac:dyDescent="0.3">
      <c r="E8076" s="9" t="str">
        <f>IF(DADOS!C8076="","",DADOS!C8076)</f>
        <v/>
      </c>
      <c r="F8076" s="9" t="str">
        <f>IF(DADOS!E8076="","",DADOS!E8076)</f>
        <v/>
      </c>
      <c r="G8076" s="9" t="str">
        <f>IF(DADOS!F8076="","",DADOS!F8076)</f>
        <v/>
      </c>
      <c r="K8076" s="6" t="str">
        <f t="shared" si="635"/>
        <v/>
      </c>
      <c r="L8076" s="7" t="str">
        <f t="shared" si="636"/>
        <v/>
      </c>
      <c r="M8076" s="7" t="str">
        <f t="shared" si="633"/>
        <v/>
      </c>
      <c r="N8076" s="7" t="str">
        <f t="shared" si="637"/>
        <v/>
      </c>
      <c r="O8076" s="8"/>
      <c r="P8076" s="26"/>
      <c r="S8076" s="10" t="str">
        <f t="shared" si="634"/>
        <v/>
      </c>
    </row>
    <row r="8077" spans="5:19" x14ac:dyDescent="0.3">
      <c r="E8077" s="9" t="str">
        <f>IF(DADOS!C8077="","",DADOS!C8077)</f>
        <v/>
      </c>
      <c r="F8077" s="9" t="str">
        <f>IF(DADOS!E8077="","",DADOS!E8077)</f>
        <v/>
      </c>
      <c r="G8077" s="9" t="str">
        <f>IF(DADOS!F8077="","",DADOS!F8077)</f>
        <v/>
      </c>
      <c r="K8077" s="6" t="str">
        <f t="shared" si="635"/>
        <v/>
      </c>
      <c r="L8077" s="7" t="str">
        <f t="shared" si="636"/>
        <v/>
      </c>
      <c r="M8077" s="7" t="str">
        <f t="shared" si="633"/>
        <v/>
      </c>
      <c r="N8077" s="7" t="str">
        <f t="shared" si="637"/>
        <v/>
      </c>
      <c r="O8077" s="8"/>
      <c r="P8077" s="26"/>
      <c r="S8077" s="10" t="str">
        <f t="shared" si="634"/>
        <v/>
      </c>
    </row>
    <row r="8078" spans="5:19" x14ac:dyDescent="0.3">
      <c r="E8078" s="9" t="str">
        <f>IF(DADOS!C8078="","",DADOS!C8078)</f>
        <v/>
      </c>
      <c r="F8078" s="9" t="str">
        <f>IF(DADOS!E8078="","",DADOS!E8078)</f>
        <v/>
      </c>
      <c r="G8078" s="9" t="str">
        <f>IF(DADOS!F8078="","",DADOS!F8078)</f>
        <v/>
      </c>
      <c r="K8078" s="6" t="str">
        <f t="shared" si="635"/>
        <v/>
      </c>
      <c r="L8078" s="7" t="str">
        <f t="shared" si="636"/>
        <v/>
      </c>
      <c r="M8078" s="7" t="str">
        <f t="shared" si="633"/>
        <v/>
      </c>
      <c r="N8078" s="7" t="str">
        <f t="shared" si="637"/>
        <v/>
      </c>
      <c r="O8078" s="8"/>
      <c r="P8078" s="26"/>
      <c r="S8078" s="10" t="str">
        <f t="shared" si="634"/>
        <v/>
      </c>
    </row>
    <row r="8079" spans="5:19" x14ac:dyDescent="0.3">
      <c r="E8079" s="9" t="str">
        <f>IF(DADOS!C8079="","",DADOS!C8079)</f>
        <v/>
      </c>
      <c r="F8079" s="9" t="str">
        <f>IF(DADOS!E8079="","",DADOS!E8079)</f>
        <v/>
      </c>
      <c r="G8079" s="9" t="str">
        <f>IF(DADOS!F8079="","",DADOS!F8079)</f>
        <v/>
      </c>
      <c r="K8079" s="6" t="str">
        <f t="shared" si="635"/>
        <v/>
      </c>
      <c r="L8079" s="7" t="str">
        <f t="shared" si="636"/>
        <v/>
      </c>
      <c r="M8079" s="7" t="str">
        <f t="shared" si="633"/>
        <v/>
      </c>
      <c r="N8079" s="7" t="str">
        <f t="shared" si="637"/>
        <v/>
      </c>
      <c r="O8079" s="8"/>
      <c r="P8079" s="26"/>
      <c r="S8079" s="10" t="str">
        <f t="shared" si="634"/>
        <v/>
      </c>
    </row>
    <row r="8080" spans="5:19" x14ac:dyDescent="0.3">
      <c r="E8080" s="9" t="str">
        <f>IF(DADOS!C8080="","",DADOS!C8080)</f>
        <v/>
      </c>
      <c r="F8080" s="9" t="str">
        <f>IF(DADOS!E8080="","",DADOS!E8080)</f>
        <v/>
      </c>
      <c r="G8080" s="9" t="str">
        <f>IF(DADOS!F8080="","",DADOS!F8080)</f>
        <v/>
      </c>
      <c r="K8080" s="6" t="str">
        <f t="shared" si="635"/>
        <v/>
      </c>
      <c r="L8080" s="7" t="str">
        <f t="shared" si="636"/>
        <v/>
      </c>
      <c r="M8080" s="7" t="str">
        <f t="shared" si="633"/>
        <v/>
      </c>
      <c r="N8080" s="7" t="str">
        <f t="shared" si="637"/>
        <v/>
      </c>
      <c r="O8080" s="8"/>
      <c r="P8080" s="26"/>
      <c r="S8080" s="10" t="str">
        <f t="shared" si="634"/>
        <v/>
      </c>
    </row>
    <row r="8081" spans="5:19" x14ac:dyDescent="0.3">
      <c r="E8081" s="9" t="str">
        <f>IF(DADOS!C8081="","",DADOS!C8081)</f>
        <v/>
      </c>
      <c r="F8081" s="9" t="str">
        <f>IF(DADOS!E8081="","",DADOS!E8081)</f>
        <v/>
      </c>
      <c r="G8081" s="9" t="str">
        <f>IF(DADOS!F8081="","",DADOS!F8081)</f>
        <v/>
      </c>
      <c r="K8081" s="6" t="str">
        <f t="shared" si="635"/>
        <v/>
      </c>
      <c r="L8081" s="7" t="str">
        <f t="shared" si="636"/>
        <v/>
      </c>
      <c r="M8081" s="7" t="str">
        <f t="shared" si="633"/>
        <v/>
      </c>
      <c r="N8081" s="7" t="str">
        <f t="shared" si="637"/>
        <v/>
      </c>
      <c r="O8081" s="8"/>
      <c r="P8081" s="26"/>
      <c r="S8081" s="10" t="str">
        <f t="shared" si="634"/>
        <v/>
      </c>
    </row>
    <row r="8082" spans="5:19" x14ac:dyDescent="0.3">
      <c r="E8082" s="9" t="str">
        <f>IF(DADOS!C8082="","",DADOS!C8082)</f>
        <v/>
      </c>
      <c r="F8082" s="9" t="str">
        <f>IF(DADOS!E8082="","",DADOS!E8082)</f>
        <v/>
      </c>
      <c r="G8082" s="9" t="str">
        <f>IF(DADOS!F8082="","",DADOS!F8082)</f>
        <v/>
      </c>
      <c r="K8082" s="6" t="str">
        <f t="shared" si="635"/>
        <v/>
      </c>
      <c r="L8082" s="7" t="str">
        <f t="shared" si="636"/>
        <v/>
      </c>
      <c r="M8082" s="7" t="str">
        <f t="shared" si="633"/>
        <v/>
      </c>
      <c r="N8082" s="7" t="str">
        <f t="shared" si="637"/>
        <v/>
      </c>
      <c r="O8082" s="8"/>
      <c r="P8082" s="26"/>
      <c r="S8082" s="10" t="str">
        <f t="shared" si="634"/>
        <v/>
      </c>
    </row>
    <row r="8083" spans="5:19" x14ac:dyDescent="0.3">
      <c r="E8083" s="9" t="str">
        <f>IF(DADOS!C8083="","",DADOS!C8083)</f>
        <v/>
      </c>
      <c r="F8083" s="9" t="str">
        <f>IF(DADOS!E8083="","",DADOS!E8083)</f>
        <v/>
      </c>
      <c r="G8083" s="9" t="str">
        <f>IF(DADOS!F8083="","",DADOS!F8083)</f>
        <v/>
      </c>
      <c r="K8083" s="6" t="str">
        <f t="shared" si="635"/>
        <v/>
      </c>
      <c r="L8083" s="7" t="str">
        <f t="shared" si="636"/>
        <v/>
      </c>
      <c r="M8083" s="7" t="str">
        <f t="shared" si="633"/>
        <v/>
      </c>
      <c r="N8083" s="7" t="str">
        <f t="shared" si="637"/>
        <v/>
      </c>
      <c r="O8083" s="8"/>
      <c r="P8083" s="26"/>
      <c r="S8083" s="10" t="str">
        <f t="shared" si="634"/>
        <v/>
      </c>
    </row>
    <row r="8084" spans="5:19" x14ac:dyDescent="0.3">
      <c r="E8084" s="9" t="str">
        <f>IF(DADOS!C8084="","",DADOS!C8084)</f>
        <v/>
      </c>
      <c r="F8084" s="9" t="str">
        <f>IF(DADOS!E8084="","",DADOS!E8084)</f>
        <v/>
      </c>
      <c r="G8084" s="9" t="str">
        <f>IF(DADOS!F8084="","",DADOS!F8084)</f>
        <v/>
      </c>
      <c r="K8084" s="6" t="str">
        <f t="shared" si="635"/>
        <v/>
      </c>
      <c r="L8084" s="7" t="str">
        <f t="shared" si="636"/>
        <v/>
      </c>
      <c r="M8084" s="7" t="str">
        <f t="shared" si="633"/>
        <v/>
      </c>
      <c r="N8084" s="7" t="str">
        <f t="shared" si="637"/>
        <v/>
      </c>
      <c r="O8084" s="8"/>
      <c r="P8084" s="26"/>
      <c r="S8084" s="10" t="str">
        <f t="shared" si="634"/>
        <v/>
      </c>
    </row>
    <row r="8085" spans="5:19" x14ac:dyDescent="0.3">
      <c r="E8085" s="9" t="str">
        <f>IF(DADOS!C8085="","",DADOS!C8085)</f>
        <v/>
      </c>
      <c r="F8085" s="9" t="str">
        <f>IF(DADOS!E8085="","",DADOS!E8085)</f>
        <v/>
      </c>
      <c r="G8085" s="9" t="str">
        <f>IF(DADOS!F8085="","",DADOS!F8085)</f>
        <v/>
      </c>
      <c r="K8085" s="6" t="str">
        <f t="shared" si="635"/>
        <v/>
      </c>
      <c r="L8085" s="7" t="str">
        <f t="shared" si="636"/>
        <v/>
      </c>
      <c r="M8085" s="7" t="str">
        <f t="shared" si="633"/>
        <v/>
      </c>
      <c r="N8085" s="7" t="str">
        <f t="shared" si="637"/>
        <v/>
      </c>
      <c r="O8085" s="8"/>
      <c r="P8085" s="26"/>
      <c r="S8085" s="10" t="str">
        <f t="shared" si="634"/>
        <v/>
      </c>
    </row>
    <row r="8086" spans="5:19" x14ac:dyDescent="0.3">
      <c r="E8086" s="9" t="str">
        <f>IF(DADOS!C8086="","",DADOS!C8086)</f>
        <v/>
      </c>
      <c r="F8086" s="9" t="str">
        <f>IF(DADOS!E8086="","",DADOS!E8086)</f>
        <v/>
      </c>
      <c r="G8086" s="9" t="str">
        <f>IF(DADOS!F8086="","",DADOS!F8086)</f>
        <v/>
      </c>
      <c r="K8086" s="6" t="str">
        <f t="shared" si="635"/>
        <v/>
      </c>
      <c r="L8086" s="7" t="str">
        <f t="shared" si="636"/>
        <v/>
      </c>
      <c r="M8086" s="7" t="str">
        <f t="shared" si="633"/>
        <v/>
      </c>
      <c r="N8086" s="7" t="str">
        <f t="shared" si="637"/>
        <v/>
      </c>
      <c r="O8086" s="8"/>
      <c r="P8086" s="26"/>
      <c r="S8086" s="10" t="str">
        <f t="shared" si="634"/>
        <v/>
      </c>
    </row>
    <row r="8087" spans="5:19" x14ac:dyDescent="0.3">
      <c r="E8087" s="9" t="str">
        <f>IF(DADOS!C8087="","",DADOS!C8087)</f>
        <v/>
      </c>
      <c r="F8087" s="9" t="str">
        <f>IF(DADOS!E8087="","",DADOS!E8087)</f>
        <v/>
      </c>
      <c r="G8087" s="9" t="str">
        <f>IF(DADOS!F8087="","",DADOS!F8087)</f>
        <v/>
      </c>
      <c r="K8087" s="6" t="str">
        <f t="shared" si="635"/>
        <v/>
      </c>
      <c r="L8087" s="7" t="str">
        <f t="shared" si="636"/>
        <v/>
      </c>
      <c r="M8087" s="7" t="str">
        <f t="shared" si="633"/>
        <v/>
      </c>
      <c r="N8087" s="7" t="str">
        <f t="shared" si="637"/>
        <v/>
      </c>
      <c r="O8087" s="8"/>
      <c r="P8087" s="26"/>
      <c r="S8087" s="10" t="str">
        <f t="shared" si="634"/>
        <v/>
      </c>
    </row>
    <row r="8088" spans="5:19" x14ac:dyDescent="0.3">
      <c r="E8088" s="9" t="str">
        <f>IF(DADOS!C8088="","",DADOS!C8088)</f>
        <v/>
      </c>
      <c r="F8088" s="9" t="str">
        <f>IF(DADOS!E8088="","",DADOS!E8088)</f>
        <v/>
      </c>
      <c r="G8088" s="9" t="str">
        <f>IF(DADOS!F8088="","",DADOS!F8088)</f>
        <v/>
      </c>
      <c r="K8088" s="6" t="str">
        <f t="shared" si="635"/>
        <v/>
      </c>
      <c r="L8088" s="7" t="str">
        <f t="shared" si="636"/>
        <v/>
      </c>
      <c r="M8088" s="7" t="str">
        <f t="shared" si="633"/>
        <v/>
      </c>
      <c r="N8088" s="7" t="str">
        <f t="shared" si="637"/>
        <v/>
      </c>
      <c r="O8088" s="8"/>
      <c r="P8088" s="26"/>
      <c r="S8088" s="10" t="str">
        <f t="shared" si="634"/>
        <v/>
      </c>
    </row>
    <row r="8089" spans="5:19" x14ac:dyDescent="0.3">
      <c r="E8089" s="9" t="str">
        <f>IF(DADOS!C8089="","",DADOS!C8089)</f>
        <v/>
      </c>
      <c r="F8089" s="9" t="str">
        <f>IF(DADOS!E8089="","",DADOS!E8089)</f>
        <v/>
      </c>
      <c r="G8089" s="9" t="str">
        <f>IF(DADOS!F8089="","",DADOS!F8089)</f>
        <v/>
      </c>
      <c r="K8089" s="6" t="str">
        <f t="shared" si="635"/>
        <v/>
      </c>
      <c r="L8089" s="7" t="str">
        <f t="shared" si="636"/>
        <v/>
      </c>
      <c r="M8089" s="7" t="str">
        <f t="shared" si="633"/>
        <v/>
      </c>
      <c r="N8089" s="7" t="str">
        <f t="shared" si="637"/>
        <v/>
      </c>
      <c r="O8089" s="8"/>
      <c r="P8089" s="26"/>
      <c r="S8089" s="10" t="str">
        <f t="shared" si="634"/>
        <v/>
      </c>
    </row>
    <row r="8090" spans="5:19" x14ac:dyDescent="0.3">
      <c r="E8090" s="9" t="str">
        <f>IF(DADOS!C8090="","",DADOS!C8090)</f>
        <v/>
      </c>
      <c r="F8090" s="9" t="str">
        <f>IF(DADOS!E8090="","",DADOS!E8090)</f>
        <v/>
      </c>
      <c r="G8090" s="9" t="str">
        <f>IF(DADOS!F8090="","",DADOS!F8090)</f>
        <v/>
      </c>
      <c r="K8090" s="6" t="str">
        <f t="shared" si="635"/>
        <v/>
      </c>
      <c r="L8090" s="7" t="str">
        <f t="shared" si="636"/>
        <v/>
      </c>
      <c r="M8090" s="7" t="str">
        <f t="shared" si="633"/>
        <v/>
      </c>
      <c r="N8090" s="7" t="str">
        <f t="shared" si="637"/>
        <v/>
      </c>
      <c r="O8090" s="8"/>
      <c r="P8090" s="26"/>
      <c r="S8090" s="10" t="str">
        <f t="shared" si="634"/>
        <v/>
      </c>
    </row>
    <row r="8091" spans="5:19" x14ac:dyDescent="0.3">
      <c r="E8091" s="9" t="str">
        <f>IF(DADOS!C8091="","",DADOS!C8091)</f>
        <v/>
      </c>
      <c r="F8091" s="9" t="str">
        <f>IF(DADOS!E8091="","",DADOS!E8091)</f>
        <v/>
      </c>
      <c r="G8091" s="9" t="str">
        <f>IF(DADOS!F8091="","",DADOS!F8091)</f>
        <v/>
      </c>
      <c r="K8091" s="6" t="str">
        <f t="shared" si="635"/>
        <v/>
      </c>
      <c r="L8091" s="7" t="str">
        <f t="shared" si="636"/>
        <v/>
      </c>
      <c r="M8091" s="7" t="str">
        <f t="shared" si="633"/>
        <v/>
      </c>
      <c r="N8091" s="7" t="str">
        <f t="shared" si="637"/>
        <v/>
      </c>
      <c r="O8091" s="8"/>
      <c r="P8091" s="26"/>
      <c r="S8091" s="10" t="str">
        <f t="shared" si="634"/>
        <v/>
      </c>
    </row>
    <row r="8092" spans="5:19" x14ac:dyDescent="0.3">
      <c r="E8092" s="9" t="str">
        <f>IF(DADOS!C8092="","",DADOS!C8092)</f>
        <v/>
      </c>
      <c r="F8092" s="9" t="str">
        <f>IF(DADOS!E8092="","",DADOS!E8092)</f>
        <v/>
      </c>
      <c r="G8092" s="9" t="str">
        <f>IF(DADOS!F8092="","",DADOS!F8092)</f>
        <v/>
      </c>
      <c r="K8092" s="6" t="str">
        <f t="shared" si="635"/>
        <v/>
      </c>
      <c r="L8092" s="7" t="str">
        <f t="shared" si="636"/>
        <v/>
      </c>
      <c r="M8092" s="7" t="str">
        <f t="shared" si="633"/>
        <v/>
      </c>
      <c r="N8092" s="7" t="str">
        <f t="shared" si="637"/>
        <v/>
      </c>
      <c r="O8092" s="8"/>
      <c r="P8092" s="26"/>
      <c r="S8092" s="10" t="str">
        <f t="shared" si="634"/>
        <v/>
      </c>
    </row>
    <row r="8093" spans="5:19" x14ac:dyDescent="0.3">
      <c r="E8093" s="9" t="str">
        <f>IF(DADOS!C8093="","",DADOS!C8093)</f>
        <v/>
      </c>
      <c r="F8093" s="9" t="str">
        <f>IF(DADOS!E8093="","",DADOS!E8093)</f>
        <v/>
      </c>
      <c r="G8093" s="9" t="str">
        <f>IF(DADOS!F8093="","",DADOS!F8093)</f>
        <v/>
      </c>
      <c r="K8093" s="6" t="str">
        <f t="shared" si="635"/>
        <v/>
      </c>
      <c r="L8093" s="7" t="str">
        <f t="shared" si="636"/>
        <v/>
      </c>
      <c r="M8093" s="7" t="str">
        <f t="shared" si="633"/>
        <v/>
      </c>
      <c r="N8093" s="7" t="str">
        <f t="shared" si="637"/>
        <v/>
      </c>
      <c r="O8093" s="8"/>
      <c r="P8093" s="26"/>
      <c r="S8093" s="10" t="str">
        <f t="shared" si="634"/>
        <v/>
      </c>
    </row>
    <row r="8094" spans="5:19" x14ac:dyDescent="0.3">
      <c r="E8094" s="9" t="str">
        <f>IF(DADOS!C8094="","",DADOS!C8094)</f>
        <v/>
      </c>
      <c r="F8094" s="9" t="str">
        <f>IF(DADOS!E8094="","",DADOS!E8094)</f>
        <v/>
      </c>
      <c r="G8094" s="9" t="str">
        <f>IF(DADOS!F8094="","",DADOS!F8094)</f>
        <v/>
      </c>
      <c r="K8094" s="6" t="str">
        <f t="shared" si="635"/>
        <v/>
      </c>
      <c r="L8094" s="7" t="str">
        <f t="shared" si="636"/>
        <v/>
      </c>
      <c r="M8094" s="7" t="str">
        <f t="shared" si="633"/>
        <v/>
      </c>
      <c r="N8094" s="7" t="str">
        <f t="shared" si="637"/>
        <v/>
      </c>
      <c r="O8094" s="8"/>
      <c r="P8094" s="26"/>
      <c r="S8094" s="10" t="str">
        <f t="shared" si="634"/>
        <v/>
      </c>
    </row>
    <row r="8095" spans="5:19" x14ac:dyDescent="0.3">
      <c r="E8095" s="9" t="str">
        <f>IF(DADOS!C8095="","",DADOS!C8095)</f>
        <v/>
      </c>
      <c r="F8095" s="9" t="str">
        <f>IF(DADOS!E8095="","",DADOS!E8095)</f>
        <v/>
      </c>
      <c r="G8095" s="9" t="str">
        <f>IF(DADOS!F8095="","",DADOS!F8095)</f>
        <v/>
      </c>
      <c r="K8095" s="6" t="str">
        <f t="shared" si="635"/>
        <v/>
      </c>
      <c r="L8095" s="7" t="str">
        <f t="shared" si="636"/>
        <v/>
      </c>
      <c r="M8095" s="7" t="str">
        <f t="shared" si="633"/>
        <v/>
      </c>
      <c r="N8095" s="7" t="str">
        <f t="shared" si="637"/>
        <v/>
      </c>
      <c r="O8095" s="8"/>
      <c r="P8095" s="26"/>
      <c r="S8095" s="10" t="str">
        <f t="shared" si="634"/>
        <v/>
      </c>
    </row>
    <row r="8096" spans="5:19" x14ac:dyDescent="0.3">
      <c r="E8096" s="9" t="str">
        <f>IF(DADOS!C8096="","",DADOS!C8096)</f>
        <v/>
      </c>
      <c r="F8096" s="9" t="str">
        <f>IF(DADOS!E8096="","",DADOS!E8096)</f>
        <v/>
      </c>
      <c r="G8096" s="9" t="str">
        <f>IF(DADOS!F8096="","",DADOS!F8096)</f>
        <v/>
      </c>
      <c r="K8096" s="6" t="str">
        <f t="shared" si="635"/>
        <v/>
      </c>
      <c r="L8096" s="7" t="str">
        <f t="shared" si="636"/>
        <v/>
      </c>
      <c r="M8096" s="7" t="str">
        <f t="shared" si="633"/>
        <v/>
      </c>
      <c r="N8096" s="7" t="str">
        <f t="shared" si="637"/>
        <v/>
      </c>
      <c r="O8096" s="8"/>
      <c r="P8096" s="26"/>
      <c r="S8096" s="10" t="str">
        <f t="shared" si="634"/>
        <v/>
      </c>
    </row>
    <row r="8097" spans="5:19" x14ac:dyDescent="0.3">
      <c r="E8097" s="9" t="str">
        <f>IF(DADOS!C8097="","",DADOS!C8097)</f>
        <v/>
      </c>
      <c r="F8097" s="9" t="str">
        <f>IF(DADOS!E8097="","",DADOS!E8097)</f>
        <v/>
      </c>
      <c r="G8097" s="9" t="str">
        <f>IF(DADOS!F8097="","",DADOS!F8097)</f>
        <v/>
      </c>
      <c r="K8097" s="6" t="str">
        <f t="shared" si="635"/>
        <v/>
      </c>
      <c r="L8097" s="7" t="str">
        <f t="shared" si="636"/>
        <v/>
      </c>
      <c r="M8097" s="7" t="str">
        <f t="shared" si="633"/>
        <v/>
      </c>
      <c r="N8097" s="7" t="str">
        <f t="shared" si="637"/>
        <v/>
      </c>
      <c r="O8097" s="8"/>
      <c r="P8097" s="26"/>
      <c r="S8097" s="10" t="str">
        <f t="shared" si="634"/>
        <v/>
      </c>
    </row>
    <row r="8098" spans="5:19" x14ac:dyDescent="0.3">
      <c r="E8098" s="9" t="str">
        <f>IF(DADOS!C8098="","",DADOS!C8098)</f>
        <v/>
      </c>
      <c r="F8098" s="9" t="str">
        <f>IF(DADOS!E8098="","",DADOS!E8098)</f>
        <v/>
      </c>
      <c r="G8098" s="9" t="str">
        <f>IF(DADOS!F8098="","",DADOS!F8098)</f>
        <v/>
      </c>
      <c r="K8098" s="6" t="str">
        <f t="shared" si="635"/>
        <v/>
      </c>
      <c r="L8098" s="7" t="str">
        <f t="shared" si="636"/>
        <v/>
      </c>
      <c r="M8098" s="7" t="str">
        <f t="shared" si="633"/>
        <v/>
      </c>
      <c r="N8098" s="7" t="str">
        <f t="shared" si="637"/>
        <v/>
      </c>
      <c r="O8098" s="8"/>
      <c r="P8098" s="26"/>
      <c r="S8098" s="10" t="str">
        <f t="shared" si="634"/>
        <v/>
      </c>
    </row>
    <row r="8099" spans="5:19" x14ac:dyDescent="0.3">
      <c r="E8099" s="9" t="str">
        <f>IF(DADOS!C8099="","",DADOS!C8099)</f>
        <v/>
      </c>
      <c r="F8099" s="9" t="str">
        <f>IF(DADOS!E8099="","",DADOS!E8099)</f>
        <v/>
      </c>
      <c r="G8099" s="9" t="str">
        <f>IF(DADOS!F8099="","",DADOS!F8099)</f>
        <v/>
      </c>
      <c r="K8099" s="6" t="str">
        <f t="shared" si="635"/>
        <v/>
      </c>
      <c r="L8099" s="7" t="str">
        <f t="shared" si="636"/>
        <v/>
      </c>
      <c r="M8099" s="7" t="str">
        <f t="shared" si="633"/>
        <v/>
      </c>
      <c r="N8099" s="7" t="str">
        <f t="shared" si="637"/>
        <v/>
      </c>
      <c r="O8099" s="8"/>
      <c r="P8099" s="26"/>
      <c r="S8099" s="10" t="str">
        <f t="shared" si="634"/>
        <v/>
      </c>
    </row>
    <row r="8100" spans="5:19" x14ac:dyDescent="0.3">
      <c r="E8100" s="9" t="str">
        <f>IF(DADOS!C8100="","",DADOS!C8100)</f>
        <v/>
      </c>
      <c r="F8100" s="9" t="str">
        <f>IF(DADOS!E8100="","",DADOS!E8100)</f>
        <v/>
      </c>
      <c r="G8100" s="9" t="str">
        <f>IF(DADOS!F8100="","",DADOS!F8100)</f>
        <v/>
      </c>
      <c r="K8100" s="6" t="str">
        <f t="shared" si="635"/>
        <v/>
      </c>
      <c r="L8100" s="7" t="str">
        <f t="shared" si="636"/>
        <v/>
      </c>
      <c r="M8100" s="7" t="str">
        <f t="shared" si="633"/>
        <v/>
      </c>
      <c r="N8100" s="7" t="str">
        <f t="shared" si="637"/>
        <v/>
      </c>
      <c r="O8100" s="8"/>
      <c r="P8100" s="26"/>
      <c r="S8100" s="10" t="str">
        <f t="shared" si="634"/>
        <v/>
      </c>
    </row>
    <row r="8101" spans="5:19" x14ac:dyDescent="0.3">
      <c r="E8101" s="9" t="str">
        <f>IF(DADOS!C8101="","",DADOS!C8101)</f>
        <v/>
      </c>
      <c r="F8101" s="9" t="str">
        <f>IF(DADOS!E8101="","",DADOS!E8101)</f>
        <v/>
      </c>
      <c r="G8101" s="9" t="str">
        <f>IF(DADOS!F8101="","",DADOS!F8101)</f>
        <v/>
      </c>
      <c r="K8101" s="6" t="str">
        <f t="shared" si="635"/>
        <v/>
      </c>
      <c r="L8101" s="7" t="str">
        <f t="shared" si="636"/>
        <v/>
      </c>
      <c r="M8101" s="7" t="str">
        <f t="shared" si="633"/>
        <v/>
      </c>
      <c r="N8101" s="7" t="str">
        <f t="shared" si="637"/>
        <v/>
      </c>
      <c r="O8101" s="8"/>
      <c r="P8101" s="26"/>
      <c r="S8101" s="10" t="str">
        <f t="shared" si="634"/>
        <v/>
      </c>
    </row>
    <row r="8102" spans="5:19" x14ac:dyDescent="0.3">
      <c r="E8102" s="9" t="str">
        <f>IF(DADOS!C8102="","",DADOS!C8102)</f>
        <v/>
      </c>
      <c r="F8102" s="9" t="str">
        <f>IF(DADOS!E8102="","",DADOS!E8102)</f>
        <v/>
      </c>
      <c r="G8102" s="9" t="str">
        <f>IF(DADOS!F8102="","",DADOS!F8102)</f>
        <v/>
      </c>
      <c r="K8102" s="6" t="str">
        <f t="shared" si="635"/>
        <v/>
      </c>
      <c r="L8102" s="7" t="str">
        <f t="shared" si="636"/>
        <v/>
      </c>
      <c r="M8102" s="7" t="str">
        <f t="shared" si="633"/>
        <v/>
      </c>
      <c r="N8102" s="7" t="str">
        <f t="shared" si="637"/>
        <v/>
      </c>
      <c r="O8102" s="8"/>
      <c r="P8102" s="26"/>
      <c r="S8102" s="10" t="str">
        <f t="shared" si="634"/>
        <v/>
      </c>
    </row>
    <row r="8103" spans="5:19" x14ac:dyDescent="0.3">
      <c r="E8103" s="9" t="str">
        <f>IF(DADOS!C8103="","",DADOS!C8103)</f>
        <v/>
      </c>
      <c r="F8103" s="9" t="str">
        <f>IF(DADOS!E8103="","",DADOS!E8103)</f>
        <v/>
      </c>
      <c r="G8103" s="9" t="str">
        <f>IF(DADOS!F8103="","",DADOS!F8103)</f>
        <v/>
      </c>
      <c r="K8103" s="6" t="str">
        <f t="shared" si="635"/>
        <v/>
      </c>
      <c r="L8103" s="7" t="str">
        <f t="shared" si="636"/>
        <v/>
      </c>
      <c r="M8103" s="7" t="str">
        <f t="shared" si="633"/>
        <v/>
      </c>
      <c r="N8103" s="7" t="str">
        <f t="shared" si="637"/>
        <v/>
      </c>
      <c r="O8103" s="8"/>
      <c r="P8103" s="26"/>
      <c r="S8103" s="10" t="str">
        <f t="shared" si="634"/>
        <v/>
      </c>
    </row>
    <row r="8104" spans="5:19" x14ac:dyDescent="0.3">
      <c r="E8104" s="9" t="str">
        <f>IF(DADOS!C8104="","",DADOS!C8104)</f>
        <v/>
      </c>
      <c r="F8104" s="9" t="str">
        <f>IF(DADOS!E8104="","",DADOS!E8104)</f>
        <v/>
      </c>
      <c r="G8104" s="9" t="str">
        <f>IF(DADOS!F8104="","",DADOS!F8104)</f>
        <v/>
      </c>
      <c r="K8104" s="6" t="str">
        <f t="shared" si="635"/>
        <v/>
      </c>
      <c r="L8104" s="7" t="str">
        <f t="shared" si="636"/>
        <v/>
      </c>
      <c r="M8104" s="7" t="str">
        <f t="shared" si="633"/>
        <v/>
      </c>
      <c r="N8104" s="7" t="str">
        <f t="shared" si="637"/>
        <v/>
      </c>
      <c r="O8104" s="8"/>
      <c r="P8104" s="26"/>
      <c r="S8104" s="10" t="str">
        <f t="shared" si="634"/>
        <v/>
      </c>
    </row>
    <row r="8105" spans="5:19" x14ac:dyDescent="0.3">
      <c r="E8105" s="9" t="str">
        <f>IF(DADOS!C8105="","",DADOS!C8105)</f>
        <v/>
      </c>
      <c r="F8105" s="9" t="str">
        <f>IF(DADOS!E8105="","",DADOS!E8105)</f>
        <v/>
      </c>
      <c r="G8105" s="9" t="str">
        <f>IF(DADOS!F8105="","",DADOS!F8105)</f>
        <v/>
      </c>
      <c r="K8105" s="6" t="str">
        <f t="shared" si="635"/>
        <v/>
      </c>
      <c r="L8105" s="7" t="str">
        <f t="shared" si="636"/>
        <v/>
      </c>
      <c r="M8105" s="7" t="str">
        <f t="shared" si="633"/>
        <v/>
      </c>
      <c r="N8105" s="7" t="str">
        <f t="shared" si="637"/>
        <v/>
      </c>
      <c r="O8105" s="8"/>
      <c r="P8105" s="26"/>
      <c r="S8105" s="10" t="str">
        <f t="shared" si="634"/>
        <v/>
      </c>
    </row>
    <row r="8106" spans="5:19" x14ac:dyDescent="0.3">
      <c r="E8106" s="9" t="str">
        <f>IF(DADOS!C8106="","",DADOS!C8106)</f>
        <v/>
      </c>
      <c r="F8106" s="9" t="str">
        <f>IF(DADOS!E8106="","",DADOS!E8106)</f>
        <v/>
      </c>
      <c r="G8106" s="9" t="str">
        <f>IF(DADOS!F8106="","",DADOS!F8106)</f>
        <v/>
      </c>
      <c r="K8106" s="6" t="str">
        <f t="shared" si="635"/>
        <v/>
      </c>
      <c r="L8106" s="7" t="str">
        <f t="shared" si="636"/>
        <v/>
      </c>
      <c r="M8106" s="7" t="str">
        <f t="shared" si="633"/>
        <v/>
      </c>
      <c r="N8106" s="7" t="str">
        <f t="shared" si="637"/>
        <v/>
      </c>
      <c r="O8106" s="8"/>
      <c r="P8106" s="26"/>
      <c r="S8106" s="10" t="str">
        <f t="shared" si="634"/>
        <v/>
      </c>
    </row>
    <row r="8107" spans="5:19" x14ac:dyDescent="0.3">
      <c r="E8107" s="9" t="str">
        <f>IF(DADOS!C8107="","",DADOS!C8107)</f>
        <v/>
      </c>
      <c r="F8107" s="9" t="str">
        <f>IF(DADOS!E8107="","",DADOS!E8107)</f>
        <v/>
      </c>
      <c r="G8107" s="9" t="str">
        <f>IF(DADOS!F8107="","",DADOS!F8107)</f>
        <v/>
      </c>
      <c r="K8107" s="6" t="str">
        <f t="shared" si="635"/>
        <v/>
      </c>
      <c r="L8107" s="7" t="str">
        <f t="shared" si="636"/>
        <v/>
      </c>
      <c r="M8107" s="7" t="str">
        <f t="shared" si="633"/>
        <v/>
      </c>
      <c r="N8107" s="7" t="str">
        <f t="shared" si="637"/>
        <v/>
      </c>
      <c r="O8107" s="8"/>
      <c r="P8107" s="26"/>
      <c r="S8107" s="10" t="str">
        <f t="shared" si="634"/>
        <v/>
      </c>
    </row>
    <row r="8108" spans="5:19" x14ac:dyDescent="0.3">
      <c r="E8108" s="9" t="str">
        <f>IF(DADOS!C8108="","",DADOS!C8108)</f>
        <v/>
      </c>
      <c r="F8108" s="9" t="str">
        <f>IF(DADOS!E8108="","",DADOS!E8108)</f>
        <v/>
      </c>
      <c r="G8108" s="9" t="str">
        <f>IF(DADOS!F8108="","",DADOS!F8108)</f>
        <v/>
      </c>
      <c r="K8108" s="6" t="str">
        <f t="shared" si="635"/>
        <v/>
      </c>
      <c r="L8108" s="7" t="str">
        <f t="shared" si="636"/>
        <v/>
      </c>
      <c r="M8108" s="7" t="str">
        <f t="shared" si="633"/>
        <v/>
      </c>
      <c r="N8108" s="7" t="str">
        <f t="shared" si="637"/>
        <v/>
      </c>
      <c r="O8108" s="8"/>
      <c r="P8108" s="26"/>
      <c r="S8108" s="10" t="str">
        <f t="shared" si="634"/>
        <v/>
      </c>
    </row>
    <row r="8109" spans="5:19" x14ac:dyDescent="0.3">
      <c r="E8109" s="9" t="str">
        <f>IF(DADOS!C8109="","",DADOS!C8109)</f>
        <v/>
      </c>
      <c r="F8109" s="9" t="str">
        <f>IF(DADOS!E8109="","",DADOS!E8109)</f>
        <v/>
      </c>
      <c r="G8109" s="9" t="str">
        <f>IF(DADOS!F8109="","",DADOS!F8109)</f>
        <v/>
      </c>
      <c r="K8109" s="6" t="str">
        <f t="shared" si="635"/>
        <v/>
      </c>
      <c r="L8109" s="7" t="str">
        <f t="shared" si="636"/>
        <v/>
      </c>
      <c r="M8109" s="7" t="str">
        <f t="shared" si="633"/>
        <v/>
      </c>
      <c r="N8109" s="7" t="str">
        <f t="shared" si="637"/>
        <v/>
      </c>
      <c r="O8109" s="8"/>
      <c r="P8109" s="26"/>
      <c r="S8109" s="10" t="str">
        <f t="shared" si="634"/>
        <v/>
      </c>
    </row>
    <row r="8110" spans="5:19" x14ac:dyDescent="0.3">
      <c r="E8110" s="9" t="str">
        <f>IF(DADOS!C8110="","",DADOS!C8110)</f>
        <v/>
      </c>
      <c r="F8110" s="9" t="str">
        <f>IF(DADOS!E8110="","",DADOS!E8110)</f>
        <v/>
      </c>
      <c r="G8110" s="9" t="str">
        <f>IF(DADOS!F8110="","",DADOS!F8110)</f>
        <v/>
      </c>
      <c r="K8110" s="6" t="str">
        <f t="shared" si="635"/>
        <v/>
      </c>
      <c r="L8110" s="7" t="str">
        <f t="shared" si="636"/>
        <v/>
      </c>
      <c r="M8110" s="7" t="str">
        <f t="shared" si="633"/>
        <v/>
      </c>
      <c r="N8110" s="7" t="str">
        <f t="shared" si="637"/>
        <v/>
      </c>
      <c r="O8110" s="8"/>
      <c r="P8110" s="26"/>
      <c r="S8110" s="10" t="str">
        <f t="shared" si="634"/>
        <v/>
      </c>
    </row>
    <row r="8111" spans="5:19" x14ac:dyDescent="0.3">
      <c r="E8111" s="9" t="str">
        <f>IF(DADOS!C8111="","",DADOS!C8111)</f>
        <v/>
      </c>
      <c r="F8111" s="9" t="str">
        <f>IF(DADOS!E8111="","",DADOS!E8111)</f>
        <v/>
      </c>
      <c r="G8111" s="9" t="str">
        <f>IF(DADOS!F8111="","",DADOS!F8111)</f>
        <v/>
      </c>
      <c r="K8111" s="6" t="str">
        <f t="shared" si="635"/>
        <v/>
      </c>
      <c r="L8111" s="7" t="str">
        <f t="shared" si="636"/>
        <v/>
      </c>
      <c r="M8111" s="7" t="str">
        <f t="shared" si="633"/>
        <v/>
      </c>
      <c r="N8111" s="7" t="str">
        <f t="shared" si="637"/>
        <v/>
      </c>
      <c r="O8111" s="8"/>
      <c r="P8111" s="26"/>
      <c r="S8111" s="10" t="str">
        <f t="shared" si="634"/>
        <v/>
      </c>
    </row>
    <row r="8112" spans="5:19" x14ac:dyDescent="0.3">
      <c r="E8112" s="9" t="str">
        <f>IF(DADOS!C8112="","",DADOS!C8112)</f>
        <v/>
      </c>
      <c r="F8112" s="9" t="str">
        <f>IF(DADOS!E8112="","",DADOS!E8112)</f>
        <v/>
      </c>
      <c r="G8112" s="9" t="str">
        <f>IF(DADOS!F8112="","",DADOS!F8112)</f>
        <v/>
      </c>
      <c r="K8112" s="6" t="str">
        <f t="shared" si="635"/>
        <v/>
      </c>
      <c r="L8112" s="7" t="str">
        <f t="shared" si="636"/>
        <v/>
      </c>
      <c r="M8112" s="7" t="str">
        <f t="shared" si="633"/>
        <v/>
      </c>
      <c r="N8112" s="7" t="str">
        <f t="shared" si="637"/>
        <v/>
      </c>
      <c r="O8112" s="8"/>
      <c r="P8112" s="26"/>
      <c r="S8112" s="10" t="str">
        <f t="shared" si="634"/>
        <v/>
      </c>
    </row>
    <row r="8113" spans="5:19" x14ac:dyDescent="0.3">
      <c r="E8113" s="9" t="str">
        <f>IF(DADOS!C8113="","",DADOS!C8113)</f>
        <v/>
      </c>
      <c r="F8113" s="9" t="str">
        <f>IF(DADOS!E8113="","",DADOS!E8113)</f>
        <v/>
      </c>
      <c r="G8113" s="9" t="str">
        <f>IF(DADOS!F8113="","",DADOS!F8113)</f>
        <v/>
      </c>
      <c r="K8113" s="6" t="str">
        <f t="shared" si="635"/>
        <v/>
      </c>
      <c r="L8113" s="7" t="str">
        <f t="shared" si="636"/>
        <v/>
      </c>
      <c r="M8113" s="7" t="str">
        <f t="shared" si="633"/>
        <v/>
      </c>
      <c r="N8113" s="7" t="str">
        <f t="shared" si="637"/>
        <v/>
      </c>
      <c r="O8113" s="8"/>
      <c r="P8113" s="26"/>
      <c r="S8113" s="10" t="str">
        <f t="shared" si="634"/>
        <v/>
      </c>
    </row>
    <row r="8114" spans="5:19" x14ac:dyDescent="0.3">
      <c r="E8114" s="9" t="str">
        <f>IF(DADOS!C8114="","",DADOS!C8114)</f>
        <v/>
      </c>
      <c r="F8114" s="9" t="str">
        <f>IF(DADOS!E8114="","",DADOS!E8114)</f>
        <v/>
      </c>
      <c r="G8114" s="9" t="str">
        <f>IF(DADOS!F8114="","",DADOS!F8114)</f>
        <v/>
      </c>
      <c r="K8114" s="6" t="str">
        <f t="shared" si="635"/>
        <v/>
      </c>
      <c r="L8114" s="7" t="str">
        <f t="shared" si="636"/>
        <v/>
      </c>
      <c r="M8114" s="7" t="str">
        <f t="shared" si="633"/>
        <v/>
      </c>
      <c r="N8114" s="7" t="str">
        <f t="shared" si="637"/>
        <v/>
      </c>
      <c r="O8114" s="8"/>
      <c r="P8114" s="26"/>
      <c r="S8114" s="10" t="str">
        <f t="shared" si="634"/>
        <v/>
      </c>
    </row>
    <row r="8115" spans="5:19" x14ac:dyDescent="0.3">
      <c r="E8115" s="9" t="str">
        <f>IF(DADOS!C8115="","",DADOS!C8115)</f>
        <v/>
      </c>
      <c r="F8115" s="9" t="str">
        <f>IF(DADOS!E8115="","",DADOS!E8115)</f>
        <v/>
      </c>
      <c r="G8115" s="9" t="str">
        <f>IF(DADOS!F8115="","",DADOS!F8115)</f>
        <v/>
      </c>
      <c r="K8115" s="6" t="str">
        <f t="shared" si="635"/>
        <v/>
      </c>
      <c r="L8115" s="7" t="str">
        <f t="shared" si="636"/>
        <v/>
      </c>
      <c r="M8115" s="7" t="str">
        <f t="shared" si="633"/>
        <v/>
      </c>
      <c r="N8115" s="7" t="str">
        <f t="shared" si="637"/>
        <v/>
      </c>
      <c r="O8115" s="8"/>
      <c r="P8115" s="26"/>
      <c r="S8115" s="10" t="str">
        <f t="shared" si="634"/>
        <v/>
      </c>
    </row>
    <row r="8116" spans="5:19" x14ac:dyDescent="0.3">
      <c r="E8116" s="9" t="str">
        <f>IF(DADOS!C8116="","",DADOS!C8116)</f>
        <v/>
      </c>
      <c r="F8116" s="9" t="str">
        <f>IF(DADOS!E8116="","",DADOS!E8116)</f>
        <v/>
      </c>
      <c r="G8116" s="9" t="str">
        <f>IF(DADOS!F8116="","",DADOS!F8116)</f>
        <v/>
      </c>
      <c r="K8116" s="6" t="str">
        <f t="shared" si="635"/>
        <v/>
      </c>
      <c r="L8116" s="7" t="str">
        <f t="shared" si="636"/>
        <v/>
      </c>
      <c r="M8116" s="7" t="str">
        <f t="shared" si="633"/>
        <v/>
      </c>
      <c r="N8116" s="7" t="str">
        <f t="shared" si="637"/>
        <v/>
      </c>
      <c r="O8116" s="8"/>
      <c r="P8116" s="26"/>
      <c r="S8116" s="10" t="str">
        <f t="shared" si="634"/>
        <v/>
      </c>
    </row>
    <row r="8117" spans="5:19" x14ac:dyDescent="0.3">
      <c r="E8117" s="9" t="str">
        <f>IF(DADOS!C8117="","",DADOS!C8117)</f>
        <v/>
      </c>
      <c r="F8117" s="9" t="str">
        <f>IF(DADOS!E8117="","",DADOS!E8117)</f>
        <v/>
      </c>
      <c r="G8117" s="9" t="str">
        <f>IF(DADOS!F8117="","",DADOS!F8117)</f>
        <v/>
      </c>
      <c r="K8117" s="6" t="str">
        <f t="shared" si="635"/>
        <v/>
      </c>
      <c r="L8117" s="7" t="str">
        <f t="shared" si="636"/>
        <v/>
      </c>
      <c r="M8117" s="7" t="str">
        <f t="shared" si="633"/>
        <v/>
      </c>
      <c r="N8117" s="7" t="str">
        <f t="shared" si="637"/>
        <v/>
      </c>
      <c r="O8117" s="8"/>
      <c r="P8117" s="26"/>
      <c r="S8117" s="10" t="str">
        <f t="shared" si="634"/>
        <v/>
      </c>
    </row>
    <row r="8118" spans="5:19" x14ac:dyDescent="0.3">
      <c r="E8118" s="9" t="str">
        <f>IF(DADOS!C8118="","",DADOS!C8118)</f>
        <v/>
      </c>
      <c r="F8118" s="9" t="str">
        <f>IF(DADOS!E8118="","",DADOS!E8118)</f>
        <v/>
      </c>
      <c r="G8118" s="9" t="str">
        <f>IF(DADOS!F8118="","",DADOS!F8118)</f>
        <v/>
      </c>
      <c r="K8118" s="6" t="str">
        <f t="shared" si="635"/>
        <v/>
      </c>
      <c r="L8118" s="7" t="str">
        <f t="shared" si="636"/>
        <v/>
      </c>
      <c r="M8118" s="7" t="str">
        <f t="shared" si="633"/>
        <v/>
      </c>
      <c r="N8118" s="7" t="str">
        <f t="shared" si="637"/>
        <v/>
      </c>
      <c r="O8118" s="8"/>
      <c r="P8118" s="26"/>
      <c r="S8118" s="10" t="str">
        <f t="shared" si="634"/>
        <v/>
      </c>
    </row>
    <row r="8119" spans="5:19" x14ac:dyDescent="0.3">
      <c r="E8119" s="9" t="str">
        <f>IF(DADOS!C8119="","",DADOS!C8119)</f>
        <v/>
      </c>
      <c r="F8119" s="9" t="str">
        <f>IF(DADOS!E8119="","",DADOS!E8119)</f>
        <v/>
      </c>
      <c r="G8119" s="9" t="str">
        <f>IF(DADOS!F8119="","",DADOS!F8119)</f>
        <v/>
      </c>
      <c r="K8119" s="6" t="str">
        <f t="shared" si="635"/>
        <v/>
      </c>
      <c r="L8119" s="7" t="str">
        <f t="shared" si="636"/>
        <v/>
      </c>
      <c r="M8119" s="7" t="str">
        <f t="shared" si="633"/>
        <v/>
      </c>
      <c r="N8119" s="7" t="str">
        <f t="shared" si="637"/>
        <v/>
      </c>
      <c r="O8119" s="8"/>
      <c r="P8119" s="26"/>
      <c r="S8119" s="10" t="str">
        <f t="shared" si="634"/>
        <v/>
      </c>
    </row>
    <row r="8120" spans="5:19" x14ac:dyDescent="0.3">
      <c r="E8120" s="9" t="str">
        <f>IF(DADOS!C8120="","",DADOS!C8120)</f>
        <v/>
      </c>
      <c r="F8120" s="9" t="str">
        <f>IF(DADOS!E8120="","",DADOS!E8120)</f>
        <v/>
      </c>
      <c r="G8120" s="9" t="str">
        <f>IF(DADOS!F8120="","",DADOS!F8120)</f>
        <v/>
      </c>
      <c r="K8120" s="6" t="str">
        <f t="shared" si="635"/>
        <v/>
      </c>
      <c r="L8120" s="7" t="str">
        <f t="shared" si="636"/>
        <v/>
      </c>
      <c r="M8120" s="7" t="str">
        <f t="shared" si="633"/>
        <v/>
      </c>
      <c r="N8120" s="7" t="str">
        <f t="shared" si="637"/>
        <v/>
      </c>
      <c r="O8120" s="8"/>
      <c r="P8120" s="26"/>
      <c r="S8120" s="10" t="str">
        <f t="shared" si="634"/>
        <v/>
      </c>
    </row>
    <row r="8121" spans="5:19" x14ac:dyDescent="0.3">
      <c r="E8121" s="9" t="str">
        <f>IF(DADOS!C8121="","",DADOS!C8121)</f>
        <v/>
      </c>
      <c r="F8121" s="9" t="str">
        <f>IF(DADOS!E8121="","",DADOS!E8121)</f>
        <v/>
      </c>
      <c r="G8121" s="9" t="str">
        <f>IF(DADOS!F8121="","",DADOS!F8121)</f>
        <v/>
      </c>
      <c r="K8121" s="6" t="str">
        <f t="shared" si="635"/>
        <v/>
      </c>
      <c r="L8121" s="7" t="str">
        <f t="shared" si="636"/>
        <v/>
      </c>
      <c r="M8121" s="7" t="str">
        <f t="shared" si="633"/>
        <v/>
      </c>
      <c r="N8121" s="7" t="str">
        <f t="shared" si="637"/>
        <v/>
      </c>
      <c r="O8121" s="8"/>
      <c r="P8121" s="26"/>
      <c r="S8121" s="10" t="str">
        <f t="shared" si="634"/>
        <v/>
      </c>
    </row>
    <row r="8122" spans="5:19" x14ac:dyDescent="0.3">
      <c r="E8122" s="9" t="str">
        <f>IF(DADOS!C8122="","",DADOS!C8122)</f>
        <v/>
      </c>
      <c r="F8122" s="9" t="str">
        <f>IF(DADOS!E8122="","",DADOS!E8122)</f>
        <v/>
      </c>
      <c r="G8122" s="9" t="str">
        <f>IF(DADOS!F8122="","",DADOS!F8122)</f>
        <v/>
      </c>
      <c r="K8122" s="6" t="str">
        <f t="shared" si="635"/>
        <v/>
      </c>
      <c r="L8122" s="7" t="str">
        <f t="shared" si="636"/>
        <v/>
      </c>
      <c r="M8122" s="7" t="str">
        <f t="shared" si="633"/>
        <v/>
      </c>
      <c r="N8122" s="7" t="str">
        <f t="shared" si="637"/>
        <v/>
      </c>
      <c r="O8122" s="8"/>
      <c r="P8122" s="26"/>
      <c r="S8122" s="10" t="str">
        <f t="shared" si="634"/>
        <v/>
      </c>
    </row>
    <row r="8123" spans="5:19" x14ac:dyDescent="0.3">
      <c r="E8123" s="9" t="str">
        <f>IF(DADOS!C8123="","",DADOS!C8123)</f>
        <v/>
      </c>
      <c r="F8123" s="9" t="str">
        <f>IF(DADOS!E8123="","",DADOS!E8123)</f>
        <v/>
      </c>
      <c r="G8123" s="9" t="str">
        <f>IF(DADOS!F8123="","",DADOS!F8123)</f>
        <v/>
      </c>
      <c r="K8123" s="6" t="str">
        <f t="shared" si="635"/>
        <v/>
      </c>
      <c r="L8123" s="7" t="str">
        <f t="shared" si="636"/>
        <v/>
      </c>
      <c r="M8123" s="7" t="str">
        <f t="shared" si="633"/>
        <v/>
      </c>
      <c r="N8123" s="7" t="str">
        <f t="shared" si="637"/>
        <v/>
      </c>
      <c r="O8123" s="8"/>
      <c r="P8123" s="26"/>
      <c r="S8123" s="10" t="str">
        <f t="shared" si="634"/>
        <v/>
      </c>
    </row>
    <row r="8124" spans="5:19" x14ac:dyDescent="0.3">
      <c r="E8124" s="9" t="str">
        <f>IF(DADOS!C8124="","",DADOS!C8124)</f>
        <v/>
      </c>
      <c r="F8124" s="9" t="str">
        <f>IF(DADOS!E8124="","",DADOS!E8124)</f>
        <v/>
      </c>
      <c r="G8124" s="9" t="str">
        <f>IF(DADOS!F8124="","",DADOS!F8124)</f>
        <v/>
      </c>
      <c r="K8124" s="6" t="str">
        <f t="shared" si="635"/>
        <v/>
      </c>
      <c r="L8124" s="7" t="str">
        <f t="shared" si="636"/>
        <v/>
      </c>
      <c r="M8124" s="7" t="str">
        <f t="shared" si="633"/>
        <v/>
      </c>
      <c r="N8124" s="7" t="str">
        <f t="shared" si="637"/>
        <v/>
      </c>
      <c r="O8124" s="8"/>
      <c r="P8124" s="26"/>
      <c r="S8124" s="10" t="str">
        <f t="shared" si="634"/>
        <v/>
      </c>
    </row>
    <row r="8125" spans="5:19" x14ac:dyDescent="0.3">
      <c r="E8125" s="9" t="str">
        <f>IF(DADOS!C8125="","",DADOS!C8125)</f>
        <v/>
      </c>
      <c r="F8125" s="9" t="str">
        <f>IF(DADOS!E8125="","",DADOS!E8125)</f>
        <v/>
      </c>
      <c r="G8125" s="9" t="str">
        <f>IF(DADOS!F8125="","",DADOS!F8125)</f>
        <v/>
      </c>
      <c r="K8125" s="6" t="str">
        <f t="shared" si="635"/>
        <v/>
      </c>
      <c r="L8125" s="7" t="str">
        <f t="shared" si="636"/>
        <v/>
      </c>
      <c r="M8125" s="7" t="str">
        <f t="shared" si="633"/>
        <v/>
      </c>
      <c r="N8125" s="7" t="str">
        <f t="shared" si="637"/>
        <v/>
      </c>
      <c r="O8125" s="8"/>
      <c r="P8125" s="26"/>
      <c r="S8125" s="10" t="str">
        <f t="shared" si="634"/>
        <v/>
      </c>
    </row>
    <row r="8126" spans="5:19" x14ac:dyDescent="0.3">
      <c r="E8126" s="9" t="str">
        <f>IF(DADOS!C8126="","",DADOS!C8126)</f>
        <v/>
      </c>
      <c r="F8126" s="9" t="str">
        <f>IF(DADOS!E8126="","",DADOS!E8126)</f>
        <v/>
      </c>
      <c r="G8126" s="9" t="str">
        <f>IF(DADOS!F8126="","",DADOS!F8126)</f>
        <v/>
      </c>
      <c r="K8126" s="6" t="str">
        <f t="shared" si="635"/>
        <v/>
      </c>
      <c r="L8126" s="7" t="str">
        <f t="shared" si="636"/>
        <v/>
      </c>
      <c r="M8126" s="7" t="str">
        <f t="shared" si="633"/>
        <v/>
      </c>
      <c r="N8126" s="7" t="str">
        <f t="shared" si="637"/>
        <v/>
      </c>
      <c r="O8126" s="8"/>
      <c r="P8126" s="26"/>
      <c r="S8126" s="10" t="str">
        <f t="shared" si="634"/>
        <v/>
      </c>
    </row>
    <row r="8127" spans="5:19" x14ac:dyDescent="0.3">
      <c r="E8127" s="9" t="str">
        <f>IF(DADOS!C8127="","",DADOS!C8127)</f>
        <v/>
      </c>
      <c r="F8127" s="9" t="str">
        <f>IF(DADOS!E8127="","",DADOS!E8127)</f>
        <v/>
      </c>
      <c r="G8127" s="9" t="str">
        <f>IF(DADOS!F8127="","",DADOS!F8127)</f>
        <v/>
      </c>
      <c r="K8127" s="6" t="str">
        <f t="shared" si="635"/>
        <v/>
      </c>
      <c r="L8127" s="7" t="str">
        <f t="shared" si="636"/>
        <v/>
      </c>
      <c r="M8127" s="7" t="str">
        <f t="shared" si="633"/>
        <v/>
      </c>
      <c r="N8127" s="7" t="str">
        <f t="shared" si="637"/>
        <v/>
      </c>
      <c r="O8127" s="8"/>
      <c r="P8127" s="26"/>
      <c r="S8127" s="10" t="str">
        <f t="shared" si="634"/>
        <v/>
      </c>
    </row>
    <row r="8128" spans="5:19" x14ac:dyDescent="0.3">
      <c r="E8128" s="9" t="str">
        <f>IF(DADOS!C8128="","",DADOS!C8128)</f>
        <v/>
      </c>
      <c r="F8128" s="9" t="str">
        <f>IF(DADOS!E8128="","",DADOS!E8128)</f>
        <v/>
      </c>
      <c r="G8128" s="9" t="str">
        <f>IF(DADOS!F8128="","",DADOS!F8128)</f>
        <v/>
      </c>
      <c r="K8128" s="6" t="str">
        <f t="shared" si="635"/>
        <v/>
      </c>
      <c r="L8128" s="7" t="str">
        <f t="shared" si="636"/>
        <v/>
      </c>
      <c r="M8128" s="7" t="str">
        <f t="shared" si="633"/>
        <v/>
      </c>
      <c r="N8128" s="7" t="str">
        <f t="shared" si="637"/>
        <v/>
      </c>
      <c r="O8128" s="8"/>
      <c r="P8128" s="26"/>
      <c r="S8128" s="10" t="str">
        <f t="shared" si="634"/>
        <v/>
      </c>
    </row>
    <row r="8129" spans="5:19" x14ac:dyDescent="0.3">
      <c r="E8129" s="9" t="str">
        <f>IF(DADOS!C8129="","",DADOS!C8129)</f>
        <v/>
      </c>
      <c r="F8129" s="9" t="str">
        <f>IF(DADOS!E8129="","",DADOS!E8129)</f>
        <v/>
      </c>
      <c r="G8129" s="9" t="str">
        <f>IF(DADOS!F8129="","",DADOS!F8129)</f>
        <v/>
      </c>
      <c r="K8129" s="6" t="str">
        <f t="shared" si="635"/>
        <v/>
      </c>
      <c r="L8129" s="7" t="str">
        <f t="shared" si="636"/>
        <v/>
      </c>
      <c r="M8129" s="7" t="str">
        <f t="shared" si="633"/>
        <v/>
      </c>
      <c r="N8129" s="7" t="str">
        <f t="shared" si="637"/>
        <v/>
      </c>
      <c r="O8129" s="8"/>
      <c r="P8129" s="26"/>
      <c r="S8129" s="10" t="str">
        <f t="shared" si="634"/>
        <v/>
      </c>
    </row>
    <row r="8130" spans="5:19" x14ac:dyDescent="0.3">
      <c r="E8130" s="9" t="str">
        <f>IF(DADOS!C8130="","",DADOS!C8130)</f>
        <v/>
      </c>
      <c r="F8130" s="9" t="str">
        <f>IF(DADOS!E8130="","",DADOS!E8130)</f>
        <v/>
      </c>
      <c r="G8130" s="9" t="str">
        <f>IF(DADOS!F8130="","",DADOS!F8130)</f>
        <v/>
      </c>
      <c r="K8130" s="6" t="str">
        <f t="shared" si="635"/>
        <v/>
      </c>
      <c r="L8130" s="7" t="str">
        <f t="shared" si="636"/>
        <v/>
      </c>
      <c r="M8130" s="7" t="str">
        <f t="shared" si="633"/>
        <v/>
      </c>
      <c r="N8130" s="7" t="str">
        <f t="shared" si="637"/>
        <v/>
      </c>
      <c r="O8130" s="8"/>
      <c r="P8130" s="26"/>
      <c r="S8130" s="10" t="str">
        <f t="shared" si="634"/>
        <v/>
      </c>
    </row>
    <row r="8131" spans="5:19" x14ac:dyDescent="0.3">
      <c r="E8131" s="9" t="str">
        <f>IF(DADOS!C8131="","",DADOS!C8131)</f>
        <v/>
      </c>
      <c r="F8131" s="9" t="str">
        <f>IF(DADOS!E8131="","",DADOS!E8131)</f>
        <v/>
      </c>
      <c r="G8131" s="9" t="str">
        <f>IF(DADOS!F8131="","",DADOS!F8131)</f>
        <v/>
      </c>
      <c r="K8131" s="6" t="str">
        <f t="shared" si="635"/>
        <v/>
      </c>
      <c r="L8131" s="7" t="str">
        <f t="shared" si="636"/>
        <v/>
      </c>
      <c r="M8131" s="7" t="str">
        <f t="shared" ref="M8131:M8194" si="638">IF(L8131="","",L8131*G8131)</f>
        <v/>
      </c>
      <c r="N8131" s="7" t="str">
        <f t="shared" si="637"/>
        <v/>
      </c>
      <c r="O8131" s="8"/>
      <c r="P8131" s="26"/>
      <c r="S8131" s="10" t="str">
        <f t="shared" ref="S8131:S8194" si="639">IF(R8131="","",SUMIFS($N$3:$N$10000,$E$3:$E$10000,R8131))</f>
        <v/>
      </c>
    </row>
    <row r="8132" spans="5:19" x14ac:dyDescent="0.3">
      <c r="E8132" s="9" t="str">
        <f>IF(DADOS!C8132="","",DADOS!C8132)</f>
        <v/>
      </c>
      <c r="F8132" s="9" t="str">
        <f>IF(DADOS!E8132="","",DADOS!E8132)</f>
        <v/>
      </c>
      <c r="G8132" s="9" t="str">
        <f>IF(DADOS!F8132="","",DADOS!F8132)</f>
        <v/>
      </c>
      <c r="K8132" s="6" t="str">
        <f t="shared" ref="K8132:K8195" si="640">IF(F8132="","",F8132/PI())</f>
        <v/>
      </c>
      <c r="L8132" s="7" t="str">
        <f t="shared" ref="L8132:L8195" si="641">IF(K8132="","",(PI()*K8132^2)/40000)</f>
        <v/>
      </c>
      <c r="M8132" s="7" t="str">
        <f t="shared" si="638"/>
        <v/>
      </c>
      <c r="N8132" s="7" t="str">
        <f t="shared" ref="N8132:N8195" si="642">IF(M8132="","",M8132*N$1)</f>
        <v/>
      </c>
      <c r="O8132" s="8"/>
      <c r="P8132" s="26"/>
      <c r="S8132" s="10" t="str">
        <f t="shared" si="639"/>
        <v/>
      </c>
    </row>
    <row r="8133" spans="5:19" x14ac:dyDescent="0.3">
      <c r="E8133" s="9" t="str">
        <f>IF(DADOS!C8133="","",DADOS!C8133)</f>
        <v/>
      </c>
      <c r="F8133" s="9" t="str">
        <f>IF(DADOS!E8133="","",DADOS!E8133)</f>
        <v/>
      </c>
      <c r="G8133" s="9" t="str">
        <f>IF(DADOS!F8133="","",DADOS!F8133)</f>
        <v/>
      </c>
      <c r="K8133" s="6" t="str">
        <f t="shared" si="640"/>
        <v/>
      </c>
      <c r="L8133" s="7" t="str">
        <f t="shared" si="641"/>
        <v/>
      </c>
      <c r="M8133" s="7" t="str">
        <f t="shared" si="638"/>
        <v/>
      </c>
      <c r="N8133" s="7" t="str">
        <f t="shared" si="642"/>
        <v/>
      </c>
      <c r="O8133" s="8"/>
      <c r="P8133" s="26"/>
      <c r="S8133" s="10" t="str">
        <f t="shared" si="639"/>
        <v/>
      </c>
    </row>
    <row r="8134" spans="5:19" x14ac:dyDescent="0.3">
      <c r="E8134" s="9" t="str">
        <f>IF(DADOS!C8134="","",DADOS!C8134)</f>
        <v/>
      </c>
      <c r="F8134" s="9" t="str">
        <f>IF(DADOS!E8134="","",DADOS!E8134)</f>
        <v/>
      </c>
      <c r="G8134" s="9" t="str">
        <f>IF(DADOS!F8134="","",DADOS!F8134)</f>
        <v/>
      </c>
      <c r="K8134" s="6" t="str">
        <f t="shared" si="640"/>
        <v/>
      </c>
      <c r="L8134" s="7" t="str">
        <f t="shared" si="641"/>
        <v/>
      </c>
      <c r="M8134" s="7" t="str">
        <f t="shared" si="638"/>
        <v/>
      </c>
      <c r="N8134" s="7" t="str">
        <f t="shared" si="642"/>
        <v/>
      </c>
      <c r="O8134" s="8"/>
      <c r="P8134" s="26"/>
      <c r="S8134" s="10" t="str">
        <f t="shared" si="639"/>
        <v/>
      </c>
    </row>
    <row r="8135" spans="5:19" x14ac:dyDescent="0.3">
      <c r="E8135" s="9" t="str">
        <f>IF(DADOS!C8135="","",DADOS!C8135)</f>
        <v/>
      </c>
      <c r="F8135" s="9" t="str">
        <f>IF(DADOS!E8135="","",DADOS!E8135)</f>
        <v/>
      </c>
      <c r="G8135" s="9" t="str">
        <f>IF(DADOS!F8135="","",DADOS!F8135)</f>
        <v/>
      </c>
      <c r="K8135" s="6" t="str">
        <f t="shared" si="640"/>
        <v/>
      </c>
      <c r="L8135" s="7" t="str">
        <f t="shared" si="641"/>
        <v/>
      </c>
      <c r="M8135" s="7" t="str">
        <f t="shared" si="638"/>
        <v/>
      </c>
      <c r="N8135" s="7" t="str">
        <f t="shared" si="642"/>
        <v/>
      </c>
      <c r="O8135" s="8"/>
      <c r="P8135" s="26"/>
      <c r="S8135" s="10" t="str">
        <f t="shared" si="639"/>
        <v/>
      </c>
    </row>
    <row r="8136" spans="5:19" x14ac:dyDescent="0.3">
      <c r="E8136" s="9" t="str">
        <f>IF(DADOS!C8136="","",DADOS!C8136)</f>
        <v/>
      </c>
      <c r="F8136" s="9" t="str">
        <f>IF(DADOS!E8136="","",DADOS!E8136)</f>
        <v/>
      </c>
      <c r="G8136" s="9" t="str">
        <f>IF(DADOS!F8136="","",DADOS!F8136)</f>
        <v/>
      </c>
      <c r="K8136" s="6" t="str">
        <f t="shared" si="640"/>
        <v/>
      </c>
      <c r="L8136" s="7" t="str">
        <f t="shared" si="641"/>
        <v/>
      </c>
      <c r="M8136" s="7" t="str">
        <f t="shared" si="638"/>
        <v/>
      </c>
      <c r="N8136" s="7" t="str">
        <f t="shared" si="642"/>
        <v/>
      </c>
      <c r="O8136" s="8"/>
      <c r="P8136" s="26"/>
      <c r="S8136" s="10" t="str">
        <f t="shared" si="639"/>
        <v/>
      </c>
    </row>
    <row r="8137" spans="5:19" x14ac:dyDescent="0.3">
      <c r="E8137" s="9" t="str">
        <f>IF(DADOS!C8137="","",DADOS!C8137)</f>
        <v/>
      </c>
      <c r="F8137" s="9" t="str">
        <f>IF(DADOS!E8137="","",DADOS!E8137)</f>
        <v/>
      </c>
      <c r="G8137" s="9" t="str">
        <f>IF(DADOS!F8137="","",DADOS!F8137)</f>
        <v/>
      </c>
      <c r="K8137" s="6" t="str">
        <f t="shared" si="640"/>
        <v/>
      </c>
      <c r="L8137" s="7" t="str">
        <f t="shared" si="641"/>
        <v/>
      </c>
      <c r="M8137" s="7" t="str">
        <f t="shared" si="638"/>
        <v/>
      </c>
      <c r="N8137" s="7" t="str">
        <f t="shared" si="642"/>
        <v/>
      </c>
      <c r="O8137" s="8"/>
      <c r="P8137" s="26"/>
      <c r="S8137" s="10" t="str">
        <f t="shared" si="639"/>
        <v/>
      </c>
    </row>
    <row r="8138" spans="5:19" x14ac:dyDescent="0.3">
      <c r="E8138" s="9" t="str">
        <f>IF(DADOS!C8138="","",DADOS!C8138)</f>
        <v/>
      </c>
      <c r="F8138" s="9" t="str">
        <f>IF(DADOS!E8138="","",DADOS!E8138)</f>
        <v/>
      </c>
      <c r="G8138" s="9" t="str">
        <f>IF(DADOS!F8138="","",DADOS!F8138)</f>
        <v/>
      </c>
      <c r="K8138" s="6" t="str">
        <f t="shared" si="640"/>
        <v/>
      </c>
      <c r="L8138" s="7" t="str">
        <f t="shared" si="641"/>
        <v/>
      </c>
      <c r="M8138" s="7" t="str">
        <f t="shared" si="638"/>
        <v/>
      </c>
      <c r="N8138" s="7" t="str">
        <f t="shared" si="642"/>
        <v/>
      </c>
      <c r="O8138" s="8"/>
      <c r="P8138" s="26"/>
      <c r="S8138" s="10" t="str">
        <f t="shared" si="639"/>
        <v/>
      </c>
    </row>
    <row r="8139" spans="5:19" x14ac:dyDescent="0.3">
      <c r="E8139" s="9" t="str">
        <f>IF(DADOS!C8139="","",DADOS!C8139)</f>
        <v/>
      </c>
      <c r="F8139" s="9" t="str">
        <f>IF(DADOS!E8139="","",DADOS!E8139)</f>
        <v/>
      </c>
      <c r="G8139" s="9" t="str">
        <f>IF(DADOS!F8139="","",DADOS!F8139)</f>
        <v/>
      </c>
      <c r="K8139" s="6" t="str">
        <f t="shared" si="640"/>
        <v/>
      </c>
      <c r="L8139" s="7" t="str">
        <f t="shared" si="641"/>
        <v/>
      </c>
      <c r="M8139" s="7" t="str">
        <f t="shared" si="638"/>
        <v/>
      </c>
      <c r="N8139" s="7" t="str">
        <f t="shared" si="642"/>
        <v/>
      </c>
      <c r="O8139" s="8"/>
      <c r="P8139" s="26"/>
      <c r="S8139" s="10" t="str">
        <f t="shared" si="639"/>
        <v/>
      </c>
    </row>
    <row r="8140" spans="5:19" x14ac:dyDescent="0.3">
      <c r="E8140" s="9" t="str">
        <f>IF(DADOS!C8140="","",DADOS!C8140)</f>
        <v/>
      </c>
      <c r="F8140" s="9" t="str">
        <f>IF(DADOS!E8140="","",DADOS!E8140)</f>
        <v/>
      </c>
      <c r="G8140" s="9" t="str">
        <f>IF(DADOS!F8140="","",DADOS!F8140)</f>
        <v/>
      </c>
      <c r="K8140" s="6" t="str">
        <f t="shared" si="640"/>
        <v/>
      </c>
      <c r="L8140" s="7" t="str">
        <f t="shared" si="641"/>
        <v/>
      </c>
      <c r="M8140" s="7" t="str">
        <f t="shared" si="638"/>
        <v/>
      </c>
      <c r="N8140" s="7" t="str">
        <f t="shared" si="642"/>
        <v/>
      </c>
      <c r="O8140" s="8"/>
      <c r="P8140" s="26"/>
      <c r="S8140" s="10" t="str">
        <f t="shared" si="639"/>
        <v/>
      </c>
    </row>
    <row r="8141" spans="5:19" x14ac:dyDescent="0.3">
      <c r="E8141" s="9" t="str">
        <f>IF(DADOS!C8141="","",DADOS!C8141)</f>
        <v/>
      </c>
      <c r="F8141" s="9" t="str">
        <f>IF(DADOS!E8141="","",DADOS!E8141)</f>
        <v/>
      </c>
      <c r="G8141" s="9" t="str">
        <f>IF(DADOS!F8141="","",DADOS!F8141)</f>
        <v/>
      </c>
      <c r="K8141" s="6" t="str">
        <f t="shared" si="640"/>
        <v/>
      </c>
      <c r="L8141" s="7" t="str">
        <f t="shared" si="641"/>
        <v/>
      </c>
      <c r="M8141" s="7" t="str">
        <f t="shared" si="638"/>
        <v/>
      </c>
      <c r="N8141" s="7" t="str">
        <f t="shared" si="642"/>
        <v/>
      </c>
      <c r="O8141" s="8"/>
      <c r="P8141" s="26"/>
      <c r="S8141" s="10" t="str">
        <f t="shared" si="639"/>
        <v/>
      </c>
    </row>
    <row r="8142" spans="5:19" x14ac:dyDescent="0.3">
      <c r="E8142" s="9" t="str">
        <f>IF(DADOS!C8142="","",DADOS!C8142)</f>
        <v/>
      </c>
      <c r="F8142" s="9" t="str">
        <f>IF(DADOS!E8142="","",DADOS!E8142)</f>
        <v/>
      </c>
      <c r="G8142" s="9" t="str">
        <f>IF(DADOS!F8142="","",DADOS!F8142)</f>
        <v/>
      </c>
      <c r="K8142" s="6" t="str">
        <f t="shared" si="640"/>
        <v/>
      </c>
      <c r="L8142" s="7" t="str">
        <f t="shared" si="641"/>
        <v/>
      </c>
      <c r="M8142" s="7" t="str">
        <f t="shared" si="638"/>
        <v/>
      </c>
      <c r="N8142" s="7" t="str">
        <f t="shared" si="642"/>
        <v/>
      </c>
      <c r="O8142" s="8"/>
      <c r="P8142" s="26"/>
      <c r="S8142" s="10" t="str">
        <f t="shared" si="639"/>
        <v/>
      </c>
    </row>
    <row r="8143" spans="5:19" x14ac:dyDescent="0.3">
      <c r="E8143" s="9" t="str">
        <f>IF(DADOS!C8143="","",DADOS!C8143)</f>
        <v/>
      </c>
      <c r="F8143" s="9" t="str">
        <f>IF(DADOS!E8143="","",DADOS!E8143)</f>
        <v/>
      </c>
      <c r="G8143" s="9" t="str">
        <f>IF(DADOS!F8143="","",DADOS!F8143)</f>
        <v/>
      </c>
      <c r="K8143" s="6" t="str">
        <f t="shared" si="640"/>
        <v/>
      </c>
      <c r="L8143" s="7" t="str">
        <f t="shared" si="641"/>
        <v/>
      </c>
      <c r="M8143" s="7" t="str">
        <f t="shared" si="638"/>
        <v/>
      </c>
      <c r="N8143" s="7" t="str">
        <f t="shared" si="642"/>
        <v/>
      </c>
      <c r="O8143" s="8"/>
      <c r="P8143" s="26"/>
      <c r="S8143" s="10" t="str">
        <f t="shared" si="639"/>
        <v/>
      </c>
    </row>
    <row r="8144" spans="5:19" x14ac:dyDescent="0.3">
      <c r="E8144" s="9" t="str">
        <f>IF(DADOS!C8144="","",DADOS!C8144)</f>
        <v/>
      </c>
      <c r="F8144" s="9" t="str">
        <f>IF(DADOS!E8144="","",DADOS!E8144)</f>
        <v/>
      </c>
      <c r="G8144" s="9" t="str">
        <f>IF(DADOS!F8144="","",DADOS!F8144)</f>
        <v/>
      </c>
      <c r="K8144" s="6" t="str">
        <f t="shared" si="640"/>
        <v/>
      </c>
      <c r="L8144" s="7" t="str">
        <f t="shared" si="641"/>
        <v/>
      </c>
      <c r="M8144" s="7" t="str">
        <f t="shared" si="638"/>
        <v/>
      </c>
      <c r="N8144" s="7" t="str">
        <f t="shared" si="642"/>
        <v/>
      </c>
      <c r="O8144" s="8"/>
      <c r="P8144" s="26"/>
      <c r="S8144" s="10" t="str">
        <f t="shared" si="639"/>
        <v/>
      </c>
    </row>
    <row r="8145" spans="5:19" x14ac:dyDescent="0.3">
      <c r="E8145" s="9" t="str">
        <f>IF(DADOS!C8145="","",DADOS!C8145)</f>
        <v/>
      </c>
      <c r="F8145" s="9" t="str">
        <f>IF(DADOS!E8145="","",DADOS!E8145)</f>
        <v/>
      </c>
      <c r="G8145" s="9" t="str">
        <f>IF(DADOS!F8145="","",DADOS!F8145)</f>
        <v/>
      </c>
      <c r="K8145" s="6" t="str">
        <f t="shared" si="640"/>
        <v/>
      </c>
      <c r="L8145" s="7" t="str">
        <f t="shared" si="641"/>
        <v/>
      </c>
      <c r="M8145" s="7" t="str">
        <f t="shared" si="638"/>
        <v/>
      </c>
      <c r="N8145" s="7" t="str">
        <f t="shared" si="642"/>
        <v/>
      </c>
      <c r="O8145" s="8"/>
      <c r="P8145" s="26"/>
      <c r="S8145" s="10" t="str">
        <f t="shared" si="639"/>
        <v/>
      </c>
    </row>
    <row r="8146" spans="5:19" x14ac:dyDescent="0.3">
      <c r="E8146" s="9" t="str">
        <f>IF(DADOS!C8146="","",DADOS!C8146)</f>
        <v/>
      </c>
      <c r="F8146" s="9" t="str">
        <f>IF(DADOS!E8146="","",DADOS!E8146)</f>
        <v/>
      </c>
      <c r="G8146" s="9" t="str">
        <f>IF(DADOS!F8146="","",DADOS!F8146)</f>
        <v/>
      </c>
      <c r="K8146" s="6" t="str">
        <f t="shared" si="640"/>
        <v/>
      </c>
      <c r="L8146" s="7" t="str">
        <f t="shared" si="641"/>
        <v/>
      </c>
      <c r="M8146" s="7" t="str">
        <f t="shared" si="638"/>
        <v/>
      </c>
      <c r="N8146" s="7" t="str">
        <f t="shared" si="642"/>
        <v/>
      </c>
      <c r="O8146" s="8"/>
      <c r="P8146" s="26"/>
      <c r="S8146" s="10" t="str">
        <f t="shared" si="639"/>
        <v/>
      </c>
    </row>
    <row r="8147" spans="5:19" x14ac:dyDescent="0.3">
      <c r="E8147" s="9" t="str">
        <f>IF(DADOS!C8147="","",DADOS!C8147)</f>
        <v/>
      </c>
      <c r="F8147" s="9" t="str">
        <f>IF(DADOS!E8147="","",DADOS!E8147)</f>
        <v/>
      </c>
      <c r="G8147" s="9" t="str">
        <f>IF(DADOS!F8147="","",DADOS!F8147)</f>
        <v/>
      </c>
      <c r="K8147" s="6" t="str">
        <f t="shared" si="640"/>
        <v/>
      </c>
      <c r="L8147" s="7" t="str">
        <f t="shared" si="641"/>
        <v/>
      </c>
      <c r="M8147" s="7" t="str">
        <f t="shared" si="638"/>
        <v/>
      </c>
      <c r="N8147" s="7" t="str">
        <f t="shared" si="642"/>
        <v/>
      </c>
      <c r="O8147" s="8"/>
      <c r="P8147" s="26"/>
      <c r="S8147" s="10" t="str">
        <f t="shared" si="639"/>
        <v/>
      </c>
    </row>
    <row r="8148" spans="5:19" x14ac:dyDescent="0.3">
      <c r="E8148" s="9" t="str">
        <f>IF(DADOS!C8148="","",DADOS!C8148)</f>
        <v/>
      </c>
      <c r="F8148" s="9" t="str">
        <f>IF(DADOS!E8148="","",DADOS!E8148)</f>
        <v/>
      </c>
      <c r="G8148" s="9" t="str">
        <f>IF(DADOS!F8148="","",DADOS!F8148)</f>
        <v/>
      </c>
      <c r="K8148" s="6" t="str">
        <f t="shared" si="640"/>
        <v/>
      </c>
      <c r="L8148" s="7" t="str">
        <f t="shared" si="641"/>
        <v/>
      </c>
      <c r="M8148" s="7" t="str">
        <f t="shared" si="638"/>
        <v/>
      </c>
      <c r="N8148" s="7" t="str">
        <f t="shared" si="642"/>
        <v/>
      </c>
      <c r="O8148" s="8"/>
      <c r="P8148" s="26"/>
      <c r="S8148" s="10" t="str">
        <f t="shared" si="639"/>
        <v/>
      </c>
    </row>
    <row r="8149" spans="5:19" x14ac:dyDescent="0.3">
      <c r="E8149" s="9" t="str">
        <f>IF(DADOS!C8149="","",DADOS!C8149)</f>
        <v/>
      </c>
      <c r="F8149" s="9" t="str">
        <f>IF(DADOS!E8149="","",DADOS!E8149)</f>
        <v/>
      </c>
      <c r="G8149" s="9" t="str">
        <f>IF(DADOS!F8149="","",DADOS!F8149)</f>
        <v/>
      </c>
      <c r="K8149" s="6" t="str">
        <f t="shared" si="640"/>
        <v/>
      </c>
      <c r="L8149" s="7" t="str">
        <f t="shared" si="641"/>
        <v/>
      </c>
      <c r="M8149" s="7" t="str">
        <f t="shared" si="638"/>
        <v/>
      </c>
      <c r="N8149" s="7" t="str">
        <f t="shared" si="642"/>
        <v/>
      </c>
      <c r="O8149" s="8"/>
      <c r="P8149" s="26"/>
      <c r="S8149" s="10" t="str">
        <f t="shared" si="639"/>
        <v/>
      </c>
    </row>
    <row r="8150" spans="5:19" x14ac:dyDescent="0.3">
      <c r="E8150" s="9" t="str">
        <f>IF(DADOS!C8150="","",DADOS!C8150)</f>
        <v/>
      </c>
      <c r="F8150" s="9" t="str">
        <f>IF(DADOS!E8150="","",DADOS!E8150)</f>
        <v/>
      </c>
      <c r="G8150" s="9" t="str">
        <f>IF(DADOS!F8150="","",DADOS!F8150)</f>
        <v/>
      </c>
      <c r="K8150" s="6" t="str">
        <f t="shared" si="640"/>
        <v/>
      </c>
      <c r="L8150" s="7" t="str">
        <f t="shared" si="641"/>
        <v/>
      </c>
      <c r="M8150" s="7" t="str">
        <f t="shared" si="638"/>
        <v/>
      </c>
      <c r="N8150" s="7" t="str">
        <f t="shared" si="642"/>
        <v/>
      </c>
      <c r="O8150" s="8"/>
      <c r="P8150" s="26"/>
      <c r="S8150" s="10" t="str">
        <f t="shared" si="639"/>
        <v/>
      </c>
    </row>
    <row r="8151" spans="5:19" x14ac:dyDescent="0.3">
      <c r="E8151" s="9" t="str">
        <f>IF(DADOS!C8151="","",DADOS!C8151)</f>
        <v/>
      </c>
      <c r="F8151" s="9" t="str">
        <f>IF(DADOS!E8151="","",DADOS!E8151)</f>
        <v/>
      </c>
      <c r="G8151" s="9" t="str">
        <f>IF(DADOS!F8151="","",DADOS!F8151)</f>
        <v/>
      </c>
      <c r="K8151" s="6" t="str">
        <f t="shared" si="640"/>
        <v/>
      </c>
      <c r="L8151" s="7" t="str">
        <f t="shared" si="641"/>
        <v/>
      </c>
      <c r="M8151" s="7" t="str">
        <f t="shared" si="638"/>
        <v/>
      </c>
      <c r="N8151" s="7" t="str">
        <f t="shared" si="642"/>
        <v/>
      </c>
      <c r="O8151" s="8"/>
      <c r="P8151" s="26"/>
      <c r="S8151" s="10" t="str">
        <f t="shared" si="639"/>
        <v/>
      </c>
    </row>
    <row r="8152" spans="5:19" x14ac:dyDescent="0.3">
      <c r="E8152" s="9" t="str">
        <f>IF(DADOS!C8152="","",DADOS!C8152)</f>
        <v/>
      </c>
      <c r="F8152" s="9" t="str">
        <f>IF(DADOS!E8152="","",DADOS!E8152)</f>
        <v/>
      </c>
      <c r="G8152" s="9" t="str">
        <f>IF(DADOS!F8152="","",DADOS!F8152)</f>
        <v/>
      </c>
      <c r="K8152" s="6" t="str">
        <f t="shared" si="640"/>
        <v/>
      </c>
      <c r="L8152" s="7" t="str">
        <f t="shared" si="641"/>
        <v/>
      </c>
      <c r="M8152" s="7" t="str">
        <f t="shared" si="638"/>
        <v/>
      </c>
      <c r="N8152" s="7" t="str">
        <f t="shared" si="642"/>
        <v/>
      </c>
      <c r="O8152" s="8"/>
      <c r="P8152" s="26"/>
      <c r="S8152" s="10" t="str">
        <f t="shared" si="639"/>
        <v/>
      </c>
    </row>
    <row r="8153" spans="5:19" x14ac:dyDescent="0.3">
      <c r="E8153" s="9" t="str">
        <f>IF(DADOS!C8153="","",DADOS!C8153)</f>
        <v/>
      </c>
      <c r="F8153" s="9" t="str">
        <f>IF(DADOS!E8153="","",DADOS!E8153)</f>
        <v/>
      </c>
      <c r="G8153" s="9" t="str">
        <f>IF(DADOS!F8153="","",DADOS!F8153)</f>
        <v/>
      </c>
      <c r="K8153" s="6" t="str">
        <f t="shared" si="640"/>
        <v/>
      </c>
      <c r="L8153" s="7" t="str">
        <f t="shared" si="641"/>
        <v/>
      </c>
      <c r="M8153" s="7" t="str">
        <f t="shared" si="638"/>
        <v/>
      </c>
      <c r="N8153" s="7" t="str">
        <f t="shared" si="642"/>
        <v/>
      </c>
      <c r="O8153" s="8"/>
      <c r="P8153" s="26"/>
      <c r="S8153" s="10" t="str">
        <f t="shared" si="639"/>
        <v/>
      </c>
    </row>
    <row r="8154" spans="5:19" x14ac:dyDescent="0.3">
      <c r="E8154" s="9" t="str">
        <f>IF(DADOS!C8154="","",DADOS!C8154)</f>
        <v/>
      </c>
      <c r="F8154" s="9" t="str">
        <f>IF(DADOS!E8154="","",DADOS!E8154)</f>
        <v/>
      </c>
      <c r="G8154" s="9" t="str">
        <f>IF(DADOS!F8154="","",DADOS!F8154)</f>
        <v/>
      </c>
      <c r="K8154" s="6" t="str">
        <f t="shared" si="640"/>
        <v/>
      </c>
      <c r="L8154" s="7" t="str">
        <f t="shared" si="641"/>
        <v/>
      </c>
      <c r="M8154" s="7" t="str">
        <f t="shared" si="638"/>
        <v/>
      </c>
      <c r="N8154" s="7" t="str">
        <f t="shared" si="642"/>
        <v/>
      </c>
      <c r="O8154" s="8"/>
      <c r="P8154" s="26"/>
      <c r="S8154" s="10" t="str">
        <f t="shared" si="639"/>
        <v/>
      </c>
    </row>
    <row r="8155" spans="5:19" x14ac:dyDescent="0.3">
      <c r="E8155" s="9" t="str">
        <f>IF(DADOS!C8155="","",DADOS!C8155)</f>
        <v/>
      </c>
      <c r="F8155" s="9" t="str">
        <f>IF(DADOS!E8155="","",DADOS!E8155)</f>
        <v/>
      </c>
      <c r="G8155" s="9" t="str">
        <f>IF(DADOS!F8155="","",DADOS!F8155)</f>
        <v/>
      </c>
      <c r="K8155" s="6" t="str">
        <f t="shared" si="640"/>
        <v/>
      </c>
      <c r="L8155" s="7" t="str">
        <f t="shared" si="641"/>
        <v/>
      </c>
      <c r="M8155" s="7" t="str">
        <f t="shared" si="638"/>
        <v/>
      </c>
      <c r="N8155" s="7" t="str">
        <f t="shared" si="642"/>
        <v/>
      </c>
      <c r="O8155" s="8"/>
      <c r="P8155" s="26"/>
      <c r="S8155" s="10" t="str">
        <f t="shared" si="639"/>
        <v/>
      </c>
    </row>
    <row r="8156" spans="5:19" x14ac:dyDescent="0.3">
      <c r="E8156" s="9" t="str">
        <f>IF(DADOS!C8156="","",DADOS!C8156)</f>
        <v/>
      </c>
      <c r="F8156" s="9" t="str">
        <f>IF(DADOS!E8156="","",DADOS!E8156)</f>
        <v/>
      </c>
      <c r="G8156" s="9" t="str">
        <f>IF(DADOS!F8156="","",DADOS!F8156)</f>
        <v/>
      </c>
      <c r="K8156" s="6" t="str">
        <f t="shared" si="640"/>
        <v/>
      </c>
      <c r="L8156" s="7" t="str">
        <f t="shared" si="641"/>
        <v/>
      </c>
      <c r="M8156" s="7" t="str">
        <f t="shared" si="638"/>
        <v/>
      </c>
      <c r="N8156" s="7" t="str">
        <f t="shared" si="642"/>
        <v/>
      </c>
      <c r="O8156" s="8"/>
      <c r="P8156" s="26"/>
      <c r="S8156" s="10" t="str">
        <f t="shared" si="639"/>
        <v/>
      </c>
    </row>
    <row r="8157" spans="5:19" x14ac:dyDescent="0.3">
      <c r="E8157" s="9" t="str">
        <f>IF(DADOS!C8157="","",DADOS!C8157)</f>
        <v/>
      </c>
      <c r="F8157" s="9" t="str">
        <f>IF(DADOS!E8157="","",DADOS!E8157)</f>
        <v/>
      </c>
      <c r="G8157" s="9" t="str">
        <f>IF(DADOS!F8157="","",DADOS!F8157)</f>
        <v/>
      </c>
      <c r="K8157" s="6" t="str">
        <f t="shared" si="640"/>
        <v/>
      </c>
      <c r="L8157" s="7" t="str">
        <f t="shared" si="641"/>
        <v/>
      </c>
      <c r="M8157" s="7" t="str">
        <f t="shared" si="638"/>
        <v/>
      </c>
      <c r="N8157" s="7" t="str">
        <f t="shared" si="642"/>
        <v/>
      </c>
      <c r="O8157" s="8"/>
      <c r="P8157" s="26"/>
      <c r="S8157" s="10" t="str">
        <f t="shared" si="639"/>
        <v/>
      </c>
    </row>
    <row r="8158" spans="5:19" x14ac:dyDescent="0.3">
      <c r="E8158" s="9" t="str">
        <f>IF(DADOS!C8158="","",DADOS!C8158)</f>
        <v/>
      </c>
      <c r="F8158" s="9" t="str">
        <f>IF(DADOS!E8158="","",DADOS!E8158)</f>
        <v/>
      </c>
      <c r="G8158" s="9" t="str">
        <f>IF(DADOS!F8158="","",DADOS!F8158)</f>
        <v/>
      </c>
      <c r="K8158" s="6" t="str">
        <f t="shared" si="640"/>
        <v/>
      </c>
      <c r="L8158" s="7" t="str">
        <f t="shared" si="641"/>
        <v/>
      </c>
      <c r="M8158" s="7" t="str">
        <f t="shared" si="638"/>
        <v/>
      </c>
      <c r="N8158" s="7" t="str">
        <f t="shared" si="642"/>
        <v/>
      </c>
      <c r="O8158" s="8"/>
      <c r="P8158" s="26"/>
      <c r="S8158" s="10" t="str">
        <f t="shared" si="639"/>
        <v/>
      </c>
    </row>
    <row r="8159" spans="5:19" x14ac:dyDescent="0.3">
      <c r="E8159" s="9" t="str">
        <f>IF(DADOS!C8159="","",DADOS!C8159)</f>
        <v/>
      </c>
      <c r="F8159" s="9" t="str">
        <f>IF(DADOS!E8159="","",DADOS!E8159)</f>
        <v/>
      </c>
      <c r="G8159" s="9" t="str">
        <f>IF(DADOS!F8159="","",DADOS!F8159)</f>
        <v/>
      </c>
      <c r="K8159" s="6" t="str">
        <f t="shared" si="640"/>
        <v/>
      </c>
      <c r="L8159" s="7" t="str">
        <f t="shared" si="641"/>
        <v/>
      </c>
      <c r="M8159" s="7" t="str">
        <f t="shared" si="638"/>
        <v/>
      </c>
      <c r="N8159" s="7" t="str">
        <f t="shared" si="642"/>
        <v/>
      </c>
      <c r="O8159" s="8"/>
      <c r="P8159" s="26"/>
      <c r="S8159" s="10" t="str">
        <f t="shared" si="639"/>
        <v/>
      </c>
    </row>
    <row r="8160" spans="5:19" x14ac:dyDescent="0.3">
      <c r="E8160" s="9" t="str">
        <f>IF(DADOS!C8160="","",DADOS!C8160)</f>
        <v/>
      </c>
      <c r="F8160" s="9" t="str">
        <f>IF(DADOS!E8160="","",DADOS!E8160)</f>
        <v/>
      </c>
      <c r="G8160" s="9" t="str">
        <f>IF(DADOS!F8160="","",DADOS!F8160)</f>
        <v/>
      </c>
      <c r="K8160" s="6" t="str">
        <f t="shared" si="640"/>
        <v/>
      </c>
      <c r="L8160" s="7" t="str">
        <f t="shared" si="641"/>
        <v/>
      </c>
      <c r="M8160" s="7" t="str">
        <f t="shared" si="638"/>
        <v/>
      </c>
      <c r="N8160" s="7" t="str">
        <f t="shared" si="642"/>
        <v/>
      </c>
      <c r="O8160" s="8"/>
      <c r="P8160" s="26"/>
      <c r="S8160" s="10" t="str">
        <f t="shared" si="639"/>
        <v/>
      </c>
    </row>
    <row r="8161" spans="5:19" x14ac:dyDescent="0.3">
      <c r="E8161" s="9" t="str">
        <f>IF(DADOS!C8161="","",DADOS!C8161)</f>
        <v/>
      </c>
      <c r="F8161" s="9" t="str">
        <f>IF(DADOS!E8161="","",DADOS!E8161)</f>
        <v/>
      </c>
      <c r="G8161" s="9" t="str">
        <f>IF(DADOS!F8161="","",DADOS!F8161)</f>
        <v/>
      </c>
      <c r="K8161" s="6" t="str">
        <f t="shared" si="640"/>
        <v/>
      </c>
      <c r="L8161" s="7" t="str">
        <f t="shared" si="641"/>
        <v/>
      </c>
      <c r="M8161" s="7" t="str">
        <f t="shared" si="638"/>
        <v/>
      </c>
      <c r="N8161" s="7" t="str">
        <f t="shared" si="642"/>
        <v/>
      </c>
      <c r="O8161" s="8"/>
      <c r="P8161" s="26"/>
      <c r="S8161" s="10" t="str">
        <f t="shared" si="639"/>
        <v/>
      </c>
    </row>
    <row r="8162" spans="5:19" x14ac:dyDescent="0.3">
      <c r="E8162" s="9" t="str">
        <f>IF(DADOS!C8162="","",DADOS!C8162)</f>
        <v/>
      </c>
      <c r="F8162" s="9" t="str">
        <f>IF(DADOS!E8162="","",DADOS!E8162)</f>
        <v/>
      </c>
      <c r="G8162" s="9" t="str">
        <f>IF(DADOS!F8162="","",DADOS!F8162)</f>
        <v/>
      </c>
      <c r="K8162" s="6" t="str">
        <f t="shared" si="640"/>
        <v/>
      </c>
      <c r="L8162" s="7" t="str">
        <f t="shared" si="641"/>
        <v/>
      </c>
      <c r="M8162" s="7" t="str">
        <f t="shared" si="638"/>
        <v/>
      </c>
      <c r="N8162" s="7" t="str">
        <f t="shared" si="642"/>
        <v/>
      </c>
      <c r="O8162" s="8"/>
      <c r="P8162" s="26"/>
      <c r="S8162" s="10" t="str">
        <f t="shared" si="639"/>
        <v/>
      </c>
    </row>
    <row r="8163" spans="5:19" x14ac:dyDescent="0.3">
      <c r="E8163" s="9" t="str">
        <f>IF(DADOS!C8163="","",DADOS!C8163)</f>
        <v/>
      </c>
      <c r="F8163" s="9" t="str">
        <f>IF(DADOS!E8163="","",DADOS!E8163)</f>
        <v/>
      </c>
      <c r="G8163" s="9" t="str">
        <f>IF(DADOS!F8163="","",DADOS!F8163)</f>
        <v/>
      </c>
      <c r="K8163" s="6" t="str">
        <f t="shared" si="640"/>
        <v/>
      </c>
      <c r="L8163" s="7" t="str">
        <f t="shared" si="641"/>
        <v/>
      </c>
      <c r="M8163" s="7" t="str">
        <f t="shared" si="638"/>
        <v/>
      </c>
      <c r="N8163" s="7" t="str">
        <f t="shared" si="642"/>
        <v/>
      </c>
      <c r="O8163" s="8"/>
      <c r="P8163" s="26"/>
      <c r="S8163" s="10" t="str">
        <f t="shared" si="639"/>
        <v/>
      </c>
    </row>
    <row r="8164" spans="5:19" x14ac:dyDescent="0.3">
      <c r="E8164" s="9" t="str">
        <f>IF(DADOS!C8164="","",DADOS!C8164)</f>
        <v/>
      </c>
      <c r="F8164" s="9" t="str">
        <f>IF(DADOS!E8164="","",DADOS!E8164)</f>
        <v/>
      </c>
      <c r="G8164" s="9" t="str">
        <f>IF(DADOS!F8164="","",DADOS!F8164)</f>
        <v/>
      </c>
      <c r="K8164" s="6" t="str">
        <f t="shared" si="640"/>
        <v/>
      </c>
      <c r="L8164" s="7" t="str">
        <f t="shared" si="641"/>
        <v/>
      </c>
      <c r="M8164" s="7" t="str">
        <f t="shared" si="638"/>
        <v/>
      </c>
      <c r="N8164" s="7" t="str">
        <f t="shared" si="642"/>
        <v/>
      </c>
      <c r="O8164" s="8"/>
      <c r="P8164" s="26"/>
      <c r="S8164" s="10" t="str">
        <f t="shared" si="639"/>
        <v/>
      </c>
    </row>
    <row r="8165" spans="5:19" x14ac:dyDescent="0.3">
      <c r="E8165" s="9" t="str">
        <f>IF(DADOS!C8165="","",DADOS!C8165)</f>
        <v/>
      </c>
      <c r="F8165" s="9" t="str">
        <f>IF(DADOS!E8165="","",DADOS!E8165)</f>
        <v/>
      </c>
      <c r="G8165" s="9" t="str">
        <f>IF(DADOS!F8165="","",DADOS!F8165)</f>
        <v/>
      </c>
      <c r="K8165" s="6" t="str">
        <f t="shared" si="640"/>
        <v/>
      </c>
      <c r="L8165" s="7" t="str">
        <f t="shared" si="641"/>
        <v/>
      </c>
      <c r="M8165" s="7" t="str">
        <f t="shared" si="638"/>
        <v/>
      </c>
      <c r="N8165" s="7" t="str">
        <f t="shared" si="642"/>
        <v/>
      </c>
      <c r="O8165" s="8"/>
      <c r="P8165" s="26"/>
      <c r="S8165" s="10" t="str">
        <f t="shared" si="639"/>
        <v/>
      </c>
    </row>
    <row r="8166" spans="5:19" x14ac:dyDescent="0.3">
      <c r="E8166" s="9" t="str">
        <f>IF(DADOS!C8166="","",DADOS!C8166)</f>
        <v/>
      </c>
      <c r="F8166" s="9" t="str">
        <f>IF(DADOS!E8166="","",DADOS!E8166)</f>
        <v/>
      </c>
      <c r="G8166" s="9" t="str">
        <f>IF(DADOS!F8166="","",DADOS!F8166)</f>
        <v/>
      </c>
      <c r="K8166" s="6" t="str">
        <f t="shared" si="640"/>
        <v/>
      </c>
      <c r="L8166" s="7" t="str">
        <f t="shared" si="641"/>
        <v/>
      </c>
      <c r="M8166" s="7" t="str">
        <f t="shared" si="638"/>
        <v/>
      </c>
      <c r="N8166" s="7" t="str">
        <f t="shared" si="642"/>
        <v/>
      </c>
      <c r="O8166" s="8"/>
      <c r="P8166" s="26"/>
      <c r="S8166" s="10" t="str">
        <f t="shared" si="639"/>
        <v/>
      </c>
    </row>
    <row r="8167" spans="5:19" x14ac:dyDescent="0.3">
      <c r="E8167" s="9" t="str">
        <f>IF(DADOS!C8167="","",DADOS!C8167)</f>
        <v/>
      </c>
      <c r="F8167" s="9" t="str">
        <f>IF(DADOS!E8167="","",DADOS!E8167)</f>
        <v/>
      </c>
      <c r="G8167" s="9" t="str">
        <f>IF(DADOS!F8167="","",DADOS!F8167)</f>
        <v/>
      </c>
      <c r="K8167" s="6" t="str">
        <f t="shared" si="640"/>
        <v/>
      </c>
      <c r="L8167" s="7" t="str">
        <f t="shared" si="641"/>
        <v/>
      </c>
      <c r="M8167" s="7" t="str">
        <f t="shared" si="638"/>
        <v/>
      </c>
      <c r="N8167" s="7" t="str">
        <f t="shared" si="642"/>
        <v/>
      </c>
      <c r="O8167" s="8"/>
      <c r="P8167" s="26"/>
      <c r="S8167" s="10" t="str">
        <f t="shared" si="639"/>
        <v/>
      </c>
    </row>
    <row r="8168" spans="5:19" x14ac:dyDescent="0.3">
      <c r="E8168" s="9" t="str">
        <f>IF(DADOS!C8168="","",DADOS!C8168)</f>
        <v/>
      </c>
      <c r="F8168" s="9" t="str">
        <f>IF(DADOS!E8168="","",DADOS!E8168)</f>
        <v/>
      </c>
      <c r="G8168" s="9" t="str">
        <f>IF(DADOS!F8168="","",DADOS!F8168)</f>
        <v/>
      </c>
      <c r="K8168" s="6" t="str">
        <f t="shared" si="640"/>
        <v/>
      </c>
      <c r="L8168" s="7" t="str">
        <f t="shared" si="641"/>
        <v/>
      </c>
      <c r="M8168" s="7" t="str">
        <f t="shared" si="638"/>
        <v/>
      </c>
      <c r="N8168" s="7" t="str">
        <f t="shared" si="642"/>
        <v/>
      </c>
      <c r="O8168" s="8"/>
      <c r="P8168" s="26"/>
      <c r="S8168" s="10" t="str">
        <f t="shared" si="639"/>
        <v/>
      </c>
    </row>
    <row r="8169" spans="5:19" x14ac:dyDescent="0.3">
      <c r="E8169" s="9" t="str">
        <f>IF(DADOS!C8169="","",DADOS!C8169)</f>
        <v/>
      </c>
      <c r="F8169" s="9" t="str">
        <f>IF(DADOS!E8169="","",DADOS!E8169)</f>
        <v/>
      </c>
      <c r="G8169" s="9" t="str">
        <f>IF(DADOS!F8169="","",DADOS!F8169)</f>
        <v/>
      </c>
      <c r="K8169" s="6" t="str">
        <f t="shared" si="640"/>
        <v/>
      </c>
      <c r="L8169" s="7" t="str">
        <f t="shared" si="641"/>
        <v/>
      </c>
      <c r="M8169" s="7" t="str">
        <f t="shared" si="638"/>
        <v/>
      </c>
      <c r="N8169" s="7" t="str">
        <f t="shared" si="642"/>
        <v/>
      </c>
      <c r="O8169" s="8"/>
      <c r="P8169" s="26"/>
      <c r="S8169" s="10" t="str">
        <f t="shared" si="639"/>
        <v/>
      </c>
    </row>
    <row r="8170" spans="5:19" x14ac:dyDescent="0.3">
      <c r="E8170" s="9" t="str">
        <f>IF(DADOS!C8170="","",DADOS!C8170)</f>
        <v/>
      </c>
      <c r="F8170" s="9" t="str">
        <f>IF(DADOS!E8170="","",DADOS!E8170)</f>
        <v/>
      </c>
      <c r="G8170" s="9" t="str">
        <f>IF(DADOS!F8170="","",DADOS!F8170)</f>
        <v/>
      </c>
      <c r="K8170" s="6" t="str">
        <f t="shared" si="640"/>
        <v/>
      </c>
      <c r="L8170" s="7" t="str">
        <f t="shared" si="641"/>
        <v/>
      </c>
      <c r="M8170" s="7" t="str">
        <f t="shared" si="638"/>
        <v/>
      </c>
      <c r="N8170" s="7" t="str">
        <f t="shared" si="642"/>
        <v/>
      </c>
      <c r="O8170" s="8"/>
      <c r="P8170" s="26"/>
      <c r="S8170" s="10" t="str">
        <f t="shared" si="639"/>
        <v/>
      </c>
    </row>
    <row r="8171" spans="5:19" x14ac:dyDescent="0.3">
      <c r="E8171" s="9" t="str">
        <f>IF(DADOS!C8171="","",DADOS!C8171)</f>
        <v/>
      </c>
      <c r="F8171" s="9" t="str">
        <f>IF(DADOS!E8171="","",DADOS!E8171)</f>
        <v/>
      </c>
      <c r="G8171" s="9" t="str">
        <f>IF(DADOS!F8171="","",DADOS!F8171)</f>
        <v/>
      </c>
      <c r="K8171" s="6" t="str">
        <f t="shared" si="640"/>
        <v/>
      </c>
      <c r="L8171" s="7" t="str">
        <f t="shared" si="641"/>
        <v/>
      </c>
      <c r="M8171" s="7" t="str">
        <f t="shared" si="638"/>
        <v/>
      </c>
      <c r="N8171" s="7" t="str">
        <f t="shared" si="642"/>
        <v/>
      </c>
      <c r="O8171" s="8"/>
      <c r="P8171" s="26"/>
      <c r="S8171" s="10" t="str">
        <f t="shared" si="639"/>
        <v/>
      </c>
    </row>
    <row r="8172" spans="5:19" x14ac:dyDescent="0.3">
      <c r="E8172" s="9" t="str">
        <f>IF(DADOS!C8172="","",DADOS!C8172)</f>
        <v/>
      </c>
      <c r="F8172" s="9" t="str">
        <f>IF(DADOS!E8172="","",DADOS!E8172)</f>
        <v/>
      </c>
      <c r="G8172" s="9" t="str">
        <f>IF(DADOS!F8172="","",DADOS!F8172)</f>
        <v/>
      </c>
      <c r="K8172" s="6" t="str">
        <f t="shared" si="640"/>
        <v/>
      </c>
      <c r="L8172" s="7" t="str">
        <f t="shared" si="641"/>
        <v/>
      </c>
      <c r="M8172" s="7" t="str">
        <f t="shared" si="638"/>
        <v/>
      </c>
      <c r="N8172" s="7" t="str">
        <f t="shared" si="642"/>
        <v/>
      </c>
      <c r="O8172" s="8"/>
      <c r="P8172" s="26"/>
      <c r="S8172" s="10" t="str">
        <f t="shared" si="639"/>
        <v/>
      </c>
    </row>
    <row r="8173" spans="5:19" x14ac:dyDescent="0.3">
      <c r="E8173" s="9" t="str">
        <f>IF(DADOS!C8173="","",DADOS!C8173)</f>
        <v/>
      </c>
      <c r="F8173" s="9" t="str">
        <f>IF(DADOS!E8173="","",DADOS!E8173)</f>
        <v/>
      </c>
      <c r="G8173" s="9" t="str">
        <f>IF(DADOS!F8173="","",DADOS!F8173)</f>
        <v/>
      </c>
      <c r="K8173" s="6" t="str">
        <f t="shared" si="640"/>
        <v/>
      </c>
      <c r="L8173" s="7" t="str">
        <f t="shared" si="641"/>
        <v/>
      </c>
      <c r="M8173" s="7" t="str">
        <f t="shared" si="638"/>
        <v/>
      </c>
      <c r="N8173" s="7" t="str">
        <f t="shared" si="642"/>
        <v/>
      </c>
      <c r="O8173" s="8"/>
      <c r="P8173" s="26"/>
      <c r="S8173" s="10" t="str">
        <f t="shared" si="639"/>
        <v/>
      </c>
    </row>
    <row r="8174" spans="5:19" x14ac:dyDescent="0.3">
      <c r="E8174" s="9" t="str">
        <f>IF(DADOS!C8174="","",DADOS!C8174)</f>
        <v/>
      </c>
      <c r="F8174" s="9" t="str">
        <f>IF(DADOS!E8174="","",DADOS!E8174)</f>
        <v/>
      </c>
      <c r="G8174" s="9" t="str">
        <f>IF(DADOS!F8174="","",DADOS!F8174)</f>
        <v/>
      </c>
      <c r="K8174" s="6" t="str">
        <f t="shared" si="640"/>
        <v/>
      </c>
      <c r="L8174" s="7" t="str">
        <f t="shared" si="641"/>
        <v/>
      </c>
      <c r="M8174" s="7" t="str">
        <f t="shared" si="638"/>
        <v/>
      </c>
      <c r="N8174" s="7" t="str">
        <f t="shared" si="642"/>
        <v/>
      </c>
      <c r="O8174" s="8"/>
      <c r="P8174" s="26"/>
      <c r="S8174" s="10" t="str">
        <f t="shared" si="639"/>
        <v/>
      </c>
    </row>
    <row r="8175" spans="5:19" x14ac:dyDescent="0.3">
      <c r="E8175" s="9" t="str">
        <f>IF(DADOS!C8175="","",DADOS!C8175)</f>
        <v/>
      </c>
      <c r="F8175" s="9" t="str">
        <f>IF(DADOS!E8175="","",DADOS!E8175)</f>
        <v/>
      </c>
      <c r="G8175" s="9" t="str">
        <f>IF(DADOS!F8175="","",DADOS!F8175)</f>
        <v/>
      </c>
      <c r="K8175" s="6" t="str">
        <f t="shared" si="640"/>
        <v/>
      </c>
      <c r="L8175" s="7" t="str">
        <f t="shared" si="641"/>
        <v/>
      </c>
      <c r="M8175" s="7" t="str">
        <f t="shared" si="638"/>
        <v/>
      </c>
      <c r="N8175" s="7" t="str">
        <f t="shared" si="642"/>
        <v/>
      </c>
      <c r="O8175" s="8"/>
      <c r="P8175" s="26"/>
      <c r="S8175" s="10" t="str">
        <f t="shared" si="639"/>
        <v/>
      </c>
    </row>
    <row r="8176" spans="5:19" x14ac:dyDescent="0.3">
      <c r="E8176" s="9" t="str">
        <f>IF(DADOS!C8176="","",DADOS!C8176)</f>
        <v/>
      </c>
      <c r="F8176" s="9" t="str">
        <f>IF(DADOS!E8176="","",DADOS!E8176)</f>
        <v/>
      </c>
      <c r="G8176" s="9" t="str">
        <f>IF(DADOS!F8176="","",DADOS!F8176)</f>
        <v/>
      </c>
      <c r="K8176" s="6" t="str">
        <f t="shared" si="640"/>
        <v/>
      </c>
      <c r="L8176" s="7" t="str">
        <f t="shared" si="641"/>
        <v/>
      </c>
      <c r="M8176" s="7" t="str">
        <f t="shared" si="638"/>
        <v/>
      </c>
      <c r="N8176" s="7" t="str">
        <f t="shared" si="642"/>
        <v/>
      </c>
      <c r="O8176" s="8"/>
      <c r="P8176" s="26"/>
      <c r="S8176" s="10" t="str">
        <f t="shared" si="639"/>
        <v/>
      </c>
    </row>
    <row r="8177" spans="5:19" x14ac:dyDescent="0.3">
      <c r="E8177" s="9" t="str">
        <f>IF(DADOS!C8177="","",DADOS!C8177)</f>
        <v/>
      </c>
      <c r="F8177" s="9" t="str">
        <f>IF(DADOS!E8177="","",DADOS!E8177)</f>
        <v/>
      </c>
      <c r="G8177" s="9" t="str">
        <f>IF(DADOS!F8177="","",DADOS!F8177)</f>
        <v/>
      </c>
      <c r="K8177" s="6" t="str">
        <f t="shared" si="640"/>
        <v/>
      </c>
      <c r="L8177" s="7" t="str">
        <f t="shared" si="641"/>
        <v/>
      </c>
      <c r="M8177" s="7" t="str">
        <f t="shared" si="638"/>
        <v/>
      </c>
      <c r="N8177" s="7" t="str">
        <f t="shared" si="642"/>
        <v/>
      </c>
      <c r="O8177" s="8"/>
      <c r="P8177" s="26"/>
      <c r="S8177" s="10" t="str">
        <f t="shared" si="639"/>
        <v/>
      </c>
    </row>
    <row r="8178" spans="5:19" x14ac:dyDescent="0.3">
      <c r="E8178" s="9" t="str">
        <f>IF(DADOS!C8178="","",DADOS!C8178)</f>
        <v/>
      </c>
      <c r="F8178" s="9" t="str">
        <f>IF(DADOS!E8178="","",DADOS!E8178)</f>
        <v/>
      </c>
      <c r="G8178" s="9" t="str">
        <f>IF(DADOS!F8178="","",DADOS!F8178)</f>
        <v/>
      </c>
      <c r="K8178" s="6" t="str">
        <f t="shared" si="640"/>
        <v/>
      </c>
      <c r="L8178" s="7" t="str">
        <f t="shared" si="641"/>
        <v/>
      </c>
      <c r="M8178" s="7" t="str">
        <f t="shared" si="638"/>
        <v/>
      </c>
      <c r="N8178" s="7" t="str">
        <f t="shared" si="642"/>
        <v/>
      </c>
      <c r="O8178" s="8"/>
      <c r="P8178" s="26"/>
      <c r="S8178" s="10" t="str">
        <f t="shared" si="639"/>
        <v/>
      </c>
    </row>
    <row r="8179" spans="5:19" x14ac:dyDescent="0.3">
      <c r="E8179" s="9" t="str">
        <f>IF(DADOS!C8179="","",DADOS!C8179)</f>
        <v/>
      </c>
      <c r="F8179" s="9" t="str">
        <f>IF(DADOS!E8179="","",DADOS!E8179)</f>
        <v/>
      </c>
      <c r="G8179" s="9" t="str">
        <f>IF(DADOS!F8179="","",DADOS!F8179)</f>
        <v/>
      </c>
      <c r="K8179" s="6" t="str">
        <f t="shared" si="640"/>
        <v/>
      </c>
      <c r="L8179" s="7" t="str">
        <f t="shared" si="641"/>
        <v/>
      </c>
      <c r="M8179" s="7" t="str">
        <f t="shared" si="638"/>
        <v/>
      </c>
      <c r="N8179" s="7" t="str">
        <f t="shared" si="642"/>
        <v/>
      </c>
      <c r="O8179" s="8"/>
      <c r="P8179" s="26"/>
      <c r="S8179" s="10" t="str">
        <f t="shared" si="639"/>
        <v/>
      </c>
    </row>
    <row r="8180" spans="5:19" x14ac:dyDescent="0.3">
      <c r="E8180" s="9" t="str">
        <f>IF(DADOS!C8180="","",DADOS!C8180)</f>
        <v/>
      </c>
      <c r="F8180" s="9" t="str">
        <f>IF(DADOS!E8180="","",DADOS!E8180)</f>
        <v/>
      </c>
      <c r="G8180" s="9" t="str">
        <f>IF(DADOS!F8180="","",DADOS!F8180)</f>
        <v/>
      </c>
      <c r="K8180" s="6" t="str">
        <f t="shared" si="640"/>
        <v/>
      </c>
      <c r="L8180" s="7" t="str">
        <f t="shared" si="641"/>
        <v/>
      </c>
      <c r="M8180" s="7" t="str">
        <f t="shared" si="638"/>
        <v/>
      </c>
      <c r="N8180" s="7" t="str">
        <f t="shared" si="642"/>
        <v/>
      </c>
      <c r="O8180" s="8"/>
      <c r="P8180" s="26"/>
      <c r="S8180" s="10" t="str">
        <f t="shared" si="639"/>
        <v/>
      </c>
    </row>
    <row r="8181" spans="5:19" x14ac:dyDescent="0.3">
      <c r="E8181" s="9" t="str">
        <f>IF(DADOS!C8181="","",DADOS!C8181)</f>
        <v/>
      </c>
      <c r="F8181" s="9" t="str">
        <f>IF(DADOS!E8181="","",DADOS!E8181)</f>
        <v/>
      </c>
      <c r="G8181" s="9" t="str">
        <f>IF(DADOS!F8181="","",DADOS!F8181)</f>
        <v/>
      </c>
      <c r="K8181" s="6" t="str">
        <f t="shared" si="640"/>
        <v/>
      </c>
      <c r="L8181" s="7" t="str">
        <f t="shared" si="641"/>
        <v/>
      </c>
      <c r="M8181" s="7" t="str">
        <f t="shared" si="638"/>
        <v/>
      </c>
      <c r="N8181" s="7" t="str">
        <f t="shared" si="642"/>
        <v/>
      </c>
      <c r="O8181" s="8"/>
      <c r="P8181" s="26"/>
      <c r="S8181" s="10" t="str">
        <f t="shared" si="639"/>
        <v/>
      </c>
    </row>
    <row r="8182" spans="5:19" x14ac:dyDescent="0.3">
      <c r="E8182" s="9" t="str">
        <f>IF(DADOS!C8182="","",DADOS!C8182)</f>
        <v/>
      </c>
      <c r="F8182" s="9" t="str">
        <f>IF(DADOS!E8182="","",DADOS!E8182)</f>
        <v/>
      </c>
      <c r="G8182" s="9" t="str">
        <f>IF(DADOS!F8182="","",DADOS!F8182)</f>
        <v/>
      </c>
      <c r="K8182" s="6" t="str">
        <f t="shared" si="640"/>
        <v/>
      </c>
      <c r="L8182" s="7" t="str">
        <f t="shared" si="641"/>
        <v/>
      </c>
      <c r="M8182" s="7" t="str">
        <f t="shared" si="638"/>
        <v/>
      </c>
      <c r="N8182" s="7" t="str">
        <f t="shared" si="642"/>
        <v/>
      </c>
      <c r="O8182" s="8"/>
      <c r="P8182" s="26"/>
      <c r="S8182" s="10" t="str">
        <f t="shared" si="639"/>
        <v/>
      </c>
    </row>
    <row r="8183" spans="5:19" x14ac:dyDescent="0.3">
      <c r="E8183" s="9" t="str">
        <f>IF(DADOS!C8183="","",DADOS!C8183)</f>
        <v/>
      </c>
      <c r="F8183" s="9" t="str">
        <f>IF(DADOS!E8183="","",DADOS!E8183)</f>
        <v/>
      </c>
      <c r="G8183" s="9" t="str">
        <f>IF(DADOS!F8183="","",DADOS!F8183)</f>
        <v/>
      </c>
      <c r="K8183" s="6" t="str">
        <f t="shared" si="640"/>
        <v/>
      </c>
      <c r="L8183" s="7" t="str">
        <f t="shared" si="641"/>
        <v/>
      </c>
      <c r="M8183" s="7" t="str">
        <f t="shared" si="638"/>
        <v/>
      </c>
      <c r="N8183" s="7" t="str">
        <f t="shared" si="642"/>
        <v/>
      </c>
      <c r="O8183" s="8"/>
      <c r="P8183" s="26"/>
      <c r="S8183" s="10" t="str">
        <f t="shared" si="639"/>
        <v/>
      </c>
    </row>
    <row r="8184" spans="5:19" x14ac:dyDescent="0.3">
      <c r="E8184" s="9" t="str">
        <f>IF(DADOS!C8184="","",DADOS!C8184)</f>
        <v/>
      </c>
      <c r="F8184" s="9" t="str">
        <f>IF(DADOS!E8184="","",DADOS!E8184)</f>
        <v/>
      </c>
      <c r="G8184" s="9" t="str">
        <f>IF(DADOS!F8184="","",DADOS!F8184)</f>
        <v/>
      </c>
      <c r="K8184" s="6" t="str">
        <f t="shared" si="640"/>
        <v/>
      </c>
      <c r="L8184" s="7" t="str">
        <f t="shared" si="641"/>
        <v/>
      </c>
      <c r="M8184" s="7" t="str">
        <f t="shared" si="638"/>
        <v/>
      </c>
      <c r="N8184" s="7" t="str">
        <f t="shared" si="642"/>
        <v/>
      </c>
      <c r="O8184" s="8"/>
      <c r="P8184" s="26"/>
      <c r="S8184" s="10" t="str">
        <f t="shared" si="639"/>
        <v/>
      </c>
    </row>
    <row r="8185" spans="5:19" x14ac:dyDescent="0.3">
      <c r="E8185" s="9" t="str">
        <f>IF(DADOS!C8185="","",DADOS!C8185)</f>
        <v/>
      </c>
      <c r="F8185" s="9" t="str">
        <f>IF(DADOS!E8185="","",DADOS!E8185)</f>
        <v/>
      </c>
      <c r="G8185" s="9" t="str">
        <f>IF(DADOS!F8185="","",DADOS!F8185)</f>
        <v/>
      </c>
      <c r="K8185" s="6" t="str">
        <f t="shared" si="640"/>
        <v/>
      </c>
      <c r="L8185" s="7" t="str">
        <f t="shared" si="641"/>
        <v/>
      </c>
      <c r="M8185" s="7" t="str">
        <f t="shared" si="638"/>
        <v/>
      </c>
      <c r="N8185" s="7" t="str">
        <f t="shared" si="642"/>
        <v/>
      </c>
      <c r="O8185" s="8"/>
      <c r="P8185" s="26"/>
      <c r="S8185" s="10" t="str">
        <f t="shared" si="639"/>
        <v/>
      </c>
    </row>
    <row r="8186" spans="5:19" x14ac:dyDescent="0.3">
      <c r="E8186" s="9" t="str">
        <f>IF(DADOS!C8186="","",DADOS!C8186)</f>
        <v/>
      </c>
      <c r="F8186" s="9" t="str">
        <f>IF(DADOS!E8186="","",DADOS!E8186)</f>
        <v/>
      </c>
      <c r="G8186" s="9" t="str">
        <f>IF(DADOS!F8186="","",DADOS!F8186)</f>
        <v/>
      </c>
      <c r="K8186" s="6" t="str">
        <f t="shared" si="640"/>
        <v/>
      </c>
      <c r="L8186" s="7" t="str">
        <f t="shared" si="641"/>
        <v/>
      </c>
      <c r="M8186" s="7" t="str">
        <f t="shared" si="638"/>
        <v/>
      </c>
      <c r="N8186" s="7" t="str">
        <f t="shared" si="642"/>
        <v/>
      </c>
      <c r="O8186" s="8"/>
      <c r="P8186" s="26"/>
      <c r="S8186" s="10" t="str">
        <f t="shared" si="639"/>
        <v/>
      </c>
    </row>
    <row r="8187" spans="5:19" x14ac:dyDescent="0.3">
      <c r="E8187" s="9" t="str">
        <f>IF(DADOS!C8187="","",DADOS!C8187)</f>
        <v/>
      </c>
      <c r="F8187" s="9" t="str">
        <f>IF(DADOS!E8187="","",DADOS!E8187)</f>
        <v/>
      </c>
      <c r="G8187" s="9" t="str">
        <f>IF(DADOS!F8187="","",DADOS!F8187)</f>
        <v/>
      </c>
      <c r="K8187" s="6" t="str">
        <f t="shared" si="640"/>
        <v/>
      </c>
      <c r="L8187" s="7" t="str">
        <f t="shared" si="641"/>
        <v/>
      </c>
      <c r="M8187" s="7" t="str">
        <f t="shared" si="638"/>
        <v/>
      </c>
      <c r="N8187" s="7" t="str">
        <f t="shared" si="642"/>
        <v/>
      </c>
      <c r="O8187" s="8"/>
      <c r="P8187" s="26"/>
      <c r="S8187" s="10" t="str">
        <f t="shared" si="639"/>
        <v/>
      </c>
    </row>
    <row r="8188" spans="5:19" x14ac:dyDescent="0.3">
      <c r="E8188" s="9" t="str">
        <f>IF(DADOS!C8188="","",DADOS!C8188)</f>
        <v/>
      </c>
      <c r="F8188" s="9" t="str">
        <f>IF(DADOS!E8188="","",DADOS!E8188)</f>
        <v/>
      </c>
      <c r="G8188" s="9" t="str">
        <f>IF(DADOS!F8188="","",DADOS!F8188)</f>
        <v/>
      </c>
      <c r="K8188" s="6" t="str">
        <f t="shared" si="640"/>
        <v/>
      </c>
      <c r="L8188" s="7" t="str">
        <f t="shared" si="641"/>
        <v/>
      </c>
      <c r="M8188" s="7" t="str">
        <f t="shared" si="638"/>
        <v/>
      </c>
      <c r="N8188" s="7" t="str">
        <f t="shared" si="642"/>
        <v/>
      </c>
      <c r="O8188" s="8"/>
      <c r="P8188" s="26"/>
      <c r="S8188" s="10" t="str">
        <f t="shared" si="639"/>
        <v/>
      </c>
    </row>
    <row r="8189" spans="5:19" x14ac:dyDescent="0.3">
      <c r="E8189" s="9" t="str">
        <f>IF(DADOS!C8189="","",DADOS!C8189)</f>
        <v/>
      </c>
      <c r="F8189" s="9" t="str">
        <f>IF(DADOS!E8189="","",DADOS!E8189)</f>
        <v/>
      </c>
      <c r="G8189" s="9" t="str">
        <f>IF(DADOS!F8189="","",DADOS!F8189)</f>
        <v/>
      </c>
      <c r="K8189" s="6" t="str">
        <f t="shared" si="640"/>
        <v/>
      </c>
      <c r="L8189" s="7" t="str">
        <f t="shared" si="641"/>
        <v/>
      </c>
      <c r="M8189" s="7" t="str">
        <f t="shared" si="638"/>
        <v/>
      </c>
      <c r="N8189" s="7" t="str">
        <f t="shared" si="642"/>
        <v/>
      </c>
      <c r="O8189" s="8"/>
      <c r="P8189" s="26"/>
      <c r="S8189" s="10" t="str">
        <f t="shared" si="639"/>
        <v/>
      </c>
    </row>
    <row r="8190" spans="5:19" x14ac:dyDescent="0.3">
      <c r="E8190" s="9" t="str">
        <f>IF(DADOS!C8190="","",DADOS!C8190)</f>
        <v/>
      </c>
      <c r="F8190" s="9" t="str">
        <f>IF(DADOS!E8190="","",DADOS!E8190)</f>
        <v/>
      </c>
      <c r="G8190" s="9" t="str">
        <f>IF(DADOS!F8190="","",DADOS!F8190)</f>
        <v/>
      </c>
      <c r="K8190" s="6" t="str">
        <f t="shared" si="640"/>
        <v/>
      </c>
      <c r="L8190" s="7" t="str">
        <f t="shared" si="641"/>
        <v/>
      </c>
      <c r="M8190" s="7" t="str">
        <f t="shared" si="638"/>
        <v/>
      </c>
      <c r="N8190" s="7" t="str">
        <f t="shared" si="642"/>
        <v/>
      </c>
      <c r="O8190" s="8"/>
      <c r="P8190" s="26"/>
      <c r="S8190" s="10" t="str">
        <f t="shared" si="639"/>
        <v/>
      </c>
    </row>
    <row r="8191" spans="5:19" x14ac:dyDescent="0.3">
      <c r="E8191" s="9" t="str">
        <f>IF(DADOS!C8191="","",DADOS!C8191)</f>
        <v/>
      </c>
      <c r="F8191" s="9" t="str">
        <f>IF(DADOS!E8191="","",DADOS!E8191)</f>
        <v/>
      </c>
      <c r="G8191" s="9" t="str">
        <f>IF(DADOS!F8191="","",DADOS!F8191)</f>
        <v/>
      </c>
      <c r="K8191" s="6" t="str">
        <f t="shared" si="640"/>
        <v/>
      </c>
      <c r="L8191" s="7" t="str">
        <f t="shared" si="641"/>
        <v/>
      </c>
      <c r="M8191" s="7" t="str">
        <f t="shared" si="638"/>
        <v/>
      </c>
      <c r="N8191" s="7" t="str">
        <f t="shared" si="642"/>
        <v/>
      </c>
      <c r="O8191" s="8"/>
      <c r="P8191" s="26"/>
      <c r="S8191" s="10" t="str">
        <f t="shared" si="639"/>
        <v/>
      </c>
    </row>
    <row r="8192" spans="5:19" x14ac:dyDescent="0.3">
      <c r="E8192" s="9" t="str">
        <f>IF(DADOS!C8192="","",DADOS!C8192)</f>
        <v/>
      </c>
      <c r="F8192" s="9" t="str">
        <f>IF(DADOS!E8192="","",DADOS!E8192)</f>
        <v/>
      </c>
      <c r="G8192" s="9" t="str">
        <f>IF(DADOS!F8192="","",DADOS!F8192)</f>
        <v/>
      </c>
      <c r="K8192" s="6" t="str">
        <f t="shared" si="640"/>
        <v/>
      </c>
      <c r="L8192" s="7" t="str">
        <f t="shared" si="641"/>
        <v/>
      </c>
      <c r="M8192" s="7" t="str">
        <f t="shared" si="638"/>
        <v/>
      </c>
      <c r="N8192" s="7" t="str">
        <f t="shared" si="642"/>
        <v/>
      </c>
      <c r="O8192" s="8"/>
      <c r="P8192" s="26"/>
      <c r="S8192" s="10" t="str">
        <f t="shared" si="639"/>
        <v/>
      </c>
    </row>
    <row r="8193" spans="5:19" x14ac:dyDescent="0.3">
      <c r="E8193" s="9" t="str">
        <f>IF(DADOS!C8193="","",DADOS!C8193)</f>
        <v/>
      </c>
      <c r="F8193" s="9" t="str">
        <f>IF(DADOS!E8193="","",DADOS!E8193)</f>
        <v/>
      </c>
      <c r="G8193" s="9" t="str">
        <f>IF(DADOS!F8193="","",DADOS!F8193)</f>
        <v/>
      </c>
      <c r="K8193" s="6" t="str">
        <f t="shared" si="640"/>
        <v/>
      </c>
      <c r="L8193" s="7" t="str">
        <f t="shared" si="641"/>
        <v/>
      </c>
      <c r="M8193" s="7" t="str">
        <f t="shared" si="638"/>
        <v/>
      </c>
      <c r="N8193" s="7" t="str">
        <f t="shared" si="642"/>
        <v/>
      </c>
      <c r="O8193" s="8"/>
      <c r="P8193" s="26"/>
      <c r="S8193" s="10" t="str">
        <f t="shared" si="639"/>
        <v/>
      </c>
    </row>
    <row r="8194" spans="5:19" x14ac:dyDescent="0.3">
      <c r="E8194" s="9" t="str">
        <f>IF(DADOS!C8194="","",DADOS!C8194)</f>
        <v/>
      </c>
      <c r="F8194" s="9" t="str">
        <f>IF(DADOS!E8194="","",DADOS!E8194)</f>
        <v/>
      </c>
      <c r="G8194" s="9" t="str">
        <f>IF(DADOS!F8194="","",DADOS!F8194)</f>
        <v/>
      </c>
      <c r="K8194" s="6" t="str">
        <f t="shared" si="640"/>
        <v/>
      </c>
      <c r="L8194" s="7" t="str">
        <f t="shared" si="641"/>
        <v/>
      </c>
      <c r="M8194" s="7" t="str">
        <f t="shared" si="638"/>
        <v/>
      </c>
      <c r="N8194" s="7" t="str">
        <f t="shared" si="642"/>
        <v/>
      </c>
      <c r="O8194" s="8"/>
      <c r="P8194" s="26"/>
      <c r="S8194" s="10" t="str">
        <f t="shared" si="639"/>
        <v/>
      </c>
    </row>
    <row r="8195" spans="5:19" x14ac:dyDescent="0.3">
      <c r="E8195" s="9" t="str">
        <f>IF(DADOS!C8195="","",DADOS!C8195)</f>
        <v/>
      </c>
      <c r="F8195" s="9" t="str">
        <f>IF(DADOS!E8195="","",DADOS!E8195)</f>
        <v/>
      </c>
      <c r="G8195" s="9" t="str">
        <f>IF(DADOS!F8195="","",DADOS!F8195)</f>
        <v/>
      </c>
      <c r="K8195" s="6" t="str">
        <f t="shared" si="640"/>
        <v/>
      </c>
      <c r="L8195" s="7" t="str">
        <f t="shared" si="641"/>
        <v/>
      </c>
      <c r="M8195" s="7" t="str">
        <f t="shared" ref="M8195:M8258" si="643">IF(L8195="","",L8195*G8195)</f>
        <v/>
      </c>
      <c r="N8195" s="7" t="str">
        <f t="shared" si="642"/>
        <v/>
      </c>
      <c r="O8195" s="8"/>
      <c r="P8195" s="26"/>
      <c r="S8195" s="10" t="str">
        <f t="shared" ref="S8195:S8258" si="644">IF(R8195="","",SUMIFS($N$3:$N$10000,$E$3:$E$10000,R8195))</f>
        <v/>
      </c>
    </row>
    <row r="8196" spans="5:19" x14ac:dyDescent="0.3">
      <c r="E8196" s="9" t="str">
        <f>IF(DADOS!C8196="","",DADOS!C8196)</f>
        <v/>
      </c>
      <c r="F8196" s="9" t="str">
        <f>IF(DADOS!E8196="","",DADOS!E8196)</f>
        <v/>
      </c>
      <c r="G8196" s="9" t="str">
        <f>IF(DADOS!F8196="","",DADOS!F8196)</f>
        <v/>
      </c>
      <c r="K8196" s="6" t="str">
        <f t="shared" ref="K8196:K8259" si="645">IF(F8196="","",F8196/PI())</f>
        <v/>
      </c>
      <c r="L8196" s="7" t="str">
        <f t="shared" ref="L8196:L8259" si="646">IF(K8196="","",(PI()*K8196^2)/40000)</f>
        <v/>
      </c>
      <c r="M8196" s="7" t="str">
        <f t="shared" si="643"/>
        <v/>
      </c>
      <c r="N8196" s="7" t="str">
        <f t="shared" ref="N8196:N8259" si="647">IF(M8196="","",M8196*N$1)</f>
        <v/>
      </c>
      <c r="O8196" s="8"/>
      <c r="P8196" s="26"/>
      <c r="S8196" s="10" t="str">
        <f t="shared" si="644"/>
        <v/>
      </c>
    </row>
    <row r="8197" spans="5:19" x14ac:dyDescent="0.3">
      <c r="E8197" s="9" t="str">
        <f>IF(DADOS!C8197="","",DADOS!C8197)</f>
        <v/>
      </c>
      <c r="F8197" s="9" t="str">
        <f>IF(DADOS!E8197="","",DADOS!E8197)</f>
        <v/>
      </c>
      <c r="G8197" s="9" t="str">
        <f>IF(DADOS!F8197="","",DADOS!F8197)</f>
        <v/>
      </c>
      <c r="K8197" s="6" t="str">
        <f t="shared" si="645"/>
        <v/>
      </c>
      <c r="L8197" s="7" t="str">
        <f t="shared" si="646"/>
        <v/>
      </c>
      <c r="M8197" s="7" t="str">
        <f t="shared" si="643"/>
        <v/>
      </c>
      <c r="N8197" s="7" t="str">
        <f t="shared" si="647"/>
        <v/>
      </c>
      <c r="O8197" s="8"/>
      <c r="P8197" s="26"/>
      <c r="S8197" s="10" t="str">
        <f t="shared" si="644"/>
        <v/>
      </c>
    </row>
    <row r="8198" spans="5:19" x14ac:dyDescent="0.3">
      <c r="E8198" s="9" t="str">
        <f>IF(DADOS!C8198="","",DADOS!C8198)</f>
        <v/>
      </c>
      <c r="F8198" s="9" t="str">
        <f>IF(DADOS!E8198="","",DADOS!E8198)</f>
        <v/>
      </c>
      <c r="G8198" s="9" t="str">
        <f>IF(DADOS!F8198="","",DADOS!F8198)</f>
        <v/>
      </c>
      <c r="K8198" s="6" t="str">
        <f t="shared" si="645"/>
        <v/>
      </c>
      <c r="L8198" s="7" t="str">
        <f t="shared" si="646"/>
        <v/>
      </c>
      <c r="M8198" s="7" t="str">
        <f t="shared" si="643"/>
        <v/>
      </c>
      <c r="N8198" s="7" t="str">
        <f t="shared" si="647"/>
        <v/>
      </c>
      <c r="O8198" s="8"/>
      <c r="P8198" s="26"/>
      <c r="S8198" s="10" t="str">
        <f t="shared" si="644"/>
        <v/>
      </c>
    </row>
    <row r="8199" spans="5:19" x14ac:dyDescent="0.3">
      <c r="E8199" s="9" t="str">
        <f>IF(DADOS!C8199="","",DADOS!C8199)</f>
        <v/>
      </c>
      <c r="F8199" s="9" t="str">
        <f>IF(DADOS!E8199="","",DADOS!E8199)</f>
        <v/>
      </c>
      <c r="G8199" s="9" t="str">
        <f>IF(DADOS!F8199="","",DADOS!F8199)</f>
        <v/>
      </c>
      <c r="K8199" s="6" t="str">
        <f t="shared" si="645"/>
        <v/>
      </c>
      <c r="L8199" s="7" t="str">
        <f t="shared" si="646"/>
        <v/>
      </c>
      <c r="M8199" s="7" t="str">
        <f t="shared" si="643"/>
        <v/>
      </c>
      <c r="N8199" s="7" t="str">
        <f t="shared" si="647"/>
        <v/>
      </c>
      <c r="O8199" s="8"/>
      <c r="P8199" s="26"/>
      <c r="S8199" s="10" t="str">
        <f t="shared" si="644"/>
        <v/>
      </c>
    </row>
    <row r="8200" spans="5:19" x14ac:dyDescent="0.3">
      <c r="E8200" s="9" t="str">
        <f>IF(DADOS!C8200="","",DADOS!C8200)</f>
        <v/>
      </c>
      <c r="F8200" s="9" t="str">
        <f>IF(DADOS!E8200="","",DADOS!E8200)</f>
        <v/>
      </c>
      <c r="G8200" s="9" t="str">
        <f>IF(DADOS!F8200="","",DADOS!F8200)</f>
        <v/>
      </c>
      <c r="K8200" s="6" t="str">
        <f t="shared" si="645"/>
        <v/>
      </c>
      <c r="L8200" s="7" t="str">
        <f t="shared" si="646"/>
        <v/>
      </c>
      <c r="M8200" s="7" t="str">
        <f t="shared" si="643"/>
        <v/>
      </c>
      <c r="N8200" s="7" t="str">
        <f t="shared" si="647"/>
        <v/>
      </c>
      <c r="O8200" s="8"/>
      <c r="P8200" s="26"/>
      <c r="S8200" s="10" t="str">
        <f t="shared" si="644"/>
        <v/>
      </c>
    </row>
    <row r="8201" spans="5:19" x14ac:dyDescent="0.3">
      <c r="E8201" s="9" t="str">
        <f>IF(DADOS!C8201="","",DADOS!C8201)</f>
        <v/>
      </c>
      <c r="F8201" s="9" t="str">
        <f>IF(DADOS!E8201="","",DADOS!E8201)</f>
        <v/>
      </c>
      <c r="G8201" s="9" t="str">
        <f>IF(DADOS!F8201="","",DADOS!F8201)</f>
        <v/>
      </c>
      <c r="K8201" s="6" t="str">
        <f t="shared" si="645"/>
        <v/>
      </c>
      <c r="L8201" s="7" t="str">
        <f t="shared" si="646"/>
        <v/>
      </c>
      <c r="M8201" s="7" t="str">
        <f t="shared" si="643"/>
        <v/>
      </c>
      <c r="N8201" s="7" t="str">
        <f t="shared" si="647"/>
        <v/>
      </c>
      <c r="O8201" s="8"/>
      <c r="P8201" s="26"/>
      <c r="S8201" s="10" t="str">
        <f t="shared" si="644"/>
        <v/>
      </c>
    </row>
    <row r="8202" spans="5:19" x14ac:dyDescent="0.3">
      <c r="E8202" s="9" t="str">
        <f>IF(DADOS!C8202="","",DADOS!C8202)</f>
        <v/>
      </c>
      <c r="F8202" s="9" t="str">
        <f>IF(DADOS!E8202="","",DADOS!E8202)</f>
        <v/>
      </c>
      <c r="G8202" s="9" t="str">
        <f>IF(DADOS!F8202="","",DADOS!F8202)</f>
        <v/>
      </c>
      <c r="K8202" s="6" t="str">
        <f t="shared" si="645"/>
        <v/>
      </c>
      <c r="L8202" s="7" t="str">
        <f t="shared" si="646"/>
        <v/>
      </c>
      <c r="M8202" s="7" t="str">
        <f t="shared" si="643"/>
        <v/>
      </c>
      <c r="N8202" s="7" t="str">
        <f t="shared" si="647"/>
        <v/>
      </c>
      <c r="O8202" s="8"/>
      <c r="P8202" s="26"/>
      <c r="S8202" s="10" t="str">
        <f t="shared" si="644"/>
        <v/>
      </c>
    </row>
    <row r="8203" spans="5:19" x14ac:dyDescent="0.3">
      <c r="E8203" s="9" t="str">
        <f>IF(DADOS!C8203="","",DADOS!C8203)</f>
        <v/>
      </c>
      <c r="F8203" s="9" t="str">
        <f>IF(DADOS!E8203="","",DADOS!E8203)</f>
        <v/>
      </c>
      <c r="G8203" s="9" t="str">
        <f>IF(DADOS!F8203="","",DADOS!F8203)</f>
        <v/>
      </c>
      <c r="K8203" s="6" t="str">
        <f t="shared" si="645"/>
        <v/>
      </c>
      <c r="L8203" s="7" t="str">
        <f t="shared" si="646"/>
        <v/>
      </c>
      <c r="M8203" s="7" t="str">
        <f t="shared" si="643"/>
        <v/>
      </c>
      <c r="N8203" s="7" t="str">
        <f t="shared" si="647"/>
        <v/>
      </c>
      <c r="O8203" s="8"/>
      <c r="P8203" s="26"/>
      <c r="S8203" s="10" t="str">
        <f t="shared" si="644"/>
        <v/>
      </c>
    </row>
    <row r="8204" spans="5:19" x14ac:dyDescent="0.3">
      <c r="E8204" s="9" t="str">
        <f>IF(DADOS!C8204="","",DADOS!C8204)</f>
        <v/>
      </c>
      <c r="F8204" s="9" t="str">
        <f>IF(DADOS!E8204="","",DADOS!E8204)</f>
        <v/>
      </c>
      <c r="G8204" s="9" t="str">
        <f>IF(DADOS!F8204="","",DADOS!F8204)</f>
        <v/>
      </c>
      <c r="K8204" s="6" t="str">
        <f t="shared" si="645"/>
        <v/>
      </c>
      <c r="L8204" s="7" t="str">
        <f t="shared" si="646"/>
        <v/>
      </c>
      <c r="M8204" s="7" t="str">
        <f t="shared" si="643"/>
        <v/>
      </c>
      <c r="N8204" s="7" t="str">
        <f t="shared" si="647"/>
        <v/>
      </c>
      <c r="O8204" s="8"/>
      <c r="P8204" s="26"/>
      <c r="S8204" s="10" t="str">
        <f t="shared" si="644"/>
        <v/>
      </c>
    </row>
    <row r="8205" spans="5:19" x14ac:dyDescent="0.3">
      <c r="E8205" s="9" t="str">
        <f>IF(DADOS!C8205="","",DADOS!C8205)</f>
        <v/>
      </c>
      <c r="F8205" s="9" t="str">
        <f>IF(DADOS!E8205="","",DADOS!E8205)</f>
        <v/>
      </c>
      <c r="G8205" s="9" t="str">
        <f>IF(DADOS!F8205="","",DADOS!F8205)</f>
        <v/>
      </c>
      <c r="K8205" s="6" t="str">
        <f t="shared" si="645"/>
        <v/>
      </c>
      <c r="L8205" s="7" t="str">
        <f t="shared" si="646"/>
        <v/>
      </c>
      <c r="M8205" s="7" t="str">
        <f t="shared" si="643"/>
        <v/>
      </c>
      <c r="N8205" s="7" t="str">
        <f t="shared" si="647"/>
        <v/>
      </c>
      <c r="O8205" s="8"/>
      <c r="P8205" s="26"/>
      <c r="S8205" s="10" t="str">
        <f t="shared" si="644"/>
        <v/>
      </c>
    </row>
    <row r="8206" spans="5:19" x14ac:dyDescent="0.3">
      <c r="E8206" s="9" t="str">
        <f>IF(DADOS!C8206="","",DADOS!C8206)</f>
        <v/>
      </c>
      <c r="F8206" s="9" t="str">
        <f>IF(DADOS!E8206="","",DADOS!E8206)</f>
        <v/>
      </c>
      <c r="G8206" s="9" t="str">
        <f>IF(DADOS!F8206="","",DADOS!F8206)</f>
        <v/>
      </c>
      <c r="K8206" s="6" t="str">
        <f t="shared" si="645"/>
        <v/>
      </c>
      <c r="L8206" s="7" t="str">
        <f t="shared" si="646"/>
        <v/>
      </c>
      <c r="M8206" s="7" t="str">
        <f t="shared" si="643"/>
        <v/>
      </c>
      <c r="N8206" s="7" t="str">
        <f t="shared" si="647"/>
        <v/>
      </c>
      <c r="O8206" s="8"/>
      <c r="P8206" s="26"/>
      <c r="S8206" s="10" t="str">
        <f t="shared" si="644"/>
        <v/>
      </c>
    </row>
    <row r="8207" spans="5:19" x14ac:dyDescent="0.3">
      <c r="E8207" s="9" t="str">
        <f>IF(DADOS!C8207="","",DADOS!C8207)</f>
        <v/>
      </c>
      <c r="F8207" s="9" t="str">
        <f>IF(DADOS!E8207="","",DADOS!E8207)</f>
        <v/>
      </c>
      <c r="G8207" s="9" t="str">
        <f>IF(DADOS!F8207="","",DADOS!F8207)</f>
        <v/>
      </c>
      <c r="K8207" s="6" t="str">
        <f t="shared" si="645"/>
        <v/>
      </c>
      <c r="L8207" s="7" t="str">
        <f t="shared" si="646"/>
        <v/>
      </c>
      <c r="M8207" s="7" t="str">
        <f t="shared" si="643"/>
        <v/>
      </c>
      <c r="N8207" s="7" t="str">
        <f t="shared" si="647"/>
        <v/>
      </c>
      <c r="O8207" s="8"/>
      <c r="P8207" s="26"/>
      <c r="S8207" s="10" t="str">
        <f t="shared" si="644"/>
        <v/>
      </c>
    </row>
    <row r="8208" spans="5:19" x14ac:dyDescent="0.3">
      <c r="E8208" s="9" t="str">
        <f>IF(DADOS!C8208="","",DADOS!C8208)</f>
        <v/>
      </c>
      <c r="F8208" s="9" t="str">
        <f>IF(DADOS!E8208="","",DADOS!E8208)</f>
        <v/>
      </c>
      <c r="G8208" s="9" t="str">
        <f>IF(DADOS!F8208="","",DADOS!F8208)</f>
        <v/>
      </c>
      <c r="K8208" s="6" t="str">
        <f t="shared" si="645"/>
        <v/>
      </c>
      <c r="L8208" s="7" t="str">
        <f t="shared" si="646"/>
        <v/>
      </c>
      <c r="M8208" s="7" t="str">
        <f t="shared" si="643"/>
        <v/>
      </c>
      <c r="N8208" s="7" t="str">
        <f t="shared" si="647"/>
        <v/>
      </c>
      <c r="O8208" s="8"/>
      <c r="P8208" s="26"/>
      <c r="S8208" s="10" t="str">
        <f t="shared" si="644"/>
        <v/>
      </c>
    </row>
    <row r="8209" spans="5:19" x14ac:dyDescent="0.3">
      <c r="E8209" s="9" t="str">
        <f>IF(DADOS!C8209="","",DADOS!C8209)</f>
        <v/>
      </c>
      <c r="F8209" s="9" t="str">
        <f>IF(DADOS!E8209="","",DADOS!E8209)</f>
        <v/>
      </c>
      <c r="G8209" s="9" t="str">
        <f>IF(DADOS!F8209="","",DADOS!F8209)</f>
        <v/>
      </c>
      <c r="K8209" s="6" t="str">
        <f t="shared" si="645"/>
        <v/>
      </c>
      <c r="L8209" s="7" t="str">
        <f t="shared" si="646"/>
        <v/>
      </c>
      <c r="M8209" s="7" t="str">
        <f t="shared" si="643"/>
        <v/>
      </c>
      <c r="N8209" s="7" t="str">
        <f t="shared" si="647"/>
        <v/>
      </c>
      <c r="O8209" s="8"/>
      <c r="P8209" s="26"/>
      <c r="S8209" s="10" t="str">
        <f t="shared" si="644"/>
        <v/>
      </c>
    </row>
    <row r="8210" spans="5:19" x14ac:dyDescent="0.3">
      <c r="E8210" s="9" t="str">
        <f>IF(DADOS!C8210="","",DADOS!C8210)</f>
        <v/>
      </c>
      <c r="F8210" s="9" t="str">
        <f>IF(DADOS!E8210="","",DADOS!E8210)</f>
        <v/>
      </c>
      <c r="G8210" s="9" t="str">
        <f>IF(DADOS!F8210="","",DADOS!F8210)</f>
        <v/>
      </c>
      <c r="K8210" s="6" t="str">
        <f t="shared" si="645"/>
        <v/>
      </c>
      <c r="L8210" s="7" t="str">
        <f t="shared" si="646"/>
        <v/>
      </c>
      <c r="M8210" s="7" t="str">
        <f t="shared" si="643"/>
        <v/>
      </c>
      <c r="N8210" s="7" t="str">
        <f t="shared" si="647"/>
        <v/>
      </c>
      <c r="O8210" s="8"/>
      <c r="P8210" s="26"/>
      <c r="S8210" s="10" t="str">
        <f t="shared" si="644"/>
        <v/>
      </c>
    </row>
    <row r="8211" spans="5:19" x14ac:dyDescent="0.3">
      <c r="E8211" s="9" t="str">
        <f>IF(DADOS!C8211="","",DADOS!C8211)</f>
        <v/>
      </c>
      <c r="F8211" s="9" t="str">
        <f>IF(DADOS!E8211="","",DADOS!E8211)</f>
        <v/>
      </c>
      <c r="G8211" s="9" t="str">
        <f>IF(DADOS!F8211="","",DADOS!F8211)</f>
        <v/>
      </c>
      <c r="K8211" s="6" t="str">
        <f t="shared" si="645"/>
        <v/>
      </c>
      <c r="L8211" s="7" t="str">
        <f t="shared" si="646"/>
        <v/>
      </c>
      <c r="M8211" s="7" t="str">
        <f t="shared" si="643"/>
        <v/>
      </c>
      <c r="N8211" s="7" t="str">
        <f t="shared" si="647"/>
        <v/>
      </c>
      <c r="O8211" s="8"/>
      <c r="P8211" s="26"/>
      <c r="S8211" s="10" t="str">
        <f t="shared" si="644"/>
        <v/>
      </c>
    </row>
    <row r="8212" spans="5:19" x14ac:dyDescent="0.3">
      <c r="E8212" s="9" t="str">
        <f>IF(DADOS!C8212="","",DADOS!C8212)</f>
        <v/>
      </c>
      <c r="F8212" s="9" t="str">
        <f>IF(DADOS!E8212="","",DADOS!E8212)</f>
        <v/>
      </c>
      <c r="G8212" s="9" t="str">
        <f>IF(DADOS!F8212="","",DADOS!F8212)</f>
        <v/>
      </c>
      <c r="K8212" s="6" t="str">
        <f t="shared" si="645"/>
        <v/>
      </c>
      <c r="L8212" s="7" t="str">
        <f t="shared" si="646"/>
        <v/>
      </c>
      <c r="M8212" s="7" t="str">
        <f t="shared" si="643"/>
        <v/>
      </c>
      <c r="N8212" s="7" t="str">
        <f t="shared" si="647"/>
        <v/>
      </c>
      <c r="O8212" s="8"/>
      <c r="P8212" s="26"/>
      <c r="S8212" s="10" t="str">
        <f t="shared" si="644"/>
        <v/>
      </c>
    </row>
    <row r="8213" spans="5:19" x14ac:dyDescent="0.3">
      <c r="E8213" s="9" t="str">
        <f>IF(DADOS!C8213="","",DADOS!C8213)</f>
        <v/>
      </c>
      <c r="F8213" s="9" t="str">
        <f>IF(DADOS!E8213="","",DADOS!E8213)</f>
        <v/>
      </c>
      <c r="G8213" s="9" t="str">
        <f>IF(DADOS!F8213="","",DADOS!F8213)</f>
        <v/>
      </c>
      <c r="K8213" s="6" t="str">
        <f t="shared" si="645"/>
        <v/>
      </c>
      <c r="L8213" s="7" t="str">
        <f t="shared" si="646"/>
        <v/>
      </c>
      <c r="M8213" s="7" t="str">
        <f t="shared" si="643"/>
        <v/>
      </c>
      <c r="N8213" s="7" t="str">
        <f t="shared" si="647"/>
        <v/>
      </c>
      <c r="O8213" s="8"/>
      <c r="P8213" s="26"/>
      <c r="S8213" s="10" t="str">
        <f t="shared" si="644"/>
        <v/>
      </c>
    </row>
    <row r="8214" spans="5:19" x14ac:dyDescent="0.3">
      <c r="E8214" s="9" t="str">
        <f>IF(DADOS!C8214="","",DADOS!C8214)</f>
        <v/>
      </c>
      <c r="F8214" s="9" t="str">
        <f>IF(DADOS!E8214="","",DADOS!E8214)</f>
        <v/>
      </c>
      <c r="G8214" s="9" t="str">
        <f>IF(DADOS!F8214="","",DADOS!F8214)</f>
        <v/>
      </c>
      <c r="K8214" s="6" t="str">
        <f t="shared" si="645"/>
        <v/>
      </c>
      <c r="L8214" s="7" t="str">
        <f t="shared" si="646"/>
        <v/>
      </c>
      <c r="M8214" s="7" t="str">
        <f t="shared" si="643"/>
        <v/>
      </c>
      <c r="N8214" s="7" t="str">
        <f t="shared" si="647"/>
        <v/>
      </c>
      <c r="O8214" s="8"/>
      <c r="P8214" s="26"/>
      <c r="S8214" s="10" t="str">
        <f t="shared" si="644"/>
        <v/>
      </c>
    </row>
    <row r="8215" spans="5:19" x14ac:dyDescent="0.3">
      <c r="E8215" s="9" t="str">
        <f>IF(DADOS!C8215="","",DADOS!C8215)</f>
        <v/>
      </c>
      <c r="F8215" s="9" t="str">
        <f>IF(DADOS!E8215="","",DADOS!E8215)</f>
        <v/>
      </c>
      <c r="G8215" s="9" t="str">
        <f>IF(DADOS!F8215="","",DADOS!F8215)</f>
        <v/>
      </c>
      <c r="K8215" s="6" t="str">
        <f t="shared" si="645"/>
        <v/>
      </c>
      <c r="L8215" s="7" t="str">
        <f t="shared" si="646"/>
        <v/>
      </c>
      <c r="M8215" s="7" t="str">
        <f t="shared" si="643"/>
        <v/>
      </c>
      <c r="N8215" s="7" t="str">
        <f t="shared" si="647"/>
        <v/>
      </c>
      <c r="O8215" s="8"/>
      <c r="P8215" s="26"/>
      <c r="S8215" s="10" t="str">
        <f t="shared" si="644"/>
        <v/>
      </c>
    </row>
    <row r="8216" spans="5:19" x14ac:dyDescent="0.3">
      <c r="E8216" s="9" t="str">
        <f>IF(DADOS!C8216="","",DADOS!C8216)</f>
        <v/>
      </c>
      <c r="F8216" s="9" t="str">
        <f>IF(DADOS!E8216="","",DADOS!E8216)</f>
        <v/>
      </c>
      <c r="G8216" s="9" t="str">
        <f>IF(DADOS!F8216="","",DADOS!F8216)</f>
        <v/>
      </c>
      <c r="K8216" s="6" t="str">
        <f t="shared" si="645"/>
        <v/>
      </c>
      <c r="L8216" s="7" t="str">
        <f t="shared" si="646"/>
        <v/>
      </c>
      <c r="M8216" s="7" t="str">
        <f t="shared" si="643"/>
        <v/>
      </c>
      <c r="N8216" s="7" t="str">
        <f t="shared" si="647"/>
        <v/>
      </c>
      <c r="O8216" s="8"/>
      <c r="P8216" s="26"/>
      <c r="S8216" s="10" t="str">
        <f t="shared" si="644"/>
        <v/>
      </c>
    </row>
    <row r="8217" spans="5:19" x14ac:dyDescent="0.3">
      <c r="E8217" s="9" t="str">
        <f>IF(DADOS!C8217="","",DADOS!C8217)</f>
        <v/>
      </c>
      <c r="F8217" s="9" t="str">
        <f>IF(DADOS!E8217="","",DADOS!E8217)</f>
        <v/>
      </c>
      <c r="G8217" s="9" t="str">
        <f>IF(DADOS!F8217="","",DADOS!F8217)</f>
        <v/>
      </c>
      <c r="K8217" s="6" t="str">
        <f t="shared" si="645"/>
        <v/>
      </c>
      <c r="L8217" s="7" t="str">
        <f t="shared" si="646"/>
        <v/>
      </c>
      <c r="M8217" s="7" t="str">
        <f t="shared" si="643"/>
        <v/>
      </c>
      <c r="N8217" s="7" t="str">
        <f t="shared" si="647"/>
        <v/>
      </c>
      <c r="O8217" s="8"/>
      <c r="P8217" s="26"/>
      <c r="S8217" s="10" t="str">
        <f t="shared" si="644"/>
        <v/>
      </c>
    </row>
    <row r="8218" spans="5:19" x14ac:dyDescent="0.3">
      <c r="E8218" s="9" t="str">
        <f>IF(DADOS!C8218="","",DADOS!C8218)</f>
        <v/>
      </c>
      <c r="F8218" s="9" t="str">
        <f>IF(DADOS!E8218="","",DADOS!E8218)</f>
        <v/>
      </c>
      <c r="G8218" s="9" t="str">
        <f>IF(DADOS!F8218="","",DADOS!F8218)</f>
        <v/>
      </c>
      <c r="K8218" s="6" t="str">
        <f t="shared" si="645"/>
        <v/>
      </c>
      <c r="L8218" s="7" t="str">
        <f t="shared" si="646"/>
        <v/>
      </c>
      <c r="M8218" s="7" t="str">
        <f t="shared" si="643"/>
        <v/>
      </c>
      <c r="N8218" s="7" t="str">
        <f t="shared" si="647"/>
        <v/>
      </c>
      <c r="O8218" s="8"/>
      <c r="P8218" s="26"/>
      <c r="S8218" s="10" t="str">
        <f t="shared" si="644"/>
        <v/>
      </c>
    </row>
    <row r="8219" spans="5:19" x14ac:dyDescent="0.3">
      <c r="E8219" s="9" t="str">
        <f>IF(DADOS!C8219="","",DADOS!C8219)</f>
        <v/>
      </c>
      <c r="F8219" s="9" t="str">
        <f>IF(DADOS!E8219="","",DADOS!E8219)</f>
        <v/>
      </c>
      <c r="G8219" s="9" t="str">
        <f>IF(DADOS!F8219="","",DADOS!F8219)</f>
        <v/>
      </c>
      <c r="K8219" s="6" t="str">
        <f t="shared" si="645"/>
        <v/>
      </c>
      <c r="L8219" s="7" t="str">
        <f t="shared" si="646"/>
        <v/>
      </c>
      <c r="M8219" s="7" t="str">
        <f t="shared" si="643"/>
        <v/>
      </c>
      <c r="N8219" s="7" t="str">
        <f t="shared" si="647"/>
        <v/>
      </c>
      <c r="O8219" s="8"/>
      <c r="P8219" s="26"/>
      <c r="S8219" s="10" t="str">
        <f t="shared" si="644"/>
        <v/>
      </c>
    </row>
    <row r="8220" spans="5:19" x14ac:dyDescent="0.3">
      <c r="E8220" s="9" t="str">
        <f>IF(DADOS!C8220="","",DADOS!C8220)</f>
        <v/>
      </c>
      <c r="F8220" s="9" t="str">
        <f>IF(DADOS!E8220="","",DADOS!E8220)</f>
        <v/>
      </c>
      <c r="G8220" s="9" t="str">
        <f>IF(DADOS!F8220="","",DADOS!F8220)</f>
        <v/>
      </c>
      <c r="K8220" s="6" t="str">
        <f t="shared" si="645"/>
        <v/>
      </c>
      <c r="L8220" s="7" t="str">
        <f t="shared" si="646"/>
        <v/>
      </c>
      <c r="M8220" s="7" t="str">
        <f t="shared" si="643"/>
        <v/>
      </c>
      <c r="N8220" s="7" t="str">
        <f t="shared" si="647"/>
        <v/>
      </c>
      <c r="O8220" s="8"/>
      <c r="P8220" s="26"/>
      <c r="S8220" s="10" t="str">
        <f t="shared" si="644"/>
        <v/>
      </c>
    </row>
    <row r="8221" spans="5:19" x14ac:dyDescent="0.3">
      <c r="E8221" s="9" t="str">
        <f>IF(DADOS!C8221="","",DADOS!C8221)</f>
        <v/>
      </c>
      <c r="F8221" s="9" t="str">
        <f>IF(DADOS!E8221="","",DADOS!E8221)</f>
        <v/>
      </c>
      <c r="G8221" s="9" t="str">
        <f>IF(DADOS!F8221="","",DADOS!F8221)</f>
        <v/>
      </c>
      <c r="K8221" s="6" t="str">
        <f t="shared" si="645"/>
        <v/>
      </c>
      <c r="L8221" s="7" t="str">
        <f t="shared" si="646"/>
        <v/>
      </c>
      <c r="M8221" s="7" t="str">
        <f t="shared" si="643"/>
        <v/>
      </c>
      <c r="N8221" s="7" t="str">
        <f t="shared" si="647"/>
        <v/>
      </c>
      <c r="O8221" s="8"/>
      <c r="P8221" s="26"/>
      <c r="S8221" s="10" t="str">
        <f t="shared" si="644"/>
        <v/>
      </c>
    </row>
    <row r="8222" spans="5:19" x14ac:dyDescent="0.3">
      <c r="E8222" s="9" t="str">
        <f>IF(DADOS!C8222="","",DADOS!C8222)</f>
        <v/>
      </c>
      <c r="F8222" s="9" t="str">
        <f>IF(DADOS!E8222="","",DADOS!E8222)</f>
        <v/>
      </c>
      <c r="G8222" s="9" t="str">
        <f>IF(DADOS!F8222="","",DADOS!F8222)</f>
        <v/>
      </c>
      <c r="K8222" s="6" t="str">
        <f t="shared" si="645"/>
        <v/>
      </c>
      <c r="L8222" s="7" t="str">
        <f t="shared" si="646"/>
        <v/>
      </c>
      <c r="M8222" s="7" t="str">
        <f t="shared" si="643"/>
        <v/>
      </c>
      <c r="N8222" s="7" t="str">
        <f t="shared" si="647"/>
        <v/>
      </c>
      <c r="O8222" s="8"/>
      <c r="P8222" s="26"/>
      <c r="S8222" s="10" t="str">
        <f t="shared" si="644"/>
        <v/>
      </c>
    </row>
    <row r="8223" spans="5:19" x14ac:dyDescent="0.3">
      <c r="E8223" s="9" t="str">
        <f>IF(DADOS!C8223="","",DADOS!C8223)</f>
        <v/>
      </c>
      <c r="F8223" s="9" t="str">
        <f>IF(DADOS!E8223="","",DADOS!E8223)</f>
        <v/>
      </c>
      <c r="G8223" s="9" t="str">
        <f>IF(DADOS!F8223="","",DADOS!F8223)</f>
        <v/>
      </c>
      <c r="K8223" s="6" t="str">
        <f t="shared" si="645"/>
        <v/>
      </c>
      <c r="L8223" s="7" t="str">
        <f t="shared" si="646"/>
        <v/>
      </c>
      <c r="M8223" s="7" t="str">
        <f t="shared" si="643"/>
        <v/>
      </c>
      <c r="N8223" s="7" t="str">
        <f t="shared" si="647"/>
        <v/>
      </c>
      <c r="O8223" s="8"/>
      <c r="P8223" s="26"/>
      <c r="S8223" s="10" t="str">
        <f t="shared" si="644"/>
        <v/>
      </c>
    </row>
    <row r="8224" spans="5:19" x14ac:dyDescent="0.3">
      <c r="E8224" s="9" t="str">
        <f>IF(DADOS!C8224="","",DADOS!C8224)</f>
        <v/>
      </c>
      <c r="F8224" s="9" t="str">
        <f>IF(DADOS!E8224="","",DADOS!E8224)</f>
        <v/>
      </c>
      <c r="G8224" s="9" t="str">
        <f>IF(DADOS!F8224="","",DADOS!F8224)</f>
        <v/>
      </c>
      <c r="K8224" s="6" t="str">
        <f t="shared" si="645"/>
        <v/>
      </c>
      <c r="L8224" s="7" t="str">
        <f t="shared" si="646"/>
        <v/>
      </c>
      <c r="M8224" s="7" t="str">
        <f t="shared" si="643"/>
        <v/>
      </c>
      <c r="N8224" s="7" t="str">
        <f t="shared" si="647"/>
        <v/>
      </c>
      <c r="O8224" s="8"/>
      <c r="P8224" s="26"/>
      <c r="S8224" s="10" t="str">
        <f t="shared" si="644"/>
        <v/>
      </c>
    </row>
    <row r="8225" spans="5:19" x14ac:dyDescent="0.3">
      <c r="E8225" s="9" t="str">
        <f>IF(DADOS!C8225="","",DADOS!C8225)</f>
        <v/>
      </c>
      <c r="F8225" s="9" t="str">
        <f>IF(DADOS!E8225="","",DADOS!E8225)</f>
        <v/>
      </c>
      <c r="G8225" s="9" t="str">
        <f>IF(DADOS!F8225="","",DADOS!F8225)</f>
        <v/>
      </c>
      <c r="K8225" s="6" t="str">
        <f t="shared" si="645"/>
        <v/>
      </c>
      <c r="L8225" s="7" t="str">
        <f t="shared" si="646"/>
        <v/>
      </c>
      <c r="M8225" s="7" t="str">
        <f t="shared" si="643"/>
        <v/>
      </c>
      <c r="N8225" s="7" t="str">
        <f t="shared" si="647"/>
        <v/>
      </c>
      <c r="O8225" s="8"/>
      <c r="P8225" s="26"/>
      <c r="S8225" s="10" t="str">
        <f t="shared" si="644"/>
        <v/>
      </c>
    </row>
    <row r="8226" spans="5:19" x14ac:dyDescent="0.3">
      <c r="E8226" s="9" t="str">
        <f>IF(DADOS!C8226="","",DADOS!C8226)</f>
        <v/>
      </c>
      <c r="F8226" s="9" t="str">
        <f>IF(DADOS!E8226="","",DADOS!E8226)</f>
        <v/>
      </c>
      <c r="G8226" s="9" t="str">
        <f>IF(DADOS!F8226="","",DADOS!F8226)</f>
        <v/>
      </c>
      <c r="K8226" s="6" t="str">
        <f t="shared" si="645"/>
        <v/>
      </c>
      <c r="L8226" s="7" t="str">
        <f t="shared" si="646"/>
        <v/>
      </c>
      <c r="M8226" s="7" t="str">
        <f t="shared" si="643"/>
        <v/>
      </c>
      <c r="N8226" s="7" t="str">
        <f t="shared" si="647"/>
        <v/>
      </c>
      <c r="O8226" s="8"/>
      <c r="P8226" s="26"/>
      <c r="S8226" s="10" t="str">
        <f t="shared" si="644"/>
        <v/>
      </c>
    </row>
    <row r="8227" spans="5:19" x14ac:dyDescent="0.3">
      <c r="E8227" s="9" t="str">
        <f>IF(DADOS!C8227="","",DADOS!C8227)</f>
        <v/>
      </c>
      <c r="F8227" s="9" t="str">
        <f>IF(DADOS!E8227="","",DADOS!E8227)</f>
        <v/>
      </c>
      <c r="G8227" s="9" t="str">
        <f>IF(DADOS!F8227="","",DADOS!F8227)</f>
        <v/>
      </c>
      <c r="K8227" s="6" t="str">
        <f t="shared" si="645"/>
        <v/>
      </c>
      <c r="L8227" s="7" t="str">
        <f t="shared" si="646"/>
        <v/>
      </c>
      <c r="M8227" s="7" t="str">
        <f t="shared" si="643"/>
        <v/>
      </c>
      <c r="N8227" s="7" t="str">
        <f t="shared" si="647"/>
        <v/>
      </c>
      <c r="O8227" s="8"/>
      <c r="P8227" s="26"/>
      <c r="S8227" s="10" t="str">
        <f t="shared" si="644"/>
        <v/>
      </c>
    </row>
    <row r="8228" spans="5:19" x14ac:dyDescent="0.3">
      <c r="E8228" s="9" t="str">
        <f>IF(DADOS!C8228="","",DADOS!C8228)</f>
        <v/>
      </c>
      <c r="F8228" s="9" t="str">
        <f>IF(DADOS!E8228="","",DADOS!E8228)</f>
        <v/>
      </c>
      <c r="G8228" s="9" t="str">
        <f>IF(DADOS!F8228="","",DADOS!F8228)</f>
        <v/>
      </c>
      <c r="K8228" s="6" t="str">
        <f t="shared" si="645"/>
        <v/>
      </c>
      <c r="L8228" s="7" t="str">
        <f t="shared" si="646"/>
        <v/>
      </c>
      <c r="M8228" s="7" t="str">
        <f t="shared" si="643"/>
        <v/>
      </c>
      <c r="N8228" s="7" t="str">
        <f t="shared" si="647"/>
        <v/>
      </c>
      <c r="O8228" s="8"/>
      <c r="P8228" s="26"/>
      <c r="S8228" s="10" t="str">
        <f t="shared" si="644"/>
        <v/>
      </c>
    </row>
    <row r="8229" spans="5:19" x14ac:dyDescent="0.3">
      <c r="E8229" s="9" t="str">
        <f>IF(DADOS!C8229="","",DADOS!C8229)</f>
        <v/>
      </c>
      <c r="F8229" s="9" t="str">
        <f>IF(DADOS!E8229="","",DADOS!E8229)</f>
        <v/>
      </c>
      <c r="G8229" s="9" t="str">
        <f>IF(DADOS!F8229="","",DADOS!F8229)</f>
        <v/>
      </c>
      <c r="K8229" s="6" t="str">
        <f t="shared" si="645"/>
        <v/>
      </c>
      <c r="L8229" s="7" t="str">
        <f t="shared" si="646"/>
        <v/>
      </c>
      <c r="M8229" s="7" t="str">
        <f t="shared" si="643"/>
        <v/>
      </c>
      <c r="N8229" s="7" t="str">
        <f t="shared" si="647"/>
        <v/>
      </c>
      <c r="O8229" s="8"/>
      <c r="P8229" s="26"/>
      <c r="S8229" s="10" t="str">
        <f t="shared" si="644"/>
        <v/>
      </c>
    </row>
    <row r="8230" spans="5:19" x14ac:dyDescent="0.3">
      <c r="E8230" s="9" t="str">
        <f>IF(DADOS!C8230="","",DADOS!C8230)</f>
        <v/>
      </c>
      <c r="F8230" s="9" t="str">
        <f>IF(DADOS!E8230="","",DADOS!E8230)</f>
        <v/>
      </c>
      <c r="G8230" s="9" t="str">
        <f>IF(DADOS!F8230="","",DADOS!F8230)</f>
        <v/>
      </c>
      <c r="K8230" s="6" t="str">
        <f t="shared" si="645"/>
        <v/>
      </c>
      <c r="L8230" s="7" t="str">
        <f t="shared" si="646"/>
        <v/>
      </c>
      <c r="M8230" s="7" t="str">
        <f t="shared" si="643"/>
        <v/>
      </c>
      <c r="N8230" s="7" t="str">
        <f t="shared" si="647"/>
        <v/>
      </c>
      <c r="O8230" s="8"/>
      <c r="P8230" s="26"/>
      <c r="S8230" s="10" t="str">
        <f t="shared" si="644"/>
        <v/>
      </c>
    </row>
    <row r="8231" spans="5:19" x14ac:dyDescent="0.3">
      <c r="E8231" s="9" t="str">
        <f>IF(DADOS!C8231="","",DADOS!C8231)</f>
        <v/>
      </c>
      <c r="F8231" s="9" t="str">
        <f>IF(DADOS!E8231="","",DADOS!E8231)</f>
        <v/>
      </c>
      <c r="G8231" s="9" t="str">
        <f>IF(DADOS!F8231="","",DADOS!F8231)</f>
        <v/>
      </c>
      <c r="K8231" s="6" t="str">
        <f t="shared" si="645"/>
        <v/>
      </c>
      <c r="L8231" s="7" t="str">
        <f t="shared" si="646"/>
        <v/>
      </c>
      <c r="M8231" s="7" t="str">
        <f t="shared" si="643"/>
        <v/>
      </c>
      <c r="N8231" s="7" t="str">
        <f t="shared" si="647"/>
        <v/>
      </c>
      <c r="O8231" s="8"/>
      <c r="P8231" s="26"/>
      <c r="S8231" s="10" t="str">
        <f t="shared" si="644"/>
        <v/>
      </c>
    </row>
    <row r="8232" spans="5:19" x14ac:dyDescent="0.3">
      <c r="E8232" s="9" t="str">
        <f>IF(DADOS!C8232="","",DADOS!C8232)</f>
        <v/>
      </c>
      <c r="F8232" s="9" t="str">
        <f>IF(DADOS!E8232="","",DADOS!E8232)</f>
        <v/>
      </c>
      <c r="G8232" s="9" t="str">
        <f>IF(DADOS!F8232="","",DADOS!F8232)</f>
        <v/>
      </c>
      <c r="K8232" s="6" t="str">
        <f t="shared" si="645"/>
        <v/>
      </c>
      <c r="L8232" s="7" t="str">
        <f t="shared" si="646"/>
        <v/>
      </c>
      <c r="M8232" s="7" t="str">
        <f t="shared" si="643"/>
        <v/>
      </c>
      <c r="N8232" s="7" t="str">
        <f t="shared" si="647"/>
        <v/>
      </c>
      <c r="O8232" s="8"/>
      <c r="P8232" s="26"/>
      <c r="S8232" s="10" t="str">
        <f t="shared" si="644"/>
        <v/>
      </c>
    </row>
    <row r="8233" spans="5:19" x14ac:dyDescent="0.3">
      <c r="E8233" s="9" t="str">
        <f>IF(DADOS!C8233="","",DADOS!C8233)</f>
        <v/>
      </c>
      <c r="F8233" s="9" t="str">
        <f>IF(DADOS!E8233="","",DADOS!E8233)</f>
        <v/>
      </c>
      <c r="G8233" s="9" t="str">
        <f>IF(DADOS!F8233="","",DADOS!F8233)</f>
        <v/>
      </c>
      <c r="K8233" s="6" t="str">
        <f t="shared" si="645"/>
        <v/>
      </c>
      <c r="L8233" s="7" t="str">
        <f t="shared" si="646"/>
        <v/>
      </c>
      <c r="M8233" s="7" t="str">
        <f t="shared" si="643"/>
        <v/>
      </c>
      <c r="N8233" s="7" t="str">
        <f t="shared" si="647"/>
        <v/>
      </c>
      <c r="O8233" s="8"/>
      <c r="P8233" s="26"/>
      <c r="S8233" s="10" t="str">
        <f t="shared" si="644"/>
        <v/>
      </c>
    </row>
    <row r="8234" spans="5:19" x14ac:dyDescent="0.3">
      <c r="E8234" s="9" t="str">
        <f>IF(DADOS!C8234="","",DADOS!C8234)</f>
        <v/>
      </c>
      <c r="F8234" s="9" t="str">
        <f>IF(DADOS!E8234="","",DADOS!E8234)</f>
        <v/>
      </c>
      <c r="G8234" s="9" t="str">
        <f>IF(DADOS!F8234="","",DADOS!F8234)</f>
        <v/>
      </c>
      <c r="K8234" s="6" t="str">
        <f t="shared" si="645"/>
        <v/>
      </c>
      <c r="L8234" s="7" t="str">
        <f t="shared" si="646"/>
        <v/>
      </c>
      <c r="M8234" s="7" t="str">
        <f t="shared" si="643"/>
        <v/>
      </c>
      <c r="N8234" s="7" t="str">
        <f t="shared" si="647"/>
        <v/>
      </c>
      <c r="O8234" s="8"/>
      <c r="P8234" s="26"/>
      <c r="S8234" s="10" t="str">
        <f t="shared" si="644"/>
        <v/>
      </c>
    </row>
    <row r="8235" spans="5:19" x14ac:dyDescent="0.3">
      <c r="E8235" s="9" t="str">
        <f>IF(DADOS!C8235="","",DADOS!C8235)</f>
        <v/>
      </c>
      <c r="F8235" s="9" t="str">
        <f>IF(DADOS!E8235="","",DADOS!E8235)</f>
        <v/>
      </c>
      <c r="G8235" s="9" t="str">
        <f>IF(DADOS!F8235="","",DADOS!F8235)</f>
        <v/>
      </c>
      <c r="K8235" s="6" t="str">
        <f t="shared" si="645"/>
        <v/>
      </c>
      <c r="L8235" s="7" t="str">
        <f t="shared" si="646"/>
        <v/>
      </c>
      <c r="M8235" s="7" t="str">
        <f t="shared" si="643"/>
        <v/>
      </c>
      <c r="N8235" s="7" t="str">
        <f t="shared" si="647"/>
        <v/>
      </c>
      <c r="O8235" s="8"/>
      <c r="P8235" s="26"/>
      <c r="S8235" s="10" t="str">
        <f t="shared" si="644"/>
        <v/>
      </c>
    </row>
    <row r="8236" spans="5:19" x14ac:dyDescent="0.3">
      <c r="E8236" s="9" t="str">
        <f>IF(DADOS!C8236="","",DADOS!C8236)</f>
        <v/>
      </c>
      <c r="F8236" s="9" t="str">
        <f>IF(DADOS!E8236="","",DADOS!E8236)</f>
        <v/>
      </c>
      <c r="G8236" s="9" t="str">
        <f>IF(DADOS!F8236="","",DADOS!F8236)</f>
        <v/>
      </c>
      <c r="K8236" s="6" t="str">
        <f t="shared" si="645"/>
        <v/>
      </c>
      <c r="L8236" s="7" t="str">
        <f t="shared" si="646"/>
        <v/>
      </c>
      <c r="M8236" s="7" t="str">
        <f t="shared" si="643"/>
        <v/>
      </c>
      <c r="N8236" s="7" t="str">
        <f t="shared" si="647"/>
        <v/>
      </c>
      <c r="O8236" s="8"/>
      <c r="P8236" s="26"/>
      <c r="S8236" s="10" t="str">
        <f t="shared" si="644"/>
        <v/>
      </c>
    </row>
    <row r="8237" spans="5:19" x14ac:dyDescent="0.3">
      <c r="E8237" s="9" t="str">
        <f>IF(DADOS!C8237="","",DADOS!C8237)</f>
        <v/>
      </c>
      <c r="F8237" s="9" t="str">
        <f>IF(DADOS!E8237="","",DADOS!E8237)</f>
        <v/>
      </c>
      <c r="G8237" s="9" t="str">
        <f>IF(DADOS!F8237="","",DADOS!F8237)</f>
        <v/>
      </c>
      <c r="K8237" s="6" t="str">
        <f t="shared" si="645"/>
        <v/>
      </c>
      <c r="L8237" s="7" t="str">
        <f t="shared" si="646"/>
        <v/>
      </c>
      <c r="M8237" s="7" t="str">
        <f t="shared" si="643"/>
        <v/>
      </c>
      <c r="N8237" s="7" t="str">
        <f t="shared" si="647"/>
        <v/>
      </c>
      <c r="O8237" s="8"/>
      <c r="P8237" s="26"/>
      <c r="S8237" s="10" t="str">
        <f t="shared" si="644"/>
        <v/>
      </c>
    </row>
    <row r="8238" spans="5:19" x14ac:dyDescent="0.3">
      <c r="E8238" s="9" t="str">
        <f>IF(DADOS!C8238="","",DADOS!C8238)</f>
        <v/>
      </c>
      <c r="F8238" s="9" t="str">
        <f>IF(DADOS!E8238="","",DADOS!E8238)</f>
        <v/>
      </c>
      <c r="G8238" s="9" t="str">
        <f>IF(DADOS!F8238="","",DADOS!F8238)</f>
        <v/>
      </c>
      <c r="K8238" s="6" t="str">
        <f t="shared" si="645"/>
        <v/>
      </c>
      <c r="L8238" s="7" t="str">
        <f t="shared" si="646"/>
        <v/>
      </c>
      <c r="M8238" s="7" t="str">
        <f t="shared" si="643"/>
        <v/>
      </c>
      <c r="N8238" s="7" t="str">
        <f t="shared" si="647"/>
        <v/>
      </c>
      <c r="O8238" s="8"/>
      <c r="P8238" s="26"/>
      <c r="S8238" s="10" t="str">
        <f t="shared" si="644"/>
        <v/>
      </c>
    </row>
    <row r="8239" spans="5:19" x14ac:dyDescent="0.3">
      <c r="E8239" s="9" t="str">
        <f>IF(DADOS!C8239="","",DADOS!C8239)</f>
        <v/>
      </c>
      <c r="F8239" s="9" t="str">
        <f>IF(DADOS!E8239="","",DADOS!E8239)</f>
        <v/>
      </c>
      <c r="G8239" s="9" t="str">
        <f>IF(DADOS!F8239="","",DADOS!F8239)</f>
        <v/>
      </c>
      <c r="K8239" s="6" t="str">
        <f t="shared" si="645"/>
        <v/>
      </c>
      <c r="L8239" s="7" t="str">
        <f t="shared" si="646"/>
        <v/>
      </c>
      <c r="M8239" s="7" t="str">
        <f t="shared" si="643"/>
        <v/>
      </c>
      <c r="N8239" s="7" t="str">
        <f t="shared" si="647"/>
        <v/>
      </c>
      <c r="O8239" s="8"/>
      <c r="P8239" s="26"/>
      <c r="S8239" s="10" t="str">
        <f t="shared" si="644"/>
        <v/>
      </c>
    </row>
    <row r="8240" spans="5:19" x14ac:dyDescent="0.3">
      <c r="E8240" s="9" t="str">
        <f>IF(DADOS!C8240="","",DADOS!C8240)</f>
        <v/>
      </c>
      <c r="F8240" s="9" t="str">
        <f>IF(DADOS!E8240="","",DADOS!E8240)</f>
        <v/>
      </c>
      <c r="G8240" s="9" t="str">
        <f>IF(DADOS!F8240="","",DADOS!F8240)</f>
        <v/>
      </c>
      <c r="K8240" s="6" t="str">
        <f t="shared" si="645"/>
        <v/>
      </c>
      <c r="L8240" s="7" t="str">
        <f t="shared" si="646"/>
        <v/>
      </c>
      <c r="M8240" s="7" t="str">
        <f t="shared" si="643"/>
        <v/>
      </c>
      <c r="N8240" s="7" t="str">
        <f t="shared" si="647"/>
        <v/>
      </c>
      <c r="O8240" s="8"/>
      <c r="P8240" s="26"/>
      <c r="S8240" s="10" t="str">
        <f t="shared" si="644"/>
        <v/>
      </c>
    </row>
    <row r="8241" spans="5:19" x14ac:dyDescent="0.3">
      <c r="E8241" s="9" t="str">
        <f>IF(DADOS!C8241="","",DADOS!C8241)</f>
        <v/>
      </c>
      <c r="F8241" s="9" t="str">
        <f>IF(DADOS!E8241="","",DADOS!E8241)</f>
        <v/>
      </c>
      <c r="G8241" s="9" t="str">
        <f>IF(DADOS!F8241="","",DADOS!F8241)</f>
        <v/>
      </c>
      <c r="K8241" s="6" t="str">
        <f t="shared" si="645"/>
        <v/>
      </c>
      <c r="L8241" s="7" t="str">
        <f t="shared" si="646"/>
        <v/>
      </c>
      <c r="M8241" s="7" t="str">
        <f t="shared" si="643"/>
        <v/>
      </c>
      <c r="N8241" s="7" t="str">
        <f t="shared" si="647"/>
        <v/>
      </c>
      <c r="O8241" s="8"/>
      <c r="P8241" s="26"/>
      <c r="S8241" s="10" t="str">
        <f t="shared" si="644"/>
        <v/>
      </c>
    </row>
    <row r="8242" spans="5:19" x14ac:dyDescent="0.3">
      <c r="E8242" s="9" t="str">
        <f>IF(DADOS!C8242="","",DADOS!C8242)</f>
        <v/>
      </c>
      <c r="F8242" s="9" t="str">
        <f>IF(DADOS!E8242="","",DADOS!E8242)</f>
        <v/>
      </c>
      <c r="G8242" s="9" t="str">
        <f>IF(DADOS!F8242="","",DADOS!F8242)</f>
        <v/>
      </c>
      <c r="K8242" s="6" t="str">
        <f t="shared" si="645"/>
        <v/>
      </c>
      <c r="L8242" s="7" t="str">
        <f t="shared" si="646"/>
        <v/>
      </c>
      <c r="M8242" s="7" t="str">
        <f t="shared" si="643"/>
        <v/>
      </c>
      <c r="N8242" s="7" t="str">
        <f t="shared" si="647"/>
        <v/>
      </c>
      <c r="O8242" s="8"/>
      <c r="P8242" s="26"/>
      <c r="S8242" s="10" t="str">
        <f t="shared" si="644"/>
        <v/>
      </c>
    </row>
    <row r="8243" spans="5:19" x14ac:dyDescent="0.3">
      <c r="E8243" s="9" t="str">
        <f>IF(DADOS!C8243="","",DADOS!C8243)</f>
        <v/>
      </c>
      <c r="F8243" s="9" t="str">
        <f>IF(DADOS!E8243="","",DADOS!E8243)</f>
        <v/>
      </c>
      <c r="G8243" s="9" t="str">
        <f>IF(DADOS!F8243="","",DADOS!F8243)</f>
        <v/>
      </c>
      <c r="K8243" s="6" t="str">
        <f t="shared" si="645"/>
        <v/>
      </c>
      <c r="L8243" s="7" t="str">
        <f t="shared" si="646"/>
        <v/>
      </c>
      <c r="M8243" s="7" t="str">
        <f t="shared" si="643"/>
        <v/>
      </c>
      <c r="N8243" s="7" t="str">
        <f t="shared" si="647"/>
        <v/>
      </c>
      <c r="O8243" s="8"/>
      <c r="P8243" s="26"/>
      <c r="S8243" s="10" t="str">
        <f t="shared" si="644"/>
        <v/>
      </c>
    </row>
    <row r="8244" spans="5:19" x14ac:dyDescent="0.3">
      <c r="E8244" s="9" t="str">
        <f>IF(DADOS!C8244="","",DADOS!C8244)</f>
        <v/>
      </c>
      <c r="F8244" s="9" t="str">
        <f>IF(DADOS!E8244="","",DADOS!E8244)</f>
        <v/>
      </c>
      <c r="G8244" s="9" t="str">
        <f>IF(DADOS!F8244="","",DADOS!F8244)</f>
        <v/>
      </c>
      <c r="K8244" s="6" t="str">
        <f t="shared" si="645"/>
        <v/>
      </c>
      <c r="L8244" s="7" t="str">
        <f t="shared" si="646"/>
        <v/>
      </c>
      <c r="M8244" s="7" t="str">
        <f t="shared" si="643"/>
        <v/>
      </c>
      <c r="N8244" s="7" t="str">
        <f t="shared" si="647"/>
        <v/>
      </c>
      <c r="O8244" s="8"/>
      <c r="P8244" s="26"/>
      <c r="S8244" s="10" t="str">
        <f t="shared" si="644"/>
        <v/>
      </c>
    </row>
    <row r="8245" spans="5:19" x14ac:dyDescent="0.3">
      <c r="E8245" s="9" t="str">
        <f>IF(DADOS!C8245="","",DADOS!C8245)</f>
        <v/>
      </c>
      <c r="F8245" s="9" t="str">
        <f>IF(DADOS!E8245="","",DADOS!E8245)</f>
        <v/>
      </c>
      <c r="G8245" s="9" t="str">
        <f>IF(DADOS!F8245="","",DADOS!F8245)</f>
        <v/>
      </c>
      <c r="K8245" s="6" t="str">
        <f t="shared" si="645"/>
        <v/>
      </c>
      <c r="L8245" s="7" t="str">
        <f t="shared" si="646"/>
        <v/>
      </c>
      <c r="M8245" s="7" t="str">
        <f t="shared" si="643"/>
        <v/>
      </c>
      <c r="N8245" s="7" t="str">
        <f t="shared" si="647"/>
        <v/>
      </c>
      <c r="O8245" s="8"/>
      <c r="P8245" s="26"/>
      <c r="S8245" s="10" t="str">
        <f t="shared" si="644"/>
        <v/>
      </c>
    </row>
    <row r="8246" spans="5:19" x14ac:dyDescent="0.3">
      <c r="E8246" s="9" t="str">
        <f>IF(DADOS!C8246="","",DADOS!C8246)</f>
        <v/>
      </c>
      <c r="F8246" s="9" t="str">
        <f>IF(DADOS!E8246="","",DADOS!E8246)</f>
        <v/>
      </c>
      <c r="G8246" s="9" t="str">
        <f>IF(DADOS!F8246="","",DADOS!F8246)</f>
        <v/>
      </c>
      <c r="K8246" s="6" t="str">
        <f t="shared" si="645"/>
        <v/>
      </c>
      <c r="L8246" s="7" t="str">
        <f t="shared" si="646"/>
        <v/>
      </c>
      <c r="M8246" s="7" t="str">
        <f t="shared" si="643"/>
        <v/>
      </c>
      <c r="N8246" s="7" t="str">
        <f t="shared" si="647"/>
        <v/>
      </c>
      <c r="O8246" s="8"/>
      <c r="P8246" s="26"/>
      <c r="S8246" s="10" t="str">
        <f t="shared" si="644"/>
        <v/>
      </c>
    </row>
    <row r="8247" spans="5:19" x14ac:dyDescent="0.3">
      <c r="E8247" s="9" t="str">
        <f>IF(DADOS!C8247="","",DADOS!C8247)</f>
        <v/>
      </c>
      <c r="F8247" s="9" t="str">
        <f>IF(DADOS!E8247="","",DADOS!E8247)</f>
        <v/>
      </c>
      <c r="G8247" s="9" t="str">
        <f>IF(DADOS!F8247="","",DADOS!F8247)</f>
        <v/>
      </c>
      <c r="K8247" s="6" t="str">
        <f t="shared" si="645"/>
        <v/>
      </c>
      <c r="L8247" s="7" t="str">
        <f t="shared" si="646"/>
        <v/>
      </c>
      <c r="M8247" s="7" t="str">
        <f t="shared" si="643"/>
        <v/>
      </c>
      <c r="N8247" s="7" t="str">
        <f t="shared" si="647"/>
        <v/>
      </c>
      <c r="O8247" s="8"/>
      <c r="P8247" s="26"/>
      <c r="S8247" s="10" t="str">
        <f t="shared" si="644"/>
        <v/>
      </c>
    </row>
    <row r="8248" spans="5:19" x14ac:dyDescent="0.3">
      <c r="E8248" s="9" t="str">
        <f>IF(DADOS!C8248="","",DADOS!C8248)</f>
        <v/>
      </c>
      <c r="F8248" s="9" t="str">
        <f>IF(DADOS!E8248="","",DADOS!E8248)</f>
        <v/>
      </c>
      <c r="G8248" s="9" t="str">
        <f>IF(DADOS!F8248="","",DADOS!F8248)</f>
        <v/>
      </c>
      <c r="K8248" s="6" t="str">
        <f t="shared" si="645"/>
        <v/>
      </c>
      <c r="L8248" s="7" t="str">
        <f t="shared" si="646"/>
        <v/>
      </c>
      <c r="M8248" s="7" t="str">
        <f t="shared" si="643"/>
        <v/>
      </c>
      <c r="N8248" s="7" t="str">
        <f t="shared" si="647"/>
        <v/>
      </c>
      <c r="O8248" s="8"/>
      <c r="P8248" s="26"/>
      <c r="S8248" s="10" t="str">
        <f t="shared" si="644"/>
        <v/>
      </c>
    </row>
    <row r="8249" spans="5:19" x14ac:dyDescent="0.3">
      <c r="E8249" s="9" t="str">
        <f>IF(DADOS!C8249="","",DADOS!C8249)</f>
        <v/>
      </c>
      <c r="F8249" s="9" t="str">
        <f>IF(DADOS!E8249="","",DADOS!E8249)</f>
        <v/>
      </c>
      <c r="G8249" s="9" t="str">
        <f>IF(DADOS!F8249="","",DADOS!F8249)</f>
        <v/>
      </c>
      <c r="K8249" s="6" t="str">
        <f t="shared" si="645"/>
        <v/>
      </c>
      <c r="L8249" s="7" t="str">
        <f t="shared" si="646"/>
        <v/>
      </c>
      <c r="M8249" s="7" t="str">
        <f t="shared" si="643"/>
        <v/>
      </c>
      <c r="N8249" s="7" t="str">
        <f t="shared" si="647"/>
        <v/>
      </c>
      <c r="O8249" s="8"/>
      <c r="P8249" s="26"/>
      <c r="S8249" s="10" t="str">
        <f t="shared" si="644"/>
        <v/>
      </c>
    </row>
    <row r="8250" spans="5:19" x14ac:dyDescent="0.3">
      <c r="E8250" s="9" t="str">
        <f>IF(DADOS!C8250="","",DADOS!C8250)</f>
        <v/>
      </c>
      <c r="F8250" s="9" t="str">
        <f>IF(DADOS!E8250="","",DADOS!E8250)</f>
        <v/>
      </c>
      <c r="G8250" s="9" t="str">
        <f>IF(DADOS!F8250="","",DADOS!F8250)</f>
        <v/>
      </c>
      <c r="K8250" s="6" t="str">
        <f t="shared" si="645"/>
        <v/>
      </c>
      <c r="L8250" s="7" t="str">
        <f t="shared" si="646"/>
        <v/>
      </c>
      <c r="M8250" s="7" t="str">
        <f t="shared" si="643"/>
        <v/>
      </c>
      <c r="N8250" s="7" t="str">
        <f t="shared" si="647"/>
        <v/>
      </c>
      <c r="O8250" s="8"/>
      <c r="P8250" s="26"/>
      <c r="S8250" s="10" t="str">
        <f t="shared" si="644"/>
        <v/>
      </c>
    </row>
    <row r="8251" spans="5:19" x14ac:dyDescent="0.3">
      <c r="E8251" s="9" t="str">
        <f>IF(DADOS!C8251="","",DADOS!C8251)</f>
        <v/>
      </c>
      <c r="F8251" s="9" t="str">
        <f>IF(DADOS!E8251="","",DADOS!E8251)</f>
        <v/>
      </c>
      <c r="G8251" s="9" t="str">
        <f>IF(DADOS!F8251="","",DADOS!F8251)</f>
        <v/>
      </c>
      <c r="K8251" s="6" t="str">
        <f t="shared" si="645"/>
        <v/>
      </c>
      <c r="L8251" s="7" t="str">
        <f t="shared" si="646"/>
        <v/>
      </c>
      <c r="M8251" s="7" t="str">
        <f t="shared" si="643"/>
        <v/>
      </c>
      <c r="N8251" s="7" t="str">
        <f t="shared" si="647"/>
        <v/>
      </c>
      <c r="O8251" s="8"/>
      <c r="P8251" s="26"/>
      <c r="S8251" s="10" t="str">
        <f t="shared" si="644"/>
        <v/>
      </c>
    </row>
    <row r="8252" spans="5:19" x14ac:dyDescent="0.3">
      <c r="E8252" s="9" t="str">
        <f>IF(DADOS!C8252="","",DADOS!C8252)</f>
        <v/>
      </c>
      <c r="F8252" s="9" t="str">
        <f>IF(DADOS!E8252="","",DADOS!E8252)</f>
        <v/>
      </c>
      <c r="G8252" s="9" t="str">
        <f>IF(DADOS!F8252="","",DADOS!F8252)</f>
        <v/>
      </c>
      <c r="K8252" s="6" t="str">
        <f t="shared" si="645"/>
        <v/>
      </c>
      <c r="L8252" s="7" t="str">
        <f t="shared" si="646"/>
        <v/>
      </c>
      <c r="M8252" s="7" t="str">
        <f t="shared" si="643"/>
        <v/>
      </c>
      <c r="N8252" s="7" t="str">
        <f t="shared" si="647"/>
        <v/>
      </c>
      <c r="O8252" s="8"/>
      <c r="P8252" s="26"/>
      <c r="S8252" s="10" t="str">
        <f t="shared" si="644"/>
        <v/>
      </c>
    </row>
    <row r="8253" spans="5:19" x14ac:dyDescent="0.3">
      <c r="E8253" s="9" t="str">
        <f>IF(DADOS!C8253="","",DADOS!C8253)</f>
        <v/>
      </c>
      <c r="F8253" s="9" t="str">
        <f>IF(DADOS!E8253="","",DADOS!E8253)</f>
        <v/>
      </c>
      <c r="G8253" s="9" t="str">
        <f>IF(DADOS!F8253="","",DADOS!F8253)</f>
        <v/>
      </c>
      <c r="K8253" s="6" t="str">
        <f t="shared" si="645"/>
        <v/>
      </c>
      <c r="L8253" s="7" t="str">
        <f t="shared" si="646"/>
        <v/>
      </c>
      <c r="M8253" s="7" t="str">
        <f t="shared" si="643"/>
        <v/>
      </c>
      <c r="N8253" s="7" t="str">
        <f t="shared" si="647"/>
        <v/>
      </c>
      <c r="O8253" s="8"/>
      <c r="P8253" s="26"/>
      <c r="S8253" s="10" t="str">
        <f t="shared" si="644"/>
        <v/>
      </c>
    </row>
    <row r="8254" spans="5:19" x14ac:dyDescent="0.3">
      <c r="E8254" s="9" t="str">
        <f>IF(DADOS!C8254="","",DADOS!C8254)</f>
        <v/>
      </c>
      <c r="F8254" s="9" t="str">
        <f>IF(DADOS!E8254="","",DADOS!E8254)</f>
        <v/>
      </c>
      <c r="G8254" s="9" t="str">
        <f>IF(DADOS!F8254="","",DADOS!F8254)</f>
        <v/>
      </c>
      <c r="K8254" s="6" t="str">
        <f t="shared" si="645"/>
        <v/>
      </c>
      <c r="L8254" s="7" t="str">
        <f t="shared" si="646"/>
        <v/>
      </c>
      <c r="M8254" s="7" t="str">
        <f t="shared" si="643"/>
        <v/>
      </c>
      <c r="N8254" s="7" t="str">
        <f t="shared" si="647"/>
        <v/>
      </c>
      <c r="O8254" s="8"/>
      <c r="P8254" s="26"/>
      <c r="S8254" s="10" t="str">
        <f t="shared" si="644"/>
        <v/>
      </c>
    </row>
    <row r="8255" spans="5:19" x14ac:dyDescent="0.3">
      <c r="E8255" s="9" t="str">
        <f>IF(DADOS!C8255="","",DADOS!C8255)</f>
        <v/>
      </c>
      <c r="F8255" s="9" t="str">
        <f>IF(DADOS!E8255="","",DADOS!E8255)</f>
        <v/>
      </c>
      <c r="G8255" s="9" t="str">
        <f>IF(DADOS!F8255="","",DADOS!F8255)</f>
        <v/>
      </c>
      <c r="K8255" s="6" t="str">
        <f t="shared" si="645"/>
        <v/>
      </c>
      <c r="L8255" s="7" t="str">
        <f t="shared" si="646"/>
        <v/>
      </c>
      <c r="M8255" s="7" t="str">
        <f t="shared" si="643"/>
        <v/>
      </c>
      <c r="N8255" s="7" t="str">
        <f t="shared" si="647"/>
        <v/>
      </c>
      <c r="O8255" s="8"/>
      <c r="P8255" s="26"/>
      <c r="S8255" s="10" t="str">
        <f t="shared" si="644"/>
        <v/>
      </c>
    </row>
    <row r="8256" spans="5:19" x14ac:dyDescent="0.3">
      <c r="E8256" s="9" t="str">
        <f>IF(DADOS!C8256="","",DADOS!C8256)</f>
        <v/>
      </c>
      <c r="F8256" s="9" t="str">
        <f>IF(DADOS!E8256="","",DADOS!E8256)</f>
        <v/>
      </c>
      <c r="G8256" s="9" t="str">
        <f>IF(DADOS!F8256="","",DADOS!F8256)</f>
        <v/>
      </c>
      <c r="K8256" s="6" t="str">
        <f t="shared" si="645"/>
        <v/>
      </c>
      <c r="L8256" s="7" t="str">
        <f t="shared" si="646"/>
        <v/>
      </c>
      <c r="M8256" s="7" t="str">
        <f t="shared" si="643"/>
        <v/>
      </c>
      <c r="N8256" s="7" t="str">
        <f t="shared" si="647"/>
        <v/>
      </c>
      <c r="O8256" s="8"/>
      <c r="P8256" s="26"/>
      <c r="S8256" s="10" t="str">
        <f t="shared" si="644"/>
        <v/>
      </c>
    </row>
    <row r="8257" spans="5:19" x14ac:dyDescent="0.3">
      <c r="E8257" s="9" t="str">
        <f>IF(DADOS!C8257="","",DADOS!C8257)</f>
        <v/>
      </c>
      <c r="F8257" s="9" t="str">
        <f>IF(DADOS!E8257="","",DADOS!E8257)</f>
        <v/>
      </c>
      <c r="G8257" s="9" t="str">
        <f>IF(DADOS!F8257="","",DADOS!F8257)</f>
        <v/>
      </c>
      <c r="K8257" s="6" t="str">
        <f t="shared" si="645"/>
        <v/>
      </c>
      <c r="L8257" s="7" t="str">
        <f t="shared" si="646"/>
        <v/>
      </c>
      <c r="M8257" s="7" t="str">
        <f t="shared" si="643"/>
        <v/>
      </c>
      <c r="N8257" s="7" t="str">
        <f t="shared" si="647"/>
        <v/>
      </c>
      <c r="O8257" s="8"/>
      <c r="P8257" s="26"/>
      <c r="S8257" s="10" t="str">
        <f t="shared" si="644"/>
        <v/>
      </c>
    </row>
    <row r="8258" spans="5:19" x14ac:dyDescent="0.3">
      <c r="E8258" s="9" t="str">
        <f>IF(DADOS!C8258="","",DADOS!C8258)</f>
        <v/>
      </c>
      <c r="F8258" s="9" t="str">
        <f>IF(DADOS!E8258="","",DADOS!E8258)</f>
        <v/>
      </c>
      <c r="G8258" s="9" t="str">
        <f>IF(DADOS!F8258="","",DADOS!F8258)</f>
        <v/>
      </c>
      <c r="K8258" s="6" t="str">
        <f t="shared" si="645"/>
        <v/>
      </c>
      <c r="L8258" s="7" t="str">
        <f t="shared" si="646"/>
        <v/>
      </c>
      <c r="M8258" s="7" t="str">
        <f t="shared" si="643"/>
        <v/>
      </c>
      <c r="N8258" s="7" t="str">
        <f t="shared" si="647"/>
        <v/>
      </c>
      <c r="O8258" s="8"/>
      <c r="P8258" s="26"/>
      <c r="S8258" s="10" t="str">
        <f t="shared" si="644"/>
        <v/>
      </c>
    </row>
    <row r="8259" spans="5:19" x14ac:dyDescent="0.3">
      <c r="E8259" s="9" t="str">
        <f>IF(DADOS!C8259="","",DADOS!C8259)</f>
        <v/>
      </c>
      <c r="F8259" s="9" t="str">
        <f>IF(DADOS!E8259="","",DADOS!E8259)</f>
        <v/>
      </c>
      <c r="G8259" s="9" t="str">
        <f>IF(DADOS!F8259="","",DADOS!F8259)</f>
        <v/>
      </c>
      <c r="K8259" s="6" t="str">
        <f t="shared" si="645"/>
        <v/>
      </c>
      <c r="L8259" s="7" t="str">
        <f t="shared" si="646"/>
        <v/>
      </c>
      <c r="M8259" s="7" t="str">
        <f t="shared" ref="M8259:M8322" si="648">IF(L8259="","",L8259*G8259)</f>
        <v/>
      </c>
      <c r="N8259" s="7" t="str">
        <f t="shared" si="647"/>
        <v/>
      </c>
      <c r="O8259" s="8"/>
      <c r="P8259" s="26"/>
      <c r="S8259" s="10" t="str">
        <f t="shared" ref="S8259:S8322" si="649">IF(R8259="","",SUMIFS($N$3:$N$10000,$E$3:$E$10000,R8259))</f>
        <v/>
      </c>
    </row>
    <row r="8260" spans="5:19" x14ac:dyDescent="0.3">
      <c r="E8260" s="9" t="str">
        <f>IF(DADOS!C8260="","",DADOS!C8260)</f>
        <v/>
      </c>
      <c r="F8260" s="9" t="str">
        <f>IF(DADOS!E8260="","",DADOS!E8260)</f>
        <v/>
      </c>
      <c r="G8260" s="9" t="str">
        <f>IF(DADOS!F8260="","",DADOS!F8260)</f>
        <v/>
      </c>
      <c r="K8260" s="6" t="str">
        <f t="shared" ref="K8260:K8323" si="650">IF(F8260="","",F8260/PI())</f>
        <v/>
      </c>
      <c r="L8260" s="7" t="str">
        <f t="shared" ref="L8260:L8323" si="651">IF(K8260="","",(PI()*K8260^2)/40000)</f>
        <v/>
      </c>
      <c r="M8260" s="7" t="str">
        <f t="shared" si="648"/>
        <v/>
      </c>
      <c r="N8260" s="7" t="str">
        <f t="shared" ref="N8260:N8323" si="652">IF(M8260="","",M8260*N$1)</f>
        <v/>
      </c>
      <c r="O8260" s="8"/>
      <c r="P8260" s="26"/>
      <c r="S8260" s="10" t="str">
        <f t="shared" si="649"/>
        <v/>
      </c>
    </row>
    <row r="8261" spans="5:19" x14ac:dyDescent="0.3">
      <c r="E8261" s="9" t="str">
        <f>IF(DADOS!C8261="","",DADOS!C8261)</f>
        <v/>
      </c>
      <c r="F8261" s="9" t="str">
        <f>IF(DADOS!E8261="","",DADOS!E8261)</f>
        <v/>
      </c>
      <c r="G8261" s="9" t="str">
        <f>IF(DADOS!F8261="","",DADOS!F8261)</f>
        <v/>
      </c>
      <c r="K8261" s="6" t="str">
        <f t="shared" si="650"/>
        <v/>
      </c>
      <c r="L8261" s="7" t="str">
        <f t="shared" si="651"/>
        <v/>
      </c>
      <c r="M8261" s="7" t="str">
        <f t="shared" si="648"/>
        <v/>
      </c>
      <c r="N8261" s="7" t="str">
        <f t="shared" si="652"/>
        <v/>
      </c>
      <c r="O8261" s="8"/>
      <c r="P8261" s="26"/>
      <c r="S8261" s="10" t="str">
        <f t="shared" si="649"/>
        <v/>
      </c>
    </row>
    <row r="8262" spans="5:19" x14ac:dyDescent="0.3">
      <c r="E8262" s="9" t="str">
        <f>IF(DADOS!C8262="","",DADOS!C8262)</f>
        <v/>
      </c>
      <c r="F8262" s="9" t="str">
        <f>IF(DADOS!E8262="","",DADOS!E8262)</f>
        <v/>
      </c>
      <c r="G8262" s="9" t="str">
        <f>IF(DADOS!F8262="","",DADOS!F8262)</f>
        <v/>
      </c>
      <c r="K8262" s="6" t="str">
        <f t="shared" si="650"/>
        <v/>
      </c>
      <c r="L8262" s="7" t="str">
        <f t="shared" si="651"/>
        <v/>
      </c>
      <c r="M8262" s="7" t="str">
        <f t="shared" si="648"/>
        <v/>
      </c>
      <c r="N8262" s="7" t="str">
        <f t="shared" si="652"/>
        <v/>
      </c>
      <c r="O8262" s="8"/>
      <c r="P8262" s="26"/>
      <c r="S8262" s="10" t="str">
        <f t="shared" si="649"/>
        <v/>
      </c>
    </row>
    <row r="8263" spans="5:19" x14ac:dyDescent="0.3">
      <c r="E8263" s="9" t="str">
        <f>IF(DADOS!C8263="","",DADOS!C8263)</f>
        <v/>
      </c>
      <c r="F8263" s="9" t="str">
        <f>IF(DADOS!E8263="","",DADOS!E8263)</f>
        <v/>
      </c>
      <c r="G8263" s="9" t="str">
        <f>IF(DADOS!F8263="","",DADOS!F8263)</f>
        <v/>
      </c>
      <c r="K8263" s="6" t="str">
        <f t="shared" si="650"/>
        <v/>
      </c>
      <c r="L8263" s="7" t="str">
        <f t="shared" si="651"/>
        <v/>
      </c>
      <c r="M8263" s="7" t="str">
        <f t="shared" si="648"/>
        <v/>
      </c>
      <c r="N8263" s="7" t="str">
        <f t="shared" si="652"/>
        <v/>
      </c>
      <c r="O8263" s="8"/>
      <c r="P8263" s="26"/>
      <c r="S8263" s="10" t="str">
        <f t="shared" si="649"/>
        <v/>
      </c>
    </row>
    <row r="8264" spans="5:19" x14ac:dyDescent="0.3">
      <c r="E8264" s="9" t="str">
        <f>IF(DADOS!C8264="","",DADOS!C8264)</f>
        <v/>
      </c>
      <c r="F8264" s="9" t="str">
        <f>IF(DADOS!E8264="","",DADOS!E8264)</f>
        <v/>
      </c>
      <c r="G8264" s="9" t="str">
        <f>IF(DADOS!F8264="","",DADOS!F8264)</f>
        <v/>
      </c>
      <c r="K8264" s="6" t="str">
        <f t="shared" si="650"/>
        <v/>
      </c>
      <c r="L8264" s="7" t="str">
        <f t="shared" si="651"/>
        <v/>
      </c>
      <c r="M8264" s="7" t="str">
        <f t="shared" si="648"/>
        <v/>
      </c>
      <c r="N8264" s="7" t="str">
        <f t="shared" si="652"/>
        <v/>
      </c>
      <c r="O8264" s="8"/>
      <c r="P8264" s="26"/>
      <c r="S8264" s="10" t="str">
        <f t="shared" si="649"/>
        <v/>
      </c>
    </row>
    <row r="8265" spans="5:19" x14ac:dyDescent="0.3">
      <c r="E8265" s="9" t="str">
        <f>IF(DADOS!C8265="","",DADOS!C8265)</f>
        <v/>
      </c>
      <c r="F8265" s="9" t="str">
        <f>IF(DADOS!E8265="","",DADOS!E8265)</f>
        <v/>
      </c>
      <c r="G8265" s="9" t="str">
        <f>IF(DADOS!F8265="","",DADOS!F8265)</f>
        <v/>
      </c>
      <c r="K8265" s="6" t="str">
        <f t="shared" si="650"/>
        <v/>
      </c>
      <c r="L8265" s="7" t="str">
        <f t="shared" si="651"/>
        <v/>
      </c>
      <c r="M8265" s="7" t="str">
        <f t="shared" si="648"/>
        <v/>
      </c>
      <c r="N8265" s="7" t="str">
        <f t="shared" si="652"/>
        <v/>
      </c>
      <c r="O8265" s="8"/>
      <c r="P8265" s="26"/>
      <c r="S8265" s="10" t="str">
        <f t="shared" si="649"/>
        <v/>
      </c>
    </row>
    <row r="8266" spans="5:19" x14ac:dyDescent="0.3">
      <c r="E8266" s="9" t="str">
        <f>IF(DADOS!C8266="","",DADOS!C8266)</f>
        <v/>
      </c>
      <c r="F8266" s="9" t="str">
        <f>IF(DADOS!E8266="","",DADOS!E8266)</f>
        <v/>
      </c>
      <c r="G8266" s="9" t="str">
        <f>IF(DADOS!F8266="","",DADOS!F8266)</f>
        <v/>
      </c>
      <c r="K8266" s="6" t="str">
        <f t="shared" si="650"/>
        <v/>
      </c>
      <c r="L8266" s="7" t="str">
        <f t="shared" si="651"/>
        <v/>
      </c>
      <c r="M8266" s="7" t="str">
        <f t="shared" si="648"/>
        <v/>
      </c>
      <c r="N8266" s="7" t="str">
        <f t="shared" si="652"/>
        <v/>
      </c>
      <c r="O8266" s="8"/>
      <c r="P8266" s="26"/>
      <c r="S8266" s="10" t="str">
        <f t="shared" si="649"/>
        <v/>
      </c>
    </row>
    <row r="8267" spans="5:19" x14ac:dyDescent="0.3">
      <c r="E8267" s="9" t="str">
        <f>IF(DADOS!C8267="","",DADOS!C8267)</f>
        <v/>
      </c>
      <c r="F8267" s="9" t="str">
        <f>IF(DADOS!E8267="","",DADOS!E8267)</f>
        <v/>
      </c>
      <c r="G8267" s="9" t="str">
        <f>IF(DADOS!F8267="","",DADOS!F8267)</f>
        <v/>
      </c>
      <c r="K8267" s="6" t="str">
        <f t="shared" si="650"/>
        <v/>
      </c>
      <c r="L8267" s="7" t="str">
        <f t="shared" si="651"/>
        <v/>
      </c>
      <c r="M8267" s="7" t="str">
        <f t="shared" si="648"/>
        <v/>
      </c>
      <c r="N8267" s="7" t="str">
        <f t="shared" si="652"/>
        <v/>
      </c>
      <c r="O8267" s="8"/>
      <c r="P8267" s="26"/>
      <c r="S8267" s="10" t="str">
        <f t="shared" si="649"/>
        <v/>
      </c>
    </row>
    <row r="8268" spans="5:19" x14ac:dyDescent="0.3">
      <c r="E8268" s="9" t="str">
        <f>IF(DADOS!C8268="","",DADOS!C8268)</f>
        <v/>
      </c>
      <c r="F8268" s="9" t="str">
        <f>IF(DADOS!E8268="","",DADOS!E8268)</f>
        <v/>
      </c>
      <c r="G8268" s="9" t="str">
        <f>IF(DADOS!F8268="","",DADOS!F8268)</f>
        <v/>
      </c>
      <c r="K8268" s="6" t="str">
        <f t="shared" si="650"/>
        <v/>
      </c>
      <c r="L8268" s="7" t="str">
        <f t="shared" si="651"/>
        <v/>
      </c>
      <c r="M8268" s="7" t="str">
        <f t="shared" si="648"/>
        <v/>
      </c>
      <c r="N8268" s="7" t="str">
        <f t="shared" si="652"/>
        <v/>
      </c>
      <c r="O8268" s="8"/>
      <c r="P8268" s="26"/>
      <c r="S8268" s="10" t="str">
        <f t="shared" si="649"/>
        <v/>
      </c>
    </row>
    <row r="8269" spans="5:19" x14ac:dyDescent="0.3">
      <c r="E8269" s="9" t="str">
        <f>IF(DADOS!C8269="","",DADOS!C8269)</f>
        <v/>
      </c>
      <c r="F8269" s="9" t="str">
        <f>IF(DADOS!E8269="","",DADOS!E8269)</f>
        <v/>
      </c>
      <c r="G8269" s="9" t="str">
        <f>IF(DADOS!F8269="","",DADOS!F8269)</f>
        <v/>
      </c>
      <c r="K8269" s="6" t="str">
        <f t="shared" si="650"/>
        <v/>
      </c>
      <c r="L8269" s="7" t="str">
        <f t="shared" si="651"/>
        <v/>
      </c>
      <c r="M8269" s="7" t="str">
        <f t="shared" si="648"/>
        <v/>
      </c>
      <c r="N8269" s="7" t="str">
        <f t="shared" si="652"/>
        <v/>
      </c>
      <c r="O8269" s="8"/>
      <c r="P8269" s="26"/>
      <c r="S8269" s="10" t="str">
        <f t="shared" si="649"/>
        <v/>
      </c>
    </row>
    <row r="8270" spans="5:19" x14ac:dyDescent="0.3">
      <c r="E8270" s="9" t="str">
        <f>IF(DADOS!C8270="","",DADOS!C8270)</f>
        <v/>
      </c>
      <c r="F8270" s="9" t="str">
        <f>IF(DADOS!E8270="","",DADOS!E8270)</f>
        <v/>
      </c>
      <c r="G8270" s="9" t="str">
        <f>IF(DADOS!F8270="","",DADOS!F8270)</f>
        <v/>
      </c>
      <c r="K8270" s="6" t="str">
        <f t="shared" si="650"/>
        <v/>
      </c>
      <c r="L8270" s="7" t="str">
        <f t="shared" si="651"/>
        <v/>
      </c>
      <c r="M8270" s="7" t="str">
        <f t="shared" si="648"/>
        <v/>
      </c>
      <c r="N8270" s="7" t="str">
        <f t="shared" si="652"/>
        <v/>
      </c>
      <c r="O8270" s="8"/>
      <c r="P8270" s="26"/>
      <c r="S8270" s="10" t="str">
        <f t="shared" si="649"/>
        <v/>
      </c>
    </row>
    <row r="8271" spans="5:19" x14ac:dyDescent="0.3">
      <c r="E8271" s="9" t="str">
        <f>IF(DADOS!C8271="","",DADOS!C8271)</f>
        <v/>
      </c>
      <c r="F8271" s="9" t="str">
        <f>IF(DADOS!E8271="","",DADOS!E8271)</f>
        <v/>
      </c>
      <c r="G8271" s="9" t="str">
        <f>IF(DADOS!F8271="","",DADOS!F8271)</f>
        <v/>
      </c>
      <c r="K8271" s="6" t="str">
        <f t="shared" si="650"/>
        <v/>
      </c>
      <c r="L8271" s="7" t="str">
        <f t="shared" si="651"/>
        <v/>
      </c>
      <c r="M8271" s="7" t="str">
        <f t="shared" si="648"/>
        <v/>
      </c>
      <c r="N8271" s="7" t="str">
        <f t="shared" si="652"/>
        <v/>
      </c>
      <c r="O8271" s="8"/>
      <c r="P8271" s="26"/>
      <c r="S8271" s="10" t="str">
        <f t="shared" si="649"/>
        <v/>
      </c>
    </row>
    <row r="8272" spans="5:19" x14ac:dyDescent="0.3">
      <c r="E8272" s="9" t="str">
        <f>IF(DADOS!C8272="","",DADOS!C8272)</f>
        <v/>
      </c>
      <c r="F8272" s="9" t="str">
        <f>IF(DADOS!E8272="","",DADOS!E8272)</f>
        <v/>
      </c>
      <c r="G8272" s="9" t="str">
        <f>IF(DADOS!F8272="","",DADOS!F8272)</f>
        <v/>
      </c>
      <c r="K8272" s="6" t="str">
        <f t="shared" si="650"/>
        <v/>
      </c>
      <c r="L8272" s="7" t="str">
        <f t="shared" si="651"/>
        <v/>
      </c>
      <c r="M8272" s="7" t="str">
        <f t="shared" si="648"/>
        <v/>
      </c>
      <c r="N8272" s="7" t="str">
        <f t="shared" si="652"/>
        <v/>
      </c>
      <c r="O8272" s="8"/>
      <c r="P8272" s="26"/>
      <c r="S8272" s="10" t="str">
        <f t="shared" si="649"/>
        <v/>
      </c>
    </row>
    <row r="8273" spans="5:19" x14ac:dyDescent="0.3">
      <c r="E8273" s="9" t="str">
        <f>IF(DADOS!C8273="","",DADOS!C8273)</f>
        <v/>
      </c>
      <c r="F8273" s="9" t="str">
        <f>IF(DADOS!E8273="","",DADOS!E8273)</f>
        <v/>
      </c>
      <c r="G8273" s="9" t="str">
        <f>IF(DADOS!F8273="","",DADOS!F8273)</f>
        <v/>
      </c>
      <c r="K8273" s="6" t="str">
        <f t="shared" si="650"/>
        <v/>
      </c>
      <c r="L8273" s="7" t="str">
        <f t="shared" si="651"/>
        <v/>
      </c>
      <c r="M8273" s="7" t="str">
        <f t="shared" si="648"/>
        <v/>
      </c>
      <c r="N8273" s="7" t="str">
        <f t="shared" si="652"/>
        <v/>
      </c>
      <c r="O8273" s="8"/>
      <c r="P8273" s="26"/>
      <c r="S8273" s="10" t="str">
        <f t="shared" si="649"/>
        <v/>
      </c>
    </row>
    <row r="8274" spans="5:19" x14ac:dyDescent="0.3">
      <c r="E8274" s="9" t="str">
        <f>IF(DADOS!C8274="","",DADOS!C8274)</f>
        <v/>
      </c>
      <c r="F8274" s="9" t="str">
        <f>IF(DADOS!E8274="","",DADOS!E8274)</f>
        <v/>
      </c>
      <c r="G8274" s="9" t="str">
        <f>IF(DADOS!F8274="","",DADOS!F8274)</f>
        <v/>
      </c>
      <c r="K8274" s="6" t="str">
        <f t="shared" si="650"/>
        <v/>
      </c>
      <c r="L8274" s="7" t="str">
        <f t="shared" si="651"/>
        <v/>
      </c>
      <c r="M8274" s="7" t="str">
        <f t="shared" si="648"/>
        <v/>
      </c>
      <c r="N8274" s="7" t="str">
        <f t="shared" si="652"/>
        <v/>
      </c>
      <c r="O8274" s="8"/>
      <c r="P8274" s="26"/>
      <c r="S8274" s="10" t="str">
        <f t="shared" si="649"/>
        <v/>
      </c>
    </row>
    <row r="8275" spans="5:19" x14ac:dyDescent="0.3">
      <c r="E8275" s="9" t="str">
        <f>IF(DADOS!C8275="","",DADOS!C8275)</f>
        <v/>
      </c>
      <c r="F8275" s="9" t="str">
        <f>IF(DADOS!E8275="","",DADOS!E8275)</f>
        <v/>
      </c>
      <c r="G8275" s="9" t="str">
        <f>IF(DADOS!F8275="","",DADOS!F8275)</f>
        <v/>
      </c>
      <c r="K8275" s="6" t="str">
        <f t="shared" si="650"/>
        <v/>
      </c>
      <c r="L8275" s="7" t="str">
        <f t="shared" si="651"/>
        <v/>
      </c>
      <c r="M8275" s="7" t="str">
        <f t="shared" si="648"/>
        <v/>
      </c>
      <c r="N8275" s="7" t="str">
        <f t="shared" si="652"/>
        <v/>
      </c>
      <c r="O8275" s="8"/>
      <c r="P8275" s="26"/>
      <c r="S8275" s="10" t="str">
        <f t="shared" si="649"/>
        <v/>
      </c>
    </row>
    <row r="8276" spans="5:19" x14ac:dyDescent="0.3">
      <c r="E8276" s="9" t="str">
        <f>IF(DADOS!C8276="","",DADOS!C8276)</f>
        <v/>
      </c>
      <c r="F8276" s="9" t="str">
        <f>IF(DADOS!E8276="","",DADOS!E8276)</f>
        <v/>
      </c>
      <c r="G8276" s="9" t="str">
        <f>IF(DADOS!F8276="","",DADOS!F8276)</f>
        <v/>
      </c>
      <c r="K8276" s="6" t="str">
        <f t="shared" si="650"/>
        <v/>
      </c>
      <c r="L8276" s="7" t="str">
        <f t="shared" si="651"/>
        <v/>
      </c>
      <c r="M8276" s="7" t="str">
        <f t="shared" si="648"/>
        <v/>
      </c>
      <c r="N8276" s="7" t="str">
        <f t="shared" si="652"/>
        <v/>
      </c>
      <c r="O8276" s="8"/>
      <c r="P8276" s="26"/>
      <c r="S8276" s="10" t="str">
        <f t="shared" si="649"/>
        <v/>
      </c>
    </row>
    <row r="8277" spans="5:19" x14ac:dyDescent="0.3">
      <c r="E8277" s="9" t="str">
        <f>IF(DADOS!C8277="","",DADOS!C8277)</f>
        <v/>
      </c>
      <c r="F8277" s="9" t="str">
        <f>IF(DADOS!E8277="","",DADOS!E8277)</f>
        <v/>
      </c>
      <c r="G8277" s="9" t="str">
        <f>IF(DADOS!F8277="","",DADOS!F8277)</f>
        <v/>
      </c>
      <c r="K8277" s="6" t="str">
        <f t="shared" si="650"/>
        <v/>
      </c>
      <c r="L8277" s="7" t="str">
        <f t="shared" si="651"/>
        <v/>
      </c>
      <c r="M8277" s="7" t="str">
        <f t="shared" si="648"/>
        <v/>
      </c>
      <c r="N8277" s="7" t="str">
        <f t="shared" si="652"/>
        <v/>
      </c>
      <c r="O8277" s="8"/>
      <c r="P8277" s="26"/>
      <c r="S8277" s="10" t="str">
        <f t="shared" si="649"/>
        <v/>
      </c>
    </row>
    <row r="8278" spans="5:19" x14ac:dyDescent="0.3">
      <c r="E8278" s="9" t="str">
        <f>IF(DADOS!C8278="","",DADOS!C8278)</f>
        <v/>
      </c>
      <c r="F8278" s="9" t="str">
        <f>IF(DADOS!E8278="","",DADOS!E8278)</f>
        <v/>
      </c>
      <c r="G8278" s="9" t="str">
        <f>IF(DADOS!F8278="","",DADOS!F8278)</f>
        <v/>
      </c>
      <c r="K8278" s="6" t="str">
        <f t="shared" si="650"/>
        <v/>
      </c>
      <c r="L8278" s="7" t="str">
        <f t="shared" si="651"/>
        <v/>
      </c>
      <c r="M8278" s="7" t="str">
        <f t="shared" si="648"/>
        <v/>
      </c>
      <c r="N8278" s="7" t="str">
        <f t="shared" si="652"/>
        <v/>
      </c>
      <c r="O8278" s="8"/>
      <c r="P8278" s="26"/>
      <c r="S8278" s="10" t="str">
        <f t="shared" si="649"/>
        <v/>
      </c>
    </row>
    <row r="8279" spans="5:19" x14ac:dyDescent="0.3">
      <c r="E8279" s="9" t="str">
        <f>IF(DADOS!C8279="","",DADOS!C8279)</f>
        <v/>
      </c>
      <c r="F8279" s="9" t="str">
        <f>IF(DADOS!E8279="","",DADOS!E8279)</f>
        <v/>
      </c>
      <c r="G8279" s="9" t="str">
        <f>IF(DADOS!F8279="","",DADOS!F8279)</f>
        <v/>
      </c>
      <c r="K8279" s="6" t="str">
        <f t="shared" si="650"/>
        <v/>
      </c>
      <c r="L8279" s="7" t="str">
        <f t="shared" si="651"/>
        <v/>
      </c>
      <c r="M8279" s="7" t="str">
        <f t="shared" si="648"/>
        <v/>
      </c>
      <c r="N8279" s="7" t="str">
        <f t="shared" si="652"/>
        <v/>
      </c>
      <c r="O8279" s="8"/>
      <c r="P8279" s="26"/>
      <c r="S8279" s="10" t="str">
        <f t="shared" si="649"/>
        <v/>
      </c>
    </row>
    <row r="8280" spans="5:19" x14ac:dyDescent="0.3">
      <c r="E8280" s="9" t="str">
        <f>IF(DADOS!C8280="","",DADOS!C8280)</f>
        <v/>
      </c>
      <c r="F8280" s="9" t="str">
        <f>IF(DADOS!E8280="","",DADOS!E8280)</f>
        <v/>
      </c>
      <c r="G8280" s="9" t="str">
        <f>IF(DADOS!F8280="","",DADOS!F8280)</f>
        <v/>
      </c>
      <c r="K8280" s="6" t="str">
        <f t="shared" si="650"/>
        <v/>
      </c>
      <c r="L8280" s="7" t="str">
        <f t="shared" si="651"/>
        <v/>
      </c>
      <c r="M8280" s="7" t="str">
        <f t="shared" si="648"/>
        <v/>
      </c>
      <c r="N8280" s="7" t="str">
        <f t="shared" si="652"/>
        <v/>
      </c>
      <c r="O8280" s="8"/>
      <c r="P8280" s="26"/>
      <c r="S8280" s="10" t="str">
        <f t="shared" si="649"/>
        <v/>
      </c>
    </row>
    <row r="8281" spans="5:19" x14ac:dyDescent="0.3">
      <c r="E8281" s="9" t="str">
        <f>IF(DADOS!C8281="","",DADOS!C8281)</f>
        <v/>
      </c>
      <c r="F8281" s="9" t="str">
        <f>IF(DADOS!E8281="","",DADOS!E8281)</f>
        <v/>
      </c>
      <c r="G8281" s="9" t="str">
        <f>IF(DADOS!F8281="","",DADOS!F8281)</f>
        <v/>
      </c>
      <c r="K8281" s="6" t="str">
        <f t="shared" si="650"/>
        <v/>
      </c>
      <c r="L8281" s="7" t="str">
        <f t="shared" si="651"/>
        <v/>
      </c>
      <c r="M8281" s="7" t="str">
        <f t="shared" si="648"/>
        <v/>
      </c>
      <c r="N8281" s="7" t="str">
        <f t="shared" si="652"/>
        <v/>
      </c>
      <c r="O8281" s="8"/>
      <c r="P8281" s="26"/>
      <c r="S8281" s="10" t="str">
        <f t="shared" si="649"/>
        <v/>
      </c>
    </row>
    <row r="8282" spans="5:19" x14ac:dyDescent="0.3">
      <c r="E8282" s="9" t="str">
        <f>IF(DADOS!C8282="","",DADOS!C8282)</f>
        <v/>
      </c>
      <c r="F8282" s="9" t="str">
        <f>IF(DADOS!E8282="","",DADOS!E8282)</f>
        <v/>
      </c>
      <c r="G8282" s="9" t="str">
        <f>IF(DADOS!F8282="","",DADOS!F8282)</f>
        <v/>
      </c>
      <c r="K8282" s="6" t="str">
        <f t="shared" si="650"/>
        <v/>
      </c>
      <c r="L8282" s="7" t="str">
        <f t="shared" si="651"/>
        <v/>
      </c>
      <c r="M8282" s="7" t="str">
        <f t="shared" si="648"/>
        <v/>
      </c>
      <c r="N8282" s="7" t="str">
        <f t="shared" si="652"/>
        <v/>
      </c>
      <c r="O8282" s="8"/>
      <c r="P8282" s="26"/>
      <c r="S8282" s="10" t="str">
        <f t="shared" si="649"/>
        <v/>
      </c>
    </row>
    <row r="8283" spans="5:19" x14ac:dyDescent="0.3">
      <c r="E8283" s="9" t="str">
        <f>IF(DADOS!C8283="","",DADOS!C8283)</f>
        <v/>
      </c>
      <c r="F8283" s="9" t="str">
        <f>IF(DADOS!E8283="","",DADOS!E8283)</f>
        <v/>
      </c>
      <c r="G8283" s="9" t="str">
        <f>IF(DADOS!F8283="","",DADOS!F8283)</f>
        <v/>
      </c>
      <c r="K8283" s="6" t="str">
        <f t="shared" si="650"/>
        <v/>
      </c>
      <c r="L8283" s="7" t="str">
        <f t="shared" si="651"/>
        <v/>
      </c>
      <c r="M8283" s="7" t="str">
        <f t="shared" si="648"/>
        <v/>
      </c>
      <c r="N8283" s="7" t="str">
        <f t="shared" si="652"/>
        <v/>
      </c>
      <c r="O8283" s="8"/>
      <c r="P8283" s="26"/>
      <c r="S8283" s="10" t="str">
        <f t="shared" si="649"/>
        <v/>
      </c>
    </row>
    <row r="8284" spans="5:19" x14ac:dyDescent="0.3">
      <c r="E8284" s="9" t="str">
        <f>IF(DADOS!C8284="","",DADOS!C8284)</f>
        <v/>
      </c>
      <c r="F8284" s="9" t="str">
        <f>IF(DADOS!E8284="","",DADOS!E8284)</f>
        <v/>
      </c>
      <c r="G8284" s="9" t="str">
        <f>IF(DADOS!F8284="","",DADOS!F8284)</f>
        <v/>
      </c>
      <c r="K8284" s="6" t="str">
        <f t="shared" si="650"/>
        <v/>
      </c>
      <c r="L8284" s="7" t="str">
        <f t="shared" si="651"/>
        <v/>
      </c>
      <c r="M8284" s="7" t="str">
        <f t="shared" si="648"/>
        <v/>
      </c>
      <c r="N8284" s="7" t="str">
        <f t="shared" si="652"/>
        <v/>
      </c>
      <c r="O8284" s="8"/>
      <c r="P8284" s="26"/>
      <c r="S8284" s="10" t="str">
        <f t="shared" si="649"/>
        <v/>
      </c>
    </row>
    <row r="8285" spans="5:19" x14ac:dyDescent="0.3">
      <c r="E8285" s="9" t="str">
        <f>IF(DADOS!C8285="","",DADOS!C8285)</f>
        <v/>
      </c>
      <c r="F8285" s="9" t="str">
        <f>IF(DADOS!E8285="","",DADOS!E8285)</f>
        <v/>
      </c>
      <c r="G8285" s="9" t="str">
        <f>IF(DADOS!F8285="","",DADOS!F8285)</f>
        <v/>
      </c>
      <c r="K8285" s="6" t="str">
        <f t="shared" si="650"/>
        <v/>
      </c>
      <c r="L8285" s="7" t="str">
        <f t="shared" si="651"/>
        <v/>
      </c>
      <c r="M8285" s="7" t="str">
        <f t="shared" si="648"/>
        <v/>
      </c>
      <c r="N8285" s="7" t="str">
        <f t="shared" si="652"/>
        <v/>
      </c>
      <c r="O8285" s="8"/>
      <c r="P8285" s="26"/>
      <c r="S8285" s="10" t="str">
        <f t="shared" si="649"/>
        <v/>
      </c>
    </row>
    <row r="8286" spans="5:19" x14ac:dyDescent="0.3">
      <c r="E8286" s="9" t="str">
        <f>IF(DADOS!C8286="","",DADOS!C8286)</f>
        <v/>
      </c>
      <c r="F8286" s="9" t="str">
        <f>IF(DADOS!E8286="","",DADOS!E8286)</f>
        <v/>
      </c>
      <c r="G8286" s="9" t="str">
        <f>IF(DADOS!F8286="","",DADOS!F8286)</f>
        <v/>
      </c>
      <c r="K8286" s="6" t="str">
        <f t="shared" si="650"/>
        <v/>
      </c>
      <c r="L8286" s="7" t="str">
        <f t="shared" si="651"/>
        <v/>
      </c>
      <c r="M8286" s="7" t="str">
        <f t="shared" si="648"/>
        <v/>
      </c>
      <c r="N8286" s="7" t="str">
        <f t="shared" si="652"/>
        <v/>
      </c>
      <c r="O8286" s="8"/>
      <c r="P8286" s="26"/>
      <c r="S8286" s="10" t="str">
        <f t="shared" si="649"/>
        <v/>
      </c>
    </row>
    <row r="8287" spans="5:19" x14ac:dyDescent="0.3">
      <c r="E8287" s="9" t="str">
        <f>IF(DADOS!C8287="","",DADOS!C8287)</f>
        <v/>
      </c>
      <c r="F8287" s="9" t="str">
        <f>IF(DADOS!E8287="","",DADOS!E8287)</f>
        <v/>
      </c>
      <c r="G8287" s="9" t="str">
        <f>IF(DADOS!F8287="","",DADOS!F8287)</f>
        <v/>
      </c>
      <c r="K8287" s="6" t="str">
        <f t="shared" si="650"/>
        <v/>
      </c>
      <c r="L8287" s="7" t="str">
        <f t="shared" si="651"/>
        <v/>
      </c>
      <c r="M8287" s="7" t="str">
        <f t="shared" si="648"/>
        <v/>
      </c>
      <c r="N8287" s="7" t="str">
        <f t="shared" si="652"/>
        <v/>
      </c>
      <c r="O8287" s="8"/>
      <c r="P8287" s="26"/>
      <c r="S8287" s="10" t="str">
        <f t="shared" si="649"/>
        <v/>
      </c>
    </row>
    <row r="8288" spans="5:19" x14ac:dyDescent="0.3">
      <c r="E8288" s="9" t="str">
        <f>IF(DADOS!C8288="","",DADOS!C8288)</f>
        <v/>
      </c>
      <c r="F8288" s="9" t="str">
        <f>IF(DADOS!E8288="","",DADOS!E8288)</f>
        <v/>
      </c>
      <c r="G8288" s="9" t="str">
        <f>IF(DADOS!F8288="","",DADOS!F8288)</f>
        <v/>
      </c>
      <c r="K8288" s="6" t="str">
        <f t="shared" si="650"/>
        <v/>
      </c>
      <c r="L8288" s="7" t="str">
        <f t="shared" si="651"/>
        <v/>
      </c>
      <c r="M8288" s="7" t="str">
        <f t="shared" si="648"/>
        <v/>
      </c>
      <c r="N8288" s="7" t="str">
        <f t="shared" si="652"/>
        <v/>
      </c>
      <c r="O8288" s="8"/>
      <c r="P8288" s="26"/>
      <c r="S8288" s="10" t="str">
        <f t="shared" si="649"/>
        <v/>
      </c>
    </row>
    <row r="8289" spans="5:19" x14ac:dyDescent="0.3">
      <c r="E8289" s="9" t="str">
        <f>IF(DADOS!C8289="","",DADOS!C8289)</f>
        <v/>
      </c>
      <c r="F8289" s="9" t="str">
        <f>IF(DADOS!E8289="","",DADOS!E8289)</f>
        <v/>
      </c>
      <c r="G8289" s="9" t="str">
        <f>IF(DADOS!F8289="","",DADOS!F8289)</f>
        <v/>
      </c>
      <c r="K8289" s="6" t="str">
        <f t="shared" si="650"/>
        <v/>
      </c>
      <c r="L8289" s="7" t="str">
        <f t="shared" si="651"/>
        <v/>
      </c>
      <c r="M8289" s="7" t="str">
        <f t="shared" si="648"/>
        <v/>
      </c>
      <c r="N8289" s="7" t="str">
        <f t="shared" si="652"/>
        <v/>
      </c>
      <c r="O8289" s="8"/>
      <c r="P8289" s="26"/>
      <c r="S8289" s="10" t="str">
        <f t="shared" si="649"/>
        <v/>
      </c>
    </row>
    <row r="8290" spans="5:19" x14ac:dyDescent="0.3">
      <c r="E8290" s="9" t="str">
        <f>IF(DADOS!C8290="","",DADOS!C8290)</f>
        <v/>
      </c>
      <c r="F8290" s="9" t="str">
        <f>IF(DADOS!E8290="","",DADOS!E8290)</f>
        <v/>
      </c>
      <c r="G8290" s="9" t="str">
        <f>IF(DADOS!F8290="","",DADOS!F8290)</f>
        <v/>
      </c>
      <c r="K8290" s="6" t="str">
        <f t="shared" si="650"/>
        <v/>
      </c>
      <c r="L8290" s="7" t="str">
        <f t="shared" si="651"/>
        <v/>
      </c>
      <c r="M8290" s="7" t="str">
        <f t="shared" si="648"/>
        <v/>
      </c>
      <c r="N8290" s="7" t="str">
        <f t="shared" si="652"/>
        <v/>
      </c>
      <c r="O8290" s="8"/>
      <c r="P8290" s="26"/>
      <c r="S8290" s="10" t="str">
        <f t="shared" si="649"/>
        <v/>
      </c>
    </row>
    <row r="8291" spans="5:19" x14ac:dyDescent="0.3">
      <c r="E8291" s="9" t="str">
        <f>IF(DADOS!C8291="","",DADOS!C8291)</f>
        <v/>
      </c>
      <c r="F8291" s="9" t="str">
        <f>IF(DADOS!E8291="","",DADOS!E8291)</f>
        <v/>
      </c>
      <c r="G8291" s="9" t="str">
        <f>IF(DADOS!F8291="","",DADOS!F8291)</f>
        <v/>
      </c>
      <c r="K8291" s="6" t="str">
        <f t="shared" si="650"/>
        <v/>
      </c>
      <c r="L8291" s="7" t="str">
        <f t="shared" si="651"/>
        <v/>
      </c>
      <c r="M8291" s="7" t="str">
        <f t="shared" si="648"/>
        <v/>
      </c>
      <c r="N8291" s="7" t="str">
        <f t="shared" si="652"/>
        <v/>
      </c>
      <c r="O8291" s="8"/>
      <c r="P8291" s="26"/>
      <c r="S8291" s="10" t="str">
        <f t="shared" si="649"/>
        <v/>
      </c>
    </row>
    <row r="8292" spans="5:19" x14ac:dyDescent="0.3">
      <c r="E8292" s="9" t="str">
        <f>IF(DADOS!C8292="","",DADOS!C8292)</f>
        <v/>
      </c>
      <c r="F8292" s="9" t="str">
        <f>IF(DADOS!E8292="","",DADOS!E8292)</f>
        <v/>
      </c>
      <c r="G8292" s="9" t="str">
        <f>IF(DADOS!F8292="","",DADOS!F8292)</f>
        <v/>
      </c>
      <c r="K8292" s="6" t="str">
        <f t="shared" si="650"/>
        <v/>
      </c>
      <c r="L8292" s="7" t="str">
        <f t="shared" si="651"/>
        <v/>
      </c>
      <c r="M8292" s="7" t="str">
        <f t="shared" si="648"/>
        <v/>
      </c>
      <c r="N8292" s="7" t="str">
        <f t="shared" si="652"/>
        <v/>
      </c>
      <c r="O8292" s="8"/>
      <c r="P8292" s="26"/>
      <c r="S8292" s="10" t="str">
        <f t="shared" si="649"/>
        <v/>
      </c>
    </row>
    <row r="8293" spans="5:19" x14ac:dyDescent="0.3">
      <c r="E8293" s="9" t="str">
        <f>IF(DADOS!C8293="","",DADOS!C8293)</f>
        <v/>
      </c>
      <c r="F8293" s="9" t="str">
        <f>IF(DADOS!E8293="","",DADOS!E8293)</f>
        <v/>
      </c>
      <c r="G8293" s="9" t="str">
        <f>IF(DADOS!F8293="","",DADOS!F8293)</f>
        <v/>
      </c>
      <c r="K8293" s="6" t="str">
        <f t="shared" si="650"/>
        <v/>
      </c>
      <c r="L8293" s="7" t="str">
        <f t="shared" si="651"/>
        <v/>
      </c>
      <c r="M8293" s="7" t="str">
        <f t="shared" si="648"/>
        <v/>
      </c>
      <c r="N8293" s="7" t="str">
        <f t="shared" si="652"/>
        <v/>
      </c>
      <c r="O8293" s="8"/>
      <c r="P8293" s="26"/>
      <c r="S8293" s="10" t="str">
        <f t="shared" si="649"/>
        <v/>
      </c>
    </row>
    <row r="8294" spans="5:19" x14ac:dyDescent="0.3">
      <c r="E8294" s="9" t="str">
        <f>IF(DADOS!C8294="","",DADOS!C8294)</f>
        <v/>
      </c>
      <c r="F8294" s="9" t="str">
        <f>IF(DADOS!E8294="","",DADOS!E8294)</f>
        <v/>
      </c>
      <c r="G8294" s="9" t="str">
        <f>IF(DADOS!F8294="","",DADOS!F8294)</f>
        <v/>
      </c>
      <c r="K8294" s="6" t="str">
        <f t="shared" si="650"/>
        <v/>
      </c>
      <c r="L8294" s="7" t="str">
        <f t="shared" si="651"/>
        <v/>
      </c>
      <c r="M8294" s="7" t="str">
        <f t="shared" si="648"/>
        <v/>
      </c>
      <c r="N8294" s="7" t="str">
        <f t="shared" si="652"/>
        <v/>
      </c>
      <c r="O8294" s="8"/>
      <c r="P8294" s="26"/>
      <c r="S8294" s="10" t="str">
        <f t="shared" si="649"/>
        <v/>
      </c>
    </row>
    <row r="8295" spans="5:19" x14ac:dyDescent="0.3">
      <c r="E8295" s="9" t="str">
        <f>IF(DADOS!C8295="","",DADOS!C8295)</f>
        <v/>
      </c>
      <c r="F8295" s="9" t="str">
        <f>IF(DADOS!E8295="","",DADOS!E8295)</f>
        <v/>
      </c>
      <c r="G8295" s="9" t="str">
        <f>IF(DADOS!F8295="","",DADOS!F8295)</f>
        <v/>
      </c>
      <c r="K8295" s="6" t="str">
        <f t="shared" si="650"/>
        <v/>
      </c>
      <c r="L8295" s="7" t="str">
        <f t="shared" si="651"/>
        <v/>
      </c>
      <c r="M8295" s="7" t="str">
        <f t="shared" si="648"/>
        <v/>
      </c>
      <c r="N8295" s="7" t="str">
        <f t="shared" si="652"/>
        <v/>
      </c>
      <c r="O8295" s="8"/>
      <c r="P8295" s="26"/>
      <c r="S8295" s="10" t="str">
        <f t="shared" si="649"/>
        <v/>
      </c>
    </row>
    <row r="8296" spans="5:19" x14ac:dyDescent="0.3">
      <c r="E8296" s="9" t="str">
        <f>IF(DADOS!C8296="","",DADOS!C8296)</f>
        <v/>
      </c>
      <c r="F8296" s="9" t="str">
        <f>IF(DADOS!E8296="","",DADOS!E8296)</f>
        <v/>
      </c>
      <c r="G8296" s="9" t="str">
        <f>IF(DADOS!F8296="","",DADOS!F8296)</f>
        <v/>
      </c>
      <c r="K8296" s="6" t="str">
        <f t="shared" si="650"/>
        <v/>
      </c>
      <c r="L8296" s="7" t="str">
        <f t="shared" si="651"/>
        <v/>
      </c>
      <c r="M8296" s="7" t="str">
        <f t="shared" si="648"/>
        <v/>
      </c>
      <c r="N8296" s="7" t="str">
        <f t="shared" si="652"/>
        <v/>
      </c>
      <c r="O8296" s="8"/>
      <c r="P8296" s="26"/>
      <c r="S8296" s="10" t="str">
        <f t="shared" si="649"/>
        <v/>
      </c>
    </row>
    <row r="8297" spans="5:19" x14ac:dyDescent="0.3">
      <c r="E8297" s="9" t="str">
        <f>IF(DADOS!C8297="","",DADOS!C8297)</f>
        <v/>
      </c>
      <c r="F8297" s="9" t="str">
        <f>IF(DADOS!E8297="","",DADOS!E8297)</f>
        <v/>
      </c>
      <c r="G8297" s="9" t="str">
        <f>IF(DADOS!F8297="","",DADOS!F8297)</f>
        <v/>
      </c>
      <c r="K8297" s="6" t="str">
        <f t="shared" si="650"/>
        <v/>
      </c>
      <c r="L8297" s="7" t="str">
        <f t="shared" si="651"/>
        <v/>
      </c>
      <c r="M8297" s="7" t="str">
        <f t="shared" si="648"/>
        <v/>
      </c>
      <c r="N8297" s="7" t="str">
        <f t="shared" si="652"/>
        <v/>
      </c>
      <c r="O8297" s="8"/>
      <c r="P8297" s="26"/>
      <c r="S8297" s="10" t="str">
        <f t="shared" si="649"/>
        <v/>
      </c>
    </row>
    <row r="8298" spans="5:19" x14ac:dyDescent="0.3">
      <c r="E8298" s="9" t="str">
        <f>IF(DADOS!C8298="","",DADOS!C8298)</f>
        <v/>
      </c>
      <c r="F8298" s="9" t="str">
        <f>IF(DADOS!E8298="","",DADOS!E8298)</f>
        <v/>
      </c>
      <c r="G8298" s="9" t="str">
        <f>IF(DADOS!F8298="","",DADOS!F8298)</f>
        <v/>
      </c>
      <c r="K8298" s="6" t="str">
        <f t="shared" si="650"/>
        <v/>
      </c>
      <c r="L8298" s="7" t="str">
        <f t="shared" si="651"/>
        <v/>
      </c>
      <c r="M8298" s="7" t="str">
        <f t="shared" si="648"/>
        <v/>
      </c>
      <c r="N8298" s="7" t="str">
        <f t="shared" si="652"/>
        <v/>
      </c>
      <c r="O8298" s="8"/>
      <c r="P8298" s="26"/>
      <c r="S8298" s="10" t="str">
        <f t="shared" si="649"/>
        <v/>
      </c>
    </row>
    <row r="8299" spans="5:19" x14ac:dyDescent="0.3">
      <c r="E8299" s="9" t="str">
        <f>IF(DADOS!C8299="","",DADOS!C8299)</f>
        <v/>
      </c>
      <c r="F8299" s="9" t="str">
        <f>IF(DADOS!E8299="","",DADOS!E8299)</f>
        <v/>
      </c>
      <c r="G8299" s="9" t="str">
        <f>IF(DADOS!F8299="","",DADOS!F8299)</f>
        <v/>
      </c>
      <c r="K8299" s="6" t="str">
        <f t="shared" si="650"/>
        <v/>
      </c>
      <c r="L8299" s="7" t="str">
        <f t="shared" si="651"/>
        <v/>
      </c>
      <c r="M8299" s="7" t="str">
        <f t="shared" si="648"/>
        <v/>
      </c>
      <c r="N8299" s="7" t="str">
        <f t="shared" si="652"/>
        <v/>
      </c>
      <c r="O8299" s="8"/>
      <c r="P8299" s="26"/>
      <c r="S8299" s="10" t="str">
        <f t="shared" si="649"/>
        <v/>
      </c>
    </row>
    <row r="8300" spans="5:19" x14ac:dyDescent="0.3">
      <c r="E8300" s="9" t="str">
        <f>IF(DADOS!C8300="","",DADOS!C8300)</f>
        <v/>
      </c>
      <c r="F8300" s="9" t="str">
        <f>IF(DADOS!E8300="","",DADOS!E8300)</f>
        <v/>
      </c>
      <c r="G8300" s="9" t="str">
        <f>IF(DADOS!F8300="","",DADOS!F8300)</f>
        <v/>
      </c>
      <c r="K8300" s="6" t="str">
        <f t="shared" si="650"/>
        <v/>
      </c>
      <c r="L8300" s="7" t="str">
        <f t="shared" si="651"/>
        <v/>
      </c>
      <c r="M8300" s="7" t="str">
        <f t="shared" si="648"/>
        <v/>
      </c>
      <c r="N8300" s="7" t="str">
        <f t="shared" si="652"/>
        <v/>
      </c>
      <c r="O8300" s="8"/>
      <c r="P8300" s="26"/>
      <c r="S8300" s="10" t="str">
        <f t="shared" si="649"/>
        <v/>
      </c>
    </row>
    <row r="8301" spans="5:19" x14ac:dyDescent="0.3">
      <c r="E8301" s="9" t="str">
        <f>IF(DADOS!C8301="","",DADOS!C8301)</f>
        <v/>
      </c>
      <c r="F8301" s="9" t="str">
        <f>IF(DADOS!E8301="","",DADOS!E8301)</f>
        <v/>
      </c>
      <c r="G8301" s="9" t="str">
        <f>IF(DADOS!F8301="","",DADOS!F8301)</f>
        <v/>
      </c>
      <c r="K8301" s="6" t="str">
        <f t="shared" si="650"/>
        <v/>
      </c>
      <c r="L8301" s="7" t="str">
        <f t="shared" si="651"/>
        <v/>
      </c>
      <c r="M8301" s="7" t="str">
        <f t="shared" si="648"/>
        <v/>
      </c>
      <c r="N8301" s="7" t="str">
        <f t="shared" si="652"/>
        <v/>
      </c>
      <c r="O8301" s="8"/>
      <c r="P8301" s="26"/>
      <c r="S8301" s="10" t="str">
        <f t="shared" si="649"/>
        <v/>
      </c>
    </row>
    <row r="8302" spans="5:19" x14ac:dyDescent="0.3">
      <c r="E8302" s="9" t="str">
        <f>IF(DADOS!C8302="","",DADOS!C8302)</f>
        <v/>
      </c>
      <c r="F8302" s="9" t="str">
        <f>IF(DADOS!E8302="","",DADOS!E8302)</f>
        <v/>
      </c>
      <c r="G8302" s="9" t="str">
        <f>IF(DADOS!F8302="","",DADOS!F8302)</f>
        <v/>
      </c>
      <c r="K8302" s="6" t="str">
        <f t="shared" si="650"/>
        <v/>
      </c>
      <c r="L8302" s="7" t="str">
        <f t="shared" si="651"/>
        <v/>
      </c>
      <c r="M8302" s="7" t="str">
        <f t="shared" si="648"/>
        <v/>
      </c>
      <c r="N8302" s="7" t="str">
        <f t="shared" si="652"/>
        <v/>
      </c>
      <c r="O8302" s="8"/>
      <c r="P8302" s="26"/>
      <c r="S8302" s="10" t="str">
        <f t="shared" si="649"/>
        <v/>
      </c>
    </row>
    <row r="8303" spans="5:19" x14ac:dyDescent="0.3">
      <c r="E8303" s="9" t="str">
        <f>IF(DADOS!C8303="","",DADOS!C8303)</f>
        <v/>
      </c>
      <c r="F8303" s="9" t="str">
        <f>IF(DADOS!E8303="","",DADOS!E8303)</f>
        <v/>
      </c>
      <c r="G8303" s="9" t="str">
        <f>IF(DADOS!F8303="","",DADOS!F8303)</f>
        <v/>
      </c>
      <c r="K8303" s="6" t="str">
        <f t="shared" si="650"/>
        <v/>
      </c>
      <c r="L8303" s="7" t="str">
        <f t="shared" si="651"/>
        <v/>
      </c>
      <c r="M8303" s="7" t="str">
        <f t="shared" si="648"/>
        <v/>
      </c>
      <c r="N8303" s="7" t="str">
        <f t="shared" si="652"/>
        <v/>
      </c>
      <c r="O8303" s="8"/>
      <c r="P8303" s="26"/>
      <c r="S8303" s="10" t="str">
        <f t="shared" si="649"/>
        <v/>
      </c>
    </row>
    <row r="8304" spans="5:19" x14ac:dyDescent="0.3">
      <c r="E8304" s="9" t="str">
        <f>IF(DADOS!C8304="","",DADOS!C8304)</f>
        <v/>
      </c>
      <c r="F8304" s="9" t="str">
        <f>IF(DADOS!E8304="","",DADOS!E8304)</f>
        <v/>
      </c>
      <c r="G8304" s="9" t="str">
        <f>IF(DADOS!F8304="","",DADOS!F8304)</f>
        <v/>
      </c>
      <c r="K8304" s="6" t="str">
        <f t="shared" si="650"/>
        <v/>
      </c>
      <c r="L8304" s="7" t="str">
        <f t="shared" si="651"/>
        <v/>
      </c>
      <c r="M8304" s="7" t="str">
        <f t="shared" si="648"/>
        <v/>
      </c>
      <c r="N8304" s="7" t="str">
        <f t="shared" si="652"/>
        <v/>
      </c>
      <c r="O8304" s="8"/>
      <c r="P8304" s="26"/>
      <c r="S8304" s="10" t="str">
        <f t="shared" si="649"/>
        <v/>
      </c>
    </row>
    <row r="8305" spans="5:19" x14ac:dyDescent="0.3">
      <c r="E8305" s="9" t="str">
        <f>IF(DADOS!C8305="","",DADOS!C8305)</f>
        <v/>
      </c>
      <c r="F8305" s="9" t="str">
        <f>IF(DADOS!E8305="","",DADOS!E8305)</f>
        <v/>
      </c>
      <c r="G8305" s="9" t="str">
        <f>IF(DADOS!F8305="","",DADOS!F8305)</f>
        <v/>
      </c>
      <c r="K8305" s="6" t="str">
        <f t="shared" si="650"/>
        <v/>
      </c>
      <c r="L8305" s="7" t="str">
        <f t="shared" si="651"/>
        <v/>
      </c>
      <c r="M8305" s="7" t="str">
        <f t="shared" si="648"/>
        <v/>
      </c>
      <c r="N8305" s="7" t="str">
        <f t="shared" si="652"/>
        <v/>
      </c>
      <c r="O8305" s="8"/>
      <c r="P8305" s="26"/>
      <c r="S8305" s="10" t="str">
        <f t="shared" si="649"/>
        <v/>
      </c>
    </row>
    <row r="8306" spans="5:19" x14ac:dyDescent="0.3">
      <c r="E8306" s="9" t="str">
        <f>IF(DADOS!C8306="","",DADOS!C8306)</f>
        <v/>
      </c>
      <c r="F8306" s="9" t="str">
        <f>IF(DADOS!E8306="","",DADOS!E8306)</f>
        <v/>
      </c>
      <c r="G8306" s="9" t="str">
        <f>IF(DADOS!F8306="","",DADOS!F8306)</f>
        <v/>
      </c>
      <c r="K8306" s="6" t="str">
        <f t="shared" si="650"/>
        <v/>
      </c>
      <c r="L8306" s="7" t="str">
        <f t="shared" si="651"/>
        <v/>
      </c>
      <c r="M8306" s="7" t="str">
        <f t="shared" si="648"/>
        <v/>
      </c>
      <c r="N8306" s="7" t="str">
        <f t="shared" si="652"/>
        <v/>
      </c>
      <c r="O8306" s="8"/>
      <c r="P8306" s="26"/>
      <c r="S8306" s="10" t="str">
        <f t="shared" si="649"/>
        <v/>
      </c>
    </row>
    <row r="8307" spans="5:19" x14ac:dyDescent="0.3">
      <c r="E8307" s="9" t="str">
        <f>IF(DADOS!C8307="","",DADOS!C8307)</f>
        <v/>
      </c>
      <c r="F8307" s="9" t="str">
        <f>IF(DADOS!E8307="","",DADOS!E8307)</f>
        <v/>
      </c>
      <c r="G8307" s="9" t="str">
        <f>IF(DADOS!F8307="","",DADOS!F8307)</f>
        <v/>
      </c>
      <c r="K8307" s="6" t="str">
        <f t="shared" si="650"/>
        <v/>
      </c>
      <c r="L8307" s="7" t="str">
        <f t="shared" si="651"/>
        <v/>
      </c>
      <c r="M8307" s="7" t="str">
        <f t="shared" si="648"/>
        <v/>
      </c>
      <c r="N8307" s="7" t="str">
        <f t="shared" si="652"/>
        <v/>
      </c>
      <c r="O8307" s="8"/>
      <c r="P8307" s="26"/>
      <c r="S8307" s="10" t="str">
        <f t="shared" si="649"/>
        <v/>
      </c>
    </row>
    <row r="8308" spans="5:19" x14ac:dyDescent="0.3">
      <c r="E8308" s="9" t="str">
        <f>IF(DADOS!C8308="","",DADOS!C8308)</f>
        <v/>
      </c>
      <c r="F8308" s="9" t="str">
        <f>IF(DADOS!E8308="","",DADOS!E8308)</f>
        <v/>
      </c>
      <c r="G8308" s="9" t="str">
        <f>IF(DADOS!F8308="","",DADOS!F8308)</f>
        <v/>
      </c>
      <c r="K8308" s="6" t="str">
        <f t="shared" si="650"/>
        <v/>
      </c>
      <c r="L8308" s="7" t="str">
        <f t="shared" si="651"/>
        <v/>
      </c>
      <c r="M8308" s="7" t="str">
        <f t="shared" si="648"/>
        <v/>
      </c>
      <c r="N8308" s="7" t="str">
        <f t="shared" si="652"/>
        <v/>
      </c>
      <c r="O8308" s="8"/>
      <c r="P8308" s="26"/>
      <c r="S8308" s="10" t="str">
        <f t="shared" si="649"/>
        <v/>
      </c>
    </row>
    <row r="8309" spans="5:19" x14ac:dyDescent="0.3">
      <c r="E8309" s="9" t="str">
        <f>IF(DADOS!C8309="","",DADOS!C8309)</f>
        <v/>
      </c>
      <c r="F8309" s="9" t="str">
        <f>IF(DADOS!E8309="","",DADOS!E8309)</f>
        <v/>
      </c>
      <c r="G8309" s="9" t="str">
        <f>IF(DADOS!F8309="","",DADOS!F8309)</f>
        <v/>
      </c>
      <c r="K8309" s="6" t="str">
        <f t="shared" si="650"/>
        <v/>
      </c>
      <c r="L8309" s="7" t="str">
        <f t="shared" si="651"/>
        <v/>
      </c>
      <c r="M8309" s="7" t="str">
        <f t="shared" si="648"/>
        <v/>
      </c>
      <c r="N8309" s="7" t="str">
        <f t="shared" si="652"/>
        <v/>
      </c>
      <c r="O8309" s="8"/>
      <c r="P8309" s="26"/>
      <c r="S8309" s="10" t="str">
        <f t="shared" si="649"/>
        <v/>
      </c>
    </row>
    <row r="8310" spans="5:19" x14ac:dyDescent="0.3">
      <c r="E8310" s="9" t="str">
        <f>IF(DADOS!C8310="","",DADOS!C8310)</f>
        <v/>
      </c>
      <c r="F8310" s="9" t="str">
        <f>IF(DADOS!E8310="","",DADOS!E8310)</f>
        <v/>
      </c>
      <c r="G8310" s="9" t="str">
        <f>IF(DADOS!F8310="","",DADOS!F8310)</f>
        <v/>
      </c>
      <c r="K8310" s="6" t="str">
        <f t="shared" si="650"/>
        <v/>
      </c>
      <c r="L8310" s="7" t="str">
        <f t="shared" si="651"/>
        <v/>
      </c>
      <c r="M8310" s="7" t="str">
        <f t="shared" si="648"/>
        <v/>
      </c>
      <c r="N8310" s="7" t="str">
        <f t="shared" si="652"/>
        <v/>
      </c>
      <c r="O8310" s="8"/>
      <c r="P8310" s="26"/>
      <c r="S8310" s="10" t="str">
        <f t="shared" si="649"/>
        <v/>
      </c>
    </row>
    <row r="8311" spans="5:19" x14ac:dyDescent="0.3">
      <c r="E8311" s="9" t="str">
        <f>IF(DADOS!C8311="","",DADOS!C8311)</f>
        <v/>
      </c>
      <c r="F8311" s="9" t="str">
        <f>IF(DADOS!E8311="","",DADOS!E8311)</f>
        <v/>
      </c>
      <c r="G8311" s="9" t="str">
        <f>IF(DADOS!F8311="","",DADOS!F8311)</f>
        <v/>
      </c>
      <c r="K8311" s="6" t="str">
        <f t="shared" si="650"/>
        <v/>
      </c>
      <c r="L8311" s="7" t="str">
        <f t="shared" si="651"/>
        <v/>
      </c>
      <c r="M8311" s="7" t="str">
        <f t="shared" si="648"/>
        <v/>
      </c>
      <c r="N8311" s="7" t="str">
        <f t="shared" si="652"/>
        <v/>
      </c>
      <c r="O8311" s="8"/>
      <c r="P8311" s="26"/>
      <c r="S8311" s="10" t="str">
        <f t="shared" si="649"/>
        <v/>
      </c>
    </row>
    <row r="8312" spans="5:19" x14ac:dyDescent="0.3">
      <c r="E8312" s="9" t="str">
        <f>IF(DADOS!C8312="","",DADOS!C8312)</f>
        <v/>
      </c>
      <c r="F8312" s="9" t="str">
        <f>IF(DADOS!E8312="","",DADOS!E8312)</f>
        <v/>
      </c>
      <c r="G8312" s="9" t="str">
        <f>IF(DADOS!F8312="","",DADOS!F8312)</f>
        <v/>
      </c>
      <c r="K8312" s="6" t="str">
        <f t="shared" si="650"/>
        <v/>
      </c>
      <c r="L8312" s="7" t="str">
        <f t="shared" si="651"/>
        <v/>
      </c>
      <c r="M8312" s="7" t="str">
        <f t="shared" si="648"/>
        <v/>
      </c>
      <c r="N8312" s="7" t="str">
        <f t="shared" si="652"/>
        <v/>
      </c>
      <c r="O8312" s="8"/>
      <c r="P8312" s="26"/>
      <c r="S8312" s="10" t="str">
        <f t="shared" si="649"/>
        <v/>
      </c>
    </row>
    <row r="8313" spans="5:19" x14ac:dyDescent="0.3">
      <c r="E8313" s="9" t="str">
        <f>IF(DADOS!C8313="","",DADOS!C8313)</f>
        <v/>
      </c>
      <c r="F8313" s="9" t="str">
        <f>IF(DADOS!E8313="","",DADOS!E8313)</f>
        <v/>
      </c>
      <c r="G8313" s="9" t="str">
        <f>IF(DADOS!F8313="","",DADOS!F8313)</f>
        <v/>
      </c>
      <c r="K8313" s="6" t="str">
        <f t="shared" si="650"/>
        <v/>
      </c>
      <c r="L8313" s="7" t="str">
        <f t="shared" si="651"/>
        <v/>
      </c>
      <c r="M8313" s="7" t="str">
        <f t="shared" si="648"/>
        <v/>
      </c>
      <c r="N8313" s="7" t="str">
        <f t="shared" si="652"/>
        <v/>
      </c>
      <c r="O8313" s="8"/>
      <c r="P8313" s="26"/>
      <c r="S8313" s="10" t="str">
        <f t="shared" si="649"/>
        <v/>
      </c>
    </row>
    <row r="8314" spans="5:19" x14ac:dyDescent="0.3">
      <c r="E8314" s="9" t="str">
        <f>IF(DADOS!C8314="","",DADOS!C8314)</f>
        <v/>
      </c>
      <c r="F8314" s="9" t="str">
        <f>IF(DADOS!E8314="","",DADOS!E8314)</f>
        <v/>
      </c>
      <c r="G8314" s="9" t="str">
        <f>IF(DADOS!F8314="","",DADOS!F8314)</f>
        <v/>
      </c>
      <c r="K8314" s="6" t="str">
        <f t="shared" si="650"/>
        <v/>
      </c>
      <c r="L8314" s="7" t="str">
        <f t="shared" si="651"/>
        <v/>
      </c>
      <c r="M8314" s="7" t="str">
        <f t="shared" si="648"/>
        <v/>
      </c>
      <c r="N8314" s="7" t="str">
        <f t="shared" si="652"/>
        <v/>
      </c>
      <c r="O8314" s="8"/>
      <c r="P8314" s="26"/>
      <c r="S8314" s="10" t="str">
        <f t="shared" si="649"/>
        <v/>
      </c>
    </row>
    <row r="8315" spans="5:19" x14ac:dyDescent="0.3">
      <c r="E8315" s="9" t="str">
        <f>IF(DADOS!C8315="","",DADOS!C8315)</f>
        <v/>
      </c>
      <c r="F8315" s="9" t="str">
        <f>IF(DADOS!E8315="","",DADOS!E8315)</f>
        <v/>
      </c>
      <c r="G8315" s="9" t="str">
        <f>IF(DADOS!F8315="","",DADOS!F8315)</f>
        <v/>
      </c>
      <c r="K8315" s="6" t="str">
        <f t="shared" si="650"/>
        <v/>
      </c>
      <c r="L8315" s="7" t="str">
        <f t="shared" si="651"/>
        <v/>
      </c>
      <c r="M8315" s="7" t="str">
        <f t="shared" si="648"/>
        <v/>
      </c>
      <c r="N8315" s="7" t="str">
        <f t="shared" si="652"/>
        <v/>
      </c>
      <c r="O8315" s="8"/>
      <c r="P8315" s="26"/>
      <c r="S8315" s="10" t="str">
        <f t="shared" si="649"/>
        <v/>
      </c>
    </row>
    <row r="8316" spans="5:19" x14ac:dyDescent="0.3">
      <c r="E8316" s="9" t="str">
        <f>IF(DADOS!C8316="","",DADOS!C8316)</f>
        <v/>
      </c>
      <c r="F8316" s="9" t="str">
        <f>IF(DADOS!E8316="","",DADOS!E8316)</f>
        <v/>
      </c>
      <c r="G8316" s="9" t="str">
        <f>IF(DADOS!F8316="","",DADOS!F8316)</f>
        <v/>
      </c>
      <c r="K8316" s="6" t="str">
        <f t="shared" si="650"/>
        <v/>
      </c>
      <c r="L8316" s="7" t="str">
        <f t="shared" si="651"/>
        <v/>
      </c>
      <c r="M8316" s="7" t="str">
        <f t="shared" si="648"/>
        <v/>
      </c>
      <c r="N8316" s="7" t="str">
        <f t="shared" si="652"/>
        <v/>
      </c>
      <c r="O8316" s="8"/>
      <c r="P8316" s="26"/>
      <c r="S8316" s="10" t="str">
        <f t="shared" si="649"/>
        <v/>
      </c>
    </row>
    <row r="8317" spans="5:19" x14ac:dyDescent="0.3">
      <c r="E8317" s="9" t="str">
        <f>IF(DADOS!C8317="","",DADOS!C8317)</f>
        <v/>
      </c>
      <c r="F8317" s="9" t="str">
        <f>IF(DADOS!E8317="","",DADOS!E8317)</f>
        <v/>
      </c>
      <c r="G8317" s="9" t="str">
        <f>IF(DADOS!F8317="","",DADOS!F8317)</f>
        <v/>
      </c>
      <c r="K8317" s="6" t="str">
        <f t="shared" si="650"/>
        <v/>
      </c>
      <c r="L8317" s="7" t="str">
        <f t="shared" si="651"/>
        <v/>
      </c>
      <c r="M8317" s="7" t="str">
        <f t="shared" si="648"/>
        <v/>
      </c>
      <c r="N8317" s="7" t="str">
        <f t="shared" si="652"/>
        <v/>
      </c>
      <c r="O8317" s="8"/>
      <c r="P8317" s="26"/>
      <c r="S8317" s="10" t="str">
        <f t="shared" si="649"/>
        <v/>
      </c>
    </row>
    <row r="8318" spans="5:19" x14ac:dyDescent="0.3">
      <c r="E8318" s="9" t="str">
        <f>IF(DADOS!C8318="","",DADOS!C8318)</f>
        <v/>
      </c>
      <c r="F8318" s="9" t="str">
        <f>IF(DADOS!E8318="","",DADOS!E8318)</f>
        <v/>
      </c>
      <c r="G8318" s="9" t="str">
        <f>IF(DADOS!F8318="","",DADOS!F8318)</f>
        <v/>
      </c>
      <c r="K8318" s="6" t="str">
        <f t="shared" si="650"/>
        <v/>
      </c>
      <c r="L8318" s="7" t="str">
        <f t="shared" si="651"/>
        <v/>
      </c>
      <c r="M8318" s="7" t="str">
        <f t="shared" si="648"/>
        <v/>
      </c>
      <c r="N8318" s="7" t="str">
        <f t="shared" si="652"/>
        <v/>
      </c>
      <c r="O8318" s="8"/>
      <c r="P8318" s="26"/>
      <c r="S8318" s="10" t="str">
        <f t="shared" si="649"/>
        <v/>
      </c>
    </row>
    <row r="8319" spans="5:19" x14ac:dyDescent="0.3">
      <c r="E8319" s="9" t="str">
        <f>IF(DADOS!C8319="","",DADOS!C8319)</f>
        <v/>
      </c>
      <c r="F8319" s="9" t="str">
        <f>IF(DADOS!E8319="","",DADOS!E8319)</f>
        <v/>
      </c>
      <c r="G8319" s="9" t="str">
        <f>IF(DADOS!F8319="","",DADOS!F8319)</f>
        <v/>
      </c>
      <c r="K8319" s="6" t="str">
        <f t="shared" si="650"/>
        <v/>
      </c>
      <c r="L8319" s="7" t="str">
        <f t="shared" si="651"/>
        <v/>
      </c>
      <c r="M8319" s="7" t="str">
        <f t="shared" si="648"/>
        <v/>
      </c>
      <c r="N8319" s="7" t="str">
        <f t="shared" si="652"/>
        <v/>
      </c>
      <c r="O8319" s="8"/>
      <c r="P8319" s="26"/>
      <c r="S8319" s="10" t="str">
        <f t="shared" si="649"/>
        <v/>
      </c>
    </row>
    <row r="8320" spans="5:19" x14ac:dyDescent="0.3">
      <c r="E8320" s="9" t="str">
        <f>IF(DADOS!C8320="","",DADOS!C8320)</f>
        <v/>
      </c>
      <c r="F8320" s="9" t="str">
        <f>IF(DADOS!E8320="","",DADOS!E8320)</f>
        <v/>
      </c>
      <c r="G8320" s="9" t="str">
        <f>IF(DADOS!F8320="","",DADOS!F8320)</f>
        <v/>
      </c>
      <c r="K8320" s="6" t="str">
        <f t="shared" si="650"/>
        <v/>
      </c>
      <c r="L8320" s="7" t="str">
        <f t="shared" si="651"/>
        <v/>
      </c>
      <c r="M8320" s="7" t="str">
        <f t="shared" si="648"/>
        <v/>
      </c>
      <c r="N8320" s="7" t="str">
        <f t="shared" si="652"/>
        <v/>
      </c>
      <c r="O8320" s="8"/>
      <c r="P8320" s="26"/>
      <c r="S8320" s="10" t="str">
        <f t="shared" si="649"/>
        <v/>
      </c>
    </row>
    <row r="8321" spans="5:19" x14ac:dyDescent="0.3">
      <c r="E8321" s="9" t="str">
        <f>IF(DADOS!C8321="","",DADOS!C8321)</f>
        <v/>
      </c>
      <c r="F8321" s="9" t="str">
        <f>IF(DADOS!E8321="","",DADOS!E8321)</f>
        <v/>
      </c>
      <c r="G8321" s="9" t="str">
        <f>IF(DADOS!F8321="","",DADOS!F8321)</f>
        <v/>
      </c>
      <c r="K8321" s="6" t="str">
        <f t="shared" si="650"/>
        <v/>
      </c>
      <c r="L8321" s="7" t="str">
        <f t="shared" si="651"/>
        <v/>
      </c>
      <c r="M8321" s="7" t="str">
        <f t="shared" si="648"/>
        <v/>
      </c>
      <c r="N8321" s="7" t="str">
        <f t="shared" si="652"/>
        <v/>
      </c>
      <c r="O8321" s="8"/>
      <c r="P8321" s="26"/>
      <c r="S8321" s="10" t="str">
        <f t="shared" si="649"/>
        <v/>
      </c>
    </row>
    <row r="8322" spans="5:19" x14ac:dyDescent="0.3">
      <c r="E8322" s="9" t="str">
        <f>IF(DADOS!C8322="","",DADOS!C8322)</f>
        <v/>
      </c>
      <c r="F8322" s="9" t="str">
        <f>IF(DADOS!E8322="","",DADOS!E8322)</f>
        <v/>
      </c>
      <c r="G8322" s="9" t="str">
        <f>IF(DADOS!F8322="","",DADOS!F8322)</f>
        <v/>
      </c>
      <c r="K8322" s="6" t="str">
        <f t="shared" si="650"/>
        <v/>
      </c>
      <c r="L8322" s="7" t="str">
        <f t="shared" si="651"/>
        <v/>
      </c>
      <c r="M8322" s="7" t="str">
        <f t="shared" si="648"/>
        <v/>
      </c>
      <c r="N8322" s="7" t="str">
        <f t="shared" si="652"/>
        <v/>
      </c>
      <c r="O8322" s="8"/>
      <c r="P8322" s="26"/>
      <c r="S8322" s="10" t="str">
        <f t="shared" si="649"/>
        <v/>
      </c>
    </row>
    <row r="8323" spans="5:19" x14ac:dyDescent="0.3">
      <c r="E8323" s="9" t="str">
        <f>IF(DADOS!C8323="","",DADOS!C8323)</f>
        <v/>
      </c>
      <c r="F8323" s="9" t="str">
        <f>IF(DADOS!E8323="","",DADOS!E8323)</f>
        <v/>
      </c>
      <c r="G8323" s="9" t="str">
        <f>IF(DADOS!F8323="","",DADOS!F8323)</f>
        <v/>
      </c>
      <c r="K8323" s="6" t="str">
        <f t="shared" si="650"/>
        <v/>
      </c>
      <c r="L8323" s="7" t="str">
        <f t="shared" si="651"/>
        <v/>
      </c>
      <c r="M8323" s="7" t="str">
        <f t="shared" ref="M8323:M8386" si="653">IF(L8323="","",L8323*G8323)</f>
        <v/>
      </c>
      <c r="N8323" s="7" t="str">
        <f t="shared" si="652"/>
        <v/>
      </c>
      <c r="O8323" s="8"/>
      <c r="P8323" s="26"/>
      <c r="S8323" s="10" t="str">
        <f t="shared" ref="S8323:S8386" si="654">IF(R8323="","",SUMIFS($N$3:$N$10000,$E$3:$E$10000,R8323))</f>
        <v/>
      </c>
    </row>
    <row r="8324" spans="5:19" x14ac:dyDescent="0.3">
      <c r="E8324" s="9" t="str">
        <f>IF(DADOS!C8324="","",DADOS!C8324)</f>
        <v/>
      </c>
      <c r="F8324" s="9" t="str">
        <f>IF(DADOS!E8324="","",DADOS!E8324)</f>
        <v/>
      </c>
      <c r="G8324" s="9" t="str">
        <f>IF(DADOS!F8324="","",DADOS!F8324)</f>
        <v/>
      </c>
      <c r="K8324" s="6" t="str">
        <f t="shared" ref="K8324:K8387" si="655">IF(F8324="","",F8324/PI())</f>
        <v/>
      </c>
      <c r="L8324" s="7" t="str">
        <f t="shared" ref="L8324:L8387" si="656">IF(K8324="","",(PI()*K8324^2)/40000)</f>
        <v/>
      </c>
      <c r="M8324" s="7" t="str">
        <f t="shared" si="653"/>
        <v/>
      </c>
      <c r="N8324" s="7" t="str">
        <f t="shared" ref="N8324:N8387" si="657">IF(M8324="","",M8324*N$1)</f>
        <v/>
      </c>
      <c r="O8324" s="8"/>
      <c r="P8324" s="26"/>
      <c r="S8324" s="10" t="str">
        <f t="shared" si="654"/>
        <v/>
      </c>
    </row>
    <row r="8325" spans="5:19" x14ac:dyDescent="0.3">
      <c r="E8325" s="9" t="str">
        <f>IF(DADOS!C8325="","",DADOS!C8325)</f>
        <v/>
      </c>
      <c r="F8325" s="9" t="str">
        <f>IF(DADOS!E8325="","",DADOS!E8325)</f>
        <v/>
      </c>
      <c r="G8325" s="9" t="str">
        <f>IF(DADOS!F8325="","",DADOS!F8325)</f>
        <v/>
      </c>
      <c r="K8325" s="6" t="str">
        <f t="shared" si="655"/>
        <v/>
      </c>
      <c r="L8325" s="7" t="str">
        <f t="shared" si="656"/>
        <v/>
      </c>
      <c r="M8325" s="7" t="str">
        <f t="shared" si="653"/>
        <v/>
      </c>
      <c r="N8325" s="7" t="str">
        <f t="shared" si="657"/>
        <v/>
      </c>
      <c r="O8325" s="8"/>
      <c r="P8325" s="26"/>
      <c r="S8325" s="10" t="str">
        <f t="shared" si="654"/>
        <v/>
      </c>
    </row>
    <row r="8326" spans="5:19" x14ac:dyDescent="0.3">
      <c r="E8326" s="9" t="str">
        <f>IF(DADOS!C8326="","",DADOS!C8326)</f>
        <v/>
      </c>
      <c r="F8326" s="9" t="str">
        <f>IF(DADOS!E8326="","",DADOS!E8326)</f>
        <v/>
      </c>
      <c r="G8326" s="9" t="str">
        <f>IF(DADOS!F8326="","",DADOS!F8326)</f>
        <v/>
      </c>
      <c r="K8326" s="6" t="str">
        <f t="shared" si="655"/>
        <v/>
      </c>
      <c r="L8326" s="7" t="str">
        <f t="shared" si="656"/>
        <v/>
      </c>
      <c r="M8326" s="7" t="str">
        <f t="shared" si="653"/>
        <v/>
      </c>
      <c r="N8326" s="7" t="str">
        <f t="shared" si="657"/>
        <v/>
      </c>
      <c r="O8326" s="8"/>
      <c r="P8326" s="26"/>
      <c r="S8326" s="10" t="str">
        <f t="shared" si="654"/>
        <v/>
      </c>
    </row>
    <row r="8327" spans="5:19" x14ac:dyDescent="0.3">
      <c r="E8327" s="9" t="str">
        <f>IF(DADOS!C8327="","",DADOS!C8327)</f>
        <v/>
      </c>
      <c r="F8327" s="9" t="str">
        <f>IF(DADOS!E8327="","",DADOS!E8327)</f>
        <v/>
      </c>
      <c r="G8327" s="9" t="str">
        <f>IF(DADOS!F8327="","",DADOS!F8327)</f>
        <v/>
      </c>
      <c r="K8327" s="6" t="str">
        <f t="shared" si="655"/>
        <v/>
      </c>
      <c r="L8327" s="7" t="str">
        <f t="shared" si="656"/>
        <v/>
      </c>
      <c r="M8327" s="7" t="str">
        <f t="shared" si="653"/>
        <v/>
      </c>
      <c r="N8327" s="7" t="str">
        <f t="shared" si="657"/>
        <v/>
      </c>
      <c r="O8327" s="8"/>
      <c r="P8327" s="26"/>
      <c r="S8327" s="10" t="str">
        <f t="shared" si="654"/>
        <v/>
      </c>
    </row>
    <row r="8328" spans="5:19" x14ac:dyDescent="0.3">
      <c r="E8328" s="9" t="str">
        <f>IF(DADOS!C8328="","",DADOS!C8328)</f>
        <v/>
      </c>
      <c r="F8328" s="9" t="str">
        <f>IF(DADOS!E8328="","",DADOS!E8328)</f>
        <v/>
      </c>
      <c r="G8328" s="9" t="str">
        <f>IF(DADOS!F8328="","",DADOS!F8328)</f>
        <v/>
      </c>
      <c r="K8328" s="6" t="str">
        <f t="shared" si="655"/>
        <v/>
      </c>
      <c r="L8328" s="7" t="str">
        <f t="shared" si="656"/>
        <v/>
      </c>
      <c r="M8328" s="7" t="str">
        <f t="shared" si="653"/>
        <v/>
      </c>
      <c r="N8328" s="7" t="str">
        <f t="shared" si="657"/>
        <v/>
      </c>
      <c r="O8328" s="8"/>
      <c r="P8328" s="26"/>
      <c r="S8328" s="10" t="str">
        <f t="shared" si="654"/>
        <v/>
      </c>
    </row>
    <row r="8329" spans="5:19" x14ac:dyDescent="0.3">
      <c r="E8329" s="9" t="str">
        <f>IF(DADOS!C8329="","",DADOS!C8329)</f>
        <v/>
      </c>
      <c r="F8329" s="9" t="str">
        <f>IF(DADOS!E8329="","",DADOS!E8329)</f>
        <v/>
      </c>
      <c r="G8329" s="9" t="str">
        <f>IF(DADOS!F8329="","",DADOS!F8329)</f>
        <v/>
      </c>
      <c r="K8329" s="6" t="str">
        <f t="shared" si="655"/>
        <v/>
      </c>
      <c r="L8329" s="7" t="str">
        <f t="shared" si="656"/>
        <v/>
      </c>
      <c r="M8329" s="7" t="str">
        <f t="shared" si="653"/>
        <v/>
      </c>
      <c r="N8329" s="7" t="str">
        <f t="shared" si="657"/>
        <v/>
      </c>
      <c r="O8329" s="8"/>
      <c r="P8329" s="26"/>
      <c r="S8329" s="10" t="str">
        <f t="shared" si="654"/>
        <v/>
      </c>
    </row>
    <row r="8330" spans="5:19" x14ac:dyDescent="0.3">
      <c r="E8330" s="9" t="str">
        <f>IF(DADOS!C8330="","",DADOS!C8330)</f>
        <v/>
      </c>
      <c r="F8330" s="9" t="str">
        <f>IF(DADOS!E8330="","",DADOS!E8330)</f>
        <v/>
      </c>
      <c r="G8330" s="9" t="str">
        <f>IF(DADOS!F8330="","",DADOS!F8330)</f>
        <v/>
      </c>
      <c r="K8330" s="6" t="str">
        <f t="shared" si="655"/>
        <v/>
      </c>
      <c r="L8330" s="7" t="str">
        <f t="shared" si="656"/>
        <v/>
      </c>
      <c r="M8330" s="7" t="str">
        <f t="shared" si="653"/>
        <v/>
      </c>
      <c r="N8330" s="7" t="str">
        <f t="shared" si="657"/>
        <v/>
      </c>
      <c r="O8330" s="8"/>
      <c r="P8330" s="26"/>
      <c r="S8330" s="10" t="str">
        <f t="shared" si="654"/>
        <v/>
      </c>
    </row>
    <row r="8331" spans="5:19" x14ac:dyDescent="0.3">
      <c r="E8331" s="9" t="str">
        <f>IF(DADOS!C8331="","",DADOS!C8331)</f>
        <v/>
      </c>
      <c r="F8331" s="9" t="str">
        <f>IF(DADOS!E8331="","",DADOS!E8331)</f>
        <v/>
      </c>
      <c r="G8331" s="9" t="str">
        <f>IF(DADOS!F8331="","",DADOS!F8331)</f>
        <v/>
      </c>
      <c r="K8331" s="6" t="str">
        <f t="shared" si="655"/>
        <v/>
      </c>
      <c r="L8331" s="7" t="str">
        <f t="shared" si="656"/>
        <v/>
      </c>
      <c r="M8331" s="7" t="str">
        <f t="shared" si="653"/>
        <v/>
      </c>
      <c r="N8331" s="7" t="str">
        <f t="shared" si="657"/>
        <v/>
      </c>
      <c r="O8331" s="8"/>
      <c r="P8331" s="26"/>
      <c r="S8331" s="10" t="str">
        <f t="shared" si="654"/>
        <v/>
      </c>
    </row>
    <row r="8332" spans="5:19" x14ac:dyDescent="0.3">
      <c r="E8332" s="9" t="str">
        <f>IF(DADOS!C8332="","",DADOS!C8332)</f>
        <v/>
      </c>
      <c r="F8332" s="9" t="str">
        <f>IF(DADOS!E8332="","",DADOS!E8332)</f>
        <v/>
      </c>
      <c r="G8332" s="9" t="str">
        <f>IF(DADOS!F8332="","",DADOS!F8332)</f>
        <v/>
      </c>
      <c r="K8332" s="6" t="str">
        <f t="shared" si="655"/>
        <v/>
      </c>
      <c r="L8332" s="7" t="str">
        <f t="shared" si="656"/>
        <v/>
      </c>
      <c r="M8332" s="7" t="str">
        <f t="shared" si="653"/>
        <v/>
      </c>
      <c r="N8332" s="7" t="str">
        <f t="shared" si="657"/>
        <v/>
      </c>
      <c r="O8332" s="8"/>
      <c r="P8332" s="26"/>
      <c r="S8332" s="10" t="str">
        <f t="shared" si="654"/>
        <v/>
      </c>
    </row>
    <row r="8333" spans="5:19" x14ac:dyDescent="0.3">
      <c r="E8333" s="9" t="str">
        <f>IF(DADOS!C8333="","",DADOS!C8333)</f>
        <v/>
      </c>
      <c r="F8333" s="9" t="str">
        <f>IF(DADOS!E8333="","",DADOS!E8333)</f>
        <v/>
      </c>
      <c r="G8333" s="9" t="str">
        <f>IF(DADOS!F8333="","",DADOS!F8333)</f>
        <v/>
      </c>
      <c r="K8333" s="6" t="str">
        <f t="shared" si="655"/>
        <v/>
      </c>
      <c r="L8333" s="7" t="str">
        <f t="shared" si="656"/>
        <v/>
      </c>
      <c r="M8333" s="7" t="str">
        <f t="shared" si="653"/>
        <v/>
      </c>
      <c r="N8333" s="7" t="str">
        <f t="shared" si="657"/>
        <v/>
      </c>
      <c r="O8333" s="8"/>
      <c r="P8333" s="26"/>
      <c r="S8333" s="10" t="str">
        <f t="shared" si="654"/>
        <v/>
      </c>
    </row>
    <row r="8334" spans="5:19" x14ac:dyDescent="0.3">
      <c r="E8334" s="9" t="str">
        <f>IF(DADOS!C8334="","",DADOS!C8334)</f>
        <v/>
      </c>
      <c r="F8334" s="9" t="str">
        <f>IF(DADOS!E8334="","",DADOS!E8334)</f>
        <v/>
      </c>
      <c r="G8334" s="9" t="str">
        <f>IF(DADOS!F8334="","",DADOS!F8334)</f>
        <v/>
      </c>
      <c r="K8334" s="6" t="str">
        <f t="shared" si="655"/>
        <v/>
      </c>
      <c r="L8334" s="7" t="str">
        <f t="shared" si="656"/>
        <v/>
      </c>
      <c r="M8334" s="7" t="str">
        <f t="shared" si="653"/>
        <v/>
      </c>
      <c r="N8334" s="7" t="str">
        <f t="shared" si="657"/>
        <v/>
      </c>
      <c r="O8334" s="8"/>
      <c r="P8334" s="26"/>
      <c r="S8334" s="10" t="str">
        <f t="shared" si="654"/>
        <v/>
      </c>
    </row>
    <row r="8335" spans="5:19" x14ac:dyDescent="0.3">
      <c r="E8335" s="9" t="str">
        <f>IF(DADOS!C8335="","",DADOS!C8335)</f>
        <v/>
      </c>
      <c r="F8335" s="9" t="str">
        <f>IF(DADOS!E8335="","",DADOS!E8335)</f>
        <v/>
      </c>
      <c r="G8335" s="9" t="str">
        <f>IF(DADOS!F8335="","",DADOS!F8335)</f>
        <v/>
      </c>
      <c r="K8335" s="6" t="str">
        <f t="shared" si="655"/>
        <v/>
      </c>
      <c r="L8335" s="7" t="str">
        <f t="shared" si="656"/>
        <v/>
      </c>
      <c r="M8335" s="7" t="str">
        <f t="shared" si="653"/>
        <v/>
      </c>
      <c r="N8335" s="7" t="str">
        <f t="shared" si="657"/>
        <v/>
      </c>
      <c r="O8335" s="8"/>
      <c r="P8335" s="26"/>
      <c r="S8335" s="10" t="str">
        <f t="shared" si="654"/>
        <v/>
      </c>
    </row>
    <row r="8336" spans="5:19" x14ac:dyDescent="0.3">
      <c r="E8336" s="9" t="str">
        <f>IF(DADOS!C8336="","",DADOS!C8336)</f>
        <v/>
      </c>
      <c r="F8336" s="9" t="str">
        <f>IF(DADOS!E8336="","",DADOS!E8336)</f>
        <v/>
      </c>
      <c r="G8336" s="9" t="str">
        <f>IF(DADOS!F8336="","",DADOS!F8336)</f>
        <v/>
      </c>
      <c r="K8336" s="6" t="str">
        <f t="shared" si="655"/>
        <v/>
      </c>
      <c r="L8336" s="7" t="str">
        <f t="shared" si="656"/>
        <v/>
      </c>
      <c r="M8336" s="7" t="str">
        <f t="shared" si="653"/>
        <v/>
      </c>
      <c r="N8336" s="7" t="str">
        <f t="shared" si="657"/>
        <v/>
      </c>
      <c r="O8336" s="8"/>
      <c r="P8336" s="26"/>
      <c r="S8336" s="10" t="str">
        <f t="shared" si="654"/>
        <v/>
      </c>
    </row>
    <row r="8337" spans="5:19" x14ac:dyDescent="0.3">
      <c r="E8337" s="9" t="str">
        <f>IF(DADOS!C8337="","",DADOS!C8337)</f>
        <v/>
      </c>
      <c r="F8337" s="9" t="str">
        <f>IF(DADOS!E8337="","",DADOS!E8337)</f>
        <v/>
      </c>
      <c r="G8337" s="9" t="str">
        <f>IF(DADOS!F8337="","",DADOS!F8337)</f>
        <v/>
      </c>
      <c r="K8337" s="6" t="str">
        <f t="shared" si="655"/>
        <v/>
      </c>
      <c r="L8337" s="7" t="str">
        <f t="shared" si="656"/>
        <v/>
      </c>
      <c r="M8337" s="7" t="str">
        <f t="shared" si="653"/>
        <v/>
      </c>
      <c r="N8337" s="7" t="str">
        <f t="shared" si="657"/>
        <v/>
      </c>
      <c r="O8337" s="8"/>
      <c r="P8337" s="26"/>
      <c r="S8337" s="10" t="str">
        <f t="shared" si="654"/>
        <v/>
      </c>
    </row>
    <row r="8338" spans="5:19" x14ac:dyDescent="0.3">
      <c r="E8338" s="9" t="str">
        <f>IF(DADOS!C8338="","",DADOS!C8338)</f>
        <v/>
      </c>
      <c r="F8338" s="9" t="str">
        <f>IF(DADOS!E8338="","",DADOS!E8338)</f>
        <v/>
      </c>
      <c r="G8338" s="9" t="str">
        <f>IF(DADOS!F8338="","",DADOS!F8338)</f>
        <v/>
      </c>
      <c r="K8338" s="6" t="str">
        <f t="shared" si="655"/>
        <v/>
      </c>
      <c r="L8338" s="7" t="str">
        <f t="shared" si="656"/>
        <v/>
      </c>
      <c r="M8338" s="7" t="str">
        <f t="shared" si="653"/>
        <v/>
      </c>
      <c r="N8338" s="7" t="str">
        <f t="shared" si="657"/>
        <v/>
      </c>
      <c r="O8338" s="8"/>
      <c r="P8338" s="26"/>
      <c r="S8338" s="10" t="str">
        <f t="shared" si="654"/>
        <v/>
      </c>
    </row>
    <row r="8339" spans="5:19" x14ac:dyDescent="0.3">
      <c r="E8339" s="9" t="str">
        <f>IF(DADOS!C8339="","",DADOS!C8339)</f>
        <v/>
      </c>
      <c r="F8339" s="9" t="str">
        <f>IF(DADOS!E8339="","",DADOS!E8339)</f>
        <v/>
      </c>
      <c r="G8339" s="9" t="str">
        <f>IF(DADOS!F8339="","",DADOS!F8339)</f>
        <v/>
      </c>
      <c r="K8339" s="6" t="str">
        <f t="shared" si="655"/>
        <v/>
      </c>
      <c r="L8339" s="7" t="str">
        <f t="shared" si="656"/>
        <v/>
      </c>
      <c r="M8339" s="7" t="str">
        <f t="shared" si="653"/>
        <v/>
      </c>
      <c r="N8339" s="7" t="str">
        <f t="shared" si="657"/>
        <v/>
      </c>
      <c r="O8339" s="8"/>
      <c r="P8339" s="26"/>
      <c r="S8339" s="10" t="str">
        <f t="shared" si="654"/>
        <v/>
      </c>
    </row>
    <row r="8340" spans="5:19" x14ac:dyDescent="0.3">
      <c r="E8340" s="9" t="str">
        <f>IF(DADOS!C8340="","",DADOS!C8340)</f>
        <v/>
      </c>
      <c r="F8340" s="9" t="str">
        <f>IF(DADOS!E8340="","",DADOS!E8340)</f>
        <v/>
      </c>
      <c r="G8340" s="9" t="str">
        <f>IF(DADOS!F8340="","",DADOS!F8340)</f>
        <v/>
      </c>
      <c r="K8340" s="6" t="str">
        <f t="shared" si="655"/>
        <v/>
      </c>
      <c r="L8340" s="7" t="str">
        <f t="shared" si="656"/>
        <v/>
      </c>
      <c r="M8340" s="7" t="str">
        <f t="shared" si="653"/>
        <v/>
      </c>
      <c r="N8340" s="7" t="str">
        <f t="shared" si="657"/>
        <v/>
      </c>
      <c r="O8340" s="8"/>
      <c r="P8340" s="26"/>
      <c r="S8340" s="10" t="str">
        <f t="shared" si="654"/>
        <v/>
      </c>
    </row>
    <row r="8341" spans="5:19" x14ac:dyDescent="0.3">
      <c r="E8341" s="9" t="str">
        <f>IF(DADOS!C8341="","",DADOS!C8341)</f>
        <v/>
      </c>
      <c r="F8341" s="9" t="str">
        <f>IF(DADOS!E8341="","",DADOS!E8341)</f>
        <v/>
      </c>
      <c r="G8341" s="9" t="str">
        <f>IF(DADOS!F8341="","",DADOS!F8341)</f>
        <v/>
      </c>
      <c r="K8341" s="6" t="str">
        <f t="shared" si="655"/>
        <v/>
      </c>
      <c r="L8341" s="7" t="str">
        <f t="shared" si="656"/>
        <v/>
      </c>
      <c r="M8341" s="7" t="str">
        <f t="shared" si="653"/>
        <v/>
      </c>
      <c r="N8341" s="7" t="str">
        <f t="shared" si="657"/>
        <v/>
      </c>
      <c r="O8341" s="8"/>
      <c r="P8341" s="26"/>
      <c r="S8341" s="10" t="str">
        <f t="shared" si="654"/>
        <v/>
      </c>
    </row>
    <row r="8342" spans="5:19" x14ac:dyDescent="0.3">
      <c r="E8342" s="9" t="str">
        <f>IF(DADOS!C8342="","",DADOS!C8342)</f>
        <v/>
      </c>
      <c r="F8342" s="9" t="str">
        <f>IF(DADOS!E8342="","",DADOS!E8342)</f>
        <v/>
      </c>
      <c r="G8342" s="9" t="str">
        <f>IF(DADOS!F8342="","",DADOS!F8342)</f>
        <v/>
      </c>
      <c r="K8342" s="6" t="str">
        <f t="shared" si="655"/>
        <v/>
      </c>
      <c r="L8342" s="7" t="str">
        <f t="shared" si="656"/>
        <v/>
      </c>
      <c r="M8342" s="7" t="str">
        <f t="shared" si="653"/>
        <v/>
      </c>
      <c r="N8342" s="7" t="str">
        <f t="shared" si="657"/>
        <v/>
      </c>
      <c r="O8342" s="8"/>
      <c r="P8342" s="26"/>
      <c r="S8342" s="10" t="str">
        <f t="shared" si="654"/>
        <v/>
      </c>
    </row>
    <row r="8343" spans="5:19" x14ac:dyDescent="0.3">
      <c r="E8343" s="9" t="str">
        <f>IF(DADOS!C8343="","",DADOS!C8343)</f>
        <v/>
      </c>
      <c r="F8343" s="9" t="str">
        <f>IF(DADOS!E8343="","",DADOS!E8343)</f>
        <v/>
      </c>
      <c r="G8343" s="9" t="str">
        <f>IF(DADOS!F8343="","",DADOS!F8343)</f>
        <v/>
      </c>
      <c r="K8343" s="6" t="str">
        <f t="shared" si="655"/>
        <v/>
      </c>
      <c r="L8343" s="7" t="str">
        <f t="shared" si="656"/>
        <v/>
      </c>
      <c r="M8343" s="7" t="str">
        <f t="shared" si="653"/>
        <v/>
      </c>
      <c r="N8343" s="7" t="str">
        <f t="shared" si="657"/>
        <v/>
      </c>
      <c r="O8343" s="8"/>
      <c r="P8343" s="26"/>
      <c r="S8343" s="10" t="str">
        <f t="shared" si="654"/>
        <v/>
      </c>
    </row>
    <row r="8344" spans="5:19" x14ac:dyDescent="0.3">
      <c r="E8344" s="9" t="str">
        <f>IF(DADOS!C8344="","",DADOS!C8344)</f>
        <v/>
      </c>
      <c r="F8344" s="9" t="str">
        <f>IF(DADOS!E8344="","",DADOS!E8344)</f>
        <v/>
      </c>
      <c r="G8344" s="9" t="str">
        <f>IF(DADOS!F8344="","",DADOS!F8344)</f>
        <v/>
      </c>
      <c r="K8344" s="6" t="str">
        <f t="shared" si="655"/>
        <v/>
      </c>
      <c r="L8344" s="7" t="str">
        <f t="shared" si="656"/>
        <v/>
      </c>
      <c r="M8344" s="7" t="str">
        <f t="shared" si="653"/>
        <v/>
      </c>
      <c r="N8344" s="7" t="str">
        <f t="shared" si="657"/>
        <v/>
      </c>
      <c r="O8344" s="8"/>
      <c r="P8344" s="26"/>
      <c r="S8344" s="10" t="str">
        <f t="shared" si="654"/>
        <v/>
      </c>
    </row>
    <row r="8345" spans="5:19" x14ac:dyDescent="0.3">
      <c r="E8345" s="9" t="str">
        <f>IF(DADOS!C8345="","",DADOS!C8345)</f>
        <v/>
      </c>
      <c r="F8345" s="9" t="str">
        <f>IF(DADOS!E8345="","",DADOS!E8345)</f>
        <v/>
      </c>
      <c r="G8345" s="9" t="str">
        <f>IF(DADOS!F8345="","",DADOS!F8345)</f>
        <v/>
      </c>
      <c r="K8345" s="6" t="str">
        <f t="shared" si="655"/>
        <v/>
      </c>
      <c r="L8345" s="7" t="str">
        <f t="shared" si="656"/>
        <v/>
      </c>
      <c r="M8345" s="7" t="str">
        <f t="shared" si="653"/>
        <v/>
      </c>
      <c r="N8345" s="7" t="str">
        <f t="shared" si="657"/>
        <v/>
      </c>
      <c r="O8345" s="8"/>
      <c r="P8345" s="26"/>
      <c r="S8345" s="10" t="str">
        <f t="shared" si="654"/>
        <v/>
      </c>
    </row>
    <row r="8346" spans="5:19" x14ac:dyDescent="0.3">
      <c r="E8346" s="9" t="str">
        <f>IF(DADOS!C8346="","",DADOS!C8346)</f>
        <v/>
      </c>
      <c r="F8346" s="9" t="str">
        <f>IF(DADOS!E8346="","",DADOS!E8346)</f>
        <v/>
      </c>
      <c r="G8346" s="9" t="str">
        <f>IF(DADOS!F8346="","",DADOS!F8346)</f>
        <v/>
      </c>
      <c r="K8346" s="6" t="str">
        <f t="shared" si="655"/>
        <v/>
      </c>
      <c r="L8346" s="7" t="str">
        <f t="shared" si="656"/>
        <v/>
      </c>
      <c r="M8346" s="7" t="str">
        <f t="shared" si="653"/>
        <v/>
      </c>
      <c r="N8346" s="7" t="str">
        <f t="shared" si="657"/>
        <v/>
      </c>
      <c r="O8346" s="8"/>
      <c r="P8346" s="26"/>
      <c r="S8346" s="10" t="str">
        <f t="shared" si="654"/>
        <v/>
      </c>
    </row>
    <row r="8347" spans="5:19" x14ac:dyDescent="0.3">
      <c r="E8347" s="9" t="str">
        <f>IF(DADOS!C8347="","",DADOS!C8347)</f>
        <v/>
      </c>
      <c r="F8347" s="9" t="str">
        <f>IF(DADOS!E8347="","",DADOS!E8347)</f>
        <v/>
      </c>
      <c r="G8347" s="9" t="str">
        <f>IF(DADOS!F8347="","",DADOS!F8347)</f>
        <v/>
      </c>
      <c r="K8347" s="6" t="str">
        <f t="shared" si="655"/>
        <v/>
      </c>
      <c r="L8347" s="7" t="str">
        <f t="shared" si="656"/>
        <v/>
      </c>
      <c r="M8347" s="7" t="str">
        <f t="shared" si="653"/>
        <v/>
      </c>
      <c r="N8347" s="7" t="str">
        <f t="shared" si="657"/>
        <v/>
      </c>
      <c r="O8347" s="8"/>
      <c r="P8347" s="26"/>
      <c r="S8347" s="10" t="str">
        <f t="shared" si="654"/>
        <v/>
      </c>
    </row>
    <row r="8348" spans="5:19" x14ac:dyDescent="0.3">
      <c r="E8348" s="9" t="str">
        <f>IF(DADOS!C8348="","",DADOS!C8348)</f>
        <v/>
      </c>
      <c r="F8348" s="9" t="str">
        <f>IF(DADOS!E8348="","",DADOS!E8348)</f>
        <v/>
      </c>
      <c r="G8348" s="9" t="str">
        <f>IF(DADOS!F8348="","",DADOS!F8348)</f>
        <v/>
      </c>
      <c r="K8348" s="6" t="str">
        <f t="shared" si="655"/>
        <v/>
      </c>
      <c r="L8348" s="7" t="str">
        <f t="shared" si="656"/>
        <v/>
      </c>
      <c r="M8348" s="7" t="str">
        <f t="shared" si="653"/>
        <v/>
      </c>
      <c r="N8348" s="7" t="str">
        <f t="shared" si="657"/>
        <v/>
      </c>
      <c r="O8348" s="8"/>
      <c r="P8348" s="26"/>
      <c r="S8348" s="10" t="str">
        <f t="shared" si="654"/>
        <v/>
      </c>
    </row>
    <row r="8349" spans="5:19" x14ac:dyDescent="0.3">
      <c r="E8349" s="9" t="str">
        <f>IF(DADOS!C8349="","",DADOS!C8349)</f>
        <v/>
      </c>
      <c r="F8349" s="9" t="str">
        <f>IF(DADOS!E8349="","",DADOS!E8349)</f>
        <v/>
      </c>
      <c r="G8349" s="9" t="str">
        <f>IF(DADOS!F8349="","",DADOS!F8349)</f>
        <v/>
      </c>
      <c r="K8349" s="6" t="str">
        <f t="shared" si="655"/>
        <v/>
      </c>
      <c r="L8349" s="7" t="str">
        <f t="shared" si="656"/>
        <v/>
      </c>
      <c r="M8349" s="7" t="str">
        <f t="shared" si="653"/>
        <v/>
      </c>
      <c r="N8349" s="7" t="str">
        <f t="shared" si="657"/>
        <v/>
      </c>
      <c r="O8349" s="8"/>
      <c r="P8349" s="26"/>
      <c r="S8349" s="10" t="str">
        <f t="shared" si="654"/>
        <v/>
      </c>
    </row>
    <row r="8350" spans="5:19" x14ac:dyDescent="0.3">
      <c r="E8350" s="9" t="str">
        <f>IF(DADOS!C8350="","",DADOS!C8350)</f>
        <v/>
      </c>
      <c r="F8350" s="9" t="str">
        <f>IF(DADOS!E8350="","",DADOS!E8350)</f>
        <v/>
      </c>
      <c r="G8350" s="9" t="str">
        <f>IF(DADOS!F8350="","",DADOS!F8350)</f>
        <v/>
      </c>
      <c r="K8350" s="6" t="str">
        <f t="shared" si="655"/>
        <v/>
      </c>
      <c r="L8350" s="7" t="str">
        <f t="shared" si="656"/>
        <v/>
      </c>
      <c r="M8350" s="7" t="str">
        <f t="shared" si="653"/>
        <v/>
      </c>
      <c r="N8350" s="7" t="str">
        <f t="shared" si="657"/>
        <v/>
      </c>
      <c r="O8350" s="8"/>
      <c r="P8350" s="26"/>
      <c r="S8350" s="10" t="str">
        <f t="shared" si="654"/>
        <v/>
      </c>
    </row>
    <row r="8351" spans="5:19" x14ac:dyDescent="0.3">
      <c r="E8351" s="9" t="str">
        <f>IF(DADOS!C8351="","",DADOS!C8351)</f>
        <v/>
      </c>
      <c r="F8351" s="9" t="str">
        <f>IF(DADOS!E8351="","",DADOS!E8351)</f>
        <v/>
      </c>
      <c r="G8351" s="9" t="str">
        <f>IF(DADOS!F8351="","",DADOS!F8351)</f>
        <v/>
      </c>
      <c r="K8351" s="6" t="str">
        <f t="shared" si="655"/>
        <v/>
      </c>
      <c r="L8351" s="7" t="str">
        <f t="shared" si="656"/>
        <v/>
      </c>
      <c r="M8351" s="7" t="str">
        <f t="shared" si="653"/>
        <v/>
      </c>
      <c r="N8351" s="7" t="str">
        <f t="shared" si="657"/>
        <v/>
      </c>
      <c r="O8351" s="8"/>
      <c r="P8351" s="26"/>
      <c r="S8351" s="10" t="str">
        <f t="shared" si="654"/>
        <v/>
      </c>
    </row>
    <row r="8352" spans="5:19" x14ac:dyDescent="0.3">
      <c r="E8352" s="9" t="str">
        <f>IF(DADOS!C8352="","",DADOS!C8352)</f>
        <v/>
      </c>
      <c r="F8352" s="9" t="str">
        <f>IF(DADOS!E8352="","",DADOS!E8352)</f>
        <v/>
      </c>
      <c r="G8352" s="9" t="str">
        <f>IF(DADOS!F8352="","",DADOS!F8352)</f>
        <v/>
      </c>
      <c r="K8352" s="6" t="str">
        <f t="shared" si="655"/>
        <v/>
      </c>
      <c r="L8352" s="7" t="str">
        <f t="shared" si="656"/>
        <v/>
      </c>
      <c r="M8352" s="7" t="str">
        <f t="shared" si="653"/>
        <v/>
      </c>
      <c r="N8352" s="7" t="str">
        <f t="shared" si="657"/>
        <v/>
      </c>
      <c r="O8352" s="8"/>
      <c r="P8352" s="26"/>
      <c r="S8352" s="10" t="str">
        <f t="shared" si="654"/>
        <v/>
      </c>
    </row>
    <row r="8353" spans="5:19" x14ac:dyDescent="0.3">
      <c r="E8353" s="9" t="str">
        <f>IF(DADOS!C8353="","",DADOS!C8353)</f>
        <v/>
      </c>
      <c r="F8353" s="9" t="str">
        <f>IF(DADOS!E8353="","",DADOS!E8353)</f>
        <v/>
      </c>
      <c r="G8353" s="9" t="str">
        <f>IF(DADOS!F8353="","",DADOS!F8353)</f>
        <v/>
      </c>
      <c r="K8353" s="6" t="str">
        <f t="shared" si="655"/>
        <v/>
      </c>
      <c r="L8353" s="7" t="str">
        <f t="shared" si="656"/>
        <v/>
      </c>
      <c r="M8353" s="7" t="str">
        <f t="shared" si="653"/>
        <v/>
      </c>
      <c r="N8353" s="7" t="str">
        <f t="shared" si="657"/>
        <v/>
      </c>
      <c r="O8353" s="8"/>
      <c r="P8353" s="26"/>
      <c r="S8353" s="10" t="str">
        <f t="shared" si="654"/>
        <v/>
      </c>
    </row>
    <row r="8354" spans="5:19" x14ac:dyDescent="0.3">
      <c r="E8354" s="9" t="str">
        <f>IF(DADOS!C8354="","",DADOS!C8354)</f>
        <v/>
      </c>
      <c r="F8354" s="9" t="str">
        <f>IF(DADOS!E8354="","",DADOS!E8354)</f>
        <v/>
      </c>
      <c r="G8354" s="9" t="str">
        <f>IF(DADOS!F8354="","",DADOS!F8354)</f>
        <v/>
      </c>
      <c r="K8354" s="6" t="str">
        <f t="shared" si="655"/>
        <v/>
      </c>
      <c r="L8354" s="7" t="str">
        <f t="shared" si="656"/>
        <v/>
      </c>
      <c r="M8354" s="7" t="str">
        <f t="shared" si="653"/>
        <v/>
      </c>
      <c r="N8354" s="7" t="str">
        <f t="shared" si="657"/>
        <v/>
      </c>
      <c r="O8354" s="8"/>
      <c r="P8354" s="26"/>
      <c r="S8354" s="10" t="str">
        <f t="shared" si="654"/>
        <v/>
      </c>
    </row>
    <row r="8355" spans="5:19" x14ac:dyDescent="0.3">
      <c r="E8355" s="9" t="str">
        <f>IF(DADOS!C8355="","",DADOS!C8355)</f>
        <v/>
      </c>
      <c r="F8355" s="9" t="str">
        <f>IF(DADOS!E8355="","",DADOS!E8355)</f>
        <v/>
      </c>
      <c r="G8355" s="9" t="str">
        <f>IF(DADOS!F8355="","",DADOS!F8355)</f>
        <v/>
      </c>
      <c r="K8355" s="6" t="str">
        <f t="shared" si="655"/>
        <v/>
      </c>
      <c r="L8355" s="7" t="str">
        <f t="shared" si="656"/>
        <v/>
      </c>
      <c r="M8355" s="7" t="str">
        <f t="shared" si="653"/>
        <v/>
      </c>
      <c r="N8355" s="7" t="str">
        <f t="shared" si="657"/>
        <v/>
      </c>
      <c r="O8355" s="8"/>
      <c r="P8355" s="26"/>
      <c r="S8355" s="10" t="str">
        <f t="shared" si="654"/>
        <v/>
      </c>
    </row>
    <row r="8356" spans="5:19" x14ac:dyDescent="0.3">
      <c r="E8356" s="9" t="str">
        <f>IF(DADOS!C8356="","",DADOS!C8356)</f>
        <v/>
      </c>
      <c r="F8356" s="9" t="str">
        <f>IF(DADOS!E8356="","",DADOS!E8356)</f>
        <v/>
      </c>
      <c r="G8356" s="9" t="str">
        <f>IF(DADOS!F8356="","",DADOS!F8356)</f>
        <v/>
      </c>
      <c r="K8356" s="6" t="str">
        <f t="shared" si="655"/>
        <v/>
      </c>
      <c r="L8356" s="7" t="str">
        <f t="shared" si="656"/>
        <v/>
      </c>
      <c r="M8356" s="7" t="str">
        <f t="shared" si="653"/>
        <v/>
      </c>
      <c r="N8356" s="7" t="str">
        <f t="shared" si="657"/>
        <v/>
      </c>
      <c r="O8356" s="8"/>
      <c r="P8356" s="26"/>
      <c r="S8356" s="10" t="str">
        <f t="shared" si="654"/>
        <v/>
      </c>
    </row>
    <row r="8357" spans="5:19" x14ac:dyDescent="0.3">
      <c r="E8357" s="9" t="str">
        <f>IF(DADOS!C8357="","",DADOS!C8357)</f>
        <v/>
      </c>
      <c r="F8357" s="9" t="str">
        <f>IF(DADOS!E8357="","",DADOS!E8357)</f>
        <v/>
      </c>
      <c r="G8357" s="9" t="str">
        <f>IF(DADOS!F8357="","",DADOS!F8357)</f>
        <v/>
      </c>
      <c r="K8357" s="6" t="str">
        <f t="shared" si="655"/>
        <v/>
      </c>
      <c r="L8357" s="7" t="str">
        <f t="shared" si="656"/>
        <v/>
      </c>
      <c r="M8357" s="7" t="str">
        <f t="shared" si="653"/>
        <v/>
      </c>
      <c r="N8357" s="7" t="str">
        <f t="shared" si="657"/>
        <v/>
      </c>
      <c r="O8357" s="8"/>
      <c r="P8357" s="26"/>
      <c r="S8357" s="10" t="str">
        <f t="shared" si="654"/>
        <v/>
      </c>
    </row>
    <row r="8358" spans="5:19" x14ac:dyDescent="0.3">
      <c r="E8358" s="9" t="str">
        <f>IF(DADOS!C8358="","",DADOS!C8358)</f>
        <v/>
      </c>
      <c r="F8358" s="9" t="str">
        <f>IF(DADOS!E8358="","",DADOS!E8358)</f>
        <v/>
      </c>
      <c r="G8358" s="9" t="str">
        <f>IF(DADOS!F8358="","",DADOS!F8358)</f>
        <v/>
      </c>
      <c r="K8358" s="6" t="str">
        <f t="shared" si="655"/>
        <v/>
      </c>
      <c r="L8358" s="7" t="str">
        <f t="shared" si="656"/>
        <v/>
      </c>
      <c r="M8358" s="7" t="str">
        <f t="shared" si="653"/>
        <v/>
      </c>
      <c r="N8358" s="7" t="str">
        <f t="shared" si="657"/>
        <v/>
      </c>
      <c r="O8358" s="8"/>
      <c r="P8358" s="26"/>
      <c r="S8358" s="10" t="str">
        <f t="shared" si="654"/>
        <v/>
      </c>
    </row>
    <row r="8359" spans="5:19" x14ac:dyDescent="0.3">
      <c r="E8359" s="9" t="str">
        <f>IF(DADOS!C8359="","",DADOS!C8359)</f>
        <v/>
      </c>
      <c r="F8359" s="9" t="str">
        <f>IF(DADOS!E8359="","",DADOS!E8359)</f>
        <v/>
      </c>
      <c r="G8359" s="9" t="str">
        <f>IF(DADOS!F8359="","",DADOS!F8359)</f>
        <v/>
      </c>
      <c r="K8359" s="6" t="str">
        <f t="shared" si="655"/>
        <v/>
      </c>
      <c r="L8359" s="7" t="str">
        <f t="shared" si="656"/>
        <v/>
      </c>
      <c r="M8359" s="7" t="str">
        <f t="shared" si="653"/>
        <v/>
      </c>
      <c r="N8359" s="7" t="str">
        <f t="shared" si="657"/>
        <v/>
      </c>
      <c r="O8359" s="8"/>
      <c r="P8359" s="26"/>
      <c r="S8359" s="10" t="str">
        <f t="shared" si="654"/>
        <v/>
      </c>
    </row>
    <row r="8360" spans="5:19" x14ac:dyDescent="0.3">
      <c r="E8360" s="9" t="str">
        <f>IF(DADOS!C8360="","",DADOS!C8360)</f>
        <v/>
      </c>
      <c r="F8360" s="9" t="str">
        <f>IF(DADOS!E8360="","",DADOS!E8360)</f>
        <v/>
      </c>
      <c r="G8360" s="9" t="str">
        <f>IF(DADOS!F8360="","",DADOS!F8360)</f>
        <v/>
      </c>
      <c r="K8360" s="6" t="str">
        <f t="shared" si="655"/>
        <v/>
      </c>
      <c r="L8360" s="7" t="str">
        <f t="shared" si="656"/>
        <v/>
      </c>
      <c r="M8360" s="7" t="str">
        <f t="shared" si="653"/>
        <v/>
      </c>
      <c r="N8360" s="7" t="str">
        <f t="shared" si="657"/>
        <v/>
      </c>
      <c r="O8360" s="8"/>
      <c r="P8360" s="26"/>
      <c r="S8360" s="10" t="str">
        <f t="shared" si="654"/>
        <v/>
      </c>
    </row>
    <row r="8361" spans="5:19" x14ac:dyDescent="0.3">
      <c r="E8361" s="9" t="str">
        <f>IF(DADOS!C8361="","",DADOS!C8361)</f>
        <v/>
      </c>
      <c r="F8361" s="9" t="str">
        <f>IF(DADOS!E8361="","",DADOS!E8361)</f>
        <v/>
      </c>
      <c r="G8361" s="9" t="str">
        <f>IF(DADOS!F8361="","",DADOS!F8361)</f>
        <v/>
      </c>
      <c r="K8361" s="6" t="str">
        <f t="shared" si="655"/>
        <v/>
      </c>
      <c r="L8361" s="7" t="str">
        <f t="shared" si="656"/>
        <v/>
      </c>
      <c r="M8361" s="7" t="str">
        <f t="shared" si="653"/>
        <v/>
      </c>
      <c r="N8361" s="7" t="str">
        <f t="shared" si="657"/>
        <v/>
      </c>
      <c r="O8361" s="8"/>
      <c r="P8361" s="26"/>
      <c r="S8361" s="10" t="str">
        <f t="shared" si="654"/>
        <v/>
      </c>
    </row>
    <row r="8362" spans="5:19" x14ac:dyDescent="0.3">
      <c r="E8362" s="9" t="str">
        <f>IF(DADOS!C8362="","",DADOS!C8362)</f>
        <v/>
      </c>
      <c r="F8362" s="9" t="str">
        <f>IF(DADOS!E8362="","",DADOS!E8362)</f>
        <v/>
      </c>
      <c r="G8362" s="9" t="str">
        <f>IF(DADOS!F8362="","",DADOS!F8362)</f>
        <v/>
      </c>
      <c r="K8362" s="6" t="str">
        <f t="shared" si="655"/>
        <v/>
      </c>
      <c r="L8362" s="7" t="str">
        <f t="shared" si="656"/>
        <v/>
      </c>
      <c r="M8362" s="7" t="str">
        <f t="shared" si="653"/>
        <v/>
      </c>
      <c r="N8362" s="7" t="str">
        <f t="shared" si="657"/>
        <v/>
      </c>
      <c r="O8362" s="8"/>
      <c r="P8362" s="26"/>
      <c r="S8362" s="10" t="str">
        <f t="shared" si="654"/>
        <v/>
      </c>
    </row>
    <row r="8363" spans="5:19" x14ac:dyDescent="0.3">
      <c r="E8363" s="9" t="str">
        <f>IF(DADOS!C8363="","",DADOS!C8363)</f>
        <v/>
      </c>
      <c r="F8363" s="9" t="str">
        <f>IF(DADOS!E8363="","",DADOS!E8363)</f>
        <v/>
      </c>
      <c r="G8363" s="9" t="str">
        <f>IF(DADOS!F8363="","",DADOS!F8363)</f>
        <v/>
      </c>
      <c r="K8363" s="6" t="str">
        <f t="shared" si="655"/>
        <v/>
      </c>
      <c r="L8363" s="7" t="str">
        <f t="shared" si="656"/>
        <v/>
      </c>
      <c r="M8363" s="7" t="str">
        <f t="shared" si="653"/>
        <v/>
      </c>
      <c r="N8363" s="7" t="str">
        <f t="shared" si="657"/>
        <v/>
      </c>
      <c r="O8363" s="8"/>
      <c r="P8363" s="26"/>
      <c r="S8363" s="10" t="str">
        <f t="shared" si="654"/>
        <v/>
      </c>
    </row>
    <row r="8364" spans="5:19" x14ac:dyDescent="0.3">
      <c r="E8364" s="9" t="str">
        <f>IF(DADOS!C8364="","",DADOS!C8364)</f>
        <v/>
      </c>
      <c r="F8364" s="9" t="str">
        <f>IF(DADOS!E8364="","",DADOS!E8364)</f>
        <v/>
      </c>
      <c r="G8364" s="9" t="str">
        <f>IF(DADOS!F8364="","",DADOS!F8364)</f>
        <v/>
      </c>
      <c r="K8364" s="6" t="str">
        <f t="shared" si="655"/>
        <v/>
      </c>
      <c r="L8364" s="7" t="str">
        <f t="shared" si="656"/>
        <v/>
      </c>
      <c r="M8364" s="7" t="str">
        <f t="shared" si="653"/>
        <v/>
      </c>
      <c r="N8364" s="7" t="str">
        <f t="shared" si="657"/>
        <v/>
      </c>
      <c r="O8364" s="8"/>
      <c r="P8364" s="26"/>
      <c r="S8364" s="10" t="str">
        <f t="shared" si="654"/>
        <v/>
      </c>
    </row>
    <row r="8365" spans="5:19" x14ac:dyDescent="0.3">
      <c r="E8365" s="9" t="str">
        <f>IF(DADOS!C8365="","",DADOS!C8365)</f>
        <v/>
      </c>
      <c r="F8365" s="9" t="str">
        <f>IF(DADOS!E8365="","",DADOS!E8365)</f>
        <v/>
      </c>
      <c r="G8365" s="9" t="str">
        <f>IF(DADOS!F8365="","",DADOS!F8365)</f>
        <v/>
      </c>
      <c r="K8365" s="6" t="str">
        <f t="shared" si="655"/>
        <v/>
      </c>
      <c r="L8365" s="7" t="str">
        <f t="shared" si="656"/>
        <v/>
      </c>
      <c r="M8365" s="7" t="str">
        <f t="shared" si="653"/>
        <v/>
      </c>
      <c r="N8365" s="7" t="str">
        <f t="shared" si="657"/>
        <v/>
      </c>
      <c r="O8365" s="8"/>
      <c r="P8365" s="26"/>
      <c r="S8365" s="10" t="str">
        <f t="shared" si="654"/>
        <v/>
      </c>
    </row>
    <row r="8366" spans="5:19" x14ac:dyDescent="0.3">
      <c r="E8366" s="9" t="str">
        <f>IF(DADOS!C8366="","",DADOS!C8366)</f>
        <v/>
      </c>
      <c r="F8366" s="9" t="str">
        <f>IF(DADOS!E8366="","",DADOS!E8366)</f>
        <v/>
      </c>
      <c r="G8366" s="9" t="str">
        <f>IF(DADOS!F8366="","",DADOS!F8366)</f>
        <v/>
      </c>
      <c r="K8366" s="6" t="str">
        <f t="shared" si="655"/>
        <v/>
      </c>
      <c r="L8366" s="7" t="str">
        <f t="shared" si="656"/>
        <v/>
      </c>
      <c r="M8366" s="7" t="str">
        <f t="shared" si="653"/>
        <v/>
      </c>
      <c r="N8366" s="7" t="str">
        <f t="shared" si="657"/>
        <v/>
      </c>
      <c r="O8366" s="8"/>
      <c r="P8366" s="26"/>
      <c r="S8366" s="10" t="str">
        <f t="shared" si="654"/>
        <v/>
      </c>
    </row>
    <row r="8367" spans="5:19" x14ac:dyDescent="0.3">
      <c r="E8367" s="9" t="str">
        <f>IF(DADOS!C8367="","",DADOS!C8367)</f>
        <v/>
      </c>
      <c r="F8367" s="9" t="str">
        <f>IF(DADOS!E8367="","",DADOS!E8367)</f>
        <v/>
      </c>
      <c r="G8367" s="9" t="str">
        <f>IF(DADOS!F8367="","",DADOS!F8367)</f>
        <v/>
      </c>
      <c r="K8367" s="6" t="str">
        <f t="shared" si="655"/>
        <v/>
      </c>
      <c r="L8367" s="7" t="str">
        <f t="shared" si="656"/>
        <v/>
      </c>
      <c r="M8367" s="7" t="str">
        <f t="shared" si="653"/>
        <v/>
      </c>
      <c r="N8367" s="7" t="str">
        <f t="shared" si="657"/>
        <v/>
      </c>
      <c r="O8367" s="8"/>
      <c r="P8367" s="26"/>
      <c r="S8367" s="10" t="str">
        <f t="shared" si="654"/>
        <v/>
      </c>
    </row>
    <row r="8368" spans="5:19" x14ac:dyDescent="0.3">
      <c r="E8368" s="9" t="str">
        <f>IF(DADOS!C8368="","",DADOS!C8368)</f>
        <v/>
      </c>
      <c r="F8368" s="9" t="str">
        <f>IF(DADOS!E8368="","",DADOS!E8368)</f>
        <v/>
      </c>
      <c r="G8368" s="9" t="str">
        <f>IF(DADOS!F8368="","",DADOS!F8368)</f>
        <v/>
      </c>
      <c r="K8368" s="6" t="str">
        <f t="shared" si="655"/>
        <v/>
      </c>
      <c r="L8368" s="7" t="str">
        <f t="shared" si="656"/>
        <v/>
      </c>
      <c r="M8368" s="7" t="str">
        <f t="shared" si="653"/>
        <v/>
      </c>
      <c r="N8368" s="7" t="str">
        <f t="shared" si="657"/>
        <v/>
      </c>
      <c r="O8368" s="8"/>
      <c r="P8368" s="26"/>
      <c r="S8368" s="10" t="str">
        <f t="shared" si="654"/>
        <v/>
      </c>
    </row>
    <row r="8369" spans="5:19" x14ac:dyDescent="0.3">
      <c r="E8369" s="9" t="str">
        <f>IF(DADOS!C8369="","",DADOS!C8369)</f>
        <v/>
      </c>
      <c r="F8369" s="9" t="str">
        <f>IF(DADOS!E8369="","",DADOS!E8369)</f>
        <v/>
      </c>
      <c r="G8369" s="9" t="str">
        <f>IF(DADOS!F8369="","",DADOS!F8369)</f>
        <v/>
      </c>
      <c r="K8369" s="6" t="str">
        <f t="shared" si="655"/>
        <v/>
      </c>
      <c r="L8369" s="7" t="str">
        <f t="shared" si="656"/>
        <v/>
      </c>
      <c r="M8369" s="7" t="str">
        <f t="shared" si="653"/>
        <v/>
      </c>
      <c r="N8369" s="7" t="str">
        <f t="shared" si="657"/>
        <v/>
      </c>
      <c r="O8369" s="8"/>
      <c r="P8369" s="26"/>
      <c r="S8369" s="10" t="str">
        <f t="shared" si="654"/>
        <v/>
      </c>
    </row>
    <row r="8370" spans="5:19" x14ac:dyDescent="0.3">
      <c r="E8370" s="9" t="str">
        <f>IF(DADOS!C8370="","",DADOS!C8370)</f>
        <v/>
      </c>
      <c r="F8370" s="9" t="str">
        <f>IF(DADOS!E8370="","",DADOS!E8370)</f>
        <v/>
      </c>
      <c r="G8370" s="9" t="str">
        <f>IF(DADOS!F8370="","",DADOS!F8370)</f>
        <v/>
      </c>
      <c r="K8370" s="6" t="str">
        <f t="shared" si="655"/>
        <v/>
      </c>
      <c r="L8370" s="7" t="str">
        <f t="shared" si="656"/>
        <v/>
      </c>
      <c r="M8370" s="7" t="str">
        <f t="shared" si="653"/>
        <v/>
      </c>
      <c r="N8370" s="7" t="str">
        <f t="shared" si="657"/>
        <v/>
      </c>
      <c r="O8370" s="8"/>
      <c r="P8370" s="26"/>
      <c r="S8370" s="10" t="str">
        <f t="shared" si="654"/>
        <v/>
      </c>
    </row>
    <row r="8371" spans="5:19" x14ac:dyDescent="0.3">
      <c r="E8371" s="9" t="str">
        <f>IF(DADOS!C8371="","",DADOS!C8371)</f>
        <v/>
      </c>
      <c r="F8371" s="9" t="str">
        <f>IF(DADOS!E8371="","",DADOS!E8371)</f>
        <v/>
      </c>
      <c r="G8371" s="9" t="str">
        <f>IF(DADOS!F8371="","",DADOS!F8371)</f>
        <v/>
      </c>
      <c r="K8371" s="6" t="str">
        <f t="shared" si="655"/>
        <v/>
      </c>
      <c r="L8371" s="7" t="str">
        <f t="shared" si="656"/>
        <v/>
      </c>
      <c r="M8371" s="7" t="str">
        <f t="shared" si="653"/>
        <v/>
      </c>
      <c r="N8371" s="7" t="str">
        <f t="shared" si="657"/>
        <v/>
      </c>
      <c r="O8371" s="8"/>
      <c r="P8371" s="26"/>
      <c r="S8371" s="10" t="str">
        <f t="shared" si="654"/>
        <v/>
      </c>
    </row>
    <row r="8372" spans="5:19" x14ac:dyDescent="0.3">
      <c r="E8372" s="9" t="str">
        <f>IF(DADOS!C8372="","",DADOS!C8372)</f>
        <v/>
      </c>
      <c r="F8372" s="9" t="str">
        <f>IF(DADOS!E8372="","",DADOS!E8372)</f>
        <v/>
      </c>
      <c r="G8372" s="9" t="str">
        <f>IF(DADOS!F8372="","",DADOS!F8372)</f>
        <v/>
      </c>
      <c r="K8372" s="6" t="str">
        <f t="shared" si="655"/>
        <v/>
      </c>
      <c r="L8372" s="7" t="str">
        <f t="shared" si="656"/>
        <v/>
      </c>
      <c r="M8372" s="7" t="str">
        <f t="shared" si="653"/>
        <v/>
      </c>
      <c r="N8372" s="7" t="str">
        <f t="shared" si="657"/>
        <v/>
      </c>
      <c r="O8372" s="8"/>
      <c r="P8372" s="26"/>
      <c r="S8372" s="10" t="str">
        <f t="shared" si="654"/>
        <v/>
      </c>
    </row>
    <row r="8373" spans="5:19" x14ac:dyDescent="0.3">
      <c r="E8373" s="9" t="str">
        <f>IF(DADOS!C8373="","",DADOS!C8373)</f>
        <v/>
      </c>
      <c r="F8373" s="9" t="str">
        <f>IF(DADOS!E8373="","",DADOS!E8373)</f>
        <v/>
      </c>
      <c r="G8373" s="9" t="str">
        <f>IF(DADOS!F8373="","",DADOS!F8373)</f>
        <v/>
      </c>
      <c r="K8373" s="6" t="str">
        <f t="shared" si="655"/>
        <v/>
      </c>
      <c r="L8373" s="7" t="str">
        <f t="shared" si="656"/>
        <v/>
      </c>
      <c r="M8373" s="7" t="str">
        <f t="shared" si="653"/>
        <v/>
      </c>
      <c r="N8373" s="7" t="str">
        <f t="shared" si="657"/>
        <v/>
      </c>
      <c r="O8373" s="8"/>
      <c r="P8373" s="26"/>
      <c r="S8373" s="10" t="str">
        <f t="shared" si="654"/>
        <v/>
      </c>
    </row>
    <row r="8374" spans="5:19" x14ac:dyDescent="0.3">
      <c r="E8374" s="9" t="str">
        <f>IF(DADOS!C8374="","",DADOS!C8374)</f>
        <v/>
      </c>
      <c r="F8374" s="9" t="str">
        <f>IF(DADOS!E8374="","",DADOS!E8374)</f>
        <v/>
      </c>
      <c r="G8374" s="9" t="str">
        <f>IF(DADOS!F8374="","",DADOS!F8374)</f>
        <v/>
      </c>
      <c r="K8374" s="6" t="str">
        <f t="shared" si="655"/>
        <v/>
      </c>
      <c r="L8374" s="7" t="str">
        <f t="shared" si="656"/>
        <v/>
      </c>
      <c r="M8374" s="7" t="str">
        <f t="shared" si="653"/>
        <v/>
      </c>
      <c r="N8374" s="7" t="str">
        <f t="shared" si="657"/>
        <v/>
      </c>
      <c r="O8374" s="8"/>
      <c r="P8374" s="26"/>
      <c r="S8374" s="10" t="str">
        <f t="shared" si="654"/>
        <v/>
      </c>
    </row>
    <row r="8375" spans="5:19" x14ac:dyDescent="0.3">
      <c r="E8375" s="9" t="str">
        <f>IF(DADOS!C8375="","",DADOS!C8375)</f>
        <v/>
      </c>
      <c r="F8375" s="9" t="str">
        <f>IF(DADOS!E8375="","",DADOS!E8375)</f>
        <v/>
      </c>
      <c r="G8375" s="9" t="str">
        <f>IF(DADOS!F8375="","",DADOS!F8375)</f>
        <v/>
      </c>
      <c r="K8375" s="6" t="str">
        <f t="shared" si="655"/>
        <v/>
      </c>
      <c r="L8375" s="7" t="str">
        <f t="shared" si="656"/>
        <v/>
      </c>
      <c r="M8375" s="7" t="str">
        <f t="shared" si="653"/>
        <v/>
      </c>
      <c r="N8375" s="7" t="str">
        <f t="shared" si="657"/>
        <v/>
      </c>
      <c r="O8375" s="8"/>
      <c r="P8375" s="26"/>
      <c r="S8375" s="10" t="str">
        <f t="shared" si="654"/>
        <v/>
      </c>
    </row>
    <row r="8376" spans="5:19" x14ac:dyDescent="0.3">
      <c r="E8376" s="9" t="str">
        <f>IF(DADOS!C8376="","",DADOS!C8376)</f>
        <v/>
      </c>
      <c r="F8376" s="9" t="str">
        <f>IF(DADOS!E8376="","",DADOS!E8376)</f>
        <v/>
      </c>
      <c r="G8376" s="9" t="str">
        <f>IF(DADOS!F8376="","",DADOS!F8376)</f>
        <v/>
      </c>
      <c r="K8376" s="6" t="str">
        <f t="shared" si="655"/>
        <v/>
      </c>
      <c r="L8376" s="7" t="str">
        <f t="shared" si="656"/>
        <v/>
      </c>
      <c r="M8376" s="7" t="str">
        <f t="shared" si="653"/>
        <v/>
      </c>
      <c r="N8376" s="7" t="str">
        <f t="shared" si="657"/>
        <v/>
      </c>
      <c r="O8376" s="8"/>
      <c r="P8376" s="26"/>
      <c r="S8376" s="10" t="str">
        <f t="shared" si="654"/>
        <v/>
      </c>
    </row>
    <row r="8377" spans="5:19" x14ac:dyDescent="0.3">
      <c r="E8377" s="9" t="str">
        <f>IF(DADOS!C8377="","",DADOS!C8377)</f>
        <v/>
      </c>
      <c r="F8377" s="9" t="str">
        <f>IF(DADOS!E8377="","",DADOS!E8377)</f>
        <v/>
      </c>
      <c r="G8377" s="9" t="str">
        <f>IF(DADOS!F8377="","",DADOS!F8377)</f>
        <v/>
      </c>
      <c r="K8377" s="6" t="str">
        <f t="shared" si="655"/>
        <v/>
      </c>
      <c r="L8377" s="7" t="str">
        <f t="shared" si="656"/>
        <v/>
      </c>
      <c r="M8377" s="7" t="str">
        <f t="shared" si="653"/>
        <v/>
      </c>
      <c r="N8377" s="7" t="str">
        <f t="shared" si="657"/>
        <v/>
      </c>
      <c r="O8377" s="8"/>
      <c r="P8377" s="26"/>
      <c r="S8377" s="10" t="str">
        <f t="shared" si="654"/>
        <v/>
      </c>
    </row>
    <row r="8378" spans="5:19" x14ac:dyDescent="0.3">
      <c r="E8378" s="9" t="str">
        <f>IF(DADOS!C8378="","",DADOS!C8378)</f>
        <v/>
      </c>
      <c r="F8378" s="9" t="str">
        <f>IF(DADOS!E8378="","",DADOS!E8378)</f>
        <v/>
      </c>
      <c r="G8378" s="9" t="str">
        <f>IF(DADOS!F8378="","",DADOS!F8378)</f>
        <v/>
      </c>
      <c r="K8378" s="6" t="str">
        <f t="shared" si="655"/>
        <v/>
      </c>
      <c r="L8378" s="7" t="str">
        <f t="shared" si="656"/>
        <v/>
      </c>
      <c r="M8378" s="7" t="str">
        <f t="shared" si="653"/>
        <v/>
      </c>
      <c r="N8378" s="7" t="str">
        <f t="shared" si="657"/>
        <v/>
      </c>
      <c r="O8378" s="8"/>
      <c r="P8378" s="26"/>
      <c r="S8378" s="10" t="str">
        <f t="shared" si="654"/>
        <v/>
      </c>
    </row>
    <row r="8379" spans="5:19" x14ac:dyDescent="0.3">
      <c r="E8379" s="9" t="str">
        <f>IF(DADOS!C8379="","",DADOS!C8379)</f>
        <v/>
      </c>
      <c r="F8379" s="9" t="str">
        <f>IF(DADOS!E8379="","",DADOS!E8379)</f>
        <v/>
      </c>
      <c r="G8379" s="9" t="str">
        <f>IF(DADOS!F8379="","",DADOS!F8379)</f>
        <v/>
      </c>
      <c r="K8379" s="6" t="str">
        <f t="shared" si="655"/>
        <v/>
      </c>
      <c r="L8379" s="7" t="str">
        <f t="shared" si="656"/>
        <v/>
      </c>
      <c r="M8379" s="7" t="str">
        <f t="shared" si="653"/>
        <v/>
      </c>
      <c r="N8379" s="7" t="str">
        <f t="shared" si="657"/>
        <v/>
      </c>
      <c r="O8379" s="8"/>
      <c r="P8379" s="26"/>
      <c r="S8379" s="10" t="str">
        <f t="shared" si="654"/>
        <v/>
      </c>
    </row>
    <row r="8380" spans="5:19" x14ac:dyDescent="0.3">
      <c r="E8380" s="9" t="str">
        <f>IF(DADOS!C8380="","",DADOS!C8380)</f>
        <v/>
      </c>
      <c r="F8380" s="9" t="str">
        <f>IF(DADOS!E8380="","",DADOS!E8380)</f>
        <v/>
      </c>
      <c r="G8380" s="9" t="str">
        <f>IF(DADOS!F8380="","",DADOS!F8380)</f>
        <v/>
      </c>
      <c r="K8380" s="6" t="str">
        <f t="shared" si="655"/>
        <v/>
      </c>
      <c r="L8380" s="7" t="str">
        <f t="shared" si="656"/>
        <v/>
      </c>
      <c r="M8380" s="7" t="str">
        <f t="shared" si="653"/>
        <v/>
      </c>
      <c r="N8380" s="7" t="str">
        <f t="shared" si="657"/>
        <v/>
      </c>
      <c r="O8380" s="8"/>
      <c r="P8380" s="26"/>
      <c r="S8380" s="10" t="str">
        <f t="shared" si="654"/>
        <v/>
      </c>
    </row>
    <row r="8381" spans="5:19" x14ac:dyDescent="0.3">
      <c r="E8381" s="9" t="str">
        <f>IF(DADOS!C8381="","",DADOS!C8381)</f>
        <v/>
      </c>
      <c r="F8381" s="9" t="str">
        <f>IF(DADOS!E8381="","",DADOS!E8381)</f>
        <v/>
      </c>
      <c r="G8381" s="9" t="str">
        <f>IF(DADOS!F8381="","",DADOS!F8381)</f>
        <v/>
      </c>
      <c r="K8381" s="6" t="str">
        <f t="shared" si="655"/>
        <v/>
      </c>
      <c r="L8381" s="7" t="str">
        <f t="shared" si="656"/>
        <v/>
      </c>
      <c r="M8381" s="7" t="str">
        <f t="shared" si="653"/>
        <v/>
      </c>
      <c r="N8381" s="7" t="str">
        <f t="shared" si="657"/>
        <v/>
      </c>
      <c r="O8381" s="8"/>
      <c r="P8381" s="26"/>
      <c r="S8381" s="10" t="str">
        <f t="shared" si="654"/>
        <v/>
      </c>
    </row>
    <row r="8382" spans="5:19" x14ac:dyDescent="0.3">
      <c r="E8382" s="9" t="str">
        <f>IF(DADOS!C8382="","",DADOS!C8382)</f>
        <v/>
      </c>
      <c r="F8382" s="9" t="str">
        <f>IF(DADOS!E8382="","",DADOS!E8382)</f>
        <v/>
      </c>
      <c r="G8382" s="9" t="str">
        <f>IF(DADOS!F8382="","",DADOS!F8382)</f>
        <v/>
      </c>
      <c r="K8382" s="6" t="str">
        <f t="shared" si="655"/>
        <v/>
      </c>
      <c r="L8382" s="7" t="str">
        <f t="shared" si="656"/>
        <v/>
      </c>
      <c r="M8382" s="7" t="str">
        <f t="shared" si="653"/>
        <v/>
      </c>
      <c r="N8382" s="7" t="str">
        <f t="shared" si="657"/>
        <v/>
      </c>
      <c r="O8382" s="8"/>
      <c r="P8382" s="26"/>
      <c r="S8382" s="10" t="str">
        <f t="shared" si="654"/>
        <v/>
      </c>
    </row>
    <row r="8383" spans="5:19" x14ac:dyDescent="0.3">
      <c r="E8383" s="9" t="str">
        <f>IF(DADOS!C8383="","",DADOS!C8383)</f>
        <v/>
      </c>
      <c r="F8383" s="9" t="str">
        <f>IF(DADOS!E8383="","",DADOS!E8383)</f>
        <v/>
      </c>
      <c r="G8383" s="9" t="str">
        <f>IF(DADOS!F8383="","",DADOS!F8383)</f>
        <v/>
      </c>
      <c r="K8383" s="6" t="str">
        <f t="shared" si="655"/>
        <v/>
      </c>
      <c r="L8383" s="7" t="str">
        <f t="shared" si="656"/>
        <v/>
      </c>
      <c r="M8383" s="7" t="str">
        <f t="shared" si="653"/>
        <v/>
      </c>
      <c r="N8383" s="7" t="str">
        <f t="shared" si="657"/>
        <v/>
      </c>
      <c r="O8383" s="8"/>
      <c r="P8383" s="26"/>
      <c r="S8383" s="10" t="str">
        <f t="shared" si="654"/>
        <v/>
      </c>
    </row>
    <row r="8384" spans="5:19" x14ac:dyDescent="0.3">
      <c r="E8384" s="9" t="str">
        <f>IF(DADOS!C8384="","",DADOS!C8384)</f>
        <v/>
      </c>
      <c r="F8384" s="9" t="str">
        <f>IF(DADOS!E8384="","",DADOS!E8384)</f>
        <v/>
      </c>
      <c r="G8384" s="9" t="str">
        <f>IF(DADOS!F8384="","",DADOS!F8384)</f>
        <v/>
      </c>
      <c r="K8384" s="6" t="str">
        <f t="shared" si="655"/>
        <v/>
      </c>
      <c r="L8384" s="7" t="str">
        <f t="shared" si="656"/>
        <v/>
      </c>
      <c r="M8384" s="7" t="str">
        <f t="shared" si="653"/>
        <v/>
      </c>
      <c r="N8384" s="7" t="str">
        <f t="shared" si="657"/>
        <v/>
      </c>
      <c r="O8384" s="8"/>
      <c r="P8384" s="26"/>
      <c r="S8384" s="10" t="str">
        <f t="shared" si="654"/>
        <v/>
      </c>
    </row>
    <row r="8385" spans="5:19" x14ac:dyDescent="0.3">
      <c r="E8385" s="9" t="str">
        <f>IF(DADOS!C8385="","",DADOS!C8385)</f>
        <v/>
      </c>
      <c r="F8385" s="9" t="str">
        <f>IF(DADOS!E8385="","",DADOS!E8385)</f>
        <v/>
      </c>
      <c r="G8385" s="9" t="str">
        <f>IF(DADOS!F8385="","",DADOS!F8385)</f>
        <v/>
      </c>
      <c r="K8385" s="6" t="str">
        <f t="shared" si="655"/>
        <v/>
      </c>
      <c r="L8385" s="7" t="str">
        <f t="shared" si="656"/>
        <v/>
      </c>
      <c r="M8385" s="7" t="str">
        <f t="shared" si="653"/>
        <v/>
      </c>
      <c r="N8385" s="7" t="str">
        <f t="shared" si="657"/>
        <v/>
      </c>
      <c r="O8385" s="8"/>
      <c r="P8385" s="26"/>
      <c r="S8385" s="10" t="str">
        <f t="shared" si="654"/>
        <v/>
      </c>
    </row>
    <row r="8386" spans="5:19" x14ac:dyDescent="0.3">
      <c r="E8386" s="9" t="str">
        <f>IF(DADOS!C8386="","",DADOS!C8386)</f>
        <v/>
      </c>
      <c r="F8386" s="9" t="str">
        <f>IF(DADOS!E8386="","",DADOS!E8386)</f>
        <v/>
      </c>
      <c r="G8386" s="9" t="str">
        <f>IF(DADOS!F8386="","",DADOS!F8386)</f>
        <v/>
      </c>
      <c r="K8386" s="6" t="str">
        <f t="shared" si="655"/>
        <v/>
      </c>
      <c r="L8386" s="7" t="str">
        <f t="shared" si="656"/>
        <v/>
      </c>
      <c r="M8386" s="7" t="str">
        <f t="shared" si="653"/>
        <v/>
      </c>
      <c r="N8386" s="7" t="str">
        <f t="shared" si="657"/>
        <v/>
      </c>
      <c r="O8386" s="8"/>
      <c r="P8386" s="26"/>
      <c r="S8386" s="10" t="str">
        <f t="shared" si="654"/>
        <v/>
      </c>
    </row>
    <row r="8387" spans="5:19" x14ac:dyDescent="0.3">
      <c r="E8387" s="9" t="str">
        <f>IF(DADOS!C8387="","",DADOS!C8387)</f>
        <v/>
      </c>
      <c r="F8387" s="9" t="str">
        <f>IF(DADOS!E8387="","",DADOS!E8387)</f>
        <v/>
      </c>
      <c r="G8387" s="9" t="str">
        <f>IF(DADOS!F8387="","",DADOS!F8387)</f>
        <v/>
      </c>
      <c r="K8387" s="6" t="str">
        <f t="shared" si="655"/>
        <v/>
      </c>
      <c r="L8387" s="7" t="str">
        <f t="shared" si="656"/>
        <v/>
      </c>
      <c r="M8387" s="7" t="str">
        <f t="shared" ref="M8387:M8450" si="658">IF(L8387="","",L8387*G8387)</f>
        <v/>
      </c>
      <c r="N8387" s="7" t="str">
        <f t="shared" si="657"/>
        <v/>
      </c>
      <c r="O8387" s="8"/>
      <c r="P8387" s="26"/>
      <c r="S8387" s="10" t="str">
        <f t="shared" ref="S8387:S8450" si="659">IF(R8387="","",SUMIFS($N$3:$N$10000,$E$3:$E$10000,R8387))</f>
        <v/>
      </c>
    </row>
    <row r="8388" spans="5:19" x14ac:dyDescent="0.3">
      <c r="E8388" s="9" t="str">
        <f>IF(DADOS!C8388="","",DADOS!C8388)</f>
        <v/>
      </c>
      <c r="F8388" s="9" t="str">
        <f>IF(DADOS!E8388="","",DADOS!E8388)</f>
        <v/>
      </c>
      <c r="G8388" s="9" t="str">
        <f>IF(DADOS!F8388="","",DADOS!F8388)</f>
        <v/>
      </c>
      <c r="K8388" s="6" t="str">
        <f t="shared" ref="K8388:K8451" si="660">IF(F8388="","",F8388/PI())</f>
        <v/>
      </c>
      <c r="L8388" s="7" t="str">
        <f t="shared" ref="L8388:L8451" si="661">IF(K8388="","",(PI()*K8388^2)/40000)</f>
        <v/>
      </c>
      <c r="M8388" s="7" t="str">
        <f t="shared" si="658"/>
        <v/>
      </c>
      <c r="N8388" s="7" t="str">
        <f t="shared" ref="N8388:N8451" si="662">IF(M8388="","",M8388*N$1)</f>
        <v/>
      </c>
      <c r="O8388" s="8"/>
      <c r="P8388" s="26"/>
      <c r="S8388" s="10" t="str">
        <f t="shared" si="659"/>
        <v/>
      </c>
    </row>
    <row r="8389" spans="5:19" x14ac:dyDescent="0.3">
      <c r="E8389" s="9" t="str">
        <f>IF(DADOS!C8389="","",DADOS!C8389)</f>
        <v/>
      </c>
      <c r="F8389" s="9" t="str">
        <f>IF(DADOS!E8389="","",DADOS!E8389)</f>
        <v/>
      </c>
      <c r="G8389" s="9" t="str">
        <f>IF(DADOS!F8389="","",DADOS!F8389)</f>
        <v/>
      </c>
      <c r="K8389" s="6" t="str">
        <f t="shared" si="660"/>
        <v/>
      </c>
      <c r="L8389" s="7" t="str">
        <f t="shared" si="661"/>
        <v/>
      </c>
      <c r="M8389" s="7" t="str">
        <f t="shared" si="658"/>
        <v/>
      </c>
      <c r="N8389" s="7" t="str">
        <f t="shared" si="662"/>
        <v/>
      </c>
      <c r="O8389" s="8"/>
      <c r="P8389" s="26"/>
      <c r="S8389" s="10" t="str">
        <f t="shared" si="659"/>
        <v/>
      </c>
    </row>
    <row r="8390" spans="5:19" x14ac:dyDescent="0.3">
      <c r="E8390" s="9" t="str">
        <f>IF(DADOS!C8390="","",DADOS!C8390)</f>
        <v/>
      </c>
      <c r="F8390" s="9" t="str">
        <f>IF(DADOS!E8390="","",DADOS!E8390)</f>
        <v/>
      </c>
      <c r="G8390" s="9" t="str">
        <f>IF(DADOS!F8390="","",DADOS!F8390)</f>
        <v/>
      </c>
      <c r="K8390" s="6" t="str">
        <f t="shared" si="660"/>
        <v/>
      </c>
      <c r="L8390" s="7" t="str">
        <f t="shared" si="661"/>
        <v/>
      </c>
      <c r="M8390" s="7" t="str">
        <f t="shared" si="658"/>
        <v/>
      </c>
      <c r="N8390" s="7" t="str">
        <f t="shared" si="662"/>
        <v/>
      </c>
      <c r="O8390" s="8"/>
      <c r="P8390" s="26"/>
      <c r="S8390" s="10" t="str">
        <f t="shared" si="659"/>
        <v/>
      </c>
    </row>
    <row r="8391" spans="5:19" x14ac:dyDescent="0.3">
      <c r="E8391" s="9" t="str">
        <f>IF(DADOS!C8391="","",DADOS!C8391)</f>
        <v/>
      </c>
      <c r="F8391" s="9" t="str">
        <f>IF(DADOS!E8391="","",DADOS!E8391)</f>
        <v/>
      </c>
      <c r="G8391" s="9" t="str">
        <f>IF(DADOS!F8391="","",DADOS!F8391)</f>
        <v/>
      </c>
      <c r="K8391" s="6" t="str">
        <f t="shared" si="660"/>
        <v/>
      </c>
      <c r="L8391" s="7" t="str">
        <f t="shared" si="661"/>
        <v/>
      </c>
      <c r="M8391" s="7" t="str">
        <f t="shared" si="658"/>
        <v/>
      </c>
      <c r="N8391" s="7" t="str">
        <f t="shared" si="662"/>
        <v/>
      </c>
      <c r="O8391" s="8"/>
      <c r="P8391" s="26"/>
      <c r="S8391" s="10" t="str">
        <f t="shared" si="659"/>
        <v/>
      </c>
    </row>
    <row r="8392" spans="5:19" x14ac:dyDescent="0.3">
      <c r="E8392" s="9" t="str">
        <f>IF(DADOS!C8392="","",DADOS!C8392)</f>
        <v/>
      </c>
      <c r="F8392" s="9" t="str">
        <f>IF(DADOS!E8392="","",DADOS!E8392)</f>
        <v/>
      </c>
      <c r="G8392" s="9" t="str">
        <f>IF(DADOS!F8392="","",DADOS!F8392)</f>
        <v/>
      </c>
      <c r="K8392" s="6" t="str">
        <f t="shared" si="660"/>
        <v/>
      </c>
      <c r="L8392" s="7" t="str">
        <f t="shared" si="661"/>
        <v/>
      </c>
      <c r="M8392" s="7" t="str">
        <f t="shared" si="658"/>
        <v/>
      </c>
      <c r="N8392" s="7" t="str">
        <f t="shared" si="662"/>
        <v/>
      </c>
      <c r="O8392" s="8"/>
      <c r="P8392" s="26"/>
      <c r="S8392" s="10" t="str">
        <f t="shared" si="659"/>
        <v/>
      </c>
    </row>
    <row r="8393" spans="5:19" x14ac:dyDescent="0.3">
      <c r="E8393" s="9" t="str">
        <f>IF(DADOS!C8393="","",DADOS!C8393)</f>
        <v/>
      </c>
      <c r="F8393" s="9" t="str">
        <f>IF(DADOS!E8393="","",DADOS!E8393)</f>
        <v/>
      </c>
      <c r="G8393" s="9" t="str">
        <f>IF(DADOS!F8393="","",DADOS!F8393)</f>
        <v/>
      </c>
      <c r="K8393" s="6" t="str">
        <f t="shared" si="660"/>
        <v/>
      </c>
      <c r="L8393" s="7" t="str">
        <f t="shared" si="661"/>
        <v/>
      </c>
      <c r="M8393" s="7" t="str">
        <f t="shared" si="658"/>
        <v/>
      </c>
      <c r="N8393" s="7" t="str">
        <f t="shared" si="662"/>
        <v/>
      </c>
      <c r="O8393" s="8"/>
      <c r="P8393" s="26"/>
      <c r="S8393" s="10" t="str">
        <f t="shared" si="659"/>
        <v/>
      </c>
    </row>
    <row r="8394" spans="5:19" x14ac:dyDescent="0.3">
      <c r="E8394" s="9" t="str">
        <f>IF(DADOS!C8394="","",DADOS!C8394)</f>
        <v/>
      </c>
      <c r="F8394" s="9" t="str">
        <f>IF(DADOS!E8394="","",DADOS!E8394)</f>
        <v/>
      </c>
      <c r="G8394" s="9" t="str">
        <f>IF(DADOS!F8394="","",DADOS!F8394)</f>
        <v/>
      </c>
      <c r="K8394" s="6" t="str">
        <f t="shared" si="660"/>
        <v/>
      </c>
      <c r="L8394" s="7" t="str">
        <f t="shared" si="661"/>
        <v/>
      </c>
      <c r="M8394" s="7" t="str">
        <f t="shared" si="658"/>
        <v/>
      </c>
      <c r="N8394" s="7" t="str">
        <f t="shared" si="662"/>
        <v/>
      </c>
      <c r="O8394" s="8"/>
      <c r="P8394" s="26"/>
      <c r="S8394" s="10" t="str">
        <f t="shared" si="659"/>
        <v/>
      </c>
    </row>
    <row r="8395" spans="5:19" x14ac:dyDescent="0.3">
      <c r="E8395" s="9" t="str">
        <f>IF(DADOS!C8395="","",DADOS!C8395)</f>
        <v/>
      </c>
      <c r="F8395" s="9" t="str">
        <f>IF(DADOS!E8395="","",DADOS!E8395)</f>
        <v/>
      </c>
      <c r="G8395" s="9" t="str">
        <f>IF(DADOS!F8395="","",DADOS!F8395)</f>
        <v/>
      </c>
      <c r="K8395" s="6" t="str">
        <f t="shared" si="660"/>
        <v/>
      </c>
      <c r="L8395" s="7" t="str">
        <f t="shared" si="661"/>
        <v/>
      </c>
      <c r="M8395" s="7" t="str">
        <f t="shared" si="658"/>
        <v/>
      </c>
      <c r="N8395" s="7" t="str">
        <f t="shared" si="662"/>
        <v/>
      </c>
      <c r="O8395" s="8"/>
      <c r="P8395" s="26"/>
      <c r="S8395" s="10" t="str">
        <f t="shared" si="659"/>
        <v/>
      </c>
    </row>
    <row r="8396" spans="5:19" x14ac:dyDescent="0.3">
      <c r="E8396" s="9" t="str">
        <f>IF(DADOS!C8396="","",DADOS!C8396)</f>
        <v/>
      </c>
      <c r="F8396" s="9" t="str">
        <f>IF(DADOS!E8396="","",DADOS!E8396)</f>
        <v/>
      </c>
      <c r="G8396" s="9" t="str">
        <f>IF(DADOS!F8396="","",DADOS!F8396)</f>
        <v/>
      </c>
      <c r="K8396" s="6" t="str">
        <f t="shared" si="660"/>
        <v/>
      </c>
      <c r="L8396" s="7" t="str">
        <f t="shared" si="661"/>
        <v/>
      </c>
      <c r="M8396" s="7" t="str">
        <f t="shared" si="658"/>
        <v/>
      </c>
      <c r="N8396" s="7" t="str">
        <f t="shared" si="662"/>
        <v/>
      </c>
      <c r="O8396" s="8"/>
      <c r="P8396" s="26"/>
      <c r="S8396" s="10" t="str">
        <f t="shared" si="659"/>
        <v/>
      </c>
    </row>
    <row r="8397" spans="5:19" x14ac:dyDescent="0.3">
      <c r="E8397" s="9" t="str">
        <f>IF(DADOS!C8397="","",DADOS!C8397)</f>
        <v/>
      </c>
      <c r="F8397" s="9" t="str">
        <f>IF(DADOS!E8397="","",DADOS!E8397)</f>
        <v/>
      </c>
      <c r="G8397" s="9" t="str">
        <f>IF(DADOS!F8397="","",DADOS!F8397)</f>
        <v/>
      </c>
      <c r="K8397" s="6" t="str">
        <f t="shared" si="660"/>
        <v/>
      </c>
      <c r="L8397" s="7" t="str">
        <f t="shared" si="661"/>
        <v/>
      </c>
      <c r="M8397" s="7" t="str">
        <f t="shared" si="658"/>
        <v/>
      </c>
      <c r="N8397" s="7" t="str">
        <f t="shared" si="662"/>
        <v/>
      </c>
      <c r="O8397" s="8"/>
      <c r="P8397" s="26"/>
      <c r="S8397" s="10" t="str">
        <f t="shared" si="659"/>
        <v/>
      </c>
    </row>
    <row r="8398" spans="5:19" x14ac:dyDescent="0.3">
      <c r="E8398" s="9" t="str">
        <f>IF(DADOS!C8398="","",DADOS!C8398)</f>
        <v/>
      </c>
      <c r="F8398" s="9" t="str">
        <f>IF(DADOS!E8398="","",DADOS!E8398)</f>
        <v/>
      </c>
      <c r="G8398" s="9" t="str">
        <f>IF(DADOS!F8398="","",DADOS!F8398)</f>
        <v/>
      </c>
      <c r="K8398" s="6" t="str">
        <f t="shared" si="660"/>
        <v/>
      </c>
      <c r="L8398" s="7" t="str">
        <f t="shared" si="661"/>
        <v/>
      </c>
      <c r="M8398" s="7" t="str">
        <f t="shared" si="658"/>
        <v/>
      </c>
      <c r="N8398" s="7" t="str">
        <f t="shared" si="662"/>
        <v/>
      </c>
      <c r="O8398" s="8"/>
      <c r="P8398" s="26"/>
      <c r="S8398" s="10" t="str">
        <f t="shared" si="659"/>
        <v/>
      </c>
    </row>
    <row r="8399" spans="5:19" x14ac:dyDescent="0.3">
      <c r="E8399" s="9" t="str">
        <f>IF(DADOS!C8399="","",DADOS!C8399)</f>
        <v/>
      </c>
      <c r="F8399" s="9" t="str">
        <f>IF(DADOS!E8399="","",DADOS!E8399)</f>
        <v/>
      </c>
      <c r="G8399" s="9" t="str">
        <f>IF(DADOS!F8399="","",DADOS!F8399)</f>
        <v/>
      </c>
      <c r="K8399" s="6" t="str">
        <f t="shared" si="660"/>
        <v/>
      </c>
      <c r="L8399" s="7" t="str">
        <f t="shared" si="661"/>
        <v/>
      </c>
      <c r="M8399" s="7" t="str">
        <f t="shared" si="658"/>
        <v/>
      </c>
      <c r="N8399" s="7" t="str">
        <f t="shared" si="662"/>
        <v/>
      </c>
      <c r="O8399" s="8"/>
      <c r="P8399" s="26"/>
      <c r="S8399" s="10" t="str">
        <f t="shared" si="659"/>
        <v/>
      </c>
    </row>
    <row r="8400" spans="5:19" x14ac:dyDescent="0.3">
      <c r="E8400" s="9" t="str">
        <f>IF(DADOS!C8400="","",DADOS!C8400)</f>
        <v/>
      </c>
      <c r="F8400" s="9" t="str">
        <f>IF(DADOS!E8400="","",DADOS!E8400)</f>
        <v/>
      </c>
      <c r="G8400" s="9" t="str">
        <f>IF(DADOS!F8400="","",DADOS!F8400)</f>
        <v/>
      </c>
      <c r="K8400" s="6" t="str">
        <f t="shared" si="660"/>
        <v/>
      </c>
      <c r="L8400" s="7" t="str">
        <f t="shared" si="661"/>
        <v/>
      </c>
      <c r="M8400" s="7" t="str">
        <f t="shared" si="658"/>
        <v/>
      </c>
      <c r="N8400" s="7" t="str">
        <f t="shared" si="662"/>
        <v/>
      </c>
      <c r="O8400" s="8"/>
      <c r="P8400" s="26"/>
      <c r="S8400" s="10" t="str">
        <f t="shared" si="659"/>
        <v/>
      </c>
    </row>
    <row r="8401" spans="5:19" x14ac:dyDescent="0.3">
      <c r="E8401" s="9" t="str">
        <f>IF(DADOS!C8401="","",DADOS!C8401)</f>
        <v/>
      </c>
      <c r="F8401" s="9" t="str">
        <f>IF(DADOS!E8401="","",DADOS!E8401)</f>
        <v/>
      </c>
      <c r="G8401" s="9" t="str">
        <f>IF(DADOS!F8401="","",DADOS!F8401)</f>
        <v/>
      </c>
      <c r="K8401" s="6" t="str">
        <f t="shared" si="660"/>
        <v/>
      </c>
      <c r="L8401" s="7" t="str">
        <f t="shared" si="661"/>
        <v/>
      </c>
      <c r="M8401" s="7" t="str">
        <f t="shared" si="658"/>
        <v/>
      </c>
      <c r="N8401" s="7" t="str">
        <f t="shared" si="662"/>
        <v/>
      </c>
      <c r="O8401" s="8"/>
      <c r="P8401" s="26"/>
      <c r="S8401" s="10" t="str">
        <f t="shared" si="659"/>
        <v/>
      </c>
    </row>
    <row r="8402" spans="5:19" x14ac:dyDescent="0.3">
      <c r="E8402" s="9" t="str">
        <f>IF(DADOS!C8402="","",DADOS!C8402)</f>
        <v/>
      </c>
      <c r="F8402" s="9" t="str">
        <f>IF(DADOS!E8402="","",DADOS!E8402)</f>
        <v/>
      </c>
      <c r="G8402" s="9" t="str">
        <f>IF(DADOS!F8402="","",DADOS!F8402)</f>
        <v/>
      </c>
      <c r="K8402" s="6" t="str">
        <f t="shared" si="660"/>
        <v/>
      </c>
      <c r="L8402" s="7" t="str">
        <f t="shared" si="661"/>
        <v/>
      </c>
      <c r="M8402" s="7" t="str">
        <f t="shared" si="658"/>
        <v/>
      </c>
      <c r="N8402" s="7" t="str">
        <f t="shared" si="662"/>
        <v/>
      </c>
      <c r="O8402" s="8"/>
      <c r="P8402" s="26"/>
      <c r="S8402" s="10" t="str">
        <f t="shared" si="659"/>
        <v/>
      </c>
    </row>
    <row r="8403" spans="5:19" x14ac:dyDescent="0.3">
      <c r="E8403" s="9" t="str">
        <f>IF(DADOS!C8403="","",DADOS!C8403)</f>
        <v/>
      </c>
      <c r="F8403" s="9" t="str">
        <f>IF(DADOS!E8403="","",DADOS!E8403)</f>
        <v/>
      </c>
      <c r="G8403" s="9" t="str">
        <f>IF(DADOS!F8403="","",DADOS!F8403)</f>
        <v/>
      </c>
      <c r="K8403" s="6" t="str">
        <f t="shared" si="660"/>
        <v/>
      </c>
      <c r="L8403" s="7" t="str">
        <f t="shared" si="661"/>
        <v/>
      </c>
      <c r="M8403" s="7" t="str">
        <f t="shared" si="658"/>
        <v/>
      </c>
      <c r="N8403" s="7" t="str">
        <f t="shared" si="662"/>
        <v/>
      </c>
      <c r="O8403" s="8"/>
      <c r="P8403" s="26"/>
      <c r="S8403" s="10" t="str">
        <f t="shared" si="659"/>
        <v/>
      </c>
    </row>
    <row r="8404" spans="5:19" x14ac:dyDescent="0.3">
      <c r="E8404" s="9" t="str">
        <f>IF(DADOS!C8404="","",DADOS!C8404)</f>
        <v/>
      </c>
      <c r="F8404" s="9" t="str">
        <f>IF(DADOS!E8404="","",DADOS!E8404)</f>
        <v/>
      </c>
      <c r="G8404" s="9" t="str">
        <f>IF(DADOS!F8404="","",DADOS!F8404)</f>
        <v/>
      </c>
      <c r="K8404" s="6" t="str">
        <f t="shared" si="660"/>
        <v/>
      </c>
      <c r="L8404" s="7" t="str">
        <f t="shared" si="661"/>
        <v/>
      </c>
      <c r="M8404" s="7" t="str">
        <f t="shared" si="658"/>
        <v/>
      </c>
      <c r="N8404" s="7" t="str">
        <f t="shared" si="662"/>
        <v/>
      </c>
      <c r="O8404" s="8"/>
      <c r="P8404" s="26"/>
      <c r="S8404" s="10" t="str">
        <f t="shared" si="659"/>
        <v/>
      </c>
    </row>
    <row r="8405" spans="5:19" x14ac:dyDescent="0.3">
      <c r="E8405" s="9" t="str">
        <f>IF(DADOS!C8405="","",DADOS!C8405)</f>
        <v/>
      </c>
      <c r="F8405" s="9" t="str">
        <f>IF(DADOS!E8405="","",DADOS!E8405)</f>
        <v/>
      </c>
      <c r="G8405" s="9" t="str">
        <f>IF(DADOS!F8405="","",DADOS!F8405)</f>
        <v/>
      </c>
      <c r="K8405" s="6" t="str">
        <f t="shared" si="660"/>
        <v/>
      </c>
      <c r="L8405" s="7" t="str">
        <f t="shared" si="661"/>
        <v/>
      </c>
      <c r="M8405" s="7" t="str">
        <f t="shared" si="658"/>
        <v/>
      </c>
      <c r="N8405" s="7" t="str">
        <f t="shared" si="662"/>
        <v/>
      </c>
      <c r="O8405" s="8"/>
      <c r="P8405" s="26"/>
      <c r="S8405" s="10" t="str">
        <f t="shared" si="659"/>
        <v/>
      </c>
    </row>
    <row r="8406" spans="5:19" x14ac:dyDescent="0.3">
      <c r="E8406" s="9" t="str">
        <f>IF(DADOS!C8406="","",DADOS!C8406)</f>
        <v/>
      </c>
      <c r="F8406" s="9" t="str">
        <f>IF(DADOS!E8406="","",DADOS!E8406)</f>
        <v/>
      </c>
      <c r="G8406" s="9" t="str">
        <f>IF(DADOS!F8406="","",DADOS!F8406)</f>
        <v/>
      </c>
      <c r="K8406" s="6" t="str">
        <f t="shared" si="660"/>
        <v/>
      </c>
      <c r="L8406" s="7" t="str">
        <f t="shared" si="661"/>
        <v/>
      </c>
      <c r="M8406" s="7" t="str">
        <f t="shared" si="658"/>
        <v/>
      </c>
      <c r="N8406" s="7" t="str">
        <f t="shared" si="662"/>
        <v/>
      </c>
      <c r="O8406" s="8"/>
      <c r="P8406" s="26"/>
      <c r="S8406" s="10" t="str">
        <f t="shared" si="659"/>
        <v/>
      </c>
    </row>
    <row r="8407" spans="5:19" x14ac:dyDescent="0.3">
      <c r="E8407" s="9" t="str">
        <f>IF(DADOS!C8407="","",DADOS!C8407)</f>
        <v/>
      </c>
      <c r="F8407" s="9" t="str">
        <f>IF(DADOS!E8407="","",DADOS!E8407)</f>
        <v/>
      </c>
      <c r="G8407" s="9" t="str">
        <f>IF(DADOS!F8407="","",DADOS!F8407)</f>
        <v/>
      </c>
      <c r="K8407" s="6" t="str">
        <f t="shared" si="660"/>
        <v/>
      </c>
      <c r="L8407" s="7" t="str">
        <f t="shared" si="661"/>
        <v/>
      </c>
      <c r="M8407" s="7" t="str">
        <f t="shared" si="658"/>
        <v/>
      </c>
      <c r="N8407" s="7" t="str">
        <f t="shared" si="662"/>
        <v/>
      </c>
      <c r="O8407" s="8"/>
      <c r="P8407" s="26"/>
      <c r="S8407" s="10" t="str">
        <f t="shared" si="659"/>
        <v/>
      </c>
    </row>
    <row r="8408" spans="5:19" x14ac:dyDescent="0.3">
      <c r="E8408" s="9" t="str">
        <f>IF(DADOS!C8408="","",DADOS!C8408)</f>
        <v/>
      </c>
      <c r="F8408" s="9" t="str">
        <f>IF(DADOS!E8408="","",DADOS!E8408)</f>
        <v/>
      </c>
      <c r="G8408" s="9" t="str">
        <f>IF(DADOS!F8408="","",DADOS!F8408)</f>
        <v/>
      </c>
      <c r="K8408" s="6" t="str">
        <f t="shared" si="660"/>
        <v/>
      </c>
      <c r="L8408" s="7" t="str">
        <f t="shared" si="661"/>
        <v/>
      </c>
      <c r="M8408" s="7" t="str">
        <f t="shared" si="658"/>
        <v/>
      </c>
      <c r="N8408" s="7" t="str">
        <f t="shared" si="662"/>
        <v/>
      </c>
      <c r="O8408" s="8"/>
      <c r="P8408" s="26"/>
      <c r="S8408" s="10" t="str">
        <f t="shared" si="659"/>
        <v/>
      </c>
    </row>
    <row r="8409" spans="5:19" x14ac:dyDescent="0.3">
      <c r="E8409" s="9" t="str">
        <f>IF(DADOS!C8409="","",DADOS!C8409)</f>
        <v/>
      </c>
      <c r="F8409" s="9" t="str">
        <f>IF(DADOS!E8409="","",DADOS!E8409)</f>
        <v/>
      </c>
      <c r="G8409" s="9" t="str">
        <f>IF(DADOS!F8409="","",DADOS!F8409)</f>
        <v/>
      </c>
      <c r="K8409" s="6" t="str">
        <f t="shared" si="660"/>
        <v/>
      </c>
      <c r="L8409" s="7" t="str">
        <f t="shared" si="661"/>
        <v/>
      </c>
      <c r="M8409" s="7" t="str">
        <f t="shared" si="658"/>
        <v/>
      </c>
      <c r="N8409" s="7" t="str">
        <f t="shared" si="662"/>
        <v/>
      </c>
      <c r="O8409" s="8"/>
      <c r="P8409" s="26"/>
      <c r="S8409" s="10" t="str">
        <f t="shared" si="659"/>
        <v/>
      </c>
    </row>
    <row r="8410" spans="5:19" x14ac:dyDescent="0.3">
      <c r="E8410" s="9" t="str">
        <f>IF(DADOS!C8410="","",DADOS!C8410)</f>
        <v/>
      </c>
      <c r="F8410" s="9" t="str">
        <f>IF(DADOS!E8410="","",DADOS!E8410)</f>
        <v/>
      </c>
      <c r="G8410" s="9" t="str">
        <f>IF(DADOS!F8410="","",DADOS!F8410)</f>
        <v/>
      </c>
      <c r="K8410" s="6" t="str">
        <f t="shared" si="660"/>
        <v/>
      </c>
      <c r="L8410" s="7" t="str">
        <f t="shared" si="661"/>
        <v/>
      </c>
      <c r="M8410" s="7" t="str">
        <f t="shared" si="658"/>
        <v/>
      </c>
      <c r="N8410" s="7" t="str">
        <f t="shared" si="662"/>
        <v/>
      </c>
      <c r="O8410" s="8"/>
      <c r="P8410" s="26"/>
      <c r="S8410" s="10" t="str">
        <f t="shared" si="659"/>
        <v/>
      </c>
    </row>
    <row r="8411" spans="5:19" x14ac:dyDescent="0.3">
      <c r="E8411" s="9" t="str">
        <f>IF(DADOS!C8411="","",DADOS!C8411)</f>
        <v/>
      </c>
      <c r="F8411" s="9" t="str">
        <f>IF(DADOS!E8411="","",DADOS!E8411)</f>
        <v/>
      </c>
      <c r="G8411" s="9" t="str">
        <f>IF(DADOS!F8411="","",DADOS!F8411)</f>
        <v/>
      </c>
      <c r="K8411" s="6" t="str">
        <f t="shared" si="660"/>
        <v/>
      </c>
      <c r="L8411" s="7" t="str">
        <f t="shared" si="661"/>
        <v/>
      </c>
      <c r="M8411" s="7" t="str">
        <f t="shared" si="658"/>
        <v/>
      </c>
      <c r="N8411" s="7" t="str">
        <f t="shared" si="662"/>
        <v/>
      </c>
      <c r="O8411" s="8"/>
      <c r="P8411" s="26"/>
      <c r="S8411" s="10" t="str">
        <f t="shared" si="659"/>
        <v/>
      </c>
    </row>
    <row r="8412" spans="5:19" x14ac:dyDescent="0.3">
      <c r="E8412" s="9" t="str">
        <f>IF(DADOS!C8412="","",DADOS!C8412)</f>
        <v/>
      </c>
      <c r="F8412" s="9" t="str">
        <f>IF(DADOS!E8412="","",DADOS!E8412)</f>
        <v/>
      </c>
      <c r="G8412" s="9" t="str">
        <f>IF(DADOS!F8412="","",DADOS!F8412)</f>
        <v/>
      </c>
      <c r="K8412" s="6" t="str">
        <f t="shared" si="660"/>
        <v/>
      </c>
      <c r="L8412" s="7" t="str">
        <f t="shared" si="661"/>
        <v/>
      </c>
      <c r="M8412" s="7" t="str">
        <f t="shared" si="658"/>
        <v/>
      </c>
      <c r="N8412" s="7" t="str">
        <f t="shared" si="662"/>
        <v/>
      </c>
      <c r="O8412" s="8"/>
      <c r="P8412" s="26"/>
      <c r="S8412" s="10" t="str">
        <f t="shared" si="659"/>
        <v/>
      </c>
    </row>
    <row r="8413" spans="5:19" x14ac:dyDescent="0.3">
      <c r="E8413" s="9" t="str">
        <f>IF(DADOS!C8413="","",DADOS!C8413)</f>
        <v/>
      </c>
      <c r="F8413" s="9" t="str">
        <f>IF(DADOS!E8413="","",DADOS!E8413)</f>
        <v/>
      </c>
      <c r="G8413" s="9" t="str">
        <f>IF(DADOS!F8413="","",DADOS!F8413)</f>
        <v/>
      </c>
      <c r="K8413" s="6" t="str">
        <f t="shared" si="660"/>
        <v/>
      </c>
      <c r="L8413" s="7" t="str">
        <f t="shared" si="661"/>
        <v/>
      </c>
      <c r="M8413" s="7" t="str">
        <f t="shared" si="658"/>
        <v/>
      </c>
      <c r="N8413" s="7" t="str">
        <f t="shared" si="662"/>
        <v/>
      </c>
      <c r="O8413" s="8"/>
      <c r="P8413" s="26"/>
      <c r="S8413" s="10" t="str">
        <f t="shared" si="659"/>
        <v/>
      </c>
    </row>
    <row r="8414" spans="5:19" x14ac:dyDescent="0.3">
      <c r="E8414" s="9" t="str">
        <f>IF(DADOS!C8414="","",DADOS!C8414)</f>
        <v/>
      </c>
      <c r="F8414" s="9" t="str">
        <f>IF(DADOS!E8414="","",DADOS!E8414)</f>
        <v/>
      </c>
      <c r="G8414" s="9" t="str">
        <f>IF(DADOS!F8414="","",DADOS!F8414)</f>
        <v/>
      </c>
      <c r="K8414" s="6" t="str">
        <f t="shared" si="660"/>
        <v/>
      </c>
      <c r="L8414" s="7" t="str">
        <f t="shared" si="661"/>
        <v/>
      </c>
      <c r="M8414" s="7" t="str">
        <f t="shared" si="658"/>
        <v/>
      </c>
      <c r="N8414" s="7" t="str">
        <f t="shared" si="662"/>
        <v/>
      </c>
      <c r="O8414" s="8"/>
      <c r="P8414" s="26"/>
      <c r="S8414" s="10" t="str">
        <f t="shared" si="659"/>
        <v/>
      </c>
    </row>
    <row r="8415" spans="5:19" x14ac:dyDescent="0.3">
      <c r="E8415" s="9" t="str">
        <f>IF(DADOS!C8415="","",DADOS!C8415)</f>
        <v/>
      </c>
      <c r="F8415" s="9" t="str">
        <f>IF(DADOS!E8415="","",DADOS!E8415)</f>
        <v/>
      </c>
      <c r="G8415" s="9" t="str">
        <f>IF(DADOS!F8415="","",DADOS!F8415)</f>
        <v/>
      </c>
      <c r="K8415" s="6" t="str">
        <f t="shared" si="660"/>
        <v/>
      </c>
      <c r="L8415" s="7" t="str">
        <f t="shared" si="661"/>
        <v/>
      </c>
      <c r="M8415" s="7" t="str">
        <f t="shared" si="658"/>
        <v/>
      </c>
      <c r="N8415" s="7" t="str">
        <f t="shared" si="662"/>
        <v/>
      </c>
      <c r="O8415" s="8"/>
      <c r="P8415" s="26"/>
      <c r="S8415" s="10" t="str">
        <f t="shared" si="659"/>
        <v/>
      </c>
    </row>
    <row r="8416" spans="5:19" x14ac:dyDescent="0.3">
      <c r="E8416" s="9" t="str">
        <f>IF(DADOS!C8416="","",DADOS!C8416)</f>
        <v/>
      </c>
      <c r="F8416" s="9" t="str">
        <f>IF(DADOS!E8416="","",DADOS!E8416)</f>
        <v/>
      </c>
      <c r="G8416" s="9" t="str">
        <f>IF(DADOS!F8416="","",DADOS!F8416)</f>
        <v/>
      </c>
      <c r="K8416" s="6" t="str">
        <f t="shared" si="660"/>
        <v/>
      </c>
      <c r="L8416" s="7" t="str">
        <f t="shared" si="661"/>
        <v/>
      </c>
      <c r="M8416" s="7" t="str">
        <f t="shared" si="658"/>
        <v/>
      </c>
      <c r="N8416" s="7" t="str">
        <f t="shared" si="662"/>
        <v/>
      </c>
      <c r="O8416" s="8"/>
      <c r="P8416" s="26"/>
      <c r="S8416" s="10" t="str">
        <f t="shared" si="659"/>
        <v/>
      </c>
    </row>
    <row r="8417" spans="5:19" x14ac:dyDescent="0.3">
      <c r="E8417" s="9" t="str">
        <f>IF(DADOS!C8417="","",DADOS!C8417)</f>
        <v/>
      </c>
      <c r="F8417" s="9" t="str">
        <f>IF(DADOS!E8417="","",DADOS!E8417)</f>
        <v/>
      </c>
      <c r="G8417" s="9" t="str">
        <f>IF(DADOS!F8417="","",DADOS!F8417)</f>
        <v/>
      </c>
      <c r="K8417" s="6" t="str">
        <f t="shared" si="660"/>
        <v/>
      </c>
      <c r="L8417" s="7" t="str">
        <f t="shared" si="661"/>
        <v/>
      </c>
      <c r="M8417" s="7" t="str">
        <f t="shared" si="658"/>
        <v/>
      </c>
      <c r="N8417" s="7" t="str">
        <f t="shared" si="662"/>
        <v/>
      </c>
      <c r="O8417" s="8"/>
      <c r="P8417" s="26"/>
      <c r="S8417" s="10" t="str">
        <f t="shared" si="659"/>
        <v/>
      </c>
    </row>
    <row r="8418" spans="5:19" x14ac:dyDescent="0.3">
      <c r="E8418" s="9" t="str">
        <f>IF(DADOS!C8418="","",DADOS!C8418)</f>
        <v/>
      </c>
      <c r="F8418" s="9" t="str">
        <f>IF(DADOS!E8418="","",DADOS!E8418)</f>
        <v/>
      </c>
      <c r="G8418" s="9" t="str">
        <f>IF(DADOS!F8418="","",DADOS!F8418)</f>
        <v/>
      </c>
      <c r="K8418" s="6" t="str">
        <f t="shared" si="660"/>
        <v/>
      </c>
      <c r="L8418" s="7" t="str">
        <f t="shared" si="661"/>
        <v/>
      </c>
      <c r="M8418" s="7" t="str">
        <f t="shared" si="658"/>
        <v/>
      </c>
      <c r="N8418" s="7" t="str">
        <f t="shared" si="662"/>
        <v/>
      </c>
      <c r="O8418" s="8"/>
      <c r="P8418" s="26"/>
      <c r="S8418" s="10" t="str">
        <f t="shared" si="659"/>
        <v/>
      </c>
    </row>
    <row r="8419" spans="5:19" x14ac:dyDescent="0.3">
      <c r="E8419" s="9" t="str">
        <f>IF(DADOS!C8419="","",DADOS!C8419)</f>
        <v/>
      </c>
      <c r="F8419" s="9" t="str">
        <f>IF(DADOS!E8419="","",DADOS!E8419)</f>
        <v/>
      </c>
      <c r="G8419" s="9" t="str">
        <f>IF(DADOS!F8419="","",DADOS!F8419)</f>
        <v/>
      </c>
      <c r="K8419" s="6" t="str">
        <f t="shared" si="660"/>
        <v/>
      </c>
      <c r="L8419" s="7" t="str">
        <f t="shared" si="661"/>
        <v/>
      </c>
      <c r="M8419" s="7" t="str">
        <f t="shared" si="658"/>
        <v/>
      </c>
      <c r="N8419" s="7" t="str">
        <f t="shared" si="662"/>
        <v/>
      </c>
      <c r="O8419" s="8"/>
      <c r="P8419" s="26"/>
      <c r="S8419" s="10" t="str">
        <f t="shared" si="659"/>
        <v/>
      </c>
    </row>
    <row r="8420" spans="5:19" x14ac:dyDescent="0.3">
      <c r="E8420" s="9" t="str">
        <f>IF(DADOS!C8420="","",DADOS!C8420)</f>
        <v/>
      </c>
      <c r="F8420" s="9" t="str">
        <f>IF(DADOS!E8420="","",DADOS!E8420)</f>
        <v/>
      </c>
      <c r="G8420" s="9" t="str">
        <f>IF(DADOS!F8420="","",DADOS!F8420)</f>
        <v/>
      </c>
      <c r="K8420" s="6" t="str">
        <f t="shared" si="660"/>
        <v/>
      </c>
      <c r="L8420" s="7" t="str">
        <f t="shared" si="661"/>
        <v/>
      </c>
      <c r="M8420" s="7" t="str">
        <f t="shared" si="658"/>
        <v/>
      </c>
      <c r="N8420" s="7" t="str">
        <f t="shared" si="662"/>
        <v/>
      </c>
      <c r="O8420" s="8"/>
      <c r="P8420" s="26"/>
      <c r="S8420" s="10" t="str">
        <f t="shared" si="659"/>
        <v/>
      </c>
    </row>
    <row r="8421" spans="5:19" x14ac:dyDescent="0.3">
      <c r="E8421" s="9" t="str">
        <f>IF(DADOS!C8421="","",DADOS!C8421)</f>
        <v/>
      </c>
      <c r="F8421" s="9" t="str">
        <f>IF(DADOS!E8421="","",DADOS!E8421)</f>
        <v/>
      </c>
      <c r="G8421" s="9" t="str">
        <f>IF(DADOS!F8421="","",DADOS!F8421)</f>
        <v/>
      </c>
      <c r="K8421" s="6" t="str">
        <f t="shared" si="660"/>
        <v/>
      </c>
      <c r="L8421" s="7" t="str">
        <f t="shared" si="661"/>
        <v/>
      </c>
      <c r="M8421" s="7" t="str">
        <f t="shared" si="658"/>
        <v/>
      </c>
      <c r="N8421" s="7" t="str">
        <f t="shared" si="662"/>
        <v/>
      </c>
      <c r="O8421" s="8"/>
      <c r="P8421" s="26"/>
      <c r="S8421" s="10" t="str">
        <f t="shared" si="659"/>
        <v/>
      </c>
    </row>
    <row r="8422" spans="5:19" x14ac:dyDescent="0.3">
      <c r="E8422" s="9" t="str">
        <f>IF(DADOS!C8422="","",DADOS!C8422)</f>
        <v/>
      </c>
      <c r="F8422" s="9" t="str">
        <f>IF(DADOS!E8422="","",DADOS!E8422)</f>
        <v/>
      </c>
      <c r="G8422" s="9" t="str">
        <f>IF(DADOS!F8422="","",DADOS!F8422)</f>
        <v/>
      </c>
      <c r="K8422" s="6" t="str">
        <f t="shared" si="660"/>
        <v/>
      </c>
      <c r="L8422" s="7" t="str">
        <f t="shared" si="661"/>
        <v/>
      </c>
      <c r="M8422" s="7" t="str">
        <f t="shared" si="658"/>
        <v/>
      </c>
      <c r="N8422" s="7" t="str">
        <f t="shared" si="662"/>
        <v/>
      </c>
      <c r="O8422" s="8"/>
      <c r="P8422" s="26"/>
      <c r="S8422" s="10" t="str">
        <f t="shared" si="659"/>
        <v/>
      </c>
    </row>
    <row r="8423" spans="5:19" x14ac:dyDescent="0.3">
      <c r="E8423" s="9" t="str">
        <f>IF(DADOS!C8423="","",DADOS!C8423)</f>
        <v/>
      </c>
      <c r="F8423" s="9" t="str">
        <f>IF(DADOS!E8423="","",DADOS!E8423)</f>
        <v/>
      </c>
      <c r="G8423" s="9" t="str">
        <f>IF(DADOS!F8423="","",DADOS!F8423)</f>
        <v/>
      </c>
      <c r="K8423" s="6" t="str">
        <f t="shared" si="660"/>
        <v/>
      </c>
      <c r="L8423" s="7" t="str">
        <f t="shared" si="661"/>
        <v/>
      </c>
      <c r="M8423" s="7" t="str">
        <f t="shared" si="658"/>
        <v/>
      </c>
      <c r="N8423" s="7" t="str">
        <f t="shared" si="662"/>
        <v/>
      </c>
      <c r="O8423" s="8"/>
      <c r="P8423" s="26"/>
      <c r="S8423" s="10" t="str">
        <f t="shared" si="659"/>
        <v/>
      </c>
    </row>
    <row r="8424" spans="5:19" x14ac:dyDescent="0.3">
      <c r="E8424" s="9" t="str">
        <f>IF(DADOS!C8424="","",DADOS!C8424)</f>
        <v/>
      </c>
      <c r="F8424" s="9" t="str">
        <f>IF(DADOS!E8424="","",DADOS!E8424)</f>
        <v/>
      </c>
      <c r="G8424" s="9" t="str">
        <f>IF(DADOS!F8424="","",DADOS!F8424)</f>
        <v/>
      </c>
      <c r="K8424" s="6" t="str">
        <f t="shared" si="660"/>
        <v/>
      </c>
      <c r="L8424" s="7" t="str">
        <f t="shared" si="661"/>
        <v/>
      </c>
      <c r="M8424" s="7" t="str">
        <f t="shared" si="658"/>
        <v/>
      </c>
      <c r="N8424" s="7" t="str">
        <f t="shared" si="662"/>
        <v/>
      </c>
      <c r="O8424" s="8"/>
      <c r="P8424" s="26"/>
      <c r="S8424" s="10" t="str">
        <f t="shared" si="659"/>
        <v/>
      </c>
    </row>
    <row r="8425" spans="5:19" x14ac:dyDescent="0.3">
      <c r="E8425" s="9" t="str">
        <f>IF(DADOS!C8425="","",DADOS!C8425)</f>
        <v/>
      </c>
      <c r="F8425" s="9" t="str">
        <f>IF(DADOS!E8425="","",DADOS!E8425)</f>
        <v/>
      </c>
      <c r="G8425" s="9" t="str">
        <f>IF(DADOS!F8425="","",DADOS!F8425)</f>
        <v/>
      </c>
      <c r="K8425" s="6" t="str">
        <f t="shared" si="660"/>
        <v/>
      </c>
      <c r="L8425" s="7" t="str">
        <f t="shared" si="661"/>
        <v/>
      </c>
      <c r="M8425" s="7" t="str">
        <f t="shared" si="658"/>
        <v/>
      </c>
      <c r="N8425" s="7" t="str">
        <f t="shared" si="662"/>
        <v/>
      </c>
      <c r="O8425" s="8"/>
      <c r="P8425" s="26"/>
      <c r="S8425" s="10" t="str">
        <f t="shared" si="659"/>
        <v/>
      </c>
    </row>
    <row r="8426" spans="5:19" x14ac:dyDescent="0.3">
      <c r="E8426" s="9" t="str">
        <f>IF(DADOS!C8426="","",DADOS!C8426)</f>
        <v/>
      </c>
      <c r="F8426" s="9" t="str">
        <f>IF(DADOS!E8426="","",DADOS!E8426)</f>
        <v/>
      </c>
      <c r="G8426" s="9" t="str">
        <f>IF(DADOS!F8426="","",DADOS!F8426)</f>
        <v/>
      </c>
      <c r="K8426" s="6" t="str">
        <f t="shared" si="660"/>
        <v/>
      </c>
      <c r="L8426" s="7" t="str">
        <f t="shared" si="661"/>
        <v/>
      </c>
      <c r="M8426" s="7" t="str">
        <f t="shared" si="658"/>
        <v/>
      </c>
      <c r="N8426" s="7" t="str">
        <f t="shared" si="662"/>
        <v/>
      </c>
      <c r="O8426" s="8"/>
      <c r="P8426" s="26"/>
      <c r="S8426" s="10" t="str">
        <f t="shared" si="659"/>
        <v/>
      </c>
    </row>
    <row r="8427" spans="5:19" x14ac:dyDescent="0.3">
      <c r="E8427" s="9" t="str">
        <f>IF(DADOS!C8427="","",DADOS!C8427)</f>
        <v/>
      </c>
      <c r="F8427" s="9" t="str">
        <f>IF(DADOS!E8427="","",DADOS!E8427)</f>
        <v/>
      </c>
      <c r="G8427" s="9" t="str">
        <f>IF(DADOS!F8427="","",DADOS!F8427)</f>
        <v/>
      </c>
      <c r="K8427" s="6" t="str">
        <f t="shared" si="660"/>
        <v/>
      </c>
      <c r="L8427" s="7" t="str">
        <f t="shared" si="661"/>
        <v/>
      </c>
      <c r="M8427" s="7" t="str">
        <f t="shared" si="658"/>
        <v/>
      </c>
      <c r="N8427" s="7" t="str">
        <f t="shared" si="662"/>
        <v/>
      </c>
      <c r="O8427" s="8"/>
      <c r="P8427" s="26"/>
      <c r="S8427" s="10" t="str">
        <f t="shared" si="659"/>
        <v/>
      </c>
    </row>
    <row r="8428" spans="5:19" x14ac:dyDescent="0.3">
      <c r="E8428" s="9" t="str">
        <f>IF(DADOS!C8428="","",DADOS!C8428)</f>
        <v/>
      </c>
      <c r="F8428" s="9" t="str">
        <f>IF(DADOS!E8428="","",DADOS!E8428)</f>
        <v/>
      </c>
      <c r="G8428" s="9" t="str">
        <f>IF(DADOS!F8428="","",DADOS!F8428)</f>
        <v/>
      </c>
      <c r="K8428" s="6" t="str">
        <f t="shared" si="660"/>
        <v/>
      </c>
      <c r="L8428" s="7" t="str">
        <f t="shared" si="661"/>
        <v/>
      </c>
      <c r="M8428" s="7" t="str">
        <f t="shared" si="658"/>
        <v/>
      </c>
      <c r="N8428" s="7" t="str">
        <f t="shared" si="662"/>
        <v/>
      </c>
      <c r="O8428" s="8"/>
      <c r="P8428" s="26"/>
      <c r="S8428" s="10" t="str">
        <f t="shared" si="659"/>
        <v/>
      </c>
    </row>
    <row r="8429" spans="5:19" x14ac:dyDescent="0.3">
      <c r="E8429" s="9" t="str">
        <f>IF(DADOS!C8429="","",DADOS!C8429)</f>
        <v/>
      </c>
      <c r="F8429" s="9" t="str">
        <f>IF(DADOS!E8429="","",DADOS!E8429)</f>
        <v/>
      </c>
      <c r="G8429" s="9" t="str">
        <f>IF(DADOS!F8429="","",DADOS!F8429)</f>
        <v/>
      </c>
      <c r="K8429" s="6" t="str">
        <f t="shared" si="660"/>
        <v/>
      </c>
      <c r="L8429" s="7" t="str">
        <f t="shared" si="661"/>
        <v/>
      </c>
      <c r="M8429" s="7" t="str">
        <f t="shared" si="658"/>
        <v/>
      </c>
      <c r="N8429" s="7" t="str">
        <f t="shared" si="662"/>
        <v/>
      </c>
      <c r="O8429" s="8"/>
      <c r="P8429" s="26"/>
      <c r="S8429" s="10" t="str">
        <f t="shared" si="659"/>
        <v/>
      </c>
    </row>
    <row r="8430" spans="5:19" x14ac:dyDescent="0.3">
      <c r="E8430" s="9" t="str">
        <f>IF(DADOS!C8430="","",DADOS!C8430)</f>
        <v/>
      </c>
      <c r="F8430" s="9" t="str">
        <f>IF(DADOS!E8430="","",DADOS!E8430)</f>
        <v/>
      </c>
      <c r="G8430" s="9" t="str">
        <f>IF(DADOS!F8430="","",DADOS!F8430)</f>
        <v/>
      </c>
      <c r="K8430" s="6" t="str">
        <f t="shared" si="660"/>
        <v/>
      </c>
      <c r="L8430" s="7" t="str">
        <f t="shared" si="661"/>
        <v/>
      </c>
      <c r="M8430" s="7" t="str">
        <f t="shared" si="658"/>
        <v/>
      </c>
      <c r="N8430" s="7" t="str">
        <f t="shared" si="662"/>
        <v/>
      </c>
      <c r="O8430" s="8"/>
      <c r="P8430" s="26"/>
      <c r="S8430" s="10" t="str">
        <f t="shared" si="659"/>
        <v/>
      </c>
    </row>
    <row r="8431" spans="5:19" x14ac:dyDescent="0.3">
      <c r="E8431" s="9" t="str">
        <f>IF(DADOS!C8431="","",DADOS!C8431)</f>
        <v/>
      </c>
      <c r="F8431" s="9" t="str">
        <f>IF(DADOS!E8431="","",DADOS!E8431)</f>
        <v/>
      </c>
      <c r="G8431" s="9" t="str">
        <f>IF(DADOS!F8431="","",DADOS!F8431)</f>
        <v/>
      </c>
      <c r="K8431" s="6" t="str">
        <f t="shared" si="660"/>
        <v/>
      </c>
      <c r="L8431" s="7" t="str">
        <f t="shared" si="661"/>
        <v/>
      </c>
      <c r="M8431" s="7" t="str">
        <f t="shared" si="658"/>
        <v/>
      </c>
      <c r="N8431" s="7" t="str">
        <f t="shared" si="662"/>
        <v/>
      </c>
      <c r="O8431" s="8"/>
      <c r="P8431" s="26"/>
      <c r="S8431" s="10" t="str">
        <f t="shared" si="659"/>
        <v/>
      </c>
    </row>
    <row r="8432" spans="5:19" x14ac:dyDescent="0.3">
      <c r="E8432" s="9" t="str">
        <f>IF(DADOS!C8432="","",DADOS!C8432)</f>
        <v/>
      </c>
      <c r="F8432" s="9" t="str">
        <f>IF(DADOS!E8432="","",DADOS!E8432)</f>
        <v/>
      </c>
      <c r="G8432" s="9" t="str">
        <f>IF(DADOS!F8432="","",DADOS!F8432)</f>
        <v/>
      </c>
      <c r="K8432" s="6" t="str">
        <f t="shared" si="660"/>
        <v/>
      </c>
      <c r="L8432" s="7" t="str">
        <f t="shared" si="661"/>
        <v/>
      </c>
      <c r="M8432" s="7" t="str">
        <f t="shared" si="658"/>
        <v/>
      </c>
      <c r="N8432" s="7" t="str">
        <f t="shared" si="662"/>
        <v/>
      </c>
      <c r="O8432" s="8"/>
      <c r="P8432" s="26"/>
      <c r="S8432" s="10" t="str">
        <f t="shared" si="659"/>
        <v/>
      </c>
    </row>
    <row r="8433" spans="5:19" x14ac:dyDescent="0.3">
      <c r="E8433" s="9" t="str">
        <f>IF(DADOS!C8433="","",DADOS!C8433)</f>
        <v/>
      </c>
      <c r="F8433" s="9" t="str">
        <f>IF(DADOS!E8433="","",DADOS!E8433)</f>
        <v/>
      </c>
      <c r="G8433" s="9" t="str">
        <f>IF(DADOS!F8433="","",DADOS!F8433)</f>
        <v/>
      </c>
      <c r="K8433" s="6" t="str">
        <f t="shared" si="660"/>
        <v/>
      </c>
      <c r="L8433" s="7" t="str">
        <f t="shared" si="661"/>
        <v/>
      </c>
      <c r="M8433" s="7" t="str">
        <f t="shared" si="658"/>
        <v/>
      </c>
      <c r="N8433" s="7" t="str">
        <f t="shared" si="662"/>
        <v/>
      </c>
      <c r="O8433" s="8"/>
      <c r="P8433" s="26"/>
      <c r="S8433" s="10" t="str">
        <f t="shared" si="659"/>
        <v/>
      </c>
    </row>
    <row r="8434" spans="5:19" x14ac:dyDescent="0.3">
      <c r="E8434" s="9" t="str">
        <f>IF(DADOS!C8434="","",DADOS!C8434)</f>
        <v/>
      </c>
      <c r="F8434" s="9" t="str">
        <f>IF(DADOS!E8434="","",DADOS!E8434)</f>
        <v/>
      </c>
      <c r="G8434" s="9" t="str">
        <f>IF(DADOS!F8434="","",DADOS!F8434)</f>
        <v/>
      </c>
      <c r="K8434" s="6" t="str">
        <f t="shared" si="660"/>
        <v/>
      </c>
      <c r="L8434" s="7" t="str">
        <f t="shared" si="661"/>
        <v/>
      </c>
      <c r="M8434" s="7" t="str">
        <f t="shared" si="658"/>
        <v/>
      </c>
      <c r="N8434" s="7" t="str">
        <f t="shared" si="662"/>
        <v/>
      </c>
      <c r="O8434" s="8"/>
      <c r="P8434" s="26"/>
      <c r="S8434" s="10" t="str">
        <f t="shared" si="659"/>
        <v/>
      </c>
    </row>
    <row r="8435" spans="5:19" x14ac:dyDescent="0.3">
      <c r="E8435" s="9" t="str">
        <f>IF(DADOS!C8435="","",DADOS!C8435)</f>
        <v/>
      </c>
      <c r="F8435" s="9" t="str">
        <f>IF(DADOS!E8435="","",DADOS!E8435)</f>
        <v/>
      </c>
      <c r="G8435" s="9" t="str">
        <f>IF(DADOS!F8435="","",DADOS!F8435)</f>
        <v/>
      </c>
      <c r="K8435" s="6" t="str">
        <f t="shared" si="660"/>
        <v/>
      </c>
      <c r="L8435" s="7" t="str">
        <f t="shared" si="661"/>
        <v/>
      </c>
      <c r="M8435" s="7" t="str">
        <f t="shared" si="658"/>
        <v/>
      </c>
      <c r="N8435" s="7" t="str">
        <f t="shared" si="662"/>
        <v/>
      </c>
      <c r="O8435" s="8"/>
      <c r="P8435" s="26"/>
      <c r="S8435" s="10" t="str">
        <f t="shared" si="659"/>
        <v/>
      </c>
    </row>
    <row r="8436" spans="5:19" x14ac:dyDescent="0.3">
      <c r="E8436" s="9" t="str">
        <f>IF(DADOS!C8436="","",DADOS!C8436)</f>
        <v/>
      </c>
      <c r="F8436" s="9" t="str">
        <f>IF(DADOS!E8436="","",DADOS!E8436)</f>
        <v/>
      </c>
      <c r="G8436" s="9" t="str">
        <f>IF(DADOS!F8436="","",DADOS!F8436)</f>
        <v/>
      </c>
      <c r="K8436" s="6" t="str">
        <f t="shared" si="660"/>
        <v/>
      </c>
      <c r="L8436" s="7" t="str">
        <f t="shared" si="661"/>
        <v/>
      </c>
      <c r="M8436" s="7" t="str">
        <f t="shared" si="658"/>
        <v/>
      </c>
      <c r="N8436" s="7" t="str">
        <f t="shared" si="662"/>
        <v/>
      </c>
      <c r="O8436" s="8"/>
      <c r="P8436" s="26"/>
      <c r="S8436" s="10" t="str">
        <f t="shared" si="659"/>
        <v/>
      </c>
    </row>
    <row r="8437" spans="5:19" x14ac:dyDescent="0.3">
      <c r="E8437" s="9" t="str">
        <f>IF(DADOS!C8437="","",DADOS!C8437)</f>
        <v/>
      </c>
      <c r="F8437" s="9" t="str">
        <f>IF(DADOS!E8437="","",DADOS!E8437)</f>
        <v/>
      </c>
      <c r="G8437" s="9" t="str">
        <f>IF(DADOS!F8437="","",DADOS!F8437)</f>
        <v/>
      </c>
      <c r="K8437" s="6" t="str">
        <f t="shared" si="660"/>
        <v/>
      </c>
      <c r="L8437" s="7" t="str">
        <f t="shared" si="661"/>
        <v/>
      </c>
      <c r="M8437" s="7" t="str">
        <f t="shared" si="658"/>
        <v/>
      </c>
      <c r="N8437" s="7" t="str">
        <f t="shared" si="662"/>
        <v/>
      </c>
      <c r="O8437" s="8"/>
      <c r="P8437" s="26"/>
      <c r="S8437" s="10" t="str">
        <f t="shared" si="659"/>
        <v/>
      </c>
    </row>
    <row r="8438" spans="5:19" x14ac:dyDescent="0.3">
      <c r="E8438" s="9" t="str">
        <f>IF(DADOS!C8438="","",DADOS!C8438)</f>
        <v/>
      </c>
      <c r="F8438" s="9" t="str">
        <f>IF(DADOS!E8438="","",DADOS!E8438)</f>
        <v/>
      </c>
      <c r="G8438" s="9" t="str">
        <f>IF(DADOS!F8438="","",DADOS!F8438)</f>
        <v/>
      </c>
      <c r="K8438" s="6" t="str">
        <f t="shared" si="660"/>
        <v/>
      </c>
      <c r="L8438" s="7" t="str">
        <f t="shared" si="661"/>
        <v/>
      </c>
      <c r="M8438" s="7" t="str">
        <f t="shared" si="658"/>
        <v/>
      </c>
      <c r="N8438" s="7" t="str">
        <f t="shared" si="662"/>
        <v/>
      </c>
      <c r="O8438" s="8"/>
      <c r="P8438" s="26"/>
      <c r="S8438" s="10" t="str">
        <f t="shared" si="659"/>
        <v/>
      </c>
    </row>
    <row r="8439" spans="5:19" x14ac:dyDescent="0.3">
      <c r="E8439" s="9" t="str">
        <f>IF(DADOS!C8439="","",DADOS!C8439)</f>
        <v/>
      </c>
      <c r="F8439" s="9" t="str">
        <f>IF(DADOS!E8439="","",DADOS!E8439)</f>
        <v/>
      </c>
      <c r="G8439" s="9" t="str">
        <f>IF(DADOS!F8439="","",DADOS!F8439)</f>
        <v/>
      </c>
      <c r="K8439" s="6" t="str">
        <f t="shared" si="660"/>
        <v/>
      </c>
      <c r="L8439" s="7" t="str">
        <f t="shared" si="661"/>
        <v/>
      </c>
      <c r="M8439" s="7" t="str">
        <f t="shared" si="658"/>
        <v/>
      </c>
      <c r="N8439" s="7" t="str">
        <f t="shared" si="662"/>
        <v/>
      </c>
      <c r="O8439" s="8"/>
      <c r="P8439" s="26"/>
      <c r="S8439" s="10" t="str">
        <f t="shared" si="659"/>
        <v/>
      </c>
    </row>
    <row r="8440" spans="5:19" x14ac:dyDescent="0.3">
      <c r="E8440" s="9" t="str">
        <f>IF(DADOS!C8440="","",DADOS!C8440)</f>
        <v/>
      </c>
      <c r="F8440" s="9" t="str">
        <f>IF(DADOS!E8440="","",DADOS!E8440)</f>
        <v/>
      </c>
      <c r="G8440" s="9" t="str">
        <f>IF(DADOS!F8440="","",DADOS!F8440)</f>
        <v/>
      </c>
      <c r="K8440" s="6" t="str">
        <f t="shared" si="660"/>
        <v/>
      </c>
      <c r="L8440" s="7" t="str">
        <f t="shared" si="661"/>
        <v/>
      </c>
      <c r="M8440" s="7" t="str">
        <f t="shared" si="658"/>
        <v/>
      </c>
      <c r="N8440" s="7" t="str">
        <f t="shared" si="662"/>
        <v/>
      </c>
      <c r="O8440" s="8"/>
      <c r="P8440" s="26"/>
      <c r="S8440" s="10" t="str">
        <f t="shared" si="659"/>
        <v/>
      </c>
    </row>
    <row r="8441" spans="5:19" x14ac:dyDescent="0.3">
      <c r="E8441" s="9" t="str">
        <f>IF(DADOS!C8441="","",DADOS!C8441)</f>
        <v/>
      </c>
      <c r="F8441" s="9" t="str">
        <f>IF(DADOS!E8441="","",DADOS!E8441)</f>
        <v/>
      </c>
      <c r="G8441" s="9" t="str">
        <f>IF(DADOS!F8441="","",DADOS!F8441)</f>
        <v/>
      </c>
      <c r="K8441" s="6" t="str">
        <f t="shared" si="660"/>
        <v/>
      </c>
      <c r="L8441" s="7" t="str">
        <f t="shared" si="661"/>
        <v/>
      </c>
      <c r="M8441" s="7" t="str">
        <f t="shared" si="658"/>
        <v/>
      </c>
      <c r="N8441" s="7" t="str">
        <f t="shared" si="662"/>
        <v/>
      </c>
      <c r="O8441" s="8"/>
      <c r="P8441" s="26"/>
      <c r="S8441" s="10" t="str">
        <f t="shared" si="659"/>
        <v/>
      </c>
    </row>
    <row r="8442" spans="5:19" x14ac:dyDescent="0.3">
      <c r="E8442" s="9" t="str">
        <f>IF(DADOS!C8442="","",DADOS!C8442)</f>
        <v/>
      </c>
      <c r="F8442" s="9" t="str">
        <f>IF(DADOS!E8442="","",DADOS!E8442)</f>
        <v/>
      </c>
      <c r="G8442" s="9" t="str">
        <f>IF(DADOS!F8442="","",DADOS!F8442)</f>
        <v/>
      </c>
      <c r="K8442" s="6" t="str">
        <f t="shared" si="660"/>
        <v/>
      </c>
      <c r="L8442" s="7" t="str">
        <f t="shared" si="661"/>
        <v/>
      </c>
      <c r="M8442" s="7" t="str">
        <f t="shared" si="658"/>
        <v/>
      </c>
      <c r="N8442" s="7" t="str">
        <f t="shared" si="662"/>
        <v/>
      </c>
      <c r="O8442" s="8"/>
      <c r="P8442" s="26"/>
      <c r="S8442" s="10" t="str">
        <f t="shared" si="659"/>
        <v/>
      </c>
    </row>
    <row r="8443" spans="5:19" x14ac:dyDescent="0.3">
      <c r="E8443" s="9" t="str">
        <f>IF(DADOS!C8443="","",DADOS!C8443)</f>
        <v/>
      </c>
      <c r="F8443" s="9" t="str">
        <f>IF(DADOS!E8443="","",DADOS!E8443)</f>
        <v/>
      </c>
      <c r="G8443" s="9" t="str">
        <f>IF(DADOS!F8443="","",DADOS!F8443)</f>
        <v/>
      </c>
      <c r="K8443" s="6" t="str">
        <f t="shared" si="660"/>
        <v/>
      </c>
      <c r="L8443" s="7" t="str">
        <f t="shared" si="661"/>
        <v/>
      </c>
      <c r="M8443" s="7" t="str">
        <f t="shared" si="658"/>
        <v/>
      </c>
      <c r="N8443" s="7" t="str">
        <f t="shared" si="662"/>
        <v/>
      </c>
      <c r="O8443" s="8"/>
      <c r="P8443" s="26"/>
      <c r="S8443" s="10" t="str">
        <f t="shared" si="659"/>
        <v/>
      </c>
    </row>
    <row r="8444" spans="5:19" x14ac:dyDescent="0.3">
      <c r="E8444" s="9" t="str">
        <f>IF(DADOS!C8444="","",DADOS!C8444)</f>
        <v/>
      </c>
      <c r="F8444" s="9" t="str">
        <f>IF(DADOS!E8444="","",DADOS!E8444)</f>
        <v/>
      </c>
      <c r="G8444" s="9" t="str">
        <f>IF(DADOS!F8444="","",DADOS!F8444)</f>
        <v/>
      </c>
      <c r="K8444" s="6" t="str">
        <f t="shared" si="660"/>
        <v/>
      </c>
      <c r="L8444" s="7" t="str">
        <f t="shared" si="661"/>
        <v/>
      </c>
      <c r="M8444" s="7" t="str">
        <f t="shared" si="658"/>
        <v/>
      </c>
      <c r="N8444" s="7" t="str">
        <f t="shared" si="662"/>
        <v/>
      </c>
      <c r="O8444" s="8"/>
      <c r="P8444" s="26"/>
      <c r="S8444" s="10" t="str">
        <f t="shared" si="659"/>
        <v/>
      </c>
    </row>
    <row r="8445" spans="5:19" x14ac:dyDescent="0.3">
      <c r="E8445" s="9" t="str">
        <f>IF(DADOS!C8445="","",DADOS!C8445)</f>
        <v/>
      </c>
      <c r="F8445" s="9" t="str">
        <f>IF(DADOS!E8445="","",DADOS!E8445)</f>
        <v/>
      </c>
      <c r="G8445" s="9" t="str">
        <f>IF(DADOS!F8445="","",DADOS!F8445)</f>
        <v/>
      </c>
      <c r="K8445" s="6" t="str">
        <f t="shared" si="660"/>
        <v/>
      </c>
      <c r="L8445" s="7" t="str">
        <f t="shared" si="661"/>
        <v/>
      </c>
      <c r="M8445" s="7" t="str">
        <f t="shared" si="658"/>
        <v/>
      </c>
      <c r="N8445" s="7" t="str">
        <f t="shared" si="662"/>
        <v/>
      </c>
      <c r="O8445" s="8"/>
      <c r="P8445" s="26"/>
      <c r="S8445" s="10" t="str">
        <f t="shared" si="659"/>
        <v/>
      </c>
    </row>
    <row r="8446" spans="5:19" x14ac:dyDescent="0.3">
      <c r="E8446" s="9" t="str">
        <f>IF(DADOS!C8446="","",DADOS!C8446)</f>
        <v/>
      </c>
      <c r="F8446" s="9" t="str">
        <f>IF(DADOS!E8446="","",DADOS!E8446)</f>
        <v/>
      </c>
      <c r="G8446" s="9" t="str">
        <f>IF(DADOS!F8446="","",DADOS!F8446)</f>
        <v/>
      </c>
      <c r="K8446" s="6" t="str">
        <f t="shared" si="660"/>
        <v/>
      </c>
      <c r="L8446" s="7" t="str">
        <f t="shared" si="661"/>
        <v/>
      </c>
      <c r="M8446" s="7" t="str">
        <f t="shared" si="658"/>
        <v/>
      </c>
      <c r="N8446" s="7" t="str">
        <f t="shared" si="662"/>
        <v/>
      </c>
      <c r="O8446" s="8"/>
      <c r="P8446" s="26"/>
      <c r="S8446" s="10" t="str">
        <f t="shared" si="659"/>
        <v/>
      </c>
    </row>
    <row r="8447" spans="5:19" x14ac:dyDescent="0.3">
      <c r="E8447" s="9" t="str">
        <f>IF(DADOS!C8447="","",DADOS!C8447)</f>
        <v/>
      </c>
      <c r="F8447" s="9" t="str">
        <f>IF(DADOS!E8447="","",DADOS!E8447)</f>
        <v/>
      </c>
      <c r="G8447" s="9" t="str">
        <f>IF(DADOS!F8447="","",DADOS!F8447)</f>
        <v/>
      </c>
      <c r="K8447" s="6" t="str">
        <f t="shared" si="660"/>
        <v/>
      </c>
      <c r="L8447" s="7" t="str">
        <f t="shared" si="661"/>
        <v/>
      </c>
      <c r="M8447" s="7" t="str">
        <f t="shared" si="658"/>
        <v/>
      </c>
      <c r="N8447" s="7" t="str">
        <f t="shared" si="662"/>
        <v/>
      </c>
      <c r="O8447" s="8"/>
      <c r="P8447" s="26"/>
      <c r="S8447" s="10" t="str">
        <f t="shared" si="659"/>
        <v/>
      </c>
    </row>
    <row r="8448" spans="5:19" x14ac:dyDescent="0.3">
      <c r="E8448" s="9" t="str">
        <f>IF(DADOS!C8448="","",DADOS!C8448)</f>
        <v/>
      </c>
      <c r="F8448" s="9" t="str">
        <f>IF(DADOS!E8448="","",DADOS!E8448)</f>
        <v/>
      </c>
      <c r="G8448" s="9" t="str">
        <f>IF(DADOS!F8448="","",DADOS!F8448)</f>
        <v/>
      </c>
      <c r="K8448" s="6" t="str">
        <f t="shared" si="660"/>
        <v/>
      </c>
      <c r="L8448" s="7" t="str">
        <f t="shared" si="661"/>
        <v/>
      </c>
      <c r="M8448" s="7" t="str">
        <f t="shared" si="658"/>
        <v/>
      </c>
      <c r="N8448" s="7" t="str">
        <f t="shared" si="662"/>
        <v/>
      </c>
      <c r="O8448" s="8"/>
      <c r="P8448" s="26"/>
      <c r="S8448" s="10" t="str">
        <f t="shared" si="659"/>
        <v/>
      </c>
    </row>
    <row r="8449" spans="5:19" x14ac:dyDescent="0.3">
      <c r="E8449" s="9" t="str">
        <f>IF(DADOS!C8449="","",DADOS!C8449)</f>
        <v/>
      </c>
      <c r="F8449" s="9" t="str">
        <f>IF(DADOS!E8449="","",DADOS!E8449)</f>
        <v/>
      </c>
      <c r="G8449" s="9" t="str">
        <f>IF(DADOS!F8449="","",DADOS!F8449)</f>
        <v/>
      </c>
      <c r="K8449" s="6" t="str">
        <f t="shared" si="660"/>
        <v/>
      </c>
      <c r="L8449" s="7" t="str">
        <f t="shared" si="661"/>
        <v/>
      </c>
      <c r="M8449" s="7" t="str">
        <f t="shared" si="658"/>
        <v/>
      </c>
      <c r="N8449" s="7" t="str">
        <f t="shared" si="662"/>
        <v/>
      </c>
      <c r="O8449" s="8"/>
      <c r="P8449" s="26"/>
      <c r="S8449" s="10" t="str">
        <f t="shared" si="659"/>
        <v/>
      </c>
    </row>
    <row r="8450" spans="5:19" x14ac:dyDescent="0.3">
      <c r="E8450" s="9" t="str">
        <f>IF(DADOS!C8450="","",DADOS!C8450)</f>
        <v/>
      </c>
      <c r="F8450" s="9" t="str">
        <f>IF(DADOS!E8450="","",DADOS!E8450)</f>
        <v/>
      </c>
      <c r="G8450" s="9" t="str">
        <f>IF(DADOS!F8450="","",DADOS!F8450)</f>
        <v/>
      </c>
      <c r="K8450" s="6" t="str">
        <f t="shared" si="660"/>
        <v/>
      </c>
      <c r="L8450" s="7" t="str">
        <f t="shared" si="661"/>
        <v/>
      </c>
      <c r="M8450" s="7" t="str">
        <f t="shared" si="658"/>
        <v/>
      </c>
      <c r="N8450" s="7" t="str">
        <f t="shared" si="662"/>
        <v/>
      </c>
      <c r="O8450" s="8"/>
      <c r="P8450" s="26"/>
      <c r="S8450" s="10" t="str">
        <f t="shared" si="659"/>
        <v/>
      </c>
    </row>
    <row r="8451" spans="5:19" x14ac:dyDescent="0.3">
      <c r="E8451" s="9" t="str">
        <f>IF(DADOS!C8451="","",DADOS!C8451)</f>
        <v/>
      </c>
      <c r="F8451" s="9" t="str">
        <f>IF(DADOS!E8451="","",DADOS!E8451)</f>
        <v/>
      </c>
      <c r="G8451" s="9" t="str">
        <f>IF(DADOS!F8451="","",DADOS!F8451)</f>
        <v/>
      </c>
      <c r="K8451" s="6" t="str">
        <f t="shared" si="660"/>
        <v/>
      </c>
      <c r="L8451" s="7" t="str">
        <f t="shared" si="661"/>
        <v/>
      </c>
      <c r="M8451" s="7" t="str">
        <f t="shared" ref="M8451:M8514" si="663">IF(L8451="","",L8451*G8451)</f>
        <v/>
      </c>
      <c r="N8451" s="7" t="str">
        <f t="shared" si="662"/>
        <v/>
      </c>
      <c r="O8451" s="8"/>
      <c r="P8451" s="26"/>
      <c r="S8451" s="10" t="str">
        <f t="shared" ref="S8451:S8514" si="664">IF(R8451="","",SUMIFS($N$3:$N$10000,$E$3:$E$10000,R8451))</f>
        <v/>
      </c>
    </row>
    <row r="8452" spans="5:19" x14ac:dyDescent="0.3">
      <c r="E8452" s="9" t="str">
        <f>IF(DADOS!C8452="","",DADOS!C8452)</f>
        <v/>
      </c>
      <c r="F8452" s="9" t="str">
        <f>IF(DADOS!E8452="","",DADOS!E8452)</f>
        <v/>
      </c>
      <c r="G8452" s="9" t="str">
        <f>IF(DADOS!F8452="","",DADOS!F8452)</f>
        <v/>
      </c>
      <c r="K8452" s="6" t="str">
        <f t="shared" ref="K8452:K8515" si="665">IF(F8452="","",F8452/PI())</f>
        <v/>
      </c>
      <c r="L8452" s="7" t="str">
        <f t="shared" ref="L8452:L8515" si="666">IF(K8452="","",(PI()*K8452^2)/40000)</f>
        <v/>
      </c>
      <c r="M8452" s="7" t="str">
        <f t="shared" si="663"/>
        <v/>
      </c>
      <c r="N8452" s="7" t="str">
        <f t="shared" ref="N8452:N8515" si="667">IF(M8452="","",M8452*N$1)</f>
        <v/>
      </c>
      <c r="O8452" s="8"/>
      <c r="P8452" s="26"/>
      <c r="S8452" s="10" t="str">
        <f t="shared" si="664"/>
        <v/>
      </c>
    </row>
    <row r="8453" spans="5:19" x14ac:dyDescent="0.3">
      <c r="E8453" s="9" t="str">
        <f>IF(DADOS!C8453="","",DADOS!C8453)</f>
        <v/>
      </c>
      <c r="F8453" s="9" t="str">
        <f>IF(DADOS!E8453="","",DADOS!E8453)</f>
        <v/>
      </c>
      <c r="G8453" s="9" t="str">
        <f>IF(DADOS!F8453="","",DADOS!F8453)</f>
        <v/>
      </c>
      <c r="K8453" s="6" t="str">
        <f t="shared" si="665"/>
        <v/>
      </c>
      <c r="L8453" s="7" t="str">
        <f t="shared" si="666"/>
        <v/>
      </c>
      <c r="M8453" s="7" t="str">
        <f t="shared" si="663"/>
        <v/>
      </c>
      <c r="N8453" s="7" t="str">
        <f t="shared" si="667"/>
        <v/>
      </c>
      <c r="O8453" s="8"/>
      <c r="P8453" s="26"/>
      <c r="S8453" s="10" t="str">
        <f t="shared" si="664"/>
        <v/>
      </c>
    </row>
    <row r="8454" spans="5:19" x14ac:dyDescent="0.3">
      <c r="E8454" s="9" t="str">
        <f>IF(DADOS!C8454="","",DADOS!C8454)</f>
        <v/>
      </c>
      <c r="F8454" s="9" t="str">
        <f>IF(DADOS!E8454="","",DADOS!E8454)</f>
        <v/>
      </c>
      <c r="G8454" s="9" t="str">
        <f>IF(DADOS!F8454="","",DADOS!F8454)</f>
        <v/>
      </c>
      <c r="K8454" s="6" t="str">
        <f t="shared" si="665"/>
        <v/>
      </c>
      <c r="L8454" s="7" t="str">
        <f t="shared" si="666"/>
        <v/>
      </c>
      <c r="M8454" s="7" t="str">
        <f t="shared" si="663"/>
        <v/>
      </c>
      <c r="N8454" s="7" t="str">
        <f t="shared" si="667"/>
        <v/>
      </c>
      <c r="O8454" s="8"/>
      <c r="P8454" s="26"/>
      <c r="S8454" s="10" t="str">
        <f t="shared" si="664"/>
        <v/>
      </c>
    </row>
    <row r="8455" spans="5:19" x14ac:dyDescent="0.3">
      <c r="E8455" s="9" t="str">
        <f>IF(DADOS!C8455="","",DADOS!C8455)</f>
        <v/>
      </c>
      <c r="F8455" s="9" t="str">
        <f>IF(DADOS!E8455="","",DADOS!E8455)</f>
        <v/>
      </c>
      <c r="G8455" s="9" t="str">
        <f>IF(DADOS!F8455="","",DADOS!F8455)</f>
        <v/>
      </c>
      <c r="K8455" s="6" t="str">
        <f t="shared" si="665"/>
        <v/>
      </c>
      <c r="L8455" s="7" t="str">
        <f t="shared" si="666"/>
        <v/>
      </c>
      <c r="M8455" s="7" t="str">
        <f t="shared" si="663"/>
        <v/>
      </c>
      <c r="N8455" s="7" t="str">
        <f t="shared" si="667"/>
        <v/>
      </c>
      <c r="O8455" s="8"/>
      <c r="P8455" s="26"/>
      <c r="S8455" s="10" t="str">
        <f t="shared" si="664"/>
        <v/>
      </c>
    </row>
    <row r="8456" spans="5:19" x14ac:dyDescent="0.3">
      <c r="E8456" s="9" t="str">
        <f>IF(DADOS!C8456="","",DADOS!C8456)</f>
        <v/>
      </c>
      <c r="F8456" s="9" t="str">
        <f>IF(DADOS!E8456="","",DADOS!E8456)</f>
        <v/>
      </c>
      <c r="G8456" s="9" t="str">
        <f>IF(DADOS!F8456="","",DADOS!F8456)</f>
        <v/>
      </c>
      <c r="K8456" s="6" t="str">
        <f t="shared" si="665"/>
        <v/>
      </c>
      <c r="L8456" s="7" t="str">
        <f t="shared" si="666"/>
        <v/>
      </c>
      <c r="M8456" s="7" t="str">
        <f t="shared" si="663"/>
        <v/>
      </c>
      <c r="N8456" s="7" t="str">
        <f t="shared" si="667"/>
        <v/>
      </c>
      <c r="O8456" s="8"/>
      <c r="P8456" s="26"/>
      <c r="S8456" s="10" t="str">
        <f t="shared" si="664"/>
        <v/>
      </c>
    </row>
    <row r="8457" spans="5:19" x14ac:dyDescent="0.3">
      <c r="E8457" s="9" t="str">
        <f>IF(DADOS!C8457="","",DADOS!C8457)</f>
        <v/>
      </c>
      <c r="F8457" s="9" t="str">
        <f>IF(DADOS!E8457="","",DADOS!E8457)</f>
        <v/>
      </c>
      <c r="G8457" s="9" t="str">
        <f>IF(DADOS!F8457="","",DADOS!F8457)</f>
        <v/>
      </c>
      <c r="K8457" s="6" t="str">
        <f t="shared" si="665"/>
        <v/>
      </c>
      <c r="L8457" s="7" t="str">
        <f t="shared" si="666"/>
        <v/>
      </c>
      <c r="M8457" s="7" t="str">
        <f t="shared" si="663"/>
        <v/>
      </c>
      <c r="N8457" s="7" t="str">
        <f t="shared" si="667"/>
        <v/>
      </c>
      <c r="O8457" s="8"/>
      <c r="P8457" s="26"/>
      <c r="S8457" s="10" t="str">
        <f t="shared" si="664"/>
        <v/>
      </c>
    </row>
    <row r="8458" spans="5:19" x14ac:dyDescent="0.3">
      <c r="E8458" s="9" t="str">
        <f>IF(DADOS!C8458="","",DADOS!C8458)</f>
        <v/>
      </c>
      <c r="F8458" s="9" t="str">
        <f>IF(DADOS!E8458="","",DADOS!E8458)</f>
        <v/>
      </c>
      <c r="G8458" s="9" t="str">
        <f>IF(DADOS!F8458="","",DADOS!F8458)</f>
        <v/>
      </c>
      <c r="K8458" s="6" t="str">
        <f t="shared" si="665"/>
        <v/>
      </c>
      <c r="L8458" s="7" t="str">
        <f t="shared" si="666"/>
        <v/>
      </c>
      <c r="M8458" s="7" t="str">
        <f t="shared" si="663"/>
        <v/>
      </c>
      <c r="N8458" s="7" t="str">
        <f t="shared" si="667"/>
        <v/>
      </c>
      <c r="O8458" s="8"/>
      <c r="P8458" s="26"/>
      <c r="S8458" s="10" t="str">
        <f t="shared" si="664"/>
        <v/>
      </c>
    </row>
    <row r="8459" spans="5:19" x14ac:dyDescent="0.3">
      <c r="E8459" s="9" t="str">
        <f>IF(DADOS!C8459="","",DADOS!C8459)</f>
        <v/>
      </c>
      <c r="F8459" s="9" t="str">
        <f>IF(DADOS!E8459="","",DADOS!E8459)</f>
        <v/>
      </c>
      <c r="G8459" s="9" t="str">
        <f>IF(DADOS!F8459="","",DADOS!F8459)</f>
        <v/>
      </c>
      <c r="K8459" s="6" t="str">
        <f t="shared" si="665"/>
        <v/>
      </c>
      <c r="L8459" s="7" t="str">
        <f t="shared" si="666"/>
        <v/>
      </c>
      <c r="M8459" s="7" t="str">
        <f t="shared" si="663"/>
        <v/>
      </c>
      <c r="N8459" s="7" t="str">
        <f t="shared" si="667"/>
        <v/>
      </c>
      <c r="O8459" s="8"/>
      <c r="P8459" s="26"/>
      <c r="S8459" s="10" t="str">
        <f t="shared" si="664"/>
        <v/>
      </c>
    </row>
    <row r="8460" spans="5:19" x14ac:dyDescent="0.3">
      <c r="E8460" s="9" t="str">
        <f>IF(DADOS!C8460="","",DADOS!C8460)</f>
        <v/>
      </c>
      <c r="F8460" s="9" t="str">
        <f>IF(DADOS!E8460="","",DADOS!E8460)</f>
        <v/>
      </c>
      <c r="G8460" s="9" t="str">
        <f>IF(DADOS!F8460="","",DADOS!F8460)</f>
        <v/>
      </c>
      <c r="K8460" s="6" t="str">
        <f t="shared" si="665"/>
        <v/>
      </c>
      <c r="L8460" s="7" t="str">
        <f t="shared" si="666"/>
        <v/>
      </c>
      <c r="M8460" s="7" t="str">
        <f t="shared" si="663"/>
        <v/>
      </c>
      <c r="N8460" s="7" t="str">
        <f t="shared" si="667"/>
        <v/>
      </c>
      <c r="O8460" s="8"/>
      <c r="P8460" s="26"/>
      <c r="S8460" s="10" t="str">
        <f t="shared" si="664"/>
        <v/>
      </c>
    </row>
    <row r="8461" spans="5:19" x14ac:dyDescent="0.3">
      <c r="E8461" s="9" t="str">
        <f>IF(DADOS!C8461="","",DADOS!C8461)</f>
        <v/>
      </c>
      <c r="F8461" s="9" t="str">
        <f>IF(DADOS!E8461="","",DADOS!E8461)</f>
        <v/>
      </c>
      <c r="G8461" s="9" t="str">
        <f>IF(DADOS!F8461="","",DADOS!F8461)</f>
        <v/>
      </c>
      <c r="K8461" s="6" t="str">
        <f t="shared" si="665"/>
        <v/>
      </c>
      <c r="L8461" s="7" t="str">
        <f t="shared" si="666"/>
        <v/>
      </c>
      <c r="M8461" s="7" t="str">
        <f t="shared" si="663"/>
        <v/>
      </c>
      <c r="N8461" s="7" t="str">
        <f t="shared" si="667"/>
        <v/>
      </c>
      <c r="O8461" s="8"/>
      <c r="P8461" s="26"/>
      <c r="S8461" s="10" t="str">
        <f t="shared" si="664"/>
        <v/>
      </c>
    </row>
    <row r="8462" spans="5:19" x14ac:dyDescent="0.3">
      <c r="E8462" s="9" t="str">
        <f>IF(DADOS!C8462="","",DADOS!C8462)</f>
        <v/>
      </c>
      <c r="F8462" s="9" t="str">
        <f>IF(DADOS!E8462="","",DADOS!E8462)</f>
        <v/>
      </c>
      <c r="G8462" s="9" t="str">
        <f>IF(DADOS!F8462="","",DADOS!F8462)</f>
        <v/>
      </c>
      <c r="K8462" s="6" t="str">
        <f t="shared" si="665"/>
        <v/>
      </c>
      <c r="L8462" s="7" t="str">
        <f t="shared" si="666"/>
        <v/>
      </c>
      <c r="M8462" s="7" t="str">
        <f t="shared" si="663"/>
        <v/>
      </c>
      <c r="N8462" s="7" t="str">
        <f t="shared" si="667"/>
        <v/>
      </c>
      <c r="O8462" s="8"/>
      <c r="P8462" s="26"/>
      <c r="S8462" s="10" t="str">
        <f t="shared" si="664"/>
        <v/>
      </c>
    </row>
    <row r="8463" spans="5:19" x14ac:dyDescent="0.3">
      <c r="E8463" s="9" t="str">
        <f>IF(DADOS!C8463="","",DADOS!C8463)</f>
        <v/>
      </c>
      <c r="F8463" s="9" t="str">
        <f>IF(DADOS!E8463="","",DADOS!E8463)</f>
        <v/>
      </c>
      <c r="G8463" s="9" t="str">
        <f>IF(DADOS!F8463="","",DADOS!F8463)</f>
        <v/>
      </c>
      <c r="K8463" s="6" t="str">
        <f t="shared" si="665"/>
        <v/>
      </c>
      <c r="L8463" s="7" t="str">
        <f t="shared" si="666"/>
        <v/>
      </c>
      <c r="M8463" s="7" t="str">
        <f t="shared" si="663"/>
        <v/>
      </c>
      <c r="N8463" s="7" t="str">
        <f t="shared" si="667"/>
        <v/>
      </c>
      <c r="O8463" s="8"/>
      <c r="P8463" s="26"/>
      <c r="S8463" s="10" t="str">
        <f t="shared" si="664"/>
        <v/>
      </c>
    </row>
    <row r="8464" spans="5:19" x14ac:dyDescent="0.3">
      <c r="E8464" s="9" t="str">
        <f>IF(DADOS!C8464="","",DADOS!C8464)</f>
        <v/>
      </c>
      <c r="F8464" s="9" t="str">
        <f>IF(DADOS!E8464="","",DADOS!E8464)</f>
        <v/>
      </c>
      <c r="G8464" s="9" t="str">
        <f>IF(DADOS!F8464="","",DADOS!F8464)</f>
        <v/>
      </c>
      <c r="K8464" s="6" t="str">
        <f t="shared" si="665"/>
        <v/>
      </c>
      <c r="L8464" s="7" t="str">
        <f t="shared" si="666"/>
        <v/>
      </c>
      <c r="M8464" s="7" t="str">
        <f t="shared" si="663"/>
        <v/>
      </c>
      <c r="N8464" s="7" t="str">
        <f t="shared" si="667"/>
        <v/>
      </c>
      <c r="O8464" s="8"/>
      <c r="P8464" s="26"/>
      <c r="S8464" s="10" t="str">
        <f t="shared" si="664"/>
        <v/>
      </c>
    </row>
    <row r="8465" spans="5:19" x14ac:dyDescent="0.3">
      <c r="E8465" s="9" t="str">
        <f>IF(DADOS!C8465="","",DADOS!C8465)</f>
        <v/>
      </c>
      <c r="F8465" s="9" t="str">
        <f>IF(DADOS!E8465="","",DADOS!E8465)</f>
        <v/>
      </c>
      <c r="G8465" s="9" t="str">
        <f>IF(DADOS!F8465="","",DADOS!F8465)</f>
        <v/>
      </c>
      <c r="K8465" s="6" t="str">
        <f t="shared" si="665"/>
        <v/>
      </c>
      <c r="L8465" s="7" t="str">
        <f t="shared" si="666"/>
        <v/>
      </c>
      <c r="M8465" s="7" t="str">
        <f t="shared" si="663"/>
        <v/>
      </c>
      <c r="N8465" s="7" t="str">
        <f t="shared" si="667"/>
        <v/>
      </c>
      <c r="O8465" s="8"/>
      <c r="P8465" s="26"/>
      <c r="S8465" s="10" t="str">
        <f t="shared" si="664"/>
        <v/>
      </c>
    </row>
    <row r="8466" spans="5:19" x14ac:dyDescent="0.3">
      <c r="E8466" s="9" t="str">
        <f>IF(DADOS!C8466="","",DADOS!C8466)</f>
        <v/>
      </c>
      <c r="F8466" s="9" t="str">
        <f>IF(DADOS!E8466="","",DADOS!E8466)</f>
        <v/>
      </c>
      <c r="G8466" s="9" t="str">
        <f>IF(DADOS!F8466="","",DADOS!F8466)</f>
        <v/>
      </c>
      <c r="K8466" s="6" t="str">
        <f t="shared" si="665"/>
        <v/>
      </c>
      <c r="L8466" s="7" t="str">
        <f t="shared" si="666"/>
        <v/>
      </c>
      <c r="M8466" s="7" t="str">
        <f t="shared" si="663"/>
        <v/>
      </c>
      <c r="N8466" s="7" t="str">
        <f t="shared" si="667"/>
        <v/>
      </c>
      <c r="O8466" s="8"/>
      <c r="P8466" s="26"/>
      <c r="S8466" s="10" t="str">
        <f t="shared" si="664"/>
        <v/>
      </c>
    </row>
    <row r="8467" spans="5:19" x14ac:dyDescent="0.3">
      <c r="E8467" s="9" t="str">
        <f>IF(DADOS!C8467="","",DADOS!C8467)</f>
        <v/>
      </c>
      <c r="F8467" s="9" t="str">
        <f>IF(DADOS!E8467="","",DADOS!E8467)</f>
        <v/>
      </c>
      <c r="G8467" s="9" t="str">
        <f>IF(DADOS!F8467="","",DADOS!F8467)</f>
        <v/>
      </c>
      <c r="K8467" s="6" t="str">
        <f t="shared" si="665"/>
        <v/>
      </c>
      <c r="L8467" s="7" t="str">
        <f t="shared" si="666"/>
        <v/>
      </c>
      <c r="M8467" s="7" t="str">
        <f t="shared" si="663"/>
        <v/>
      </c>
      <c r="N8467" s="7" t="str">
        <f t="shared" si="667"/>
        <v/>
      </c>
      <c r="O8467" s="8"/>
      <c r="P8467" s="26"/>
      <c r="S8467" s="10" t="str">
        <f t="shared" si="664"/>
        <v/>
      </c>
    </row>
    <row r="8468" spans="5:19" x14ac:dyDescent="0.3">
      <c r="E8468" s="9" t="str">
        <f>IF(DADOS!C8468="","",DADOS!C8468)</f>
        <v/>
      </c>
      <c r="F8468" s="9" t="str">
        <f>IF(DADOS!E8468="","",DADOS!E8468)</f>
        <v/>
      </c>
      <c r="G8468" s="9" t="str">
        <f>IF(DADOS!F8468="","",DADOS!F8468)</f>
        <v/>
      </c>
      <c r="K8468" s="6" t="str">
        <f t="shared" si="665"/>
        <v/>
      </c>
      <c r="L8468" s="7" t="str">
        <f t="shared" si="666"/>
        <v/>
      </c>
      <c r="M8468" s="7" t="str">
        <f t="shared" si="663"/>
        <v/>
      </c>
      <c r="N8468" s="7" t="str">
        <f t="shared" si="667"/>
        <v/>
      </c>
      <c r="O8468" s="8"/>
      <c r="P8468" s="26"/>
      <c r="S8468" s="10" t="str">
        <f t="shared" si="664"/>
        <v/>
      </c>
    </row>
    <row r="8469" spans="5:19" x14ac:dyDescent="0.3">
      <c r="E8469" s="9" t="str">
        <f>IF(DADOS!C8469="","",DADOS!C8469)</f>
        <v/>
      </c>
      <c r="F8469" s="9" t="str">
        <f>IF(DADOS!E8469="","",DADOS!E8469)</f>
        <v/>
      </c>
      <c r="G8469" s="9" t="str">
        <f>IF(DADOS!F8469="","",DADOS!F8469)</f>
        <v/>
      </c>
      <c r="K8469" s="6" t="str">
        <f t="shared" si="665"/>
        <v/>
      </c>
      <c r="L8469" s="7" t="str">
        <f t="shared" si="666"/>
        <v/>
      </c>
      <c r="M8469" s="7" t="str">
        <f t="shared" si="663"/>
        <v/>
      </c>
      <c r="N8469" s="7" t="str">
        <f t="shared" si="667"/>
        <v/>
      </c>
      <c r="O8469" s="8"/>
      <c r="P8469" s="26"/>
      <c r="S8469" s="10" t="str">
        <f t="shared" si="664"/>
        <v/>
      </c>
    </row>
    <row r="8470" spans="5:19" x14ac:dyDescent="0.3">
      <c r="E8470" s="9" t="str">
        <f>IF(DADOS!C8470="","",DADOS!C8470)</f>
        <v/>
      </c>
      <c r="F8470" s="9" t="str">
        <f>IF(DADOS!E8470="","",DADOS!E8470)</f>
        <v/>
      </c>
      <c r="G8470" s="9" t="str">
        <f>IF(DADOS!F8470="","",DADOS!F8470)</f>
        <v/>
      </c>
      <c r="K8470" s="6" t="str">
        <f t="shared" si="665"/>
        <v/>
      </c>
      <c r="L8470" s="7" t="str">
        <f t="shared" si="666"/>
        <v/>
      </c>
      <c r="M8470" s="7" t="str">
        <f t="shared" si="663"/>
        <v/>
      </c>
      <c r="N8470" s="7" t="str">
        <f t="shared" si="667"/>
        <v/>
      </c>
      <c r="O8470" s="8"/>
      <c r="P8470" s="26"/>
      <c r="S8470" s="10" t="str">
        <f t="shared" si="664"/>
        <v/>
      </c>
    </row>
    <row r="8471" spans="5:19" x14ac:dyDescent="0.3">
      <c r="E8471" s="9" t="str">
        <f>IF(DADOS!C8471="","",DADOS!C8471)</f>
        <v/>
      </c>
      <c r="F8471" s="9" t="str">
        <f>IF(DADOS!E8471="","",DADOS!E8471)</f>
        <v/>
      </c>
      <c r="G8471" s="9" t="str">
        <f>IF(DADOS!F8471="","",DADOS!F8471)</f>
        <v/>
      </c>
      <c r="K8471" s="6" t="str">
        <f t="shared" si="665"/>
        <v/>
      </c>
      <c r="L8471" s="7" t="str">
        <f t="shared" si="666"/>
        <v/>
      </c>
      <c r="M8471" s="7" t="str">
        <f t="shared" si="663"/>
        <v/>
      </c>
      <c r="N8471" s="7" t="str">
        <f t="shared" si="667"/>
        <v/>
      </c>
      <c r="O8471" s="8"/>
      <c r="P8471" s="26"/>
      <c r="S8471" s="10" t="str">
        <f t="shared" si="664"/>
        <v/>
      </c>
    </row>
    <row r="8472" spans="5:19" x14ac:dyDescent="0.3">
      <c r="E8472" s="9" t="str">
        <f>IF(DADOS!C8472="","",DADOS!C8472)</f>
        <v/>
      </c>
      <c r="F8472" s="9" t="str">
        <f>IF(DADOS!E8472="","",DADOS!E8472)</f>
        <v/>
      </c>
      <c r="G8472" s="9" t="str">
        <f>IF(DADOS!F8472="","",DADOS!F8472)</f>
        <v/>
      </c>
      <c r="K8472" s="6" t="str">
        <f t="shared" si="665"/>
        <v/>
      </c>
      <c r="L8472" s="7" t="str">
        <f t="shared" si="666"/>
        <v/>
      </c>
      <c r="M8472" s="7" t="str">
        <f t="shared" si="663"/>
        <v/>
      </c>
      <c r="N8472" s="7" t="str">
        <f t="shared" si="667"/>
        <v/>
      </c>
      <c r="O8472" s="8"/>
      <c r="P8472" s="26"/>
      <c r="S8472" s="10" t="str">
        <f t="shared" si="664"/>
        <v/>
      </c>
    </row>
    <row r="8473" spans="5:19" x14ac:dyDescent="0.3">
      <c r="E8473" s="9" t="str">
        <f>IF(DADOS!C8473="","",DADOS!C8473)</f>
        <v/>
      </c>
      <c r="F8473" s="9" t="str">
        <f>IF(DADOS!E8473="","",DADOS!E8473)</f>
        <v/>
      </c>
      <c r="G8473" s="9" t="str">
        <f>IF(DADOS!F8473="","",DADOS!F8473)</f>
        <v/>
      </c>
      <c r="K8473" s="6" t="str">
        <f t="shared" si="665"/>
        <v/>
      </c>
      <c r="L8473" s="7" t="str">
        <f t="shared" si="666"/>
        <v/>
      </c>
      <c r="M8473" s="7" t="str">
        <f t="shared" si="663"/>
        <v/>
      </c>
      <c r="N8473" s="7" t="str">
        <f t="shared" si="667"/>
        <v/>
      </c>
      <c r="O8473" s="8"/>
      <c r="P8473" s="26"/>
      <c r="S8473" s="10" t="str">
        <f t="shared" si="664"/>
        <v/>
      </c>
    </row>
    <row r="8474" spans="5:19" x14ac:dyDescent="0.3">
      <c r="E8474" s="9" t="str">
        <f>IF(DADOS!C8474="","",DADOS!C8474)</f>
        <v/>
      </c>
      <c r="F8474" s="9" t="str">
        <f>IF(DADOS!E8474="","",DADOS!E8474)</f>
        <v/>
      </c>
      <c r="G8474" s="9" t="str">
        <f>IF(DADOS!F8474="","",DADOS!F8474)</f>
        <v/>
      </c>
      <c r="K8474" s="6" t="str">
        <f t="shared" si="665"/>
        <v/>
      </c>
      <c r="L8474" s="7" t="str">
        <f t="shared" si="666"/>
        <v/>
      </c>
      <c r="M8474" s="7" t="str">
        <f t="shared" si="663"/>
        <v/>
      </c>
      <c r="N8474" s="7" t="str">
        <f t="shared" si="667"/>
        <v/>
      </c>
      <c r="O8474" s="8"/>
      <c r="P8474" s="26"/>
      <c r="S8474" s="10" t="str">
        <f t="shared" si="664"/>
        <v/>
      </c>
    </row>
    <row r="8475" spans="5:19" x14ac:dyDescent="0.3">
      <c r="E8475" s="9" t="str">
        <f>IF(DADOS!C8475="","",DADOS!C8475)</f>
        <v/>
      </c>
      <c r="F8475" s="9" t="str">
        <f>IF(DADOS!E8475="","",DADOS!E8475)</f>
        <v/>
      </c>
      <c r="G8475" s="9" t="str">
        <f>IF(DADOS!F8475="","",DADOS!F8475)</f>
        <v/>
      </c>
      <c r="K8475" s="6" t="str">
        <f t="shared" si="665"/>
        <v/>
      </c>
      <c r="L8475" s="7" t="str">
        <f t="shared" si="666"/>
        <v/>
      </c>
      <c r="M8475" s="7" t="str">
        <f t="shared" si="663"/>
        <v/>
      </c>
      <c r="N8475" s="7" t="str">
        <f t="shared" si="667"/>
        <v/>
      </c>
      <c r="O8475" s="8"/>
      <c r="P8475" s="26"/>
      <c r="S8475" s="10" t="str">
        <f t="shared" si="664"/>
        <v/>
      </c>
    </row>
    <row r="8476" spans="5:19" x14ac:dyDescent="0.3">
      <c r="E8476" s="9" t="str">
        <f>IF(DADOS!C8476="","",DADOS!C8476)</f>
        <v/>
      </c>
      <c r="F8476" s="9" t="str">
        <f>IF(DADOS!E8476="","",DADOS!E8476)</f>
        <v/>
      </c>
      <c r="G8476" s="9" t="str">
        <f>IF(DADOS!F8476="","",DADOS!F8476)</f>
        <v/>
      </c>
      <c r="K8476" s="6" t="str">
        <f t="shared" si="665"/>
        <v/>
      </c>
      <c r="L8476" s="7" t="str">
        <f t="shared" si="666"/>
        <v/>
      </c>
      <c r="M8476" s="7" t="str">
        <f t="shared" si="663"/>
        <v/>
      </c>
      <c r="N8476" s="7" t="str">
        <f t="shared" si="667"/>
        <v/>
      </c>
      <c r="O8476" s="8"/>
      <c r="P8476" s="26"/>
      <c r="S8476" s="10" t="str">
        <f t="shared" si="664"/>
        <v/>
      </c>
    </row>
    <row r="8477" spans="5:19" x14ac:dyDescent="0.3">
      <c r="E8477" s="9" t="str">
        <f>IF(DADOS!C8477="","",DADOS!C8477)</f>
        <v/>
      </c>
      <c r="F8477" s="9" t="str">
        <f>IF(DADOS!E8477="","",DADOS!E8477)</f>
        <v/>
      </c>
      <c r="G8477" s="9" t="str">
        <f>IF(DADOS!F8477="","",DADOS!F8477)</f>
        <v/>
      </c>
      <c r="K8477" s="6" t="str">
        <f t="shared" si="665"/>
        <v/>
      </c>
      <c r="L8477" s="7" t="str">
        <f t="shared" si="666"/>
        <v/>
      </c>
      <c r="M8477" s="7" t="str">
        <f t="shared" si="663"/>
        <v/>
      </c>
      <c r="N8477" s="7" t="str">
        <f t="shared" si="667"/>
        <v/>
      </c>
      <c r="O8477" s="8"/>
      <c r="P8477" s="26"/>
      <c r="S8477" s="10" t="str">
        <f t="shared" si="664"/>
        <v/>
      </c>
    </row>
    <row r="8478" spans="5:19" x14ac:dyDescent="0.3">
      <c r="E8478" s="9" t="str">
        <f>IF(DADOS!C8478="","",DADOS!C8478)</f>
        <v/>
      </c>
      <c r="F8478" s="9" t="str">
        <f>IF(DADOS!E8478="","",DADOS!E8478)</f>
        <v/>
      </c>
      <c r="G8478" s="9" t="str">
        <f>IF(DADOS!F8478="","",DADOS!F8478)</f>
        <v/>
      </c>
      <c r="K8478" s="6" t="str">
        <f t="shared" si="665"/>
        <v/>
      </c>
      <c r="L8478" s="7" t="str">
        <f t="shared" si="666"/>
        <v/>
      </c>
      <c r="M8478" s="7" t="str">
        <f t="shared" si="663"/>
        <v/>
      </c>
      <c r="N8478" s="7" t="str">
        <f t="shared" si="667"/>
        <v/>
      </c>
      <c r="O8478" s="8"/>
      <c r="P8478" s="26"/>
      <c r="S8478" s="10" t="str">
        <f t="shared" si="664"/>
        <v/>
      </c>
    </row>
    <row r="8479" spans="5:19" x14ac:dyDescent="0.3">
      <c r="E8479" s="9" t="str">
        <f>IF(DADOS!C8479="","",DADOS!C8479)</f>
        <v/>
      </c>
      <c r="F8479" s="9" t="str">
        <f>IF(DADOS!E8479="","",DADOS!E8479)</f>
        <v/>
      </c>
      <c r="G8479" s="9" t="str">
        <f>IF(DADOS!F8479="","",DADOS!F8479)</f>
        <v/>
      </c>
      <c r="K8479" s="6" t="str">
        <f t="shared" si="665"/>
        <v/>
      </c>
      <c r="L8479" s="7" t="str">
        <f t="shared" si="666"/>
        <v/>
      </c>
      <c r="M8479" s="7" t="str">
        <f t="shared" si="663"/>
        <v/>
      </c>
      <c r="N8479" s="7" t="str">
        <f t="shared" si="667"/>
        <v/>
      </c>
      <c r="O8479" s="8"/>
      <c r="P8479" s="26"/>
      <c r="S8479" s="10" t="str">
        <f t="shared" si="664"/>
        <v/>
      </c>
    </row>
    <row r="8480" spans="5:19" x14ac:dyDescent="0.3">
      <c r="E8480" s="9" t="str">
        <f>IF(DADOS!C8480="","",DADOS!C8480)</f>
        <v/>
      </c>
      <c r="F8480" s="9" t="str">
        <f>IF(DADOS!E8480="","",DADOS!E8480)</f>
        <v/>
      </c>
      <c r="G8480" s="9" t="str">
        <f>IF(DADOS!F8480="","",DADOS!F8480)</f>
        <v/>
      </c>
      <c r="K8480" s="6" t="str">
        <f t="shared" si="665"/>
        <v/>
      </c>
      <c r="L8480" s="7" t="str">
        <f t="shared" si="666"/>
        <v/>
      </c>
      <c r="M8480" s="7" t="str">
        <f t="shared" si="663"/>
        <v/>
      </c>
      <c r="N8480" s="7" t="str">
        <f t="shared" si="667"/>
        <v/>
      </c>
      <c r="O8480" s="8"/>
      <c r="P8480" s="26"/>
      <c r="S8480" s="10" t="str">
        <f t="shared" si="664"/>
        <v/>
      </c>
    </row>
    <row r="8481" spans="5:19" x14ac:dyDescent="0.3">
      <c r="E8481" s="9" t="str">
        <f>IF(DADOS!C8481="","",DADOS!C8481)</f>
        <v/>
      </c>
      <c r="F8481" s="9" t="str">
        <f>IF(DADOS!E8481="","",DADOS!E8481)</f>
        <v/>
      </c>
      <c r="G8481" s="9" t="str">
        <f>IF(DADOS!F8481="","",DADOS!F8481)</f>
        <v/>
      </c>
      <c r="K8481" s="6" t="str">
        <f t="shared" si="665"/>
        <v/>
      </c>
      <c r="L8481" s="7" t="str">
        <f t="shared" si="666"/>
        <v/>
      </c>
      <c r="M8481" s="7" t="str">
        <f t="shared" si="663"/>
        <v/>
      </c>
      <c r="N8481" s="7" t="str">
        <f t="shared" si="667"/>
        <v/>
      </c>
      <c r="O8481" s="8"/>
      <c r="P8481" s="26"/>
      <c r="S8481" s="10" t="str">
        <f t="shared" si="664"/>
        <v/>
      </c>
    </row>
    <row r="8482" spans="5:19" x14ac:dyDescent="0.3">
      <c r="E8482" s="9" t="str">
        <f>IF(DADOS!C8482="","",DADOS!C8482)</f>
        <v/>
      </c>
      <c r="F8482" s="9" t="str">
        <f>IF(DADOS!E8482="","",DADOS!E8482)</f>
        <v/>
      </c>
      <c r="G8482" s="9" t="str">
        <f>IF(DADOS!F8482="","",DADOS!F8482)</f>
        <v/>
      </c>
      <c r="K8482" s="6" t="str">
        <f t="shared" si="665"/>
        <v/>
      </c>
      <c r="L8482" s="7" t="str">
        <f t="shared" si="666"/>
        <v/>
      </c>
      <c r="M8482" s="7" t="str">
        <f t="shared" si="663"/>
        <v/>
      </c>
      <c r="N8482" s="7" t="str">
        <f t="shared" si="667"/>
        <v/>
      </c>
      <c r="O8482" s="8"/>
      <c r="P8482" s="26"/>
      <c r="S8482" s="10" t="str">
        <f t="shared" si="664"/>
        <v/>
      </c>
    </row>
    <row r="8483" spans="5:19" x14ac:dyDescent="0.3">
      <c r="E8483" s="9" t="str">
        <f>IF(DADOS!C8483="","",DADOS!C8483)</f>
        <v/>
      </c>
      <c r="F8483" s="9" t="str">
        <f>IF(DADOS!E8483="","",DADOS!E8483)</f>
        <v/>
      </c>
      <c r="G8483" s="9" t="str">
        <f>IF(DADOS!F8483="","",DADOS!F8483)</f>
        <v/>
      </c>
      <c r="K8483" s="6" t="str">
        <f t="shared" si="665"/>
        <v/>
      </c>
      <c r="L8483" s="7" t="str">
        <f t="shared" si="666"/>
        <v/>
      </c>
      <c r="M8483" s="7" t="str">
        <f t="shared" si="663"/>
        <v/>
      </c>
      <c r="N8483" s="7" t="str">
        <f t="shared" si="667"/>
        <v/>
      </c>
      <c r="O8483" s="8"/>
      <c r="P8483" s="26"/>
      <c r="S8483" s="10" t="str">
        <f t="shared" si="664"/>
        <v/>
      </c>
    </row>
    <row r="8484" spans="5:19" x14ac:dyDescent="0.3">
      <c r="E8484" s="9" t="str">
        <f>IF(DADOS!C8484="","",DADOS!C8484)</f>
        <v/>
      </c>
      <c r="F8484" s="9" t="str">
        <f>IF(DADOS!E8484="","",DADOS!E8484)</f>
        <v/>
      </c>
      <c r="G8484" s="9" t="str">
        <f>IF(DADOS!F8484="","",DADOS!F8484)</f>
        <v/>
      </c>
      <c r="K8484" s="6" t="str">
        <f t="shared" si="665"/>
        <v/>
      </c>
      <c r="L8484" s="7" t="str">
        <f t="shared" si="666"/>
        <v/>
      </c>
      <c r="M8484" s="7" t="str">
        <f t="shared" si="663"/>
        <v/>
      </c>
      <c r="N8484" s="7" t="str">
        <f t="shared" si="667"/>
        <v/>
      </c>
      <c r="O8484" s="8"/>
      <c r="P8484" s="26"/>
      <c r="S8484" s="10" t="str">
        <f t="shared" si="664"/>
        <v/>
      </c>
    </row>
    <row r="8485" spans="5:19" x14ac:dyDescent="0.3">
      <c r="E8485" s="9" t="str">
        <f>IF(DADOS!C8485="","",DADOS!C8485)</f>
        <v/>
      </c>
      <c r="F8485" s="9" t="str">
        <f>IF(DADOS!E8485="","",DADOS!E8485)</f>
        <v/>
      </c>
      <c r="G8485" s="9" t="str">
        <f>IF(DADOS!F8485="","",DADOS!F8485)</f>
        <v/>
      </c>
      <c r="K8485" s="6" t="str">
        <f t="shared" si="665"/>
        <v/>
      </c>
      <c r="L8485" s="7" t="str">
        <f t="shared" si="666"/>
        <v/>
      </c>
      <c r="M8485" s="7" t="str">
        <f t="shared" si="663"/>
        <v/>
      </c>
      <c r="N8485" s="7" t="str">
        <f t="shared" si="667"/>
        <v/>
      </c>
      <c r="O8485" s="8"/>
      <c r="P8485" s="26"/>
      <c r="S8485" s="10" t="str">
        <f t="shared" si="664"/>
        <v/>
      </c>
    </row>
    <row r="8486" spans="5:19" x14ac:dyDescent="0.3">
      <c r="E8486" s="9" t="str">
        <f>IF(DADOS!C8486="","",DADOS!C8486)</f>
        <v/>
      </c>
      <c r="F8486" s="9" t="str">
        <f>IF(DADOS!E8486="","",DADOS!E8486)</f>
        <v/>
      </c>
      <c r="G8486" s="9" t="str">
        <f>IF(DADOS!F8486="","",DADOS!F8486)</f>
        <v/>
      </c>
      <c r="K8486" s="6" t="str">
        <f t="shared" si="665"/>
        <v/>
      </c>
      <c r="L8486" s="7" t="str">
        <f t="shared" si="666"/>
        <v/>
      </c>
      <c r="M8486" s="7" t="str">
        <f t="shared" si="663"/>
        <v/>
      </c>
      <c r="N8486" s="7" t="str">
        <f t="shared" si="667"/>
        <v/>
      </c>
      <c r="O8486" s="8"/>
      <c r="P8486" s="26"/>
      <c r="S8486" s="10" t="str">
        <f t="shared" si="664"/>
        <v/>
      </c>
    </row>
    <row r="8487" spans="5:19" x14ac:dyDescent="0.3">
      <c r="E8487" s="9" t="str">
        <f>IF(DADOS!C8487="","",DADOS!C8487)</f>
        <v/>
      </c>
      <c r="F8487" s="9" t="str">
        <f>IF(DADOS!E8487="","",DADOS!E8487)</f>
        <v/>
      </c>
      <c r="G8487" s="9" t="str">
        <f>IF(DADOS!F8487="","",DADOS!F8487)</f>
        <v/>
      </c>
      <c r="K8487" s="6" t="str">
        <f t="shared" si="665"/>
        <v/>
      </c>
      <c r="L8487" s="7" t="str">
        <f t="shared" si="666"/>
        <v/>
      </c>
      <c r="M8487" s="7" t="str">
        <f t="shared" si="663"/>
        <v/>
      </c>
      <c r="N8487" s="7" t="str">
        <f t="shared" si="667"/>
        <v/>
      </c>
      <c r="O8487" s="8"/>
      <c r="P8487" s="26"/>
      <c r="S8487" s="10" t="str">
        <f t="shared" si="664"/>
        <v/>
      </c>
    </row>
    <row r="8488" spans="5:19" x14ac:dyDescent="0.3">
      <c r="E8488" s="9" t="str">
        <f>IF(DADOS!C8488="","",DADOS!C8488)</f>
        <v/>
      </c>
      <c r="F8488" s="9" t="str">
        <f>IF(DADOS!E8488="","",DADOS!E8488)</f>
        <v/>
      </c>
      <c r="G8488" s="9" t="str">
        <f>IF(DADOS!F8488="","",DADOS!F8488)</f>
        <v/>
      </c>
      <c r="K8488" s="6" t="str">
        <f t="shared" si="665"/>
        <v/>
      </c>
      <c r="L8488" s="7" t="str">
        <f t="shared" si="666"/>
        <v/>
      </c>
      <c r="M8488" s="7" t="str">
        <f t="shared" si="663"/>
        <v/>
      </c>
      <c r="N8488" s="7" t="str">
        <f t="shared" si="667"/>
        <v/>
      </c>
      <c r="O8488" s="8"/>
      <c r="P8488" s="26"/>
      <c r="S8488" s="10" t="str">
        <f t="shared" si="664"/>
        <v/>
      </c>
    </row>
    <row r="8489" spans="5:19" x14ac:dyDescent="0.3">
      <c r="E8489" s="9" t="str">
        <f>IF(DADOS!C8489="","",DADOS!C8489)</f>
        <v/>
      </c>
      <c r="F8489" s="9" t="str">
        <f>IF(DADOS!E8489="","",DADOS!E8489)</f>
        <v/>
      </c>
      <c r="G8489" s="9" t="str">
        <f>IF(DADOS!F8489="","",DADOS!F8489)</f>
        <v/>
      </c>
      <c r="K8489" s="6" t="str">
        <f t="shared" si="665"/>
        <v/>
      </c>
      <c r="L8489" s="7" t="str">
        <f t="shared" si="666"/>
        <v/>
      </c>
      <c r="M8489" s="7" t="str">
        <f t="shared" si="663"/>
        <v/>
      </c>
      <c r="N8489" s="7" t="str">
        <f t="shared" si="667"/>
        <v/>
      </c>
      <c r="O8489" s="8"/>
      <c r="P8489" s="26"/>
      <c r="S8489" s="10" t="str">
        <f t="shared" si="664"/>
        <v/>
      </c>
    </row>
    <row r="8490" spans="5:19" x14ac:dyDescent="0.3">
      <c r="E8490" s="9" t="str">
        <f>IF(DADOS!C8490="","",DADOS!C8490)</f>
        <v/>
      </c>
      <c r="F8490" s="9" t="str">
        <f>IF(DADOS!E8490="","",DADOS!E8490)</f>
        <v/>
      </c>
      <c r="G8490" s="9" t="str">
        <f>IF(DADOS!F8490="","",DADOS!F8490)</f>
        <v/>
      </c>
      <c r="K8490" s="6" t="str">
        <f t="shared" si="665"/>
        <v/>
      </c>
      <c r="L8490" s="7" t="str">
        <f t="shared" si="666"/>
        <v/>
      </c>
      <c r="M8490" s="7" t="str">
        <f t="shared" si="663"/>
        <v/>
      </c>
      <c r="N8490" s="7" t="str">
        <f t="shared" si="667"/>
        <v/>
      </c>
      <c r="O8490" s="8"/>
      <c r="P8490" s="26"/>
      <c r="S8490" s="10" t="str">
        <f t="shared" si="664"/>
        <v/>
      </c>
    </row>
    <row r="8491" spans="5:19" x14ac:dyDescent="0.3">
      <c r="E8491" s="9" t="str">
        <f>IF(DADOS!C8491="","",DADOS!C8491)</f>
        <v/>
      </c>
      <c r="F8491" s="9" t="str">
        <f>IF(DADOS!E8491="","",DADOS!E8491)</f>
        <v/>
      </c>
      <c r="G8491" s="9" t="str">
        <f>IF(DADOS!F8491="","",DADOS!F8491)</f>
        <v/>
      </c>
      <c r="K8491" s="6" t="str">
        <f t="shared" si="665"/>
        <v/>
      </c>
      <c r="L8491" s="7" t="str">
        <f t="shared" si="666"/>
        <v/>
      </c>
      <c r="M8491" s="7" t="str">
        <f t="shared" si="663"/>
        <v/>
      </c>
      <c r="N8491" s="7" t="str">
        <f t="shared" si="667"/>
        <v/>
      </c>
      <c r="O8491" s="8"/>
      <c r="P8491" s="26"/>
      <c r="S8491" s="10" t="str">
        <f t="shared" si="664"/>
        <v/>
      </c>
    </row>
    <row r="8492" spans="5:19" x14ac:dyDescent="0.3">
      <c r="E8492" s="9" t="str">
        <f>IF(DADOS!C8492="","",DADOS!C8492)</f>
        <v/>
      </c>
      <c r="F8492" s="9" t="str">
        <f>IF(DADOS!E8492="","",DADOS!E8492)</f>
        <v/>
      </c>
      <c r="G8492" s="9" t="str">
        <f>IF(DADOS!F8492="","",DADOS!F8492)</f>
        <v/>
      </c>
      <c r="K8492" s="6" t="str">
        <f t="shared" si="665"/>
        <v/>
      </c>
      <c r="L8492" s="7" t="str">
        <f t="shared" si="666"/>
        <v/>
      </c>
      <c r="M8492" s="7" t="str">
        <f t="shared" si="663"/>
        <v/>
      </c>
      <c r="N8492" s="7" t="str">
        <f t="shared" si="667"/>
        <v/>
      </c>
      <c r="O8492" s="8"/>
      <c r="P8492" s="26"/>
      <c r="S8492" s="10" t="str">
        <f t="shared" si="664"/>
        <v/>
      </c>
    </row>
    <row r="8493" spans="5:19" x14ac:dyDescent="0.3">
      <c r="E8493" s="9" t="str">
        <f>IF(DADOS!C8493="","",DADOS!C8493)</f>
        <v/>
      </c>
      <c r="F8493" s="9" t="str">
        <f>IF(DADOS!E8493="","",DADOS!E8493)</f>
        <v/>
      </c>
      <c r="G8493" s="9" t="str">
        <f>IF(DADOS!F8493="","",DADOS!F8493)</f>
        <v/>
      </c>
      <c r="K8493" s="6" t="str">
        <f t="shared" si="665"/>
        <v/>
      </c>
      <c r="L8493" s="7" t="str">
        <f t="shared" si="666"/>
        <v/>
      </c>
      <c r="M8493" s="7" t="str">
        <f t="shared" si="663"/>
        <v/>
      </c>
      <c r="N8493" s="7" t="str">
        <f t="shared" si="667"/>
        <v/>
      </c>
      <c r="O8493" s="8"/>
      <c r="P8493" s="26"/>
      <c r="S8493" s="10" t="str">
        <f t="shared" si="664"/>
        <v/>
      </c>
    </row>
    <row r="8494" spans="5:19" x14ac:dyDescent="0.3">
      <c r="E8494" s="9" t="str">
        <f>IF(DADOS!C8494="","",DADOS!C8494)</f>
        <v/>
      </c>
      <c r="F8494" s="9" t="str">
        <f>IF(DADOS!E8494="","",DADOS!E8494)</f>
        <v/>
      </c>
      <c r="G8494" s="9" t="str">
        <f>IF(DADOS!F8494="","",DADOS!F8494)</f>
        <v/>
      </c>
      <c r="K8494" s="6" t="str">
        <f t="shared" si="665"/>
        <v/>
      </c>
      <c r="L8494" s="7" t="str">
        <f t="shared" si="666"/>
        <v/>
      </c>
      <c r="M8494" s="7" t="str">
        <f t="shared" si="663"/>
        <v/>
      </c>
      <c r="N8494" s="7" t="str">
        <f t="shared" si="667"/>
        <v/>
      </c>
      <c r="O8494" s="8"/>
      <c r="P8494" s="26"/>
      <c r="S8494" s="10" t="str">
        <f t="shared" si="664"/>
        <v/>
      </c>
    </row>
    <row r="8495" spans="5:19" x14ac:dyDescent="0.3">
      <c r="E8495" s="9" t="str">
        <f>IF(DADOS!C8495="","",DADOS!C8495)</f>
        <v/>
      </c>
      <c r="F8495" s="9" t="str">
        <f>IF(DADOS!E8495="","",DADOS!E8495)</f>
        <v/>
      </c>
      <c r="G8495" s="9" t="str">
        <f>IF(DADOS!F8495="","",DADOS!F8495)</f>
        <v/>
      </c>
      <c r="K8495" s="6" t="str">
        <f t="shared" si="665"/>
        <v/>
      </c>
      <c r="L8495" s="7" t="str">
        <f t="shared" si="666"/>
        <v/>
      </c>
      <c r="M8495" s="7" t="str">
        <f t="shared" si="663"/>
        <v/>
      </c>
      <c r="N8495" s="7" t="str">
        <f t="shared" si="667"/>
        <v/>
      </c>
      <c r="O8495" s="8"/>
      <c r="P8495" s="26"/>
      <c r="S8495" s="10" t="str">
        <f t="shared" si="664"/>
        <v/>
      </c>
    </row>
    <row r="8496" spans="5:19" x14ac:dyDescent="0.3">
      <c r="E8496" s="9" t="str">
        <f>IF(DADOS!C8496="","",DADOS!C8496)</f>
        <v/>
      </c>
      <c r="F8496" s="9" t="str">
        <f>IF(DADOS!E8496="","",DADOS!E8496)</f>
        <v/>
      </c>
      <c r="G8496" s="9" t="str">
        <f>IF(DADOS!F8496="","",DADOS!F8496)</f>
        <v/>
      </c>
      <c r="K8496" s="6" t="str">
        <f t="shared" si="665"/>
        <v/>
      </c>
      <c r="L8496" s="7" t="str">
        <f t="shared" si="666"/>
        <v/>
      </c>
      <c r="M8496" s="7" t="str">
        <f t="shared" si="663"/>
        <v/>
      </c>
      <c r="N8496" s="7" t="str">
        <f t="shared" si="667"/>
        <v/>
      </c>
      <c r="O8496" s="8"/>
      <c r="P8496" s="26"/>
      <c r="S8496" s="10" t="str">
        <f t="shared" si="664"/>
        <v/>
      </c>
    </row>
    <row r="8497" spans="5:19" x14ac:dyDescent="0.3">
      <c r="E8497" s="9" t="str">
        <f>IF(DADOS!C8497="","",DADOS!C8497)</f>
        <v/>
      </c>
      <c r="F8497" s="9" t="str">
        <f>IF(DADOS!E8497="","",DADOS!E8497)</f>
        <v/>
      </c>
      <c r="G8497" s="9" t="str">
        <f>IF(DADOS!F8497="","",DADOS!F8497)</f>
        <v/>
      </c>
      <c r="K8497" s="6" t="str">
        <f t="shared" si="665"/>
        <v/>
      </c>
      <c r="L8497" s="7" t="str">
        <f t="shared" si="666"/>
        <v/>
      </c>
      <c r="M8497" s="7" t="str">
        <f t="shared" si="663"/>
        <v/>
      </c>
      <c r="N8497" s="7" t="str">
        <f t="shared" si="667"/>
        <v/>
      </c>
      <c r="O8497" s="8"/>
      <c r="P8497" s="26"/>
      <c r="S8497" s="10" t="str">
        <f t="shared" si="664"/>
        <v/>
      </c>
    </row>
    <row r="8498" spans="5:19" x14ac:dyDescent="0.3">
      <c r="E8498" s="9" t="str">
        <f>IF(DADOS!C8498="","",DADOS!C8498)</f>
        <v/>
      </c>
      <c r="F8498" s="9" t="str">
        <f>IF(DADOS!E8498="","",DADOS!E8498)</f>
        <v/>
      </c>
      <c r="G8498" s="9" t="str">
        <f>IF(DADOS!F8498="","",DADOS!F8498)</f>
        <v/>
      </c>
      <c r="K8498" s="6" t="str">
        <f t="shared" si="665"/>
        <v/>
      </c>
      <c r="L8498" s="7" t="str">
        <f t="shared" si="666"/>
        <v/>
      </c>
      <c r="M8498" s="7" t="str">
        <f t="shared" si="663"/>
        <v/>
      </c>
      <c r="N8498" s="7" t="str">
        <f t="shared" si="667"/>
        <v/>
      </c>
      <c r="O8498" s="8"/>
      <c r="P8498" s="26"/>
      <c r="S8498" s="10" t="str">
        <f t="shared" si="664"/>
        <v/>
      </c>
    </row>
    <row r="8499" spans="5:19" x14ac:dyDescent="0.3">
      <c r="E8499" s="9" t="str">
        <f>IF(DADOS!C8499="","",DADOS!C8499)</f>
        <v/>
      </c>
      <c r="F8499" s="9" t="str">
        <f>IF(DADOS!E8499="","",DADOS!E8499)</f>
        <v/>
      </c>
      <c r="G8499" s="9" t="str">
        <f>IF(DADOS!F8499="","",DADOS!F8499)</f>
        <v/>
      </c>
      <c r="K8499" s="6" t="str">
        <f t="shared" si="665"/>
        <v/>
      </c>
      <c r="L8499" s="7" t="str">
        <f t="shared" si="666"/>
        <v/>
      </c>
      <c r="M8499" s="7" t="str">
        <f t="shared" si="663"/>
        <v/>
      </c>
      <c r="N8499" s="7" t="str">
        <f t="shared" si="667"/>
        <v/>
      </c>
      <c r="O8499" s="8"/>
      <c r="P8499" s="26"/>
      <c r="S8499" s="10" t="str">
        <f t="shared" si="664"/>
        <v/>
      </c>
    </row>
    <row r="8500" spans="5:19" x14ac:dyDescent="0.3">
      <c r="E8500" s="9" t="str">
        <f>IF(DADOS!C8500="","",DADOS!C8500)</f>
        <v/>
      </c>
      <c r="F8500" s="9" t="str">
        <f>IF(DADOS!E8500="","",DADOS!E8500)</f>
        <v/>
      </c>
      <c r="G8500" s="9" t="str">
        <f>IF(DADOS!F8500="","",DADOS!F8500)</f>
        <v/>
      </c>
      <c r="K8500" s="6" t="str">
        <f t="shared" si="665"/>
        <v/>
      </c>
      <c r="L8500" s="7" t="str">
        <f t="shared" si="666"/>
        <v/>
      </c>
      <c r="M8500" s="7" t="str">
        <f t="shared" si="663"/>
        <v/>
      </c>
      <c r="N8500" s="7" t="str">
        <f t="shared" si="667"/>
        <v/>
      </c>
      <c r="O8500" s="8"/>
      <c r="P8500" s="26"/>
      <c r="S8500" s="10" t="str">
        <f t="shared" si="664"/>
        <v/>
      </c>
    </row>
    <row r="8501" spans="5:19" x14ac:dyDescent="0.3">
      <c r="E8501" s="9" t="str">
        <f>IF(DADOS!C8501="","",DADOS!C8501)</f>
        <v/>
      </c>
      <c r="F8501" s="9" t="str">
        <f>IF(DADOS!E8501="","",DADOS!E8501)</f>
        <v/>
      </c>
      <c r="G8501" s="9" t="str">
        <f>IF(DADOS!F8501="","",DADOS!F8501)</f>
        <v/>
      </c>
      <c r="K8501" s="6" t="str">
        <f t="shared" si="665"/>
        <v/>
      </c>
      <c r="L8501" s="7" t="str">
        <f t="shared" si="666"/>
        <v/>
      </c>
      <c r="M8501" s="7" t="str">
        <f t="shared" si="663"/>
        <v/>
      </c>
      <c r="N8501" s="7" t="str">
        <f t="shared" si="667"/>
        <v/>
      </c>
      <c r="O8501" s="8"/>
      <c r="P8501" s="26"/>
      <c r="S8501" s="10" t="str">
        <f t="shared" si="664"/>
        <v/>
      </c>
    </row>
    <row r="8502" spans="5:19" x14ac:dyDescent="0.3">
      <c r="E8502" s="9" t="str">
        <f>IF(DADOS!C8502="","",DADOS!C8502)</f>
        <v/>
      </c>
      <c r="F8502" s="9" t="str">
        <f>IF(DADOS!E8502="","",DADOS!E8502)</f>
        <v/>
      </c>
      <c r="G8502" s="9" t="str">
        <f>IF(DADOS!F8502="","",DADOS!F8502)</f>
        <v/>
      </c>
      <c r="K8502" s="6" t="str">
        <f t="shared" si="665"/>
        <v/>
      </c>
      <c r="L8502" s="7" t="str">
        <f t="shared" si="666"/>
        <v/>
      </c>
      <c r="M8502" s="7" t="str">
        <f t="shared" si="663"/>
        <v/>
      </c>
      <c r="N8502" s="7" t="str">
        <f t="shared" si="667"/>
        <v/>
      </c>
      <c r="O8502" s="8"/>
      <c r="P8502" s="26"/>
      <c r="S8502" s="10" t="str">
        <f t="shared" si="664"/>
        <v/>
      </c>
    </row>
    <row r="8503" spans="5:19" x14ac:dyDescent="0.3">
      <c r="E8503" s="9" t="str">
        <f>IF(DADOS!C8503="","",DADOS!C8503)</f>
        <v/>
      </c>
      <c r="F8503" s="9" t="str">
        <f>IF(DADOS!E8503="","",DADOS!E8503)</f>
        <v/>
      </c>
      <c r="G8503" s="9" t="str">
        <f>IF(DADOS!F8503="","",DADOS!F8503)</f>
        <v/>
      </c>
      <c r="K8503" s="6" t="str">
        <f t="shared" si="665"/>
        <v/>
      </c>
      <c r="L8503" s="7" t="str">
        <f t="shared" si="666"/>
        <v/>
      </c>
      <c r="M8503" s="7" t="str">
        <f t="shared" si="663"/>
        <v/>
      </c>
      <c r="N8503" s="7" t="str">
        <f t="shared" si="667"/>
        <v/>
      </c>
      <c r="O8503" s="8"/>
      <c r="P8503" s="26"/>
      <c r="S8503" s="10" t="str">
        <f t="shared" si="664"/>
        <v/>
      </c>
    </row>
    <row r="8504" spans="5:19" x14ac:dyDescent="0.3">
      <c r="E8504" s="9" t="str">
        <f>IF(DADOS!C8504="","",DADOS!C8504)</f>
        <v/>
      </c>
      <c r="F8504" s="9" t="str">
        <f>IF(DADOS!E8504="","",DADOS!E8504)</f>
        <v/>
      </c>
      <c r="G8504" s="9" t="str">
        <f>IF(DADOS!F8504="","",DADOS!F8504)</f>
        <v/>
      </c>
      <c r="K8504" s="6" t="str">
        <f t="shared" si="665"/>
        <v/>
      </c>
      <c r="L8504" s="7" t="str">
        <f t="shared" si="666"/>
        <v/>
      </c>
      <c r="M8504" s="7" t="str">
        <f t="shared" si="663"/>
        <v/>
      </c>
      <c r="N8504" s="7" t="str">
        <f t="shared" si="667"/>
        <v/>
      </c>
      <c r="O8504" s="8"/>
      <c r="P8504" s="26"/>
      <c r="S8504" s="10" t="str">
        <f t="shared" si="664"/>
        <v/>
      </c>
    </row>
    <row r="8505" spans="5:19" x14ac:dyDescent="0.3">
      <c r="E8505" s="9" t="str">
        <f>IF(DADOS!C8505="","",DADOS!C8505)</f>
        <v/>
      </c>
      <c r="F8505" s="9" t="str">
        <f>IF(DADOS!E8505="","",DADOS!E8505)</f>
        <v/>
      </c>
      <c r="G8505" s="9" t="str">
        <f>IF(DADOS!F8505="","",DADOS!F8505)</f>
        <v/>
      </c>
      <c r="K8505" s="6" t="str">
        <f t="shared" si="665"/>
        <v/>
      </c>
      <c r="L8505" s="7" t="str">
        <f t="shared" si="666"/>
        <v/>
      </c>
      <c r="M8505" s="7" t="str">
        <f t="shared" si="663"/>
        <v/>
      </c>
      <c r="N8505" s="7" t="str">
        <f t="shared" si="667"/>
        <v/>
      </c>
      <c r="O8505" s="8"/>
      <c r="P8505" s="26"/>
      <c r="S8505" s="10" t="str">
        <f t="shared" si="664"/>
        <v/>
      </c>
    </row>
    <row r="8506" spans="5:19" x14ac:dyDescent="0.3">
      <c r="E8506" s="9" t="str">
        <f>IF(DADOS!C8506="","",DADOS!C8506)</f>
        <v/>
      </c>
      <c r="F8506" s="9" t="str">
        <f>IF(DADOS!E8506="","",DADOS!E8506)</f>
        <v/>
      </c>
      <c r="G8506" s="9" t="str">
        <f>IF(DADOS!F8506="","",DADOS!F8506)</f>
        <v/>
      </c>
      <c r="K8506" s="6" t="str">
        <f t="shared" si="665"/>
        <v/>
      </c>
      <c r="L8506" s="7" t="str">
        <f t="shared" si="666"/>
        <v/>
      </c>
      <c r="M8506" s="7" t="str">
        <f t="shared" si="663"/>
        <v/>
      </c>
      <c r="N8506" s="7" t="str">
        <f t="shared" si="667"/>
        <v/>
      </c>
      <c r="O8506" s="8"/>
      <c r="P8506" s="26"/>
      <c r="S8506" s="10" t="str">
        <f t="shared" si="664"/>
        <v/>
      </c>
    </row>
    <row r="8507" spans="5:19" x14ac:dyDescent="0.3">
      <c r="E8507" s="9" t="str">
        <f>IF(DADOS!C8507="","",DADOS!C8507)</f>
        <v/>
      </c>
      <c r="F8507" s="9" t="str">
        <f>IF(DADOS!E8507="","",DADOS!E8507)</f>
        <v/>
      </c>
      <c r="G8507" s="9" t="str">
        <f>IF(DADOS!F8507="","",DADOS!F8507)</f>
        <v/>
      </c>
      <c r="K8507" s="6" t="str">
        <f t="shared" si="665"/>
        <v/>
      </c>
      <c r="L8507" s="7" t="str">
        <f t="shared" si="666"/>
        <v/>
      </c>
      <c r="M8507" s="7" t="str">
        <f t="shared" si="663"/>
        <v/>
      </c>
      <c r="N8507" s="7" t="str">
        <f t="shared" si="667"/>
        <v/>
      </c>
      <c r="O8507" s="8"/>
      <c r="P8507" s="26"/>
      <c r="S8507" s="10" t="str">
        <f t="shared" si="664"/>
        <v/>
      </c>
    </row>
    <row r="8508" spans="5:19" x14ac:dyDescent="0.3">
      <c r="E8508" s="9" t="str">
        <f>IF(DADOS!C8508="","",DADOS!C8508)</f>
        <v/>
      </c>
      <c r="F8508" s="9" t="str">
        <f>IF(DADOS!E8508="","",DADOS!E8508)</f>
        <v/>
      </c>
      <c r="G8508" s="9" t="str">
        <f>IF(DADOS!F8508="","",DADOS!F8508)</f>
        <v/>
      </c>
      <c r="K8508" s="6" t="str">
        <f t="shared" si="665"/>
        <v/>
      </c>
      <c r="L8508" s="7" t="str">
        <f t="shared" si="666"/>
        <v/>
      </c>
      <c r="M8508" s="7" t="str">
        <f t="shared" si="663"/>
        <v/>
      </c>
      <c r="N8508" s="7" t="str">
        <f t="shared" si="667"/>
        <v/>
      </c>
      <c r="O8508" s="8"/>
      <c r="P8508" s="26"/>
      <c r="S8508" s="10" t="str">
        <f t="shared" si="664"/>
        <v/>
      </c>
    </row>
    <row r="8509" spans="5:19" x14ac:dyDescent="0.3">
      <c r="E8509" s="9" t="str">
        <f>IF(DADOS!C8509="","",DADOS!C8509)</f>
        <v/>
      </c>
      <c r="F8509" s="9" t="str">
        <f>IF(DADOS!E8509="","",DADOS!E8509)</f>
        <v/>
      </c>
      <c r="G8509" s="9" t="str">
        <f>IF(DADOS!F8509="","",DADOS!F8509)</f>
        <v/>
      </c>
      <c r="K8509" s="6" t="str">
        <f t="shared" si="665"/>
        <v/>
      </c>
      <c r="L8509" s="7" t="str">
        <f t="shared" si="666"/>
        <v/>
      </c>
      <c r="M8509" s="7" t="str">
        <f t="shared" si="663"/>
        <v/>
      </c>
      <c r="N8509" s="7" t="str">
        <f t="shared" si="667"/>
        <v/>
      </c>
      <c r="O8509" s="8"/>
      <c r="P8509" s="26"/>
      <c r="S8509" s="10" t="str">
        <f t="shared" si="664"/>
        <v/>
      </c>
    </row>
    <row r="8510" spans="5:19" x14ac:dyDescent="0.3">
      <c r="E8510" s="9" t="str">
        <f>IF(DADOS!C8510="","",DADOS!C8510)</f>
        <v/>
      </c>
      <c r="F8510" s="9" t="str">
        <f>IF(DADOS!E8510="","",DADOS!E8510)</f>
        <v/>
      </c>
      <c r="G8510" s="9" t="str">
        <f>IF(DADOS!F8510="","",DADOS!F8510)</f>
        <v/>
      </c>
      <c r="K8510" s="6" t="str">
        <f t="shared" si="665"/>
        <v/>
      </c>
      <c r="L8510" s="7" t="str">
        <f t="shared" si="666"/>
        <v/>
      </c>
      <c r="M8510" s="7" t="str">
        <f t="shared" si="663"/>
        <v/>
      </c>
      <c r="N8510" s="7" t="str">
        <f t="shared" si="667"/>
        <v/>
      </c>
      <c r="O8510" s="8"/>
      <c r="P8510" s="26"/>
      <c r="S8510" s="10" t="str">
        <f t="shared" si="664"/>
        <v/>
      </c>
    </row>
    <row r="8511" spans="5:19" x14ac:dyDescent="0.3">
      <c r="E8511" s="9" t="str">
        <f>IF(DADOS!C8511="","",DADOS!C8511)</f>
        <v/>
      </c>
      <c r="F8511" s="9" t="str">
        <f>IF(DADOS!E8511="","",DADOS!E8511)</f>
        <v/>
      </c>
      <c r="G8511" s="9" t="str">
        <f>IF(DADOS!F8511="","",DADOS!F8511)</f>
        <v/>
      </c>
      <c r="K8511" s="6" t="str">
        <f t="shared" si="665"/>
        <v/>
      </c>
      <c r="L8511" s="7" t="str">
        <f t="shared" si="666"/>
        <v/>
      </c>
      <c r="M8511" s="7" t="str">
        <f t="shared" si="663"/>
        <v/>
      </c>
      <c r="N8511" s="7" t="str">
        <f t="shared" si="667"/>
        <v/>
      </c>
      <c r="O8511" s="8"/>
      <c r="P8511" s="26"/>
      <c r="S8511" s="10" t="str">
        <f t="shared" si="664"/>
        <v/>
      </c>
    </row>
    <row r="8512" spans="5:19" x14ac:dyDescent="0.3">
      <c r="E8512" s="9" t="str">
        <f>IF(DADOS!C8512="","",DADOS!C8512)</f>
        <v/>
      </c>
      <c r="F8512" s="9" t="str">
        <f>IF(DADOS!E8512="","",DADOS!E8512)</f>
        <v/>
      </c>
      <c r="G8512" s="9" t="str">
        <f>IF(DADOS!F8512="","",DADOS!F8512)</f>
        <v/>
      </c>
      <c r="K8512" s="6" t="str">
        <f t="shared" si="665"/>
        <v/>
      </c>
      <c r="L8512" s="7" t="str">
        <f t="shared" si="666"/>
        <v/>
      </c>
      <c r="M8512" s="7" t="str">
        <f t="shared" si="663"/>
        <v/>
      </c>
      <c r="N8512" s="7" t="str">
        <f t="shared" si="667"/>
        <v/>
      </c>
      <c r="O8512" s="8"/>
      <c r="P8512" s="26"/>
      <c r="S8512" s="10" t="str">
        <f t="shared" si="664"/>
        <v/>
      </c>
    </row>
    <row r="8513" spans="5:19" x14ac:dyDescent="0.3">
      <c r="E8513" s="9" t="str">
        <f>IF(DADOS!C8513="","",DADOS!C8513)</f>
        <v/>
      </c>
      <c r="F8513" s="9" t="str">
        <f>IF(DADOS!E8513="","",DADOS!E8513)</f>
        <v/>
      </c>
      <c r="G8513" s="9" t="str">
        <f>IF(DADOS!F8513="","",DADOS!F8513)</f>
        <v/>
      </c>
      <c r="K8513" s="6" t="str">
        <f t="shared" si="665"/>
        <v/>
      </c>
      <c r="L8513" s="7" t="str">
        <f t="shared" si="666"/>
        <v/>
      </c>
      <c r="M8513" s="7" t="str">
        <f t="shared" si="663"/>
        <v/>
      </c>
      <c r="N8513" s="7" t="str">
        <f t="shared" si="667"/>
        <v/>
      </c>
      <c r="O8513" s="8"/>
      <c r="P8513" s="26"/>
      <c r="S8513" s="10" t="str">
        <f t="shared" si="664"/>
        <v/>
      </c>
    </row>
    <row r="8514" spans="5:19" x14ac:dyDescent="0.3">
      <c r="E8514" s="9" t="str">
        <f>IF(DADOS!C8514="","",DADOS!C8514)</f>
        <v/>
      </c>
      <c r="F8514" s="9" t="str">
        <f>IF(DADOS!E8514="","",DADOS!E8514)</f>
        <v/>
      </c>
      <c r="G8514" s="9" t="str">
        <f>IF(DADOS!F8514="","",DADOS!F8514)</f>
        <v/>
      </c>
      <c r="K8514" s="6" t="str">
        <f t="shared" si="665"/>
        <v/>
      </c>
      <c r="L8514" s="7" t="str">
        <f t="shared" si="666"/>
        <v/>
      </c>
      <c r="M8514" s="7" t="str">
        <f t="shared" si="663"/>
        <v/>
      </c>
      <c r="N8514" s="7" t="str">
        <f t="shared" si="667"/>
        <v/>
      </c>
      <c r="O8514" s="8"/>
      <c r="P8514" s="26"/>
      <c r="S8514" s="10" t="str">
        <f t="shared" si="664"/>
        <v/>
      </c>
    </row>
    <row r="8515" spans="5:19" x14ac:dyDescent="0.3">
      <c r="E8515" s="9" t="str">
        <f>IF(DADOS!C8515="","",DADOS!C8515)</f>
        <v/>
      </c>
      <c r="F8515" s="9" t="str">
        <f>IF(DADOS!E8515="","",DADOS!E8515)</f>
        <v/>
      </c>
      <c r="G8515" s="9" t="str">
        <f>IF(DADOS!F8515="","",DADOS!F8515)</f>
        <v/>
      </c>
      <c r="K8515" s="6" t="str">
        <f t="shared" si="665"/>
        <v/>
      </c>
      <c r="L8515" s="7" t="str">
        <f t="shared" si="666"/>
        <v/>
      </c>
      <c r="M8515" s="7" t="str">
        <f t="shared" ref="M8515:M8578" si="668">IF(L8515="","",L8515*G8515)</f>
        <v/>
      </c>
      <c r="N8515" s="7" t="str">
        <f t="shared" si="667"/>
        <v/>
      </c>
      <c r="O8515" s="8"/>
      <c r="P8515" s="26"/>
      <c r="S8515" s="10" t="str">
        <f t="shared" ref="S8515:S8578" si="669">IF(R8515="","",SUMIFS($N$3:$N$10000,$E$3:$E$10000,R8515))</f>
        <v/>
      </c>
    </row>
    <row r="8516" spans="5:19" x14ac:dyDescent="0.3">
      <c r="E8516" s="9" t="str">
        <f>IF(DADOS!C8516="","",DADOS!C8516)</f>
        <v/>
      </c>
      <c r="F8516" s="9" t="str">
        <f>IF(DADOS!E8516="","",DADOS!E8516)</f>
        <v/>
      </c>
      <c r="G8516" s="9" t="str">
        <f>IF(DADOS!F8516="","",DADOS!F8516)</f>
        <v/>
      </c>
      <c r="K8516" s="6" t="str">
        <f t="shared" ref="K8516:K8579" si="670">IF(F8516="","",F8516/PI())</f>
        <v/>
      </c>
      <c r="L8516" s="7" t="str">
        <f t="shared" ref="L8516:L8579" si="671">IF(K8516="","",(PI()*K8516^2)/40000)</f>
        <v/>
      </c>
      <c r="M8516" s="7" t="str">
        <f t="shared" si="668"/>
        <v/>
      </c>
      <c r="N8516" s="7" t="str">
        <f t="shared" ref="N8516:N8579" si="672">IF(M8516="","",M8516*N$1)</f>
        <v/>
      </c>
      <c r="O8516" s="8"/>
      <c r="P8516" s="26"/>
      <c r="S8516" s="10" t="str">
        <f t="shared" si="669"/>
        <v/>
      </c>
    </row>
    <row r="8517" spans="5:19" x14ac:dyDescent="0.3">
      <c r="E8517" s="9" t="str">
        <f>IF(DADOS!C8517="","",DADOS!C8517)</f>
        <v/>
      </c>
      <c r="F8517" s="9" t="str">
        <f>IF(DADOS!E8517="","",DADOS!E8517)</f>
        <v/>
      </c>
      <c r="G8517" s="9" t="str">
        <f>IF(DADOS!F8517="","",DADOS!F8517)</f>
        <v/>
      </c>
      <c r="K8517" s="6" t="str">
        <f t="shared" si="670"/>
        <v/>
      </c>
      <c r="L8517" s="7" t="str">
        <f t="shared" si="671"/>
        <v/>
      </c>
      <c r="M8517" s="7" t="str">
        <f t="shared" si="668"/>
        <v/>
      </c>
      <c r="N8517" s="7" t="str">
        <f t="shared" si="672"/>
        <v/>
      </c>
      <c r="O8517" s="8"/>
      <c r="P8517" s="26"/>
      <c r="S8517" s="10" t="str">
        <f t="shared" si="669"/>
        <v/>
      </c>
    </row>
    <row r="8518" spans="5:19" x14ac:dyDescent="0.3">
      <c r="E8518" s="9" t="str">
        <f>IF(DADOS!C8518="","",DADOS!C8518)</f>
        <v/>
      </c>
      <c r="F8518" s="9" t="str">
        <f>IF(DADOS!E8518="","",DADOS!E8518)</f>
        <v/>
      </c>
      <c r="G8518" s="9" t="str">
        <f>IF(DADOS!F8518="","",DADOS!F8518)</f>
        <v/>
      </c>
      <c r="K8518" s="6" t="str">
        <f t="shared" si="670"/>
        <v/>
      </c>
      <c r="L8518" s="7" t="str">
        <f t="shared" si="671"/>
        <v/>
      </c>
      <c r="M8518" s="7" t="str">
        <f t="shared" si="668"/>
        <v/>
      </c>
      <c r="N8518" s="7" t="str">
        <f t="shared" si="672"/>
        <v/>
      </c>
      <c r="O8518" s="8"/>
      <c r="P8518" s="26"/>
      <c r="S8518" s="10" t="str">
        <f t="shared" si="669"/>
        <v/>
      </c>
    </row>
    <row r="8519" spans="5:19" x14ac:dyDescent="0.3">
      <c r="E8519" s="9" t="str">
        <f>IF(DADOS!C8519="","",DADOS!C8519)</f>
        <v/>
      </c>
      <c r="F8519" s="9" t="str">
        <f>IF(DADOS!E8519="","",DADOS!E8519)</f>
        <v/>
      </c>
      <c r="G8519" s="9" t="str">
        <f>IF(DADOS!F8519="","",DADOS!F8519)</f>
        <v/>
      </c>
      <c r="K8519" s="6" t="str">
        <f t="shared" si="670"/>
        <v/>
      </c>
      <c r="L8519" s="7" t="str">
        <f t="shared" si="671"/>
        <v/>
      </c>
      <c r="M8519" s="7" t="str">
        <f t="shared" si="668"/>
        <v/>
      </c>
      <c r="N8519" s="7" t="str">
        <f t="shared" si="672"/>
        <v/>
      </c>
      <c r="O8519" s="8"/>
      <c r="P8519" s="26"/>
      <c r="S8519" s="10" t="str">
        <f t="shared" si="669"/>
        <v/>
      </c>
    </row>
    <row r="8520" spans="5:19" x14ac:dyDescent="0.3">
      <c r="E8520" s="9" t="str">
        <f>IF(DADOS!C8520="","",DADOS!C8520)</f>
        <v/>
      </c>
      <c r="F8520" s="9" t="str">
        <f>IF(DADOS!E8520="","",DADOS!E8520)</f>
        <v/>
      </c>
      <c r="G8520" s="9" t="str">
        <f>IF(DADOS!F8520="","",DADOS!F8520)</f>
        <v/>
      </c>
      <c r="K8520" s="6" t="str">
        <f t="shared" si="670"/>
        <v/>
      </c>
      <c r="L8520" s="7" t="str">
        <f t="shared" si="671"/>
        <v/>
      </c>
      <c r="M8520" s="7" t="str">
        <f t="shared" si="668"/>
        <v/>
      </c>
      <c r="N8520" s="7" t="str">
        <f t="shared" si="672"/>
        <v/>
      </c>
      <c r="O8520" s="8"/>
      <c r="P8520" s="26"/>
      <c r="S8520" s="10" t="str">
        <f t="shared" si="669"/>
        <v/>
      </c>
    </row>
    <row r="8521" spans="5:19" x14ac:dyDescent="0.3">
      <c r="E8521" s="9" t="str">
        <f>IF(DADOS!C8521="","",DADOS!C8521)</f>
        <v/>
      </c>
      <c r="F8521" s="9" t="str">
        <f>IF(DADOS!E8521="","",DADOS!E8521)</f>
        <v/>
      </c>
      <c r="G8521" s="9" t="str">
        <f>IF(DADOS!F8521="","",DADOS!F8521)</f>
        <v/>
      </c>
      <c r="K8521" s="6" t="str">
        <f t="shared" si="670"/>
        <v/>
      </c>
      <c r="L8521" s="7" t="str">
        <f t="shared" si="671"/>
        <v/>
      </c>
      <c r="M8521" s="7" t="str">
        <f t="shared" si="668"/>
        <v/>
      </c>
      <c r="N8521" s="7" t="str">
        <f t="shared" si="672"/>
        <v/>
      </c>
      <c r="O8521" s="8"/>
      <c r="P8521" s="26"/>
      <c r="S8521" s="10" t="str">
        <f t="shared" si="669"/>
        <v/>
      </c>
    </row>
    <row r="8522" spans="5:19" x14ac:dyDescent="0.3">
      <c r="E8522" s="9" t="str">
        <f>IF(DADOS!C8522="","",DADOS!C8522)</f>
        <v/>
      </c>
      <c r="F8522" s="9" t="str">
        <f>IF(DADOS!E8522="","",DADOS!E8522)</f>
        <v/>
      </c>
      <c r="G8522" s="9" t="str">
        <f>IF(DADOS!F8522="","",DADOS!F8522)</f>
        <v/>
      </c>
      <c r="K8522" s="6" t="str">
        <f t="shared" si="670"/>
        <v/>
      </c>
      <c r="L8522" s="7" t="str">
        <f t="shared" si="671"/>
        <v/>
      </c>
      <c r="M8522" s="7" t="str">
        <f t="shared" si="668"/>
        <v/>
      </c>
      <c r="N8522" s="7" t="str">
        <f t="shared" si="672"/>
        <v/>
      </c>
      <c r="O8522" s="8"/>
      <c r="P8522" s="26"/>
      <c r="S8522" s="10" t="str">
        <f t="shared" si="669"/>
        <v/>
      </c>
    </row>
    <row r="8523" spans="5:19" x14ac:dyDescent="0.3">
      <c r="E8523" s="9" t="str">
        <f>IF(DADOS!C8523="","",DADOS!C8523)</f>
        <v/>
      </c>
      <c r="F8523" s="9" t="str">
        <f>IF(DADOS!E8523="","",DADOS!E8523)</f>
        <v/>
      </c>
      <c r="G8523" s="9" t="str">
        <f>IF(DADOS!F8523="","",DADOS!F8523)</f>
        <v/>
      </c>
      <c r="K8523" s="6" t="str">
        <f t="shared" si="670"/>
        <v/>
      </c>
      <c r="L8523" s="7" t="str">
        <f t="shared" si="671"/>
        <v/>
      </c>
      <c r="M8523" s="7" t="str">
        <f t="shared" si="668"/>
        <v/>
      </c>
      <c r="N8523" s="7" t="str">
        <f t="shared" si="672"/>
        <v/>
      </c>
      <c r="O8523" s="8"/>
      <c r="P8523" s="26"/>
      <c r="S8523" s="10" t="str">
        <f t="shared" si="669"/>
        <v/>
      </c>
    </row>
    <row r="8524" spans="5:19" x14ac:dyDescent="0.3">
      <c r="E8524" s="9" t="str">
        <f>IF(DADOS!C8524="","",DADOS!C8524)</f>
        <v/>
      </c>
      <c r="F8524" s="9" t="str">
        <f>IF(DADOS!E8524="","",DADOS!E8524)</f>
        <v/>
      </c>
      <c r="G8524" s="9" t="str">
        <f>IF(DADOS!F8524="","",DADOS!F8524)</f>
        <v/>
      </c>
      <c r="K8524" s="6" t="str">
        <f t="shared" si="670"/>
        <v/>
      </c>
      <c r="L8524" s="7" t="str">
        <f t="shared" si="671"/>
        <v/>
      </c>
      <c r="M8524" s="7" t="str">
        <f t="shared" si="668"/>
        <v/>
      </c>
      <c r="N8524" s="7" t="str">
        <f t="shared" si="672"/>
        <v/>
      </c>
      <c r="O8524" s="8"/>
      <c r="P8524" s="26"/>
      <c r="S8524" s="10" t="str">
        <f t="shared" si="669"/>
        <v/>
      </c>
    </row>
    <row r="8525" spans="5:19" x14ac:dyDescent="0.3">
      <c r="E8525" s="9" t="str">
        <f>IF(DADOS!C8525="","",DADOS!C8525)</f>
        <v/>
      </c>
      <c r="F8525" s="9" t="str">
        <f>IF(DADOS!E8525="","",DADOS!E8525)</f>
        <v/>
      </c>
      <c r="G8525" s="9" t="str">
        <f>IF(DADOS!F8525="","",DADOS!F8525)</f>
        <v/>
      </c>
      <c r="K8525" s="6" t="str">
        <f t="shared" si="670"/>
        <v/>
      </c>
      <c r="L8525" s="7" t="str">
        <f t="shared" si="671"/>
        <v/>
      </c>
      <c r="M8525" s="7" t="str">
        <f t="shared" si="668"/>
        <v/>
      </c>
      <c r="N8525" s="7" t="str">
        <f t="shared" si="672"/>
        <v/>
      </c>
      <c r="O8525" s="8"/>
      <c r="P8525" s="26"/>
      <c r="S8525" s="10" t="str">
        <f t="shared" si="669"/>
        <v/>
      </c>
    </row>
    <row r="8526" spans="5:19" x14ac:dyDescent="0.3">
      <c r="E8526" s="9" t="str">
        <f>IF(DADOS!C8526="","",DADOS!C8526)</f>
        <v/>
      </c>
      <c r="F8526" s="9" t="str">
        <f>IF(DADOS!E8526="","",DADOS!E8526)</f>
        <v/>
      </c>
      <c r="G8526" s="9" t="str">
        <f>IF(DADOS!F8526="","",DADOS!F8526)</f>
        <v/>
      </c>
      <c r="K8526" s="6" t="str">
        <f t="shared" si="670"/>
        <v/>
      </c>
      <c r="L8526" s="7" t="str">
        <f t="shared" si="671"/>
        <v/>
      </c>
      <c r="M8526" s="7" t="str">
        <f t="shared" si="668"/>
        <v/>
      </c>
      <c r="N8526" s="7" t="str">
        <f t="shared" si="672"/>
        <v/>
      </c>
      <c r="O8526" s="8"/>
      <c r="P8526" s="26"/>
      <c r="S8526" s="10" t="str">
        <f t="shared" si="669"/>
        <v/>
      </c>
    </row>
    <row r="8527" spans="5:19" x14ac:dyDescent="0.3">
      <c r="E8527" s="9" t="str">
        <f>IF(DADOS!C8527="","",DADOS!C8527)</f>
        <v/>
      </c>
      <c r="F8527" s="9" t="str">
        <f>IF(DADOS!E8527="","",DADOS!E8527)</f>
        <v/>
      </c>
      <c r="G8527" s="9" t="str">
        <f>IF(DADOS!F8527="","",DADOS!F8527)</f>
        <v/>
      </c>
      <c r="K8527" s="6" t="str">
        <f t="shared" si="670"/>
        <v/>
      </c>
      <c r="L8527" s="7" t="str">
        <f t="shared" si="671"/>
        <v/>
      </c>
      <c r="M8527" s="7" t="str">
        <f t="shared" si="668"/>
        <v/>
      </c>
      <c r="N8527" s="7" t="str">
        <f t="shared" si="672"/>
        <v/>
      </c>
      <c r="O8527" s="8"/>
      <c r="P8527" s="26"/>
      <c r="S8527" s="10" t="str">
        <f t="shared" si="669"/>
        <v/>
      </c>
    </row>
    <row r="8528" spans="5:19" x14ac:dyDescent="0.3">
      <c r="E8528" s="9" t="str">
        <f>IF(DADOS!C8528="","",DADOS!C8528)</f>
        <v/>
      </c>
      <c r="F8528" s="9" t="str">
        <f>IF(DADOS!E8528="","",DADOS!E8528)</f>
        <v/>
      </c>
      <c r="G8528" s="9" t="str">
        <f>IF(DADOS!F8528="","",DADOS!F8528)</f>
        <v/>
      </c>
      <c r="K8528" s="6" t="str">
        <f t="shared" si="670"/>
        <v/>
      </c>
      <c r="L8528" s="7" t="str">
        <f t="shared" si="671"/>
        <v/>
      </c>
      <c r="M8528" s="7" t="str">
        <f t="shared" si="668"/>
        <v/>
      </c>
      <c r="N8528" s="7" t="str">
        <f t="shared" si="672"/>
        <v/>
      </c>
      <c r="O8528" s="8"/>
      <c r="P8528" s="26"/>
      <c r="S8528" s="10" t="str">
        <f t="shared" si="669"/>
        <v/>
      </c>
    </row>
    <row r="8529" spans="5:19" x14ac:dyDescent="0.3">
      <c r="E8529" s="9" t="str">
        <f>IF(DADOS!C8529="","",DADOS!C8529)</f>
        <v/>
      </c>
      <c r="F8529" s="9" t="str">
        <f>IF(DADOS!E8529="","",DADOS!E8529)</f>
        <v/>
      </c>
      <c r="G8529" s="9" t="str">
        <f>IF(DADOS!F8529="","",DADOS!F8529)</f>
        <v/>
      </c>
      <c r="K8529" s="6" t="str">
        <f t="shared" si="670"/>
        <v/>
      </c>
      <c r="L8529" s="7" t="str">
        <f t="shared" si="671"/>
        <v/>
      </c>
      <c r="M8529" s="7" t="str">
        <f t="shared" si="668"/>
        <v/>
      </c>
      <c r="N8529" s="7" t="str">
        <f t="shared" si="672"/>
        <v/>
      </c>
      <c r="O8529" s="8"/>
      <c r="P8529" s="26"/>
      <c r="S8529" s="10" t="str">
        <f t="shared" si="669"/>
        <v/>
      </c>
    </row>
    <row r="8530" spans="5:19" x14ac:dyDescent="0.3">
      <c r="E8530" s="9" t="str">
        <f>IF(DADOS!C8530="","",DADOS!C8530)</f>
        <v/>
      </c>
      <c r="F8530" s="9" t="str">
        <f>IF(DADOS!E8530="","",DADOS!E8530)</f>
        <v/>
      </c>
      <c r="G8530" s="9" t="str">
        <f>IF(DADOS!F8530="","",DADOS!F8530)</f>
        <v/>
      </c>
      <c r="K8530" s="6" t="str">
        <f t="shared" si="670"/>
        <v/>
      </c>
      <c r="L8530" s="7" t="str">
        <f t="shared" si="671"/>
        <v/>
      </c>
      <c r="M8530" s="7" t="str">
        <f t="shared" si="668"/>
        <v/>
      </c>
      <c r="N8530" s="7" t="str">
        <f t="shared" si="672"/>
        <v/>
      </c>
      <c r="O8530" s="8"/>
      <c r="P8530" s="26"/>
      <c r="S8530" s="10" t="str">
        <f t="shared" si="669"/>
        <v/>
      </c>
    </row>
    <row r="8531" spans="5:19" x14ac:dyDescent="0.3">
      <c r="E8531" s="9" t="str">
        <f>IF(DADOS!C8531="","",DADOS!C8531)</f>
        <v/>
      </c>
      <c r="F8531" s="9" t="str">
        <f>IF(DADOS!E8531="","",DADOS!E8531)</f>
        <v/>
      </c>
      <c r="G8531" s="9" t="str">
        <f>IF(DADOS!F8531="","",DADOS!F8531)</f>
        <v/>
      </c>
      <c r="K8531" s="6" t="str">
        <f t="shared" si="670"/>
        <v/>
      </c>
      <c r="L8531" s="7" t="str">
        <f t="shared" si="671"/>
        <v/>
      </c>
      <c r="M8531" s="7" t="str">
        <f t="shared" si="668"/>
        <v/>
      </c>
      <c r="N8531" s="7" t="str">
        <f t="shared" si="672"/>
        <v/>
      </c>
      <c r="O8531" s="8"/>
      <c r="P8531" s="26"/>
      <c r="S8531" s="10" t="str">
        <f t="shared" si="669"/>
        <v/>
      </c>
    </row>
    <row r="8532" spans="5:19" x14ac:dyDescent="0.3">
      <c r="E8532" s="9" t="str">
        <f>IF(DADOS!C8532="","",DADOS!C8532)</f>
        <v/>
      </c>
      <c r="F8532" s="9" t="str">
        <f>IF(DADOS!E8532="","",DADOS!E8532)</f>
        <v/>
      </c>
      <c r="G8532" s="9" t="str">
        <f>IF(DADOS!F8532="","",DADOS!F8532)</f>
        <v/>
      </c>
      <c r="K8532" s="6" t="str">
        <f t="shared" si="670"/>
        <v/>
      </c>
      <c r="L8532" s="7" t="str">
        <f t="shared" si="671"/>
        <v/>
      </c>
      <c r="M8532" s="7" t="str">
        <f t="shared" si="668"/>
        <v/>
      </c>
      <c r="N8532" s="7" t="str">
        <f t="shared" si="672"/>
        <v/>
      </c>
      <c r="O8532" s="8"/>
      <c r="P8532" s="26"/>
      <c r="S8532" s="10" t="str">
        <f t="shared" si="669"/>
        <v/>
      </c>
    </row>
    <row r="8533" spans="5:19" x14ac:dyDescent="0.3">
      <c r="E8533" s="9" t="str">
        <f>IF(DADOS!C8533="","",DADOS!C8533)</f>
        <v/>
      </c>
      <c r="F8533" s="9" t="str">
        <f>IF(DADOS!E8533="","",DADOS!E8533)</f>
        <v/>
      </c>
      <c r="G8533" s="9" t="str">
        <f>IF(DADOS!F8533="","",DADOS!F8533)</f>
        <v/>
      </c>
      <c r="K8533" s="6" t="str">
        <f t="shared" si="670"/>
        <v/>
      </c>
      <c r="L8533" s="7" t="str">
        <f t="shared" si="671"/>
        <v/>
      </c>
      <c r="M8533" s="7" t="str">
        <f t="shared" si="668"/>
        <v/>
      </c>
      <c r="N8533" s="7" t="str">
        <f t="shared" si="672"/>
        <v/>
      </c>
      <c r="O8533" s="8"/>
      <c r="P8533" s="26"/>
      <c r="S8533" s="10" t="str">
        <f t="shared" si="669"/>
        <v/>
      </c>
    </row>
    <row r="8534" spans="5:19" x14ac:dyDescent="0.3">
      <c r="E8534" s="9" t="str">
        <f>IF(DADOS!C8534="","",DADOS!C8534)</f>
        <v/>
      </c>
      <c r="F8534" s="9" t="str">
        <f>IF(DADOS!E8534="","",DADOS!E8534)</f>
        <v/>
      </c>
      <c r="G8534" s="9" t="str">
        <f>IF(DADOS!F8534="","",DADOS!F8534)</f>
        <v/>
      </c>
      <c r="K8534" s="6" t="str">
        <f t="shared" si="670"/>
        <v/>
      </c>
      <c r="L8534" s="7" t="str">
        <f t="shared" si="671"/>
        <v/>
      </c>
      <c r="M8534" s="7" t="str">
        <f t="shared" si="668"/>
        <v/>
      </c>
      <c r="N8534" s="7" t="str">
        <f t="shared" si="672"/>
        <v/>
      </c>
      <c r="O8534" s="8"/>
      <c r="P8534" s="26"/>
      <c r="S8534" s="10" t="str">
        <f t="shared" si="669"/>
        <v/>
      </c>
    </row>
    <row r="8535" spans="5:19" x14ac:dyDescent="0.3">
      <c r="E8535" s="9" t="str">
        <f>IF(DADOS!C8535="","",DADOS!C8535)</f>
        <v/>
      </c>
      <c r="F8535" s="9" t="str">
        <f>IF(DADOS!E8535="","",DADOS!E8535)</f>
        <v/>
      </c>
      <c r="G8535" s="9" t="str">
        <f>IF(DADOS!F8535="","",DADOS!F8535)</f>
        <v/>
      </c>
      <c r="K8535" s="6" t="str">
        <f t="shared" si="670"/>
        <v/>
      </c>
      <c r="L8535" s="7" t="str">
        <f t="shared" si="671"/>
        <v/>
      </c>
      <c r="M8535" s="7" t="str">
        <f t="shared" si="668"/>
        <v/>
      </c>
      <c r="N8535" s="7" t="str">
        <f t="shared" si="672"/>
        <v/>
      </c>
      <c r="O8535" s="8"/>
      <c r="P8535" s="26"/>
      <c r="S8535" s="10" t="str">
        <f t="shared" si="669"/>
        <v/>
      </c>
    </row>
    <row r="8536" spans="5:19" x14ac:dyDescent="0.3">
      <c r="E8536" s="9" t="str">
        <f>IF(DADOS!C8536="","",DADOS!C8536)</f>
        <v/>
      </c>
      <c r="F8536" s="9" t="str">
        <f>IF(DADOS!E8536="","",DADOS!E8536)</f>
        <v/>
      </c>
      <c r="G8536" s="9" t="str">
        <f>IF(DADOS!F8536="","",DADOS!F8536)</f>
        <v/>
      </c>
      <c r="K8536" s="6" t="str">
        <f t="shared" si="670"/>
        <v/>
      </c>
      <c r="L8536" s="7" t="str">
        <f t="shared" si="671"/>
        <v/>
      </c>
      <c r="M8536" s="7" t="str">
        <f t="shared" si="668"/>
        <v/>
      </c>
      <c r="N8536" s="7" t="str">
        <f t="shared" si="672"/>
        <v/>
      </c>
      <c r="O8536" s="8"/>
      <c r="P8536" s="26"/>
      <c r="S8536" s="10" t="str">
        <f t="shared" si="669"/>
        <v/>
      </c>
    </row>
    <row r="8537" spans="5:19" x14ac:dyDescent="0.3">
      <c r="E8537" s="9" t="str">
        <f>IF(DADOS!C8537="","",DADOS!C8537)</f>
        <v/>
      </c>
      <c r="F8537" s="9" t="str">
        <f>IF(DADOS!E8537="","",DADOS!E8537)</f>
        <v/>
      </c>
      <c r="G8537" s="9" t="str">
        <f>IF(DADOS!F8537="","",DADOS!F8537)</f>
        <v/>
      </c>
      <c r="K8537" s="6" t="str">
        <f t="shared" si="670"/>
        <v/>
      </c>
      <c r="L8537" s="7" t="str">
        <f t="shared" si="671"/>
        <v/>
      </c>
      <c r="M8537" s="7" t="str">
        <f t="shared" si="668"/>
        <v/>
      </c>
      <c r="N8537" s="7" t="str">
        <f t="shared" si="672"/>
        <v/>
      </c>
      <c r="O8537" s="8"/>
      <c r="P8537" s="26"/>
      <c r="S8537" s="10" t="str">
        <f t="shared" si="669"/>
        <v/>
      </c>
    </row>
    <row r="8538" spans="5:19" x14ac:dyDescent="0.3">
      <c r="E8538" s="9" t="str">
        <f>IF(DADOS!C8538="","",DADOS!C8538)</f>
        <v/>
      </c>
      <c r="F8538" s="9" t="str">
        <f>IF(DADOS!E8538="","",DADOS!E8538)</f>
        <v/>
      </c>
      <c r="G8538" s="9" t="str">
        <f>IF(DADOS!F8538="","",DADOS!F8538)</f>
        <v/>
      </c>
      <c r="K8538" s="6" t="str">
        <f t="shared" si="670"/>
        <v/>
      </c>
      <c r="L8538" s="7" t="str">
        <f t="shared" si="671"/>
        <v/>
      </c>
      <c r="M8538" s="7" t="str">
        <f t="shared" si="668"/>
        <v/>
      </c>
      <c r="N8538" s="7" t="str">
        <f t="shared" si="672"/>
        <v/>
      </c>
      <c r="O8538" s="8"/>
      <c r="P8538" s="26"/>
      <c r="S8538" s="10" t="str">
        <f t="shared" si="669"/>
        <v/>
      </c>
    </row>
    <row r="8539" spans="5:19" x14ac:dyDescent="0.3">
      <c r="E8539" s="9" t="str">
        <f>IF(DADOS!C8539="","",DADOS!C8539)</f>
        <v/>
      </c>
      <c r="F8539" s="9" t="str">
        <f>IF(DADOS!E8539="","",DADOS!E8539)</f>
        <v/>
      </c>
      <c r="G8539" s="9" t="str">
        <f>IF(DADOS!F8539="","",DADOS!F8539)</f>
        <v/>
      </c>
      <c r="K8539" s="6" t="str">
        <f t="shared" si="670"/>
        <v/>
      </c>
      <c r="L8539" s="7" t="str">
        <f t="shared" si="671"/>
        <v/>
      </c>
      <c r="M8539" s="7" t="str">
        <f t="shared" si="668"/>
        <v/>
      </c>
      <c r="N8539" s="7" t="str">
        <f t="shared" si="672"/>
        <v/>
      </c>
      <c r="O8539" s="8"/>
      <c r="P8539" s="26"/>
      <c r="S8539" s="10" t="str">
        <f t="shared" si="669"/>
        <v/>
      </c>
    </row>
    <row r="8540" spans="5:19" x14ac:dyDescent="0.3">
      <c r="E8540" s="9" t="str">
        <f>IF(DADOS!C8540="","",DADOS!C8540)</f>
        <v/>
      </c>
      <c r="F8540" s="9" t="str">
        <f>IF(DADOS!E8540="","",DADOS!E8540)</f>
        <v/>
      </c>
      <c r="G8540" s="9" t="str">
        <f>IF(DADOS!F8540="","",DADOS!F8540)</f>
        <v/>
      </c>
      <c r="K8540" s="6" t="str">
        <f t="shared" si="670"/>
        <v/>
      </c>
      <c r="L8540" s="7" t="str">
        <f t="shared" si="671"/>
        <v/>
      </c>
      <c r="M8540" s="7" t="str">
        <f t="shared" si="668"/>
        <v/>
      </c>
      <c r="N8540" s="7" t="str">
        <f t="shared" si="672"/>
        <v/>
      </c>
      <c r="O8540" s="8"/>
      <c r="P8540" s="26"/>
      <c r="S8540" s="10" t="str">
        <f t="shared" si="669"/>
        <v/>
      </c>
    </row>
    <row r="8541" spans="5:19" x14ac:dyDescent="0.3">
      <c r="E8541" s="9" t="str">
        <f>IF(DADOS!C8541="","",DADOS!C8541)</f>
        <v/>
      </c>
      <c r="F8541" s="9" t="str">
        <f>IF(DADOS!E8541="","",DADOS!E8541)</f>
        <v/>
      </c>
      <c r="G8541" s="9" t="str">
        <f>IF(DADOS!F8541="","",DADOS!F8541)</f>
        <v/>
      </c>
      <c r="K8541" s="6" t="str">
        <f t="shared" si="670"/>
        <v/>
      </c>
      <c r="L8541" s="7" t="str">
        <f t="shared" si="671"/>
        <v/>
      </c>
      <c r="M8541" s="7" t="str">
        <f t="shared" si="668"/>
        <v/>
      </c>
      <c r="N8541" s="7" t="str">
        <f t="shared" si="672"/>
        <v/>
      </c>
      <c r="O8541" s="8"/>
      <c r="P8541" s="26"/>
      <c r="S8541" s="10" t="str">
        <f t="shared" si="669"/>
        <v/>
      </c>
    </row>
    <row r="8542" spans="5:19" x14ac:dyDescent="0.3">
      <c r="E8542" s="9" t="str">
        <f>IF(DADOS!C8542="","",DADOS!C8542)</f>
        <v/>
      </c>
      <c r="F8542" s="9" t="str">
        <f>IF(DADOS!E8542="","",DADOS!E8542)</f>
        <v/>
      </c>
      <c r="G8542" s="9" t="str">
        <f>IF(DADOS!F8542="","",DADOS!F8542)</f>
        <v/>
      </c>
      <c r="K8542" s="6" t="str">
        <f t="shared" si="670"/>
        <v/>
      </c>
      <c r="L8542" s="7" t="str">
        <f t="shared" si="671"/>
        <v/>
      </c>
      <c r="M8542" s="7" t="str">
        <f t="shared" si="668"/>
        <v/>
      </c>
      <c r="N8542" s="7" t="str">
        <f t="shared" si="672"/>
        <v/>
      </c>
      <c r="O8542" s="8"/>
      <c r="P8542" s="26"/>
      <c r="S8542" s="10" t="str">
        <f t="shared" si="669"/>
        <v/>
      </c>
    </row>
    <row r="8543" spans="5:19" x14ac:dyDescent="0.3">
      <c r="E8543" s="9" t="str">
        <f>IF(DADOS!C8543="","",DADOS!C8543)</f>
        <v/>
      </c>
      <c r="F8543" s="9" t="str">
        <f>IF(DADOS!E8543="","",DADOS!E8543)</f>
        <v/>
      </c>
      <c r="G8543" s="9" t="str">
        <f>IF(DADOS!F8543="","",DADOS!F8543)</f>
        <v/>
      </c>
      <c r="K8543" s="6" t="str">
        <f t="shared" si="670"/>
        <v/>
      </c>
      <c r="L8543" s="7" t="str">
        <f t="shared" si="671"/>
        <v/>
      </c>
      <c r="M8543" s="7" t="str">
        <f t="shared" si="668"/>
        <v/>
      </c>
      <c r="N8543" s="7" t="str">
        <f t="shared" si="672"/>
        <v/>
      </c>
      <c r="O8543" s="8"/>
      <c r="P8543" s="26"/>
      <c r="S8543" s="10" t="str">
        <f t="shared" si="669"/>
        <v/>
      </c>
    </row>
    <row r="8544" spans="5:19" x14ac:dyDescent="0.3">
      <c r="E8544" s="9" t="str">
        <f>IF(DADOS!C8544="","",DADOS!C8544)</f>
        <v/>
      </c>
      <c r="F8544" s="9" t="str">
        <f>IF(DADOS!E8544="","",DADOS!E8544)</f>
        <v/>
      </c>
      <c r="G8544" s="9" t="str">
        <f>IF(DADOS!F8544="","",DADOS!F8544)</f>
        <v/>
      </c>
      <c r="K8544" s="6" t="str">
        <f t="shared" si="670"/>
        <v/>
      </c>
      <c r="L8544" s="7" t="str">
        <f t="shared" si="671"/>
        <v/>
      </c>
      <c r="M8544" s="7" t="str">
        <f t="shared" si="668"/>
        <v/>
      </c>
      <c r="N8544" s="7" t="str">
        <f t="shared" si="672"/>
        <v/>
      </c>
      <c r="O8544" s="8"/>
      <c r="P8544" s="26"/>
      <c r="S8544" s="10" t="str">
        <f t="shared" si="669"/>
        <v/>
      </c>
    </row>
    <row r="8545" spans="5:19" x14ac:dyDescent="0.3">
      <c r="E8545" s="9" t="str">
        <f>IF(DADOS!C8545="","",DADOS!C8545)</f>
        <v/>
      </c>
      <c r="F8545" s="9" t="str">
        <f>IF(DADOS!E8545="","",DADOS!E8545)</f>
        <v/>
      </c>
      <c r="G8545" s="9" t="str">
        <f>IF(DADOS!F8545="","",DADOS!F8545)</f>
        <v/>
      </c>
      <c r="K8545" s="6" t="str">
        <f t="shared" si="670"/>
        <v/>
      </c>
      <c r="L8545" s="7" t="str">
        <f t="shared" si="671"/>
        <v/>
      </c>
      <c r="M8545" s="7" t="str">
        <f t="shared" si="668"/>
        <v/>
      </c>
      <c r="N8545" s="7" t="str">
        <f t="shared" si="672"/>
        <v/>
      </c>
      <c r="O8545" s="8"/>
      <c r="P8545" s="26"/>
      <c r="S8545" s="10" t="str">
        <f t="shared" si="669"/>
        <v/>
      </c>
    </row>
    <row r="8546" spans="5:19" x14ac:dyDescent="0.3">
      <c r="E8546" s="9" t="str">
        <f>IF(DADOS!C8546="","",DADOS!C8546)</f>
        <v/>
      </c>
      <c r="F8546" s="9" t="str">
        <f>IF(DADOS!E8546="","",DADOS!E8546)</f>
        <v/>
      </c>
      <c r="G8546" s="9" t="str">
        <f>IF(DADOS!F8546="","",DADOS!F8546)</f>
        <v/>
      </c>
      <c r="K8546" s="6" t="str">
        <f t="shared" si="670"/>
        <v/>
      </c>
      <c r="L8546" s="7" t="str">
        <f t="shared" si="671"/>
        <v/>
      </c>
      <c r="M8546" s="7" t="str">
        <f t="shared" si="668"/>
        <v/>
      </c>
      <c r="N8546" s="7" t="str">
        <f t="shared" si="672"/>
        <v/>
      </c>
      <c r="O8546" s="8"/>
      <c r="P8546" s="26"/>
      <c r="S8546" s="10" t="str">
        <f t="shared" si="669"/>
        <v/>
      </c>
    </row>
    <row r="8547" spans="5:19" x14ac:dyDescent="0.3">
      <c r="E8547" s="9" t="str">
        <f>IF(DADOS!C8547="","",DADOS!C8547)</f>
        <v/>
      </c>
      <c r="F8547" s="9" t="str">
        <f>IF(DADOS!E8547="","",DADOS!E8547)</f>
        <v/>
      </c>
      <c r="G8547" s="9" t="str">
        <f>IF(DADOS!F8547="","",DADOS!F8547)</f>
        <v/>
      </c>
      <c r="K8547" s="6" t="str">
        <f t="shared" si="670"/>
        <v/>
      </c>
      <c r="L8547" s="7" t="str">
        <f t="shared" si="671"/>
        <v/>
      </c>
      <c r="M8547" s="7" t="str">
        <f t="shared" si="668"/>
        <v/>
      </c>
      <c r="N8547" s="7" t="str">
        <f t="shared" si="672"/>
        <v/>
      </c>
      <c r="O8547" s="8"/>
      <c r="P8547" s="26"/>
      <c r="S8547" s="10" t="str">
        <f t="shared" si="669"/>
        <v/>
      </c>
    </row>
    <row r="8548" spans="5:19" x14ac:dyDescent="0.3">
      <c r="E8548" s="9" t="str">
        <f>IF(DADOS!C8548="","",DADOS!C8548)</f>
        <v/>
      </c>
      <c r="F8548" s="9" t="str">
        <f>IF(DADOS!E8548="","",DADOS!E8548)</f>
        <v/>
      </c>
      <c r="G8548" s="9" t="str">
        <f>IF(DADOS!F8548="","",DADOS!F8548)</f>
        <v/>
      </c>
      <c r="K8548" s="6" t="str">
        <f t="shared" si="670"/>
        <v/>
      </c>
      <c r="L8548" s="7" t="str">
        <f t="shared" si="671"/>
        <v/>
      </c>
      <c r="M8548" s="7" t="str">
        <f t="shared" si="668"/>
        <v/>
      </c>
      <c r="N8548" s="7" t="str">
        <f t="shared" si="672"/>
        <v/>
      </c>
      <c r="O8548" s="8"/>
      <c r="P8548" s="26"/>
      <c r="S8548" s="10" t="str">
        <f t="shared" si="669"/>
        <v/>
      </c>
    </row>
    <row r="8549" spans="5:19" x14ac:dyDescent="0.3">
      <c r="E8549" s="9" t="str">
        <f>IF(DADOS!C8549="","",DADOS!C8549)</f>
        <v/>
      </c>
      <c r="F8549" s="9" t="str">
        <f>IF(DADOS!E8549="","",DADOS!E8549)</f>
        <v/>
      </c>
      <c r="G8549" s="9" t="str">
        <f>IF(DADOS!F8549="","",DADOS!F8549)</f>
        <v/>
      </c>
      <c r="K8549" s="6" t="str">
        <f t="shared" si="670"/>
        <v/>
      </c>
      <c r="L8549" s="7" t="str">
        <f t="shared" si="671"/>
        <v/>
      </c>
      <c r="M8549" s="7" t="str">
        <f t="shared" si="668"/>
        <v/>
      </c>
      <c r="N8549" s="7" t="str">
        <f t="shared" si="672"/>
        <v/>
      </c>
      <c r="O8549" s="8"/>
      <c r="P8549" s="26"/>
      <c r="S8549" s="10" t="str">
        <f t="shared" si="669"/>
        <v/>
      </c>
    </row>
    <row r="8550" spans="5:19" x14ac:dyDescent="0.3">
      <c r="E8550" s="9" t="str">
        <f>IF(DADOS!C8550="","",DADOS!C8550)</f>
        <v/>
      </c>
      <c r="F8550" s="9" t="str">
        <f>IF(DADOS!E8550="","",DADOS!E8550)</f>
        <v/>
      </c>
      <c r="G8550" s="9" t="str">
        <f>IF(DADOS!F8550="","",DADOS!F8550)</f>
        <v/>
      </c>
      <c r="K8550" s="6" t="str">
        <f t="shared" si="670"/>
        <v/>
      </c>
      <c r="L8550" s="7" t="str">
        <f t="shared" si="671"/>
        <v/>
      </c>
      <c r="M8550" s="7" t="str">
        <f t="shared" si="668"/>
        <v/>
      </c>
      <c r="N8550" s="7" t="str">
        <f t="shared" si="672"/>
        <v/>
      </c>
      <c r="O8550" s="8"/>
      <c r="P8550" s="26"/>
      <c r="S8550" s="10" t="str">
        <f t="shared" si="669"/>
        <v/>
      </c>
    </row>
    <row r="8551" spans="5:19" x14ac:dyDescent="0.3">
      <c r="E8551" s="9" t="str">
        <f>IF(DADOS!C8551="","",DADOS!C8551)</f>
        <v/>
      </c>
      <c r="F8551" s="9" t="str">
        <f>IF(DADOS!E8551="","",DADOS!E8551)</f>
        <v/>
      </c>
      <c r="G8551" s="9" t="str">
        <f>IF(DADOS!F8551="","",DADOS!F8551)</f>
        <v/>
      </c>
      <c r="K8551" s="6" t="str">
        <f t="shared" si="670"/>
        <v/>
      </c>
      <c r="L8551" s="7" t="str">
        <f t="shared" si="671"/>
        <v/>
      </c>
      <c r="M8551" s="7" t="str">
        <f t="shared" si="668"/>
        <v/>
      </c>
      <c r="N8551" s="7" t="str">
        <f t="shared" si="672"/>
        <v/>
      </c>
      <c r="O8551" s="8"/>
      <c r="P8551" s="26"/>
      <c r="S8551" s="10" t="str">
        <f t="shared" si="669"/>
        <v/>
      </c>
    </row>
    <row r="8552" spans="5:19" x14ac:dyDescent="0.3">
      <c r="E8552" s="9" t="str">
        <f>IF(DADOS!C8552="","",DADOS!C8552)</f>
        <v/>
      </c>
      <c r="F8552" s="9" t="str">
        <f>IF(DADOS!E8552="","",DADOS!E8552)</f>
        <v/>
      </c>
      <c r="G8552" s="9" t="str">
        <f>IF(DADOS!F8552="","",DADOS!F8552)</f>
        <v/>
      </c>
      <c r="K8552" s="6" t="str">
        <f t="shared" si="670"/>
        <v/>
      </c>
      <c r="L8552" s="7" t="str">
        <f t="shared" si="671"/>
        <v/>
      </c>
      <c r="M8552" s="7" t="str">
        <f t="shared" si="668"/>
        <v/>
      </c>
      <c r="N8552" s="7" t="str">
        <f t="shared" si="672"/>
        <v/>
      </c>
      <c r="O8552" s="8"/>
      <c r="P8552" s="26"/>
      <c r="S8552" s="10" t="str">
        <f t="shared" si="669"/>
        <v/>
      </c>
    </row>
    <row r="8553" spans="5:19" x14ac:dyDescent="0.3">
      <c r="E8553" s="9" t="str">
        <f>IF(DADOS!C8553="","",DADOS!C8553)</f>
        <v/>
      </c>
      <c r="F8553" s="9" t="str">
        <f>IF(DADOS!E8553="","",DADOS!E8553)</f>
        <v/>
      </c>
      <c r="G8553" s="9" t="str">
        <f>IF(DADOS!F8553="","",DADOS!F8553)</f>
        <v/>
      </c>
      <c r="K8553" s="6" t="str">
        <f t="shared" si="670"/>
        <v/>
      </c>
      <c r="L8553" s="7" t="str">
        <f t="shared" si="671"/>
        <v/>
      </c>
      <c r="M8553" s="7" t="str">
        <f t="shared" si="668"/>
        <v/>
      </c>
      <c r="N8553" s="7" t="str">
        <f t="shared" si="672"/>
        <v/>
      </c>
      <c r="O8553" s="8"/>
      <c r="P8553" s="26"/>
      <c r="S8553" s="10" t="str">
        <f t="shared" si="669"/>
        <v/>
      </c>
    </row>
    <row r="8554" spans="5:19" x14ac:dyDescent="0.3">
      <c r="E8554" s="9" t="str">
        <f>IF(DADOS!C8554="","",DADOS!C8554)</f>
        <v/>
      </c>
      <c r="F8554" s="9" t="str">
        <f>IF(DADOS!E8554="","",DADOS!E8554)</f>
        <v/>
      </c>
      <c r="G8554" s="9" t="str">
        <f>IF(DADOS!F8554="","",DADOS!F8554)</f>
        <v/>
      </c>
      <c r="K8554" s="6" t="str">
        <f t="shared" si="670"/>
        <v/>
      </c>
      <c r="L8554" s="7" t="str">
        <f t="shared" si="671"/>
        <v/>
      </c>
      <c r="M8554" s="7" t="str">
        <f t="shared" si="668"/>
        <v/>
      </c>
      <c r="N8554" s="7" t="str">
        <f t="shared" si="672"/>
        <v/>
      </c>
      <c r="O8554" s="8"/>
      <c r="P8554" s="26"/>
      <c r="S8554" s="10" t="str">
        <f t="shared" si="669"/>
        <v/>
      </c>
    </row>
    <row r="8555" spans="5:19" x14ac:dyDescent="0.3">
      <c r="E8555" s="9" t="str">
        <f>IF(DADOS!C8555="","",DADOS!C8555)</f>
        <v/>
      </c>
      <c r="F8555" s="9" t="str">
        <f>IF(DADOS!E8555="","",DADOS!E8555)</f>
        <v/>
      </c>
      <c r="G8555" s="9" t="str">
        <f>IF(DADOS!F8555="","",DADOS!F8555)</f>
        <v/>
      </c>
      <c r="K8555" s="6" t="str">
        <f t="shared" si="670"/>
        <v/>
      </c>
      <c r="L8555" s="7" t="str">
        <f t="shared" si="671"/>
        <v/>
      </c>
      <c r="M8555" s="7" t="str">
        <f t="shared" si="668"/>
        <v/>
      </c>
      <c r="N8555" s="7" t="str">
        <f t="shared" si="672"/>
        <v/>
      </c>
      <c r="O8555" s="8"/>
      <c r="P8555" s="26"/>
      <c r="S8555" s="10" t="str">
        <f t="shared" si="669"/>
        <v/>
      </c>
    </row>
    <row r="8556" spans="5:19" x14ac:dyDescent="0.3">
      <c r="E8556" s="9" t="str">
        <f>IF(DADOS!C8556="","",DADOS!C8556)</f>
        <v/>
      </c>
      <c r="F8556" s="9" t="str">
        <f>IF(DADOS!E8556="","",DADOS!E8556)</f>
        <v/>
      </c>
      <c r="G8556" s="9" t="str">
        <f>IF(DADOS!F8556="","",DADOS!F8556)</f>
        <v/>
      </c>
      <c r="K8556" s="6" t="str">
        <f t="shared" si="670"/>
        <v/>
      </c>
      <c r="L8556" s="7" t="str">
        <f t="shared" si="671"/>
        <v/>
      </c>
      <c r="M8556" s="7" t="str">
        <f t="shared" si="668"/>
        <v/>
      </c>
      <c r="N8556" s="7" t="str">
        <f t="shared" si="672"/>
        <v/>
      </c>
      <c r="O8556" s="8"/>
      <c r="P8556" s="26"/>
      <c r="S8556" s="10" t="str">
        <f t="shared" si="669"/>
        <v/>
      </c>
    </row>
    <row r="8557" spans="5:19" x14ac:dyDescent="0.3">
      <c r="E8557" s="9" t="str">
        <f>IF(DADOS!C8557="","",DADOS!C8557)</f>
        <v/>
      </c>
      <c r="F8557" s="9" t="str">
        <f>IF(DADOS!E8557="","",DADOS!E8557)</f>
        <v/>
      </c>
      <c r="G8557" s="9" t="str">
        <f>IF(DADOS!F8557="","",DADOS!F8557)</f>
        <v/>
      </c>
      <c r="K8557" s="6" t="str">
        <f t="shared" si="670"/>
        <v/>
      </c>
      <c r="L8557" s="7" t="str">
        <f t="shared" si="671"/>
        <v/>
      </c>
      <c r="M8557" s="7" t="str">
        <f t="shared" si="668"/>
        <v/>
      </c>
      <c r="N8557" s="7" t="str">
        <f t="shared" si="672"/>
        <v/>
      </c>
      <c r="O8557" s="8"/>
      <c r="P8557" s="26"/>
      <c r="S8557" s="10" t="str">
        <f t="shared" si="669"/>
        <v/>
      </c>
    </row>
    <row r="8558" spans="5:19" x14ac:dyDescent="0.3">
      <c r="E8558" s="9" t="str">
        <f>IF(DADOS!C8558="","",DADOS!C8558)</f>
        <v/>
      </c>
      <c r="F8558" s="9" t="str">
        <f>IF(DADOS!E8558="","",DADOS!E8558)</f>
        <v/>
      </c>
      <c r="G8558" s="9" t="str">
        <f>IF(DADOS!F8558="","",DADOS!F8558)</f>
        <v/>
      </c>
      <c r="K8558" s="6" t="str">
        <f t="shared" si="670"/>
        <v/>
      </c>
      <c r="L8558" s="7" t="str">
        <f t="shared" si="671"/>
        <v/>
      </c>
      <c r="M8558" s="7" t="str">
        <f t="shared" si="668"/>
        <v/>
      </c>
      <c r="N8558" s="7" t="str">
        <f t="shared" si="672"/>
        <v/>
      </c>
      <c r="O8558" s="8"/>
      <c r="P8558" s="26"/>
      <c r="S8558" s="10" t="str">
        <f t="shared" si="669"/>
        <v/>
      </c>
    </row>
    <row r="8559" spans="5:19" x14ac:dyDescent="0.3">
      <c r="E8559" s="9" t="str">
        <f>IF(DADOS!C8559="","",DADOS!C8559)</f>
        <v/>
      </c>
      <c r="F8559" s="9" t="str">
        <f>IF(DADOS!E8559="","",DADOS!E8559)</f>
        <v/>
      </c>
      <c r="G8559" s="9" t="str">
        <f>IF(DADOS!F8559="","",DADOS!F8559)</f>
        <v/>
      </c>
      <c r="K8559" s="6" t="str">
        <f t="shared" si="670"/>
        <v/>
      </c>
      <c r="L8559" s="7" t="str">
        <f t="shared" si="671"/>
        <v/>
      </c>
      <c r="M8559" s="7" t="str">
        <f t="shared" si="668"/>
        <v/>
      </c>
      <c r="N8559" s="7" t="str">
        <f t="shared" si="672"/>
        <v/>
      </c>
      <c r="O8559" s="8"/>
      <c r="P8559" s="26"/>
      <c r="S8559" s="10" t="str">
        <f t="shared" si="669"/>
        <v/>
      </c>
    </row>
    <row r="8560" spans="5:19" x14ac:dyDescent="0.3">
      <c r="E8560" s="9" t="str">
        <f>IF(DADOS!C8560="","",DADOS!C8560)</f>
        <v/>
      </c>
      <c r="F8560" s="9" t="str">
        <f>IF(DADOS!E8560="","",DADOS!E8560)</f>
        <v/>
      </c>
      <c r="G8560" s="9" t="str">
        <f>IF(DADOS!F8560="","",DADOS!F8560)</f>
        <v/>
      </c>
      <c r="K8560" s="6" t="str">
        <f t="shared" si="670"/>
        <v/>
      </c>
      <c r="L8560" s="7" t="str">
        <f t="shared" si="671"/>
        <v/>
      </c>
      <c r="M8560" s="7" t="str">
        <f t="shared" si="668"/>
        <v/>
      </c>
      <c r="N8560" s="7" t="str">
        <f t="shared" si="672"/>
        <v/>
      </c>
      <c r="O8560" s="8"/>
      <c r="P8560" s="26"/>
      <c r="S8560" s="10" t="str">
        <f t="shared" si="669"/>
        <v/>
      </c>
    </row>
    <row r="8561" spans="5:19" x14ac:dyDescent="0.3">
      <c r="E8561" s="9" t="str">
        <f>IF(DADOS!C8561="","",DADOS!C8561)</f>
        <v/>
      </c>
      <c r="F8561" s="9" t="str">
        <f>IF(DADOS!E8561="","",DADOS!E8561)</f>
        <v/>
      </c>
      <c r="G8561" s="9" t="str">
        <f>IF(DADOS!F8561="","",DADOS!F8561)</f>
        <v/>
      </c>
      <c r="K8561" s="6" t="str">
        <f t="shared" si="670"/>
        <v/>
      </c>
      <c r="L8561" s="7" t="str">
        <f t="shared" si="671"/>
        <v/>
      </c>
      <c r="M8561" s="7" t="str">
        <f t="shared" si="668"/>
        <v/>
      </c>
      <c r="N8561" s="7" t="str">
        <f t="shared" si="672"/>
        <v/>
      </c>
      <c r="O8561" s="8"/>
      <c r="P8561" s="26"/>
      <c r="S8561" s="10" t="str">
        <f t="shared" si="669"/>
        <v/>
      </c>
    </row>
    <row r="8562" spans="5:19" x14ac:dyDescent="0.3">
      <c r="E8562" s="9" t="str">
        <f>IF(DADOS!C8562="","",DADOS!C8562)</f>
        <v/>
      </c>
      <c r="F8562" s="9" t="str">
        <f>IF(DADOS!E8562="","",DADOS!E8562)</f>
        <v/>
      </c>
      <c r="G8562" s="9" t="str">
        <f>IF(DADOS!F8562="","",DADOS!F8562)</f>
        <v/>
      </c>
      <c r="K8562" s="6" t="str">
        <f t="shared" si="670"/>
        <v/>
      </c>
      <c r="L8562" s="7" t="str">
        <f t="shared" si="671"/>
        <v/>
      </c>
      <c r="M8562" s="7" t="str">
        <f t="shared" si="668"/>
        <v/>
      </c>
      <c r="N8562" s="7" t="str">
        <f t="shared" si="672"/>
        <v/>
      </c>
      <c r="O8562" s="8"/>
      <c r="P8562" s="26"/>
      <c r="S8562" s="10" t="str">
        <f t="shared" si="669"/>
        <v/>
      </c>
    </row>
    <row r="8563" spans="5:19" x14ac:dyDescent="0.3">
      <c r="E8563" s="9" t="str">
        <f>IF(DADOS!C8563="","",DADOS!C8563)</f>
        <v/>
      </c>
      <c r="F8563" s="9" t="str">
        <f>IF(DADOS!E8563="","",DADOS!E8563)</f>
        <v/>
      </c>
      <c r="G8563" s="9" t="str">
        <f>IF(DADOS!F8563="","",DADOS!F8563)</f>
        <v/>
      </c>
      <c r="K8563" s="6" t="str">
        <f t="shared" si="670"/>
        <v/>
      </c>
      <c r="L8563" s="7" t="str">
        <f t="shared" si="671"/>
        <v/>
      </c>
      <c r="M8563" s="7" t="str">
        <f t="shared" si="668"/>
        <v/>
      </c>
      <c r="N8563" s="7" t="str">
        <f t="shared" si="672"/>
        <v/>
      </c>
      <c r="O8563" s="8"/>
      <c r="P8563" s="26"/>
      <c r="S8563" s="10" t="str">
        <f t="shared" si="669"/>
        <v/>
      </c>
    </row>
    <row r="8564" spans="5:19" x14ac:dyDescent="0.3">
      <c r="E8564" s="9" t="str">
        <f>IF(DADOS!C8564="","",DADOS!C8564)</f>
        <v/>
      </c>
      <c r="F8564" s="9" t="str">
        <f>IF(DADOS!E8564="","",DADOS!E8564)</f>
        <v/>
      </c>
      <c r="G8564" s="9" t="str">
        <f>IF(DADOS!F8564="","",DADOS!F8564)</f>
        <v/>
      </c>
      <c r="K8564" s="6" t="str">
        <f t="shared" si="670"/>
        <v/>
      </c>
      <c r="L8564" s="7" t="str">
        <f t="shared" si="671"/>
        <v/>
      </c>
      <c r="M8564" s="7" t="str">
        <f t="shared" si="668"/>
        <v/>
      </c>
      <c r="N8564" s="7" t="str">
        <f t="shared" si="672"/>
        <v/>
      </c>
      <c r="O8564" s="8"/>
      <c r="P8564" s="26"/>
      <c r="S8564" s="10" t="str">
        <f t="shared" si="669"/>
        <v/>
      </c>
    </row>
    <row r="8565" spans="5:19" x14ac:dyDescent="0.3">
      <c r="E8565" s="9" t="str">
        <f>IF(DADOS!C8565="","",DADOS!C8565)</f>
        <v/>
      </c>
      <c r="F8565" s="9" t="str">
        <f>IF(DADOS!E8565="","",DADOS!E8565)</f>
        <v/>
      </c>
      <c r="G8565" s="9" t="str">
        <f>IF(DADOS!F8565="","",DADOS!F8565)</f>
        <v/>
      </c>
      <c r="K8565" s="6" t="str">
        <f t="shared" si="670"/>
        <v/>
      </c>
      <c r="L8565" s="7" t="str">
        <f t="shared" si="671"/>
        <v/>
      </c>
      <c r="M8565" s="7" t="str">
        <f t="shared" si="668"/>
        <v/>
      </c>
      <c r="N8565" s="7" t="str">
        <f t="shared" si="672"/>
        <v/>
      </c>
      <c r="O8565" s="8"/>
      <c r="P8565" s="26"/>
      <c r="S8565" s="10" t="str">
        <f t="shared" si="669"/>
        <v/>
      </c>
    </row>
    <row r="8566" spans="5:19" x14ac:dyDescent="0.3">
      <c r="E8566" s="9" t="str">
        <f>IF(DADOS!C8566="","",DADOS!C8566)</f>
        <v/>
      </c>
      <c r="F8566" s="9" t="str">
        <f>IF(DADOS!E8566="","",DADOS!E8566)</f>
        <v/>
      </c>
      <c r="G8566" s="9" t="str">
        <f>IF(DADOS!F8566="","",DADOS!F8566)</f>
        <v/>
      </c>
      <c r="K8566" s="6" t="str">
        <f t="shared" si="670"/>
        <v/>
      </c>
      <c r="L8566" s="7" t="str">
        <f t="shared" si="671"/>
        <v/>
      </c>
      <c r="M8566" s="7" t="str">
        <f t="shared" si="668"/>
        <v/>
      </c>
      <c r="N8566" s="7" t="str">
        <f t="shared" si="672"/>
        <v/>
      </c>
      <c r="O8566" s="8"/>
      <c r="P8566" s="26"/>
      <c r="S8566" s="10" t="str">
        <f t="shared" si="669"/>
        <v/>
      </c>
    </row>
    <row r="8567" spans="5:19" x14ac:dyDescent="0.3">
      <c r="E8567" s="9" t="str">
        <f>IF(DADOS!C8567="","",DADOS!C8567)</f>
        <v/>
      </c>
      <c r="F8567" s="9" t="str">
        <f>IF(DADOS!E8567="","",DADOS!E8567)</f>
        <v/>
      </c>
      <c r="G8567" s="9" t="str">
        <f>IF(DADOS!F8567="","",DADOS!F8567)</f>
        <v/>
      </c>
      <c r="K8567" s="6" t="str">
        <f t="shared" si="670"/>
        <v/>
      </c>
      <c r="L8567" s="7" t="str">
        <f t="shared" si="671"/>
        <v/>
      </c>
      <c r="M8567" s="7" t="str">
        <f t="shared" si="668"/>
        <v/>
      </c>
      <c r="N8567" s="7" t="str">
        <f t="shared" si="672"/>
        <v/>
      </c>
      <c r="O8567" s="8"/>
      <c r="P8567" s="26"/>
      <c r="S8567" s="10" t="str">
        <f t="shared" si="669"/>
        <v/>
      </c>
    </row>
    <row r="8568" spans="5:19" x14ac:dyDescent="0.3">
      <c r="E8568" s="9" t="str">
        <f>IF(DADOS!C8568="","",DADOS!C8568)</f>
        <v/>
      </c>
      <c r="F8568" s="9" t="str">
        <f>IF(DADOS!E8568="","",DADOS!E8568)</f>
        <v/>
      </c>
      <c r="G8568" s="9" t="str">
        <f>IF(DADOS!F8568="","",DADOS!F8568)</f>
        <v/>
      </c>
      <c r="K8568" s="6" t="str">
        <f t="shared" si="670"/>
        <v/>
      </c>
      <c r="L8568" s="7" t="str">
        <f t="shared" si="671"/>
        <v/>
      </c>
      <c r="M8568" s="7" t="str">
        <f t="shared" si="668"/>
        <v/>
      </c>
      <c r="N8568" s="7" t="str">
        <f t="shared" si="672"/>
        <v/>
      </c>
      <c r="O8568" s="8"/>
      <c r="P8568" s="26"/>
      <c r="S8568" s="10" t="str">
        <f t="shared" si="669"/>
        <v/>
      </c>
    </row>
    <row r="8569" spans="5:19" x14ac:dyDescent="0.3">
      <c r="E8569" s="9" t="str">
        <f>IF(DADOS!C8569="","",DADOS!C8569)</f>
        <v/>
      </c>
      <c r="F8569" s="9" t="str">
        <f>IF(DADOS!E8569="","",DADOS!E8569)</f>
        <v/>
      </c>
      <c r="G8569" s="9" t="str">
        <f>IF(DADOS!F8569="","",DADOS!F8569)</f>
        <v/>
      </c>
      <c r="K8569" s="6" t="str">
        <f t="shared" si="670"/>
        <v/>
      </c>
      <c r="L8569" s="7" t="str">
        <f t="shared" si="671"/>
        <v/>
      </c>
      <c r="M8569" s="7" t="str">
        <f t="shared" si="668"/>
        <v/>
      </c>
      <c r="N8569" s="7" t="str">
        <f t="shared" si="672"/>
        <v/>
      </c>
      <c r="O8569" s="8"/>
      <c r="P8569" s="26"/>
      <c r="S8569" s="10" t="str">
        <f t="shared" si="669"/>
        <v/>
      </c>
    </row>
    <row r="8570" spans="5:19" x14ac:dyDescent="0.3">
      <c r="E8570" s="9" t="str">
        <f>IF(DADOS!C8570="","",DADOS!C8570)</f>
        <v/>
      </c>
      <c r="F8570" s="9" t="str">
        <f>IF(DADOS!E8570="","",DADOS!E8570)</f>
        <v/>
      </c>
      <c r="G8570" s="9" t="str">
        <f>IF(DADOS!F8570="","",DADOS!F8570)</f>
        <v/>
      </c>
      <c r="K8570" s="6" t="str">
        <f t="shared" si="670"/>
        <v/>
      </c>
      <c r="L8570" s="7" t="str">
        <f t="shared" si="671"/>
        <v/>
      </c>
      <c r="M8570" s="7" t="str">
        <f t="shared" si="668"/>
        <v/>
      </c>
      <c r="N8570" s="7" t="str">
        <f t="shared" si="672"/>
        <v/>
      </c>
      <c r="O8570" s="8"/>
      <c r="P8570" s="26"/>
      <c r="S8570" s="10" t="str">
        <f t="shared" si="669"/>
        <v/>
      </c>
    </row>
    <row r="8571" spans="5:19" x14ac:dyDescent="0.3">
      <c r="E8571" s="9" t="str">
        <f>IF(DADOS!C8571="","",DADOS!C8571)</f>
        <v/>
      </c>
      <c r="F8571" s="9" t="str">
        <f>IF(DADOS!E8571="","",DADOS!E8571)</f>
        <v/>
      </c>
      <c r="G8571" s="9" t="str">
        <f>IF(DADOS!F8571="","",DADOS!F8571)</f>
        <v/>
      </c>
      <c r="K8571" s="6" t="str">
        <f t="shared" si="670"/>
        <v/>
      </c>
      <c r="L8571" s="7" t="str">
        <f t="shared" si="671"/>
        <v/>
      </c>
      <c r="M8571" s="7" t="str">
        <f t="shared" si="668"/>
        <v/>
      </c>
      <c r="N8571" s="7" t="str">
        <f t="shared" si="672"/>
        <v/>
      </c>
      <c r="O8571" s="8"/>
      <c r="P8571" s="26"/>
      <c r="S8571" s="10" t="str">
        <f t="shared" si="669"/>
        <v/>
      </c>
    </row>
    <row r="8572" spans="5:19" x14ac:dyDescent="0.3">
      <c r="E8572" s="9" t="str">
        <f>IF(DADOS!C8572="","",DADOS!C8572)</f>
        <v/>
      </c>
      <c r="F8572" s="9" t="str">
        <f>IF(DADOS!E8572="","",DADOS!E8572)</f>
        <v/>
      </c>
      <c r="G8572" s="9" t="str">
        <f>IF(DADOS!F8572="","",DADOS!F8572)</f>
        <v/>
      </c>
      <c r="K8572" s="6" t="str">
        <f t="shared" si="670"/>
        <v/>
      </c>
      <c r="L8572" s="7" t="str">
        <f t="shared" si="671"/>
        <v/>
      </c>
      <c r="M8572" s="7" t="str">
        <f t="shared" si="668"/>
        <v/>
      </c>
      <c r="N8572" s="7" t="str">
        <f t="shared" si="672"/>
        <v/>
      </c>
      <c r="O8572" s="8"/>
      <c r="P8572" s="26"/>
      <c r="S8572" s="10" t="str">
        <f t="shared" si="669"/>
        <v/>
      </c>
    </row>
    <row r="8573" spans="5:19" x14ac:dyDescent="0.3">
      <c r="E8573" s="9" t="str">
        <f>IF(DADOS!C8573="","",DADOS!C8573)</f>
        <v/>
      </c>
      <c r="F8573" s="9" t="str">
        <f>IF(DADOS!E8573="","",DADOS!E8573)</f>
        <v/>
      </c>
      <c r="G8573" s="9" t="str">
        <f>IF(DADOS!F8573="","",DADOS!F8573)</f>
        <v/>
      </c>
      <c r="K8573" s="6" t="str">
        <f t="shared" si="670"/>
        <v/>
      </c>
      <c r="L8573" s="7" t="str">
        <f t="shared" si="671"/>
        <v/>
      </c>
      <c r="M8573" s="7" t="str">
        <f t="shared" si="668"/>
        <v/>
      </c>
      <c r="N8573" s="7" t="str">
        <f t="shared" si="672"/>
        <v/>
      </c>
      <c r="O8573" s="8"/>
      <c r="P8573" s="26"/>
      <c r="S8573" s="10" t="str">
        <f t="shared" si="669"/>
        <v/>
      </c>
    </row>
    <row r="8574" spans="5:19" x14ac:dyDescent="0.3">
      <c r="E8574" s="9" t="str">
        <f>IF(DADOS!C8574="","",DADOS!C8574)</f>
        <v/>
      </c>
      <c r="F8574" s="9" t="str">
        <f>IF(DADOS!E8574="","",DADOS!E8574)</f>
        <v/>
      </c>
      <c r="G8574" s="9" t="str">
        <f>IF(DADOS!F8574="","",DADOS!F8574)</f>
        <v/>
      </c>
      <c r="K8574" s="6" t="str">
        <f t="shared" si="670"/>
        <v/>
      </c>
      <c r="L8574" s="7" t="str">
        <f t="shared" si="671"/>
        <v/>
      </c>
      <c r="M8574" s="7" t="str">
        <f t="shared" si="668"/>
        <v/>
      </c>
      <c r="N8574" s="7" t="str">
        <f t="shared" si="672"/>
        <v/>
      </c>
      <c r="O8574" s="8"/>
      <c r="P8574" s="26"/>
      <c r="S8574" s="10" t="str">
        <f t="shared" si="669"/>
        <v/>
      </c>
    </row>
    <row r="8575" spans="5:19" x14ac:dyDescent="0.3">
      <c r="E8575" s="9" t="str">
        <f>IF(DADOS!C8575="","",DADOS!C8575)</f>
        <v/>
      </c>
      <c r="F8575" s="9" t="str">
        <f>IF(DADOS!E8575="","",DADOS!E8575)</f>
        <v/>
      </c>
      <c r="G8575" s="9" t="str">
        <f>IF(DADOS!F8575="","",DADOS!F8575)</f>
        <v/>
      </c>
      <c r="K8575" s="6" t="str">
        <f t="shared" si="670"/>
        <v/>
      </c>
      <c r="L8575" s="7" t="str">
        <f t="shared" si="671"/>
        <v/>
      </c>
      <c r="M8575" s="7" t="str">
        <f t="shared" si="668"/>
        <v/>
      </c>
      <c r="N8575" s="7" t="str">
        <f t="shared" si="672"/>
        <v/>
      </c>
      <c r="O8575" s="8"/>
      <c r="P8575" s="26"/>
      <c r="S8575" s="10" t="str">
        <f t="shared" si="669"/>
        <v/>
      </c>
    </row>
    <row r="8576" spans="5:19" x14ac:dyDescent="0.3">
      <c r="E8576" s="9" t="str">
        <f>IF(DADOS!C8576="","",DADOS!C8576)</f>
        <v/>
      </c>
      <c r="F8576" s="9" t="str">
        <f>IF(DADOS!E8576="","",DADOS!E8576)</f>
        <v/>
      </c>
      <c r="G8576" s="9" t="str">
        <f>IF(DADOS!F8576="","",DADOS!F8576)</f>
        <v/>
      </c>
      <c r="K8576" s="6" t="str">
        <f t="shared" si="670"/>
        <v/>
      </c>
      <c r="L8576" s="7" t="str">
        <f t="shared" si="671"/>
        <v/>
      </c>
      <c r="M8576" s="7" t="str">
        <f t="shared" si="668"/>
        <v/>
      </c>
      <c r="N8576" s="7" t="str">
        <f t="shared" si="672"/>
        <v/>
      </c>
      <c r="O8576" s="8"/>
      <c r="P8576" s="26"/>
      <c r="S8576" s="10" t="str">
        <f t="shared" si="669"/>
        <v/>
      </c>
    </row>
    <row r="8577" spans="5:19" x14ac:dyDescent="0.3">
      <c r="E8577" s="9" t="str">
        <f>IF(DADOS!C8577="","",DADOS!C8577)</f>
        <v/>
      </c>
      <c r="F8577" s="9" t="str">
        <f>IF(DADOS!E8577="","",DADOS!E8577)</f>
        <v/>
      </c>
      <c r="G8577" s="9" t="str">
        <f>IF(DADOS!F8577="","",DADOS!F8577)</f>
        <v/>
      </c>
      <c r="K8577" s="6" t="str">
        <f t="shared" si="670"/>
        <v/>
      </c>
      <c r="L8577" s="7" t="str">
        <f t="shared" si="671"/>
        <v/>
      </c>
      <c r="M8577" s="7" t="str">
        <f t="shared" si="668"/>
        <v/>
      </c>
      <c r="N8577" s="7" t="str">
        <f t="shared" si="672"/>
        <v/>
      </c>
      <c r="O8577" s="8"/>
      <c r="P8577" s="26"/>
      <c r="S8577" s="10" t="str">
        <f t="shared" si="669"/>
        <v/>
      </c>
    </row>
    <row r="8578" spans="5:19" x14ac:dyDescent="0.3">
      <c r="E8578" s="9" t="str">
        <f>IF(DADOS!C8578="","",DADOS!C8578)</f>
        <v/>
      </c>
      <c r="F8578" s="9" t="str">
        <f>IF(DADOS!E8578="","",DADOS!E8578)</f>
        <v/>
      </c>
      <c r="G8578" s="9" t="str">
        <f>IF(DADOS!F8578="","",DADOS!F8578)</f>
        <v/>
      </c>
      <c r="K8578" s="6" t="str">
        <f t="shared" si="670"/>
        <v/>
      </c>
      <c r="L8578" s="7" t="str">
        <f t="shared" si="671"/>
        <v/>
      </c>
      <c r="M8578" s="7" t="str">
        <f t="shared" si="668"/>
        <v/>
      </c>
      <c r="N8578" s="7" t="str">
        <f t="shared" si="672"/>
        <v/>
      </c>
      <c r="O8578" s="8"/>
      <c r="P8578" s="26"/>
      <c r="S8578" s="10" t="str">
        <f t="shared" si="669"/>
        <v/>
      </c>
    </row>
    <row r="8579" spans="5:19" x14ac:dyDescent="0.3">
      <c r="E8579" s="9" t="str">
        <f>IF(DADOS!C8579="","",DADOS!C8579)</f>
        <v/>
      </c>
      <c r="F8579" s="9" t="str">
        <f>IF(DADOS!E8579="","",DADOS!E8579)</f>
        <v/>
      </c>
      <c r="G8579" s="9" t="str">
        <f>IF(DADOS!F8579="","",DADOS!F8579)</f>
        <v/>
      </c>
      <c r="K8579" s="6" t="str">
        <f t="shared" si="670"/>
        <v/>
      </c>
      <c r="L8579" s="7" t="str">
        <f t="shared" si="671"/>
        <v/>
      </c>
      <c r="M8579" s="7" t="str">
        <f t="shared" ref="M8579:M8642" si="673">IF(L8579="","",L8579*G8579)</f>
        <v/>
      </c>
      <c r="N8579" s="7" t="str">
        <f t="shared" si="672"/>
        <v/>
      </c>
      <c r="O8579" s="8"/>
      <c r="P8579" s="26"/>
      <c r="S8579" s="10" t="str">
        <f t="shared" ref="S8579:S8642" si="674">IF(R8579="","",SUMIFS($N$3:$N$10000,$E$3:$E$10000,R8579))</f>
        <v/>
      </c>
    </row>
    <row r="8580" spans="5:19" x14ac:dyDescent="0.3">
      <c r="E8580" s="9" t="str">
        <f>IF(DADOS!C8580="","",DADOS!C8580)</f>
        <v/>
      </c>
      <c r="F8580" s="9" t="str">
        <f>IF(DADOS!E8580="","",DADOS!E8580)</f>
        <v/>
      </c>
      <c r="G8580" s="9" t="str">
        <f>IF(DADOS!F8580="","",DADOS!F8580)</f>
        <v/>
      </c>
      <c r="K8580" s="6" t="str">
        <f t="shared" ref="K8580:K8643" si="675">IF(F8580="","",F8580/PI())</f>
        <v/>
      </c>
      <c r="L8580" s="7" t="str">
        <f t="shared" ref="L8580:L8643" si="676">IF(K8580="","",(PI()*K8580^2)/40000)</f>
        <v/>
      </c>
      <c r="M8580" s="7" t="str">
        <f t="shared" si="673"/>
        <v/>
      </c>
      <c r="N8580" s="7" t="str">
        <f t="shared" ref="N8580:N8643" si="677">IF(M8580="","",M8580*N$1)</f>
        <v/>
      </c>
      <c r="O8580" s="8"/>
      <c r="P8580" s="26"/>
      <c r="S8580" s="10" t="str">
        <f t="shared" si="674"/>
        <v/>
      </c>
    </row>
    <row r="8581" spans="5:19" x14ac:dyDescent="0.3">
      <c r="E8581" s="9" t="str">
        <f>IF(DADOS!C8581="","",DADOS!C8581)</f>
        <v/>
      </c>
      <c r="F8581" s="9" t="str">
        <f>IF(DADOS!E8581="","",DADOS!E8581)</f>
        <v/>
      </c>
      <c r="G8581" s="9" t="str">
        <f>IF(DADOS!F8581="","",DADOS!F8581)</f>
        <v/>
      </c>
      <c r="K8581" s="6" t="str">
        <f t="shared" si="675"/>
        <v/>
      </c>
      <c r="L8581" s="7" t="str">
        <f t="shared" si="676"/>
        <v/>
      </c>
      <c r="M8581" s="7" t="str">
        <f t="shared" si="673"/>
        <v/>
      </c>
      <c r="N8581" s="7" t="str">
        <f t="shared" si="677"/>
        <v/>
      </c>
      <c r="O8581" s="8"/>
      <c r="P8581" s="26"/>
      <c r="S8581" s="10" t="str">
        <f t="shared" si="674"/>
        <v/>
      </c>
    </row>
    <row r="8582" spans="5:19" x14ac:dyDescent="0.3">
      <c r="E8582" s="9" t="str">
        <f>IF(DADOS!C8582="","",DADOS!C8582)</f>
        <v/>
      </c>
      <c r="F8582" s="9" t="str">
        <f>IF(DADOS!E8582="","",DADOS!E8582)</f>
        <v/>
      </c>
      <c r="G8582" s="9" t="str">
        <f>IF(DADOS!F8582="","",DADOS!F8582)</f>
        <v/>
      </c>
      <c r="K8582" s="6" t="str">
        <f t="shared" si="675"/>
        <v/>
      </c>
      <c r="L8582" s="7" t="str">
        <f t="shared" si="676"/>
        <v/>
      </c>
      <c r="M8582" s="7" t="str">
        <f t="shared" si="673"/>
        <v/>
      </c>
      <c r="N8582" s="7" t="str">
        <f t="shared" si="677"/>
        <v/>
      </c>
      <c r="O8582" s="8"/>
      <c r="P8582" s="26"/>
      <c r="S8582" s="10" t="str">
        <f t="shared" si="674"/>
        <v/>
      </c>
    </row>
    <row r="8583" spans="5:19" x14ac:dyDescent="0.3">
      <c r="E8583" s="9" t="str">
        <f>IF(DADOS!C8583="","",DADOS!C8583)</f>
        <v/>
      </c>
      <c r="F8583" s="9" t="str">
        <f>IF(DADOS!E8583="","",DADOS!E8583)</f>
        <v/>
      </c>
      <c r="G8583" s="9" t="str">
        <f>IF(DADOS!F8583="","",DADOS!F8583)</f>
        <v/>
      </c>
      <c r="K8583" s="6" t="str">
        <f t="shared" si="675"/>
        <v/>
      </c>
      <c r="L8583" s="7" t="str">
        <f t="shared" si="676"/>
        <v/>
      </c>
      <c r="M8583" s="7" t="str">
        <f t="shared" si="673"/>
        <v/>
      </c>
      <c r="N8583" s="7" t="str">
        <f t="shared" si="677"/>
        <v/>
      </c>
      <c r="O8583" s="8"/>
      <c r="P8583" s="26"/>
      <c r="S8583" s="10" t="str">
        <f t="shared" si="674"/>
        <v/>
      </c>
    </row>
    <row r="8584" spans="5:19" x14ac:dyDescent="0.3">
      <c r="E8584" s="9" t="str">
        <f>IF(DADOS!C8584="","",DADOS!C8584)</f>
        <v/>
      </c>
      <c r="F8584" s="9" t="str">
        <f>IF(DADOS!E8584="","",DADOS!E8584)</f>
        <v/>
      </c>
      <c r="G8584" s="9" t="str">
        <f>IF(DADOS!F8584="","",DADOS!F8584)</f>
        <v/>
      </c>
      <c r="K8584" s="6" t="str">
        <f t="shared" si="675"/>
        <v/>
      </c>
      <c r="L8584" s="7" t="str">
        <f t="shared" si="676"/>
        <v/>
      </c>
      <c r="M8584" s="7" t="str">
        <f t="shared" si="673"/>
        <v/>
      </c>
      <c r="N8584" s="7" t="str">
        <f t="shared" si="677"/>
        <v/>
      </c>
      <c r="O8584" s="8"/>
      <c r="P8584" s="26"/>
      <c r="S8584" s="10" t="str">
        <f t="shared" si="674"/>
        <v/>
      </c>
    </row>
    <row r="8585" spans="5:19" x14ac:dyDescent="0.3">
      <c r="E8585" s="9" t="str">
        <f>IF(DADOS!C8585="","",DADOS!C8585)</f>
        <v/>
      </c>
      <c r="F8585" s="9" t="str">
        <f>IF(DADOS!E8585="","",DADOS!E8585)</f>
        <v/>
      </c>
      <c r="G8585" s="9" t="str">
        <f>IF(DADOS!F8585="","",DADOS!F8585)</f>
        <v/>
      </c>
      <c r="K8585" s="6" t="str">
        <f t="shared" si="675"/>
        <v/>
      </c>
      <c r="L8585" s="7" t="str">
        <f t="shared" si="676"/>
        <v/>
      </c>
      <c r="M8585" s="7" t="str">
        <f t="shared" si="673"/>
        <v/>
      </c>
      <c r="N8585" s="7" t="str">
        <f t="shared" si="677"/>
        <v/>
      </c>
      <c r="O8585" s="8"/>
      <c r="P8585" s="26"/>
      <c r="S8585" s="10" t="str">
        <f t="shared" si="674"/>
        <v/>
      </c>
    </row>
    <row r="8586" spans="5:19" x14ac:dyDescent="0.3">
      <c r="E8586" s="9" t="str">
        <f>IF(DADOS!C8586="","",DADOS!C8586)</f>
        <v/>
      </c>
      <c r="F8586" s="9" t="str">
        <f>IF(DADOS!E8586="","",DADOS!E8586)</f>
        <v/>
      </c>
      <c r="G8586" s="9" t="str">
        <f>IF(DADOS!F8586="","",DADOS!F8586)</f>
        <v/>
      </c>
      <c r="K8586" s="6" t="str">
        <f t="shared" si="675"/>
        <v/>
      </c>
      <c r="L8586" s="7" t="str">
        <f t="shared" si="676"/>
        <v/>
      </c>
      <c r="M8586" s="7" t="str">
        <f t="shared" si="673"/>
        <v/>
      </c>
      <c r="N8586" s="7" t="str">
        <f t="shared" si="677"/>
        <v/>
      </c>
      <c r="O8586" s="8"/>
      <c r="P8586" s="26"/>
      <c r="S8586" s="10" t="str">
        <f t="shared" si="674"/>
        <v/>
      </c>
    </row>
    <row r="8587" spans="5:19" x14ac:dyDescent="0.3">
      <c r="E8587" s="9" t="str">
        <f>IF(DADOS!C8587="","",DADOS!C8587)</f>
        <v/>
      </c>
      <c r="F8587" s="9" t="str">
        <f>IF(DADOS!E8587="","",DADOS!E8587)</f>
        <v/>
      </c>
      <c r="G8587" s="9" t="str">
        <f>IF(DADOS!F8587="","",DADOS!F8587)</f>
        <v/>
      </c>
      <c r="K8587" s="6" t="str">
        <f t="shared" si="675"/>
        <v/>
      </c>
      <c r="L8587" s="7" t="str">
        <f t="shared" si="676"/>
        <v/>
      </c>
      <c r="M8587" s="7" t="str">
        <f t="shared" si="673"/>
        <v/>
      </c>
      <c r="N8587" s="7" t="str">
        <f t="shared" si="677"/>
        <v/>
      </c>
      <c r="O8587" s="8"/>
      <c r="P8587" s="26"/>
      <c r="S8587" s="10" t="str">
        <f t="shared" si="674"/>
        <v/>
      </c>
    </row>
    <row r="8588" spans="5:19" x14ac:dyDescent="0.3">
      <c r="E8588" s="9" t="str">
        <f>IF(DADOS!C8588="","",DADOS!C8588)</f>
        <v/>
      </c>
      <c r="F8588" s="9" t="str">
        <f>IF(DADOS!E8588="","",DADOS!E8588)</f>
        <v/>
      </c>
      <c r="G8588" s="9" t="str">
        <f>IF(DADOS!F8588="","",DADOS!F8588)</f>
        <v/>
      </c>
      <c r="K8588" s="6" t="str">
        <f t="shared" si="675"/>
        <v/>
      </c>
      <c r="L8588" s="7" t="str">
        <f t="shared" si="676"/>
        <v/>
      </c>
      <c r="M8588" s="7" t="str">
        <f t="shared" si="673"/>
        <v/>
      </c>
      <c r="N8588" s="7" t="str">
        <f t="shared" si="677"/>
        <v/>
      </c>
      <c r="O8588" s="8"/>
      <c r="P8588" s="26"/>
      <c r="S8588" s="10" t="str">
        <f t="shared" si="674"/>
        <v/>
      </c>
    </row>
    <row r="8589" spans="5:19" x14ac:dyDescent="0.3">
      <c r="E8589" s="9" t="str">
        <f>IF(DADOS!C8589="","",DADOS!C8589)</f>
        <v/>
      </c>
      <c r="F8589" s="9" t="str">
        <f>IF(DADOS!E8589="","",DADOS!E8589)</f>
        <v/>
      </c>
      <c r="G8589" s="9" t="str">
        <f>IF(DADOS!F8589="","",DADOS!F8589)</f>
        <v/>
      </c>
      <c r="K8589" s="6" t="str">
        <f t="shared" si="675"/>
        <v/>
      </c>
      <c r="L8589" s="7" t="str">
        <f t="shared" si="676"/>
        <v/>
      </c>
      <c r="M8589" s="7" t="str">
        <f t="shared" si="673"/>
        <v/>
      </c>
      <c r="N8589" s="7" t="str">
        <f t="shared" si="677"/>
        <v/>
      </c>
      <c r="O8589" s="8"/>
      <c r="P8589" s="26"/>
      <c r="S8589" s="10" t="str">
        <f t="shared" si="674"/>
        <v/>
      </c>
    </row>
    <row r="8590" spans="5:19" x14ac:dyDescent="0.3">
      <c r="E8590" s="9" t="str">
        <f>IF(DADOS!C8590="","",DADOS!C8590)</f>
        <v/>
      </c>
      <c r="F8590" s="9" t="str">
        <f>IF(DADOS!E8590="","",DADOS!E8590)</f>
        <v/>
      </c>
      <c r="G8590" s="9" t="str">
        <f>IF(DADOS!F8590="","",DADOS!F8590)</f>
        <v/>
      </c>
      <c r="K8590" s="6" t="str">
        <f t="shared" si="675"/>
        <v/>
      </c>
      <c r="L8590" s="7" t="str">
        <f t="shared" si="676"/>
        <v/>
      </c>
      <c r="M8590" s="7" t="str">
        <f t="shared" si="673"/>
        <v/>
      </c>
      <c r="N8590" s="7" t="str">
        <f t="shared" si="677"/>
        <v/>
      </c>
      <c r="O8590" s="8"/>
      <c r="P8590" s="26"/>
      <c r="S8590" s="10" t="str">
        <f t="shared" si="674"/>
        <v/>
      </c>
    </row>
    <row r="8591" spans="5:19" x14ac:dyDescent="0.3">
      <c r="E8591" s="9" t="str">
        <f>IF(DADOS!C8591="","",DADOS!C8591)</f>
        <v/>
      </c>
      <c r="F8591" s="9" t="str">
        <f>IF(DADOS!E8591="","",DADOS!E8591)</f>
        <v/>
      </c>
      <c r="G8591" s="9" t="str">
        <f>IF(DADOS!F8591="","",DADOS!F8591)</f>
        <v/>
      </c>
      <c r="K8591" s="6" t="str">
        <f t="shared" si="675"/>
        <v/>
      </c>
      <c r="L8591" s="7" t="str">
        <f t="shared" si="676"/>
        <v/>
      </c>
      <c r="M8591" s="7" t="str">
        <f t="shared" si="673"/>
        <v/>
      </c>
      <c r="N8591" s="7" t="str">
        <f t="shared" si="677"/>
        <v/>
      </c>
      <c r="O8591" s="8"/>
      <c r="P8591" s="26"/>
      <c r="S8591" s="10" t="str">
        <f t="shared" si="674"/>
        <v/>
      </c>
    </row>
    <row r="8592" spans="5:19" x14ac:dyDescent="0.3">
      <c r="E8592" s="9" t="str">
        <f>IF(DADOS!C8592="","",DADOS!C8592)</f>
        <v/>
      </c>
      <c r="F8592" s="9" t="str">
        <f>IF(DADOS!E8592="","",DADOS!E8592)</f>
        <v/>
      </c>
      <c r="G8592" s="9" t="str">
        <f>IF(DADOS!F8592="","",DADOS!F8592)</f>
        <v/>
      </c>
      <c r="K8592" s="6" t="str">
        <f t="shared" si="675"/>
        <v/>
      </c>
      <c r="L8592" s="7" t="str">
        <f t="shared" si="676"/>
        <v/>
      </c>
      <c r="M8592" s="7" t="str">
        <f t="shared" si="673"/>
        <v/>
      </c>
      <c r="N8592" s="7" t="str">
        <f t="shared" si="677"/>
        <v/>
      </c>
      <c r="O8592" s="8"/>
      <c r="P8592" s="26"/>
      <c r="S8592" s="10" t="str">
        <f t="shared" si="674"/>
        <v/>
      </c>
    </row>
    <row r="8593" spans="5:19" x14ac:dyDescent="0.3">
      <c r="E8593" s="9" t="str">
        <f>IF(DADOS!C8593="","",DADOS!C8593)</f>
        <v/>
      </c>
      <c r="F8593" s="9" t="str">
        <f>IF(DADOS!E8593="","",DADOS!E8593)</f>
        <v/>
      </c>
      <c r="G8593" s="9" t="str">
        <f>IF(DADOS!F8593="","",DADOS!F8593)</f>
        <v/>
      </c>
      <c r="K8593" s="6" t="str">
        <f t="shared" si="675"/>
        <v/>
      </c>
      <c r="L8593" s="7" t="str">
        <f t="shared" si="676"/>
        <v/>
      </c>
      <c r="M8593" s="7" t="str">
        <f t="shared" si="673"/>
        <v/>
      </c>
      <c r="N8593" s="7" t="str">
        <f t="shared" si="677"/>
        <v/>
      </c>
      <c r="O8593" s="8"/>
      <c r="P8593" s="26"/>
      <c r="S8593" s="10" t="str">
        <f t="shared" si="674"/>
        <v/>
      </c>
    </row>
    <row r="8594" spans="5:19" x14ac:dyDescent="0.3">
      <c r="E8594" s="9" t="str">
        <f>IF(DADOS!C8594="","",DADOS!C8594)</f>
        <v/>
      </c>
      <c r="F8594" s="9" t="str">
        <f>IF(DADOS!E8594="","",DADOS!E8594)</f>
        <v/>
      </c>
      <c r="G8594" s="9" t="str">
        <f>IF(DADOS!F8594="","",DADOS!F8594)</f>
        <v/>
      </c>
      <c r="K8594" s="6" t="str">
        <f t="shared" si="675"/>
        <v/>
      </c>
      <c r="L8594" s="7" t="str">
        <f t="shared" si="676"/>
        <v/>
      </c>
      <c r="M8594" s="7" t="str">
        <f t="shared" si="673"/>
        <v/>
      </c>
      <c r="N8594" s="7" t="str">
        <f t="shared" si="677"/>
        <v/>
      </c>
      <c r="O8594" s="8"/>
      <c r="P8594" s="26"/>
      <c r="S8594" s="10" t="str">
        <f t="shared" si="674"/>
        <v/>
      </c>
    </row>
    <row r="8595" spans="5:19" x14ac:dyDescent="0.3">
      <c r="E8595" s="9" t="str">
        <f>IF(DADOS!C8595="","",DADOS!C8595)</f>
        <v/>
      </c>
      <c r="F8595" s="9" t="str">
        <f>IF(DADOS!E8595="","",DADOS!E8595)</f>
        <v/>
      </c>
      <c r="G8595" s="9" t="str">
        <f>IF(DADOS!F8595="","",DADOS!F8595)</f>
        <v/>
      </c>
      <c r="K8595" s="6" t="str">
        <f t="shared" si="675"/>
        <v/>
      </c>
      <c r="L8595" s="7" t="str">
        <f t="shared" si="676"/>
        <v/>
      </c>
      <c r="M8595" s="7" t="str">
        <f t="shared" si="673"/>
        <v/>
      </c>
      <c r="N8595" s="7" t="str">
        <f t="shared" si="677"/>
        <v/>
      </c>
      <c r="O8595" s="8"/>
      <c r="P8595" s="26"/>
      <c r="S8595" s="10" t="str">
        <f t="shared" si="674"/>
        <v/>
      </c>
    </row>
    <row r="8596" spans="5:19" x14ac:dyDescent="0.3">
      <c r="E8596" s="9" t="str">
        <f>IF(DADOS!C8596="","",DADOS!C8596)</f>
        <v/>
      </c>
      <c r="F8596" s="9" t="str">
        <f>IF(DADOS!E8596="","",DADOS!E8596)</f>
        <v/>
      </c>
      <c r="G8596" s="9" t="str">
        <f>IF(DADOS!F8596="","",DADOS!F8596)</f>
        <v/>
      </c>
      <c r="K8596" s="6" t="str">
        <f t="shared" si="675"/>
        <v/>
      </c>
      <c r="L8596" s="7" t="str">
        <f t="shared" si="676"/>
        <v/>
      </c>
      <c r="M8596" s="7" t="str">
        <f t="shared" si="673"/>
        <v/>
      </c>
      <c r="N8596" s="7" t="str">
        <f t="shared" si="677"/>
        <v/>
      </c>
      <c r="O8596" s="8"/>
      <c r="P8596" s="26"/>
      <c r="S8596" s="10" t="str">
        <f t="shared" si="674"/>
        <v/>
      </c>
    </row>
    <row r="8597" spans="5:19" x14ac:dyDescent="0.3">
      <c r="E8597" s="9" t="str">
        <f>IF(DADOS!C8597="","",DADOS!C8597)</f>
        <v/>
      </c>
      <c r="F8597" s="9" t="str">
        <f>IF(DADOS!E8597="","",DADOS!E8597)</f>
        <v/>
      </c>
      <c r="G8597" s="9" t="str">
        <f>IF(DADOS!F8597="","",DADOS!F8597)</f>
        <v/>
      </c>
      <c r="K8597" s="6" t="str">
        <f t="shared" si="675"/>
        <v/>
      </c>
      <c r="L8597" s="7" t="str">
        <f t="shared" si="676"/>
        <v/>
      </c>
      <c r="M8597" s="7" t="str">
        <f t="shared" si="673"/>
        <v/>
      </c>
      <c r="N8597" s="7" t="str">
        <f t="shared" si="677"/>
        <v/>
      </c>
      <c r="O8597" s="8"/>
      <c r="P8597" s="26"/>
      <c r="S8597" s="10" t="str">
        <f t="shared" si="674"/>
        <v/>
      </c>
    </row>
    <row r="8598" spans="5:19" x14ac:dyDescent="0.3">
      <c r="E8598" s="9" t="str">
        <f>IF(DADOS!C8598="","",DADOS!C8598)</f>
        <v/>
      </c>
      <c r="F8598" s="9" t="str">
        <f>IF(DADOS!E8598="","",DADOS!E8598)</f>
        <v/>
      </c>
      <c r="G8598" s="9" t="str">
        <f>IF(DADOS!F8598="","",DADOS!F8598)</f>
        <v/>
      </c>
      <c r="K8598" s="6" t="str">
        <f t="shared" si="675"/>
        <v/>
      </c>
      <c r="L8598" s="7" t="str">
        <f t="shared" si="676"/>
        <v/>
      </c>
      <c r="M8598" s="7" t="str">
        <f t="shared" si="673"/>
        <v/>
      </c>
      <c r="N8598" s="7" t="str">
        <f t="shared" si="677"/>
        <v/>
      </c>
      <c r="O8598" s="8"/>
      <c r="P8598" s="26"/>
      <c r="S8598" s="10" t="str">
        <f t="shared" si="674"/>
        <v/>
      </c>
    </row>
    <row r="8599" spans="5:19" x14ac:dyDescent="0.3">
      <c r="E8599" s="9" t="str">
        <f>IF(DADOS!C8599="","",DADOS!C8599)</f>
        <v/>
      </c>
      <c r="F8599" s="9" t="str">
        <f>IF(DADOS!E8599="","",DADOS!E8599)</f>
        <v/>
      </c>
      <c r="G8599" s="9" t="str">
        <f>IF(DADOS!F8599="","",DADOS!F8599)</f>
        <v/>
      </c>
      <c r="K8599" s="6" t="str">
        <f t="shared" si="675"/>
        <v/>
      </c>
      <c r="L8599" s="7" t="str">
        <f t="shared" si="676"/>
        <v/>
      </c>
      <c r="M8599" s="7" t="str">
        <f t="shared" si="673"/>
        <v/>
      </c>
      <c r="N8599" s="7" t="str">
        <f t="shared" si="677"/>
        <v/>
      </c>
      <c r="O8599" s="8"/>
      <c r="P8599" s="26"/>
      <c r="S8599" s="10" t="str">
        <f t="shared" si="674"/>
        <v/>
      </c>
    </row>
    <row r="8600" spans="5:19" x14ac:dyDescent="0.3">
      <c r="E8600" s="9" t="str">
        <f>IF(DADOS!C8600="","",DADOS!C8600)</f>
        <v/>
      </c>
      <c r="F8600" s="9" t="str">
        <f>IF(DADOS!E8600="","",DADOS!E8600)</f>
        <v/>
      </c>
      <c r="G8600" s="9" t="str">
        <f>IF(DADOS!F8600="","",DADOS!F8600)</f>
        <v/>
      </c>
      <c r="K8600" s="6" t="str">
        <f t="shared" si="675"/>
        <v/>
      </c>
      <c r="L8600" s="7" t="str">
        <f t="shared" si="676"/>
        <v/>
      </c>
      <c r="M8600" s="7" t="str">
        <f t="shared" si="673"/>
        <v/>
      </c>
      <c r="N8600" s="7" t="str">
        <f t="shared" si="677"/>
        <v/>
      </c>
      <c r="O8600" s="8"/>
      <c r="P8600" s="26"/>
      <c r="S8600" s="10" t="str">
        <f t="shared" si="674"/>
        <v/>
      </c>
    </row>
    <row r="8601" spans="5:19" x14ac:dyDescent="0.3">
      <c r="E8601" s="9" t="str">
        <f>IF(DADOS!C8601="","",DADOS!C8601)</f>
        <v/>
      </c>
      <c r="F8601" s="9" t="str">
        <f>IF(DADOS!E8601="","",DADOS!E8601)</f>
        <v/>
      </c>
      <c r="G8601" s="9" t="str">
        <f>IF(DADOS!F8601="","",DADOS!F8601)</f>
        <v/>
      </c>
      <c r="K8601" s="6" t="str">
        <f t="shared" si="675"/>
        <v/>
      </c>
      <c r="L8601" s="7" t="str">
        <f t="shared" si="676"/>
        <v/>
      </c>
      <c r="M8601" s="7" t="str">
        <f t="shared" si="673"/>
        <v/>
      </c>
      <c r="N8601" s="7" t="str">
        <f t="shared" si="677"/>
        <v/>
      </c>
      <c r="O8601" s="8"/>
      <c r="P8601" s="26"/>
      <c r="S8601" s="10" t="str">
        <f t="shared" si="674"/>
        <v/>
      </c>
    </row>
    <row r="8602" spans="5:19" x14ac:dyDescent="0.3">
      <c r="E8602" s="9" t="str">
        <f>IF(DADOS!C8602="","",DADOS!C8602)</f>
        <v/>
      </c>
      <c r="F8602" s="9" t="str">
        <f>IF(DADOS!E8602="","",DADOS!E8602)</f>
        <v/>
      </c>
      <c r="G8602" s="9" t="str">
        <f>IF(DADOS!F8602="","",DADOS!F8602)</f>
        <v/>
      </c>
      <c r="K8602" s="6" t="str">
        <f t="shared" si="675"/>
        <v/>
      </c>
      <c r="L8602" s="7" t="str">
        <f t="shared" si="676"/>
        <v/>
      </c>
      <c r="M8602" s="7" t="str">
        <f t="shared" si="673"/>
        <v/>
      </c>
      <c r="N8602" s="7" t="str">
        <f t="shared" si="677"/>
        <v/>
      </c>
      <c r="O8602" s="8"/>
      <c r="P8602" s="26"/>
      <c r="S8602" s="10" t="str">
        <f t="shared" si="674"/>
        <v/>
      </c>
    </row>
    <row r="8603" spans="5:19" x14ac:dyDescent="0.3">
      <c r="E8603" s="9" t="str">
        <f>IF(DADOS!C8603="","",DADOS!C8603)</f>
        <v/>
      </c>
      <c r="F8603" s="9" t="str">
        <f>IF(DADOS!E8603="","",DADOS!E8603)</f>
        <v/>
      </c>
      <c r="G8603" s="9" t="str">
        <f>IF(DADOS!F8603="","",DADOS!F8603)</f>
        <v/>
      </c>
      <c r="K8603" s="6" t="str">
        <f t="shared" si="675"/>
        <v/>
      </c>
      <c r="L8603" s="7" t="str">
        <f t="shared" si="676"/>
        <v/>
      </c>
      <c r="M8603" s="7" t="str">
        <f t="shared" si="673"/>
        <v/>
      </c>
      <c r="N8603" s="7" t="str">
        <f t="shared" si="677"/>
        <v/>
      </c>
      <c r="O8603" s="8"/>
      <c r="P8603" s="26"/>
      <c r="S8603" s="10" t="str">
        <f t="shared" si="674"/>
        <v/>
      </c>
    </row>
    <row r="8604" spans="5:19" x14ac:dyDescent="0.3">
      <c r="E8604" s="9" t="str">
        <f>IF(DADOS!C8604="","",DADOS!C8604)</f>
        <v/>
      </c>
      <c r="F8604" s="9" t="str">
        <f>IF(DADOS!E8604="","",DADOS!E8604)</f>
        <v/>
      </c>
      <c r="G8604" s="9" t="str">
        <f>IF(DADOS!F8604="","",DADOS!F8604)</f>
        <v/>
      </c>
      <c r="K8604" s="6" t="str">
        <f t="shared" si="675"/>
        <v/>
      </c>
      <c r="L8604" s="7" t="str">
        <f t="shared" si="676"/>
        <v/>
      </c>
      <c r="M8604" s="7" t="str">
        <f t="shared" si="673"/>
        <v/>
      </c>
      <c r="N8604" s="7" t="str">
        <f t="shared" si="677"/>
        <v/>
      </c>
      <c r="O8604" s="8"/>
      <c r="P8604" s="26"/>
      <c r="S8604" s="10" t="str">
        <f t="shared" si="674"/>
        <v/>
      </c>
    </row>
    <row r="8605" spans="5:19" x14ac:dyDescent="0.3">
      <c r="E8605" s="9" t="str">
        <f>IF(DADOS!C8605="","",DADOS!C8605)</f>
        <v/>
      </c>
      <c r="F8605" s="9" t="str">
        <f>IF(DADOS!E8605="","",DADOS!E8605)</f>
        <v/>
      </c>
      <c r="G8605" s="9" t="str">
        <f>IF(DADOS!F8605="","",DADOS!F8605)</f>
        <v/>
      </c>
      <c r="K8605" s="6" t="str">
        <f t="shared" si="675"/>
        <v/>
      </c>
      <c r="L8605" s="7" t="str">
        <f t="shared" si="676"/>
        <v/>
      </c>
      <c r="M8605" s="7" t="str">
        <f t="shared" si="673"/>
        <v/>
      </c>
      <c r="N8605" s="7" t="str">
        <f t="shared" si="677"/>
        <v/>
      </c>
      <c r="O8605" s="8"/>
      <c r="P8605" s="26"/>
      <c r="S8605" s="10" t="str">
        <f t="shared" si="674"/>
        <v/>
      </c>
    </row>
    <row r="8606" spans="5:19" x14ac:dyDescent="0.3">
      <c r="E8606" s="9" t="str">
        <f>IF(DADOS!C8606="","",DADOS!C8606)</f>
        <v/>
      </c>
      <c r="F8606" s="9" t="str">
        <f>IF(DADOS!E8606="","",DADOS!E8606)</f>
        <v/>
      </c>
      <c r="G8606" s="9" t="str">
        <f>IF(DADOS!F8606="","",DADOS!F8606)</f>
        <v/>
      </c>
      <c r="K8606" s="6" t="str">
        <f t="shared" si="675"/>
        <v/>
      </c>
      <c r="L8606" s="7" t="str">
        <f t="shared" si="676"/>
        <v/>
      </c>
      <c r="M8606" s="7" t="str">
        <f t="shared" si="673"/>
        <v/>
      </c>
      <c r="N8606" s="7" t="str">
        <f t="shared" si="677"/>
        <v/>
      </c>
      <c r="O8606" s="8"/>
      <c r="P8606" s="26"/>
      <c r="S8606" s="10" t="str">
        <f t="shared" si="674"/>
        <v/>
      </c>
    </row>
    <row r="8607" spans="5:19" x14ac:dyDescent="0.3">
      <c r="E8607" s="9" t="str">
        <f>IF(DADOS!C8607="","",DADOS!C8607)</f>
        <v/>
      </c>
      <c r="F8607" s="9" t="str">
        <f>IF(DADOS!E8607="","",DADOS!E8607)</f>
        <v/>
      </c>
      <c r="G8607" s="9" t="str">
        <f>IF(DADOS!F8607="","",DADOS!F8607)</f>
        <v/>
      </c>
      <c r="K8607" s="6" t="str">
        <f t="shared" si="675"/>
        <v/>
      </c>
      <c r="L8607" s="7" t="str">
        <f t="shared" si="676"/>
        <v/>
      </c>
      <c r="M8607" s="7" t="str">
        <f t="shared" si="673"/>
        <v/>
      </c>
      <c r="N8607" s="7" t="str">
        <f t="shared" si="677"/>
        <v/>
      </c>
      <c r="O8607" s="8"/>
      <c r="P8607" s="26"/>
      <c r="S8607" s="10" t="str">
        <f t="shared" si="674"/>
        <v/>
      </c>
    </row>
    <row r="8608" spans="5:19" x14ac:dyDescent="0.3">
      <c r="E8608" s="9" t="str">
        <f>IF(DADOS!C8608="","",DADOS!C8608)</f>
        <v/>
      </c>
      <c r="F8608" s="9" t="str">
        <f>IF(DADOS!E8608="","",DADOS!E8608)</f>
        <v/>
      </c>
      <c r="G8608" s="9" t="str">
        <f>IF(DADOS!F8608="","",DADOS!F8608)</f>
        <v/>
      </c>
      <c r="K8608" s="6" t="str">
        <f t="shared" si="675"/>
        <v/>
      </c>
      <c r="L8608" s="7" t="str">
        <f t="shared" si="676"/>
        <v/>
      </c>
      <c r="M8608" s="7" t="str">
        <f t="shared" si="673"/>
        <v/>
      </c>
      <c r="N8608" s="7" t="str">
        <f t="shared" si="677"/>
        <v/>
      </c>
      <c r="O8608" s="8"/>
      <c r="P8608" s="26"/>
      <c r="S8608" s="10" t="str">
        <f t="shared" si="674"/>
        <v/>
      </c>
    </row>
    <row r="8609" spans="5:19" x14ac:dyDescent="0.3">
      <c r="E8609" s="9" t="str">
        <f>IF(DADOS!C8609="","",DADOS!C8609)</f>
        <v/>
      </c>
      <c r="F8609" s="9" t="str">
        <f>IF(DADOS!E8609="","",DADOS!E8609)</f>
        <v/>
      </c>
      <c r="G8609" s="9" t="str">
        <f>IF(DADOS!F8609="","",DADOS!F8609)</f>
        <v/>
      </c>
      <c r="K8609" s="6" t="str">
        <f t="shared" si="675"/>
        <v/>
      </c>
      <c r="L8609" s="7" t="str">
        <f t="shared" si="676"/>
        <v/>
      </c>
      <c r="M8609" s="7" t="str">
        <f t="shared" si="673"/>
        <v/>
      </c>
      <c r="N8609" s="7" t="str">
        <f t="shared" si="677"/>
        <v/>
      </c>
      <c r="O8609" s="8"/>
      <c r="P8609" s="26"/>
      <c r="S8609" s="10" t="str">
        <f t="shared" si="674"/>
        <v/>
      </c>
    </row>
    <row r="8610" spans="5:19" x14ac:dyDescent="0.3">
      <c r="E8610" s="9" t="str">
        <f>IF(DADOS!C8610="","",DADOS!C8610)</f>
        <v/>
      </c>
      <c r="F8610" s="9" t="str">
        <f>IF(DADOS!E8610="","",DADOS!E8610)</f>
        <v/>
      </c>
      <c r="G8610" s="9" t="str">
        <f>IF(DADOS!F8610="","",DADOS!F8610)</f>
        <v/>
      </c>
      <c r="K8610" s="6" t="str">
        <f t="shared" si="675"/>
        <v/>
      </c>
      <c r="L8610" s="7" t="str">
        <f t="shared" si="676"/>
        <v/>
      </c>
      <c r="M8610" s="7" t="str">
        <f t="shared" si="673"/>
        <v/>
      </c>
      <c r="N8610" s="7" t="str">
        <f t="shared" si="677"/>
        <v/>
      </c>
      <c r="O8610" s="8"/>
      <c r="P8610" s="26"/>
      <c r="S8610" s="10" t="str">
        <f t="shared" si="674"/>
        <v/>
      </c>
    </row>
    <row r="8611" spans="5:19" x14ac:dyDescent="0.3">
      <c r="E8611" s="9" t="str">
        <f>IF(DADOS!C8611="","",DADOS!C8611)</f>
        <v/>
      </c>
      <c r="F8611" s="9" t="str">
        <f>IF(DADOS!E8611="","",DADOS!E8611)</f>
        <v/>
      </c>
      <c r="G8611" s="9" t="str">
        <f>IF(DADOS!F8611="","",DADOS!F8611)</f>
        <v/>
      </c>
      <c r="K8611" s="6" t="str">
        <f t="shared" si="675"/>
        <v/>
      </c>
      <c r="L8611" s="7" t="str">
        <f t="shared" si="676"/>
        <v/>
      </c>
      <c r="M8611" s="7" t="str">
        <f t="shared" si="673"/>
        <v/>
      </c>
      <c r="N8611" s="7" t="str">
        <f t="shared" si="677"/>
        <v/>
      </c>
      <c r="O8611" s="8"/>
      <c r="P8611" s="26"/>
      <c r="S8611" s="10" t="str">
        <f t="shared" si="674"/>
        <v/>
      </c>
    </row>
    <row r="8612" spans="5:19" x14ac:dyDescent="0.3">
      <c r="E8612" s="9" t="str">
        <f>IF(DADOS!C8612="","",DADOS!C8612)</f>
        <v/>
      </c>
      <c r="F8612" s="9" t="str">
        <f>IF(DADOS!E8612="","",DADOS!E8612)</f>
        <v/>
      </c>
      <c r="G8612" s="9" t="str">
        <f>IF(DADOS!F8612="","",DADOS!F8612)</f>
        <v/>
      </c>
      <c r="K8612" s="6" t="str">
        <f t="shared" si="675"/>
        <v/>
      </c>
      <c r="L8612" s="7" t="str">
        <f t="shared" si="676"/>
        <v/>
      </c>
      <c r="M8612" s="7" t="str">
        <f t="shared" si="673"/>
        <v/>
      </c>
      <c r="N8612" s="7" t="str">
        <f t="shared" si="677"/>
        <v/>
      </c>
      <c r="O8612" s="8"/>
      <c r="P8612" s="26"/>
      <c r="S8612" s="10" t="str">
        <f t="shared" si="674"/>
        <v/>
      </c>
    </row>
    <row r="8613" spans="5:19" x14ac:dyDescent="0.3">
      <c r="E8613" s="9" t="str">
        <f>IF(DADOS!C8613="","",DADOS!C8613)</f>
        <v/>
      </c>
      <c r="F8613" s="9" t="str">
        <f>IF(DADOS!E8613="","",DADOS!E8613)</f>
        <v/>
      </c>
      <c r="G8613" s="9" t="str">
        <f>IF(DADOS!F8613="","",DADOS!F8613)</f>
        <v/>
      </c>
      <c r="K8613" s="6" t="str">
        <f t="shared" si="675"/>
        <v/>
      </c>
      <c r="L8613" s="7" t="str">
        <f t="shared" si="676"/>
        <v/>
      </c>
      <c r="M8613" s="7" t="str">
        <f t="shared" si="673"/>
        <v/>
      </c>
      <c r="N8613" s="7" t="str">
        <f t="shared" si="677"/>
        <v/>
      </c>
      <c r="O8613" s="8"/>
      <c r="P8613" s="26"/>
      <c r="S8613" s="10" t="str">
        <f t="shared" si="674"/>
        <v/>
      </c>
    </row>
    <row r="8614" spans="5:19" x14ac:dyDescent="0.3">
      <c r="E8614" s="9" t="str">
        <f>IF(DADOS!C8614="","",DADOS!C8614)</f>
        <v/>
      </c>
      <c r="F8614" s="9" t="str">
        <f>IF(DADOS!E8614="","",DADOS!E8614)</f>
        <v/>
      </c>
      <c r="G8614" s="9" t="str">
        <f>IF(DADOS!F8614="","",DADOS!F8614)</f>
        <v/>
      </c>
      <c r="K8614" s="6" t="str">
        <f t="shared" si="675"/>
        <v/>
      </c>
      <c r="L8614" s="7" t="str">
        <f t="shared" si="676"/>
        <v/>
      </c>
      <c r="M8614" s="7" t="str">
        <f t="shared" si="673"/>
        <v/>
      </c>
      <c r="N8614" s="7" t="str">
        <f t="shared" si="677"/>
        <v/>
      </c>
      <c r="O8614" s="8"/>
      <c r="P8614" s="26"/>
      <c r="S8614" s="10" t="str">
        <f t="shared" si="674"/>
        <v/>
      </c>
    </row>
    <row r="8615" spans="5:19" x14ac:dyDescent="0.3">
      <c r="E8615" s="9" t="str">
        <f>IF(DADOS!C8615="","",DADOS!C8615)</f>
        <v/>
      </c>
      <c r="F8615" s="9" t="str">
        <f>IF(DADOS!E8615="","",DADOS!E8615)</f>
        <v/>
      </c>
      <c r="G8615" s="9" t="str">
        <f>IF(DADOS!F8615="","",DADOS!F8615)</f>
        <v/>
      </c>
      <c r="K8615" s="6" t="str">
        <f t="shared" si="675"/>
        <v/>
      </c>
      <c r="L8615" s="7" t="str">
        <f t="shared" si="676"/>
        <v/>
      </c>
      <c r="M8615" s="7" t="str">
        <f t="shared" si="673"/>
        <v/>
      </c>
      <c r="N8615" s="7" t="str">
        <f t="shared" si="677"/>
        <v/>
      </c>
      <c r="O8615" s="8"/>
      <c r="P8615" s="26"/>
      <c r="S8615" s="10" t="str">
        <f t="shared" si="674"/>
        <v/>
      </c>
    </row>
    <row r="8616" spans="5:19" x14ac:dyDescent="0.3">
      <c r="E8616" s="9" t="str">
        <f>IF(DADOS!C8616="","",DADOS!C8616)</f>
        <v/>
      </c>
      <c r="F8616" s="9" t="str">
        <f>IF(DADOS!E8616="","",DADOS!E8616)</f>
        <v/>
      </c>
      <c r="G8616" s="9" t="str">
        <f>IF(DADOS!F8616="","",DADOS!F8616)</f>
        <v/>
      </c>
      <c r="K8616" s="6" t="str">
        <f t="shared" si="675"/>
        <v/>
      </c>
      <c r="L8616" s="7" t="str">
        <f t="shared" si="676"/>
        <v/>
      </c>
      <c r="M8616" s="7" t="str">
        <f t="shared" si="673"/>
        <v/>
      </c>
      <c r="N8616" s="7" t="str">
        <f t="shared" si="677"/>
        <v/>
      </c>
      <c r="O8616" s="8"/>
      <c r="P8616" s="26"/>
      <c r="S8616" s="10" t="str">
        <f t="shared" si="674"/>
        <v/>
      </c>
    </row>
    <row r="8617" spans="5:19" x14ac:dyDescent="0.3">
      <c r="E8617" s="9" t="str">
        <f>IF(DADOS!C8617="","",DADOS!C8617)</f>
        <v/>
      </c>
      <c r="F8617" s="9" t="str">
        <f>IF(DADOS!E8617="","",DADOS!E8617)</f>
        <v/>
      </c>
      <c r="G8617" s="9" t="str">
        <f>IF(DADOS!F8617="","",DADOS!F8617)</f>
        <v/>
      </c>
      <c r="K8617" s="6" t="str">
        <f t="shared" si="675"/>
        <v/>
      </c>
      <c r="L8617" s="7" t="str">
        <f t="shared" si="676"/>
        <v/>
      </c>
      <c r="M8617" s="7" t="str">
        <f t="shared" si="673"/>
        <v/>
      </c>
      <c r="N8617" s="7" t="str">
        <f t="shared" si="677"/>
        <v/>
      </c>
      <c r="O8617" s="8"/>
      <c r="P8617" s="26"/>
      <c r="S8617" s="10" t="str">
        <f t="shared" si="674"/>
        <v/>
      </c>
    </row>
    <row r="8618" spans="5:19" x14ac:dyDescent="0.3">
      <c r="E8618" s="9" t="str">
        <f>IF(DADOS!C8618="","",DADOS!C8618)</f>
        <v/>
      </c>
      <c r="F8618" s="9" t="str">
        <f>IF(DADOS!E8618="","",DADOS!E8618)</f>
        <v/>
      </c>
      <c r="G8618" s="9" t="str">
        <f>IF(DADOS!F8618="","",DADOS!F8618)</f>
        <v/>
      </c>
      <c r="K8618" s="6" t="str">
        <f t="shared" si="675"/>
        <v/>
      </c>
      <c r="L8618" s="7" t="str">
        <f t="shared" si="676"/>
        <v/>
      </c>
      <c r="M8618" s="7" t="str">
        <f t="shared" si="673"/>
        <v/>
      </c>
      <c r="N8618" s="7" t="str">
        <f t="shared" si="677"/>
        <v/>
      </c>
      <c r="O8618" s="8"/>
      <c r="P8618" s="26"/>
      <c r="S8618" s="10" t="str">
        <f t="shared" si="674"/>
        <v/>
      </c>
    </row>
    <row r="8619" spans="5:19" x14ac:dyDescent="0.3">
      <c r="E8619" s="9" t="str">
        <f>IF(DADOS!C8619="","",DADOS!C8619)</f>
        <v/>
      </c>
      <c r="F8619" s="9" t="str">
        <f>IF(DADOS!E8619="","",DADOS!E8619)</f>
        <v/>
      </c>
      <c r="G8619" s="9" t="str">
        <f>IF(DADOS!F8619="","",DADOS!F8619)</f>
        <v/>
      </c>
      <c r="K8619" s="6" t="str">
        <f t="shared" si="675"/>
        <v/>
      </c>
      <c r="L8619" s="7" t="str">
        <f t="shared" si="676"/>
        <v/>
      </c>
      <c r="M8619" s="7" t="str">
        <f t="shared" si="673"/>
        <v/>
      </c>
      <c r="N8619" s="7" t="str">
        <f t="shared" si="677"/>
        <v/>
      </c>
      <c r="O8619" s="8"/>
      <c r="P8619" s="26"/>
      <c r="S8619" s="10" t="str">
        <f t="shared" si="674"/>
        <v/>
      </c>
    </row>
    <row r="8620" spans="5:19" x14ac:dyDescent="0.3">
      <c r="E8620" s="9" t="str">
        <f>IF(DADOS!C8620="","",DADOS!C8620)</f>
        <v/>
      </c>
      <c r="F8620" s="9" t="str">
        <f>IF(DADOS!E8620="","",DADOS!E8620)</f>
        <v/>
      </c>
      <c r="G8620" s="9" t="str">
        <f>IF(DADOS!F8620="","",DADOS!F8620)</f>
        <v/>
      </c>
      <c r="K8620" s="6" t="str">
        <f t="shared" si="675"/>
        <v/>
      </c>
      <c r="L8620" s="7" t="str">
        <f t="shared" si="676"/>
        <v/>
      </c>
      <c r="M8620" s="7" t="str">
        <f t="shared" si="673"/>
        <v/>
      </c>
      <c r="N8620" s="7" t="str">
        <f t="shared" si="677"/>
        <v/>
      </c>
      <c r="O8620" s="8"/>
      <c r="P8620" s="26"/>
      <c r="S8620" s="10" t="str">
        <f t="shared" si="674"/>
        <v/>
      </c>
    </row>
    <row r="8621" spans="5:19" x14ac:dyDescent="0.3">
      <c r="E8621" s="9" t="str">
        <f>IF(DADOS!C8621="","",DADOS!C8621)</f>
        <v/>
      </c>
      <c r="F8621" s="9" t="str">
        <f>IF(DADOS!E8621="","",DADOS!E8621)</f>
        <v/>
      </c>
      <c r="G8621" s="9" t="str">
        <f>IF(DADOS!F8621="","",DADOS!F8621)</f>
        <v/>
      </c>
      <c r="K8621" s="6" t="str">
        <f t="shared" si="675"/>
        <v/>
      </c>
      <c r="L8621" s="7" t="str">
        <f t="shared" si="676"/>
        <v/>
      </c>
      <c r="M8621" s="7" t="str">
        <f t="shared" si="673"/>
        <v/>
      </c>
      <c r="N8621" s="7" t="str">
        <f t="shared" si="677"/>
        <v/>
      </c>
      <c r="O8621" s="8"/>
      <c r="P8621" s="26"/>
      <c r="S8621" s="10" t="str">
        <f t="shared" si="674"/>
        <v/>
      </c>
    </row>
    <row r="8622" spans="5:19" x14ac:dyDescent="0.3">
      <c r="E8622" s="9" t="str">
        <f>IF(DADOS!C8622="","",DADOS!C8622)</f>
        <v/>
      </c>
      <c r="F8622" s="9" t="str">
        <f>IF(DADOS!E8622="","",DADOS!E8622)</f>
        <v/>
      </c>
      <c r="G8622" s="9" t="str">
        <f>IF(DADOS!F8622="","",DADOS!F8622)</f>
        <v/>
      </c>
      <c r="K8622" s="6" t="str">
        <f t="shared" si="675"/>
        <v/>
      </c>
      <c r="L8622" s="7" t="str">
        <f t="shared" si="676"/>
        <v/>
      </c>
      <c r="M8622" s="7" t="str">
        <f t="shared" si="673"/>
        <v/>
      </c>
      <c r="N8622" s="7" t="str">
        <f t="shared" si="677"/>
        <v/>
      </c>
      <c r="O8622" s="8"/>
      <c r="P8622" s="26"/>
      <c r="S8622" s="10" t="str">
        <f t="shared" si="674"/>
        <v/>
      </c>
    </row>
    <row r="8623" spans="5:19" x14ac:dyDescent="0.3">
      <c r="E8623" s="9" t="str">
        <f>IF(DADOS!C8623="","",DADOS!C8623)</f>
        <v/>
      </c>
      <c r="F8623" s="9" t="str">
        <f>IF(DADOS!E8623="","",DADOS!E8623)</f>
        <v/>
      </c>
      <c r="G8623" s="9" t="str">
        <f>IF(DADOS!F8623="","",DADOS!F8623)</f>
        <v/>
      </c>
      <c r="K8623" s="6" t="str">
        <f t="shared" si="675"/>
        <v/>
      </c>
      <c r="L8623" s="7" t="str">
        <f t="shared" si="676"/>
        <v/>
      </c>
      <c r="M8623" s="7" t="str">
        <f t="shared" si="673"/>
        <v/>
      </c>
      <c r="N8623" s="7" t="str">
        <f t="shared" si="677"/>
        <v/>
      </c>
      <c r="O8623" s="8"/>
      <c r="P8623" s="26"/>
      <c r="S8623" s="10" t="str">
        <f t="shared" si="674"/>
        <v/>
      </c>
    </row>
    <row r="8624" spans="5:19" x14ac:dyDescent="0.3">
      <c r="E8624" s="9" t="str">
        <f>IF(DADOS!C8624="","",DADOS!C8624)</f>
        <v/>
      </c>
      <c r="F8624" s="9" t="str">
        <f>IF(DADOS!E8624="","",DADOS!E8624)</f>
        <v/>
      </c>
      <c r="G8624" s="9" t="str">
        <f>IF(DADOS!F8624="","",DADOS!F8624)</f>
        <v/>
      </c>
      <c r="K8624" s="6" t="str">
        <f t="shared" si="675"/>
        <v/>
      </c>
      <c r="L8624" s="7" t="str">
        <f t="shared" si="676"/>
        <v/>
      </c>
      <c r="M8624" s="7" t="str">
        <f t="shared" si="673"/>
        <v/>
      </c>
      <c r="N8624" s="7" t="str">
        <f t="shared" si="677"/>
        <v/>
      </c>
      <c r="O8624" s="8"/>
      <c r="P8624" s="26"/>
      <c r="S8624" s="10" t="str">
        <f t="shared" si="674"/>
        <v/>
      </c>
    </row>
    <row r="8625" spans="5:19" x14ac:dyDescent="0.3">
      <c r="E8625" s="9" t="str">
        <f>IF(DADOS!C8625="","",DADOS!C8625)</f>
        <v/>
      </c>
      <c r="F8625" s="9" t="str">
        <f>IF(DADOS!E8625="","",DADOS!E8625)</f>
        <v/>
      </c>
      <c r="G8625" s="9" t="str">
        <f>IF(DADOS!F8625="","",DADOS!F8625)</f>
        <v/>
      </c>
      <c r="K8625" s="6" t="str">
        <f t="shared" si="675"/>
        <v/>
      </c>
      <c r="L8625" s="7" t="str">
        <f t="shared" si="676"/>
        <v/>
      </c>
      <c r="M8625" s="7" t="str">
        <f t="shared" si="673"/>
        <v/>
      </c>
      <c r="N8625" s="7" t="str">
        <f t="shared" si="677"/>
        <v/>
      </c>
      <c r="O8625" s="8"/>
      <c r="P8625" s="26"/>
      <c r="S8625" s="10" t="str">
        <f t="shared" si="674"/>
        <v/>
      </c>
    </row>
    <row r="8626" spans="5:19" x14ac:dyDescent="0.3">
      <c r="E8626" s="9" t="str">
        <f>IF(DADOS!C8626="","",DADOS!C8626)</f>
        <v/>
      </c>
      <c r="F8626" s="9" t="str">
        <f>IF(DADOS!E8626="","",DADOS!E8626)</f>
        <v/>
      </c>
      <c r="G8626" s="9" t="str">
        <f>IF(DADOS!F8626="","",DADOS!F8626)</f>
        <v/>
      </c>
      <c r="K8626" s="6" t="str">
        <f t="shared" si="675"/>
        <v/>
      </c>
      <c r="L8626" s="7" t="str">
        <f t="shared" si="676"/>
        <v/>
      </c>
      <c r="M8626" s="7" t="str">
        <f t="shared" si="673"/>
        <v/>
      </c>
      <c r="N8626" s="7" t="str">
        <f t="shared" si="677"/>
        <v/>
      </c>
      <c r="O8626" s="8"/>
      <c r="P8626" s="26"/>
      <c r="S8626" s="10" t="str">
        <f t="shared" si="674"/>
        <v/>
      </c>
    </row>
    <row r="8627" spans="5:19" x14ac:dyDescent="0.3">
      <c r="E8627" s="9" t="str">
        <f>IF(DADOS!C8627="","",DADOS!C8627)</f>
        <v/>
      </c>
      <c r="F8627" s="9" t="str">
        <f>IF(DADOS!E8627="","",DADOS!E8627)</f>
        <v/>
      </c>
      <c r="G8627" s="9" t="str">
        <f>IF(DADOS!F8627="","",DADOS!F8627)</f>
        <v/>
      </c>
      <c r="K8627" s="6" t="str">
        <f t="shared" si="675"/>
        <v/>
      </c>
      <c r="L8627" s="7" t="str">
        <f t="shared" si="676"/>
        <v/>
      </c>
      <c r="M8627" s="7" t="str">
        <f t="shared" si="673"/>
        <v/>
      </c>
      <c r="N8627" s="7" t="str">
        <f t="shared" si="677"/>
        <v/>
      </c>
      <c r="O8627" s="8"/>
      <c r="P8627" s="26"/>
      <c r="S8627" s="10" t="str">
        <f t="shared" si="674"/>
        <v/>
      </c>
    </row>
    <row r="8628" spans="5:19" x14ac:dyDescent="0.3">
      <c r="E8628" s="9" t="str">
        <f>IF(DADOS!C8628="","",DADOS!C8628)</f>
        <v/>
      </c>
      <c r="F8628" s="9" t="str">
        <f>IF(DADOS!E8628="","",DADOS!E8628)</f>
        <v/>
      </c>
      <c r="G8628" s="9" t="str">
        <f>IF(DADOS!F8628="","",DADOS!F8628)</f>
        <v/>
      </c>
      <c r="K8628" s="6" t="str">
        <f t="shared" si="675"/>
        <v/>
      </c>
      <c r="L8628" s="7" t="str">
        <f t="shared" si="676"/>
        <v/>
      </c>
      <c r="M8628" s="7" t="str">
        <f t="shared" si="673"/>
        <v/>
      </c>
      <c r="N8628" s="7" t="str">
        <f t="shared" si="677"/>
        <v/>
      </c>
      <c r="O8628" s="8"/>
      <c r="P8628" s="26"/>
      <c r="S8628" s="10" t="str">
        <f t="shared" si="674"/>
        <v/>
      </c>
    </row>
    <row r="8629" spans="5:19" x14ac:dyDescent="0.3">
      <c r="E8629" s="9" t="str">
        <f>IF(DADOS!C8629="","",DADOS!C8629)</f>
        <v/>
      </c>
      <c r="F8629" s="9" t="str">
        <f>IF(DADOS!E8629="","",DADOS!E8629)</f>
        <v/>
      </c>
      <c r="G8629" s="9" t="str">
        <f>IF(DADOS!F8629="","",DADOS!F8629)</f>
        <v/>
      </c>
      <c r="K8629" s="6" t="str">
        <f t="shared" si="675"/>
        <v/>
      </c>
      <c r="L8629" s="7" t="str">
        <f t="shared" si="676"/>
        <v/>
      </c>
      <c r="M8629" s="7" t="str">
        <f t="shared" si="673"/>
        <v/>
      </c>
      <c r="N8629" s="7" t="str">
        <f t="shared" si="677"/>
        <v/>
      </c>
      <c r="O8629" s="8"/>
      <c r="P8629" s="26"/>
      <c r="S8629" s="10" t="str">
        <f t="shared" si="674"/>
        <v/>
      </c>
    </row>
    <row r="8630" spans="5:19" x14ac:dyDescent="0.3">
      <c r="E8630" s="9" t="str">
        <f>IF(DADOS!C8630="","",DADOS!C8630)</f>
        <v/>
      </c>
      <c r="F8630" s="9" t="str">
        <f>IF(DADOS!E8630="","",DADOS!E8630)</f>
        <v/>
      </c>
      <c r="G8630" s="9" t="str">
        <f>IF(DADOS!F8630="","",DADOS!F8630)</f>
        <v/>
      </c>
      <c r="K8630" s="6" t="str">
        <f t="shared" si="675"/>
        <v/>
      </c>
      <c r="L8630" s="7" t="str">
        <f t="shared" si="676"/>
        <v/>
      </c>
      <c r="M8630" s="7" t="str">
        <f t="shared" si="673"/>
        <v/>
      </c>
      <c r="N8630" s="7" t="str">
        <f t="shared" si="677"/>
        <v/>
      </c>
      <c r="O8630" s="8"/>
      <c r="P8630" s="26"/>
      <c r="S8630" s="10" t="str">
        <f t="shared" si="674"/>
        <v/>
      </c>
    </row>
    <row r="8631" spans="5:19" x14ac:dyDescent="0.3">
      <c r="E8631" s="9" t="str">
        <f>IF(DADOS!C8631="","",DADOS!C8631)</f>
        <v/>
      </c>
      <c r="F8631" s="9" t="str">
        <f>IF(DADOS!E8631="","",DADOS!E8631)</f>
        <v/>
      </c>
      <c r="G8631" s="9" t="str">
        <f>IF(DADOS!F8631="","",DADOS!F8631)</f>
        <v/>
      </c>
      <c r="K8631" s="6" t="str">
        <f t="shared" si="675"/>
        <v/>
      </c>
      <c r="L8631" s="7" t="str">
        <f t="shared" si="676"/>
        <v/>
      </c>
      <c r="M8631" s="7" t="str">
        <f t="shared" si="673"/>
        <v/>
      </c>
      <c r="N8631" s="7" t="str">
        <f t="shared" si="677"/>
        <v/>
      </c>
      <c r="O8631" s="8"/>
      <c r="P8631" s="26"/>
      <c r="S8631" s="10" t="str">
        <f t="shared" si="674"/>
        <v/>
      </c>
    </row>
    <row r="8632" spans="5:19" x14ac:dyDescent="0.3">
      <c r="E8632" s="9" t="str">
        <f>IF(DADOS!C8632="","",DADOS!C8632)</f>
        <v/>
      </c>
      <c r="F8632" s="9" t="str">
        <f>IF(DADOS!E8632="","",DADOS!E8632)</f>
        <v/>
      </c>
      <c r="G8632" s="9" t="str">
        <f>IF(DADOS!F8632="","",DADOS!F8632)</f>
        <v/>
      </c>
      <c r="K8632" s="6" t="str">
        <f t="shared" si="675"/>
        <v/>
      </c>
      <c r="L8632" s="7" t="str">
        <f t="shared" si="676"/>
        <v/>
      </c>
      <c r="M8632" s="7" t="str">
        <f t="shared" si="673"/>
        <v/>
      </c>
      <c r="N8632" s="7" t="str">
        <f t="shared" si="677"/>
        <v/>
      </c>
      <c r="O8632" s="8"/>
      <c r="P8632" s="26"/>
      <c r="S8632" s="10" t="str">
        <f t="shared" si="674"/>
        <v/>
      </c>
    </row>
    <row r="8633" spans="5:19" x14ac:dyDescent="0.3">
      <c r="E8633" s="9" t="str">
        <f>IF(DADOS!C8633="","",DADOS!C8633)</f>
        <v/>
      </c>
      <c r="F8633" s="9" t="str">
        <f>IF(DADOS!E8633="","",DADOS!E8633)</f>
        <v/>
      </c>
      <c r="G8633" s="9" t="str">
        <f>IF(DADOS!F8633="","",DADOS!F8633)</f>
        <v/>
      </c>
      <c r="K8633" s="6" t="str">
        <f t="shared" si="675"/>
        <v/>
      </c>
      <c r="L8633" s="7" t="str">
        <f t="shared" si="676"/>
        <v/>
      </c>
      <c r="M8633" s="7" t="str">
        <f t="shared" si="673"/>
        <v/>
      </c>
      <c r="N8633" s="7" t="str">
        <f t="shared" si="677"/>
        <v/>
      </c>
      <c r="O8633" s="8"/>
      <c r="P8633" s="26"/>
      <c r="S8633" s="10" t="str">
        <f t="shared" si="674"/>
        <v/>
      </c>
    </row>
    <row r="8634" spans="5:19" x14ac:dyDescent="0.3">
      <c r="E8634" s="9" t="str">
        <f>IF(DADOS!C8634="","",DADOS!C8634)</f>
        <v/>
      </c>
      <c r="F8634" s="9" t="str">
        <f>IF(DADOS!E8634="","",DADOS!E8634)</f>
        <v/>
      </c>
      <c r="G8634" s="9" t="str">
        <f>IF(DADOS!F8634="","",DADOS!F8634)</f>
        <v/>
      </c>
      <c r="K8634" s="6" t="str">
        <f t="shared" si="675"/>
        <v/>
      </c>
      <c r="L8634" s="7" t="str">
        <f t="shared" si="676"/>
        <v/>
      </c>
      <c r="M8634" s="7" t="str">
        <f t="shared" si="673"/>
        <v/>
      </c>
      <c r="N8634" s="7" t="str">
        <f t="shared" si="677"/>
        <v/>
      </c>
      <c r="O8634" s="8"/>
      <c r="P8634" s="26"/>
      <c r="S8634" s="10" t="str">
        <f t="shared" si="674"/>
        <v/>
      </c>
    </row>
    <row r="8635" spans="5:19" x14ac:dyDescent="0.3">
      <c r="E8635" s="9" t="str">
        <f>IF(DADOS!C8635="","",DADOS!C8635)</f>
        <v/>
      </c>
      <c r="F8635" s="9" t="str">
        <f>IF(DADOS!E8635="","",DADOS!E8635)</f>
        <v/>
      </c>
      <c r="G8635" s="9" t="str">
        <f>IF(DADOS!F8635="","",DADOS!F8635)</f>
        <v/>
      </c>
      <c r="K8635" s="6" t="str">
        <f t="shared" si="675"/>
        <v/>
      </c>
      <c r="L8635" s="7" t="str">
        <f t="shared" si="676"/>
        <v/>
      </c>
      <c r="M8635" s="7" t="str">
        <f t="shared" si="673"/>
        <v/>
      </c>
      <c r="N8635" s="7" t="str">
        <f t="shared" si="677"/>
        <v/>
      </c>
      <c r="O8635" s="8"/>
      <c r="P8635" s="26"/>
      <c r="S8635" s="10" t="str">
        <f t="shared" si="674"/>
        <v/>
      </c>
    </row>
    <row r="8636" spans="5:19" x14ac:dyDescent="0.3">
      <c r="E8636" s="9" t="str">
        <f>IF(DADOS!C8636="","",DADOS!C8636)</f>
        <v/>
      </c>
      <c r="F8636" s="9" t="str">
        <f>IF(DADOS!E8636="","",DADOS!E8636)</f>
        <v/>
      </c>
      <c r="G8636" s="9" t="str">
        <f>IF(DADOS!F8636="","",DADOS!F8636)</f>
        <v/>
      </c>
      <c r="K8636" s="6" t="str">
        <f t="shared" si="675"/>
        <v/>
      </c>
      <c r="L8636" s="7" t="str">
        <f t="shared" si="676"/>
        <v/>
      </c>
      <c r="M8636" s="7" t="str">
        <f t="shared" si="673"/>
        <v/>
      </c>
      <c r="N8636" s="7" t="str">
        <f t="shared" si="677"/>
        <v/>
      </c>
      <c r="O8636" s="8"/>
      <c r="P8636" s="26"/>
      <c r="S8636" s="10" t="str">
        <f t="shared" si="674"/>
        <v/>
      </c>
    </row>
    <row r="8637" spans="5:19" x14ac:dyDescent="0.3">
      <c r="E8637" s="9" t="str">
        <f>IF(DADOS!C8637="","",DADOS!C8637)</f>
        <v/>
      </c>
      <c r="F8637" s="9" t="str">
        <f>IF(DADOS!E8637="","",DADOS!E8637)</f>
        <v/>
      </c>
      <c r="G8637" s="9" t="str">
        <f>IF(DADOS!F8637="","",DADOS!F8637)</f>
        <v/>
      </c>
      <c r="K8637" s="6" t="str">
        <f t="shared" si="675"/>
        <v/>
      </c>
      <c r="L8637" s="7" t="str">
        <f t="shared" si="676"/>
        <v/>
      </c>
      <c r="M8637" s="7" t="str">
        <f t="shared" si="673"/>
        <v/>
      </c>
      <c r="N8637" s="7" t="str">
        <f t="shared" si="677"/>
        <v/>
      </c>
      <c r="O8637" s="8"/>
      <c r="P8637" s="26"/>
      <c r="S8637" s="10" t="str">
        <f t="shared" si="674"/>
        <v/>
      </c>
    </row>
    <row r="8638" spans="5:19" x14ac:dyDescent="0.3">
      <c r="E8638" s="9" t="str">
        <f>IF(DADOS!C8638="","",DADOS!C8638)</f>
        <v/>
      </c>
      <c r="F8638" s="9" t="str">
        <f>IF(DADOS!E8638="","",DADOS!E8638)</f>
        <v/>
      </c>
      <c r="G8638" s="9" t="str">
        <f>IF(DADOS!F8638="","",DADOS!F8638)</f>
        <v/>
      </c>
      <c r="K8638" s="6" t="str">
        <f t="shared" si="675"/>
        <v/>
      </c>
      <c r="L8638" s="7" t="str">
        <f t="shared" si="676"/>
        <v/>
      </c>
      <c r="M8638" s="7" t="str">
        <f t="shared" si="673"/>
        <v/>
      </c>
      <c r="N8638" s="7" t="str">
        <f t="shared" si="677"/>
        <v/>
      </c>
      <c r="O8638" s="8"/>
      <c r="P8638" s="26"/>
      <c r="S8638" s="10" t="str">
        <f t="shared" si="674"/>
        <v/>
      </c>
    </row>
    <row r="8639" spans="5:19" x14ac:dyDescent="0.3">
      <c r="E8639" s="9" t="str">
        <f>IF(DADOS!C8639="","",DADOS!C8639)</f>
        <v/>
      </c>
      <c r="F8639" s="9" t="str">
        <f>IF(DADOS!E8639="","",DADOS!E8639)</f>
        <v/>
      </c>
      <c r="G8639" s="9" t="str">
        <f>IF(DADOS!F8639="","",DADOS!F8639)</f>
        <v/>
      </c>
      <c r="K8639" s="6" t="str">
        <f t="shared" si="675"/>
        <v/>
      </c>
      <c r="L8639" s="7" t="str">
        <f t="shared" si="676"/>
        <v/>
      </c>
      <c r="M8639" s="7" t="str">
        <f t="shared" si="673"/>
        <v/>
      </c>
      <c r="N8639" s="7" t="str">
        <f t="shared" si="677"/>
        <v/>
      </c>
      <c r="O8639" s="8"/>
      <c r="P8639" s="26"/>
      <c r="S8639" s="10" t="str">
        <f t="shared" si="674"/>
        <v/>
      </c>
    </row>
    <row r="8640" spans="5:19" x14ac:dyDescent="0.3">
      <c r="E8640" s="9" t="str">
        <f>IF(DADOS!C8640="","",DADOS!C8640)</f>
        <v/>
      </c>
      <c r="F8640" s="9" t="str">
        <f>IF(DADOS!E8640="","",DADOS!E8640)</f>
        <v/>
      </c>
      <c r="G8640" s="9" t="str">
        <f>IF(DADOS!F8640="","",DADOS!F8640)</f>
        <v/>
      </c>
      <c r="K8640" s="6" t="str">
        <f t="shared" si="675"/>
        <v/>
      </c>
      <c r="L8640" s="7" t="str">
        <f t="shared" si="676"/>
        <v/>
      </c>
      <c r="M8640" s="7" t="str">
        <f t="shared" si="673"/>
        <v/>
      </c>
      <c r="N8640" s="7" t="str">
        <f t="shared" si="677"/>
        <v/>
      </c>
      <c r="O8640" s="8"/>
      <c r="P8640" s="26"/>
      <c r="S8640" s="10" t="str">
        <f t="shared" si="674"/>
        <v/>
      </c>
    </row>
    <row r="8641" spans="5:19" x14ac:dyDescent="0.3">
      <c r="E8641" s="9" t="str">
        <f>IF(DADOS!C8641="","",DADOS!C8641)</f>
        <v/>
      </c>
      <c r="F8641" s="9" t="str">
        <f>IF(DADOS!E8641="","",DADOS!E8641)</f>
        <v/>
      </c>
      <c r="G8641" s="9" t="str">
        <f>IF(DADOS!F8641="","",DADOS!F8641)</f>
        <v/>
      </c>
      <c r="K8641" s="6" t="str">
        <f t="shared" si="675"/>
        <v/>
      </c>
      <c r="L8641" s="7" t="str">
        <f t="shared" si="676"/>
        <v/>
      </c>
      <c r="M8641" s="7" t="str">
        <f t="shared" si="673"/>
        <v/>
      </c>
      <c r="N8641" s="7" t="str">
        <f t="shared" si="677"/>
        <v/>
      </c>
      <c r="O8641" s="8"/>
      <c r="P8641" s="26"/>
      <c r="S8641" s="10" t="str">
        <f t="shared" si="674"/>
        <v/>
      </c>
    </row>
    <row r="8642" spans="5:19" x14ac:dyDescent="0.3">
      <c r="E8642" s="9" t="str">
        <f>IF(DADOS!C8642="","",DADOS!C8642)</f>
        <v/>
      </c>
      <c r="F8642" s="9" t="str">
        <f>IF(DADOS!E8642="","",DADOS!E8642)</f>
        <v/>
      </c>
      <c r="G8642" s="9" t="str">
        <f>IF(DADOS!F8642="","",DADOS!F8642)</f>
        <v/>
      </c>
      <c r="K8642" s="6" t="str">
        <f t="shared" si="675"/>
        <v/>
      </c>
      <c r="L8642" s="7" t="str">
        <f t="shared" si="676"/>
        <v/>
      </c>
      <c r="M8642" s="7" t="str">
        <f t="shared" si="673"/>
        <v/>
      </c>
      <c r="N8642" s="7" t="str">
        <f t="shared" si="677"/>
        <v/>
      </c>
      <c r="O8642" s="8"/>
      <c r="P8642" s="26"/>
      <c r="S8642" s="10" t="str">
        <f t="shared" si="674"/>
        <v/>
      </c>
    </row>
    <row r="8643" spans="5:19" x14ac:dyDescent="0.3">
      <c r="E8643" s="9" t="str">
        <f>IF(DADOS!C8643="","",DADOS!C8643)</f>
        <v/>
      </c>
      <c r="F8643" s="9" t="str">
        <f>IF(DADOS!E8643="","",DADOS!E8643)</f>
        <v/>
      </c>
      <c r="G8643" s="9" t="str">
        <f>IF(DADOS!F8643="","",DADOS!F8643)</f>
        <v/>
      </c>
      <c r="K8643" s="6" t="str">
        <f t="shared" si="675"/>
        <v/>
      </c>
      <c r="L8643" s="7" t="str">
        <f t="shared" si="676"/>
        <v/>
      </c>
      <c r="M8643" s="7" t="str">
        <f t="shared" ref="M8643:M8706" si="678">IF(L8643="","",L8643*G8643)</f>
        <v/>
      </c>
      <c r="N8643" s="7" t="str">
        <f t="shared" si="677"/>
        <v/>
      </c>
      <c r="O8643" s="8"/>
      <c r="P8643" s="26"/>
      <c r="S8643" s="10" t="str">
        <f t="shared" ref="S8643:S8706" si="679">IF(R8643="","",SUMIFS($N$3:$N$10000,$E$3:$E$10000,R8643))</f>
        <v/>
      </c>
    </row>
    <row r="8644" spans="5:19" x14ac:dyDescent="0.3">
      <c r="E8644" s="9" t="str">
        <f>IF(DADOS!C8644="","",DADOS!C8644)</f>
        <v/>
      </c>
      <c r="F8644" s="9" t="str">
        <f>IF(DADOS!E8644="","",DADOS!E8644)</f>
        <v/>
      </c>
      <c r="G8644" s="9" t="str">
        <f>IF(DADOS!F8644="","",DADOS!F8644)</f>
        <v/>
      </c>
      <c r="K8644" s="6" t="str">
        <f t="shared" ref="K8644:K8707" si="680">IF(F8644="","",F8644/PI())</f>
        <v/>
      </c>
      <c r="L8644" s="7" t="str">
        <f t="shared" ref="L8644:L8707" si="681">IF(K8644="","",(PI()*K8644^2)/40000)</f>
        <v/>
      </c>
      <c r="M8644" s="7" t="str">
        <f t="shared" si="678"/>
        <v/>
      </c>
      <c r="N8644" s="7" t="str">
        <f t="shared" ref="N8644:N8707" si="682">IF(M8644="","",M8644*N$1)</f>
        <v/>
      </c>
      <c r="O8644" s="8"/>
      <c r="P8644" s="26"/>
      <c r="S8644" s="10" t="str">
        <f t="shared" si="679"/>
        <v/>
      </c>
    </row>
    <row r="8645" spans="5:19" x14ac:dyDescent="0.3">
      <c r="E8645" s="9" t="str">
        <f>IF(DADOS!C8645="","",DADOS!C8645)</f>
        <v/>
      </c>
      <c r="F8645" s="9" t="str">
        <f>IF(DADOS!E8645="","",DADOS!E8645)</f>
        <v/>
      </c>
      <c r="G8645" s="9" t="str">
        <f>IF(DADOS!F8645="","",DADOS!F8645)</f>
        <v/>
      </c>
      <c r="K8645" s="6" t="str">
        <f t="shared" si="680"/>
        <v/>
      </c>
      <c r="L8645" s="7" t="str">
        <f t="shared" si="681"/>
        <v/>
      </c>
      <c r="M8645" s="7" t="str">
        <f t="shared" si="678"/>
        <v/>
      </c>
      <c r="N8645" s="7" t="str">
        <f t="shared" si="682"/>
        <v/>
      </c>
      <c r="O8645" s="8"/>
      <c r="P8645" s="26"/>
      <c r="S8645" s="10" t="str">
        <f t="shared" si="679"/>
        <v/>
      </c>
    </row>
    <row r="8646" spans="5:19" x14ac:dyDescent="0.3">
      <c r="E8646" s="9" t="str">
        <f>IF(DADOS!C8646="","",DADOS!C8646)</f>
        <v/>
      </c>
      <c r="F8646" s="9" t="str">
        <f>IF(DADOS!E8646="","",DADOS!E8646)</f>
        <v/>
      </c>
      <c r="G8646" s="9" t="str">
        <f>IF(DADOS!F8646="","",DADOS!F8646)</f>
        <v/>
      </c>
      <c r="K8646" s="6" t="str">
        <f t="shared" si="680"/>
        <v/>
      </c>
      <c r="L8646" s="7" t="str">
        <f t="shared" si="681"/>
        <v/>
      </c>
      <c r="M8646" s="7" t="str">
        <f t="shared" si="678"/>
        <v/>
      </c>
      <c r="N8646" s="7" t="str">
        <f t="shared" si="682"/>
        <v/>
      </c>
      <c r="O8646" s="8"/>
      <c r="P8646" s="26"/>
      <c r="S8646" s="10" t="str">
        <f t="shared" si="679"/>
        <v/>
      </c>
    </row>
    <row r="8647" spans="5:19" x14ac:dyDescent="0.3">
      <c r="E8647" s="9" t="str">
        <f>IF(DADOS!C8647="","",DADOS!C8647)</f>
        <v/>
      </c>
      <c r="F8647" s="9" t="str">
        <f>IF(DADOS!E8647="","",DADOS!E8647)</f>
        <v/>
      </c>
      <c r="G8647" s="9" t="str">
        <f>IF(DADOS!F8647="","",DADOS!F8647)</f>
        <v/>
      </c>
      <c r="K8647" s="6" t="str">
        <f t="shared" si="680"/>
        <v/>
      </c>
      <c r="L8647" s="7" t="str">
        <f t="shared" si="681"/>
        <v/>
      </c>
      <c r="M8647" s="7" t="str">
        <f t="shared" si="678"/>
        <v/>
      </c>
      <c r="N8647" s="7" t="str">
        <f t="shared" si="682"/>
        <v/>
      </c>
      <c r="O8647" s="8"/>
      <c r="P8647" s="26"/>
      <c r="S8647" s="10" t="str">
        <f t="shared" si="679"/>
        <v/>
      </c>
    </row>
    <row r="8648" spans="5:19" x14ac:dyDescent="0.3">
      <c r="E8648" s="9" t="str">
        <f>IF(DADOS!C8648="","",DADOS!C8648)</f>
        <v/>
      </c>
      <c r="F8648" s="9" t="str">
        <f>IF(DADOS!E8648="","",DADOS!E8648)</f>
        <v/>
      </c>
      <c r="G8648" s="9" t="str">
        <f>IF(DADOS!F8648="","",DADOS!F8648)</f>
        <v/>
      </c>
      <c r="K8648" s="6" t="str">
        <f t="shared" si="680"/>
        <v/>
      </c>
      <c r="L8648" s="7" t="str">
        <f t="shared" si="681"/>
        <v/>
      </c>
      <c r="M8648" s="7" t="str">
        <f t="shared" si="678"/>
        <v/>
      </c>
      <c r="N8648" s="7" t="str">
        <f t="shared" si="682"/>
        <v/>
      </c>
      <c r="O8648" s="8"/>
      <c r="P8648" s="26"/>
      <c r="S8648" s="10" t="str">
        <f t="shared" si="679"/>
        <v/>
      </c>
    </row>
    <row r="8649" spans="5:19" x14ac:dyDescent="0.3">
      <c r="E8649" s="9" t="str">
        <f>IF(DADOS!C8649="","",DADOS!C8649)</f>
        <v/>
      </c>
      <c r="F8649" s="9" t="str">
        <f>IF(DADOS!E8649="","",DADOS!E8649)</f>
        <v/>
      </c>
      <c r="G8649" s="9" t="str">
        <f>IF(DADOS!F8649="","",DADOS!F8649)</f>
        <v/>
      </c>
      <c r="K8649" s="6" t="str">
        <f t="shared" si="680"/>
        <v/>
      </c>
      <c r="L8649" s="7" t="str">
        <f t="shared" si="681"/>
        <v/>
      </c>
      <c r="M8649" s="7" t="str">
        <f t="shared" si="678"/>
        <v/>
      </c>
      <c r="N8649" s="7" t="str">
        <f t="shared" si="682"/>
        <v/>
      </c>
      <c r="O8649" s="8"/>
      <c r="P8649" s="26"/>
      <c r="S8649" s="10" t="str">
        <f t="shared" si="679"/>
        <v/>
      </c>
    </row>
    <row r="8650" spans="5:19" x14ac:dyDescent="0.3">
      <c r="E8650" s="9" t="str">
        <f>IF(DADOS!C8650="","",DADOS!C8650)</f>
        <v/>
      </c>
      <c r="F8650" s="9" t="str">
        <f>IF(DADOS!E8650="","",DADOS!E8650)</f>
        <v/>
      </c>
      <c r="G8650" s="9" t="str">
        <f>IF(DADOS!F8650="","",DADOS!F8650)</f>
        <v/>
      </c>
      <c r="K8650" s="6" t="str">
        <f t="shared" si="680"/>
        <v/>
      </c>
      <c r="L8650" s="7" t="str">
        <f t="shared" si="681"/>
        <v/>
      </c>
      <c r="M8650" s="7" t="str">
        <f t="shared" si="678"/>
        <v/>
      </c>
      <c r="N8650" s="7" t="str">
        <f t="shared" si="682"/>
        <v/>
      </c>
      <c r="O8650" s="8"/>
      <c r="P8650" s="26"/>
      <c r="S8650" s="10" t="str">
        <f t="shared" si="679"/>
        <v/>
      </c>
    </row>
    <row r="8651" spans="5:19" x14ac:dyDescent="0.3">
      <c r="E8651" s="9" t="str">
        <f>IF(DADOS!C8651="","",DADOS!C8651)</f>
        <v/>
      </c>
      <c r="F8651" s="9" t="str">
        <f>IF(DADOS!E8651="","",DADOS!E8651)</f>
        <v/>
      </c>
      <c r="G8651" s="9" t="str">
        <f>IF(DADOS!F8651="","",DADOS!F8651)</f>
        <v/>
      </c>
      <c r="K8651" s="6" t="str">
        <f t="shared" si="680"/>
        <v/>
      </c>
      <c r="L8651" s="7" t="str">
        <f t="shared" si="681"/>
        <v/>
      </c>
      <c r="M8651" s="7" t="str">
        <f t="shared" si="678"/>
        <v/>
      </c>
      <c r="N8651" s="7" t="str">
        <f t="shared" si="682"/>
        <v/>
      </c>
      <c r="O8651" s="8"/>
      <c r="P8651" s="26"/>
      <c r="S8651" s="10" t="str">
        <f t="shared" si="679"/>
        <v/>
      </c>
    </row>
    <row r="8652" spans="5:19" x14ac:dyDescent="0.3">
      <c r="E8652" s="9" t="str">
        <f>IF(DADOS!C8652="","",DADOS!C8652)</f>
        <v/>
      </c>
      <c r="F8652" s="9" t="str">
        <f>IF(DADOS!E8652="","",DADOS!E8652)</f>
        <v/>
      </c>
      <c r="G8652" s="9" t="str">
        <f>IF(DADOS!F8652="","",DADOS!F8652)</f>
        <v/>
      </c>
      <c r="K8652" s="6" t="str">
        <f t="shared" si="680"/>
        <v/>
      </c>
      <c r="L8652" s="7" t="str">
        <f t="shared" si="681"/>
        <v/>
      </c>
      <c r="M8652" s="7" t="str">
        <f t="shared" si="678"/>
        <v/>
      </c>
      <c r="N8652" s="7" t="str">
        <f t="shared" si="682"/>
        <v/>
      </c>
      <c r="O8652" s="8"/>
      <c r="P8652" s="26"/>
      <c r="S8652" s="10" t="str">
        <f t="shared" si="679"/>
        <v/>
      </c>
    </row>
    <row r="8653" spans="5:19" x14ac:dyDescent="0.3">
      <c r="E8653" s="9" t="str">
        <f>IF(DADOS!C8653="","",DADOS!C8653)</f>
        <v/>
      </c>
      <c r="F8653" s="9" t="str">
        <f>IF(DADOS!E8653="","",DADOS!E8653)</f>
        <v/>
      </c>
      <c r="G8653" s="9" t="str">
        <f>IF(DADOS!F8653="","",DADOS!F8653)</f>
        <v/>
      </c>
      <c r="K8653" s="6" t="str">
        <f t="shared" si="680"/>
        <v/>
      </c>
      <c r="L8653" s="7" t="str">
        <f t="shared" si="681"/>
        <v/>
      </c>
      <c r="M8653" s="7" t="str">
        <f t="shared" si="678"/>
        <v/>
      </c>
      <c r="N8653" s="7" t="str">
        <f t="shared" si="682"/>
        <v/>
      </c>
      <c r="O8653" s="8"/>
      <c r="P8653" s="26"/>
      <c r="S8653" s="10" t="str">
        <f t="shared" si="679"/>
        <v/>
      </c>
    </row>
    <row r="8654" spans="5:19" x14ac:dyDescent="0.3">
      <c r="E8654" s="9" t="str">
        <f>IF(DADOS!C8654="","",DADOS!C8654)</f>
        <v/>
      </c>
      <c r="F8654" s="9" t="str">
        <f>IF(DADOS!E8654="","",DADOS!E8654)</f>
        <v/>
      </c>
      <c r="G8654" s="9" t="str">
        <f>IF(DADOS!F8654="","",DADOS!F8654)</f>
        <v/>
      </c>
      <c r="K8654" s="6" t="str">
        <f t="shared" si="680"/>
        <v/>
      </c>
      <c r="L8654" s="7" t="str">
        <f t="shared" si="681"/>
        <v/>
      </c>
      <c r="M8654" s="7" t="str">
        <f t="shared" si="678"/>
        <v/>
      </c>
      <c r="N8654" s="7" t="str">
        <f t="shared" si="682"/>
        <v/>
      </c>
      <c r="O8654" s="8"/>
      <c r="P8654" s="26"/>
      <c r="S8654" s="10" t="str">
        <f t="shared" si="679"/>
        <v/>
      </c>
    </row>
    <row r="8655" spans="5:19" x14ac:dyDescent="0.3">
      <c r="E8655" s="9" t="str">
        <f>IF(DADOS!C8655="","",DADOS!C8655)</f>
        <v/>
      </c>
      <c r="F8655" s="9" t="str">
        <f>IF(DADOS!E8655="","",DADOS!E8655)</f>
        <v/>
      </c>
      <c r="G8655" s="9" t="str">
        <f>IF(DADOS!F8655="","",DADOS!F8655)</f>
        <v/>
      </c>
      <c r="K8655" s="6" t="str">
        <f t="shared" si="680"/>
        <v/>
      </c>
      <c r="L8655" s="7" t="str">
        <f t="shared" si="681"/>
        <v/>
      </c>
      <c r="M8655" s="7" t="str">
        <f t="shared" si="678"/>
        <v/>
      </c>
      <c r="N8655" s="7" t="str">
        <f t="shared" si="682"/>
        <v/>
      </c>
      <c r="O8655" s="8"/>
      <c r="P8655" s="26"/>
      <c r="S8655" s="10" t="str">
        <f t="shared" si="679"/>
        <v/>
      </c>
    </row>
    <row r="8656" spans="5:19" x14ac:dyDescent="0.3">
      <c r="E8656" s="9" t="str">
        <f>IF(DADOS!C8656="","",DADOS!C8656)</f>
        <v/>
      </c>
      <c r="F8656" s="9" t="str">
        <f>IF(DADOS!E8656="","",DADOS!E8656)</f>
        <v/>
      </c>
      <c r="G8656" s="9" t="str">
        <f>IF(DADOS!F8656="","",DADOS!F8656)</f>
        <v/>
      </c>
      <c r="K8656" s="6" t="str">
        <f t="shared" si="680"/>
        <v/>
      </c>
      <c r="L8656" s="7" t="str">
        <f t="shared" si="681"/>
        <v/>
      </c>
      <c r="M8656" s="7" t="str">
        <f t="shared" si="678"/>
        <v/>
      </c>
      <c r="N8656" s="7" t="str">
        <f t="shared" si="682"/>
        <v/>
      </c>
      <c r="O8656" s="8"/>
      <c r="P8656" s="26"/>
      <c r="S8656" s="10" t="str">
        <f t="shared" si="679"/>
        <v/>
      </c>
    </row>
    <row r="8657" spans="5:19" x14ac:dyDescent="0.3">
      <c r="E8657" s="9" t="str">
        <f>IF(DADOS!C8657="","",DADOS!C8657)</f>
        <v/>
      </c>
      <c r="F8657" s="9" t="str">
        <f>IF(DADOS!E8657="","",DADOS!E8657)</f>
        <v/>
      </c>
      <c r="G8657" s="9" t="str">
        <f>IF(DADOS!F8657="","",DADOS!F8657)</f>
        <v/>
      </c>
      <c r="K8657" s="6" t="str">
        <f t="shared" si="680"/>
        <v/>
      </c>
      <c r="L8657" s="7" t="str">
        <f t="shared" si="681"/>
        <v/>
      </c>
      <c r="M8657" s="7" t="str">
        <f t="shared" si="678"/>
        <v/>
      </c>
      <c r="N8657" s="7" t="str">
        <f t="shared" si="682"/>
        <v/>
      </c>
      <c r="O8657" s="8"/>
      <c r="P8657" s="26"/>
      <c r="S8657" s="10" t="str">
        <f t="shared" si="679"/>
        <v/>
      </c>
    </row>
    <row r="8658" spans="5:19" x14ac:dyDescent="0.3">
      <c r="E8658" s="9" t="str">
        <f>IF(DADOS!C8658="","",DADOS!C8658)</f>
        <v/>
      </c>
      <c r="F8658" s="9" t="str">
        <f>IF(DADOS!E8658="","",DADOS!E8658)</f>
        <v/>
      </c>
      <c r="G8658" s="9" t="str">
        <f>IF(DADOS!F8658="","",DADOS!F8658)</f>
        <v/>
      </c>
      <c r="K8658" s="6" t="str">
        <f t="shared" si="680"/>
        <v/>
      </c>
      <c r="L8658" s="7" t="str">
        <f t="shared" si="681"/>
        <v/>
      </c>
      <c r="M8658" s="7" t="str">
        <f t="shared" si="678"/>
        <v/>
      </c>
      <c r="N8658" s="7" t="str">
        <f t="shared" si="682"/>
        <v/>
      </c>
      <c r="O8658" s="8"/>
      <c r="P8658" s="26"/>
      <c r="S8658" s="10" t="str">
        <f t="shared" si="679"/>
        <v/>
      </c>
    </row>
    <row r="8659" spans="5:19" x14ac:dyDescent="0.3">
      <c r="E8659" s="9" t="str">
        <f>IF(DADOS!C8659="","",DADOS!C8659)</f>
        <v/>
      </c>
      <c r="F8659" s="9" t="str">
        <f>IF(DADOS!E8659="","",DADOS!E8659)</f>
        <v/>
      </c>
      <c r="G8659" s="9" t="str">
        <f>IF(DADOS!F8659="","",DADOS!F8659)</f>
        <v/>
      </c>
      <c r="K8659" s="6" t="str">
        <f t="shared" si="680"/>
        <v/>
      </c>
      <c r="L8659" s="7" t="str">
        <f t="shared" si="681"/>
        <v/>
      </c>
      <c r="M8659" s="7" t="str">
        <f t="shared" si="678"/>
        <v/>
      </c>
      <c r="N8659" s="7" t="str">
        <f t="shared" si="682"/>
        <v/>
      </c>
      <c r="O8659" s="8"/>
      <c r="P8659" s="26"/>
      <c r="S8659" s="10" t="str">
        <f t="shared" si="679"/>
        <v/>
      </c>
    </row>
    <row r="8660" spans="5:19" x14ac:dyDescent="0.3">
      <c r="E8660" s="9" t="str">
        <f>IF(DADOS!C8660="","",DADOS!C8660)</f>
        <v/>
      </c>
      <c r="F8660" s="9" t="str">
        <f>IF(DADOS!E8660="","",DADOS!E8660)</f>
        <v/>
      </c>
      <c r="G8660" s="9" t="str">
        <f>IF(DADOS!F8660="","",DADOS!F8660)</f>
        <v/>
      </c>
      <c r="K8660" s="6" t="str">
        <f t="shared" si="680"/>
        <v/>
      </c>
      <c r="L8660" s="7" t="str">
        <f t="shared" si="681"/>
        <v/>
      </c>
      <c r="M8660" s="7" t="str">
        <f t="shared" si="678"/>
        <v/>
      </c>
      <c r="N8660" s="7" t="str">
        <f t="shared" si="682"/>
        <v/>
      </c>
      <c r="O8660" s="8"/>
      <c r="P8660" s="26"/>
      <c r="S8660" s="10" t="str">
        <f t="shared" si="679"/>
        <v/>
      </c>
    </row>
    <row r="8661" spans="5:19" x14ac:dyDescent="0.3">
      <c r="E8661" s="9" t="str">
        <f>IF(DADOS!C8661="","",DADOS!C8661)</f>
        <v/>
      </c>
      <c r="F8661" s="9" t="str">
        <f>IF(DADOS!E8661="","",DADOS!E8661)</f>
        <v/>
      </c>
      <c r="G8661" s="9" t="str">
        <f>IF(DADOS!F8661="","",DADOS!F8661)</f>
        <v/>
      </c>
      <c r="K8661" s="6" t="str">
        <f t="shared" si="680"/>
        <v/>
      </c>
      <c r="L8661" s="7" t="str">
        <f t="shared" si="681"/>
        <v/>
      </c>
      <c r="M8661" s="7" t="str">
        <f t="shared" si="678"/>
        <v/>
      </c>
      <c r="N8661" s="7" t="str">
        <f t="shared" si="682"/>
        <v/>
      </c>
      <c r="O8661" s="8"/>
      <c r="P8661" s="26"/>
      <c r="S8661" s="10" t="str">
        <f t="shared" si="679"/>
        <v/>
      </c>
    </row>
    <row r="8662" spans="5:19" x14ac:dyDescent="0.3">
      <c r="E8662" s="9" t="str">
        <f>IF(DADOS!C8662="","",DADOS!C8662)</f>
        <v/>
      </c>
      <c r="F8662" s="9" t="str">
        <f>IF(DADOS!E8662="","",DADOS!E8662)</f>
        <v/>
      </c>
      <c r="G8662" s="9" t="str">
        <f>IF(DADOS!F8662="","",DADOS!F8662)</f>
        <v/>
      </c>
      <c r="K8662" s="6" t="str">
        <f t="shared" si="680"/>
        <v/>
      </c>
      <c r="L8662" s="7" t="str">
        <f t="shared" si="681"/>
        <v/>
      </c>
      <c r="M8662" s="7" t="str">
        <f t="shared" si="678"/>
        <v/>
      </c>
      <c r="N8662" s="7" t="str">
        <f t="shared" si="682"/>
        <v/>
      </c>
      <c r="O8662" s="8"/>
      <c r="P8662" s="26"/>
      <c r="S8662" s="10" t="str">
        <f t="shared" si="679"/>
        <v/>
      </c>
    </row>
    <row r="8663" spans="5:19" x14ac:dyDescent="0.3">
      <c r="E8663" s="9" t="str">
        <f>IF(DADOS!C8663="","",DADOS!C8663)</f>
        <v/>
      </c>
      <c r="F8663" s="9" t="str">
        <f>IF(DADOS!E8663="","",DADOS!E8663)</f>
        <v/>
      </c>
      <c r="G8663" s="9" t="str">
        <f>IF(DADOS!F8663="","",DADOS!F8663)</f>
        <v/>
      </c>
      <c r="K8663" s="6" t="str">
        <f t="shared" si="680"/>
        <v/>
      </c>
      <c r="L8663" s="7" t="str">
        <f t="shared" si="681"/>
        <v/>
      </c>
      <c r="M8663" s="7" t="str">
        <f t="shared" si="678"/>
        <v/>
      </c>
      <c r="N8663" s="7" t="str">
        <f t="shared" si="682"/>
        <v/>
      </c>
      <c r="O8663" s="8"/>
      <c r="P8663" s="26"/>
      <c r="S8663" s="10" t="str">
        <f t="shared" si="679"/>
        <v/>
      </c>
    </row>
    <row r="8664" spans="5:19" x14ac:dyDescent="0.3">
      <c r="E8664" s="9" t="str">
        <f>IF(DADOS!C8664="","",DADOS!C8664)</f>
        <v/>
      </c>
      <c r="F8664" s="9" t="str">
        <f>IF(DADOS!E8664="","",DADOS!E8664)</f>
        <v/>
      </c>
      <c r="G8664" s="9" t="str">
        <f>IF(DADOS!F8664="","",DADOS!F8664)</f>
        <v/>
      </c>
      <c r="K8664" s="6" t="str">
        <f t="shared" si="680"/>
        <v/>
      </c>
      <c r="L8664" s="7" t="str">
        <f t="shared" si="681"/>
        <v/>
      </c>
      <c r="M8664" s="7" t="str">
        <f t="shared" si="678"/>
        <v/>
      </c>
      <c r="N8664" s="7" t="str">
        <f t="shared" si="682"/>
        <v/>
      </c>
      <c r="O8664" s="8"/>
      <c r="P8664" s="26"/>
      <c r="S8664" s="10" t="str">
        <f t="shared" si="679"/>
        <v/>
      </c>
    </row>
    <row r="8665" spans="5:19" x14ac:dyDescent="0.3">
      <c r="E8665" s="9" t="str">
        <f>IF(DADOS!C8665="","",DADOS!C8665)</f>
        <v/>
      </c>
      <c r="F8665" s="9" t="str">
        <f>IF(DADOS!E8665="","",DADOS!E8665)</f>
        <v/>
      </c>
      <c r="G8665" s="9" t="str">
        <f>IF(DADOS!F8665="","",DADOS!F8665)</f>
        <v/>
      </c>
      <c r="K8665" s="6" t="str">
        <f t="shared" si="680"/>
        <v/>
      </c>
      <c r="L8665" s="7" t="str">
        <f t="shared" si="681"/>
        <v/>
      </c>
      <c r="M8665" s="7" t="str">
        <f t="shared" si="678"/>
        <v/>
      </c>
      <c r="N8665" s="7" t="str">
        <f t="shared" si="682"/>
        <v/>
      </c>
      <c r="O8665" s="8"/>
      <c r="P8665" s="26"/>
      <c r="S8665" s="10" t="str">
        <f t="shared" si="679"/>
        <v/>
      </c>
    </row>
    <row r="8666" spans="5:19" x14ac:dyDescent="0.3">
      <c r="E8666" s="9" t="str">
        <f>IF(DADOS!C8666="","",DADOS!C8666)</f>
        <v/>
      </c>
      <c r="F8666" s="9" t="str">
        <f>IF(DADOS!E8666="","",DADOS!E8666)</f>
        <v/>
      </c>
      <c r="G8666" s="9" t="str">
        <f>IF(DADOS!F8666="","",DADOS!F8666)</f>
        <v/>
      </c>
      <c r="K8666" s="6" t="str">
        <f t="shared" si="680"/>
        <v/>
      </c>
      <c r="L8666" s="7" t="str">
        <f t="shared" si="681"/>
        <v/>
      </c>
      <c r="M8666" s="7" t="str">
        <f t="shared" si="678"/>
        <v/>
      </c>
      <c r="N8666" s="7" t="str">
        <f t="shared" si="682"/>
        <v/>
      </c>
      <c r="O8666" s="8"/>
      <c r="P8666" s="26"/>
      <c r="S8666" s="10" t="str">
        <f t="shared" si="679"/>
        <v/>
      </c>
    </row>
    <row r="8667" spans="5:19" x14ac:dyDescent="0.3">
      <c r="E8667" s="9" t="str">
        <f>IF(DADOS!C8667="","",DADOS!C8667)</f>
        <v/>
      </c>
      <c r="F8667" s="9" t="str">
        <f>IF(DADOS!E8667="","",DADOS!E8667)</f>
        <v/>
      </c>
      <c r="G8667" s="9" t="str">
        <f>IF(DADOS!F8667="","",DADOS!F8667)</f>
        <v/>
      </c>
      <c r="K8667" s="6" t="str">
        <f t="shared" si="680"/>
        <v/>
      </c>
      <c r="L8667" s="7" t="str">
        <f t="shared" si="681"/>
        <v/>
      </c>
      <c r="M8667" s="7" t="str">
        <f t="shared" si="678"/>
        <v/>
      </c>
      <c r="N8667" s="7" t="str">
        <f t="shared" si="682"/>
        <v/>
      </c>
      <c r="O8667" s="8"/>
      <c r="P8667" s="26"/>
      <c r="S8667" s="10" t="str">
        <f t="shared" si="679"/>
        <v/>
      </c>
    </row>
    <row r="8668" spans="5:19" x14ac:dyDescent="0.3">
      <c r="E8668" s="9" t="str">
        <f>IF(DADOS!C8668="","",DADOS!C8668)</f>
        <v/>
      </c>
      <c r="F8668" s="9" t="str">
        <f>IF(DADOS!E8668="","",DADOS!E8668)</f>
        <v/>
      </c>
      <c r="G8668" s="9" t="str">
        <f>IF(DADOS!F8668="","",DADOS!F8668)</f>
        <v/>
      </c>
      <c r="K8668" s="6" t="str">
        <f t="shared" si="680"/>
        <v/>
      </c>
      <c r="L8668" s="7" t="str">
        <f t="shared" si="681"/>
        <v/>
      </c>
      <c r="M8668" s="7" t="str">
        <f t="shared" si="678"/>
        <v/>
      </c>
      <c r="N8668" s="7" t="str">
        <f t="shared" si="682"/>
        <v/>
      </c>
      <c r="O8668" s="8"/>
      <c r="P8668" s="26"/>
      <c r="S8668" s="10" t="str">
        <f t="shared" si="679"/>
        <v/>
      </c>
    </row>
    <row r="8669" spans="5:19" x14ac:dyDescent="0.3">
      <c r="E8669" s="9" t="str">
        <f>IF(DADOS!C8669="","",DADOS!C8669)</f>
        <v/>
      </c>
      <c r="F8669" s="9" t="str">
        <f>IF(DADOS!E8669="","",DADOS!E8669)</f>
        <v/>
      </c>
      <c r="G8669" s="9" t="str">
        <f>IF(DADOS!F8669="","",DADOS!F8669)</f>
        <v/>
      </c>
      <c r="K8669" s="6" t="str">
        <f t="shared" si="680"/>
        <v/>
      </c>
      <c r="L8669" s="7" t="str">
        <f t="shared" si="681"/>
        <v/>
      </c>
      <c r="M8669" s="7" t="str">
        <f t="shared" si="678"/>
        <v/>
      </c>
      <c r="N8669" s="7" t="str">
        <f t="shared" si="682"/>
        <v/>
      </c>
      <c r="O8669" s="8"/>
      <c r="P8669" s="26"/>
      <c r="S8669" s="10" t="str">
        <f t="shared" si="679"/>
        <v/>
      </c>
    </row>
    <row r="8670" spans="5:19" x14ac:dyDescent="0.3">
      <c r="E8670" s="9" t="str">
        <f>IF(DADOS!C8670="","",DADOS!C8670)</f>
        <v/>
      </c>
      <c r="F8670" s="9" t="str">
        <f>IF(DADOS!E8670="","",DADOS!E8670)</f>
        <v/>
      </c>
      <c r="G8670" s="9" t="str">
        <f>IF(DADOS!F8670="","",DADOS!F8670)</f>
        <v/>
      </c>
      <c r="K8670" s="6" t="str">
        <f t="shared" si="680"/>
        <v/>
      </c>
      <c r="L8670" s="7" t="str">
        <f t="shared" si="681"/>
        <v/>
      </c>
      <c r="M8670" s="7" t="str">
        <f t="shared" si="678"/>
        <v/>
      </c>
      <c r="N8670" s="7" t="str">
        <f t="shared" si="682"/>
        <v/>
      </c>
      <c r="O8670" s="8"/>
      <c r="P8670" s="26"/>
      <c r="S8670" s="10" t="str">
        <f t="shared" si="679"/>
        <v/>
      </c>
    </row>
    <row r="8671" spans="5:19" x14ac:dyDescent="0.3">
      <c r="E8671" s="9" t="str">
        <f>IF(DADOS!C8671="","",DADOS!C8671)</f>
        <v/>
      </c>
      <c r="F8671" s="9" t="str">
        <f>IF(DADOS!E8671="","",DADOS!E8671)</f>
        <v/>
      </c>
      <c r="G8671" s="9" t="str">
        <f>IF(DADOS!F8671="","",DADOS!F8671)</f>
        <v/>
      </c>
      <c r="K8671" s="6" t="str">
        <f t="shared" si="680"/>
        <v/>
      </c>
      <c r="L8671" s="7" t="str">
        <f t="shared" si="681"/>
        <v/>
      </c>
      <c r="M8671" s="7" t="str">
        <f t="shared" si="678"/>
        <v/>
      </c>
      <c r="N8671" s="7" t="str">
        <f t="shared" si="682"/>
        <v/>
      </c>
      <c r="O8671" s="8"/>
      <c r="P8671" s="26"/>
      <c r="S8671" s="10" t="str">
        <f t="shared" si="679"/>
        <v/>
      </c>
    </row>
    <row r="8672" spans="5:19" x14ac:dyDescent="0.3">
      <c r="E8672" s="9" t="str">
        <f>IF(DADOS!C8672="","",DADOS!C8672)</f>
        <v/>
      </c>
      <c r="F8672" s="9" t="str">
        <f>IF(DADOS!E8672="","",DADOS!E8672)</f>
        <v/>
      </c>
      <c r="G8672" s="9" t="str">
        <f>IF(DADOS!F8672="","",DADOS!F8672)</f>
        <v/>
      </c>
      <c r="K8672" s="6" t="str">
        <f t="shared" si="680"/>
        <v/>
      </c>
      <c r="L8672" s="7" t="str">
        <f t="shared" si="681"/>
        <v/>
      </c>
      <c r="M8672" s="7" t="str">
        <f t="shared" si="678"/>
        <v/>
      </c>
      <c r="N8672" s="7" t="str">
        <f t="shared" si="682"/>
        <v/>
      </c>
      <c r="O8672" s="8"/>
      <c r="P8672" s="26"/>
      <c r="S8672" s="10" t="str">
        <f t="shared" si="679"/>
        <v/>
      </c>
    </row>
    <row r="8673" spans="5:19" x14ac:dyDescent="0.3">
      <c r="E8673" s="9" t="str">
        <f>IF(DADOS!C8673="","",DADOS!C8673)</f>
        <v/>
      </c>
      <c r="F8673" s="9" t="str">
        <f>IF(DADOS!E8673="","",DADOS!E8673)</f>
        <v/>
      </c>
      <c r="G8673" s="9" t="str">
        <f>IF(DADOS!F8673="","",DADOS!F8673)</f>
        <v/>
      </c>
      <c r="K8673" s="6" t="str">
        <f t="shared" si="680"/>
        <v/>
      </c>
      <c r="L8673" s="7" t="str">
        <f t="shared" si="681"/>
        <v/>
      </c>
      <c r="M8673" s="7" t="str">
        <f t="shared" si="678"/>
        <v/>
      </c>
      <c r="N8673" s="7" t="str">
        <f t="shared" si="682"/>
        <v/>
      </c>
      <c r="O8673" s="8"/>
      <c r="P8673" s="26"/>
      <c r="S8673" s="10" t="str">
        <f t="shared" si="679"/>
        <v/>
      </c>
    </row>
    <row r="8674" spans="5:19" x14ac:dyDescent="0.3">
      <c r="E8674" s="9" t="str">
        <f>IF(DADOS!C8674="","",DADOS!C8674)</f>
        <v/>
      </c>
      <c r="F8674" s="9" t="str">
        <f>IF(DADOS!E8674="","",DADOS!E8674)</f>
        <v/>
      </c>
      <c r="G8674" s="9" t="str">
        <f>IF(DADOS!F8674="","",DADOS!F8674)</f>
        <v/>
      </c>
      <c r="K8674" s="6" t="str">
        <f t="shared" si="680"/>
        <v/>
      </c>
      <c r="L8674" s="7" t="str">
        <f t="shared" si="681"/>
        <v/>
      </c>
      <c r="M8674" s="7" t="str">
        <f t="shared" si="678"/>
        <v/>
      </c>
      <c r="N8674" s="7" t="str">
        <f t="shared" si="682"/>
        <v/>
      </c>
      <c r="O8674" s="8"/>
      <c r="P8674" s="26"/>
      <c r="S8674" s="10" t="str">
        <f t="shared" si="679"/>
        <v/>
      </c>
    </row>
    <row r="8675" spans="5:19" x14ac:dyDescent="0.3">
      <c r="E8675" s="9" t="str">
        <f>IF(DADOS!C8675="","",DADOS!C8675)</f>
        <v/>
      </c>
      <c r="F8675" s="9" t="str">
        <f>IF(DADOS!E8675="","",DADOS!E8675)</f>
        <v/>
      </c>
      <c r="G8675" s="9" t="str">
        <f>IF(DADOS!F8675="","",DADOS!F8675)</f>
        <v/>
      </c>
      <c r="K8675" s="6" t="str">
        <f t="shared" si="680"/>
        <v/>
      </c>
      <c r="L8675" s="7" t="str">
        <f t="shared" si="681"/>
        <v/>
      </c>
      <c r="M8675" s="7" t="str">
        <f t="shared" si="678"/>
        <v/>
      </c>
      <c r="N8675" s="7" t="str">
        <f t="shared" si="682"/>
        <v/>
      </c>
      <c r="O8675" s="8"/>
      <c r="P8675" s="26"/>
      <c r="S8675" s="10" t="str">
        <f t="shared" si="679"/>
        <v/>
      </c>
    </row>
    <row r="8676" spans="5:19" x14ac:dyDescent="0.3">
      <c r="E8676" s="9" t="str">
        <f>IF(DADOS!C8676="","",DADOS!C8676)</f>
        <v/>
      </c>
      <c r="F8676" s="9" t="str">
        <f>IF(DADOS!E8676="","",DADOS!E8676)</f>
        <v/>
      </c>
      <c r="G8676" s="9" t="str">
        <f>IF(DADOS!F8676="","",DADOS!F8676)</f>
        <v/>
      </c>
      <c r="K8676" s="6" t="str">
        <f t="shared" si="680"/>
        <v/>
      </c>
      <c r="L8676" s="7" t="str">
        <f t="shared" si="681"/>
        <v/>
      </c>
      <c r="M8676" s="7" t="str">
        <f t="shared" si="678"/>
        <v/>
      </c>
      <c r="N8676" s="7" t="str">
        <f t="shared" si="682"/>
        <v/>
      </c>
      <c r="O8676" s="8"/>
      <c r="P8676" s="26"/>
      <c r="S8676" s="10" t="str">
        <f t="shared" si="679"/>
        <v/>
      </c>
    </row>
    <row r="8677" spans="5:19" x14ac:dyDescent="0.3">
      <c r="E8677" s="9" t="str">
        <f>IF(DADOS!C8677="","",DADOS!C8677)</f>
        <v/>
      </c>
      <c r="F8677" s="9" t="str">
        <f>IF(DADOS!E8677="","",DADOS!E8677)</f>
        <v/>
      </c>
      <c r="G8677" s="9" t="str">
        <f>IF(DADOS!F8677="","",DADOS!F8677)</f>
        <v/>
      </c>
      <c r="K8677" s="6" t="str">
        <f t="shared" si="680"/>
        <v/>
      </c>
      <c r="L8677" s="7" t="str">
        <f t="shared" si="681"/>
        <v/>
      </c>
      <c r="M8677" s="7" t="str">
        <f t="shared" si="678"/>
        <v/>
      </c>
      <c r="N8677" s="7" t="str">
        <f t="shared" si="682"/>
        <v/>
      </c>
      <c r="O8677" s="8"/>
      <c r="P8677" s="26"/>
      <c r="S8677" s="10" t="str">
        <f t="shared" si="679"/>
        <v/>
      </c>
    </row>
    <row r="8678" spans="5:19" x14ac:dyDescent="0.3">
      <c r="E8678" s="9" t="str">
        <f>IF(DADOS!C8678="","",DADOS!C8678)</f>
        <v/>
      </c>
      <c r="F8678" s="9" t="str">
        <f>IF(DADOS!E8678="","",DADOS!E8678)</f>
        <v/>
      </c>
      <c r="G8678" s="9" t="str">
        <f>IF(DADOS!F8678="","",DADOS!F8678)</f>
        <v/>
      </c>
      <c r="K8678" s="6" t="str">
        <f t="shared" si="680"/>
        <v/>
      </c>
      <c r="L8678" s="7" t="str">
        <f t="shared" si="681"/>
        <v/>
      </c>
      <c r="M8678" s="7" t="str">
        <f t="shared" si="678"/>
        <v/>
      </c>
      <c r="N8678" s="7" t="str">
        <f t="shared" si="682"/>
        <v/>
      </c>
      <c r="O8678" s="8"/>
      <c r="P8678" s="26"/>
      <c r="S8678" s="10" t="str">
        <f t="shared" si="679"/>
        <v/>
      </c>
    </row>
    <row r="8679" spans="5:19" x14ac:dyDescent="0.3">
      <c r="E8679" s="9" t="str">
        <f>IF(DADOS!C8679="","",DADOS!C8679)</f>
        <v/>
      </c>
      <c r="F8679" s="9" t="str">
        <f>IF(DADOS!E8679="","",DADOS!E8679)</f>
        <v/>
      </c>
      <c r="G8679" s="9" t="str">
        <f>IF(DADOS!F8679="","",DADOS!F8679)</f>
        <v/>
      </c>
      <c r="K8679" s="6" t="str">
        <f t="shared" si="680"/>
        <v/>
      </c>
      <c r="L8679" s="7" t="str">
        <f t="shared" si="681"/>
        <v/>
      </c>
      <c r="M8679" s="7" t="str">
        <f t="shared" si="678"/>
        <v/>
      </c>
      <c r="N8679" s="7" t="str">
        <f t="shared" si="682"/>
        <v/>
      </c>
      <c r="O8679" s="8"/>
      <c r="P8679" s="26"/>
      <c r="S8679" s="10" t="str">
        <f t="shared" si="679"/>
        <v/>
      </c>
    </row>
    <row r="8680" spans="5:19" x14ac:dyDescent="0.3">
      <c r="E8680" s="9" t="str">
        <f>IF(DADOS!C8680="","",DADOS!C8680)</f>
        <v/>
      </c>
      <c r="F8680" s="9" t="str">
        <f>IF(DADOS!E8680="","",DADOS!E8680)</f>
        <v/>
      </c>
      <c r="G8680" s="9" t="str">
        <f>IF(DADOS!F8680="","",DADOS!F8680)</f>
        <v/>
      </c>
      <c r="K8680" s="6" t="str">
        <f t="shared" si="680"/>
        <v/>
      </c>
      <c r="L8680" s="7" t="str">
        <f t="shared" si="681"/>
        <v/>
      </c>
      <c r="M8680" s="7" t="str">
        <f t="shared" si="678"/>
        <v/>
      </c>
      <c r="N8680" s="7" t="str">
        <f t="shared" si="682"/>
        <v/>
      </c>
      <c r="O8680" s="8"/>
      <c r="P8680" s="26"/>
      <c r="S8680" s="10" t="str">
        <f t="shared" si="679"/>
        <v/>
      </c>
    </row>
    <row r="8681" spans="5:19" x14ac:dyDescent="0.3">
      <c r="E8681" s="9" t="str">
        <f>IF(DADOS!C8681="","",DADOS!C8681)</f>
        <v/>
      </c>
      <c r="F8681" s="9" t="str">
        <f>IF(DADOS!E8681="","",DADOS!E8681)</f>
        <v/>
      </c>
      <c r="G8681" s="9" t="str">
        <f>IF(DADOS!F8681="","",DADOS!F8681)</f>
        <v/>
      </c>
      <c r="K8681" s="6" t="str">
        <f t="shared" si="680"/>
        <v/>
      </c>
      <c r="L8681" s="7" t="str">
        <f t="shared" si="681"/>
        <v/>
      </c>
      <c r="M8681" s="7" t="str">
        <f t="shared" si="678"/>
        <v/>
      </c>
      <c r="N8681" s="7" t="str">
        <f t="shared" si="682"/>
        <v/>
      </c>
      <c r="O8681" s="8"/>
      <c r="P8681" s="26"/>
      <c r="S8681" s="10" t="str">
        <f t="shared" si="679"/>
        <v/>
      </c>
    </row>
    <row r="8682" spans="5:19" x14ac:dyDescent="0.3">
      <c r="E8682" s="9" t="str">
        <f>IF(DADOS!C8682="","",DADOS!C8682)</f>
        <v/>
      </c>
      <c r="F8682" s="9" t="str">
        <f>IF(DADOS!E8682="","",DADOS!E8682)</f>
        <v/>
      </c>
      <c r="G8682" s="9" t="str">
        <f>IF(DADOS!F8682="","",DADOS!F8682)</f>
        <v/>
      </c>
      <c r="K8682" s="6" t="str">
        <f t="shared" si="680"/>
        <v/>
      </c>
      <c r="L8682" s="7" t="str">
        <f t="shared" si="681"/>
        <v/>
      </c>
      <c r="M8682" s="7" t="str">
        <f t="shared" si="678"/>
        <v/>
      </c>
      <c r="N8682" s="7" t="str">
        <f t="shared" si="682"/>
        <v/>
      </c>
      <c r="O8682" s="8"/>
      <c r="P8682" s="26"/>
      <c r="S8682" s="10" t="str">
        <f t="shared" si="679"/>
        <v/>
      </c>
    </row>
    <row r="8683" spans="5:19" x14ac:dyDescent="0.3">
      <c r="E8683" s="9" t="str">
        <f>IF(DADOS!C8683="","",DADOS!C8683)</f>
        <v/>
      </c>
      <c r="F8683" s="9" t="str">
        <f>IF(DADOS!E8683="","",DADOS!E8683)</f>
        <v/>
      </c>
      <c r="G8683" s="9" t="str">
        <f>IF(DADOS!F8683="","",DADOS!F8683)</f>
        <v/>
      </c>
      <c r="K8683" s="6" t="str">
        <f t="shared" si="680"/>
        <v/>
      </c>
      <c r="L8683" s="7" t="str">
        <f t="shared" si="681"/>
        <v/>
      </c>
      <c r="M8683" s="7" t="str">
        <f t="shared" si="678"/>
        <v/>
      </c>
      <c r="N8683" s="7" t="str">
        <f t="shared" si="682"/>
        <v/>
      </c>
      <c r="O8683" s="8"/>
      <c r="P8683" s="26"/>
      <c r="S8683" s="10" t="str">
        <f t="shared" si="679"/>
        <v/>
      </c>
    </row>
    <row r="8684" spans="5:19" x14ac:dyDescent="0.3">
      <c r="E8684" s="9" t="str">
        <f>IF(DADOS!C8684="","",DADOS!C8684)</f>
        <v/>
      </c>
      <c r="F8684" s="9" t="str">
        <f>IF(DADOS!E8684="","",DADOS!E8684)</f>
        <v/>
      </c>
      <c r="G8684" s="9" t="str">
        <f>IF(DADOS!F8684="","",DADOS!F8684)</f>
        <v/>
      </c>
      <c r="K8684" s="6" t="str">
        <f t="shared" si="680"/>
        <v/>
      </c>
      <c r="L8684" s="7" t="str">
        <f t="shared" si="681"/>
        <v/>
      </c>
      <c r="M8684" s="7" t="str">
        <f t="shared" si="678"/>
        <v/>
      </c>
      <c r="N8684" s="7" t="str">
        <f t="shared" si="682"/>
        <v/>
      </c>
      <c r="O8684" s="8"/>
      <c r="P8684" s="26"/>
      <c r="S8684" s="10" t="str">
        <f t="shared" si="679"/>
        <v/>
      </c>
    </row>
    <row r="8685" spans="5:19" x14ac:dyDescent="0.3">
      <c r="E8685" s="9" t="str">
        <f>IF(DADOS!C8685="","",DADOS!C8685)</f>
        <v/>
      </c>
      <c r="F8685" s="9" t="str">
        <f>IF(DADOS!E8685="","",DADOS!E8685)</f>
        <v/>
      </c>
      <c r="G8685" s="9" t="str">
        <f>IF(DADOS!F8685="","",DADOS!F8685)</f>
        <v/>
      </c>
      <c r="K8685" s="6" t="str">
        <f t="shared" si="680"/>
        <v/>
      </c>
      <c r="L8685" s="7" t="str">
        <f t="shared" si="681"/>
        <v/>
      </c>
      <c r="M8685" s="7" t="str">
        <f t="shared" si="678"/>
        <v/>
      </c>
      <c r="N8685" s="7" t="str">
        <f t="shared" si="682"/>
        <v/>
      </c>
      <c r="O8685" s="8"/>
      <c r="P8685" s="26"/>
      <c r="S8685" s="10" t="str">
        <f t="shared" si="679"/>
        <v/>
      </c>
    </row>
    <row r="8686" spans="5:19" x14ac:dyDescent="0.3">
      <c r="E8686" s="9" t="str">
        <f>IF(DADOS!C8686="","",DADOS!C8686)</f>
        <v/>
      </c>
      <c r="F8686" s="9" t="str">
        <f>IF(DADOS!E8686="","",DADOS!E8686)</f>
        <v/>
      </c>
      <c r="G8686" s="9" t="str">
        <f>IF(DADOS!F8686="","",DADOS!F8686)</f>
        <v/>
      </c>
      <c r="K8686" s="6" t="str">
        <f t="shared" si="680"/>
        <v/>
      </c>
      <c r="L8686" s="7" t="str">
        <f t="shared" si="681"/>
        <v/>
      </c>
      <c r="M8686" s="7" t="str">
        <f t="shared" si="678"/>
        <v/>
      </c>
      <c r="N8686" s="7" t="str">
        <f t="shared" si="682"/>
        <v/>
      </c>
      <c r="O8686" s="8"/>
      <c r="P8686" s="26"/>
      <c r="S8686" s="10" t="str">
        <f t="shared" si="679"/>
        <v/>
      </c>
    </row>
    <row r="8687" spans="5:19" x14ac:dyDescent="0.3">
      <c r="E8687" s="9" t="str">
        <f>IF(DADOS!C8687="","",DADOS!C8687)</f>
        <v/>
      </c>
      <c r="F8687" s="9" t="str">
        <f>IF(DADOS!E8687="","",DADOS!E8687)</f>
        <v/>
      </c>
      <c r="G8687" s="9" t="str">
        <f>IF(DADOS!F8687="","",DADOS!F8687)</f>
        <v/>
      </c>
      <c r="K8687" s="6" t="str">
        <f t="shared" si="680"/>
        <v/>
      </c>
      <c r="L8687" s="7" t="str">
        <f t="shared" si="681"/>
        <v/>
      </c>
      <c r="M8687" s="7" t="str">
        <f t="shared" si="678"/>
        <v/>
      </c>
      <c r="N8687" s="7" t="str">
        <f t="shared" si="682"/>
        <v/>
      </c>
      <c r="O8687" s="8"/>
      <c r="P8687" s="26"/>
      <c r="S8687" s="10" t="str">
        <f t="shared" si="679"/>
        <v/>
      </c>
    </row>
    <row r="8688" spans="5:19" x14ac:dyDescent="0.3">
      <c r="E8688" s="9" t="str">
        <f>IF(DADOS!C8688="","",DADOS!C8688)</f>
        <v/>
      </c>
      <c r="F8688" s="9" t="str">
        <f>IF(DADOS!E8688="","",DADOS!E8688)</f>
        <v/>
      </c>
      <c r="G8688" s="9" t="str">
        <f>IF(DADOS!F8688="","",DADOS!F8688)</f>
        <v/>
      </c>
      <c r="K8688" s="6" t="str">
        <f t="shared" si="680"/>
        <v/>
      </c>
      <c r="L8688" s="7" t="str">
        <f t="shared" si="681"/>
        <v/>
      </c>
      <c r="M8688" s="7" t="str">
        <f t="shared" si="678"/>
        <v/>
      </c>
      <c r="N8688" s="7" t="str">
        <f t="shared" si="682"/>
        <v/>
      </c>
      <c r="O8688" s="8"/>
      <c r="P8688" s="26"/>
      <c r="S8688" s="10" t="str">
        <f t="shared" si="679"/>
        <v/>
      </c>
    </row>
    <row r="8689" spans="5:19" x14ac:dyDescent="0.3">
      <c r="E8689" s="9" t="str">
        <f>IF(DADOS!C8689="","",DADOS!C8689)</f>
        <v/>
      </c>
      <c r="F8689" s="9" t="str">
        <f>IF(DADOS!E8689="","",DADOS!E8689)</f>
        <v/>
      </c>
      <c r="G8689" s="9" t="str">
        <f>IF(DADOS!F8689="","",DADOS!F8689)</f>
        <v/>
      </c>
      <c r="K8689" s="6" t="str">
        <f t="shared" si="680"/>
        <v/>
      </c>
      <c r="L8689" s="7" t="str">
        <f t="shared" si="681"/>
        <v/>
      </c>
      <c r="M8689" s="7" t="str">
        <f t="shared" si="678"/>
        <v/>
      </c>
      <c r="N8689" s="7" t="str">
        <f t="shared" si="682"/>
        <v/>
      </c>
      <c r="O8689" s="8"/>
      <c r="P8689" s="26"/>
      <c r="S8689" s="10" t="str">
        <f t="shared" si="679"/>
        <v/>
      </c>
    </row>
    <row r="8690" spans="5:19" x14ac:dyDescent="0.3">
      <c r="E8690" s="9" t="str">
        <f>IF(DADOS!C8690="","",DADOS!C8690)</f>
        <v/>
      </c>
      <c r="F8690" s="9" t="str">
        <f>IF(DADOS!E8690="","",DADOS!E8690)</f>
        <v/>
      </c>
      <c r="G8690" s="9" t="str">
        <f>IF(DADOS!F8690="","",DADOS!F8690)</f>
        <v/>
      </c>
      <c r="K8690" s="6" t="str">
        <f t="shared" si="680"/>
        <v/>
      </c>
      <c r="L8690" s="7" t="str">
        <f t="shared" si="681"/>
        <v/>
      </c>
      <c r="M8690" s="7" t="str">
        <f t="shared" si="678"/>
        <v/>
      </c>
      <c r="N8690" s="7" t="str">
        <f t="shared" si="682"/>
        <v/>
      </c>
      <c r="O8690" s="8"/>
      <c r="P8690" s="26"/>
      <c r="S8690" s="10" t="str">
        <f t="shared" si="679"/>
        <v/>
      </c>
    </row>
    <row r="8691" spans="5:19" x14ac:dyDescent="0.3">
      <c r="E8691" s="9" t="str">
        <f>IF(DADOS!C8691="","",DADOS!C8691)</f>
        <v/>
      </c>
      <c r="F8691" s="9" t="str">
        <f>IF(DADOS!E8691="","",DADOS!E8691)</f>
        <v/>
      </c>
      <c r="G8691" s="9" t="str">
        <f>IF(DADOS!F8691="","",DADOS!F8691)</f>
        <v/>
      </c>
      <c r="K8691" s="6" t="str">
        <f t="shared" si="680"/>
        <v/>
      </c>
      <c r="L8691" s="7" t="str">
        <f t="shared" si="681"/>
        <v/>
      </c>
      <c r="M8691" s="7" t="str">
        <f t="shared" si="678"/>
        <v/>
      </c>
      <c r="N8691" s="7" t="str">
        <f t="shared" si="682"/>
        <v/>
      </c>
      <c r="O8691" s="8"/>
      <c r="P8691" s="26"/>
      <c r="S8691" s="10" t="str">
        <f t="shared" si="679"/>
        <v/>
      </c>
    </row>
    <row r="8692" spans="5:19" x14ac:dyDescent="0.3">
      <c r="E8692" s="9" t="str">
        <f>IF(DADOS!C8692="","",DADOS!C8692)</f>
        <v/>
      </c>
      <c r="F8692" s="9" t="str">
        <f>IF(DADOS!E8692="","",DADOS!E8692)</f>
        <v/>
      </c>
      <c r="G8692" s="9" t="str">
        <f>IF(DADOS!F8692="","",DADOS!F8692)</f>
        <v/>
      </c>
      <c r="K8692" s="6" t="str">
        <f t="shared" si="680"/>
        <v/>
      </c>
      <c r="L8692" s="7" t="str">
        <f t="shared" si="681"/>
        <v/>
      </c>
      <c r="M8692" s="7" t="str">
        <f t="shared" si="678"/>
        <v/>
      </c>
      <c r="N8692" s="7" t="str">
        <f t="shared" si="682"/>
        <v/>
      </c>
      <c r="O8692" s="8"/>
      <c r="P8692" s="26"/>
      <c r="S8692" s="10" t="str">
        <f t="shared" si="679"/>
        <v/>
      </c>
    </row>
    <row r="8693" spans="5:19" x14ac:dyDescent="0.3">
      <c r="E8693" s="9" t="str">
        <f>IF(DADOS!C8693="","",DADOS!C8693)</f>
        <v/>
      </c>
      <c r="F8693" s="9" t="str">
        <f>IF(DADOS!E8693="","",DADOS!E8693)</f>
        <v/>
      </c>
      <c r="G8693" s="9" t="str">
        <f>IF(DADOS!F8693="","",DADOS!F8693)</f>
        <v/>
      </c>
      <c r="K8693" s="6" t="str">
        <f t="shared" si="680"/>
        <v/>
      </c>
      <c r="L8693" s="7" t="str">
        <f t="shared" si="681"/>
        <v/>
      </c>
      <c r="M8693" s="7" t="str">
        <f t="shared" si="678"/>
        <v/>
      </c>
      <c r="N8693" s="7" t="str">
        <f t="shared" si="682"/>
        <v/>
      </c>
      <c r="O8693" s="8"/>
      <c r="P8693" s="26"/>
      <c r="S8693" s="10" t="str">
        <f t="shared" si="679"/>
        <v/>
      </c>
    </row>
    <row r="8694" spans="5:19" x14ac:dyDescent="0.3">
      <c r="E8694" s="9" t="str">
        <f>IF(DADOS!C8694="","",DADOS!C8694)</f>
        <v/>
      </c>
      <c r="F8694" s="9" t="str">
        <f>IF(DADOS!E8694="","",DADOS!E8694)</f>
        <v/>
      </c>
      <c r="G8694" s="9" t="str">
        <f>IF(DADOS!F8694="","",DADOS!F8694)</f>
        <v/>
      </c>
      <c r="K8694" s="6" t="str">
        <f t="shared" si="680"/>
        <v/>
      </c>
      <c r="L8694" s="7" t="str">
        <f t="shared" si="681"/>
        <v/>
      </c>
      <c r="M8694" s="7" t="str">
        <f t="shared" si="678"/>
        <v/>
      </c>
      <c r="N8694" s="7" t="str">
        <f t="shared" si="682"/>
        <v/>
      </c>
      <c r="O8694" s="8"/>
      <c r="P8694" s="26"/>
      <c r="S8694" s="10" t="str">
        <f t="shared" si="679"/>
        <v/>
      </c>
    </row>
    <row r="8695" spans="5:19" x14ac:dyDescent="0.3">
      <c r="E8695" s="9" t="str">
        <f>IF(DADOS!C8695="","",DADOS!C8695)</f>
        <v/>
      </c>
      <c r="F8695" s="9" t="str">
        <f>IF(DADOS!E8695="","",DADOS!E8695)</f>
        <v/>
      </c>
      <c r="G8695" s="9" t="str">
        <f>IF(DADOS!F8695="","",DADOS!F8695)</f>
        <v/>
      </c>
      <c r="K8695" s="6" t="str">
        <f t="shared" si="680"/>
        <v/>
      </c>
      <c r="L8695" s="7" t="str">
        <f t="shared" si="681"/>
        <v/>
      </c>
      <c r="M8695" s="7" t="str">
        <f t="shared" si="678"/>
        <v/>
      </c>
      <c r="N8695" s="7" t="str">
        <f t="shared" si="682"/>
        <v/>
      </c>
      <c r="O8695" s="8"/>
      <c r="P8695" s="26"/>
      <c r="S8695" s="10" t="str">
        <f t="shared" si="679"/>
        <v/>
      </c>
    </row>
    <row r="8696" spans="5:19" x14ac:dyDescent="0.3">
      <c r="E8696" s="9" t="str">
        <f>IF(DADOS!C8696="","",DADOS!C8696)</f>
        <v/>
      </c>
      <c r="F8696" s="9" t="str">
        <f>IF(DADOS!E8696="","",DADOS!E8696)</f>
        <v/>
      </c>
      <c r="G8696" s="9" t="str">
        <f>IF(DADOS!F8696="","",DADOS!F8696)</f>
        <v/>
      </c>
      <c r="K8696" s="6" t="str">
        <f t="shared" si="680"/>
        <v/>
      </c>
      <c r="L8696" s="7" t="str">
        <f t="shared" si="681"/>
        <v/>
      </c>
      <c r="M8696" s="7" t="str">
        <f t="shared" si="678"/>
        <v/>
      </c>
      <c r="N8696" s="7" t="str">
        <f t="shared" si="682"/>
        <v/>
      </c>
      <c r="O8696" s="8"/>
      <c r="P8696" s="26"/>
      <c r="S8696" s="10" t="str">
        <f t="shared" si="679"/>
        <v/>
      </c>
    </row>
    <row r="8697" spans="5:19" x14ac:dyDescent="0.3">
      <c r="E8697" s="9" t="str">
        <f>IF(DADOS!C8697="","",DADOS!C8697)</f>
        <v/>
      </c>
      <c r="F8697" s="9" t="str">
        <f>IF(DADOS!E8697="","",DADOS!E8697)</f>
        <v/>
      </c>
      <c r="G8697" s="9" t="str">
        <f>IF(DADOS!F8697="","",DADOS!F8697)</f>
        <v/>
      </c>
      <c r="K8697" s="6" t="str">
        <f t="shared" si="680"/>
        <v/>
      </c>
      <c r="L8697" s="7" t="str">
        <f t="shared" si="681"/>
        <v/>
      </c>
      <c r="M8697" s="7" t="str">
        <f t="shared" si="678"/>
        <v/>
      </c>
      <c r="N8697" s="7" t="str">
        <f t="shared" si="682"/>
        <v/>
      </c>
      <c r="O8697" s="8"/>
      <c r="P8697" s="26"/>
      <c r="S8697" s="10" t="str">
        <f t="shared" si="679"/>
        <v/>
      </c>
    </row>
    <row r="8698" spans="5:19" x14ac:dyDescent="0.3">
      <c r="E8698" s="9" t="str">
        <f>IF(DADOS!C8698="","",DADOS!C8698)</f>
        <v/>
      </c>
      <c r="F8698" s="9" t="str">
        <f>IF(DADOS!E8698="","",DADOS!E8698)</f>
        <v/>
      </c>
      <c r="G8698" s="9" t="str">
        <f>IF(DADOS!F8698="","",DADOS!F8698)</f>
        <v/>
      </c>
      <c r="K8698" s="6" t="str">
        <f t="shared" si="680"/>
        <v/>
      </c>
      <c r="L8698" s="7" t="str">
        <f t="shared" si="681"/>
        <v/>
      </c>
      <c r="M8698" s="7" t="str">
        <f t="shared" si="678"/>
        <v/>
      </c>
      <c r="N8698" s="7" t="str">
        <f t="shared" si="682"/>
        <v/>
      </c>
      <c r="O8698" s="8"/>
      <c r="P8698" s="26"/>
      <c r="S8698" s="10" t="str">
        <f t="shared" si="679"/>
        <v/>
      </c>
    </row>
    <row r="8699" spans="5:19" x14ac:dyDescent="0.3">
      <c r="E8699" s="9" t="str">
        <f>IF(DADOS!C8699="","",DADOS!C8699)</f>
        <v/>
      </c>
      <c r="F8699" s="9" t="str">
        <f>IF(DADOS!E8699="","",DADOS!E8699)</f>
        <v/>
      </c>
      <c r="G8699" s="9" t="str">
        <f>IF(DADOS!F8699="","",DADOS!F8699)</f>
        <v/>
      </c>
      <c r="K8699" s="6" t="str">
        <f t="shared" si="680"/>
        <v/>
      </c>
      <c r="L8699" s="7" t="str">
        <f t="shared" si="681"/>
        <v/>
      </c>
      <c r="M8699" s="7" t="str">
        <f t="shared" si="678"/>
        <v/>
      </c>
      <c r="N8699" s="7" t="str">
        <f t="shared" si="682"/>
        <v/>
      </c>
      <c r="O8699" s="8"/>
      <c r="P8699" s="26"/>
      <c r="S8699" s="10" t="str">
        <f t="shared" si="679"/>
        <v/>
      </c>
    </row>
    <row r="8700" spans="5:19" x14ac:dyDescent="0.3">
      <c r="E8700" s="9" t="str">
        <f>IF(DADOS!C8700="","",DADOS!C8700)</f>
        <v/>
      </c>
      <c r="F8700" s="9" t="str">
        <f>IF(DADOS!E8700="","",DADOS!E8700)</f>
        <v/>
      </c>
      <c r="G8700" s="9" t="str">
        <f>IF(DADOS!F8700="","",DADOS!F8700)</f>
        <v/>
      </c>
      <c r="K8700" s="6" t="str">
        <f t="shared" si="680"/>
        <v/>
      </c>
      <c r="L8700" s="7" t="str">
        <f t="shared" si="681"/>
        <v/>
      </c>
      <c r="M8700" s="7" t="str">
        <f t="shared" si="678"/>
        <v/>
      </c>
      <c r="N8700" s="7" t="str">
        <f t="shared" si="682"/>
        <v/>
      </c>
      <c r="O8700" s="8"/>
      <c r="P8700" s="26"/>
      <c r="S8700" s="10" t="str">
        <f t="shared" si="679"/>
        <v/>
      </c>
    </row>
    <row r="8701" spans="5:19" x14ac:dyDescent="0.3">
      <c r="E8701" s="9" t="str">
        <f>IF(DADOS!C8701="","",DADOS!C8701)</f>
        <v/>
      </c>
      <c r="F8701" s="9" t="str">
        <f>IF(DADOS!E8701="","",DADOS!E8701)</f>
        <v/>
      </c>
      <c r="G8701" s="9" t="str">
        <f>IF(DADOS!F8701="","",DADOS!F8701)</f>
        <v/>
      </c>
      <c r="K8701" s="6" t="str">
        <f t="shared" si="680"/>
        <v/>
      </c>
      <c r="L8701" s="7" t="str">
        <f t="shared" si="681"/>
        <v/>
      </c>
      <c r="M8701" s="7" t="str">
        <f t="shared" si="678"/>
        <v/>
      </c>
      <c r="N8701" s="7" t="str">
        <f t="shared" si="682"/>
        <v/>
      </c>
      <c r="O8701" s="8"/>
      <c r="P8701" s="26"/>
      <c r="S8701" s="10" t="str">
        <f t="shared" si="679"/>
        <v/>
      </c>
    </row>
    <row r="8702" spans="5:19" x14ac:dyDescent="0.3">
      <c r="E8702" s="9" t="str">
        <f>IF(DADOS!C8702="","",DADOS!C8702)</f>
        <v/>
      </c>
      <c r="F8702" s="9" t="str">
        <f>IF(DADOS!E8702="","",DADOS!E8702)</f>
        <v/>
      </c>
      <c r="G8702" s="9" t="str">
        <f>IF(DADOS!F8702="","",DADOS!F8702)</f>
        <v/>
      </c>
      <c r="K8702" s="6" t="str">
        <f t="shared" si="680"/>
        <v/>
      </c>
      <c r="L8702" s="7" t="str">
        <f t="shared" si="681"/>
        <v/>
      </c>
      <c r="M8702" s="7" t="str">
        <f t="shared" si="678"/>
        <v/>
      </c>
      <c r="N8702" s="7" t="str">
        <f t="shared" si="682"/>
        <v/>
      </c>
      <c r="O8702" s="8"/>
      <c r="P8702" s="26"/>
      <c r="S8702" s="10" t="str">
        <f t="shared" si="679"/>
        <v/>
      </c>
    </row>
    <row r="8703" spans="5:19" x14ac:dyDescent="0.3">
      <c r="E8703" s="9" t="str">
        <f>IF(DADOS!C8703="","",DADOS!C8703)</f>
        <v/>
      </c>
      <c r="F8703" s="9" t="str">
        <f>IF(DADOS!E8703="","",DADOS!E8703)</f>
        <v/>
      </c>
      <c r="G8703" s="9" t="str">
        <f>IF(DADOS!F8703="","",DADOS!F8703)</f>
        <v/>
      </c>
      <c r="K8703" s="6" t="str">
        <f t="shared" si="680"/>
        <v/>
      </c>
      <c r="L8703" s="7" t="str">
        <f t="shared" si="681"/>
        <v/>
      </c>
      <c r="M8703" s="7" t="str">
        <f t="shared" si="678"/>
        <v/>
      </c>
      <c r="N8703" s="7" t="str">
        <f t="shared" si="682"/>
        <v/>
      </c>
      <c r="O8703" s="8"/>
      <c r="P8703" s="26"/>
      <c r="S8703" s="10" t="str">
        <f t="shared" si="679"/>
        <v/>
      </c>
    </row>
    <row r="8704" spans="5:19" x14ac:dyDescent="0.3">
      <c r="E8704" s="9" t="str">
        <f>IF(DADOS!C8704="","",DADOS!C8704)</f>
        <v/>
      </c>
      <c r="F8704" s="9" t="str">
        <f>IF(DADOS!E8704="","",DADOS!E8704)</f>
        <v/>
      </c>
      <c r="G8704" s="9" t="str">
        <f>IF(DADOS!F8704="","",DADOS!F8704)</f>
        <v/>
      </c>
      <c r="K8704" s="6" t="str">
        <f t="shared" si="680"/>
        <v/>
      </c>
      <c r="L8704" s="7" t="str">
        <f t="shared" si="681"/>
        <v/>
      </c>
      <c r="M8704" s="7" t="str">
        <f t="shared" si="678"/>
        <v/>
      </c>
      <c r="N8704" s="7" t="str">
        <f t="shared" si="682"/>
        <v/>
      </c>
      <c r="O8704" s="8"/>
      <c r="P8704" s="26"/>
      <c r="S8704" s="10" t="str">
        <f t="shared" si="679"/>
        <v/>
      </c>
    </row>
    <row r="8705" spans="5:19" x14ac:dyDescent="0.3">
      <c r="E8705" s="9" t="str">
        <f>IF(DADOS!C8705="","",DADOS!C8705)</f>
        <v/>
      </c>
      <c r="F8705" s="9" t="str">
        <f>IF(DADOS!E8705="","",DADOS!E8705)</f>
        <v/>
      </c>
      <c r="G8705" s="9" t="str">
        <f>IF(DADOS!F8705="","",DADOS!F8705)</f>
        <v/>
      </c>
      <c r="K8705" s="6" t="str">
        <f t="shared" si="680"/>
        <v/>
      </c>
      <c r="L8705" s="7" t="str">
        <f t="shared" si="681"/>
        <v/>
      </c>
      <c r="M8705" s="7" t="str">
        <f t="shared" si="678"/>
        <v/>
      </c>
      <c r="N8705" s="7" t="str">
        <f t="shared" si="682"/>
        <v/>
      </c>
      <c r="O8705" s="8"/>
      <c r="P8705" s="26"/>
      <c r="S8705" s="10" t="str">
        <f t="shared" si="679"/>
        <v/>
      </c>
    </row>
    <row r="8706" spans="5:19" x14ac:dyDescent="0.3">
      <c r="E8706" s="9" t="str">
        <f>IF(DADOS!C8706="","",DADOS!C8706)</f>
        <v/>
      </c>
      <c r="F8706" s="9" t="str">
        <f>IF(DADOS!E8706="","",DADOS!E8706)</f>
        <v/>
      </c>
      <c r="G8706" s="9" t="str">
        <f>IF(DADOS!F8706="","",DADOS!F8706)</f>
        <v/>
      </c>
      <c r="K8706" s="6" t="str">
        <f t="shared" si="680"/>
        <v/>
      </c>
      <c r="L8706" s="7" t="str">
        <f t="shared" si="681"/>
        <v/>
      </c>
      <c r="M8706" s="7" t="str">
        <f t="shared" si="678"/>
        <v/>
      </c>
      <c r="N8706" s="7" t="str">
        <f t="shared" si="682"/>
        <v/>
      </c>
      <c r="O8706" s="8"/>
      <c r="P8706" s="26"/>
      <c r="S8706" s="10" t="str">
        <f t="shared" si="679"/>
        <v/>
      </c>
    </row>
    <row r="8707" spans="5:19" x14ac:dyDescent="0.3">
      <c r="E8707" s="9" t="str">
        <f>IF(DADOS!C8707="","",DADOS!C8707)</f>
        <v/>
      </c>
      <c r="F8707" s="9" t="str">
        <f>IF(DADOS!E8707="","",DADOS!E8707)</f>
        <v/>
      </c>
      <c r="G8707" s="9" t="str">
        <f>IF(DADOS!F8707="","",DADOS!F8707)</f>
        <v/>
      </c>
      <c r="K8707" s="6" t="str">
        <f t="shared" si="680"/>
        <v/>
      </c>
      <c r="L8707" s="7" t="str">
        <f t="shared" si="681"/>
        <v/>
      </c>
      <c r="M8707" s="7" t="str">
        <f t="shared" ref="M8707:M8770" si="683">IF(L8707="","",L8707*G8707)</f>
        <v/>
      </c>
      <c r="N8707" s="7" t="str">
        <f t="shared" si="682"/>
        <v/>
      </c>
      <c r="O8707" s="8"/>
      <c r="P8707" s="26"/>
      <c r="S8707" s="10" t="str">
        <f t="shared" ref="S8707:S8770" si="684">IF(R8707="","",SUMIFS($N$3:$N$10000,$E$3:$E$10000,R8707))</f>
        <v/>
      </c>
    </row>
    <row r="8708" spans="5:19" x14ac:dyDescent="0.3">
      <c r="E8708" s="9" t="str">
        <f>IF(DADOS!C8708="","",DADOS!C8708)</f>
        <v/>
      </c>
      <c r="F8708" s="9" t="str">
        <f>IF(DADOS!E8708="","",DADOS!E8708)</f>
        <v/>
      </c>
      <c r="G8708" s="9" t="str">
        <f>IF(DADOS!F8708="","",DADOS!F8708)</f>
        <v/>
      </c>
      <c r="K8708" s="6" t="str">
        <f t="shared" ref="K8708:K8771" si="685">IF(F8708="","",F8708/PI())</f>
        <v/>
      </c>
      <c r="L8708" s="7" t="str">
        <f t="shared" ref="L8708:L8771" si="686">IF(K8708="","",(PI()*K8708^2)/40000)</f>
        <v/>
      </c>
      <c r="M8708" s="7" t="str">
        <f t="shared" si="683"/>
        <v/>
      </c>
      <c r="N8708" s="7" t="str">
        <f t="shared" ref="N8708:N8771" si="687">IF(M8708="","",M8708*N$1)</f>
        <v/>
      </c>
      <c r="O8708" s="8"/>
      <c r="P8708" s="26"/>
      <c r="S8708" s="10" t="str">
        <f t="shared" si="684"/>
        <v/>
      </c>
    </row>
    <row r="8709" spans="5:19" x14ac:dyDescent="0.3">
      <c r="E8709" s="9" t="str">
        <f>IF(DADOS!C8709="","",DADOS!C8709)</f>
        <v/>
      </c>
      <c r="F8709" s="9" t="str">
        <f>IF(DADOS!E8709="","",DADOS!E8709)</f>
        <v/>
      </c>
      <c r="G8709" s="9" t="str">
        <f>IF(DADOS!F8709="","",DADOS!F8709)</f>
        <v/>
      </c>
      <c r="K8709" s="6" t="str">
        <f t="shared" si="685"/>
        <v/>
      </c>
      <c r="L8709" s="7" t="str">
        <f t="shared" si="686"/>
        <v/>
      </c>
      <c r="M8709" s="7" t="str">
        <f t="shared" si="683"/>
        <v/>
      </c>
      <c r="N8709" s="7" t="str">
        <f t="shared" si="687"/>
        <v/>
      </c>
      <c r="O8709" s="8"/>
      <c r="P8709" s="26"/>
      <c r="S8709" s="10" t="str">
        <f t="shared" si="684"/>
        <v/>
      </c>
    </row>
    <row r="8710" spans="5:19" x14ac:dyDescent="0.3">
      <c r="E8710" s="9" t="str">
        <f>IF(DADOS!C8710="","",DADOS!C8710)</f>
        <v/>
      </c>
      <c r="F8710" s="9" t="str">
        <f>IF(DADOS!E8710="","",DADOS!E8710)</f>
        <v/>
      </c>
      <c r="G8710" s="9" t="str">
        <f>IF(DADOS!F8710="","",DADOS!F8710)</f>
        <v/>
      </c>
      <c r="K8710" s="6" t="str">
        <f t="shared" si="685"/>
        <v/>
      </c>
      <c r="L8710" s="7" t="str">
        <f t="shared" si="686"/>
        <v/>
      </c>
      <c r="M8710" s="7" t="str">
        <f t="shared" si="683"/>
        <v/>
      </c>
      <c r="N8710" s="7" t="str">
        <f t="shared" si="687"/>
        <v/>
      </c>
      <c r="O8710" s="8"/>
      <c r="P8710" s="26"/>
      <c r="S8710" s="10" t="str">
        <f t="shared" si="684"/>
        <v/>
      </c>
    </row>
    <row r="8711" spans="5:19" x14ac:dyDescent="0.3">
      <c r="E8711" s="9" t="str">
        <f>IF(DADOS!C8711="","",DADOS!C8711)</f>
        <v/>
      </c>
      <c r="F8711" s="9" t="str">
        <f>IF(DADOS!E8711="","",DADOS!E8711)</f>
        <v/>
      </c>
      <c r="G8711" s="9" t="str">
        <f>IF(DADOS!F8711="","",DADOS!F8711)</f>
        <v/>
      </c>
      <c r="K8711" s="6" t="str">
        <f t="shared" si="685"/>
        <v/>
      </c>
      <c r="L8711" s="7" t="str">
        <f t="shared" si="686"/>
        <v/>
      </c>
      <c r="M8711" s="7" t="str">
        <f t="shared" si="683"/>
        <v/>
      </c>
      <c r="N8711" s="7" t="str">
        <f t="shared" si="687"/>
        <v/>
      </c>
      <c r="O8711" s="8"/>
      <c r="P8711" s="26"/>
      <c r="S8711" s="10" t="str">
        <f t="shared" si="684"/>
        <v/>
      </c>
    </row>
    <row r="8712" spans="5:19" x14ac:dyDescent="0.3">
      <c r="E8712" s="9" t="str">
        <f>IF(DADOS!C8712="","",DADOS!C8712)</f>
        <v/>
      </c>
      <c r="F8712" s="9" t="str">
        <f>IF(DADOS!E8712="","",DADOS!E8712)</f>
        <v/>
      </c>
      <c r="G8712" s="9" t="str">
        <f>IF(DADOS!F8712="","",DADOS!F8712)</f>
        <v/>
      </c>
      <c r="K8712" s="6" t="str">
        <f t="shared" si="685"/>
        <v/>
      </c>
      <c r="L8712" s="7" t="str">
        <f t="shared" si="686"/>
        <v/>
      </c>
      <c r="M8712" s="7" t="str">
        <f t="shared" si="683"/>
        <v/>
      </c>
      <c r="N8712" s="7" t="str">
        <f t="shared" si="687"/>
        <v/>
      </c>
      <c r="O8712" s="8"/>
      <c r="P8712" s="26"/>
      <c r="S8712" s="10" t="str">
        <f t="shared" si="684"/>
        <v/>
      </c>
    </row>
    <row r="8713" spans="5:19" x14ac:dyDescent="0.3">
      <c r="E8713" s="9" t="str">
        <f>IF(DADOS!C8713="","",DADOS!C8713)</f>
        <v/>
      </c>
      <c r="F8713" s="9" t="str">
        <f>IF(DADOS!E8713="","",DADOS!E8713)</f>
        <v/>
      </c>
      <c r="G8713" s="9" t="str">
        <f>IF(DADOS!F8713="","",DADOS!F8713)</f>
        <v/>
      </c>
      <c r="K8713" s="6" t="str">
        <f t="shared" si="685"/>
        <v/>
      </c>
      <c r="L8713" s="7" t="str">
        <f t="shared" si="686"/>
        <v/>
      </c>
      <c r="M8713" s="7" t="str">
        <f t="shared" si="683"/>
        <v/>
      </c>
      <c r="N8713" s="7" t="str">
        <f t="shared" si="687"/>
        <v/>
      </c>
      <c r="O8713" s="8"/>
      <c r="P8713" s="26"/>
      <c r="S8713" s="10" t="str">
        <f t="shared" si="684"/>
        <v/>
      </c>
    </row>
    <row r="8714" spans="5:19" x14ac:dyDescent="0.3">
      <c r="E8714" s="9" t="str">
        <f>IF(DADOS!C8714="","",DADOS!C8714)</f>
        <v/>
      </c>
      <c r="F8714" s="9" t="str">
        <f>IF(DADOS!E8714="","",DADOS!E8714)</f>
        <v/>
      </c>
      <c r="G8714" s="9" t="str">
        <f>IF(DADOS!F8714="","",DADOS!F8714)</f>
        <v/>
      </c>
      <c r="K8714" s="6" t="str">
        <f t="shared" si="685"/>
        <v/>
      </c>
      <c r="L8714" s="7" t="str">
        <f t="shared" si="686"/>
        <v/>
      </c>
      <c r="M8714" s="7" t="str">
        <f t="shared" si="683"/>
        <v/>
      </c>
      <c r="N8714" s="7" t="str">
        <f t="shared" si="687"/>
        <v/>
      </c>
      <c r="O8714" s="8"/>
      <c r="P8714" s="26"/>
      <c r="S8714" s="10" t="str">
        <f t="shared" si="684"/>
        <v/>
      </c>
    </row>
    <row r="8715" spans="5:19" x14ac:dyDescent="0.3">
      <c r="E8715" s="9" t="str">
        <f>IF(DADOS!C8715="","",DADOS!C8715)</f>
        <v/>
      </c>
      <c r="F8715" s="9" t="str">
        <f>IF(DADOS!E8715="","",DADOS!E8715)</f>
        <v/>
      </c>
      <c r="G8715" s="9" t="str">
        <f>IF(DADOS!F8715="","",DADOS!F8715)</f>
        <v/>
      </c>
      <c r="K8715" s="6" t="str">
        <f t="shared" si="685"/>
        <v/>
      </c>
      <c r="L8715" s="7" t="str">
        <f t="shared" si="686"/>
        <v/>
      </c>
      <c r="M8715" s="7" t="str">
        <f t="shared" si="683"/>
        <v/>
      </c>
      <c r="N8715" s="7" t="str">
        <f t="shared" si="687"/>
        <v/>
      </c>
      <c r="O8715" s="8"/>
      <c r="P8715" s="26"/>
      <c r="S8715" s="10" t="str">
        <f t="shared" si="684"/>
        <v/>
      </c>
    </row>
    <row r="8716" spans="5:19" x14ac:dyDescent="0.3">
      <c r="E8716" s="9" t="str">
        <f>IF(DADOS!C8716="","",DADOS!C8716)</f>
        <v/>
      </c>
      <c r="F8716" s="9" t="str">
        <f>IF(DADOS!E8716="","",DADOS!E8716)</f>
        <v/>
      </c>
      <c r="G8716" s="9" t="str">
        <f>IF(DADOS!F8716="","",DADOS!F8716)</f>
        <v/>
      </c>
      <c r="K8716" s="6" t="str">
        <f t="shared" si="685"/>
        <v/>
      </c>
      <c r="L8716" s="7" t="str">
        <f t="shared" si="686"/>
        <v/>
      </c>
      <c r="M8716" s="7" t="str">
        <f t="shared" si="683"/>
        <v/>
      </c>
      <c r="N8716" s="7" t="str">
        <f t="shared" si="687"/>
        <v/>
      </c>
      <c r="O8716" s="8"/>
      <c r="P8716" s="26"/>
      <c r="S8716" s="10" t="str">
        <f t="shared" si="684"/>
        <v/>
      </c>
    </row>
    <row r="8717" spans="5:19" x14ac:dyDescent="0.3">
      <c r="E8717" s="9" t="str">
        <f>IF(DADOS!C8717="","",DADOS!C8717)</f>
        <v/>
      </c>
      <c r="F8717" s="9" t="str">
        <f>IF(DADOS!E8717="","",DADOS!E8717)</f>
        <v/>
      </c>
      <c r="G8717" s="9" t="str">
        <f>IF(DADOS!F8717="","",DADOS!F8717)</f>
        <v/>
      </c>
      <c r="K8717" s="6" t="str">
        <f t="shared" si="685"/>
        <v/>
      </c>
      <c r="L8717" s="7" t="str">
        <f t="shared" si="686"/>
        <v/>
      </c>
      <c r="M8717" s="7" t="str">
        <f t="shared" si="683"/>
        <v/>
      </c>
      <c r="N8717" s="7" t="str">
        <f t="shared" si="687"/>
        <v/>
      </c>
      <c r="O8717" s="8"/>
      <c r="P8717" s="26"/>
      <c r="S8717" s="10" t="str">
        <f t="shared" si="684"/>
        <v/>
      </c>
    </row>
    <row r="8718" spans="5:19" x14ac:dyDescent="0.3">
      <c r="E8718" s="9" t="str">
        <f>IF(DADOS!C8718="","",DADOS!C8718)</f>
        <v/>
      </c>
      <c r="F8718" s="9" t="str">
        <f>IF(DADOS!E8718="","",DADOS!E8718)</f>
        <v/>
      </c>
      <c r="G8718" s="9" t="str">
        <f>IF(DADOS!F8718="","",DADOS!F8718)</f>
        <v/>
      </c>
      <c r="K8718" s="6" t="str">
        <f t="shared" si="685"/>
        <v/>
      </c>
      <c r="L8718" s="7" t="str">
        <f t="shared" si="686"/>
        <v/>
      </c>
      <c r="M8718" s="7" t="str">
        <f t="shared" si="683"/>
        <v/>
      </c>
      <c r="N8718" s="7" t="str">
        <f t="shared" si="687"/>
        <v/>
      </c>
      <c r="O8718" s="8"/>
      <c r="P8718" s="26"/>
      <c r="S8718" s="10" t="str">
        <f t="shared" si="684"/>
        <v/>
      </c>
    </row>
    <row r="8719" spans="5:19" x14ac:dyDescent="0.3">
      <c r="E8719" s="9" t="str">
        <f>IF(DADOS!C8719="","",DADOS!C8719)</f>
        <v/>
      </c>
      <c r="F8719" s="9" t="str">
        <f>IF(DADOS!E8719="","",DADOS!E8719)</f>
        <v/>
      </c>
      <c r="G8719" s="9" t="str">
        <f>IF(DADOS!F8719="","",DADOS!F8719)</f>
        <v/>
      </c>
      <c r="K8719" s="6" t="str">
        <f t="shared" si="685"/>
        <v/>
      </c>
      <c r="L8719" s="7" t="str">
        <f t="shared" si="686"/>
        <v/>
      </c>
      <c r="M8719" s="7" t="str">
        <f t="shared" si="683"/>
        <v/>
      </c>
      <c r="N8719" s="7" t="str">
        <f t="shared" si="687"/>
        <v/>
      </c>
      <c r="O8719" s="8"/>
      <c r="P8719" s="26"/>
      <c r="S8719" s="10" t="str">
        <f t="shared" si="684"/>
        <v/>
      </c>
    </row>
    <row r="8720" spans="5:19" x14ac:dyDescent="0.3">
      <c r="E8720" s="9" t="str">
        <f>IF(DADOS!C8720="","",DADOS!C8720)</f>
        <v/>
      </c>
      <c r="F8720" s="9" t="str">
        <f>IF(DADOS!E8720="","",DADOS!E8720)</f>
        <v/>
      </c>
      <c r="G8720" s="9" t="str">
        <f>IF(DADOS!F8720="","",DADOS!F8720)</f>
        <v/>
      </c>
      <c r="K8720" s="6" t="str">
        <f t="shared" si="685"/>
        <v/>
      </c>
      <c r="L8720" s="7" t="str">
        <f t="shared" si="686"/>
        <v/>
      </c>
      <c r="M8720" s="7" t="str">
        <f t="shared" si="683"/>
        <v/>
      </c>
      <c r="N8720" s="7" t="str">
        <f t="shared" si="687"/>
        <v/>
      </c>
      <c r="O8720" s="8"/>
      <c r="P8720" s="26"/>
      <c r="S8720" s="10" t="str">
        <f t="shared" si="684"/>
        <v/>
      </c>
    </row>
    <row r="8721" spans="5:19" x14ac:dyDescent="0.3">
      <c r="E8721" s="9" t="str">
        <f>IF(DADOS!C8721="","",DADOS!C8721)</f>
        <v/>
      </c>
      <c r="F8721" s="9" t="str">
        <f>IF(DADOS!E8721="","",DADOS!E8721)</f>
        <v/>
      </c>
      <c r="G8721" s="9" t="str">
        <f>IF(DADOS!F8721="","",DADOS!F8721)</f>
        <v/>
      </c>
      <c r="K8721" s="6" t="str">
        <f t="shared" si="685"/>
        <v/>
      </c>
      <c r="L8721" s="7" t="str">
        <f t="shared" si="686"/>
        <v/>
      </c>
      <c r="M8721" s="7" t="str">
        <f t="shared" si="683"/>
        <v/>
      </c>
      <c r="N8721" s="7" t="str">
        <f t="shared" si="687"/>
        <v/>
      </c>
      <c r="O8721" s="8"/>
      <c r="P8721" s="26"/>
      <c r="S8721" s="10" t="str">
        <f t="shared" si="684"/>
        <v/>
      </c>
    </row>
    <row r="8722" spans="5:19" x14ac:dyDescent="0.3">
      <c r="E8722" s="9" t="str">
        <f>IF(DADOS!C8722="","",DADOS!C8722)</f>
        <v/>
      </c>
      <c r="F8722" s="9" t="str">
        <f>IF(DADOS!E8722="","",DADOS!E8722)</f>
        <v/>
      </c>
      <c r="G8722" s="9" t="str">
        <f>IF(DADOS!F8722="","",DADOS!F8722)</f>
        <v/>
      </c>
      <c r="K8722" s="6" t="str">
        <f t="shared" si="685"/>
        <v/>
      </c>
      <c r="L8722" s="7" t="str">
        <f t="shared" si="686"/>
        <v/>
      </c>
      <c r="M8722" s="7" t="str">
        <f t="shared" si="683"/>
        <v/>
      </c>
      <c r="N8722" s="7" t="str">
        <f t="shared" si="687"/>
        <v/>
      </c>
      <c r="O8722" s="8"/>
      <c r="P8722" s="26"/>
      <c r="S8722" s="10" t="str">
        <f t="shared" si="684"/>
        <v/>
      </c>
    </row>
    <row r="8723" spans="5:19" x14ac:dyDescent="0.3">
      <c r="E8723" s="9" t="str">
        <f>IF(DADOS!C8723="","",DADOS!C8723)</f>
        <v/>
      </c>
      <c r="F8723" s="9" t="str">
        <f>IF(DADOS!E8723="","",DADOS!E8723)</f>
        <v/>
      </c>
      <c r="G8723" s="9" t="str">
        <f>IF(DADOS!F8723="","",DADOS!F8723)</f>
        <v/>
      </c>
      <c r="K8723" s="6" t="str">
        <f t="shared" si="685"/>
        <v/>
      </c>
      <c r="L8723" s="7" t="str">
        <f t="shared" si="686"/>
        <v/>
      </c>
      <c r="M8723" s="7" t="str">
        <f t="shared" si="683"/>
        <v/>
      </c>
      <c r="N8723" s="7" t="str">
        <f t="shared" si="687"/>
        <v/>
      </c>
      <c r="O8723" s="8"/>
      <c r="P8723" s="26"/>
      <c r="S8723" s="10" t="str">
        <f t="shared" si="684"/>
        <v/>
      </c>
    </row>
    <row r="8724" spans="5:19" x14ac:dyDescent="0.3">
      <c r="E8724" s="9" t="str">
        <f>IF(DADOS!C8724="","",DADOS!C8724)</f>
        <v/>
      </c>
      <c r="F8724" s="9" t="str">
        <f>IF(DADOS!E8724="","",DADOS!E8724)</f>
        <v/>
      </c>
      <c r="G8724" s="9" t="str">
        <f>IF(DADOS!F8724="","",DADOS!F8724)</f>
        <v/>
      </c>
      <c r="K8724" s="6" t="str">
        <f t="shared" si="685"/>
        <v/>
      </c>
      <c r="L8724" s="7" t="str">
        <f t="shared" si="686"/>
        <v/>
      </c>
      <c r="M8724" s="7" t="str">
        <f t="shared" si="683"/>
        <v/>
      </c>
      <c r="N8724" s="7" t="str">
        <f t="shared" si="687"/>
        <v/>
      </c>
      <c r="O8724" s="8"/>
      <c r="P8724" s="26"/>
      <c r="S8724" s="10" t="str">
        <f t="shared" si="684"/>
        <v/>
      </c>
    </row>
    <row r="8725" spans="5:19" x14ac:dyDescent="0.3">
      <c r="E8725" s="9" t="str">
        <f>IF(DADOS!C8725="","",DADOS!C8725)</f>
        <v/>
      </c>
      <c r="F8725" s="9" t="str">
        <f>IF(DADOS!E8725="","",DADOS!E8725)</f>
        <v/>
      </c>
      <c r="G8725" s="9" t="str">
        <f>IF(DADOS!F8725="","",DADOS!F8725)</f>
        <v/>
      </c>
      <c r="K8725" s="6" t="str">
        <f t="shared" si="685"/>
        <v/>
      </c>
      <c r="L8725" s="7" t="str">
        <f t="shared" si="686"/>
        <v/>
      </c>
      <c r="M8725" s="7" t="str">
        <f t="shared" si="683"/>
        <v/>
      </c>
      <c r="N8725" s="7" t="str">
        <f t="shared" si="687"/>
        <v/>
      </c>
      <c r="O8725" s="8"/>
      <c r="P8725" s="26"/>
      <c r="S8725" s="10" t="str">
        <f t="shared" si="684"/>
        <v/>
      </c>
    </row>
    <row r="8726" spans="5:19" x14ac:dyDescent="0.3">
      <c r="E8726" s="9" t="str">
        <f>IF(DADOS!C8726="","",DADOS!C8726)</f>
        <v/>
      </c>
      <c r="F8726" s="9" t="str">
        <f>IF(DADOS!E8726="","",DADOS!E8726)</f>
        <v/>
      </c>
      <c r="G8726" s="9" t="str">
        <f>IF(DADOS!F8726="","",DADOS!F8726)</f>
        <v/>
      </c>
      <c r="K8726" s="6" t="str">
        <f t="shared" si="685"/>
        <v/>
      </c>
      <c r="L8726" s="7" t="str">
        <f t="shared" si="686"/>
        <v/>
      </c>
      <c r="M8726" s="7" t="str">
        <f t="shared" si="683"/>
        <v/>
      </c>
      <c r="N8726" s="7" t="str">
        <f t="shared" si="687"/>
        <v/>
      </c>
      <c r="O8726" s="8"/>
      <c r="P8726" s="26"/>
      <c r="S8726" s="10" t="str">
        <f t="shared" si="684"/>
        <v/>
      </c>
    </row>
    <row r="8727" spans="5:19" x14ac:dyDescent="0.3">
      <c r="E8727" s="9" t="str">
        <f>IF(DADOS!C8727="","",DADOS!C8727)</f>
        <v/>
      </c>
      <c r="F8727" s="9" t="str">
        <f>IF(DADOS!E8727="","",DADOS!E8727)</f>
        <v/>
      </c>
      <c r="G8727" s="9" t="str">
        <f>IF(DADOS!F8727="","",DADOS!F8727)</f>
        <v/>
      </c>
      <c r="K8727" s="6" t="str">
        <f t="shared" si="685"/>
        <v/>
      </c>
      <c r="L8727" s="7" t="str">
        <f t="shared" si="686"/>
        <v/>
      </c>
      <c r="M8727" s="7" t="str">
        <f t="shared" si="683"/>
        <v/>
      </c>
      <c r="N8727" s="7" t="str">
        <f t="shared" si="687"/>
        <v/>
      </c>
      <c r="O8727" s="8"/>
      <c r="P8727" s="26"/>
      <c r="S8727" s="10" t="str">
        <f t="shared" si="684"/>
        <v/>
      </c>
    </row>
    <row r="8728" spans="5:19" x14ac:dyDescent="0.3">
      <c r="E8728" s="9" t="str">
        <f>IF(DADOS!C8728="","",DADOS!C8728)</f>
        <v/>
      </c>
      <c r="F8728" s="9" t="str">
        <f>IF(DADOS!E8728="","",DADOS!E8728)</f>
        <v/>
      </c>
      <c r="G8728" s="9" t="str">
        <f>IF(DADOS!F8728="","",DADOS!F8728)</f>
        <v/>
      </c>
      <c r="K8728" s="6" t="str">
        <f t="shared" si="685"/>
        <v/>
      </c>
      <c r="L8728" s="7" t="str">
        <f t="shared" si="686"/>
        <v/>
      </c>
      <c r="M8728" s="7" t="str">
        <f t="shared" si="683"/>
        <v/>
      </c>
      <c r="N8728" s="7" t="str">
        <f t="shared" si="687"/>
        <v/>
      </c>
      <c r="O8728" s="8"/>
      <c r="P8728" s="26"/>
      <c r="S8728" s="10" t="str">
        <f t="shared" si="684"/>
        <v/>
      </c>
    </row>
    <row r="8729" spans="5:19" x14ac:dyDescent="0.3">
      <c r="E8729" s="9" t="str">
        <f>IF(DADOS!C8729="","",DADOS!C8729)</f>
        <v/>
      </c>
      <c r="F8729" s="9" t="str">
        <f>IF(DADOS!E8729="","",DADOS!E8729)</f>
        <v/>
      </c>
      <c r="G8729" s="9" t="str">
        <f>IF(DADOS!F8729="","",DADOS!F8729)</f>
        <v/>
      </c>
      <c r="K8729" s="6" t="str">
        <f t="shared" si="685"/>
        <v/>
      </c>
      <c r="L8729" s="7" t="str">
        <f t="shared" si="686"/>
        <v/>
      </c>
      <c r="M8729" s="7" t="str">
        <f t="shared" si="683"/>
        <v/>
      </c>
      <c r="N8729" s="7" t="str">
        <f t="shared" si="687"/>
        <v/>
      </c>
      <c r="O8729" s="8"/>
      <c r="P8729" s="26"/>
      <c r="S8729" s="10" t="str">
        <f t="shared" si="684"/>
        <v/>
      </c>
    </row>
    <row r="8730" spans="5:19" x14ac:dyDescent="0.3">
      <c r="E8730" s="9" t="str">
        <f>IF(DADOS!C8730="","",DADOS!C8730)</f>
        <v/>
      </c>
      <c r="F8730" s="9" t="str">
        <f>IF(DADOS!E8730="","",DADOS!E8730)</f>
        <v/>
      </c>
      <c r="G8730" s="9" t="str">
        <f>IF(DADOS!F8730="","",DADOS!F8730)</f>
        <v/>
      </c>
      <c r="K8730" s="6" t="str">
        <f t="shared" si="685"/>
        <v/>
      </c>
      <c r="L8730" s="7" t="str">
        <f t="shared" si="686"/>
        <v/>
      </c>
      <c r="M8730" s="7" t="str">
        <f t="shared" si="683"/>
        <v/>
      </c>
      <c r="N8730" s="7" t="str">
        <f t="shared" si="687"/>
        <v/>
      </c>
      <c r="O8730" s="8"/>
      <c r="P8730" s="26"/>
      <c r="S8730" s="10" t="str">
        <f t="shared" si="684"/>
        <v/>
      </c>
    </row>
    <row r="8731" spans="5:19" x14ac:dyDescent="0.3">
      <c r="E8731" s="9" t="str">
        <f>IF(DADOS!C8731="","",DADOS!C8731)</f>
        <v/>
      </c>
      <c r="F8731" s="9" t="str">
        <f>IF(DADOS!E8731="","",DADOS!E8731)</f>
        <v/>
      </c>
      <c r="G8731" s="9" t="str">
        <f>IF(DADOS!F8731="","",DADOS!F8731)</f>
        <v/>
      </c>
      <c r="K8731" s="6" t="str">
        <f t="shared" si="685"/>
        <v/>
      </c>
      <c r="L8731" s="7" t="str">
        <f t="shared" si="686"/>
        <v/>
      </c>
      <c r="M8731" s="7" t="str">
        <f t="shared" si="683"/>
        <v/>
      </c>
      <c r="N8731" s="7" t="str">
        <f t="shared" si="687"/>
        <v/>
      </c>
      <c r="O8731" s="8"/>
      <c r="P8731" s="26"/>
      <c r="S8731" s="10" t="str">
        <f t="shared" si="684"/>
        <v/>
      </c>
    </row>
    <row r="8732" spans="5:19" x14ac:dyDescent="0.3">
      <c r="E8732" s="9" t="str">
        <f>IF(DADOS!C8732="","",DADOS!C8732)</f>
        <v/>
      </c>
      <c r="F8732" s="9" t="str">
        <f>IF(DADOS!E8732="","",DADOS!E8732)</f>
        <v/>
      </c>
      <c r="G8732" s="9" t="str">
        <f>IF(DADOS!F8732="","",DADOS!F8732)</f>
        <v/>
      </c>
      <c r="K8732" s="6" t="str">
        <f t="shared" si="685"/>
        <v/>
      </c>
      <c r="L8732" s="7" t="str">
        <f t="shared" si="686"/>
        <v/>
      </c>
      <c r="M8732" s="7" t="str">
        <f t="shared" si="683"/>
        <v/>
      </c>
      <c r="N8732" s="7" t="str">
        <f t="shared" si="687"/>
        <v/>
      </c>
      <c r="O8732" s="8"/>
      <c r="P8732" s="26"/>
      <c r="S8732" s="10" t="str">
        <f t="shared" si="684"/>
        <v/>
      </c>
    </row>
    <row r="8733" spans="5:19" x14ac:dyDescent="0.3">
      <c r="E8733" s="9" t="str">
        <f>IF(DADOS!C8733="","",DADOS!C8733)</f>
        <v/>
      </c>
      <c r="F8733" s="9" t="str">
        <f>IF(DADOS!E8733="","",DADOS!E8733)</f>
        <v/>
      </c>
      <c r="G8733" s="9" t="str">
        <f>IF(DADOS!F8733="","",DADOS!F8733)</f>
        <v/>
      </c>
      <c r="K8733" s="6" t="str">
        <f t="shared" si="685"/>
        <v/>
      </c>
      <c r="L8733" s="7" t="str">
        <f t="shared" si="686"/>
        <v/>
      </c>
      <c r="M8733" s="7" t="str">
        <f t="shared" si="683"/>
        <v/>
      </c>
      <c r="N8733" s="7" t="str">
        <f t="shared" si="687"/>
        <v/>
      </c>
      <c r="O8733" s="8"/>
      <c r="P8733" s="26"/>
      <c r="S8733" s="10" t="str">
        <f t="shared" si="684"/>
        <v/>
      </c>
    </row>
    <row r="8734" spans="5:19" x14ac:dyDescent="0.3">
      <c r="E8734" s="9" t="str">
        <f>IF(DADOS!C8734="","",DADOS!C8734)</f>
        <v/>
      </c>
      <c r="F8734" s="9" t="str">
        <f>IF(DADOS!E8734="","",DADOS!E8734)</f>
        <v/>
      </c>
      <c r="G8734" s="9" t="str">
        <f>IF(DADOS!F8734="","",DADOS!F8734)</f>
        <v/>
      </c>
      <c r="K8734" s="6" t="str">
        <f t="shared" si="685"/>
        <v/>
      </c>
      <c r="L8734" s="7" t="str">
        <f t="shared" si="686"/>
        <v/>
      </c>
      <c r="M8734" s="7" t="str">
        <f t="shared" si="683"/>
        <v/>
      </c>
      <c r="N8734" s="7" t="str">
        <f t="shared" si="687"/>
        <v/>
      </c>
      <c r="O8734" s="8"/>
      <c r="P8734" s="26"/>
      <c r="S8734" s="10" t="str">
        <f t="shared" si="684"/>
        <v/>
      </c>
    </row>
    <row r="8735" spans="5:19" x14ac:dyDescent="0.3">
      <c r="E8735" s="9" t="str">
        <f>IF(DADOS!C8735="","",DADOS!C8735)</f>
        <v/>
      </c>
      <c r="F8735" s="9" t="str">
        <f>IF(DADOS!E8735="","",DADOS!E8735)</f>
        <v/>
      </c>
      <c r="G8735" s="9" t="str">
        <f>IF(DADOS!F8735="","",DADOS!F8735)</f>
        <v/>
      </c>
      <c r="K8735" s="6" t="str">
        <f t="shared" si="685"/>
        <v/>
      </c>
      <c r="L8735" s="7" t="str">
        <f t="shared" si="686"/>
        <v/>
      </c>
      <c r="M8735" s="7" t="str">
        <f t="shared" si="683"/>
        <v/>
      </c>
      <c r="N8735" s="7" t="str">
        <f t="shared" si="687"/>
        <v/>
      </c>
      <c r="O8735" s="8"/>
      <c r="P8735" s="26"/>
      <c r="S8735" s="10" t="str">
        <f t="shared" si="684"/>
        <v/>
      </c>
    </row>
    <row r="8736" spans="5:19" x14ac:dyDescent="0.3">
      <c r="E8736" s="9" t="str">
        <f>IF(DADOS!C8736="","",DADOS!C8736)</f>
        <v/>
      </c>
      <c r="F8736" s="9" t="str">
        <f>IF(DADOS!E8736="","",DADOS!E8736)</f>
        <v/>
      </c>
      <c r="G8736" s="9" t="str">
        <f>IF(DADOS!F8736="","",DADOS!F8736)</f>
        <v/>
      </c>
      <c r="K8736" s="6" t="str">
        <f t="shared" si="685"/>
        <v/>
      </c>
      <c r="L8736" s="7" t="str">
        <f t="shared" si="686"/>
        <v/>
      </c>
      <c r="M8736" s="7" t="str">
        <f t="shared" si="683"/>
        <v/>
      </c>
      <c r="N8736" s="7" t="str">
        <f t="shared" si="687"/>
        <v/>
      </c>
      <c r="O8736" s="8"/>
      <c r="P8736" s="26"/>
      <c r="S8736" s="10" t="str">
        <f t="shared" si="684"/>
        <v/>
      </c>
    </row>
    <row r="8737" spans="5:19" x14ac:dyDescent="0.3">
      <c r="E8737" s="9" t="str">
        <f>IF(DADOS!C8737="","",DADOS!C8737)</f>
        <v/>
      </c>
      <c r="F8737" s="9" t="str">
        <f>IF(DADOS!E8737="","",DADOS!E8737)</f>
        <v/>
      </c>
      <c r="G8737" s="9" t="str">
        <f>IF(DADOS!F8737="","",DADOS!F8737)</f>
        <v/>
      </c>
      <c r="K8737" s="6" t="str">
        <f t="shared" si="685"/>
        <v/>
      </c>
      <c r="L8737" s="7" t="str">
        <f t="shared" si="686"/>
        <v/>
      </c>
      <c r="M8737" s="7" t="str">
        <f t="shared" si="683"/>
        <v/>
      </c>
      <c r="N8737" s="7" t="str">
        <f t="shared" si="687"/>
        <v/>
      </c>
      <c r="O8737" s="8"/>
      <c r="P8737" s="26"/>
      <c r="S8737" s="10" t="str">
        <f t="shared" si="684"/>
        <v/>
      </c>
    </row>
    <row r="8738" spans="5:19" x14ac:dyDescent="0.3">
      <c r="E8738" s="9" t="str">
        <f>IF(DADOS!C8738="","",DADOS!C8738)</f>
        <v/>
      </c>
      <c r="F8738" s="9" t="str">
        <f>IF(DADOS!E8738="","",DADOS!E8738)</f>
        <v/>
      </c>
      <c r="G8738" s="9" t="str">
        <f>IF(DADOS!F8738="","",DADOS!F8738)</f>
        <v/>
      </c>
      <c r="K8738" s="6" t="str">
        <f t="shared" si="685"/>
        <v/>
      </c>
      <c r="L8738" s="7" t="str">
        <f t="shared" si="686"/>
        <v/>
      </c>
      <c r="M8738" s="7" t="str">
        <f t="shared" si="683"/>
        <v/>
      </c>
      <c r="N8738" s="7" t="str">
        <f t="shared" si="687"/>
        <v/>
      </c>
      <c r="O8738" s="8"/>
      <c r="P8738" s="26"/>
      <c r="S8738" s="10" t="str">
        <f t="shared" si="684"/>
        <v/>
      </c>
    </row>
    <row r="8739" spans="5:19" x14ac:dyDescent="0.3">
      <c r="E8739" s="9" t="str">
        <f>IF(DADOS!C8739="","",DADOS!C8739)</f>
        <v/>
      </c>
      <c r="F8739" s="9" t="str">
        <f>IF(DADOS!E8739="","",DADOS!E8739)</f>
        <v/>
      </c>
      <c r="G8739" s="9" t="str">
        <f>IF(DADOS!F8739="","",DADOS!F8739)</f>
        <v/>
      </c>
      <c r="K8739" s="6" t="str">
        <f t="shared" si="685"/>
        <v/>
      </c>
      <c r="L8739" s="7" t="str">
        <f t="shared" si="686"/>
        <v/>
      </c>
      <c r="M8739" s="7" t="str">
        <f t="shared" si="683"/>
        <v/>
      </c>
      <c r="N8739" s="7" t="str">
        <f t="shared" si="687"/>
        <v/>
      </c>
      <c r="O8739" s="8"/>
      <c r="P8739" s="26"/>
      <c r="S8739" s="10" t="str">
        <f t="shared" si="684"/>
        <v/>
      </c>
    </row>
    <row r="8740" spans="5:19" x14ac:dyDescent="0.3">
      <c r="E8740" s="9" t="str">
        <f>IF(DADOS!C8740="","",DADOS!C8740)</f>
        <v/>
      </c>
      <c r="F8740" s="9" t="str">
        <f>IF(DADOS!E8740="","",DADOS!E8740)</f>
        <v/>
      </c>
      <c r="G8740" s="9" t="str">
        <f>IF(DADOS!F8740="","",DADOS!F8740)</f>
        <v/>
      </c>
      <c r="K8740" s="6" t="str">
        <f t="shared" si="685"/>
        <v/>
      </c>
      <c r="L8740" s="7" t="str">
        <f t="shared" si="686"/>
        <v/>
      </c>
      <c r="M8740" s="7" t="str">
        <f t="shared" si="683"/>
        <v/>
      </c>
      <c r="N8740" s="7" t="str">
        <f t="shared" si="687"/>
        <v/>
      </c>
      <c r="O8740" s="8"/>
      <c r="P8740" s="26"/>
      <c r="S8740" s="10" t="str">
        <f t="shared" si="684"/>
        <v/>
      </c>
    </row>
    <row r="8741" spans="5:19" x14ac:dyDescent="0.3">
      <c r="E8741" s="9" t="str">
        <f>IF(DADOS!C8741="","",DADOS!C8741)</f>
        <v/>
      </c>
      <c r="F8741" s="9" t="str">
        <f>IF(DADOS!E8741="","",DADOS!E8741)</f>
        <v/>
      </c>
      <c r="G8741" s="9" t="str">
        <f>IF(DADOS!F8741="","",DADOS!F8741)</f>
        <v/>
      </c>
      <c r="K8741" s="6" t="str">
        <f t="shared" si="685"/>
        <v/>
      </c>
      <c r="L8741" s="7" t="str">
        <f t="shared" si="686"/>
        <v/>
      </c>
      <c r="M8741" s="7" t="str">
        <f t="shared" si="683"/>
        <v/>
      </c>
      <c r="N8741" s="7" t="str">
        <f t="shared" si="687"/>
        <v/>
      </c>
      <c r="O8741" s="8"/>
      <c r="P8741" s="26"/>
      <c r="S8741" s="10" t="str">
        <f t="shared" si="684"/>
        <v/>
      </c>
    </row>
    <row r="8742" spans="5:19" x14ac:dyDescent="0.3">
      <c r="E8742" s="9" t="str">
        <f>IF(DADOS!C8742="","",DADOS!C8742)</f>
        <v/>
      </c>
      <c r="F8742" s="9" t="str">
        <f>IF(DADOS!E8742="","",DADOS!E8742)</f>
        <v/>
      </c>
      <c r="G8742" s="9" t="str">
        <f>IF(DADOS!F8742="","",DADOS!F8742)</f>
        <v/>
      </c>
      <c r="K8742" s="6" t="str">
        <f t="shared" si="685"/>
        <v/>
      </c>
      <c r="L8742" s="7" t="str">
        <f t="shared" si="686"/>
        <v/>
      </c>
      <c r="M8742" s="7" t="str">
        <f t="shared" si="683"/>
        <v/>
      </c>
      <c r="N8742" s="7" t="str">
        <f t="shared" si="687"/>
        <v/>
      </c>
      <c r="O8742" s="8"/>
      <c r="P8742" s="26"/>
      <c r="S8742" s="10" t="str">
        <f t="shared" si="684"/>
        <v/>
      </c>
    </row>
    <row r="8743" spans="5:19" x14ac:dyDescent="0.3">
      <c r="E8743" s="9" t="str">
        <f>IF(DADOS!C8743="","",DADOS!C8743)</f>
        <v/>
      </c>
      <c r="F8743" s="9" t="str">
        <f>IF(DADOS!E8743="","",DADOS!E8743)</f>
        <v/>
      </c>
      <c r="G8743" s="9" t="str">
        <f>IF(DADOS!F8743="","",DADOS!F8743)</f>
        <v/>
      </c>
      <c r="K8743" s="6" t="str">
        <f t="shared" si="685"/>
        <v/>
      </c>
      <c r="L8743" s="7" t="str">
        <f t="shared" si="686"/>
        <v/>
      </c>
      <c r="M8743" s="7" t="str">
        <f t="shared" si="683"/>
        <v/>
      </c>
      <c r="N8743" s="7" t="str">
        <f t="shared" si="687"/>
        <v/>
      </c>
      <c r="O8743" s="8"/>
      <c r="P8743" s="26"/>
      <c r="S8743" s="10" t="str">
        <f t="shared" si="684"/>
        <v/>
      </c>
    </row>
    <row r="8744" spans="5:19" x14ac:dyDescent="0.3">
      <c r="E8744" s="9" t="str">
        <f>IF(DADOS!C8744="","",DADOS!C8744)</f>
        <v/>
      </c>
      <c r="F8744" s="9" t="str">
        <f>IF(DADOS!E8744="","",DADOS!E8744)</f>
        <v/>
      </c>
      <c r="G8744" s="9" t="str">
        <f>IF(DADOS!F8744="","",DADOS!F8744)</f>
        <v/>
      </c>
      <c r="K8744" s="6" t="str">
        <f t="shared" si="685"/>
        <v/>
      </c>
      <c r="L8744" s="7" t="str">
        <f t="shared" si="686"/>
        <v/>
      </c>
      <c r="M8744" s="7" t="str">
        <f t="shared" si="683"/>
        <v/>
      </c>
      <c r="N8744" s="7" t="str">
        <f t="shared" si="687"/>
        <v/>
      </c>
      <c r="O8744" s="8"/>
      <c r="P8744" s="26"/>
      <c r="S8744" s="10" t="str">
        <f t="shared" si="684"/>
        <v/>
      </c>
    </row>
    <row r="8745" spans="5:19" x14ac:dyDescent="0.3">
      <c r="E8745" s="9" t="str">
        <f>IF(DADOS!C8745="","",DADOS!C8745)</f>
        <v/>
      </c>
      <c r="F8745" s="9" t="str">
        <f>IF(DADOS!E8745="","",DADOS!E8745)</f>
        <v/>
      </c>
      <c r="G8745" s="9" t="str">
        <f>IF(DADOS!F8745="","",DADOS!F8745)</f>
        <v/>
      </c>
      <c r="K8745" s="6" t="str">
        <f t="shared" si="685"/>
        <v/>
      </c>
      <c r="L8745" s="7" t="str">
        <f t="shared" si="686"/>
        <v/>
      </c>
      <c r="M8745" s="7" t="str">
        <f t="shared" si="683"/>
        <v/>
      </c>
      <c r="N8745" s="7" t="str">
        <f t="shared" si="687"/>
        <v/>
      </c>
      <c r="O8745" s="8"/>
      <c r="P8745" s="26"/>
      <c r="S8745" s="10" t="str">
        <f t="shared" si="684"/>
        <v/>
      </c>
    </row>
    <row r="8746" spans="5:19" x14ac:dyDescent="0.3">
      <c r="E8746" s="9" t="str">
        <f>IF(DADOS!C8746="","",DADOS!C8746)</f>
        <v/>
      </c>
      <c r="F8746" s="9" t="str">
        <f>IF(DADOS!E8746="","",DADOS!E8746)</f>
        <v/>
      </c>
      <c r="G8746" s="9" t="str">
        <f>IF(DADOS!F8746="","",DADOS!F8746)</f>
        <v/>
      </c>
      <c r="K8746" s="6" t="str">
        <f t="shared" si="685"/>
        <v/>
      </c>
      <c r="L8746" s="7" t="str">
        <f t="shared" si="686"/>
        <v/>
      </c>
      <c r="M8746" s="7" t="str">
        <f t="shared" si="683"/>
        <v/>
      </c>
      <c r="N8746" s="7" t="str">
        <f t="shared" si="687"/>
        <v/>
      </c>
      <c r="O8746" s="8"/>
      <c r="P8746" s="26"/>
      <c r="S8746" s="10" t="str">
        <f t="shared" si="684"/>
        <v/>
      </c>
    </row>
    <row r="8747" spans="5:19" x14ac:dyDescent="0.3">
      <c r="E8747" s="9" t="str">
        <f>IF(DADOS!C8747="","",DADOS!C8747)</f>
        <v/>
      </c>
      <c r="F8747" s="9" t="str">
        <f>IF(DADOS!E8747="","",DADOS!E8747)</f>
        <v/>
      </c>
      <c r="G8747" s="9" t="str">
        <f>IF(DADOS!F8747="","",DADOS!F8747)</f>
        <v/>
      </c>
      <c r="K8747" s="6" t="str">
        <f t="shared" si="685"/>
        <v/>
      </c>
      <c r="L8747" s="7" t="str">
        <f t="shared" si="686"/>
        <v/>
      </c>
      <c r="M8747" s="7" t="str">
        <f t="shared" si="683"/>
        <v/>
      </c>
      <c r="N8747" s="7" t="str">
        <f t="shared" si="687"/>
        <v/>
      </c>
      <c r="O8747" s="8"/>
      <c r="P8747" s="26"/>
      <c r="S8747" s="10" t="str">
        <f t="shared" si="684"/>
        <v/>
      </c>
    </row>
    <row r="8748" spans="5:19" x14ac:dyDescent="0.3">
      <c r="E8748" s="9" t="str">
        <f>IF(DADOS!C8748="","",DADOS!C8748)</f>
        <v/>
      </c>
      <c r="F8748" s="9" t="str">
        <f>IF(DADOS!E8748="","",DADOS!E8748)</f>
        <v/>
      </c>
      <c r="G8748" s="9" t="str">
        <f>IF(DADOS!F8748="","",DADOS!F8748)</f>
        <v/>
      </c>
      <c r="K8748" s="6" t="str">
        <f t="shared" si="685"/>
        <v/>
      </c>
      <c r="L8748" s="7" t="str">
        <f t="shared" si="686"/>
        <v/>
      </c>
      <c r="M8748" s="7" t="str">
        <f t="shared" si="683"/>
        <v/>
      </c>
      <c r="N8748" s="7" t="str">
        <f t="shared" si="687"/>
        <v/>
      </c>
      <c r="O8748" s="8"/>
      <c r="P8748" s="26"/>
      <c r="S8748" s="10" t="str">
        <f t="shared" si="684"/>
        <v/>
      </c>
    </row>
    <row r="8749" spans="5:19" x14ac:dyDescent="0.3">
      <c r="E8749" s="9" t="str">
        <f>IF(DADOS!C8749="","",DADOS!C8749)</f>
        <v/>
      </c>
      <c r="F8749" s="9" t="str">
        <f>IF(DADOS!E8749="","",DADOS!E8749)</f>
        <v/>
      </c>
      <c r="G8749" s="9" t="str">
        <f>IF(DADOS!F8749="","",DADOS!F8749)</f>
        <v/>
      </c>
      <c r="K8749" s="6" t="str">
        <f t="shared" si="685"/>
        <v/>
      </c>
      <c r="L8749" s="7" t="str">
        <f t="shared" si="686"/>
        <v/>
      </c>
      <c r="M8749" s="7" t="str">
        <f t="shared" si="683"/>
        <v/>
      </c>
      <c r="N8749" s="7" t="str">
        <f t="shared" si="687"/>
        <v/>
      </c>
      <c r="O8749" s="8"/>
      <c r="P8749" s="26"/>
      <c r="S8749" s="10" t="str">
        <f t="shared" si="684"/>
        <v/>
      </c>
    </row>
    <row r="8750" spans="5:19" x14ac:dyDescent="0.3">
      <c r="E8750" s="9" t="str">
        <f>IF(DADOS!C8750="","",DADOS!C8750)</f>
        <v/>
      </c>
      <c r="F8750" s="9" t="str">
        <f>IF(DADOS!E8750="","",DADOS!E8750)</f>
        <v/>
      </c>
      <c r="G8750" s="9" t="str">
        <f>IF(DADOS!F8750="","",DADOS!F8750)</f>
        <v/>
      </c>
      <c r="K8750" s="6" t="str">
        <f t="shared" si="685"/>
        <v/>
      </c>
      <c r="L8750" s="7" t="str">
        <f t="shared" si="686"/>
        <v/>
      </c>
      <c r="M8750" s="7" t="str">
        <f t="shared" si="683"/>
        <v/>
      </c>
      <c r="N8750" s="7" t="str">
        <f t="shared" si="687"/>
        <v/>
      </c>
      <c r="O8750" s="8"/>
      <c r="P8750" s="26"/>
      <c r="S8750" s="10" t="str">
        <f t="shared" si="684"/>
        <v/>
      </c>
    </row>
    <row r="8751" spans="5:19" x14ac:dyDescent="0.3">
      <c r="E8751" s="9" t="str">
        <f>IF(DADOS!C8751="","",DADOS!C8751)</f>
        <v/>
      </c>
      <c r="F8751" s="9" t="str">
        <f>IF(DADOS!E8751="","",DADOS!E8751)</f>
        <v/>
      </c>
      <c r="G8751" s="9" t="str">
        <f>IF(DADOS!F8751="","",DADOS!F8751)</f>
        <v/>
      </c>
      <c r="K8751" s="6" t="str">
        <f t="shared" si="685"/>
        <v/>
      </c>
      <c r="L8751" s="7" t="str">
        <f t="shared" si="686"/>
        <v/>
      </c>
      <c r="M8751" s="7" t="str">
        <f t="shared" si="683"/>
        <v/>
      </c>
      <c r="N8751" s="7" t="str">
        <f t="shared" si="687"/>
        <v/>
      </c>
      <c r="O8751" s="8"/>
      <c r="P8751" s="26"/>
      <c r="S8751" s="10" t="str">
        <f t="shared" si="684"/>
        <v/>
      </c>
    </row>
    <row r="8752" spans="5:19" x14ac:dyDescent="0.3">
      <c r="E8752" s="9" t="str">
        <f>IF(DADOS!C8752="","",DADOS!C8752)</f>
        <v/>
      </c>
      <c r="F8752" s="9" t="str">
        <f>IF(DADOS!E8752="","",DADOS!E8752)</f>
        <v/>
      </c>
      <c r="G8752" s="9" t="str">
        <f>IF(DADOS!F8752="","",DADOS!F8752)</f>
        <v/>
      </c>
      <c r="K8752" s="6" t="str">
        <f t="shared" si="685"/>
        <v/>
      </c>
      <c r="L8752" s="7" t="str">
        <f t="shared" si="686"/>
        <v/>
      </c>
      <c r="M8752" s="7" t="str">
        <f t="shared" si="683"/>
        <v/>
      </c>
      <c r="N8752" s="7" t="str">
        <f t="shared" si="687"/>
        <v/>
      </c>
      <c r="O8752" s="8"/>
      <c r="P8752" s="26"/>
      <c r="S8752" s="10" t="str">
        <f t="shared" si="684"/>
        <v/>
      </c>
    </row>
    <row r="8753" spans="5:19" x14ac:dyDescent="0.3">
      <c r="E8753" s="9" t="str">
        <f>IF(DADOS!C8753="","",DADOS!C8753)</f>
        <v/>
      </c>
      <c r="F8753" s="9" t="str">
        <f>IF(DADOS!E8753="","",DADOS!E8753)</f>
        <v/>
      </c>
      <c r="G8753" s="9" t="str">
        <f>IF(DADOS!F8753="","",DADOS!F8753)</f>
        <v/>
      </c>
      <c r="K8753" s="6" t="str">
        <f t="shared" si="685"/>
        <v/>
      </c>
      <c r="L8753" s="7" t="str">
        <f t="shared" si="686"/>
        <v/>
      </c>
      <c r="M8753" s="7" t="str">
        <f t="shared" si="683"/>
        <v/>
      </c>
      <c r="N8753" s="7" t="str">
        <f t="shared" si="687"/>
        <v/>
      </c>
      <c r="O8753" s="8"/>
      <c r="P8753" s="26"/>
      <c r="S8753" s="10" t="str">
        <f t="shared" si="684"/>
        <v/>
      </c>
    </row>
    <row r="8754" spans="5:19" x14ac:dyDescent="0.3">
      <c r="E8754" s="9" t="str">
        <f>IF(DADOS!C8754="","",DADOS!C8754)</f>
        <v/>
      </c>
      <c r="F8754" s="9" t="str">
        <f>IF(DADOS!E8754="","",DADOS!E8754)</f>
        <v/>
      </c>
      <c r="G8754" s="9" t="str">
        <f>IF(DADOS!F8754="","",DADOS!F8754)</f>
        <v/>
      </c>
      <c r="K8754" s="6" t="str">
        <f t="shared" si="685"/>
        <v/>
      </c>
      <c r="L8754" s="7" t="str">
        <f t="shared" si="686"/>
        <v/>
      </c>
      <c r="M8754" s="7" t="str">
        <f t="shared" si="683"/>
        <v/>
      </c>
      <c r="N8754" s="7" t="str">
        <f t="shared" si="687"/>
        <v/>
      </c>
      <c r="O8754" s="8"/>
      <c r="P8754" s="26"/>
      <c r="S8754" s="10" t="str">
        <f t="shared" si="684"/>
        <v/>
      </c>
    </row>
    <row r="8755" spans="5:19" x14ac:dyDescent="0.3">
      <c r="E8755" s="9" t="str">
        <f>IF(DADOS!C8755="","",DADOS!C8755)</f>
        <v/>
      </c>
      <c r="F8755" s="9" t="str">
        <f>IF(DADOS!E8755="","",DADOS!E8755)</f>
        <v/>
      </c>
      <c r="G8755" s="9" t="str">
        <f>IF(DADOS!F8755="","",DADOS!F8755)</f>
        <v/>
      </c>
      <c r="K8755" s="6" t="str">
        <f t="shared" si="685"/>
        <v/>
      </c>
      <c r="L8755" s="7" t="str">
        <f t="shared" si="686"/>
        <v/>
      </c>
      <c r="M8755" s="7" t="str">
        <f t="shared" si="683"/>
        <v/>
      </c>
      <c r="N8755" s="7" t="str">
        <f t="shared" si="687"/>
        <v/>
      </c>
      <c r="O8755" s="8"/>
      <c r="P8755" s="26"/>
      <c r="S8755" s="10" t="str">
        <f t="shared" si="684"/>
        <v/>
      </c>
    </row>
    <row r="8756" spans="5:19" x14ac:dyDescent="0.3">
      <c r="E8756" s="9" t="str">
        <f>IF(DADOS!C8756="","",DADOS!C8756)</f>
        <v/>
      </c>
      <c r="F8756" s="9" t="str">
        <f>IF(DADOS!E8756="","",DADOS!E8756)</f>
        <v/>
      </c>
      <c r="G8756" s="9" t="str">
        <f>IF(DADOS!F8756="","",DADOS!F8756)</f>
        <v/>
      </c>
      <c r="K8756" s="6" t="str">
        <f t="shared" si="685"/>
        <v/>
      </c>
      <c r="L8756" s="7" t="str">
        <f t="shared" si="686"/>
        <v/>
      </c>
      <c r="M8756" s="7" t="str">
        <f t="shared" si="683"/>
        <v/>
      </c>
      <c r="N8756" s="7" t="str">
        <f t="shared" si="687"/>
        <v/>
      </c>
      <c r="O8756" s="8"/>
      <c r="P8756" s="26"/>
      <c r="S8756" s="10" t="str">
        <f t="shared" si="684"/>
        <v/>
      </c>
    </row>
    <row r="8757" spans="5:19" x14ac:dyDescent="0.3">
      <c r="E8757" s="9" t="str">
        <f>IF(DADOS!C8757="","",DADOS!C8757)</f>
        <v/>
      </c>
      <c r="F8757" s="9" t="str">
        <f>IF(DADOS!E8757="","",DADOS!E8757)</f>
        <v/>
      </c>
      <c r="G8757" s="9" t="str">
        <f>IF(DADOS!F8757="","",DADOS!F8757)</f>
        <v/>
      </c>
      <c r="K8757" s="6" t="str">
        <f t="shared" si="685"/>
        <v/>
      </c>
      <c r="L8757" s="7" t="str">
        <f t="shared" si="686"/>
        <v/>
      </c>
      <c r="M8757" s="7" t="str">
        <f t="shared" si="683"/>
        <v/>
      </c>
      <c r="N8757" s="7" t="str">
        <f t="shared" si="687"/>
        <v/>
      </c>
      <c r="O8757" s="8"/>
      <c r="P8757" s="26"/>
      <c r="S8757" s="10" t="str">
        <f t="shared" si="684"/>
        <v/>
      </c>
    </row>
    <row r="8758" spans="5:19" x14ac:dyDescent="0.3">
      <c r="E8758" s="9" t="str">
        <f>IF(DADOS!C8758="","",DADOS!C8758)</f>
        <v/>
      </c>
      <c r="F8758" s="9" t="str">
        <f>IF(DADOS!E8758="","",DADOS!E8758)</f>
        <v/>
      </c>
      <c r="G8758" s="9" t="str">
        <f>IF(DADOS!F8758="","",DADOS!F8758)</f>
        <v/>
      </c>
      <c r="K8758" s="6" t="str">
        <f t="shared" si="685"/>
        <v/>
      </c>
      <c r="L8758" s="7" t="str">
        <f t="shared" si="686"/>
        <v/>
      </c>
      <c r="M8758" s="7" t="str">
        <f t="shared" si="683"/>
        <v/>
      </c>
      <c r="N8758" s="7" t="str">
        <f t="shared" si="687"/>
        <v/>
      </c>
      <c r="O8758" s="8"/>
      <c r="P8758" s="26"/>
      <c r="S8758" s="10" t="str">
        <f t="shared" si="684"/>
        <v/>
      </c>
    </row>
    <row r="8759" spans="5:19" x14ac:dyDescent="0.3">
      <c r="E8759" s="9" t="str">
        <f>IF(DADOS!C8759="","",DADOS!C8759)</f>
        <v/>
      </c>
      <c r="F8759" s="9" t="str">
        <f>IF(DADOS!E8759="","",DADOS!E8759)</f>
        <v/>
      </c>
      <c r="G8759" s="9" t="str">
        <f>IF(DADOS!F8759="","",DADOS!F8759)</f>
        <v/>
      </c>
      <c r="K8759" s="6" t="str">
        <f t="shared" si="685"/>
        <v/>
      </c>
      <c r="L8759" s="7" t="str">
        <f t="shared" si="686"/>
        <v/>
      </c>
      <c r="M8759" s="7" t="str">
        <f t="shared" si="683"/>
        <v/>
      </c>
      <c r="N8759" s="7" t="str">
        <f t="shared" si="687"/>
        <v/>
      </c>
      <c r="O8759" s="8"/>
      <c r="P8759" s="26"/>
      <c r="S8759" s="10" t="str">
        <f t="shared" si="684"/>
        <v/>
      </c>
    </row>
    <row r="8760" spans="5:19" x14ac:dyDescent="0.3">
      <c r="E8760" s="9" t="str">
        <f>IF(DADOS!C8760="","",DADOS!C8760)</f>
        <v/>
      </c>
      <c r="F8760" s="9" t="str">
        <f>IF(DADOS!E8760="","",DADOS!E8760)</f>
        <v/>
      </c>
      <c r="G8760" s="9" t="str">
        <f>IF(DADOS!F8760="","",DADOS!F8760)</f>
        <v/>
      </c>
      <c r="K8760" s="6" t="str">
        <f t="shared" si="685"/>
        <v/>
      </c>
      <c r="L8760" s="7" t="str">
        <f t="shared" si="686"/>
        <v/>
      </c>
      <c r="M8760" s="7" t="str">
        <f t="shared" si="683"/>
        <v/>
      </c>
      <c r="N8760" s="7" t="str">
        <f t="shared" si="687"/>
        <v/>
      </c>
      <c r="O8760" s="8"/>
      <c r="P8760" s="26"/>
      <c r="S8760" s="10" t="str">
        <f t="shared" si="684"/>
        <v/>
      </c>
    </row>
    <row r="8761" spans="5:19" x14ac:dyDescent="0.3">
      <c r="E8761" s="9" t="str">
        <f>IF(DADOS!C8761="","",DADOS!C8761)</f>
        <v/>
      </c>
      <c r="F8761" s="9" t="str">
        <f>IF(DADOS!E8761="","",DADOS!E8761)</f>
        <v/>
      </c>
      <c r="G8761" s="9" t="str">
        <f>IF(DADOS!F8761="","",DADOS!F8761)</f>
        <v/>
      </c>
      <c r="K8761" s="6" t="str">
        <f t="shared" si="685"/>
        <v/>
      </c>
      <c r="L8761" s="7" t="str">
        <f t="shared" si="686"/>
        <v/>
      </c>
      <c r="M8761" s="7" t="str">
        <f t="shared" si="683"/>
        <v/>
      </c>
      <c r="N8761" s="7" t="str">
        <f t="shared" si="687"/>
        <v/>
      </c>
      <c r="O8761" s="8"/>
      <c r="P8761" s="26"/>
      <c r="S8761" s="10" t="str">
        <f t="shared" si="684"/>
        <v/>
      </c>
    </row>
    <row r="8762" spans="5:19" x14ac:dyDescent="0.3">
      <c r="E8762" s="9" t="str">
        <f>IF(DADOS!C8762="","",DADOS!C8762)</f>
        <v/>
      </c>
      <c r="F8762" s="9" t="str">
        <f>IF(DADOS!E8762="","",DADOS!E8762)</f>
        <v/>
      </c>
      <c r="G8762" s="9" t="str">
        <f>IF(DADOS!F8762="","",DADOS!F8762)</f>
        <v/>
      </c>
      <c r="K8762" s="6" t="str">
        <f t="shared" si="685"/>
        <v/>
      </c>
      <c r="L8762" s="7" t="str">
        <f t="shared" si="686"/>
        <v/>
      </c>
      <c r="M8762" s="7" t="str">
        <f t="shared" si="683"/>
        <v/>
      </c>
      <c r="N8762" s="7" t="str">
        <f t="shared" si="687"/>
        <v/>
      </c>
      <c r="O8762" s="8"/>
      <c r="P8762" s="26"/>
      <c r="S8762" s="10" t="str">
        <f t="shared" si="684"/>
        <v/>
      </c>
    </row>
    <row r="8763" spans="5:19" x14ac:dyDescent="0.3">
      <c r="E8763" s="9" t="str">
        <f>IF(DADOS!C8763="","",DADOS!C8763)</f>
        <v/>
      </c>
      <c r="F8763" s="9" t="str">
        <f>IF(DADOS!E8763="","",DADOS!E8763)</f>
        <v/>
      </c>
      <c r="G8763" s="9" t="str">
        <f>IF(DADOS!F8763="","",DADOS!F8763)</f>
        <v/>
      </c>
      <c r="K8763" s="6" t="str">
        <f t="shared" si="685"/>
        <v/>
      </c>
      <c r="L8763" s="7" t="str">
        <f t="shared" si="686"/>
        <v/>
      </c>
      <c r="M8763" s="7" t="str">
        <f t="shared" si="683"/>
        <v/>
      </c>
      <c r="N8763" s="7" t="str">
        <f t="shared" si="687"/>
        <v/>
      </c>
      <c r="O8763" s="8"/>
      <c r="P8763" s="26"/>
      <c r="S8763" s="10" t="str">
        <f t="shared" si="684"/>
        <v/>
      </c>
    </row>
    <row r="8764" spans="5:19" x14ac:dyDescent="0.3">
      <c r="E8764" s="9" t="str">
        <f>IF(DADOS!C8764="","",DADOS!C8764)</f>
        <v/>
      </c>
      <c r="F8764" s="9" t="str">
        <f>IF(DADOS!E8764="","",DADOS!E8764)</f>
        <v/>
      </c>
      <c r="G8764" s="9" t="str">
        <f>IF(DADOS!F8764="","",DADOS!F8764)</f>
        <v/>
      </c>
      <c r="K8764" s="6" t="str">
        <f t="shared" si="685"/>
        <v/>
      </c>
      <c r="L8764" s="7" t="str">
        <f t="shared" si="686"/>
        <v/>
      </c>
      <c r="M8764" s="7" t="str">
        <f t="shared" si="683"/>
        <v/>
      </c>
      <c r="N8764" s="7" t="str">
        <f t="shared" si="687"/>
        <v/>
      </c>
      <c r="O8764" s="8"/>
      <c r="P8764" s="26"/>
      <c r="S8764" s="10" t="str">
        <f t="shared" si="684"/>
        <v/>
      </c>
    </row>
    <row r="8765" spans="5:19" x14ac:dyDescent="0.3">
      <c r="E8765" s="9" t="str">
        <f>IF(DADOS!C8765="","",DADOS!C8765)</f>
        <v/>
      </c>
      <c r="F8765" s="9" t="str">
        <f>IF(DADOS!E8765="","",DADOS!E8765)</f>
        <v/>
      </c>
      <c r="G8765" s="9" t="str">
        <f>IF(DADOS!F8765="","",DADOS!F8765)</f>
        <v/>
      </c>
      <c r="K8765" s="6" t="str">
        <f t="shared" si="685"/>
        <v/>
      </c>
      <c r="L8765" s="7" t="str">
        <f t="shared" si="686"/>
        <v/>
      </c>
      <c r="M8765" s="7" t="str">
        <f t="shared" si="683"/>
        <v/>
      </c>
      <c r="N8765" s="7" t="str">
        <f t="shared" si="687"/>
        <v/>
      </c>
      <c r="O8765" s="8"/>
      <c r="P8765" s="26"/>
      <c r="S8765" s="10" t="str">
        <f t="shared" si="684"/>
        <v/>
      </c>
    </row>
    <row r="8766" spans="5:19" x14ac:dyDescent="0.3">
      <c r="E8766" s="9" t="str">
        <f>IF(DADOS!C8766="","",DADOS!C8766)</f>
        <v/>
      </c>
      <c r="F8766" s="9" t="str">
        <f>IF(DADOS!E8766="","",DADOS!E8766)</f>
        <v/>
      </c>
      <c r="G8766" s="9" t="str">
        <f>IF(DADOS!F8766="","",DADOS!F8766)</f>
        <v/>
      </c>
      <c r="K8766" s="6" t="str">
        <f t="shared" si="685"/>
        <v/>
      </c>
      <c r="L8766" s="7" t="str">
        <f t="shared" si="686"/>
        <v/>
      </c>
      <c r="M8766" s="7" t="str">
        <f t="shared" si="683"/>
        <v/>
      </c>
      <c r="N8766" s="7" t="str">
        <f t="shared" si="687"/>
        <v/>
      </c>
      <c r="O8766" s="8"/>
      <c r="P8766" s="26"/>
      <c r="S8766" s="10" t="str">
        <f t="shared" si="684"/>
        <v/>
      </c>
    </row>
    <row r="8767" spans="5:19" x14ac:dyDescent="0.3">
      <c r="E8767" s="9" t="str">
        <f>IF(DADOS!C8767="","",DADOS!C8767)</f>
        <v/>
      </c>
      <c r="F8767" s="9" t="str">
        <f>IF(DADOS!E8767="","",DADOS!E8767)</f>
        <v/>
      </c>
      <c r="G8767" s="9" t="str">
        <f>IF(DADOS!F8767="","",DADOS!F8767)</f>
        <v/>
      </c>
      <c r="K8767" s="6" t="str">
        <f t="shared" si="685"/>
        <v/>
      </c>
      <c r="L8767" s="7" t="str">
        <f t="shared" si="686"/>
        <v/>
      </c>
      <c r="M8767" s="7" t="str">
        <f t="shared" si="683"/>
        <v/>
      </c>
      <c r="N8767" s="7" t="str">
        <f t="shared" si="687"/>
        <v/>
      </c>
      <c r="O8767" s="8"/>
      <c r="P8767" s="26"/>
      <c r="S8767" s="10" t="str">
        <f t="shared" si="684"/>
        <v/>
      </c>
    </row>
    <row r="8768" spans="5:19" x14ac:dyDescent="0.3">
      <c r="E8768" s="9" t="str">
        <f>IF(DADOS!C8768="","",DADOS!C8768)</f>
        <v/>
      </c>
      <c r="F8768" s="9" t="str">
        <f>IF(DADOS!E8768="","",DADOS!E8768)</f>
        <v/>
      </c>
      <c r="G8768" s="9" t="str">
        <f>IF(DADOS!F8768="","",DADOS!F8768)</f>
        <v/>
      </c>
      <c r="K8768" s="6" t="str">
        <f t="shared" si="685"/>
        <v/>
      </c>
      <c r="L8768" s="7" t="str">
        <f t="shared" si="686"/>
        <v/>
      </c>
      <c r="M8768" s="7" t="str">
        <f t="shared" si="683"/>
        <v/>
      </c>
      <c r="N8768" s="7" t="str">
        <f t="shared" si="687"/>
        <v/>
      </c>
      <c r="O8768" s="8"/>
      <c r="P8768" s="26"/>
      <c r="S8768" s="10" t="str">
        <f t="shared" si="684"/>
        <v/>
      </c>
    </row>
    <row r="8769" spans="5:19" x14ac:dyDescent="0.3">
      <c r="E8769" s="9" t="str">
        <f>IF(DADOS!C8769="","",DADOS!C8769)</f>
        <v/>
      </c>
      <c r="F8769" s="9" t="str">
        <f>IF(DADOS!E8769="","",DADOS!E8769)</f>
        <v/>
      </c>
      <c r="G8769" s="9" t="str">
        <f>IF(DADOS!F8769="","",DADOS!F8769)</f>
        <v/>
      </c>
      <c r="K8769" s="6" t="str">
        <f t="shared" si="685"/>
        <v/>
      </c>
      <c r="L8769" s="7" t="str">
        <f t="shared" si="686"/>
        <v/>
      </c>
      <c r="M8769" s="7" t="str">
        <f t="shared" si="683"/>
        <v/>
      </c>
      <c r="N8769" s="7" t="str">
        <f t="shared" si="687"/>
        <v/>
      </c>
      <c r="O8769" s="8"/>
      <c r="P8769" s="26"/>
      <c r="S8769" s="10" t="str">
        <f t="shared" si="684"/>
        <v/>
      </c>
    </row>
    <row r="8770" spans="5:19" x14ac:dyDescent="0.3">
      <c r="E8770" s="9" t="str">
        <f>IF(DADOS!C8770="","",DADOS!C8770)</f>
        <v/>
      </c>
      <c r="F8770" s="9" t="str">
        <f>IF(DADOS!E8770="","",DADOS!E8770)</f>
        <v/>
      </c>
      <c r="G8770" s="9" t="str">
        <f>IF(DADOS!F8770="","",DADOS!F8770)</f>
        <v/>
      </c>
      <c r="K8770" s="6" t="str">
        <f t="shared" si="685"/>
        <v/>
      </c>
      <c r="L8770" s="7" t="str">
        <f t="shared" si="686"/>
        <v/>
      </c>
      <c r="M8770" s="7" t="str">
        <f t="shared" si="683"/>
        <v/>
      </c>
      <c r="N8770" s="7" t="str">
        <f t="shared" si="687"/>
        <v/>
      </c>
      <c r="O8770" s="8"/>
      <c r="P8770" s="26"/>
      <c r="S8770" s="10" t="str">
        <f t="shared" si="684"/>
        <v/>
      </c>
    </row>
    <row r="8771" spans="5:19" x14ac:dyDescent="0.3">
      <c r="E8771" s="9" t="str">
        <f>IF(DADOS!C8771="","",DADOS!C8771)</f>
        <v/>
      </c>
      <c r="F8771" s="9" t="str">
        <f>IF(DADOS!E8771="","",DADOS!E8771)</f>
        <v/>
      </c>
      <c r="G8771" s="9" t="str">
        <f>IF(DADOS!F8771="","",DADOS!F8771)</f>
        <v/>
      </c>
      <c r="K8771" s="6" t="str">
        <f t="shared" si="685"/>
        <v/>
      </c>
      <c r="L8771" s="7" t="str">
        <f t="shared" si="686"/>
        <v/>
      </c>
      <c r="M8771" s="7" t="str">
        <f t="shared" ref="M8771:M8834" si="688">IF(L8771="","",L8771*G8771)</f>
        <v/>
      </c>
      <c r="N8771" s="7" t="str">
        <f t="shared" si="687"/>
        <v/>
      </c>
      <c r="O8771" s="8"/>
      <c r="P8771" s="26"/>
      <c r="S8771" s="10" t="str">
        <f t="shared" ref="S8771:S8834" si="689">IF(R8771="","",SUMIFS($N$3:$N$10000,$E$3:$E$10000,R8771))</f>
        <v/>
      </c>
    </row>
    <row r="8772" spans="5:19" x14ac:dyDescent="0.3">
      <c r="E8772" s="9" t="str">
        <f>IF(DADOS!C8772="","",DADOS!C8772)</f>
        <v/>
      </c>
      <c r="F8772" s="9" t="str">
        <f>IF(DADOS!E8772="","",DADOS!E8772)</f>
        <v/>
      </c>
      <c r="G8772" s="9" t="str">
        <f>IF(DADOS!F8772="","",DADOS!F8772)</f>
        <v/>
      </c>
      <c r="K8772" s="6" t="str">
        <f t="shared" ref="K8772:K8835" si="690">IF(F8772="","",F8772/PI())</f>
        <v/>
      </c>
      <c r="L8772" s="7" t="str">
        <f t="shared" ref="L8772:L8835" si="691">IF(K8772="","",(PI()*K8772^2)/40000)</f>
        <v/>
      </c>
      <c r="M8772" s="7" t="str">
        <f t="shared" si="688"/>
        <v/>
      </c>
      <c r="N8772" s="7" t="str">
        <f t="shared" ref="N8772:N8835" si="692">IF(M8772="","",M8772*N$1)</f>
        <v/>
      </c>
      <c r="O8772" s="8"/>
      <c r="P8772" s="26"/>
      <c r="S8772" s="10" t="str">
        <f t="shared" si="689"/>
        <v/>
      </c>
    </row>
    <row r="8773" spans="5:19" x14ac:dyDescent="0.3">
      <c r="E8773" s="9" t="str">
        <f>IF(DADOS!C8773="","",DADOS!C8773)</f>
        <v/>
      </c>
      <c r="F8773" s="9" t="str">
        <f>IF(DADOS!E8773="","",DADOS!E8773)</f>
        <v/>
      </c>
      <c r="G8773" s="9" t="str">
        <f>IF(DADOS!F8773="","",DADOS!F8773)</f>
        <v/>
      </c>
      <c r="K8773" s="6" t="str">
        <f t="shared" si="690"/>
        <v/>
      </c>
      <c r="L8773" s="7" t="str">
        <f t="shared" si="691"/>
        <v/>
      </c>
      <c r="M8773" s="7" t="str">
        <f t="shared" si="688"/>
        <v/>
      </c>
      <c r="N8773" s="7" t="str">
        <f t="shared" si="692"/>
        <v/>
      </c>
      <c r="O8773" s="8"/>
      <c r="P8773" s="26"/>
      <c r="S8773" s="10" t="str">
        <f t="shared" si="689"/>
        <v/>
      </c>
    </row>
    <row r="8774" spans="5:19" x14ac:dyDescent="0.3">
      <c r="E8774" s="9" t="str">
        <f>IF(DADOS!C8774="","",DADOS!C8774)</f>
        <v/>
      </c>
      <c r="F8774" s="9" t="str">
        <f>IF(DADOS!E8774="","",DADOS!E8774)</f>
        <v/>
      </c>
      <c r="G8774" s="9" t="str">
        <f>IF(DADOS!F8774="","",DADOS!F8774)</f>
        <v/>
      </c>
      <c r="K8774" s="6" t="str">
        <f t="shared" si="690"/>
        <v/>
      </c>
      <c r="L8774" s="7" t="str">
        <f t="shared" si="691"/>
        <v/>
      </c>
      <c r="M8774" s="7" t="str">
        <f t="shared" si="688"/>
        <v/>
      </c>
      <c r="N8774" s="7" t="str">
        <f t="shared" si="692"/>
        <v/>
      </c>
      <c r="O8774" s="8"/>
      <c r="P8774" s="26"/>
      <c r="S8774" s="10" t="str">
        <f t="shared" si="689"/>
        <v/>
      </c>
    </row>
    <row r="8775" spans="5:19" x14ac:dyDescent="0.3">
      <c r="E8775" s="9" t="str">
        <f>IF(DADOS!C8775="","",DADOS!C8775)</f>
        <v/>
      </c>
      <c r="F8775" s="9" t="str">
        <f>IF(DADOS!E8775="","",DADOS!E8775)</f>
        <v/>
      </c>
      <c r="G8775" s="9" t="str">
        <f>IF(DADOS!F8775="","",DADOS!F8775)</f>
        <v/>
      </c>
      <c r="K8775" s="6" t="str">
        <f t="shared" si="690"/>
        <v/>
      </c>
      <c r="L8775" s="7" t="str">
        <f t="shared" si="691"/>
        <v/>
      </c>
      <c r="M8775" s="7" t="str">
        <f t="shared" si="688"/>
        <v/>
      </c>
      <c r="N8775" s="7" t="str">
        <f t="shared" si="692"/>
        <v/>
      </c>
      <c r="O8775" s="8"/>
      <c r="P8775" s="26"/>
      <c r="S8775" s="10" t="str">
        <f t="shared" si="689"/>
        <v/>
      </c>
    </row>
    <row r="8776" spans="5:19" x14ac:dyDescent="0.3">
      <c r="E8776" s="9" t="str">
        <f>IF(DADOS!C8776="","",DADOS!C8776)</f>
        <v/>
      </c>
      <c r="F8776" s="9" t="str">
        <f>IF(DADOS!E8776="","",DADOS!E8776)</f>
        <v/>
      </c>
      <c r="G8776" s="9" t="str">
        <f>IF(DADOS!F8776="","",DADOS!F8776)</f>
        <v/>
      </c>
      <c r="K8776" s="6" t="str">
        <f t="shared" si="690"/>
        <v/>
      </c>
      <c r="L8776" s="7" t="str">
        <f t="shared" si="691"/>
        <v/>
      </c>
      <c r="M8776" s="7" t="str">
        <f t="shared" si="688"/>
        <v/>
      </c>
      <c r="N8776" s="7" t="str">
        <f t="shared" si="692"/>
        <v/>
      </c>
      <c r="O8776" s="8"/>
      <c r="P8776" s="26"/>
      <c r="S8776" s="10" t="str">
        <f t="shared" si="689"/>
        <v/>
      </c>
    </row>
    <row r="8777" spans="5:19" x14ac:dyDescent="0.3">
      <c r="E8777" s="9" t="str">
        <f>IF(DADOS!C8777="","",DADOS!C8777)</f>
        <v/>
      </c>
      <c r="F8777" s="9" t="str">
        <f>IF(DADOS!E8777="","",DADOS!E8777)</f>
        <v/>
      </c>
      <c r="G8777" s="9" t="str">
        <f>IF(DADOS!F8777="","",DADOS!F8777)</f>
        <v/>
      </c>
      <c r="K8777" s="6" t="str">
        <f t="shared" si="690"/>
        <v/>
      </c>
      <c r="L8777" s="7" t="str">
        <f t="shared" si="691"/>
        <v/>
      </c>
      <c r="M8777" s="7" t="str">
        <f t="shared" si="688"/>
        <v/>
      </c>
      <c r="N8777" s="7" t="str">
        <f t="shared" si="692"/>
        <v/>
      </c>
      <c r="O8777" s="8"/>
      <c r="P8777" s="26"/>
      <c r="S8777" s="10" t="str">
        <f t="shared" si="689"/>
        <v/>
      </c>
    </row>
    <row r="8778" spans="5:19" x14ac:dyDescent="0.3">
      <c r="E8778" s="9" t="str">
        <f>IF(DADOS!C8778="","",DADOS!C8778)</f>
        <v/>
      </c>
      <c r="F8778" s="9" t="str">
        <f>IF(DADOS!E8778="","",DADOS!E8778)</f>
        <v/>
      </c>
      <c r="G8778" s="9" t="str">
        <f>IF(DADOS!F8778="","",DADOS!F8778)</f>
        <v/>
      </c>
      <c r="K8778" s="6" t="str">
        <f t="shared" si="690"/>
        <v/>
      </c>
      <c r="L8778" s="7" t="str">
        <f t="shared" si="691"/>
        <v/>
      </c>
      <c r="M8778" s="7" t="str">
        <f t="shared" si="688"/>
        <v/>
      </c>
      <c r="N8778" s="7" t="str">
        <f t="shared" si="692"/>
        <v/>
      </c>
      <c r="O8778" s="8"/>
      <c r="P8778" s="26"/>
      <c r="S8778" s="10" t="str">
        <f t="shared" si="689"/>
        <v/>
      </c>
    </row>
    <row r="8779" spans="5:19" x14ac:dyDescent="0.3">
      <c r="E8779" s="9" t="str">
        <f>IF(DADOS!C8779="","",DADOS!C8779)</f>
        <v/>
      </c>
      <c r="F8779" s="9" t="str">
        <f>IF(DADOS!E8779="","",DADOS!E8779)</f>
        <v/>
      </c>
      <c r="G8779" s="9" t="str">
        <f>IF(DADOS!F8779="","",DADOS!F8779)</f>
        <v/>
      </c>
      <c r="K8779" s="6" t="str">
        <f t="shared" si="690"/>
        <v/>
      </c>
      <c r="L8779" s="7" t="str">
        <f t="shared" si="691"/>
        <v/>
      </c>
      <c r="M8779" s="7" t="str">
        <f t="shared" si="688"/>
        <v/>
      </c>
      <c r="N8779" s="7" t="str">
        <f t="shared" si="692"/>
        <v/>
      </c>
      <c r="O8779" s="8"/>
      <c r="P8779" s="26"/>
      <c r="S8779" s="10" t="str">
        <f t="shared" si="689"/>
        <v/>
      </c>
    </row>
    <row r="8780" spans="5:19" x14ac:dyDescent="0.3">
      <c r="E8780" s="9" t="str">
        <f>IF(DADOS!C8780="","",DADOS!C8780)</f>
        <v/>
      </c>
      <c r="F8780" s="9" t="str">
        <f>IF(DADOS!E8780="","",DADOS!E8780)</f>
        <v/>
      </c>
      <c r="G8780" s="9" t="str">
        <f>IF(DADOS!F8780="","",DADOS!F8780)</f>
        <v/>
      </c>
      <c r="K8780" s="6" t="str">
        <f t="shared" si="690"/>
        <v/>
      </c>
      <c r="L8780" s="7" t="str">
        <f t="shared" si="691"/>
        <v/>
      </c>
      <c r="M8780" s="7" t="str">
        <f t="shared" si="688"/>
        <v/>
      </c>
      <c r="N8780" s="7" t="str">
        <f t="shared" si="692"/>
        <v/>
      </c>
      <c r="O8780" s="8"/>
      <c r="P8780" s="26"/>
      <c r="S8780" s="10" t="str">
        <f t="shared" si="689"/>
        <v/>
      </c>
    </row>
    <row r="8781" spans="5:19" x14ac:dyDescent="0.3">
      <c r="E8781" s="9" t="str">
        <f>IF(DADOS!C8781="","",DADOS!C8781)</f>
        <v/>
      </c>
      <c r="F8781" s="9" t="str">
        <f>IF(DADOS!E8781="","",DADOS!E8781)</f>
        <v/>
      </c>
      <c r="G8781" s="9" t="str">
        <f>IF(DADOS!F8781="","",DADOS!F8781)</f>
        <v/>
      </c>
      <c r="K8781" s="6" t="str">
        <f t="shared" si="690"/>
        <v/>
      </c>
      <c r="L8781" s="7" t="str">
        <f t="shared" si="691"/>
        <v/>
      </c>
      <c r="M8781" s="7" t="str">
        <f t="shared" si="688"/>
        <v/>
      </c>
      <c r="N8781" s="7" t="str">
        <f t="shared" si="692"/>
        <v/>
      </c>
      <c r="O8781" s="8"/>
      <c r="P8781" s="26"/>
      <c r="S8781" s="10" t="str">
        <f t="shared" si="689"/>
        <v/>
      </c>
    </row>
    <row r="8782" spans="5:19" x14ac:dyDescent="0.3">
      <c r="E8782" s="9" t="str">
        <f>IF(DADOS!C8782="","",DADOS!C8782)</f>
        <v/>
      </c>
      <c r="F8782" s="9" t="str">
        <f>IF(DADOS!E8782="","",DADOS!E8782)</f>
        <v/>
      </c>
      <c r="G8782" s="9" t="str">
        <f>IF(DADOS!F8782="","",DADOS!F8782)</f>
        <v/>
      </c>
      <c r="K8782" s="6" t="str">
        <f t="shared" si="690"/>
        <v/>
      </c>
      <c r="L8782" s="7" t="str">
        <f t="shared" si="691"/>
        <v/>
      </c>
      <c r="M8782" s="7" t="str">
        <f t="shared" si="688"/>
        <v/>
      </c>
      <c r="N8782" s="7" t="str">
        <f t="shared" si="692"/>
        <v/>
      </c>
      <c r="O8782" s="8"/>
      <c r="P8782" s="26"/>
      <c r="S8782" s="10" t="str">
        <f t="shared" si="689"/>
        <v/>
      </c>
    </row>
    <row r="8783" spans="5:19" x14ac:dyDescent="0.3">
      <c r="E8783" s="9" t="str">
        <f>IF(DADOS!C8783="","",DADOS!C8783)</f>
        <v/>
      </c>
      <c r="F8783" s="9" t="str">
        <f>IF(DADOS!E8783="","",DADOS!E8783)</f>
        <v/>
      </c>
      <c r="G8783" s="9" t="str">
        <f>IF(DADOS!F8783="","",DADOS!F8783)</f>
        <v/>
      </c>
      <c r="K8783" s="6" t="str">
        <f t="shared" si="690"/>
        <v/>
      </c>
      <c r="L8783" s="7" t="str">
        <f t="shared" si="691"/>
        <v/>
      </c>
      <c r="M8783" s="7" t="str">
        <f t="shared" si="688"/>
        <v/>
      </c>
      <c r="N8783" s="7" t="str">
        <f t="shared" si="692"/>
        <v/>
      </c>
      <c r="O8783" s="8"/>
      <c r="P8783" s="26"/>
      <c r="S8783" s="10" t="str">
        <f t="shared" si="689"/>
        <v/>
      </c>
    </row>
    <row r="8784" spans="5:19" x14ac:dyDescent="0.3">
      <c r="E8784" s="9" t="str">
        <f>IF(DADOS!C8784="","",DADOS!C8784)</f>
        <v/>
      </c>
      <c r="F8784" s="9" t="str">
        <f>IF(DADOS!E8784="","",DADOS!E8784)</f>
        <v/>
      </c>
      <c r="G8784" s="9" t="str">
        <f>IF(DADOS!F8784="","",DADOS!F8784)</f>
        <v/>
      </c>
      <c r="K8784" s="6" t="str">
        <f t="shared" si="690"/>
        <v/>
      </c>
      <c r="L8784" s="7" t="str">
        <f t="shared" si="691"/>
        <v/>
      </c>
      <c r="M8784" s="7" t="str">
        <f t="shared" si="688"/>
        <v/>
      </c>
      <c r="N8784" s="7" t="str">
        <f t="shared" si="692"/>
        <v/>
      </c>
      <c r="O8784" s="8"/>
      <c r="P8784" s="26"/>
      <c r="S8784" s="10" t="str">
        <f t="shared" si="689"/>
        <v/>
      </c>
    </row>
    <row r="8785" spans="5:19" x14ac:dyDescent="0.3">
      <c r="E8785" s="9" t="str">
        <f>IF(DADOS!C8785="","",DADOS!C8785)</f>
        <v/>
      </c>
      <c r="F8785" s="9" t="str">
        <f>IF(DADOS!E8785="","",DADOS!E8785)</f>
        <v/>
      </c>
      <c r="G8785" s="9" t="str">
        <f>IF(DADOS!F8785="","",DADOS!F8785)</f>
        <v/>
      </c>
      <c r="K8785" s="6" t="str">
        <f t="shared" si="690"/>
        <v/>
      </c>
      <c r="L8785" s="7" t="str">
        <f t="shared" si="691"/>
        <v/>
      </c>
      <c r="M8785" s="7" t="str">
        <f t="shared" si="688"/>
        <v/>
      </c>
      <c r="N8785" s="7" t="str">
        <f t="shared" si="692"/>
        <v/>
      </c>
      <c r="O8785" s="8"/>
      <c r="P8785" s="26"/>
      <c r="S8785" s="10" t="str">
        <f t="shared" si="689"/>
        <v/>
      </c>
    </row>
    <row r="8786" spans="5:19" x14ac:dyDescent="0.3">
      <c r="E8786" s="9" t="str">
        <f>IF(DADOS!C8786="","",DADOS!C8786)</f>
        <v/>
      </c>
      <c r="F8786" s="9" t="str">
        <f>IF(DADOS!E8786="","",DADOS!E8786)</f>
        <v/>
      </c>
      <c r="G8786" s="9" t="str">
        <f>IF(DADOS!F8786="","",DADOS!F8786)</f>
        <v/>
      </c>
      <c r="K8786" s="6" t="str">
        <f t="shared" si="690"/>
        <v/>
      </c>
      <c r="L8786" s="7" t="str">
        <f t="shared" si="691"/>
        <v/>
      </c>
      <c r="M8786" s="7" t="str">
        <f t="shared" si="688"/>
        <v/>
      </c>
      <c r="N8786" s="7" t="str">
        <f t="shared" si="692"/>
        <v/>
      </c>
      <c r="O8786" s="8"/>
      <c r="P8786" s="26"/>
      <c r="S8786" s="10" t="str">
        <f t="shared" si="689"/>
        <v/>
      </c>
    </row>
    <row r="8787" spans="5:19" x14ac:dyDescent="0.3">
      <c r="E8787" s="9" t="str">
        <f>IF(DADOS!C8787="","",DADOS!C8787)</f>
        <v/>
      </c>
      <c r="F8787" s="9" t="str">
        <f>IF(DADOS!E8787="","",DADOS!E8787)</f>
        <v/>
      </c>
      <c r="G8787" s="9" t="str">
        <f>IF(DADOS!F8787="","",DADOS!F8787)</f>
        <v/>
      </c>
      <c r="K8787" s="6" t="str">
        <f t="shared" si="690"/>
        <v/>
      </c>
      <c r="L8787" s="7" t="str">
        <f t="shared" si="691"/>
        <v/>
      </c>
      <c r="M8787" s="7" t="str">
        <f t="shared" si="688"/>
        <v/>
      </c>
      <c r="N8787" s="7" t="str">
        <f t="shared" si="692"/>
        <v/>
      </c>
      <c r="O8787" s="8"/>
      <c r="P8787" s="26"/>
      <c r="S8787" s="10" t="str">
        <f t="shared" si="689"/>
        <v/>
      </c>
    </row>
    <row r="8788" spans="5:19" x14ac:dyDescent="0.3">
      <c r="E8788" s="9" t="str">
        <f>IF(DADOS!C8788="","",DADOS!C8788)</f>
        <v/>
      </c>
      <c r="F8788" s="9" t="str">
        <f>IF(DADOS!E8788="","",DADOS!E8788)</f>
        <v/>
      </c>
      <c r="G8788" s="9" t="str">
        <f>IF(DADOS!F8788="","",DADOS!F8788)</f>
        <v/>
      </c>
      <c r="K8788" s="6" t="str">
        <f t="shared" si="690"/>
        <v/>
      </c>
      <c r="L8788" s="7" t="str">
        <f t="shared" si="691"/>
        <v/>
      </c>
      <c r="M8788" s="7" t="str">
        <f t="shared" si="688"/>
        <v/>
      </c>
      <c r="N8788" s="7" t="str">
        <f t="shared" si="692"/>
        <v/>
      </c>
      <c r="O8788" s="8"/>
      <c r="P8788" s="26"/>
      <c r="S8788" s="10" t="str">
        <f t="shared" si="689"/>
        <v/>
      </c>
    </row>
    <row r="8789" spans="5:19" x14ac:dyDescent="0.3">
      <c r="E8789" s="9" t="str">
        <f>IF(DADOS!C8789="","",DADOS!C8789)</f>
        <v/>
      </c>
      <c r="F8789" s="9" t="str">
        <f>IF(DADOS!E8789="","",DADOS!E8789)</f>
        <v/>
      </c>
      <c r="G8789" s="9" t="str">
        <f>IF(DADOS!F8789="","",DADOS!F8789)</f>
        <v/>
      </c>
      <c r="K8789" s="6" t="str">
        <f t="shared" si="690"/>
        <v/>
      </c>
      <c r="L8789" s="7" t="str">
        <f t="shared" si="691"/>
        <v/>
      </c>
      <c r="M8789" s="7" t="str">
        <f t="shared" si="688"/>
        <v/>
      </c>
      <c r="N8789" s="7" t="str">
        <f t="shared" si="692"/>
        <v/>
      </c>
      <c r="O8789" s="8"/>
      <c r="P8789" s="26"/>
      <c r="S8789" s="10" t="str">
        <f t="shared" si="689"/>
        <v/>
      </c>
    </row>
    <row r="8790" spans="5:19" x14ac:dyDescent="0.3">
      <c r="E8790" s="9" t="str">
        <f>IF(DADOS!C8790="","",DADOS!C8790)</f>
        <v/>
      </c>
      <c r="F8790" s="9" t="str">
        <f>IF(DADOS!E8790="","",DADOS!E8790)</f>
        <v/>
      </c>
      <c r="G8790" s="9" t="str">
        <f>IF(DADOS!F8790="","",DADOS!F8790)</f>
        <v/>
      </c>
      <c r="K8790" s="6" t="str">
        <f t="shared" si="690"/>
        <v/>
      </c>
      <c r="L8790" s="7" t="str">
        <f t="shared" si="691"/>
        <v/>
      </c>
      <c r="M8790" s="7" t="str">
        <f t="shared" si="688"/>
        <v/>
      </c>
      <c r="N8790" s="7" t="str">
        <f t="shared" si="692"/>
        <v/>
      </c>
      <c r="O8790" s="8"/>
      <c r="P8790" s="26"/>
      <c r="S8790" s="10" t="str">
        <f t="shared" si="689"/>
        <v/>
      </c>
    </row>
    <row r="8791" spans="5:19" x14ac:dyDescent="0.3">
      <c r="E8791" s="9" t="str">
        <f>IF(DADOS!C8791="","",DADOS!C8791)</f>
        <v/>
      </c>
      <c r="F8791" s="9" t="str">
        <f>IF(DADOS!E8791="","",DADOS!E8791)</f>
        <v/>
      </c>
      <c r="G8791" s="9" t="str">
        <f>IF(DADOS!F8791="","",DADOS!F8791)</f>
        <v/>
      </c>
      <c r="K8791" s="6" t="str">
        <f t="shared" si="690"/>
        <v/>
      </c>
      <c r="L8791" s="7" t="str">
        <f t="shared" si="691"/>
        <v/>
      </c>
      <c r="M8791" s="7" t="str">
        <f t="shared" si="688"/>
        <v/>
      </c>
      <c r="N8791" s="7" t="str">
        <f t="shared" si="692"/>
        <v/>
      </c>
      <c r="O8791" s="8"/>
      <c r="P8791" s="26"/>
      <c r="S8791" s="10" t="str">
        <f t="shared" si="689"/>
        <v/>
      </c>
    </row>
    <row r="8792" spans="5:19" x14ac:dyDescent="0.3">
      <c r="E8792" s="9" t="str">
        <f>IF(DADOS!C8792="","",DADOS!C8792)</f>
        <v/>
      </c>
      <c r="F8792" s="9" t="str">
        <f>IF(DADOS!E8792="","",DADOS!E8792)</f>
        <v/>
      </c>
      <c r="G8792" s="9" t="str">
        <f>IF(DADOS!F8792="","",DADOS!F8792)</f>
        <v/>
      </c>
      <c r="K8792" s="6" t="str">
        <f t="shared" si="690"/>
        <v/>
      </c>
      <c r="L8792" s="7" t="str">
        <f t="shared" si="691"/>
        <v/>
      </c>
      <c r="M8792" s="7" t="str">
        <f t="shared" si="688"/>
        <v/>
      </c>
      <c r="N8792" s="7" t="str">
        <f t="shared" si="692"/>
        <v/>
      </c>
      <c r="O8792" s="8"/>
      <c r="P8792" s="26"/>
      <c r="S8792" s="10" t="str">
        <f t="shared" si="689"/>
        <v/>
      </c>
    </row>
    <row r="8793" spans="5:19" x14ac:dyDescent="0.3">
      <c r="E8793" s="9" t="str">
        <f>IF(DADOS!C8793="","",DADOS!C8793)</f>
        <v/>
      </c>
      <c r="F8793" s="9" t="str">
        <f>IF(DADOS!E8793="","",DADOS!E8793)</f>
        <v/>
      </c>
      <c r="G8793" s="9" t="str">
        <f>IF(DADOS!F8793="","",DADOS!F8793)</f>
        <v/>
      </c>
      <c r="K8793" s="6" t="str">
        <f t="shared" si="690"/>
        <v/>
      </c>
      <c r="L8793" s="7" t="str">
        <f t="shared" si="691"/>
        <v/>
      </c>
      <c r="M8793" s="7" t="str">
        <f t="shared" si="688"/>
        <v/>
      </c>
      <c r="N8793" s="7" t="str">
        <f t="shared" si="692"/>
        <v/>
      </c>
      <c r="O8793" s="8"/>
      <c r="P8793" s="26"/>
      <c r="S8793" s="10" t="str">
        <f t="shared" si="689"/>
        <v/>
      </c>
    </row>
    <row r="8794" spans="5:19" x14ac:dyDescent="0.3">
      <c r="E8794" s="9" t="str">
        <f>IF(DADOS!C8794="","",DADOS!C8794)</f>
        <v/>
      </c>
      <c r="F8794" s="9" t="str">
        <f>IF(DADOS!E8794="","",DADOS!E8794)</f>
        <v/>
      </c>
      <c r="G8794" s="9" t="str">
        <f>IF(DADOS!F8794="","",DADOS!F8794)</f>
        <v/>
      </c>
      <c r="K8794" s="6" t="str">
        <f t="shared" si="690"/>
        <v/>
      </c>
      <c r="L8794" s="7" t="str">
        <f t="shared" si="691"/>
        <v/>
      </c>
      <c r="M8794" s="7" t="str">
        <f t="shared" si="688"/>
        <v/>
      </c>
      <c r="N8794" s="7" t="str">
        <f t="shared" si="692"/>
        <v/>
      </c>
      <c r="O8794" s="8"/>
      <c r="P8794" s="26"/>
      <c r="S8794" s="10" t="str">
        <f t="shared" si="689"/>
        <v/>
      </c>
    </row>
    <row r="8795" spans="5:19" x14ac:dyDescent="0.3">
      <c r="E8795" s="9" t="str">
        <f>IF(DADOS!C8795="","",DADOS!C8795)</f>
        <v/>
      </c>
      <c r="F8795" s="9" t="str">
        <f>IF(DADOS!E8795="","",DADOS!E8795)</f>
        <v/>
      </c>
      <c r="G8795" s="9" t="str">
        <f>IF(DADOS!F8795="","",DADOS!F8795)</f>
        <v/>
      </c>
      <c r="K8795" s="6" t="str">
        <f t="shared" si="690"/>
        <v/>
      </c>
      <c r="L8795" s="7" t="str">
        <f t="shared" si="691"/>
        <v/>
      </c>
      <c r="M8795" s="7" t="str">
        <f t="shared" si="688"/>
        <v/>
      </c>
      <c r="N8795" s="7" t="str">
        <f t="shared" si="692"/>
        <v/>
      </c>
      <c r="O8795" s="8"/>
      <c r="P8795" s="26"/>
      <c r="S8795" s="10" t="str">
        <f t="shared" si="689"/>
        <v/>
      </c>
    </row>
    <row r="8796" spans="5:19" x14ac:dyDescent="0.3">
      <c r="E8796" s="9" t="str">
        <f>IF(DADOS!C8796="","",DADOS!C8796)</f>
        <v/>
      </c>
      <c r="F8796" s="9" t="str">
        <f>IF(DADOS!E8796="","",DADOS!E8796)</f>
        <v/>
      </c>
      <c r="G8796" s="9" t="str">
        <f>IF(DADOS!F8796="","",DADOS!F8796)</f>
        <v/>
      </c>
      <c r="K8796" s="6" t="str">
        <f t="shared" si="690"/>
        <v/>
      </c>
      <c r="L8796" s="7" t="str">
        <f t="shared" si="691"/>
        <v/>
      </c>
      <c r="M8796" s="7" t="str">
        <f t="shared" si="688"/>
        <v/>
      </c>
      <c r="N8796" s="7" t="str">
        <f t="shared" si="692"/>
        <v/>
      </c>
      <c r="O8796" s="8"/>
      <c r="P8796" s="26"/>
      <c r="S8796" s="10" t="str">
        <f t="shared" si="689"/>
        <v/>
      </c>
    </row>
    <row r="8797" spans="5:19" x14ac:dyDescent="0.3">
      <c r="E8797" s="9" t="str">
        <f>IF(DADOS!C8797="","",DADOS!C8797)</f>
        <v/>
      </c>
      <c r="F8797" s="9" t="str">
        <f>IF(DADOS!E8797="","",DADOS!E8797)</f>
        <v/>
      </c>
      <c r="G8797" s="9" t="str">
        <f>IF(DADOS!F8797="","",DADOS!F8797)</f>
        <v/>
      </c>
      <c r="K8797" s="6" t="str">
        <f t="shared" si="690"/>
        <v/>
      </c>
      <c r="L8797" s="7" t="str">
        <f t="shared" si="691"/>
        <v/>
      </c>
      <c r="M8797" s="7" t="str">
        <f t="shared" si="688"/>
        <v/>
      </c>
      <c r="N8797" s="7" t="str">
        <f t="shared" si="692"/>
        <v/>
      </c>
      <c r="O8797" s="8"/>
      <c r="P8797" s="26"/>
      <c r="S8797" s="10" t="str">
        <f t="shared" si="689"/>
        <v/>
      </c>
    </row>
    <row r="8798" spans="5:19" x14ac:dyDescent="0.3">
      <c r="E8798" s="9" t="str">
        <f>IF(DADOS!C8798="","",DADOS!C8798)</f>
        <v/>
      </c>
      <c r="F8798" s="9" t="str">
        <f>IF(DADOS!E8798="","",DADOS!E8798)</f>
        <v/>
      </c>
      <c r="G8798" s="9" t="str">
        <f>IF(DADOS!F8798="","",DADOS!F8798)</f>
        <v/>
      </c>
      <c r="K8798" s="6" t="str">
        <f t="shared" si="690"/>
        <v/>
      </c>
      <c r="L8798" s="7" t="str">
        <f t="shared" si="691"/>
        <v/>
      </c>
      <c r="M8798" s="7" t="str">
        <f t="shared" si="688"/>
        <v/>
      </c>
      <c r="N8798" s="7" t="str">
        <f t="shared" si="692"/>
        <v/>
      </c>
      <c r="O8798" s="8"/>
      <c r="P8798" s="26"/>
      <c r="S8798" s="10" t="str">
        <f t="shared" si="689"/>
        <v/>
      </c>
    </row>
    <row r="8799" spans="5:19" x14ac:dyDescent="0.3">
      <c r="E8799" s="9" t="str">
        <f>IF(DADOS!C8799="","",DADOS!C8799)</f>
        <v/>
      </c>
      <c r="F8799" s="9" t="str">
        <f>IF(DADOS!E8799="","",DADOS!E8799)</f>
        <v/>
      </c>
      <c r="G8799" s="9" t="str">
        <f>IF(DADOS!F8799="","",DADOS!F8799)</f>
        <v/>
      </c>
      <c r="K8799" s="6" t="str">
        <f t="shared" si="690"/>
        <v/>
      </c>
      <c r="L8799" s="7" t="str">
        <f t="shared" si="691"/>
        <v/>
      </c>
      <c r="M8799" s="7" t="str">
        <f t="shared" si="688"/>
        <v/>
      </c>
      <c r="N8799" s="7" t="str">
        <f t="shared" si="692"/>
        <v/>
      </c>
      <c r="O8799" s="8"/>
      <c r="P8799" s="26"/>
      <c r="S8799" s="10" t="str">
        <f t="shared" si="689"/>
        <v/>
      </c>
    </row>
    <row r="8800" spans="5:19" x14ac:dyDescent="0.3">
      <c r="E8800" s="9" t="str">
        <f>IF(DADOS!C8800="","",DADOS!C8800)</f>
        <v/>
      </c>
      <c r="F8800" s="9" t="str">
        <f>IF(DADOS!E8800="","",DADOS!E8800)</f>
        <v/>
      </c>
      <c r="G8800" s="9" t="str">
        <f>IF(DADOS!F8800="","",DADOS!F8800)</f>
        <v/>
      </c>
      <c r="K8800" s="6" t="str">
        <f t="shared" si="690"/>
        <v/>
      </c>
      <c r="L8800" s="7" t="str">
        <f t="shared" si="691"/>
        <v/>
      </c>
      <c r="M8800" s="7" t="str">
        <f t="shared" si="688"/>
        <v/>
      </c>
      <c r="N8800" s="7" t="str">
        <f t="shared" si="692"/>
        <v/>
      </c>
      <c r="O8800" s="8"/>
      <c r="P8800" s="26"/>
      <c r="S8800" s="10" t="str">
        <f t="shared" si="689"/>
        <v/>
      </c>
    </row>
    <row r="8801" spans="5:19" x14ac:dyDescent="0.3">
      <c r="E8801" s="9" t="str">
        <f>IF(DADOS!C8801="","",DADOS!C8801)</f>
        <v/>
      </c>
      <c r="F8801" s="9" t="str">
        <f>IF(DADOS!E8801="","",DADOS!E8801)</f>
        <v/>
      </c>
      <c r="G8801" s="9" t="str">
        <f>IF(DADOS!F8801="","",DADOS!F8801)</f>
        <v/>
      </c>
      <c r="K8801" s="6" t="str">
        <f t="shared" si="690"/>
        <v/>
      </c>
      <c r="L8801" s="7" t="str">
        <f t="shared" si="691"/>
        <v/>
      </c>
      <c r="M8801" s="7" t="str">
        <f t="shared" si="688"/>
        <v/>
      </c>
      <c r="N8801" s="7" t="str">
        <f t="shared" si="692"/>
        <v/>
      </c>
      <c r="O8801" s="8"/>
      <c r="P8801" s="26"/>
      <c r="S8801" s="10" t="str">
        <f t="shared" si="689"/>
        <v/>
      </c>
    </row>
    <row r="8802" spans="5:19" x14ac:dyDescent="0.3">
      <c r="E8802" s="9" t="str">
        <f>IF(DADOS!C8802="","",DADOS!C8802)</f>
        <v/>
      </c>
      <c r="F8802" s="9" t="str">
        <f>IF(DADOS!E8802="","",DADOS!E8802)</f>
        <v/>
      </c>
      <c r="G8802" s="9" t="str">
        <f>IF(DADOS!F8802="","",DADOS!F8802)</f>
        <v/>
      </c>
      <c r="K8802" s="6" t="str">
        <f t="shared" si="690"/>
        <v/>
      </c>
      <c r="L8802" s="7" t="str">
        <f t="shared" si="691"/>
        <v/>
      </c>
      <c r="M8802" s="7" t="str">
        <f t="shared" si="688"/>
        <v/>
      </c>
      <c r="N8802" s="7" t="str">
        <f t="shared" si="692"/>
        <v/>
      </c>
      <c r="O8802" s="8"/>
      <c r="P8802" s="26"/>
      <c r="S8802" s="10" t="str">
        <f t="shared" si="689"/>
        <v/>
      </c>
    </row>
    <row r="8803" spans="5:19" x14ac:dyDescent="0.3">
      <c r="E8803" s="9" t="str">
        <f>IF(DADOS!C8803="","",DADOS!C8803)</f>
        <v/>
      </c>
      <c r="F8803" s="9" t="str">
        <f>IF(DADOS!E8803="","",DADOS!E8803)</f>
        <v/>
      </c>
      <c r="G8803" s="9" t="str">
        <f>IF(DADOS!F8803="","",DADOS!F8803)</f>
        <v/>
      </c>
      <c r="K8803" s="6" t="str">
        <f t="shared" si="690"/>
        <v/>
      </c>
      <c r="L8803" s="7" t="str">
        <f t="shared" si="691"/>
        <v/>
      </c>
      <c r="M8803" s="7" t="str">
        <f t="shared" si="688"/>
        <v/>
      </c>
      <c r="N8803" s="7" t="str">
        <f t="shared" si="692"/>
        <v/>
      </c>
      <c r="O8803" s="8"/>
      <c r="P8803" s="26"/>
      <c r="S8803" s="10" t="str">
        <f t="shared" si="689"/>
        <v/>
      </c>
    </row>
    <row r="8804" spans="5:19" x14ac:dyDescent="0.3">
      <c r="E8804" s="9" t="str">
        <f>IF(DADOS!C8804="","",DADOS!C8804)</f>
        <v/>
      </c>
      <c r="F8804" s="9" t="str">
        <f>IF(DADOS!E8804="","",DADOS!E8804)</f>
        <v/>
      </c>
      <c r="G8804" s="9" t="str">
        <f>IF(DADOS!F8804="","",DADOS!F8804)</f>
        <v/>
      </c>
      <c r="K8804" s="6" t="str">
        <f t="shared" si="690"/>
        <v/>
      </c>
      <c r="L8804" s="7" t="str">
        <f t="shared" si="691"/>
        <v/>
      </c>
      <c r="M8804" s="7" t="str">
        <f t="shared" si="688"/>
        <v/>
      </c>
      <c r="N8804" s="7" t="str">
        <f t="shared" si="692"/>
        <v/>
      </c>
      <c r="O8804" s="8"/>
      <c r="P8804" s="26"/>
      <c r="S8804" s="10" t="str">
        <f t="shared" si="689"/>
        <v/>
      </c>
    </row>
    <row r="8805" spans="5:19" x14ac:dyDescent="0.3">
      <c r="E8805" s="9" t="str">
        <f>IF(DADOS!C8805="","",DADOS!C8805)</f>
        <v/>
      </c>
      <c r="F8805" s="9" t="str">
        <f>IF(DADOS!E8805="","",DADOS!E8805)</f>
        <v/>
      </c>
      <c r="G8805" s="9" t="str">
        <f>IF(DADOS!F8805="","",DADOS!F8805)</f>
        <v/>
      </c>
      <c r="K8805" s="6" t="str">
        <f t="shared" si="690"/>
        <v/>
      </c>
      <c r="L8805" s="7" t="str">
        <f t="shared" si="691"/>
        <v/>
      </c>
      <c r="M8805" s="7" t="str">
        <f t="shared" si="688"/>
        <v/>
      </c>
      <c r="N8805" s="7" t="str">
        <f t="shared" si="692"/>
        <v/>
      </c>
      <c r="O8805" s="8"/>
      <c r="P8805" s="26"/>
      <c r="S8805" s="10" t="str">
        <f t="shared" si="689"/>
        <v/>
      </c>
    </row>
    <row r="8806" spans="5:19" x14ac:dyDescent="0.3">
      <c r="E8806" s="9" t="str">
        <f>IF(DADOS!C8806="","",DADOS!C8806)</f>
        <v/>
      </c>
      <c r="F8806" s="9" t="str">
        <f>IF(DADOS!E8806="","",DADOS!E8806)</f>
        <v/>
      </c>
      <c r="G8806" s="9" t="str">
        <f>IF(DADOS!F8806="","",DADOS!F8806)</f>
        <v/>
      </c>
      <c r="K8806" s="6" t="str">
        <f t="shared" si="690"/>
        <v/>
      </c>
      <c r="L8806" s="7" t="str">
        <f t="shared" si="691"/>
        <v/>
      </c>
      <c r="M8806" s="7" t="str">
        <f t="shared" si="688"/>
        <v/>
      </c>
      <c r="N8806" s="7" t="str">
        <f t="shared" si="692"/>
        <v/>
      </c>
      <c r="O8806" s="8"/>
      <c r="P8806" s="26"/>
      <c r="S8806" s="10" t="str">
        <f t="shared" si="689"/>
        <v/>
      </c>
    </row>
    <row r="8807" spans="5:19" x14ac:dyDescent="0.3">
      <c r="E8807" s="9" t="str">
        <f>IF(DADOS!C8807="","",DADOS!C8807)</f>
        <v/>
      </c>
      <c r="F8807" s="9" t="str">
        <f>IF(DADOS!E8807="","",DADOS!E8807)</f>
        <v/>
      </c>
      <c r="G8807" s="9" t="str">
        <f>IF(DADOS!F8807="","",DADOS!F8807)</f>
        <v/>
      </c>
      <c r="K8807" s="6" t="str">
        <f t="shared" si="690"/>
        <v/>
      </c>
      <c r="L8807" s="7" t="str">
        <f t="shared" si="691"/>
        <v/>
      </c>
      <c r="M8807" s="7" t="str">
        <f t="shared" si="688"/>
        <v/>
      </c>
      <c r="N8807" s="7" t="str">
        <f t="shared" si="692"/>
        <v/>
      </c>
      <c r="O8807" s="8"/>
      <c r="P8807" s="26"/>
      <c r="S8807" s="10" t="str">
        <f t="shared" si="689"/>
        <v/>
      </c>
    </row>
    <row r="8808" spans="5:19" x14ac:dyDescent="0.3">
      <c r="E8808" s="9" t="str">
        <f>IF(DADOS!C8808="","",DADOS!C8808)</f>
        <v/>
      </c>
      <c r="F8808" s="9" t="str">
        <f>IF(DADOS!E8808="","",DADOS!E8808)</f>
        <v/>
      </c>
      <c r="G8808" s="9" t="str">
        <f>IF(DADOS!F8808="","",DADOS!F8808)</f>
        <v/>
      </c>
      <c r="K8808" s="6" t="str">
        <f t="shared" si="690"/>
        <v/>
      </c>
      <c r="L8808" s="7" t="str">
        <f t="shared" si="691"/>
        <v/>
      </c>
      <c r="M8808" s="7" t="str">
        <f t="shared" si="688"/>
        <v/>
      </c>
      <c r="N8808" s="7" t="str">
        <f t="shared" si="692"/>
        <v/>
      </c>
      <c r="O8808" s="8"/>
      <c r="P8808" s="26"/>
      <c r="S8808" s="10" t="str">
        <f t="shared" si="689"/>
        <v/>
      </c>
    </row>
    <row r="8809" spans="5:19" x14ac:dyDescent="0.3">
      <c r="E8809" s="9" t="str">
        <f>IF(DADOS!C8809="","",DADOS!C8809)</f>
        <v/>
      </c>
      <c r="F8809" s="9" t="str">
        <f>IF(DADOS!E8809="","",DADOS!E8809)</f>
        <v/>
      </c>
      <c r="G8809" s="9" t="str">
        <f>IF(DADOS!F8809="","",DADOS!F8809)</f>
        <v/>
      </c>
      <c r="K8809" s="6" t="str">
        <f t="shared" si="690"/>
        <v/>
      </c>
      <c r="L8809" s="7" t="str">
        <f t="shared" si="691"/>
        <v/>
      </c>
      <c r="M8809" s="7" t="str">
        <f t="shared" si="688"/>
        <v/>
      </c>
      <c r="N8809" s="7" t="str">
        <f t="shared" si="692"/>
        <v/>
      </c>
      <c r="O8809" s="8"/>
      <c r="P8809" s="26"/>
      <c r="S8809" s="10" t="str">
        <f t="shared" si="689"/>
        <v/>
      </c>
    </row>
    <row r="8810" spans="5:19" x14ac:dyDescent="0.3">
      <c r="E8810" s="9" t="str">
        <f>IF(DADOS!C8810="","",DADOS!C8810)</f>
        <v/>
      </c>
      <c r="F8810" s="9" t="str">
        <f>IF(DADOS!E8810="","",DADOS!E8810)</f>
        <v/>
      </c>
      <c r="G8810" s="9" t="str">
        <f>IF(DADOS!F8810="","",DADOS!F8810)</f>
        <v/>
      </c>
      <c r="K8810" s="6" t="str">
        <f t="shared" si="690"/>
        <v/>
      </c>
      <c r="L8810" s="7" t="str">
        <f t="shared" si="691"/>
        <v/>
      </c>
      <c r="M8810" s="7" t="str">
        <f t="shared" si="688"/>
        <v/>
      </c>
      <c r="N8810" s="7" t="str">
        <f t="shared" si="692"/>
        <v/>
      </c>
      <c r="O8810" s="8"/>
      <c r="P8810" s="26"/>
      <c r="S8810" s="10" t="str">
        <f t="shared" si="689"/>
        <v/>
      </c>
    </row>
    <row r="8811" spans="5:19" x14ac:dyDescent="0.3">
      <c r="E8811" s="9" t="str">
        <f>IF(DADOS!C8811="","",DADOS!C8811)</f>
        <v/>
      </c>
      <c r="F8811" s="9" t="str">
        <f>IF(DADOS!E8811="","",DADOS!E8811)</f>
        <v/>
      </c>
      <c r="G8811" s="9" t="str">
        <f>IF(DADOS!F8811="","",DADOS!F8811)</f>
        <v/>
      </c>
      <c r="K8811" s="6" t="str">
        <f t="shared" si="690"/>
        <v/>
      </c>
      <c r="L8811" s="7" t="str">
        <f t="shared" si="691"/>
        <v/>
      </c>
      <c r="M8811" s="7" t="str">
        <f t="shared" si="688"/>
        <v/>
      </c>
      <c r="N8811" s="7" t="str">
        <f t="shared" si="692"/>
        <v/>
      </c>
      <c r="O8811" s="8"/>
      <c r="P8811" s="26"/>
      <c r="S8811" s="10" t="str">
        <f t="shared" si="689"/>
        <v/>
      </c>
    </row>
    <row r="8812" spans="5:19" x14ac:dyDescent="0.3">
      <c r="E8812" s="9" t="str">
        <f>IF(DADOS!C8812="","",DADOS!C8812)</f>
        <v/>
      </c>
      <c r="F8812" s="9" t="str">
        <f>IF(DADOS!E8812="","",DADOS!E8812)</f>
        <v/>
      </c>
      <c r="G8812" s="9" t="str">
        <f>IF(DADOS!F8812="","",DADOS!F8812)</f>
        <v/>
      </c>
      <c r="K8812" s="6" t="str">
        <f t="shared" si="690"/>
        <v/>
      </c>
      <c r="L8812" s="7" t="str">
        <f t="shared" si="691"/>
        <v/>
      </c>
      <c r="M8812" s="7" t="str">
        <f t="shared" si="688"/>
        <v/>
      </c>
      <c r="N8812" s="7" t="str">
        <f t="shared" si="692"/>
        <v/>
      </c>
      <c r="O8812" s="8"/>
      <c r="P8812" s="26"/>
      <c r="S8812" s="10" t="str">
        <f t="shared" si="689"/>
        <v/>
      </c>
    </row>
    <row r="8813" spans="5:19" x14ac:dyDescent="0.3">
      <c r="E8813" s="9" t="str">
        <f>IF(DADOS!C8813="","",DADOS!C8813)</f>
        <v/>
      </c>
      <c r="F8813" s="9" t="str">
        <f>IF(DADOS!E8813="","",DADOS!E8813)</f>
        <v/>
      </c>
      <c r="G8813" s="9" t="str">
        <f>IF(DADOS!F8813="","",DADOS!F8813)</f>
        <v/>
      </c>
      <c r="K8813" s="6" t="str">
        <f t="shared" si="690"/>
        <v/>
      </c>
      <c r="L8813" s="7" t="str">
        <f t="shared" si="691"/>
        <v/>
      </c>
      <c r="M8813" s="7" t="str">
        <f t="shared" si="688"/>
        <v/>
      </c>
      <c r="N8813" s="7" t="str">
        <f t="shared" si="692"/>
        <v/>
      </c>
      <c r="O8813" s="8"/>
      <c r="P8813" s="26"/>
      <c r="S8813" s="10" t="str">
        <f t="shared" si="689"/>
        <v/>
      </c>
    </row>
    <row r="8814" spans="5:19" x14ac:dyDescent="0.3">
      <c r="E8814" s="9" t="str">
        <f>IF(DADOS!C8814="","",DADOS!C8814)</f>
        <v/>
      </c>
      <c r="F8814" s="9" t="str">
        <f>IF(DADOS!E8814="","",DADOS!E8814)</f>
        <v/>
      </c>
      <c r="G8814" s="9" t="str">
        <f>IF(DADOS!F8814="","",DADOS!F8814)</f>
        <v/>
      </c>
      <c r="K8814" s="6" t="str">
        <f t="shared" si="690"/>
        <v/>
      </c>
      <c r="L8814" s="7" t="str">
        <f t="shared" si="691"/>
        <v/>
      </c>
      <c r="M8814" s="7" t="str">
        <f t="shared" si="688"/>
        <v/>
      </c>
      <c r="N8814" s="7" t="str">
        <f t="shared" si="692"/>
        <v/>
      </c>
      <c r="O8814" s="8"/>
      <c r="P8814" s="26"/>
      <c r="S8814" s="10" t="str">
        <f t="shared" si="689"/>
        <v/>
      </c>
    </row>
    <row r="8815" spans="5:19" x14ac:dyDescent="0.3">
      <c r="E8815" s="9" t="str">
        <f>IF(DADOS!C8815="","",DADOS!C8815)</f>
        <v/>
      </c>
      <c r="F8815" s="9" t="str">
        <f>IF(DADOS!E8815="","",DADOS!E8815)</f>
        <v/>
      </c>
      <c r="G8815" s="9" t="str">
        <f>IF(DADOS!F8815="","",DADOS!F8815)</f>
        <v/>
      </c>
      <c r="K8815" s="6" t="str">
        <f t="shared" si="690"/>
        <v/>
      </c>
      <c r="L8815" s="7" t="str">
        <f t="shared" si="691"/>
        <v/>
      </c>
      <c r="M8815" s="7" t="str">
        <f t="shared" si="688"/>
        <v/>
      </c>
      <c r="N8815" s="7" t="str">
        <f t="shared" si="692"/>
        <v/>
      </c>
      <c r="O8815" s="8"/>
      <c r="P8815" s="26"/>
      <c r="S8815" s="10" t="str">
        <f t="shared" si="689"/>
        <v/>
      </c>
    </row>
    <row r="8816" spans="5:19" x14ac:dyDescent="0.3">
      <c r="E8816" s="9" t="str">
        <f>IF(DADOS!C8816="","",DADOS!C8816)</f>
        <v/>
      </c>
      <c r="F8816" s="9" t="str">
        <f>IF(DADOS!E8816="","",DADOS!E8816)</f>
        <v/>
      </c>
      <c r="G8816" s="9" t="str">
        <f>IF(DADOS!F8816="","",DADOS!F8816)</f>
        <v/>
      </c>
      <c r="K8816" s="6" t="str">
        <f t="shared" si="690"/>
        <v/>
      </c>
      <c r="L8816" s="7" t="str">
        <f t="shared" si="691"/>
        <v/>
      </c>
      <c r="M8816" s="7" t="str">
        <f t="shared" si="688"/>
        <v/>
      </c>
      <c r="N8816" s="7" t="str">
        <f t="shared" si="692"/>
        <v/>
      </c>
      <c r="O8816" s="8"/>
      <c r="P8816" s="26"/>
      <c r="S8816" s="10" t="str">
        <f t="shared" si="689"/>
        <v/>
      </c>
    </row>
    <row r="8817" spans="5:19" x14ac:dyDescent="0.3">
      <c r="E8817" s="9" t="str">
        <f>IF(DADOS!C8817="","",DADOS!C8817)</f>
        <v/>
      </c>
      <c r="F8817" s="9" t="str">
        <f>IF(DADOS!E8817="","",DADOS!E8817)</f>
        <v/>
      </c>
      <c r="G8817" s="9" t="str">
        <f>IF(DADOS!F8817="","",DADOS!F8817)</f>
        <v/>
      </c>
      <c r="K8817" s="6" t="str">
        <f t="shared" si="690"/>
        <v/>
      </c>
      <c r="L8817" s="7" t="str">
        <f t="shared" si="691"/>
        <v/>
      </c>
      <c r="M8817" s="7" t="str">
        <f t="shared" si="688"/>
        <v/>
      </c>
      <c r="N8817" s="7" t="str">
        <f t="shared" si="692"/>
        <v/>
      </c>
      <c r="O8817" s="8"/>
      <c r="P8817" s="26"/>
      <c r="S8817" s="10" t="str">
        <f t="shared" si="689"/>
        <v/>
      </c>
    </row>
    <row r="8818" spans="5:19" x14ac:dyDescent="0.3">
      <c r="E8818" s="9" t="str">
        <f>IF(DADOS!C8818="","",DADOS!C8818)</f>
        <v/>
      </c>
      <c r="F8818" s="9" t="str">
        <f>IF(DADOS!E8818="","",DADOS!E8818)</f>
        <v/>
      </c>
      <c r="G8818" s="9" t="str">
        <f>IF(DADOS!F8818="","",DADOS!F8818)</f>
        <v/>
      </c>
      <c r="K8818" s="6" t="str">
        <f t="shared" si="690"/>
        <v/>
      </c>
      <c r="L8818" s="7" t="str">
        <f t="shared" si="691"/>
        <v/>
      </c>
      <c r="M8818" s="7" t="str">
        <f t="shared" si="688"/>
        <v/>
      </c>
      <c r="N8818" s="7" t="str">
        <f t="shared" si="692"/>
        <v/>
      </c>
      <c r="O8818" s="8"/>
      <c r="P8818" s="26"/>
      <c r="S8818" s="10" t="str">
        <f t="shared" si="689"/>
        <v/>
      </c>
    </row>
    <row r="8819" spans="5:19" x14ac:dyDescent="0.3">
      <c r="E8819" s="9" t="str">
        <f>IF(DADOS!C8819="","",DADOS!C8819)</f>
        <v/>
      </c>
      <c r="F8819" s="9" t="str">
        <f>IF(DADOS!E8819="","",DADOS!E8819)</f>
        <v/>
      </c>
      <c r="G8819" s="9" t="str">
        <f>IF(DADOS!F8819="","",DADOS!F8819)</f>
        <v/>
      </c>
      <c r="K8819" s="6" t="str">
        <f t="shared" si="690"/>
        <v/>
      </c>
      <c r="L8819" s="7" t="str">
        <f t="shared" si="691"/>
        <v/>
      </c>
      <c r="M8819" s="7" t="str">
        <f t="shared" si="688"/>
        <v/>
      </c>
      <c r="N8819" s="7" t="str">
        <f t="shared" si="692"/>
        <v/>
      </c>
      <c r="O8819" s="8"/>
      <c r="P8819" s="26"/>
      <c r="S8819" s="10" t="str">
        <f t="shared" si="689"/>
        <v/>
      </c>
    </row>
    <row r="8820" spans="5:19" x14ac:dyDescent="0.3">
      <c r="E8820" s="9" t="str">
        <f>IF(DADOS!C8820="","",DADOS!C8820)</f>
        <v/>
      </c>
      <c r="F8820" s="9" t="str">
        <f>IF(DADOS!E8820="","",DADOS!E8820)</f>
        <v/>
      </c>
      <c r="G8820" s="9" t="str">
        <f>IF(DADOS!F8820="","",DADOS!F8820)</f>
        <v/>
      </c>
      <c r="K8820" s="6" t="str">
        <f t="shared" si="690"/>
        <v/>
      </c>
      <c r="L8820" s="7" t="str">
        <f t="shared" si="691"/>
        <v/>
      </c>
      <c r="M8820" s="7" t="str">
        <f t="shared" si="688"/>
        <v/>
      </c>
      <c r="N8820" s="7" t="str">
        <f t="shared" si="692"/>
        <v/>
      </c>
      <c r="O8820" s="8"/>
      <c r="P8820" s="26"/>
      <c r="S8820" s="10" t="str">
        <f t="shared" si="689"/>
        <v/>
      </c>
    </row>
    <row r="8821" spans="5:19" x14ac:dyDescent="0.3">
      <c r="E8821" s="9" t="str">
        <f>IF(DADOS!C8821="","",DADOS!C8821)</f>
        <v/>
      </c>
      <c r="F8821" s="9" t="str">
        <f>IF(DADOS!E8821="","",DADOS!E8821)</f>
        <v/>
      </c>
      <c r="G8821" s="9" t="str">
        <f>IF(DADOS!F8821="","",DADOS!F8821)</f>
        <v/>
      </c>
      <c r="K8821" s="6" t="str">
        <f t="shared" si="690"/>
        <v/>
      </c>
      <c r="L8821" s="7" t="str">
        <f t="shared" si="691"/>
        <v/>
      </c>
      <c r="M8821" s="7" t="str">
        <f t="shared" si="688"/>
        <v/>
      </c>
      <c r="N8821" s="7" t="str">
        <f t="shared" si="692"/>
        <v/>
      </c>
      <c r="O8821" s="8"/>
      <c r="P8821" s="26"/>
      <c r="S8821" s="10" t="str">
        <f t="shared" si="689"/>
        <v/>
      </c>
    </row>
    <row r="8822" spans="5:19" x14ac:dyDescent="0.3">
      <c r="E8822" s="9" t="str">
        <f>IF(DADOS!C8822="","",DADOS!C8822)</f>
        <v/>
      </c>
      <c r="F8822" s="9" t="str">
        <f>IF(DADOS!E8822="","",DADOS!E8822)</f>
        <v/>
      </c>
      <c r="G8822" s="9" t="str">
        <f>IF(DADOS!F8822="","",DADOS!F8822)</f>
        <v/>
      </c>
      <c r="K8822" s="6" t="str">
        <f t="shared" si="690"/>
        <v/>
      </c>
      <c r="L8822" s="7" t="str">
        <f t="shared" si="691"/>
        <v/>
      </c>
      <c r="M8822" s="7" t="str">
        <f t="shared" si="688"/>
        <v/>
      </c>
      <c r="N8822" s="7" t="str">
        <f t="shared" si="692"/>
        <v/>
      </c>
      <c r="O8822" s="8"/>
      <c r="P8822" s="26"/>
      <c r="S8822" s="10" t="str">
        <f t="shared" si="689"/>
        <v/>
      </c>
    </row>
    <row r="8823" spans="5:19" x14ac:dyDescent="0.3">
      <c r="E8823" s="9" t="str">
        <f>IF(DADOS!C8823="","",DADOS!C8823)</f>
        <v/>
      </c>
      <c r="F8823" s="9" t="str">
        <f>IF(DADOS!E8823="","",DADOS!E8823)</f>
        <v/>
      </c>
      <c r="G8823" s="9" t="str">
        <f>IF(DADOS!F8823="","",DADOS!F8823)</f>
        <v/>
      </c>
      <c r="K8823" s="6" t="str">
        <f t="shared" si="690"/>
        <v/>
      </c>
      <c r="L8823" s="7" t="str">
        <f t="shared" si="691"/>
        <v/>
      </c>
      <c r="M8823" s="7" t="str">
        <f t="shared" si="688"/>
        <v/>
      </c>
      <c r="N8823" s="7" t="str">
        <f t="shared" si="692"/>
        <v/>
      </c>
      <c r="O8823" s="8"/>
      <c r="P8823" s="26"/>
      <c r="S8823" s="10" t="str">
        <f t="shared" si="689"/>
        <v/>
      </c>
    </row>
    <row r="8824" spans="5:19" x14ac:dyDescent="0.3">
      <c r="E8824" s="9" t="str">
        <f>IF(DADOS!C8824="","",DADOS!C8824)</f>
        <v/>
      </c>
      <c r="F8824" s="9" t="str">
        <f>IF(DADOS!E8824="","",DADOS!E8824)</f>
        <v/>
      </c>
      <c r="G8824" s="9" t="str">
        <f>IF(DADOS!F8824="","",DADOS!F8824)</f>
        <v/>
      </c>
      <c r="K8824" s="6" t="str">
        <f t="shared" si="690"/>
        <v/>
      </c>
      <c r="L8824" s="7" t="str">
        <f t="shared" si="691"/>
        <v/>
      </c>
      <c r="M8824" s="7" t="str">
        <f t="shared" si="688"/>
        <v/>
      </c>
      <c r="N8824" s="7" t="str">
        <f t="shared" si="692"/>
        <v/>
      </c>
      <c r="O8824" s="8"/>
      <c r="P8824" s="26"/>
      <c r="S8824" s="10" t="str">
        <f t="shared" si="689"/>
        <v/>
      </c>
    </row>
    <row r="8825" spans="5:19" x14ac:dyDescent="0.3">
      <c r="E8825" s="9" t="str">
        <f>IF(DADOS!C8825="","",DADOS!C8825)</f>
        <v/>
      </c>
      <c r="F8825" s="9" t="str">
        <f>IF(DADOS!E8825="","",DADOS!E8825)</f>
        <v/>
      </c>
      <c r="G8825" s="9" t="str">
        <f>IF(DADOS!F8825="","",DADOS!F8825)</f>
        <v/>
      </c>
      <c r="K8825" s="6" t="str">
        <f t="shared" si="690"/>
        <v/>
      </c>
      <c r="L8825" s="7" t="str">
        <f t="shared" si="691"/>
        <v/>
      </c>
      <c r="M8825" s="7" t="str">
        <f t="shared" si="688"/>
        <v/>
      </c>
      <c r="N8825" s="7" t="str">
        <f t="shared" si="692"/>
        <v/>
      </c>
      <c r="O8825" s="8"/>
      <c r="P8825" s="26"/>
      <c r="S8825" s="10" t="str">
        <f t="shared" si="689"/>
        <v/>
      </c>
    </row>
    <row r="8826" spans="5:19" x14ac:dyDescent="0.3">
      <c r="E8826" s="9" t="str">
        <f>IF(DADOS!C8826="","",DADOS!C8826)</f>
        <v/>
      </c>
      <c r="F8826" s="9" t="str">
        <f>IF(DADOS!E8826="","",DADOS!E8826)</f>
        <v/>
      </c>
      <c r="G8826" s="9" t="str">
        <f>IF(DADOS!F8826="","",DADOS!F8826)</f>
        <v/>
      </c>
      <c r="K8826" s="6" t="str">
        <f t="shared" si="690"/>
        <v/>
      </c>
      <c r="L8826" s="7" t="str">
        <f t="shared" si="691"/>
        <v/>
      </c>
      <c r="M8826" s="7" t="str">
        <f t="shared" si="688"/>
        <v/>
      </c>
      <c r="N8826" s="7" t="str">
        <f t="shared" si="692"/>
        <v/>
      </c>
      <c r="O8826" s="8"/>
      <c r="P8826" s="26"/>
      <c r="S8826" s="10" t="str">
        <f t="shared" si="689"/>
        <v/>
      </c>
    </row>
    <row r="8827" spans="5:19" x14ac:dyDescent="0.3">
      <c r="E8827" s="9" t="str">
        <f>IF(DADOS!C8827="","",DADOS!C8827)</f>
        <v/>
      </c>
      <c r="F8827" s="9" t="str">
        <f>IF(DADOS!E8827="","",DADOS!E8827)</f>
        <v/>
      </c>
      <c r="G8827" s="9" t="str">
        <f>IF(DADOS!F8827="","",DADOS!F8827)</f>
        <v/>
      </c>
      <c r="K8827" s="6" t="str">
        <f t="shared" si="690"/>
        <v/>
      </c>
      <c r="L8827" s="7" t="str">
        <f t="shared" si="691"/>
        <v/>
      </c>
      <c r="M8827" s="7" t="str">
        <f t="shared" si="688"/>
        <v/>
      </c>
      <c r="N8827" s="7" t="str">
        <f t="shared" si="692"/>
        <v/>
      </c>
      <c r="O8827" s="8"/>
      <c r="P8827" s="26"/>
      <c r="S8827" s="10" t="str">
        <f t="shared" si="689"/>
        <v/>
      </c>
    </row>
    <row r="8828" spans="5:19" x14ac:dyDescent="0.3">
      <c r="E8828" s="9" t="str">
        <f>IF(DADOS!C8828="","",DADOS!C8828)</f>
        <v/>
      </c>
      <c r="F8828" s="9" t="str">
        <f>IF(DADOS!E8828="","",DADOS!E8828)</f>
        <v/>
      </c>
      <c r="G8828" s="9" t="str">
        <f>IF(DADOS!F8828="","",DADOS!F8828)</f>
        <v/>
      </c>
      <c r="K8828" s="6" t="str">
        <f t="shared" si="690"/>
        <v/>
      </c>
      <c r="L8828" s="7" t="str">
        <f t="shared" si="691"/>
        <v/>
      </c>
      <c r="M8828" s="7" t="str">
        <f t="shared" si="688"/>
        <v/>
      </c>
      <c r="N8828" s="7" t="str">
        <f t="shared" si="692"/>
        <v/>
      </c>
      <c r="O8828" s="8"/>
      <c r="P8828" s="26"/>
      <c r="S8828" s="10" t="str">
        <f t="shared" si="689"/>
        <v/>
      </c>
    </row>
    <row r="8829" spans="5:19" x14ac:dyDescent="0.3">
      <c r="E8829" s="9" t="str">
        <f>IF(DADOS!C8829="","",DADOS!C8829)</f>
        <v/>
      </c>
      <c r="F8829" s="9" t="str">
        <f>IF(DADOS!E8829="","",DADOS!E8829)</f>
        <v/>
      </c>
      <c r="G8829" s="9" t="str">
        <f>IF(DADOS!F8829="","",DADOS!F8829)</f>
        <v/>
      </c>
      <c r="K8829" s="6" t="str">
        <f t="shared" si="690"/>
        <v/>
      </c>
      <c r="L8829" s="7" t="str">
        <f t="shared" si="691"/>
        <v/>
      </c>
      <c r="M8829" s="7" t="str">
        <f t="shared" si="688"/>
        <v/>
      </c>
      <c r="N8829" s="7" t="str">
        <f t="shared" si="692"/>
        <v/>
      </c>
      <c r="O8829" s="8"/>
      <c r="P8829" s="26"/>
      <c r="S8829" s="10" t="str">
        <f t="shared" si="689"/>
        <v/>
      </c>
    </row>
    <row r="8830" spans="5:19" x14ac:dyDescent="0.3">
      <c r="E8830" s="9" t="str">
        <f>IF(DADOS!C8830="","",DADOS!C8830)</f>
        <v/>
      </c>
      <c r="F8830" s="9" t="str">
        <f>IF(DADOS!E8830="","",DADOS!E8830)</f>
        <v/>
      </c>
      <c r="G8830" s="9" t="str">
        <f>IF(DADOS!F8830="","",DADOS!F8830)</f>
        <v/>
      </c>
      <c r="K8830" s="6" t="str">
        <f t="shared" si="690"/>
        <v/>
      </c>
      <c r="L8830" s="7" t="str">
        <f t="shared" si="691"/>
        <v/>
      </c>
      <c r="M8830" s="7" t="str">
        <f t="shared" si="688"/>
        <v/>
      </c>
      <c r="N8830" s="7" t="str">
        <f t="shared" si="692"/>
        <v/>
      </c>
      <c r="O8830" s="8"/>
      <c r="P8830" s="26"/>
      <c r="S8830" s="10" t="str">
        <f t="shared" si="689"/>
        <v/>
      </c>
    </row>
    <row r="8831" spans="5:19" x14ac:dyDescent="0.3">
      <c r="E8831" s="9" t="str">
        <f>IF(DADOS!C8831="","",DADOS!C8831)</f>
        <v/>
      </c>
      <c r="F8831" s="9" t="str">
        <f>IF(DADOS!E8831="","",DADOS!E8831)</f>
        <v/>
      </c>
      <c r="G8831" s="9" t="str">
        <f>IF(DADOS!F8831="","",DADOS!F8831)</f>
        <v/>
      </c>
      <c r="K8831" s="6" t="str">
        <f t="shared" si="690"/>
        <v/>
      </c>
      <c r="L8831" s="7" t="str">
        <f t="shared" si="691"/>
        <v/>
      </c>
      <c r="M8831" s="7" t="str">
        <f t="shared" si="688"/>
        <v/>
      </c>
      <c r="N8831" s="7" t="str">
        <f t="shared" si="692"/>
        <v/>
      </c>
      <c r="O8831" s="8"/>
      <c r="P8831" s="26"/>
      <c r="S8831" s="10" t="str">
        <f t="shared" si="689"/>
        <v/>
      </c>
    </row>
    <row r="8832" spans="5:19" x14ac:dyDescent="0.3">
      <c r="E8832" s="9" t="str">
        <f>IF(DADOS!C8832="","",DADOS!C8832)</f>
        <v/>
      </c>
      <c r="F8832" s="9" t="str">
        <f>IF(DADOS!E8832="","",DADOS!E8832)</f>
        <v/>
      </c>
      <c r="G8832" s="9" t="str">
        <f>IF(DADOS!F8832="","",DADOS!F8832)</f>
        <v/>
      </c>
      <c r="K8832" s="6" t="str">
        <f t="shared" si="690"/>
        <v/>
      </c>
      <c r="L8832" s="7" t="str">
        <f t="shared" si="691"/>
        <v/>
      </c>
      <c r="M8832" s="7" t="str">
        <f t="shared" si="688"/>
        <v/>
      </c>
      <c r="N8832" s="7" t="str">
        <f t="shared" si="692"/>
        <v/>
      </c>
      <c r="O8832" s="8"/>
      <c r="P8832" s="26"/>
      <c r="S8832" s="10" t="str">
        <f t="shared" si="689"/>
        <v/>
      </c>
    </row>
    <row r="8833" spans="5:19" x14ac:dyDescent="0.3">
      <c r="E8833" s="9" t="str">
        <f>IF(DADOS!C8833="","",DADOS!C8833)</f>
        <v/>
      </c>
      <c r="F8833" s="9" t="str">
        <f>IF(DADOS!E8833="","",DADOS!E8833)</f>
        <v/>
      </c>
      <c r="G8833" s="9" t="str">
        <f>IF(DADOS!F8833="","",DADOS!F8833)</f>
        <v/>
      </c>
      <c r="K8833" s="6" t="str">
        <f t="shared" si="690"/>
        <v/>
      </c>
      <c r="L8833" s="7" t="str">
        <f t="shared" si="691"/>
        <v/>
      </c>
      <c r="M8833" s="7" t="str">
        <f t="shared" si="688"/>
        <v/>
      </c>
      <c r="N8833" s="7" t="str">
        <f t="shared" si="692"/>
        <v/>
      </c>
      <c r="O8833" s="8"/>
      <c r="P8833" s="26"/>
      <c r="S8833" s="10" t="str">
        <f t="shared" si="689"/>
        <v/>
      </c>
    </row>
    <row r="8834" spans="5:19" x14ac:dyDescent="0.3">
      <c r="E8834" s="9" t="str">
        <f>IF(DADOS!C8834="","",DADOS!C8834)</f>
        <v/>
      </c>
      <c r="F8834" s="9" t="str">
        <f>IF(DADOS!E8834="","",DADOS!E8834)</f>
        <v/>
      </c>
      <c r="G8834" s="9" t="str">
        <f>IF(DADOS!F8834="","",DADOS!F8834)</f>
        <v/>
      </c>
      <c r="K8834" s="6" t="str">
        <f t="shared" si="690"/>
        <v/>
      </c>
      <c r="L8834" s="7" t="str">
        <f t="shared" si="691"/>
        <v/>
      </c>
      <c r="M8834" s="7" t="str">
        <f t="shared" si="688"/>
        <v/>
      </c>
      <c r="N8834" s="7" t="str">
        <f t="shared" si="692"/>
        <v/>
      </c>
      <c r="O8834" s="8"/>
      <c r="P8834" s="26"/>
      <c r="S8834" s="10" t="str">
        <f t="shared" si="689"/>
        <v/>
      </c>
    </row>
    <row r="8835" spans="5:19" x14ac:dyDescent="0.3">
      <c r="E8835" s="9" t="str">
        <f>IF(DADOS!C8835="","",DADOS!C8835)</f>
        <v/>
      </c>
      <c r="F8835" s="9" t="str">
        <f>IF(DADOS!E8835="","",DADOS!E8835)</f>
        <v/>
      </c>
      <c r="G8835" s="9" t="str">
        <f>IF(DADOS!F8835="","",DADOS!F8835)</f>
        <v/>
      </c>
      <c r="K8835" s="6" t="str">
        <f t="shared" si="690"/>
        <v/>
      </c>
      <c r="L8835" s="7" t="str">
        <f t="shared" si="691"/>
        <v/>
      </c>
      <c r="M8835" s="7" t="str">
        <f t="shared" ref="M8835:M8898" si="693">IF(L8835="","",L8835*G8835)</f>
        <v/>
      </c>
      <c r="N8835" s="7" t="str">
        <f t="shared" si="692"/>
        <v/>
      </c>
      <c r="O8835" s="8"/>
      <c r="P8835" s="26"/>
      <c r="S8835" s="10" t="str">
        <f t="shared" ref="S8835:S8898" si="694">IF(R8835="","",SUMIFS($N$3:$N$10000,$E$3:$E$10000,R8835))</f>
        <v/>
      </c>
    </row>
    <row r="8836" spans="5:19" x14ac:dyDescent="0.3">
      <c r="E8836" s="9" t="str">
        <f>IF(DADOS!C8836="","",DADOS!C8836)</f>
        <v/>
      </c>
      <c r="F8836" s="9" t="str">
        <f>IF(DADOS!E8836="","",DADOS!E8836)</f>
        <v/>
      </c>
      <c r="G8836" s="9" t="str">
        <f>IF(DADOS!F8836="","",DADOS!F8836)</f>
        <v/>
      </c>
      <c r="K8836" s="6" t="str">
        <f t="shared" ref="K8836:K8899" si="695">IF(F8836="","",F8836/PI())</f>
        <v/>
      </c>
      <c r="L8836" s="7" t="str">
        <f t="shared" ref="L8836:L8899" si="696">IF(K8836="","",(PI()*K8836^2)/40000)</f>
        <v/>
      </c>
      <c r="M8836" s="7" t="str">
        <f t="shared" si="693"/>
        <v/>
      </c>
      <c r="N8836" s="7" t="str">
        <f t="shared" ref="N8836:N8899" si="697">IF(M8836="","",M8836*N$1)</f>
        <v/>
      </c>
      <c r="O8836" s="8"/>
      <c r="P8836" s="26"/>
      <c r="S8836" s="10" t="str">
        <f t="shared" si="694"/>
        <v/>
      </c>
    </row>
    <row r="8837" spans="5:19" x14ac:dyDescent="0.3">
      <c r="E8837" s="9" t="str">
        <f>IF(DADOS!C8837="","",DADOS!C8837)</f>
        <v/>
      </c>
      <c r="F8837" s="9" t="str">
        <f>IF(DADOS!E8837="","",DADOS!E8837)</f>
        <v/>
      </c>
      <c r="G8837" s="9" t="str">
        <f>IF(DADOS!F8837="","",DADOS!F8837)</f>
        <v/>
      </c>
      <c r="K8837" s="6" t="str">
        <f t="shared" si="695"/>
        <v/>
      </c>
      <c r="L8837" s="7" t="str">
        <f t="shared" si="696"/>
        <v/>
      </c>
      <c r="M8837" s="7" t="str">
        <f t="shared" si="693"/>
        <v/>
      </c>
      <c r="N8837" s="7" t="str">
        <f t="shared" si="697"/>
        <v/>
      </c>
      <c r="O8837" s="8"/>
      <c r="P8837" s="26"/>
      <c r="S8837" s="10" t="str">
        <f t="shared" si="694"/>
        <v/>
      </c>
    </row>
    <row r="8838" spans="5:19" x14ac:dyDescent="0.3">
      <c r="E8838" s="9" t="str">
        <f>IF(DADOS!C8838="","",DADOS!C8838)</f>
        <v/>
      </c>
      <c r="F8838" s="9" t="str">
        <f>IF(DADOS!E8838="","",DADOS!E8838)</f>
        <v/>
      </c>
      <c r="G8838" s="9" t="str">
        <f>IF(DADOS!F8838="","",DADOS!F8838)</f>
        <v/>
      </c>
      <c r="K8838" s="6" t="str">
        <f t="shared" si="695"/>
        <v/>
      </c>
      <c r="L8838" s="7" t="str">
        <f t="shared" si="696"/>
        <v/>
      </c>
      <c r="M8838" s="7" t="str">
        <f t="shared" si="693"/>
        <v/>
      </c>
      <c r="N8838" s="7" t="str">
        <f t="shared" si="697"/>
        <v/>
      </c>
      <c r="O8838" s="8"/>
      <c r="P8838" s="26"/>
      <c r="S8838" s="10" t="str">
        <f t="shared" si="694"/>
        <v/>
      </c>
    </row>
    <row r="8839" spans="5:19" x14ac:dyDescent="0.3">
      <c r="E8839" s="9" t="str">
        <f>IF(DADOS!C8839="","",DADOS!C8839)</f>
        <v/>
      </c>
      <c r="F8839" s="9" t="str">
        <f>IF(DADOS!E8839="","",DADOS!E8839)</f>
        <v/>
      </c>
      <c r="G8839" s="9" t="str">
        <f>IF(DADOS!F8839="","",DADOS!F8839)</f>
        <v/>
      </c>
      <c r="K8839" s="6" t="str">
        <f t="shared" si="695"/>
        <v/>
      </c>
      <c r="L8839" s="7" t="str">
        <f t="shared" si="696"/>
        <v/>
      </c>
      <c r="M8839" s="7" t="str">
        <f t="shared" si="693"/>
        <v/>
      </c>
      <c r="N8839" s="7" t="str">
        <f t="shared" si="697"/>
        <v/>
      </c>
      <c r="O8839" s="8"/>
      <c r="P8839" s="26"/>
      <c r="S8839" s="10" t="str">
        <f t="shared" si="694"/>
        <v/>
      </c>
    </row>
    <row r="8840" spans="5:19" x14ac:dyDescent="0.3">
      <c r="E8840" s="9" t="str">
        <f>IF(DADOS!C8840="","",DADOS!C8840)</f>
        <v/>
      </c>
      <c r="F8840" s="9" t="str">
        <f>IF(DADOS!E8840="","",DADOS!E8840)</f>
        <v/>
      </c>
      <c r="G8840" s="9" t="str">
        <f>IF(DADOS!F8840="","",DADOS!F8840)</f>
        <v/>
      </c>
      <c r="K8840" s="6" t="str">
        <f t="shared" si="695"/>
        <v/>
      </c>
      <c r="L8840" s="7" t="str">
        <f t="shared" si="696"/>
        <v/>
      </c>
      <c r="M8840" s="7" t="str">
        <f t="shared" si="693"/>
        <v/>
      </c>
      <c r="N8840" s="7" t="str">
        <f t="shared" si="697"/>
        <v/>
      </c>
      <c r="O8840" s="8"/>
      <c r="P8840" s="26"/>
      <c r="S8840" s="10" t="str">
        <f t="shared" si="694"/>
        <v/>
      </c>
    </row>
    <row r="8841" spans="5:19" x14ac:dyDescent="0.3">
      <c r="E8841" s="9" t="str">
        <f>IF(DADOS!C8841="","",DADOS!C8841)</f>
        <v/>
      </c>
      <c r="F8841" s="9" t="str">
        <f>IF(DADOS!E8841="","",DADOS!E8841)</f>
        <v/>
      </c>
      <c r="G8841" s="9" t="str">
        <f>IF(DADOS!F8841="","",DADOS!F8841)</f>
        <v/>
      </c>
      <c r="K8841" s="6" t="str">
        <f t="shared" si="695"/>
        <v/>
      </c>
      <c r="L8841" s="7" t="str">
        <f t="shared" si="696"/>
        <v/>
      </c>
      <c r="M8841" s="7" t="str">
        <f t="shared" si="693"/>
        <v/>
      </c>
      <c r="N8841" s="7" t="str">
        <f t="shared" si="697"/>
        <v/>
      </c>
      <c r="O8841" s="8"/>
      <c r="P8841" s="26"/>
      <c r="S8841" s="10" t="str">
        <f t="shared" si="694"/>
        <v/>
      </c>
    </row>
    <row r="8842" spans="5:19" x14ac:dyDescent="0.3">
      <c r="E8842" s="9" t="str">
        <f>IF(DADOS!C8842="","",DADOS!C8842)</f>
        <v/>
      </c>
      <c r="F8842" s="9" t="str">
        <f>IF(DADOS!E8842="","",DADOS!E8842)</f>
        <v/>
      </c>
      <c r="G8842" s="9" t="str">
        <f>IF(DADOS!F8842="","",DADOS!F8842)</f>
        <v/>
      </c>
      <c r="K8842" s="6" t="str">
        <f t="shared" si="695"/>
        <v/>
      </c>
      <c r="L8842" s="7" t="str">
        <f t="shared" si="696"/>
        <v/>
      </c>
      <c r="M8842" s="7" t="str">
        <f t="shared" si="693"/>
        <v/>
      </c>
      <c r="N8842" s="7" t="str">
        <f t="shared" si="697"/>
        <v/>
      </c>
      <c r="O8842" s="8"/>
      <c r="P8842" s="26"/>
      <c r="S8842" s="10" t="str">
        <f t="shared" si="694"/>
        <v/>
      </c>
    </row>
    <row r="8843" spans="5:19" x14ac:dyDescent="0.3">
      <c r="E8843" s="9" t="str">
        <f>IF(DADOS!C8843="","",DADOS!C8843)</f>
        <v/>
      </c>
      <c r="F8843" s="9" t="str">
        <f>IF(DADOS!E8843="","",DADOS!E8843)</f>
        <v/>
      </c>
      <c r="G8843" s="9" t="str">
        <f>IF(DADOS!F8843="","",DADOS!F8843)</f>
        <v/>
      </c>
      <c r="K8843" s="6" t="str">
        <f t="shared" si="695"/>
        <v/>
      </c>
      <c r="L8843" s="7" t="str">
        <f t="shared" si="696"/>
        <v/>
      </c>
      <c r="M8843" s="7" t="str">
        <f t="shared" si="693"/>
        <v/>
      </c>
      <c r="N8843" s="7" t="str">
        <f t="shared" si="697"/>
        <v/>
      </c>
      <c r="O8843" s="8"/>
      <c r="P8843" s="26"/>
      <c r="S8843" s="10" t="str">
        <f t="shared" si="694"/>
        <v/>
      </c>
    </row>
    <row r="8844" spans="5:19" x14ac:dyDescent="0.3">
      <c r="E8844" s="9" t="str">
        <f>IF(DADOS!C8844="","",DADOS!C8844)</f>
        <v/>
      </c>
      <c r="F8844" s="9" t="str">
        <f>IF(DADOS!E8844="","",DADOS!E8844)</f>
        <v/>
      </c>
      <c r="G8844" s="9" t="str">
        <f>IF(DADOS!F8844="","",DADOS!F8844)</f>
        <v/>
      </c>
      <c r="K8844" s="6" t="str">
        <f t="shared" si="695"/>
        <v/>
      </c>
      <c r="L8844" s="7" t="str">
        <f t="shared" si="696"/>
        <v/>
      </c>
      <c r="M8844" s="7" t="str">
        <f t="shared" si="693"/>
        <v/>
      </c>
      <c r="N8844" s="7" t="str">
        <f t="shared" si="697"/>
        <v/>
      </c>
      <c r="O8844" s="8"/>
      <c r="P8844" s="26"/>
      <c r="S8844" s="10" t="str">
        <f t="shared" si="694"/>
        <v/>
      </c>
    </row>
    <row r="8845" spans="5:19" x14ac:dyDescent="0.3">
      <c r="E8845" s="9" t="str">
        <f>IF(DADOS!C8845="","",DADOS!C8845)</f>
        <v/>
      </c>
      <c r="F8845" s="9" t="str">
        <f>IF(DADOS!E8845="","",DADOS!E8845)</f>
        <v/>
      </c>
      <c r="G8845" s="9" t="str">
        <f>IF(DADOS!F8845="","",DADOS!F8845)</f>
        <v/>
      </c>
      <c r="K8845" s="6" t="str">
        <f t="shared" si="695"/>
        <v/>
      </c>
      <c r="L8845" s="7" t="str">
        <f t="shared" si="696"/>
        <v/>
      </c>
      <c r="M8845" s="7" t="str">
        <f t="shared" si="693"/>
        <v/>
      </c>
      <c r="N8845" s="7" t="str">
        <f t="shared" si="697"/>
        <v/>
      </c>
      <c r="O8845" s="8"/>
      <c r="P8845" s="26"/>
      <c r="S8845" s="10" t="str">
        <f t="shared" si="694"/>
        <v/>
      </c>
    </row>
    <row r="8846" spans="5:19" x14ac:dyDescent="0.3">
      <c r="E8846" s="9" t="str">
        <f>IF(DADOS!C8846="","",DADOS!C8846)</f>
        <v/>
      </c>
      <c r="F8846" s="9" t="str">
        <f>IF(DADOS!E8846="","",DADOS!E8846)</f>
        <v/>
      </c>
      <c r="G8846" s="9" t="str">
        <f>IF(DADOS!F8846="","",DADOS!F8846)</f>
        <v/>
      </c>
      <c r="K8846" s="6" t="str">
        <f t="shared" si="695"/>
        <v/>
      </c>
      <c r="L8846" s="7" t="str">
        <f t="shared" si="696"/>
        <v/>
      </c>
      <c r="M8846" s="7" t="str">
        <f t="shared" si="693"/>
        <v/>
      </c>
      <c r="N8846" s="7" t="str">
        <f t="shared" si="697"/>
        <v/>
      </c>
      <c r="O8846" s="8"/>
      <c r="P8846" s="26"/>
      <c r="S8846" s="10" t="str">
        <f t="shared" si="694"/>
        <v/>
      </c>
    </row>
    <row r="8847" spans="5:19" x14ac:dyDescent="0.3">
      <c r="E8847" s="9" t="str">
        <f>IF(DADOS!C8847="","",DADOS!C8847)</f>
        <v/>
      </c>
      <c r="F8847" s="9" t="str">
        <f>IF(DADOS!E8847="","",DADOS!E8847)</f>
        <v/>
      </c>
      <c r="G8847" s="9" t="str">
        <f>IF(DADOS!F8847="","",DADOS!F8847)</f>
        <v/>
      </c>
      <c r="K8847" s="6" t="str">
        <f t="shared" si="695"/>
        <v/>
      </c>
      <c r="L8847" s="7" t="str">
        <f t="shared" si="696"/>
        <v/>
      </c>
      <c r="M8847" s="7" t="str">
        <f t="shared" si="693"/>
        <v/>
      </c>
      <c r="N8847" s="7" t="str">
        <f t="shared" si="697"/>
        <v/>
      </c>
      <c r="O8847" s="8"/>
      <c r="P8847" s="26"/>
      <c r="S8847" s="10" t="str">
        <f t="shared" si="694"/>
        <v/>
      </c>
    </row>
    <row r="8848" spans="5:19" x14ac:dyDescent="0.3">
      <c r="E8848" s="9" t="str">
        <f>IF(DADOS!C8848="","",DADOS!C8848)</f>
        <v/>
      </c>
      <c r="F8848" s="9" t="str">
        <f>IF(DADOS!E8848="","",DADOS!E8848)</f>
        <v/>
      </c>
      <c r="G8848" s="9" t="str">
        <f>IF(DADOS!F8848="","",DADOS!F8848)</f>
        <v/>
      </c>
      <c r="K8848" s="6" t="str">
        <f t="shared" si="695"/>
        <v/>
      </c>
      <c r="L8848" s="7" t="str">
        <f t="shared" si="696"/>
        <v/>
      </c>
      <c r="M8848" s="7" t="str">
        <f t="shared" si="693"/>
        <v/>
      </c>
      <c r="N8848" s="7" t="str">
        <f t="shared" si="697"/>
        <v/>
      </c>
      <c r="O8848" s="8"/>
      <c r="P8848" s="26"/>
      <c r="S8848" s="10" t="str">
        <f t="shared" si="694"/>
        <v/>
      </c>
    </row>
    <row r="8849" spans="5:19" x14ac:dyDescent="0.3">
      <c r="E8849" s="9" t="str">
        <f>IF(DADOS!C8849="","",DADOS!C8849)</f>
        <v/>
      </c>
      <c r="F8849" s="9" t="str">
        <f>IF(DADOS!E8849="","",DADOS!E8849)</f>
        <v/>
      </c>
      <c r="G8849" s="9" t="str">
        <f>IF(DADOS!F8849="","",DADOS!F8849)</f>
        <v/>
      </c>
      <c r="K8849" s="6" t="str">
        <f t="shared" si="695"/>
        <v/>
      </c>
      <c r="L8849" s="7" t="str">
        <f t="shared" si="696"/>
        <v/>
      </c>
      <c r="M8849" s="7" t="str">
        <f t="shared" si="693"/>
        <v/>
      </c>
      <c r="N8849" s="7" t="str">
        <f t="shared" si="697"/>
        <v/>
      </c>
      <c r="O8849" s="8"/>
      <c r="P8849" s="26"/>
      <c r="S8849" s="10" t="str">
        <f t="shared" si="694"/>
        <v/>
      </c>
    </row>
    <row r="8850" spans="5:19" x14ac:dyDescent="0.3">
      <c r="E8850" s="9" t="str">
        <f>IF(DADOS!C8850="","",DADOS!C8850)</f>
        <v/>
      </c>
      <c r="F8850" s="9" t="str">
        <f>IF(DADOS!E8850="","",DADOS!E8850)</f>
        <v/>
      </c>
      <c r="G8850" s="9" t="str">
        <f>IF(DADOS!F8850="","",DADOS!F8850)</f>
        <v/>
      </c>
      <c r="K8850" s="6" t="str">
        <f t="shared" si="695"/>
        <v/>
      </c>
      <c r="L8850" s="7" t="str">
        <f t="shared" si="696"/>
        <v/>
      </c>
      <c r="M8850" s="7" t="str">
        <f t="shared" si="693"/>
        <v/>
      </c>
      <c r="N8850" s="7" t="str">
        <f t="shared" si="697"/>
        <v/>
      </c>
      <c r="O8850" s="8"/>
      <c r="P8850" s="26"/>
      <c r="S8850" s="10" t="str">
        <f t="shared" si="694"/>
        <v/>
      </c>
    </row>
    <row r="8851" spans="5:19" x14ac:dyDescent="0.3">
      <c r="E8851" s="9" t="str">
        <f>IF(DADOS!C8851="","",DADOS!C8851)</f>
        <v/>
      </c>
      <c r="F8851" s="9" t="str">
        <f>IF(DADOS!E8851="","",DADOS!E8851)</f>
        <v/>
      </c>
      <c r="G8851" s="9" t="str">
        <f>IF(DADOS!F8851="","",DADOS!F8851)</f>
        <v/>
      </c>
      <c r="K8851" s="6" t="str">
        <f t="shared" si="695"/>
        <v/>
      </c>
      <c r="L8851" s="7" t="str">
        <f t="shared" si="696"/>
        <v/>
      </c>
      <c r="M8851" s="7" t="str">
        <f t="shared" si="693"/>
        <v/>
      </c>
      <c r="N8851" s="7" t="str">
        <f t="shared" si="697"/>
        <v/>
      </c>
      <c r="O8851" s="8"/>
      <c r="P8851" s="26"/>
      <c r="S8851" s="10" t="str">
        <f t="shared" si="694"/>
        <v/>
      </c>
    </row>
    <row r="8852" spans="5:19" x14ac:dyDescent="0.3">
      <c r="E8852" s="9" t="str">
        <f>IF(DADOS!C8852="","",DADOS!C8852)</f>
        <v/>
      </c>
      <c r="F8852" s="9" t="str">
        <f>IF(DADOS!E8852="","",DADOS!E8852)</f>
        <v/>
      </c>
      <c r="G8852" s="9" t="str">
        <f>IF(DADOS!F8852="","",DADOS!F8852)</f>
        <v/>
      </c>
      <c r="K8852" s="6" t="str">
        <f t="shared" si="695"/>
        <v/>
      </c>
      <c r="L8852" s="7" t="str">
        <f t="shared" si="696"/>
        <v/>
      </c>
      <c r="M8852" s="7" t="str">
        <f t="shared" si="693"/>
        <v/>
      </c>
      <c r="N8852" s="7" t="str">
        <f t="shared" si="697"/>
        <v/>
      </c>
      <c r="O8852" s="8"/>
      <c r="P8852" s="26"/>
      <c r="S8852" s="10" t="str">
        <f t="shared" si="694"/>
        <v/>
      </c>
    </row>
    <row r="8853" spans="5:19" x14ac:dyDescent="0.3">
      <c r="E8853" s="9" t="str">
        <f>IF(DADOS!C8853="","",DADOS!C8853)</f>
        <v/>
      </c>
      <c r="F8853" s="9" t="str">
        <f>IF(DADOS!E8853="","",DADOS!E8853)</f>
        <v/>
      </c>
      <c r="G8853" s="9" t="str">
        <f>IF(DADOS!F8853="","",DADOS!F8853)</f>
        <v/>
      </c>
      <c r="K8853" s="6" t="str">
        <f t="shared" si="695"/>
        <v/>
      </c>
      <c r="L8853" s="7" t="str">
        <f t="shared" si="696"/>
        <v/>
      </c>
      <c r="M8853" s="7" t="str">
        <f t="shared" si="693"/>
        <v/>
      </c>
      <c r="N8853" s="7" t="str">
        <f t="shared" si="697"/>
        <v/>
      </c>
      <c r="O8853" s="8"/>
      <c r="P8853" s="26"/>
      <c r="S8853" s="10" t="str">
        <f t="shared" si="694"/>
        <v/>
      </c>
    </row>
    <row r="8854" spans="5:19" x14ac:dyDescent="0.3">
      <c r="E8854" s="9" t="str">
        <f>IF(DADOS!C8854="","",DADOS!C8854)</f>
        <v/>
      </c>
      <c r="F8854" s="9" t="str">
        <f>IF(DADOS!E8854="","",DADOS!E8854)</f>
        <v/>
      </c>
      <c r="G8854" s="9" t="str">
        <f>IF(DADOS!F8854="","",DADOS!F8854)</f>
        <v/>
      </c>
      <c r="K8854" s="6" t="str">
        <f t="shared" si="695"/>
        <v/>
      </c>
      <c r="L8854" s="7" t="str">
        <f t="shared" si="696"/>
        <v/>
      </c>
      <c r="M8854" s="7" t="str">
        <f t="shared" si="693"/>
        <v/>
      </c>
      <c r="N8854" s="7" t="str">
        <f t="shared" si="697"/>
        <v/>
      </c>
      <c r="O8854" s="8"/>
      <c r="P8854" s="26"/>
      <c r="S8854" s="10" t="str">
        <f t="shared" si="694"/>
        <v/>
      </c>
    </row>
    <row r="8855" spans="5:19" x14ac:dyDescent="0.3">
      <c r="E8855" s="9" t="str">
        <f>IF(DADOS!C8855="","",DADOS!C8855)</f>
        <v/>
      </c>
      <c r="F8855" s="9" t="str">
        <f>IF(DADOS!E8855="","",DADOS!E8855)</f>
        <v/>
      </c>
      <c r="G8855" s="9" t="str">
        <f>IF(DADOS!F8855="","",DADOS!F8855)</f>
        <v/>
      </c>
      <c r="K8855" s="6" t="str">
        <f t="shared" si="695"/>
        <v/>
      </c>
      <c r="L8855" s="7" t="str">
        <f t="shared" si="696"/>
        <v/>
      </c>
      <c r="M8855" s="7" t="str">
        <f t="shared" si="693"/>
        <v/>
      </c>
      <c r="N8855" s="7" t="str">
        <f t="shared" si="697"/>
        <v/>
      </c>
      <c r="O8855" s="8"/>
      <c r="P8855" s="26"/>
      <c r="S8855" s="10" t="str">
        <f t="shared" si="694"/>
        <v/>
      </c>
    </row>
    <row r="8856" spans="5:19" x14ac:dyDescent="0.3">
      <c r="E8856" s="9" t="str">
        <f>IF(DADOS!C8856="","",DADOS!C8856)</f>
        <v/>
      </c>
      <c r="F8856" s="9" t="str">
        <f>IF(DADOS!E8856="","",DADOS!E8856)</f>
        <v/>
      </c>
      <c r="G8856" s="9" t="str">
        <f>IF(DADOS!F8856="","",DADOS!F8856)</f>
        <v/>
      </c>
      <c r="K8856" s="6" t="str">
        <f t="shared" si="695"/>
        <v/>
      </c>
      <c r="L8856" s="7" t="str">
        <f t="shared" si="696"/>
        <v/>
      </c>
      <c r="M8856" s="7" t="str">
        <f t="shared" si="693"/>
        <v/>
      </c>
      <c r="N8856" s="7" t="str">
        <f t="shared" si="697"/>
        <v/>
      </c>
      <c r="O8856" s="8"/>
      <c r="P8856" s="26"/>
      <c r="S8856" s="10" t="str">
        <f t="shared" si="694"/>
        <v/>
      </c>
    </row>
    <row r="8857" spans="5:19" x14ac:dyDescent="0.3">
      <c r="E8857" s="9" t="str">
        <f>IF(DADOS!C8857="","",DADOS!C8857)</f>
        <v/>
      </c>
      <c r="F8857" s="9" t="str">
        <f>IF(DADOS!E8857="","",DADOS!E8857)</f>
        <v/>
      </c>
      <c r="G8857" s="9" t="str">
        <f>IF(DADOS!F8857="","",DADOS!F8857)</f>
        <v/>
      </c>
      <c r="K8857" s="6" t="str">
        <f t="shared" si="695"/>
        <v/>
      </c>
      <c r="L8857" s="7" t="str">
        <f t="shared" si="696"/>
        <v/>
      </c>
      <c r="M8857" s="7" t="str">
        <f t="shared" si="693"/>
        <v/>
      </c>
      <c r="N8857" s="7" t="str">
        <f t="shared" si="697"/>
        <v/>
      </c>
      <c r="O8857" s="8"/>
      <c r="P8857" s="26"/>
      <c r="S8857" s="10" t="str">
        <f t="shared" si="694"/>
        <v/>
      </c>
    </row>
    <row r="8858" spans="5:19" x14ac:dyDescent="0.3">
      <c r="E8858" s="9" t="str">
        <f>IF(DADOS!C8858="","",DADOS!C8858)</f>
        <v/>
      </c>
      <c r="F8858" s="9" t="str">
        <f>IF(DADOS!E8858="","",DADOS!E8858)</f>
        <v/>
      </c>
      <c r="G8858" s="9" t="str">
        <f>IF(DADOS!F8858="","",DADOS!F8858)</f>
        <v/>
      </c>
      <c r="K8858" s="6" t="str">
        <f t="shared" si="695"/>
        <v/>
      </c>
      <c r="L8858" s="7" t="str">
        <f t="shared" si="696"/>
        <v/>
      </c>
      <c r="M8858" s="7" t="str">
        <f t="shared" si="693"/>
        <v/>
      </c>
      <c r="N8858" s="7" t="str">
        <f t="shared" si="697"/>
        <v/>
      </c>
      <c r="O8858" s="8"/>
      <c r="P8858" s="26"/>
      <c r="S8858" s="10" t="str">
        <f t="shared" si="694"/>
        <v/>
      </c>
    </row>
    <row r="8859" spans="5:19" x14ac:dyDescent="0.3">
      <c r="E8859" s="9" t="str">
        <f>IF(DADOS!C8859="","",DADOS!C8859)</f>
        <v/>
      </c>
      <c r="F8859" s="9" t="str">
        <f>IF(DADOS!E8859="","",DADOS!E8859)</f>
        <v/>
      </c>
      <c r="G8859" s="9" t="str">
        <f>IF(DADOS!F8859="","",DADOS!F8859)</f>
        <v/>
      </c>
      <c r="K8859" s="6" t="str">
        <f t="shared" si="695"/>
        <v/>
      </c>
      <c r="L8859" s="7" t="str">
        <f t="shared" si="696"/>
        <v/>
      </c>
      <c r="M8859" s="7" t="str">
        <f t="shared" si="693"/>
        <v/>
      </c>
      <c r="N8859" s="7" t="str">
        <f t="shared" si="697"/>
        <v/>
      </c>
      <c r="O8859" s="8"/>
      <c r="P8859" s="26"/>
      <c r="S8859" s="10" t="str">
        <f t="shared" si="694"/>
        <v/>
      </c>
    </row>
    <row r="8860" spans="5:19" x14ac:dyDescent="0.3">
      <c r="E8860" s="9" t="str">
        <f>IF(DADOS!C8860="","",DADOS!C8860)</f>
        <v/>
      </c>
      <c r="F8860" s="9" t="str">
        <f>IF(DADOS!E8860="","",DADOS!E8860)</f>
        <v/>
      </c>
      <c r="G8860" s="9" t="str">
        <f>IF(DADOS!F8860="","",DADOS!F8860)</f>
        <v/>
      </c>
      <c r="K8860" s="6" t="str">
        <f t="shared" si="695"/>
        <v/>
      </c>
      <c r="L8860" s="7" t="str">
        <f t="shared" si="696"/>
        <v/>
      </c>
      <c r="M8860" s="7" t="str">
        <f t="shared" si="693"/>
        <v/>
      </c>
      <c r="N8860" s="7" t="str">
        <f t="shared" si="697"/>
        <v/>
      </c>
      <c r="O8860" s="8"/>
      <c r="P8860" s="26"/>
      <c r="S8860" s="10" t="str">
        <f t="shared" si="694"/>
        <v/>
      </c>
    </row>
    <row r="8861" spans="5:19" x14ac:dyDescent="0.3">
      <c r="E8861" s="9" t="str">
        <f>IF(DADOS!C8861="","",DADOS!C8861)</f>
        <v/>
      </c>
      <c r="F8861" s="9" t="str">
        <f>IF(DADOS!E8861="","",DADOS!E8861)</f>
        <v/>
      </c>
      <c r="G8861" s="9" t="str">
        <f>IF(DADOS!F8861="","",DADOS!F8861)</f>
        <v/>
      </c>
      <c r="K8861" s="6" t="str">
        <f t="shared" si="695"/>
        <v/>
      </c>
      <c r="L8861" s="7" t="str">
        <f t="shared" si="696"/>
        <v/>
      </c>
      <c r="M8861" s="7" t="str">
        <f t="shared" si="693"/>
        <v/>
      </c>
      <c r="N8861" s="7" t="str">
        <f t="shared" si="697"/>
        <v/>
      </c>
      <c r="O8861" s="8"/>
      <c r="P8861" s="26"/>
      <c r="S8861" s="10" t="str">
        <f t="shared" si="694"/>
        <v/>
      </c>
    </row>
    <row r="8862" spans="5:19" x14ac:dyDescent="0.3">
      <c r="E8862" s="9" t="str">
        <f>IF(DADOS!C8862="","",DADOS!C8862)</f>
        <v/>
      </c>
      <c r="F8862" s="9" t="str">
        <f>IF(DADOS!E8862="","",DADOS!E8862)</f>
        <v/>
      </c>
      <c r="G8862" s="9" t="str">
        <f>IF(DADOS!F8862="","",DADOS!F8862)</f>
        <v/>
      </c>
      <c r="K8862" s="6" t="str">
        <f t="shared" si="695"/>
        <v/>
      </c>
      <c r="L8862" s="7" t="str">
        <f t="shared" si="696"/>
        <v/>
      </c>
      <c r="M8862" s="7" t="str">
        <f t="shared" si="693"/>
        <v/>
      </c>
      <c r="N8862" s="7" t="str">
        <f t="shared" si="697"/>
        <v/>
      </c>
      <c r="O8862" s="8"/>
      <c r="P8862" s="26"/>
      <c r="S8862" s="10" t="str">
        <f t="shared" si="694"/>
        <v/>
      </c>
    </row>
    <row r="8863" spans="5:19" x14ac:dyDescent="0.3">
      <c r="E8863" s="9" t="str">
        <f>IF(DADOS!C8863="","",DADOS!C8863)</f>
        <v/>
      </c>
      <c r="F8863" s="9" t="str">
        <f>IF(DADOS!E8863="","",DADOS!E8863)</f>
        <v/>
      </c>
      <c r="G8863" s="9" t="str">
        <f>IF(DADOS!F8863="","",DADOS!F8863)</f>
        <v/>
      </c>
      <c r="K8863" s="6" t="str">
        <f t="shared" si="695"/>
        <v/>
      </c>
      <c r="L8863" s="7" t="str">
        <f t="shared" si="696"/>
        <v/>
      </c>
      <c r="M8863" s="7" t="str">
        <f t="shared" si="693"/>
        <v/>
      </c>
      <c r="N8863" s="7" t="str">
        <f t="shared" si="697"/>
        <v/>
      </c>
      <c r="O8863" s="8"/>
      <c r="P8863" s="26"/>
      <c r="S8863" s="10" t="str">
        <f t="shared" si="694"/>
        <v/>
      </c>
    </row>
    <row r="8864" spans="5:19" x14ac:dyDescent="0.3">
      <c r="E8864" s="9" t="str">
        <f>IF(DADOS!C8864="","",DADOS!C8864)</f>
        <v/>
      </c>
      <c r="F8864" s="9" t="str">
        <f>IF(DADOS!E8864="","",DADOS!E8864)</f>
        <v/>
      </c>
      <c r="G8864" s="9" t="str">
        <f>IF(DADOS!F8864="","",DADOS!F8864)</f>
        <v/>
      </c>
      <c r="K8864" s="6" t="str">
        <f t="shared" si="695"/>
        <v/>
      </c>
      <c r="L8864" s="7" t="str">
        <f t="shared" si="696"/>
        <v/>
      </c>
      <c r="M8864" s="7" t="str">
        <f t="shared" si="693"/>
        <v/>
      </c>
      <c r="N8864" s="7" t="str">
        <f t="shared" si="697"/>
        <v/>
      </c>
      <c r="O8864" s="8"/>
      <c r="P8864" s="26"/>
      <c r="S8864" s="10" t="str">
        <f t="shared" si="694"/>
        <v/>
      </c>
    </row>
    <row r="8865" spans="5:19" x14ac:dyDescent="0.3">
      <c r="E8865" s="9" t="str">
        <f>IF(DADOS!C8865="","",DADOS!C8865)</f>
        <v/>
      </c>
      <c r="F8865" s="9" t="str">
        <f>IF(DADOS!E8865="","",DADOS!E8865)</f>
        <v/>
      </c>
      <c r="G8865" s="9" t="str">
        <f>IF(DADOS!F8865="","",DADOS!F8865)</f>
        <v/>
      </c>
      <c r="K8865" s="6" t="str">
        <f t="shared" si="695"/>
        <v/>
      </c>
      <c r="L8865" s="7" t="str">
        <f t="shared" si="696"/>
        <v/>
      </c>
      <c r="M8865" s="7" t="str">
        <f t="shared" si="693"/>
        <v/>
      </c>
      <c r="N8865" s="7" t="str">
        <f t="shared" si="697"/>
        <v/>
      </c>
      <c r="O8865" s="8"/>
      <c r="P8865" s="26"/>
      <c r="S8865" s="10" t="str">
        <f t="shared" si="694"/>
        <v/>
      </c>
    </row>
    <row r="8866" spans="5:19" x14ac:dyDescent="0.3">
      <c r="E8866" s="9" t="str">
        <f>IF(DADOS!C8866="","",DADOS!C8866)</f>
        <v/>
      </c>
      <c r="F8866" s="9" t="str">
        <f>IF(DADOS!E8866="","",DADOS!E8866)</f>
        <v/>
      </c>
      <c r="G8866" s="9" t="str">
        <f>IF(DADOS!F8866="","",DADOS!F8866)</f>
        <v/>
      </c>
      <c r="K8866" s="6" t="str">
        <f t="shared" si="695"/>
        <v/>
      </c>
      <c r="L8866" s="7" t="str">
        <f t="shared" si="696"/>
        <v/>
      </c>
      <c r="M8866" s="7" t="str">
        <f t="shared" si="693"/>
        <v/>
      </c>
      <c r="N8866" s="7" t="str">
        <f t="shared" si="697"/>
        <v/>
      </c>
      <c r="O8866" s="8"/>
      <c r="P8866" s="26"/>
      <c r="S8866" s="10" t="str">
        <f t="shared" si="694"/>
        <v/>
      </c>
    </row>
    <row r="8867" spans="5:19" x14ac:dyDescent="0.3">
      <c r="E8867" s="9" t="str">
        <f>IF(DADOS!C8867="","",DADOS!C8867)</f>
        <v/>
      </c>
      <c r="F8867" s="9" t="str">
        <f>IF(DADOS!E8867="","",DADOS!E8867)</f>
        <v/>
      </c>
      <c r="G8867" s="9" t="str">
        <f>IF(DADOS!F8867="","",DADOS!F8867)</f>
        <v/>
      </c>
      <c r="K8867" s="6" t="str">
        <f t="shared" si="695"/>
        <v/>
      </c>
      <c r="L8867" s="7" t="str">
        <f t="shared" si="696"/>
        <v/>
      </c>
      <c r="M8867" s="7" t="str">
        <f t="shared" si="693"/>
        <v/>
      </c>
      <c r="N8867" s="7" t="str">
        <f t="shared" si="697"/>
        <v/>
      </c>
      <c r="O8867" s="8"/>
      <c r="P8867" s="26"/>
      <c r="S8867" s="10" t="str">
        <f t="shared" si="694"/>
        <v/>
      </c>
    </row>
    <row r="8868" spans="5:19" x14ac:dyDescent="0.3">
      <c r="E8868" s="9" t="str">
        <f>IF(DADOS!C8868="","",DADOS!C8868)</f>
        <v/>
      </c>
      <c r="F8868" s="9" t="str">
        <f>IF(DADOS!E8868="","",DADOS!E8868)</f>
        <v/>
      </c>
      <c r="G8868" s="9" t="str">
        <f>IF(DADOS!F8868="","",DADOS!F8868)</f>
        <v/>
      </c>
      <c r="K8868" s="6" t="str">
        <f t="shared" si="695"/>
        <v/>
      </c>
      <c r="L8868" s="7" t="str">
        <f t="shared" si="696"/>
        <v/>
      </c>
      <c r="M8868" s="7" t="str">
        <f t="shared" si="693"/>
        <v/>
      </c>
      <c r="N8868" s="7" t="str">
        <f t="shared" si="697"/>
        <v/>
      </c>
      <c r="O8868" s="8"/>
      <c r="P8868" s="26"/>
      <c r="S8868" s="10" t="str">
        <f t="shared" si="694"/>
        <v/>
      </c>
    </row>
    <row r="8869" spans="5:19" x14ac:dyDescent="0.3">
      <c r="E8869" s="9" t="str">
        <f>IF(DADOS!C8869="","",DADOS!C8869)</f>
        <v/>
      </c>
      <c r="F8869" s="9" t="str">
        <f>IF(DADOS!E8869="","",DADOS!E8869)</f>
        <v/>
      </c>
      <c r="G8869" s="9" t="str">
        <f>IF(DADOS!F8869="","",DADOS!F8869)</f>
        <v/>
      </c>
      <c r="K8869" s="6" t="str">
        <f t="shared" si="695"/>
        <v/>
      </c>
      <c r="L8869" s="7" t="str">
        <f t="shared" si="696"/>
        <v/>
      </c>
      <c r="M8869" s="7" t="str">
        <f t="shared" si="693"/>
        <v/>
      </c>
      <c r="N8869" s="7" t="str">
        <f t="shared" si="697"/>
        <v/>
      </c>
      <c r="O8869" s="8"/>
      <c r="P8869" s="26"/>
      <c r="S8869" s="10" t="str">
        <f t="shared" si="694"/>
        <v/>
      </c>
    </row>
    <row r="8870" spans="5:19" x14ac:dyDescent="0.3">
      <c r="E8870" s="9" t="str">
        <f>IF(DADOS!C8870="","",DADOS!C8870)</f>
        <v/>
      </c>
      <c r="F8870" s="9" t="str">
        <f>IF(DADOS!E8870="","",DADOS!E8870)</f>
        <v/>
      </c>
      <c r="G8870" s="9" t="str">
        <f>IF(DADOS!F8870="","",DADOS!F8870)</f>
        <v/>
      </c>
      <c r="K8870" s="6" t="str">
        <f t="shared" si="695"/>
        <v/>
      </c>
      <c r="L8870" s="7" t="str">
        <f t="shared" si="696"/>
        <v/>
      </c>
      <c r="M8870" s="7" t="str">
        <f t="shared" si="693"/>
        <v/>
      </c>
      <c r="N8870" s="7" t="str">
        <f t="shared" si="697"/>
        <v/>
      </c>
      <c r="O8870" s="8"/>
      <c r="P8870" s="26"/>
      <c r="S8870" s="10" t="str">
        <f t="shared" si="694"/>
        <v/>
      </c>
    </row>
    <row r="8871" spans="5:19" x14ac:dyDescent="0.3">
      <c r="E8871" s="9" t="str">
        <f>IF(DADOS!C8871="","",DADOS!C8871)</f>
        <v/>
      </c>
      <c r="F8871" s="9" t="str">
        <f>IF(DADOS!E8871="","",DADOS!E8871)</f>
        <v/>
      </c>
      <c r="G8871" s="9" t="str">
        <f>IF(DADOS!F8871="","",DADOS!F8871)</f>
        <v/>
      </c>
      <c r="K8871" s="6" t="str">
        <f t="shared" si="695"/>
        <v/>
      </c>
      <c r="L8871" s="7" t="str">
        <f t="shared" si="696"/>
        <v/>
      </c>
      <c r="M8871" s="7" t="str">
        <f t="shared" si="693"/>
        <v/>
      </c>
      <c r="N8871" s="7" t="str">
        <f t="shared" si="697"/>
        <v/>
      </c>
      <c r="O8871" s="8"/>
      <c r="P8871" s="26"/>
      <c r="S8871" s="10" t="str">
        <f t="shared" si="694"/>
        <v/>
      </c>
    </row>
    <row r="8872" spans="5:19" x14ac:dyDescent="0.3">
      <c r="E8872" s="9" t="str">
        <f>IF(DADOS!C8872="","",DADOS!C8872)</f>
        <v/>
      </c>
      <c r="F8872" s="9" t="str">
        <f>IF(DADOS!E8872="","",DADOS!E8872)</f>
        <v/>
      </c>
      <c r="G8872" s="9" t="str">
        <f>IF(DADOS!F8872="","",DADOS!F8872)</f>
        <v/>
      </c>
      <c r="K8872" s="6" t="str">
        <f t="shared" si="695"/>
        <v/>
      </c>
      <c r="L8872" s="7" t="str">
        <f t="shared" si="696"/>
        <v/>
      </c>
      <c r="M8872" s="7" t="str">
        <f t="shared" si="693"/>
        <v/>
      </c>
      <c r="N8872" s="7" t="str">
        <f t="shared" si="697"/>
        <v/>
      </c>
      <c r="O8872" s="8"/>
      <c r="P8872" s="26"/>
      <c r="S8872" s="10" t="str">
        <f t="shared" si="694"/>
        <v/>
      </c>
    </row>
    <row r="8873" spans="5:19" x14ac:dyDescent="0.3">
      <c r="E8873" s="9" t="str">
        <f>IF(DADOS!C8873="","",DADOS!C8873)</f>
        <v/>
      </c>
      <c r="F8873" s="9" t="str">
        <f>IF(DADOS!E8873="","",DADOS!E8873)</f>
        <v/>
      </c>
      <c r="G8873" s="9" t="str">
        <f>IF(DADOS!F8873="","",DADOS!F8873)</f>
        <v/>
      </c>
      <c r="K8873" s="6" t="str">
        <f t="shared" si="695"/>
        <v/>
      </c>
      <c r="L8873" s="7" t="str">
        <f t="shared" si="696"/>
        <v/>
      </c>
      <c r="M8873" s="7" t="str">
        <f t="shared" si="693"/>
        <v/>
      </c>
      <c r="N8873" s="7" t="str">
        <f t="shared" si="697"/>
        <v/>
      </c>
      <c r="O8873" s="8"/>
      <c r="P8873" s="26"/>
      <c r="S8873" s="10" t="str">
        <f t="shared" si="694"/>
        <v/>
      </c>
    </row>
    <row r="8874" spans="5:19" x14ac:dyDescent="0.3">
      <c r="E8874" s="9" t="str">
        <f>IF(DADOS!C8874="","",DADOS!C8874)</f>
        <v/>
      </c>
      <c r="F8874" s="9" t="str">
        <f>IF(DADOS!E8874="","",DADOS!E8874)</f>
        <v/>
      </c>
      <c r="G8874" s="9" t="str">
        <f>IF(DADOS!F8874="","",DADOS!F8874)</f>
        <v/>
      </c>
      <c r="K8874" s="6" t="str">
        <f t="shared" si="695"/>
        <v/>
      </c>
      <c r="L8874" s="7" t="str">
        <f t="shared" si="696"/>
        <v/>
      </c>
      <c r="M8874" s="7" t="str">
        <f t="shared" si="693"/>
        <v/>
      </c>
      <c r="N8874" s="7" t="str">
        <f t="shared" si="697"/>
        <v/>
      </c>
      <c r="O8874" s="8"/>
      <c r="P8874" s="26"/>
      <c r="S8874" s="10" t="str">
        <f t="shared" si="694"/>
        <v/>
      </c>
    </row>
    <row r="8875" spans="5:19" x14ac:dyDescent="0.3">
      <c r="E8875" s="9" t="str">
        <f>IF(DADOS!C8875="","",DADOS!C8875)</f>
        <v/>
      </c>
      <c r="F8875" s="9" t="str">
        <f>IF(DADOS!E8875="","",DADOS!E8875)</f>
        <v/>
      </c>
      <c r="G8875" s="9" t="str">
        <f>IF(DADOS!F8875="","",DADOS!F8875)</f>
        <v/>
      </c>
      <c r="K8875" s="6" t="str">
        <f t="shared" si="695"/>
        <v/>
      </c>
      <c r="L8875" s="7" t="str">
        <f t="shared" si="696"/>
        <v/>
      </c>
      <c r="M8875" s="7" t="str">
        <f t="shared" si="693"/>
        <v/>
      </c>
      <c r="N8875" s="7" t="str">
        <f t="shared" si="697"/>
        <v/>
      </c>
      <c r="O8875" s="8"/>
      <c r="P8875" s="26"/>
      <c r="S8875" s="10" t="str">
        <f t="shared" si="694"/>
        <v/>
      </c>
    </row>
    <row r="8876" spans="5:19" x14ac:dyDescent="0.3">
      <c r="E8876" s="9" t="str">
        <f>IF(DADOS!C8876="","",DADOS!C8876)</f>
        <v/>
      </c>
      <c r="F8876" s="9" t="str">
        <f>IF(DADOS!E8876="","",DADOS!E8876)</f>
        <v/>
      </c>
      <c r="G8876" s="9" t="str">
        <f>IF(DADOS!F8876="","",DADOS!F8876)</f>
        <v/>
      </c>
      <c r="K8876" s="6" t="str">
        <f t="shared" si="695"/>
        <v/>
      </c>
      <c r="L8876" s="7" t="str">
        <f t="shared" si="696"/>
        <v/>
      </c>
      <c r="M8876" s="7" t="str">
        <f t="shared" si="693"/>
        <v/>
      </c>
      <c r="N8876" s="7" t="str">
        <f t="shared" si="697"/>
        <v/>
      </c>
      <c r="O8876" s="8"/>
      <c r="P8876" s="26"/>
      <c r="S8876" s="10" t="str">
        <f t="shared" si="694"/>
        <v/>
      </c>
    </row>
    <row r="8877" spans="5:19" x14ac:dyDescent="0.3">
      <c r="E8877" s="9" t="str">
        <f>IF(DADOS!C8877="","",DADOS!C8877)</f>
        <v/>
      </c>
      <c r="F8877" s="9" t="str">
        <f>IF(DADOS!E8877="","",DADOS!E8877)</f>
        <v/>
      </c>
      <c r="G8877" s="9" t="str">
        <f>IF(DADOS!F8877="","",DADOS!F8877)</f>
        <v/>
      </c>
      <c r="K8877" s="6" t="str">
        <f t="shared" si="695"/>
        <v/>
      </c>
      <c r="L8877" s="7" t="str">
        <f t="shared" si="696"/>
        <v/>
      </c>
      <c r="M8877" s="7" t="str">
        <f t="shared" si="693"/>
        <v/>
      </c>
      <c r="N8877" s="7" t="str">
        <f t="shared" si="697"/>
        <v/>
      </c>
      <c r="O8877" s="8"/>
      <c r="P8877" s="26"/>
      <c r="S8877" s="10" t="str">
        <f t="shared" si="694"/>
        <v/>
      </c>
    </row>
    <row r="8878" spans="5:19" x14ac:dyDescent="0.3">
      <c r="E8878" s="9" t="str">
        <f>IF(DADOS!C8878="","",DADOS!C8878)</f>
        <v/>
      </c>
      <c r="F8878" s="9" t="str">
        <f>IF(DADOS!E8878="","",DADOS!E8878)</f>
        <v/>
      </c>
      <c r="G8878" s="9" t="str">
        <f>IF(DADOS!F8878="","",DADOS!F8878)</f>
        <v/>
      </c>
      <c r="K8878" s="6" t="str">
        <f t="shared" si="695"/>
        <v/>
      </c>
      <c r="L8878" s="7" t="str">
        <f t="shared" si="696"/>
        <v/>
      </c>
      <c r="M8878" s="7" t="str">
        <f t="shared" si="693"/>
        <v/>
      </c>
      <c r="N8878" s="7" t="str">
        <f t="shared" si="697"/>
        <v/>
      </c>
      <c r="O8878" s="8"/>
      <c r="P8878" s="26"/>
      <c r="S8878" s="10" t="str">
        <f t="shared" si="694"/>
        <v/>
      </c>
    </row>
    <row r="8879" spans="5:19" x14ac:dyDescent="0.3">
      <c r="E8879" s="9" t="str">
        <f>IF(DADOS!C8879="","",DADOS!C8879)</f>
        <v/>
      </c>
      <c r="F8879" s="9" t="str">
        <f>IF(DADOS!E8879="","",DADOS!E8879)</f>
        <v/>
      </c>
      <c r="G8879" s="9" t="str">
        <f>IF(DADOS!F8879="","",DADOS!F8879)</f>
        <v/>
      </c>
      <c r="K8879" s="6" t="str">
        <f t="shared" si="695"/>
        <v/>
      </c>
      <c r="L8879" s="7" t="str">
        <f t="shared" si="696"/>
        <v/>
      </c>
      <c r="M8879" s="7" t="str">
        <f t="shared" si="693"/>
        <v/>
      </c>
      <c r="N8879" s="7" t="str">
        <f t="shared" si="697"/>
        <v/>
      </c>
      <c r="O8879" s="8"/>
      <c r="P8879" s="26"/>
      <c r="S8879" s="10" t="str">
        <f t="shared" si="694"/>
        <v/>
      </c>
    </row>
    <row r="8880" spans="5:19" x14ac:dyDescent="0.3">
      <c r="E8880" s="9" t="str">
        <f>IF(DADOS!C8880="","",DADOS!C8880)</f>
        <v/>
      </c>
      <c r="F8880" s="9" t="str">
        <f>IF(DADOS!E8880="","",DADOS!E8880)</f>
        <v/>
      </c>
      <c r="G8880" s="9" t="str">
        <f>IF(DADOS!F8880="","",DADOS!F8880)</f>
        <v/>
      </c>
      <c r="K8880" s="6" t="str">
        <f t="shared" si="695"/>
        <v/>
      </c>
      <c r="L8880" s="7" t="str">
        <f t="shared" si="696"/>
        <v/>
      </c>
      <c r="M8880" s="7" t="str">
        <f t="shared" si="693"/>
        <v/>
      </c>
      <c r="N8880" s="7" t="str">
        <f t="shared" si="697"/>
        <v/>
      </c>
      <c r="O8880" s="8"/>
      <c r="P8880" s="26"/>
      <c r="S8880" s="10" t="str">
        <f t="shared" si="694"/>
        <v/>
      </c>
    </row>
    <row r="8881" spans="5:19" x14ac:dyDescent="0.3">
      <c r="E8881" s="9" t="str">
        <f>IF(DADOS!C8881="","",DADOS!C8881)</f>
        <v/>
      </c>
      <c r="F8881" s="9" t="str">
        <f>IF(DADOS!E8881="","",DADOS!E8881)</f>
        <v/>
      </c>
      <c r="G8881" s="9" t="str">
        <f>IF(DADOS!F8881="","",DADOS!F8881)</f>
        <v/>
      </c>
      <c r="K8881" s="6" t="str">
        <f t="shared" si="695"/>
        <v/>
      </c>
      <c r="L8881" s="7" t="str">
        <f t="shared" si="696"/>
        <v/>
      </c>
      <c r="M8881" s="7" t="str">
        <f t="shared" si="693"/>
        <v/>
      </c>
      <c r="N8881" s="7" t="str">
        <f t="shared" si="697"/>
        <v/>
      </c>
      <c r="O8881" s="8"/>
      <c r="P8881" s="26"/>
      <c r="S8881" s="10" t="str">
        <f t="shared" si="694"/>
        <v/>
      </c>
    </row>
    <row r="8882" spans="5:19" x14ac:dyDescent="0.3">
      <c r="E8882" s="9" t="str">
        <f>IF(DADOS!C8882="","",DADOS!C8882)</f>
        <v/>
      </c>
      <c r="F8882" s="9" t="str">
        <f>IF(DADOS!E8882="","",DADOS!E8882)</f>
        <v/>
      </c>
      <c r="G8882" s="9" t="str">
        <f>IF(DADOS!F8882="","",DADOS!F8882)</f>
        <v/>
      </c>
      <c r="K8882" s="6" t="str">
        <f t="shared" si="695"/>
        <v/>
      </c>
      <c r="L8882" s="7" t="str">
        <f t="shared" si="696"/>
        <v/>
      </c>
      <c r="M8882" s="7" t="str">
        <f t="shared" si="693"/>
        <v/>
      </c>
      <c r="N8882" s="7" t="str">
        <f t="shared" si="697"/>
        <v/>
      </c>
      <c r="O8882" s="8"/>
      <c r="P8882" s="26"/>
      <c r="S8882" s="10" t="str">
        <f t="shared" si="694"/>
        <v/>
      </c>
    </row>
    <row r="8883" spans="5:19" x14ac:dyDescent="0.3">
      <c r="E8883" s="9" t="str">
        <f>IF(DADOS!C8883="","",DADOS!C8883)</f>
        <v/>
      </c>
      <c r="F8883" s="9" t="str">
        <f>IF(DADOS!E8883="","",DADOS!E8883)</f>
        <v/>
      </c>
      <c r="G8883" s="9" t="str">
        <f>IF(DADOS!F8883="","",DADOS!F8883)</f>
        <v/>
      </c>
      <c r="K8883" s="6" t="str">
        <f t="shared" si="695"/>
        <v/>
      </c>
      <c r="L8883" s="7" t="str">
        <f t="shared" si="696"/>
        <v/>
      </c>
      <c r="M8883" s="7" t="str">
        <f t="shared" si="693"/>
        <v/>
      </c>
      <c r="N8883" s="7" t="str">
        <f t="shared" si="697"/>
        <v/>
      </c>
      <c r="O8883" s="8"/>
      <c r="P8883" s="26"/>
      <c r="S8883" s="10" t="str">
        <f t="shared" si="694"/>
        <v/>
      </c>
    </row>
    <row r="8884" spans="5:19" x14ac:dyDescent="0.3">
      <c r="E8884" s="9" t="str">
        <f>IF(DADOS!C8884="","",DADOS!C8884)</f>
        <v/>
      </c>
      <c r="F8884" s="9" t="str">
        <f>IF(DADOS!E8884="","",DADOS!E8884)</f>
        <v/>
      </c>
      <c r="G8884" s="9" t="str">
        <f>IF(DADOS!F8884="","",DADOS!F8884)</f>
        <v/>
      </c>
      <c r="K8884" s="6" t="str">
        <f t="shared" si="695"/>
        <v/>
      </c>
      <c r="L8884" s="7" t="str">
        <f t="shared" si="696"/>
        <v/>
      </c>
      <c r="M8884" s="7" t="str">
        <f t="shared" si="693"/>
        <v/>
      </c>
      <c r="N8884" s="7" t="str">
        <f t="shared" si="697"/>
        <v/>
      </c>
      <c r="O8884" s="8"/>
      <c r="P8884" s="26"/>
      <c r="S8884" s="10" t="str">
        <f t="shared" si="694"/>
        <v/>
      </c>
    </row>
    <row r="8885" spans="5:19" x14ac:dyDescent="0.3">
      <c r="E8885" s="9" t="str">
        <f>IF(DADOS!C8885="","",DADOS!C8885)</f>
        <v/>
      </c>
      <c r="F8885" s="9" t="str">
        <f>IF(DADOS!E8885="","",DADOS!E8885)</f>
        <v/>
      </c>
      <c r="G8885" s="9" t="str">
        <f>IF(DADOS!F8885="","",DADOS!F8885)</f>
        <v/>
      </c>
      <c r="K8885" s="6" t="str">
        <f t="shared" si="695"/>
        <v/>
      </c>
      <c r="L8885" s="7" t="str">
        <f t="shared" si="696"/>
        <v/>
      </c>
      <c r="M8885" s="7" t="str">
        <f t="shared" si="693"/>
        <v/>
      </c>
      <c r="N8885" s="7" t="str">
        <f t="shared" si="697"/>
        <v/>
      </c>
      <c r="O8885" s="8"/>
      <c r="P8885" s="26"/>
      <c r="S8885" s="10" t="str">
        <f t="shared" si="694"/>
        <v/>
      </c>
    </row>
    <row r="8886" spans="5:19" x14ac:dyDescent="0.3">
      <c r="E8886" s="9" t="str">
        <f>IF(DADOS!C8886="","",DADOS!C8886)</f>
        <v/>
      </c>
      <c r="F8886" s="9" t="str">
        <f>IF(DADOS!E8886="","",DADOS!E8886)</f>
        <v/>
      </c>
      <c r="G8886" s="9" t="str">
        <f>IF(DADOS!F8886="","",DADOS!F8886)</f>
        <v/>
      </c>
      <c r="K8886" s="6" t="str">
        <f t="shared" si="695"/>
        <v/>
      </c>
      <c r="L8886" s="7" t="str">
        <f t="shared" si="696"/>
        <v/>
      </c>
      <c r="M8886" s="7" t="str">
        <f t="shared" si="693"/>
        <v/>
      </c>
      <c r="N8886" s="7" t="str">
        <f t="shared" si="697"/>
        <v/>
      </c>
      <c r="O8886" s="8"/>
      <c r="P8886" s="26"/>
      <c r="S8886" s="10" t="str">
        <f t="shared" si="694"/>
        <v/>
      </c>
    </row>
    <row r="8887" spans="5:19" x14ac:dyDescent="0.3">
      <c r="E8887" s="9" t="str">
        <f>IF(DADOS!C8887="","",DADOS!C8887)</f>
        <v/>
      </c>
      <c r="F8887" s="9" t="str">
        <f>IF(DADOS!E8887="","",DADOS!E8887)</f>
        <v/>
      </c>
      <c r="G8887" s="9" t="str">
        <f>IF(DADOS!F8887="","",DADOS!F8887)</f>
        <v/>
      </c>
      <c r="K8887" s="6" t="str">
        <f t="shared" si="695"/>
        <v/>
      </c>
      <c r="L8887" s="7" t="str">
        <f t="shared" si="696"/>
        <v/>
      </c>
      <c r="M8887" s="7" t="str">
        <f t="shared" si="693"/>
        <v/>
      </c>
      <c r="N8887" s="7" t="str">
        <f t="shared" si="697"/>
        <v/>
      </c>
      <c r="O8887" s="8"/>
      <c r="P8887" s="26"/>
      <c r="S8887" s="10" t="str">
        <f t="shared" si="694"/>
        <v/>
      </c>
    </row>
    <row r="8888" spans="5:19" x14ac:dyDescent="0.3">
      <c r="E8888" s="9" t="str">
        <f>IF(DADOS!C8888="","",DADOS!C8888)</f>
        <v/>
      </c>
      <c r="F8888" s="9" t="str">
        <f>IF(DADOS!E8888="","",DADOS!E8888)</f>
        <v/>
      </c>
      <c r="G8888" s="9" t="str">
        <f>IF(DADOS!F8888="","",DADOS!F8888)</f>
        <v/>
      </c>
      <c r="K8888" s="6" t="str">
        <f t="shared" si="695"/>
        <v/>
      </c>
      <c r="L8888" s="7" t="str">
        <f t="shared" si="696"/>
        <v/>
      </c>
      <c r="M8888" s="7" t="str">
        <f t="shared" si="693"/>
        <v/>
      </c>
      <c r="N8888" s="7" t="str">
        <f t="shared" si="697"/>
        <v/>
      </c>
      <c r="O8888" s="8"/>
      <c r="P8888" s="26"/>
      <c r="S8888" s="10" t="str">
        <f t="shared" si="694"/>
        <v/>
      </c>
    </row>
    <row r="8889" spans="5:19" x14ac:dyDescent="0.3">
      <c r="E8889" s="9" t="str">
        <f>IF(DADOS!C8889="","",DADOS!C8889)</f>
        <v/>
      </c>
      <c r="F8889" s="9" t="str">
        <f>IF(DADOS!E8889="","",DADOS!E8889)</f>
        <v/>
      </c>
      <c r="G8889" s="9" t="str">
        <f>IF(DADOS!F8889="","",DADOS!F8889)</f>
        <v/>
      </c>
      <c r="K8889" s="6" t="str">
        <f t="shared" si="695"/>
        <v/>
      </c>
      <c r="L8889" s="7" t="str">
        <f t="shared" si="696"/>
        <v/>
      </c>
      <c r="M8889" s="7" t="str">
        <f t="shared" si="693"/>
        <v/>
      </c>
      <c r="N8889" s="7" t="str">
        <f t="shared" si="697"/>
        <v/>
      </c>
      <c r="O8889" s="8"/>
      <c r="P8889" s="26"/>
      <c r="S8889" s="10" t="str">
        <f t="shared" si="694"/>
        <v/>
      </c>
    </row>
    <row r="8890" spans="5:19" x14ac:dyDescent="0.3">
      <c r="E8890" s="9" t="str">
        <f>IF(DADOS!C8890="","",DADOS!C8890)</f>
        <v/>
      </c>
      <c r="F8890" s="9" t="str">
        <f>IF(DADOS!E8890="","",DADOS!E8890)</f>
        <v/>
      </c>
      <c r="G8890" s="9" t="str">
        <f>IF(DADOS!F8890="","",DADOS!F8890)</f>
        <v/>
      </c>
      <c r="K8890" s="6" t="str">
        <f t="shared" si="695"/>
        <v/>
      </c>
      <c r="L8890" s="7" t="str">
        <f t="shared" si="696"/>
        <v/>
      </c>
      <c r="M8890" s="7" t="str">
        <f t="shared" si="693"/>
        <v/>
      </c>
      <c r="N8890" s="7" t="str">
        <f t="shared" si="697"/>
        <v/>
      </c>
      <c r="O8890" s="8"/>
      <c r="P8890" s="26"/>
      <c r="S8890" s="10" t="str">
        <f t="shared" si="694"/>
        <v/>
      </c>
    </row>
    <row r="8891" spans="5:19" x14ac:dyDescent="0.3">
      <c r="E8891" s="9" t="str">
        <f>IF(DADOS!C8891="","",DADOS!C8891)</f>
        <v/>
      </c>
      <c r="F8891" s="9" t="str">
        <f>IF(DADOS!E8891="","",DADOS!E8891)</f>
        <v/>
      </c>
      <c r="G8891" s="9" t="str">
        <f>IF(DADOS!F8891="","",DADOS!F8891)</f>
        <v/>
      </c>
      <c r="K8891" s="6" t="str">
        <f t="shared" si="695"/>
        <v/>
      </c>
      <c r="L8891" s="7" t="str">
        <f t="shared" si="696"/>
        <v/>
      </c>
      <c r="M8891" s="7" t="str">
        <f t="shared" si="693"/>
        <v/>
      </c>
      <c r="N8891" s="7" t="str">
        <f t="shared" si="697"/>
        <v/>
      </c>
      <c r="O8891" s="8"/>
      <c r="P8891" s="26"/>
      <c r="S8891" s="10" t="str">
        <f t="shared" si="694"/>
        <v/>
      </c>
    </row>
    <row r="8892" spans="5:19" x14ac:dyDescent="0.3">
      <c r="E8892" s="9" t="str">
        <f>IF(DADOS!C8892="","",DADOS!C8892)</f>
        <v/>
      </c>
      <c r="F8892" s="9" t="str">
        <f>IF(DADOS!E8892="","",DADOS!E8892)</f>
        <v/>
      </c>
      <c r="G8892" s="9" t="str">
        <f>IF(DADOS!F8892="","",DADOS!F8892)</f>
        <v/>
      </c>
      <c r="K8892" s="6" t="str">
        <f t="shared" si="695"/>
        <v/>
      </c>
      <c r="L8892" s="7" t="str">
        <f t="shared" si="696"/>
        <v/>
      </c>
      <c r="M8892" s="7" t="str">
        <f t="shared" si="693"/>
        <v/>
      </c>
      <c r="N8892" s="7" t="str">
        <f t="shared" si="697"/>
        <v/>
      </c>
      <c r="O8892" s="8"/>
      <c r="P8892" s="26"/>
      <c r="S8892" s="10" t="str">
        <f t="shared" si="694"/>
        <v/>
      </c>
    </row>
    <row r="8893" spans="5:19" x14ac:dyDescent="0.3">
      <c r="E8893" s="9" t="str">
        <f>IF(DADOS!C8893="","",DADOS!C8893)</f>
        <v/>
      </c>
      <c r="F8893" s="9" t="str">
        <f>IF(DADOS!E8893="","",DADOS!E8893)</f>
        <v/>
      </c>
      <c r="G8893" s="9" t="str">
        <f>IF(DADOS!F8893="","",DADOS!F8893)</f>
        <v/>
      </c>
      <c r="K8893" s="6" t="str">
        <f t="shared" si="695"/>
        <v/>
      </c>
      <c r="L8893" s="7" t="str">
        <f t="shared" si="696"/>
        <v/>
      </c>
      <c r="M8893" s="7" t="str">
        <f t="shared" si="693"/>
        <v/>
      </c>
      <c r="N8893" s="7" t="str">
        <f t="shared" si="697"/>
        <v/>
      </c>
      <c r="O8893" s="8"/>
      <c r="P8893" s="26"/>
      <c r="S8893" s="10" t="str">
        <f t="shared" si="694"/>
        <v/>
      </c>
    </row>
    <row r="8894" spans="5:19" x14ac:dyDescent="0.3">
      <c r="E8894" s="9" t="str">
        <f>IF(DADOS!C8894="","",DADOS!C8894)</f>
        <v/>
      </c>
      <c r="F8894" s="9" t="str">
        <f>IF(DADOS!E8894="","",DADOS!E8894)</f>
        <v/>
      </c>
      <c r="G8894" s="9" t="str">
        <f>IF(DADOS!F8894="","",DADOS!F8894)</f>
        <v/>
      </c>
      <c r="K8894" s="6" t="str">
        <f t="shared" si="695"/>
        <v/>
      </c>
      <c r="L8894" s="7" t="str">
        <f t="shared" si="696"/>
        <v/>
      </c>
      <c r="M8894" s="7" t="str">
        <f t="shared" si="693"/>
        <v/>
      </c>
      <c r="N8894" s="7" t="str">
        <f t="shared" si="697"/>
        <v/>
      </c>
      <c r="O8894" s="8"/>
      <c r="P8894" s="26"/>
      <c r="S8894" s="10" t="str">
        <f t="shared" si="694"/>
        <v/>
      </c>
    </row>
    <row r="8895" spans="5:19" x14ac:dyDescent="0.3">
      <c r="E8895" s="9" t="str">
        <f>IF(DADOS!C8895="","",DADOS!C8895)</f>
        <v/>
      </c>
      <c r="F8895" s="9" t="str">
        <f>IF(DADOS!E8895="","",DADOS!E8895)</f>
        <v/>
      </c>
      <c r="G8895" s="9" t="str">
        <f>IF(DADOS!F8895="","",DADOS!F8895)</f>
        <v/>
      </c>
      <c r="K8895" s="6" t="str">
        <f t="shared" si="695"/>
        <v/>
      </c>
      <c r="L8895" s="7" t="str">
        <f t="shared" si="696"/>
        <v/>
      </c>
      <c r="M8895" s="7" t="str">
        <f t="shared" si="693"/>
        <v/>
      </c>
      <c r="N8895" s="7" t="str">
        <f t="shared" si="697"/>
        <v/>
      </c>
      <c r="O8895" s="8"/>
      <c r="P8895" s="26"/>
      <c r="S8895" s="10" t="str">
        <f t="shared" si="694"/>
        <v/>
      </c>
    </row>
    <row r="8896" spans="5:19" x14ac:dyDescent="0.3">
      <c r="E8896" s="9" t="str">
        <f>IF(DADOS!C8896="","",DADOS!C8896)</f>
        <v/>
      </c>
      <c r="F8896" s="9" t="str">
        <f>IF(DADOS!E8896="","",DADOS!E8896)</f>
        <v/>
      </c>
      <c r="G8896" s="9" t="str">
        <f>IF(DADOS!F8896="","",DADOS!F8896)</f>
        <v/>
      </c>
      <c r="K8896" s="6" t="str">
        <f t="shared" si="695"/>
        <v/>
      </c>
      <c r="L8896" s="7" t="str">
        <f t="shared" si="696"/>
        <v/>
      </c>
      <c r="M8896" s="7" t="str">
        <f t="shared" si="693"/>
        <v/>
      </c>
      <c r="N8896" s="7" t="str">
        <f t="shared" si="697"/>
        <v/>
      </c>
      <c r="O8896" s="8"/>
      <c r="P8896" s="26"/>
      <c r="S8896" s="10" t="str">
        <f t="shared" si="694"/>
        <v/>
      </c>
    </row>
    <row r="8897" spans="5:19" x14ac:dyDescent="0.3">
      <c r="E8897" s="9" t="str">
        <f>IF(DADOS!C8897="","",DADOS!C8897)</f>
        <v/>
      </c>
      <c r="F8897" s="9" t="str">
        <f>IF(DADOS!E8897="","",DADOS!E8897)</f>
        <v/>
      </c>
      <c r="G8897" s="9" t="str">
        <f>IF(DADOS!F8897="","",DADOS!F8897)</f>
        <v/>
      </c>
      <c r="K8897" s="6" t="str">
        <f t="shared" si="695"/>
        <v/>
      </c>
      <c r="L8897" s="7" t="str">
        <f t="shared" si="696"/>
        <v/>
      </c>
      <c r="M8897" s="7" t="str">
        <f t="shared" si="693"/>
        <v/>
      </c>
      <c r="N8897" s="7" t="str">
        <f t="shared" si="697"/>
        <v/>
      </c>
      <c r="O8897" s="8"/>
      <c r="P8897" s="26"/>
      <c r="S8897" s="10" t="str">
        <f t="shared" si="694"/>
        <v/>
      </c>
    </row>
    <row r="8898" spans="5:19" x14ac:dyDescent="0.3">
      <c r="E8898" s="9" t="str">
        <f>IF(DADOS!C8898="","",DADOS!C8898)</f>
        <v/>
      </c>
      <c r="F8898" s="9" t="str">
        <f>IF(DADOS!E8898="","",DADOS!E8898)</f>
        <v/>
      </c>
      <c r="G8898" s="9" t="str">
        <f>IF(DADOS!F8898="","",DADOS!F8898)</f>
        <v/>
      </c>
      <c r="K8898" s="6" t="str">
        <f t="shared" si="695"/>
        <v/>
      </c>
      <c r="L8898" s="7" t="str">
        <f t="shared" si="696"/>
        <v/>
      </c>
      <c r="M8898" s="7" t="str">
        <f t="shared" si="693"/>
        <v/>
      </c>
      <c r="N8898" s="7" t="str">
        <f t="shared" si="697"/>
        <v/>
      </c>
      <c r="O8898" s="8"/>
      <c r="P8898" s="26"/>
      <c r="S8898" s="10" t="str">
        <f t="shared" si="694"/>
        <v/>
      </c>
    </row>
    <row r="8899" spans="5:19" x14ac:dyDescent="0.3">
      <c r="E8899" s="9" t="str">
        <f>IF(DADOS!C8899="","",DADOS!C8899)</f>
        <v/>
      </c>
      <c r="F8899" s="9" t="str">
        <f>IF(DADOS!E8899="","",DADOS!E8899)</f>
        <v/>
      </c>
      <c r="G8899" s="9" t="str">
        <f>IF(DADOS!F8899="","",DADOS!F8899)</f>
        <v/>
      </c>
      <c r="K8899" s="6" t="str">
        <f t="shared" si="695"/>
        <v/>
      </c>
      <c r="L8899" s="7" t="str">
        <f t="shared" si="696"/>
        <v/>
      </c>
      <c r="M8899" s="7" t="str">
        <f t="shared" ref="M8899:M8962" si="698">IF(L8899="","",L8899*G8899)</f>
        <v/>
      </c>
      <c r="N8899" s="7" t="str">
        <f t="shared" si="697"/>
        <v/>
      </c>
      <c r="O8899" s="8"/>
      <c r="P8899" s="26"/>
      <c r="S8899" s="10" t="str">
        <f t="shared" ref="S8899:S8962" si="699">IF(R8899="","",SUMIFS($N$3:$N$10000,$E$3:$E$10000,R8899))</f>
        <v/>
      </c>
    </row>
    <row r="8900" spans="5:19" x14ac:dyDescent="0.3">
      <c r="E8900" s="9" t="str">
        <f>IF(DADOS!C8900="","",DADOS!C8900)</f>
        <v/>
      </c>
      <c r="F8900" s="9" t="str">
        <f>IF(DADOS!E8900="","",DADOS!E8900)</f>
        <v/>
      </c>
      <c r="G8900" s="9" t="str">
        <f>IF(DADOS!F8900="","",DADOS!F8900)</f>
        <v/>
      </c>
      <c r="K8900" s="6" t="str">
        <f t="shared" ref="K8900:K8963" si="700">IF(F8900="","",F8900/PI())</f>
        <v/>
      </c>
      <c r="L8900" s="7" t="str">
        <f t="shared" ref="L8900:L8963" si="701">IF(K8900="","",(PI()*K8900^2)/40000)</f>
        <v/>
      </c>
      <c r="M8900" s="7" t="str">
        <f t="shared" si="698"/>
        <v/>
      </c>
      <c r="N8900" s="7" t="str">
        <f t="shared" ref="N8900:N8963" si="702">IF(M8900="","",M8900*N$1)</f>
        <v/>
      </c>
      <c r="O8900" s="8"/>
      <c r="P8900" s="26"/>
      <c r="S8900" s="10" t="str">
        <f t="shared" si="699"/>
        <v/>
      </c>
    </row>
    <row r="8901" spans="5:19" x14ac:dyDescent="0.3">
      <c r="E8901" s="9" t="str">
        <f>IF(DADOS!C8901="","",DADOS!C8901)</f>
        <v/>
      </c>
      <c r="F8901" s="9" t="str">
        <f>IF(DADOS!E8901="","",DADOS!E8901)</f>
        <v/>
      </c>
      <c r="G8901" s="9" t="str">
        <f>IF(DADOS!F8901="","",DADOS!F8901)</f>
        <v/>
      </c>
      <c r="K8901" s="6" t="str">
        <f t="shared" si="700"/>
        <v/>
      </c>
      <c r="L8901" s="7" t="str">
        <f t="shared" si="701"/>
        <v/>
      </c>
      <c r="M8901" s="7" t="str">
        <f t="shared" si="698"/>
        <v/>
      </c>
      <c r="N8901" s="7" t="str">
        <f t="shared" si="702"/>
        <v/>
      </c>
      <c r="O8901" s="8"/>
      <c r="P8901" s="26"/>
      <c r="S8901" s="10" t="str">
        <f t="shared" si="699"/>
        <v/>
      </c>
    </row>
    <row r="8902" spans="5:19" x14ac:dyDescent="0.3">
      <c r="E8902" s="9" t="str">
        <f>IF(DADOS!C8902="","",DADOS!C8902)</f>
        <v/>
      </c>
      <c r="F8902" s="9" t="str">
        <f>IF(DADOS!E8902="","",DADOS!E8902)</f>
        <v/>
      </c>
      <c r="G8902" s="9" t="str">
        <f>IF(DADOS!F8902="","",DADOS!F8902)</f>
        <v/>
      </c>
      <c r="K8902" s="6" t="str">
        <f t="shared" si="700"/>
        <v/>
      </c>
      <c r="L8902" s="7" t="str">
        <f t="shared" si="701"/>
        <v/>
      </c>
      <c r="M8902" s="7" t="str">
        <f t="shared" si="698"/>
        <v/>
      </c>
      <c r="N8902" s="7" t="str">
        <f t="shared" si="702"/>
        <v/>
      </c>
      <c r="O8902" s="8"/>
      <c r="P8902" s="26"/>
      <c r="S8902" s="10" t="str">
        <f t="shared" si="699"/>
        <v/>
      </c>
    </row>
    <row r="8903" spans="5:19" x14ac:dyDescent="0.3">
      <c r="E8903" s="9" t="str">
        <f>IF(DADOS!C8903="","",DADOS!C8903)</f>
        <v/>
      </c>
      <c r="F8903" s="9" t="str">
        <f>IF(DADOS!E8903="","",DADOS!E8903)</f>
        <v/>
      </c>
      <c r="G8903" s="9" t="str">
        <f>IF(DADOS!F8903="","",DADOS!F8903)</f>
        <v/>
      </c>
      <c r="K8903" s="6" t="str">
        <f t="shared" si="700"/>
        <v/>
      </c>
      <c r="L8903" s="7" t="str">
        <f t="shared" si="701"/>
        <v/>
      </c>
      <c r="M8903" s="7" t="str">
        <f t="shared" si="698"/>
        <v/>
      </c>
      <c r="N8903" s="7" t="str">
        <f t="shared" si="702"/>
        <v/>
      </c>
      <c r="O8903" s="8"/>
      <c r="P8903" s="26"/>
      <c r="S8903" s="10" t="str">
        <f t="shared" si="699"/>
        <v/>
      </c>
    </row>
    <row r="8904" spans="5:19" x14ac:dyDescent="0.3">
      <c r="E8904" s="9" t="str">
        <f>IF(DADOS!C8904="","",DADOS!C8904)</f>
        <v/>
      </c>
      <c r="F8904" s="9" t="str">
        <f>IF(DADOS!E8904="","",DADOS!E8904)</f>
        <v/>
      </c>
      <c r="G8904" s="9" t="str">
        <f>IF(DADOS!F8904="","",DADOS!F8904)</f>
        <v/>
      </c>
      <c r="K8904" s="6" t="str">
        <f t="shared" si="700"/>
        <v/>
      </c>
      <c r="L8904" s="7" t="str">
        <f t="shared" si="701"/>
        <v/>
      </c>
      <c r="M8904" s="7" t="str">
        <f t="shared" si="698"/>
        <v/>
      </c>
      <c r="N8904" s="7" t="str">
        <f t="shared" si="702"/>
        <v/>
      </c>
      <c r="O8904" s="8"/>
      <c r="P8904" s="26"/>
      <c r="S8904" s="10" t="str">
        <f t="shared" si="699"/>
        <v/>
      </c>
    </row>
    <row r="8905" spans="5:19" x14ac:dyDescent="0.3">
      <c r="E8905" s="9" t="str">
        <f>IF(DADOS!C8905="","",DADOS!C8905)</f>
        <v/>
      </c>
      <c r="F8905" s="9" t="str">
        <f>IF(DADOS!E8905="","",DADOS!E8905)</f>
        <v/>
      </c>
      <c r="G8905" s="9" t="str">
        <f>IF(DADOS!F8905="","",DADOS!F8905)</f>
        <v/>
      </c>
      <c r="K8905" s="6" t="str">
        <f t="shared" si="700"/>
        <v/>
      </c>
      <c r="L8905" s="7" t="str">
        <f t="shared" si="701"/>
        <v/>
      </c>
      <c r="M8905" s="7" t="str">
        <f t="shared" si="698"/>
        <v/>
      </c>
      <c r="N8905" s="7" t="str">
        <f t="shared" si="702"/>
        <v/>
      </c>
      <c r="O8905" s="8"/>
      <c r="P8905" s="26"/>
      <c r="S8905" s="10" t="str">
        <f t="shared" si="699"/>
        <v/>
      </c>
    </row>
    <row r="8906" spans="5:19" x14ac:dyDescent="0.3">
      <c r="E8906" s="9" t="str">
        <f>IF(DADOS!C8906="","",DADOS!C8906)</f>
        <v/>
      </c>
      <c r="F8906" s="9" t="str">
        <f>IF(DADOS!E8906="","",DADOS!E8906)</f>
        <v/>
      </c>
      <c r="G8906" s="9" t="str">
        <f>IF(DADOS!F8906="","",DADOS!F8906)</f>
        <v/>
      </c>
      <c r="K8906" s="6" t="str">
        <f t="shared" si="700"/>
        <v/>
      </c>
      <c r="L8906" s="7" t="str">
        <f t="shared" si="701"/>
        <v/>
      </c>
      <c r="M8906" s="7" t="str">
        <f t="shared" si="698"/>
        <v/>
      </c>
      <c r="N8906" s="7" t="str">
        <f t="shared" si="702"/>
        <v/>
      </c>
      <c r="O8906" s="8"/>
      <c r="P8906" s="26"/>
      <c r="S8906" s="10" t="str">
        <f t="shared" si="699"/>
        <v/>
      </c>
    </row>
    <row r="8907" spans="5:19" x14ac:dyDescent="0.3">
      <c r="E8907" s="9" t="str">
        <f>IF(DADOS!C8907="","",DADOS!C8907)</f>
        <v/>
      </c>
      <c r="F8907" s="9" t="str">
        <f>IF(DADOS!E8907="","",DADOS!E8907)</f>
        <v/>
      </c>
      <c r="G8907" s="9" t="str">
        <f>IF(DADOS!F8907="","",DADOS!F8907)</f>
        <v/>
      </c>
      <c r="K8907" s="6" t="str">
        <f t="shared" si="700"/>
        <v/>
      </c>
      <c r="L8907" s="7" t="str">
        <f t="shared" si="701"/>
        <v/>
      </c>
      <c r="M8907" s="7" t="str">
        <f t="shared" si="698"/>
        <v/>
      </c>
      <c r="N8907" s="7" t="str">
        <f t="shared" si="702"/>
        <v/>
      </c>
      <c r="O8907" s="8"/>
      <c r="P8907" s="26"/>
      <c r="S8907" s="10" t="str">
        <f t="shared" si="699"/>
        <v/>
      </c>
    </row>
    <row r="8908" spans="5:19" x14ac:dyDescent="0.3">
      <c r="E8908" s="9" t="str">
        <f>IF(DADOS!C8908="","",DADOS!C8908)</f>
        <v/>
      </c>
      <c r="F8908" s="9" t="str">
        <f>IF(DADOS!E8908="","",DADOS!E8908)</f>
        <v/>
      </c>
      <c r="G8908" s="9" t="str">
        <f>IF(DADOS!F8908="","",DADOS!F8908)</f>
        <v/>
      </c>
      <c r="K8908" s="6" t="str">
        <f t="shared" si="700"/>
        <v/>
      </c>
      <c r="L8908" s="7" t="str">
        <f t="shared" si="701"/>
        <v/>
      </c>
      <c r="M8908" s="7" t="str">
        <f t="shared" si="698"/>
        <v/>
      </c>
      <c r="N8908" s="7" t="str">
        <f t="shared" si="702"/>
        <v/>
      </c>
      <c r="O8908" s="8"/>
      <c r="P8908" s="26"/>
      <c r="S8908" s="10" t="str">
        <f t="shared" si="699"/>
        <v/>
      </c>
    </row>
    <row r="8909" spans="5:19" x14ac:dyDescent="0.3">
      <c r="E8909" s="9" t="str">
        <f>IF(DADOS!C8909="","",DADOS!C8909)</f>
        <v/>
      </c>
      <c r="F8909" s="9" t="str">
        <f>IF(DADOS!E8909="","",DADOS!E8909)</f>
        <v/>
      </c>
      <c r="G8909" s="9" t="str">
        <f>IF(DADOS!F8909="","",DADOS!F8909)</f>
        <v/>
      </c>
      <c r="K8909" s="6" t="str">
        <f t="shared" si="700"/>
        <v/>
      </c>
      <c r="L8909" s="7" t="str">
        <f t="shared" si="701"/>
        <v/>
      </c>
      <c r="M8909" s="7" t="str">
        <f t="shared" si="698"/>
        <v/>
      </c>
      <c r="N8909" s="7" t="str">
        <f t="shared" si="702"/>
        <v/>
      </c>
      <c r="O8909" s="8"/>
      <c r="P8909" s="26"/>
      <c r="S8909" s="10" t="str">
        <f t="shared" si="699"/>
        <v/>
      </c>
    </row>
    <row r="8910" spans="5:19" x14ac:dyDescent="0.3">
      <c r="E8910" s="9" t="str">
        <f>IF(DADOS!C8910="","",DADOS!C8910)</f>
        <v/>
      </c>
      <c r="F8910" s="9" t="str">
        <f>IF(DADOS!E8910="","",DADOS!E8910)</f>
        <v/>
      </c>
      <c r="G8910" s="9" t="str">
        <f>IF(DADOS!F8910="","",DADOS!F8910)</f>
        <v/>
      </c>
      <c r="K8910" s="6" t="str">
        <f t="shared" si="700"/>
        <v/>
      </c>
      <c r="L8910" s="7" t="str">
        <f t="shared" si="701"/>
        <v/>
      </c>
      <c r="M8910" s="7" t="str">
        <f t="shared" si="698"/>
        <v/>
      </c>
      <c r="N8910" s="7" t="str">
        <f t="shared" si="702"/>
        <v/>
      </c>
      <c r="O8910" s="8"/>
      <c r="P8910" s="26"/>
      <c r="S8910" s="10" t="str">
        <f t="shared" si="699"/>
        <v/>
      </c>
    </row>
    <row r="8911" spans="5:19" x14ac:dyDescent="0.3">
      <c r="E8911" s="9" t="str">
        <f>IF(DADOS!C8911="","",DADOS!C8911)</f>
        <v/>
      </c>
      <c r="F8911" s="9" t="str">
        <f>IF(DADOS!E8911="","",DADOS!E8911)</f>
        <v/>
      </c>
      <c r="G8911" s="9" t="str">
        <f>IF(DADOS!F8911="","",DADOS!F8911)</f>
        <v/>
      </c>
      <c r="K8911" s="6" t="str">
        <f t="shared" si="700"/>
        <v/>
      </c>
      <c r="L8911" s="7" t="str">
        <f t="shared" si="701"/>
        <v/>
      </c>
      <c r="M8911" s="7" t="str">
        <f t="shared" si="698"/>
        <v/>
      </c>
      <c r="N8911" s="7" t="str">
        <f t="shared" si="702"/>
        <v/>
      </c>
      <c r="O8911" s="8"/>
      <c r="P8911" s="26"/>
      <c r="S8911" s="10" t="str">
        <f t="shared" si="699"/>
        <v/>
      </c>
    </row>
    <row r="8912" spans="5:19" x14ac:dyDescent="0.3">
      <c r="E8912" s="9" t="str">
        <f>IF(DADOS!C8912="","",DADOS!C8912)</f>
        <v/>
      </c>
      <c r="F8912" s="9" t="str">
        <f>IF(DADOS!E8912="","",DADOS!E8912)</f>
        <v/>
      </c>
      <c r="G8912" s="9" t="str">
        <f>IF(DADOS!F8912="","",DADOS!F8912)</f>
        <v/>
      </c>
      <c r="K8912" s="6" t="str">
        <f t="shared" si="700"/>
        <v/>
      </c>
      <c r="L8912" s="7" t="str">
        <f t="shared" si="701"/>
        <v/>
      </c>
      <c r="M8912" s="7" t="str">
        <f t="shared" si="698"/>
        <v/>
      </c>
      <c r="N8912" s="7" t="str">
        <f t="shared" si="702"/>
        <v/>
      </c>
      <c r="O8912" s="8"/>
      <c r="P8912" s="26"/>
      <c r="S8912" s="10" t="str">
        <f t="shared" si="699"/>
        <v/>
      </c>
    </row>
    <row r="8913" spans="5:19" x14ac:dyDescent="0.3">
      <c r="E8913" s="9" t="str">
        <f>IF(DADOS!C8913="","",DADOS!C8913)</f>
        <v/>
      </c>
      <c r="F8913" s="9" t="str">
        <f>IF(DADOS!E8913="","",DADOS!E8913)</f>
        <v/>
      </c>
      <c r="G8913" s="9" t="str">
        <f>IF(DADOS!F8913="","",DADOS!F8913)</f>
        <v/>
      </c>
      <c r="K8913" s="6" t="str">
        <f t="shared" si="700"/>
        <v/>
      </c>
      <c r="L8913" s="7" t="str">
        <f t="shared" si="701"/>
        <v/>
      </c>
      <c r="M8913" s="7" t="str">
        <f t="shared" si="698"/>
        <v/>
      </c>
      <c r="N8913" s="7" t="str">
        <f t="shared" si="702"/>
        <v/>
      </c>
      <c r="O8913" s="8"/>
      <c r="P8913" s="26"/>
      <c r="S8913" s="10" t="str">
        <f t="shared" si="699"/>
        <v/>
      </c>
    </row>
    <row r="8914" spans="5:19" x14ac:dyDescent="0.3">
      <c r="E8914" s="9" t="str">
        <f>IF(DADOS!C8914="","",DADOS!C8914)</f>
        <v/>
      </c>
      <c r="F8914" s="9" t="str">
        <f>IF(DADOS!E8914="","",DADOS!E8914)</f>
        <v/>
      </c>
      <c r="G8914" s="9" t="str">
        <f>IF(DADOS!F8914="","",DADOS!F8914)</f>
        <v/>
      </c>
      <c r="K8914" s="6" t="str">
        <f t="shared" si="700"/>
        <v/>
      </c>
      <c r="L8914" s="7" t="str">
        <f t="shared" si="701"/>
        <v/>
      </c>
      <c r="M8914" s="7" t="str">
        <f t="shared" si="698"/>
        <v/>
      </c>
      <c r="N8914" s="7" t="str">
        <f t="shared" si="702"/>
        <v/>
      </c>
      <c r="O8914" s="8"/>
      <c r="P8914" s="26"/>
      <c r="S8914" s="10" t="str">
        <f t="shared" si="699"/>
        <v/>
      </c>
    </row>
    <row r="8915" spans="5:19" x14ac:dyDescent="0.3">
      <c r="E8915" s="9" t="str">
        <f>IF(DADOS!C8915="","",DADOS!C8915)</f>
        <v/>
      </c>
      <c r="F8915" s="9" t="str">
        <f>IF(DADOS!E8915="","",DADOS!E8915)</f>
        <v/>
      </c>
      <c r="G8915" s="9" t="str">
        <f>IF(DADOS!F8915="","",DADOS!F8915)</f>
        <v/>
      </c>
      <c r="K8915" s="6" t="str">
        <f t="shared" si="700"/>
        <v/>
      </c>
      <c r="L8915" s="7" t="str">
        <f t="shared" si="701"/>
        <v/>
      </c>
      <c r="M8915" s="7" t="str">
        <f t="shared" si="698"/>
        <v/>
      </c>
      <c r="N8915" s="7" t="str">
        <f t="shared" si="702"/>
        <v/>
      </c>
      <c r="O8915" s="8"/>
      <c r="P8915" s="26"/>
      <c r="S8915" s="10" t="str">
        <f t="shared" si="699"/>
        <v/>
      </c>
    </row>
    <row r="8916" spans="5:19" x14ac:dyDescent="0.3">
      <c r="E8916" s="9" t="str">
        <f>IF(DADOS!C8916="","",DADOS!C8916)</f>
        <v/>
      </c>
      <c r="F8916" s="9" t="str">
        <f>IF(DADOS!E8916="","",DADOS!E8916)</f>
        <v/>
      </c>
      <c r="G8916" s="9" t="str">
        <f>IF(DADOS!F8916="","",DADOS!F8916)</f>
        <v/>
      </c>
      <c r="K8916" s="6" t="str">
        <f t="shared" si="700"/>
        <v/>
      </c>
      <c r="L8916" s="7" t="str">
        <f t="shared" si="701"/>
        <v/>
      </c>
      <c r="M8916" s="7" t="str">
        <f t="shared" si="698"/>
        <v/>
      </c>
      <c r="N8916" s="7" t="str">
        <f t="shared" si="702"/>
        <v/>
      </c>
      <c r="O8916" s="8"/>
      <c r="P8916" s="26"/>
      <c r="S8916" s="10" t="str">
        <f t="shared" si="699"/>
        <v/>
      </c>
    </row>
    <row r="8917" spans="5:19" x14ac:dyDescent="0.3">
      <c r="E8917" s="9" t="str">
        <f>IF(DADOS!C8917="","",DADOS!C8917)</f>
        <v/>
      </c>
      <c r="F8917" s="9" t="str">
        <f>IF(DADOS!E8917="","",DADOS!E8917)</f>
        <v/>
      </c>
      <c r="G8917" s="9" t="str">
        <f>IF(DADOS!F8917="","",DADOS!F8917)</f>
        <v/>
      </c>
      <c r="K8917" s="6" t="str">
        <f t="shared" si="700"/>
        <v/>
      </c>
      <c r="L8917" s="7" t="str">
        <f t="shared" si="701"/>
        <v/>
      </c>
      <c r="M8917" s="7" t="str">
        <f t="shared" si="698"/>
        <v/>
      </c>
      <c r="N8917" s="7" t="str">
        <f t="shared" si="702"/>
        <v/>
      </c>
      <c r="O8917" s="8"/>
      <c r="P8917" s="26"/>
      <c r="S8917" s="10" t="str">
        <f t="shared" si="699"/>
        <v/>
      </c>
    </row>
    <row r="8918" spans="5:19" x14ac:dyDescent="0.3">
      <c r="E8918" s="9" t="str">
        <f>IF(DADOS!C8918="","",DADOS!C8918)</f>
        <v/>
      </c>
      <c r="F8918" s="9" t="str">
        <f>IF(DADOS!E8918="","",DADOS!E8918)</f>
        <v/>
      </c>
      <c r="G8918" s="9" t="str">
        <f>IF(DADOS!F8918="","",DADOS!F8918)</f>
        <v/>
      </c>
      <c r="K8918" s="6" t="str">
        <f t="shared" si="700"/>
        <v/>
      </c>
      <c r="L8918" s="7" t="str">
        <f t="shared" si="701"/>
        <v/>
      </c>
      <c r="M8918" s="7" t="str">
        <f t="shared" si="698"/>
        <v/>
      </c>
      <c r="N8918" s="7" t="str">
        <f t="shared" si="702"/>
        <v/>
      </c>
      <c r="O8918" s="8"/>
      <c r="P8918" s="26"/>
      <c r="S8918" s="10" t="str">
        <f t="shared" si="699"/>
        <v/>
      </c>
    </row>
    <row r="8919" spans="5:19" x14ac:dyDescent="0.3">
      <c r="E8919" s="9" t="str">
        <f>IF(DADOS!C8919="","",DADOS!C8919)</f>
        <v/>
      </c>
      <c r="F8919" s="9" t="str">
        <f>IF(DADOS!E8919="","",DADOS!E8919)</f>
        <v/>
      </c>
      <c r="G8919" s="9" t="str">
        <f>IF(DADOS!F8919="","",DADOS!F8919)</f>
        <v/>
      </c>
      <c r="K8919" s="6" t="str">
        <f t="shared" si="700"/>
        <v/>
      </c>
      <c r="L8919" s="7" t="str">
        <f t="shared" si="701"/>
        <v/>
      </c>
      <c r="M8919" s="7" t="str">
        <f t="shared" si="698"/>
        <v/>
      </c>
      <c r="N8919" s="7" t="str">
        <f t="shared" si="702"/>
        <v/>
      </c>
      <c r="O8919" s="8"/>
      <c r="P8919" s="26"/>
      <c r="S8919" s="10" t="str">
        <f t="shared" si="699"/>
        <v/>
      </c>
    </row>
    <row r="8920" spans="5:19" x14ac:dyDescent="0.3">
      <c r="E8920" s="9" t="str">
        <f>IF(DADOS!C8920="","",DADOS!C8920)</f>
        <v/>
      </c>
      <c r="F8920" s="9" t="str">
        <f>IF(DADOS!E8920="","",DADOS!E8920)</f>
        <v/>
      </c>
      <c r="G8920" s="9" t="str">
        <f>IF(DADOS!F8920="","",DADOS!F8920)</f>
        <v/>
      </c>
      <c r="K8920" s="6" t="str">
        <f t="shared" si="700"/>
        <v/>
      </c>
      <c r="L8920" s="7" t="str">
        <f t="shared" si="701"/>
        <v/>
      </c>
      <c r="M8920" s="7" t="str">
        <f t="shared" si="698"/>
        <v/>
      </c>
      <c r="N8920" s="7" t="str">
        <f t="shared" si="702"/>
        <v/>
      </c>
      <c r="O8920" s="8"/>
      <c r="P8920" s="26"/>
      <c r="S8920" s="10" t="str">
        <f t="shared" si="699"/>
        <v/>
      </c>
    </row>
    <row r="8921" spans="5:19" x14ac:dyDescent="0.3">
      <c r="E8921" s="9" t="str">
        <f>IF(DADOS!C8921="","",DADOS!C8921)</f>
        <v/>
      </c>
      <c r="F8921" s="9" t="str">
        <f>IF(DADOS!E8921="","",DADOS!E8921)</f>
        <v/>
      </c>
      <c r="G8921" s="9" t="str">
        <f>IF(DADOS!F8921="","",DADOS!F8921)</f>
        <v/>
      </c>
      <c r="K8921" s="6" t="str">
        <f t="shared" si="700"/>
        <v/>
      </c>
      <c r="L8921" s="7" t="str">
        <f t="shared" si="701"/>
        <v/>
      </c>
      <c r="M8921" s="7" t="str">
        <f t="shared" si="698"/>
        <v/>
      </c>
      <c r="N8921" s="7" t="str">
        <f t="shared" si="702"/>
        <v/>
      </c>
      <c r="O8921" s="8"/>
      <c r="P8921" s="26"/>
      <c r="S8921" s="10" t="str">
        <f t="shared" si="699"/>
        <v/>
      </c>
    </row>
    <row r="8922" spans="5:19" x14ac:dyDescent="0.3">
      <c r="E8922" s="9" t="str">
        <f>IF(DADOS!C8922="","",DADOS!C8922)</f>
        <v/>
      </c>
      <c r="F8922" s="9" t="str">
        <f>IF(DADOS!E8922="","",DADOS!E8922)</f>
        <v/>
      </c>
      <c r="G8922" s="9" t="str">
        <f>IF(DADOS!F8922="","",DADOS!F8922)</f>
        <v/>
      </c>
      <c r="K8922" s="6" t="str">
        <f t="shared" si="700"/>
        <v/>
      </c>
      <c r="L8922" s="7" t="str">
        <f t="shared" si="701"/>
        <v/>
      </c>
      <c r="M8922" s="7" t="str">
        <f t="shared" si="698"/>
        <v/>
      </c>
      <c r="N8922" s="7" t="str">
        <f t="shared" si="702"/>
        <v/>
      </c>
      <c r="O8922" s="8"/>
      <c r="P8922" s="26"/>
      <c r="S8922" s="10" t="str">
        <f t="shared" si="699"/>
        <v/>
      </c>
    </row>
    <row r="8923" spans="5:19" x14ac:dyDescent="0.3">
      <c r="E8923" s="9" t="str">
        <f>IF(DADOS!C8923="","",DADOS!C8923)</f>
        <v/>
      </c>
      <c r="F8923" s="9" t="str">
        <f>IF(DADOS!E8923="","",DADOS!E8923)</f>
        <v/>
      </c>
      <c r="G8923" s="9" t="str">
        <f>IF(DADOS!F8923="","",DADOS!F8923)</f>
        <v/>
      </c>
      <c r="K8923" s="6" t="str">
        <f t="shared" si="700"/>
        <v/>
      </c>
      <c r="L8923" s="7" t="str">
        <f t="shared" si="701"/>
        <v/>
      </c>
      <c r="M8923" s="7" t="str">
        <f t="shared" si="698"/>
        <v/>
      </c>
      <c r="N8923" s="7" t="str">
        <f t="shared" si="702"/>
        <v/>
      </c>
      <c r="O8923" s="8"/>
      <c r="P8923" s="26"/>
      <c r="S8923" s="10" t="str">
        <f t="shared" si="699"/>
        <v/>
      </c>
    </row>
    <row r="8924" spans="5:19" x14ac:dyDescent="0.3">
      <c r="E8924" s="9" t="str">
        <f>IF(DADOS!C8924="","",DADOS!C8924)</f>
        <v/>
      </c>
      <c r="F8924" s="9" t="str">
        <f>IF(DADOS!E8924="","",DADOS!E8924)</f>
        <v/>
      </c>
      <c r="G8924" s="9" t="str">
        <f>IF(DADOS!F8924="","",DADOS!F8924)</f>
        <v/>
      </c>
      <c r="K8924" s="6" t="str">
        <f t="shared" si="700"/>
        <v/>
      </c>
      <c r="L8924" s="7" t="str">
        <f t="shared" si="701"/>
        <v/>
      </c>
      <c r="M8924" s="7" t="str">
        <f t="shared" si="698"/>
        <v/>
      </c>
      <c r="N8924" s="7" t="str">
        <f t="shared" si="702"/>
        <v/>
      </c>
      <c r="O8924" s="8"/>
      <c r="P8924" s="26"/>
      <c r="S8924" s="10" t="str">
        <f t="shared" si="699"/>
        <v/>
      </c>
    </row>
    <row r="8925" spans="5:19" x14ac:dyDescent="0.3">
      <c r="E8925" s="9" t="str">
        <f>IF(DADOS!C8925="","",DADOS!C8925)</f>
        <v/>
      </c>
      <c r="F8925" s="9" t="str">
        <f>IF(DADOS!E8925="","",DADOS!E8925)</f>
        <v/>
      </c>
      <c r="G8925" s="9" t="str">
        <f>IF(DADOS!F8925="","",DADOS!F8925)</f>
        <v/>
      </c>
      <c r="K8925" s="6" t="str">
        <f t="shared" si="700"/>
        <v/>
      </c>
      <c r="L8925" s="7" t="str">
        <f t="shared" si="701"/>
        <v/>
      </c>
      <c r="M8925" s="7" t="str">
        <f t="shared" si="698"/>
        <v/>
      </c>
      <c r="N8925" s="7" t="str">
        <f t="shared" si="702"/>
        <v/>
      </c>
      <c r="O8925" s="8"/>
      <c r="P8925" s="26"/>
      <c r="S8925" s="10" t="str">
        <f t="shared" si="699"/>
        <v/>
      </c>
    </row>
    <row r="8926" spans="5:19" x14ac:dyDescent="0.3">
      <c r="E8926" s="9" t="str">
        <f>IF(DADOS!C8926="","",DADOS!C8926)</f>
        <v/>
      </c>
      <c r="F8926" s="9" t="str">
        <f>IF(DADOS!E8926="","",DADOS!E8926)</f>
        <v/>
      </c>
      <c r="G8926" s="9" t="str">
        <f>IF(DADOS!F8926="","",DADOS!F8926)</f>
        <v/>
      </c>
      <c r="K8926" s="6" t="str">
        <f t="shared" si="700"/>
        <v/>
      </c>
      <c r="L8926" s="7" t="str">
        <f t="shared" si="701"/>
        <v/>
      </c>
      <c r="M8926" s="7" t="str">
        <f t="shared" si="698"/>
        <v/>
      </c>
      <c r="N8926" s="7" t="str">
        <f t="shared" si="702"/>
        <v/>
      </c>
      <c r="O8926" s="8"/>
      <c r="P8926" s="26"/>
      <c r="S8926" s="10" t="str">
        <f t="shared" si="699"/>
        <v/>
      </c>
    </row>
    <row r="8927" spans="5:19" x14ac:dyDescent="0.3">
      <c r="E8927" s="9" t="str">
        <f>IF(DADOS!C8927="","",DADOS!C8927)</f>
        <v/>
      </c>
      <c r="F8927" s="9" t="str">
        <f>IF(DADOS!E8927="","",DADOS!E8927)</f>
        <v/>
      </c>
      <c r="G8927" s="9" t="str">
        <f>IF(DADOS!F8927="","",DADOS!F8927)</f>
        <v/>
      </c>
      <c r="K8927" s="6" t="str">
        <f t="shared" si="700"/>
        <v/>
      </c>
      <c r="L8927" s="7" t="str">
        <f t="shared" si="701"/>
        <v/>
      </c>
      <c r="M8927" s="7" t="str">
        <f t="shared" si="698"/>
        <v/>
      </c>
      <c r="N8927" s="7" t="str">
        <f t="shared" si="702"/>
        <v/>
      </c>
      <c r="O8927" s="8"/>
      <c r="P8927" s="26"/>
      <c r="S8927" s="10" t="str">
        <f t="shared" si="699"/>
        <v/>
      </c>
    </row>
    <row r="8928" spans="5:19" x14ac:dyDescent="0.3">
      <c r="E8928" s="9" t="str">
        <f>IF(DADOS!C8928="","",DADOS!C8928)</f>
        <v/>
      </c>
      <c r="F8928" s="9" t="str">
        <f>IF(DADOS!E8928="","",DADOS!E8928)</f>
        <v/>
      </c>
      <c r="G8928" s="9" t="str">
        <f>IF(DADOS!F8928="","",DADOS!F8928)</f>
        <v/>
      </c>
      <c r="K8928" s="6" t="str">
        <f t="shared" si="700"/>
        <v/>
      </c>
      <c r="L8928" s="7" t="str">
        <f t="shared" si="701"/>
        <v/>
      </c>
      <c r="M8928" s="7" t="str">
        <f t="shared" si="698"/>
        <v/>
      </c>
      <c r="N8928" s="7" t="str">
        <f t="shared" si="702"/>
        <v/>
      </c>
      <c r="O8928" s="8"/>
      <c r="P8928" s="26"/>
      <c r="S8928" s="10" t="str">
        <f t="shared" si="699"/>
        <v/>
      </c>
    </row>
    <row r="8929" spans="5:19" x14ac:dyDescent="0.3">
      <c r="E8929" s="9" t="str">
        <f>IF(DADOS!C8929="","",DADOS!C8929)</f>
        <v/>
      </c>
      <c r="F8929" s="9" t="str">
        <f>IF(DADOS!E8929="","",DADOS!E8929)</f>
        <v/>
      </c>
      <c r="G8929" s="9" t="str">
        <f>IF(DADOS!F8929="","",DADOS!F8929)</f>
        <v/>
      </c>
      <c r="K8929" s="6" t="str">
        <f t="shared" si="700"/>
        <v/>
      </c>
      <c r="L8929" s="7" t="str">
        <f t="shared" si="701"/>
        <v/>
      </c>
      <c r="M8929" s="7" t="str">
        <f t="shared" si="698"/>
        <v/>
      </c>
      <c r="N8929" s="7" t="str">
        <f t="shared" si="702"/>
        <v/>
      </c>
      <c r="O8929" s="8"/>
      <c r="P8929" s="26"/>
      <c r="S8929" s="10" t="str">
        <f t="shared" si="699"/>
        <v/>
      </c>
    </row>
    <row r="8930" spans="5:19" x14ac:dyDescent="0.3">
      <c r="E8930" s="9" t="str">
        <f>IF(DADOS!C8930="","",DADOS!C8930)</f>
        <v/>
      </c>
      <c r="F8930" s="9" t="str">
        <f>IF(DADOS!E8930="","",DADOS!E8930)</f>
        <v/>
      </c>
      <c r="G8930" s="9" t="str">
        <f>IF(DADOS!F8930="","",DADOS!F8930)</f>
        <v/>
      </c>
      <c r="K8930" s="6" t="str">
        <f t="shared" si="700"/>
        <v/>
      </c>
      <c r="L8930" s="7" t="str">
        <f t="shared" si="701"/>
        <v/>
      </c>
      <c r="M8930" s="7" t="str">
        <f t="shared" si="698"/>
        <v/>
      </c>
      <c r="N8930" s="7" t="str">
        <f t="shared" si="702"/>
        <v/>
      </c>
      <c r="O8930" s="8"/>
      <c r="P8930" s="26"/>
      <c r="S8930" s="10" t="str">
        <f t="shared" si="699"/>
        <v/>
      </c>
    </row>
    <row r="8931" spans="5:19" x14ac:dyDescent="0.3">
      <c r="E8931" s="9" t="str">
        <f>IF(DADOS!C8931="","",DADOS!C8931)</f>
        <v/>
      </c>
      <c r="F8931" s="9" t="str">
        <f>IF(DADOS!E8931="","",DADOS!E8931)</f>
        <v/>
      </c>
      <c r="G8931" s="9" t="str">
        <f>IF(DADOS!F8931="","",DADOS!F8931)</f>
        <v/>
      </c>
      <c r="K8931" s="6" t="str">
        <f t="shared" si="700"/>
        <v/>
      </c>
      <c r="L8931" s="7" t="str">
        <f t="shared" si="701"/>
        <v/>
      </c>
      <c r="M8931" s="7" t="str">
        <f t="shared" si="698"/>
        <v/>
      </c>
      <c r="N8931" s="7" t="str">
        <f t="shared" si="702"/>
        <v/>
      </c>
      <c r="O8931" s="8"/>
      <c r="P8931" s="26"/>
      <c r="S8931" s="10" t="str">
        <f t="shared" si="699"/>
        <v/>
      </c>
    </row>
    <row r="8932" spans="5:19" x14ac:dyDescent="0.3">
      <c r="E8932" s="9" t="str">
        <f>IF(DADOS!C8932="","",DADOS!C8932)</f>
        <v/>
      </c>
      <c r="F8932" s="9" t="str">
        <f>IF(DADOS!E8932="","",DADOS!E8932)</f>
        <v/>
      </c>
      <c r="G8932" s="9" t="str">
        <f>IF(DADOS!F8932="","",DADOS!F8932)</f>
        <v/>
      </c>
      <c r="K8932" s="6" t="str">
        <f t="shared" si="700"/>
        <v/>
      </c>
      <c r="L8932" s="7" t="str">
        <f t="shared" si="701"/>
        <v/>
      </c>
      <c r="M8932" s="7" t="str">
        <f t="shared" si="698"/>
        <v/>
      </c>
      <c r="N8932" s="7" t="str">
        <f t="shared" si="702"/>
        <v/>
      </c>
      <c r="O8932" s="8"/>
      <c r="P8932" s="26"/>
      <c r="S8932" s="10" t="str">
        <f t="shared" si="699"/>
        <v/>
      </c>
    </row>
    <row r="8933" spans="5:19" x14ac:dyDescent="0.3">
      <c r="E8933" s="9" t="str">
        <f>IF(DADOS!C8933="","",DADOS!C8933)</f>
        <v/>
      </c>
      <c r="F8933" s="9" t="str">
        <f>IF(DADOS!E8933="","",DADOS!E8933)</f>
        <v/>
      </c>
      <c r="G8933" s="9" t="str">
        <f>IF(DADOS!F8933="","",DADOS!F8933)</f>
        <v/>
      </c>
      <c r="K8933" s="6" t="str">
        <f t="shared" si="700"/>
        <v/>
      </c>
      <c r="L8933" s="7" t="str">
        <f t="shared" si="701"/>
        <v/>
      </c>
      <c r="M8933" s="7" t="str">
        <f t="shared" si="698"/>
        <v/>
      </c>
      <c r="N8933" s="7" t="str">
        <f t="shared" si="702"/>
        <v/>
      </c>
      <c r="O8933" s="8"/>
      <c r="P8933" s="26"/>
      <c r="S8933" s="10" t="str">
        <f t="shared" si="699"/>
        <v/>
      </c>
    </row>
    <row r="8934" spans="5:19" x14ac:dyDescent="0.3">
      <c r="E8934" s="9" t="str">
        <f>IF(DADOS!C8934="","",DADOS!C8934)</f>
        <v/>
      </c>
      <c r="F8934" s="9" t="str">
        <f>IF(DADOS!E8934="","",DADOS!E8934)</f>
        <v/>
      </c>
      <c r="G8934" s="9" t="str">
        <f>IF(DADOS!F8934="","",DADOS!F8934)</f>
        <v/>
      </c>
      <c r="K8934" s="6" t="str">
        <f t="shared" si="700"/>
        <v/>
      </c>
      <c r="L8934" s="7" t="str">
        <f t="shared" si="701"/>
        <v/>
      </c>
      <c r="M8934" s="7" t="str">
        <f t="shared" si="698"/>
        <v/>
      </c>
      <c r="N8934" s="7" t="str">
        <f t="shared" si="702"/>
        <v/>
      </c>
      <c r="O8934" s="8"/>
      <c r="P8934" s="26"/>
      <c r="S8934" s="10" t="str">
        <f t="shared" si="699"/>
        <v/>
      </c>
    </row>
    <row r="8935" spans="5:19" x14ac:dyDescent="0.3">
      <c r="E8935" s="9" t="str">
        <f>IF(DADOS!C8935="","",DADOS!C8935)</f>
        <v/>
      </c>
      <c r="F8935" s="9" t="str">
        <f>IF(DADOS!E8935="","",DADOS!E8935)</f>
        <v/>
      </c>
      <c r="G8935" s="9" t="str">
        <f>IF(DADOS!F8935="","",DADOS!F8935)</f>
        <v/>
      </c>
      <c r="K8935" s="6" t="str">
        <f t="shared" si="700"/>
        <v/>
      </c>
      <c r="L8935" s="7" t="str">
        <f t="shared" si="701"/>
        <v/>
      </c>
      <c r="M8935" s="7" t="str">
        <f t="shared" si="698"/>
        <v/>
      </c>
      <c r="N8935" s="7" t="str">
        <f t="shared" si="702"/>
        <v/>
      </c>
      <c r="O8935" s="8"/>
      <c r="P8935" s="26"/>
      <c r="S8935" s="10" t="str">
        <f t="shared" si="699"/>
        <v/>
      </c>
    </row>
    <row r="8936" spans="5:19" x14ac:dyDescent="0.3">
      <c r="E8936" s="9" t="str">
        <f>IF(DADOS!C8936="","",DADOS!C8936)</f>
        <v/>
      </c>
      <c r="F8936" s="9" t="str">
        <f>IF(DADOS!E8936="","",DADOS!E8936)</f>
        <v/>
      </c>
      <c r="G8936" s="9" t="str">
        <f>IF(DADOS!F8936="","",DADOS!F8936)</f>
        <v/>
      </c>
      <c r="K8936" s="6" t="str">
        <f t="shared" si="700"/>
        <v/>
      </c>
      <c r="L8936" s="7" t="str">
        <f t="shared" si="701"/>
        <v/>
      </c>
      <c r="M8936" s="7" t="str">
        <f t="shared" si="698"/>
        <v/>
      </c>
      <c r="N8936" s="7" t="str">
        <f t="shared" si="702"/>
        <v/>
      </c>
      <c r="O8936" s="8"/>
      <c r="P8936" s="26"/>
      <c r="S8936" s="10" t="str">
        <f t="shared" si="699"/>
        <v/>
      </c>
    </row>
    <row r="8937" spans="5:19" x14ac:dyDescent="0.3">
      <c r="E8937" s="9" t="str">
        <f>IF(DADOS!C8937="","",DADOS!C8937)</f>
        <v/>
      </c>
      <c r="F8937" s="9" t="str">
        <f>IF(DADOS!E8937="","",DADOS!E8937)</f>
        <v/>
      </c>
      <c r="G8937" s="9" t="str">
        <f>IF(DADOS!F8937="","",DADOS!F8937)</f>
        <v/>
      </c>
      <c r="K8937" s="6" t="str">
        <f t="shared" si="700"/>
        <v/>
      </c>
      <c r="L8937" s="7" t="str">
        <f t="shared" si="701"/>
        <v/>
      </c>
      <c r="M8937" s="7" t="str">
        <f t="shared" si="698"/>
        <v/>
      </c>
      <c r="N8937" s="7" t="str">
        <f t="shared" si="702"/>
        <v/>
      </c>
      <c r="O8937" s="8"/>
      <c r="P8937" s="26"/>
      <c r="S8937" s="10" t="str">
        <f t="shared" si="699"/>
        <v/>
      </c>
    </row>
    <row r="8938" spans="5:19" x14ac:dyDescent="0.3">
      <c r="E8938" s="9" t="str">
        <f>IF(DADOS!C8938="","",DADOS!C8938)</f>
        <v/>
      </c>
      <c r="F8938" s="9" t="str">
        <f>IF(DADOS!E8938="","",DADOS!E8938)</f>
        <v/>
      </c>
      <c r="G8938" s="9" t="str">
        <f>IF(DADOS!F8938="","",DADOS!F8938)</f>
        <v/>
      </c>
      <c r="K8938" s="6" t="str">
        <f t="shared" si="700"/>
        <v/>
      </c>
      <c r="L8938" s="7" t="str">
        <f t="shared" si="701"/>
        <v/>
      </c>
      <c r="M8938" s="7" t="str">
        <f t="shared" si="698"/>
        <v/>
      </c>
      <c r="N8938" s="7" t="str">
        <f t="shared" si="702"/>
        <v/>
      </c>
      <c r="O8938" s="8"/>
      <c r="P8938" s="26"/>
      <c r="S8938" s="10" t="str">
        <f t="shared" si="699"/>
        <v/>
      </c>
    </row>
    <row r="8939" spans="5:19" x14ac:dyDescent="0.3">
      <c r="E8939" s="9" t="str">
        <f>IF(DADOS!C8939="","",DADOS!C8939)</f>
        <v/>
      </c>
      <c r="F8939" s="9" t="str">
        <f>IF(DADOS!E8939="","",DADOS!E8939)</f>
        <v/>
      </c>
      <c r="G8939" s="9" t="str">
        <f>IF(DADOS!F8939="","",DADOS!F8939)</f>
        <v/>
      </c>
      <c r="K8939" s="6" t="str">
        <f t="shared" si="700"/>
        <v/>
      </c>
      <c r="L8939" s="7" t="str">
        <f t="shared" si="701"/>
        <v/>
      </c>
      <c r="M8939" s="7" t="str">
        <f t="shared" si="698"/>
        <v/>
      </c>
      <c r="N8939" s="7" t="str">
        <f t="shared" si="702"/>
        <v/>
      </c>
      <c r="O8939" s="8"/>
      <c r="P8939" s="26"/>
      <c r="S8939" s="10" t="str">
        <f t="shared" si="699"/>
        <v/>
      </c>
    </row>
    <row r="8940" spans="5:19" x14ac:dyDescent="0.3">
      <c r="E8940" s="9" t="str">
        <f>IF(DADOS!C8940="","",DADOS!C8940)</f>
        <v/>
      </c>
      <c r="F8940" s="9" t="str">
        <f>IF(DADOS!E8940="","",DADOS!E8940)</f>
        <v/>
      </c>
      <c r="G8940" s="9" t="str">
        <f>IF(DADOS!F8940="","",DADOS!F8940)</f>
        <v/>
      </c>
      <c r="K8940" s="6" t="str">
        <f t="shared" si="700"/>
        <v/>
      </c>
      <c r="L8940" s="7" t="str">
        <f t="shared" si="701"/>
        <v/>
      </c>
      <c r="M8940" s="7" t="str">
        <f t="shared" si="698"/>
        <v/>
      </c>
      <c r="N8940" s="7" t="str">
        <f t="shared" si="702"/>
        <v/>
      </c>
      <c r="O8940" s="8"/>
      <c r="P8940" s="26"/>
      <c r="S8940" s="10" t="str">
        <f t="shared" si="699"/>
        <v/>
      </c>
    </row>
    <row r="8941" spans="5:19" x14ac:dyDescent="0.3">
      <c r="E8941" s="9" t="str">
        <f>IF(DADOS!C8941="","",DADOS!C8941)</f>
        <v/>
      </c>
      <c r="F8941" s="9" t="str">
        <f>IF(DADOS!E8941="","",DADOS!E8941)</f>
        <v/>
      </c>
      <c r="G8941" s="9" t="str">
        <f>IF(DADOS!F8941="","",DADOS!F8941)</f>
        <v/>
      </c>
      <c r="K8941" s="6" t="str">
        <f t="shared" si="700"/>
        <v/>
      </c>
      <c r="L8941" s="7" t="str">
        <f t="shared" si="701"/>
        <v/>
      </c>
      <c r="M8941" s="7" t="str">
        <f t="shared" si="698"/>
        <v/>
      </c>
      <c r="N8941" s="7" t="str">
        <f t="shared" si="702"/>
        <v/>
      </c>
      <c r="O8941" s="8"/>
      <c r="P8941" s="26"/>
      <c r="S8941" s="10" t="str">
        <f t="shared" si="699"/>
        <v/>
      </c>
    </row>
    <row r="8942" spans="5:19" x14ac:dyDescent="0.3">
      <c r="E8942" s="9" t="str">
        <f>IF(DADOS!C8942="","",DADOS!C8942)</f>
        <v/>
      </c>
      <c r="F8942" s="9" t="str">
        <f>IF(DADOS!E8942="","",DADOS!E8942)</f>
        <v/>
      </c>
      <c r="G8942" s="9" t="str">
        <f>IF(DADOS!F8942="","",DADOS!F8942)</f>
        <v/>
      </c>
      <c r="K8942" s="6" t="str">
        <f t="shared" si="700"/>
        <v/>
      </c>
      <c r="L8942" s="7" t="str">
        <f t="shared" si="701"/>
        <v/>
      </c>
      <c r="M8942" s="7" t="str">
        <f t="shared" si="698"/>
        <v/>
      </c>
      <c r="N8942" s="7" t="str">
        <f t="shared" si="702"/>
        <v/>
      </c>
      <c r="O8942" s="8"/>
      <c r="P8942" s="26"/>
      <c r="S8942" s="10" t="str">
        <f t="shared" si="699"/>
        <v/>
      </c>
    </row>
    <row r="8943" spans="5:19" x14ac:dyDescent="0.3">
      <c r="E8943" s="9" t="str">
        <f>IF(DADOS!C8943="","",DADOS!C8943)</f>
        <v/>
      </c>
      <c r="F8943" s="9" t="str">
        <f>IF(DADOS!E8943="","",DADOS!E8943)</f>
        <v/>
      </c>
      <c r="G8943" s="9" t="str">
        <f>IF(DADOS!F8943="","",DADOS!F8943)</f>
        <v/>
      </c>
      <c r="K8943" s="6" t="str">
        <f t="shared" si="700"/>
        <v/>
      </c>
      <c r="L8943" s="7" t="str">
        <f t="shared" si="701"/>
        <v/>
      </c>
      <c r="M8943" s="7" t="str">
        <f t="shared" si="698"/>
        <v/>
      </c>
      <c r="N8943" s="7" t="str">
        <f t="shared" si="702"/>
        <v/>
      </c>
      <c r="O8943" s="8"/>
      <c r="P8943" s="26"/>
      <c r="S8943" s="10" t="str">
        <f t="shared" si="699"/>
        <v/>
      </c>
    </row>
    <row r="8944" spans="5:19" x14ac:dyDescent="0.3">
      <c r="E8944" s="9" t="str">
        <f>IF(DADOS!C8944="","",DADOS!C8944)</f>
        <v/>
      </c>
      <c r="F8944" s="9" t="str">
        <f>IF(DADOS!E8944="","",DADOS!E8944)</f>
        <v/>
      </c>
      <c r="G8944" s="9" t="str">
        <f>IF(DADOS!F8944="","",DADOS!F8944)</f>
        <v/>
      </c>
      <c r="K8944" s="6" t="str">
        <f t="shared" si="700"/>
        <v/>
      </c>
      <c r="L8944" s="7" t="str">
        <f t="shared" si="701"/>
        <v/>
      </c>
      <c r="M8944" s="7" t="str">
        <f t="shared" si="698"/>
        <v/>
      </c>
      <c r="N8944" s="7" t="str">
        <f t="shared" si="702"/>
        <v/>
      </c>
      <c r="O8944" s="8"/>
      <c r="P8944" s="26"/>
      <c r="S8944" s="10" t="str">
        <f t="shared" si="699"/>
        <v/>
      </c>
    </row>
    <row r="8945" spans="5:19" x14ac:dyDescent="0.3">
      <c r="E8945" s="9" t="str">
        <f>IF(DADOS!C8945="","",DADOS!C8945)</f>
        <v/>
      </c>
      <c r="F8945" s="9" t="str">
        <f>IF(DADOS!E8945="","",DADOS!E8945)</f>
        <v/>
      </c>
      <c r="G8945" s="9" t="str">
        <f>IF(DADOS!F8945="","",DADOS!F8945)</f>
        <v/>
      </c>
      <c r="K8945" s="6" t="str">
        <f t="shared" si="700"/>
        <v/>
      </c>
      <c r="L8945" s="7" t="str">
        <f t="shared" si="701"/>
        <v/>
      </c>
      <c r="M8945" s="7" t="str">
        <f t="shared" si="698"/>
        <v/>
      </c>
      <c r="N8945" s="7" t="str">
        <f t="shared" si="702"/>
        <v/>
      </c>
      <c r="O8945" s="8"/>
      <c r="P8945" s="26"/>
      <c r="S8945" s="10" t="str">
        <f t="shared" si="699"/>
        <v/>
      </c>
    </row>
    <row r="8946" spans="5:19" x14ac:dyDescent="0.3">
      <c r="E8946" s="9" t="str">
        <f>IF(DADOS!C8946="","",DADOS!C8946)</f>
        <v/>
      </c>
      <c r="F8946" s="9" t="str">
        <f>IF(DADOS!E8946="","",DADOS!E8946)</f>
        <v/>
      </c>
      <c r="G8946" s="9" t="str">
        <f>IF(DADOS!F8946="","",DADOS!F8946)</f>
        <v/>
      </c>
      <c r="K8946" s="6" t="str">
        <f t="shared" si="700"/>
        <v/>
      </c>
      <c r="L8946" s="7" t="str">
        <f t="shared" si="701"/>
        <v/>
      </c>
      <c r="M8946" s="7" t="str">
        <f t="shared" si="698"/>
        <v/>
      </c>
      <c r="N8946" s="7" t="str">
        <f t="shared" si="702"/>
        <v/>
      </c>
      <c r="O8946" s="8"/>
      <c r="P8946" s="26"/>
      <c r="S8946" s="10" t="str">
        <f t="shared" si="699"/>
        <v/>
      </c>
    </row>
    <row r="8947" spans="5:19" x14ac:dyDescent="0.3">
      <c r="E8947" s="9" t="str">
        <f>IF(DADOS!C8947="","",DADOS!C8947)</f>
        <v/>
      </c>
      <c r="F8947" s="9" t="str">
        <f>IF(DADOS!E8947="","",DADOS!E8947)</f>
        <v/>
      </c>
      <c r="G8947" s="9" t="str">
        <f>IF(DADOS!F8947="","",DADOS!F8947)</f>
        <v/>
      </c>
      <c r="K8947" s="6" t="str">
        <f t="shared" si="700"/>
        <v/>
      </c>
      <c r="L8947" s="7" t="str">
        <f t="shared" si="701"/>
        <v/>
      </c>
      <c r="M8947" s="7" t="str">
        <f t="shared" si="698"/>
        <v/>
      </c>
      <c r="N8947" s="7" t="str">
        <f t="shared" si="702"/>
        <v/>
      </c>
      <c r="O8947" s="8"/>
      <c r="P8947" s="26"/>
      <c r="S8947" s="10" t="str">
        <f t="shared" si="699"/>
        <v/>
      </c>
    </row>
    <row r="8948" spans="5:19" x14ac:dyDescent="0.3">
      <c r="E8948" s="9" t="str">
        <f>IF(DADOS!C8948="","",DADOS!C8948)</f>
        <v/>
      </c>
      <c r="F8948" s="9" t="str">
        <f>IF(DADOS!E8948="","",DADOS!E8948)</f>
        <v/>
      </c>
      <c r="G8948" s="9" t="str">
        <f>IF(DADOS!F8948="","",DADOS!F8948)</f>
        <v/>
      </c>
      <c r="K8948" s="6" t="str">
        <f t="shared" si="700"/>
        <v/>
      </c>
      <c r="L8948" s="7" t="str">
        <f t="shared" si="701"/>
        <v/>
      </c>
      <c r="M8948" s="7" t="str">
        <f t="shared" si="698"/>
        <v/>
      </c>
      <c r="N8948" s="7" t="str">
        <f t="shared" si="702"/>
        <v/>
      </c>
      <c r="O8948" s="8"/>
      <c r="P8948" s="26"/>
      <c r="S8948" s="10" t="str">
        <f t="shared" si="699"/>
        <v/>
      </c>
    </row>
    <row r="8949" spans="5:19" x14ac:dyDescent="0.3">
      <c r="E8949" s="9" t="str">
        <f>IF(DADOS!C8949="","",DADOS!C8949)</f>
        <v/>
      </c>
      <c r="F8949" s="9" t="str">
        <f>IF(DADOS!E8949="","",DADOS!E8949)</f>
        <v/>
      </c>
      <c r="G8949" s="9" t="str">
        <f>IF(DADOS!F8949="","",DADOS!F8949)</f>
        <v/>
      </c>
      <c r="K8949" s="6" t="str">
        <f t="shared" si="700"/>
        <v/>
      </c>
      <c r="L8949" s="7" t="str">
        <f t="shared" si="701"/>
        <v/>
      </c>
      <c r="M8949" s="7" t="str">
        <f t="shared" si="698"/>
        <v/>
      </c>
      <c r="N8949" s="7" t="str">
        <f t="shared" si="702"/>
        <v/>
      </c>
      <c r="O8949" s="8"/>
      <c r="P8949" s="26"/>
      <c r="S8949" s="10" t="str">
        <f t="shared" si="699"/>
        <v/>
      </c>
    </row>
    <row r="8950" spans="5:19" x14ac:dyDescent="0.3">
      <c r="E8950" s="9" t="str">
        <f>IF(DADOS!C8950="","",DADOS!C8950)</f>
        <v/>
      </c>
      <c r="F8950" s="9" t="str">
        <f>IF(DADOS!E8950="","",DADOS!E8950)</f>
        <v/>
      </c>
      <c r="G8950" s="9" t="str">
        <f>IF(DADOS!F8950="","",DADOS!F8950)</f>
        <v/>
      </c>
      <c r="K8950" s="6" t="str">
        <f t="shared" si="700"/>
        <v/>
      </c>
      <c r="L8950" s="7" t="str">
        <f t="shared" si="701"/>
        <v/>
      </c>
      <c r="M8950" s="7" t="str">
        <f t="shared" si="698"/>
        <v/>
      </c>
      <c r="N8950" s="7" t="str">
        <f t="shared" si="702"/>
        <v/>
      </c>
      <c r="O8950" s="8"/>
      <c r="P8950" s="26"/>
      <c r="S8950" s="10" t="str">
        <f t="shared" si="699"/>
        <v/>
      </c>
    </row>
    <row r="8951" spans="5:19" x14ac:dyDescent="0.3">
      <c r="E8951" s="9" t="str">
        <f>IF(DADOS!C8951="","",DADOS!C8951)</f>
        <v/>
      </c>
      <c r="F8951" s="9" t="str">
        <f>IF(DADOS!E8951="","",DADOS!E8951)</f>
        <v/>
      </c>
      <c r="G8951" s="9" t="str">
        <f>IF(DADOS!F8951="","",DADOS!F8951)</f>
        <v/>
      </c>
      <c r="K8951" s="6" t="str">
        <f t="shared" si="700"/>
        <v/>
      </c>
      <c r="L8951" s="7" t="str">
        <f t="shared" si="701"/>
        <v/>
      </c>
      <c r="M8951" s="7" t="str">
        <f t="shared" si="698"/>
        <v/>
      </c>
      <c r="N8951" s="7" t="str">
        <f t="shared" si="702"/>
        <v/>
      </c>
      <c r="O8951" s="8"/>
      <c r="P8951" s="26"/>
      <c r="S8951" s="10" t="str">
        <f t="shared" si="699"/>
        <v/>
      </c>
    </row>
    <row r="8952" spans="5:19" x14ac:dyDescent="0.3">
      <c r="E8952" s="9" t="str">
        <f>IF(DADOS!C8952="","",DADOS!C8952)</f>
        <v/>
      </c>
      <c r="F8952" s="9" t="str">
        <f>IF(DADOS!E8952="","",DADOS!E8952)</f>
        <v/>
      </c>
      <c r="G8952" s="9" t="str">
        <f>IF(DADOS!F8952="","",DADOS!F8952)</f>
        <v/>
      </c>
      <c r="K8952" s="6" t="str">
        <f t="shared" si="700"/>
        <v/>
      </c>
      <c r="L8952" s="7" t="str">
        <f t="shared" si="701"/>
        <v/>
      </c>
      <c r="M8952" s="7" t="str">
        <f t="shared" si="698"/>
        <v/>
      </c>
      <c r="N8952" s="7" t="str">
        <f t="shared" si="702"/>
        <v/>
      </c>
      <c r="O8952" s="8"/>
      <c r="P8952" s="26"/>
      <c r="S8952" s="10" t="str">
        <f t="shared" si="699"/>
        <v/>
      </c>
    </row>
    <row r="8953" spans="5:19" x14ac:dyDescent="0.3">
      <c r="E8953" s="9" t="str">
        <f>IF(DADOS!C8953="","",DADOS!C8953)</f>
        <v/>
      </c>
      <c r="F8953" s="9" t="str">
        <f>IF(DADOS!E8953="","",DADOS!E8953)</f>
        <v/>
      </c>
      <c r="G8953" s="9" t="str">
        <f>IF(DADOS!F8953="","",DADOS!F8953)</f>
        <v/>
      </c>
      <c r="K8953" s="6" t="str">
        <f t="shared" si="700"/>
        <v/>
      </c>
      <c r="L8953" s="7" t="str">
        <f t="shared" si="701"/>
        <v/>
      </c>
      <c r="M8953" s="7" t="str">
        <f t="shared" si="698"/>
        <v/>
      </c>
      <c r="N8953" s="7" t="str">
        <f t="shared" si="702"/>
        <v/>
      </c>
      <c r="O8953" s="8"/>
      <c r="P8953" s="26"/>
      <c r="S8953" s="10" t="str">
        <f t="shared" si="699"/>
        <v/>
      </c>
    </row>
    <row r="8954" spans="5:19" x14ac:dyDescent="0.3">
      <c r="E8954" s="9" t="str">
        <f>IF(DADOS!C8954="","",DADOS!C8954)</f>
        <v/>
      </c>
      <c r="F8954" s="9" t="str">
        <f>IF(DADOS!E8954="","",DADOS!E8954)</f>
        <v/>
      </c>
      <c r="G8954" s="9" t="str">
        <f>IF(DADOS!F8954="","",DADOS!F8954)</f>
        <v/>
      </c>
      <c r="K8954" s="6" t="str">
        <f t="shared" si="700"/>
        <v/>
      </c>
      <c r="L8954" s="7" t="str">
        <f t="shared" si="701"/>
        <v/>
      </c>
      <c r="M8954" s="7" t="str">
        <f t="shared" si="698"/>
        <v/>
      </c>
      <c r="N8954" s="7" t="str">
        <f t="shared" si="702"/>
        <v/>
      </c>
      <c r="O8954" s="8"/>
      <c r="P8954" s="26"/>
      <c r="S8954" s="10" t="str">
        <f t="shared" si="699"/>
        <v/>
      </c>
    </row>
    <row r="8955" spans="5:19" x14ac:dyDescent="0.3">
      <c r="E8955" s="9" t="str">
        <f>IF(DADOS!C8955="","",DADOS!C8955)</f>
        <v/>
      </c>
      <c r="F8955" s="9" t="str">
        <f>IF(DADOS!E8955="","",DADOS!E8955)</f>
        <v/>
      </c>
      <c r="G8955" s="9" t="str">
        <f>IF(DADOS!F8955="","",DADOS!F8955)</f>
        <v/>
      </c>
      <c r="K8955" s="6" t="str">
        <f t="shared" si="700"/>
        <v/>
      </c>
      <c r="L8955" s="7" t="str">
        <f t="shared" si="701"/>
        <v/>
      </c>
      <c r="M8955" s="7" t="str">
        <f t="shared" si="698"/>
        <v/>
      </c>
      <c r="N8955" s="7" t="str">
        <f t="shared" si="702"/>
        <v/>
      </c>
      <c r="O8955" s="8"/>
      <c r="P8955" s="26"/>
      <c r="S8955" s="10" t="str">
        <f t="shared" si="699"/>
        <v/>
      </c>
    </row>
    <row r="8956" spans="5:19" x14ac:dyDescent="0.3">
      <c r="E8956" s="9" t="str">
        <f>IF(DADOS!C8956="","",DADOS!C8956)</f>
        <v/>
      </c>
      <c r="F8956" s="9" t="str">
        <f>IF(DADOS!E8956="","",DADOS!E8956)</f>
        <v/>
      </c>
      <c r="G8956" s="9" t="str">
        <f>IF(DADOS!F8956="","",DADOS!F8956)</f>
        <v/>
      </c>
      <c r="K8956" s="6" t="str">
        <f t="shared" si="700"/>
        <v/>
      </c>
      <c r="L8956" s="7" t="str">
        <f t="shared" si="701"/>
        <v/>
      </c>
      <c r="M8956" s="7" t="str">
        <f t="shared" si="698"/>
        <v/>
      </c>
      <c r="N8956" s="7" t="str">
        <f t="shared" si="702"/>
        <v/>
      </c>
      <c r="O8956" s="8"/>
      <c r="P8956" s="26"/>
      <c r="S8956" s="10" t="str">
        <f t="shared" si="699"/>
        <v/>
      </c>
    </row>
    <row r="8957" spans="5:19" x14ac:dyDescent="0.3">
      <c r="E8957" s="9" t="str">
        <f>IF(DADOS!C8957="","",DADOS!C8957)</f>
        <v/>
      </c>
      <c r="F8957" s="9" t="str">
        <f>IF(DADOS!E8957="","",DADOS!E8957)</f>
        <v/>
      </c>
      <c r="G8957" s="9" t="str">
        <f>IF(DADOS!F8957="","",DADOS!F8957)</f>
        <v/>
      </c>
      <c r="K8957" s="6" t="str">
        <f t="shared" si="700"/>
        <v/>
      </c>
      <c r="L8957" s="7" t="str">
        <f t="shared" si="701"/>
        <v/>
      </c>
      <c r="M8957" s="7" t="str">
        <f t="shared" si="698"/>
        <v/>
      </c>
      <c r="N8957" s="7" t="str">
        <f t="shared" si="702"/>
        <v/>
      </c>
      <c r="O8957" s="8"/>
      <c r="P8957" s="26"/>
      <c r="S8957" s="10" t="str">
        <f t="shared" si="699"/>
        <v/>
      </c>
    </row>
    <row r="8958" spans="5:19" x14ac:dyDescent="0.3">
      <c r="E8958" s="9" t="str">
        <f>IF(DADOS!C8958="","",DADOS!C8958)</f>
        <v/>
      </c>
      <c r="F8958" s="9" t="str">
        <f>IF(DADOS!E8958="","",DADOS!E8958)</f>
        <v/>
      </c>
      <c r="G8958" s="9" t="str">
        <f>IF(DADOS!F8958="","",DADOS!F8958)</f>
        <v/>
      </c>
      <c r="K8958" s="6" t="str">
        <f t="shared" si="700"/>
        <v/>
      </c>
      <c r="L8958" s="7" t="str">
        <f t="shared" si="701"/>
        <v/>
      </c>
      <c r="M8958" s="7" t="str">
        <f t="shared" si="698"/>
        <v/>
      </c>
      <c r="N8958" s="7" t="str">
        <f t="shared" si="702"/>
        <v/>
      </c>
      <c r="O8958" s="8"/>
      <c r="P8958" s="26"/>
      <c r="S8958" s="10" t="str">
        <f t="shared" si="699"/>
        <v/>
      </c>
    </row>
    <row r="8959" spans="5:19" x14ac:dyDescent="0.3">
      <c r="E8959" s="9" t="str">
        <f>IF(DADOS!C8959="","",DADOS!C8959)</f>
        <v/>
      </c>
      <c r="F8959" s="9" t="str">
        <f>IF(DADOS!E8959="","",DADOS!E8959)</f>
        <v/>
      </c>
      <c r="G8959" s="9" t="str">
        <f>IF(DADOS!F8959="","",DADOS!F8959)</f>
        <v/>
      </c>
      <c r="K8959" s="6" t="str">
        <f t="shared" si="700"/>
        <v/>
      </c>
      <c r="L8959" s="7" t="str">
        <f t="shared" si="701"/>
        <v/>
      </c>
      <c r="M8959" s="7" t="str">
        <f t="shared" si="698"/>
        <v/>
      </c>
      <c r="N8959" s="7" t="str">
        <f t="shared" si="702"/>
        <v/>
      </c>
      <c r="O8959" s="8"/>
      <c r="P8959" s="26"/>
      <c r="S8959" s="10" t="str">
        <f t="shared" si="699"/>
        <v/>
      </c>
    </row>
    <row r="8960" spans="5:19" x14ac:dyDescent="0.3">
      <c r="E8960" s="9" t="str">
        <f>IF(DADOS!C8960="","",DADOS!C8960)</f>
        <v/>
      </c>
      <c r="F8960" s="9" t="str">
        <f>IF(DADOS!E8960="","",DADOS!E8960)</f>
        <v/>
      </c>
      <c r="G8960" s="9" t="str">
        <f>IF(DADOS!F8960="","",DADOS!F8960)</f>
        <v/>
      </c>
      <c r="K8960" s="6" t="str">
        <f t="shared" si="700"/>
        <v/>
      </c>
      <c r="L8960" s="7" t="str">
        <f t="shared" si="701"/>
        <v/>
      </c>
      <c r="M8960" s="7" t="str">
        <f t="shared" si="698"/>
        <v/>
      </c>
      <c r="N8960" s="7" t="str">
        <f t="shared" si="702"/>
        <v/>
      </c>
      <c r="O8960" s="8"/>
      <c r="P8960" s="26"/>
      <c r="S8960" s="10" t="str">
        <f t="shared" si="699"/>
        <v/>
      </c>
    </row>
    <row r="8961" spans="5:19" x14ac:dyDescent="0.3">
      <c r="E8961" s="9" t="str">
        <f>IF(DADOS!C8961="","",DADOS!C8961)</f>
        <v/>
      </c>
      <c r="F8961" s="9" t="str">
        <f>IF(DADOS!E8961="","",DADOS!E8961)</f>
        <v/>
      </c>
      <c r="G8961" s="9" t="str">
        <f>IF(DADOS!F8961="","",DADOS!F8961)</f>
        <v/>
      </c>
      <c r="K8961" s="6" t="str">
        <f t="shared" si="700"/>
        <v/>
      </c>
      <c r="L8961" s="7" t="str">
        <f t="shared" si="701"/>
        <v/>
      </c>
      <c r="M8961" s="7" t="str">
        <f t="shared" si="698"/>
        <v/>
      </c>
      <c r="N8961" s="7" t="str">
        <f t="shared" si="702"/>
        <v/>
      </c>
      <c r="O8961" s="8"/>
      <c r="P8961" s="26"/>
      <c r="S8961" s="10" t="str">
        <f t="shared" si="699"/>
        <v/>
      </c>
    </row>
    <row r="8962" spans="5:19" x14ac:dyDescent="0.3">
      <c r="E8962" s="9" t="str">
        <f>IF(DADOS!C8962="","",DADOS!C8962)</f>
        <v/>
      </c>
      <c r="F8962" s="9" t="str">
        <f>IF(DADOS!E8962="","",DADOS!E8962)</f>
        <v/>
      </c>
      <c r="G8962" s="9" t="str">
        <f>IF(DADOS!F8962="","",DADOS!F8962)</f>
        <v/>
      </c>
      <c r="K8962" s="6" t="str">
        <f t="shared" si="700"/>
        <v/>
      </c>
      <c r="L8962" s="7" t="str">
        <f t="shared" si="701"/>
        <v/>
      </c>
      <c r="M8962" s="7" t="str">
        <f t="shared" si="698"/>
        <v/>
      </c>
      <c r="N8962" s="7" t="str">
        <f t="shared" si="702"/>
        <v/>
      </c>
      <c r="O8962" s="8"/>
      <c r="P8962" s="26"/>
      <c r="S8962" s="10" t="str">
        <f t="shared" si="699"/>
        <v/>
      </c>
    </row>
    <row r="8963" spans="5:19" x14ac:dyDescent="0.3">
      <c r="E8963" s="9" t="str">
        <f>IF(DADOS!C8963="","",DADOS!C8963)</f>
        <v/>
      </c>
      <c r="F8963" s="9" t="str">
        <f>IF(DADOS!E8963="","",DADOS!E8963)</f>
        <v/>
      </c>
      <c r="G8963" s="9" t="str">
        <f>IF(DADOS!F8963="","",DADOS!F8963)</f>
        <v/>
      </c>
      <c r="K8963" s="6" t="str">
        <f t="shared" si="700"/>
        <v/>
      </c>
      <c r="L8963" s="7" t="str">
        <f t="shared" si="701"/>
        <v/>
      </c>
      <c r="M8963" s="7" t="str">
        <f t="shared" ref="M8963:M9026" si="703">IF(L8963="","",L8963*G8963)</f>
        <v/>
      </c>
      <c r="N8963" s="7" t="str">
        <f t="shared" si="702"/>
        <v/>
      </c>
      <c r="O8963" s="8"/>
      <c r="P8963" s="26"/>
      <c r="S8963" s="10" t="str">
        <f t="shared" ref="S8963:S9026" si="704">IF(R8963="","",SUMIFS($N$3:$N$10000,$E$3:$E$10000,R8963))</f>
        <v/>
      </c>
    </row>
    <row r="8964" spans="5:19" x14ac:dyDescent="0.3">
      <c r="E8964" s="9" t="str">
        <f>IF(DADOS!C8964="","",DADOS!C8964)</f>
        <v/>
      </c>
      <c r="F8964" s="9" t="str">
        <f>IF(DADOS!E8964="","",DADOS!E8964)</f>
        <v/>
      </c>
      <c r="G8964" s="9" t="str">
        <f>IF(DADOS!F8964="","",DADOS!F8964)</f>
        <v/>
      </c>
      <c r="K8964" s="6" t="str">
        <f t="shared" ref="K8964:K9027" si="705">IF(F8964="","",F8964/PI())</f>
        <v/>
      </c>
      <c r="L8964" s="7" t="str">
        <f t="shared" ref="L8964:L9027" si="706">IF(K8964="","",(PI()*K8964^2)/40000)</f>
        <v/>
      </c>
      <c r="M8964" s="7" t="str">
        <f t="shared" si="703"/>
        <v/>
      </c>
      <c r="N8964" s="7" t="str">
        <f t="shared" ref="N8964:N9027" si="707">IF(M8964="","",M8964*N$1)</f>
        <v/>
      </c>
      <c r="O8964" s="8"/>
      <c r="P8964" s="26"/>
      <c r="S8964" s="10" t="str">
        <f t="shared" si="704"/>
        <v/>
      </c>
    </row>
    <row r="8965" spans="5:19" x14ac:dyDescent="0.3">
      <c r="E8965" s="9" t="str">
        <f>IF(DADOS!C8965="","",DADOS!C8965)</f>
        <v/>
      </c>
      <c r="F8965" s="9" t="str">
        <f>IF(DADOS!E8965="","",DADOS!E8965)</f>
        <v/>
      </c>
      <c r="G8965" s="9" t="str">
        <f>IF(DADOS!F8965="","",DADOS!F8965)</f>
        <v/>
      </c>
      <c r="K8965" s="6" t="str">
        <f t="shared" si="705"/>
        <v/>
      </c>
      <c r="L8965" s="7" t="str">
        <f t="shared" si="706"/>
        <v/>
      </c>
      <c r="M8965" s="7" t="str">
        <f t="shared" si="703"/>
        <v/>
      </c>
      <c r="N8965" s="7" t="str">
        <f t="shared" si="707"/>
        <v/>
      </c>
      <c r="O8965" s="8"/>
      <c r="P8965" s="26"/>
      <c r="S8965" s="10" t="str">
        <f t="shared" si="704"/>
        <v/>
      </c>
    </row>
    <row r="8966" spans="5:19" x14ac:dyDescent="0.3">
      <c r="E8966" s="9" t="str">
        <f>IF(DADOS!C8966="","",DADOS!C8966)</f>
        <v/>
      </c>
      <c r="F8966" s="9" t="str">
        <f>IF(DADOS!E8966="","",DADOS!E8966)</f>
        <v/>
      </c>
      <c r="G8966" s="9" t="str">
        <f>IF(DADOS!F8966="","",DADOS!F8966)</f>
        <v/>
      </c>
      <c r="K8966" s="6" t="str">
        <f t="shared" si="705"/>
        <v/>
      </c>
      <c r="L8966" s="7" t="str">
        <f t="shared" si="706"/>
        <v/>
      </c>
      <c r="M8966" s="7" t="str">
        <f t="shared" si="703"/>
        <v/>
      </c>
      <c r="N8966" s="7" t="str">
        <f t="shared" si="707"/>
        <v/>
      </c>
      <c r="O8966" s="8"/>
      <c r="P8966" s="26"/>
      <c r="S8966" s="10" t="str">
        <f t="shared" si="704"/>
        <v/>
      </c>
    </row>
    <row r="8967" spans="5:19" x14ac:dyDescent="0.3">
      <c r="E8967" s="9" t="str">
        <f>IF(DADOS!C8967="","",DADOS!C8967)</f>
        <v/>
      </c>
      <c r="F8967" s="9" t="str">
        <f>IF(DADOS!E8967="","",DADOS!E8967)</f>
        <v/>
      </c>
      <c r="G8967" s="9" t="str">
        <f>IF(DADOS!F8967="","",DADOS!F8967)</f>
        <v/>
      </c>
      <c r="K8967" s="6" t="str">
        <f t="shared" si="705"/>
        <v/>
      </c>
      <c r="L8967" s="7" t="str">
        <f t="shared" si="706"/>
        <v/>
      </c>
      <c r="M8967" s="7" t="str">
        <f t="shared" si="703"/>
        <v/>
      </c>
      <c r="N8967" s="7" t="str">
        <f t="shared" si="707"/>
        <v/>
      </c>
      <c r="O8967" s="8"/>
      <c r="P8967" s="26"/>
      <c r="S8967" s="10" t="str">
        <f t="shared" si="704"/>
        <v/>
      </c>
    </row>
    <row r="8968" spans="5:19" x14ac:dyDescent="0.3">
      <c r="E8968" s="9" t="str">
        <f>IF(DADOS!C8968="","",DADOS!C8968)</f>
        <v/>
      </c>
      <c r="F8968" s="9" t="str">
        <f>IF(DADOS!E8968="","",DADOS!E8968)</f>
        <v/>
      </c>
      <c r="G8968" s="9" t="str">
        <f>IF(DADOS!F8968="","",DADOS!F8968)</f>
        <v/>
      </c>
      <c r="K8968" s="6" t="str">
        <f t="shared" si="705"/>
        <v/>
      </c>
      <c r="L8968" s="7" t="str">
        <f t="shared" si="706"/>
        <v/>
      </c>
      <c r="M8968" s="7" t="str">
        <f t="shared" si="703"/>
        <v/>
      </c>
      <c r="N8968" s="7" t="str">
        <f t="shared" si="707"/>
        <v/>
      </c>
      <c r="O8968" s="8"/>
      <c r="P8968" s="26"/>
      <c r="S8968" s="10" t="str">
        <f t="shared" si="704"/>
        <v/>
      </c>
    </row>
    <row r="8969" spans="5:19" x14ac:dyDescent="0.3">
      <c r="E8969" s="9" t="str">
        <f>IF(DADOS!C8969="","",DADOS!C8969)</f>
        <v/>
      </c>
      <c r="F8969" s="9" t="str">
        <f>IF(DADOS!E8969="","",DADOS!E8969)</f>
        <v/>
      </c>
      <c r="G8969" s="9" t="str">
        <f>IF(DADOS!F8969="","",DADOS!F8969)</f>
        <v/>
      </c>
      <c r="K8969" s="6" t="str">
        <f t="shared" si="705"/>
        <v/>
      </c>
      <c r="L8969" s="7" t="str">
        <f t="shared" si="706"/>
        <v/>
      </c>
      <c r="M8969" s="7" t="str">
        <f t="shared" si="703"/>
        <v/>
      </c>
      <c r="N8969" s="7" t="str">
        <f t="shared" si="707"/>
        <v/>
      </c>
      <c r="O8969" s="8"/>
      <c r="P8969" s="26"/>
      <c r="S8969" s="10" t="str">
        <f t="shared" si="704"/>
        <v/>
      </c>
    </row>
    <row r="8970" spans="5:19" x14ac:dyDescent="0.3">
      <c r="E8970" s="9" t="str">
        <f>IF(DADOS!C8970="","",DADOS!C8970)</f>
        <v/>
      </c>
      <c r="F8970" s="9" t="str">
        <f>IF(DADOS!E8970="","",DADOS!E8970)</f>
        <v/>
      </c>
      <c r="G8970" s="9" t="str">
        <f>IF(DADOS!F8970="","",DADOS!F8970)</f>
        <v/>
      </c>
      <c r="K8970" s="6" t="str">
        <f t="shared" si="705"/>
        <v/>
      </c>
      <c r="L8970" s="7" t="str">
        <f t="shared" si="706"/>
        <v/>
      </c>
      <c r="M8970" s="7" t="str">
        <f t="shared" si="703"/>
        <v/>
      </c>
      <c r="N8970" s="7" t="str">
        <f t="shared" si="707"/>
        <v/>
      </c>
      <c r="O8970" s="8"/>
      <c r="P8970" s="26"/>
      <c r="S8970" s="10" t="str">
        <f t="shared" si="704"/>
        <v/>
      </c>
    </row>
    <row r="8971" spans="5:19" x14ac:dyDescent="0.3">
      <c r="E8971" s="9" t="str">
        <f>IF(DADOS!C8971="","",DADOS!C8971)</f>
        <v/>
      </c>
      <c r="F8971" s="9" t="str">
        <f>IF(DADOS!E8971="","",DADOS!E8971)</f>
        <v/>
      </c>
      <c r="G8971" s="9" t="str">
        <f>IF(DADOS!F8971="","",DADOS!F8971)</f>
        <v/>
      </c>
      <c r="K8971" s="6" t="str">
        <f t="shared" si="705"/>
        <v/>
      </c>
      <c r="L8971" s="7" t="str">
        <f t="shared" si="706"/>
        <v/>
      </c>
      <c r="M8971" s="7" t="str">
        <f t="shared" si="703"/>
        <v/>
      </c>
      <c r="N8971" s="7" t="str">
        <f t="shared" si="707"/>
        <v/>
      </c>
      <c r="O8971" s="8"/>
      <c r="P8971" s="26"/>
      <c r="S8971" s="10" t="str">
        <f t="shared" si="704"/>
        <v/>
      </c>
    </row>
    <row r="8972" spans="5:19" x14ac:dyDescent="0.3">
      <c r="E8972" s="9" t="str">
        <f>IF(DADOS!C8972="","",DADOS!C8972)</f>
        <v/>
      </c>
      <c r="F8972" s="9" t="str">
        <f>IF(DADOS!E8972="","",DADOS!E8972)</f>
        <v/>
      </c>
      <c r="G8972" s="9" t="str">
        <f>IF(DADOS!F8972="","",DADOS!F8972)</f>
        <v/>
      </c>
      <c r="K8972" s="6" t="str">
        <f t="shared" si="705"/>
        <v/>
      </c>
      <c r="L8972" s="7" t="str">
        <f t="shared" si="706"/>
        <v/>
      </c>
      <c r="M8972" s="7" t="str">
        <f t="shared" si="703"/>
        <v/>
      </c>
      <c r="N8972" s="7" t="str">
        <f t="shared" si="707"/>
        <v/>
      </c>
      <c r="O8972" s="8"/>
      <c r="P8972" s="26"/>
      <c r="S8972" s="10" t="str">
        <f t="shared" si="704"/>
        <v/>
      </c>
    </row>
    <row r="8973" spans="5:19" x14ac:dyDescent="0.3">
      <c r="E8973" s="9" t="str">
        <f>IF(DADOS!C8973="","",DADOS!C8973)</f>
        <v/>
      </c>
      <c r="F8973" s="9" t="str">
        <f>IF(DADOS!E8973="","",DADOS!E8973)</f>
        <v/>
      </c>
      <c r="G8973" s="9" t="str">
        <f>IF(DADOS!F8973="","",DADOS!F8973)</f>
        <v/>
      </c>
      <c r="K8973" s="6" t="str">
        <f t="shared" si="705"/>
        <v/>
      </c>
      <c r="L8973" s="7" t="str">
        <f t="shared" si="706"/>
        <v/>
      </c>
      <c r="M8973" s="7" t="str">
        <f t="shared" si="703"/>
        <v/>
      </c>
      <c r="N8973" s="7" t="str">
        <f t="shared" si="707"/>
        <v/>
      </c>
      <c r="O8973" s="8"/>
      <c r="P8973" s="26"/>
      <c r="S8973" s="10" t="str">
        <f t="shared" si="704"/>
        <v/>
      </c>
    </row>
    <row r="8974" spans="5:19" x14ac:dyDescent="0.3">
      <c r="E8974" s="9" t="str">
        <f>IF(DADOS!C8974="","",DADOS!C8974)</f>
        <v/>
      </c>
      <c r="F8974" s="9" t="str">
        <f>IF(DADOS!E8974="","",DADOS!E8974)</f>
        <v/>
      </c>
      <c r="G8974" s="9" t="str">
        <f>IF(DADOS!F8974="","",DADOS!F8974)</f>
        <v/>
      </c>
      <c r="K8974" s="6" t="str">
        <f t="shared" si="705"/>
        <v/>
      </c>
      <c r="L8974" s="7" t="str">
        <f t="shared" si="706"/>
        <v/>
      </c>
      <c r="M8974" s="7" t="str">
        <f t="shared" si="703"/>
        <v/>
      </c>
      <c r="N8974" s="7" t="str">
        <f t="shared" si="707"/>
        <v/>
      </c>
      <c r="O8974" s="8"/>
      <c r="P8974" s="26"/>
      <c r="S8974" s="10" t="str">
        <f t="shared" si="704"/>
        <v/>
      </c>
    </row>
    <row r="8975" spans="5:19" x14ac:dyDescent="0.3">
      <c r="E8975" s="9" t="str">
        <f>IF(DADOS!C8975="","",DADOS!C8975)</f>
        <v/>
      </c>
      <c r="F8975" s="9" t="str">
        <f>IF(DADOS!E8975="","",DADOS!E8975)</f>
        <v/>
      </c>
      <c r="G8975" s="9" t="str">
        <f>IF(DADOS!F8975="","",DADOS!F8975)</f>
        <v/>
      </c>
      <c r="K8975" s="6" t="str">
        <f t="shared" si="705"/>
        <v/>
      </c>
      <c r="L8975" s="7" t="str">
        <f t="shared" si="706"/>
        <v/>
      </c>
      <c r="M8975" s="7" t="str">
        <f t="shared" si="703"/>
        <v/>
      </c>
      <c r="N8975" s="7" t="str">
        <f t="shared" si="707"/>
        <v/>
      </c>
      <c r="O8975" s="8"/>
      <c r="P8975" s="26"/>
      <c r="S8975" s="10" t="str">
        <f t="shared" si="704"/>
        <v/>
      </c>
    </row>
    <row r="8976" spans="5:19" x14ac:dyDescent="0.3">
      <c r="E8976" s="9" t="str">
        <f>IF(DADOS!C8976="","",DADOS!C8976)</f>
        <v/>
      </c>
      <c r="F8976" s="9" t="str">
        <f>IF(DADOS!E8976="","",DADOS!E8976)</f>
        <v/>
      </c>
      <c r="G8976" s="9" t="str">
        <f>IF(DADOS!F8976="","",DADOS!F8976)</f>
        <v/>
      </c>
      <c r="K8976" s="6" t="str">
        <f t="shared" si="705"/>
        <v/>
      </c>
      <c r="L8976" s="7" t="str">
        <f t="shared" si="706"/>
        <v/>
      </c>
      <c r="M8976" s="7" t="str">
        <f t="shared" si="703"/>
        <v/>
      </c>
      <c r="N8976" s="7" t="str">
        <f t="shared" si="707"/>
        <v/>
      </c>
      <c r="O8976" s="8"/>
      <c r="P8976" s="26"/>
      <c r="S8976" s="10" t="str">
        <f t="shared" si="704"/>
        <v/>
      </c>
    </row>
    <row r="8977" spans="5:19" x14ac:dyDescent="0.3">
      <c r="E8977" s="9" t="str">
        <f>IF(DADOS!C8977="","",DADOS!C8977)</f>
        <v/>
      </c>
      <c r="F8977" s="9" t="str">
        <f>IF(DADOS!E8977="","",DADOS!E8977)</f>
        <v/>
      </c>
      <c r="G8977" s="9" t="str">
        <f>IF(DADOS!F8977="","",DADOS!F8977)</f>
        <v/>
      </c>
      <c r="K8977" s="6" t="str">
        <f t="shared" si="705"/>
        <v/>
      </c>
      <c r="L8977" s="7" t="str">
        <f t="shared" si="706"/>
        <v/>
      </c>
      <c r="M8977" s="7" t="str">
        <f t="shared" si="703"/>
        <v/>
      </c>
      <c r="N8977" s="7" t="str">
        <f t="shared" si="707"/>
        <v/>
      </c>
      <c r="O8977" s="8"/>
      <c r="P8977" s="26"/>
      <c r="S8977" s="10" t="str">
        <f t="shared" si="704"/>
        <v/>
      </c>
    </row>
    <row r="8978" spans="5:19" x14ac:dyDescent="0.3">
      <c r="E8978" s="9" t="str">
        <f>IF(DADOS!C8978="","",DADOS!C8978)</f>
        <v/>
      </c>
      <c r="F8978" s="9" t="str">
        <f>IF(DADOS!E8978="","",DADOS!E8978)</f>
        <v/>
      </c>
      <c r="G8978" s="9" t="str">
        <f>IF(DADOS!F8978="","",DADOS!F8978)</f>
        <v/>
      </c>
      <c r="K8978" s="6" t="str">
        <f t="shared" si="705"/>
        <v/>
      </c>
      <c r="L8978" s="7" t="str">
        <f t="shared" si="706"/>
        <v/>
      </c>
      <c r="M8978" s="7" t="str">
        <f t="shared" si="703"/>
        <v/>
      </c>
      <c r="N8978" s="7" t="str">
        <f t="shared" si="707"/>
        <v/>
      </c>
      <c r="O8978" s="8"/>
      <c r="P8978" s="26"/>
      <c r="S8978" s="10" t="str">
        <f t="shared" si="704"/>
        <v/>
      </c>
    </row>
    <row r="8979" spans="5:19" x14ac:dyDescent="0.3">
      <c r="E8979" s="9" t="str">
        <f>IF(DADOS!C8979="","",DADOS!C8979)</f>
        <v/>
      </c>
      <c r="F8979" s="9" t="str">
        <f>IF(DADOS!E8979="","",DADOS!E8979)</f>
        <v/>
      </c>
      <c r="G8979" s="9" t="str">
        <f>IF(DADOS!F8979="","",DADOS!F8979)</f>
        <v/>
      </c>
      <c r="K8979" s="6" t="str">
        <f t="shared" si="705"/>
        <v/>
      </c>
      <c r="L8979" s="7" t="str">
        <f t="shared" si="706"/>
        <v/>
      </c>
      <c r="M8979" s="7" t="str">
        <f t="shared" si="703"/>
        <v/>
      </c>
      <c r="N8979" s="7" t="str">
        <f t="shared" si="707"/>
        <v/>
      </c>
      <c r="O8979" s="8"/>
      <c r="P8979" s="26"/>
      <c r="S8979" s="10" t="str">
        <f t="shared" si="704"/>
        <v/>
      </c>
    </row>
    <row r="8980" spans="5:19" x14ac:dyDescent="0.3">
      <c r="E8980" s="9" t="str">
        <f>IF(DADOS!C8980="","",DADOS!C8980)</f>
        <v/>
      </c>
      <c r="F8980" s="9" t="str">
        <f>IF(DADOS!E8980="","",DADOS!E8980)</f>
        <v/>
      </c>
      <c r="G8980" s="9" t="str">
        <f>IF(DADOS!F8980="","",DADOS!F8980)</f>
        <v/>
      </c>
      <c r="K8980" s="6" t="str">
        <f t="shared" si="705"/>
        <v/>
      </c>
      <c r="L8980" s="7" t="str">
        <f t="shared" si="706"/>
        <v/>
      </c>
      <c r="M8980" s="7" t="str">
        <f t="shared" si="703"/>
        <v/>
      </c>
      <c r="N8980" s="7" t="str">
        <f t="shared" si="707"/>
        <v/>
      </c>
      <c r="O8980" s="8"/>
      <c r="P8980" s="26"/>
      <c r="S8980" s="10" t="str">
        <f t="shared" si="704"/>
        <v/>
      </c>
    </row>
    <row r="8981" spans="5:19" x14ac:dyDescent="0.3">
      <c r="E8981" s="9" t="str">
        <f>IF(DADOS!C8981="","",DADOS!C8981)</f>
        <v/>
      </c>
      <c r="F8981" s="9" t="str">
        <f>IF(DADOS!E8981="","",DADOS!E8981)</f>
        <v/>
      </c>
      <c r="G8981" s="9" t="str">
        <f>IF(DADOS!F8981="","",DADOS!F8981)</f>
        <v/>
      </c>
      <c r="K8981" s="6" t="str">
        <f t="shared" si="705"/>
        <v/>
      </c>
      <c r="L8981" s="7" t="str">
        <f t="shared" si="706"/>
        <v/>
      </c>
      <c r="M8981" s="7" t="str">
        <f t="shared" si="703"/>
        <v/>
      </c>
      <c r="N8981" s="7" t="str">
        <f t="shared" si="707"/>
        <v/>
      </c>
      <c r="O8981" s="8"/>
      <c r="P8981" s="26"/>
      <c r="S8981" s="10" t="str">
        <f t="shared" si="704"/>
        <v/>
      </c>
    </row>
    <row r="8982" spans="5:19" x14ac:dyDescent="0.3">
      <c r="E8982" s="9" t="str">
        <f>IF(DADOS!C8982="","",DADOS!C8982)</f>
        <v/>
      </c>
      <c r="F8982" s="9" t="str">
        <f>IF(DADOS!E8982="","",DADOS!E8982)</f>
        <v/>
      </c>
      <c r="G8982" s="9" t="str">
        <f>IF(DADOS!F8982="","",DADOS!F8982)</f>
        <v/>
      </c>
      <c r="K8982" s="6" t="str">
        <f t="shared" si="705"/>
        <v/>
      </c>
      <c r="L8982" s="7" t="str">
        <f t="shared" si="706"/>
        <v/>
      </c>
      <c r="M8982" s="7" t="str">
        <f t="shared" si="703"/>
        <v/>
      </c>
      <c r="N8982" s="7" t="str">
        <f t="shared" si="707"/>
        <v/>
      </c>
      <c r="O8982" s="8"/>
      <c r="P8982" s="26"/>
      <c r="S8982" s="10" t="str">
        <f t="shared" si="704"/>
        <v/>
      </c>
    </row>
    <row r="8983" spans="5:19" x14ac:dyDescent="0.3">
      <c r="E8983" s="9" t="str">
        <f>IF(DADOS!C8983="","",DADOS!C8983)</f>
        <v/>
      </c>
      <c r="F8983" s="9" t="str">
        <f>IF(DADOS!E8983="","",DADOS!E8983)</f>
        <v/>
      </c>
      <c r="G8983" s="9" t="str">
        <f>IF(DADOS!F8983="","",DADOS!F8983)</f>
        <v/>
      </c>
      <c r="K8983" s="6" t="str">
        <f t="shared" si="705"/>
        <v/>
      </c>
      <c r="L8983" s="7" t="str">
        <f t="shared" si="706"/>
        <v/>
      </c>
      <c r="M8983" s="7" t="str">
        <f t="shared" si="703"/>
        <v/>
      </c>
      <c r="N8983" s="7" t="str">
        <f t="shared" si="707"/>
        <v/>
      </c>
      <c r="O8983" s="8"/>
      <c r="P8983" s="26"/>
      <c r="S8983" s="10" t="str">
        <f t="shared" si="704"/>
        <v/>
      </c>
    </row>
    <row r="8984" spans="5:19" x14ac:dyDescent="0.3">
      <c r="E8984" s="9" t="str">
        <f>IF(DADOS!C8984="","",DADOS!C8984)</f>
        <v/>
      </c>
      <c r="F8984" s="9" t="str">
        <f>IF(DADOS!E8984="","",DADOS!E8984)</f>
        <v/>
      </c>
      <c r="G8984" s="9" t="str">
        <f>IF(DADOS!F8984="","",DADOS!F8984)</f>
        <v/>
      </c>
      <c r="K8984" s="6" t="str">
        <f t="shared" si="705"/>
        <v/>
      </c>
      <c r="L8984" s="7" t="str">
        <f t="shared" si="706"/>
        <v/>
      </c>
      <c r="M8984" s="7" t="str">
        <f t="shared" si="703"/>
        <v/>
      </c>
      <c r="N8984" s="7" t="str">
        <f t="shared" si="707"/>
        <v/>
      </c>
      <c r="O8984" s="8"/>
      <c r="P8984" s="26"/>
      <c r="S8984" s="10" t="str">
        <f t="shared" si="704"/>
        <v/>
      </c>
    </row>
    <row r="8985" spans="5:19" x14ac:dyDescent="0.3">
      <c r="E8985" s="9" t="str">
        <f>IF(DADOS!C8985="","",DADOS!C8985)</f>
        <v/>
      </c>
      <c r="F8985" s="9" t="str">
        <f>IF(DADOS!E8985="","",DADOS!E8985)</f>
        <v/>
      </c>
      <c r="G8985" s="9" t="str">
        <f>IF(DADOS!F8985="","",DADOS!F8985)</f>
        <v/>
      </c>
      <c r="K8985" s="6" t="str">
        <f t="shared" si="705"/>
        <v/>
      </c>
      <c r="L8985" s="7" t="str">
        <f t="shared" si="706"/>
        <v/>
      </c>
      <c r="M8985" s="7" t="str">
        <f t="shared" si="703"/>
        <v/>
      </c>
      <c r="N8985" s="7" t="str">
        <f t="shared" si="707"/>
        <v/>
      </c>
      <c r="O8985" s="8"/>
      <c r="P8985" s="26"/>
      <c r="S8985" s="10" t="str">
        <f t="shared" si="704"/>
        <v/>
      </c>
    </row>
    <row r="8986" spans="5:19" x14ac:dyDescent="0.3">
      <c r="E8986" s="9" t="str">
        <f>IF(DADOS!C8986="","",DADOS!C8986)</f>
        <v/>
      </c>
      <c r="F8986" s="9" t="str">
        <f>IF(DADOS!E8986="","",DADOS!E8986)</f>
        <v/>
      </c>
      <c r="G8986" s="9" t="str">
        <f>IF(DADOS!F8986="","",DADOS!F8986)</f>
        <v/>
      </c>
      <c r="K8986" s="6" t="str">
        <f t="shared" si="705"/>
        <v/>
      </c>
      <c r="L8986" s="7" t="str">
        <f t="shared" si="706"/>
        <v/>
      </c>
      <c r="M8986" s="7" t="str">
        <f t="shared" si="703"/>
        <v/>
      </c>
      <c r="N8986" s="7" t="str">
        <f t="shared" si="707"/>
        <v/>
      </c>
      <c r="O8986" s="8"/>
      <c r="P8986" s="26"/>
      <c r="S8986" s="10" t="str">
        <f t="shared" si="704"/>
        <v/>
      </c>
    </row>
    <row r="8987" spans="5:19" x14ac:dyDescent="0.3">
      <c r="E8987" s="9" t="str">
        <f>IF(DADOS!C8987="","",DADOS!C8987)</f>
        <v/>
      </c>
      <c r="F8987" s="9" t="str">
        <f>IF(DADOS!E8987="","",DADOS!E8987)</f>
        <v/>
      </c>
      <c r="G8987" s="9" t="str">
        <f>IF(DADOS!F8987="","",DADOS!F8987)</f>
        <v/>
      </c>
      <c r="K8987" s="6" t="str">
        <f t="shared" si="705"/>
        <v/>
      </c>
      <c r="L8987" s="7" t="str">
        <f t="shared" si="706"/>
        <v/>
      </c>
      <c r="M8987" s="7" t="str">
        <f t="shared" si="703"/>
        <v/>
      </c>
      <c r="N8987" s="7" t="str">
        <f t="shared" si="707"/>
        <v/>
      </c>
      <c r="O8987" s="8"/>
      <c r="P8987" s="26"/>
      <c r="S8987" s="10" t="str">
        <f t="shared" si="704"/>
        <v/>
      </c>
    </row>
    <row r="8988" spans="5:19" x14ac:dyDescent="0.3">
      <c r="E8988" s="9" t="str">
        <f>IF(DADOS!C8988="","",DADOS!C8988)</f>
        <v/>
      </c>
      <c r="F8988" s="9" t="str">
        <f>IF(DADOS!E8988="","",DADOS!E8988)</f>
        <v/>
      </c>
      <c r="G8988" s="9" t="str">
        <f>IF(DADOS!F8988="","",DADOS!F8988)</f>
        <v/>
      </c>
      <c r="K8988" s="6" t="str">
        <f t="shared" si="705"/>
        <v/>
      </c>
      <c r="L8988" s="7" t="str">
        <f t="shared" si="706"/>
        <v/>
      </c>
      <c r="M8988" s="7" t="str">
        <f t="shared" si="703"/>
        <v/>
      </c>
      <c r="N8988" s="7" t="str">
        <f t="shared" si="707"/>
        <v/>
      </c>
      <c r="O8988" s="8"/>
      <c r="P8988" s="26"/>
      <c r="S8988" s="10" t="str">
        <f t="shared" si="704"/>
        <v/>
      </c>
    </row>
    <row r="8989" spans="5:19" x14ac:dyDescent="0.3">
      <c r="E8989" s="9" t="str">
        <f>IF(DADOS!C8989="","",DADOS!C8989)</f>
        <v/>
      </c>
      <c r="F8989" s="9" t="str">
        <f>IF(DADOS!E8989="","",DADOS!E8989)</f>
        <v/>
      </c>
      <c r="G8989" s="9" t="str">
        <f>IF(DADOS!F8989="","",DADOS!F8989)</f>
        <v/>
      </c>
      <c r="K8989" s="6" t="str">
        <f t="shared" si="705"/>
        <v/>
      </c>
      <c r="L8989" s="7" t="str">
        <f t="shared" si="706"/>
        <v/>
      </c>
      <c r="M8989" s="7" t="str">
        <f t="shared" si="703"/>
        <v/>
      </c>
      <c r="N8989" s="7" t="str">
        <f t="shared" si="707"/>
        <v/>
      </c>
      <c r="O8989" s="8"/>
      <c r="P8989" s="26"/>
      <c r="S8989" s="10" t="str">
        <f t="shared" si="704"/>
        <v/>
      </c>
    </row>
    <row r="8990" spans="5:19" x14ac:dyDescent="0.3">
      <c r="E8990" s="9" t="str">
        <f>IF(DADOS!C8990="","",DADOS!C8990)</f>
        <v/>
      </c>
      <c r="F8990" s="9" t="str">
        <f>IF(DADOS!E8990="","",DADOS!E8990)</f>
        <v/>
      </c>
      <c r="G8990" s="9" t="str">
        <f>IF(DADOS!F8990="","",DADOS!F8990)</f>
        <v/>
      </c>
      <c r="K8990" s="6" t="str">
        <f t="shared" si="705"/>
        <v/>
      </c>
      <c r="L8990" s="7" t="str">
        <f t="shared" si="706"/>
        <v/>
      </c>
      <c r="M8990" s="7" t="str">
        <f t="shared" si="703"/>
        <v/>
      </c>
      <c r="N8990" s="7" t="str">
        <f t="shared" si="707"/>
        <v/>
      </c>
      <c r="O8990" s="8"/>
      <c r="P8990" s="26"/>
      <c r="S8990" s="10" t="str">
        <f t="shared" si="704"/>
        <v/>
      </c>
    </row>
    <row r="8991" spans="5:19" x14ac:dyDescent="0.3">
      <c r="E8991" s="9" t="str">
        <f>IF(DADOS!C8991="","",DADOS!C8991)</f>
        <v/>
      </c>
      <c r="F8991" s="9" t="str">
        <f>IF(DADOS!E8991="","",DADOS!E8991)</f>
        <v/>
      </c>
      <c r="G8991" s="9" t="str">
        <f>IF(DADOS!F8991="","",DADOS!F8991)</f>
        <v/>
      </c>
      <c r="K8991" s="6" t="str">
        <f t="shared" si="705"/>
        <v/>
      </c>
      <c r="L8991" s="7" t="str">
        <f t="shared" si="706"/>
        <v/>
      </c>
      <c r="M8991" s="7" t="str">
        <f t="shared" si="703"/>
        <v/>
      </c>
      <c r="N8991" s="7" t="str">
        <f t="shared" si="707"/>
        <v/>
      </c>
      <c r="O8991" s="8"/>
      <c r="P8991" s="26"/>
      <c r="S8991" s="10" t="str">
        <f t="shared" si="704"/>
        <v/>
      </c>
    </row>
    <row r="8992" spans="5:19" x14ac:dyDescent="0.3">
      <c r="E8992" s="9" t="str">
        <f>IF(DADOS!C8992="","",DADOS!C8992)</f>
        <v/>
      </c>
      <c r="F8992" s="9" t="str">
        <f>IF(DADOS!E8992="","",DADOS!E8992)</f>
        <v/>
      </c>
      <c r="G8992" s="9" t="str">
        <f>IF(DADOS!F8992="","",DADOS!F8992)</f>
        <v/>
      </c>
      <c r="K8992" s="6" t="str">
        <f t="shared" si="705"/>
        <v/>
      </c>
      <c r="L8992" s="7" t="str">
        <f t="shared" si="706"/>
        <v/>
      </c>
      <c r="M8992" s="7" t="str">
        <f t="shared" si="703"/>
        <v/>
      </c>
      <c r="N8992" s="7" t="str">
        <f t="shared" si="707"/>
        <v/>
      </c>
      <c r="O8992" s="8"/>
      <c r="P8992" s="26"/>
      <c r="S8992" s="10" t="str">
        <f t="shared" si="704"/>
        <v/>
      </c>
    </row>
    <row r="8993" spans="5:19" x14ac:dyDescent="0.3">
      <c r="E8993" s="9" t="str">
        <f>IF(DADOS!C8993="","",DADOS!C8993)</f>
        <v/>
      </c>
      <c r="F8993" s="9" t="str">
        <f>IF(DADOS!E8993="","",DADOS!E8993)</f>
        <v/>
      </c>
      <c r="G8993" s="9" t="str">
        <f>IF(DADOS!F8993="","",DADOS!F8993)</f>
        <v/>
      </c>
      <c r="K8993" s="6" t="str">
        <f t="shared" si="705"/>
        <v/>
      </c>
      <c r="L8993" s="7" t="str">
        <f t="shared" si="706"/>
        <v/>
      </c>
      <c r="M8993" s="7" t="str">
        <f t="shared" si="703"/>
        <v/>
      </c>
      <c r="N8993" s="7" t="str">
        <f t="shared" si="707"/>
        <v/>
      </c>
      <c r="O8993" s="8"/>
      <c r="P8993" s="26"/>
      <c r="S8993" s="10" t="str">
        <f t="shared" si="704"/>
        <v/>
      </c>
    </row>
    <row r="8994" spans="5:19" x14ac:dyDescent="0.3">
      <c r="E8994" s="9" t="str">
        <f>IF(DADOS!C8994="","",DADOS!C8994)</f>
        <v/>
      </c>
      <c r="F8994" s="9" t="str">
        <f>IF(DADOS!E8994="","",DADOS!E8994)</f>
        <v/>
      </c>
      <c r="G8994" s="9" t="str">
        <f>IF(DADOS!F8994="","",DADOS!F8994)</f>
        <v/>
      </c>
      <c r="K8994" s="6" t="str">
        <f t="shared" si="705"/>
        <v/>
      </c>
      <c r="L8994" s="7" t="str">
        <f t="shared" si="706"/>
        <v/>
      </c>
      <c r="M8994" s="7" t="str">
        <f t="shared" si="703"/>
        <v/>
      </c>
      <c r="N8994" s="7" t="str">
        <f t="shared" si="707"/>
        <v/>
      </c>
      <c r="O8994" s="8"/>
      <c r="P8994" s="26"/>
      <c r="S8994" s="10" t="str">
        <f t="shared" si="704"/>
        <v/>
      </c>
    </row>
    <row r="8995" spans="5:19" x14ac:dyDescent="0.3">
      <c r="E8995" s="9" t="str">
        <f>IF(DADOS!C8995="","",DADOS!C8995)</f>
        <v/>
      </c>
      <c r="F8995" s="9" t="str">
        <f>IF(DADOS!E8995="","",DADOS!E8995)</f>
        <v/>
      </c>
      <c r="G8995" s="9" t="str">
        <f>IF(DADOS!F8995="","",DADOS!F8995)</f>
        <v/>
      </c>
      <c r="K8995" s="6" t="str">
        <f t="shared" si="705"/>
        <v/>
      </c>
      <c r="L8995" s="7" t="str">
        <f t="shared" si="706"/>
        <v/>
      </c>
      <c r="M8995" s="7" t="str">
        <f t="shared" si="703"/>
        <v/>
      </c>
      <c r="N8995" s="7" t="str">
        <f t="shared" si="707"/>
        <v/>
      </c>
      <c r="O8995" s="8"/>
      <c r="P8995" s="26"/>
      <c r="S8995" s="10" t="str">
        <f t="shared" si="704"/>
        <v/>
      </c>
    </row>
    <row r="8996" spans="5:19" x14ac:dyDescent="0.3">
      <c r="E8996" s="9" t="str">
        <f>IF(DADOS!C8996="","",DADOS!C8996)</f>
        <v/>
      </c>
      <c r="F8996" s="9" t="str">
        <f>IF(DADOS!E8996="","",DADOS!E8996)</f>
        <v/>
      </c>
      <c r="G8996" s="9" t="str">
        <f>IF(DADOS!F8996="","",DADOS!F8996)</f>
        <v/>
      </c>
      <c r="K8996" s="6" t="str">
        <f t="shared" si="705"/>
        <v/>
      </c>
      <c r="L8996" s="7" t="str">
        <f t="shared" si="706"/>
        <v/>
      </c>
      <c r="M8996" s="7" t="str">
        <f t="shared" si="703"/>
        <v/>
      </c>
      <c r="N8996" s="7" t="str">
        <f t="shared" si="707"/>
        <v/>
      </c>
      <c r="O8996" s="8"/>
      <c r="P8996" s="26"/>
      <c r="S8996" s="10" t="str">
        <f t="shared" si="704"/>
        <v/>
      </c>
    </row>
    <row r="8997" spans="5:19" x14ac:dyDescent="0.3">
      <c r="E8997" s="9" t="str">
        <f>IF(DADOS!C8997="","",DADOS!C8997)</f>
        <v/>
      </c>
      <c r="F8997" s="9" t="str">
        <f>IF(DADOS!E8997="","",DADOS!E8997)</f>
        <v/>
      </c>
      <c r="G8997" s="9" t="str">
        <f>IF(DADOS!F8997="","",DADOS!F8997)</f>
        <v/>
      </c>
      <c r="K8997" s="6" t="str">
        <f t="shared" si="705"/>
        <v/>
      </c>
      <c r="L8997" s="7" t="str">
        <f t="shared" si="706"/>
        <v/>
      </c>
      <c r="M8997" s="7" t="str">
        <f t="shared" si="703"/>
        <v/>
      </c>
      <c r="N8997" s="7" t="str">
        <f t="shared" si="707"/>
        <v/>
      </c>
      <c r="O8997" s="8"/>
      <c r="P8997" s="26"/>
      <c r="S8997" s="10" t="str">
        <f t="shared" si="704"/>
        <v/>
      </c>
    </row>
    <row r="8998" spans="5:19" x14ac:dyDescent="0.3">
      <c r="E8998" s="9" t="str">
        <f>IF(DADOS!C8998="","",DADOS!C8998)</f>
        <v/>
      </c>
      <c r="F8998" s="9" t="str">
        <f>IF(DADOS!E8998="","",DADOS!E8998)</f>
        <v/>
      </c>
      <c r="G8998" s="9" t="str">
        <f>IF(DADOS!F8998="","",DADOS!F8998)</f>
        <v/>
      </c>
      <c r="K8998" s="6" t="str">
        <f t="shared" si="705"/>
        <v/>
      </c>
      <c r="L8998" s="7" t="str">
        <f t="shared" si="706"/>
        <v/>
      </c>
      <c r="M8998" s="7" t="str">
        <f t="shared" si="703"/>
        <v/>
      </c>
      <c r="N8998" s="7" t="str">
        <f t="shared" si="707"/>
        <v/>
      </c>
      <c r="O8998" s="8"/>
      <c r="P8998" s="26"/>
      <c r="S8998" s="10" t="str">
        <f t="shared" si="704"/>
        <v/>
      </c>
    </row>
    <row r="8999" spans="5:19" x14ac:dyDescent="0.3">
      <c r="E8999" s="9" t="str">
        <f>IF(DADOS!C8999="","",DADOS!C8999)</f>
        <v/>
      </c>
      <c r="F8999" s="9" t="str">
        <f>IF(DADOS!E8999="","",DADOS!E8999)</f>
        <v/>
      </c>
      <c r="G8999" s="9" t="str">
        <f>IF(DADOS!F8999="","",DADOS!F8999)</f>
        <v/>
      </c>
      <c r="K8999" s="6" t="str">
        <f t="shared" si="705"/>
        <v/>
      </c>
      <c r="L8999" s="7" t="str">
        <f t="shared" si="706"/>
        <v/>
      </c>
      <c r="M8999" s="7" t="str">
        <f t="shared" si="703"/>
        <v/>
      </c>
      <c r="N8999" s="7" t="str">
        <f t="shared" si="707"/>
        <v/>
      </c>
      <c r="O8999" s="8"/>
      <c r="P8999" s="26"/>
      <c r="S8999" s="10" t="str">
        <f t="shared" si="704"/>
        <v/>
      </c>
    </row>
    <row r="9000" spans="5:19" x14ac:dyDescent="0.3">
      <c r="E9000" s="9" t="str">
        <f>IF(DADOS!C9000="","",DADOS!C9000)</f>
        <v/>
      </c>
      <c r="F9000" s="9" t="str">
        <f>IF(DADOS!E9000="","",DADOS!E9000)</f>
        <v/>
      </c>
      <c r="G9000" s="9" t="str">
        <f>IF(DADOS!F9000="","",DADOS!F9000)</f>
        <v/>
      </c>
      <c r="K9000" s="6" t="str">
        <f t="shared" si="705"/>
        <v/>
      </c>
      <c r="L9000" s="7" t="str">
        <f t="shared" si="706"/>
        <v/>
      </c>
      <c r="M9000" s="7" t="str">
        <f t="shared" si="703"/>
        <v/>
      </c>
      <c r="N9000" s="7" t="str">
        <f t="shared" si="707"/>
        <v/>
      </c>
      <c r="O9000" s="8"/>
      <c r="P9000" s="26"/>
      <c r="S9000" s="10" t="str">
        <f t="shared" si="704"/>
        <v/>
      </c>
    </row>
    <row r="9001" spans="5:19" x14ac:dyDescent="0.3">
      <c r="E9001" s="9" t="str">
        <f>IF(DADOS!C9001="","",DADOS!C9001)</f>
        <v/>
      </c>
      <c r="F9001" s="9" t="str">
        <f>IF(DADOS!E9001="","",DADOS!E9001)</f>
        <v/>
      </c>
      <c r="G9001" s="9" t="str">
        <f>IF(DADOS!F9001="","",DADOS!F9001)</f>
        <v/>
      </c>
      <c r="K9001" s="6" t="str">
        <f t="shared" si="705"/>
        <v/>
      </c>
      <c r="L9001" s="7" t="str">
        <f t="shared" si="706"/>
        <v/>
      </c>
      <c r="M9001" s="7" t="str">
        <f t="shared" si="703"/>
        <v/>
      </c>
      <c r="N9001" s="7" t="str">
        <f t="shared" si="707"/>
        <v/>
      </c>
      <c r="O9001" s="8"/>
      <c r="P9001" s="26"/>
      <c r="S9001" s="10" t="str">
        <f t="shared" si="704"/>
        <v/>
      </c>
    </row>
    <row r="9002" spans="5:19" x14ac:dyDescent="0.3">
      <c r="E9002" s="9" t="str">
        <f>IF(DADOS!C9002="","",DADOS!C9002)</f>
        <v/>
      </c>
      <c r="F9002" s="9" t="str">
        <f>IF(DADOS!E9002="","",DADOS!E9002)</f>
        <v/>
      </c>
      <c r="G9002" s="9" t="str">
        <f>IF(DADOS!F9002="","",DADOS!F9002)</f>
        <v/>
      </c>
      <c r="K9002" s="6" t="str">
        <f t="shared" si="705"/>
        <v/>
      </c>
      <c r="L9002" s="7" t="str">
        <f t="shared" si="706"/>
        <v/>
      </c>
      <c r="M9002" s="7" t="str">
        <f t="shared" si="703"/>
        <v/>
      </c>
      <c r="N9002" s="7" t="str">
        <f t="shared" si="707"/>
        <v/>
      </c>
      <c r="O9002" s="8"/>
      <c r="P9002" s="26"/>
      <c r="S9002" s="10" t="str">
        <f t="shared" si="704"/>
        <v/>
      </c>
    </row>
    <row r="9003" spans="5:19" x14ac:dyDescent="0.3">
      <c r="E9003" s="9" t="str">
        <f>IF(DADOS!C9003="","",DADOS!C9003)</f>
        <v/>
      </c>
      <c r="F9003" s="9" t="str">
        <f>IF(DADOS!E9003="","",DADOS!E9003)</f>
        <v/>
      </c>
      <c r="G9003" s="9" t="str">
        <f>IF(DADOS!F9003="","",DADOS!F9003)</f>
        <v/>
      </c>
      <c r="K9003" s="6" t="str">
        <f t="shared" si="705"/>
        <v/>
      </c>
      <c r="L9003" s="7" t="str">
        <f t="shared" si="706"/>
        <v/>
      </c>
      <c r="M9003" s="7" t="str">
        <f t="shared" si="703"/>
        <v/>
      </c>
      <c r="N9003" s="7" t="str">
        <f t="shared" si="707"/>
        <v/>
      </c>
      <c r="O9003" s="8"/>
      <c r="P9003" s="26"/>
      <c r="S9003" s="10" t="str">
        <f t="shared" si="704"/>
        <v/>
      </c>
    </row>
    <row r="9004" spans="5:19" x14ac:dyDescent="0.3">
      <c r="E9004" s="9" t="str">
        <f>IF(DADOS!C9004="","",DADOS!C9004)</f>
        <v/>
      </c>
      <c r="F9004" s="9" t="str">
        <f>IF(DADOS!E9004="","",DADOS!E9004)</f>
        <v/>
      </c>
      <c r="G9004" s="9" t="str">
        <f>IF(DADOS!F9004="","",DADOS!F9004)</f>
        <v/>
      </c>
      <c r="K9004" s="6" t="str">
        <f t="shared" si="705"/>
        <v/>
      </c>
      <c r="L9004" s="7" t="str">
        <f t="shared" si="706"/>
        <v/>
      </c>
      <c r="M9004" s="7" t="str">
        <f t="shared" si="703"/>
        <v/>
      </c>
      <c r="N9004" s="7" t="str">
        <f t="shared" si="707"/>
        <v/>
      </c>
      <c r="O9004" s="8"/>
      <c r="P9004" s="26"/>
      <c r="S9004" s="10" t="str">
        <f t="shared" si="704"/>
        <v/>
      </c>
    </row>
    <row r="9005" spans="5:19" x14ac:dyDescent="0.3">
      <c r="E9005" s="9" t="str">
        <f>IF(DADOS!C9005="","",DADOS!C9005)</f>
        <v/>
      </c>
      <c r="F9005" s="9" t="str">
        <f>IF(DADOS!E9005="","",DADOS!E9005)</f>
        <v/>
      </c>
      <c r="G9005" s="9" t="str">
        <f>IF(DADOS!F9005="","",DADOS!F9005)</f>
        <v/>
      </c>
      <c r="K9005" s="6" t="str">
        <f t="shared" si="705"/>
        <v/>
      </c>
      <c r="L9005" s="7" t="str">
        <f t="shared" si="706"/>
        <v/>
      </c>
      <c r="M9005" s="7" t="str">
        <f t="shared" si="703"/>
        <v/>
      </c>
      <c r="N9005" s="7" t="str">
        <f t="shared" si="707"/>
        <v/>
      </c>
      <c r="O9005" s="8"/>
      <c r="P9005" s="26"/>
      <c r="S9005" s="10" t="str">
        <f t="shared" si="704"/>
        <v/>
      </c>
    </row>
    <row r="9006" spans="5:19" x14ac:dyDescent="0.3">
      <c r="E9006" s="9" t="str">
        <f>IF(DADOS!C9006="","",DADOS!C9006)</f>
        <v/>
      </c>
      <c r="F9006" s="9" t="str">
        <f>IF(DADOS!E9006="","",DADOS!E9006)</f>
        <v/>
      </c>
      <c r="G9006" s="9" t="str">
        <f>IF(DADOS!F9006="","",DADOS!F9006)</f>
        <v/>
      </c>
      <c r="K9006" s="6" t="str">
        <f t="shared" si="705"/>
        <v/>
      </c>
      <c r="L9006" s="7" t="str">
        <f t="shared" si="706"/>
        <v/>
      </c>
      <c r="M9006" s="7" t="str">
        <f t="shared" si="703"/>
        <v/>
      </c>
      <c r="N9006" s="7" t="str">
        <f t="shared" si="707"/>
        <v/>
      </c>
      <c r="O9006" s="8"/>
      <c r="P9006" s="26"/>
      <c r="S9006" s="10" t="str">
        <f t="shared" si="704"/>
        <v/>
      </c>
    </row>
    <row r="9007" spans="5:19" x14ac:dyDescent="0.3">
      <c r="E9007" s="9" t="str">
        <f>IF(DADOS!C9007="","",DADOS!C9007)</f>
        <v/>
      </c>
      <c r="F9007" s="9" t="str">
        <f>IF(DADOS!E9007="","",DADOS!E9007)</f>
        <v/>
      </c>
      <c r="G9007" s="9" t="str">
        <f>IF(DADOS!F9007="","",DADOS!F9007)</f>
        <v/>
      </c>
      <c r="K9007" s="6" t="str">
        <f t="shared" si="705"/>
        <v/>
      </c>
      <c r="L9007" s="7" t="str">
        <f t="shared" si="706"/>
        <v/>
      </c>
      <c r="M9007" s="7" t="str">
        <f t="shared" si="703"/>
        <v/>
      </c>
      <c r="N9007" s="7" t="str">
        <f t="shared" si="707"/>
        <v/>
      </c>
      <c r="O9007" s="8"/>
      <c r="P9007" s="26"/>
      <c r="S9007" s="10" t="str">
        <f t="shared" si="704"/>
        <v/>
      </c>
    </row>
    <row r="9008" spans="5:19" x14ac:dyDescent="0.3">
      <c r="E9008" s="9" t="str">
        <f>IF(DADOS!C9008="","",DADOS!C9008)</f>
        <v/>
      </c>
      <c r="F9008" s="9" t="str">
        <f>IF(DADOS!E9008="","",DADOS!E9008)</f>
        <v/>
      </c>
      <c r="G9008" s="9" t="str">
        <f>IF(DADOS!F9008="","",DADOS!F9008)</f>
        <v/>
      </c>
      <c r="K9008" s="6" t="str">
        <f t="shared" si="705"/>
        <v/>
      </c>
      <c r="L9008" s="7" t="str">
        <f t="shared" si="706"/>
        <v/>
      </c>
      <c r="M9008" s="7" t="str">
        <f t="shared" si="703"/>
        <v/>
      </c>
      <c r="N9008" s="7" t="str">
        <f t="shared" si="707"/>
        <v/>
      </c>
      <c r="O9008" s="8"/>
      <c r="P9008" s="26"/>
      <c r="S9008" s="10" t="str">
        <f t="shared" si="704"/>
        <v/>
      </c>
    </row>
    <row r="9009" spans="5:19" x14ac:dyDescent="0.3">
      <c r="E9009" s="9" t="str">
        <f>IF(DADOS!C9009="","",DADOS!C9009)</f>
        <v/>
      </c>
      <c r="F9009" s="9" t="str">
        <f>IF(DADOS!E9009="","",DADOS!E9009)</f>
        <v/>
      </c>
      <c r="G9009" s="9" t="str">
        <f>IF(DADOS!F9009="","",DADOS!F9009)</f>
        <v/>
      </c>
      <c r="K9009" s="6" t="str">
        <f t="shared" si="705"/>
        <v/>
      </c>
      <c r="L9009" s="7" t="str">
        <f t="shared" si="706"/>
        <v/>
      </c>
      <c r="M9009" s="7" t="str">
        <f t="shared" si="703"/>
        <v/>
      </c>
      <c r="N9009" s="7" t="str">
        <f t="shared" si="707"/>
        <v/>
      </c>
      <c r="O9009" s="8"/>
      <c r="P9009" s="26"/>
      <c r="S9009" s="10" t="str">
        <f t="shared" si="704"/>
        <v/>
      </c>
    </row>
    <row r="9010" spans="5:19" x14ac:dyDescent="0.3">
      <c r="E9010" s="9" t="str">
        <f>IF(DADOS!C9010="","",DADOS!C9010)</f>
        <v/>
      </c>
      <c r="F9010" s="9" t="str">
        <f>IF(DADOS!E9010="","",DADOS!E9010)</f>
        <v/>
      </c>
      <c r="G9010" s="9" t="str">
        <f>IF(DADOS!F9010="","",DADOS!F9010)</f>
        <v/>
      </c>
      <c r="K9010" s="6" t="str">
        <f t="shared" si="705"/>
        <v/>
      </c>
      <c r="L9010" s="7" t="str">
        <f t="shared" si="706"/>
        <v/>
      </c>
      <c r="M9010" s="7" t="str">
        <f t="shared" si="703"/>
        <v/>
      </c>
      <c r="N9010" s="7" t="str">
        <f t="shared" si="707"/>
        <v/>
      </c>
      <c r="O9010" s="8"/>
      <c r="P9010" s="26"/>
      <c r="S9010" s="10" t="str">
        <f t="shared" si="704"/>
        <v/>
      </c>
    </row>
    <row r="9011" spans="5:19" x14ac:dyDescent="0.3">
      <c r="E9011" s="9" t="str">
        <f>IF(DADOS!C9011="","",DADOS!C9011)</f>
        <v/>
      </c>
      <c r="F9011" s="9" t="str">
        <f>IF(DADOS!E9011="","",DADOS!E9011)</f>
        <v/>
      </c>
      <c r="G9011" s="9" t="str">
        <f>IF(DADOS!F9011="","",DADOS!F9011)</f>
        <v/>
      </c>
      <c r="K9011" s="6" t="str">
        <f t="shared" si="705"/>
        <v/>
      </c>
      <c r="L9011" s="7" t="str">
        <f t="shared" si="706"/>
        <v/>
      </c>
      <c r="M9011" s="7" t="str">
        <f t="shared" si="703"/>
        <v/>
      </c>
      <c r="N9011" s="7" t="str">
        <f t="shared" si="707"/>
        <v/>
      </c>
      <c r="O9011" s="8"/>
      <c r="P9011" s="26"/>
      <c r="S9011" s="10" t="str">
        <f t="shared" si="704"/>
        <v/>
      </c>
    </row>
    <row r="9012" spans="5:19" x14ac:dyDescent="0.3">
      <c r="E9012" s="9" t="str">
        <f>IF(DADOS!C9012="","",DADOS!C9012)</f>
        <v/>
      </c>
      <c r="F9012" s="9" t="str">
        <f>IF(DADOS!E9012="","",DADOS!E9012)</f>
        <v/>
      </c>
      <c r="G9012" s="9" t="str">
        <f>IF(DADOS!F9012="","",DADOS!F9012)</f>
        <v/>
      </c>
      <c r="K9012" s="6" t="str">
        <f t="shared" si="705"/>
        <v/>
      </c>
      <c r="L9012" s="7" t="str">
        <f t="shared" si="706"/>
        <v/>
      </c>
      <c r="M9012" s="7" t="str">
        <f t="shared" si="703"/>
        <v/>
      </c>
      <c r="N9012" s="7" t="str">
        <f t="shared" si="707"/>
        <v/>
      </c>
      <c r="O9012" s="8"/>
      <c r="P9012" s="26"/>
      <c r="S9012" s="10" t="str">
        <f t="shared" si="704"/>
        <v/>
      </c>
    </row>
    <row r="9013" spans="5:19" x14ac:dyDescent="0.3">
      <c r="E9013" s="9" t="str">
        <f>IF(DADOS!C9013="","",DADOS!C9013)</f>
        <v/>
      </c>
      <c r="F9013" s="9" t="str">
        <f>IF(DADOS!E9013="","",DADOS!E9013)</f>
        <v/>
      </c>
      <c r="G9013" s="9" t="str">
        <f>IF(DADOS!F9013="","",DADOS!F9013)</f>
        <v/>
      </c>
      <c r="K9013" s="6" t="str">
        <f t="shared" si="705"/>
        <v/>
      </c>
      <c r="L9013" s="7" t="str">
        <f t="shared" si="706"/>
        <v/>
      </c>
      <c r="M9013" s="7" t="str">
        <f t="shared" si="703"/>
        <v/>
      </c>
      <c r="N9013" s="7" t="str">
        <f t="shared" si="707"/>
        <v/>
      </c>
      <c r="O9013" s="8"/>
      <c r="P9013" s="26"/>
      <c r="S9013" s="10" t="str">
        <f t="shared" si="704"/>
        <v/>
      </c>
    </row>
    <row r="9014" spans="5:19" x14ac:dyDescent="0.3">
      <c r="E9014" s="9" t="str">
        <f>IF(DADOS!C9014="","",DADOS!C9014)</f>
        <v/>
      </c>
      <c r="F9014" s="9" t="str">
        <f>IF(DADOS!E9014="","",DADOS!E9014)</f>
        <v/>
      </c>
      <c r="G9014" s="9" t="str">
        <f>IF(DADOS!F9014="","",DADOS!F9014)</f>
        <v/>
      </c>
      <c r="K9014" s="6" t="str">
        <f t="shared" si="705"/>
        <v/>
      </c>
      <c r="L9014" s="7" t="str">
        <f t="shared" si="706"/>
        <v/>
      </c>
      <c r="M9014" s="7" t="str">
        <f t="shared" si="703"/>
        <v/>
      </c>
      <c r="N9014" s="7" t="str">
        <f t="shared" si="707"/>
        <v/>
      </c>
      <c r="O9014" s="8"/>
      <c r="P9014" s="26"/>
      <c r="S9014" s="10" t="str">
        <f t="shared" si="704"/>
        <v/>
      </c>
    </row>
    <row r="9015" spans="5:19" x14ac:dyDescent="0.3">
      <c r="E9015" s="9" t="str">
        <f>IF(DADOS!C9015="","",DADOS!C9015)</f>
        <v/>
      </c>
      <c r="F9015" s="9" t="str">
        <f>IF(DADOS!E9015="","",DADOS!E9015)</f>
        <v/>
      </c>
      <c r="G9015" s="9" t="str">
        <f>IF(DADOS!F9015="","",DADOS!F9015)</f>
        <v/>
      </c>
      <c r="K9015" s="6" t="str">
        <f t="shared" si="705"/>
        <v/>
      </c>
      <c r="L9015" s="7" t="str">
        <f t="shared" si="706"/>
        <v/>
      </c>
      <c r="M9015" s="7" t="str">
        <f t="shared" si="703"/>
        <v/>
      </c>
      <c r="N9015" s="7" t="str">
        <f t="shared" si="707"/>
        <v/>
      </c>
      <c r="O9015" s="8"/>
      <c r="P9015" s="26"/>
      <c r="S9015" s="10" t="str">
        <f t="shared" si="704"/>
        <v/>
      </c>
    </row>
    <row r="9016" spans="5:19" x14ac:dyDescent="0.3">
      <c r="E9016" s="9" t="str">
        <f>IF(DADOS!C9016="","",DADOS!C9016)</f>
        <v/>
      </c>
      <c r="F9016" s="9" t="str">
        <f>IF(DADOS!E9016="","",DADOS!E9016)</f>
        <v/>
      </c>
      <c r="G9016" s="9" t="str">
        <f>IF(DADOS!F9016="","",DADOS!F9016)</f>
        <v/>
      </c>
      <c r="K9016" s="6" t="str">
        <f t="shared" si="705"/>
        <v/>
      </c>
      <c r="L9016" s="7" t="str">
        <f t="shared" si="706"/>
        <v/>
      </c>
      <c r="M9016" s="7" t="str">
        <f t="shared" si="703"/>
        <v/>
      </c>
      <c r="N9016" s="7" t="str">
        <f t="shared" si="707"/>
        <v/>
      </c>
      <c r="O9016" s="8"/>
      <c r="P9016" s="26"/>
      <c r="S9016" s="10" t="str">
        <f t="shared" si="704"/>
        <v/>
      </c>
    </row>
    <row r="9017" spans="5:19" x14ac:dyDescent="0.3">
      <c r="E9017" s="9" t="str">
        <f>IF(DADOS!C9017="","",DADOS!C9017)</f>
        <v/>
      </c>
      <c r="F9017" s="9" t="str">
        <f>IF(DADOS!E9017="","",DADOS!E9017)</f>
        <v/>
      </c>
      <c r="G9017" s="9" t="str">
        <f>IF(DADOS!F9017="","",DADOS!F9017)</f>
        <v/>
      </c>
      <c r="K9017" s="6" t="str">
        <f t="shared" si="705"/>
        <v/>
      </c>
      <c r="L9017" s="7" t="str">
        <f t="shared" si="706"/>
        <v/>
      </c>
      <c r="M9017" s="7" t="str">
        <f t="shared" si="703"/>
        <v/>
      </c>
      <c r="N9017" s="7" t="str">
        <f t="shared" si="707"/>
        <v/>
      </c>
      <c r="O9017" s="8"/>
      <c r="P9017" s="26"/>
      <c r="S9017" s="10" t="str">
        <f t="shared" si="704"/>
        <v/>
      </c>
    </row>
    <row r="9018" spans="5:19" x14ac:dyDescent="0.3">
      <c r="E9018" s="9" t="str">
        <f>IF(DADOS!C9018="","",DADOS!C9018)</f>
        <v/>
      </c>
      <c r="F9018" s="9" t="str">
        <f>IF(DADOS!E9018="","",DADOS!E9018)</f>
        <v/>
      </c>
      <c r="G9018" s="9" t="str">
        <f>IF(DADOS!F9018="","",DADOS!F9018)</f>
        <v/>
      </c>
      <c r="K9018" s="6" t="str">
        <f t="shared" si="705"/>
        <v/>
      </c>
      <c r="L9018" s="7" t="str">
        <f t="shared" si="706"/>
        <v/>
      </c>
      <c r="M9018" s="7" t="str">
        <f t="shared" si="703"/>
        <v/>
      </c>
      <c r="N9018" s="7" t="str">
        <f t="shared" si="707"/>
        <v/>
      </c>
      <c r="O9018" s="8"/>
      <c r="P9018" s="26"/>
      <c r="S9018" s="10" t="str">
        <f t="shared" si="704"/>
        <v/>
      </c>
    </row>
    <row r="9019" spans="5:19" x14ac:dyDescent="0.3">
      <c r="E9019" s="9" t="str">
        <f>IF(DADOS!C9019="","",DADOS!C9019)</f>
        <v/>
      </c>
      <c r="F9019" s="9" t="str">
        <f>IF(DADOS!E9019="","",DADOS!E9019)</f>
        <v/>
      </c>
      <c r="G9019" s="9" t="str">
        <f>IF(DADOS!F9019="","",DADOS!F9019)</f>
        <v/>
      </c>
      <c r="K9019" s="6" t="str">
        <f t="shared" si="705"/>
        <v/>
      </c>
      <c r="L9019" s="7" t="str">
        <f t="shared" si="706"/>
        <v/>
      </c>
      <c r="M9019" s="7" t="str">
        <f t="shared" si="703"/>
        <v/>
      </c>
      <c r="N9019" s="7" t="str">
        <f t="shared" si="707"/>
        <v/>
      </c>
      <c r="O9019" s="8"/>
      <c r="P9019" s="26"/>
      <c r="S9019" s="10" t="str">
        <f t="shared" si="704"/>
        <v/>
      </c>
    </row>
    <row r="9020" spans="5:19" x14ac:dyDescent="0.3">
      <c r="E9020" s="9" t="str">
        <f>IF(DADOS!C9020="","",DADOS!C9020)</f>
        <v/>
      </c>
      <c r="F9020" s="9" t="str">
        <f>IF(DADOS!E9020="","",DADOS!E9020)</f>
        <v/>
      </c>
      <c r="G9020" s="9" t="str">
        <f>IF(DADOS!F9020="","",DADOS!F9020)</f>
        <v/>
      </c>
      <c r="K9020" s="6" t="str">
        <f t="shared" si="705"/>
        <v/>
      </c>
      <c r="L9020" s="7" t="str">
        <f t="shared" si="706"/>
        <v/>
      </c>
      <c r="M9020" s="7" t="str">
        <f t="shared" si="703"/>
        <v/>
      </c>
      <c r="N9020" s="7" t="str">
        <f t="shared" si="707"/>
        <v/>
      </c>
      <c r="O9020" s="8"/>
      <c r="P9020" s="26"/>
      <c r="S9020" s="10" t="str">
        <f t="shared" si="704"/>
        <v/>
      </c>
    </row>
    <row r="9021" spans="5:19" x14ac:dyDescent="0.3">
      <c r="E9021" s="9" t="str">
        <f>IF(DADOS!C9021="","",DADOS!C9021)</f>
        <v/>
      </c>
      <c r="F9021" s="9" t="str">
        <f>IF(DADOS!E9021="","",DADOS!E9021)</f>
        <v/>
      </c>
      <c r="G9021" s="9" t="str">
        <f>IF(DADOS!F9021="","",DADOS!F9021)</f>
        <v/>
      </c>
      <c r="K9021" s="6" t="str">
        <f t="shared" si="705"/>
        <v/>
      </c>
      <c r="L9021" s="7" t="str">
        <f t="shared" si="706"/>
        <v/>
      </c>
      <c r="M9021" s="7" t="str">
        <f t="shared" si="703"/>
        <v/>
      </c>
      <c r="N9021" s="7" t="str">
        <f t="shared" si="707"/>
        <v/>
      </c>
      <c r="O9021" s="8"/>
      <c r="P9021" s="26"/>
      <c r="S9021" s="10" t="str">
        <f t="shared" si="704"/>
        <v/>
      </c>
    </row>
    <row r="9022" spans="5:19" x14ac:dyDescent="0.3">
      <c r="E9022" s="9" t="str">
        <f>IF(DADOS!C9022="","",DADOS!C9022)</f>
        <v/>
      </c>
      <c r="F9022" s="9" t="str">
        <f>IF(DADOS!E9022="","",DADOS!E9022)</f>
        <v/>
      </c>
      <c r="G9022" s="9" t="str">
        <f>IF(DADOS!F9022="","",DADOS!F9022)</f>
        <v/>
      </c>
      <c r="K9022" s="6" t="str">
        <f t="shared" si="705"/>
        <v/>
      </c>
      <c r="L9022" s="7" t="str">
        <f t="shared" si="706"/>
        <v/>
      </c>
      <c r="M9022" s="7" t="str">
        <f t="shared" si="703"/>
        <v/>
      </c>
      <c r="N9022" s="7" t="str">
        <f t="shared" si="707"/>
        <v/>
      </c>
      <c r="O9022" s="8"/>
      <c r="P9022" s="26"/>
      <c r="S9022" s="10" t="str">
        <f t="shared" si="704"/>
        <v/>
      </c>
    </row>
    <row r="9023" spans="5:19" x14ac:dyDescent="0.3">
      <c r="E9023" s="9" t="str">
        <f>IF(DADOS!C9023="","",DADOS!C9023)</f>
        <v/>
      </c>
      <c r="F9023" s="9" t="str">
        <f>IF(DADOS!E9023="","",DADOS!E9023)</f>
        <v/>
      </c>
      <c r="G9023" s="9" t="str">
        <f>IF(DADOS!F9023="","",DADOS!F9023)</f>
        <v/>
      </c>
      <c r="K9023" s="6" t="str">
        <f t="shared" si="705"/>
        <v/>
      </c>
      <c r="L9023" s="7" t="str">
        <f t="shared" si="706"/>
        <v/>
      </c>
      <c r="M9023" s="7" t="str">
        <f t="shared" si="703"/>
        <v/>
      </c>
      <c r="N9023" s="7" t="str">
        <f t="shared" si="707"/>
        <v/>
      </c>
      <c r="O9023" s="8"/>
      <c r="P9023" s="26"/>
      <c r="S9023" s="10" t="str">
        <f t="shared" si="704"/>
        <v/>
      </c>
    </row>
    <row r="9024" spans="5:19" x14ac:dyDescent="0.3">
      <c r="E9024" s="9" t="str">
        <f>IF(DADOS!C9024="","",DADOS!C9024)</f>
        <v/>
      </c>
      <c r="F9024" s="9" t="str">
        <f>IF(DADOS!E9024="","",DADOS!E9024)</f>
        <v/>
      </c>
      <c r="G9024" s="9" t="str">
        <f>IF(DADOS!F9024="","",DADOS!F9024)</f>
        <v/>
      </c>
      <c r="K9024" s="6" t="str">
        <f t="shared" si="705"/>
        <v/>
      </c>
      <c r="L9024" s="7" t="str">
        <f t="shared" si="706"/>
        <v/>
      </c>
      <c r="M9024" s="7" t="str">
        <f t="shared" si="703"/>
        <v/>
      </c>
      <c r="N9024" s="7" t="str">
        <f t="shared" si="707"/>
        <v/>
      </c>
      <c r="O9024" s="8"/>
      <c r="P9024" s="26"/>
      <c r="S9024" s="10" t="str">
        <f t="shared" si="704"/>
        <v/>
      </c>
    </row>
    <row r="9025" spans="5:19" x14ac:dyDescent="0.3">
      <c r="E9025" s="9" t="str">
        <f>IF(DADOS!C9025="","",DADOS!C9025)</f>
        <v/>
      </c>
      <c r="F9025" s="9" t="str">
        <f>IF(DADOS!E9025="","",DADOS!E9025)</f>
        <v/>
      </c>
      <c r="G9025" s="9" t="str">
        <f>IF(DADOS!F9025="","",DADOS!F9025)</f>
        <v/>
      </c>
      <c r="K9025" s="6" t="str">
        <f t="shared" si="705"/>
        <v/>
      </c>
      <c r="L9025" s="7" t="str">
        <f t="shared" si="706"/>
        <v/>
      </c>
      <c r="M9025" s="7" t="str">
        <f t="shared" si="703"/>
        <v/>
      </c>
      <c r="N9025" s="7" t="str">
        <f t="shared" si="707"/>
        <v/>
      </c>
      <c r="O9025" s="8"/>
      <c r="P9025" s="26"/>
      <c r="S9025" s="10" t="str">
        <f t="shared" si="704"/>
        <v/>
      </c>
    </row>
    <row r="9026" spans="5:19" x14ac:dyDescent="0.3">
      <c r="E9026" s="9" t="str">
        <f>IF(DADOS!C9026="","",DADOS!C9026)</f>
        <v/>
      </c>
      <c r="F9026" s="9" t="str">
        <f>IF(DADOS!E9026="","",DADOS!E9026)</f>
        <v/>
      </c>
      <c r="G9026" s="9" t="str">
        <f>IF(DADOS!F9026="","",DADOS!F9026)</f>
        <v/>
      </c>
      <c r="K9026" s="6" t="str">
        <f t="shared" si="705"/>
        <v/>
      </c>
      <c r="L9026" s="7" t="str">
        <f t="shared" si="706"/>
        <v/>
      </c>
      <c r="M9026" s="7" t="str">
        <f t="shared" si="703"/>
        <v/>
      </c>
      <c r="N9026" s="7" t="str">
        <f t="shared" si="707"/>
        <v/>
      </c>
      <c r="O9026" s="8"/>
      <c r="P9026" s="26"/>
      <c r="S9026" s="10" t="str">
        <f t="shared" si="704"/>
        <v/>
      </c>
    </row>
    <row r="9027" spans="5:19" x14ac:dyDescent="0.3">
      <c r="E9027" s="9" t="str">
        <f>IF(DADOS!C9027="","",DADOS!C9027)</f>
        <v/>
      </c>
      <c r="F9027" s="9" t="str">
        <f>IF(DADOS!E9027="","",DADOS!E9027)</f>
        <v/>
      </c>
      <c r="G9027" s="9" t="str">
        <f>IF(DADOS!F9027="","",DADOS!F9027)</f>
        <v/>
      </c>
      <c r="K9027" s="6" t="str">
        <f t="shared" si="705"/>
        <v/>
      </c>
      <c r="L9027" s="7" t="str">
        <f t="shared" si="706"/>
        <v/>
      </c>
      <c r="M9027" s="7" t="str">
        <f t="shared" ref="M9027:M9090" si="708">IF(L9027="","",L9027*G9027)</f>
        <v/>
      </c>
      <c r="N9027" s="7" t="str">
        <f t="shared" si="707"/>
        <v/>
      </c>
      <c r="O9027" s="8"/>
      <c r="P9027" s="26"/>
      <c r="S9027" s="10" t="str">
        <f t="shared" ref="S9027:S9090" si="709">IF(R9027="","",SUMIFS($N$3:$N$10000,$E$3:$E$10000,R9027))</f>
        <v/>
      </c>
    </row>
    <row r="9028" spans="5:19" x14ac:dyDescent="0.3">
      <c r="E9028" s="9" t="str">
        <f>IF(DADOS!C9028="","",DADOS!C9028)</f>
        <v/>
      </c>
      <c r="F9028" s="9" t="str">
        <f>IF(DADOS!E9028="","",DADOS!E9028)</f>
        <v/>
      </c>
      <c r="G9028" s="9" t="str">
        <f>IF(DADOS!F9028="","",DADOS!F9028)</f>
        <v/>
      </c>
      <c r="K9028" s="6" t="str">
        <f t="shared" ref="K9028:K9091" si="710">IF(F9028="","",F9028/PI())</f>
        <v/>
      </c>
      <c r="L9028" s="7" t="str">
        <f t="shared" ref="L9028:L9091" si="711">IF(K9028="","",(PI()*K9028^2)/40000)</f>
        <v/>
      </c>
      <c r="M9028" s="7" t="str">
        <f t="shared" si="708"/>
        <v/>
      </c>
      <c r="N9028" s="7" t="str">
        <f t="shared" ref="N9028:N9091" si="712">IF(M9028="","",M9028*N$1)</f>
        <v/>
      </c>
      <c r="O9028" s="8"/>
      <c r="P9028" s="26"/>
      <c r="S9028" s="10" t="str">
        <f t="shared" si="709"/>
        <v/>
      </c>
    </row>
    <row r="9029" spans="5:19" x14ac:dyDescent="0.3">
      <c r="E9029" s="9" t="str">
        <f>IF(DADOS!C9029="","",DADOS!C9029)</f>
        <v/>
      </c>
      <c r="F9029" s="9" t="str">
        <f>IF(DADOS!E9029="","",DADOS!E9029)</f>
        <v/>
      </c>
      <c r="G9029" s="9" t="str">
        <f>IF(DADOS!F9029="","",DADOS!F9029)</f>
        <v/>
      </c>
      <c r="K9029" s="6" t="str">
        <f t="shared" si="710"/>
        <v/>
      </c>
      <c r="L9029" s="7" t="str">
        <f t="shared" si="711"/>
        <v/>
      </c>
      <c r="M9029" s="7" t="str">
        <f t="shared" si="708"/>
        <v/>
      </c>
      <c r="N9029" s="7" t="str">
        <f t="shared" si="712"/>
        <v/>
      </c>
      <c r="O9029" s="8"/>
      <c r="P9029" s="26"/>
      <c r="S9029" s="10" t="str">
        <f t="shared" si="709"/>
        <v/>
      </c>
    </row>
    <row r="9030" spans="5:19" x14ac:dyDescent="0.3">
      <c r="E9030" s="9" t="str">
        <f>IF(DADOS!C9030="","",DADOS!C9030)</f>
        <v/>
      </c>
      <c r="F9030" s="9" t="str">
        <f>IF(DADOS!E9030="","",DADOS!E9030)</f>
        <v/>
      </c>
      <c r="G9030" s="9" t="str">
        <f>IF(DADOS!F9030="","",DADOS!F9030)</f>
        <v/>
      </c>
      <c r="K9030" s="6" t="str">
        <f t="shared" si="710"/>
        <v/>
      </c>
      <c r="L9030" s="7" t="str">
        <f t="shared" si="711"/>
        <v/>
      </c>
      <c r="M9030" s="7" t="str">
        <f t="shared" si="708"/>
        <v/>
      </c>
      <c r="N9030" s="7" t="str">
        <f t="shared" si="712"/>
        <v/>
      </c>
      <c r="O9030" s="8"/>
      <c r="P9030" s="26"/>
      <c r="S9030" s="10" t="str">
        <f t="shared" si="709"/>
        <v/>
      </c>
    </row>
    <row r="9031" spans="5:19" x14ac:dyDescent="0.3">
      <c r="E9031" s="9" t="str">
        <f>IF(DADOS!C9031="","",DADOS!C9031)</f>
        <v/>
      </c>
      <c r="F9031" s="9" t="str">
        <f>IF(DADOS!E9031="","",DADOS!E9031)</f>
        <v/>
      </c>
      <c r="G9031" s="9" t="str">
        <f>IF(DADOS!F9031="","",DADOS!F9031)</f>
        <v/>
      </c>
      <c r="K9031" s="6" t="str">
        <f t="shared" si="710"/>
        <v/>
      </c>
      <c r="L9031" s="7" t="str">
        <f t="shared" si="711"/>
        <v/>
      </c>
      <c r="M9031" s="7" t="str">
        <f t="shared" si="708"/>
        <v/>
      </c>
      <c r="N9031" s="7" t="str">
        <f t="shared" si="712"/>
        <v/>
      </c>
      <c r="O9031" s="8"/>
      <c r="P9031" s="26"/>
      <c r="S9031" s="10" t="str">
        <f t="shared" si="709"/>
        <v/>
      </c>
    </row>
    <row r="9032" spans="5:19" x14ac:dyDescent="0.3">
      <c r="E9032" s="9" t="str">
        <f>IF(DADOS!C9032="","",DADOS!C9032)</f>
        <v/>
      </c>
      <c r="F9032" s="9" t="str">
        <f>IF(DADOS!E9032="","",DADOS!E9032)</f>
        <v/>
      </c>
      <c r="G9032" s="9" t="str">
        <f>IF(DADOS!F9032="","",DADOS!F9032)</f>
        <v/>
      </c>
      <c r="K9032" s="6" t="str">
        <f t="shared" si="710"/>
        <v/>
      </c>
      <c r="L9032" s="7" t="str">
        <f t="shared" si="711"/>
        <v/>
      </c>
      <c r="M9032" s="7" t="str">
        <f t="shared" si="708"/>
        <v/>
      </c>
      <c r="N9032" s="7" t="str">
        <f t="shared" si="712"/>
        <v/>
      </c>
      <c r="O9032" s="8"/>
      <c r="P9032" s="26"/>
      <c r="S9032" s="10" t="str">
        <f t="shared" si="709"/>
        <v/>
      </c>
    </row>
    <row r="9033" spans="5:19" x14ac:dyDescent="0.3">
      <c r="E9033" s="9" t="str">
        <f>IF(DADOS!C9033="","",DADOS!C9033)</f>
        <v/>
      </c>
      <c r="F9033" s="9" t="str">
        <f>IF(DADOS!E9033="","",DADOS!E9033)</f>
        <v/>
      </c>
      <c r="G9033" s="9" t="str">
        <f>IF(DADOS!F9033="","",DADOS!F9033)</f>
        <v/>
      </c>
      <c r="K9033" s="6" t="str">
        <f t="shared" si="710"/>
        <v/>
      </c>
      <c r="L9033" s="7" t="str">
        <f t="shared" si="711"/>
        <v/>
      </c>
      <c r="M9033" s="7" t="str">
        <f t="shared" si="708"/>
        <v/>
      </c>
      <c r="N9033" s="7" t="str">
        <f t="shared" si="712"/>
        <v/>
      </c>
      <c r="O9033" s="8"/>
      <c r="P9033" s="26"/>
      <c r="S9033" s="10" t="str">
        <f t="shared" si="709"/>
        <v/>
      </c>
    </row>
    <row r="9034" spans="5:19" x14ac:dyDescent="0.3">
      <c r="E9034" s="9" t="str">
        <f>IF(DADOS!C9034="","",DADOS!C9034)</f>
        <v/>
      </c>
      <c r="F9034" s="9" t="str">
        <f>IF(DADOS!E9034="","",DADOS!E9034)</f>
        <v/>
      </c>
      <c r="G9034" s="9" t="str">
        <f>IF(DADOS!F9034="","",DADOS!F9034)</f>
        <v/>
      </c>
      <c r="K9034" s="6" t="str">
        <f t="shared" si="710"/>
        <v/>
      </c>
      <c r="L9034" s="7" t="str">
        <f t="shared" si="711"/>
        <v/>
      </c>
      <c r="M9034" s="7" t="str">
        <f t="shared" si="708"/>
        <v/>
      </c>
      <c r="N9034" s="7" t="str">
        <f t="shared" si="712"/>
        <v/>
      </c>
      <c r="O9034" s="8"/>
      <c r="P9034" s="26"/>
      <c r="S9034" s="10" t="str">
        <f t="shared" si="709"/>
        <v/>
      </c>
    </row>
    <row r="9035" spans="5:19" x14ac:dyDescent="0.3">
      <c r="E9035" s="9" t="str">
        <f>IF(DADOS!C9035="","",DADOS!C9035)</f>
        <v/>
      </c>
      <c r="F9035" s="9" t="str">
        <f>IF(DADOS!E9035="","",DADOS!E9035)</f>
        <v/>
      </c>
      <c r="G9035" s="9" t="str">
        <f>IF(DADOS!F9035="","",DADOS!F9035)</f>
        <v/>
      </c>
      <c r="K9035" s="6" t="str">
        <f t="shared" si="710"/>
        <v/>
      </c>
      <c r="L9035" s="7" t="str">
        <f t="shared" si="711"/>
        <v/>
      </c>
      <c r="M9035" s="7" t="str">
        <f t="shared" si="708"/>
        <v/>
      </c>
      <c r="N9035" s="7" t="str">
        <f t="shared" si="712"/>
        <v/>
      </c>
      <c r="O9035" s="8"/>
      <c r="P9035" s="26"/>
      <c r="S9035" s="10" t="str">
        <f t="shared" si="709"/>
        <v/>
      </c>
    </row>
    <row r="9036" spans="5:19" x14ac:dyDescent="0.3">
      <c r="E9036" s="9" t="str">
        <f>IF(DADOS!C9036="","",DADOS!C9036)</f>
        <v/>
      </c>
      <c r="F9036" s="9" t="str">
        <f>IF(DADOS!E9036="","",DADOS!E9036)</f>
        <v/>
      </c>
      <c r="G9036" s="9" t="str">
        <f>IF(DADOS!F9036="","",DADOS!F9036)</f>
        <v/>
      </c>
      <c r="K9036" s="6" t="str">
        <f t="shared" si="710"/>
        <v/>
      </c>
      <c r="L9036" s="7" t="str">
        <f t="shared" si="711"/>
        <v/>
      </c>
      <c r="M9036" s="7" t="str">
        <f t="shared" si="708"/>
        <v/>
      </c>
      <c r="N9036" s="7" t="str">
        <f t="shared" si="712"/>
        <v/>
      </c>
      <c r="O9036" s="8"/>
      <c r="P9036" s="26"/>
      <c r="S9036" s="10" t="str">
        <f t="shared" si="709"/>
        <v/>
      </c>
    </row>
    <row r="9037" spans="5:19" x14ac:dyDescent="0.3">
      <c r="E9037" s="9" t="str">
        <f>IF(DADOS!C9037="","",DADOS!C9037)</f>
        <v/>
      </c>
      <c r="F9037" s="9" t="str">
        <f>IF(DADOS!E9037="","",DADOS!E9037)</f>
        <v/>
      </c>
      <c r="G9037" s="9" t="str">
        <f>IF(DADOS!F9037="","",DADOS!F9037)</f>
        <v/>
      </c>
      <c r="K9037" s="6" t="str">
        <f t="shared" si="710"/>
        <v/>
      </c>
      <c r="L9037" s="7" t="str">
        <f t="shared" si="711"/>
        <v/>
      </c>
      <c r="M9037" s="7" t="str">
        <f t="shared" si="708"/>
        <v/>
      </c>
      <c r="N9037" s="7" t="str">
        <f t="shared" si="712"/>
        <v/>
      </c>
      <c r="O9037" s="8"/>
      <c r="P9037" s="26"/>
      <c r="S9037" s="10" t="str">
        <f t="shared" si="709"/>
        <v/>
      </c>
    </row>
    <row r="9038" spans="5:19" x14ac:dyDescent="0.3">
      <c r="E9038" s="9" t="str">
        <f>IF(DADOS!C9038="","",DADOS!C9038)</f>
        <v/>
      </c>
      <c r="F9038" s="9" t="str">
        <f>IF(DADOS!E9038="","",DADOS!E9038)</f>
        <v/>
      </c>
      <c r="G9038" s="9" t="str">
        <f>IF(DADOS!F9038="","",DADOS!F9038)</f>
        <v/>
      </c>
      <c r="K9038" s="6" t="str">
        <f t="shared" si="710"/>
        <v/>
      </c>
      <c r="L9038" s="7" t="str">
        <f t="shared" si="711"/>
        <v/>
      </c>
      <c r="M9038" s="7" t="str">
        <f t="shared" si="708"/>
        <v/>
      </c>
      <c r="N9038" s="7" t="str">
        <f t="shared" si="712"/>
        <v/>
      </c>
      <c r="O9038" s="8"/>
      <c r="P9038" s="26"/>
      <c r="S9038" s="10" t="str">
        <f t="shared" si="709"/>
        <v/>
      </c>
    </row>
    <row r="9039" spans="5:19" x14ac:dyDescent="0.3">
      <c r="E9039" s="9" t="str">
        <f>IF(DADOS!C9039="","",DADOS!C9039)</f>
        <v/>
      </c>
      <c r="F9039" s="9" t="str">
        <f>IF(DADOS!E9039="","",DADOS!E9039)</f>
        <v/>
      </c>
      <c r="G9039" s="9" t="str">
        <f>IF(DADOS!F9039="","",DADOS!F9039)</f>
        <v/>
      </c>
      <c r="K9039" s="6" t="str">
        <f t="shared" si="710"/>
        <v/>
      </c>
      <c r="L9039" s="7" t="str">
        <f t="shared" si="711"/>
        <v/>
      </c>
      <c r="M9039" s="7" t="str">
        <f t="shared" si="708"/>
        <v/>
      </c>
      <c r="N9039" s="7" t="str">
        <f t="shared" si="712"/>
        <v/>
      </c>
      <c r="O9039" s="8"/>
      <c r="P9039" s="26"/>
      <c r="S9039" s="10" t="str">
        <f t="shared" si="709"/>
        <v/>
      </c>
    </row>
    <row r="9040" spans="5:19" x14ac:dyDescent="0.3">
      <c r="E9040" s="9" t="str">
        <f>IF(DADOS!C9040="","",DADOS!C9040)</f>
        <v/>
      </c>
      <c r="F9040" s="9" t="str">
        <f>IF(DADOS!E9040="","",DADOS!E9040)</f>
        <v/>
      </c>
      <c r="G9040" s="9" t="str">
        <f>IF(DADOS!F9040="","",DADOS!F9040)</f>
        <v/>
      </c>
      <c r="K9040" s="6" t="str">
        <f t="shared" si="710"/>
        <v/>
      </c>
      <c r="L9040" s="7" t="str">
        <f t="shared" si="711"/>
        <v/>
      </c>
      <c r="M9040" s="7" t="str">
        <f t="shared" si="708"/>
        <v/>
      </c>
      <c r="N9040" s="7" t="str">
        <f t="shared" si="712"/>
        <v/>
      </c>
      <c r="O9040" s="8"/>
      <c r="P9040" s="26"/>
      <c r="S9040" s="10" t="str">
        <f t="shared" si="709"/>
        <v/>
      </c>
    </row>
    <row r="9041" spans="5:19" x14ac:dyDescent="0.3">
      <c r="E9041" s="9" t="str">
        <f>IF(DADOS!C9041="","",DADOS!C9041)</f>
        <v/>
      </c>
      <c r="F9041" s="9" t="str">
        <f>IF(DADOS!E9041="","",DADOS!E9041)</f>
        <v/>
      </c>
      <c r="G9041" s="9" t="str">
        <f>IF(DADOS!F9041="","",DADOS!F9041)</f>
        <v/>
      </c>
      <c r="K9041" s="6" t="str">
        <f t="shared" si="710"/>
        <v/>
      </c>
      <c r="L9041" s="7" t="str">
        <f t="shared" si="711"/>
        <v/>
      </c>
      <c r="M9041" s="7" t="str">
        <f t="shared" si="708"/>
        <v/>
      </c>
      <c r="N9041" s="7" t="str">
        <f t="shared" si="712"/>
        <v/>
      </c>
      <c r="O9041" s="8"/>
      <c r="P9041" s="26"/>
      <c r="S9041" s="10" t="str">
        <f t="shared" si="709"/>
        <v/>
      </c>
    </row>
    <row r="9042" spans="5:19" x14ac:dyDescent="0.3">
      <c r="E9042" s="9" t="str">
        <f>IF(DADOS!C9042="","",DADOS!C9042)</f>
        <v/>
      </c>
      <c r="F9042" s="9" t="str">
        <f>IF(DADOS!E9042="","",DADOS!E9042)</f>
        <v/>
      </c>
      <c r="G9042" s="9" t="str">
        <f>IF(DADOS!F9042="","",DADOS!F9042)</f>
        <v/>
      </c>
      <c r="K9042" s="6" t="str">
        <f t="shared" si="710"/>
        <v/>
      </c>
      <c r="L9042" s="7" t="str">
        <f t="shared" si="711"/>
        <v/>
      </c>
      <c r="M9042" s="7" t="str">
        <f t="shared" si="708"/>
        <v/>
      </c>
      <c r="N9042" s="7" t="str">
        <f t="shared" si="712"/>
        <v/>
      </c>
      <c r="O9042" s="8"/>
      <c r="P9042" s="26"/>
      <c r="S9042" s="10" t="str">
        <f t="shared" si="709"/>
        <v/>
      </c>
    </row>
    <row r="9043" spans="5:19" x14ac:dyDescent="0.3">
      <c r="E9043" s="9" t="str">
        <f>IF(DADOS!C9043="","",DADOS!C9043)</f>
        <v/>
      </c>
      <c r="F9043" s="9" t="str">
        <f>IF(DADOS!E9043="","",DADOS!E9043)</f>
        <v/>
      </c>
      <c r="G9043" s="9" t="str">
        <f>IF(DADOS!F9043="","",DADOS!F9043)</f>
        <v/>
      </c>
      <c r="K9043" s="6" t="str">
        <f t="shared" si="710"/>
        <v/>
      </c>
      <c r="L9043" s="7" t="str">
        <f t="shared" si="711"/>
        <v/>
      </c>
      <c r="M9043" s="7" t="str">
        <f t="shared" si="708"/>
        <v/>
      </c>
      <c r="N9043" s="7" t="str">
        <f t="shared" si="712"/>
        <v/>
      </c>
      <c r="O9043" s="8"/>
      <c r="P9043" s="26"/>
      <c r="S9043" s="10" t="str">
        <f t="shared" si="709"/>
        <v/>
      </c>
    </row>
    <row r="9044" spans="5:19" x14ac:dyDescent="0.3">
      <c r="E9044" s="9" t="str">
        <f>IF(DADOS!C9044="","",DADOS!C9044)</f>
        <v/>
      </c>
      <c r="F9044" s="9" t="str">
        <f>IF(DADOS!E9044="","",DADOS!E9044)</f>
        <v/>
      </c>
      <c r="G9044" s="9" t="str">
        <f>IF(DADOS!F9044="","",DADOS!F9044)</f>
        <v/>
      </c>
      <c r="K9044" s="6" t="str">
        <f t="shared" si="710"/>
        <v/>
      </c>
      <c r="L9044" s="7" t="str">
        <f t="shared" si="711"/>
        <v/>
      </c>
      <c r="M9044" s="7" t="str">
        <f t="shared" si="708"/>
        <v/>
      </c>
      <c r="N9044" s="7" t="str">
        <f t="shared" si="712"/>
        <v/>
      </c>
      <c r="O9044" s="8"/>
      <c r="P9044" s="26"/>
      <c r="S9044" s="10" t="str">
        <f t="shared" si="709"/>
        <v/>
      </c>
    </row>
    <row r="9045" spans="5:19" x14ac:dyDescent="0.3">
      <c r="E9045" s="9" t="str">
        <f>IF(DADOS!C9045="","",DADOS!C9045)</f>
        <v/>
      </c>
      <c r="F9045" s="9" t="str">
        <f>IF(DADOS!E9045="","",DADOS!E9045)</f>
        <v/>
      </c>
      <c r="G9045" s="9" t="str">
        <f>IF(DADOS!F9045="","",DADOS!F9045)</f>
        <v/>
      </c>
      <c r="K9045" s="6" t="str">
        <f t="shared" si="710"/>
        <v/>
      </c>
      <c r="L9045" s="7" t="str">
        <f t="shared" si="711"/>
        <v/>
      </c>
      <c r="M9045" s="7" t="str">
        <f t="shared" si="708"/>
        <v/>
      </c>
      <c r="N9045" s="7" t="str">
        <f t="shared" si="712"/>
        <v/>
      </c>
      <c r="O9045" s="8"/>
      <c r="P9045" s="26"/>
      <c r="S9045" s="10" t="str">
        <f t="shared" si="709"/>
        <v/>
      </c>
    </row>
    <row r="9046" spans="5:19" x14ac:dyDescent="0.3">
      <c r="E9046" s="9" t="str">
        <f>IF(DADOS!C9046="","",DADOS!C9046)</f>
        <v/>
      </c>
      <c r="F9046" s="9" t="str">
        <f>IF(DADOS!E9046="","",DADOS!E9046)</f>
        <v/>
      </c>
      <c r="G9046" s="9" t="str">
        <f>IF(DADOS!F9046="","",DADOS!F9046)</f>
        <v/>
      </c>
      <c r="K9046" s="6" t="str">
        <f t="shared" si="710"/>
        <v/>
      </c>
      <c r="L9046" s="7" t="str">
        <f t="shared" si="711"/>
        <v/>
      </c>
      <c r="M9046" s="7" t="str">
        <f t="shared" si="708"/>
        <v/>
      </c>
      <c r="N9046" s="7" t="str">
        <f t="shared" si="712"/>
        <v/>
      </c>
      <c r="O9046" s="8"/>
      <c r="P9046" s="26"/>
      <c r="S9046" s="10" t="str">
        <f t="shared" si="709"/>
        <v/>
      </c>
    </row>
    <row r="9047" spans="5:19" x14ac:dyDescent="0.3">
      <c r="E9047" s="9" t="str">
        <f>IF(DADOS!C9047="","",DADOS!C9047)</f>
        <v/>
      </c>
      <c r="F9047" s="9" t="str">
        <f>IF(DADOS!E9047="","",DADOS!E9047)</f>
        <v/>
      </c>
      <c r="G9047" s="9" t="str">
        <f>IF(DADOS!F9047="","",DADOS!F9047)</f>
        <v/>
      </c>
      <c r="K9047" s="6" t="str">
        <f t="shared" si="710"/>
        <v/>
      </c>
      <c r="L9047" s="7" t="str">
        <f t="shared" si="711"/>
        <v/>
      </c>
      <c r="M9047" s="7" t="str">
        <f t="shared" si="708"/>
        <v/>
      </c>
      <c r="N9047" s="7" t="str">
        <f t="shared" si="712"/>
        <v/>
      </c>
      <c r="O9047" s="8"/>
      <c r="P9047" s="26"/>
      <c r="S9047" s="10" t="str">
        <f t="shared" si="709"/>
        <v/>
      </c>
    </row>
    <row r="9048" spans="5:19" x14ac:dyDescent="0.3">
      <c r="E9048" s="9" t="str">
        <f>IF(DADOS!C9048="","",DADOS!C9048)</f>
        <v/>
      </c>
      <c r="F9048" s="9" t="str">
        <f>IF(DADOS!E9048="","",DADOS!E9048)</f>
        <v/>
      </c>
      <c r="G9048" s="9" t="str">
        <f>IF(DADOS!F9048="","",DADOS!F9048)</f>
        <v/>
      </c>
      <c r="K9048" s="6" t="str">
        <f t="shared" si="710"/>
        <v/>
      </c>
      <c r="L9048" s="7" t="str">
        <f t="shared" si="711"/>
        <v/>
      </c>
      <c r="M9048" s="7" t="str">
        <f t="shared" si="708"/>
        <v/>
      </c>
      <c r="N9048" s="7" t="str">
        <f t="shared" si="712"/>
        <v/>
      </c>
      <c r="O9048" s="8"/>
      <c r="P9048" s="26"/>
      <c r="S9048" s="10" t="str">
        <f t="shared" si="709"/>
        <v/>
      </c>
    </row>
    <row r="9049" spans="5:19" x14ac:dyDescent="0.3">
      <c r="E9049" s="9" t="str">
        <f>IF(DADOS!C9049="","",DADOS!C9049)</f>
        <v/>
      </c>
      <c r="F9049" s="9" t="str">
        <f>IF(DADOS!E9049="","",DADOS!E9049)</f>
        <v/>
      </c>
      <c r="G9049" s="9" t="str">
        <f>IF(DADOS!F9049="","",DADOS!F9049)</f>
        <v/>
      </c>
      <c r="K9049" s="6" t="str">
        <f t="shared" si="710"/>
        <v/>
      </c>
      <c r="L9049" s="7" t="str">
        <f t="shared" si="711"/>
        <v/>
      </c>
      <c r="M9049" s="7" t="str">
        <f t="shared" si="708"/>
        <v/>
      </c>
      <c r="N9049" s="7" t="str">
        <f t="shared" si="712"/>
        <v/>
      </c>
      <c r="O9049" s="8"/>
      <c r="P9049" s="26"/>
      <c r="S9049" s="10" t="str">
        <f t="shared" si="709"/>
        <v/>
      </c>
    </row>
    <row r="9050" spans="5:19" x14ac:dyDescent="0.3">
      <c r="E9050" s="9" t="str">
        <f>IF(DADOS!C9050="","",DADOS!C9050)</f>
        <v/>
      </c>
      <c r="F9050" s="9" t="str">
        <f>IF(DADOS!E9050="","",DADOS!E9050)</f>
        <v/>
      </c>
      <c r="G9050" s="9" t="str">
        <f>IF(DADOS!F9050="","",DADOS!F9050)</f>
        <v/>
      </c>
      <c r="K9050" s="6" t="str">
        <f t="shared" si="710"/>
        <v/>
      </c>
      <c r="L9050" s="7" t="str">
        <f t="shared" si="711"/>
        <v/>
      </c>
      <c r="M9050" s="7" t="str">
        <f t="shared" si="708"/>
        <v/>
      </c>
      <c r="N9050" s="7" t="str">
        <f t="shared" si="712"/>
        <v/>
      </c>
      <c r="O9050" s="8"/>
      <c r="P9050" s="26"/>
      <c r="S9050" s="10" t="str">
        <f t="shared" si="709"/>
        <v/>
      </c>
    </row>
    <row r="9051" spans="5:19" x14ac:dyDescent="0.3">
      <c r="E9051" s="9" t="str">
        <f>IF(DADOS!C9051="","",DADOS!C9051)</f>
        <v/>
      </c>
      <c r="F9051" s="9" t="str">
        <f>IF(DADOS!E9051="","",DADOS!E9051)</f>
        <v/>
      </c>
      <c r="G9051" s="9" t="str">
        <f>IF(DADOS!F9051="","",DADOS!F9051)</f>
        <v/>
      </c>
      <c r="K9051" s="6" t="str">
        <f t="shared" si="710"/>
        <v/>
      </c>
      <c r="L9051" s="7" t="str">
        <f t="shared" si="711"/>
        <v/>
      </c>
      <c r="M9051" s="7" t="str">
        <f t="shared" si="708"/>
        <v/>
      </c>
      <c r="N9051" s="7" t="str">
        <f t="shared" si="712"/>
        <v/>
      </c>
      <c r="O9051" s="8"/>
      <c r="P9051" s="26"/>
      <c r="S9051" s="10" t="str">
        <f t="shared" si="709"/>
        <v/>
      </c>
    </row>
    <row r="9052" spans="5:19" x14ac:dyDescent="0.3">
      <c r="E9052" s="9" t="str">
        <f>IF(DADOS!C9052="","",DADOS!C9052)</f>
        <v/>
      </c>
      <c r="F9052" s="9" t="str">
        <f>IF(DADOS!E9052="","",DADOS!E9052)</f>
        <v/>
      </c>
      <c r="G9052" s="9" t="str">
        <f>IF(DADOS!F9052="","",DADOS!F9052)</f>
        <v/>
      </c>
      <c r="K9052" s="6" t="str">
        <f t="shared" si="710"/>
        <v/>
      </c>
      <c r="L9052" s="7" t="str">
        <f t="shared" si="711"/>
        <v/>
      </c>
      <c r="M9052" s="7" t="str">
        <f t="shared" si="708"/>
        <v/>
      </c>
      <c r="N9052" s="7" t="str">
        <f t="shared" si="712"/>
        <v/>
      </c>
      <c r="O9052" s="8"/>
      <c r="P9052" s="26"/>
      <c r="S9052" s="10" t="str">
        <f t="shared" si="709"/>
        <v/>
      </c>
    </row>
    <row r="9053" spans="5:19" x14ac:dyDescent="0.3">
      <c r="E9053" s="9" t="str">
        <f>IF(DADOS!C9053="","",DADOS!C9053)</f>
        <v/>
      </c>
      <c r="F9053" s="9" t="str">
        <f>IF(DADOS!E9053="","",DADOS!E9053)</f>
        <v/>
      </c>
      <c r="G9053" s="9" t="str">
        <f>IF(DADOS!F9053="","",DADOS!F9053)</f>
        <v/>
      </c>
      <c r="K9053" s="6" t="str">
        <f t="shared" si="710"/>
        <v/>
      </c>
      <c r="L9053" s="7" t="str">
        <f t="shared" si="711"/>
        <v/>
      </c>
      <c r="M9053" s="7" t="str">
        <f t="shared" si="708"/>
        <v/>
      </c>
      <c r="N9053" s="7" t="str">
        <f t="shared" si="712"/>
        <v/>
      </c>
      <c r="O9053" s="8"/>
      <c r="P9053" s="26"/>
      <c r="S9053" s="10" t="str">
        <f t="shared" si="709"/>
        <v/>
      </c>
    </row>
    <row r="9054" spans="5:19" x14ac:dyDescent="0.3">
      <c r="E9054" s="9" t="str">
        <f>IF(DADOS!C9054="","",DADOS!C9054)</f>
        <v/>
      </c>
      <c r="F9054" s="9" t="str">
        <f>IF(DADOS!E9054="","",DADOS!E9054)</f>
        <v/>
      </c>
      <c r="G9054" s="9" t="str">
        <f>IF(DADOS!F9054="","",DADOS!F9054)</f>
        <v/>
      </c>
      <c r="K9054" s="6" t="str">
        <f t="shared" si="710"/>
        <v/>
      </c>
      <c r="L9054" s="7" t="str">
        <f t="shared" si="711"/>
        <v/>
      </c>
      <c r="M9054" s="7" t="str">
        <f t="shared" si="708"/>
        <v/>
      </c>
      <c r="N9054" s="7" t="str">
        <f t="shared" si="712"/>
        <v/>
      </c>
      <c r="O9054" s="8"/>
      <c r="P9054" s="26"/>
      <c r="S9054" s="10" t="str">
        <f t="shared" si="709"/>
        <v/>
      </c>
    </row>
    <row r="9055" spans="5:19" x14ac:dyDescent="0.3">
      <c r="E9055" s="9" t="str">
        <f>IF(DADOS!C9055="","",DADOS!C9055)</f>
        <v/>
      </c>
      <c r="F9055" s="9" t="str">
        <f>IF(DADOS!E9055="","",DADOS!E9055)</f>
        <v/>
      </c>
      <c r="G9055" s="9" t="str">
        <f>IF(DADOS!F9055="","",DADOS!F9055)</f>
        <v/>
      </c>
      <c r="K9055" s="6" t="str">
        <f t="shared" si="710"/>
        <v/>
      </c>
      <c r="L9055" s="7" t="str">
        <f t="shared" si="711"/>
        <v/>
      </c>
      <c r="M9055" s="7" t="str">
        <f t="shared" si="708"/>
        <v/>
      </c>
      <c r="N9055" s="7" t="str">
        <f t="shared" si="712"/>
        <v/>
      </c>
      <c r="O9055" s="8"/>
      <c r="P9055" s="26"/>
      <c r="S9055" s="10" t="str">
        <f t="shared" si="709"/>
        <v/>
      </c>
    </row>
    <row r="9056" spans="5:19" x14ac:dyDescent="0.3">
      <c r="E9056" s="9" t="str">
        <f>IF(DADOS!C9056="","",DADOS!C9056)</f>
        <v/>
      </c>
      <c r="F9056" s="9" t="str">
        <f>IF(DADOS!E9056="","",DADOS!E9056)</f>
        <v/>
      </c>
      <c r="G9056" s="9" t="str">
        <f>IF(DADOS!F9056="","",DADOS!F9056)</f>
        <v/>
      </c>
      <c r="K9056" s="6" t="str">
        <f t="shared" si="710"/>
        <v/>
      </c>
      <c r="L9056" s="7" t="str">
        <f t="shared" si="711"/>
        <v/>
      </c>
      <c r="M9056" s="7" t="str">
        <f t="shared" si="708"/>
        <v/>
      </c>
      <c r="N9056" s="7" t="str">
        <f t="shared" si="712"/>
        <v/>
      </c>
      <c r="O9056" s="8"/>
      <c r="P9056" s="26"/>
      <c r="S9056" s="10" t="str">
        <f t="shared" si="709"/>
        <v/>
      </c>
    </row>
    <row r="9057" spans="5:19" x14ac:dyDescent="0.3">
      <c r="E9057" s="9" t="str">
        <f>IF(DADOS!C9057="","",DADOS!C9057)</f>
        <v/>
      </c>
      <c r="F9057" s="9" t="str">
        <f>IF(DADOS!E9057="","",DADOS!E9057)</f>
        <v/>
      </c>
      <c r="G9057" s="9" t="str">
        <f>IF(DADOS!F9057="","",DADOS!F9057)</f>
        <v/>
      </c>
      <c r="K9057" s="6" t="str">
        <f t="shared" si="710"/>
        <v/>
      </c>
      <c r="L9057" s="7" t="str">
        <f t="shared" si="711"/>
        <v/>
      </c>
      <c r="M9057" s="7" t="str">
        <f t="shared" si="708"/>
        <v/>
      </c>
      <c r="N9057" s="7" t="str">
        <f t="shared" si="712"/>
        <v/>
      </c>
      <c r="O9057" s="8"/>
      <c r="P9057" s="26"/>
      <c r="S9057" s="10" t="str">
        <f t="shared" si="709"/>
        <v/>
      </c>
    </row>
    <row r="9058" spans="5:19" x14ac:dyDescent="0.3">
      <c r="E9058" s="9" t="str">
        <f>IF(DADOS!C9058="","",DADOS!C9058)</f>
        <v/>
      </c>
      <c r="F9058" s="9" t="str">
        <f>IF(DADOS!E9058="","",DADOS!E9058)</f>
        <v/>
      </c>
      <c r="G9058" s="9" t="str">
        <f>IF(DADOS!F9058="","",DADOS!F9058)</f>
        <v/>
      </c>
      <c r="K9058" s="6" t="str">
        <f t="shared" si="710"/>
        <v/>
      </c>
      <c r="L9058" s="7" t="str">
        <f t="shared" si="711"/>
        <v/>
      </c>
      <c r="M9058" s="7" t="str">
        <f t="shared" si="708"/>
        <v/>
      </c>
      <c r="N9058" s="7" t="str">
        <f t="shared" si="712"/>
        <v/>
      </c>
      <c r="O9058" s="8"/>
      <c r="P9058" s="26"/>
      <c r="S9058" s="10" t="str">
        <f t="shared" si="709"/>
        <v/>
      </c>
    </row>
    <row r="9059" spans="5:19" x14ac:dyDescent="0.3">
      <c r="E9059" s="9" t="str">
        <f>IF(DADOS!C9059="","",DADOS!C9059)</f>
        <v/>
      </c>
      <c r="F9059" s="9" t="str">
        <f>IF(DADOS!E9059="","",DADOS!E9059)</f>
        <v/>
      </c>
      <c r="G9059" s="9" t="str">
        <f>IF(DADOS!F9059="","",DADOS!F9059)</f>
        <v/>
      </c>
      <c r="K9059" s="6" t="str">
        <f t="shared" si="710"/>
        <v/>
      </c>
      <c r="L9059" s="7" t="str">
        <f t="shared" si="711"/>
        <v/>
      </c>
      <c r="M9059" s="7" t="str">
        <f t="shared" si="708"/>
        <v/>
      </c>
      <c r="N9059" s="7" t="str">
        <f t="shared" si="712"/>
        <v/>
      </c>
      <c r="O9059" s="8"/>
      <c r="P9059" s="26"/>
      <c r="S9059" s="10" t="str">
        <f t="shared" si="709"/>
        <v/>
      </c>
    </row>
    <row r="9060" spans="5:19" x14ac:dyDescent="0.3">
      <c r="E9060" s="9" t="str">
        <f>IF(DADOS!C9060="","",DADOS!C9060)</f>
        <v/>
      </c>
      <c r="F9060" s="9" t="str">
        <f>IF(DADOS!E9060="","",DADOS!E9060)</f>
        <v/>
      </c>
      <c r="G9060" s="9" t="str">
        <f>IF(DADOS!F9060="","",DADOS!F9060)</f>
        <v/>
      </c>
      <c r="K9060" s="6" t="str">
        <f t="shared" si="710"/>
        <v/>
      </c>
      <c r="L9060" s="7" t="str">
        <f t="shared" si="711"/>
        <v/>
      </c>
      <c r="M9060" s="7" t="str">
        <f t="shared" si="708"/>
        <v/>
      </c>
      <c r="N9060" s="7" t="str">
        <f t="shared" si="712"/>
        <v/>
      </c>
      <c r="O9060" s="8"/>
      <c r="P9060" s="26"/>
      <c r="S9060" s="10" t="str">
        <f t="shared" si="709"/>
        <v/>
      </c>
    </row>
    <row r="9061" spans="5:19" x14ac:dyDescent="0.3">
      <c r="E9061" s="9" t="str">
        <f>IF(DADOS!C9061="","",DADOS!C9061)</f>
        <v/>
      </c>
      <c r="F9061" s="9" t="str">
        <f>IF(DADOS!E9061="","",DADOS!E9061)</f>
        <v/>
      </c>
      <c r="G9061" s="9" t="str">
        <f>IF(DADOS!F9061="","",DADOS!F9061)</f>
        <v/>
      </c>
      <c r="K9061" s="6" t="str">
        <f t="shared" si="710"/>
        <v/>
      </c>
      <c r="L9061" s="7" t="str">
        <f t="shared" si="711"/>
        <v/>
      </c>
      <c r="M9061" s="7" t="str">
        <f t="shared" si="708"/>
        <v/>
      </c>
      <c r="N9061" s="7" t="str">
        <f t="shared" si="712"/>
        <v/>
      </c>
      <c r="O9061" s="8"/>
      <c r="P9061" s="26"/>
      <c r="S9061" s="10" t="str">
        <f t="shared" si="709"/>
        <v/>
      </c>
    </row>
    <row r="9062" spans="5:19" x14ac:dyDescent="0.3">
      <c r="E9062" s="9" t="str">
        <f>IF(DADOS!C9062="","",DADOS!C9062)</f>
        <v/>
      </c>
      <c r="F9062" s="9" t="str">
        <f>IF(DADOS!E9062="","",DADOS!E9062)</f>
        <v/>
      </c>
      <c r="G9062" s="9" t="str">
        <f>IF(DADOS!F9062="","",DADOS!F9062)</f>
        <v/>
      </c>
      <c r="K9062" s="6" t="str">
        <f t="shared" si="710"/>
        <v/>
      </c>
      <c r="L9062" s="7" t="str">
        <f t="shared" si="711"/>
        <v/>
      </c>
      <c r="M9062" s="7" t="str">
        <f t="shared" si="708"/>
        <v/>
      </c>
      <c r="N9062" s="7" t="str">
        <f t="shared" si="712"/>
        <v/>
      </c>
      <c r="O9062" s="8"/>
      <c r="P9062" s="26"/>
      <c r="S9062" s="10" t="str">
        <f t="shared" si="709"/>
        <v/>
      </c>
    </row>
    <row r="9063" spans="5:19" x14ac:dyDescent="0.3">
      <c r="E9063" s="9" t="str">
        <f>IF(DADOS!C9063="","",DADOS!C9063)</f>
        <v/>
      </c>
      <c r="F9063" s="9" t="str">
        <f>IF(DADOS!E9063="","",DADOS!E9063)</f>
        <v/>
      </c>
      <c r="G9063" s="9" t="str">
        <f>IF(DADOS!F9063="","",DADOS!F9063)</f>
        <v/>
      </c>
      <c r="K9063" s="6" t="str">
        <f t="shared" si="710"/>
        <v/>
      </c>
      <c r="L9063" s="7" t="str">
        <f t="shared" si="711"/>
        <v/>
      </c>
      <c r="M9063" s="7" t="str">
        <f t="shared" si="708"/>
        <v/>
      </c>
      <c r="N9063" s="7" t="str">
        <f t="shared" si="712"/>
        <v/>
      </c>
      <c r="O9063" s="8"/>
      <c r="P9063" s="26"/>
      <c r="S9063" s="10" t="str">
        <f t="shared" si="709"/>
        <v/>
      </c>
    </row>
    <row r="9064" spans="5:19" x14ac:dyDescent="0.3">
      <c r="E9064" s="9" t="str">
        <f>IF(DADOS!C9064="","",DADOS!C9064)</f>
        <v/>
      </c>
      <c r="F9064" s="9" t="str">
        <f>IF(DADOS!E9064="","",DADOS!E9064)</f>
        <v/>
      </c>
      <c r="G9064" s="9" t="str">
        <f>IF(DADOS!F9064="","",DADOS!F9064)</f>
        <v/>
      </c>
      <c r="K9064" s="6" t="str">
        <f t="shared" si="710"/>
        <v/>
      </c>
      <c r="L9064" s="7" t="str">
        <f t="shared" si="711"/>
        <v/>
      </c>
      <c r="M9064" s="7" t="str">
        <f t="shared" si="708"/>
        <v/>
      </c>
      <c r="N9064" s="7" t="str">
        <f t="shared" si="712"/>
        <v/>
      </c>
      <c r="O9064" s="8"/>
      <c r="P9064" s="26"/>
      <c r="S9064" s="10" t="str">
        <f t="shared" si="709"/>
        <v/>
      </c>
    </row>
    <row r="9065" spans="5:19" x14ac:dyDescent="0.3">
      <c r="E9065" s="9" t="str">
        <f>IF(DADOS!C9065="","",DADOS!C9065)</f>
        <v/>
      </c>
      <c r="F9065" s="9" t="str">
        <f>IF(DADOS!E9065="","",DADOS!E9065)</f>
        <v/>
      </c>
      <c r="G9065" s="9" t="str">
        <f>IF(DADOS!F9065="","",DADOS!F9065)</f>
        <v/>
      </c>
      <c r="K9065" s="6" t="str">
        <f t="shared" si="710"/>
        <v/>
      </c>
      <c r="L9065" s="7" t="str">
        <f t="shared" si="711"/>
        <v/>
      </c>
      <c r="M9065" s="7" t="str">
        <f t="shared" si="708"/>
        <v/>
      </c>
      <c r="N9065" s="7" t="str">
        <f t="shared" si="712"/>
        <v/>
      </c>
      <c r="O9065" s="8"/>
      <c r="P9065" s="26"/>
      <c r="S9065" s="10" t="str">
        <f t="shared" si="709"/>
        <v/>
      </c>
    </row>
    <row r="9066" spans="5:19" x14ac:dyDescent="0.3">
      <c r="E9066" s="9" t="str">
        <f>IF(DADOS!C9066="","",DADOS!C9066)</f>
        <v/>
      </c>
      <c r="F9066" s="9" t="str">
        <f>IF(DADOS!E9066="","",DADOS!E9066)</f>
        <v/>
      </c>
      <c r="G9066" s="9" t="str">
        <f>IF(DADOS!F9066="","",DADOS!F9066)</f>
        <v/>
      </c>
      <c r="K9066" s="6" t="str">
        <f t="shared" si="710"/>
        <v/>
      </c>
      <c r="L9066" s="7" t="str">
        <f t="shared" si="711"/>
        <v/>
      </c>
      <c r="M9066" s="7" t="str">
        <f t="shared" si="708"/>
        <v/>
      </c>
      <c r="N9066" s="7" t="str">
        <f t="shared" si="712"/>
        <v/>
      </c>
      <c r="O9066" s="8"/>
      <c r="P9066" s="26"/>
      <c r="S9066" s="10" t="str">
        <f t="shared" si="709"/>
        <v/>
      </c>
    </row>
    <row r="9067" spans="5:19" x14ac:dyDescent="0.3">
      <c r="E9067" s="9" t="str">
        <f>IF(DADOS!C9067="","",DADOS!C9067)</f>
        <v/>
      </c>
      <c r="F9067" s="9" t="str">
        <f>IF(DADOS!E9067="","",DADOS!E9067)</f>
        <v/>
      </c>
      <c r="G9067" s="9" t="str">
        <f>IF(DADOS!F9067="","",DADOS!F9067)</f>
        <v/>
      </c>
      <c r="K9067" s="6" t="str">
        <f t="shared" si="710"/>
        <v/>
      </c>
      <c r="L9067" s="7" t="str">
        <f t="shared" si="711"/>
        <v/>
      </c>
      <c r="M9067" s="7" t="str">
        <f t="shared" si="708"/>
        <v/>
      </c>
      <c r="N9067" s="7" t="str">
        <f t="shared" si="712"/>
        <v/>
      </c>
      <c r="O9067" s="8"/>
      <c r="P9067" s="26"/>
      <c r="S9067" s="10" t="str">
        <f t="shared" si="709"/>
        <v/>
      </c>
    </row>
    <row r="9068" spans="5:19" x14ac:dyDescent="0.3">
      <c r="E9068" s="9" t="str">
        <f>IF(DADOS!C9068="","",DADOS!C9068)</f>
        <v/>
      </c>
      <c r="F9068" s="9" t="str">
        <f>IF(DADOS!E9068="","",DADOS!E9068)</f>
        <v/>
      </c>
      <c r="G9068" s="9" t="str">
        <f>IF(DADOS!F9068="","",DADOS!F9068)</f>
        <v/>
      </c>
      <c r="K9068" s="6" t="str">
        <f t="shared" si="710"/>
        <v/>
      </c>
      <c r="L9068" s="7" t="str">
        <f t="shared" si="711"/>
        <v/>
      </c>
      <c r="M9068" s="7" t="str">
        <f t="shared" si="708"/>
        <v/>
      </c>
      <c r="N9068" s="7" t="str">
        <f t="shared" si="712"/>
        <v/>
      </c>
      <c r="O9068" s="8"/>
      <c r="P9068" s="26"/>
      <c r="S9068" s="10" t="str">
        <f t="shared" si="709"/>
        <v/>
      </c>
    </row>
    <row r="9069" spans="5:19" x14ac:dyDescent="0.3">
      <c r="E9069" s="9" t="str">
        <f>IF(DADOS!C9069="","",DADOS!C9069)</f>
        <v/>
      </c>
      <c r="F9069" s="9" t="str">
        <f>IF(DADOS!E9069="","",DADOS!E9069)</f>
        <v/>
      </c>
      <c r="G9069" s="9" t="str">
        <f>IF(DADOS!F9069="","",DADOS!F9069)</f>
        <v/>
      </c>
      <c r="K9069" s="6" t="str">
        <f t="shared" si="710"/>
        <v/>
      </c>
      <c r="L9069" s="7" t="str">
        <f t="shared" si="711"/>
        <v/>
      </c>
      <c r="M9069" s="7" t="str">
        <f t="shared" si="708"/>
        <v/>
      </c>
      <c r="N9069" s="7" t="str">
        <f t="shared" si="712"/>
        <v/>
      </c>
      <c r="O9069" s="8"/>
      <c r="P9069" s="26"/>
      <c r="S9069" s="10" t="str">
        <f t="shared" si="709"/>
        <v/>
      </c>
    </row>
    <row r="9070" spans="5:19" x14ac:dyDescent="0.3">
      <c r="E9070" s="9" t="str">
        <f>IF(DADOS!C9070="","",DADOS!C9070)</f>
        <v/>
      </c>
      <c r="F9070" s="9" t="str">
        <f>IF(DADOS!E9070="","",DADOS!E9070)</f>
        <v/>
      </c>
      <c r="G9070" s="9" t="str">
        <f>IF(DADOS!F9070="","",DADOS!F9070)</f>
        <v/>
      </c>
      <c r="K9070" s="6" t="str">
        <f t="shared" si="710"/>
        <v/>
      </c>
      <c r="L9070" s="7" t="str">
        <f t="shared" si="711"/>
        <v/>
      </c>
      <c r="M9070" s="7" t="str">
        <f t="shared" si="708"/>
        <v/>
      </c>
      <c r="N9070" s="7" t="str">
        <f t="shared" si="712"/>
        <v/>
      </c>
      <c r="O9070" s="8"/>
      <c r="P9070" s="26"/>
      <c r="S9070" s="10" t="str">
        <f t="shared" si="709"/>
        <v/>
      </c>
    </row>
    <row r="9071" spans="5:19" x14ac:dyDescent="0.3">
      <c r="E9071" s="9" t="str">
        <f>IF(DADOS!C9071="","",DADOS!C9071)</f>
        <v/>
      </c>
      <c r="F9071" s="9" t="str">
        <f>IF(DADOS!E9071="","",DADOS!E9071)</f>
        <v/>
      </c>
      <c r="G9071" s="9" t="str">
        <f>IF(DADOS!F9071="","",DADOS!F9071)</f>
        <v/>
      </c>
      <c r="K9071" s="6" t="str">
        <f t="shared" si="710"/>
        <v/>
      </c>
      <c r="L9071" s="7" t="str">
        <f t="shared" si="711"/>
        <v/>
      </c>
      <c r="M9071" s="7" t="str">
        <f t="shared" si="708"/>
        <v/>
      </c>
      <c r="N9071" s="7" t="str">
        <f t="shared" si="712"/>
        <v/>
      </c>
      <c r="O9071" s="8"/>
      <c r="P9071" s="26"/>
      <c r="S9071" s="10" t="str">
        <f t="shared" si="709"/>
        <v/>
      </c>
    </row>
    <row r="9072" spans="5:19" x14ac:dyDescent="0.3">
      <c r="E9072" s="9" t="str">
        <f>IF(DADOS!C9072="","",DADOS!C9072)</f>
        <v/>
      </c>
      <c r="F9072" s="9" t="str">
        <f>IF(DADOS!E9072="","",DADOS!E9072)</f>
        <v/>
      </c>
      <c r="G9072" s="9" t="str">
        <f>IF(DADOS!F9072="","",DADOS!F9072)</f>
        <v/>
      </c>
      <c r="K9072" s="6" t="str">
        <f t="shared" si="710"/>
        <v/>
      </c>
      <c r="L9072" s="7" t="str">
        <f t="shared" si="711"/>
        <v/>
      </c>
      <c r="M9072" s="7" t="str">
        <f t="shared" si="708"/>
        <v/>
      </c>
      <c r="N9072" s="7" t="str">
        <f t="shared" si="712"/>
        <v/>
      </c>
      <c r="O9072" s="8"/>
      <c r="P9072" s="26"/>
      <c r="S9072" s="10" t="str">
        <f t="shared" si="709"/>
        <v/>
      </c>
    </row>
    <row r="9073" spans="5:19" x14ac:dyDescent="0.3">
      <c r="E9073" s="9" t="str">
        <f>IF(DADOS!C9073="","",DADOS!C9073)</f>
        <v/>
      </c>
      <c r="F9073" s="9" t="str">
        <f>IF(DADOS!E9073="","",DADOS!E9073)</f>
        <v/>
      </c>
      <c r="G9073" s="9" t="str">
        <f>IF(DADOS!F9073="","",DADOS!F9073)</f>
        <v/>
      </c>
      <c r="K9073" s="6" t="str">
        <f t="shared" si="710"/>
        <v/>
      </c>
      <c r="L9073" s="7" t="str">
        <f t="shared" si="711"/>
        <v/>
      </c>
      <c r="M9073" s="7" t="str">
        <f t="shared" si="708"/>
        <v/>
      </c>
      <c r="N9073" s="7" t="str">
        <f t="shared" si="712"/>
        <v/>
      </c>
      <c r="O9073" s="8"/>
      <c r="P9073" s="26"/>
      <c r="S9073" s="10" t="str">
        <f t="shared" si="709"/>
        <v/>
      </c>
    </row>
    <row r="9074" spans="5:19" x14ac:dyDescent="0.3">
      <c r="E9074" s="9" t="str">
        <f>IF(DADOS!C9074="","",DADOS!C9074)</f>
        <v/>
      </c>
      <c r="F9074" s="9" t="str">
        <f>IF(DADOS!E9074="","",DADOS!E9074)</f>
        <v/>
      </c>
      <c r="G9074" s="9" t="str">
        <f>IF(DADOS!F9074="","",DADOS!F9074)</f>
        <v/>
      </c>
      <c r="K9074" s="6" t="str">
        <f t="shared" si="710"/>
        <v/>
      </c>
      <c r="L9074" s="7" t="str">
        <f t="shared" si="711"/>
        <v/>
      </c>
      <c r="M9074" s="7" t="str">
        <f t="shared" si="708"/>
        <v/>
      </c>
      <c r="N9074" s="7" t="str">
        <f t="shared" si="712"/>
        <v/>
      </c>
      <c r="O9074" s="8"/>
      <c r="P9074" s="26"/>
      <c r="S9074" s="10" t="str">
        <f t="shared" si="709"/>
        <v/>
      </c>
    </row>
    <row r="9075" spans="5:19" x14ac:dyDescent="0.3">
      <c r="E9075" s="9" t="str">
        <f>IF(DADOS!C9075="","",DADOS!C9075)</f>
        <v/>
      </c>
      <c r="F9075" s="9" t="str">
        <f>IF(DADOS!E9075="","",DADOS!E9075)</f>
        <v/>
      </c>
      <c r="G9075" s="9" t="str">
        <f>IF(DADOS!F9075="","",DADOS!F9075)</f>
        <v/>
      </c>
      <c r="K9075" s="6" t="str">
        <f t="shared" si="710"/>
        <v/>
      </c>
      <c r="L9075" s="7" t="str">
        <f t="shared" si="711"/>
        <v/>
      </c>
      <c r="M9075" s="7" t="str">
        <f t="shared" si="708"/>
        <v/>
      </c>
      <c r="N9075" s="7" t="str">
        <f t="shared" si="712"/>
        <v/>
      </c>
      <c r="O9075" s="8"/>
      <c r="P9075" s="26"/>
      <c r="S9075" s="10" t="str">
        <f t="shared" si="709"/>
        <v/>
      </c>
    </row>
    <row r="9076" spans="5:19" x14ac:dyDescent="0.3">
      <c r="E9076" s="9" t="str">
        <f>IF(DADOS!C9076="","",DADOS!C9076)</f>
        <v/>
      </c>
      <c r="F9076" s="9" t="str">
        <f>IF(DADOS!E9076="","",DADOS!E9076)</f>
        <v/>
      </c>
      <c r="G9076" s="9" t="str">
        <f>IF(DADOS!F9076="","",DADOS!F9076)</f>
        <v/>
      </c>
      <c r="K9076" s="6" t="str">
        <f t="shared" si="710"/>
        <v/>
      </c>
      <c r="L9076" s="7" t="str">
        <f t="shared" si="711"/>
        <v/>
      </c>
      <c r="M9076" s="7" t="str">
        <f t="shared" si="708"/>
        <v/>
      </c>
      <c r="N9076" s="7" t="str">
        <f t="shared" si="712"/>
        <v/>
      </c>
      <c r="O9076" s="8"/>
      <c r="P9076" s="26"/>
      <c r="S9076" s="10" t="str">
        <f t="shared" si="709"/>
        <v/>
      </c>
    </row>
    <row r="9077" spans="5:19" x14ac:dyDescent="0.3">
      <c r="E9077" s="9" t="str">
        <f>IF(DADOS!C9077="","",DADOS!C9077)</f>
        <v/>
      </c>
      <c r="F9077" s="9" t="str">
        <f>IF(DADOS!E9077="","",DADOS!E9077)</f>
        <v/>
      </c>
      <c r="G9077" s="9" t="str">
        <f>IF(DADOS!F9077="","",DADOS!F9077)</f>
        <v/>
      </c>
      <c r="K9077" s="6" t="str">
        <f t="shared" si="710"/>
        <v/>
      </c>
      <c r="L9077" s="7" t="str">
        <f t="shared" si="711"/>
        <v/>
      </c>
      <c r="M9077" s="7" t="str">
        <f t="shared" si="708"/>
        <v/>
      </c>
      <c r="N9077" s="7" t="str">
        <f t="shared" si="712"/>
        <v/>
      </c>
      <c r="O9077" s="8"/>
      <c r="P9077" s="26"/>
      <c r="S9077" s="10" t="str">
        <f t="shared" si="709"/>
        <v/>
      </c>
    </row>
    <row r="9078" spans="5:19" x14ac:dyDescent="0.3">
      <c r="E9078" s="9" t="str">
        <f>IF(DADOS!C9078="","",DADOS!C9078)</f>
        <v/>
      </c>
      <c r="F9078" s="9" t="str">
        <f>IF(DADOS!E9078="","",DADOS!E9078)</f>
        <v/>
      </c>
      <c r="G9078" s="9" t="str">
        <f>IF(DADOS!F9078="","",DADOS!F9078)</f>
        <v/>
      </c>
      <c r="K9078" s="6" t="str">
        <f t="shared" si="710"/>
        <v/>
      </c>
      <c r="L9078" s="7" t="str">
        <f t="shared" si="711"/>
        <v/>
      </c>
      <c r="M9078" s="7" t="str">
        <f t="shared" si="708"/>
        <v/>
      </c>
      <c r="N9078" s="7" t="str">
        <f t="shared" si="712"/>
        <v/>
      </c>
      <c r="O9078" s="8"/>
      <c r="P9078" s="26"/>
      <c r="S9078" s="10" t="str">
        <f t="shared" si="709"/>
        <v/>
      </c>
    </row>
    <row r="9079" spans="5:19" x14ac:dyDescent="0.3">
      <c r="E9079" s="9" t="str">
        <f>IF(DADOS!C9079="","",DADOS!C9079)</f>
        <v/>
      </c>
      <c r="F9079" s="9" t="str">
        <f>IF(DADOS!E9079="","",DADOS!E9079)</f>
        <v/>
      </c>
      <c r="G9079" s="9" t="str">
        <f>IF(DADOS!F9079="","",DADOS!F9079)</f>
        <v/>
      </c>
      <c r="K9079" s="6" t="str">
        <f t="shared" si="710"/>
        <v/>
      </c>
      <c r="L9079" s="7" t="str">
        <f t="shared" si="711"/>
        <v/>
      </c>
      <c r="M9079" s="7" t="str">
        <f t="shared" si="708"/>
        <v/>
      </c>
      <c r="N9079" s="7" t="str">
        <f t="shared" si="712"/>
        <v/>
      </c>
      <c r="O9079" s="8"/>
      <c r="P9079" s="26"/>
      <c r="S9079" s="10" t="str">
        <f t="shared" si="709"/>
        <v/>
      </c>
    </row>
    <row r="9080" spans="5:19" x14ac:dyDescent="0.3">
      <c r="E9080" s="9" t="str">
        <f>IF(DADOS!C9080="","",DADOS!C9080)</f>
        <v/>
      </c>
      <c r="F9080" s="9" t="str">
        <f>IF(DADOS!E9080="","",DADOS!E9080)</f>
        <v/>
      </c>
      <c r="G9080" s="9" t="str">
        <f>IF(DADOS!F9080="","",DADOS!F9080)</f>
        <v/>
      </c>
      <c r="K9080" s="6" t="str">
        <f t="shared" si="710"/>
        <v/>
      </c>
      <c r="L9080" s="7" t="str">
        <f t="shared" si="711"/>
        <v/>
      </c>
      <c r="M9080" s="7" t="str">
        <f t="shared" si="708"/>
        <v/>
      </c>
      <c r="N9080" s="7" t="str">
        <f t="shared" si="712"/>
        <v/>
      </c>
      <c r="O9080" s="8"/>
      <c r="P9080" s="26"/>
      <c r="S9080" s="10" t="str">
        <f t="shared" si="709"/>
        <v/>
      </c>
    </row>
    <row r="9081" spans="5:19" x14ac:dyDescent="0.3">
      <c r="E9081" s="9" t="str">
        <f>IF(DADOS!C9081="","",DADOS!C9081)</f>
        <v/>
      </c>
      <c r="F9081" s="9" t="str">
        <f>IF(DADOS!E9081="","",DADOS!E9081)</f>
        <v/>
      </c>
      <c r="G9081" s="9" t="str">
        <f>IF(DADOS!F9081="","",DADOS!F9081)</f>
        <v/>
      </c>
      <c r="K9081" s="6" t="str">
        <f t="shared" si="710"/>
        <v/>
      </c>
      <c r="L9081" s="7" t="str">
        <f t="shared" si="711"/>
        <v/>
      </c>
      <c r="M9081" s="7" t="str">
        <f t="shared" si="708"/>
        <v/>
      </c>
      <c r="N9081" s="7" t="str">
        <f t="shared" si="712"/>
        <v/>
      </c>
      <c r="O9081" s="8"/>
      <c r="P9081" s="26"/>
      <c r="S9081" s="10" t="str">
        <f t="shared" si="709"/>
        <v/>
      </c>
    </row>
    <row r="9082" spans="5:19" x14ac:dyDescent="0.3">
      <c r="E9082" s="9" t="str">
        <f>IF(DADOS!C9082="","",DADOS!C9082)</f>
        <v/>
      </c>
      <c r="F9082" s="9" t="str">
        <f>IF(DADOS!E9082="","",DADOS!E9082)</f>
        <v/>
      </c>
      <c r="G9082" s="9" t="str">
        <f>IF(DADOS!F9082="","",DADOS!F9082)</f>
        <v/>
      </c>
      <c r="K9082" s="6" t="str">
        <f t="shared" si="710"/>
        <v/>
      </c>
      <c r="L9082" s="7" t="str">
        <f t="shared" si="711"/>
        <v/>
      </c>
      <c r="M9082" s="7" t="str">
        <f t="shared" si="708"/>
        <v/>
      </c>
      <c r="N9082" s="7" t="str">
        <f t="shared" si="712"/>
        <v/>
      </c>
      <c r="O9082" s="8"/>
      <c r="P9082" s="26"/>
      <c r="S9082" s="10" t="str">
        <f t="shared" si="709"/>
        <v/>
      </c>
    </row>
    <row r="9083" spans="5:19" x14ac:dyDescent="0.3">
      <c r="E9083" s="9" t="str">
        <f>IF(DADOS!C9083="","",DADOS!C9083)</f>
        <v/>
      </c>
      <c r="F9083" s="9" t="str">
        <f>IF(DADOS!E9083="","",DADOS!E9083)</f>
        <v/>
      </c>
      <c r="G9083" s="9" t="str">
        <f>IF(DADOS!F9083="","",DADOS!F9083)</f>
        <v/>
      </c>
      <c r="K9083" s="6" t="str">
        <f t="shared" si="710"/>
        <v/>
      </c>
      <c r="L9083" s="7" t="str">
        <f t="shared" si="711"/>
        <v/>
      </c>
      <c r="M9083" s="7" t="str">
        <f t="shared" si="708"/>
        <v/>
      </c>
      <c r="N9083" s="7" t="str">
        <f t="shared" si="712"/>
        <v/>
      </c>
      <c r="O9083" s="8"/>
      <c r="P9083" s="26"/>
      <c r="S9083" s="10" t="str">
        <f t="shared" si="709"/>
        <v/>
      </c>
    </row>
    <row r="9084" spans="5:19" x14ac:dyDescent="0.3">
      <c r="E9084" s="9" t="str">
        <f>IF(DADOS!C9084="","",DADOS!C9084)</f>
        <v/>
      </c>
      <c r="F9084" s="9" t="str">
        <f>IF(DADOS!E9084="","",DADOS!E9084)</f>
        <v/>
      </c>
      <c r="G9084" s="9" t="str">
        <f>IF(DADOS!F9084="","",DADOS!F9084)</f>
        <v/>
      </c>
      <c r="K9084" s="6" t="str">
        <f t="shared" si="710"/>
        <v/>
      </c>
      <c r="L9084" s="7" t="str">
        <f t="shared" si="711"/>
        <v/>
      </c>
      <c r="M9084" s="7" t="str">
        <f t="shared" si="708"/>
        <v/>
      </c>
      <c r="N9084" s="7" t="str">
        <f t="shared" si="712"/>
        <v/>
      </c>
      <c r="O9084" s="8"/>
      <c r="P9084" s="26"/>
      <c r="S9084" s="10" t="str">
        <f t="shared" si="709"/>
        <v/>
      </c>
    </row>
    <row r="9085" spans="5:19" x14ac:dyDescent="0.3">
      <c r="E9085" s="9" t="str">
        <f>IF(DADOS!C9085="","",DADOS!C9085)</f>
        <v/>
      </c>
      <c r="F9085" s="9" t="str">
        <f>IF(DADOS!E9085="","",DADOS!E9085)</f>
        <v/>
      </c>
      <c r="G9085" s="9" t="str">
        <f>IF(DADOS!F9085="","",DADOS!F9085)</f>
        <v/>
      </c>
      <c r="K9085" s="6" t="str">
        <f t="shared" si="710"/>
        <v/>
      </c>
      <c r="L9085" s="7" t="str">
        <f t="shared" si="711"/>
        <v/>
      </c>
      <c r="M9085" s="7" t="str">
        <f t="shared" si="708"/>
        <v/>
      </c>
      <c r="N9085" s="7" t="str">
        <f t="shared" si="712"/>
        <v/>
      </c>
      <c r="O9085" s="8"/>
      <c r="P9085" s="26"/>
      <c r="S9085" s="10" t="str">
        <f t="shared" si="709"/>
        <v/>
      </c>
    </row>
    <row r="9086" spans="5:19" x14ac:dyDescent="0.3">
      <c r="E9086" s="9" t="str">
        <f>IF(DADOS!C9086="","",DADOS!C9086)</f>
        <v/>
      </c>
      <c r="F9086" s="9" t="str">
        <f>IF(DADOS!E9086="","",DADOS!E9086)</f>
        <v/>
      </c>
      <c r="G9086" s="9" t="str">
        <f>IF(DADOS!F9086="","",DADOS!F9086)</f>
        <v/>
      </c>
      <c r="K9086" s="6" t="str">
        <f t="shared" si="710"/>
        <v/>
      </c>
      <c r="L9086" s="7" t="str">
        <f t="shared" si="711"/>
        <v/>
      </c>
      <c r="M9086" s="7" t="str">
        <f t="shared" si="708"/>
        <v/>
      </c>
      <c r="N9086" s="7" t="str">
        <f t="shared" si="712"/>
        <v/>
      </c>
      <c r="O9086" s="8"/>
      <c r="P9086" s="26"/>
      <c r="S9086" s="10" t="str">
        <f t="shared" si="709"/>
        <v/>
      </c>
    </row>
    <row r="9087" spans="5:19" x14ac:dyDescent="0.3">
      <c r="E9087" s="9" t="str">
        <f>IF(DADOS!C9087="","",DADOS!C9087)</f>
        <v/>
      </c>
      <c r="F9087" s="9" t="str">
        <f>IF(DADOS!E9087="","",DADOS!E9087)</f>
        <v/>
      </c>
      <c r="G9087" s="9" t="str">
        <f>IF(DADOS!F9087="","",DADOS!F9087)</f>
        <v/>
      </c>
      <c r="K9087" s="6" t="str">
        <f t="shared" si="710"/>
        <v/>
      </c>
      <c r="L9087" s="7" t="str">
        <f t="shared" si="711"/>
        <v/>
      </c>
      <c r="M9087" s="7" t="str">
        <f t="shared" si="708"/>
        <v/>
      </c>
      <c r="N9087" s="7" t="str">
        <f t="shared" si="712"/>
        <v/>
      </c>
      <c r="O9087" s="8"/>
      <c r="P9087" s="26"/>
      <c r="S9087" s="10" t="str">
        <f t="shared" si="709"/>
        <v/>
      </c>
    </row>
    <row r="9088" spans="5:19" x14ac:dyDescent="0.3">
      <c r="E9088" s="9" t="str">
        <f>IF(DADOS!C9088="","",DADOS!C9088)</f>
        <v/>
      </c>
      <c r="F9088" s="9" t="str">
        <f>IF(DADOS!E9088="","",DADOS!E9088)</f>
        <v/>
      </c>
      <c r="G9088" s="9" t="str">
        <f>IF(DADOS!F9088="","",DADOS!F9088)</f>
        <v/>
      </c>
      <c r="K9088" s="6" t="str">
        <f t="shared" si="710"/>
        <v/>
      </c>
      <c r="L9088" s="7" t="str">
        <f t="shared" si="711"/>
        <v/>
      </c>
      <c r="M9088" s="7" t="str">
        <f t="shared" si="708"/>
        <v/>
      </c>
      <c r="N9088" s="7" t="str">
        <f t="shared" si="712"/>
        <v/>
      </c>
      <c r="O9088" s="8"/>
      <c r="P9088" s="26"/>
      <c r="S9088" s="10" t="str">
        <f t="shared" si="709"/>
        <v/>
      </c>
    </row>
    <row r="9089" spans="5:19" x14ac:dyDescent="0.3">
      <c r="E9089" s="9" t="str">
        <f>IF(DADOS!C9089="","",DADOS!C9089)</f>
        <v/>
      </c>
      <c r="F9089" s="9" t="str">
        <f>IF(DADOS!E9089="","",DADOS!E9089)</f>
        <v/>
      </c>
      <c r="G9089" s="9" t="str">
        <f>IF(DADOS!F9089="","",DADOS!F9089)</f>
        <v/>
      </c>
      <c r="K9089" s="6" t="str">
        <f t="shared" si="710"/>
        <v/>
      </c>
      <c r="L9089" s="7" t="str">
        <f t="shared" si="711"/>
        <v/>
      </c>
      <c r="M9089" s="7" t="str">
        <f t="shared" si="708"/>
        <v/>
      </c>
      <c r="N9089" s="7" t="str">
        <f t="shared" si="712"/>
        <v/>
      </c>
      <c r="O9089" s="8"/>
      <c r="P9089" s="26"/>
      <c r="S9089" s="10" t="str">
        <f t="shared" si="709"/>
        <v/>
      </c>
    </row>
    <row r="9090" spans="5:19" x14ac:dyDescent="0.3">
      <c r="E9090" s="9" t="str">
        <f>IF(DADOS!C9090="","",DADOS!C9090)</f>
        <v/>
      </c>
      <c r="F9090" s="9" t="str">
        <f>IF(DADOS!E9090="","",DADOS!E9090)</f>
        <v/>
      </c>
      <c r="G9090" s="9" t="str">
        <f>IF(DADOS!F9090="","",DADOS!F9090)</f>
        <v/>
      </c>
      <c r="K9090" s="6" t="str">
        <f t="shared" si="710"/>
        <v/>
      </c>
      <c r="L9090" s="7" t="str">
        <f t="shared" si="711"/>
        <v/>
      </c>
      <c r="M9090" s="7" t="str">
        <f t="shared" si="708"/>
        <v/>
      </c>
      <c r="N9090" s="7" t="str">
        <f t="shared" si="712"/>
        <v/>
      </c>
      <c r="O9090" s="8"/>
      <c r="P9090" s="26"/>
      <c r="S9090" s="10" t="str">
        <f t="shared" si="709"/>
        <v/>
      </c>
    </row>
    <row r="9091" spans="5:19" x14ac:dyDescent="0.3">
      <c r="E9091" s="9" t="str">
        <f>IF(DADOS!C9091="","",DADOS!C9091)</f>
        <v/>
      </c>
      <c r="F9091" s="9" t="str">
        <f>IF(DADOS!E9091="","",DADOS!E9091)</f>
        <v/>
      </c>
      <c r="G9091" s="9" t="str">
        <f>IF(DADOS!F9091="","",DADOS!F9091)</f>
        <v/>
      </c>
      <c r="K9091" s="6" t="str">
        <f t="shared" si="710"/>
        <v/>
      </c>
      <c r="L9091" s="7" t="str">
        <f t="shared" si="711"/>
        <v/>
      </c>
      <c r="M9091" s="7" t="str">
        <f t="shared" ref="M9091:M9154" si="713">IF(L9091="","",L9091*G9091)</f>
        <v/>
      </c>
      <c r="N9091" s="7" t="str">
        <f t="shared" si="712"/>
        <v/>
      </c>
      <c r="O9091" s="8"/>
      <c r="P9091" s="26"/>
      <c r="S9091" s="10" t="str">
        <f t="shared" ref="S9091:S9154" si="714">IF(R9091="","",SUMIFS($N$3:$N$10000,$E$3:$E$10000,R9091))</f>
        <v/>
      </c>
    </row>
    <row r="9092" spans="5:19" x14ac:dyDescent="0.3">
      <c r="E9092" s="9" t="str">
        <f>IF(DADOS!C9092="","",DADOS!C9092)</f>
        <v/>
      </c>
      <c r="F9092" s="9" t="str">
        <f>IF(DADOS!E9092="","",DADOS!E9092)</f>
        <v/>
      </c>
      <c r="G9092" s="9" t="str">
        <f>IF(DADOS!F9092="","",DADOS!F9092)</f>
        <v/>
      </c>
      <c r="K9092" s="6" t="str">
        <f t="shared" ref="K9092:K9155" si="715">IF(F9092="","",F9092/PI())</f>
        <v/>
      </c>
      <c r="L9092" s="7" t="str">
        <f t="shared" ref="L9092:L9155" si="716">IF(K9092="","",(PI()*K9092^2)/40000)</f>
        <v/>
      </c>
      <c r="M9092" s="7" t="str">
        <f t="shared" si="713"/>
        <v/>
      </c>
      <c r="N9092" s="7" t="str">
        <f t="shared" ref="N9092:N9155" si="717">IF(M9092="","",M9092*N$1)</f>
        <v/>
      </c>
      <c r="O9092" s="8"/>
      <c r="P9092" s="26"/>
      <c r="S9092" s="10" t="str">
        <f t="shared" si="714"/>
        <v/>
      </c>
    </row>
    <row r="9093" spans="5:19" x14ac:dyDescent="0.3">
      <c r="E9093" s="9" t="str">
        <f>IF(DADOS!C9093="","",DADOS!C9093)</f>
        <v/>
      </c>
      <c r="F9093" s="9" t="str">
        <f>IF(DADOS!E9093="","",DADOS!E9093)</f>
        <v/>
      </c>
      <c r="G9093" s="9" t="str">
        <f>IF(DADOS!F9093="","",DADOS!F9093)</f>
        <v/>
      </c>
      <c r="K9093" s="6" t="str">
        <f t="shared" si="715"/>
        <v/>
      </c>
      <c r="L9093" s="7" t="str">
        <f t="shared" si="716"/>
        <v/>
      </c>
      <c r="M9093" s="7" t="str">
        <f t="shared" si="713"/>
        <v/>
      </c>
      <c r="N9093" s="7" t="str">
        <f t="shared" si="717"/>
        <v/>
      </c>
      <c r="O9093" s="8"/>
      <c r="P9093" s="26"/>
      <c r="S9093" s="10" t="str">
        <f t="shared" si="714"/>
        <v/>
      </c>
    </row>
    <row r="9094" spans="5:19" x14ac:dyDescent="0.3">
      <c r="E9094" s="9" t="str">
        <f>IF(DADOS!C9094="","",DADOS!C9094)</f>
        <v/>
      </c>
      <c r="F9094" s="9" t="str">
        <f>IF(DADOS!E9094="","",DADOS!E9094)</f>
        <v/>
      </c>
      <c r="G9094" s="9" t="str">
        <f>IF(DADOS!F9094="","",DADOS!F9094)</f>
        <v/>
      </c>
      <c r="K9094" s="6" t="str">
        <f t="shared" si="715"/>
        <v/>
      </c>
      <c r="L9094" s="7" t="str">
        <f t="shared" si="716"/>
        <v/>
      </c>
      <c r="M9094" s="7" t="str">
        <f t="shared" si="713"/>
        <v/>
      </c>
      <c r="N9094" s="7" t="str">
        <f t="shared" si="717"/>
        <v/>
      </c>
      <c r="O9094" s="8"/>
      <c r="P9094" s="26"/>
      <c r="S9094" s="10" t="str">
        <f t="shared" si="714"/>
        <v/>
      </c>
    </row>
    <row r="9095" spans="5:19" x14ac:dyDescent="0.3">
      <c r="E9095" s="9" t="str">
        <f>IF(DADOS!C9095="","",DADOS!C9095)</f>
        <v/>
      </c>
      <c r="F9095" s="9" t="str">
        <f>IF(DADOS!E9095="","",DADOS!E9095)</f>
        <v/>
      </c>
      <c r="G9095" s="9" t="str">
        <f>IF(DADOS!F9095="","",DADOS!F9095)</f>
        <v/>
      </c>
      <c r="K9095" s="6" t="str">
        <f t="shared" si="715"/>
        <v/>
      </c>
      <c r="L9095" s="7" t="str">
        <f t="shared" si="716"/>
        <v/>
      </c>
      <c r="M9095" s="7" t="str">
        <f t="shared" si="713"/>
        <v/>
      </c>
      <c r="N9095" s="7" t="str">
        <f t="shared" si="717"/>
        <v/>
      </c>
      <c r="O9095" s="8"/>
      <c r="P9095" s="26"/>
      <c r="S9095" s="10" t="str">
        <f t="shared" si="714"/>
        <v/>
      </c>
    </row>
    <row r="9096" spans="5:19" x14ac:dyDescent="0.3">
      <c r="E9096" s="9" t="str">
        <f>IF(DADOS!C9096="","",DADOS!C9096)</f>
        <v/>
      </c>
      <c r="F9096" s="9" t="str">
        <f>IF(DADOS!E9096="","",DADOS!E9096)</f>
        <v/>
      </c>
      <c r="G9096" s="9" t="str">
        <f>IF(DADOS!F9096="","",DADOS!F9096)</f>
        <v/>
      </c>
      <c r="K9096" s="6" t="str">
        <f t="shared" si="715"/>
        <v/>
      </c>
      <c r="L9096" s="7" t="str">
        <f t="shared" si="716"/>
        <v/>
      </c>
      <c r="M9096" s="7" t="str">
        <f t="shared" si="713"/>
        <v/>
      </c>
      <c r="N9096" s="7" t="str">
        <f t="shared" si="717"/>
        <v/>
      </c>
      <c r="O9096" s="8"/>
      <c r="P9096" s="26"/>
      <c r="S9096" s="10" t="str">
        <f t="shared" si="714"/>
        <v/>
      </c>
    </row>
    <row r="9097" spans="5:19" x14ac:dyDescent="0.3">
      <c r="E9097" s="9" t="str">
        <f>IF(DADOS!C9097="","",DADOS!C9097)</f>
        <v/>
      </c>
      <c r="F9097" s="9" t="str">
        <f>IF(DADOS!E9097="","",DADOS!E9097)</f>
        <v/>
      </c>
      <c r="G9097" s="9" t="str">
        <f>IF(DADOS!F9097="","",DADOS!F9097)</f>
        <v/>
      </c>
      <c r="K9097" s="6" t="str">
        <f t="shared" si="715"/>
        <v/>
      </c>
      <c r="L9097" s="7" t="str">
        <f t="shared" si="716"/>
        <v/>
      </c>
      <c r="M9097" s="7" t="str">
        <f t="shared" si="713"/>
        <v/>
      </c>
      <c r="N9097" s="7" t="str">
        <f t="shared" si="717"/>
        <v/>
      </c>
      <c r="O9097" s="8"/>
      <c r="P9097" s="26"/>
      <c r="S9097" s="10" t="str">
        <f t="shared" si="714"/>
        <v/>
      </c>
    </row>
    <row r="9098" spans="5:19" x14ac:dyDescent="0.3">
      <c r="E9098" s="9" t="str">
        <f>IF(DADOS!C9098="","",DADOS!C9098)</f>
        <v/>
      </c>
      <c r="F9098" s="9" t="str">
        <f>IF(DADOS!E9098="","",DADOS!E9098)</f>
        <v/>
      </c>
      <c r="G9098" s="9" t="str">
        <f>IF(DADOS!F9098="","",DADOS!F9098)</f>
        <v/>
      </c>
      <c r="K9098" s="6" t="str">
        <f t="shared" si="715"/>
        <v/>
      </c>
      <c r="L9098" s="7" t="str">
        <f t="shared" si="716"/>
        <v/>
      </c>
      <c r="M9098" s="7" t="str">
        <f t="shared" si="713"/>
        <v/>
      </c>
      <c r="N9098" s="7" t="str">
        <f t="shared" si="717"/>
        <v/>
      </c>
      <c r="O9098" s="8"/>
      <c r="P9098" s="26"/>
      <c r="S9098" s="10" t="str">
        <f t="shared" si="714"/>
        <v/>
      </c>
    </row>
    <row r="9099" spans="5:19" x14ac:dyDescent="0.3">
      <c r="E9099" s="9" t="str">
        <f>IF(DADOS!C9099="","",DADOS!C9099)</f>
        <v/>
      </c>
      <c r="F9099" s="9" t="str">
        <f>IF(DADOS!E9099="","",DADOS!E9099)</f>
        <v/>
      </c>
      <c r="G9099" s="9" t="str">
        <f>IF(DADOS!F9099="","",DADOS!F9099)</f>
        <v/>
      </c>
      <c r="K9099" s="6" t="str">
        <f t="shared" si="715"/>
        <v/>
      </c>
      <c r="L9099" s="7" t="str">
        <f t="shared" si="716"/>
        <v/>
      </c>
      <c r="M9099" s="7" t="str">
        <f t="shared" si="713"/>
        <v/>
      </c>
      <c r="N9099" s="7" t="str">
        <f t="shared" si="717"/>
        <v/>
      </c>
      <c r="O9099" s="8"/>
      <c r="P9099" s="26"/>
      <c r="S9099" s="10" t="str">
        <f t="shared" si="714"/>
        <v/>
      </c>
    </row>
    <row r="9100" spans="5:19" x14ac:dyDescent="0.3">
      <c r="E9100" s="9" t="str">
        <f>IF(DADOS!C9100="","",DADOS!C9100)</f>
        <v/>
      </c>
      <c r="F9100" s="9" t="str">
        <f>IF(DADOS!E9100="","",DADOS!E9100)</f>
        <v/>
      </c>
      <c r="G9100" s="9" t="str">
        <f>IF(DADOS!F9100="","",DADOS!F9100)</f>
        <v/>
      </c>
      <c r="K9100" s="6" t="str">
        <f t="shared" si="715"/>
        <v/>
      </c>
      <c r="L9100" s="7" t="str">
        <f t="shared" si="716"/>
        <v/>
      </c>
      <c r="M9100" s="7" t="str">
        <f t="shared" si="713"/>
        <v/>
      </c>
      <c r="N9100" s="7" t="str">
        <f t="shared" si="717"/>
        <v/>
      </c>
      <c r="O9100" s="8"/>
      <c r="P9100" s="26"/>
      <c r="S9100" s="10" t="str">
        <f t="shared" si="714"/>
        <v/>
      </c>
    </row>
    <row r="9101" spans="5:19" x14ac:dyDescent="0.3">
      <c r="E9101" s="9" t="str">
        <f>IF(DADOS!C9101="","",DADOS!C9101)</f>
        <v/>
      </c>
      <c r="F9101" s="9" t="str">
        <f>IF(DADOS!E9101="","",DADOS!E9101)</f>
        <v/>
      </c>
      <c r="G9101" s="9" t="str">
        <f>IF(DADOS!F9101="","",DADOS!F9101)</f>
        <v/>
      </c>
      <c r="K9101" s="6" t="str">
        <f t="shared" si="715"/>
        <v/>
      </c>
      <c r="L9101" s="7" t="str">
        <f t="shared" si="716"/>
        <v/>
      </c>
      <c r="M9101" s="7" t="str">
        <f t="shared" si="713"/>
        <v/>
      </c>
      <c r="N9101" s="7" t="str">
        <f t="shared" si="717"/>
        <v/>
      </c>
      <c r="O9101" s="8"/>
      <c r="P9101" s="26"/>
      <c r="S9101" s="10" t="str">
        <f t="shared" si="714"/>
        <v/>
      </c>
    </row>
    <row r="9102" spans="5:19" x14ac:dyDescent="0.3">
      <c r="E9102" s="9" t="str">
        <f>IF(DADOS!C9102="","",DADOS!C9102)</f>
        <v/>
      </c>
      <c r="F9102" s="9" t="str">
        <f>IF(DADOS!E9102="","",DADOS!E9102)</f>
        <v/>
      </c>
      <c r="G9102" s="9" t="str">
        <f>IF(DADOS!F9102="","",DADOS!F9102)</f>
        <v/>
      </c>
      <c r="K9102" s="6" t="str">
        <f t="shared" si="715"/>
        <v/>
      </c>
      <c r="L9102" s="7" t="str">
        <f t="shared" si="716"/>
        <v/>
      </c>
      <c r="M9102" s="7" t="str">
        <f t="shared" si="713"/>
        <v/>
      </c>
      <c r="N9102" s="7" t="str">
        <f t="shared" si="717"/>
        <v/>
      </c>
      <c r="O9102" s="8"/>
      <c r="P9102" s="26"/>
      <c r="S9102" s="10" t="str">
        <f t="shared" si="714"/>
        <v/>
      </c>
    </row>
    <row r="9103" spans="5:19" x14ac:dyDescent="0.3">
      <c r="E9103" s="9" t="str">
        <f>IF(DADOS!C9103="","",DADOS!C9103)</f>
        <v/>
      </c>
      <c r="F9103" s="9" t="str">
        <f>IF(DADOS!E9103="","",DADOS!E9103)</f>
        <v/>
      </c>
      <c r="G9103" s="9" t="str">
        <f>IF(DADOS!F9103="","",DADOS!F9103)</f>
        <v/>
      </c>
      <c r="K9103" s="6" t="str">
        <f t="shared" si="715"/>
        <v/>
      </c>
      <c r="L9103" s="7" t="str">
        <f t="shared" si="716"/>
        <v/>
      </c>
      <c r="M9103" s="7" t="str">
        <f t="shared" si="713"/>
        <v/>
      </c>
      <c r="N9103" s="7" t="str">
        <f t="shared" si="717"/>
        <v/>
      </c>
      <c r="O9103" s="8"/>
      <c r="P9103" s="26"/>
      <c r="S9103" s="10" t="str">
        <f t="shared" si="714"/>
        <v/>
      </c>
    </row>
    <row r="9104" spans="5:19" x14ac:dyDescent="0.3">
      <c r="E9104" s="9" t="str">
        <f>IF(DADOS!C9104="","",DADOS!C9104)</f>
        <v/>
      </c>
      <c r="F9104" s="9" t="str">
        <f>IF(DADOS!E9104="","",DADOS!E9104)</f>
        <v/>
      </c>
      <c r="G9104" s="9" t="str">
        <f>IF(DADOS!F9104="","",DADOS!F9104)</f>
        <v/>
      </c>
      <c r="K9104" s="6" t="str">
        <f t="shared" si="715"/>
        <v/>
      </c>
      <c r="L9104" s="7" t="str">
        <f t="shared" si="716"/>
        <v/>
      </c>
      <c r="M9104" s="7" t="str">
        <f t="shared" si="713"/>
        <v/>
      </c>
      <c r="N9104" s="7" t="str">
        <f t="shared" si="717"/>
        <v/>
      </c>
      <c r="O9104" s="8"/>
      <c r="P9104" s="26"/>
      <c r="S9104" s="10" t="str">
        <f t="shared" si="714"/>
        <v/>
      </c>
    </row>
    <row r="9105" spans="5:19" x14ac:dyDescent="0.3">
      <c r="E9105" s="9" t="str">
        <f>IF(DADOS!C9105="","",DADOS!C9105)</f>
        <v/>
      </c>
      <c r="F9105" s="9" t="str">
        <f>IF(DADOS!E9105="","",DADOS!E9105)</f>
        <v/>
      </c>
      <c r="G9105" s="9" t="str">
        <f>IF(DADOS!F9105="","",DADOS!F9105)</f>
        <v/>
      </c>
      <c r="K9105" s="6" t="str">
        <f t="shared" si="715"/>
        <v/>
      </c>
      <c r="L9105" s="7" t="str">
        <f t="shared" si="716"/>
        <v/>
      </c>
      <c r="M9105" s="7" t="str">
        <f t="shared" si="713"/>
        <v/>
      </c>
      <c r="N9105" s="7" t="str">
        <f t="shared" si="717"/>
        <v/>
      </c>
      <c r="O9105" s="8"/>
      <c r="P9105" s="26"/>
      <c r="S9105" s="10" t="str">
        <f t="shared" si="714"/>
        <v/>
      </c>
    </row>
    <row r="9106" spans="5:19" x14ac:dyDescent="0.3">
      <c r="E9106" s="9" t="str">
        <f>IF(DADOS!C9106="","",DADOS!C9106)</f>
        <v/>
      </c>
      <c r="F9106" s="9" t="str">
        <f>IF(DADOS!E9106="","",DADOS!E9106)</f>
        <v/>
      </c>
      <c r="G9106" s="9" t="str">
        <f>IF(DADOS!F9106="","",DADOS!F9106)</f>
        <v/>
      </c>
      <c r="K9106" s="6" t="str">
        <f t="shared" si="715"/>
        <v/>
      </c>
      <c r="L9106" s="7" t="str">
        <f t="shared" si="716"/>
        <v/>
      </c>
      <c r="M9106" s="7" t="str">
        <f t="shared" si="713"/>
        <v/>
      </c>
      <c r="N9106" s="7" t="str">
        <f t="shared" si="717"/>
        <v/>
      </c>
      <c r="O9106" s="8"/>
      <c r="P9106" s="26"/>
      <c r="S9106" s="10" t="str">
        <f t="shared" si="714"/>
        <v/>
      </c>
    </row>
    <row r="9107" spans="5:19" x14ac:dyDescent="0.3">
      <c r="E9107" s="9" t="str">
        <f>IF(DADOS!C9107="","",DADOS!C9107)</f>
        <v/>
      </c>
      <c r="F9107" s="9" t="str">
        <f>IF(DADOS!E9107="","",DADOS!E9107)</f>
        <v/>
      </c>
      <c r="G9107" s="9" t="str">
        <f>IF(DADOS!F9107="","",DADOS!F9107)</f>
        <v/>
      </c>
      <c r="K9107" s="6" t="str">
        <f t="shared" si="715"/>
        <v/>
      </c>
      <c r="L9107" s="7" t="str">
        <f t="shared" si="716"/>
        <v/>
      </c>
      <c r="M9107" s="7" t="str">
        <f t="shared" si="713"/>
        <v/>
      </c>
      <c r="N9107" s="7" t="str">
        <f t="shared" si="717"/>
        <v/>
      </c>
      <c r="O9107" s="8"/>
      <c r="P9107" s="26"/>
      <c r="S9107" s="10" t="str">
        <f t="shared" si="714"/>
        <v/>
      </c>
    </row>
    <row r="9108" spans="5:19" x14ac:dyDescent="0.3">
      <c r="E9108" s="9" t="str">
        <f>IF(DADOS!C9108="","",DADOS!C9108)</f>
        <v/>
      </c>
      <c r="F9108" s="9" t="str">
        <f>IF(DADOS!E9108="","",DADOS!E9108)</f>
        <v/>
      </c>
      <c r="G9108" s="9" t="str">
        <f>IF(DADOS!F9108="","",DADOS!F9108)</f>
        <v/>
      </c>
      <c r="K9108" s="6" t="str">
        <f t="shared" si="715"/>
        <v/>
      </c>
      <c r="L9108" s="7" t="str">
        <f t="shared" si="716"/>
        <v/>
      </c>
      <c r="M9108" s="7" t="str">
        <f t="shared" si="713"/>
        <v/>
      </c>
      <c r="N9108" s="7" t="str">
        <f t="shared" si="717"/>
        <v/>
      </c>
      <c r="O9108" s="8"/>
      <c r="P9108" s="26"/>
      <c r="S9108" s="10" t="str">
        <f t="shared" si="714"/>
        <v/>
      </c>
    </row>
    <row r="9109" spans="5:19" x14ac:dyDescent="0.3">
      <c r="E9109" s="9" t="str">
        <f>IF(DADOS!C9109="","",DADOS!C9109)</f>
        <v/>
      </c>
      <c r="F9109" s="9" t="str">
        <f>IF(DADOS!E9109="","",DADOS!E9109)</f>
        <v/>
      </c>
      <c r="G9109" s="9" t="str">
        <f>IF(DADOS!F9109="","",DADOS!F9109)</f>
        <v/>
      </c>
      <c r="K9109" s="6" t="str">
        <f t="shared" si="715"/>
        <v/>
      </c>
      <c r="L9109" s="7" t="str">
        <f t="shared" si="716"/>
        <v/>
      </c>
      <c r="M9109" s="7" t="str">
        <f t="shared" si="713"/>
        <v/>
      </c>
      <c r="N9109" s="7" t="str">
        <f t="shared" si="717"/>
        <v/>
      </c>
      <c r="O9109" s="8"/>
      <c r="P9109" s="26"/>
      <c r="S9109" s="10" t="str">
        <f t="shared" si="714"/>
        <v/>
      </c>
    </row>
    <row r="9110" spans="5:19" x14ac:dyDescent="0.3">
      <c r="E9110" s="9" t="str">
        <f>IF(DADOS!C9110="","",DADOS!C9110)</f>
        <v/>
      </c>
      <c r="F9110" s="9" t="str">
        <f>IF(DADOS!E9110="","",DADOS!E9110)</f>
        <v/>
      </c>
      <c r="G9110" s="9" t="str">
        <f>IF(DADOS!F9110="","",DADOS!F9110)</f>
        <v/>
      </c>
      <c r="K9110" s="6" t="str">
        <f t="shared" si="715"/>
        <v/>
      </c>
      <c r="L9110" s="7" t="str">
        <f t="shared" si="716"/>
        <v/>
      </c>
      <c r="M9110" s="7" t="str">
        <f t="shared" si="713"/>
        <v/>
      </c>
      <c r="N9110" s="7" t="str">
        <f t="shared" si="717"/>
        <v/>
      </c>
      <c r="O9110" s="8"/>
      <c r="P9110" s="26"/>
      <c r="S9110" s="10" t="str">
        <f t="shared" si="714"/>
        <v/>
      </c>
    </row>
    <row r="9111" spans="5:19" x14ac:dyDescent="0.3">
      <c r="E9111" s="9" t="str">
        <f>IF(DADOS!C9111="","",DADOS!C9111)</f>
        <v/>
      </c>
      <c r="F9111" s="9" t="str">
        <f>IF(DADOS!E9111="","",DADOS!E9111)</f>
        <v/>
      </c>
      <c r="G9111" s="9" t="str">
        <f>IF(DADOS!F9111="","",DADOS!F9111)</f>
        <v/>
      </c>
      <c r="K9111" s="6" t="str">
        <f t="shared" si="715"/>
        <v/>
      </c>
      <c r="L9111" s="7" t="str">
        <f t="shared" si="716"/>
        <v/>
      </c>
      <c r="M9111" s="7" t="str">
        <f t="shared" si="713"/>
        <v/>
      </c>
      <c r="N9111" s="7" t="str">
        <f t="shared" si="717"/>
        <v/>
      </c>
      <c r="O9111" s="8"/>
      <c r="P9111" s="26"/>
      <c r="S9111" s="10" t="str">
        <f t="shared" si="714"/>
        <v/>
      </c>
    </row>
    <row r="9112" spans="5:19" x14ac:dyDescent="0.3">
      <c r="E9112" s="9" t="str">
        <f>IF(DADOS!C9112="","",DADOS!C9112)</f>
        <v/>
      </c>
      <c r="F9112" s="9" t="str">
        <f>IF(DADOS!E9112="","",DADOS!E9112)</f>
        <v/>
      </c>
      <c r="G9112" s="9" t="str">
        <f>IF(DADOS!F9112="","",DADOS!F9112)</f>
        <v/>
      </c>
      <c r="K9112" s="6" t="str">
        <f t="shared" si="715"/>
        <v/>
      </c>
      <c r="L9112" s="7" t="str">
        <f t="shared" si="716"/>
        <v/>
      </c>
      <c r="M9112" s="7" t="str">
        <f t="shared" si="713"/>
        <v/>
      </c>
      <c r="N9112" s="7" t="str">
        <f t="shared" si="717"/>
        <v/>
      </c>
      <c r="O9112" s="8"/>
      <c r="P9112" s="26"/>
      <c r="S9112" s="10" t="str">
        <f t="shared" si="714"/>
        <v/>
      </c>
    </row>
    <row r="9113" spans="5:19" x14ac:dyDescent="0.3">
      <c r="E9113" s="9" t="str">
        <f>IF(DADOS!C9113="","",DADOS!C9113)</f>
        <v/>
      </c>
      <c r="F9113" s="9" t="str">
        <f>IF(DADOS!E9113="","",DADOS!E9113)</f>
        <v/>
      </c>
      <c r="G9113" s="9" t="str">
        <f>IF(DADOS!F9113="","",DADOS!F9113)</f>
        <v/>
      </c>
      <c r="K9113" s="6" t="str">
        <f t="shared" si="715"/>
        <v/>
      </c>
      <c r="L9113" s="7" t="str">
        <f t="shared" si="716"/>
        <v/>
      </c>
      <c r="M9113" s="7" t="str">
        <f t="shared" si="713"/>
        <v/>
      </c>
      <c r="N9113" s="7" t="str">
        <f t="shared" si="717"/>
        <v/>
      </c>
      <c r="O9113" s="8"/>
      <c r="P9113" s="26"/>
      <c r="S9113" s="10" t="str">
        <f t="shared" si="714"/>
        <v/>
      </c>
    </row>
    <row r="9114" spans="5:19" x14ac:dyDescent="0.3">
      <c r="E9114" s="9" t="str">
        <f>IF(DADOS!C9114="","",DADOS!C9114)</f>
        <v/>
      </c>
      <c r="F9114" s="9" t="str">
        <f>IF(DADOS!E9114="","",DADOS!E9114)</f>
        <v/>
      </c>
      <c r="G9114" s="9" t="str">
        <f>IF(DADOS!F9114="","",DADOS!F9114)</f>
        <v/>
      </c>
      <c r="K9114" s="6" t="str">
        <f t="shared" si="715"/>
        <v/>
      </c>
      <c r="L9114" s="7" t="str">
        <f t="shared" si="716"/>
        <v/>
      </c>
      <c r="M9114" s="7" t="str">
        <f t="shared" si="713"/>
        <v/>
      </c>
      <c r="N9114" s="7" t="str">
        <f t="shared" si="717"/>
        <v/>
      </c>
      <c r="O9114" s="8"/>
      <c r="P9114" s="26"/>
      <c r="S9114" s="10" t="str">
        <f t="shared" si="714"/>
        <v/>
      </c>
    </row>
    <row r="9115" spans="5:19" x14ac:dyDescent="0.3">
      <c r="E9115" s="9" t="str">
        <f>IF(DADOS!C9115="","",DADOS!C9115)</f>
        <v/>
      </c>
      <c r="F9115" s="9" t="str">
        <f>IF(DADOS!E9115="","",DADOS!E9115)</f>
        <v/>
      </c>
      <c r="G9115" s="9" t="str">
        <f>IF(DADOS!F9115="","",DADOS!F9115)</f>
        <v/>
      </c>
      <c r="K9115" s="6" t="str">
        <f t="shared" si="715"/>
        <v/>
      </c>
      <c r="L9115" s="7" t="str">
        <f t="shared" si="716"/>
        <v/>
      </c>
      <c r="M9115" s="7" t="str">
        <f t="shared" si="713"/>
        <v/>
      </c>
      <c r="N9115" s="7" t="str">
        <f t="shared" si="717"/>
        <v/>
      </c>
      <c r="O9115" s="8"/>
      <c r="P9115" s="26"/>
      <c r="S9115" s="10" t="str">
        <f t="shared" si="714"/>
        <v/>
      </c>
    </row>
    <row r="9116" spans="5:19" x14ac:dyDescent="0.3">
      <c r="E9116" s="9" t="str">
        <f>IF(DADOS!C9116="","",DADOS!C9116)</f>
        <v/>
      </c>
      <c r="F9116" s="9" t="str">
        <f>IF(DADOS!E9116="","",DADOS!E9116)</f>
        <v/>
      </c>
      <c r="G9116" s="9" t="str">
        <f>IF(DADOS!F9116="","",DADOS!F9116)</f>
        <v/>
      </c>
      <c r="K9116" s="6" t="str">
        <f t="shared" si="715"/>
        <v/>
      </c>
      <c r="L9116" s="7" t="str">
        <f t="shared" si="716"/>
        <v/>
      </c>
      <c r="M9116" s="7" t="str">
        <f t="shared" si="713"/>
        <v/>
      </c>
      <c r="N9116" s="7" t="str">
        <f t="shared" si="717"/>
        <v/>
      </c>
      <c r="O9116" s="8"/>
      <c r="P9116" s="26"/>
      <c r="S9116" s="10" t="str">
        <f t="shared" si="714"/>
        <v/>
      </c>
    </row>
    <row r="9117" spans="5:19" x14ac:dyDescent="0.3">
      <c r="E9117" s="9" t="str">
        <f>IF(DADOS!C9117="","",DADOS!C9117)</f>
        <v/>
      </c>
      <c r="F9117" s="9" t="str">
        <f>IF(DADOS!E9117="","",DADOS!E9117)</f>
        <v/>
      </c>
      <c r="G9117" s="9" t="str">
        <f>IF(DADOS!F9117="","",DADOS!F9117)</f>
        <v/>
      </c>
      <c r="K9117" s="6" t="str">
        <f t="shared" si="715"/>
        <v/>
      </c>
      <c r="L9117" s="7" t="str">
        <f t="shared" si="716"/>
        <v/>
      </c>
      <c r="M9117" s="7" t="str">
        <f t="shared" si="713"/>
        <v/>
      </c>
      <c r="N9117" s="7" t="str">
        <f t="shared" si="717"/>
        <v/>
      </c>
      <c r="O9117" s="8"/>
      <c r="P9117" s="26"/>
      <c r="S9117" s="10" t="str">
        <f t="shared" si="714"/>
        <v/>
      </c>
    </row>
    <row r="9118" spans="5:19" x14ac:dyDescent="0.3">
      <c r="E9118" s="9" t="str">
        <f>IF(DADOS!C9118="","",DADOS!C9118)</f>
        <v/>
      </c>
      <c r="F9118" s="9" t="str">
        <f>IF(DADOS!E9118="","",DADOS!E9118)</f>
        <v/>
      </c>
      <c r="G9118" s="9" t="str">
        <f>IF(DADOS!F9118="","",DADOS!F9118)</f>
        <v/>
      </c>
      <c r="K9118" s="6" t="str">
        <f t="shared" si="715"/>
        <v/>
      </c>
      <c r="L9118" s="7" t="str">
        <f t="shared" si="716"/>
        <v/>
      </c>
      <c r="M9118" s="7" t="str">
        <f t="shared" si="713"/>
        <v/>
      </c>
      <c r="N9118" s="7" t="str">
        <f t="shared" si="717"/>
        <v/>
      </c>
      <c r="O9118" s="8"/>
      <c r="P9118" s="26"/>
      <c r="S9118" s="10" t="str">
        <f t="shared" si="714"/>
        <v/>
      </c>
    </row>
    <row r="9119" spans="5:19" x14ac:dyDescent="0.3">
      <c r="E9119" s="9" t="str">
        <f>IF(DADOS!C9119="","",DADOS!C9119)</f>
        <v/>
      </c>
      <c r="F9119" s="9" t="str">
        <f>IF(DADOS!E9119="","",DADOS!E9119)</f>
        <v/>
      </c>
      <c r="G9119" s="9" t="str">
        <f>IF(DADOS!F9119="","",DADOS!F9119)</f>
        <v/>
      </c>
      <c r="K9119" s="6" t="str">
        <f t="shared" si="715"/>
        <v/>
      </c>
      <c r="L9119" s="7" t="str">
        <f t="shared" si="716"/>
        <v/>
      </c>
      <c r="M9119" s="7" t="str">
        <f t="shared" si="713"/>
        <v/>
      </c>
      <c r="N9119" s="7" t="str">
        <f t="shared" si="717"/>
        <v/>
      </c>
      <c r="O9119" s="8"/>
      <c r="P9119" s="26"/>
      <c r="S9119" s="10" t="str">
        <f t="shared" si="714"/>
        <v/>
      </c>
    </row>
    <row r="9120" spans="5:19" x14ac:dyDescent="0.3">
      <c r="E9120" s="9" t="str">
        <f>IF(DADOS!C9120="","",DADOS!C9120)</f>
        <v/>
      </c>
      <c r="F9120" s="9" t="str">
        <f>IF(DADOS!E9120="","",DADOS!E9120)</f>
        <v/>
      </c>
      <c r="G9120" s="9" t="str">
        <f>IF(DADOS!F9120="","",DADOS!F9120)</f>
        <v/>
      </c>
      <c r="K9120" s="6" t="str">
        <f t="shared" si="715"/>
        <v/>
      </c>
      <c r="L9120" s="7" t="str">
        <f t="shared" si="716"/>
        <v/>
      </c>
      <c r="M9120" s="7" t="str">
        <f t="shared" si="713"/>
        <v/>
      </c>
      <c r="N9120" s="7" t="str">
        <f t="shared" si="717"/>
        <v/>
      </c>
      <c r="O9120" s="8"/>
      <c r="P9120" s="26"/>
      <c r="S9120" s="10" t="str">
        <f t="shared" si="714"/>
        <v/>
      </c>
    </row>
    <row r="9121" spans="5:19" x14ac:dyDescent="0.3">
      <c r="E9121" s="9" t="str">
        <f>IF(DADOS!C9121="","",DADOS!C9121)</f>
        <v/>
      </c>
      <c r="F9121" s="9" t="str">
        <f>IF(DADOS!E9121="","",DADOS!E9121)</f>
        <v/>
      </c>
      <c r="G9121" s="9" t="str">
        <f>IF(DADOS!F9121="","",DADOS!F9121)</f>
        <v/>
      </c>
      <c r="K9121" s="6" t="str">
        <f t="shared" si="715"/>
        <v/>
      </c>
      <c r="L9121" s="7" t="str">
        <f t="shared" si="716"/>
        <v/>
      </c>
      <c r="M9121" s="7" t="str">
        <f t="shared" si="713"/>
        <v/>
      </c>
      <c r="N9121" s="7" t="str">
        <f t="shared" si="717"/>
        <v/>
      </c>
      <c r="O9121" s="8"/>
      <c r="P9121" s="26"/>
      <c r="S9121" s="10" t="str">
        <f t="shared" si="714"/>
        <v/>
      </c>
    </row>
    <row r="9122" spans="5:19" x14ac:dyDescent="0.3">
      <c r="E9122" s="9" t="str">
        <f>IF(DADOS!C9122="","",DADOS!C9122)</f>
        <v/>
      </c>
      <c r="F9122" s="9" t="str">
        <f>IF(DADOS!E9122="","",DADOS!E9122)</f>
        <v/>
      </c>
      <c r="G9122" s="9" t="str">
        <f>IF(DADOS!F9122="","",DADOS!F9122)</f>
        <v/>
      </c>
      <c r="K9122" s="6" t="str">
        <f t="shared" si="715"/>
        <v/>
      </c>
      <c r="L9122" s="7" t="str">
        <f t="shared" si="716"/>
        <v/>
      </c>
      <c r="M9122" s="7" t="str">
        <f t="shared" si="713"/>
        <v/>
      </c>
      <c r="N9122" s="7" t="str">
        <f t="shared" si="717"/>
        <v/>
      </c>
      <c r="O9122" s="8"/>
      <c r="P9122" s="26"/>
      <c r="S9122" s="10" t="str">
        <f t="shared" si="714"/>
        <v/>
      </c>
    </row>
    <row r="9123" spans="5:19" x14ac:dyDescent="0.3">
      <c r="E9123" s="9" t="str">
        <f>IF(DADOS!C9123="","",DADOS!C9123)</f>
        <v/>
      </c>
      <c r="F9123" s="9" t="str">
        <f>IF(DADOS!E9123="","",DADOS!E9123)</f>
        <v/>
      </c>
      <c r="G9123" s="9" t="str">
        <f>IF(DADOS!F9123="","",DADOS!F9123)</f>
        <v/>
      </c>
      <c r="K9123" s="6" t="str">
        <f t="shared" si="715"/>
        <v/>
      </c>
      <c r="L9123" s="7" t="str">
        <f t="shared" si="716"/>
        <v/>
      </c>
      <c r="M9123" s="7" t="str">
        <f t="shared" si="713"/>
        <v/>
      </c>
      <c r="N9123" s="7" t="str">
        <f t="shared" si="717"/>
        <v/>
      </c>
      <c r="O9123" s="8"/>
      <c r="P9123" s="26"/>
      <c r="S9123" s="10" t="str">
        <f t="shared" si="714"/>
        <v/>
      </c>
    </row>
    <row r="9124" spans="5:19" x14ac:dyDescent="0.3">
      <c r="E9124" s="9" t="str">
        <f>IF(DADOS!C9124="","",DADOS!C9124)</f>
        <v/>
      </c>
      <c r="F9124" s="9" t="str">
        <f>IF(DADOS!E9124="","",DADOS!E9124)</f>
        <v/>
      </c>
      <c r="G9124" s="9" t="str">
        <f>IF(DADOS!F9124="","",DADOS!F9124)</f>
        <v/>
      </c>
      <c r="K9124" s="6" t="str">
        <f t="shared" si="715"/>
        <v/>
      </c>
      <c r="L9124" s="7" t="str">
        <f t="shared" si="716"/>
        <v/>
      </c>
      <c r="M9124" s="7" t="str">
        <f t="shared" si="713"/>
        <v/>
      </c>
      <c r="N9124" s="7" t="str">
        <f t="shared" si="717"/>
        <v/>
      </c>
      <c r="O9124" s="8"/>
      <c r="P9124" s="26"/>
      <c r="S9124" s="10" t="str">
        <f t="shared" si="714"/>
        <v/>
      </c>
    </row>
    <row r="9125" spans="5:19" x14ac:dyDescent="0.3">
      <c r="E9125" s="9" t="str">
        <f>IF(DADOS!C9125="","",DADOS!C9125)</f>
        <v/>
      </c>
      <c r="F9125" s="9" t="str">
        <f>IF(DADOS!E9125="","",DADOS!E9125)</f>
        <v/>
      </c>
      <c r="G9125" s="9" t="str">
        <f>IF(DADOS!F9125="","",DADOS!F9125)</f>
        <v/>
      </c>
      <c r="K9125" s="6" t="str">
        <f t="shared" si="715"/>
        <v/>
      </c>
      <c r="L9125" s="7" t="str">
        <f t="shared" si="716"/>
        <v/>
      </c>
      <c r="M9125" s="7" t="str">
        <f t="shared" si="713"/>
        <v/>
      </c>
      <c r="N9125" s="7" t="str">
        <f t="shared" si="717"/>
        <v/>
      </c>
      <c r="O9125" s="8"/>
      <c r="P9125" s="26"/>
      <c r="S9125" s="10" t="str">
        <f t="shared" si="714"/>
        <v/>
      </c>
    </row>
    <row r="9126" spans="5:19" x14ac:dyDescent="0.3">
      <c r="E9126" s="9" t="str">
        <f>IF(DADOS!C9126="","",DADOS!C9126)</f>
        <v/>
      </c>
      <c r="F9126" s="9" t="str">
        <f>IF(DADOS!E9126="","",DADOS!E9126)</f>
        <v/>
      </c>
      <c r="G9126" s="9" t="str">
        <f>IF(DADOS!F9126="","",DADOS!F9126)</f>
        <v/>
      </c>
      <c r="K9126" s="6" t="str">
        <f t="shared" si="715"/>
        <v/>
      </c>
      <c r="L9126" s="7" t="str">
        <f t="shared" si="716"/>
        <v/>
      </c>
      <c r="M9126" s="7" t="str">
        <f t="shared" si="713"/>
        <v/>
      </c>
      <c r="N9126" s="7" t="str">
        <f t="shared" si="717"/>
        <v/>
      </c>
      <c r="O9126" s="8"/>
      <c r="P9126" s="26"/>
      <c r="S9126" s="10" t="str">
        <f t="shared" si="714"/>
        <v/>
      </c>
    </row>
    <row r="9127" spans="5:19" x14ac:dyDescent="0.3">
      <c r="E9127" s="9" t="str">
        <f>IF(DADOS!C9127="","",DADOS!C9127)</f>
        <v/>
      </c>
      <c r="F9127" s="9" t="str">
        <f>IF(DADOS!E9127="","",DADOS!E9127)</f>
        <v/>
      </c>
      <c r="G9127" s="9" t="str">
        <f>IF(DADOS!F9127="","",DADOS!F9127)</f>
        <v/>
      </c>
      <c r="K9127" s="6" t="str">
        <f t="shared" si="715"/>
        <v/>
      </c>
      <c r="L9127" s="7" t="str">
        <f t="shared" si="716"/>
        <v/>
      </c>
      <c r="M9127" s="7" t="str">
        <f t="shared" si="713"/>
        <v/>
      </c>
      <c r="N9127" s="7" t="str">
        <f t="shared" si="717"/>
        <v/>
      </c>
      <c r="O9127" s="8"/>
      <c r="P9127" s="26"/>
      <c r="S9127" s="10" t="str">
        <f t="shared" si="714"/>
        <v/>
      </c>
    </row>
    <row r="9128" spans="5:19" x14ac:dyDescent="0.3">
      <c r="E9128" s="9" t="str">
        <f>IF(DADOS!C9128="","",DADOS!C9128)</f>
        <v/>
      </c>
      <c r="F9128" s="9" t="str">
        <f>IF(DADOS!E9128="","",DADOS!E9128)</f>
        <v/>
      </c>
      <c r="G9128" s="9" t="str">
        <f>IF(DADOS!F9128="","",DADOS!F9128)</f>
        <v/>
      </c>
      <c r="K9128" s="6" t="str">
        <f t="shared" si="715"/>
        <v/>
      </c>
      <c r="L9128" s="7" t="str">
        <f t="shared" si="716"/>
        <v/>
      </c>
      <c r="M9128" s="7" t="str">
        <f t="shared" si="713"/>
        <v/>
      </c>
      <c r="N9128" s="7" t="str">
        <f t="shared" si="717"/>
        <v/>
      </c>
      <c r="O9128" s="8"/>
      <c r="P9128" s="26"/>
      <c r="S9128" s="10" t="str">
        <f t="shared" si="714"/>
        <v/>
      </c>
    </row>
    <row r="9129" spans="5:19" x14ac:dyDescent="0.3">
      <c r="E9129" s="9" t="str">
        <f>IF(DADOS!C9129="","",DADOS!C9129)</f>
        <v/>
      </c>
      <c r="F9129" s="9" t="str">
        <f>IF(DADOS!E9129="","",DADOS!E9129)</f>
        <v/>
      </c>
      <c r="G9129" s="9" t="str">
        <f>IF(DADOS!F9129="","",DADOS!F9129)</f>
        <v/>
      </c>
      <c r="K9129" s="6" t="str">
        <f t="shared" si="715"/>
        <v/>
      </c>
      <c r="L9129" s="7" t="str">
        <f t="shared" si="716"/>
        <v/>
      </c>
      <c r="M9129" s="7" t="str">
        <f t="shared" si="713"/>
        <v/>
      </c>
      <c r="N9129" s="7" t="str">
        <f t="shared" si="717"/>
        <v/>
      </c>
      <c r="O9129" s="8"/>
      <c r="P9129" s="26"/>
      <c r="S9129" s="10" t="str">
        <f t="shared" si="714"/>
        <v/>
      </c>
    </row>
    <row r="9130" spans="5:19" x14ac:dyDescent="0.3">
      <c r="E9130" s="9" t="str">
        <f>IF(DADOS!C9130="","",DADOS!C9130)</f>
        <v/>
      </c>
      <c r="F9130" s="9" t="str">
        <f>IF(DADOS!E9130="","",DADOS!E9130)</f>
        <v/>
      </c>
      <c r="G9130" s="9" t="str">
        <f>IF(DADOS!F9130="","",DADOS!F9130)</f>
        <v/>
      </c>
      <c r="K9130" s="6" t="str">
        <f t="shared" si="715"/>
        <v/>
      </c>
      <c r="L9130" s="7" t="str">
        <f t="shared" si="716"/>
        <v/>
      </c>
      <c r="M9130" s="7" t="str">
        <f t="shared" si="713"/>
        <v/>
      </c>
      <c r="N9130" s="7" t="str">
        <f t="shared" si="717"/>
        <v/>
      </c>
      <c r="O9130" s="8"/>
      <c r="P9130" s="26"/>
      <c r="S9130" s="10" t="str">
        <f t="shared" si="714"/>
        <v/>
      </c>
    </row>
    <row r="9131" spans="5:19" x14ac:dyDescent="0.3">
      <c r="E9131" s="9" t="str">
        <f>IF(DADOS!C9131="","",DADOS!C9131)</f>
        <v/>
      </c>
      <c r="F9131" s="9" t="str">
        <f>IF(DADOS!E9131="","",DADOS!E9131)</f>
        <v/>
      </c>
      <c r="G9131" s="9" t="str">
        <f>IF(DADOS!F9131="","",DADOS!F9131)</f>
        <v/>
      </c>
      <c r="K9131" s="6" t="str">
        <f t="shared" si="715"/>
        <v/>
      </c>
      <c r="L9131" s="7" t="str">
        <f t="shared" si="716"/>
        <v/>
      </c>
      <c r="M9131" s="7" t="str">
        <f t="shared" si="713"/>
        <v/>
      </c>
      <c r="N9131" s="7" t="str">
        <f t="shared" si="717"/>
        <v/>
      </c>
      <c r="O9131" s="8"/>
      <c r="P9131" s="26"/>
      <c r="S9131" s="10" t="str">
        <f t="shared" si="714"/>
        <v/>
      </c>
    </row>
    <row r="9132" spans="5:19" x14ac:dyDescent="0.3">
      <c r="E9132" s="9" t="str">
        <f>IF(DADOS!C9132="","",DADOS!C9132)</f>
        <v/>
      </c>
      <c r="F9132" s="9" t="str">
        <f>IF(DADOS!E9132="","",DADOS!E9132)</f>
        <v/>
      </c>
      <c r="G9132" s="9" t="str">
        <f>IF(DADOS!F9132="","",DADOS!F9132)</f>
        <v/>
      </c>
      <c r="K9132" s="6" t="str">
        <f t="shared" si="715"/>
        <v/>
      </c>
      <c r="L9132" s="7" t="str">
        <f t="shared" si="716"/>
        <v/>
      </c>
      <c r="M9132" s="7" t="str">
        <f t="shared" si="713"/>
        <v/>
      </c>
      <c r="N9132" s="7" t="str">
        <f t="shared" si="717"/>
        <v/>
      </c>
      <c r="O9132" s="8"/>
      <c r="P9132" s="26"/>
      <c r="S9132" s="10" t="str">
        <f t="shared" si="714"/>
        <v/>
      </c>
    </row>
    <row r="9133" spans="5:19" x14ac:dyDescent="0.3">
      <c r="E9133" s="9" t="str">
        <f>IF(DADOS!C9133="","",DADOS!C9133)</f>
        <v/>
      </c>
      <c r="F9133" s="9" t="str">
        <f>IF(DADOS!E9133="","",DADOS!E9133)</f>
        <v/>
      </c>
      <c r="G9133" s="9" t="str">
        <f>IF(DADOS!F9133="","",DADOS!F9133)</f>
        <v/>
      </c>
      <c r="K9133" s="6" t="str">
        <f t="shared" si="715"/>
        <v/>
      </c>
      <c r="L9133" s="7" t="str">
        <f t="shared" si="716"/>
        <v/>
      </c>
      <c r="M9133" s="7" t="str">
        <f t="shared" si="713"/>
        <v/>
      </c>
      <c r="N9133" s="7" t="str">
        <f t="shared" si="717"/>
        <v/>
      </c>
      <c r="O9133" s="8"/>
      <c r="P9133" s="26"/>
      <c r="S9133" s="10" t="str">
        <f t="shared" si="714"/>
        <v/>
      </c>
    </row>
    <row r="9134" spans="5:19" x14ac:dyDescent="0.3">
      <c r="E9134" s="9" t="str">
        <f>IF(DADOS!C9134="","",DADOS!C9134)</f>
        <v/>
      </c>
      <c r="F9134" s="9" t="str">
        <f>IF(DADOS!E9134="","",DADOS!E9134)</f>
        <v/>
      </c>
      <c r="G9134" s="9" t="str">
        <f>IF(DADOS!F9134="","",DADOS!F9134)</f>
        <v/>
      </c>
      <c r="K9134" s="6" t="str">
        <f t="shared" si="715"/>
        <v/>
      </c>
      <c r="L9134" s="7" t="str">
        <f t="shared" si="716"/>
        <v/>
      </c>
      <c r="M9134" s="7" t="str">
        <f t="shared" si="713"/>
        <v/>
      </c>
      <c r="N9134" s="7" t="str">
        <f t="shared" si="717"/>
        <v/>
      </c>
      <c r="O9134" s="8"/>
      <c r="P9134" s="26"/>
      <c r="S9134" s="10" t="str">
        <f t="shared" si="714"/>
        <v/>
      </c>
    </row>
    <row r="9135" spans="5:19" x14ac:dyDescent="0.3">
      <c r="E9135" s="9" t="str">
        <f>IF(DADOS!C9135="","",DADOS!C9135)</f>
        <v/>
      </c>
      <c r="F9135" s="9" t="str">
        <f>IF(DADOS!E9135="","",DADOS!E9135)</f>
        <v/>
      </c>
      <c r="G9135" s="9" t="str">
        <f>IF(DADOS!F9135="","",DADOS!F9135)</f>
        <v/>
      </c>
      <c r="K9135" s="6" t="str">
        <f t="shared" si="715"/>
        <v/>
      </c>
      <c r="L9135" s="7" t="str">
        <f t="shared" si="716"/>
        <v/>
      </c>
      <c r="M9135" s="7" t="str">
        <f t="shared" si="713"/>
        <v/>
      </c>
      <c r="N9135" s="7" t="str">
        <f t="shared" si="717"/>
        <v/>
      </c>
      <c r="O9135" s="8"/>
      <c r="P9135" s="26"/>
      <c r="S9135" s="10" t="str">
        <f t="shared" si="714"/>
        <v/>
      </c>
    </row>
    <row r="9136" spans="5:19" x14ac:dyDescent="0.3">
      <c r="E9136" s="9" t="str">
        <f>IF(DADOS!C9136="","",DADOS!C9136)</f>
        <v/>
      </c>
      <c r="F9136" s="9" t="str">
        <f>IF(DADOS!E9136="","",DADOS!E9136)</f>
        <v/>
      </c>
      <c r="G9136" s="9" t="str">
        <f>IF(DADOS!F9136="","",DADOS!F9136)</f>
        <v/>
      </c>
      <c r="K9136" s="6" t="str">
        <f t="shared" si="715"/>
        <v/>
      </c>
      <c r="L9136" s="7" t="str">
        <f t="shared" si="716"/>
        <v/>
      </c>
      <c r="M9136" s="7" t="str">
        <f t="shared" si="713"/>
        <v/>
      </c>
      <c r="N9136" s="7" t="str">
        <f t="shared" si="717"/>
        <v/>
      </c>
      <c r="O9136" s="8"/>
      <c r="P9136" s="26"/>
      <c r="S9136" s="10" t="str">
        <f t="shared" si="714"/>
        <v/>
      </c>
    </row>
    <row r="9137" spans="5:19" x14ac:dyDescent="0.3">
      <c r="E9137" s="9" t="str">
        <f>IF(DADOS!C9137="","",DADOS!C9137)</f>
        <v/>
      </c>
      <c r="F9137" s="9" t="str">
        <f>IF(DADOS!E9137="","",DADOS!E9137)</f>
        <v/>
      </c>
      <c r="G9137" s="9" t="str">
        <f>IF(DADOS!F9137="","",DADOS!F9137)</f>
        <v/>
      </c>
      <c r="K9137" s="6" t="str">
        <f t="shared" si="715"/>
        <v/>
      </c>
      <c r="L9137" s="7" t="str">
        <f t="shared" si="716"/>
        <v/>
      </c>
      <c r="M9137" s="7" t="str">
        <f t="shared" si="713"/>
        <v/>
      </c>
      <c r="N9137" s="7" t="str">
        <f t="shared" si="717"/>
        <v/>
      </c>
      <c r="O9137" s="8"/>
      <c r="P9137" s="26"/>
      <c r="S9137" s="10" t="str">
        <f t="shared" si="714"/>
        <v/>
      </c>
    </row>
    <row r="9138" spans="5:19" x14ac:dyDescent="0.3">
      <c r="E9138" s="9" t="str">
        <f>IF(DADOS!C9138="","",DADOS!C9138)</f>
        <v/>
      </c>
      <c r="F9138" s="9" t="str">
        <f>IF(DADOS!E9138="","",DADOS!E9138)</f>
        <v/>
      </c>
      <c r="G9138" s="9" t="str">
        <f>IF(DADOS!F9138="","",DADOS!F9138)</f>
        <v/>
      </c>
      <c r="K9138" s="6" t="str">
        <f t="shared" si="715"/>
        <v/>
      </c>
      <c r="L9138" s="7" t="str">
        <f t="shared" si="716"/>
        <v/>
      </c>
      <c r="M9138" s="7" t="str">
        <f t="shared" si="713"/>
        <v/>
      </c>
      <c r="N9138" s="7" t="str">
        <f t="shared" si="717"/>
        <v/>
      </c>
      <c r="O9138" s="8"/>
      <c r="P9138" s="26"/>
      <c r="S9138" s="10" t="str">
        <f t="shared" si="714"/>
        <v/>
      </c>
    </row>
    <row r="9139" spans="5:19" x14ac:dyDescent="0.3">
      <c r="E9139" s="9" t="str">
        <f>IF(DADOS!C9139="","",DADOS!C9139)</f>
        <v/>
      </c>
      <c r="F9139" s="9" t="str">
        <f>IF(DADOS!E9139="","",DADOS!E9139)</f>
        <v/>
      </c>
      <c r="G9139" s="9" t="str">
        <f>IF(DADOS!F9139="","",DADOS!F9139)</f>
        <v/>
      </c>
      <c r="K9139" s="6" t="str">
        <f t="shared" si="715"/>
        <v/>
      </c>
      <c r="L9139" s="7" t="str">
        <f t="shared" si="716"/>
        <v/>
      </c>
      <c r="M9139" s="7" t="str">
        <f t="shared" si="713"/>
        <v/>
      </c>
      <c r="N9139" s="7" t="str">
        <f t="shared" si="717"/>
        <v/>
      </c>
      <c r="O9139" s="8"/>
      <c r="P9139" s="26"/>
      <c r="S9139" s="10" t="str">
        <f t="shared" si="714"/>
        <v/>
      </c>
    </row>
    <row r="9140" spans="5:19" x14ac:dyDescent="0.3">
      <c r="E9140" s="9" t="str">
        <f>IF(DADOS!C9140="","",DADOS!C9140)</f>
        <v/>
      </c>
      <c r="F9140" s="9" t="str">
        <f>IF(DADOS!E9140="","",DADOS!E9140)</f>
        <v/>
      </c>
      <c r="G9140" s="9" t="str">
        <f>IF(DADOS!F9140="","",DADOS!F9140)</f>
        <v/>
      </c>
      <c r="K9140" s="6" t="str">
        <f t="shared" si="715"/>
        <v/>
      </c>
      <c r="L9140" s="7" t="str">
        <f t="shared" si="716"/>
        <v/>
      </c>
      <c r="M9140" s="7" t="str">
        <f t="shared" si="713"/>
        <v/>
      </c>
      <c r="N9140" s="7" t="str">
        <f t="shared" si="717"/>
        <v/>
      </c>
      <c r="O9140" s="8"/>
      <c r="P9140" s="26"/>
      <c r="S9140" s="10" t="str">
        <f t="shared" si="714"/>
        <v/>
      </c>
    </row>
    <row r="9141" spans="5:19" x14ac:dyDescent="0.3">
      <c r="E9141" s="9" t="str">
        <f>IF(DADOS!C9141="","",DADOS!C9141)</f>
        <v/>
      </c>
      <c r="F9141" s="9" t="str">
        <f>IF(DADOS!E9141="","",DADOS!E9141)</f>
        <v/>
      </c>
      <c r="G9141" s="9" t="str">
        <f>IF(DADOS!F9141="","",DADOS!F9141)</f>
        <v/>
      </c>
      <c r="K9141" s="6" t="str">
        <f t="shared" si="715"/>
        <v/>
      </c>
      <c r="L9141" s="7" t="str">
        <f t="shared" si="716"/>
        <v/>
      </c>
      <c r="M9141" s="7" t="str">
        <f t="shared" si="713"/>
        <v/>
      </c>
      <c r="N9141" s="7" t="str">
        <f t="shared" si="717"/>
        <v/>
      </c>
      <c r="O9141" s="8"/>
      <c r="P9141" s="26"/>
      <c r="S9141" s="10" t="str">
        <f t="shared" si="714"/>
        <v/>
      </c>
    </row>
    <row r="9142" spans="5:19" x14ac:dyDescent="0.3">
      <c r="E9142" s="9" t="str">
        <f>IF(DADOS!C9142="","",DADOS!C9142)</f>
        <v/>
      </c>
      <c r="F9142" s="9" t="str">
        <f>IF(DADOS!E9142="","",DADOS!E9142)</f>
        <v/>
      </c>
      <c r="G9142" s="9" t="str">
        <f>IF(DADOS!F9142="","",DADOS!F9142)</f>
        <v/>
      </c>
      <c r="K9142" s="6" t="str">
        <f t="shared" si="715"/>
        <v/>
      </c>
      <c r="L9142" s="7" t="str">
        <f t="shared" si="716"/>
        <v/>
      </c>
      <c r="M9142" s="7" t="str">
        <f t="shared" si="713"/>
        <v/>
      </c>
      <c r="N9142" s="7" t="str">
        <f t="shared" si="717"/>
        <v/>
      </c>
      <c r="O9142" s="8"/>
      <c r="P9142" s="26"/>
      <c r="S9142" s="10" t="str">
        <f t="shared" si="714"/>
        <v/>
      </c>
    </row>
    <row r="9143" spans="5:19" x14ac:dyDescent="0.3">
      <c r="E9143" s="9" t="str">
        <f>IF(DADOS!C9143="","",DADOS!C9143)</f>
        <v/>
      </c>
      <c r="F9143" s="9" t="str">
        <f>IF(DADOS!E9143="","",DADOS!E9143)</f>
        <v/>
      </c>
      <c r="G9143" s="9" t="str">
        <f>IF(DADOS!F9143="","",DADOS!F9143)</f>
        <v/>
      </c>
      <c r="K9143" s="6" t="str">
        <f t="shared" si="715"/>
        <v/>
      </c>
      <c r="L9143" s="7" t="str">
        <f t="shared" si="716"/>
        <v/>
      </c>
      <c r="M9143" s="7" t="str">
        <f t="shared" si="713"/>
        <v/>
      </c>
      <c r="N9143" s="7" t="str">
        <f t="shared" si="717"/>
        <v/>
      </c>
      <c r="O9143" s="8"/>
      <c r="P9143" s="26"/>
      <c r="S9143" s="10" t="str">
        <f t="shared" si="714"/>
        <v/>
      </c>
    </row>
    <row r="9144" spans="5:19" x14ac:dyDescent="0.3">
      <c r="E9144" s="9" t="str">
        <f>IF(DADOS!C9144="","",DADOS!C9144)</f>
        <v/>
      </c>
      <c r="F9144" s="9" t="str">
        <f>IF(DADOS!E9144="","",DADOS!E9144)</f>
        <v/>
      </c>
      <c r="G9144" s="9" t="str">
        <f>IF(DADOS!F9144="","",DADOS!F9144)</f>
        <v/>
      </c>
      <c r="K9144" s="6" t="str">
        <f t="shared" si="715"/>
        <v/>
      </c>
      <c r="L9144" s="7" t="str">
        <f t="shared" si="716"/>
        <v/>
      </c>
      <c r="M9144" s="7" t="str">
        <f t="shared" si="713"/>
        <v/>
      </c>
      <c r="N9144" s="7" t="str">
        <f t="shared" si="717"/>
        <v/>
      </c>
      <c r="O9144" s="8"/>
      <c r="P9144" s="26"/>
      <c r="S9144" s="10" t="str">
        <f t="shared" si="714"/>
        <v/>
      </c>
    </row>
    <row r="9145" spans="5:19" x14ac:dyDescent="0.3">
      <c r="E9145" s="9" t="str">
        <f>IF(DADOS!C9145="","",DADOS!C9145)</f>
        <v/>
      </c>
      <c r="F9145" s="9" t="str">
        <f>IF(DADOS!E9145="","",DADOS!E9145)</f>
        <v/>
      </c>
      <c r="G9145" s="9" t="str">
        <f>IF(DADOS!F9145="","",DADOS!F9145)</f>
        <v/>
      </c>
      <c r="K9145" s="6" t="str">
        <f t="shared" si="715"/>
        <v/>
      </c>
      <c r="L9145" s="7" t="str">
        <f t="shared" si="716"/>
        <v/>
      </c>
      <c r="M9145" s="7" t="str">
        <f t="shared" si="713"/>
        <v/>
      </c>
      <c r="N9145" s="7" t="str">
        <f t="shared" si="717"/>
        <v/>
      </c>
      <c r="O9145" s="8"/>
      <c r="P9145" s="26"/>
      <c r="S9145" s="10" t="str">
        <f t="shared" si="714"/>
        <v/>
      </c>
    </row>
    <row r="9146" spans="5:19" x14ac:dyDescent="0.3">
      <c r="E9146" s="9" t="str">
        <f>IF(DADOS!C9146="","",DADOS!C9146)</f>
        <v/>
      </c>
      <c r="F9146" s="9" t="str">
        <f>IF(DADOS!E9146="","",DADOS!E9146)</f>
        <v/>
      </c>
      <c r="G9146" s="9" t="str">
        <f>IF(DADOS!F9146="","",DADOS!F9146)</f>
        <v/>
      </c>
      <c r="K9146" s="6" t="str">
        <f t="shared" si="715"/>
        <v/>
      </c>
      <c r="L9146" s="7" t="str">
        <f t="shared" si="716"/>
        <v/>
      </c>
      <c r="M9146" s="7" t="str">
        <f t="shared" si="713"/>
        <v/>
      </c>
      <c r="N9146" s="7" t="str">
        <f t="shared" si="717"/>
        <v/>
      </c>
      <c r="O9146" s="8"/>
      <c r="P9146" s="26"/>
      <c r="S9146" s="10" t="str">
        <f t="shared" si="714"/>
        <v/>
      </c>
    </row>
    <row r="9147" spans="5:19" x14ac:dyDescent="0.3">
      <c r="E9147" s="9" t="str">
        <f>IF(DADOS!C9147="","",DADOS!C9147)</f>
        <v/>
      </c>
      <c r="F9147" s="9" t="str">
        <f>IF(DADOS!E9147="","",DADOS!E9147)</f>
        <v/>
      </c>
      <c r="G9147" s="9" t="str">
        <f>IF(DADOS!F9147="","",DADOS!F9147)</f>
        <v/>
      </c>
      <c r="K9147" s="6" t="str">
        <f t="shared" si="715"/>
        <v/>
      </c>
      <c r="L9147" s="7" t="str">
        <f t="shared" si="716"/>
        <v/>
      </c>
      <c r="M9147" s="7" t="str">
        <f t="shared" si="713"/>
        <v/>
      </c>
      <c r="N9147" s="7" t="str">
        <f t="shared" si="717"/>
        <v/>
      </c>
      <c r="O9147" s="8"/>
      <c r="P9147" s="26"/>
      <c r="S9147" s="10" t="str">
        <f t="shared" si="714"/>
        <v/>
      </c>
    </row>
    <row r="9148" spans="5:19" x14ac:dyDescent="0.3">
      <c r="E9148" s="9" t="str">
        <f>IF(DADOS!C9148="","",DADOS!C9148)</f>
        <v/>
      </c>
      <c r="F9148" s="9" t="str">
        <f>IF(DADOS!E9148="","",DADOS!E9148)</f>
        <v/>
      </c>
      <c r="G9148" s="9" t="str">
        <f>IF(DADOS!F9148="","",DADOS!F9148)</f>
        <v/>
      </c>
      <c r="K9148" s="6" t="str">
        <f t="shared" si="715"/>
        <v/>
      </c>
      <c r="L9148" s="7" t="str">
        <f t="shared" si="716"/>
        <v/>
      </c>
      <c r="M9148" s="7" t="str">
        <f t="shared" si="713"/>
        <v/>
      </c>
      <c r="N9148" s="7" t="str">
        <f t="shared" si="717"/>
        <v/>
      </c>
      <c r="O9148" s="8"/>
      <c r="P9148" s="26"/>
      <c r="S9148" s="10" t="str">
        <f t="shared" si="714"/>
        <v/>
      </c>
    </row>
    <row r="9149" spans="5:19" x14ac:dyDescent="0.3">
      <c r="E9149" s="9" t="str">
        <f>IF(DADOS!C9149="","",DADOS!C9149)</f>
        <v/>
      </c>
      <c r="F9149" s="9" t="str">
        <f>IF(DADOS!E9149="","",DADOS!E9149)</f>
        <v/>
      </c>
      <c r="G9149" s="9" t="str">
        <f>IF(DADOS!F9149="","",DADOS!F9149)</f>
        <v/>
      </c>
      <c r="K9149" s="6" t="str">
        <f t="shared" si="715"/>
        <v/>
      </c>
      <c r="L9149" s="7" t="str">
        <f t="shared" si="716"/>
        <v/>
      </c>
      <c r="M9149" s="7" t="str">
        <f t="shared" si="713"/>
        <v/>
      </c>
      <c r="N9149" s="7" t="str">
        <f t="shared" si="717"/>
        <v/>
      </c>
      <c r="O9149" s="8"/>
      <c r="P9149" s="26"/>
      <c r="S9149" s="10" t="str">
        <f t="shared" si="714"/>
        <v/>
      </c>
    </row>
    <row r="9150" spans="5:19" x14ac:dyDescent="0.3">
      <c r="E9150" s="9" t="str">
        <f>IF(DADOS!C9150="","",DADOS!C9150)</f>
        <v/>
      </c>
      <c r="F9150" s="9" t="str">
        <f>IF(DADOS!E9150="","",DADOS!E9150)</f>
        <v/>
      </c>
      <c r="G9150" s="9" t="str">
        <f>IF(DADOS!F9150="","",DADOS!F9150)</f>
        <v/>
      </c>
      <c r="K9150" s="6" t="str">
        <f t="shared" si="715"/>
        <v/>
      </c>
      <c r="L9150" s="7" t="str">
        <f t="shared" si="716"/>
        <v/>
      </c>
      <c r="M9150" s="7" t="str">
        <f t="shared" si="713"/>
        <v/>
      </c>
      <c r="N9150" s="7" t="str">
        <f t="shared" si="717"/>
        <v/>
      </c>
      <c r="O9150" s="8"/>
      <c r="P9150" s="26"/>
      <c r="S9150" s="10" t="str">
        <f t="shared" si="714"/>
        <v/>
      </c>
    </row>
    <row r="9151" spans="5:19" x14ac:dyDescent="0.3">
      <c r="E9151" s="9" t="str">
        <f>IF(DADOS!C9151="","",DADOS!C9151)</f>
        <v/>
      </c>
      <c r="F9151" s="9" t="str">
        <f>IF(DADOS!E9151="","",DADOS!E9151)</f>
        <v/>
      </c>
      <c r="G9151" s="9" t="str">
        <f>IF(DADOS!F9151="","",DADOS!F9151)</f>
        <v/>
      </c>
      <c r="K9151" s="6" t="str">
        <f t="shared" si="715"/>
        <v/>
      </c>
      <c r="L9151" s="7" t="str">
        <f t="shared" si="716"/>
        <v/>
      </c>
      <c r="M9151" s="7" t="str">
        <f t="shared" si="713"/>
        <v/>
      </c>
      <c r="N9151" s="7" t="str">
        <f t="shared" si="717"/>
        <v/>
      </c>
      <c r="O9151" s="8"/>
      <c r="P9151" s="26"/>
      <c r="S9151" s="10" t="str">
        <f t="shared" si="714"/>
        <v/>
      </c>
    </row>
    <row r="9152" spans="5:19" x14ac:dyDescent="0.3">
      <c r="E9152" s="9" t="str">
        <f>IF(DADOS!C9152="","",DADOS!C9152)</f>
        <v/>
      </c>
      <c r="F9152" s="9" t="str">
        <f>IF(DADOS!E9152="","",DADOS!E9152)</f>
        <v/>
      </c>
      <c r="G9152" s="9" t="str">
        <f>IF(DADOS!F9152="","",DADOS!F9152)</f>
        <v/>
      </c>
      <c r="K9152" s="6" t="str">
        <f t="shared" si="715"/>
        <v/>
      </c>
      <c r="L9152" s="7" t="str">
        <f t="shared" si="716"/>
        <v/>
      </c>
      <c r="M9152" s="7" t="str">
        <f t="shared" si="713"/>
        <v/>
      </c>
      <c r="N9152" s="7" t="str">
        <f t="shared" si="717"/>
        <v/>
      </c>
      <c r="O9152" s="8"/>
      <c r="P9152" s="26"/>
      <c r="S9152" s="10" t="str">
        <f t="shared" si="714"/>
        <v/>
      </c>
    </row>
    <row r="9153" spans="5:19" x14ac:dyDescent="0.3">
      <c r="E9153" s="9" t="str">
        <f>IF(DADOS!C9153="","",DADOS!C9153)</f>
        <v/>
      </c>
      <c r="F9153" s="9" t="str">
        <f>IF(DADOS!E9153="","",DADOS!E9153)</f>
        <v/>
      </c>
      <c r="G9153" s="9" t="str">
        <f>IF(DADOS!F9153="","",DADOS!F9153)</f>
        <v/>
      </c>
      <c r="K9153" s="6" t="str">
        <f t="shared" si="715"/>
        <v/>
      </c>
      <c r="L9153" s="7" t="str">
        <f t="shared" si="716"/>
        <v/>
      </c>
      <c r="M9153" s="7" t="str">
        <f t="shared" si="713"/>
        <v/>
      </c>
      <c r="N9153" s="7" t="str">
        <f t="shared" si="717"/>
        <v/>
      </c>
      <c r="O9153" s="8"/>
      <c r="P9153" s="26"/>
      <c r="S9153" s="10" t="str">
        <f t="shared" si="714"/>
        <v/>
      </c>
    </row>
    <row r="9154" spans="5:19" x14ac:dyDescent="0.3">
      <c r="E9154" s="9" t="str">
        <f>IF(DADOS!C9154="","",DADOS!C9154)</f>
        <v/>
      </c>
      <c r="F9154" s="9" t="str">
        <f>IF(DADOS!E9154="","",DADOS!E9154)</f>
        <v/>
      </c>
      <c r="G9154" s="9" t="str">
        <f>IF(DADOS!F9154="","",DADOS!F9154)</f>
        <v/>
      </c>
      <c r="K9154" s="6" t="str">
        <f t="shared" si="715"/>
        <v/>
      </c>
      <c r="L9154" s="7" t="str">
        <f t="shared" si="716"/>
        <v/>
      </c>
      <c r="M9154" s="7" t="str">
        <f t="shared" si="713"/>
        <v/>
      </c>
      <c r="N9154" s="7" t="str">
        <f t="shared" si="717"/>
        <v/>
      </c>
      <c r="O9154" s="8"/>
      <c r="P9154" s="26"/>
      <c r="S9154" s="10" t="str">
        <f t="shared" si="714"/>
        <v/>
      </c>
    </row>
    <row r="9155" spans="5:19" x14ac:dyDescent="0.3">
      <c r="E9155" s="9" t="str">
        <f>IF(DADOS!C9155="","",DADOS!C9155)</f>
        <v/>
      </c>
      <c r="F9155" s="9" t="str">
        <f>IF(DADOS!E9155="","",DADOS!E9155)</f>
        <v/>
      </c>
      <c r="G9155" s="9" t="str">
        <f>IF(DADOS!F9155="","",DADOS!F9155)</f>
        <v/>
      </c>
      <c r="K9155" s="6" t="str">
        <f t="shared" si="715"/>
        <v/>
      </c>
      <c r="L9155" s="7" t="str">
        <f t="shared" si="716"/>
        <v/>
      </c>
      <c r="M9155" s="7" t="str">
        <f t="shared" ref="M9155:M9218" si="718">IF(L9155="","",L9155*G9155)</f>
        <v/>
      </c>
      <c r="N9155" s="7" t="str">
        <f t="shared" si="717"/>
        <v/>
      </c>
      <c r="O9155" s="8"/>
      <c r="P9155" s="26"/>
      <c r="S9155" s="10" t="str">
        <f t="shared" ref="S9155:S9218" si="719">IF(R9155="","",SUMIFS($N$3:$N$10000,$E$3:$E$10000,R9155))</f>
        <v/>
      </c>
    </row>
    <row r="9156" spans="5:19" x14ac:dyDescent="0.3">
      <c r="E9156" s="9" t="str">
        <f>IF(DADOS!C9156="","",DADOS!C9156)</f>
        <v/>
      </c>
      <c r="F9156" s="9" t="str">
        <f>IF(DADOS!E9156="","",DADOS!E9156)</f>
        <v/>
      </c>
      <c r="G9156" s="9" t="str">
        <f>IF(DADOS!F9156="","",DADOS!F9156)</f>
        <v/>
      </c>
      <c r="K9156" s="6" t="str">
        <f t="shared" ref="K9156:K9219" si="720">IF(F9156="","",F9156/PI())</f>
        <v/>
      </c>
      <c r="L9156" s="7" t="str">
        <f t="shared" ref="L9156:L9219" si="721">IF(K9156="","",(PI()*K9156^2)/40000)</f>
        <v/>
      </c>
      <c r="M9156" s="7" t="str">
        <f t="shared" si="718"/>
        <v/>
      </c>
      <c r="N9156" s="7" t="str">
        <f t="shared" ref="N9156:N9219" si="722">IF(M9156="","",M9156*N$1)</f>
        <v/>
      </c>
      <c r="O9156" s="8"/>
      <c r="P9156" s="26"/>
      <c r="S9156" s="10" t="str">
        <f t="shared" si="719"/>
        <v/>
      </c>
    </row>
    <row r="9157" spans="5:19" x14ac:dyDescent="0.3">
      <c r="E9157" s="9" t="str">
        <f>IF(DADOS!C9157="","",DADOS!C9157)</f>
        <v/>
      </c>
      <c r="F9157" s="9" t="str">
        <f>IF(DADOS!E9157="","",DADOS!E9157)</f>
        <v/>
      </c>
      <c r="G9157" s="9" t="str">
        <f>IF(DADOS!F9157="","",DADOS!F9157)</f>
        <v/>
      </c>
      <c r="K9157" s="6" t="str">
        <f t="shared" si="720"/>
        <v/>
      </c>
      <c r="L9157" s="7" t="str">
        <f t="shared" si="721"/>
        <v/>
      </c>
      <c r="M9157" s="7" t="str">
        <f t="shared" si="718"/>
        <v/>
      </c>
      <c r="N9157" s="7" t="str">
        <f t="shared" si="722"/>
        <v/>
      </c>
      <c r="O9157" s="8"/>
      <c r="P9157" s="26"/>
      <c r="S9157" s="10" t="str">
        <f t="shared" si="719"/>
        <v/>
      </c>
    </row>
    <row r="9158" spans="5:19" x14ac:dyDescent="0.3">
      <c r="E9158" s="9" t="str">
        <f>IF(DADOS!C9158="","",DADOS!C9158)</f>
        <v/>
      </c>
      <c r="F9158" s="9" t="str">
        <f>IF(DADOS!E9158="","",DADOS!E9158)</f>
        <v/>
      </c>
      <c r="G9158" s="9" t="str">
        <f>IF(DADOS!F9158="","",DADOS!F9158)</f>
        <v/>
      </c>
      <c r="K9158" s="6" t="str">
        <f t="shared" si="720"/>
        <v/>
      </c>
      <c r="L9158" s="7" t="str">
        <f t="shared" si="721"/>
        <v/>
      </c>
      <c r="M9158" s="7" t="str">
        <f t="shared" si="718"/>
        <v/>
      </c>
      <c r="N9158" s="7" t="str">
        <f t="shared" si="722"/>
        <v/>
      </c>
      <c r="O9158" s="8"/>
      <c r="P9158" s="26"/>
      <c r="S9158" s="10" t="str">
        <f t="shared" si="719"/>
        <v/>
      </c>
    </row>
    <row r="9159" spans="5:19" x14ac:dyDescent="0.3">
      <c r="E9159" s="9" t="str">
        <f>IF(DADOS!C9159="","",DADOS!C9159)</f>
        <v/>
      </c>
      <c r="F9159" s="9" t="str">
        <f>IF(DADOS!E9159="","",DADOS!E9159)</f>
        <v/>
      </c>
      <c r="G9159" s="9" t="str">
        <f>IF(DADOS!F9159="","",DADOS!F9159)</f>
        <v/>
      </c>
      <c r="K9159" s="6" t="str">
        <f t="shared" si="720"/>
        <v/>
      </c>
      <c r="L9159" s="7" t="str">
        <f t="shared" si="721"/>
        <v/>
      </c>
      <c r="M9159" s="7" t="str">
        <f t="shared" si="718"/>
        <v/>
      </c>
      <c r="N9159" s="7" t="str">
        <f t="shared" si="722"/>
        <v/>
      </c>
      <c r="O9159" s="8"/>
      <c r="P9159" s="26"/>
      <c r="S9159" s="10" t="str">
        <f t="shared" si="719"/>
        <v/>
      </c>
    </row>
    <row r="9160" spans="5:19" x14ac:dyDescent="0.3">
      <c r="E9160" s="9" t="str">
        <f>IF(DADOS!C9160="","",DADOS!C9160)</f>
        <v/>
      </c>
      <c r="F9160" s="9" t="str">
        <f>IF(DADOS!E9160="","",DADOS!E9160)</f>
        <v/>
      </c>
      <c r="G9160" s="9" t="str">
        <f>IF(DADOS!F9160="","",DADOS!F9160)</f>
        <v/>
      </c>
      <c r="K9160" s="6" t="str">
        <f t="shared" si="720"/>
        <v/>
      </c>
      <c r="L9160" s="7" t="str">
        <f t="shared" si="721"/>
        <v/>
      </c>
      <c r="M9160" s="7" t="str">
        <f t="shared" si="718"/>
        <v/>
      </c>
      <c r="N9160" s="7" t="str">
        <f t="shared" si="722"/>
        <v/>
      </c>
      <c r="O9160" s="8"/>
      <c r="P9160" s="26"/>
      <c r="S9160" s="10" t="str">
        <f t="shared" si="719"/>
        <v/>
      </c>
    </row>
    <row r="9161" spans="5:19" x14ac:dyDescent="0.3">
      <c r="E9161" s="9" t="str">
        <f>IF(DADOS!C9161="","",DADOS!C9161)</f>
        <v/>
      </c>
      <c r="F9161" s="9" t="str">
        <f>IF(DADOS!E9161="","",DADOS!E9161)</f>
        <v/>
      </c>
      <c r="G9161" s="9" t="str">
        <f>IF(DADOS!F9161="","",DADOS!F9161)</f>
        <v/>
      </c>
      <c r="K9161" s="6" t="str">
        <f t="shared" si="720"/>
        <v/>
      </c>
      <c r="L9161" s="7" t="str">
        <f t="shared" si="721"/>
        <v/>
      </c>
      <c r="M9161" s="7" t="str">
        <f t="shared" si="718"/>
        <v/>
      </c>
      <c r="N9161" s="7" t="str">
        <f t="shared" si="722"/>
        <v/>
      </c>
      <c r="O9161" s="8"/>
      <c r="P9161" s="26"/>
      <c r="S9161" s="10" t="str">
        <f t="shared" si="719"/>
        <v/>
      </c>
    </row>
    <row r="9162" spans="5:19" x14ac:dyDescent="0.3">
      <c r="E9162" s="9" t="str">
        <f>IF(DADOS!C9162="","",DADOS!C9162)</f>
        <v/>
      </c>
      <c r="F9162" s="9" t="str">
        <f>IF(DADOS!E9162="","",DADOS!E9162)</f>
        <v/>
      </c>
      <c r="G9162" s="9" t="str">
        <f>IF(DADOS!F9162="","",DADOS!F9162)</f>
        <v/>
      </c>
      <c r="K9162" s="6" t="str">
        <f t="shared" si="720"/>
        <v/>
      </c>
      <c r="L9162" s="7" t="str">
        <f t="shared" si="721"/>
        <v/>
      </c>
      <c r="M9162" s="7" t="str">
        <f t="shared" si="718"/>
        <v/>
      </c>
      <c r="N9162" s="7" t="str">
        <f t="shared" si="722"/>
        <v/>
      </c>
      <c r="O9162" s="8"/>
      <c r="P9162" s="26"/>
      <c r="S9162" s="10" t="str">
        <f t="shared" si="719"/>
        <v/>
      </c>
    </row>
    <row r="9163" spans="5:19" x14ac:dyDescent="0.3">
      <c r="E9163" s="9" t="str">
        <f>IF(DADOS!C9163="","",DADOS!C9163)</f>
        <v/>
      </c>
      <c r="F9163" s="9" t="str">
        <f>IF(DADOS!E9163="","",DADOS!E9163)</f>
        <v/>
      </c>
      <c r="G9163" s="9" t="str">
        <f>IF(DADOS!F9163="","",DADOS!F9163)</f>
        <v/>
      </c>
      <c r="K9163" s="6" t="str">
        <f t="shared" si="720"/>
        <v/>
      </c>
      <c r="L9163" s="7" t="str">
        <f t="shared" si="721"/>
        <v/>
      </c>
      <c r="M9163" s="7" t="str">
        <f t="shared" si="718"/>
        <v/>
      </c>
      <c r="N9163" s="7" t="str">
        <f t="shared" si="722"/>
        <v/>
      </c>
      <c r="O9163" s="8"/>
      <c r="P9163" s="26"/>
      <c r="S9163" s="10" t="str">
        <f t="shared" si="719"/>
        <v/>
      </c>
    </row>
    <row r="9164" spans="5:19" x14ac:dyDescent="0.3">
      <c r="E9164" s="9" t="str">
        <f>IF(DADOS!C9164="","",DADOS!C9164)</f>
        <v/>
      </c>
      <c r="F9164" s="9" t="str">
        <f>IF(DADOS!E9164="","",DADOS!E9164)</f>
        <v/>
      </c>
      <c r="G9164" s="9" t="str">
        <f>IF(DADOS!F9164="","",DADOS!F9164)</f>
        <v/>
      </c>
      <c r="K9164" s="6" t="str">
        <f t="shared" si="720"/>
        <v/>
      </c>
      <c r="L9164" s="7" t="str">
        <f t="shared" si="721"/>
        <v/>
      </c>
      <c r="M9164" s="7" t="str">
        <f t="shared" si="718"/>
        <v/>
      </c>
      <c r="N9164" s="7" t="str">
        <f t="shared" si="722"/>
        <v/>
      </c>
      <c r="O9164" s="8"/>
      <c r="P9164" s="26"/>
      <c r="S9164" s="10" t="str">
        <f t="shared" si="719"/>
        <v/>
      </c>
    </row>
    <row r="9165" spans="5:19" x14ac:dyDescent="0.3">
      <c r="E9165" s="9" t="str">
        <f>IF(DADOS!C9165="","",DADOS!C9165)</f>
        <v/>
      </c>
      <c r="F9165" s="9" t="str">
        <f>IF(DADOS!E9165="","",DADOS!E9165)</f>
        <v/>
      </c>
      <c r="G9165" s="9" t="str">
        <f>IF(DADOS!F9165="","",DADOS!F9165)</f>
        <v/>
      </c>
      <c r="K9165" s="6" t="str">
        <f t="shared" si="720"/>
        <v/>
      </c>
      <c r="L9165" s="7" t="str">
        <f t="shared" si="721"/>
        <v/>
      </c>
      <c r="M9165" s="7" t="str">
        <f t="shared" si="718"/>
        <v/>
      </c>
      <c r="N9165" s="7" t="str">
        <f t="shared" si="722"/>
        <v/>
      </c>
      <c r="O9165" s="8"/>
      <c r="P9165" s="26"/>
      <c r="S9165" s="10" t="str">
        <f t="shared" si="719"/>
        <v/>
      </c>
    </row>
    <row r="9166" spans="5:19" x14ac:dyDescent="0.3">
      <c r="E9166" s="9" t="str">
        <f>IF(DADOS!C9166="","",DADOS!C9166)</f>
        <v/>
      </c>
      <c r="F9166" s="9" t="str">
        <f>IF(DADOS!E9166="","",DADOS!E9166)</f>
        <v/>
      </c>
      <c r="G9166" s="9" t="str">
        <f>IF(DADOS!F9166="","",DADOS!F9166)</f>
        <v/>
      </c>
      <c r="K9166" s="6" t="str">
        <f t="shared" si="720"/>
        <v/>
      </c>
      <c r="L9166" s="7" t="str">
        <f t="shared" si="721"/>
        <v/>
      </c>
      <c r="M9166" s="7" t="str">
        <f t="shared" si="718"/>
        <v/>
      </c>
      <c r="N9166" s="7" t="str">
        <f t="shared" si="722"/>
        <v/>
      </c>
      <c r="O9166" s="8"/>
      <c r="P9166" s="26"/>
      <c r="S9166" s="10" t="str">
        <f t="shared" si="719"/>
        <v/>
      </c>
    </row>
    <row r="9167" spans="5:19" x14ac:dyDescent="0.3">
      <c r="E9167" s="9" t="str">
        <f>IF(DADOS!C9167="","",DADOS!C9167)</f>
        <v/>
      </c>
      <c r="F9167" s="9" t="str">
        <f>IF(DADOS!E9167="","",DADOS!E9167)</f>
        <v/>
      </c>
      <c r="G9167" s="9" t="str">
        <f>IF(DADOS!F9167="","",DADOS!F9167)</f>
        <v/>
      </c>
      <c r="K9167" s="6" t="str">
        <f t="shared" si="720"/>
        <v/>
      </c>
      <c r="L9167" s="7" t="str">
        <f t="shared" si="721"/>
        <v/>
      </c>
      <c r="M9167" s="7" t="str">
        <f t="shared" si="718"/>
        <v/>
      </c>
      <c r="N9167" s="7" t="str">
        <f t="shared" si="722"/>
        <v/>
      </c>
      <c r="O9167" s="8"/>
      <c r="P9167" s="26"/>
      <c r="S9167" s="10" t="str">
        <f t="shared" si="719"/>
        <v/>
      </c>
    </row>
    <row r="9168" spans="5:19" x14ac:dyDescent="0.3">
      <c r="E9168" s="9" t="str">
        <f>IF(DADOS!C9168="","",DADOS!C9168)</f>
        <v/>
      </c>
      <c r="F9168" s="9" t="str">
        <f>IF(DADOS!E9168="","",DADOS!E9168)</f>
        <v/>
      </c>
      <c r="G9168" s="9" t="str">
        <f>IF(DADOS!F9168="","",DADOS!F9168)</f>
        <v/>
      </c>
      <c r="K9168" s="6" t="str">
        <f t="shared" si="720"/>
        <v/>
      </c>
      <c r="L9168" s="7" t="str">
        <f t="shared" si="721"/>
        <v/>
      </c>
      <c r="M9168" s="7" t="str">
        <f t="shared" si="718"/>
        <v/>
      </c>
      <c r="N9168" s="7" t="str">
        <f t="shared" si="722"/>
        <v/>
      </c>
      <c r="O9168" s="8"/>
      <c r="P9168" s="26"/>
      <c r="S9168" s="10" t="str">
        <f t="shared" si="719"/>
        <v/>
      </c>
    </row>
    <row r="9169" spans="5:19" x14ac:dyDescent="0.3">
      <c r="E9169" s="9" t="str">
        <f>IF(DADOS!C9169="","",DADOS!C9169)</f>
        <v/>
      </c>
      <c r="F9169" s="9" t="str">
        <f>IF(DADOS!E9169="","",DADOS!E9169)</f>
        <v/>
      </c>
      <c r="G9169" s="9" t="str">
        <f>IF(DADOS!F9169="","",DADOS!F9169)</f>
        <v/>
      </c>
      <c r="K9169" s="6" t="str">
        <f t="shared" si="720"/>
        <v/>
      </c>
      <c r="L9169" s="7" t="str">
        <f t="shared" si="721"/>
        <v/>
      </c>
      <c r="M9169" s="7" t="str">
        <f t="shared" si="718"/>
        <v/>
      </c>
      <c r="N9169" s="7" t="str">
        <f t="shared" si="722"/>
        <v/>
      </c>
      <c r="O9169" s="8"/>
      <c r="P9169" s="26"/>
      <c r="S9169" s="10" t="str">
        <f t="shared" si="719"/>
        <v/>
      </c>
    </row>
    <row r="9170" spans="5:19" x14ac:dyDescent="0.3">
      <c r="E9170" s="9" t="str">
        <f>IF(DADOS!C9170="","",DADOS!C9170)</f>
        <v/>
      </c>
      <c r="F9170" s="9" t="str">
        <f>IF(DADOS!E9170="","",DADOS!E9170)</f>
        <v/>
      </c>
      <c r="G9170" s="9" t="str">
        <f>IF(DADOS!F9170="","",DADOS!F9170)</f>
        <v/>
      </c>
      <c r="K9170" s="6" t="str">
        <f t="shared" si="720"/>
        <v/>
      </c>
      <c r="L9170" s="7" t="str">
        <f t="shared" si="721"/>
        <v/>
      </c>
      <c r="M9170" s="7" t="str">
        <f t="shared" si="718"/>
        <v/>
      </c>
      <c r="N9170" s="7" t="str">
        <f t="shared" si="722"/>
        <v/>
      </c>
      <c r="O9170" s="8"/>
      <c r="P9170" s="26"/>
      <c r="S9170" s="10" t="str">
        <f t="shared" si="719"/>
        <v/>
      </c>
    </row>
    <row r="9171" spans="5:19" x14ac:dyDescent="0.3">
      <c r="E9171" s="9" t="str">
        <f>IF(DADOS!C9171="","",DADOS!C9171)</f>
        <v/>
      </c>
      <c r="F9171" s="9" t="str">
        <f>IF(DADOS!E9171="","",DADOS!E9171)</f>
        <v/>
      </c>
      <c r="G9171" s="9" t="str">
        <f>IF(DADOS!F9171="","",DADOS!F9171)</f>
        <v/>
      </c>
      <c r="K9171" s="6" t="str">
        <f t="shared" si="720"/>
        <v/>
      </c>
      <c r="L9171" s="7" t="str">
        <f t="shared" si="721"/>
        <v/>
      </c>
      <c r="M9171" s="7" t="str">
        <f t="shared" si="718"/>
        <v/>
      </c>
      <c r="N9171" s="7" t="str">
        <f t="shared" si="722"/>
        <v/>
      </c>
      <c r="O9171" s="8"/>
      <c r="P9171" s="26"/>
      <c r="S9171" s="10" t="str">
        <f t="shared" si="719"/>
        <v/>
      </c>
    </row>
    <row r="9172" spans="5:19" x14ac:dyDescent="0.3">
      <c r="E9172" s="9" t="str">
        <f>IF(DADOS!C9172="","",DADOS!C9172)</f>
        <v/>
      </c>
      <c r="F9172" s="9" t="str">
        <f>IF(DADOS!E9172="","",DADOS!E9172)</f>
        <v/>
      </c>
      <c r="G9172" s="9" t="str">
        <f>IF(DADOS!F9172="","",DADOS!F9172)</f>
        <v/>
      </c>
      <c r="K9172" s="6" t="str">
        <f t="shared" si="720"/>
        <v/>
      </c>
      <c r="L9172" s="7" t="str">
        <f t="shared" si="721"/>
        <v/>
      </c>
      <c r="M9172" s="7" t="str">
        <f t="shared" si="718"/>
        <v/>
      </c>
      <c r="N9172" s="7" t="str">
        <f t="shared" si="722"/>
        <v/>
      </c>
      <c r="O9172" s="8"/>
      <c r="P9172" s="26"/>
      <c r="S9172" s="10" t="str">
        <f t="shared" si="719"/>
        <v/>
      </c>
    </row>
    <row r="9173" spans="5:19" x14ac:dyDescent="0.3">
      <c r="E9173" s="9" t="str">
        <f>IF(DADOS!C9173="","",DADOS!C9173)</f>
        <v/>
      </c>
      <c r="F9173" s="9" t="str">
        <f>IF(DADOS!E9173="","",DADOS!E9173)</f>
        <v/>
      </c>
      <c r="G9173" s="9" t="str">
        <f>IF(DADOS!F9173="","",DADOS!F9173)</f>
        <v/>
      </c>
      <c r="K9173" s="6" t="str">
        <f t="shared" si="720"/>
        <v/>
      </c>
      <c r="L9173" s="7" t="str">
        <f t="shared" si="721"/>
        <v/>
      </c>
      <c r="M9173" s="7" t="str">
        <f t="shared" si="718"/>
        <v/>
      </c>
      <c r="N9173" s="7" t="str">
        <f t="shared" si="722"/>
        <v/>
      </c>
      <c r="O9173" s="8"/>
      <c r="P9173" s="26"/>
      <c r="S9173" s="10" t="str">
        <f t="shared" si="719"/>
        <v/>
      </c>
    </row>
    <row r="9174" spans="5:19" x14ac:dyDescent="0.3">
      <c r="E9174" s="9" t="str">
        <f>IF(DADOS!C9174="","",DADOS!C9174)</f>
        <v/>
      </c>
      <c r="F9174" s="9" t="str">
        <f>IF(DADOS!E9174="","",DADOS!E9174)</f>
        <v/>
      </c>
      <c r="G9174" s="9" t="str">
        <f>IF(DADOS!F9174="","",DADOS!F9174)</f>
        <v/>
      </c>
      <c r="K9174" s="6" t="str">
        <f t="shared" si="720"/>
        <v/>
      </c>
      <c r="L9174" s="7" t="str">
        <f t="shared" si="721"/>
        <v/>
      </c>
      <c r="M9174" s="7" t="str">
        <f t="shared" si="718"/>
        <v/>
      </c>
      <c r="N9174" s="7" t="str">
        <f t="shared" si="722"/>
        <v/>
      </c>
      <c r="O9174" s="8"/>
      <c r="P9174" s="26"/>
      <c r="S9174" s="10" t="str">
        <f t="shared" si="719"/>
        <v/>
      </c>
    </row>
    <row r="9175" spans="5:19" x14ac:dyDescent="0.3">
      <c r="E9175" s="9" t="str">
        <f>IF(DADOS!C9175="","",DADOS!C9175)</f>
        <v/>
      </c>
      <c r="F9175" s="9" t="str">
        <f>IF(DADOS!E9175="","",DADOS!E9175)</f>
        <v/>
      </c>
      <c r="G9175" s="9" t="str">
        <f>IF(DADOS!F9175="","",DADOS!F9175)</f>
        <v/>
      </c>
      <c r="K9175" s="6" t="str">
        <f t="shared" si="720"/>
        <v/>
      </c>
      <c r="L9175" s="7" t="str">
        <f t="shared" si="721"/>
        <v/>
      </c>
      <c r="M9175" s="7" t="str">
        <f t="shared" si="718"/>
        <v/>
      </c>
      <c r="N9175" s="7" t="str">
        <f t="shared" si="722"/>
        <v/>
      </c>
      <c r="O9175" s="8"/>
      <c r="P9175" s="26"/>
      <c r="S9175" s="10" t="str">
        <f t="shared" si="719"/>
        <v/>
      </c>
    </row>
    <row r="9176" spans="5:19" x14ac:dyDescent="0.3">
      <c r="E9176" s="9" t="str">
        <f>IF(DADOS!C9176="","",DADOS!C9176)</f>
        <v/>
      </c>
      <c r="F9176" s="9" t="str">
        <f>IF(DADOS!E9176="","",DADOS!E9176)</f>
        <v/>
      </c>
      <c r="G9176" s="9" t="str">
        <f>IF(DADOS!F9176="","",DADOS!F9176)</f>
        <v/>
      </c>
      <c r="K9176" s="6" t="str">
        <f t="shared" si="720"/>
        <v/>
      </c>
      <c r="L9176" s="7" t="str">
        <f t="shared" si="721"/>
        <v/>
      </c>
      <c r="M9176" s="7" t="str">
        <f t="shared" si="718"/>
        <v/>
      </c>
      <c r="N9176" s="7" t="str">
        <f t="shared" si="722"/>
        <v/>
      </c>
      <c r="O9176" s="8"/>
      <c r="P9176" s="26"/>
      <c r="S9176" s="10" t="str">
        <f t="shared" si="719"/>
        <v/>
      </c>
    </row>
    <row r="9177" spans="5:19" x14ac:dyDescent="0.3">
      <c r="E9177" s="9" t="str">
        <f>IF(DADOS!C9177="","",DADOS!C9177)</f>
        <v/>
      </c>
      <c r="F9177" s="9" t="str">
        <f>IF(DADOS!E9177="","",DADOS!E9177)</f>
        <v/>
      </c>
      <c r="G9177" s="9" t="str">
        <f>IF(DADOS!F9177="","",DADOS!F9177)</f>
        <v/>
      </c>
      <c r="K9177" s="6" t="str">
        <f t="shared" si="720"/>
        <v/>
      </c>
      <c r="L9177" s="7" t="str">
        <f t="shared" si="721"/>
        <v/>
      </c>
      <c r="M9177" s="7" t="str">
        <f t="shared" si="718"/>
        <v/>
      </c>
      <c r="N9177" s="7" t="str">
        <f t="shared" si="722"/>
        <v/>
      </c>
      <c r="O9177" s="8"/>
      <c r="P9177" s="26"/>
      <c r="S9177" s="10" t="str">
        <f t="shared" si="719"/>
        <v/>
      </c>
    </row>
    <row r="9178" spans="5:19" x14ac:dyDescent="0.3">
      <c r="E9178" s="9" t="str">
        <f>IF(DADOS!C9178="","",DADOS!C9178)</f>
        <v/>
      </c>
      <c r="F9178" s="9" t="str">
        <f>IF(DADOS!E9178="","",DADOS!E9178)</f>
        <v/>
      </c>
      <c r="G9178" s="9" t="str">
        <f>IF(DADOS!F9178="","",DADOS!F9178)</f>
        <v/>
      </c>
      <c r="K9178" s="6" t="str">
        <f t="shared" si="720"/>
        <v/>
      </c>
      <c r="L9178" s="7" t="str">
        <f t="shared" si="721"/>
        <v/>
      </c>
      <c r="M9178" s="7" t="str">
        <f t="shared" si="718"/>
        <v/>
      </c>
      <c r="N9178" s="7" t="str">
        <f t="shared" si="722"/>
        <v/>
      </c>
      <c r="O9178" s="8"/>
      <c r="P9178" s="26"/>
      <c r="S9178" s="10" t="str">
        <f t="shared" si="719"/>
        <v/>
      </c>
    </row>
    <row r="9179" spans="5:19" x14ac:dyDescent="0.3">
      <c r="E9179" s="9" t="str">
        <f>IF(DADOS!C9179="","",DADOS!C9179)</f>
        <v/>
      </c>
      <c r="F9179" s="9" t="str">
        <f>IF(DADOS!E9179="","",DADOS!E9179)</f>
        <v/>
      </c>
      <c r="G9179" s="9" t="str">
        <f>IF(DADOS!F9179="","",DADOS!F9179)</f>
        <v/>
      </c>
      <c r="K9179" s="6" t="str">
        <f t="shared" si="720"/>
        <v/>
      </c>
      <c r="L9179" s="7" t="str">
        <f t="shared" si="721"/>
        <v/>
      </c>
      <c r="M9179" s="7" t="str">
        <f t="shared" si="718"/>
        <v/>
      </c>
      <c r="N9179" s="7" t="str">
        <f t="shared" si="722"/>
        <v/>
      </c>
      <c r="O9179" s="8"/>
      <c r="P9179" s="26"/>
      <c r="S9179" s="10" t="str">
        <f t="shared" si="719"/>
        <v/>
      </c>
    </row>
    <row r="9180" spans="5:19" x14ac:dyDescent="0.3">
      <c r="E9180" s="9" t="str">
        <f>IF(DADOS!C9180="","",DADOS!C9180)</f>
        <v/>
      </c>
      <c r="F9180" s="9" t="str">
        <f>IF(DADOS!E9180="","",DADOS!E9180)</f>
        <v/>
      </c>
      <c r="G9180" s="9" t="str">
        <f>IF(DADOS!F9180="","",DADOS!F9180)</f>
        <v/>
      </c>
      <c r="K9180" s="6" t="str">
        <f t="shared" si="720"/>
        <v/>
      </c>
      <c r="L9180" s="7" t="str">
        <f t="shared" si="721"/>
        <v/>
      </c>
      <c r="M9180" s="7" t="str">
        <f t="shared" si="718"/>
        <v/>
      </c>
      <c r="N9180" s="7" t="str">
        <f t="shared" si="722"/>
        <v/>
      </c>
      <c r="O9180" s="8"/>
      <c r="P9180" s="26"/>
      <c r="S9180" s="10" t="str">
        <f t="shared" si="719"/>
        <v/>
      </c>
    </row>
    <row r="9181" spans="5:19" x14ac:dyDescent="0.3">
      <c r="E9181" s="9" t="str">
        <f>IF(DADOS!C9181="","",DADOS!C9181)</f>
        <v/>
      </c>
      <c r="F9181" s="9" t="str">
        <f>IF(DADOS!E9181="","",DADOS!E9181)</f>
        <v/>
      </c>
      <c r="G9181" s="9" t="str">
        <f>IF(DADOS!F9181="","",DADOS!F9181)</f>
        <v/>
      </c>
      <c r="K9181" s="6" t="str">
        <f t="shared" si="720"/>
        <v/>
      </c>
      <c r="L9181" s="7" t="str">
        <f t="shared" si="721"/>
        <v/>
      </c>
      <c r="M9181" s="7" t="str">
        <f t="shared" si="718"/>
        <v/>
      </c>
      <c r="N9181" s="7" t="str">
        <f t="shared" si="722"/>
        <v/>
      </c>
      <c r="O9181" s="8"/>
      <c r="P9181" s="26"/>
      <c r="S9181" s="10" t="str">
        <f t="shared" si="719"/>
        <v/>
      </c>
    </row>
    <row r="9182" spans="5:19" x14ac:dyDescent="0.3">
      <c r="E9182" s="9" t="str">
        <f>IF(DADOS!C9182="","",DADOS!C9182)</f>
        <v/>
      </c>
      <c r="F9182" s="9" t="str">
        <f>IF(DADOS!E9182="","",DADOS!E9182)</f>
        <v/>
      </c>
      <c r="G9182" s="9" t="str">
        <f>IF(DADOS!F9182="","",DADOS!F9182)</f>
        <v/>
      </c>
      <c r="K9182" s="6" t="str">
        <f t="shared" si="720"/>
        <v/>
      </c>
      <c r="L9182" s="7" t="str">
        <f t="shared" si="721"/>
        <v/>
      </c>
      <c r="M9182" s="7" t="str">
        <f t="shared" si="718"/>
        <v/>
      </c>
      <c r="N9182" s="7" t="str">
        <f t="shared" si="722"/>
        <v/>
      </c>
      <c r="O9182" s="8"/>
      <c r="P9182" s="26"/>
      <c r="S9182" s="10" t="str">
        <f t="shared" si="719"/>
        <v/>
      </c>
    </row>
    <row r="9183" spans="5:19" x14ac:dyDescent="0.3">
      <c r="E9183" s="9" t="str">
        <f>IF(DADOS!C9183="","",DADOS!C9183)</f>
        <v/>
      </c>
      <c r="F9183" s="9" t="str">
        <f>IF(DADOS!E9183="","",DADOS!E9183)</f>
        <v/>
      </c>
      <c r="G9183" s="9" t="str">
        <f>IF(DADOS!F9183="","",DADOS!F9183)</f>
        <v/>
      </c>
      <c r="K9183" s="6" t="str">
        <f t="shared" si="720"/>
        <v/>
      </c>
      <c r="L9183" s="7" t="str">
        <f t="shared" si="721"/>
        <v/>
      </c>
      <c r="M9183" s="7" t="str">
        <f t="shared" si="718"/>
        <v/>
      </c>
      <c r="N9183" s="7" t="str">
        <f t="shared" si="722"/>
        <v/>
      </c>
      <c r="O9183" s="8"/>
      <c r="P9183" s="26"/>
      <c r="S9183" s="10" t="str">
        <f t="shared" si="719"/>
        <v/>
      </c>
    </row>
    <row r="9184" spans="5:19" x14ac:dyDescent="0.3">
      <c r="E9184" s="9" t="str">
        <f>IF(DADOS!C9184="","",DADOS!C9184)</f>
        <v/>
      </c>
      <c r="F9184" s="9" t="str">
        <f>IF(DADOS!E9184="","",DADOS!E9184)</f>
        <v/>
      </c>
      <c r="G9184" s="9" t="str">
        <f>IF(DADOS!F9184="","",DADOS!F9184)</f>
        <v/>
      </c>
      <c r="K9184" s="6" t="str">
        <f t="shared" si="720"/>
        <v/>
      </c>
      <c r="L9184" s="7" t="str">
        <f t="shared" si="721"/>
        <v/>
      </c>
      <c r="M9184" s="7" t="str">
        <f t="shared" si="718"/>
        <v/>
      </c>
      <c r="N9184" s="7" t="str">
        <f t="shared" si="722"/>
        <v/>
      </c>
      <c r="O9184" s="8"/>
      <c r="P9184" s="26"/>
      <c r="S9184" s="10" t="str">
        <f t="shared" si="719"/>
        <v/>
      </c>
    </row>
    <row r="9185" spans="5:19" x14ac:dyDescent="0.3">
      <c r="E9185" s="9" t="str">
        <f>IF(DADOS!C9185="","",DADOS!C9185)</f>
        <v/>
      </c>
      <c r="F9185" s="9" t="str">
        <f>IF(DADOS!E9185="","",DADOS!E9185)</f>
        <v/>
      </c>
      <c r="G9185" s="9" t="str">
        <f>IF(DADOS!F9185="","",DADOS!F9185)</f>
        <v/>
      </c>
      <c r="K9185" s="6" t="str">
        <f t="shared" si="720"/>
        <v/>
      </c>
      <c r="L9185" s="7" t="str">
        <f t="shared" si="721"/>
        <v/>
      </c>
      <c r="M9185" s="7" t="str">
        <f t="shared" si="718"/>
        <v/>
      </c>
      <c r="N9185" s="7" t="str">
        <f t="shared" si="722"/>
        <v/>
      </c>
      <c r="O9185" s="8"/>
      <c r="P9185" s="26"/>
      <c r="S9185" s="10" t="str">
        <f t="shared" si="719"/>
        <v/>
      </c>
    </row>
    <row r="9186" spans="5:19" x14ac:dyDescent="0.3">
      <c r="E9186" s="9" t="str">
        <f>IF(DADOS!C9186="","",DADOS!C9186)</f>
        <v/>
      </c>
      <c r="F9186" s="9" t="str">
        <f>IF(DADOS!E9186="","",DADOS!E9186)</f>
        <v/>
      </c>
      <c r="G9186" s="9" t="str">
        <f>IF(DADOS!F9186="","",DADOS!F9186)</f>
        <v/>
      </c>
      <c r="K9186" s="6" t="str">
        <f t="shared" si="720"/>
        <v/>
      </c>
      <c r="L9186" s="7" t="str">
        <f t="shared" si="721"/>
        <v/>
      </c>
      <c r="M9186" s="7" t="str">
        <f t="shared" si="718"/>
        <v/>
      </c>
      <c r="N9186" s="7" t="str">
        <f t="shared" si="722"/>
        <v/>
      </c>
      <c r="O9186" s="8"/>
      <c r="P9186" s="26"/>
      <c r="S9186" s="10" t="str">
        <f t="shared" si="719"/>
        <v/>
      </c>
    </row>
    <row r="9187" spans="5:19" x14ac:dyDescent="0.3">
      <c r="E9187" s="9" t="str">
        <f>IF(DADOS!C9187="","",DADOS!C9187)</f>
        <v/>
      </c>
      <c r="F9187" s="9" t="str">
        <f>IF(DADOS!E9187="","",DADOS!E9187)</f>
        <v/>
      </c>
      <c r="G9187" s="9" t="str">
        <f>IF(DADOS!F9187="","",DADOS!F9187)</f>
        <v/>
      </c>
      <c r="K9187" s="6" t="str">
        <f t="shared" si="720"/>
        <v/>
      </c>
      <c r="L9187" s="7" t="str">
        <f t="shared" si="721"/>
        <v/>
      </c>
      <c r="M9187" s="7" t="str">
        <f t="shared" si="718"/>
        <v/>
      </c>
      <c r="N9187" s="7" t="str">
        <f t="shared" si="722"/>
        <v/>
      </c>
      <c r="O9187" s="8"/>
      <c r="P9187" s="26"/>
      <c r="S9187" s="10" t="str">
        <f t="shared" si="719"/>
        <v/>
      </c>
    </row>
    <row r="9188" spans="5:19" x14ac:dyDescent="0.3">
      <c r="E9188" s="9" t="str">
        <f>IF(DADOS!C9188="","",DADOS!C9188)</f>
        <v/>
      </c>
      <c r="F9188" s="9" t="str">
        <f>IF(DADOS!E9188="","",DADOS!E9188)</f>
        <v/>
      </c>
      <c r="G9188" s="9" t="str">
        <f>IF(DADOS!F9188="","",DADOS!F9188)</f>
        <v/>
      </c>
      <c r="K9188" s="6" t="str">
        <f t="shared" si="720"/>
        <v/>
      </c>
      <c r="L9188" s="7" t="str">
        <f t="shared" si="721"/>
        <v/>
      </c>
      <c r="M9188" s="7" t="str">
        <f t="shared" si="718"/>
        <v/>
      </c>
      <c r="N9188" s="7" t="str">
        <f t="shared" si="722"/>
        <v/>
      </c>
      <c r="O9188" s="8"/>
      <c r="P9188" s="26"/>
      <c r="S9188" s="10" t="str">
        <f t="shared" si="719"/>
        <v/>
      </c>
    </row>
    <row r="9189" spans="5:19" x14ac:dyDescent="0.3">
      <c r="E9189" s="9" t="str">
        <f>IF(DADOS!C9189="","",DADOS!C9189)</f>
        <v/>
      </c>
      <c r="F9189" s="9" t="str">
        <f>IF(DADOS!E9189="","",DADOS!E9189)</f>
        <v/>
      </c>
      <c r="G9189" s="9" t="str">
        <f>IF(DADOS!F9189="","",DADOS!F9189)</f>
        <v/>
      </c>
      <c r="K9189" s="6" t="str">
        <f t="shared" si="720"/>
        <v/>
      </c>
      <c r="L9189" s="7" t="str">
        <f t="shared" si="721"/>
        <v/>
      </c>
      <c r="M9189" s="7" t="str">
        <f t="shared" si="718"/>
        <v/>
      </c>
      <c r="N9189" s="7" t="str">
        <f t="shared" si="722"/>
        <v/>
      </c>
      <c r="O9189" s="8"/>
      <c r="P9189" s="26"/>
      <c r="S9189" s="10" t="str">
        <f t="shared" si="719"/>
        <v/>
      </c>
    </row>
    <row r="9190" spans="5:19" x14ac:dyDescent="0.3">
      <c r="E9190" s="9" t="str">
        <f>IF(DADOS!C9190="","",DADOS!C9190)</f>
        <v/>
      </c>
      <c r="F9190" s="9" t="str">
        <f>IF(DADOS!E9190="","",DADOS!E9190)</f>
        <v/>
      </c>
      <c r="G9190" s="9" t="str">
        <f>IF(DADOS!F9190="","",DADOS!F9190)</f>
        <v/>
      </c>
      <c r="K9190" s="6" t="str">
        <f t="shared" si="720"/>
        <v/>
      </c>
      <c r="L9190" s="7" t="str">
        <f t="shared" si="721"/>
        <v/>
      </c>
      <c r="M9190" s="7" t="str">
        <f t="shared" si="718"/>
        <v/>
      </c>
      <c r="N9190" s="7" t="str">
        <f t="shared" si="722"/>
        <v/>
      </c>
      <c r="O9190" s="8"/>
      <c r="P9190" s="26"/>
      <c r="S9190" s="10" t="str">
        <f t="shared" si="719"/>
        <v/>
      </c>
    </row>
    <row r="9191" spans="5:19" x14ac:dyDescent="0.3">
      <c r="E9191" s="9" t="str">
        <f>IF(DADOS!C9191="","",DADOS!C9191)</f>
        <v/>
      </c>
      <c r="F9191" s="9" t="str">
        <f>IF(DADOS!E9191="","",DADOS!E9191)</f>
        <v/>
      </c>
      <c r="G9191" s="9" t="str">
        <f>IF(DADOS!F9191="","",DADOS!F9191)</f>
        <v/>
      </c>
      <c r="K9191" s="6" t="str">
        <f t="shared" si="720"/>
        <v/>
      </c>
      <c r="L9191" s="7" t="str">
        <f t="shared" si="721"/>
        <v/>
      </c>
      <c r="M9191" s="7" t="str">
        <f t="shared" si="718"/>
        <v/>
      </c>
      <c r="N9191" s="7" t="str">
        <f t="shared" si="722"/>
        <v/>
      </c>
      <c r="O9191" s="8"/>
      <c r="P9191" s="26"/>
      <c r="S9191" s="10" t="str">
        <f t="shared" si="719"/>
        <v/>
      </c>
    </row>
    <row r="9192" spans="5:19" x14ac:dyDescent="0.3">
      <c r="E9192" s="9" t="str">
        <f>IF(DADOS!C9192="","",DADOS!C9192)</f>
        <v/>
      </c>
      <c r="F9192" s="9" t="str">
        <f>IF(DADOS!E9192="","",DADOS!E9192)</f>
        <v/>
      </c>
      <c r="G9192" s="9" t="str">
        <f>IF(DADOS!F9192="","",DADOS!F9192)</f>
        <v/>
      </c>
      <c r="K9192" s="6" t="str">
        <f t="shared" si="720"/>
        <v/>
      </c>
      <c r="L9192" s="7" t="str">
        <f t="shared" si="721"/>
        <v/>
      </c>
      <c r="M9192" s="7" t="str">
        <f t="shared" si="718"/>
        <v/>
      </c>
      <c r="N9192" s="7" t="str">
        <f t="shared" si="722"/>
        <v/>
      </c>
      <c r="O9192" s="8"/>
      <c r="P9192" s="26"/>
      <c r="S9192" s="10" t="str">
        <f t="shared" si="719"/>
        <v/>
      </c>
    </row>
    <row r="9193" spans="5:19" x14ac:dyDescent="0.3">
      <c r="E9193" s="9" t="str">
        <f>IF(DADOS!C9193="","",DADOS!C9193)</f>
        <v/>
      </c>
      <c r="F9193" s="9" t="str">
        <f>IF(DADOS!E9193="","",DADOS!E9193)</f>
        <v/>
      </c>
      <c r="G9193" s="9" t="str">
        <f>IF(DADOS!F9193="","",DADOS!F9193)</f>
        <v/>
      </c>
      <c r="K9193" s="6" t="str">
        <f t="shared" si="720"/>
        <v/>
      </c>
      <c r="L9193" s="7" t="str">
        <f t="shared" si="721"/>
        <v/>
      </c>
      <c r="M9193" s="7" t="str">
        <f t="shared" si="718"/>
        <v/>
      </c>
      <c r="N9193" s="7" t="str">
        <f t="shared" si="722"/>
        <v/>
      </c>
      <c r="O9193" s="8"/>
      <c r="P9193" s="26"/>
      <c r="S9193" s="10" t="str">
        <f t="shared" si="719"/>
        <v/>
      </c>
    </row>
    <row r="9194" spans="5:19" x14ac:dyDescent="0.3">
      <c r="E9194" s="9" t="str">
        <f>IF(DADOS!C9194="","",DADOS!C9194)</f>
        <v/>
      </c>
      <c r="F9194" s="9" t="str">
        <f>IF(DADOS!E9194="","",DADOS!E9194)</f>
        <v/>
      </c>
      <c r="G9194" s="9" t="str">
        <f>IF(DADOS!F9194="","",DADOS!F9194)</f>
        <v/>
      </c>
      <c r="K9194" s="6" t="str">
        <f t="shared" si="720"/>
        <v/>
      </c>
      <c r="L9194" s="7" t="str">
        <f t="shared" si="721"/>
        <v/>
      </c>
      <c r="M9194" s="7" t="str">
        <f t="shared" si="718"/>
        <v/>
      </c>
      <c r="N9194" s="7" t="str">
        <f t="shared" si="722"/>
        <v/>
      </c>
      <c r="O9194" s="8"/>
      <c r="P9194" s="26"/>
      <c r="S9194" s="10" t="str">
        <f t="shared" si="719"/>
        <v/>
      </c>
    </row>
    <row r="9195" spans="5:19" x14ac:dyDescent="0.3">
      <c r="E9195" s="9" t="str">
        <f>IF(DADOS!C9195="","",DADOS!C9195)</f>
        <v/>
      </c>
      <c r="F9195" s="9" t="str">
        <f>IF(DADOS!E9195="","",DADOS!E9195)</f>
        <v/>
      </c>
      <c r="G9195" s="9" t="str">
        <f>IF(DADOS!F9195="","",DADOS!F9195)</f>
        <v/>
      </c>
      <c r="K9195" s="6" t="str">
        <f t="shared" si="720"/>
        <v/>
      </c>
      <c r="L9195" s="7" t="str">
        <f t="shared" si="721"/>
        <v/>
      </c>
      <c r="M9195" s="7" t="str">
        <f t="shared" si="718"/>
        <v/>
      </c>
      <c r="N9195" s="7" t="str">
        <f t="shared" si="722"/>
        <v/>
      </c>
      <c r="O9195" s="8"/>
      <c r="P9195" s="26"/>
      <c r="S9195" s="10" t="str">
        <f t="shared" si="719"/>
        <v/>
      </c>
    </row>
    <row r="9196" spans="5:19" x14ac:dyDescent="0.3">
      <c r="E9196" s="9" t="str">
        <f>IF(DADOS!C9196="","",DADOS!C9196)</f>
        <v/>
      </c>
      <c r="F9196" s="9" t="str">
        <f>IF(DADOS!E9196="","",DADOS!E9196)</f>
        <v/>
      </c>
      <c r="G9196" s="9" t="str">
        <f>IF(DADOS!F9196="","",DADOS!F9196)</f>
        <v/>
      </c>
      <c r="K9196" s="6" t="str">
        <f t="shared" si="720"/>
        <v/>
      </c>
      <c r="L9196" s="7" t="str">
        <f t="shared" si="721"/>
        <v/>
      </c>
      <c r="M9196" s="7" t="str">
        <f t="shared" si="718"/>
        <v/>
      </c>
      <c r="N9196" s="7" t="str">
        <f t="shared" si="722"/>
        <v/>
      </c>
      <c r="O9196" s="8"/>
      <c r="P9196" s="26"/>
      <c r="S9196" s="10" t="str">
        <f t="shared" si="719"/>
        <v/>
      </c>
    </row>
    <row r="9197" spans="5:19" x14ac:dyDescent="0.3">
      <c r="E9197" s="9" t="str">
        <f>IF(DADOS!C9197="","",DADOS!C9197)</f>
        <v/>
      </c>
      <c r="F9197" s="9" t="str">
        <f>IF(DADOS!E9197="","",DADOS!E9197)</f>
        <v/>
      </c>
      <c r="G9197" s="9" t="str">
        <f>IF(DADOS!F9197="","",DADOS!F9197)</f>
        <v/>
      </c>
      <c r="K9197" s="6" t="str">
        <f t="shared" si="720"/>
        <v/>
      </c>
      <c r="L9197" s="7" t="str">
        <f t="shared" si="721"/>
        <v/>
      </c>
      <c r="M9197" s="7" t="str">
        <f t="shared" si="718"/>
        <v/>
      </c>
      <c r="N9197" s="7" t="str">
        <f t="shared" si="722"/>
        <v/>
      </c>
      <c r="O9197" s="8"/>
      <c r="P9197" s="26"/>
      <c r="S9197" s="10" t="str">
        <f t="shared" si="719"/>
        <v/>
      </c>
    </row>
    <row r="9198" spans="5:19" x14ac:dyDescent="0.3">
      <c r="E9198" s="9" t="str">
        <f>IF(DADOS!C9198="","",DADOS!C9198)</f>
        <v/>
      </c>
      <c r="F9198" s="9" t="str">
        <f>IF(DADOS!E9198="","",DADOS!E9198)</f>
        <v/>
      </c>
      <c r="G9198" s="9" t="str">
        <f>IF(DADOS!F9198="","",DADOS!F9198)</f>
        <v/>
      </c>
      <c r="K9198" s="6" t="str">
        <f t="shared" si="720"/>
        <v/>
      </c>
      <c r="L9198" s="7" t="str">
        <f t="shared" si="721"/>
        <v/>
      </c>
      <c r="M9198" s="7" t="str">
        <f t="shared" si="718"/>
        <v/>
      </c>
      <c r="N9198" s="7" t="str">
        <f t="shared" si="722"/>
        <v/>
      </c>
      <c r="O9198" s="8"/>
      <c r="P9198" s="26"/>
      <c r="S9198" s="10" t="str">
        <f t="shared" si="719"/>
        <v/>
      </c>
    </row>
    <row r="9199" spans="5:19" x14ac:dyDescent="0.3">
      <c r="E9199" s="9" t="str">
        <f>IF(DADOS!C9199="","",DADOS!C9199)</f>
        <v/>
      </c>
      <c r="F9199" s="9" t="str">
        <f>IF(DADOS!E9199="","",DADOS!E9199)</f>
        <v/>
      </c>
      <c r="G9199" s="9" t="str">
        <f>IF(DADOS!F9199="","",DADOS!F9199)</f>
        <v/>
      </c>
      <c r="K9199" s="6" t="str">
        <f t="shared" si="720"/>
        <v/>
      </c>
      <c r="L9199" s="7" t="str">
        <f t="shared" si="721"/>
        <v/>
      </c>
      <c r="M9199" s="7" t="str">
        <f t="shared" si="718"/>
        <v/>
      </c>
      <c r="N9199" s="7" t="str">
        <f t="shared" si="722"/>
        <v/>
      </c>
      <c r="O9199" s="8"/>
      <c r="P9199" s="26"/>
      <c r="S9199" s="10" t="str">
        <f t="shared" si="719"/>
        <v/>
      </c>
    </row>
    <row r="9200" spans="5:19" x14ac:dyDescent="0.3">
      <c r="E9200" s="9" t="str">
        <f>IF(DADOS!C9200="","",DADOS!C9200)</f>
        <v/>
      </c>
      <c r="F9200" s="9" t="str">
        <f>IF(DADOS!E9200="","",DADOS!E9200)</f>
        <v/>
      </c>
      <c r="G9200" s="9" t="str">
        <f>IF(DADOS!F9200="","",DADOS!F9200)</f>
        <v/>
      </c>
      <c r="K9200" s="6" t="str">
        <f t="shared" si="720"/>
        <v/>
      </c>
      <c r="L9200" s="7" t="str">
        <f t="shared" si="721"/>
        <v/>
      </c>
      <c r="M9200" s="7" t="str">
        <f t="shared" si="718"/>
        <v/>
      </c>
      <c r="N9200" s="7" t="str">
        <f t="shared" si="722"/>
        <v/>
      </c>
      <c r="O9200" s="8"/>
      <c r="P9200" s="26"/>
      <c r="S9200" s="10" t="str">
        <f t="shared" si="719"/>
        <v/>
      </c>
    </row>
    <row r="9201" spans="5:19" x14ac:dyDescent="0.3">
      <c r="E9201" s="9" t="str">
        <f>IF(DADOS!C9201="","",DADOS!C9201)</f>
        <v/>
      </c>
      <c r="F9201" s="9" t="str">
        <f>IF(DADOS!E9201="","",DADOS!E9201)</f>
        <v/>
      </c>
      <c r="G9201" s="9" t="str">
        <f>IF(DADOS!F9201="","",DADOS!F9201)</f>
        <v/>
      </c>
      <c r="K9201" s="6" t="str">
        <f t="shared" si="720"/>
        <v/>
      </c>
      <c r="L9201" s="7" t="str">
        <f t="shared" si="721"/>
        <v/>
      </c>
      <c r="M9201" s="7" t="str">
        <f t="shared" si="718"/>
        <v/>
      </c>
      <c r="N9201" s="7" t="str">
        <f t="shared" si="722"/>
        <v/>
      </c>
      <c r="O9201" s="8"/>
      <c r="P9201" s="26"/>
      <c r="S9201" s="10" t="str">
        <f t="shared" si="719"/>
        <v/>
      </c>
    </row>
    <row r="9202" spans="5:19" x14ac:dyDescent="0.3">
      <c r="E9202" s="9" t="str">
        <f>IF(DADOS!C9202="","",DADOS!C9202)</f>
        <v/>
      </c>
      <c r="F9202" s="9" t="str">
        <f>IF(DADOS!E9202="","",DADOS!E9202)</f>
        <v/>
      </c>
      <c r="G9202" s="9" t="str">
        <f>IF(DADOS!F9202="","",DADOS!F9202)</f>
        <v/>
      </c>
      <c r="K9202" s="6" t="str">
        <f t="shared" si="720"/>
        <v/>
      </c>
      <c r="L9202" s="7" t="str">
        <f t="shared" si="721"/>
        <v/>
      </c>
      <c r="M9202" s="7" t="str">
        <f t="shared" si="718"/>
        <v/>
      </c>
      <c r="N9202" s="7" t="str">
        <f t="shared" si="722"/>
        <v/>
      </c>
      <c r="O9202" s="8"/>
      <c r="P9202" s="26"/>
      <c r="S9202" s="10" t="str">
        <f t="shared" si="719"/>
        <v/>
      </c>
    </row>
    <row r="9203" spans="5:19" x14ac:dyDescent="0.3">
      <c r="E9203" s="9" t="str">
        <f>IF(DADOS!C9203="","",DADOS!C9203)</f>
        <v/>
      </c>
      <c r="F9203" s="9" t="str">
        <f>IF(DADOS!E9203="","",DADOS!E9203)</f>
        <v/>
      </c>
      <c r="G9203" s="9" t="str">
        <f>IF(DADOS!F9203="","",DADOS!F9203)</f>
        <v/>
      </c>
      <c r="K9203" s="6" t="str">
        <f t="shared" si="720"/>
        <v/>
      </c>
      <c r="L9203" s="7" t="str">
        <f t="shared" si="721"/>
        <v/>
      </c>
      <c r="M9203" s="7" t="str">
        <f t="shared" si="718"/>
        <v/>
      </c>
      <c r="N9203" s="7" t="str">
        <f t="shared" si="722"/>
        <v/>
      </c>
      <c r="O9203" s="8"/>
      <c r="P9203" s="26"/>
      <c r="S9203" s="10" t="str">
        <f t="shared" si="719"/>
        <v/>
      </c>
    </row>
    <row r="9204" spans="5:19" x14ac:dyDescent="0.3">
      <c r="E9204" s="9" t="str">
        <f>IF(DADOS!C9204="","",DADOS!C9204)</f>
        <v/>
      </c>
      <c r="F9204" s="9" t="str">
        <f>IF(DADOS!E9204="","",DADOS!E9204)</f>
        <v/>
      </c>
      <c r="G9204" s="9" t="str">
        <f>IF(DADOS!F9204="","",DADOS!F9204)</f>
        <v/>
      </c>
      <c r="K9204" s="6" t="str">
        <f t="shared" si="720"/>
        <v/>
      </c>
      <c r="L9204" s="7" t="str">
        <f t="shared" si="721"/>
        <v/>
      </c>
      <c r="M9204" s="7" t="str">
        <f t="shared" si="718"/>
        <v/>
      </c>
      <c r="N9204" s="7" t="str">
        <f t="shared" si="722"/>
        <v/>
      </c>
      <c r="O9204" s="8"/>
      <c r="P9204" s="26"/>
      <c r="S9204" s="10" t="str">
        <f t="shared" si="719"/>
        <v/>
      </c>
    </row>
    <row r="9205" spans="5:19" x14ac:dyDescent="0.3">
      <c r="E9205" s="9" t="str">
        <f>IF(DADOS!C9205="","",DADOS!C9205)</f>
        <v/>
      </c>
      <c r="F9205" s="9" t="str">
        <f>IF(DADOS!E9205="","",DADOS!E9205)</f>
        <v/>
      </c>
      <c r="G9205" s="9" t="str">
        <f>IF(DADOS!F9205="","",DADOS!F9205)</f>
        <v/>
      </c>
      <c r="K9205" s="6" t="str">
        <f t="shared" si="720"/>
        <v/>
      </c>
      <c r="L9205" s="7" t="str">
        <f t="shared" si="721"/>
        <v/>
      </c>
      <c r="M9205" s="7" t="str">
        <f t="shared" si="718"/>
        <v/>
      </c>
      <c r="N9205" s="7" t="str">
        <f t="shared" si="722"/>
        <v/>
      </c>
      <c r="O9205" s="8"/>
      <c r="P9205" s="26"/>
      <c r="S9205" s="10" t="str">
        <f t="shared" si="719"/>
        <v/>
      </c>
    </row>
    <row r="9206" spans="5:19" x14ac:dyDescent="0.3">
      <c r="E9206" s="9" t="str">
        <f>IF(DADOS!C9206="","",DADOS!C9206)</f>
        <v/>
      </c>
      <c r="F9206" s="9" t="str">
        <f>IF(DADOS!E9206="","",DADOS!E9206)</f>
        <v/>
      </c>
      <c r="G9206" s="9" t="str">
        <f>IF(DADOS!F9206="","",DADOS!F9206)</f>
        <v/>
      </c>
      <c r="K9206" s="6" t="str">
        <f t="shared" si="720"/>
        <v/>
      </c>
      <c r="L9206" s="7" t="str">
        <f t="shared" si="721"/>
        <v/>
      </c>
      <c r="M9206" s="7" t="str">
        <f t="shared" si="718"/>
        <v/>
      </c>
      <c r="N9206" s="7" t="str">
        <f t="shared" si="722"/>
        <v/>
      </c>
      <c r="O9206" s="8"/>
      <c r="P9206" s="26"/>
      <c r="S9206" s="10" t="str">
        <f t="shared" si="719"/>
        <v/>
      </c>
    </row>
    <row r="9207" spans="5:19" x14ac:dyDescent="0.3">
      <c r="E9207" s="9" t="str">
        <f>IF(DADOS!C9207="","",DADOS!C9207)</f>
        <v/>
      </c>
      <c r="F9207" s="9" t="str">
        <f>IF(DADOS!E9207="","",DADOS!E9207)</f>
        <v/>
      </c>
      <c r="G9207" s="9" t="str">
        <f>IF(DADOS!F9207="","",DADOS!F9207)</f>
        <v/>
      </c>
      <c r="K9207" s="6" t="str">
        <f t="shared" si="720"/>
        <v/>
      </c>
      <c r="L9207" s="7" t="str">
        <f t="shared" si="721"/>
        <v/>
      </c>
      <c r="M9207" s="7" t="str">
        <f t="shared" si="718"/>
        <v/>
      </c>
      <c r="N9207" s="7" t="str">
        <f t="shared" si="722"/>
        <v/>
      </c>
      <c r="O9207" s="8"/>
      <c r="P9207" s="26"/>
      <c r="S9207" s="10" t="str">
        <f t="shared" si="719"/>
        <v/>
      </c>
    </row>
    <row r="9208" spans="5:19" x14ac:dyDescent="0.3">
      <c r="E9208" s="9" t="str">
        <f>IF(DADOS!C9208="","",DADOS!C9208)</f>
        <v/>
      </c>
      <c r="F9208" s="9" t="str">
        <f>IF(DADOS!E9208="","",DADOS!E9208)</f>
        <v/>
      </c>
      <c r="G9208" s="9" t="str">
        <f>IF(DADOS!F9208="","",DADOS!F9208)</f>
        <v/>
      </c>
      <c r="K9208" s="6" t="str">
        <f t="shared" si="720"/>
        <v/>
      </c>
      <c r="L9208" s="7" t="str">
        <f t="shared" si="721"/>
        <v/>
      </c>
      <c r="M9208" s="7" t="str">
        <f t="shared" si="718"/>
        <v/>
      </c>
      <c r="N9208" s="7" t="str">
        <f t="shared" si="722"/>
        <v/>
      </c>
      <c r="O9208" s="8"/>
      <c r="P9208" s="26"/>
      <c r="S9208" s="10" t="str">
        <f t="shared" si="719"/>
        <v/>
      </c>
    </row>
    <row r="9209" spans="5:19" x14ac:dyDescent="0.3">
      <c r="E9209" s="9" t="str">
        <f>IF(DADOS!C9209="","",DADOS!C9209)</f>
        <v/>
      </c>
      <c r="F9209" s="9" t="str">
        <f>IF(DADOS!E9209="","",DADOS!E9209)</f>
        <v/>
      </c>
      <c r="G9209" s="9" t="str">
        <f>IF(DADOS!F9209="","",DADOS!F9209)</f>
        <v/>
      </c>
      <c r="K9209" s="6" t="str">
        <f t="shared" si="720"/>
        <v/>
      </c>
      <c r="L9209" s="7" t="str">
        <f t="shared" si="721"/>
        <v/>
      </c>
      <c r="M9209" s="7" t="str">
        <f t="shared" si="718"/>
        <v/>
      </c>
      <c r="N9209" s="7" t="str">
        <f t="shared" si="722"/>
        <v/>
      </c>
      <c r="O9209" s="8"/>
      <c r="P9209" s="26"/>
      <c r="S9209" s="10" t="str">
        <f t="shared" si="719"/>
        <v/>
      </c>
    </row>
    <row r="9210" spans="5:19" x14ac:dyDescent="0.3">
      <c r="E9210" s="9" t="str">
        <f>IF(DADOS!C9210="","",DADOS!C9210)</f>
        <v/>
      </c>
      <c r="F9210" s="9" t="str">
        <f>IF(DADOS!E9210="","",DADOS!E9210)</f>
        <v/>
      </c>
      <c r="G9210" s="9" t="str">
        <f>IF(DADOS!F9210="","",DADOS!F9210)</f>
        <v/>
      </c>
      <c r="K9210" s="6" t="str">
        <f t="shared" si="720"/>
        <v/>
      </c>
      <c r="L9210" s="7" t="str">
        <f t="shared" si="721"/>
        <v/>
      </c>
      <c r="M9210" s="7" t="str">
        <f t="shared" si="718"/>
        <v/>
      </c>
      <c r="N9210" s="7" t="str">
        <f t="shared" si="722"/>
        <v/>
      </c>
      <c r="O9210" s="8"/>
      <c r="P9210" s="26"/>
      <c r="S9210" s="10" t="str">
        <f t="shared" si="719"/>
        <v/>
      </c>
    </row>
    <row r="9211" spans="5:19" x14ac:dyDescent="0.3">
      <c r="E9211" s="9" t="str">
        <f>IF(DADOS!C9211="","",DADOS!C9211)</f>
        <v/>
      </c>
      <c r="F9211" s="9" t="str">
        <f>IF(DADOS!E9211="","",DADOS!E9211)</f>
        <v/>
      </c>
      <c r="G9211" s="9" t="str">
        <f>IF(DADOS!F9211="","",DADOS!F9211)</f>
        <v/>
      </c>
      <c r="K9211" s="6" t="str">
        <f t="shared" si="720"/>
        <v/>
      </c>
      <c r="L9211" s="7" t="str">
        <f t="shared" si="721"/>
        <v/>
      </c>
      <c r="M9211" s="7" t="str">
        <f t="shared" si="718"/>
        <v/>
      </c>
      <c r="N9211" s="7" t="str">
        <f t="shared" si="722"/>
        <v/>
      </c>
      <c r="O9211" s="8"/>
      <c r="P9211" s="26"/>
      <c r="S9211" s="10" t="str">
        <f t="shared" si="719"/>
        <v/>
      </c>
    </row>
    <row r="9212" spans="5:19" x14ac:dyDescent="0.3">
      <c r="E9212" s="9" t="str">
        <f>IF(DADOS!C9212="","",DADOS!C9212)</f>
        <v/>
      </c>
      <c r="F9212" s="9" t="str">
        <f>IF(DADOS!E9212="","",DADOS!E9212)</f>
        <v/>
      </c>
      <c r="G9212" s="9" t="str">
        <f>IF(DADOS!F9212="","",DADOS!F9212)</f>
        <v/>
      </c>
      <c r="K9212" s="6" t="str">
        <f t="shared" si="720"/>
        <v/>
      </c>
      <c r="L9212" s="7" t="str">
        <f t="shared" si="721"/>
        <v/>
      </c>
      <c r="M9212" s="7" t="str">
        <f t="shared" si="718"/>
        <v/>
      </c>
      <c r="N9212" s="7" t="str">
        <f t="shared" si="722"/>
        <v/>
      </c>
      <c r="O9212" s="8"/>
      <c r="P9212" s="26"/>
      <c r="S9212" s="10" t="str">
        <f t="shared" si="719"/>
        <v/>
      </c>
    </row>
    <row r="9213" spans="5:19" x14ac:dyDescent="0.3">
      <c r="E9213" s="9" t="str">
        <f>IF(DADOS!C9213="","",DADOS!C9213)</f>
        <v/>
      </c>
      <c r="F9213" s="9" t="str">
        <f>IF(DADOS!E9213="","",DADOS!E9213)</f>
        <v/>
      </c>
      <c r="G9213" s="9" t="str">
        <f>IF(DADOS!F9213="","",DADOS!F9213)</f>
        <v/>
      </c>
      <c r="K9213" s="6" t="str">
        <f t="shared" si="720"/>
        <v/>
      </c>
      <c r="L9213" s="7" t="str">
        <f t="shared" si="721"/>
        <v/>
      </c>
      <c r="M9213" s="7" t="str">
        <f t="shared" si="718"/>
        <v/>
      </c>
      <c r="N9213" s="7" t="str">
        <f t="shared" si="722"/>
        <v/>
      </c>
      <c r="O9213" s="8"/>
      <c r="P9213" s="26"/>
      <c r="S9213" s="10" t="str">
        <f t="shared" si="719"/>
        <v/>
      </c>
    </row>
    <row r="9214" spans="5:19" x14ac:dyDescent="0.3">
      <c r="E9214" s="9" t="str">
        <f>IF(DADOS!C9214="","",DADOS!C9214)</f>
        <v/>
      </c>
      <c r="F9214" s="9" t="str">
        <f>IF(DADOS!E9214="","",DADOS!E9214)</f>
        <v/>
      </c>
      <c r="G9214" s="9" t="str">
        <f>IF(DADOS!F9214="","",DADOS!F9214)</f>
        <v/>
      </c>
      <c r="K9214" s="6" t="str">
        <f t="shared" si="720"/>
        <v/>
      </c>
      <c r="L9214" s="7" t="str">
        <f t="shared" si="721"/>
        <v/>
      </c>
      <c r="M9214" s="7" t="str">
        <f t="shared" si="718"/>
        <v/>
      </c>
      <c r="N9214" s="7" t="str">
        <f t="shared" si="722"/>
        <v/>
      </c>
      <c r="O9214" s="8"/>
      <c r="P9214" s="26"/>
      <c r="S9214" s="10" t="str">
        <f t="shared" si="719"/>
        <v/>
      </c>
    </row>
    <row r="9215" spans="5:19" x14ac:dyDescent="0.3">
      <c r="E9215" s="9" t="str">
        <f>IF(DADOS!C9215="","",DADOS!C9215)</f>
        <v/>
      </c>
      <c r="F9215" s="9" t="str">
        <f>IF(DADOS!E9215="","",DADOS!E9215)</f>
        <v/>
      </c>
      <c r="G9215" s="9" t="str">
        <f>IF(DADOS!F9215="","",DADOS!F9215)</f>
        <v/>
      </c>
      <c r="K9215" s="6" t="str">
        <f t="shared" si="720"/>
        <v/>
      </c>
      <c r="L9215" s="7" t="str">
        <f t="shared" si="721"/>
        <v/>
      </c>
      <c r="M9215" s="7" t="str">
        <f t="shared" si="718"/>
        <v/>
      </c>
      <c r="N9215" s="7" t="str">
        <f t="shared" si="722"/>
        <v/>
      </c>
      <c r="O9215" s="8"/>
      <c r="P9215" s="26"/>
      <c r="S9215" s="10" t="str">
        <f t="shared" si="719"/>
        <v/>
      </c>
    </row>
    <row r="9216" spans="5:19" x14ac:dyDescent="0.3">
      <c r="E9216" s="9" t="str">
        <f>IF(DADOS!C9216="","",DADOS!C9216)</f>
        <v/>
      </c>
      <c r="F9216" s="9" t="str">
        <f>IF(DADOS!E9216="","",DADOS!E9216)</f>
        <v/>
      </c>
      <c r="G9216" s="9" t="str">
        <f>IF(DADOS!F9216="","",DADOS!F9216)</f>
        <v/>
      </c>
      <c r="K9216" s="6" t="str">
        <f t="shared" si="720"/>
        <v/>
      </c>
      <c r="L9216" s="7" t="str">
        <f t="shared" si="721"/>
        <v/>
      </c>
      <c r="M9216" s="7" t="str">
        <f t="shared" si="718"/>
        <v/>
      </c>
      <c r="N9216" s="7" t="str">
        <f t="shared" si="722"/>
        <v/>
      </c>
      <c r="O9216" s="8"/>
      <c r="P9216" s="26"/>
      <c r="S9216" s="10" t="str">
        <f t="shared" si="719"/>
        <v/>
      </c>
    </row>
    <row r="9217" spans="5:19" x14ac:dyDescent="0.3">
      <c r="E9217" s="9" t="str">
        <f>IF(DADOS!C9217="","",DADOS!C9217)</f>
        <v/>
      </c>
      <c r="F9217" s="9" t="str">
        <f>IF(DADOS!E9217="","",DADOS!E9217)</f>
        <v/>
      </c>
      <c r="G9217" s="9" t="str">
        <f>IF(DADOS!F9217="","",DADOS!F9217)</f>
        <v/>
      </c>
      <c r="K9217" s="6" t="str">
        <f t="shared" si="720"/>
        <v/>
      </c>
      <c r="L9217" s="7" t="str">
        <f t="shared" si="721"/>
        <v/>
      </c>
      <c r="M9217" s="7" t="str">
        <f t="shared" si="718"/>
        <v/>
      </c>
      <c r="N9217" s="7" t="str">
        <f t="shared" si="722"/>
        <v/>
      </c>
      <c r="O9217" s="8"/>
      <c r="P9217" s="26"/>
      <c r="S9217" s="10" t="str">
        <f t="shared" si="719"/>
        <v/>
      </c>
    </row>
    <row r="9218" spans="5:19" x14ac:dyDescent="0.3">
      <c r="E9218" s="9" t="str">
        <f>IF(DADOS!C9218="","",DADOS!C9218)</f>
        <v/>
      </c>
      <c r="F9218" s="9" t="str">
        <f>IF(DADOS!E9218="","",DADOS!E9218)</f>
        <v/>
      </c>
      <c r="G9218" s="9" t="str">
        <f>IF(DADOS!F9218="","",DADOS!F9218)</f>
        <v/>
      </c>
      <c r="K9218" s="6" t="str">
        <f t="shared" si="720"/>
        <v/>
      </c>
      <c r="L9218" s="7" t="str">
        <f t="shared" si="721"/>
        <v/>
      </c>
      <c r="M9218" s="7" t="str">
        <f t="shared" si="718"/>
        <v/>
      </c>
      <c r="N9218" s="7" t="str">
        <f t="shared" si="722"/>
        <v/>
      </c>
      <c r="O9218" s="8"/>
      <c r="P9218" s="26"/>
      <c r="S9218" s="10" t="str">
        <f t="shared" si="719"/>
        <v/>
      </c>
    </row>
    <row r="9219" spans="5:19" x14ac:dyDescent="0.3">
      <c r="E9219" s="9" t="str">
        <f>IF(DADOS!C9219="","",DADOS!C9219)</f>
        <v/>
      </c>
      <c r="F9219" s="9" t="str">
        <f>IF(DADOS!E9219="","",DADOS!E9219)</f>
        <v/>
      </c>
      <c r="G9219" s="9" t="str">
        <f>IF(DADOS!F9219="","",DADOS!F9219)</f>
        <v/>
      </c>
      <c r="K9219" s="6" t="str">
        <f t="shared" si="720"/>
        <v/>
      </c>
      <c r="L9219" s="7" t="str">
        <f t="shared" si="721"/>
        <v/>
      </c>
      <c r="M9219" s="7" t="str">
        <f t="shared" ref="M9219:M9282" si="723">IF(L9219="","",L9219*G9219)</f>
        <v/>
      </c>
      <c r="N9219" s="7" t="str">
        <f t="shared" si="722"/>
        <v/>
      </c>
      <c r="O9219" s="8"/>
      <c r="P9219" s="26"/>
      <c r="S9219" s="10" t="str">
        <f t="shared" ref="S9219:S9282" si="724">IF(R9219="","",SUMIFS($N$3:$N$10000,$E$3:$E$10000,R9219))</f>
        <v/>
      </c>
    </row>
    <row r="9220" spans="5:19" x14ac:dyDescent="0.3">
      <c r="E9220" s="9" t="str">
        <f>IF(DADOS!C9220="","",DADOS!C9220)</f>
        <v/>
      </c>
      <c r="F9220" s="9" t="str">
        <f>IF(DADOS!E9220="","",DADOS!E9220)</f>
        <v/>
      </c>
      <c r="G9220" s="9" t="str">
        <f>IF(DADOS!F9220="","",DADOS!F9220)</f>
        <v/>
      </c>
      <c r="K9220" s="6" t="str">
        <f t="shared" ref="K9220:K9283" si="725">IF(F9220="","",F9220/PI())</f>
        <v/>
      </c>
      <c r="L9220" s="7" t="str">
        <f t="shared" ref="L9220:L9283" si="726">IF(K9220="","",(PI()*K9220^2)/40000)</f>
        <v/>
      </c>
      <c r="M9220" s="7" t="str">
        <f t="shared" si="723"/>
        <v/>
      </c>
      <c r="N9220" s="7" t="str">
        <f t="shared" ref="N9220:N9283" si="727">IF(M9220="","",M9220*N$1)</f>
        <v/>
      </c>
      <c r="O9220" s="8"/>
      <c r="P9220" s="26"/>
      <c r="S9220" s="10" t="str">
        <f t="shared" si="724"/>
        <v/>
      </c>
    </row>
    <row r="9221" spans="5:19" x14ac:dyDescent="0.3">
      <c r="E9221" s="9" t="str">
        <f>IF(DADOS!C9221="","",DADOS!C9221)</f>
        <v/>
      </c>
      <c r="F9221" s="9" t="str">
        <f>IF(DADOS!E9221="","",DADOS!E9221)</f>
        <v/>
      </c>
      <c r="G9221" s="9" t="str">
        <f>IF(DADOS!F9221="","",DADOS!F9221)</f>
        <v/>
      </c>
      <c r="K9221" s="6" t="str">
        <f t="shared" si="725"/>
        <v/>
      </c>
      <c r="L9221" s="7" t="str">
        <f t="shared" si="726"/>
        <v/>
      </c>
      <c r="M9221" s="7" t="str">
        <f t="shared" si="723"/>
        <v/>
      </c>
      <c r="N9221" s="7" t="str">
        <f t="shared" si="727"/>
        <v/>
      </c>
      <c r="O9221" s="8"/>
      <c r="P9221" s="26"/>
      <c r="S9221" s="10" t="str">
        <f t="shared" si="724"/>
        <v/>
      </c>
    </row>
    <row r="9222" spans="5:19" x14ac:dyDescent="0.3">
      <c r="E9222" s="9" t="str">
        <f>IF(DADOS!C9222="","",DADOS!C9222)</f>
        <v/>
      </c>
      <c r="F9222" s="9" t="str">
        <f>IF(DADOS!E9222="","",DADOS!E9222)</f>
        <v/>
      </c>
      <c r="G9222" s="9" t="str">
        <f>IF(DADOS!F9222="","",DADOS!F9222)</f>
        <v/>
      </c>
      <c r="K9222" s="6" t="str">
        <f t="shared" si="725"/>
        <v/>
      </c>
      <c r="L9222" s="7" t="str">
        <f t="shared" si="726"/>
        <v/>
      </c>
      <c r="M9222" s="7" t="str">
        <f t="shared" si="723"/>
        <v/>
      </c>
      <c r="N9222" s="7" t="str">
        <f t="shared" si="727"/>
        <v/>
      </c>
      <c r="O9222" s="8"/>
      <c r="P9222" s="26"/>
      <c r="S9222" s="10" t="str">
        <f t="shared" si="724"/>
        <v/>
      </c>
    </row>
    <row r="9223" spans="5:19" x14ac:dyDescent="0.3">
      <c r="E9223" s="9" t="str">
        <f>IF(DADOS!C9223="","",DADOS!C9223)</f>
        <v/>
      </c>
      <c r="F9223" s="9" t="str">
        <f>IF(DADOS!E9223="","",DADOS!E9223)</f>
        <v/>
      </c>
      <c r="G9223" s="9" t="str">
        <f>IF(DADOS!F9223="","",DADOS!F9223)</f>
        <v/>
      </c>
      <c r="K9223" s="6" t="str">
        <f t="shared" si="725"/>
        <v/>
      </c>
      <c r="L9223" s="7" t="str">
        <f t="shared" si="726"/>
        <v/>
      </c>
      <c r="M9223" s="7" t="str">
        <f t="shared" si="723"/>
        <v/>
      </c>
      <c r="N9223" s="7" t="str">
        <f t="shared" si="727"/>
        <v/>
      </c>
      <c r="O9223" s="8"/>
      <c r="P9223" s="26"/>
      <c r="S9223" s="10" t="str">
        <f t="shared" si="724"/>
        <v/>
      </c>
    </row>
    <row r="9224" spans="5:19" x14ac:dyDescent="0.3">
      <c r="E9224" s="9" t="str">
        <f>IF(DADOS!C9224="","",DADOS!C9224)</f>
        <v/>
      </c>
      <c r="F9224" s="9" t="str">
        <f>IF(DADOS!E9224="","",DADOS!E9224)</f>
        <v/>
      </c>
      <c r="G9224" s="9" t="str">
        <f>IF(DADOS!F9224="","",DADOS!F9224)</f>
        <v/>
      </c>
      <c r="K9224" s="6" t="str">
        <f t="shared" si="725"/>
        <v/>
      </c>
      <c r="L9224" s="7" t="str">
        <f t="shared" si="726"/>
        <v/>
      </c>
      <c r="M9224" s="7" t="str">
        <f t="shared" si="723"/>
        <v/>
      </c>
      <c r="N9224" s="7" t="str">
        <f t="shared" si="727"/>
        <v/>
      </c>
      <c r="O9224" s="8"/>
      <c r="P9224" s="26"/>
      <c r="S9224" s="10" t="str">
        <f t="shared" si="724"/>
        <v/>
      </c>
    </row>
    <row r="9225" spans="5:19" x14ac:dyDescent="0.3">
      <c r="E9225" s="9" t="str">
        <f>IF(DADOS!C9225="","",DADOS!C9225)</f>
        <v/>
      </c>
      <c r="F9225" s="9" t="str">
        <f>IF(DADOS!E9225="","",DADOS!E9225)</f>
        <v/>
      </c>
      <c r="G9225" s="9" t="str">
        <f>IF(DADOS!F9225="","",DADOS!F9225)</f>
        <v/>
      </c>
      <c r="K9225" s="6" t="str">
        <f t="shared" si="725"/>
        <v/>
      </c>
      <c r="L9225" s="7" t="str">
        <f t="shared" si="726"/>
        <v/>
      </c>
      <c r="M9225" s="7" t="str">
        <f t="shared" si="723"/>
        <v/>
      </c>
      <c r="N9225" s="7" t="str">
        <f t="shared" si="727"/>
        <v/>
      </c>
      <c r="O9225" s="8"/>
      <c r="P9225" s="26"/>
      <c r="S9225" s="10" t="str">
        <f t="shared" si="724"/>
        <v/>
      </c>
    </row>
    <row r="9226" spans="5:19" x14ac:dyDescent="0.3">
      <c r="E9226" s="9" t="str">
        <f>IF(DADOS!C9226="","",DADOS!C9226)</f>
        <v/>
      </c>
      <c r="F9226" s="9" t="str">
        <f>IF(DADOS!E9226="","",DADOS!E9226)</f>
        <v/>
      </c>
      <c r="G9226" s="9" t="str">
        <f>IF(DADOS!F9226="","",DADOS!F9226)</f>
        <v/>
      </c>
      <c r="K9226" s="6" t="str">
        <f t="shared" si="725"/>
        <v/>
      </c>
      <c r="L9226" s="7" t="str">
        <f t="shared" si="726"/>
        <v/>
      </c>
      <c r="M9226" s="7" t="str">
        <f t="shared" si="723"/>
        <v/>
      </c>
      <c r="N9226" s="7" t="str">
        <f t="shared" si="727"/>
        <v/>
      </c>
      <c r="O9226" s="8"/>
      <c r="P9226" s="26"/>
      <c r="S9226" s="10" t="str">
        <f t="shared" si="724"/>
        <v/>
      </c>
    </row>
    <row r="9227" spans="5:19" x14ac:dyDescent="0.3">
      <c r="E9227" s="9" t="str">
        <f>IF(DADOS!C9227="","",DADOS!C9227)</f>
        <v/>
      </c>
      <c r="F9227" s="9" t="str">
        <f>IF(DADOS!E9227="","",DADOS!E9227)</f>
        <v/>
      </c>
      <c r="G9227" s="9" t="str">
        <f>IF(DADOS!F9227="","",DADOS!F9227)</f>
        <v/>
      </c>
      <c r="K9227" s="6" t="str">
        <f t="shared" si="725"/>
        <v/>
      </c>
      <c r="L9227" s="7" t="str">
        <f t="shared" si="726"/>
        <v/>
      </c>
      <c r="M9227" s="7" t="str">
        <f t="shared" si="723"/>
        <v/>
      </c>
      <c r="N9227" s="7" t="str">
        <f t="shared" si="727"/>
        <v/>
      </c>
      <c r="O9227" s="8"/>
      <c r="P9227" s="26"/>
      <c r="S9227" s="10" t="str">
        <f t="shared" si="724"/>
        <v/>
      </c>
    </row>
    <row r="9228" spans="5:19" x14ac:dyDescent="0.3">
      <c r="E9228" s="9" t="str">
        <f>IF(DADOS!C9228="","",DADOS!C9228)</f>
        <v/>
      </c>
      <c r="F9228" s="9" t="str">
        <f>IF(DADOS!E9228="","",DADOS!E9228)</f>
        <v/>
      </c>
      <c r="G9228" s="9" t="str">
        <f>IF(DADOS!F9228="","",DADOS!F9228)</f>
        <v/>
      </c>
      <c r="K9228" s="6" t="str">
        <f t="shared" si="725"/>
        <v/>
      </c>
      <c r="L9228" s="7" t="str">
        <f t="shared" si="726"/>
        <v/>
      </c>
      <c r="M9228" s="7" t="str">
        <f t="shared" si="723"/>
        <v/>
      </c>
      <c r="N9228" s="7" t="str">
        <f t="shared" si="727"/>
        <v/>
      </c>
      <c r="O9228" s="8"/>
      <c r="P9228" s="26"/>
      <c r="S9228" s="10" t="str">
        <f t="shared" si="724"/>
        <v/>
      </c>
    </row>
    <row r="9229" spans="5:19" x14ac:dyDescent="0.3">
      <c r="E9229" s="9" t="str">
        <f>IF(DADOS!C9229="","",DADOS!C9229)</f>
        <v/>
      </c>
      <c r="F9229" s="9" t="str">
        <f>IF(DADOS!E9229="","",DADOS!E9229)</f>
        <v/>
      </c>
      <c r="G9229" s="9" t="str">
        <f>IF(DADOS!F9229="","",DADOS!F9229)</f>
        <v/>
      </c>
      <c r="K9229" s="6" t="str">
        <f t="shared" si="725"/>
        <v/>
      </c>
      <c r="L9229" s="7" t="str">
        <f t="shared" si="726"/>
        <v/>
      </c>
      <c r="M9229" s="7" t="str">
        <f t="shared" si="723"/>
        <v/>
      </c>
      <c r="N9229" s="7" t="str">
        <f t="shared" si="727"/>
        <v/>
      </c>
      <c r="O9229" s="8"/>
      <c r="P9229" s="26"/>
      <c r="S9229" s="10" t="str">
        <f t="shared" si="724"/>
        <v/>
      </c>
    </row>
    <row r="9230" spans="5:19" x14ac:dyDescent="0.3">
      <c r="E9230" s="9" t="str">
        <f>IF(DADOS!C9230="","",DADOS!C9230)</f>
        <v/>
      </c>
      <c r="F9230" s="9" t="str">
        <f>IF(DADOS!E9230="","",DADOS!E9230)</f>
        <v/>
      </c>
      <c r="G9230" s="9" t="str">
        <f>IF(DADOS!F9230="","",DADOS!F9230)</f>
        <v/>
      </c>
      <c r="K9230" s="6" t="str">
        <f t="shared" si="725"/>
        <v/>
      </c>
      <c r="L9230" s="7" t="str">
        <f t="shared" si="726"/>
        <v/>
      </c>
      <c r="M9230" s="7" t="str">
        <f t="shared" si="723"/>
        <v/>
      </c>
      <c r="N9230" s="7" t="str">
        <f t="shared" si="727"/>
        <v/>
      </c>
      <c r="O9230" s="8"/>
      <c r="P9230" s="26"/>
      <c r="S9230" s="10" t="str">
        <f t="shared" si="724"/>
        <v/>
      </c>
    </row>
    <row r="9231" spans="5:19" x14ac:dyDescent="0.3">
      <c r="E9231" s="9" t="str">
        <f>IF(DADOS!C9231="","",DADOS!C9231)</f>
        <v/>
      </c>
      <c r="F9231" s="9" t="str">
        <f>IF(DADOS!E9231="","",DADOS!E9231)</f>
        <v/>
      </c>
      <c r="G9231" s="9" t="str">
        <f>IF(DADOS!F9231="","",DADOS!F9231)</f>
        <v/>
      </c>
      <c r="K9231" s="6" t="str">
        <f t="shared" si="725"/>
        <v/>
      </c>
      <c r="L9231" s="7" t="str">
        <f t="shared" si="726"/>
        <v/>
      </c>
      <c r="M9231" s="7" t="str">
        <f t="shared" si="723"/>
        <v/>
      </c>
      <c r="N9231" s="7" t="str">
        <f t="shared" si="727"/>
        <v/>
      </c>
      <c r="O9231" s="8"/>
      <c r="P9231" s="26"/>
      <c r="S9231" s="10" t="str">
        <f t="shared" si="724"/>
        <v/>
      </c>
    </row>
    <row r="9232" spans="5:19" x14ac:dyDescent="0.3">
      <c r="E9232" s="9" t="str">
        <f>IF(DADOS!C9232="","",DADOS!C9232)</f>
        <v/>
      </c>
      <c r="F9232" s="9" t="str">
        <f>IF(DADOS!E9232="","",DADOS!E9232)</f>
        <v/>
      </c>
      <c r="G9232" s="9" t="str">
        <f>IF(DADOS!F9232="","",DADOS!F9232)</f>
        <v/>
      </c>
      <c r="K9232" s="6" t="str">
        <f t="shared" si="725"/>
        <v/>
      </c>
      <c r="L9232" s="7" t="str">
        <f t="shared" si="726"/>
        <v/>
      </c>
      <c r="M9232" s="7" t="str">
        <f t="shared" si="723"/>
        <v/>
      </c>
      <c r="N9232" s="7" t="str">
        <f t="shared" si="727"/>
        <v/>
      </c>
      <c r="O9232" s="8"/>
      <c r="P9232" s="26"/>
      <c r="S9232" s="10" t="str">
        <f t="shared" si="724"/>
        <v/>
      </c>
    </row>
    <row r="9233" spans="5:19" x14ac:dyDescent="0.3">
      <c r="E9233" s="9" t="str">
        <f>IF(DADOS!C9233="","",DADOS!C9233)</f>
        <v/>
      </c>
      <c r="F9233" s="9" t="str">
        <f>IF(DADOS!E9233="","",DADOS!E9233)</f>
        <v/>
      </c>
      <c r="G9233" s="9" t="str">
        <f>IF(DADOS!F9233="","",DADOS!F9233)</f>
        <v/>
      </c>
      <c r="K9233" s="6" t="str">
        <f t="shared" si="725"/>
        <v/>
      </c>
      <c r="L9233" s="7" t="str">
        <f t="shared" si="726"/>
        <v/>
      </c>
      <c r="M9233" s="7" t="str">
        <f t="shared" si="723"/>
        <v/>
      </c>
      <c r="N9233" s="7" t="str">
        <f t="shared" si="727"/>
        <v/>
      </c>
      <c r="O9233" s="8"/>
      <c r="P9233" s="26"/>
      <c r="S9233" s="10" t="str">
        <f t="shared" si="724"/>
        <v/>
      </c>
    </row>
    <row r="9234" spans="5:19" x14ac:dyDescent="0.3">
      <c r="E9234" s="9" t="str">
        <f>IF(DADOS!C9234="","",DADOS!C9234)</f>
        <v/>
      </c>
      <c r="F9234" s="9" t="str">
        <f>IF(DADOS!E9234="","",DADOS!E9234)</f>
        <v/>
      </c>
      <c r="G9234" s="9" t="str">
        <f>IF(DADOS!F9234="","",DADOS!F9234)</f>
        <v/>
      </c>
      <c r="K9234" s="6" t="str">
        <f t="shared" si="725"/>
        <v/>
      </c>
      <c r="L9234" s="7" t="str">
        <f t="shared" si="726"/>
        <v/>
      </c>
      <c r="M9234" s="7" t="str">
        <f t="shared" si="723"/>
        <v/>
      </c>
      <c r="N9234" s="7" t="str">
        <f t="shared" si="727"/>
        <v/>
      </c>
      <c r="O9234" s="8"/>
      <c r="P9234" s="26"/>
      <c r="S9234" s="10" t="str">
        <f t="shared" si="724"/>
        <v/>
      </c>
    </row>
    <row r="9235" spans="5:19" x14ac:dyDescent="0.3">
      <c r="E9235" s="9" t="str">
        <f>IF(DADOS!C9235="","",DADOS!C9235)</f>
        <v/>
      </c>
      <c r="F9235" s="9" t="str">
        <f>IF(DADOS!E9235="","",DADOS!E9235)</f>
        <v/>
      </c>
      <c r="G9235" s="9" t="str">
        <f>IF(DADOS!F9235="","",DADOS!F9235)</f>
        <v/>
      </c>
      <c r="K9235" s="6" t="str">
        <f t="shared" si="725"/>
        <v/>
      </c>
      <c r="L9235" s="7" t="str">
        <f t="shared" si="726"/>
        <v/>
      </c>
      <c r="M9235" s="7" t="str">
        <f t="shared" si="723"/>
        <v/>
      </c>
      <c r="N9235" s="7" t="str">
        <f t="shared" si="727"/>
        <v/>
      </c>
      <c r="O9235" s="8"/>
      <c r="P9235" s="26"/>
      <c r="S9235" s="10" t="str">
        <f t="shared" si="724"/>
        <v/>
      </c>
    </row>
    <row r="9236" spans="5:19" x14ac:dyDescent="0.3">
      <c r="E9236" s="9" t="str">
        <f>IF(DADOS!C9236="","",DADOS!C9236)</f>
        <v/>
      </c>
      <c r="F9236" s="9" t="str">
        <f>IF(DADOS!E9236="","",DADOS!E9236)</f>
        <v/>
      </c>
      <c r="G9236" s="9" t="str">
        <f>IF(DADOS!F9236="","",DADOS!F9236)</f>
        <v/>
      </c>
      <c r="K9236" s="6" t="str">
        <f t="shared" si="725"/>
        <v/>
      </c>
      <c r="L9236" s="7" t="str">
        <f t="shared" si="726"/>
        <v/>
      </c>
      <c r="M9236" s="7" t="str">
        <f t="shared" si="723"/>
        <v/>
      </c>
      <c r="N9236" s="7" t="str">
        <f t="shared" si="727"/>
        <v/>
      </c>
      <c r="O9236" s="8"/>
      <c r="P9236" s="26"/>
      <c r="S9236" s="10" t="str">
        <f t="shared" si="724"/>
        <v/>
      </c>
    </row>
    <row r="9237" spans="5:19" x14ac:dyDescent="0.3">
      <c r="E9237" s="9" t="str">
        <f>IF(DADOS!C9237="","",DADOS!C9237)</f>
        <v/>
      </c>
      <c r="F9237" s="9" t="str">
        <f>IF(DADOS!E9237="","",DADOS!E9237)</f>
        <v/>
      </c>
      <c r="G9237" s="9" t="str">
        <f>IF(DADOS!F9237="","",DADOS!F9237)</f>
        <v/>
      </c>
      <c r="K9237" s="6" t="str">
        <f t="shared" si="725"/>
        <v/>
      </c>
      <c r="L9237" s="7" t="str">
        <f t="shared" si="726"/>
        <v/>
      </c>
      <c r="M9237" s="7" t="str">
        <f t="shared" si="723"/>
        <v/>
      </c>
      <c r="N9237" s="7" t="str">
        <f t="shared" si="727"/>
        <v/>
      </c>
      <c r="O9237" s="8"/>
      <c r="P9237" s="26"/>
      <c r="S9237" s="10" t="str">
        <f t="shared" si="724"/>
        <v/>
      </c>
    </row>
    <row r="9238" spans="5:19" x14ac:dyDescent="0.3">
      <c r="E9238" s="9" t="str">
        <f>IF(DADOS!C9238="","",DADOS!C9238)</f>
        <v/>
      </c>
      <c r="F9238" s="9" t="str">
        <f>IF(DADOS!E9238="","",DADOS!E9238)</f>
        <v/>
      </c>
      <c r="G9238" s="9" t="str">
        <f>IF(DADOS!F9238="","",DADOS!F9238)</f>
        <v/>
      </c>
      <c r="K9238" s="6" t="str">
        <f t="shared" si="725"/>
        <v/>
      </c>
      <c r="L9238" s="7" t="str">
        <f t="shared" si="726"/>
        <v/>
      </c>
      <c r="M9238" s="7" t="str">
        <f t="shared" si="723"/>
        <v/>
      </c>
      <c r="N9238" s="7" t="str">
        <f t="shared" si="727"/>
        <v/>
      </c>
      <c r="O9238" s="8"/>
      <c r="P9238" s="26"/>
      <c r="S9238" s="10" t="str">
        <f t="shared" si="724"/>
        <v/>
      </c>
    </row>
    <row r="9239" spans="5:19" x14ac:dyDescent="0.3">
      <c r="E9239" s="9" t="str">
        <f>IF(DADOS!C9239="","",DADOS!C9239)</f>
        <v/>
      </c>
      <c r="F9239" s="9" t="str">
        <f>IF(DADOS!E9239="","",DADOS!E9239)</f>
        <v/>
      </c>
      <c r="G9239" s="9" t="str">
        <f>IF(DADOS!F9239="","",DADOS!F9239)</f>
        <v/>
      </c>
      <c r="K9239" s="6" t="str">
        <f t="shared" si="725"/>
        <v/>
      </c>
      <c r="L9239" s="7" t="str">
        <f t="shared" si="726"/>
        <v/>
      </c>
      <c r="M9239" s="7" t="str">
        <f t="shared" si="723"/>
        <v/>
      </c>
      <c r="N9239" s="7" t="str">
        <f t="shared" si="727"/>
        <v/>
      </c>
      <c r="O9239" s="8"/>
      <c r="P9239" s="26"/>
      <c r="S9239" s="10" t="str">
        <f t="shared" si="724"/>
        <v/>
      </c>
    </row>
    <row r="9240" spans="5:19" x14ac:dyDescent="0.3">
      <c r="E9240" s="9" t="str">
        <f>IF(DADOS!C9240="","",DADOS!C9240)</f>
        <v/>
      </c>
      <c r="F9240" s="9" t="str">
        <f>IF(DADOS!E9240="","",DADOS!E9240)</f>
        <v/>
      </c>
      <c r="G9240" s="9" t="str">
        <f>IF(DADOS!F9240="","",DADOS!F9240)</f>
        <v/>
      </c>
      <c r="K9240" s="6" t="str">
        <f t="shared" si="725"/>
        <v/>
      </c>
      <c r="L9240" s="7" t="str">
        <f t="shared" si="726"/>
        <v/>
      </c>
      <c r="M9240" s="7" t="str">
        <f t="shared" si="723"/>
        <v/>
      </c>
      <c r="N9240" s="7" t="str">
        <f t="shared" si="727"/>
        <v/>
      </c>
      <c r="O9240" s="8"/>
      <c r="P9240" s="26"/>
      <c r="S9240" s="10" t="str">
        <f t="shared" si="724"/>
        <v/>
      </c>
    </row>
    <row r="9241" spans="5:19" x14ac:dyDescent="0.3">
      <c r="E9241" s="9" t="str">
        <f>IF(DADOS!C9241="","",DADOS!C9241)</f>
        <v/>
      </c>
      <c r="F9241" s="9" t="str">
        <f>IF(DADOS!E9241="","",DADOS!E9241)</f>
        <v/>
      </c>
      <c r="G9241" s="9" t="str">
        <f>IF(DADOS!F9241="","",DADOS!F9241)</f>
        <v/>
      </c>
      <c r="K9241" s="6" t="str">
        <f t="shared" si="725"/>
        <v/>
      </c>
      <c r="L9241" s="7" t="str">
        <f t="shared" si="726"/>
        <v/>
      </c>
      <c r="M9241" s="7" t="str">
        <f t="shared" si="723"/>
        <v/>
      </c>
      <c r="N9241" s="7" t="str">
        <f t="shared" si="727"/>
        <v/>
      </c>
      <c r="O9241" s="8"/>
      <c r="P9241" s="26"/>
      <c r="S9241" s="10" t="str">
        <f t="shared" si="724"/>
        <v/>
      </c>
    </row>
    <row r="9242" spans="5:19" x14ac:dyDescent="0.3">
      <c r="E9242" s="9" t="str">
        <f>IF(DADOS!C9242="","",DADOS!C9242)</f>
        <v/>
      </c>
      <c r="F9242" s="9" t="str">
        <f>IF(DADOS!E9242="","",DADOS!E9242)</f>
        <v/>
      </c>
      <c r="G9242" s="9" t="str">
        <f>IF(DADOS!F9242="","",DADOS!F9242)</f>
        <v/>
      </c>
      <c r="K9242" s="6" t="str">
        <f t="shared" si="725"/>
        <v/>
      </c>
      <c r="L9242" s="7" t="str">
        <f t="shared" si="726"/>
        <v/>
      </c>
      <c r="M9242" s="7" t="str">
        <f t="shared" si="723"/>
        <v/>
      </c>
      <c r="N9242" s="7" t="str">
        <f t="shared" si="727"/>
        <v/>
      </c>
      <c r="O9242" s="8"/>
      <c r="P9242" s="26"/>
      <c r="S9242" s="10" t="str">
        <f t="shared" si="724"/>
        <v/>
      </c>
    </row>
    <row r="9243" spans="5:19" x14ac:dyDescent="0.3">
      <c r="E9243" s="9" t="str">
        <f>IF(DADOS!C9243="","",DADOS!C9243)</f>
        <v/>
      </c>
      <c r="F9243" s="9" t="str">
        <f>IF(DADOS!E9243="","",DADOS!E9243)</f>
        <v/>
      </c>
      <c r="G9243" s="9" t="str">
        <f>IF(DADOS!F9243="","",DADOS!F9243)</f>
        <v/>
      </c>
      <c r="K9243" s="6" t="str">
        <f t="shared" si="725"/>
        <v/>
      </c>
      <c r="L9243" s="7" t="str">
        <f t="shared" si="726"/>
        <v/>
      </c>
      <c r="M9243" s="7" t="str">
        <f t="shared" si="723"/>
        <v/>
      </c>
      <c r="N9243" s="7" t="str">
        <f t="shared" si="727"/>
        <v/>
      </c>
      <c r="O9243" s="8"/>
      <c r="P9243" s="26"/>
      <c r="S9243" s="10" t="str">
        <f t="shared" si="724"/>
        <v/>
      </c>
    </row>
    <row r="9244" spans="5:19" x14ac:dyDescent="0.3">
      <c r="E9244" s="9" t="str">
        <f>IF(DADOS!C9244="","",DADOS!C9244)</f>
        <v/>
      </c>
      <c r="F9244" s="9" t="str">
        <f>IF(DADOS!E9244="","",DADOS!E9244)</f>
        <v/>
      </c>
      <c r="G9244" s="9" t="str">
        <f>IF(DADOS!F9244="","",DADOS!F9244)</f>
        <v/>
      </c>
      <c r="K9244" s="6" t="str">
        <f t="shared" si="725"/>
        <v/>
      </c>
      <c r="L9244" s="7" t="str">
        <f t="shared" si="726"/>
        <v/>
      </c>
      <c r="M9244" s="7" t="str">
        <f t="shared" si="723"/>
        <v/>
      </c>
      <c r="N9244" s="7" t="str">
        <f t="shared" si="727"/>
        <v/>
      </c>
      <c r="O9244" s="8"/>
      <c r="P9244" s="26"/>
      <c r="S9244" s="10" t="str">
        <f t="shared" si="724"/>
        <v/>
      </c>
    </row>
    <row r="9245" spans="5:19" x14ac:dyDescent="0.3">
      <c r="E9245" s="9" t="str">
        <f>IF(DADOS!C9245="","",DADOS!C9245)</f>
        <v/>
      </c>
      <c r="F9245" s="9" t="str">
        <f>IF(DADOS!E9245="","",DADOS!E9245)</f>
        <v/>
      </c>
      <c r="G9245" s="9" t="str">
        <f>IF(DADOS!F9245="","",DADOS!F9245)</f>
        <v/>
      </c>
      <c r="K9245" s="6" t="str">
        <f t="shared" si="725"/>
        <v/>
      </c>
      <c r="L9245" s="7" t="str">
        <f t="shared" si="726"/>
        <v/>
      </c>
      <c r="M9245" s="7" t="str">
        <f t="shared" si="723"/>
        <v/>
      </c>
      <c r="N9245" s="7" t="str">
        <f t="shared" si="727"/>
        <v/>
      </c>
      <c r="O9245" s="8"/>
      <c r="P9245" s="26"/>
      <c r="S9245" s="10" t="str">
        <f t="shared" si="724"/>
        <v/>
      </c>
    </row>
    <row r="9246" spans="5:19" x14ac:dyDescent="0.3">
      <c r="E9246" s="9" t="str">
        <f>IF(DADOS!C9246="","",DADOS!C9246)</f>
        <v/>
      </c>
      <c r="F9246" s="9" t="str">
        <f>IF(DADOS!E9246="","",DADOS!E9246)</f>
        <v/>
      </c>
      <c r="G9246" s="9" t="str">
        <f>IF(DADOS!F9246="","",DADOS!F9246)</f>
        <v/>
      </c>
      <c r="K9246" s="6" t="str">
        <f t="shared" si="725"/>
        <v/>
      </c>
      <c r="L9246" s="7" t="str">
        <f t="shared" si="726"/>
        <v/>
      </c>
      <c r="M9246" s="7" t="str">
        <f t="shared" si="723"/>
        <v/>
      </c>
      <c r="N9246" s="7" t="str">
        <f t="shared" si="727"/>
        <v/>
      </c>
      <c r="O9246" s="8"/>
      <c r="P9246" s="26"/>
      <c r="S9246" s="10" t="str">
        <f t="shared" si="724"/>
        <v/>
      </c>
    </row>
    <row r="9247" spans="5:19" x14ac:dyDescent="0.3">
      <c r="E9247" s="9" t="str">
        <f>IF(DADOS!C9247="","",DADOS!C9247)</f>
        <v/>
      </c>
      <c r="F9247" s="9" t="str">
        <f>IF(DADOS!E9247="","",DADOS!E9247)</f>
        <v/>
      </c>
      <c r="G9247" s="9" t="str">
        <f>IF(DADOS!F9247="","",DADOS!F9247)</f>
        <v/>
      </c>
      <c r="K9247" s="6" t="str">
        <f t="shared" si="725"/>
        <v/>
      </c>
      <c r="L9247" s="7" t="str">
        <f t="shared" si="726"/>
        <v/>
      </c>
      <c r="M9247" s="7" t="str">
        <f t="shared" si="723"/>
        <v/>
      </c>
      <c r="N9247" s="7" t="str">
        <f t="shared" si="727"/>
        <v/>
      </c>
      <c r="O9247" s="8"/>
      <c r="P9247" s="26"/>
      <c r="S9247" s="10" t="str">
        <f t="shared" si="724"/>
        <v/>
      </c>
    </row>
    <row r="9248" spans="5:19" x14ac:dyDescent="0.3">
      <c r="E9248" s="9" t="str">
        <f>IF(DADOS!C9248="","",DADOS!C9248)</f>
        <v/>
      </c>
      <c r="F9248" s="9" t="str">
        <f>IF(DADOS!E9248="","",DADOS!E9248)</f>
        <v/>
      </c>
      <c r="G9248" s="9" t="str">
        <f>IF(DADOS!F9248="","",DADOS!F9248)</f>
        <v/>
      </c>
      <c r="K9248" s="6" t="str">
        <f t="shared" si="725"/>
        <v/>
      </c>
      <c r="L9248" s="7" t="str">
        <f t="shared" si="726"/>
        <v/>
      </c>
      <c r="M9248" s="7" t="str">
        <f t="shared" si="723"/>
        <v/>
      </c>
      <c r="N9248" s="7" t="str">
        <f t="shared" si="727"/>
        <v/>
      </c>
      <c r="O9248" s="8"/>
      <c r="P9248" s="26"/>
      <c r="S9248" s="10" t="str">
        <f t="shared" si="724"/>
        <v/>
      </c>
    </row>
    <row r="9249" spans="5:19" x14ac:dyDescent="0.3">
      <c r="E9249" s="9" t="str">
        <f>IF(DADOS!C9249="","",DADOS!C9249)</f>
        <v/>
      </c>
      <c r="F9249" s="9" t="str">
        <f>IF(DADOS!E9249="","",DADOS!E9249)</f>
        <v/>
      </c>
      <c r="G9249" s="9" t="str">
        <f>IF(DADOS!F9249="","",DADOS!F9249)</f>
        <v/>
      </c>
      <c r="K9249" s="6" t="str">
        <f t="shared" si="725"/>
        <v/>
      </c>
      <c r="L9249" s="7" t="str">
        <f t="shared" si="726"/>
        <v/>
      </c>
      <c r="M9249" s="7" t="str">
        <f t="shared" si="723"/>
        <v/>
      </c>
      <c r="N9249" s="7" t="str">
        <f t="shared" si="727"/>
        <v/>
      </c>
      <c r="O9249" s="8"/>
      <c r="P9249" s="26"/>
      <c r="S9249" s="10" t="str">
        <f t="shared" si="724"/>
        <v/>
      </c>
    </row>
    <row r="9250" spans="5:19" x14ac:dyDescent="0.3">
      <c r="E9250" s="9" t="str">
        <f>IF(DADOS!C9250="","",DADOS!C9250)</f>
        <v/>
      </c>
      <c r="F9250" s="9" t="str">
        <f>IF(DADOS!E9250="","",DADOS!E9250)</f>
        <v/>
      </c>
      <c r="G9250" s="9" t="str">
        <f>IF(DADOS!F9250="","",DADOS!F9250)</f>
        <v/>
      </c>
      <c r="K9250" s="6" t="str">
        <f t="shared" si="725"/>
        <v/>
      </c>
      <c r="L9250" s="7" t="str">
        <f t="shared" si="726"/>
        <v/>
      </c>
      <c r="M9250" s="7" t="str">
        <f t="shared" si="723"/>
        <v/>
      </c>
      <c r="N9250" s="7" t="str">
        <f t="shared" si="727"/>
        <v/>
      </c>
      <c r="O9250" s="8"/>
      <c r="P9250" s="26"/>
      <c r="S9250" s="10" t="str">
        <f t="shared" si="724"/>
        <v/>
      </c>
    </row>
    <row r="9251" spans="5:19" x14ac:dyDescent="0.3">
      <c r="E9251" s="9" t="str">
        <f>IF(DADOS!C9251="","",DADOS!C9251)</f>
        <v/>
      </c>
      <c r="F9251" s="9" t="str">
        <f>IF(DADOS!E9251="","",DADOS!E9251)</f>
        <v/>
      </c>
      <c r="G9251" s="9" t="str">
        <f>IF(DADOS!F9251="","",DADOS!F9251)</f>
        <v/>
      </c>
      <c r="K9251" s="6" t="str">
        <f t="shared" si="725"/>
        <v/>
      </c>
      <c r="L9251" s="7" t="str">
        <f t="shared" si="726"/>
        <v/>
      </c>
      <c r="M9251" s="7" t="str">
        <f t="shared" si="723"/>
        <v/>
      </c>
      <c r="N9251" s="7" t="str">
        <f t="shared" si="727"/>
        <v/>
      </c>
      <c r="O9251" s="8"/>
      <c r="P9251" s="26"/>
      <c r="S9251" s="10" t="str">
        <f t="shared" si="724"/>
        <v/>
      </c>
    </row>
    <row r="9252" spans="5:19" x14ac:dyDescent="0.3">
      <c r="E9252" s="9" t="str">
        <f>IF(DADOS!C9252="","",DADOS!C9252)</f>
        <v/>
      </c>
      <c r="F9252" s="9" t="str">
        <f>IF(DADOS!E9252="","",DADOS!E9252)</f>
        <v/>
      </c>
      <c r="G9252" s="9" t="str">
        <f>IF(DADOS!F9252="","",DADOS!F9252)</f>
        <v/>
      </c>
      <c r="K9252" s="6" t="str">
        <f t="shared" si="725"/>
        <v/>
      </c>
      <c r="L9252" s="7" t="str">
        <f t="shared" si="726"/>
        <v/>
      </c>
      <c r="M9252" s="7" t="str">
        <f t="shared" si="723"/>
        <v/>
      </c>
      <c r="N9252" s="7" t="str">
        <f t="shared" si="727"/>
        <v/>
      </c>
      <c r="O9252" s="8"/>
      <c r="P9252" s="26"/>
      <c r="S9252" s="10" t="str">
        <f t="shared" si="724"/>
        <v/>
      </c>
    </row>
    <row r="9253" spans="5:19" x14ac:dyDescent="0.3">
      <c r="E9253" s="9" t="str">
        <f>IF(DADOS!C9253="","",DADOS!C9253)</f>
        <v/>
      </c>
      <c r="F9253" s="9" t="str">
        <f>IF(DADOS!E9253="","",DADOS!E9253)</f>
        <v/>
      </c>
      <c r="G9253" s="9" t="str">
        <f>IF(DADOS!F9253="","",DADOS!F9253)</f>
        <v/>
      </c>
      <c r="K9253" s="6" t="str">
        <f t="shared" si="725"/>
        <v/>
      </c>
      <c r="L9253" s="7" t="str">
        <f t="shared" si="726"/>
        <v/>
      </c>
      <c r="M9253" s="7" t="str">
        <f t="shared" si="723"/>
        <v/>
      </c>
      <c r="N9253" s="7" t="str">
        <f t="shared" si="727"/>
        <v/>
      </c>
      <c r="O9253" s="8"/>
      <c r="P9253" s="26"/>
      <c r="S9253" s="10" t="str">
        <f t="shared" si="724"/>
        <v/>
      </c>
    </row>
    <row r="9254" spans="5:19" x14ac:dyDescent="0.3">
      <c r="E9254" s="9" t="str">
        <f>IF(DADOS!C9254="","",DADOS!C9254)</f>
        <v/>
      </c>
      <c r="F9254" s="9" t="str">
        <f>IF(DADOS!E9254="","",DADOS!E9254)</f>
        <v/>
      </c>
      <c r="G9254" s="9" t="str">
        <f>IF(DADOS!F9254="","",DADOS!F9254)</f>
        <v/>
      </c>
      <c r="K9254" s="6" t="str">
        <f t="shared" si="725"/>
        <v/>
      </c>
      <c r="L9254" s="7" t="str">
        <f t="shared" si="726"/>
        <v/>
      </c>
      <c r="M9254" s="7" t="str">
        <f t="shared" si="723"/>
        <v/>
      </c>
      <c r="N9254" s="7" t="str">
        <f t="shared" si="727"/>
        <v/>
      </c>
      <c r="O9254" s="8"/>
      <c r="P9254" s="26"/>
      <c r="S9254" s="10" t="str">
        <f t="shared" si="724"/>
        <v/>
      </c>
    </row>
    <row r="9255" spans="5:19" x14ac:dyDescent="0.3">
      <c r="E9255" s="9" t="str">
        <f>IF(DADOS!C9255="","",DADOS!C9255)</f>
        <v/>
      </c>
      <c r="F9255" s="9" t="str">
        <f>IF(DADOS!E9255="","",DADOS!E9255)</f>
        <v/>
      </c>
      <c r="G9255" s="9" t="str">
        <f>IF(DADOS!F9255="","",DADOS!F9255)</f>
        <v/>
      </c>
      <c r="K9255" s="6" t="str">
        <f t="shared" si="725"/>
        <v/>
      </c>
      <c r="L9255" s="7" t="str">
        <f t="shared" si="726"/>
        <v/>
      </c>
      <c r="M9255" s="7" t="str">
        <f t="shared" si="723"/>
        <v/>
      </c>
      <c r="N9255" s="7" t="str">
        <f t="shared" si="727"/>
        <v/>
      </c>
      <c r="O9255" s="8"/>
      <c r="P9255" s="26"/>
      <c r="S9255" s="10" t="str">
        <f t="shared" si="724"/>
        <v/>
      </c>
    </row>
    <row r="9256" spans="5:19" x14ac:dyDescent="0.3">
      <c r="E9256" s="9" t="str">
        <f>IF(DADOS!C9256="","",DADOS!C9256)</f>
        <v/>
      </c>
      <c r="F9256" s="9" t="str">
        <f>IF(DADOS!E9256="","",DADOS!E9256)</f>
        <v/>
      </c>
      <c r="G9256" s="9" t="str">
        <f>IF(DADOS!F9256="","",DADOS!F9256)</f>
        <v/>
      </c>
      <c r="K9256" s="6" t="str">
        <f t="shared" si="725"/>
        <v/>
      </c>
      <c r="L9256" s="7" t="str">
        <f t="shared" si="726"/>
        <v/>
      </c>
      <c r="M9256" s="7" t="str">
        <f t="shared" si="723"/>
        <v/>
      </c>
      <c r="N9256" s="7" t="str">
        <f t="shared" si="727"/>
        <v/>
      </c>
      <c r="O9256" s="8"/>
      <c r="P9256" s="26"/>
      <c r="S9256" s="10" t="str">
        <f t="shared" si="724"/>
        <v/>
      </c>
    </row>
    <row r="9257" spans="5:19" x14ac:dyDescent="0.3">
      <c r="E9257" s="9" t="str">
        <f>IF(DADOS!C9257="","",DADOS!C9257)</f>
        <v/>
      </c>
      <c r="F9257" s="9" t="str">
        <f>IF(DADOS!E9257="","",DADOS!E9257)</f>
        <v/>
      </c>
      <c r="G9257" s="9" t="str">
        <f>IF(DADOS!F9257="","",DADOS!F9257)</f>
        <v/>
      </c>
      <c r="K9257" s="6" t="str">
        <f t="shared" si="725"/>
        <v/>
      </c>
      <c r="L9257" s="7" t="str">
        <f t="shared" si="726"/>
        <v/>
      </c>
      <c r="M9257" s="7" t="str">
        <f t="shared" si="723"/>
        <v/>
      </c>
      <c r="N9257" s="7" t="str">
        <f t="shared" si="727"/>
        <v/>
      </c>
      <c r="O9257" s="8"/>
      <c r="P9257" s="26"/>
      <c r="S9257" s="10" t="str">
        <f t="shared" si="724"/>
        <v/>
      </c>
    </row>
    <row r="9258" spans="5:19" x14ac:dyDescent="0.3">
      <c r="E9258" s="9" t="str">
        <f>IF(DADOS!C9258="","",DADOS!C9258)</f>
        <v/>
      </c>
      <c r="F9258" s="9" t="str">
        <f>IF(DADOS!E9258="","",DADOS!E9258)</f>
        <v/>
      </c>
      <c r="G9258" s="9" t="str">
        <f>IF(DADOS!F9258="","",DADOS!F9258)</f>
        <v/>
      </c>
      <c r="K9258" s="6" t="str">
        <f t="shared" si="725"/>
        <v/>
      </c>
      <c r="L9258" s="7" t="str">
        <f t="shared" si="726"/>
        <v/>
      </c>
      <c r="M9258" s="7" t="str">
        <f t="shared" si="723"/>
        <v/>
      </c>
      <c r="N9258" s="7" t="str">
        <f t="shared" si="727"/>
        <v/>
      </c>
      <c r="O9258" s="8"/>
      <c r="P9258" s="26"/>
      <c r="S9258" s="10" t="str">
        <f t="shared" si="724"/>
        <v/>
      </c>
    </row>
    <row r="9259" spans="5:19" x14ac:dyDescent="0.3">
      <c r="E9259" s="9" t="str">
        <f>IF(DADOS!C9259="","",DADOS!C9259)</f>
        <v/>
      </c>
      <c r="F9259" s="9" t="str">
        <f>IF(DADOS!E9259="","",DADOS!E9259)</f>
        <v/>
      </c>
      <c r="G9259" s="9" t="str">
        <f>IF(DADOS!F9259="","",DADOS!F9259)</f>
        <v/>
      </c>
      <c r="K9259" s="6" t="str">
        <f t="shared" si="725"/>
        <v/>
      </c>
      <c r="L9259" s="7" t="str">
        <f t="shared" si="726"/>
        <v/>
      </c>
      <c r="M9259" s="7" t="str">
        <f t="shared" si="723"/>
        <v/>
      </c>
      <c r="N9259" s="7" t="str">
        <f t="shared" si="727"/>
        <v/>
      </c>
      <c r="O9259" s="8"/>
      <c r="P9259" s="26"/>
      <c r="S9259" s="10" t="str">
        <f t="shared" si="724"/>
        <v/>
      </c>
    </row>
    <row r="9260" spans="5:19" x14ac:dyDescent="0.3">
      <c r="E9260" s="9" t="str">
        <f>IF(DADOS!C9260="","",DADOS!C9260)</f>
        <v/>
      </c>
      <c r="F9260" s="9" t="str">
        <f>IF(DADOS!E9260="","",DADOS!E9260)</f>
        <v/>
      </c>
      <c r="G9260" s="9" t="str">
        <f>IF(DADOS!F9260="","",DADOS!F9260)</f>
        <v/>
      </c>
      <c r="K9260" s="6" t="str">
        <f t="shared" si="725"/>
        <v/>
      </c>
      <c r="L9260" s="7" t="str">
        <f t="shared" si="726"/>
        <v/>
      </c>
      <c r="M9260" s="7" t="str">
        <f t="shared" si="723"/>
        <v/>
      </c>
      <c r="N9260" s="7" t="str">
        <f t="shared" si="727"/>
        <v/>
      </c>
      <c r="O9260" s="8"/>
      <c r="P9260" s="26"/>
      <c r="S9260" s="10" t="str">
        <f t="shared" si="724"/>
        <v/>
      </c>
    </row>
    <row r="9261" spans="5:19" x14ac:dyDescent="0.3">
      <c r="E9261" s="9" t="str">
        <f>IF(DADOS!C9261="","",DADOS!C9261)</f>
        <v/>
      </c>
      <c r="F9261" s="9" t="str">
        <f>IF(DADOS!E9261="","",DADOS!E9261)</f>
        <v/>
      </c>
      <c r="G9261" s="9" t="str">
        <f>IF(DADOS!F9261="","",DADOS!F9261)</f>
        <v/>
      </c>
      <c r="K9261" s="6" t="str">
        <f t="shared" si="725"/>
        <v/>
      </c>
      <c r="L9261" s="7" t="str">
        <f t="shared" si="726"/>
        <v/>
      </c>
      <c r="M9261" s="7" t="str">
        <f t="shared" si="723"/>
        <v/>
      </c>
      <c r="N9261" s="7" t="str">
        <f t="shared" si="727"/>
        <v/>
      </c>
      <c r="O9261" s="8"/>
      <c r="P9261" s="26"/>
      <c r="S9261" s="10" t="str">
        <f t="shared" si="724"/>
        <v/>
      </c>
    </row>
    <row r="9262" spans="5:19" x14ac:dyDescent="0.3">
      <c r="E9262" s="9" t="str">
        <f>IF(DADOS!C9262="","",DADOS!C9262)</f>
        <v/>
      </c>
      <c r="F9262" s="9" t="str">
        <f>IF(DADOS!E9262="","",DADOS!E9262)</f>
        <v/>
      </c>
      <c r="G9262" s="9" t="str">
        <f>IF(DADOS!F9262="","",DADOS!F9262)</f>
        <v/>
      </c>
      <c r="K9262" s="6" t="str">
        <f t="shared" si="725"/>
        <v/>
      </c>
      <c r="L9262" s="7" t="str">
        <f t="shared" si="726"/>
        <v/>
      </c>
      <c r="M9262" s="7" t="str">
        <f t="shared" si="723"/>
        <v/>
      </c>
      <c r="N9262" s="7" t="str">
        <f t="shared" si="727"/>
        <v/>
      </c>
      <c r="O9262" s="8"/>
      <c r="P9262" s="26"/>
      <c r="S9262" s="10" t="str">
        <f t="shared" si="724"/>
        <v/>
      </c>
    </row>
    <row r="9263" spans="5:19" x14ac:dyDescent="0.3">
      <c r="E9263" s="9" t="str">
        <f>IF(DADOS!C9263="","",DADOS!C9263)</f>
        <v/>
      </c>
      <c r="F9263" s="9" t="str">
        <f>IF(DADOS!E9263="","",DADOS!E9263)</f>
        <v/>
      </c>
      <c r="G9263" s="9" t="str">
        <f>IF(DADOS!F9263="","",DADOS!F9263)</f>
        <v/>
      </c>
      <c r="K9263" s="6" t="str">
        <f t="shared" si="725"/>
        <v/>
      </c>
      <c r="L9263" s="7" t="str">
        <f t="shared" si="726"/>
        <v/>
      </c>
      <c r="M9263" s="7" t="str">
        <f t="shared" si="723"/>
        <v/>
      </c>
      <c r="N9263" s="7" t="str">
        <f t="shared" si="727"/>
        <v/>
      </c>
      <c r="O9263" s="8"/>
      <c r="P9263" s="26"/>
      <c r="S9263" s="10" t="str">
        <f t="shared" si="724"/>
        <v/>
      </c>
    </row>
    <row r="9264" spans="5:19" x14ac:dyDescent="0.3">
      <c r="E9264" s="9" t="str">
        <f>IF(DADOS!C9264="","",DADOS!C9264)</f>
        <v/>
      </c>
      <c r="F9264" s="9" t="str">
        <f>IF(DADOS!E9264="","",DADOS!E9264)</f>
        <v/>
      </c>
      <c r="G9264" s="9" t="str">
        <f>IF(DADOS!F9264="","",DADOS!F9264)</f>
        <v/>
      </c>
      <c r="K9264" s="6" t="str">
        <f t="shared" si="725"/>
        <v/>
      </c>
      <c r="L9264" s="7" t="str">
        <f t="shared" si="726"/>
        <v/>
      </c>
      <c r="M9264" s="7" t="str">
        <f t="shared" si="723"/>
        <v/>
      </c>
      <c r="N9264" s="7" t="str">
        <f t="shared" si="727"/>
        <v/>
      </c>
      <c r="O9264" s="8"/>
      <c r="P9264" s="26"/>
      <c r="S9264" s="10" t="str">
        <f t="shared" si="724"/>
        <v/>
      </c>
    </row>
    <row r="9265" spans="5:19" x14ac:dyDescent="0.3">
      <c r="E9265" s="9" t="str">
        <f>IF(DADOS!C9265="","",DADOS!C9265)</f>
        <v/>
      </c>
      <c r="F9265" s="9" t="str">
        <f>IF(DADOS!E9265="","",DADOS!E9265)</f>
        <v/>
      </c>
      <c r="G9265" s="9" t="str">
        <f>IF(DADOS!F9265="","",DADOS!F9265)</f>
        <v/>
      </c>
      <c r="K9265" s="6" t="str">
        <f t="shared" si="725"/>
        <v/>
      </c>
      <c r="L9265" s="7" t="str">
        <f t="shared" si="726"/>
        <v/>
      </c>
      <c r="M9265" s="7" t="str">
        <f t="shared" si="723"/>
        <v/>
      </c>
      <c r="N9265" s="7" t="str">
        <f t="shared" si="727"/>
        <v/>
      </c>
      <c r="O9265" s="8"/>
      <c r="P9265" s="26"/>
      <c r="S9265" s="10" t="str">
        <f t="shared" si="724"/>
        <v/>
      </c>
    </row>
    <row r="9266" spans="5:19" x14ac:dyDescent="0.3">
      <c r="E9266" s="9" t="str">
        <f>IF(DADOS!C9266="","",DADOS!C9266)</f>
        <v/>
      </c>
      <c r="F9266" s="9" t="str">
        <f>IF(DADOS!E9266="","",DADOS!E9266)</f>
        <v/>
      </c>
      <c r="G9266" s="9" t="str">
        <f>IF(DADOS!F9266="","",DADOS!F9266)</f>
        <v/>
      </c>
      <c r="K9266" s="6" t="str">
        <f t="shared" si="725"/>
        <v/>
      </c>
      <c r="L9266" s="7" t="str">
        <f t="shared" si="726"/>
        <v/>
      </c>
      <c r="M9266" s="7" t="str">
        <f t="shared" si="723"/>
        <v/>
      </c>
      <c r="N9266" s="7" t="str">
        <f t="shared" si="727"/>
        <v/>
      </c>
      <c r="O9266" s="8"/>
      <c r="P9266" s="26"/>
      <c r="S9266" s="10" t="str">
        <f t="shared" si="724"/>
        <v/>
      </c>
    </row>
    <row r="9267" spans="5:19" x14ac:dyDescent="0.3">
      <c r="E9267" s="9" t="str">
        <f>IF(DADOS!C9267="","",DADOS!C9267)</f>
        <v/>
      </c>
      <c r="F9267" s="9" t="str">
        <f>IF(DADOS!E9267="","",DADOS!E9267)</f>
        <v/>
      </c>
      <c r="G9267" s="9" t="str">
        <f>IF(DADOS!F9267="","",DADOS!F9267)</f>
        <v/>
      </c>
      <c r="K9267" s="6" t="str">
        <f t="shared" si="725"/>
        <v/>
      </c>
      <c r="L9267" s="7" t="str">
        <f t="shared" si="726"/>
        <v/>
      </c>
      <c r="M9267" s="7" t="str">
        <f t="shared" si="723"/>
        <v/>
      </c>
      <c r="N9267" s="7" t="str">
        <f t="shared" si="727"/>
        <v/>
      </c>
      <c r="O9267" s="8"/>
      <c r="P9267" s="26"/>
      <c r="S9267" s="10" t="str">
        <f t="shared" si="724"/>
        <v/>
      </c>
    </row>
    <row r="9268" spans="5:19" x14ac:dyDescent="0.3">
      <c r="E9268" s="9" t="str">
        <f>IF(DADOS!C9268="","",DADOS!C9268)</f>
        <v/>
      </c>
      <c r="F9268" s="9" t="str">
        <f>IF(DADOS!E9268="","",DADOS!E9268)</f>
        <v/>
      </c>
      <c r="G9268" s="9" t="str">
        <f>IF(DADOS!F9268="","",DADOS!F9268)</f>
        <v/>
      </c>
      <c r="K9268" s="6" t="str">
        <f t="shared" si="725"/>
        <v/>
      </c>
      <c r="L9268" s="7" t="str">
        <f t="shared" si="726"/>
        <v/>
      </c>
      <c r="M9268" s="7" t="str">
        <f t="shared" si="723"/>
        <v/>
      </c>
      <c r="N9268" s="7" t="str">
        <f t="shared" si="727"/>
        <v/>
      </c>
      <c r="O9268" s="8"/>
      <c r="P9268" s="26"/>
      <c r="S9268" s="10" t="str">
        <f t="shared" si="724"/>
        <v/>
      </c>
    </row>
    <row r="9269" spans="5:19" x14ac:dyDescent="0.3">
      <c r="E9269" s="9" t="str">
        <f>IF(DADOS!C9269="","",DADOS!C9269)</f>
        <v/>
      </c>
      <c r="F9269" s="9" t="str">
        <f>IF(DADOS!E9269="","",DADOS!E9269)</f>
        <v/>
      </c>
      <c r="G9269" s="9" t="str">
        <f>IF(DADOS!F9269="","",DADOS!F9269)</f>
        <v/>
      </c>
      <c r="K9269" s="6" t="str">
        <f t="shared" si="725"/>
        <v/>
      </c>
      <c r="L9269" s="7" t="str">
        <f t="shared" si="726"/>
        <v/>
      </c>
      <c r="M9269" s="7" t="str">
        <f t="shared" si="723"/>
        <v/>
      </c>
      <c r="N9269" s="7" t="str">
        <f t="shared" si="727"/>
        <v/>
      </c>
      <c r="O9269" s="8"/>
      <c r="P9269" s="26"/>
      <c r="S9269" s="10" t="str">
        <f t="shared" si="724"/>
        <v/>
      </c>
    </row>
    <row r="9270" spans="5:19" x14ac:dyDescent="0.3">
      <c r="E9270" s="9" t="str">
        <f>IF(DADOS!C9270="","",DADOS!C9270)</f>
        <v/>
      </c>
      <c r="F9270" s="9" t="str">
        <f>IF(DADOS!E9270="","",DADOS!E9270)</f>
        <v/>
      </c>
      <c r="G9270" s="9" t="str">
        <f>IF(DADOS!F9270="","",DADOS!F9270)</f>
        <v/>
      </c>
      <c r="K9270" s="6" t="str">
        <f t="shared" si="725"/>
        <v/>
      </c>
      <c r="L9270" s="7" t="str">
        <f t="shared" si="726"/>
        <v/>
      </c>
      <c r="M9270" s="7" t="str">
        <f t="shared" si="723"/>
        <v/>
      </c>
      <c r="N9270" s="7" t="str">
        <f t="shared" si="727"/>
        <v/>
      </c>
      <c r="O9270" s="8"/>
      <c r="P9270" s="26"/>
      <c r="S9270" s="10" t="str">
        <f t="shared" si="724"/>
        <v/>
      </c>
    </row>
    <row r="9271" spans="5:19" x14ac:dyDescent="0.3">
      <c r="E9271" s="9" t="str">
        <f>IF(DADOS!C9271="","",DADOS!C9271)</f>
        <v/>
      </c>
      <c r="F9271" s="9" t="str">
        <f>IF(DADOS!E9271="","",DADOS!E9271)</f>
        <v/>
      </c>
      <c r="G9271" s="9" t="str">
        <f>IF(DADOS!F9271="","",DADOS!F9271)</f>
        <v/>
      </c>
      <c r="K9271" s="6" t="str">
        <f t="shared" si="725"/>
        <v/>
      </c>
      <c r="L9271" s="7" t="str">
        <f t="shared" si="726"/>
        <v/>
      </c>
      <c r="M9271" s="7" t="str">
        <f t="shared" si="723"/>
        <v/>
      </c>
      <c r="N9271" s="7" t="str">
        <f t="shared" si="727"/>
        <v/>
      </c>
      <c r="O9271" s="8"/>
      <c r="P9271" s="26"/>
      <c r="S9271" s="10" t="str">
        <f t="shared" si="724"/>
        <v/>
      </c>
    </row>
    <row r="9272" spans="5:19" x14ac:dyDescent="0.3">
      <c r="E9272" s="9" t="str">
        <f>IF(DADOS!C9272="","",DADOS!C9272)</f>
        <v/>
      </c>
      <c r="F9272" s="9" t="str">
        <f>IF(DADOS!E9272="","",DADOS!E9272)</f>
        <v/>
      </c>
      <c r="G9272" s="9" t="str">
        <f>IF(DADOS!F9272="","",DADOS!F9272)</f>
        <v/>
      </c>
      <c r="K9272" s="6" t="str">
        <f t="shared" si="725"/>
        <v/>
      </c>
      <c r="L9272" s="7" t="str">
        <f t="shared" si="726"/>
        <v/>
      </c>
      <c r="M9272" s="7" t="str">
        <f t="shared" si="723"/>
        <v/>
      </c>
      <c r="N9272" s="7" t="str">
        <f t="shared" si="727"/>
        <v/>
      </c>
      <c r="O9272" s="8"/>
      <c r="P9272" s="26"/>
      <c r="S9272" s="10" t="str">
        <f t="shared" si="724"/>
        <v/>
      </c>
    </row>
    <row r="9273" spans="5:19" x14ac:dyDescent="0.3">
      <c r="E9273" s="9" t="str">
        <f>IF(DADOS!C9273="","",DADOS!C9273)</f>
        <v/>
      </c>
      <c r="F9273" s="9" t="str">
        <f>IF(DADOS!E9273="","",DADOS!E9273)</f>
        <v/>
      </c>
      <c r="G9273" s="9" t="str">
        <f>IF(DADOS!F9273="","",DADOS!F9273)</f>
        <v/>
      </c>
      <c r="K9273" s="6" t="str">
        <f t="shared" si="725"/>
        <v/>
      </c>
      <c r="L9273" s="7" t="str">
        <f t="shared" si="726"/>
        <v/>
      </c>
      <c r="M9273" s="7" t="str">
        <f t="shared" si="723"/>
        <v/>
      </c>
      <c r="N9273" s="7" t="str">
        <f t="shared" si="727"/>
        <v/>
      </c>
      <c r="O9273" s="8"/>
      <c r="P9273" s="26"/>
      <c r="S9273" s="10" t="str">
        <f t="shared" si="724"/>
        <v/>
      </c>
    </row>
    <row r="9274" spans="5:19" x14ac:dyDescent="0.3">
      <c r="E9274" s="9" t="str">
        <f>IF(DADOS!C9274="","",DADOS!C9274)</f>
        <v/>
      </c>
      <c r="F9274" s="9" t="str">
        <f>IF(DADOS!E9274="","",DADOS!E9274)</f>
        <v/>
      </c>
      <c r="G9274" s="9" t="str">
        <f>IF(DADOS!F9274="","",DADOS!F9274)</f>
        <v/>
      </c>
      <c r="K9274" s="6" t="str">
        <f t="shared" si="725"/>
        <v/>
      </c>
      <c r="L9274" s="7" t="str">
        <f t="shared" si="726"/>
        <v/>
      </c>
      <c r="M9274" s="7" t="str">
        <f t="shared" si="723"/>
        <v/>
      </c>
      <c r="N9274" s="7" t="str">
        <f t="shared" si="727"/>
        <v/>
      </c>
      <c r="O9274" s="8"/>
      <c r="P9274" s="26"/>
      <c r="S9274" s="10" t="str">
        <f t="shared" si="724"/>
        <v/>
      </c>
    </row>
    <row r="9275" spans="5:19" x14ac:dyDescent="0.3">
      <c r="E9275" s="9" t="str">
        <f>IF(DADOS!C9275="","",DADOS!C9275)</f>
        <v/>
      </c>
      <c r="F9275" s="9" t="str">
        <f>IF(DADOS!E9275="","",DADOS!E9275)</f>
        <v/>
      </c>
      <c r="G9275" s="9" t="str">
        <f>IF(DADOS!F9275="","",DADOS!F9275)</f>
        <v/>
      </c>
      <c r="K9275" s="6" t="str">
        <f t="shared" si="725"/>
        <v/>
      </c>
      <c r="L9275" s="7" t="str">
        <f t="shared" si="726"/>
        <v/>
      </c>
      <c r="M9275" s="7" t="str">
        <f t="shared" si="723"/>
        <v/>
      </c>
      <c r="N9275" s="7" t="str">
        <f t="shared" si="727"/>
        <v/>
      </c>
      <c r="O9275" s="8"/>
      <c r="P9275" s="26"/>
      <c r="S9275" s="10" t="str">
        <f t="shared" si="724"/>
        <v/>
      </c>
    </row>
    <row r="9276" spans="5:19" x14ac:dyDescent="0.3">
      <c r="E9276" s="9" t="str">
        <f>IF(DADOS!C9276="","",DADOS!C9276)</f>
        <v/>
      </c>
      <c r="F9276" s="9" t="str">
        <f>IF(DADOS!E9276="","",DADOS!E9276)</f>
        <v/>
      </c>
      <c r="G9276" s="9" t="str">
        <f>IF(DADOS!F9276="","",DADOS!F9276)</f>
        <v/>
      </c>
      <c r="K9276" s="6" t="str">
        <f t="shared" si="725"/>
        <v/>
      </c>
      <c r="L9276" s="7" t="str">
        <f t="shared" si="726"/>
        <v/>
      </c>
      <c r="M9276" s="7" t="str">
        <f t="shared" si="723"/>
        <v/>
      </c>
      <c r="N9276" s="7" t="str">
        <f t="shared" si="727"/>
        <v/>
      </c>
      <c r="O9276" s="8"/>
      <c r="P9276" s="26"/>
      <c r="S9276" s="10" t="str">
        <f t="shared" si="724"/>
        <v/>
      </c>
    </row>
    <row r="9277" spans="5:19" x14ac:dyDescent="0.3">
      <c r="E9277" s="9" t="str">
        <f>IF(DADOS!C9277="","",DADOS!C9277)</f>
        <v/>
      </c>
      <c r="F9277" s="9" t="str">
        <f>IF(DADOS!E9277="","",DADOS!E9277)</f>
        <v/>
      </c>
      <c r="G9277" s="9" t="str">
        <f>IF(DADOS!F9277="","",DADOS!F9277)</f>
        <v/>
      </c>
      <c r="K9277" s="6" t="str">
        <f t="shared" si="725"/>
        <v/>
      </c>
      <c r="L9277" s="7" t="str">
        <f t="shared" si="726"/>
        <v/>
      </c>
      <c r="M9277" s="7" t="str">
        <f t="shared" si="723"/>
        <v/>
      </c>
      <c r="N9277" s="7" t="str">
        <f t="shared" si="727"/>
        <v/>
      </c>
      <c r="O9277" s="8"/>
      <c r="P9277" s="26"/>
      <c r="S9277" s="10" t="str">
        <f t="shared" si="724"/>
        <v/>
      </c>
    </row>
    <row r="9278" spans="5:19" x14ac:dyDescent="0.3">
      <c r="E9278" s="9" t="str">
        <f>IF(DADOS!C9278="","",DADOS!C9278)</f>
        <v/>
      </c>
      <c r="F9278" s="9" t="str">
        <f>IF(DADOS!E9278="","",DADOS!E9278)</f>
        <v/>
      </c>
      <c r="G9278" s="9" t="str">
        <f>IF(DADOS!F9278="","",DADOS!F9278)</f>
        <v/>
      </c>
      <c r="K9278" s="6" t="str">
        <f t="shared" si="725"/>
        <v/>
      </c>
      <c r="L9278" s="7" t="str">
        <f t="shared" si="726"/>
        <v/>
      </c>
      <c r="M9278" s="7" t="str">
        <f t="shared" si="723"/>
        <v/>
      </c>
      <c r="N9278" s="7" t="str">
        <f t="shared" si="727"/>
        <v/>
      </c>
      <c r="O9278" s="8"/>
      <c r="P9278" s="26"/>
      <c r="S9278" s="10" t="str">
        <f t="shared" si="724"/>
        <v/>
      </c>
    </row>
    <row r="9279" spans="5:19" x14ac:dyDescent="0.3">
      <c r="E9279" s="9" t="str">
        <f>IF(DADOS!C9279="","",DADOS!C9279)</f>
        <v/>
      </c>
      <c r="F9279" s="9" t="str">
        <f>IF(DADOS!E9279="","",DADOS!E9279)</f>
        <v/>
      </c>
      <c r="G9279" s="9" t="str">
        <f>IF(DADOS!F9279="","",DADOS!F9279)</f>
        <v/>
      </c>
      <c r="K9279" s="6" t="str">
        <f t="shared" si="725"/>
        <v/>
      </c>
      <c r="L9279" s="7" t="str">
        <f t="shared" si="726"/>
        <v/>
      </c>
      <c r="M9279" s="7" t="str">
        <f t="shared" si="723"/>
        <v/>
      </c>
      <c r="N9279" s="7" t="str">
        <f t="shared" si="727"/>
        <v/>
      </c>
      <c r="O9279" s="8"/>
      <c r="P9279" s="26"/>
      <c r="S9279" s="10" t="str">
        <f t="shared" si="724"/>
        <v/>
      </c>
    </row>
    <row r="9280" spans="5:19" x14ac:dyDescent="0.3">
      <c r="E9280" s="9" t="str">
        <f>IF(DADOS!C9280="","",DADOS!C9280)</f>
        <v/>
      </c>
      <c r="F9280" s="9" t="str">
        <f>IF(DADOS!E9280="","",DADOS!E9280)</f>
        <v/>
      </c>
      <c r="G9280" s="9" t="str">
        <f>IF(DADOS!F9280="","",DADOS!F9280)</f>
        <v/>
      </c>
      <c r="K9280" s="6" t="str">
        <f t="shared" si="725"/>
        <v/>
      </c>
      <c r="L9280" s="7" t="str">
        <f t="shared" si="726"/>
        <v/>
      </c>
      <c r="M9280" s="7" t="str">
        <f t="shared" si="723"/>
        <v/>
      </c>
      <c r="N9280" s="7" t="str">
        <f t="shared" si="727"/>
        <v/>
      </c>
      <c r="O9280" s="8"/>
      <c r="P9280" s="26"/>
      <c r="S9280" s="10" t="str">
        <f t="shared" si="724"/>
        <v/>
      </c>
    </row>
    <row r="9281" spans="5:19" x14ac:dyDescent="0.3">
      <c r="E9281" s="9" t="str">
        <f>IF(DADOS!C9281="","",DADOS!C9281)</f>
        <v/>
      </c>
      <c r="F9281" s="9" t="str">
        <f>IF(DADOS!E9281="","",DADOS!E9281)</f>
        <v/>
      </c>
      <c r="G9281" s="9" t="str">
        <f>IF(DADOS!F9281="","",DADOS!F9281)</f>
        <v/>
      </c>
      <c r="K9281" s="6" t="str">
        <f t="shared" si="725"/>
        <v/>
      </c>
      <c r="L9281" s="7" t="str">
        <f t="shared" si="726"/>
        <v/>
      </c>
      <c r="M9281" s="7" t="str">
        <f t="shared" si="723"/>
        <v/>
      </c>
      <c r="N9281" s="7" t="str">
        <f t="shared" si="727"/>
        <v/>
      </c>
      <c r="O9281" s="8"/>
      <c r="P9281" s="26"/>
      <c r="S9281" s="10" t="str">
        <f t="shared" si="724"/>
        <v/>
      </c>
    </row>
    <row r="9282" spans="5:19" x14ac:dyDescent="0.3">
      <c r="E9282" s="9" t="str">
        <f>IF(DADOS!C9282="","",DADOS!C9282)</f>
        <v/>
      </c>
      <c r="F9282" s="9" t="str">
        <f>IF(DADOS!E9282="","",DADOS!E9282)</f>
        <v/>
      </c>
      <c r="G9282" s="9" t="str">
        <f>IF(DADOS!F9282="","",DADOS!F9282)</f>
        <v/>
      </c>
      <c r="K9282" s="6" t="str">
        <f t="shared" si="725"/>
        <v/>
      </c>
      <c r="L9282" s="7" t="str">
        <f t="shared" si="726"/>
        <v/>
      </c>
      <c r="M9282" s="7" t="str">
        <f t="shared" si="723"/>
        <v/>
      </c>
      <c r="N9282" s="7" t="str">
        <f t="shared" si="727"/>
        <v/>
      </c>
      <c r="O9282" s="8"/>
      <c r="P9282" s="26"/>
      <c r="S9282" s="10" t="str">
        <f t="shared" si="724"/>
        <v/>
      </c>
    </row>
    <row r="9283" spans="5:19" x14ac:dyDescent="0.3">
      <c r="E9283" s="9" t="str">
        <f>IF(DADOS!C9283="","",DADOS!C9283)</f>
        <v/>
      </c>
      <c r="F9283" s="9" t="str">
        <f>IF(DADOS!E9283="","",DADOS!E9283)</f>
        <v/>
      </c>
      <c r="G9283" s="9" t="str">
        <f>IF(DADOS!F9283="","",DADOS!F9283)</f>
        <v/>
      </c>
      <c r="K9283" s="6" t="str">
        <f t="shared" si="725"/>
        <v/>
      </c>
      <c r="L9283" s="7" t="str">
        <f t="shared" si="726"/>
        <v/>
      </c>
      <c r="M9283" s="7" t="str">
        <f t="shared" ref="M9283:M9346" si="728">IF(L9283="","",L9283*G9283)</f>
        <v/>
      </c>
      <c r="N9283" s="7" t="str">
        <f t="shared" si="727"/>
        <v/>
      </c>
      <c r="O9283" s="8"/>
      <c r="P9283" s="26"/>
      <c r="S9283" s="10" t="str">
        <f t="shared" ref="S9283:S9346" si="729">IF(R9283="","",SUMIFS($N$3:$N$10000,$E$3:$E$10000,R9283))</f>
        <v/>
      </c>
    </row>
    <row r="9284" spans="5:19" x14ac:dyDescent="0.3">
      <c r="E9284" s="9" t="str">
        <f>IF(DADOS!C9284="","",DADOS!C9284)</f>
        <v/>
      </c>
      <c r="F9284" s="9" t="str">
        <f>IF(DADOS!E9284="","",DADOS!E9284)</f>
        <v/>
      </c>
      <c r="G9284" s="9" t="str">
        <f>IF(DADOS!F9284="","",DADOS!F9284)</f>
        <v/>
      </c>
      <c r="K9284" s="6" t="str">
        <f t="shared" ref="K9284:K9347" si="730">IF(F9284="","",F9284/PI())</f>
        <v/>
      </c>
      <c r="L9284" s="7" t="str">
        <f t="shared" ref="L9284:L9347" si="731">IF(K9284="","",(PI()*K9284^2)/40000)</f>
        <v/>
      </c>
      <c r="M9284" s="7" t="str">
        <f t="shared" si="728"/>
        <v/>
      </c>
      <c r="N9284" s="7" t="str">
        <f t="shared" ref="N9284:N9347" si="732">IF(M9284="","",M9284*N$1)</f>
        <v/>
      </c>
      <c r="O9284" s="8"/>
      <c r="P9284" s="26"/>
      <c r="S9284" s="10" t="str">
        <f t="shared" si="729"/>
        <v/>
      </c>
    </row>
    <row r="9285" spans="5:19" x14ac:dyDescent="0.3">
      <c r="E9285" s="9" t="str">
        <f>IF(DADOS!C9285="","",DADOS!C9285)</f>
        <v/>
      </c>
      <c r="F9285" s="9" t="str">
        <f>IF(DADOS!E9285="","",DADOS!E9285)</f>
        <v/>
      </c>
      <c r="G9285" s="9" t="str">
        <f>IF(DADOS!F9285="","",DADOS!F9285)</f>
        <v/>
      </c>
      <c r="K9285" s="6" t="str">
        <f t="shared" si="730"/>
        <v/>
      </c>
      <c r="L9285" s="7" t="str">
        <f t="shared" si="731"/>
        <v/>
      </c>
      <c r="M9285" s="7" t="str">
        <f t="shared" si="728"/>
        <v/>
      </c>
      <c r="N9285" s="7" t="str">
        <f t="shared" si="732"/>
        <v/>
      </c>
      <c r="O9285" s="8"/>
      <c r="P9285" s="26"/>
      <c r="S9285" s="10" t="str">
        <f t="shared" si="729"/>
        <v/>
      </c>
    </row>
    <row r="9286" spans="5:19" x14ac:dyDescent="0.3">
      <c r="E9286" s="9" t="str">
        <f>IF(DADOS!C9286="","",DADOS!C9286)</f>
        <v/>
      </c>
      <c r="F9286" s="9" t="str">
        <f>IF(DADOS!E9286="","",DADOS!E9286)</f>
        <v/>
      </c>
      <c r="G9286" s="9" t="str">
        <f>IF(DADOS!F9286="","",DADOS!F9286)</f>
        <v/>
      </c>
      <c r="K9286" s="6" t="str">
        <f t="shared" si="730"/>
        <v/>
      </c>
      <c r="L9286" s="7" t="str">
        <f t="shared" si="731"/>
        <v/>
      </c>
      <c r="M9286" s="7" t="str">
        <f t="shared" si="728"/>
        <v/>
      </c>
      <c r="N9286" s="7" t="str">
        <f t="shared" si="732"/>
        <v/>
      </c>
      <c r="O9286" s="8"/>
      <c r="P9286" s="26"/>
      <c r="S9286" s="10" t="str">
        <f t="shared" si="729"/>
        <v/>
      </c>
    </row>
    <row r="9287" spans="5:19" x14ac:dyDescent="0.3">
      <c r="E9287" s="9" t="str">
        <f>IF(DADOS!C9287="","",DADOS!C9287)</f>
        <v/>
      </c>
      <c r="F9287" s="9" t="str">
        <f>IF(DADOS!E9287="","",DADOS!E9287)</f>
        <v/>
      </c>
      <c r="G9287" s="9" t="str">
        <f>IF(DADOS!F9287="","",DADOS!F9287)</f>
        <v/>
      </c>
      <c r="K9287" s="6" t="str">
        <f t="shared" si="730"/>
        <v/>
      </c>
      <c r="L9287" s="7" t="str">
        <f t="shared" si="731"/>
        <v/>
      </c>
      <c r="M9287" s="7" t="str">
        <f t="shared" si="728"/>
        <v/>
      </c>
      <c r="N9287" s="7" t="str">
        <f t="shared" si="732"/>
        <v/>
      </c>
      <c r="O9287" s="8"/>
      <c r="P9287" s="26"/>
      <c r="S9287" s="10" t="str">
        <f t="shared" si="729"/>
        <v/>
      </c>
    </row>
    <row r="9288" spans="5:19" x14ac:dyDescent="0.3">
      <c r="E9288" s="9" t="str">
        <f>IF(DADOS!C9288="","",DADOS!C9288)</f>
        <v/>
      </c>
      <c r="F9288" s="9" t="str">
        <f>IF(DADOS!E9288="","",DADOS!E9288)</f>
        <v/>
      </c>
      <c r="G9288" s="9" t="str">
        <f>IF(DADOS!F9288="","",DADOS!F9288)</f>
        <v/>
      </c>
      <c r="K9288" s="6" t="str">
        <f t="shared" si="730"/>
        <v/>
      </c>
      <c r="L9288" s="7" t="str">
        <f t="shared" si="731"/>
        <v/>
      </c>
      <c r="M9288" s="7" t="str">
        <f t="shared" si="728"/>
        <v/>
      </c>
      <c r="N9288" s="7" t="str">
        <f t="shared" si="732"/>
        <v/>
      </c>
      <c r="O9288" s="8"/>
      <c r="P9288" s="26"/>
      <c r="S9288" s="10" t="str">
        <f t="shared" si="729"/>
        <v/>
      </c>
    </row>
    <row r="9289" spans="5:19" x14ac:dyDescent="0.3">
      <c r="E9289" s="9" t="str">
        <f>IF(DADOS!C9289="","",DADOS!C9289)</f>
        <v/>
      </c>
      <c r="F9289" s="9" t="str">
        <f>IF(DADOS!E9289="","",DADOS!E9289)</f>
        <v/>
      </c>
      <c r="G9289" s="9" t="str">
        <f>IF(DADOS!F9289="","",DADOS!F9289)</f>
        <v/>
      </c>
      <c r="K9289" s="6" t="str">
        <f t="shared" si="730"/>
        <v/>
      </c>
      <c r="L9289" s="7" t="str">
        <f t="shared" si="731"/>
        <v/>
      </c>
      <c r="M9289" s="7" t="str">
        <f t="shared" si="728"/>
        <v/>
      </c>
      <c r="N9289" s="7" t="str">
        <f t="shared" si="732"/>
        <v/>
      </c>
      <c r="O9289" s="8"/>
      <c r="P9289" s="26"/>
      <c r="S9289" s="10" t="str">
        <f t="shared" si="729"/>
        <v/>
      </c>
    </row>
    <row r="9290" spans="5:19" x14ac:dyDescent="0.3">
      <c r="E9290" s="9" t="str">
        <f>IF(DADOS!C9290="","",DADOS!C9290)</f>
        <v/>
      </c>
      <c r="F9290" s="9" t="str">
        <f>IF(DADOS!E9290="","",DADOS!E9290)</f>
        <v/>
      </c>
      <c r="G9290" s="9" t="str">
        <f>IF(DADOS!F9290="","",DADOS!F9290)</f>
        <v/>
      </c>
      <c r="K9290" s="6" t="str">
        <f t="shared" si="730"/>
        <v/>
      </c>
      <c r="L9290" s="7" t="str">
        <f t="shared" si="731"/>
        <v/>
      </c>
      <c r="M9290" s="7" t="str">
        <f t="shared" si="728"/>
        <v/>
      </c>
      <c r="N9290" s="7" t="str">
        <f t="shared" si="732"/>
        <v/>
      </c>
      <c r="O9290" s="8"/>
      <c r="P9290" s="26"/>
      <c r="S9290" s="10" t="str">
        <f t="shared" si="729"/>
        <v/>
      </c>
    </row>
    <row r="9291" spans="5:19" x14ac:dyDescent="0.3">
      <c r="E9291" s="9" t="str">
        <f>IF(DADOS!C9291="","",DADOS!C9291)</f>
        <v/>
      </c>
      <c r="F9291" s="9" t="str">
        <f>IF(DADOS!E9291="","",DADOS!E9291)</f>
        <v/>
      </c>
      <c r="G9291" s="9" t="str">
        <f>IF(DADOS!F9291="","",DADOS!F9291)</f>
        <v/>
      </c>
      <c r="K9291" s="6" t="str">
        <f t="shared" si="730"/>
        <v/>
      </c>
      <c r="L9291" s="7" t="str">
        <f t="shared" si="731"/>
        <v/>
      </c>
      <c r="M9291" s="7" t="str">
        <f t="shared" si="728"/>
        <v/>
      </c>
      <c r="N9291" s="7" t="str">
        <f t="shared" si="732"/>
        <v/>
      </c>
      <c r="O9291" s="8"/>
      <c r="P9291" s="26"/>
      <c r="S9291" s="10" t="str">
        <f t="shared" si="729"/>
        <v/>
      </c>
    </row>
    <row r="9292" spans="5:19" x14ac:dyDescent="0.3">
      <c r="E9292" s="9" t="str">
        <f>IF(DADOS!C9292="","",DADOS!C9292)</f>
        <v/>
      </c>
      <c r="F9292" s="9" t="str">
        <f>IF(DADOS!E9292="","",DADOS!E9292)</f>
        <v/>
      </c>
      <c r="G9292" s="9" t="str">
        <f>IF(DADOS!F9292="","",DADOS!F9292)</f>
        <v/>
      </c>
      <c r="K9292" s="6" t="str">
        <f t="shared" si="730"/>
        <v/>
      </c>
      <c r="L9292" s="7" t="str">
        <f t="shared" si="731"/>
        <v/>
      </c>
      <c r="M9292" s="7" t="str">
        <f t="shared" si="728"/>
        <v/>
      </c>
      <c r="N9292" s="7" t="str">
        <f t="shared" si="732"/>
        <v/>
      </c>
      <c r="O9292" s="8"/>
      <c r="P9292" s="26"/>
      <c r="S9292" s="10" t="str">
        <f t="shared" si="729"/>
        <v/>
      </c>
    </row>
    <row r="9293" spans="5:19" x14ac:dyDescent="0.3">
      <c r="E9293" s="9" t="str">
        <f>IF(DADOS!C9293="","",DADOS!C9293)</f>
        <v/>
      </c>
      <c r="F9293" s="9" t="str">
        <f>IF(DADOS!E9293="","",DADOS!E9293)</f>
        <v/>
      </c>
      <c r="G9293" s="9" t="str">
        <f>IF(DADOS!F9293="","",DADOS!F9293)</f>
        <v/>
      </c>
      <c r="K9293" s="6" t="str">
        <f t="shared" si="730"/>
        <v/>
      </c>
      <c r="L9293" s="7" t="str">
        <f t="shared" si="731"/>
        <v/>
      </c>
      <c r="M9293" s="7" t="str">
        <f t="shared" si="728"/>
        <v/>
      </c>
      <c r="N9293" s="7" t="str">
        <f t="shared" si="732"/>
        <v/>
      </c>
      <c r="O9293" s="8"/>
      <c r="P9293" s="26"/>
      <c r="S9293" s="10" t="str">
        <f t="shared" si="729"/>
        <v/>
      </c>
    </row>
    <row r="9294" spans="5:19" x14ac:dyDescent="0.3">
      <c r="E9294" s="9" t="str">
        <f>IF(DADOS!C9294="","",DADOS!C9294)</f>
        <v/>
      </c>
      <c r="F9294" s="9" t="str">
        <f>IF(DADOS!E9294="","",DADOS!E9294)</f>
        <v/>
      </c>
      <c r="G9294" s="9" t="str">
        <f>IF(DADOS!F9294="","",DADOS!F9294)</f>
        <v/>
      </c>
      <c r="K9294" s="6" t="str">
        <f t="shared" si="730"/>
        <v/>
      </c>
      <c r="L9294" s="7" t="str">
        <f t="shared" si="731"/>
        <v/>
      </c>
      <c r="M9294" s="7" t="str">
        <f t="shared" si="728"/>
        <v/>
      </c>
      <c r="N9294" s="7" t="str">
        <f t="shared" si="732"/>
        <v/>
      </c>
      <c r="O9294" s="8"/>
      <c r="P9294" s="26"/>
      <c r="S9294" s="10" t="str">
        <f t="shared" si="729"/>
        <v/>
      </c>
    </row>
    <row r="9295" spans="5:19" x14ac:dyDescent="0.3">
      <c r="E9295" s="9" t="str">
        <f>IF(DADOS!C9295="","",DADOS!C9295)</f>
        <v/>
      </c>
      <c r="F9295" s="9" t="str">
        <f>IF(DADOS!E9295="","",DADOS!E9295)</f>
        <v/>
      </c>
      <c r="G9295" s="9" t="str">
        <f>IF(DADOS!F9295="","",DADOS!F9295)</f>
        <v/>
      </c>
      <c r="K9295" s="6" t="str">
        <f t="shared" si="730"/>
        <v/>
      </c>
      <c r="L9295" s="7" t="str">
        <f t="shared" si="731"/>
        <v/>
      </c>
      <c r="M9295" s="7" t="str">
        <f t="shared" si="728"/>
        <v/>
      </c>
      <c r="N9295" s="7" t="str">
        <f t="shared" si="732"/>
        <v/>
      </c>
      <c r="O9295" s="8"/>
      <c r="P9295" s="26"/>
      <c r="S9295" s="10" t="str">
        <f t="shared" si="729"/>
        <v/>
      </c>
    </row>
    <row r="9296" spans="5:19" x14ac:dyDescent="0.3">
      <c r="E9296" s="9" t="str">
        <f>IF(DADOS!C9296="","",DADOS!C9296)</f>
        <v/>
      </c>
      <c r="F9296" s="9" t="str">
        <f>IF(DADOS!E9296="","",DADOS!E9296)</f>
        <v/>
      </c>
      <c r="G9296" s="9" t="str">
        <f>IF(DADOS!F9296="","",DADOS!F9296)</f>
        <v/>
      </c>
      <c r="K9296" s="6" t="str">
        <f t="shared" si="730"/>
        <v/>
      </c>
      <c r="L9296" s="7" t="str">
        <f t="shared" si="731"/>
        <v/>
      </c>
      <c r="M9296" s="7" t="str">
        <f t="shared" si="728"/>
        <v/>
      </c>
      <c r="N9296" s="7" t="str">
        <f t="shared" si="732"/>
        <v/>
      </c>
      <c r="O9296" s="8"/>
      <c r="P9296" s="26"/>
      <c r="S9296" s="10" t="str">
        <f t="shared" si="729"/>
        <v/>
      </c>
    </row>
    <row r="9297" spans="5:19" x14ac:dyDescent="0.3">
      <c r="E9297" s="9" t="str">
        <f>IF(DADOS!C9297="","",DADOS!C9297)</f>
        <v/>
      </c>
      <c r="F9297" s="9" t="str">
        <f>IF(DADOS!E9297="","",DADOS!E9297)</f>
        <v/>
      </c>
      <c r="G9297" s="9" t="str">
        <f>IF(DADOS!F9297="","",DADOS!F9297)</f>
        <v/>
      </c>
      <c r="K9297" s="6" t="str">
        <f t="shared" si="730"/>
        <v/>
      </c>
      <c r="L9297" s="7" t="str">
        <f t="shared" si="731"/>
        <v/>
      </c>
      <c r="M9297" s="7" t="str">
        <f t="shared" si="728"/>
        <v/>
      </c>
      <c r="N9297" s="7" t="str">
        <f t="shared" si="732"/>
        <v/>
      </c>
      <c r="O9297" s="8"/>
      <c r="P9297" s="26"/>
      <c r="S9297" s="10" t="str">
        <f t="shared" si="729"/>
        <v/>
      </c>
    </row>
    <row r="9298" spans="5:19" x14ac:dyDescent="0.3">
      <c r="E9298" s="9" t="str">
        <f>IF(DADOS!C9298="","",DADOS!C9298)</f>
        <v/>
      </c>
      <c r="F9298" s="9" t="str">
        <f>IF(DADOS!E9298="","",DADOS!E9298)</f>
        <v/>
      </c>
      <c r="G9298" s="9" t="str">
        <f>IF(DADOS!F9298="","",DADOS!F9298)</f>
        <v/>
      </c>
      <c r="K9298" s="6" t="str">
        <f t="shared" si="730"/>
        <v/>
      </c>
      <c r="L9298" s="7" t="str">
        <f t="shared" si="731"/>
        <v/>
      </c>
      <c r="M9298" s="7" t="str">
        <f t="shared" si="728"/>
        <v/>
      </c>
      <c r="N9298" s="7" t="str">
        <f t="shared" si="732"/>
        <v/>
      </c>
      <c r="O9298" s="8"/>
      <c r="P9298" s="26"/>
      <c r="S9298" s="10" t="str">
        <f t="shared" si="729"/>
        <v/>
      </c>
    </row>
    <row r="9299" spans="5:19" x14ac:dyDescent="0.3">
      <c r="E9299" s="9" t="str">
        <f>IF(DADOS!C9299="","",DADOS!C9299)</f>
        <v/>
      </c>
      <c r="F9299" s="9" t="str">
        <f>IF(DADOS!E9299="","",DADOS!E9299)</f>
        <v/>
      </c>
      <c r="G9299" s="9" t="str">
        <f>IF(DADOS!F9299="","",DADOS!F9299)</f>
        <v/>
      </c>
      <c r="K9299" s="6" t="str">
        <f t="shared" si="730"/>
        <v/>
      </c>
      <c r="L9299" s="7" t="str">
        <f t="shared" si="731"/>
        <v/>
      </c>
      <c r="M9299" s="7" t="str">
        <f t="shared" si="728"/>
        <v/>
      </c>
      <c r="N9299" s="7" t="str">
        <f t="shared" si="732"/>
        <v/>
      </c>
      <c r="O9299" s="8"/>
      <c r="P9299" s="26"/>
      <c r="S9299" s="10" t="str">
        <f t="shared" si="729"/>
        <v/>
      </c>
    </row>
    <row r="9300" spans="5:19" x14ac:dyDescent="0.3">
      <c r="E9300" s="9" t="str">
        <f>IF(DADOS!C9300="","",DADOS!C9300)</f>
        <v/>
      </c>
      <c r="F9300" s="9" t="str">
        <f>IF(DADOS!E9300="","",DADOS!E9300)</f>
        <v/>
      </c>
      <c r="G9300" s="9" t="str">
        <f>IF(DADOS!F9300="","",DADOS!F9300)</f>
        <v/>
      </c>
      <c r="K9300" s="6" t="str">
        <f t="shared" si="730"/>
        <v/>
      </c>
      <c r="L9300" s="7" t="str">
        <f t="shared" si="731"/>
        <v/>
      </c>
      <c r="M9300" s="7" t="str">
        <f t="shared" si="728"/>
        <v/>
      </c>
      <c r="N9300" s="7" t="str">
        <f t="shared" si="732"/>
        <v/>
      </c>
      <c r="O9300" s="8"/>
      <c r="P9300" s="26"/>
      <c r="S9300" s="10" t="str">
        <f t="shared" si="729"/>
        <v/>
      </c>
    </row>
    <row r="9301" spans="5:19" x14ac:dyDescent="0.3">
      <c r="E9301" s="9" t="str">
        <f>IF(DADOS!C9301="","",DADOS!C9301)</f>
        <v/>
      </c>
      <c r="F9301" s="9" t="str">
        <f>IF(DADOS!E9301="","",DADOS!E9301)</f>
        <v/>
      </c>
      <c r="G9301" s="9" t="str">
        <f>IF(DADOS!F9301="","",DADOS!F9301)</f>
        <v/>
      </c>
      <c r="K9301" s="6" t="str">
        <f t="shared" si="730"/>
        <v/>
      </c>
      <c r="L9301" s="7" t="str">
        <f t="shared" si="731"/>
        <v/>
      </c>
      <c r="M9301" s="7" t="str">
        <f t="shared" si="728"/>
        <v/>
      </c>
      <c r="N9301" s="7" t="str">
        <f t="shared" si="732"/>
        <v/>
      </c>
      <c r="O9301" s="8"/>
      <c r="P9301" s="26"/>
      <c r="S9301" s="10" t="str">
        <f t="shared" si="729"/>
        <v/>
      </c>
    </row>
    <row r="9302" spans="5:19" x14ac:dyDescent="0.3">
      <c r="E9302" s="9" t="str">
        <f>IF(DADOS!C9302="","",DADOS!C9302)</f>
        <v/>
      </c>
      <c r="F9302" s="9" t="str">
        <f>IF(DADOS!E9302="","",DADOS!E9302)</f>
        <v/>
      </c>
      <c r="G9302" s="9" t="str">
        <f>IF(DADOS!F9302="","",DADOS!F9302)</f>
        <v/>
      </c>
      <c r="K9302" s="6" t="str">
        <f t="shared" si="730"/>
        <v/>
      </c>
      <c r="L9302" s="7" t="str">
        <f t="shared" si="731"/>
        <v/>
      </c>
      <c r="M9302" s="7" t="str">
        <f t="shared" si="728"/>
        <v/>
      </c>
      <c r="N9302" s="7" t="str">
        <f t="shared" si="732"/>
        <v/>
      </c>
      <c r="O9302" s="8"/>
      <c r="P9302" s="26"/>
      <c r="S9302" s="10" t="str">
        <f t="shared" si="729"/>
        <v/>
      </c>
    </row>
    <row r="9303" spans="5:19" x14ac:dyDescent="0.3">
      <c r="E9303" s="9" t="str">
        <f>IF(DADOS!C9303="","",DADOS!C9303)</f>
        <v/>
      </c>
      <c r="F9303" s="9" t="str">
        <f>IF(DADOS!E9303="","",DADOS!E9303)</f>
        <v/>
      </c>
      <c r="G9303" s="9" t="str">
        <f>IF(DADOS!F9303="","",DADOS!F9303)</f>
        <v/>
      </c>
      <c r="K9303" s="6" t="str">
        <f t="shared" si="730"/>
        <v/>
      </c>
      <c r="L9303" s="7" t="str">
        <f t="shared" si="731"/>
        <v/>
      </c>
      <c r="M9303" s="7" t="str">
        <f t="shared" si="728"/>
        <v/>
      </c>
      <c r="N9303" s="7" t="str">
        <f t="shared" si="732"/>
        <v/>
      </c>
      <c r="O9303" s="8"/>
      <c r="P9303" s="26"/>
      <c r="S9303" s="10" t="str">
        <f t="shared" si="729"/>
        <v/>
      </c>
    </row>
    <row r="9304" spans="5:19" x14ac:dyDescent="0.3">
      <c r="E9304" s="9" t="str">
        <f>IF(DADOS!C9304="","",DADOS!C9304)</f>
        <v/>
      </c>
      <c r="F9304" s="9" t="str">
        <f>IF(DADOS!E9304="","",DADOS!E9304)</f>
        <v/>
      </c>
      <c r="G9304" s="9" t="str">
        <f>IF(DADOS!F9304="","",DADOS!F9304)</f>
        <v/>
      </c>
      <c r="K9304" s="6" t="str">
        <f t="shared" si="730"/>
        <v/>
      </c>
      <c r="L9304" s="7" t="str">
        <f t="shared" si="731"/>
        <v/>
      </c>
      <c r="M9304" s="7" t="str">
        <f t="shared" si="728"/>
        <v/>
      </c>
      <c r="N9304" s="7" t="str">
        <f t="shared" si="732"/>
        <v/>
      </c>
      <c r="O9304" s="8"/>
      <c r="P9304" s="26"/>
      <c r="S9304" s="10" t="str">
        <f t="shared" si="729"/>
        <v/>
      </c>
    </row>
    <row r="9305" spans="5:19" x14ac:dyDescent="0.3">
      <c r="E9305" s="9" t="str">
        <f>IF(DADOS!C9305="","",DADOS!C9305)</f>
        <v/>
      </c>
      <c r="F9305" s="9" t="str">
        <f>IF(DADOS!E9305="","",DADOS!E9305)</f>
        <v/>
      </c>
      <c r="G9305" s="9" t="str">
        <f>IF(DADOS!F9305="","",DADOS!F9305)</f>
        <v/>
      </c>
      <c r="K9305" s="6" t="str">
        <f t="shared" si="730"/>
        <v/>
      </c>
      <c r="L9305" s="7" t="str">
        <f t="shared" si="731"/>
        <v/>
      </c>
      <c r="M9305" s="7" t="str">
        <f t="shared" si="728"/>
        <v/>
      </c>
      <c r="N9305" s="7" t="str">
        <f t="shared" si="732"/>
        <v/>
      </c>
      <c r="O9305" s="8"/>
      <c r="P9305" s="26"/>
      <c r="S9305" s="10" t="str">
        <f t="shared" si="729"/>
        <v/>
      </c>
    </row>
    <row r="9306" spans="5:19" x14ac:dyDescent="0.3">
      <c r="E9306" s="9" t="str">
        <f>IF(DADOS!C9306="","",DADOS!C9306)</f>
        <v/>
      </c>
      <c r="F9306" s="9" t="str">
        <f>IF(DADOS!E9306="","",DADOS!E9306)</f>
        <v/>
      </c>
      <c r="G9306" s="9" t="str">
        <f>IF(DADOS!F9306="","",DADOS!F9306)</f>
        <v/>
      </c>
      <c r="K9306" s="6" t="str">
        <f t="shared" si="730"/>
        <v/>
      </c>
      <c r="L9306" s="7" t="str">
        <f t="shared" si="731"/>
        <v/>
      </c>
      <c r="M9306" s="7" t="str">
        <f t="shared" si="728"/>
        <v/>
      </c>
      <c r="N9306" s="7" t="str">
        <f t="shared" si="732"/>
        <v/>
      </c>
      <c r="O9306" s="8"/>
      <c r="P9306" s="26"/>
      <c r="S9306" s="10" t="str">
        <f t="shared" si="729"/>
        <v/>
      </c>
    </row>
    <row r="9307" spans="5:19" x14ac:dyDescent="0.3">
      <c r="E9307" s="9" t="str">
        <f>IF(DADOS!C9307="","",DADOS!C9307)</f>
        <v/>
      </c>
      <c r="F9307" s="9" t="str">
        <f>IF(DADOS!E9307="","",DADOS!E9307)</f>
        <v/>
      </c>
      <c r="G9307" s="9" t="str">
        <f>IF(DADOS!F9307="","",DADOS!F9307)</f>
        <v/>
      </c>
      <c r="K9307" s="6" t="str">
        <f t="shared" si="730"/>
        <v/>
      </c>
      <c r="L9307" s="7" t="str">
        <f t="shared" si="731"/>
        <v/>
      </c>
      <c r="M9307" s="7" t="str">
        <f t="shared" si="728"/>
        <v/>
      </c>
      <c r="N9307" s="7" t="str">
        <f t="shared" si="732"/>
        <v/>
      </c>
      <c r="O9307" s="8"/>
      <c r="P9307" s="26"/>
      <c r="S9307" s="10" t="str">
        <f t="shared" si="729"/>
        <v/>
      </c>
    </row>
    <row r="9308" spans="5:19" x14ac:dyDescent="0.3">
      <c r="E9308" s="9" t="str">
        <f>IF(DADOS!C9308="","",DADOS!C9308)</f>
        <v/>
      </c>
      <c r="F9308" s="9" t="str">
        <f>IF(DADOS!E9308="","",DADOS!E9308)</f>
        <v/>
      </c>
      <c r="G9308" s="9" t="str">
        <f>IF(DADOS!F9308="","",DADOS!F9308)</f>
        <v/>
      </c>
      <c r="K9308" s="6" t="str">
        <f t="shared" si="730"/>
        <v/>
      </c>
      <c r="L9308" s="7" t="str">
        <f t="shared" si="731"/>
        <v/>
      </c>
      <c r="M9308" s="7" t="str">
        <f t="shared" si="728"/>
        <v/>
      </c>
      <c r="N9308" s="7" t="str">
        <f t="shared" si="732"/>
        <v/>
      </c>
      <c r="O9308" s="8"/>
      <c r="P9308" s="26"/>
      <c r="S9308" s="10" t="str">
        <f t="shared" si="729"/>
        <v/>
      </c>
    </row>
    <row r="9309" spans="5:19" x14ac:dyDescent="0.3">
      <c r="E9309" s="9" t="str">
        <f>IF(DADOS!C9309="","",DADOS!C9309)</f>
        <v/>
      </c>
      <c r="F9309" s="9" t="str">
        <f>IF(DADOS!E9309="","",DADOS!E9309)</f>
        <v/>
      </c>
      <c r="G9309" s="9" t="str">
        <f>IF(DADOS!F9309="","",DADOS!F9309)</f>
        <v/>
      </c>
      <c r="K9309" s="6" t="str">
        <f t="shared" si="730"/>
        <v/>
      </c>
      <c r="L9309" s="7" t="str">
        <f t="shared" si="731"/>
        <v/>
      </c>
      <c r="M9309" s="7" t="str">
        <f t="shared" si="728"/>
        <v/>
      </c>
      <c r="N9309" s="7" t="str">
        <f t="shared" si="732"/>
        <v/>
      </c>
      <c r="O9309" s="8"/>
      <c r="P9309" s="26"/>
      <c r="S9309" s="10" t="str">
        <f t="shared" si="729"/>
        <v/>
      </c>
    </row>
    <row r="9310" spans="5:19" x14ac:dyDescent="0.3">
      <c r="E9310" s="9" t="str">
        <f>IF(DADOS!C9310="","",DADOS!C9310)</f>
        <v/>
      </c>
      <c r="F9310" s="9" t="str">
        <f>IF(DADOS!E9310="","",DADOS!E9310)</f>
        <v/>
      </c>
      <c r="G9310" s="9" t="str">
        <f>IF(DADOS!F9310="","",DADOS!F9310)</f>
        <v/>
      </c>
      <c r="K9310" s="6" t="str">
        <f t="shared" si="730"/>
        <v/>
      </c>
      <c r="L9310" s="7" t="str">
        <f t="shared" si="731"/>
        <v/>
      </c>
      <c r="M9310" s="7" t="str">
        <f t="shared" si="728"/>
        <v/>
      </c>
      <c r="N9310" s="7" t="str">
        <f t="shared" si="732"/>
        <v/>
      </c>
      <c r="O9310" s="8"/>
      <c r="P9310" s="26"/>
      <c r="S9310" s="10" t="str">
        <f t="shared" si="729"/>
        <v/>
      </c>
    </row>
    <row r="9311" spans="5:19" x14ac:dyDescent="0.3">
      <c r="E9311" s="9" t="str">
        <f>IF(DADOS!C9311="","",DADOS!C9311)</f>
        <v/>
      </c>
      <c r="F9311" s="9" t="str">
        <f>IF(DADOS!E9311="","",DADOS!E9311)</f>
        <v/>
      </c>
      <c r="G9311" s="9" t="str">
        <f>IF(DADOS!F9311="","",DADOS!F9311)</f>
        <v/>
      </c>
      <c r="K9311" s="6" t="str">
        <f t="shared" si="730"/>
        <v/>
      </c>
      <c r="L9311" s="7" t="str">
        <f t="shared" si="731"/>
        <v/>
      </c>
      <c r="M9311" s="7" t="str">
        <f t="shared" si="728"/>
        <v/>
      </c>
      <c r="N9311" s="7" t="str">
        <f t="shared" si="732"/>
        <v/>
      </c>
      <c r="O9311" s="8"/>
      <c r="P9311" s="26"/>
      <c r="S9311" s="10" t="str">
        <f t="shared" si="729"/>
        <v/>
      </c>
    </row>
    <row r="9312" spans="5:19" x14ac:dyDescent="0.3">
      <c r="E9312" s="9" t="str">
        <f>IF(DADOS!C9312="","",DADOS!C9312)</f>
        <v/>
      </c>
      <c r="F9312" s="9" t="str">
        <f>IF(DADOS!E9312="","",DADOS!E9312)</f>
        <v/>
      </c>
      <c r="G9312" s="9" t="str">
        <f>IF(DADOS!F9312="","",DADOS!F9312)</f>
        <v/>
      </c>
      <c r="K9312" s="6" t="str">
        <f t="shared" si="730"/>
        <v/>
      </c>
      <c r="L9312" s="7" t="str">
        <f t="shared" si="731"/>
        <v/>
      </c>
      <c r="M9312" s="7" t="str">
        <f t="shared" si="728"/>
        <v/>
      </c>
      <c r="N9312" s="7" t="str">
        <f t="shared" si="732"/>
        <v/>
      </c>
      <c r="O9312" s="8"/>
      <c r="P9312" s="26"/>
      <c r="S9312" s="10" t="str">
        <f t="shared" si="729"/>
        <v/>
      </c>
    </row>
    <row r="9313" spans="5:19" x14ac:dyDescent="0.3">
      <c r="E9313" s="9" t="str">
        <f>IF(DADOS!C9313="","",DADOS!C9313)</f>
        <v/>
      </c>
      <c r="F9313" s="9" t="str">
        <f>IF(DADOS!E9313="","",DADOS!E9313)</f>
        <v/>
      </c>
      <c r="G9313" s="9" t="str">
        <f>IF(DADOS!F9313="","",DADOS!F9313)</f>
        <v/>
      </c>
      <c r="K9313" s="6" t="str">
        <f t="shared" si="730"/>
        <v/>
      </c>
      <c r="L9313" s="7" t="str">
        <f t="shared" si="731"/>
        <v/>
      </c>
      <c r="M9313" s="7" t="str">
        <f t="shared" si="728"/>
        <v/>
      </c>
      <c r="N9313" s="7" t="str">
        <f t="shared" si="732"/>
        <v/>
      </c>
      <c r="O9313" s="8"/>
      <c r="P9313" s="26"/>
      <c r="S9313" s="10" t="str">
        <f t="shared" si="729"/>
        <v/>
      </c>
    </row>
    <row r="9314" spans="5:19" x14ac:dyDescent="0.3">
      <c r="E9314" s="9" t="str">
        <f>IF(DADOS!C9314="","",DADOS!C9314)</f>
        <v/>
      </c>
      <c r="F9314" s="9" t="str">
        <f>IF(DADOS!E9314="","",DADOS!E9314)</f>
        <v/>
      </c>
      <c r="G9314" s="9" t="str">
        <f>IF(DADOS!F9314="","",DADOS!F9314)</f>
        <v/>
      </c>
      <c r="K9314" s="6" t="str">
        <f t="shared" si="730"/>
        <v/>
      </c>
      <c r="L9314" s="7" t="str">
        <f t="shared" si="731"/>
        <v/>
      </c>
      <c r="M9314" s="7" t="str">
        <f t="shared" si="728"/>
        <v/>
      </c>
      <c r="N9314" s="7" t="str">
        <f t="shared" si="732"/>
        <v/>
      </c>
      <c r="O9314" s="8"/>
      <c r="P9314" s="26"/>
      <c r="S9314" s="10" t="str">
        <f t="shared" si="729"/>
        <v/>
      </c>
    </row>
    <row r="9315" spans="5:19" x14ac:dyDescent="0.3">
      <c r="E9315" s="9" t="str">
        <f>IF(DADOS!C9315="","",DADOS!C9315)</f>
        <v/>
      </c>
      <c r="F9315" s="9" t="str">
        <f>IF(DADOS!E9315="","",DADOS!E9315)</f>
        <v/>
      </c>
      <c r="G9315" s="9" t="str">
        <f>IF(DADOS!F9315="","",DADOS!F9315)</f>
        <v/>
      </c>
      <c r="K9315" s="6" t="str">
        <f t="shared" si="730"/>
        <v/>
      </c>
      <c r="L9315" s="7" t="str">
        <f t="shared" si="731"/>
        <v/>
      </c>
      <c r="M9315" s="7" t="str">
        <f t="shared" si="728"/>
        <v/>
      </c>
      <c r="N9315" s="7" t="str">
        <f t="shared" si="732"/>
        <v/>
      </c>
      <c r="O9315" s="8"/>
      <c r="P9315" s="26"/>
      <c r="S9315" s="10" t="str">
        <f t="shared" si="729"/>
        <v/>
      </c>
    </row>
    <row r="9316" spans="5:19" x14ac:dyDescent="0.3">
      <c r="E9316" s="9" t="str">
        <f>IF(DADOS!C9316="","",DADOS!C9316)</f>
        <v/>
      </c>
      <c r="F9316" s="9" t="str">
        <f>IF(DADOS!E9316="","",DADOS!E9316)</f>
        <v/>
      </c>
      <c r="G9316" s="9" t="str">
        <f>IF(DADOS!F9316="","",DADOS!F9316)</f>
        <v/>
      </c>
      <c r="K9316" s="6" t="str">
        <f t="shared" si="730"/>
        <v/>
      </c>
      <c r="L9316" s="7" t="str">
        <f t="shared" si="731"/>
        <v/>
      </c>
      <c r="M9316" s="7" t="str">
        <f t="shared" si="728"/>
        <v/>
      </c>
      <c r="N9316" s="7" t="str">
        <f t="shared" si="732"/>
        <v/>
      </c>
      <c r="O9316" s="8"/>
      <c r="P9316" s="26"/>
      <c r="S9316" s="10" t="str">
        <f t="shared" si="729"/>
        <v/>
      </c>
    </row>
    <row r="9317" spans="5:19" x14ac:dyDescent="0.3">
      <c r="E9317" s="9" t="str">
        <f>IF(DADOS!C9317="","",DADOS!C9317)</f>
        <v/>
      </c>
      <c r="F9317" s="9" t="str">
        <f>IF(DADOS!E9317="","",DADOS!E9317)</f>
        <v/>
      </c>
      <c r="G9317" s="9" t="str">
        <f>IF(DADOS!F9317="","",DADOS!F9317)</f>
        <v/>
      </c>
      <c r="K9317" s="6" t="str">
        <f t="shared" si="730"/>
        <v/>
      </c>
      <c r="L9317" s="7" t="str">
        <f t="shared" si="731"/>
        <v/>
      </c>
      <c r="M9317" s="7" t="str">
        <f t="shared" si="728"/>
        <v/>
      </c>
      <c r="N9317" s="7" t="str">
        <f t="shared" si="732"/>
        <v/>
      </c>
      <c r="O9317" s="8"/>
      <c r="P9317" s="26"/>
      <c r="S9317" s="10" t="str">
        <f t="shared" si="729"/>
        <v/>
      </c>
    </row>
    <row r="9318" spans="5:19" x14ac:dyDescent="0.3">
      <c r="E9318" s="9" t="str">
        <f>IF(DADOS!C9318="","",DADOS!C9318)</f>
        <v/>
      </c>
      <c r="F9318" s="9" t="str">
        <f>IF(DADOS!E9318="","",DADOS!E9318)</f>
        <v/>
      </c>
      <c r="G9318" s="9" t="str">
        <f>IF(DADOS!F9318="","",DADOS!F9318)</f>
        <v/>
      </c>
      <c r="K9318" s="6" t="str">
        <f t="shared" si="730"/>
        <v/>
      </c>
      <c r="L9318" s="7" t="str">
        <f t="shared" si="731"/>
        <v/>
      </c>
      <c r="M9318" s="7" t="str">
        <f t="shared" si="728"/>
        <v/>
      </c>
      <c r="N9318" s="7" t="str">
        <f t="shared" si="732"/>
        <v/>
      </c>
      <c r="O9318" s="8"/>
      <c r="P9318" s="26"/>
      <c r="S9318" s="10" t="str">
        <f t="shared" si="729"/>
        <v/>
      </c>
    </row>
    <row r="9319" spans="5:19" x14ac:dyDescent="0.3">
      <c r="E9319" s="9" t="str">
        <f>IF(DADOS!C9319="","",DADOS!C9319)</f>
        <v/>
      </c>
      <c r="F9319" s="9" t="str">
        <f>IF(DADOS!E9319="","",DADOS!E9319)</f>
        <v/>
      </c>
      <c r="G9319" s="9" t="str">
        <f>IF(DADOS!F9319="","",DADOS!F9319)</f>
        <v/>
      </c>
      <c r="K9319" s="6" t="str">
        <f t="shared" si="730"/>
        <v/>
      </c>
      <c r="L9319" s="7" t="str">
        <f t="shared" si="731"/>
        <v/>
      </c>
      <c r="M9319" s="7" t="str">
        <f t="shared" si="728"/>
        <v/>
      </c>
      <c r="N9319" s="7" t="str">
        <f t="shared" si="732"/>
        <v/>
      </c>
      <c r="O9319" s="8"/>
      <c r="P9319" s="26"/>
      <c r="S9319" s="10" t="str">
        <f t="shared" si="729"/>
        <v/>
      </c>
    </row>
    <row r="9320" spans="5:19" x14ac:dyDescent="0.3">
      <c r="E9320" s="9" t="str">
        <f>IF(DADOS!C9320="","",DADOS!C9320)</f>
        <v/>
      </c>
      <c r="F9320" s="9" t="str">
        <f>IF(DADOS!E9320="","",DADOS!E9320)</f>
        <v/>
      </c>
      <c r="G9320" s="9" t="str">
        <f>IF(DADOS!F9320="","",DADOS!F9320)</f>
        <v/>
      </c>
      <c r="K9320" s="6" t="str">
        <f t="shared" si="730"/>
        <v/>
      </c>
      <c r="L9320" s="7" t="str">
        <f t="shared" si="731"/>
        <v/>
      </c>
      <c r="M9320" s="7" t="str">
        <f t="shared" si="728"/>
        <v/>
      </c>
      <c r="N9320" s="7" t="str">
        <f t="shared" si="732"/>
        <v/>
      </c>
      <c r="O9320" s="8"/>
      <c r="P9320" s="26"/>
      <c r="S9320" s="10" t="str">
        <f t="shared" si="729"/>
        <v/>
      </c>
    </row>
    <row r="9321" spans="5:19" x14ac:dyDescent="0.3">
      <c r="E9321" s="9" t="str">
        <f>IF(DADOS!C9321="","",DADOS!C9321)</f>
        <v/>
      </c>
      <c r="F9321" s="9" t="str">
        <f>IF(DADOS!E9321="","",DADOS!E9321)</f>
        <v/>
      </c>
      <c r="G9321" s="9" t="str">
        <f>IF(DADOS!F9321="","",DADOS!F9321)</f>
        <v/>
      </c>
      <c r="K9321" s="6" t="str">
        <f t="shared" si="730"/>
        <v/>
      </c>
      <c r="L9321" s="7" t="str">
        <f t="shared" si="731"/>
        <v/>
      </c>
      <c r="M9321" s="7" t="str">
        <f t="shared" si="728"/>
        <v/>
      </c>
      <c r="N9321" s="7" t="str">
        <f t="shared" si="732"/>
        <v/>
      </c>
      <c r="O9321" s="8"/>
      <c r="P9321" s="26"/>
      <c r="S9321" s="10" t="str">
        <f t="shared" si="729"/>
        <v/>
      </c>
    </row>
    <row r="9322" spans="5:19" x14ac:dyDescent="0.3">
      <c r="E9322" s="9" t="str">
        <f>IF(DADOS!C9322="","",DADOS!C9322)</f>
        <v/>
      </c>
      <c r="F9322" s="9" t="str">
        <f>IF(DADOS!E9322="","",DADOS!E9322)</f>
        <v/>
      </c>
      <c r="G9322" s="9" t="str">
        <f>IF(DADOS!F9322="","",DADOS!F9322)</f>
        <v/>
      </c>
      <c r="K9322" s="6" t="str">
        <f t="shared" si="730"/>
        <v/>
      </c>
      <c r="L9322" s="7" t="str">
        <f t="shared" si="731"/>
        <v/>
      </c>
      <c r="M9322" s="7" t="str">
        <f t="shared" si="728"/>
        <v/>
      </c>
      <c r="N9322" s="7" t="str">
        <f t="shared" si="732"/>
        <v/>
      </c>
      <c r="O9322" s="8"/>
      <c r="P9322" s="26"/>
      <c r="S9322" s="10" t="str">
        <f t="shared" si="729"/>
        <v/>
      </c>
    </row>
    <row r="9323" spans="5:19" x14ac:dyDescent="0.3">
      <c r="E9323" s="9" t="str">
        <f>IF(DADOS!C9323="","",DADOS!C9323)</f>
        <v/>
      </c>
      <c r="F9323" s="9" t="str">
        <f>IF(DADOS!E9323="","",DADOS!E9323)</f>
        <v/>
      </c>
      <c r="G9323" s="9" t="str">
        <f>IF(DADOS!F9323="","",DADOS!F9323)</f>
        <v/>
      </c>
      <c r="K9323" s="6" t="str">
        <f t="shared" si="730"/>
        <v/>
      </c>
      <c r="L9323" s="7" t="str">
        <f t="shared" si="731"/>
        <v/>
      </c>
      <c r="M9323" s="7" t="str">
        <f t="shared" si="728"/>
        <v/>
      </c>
      <c r="N9323" s="7" t="str">
        <f t="shared" si="732"/>
        <v/>
      </c>
      <c r="O9323" s="8"/>
      <c r="P9323" s="26"/>
      <c r="S9323" s="10" t="str">
        <f t="shared" si="729"/>
        <v/>
      </c>
    </row>
    <row r="9324" spans="5:19" x14ac:dyDescent="0.3">
      <c r="E9324" s="9" t="str">
        <f>IF(DADOS!C9324="","",DADOS!C9324)</f>
        <v/>
      </c>
      <c r="F9324" s="9" t="str">
        <f>IF(DADOS!E9324="","",DADOS!E9324)</f>
        <v/>
      </c>
      <c r="G9324" s="9" t="str">
        <f>IF(DADOS!F9324="","",DADOS!F9324)</f>
        <v/>
      </c>
      <c r="K9324" s="6" t="str">
        <f t="shared" si="730"/>
        <v/>
      </c>
      <c r="L9324" s="7" t="str">
        <f t="shared" si="731"/>
        <v/>
      </c>
      <c r="M9324" s="7" t="str">
        <f t="shared" si="728"/>
        <v/>
      </c>
      <c r="N9324" s="7" t="str">
        <f t="shared" si="732"/>
        <v/>
      </c>
      <c r="O9324" s="8"/>
      <c r="P9324" s="26"/>
      <c r="S9324" s="10" t="str">
        <f t="shared" si="729"/>
        <v/>
      </c>
    </row>
    <row r="9325" spans="5:19" x14ac:dyDescent="0.3">
      <c r="E9325" s="9" t="str">
        <f>IF(DADOS!C9325="","",DADOS!C9325)</f>
        <v/>
      </c>
      <c r="F9325" s="9" t="str">
        <f>IF(DADOS!E9325="","",DADOS!E9325)</f>
        <v/>
      </c>
      <c r="G9325" s="9" t="str">
        <f>IF(DADOS!F9325="","",DADOS!F9325)</f>
        <v/>
      </c>
      <c r="K9325" s="6" t="str">
        <f t="shared" si="730"/>
        <v/>
      </c>
      <c r="L9325" s="7" t="str">
        <f t="shared" si="731"/>
        <v/>
      </c>
      <c r="M9325" s="7" t="str">
        <f t="shared" si="728"/>
        <v/>
      </c>
      <c r="N9325" s="7" t="str">
        <f t="shared" si="732"/>
        <v/>
      </c>
      <c r="O9325" s="8"/>
      <c r="P9325" s="26"/>
      <c r="S9325" s="10" t="str">
        <f t="shared" si="729"/>
        <v/>
      </c>
    </row>
    <row r="9326" spans="5:19" x14ac:dyDescent="0.3">
      <c r="E9326" s="9" t="str">
        <f>IF(DADOS!C9326="","",DADOS!C9326)</f>
        <v/>
      </c>
      <c r="F9326" s="9" t="str">
        <f>IF(DADOS!E9326="","",DADOS!E9326)</f>
        <v/>
      </c>
      <c r="G9326" s="9" t="str">
        <f>IF(DADOS!F9326="","",DADOS!F9326)</f>
        <v/>
      </c>
      <c r="K9326" s="6" t="str">
        <f t="shared" si="730"/>
        <v/>
      </c>
      <c r="L9326" s="7" t="str">
        <f t="shared" si="731"/>
        <v/>
      </c>
      <c r="M9326" s="7" t="str">
        <f t="shared" si="728"/>
        <v/>
      </c>
      <c r="N9326" s="7" t="str">
        <f t="shared" si="732"/>
        <v/>
      </c>
      <c r="O9326" s="8"/>
      <c r="P9326" s="26"/>
      <c r="S9326" s="10" t="str">
        <f t="shared" si="729"/>
        <v/>
      </c>
    </row>
    <row r="9327" spans="5:19" x14ac:dyDescent="0.3">
      <c r="E9327" s="9" t="str">
        <f>IF(DADOS!C9327="","",DADOS!C9327)</f>
        <v/>
      </c>
      <c r="F9327" s="9" t="str">
        <f>IF(DADOS!E9327="","",DADOS!E9327)</f>
        <v/>
      </c>
      <c r="G9327" s="9" t="str">
        <f>IF(DADOS!F9327="","",DADOS!F9327)</f>
        <v/>
      </c>
      <c r="K9327" s="6" t="str">
        <f t="shared" si="730"/>
        <v/>
      </c>
      <c r="L9327" s="7" t="str">
        <f t="shared" si="731"/>
        <v/>
      </c>
      <c r="M9327" s="7" t="str">
        <f t="shared" si="728"/>
        <v/>
      </c>
      <c r="N9327" s="7" t="str">
        <f t="shared" si="732"/>
        <v/>
      </c>
      <c r="O9327" s="8"/>
      <c r="P9327" s="26"/>
      <c r="S9327" s="10" t="str">
        <f t="shared" si="729"/>
        <v/>
      </c>
    </row>
    <row r="9328" spans="5:19" x14ac:dyDescent="0.3">
      <c r="E9328" s="9" t="str">
        <f>IF(DADOS!C9328="","",DADOS!C9328)</f>
        <v/>
      </c>
      <c r="F9328" s="9" t="str">
        <f>IF(DADOS!E9328="","",DADOS!E9328)</f>
        <v/>
      </c>
      <c r="G9328" s="9" t="str">
        <f>IF(DADOS!F9328="","",DADOS!F9328)</f>
        <v/>
      </c>
      <c r="K9328" s="6" t="str">
        <f t="shared" si="730"/>
        <v/>
      </c>
      <c r="L9328" s="7" t="str">
        <f t="shared" si="731"/>
        <v/>
      </c>
      <c r="M9328" s="7" t="str">
        <f t="shared" si="728"/>
        <v/>
      </c>
      <c r="N9328" s="7" t="str">
        <f t="shared" si="732"/>
        <v/>
      </c>
      <c r="O9328" s="8"/>
      <c r="P9328" s="26"/>
      <c r="S9328" s="10" t="str">
        <f t="shared" si="729"/>
        <v/>
      </c>
    </row>
    <row r="9329" spans="5:19" x14ac:dyDescent="0.3">
      <c r="E9329" s="9" t="str">
        <f>IF(DADOS!C9329="","",DADOS!C9329)</f>
        <v/>
      </c>
      <c r="F9329" s="9" t="str">
        <f>IF(DADOS!E9329="","",DADOS!E9329)</f>
        <v/>
      </c>
      <c r="G9329" s="9" t="str">
        <f>IF(DADOS!F9329="","",DADOS!F9329)</f>
        <v/>
      </c>
      <c r="K9329" s="6" t="str">
        <f t="shared" si="730"/>
        <v/>
      </c>
      <c r="L9329" s="7" t="str">
        <f t="shared" si="731"/>
        <v/>
      </c>
      <c r="M9329" s="7" t="str">
        <f t="shared" si="728"/>
        <v/>
      </c>
      <c r="N9329" s="7" t="str">
        <f t="shared" si="732"/>
        <v/>
      </c>
      <c r="O9329" s="8"/>
      <c r="P9329" s="26"/>
      <c r="S9329" s="10" t="str">
        <f t="shared" si="729"/>
        <v/>
      </c>
    </row>
    <row r="9330" spans="5:19" x14ac:dyDescent="0.3">
      <c r="E9330" s="9" t="str">
        <f>IF(DADOS!C9330="","",DADOS!C9330)</f>
        <v/>
      </c>
      <c r="F9330" s="9" t="str">
        <f>IF(DADOS!E9330="","",DADOS!E9330)</f>
        <v/>
      </c>
      <c r="G9330" s="9" t="str">
        <f>IF(DADOS!F9330="","",DADOS!F9330)</f>
        <v/>
      </c>
      <c r="K9330" s="6" t="str">
        <f t="shared" si="730"/>
        <v/>
      </c>
      <c r="L9330" s="7" t="str">
        <f t="shared" si="731"/>
        <v/>
      </c>
      <c r="M9330" s="7" t="str">
        <f t="shared" si="728"/>
        <v/>
      </c>
      <c r="N9330" s="7" t="str">
        <f t="shared" si="732"/>
        <v/>
      </c>
      <c r="O9330" s="8"/>
      <c r="P9330" s="26"/>
      <c r="S9330" s="10" t="str">
        <f t="shared" si="729"/>
        <v/>
      </c>
    </row>
    <row r="9331" spans="5:19" x14ac:dyDescent="0.3">
      <c r="E9331" s="9" t="str">
        <f>IF(DADOS!C9331="","",DADOS!C9331)</f>
        <v/>
      </c>
      <c r="F9331" s="9" t="str">
        <f>IF(DADOS!E9331="","",DADOS!E9331)</f>
        <v/>
      </c>
      <c r="G9331" s="9" t="str">
        <f>IF(DADOS!F9331="","",DADOS!F9331)</f>
        <v/>
      </c>
      <c r="K9331" s="6" t="str">
        <f t="shared" si="730"/>
        <v/>
      </c>
      <c r="L9331" s="7" t="str">
        <f t="shared" si="731"/>
        <v/>
      </c>
      <c r="M9331" s="7" t="str">
        <f t="shared" si="728"/>
        <v/>
      </c>
      <c r="N9331" s="7" t="str">
        <f t="shared" si="732"/>
        <v/>
      </c>
      <c r="O9331" s="8"/>
      <c r="P9331" s="26"/>
      <c r="S9331" s="10" t="str">
        <f t="shared" si="729"/>
        <v/>
      </c>
    </row>
    <row r="9332" spans="5:19" x14ac:dyDescent="0.3">
      <c r="E9332" s="9" t="str">
        <f>IF(DADOS!C9332="","",DADOS!C9332)</f>
        <v/>
      </c>
      <c r="F9332" s="9" t="str">
        <f>IF(DADOS!E9332="","",DADOS!E9332)</f>
        <v/>
      </c>
      <c r="G9332" s="9" t="str">
        <f>IF(DADOS!F9332="","",DADOS!F9332)</f>
        <v/>
      </c>
      <c r="K9332" s="6" t="str">
        <f t="shared" si="730"/>
        <v/>
      </c>
      <c r="L9332" s="7" t="str">
        <f t="shared" si="731"/>
        <v/>
      </c>
      <c r="M9332" s="7" t="str">
        <f t="shared" si="728"/>
        <v/>
      </c>
      <c r="N9332" s="7" t="str">
        <f t="shared" si="732"/>
        <v/>
      </c>
      <c r="O9332" s="8"/>
      <c r="P9332" s="26"/>
      <c r="S9332" s="10" t="str">
        <f t="shared" si="729"/>
        <v/>
      </c>
    </row>
    <row r="9333" spans="5:19" x14ac:dyDescent="0.3">
      <c r="E9333" s="9" t="str">
        <f>IF(DADOS!C9333="","",DADOS!C9333)</f>
        <v/>
      </c>
      <c r="F9333" s="9" t="str">
        <f>IF(DADOS!E9333="","",DADOS!E9333)</f>
        <v/>
      </c>
      <c r="G9333" s="9" t="str">
        <f>IF(DADOS!F9333="","",DADOS!F9333)</f>
        <v/>
      </c>
      <c r="K9333" s="6" t="str">
        <f t="shared" si="730"/>
        <v/>
      </c>
      <c r="L9333" s="7" t="str">
        <f t="shared" si="731"/>
        <v/>
      </c>
      <c r="M9333" s="7" t="str">
        <f t="shared" si="728"/>
        <v/>
      </c>
      <c r="N9333" s="7" t="str">
        <f t="shared" si="732"/>
        <v/>
      </c>
      <c r="O9333" s="8"/>
      <c r="P9333" s="26"/>
      <c r="S9333" s="10" t="str">
        <f t="shared" si="729"/>
        <v/>
      </c>
    </row>
    <row r="9334" spans="5:19" x14ac:dyDescent="0.3">
      <c r="E9334" s="9" t="str">
        <f>IF(DADOS!C9334="","",DADOS!C9334)</f>
        <v/>
      </c>
      <c r="F9334" s="9" t="str">
        <f>IF(DADOS!E9334="","",DADOS!E9334)</f>
        <v/>
      </c>
      <c r="G9334" s="9" t="str">
        <f>IF(DADOS!F9334="","",DADOS!F9334)</f>
        <v/>
      </c>
      <c r="K9334" s="6" t="str">
        <f t="shared" si="730"/>
        <v/>
      </c>
      <c r="L9334" s="7" t="str">
        <f t="shared" si="731"/>
        <v/>
      </c>
      <c r="M9334" s="7" t="str">
        <f t="shared" si="728"/>
        <v/>
      </c>
      <c r="N9334" s="7" t="str">
        <f t="shared" si="732"/>
        <v/>
      </c>
      <c r="O9334" s="8"/>
      <c r="P9334" s="26"/>
      <c r="S9334" s="10" t="str">
        <f t="shared" si="729"/>
        <v/>
      </c>
    </row>
    <row r="9335" spans="5:19" x14ac:dyDescent="0.3">
      <c r="E9335" s="9" t="str">
        <f>IF(DADOS!C9335="","",DADOS!C9335)</f>
        <v/>
      </c>
      <c r="F9335" s="9" t="str">
        <f>IF(DADOS!E9335="","",DADOS!E9335)</f>
        <v/>
      </c>
      <c r="G9335" s="9" t="str">
        <f>IF(DADOS!F9335="","",DADOS!F9335)</f>
        <v/>
      </c>
      <c r="K9335" s="6" t="str">
        <f t="shared" si="730"/>
        <v/>
      </c>
      <c r="L9335" s="7" t="str">
        <f t="shared" si="731"/>
        <v/>
      </c>
      <c r="M9335" s="7" t="str">
        <f t="shared" si="728"/>
        <v/>
      </c>
      <c r="N9335" s="7" t="str">
        <f t="shared" si="732"/>
        <v/>
      </c>
      <c r="O9335" s="8"/>
      <c r="P9335" s="26"/>
      <c r="S9335" s="10" t="str">
        <f t="shared" si="729"/>
        <v/>
      </c>
    </row>
    <row r="9336" spans="5:19" x14ac:dyDescent="0.3">
      <c r="E9336" s="9" t="str">
        <f>IF(DADOS!C9336="","",DADOS!C9336)</f>
        <v/>
      </c>
      <c r="F9336" s="9" t="str">
        <f>IF(DADOS!E9336="","",DADOS!E9336)</f>
        <v/>
      </c>
      <c r="G9336" s="9" t="str">
        <f>IF(DADOS!F9336="","",DADOS!F9336)</f>
        <v/>
      </c>
      <c r="K9336" s="6" t="str">
        <f t="shared" si="730"/>
        <v/>
      </c>
      <c r="L9336" s="7" t="str">
        <f t="shared" si="731"/>
        <v/>
      </c>
      <c r="M9336" s="7" t="str">
        <f t="shared" si="728"/>
        <v/>
      </c>
      <c r="N9336" s="7" t="str">
        <f t="shared" si="732"/>
        <v/>
      </c>
      <c r="O9336" s="8"/>
      <c r="P9336" s="26"/>
      <c r="S9336" s="10" t="str">
        <f t="shared" si="729"/>
        <v/>
      </c>
    </row>
    <row r="9337" spans="5:19" x14ac:dyDescent="0.3">
      <c r="E9337" s="9" t="str">
        <f>IF(DADOS!C9337="","",DADOS!C9337)</f>
        <v/>
      </c>
      <c r="F9337" s="9" t="str">
        <f>IF(DADOS!E9337="","",DADOS!E9337)</f>
        <v/>
      </c>
      <c r="G9337" s="9" t="str">
        <f>IF(DADOS!F9337="","",DADOS!F9337)</f>
        <v/>
      </c>
      <c r="K9337" s="6" t="str">
        <f t="shared" si="730"/>
        <v/>
      </c>
      <c r="L9337" s="7" t="str">
        <f t="shared" si="731"/>
        <v/>
      </c>
      <c r="M9337" s="7" t="str">
        <f t="shared" si="728"/>
        <v/>
      </c>
      <c r="N9337" s="7" t="str">
        <f t="shared" si="732"/>
        <v/>
      </c>
      <c r="O9337" s="8"/>
      <c r="P9337" s="26"/>
      <c r="S9337" s="10" t="str">
        <f t="shared" si="729"/>
        <v/>
      </c>
    </row>
    <row r="9338" spans="5:19" x14ac:dyDescent="0.3">
      <c r="E9338" s="9" t="str">
        <f>IF(DADOS!C9338="","",DADOS!C9338)</f>
        <v/>
      </c>
      <c r="F9338" s="9" t="str">
        <f>IF(DADOS!E9338="","",DADOS!E9338)</f>
        <v/>
      </c>
      <c r="G9338" s="9" t="str">
        <f>IF(DADOS!F9338="","",DADOS!F9338)</f>
        <v/>
      </c>
      <c r="K9338" s="6" t="str">
        <f t="shared" si="730"/>
        <v/>
      </c>
      <c r="L9338" s="7" t="str">
        <f t="shared" si="731"/>
        <v/>
      </c>
      <c r="M9338" s="7" t="str">
        <f t="shared" si="728"/>
        <v/>
      </c>
      <c r="N9338" s="7" t="str">
        <f t="shared" si="732"/>
        <v/>
      </c>
      <c r="O9338" s="8"/>
      <c r="P9338" s="26"/>
      <c r="S9338" s="10" t="str">
        <f t="shared" si="729"/>
        <v/>
      </c>
    </row>
    <row r="9339" spans="5:19" x14ac:dyDescent="0.3">
      <c r="E9339" s="9" t="str">
        <f>IF(DADOS!C9339="","",DADOS!C9339)</f>
        <v/>
      </c>
      <c r="F9339" s="9" t="str">
        <f>IF(DADOS!E9339="","",DADOS!E9339)</f>
        <v/>
      </c>
      <c r="G9339" s="9" t="str">
        <f>IF(DADOS!F9339="","",DADOS!F9339)</f>
        <v/>
      </c>
      <c r="K9339" s="6" t="str">
        <f t="shared" si="730"/>
        <v/>
      </c>
      <c r="L9339" s="7" t="str">
        <f t="shared" si="731"/>
        <v/>
      </c>
      <c r="M9339" s="7" t="str">
        <f t="shared" si="728"/>
        <v/>
      </c>
      <c r="N9339" s="7" t="str">
        <f t="shared" si="732"/>
        <v/>
      </c>
      <c r="O9339" s="8"/>
      <c r="P9339" s="26"/>
      <c r="S9339" s="10" t="str">
        <f t="shared" si="729"/>
        <v/>
      </c>
    </row>
    <row r="9340" spans="5:19" x14ac:dyDescent="0.3">
      <c r="E9340" s="9" t="str">
        <f>IF(DADOS!C9340="","",DADOS!C9340)</f>
        <v/>
      </c>
      <c r="F9340" s="9" t="str">
        <f>IF(DADOS!E9340="","",DADOS!E9340)</f>
        <v/>
      </c>
      <c r="G9340" s="9" t="str">
        <f>IF(DADOS!F9340="","",DADOS!F9340)</f>
        <v/>
      </c>
      <c r="K9340" s="6" t="str">
        <f t="shared" si="730"/>
        <v/>
      </c>
      <c r="L9340" s="7" t="str">
        <f t="shared" si="731"/>
        <v/>
      </c>
      <c r="M9340" s="7" t="str">
        <f t="shared" si="728"/>
        <v/>
      </c>
      <c r="N9340" s="7" t="str">
        <f t="shared" si="732"/>
        <v/>
      </c>
      <c r="O9340" s="8"/>
      <c r="P9340" s="26"/>
      <c r="S9340" s="10" t="str">
        <f t="shared" si="729"/>
        <v/>
      </c>
    </row>
    <row r="9341" spans="5:19" x14ac:dyDescent="0.3">
      <c r="E9341" s="9" t="str">
        <f>IF(DADOS!C9341="","",DADOS!C9341)</f>
        <v/>
      </c>
      <c r="F9341" s="9" t="str">
        <f>IF(DADOS!E9341="","",DADOS!E9341)</f>
        <v/>
      </c>
      <c r="G9341" s="9" t="str">
        <f>IF(DADOS!F9341="","",DADOS!F9341)</f>
        <v/>
      </c>
      <c r="K9341" s="6" t="str">
        <f t="shared" si="730"/>
        <v/>
      </c>
      <c r="L9341" s="7" t="str">
        <f t="shared" si="731"/>
        <v/>
      </c>
      <c r="M9341" s="7" t="str">
        <f t="shared" si="728"/>
        <v/>
      </c>
      <c r="N9341" s="7" t="str">
        <f t="shared" si="732"/>
        <v/>
      </c>
      <c r="O9341" s="8"/>
      <c r="P9341" s="26"/>
      <c r="S9341" s="10" t="str">
        <f t="shared" si="729"/>
        <v/>
      </c>
    </row>
    <row r="9342" spans="5:19" x14ac:dyDescent="0.3">
      <c r="E9342" s="9" t="str">
        <f>IF(DADOS!C9342="","",DADOS!C9342)</f>
        <v/>
      </c>
      <c r="F9342" s="9" t="str">
        <f>IF(DADOS!E9342="","",DADOS!E9342)</f>
        <v/>
      </c>
      <c r="G9342" s="9" t="str">
        <f>IF(DADOS!F9342="","",DADOS!F9342)</f>
        <v/>
      </c>
      <c r="K9342" s="6" t="str">
        <f t="shared" si="730"/>
        <v/>
      </c>
      <c r="L9342" s="7" t="str">
        <f t="shared" si="731"/>
        <v/>
      </c>
      <c r="M9342" s="7" t="str">
        <f t="shared" si="728"/>
        <v/>
      </c>
      <c r="N9342" s="7" t="str">
        <f t="shared" si="732"/>
        <v/>
      </c>
      <c r="O9342" s="8"/>
      <c r="P9342" s="26"/>
      <c r="S9342" s="10" t="str">
        <f t="shared" si="729"/>
        <v/>
      </c>
    </row>
    <row r="9343" spans="5:19" x14ac:dyDescent="0.3">
      <c r="E9343" s="9" t="str">
        <f>IF(DADOS!C9343="","",DADOS!C9343)</f>
        <v/>
      </c>
      <c r="F9343" s="9" t="str">
        <f>IF(DADOS!E9343="","",DADOS!E9343)</f>
        <v/>
      </c>
      <c r="G9343" s="9" t="str">
        <f>IF(DADOS!F9343="","",DADOS!F9343)</f>
        <v/>
      </c>
      <c r="K9343" s="6" t="str">
        <f t="shared" si="730"/>
        <v/>
      </c>
      <c r="L9343" s="7" t="str">
        <f t="shared" si="731"/>
        <v/>
      </c>
      <c r="M9343" s="7" t="str">
        <f t="shared" si="728"/>
        <v/>
      </c>
      <c r="N9343" s="7" t="str">
        <f t="shared" si="732"/>
        <v/>
      </c>
      <c r="O9343" s="8"/>
      <c r="P9343" s="26"/>
      <c r="S9343" s="10" t="str">
        <f t="shared" si="729"/>
        <v/>
      </c>
    </row>
    <row r="9344" spans="5:19" x14ac:dyDescent="0.3">
      <c r="E9344" s="9" t="str">
        <f>IF(DADOS!C9344="","",DADOS!C9344)</f>
        <v/>
      </c>
      <c r="F9344" s="9" t="str">
        <f>IF(DADOS!E9344="","",DADOS!E9344)</f>
        <v/>
      </c>
      <c r="G9344" s="9" t="str">
        <f>IF(DADOS!F9344="","",DADOS!F9344)</f>
        <v/>
      </c>
      <c r="K9344" s="6" t="str">
        <f t="shared" si="730"/>
        <v/>
      </c>
      <c r="L9344" s="7" t="str">
        <f t="shared" si="731"/>
        <v/>
      </c>
      <c r="M9344" s="7" t="str">
        <f t="shared" si="728"/>
        <v/>
      </c>
      <c r="N9344" s="7" t="str">
        <f t="shared" si="732"/>
        <v/>
      </c>
      <c r="O9344" s="8"/>
      <c r="P9344" s="26"/>
      <c r="S9344" s="10" t="str">
        <f t="shared" si="729"/>
        <v/>
      </c>
    </row>
    <row r="9345" spans="5:19" x14ac:dyDescent="0.3">
      <c r="E9345" s="9" t="str">
        <f>IF(DADOS!C9345="","",DADOS!C9345)</f>
        <v/>
      </c>
      <c r="F9345" s="9" t="str">
        <f>IF(DADOS!E9345="","",DADOS!E9345)</f>
        <v/>
      </c>
      <c r="G9345" s="9" t="str">
        <f>IF(DADOS!F9345="","",DADOS!F9345)</f>
        <v/>
      </c>
      <c r="K9345" s="6" t="str">
        <f t="shared" si="730"/>
        <v/>
      </c>
      <c r="L9345" s="7" t="str">
        <f t="shared" si="731"/>
        <v/>
      </c>
      <c r="M9345" s="7" t="str">
        <f t="shared" si="728"/>
        <v/>
      </c>
      <c r="N9345" s="7" t="str">
        <f t="shared" si="732"/>
        <v/>
      </c>
      <c r="O9345" s="8"/>
      <c r="P9345" s="26"/>
      <c r="S9345" s="10" t="str">
        <f t="shared" si="729"/>
        <v/>
      </c>
    </row>
    <row r="9346" spans="5:19" x14ac:dyDescent="0.3">
      <c r="E9346" s="9" t="str">
        <f>IF(DADOS!C9346="","",DADOS!C9346)</f>
        <v/>
      </c>
      <c r="F9346" s="9" t="str">
        <f>IF(DADOS!E9346="","",DADOS!E9346)</f>
        <v/>
      </c>
      <c r="G9346" s="9" t="str">
        <f>IF(DADOS!F9346="","",DADOS!F9346)</f>
        <v/>
      </c>
      <c r="K9346" s="6" t="str">
        <f t="shared" si="730"/>
        <v/>
      </c>
      <c r="L9346" s="7" t="str">
        <f t="shared" si="731"/>
        <v/>
      </c>
      <c r="M9346" s="7" t="str">
        <f t="shared" si="728"/>
        <v/>
      </c>
      <c r="N9346" s="7" t="str">
        <f t="shared" si="732"/>
        <v/>
      </c>
      <c r="O9346" s="8"/>
      <c r="P9346" s="26"/>
      <c r="S9346" s="10" t="str">
        <f t="shared" si="729"/>
        <v/>
      </c>
    </row>
    <row r="9347" spans="5:19" x14ac:dyDescent="0.3">
      <c r="E9347" s="9" t="str">
        <f>IF(DADOS!C9347="","",DADOS!C9347)</f>
        <v/>
      </c>
      <c r="F9347" s="9" t="str">
        <f>IF(DADOS!E9347="","",DADOS!E9347)</f>
        <v/>
      </c>
      <c r="G9347" s="9" t="str">
        <f>IF(DADOS!F9347="","",DADOS!F9347)</f>
        <v/>
      </c>
      <c r="K9347" s="6" t="str">
        <f t="shared" si="730"/>
        <v/>
      </c>
      <c r="L9347" s="7" t="str">
        <f t="shared" si="731"/>
        <v/>
      </c>
      <c r="M9347" s="7" t="str">
        <f t="shared" ref="M9347:M9410" si="733">IF(L9347="","",L9347*G9347)</f>
        <v/>
      </c>
      <c r="N9347" s="7" t="str">
        <f t="shared" si="732"/>
        <v/>
      </c>
      <c r="O9347" s="8"/>
      <c r="P9347" s="26"/>
      <c r="S9347" s="10" t="str">
        <f t="shared" ref="S9347:S9410" si="734">IF(R9347="","",SUMIFS($N$3:$N$10000,$E$3:$E$10000,R9347))</f>
        <v/>
      </c>
    </row>
    <row r="9348" spans="5:19" x14ac:dyDescent="0.3">
      <c r="E9348" s="9" t="str">
        <f>IF(DADOS!C9348="","",DADOS!C9348)</f>
        <v/>
      </c>
      <c r="F9348" s="9" t="str">
        <f>IF(DADOS!E9348="","",DADOS!E9348)</f>
        <v/>
      </c>
      <c r="G9348" s="9" t="str">
        <f>IF(DADOS!F9348="","",DADOS!F9348)</f>
        <v/>
      </c>
      <c r="K9348" s="6" t="str">
        <f t="shared" ref="K9348:K9411" si="735">IF(F9348="","",F9348/PI())</f>
        <v/>
      </c>
      <c r="L9348" s="7" t="str">
        <f t="shared" ref="L9348:L9411" si="736">IF(K9348="","",(PI()*K9348^2)/40000)</f>
        <v/>
      </c>
      <c r="M9348" s="7" t="str">
        <f t="shared" si="733"/>
        <v/>
      </c>
      <c r="N9348" s="7" t="str">
        <f t="shared" ref="N9348:N9411" si="737">IF(M9348="","",M9348*N$1)</f>
        <v/>
      </c>
      <c r="O9348" s="8"/>
      <c r="P9348" s="26"/>
      <c r="S9348" s="10" t="str">
        <f t="shared" si="734"/>
        <v/>
      </c>
    </row>
    <row r="9349" spans="5:19" x14ac:dyDescent="0.3">
      <c r="E9349" s="9" t="str">
        <f>IF(DADOS!C9349="","",DADOS!C9349)</f>
        <v/>
      </c>
      <c r="F9349" s="9" t="str">
        <f>IF(DADOS!E9349="","",DADOS!E9349)</f>
        <v/>
      </c>
      <c r="G9349" s="9" t="str">
        <f>IF(DADOS!F9349="","",DADOS!F9349)</f>
        <v/>
      </c>
      <c r="K9349" s="6" t="str">
        <f t="shared" si="735"/>
        <v/>
      </c>
      <c r="L9349" s="7" t="str">
        <f t="shared" si="736"/>
        <v/>
      </c>
      <c r="M9349" s="7" t="str">
        <f t="shared" si="733"/>
        <v/>
      </c>
      <c r="N9349" s="7" t="str">
        <f t="shared" si="737"/>
        <v/>
      </c>
      <c r="O9349" s="8"/>
      <c r="P9349" s="26"/>
      <c r="S9349" s="10" t="str">
        <f t="shared" si="734"/>
        <v/>
      </c>
    </row>
    <row r="9350" spans="5:19" x14ac:dyDescent="0.3">
      <c r="E9350" s="9" t="str">
        <f>IF(DADOS!C9350="","",DADOS!C9350)</f>
        <v/>
      </c>
      <c r="F9350" s="9" t="str">
        <f>IF(DADOS!E9350="","",DADOS!E9350)</f>
        <v/>
      </c>
      <c r="G9350" s="9" t="str">
        <f>IF(DADOS!F9350="","",DADOS!F9350)</f>
        <v/>
      </c>
      <c r="K9350" s="6" t="str">
        <f t="shared" si="735"/>
        <v/>
      </c>
      <c r="L9350" s="7" t="str">
        <f t="shared" si="736"/>
        <v/>
      </c>
      <c r="M9350" s="7" t="str">
        <f t="shared" si="733"/>
        <v/>
      </c>
      <c r="N9350" s="7" t="str">
        <f t="shared" si="737"/>
        <v/>
      </c>
      <c r="O9350" s="8"/>
      <c r="P9350" s="26"/>
      <c r="S9350" s="10" t="str">
        <f t="shared" si="734"/>
        <v/>
      </c>
    </row>
    <row r="9351" spans="5:19" x14ac:dyDescent="0.3">
      <c r="E9351" s="9" t="str">
        <f>IF(DADOS!C9351="","",DADOS!C9351)</f>
        <v/>
      </c>
      <c r="F9351" s="9" t="str">
        <f>IF(DADOS!E9351="","",DADOS!E9351)</f>
        <v/>
      </c>
      <c r="G9351" s="9" t="str">
        <f>IF(DADOS!F9351="","",DADOS!F9351)</f>
        <v/>
      </c>
      <c r="K9351" s="6" t="str">
        <f t="shared" si="735"/>
        <v/>
      </c>
      <c r="L9351" s="7" t="str">
        <f t="shared" si="736"/>
        <v/>
      </c>
      <c r="M9351" s="7" t="str">
        <f t="shared" si="733"/>
        <v/>
      </c>
      <c r="N9351" s="7" t="str">
        <f t="shared" si="737"/>
        <v/>
      </c>
      <c r="O9351" s="8"/>
      <c r="P9351" s="26"/>
      <c r="S9351" s="10" t="str">
        <f t="shared" si="734"/>
        <v/>
      </c>
    </row>
    <row r="9352" spans="5:19" x14ac:dyDescent="0.3">
      <c r="E9352" s="9" t="str">
        <f>IF(DADOS!C9352="","",DADOS!C9352)</f>
        <v/>
      </c>
      <c r="F9352" s="9" t="str">
        <f>IF(DADOS!E9352="","",DADOS!E9352)</f>
        <v/>
      </c>
      <c r="G9352" s="9" t="str">
        <f>IF(DADOS!F9352="","",DADOS!F9352)</f>
        <v/>
      </c>
      <c r="K9352" s="6" t="str">
        <f t="shared" si="735"/>
        <v/>
      </c>
      <c r="L9352" s="7" t="str">
        <f t="shared" si="736"/>
        <v/>
      </c>
      <c r="M9352" s="7" t="str">
        <f t="shared" si="733"/>
        <v/>
      </c>
      <c r="N9352" s="7" t="str">
        <f t="shared" si="737"/>
        <v/>
      </c>
      <c r="O9352" s="8"/>
      <c r="P9352" s="26"/>
      <c r="S9352" s="10" t="str">
        <f t="shared" si="734"/>
        <v/>
      </c>
    </row>
    <row r="9353" spans="5:19" x14ac:dyDescent="0.3">
      <c r="E9353" s="9" t="str">
        <f>IF(DADOS!C9353="","",DADOS!C9353)</f>
        <v/>
      </c>
      <c r="F9353" s="9" t="str">
        <f>IF(DADOS!E9353="","",DADOS!E9353)</f>
        <v/>
      </c>
      <c r="G9353" s="9" t="str">
        <f>IF(DADOS!F9353="","",DADOS!F9353)</f>
        <v/>
      </c>
      <c r="K9353" s="6" t="str">
        <f t="shared" si="735"/>
        <v/>
      </c>
      <c r="L9353" s="7" t="str">
        <f t="shared" si="736"/>
        <v/>
      </c>
      <c r="M9353" s="7" t="str">
        <f t="shared" si="733"/>
        <v/>
      </c>
      <c r="N9353" s="7" t="str">
        <f t="shared" si="737"/>
        <v/>
      </c>
      <c r="O9353" s="8"/>
      <c r="P9353" s="26"/>
      <c r="S9353" s="10" t="str">
        <f t="shared" si="734"/>
        <v/>
      </c>
    </row>
    <row r="9354" spans="5:19" x14ac:dyDescent="0.3">
      <c r="E9354" s="9" t="str">
        <f>IF(DADOS!C9354="","",DADOS!C9354)</f>
        <v/>
      </c>
      <c r="F9354" s="9" t="str">
        <f>IF(DADOS!E9354="","",DADOS!E9354)</f>
        <v/>
      </c>
      <c r="G9354" s="9" t="str">
        <f>IF(DADOS!F9354="","",DADOS!F9354)</f>
        <v/>
      </c>
      <c r="K9354" s="6" t="str">
        <f t="shared" si="735"/>
        <v/>
      </c>
      <c r="L9354" s="7" t="str">
        <f t="shared" si="736"/>
        <v/>
      </c>
      <c r="M9354" s="7" t="str">
        <f t="shared" si="733"/>
        <v/>
      </c>
      <c r="N9354" s="7" t="str">
        <f t="shared" si="737"/>
        <v/>
      </c>
      <c r="O9354" s="8"/>
      <c r="P9354" s="26"/>
      <c r="S9354" s="10" t="str">
        <f t="shared" si="734"/>
        <v/>
      </c>
    </row>
    <row r="9355" spans="5:19" x14ac:dyDescent="0.3">
      <c r="E9355" s="9" t="str">
        <f>IF(DADOS!C9355="","",DADOS!C9355)</f>
        <v/>
      </c>
      <c r="F9355" s="9" t="str">
        <f>IF(DADOS!E9355="","",DADOS!E9355)</f>
        <v/>
      </c>
      <c r="G9355" s="9" t="str">
        <f>IF(DADOS!F9355="","",DADOS!F9355)</f>
        <v/>
      </c>
      <c r="K9355" s="6" t="str">
        <f t="shared" si="735"/>
        <v/>
      </c>
      <c r="L9355" s="7" t="str">
        <f t="shared" si="736"/>
        <v/>
      </c>
      <c r="M9355" s="7" t="str">
        <f t="shared" si="733"/>
        <v/>
      </c>
      <c r="N9355" s="7" t="str">
        <f t="shared" si="737"/>
        <v/>
      </c>
      <c r="O9355" s="8"/>
      <c r="P9355" s="26"/>
      <c r="S9355" s="10" t="str">
        <f t="shared" si="734"/>
        <v/>
      </c>
    </row>
    <row r="9356" spans="5:19" x14ac:dyDescent="0.3">
      <c r="E9356" s="9" t="str">
        <f>IF(DADOS!C9356="","",DADOS!C9356)</f>
        <v/>
      </c>
      <c r="F9356" s="9" t="str">
        <f>IF(DADOS!E9356="","",DADOS!E9356)</f>
        <v/>
      </c>
      <c r="G9356" s="9" t="str">
        <f>IF(DADOS!F9356="","",DADOS!F9356)</f>
        <v/>
      </c>
      <c r="K9356" s="6" t="str">
        <f t="shared" si="735"/>
        <v/>
      </c>
      <c r="L9356" s="7" t="str">
        <f t="shared" si="736"/>
        <v/>
      </c>
      <c r="M9356" s="7" t="str">
        <f t="shared" si="733"/>
        <v/>
      </c>
      <c r="N9356" s="7" t="str">
        <f t="shared" si="737"/>
        <v/>
      </c>
      <c r="O9356" s="8"/>
      <c r="P9356" s="26"/>
      <c r="S9356" s="10" t="str">
        <f t="shared" si="734"/>
        <v/>
      </c>
    </row>
    <row r="9357" spans="5:19" x14ac:dyDescent="0.3">
      <c r="E9357" s="9" t="str">
        <f>IF(DADOS!C9357="","",DADOS!C9357)</f>
        <v/>
      </c>
      <c r="F9357" s="9" t="str">
        <f>IF(DADOS!E9357="","",DADOS!E9357)</f>
        <v/>
      </c>
      <c r="G9357" s="9" t="str">
        <f>IF(DADOS!F9357="","",DADOS!F9357)</f>
        <v/>
      </c>
      <c r="K9357" s="6" t="str">
        <f t="shared" si="735"/>
        <v/>
      </c>
      <c r="L9357" s="7" t="str">
        <f t="shared" si="736"/>
        <v/>
      </c>
      <c r="M9357" s="7" t="str">
        <f t="shared" si="733"/>
        <v/>
      </c>
      <c r="N9357" s="7" t="str">
        <f t="shared" si="737"/>
        <v/>
      </c>
      <c r="O9357" s="8"/>
      <c r="P9357" s="26"/>
      <c r="S9357" s="10" t="str">
        <f t="shared" si="734"/>
        <v/>
      </c>
    </row>
    <row r="9358" spans="5:19" x14ac:dyDescent="0.3">
      <c r="E9358" s="9" t="str">
        <f>IF(DADOS!C9358="","",DADOS!C9358)</f>
        <v/>
      </c>
      <c r="F9358" s="9" t="str">
        <f>IF(DADOS!E9358="","",DADOS!E9358)</f>
        <v/>
      </c>
      <c r="G9358" s="9" t="str">
        <f>IF(DADOS!F9358="","",DADOS!F9358)</f>
        <v/>
      </c>
      <c r="K9358" s="6" t="str">
        <f t="shared" si="735"/>
        <v/>
      </c>
      <c r="L9358" s="7" t="str">
        <f t="shared" si="736"/>
        <v/>
      </c>
      <c r="M9358" s="7" t="str">
        <f t="shared" si="733"/>
        <v/>
      </c>
      <c r="N9358" s="7" t="str">
        <f t="shared" si="737"/>
        <v/>
      </c>
      <c r="O9358" s="8"/>
      <c r="P9358" s="26"/>
      <c r="S9358" s="10" t="str">
        <f t="shared" si="734"/>
        <v/>
      </c>
    </row>
    <row r="9359" spans="5:19" x14ac:dyDescent="0.3">
      <c r="E9359" s="9" t="str">
        <f>IF(DADOS!C9359="","",DADOS!C9359)</f>
        <v/>
      </c>
      <c r="F9359" s="9" t="str">
        <f>IF(DADOS!E9359="","",DADOS!E9359)</f>
        <v/>
      </c>
      <c r="G9359" s="9" t="str">
        <f>IF(DADOS!F9359="","",DADOS!F9359)</f>
        <v/>
      </c>
      <c r="K9359" s="6" t="str">
        <f t="shared" si="735"/>
        <v/>
      </c>
      <c r="L9359" s="7" t="str">
        <f t="shared" si="736"/>
        <v/>
      </c>
      <c r="M9359" s="7" t="str">
        <f t="shared" si="733"/>
        <v/>
      </c>
      <c r="N9359" s="7" t="str">
        <f t="shared" si="737"/>
        <v/>
      </c>
      <c r="O9359" s="8"/>
      <c r="P9359" s="26"/>
      <c r="S9359" s="10" t="str">
        <f t="shared" si="734"/>
        <v/>
      </c>
    </row>
    <row r="9360" spans="5:19" x14ac:dyDescent="0.3">
      <c r="E9360" s="9" t="str">
        <f>IF(DADOS!C9360="","",DADOS!C9360)</f>
        <v/>
      </c>
      <c r="F9360" s="9" t="str">
        <f>IF(DADOS!E9360="","",DADOS!E9360)</f>
        <v/>
      </c>
      <c r="G9360" s="9" t="str">
        <f>IF(DADOS!F9360="","",DADOS!F9360)</f>
        <v/>
      </c>
      <c r="K9360" s="6" t="str">
        <f t="shared" si="735"/>
        <v/>
      </c>
      <c r="L9360" s="7" t="str">
        <f t="shared" si="736"/>
        <v/>
      </c>
      <c r="M9360" s="7" t="str">
        <f t="shared" si="733"/>
        <v/>
      </c>
      <c r="N9360" s="7" t="str">
        <f t="shared" si="737"/>
        <v/>
      </c>
      <c r="O9360" s="8"/>
      <c r="P9360" s="26"/>
      <c r="S9360" s="10" t="str">
        <f t="shared" si="734"/>
        <v/>
      </c>
    </row>
    <row r="9361" spans="5:19" x14ac:dyDescent="0.3">
      <c r="E9361" s="9" t="str">
        <f>IF(DADOS!C9361="","",DADOS!C9361)</f>
        <v/>
      </c>
      <c r="F9361" s="9" t="str">
        <f>IF(DADOS!E9361="","",DADOS!E9361)</f>
        <v/>
      </c>
      <c r="G9361" s="9" t="str">
        <f>IF(DADOS!F9361="","",DADOS!F9361)</f>
        <v/>
      </c>
      <c r="K9361" s="6" t="str">
        <f t="shared" si="735"/>
        <v/>
      </c>
      <c r="L9361" s="7" t="str">
        <f t="shared" si="736"/>
        <v/>
      </c>
      <c r="M9361" s="7" t="str">
        <f t="shared" si="733"/>
        <v/>
      </c>
      <c r="N9361" s="7" t="str">
        <f t="shared" si="737"/>
        <v/>
      </c>
      <c r="O9361" s="8"/>
      <c r="P9361" s="26"/>
      <c r="S9361" s="10" t="str">
        <f t="shared" si="734"/>
        <v/>
      </c>
    </row>
    <row r="9362" spans="5:19" x14ac:dyDescent="0.3">
      <c r="E9362" s="9" t="str">
        <f>IF(DADOS!C9362="","",DADOS!C9362)</f>
        <v/>
      </c>
      <c r="F9362" s="9" t="str">
        <f>IF(DADOS!E9362="","",DADOS!E9362)</f>
        <v/>
      </c>
      <c r="G9362" s="9" t="str">
        <f>IF(DADOS!F9362="","",DADOS!F9362)</f>
        <v/>
      </c>
      <c r="K9362" s="6" t="str">
        <f t="shared" si="735"/>
        <v/>
      </c>
      <c r="L9362" s="7" t="str">
        <f t="shared" si="736"/>
        <v/>
      </c>
      <c r="M9362" s="7" t="str">
        <f t="shared" si="733"/>
        <v/>
      </c>
      <c r="N9362" s="7" t="str">
        <f t="shared" si="737"/>
        <v/>
      </c>
      <c r="O9362" s="8"/>
      <c r="P9362" s="26"/>
      <c r="S9362" s="10" t="str">
        <f t="shared" si="734"/>
        <v/>
      </c>
    </row>
    <row r="9363" spans="5:19" x14ac:dyDescent="0.3">
      <c r="E9363" s="9" t="str">
        <f>IF(DADOS!C9363="","",DADOS!C9363)</f>
        <v/>
      </c>
      <c r="F9363" s="9" t="str">
        <f>IF(DADOS!E9363="","",DADOS!E9363)</f>
        <v/>
      </c>
      <c r="G9363" s="9" t="str">
        <f>IF(DADOS!F9363="","",DADOS!F9363)</f>
        <v/>
      </c>
      <c r="K9363" s="6" t="str">
        <f t="shared" si="735"/>
        <v/>
      </c>
      <c r="L9363" s="7" t="str">
        <f t="shared" si="736"/>
        <v/>
      </c>
      <c r="M9363" s="7" t="str">
        <f t="shared" si="733"/>
        <v/>
      </c>
      <c r="N9363" s="7" t="str">
        <f t="shared" si="737"/>
        <v/>
      </c>
      <c r="O9363" s="8"/>
      <c r="P9363" s="26"/>
      <c r="S9363" s="10" t="str">
        <f t="shared" si="734"/>
        <v/>
      </c>
    </row>
    <row r="9364" spans="5:19" x14ac:dyDescent="0.3">
      <c r="E9364" s="9" t="str">
        <f>IF(DADOS!C9364="","",DADOS!C9364)</f>
        <v/>
      </c>
      <c r="F9364" s="9" t="str">
        <f>IF(DADOS!E9364="","",DADOS!E9364)</f>
        <v/>
      </c>
      <c r="G9364" s="9" t="str">
        <f>IF(DADOS!F9364="","",DADOS!F9364)</f>
        <v/>
      </c>
      <c r="K9364" s="6" t="str">
        <f t="shared" si="735"/>
        <v/>
      </c>
      <c r="L9364" s="7" t="str">
        <f t="shared" si="736"/>
        <v/>
      </c>
      <c r="M9364" s="7" t="str">
        <f t="shared" si="733"/>
        <v/>
      </c>
      <c r="N9364" s="7" t="str">
        <f t="shared" si="737"/>
        <v/>
      </c>
      <c r="O9364" s="8"/>
      <c r="P9364" s="26"/>
      <c r="S9364" s="10" t="str">
        <f t="shared" si="734"/>
        <v/>
      </c>
    </row>
    <row r="9365" spans="5:19" x14ac:dyDescent="0.3">
      <c r="E9365" s="9" t="str">
        <f>IF(DADOS!C9365="","",DADOS!C9365)</f>
        <v/>
      </c>
      <c r="F9365" s="9" t="str">
        <f>IF(DADOS!E9365="","",DADOS!E9365)</f>
        <v/>
      </c>
      <c r="G9365" s="9" t="str">
        <f>IF(DADOS!F9365="","",DADOS!F9365)</f>
        <v/>
      </c>
      <c r="K9365" s="6" t="str">
        <f t="shared" si="735"/>
        <v/>
      </c>
      <c r="L9365" s="7" t="str">
        <f t="shared" si="736"/>
        <v/>
      </c>
      <c r="M9365" s="7" t="str">
        <f t="shared" si="733"/>
        <v/>
      </c>
      <c r="N9365" s="7" t="str">
        <f t="shared" si="737"/>
        <v/>
      </c>
      <c r="O9365" s="8"/>
      <c r="P9365" s="26"/>
      <c r="S9365" s="10" t="str">
        <f t="shared" si="734"/>
        <v/>
      </c>
    </row>
    <row r="9366" spans="5:19" x14ac:dyDescent="0.3">
      <c r="E9366" s="9" t="str">
        <f>IF(DADOS!C9366="","",DADOS!C9366)</f>
        <v/>
      </c>
      <c r="F9366" s="9" t="str">
        <f>IF(DADOS!E9366="","",DADOS!E9366)</f>
        <v/>
      </c>
      <c r="G9366" s="9" t="str">
        <f>IF(DADOS!F9366="","",DADOS!F9366)</f>
        <v/>
      </c>
      <c r="K9366" s="6" t="str">
        <f t="shared" si="735"/>
        <v/>
      </c>
      <c r="L9366" s="7" t="str">
        <f t="shared" si="736"/>
        <v/>
      </c>
      <c r="M9366" s="7" t="str">
        <f t="shared" si="733"/>
        <v/>
      </c>
      <c r="N9366" s="7" t="str">
        <f t="shared" si="737"/>
        <v/>
      </c>
      <c r="O9366" s="8"/>
      <c r="P9366" s="26"/>
      <c r="S9366" s="10" t="str">
        <f t="shared" si="734"/>
        <v/>
      </c>
    </row>
    <row r="9367" spans="5:19" x14ac:dyDescent="0.3">
      <c r="E9367" s="9" t="str">
        <f>IF(DADOS!C9367="","",DADOS!C9367)</f>
        <v/>
      </c>
      <c r="F9367" s="9" t="str">
        <f>IF(DADOS!E9367="","",DADOS!E9367)</f>
        <v/>
      </c>
      <c r="G9367" s="9" t="str">
        <f>IF(DADOS!F9367="","",DADOS!F9367)</f>
        <v/>
      </c>
      <c r="K9367" s="6" t="str">
        <f t="shared" si="735"/>
        <v/>
      </c>
      <c r="L9367" s="7" t="str">
        <f t="shared" si="736"/>
        <v/>
      </c>
      <c r="M9367" s="7" t="str">
        <f t="shared" si="733"/>
        <v/>
      </c>
      <c r="N9367" s="7" t="str">
        <f t="shared" si="737"/>
        <v/>
      </c>
      <c r="O9367" s="8"/>
      <c r="P9367" s="26"/>
      <c r="S9367" s="10" t="str">
        <f t="shared" si="734"/>
        <v/>
      </c>
    </row>
    <row r="9368" spans="5:19" x14ac:dyDescent="0.3">
      <c r="E9368" s="9" t="str">
        <f>IF(DADOS!C9368="","",DADOS!C9368)</f>
        <v/>
      </c>
      <c r="F9368" s="9" t="str">
        <f>IF(DADOS!E9368="","",DADOS!E9368)</f>
        <v/>
      </c>
      <c r="G9368" s="9" t="str">
        <f>IF(DADOS!F9368="","",DADOS!F9368)</f>
        <v/>
      </c>
      <c r="K9368" s="6" t="str">
        <f t="shared" si="735"/>
        <v/>
      </c>
      <c r="L9368" s="7" t="str">
        <f t="shared" si="736"/>
        <v/>
      </c>
      <c r="M9368" s="7" t="str">
        <f t="shared" si="733"/>
        <v/>
      </c>
      <c r="N9368" s="7" t="str">
        <f t="shared" si="737"/>
        <v/>
      </c>
      <c r="O9368" s="8"/>
      <c r="P9368" s="26"/>
      <c r="S9368" s="10" t="str">
        <f t="shared" si="734"/>
        <v/>
      </c>
    </row>
    <row r="9369" spans="5:19" x14ac:dyDescent="0.3">
      <c r="E9369" s="9" t="str">
        <f>IF(DADOS!C9369="","",DADOS!C9369)</f>
        <v/>
      </c>
      <c r="F9369" s="9" t="str">
        <f>IF(DADOS!E9369="","",DADOS!E9369)</f>
        <v/>
      </c>
      <c r="G9369" s="9" t="str">
        <f>IF(DADOS!F9369="","",DADOS!F9369)</f>
        <v/>
      </c>
      <c r="K9369" s="6" t="str">
        <f t="shared" si="735"/>
        <v/>
      </c>
      <c r="L9369" s="7" t="str">
        <f t="shared" si="736"/>
        <v/>
      </c>
      <c r="M9369" s="7" t="str">
        <f t="shared" si="733"/>
        <v/>
      </c>
      <c r="N9369" s="7" t="str">
        <f t="shared" si="737"/>
        <v/>
      </c>
      <c r="O9369" s="8"/>
      <c r="P9369" s="26"/>
      <c r="S9369" s="10" t="str">
        <f t="shared" si="734"/>
        <v/>
      </c>
    </row>
    <row r="9370" spans="5:19" x14ac:dyDescent="0.3">
      <c r="E9370" s="9" t="str">
        <f>IF(DADOS!C9370="","",DADOS!C9370)</f>
        <v/>
      </c>
      <c r="F9370" s="9" t="str">
        <f>IF(DADOS!E9370="","",DADOS!E9370)</f>
        <v/>
      </c>
      <c r="G9370" s="9" t="str">
        <f>IF(DADOS!F9370="","",DADOS!F9370)</f>
        <v/>
      </c>
      <c r="K9370" s="6" t="str">
        <f t="shared" si="735"/>
        <v/>
      </c>
      <c r="L9370" s="7" t="str">
        <f t="shared" si="736"/>
        <v/>
      </c>
      <c r="M9370" s="7" t="str">
        <f t="shared" si="733"/>
        <v/>
      </c>
      <c r="N9370" s="7" t="str">
        <f t="shared" si="737"/>
        <v/>
      </c>
      <c r="O9370" s="8"/>
      <c r="P9370" s="26"/>
      <c r="S9370" s="10" t="str">
        <f t="shared" si="734"/>
        <v/>
      </c>
    </row>
    <row r="9371" spans="5:19" x14ac:dyDescent="0.3">
      <c r="E9371" s="9" t="str">
        <f>IF(DADOS!C9371="","",DADOS!C9371)</f>
        <v/>
      </c>
      <c r="F9371" s="9" t="str">
        <f>IF(DADOS!E9371="","",DADOS!E9371)</f>
        <v/>
      </c>
      <c r="G9371" s="9" t="str">
        <f>IF(DADOS!F9371="","",DADOS!F9371)</f>
        <v/>
      </c>
      <c r="K9371" s="6" t="str">
        <f t="shared" si="735"/>
        <v/>
      </c>
      <c r="L9371" s="7" t="str">
        <f t="shared" si="736"/>
        <v/>
      </c>
      <c r="M9371" s="7" t="str">
        <f t="shared" si="733"/>
        <v/>
      </c>
      <c r="N9371" s="7" t="str">
        <f t="shared" si="737"/>
        <v/>
      </c>
      <c r="O9371" s="8"/>
      <c r="P9371" s="26"/>
      <c r="S9371" s="10" t="str">
        <f t="shared" si="734"/>
        <v/>
      </c>
    </row>
    <row r="9372" spans="5:19" x14ac:dyDescent="0.3">
      <c r="E9372" s="9" t="str">
        <f>IF(DADOS!C9372="","",DADOS!C9372)</f>
        <v/>
      </c>
      <c r="F9372" s="9" t="str">
        <f>IF(DADOS!E9372="","",DADOS!E9372)</f>
        <v/>
      </c>
      <c r="G9372" s="9" t="str">
        <f>IF(DADOS!F9372="","",DADOS!F9372)</f>
        <v/>
      </c>
      <c r="K9372" s="6" t="str">
        <f t="shared" si="735"/>
        <v/>
      </c>
      <c r="L9372" s="7" t="str">
        <f t="shared" si="736"/>
        <v/>
      </c>
      <c r="M9372" s="7" t="str">
        <f t="shared" si="733"/>
        <v/>
      </c>
      <c r="N9372" s="7" t="str">
        <f t="shared" si="737"/>
        <v/>
      </c>
      <c r="O9372" s="8"/>
      <c r="P9372" s="26"/>
      <c r="S9372" s="10" t="str">
        <f t="shared" si="734"/>
        <v/>
      </c>
    </row>
    <row r="9373" spans="5:19" x14ac:dyDescent="0.3">
      <c r="E9373" s="9" t="str">
        <f>IF(DADOS!C9373="","",DADOS!C9373)</f>
        <v/>
      </c>
      <c r="F9373" s="9" t="str">
        <f>IF(DADOS!E9373="","",DADOS!E9373)</f>
        <v/>
      </c>
      <c r="G9373" s="9" t="str">
        <f>IF(DADOS!F9373="","",DADOS!F9373)</f>
        <v/>
      </c>
      <c r="K9373" s="6" t="str">
        <f t="shared" si="735"/>
        <v/>
      </c>
      <c r="L9373" s="7" t="str">
        <f t="shared" si="736"/>
        <v/>
      </c>
      <c r="M9373" s="7" t="str">
        <f t="shared" si="733"/>
        <v/>
      </c>
      <c r="N9373" s="7" t="str">
        <f t="shared" si="737"/>
        <v/>
      </c>
      <c r="O9373" s="8"/>
      <c r="P9373" s="26"/>
      <c r="S9373" s="10" t="str">
        <f t="shared" si="734"/>
        <v/>
      </c>
    </row>
    <row r="9374" spans="5:19" x14ac:dyDescent="0.3">
      <c r="E9374" s="9" t="str">
        <f>IF(DADOS!C9374="","",DADOS!C9374)</f>
        <v/>
      </c>
      <c r="F9374" s="9" t="str">
        <f>IF(DADOS!E9374="","",DADOS!E9374)</f>
        <v/>
      </c>
      <c r="G9374" s="9" t="str">
        <f>IF(DADOS!F9374="","",DADOS!F9374)</f>
        <v/>
      </c>
      <c r="K9374" s="6" t="str">
        <f t="shared" si="735"/>
        <v/>
      </c>
      <c r="L9374" s="7" t="str">
        <f t="shared" si="736"/>
        <v/>
      </c>
      <c r="M9374" s="7" t="str">
        <f t="shared" si="733"/>
        <v/>
      </c>
      <c r="N9374" s="7" t="str">
        <f t="shared" si="737"/>
        <v/>
      </c>
      <c r="O9374" s="8"/>
      <c r="P9374" s="26"/>
      <c r="S9374" s="10" t="str">
        <f t="shared" si="734"/>
        <v/>
      </c>
    </row>
    <row r="9375" spans="5:19" x14ac:dyDescent="0.3">
      <c r="E9375" s="9" t="str">
        <f>IF(DADOS!C9375="","",DADOS!C9375)</f>
        <v/>
      </c>
      <c r="F9375" s="9" t="str">
        <f>IF(DADOS!E9375="","",DADOS!E9375)</f>
        <v/>
      </c>
      <c r="G9375" s="9" t="str">
        <f>IF(DADOS!F9375="","",DADOS!F9375)</f>
        <v/>
      </c>
      <c r="K9375" s="6" t="str">
        <f t="shared" si="735"/>
        <v/>
      </c>
      <c r="L9375" s="7" t="str">
        <f t="shared" si="736"/>
        <v/>
      </c>
      <c r="M9375" s="7" t="str">
        <f t="shared" si="733"/>
        <v/>
      </c>
      <c r="N9375" s="7" t="str">
        <f t="shared" si="737"/>
        <v/>
      </c>
      <c r="O9375" s="8"/>
      <c r="P9375" s="26"/>
      <c r="S9375" s="10" t="str">
        <f t="shared" si="734"/>
        <v/>
      </c>
    </row>
    <row r="9376" spans="5:19" x14ac:dyDescent="0.3">
      <c r="E9376" s="9" t="str">
        <f>IF(DADOS!C9376="","",DADOS!C9376)</f>
        <v/>
      </c>
      <c r="F9376" s="9" t="str">
        <f>IF(DADOS!E9376="","",DADOS!E9376)</f>
        <v/>
      </c>
      <c r="G9376" s="9" t="str">
        <f>IF(DADOS!F9376="","",DADOS!F9376)</f>
        <v/>
      </c>
      <c r="K9376" s="6" t="str">
        <f t="shared" si="735"/>
        <v/>
      </c>
      <c r="L9376" s="7" t="str">
        <f t="shared" si="736"/>
        <v/>
      </c>
      <c r="M9376" s="7" t="str">
        <f t="shared" si="733"/>
        <v/>
      </c>
      <c r="N9376" s="7" t="str">
        <f t="shared" si="737"/>
        <v/>
      </c>
      <c r="O9376" s="8"/>
      <c r="P9376" s="26"/>
      <c r="S9376" s="10" t="str">
        <f t="shared" si="734"/>
        <v/>
      </c>
    </row>
    <row r="9377" spans="5:19" x14ac:dyDescent="0.3">
      <c r="E9377" s="9" t="str">
        <f>IF(DADOS!C9377="","",DADOS!C9377)</f>
        <v/>
      </c>
      <c r="F9377" s="9" t="str">
        <f>IF(DADOS!E9377="","",DADOS!E9377)</f>
        <v/>
      </c>
      <c r="G9377" s="9" t="str">
        <f>IF(DADOS!F9377="","",DADOS!F9377)</f>
        <v/>
      </c>
      <c r="K9377" s="6" t="str">
        <f t="shared" si="735"/>
        <v/>
      </c>
      <c r="L9377" s="7" t="str">
        <f t="shared" si="736"/>
        <v/>
      </c>
      <c r="M9377" s="7" t="str">
        <f t="shared" si="733"/>
        <v/>
      </c>
      <c r="N9377" s="7" t="str">
        <f t="shared" si="737"/>
        <v/>
      </c>
      <c r="O9377" s="8"/>
      <c r="P9377" s="26"/>
      <c r="S9377" s="10" t="str">
        <f t="shared" si="734"/>
        <v/>
      </c>
    </row>
    <row r="9378" spans="5:19" x14ac:dyDescent="0.3">
      <c r="E9378" s="9" t="str">
        <f>IF(DADOS!C9378="","",DADOS!C9378)</f>
        <v/>
      </c>
      <c r="F9378" s="9" t="str">
        <f>IF(DADOS!E9378="","",DADOS!E9378)</f>
        <v/>
      </c>
      <c r="G9378" s="9" t="str">
        <f>IF(DADOS!F9378="","",DADOS!F9378)</f>
        <v/>
      </c>
      <c r="K9378" s="6" t="str">
        <f t="shared" si="735"/>
        <v/>
      </c>
      <c r="L9378" s="7" t="str">
        <f t="shared" si="736"/>
        <v/>
      </c>
      <c r="M9378" s="7" t="str">
        <f t="shared" si="733"/>
        <v/>
      </c>
      <c r="N9378" s="7" t="str">
        <f t="shared" si="737"/>
        <v/>
      </c>
      <c r="O9378" s="8"/>
      <c r="P9378" s="26"/>
      <c r="S9378" s="10" t="str">
        <f t="shared" si="734"/>
        <v/>
      </c>
    </row>
    <row r="9379" spans="5:19" x14ac:dyDescent="0.3">
      <c r="E9379" s="9" t="str">
        <f>IF(DADOS!C9379="","",DADOS!C9379)</f>
        <v/>
      </c>
      <c r="F9379" s="9" t="str">
        <f>IF(DADOS!E9379="","",DADOS!E9379)</f>
        <v/>
      </c>
      <c r="G9379" s="9" t="str">
        <f>IF(DADOS!F9379="","",DADOS!F9379)</f>
        <v/>
      </c>
      <c r="K9379" s="6" t="str">
        <f t="shared" si="735"/>
        <v/>
      </c>
      <c r="L9379" s="7" t="str">
        <f t="shared" si="736"/>
        <v/>
      </c>
      <c r="M9379" s="7" t="str">
        <f t="shared" si="733"/>
        <v/>
      </c>
      <c r="N9379" s="7" t="str">
        <f t="shared" si="737"/>
        <v/>
      </c>
      <c r="O9379" s="8"/>
      <c r="P9379" s="26"/>
      <c r="S9379" s="10" t="str">
        <f t="shared" si="734"/>
        <v/>
      </c>
    </row>
    <row r="9380" spans="5:19" x14ac:dyDescent="0.3">
      <c r="E9380" s="9" t="str">
        <f>IF(DADOS!C9380="","",DADOS!C9380)</f>
        <v/>
      </c>
      <c r="F9380" s="9" t="str">
        <f>IF(DADOS!E9380="","",DADOS!E9380)</f>
        <v/>
      </c>
      <c r="G9380" s="9" t="str">
        <f>IF(DADOS!F9380="","",DADOS!F9380)</f>
        <v/>
      </c>
      <c r="K9380" s="6" t="str">
        <f t="shared" si="735"/>
        <v/>
      </c>
      <c r="L9380" s="7" t="str">
        <f t="shared" si="736"/>
        <v/>
      </c>
      <c r="M9380" s="7" t="str">
        <f t="shared" si="733"/>
        <v/>
      </c>
      <c r="N9380" s="7" t="str">
        <f t="shared" si="737"/>
        <v/>
      </c>
      <c r="O9380" s="8"/>
      <c r="P9380" s="26"/>
      <c r="S9380" s="10" t="str">
        <f t="shared" si="734"/>
        <v/>
      </c>
    </row>
    <row r="9381" spans="5:19" x14ac:dyDescent="0.3">
      <c r="E9381" s="9" t="str">
        <f>IF(DADOS!C9381="","",DADOS!C9381)</f>
        <v/>
      </c>
      <c r="F9381" s="9" t="str">
        <f>IF(DADOS!E9381="","",DADOS!E9381)</f>
        <v/>
      </c>
      <c r="G9381" s="9" t="str">
        <f>IF(DADOS!F9381="","",DADOS!F9381)</f>
        <v/>
      </c>
      <c r="K9381" s="6" t="str">
        <f t="shared" si="735"/>
        <v/>
      </c>
      <c r="L9381" s="7" t="str">
        <f t="shared" si="736"/>
        <v/>
      </c>
      <c r="M9381" s="7" t="str">
        <f t="shared" si="733"/>
        <v/>
      </c>
      <c r="N9381" s="7" t="str">
        <f t="shared" si="737"/>
        <v/>
      </c>
      <c r="O9381" s="8"/>
      <c r="P9381" s="26"/>
      <c r="S9381" s="10" t="str">
        <f t="shared" si="734"/>
        <v/>
      </c>
    </row>
    <row r="9382" spans="5:19" x14ac:dyDescent="0.3">
      <c r="E9382" s="9" t="str">
        <f>IF(DADOS!C9382="","",DADOS!C9382)</f>
        <v/>
      </c>
      <c r="F9382" s="9" t="str">
        <f>IF(DADOS!E9382="","",DADOS!E9382)</f>
        <v/>
      </c>
      <c r="G9382" s="9" t="str">
        <f>IF(DADOS!F9382="","",DADOS!F9382)</f>
        <v/>
      </c>
      <c r="K9382" s="6" t="str">
        <f t="shared" si="735"/>
        <v/>
      </c>
      <c r="L9382" s="7" t="str">
        <f t="shared" si="736"/>
        <v/>
      </c>
      <c r="M9382" s="7" t="str">
        <f t="shared" si="733"/>
        <v/>
      </c>
      <c r="N9382" s="7" t="str">
        <f t="shared" si="737"/>
        <v/>
      </c>
      <c r="O9382" s="8"/>
      <c r="P9382" s="26"/>
      <c r="S9382" s="10" t="str">
        <f t="shared" si="734"/>
        <v/>
      </c>
    </row>
    <row r="9383" spans="5:19" x14ac:dyDescent="0.3">
      <c r="E9383" s="9" t="str">
        <f>IF(DADOS!C9383="","",DADOS!C9383)</f>
        <v/>
      </c>
      <c r="F9383" s="9" t="str">
        <f>IF(DADOS!E9383="","",DADOS!E9383)</f>
        <v/>
      </c>
      <c r="G9383" s="9" t="str">
        <f>IF(DADOS!F9383="","",DADOS!F9383)</f>
        <v/>
      </c>
      <c r="K9383" s="6" t="str">
        <f t="shared" si="735"/>
        <v/>
      </c>
      <c r="L9383" s="7" t="str">
        <f t="shared" si="736"/>
        <v/>
      </c>
      <c r="M9383" s="7" t="str">
        <f t="shared" si="733"/>
        <v/>
      </c>
      <c r="N9383" s="7" t="str">
        <f t="shared" si="737"/>
        <v/>
      </c>
      <c r="O9383" s="8"/>
      <c r="P9383" s="26"/>
      <c r="S9383" s="10" t="str">
        <f t="shared" si="734"/>
        <v/>
      </c>
    </row>
    <row r="9384" spans="5:19" x14ac:dyDescent="0.3">
      <c r="E9384" s="9" t="str">
        <f>IF(DADOS!C9384="","",DADOS!C9384)</f>
        <v/>
      </c>
      <c r="F9384" s="9" t="str">
        <f>IF(DADOS!E9384="","",DADOS!E9384)</f>
        <v/>
      </c>
      <c r="G9384" s="9" t="str">
        <f>IF(DADOS!F9384="","",DADOS!F9384)</f>
        <v/>
      </c>
      <c r="K9384" s="6" t="str">
        <f t="shared" si="735"/>
        <v/>
      </c>
      <c r="L9384" s="7" t="str">
        <f t="shared" si="736"/>
        <v/>
      </c>
      <c r="M9384" s="7" t="str">
        <f t="shared" si="733"/>
        <v/>
      </c>
      <c r="N9384" s="7" t="str">
        <f t="shared" si="737"/>
        <v/>
      </c>
      <c r="O9384" s="8"/>
      <c r="P9384" s="26"/>
      <c r="S9384" s="10" t="str">
        <f t="shared" si="734"/>
        <v/>
      </c>
    </row>
    <row r="9385" spans="5:19" x14ac:dyDescent="0.3">
      <c r="E9385" s="9" t="str">
        <f>IF(DADOS!C9385="","",DADOS!C9385)</f>
        <v/>
      </c>
      <c r="F9385" s="9" t="str">
        <f>IF(DADOS!E9385="","",DADOS!E9385)</f>
        <v/>
      </c>
      <c r="G9385" s="9" t="str">
        <f>IF(DADOS!F9385="","",DADOS!F9385)</f>
        <v/>
      </c>
      <c r="K9385" s="6" t="str">
        <f t="shared" si="735"/>
        <v/>
      </c>
      <c r="L9385" s="7" t="str">
        <f t="shared" si="736"/>
        <v/>
      </c>
      <c r="M9385" s="7" t="str">
        <f t="shared" si="733"/>
        <v/>
      </c>
      <c r="N9385" s="7" t="str">
        <f t="shared" si="737"/>
        <v/>
      </c>
      <c r="O9385" s="8"/>
      <c r="P9385" s="26"/>
      <c r="S9385" s="10" t="str">
        <f t="shared" si="734"/>
        <v/>
      </c>
    </row>
    <row r="9386" spans="5:19" x14ac:dyDescent="0.3">
      <c r="E9386" s="9" t="str">
        <f>IF(DADOS!C9386="","",DADOS!C9386)</f>
        <v/>
      </c>
      <c r="F9386" s="9" t="str">
        <f>IF(DADOS!E9386="","",DADOS!E9386)</f>
        <v/>
      </c>
      <c r="G9386" s="9" t="str">
        <f>IF(DADOS!F9386="","",DADOS!F9386)</f>
        <v/>
      </c>
      <c r="K9386" s="6" t="str">
        <f t="shared" si="735"/>
        <v/>
      </c>
      <c r="L9386" s="7" t="str">
        <f t="shared" si="736"/>
        <v/>
      </c>
      <c r="M9386" s="7" t="str">
        <f t="shared" si="733"/>
        <v/>
      </c>
      <c r="N9386" s="7" t="str">
        <f t="shared" si="737"/>
        <v/>
      </c>
      <c r="O9386" s="8"/>
      <c r="P9386" s="26"/>
      <c r="S9386" s="10" t="str">
        <f t="shared" si="734"/>
        <v/>
      </c>
    </row>
    <row r="9387" spans="5:19" x14ac:dyDescent="0.3">
      <c r="E9387" s="9" t="str">
        <f>IF(DADOS!C9387="","",DADOS!C9387)</f>
        <v/>
      </c>
      <c r="F9387" s="9" t="str">
        <f>IF(DADOS!E9387="","",DADOS!E9387)</f>
        <v/>
      </c>
      <c r="G9387" s="9" t="str">
        <f>IF(DADOS!F9387="","",DADOS!F9387)</f>
        <v/>
      </c>
      <c r="K9387" s="6" t="str">
        <f t="shared" si="735"/>
        <v/>
      </c>
      <c r="L9387" s="7" t="str">
        <f t="shared" si="736"/>
        <v/>
      </c>
      <c r="M9387" s="7" t="str">
        <f t="shared" si="733"/>
        <v/>
      </c>
      <c r="N9387" s="7" t="str">
        <f t="shared" si="737"/>
        <v/>
      </c>
      <c r="O9387" s="8"/>
      <c r="P9387" s="26"/>
      <c r="S9387" s="10" t="str">
        <f t="shared" si="734"/>
        <v/>
      </c>
    </row>
    <row r="9388" spans="5:19" x14ac:dyDescent="0.3">
      <c r="E9388" s="9" t="str">
        <f>IF(DADOS!C9388="","",DADOS!C9388)</f>
        <v/>
      </c>
      <c r="F9388" s="9" t="str">
        <f>IF(DADOS!E9388="","",DADOS!E9388)</f>
        <v/>
      </c>
      <c r="G9388" s="9" t="str">
        <f>IF(DADOS!F9388="","",DADOS!F9388)</f>
        <v/>
      </c>
      <c r="K9388" s="6" t="str">
        <f t="shared" si="735"/>
        <v/>
      </c>
      <c r="L9388" s="7" t="str">
        <f t="shared" si="736"/>
        <v/>
      </c>
      <c r="M9388" s="7" t="str">
        <f t="shared" si="733"/>
        <v/>
      </c>
      <c r="N9388" s="7" t="str">
        <f t="shared" si="737"/>
        <v/>
      </c>
      <c r="O9388" s="8"/>
      <c r="P9388" s="26"/>
      <c r="S9388" s="10" t="str">
        <f t="shared" si="734"/>
        <v/>
      </c>
    </row>
    <row r="9389" spans="5:19" x14ac:dyDescent="0.3">
      <c r="E9389" s="9" t="str">
        <f>IF(DADOS!C9389="","",DADOS!C9389)</f>
        <v/>
      </c>
      <c r="F9389" s="9" t="str">
        <f>IF(DADOS!E9389="","",DADOS!E9389)</f>
        <v/>
      </c>
      <c r="G9389" s="9" t="str">
        <f>IF(DADOS!F9389="","",DADOS!F9389)</f>
        <v/>
      </c>
      <c r="K9389" s="6" t="str">
        <f t="shared" si="735"/>
        <v/>
      </c>
      <c r="L9389" s="7" t="str">
        <f t="shared" si="736"/>
        <v/>
      </c>
      <c r="M9389" s="7" t="str">
        <f t="shared" si="733"/>
        <v/>
      </c>
      <c r="N9389" s="7" t="str">
        <f t="shared" si="737"/>
        <v/>
      </c>
      <c r="O9389" s="8"/>
      <c r="P9389" s="26"/>
      <c r="S9389" s="10" t="str">
        <f t="shared" si="734"/>
        <v/>
      </c>
    </row>
    <row r="9390" spans="5:19" x14ac:dyDescent="0.3">
      <c r="E9390" s="9" t="str">
        <f>IF(DADOS!C9390="","",DADOS!C9390)</f>
        <v/>
      </c>
      <c r="F9390" s="9" t="str">
        <f>IF(DADOS!E9390="","",DADOS!E9390)</f>
        <v/>
      </c>
      <c r="G9390" s="9" t="str">
        <f>IF(DADOS!F9390="","",DADOS!F9390)</f>
        <v/>
      </c>
      <c r="K9390" s="6" t="str">
        <f t="shared" si="735"/>
        <v/>
      </c>
      <c r="L9390" s="7" t="str">
        <f t="shared" si="736"/>
        <v/>
      </c>
      <c r="M9390" s="7" t="str">
        <f t="shared" si="733"/>
        <v/>
      </c>
      <c r="N9390" s="7" t="str">
        <f t="shared" si="737"/>
        <v/>
      </c>
      <c r="O9390" s="8"/>
      <c r="P9390" s="26"/>
      <c r="S9390" s="10" t="str">
        <f t="shared" si="734"/>
        <v/>
      </c>
    </row>
    <row r="9391" spans="5:19" x14ac:dyDescent="0.3">
      <c r="E9391" s="9" t="str">
        <f>IF(DADOS!C9391="","",DADOS!C9391)</f>
        <v/>
      </c>
      <c r="F9391" s="9" t="str">
        <f>IF(DADOS!E9391="","",DADOS!E9391)</f>
        <v/>
      </c>
      <c r="G9391" s="9" t="str">
        <f>IF(DADOS!F9391="","",DADOS!F9391)</f>
        <v/>
      </c>
      <c r="K9391" s="6" t="str">
        <f t="shared" si="735"/>
        <v/>
      </c>
      <c r="L9391" s="7" t="str">
        <f t="shared" si="736"/>
        <v/>
      </c>
      <c r="M9391" s="7" t="str">
        <f t="shared" si="733"/>
        <v/>
      </c>
      <c r="N9391" s="7" t="str">
        <f t="shared" si="737"/>
        <v/>
      </c>
      <c r="O9391" s="8"/>
      <c r="P9391" s="26"/>
      <c r="S9391" s="10" t="str">
        <f t="shared" si="734"/>
        <v/>
      </c>
    </row>
    <row r="9392" spans="5:19" x14ac:dyDescent="0.3">
      <c r="E9392" s="9" t="str">
        <f>IF(DADOS!C9392="","",DADOS!C9392)</f>
        <v/>
      </c>
      <c r="F9392" s="9" t="str">
        <f>IF(DADOS!E9392="","",DADOS!E9392)</f>
        <v/>
      </c>
      <c r="G9392" s="9" t="str">
        <f>IF(DADOS!F9392="","",DADOS!F9392)</f>
        <v/>
      </c>
      <c r="K9392" s="6" t="str">
        <f t="shared" si="735"/>
        <v/>
      </c>
      <c r="L9392" s="7" t="str">
        <f t="shared" si="736"/>
        <v/>
      </c>
      <c r="M9392" s="7" t="str">
        <f t="shared" si="733"/>
        <v/>
      </c>
      <c r="N9392" s="7" t="str">
        <f t="shared" si="737"/>
        <v/>
      </c>
      <c r="O9392" s="8"/>
      <c r="P9392" s="26"/>
      <c r="S9392" s="10" t="str">
        <f t="shared" si="734"/>
        <v/>
      </c>
    </row>
    <row r="9393" spans="5:19" x14ac:dyDescent="0.3">
      <c r="E9393" s="9" t="str">
        <f>IF(DADOS!C9393="","",DADOS!C9393)</f>
        <v/>
      </c>
      <c r="F9393" s="9" t="str">
        <f>IF(DADOS!E9393="","",DADOS!E9393)</f>
        <v/>
      </c>
      <c r="G9393" s="9" t="str">
        <f>IF(DADOS!F9393="","",DADOS!F9393)</f>
        <v/>
      </c>
      <c r="K9393" s="6" t="str">
        <f t="shared" si="735"/>
        <v/>
      </c>
      <c r="L9393" s="7" t="str">
        <f t="shared" si="736"/>
        <v/>
      </c>
      <c r="M9393" s="7" t="str">
        <f t="shared" si="733"/>
        <v/>
      </c>
      <c r="N9393" s="7" t="str">
        <f t="shared" si="737"/>
        <v/>
      </c>
      <c r="O9393" s="8"/>
      <c r="P9393" s="26"/>
      <c r="S9393" s="10" t="str">
        <f t="shared" si="734"/>
        <v/>
      </c>
    </row>
    <row r="9394" spans="5:19" x14ac:dyDescent="0.3">
      <c r="E9394" s="9" t="str">
        <f>IF(DADOS!C9394="","",DADOS!C9394)</f>
        <v/>
      </c>
      <c r="F9394" s="9" t="str">
        <f>IF(DADOS!E9394="","",DADOS!E9394)</f>
        <v/>
      </c>
      <c r="G9394" s="9" t="str">
        <f>IF(DADOS!F9394="","",DADOS!F9394)</f>
        <v/>
      </c>
      <c r="K9394" s="6" t="str">
        <f t="shared" si="735"/>
        <v/>
      </c>
      <c r="L9394" s="7" t="str">
        <f t="shared" si="736"/>
        <v/>
      </c>
      <c r="M9394" s="7" t="str">
        <f t="shared" si="733"/>
        <v/>
      </c>
      <c r="N9394" s="7" t="str">
        <f t="shared" si="737"/>
        <v/>
      </c>
      <c r="O9394" s="8"/>
      <c r="P9394" s="26"/>
      <c r="S9394" s="10" t="str">
        <f t="shared" si="734"/>
        <v/>
      </c>
    </row>
    <row r="9395" spans="5:19" x14ac:dyDescent="0.3">
      <c r="E9395" s="9" t="str">
        <f>IF(DADOS!C9395="","",DADOS!C9395)</f>
        <v/>
      </c>
      <c r="F9395" s="9" t="str">
        <f>IF(DADOS!E9395="","",DADOS!E9395)</f>
        <v/>
      </c>
      <c r="G9395" s="9" t="str">
        <f>IF(DADOS!F9395="","",DADOS!F9395)</f>
        <v/>
      </c>
      <c r="K9395" s="6" t="str">
        <f t="shared" si="735"/>
        <v/>
      </c>
      <c r="L9395" s="7" t="str">
        <f t="shared" si="736"/>
        <v/>
      </c>
      <c r="M9395" s="7" t="str">
        <f t="shared" si="733"/>
        <v/>
      </c>
      <c r="N9395" s="7" t="str">
        <f t="shared" si="737"/>
        <v/>
      </c>
      <c r="O9395" s="8"/>
      <c r="P9395" s="26"/>
      <c r="S9395" s="10" t="str">
        <f t="shared" si="734"/>
        <v/>
      </c>
    </row>
    <row r="9396" spans="5:19" x14ac:dyDescent="0.3">
      <c r="E9396" s="9" t="str">
        <f>IF(DADOS!C9396="","",DADOS!C9396)</f>
        <v/>
      </c>
      <c r="F9396" s="9" t="str">
        <f>IF(DADOS!E9396="","",DADOS!E9396)</f>
        <v/>
      </c>
      <c r="G9396" s="9" t="str">
        <f>IF(DADOS!F9396="","",DADOS!F9396)</f>
        <v/>
      </c>
      <c r="K9396" s="6" t="str">
        <f t="shared" si="735"/>
        <v/>
      </c>
      <c r="L9396" s="7" t="str">
        <f t="shared" si="736"/>
        <v/>
      </c>
      <c r="M9396" s="7" t="str">
        <f t="shared" si="733"/>
        <v/>
      </c>
      <c r="N9396" s="7" t="str">
        <f t="shared" si="737"/>
        <v/>
      </c>
      <c r="O9396" s="8"/>
      <c r="P9396" s="26"/>
      <c r="S9396" s="10" t="str">
        <f t="shared" si="734"/>
        <v/>
      </c>
    </row>
    <row r="9397" spans="5:19" x14ac:dyDescent="0.3">
      <c r="E9397" s="9" t="str">
        <f>IF(DADOS!C9397="","",DADOS!C9397)</f>
        <v/>
      </c>
      <c r="F9397" s="9" t="str">
        <f>IF(DADOS!E9397="","",DADOS!E9397)</f>
        <v/>
      </c>
      <c r="G9397" s="9" t="str">
        <f>IF(DADOS!F9397="","",DADOS!F9397)</f>
        <v/>
      </c>
      <c r="K9397" s="6" t="str">
        <f t="shared" si="735"/>
        <v/>
      </c>
      <c r="L9397" s="7" t="str">
        <f t="shared" si="736"/>
        <v/>
      </c>
      <c r="M9397" s="7" t="str">
        <f t="shared" si="733"/>
        <v/>
      </c>
      <c r="N9397" s="7" t="str">
        <f t="shared" si="737"/>
        <v/>
      </c>
      <c r="O9397" s="8"/>
      <c r="P9397" s="26"/>
      <c r="S9397" s="10" t="str">
        <f t="shared" si="734"/>
        <v/>
      </c>
    </row>
    <row r="9398" spans="5:19" x14ac:dyDescent="0.3">
      <c r="E9398" s="9" t="str">
        <f>IF(DADOS!C9398="","",DADOS!C9398)</f>
        <v/>
      </c>
      <c r="F9398" s="9" t="str">
        <f>IF(DADOS!E9398="","",DADOS!E9398)</f>
        <v/>
      </c>
      <c r="G9398" s="9" t="str">
        <f>IF(DADOS!F9398="","",DADOS!F9398)</f>
        <v/>
      </c>
      <c r="K9398" s="6" t="str">
        <f t="shared" si="735"/>
        <v/>
      </c>
      <c r="L9398" s="7" t="str">
        <f t="shared" si="736"/>
        <v/>
      </c>
      <c r="M9398" s="7" t="str">
        <f t="shared" si="733"/>
        <v/>
      </c>
      <c r="N9398" s="7" t="str">
        <f t="shared" si="737"/>
        <v/>
      </c>
      <c r="O9398" s="8"/>
      <c r="P9398" s="26"/>
      <c r="S9398" s="10" t="str">
        <f t="shared" si="734"/>
        <v/>
      </c>
    </row>
    <row r="9399" spans="5:19" x14ac:dyDescent="0.3">
      <c r="E9399" s="9" t="str">
        <f>IF(DADOS!C9399="","",DADOS!C9399)</f>
        <v/>
      </c>
      <c r="F9399" s="9" t="str">
        <f>IF(DADOS!E9399="","",DADOS!E9399)</f>
        <v/>
      </c>
      <c r="G9399" s="9" t="str">
        <f>IF(DADOS!F9399="","",DADOS!F9399)</f>
        <v/>
      </c>
      <c r="K9399" s="6" t="str">
        <f t="shared" si="735"/>
        <v/>
      </c>
      <c r="L9399" s="7" t="str">
        <f t="shared" si="736"/>
        <v/>
      </c>
      <c r="M9399" s="7" t="str">
        <f t="shared" si="733"/>
        <v/>
      </c>
      <c r="N9399" s="7" t="str">
        <f t="shared" si="737"/>
        <v/>
      </c>
      <c r="O9399" s="8"/>
      <c r="P9399" s="26"/>
      <c r="S9399" s="10" t="str">
        <f t="shared" si="734"/>
        <v/>
      </c>
    </row>
    <row r="9400" spans="5:19" x14ac:dyDescent="0.3">
      <c r="E9400" s="9" t="str">
        <f>IF(DADOS!C9400="","",DADOS!C9400)</f>
        <v/>
      </c>
      <c r="F9400" s="9" t="str">
        <f>IF(DADOS!E9400="","",DADOS!E9400)</f>
        <v/>
      </c>
      <c r="G9400" s="9" t="str">
        <f>IF(DADOS!F9400="","",DADOS!F9400)</f>
        <v/>
      </c>
      <c r="K9400" s="6" t="str">
        <f t="shared" si="735"/>
        <v/>
      </c>
      <c r="L9400" s="7" t="str">
        <f t="shared" si="736"/>
        <v/>
      </c>
      <c r="M9400" s="7" t="str">
        <f t="shared" si="733"/>
        <v/>
      </c>
      <c r="N9400" s="7" t="str">
        <f t="shared" si="737"/>
        <v/>
      </c>
      <c r="O9400" s="8"/>
      <c r="P9400" s="26"/>
      <c r="S9400" s="10" t="str">
        <f t="shared" si="734"/>
        <v/>
      </c>
    </row>
    <row r="9401" spans="5:19" x14ac:dyDescent="0.3">
      <c r="E9401" s="9" t="str">
        <f>IF(DADOS!C9401="","",DADOS!C9401)</f>
        <v/>
      </c>
      <c r="F9401" s="9" t="str">
        <f>IF(DADOS!E9401="","",DADOS!E9401)</f>
        <v/>
      </c>
      <c r="G9401" s="9" t="str">
        <f>IF(DADOS!F9401="","",DADOS!F9401)</f>
        <v/>
      </c>
      <c r="K9401" s="6" t="str">
        <f t="shared" si="735"/>
        <v/>
      </c>
      <c r="L9401" s="7" t="str">
        <f t="shared" si="736"/>
        <v/>
      </c>
      <c r="M9401" s="7" t="str">
        <f t="shared" si="733"/>
        <v/>
      </c>
      <c r="N9401" s="7" t="str">
        <f t="shared" si="737"/>
        <v/>
      </c>
      <c r="O9401" s="8"/>
      <c r="P9401" s="26"/>
      <c r="S9401" s="10" t="str">
        <f t="shared" si="734"/>
        <v/>
      </c>
    </row>
    <row r="9402" spans="5:19" x14ac:dyDescent="0.3">
      <c r="E9402" s="9" t="str">
        <f>IF(DADOS!C9402="","",DADOS!C9402)</f>
        <v/>
      </c>
      <c r="F9402" s="9" t="str">
        <f>IF(DADOS!E9402="","",DADOS!E9402)</f>
        <v/>
      </c>
      <c r="G9402" s="9" t="str">
        <f>IF(DADOS!F9402="","",DADOS!F9402)</f>
        <v/>
      </c>
      <c r="K9402" s="6" t="str">
        <f t="shared" si="735"/>
        <v/>
      </c>
      <c r="L9402" s="7" t="str">
        <f t="shared" si="736"/>
        <v/>
      </c>
      <c r="M9402" s="7" t="str">
        <f t="shared" si="733"/>
        <v/>
      </c>
      <c r="N9402" s="7" t="str">
        <f t="shared" si="737"/>
        <v/>
      </c>
      <c r="O9402" s="8"/>
      <c r="P9402" s="26"/>
      <c r="S9402" s="10" t="str">
        <f t="shared" si="734"/>
        <v/>
      </c>
    </row>
    <row r="9403" spans="5:19" x14ac:dyDescent="0.3">
      <c r="E9403" s="9" t="str">
        <f>IF(DADOS!C9403="","",DADOS!C9403)</f>
        <v/>
      </c>
      <c r="F9403" s="9" t="str">
        <f>IF(DADOS!E9403="","",DADOS!E9403)</f>
        <v/>
      </c>
      <c r="G9403" s="9" t="str">
        <f>IF(DADOS!F9403="","",DADOS!F9403)</f>
        <v/>
      </c>
      <c r="K9403" s="6" t="str">
        <f t="shared" si="735"/>
        <v/>
      </c>
      <c r="L9403" s="7" t="str">
        <f t="shared" si="736"/>
        <v/>
      </c>
      <c r="M9403" s="7" t="str">
        <f t="shared" si="733"/>
        <v/>
      </c>
      <c r="N9403" s="7" t="str">
        <f t="shared" si="737"/>
        <v/>
      </c>
      <c r="O9403" s="8"/>
      <c r="P9403" s="26"/>
      <c r="S9403" s="10" t="str">
        <f t="shared" si="734"/>
        <v/>
      </c>
    </row>
    <row r="9404" spans="5:19" x14ac:dyDescent="0.3">
      <c r="E9404" s="9" t="str">
        <f>IF(DADOS!C9404="","",DADOS!C9404)</f>
        <v/>
      </c>
      <c r="F9404" s="9" t="str">
        <f>IF(DADOS!E9404="","",DADOS!E9404)</f>
        <v/>
      </c>
      <c r="G9404" s="9" t="str">
        <f>IF(DADOS!F9404="","",DADOS!F9404)</f>
        <v/>
      </c>
      <c r="K9404" s="6" t="str">
        <f t="shared" si="735"/>
        <v/>
      </c>
      <c r="L9404" s="7" t="str">
        <f t="shared" si="736"/>
        <v/>
      </c>
      <c r="M9404" s="7" t="str">
        <f t="shared" si="733"/>
        <v/>
      </c>
      <c r="N9404" s="7" t="str">
        <f t="shared" si="737"/>
        <v/>
      </c>
      <c r="O9404" s="8"/>
      <c r="P9404" s="26"/>
      <c r="S9404" s="10" t="str">
        <f t="shared" si="734"/>
        <v/>
      </c>
    </row>
    <row r="9405" spans="5:19" x14ac:dyDescent="0.3">
      <c r="E9405" s="9" t="str">
        <f>IF(DADOS!C9405="","",DADOS!C9405)</f>
        <v/>
      </c>
      <c r="F9405" s="9" t="str">
        <f>IF(DADOS!E9405="","",DADOS!E9405)</f>
        <v/>
      </c>
      <c r="G9405" s="9" t="str">
        <f>IF(DADOS!F9405="","",DADOS!F9405)</f>
        <v/>
      </c>
      <c r="K9405" s="6" t="str">
        <f t="shared" si="735"/>
        <v/>
      </c>
      <c r="L9405" s="7" t="str">
        <f t="shared" si="736"/>
        <v/>
      </c>
      <c r="M9405" s="7" t="str">
        <f t="shared" si="733"/>
        <v/>
      </c>
      <c r="N9405" s="7" t="str">
        <f t="shared" si="737"/>
        <v/>
      </c>
      <c r="O9405" s="8"/>
      <c r="P9405" s="26"/>
      <c r="S9405" s="10" t="str">
        <f t="shared" si="734"/>
        <v/>
      </c>
    </row>
    <row r="9406" spans="5:19" x14ac:dyDescent="0.3">
      <c r="E9406" s="9" t="str">
        <f>IF(DADOS!C9406="","",DADOS!C9406)</f>
        <v/>
      </c>
      <c r="F9406" s="9" t="str">
        <f>IF(DADOS!E9406="","",DADOS!E9406)</f>
        <v/>
      </c>
      <c r="G9406" s="9" t="str">
        <f>IF(DADOS!F9406="","",DADOS!F9406)</f>
        <v/>
      </c>
      <c r="K9406" s="6" t="str">
        <f t="shared" si="735"/>
        <v/>
      </c>
      <c r="L9406" s="7" t="str">
        <f t="shared" si="736"/>
        <v/>
      </c>
      <c r="M9406" s="7" t="str">
        <f t="shared" si="733"/>
        <v/>
      </c>
      <c r="N9406" s="7" t="str">
        <f t="shared" si="737"/>
        <v/>
      </c>
      <c r="O9406" s="8"/>
      <c r="P9406" s="26"/>
      <c r="S9406" s="10" t="str">
        <f t="shared" si="734"/>
        <v/>
      </c>
    </row>
    <row r="9407" spans="5:19" x14ac:dyDescent="0.3">
      <c r="E9407" s="9" t="str">
        <f>IF(DADOS!C9407="","",DADOS!C9407)</f>
        <v/>
      </c>
      <c r="F9407" s="9" t="str">
        <f>IF(DADOS!E9407="","",DADOS!E9407)</f>
        <v/>
      </c>
      <c r="G9407" s="9" t="str">
        <f>IF(DADOS!F9407="","",DADOS!F9407)</f>
        <v/>
      </c>
      <c r="K9407" s="6" t="str">
        <f t="shared" si="735"/>
        <v/>
      </c>
      <c r="L9407" s="7" t="str">
        <f t="shared" si="736"/>
        <v/>
      </c>
      <c r="M9407" s="7" t="str">
        <f t="shared" si="733"/>
        <v/>
      </c>
      <c r="N9407" s="7" t="str">
        <f t="shared" si="737"/>
        <v/>
      </c>
      <c r="O9407" s="8"/>
      <c r="P9407" s="26"/>
      <c r="S9407" s="10" t="str">
        <f t="shared" si="734"/>
        <v/>
      </c>
    </row>
    <row r="9408" spans="5:19" x14ac:dyDescent="0.3">
      <c r="E9408" s="9" t="str">
        <f>IF(DADOS!C9408="","",DADOS!C9408)</f>
        <v/>
      </c>
      <c r="F9408" s="9" t="str">
        <f>IF(DADOS!E9408="","",DADOS!E9408)</f>
        <v/>
      </c>
      <c r="G9408" s="9" t="str">
        <f>IF(DADOS!F9408="","",DADOS!F9408)</f>
        <v/>
      </c>
      <c r="K9408" s="6" t="str">
        <f t="shared" si="735"/>
        <v/>
      </c>
      <c r="L9408" s="7" t="str">
        <f t="shared" si="736"/>
        <v/>
      </c>
      <c r="M9408" s="7" t="str">
        <f t="shared" si="733"/>
        <v/>
      </c>
      <c r="N9408" s="7" t="str">
        <f t="shared" si="737"/>
        <v/>
      </c>
      <c r="O9408" s="8"/>
      <c r="P9408" s="26"/>
      <c r="S9408" s="10" t="str">
        <f t="shared" si="734"/>
        <v/>
      </c>
    </row>
    <row r="9409" spans="5:19" x14ac:dyDescent="0.3">
      <c r="E9409" s="9" t="str">
        <f>IF(DADOS!C9409="","",DADOS!C9409)</f>
        <v/>
      </c>
      <c r="F9409" s="9" t="str">
        <f>IF(DADOS!E9409="","",DADOS!E9409)</f>
        <v/>
      </c>
      <c r="G9409" s="9" t="str">
        <f>IF(DADOS!F9409="","",DADOS!F9409)</f>
        <v/>
      </c>
      <c r="K9409" s="6" t="str">
        <f t="shared" si="735"/>
        <v/>
      </c>
      <c r="L9409" s="7" t="str">
        <f t="shared" si="736"/>
        <v/>
      </c>
      <c r="M9409" s="7" t="str">
        <f t="shared" si="733"/>
        <v/>
      </c>
      <c r="N9409" s="7" t="str">
        <f t="shared" si="737"/>
        <v/>
      </c>
      <c r="O9409" s="8"/>
      <c r="P9409" s="26"/>
      <c r="S9409" s="10" t="str">
        <f t="shared" si="734"/>
        <v/>
      </c>
    </row>
    <row r="9410" spans="5:19" x14ac:dyDescent="0.3">
      <c r="E9410" s="9" t="str">
        <f>IF(DADOS!C9410="","",DADOS!C9410)</f>
        <v/>
      </c>
      <c r="F9410" s="9" t="str">
        <f>IF(DADOS!E9410="","",DADOS!E9410)</f>
        <v/>
      </c>
      <c r="G9410" s="9" t="str">
        <f>IF(DADOS!F9410="","",DADOS!F9410)</f>
        <v/>
      </c>
      <c r="K9410" s="6" t="str">
        <f t="shared" si="735"/>
        <v/>
      </c>
      <c r="L9410" s="7" t="str">
        <f t="shared" si="736"/>
        <v/>
      </c>
      <c r="M9410" s="7" t="str">
        <f t="shared" si="733"/>
        <v/>
      </c>
      <c r="N9410" s="7" t="str">
        <f t="shared" si="737"/>
        <v/>
      </c>
      <c r="O9410" s="8"/>
      <c r="P9410" s="26"/>
      <c r="S9410" s="10" t="str">
        <f t="shared" si="734"/>
        <v/>
      </c>
    </row>
    <row r="9411" spans="5:19" x14ac:dyDescent="0.3">
      <c r="E9411" s="9" t="str">
        <f>IF(DADOS!C9411="","",DADOS!C9411)</f>
        <v/>
      </c>
      <c r="F9411" s="9" t="str">
        <f>IF(DADOS!E9411="","",DADOS!E9411)</f>
        <v/>
      </c>
      <c r="G9411" s="9" t="str">
        <f>IF(DADOS!F9411="","",DADOS!F9411)</f>
        <v/>
      </c>
      <c r="K9411" s="6" t="str">
        <f t="shared" si="735"/>
        <v/>
      </c>
      <c r="L9411" s="7" t="str">
        <f t="shared" si="736"/>
        <v/>
      </c>
      <c r="M9411" s="7" t="str">
        <f t="shared" ref="M9411:M9474" si="738">IF(L9411="","",L9411*G9411)</f>
        <v/>
      </c>
      <c r="N9411" s="7" t="str">
        <f t="shared" si="737"/>
        <v/>
      </c>
      <c r="O9411" s="8"/>
      <c r="P9411" s="26"/>
      <c r="S9411" s="10" t="str">
        <f t="shared" ref="S9411:S9474" si="739">IF(R9411="","",SUMIFS($N$3:$N$10000,$E$3:$E$10000,R9411))</f>
        <v/>
      </c>
    </row>
    <row r="9412" spans="5:19" x14ac:dyDescent="0.3">
      <c r="E9412" s="9" t="str">
        <f>IF(DADOS!C9412="","",DADOS!C9412)</f>
        <v/>
      </c>
      <c r="F9412" s="9" t="str">
        <f>IF(DADOS!E9412="","",DADOS!E9412)</f>
        <v/>
      </c>
      <c r="G9412" s="9" t="str">
        <f>IF(DADOS!F9412="","",DADOS!F9412)</f>
        <v/>
      </c>
      <c r="K9412" s="6" t="str">
        <f t="shared" ref="K9412:K9475" si="740">IF(F9412="","",F9412/PI())</f>
        <v/>
      </c>
      <c r="L9412" s="7" t="str">
        <f t="shared" ref="L9412:L9475" si="741">IF(K9412="","",(PI()*K9412^2)/40000)</f>
        <v/>
      </c>
      <c r="M9412" s="7" t="str">
        <f t="shared" si="738"/>
        <v/>
      </c>
      <c r="N9412" s="7" t="str">
        <f t="shared" ref="N9412:N9475" si="742">IF(M9412="","",M9412*N$1)</f>
        <v/>
      </c>
      <c r="O9412" s="8"/>
      <c r="P9412" s="26"/>
      <c r="S9412" s="10" t="str">
        <f t="shared" si="739"/>
        <v/>
      </c>
    </row>
    <row r="9413" spans="5:19" x14ac:dyDescent="0.3">
      <c r="E9413" s="9" t="str">
        <f>IF(DADOS!C9413="","",DADOS!C9413)</f>
        <v/>
      </c>
      <c r="F9413" s="9" t="str">
        <f>IF(DADOS!E9413="","",DADOS!E9413)</f>
        <v/>
      </c>
      <c r="G9413" s="9" t="str">
        <f>IF(DADOS!F9413="","",DADOS!F9413)</f>
        <v/>
      </c>
      <c r="K9413" s="6" t="str">
        <f t="shared" si="740"/>
        <v/>
      </c>
      <c r="L9413" s="7" t="str">
        <f t="shared" si="741"/>
        <v/>
      </c>
      <c r="M9413" s="7" t="str">
        <f t="shared" si="738"/>
        <v/>
      </c>
      <c r="N9413" s="7" t="str">
        <f t="shared" si="742"/>
        <v/>
      </c>
      <c r="O9413" s="8"/>
      <c r="P9413" s="26"/>
      <c r="S9413" s="10" t="str">
        <f t="shared" si="739"/>
        <v/>
      </c>
    </row>
    <row r="9414" spans="5:19" x14ac:dyDescent="0.3">
      <c r="E9414" s="9" t="str">
        <f>IF(DADOS!C9414="","",DADOS!C9414)</f>
        <v/>
      </c>
      <c r="F9414" s="9" t="str">
        <f>IF(DADOS!E9414="","",DADOS!E9414)</f>
        <v/>
      </c>
      <c r="G9414" s="9" t="str">
        <f>IF(DADOS!F9414="","",DADOS!F9414)</f>
        <v/>
      </c>
      <c r="K9414" s="6" t="str">
        <f t="shared" si="740"/>
        <v/>
      </c>
      <c r="L9414" s="7" t="str">
        <f t="shared" si="741"/>
        <v/>
      </c>
      <c r="M9414" s="7" t="str">
        <f t="shared" si="738"/>
        <v/>
      </c>
      <c r="N9414" s="7" t="str">
        <f t="shared" si="742"/>
        <v/>
      </c>
      <c r="O9414" s="8"/>
      <c r="P9414" s="26"/>
      <c r="S9414" s="10" t="str">
        <f t="shared" si="739"/>
        <v/>
      </c>
    </row>
    <row r="9415" spans="5:19" x14ac:dyDescent="0.3">
      <c r="E9415" s="9" t="str">
        <f>IF(DADOS!C9415="","",DADOS!C9415)</f>
        <v/>
      </c>
      <c r="F9415" s="9" t="str">
        <f>IF(DADOS!E9415="","",DADOS!E9415)</f>
        <v/>
      </c>
      <c r="G9415" s="9" t="str">
        <f>IF(DADOS!F9415="","",DADOS!F9415)</f>
        <v/>
      </c>
      <c r="K9415" s="6" t="str">
        <f t="shared" si="740"/>
        <v/>
      </c>
      <c r="L9415" s="7" t="str">
        <f t="shared" si="741"/>
        <v/>
      </c>
      <c r="M9415" s="7" t="str">
        <f t="shared" si="738"/>
        <v/>
      </c>
      <c r="N9415" s="7" t="str">
        <f t="shared" si="742"/>
        <v/>
      </c>
      <c r="O9415" s="8"/>
      <c r="P9415" s="26"/>
      <c r="S9415" s="10" t="str">
        <f t="shared" si="739"/>
        <v/>
      </c>
    </row>
    <row r="9416" spans="5:19" x14ac:dyDescent="0.3">
      <c r="E9416" s="9" t="str">
        <f>IF(DADOS!C9416="","",DADOS!C9416)</f>
        <v/>
      </c>
      <c r="F9416" s="9" t="str">
        <f>IF(DADOS!E9416="","",DADOS!E9416)</f>
        <v/>
      </c>
      <c r="G9416" s="9" t="str">
        <f>IF(DADOS!F9416="","",DADOS!F9416)</f>
        <v/>
      </c>
      <c r="K9416" s="6" t="str">
        <f t="shared" si="740"/>
        <v/>
      </c>
      <c r="L9416" s="7" t="str">
        <f t="shared" si="741"/>
        <v/>
      </c>
      <c r="M9416" s="7" t="str">
        <f t="shared" si="738"/>
        <v/>
      </c>
      <c r="N9416" s="7" t="str">
        <f t="shared" si="742"/>
        <v/>
      </c>
      <c r="O9416" s="8"/>
      <c r="P9416" s="26"/>
      <c r="S9416" s="10" t="str">
        <f t="shared" si="739"/>
        <v/>
      </c>
    </row>
    <row r="9417" spans="5:19" x14ac:dyDescent="0.3">
      <c r="E9417" s="9" t="str">
        <f>IF(DADOS!C9417="","",DADOS!C9417)</f>
        <v/>
      </c>
      <c r="F9417" s="9" t="str">
        <f>IF(DADOS!E9417="","",DADOS!E9417)</f>
        <v/>
      </c>
      <c r="G9417" s="9" t="str">
        <f>IF(DADOS!F9417="","",DADOS!F9417)</f>
        <v/>
      </c>
      <c r="K9417" s="6" t="str">
        <f t="shared" si="740"/>
        <v/>
      </c>
      <c r="L9417" s="7" t="str">
        <f t="shared" si="741"/>
        <v/>
      </c>
      <c r="M9417" s="7" t="str">
        <f t="shared" si="738"/>
        <v/>
      </c>
      <c r="N9417" s="7" t="str">
        <f t="shared" si="742"/>
        <v/>
      </c>
      <c r="O9417" s="8"/>
      <c r="P9417" s="26"/>
      <c r="S9417" s="10" t="str">
        <f t="shared" si="739"/>
        <v/>
      </c>
    </row>
    <row r="9418" spans="5:19" x14ac:dyDescent="0.3">
      <c r="E9418" s="9" t="str">
        <f>IF(DADOS!C9418="","",DADOS!C9418)</f>
        <v/>
      </c>
      <c r="F9418" s="9" t="str">
        <f>IF(DADOS!E9418="","",DADOS!E9418)</f>
        <v/>
      </c>
      <c r="G9418" s="9" t="str">
        <f>IF(DADOS!F9418="","",DADOS!F9418)</f>
        <v/>
      </c>
      <c r="K9418" s="6" t="str">
        <f t="shared" si="740"/>
        <v/>
      </c>
      <c r="L9418" s="7" t="str">
        <f t="shared" si="741"/>
        <v/>
      </c>
      <c r="M9418" s="7" t="str">
        <f t="shared" si="738"/>
        <v/>
      </c>
      <c r="N9418" s="7" t="str">
        <f t="shared" si="742"/>
        <v/>
      </c>
      <c r="O9418" s="8"/>
      <c r="P9418" s="26"/>
      <c r="S9418" s="10" t="str">
        <f t="shared" si="739"/>
        <v/>
      </c>
    </row>
    <row r="9419" spans="5:19" x14ac:dyDescent="0.3">
      <c r="E9419" s="9" t="str">
        <f>IF(DADOS!C9419="","",DADOS!C9419)</f>
        <v/>
      </c>
      <c r="F9419" s="9" t="str">
        <f>IF(DADOS!E9419="","",DADOS!E9419)</f>
        <v/>
      </c>
      <c r="G9419" s="9" t="str">
        <f>IF(DADOS!F9419="","",DADOS!F9419)</f>
        <v/>
      </c>
      <c r="K9419" s="6" t="str">
        <f t="shared" si="740"/>
        <v/>
      </c>
      <c r="L9419" s="7" t="str">
        <f t="shared" si="741"/>
        <v/>
      </c>
      <c r="M9419" s="7" t="str">
        <f t="shared" si="738"/>
        <v/>
      </c>
      <c r="N9419" s="7" t="str">
        <f t="shared" si="742"/>
        <v/>
      </c>
      <c r="O9419" s="8"/>
      <c r="P9419" s="26"/>
      <c r="S9419" s="10" t="str">
        <f t="shared" si="739"/>
        <v/>
      </c>
    </row>
    <row r="9420" spans="5:19" x14ac:dyDescent="0.3">
      <c r="E9420" s="9" t="str">
        <f>IF(DADOS!C9420="","",DADOS!C9420)</f>
        <v/>
      </c>
      <c r="F9420" s="9" t="str">
        <f>IF(DADOS!E9420="","",DADOS!E9420)</f>
        <v/>
      </c>
      <c r="G9420" s="9" t="str">
        <f>IF(DADOS!F9420="","",DADOS!F9420)</f>
        <v/>
      </c>
      <c r="K9420" s="6" t="str">
        <f t="shared" si="740"/>
        <v/>
      </c>
      <c r="L9420" s="7" t="str">
        <f t="shared" si="741"/>
        <v/>
      </c>
      <c r="M9420" s="7" t="str">
        <f t="shared" si="738"/>
        <v/>
      </c>
      <c r="N9420" s="7" t="str">
        <f t="shared" si="742"/>
        <v/>
      </c>
      <c r="O9420" s="8"/>
      <c r="P9420" s="26"/>
      <c r="S9420" s="10" t="str">
        <f t="shared" si="739"/>
        <v/>
      </c>
    </row>
    <row r="9421" spans="5:19" x14ac:dyDescent="0.3">
      <c r="E9421" s="9" t="str">
        <f>IF(DADOS!C9421="","",DADOS!C9421)</f>
        <v/>
      </c>
      <c r="F9421" s="9" t="str">
        <f>IF(DADOS!E9421="","",DADOS!E9421)</f>
        <v/>
      </c>
      <c r="G9421" s="9" t="str">
        <f>IF(DADOS!F9421="","",DADOS!F9421)</f>
        <v/>
      </c>
      <c r="K9421" s="6" t="str">
        <f t="shared" si="740"/>
        <v/>
      </c>
      <c r="L9421" s="7" t="str">
        <f t="shared" si="741"/>
        <v/>
      </c>
      <c r="M9421" s="7" t="str">
        <f t="shared" si="738"/>
        <v/>
      </c>
      <c r="N9421" s="7" t="str">
        <f t="shared" si="742"/>
        <v/>
      </c>
      <c r="O9421" s="8"/>
      <c r="P9421" s="26"/>
      <c r="S9421" s="10" t="str">
        <f t="shared" si="739"/>
        <v/>
      </c>
    </row>
    <row r="9422" spans="5:19" x14ac:dyDescent="0.3">
      <c r="E9422" s="9" t="str">
        <f>IF(DADOS!C9422="","",DADOS!C9422)</f>
        <v/>
      </c>
      <c r="F9422" s="9" t="str">
        <f>IF(DADOS!E9422="","",DADOS!E9422)</f>
        <v/>
      </c>
      <c r="G9422" s="9" t="str">
        <f>IF(DADOS!F9422="","",DADOS!F9422)</f>
        <v/>
      </c>
      <c r="K9422" s="6" t="str">
        <f t="shared" si="740"/>
        <v/>
      </c>
      <c r="L9422" s="7" t="str">
        <f t="shared" si="741"/>
        <v/>
      </c>
      <c r="M9422" s="7" t="str">
        <f t="shared" si="738"/>
        <v/>
      </c>
      <c r="N9422" s="7" t="str">
        <f t="shared" si="742"/>
        <v/>
      </c>
      <c r="O9422" s="8"/>
      <c r="P9422" s="26"/>
      <c r="S9422" s="10" t="str">
        <f t="shared" si="739"/>
        <v/>
      </c>
    </row>
    <row r="9423" spans="5:19" x14ac:dyDescent="0.3">
      <c r="E9423" s="9" t="str">
        <f>IF(DADOS!C9423="","",DADOS!C9423)</f>
        <v/>
      </c>
      <c r="F9423" s="9" t="str">
        <f>IF(DADOS!E9423="","",DADOS!E9423)</f>
        <v/>
      </c>
      <c r="G9423" s="9" t="str">
        <f>IF(DADOS!F9423="","",DADOS!F9423)</f>
        <v/>
      </c>
      <c r="K9423" s="6" t="str">
        <f t="shared" si="740"/>
        <v/>
      </c>
      <c r="L9423" s="7" t="str">
        <f t="shared" si="741"/>
        <v/>
      </c>
      <c r="M9423" s="7" t="str">
        <f t="shared" si="738"/>
        <v/>
      </c>
      <c r="N9423" s="7" t="str">
        <f t="shared" si="742"/>
        <v/>
      </c>
      <c r="O9423" s="8"/>
      <c r="P9423" s="26"/>
      <c r="S9423" s="10" t="str">
        <f t="shared" si="739"/>
        <v/>
      </c>
    </row>
    <row r="9424" spans="5:19" x14ac:dyDescent="0.3">
      <c r="E9424" s="9" t="str">
        <f>IF(DADOS!C9424="","",DADOS!C9424)</f>
        <v/>
      </c>
      <c r="F9424" s="9" t="str">
        <f>IF(DADOS!E9424="","",DADOS!E9424)</f>
        <v/>
      </c>
      <c r="G9424" s="9" t="str">
        <f>IF(DADOS!F9424="","",DADOS!F9424)</f>
        <v/>
      </c>
      <c r="K9424" s="6" t="str">
        <f t="shared" si="740"/>
        <v/>
      </c>
      <c r="L9424" s="7" t="str">
        <f t="shared" si="741"/>
        <v/>
      </c>
      <c r="M9424" s="7" t="str">
        <f t="shared" si="738"/>
        <v/>
      </c>
      <c r="N9424" s="7" t="str">
        <f t="shared" si="742"/>
        <v/>
      </c>
      <c r="O9424" s="8"/>
      <c r="P9424" s="26"/>
      <c r="S9424" s="10" t="str">
        <f t="shared" si="739"/>
        <v/>
      </c>
    </row>
    <row r="9425" spans="5:19" x14ac:dyDescent="0.3">
      <c r="E9425" s="9" t="str">
        <f>IF(DADOS!C9425="","",DADOS!C9425)</f>
        <v/>
      </c>
      <c r="F9425" s="9" t="str">
        <f>IF(DADOS!E9425="","",DADOS!E9425)</f>
        <v/>
      </c>
      <c r="G9425" s="9" t="str">
        <f>IF(DADOS!F9425="","",DADOS!F9425)</f>
        <v/>
      </c>
      <c r="K9425" s="6" t="str">
        <f t="shared" si="740"/>
        <v/>
      </c>
      <c r="L9425" s="7" t="str">
        <f t="shared" si="741"/>
        <v/>
      </c>
      <c r="M9425" s="7" t="str">
        <f t="shared" si="738"/>
        <v/>
      </c>
      <c r="N9425" s="7" t="str">
        <f t="shared" si="742"/>
        <v/>
      </c>
      <c r="O9425" s="8"/>
      <c r="P9425" s="26"/>
      <c r="S9425" s="10" t="str">
        <f t="shared" si="739"/>
        <v/>
      </c>
    </row>
    <row r="9426" spans="5:19" x14ac:dyDescent="0.3">
      <c r="E9426" s="9" t="str">
        <f>IF(DADOS!C9426="","",DADOS!C9426)</f>
        <v/>
      </c>
      <c r="F9426" s="9" t="str">
        <f>IF(DADOS!E9426="","",DADOS!E9426)</f>
        <v/>
      </c>
      <c r="G9426" s="9" t="str">
        <f>IF(DADOS!F9426="","",DADOS!F9426)</f>
        <v/>
      </c>
      <c r="K9426" s="6" t="str">
        <f t="shared" si="740"/>
        <v/>
      </c>
      <c r="L9426" s="7" t="str">
        <f t="shared" si="741"/>
        <v/>
      </c>
      <c r="M9426" s="7" t="str">
        <f t="shared" si="738"/>
        <v/>
      </c>
      <c r="N9426" s="7" t="str">
        <f t="shared" si="742"/>
        <v/>
      </c>
      <c r="O9426" s="8"/>
      <c r="P9426" s="26"/>
      <c r="S9426" s="10" t="str">
        <f t="shared" si="739"/>
        <v/>
      </c>
    </row>
    <row r="9427" spans="5:19" x14ac:dyDescent="0.3">
      <c r="E9427" s="9" t="str">
        <f>IF(DADOS!C9427="","",DADOS!C9427)</f>
        <v/>
      </c>
      <c r="F9427" s="9" t="str">
        <f>IF(DADOS!E9427="","",DADOS!E9427)</f>
        <v/>
      </c>
      <c r="G9427" s="9" t="str">
        <f>IF(DADOS!F9427="","",DADOS!F9427)</f>
        <v/>
      </c>
      <c r="K9427" s="6" t="str">
        <f t="shared" si="740"/>
        <v/>
      </c>
      <c r="L9427" s="7" t="str">
        <f t="shared" si="741"/>
        <v/>
      </c>
      <c r="M9427" s="7" t="str">
        <f t="shared" si="738"/>
        <v/>
      </c>
      <c r="N9427" s="7" t="str">
        <f t="shared" si="742"/>
        <v/>
      </c>
      <c r="O9427" s="8"/>
      <c r="P9427" s="26"/>
      <c r="S9427" s="10" t="str">
        <f t="shared" si="739"/>
        <v/>
      </c>
    </row>
    <row r="9428" spans="5:19" x14ac:dyDescent="0.3">
      <c r="E9428" s="9" t="str">
        <f>IF(DADOS!C9428="","",DADOS!C9428)</f>
        <v/>
      </c>
      <c r="F9428" s="9" t="str">
        <f>IF(DADOS!E9428="","",DADOS!E9428)</f>
        <v/>
      </c>
      <c r="G9428" s="9" t="str">
        <f>IF(DADOS!F9428="","",DADOS!F9428)</f>
        <v/>
      </c>
      <c r="K9428" s="6" t="str">
        <f t="shared" si="740"/>
        <v/>
      </c>
      <c r="L9428" s="7" t="str">
        <f t="shared" si="741"/>
        <v/>
      </c>
      <c r="M9428" s="7" t="str">
        <f t="shared" si="738"/>
        <v/>
      </c>
      <c r="N9428" s="7" t="str">
        <f t="shared" si="742"/>
        <v/>
      </c>
      <c r="O9428" s="8"/>
      <c r="P9428" s="26"/>
      <c r="S9428" s="10" t="str">
        <f t="shared" si="739"/>
        <v/>
      </c>
    </row>
    <row r="9429" spans="5:19" x14ac:dyDescent="0.3">
      <c r="E9429" s="9" t="str">
        <f>IF(DADOS!C9429="","",DADOS!C9429)</f>
        <v/>
      </c>
      <c r="F9429" s="9" t="str">
        <f>IF(DADOS!E9429="","",DADOS!E9429)</f>
        <v/>
      </c>
      <c r="G9429" s="9" t="str">
        <f>IF(DADOS!F9429="","",DADOS!F9429)</f>
        <v/>
      </c>
      <c r="K9429" s="6" t="str">
        <f t="shared" si="740"/>
        <v/>
      </c>
      <c r="L9429" s="7" t="str">
        <f t="shared" si="741"/>
        <v/>
      </c>
      <c r="M9429" s="7" t="str">
        <f t="shared" si="738"/>
        <v/>
      </c>
      <c r="N9429" s="7" t="str">
        <f t="shared" si="742"/>
        <v/>
      </c>
      <c r="O9429" s="8"/>
      <c r="P9429" s="26"/>
      <c r="S9429" s="10" t="str">
        <f t="shared" si="739"/>
        <v/>
      </c>
    </row>
    <row r="9430" spans="5:19" x14ac:dyDescent="0.3">
      <c r="E9430" s="9" t="str">
        <f>IF(DADOS!C9430="","",DADOS!C9430)</f>
        <v/>
      </c>
      <c r="F9430" s="9" t="str">
        <f>IF(DADOS!E9430="","",DADOS!E9430)</f>
        <v/>
      </c>
      <c r="G9430" s="9" t="str">
        <f>IF(DADOS!F9430="","",DADOS!F9430)</f>
        <v/>
      </c>
      <c r="K9430" s="6" t="str">
        <f t="shared" si="740"/>
        <v/>
      </c>
      <c r="L9430" s="7" t="str">
        <f t="shared" si="741"/>
        <v/>
      </c>
      <c r="M9430" s="7" t="str">
        <f t="shared" si="738"/>
        <v/>
      </c>
      <c r="N9430" s="7" t="str">
        <f t="shared" si="742"/>
        <v/>
      </c>
      <c r="O9430" s="8"/>
      <c r="P9430" s="26"/>
      <c r="S9430" s="10" t="str">
        <f t="shared" si="739"/>
        <v/>
      </c>
    </row>
    <row r="9431" spans="5:19" x14ac:dyDescent="0.3">
      <c r="E9431" s="9" t="str">
        <f>IF(DADOS!C9431="","",DADOS!C9431)</f>
        <v/>
      </c>
      <c r="F9431" s="9" t="str">
        <f>IF(DADOS!E9431="","",DADOS!E9431)</f>
        <v/>
      </c>
      <c r="G9431" s="9" t="str">
        <f>IF(DADOS!F9431="","",DADOS!F9431)</f>
        <v/>
      </c>
      <c r="K9431" s="6" t="str">
        <f t="shared" si="740"/>
        <v/>
      </c>
      <c r="L9431" s="7" t="str">
        <f t="shared" si="741"/>
        <v/>
      </c>
      <c r="M9431" s="7" t="str">
        <f t="shared" si="738"/>
        <v/>
      </c>
      <c r="N9431" s="7" t="str">
        <f t="shared" si="742"/>
        <v/>
      </c>
      <c r="O9431" s="8"/>
      <c r="P9431" s="26"/>
      <c r="S9431" s="10" t="str">
        <f t="shared" si="739"/>
        <v/>
      </c>
    </row>
    <row r="9432" spans="5:19" x14ac:dyDescent="0.3">
      <c r="E9432" s="9" t="str">
        <f>IF(DADOS!C9432="","",DADOS!C9432)</f>
        <v/>
      </c>
      <c r="F9432" s="9" t="str">
        <f>IF(DADOS!E9432="","",DADOS!E9432)</f>
        <v/>
      </c>
      <c r="G9432" s="9" t="str">
        <f>IF(DADOS!F9432="","",DADOS!F9432)</f>
        <v/>
      </c>
      <c r="K9432" s="6" t="str">
        <f t="shared" si="740"/>
        <v/>
      </c>
      <c r="L9432" s="7" t="str">
        <f t="shared" si="741"/>
        <v/>
      </c>
      <c r="M9432" s="7" t="str">
        <f t="shared" si="738"/>
        <v/>
      </c>
      <c r="N9432" s="7" t="str">
        <f t="shared" si="742"/>
        <v/>
      </c>
      <c r="O9432" s="8"/>
      <c r="P9432" s="26"/>
      <c r="S9432" s="10" t="str">
        <f t="shared" si="739"/>
        <v/>
      </c>
    </row>
    <row r="9433" spans="5:19" x14ac:dyDescent="0.3">
      <c r="E9433" s="9" t="str">
        <f>IF(DADOS!C9433="","",DADOS!C9433)</f>
        <v/>
      </c>
      <c r="F9433" s="9" t="str">
        <f>IF(DADOS!E9433="","",DADOS!E9433)</f>
        <v/>
      </c>
      <c r="G9433" s="9" t="str">
        <f>IF(DADOS!F9433="","",DADOS!F9433)</f>
        <v/>
      </c>
      <c r="K9433" s="6" t="str">
        <f t="shared" si="740"/>
        <v/>
      </c>
      <c r="L9433" s="7" t="str">
        <f t="shared" si="741"/>
        <v/>
      </c>
      <c r="M9433" s="7" t="str">
        <f t="shared" si="738"/>
        <v/>
      </c>
      <c r="N9433" s="7" t="str">
        <f t="shared" si="742"/>
        <v/>
      </c>
      <c r="O9433" s="8"/>
      <c r="P9433" s="26"/>
      <c r="S9433" s="10" t="str">
        <f t="shared" si="739"/>
        <v/>
      </c>
    </row>
    <row r="9434" spans="5:19" x14ac:dyDescent="0.3">
      <c r="E9434" s="9" t="str">
        <f>IF(DADOS!C9434="","",DADOS!C9434)</f>
        <v/>
      </c>
      <c r="F9434" s="9" t="str">
        <f>IF(DADOS!E9434="","",DADOS!E9434)</f>
        <v/>
      </c>
      <c r="G9434" s="9" t="str">
        <f>IF(DADOS!F9434="","",DADOS!F9434)</f>
        <v/>
      </c>
      <c r="K9434" s="6" t="str">
        <f t="shared" si="740"/>
        <v/>
      </c>
      <c r="L9434" s="7" t="str">
        <f t="shared" si="741"/>
        <v/>
      </c>
      <c r="M9434" s="7" t="str">
        <f t="shared" si="738"/>
        <v/>
      </c>
      <c r="N9434" s="7" t="str">
        <f t="shared" si="742"/>
        <v/>
      </c>
      <c r="O9434" s="8"/>
      <c r="P9434" s="26"/>
      <c r="S9434" s="10" t="str">
        <f t="shared" si="739"/>
        <v/>
      </c>
    </row>
    <row r="9435" spans="5:19" x14ac:dyDescent="0.3">
      <c r="E9435" s="9" t="str">
        <f>IF(DADOS!C9435="","",DADOS!C9435)</f>
        <v/>
      </c>
      <c r="F9435" s="9" t="str">
        <f>IF(DADOS!E9435="","",DADOS!E9435)</f>
        <v/>
      </c>
      <c r="G9435" s="9" t="str">
        <f>IF(DADOS!F9435="","",DADOS!F9435)</f>
        <v/>
      </c>
      <c r="K9435" s="6" t="str">
        <f t="shared" si="740"/>
        <v/>
      </c>
      <c r="L9435" s="7" t="str">
        <f t="shared" si="741"/>
        <v/>
      </c>
      <c r="M9435" s="7" t="str">
        <f t="shared" si="738"/>
        <v/>
      </c>
      <c r="N9435" s="7" t="str">
        <f t="shared" si="742"/>
        <v/>
      </c>
      <c r="O9435" s="8"/>
      <c r="P9435" s="26"/>
      <c r="S9435" s="10" t="str">
        <f t="shared" si="739"/>
        <v/>
      </c>
    </row>
    <row r="9436" spans="5:19" x14ac:dyDescent="0.3">
      <c r="E9436" s="9" t="str">
        <f>IF(DADOS!C9436="","",DADOS!C9436)</f>
        <v/>
      </c>
      <c r="F9436" s="9" t="str">
        <f>IF(DADOS!E9436="","",DADOS!E9436)</f>
        <v/>
      </c>
      <c r="G9436" s="9" t="str">
        <f>IF(DADOS!F9436="","",DADOS!F9436)</f>
        <v/>
      </c>
      <c r="K9436" s="6" t="str">
        <f t="shared" si="740"/>
        <v/>
      </c>
      <c r="L9436" s="7" t="str">
        <f t="shared" si="741"/>
        <v/>
      </c>
      <c r="M9436" s="7" t="str">
        <f t="shared" si="738"/>
        <v/>
      </c>
      <c r="N9436" s="7" t="str">
        <f t="shared" si="742"/>
        <v/>
      </c>
      <c r="O9436" s="8"/>
      <c r="P9436" s="26"/>
      <c r="S9436" s="10" t="str">
        <f t="shared" si="739"/>
        <v/>
      </c>
    </row>
    <row r="9437" spans="5:19" x14ac:dyDescent="0.3">
      <c r="E9437" s="9" t="str">
        <f>IF(DADOS!C9437="","",DADOS!C9437)</f>
        <v/>
      </c>
      <c r="F9437" s="9" t="str">
        <f>IF(DADOS!E9437="","",DADOS!E9437)</f>
        <v/>
      </c>
      <c r="G9437" s="9" t="str">
        <f>IF(DADOS!F9437="","",DADOS!F9437)</f>
        <v/>
      </c>
      <c r="K9437" s="6" t="str">
        <f t="shared" si="740"/>
        <v/>
      </c>
      <c r="L9437" s="7" t="str">
        <f t="shared" si="741"/>
        <v/>
      </c>
      <c r="M9437" s="7" t="str">
        <f t="shared" si="738"/>
        <v/>
      </c>
      <c r="N9437" s="7" t="str">
        <f t="shared" si="742"/>
        <v/>
      </c>
      <c r="O9437" s="8"/>
      <c r="P9437" s="26"/>
      <c r="S9437" s="10" t="str">
        <f t="shared" si="739"/>
        <v/>
      </c>
    </row>
    <row r="9438" spans="5:19" x14ac:dyDescent="0.3">
      <c r="E9438" s="9" t="str">
        <f>IF(DADOS!C9438="","",DADOS!C9438)</f>
        <v/>
      </c>
      <c r="F9438" s="9" t="str">
        <f>IF(DADOS!E9438="","",DADOS!E9438)</f>
        <v/>
      </c>
      <c r="G9438" s="9" t="str">
        <f>IF(DADOS!F9438="","",DADOS!F9438)</f>
        <v/>
      </c>
      <c r="K9438" s="6" t="str">
        <f t="shared" si="740"/>
        <v/>
      </c>
      <c r="L9438" s="7" t="str">
        <f t="shared" si="741"/>
        <v/>
      </c>
      <c r="M9438" s="7" t="str">
        <f t="shared" si="738"/>
        <v/>
      </c>
      <c r="N9438" s="7" t="str">
        <f t="shared" si="742"/>
        <v/>
      </c>
      <c r="O9438" s="8"/>
      <c r="P9438" s="26"/>
      <c r="S9438" s="10" t="str">
        <f t="shared" si="739"/>
        <v/>
      </c>
    </row>
    <row r="9439" spans="5:19" x14ac:dyDescent="0.3">
      <c r="E9439" s="9" t="str">
        <f>IF(DADOS!C9439="","",DADOS!C9439)</f>
        <v/>
      </c>
      <c r="F9439" s="9" t="str">
        <f>IF(DADOS!E9439="","",DADOS!E9439)</f>
        <v/>
      </c>
      <c r="G9439" s="9" t="str">
        <f>IF(DADOS!F9439="","",DADOS!F9439)</f>
        <v/>
      </c>
      <c r="K9439" s="6" t="str">
        <f t="shared" si="740"/>
        <v/>
      </c>
      <c r="L9439" s="7" t="str">
        <f t="shared" si="741"/>
        <v/>
      </c>
      <c r="M9439" s="7" t="str">
        <f t="shared" si="738"/>
        <v/>
      </c>
      <c r="N9439" s="7" t="str">
        <f t="shared" si="742"/>
        <v/>
      </c>
      <c r="O9439" s="8"/>
      <c r="P9439" s="26"/>
      <c r="S9439" s="10" t="str">
        <f t="shared" si="739"/>
        <v/>
      </c>
    </row>
    <row r="9440" spans="5:19" x14ac:dyDescent="0.3">
      <c r="E9440" s="9" t="str">
        <f>IF(DADOS!C9440="","",DADOS!C9440)</f>
        <v/>
      </c>
      <c r="F9440" s="9" t="str">
        <f>IF(DADOS!E9440="","",DADOS!E9440)</f>
        <v/>
      </c>
      <c r="G9440" s="9" t="str">
        <f>IF(DADOS!F9440="","",DADOS!F9440)</f>
        <v/>
      </c>
      <c r="K9440" s="6" t="str">
        <f t="shared" si="740"/>
        <v/>
      </c>
      <c r="L9440" s="7" t="str">
        <f t="shared" si="741"/>
        <v/>
      </c>
      <c r="M9440" s="7" t="str">
        <f t="shared" si="738"/>
        <v/>
      </c>
      <c r="N9440" s="7" t="str">
        <f t="shared" si="742"/>
        <v/>
      </c>
      <c r="O9440" s="8"/>
      <c r="P9440" s="26"/>
      <c r="S9440" s="10" t="str">
        <f t="shared" si="739"/>
        <v/>
      </c>
    </row>
    <row r="9441" spans="5:19" x14ac:dyDescent="0.3">
      <c r="E9441" s="9" t="str">
        <f>IF(DADOS!C9441="","",DADOS!C9441)</f>
        <v/>
      </c>
      <c r="F9441" s="9" t="str">
        <f>IF(DADOS!E9441="","",DADOS!E9441)</f>
        <v/>
      </c>
      <c r="G9441" s="9" t="str">
        <f>IF(DADOS!F9441="","",DADOS!F9441)</f>
        <v/>
      </c>
      <c r="K9441" s="6" t="str">
        <f t="shared" si="740"/>
        <v/>
      </c>
      <c r="L9441" s="7" t="str">
        <f t="shared" si="741"/>
        <v/>
      </c>
      <c r="M9441" s="7" t="str">
        <f t="shared" si="738"/>
        <v/>
      </c>
      <c r="N9441" s="7" t="str">
        <f t="shared" si="742"/>
        <v/>
      </c>
      <c r="O9441" s="8"/>
      <c r="P9441" s="26"/>
      <c r="S9441" s="10" t="str">
        <f t="shared" si="739"/>
        <v/>
      </c>
    </row>
    <row r="9442" spans="5:19" x14ac:dyDescent="0.3">
      <c r="E9442" s="9" t="str">
        <f>IF(DADOS!C9442="","",DADOS!C9442)</f>
        <v/>
      </c>
      <c r="F9442" s="9" t="str">
        <f>IF(DADOS!E9442="","",DADOS!E9442)</f>
        <v/>
      </c>
      <c r="G9442" s="9" t="str">
        <f>IF(DADOS!F9442="","",DADOS!F9442)</f>
        <v/>
      </c>
      <c r="K9442" s="6" t="str">
        <f t="shared" si="740"/>
        <v/>
      </c>
      <c r="L9442" s="7" t="str">
        <f t="shared" si="741"/>
        <v/>
      </c>
      <c r="M9442" s="7" t="str">
        <f t="shared" si="738"/>
        <v/>
      </c>
      <c r="N9442" s="7" t="str">
        <f t="shared" si="742"/>
        <v/>
      </c>
      <c r="O9442" s="8"/>
      <c r="P9442" s="26"/>
      <c r="S9442" s="10" t="str">
        <f t="shared" si="739"/>
        <v/>
      </c>
    </row>
    <row r="9443" spans="5:19" x14ac:dyDescent="0.3">
      <c r="E9443" s="9" t="str">
        <f>IF(DADOS!C9443="","",DADOS!C9443)</f>
        <v/>
      </c>
      <c r="F9443" s="9" t="str">
        <f>IF(DADOS!E9443="","",DADOS!E9443)</f>
        <v/>
      </c>
      <c r="G9443" s="9" t="str">
        <f>IF(DADOS!F9443="","",DADOS!F9443)</f>
        <v/>
      </c>
      <c r="K9443" s="6" t="str">
        <f t="shared" si="740"/>
        <v/>
      </c>
      <c r="L9443" s="7" t="str">
        <f t="shared" si="741"/>
        <v/>
      </c>
      <c r="M9443" s="7" t="str">
        <f t="shared" si="738"/>
        <v/>
      </c>
      <c r="N9443" s="7" t="str">
        <f t="shared" si="742"/>
        <v/>
      </c>
      <c r="O9443" s="8"/>
      <c r="P9443" s="26"/>
      <c r="S9443" s="10" t="str">
        <f t="shared" si="739"/>
        <v/>
      </c>
    </row>
    <row r="9444" spans="5:19" x14ac:dyDescent="0.3">
      <c r="E9444" s="9" t="str">
        <f>IF(DADOS!C9444="","",DADOS!C9444)</f>
        <v/>
      </c>
      <c r="F9444" s="9" t="str">
        <f>IF(DADOS!E9444="","",DADOS!E9444)</f>
        <v/>
      </c>
      <c r="G9444" s="9" t="str">
        <f>IF(DADOS!F9444="","",DADOS!F9444)</f>
        <v/>
      </c>
      <c r="K9444" s="6" t="str">
        <f t="shared" si="740"/>
        <v/>
      </c>
      <c r="L9444" s="7" t="str">
        <f t="shared" si="741"/>
        <v/>
      </c>
      <c r="M9444" s="7" t="str">
        <f t="shared" si="738"/>
        <v/>
      </c>
      <c r="N9444" s="7" t="str">
        <f t="shared" si="742"/>
        <v/>
      </c>
      <c r="O9444" s="8"/>
      <c r="P9444" s="26"/>
      <c r="S9444" s="10" t="str">
        <f t="shared" si="739"/>
        <v/>
      </c>
    </row>
    <row r="9445" spans="5:19" x14ac:dyDescent="0.3">
      <c r="E9445" s="9" t="str">
        <f>IF(DADOS!C9445="","",DADOS!C9445)</f>
        <v/>
      </c>
      <c r="F9445" s="9" t="str">
        <f>IF(DADOS!E9445="","",DADOS!E9445)</f>
        <v/>
      </c>
      <c r="G9445" s="9" t="str">
        <f>IF(DADOS!F9445="","",DADOS!F9445)</f>
        <v/>
      </c>
      <c r="K9445" s="6" t="str">
        <f t="shared" si="740"/>
        <v/>
      </c>
      <c r="L9445" s="7" t="str">
        <f t="shared" si="741"/>
        <v/>
      </c>
      <c r="M9445" s="7" t="str">
        <f t="shared" si="738"/>
        <v/>
      </c>
      <c r="N9445" s="7" t="str">
        <f t="shared" si="742"/>
        <v/>
      </c>
      <c r="O9445" s="8"/>
      <c r="P9445" s="26"/>
      <c r="S9445" s="10" t="str">
        <f t="shared" si="739"/>
        <v/>
      </c>
    </row>
    <row r="9446" spans="5:19" x14ac:dyDescent="0.3">
      <c r="E9446" s="9" t="str">
        <f>IF(DADOS!C9446="","",DADOS!C9446)</f>
        <v/>
      </c>
      <c r="F9446" s="9" t="str">
        <f>IF(DADOS!E9446="","",DADOS!E9446)</f>
        <v/>
      </c>
      <c r="G9446" s="9" t="str">
        <f>IF(DADOS!F9446="","",DADOS!F9446)</f>
        <v/>
      </c>
      <c r="K9446" s="6" t="str">
        <f t="shared" si="740"/>
        <v/>
      </c>
      <c r="L9446" s="7" t="str">
        <f t="shared" si="741"/>
        <v/>
      </c>
      <c r="M9446" s="7" t="str">
        <f t="shared" si="738"/>
        <v/>
      </c>
      <c r="N9446" s="7" t="str">
        <f t="shared" si="742"/>
        <v/>
      </c>
      <c r="O9446" s="8"/>
      <c r="P9446" s="26"/>
      <c r="S9446" s="10" t="str">
        <f t="shared" si="739"/>
        <v/>
      </c>
    </row>
    <row r="9447" spans="5:19" x14ac:dyDescent="0.3">
      <c r="E9447" s="9" t="str">
        <f>IF(DADOS!C9447="","",DADOS!C9447)</f>
        <v/>
      </c>
      <c r="F9447" s="9" t="str">
        <f>IF(DADOS!E9447="","",DADOS!E9447)</f>
        <v/>
      </c>
      <c r="G9447" s="9" t="str">
        <f>IF(DADOS!F9447="","",DADOS!F9447)</f>
        <v/>
      </c>
      <c r="K9447" s="6" t="str">
        <f t="shared" si="740"/>
        <v/>
      </c>
      <c r="L9447" s="7" t="str">
        <f t="shared" si="741"/>
        <v/>
      </c>
      <c r="M9447" s="7" t="str">
        <f t="shared" si="738"/>
        <v/>
      </c>
      <c r="N9447" s="7" t="str">
        <f t="shared" si="742"/>
        <v/>
      </c>
      <c r="O9447" s="8"/>
      <c r="P9447" s="26"/>
      <c r="S9447" s="10" t="str">
        <f t="shared" si="739"/>
        <v/>
      </c>
    </row>
    <row r="9448" spans="5:19" x14ac:dyDescent="0.3">
      <c r="E9448" s="9" t="str">
        <f>IF(DADOS!C9448="","",DADOS!C9448)</f>
        <v/>
      </c>
      <c r="F9448" s="9" t="str">
        <f>IF(DADOS!E9448="","",DADOS!E9448)</f>
        <v/>
      </c>
      <c r="G9448" s="9" t="str">
        <f>IF(DADOS!F9448="","",DADOS!F9448)</f>
        <v/>
      </c>
      <c r="K9448" s="6" t="str">
        <f t="shared" si="740"/>
        <v/>
      </c>
      <c r="L9448" s="7" t="str">
        <f t="shared" si="741"/>
        <v/>
      </c>
      <c r="M9448" s="7" t="str">
        <f t="shared" si="738"/>
        <v/>
      </c>
      <c r="N9448" s="7" t="str">
        <f t="shared" si="742"/>
        <v/>
      </c>
      <c r="O9448" s="8"/>
      <c r="P9448" s="26"/>
      <c r="S9448" s="10" t="str">
        <f t="shared" si="739"/>
        <v/>
      </c>
    </row>
    <row r="9449" spans="5:19" x14ac:dyDescent="0.3">
      <c r="E9449" s="9" t="str">
        <f>IF(DADOS!C9449="","",DADOS!C9449)</f>
        <v/>
      </c>
      <c r="F9449" s="9" t="str">
        <f>IF(DADOS!E9449="","",DADOS!E9449)</f>
        <v/>
      </c>
      <c r="G9449" s="9" t="str">
        <f>IF(DADOS!F9449="","",DADOS!F9449)</f>
        <v/>
      </c>
      <c r="K9449" s="6" t="str">
        <f t="shared" si="740"/>
        <v/>
      </c>
      <c r="L9449" s="7" t="str">
        <f t="shared" si="741"/>
        <v/>
      </c>
      <c r="M9449" s="7" t="str">
        <f t="shared" si="738"/>
        <v/>
      </c>
      <c r="N9449" s="7" t="str">
        <f t="shared" si="742"/>
        <v/>
      </c>
      <c r="O9449" s="8"/>
      <c r="P9449" s="26"/>
      <c r="S9449" s="10" t="str">
        <f t="shared" si="739"/>
        <v/>
      </c>
    </row>
    <row r="9450" spans="5:19" x14ac:dyDescent="0.3">
      <c r="E9450" s="9" t="str">
        <f>IF(DADOS!C9450="","",DADOS!C9450)</f>
        <v/>
      </c>
      <c r="F9450" s="9" t="str">
        <f>IF(DADOS!E9450="","",DADOS!E9450)</f>
        <v/>
      </c>
      <c r="G9450" s="9" t="str">
        <f>IF(DADOS!F9450="","",DADOS!F9450)</f>
        <v/>
      </c>
      <c r="K9450" s="6" t="str">
        <f t="shared" si="740"/>
        <v/>
      </c>
      <c r="L9450" s="7" t="str">
        <f t="shared" si="741"/>
        <v/>
      </c>
      <c r="M9450" s="7" t="str">
        <f t="shared" si="738"/>
        <v/>
      </c>
      <c r="N9450" s="7" t="str">
        <f t="shared" si="742"/>
        <v/>
      </c>
      <c r="O9450" s="8"/>
      <c r="P9450" s="26"/>
      <c r="S9450" s="10" t="str">
        <f t="shared" si="739"/>
        <v/>
      </c>
    </row>
    <row r="9451" spans="5:19" x14ac:dyDescent="0.3">
      <c r="E9451" s="9" t="str">
        <f>IF(DADOS!C9451="","",DADOS!C9451)</f>
        <v/>
      </c>
      <c r="F9451" s="9" t="str">
        <f>IF(DADOS!E9451="","",DADOS!E9451)</f>
        <v/>
      </c>
      <c r="G9451" s="9" t="str">
        <f>IF(DADOS!F9451="","",DADOS!F9451)</f>
        <v/>
      </c>
      <c r="K9451" s="6" t="str">
        <f t="shared" si="740"/>
        <v/>
      </c>
      <c r="L9451" s="7" t="str">
        <f t="shared" si="741"/>
        <v/>
      </c>
      <c r="M9451" s="7" t="str">
        <f t="shared" si="738"/>
        <v/>
      </c>
      <c r="N9451" s="7" t="str">
        <f t="shared" si="742"/>
        <v/>
      </c>
      <c r="O9451" s="8"/>
      <c r="P9451" s="26"/>
      <c r="S9451" s="10" t="str">
        <f t="shared" si="739"/>
        <v/>
      </c>
    </row>
    <row r="9452" spans="5:19" x14ac:dyDescent="0.3">
      <c r="E9452" s="9" t="str">
        <f>IF(DADOS!C9452="","",DADOS!C9452)</f>
        <v/>
      </c>
      <c r="F9452" s="9" t="str">
        <f>IF(DADOS!E9452="","",DADOS!E9452)</f>
        <v/>
      </c>
      <c r="G9452" s="9" t="str">
        <f>IF(DADOS!F9452="","",DADOS!F9452)</f>
        <v/>
      </c>
      <c r="K9452" s="6" t="str">
        <f t="shared" si="740"/>
        <v/>
      </c>
      <c r="L9452" s="7" t="str">
        <f t="shared" si="741"/>
        <v/>
      </c>
      <c r="M9452" s="7" t="str">
        <f t="shared" si="738"/>
        <v/>
      </c>
      <c r="N9452" s="7" t="str">
        <f t="shared" si="742"/>
        <v/>
      </c>
      <c r="O9452" s="8"/>
      <c r="P9452" s="26"/>
      <c r="S9452" s="10" t="str">
        <f t="shared" si="739"/>
        <v/>
      </c>
    </row>
    <row r="9453" spans="5:19" x14ac:dyDescent="0.3">
      <c r="E9453" s="9" t="str">
        <f>IF(DADOS!C9453="","",DADOS!C9453)</f>
        <v/>
      </c>
      <c r="F9453" s="9" t="str">
        <f>IF(DADOS!E9453="","",DADOS!E9453)</f>
        <v/>
      </c>
      <c r="G9453" s="9" t="str">
        <f>IF(DADOS!F9453="","",DADOS!F9453)</f>
        <v/>
      </c>
      <c r="K9453" s="6" t="str">
        <f t="shared" si="740"/>
        <v/>
      </c>
      <c r="L9453" s="7" t="str">
        <f t="shared" si="741"/>
        <v/>
      </c>
      <c r="M9453" s="7" t="str">
        <f t="shared" si="738"/>
        <v/>
      </c>
      <c r="N9453" s="7" t="str">
        <f t="shared" si="742"/>
        <v/>
      </c>
      <c r="O9453" s="8"/>
      <c r="P9453" s="26"/>
      <c r="S9453" s="10" t="str">
        <f t="shared" si="739"/>
        <v/>
      </c>
    </row>
    <row r="9454" spans="5:19" x14ac:dyDescent="0.3">
      <c r="E9454" s="9" t="str">
        <f>IF(DADOS!C9454="","",DADOS!C9454)</f>
        <v/>
      </c>
      <c r="F9454" s="9" t="str">
        <f>IF(DADOS!E9454="","",DADOS!E9454)</f>
        <v/>
      </c>
      <c r="G9454" s="9" t="str">
        <f>IF(DADOS!F9454="","",DADOS!F9454)</f>
        <v/>
      </c>
      <c r="K9454" s="6" t="str">
        <f t="shared" si="740"/>
        <v/>
      </c>
      <c r="L9454" s="7" t="str">
        <f t="shared" si="741"/>
        <v/>
      </c>
      <c r="M9454" s="7" t="str">
        <f t="shared" si="738"/>
        <v/>
      </c>
      <c r="N9454" s="7" t="str">
        <f t="shared" si="742"/>
        <v/>
      </c>
      <c r="O9454" s="8"/>
      <c r="P9454" s="26"/>
      <c r="S9454" s="10" t="str">
        <f t="shared" si="739"/>
        <v/>
      </c>
    </row>
    <row r="9455" spans="5:19" x14ac:dyDescent="0.3">
      <c r="E9455" s="9" t="str">
        <f>IF(DADOS!C9455="","",DADOS!C9455)</f>
        <v/>
      </c>
      <c r="F9455" s="9" t="str">
        <f>IF(DADOS!E9455="","",DADOS!E9455)</f>
        <v/>
      </c>
      <c r="G9455" s="9" t="str">
        <f>IF(DADOS!F9455="","",DADOS!F9455)</f>
        <v/>
      </c>
      <c r="K9455" s="6" t="str">
        <f t="shared" si="740"/>
        <v/>
      </c>
      <c r="L9455" s="7" t="str">
        <f t="shared" si="741"/>
        <v/>
      </c>
      <c r="M9455" s="7" t="str">
        <f t="shared" si="738"/>
        <v/>
      </c>
      <c r="N9455" s="7" t="str">
        <f t="shared" si="742"/>
        <v/>
      </c>
      <c r="O9455" s="8"/>
      <c r="P9455" s="26"/>
      <c r="S9455" s="10" t="str">
        <f t="shared" si="739"/>
        <v/>
      </c>
    </row>
    <row r="9456" spans="5:19" x14ac:dyDescent="0.3">
      <c r="E9456" s="9" t="str">
        <f>IF(DADOS!C9456="","",DADOS!C9456)</f>
        <v/>
      </c>
      <c r="F9456" s="9" t="str">
        <f>IF(DADOS!E9456="","",DADOS!E9456)</f>
        <v/>
      </c>
      <c r="G9456" s="9" t="str">
        <f>IF(DADOS!F9456="","",DADOS!F9456)</f>
        <v/>
      </c>
      <c r="K9456" s="6" t="str">
        <f t="shared" si="740"/>
        <v/>
      </c>
      <c r="L9456" s="7" t="str">
        <f t="shared" si="741"/>
        <v/>
      </c>
      <c r="M9456" s="7" t="str">
        <f t="shared" si="738"/>
        <v/>
      </c>
      <c r="N9456" s="7" t="str">
        <f t="shared" si="742"/>
        <v/>
      </c>
      <c r="O9456" s="8"/>
      <c r="P9456" s="26"/>
      <c r="S9456" s="10" t="str">
        <f t="shared" si="739"/>
        <v/>
      </c>
    </row>
    <row r="9457" spans="5:19" x14ac:dyDescent="0.3">
      <c r="E9457" s="9" t="str">
        <f>IF(DADOS!C9457="","",DADOS!C9457)</f>
        <v/>
      </c>
      <c r="F9457" s="9" t="str">
        <f>IF(DADOS!E9457="","",DADOS!E9457)</f>
        <v/>
      </c>
      <c r="G9457" s="9" t="str">
        <f>IF(DADOS!F9457="","",DADOS!F9457)</f>
        <v/>
      </c>
      <c r="K9457" s="6" t="str">
        <f t="shared" si="740"/>
        <v/>
      </c>
      <c r="L9457" s="7" t="str">
        <f t="shared" si="741"/>
        <v/>
      </c>
      <c r="M9457" s="7" t="str">
        <f t="shared" si="738"/>
        <v/>
      </c>
      <c r="N9457" s="7" t="str">
        <f t="shared" si="742"/>
        <v/>
      </c>
      <c r="O9457" s="8"/>
      <c r="P9457" s="26"/>
      <c r="S9457" s="10" t="str">
        <f t="shared" si="739"/>
        <v/>
      </c>
    </row>
    <row r="9458" spans="5:19" x14ac:dyDescent="0.3">
      <c r="E9458" s="9" t="str">
        <f>IF(DADOS!C9458="","",DADOS!C9458)</f>
        <v/>
      </c>
      <c r="F9458" s="9" t="str">
        <f>IF(DADOS!E9458="","",DADOS!E9458)</f>
        <v/>
      </c>
      <c r="G9458" s="9" t="str">
        <f>IF(DADOS!F9458="","",DADOS!F9458)</f>
        <v/>
      </c>
      <c r="K9458" s="6" t="str">
        <f t="shared" si="740"/>
        <v/>
      </c>
      <c r="L9458" s="7" t="str">
        <f t="shared" si="741"/>
        <v/>
      </c>
      <c r="M9458" s="7" t="str">
        <f t="shared" si="738"/>
        <v/>
      </c>
      <c r="N9458" s="7" t="str">
        <f t="shared" si="742"/>
        <v/>
      </c>
      <c r="O9458" s="8"/>
      <c r="P9458" s="26"/>
      <c r="S9458" s="10" t="str">
        <f t="shared" si="739"/>
        <v/>
      </c>
    </row>
    <row r="9459" spans="5:19" x14ac:dyDescent="0.3">
      <c r="E9459" s="9" t="str">
        <f>IF(DADOS!C9459="","",DADOS!C9459)</f>
        <v/>
      </c>
      <c r="F9459" s="9" t="str">
        <f>IF(DADOS!E9459="","",DADOS!E9459)</f>
        <v/>
      </c>
      <c r="G9459" s="9" t="str">
        <f>IF(DADOS!F9459="","",DADOS!F9459)</f>
        <v/>
      </c>
      <c r="K9459" s="6" t="str">
        <f t="shared" si="740"/>
        <v/>
      </c>
      <c r="L9459" s="7" t="str">
        <f t="shared" si="741"/>
        <v/>
      </c>
      <c r="M9459" s="7" t="str">
        <f t="shared" si="738"/>
        <v/>
      </c>
      <c r="N9459" s="7" t="str">
        <f t="shared" si="742"/>
        <v/>
      </c>
      <c r="O9459" s="8"/>
      <c r="P9459" s="26"/>
      <c r="S9459" s="10" t="str">
        <f t="shared" si="739"/>
        <v/>
      </c>
    </row>
    <row r="9460" spans="5:19" x14ac:dyDescent="0.3">
      <c r="E9460" s="9" t="str">
        <f>IF(DADOS!C9460="","",DADOS!C9460)</f>
        <v/>
      </c>
      <c r="F9460" s="9" t="str">
        <f>IF(DADOS!E9460="","",DADOS!E9460)</f>
        <v/>
      </c>
      <c r="G9460" s="9" t="str">
        <f>IF(DADOS!F9460="","",DADOS!F9460)</f>
        <v/>
      </c>
      <c r="K9460" s="6" t="str">
        <f t="shared" si="740"/>
        <v/>
      </c>
      <c r="L9460" s="7" t="str">
        <f t="shared" si="741"/>
        <v/>
      </c>
      <c r="M9460" s="7" t="str">
        <f t="shared" si="738"/>
        <v/>
      </c>
      <c r="N9460" s="7" t="str">
        <f t="shared" si="742"/>
        <v/>
      </c>
      <c r="O9460" s="8"/>
      <c r="P9460" s="26"/>
      <c r="S9460" s="10" t="str">
        <f t="shared" si="739"/>
        <v/>
      </c>
    </row>
    <row r="9461" spans="5:19" x14ac:dyDescent="0.3">
      <c r="E9461" s="9" t="str">
        <f>IF(DADOS!C9461="","",DADOS!C9461)</f>
        <v/>
      </c>
      <c r="F9461" s="9" t="str">
        <f>IF(DADOS!E9461="","",DADOS!E9461)</f>
        <v/>
      </c>
      <c r="G9461" s="9" t="str">
        <f>IF(DADOS!F9461="","",DADOS!F9461)</f>
        <v/>
      </c>
      <c r="K9461" s="6" t="str">
        <f t="shared" si="740"/>
        <v/>
      </c>
      <c r="L9461" s="7" t="str">
        <f t="shared" si="741"/>
        <v/>
      </c>
      <c r="M9461" s="7" t="str">
        <f t="shared" si="738"/>
        <v/>
      </c>
      <c r="N9461" s="7" t="str">
        <f t="shared" si="742"/>
        <v/>
      </c>
      <c r="O9461" s="8"/>
      <c r="P9461" s="26"/>
      <c r="S9461" s="10" t="str">
        <f t="shared" si="739"/>
        <v/>
      </c>
    </row>
    <row r="9462" spans="5:19" x14ac:dyDescent="0.3">
      <c r="E9462" s="9" t="str">
        <f>IF(DADOS!C9462="","",DADOS!C9462)</f>
        <v/>
      </c>
      <c r="F9462" s="9" t="str">
        <f>IF(DADOS!E9462="","",DADOS!E9462)</f>
        <v/>
      </c>
      <c r="G9462" s="9" t="str">
        <f>IF(DADOS!F9462="","",DADOS!F9462)</f>
        <v/>
      </c>
      <c r="K9462" s="6" t="str">
        <f t="shared" si="740"/>
        <v/>
      </c>
      <c r="L9462" s="7" t="str">
        <f t="shared" si="741"/>
        <v/>
      </c>
      <c r="M9462" s="7" t="str">
        <f t="shared" si="738"/>
        <v/>
      </c>
      <c r="N9462" s="7" t="str">
        <f t="shared" si="742"/>
        <v/>
      </c>
      <c r="O9462" s="8"/>
      <c r="P9462" s="26"/>
      <c r="S9462" s="10" t="str">
        <f t="shared" si="739"/>
        <v/>
      </c>
    </row>
    <row r="9463" spans="5:19" x14ac:dyDescent="0.3">
      <c r="E9463" s="9" t="str">
        <f>IF(DADOS!C9463="","",DADOS!C9463)</f>
        <v/>
      </c>
      <c r="F9463" s="9" t="str">
        <f>IF(DADOS!E9463="","",DADOS!E9463)</f>
        <v/>
      </c>
      <c r="G9463" s="9" t="str">
        <f>IF(DADOS!F9463="","",DADOS!F9463)</f>
        <v/>
      </c>
      <c r="K9463" s="6" t="str">
        <f t="shared" si="740"/>
        <v/>
      </c>
      <c r="L9463" s="7" t="str">
        <f t="shared" si="741"/>
        <v/>
      </c>
      <c r="M9463" s="7" t="str">
        <f t="shared" si="738"/>
        <v/>
      </c>
      <c r="N9463" s="7" t="str">
        <f t="shared" si="742"/>
        <v/>
      </c>
      <c r="O9463" s="8"/>
      <c r="P9463" s="26"/>
      <c r="S9463" s="10" t="str">
        <f t="shared" si="739"/>
        <v/>
      </c>
    </row>
    <row r="9464" spans="5:19" x14ac:dyDescent="0.3">
      <c r="E9464" s="9" t="str">
        <f>IF(DADOS!C9464="","",DADOS!C9464)</f>
        <v/>
      </c>
      <c r="F9464" s="9" t="str">
        <f>IF(DADOS!E9464="","",DADOS!E9464)</f>
        <v/>
      </c>
      <c r="G9464" s="9" t="str">
        <f>IF(DADOS!F9464="","",DADOS!F9464)</f>
        <v/>
      </c>
      <c r="K9464" s="6" t="str">
        <f t="shared" si="740"/>
        <v/>
      </c>
      <c r="L9464" s="7" t="str">
        <f t="shared" si="741"/>
        <v/>
      </c>
      <c r="M9464" s="7" t="str">
        <f t="shared" si="738"/>
        <v/>
      </c>
      <c r="N9464" s="7" t="str">
        <f t="shared" si="742"/>
        <v/>
      </c>
      <c r="O9464" s="8"/>
      <c r="P9464" s="26"/>
      <c r="S9464" s="10" t="str">
        <f t="shared" si="739"/>
        <v/>
      </c>
    </row>
    <row r="9465" spans="5:19" x14ac:dyDescent="0.3">
      <c r="E9465" s="9" t="str">
        <f>IF(DADOS!C9465="","",DADOS!C9465)</f>
        <v/>
      </c>
      <c r="F9465" s="9" t="str">
        <f>IF(DADOS!E9465="","",DADOS!E9465)</f>
        <v/>
      </c>
      <c r="G9465" s="9" t="str">
        <f>IF(DADOS!F9465="","",DADOS!F9465)</f>
        <v/>
      </c>
      <c r="K9465" s="6" t="str">
        <f t="shared" si="740"/>
        <v/>
      </c>
      <c r="L9465" s="7" t="str">
        <f t="shared" si="741"/>
        <v/>
      </c>
      <c r="M9465" s="7" t="str">
        <f t="shared" si="738"/>
        <v/>
      </c>
      <c r="N9465" s="7" t="str">
        <f t="shared" si="742"/>
        <v/>
      </c>
      <c r="O9465" s="8"/>
      <c r="P9465" s="26"/>
      <c r="S9465" s="10" t="str">
        <f t="shared" si="739"/>
        <v/>
      </c>
    </row>
    <row r="9466" spans="5:19" x14ac:dyDescent="0.3">
      <c r="E9466" s="9" t="str">
        <f>IF(DADOS!C9466="","",DADOS!C9466)</f>
        <v/>
      </c>
      <c r="F9466" s="9" t="str">
        <f>IF(DADOS!E9466="","",DADOS!E9466)</f>
        <v/>
      </c>
      <c r="G9466" s="9" t="str">
        <f>IF(DADOS!F9466="","",DADOS!F9466)</f>
        <v/>
      </c>
      <c r="K9466" s="6" t="str">
        <f t="shared" si="740"/>
        <v/>
      </c>
      <c r="L9466" s="7" t="str">
        <f t="shared" si="741"/>
        <v/>
      </c>
      <c r="M9466" s="7" t="str">
        <f t="shared" si="738"/>
        <v/>
      </c>
      <c r="N9466" s="7" t="str">
        <f t="shared" si="742"/>
        <v/>
      </c>
      <c r="O9466" s="8"/>
      <c r="P9466" s="26"/>
      <c r="S9466" s="10" t="str">
        <f t="shared" si="739"/>
        <v/>
      </c>
    </row>
    <row r="9467" spans="5:19" x14ac:dyDescent="0.3">
      <c r="E9467" s="9" t="str">
        <f>IF(DADOS!C9467="","",DADOS!C9467)</f>
        <v/>
      </c>
      <c r="F9467" s="9" t="str">
        <f>IF(DADOS!E9467="","",DADOS!E9467)</f>
        <v/>
      </c>
      <c r="G9467" s="9" t="str">
        <f>IF(DADOS!F9467="","",DADOS!F9467)</f>
        <v/>
      </c>
      <c r="K9467" s="6" t="str">
        <f t="shared" si="740"/>
        <v/>
      </c>
      <c r="L9467" s="7" t="str">
        <f t="shared" si="741"/>
        <v/>
      </c>
      <c r="M9467" s="7" t="str">
        <f t="shared" si="738"/>
        <v/>
      </c>
      <c r="N9467" s="7" t="str">
        <f t="shared" si="742"/>
        <v/>
      </c>
      <c r="O9467" s="8"/>
      <c r="P9467" s="26"/>
      <c r="S9467" s="10" t="str">
        <f t="shared" si="739"/>
        <v/>
      </c>
    </row>
    <row r="9468" spans="5:19" x14ac:dyDescent="0.3">
      <c r="E9468" s="9" t="str">
        <f>IF(DADOS!C9468="","",DADOS!C9468)</f>
        <v/>
      </c>
      <c r="F9468" s="9" t="str">
        <f>IF(DADOS!E9468="","",DADOS!E9468)</f>
        <v/>
      </c>
      <c r="G9468" s="9" t="str">
        <f>IF(DADOS!F9468="","",DADOS!F9468)</f>
        <v/>
      </c>
      <c r="K9468" s="6" t="str">
        <f t="shared" si="740"/>
        <v/>
      </c>
      <c r="L9468" s="7" t="str">
        <f t="shared" si="741"/>
        <v/>
      </c>
      <c r="M9468" s="7" t="str">
        <f t="shared" si="738"/>
        <v/>
      </c>
      <c r="N9468" s="7" t="str">
        <f t="shared" si="742"/>
        <v/>
      </c>
      <c r="O9468" s="8"/>
      <c r="P9468" s="26"/>
      <c r="S9468" s="10" t="str">
        <f t="shared" si="739"/>
        <v/>
      </c>
    </row>
    <row r="9469" spans="5:19" x14ac:dyDescent="0.3">
      <c r="E9469" s="9" t="str">
        <f>IF(DADOS!C9469="","",DADOS!C9469)</f>
        <v/>
      </c>
      <c r="F9469" s="9" t="str">
        <f>IF(DADOS!E9469="","",DADOS!E9469)</f>
        <v/>
      </c>
      <c r="G9469" s="9" t="str">
        <f>IF(DADOS!F9469="","",DADOS!F9469)</f>
        <v/>
      </c>
      <c r="K9469" s="6" t="str">
        <f t="shared" si="740"/>
        <v/>
      </c>
      <c r="L9469" s="7" t="str">
        <f t="shared" si="741"/>
        <v/>
      </c>
      <c r="M9469" s="7" t="str">
        <f t="shared" si="738"/>
        <v/>
      </c>
      <c r="N9469" s="7" t="str">
        <f t="shared" si="742"/>
        <v/>
      </c>
      <c r="O9469" s="8"/>
      <c r="P9469" s="26"/>
      <c r="S9469" s="10" t="str">
        <f t="shared" si="739"/>
        <v/>
      </c>
    </row>
    <row r="9470" spans="5:19" x14ac:dyDescent="0.3">
      <c r="E9470" s="9" t="str">
        <f>IF(DADOS!C9470="","",DADOS!C9470)</f>
        <v/>
      </c>
      <c r="F9470" s="9" t="str">
        <f>IF(DADOS!E9470="","",DADOS!E9470)</f>
        <v/>
      </c>
      <c r="G9470" s="9" t="str">
        <f>IF(DADOS!F9470="","",DADOS!F9470)</f>
        <v/>
      </c>
      <c r="K9470" s="6" t="str">
        <f t="shared" si="740"/>
        <v/>
      </c>
      <c r="L9470" s="7" t="str">
        <f t="shared" si="741"/>
        <v/>
      </c>
      <c r="M9470" s="7" t="str">
        <f t="shared" si="738"/>
        <v/>
      </c>
      <c r="N9470" s="7" t="str">
        <f t="shared" si="742"/>
        <v/>
      </c>
      <c r="O9470" s="8"/>
      <c r="P9470" s="26"/>
      <c r="S9470" s="10" t="str">
        <f t="shared" si="739"/>
        <v/>
      </c>
    </row>
    <row r="9471" spans="5:19" x14ac:dyDescent="0.3">
      <c r="E9471" s="9" t="str">
        <f>IF(DADOS!C9471="","",DADOS!C9471)</f>
        <v/>
      </c>
      <c r="F9471" s="9" t="str">
        <f>IF(DADOS!E9471="","",DADOS!E9471)</f>
        <v/>
      </c>
      <c r="G9471" s="9" t="str">
        <f>IF(DADOS!F9471="","",DADOS!F9471)</f>
        <v/>
      </c>
      <c r="K9471" s="6" t="str">
        <f t="shared" si="740"/>
        <v/>
      </c>
      <c r="L9471" s="7" t="str">
        <f t="shared" si="741"/>
        <v/>
      </c>
      <c r="M9471" s="7" t="str">
        <f t="shared" si="738"/>
        <v/>
      </c>
      <c r="N9471" s="7" t="str">
        <f t="shared" si="742"/>
        <v/>
      </c>
      <c r="O9471" s="8"/>
      <c r="P9471" s="26"/>
      <c r="S9471" s="10" t="str">
        <f t="shared" si="739"/>
        <v/>
      </c>
    </row>
    <row r="9472" spans="5:19" x14ac:dyDescent="0.3">
      <c r="E9472" s="9" t="str">
        <f>IF(DADOS!C9472="","",DADOS!C9472)</f>
        <v/>
      </c>
      <c r="F9472" s="9" t="str">
        <f>IF(DADOS!E9472="","",DADOS!E9472)</f>
        <v/>
      </c>
      <c r="G9472" s="9" t="str">
        <f>IF(DADOS!F9472="","",DADOS!F9472)</f>
        <v/>
      </c>
      <c r="K9472" s="6" t="str">
        <f t="shared" si="740"/>
        <v/>
      </c>
      <c r="L9472" s="7" t="str">
        <f t="shared" si="741"/>
        <v/>
      </c>
      <c r="M9472" s="7" t="str">
        <f t="shared" si="738"/>
        <v/>
      </c>
      <c r="N9472" s="7" t="str">
        <f t="shared" si="742"/>
        <v/>
      </c>
      <c r="O9472" s="8"/>
      <c r="P9472" s="26"/>
      <c r="S9472" s="10" t="str">
        <f t="shared" si="739"/>
        <v/>
      </c>
    </row>
    <row r="9473" spans="5:19" x14ac:dyDescent="0.3">
      <c r="E9473" s="9" t="str">
        <f>IF(DADOS!C9473="","",DADOS!C9473)</f>
        <v/>
      </c>
      <c r="F9473" s="9" t="str">
        <f>IF(DADOS!E9473="","",DADOS!E9473)</f>
        <v/>
      </c>
      <c r="G9473" s="9" t="str">
        <f>IF(DADOS!F9473="","",DADOS!F9473)</f>
        <v/>
      </c>
      <c r="K9473" s="6" t="str">
        <f t="shared" si="740"/>
        <v/>
      </c>
      <c r="L9473" s="7" t="str">
        <f t="shared" si="741"/>
        <v/>
      </c>
      <c r="M9473" s="7" t="str">
        <f t="shared" si="738"/>
        <v/>
      </c>
      <c r="N9473" s="7" t="str">
        <f t="shared" si="742"/>
        <v/>
      </c>
      <c r="O9473" s="8"/>
      <c r="P9473" s="26"/>
      <c r="S9473" s="10" t="str">
        <f t="shared" si="739"/>
        <v/>
      </c>
    </row>
    <row r="9474" spans="5:19" x14ac:dyDescent="0.3">
      <c r="E9474" s="9" t="str">
        <f>IF(DADOS!C9474="","",DADOS!C9474)</f>
        <v/>
      </c>
      <c r="F9474" s="9" t="str">
        <f>IF(DADOS!E9474="","",DADOS!E9474)</f>
        <v/>
      </c>
      <c r="G9474" s="9" t="str">
        <f>IF(DADOS!F9474="","",DADOS!F9474)</f>
        <v/>
      </c>
      <c r="K9474" s="6" t="str">
        <f t="shared" si="740"/>
        <v/>
      </c>
      <c r="L9474" s="7" t="str">
        <f t="shared" si="741"/>
        <v/>
      </c>
      <c r="M9474" s="7" t="str">
        <f t="shared" si="738"/>
        <v/>
      </c>
      <c r="N9474" s="7" t="str">
        <f t="shared" si="742"/>
        <v/>
      </c>
      <c r="O9474" s="8"/>
      <c r="P9474" s="26"/>
      <c r="S9474" s="10" t="str">
        <f t="shared" si="739"/>
        <v/>
      </c>
    </row>
    <row r="9475" spans="5:19" x14ac:dyDescent="0.3">
      <c r="E9475" s="9" t="str">
        <f>IF(DADOS!C9475="","",DADOS!C9475)</f>
        <v/>
      </c>
      <c r="F9475" s="9" t="str">
        <f>IF(DADOS!E9475="","",DADOS!E9475)</f>
        <v/>
      </c>
      <c r="G9475" s="9" t="str">
        <f>IF(DADOS!F9475="","",DADOS!F9475)</f>
        <v/>
      </c>
      <c r="K9475" s="6" t="str">
        <f t="shared" si="740"/>
        <v/>
      </c>
      <c r="L9475" s="7" t="str">
        <f t="shared" si="741"/>
        <v/>
      </c>
      <c r="M9475" s="7" t="str">
        <f t="shared" ref="M9475:M9538" si="743">IF(L9475="","",L9475*G9475)</f>
        <v/>
      </c>
      <c r="N9475" s="7" t="str">
        <f t="shared" si="742"/>
        <v/>
      </c>
      <c r="O9475" s="8"/>
      <c r="P9475" s="26"/>
      <c r="S9475" s="10" t="str">
        <f t="shared" ref="S9475:S9538" si="744">IF(R9475="","",SUMIFS($N$3:$N$10000,$E$3:$E$10000,R9475))</f>
        <v/>
      </c>
    </row>
    <row r="9476" spans="5:19" x14ac:dyDescent="0.3">
      <c r="E9476" s="9" t="str">
        <f>IF(DADOS!C9476="","",DADOS!C9476)</f>
        <v/>
      </c>
      <c r="F9476" s="9" t="str">
        <f>IF(DADOS!E9476="","",DADOS!E9476)</f>
        <v/>
      </c>
      <c r="G9476" s="9" t="str">
        <f>IF(DADOS!F9476="","",DADOS!F9476)</f>
        <v/>
      </c>
      <c r="K9476" s="6" t="str">
        <f t="shared" ref="K9476:K9539" si="745">IF(F9476="","",F9476/PI())</f>
        <v/>
      </c>
      <c r="L9476" s="7" t="str">
        <f t="shared" ref="L9476:L9539" si="746">IF(K9476="","",(PI()*K9476^2)/40000)</f>
        <v/>
      </c>
      <c r="M9476" s="7" t="str">
        <f t="shared" si="743"/>
        <v/>
      </c>
      <c r="N9476" s="7" t="str">
        <f t="shared" ref="N9476:N9539" si="747">IF(M9476="","",M9476*N$1)</f>
        <v/>
      </c>
      <c r="O9476" s="8"/>
      <c r="P9476" s="26"/>
      <c r="S9476" s="10" t="str">
        <f t="shared" si="744"/>
        <v/>
      </c>
    </row>
    <row r="9477" spans="5:19" x14ac:dyDescent="0.3">
      <c r="E9477" s="9" t="str">
        <f>IF(DADOS!C9477="","",DADOS!C9477)</f>
        <v/>
      </c>
      <c r="F9477" s="9" t="str">
        <f>IF(DADOS!E9477="","",DADOS!E9477)</f>
        <v/>
      </c>
      <c r="G9477" s="9" t="str">
        <f>IF(DADOS!F9477="","",DADOS!F9477)</f>
        <v/>
      </c>
      <c r="K9477" s="6" t="str">
        <f t="shared" si="745"/>
        <v/>
      </c>
      <c r="L9477" s="7" t="str">
        <f t="shared" si="746"/>
        <v/>
      </c>
      <c r="M9477" s="7" t="str">
        <f t="shared" si="743"/>
        <v/>
      </c>
      <c r="N9477" s="7" t="str">
        <f t="shared" si="747"/>
        <v/>
      </c>
      <c r="O9477" s="8"/>
      <c r="P9477" s="26"/>
      <c r="S9477" s="10" t="str">
        <f t="shared" si="744"/>
        <v/>
      </c>
    </row>
    <row r="9478" spans="5:19" x14ac:dyDescent="0.3">
      <c r="E9478" s="9" t="str">
        <f>IF(DADOS!C9478="","",DADOS!C9478)</f>
        <v/>
      </c>
      <c r="F9478" s="9" t="str">
        <f>IF(DADOS!E9478="","",DADOS!E9478)</f>
        <v/>
      </c>
      <c r="G9478" s="9" t="str">
        <f>IF(DADOS!F9478="","",DADOS!F9478)</f>
        <v/>
      </c>
      <c r="K9478" s="6" t="str">
        <f t="shared" si="745"/>
        <v/>
      </c>
      <c r="L9478" s="7" t="str">
        <f t="shared" si="746"/>
        <v/>
      </c>
      <c r="M9478" s="7" t="str">
        <f t="shared" si="743"/>
        <v/>
      </c>
      <c r="N9478" s="7" t="str">
        <f t="shared" si="747"/>
        <v/>
      </c>
      <c r="O9478" s="8"/>
      <c r="P9478" s="26"/>
      <c r="S9478" s="10" t="str">
        <f t="shared" si="744"/>
        <v/>
      </c>
    </row>
    <row r="9479" spans="5:19" x14ac:dyDescent="0.3">
      <c r="E9479" s="9" t="str">
        <f>IF(DADOS!C9479="","",DADOS!C9479)</f>
        <v/>
      </c>
      <c r="F9479" s="9" t="str">
        <f>IF(DADOS!E9479="","",DADOS!E9479)</f>
        <v/>
      </c>
      <c r="G9479" s="9" t="str">
        <f>IF(DADOS!F9479="","",DADOS!F9479)</f>
        <v/>
      </c>
      <c r="K9479" s="6" t="str">
        <f t="shared" si="745"/>
        <v/>
      </c>
      <c r="L9479" s="7" t="str">
        <f t="shared" si="746"/>
        <v/>
      </c>
      <c r="M9479" s="7" t="str">
        <f t="shared" si="743"/>
        <v/>
      </c>
      <c r="N9479" s="7" t="str">
        <f t="shared" si="747"/>
        <v/>
      </c>
      <c r="O9479" s="8"/>
      <c r="P9479" s="26"/>
      <c r="S9479" s="10" t="str">
        <f t="shared" si="744"/>
        <v/>
      </c>
    </row>
    <row r="9480" spans="5:19" x14ac:dyDescent="0.3">
      <c r="E9480" s="9" t="str">
        <f>IF(DADOS!C9480="","",DADOS!C9480)</f>
        <v/>
      </c>
      <c r="F9480" s="9" t="str">
        <f>IF(DADOS!E9480="","",DADOS!E9480)</f>
        <v/>
      </c>
      <c r="G9480" s="9" t="str">
        <f>IF(DADOS!F9480="","",DADOS!F9480)</f>
        <v/>
      </c>
      <c r="K9480" s="6" t="str">
        <f t="shared" si="745"/>
        <v/>
      </c>
      <c r="L9480" s="7" t="str">
        <f t="shared" si="746"/>
        <v/>
      </c>
      <c r="M9480" s="7" t="str">
        <f t="shared" si="743"/>
        <v/>
      </c>
      <c r="N9480" s="7" t="str">
        <f t="shared" si="747"/>
        <v/>
      </c>
      <c r="O9480" s="8"/>
      <c r="P9480" s="26"/>
      <c r="S9480" s="10" t="str">
        <f t="shared" si="744"/>
        <v/>
      </c>
    </row>
    <row r="9481" spans="5:19" x14ac:dyDescent="0.3">
      <c r="E9481" s="9" t="str">
        <f>IF(DADOS!C9481="","",DADOS!C9481)</f>
        <v/>
      </c>
      <c r="F9481" s="9" t="str">
        <f>IF(DADOS!E9481="","",DADOS!E9481)</f>
        <v/>
      </c>
      <c r="G9481" s="9" t="str">
        <f>IF(DADOS!F9481="","",DADOS!F9481)</f>
        <v/>
      </c>
      <c r="K9481" s="6" t="str">
        <f t="shared" si="745"/>
        <v/>
      </c>
      <c r="L9481" s="7" t="str">
        <f t="shared" si="746"/>
        <v/>
      </c>
      <c r="M9481" s="7" t="str">
        <f t="shared" si="743"/>
        <v/>
      </c>
      <c r="N9481" s="7" t="str">
        <f t="shared" si="747"/>
        <v/>
      </c>
      <c r="O9481" s="8"/>
      <c r="P9481" s="26"/>
      <c r="S9481" s="10" t="str">
        <f t="shared" si="744"/>
        <v/>
      </c>
    </row>
    <row r="9482" spans="5:19" x14ac:dyDescent="0.3">
      <c r="E9482" s="9" t="str">
        <f>IF(DADOS!C9482="","",DADOS!C9482)</f>
        <v/>
      </c>
      <c r="F9482" s="9" t="str">
        <f>IF(DADOS!E9482="","",DADOS!E9482)</f>
        <v/>
      </c>
      <c r="G9482" s="9" t="str">
        <f>IF(DADOS!F9482="","",DADOS!F9482)</f>
        <v/>
      </c>
      <c r="K9482" s="6" t="str">
        <f t="shared" si="745"/>
        <v/>
      </c>
      <c r="L9482" s="7" t="str">
        <f t="shared" si="746"/>
        <v/>
      </c>
      <c r="M9482" s="7" t="str">
        <f t="shared" si="743"/>
        <v/>
      </c>
      <c r="N9482" s="7" t="str">
        <f t="shared" si="747"/>
        <v/>
      </c>
      <c r="O9482" s="8"/>
      <c r="P9482" s="26"/>
      <c r="S9482" s="10" t="str">
        <f t="shared" si="744"/>
        <v/>
      </c>
    </row>
    <row r="9483" spans="5:19" x14ac:dyDescent="0.3">
      <c r="E9483" s="9" t="str">
        <f>IF(DADOS!C9483="","",DADOS!C9483)</f>
        <v/>
      </c>
      <c r="F9483" s="9" t="str">
        <f>IF(DADOS!E9483="","",DADOS!E9483)</f>
        <v/>
      </c>
      <c r="G9483" s="9" t="str">
        <f>IF(DADOS!F9483="","",DADOS!F9483)</f>
        <v/>
      </c>
      <c r="K9483" s="6" t="str">
        <f t="shared" si="745"/>
        <v/>
      </c>
      <c r="L9483" s="7" t="str">
        <f t="shared" si="746"/>
        <v/>
      </c>
      <c r="M9483" s="7" t="str">
        <f t="shared" si="743"/>
        <v/>
      </c>
      <c r="N9483" s="7" t="str">
        <f t="shared" si="747"/>
        <v/>
      </c>
      <c r="O9483" s="8"/>
      <c r="P9483" s="26"/>
      <c r="S9483" s="10" t="str">
        <f t="shared" si="744"/>
        <v/>
      </c>
    </row>
    <row r="9484" spans="5:19" x14ac:dyDescent="0.3">
      <c r="E9484" s="9" t="str">
        <f>IF(DADOS!C9484="","",DADOS!C9484)</f>
        <v/>
      </c>
      <c r="F9484" s="9" t="str">
        <f>IF(DADOS!E9484="","",DADOS!E9484)</f>
        <v/>
      </c>
      <c r="G9484" s="9" t="str">
        <f>IF(DADOS!F9484="","",DADOS!F9484)</f>
        <v/>
      </c>
      <c r="K9484" s="6" t="str">
        <f t="shared" si="745"/>
        <v/>
      </c>
      <c r="L9484" s="7" t="str">
        <f t="shared" si="746"/>
        <v/>
      </c>
      <c r="M9484" s="7" t="str">
        <f t="shared" si="743"/>
        <v/>
      </c>
      <c r="N9484" s="7" t="str">
        <f t="shared" si="747"/>
        <v/>
      </c>
      <c r="O9484" s="8"/>
      <c r="P9484" s="26"/>
      <c r="S9484" s="10" t="str">
        <f t="shared" si="744"/>
        <v/>
      </c>
    </row>
    <row r="9485" spans="5:19" x14ac:dyDescent="0.3">
      <c r="E9485" s="9" t="str">
        <f>IF(DADOS!C9485="","",DADOS!C9485)</f>
        <v/>
      </c>
      <c r="F9485" s="9" t="str">
        <f>IF(DADOS!E9485="","",DADOS!E9485)</f>
        <v/>
      </c>
      <c r="G9485" s="9" t="str">
        <f>IF(DADOS!F9485="","",DADOS!F9485)</f>
        <v/>
      </c>
      <c r="K9485" s="6" t="str">
        <f t="shared" si="745"/>
        <v/>
      </c>
      <c r="L9485" s="7" t="str">
        <f t="shared" si="746"/>
        <v/>
      </c>
      <c r="M9485" s="7" t="str">
        <f t="shared" si="743"/>
        <v/>
      </c>
      <c r="N9485" s="7" t="str">
        <f t="shared" si="747"/>
        <v/>
      </c>
      <c r="O9485" s="8"/>
      <c r="P9485" s="26"/>
      <c r="S9485" s="10" t="str">
        <f t="shared" si="744"/>
        <v/>
      </c>
    </row>
    <row r="9486" spans="5:19" x14ac:dyDescent="0.3">
      <c r="E9486" s="9" t="str">
        <f>IF(DADOS!C9486="","",DADOS!C9486)</f>
        <v/>
      </c>
      <c r="F9486" s="9" t="str">
        <f>IF(DADOS!E9486="","",DADOS!E9486)</f>
        <v/>
      </c>
      <c r="G9486" s="9" t="str">
        <f>IF(DADOS!F9486="","",DADOS!F9486)</f>
        <v/>
      </c>
      <c r="K9486" s="6" t="str">
        <f t="shared" si="745"/>
        <v/>
      </c>
      <c r="L9486" s="7" t="str">
        <f t="shared" si="746"/>
        <v/>
      </c>
      <c r="M9486" s="7" t="str">
        <f t="shared" si="743"/>
        <v/>
      </c>
      <c r="N9486" s="7" t="str">
        <f t="shared" si="747"/>
        <v/>
      </c>
      <c r="O9486" s="8"/>
      <c r="P9486" s="26"/>
      <c r="S9486" s="10" t="str">
        <f t="shared" si="744"/>
        <v/>
      </c>
    </row>
    <row r="9487" spans="5:19" x14ac:dyDescent="0.3">
      <c r="E9487" s="9" t="str">
        <f>IF(DADOS!C9487="","",DADOS!C9487)</f>
        <v/>
      </c>
      <c r="F9487" s="9" t="str">
        <f>IF(DADOS!E9487="","",DADOS!E9487)</f>
        <v/>
      </c>
      <c r="G9487" s="9" t="str">
        <f>IF(DADOS!F9487="","",DADOS!F9487)</f>
        <v/>
      </c>
      <c r="K9487" s="6" t="str">
        <f t="shared" si="745"/>
        <v/>
      </c>
      <c r="L9487" s="7" t="str">
        <f t="shared" si="746"/>
        <v/>
      </c>
      <c r="M9487" s="7" t="str">
        <f t="shared" si="743"/>
        <v/>
      </c>
      <c r="N9487" s="7" t="str">
        <f t="shared" si="747"/>
        <v/>
      </c>
      <c r="O9487" s="8"/>
      <c r="P9487" s="26"/>
      <c r="S9487" s="10" t="str">
        <f t="shared" si="744"/>
        <v/>
      </c>
    </row>
    <row r="9488" spans="5:19" x14ac:dyDescent="0.3">
      <c r="E9488" s="9" t="str">
        <f>IF(DADOS!C9488="","",DADOS!C9488)</f>
        <v/>
      </c>
      <c r="F9488" s="9" t="str">
        <f>IF(DADOS!E9488="","",DADOS!E9488)</f>
        <v/>
      </c>
      <c r="G9488" s="9" t="str">
        <f>IF(DADOS!F9488="","",DADOS!F9488)</f>
        <v/>
      </c>
      <c r="K9488" s="6" t="str">
        <f t="shared" si="745"/>
        <v/>
      </c>
      <c r="L9488" s="7" t="str">
        <f t="shared" si="746"/>
        <v/>
      </c>
      <c r="M9488" s="7" t="str">
        <f t="shared" si="743"/>
        <v/>
      </c>
      <c r="N9488" s="7" t="str">
        <f t="shared" si="747"/>
        <v/>
      </c>
      <c r="O9488" s="8"/>
      <c r="P9488" s="26"/>
      <c r="S9488" s="10" t="str">
        <f t="shared" si="744"/>
        <v/>
      </c>
    </row>
    <row r="9489" spans="5:19" x14ac:dyDescent="0.3">
      <c r="E9489" s="9" t="str">
        <f>IF(DADOS!C9489="","",DADOS!C9489)</f>
        <v/>
      </c>
      <c r="F9489" s="9" t="str">
        <f>IF(DADOS!E9489="","",DADOS!E9489)</f>
        <v/>
      </c>
      <c r="G9489" s="9" t="str">
        <f>IF(DADOS!F9489="","",DADOS!F9489)</f>
        <v/>
      </c>
      <c r="K9489" s="6" t="str">
        <f t="shared" si="745"/>
        <v/>
      </c>
      <c r="L9489" s="7" t="str">
        <f t="shared" si="746"/>
        <v/>
      </c>
      <c r="M9489" s="7" t="str">
        <f t="shared" si="743"/>
        <v/>
      </c>
      <c r="N9489" s="7" t="str">
        <f t="shared" si="747"/>
        <v/>
      </c>
      <c r="O9489" s="8"/>
      <c r="P9489" s="26"/>
      <c r="S9489" s="10" t="str">
        <f t="shared" si="744"/>
        <v/>
      </c>
    </row>
    <row r="9490" spans="5:19" x14ac:dyDescent="0.3">
      <c r="E9490" s="9" t="str">
        <f>IF(DADOS!C9490="","",DADOS!C9490)</f>
        <v/>
      </c>
      <c r="F9490" s="9" t="str">
        <f>IF(DADOS!E9490="","",DADOS!E9490)</f>
        <v/>
      </c>
      <c r="G9490" s="9" t="str">
        <f>IF(DADOS!F9490="","",DADOS!F9490)</f>
        <v/>
      </c>
      <c r="K9490" s="6" t="str">
        <f t="shared" si="745"/>
        <v/>
      </c>
      <c r="L9490" s="7" t="str">
        <f t="shared" si="746"/>
        <v/>
      </c>
      <c r="M9490" s="7" t="str">
        <f t="shared" si="743"/>
        <v/>
      </c>
      <c r="N9490" s="7" t="str">
        <f t="shared" si="747"/>
        <v/>
      </c>
      <c r="O9490" s="8"/>
      <c r="P9490" s="26"/>
      <c r="S9490" s="10" t="str">
        <f t="shared" si="744"/>
        <v/>
      </c>
    </row>
    <row r="9491" spans="5:19" x14ac:dyDescent="0.3">
      <c r="E9491" s="9" t="str">
        <f>IF(DADOS!C9491="","",DADOS!C9491)</f>
        <v/>
      </c>
      <c r="F9491" s="9" t="str">
        <f>IF(DADOS!E9491="","",DADOS!E9491)</f>
        <v/>
      </c>
      <c r="G9491" s="9" t="str">
        <f>IF(DADOS!F9491="","",DADOS!F9491)</f>
        <v/>
      </c>
      <c r="K9491" s="6" t="str">
        <f t="shared" si="745"/>
        <v/>
      </c>
      <c r="L9491" s="7" t="str">
        <f t="shared" si="746"/>
        <v/>
      </c>
      <c r="M9491" s="7" t="str">
        <f t="shared" si="743"/>
        <v/>
      </c>
      <c r="N9491" s="7" t="str">
        <f t="shared" si="747"/>
        <v/>
      </c>
      <c r="O9491" s="8"/>
      <c r="P9491" s="26"/>
      <c r="S9491" s="10" t="str">
        <f t="shared" si="744"/>
        <v/>
      </c>
    </row>
    <row r="9492" spans="5:19" x14ac:dyDescent="0.3">
      <c r="E9492" s="9" t="str">
        <f>IF(DADOS!C9492="","",DADOS!C9492)</f>
        <v/>
      </c>
      <c r="F9492" s="9" t="str">
        <f>IF(DADOS!E9492="","",DADOS!E9492)</f>
        <v/>
      </c>
      <c r="G9492" s="9" t="str">
        <f>IF(DADOS!F9492="","",DADOS!F9492)</f>
        <v/>
      </c>
      <c r="K9492" s="6" t="str">
        <f t="shared" si="745"/>
        <v/>
      </c>
      <c r="L9492" s="7" t="str">
        <f t="shared" si="746"/>
        <v/>
      </c>
      <c r="M9492" s="7" t="str">
        <f t="shared" si="743"/>
        <v/>
      </c>
      <c r="N9492" s="7" t="str">
        <f t="shared" si="747"/>
        <v/>
      </c>
      <c r="O9492" s="8"/>
      <c r="P9492" s="26"/>
      <c r="S9492" s="10" t="str">
        <f t="shared" si="744"/>
        <v/>
      </c>
    </row>
    <row r="9493" spans="5:19" x14ac:dyDescent="0.3">
      <c r="E9493" s="9" t="str">
        <f>IF(DADOS!C9493="","",DADOS!C9493)</f>
        <v/>
      </c>
      <c r="F9493" s="9" t="str">
        <f>IF(DADOS!E9493="","",DADOS!E9493)</f>
        <v/>
      </c>
      <c r="G9493" s="9" t="str">
        <f>IF(DADOS!F9493="","",DADOS!F9493)</f>
        <v/>
      </c>
      <c r="K9493" s="6" t="str">
        <f t="shared" si="745"/>
        <v/>
      </c>
      <c r="L9493" s="7" t="str">
        <f t="shared" si="746"/>
        <v/>
      </c>
      <c r="M9493" s="7" t="str">
        <f t="shared" si="743"/>
        <v/>
      </c>
      <c r="N9493" s="7" t="str">
        <f t="shared" si="747"/>
        <v/>
      </c>
      <c r="O9493" s="8"/>
      <c r="P9493" s="26"/>
      <c r="S9493" s="10" t="str">
        <f t="shared" si="744"/>
        <v/>
      </c>
    </row>
    <row r="9494" spans="5:19" x14ac:dyDescent="0.3">
      <c r="E9494" s="9" t="str">
        <f>IF(DADOS!C9494="","",DADOS!C9494)</f>
        <v/>
      </c>
      <c r="F9494" s="9" t="str">
        <f>IF(DADOS!E9494="","",DADOS!E9494)</f>
        <v/>
      </c>
      <c r="G9494" s="9" t="str">
        <f>IF(DADOS!F9494="","",DADOS!F9494)</f>
        <v/>
      </c>
      <c r="K9494" s="6" t="str">
        <f t="shared" si="745"/>
        <v/>
      </c>
      <c r="L9494" s="7" t="str">
        <f t="shared" si="746"/>
        <v/>
      </c>
      <c r="M9494" s="7" t="str">
        <f t="shared" si="743"/>
        <v/>
      </c>
      <c r="N9494" s="7" t="str">
        <f t="shared" si="747"/>
        <v/>
      </c>
      <c r="O9494" s="8"/>
      <c r="P9494" s="26"/>
      <c r="S9494" s="10" t="str">
        <f t="shared" si="744"/>
        <v/>
      </c>
    </row>
    <row r="9495" spans="5:19" x14ac:dyDescent="0.3">
      <c r="E9495" s="9" t="str">
        <f>IF(DADOS!C9495="","",DADOS!C9495)</f>
        <v/>
      </c>
      <c r="F9495" s="9" t="str">
        <f>IF(DADOS!E9495="","",DADOS!E9495)</f>
        <v/>
      </c>
      <c r="G9495" s="9" t="str">
        <f>IF(DADOS!F9495="","",DADOS!F9495)</f>
        <v/>
      </c>
      <c r="K9495" s="6" t="str">
        <f t="shared" si="745"/>
        <v/>
      </c>
      <c r="L9495" s="7" t="str">
        <f t="shared" si="746"/>
        <v/>
      </c>
      <c r="M9495" s="7" t="str">
        <f t="shared" si="743"/>
        <v/>
      </c>
      <c r="N9495" s="7" t="str">
        <f t="shared" si="747"/>
        <v/>
      </c>
      <c r="O9495" s="8"/>
      <c r="P9495" s="26"/>
      <c r="S9495" s="10" t="str">
        <f t="shared" si="744"/>
        <v/>
      </c>
    </row>
    <row r="9496" spans="5:19" x14ac:dyDescent="0.3">
      <c r="E9496" s="9" t="str">
        <f>IF(DADOS!C9496="","",DADOS!C9496)</f>
        <v/>
      </c>
      <c r="F9496" s="9" t="str">
        <f>IF(DADOS!E9496="","",DADOS!E9496)</f>
        <v/>
      </c>
      <c r="G9496" s="9" t="str">
        <f>IF(DADOS!F9496="","",DADOS!F9496)</f>
        <v/>
      </c>
      <c r="K9496" s="6" t="str">
        <f t="shared" si="745"/>
        <v/>
      </c>
      <c r="L9496" s="7" t="str">
        <f t="shared" si="746"/>
        <v/>
      </c>
      <c r="M9496" s="7" t="str">
        <f t="shared" si="743"/>
        <v/>
      </c>
      <c r="N9496" s="7" t="str">
        <f t="shared" si="747"/>
        <v/>
      </c>
      <c r="O9496" s="8"/>
      <c r="P9496" s="26"/>
      <c r="S9496" s="10" t="str">
        <f t="shared" si="744"/>
        <v/>
      </c>
    </row>
    <row r="9497" spans="5:19" x14ac:dyDescent="0.3">
      <c r="E9497" s="9" t="str">
        <f>IF(DADOS!C9497="","",DADOS!C9497)</f>
        <v/>
      </c>
      <c r="F9497" s="9" t="str">
        <f>IF(DADOS!E9497="","",DADOS!E9497)</f>
        <v/>
      </c>
      <c r="G9497" s="9" t="str">
        <f>IF(DADOS!F9497="","",DADOS!F9497)</f>
        <v/>
      </c>
      <c r="K9497" s="6" t="str">
        <f t="shared" si="745"/>
        <v/>
      </c>
      <c r="L9497" s="7" t="str">
        <f t="shared" si="746"/>
        <v/>
      </c>
      <c r="M9497" s="7" t="str">
        <f t="shared" si="743"/>
        <v/>
      </c>
      <c r="N9497" s="7" t="str">
        <f t="shared" si="747"/>
        <v/>
      </c>
      <c r="O9497" s="8"/>
      <c r="P9497" s="26"/>
      <c r="S9497" s="10" t="str">
        <f t="shared" si="744"/>
        <v/>
      </c>
    </row>
    <row r="9498" spans="5:19" x14ac:dyDescent="0.3">
      <c r="E9498" s="9" t="str">
        <f>IF(DADOS!C9498="","",DADOS!C9498)</f>
        <v/>
      </c>
      <c r="F9498" s="9" t="str">
        <f>IF(DADOS!E9498="","",DADOS!E9498)</f>
        <v/>
      </c>
      <c r="G9498" s="9" t="str">
        <f>IF(DADOS!F9498="","",DADOS!F9498)</f>
        <v/>
      </c>
      <c r="K9498" s="6" t="str">
        <f t="shared" si="745"/>
        <v/>
      </c>
      <c r="L9498" s="7" t="str">
        <f t="shared" si="746"/>
        <v/>
      </c>
      <c r="M9498" s="7" t="str">
        <f t="shared" si="743"/>
        <v/>
      </c>
      <c r="N9498" s="7" t="str">
        <f t="shared" si="747"/>
        <v/>
      </c>
      <c r="O9498" s="8"/>
      <c r="P9498" s="26"/>
      <c r="S9498" s="10" t="str">
        <f t="shared" si="744"/>
        <v/>
      </c>
    </row>
    <row r="9499" spans="5:19" x14ac:dyDescent="0.3">
      <c r="E9499" s="9" t="str">
        <f>IF(DADOS!C9499="","",DADOS!C9499)</f>
        <v/>
      </c>
      <c r="F9499" s="9" t="str">
        <f>IF(DADOS!E9499="","",DADOS!E9499)</f>
        <v/>
      </c>
      <c r="G9499" s="9" t="str">
        <f>IF(DADOS!F9499="","",DADOS!F9499)</f>
        <v/>
      </c>
      <c r="K9499" s="6" t="str">
        <f t="shared" si="745"/>
        <v/>
      </c>
      <c r="L9499" s="7" t="str">
        <f t="shared" si="746"/>
        <v/>
      </c>
      <c r="M9499" s="7" t="str">
        <f t="shared" si="743"/>
        <v/>
      </c>
      <c r="N9499" s="7" t="str">
        <f t="shared" si="747"/>
        <v/>
      </c>
      <c r="O9499" s="8"/>
      <c r="P9499" s="26"/>
      <c r="S9499" s="10" t="str">
        <f t="shared" si="744"/>
        <v/>
      </c>
    </row>
    <row r="9500" spans="5:19" x14ac:dyDescent="0.3">
      <c r="E9500" s="9" t="str">
        <f>IF(DADOS!C9500="","",DADOS!C9500)</f>
        <v/>
      </c>
      <c r="F9500" s="9" t="str">
        <f>IF(DADOS!E9500="","",DADOS!E9500)</f>
        <v/>
      </c>
      <c r="G9500" s="9" t="str">
        <f>IF(DADOS!F9500="","",DADOS!F9500)</f>
        <v/>
      </c>
      <c r="K9500" s="6" t="str">
        <f t="shared" si="745"/>
        <v/>
      </c>
      <c r="L9500" s="7" t="str">
        <f t="shared" si="746"/>
        <v/>
      </c>
      <c r="M9500" s="7" t="str">
        <f t="shared" si="743"/>
        <v/>
      </c>
      <c r="N9500" s="7" t="str">
        <f t="shared" si="747"/>
        <v/>
      </c>
      <c r="O9500" s="8"/>
      <c r="P9500" s="26"/>
      <c r="S9500" s="10" t="str">
        <f t="shared" si="744"/>
        <v/>
      </c>
    </row>
    <row r="9501" spans="5:19" x14ac:dyDescent="0.3">
      <c r="E9501" s="9" t="str">
        <f>IF(DADOS!C9501="","",DADOS!C9501)</f>
        <v/>
      </c>
      <c r="F9501" s="9" t="str">
        <f>IF(DADOS!E9501="","",DADOS!E9501)</f>
        <v/>
      </c>
      <c r="G9501" s="9" t="str">
        <f>IF(DADOS!F9501="","",DADOS!F9501)</f>
        <v/>
      </c>
      <c r="K9501" s="6" t="str">
        <f t="shared" si="745"/>
        <v/>
      </c>
      <c r="L9501" s="7" t="str">
        <f t="shared" si="746"/>
        <v/>
      </c>
      <c r="M9501" s="7" t="str">
        <f t="shared" si="743"/>
        <v/>
      </c>
      <c r="N9501" s="7" t="str">
        <f t="shared" si="747"/>
        <v/>
      </c>
      <c r="O9501" s="8"/>
      <c r="P9501" s="26"/>
      <c r="S9501" s="10" t="str">
        <f t="shared" si="744"/>
        <v/>
      </c>
    </row>
    <row r="9502" spans="5:19" x14ac:dyDescent="0.3">
      <c r="E9502" s="9" t="str">
        <f>IF(DADOS!C9502="","",DADOS!C9502)</f>
        <v/>
      </c>
      <c r="F9502" s="9" t="str">
        <f>IF(DADOS!E9502="","",DADOS!E9502)</f>
        <v/>
      </c>
      <c r="G9502" s="9" t="str">
        <f>IF(DADOS!F9502="","",DADOS!F9502)</f>
        <v/>
      </c>
      <c r="K9502" s="6" t="str">
        <f t="shared" si="745"/>
        <v/>
      </c>
      <c r="L9502" s="7" t="str">
        <f t="shared" si="746"/>
        <v/>
      </c>
      <c r="M9502" s="7" t="str">
        <f t="shared" si="743"/>
        <v/>
      </c>
      <c r="N9502" s="7" t="str">
        <f t="shared" si="747"/>
        <v/>
      </c>
      <c r="O9502" s="8"/>
      <c r="P9502" s="26"/>
      <c r="S9502" s="10" t="str">
        <f t="shared" si="744"/>
        <v/>
      </c>
    </row>
    <row r="9503" spans="5:19" x14ac:dyDescent="0.3">
      <c r="E9503" s="9" t="str">
        <f>IF(DADOS!C9503="","",DADOS!C9503)</f>
        <v/>
      </c>
      <c r="F9503" s="9" t="str">
        <f>IF(DADOS!E9503="","",DADOS!E9503)</f>
        <v/>
      </c>
      <c r="G9503" s="9" t="str">
        <f>IF(DADOS!F9503="","",DADOS!F9503)</f>
        <v/>
      </c>
      <c r="K9503" s="6" t="str">
        <f t="shared" si="745"/>
        <v/>
      </c>
      <c r="L9503" s="7" t="str">
        <f t="shared" si="746"/>
        <v/>
      </c>
      <c r="M9503" s="7" t="str">
        <f t="shared" si="743"/>
        <v/>
      </c>
      <c r="N9503" s="7" t="str">
        <f t="shared" si="747"/>
        <v/>
      </c>
      <c r="O9503" s="8"/>
      <c r="P9503" s="26"/>
      <c r="S9503" s="10" t="str">
        <f t="shared" si="744"/>
        <v/>
      </c>
    </row>
    <row r="9504" spans="5:19" x14ac:dyDescent="0.3">
      <c r="E9504" s="9" t="str">
        <f>IF(DADOS!C9504="","",DADOS!C9504)</f>
        <v/>
      </c>
      <c r="F9504" s="9" t="str">
        <f>IF(DADOS!E9504="","",DADOS!E9504)</f>
        <v/>
      </c>
      <c r="G9504" s="9" t="str">
        <f>IF(DADOS!F9504="","",DADOS!F9504)</f>
        <v/>
      </c>
      <c r="K9504" s="6" t="str">
        <f t="shared" si="745"/>
        <v/>
      </c>
      <c r="L9504" s="7" t="str">
        <f t="shared" si="746"/>
        <v/>
      </c>
      <c r="M9504" s="7" t="str">
        <f t="shared" si="743"/>
        <v/>
      </c>
      <c r="N9504" s="7" t="str">
        <f t="shared" si="747"/>
        <v/>
      </c>
      <c r="O9504" s="8"/>
      <c r="P9504" s="26"/>
      <c r="S9504" s="10" t="str">
        <f t="shared" si="744"/>
        <v/>
      </c>
    </row>
    <row r="9505" spans="5:19" x14ac:dyDescent="0.3">
      <c r="E9505" s="9" t="str">
        <f>IF(DADOS!C9505="","",DADOS!C9505)</f>
        <v/>
      </c>
      <c r="F9505" s="9" t="str">
        <f>IF(DADOS!E9505="","",DADOS!E9505)</f>
        <v/>
      </c>
      <c r="G9505" s="9" t="str">
        <f>IF(DADOS!F9505="","",DADOS!F9505)</f>
        <v/>
      </c>
      <c r="K9505" s="6" t="str">
        <f t="shared" si="745"/>
        <v/>
      </c>
      <c r="L9505" s="7" t="str">
        <f t="shared" si="746"/>
        <v/>
      </c>
      <c r="M9505" s="7" t="str">
        <f t="shared" si="743"/>
        <v/>
      </c>
      <c r="N9505" s="7" t="str">
        <f t="shared" si="747"/>
        <v/>
      </c>
      <c r="O9505" s="8"/>
      <c r="P9505" s="26"/>
      <c r="S9505" s="10" t="str">
        <f t="shared" si="744"/>
        <v/>
      </c>
    </row>
    <row r="9506" spans="5:19" x14ac:dyDescent="0.3">
      <c r="E9506" s="9" t="str">
        <f>IF(DADOS!C9506="","",DADOS!C9506)</f>
        <v/>
      </c>
      <c r="F9506" s="9" t="str">
        <f>IF(DADOS!E9506="","",DADOS!E9506)</f>
        <v/>
      </c>
      <c r="G9506" s="9" t="str">
        <f>IF(DADOS!F9506="","",DADOS!F9506)</f>
        <v/>
      </c>
      <c r="K9506" s="6" t="str">
        <f t="shared" si="745"/>
        <v/>
      </c>
      <c r="L9506" s="7" t="str">
        <f t="shared" si="746"/>
        <v/>
      </c>
      <c r="M9506" s="7" t="str">
        <f t="shared" si="743"/>
        <v/>
      </c>
      <c r="N9506" s="7" t="str">
        <f t="shared" si="747"/>
        <v/>
      </c>
      <c r="O9506" s="8"/>
      <c r="P9506" s="26"/>
      <c r="S9506" s="10" t="str">
        <f t="shared" si="744"/>
        <v/>
      </c>
    </row>
    <row r="9507" spans="5:19" x14ac:dyDescent="0.3">
      <c r="E9507" s="9" t="str">
        <f>IF(DADOS!C9507="","",DADOS!C9507)</f>
        <v/>
      </c>
      <c r="F9507" s="9" t="str">
        <f>IF(DADOS!E9507="","",DADOS!E9507)</f>
        <v/>
      </c>
      <c r="G9507" s="9" t="str">
        <f>IF(DADOS!F9507="","",DADOS!F9507)</f>
        <v/>
      </c>
      <c r="K9507" s="6" t="str">
        <f t="shared" si="745"/>
        <v/>
      </c>
      <c r="L9507" s="7" t="str">
        <f t="shared" si="746"/>
        <v/>
      </c>
      <c r="M9507" s="7" t="str">
        <f t="shared" si="743"/>
        <v/>
      </c>
      <c r="N9507" s="7" t="str">
        <f t="shared" si="747"/>
        <v/>
      </c>
      <c r="O9507" s="8"/>
      <c r="P9507" s="26"/>
      <c r="S9507" s="10" t="str">
        <f t="shared" si="744"/>
        <v/>
      </c>
    </row>
    <row r="9508" spans="5:19" x14ac:dyDescent="0.3">
      <c r="E9508" s="9" t="str">
        <f>IF(DADOS!C9508="","",DADOS!C9508)</f>
        <v/>
      </c>
      <c r="F9508" s="9" t="str">
        <f>IF(DADOS!E9508="","",DADOS!E9508)</f>
        <v/>
      </c>
      <c r="G9508" s="9" t="str">
        <f>IF(DADOS!F9508="","",DADOS!F9508)</f>
        <v/>
      </c>
      <c r="K9508" s="6" t="str">
        <f t="shared" si="745"/>
        <v/>
      </c>
      <c r="L9508" s="7" t="str">
        <f t="shared" si="746"/>
        <v/>
      </c>
      <c r="M9508" s="7" t="str">
        <f t="shared" si="743"/>
        <v/>
      </c>
      <c r="N9508" s="7" t="str">
        <f t="shared" si="747"/>
        <v/>
      </c>
      <c r="O9508" s="8"/>
      <c r="P9508" s="26"/>
      <c r="S9508" s="10" t="str">
        <f t="shared" si="744"/>
        <v/>
      </c>
    </row>
    <row r="9509" spans="5:19" x14ac:dyDescent="0.3">
      <c r="E9509" s="9" t="str">
        <f>IF(DADOS!C9509="","",DADOS!C9509)</f>
        <v/>
      </c>
      <c r="F9509" s="9" t="str">
        <f>IF(DADOS!E9509="","",DADOS!E9509)</f>
        <v/>
      </c>
      <c r="G9509" s="9" t="str">
        <f>IF(DADOS!F9509="","",DADOS!F9509)</f>
        <v/>
      </c>
      <c r="K9509" s="6" t="str">
        <f t="shared" si="745"/>
        <v/>
      </c>
      <c r="L9509" s="7" t="str">
        <f t="shared" si="746"/>
        <v/>
      </c>
      <c r="M9509" s="7" t="str">
        <f t="shared" si="743"/>
        <v/>
      </c>
      <c r="N9509" s="7" t="str">
        <f t="shared" si="747"/>
        <v/>
      </c>
      <c r="O9509" s="8"/>
      <c r="P9509" s="26"/>
      <c r="S9509" s="10" t="str">
        <f t="shared" si="744"/>
        <v/>
      </c>
    </row>
    <row r="9510" spans="5:19" x14ac:dyDescent="0.3">
      <c r="E9510" s="9" t="str">
        <f>IF(DADOS!C9510="","",DADOS!C9510)</f>
        <v/>
      </c>
      <c r="F9510" s="9" t="str">
        <f>IF(DADOS!E9510="","",DADOS!E9510)</f>
        <v/>
      </c>
      <c r="G9510" s="9" t="str">
        <f>IF(DADOS!F9510="","",DADOS!F9510)</f>
        <v/>
      </c>
      <c r="K9510" s="6" t="str">
        <f t="shared" si="745"/>
        <v/>
      </c>
      <c r="L9510" s="7" t="str">
        <f t="shared" si="746"/>
        <v/>
      </c>
      <c r="M9510" s="7" t="str">
        <f t="shared" si="743"/>
        <v/>
      </c>
      <c r="N9510" s="7" t="str">
        <f t="shared" si="747"/>
        <v/>
      </c>
      <c r="O9510" s="8"/>
      <c r="P9510" s="26"/>
      <c r="S9510" s="10" t="str">
        <f t="shared" si="744"/>
        <v/>
      </c>
    </row>
    <row r="9511" spans="5:19" x14ac:dyDescent="0.3">
      <c r="E9511" s="9" t="str">
        <f>IF(DADOS!C9511="","",DADOS!C9511)</f>
        <v/>
      </c>
      <c r="F9511" s="9" t="str">
        <f>IF(DADOS!E9511="","",DADOS!E9511)</f>
        <v/>
      </c>
      <c r="G9511" s="9" t="str">
        <f>IF(DADOS!F9511="","",DADOS!F9511)</f>
        <v/>
      </c>
      <c r="K9511" s="6" t="str">
        <f t="shared" si="745"/>
        <v/>
      </c>
      <c r="L9511" s="7" t="str">
        <f t="shared" si="746"/>
        <v/>
      </c>
      <c r="M9511" s="7" t="str">
        <f t="shared" si="743"/>
        <v/>
      </c>
      <c r="N9511" s="7" t="str">
        <f t="shared" si="747"/>
        <v/>
      </c>
      <c r="O9511" s="8"/>
      <c r="P9511" s="26"/>
      <c r="S9511" s="10" t="str">
        <f t="shared" si="744"/>
        <v/>
      </c>
    </row>
    <row r="9512" spans="5:19" x14ac:dyDescent="0.3">
      <c r="E9512" s="9" t="str">
        <f>IF(DADOS!C9512="","",DADOS!C9512)</f>
        <v/>
      </c>
      <c r="F9512" s="9" t="str">
        <f>IF(DADOS!E9512="","",DADOS!E9512)</f>
        <v/>
      </c>
      <c r="G9512" s="9" t="str">
        <f>IF(DADOS!F9512="","",DADOS!F9512)</f>
        <v/>
      </c>
      <c r="K9512" s="6" t="str">
        <f t="shared" si="745"/>
        <v/>
      </c>
      <c r="L9512" s="7" t="str">
        <f t="shared" si="746"/>
        <v/>
      </c>
      <c r="M9512" s="7" t="str">
        <f t="shared" si="743"/>
        <v/>
      </c>
      <c r="N9512" s="7" t="str">
        <f t="shared" si="747"/>
        <v/>
      </c>
      <c r="O9512" s="8"/>
      <c r="P9512" s="26"/>
      <c r="S9512" s="10" t="str">
        <f t="shared" si="744"/>
        <v/>
      </c>
    </row>
    <row r="9513" spans="5:19" x14ac:dyDescent="0.3">
      <c r="E9513" s="9" t="str">
        <f>IF(DADOS!C9513="","",DADOS!C9513)</f>
        <v/>
      </c>
      <c r="F9513" s="9" t="str">
        <f>IF(DADOS!E9513="","",DADOS!E9513)</f>
        <v/>
      </c>
      <c r="G9513" s="9" t="str">
        <f>IF(DADOS!F9513="","",DADOS!F9513)</f>
        <v/>
      </c>
      <c r="K9513" s="6" t="str">
        <f t="shared" si="745"/>
        <v/>
      </c>
      <c r="L9513" s="7" t="str">
        <f t="shared" si="746"/>
        <v/>
      </c>
      <c r="M9513" s="7" t="str">
        <f t="shared" si="743"/>
        <v/>
      </c>
      <c r="N9513" s="7" t="str">
        <f t="shared" si="747"/>
        <v/>
      </c>
      <c r="O9513" s="8"/>
      <c r="P9513" s="26"/>
      <c r="S9513" s="10" t="str">
        <f t="shared" si="744"/>
        <v/>
      </c>
    </row>
    <row r="9514" spans="5:19" x14ac:dyDescent="0.3">
      <c r="E9514" s="9" t="str">
        <f>IF(DADOS!C9514="","",DADOS!C9514)</f>
        <v/>
      </c>
      <c r="F9514" s="9" t="str">
        <f>IF(DADOS!E9514="","",DADOS!E9514)</f>
        <v/>
      </c>
      <c r="G9514" s="9" t="str">
        <f>IF(DADOS!F9514="","",DADOS!F9514)</f>
        <v/>
      </c>
      <c r="K9514" s="6" t="str">
        <f t="shared" si="745"/>
        <v/>
      </c>
      <c r="L9514" s="7" t="str">
        <f t="shared" si="746"/>
        <v/>
      </c>
      <c r="M9514" s="7" t="str">
        <f t="shared" si="743"/>
        <v/>
      </c>
      <c r="N9514" s="7" t="str">
        <f t="shared" si="747"/>
        <v/>
      </c>
      <c r="O9514" s="8"/>
      <c r="P9514" s="26"/>
      <c r="S9514" s="10" t="str">
        <f t="shared" si="744"/>
        <v/>
      </c>
    </row>
    <row r="9515" spans="5:19" x14ac:dyDescent="0.3">
      <c r="E9515" s="9" t="str">
        <f>IF(DADOS!C9515="","",DADOS!C9515)</f>
        <v/>
      </c>
      <c r="F9515" s="9" t="str">
        <f>IF(DADOS!E9515="","",DADOS!E9515)</f>
        <v/>
      </c>
      <c r="G9515" s="9" t="str">
        <f>IF(DADOS!F9515="","",DADOS!F9515)</f>
        <v/>
      </c>
      <c r="K9515" s="6" t="str">
        <f t="shared" si="745"/>
        <v/>
      </c>
      <c r="L9515" s="7" t="str">
        <f t="shared" si="746"/>
        <v/>
      </c>
      <c r="M9515" s="7" t="str">
        <f t="shared" si="743"/>
        <v/>
      </c>
      <c r="N9515" s="7" t="str">
        <f t="shared" si="747"/>
        <v/>
      </c>
      <c r="O9515" s="8"/>
      <c r="P9515" s="26"/>
      <c r="S9515" s="10" t="str">
        <f t="shared" si="744"/>
        <v/>
      </c>
    </row>
    <row r="9516" spans="5:19" x14ac:dyDescent="0.3">
      <c r="E9516" s="9" t="str">
        <f>IF(DADOS!C9516="","",DADOS!C9516)</f>
        <v/>
      </c>
      <c r="F9516" s="9" t="str">
        <f>IF(DADOS!E9516="","",DADOS!E9516)</f>
        <v/>
      </c>
      <c r="G9516" s="9" t="str">
        <f>IF(DADOS!F9516="","",DADOS!F9516)</f>
        <v/>
      </c>
      <c r="K9516" s="6" t="str">
        <f t="shared" si="745"/>
        <v/>
      </c>
      <c r="L9516" s="7" t="str">
        <f t="shared" si="746"/>
        <v/>
      </c>
      <c r="M9516" s="7" t="str">
        <f t="shared" si="743"/>
        <v/>
      </c>
      <c r="N9516" s="7" t="str">
        <f t="shared" si="747"/>
        <v/>
      </c>
      <c r="O9516" s="8"/>
      <c r="P9516" s="26"/>
      <c r="S9516" s="10" t="str">
        <f t="shared" si="744"/>
        <v/>
      </c>
    </row>
    <row r="9517" spans="5:19" x14ac:dyDescent="0.3">
      <c r="E9517" s="9" t="str">
        <f>IF(DADOS!C9517="","",DADOS!C9517)</f>
        <v/>
      </c>
      <c r="F9517" s="9" t="str">
        <f>IF(DADOS!E9517="","",DADOS!E9517)</f>
        <v/>
      </c>
      <c r="G9517" s="9" t="str">
        <f>IF(DADOS!F9517="","",DADOS!F9517)</f>
        <v/>
      </c>
      <c r="K9517" s="6" t="str">
        <f t="shared" si="745"/>
        <v/>
      </c>
      <c r="L9517" s="7" t="str">
        <f t="shared" si="746"/>
        <v/>
      </c>
      <c r="M9517" s="7" t="str">
        <f t="shared" si="743"/>
        <v/>
      </c>
      <c r="N9517" s="7" t="str">
        <f t="shared" si="747"/>
        <v/>
      </c>
      <c r="O9517" s="8"/>
      <c r="P9517" s="26"/>
      <c r="S9517" s="10" t="str">
        <f t="shared" si="744"/>
        <v/>
      </c>
    </row>
    <row r="9518" spans="5:19" x14ac:dyDescent="0.3">
      <c r="E9518" s="9" t="str">
        <f>IF(DADOS!C9518="","",DADOS!C9518)</f>
        <v/>
      </c>
      <c r="F9518" s="9" t="str">
        <f>IF(DADOS!E9518="","",DADOS!E9518)</f>
        <v/>
      </c>
      <c r="G9518" s="9" t="str">
        <f>IF(DADOS!F9518="","",DADOS!F9518)</f>
        <v/>
      </c>
      <c r="K9518" s="6" t="str">
        <f t="shared" si="745"/>
        <v/>
      </c>
      <c r="L9518" s="7" t="str">
        <f t="shared" si="746"/>
        <v/>
      </c>
      <c r="M9518" s="7" t="str">
        <f t="shared" si="743"/>
        <v/>
      </c>
      <c r="N9518" s="7" t="str">
        <f t="shared" si="747"/>
        <v/>
      </c>
      <c r="O9518" s="8"/>
      <c r="P9518" s="26"/>
      <c r="S9518" s="10" t="str">
        <f t="shared" si="744"/>
        <v/>
      </c>
    </row>
    <row r="9519" spans="5:19" x14ac:dyDescent="0.3">
      <c r="E9519" s="9" t="str">
        <f>IF(DADOS!C9519="","",DADOS!C9519)</f>
        <v/>
      </c>
      <c r="F9519" s="9" t="str">
        <f>IF(DADOS!E9519="","",DADOS!E9519)</f>
        <v/>
      </c>
      <c r="G9519" s="9" t="str">
        <f>IF(DADOS!F9519="","",DADOS!F9519)</f>
        <v/>
      </c>
      <c r="K9519" s="6" t="str">
        <f t="shared" si="745"/>
        <v/>
      </c>
      <c r="L9519" s="7" t="str">
        <f t="shared" si="746"/>
        <v/>
      </c>
      <c r="M9519" s="7" t="str">
        <f t="shared" si="743"/>
        <v/>
      </c>
      <c r="N9519" s="7" t="str">
        <f t="shared" si="747"/>
        <v/>
      </c>
      <c r="O9519" s="8"/>
      <c r="P9519" s="26"/>
      <c r="S9519" s="10" t="str">
        <f t="shared" si="744"/>
        <v/>
      </c>
    </row>
    <row r="9520" spans="5:19" x14ac:dyDescent="0.3">
      <c r="E9520" s="9" t="str">
        <f>IF(DADOS!C9520="","",DADOS!C9520)</f>
        <v/>
      </c>
      <c r="F9520" s="9" t="str">
        <f>IF(DADOS!E9520="","",DADOS!E9520)</f>
        <v/>
      </c>
      <c r="G9520" s="9" t="str">
        <f>IF(DADOS!F9520="","",DADOS!F9520)</f>
        <v/>
      </c>
      <c r="K9520" s="6" t="str">
        <f t="shared" si="745"/>
        <v/>
      </c>
      <c r="L9520" s="7" t="str">
        <f t="shared" si="746"/>
        <v/>
      </c>
      <c r="M9520" s="7" t="str">
        <f t="shared" si="743"/>
        <v/>
      </c>
      <c r="N9520" s="7" t="str">
        <f t="shared" si="747"/>
        <v/>
      </c>
      <c r="O9520" s="8"/>
      <c r="P9520" s="26"/>
      <c r="S9520" s="10" t="str">
        <f t="shared" si="744"/>
        <v/>
      </c>
    </row>
    <row r="9521" spans="5:19" x14ac:dyDescent="0.3">
      <c r="E9521" s="9" t="str">
        <f>IF(DADOS!C9521="","",DADOS!C9521)</f>
        <v/>
      </c>
      <c r="F9521" s="9" t="str">
        <f>IF(DADOS!E9521="","",DADOS!E9521)</f>
        <v/>
      </c>
      <c r="G9521" s="9" t="str">
        <f>IF(DADOS!F9521="","",DADOS!F9521)</f>
        <v/>
      </c>
      <c r="K9521" s="6" t="str">
        <f t="shared" si="745"/>
        <v/>
      </c>
      <c r="L9521" s="7" t="str">
        <f t="shared" si="746"/>
        <v/>
      </c>
      <c r="M9521" s="7" t="str">
        <f t="shared" si="743"/>
        <v/>
      </c>
      <c r="N9521" s="7" t="str">
        <f t="shared" si="747"/>
        <v/>
      </c>
      <c r="O9521" s="8"/>
      <c r="P9521" s="26"/>
      <c r="S9521" s="10" t="str">
        <f t="shared" si="744"/>
        <v/>
      </c>
    </row>
    <row r="9522" spans="5:19" x14ac:dyDescent="0.3">
      <c r="E9522" s="9" t="str">
        <f>IF(DADOS!C9522="","",DADOS!C9522)</f>
        <v/>
      </c>
      <c r="F9522" s="9" t="str">
        <f>IF(DADOS!E9522="","",DADOS!E9522)</f>
        <v/>
      </c>
      <c r="G9522" s="9" t="str">
        <f>IF(DADOS!F9522="","",DADOS!F9522)</f>
        <v/>
      </c>
      <c r="K9522" s="6" t="str">
        <f t="shared" si="745"/>
        <v/>
      </c>
      <c r="L9522" s="7" t="str">
        <f t="shared" si="746"/>
        <v/>
      </c>
      <c r="M9522" s="7" t="str">
        <f t="shared" si="743"/>
        <v/>
      </c>
      <c r="N9522" s="7" t="str">
        <f t="shared" si="747"/>
        <v/>
      </c>
      <c r="O9522" s="8"/>
      <c r="P9522" s="26"/>
      <c r="S9522" s="10" t="str">
        <f t="shared" si="744"/>
        <v/>
      </c>
    </row>
    <row r="9523" spans="5:19" x14ac:dyDescent="0.3">
      <c r="E9523" s="9" t="str">
        <f>IF(DADOS!C9523="","",DADOS!C9523)</f>
        <v/>
      </c>
      <c r="F9523" s="9" t="str">
        <f>IF(DADOS!E9523="","",DADOS!E9523)</f>
        <v/>
      </c>
      <c r="G9523" s="9" t="str">
        <f>IF(DADOS!F9523="","",DADOS!F9523)</f>
        <v/>
      </c>
      <c r="K9523" s="6" t="str">
        <f t="shared" si="745"/>
        <v/>
      </c>
      <c r="L9523" s="7" t="str">
        <f t="shared" si="746"/>
        <v/>
      </c>
      <c r="M9523" s="7" t="str">
        <f t="shared" si="743"/>
        <v/>
      </c>
      <c r="N9523" s="7" t="str">
        <f t="shared" si="747"/>
        <v/>
      </c>
      <c r="O9523" s="8"/>
      <c r="P9523" s="26"/>
      <c r="S9523" s="10" t="str">
        <f t="shared" si="744"/>
        <v/>
      </c>
    </row>
    <row r="9524" spans="5:19" x14ac:dyDescent="0.3">
      <c r="E9524" s="9" t="str">
        <f>IF(DADOS!C9524="","",DADOS!C9524)</f>
        <v/>
      </c>
      <c r="F9524" s="9" t="str">
        <f>IF(DADOS!E9524="","",DADOS!E9524)</f>
        <v/>
      </c>
      <c r="G9524" s="9" t="str">
        <f>IF(DADOS!F9524="","",DADOS!F9524)</f>
        <v/>
      </c>
      <c r="K9524" s="6" t="str">
        <f t="shared" si="745"/>
        <v/>
      </c>
      <c r="L9524" s="7" t="str">
        <f t="shared" si="746"/>
        <v/>
      </c>
      <c r="M9524" s="7" t="str">
        <f t="shared" si="743"/>
        <v/>
      </c>
      <c r="N9524" s="7" t="str">
        <f t="shared" si="747"/>
        <v/>
      </c>
      <c r="O9524" s="8"/>
      <c r="P9524" s="26"/>
      <c r="S9524" s="10" t="str">
        <f t="shared" si="744"/>
        <v/>
      </c>
    </row>
    <row r="9525" spans="5:19" x14ac:dyDescent="0.3">
      <c r="E9525" s="9" t="str">
        <f>IF(DADOS!C9525="","",DADOS!C9525)</f>
        <v/>
      </c>
      <c r="F9525" s="9" t="str">
        <f>IF(DADOS!E9525="","",DADOS!E9525)</f>
        <v/>
      </c>
      <c r="G9525" s="9" t="str">
        <f>IF(DADOS!F9525="","",DADOS!F9525)</f>
        <v/>
      </c>
      <c r="K9525" s="6" t="str">
        <f t="shared" si="745"/>
        <v/>
      </c>
      <c r="L9525" s="7" t="str">
        <f t="shared" si="746"/>
        <v/>
      </c>
      <c r="M9525" s="7" t="str">
        <f t="shared" si="743"/>
        <v/>
      </c>
      <c r="N9525" s="7" t="str">
        <f t="shared" si="747"/>
        <v/>
      </c>
      <c r="O9525" s="8"/>
      <c r="P9525" s="26"/>
      <c r="S9525" s="10" t="str">
        <f t="shared" si="744"/>
        <v/>
      </c>
    </row>
    <row r="9526" spans="5:19" x14ac:dyDescent="0.3">
      <c r="E9526" s="9" t="str">
        <f>IF(DADOS!C9526="","",DADOS!C9526)</f>
        <v/>
      </c>
      <c r="F9526" s="9" t="str">
        <f>IF(DADOS!E9526="","",DADOS!E9526)</f>
        <v/>
      </c>
      <c r="G9526" s="9" t="str">
        <f>IF(DADOS!F9526="","",DADOS!F9526)</f>
        <v/>
      </c>
      <c r="K9526" s="6" t="str">
        <f t="shared" si="745"/>
        <v/>
      </c>
      <c r="L9526" s="7" t="str">
        <f t="shared" si="746"/>
        <v/>
      </c>
      <c r="M9526" s="7" t="str">
        <f t="shared" si="743"/>
        <v/>
      </c>
      <c r="N9526" s="7" t="str">
        <f t="shared" si="747"/>
        <v/>
      </c>
      <c r="O9526" s="8"/>
      <c r="P9526" s="26"/>
      <c r="S9526" s="10" t="str">
        <f t="shared" si="744"/>
        <v/>
      </c>
    </row>
    <row r="9527" spans="5:19" x14ac:dyDescent="0.3">
      <c r="E9527" s="9" t="str">
        <f>IF(DADOS!C9527="","",DADOS!C9527)</f>
        <v/>
      </c>
      <c r="F9527" s="9" t="str">
        <f>IF(DADOS!E9527="","",DADOS!E9527)</f>
        <v/>
      </c>
      <c r="G9527" s="9" t="str">
        <f>IF(DADOS!F9527="","",DADOS!F9527)</f>
        <v/>
      </c>
      <c r="K9527" s="6" t="str">
        <f t="shared" si="745"/>
        <v/>
      </c>
      <c r="L9527" s="7" t="str">
        <f t="shared" si="746"/>
        <v/>
      </c>
      <c r="M9527" s="7" t="str">
        <f t="shared" si="743"/>
        <v/>
      </c>
      <c r="N9527" s="7" t="str">
        <f t="shared" si="747"/>
        <v/>
      </c>
      <c r="O9527" s="8"/>
      <c r="P9527" s="26"/>
      <c r="S9527" s="10" t="str">
        <f t="shared" si="744"/>
        <v/>
      </c>
    </row>
    <row r="9528" spans="5:19" x14ac:dyDescent="0.3">
      <c r="E9528" s="9" t="str">
        <f>IF(DADOS!C9528="","",DADOS!C9528)</f>
        <v/>
      </c>
      <c r="F9528" s="9" t="str">
        <f>IF(DADOS!E9528="","",DADOS!E9528)</f>
        <v/>
      </c>
      <c r="G9528" s="9" t="str">
        <f>IF(DADOS!F9528="","",DADOS!F9528)</f>
        <v/>
      </c>
      <c r="K9528" s="6" t="str">
        <f t="shared" si="745"/>
        <v/>
      </c>
      <c r="L9528" s="7" t="str">
        <f t="shared" si="746"/>
        <v/>
      </c>
      <c r="M9528" s="7" t="str">
        <f t="shared" si="743"/>
        <v/>
      </c>
      <c r="N9528" s="7" t="str">
        <f t="shared" si="747"/>
        <v/>
      </c>
      <c r="O9528" s="8"/>
      <c r="P9528" s="26"/>
      <c r="S9528" s="10" t="str">
        <f t="shared" si="744"/>
        <v/>
      </c>
    </row>
    <row r="9529" spans="5:19" x14ac:dyDescent="0.3">
      <c r="E9529" s="9" t="str">
        <f>IF(DADOS!C9529="","",DADOS!C9529)</f>
        <v/>
      </c>
      <c r="F9529" s="9" t="str">
        <f>IF(DADOS!E9529="","",DADOS!E9529)</f>
        <v/>
      </c>
      <c r="G9529" s="9" t="str">
        <f>IF(DADOS!F9529="","",DADOS!F9529)</f>
        <v/>
      </c>
      <c r="K9529" s="6" t="str">
        <f t="shared" si="745"/>
        <v/>
      </c>
      <c r="L9529" s="7" t="str">
        <f t="shared" si="746"/>
        <v/>
      </c>
      <c r="M9529" s="7" t="str">
        <f t="shared" si="743"/>
        <v/>
      </c>
      <c r="N9529" s="7" t="str">
        <f t="shared" si="747"/>
        <v/>
      </c>
      <c r="O9529" s="8"/>
      <c r="P9529" s="26"/>
      <c r="S9529" s="10" t="str">
        <f t="shared" si="744"/>
        <v/>
      </c>
    </row>
    <row r="9530" spans="5:19" x14ac:dyDescent="0.3">
      <c r="E9530" s="9" t="str">
        <f>IF(DADOS!C9530="","",DADOS!C9530)</f>
        <v/>
      </c>
      <c r="F9530" s="9" t="str">
        <f>IF(DADOS!E9530="","",DADOS!E9530)</f>
        <v/>
      </c>
      <c r="G9530" s="9" t="str">
        <f>IF(DADOS!F9530="","",DADOS!F9530)</f>
        <v/>
      </c>
      <c r="K9530" s="6" t="str">
        <f t="shared" si="745"/>
        <v/>
      </c>
      <c r="L9530" s="7" t="str">
        <f t="shared" si="746"/>
        <v/>
      </c>
      <c r="M9530" s="7" t="str">
        <f t="shared" si="743"/>
        <v/>
      </c>
      <c r="N9530" s="7" t="str">
        <f t="shared" si="747"/>
        <v/>
      </c>
      <c r="O9530" s="8"/>
      <c r="P9530" s="26"/>
      <c r="S9530" s="10" t="str">
        <f t="shared" si="744"/>
        <v/>
      </c>
    </row>
    <row r="9531" spans="5:19" x14ac:dyDescent="0.3">
      <c r="E9531" s="9" t="str">
        <f>IF(DADOS!C9531="","",DADOS!C9531)</f>
        <v/>
      </c>
      <c r="F9531" s="9" t="str">
        <f>IF(DADOS!E9531="","",DADOS!E9531)</f>
        <v/>
      </c>
      <c r="G9531" s="9" t="str">
        <f>IF(DADOS!F9531="","",DADOS!F9531)</f>
        <v/>
      </c>
      <c r="K9531" s="6" t="str">
        <f t="shared" si="745"/>
        <v/>
      </c>
      <c r="L9531" s="7" t="str">
        <f t="shared" si="746"/>
        <v/>
      </c>
      <c r="M9531" s="7" t="str">
        <f t="shared" si="743"/>
        <v/>
      </c>
      <c r="N9531" s="7" t="str">
        <f t="shared" si="747"/>
        <v/>
      </c>
      <c r="O9531" s="8"/>
      <c r="P9531" s="26"/>
      <c r="S9531" s="10" t="str">
        <f t="shared" si="744"/>
        <v/>
      </c>
    </row>
    <row r="9532" spans="5:19" x14ac:dyDescent="0.3">
      <c r="E9532" s="9" t="str">
        <f>IF(DADOS!C9532="","",DADOS!C9532)</f>
        <v/>
      </c>
      <c r="F9532" s="9" t="str">
        <f>IF(DADOS!E9532="","",DADOS!E9532)</f>
        <v/>
      </c>
      <c r="G9532" s="9" t="str">
        <f>IF(DADOS!F9532="","",DADOS!F9532)</f>
        <v/>
      </c>
      <c r="K9532" s="6" t="str">
        <f t="shared" si="745"/>
        <v/>
      </c>
      <c r="L9532" s="7" t="str">
        <f t="shared" si="746"/>
        <v/>
      </c>
      <c r="M9532" s="7" t="str">
        <f t="shared" si="743"/>
        <v/>
      </c>
      <c r="N9532" s="7" t="str">
        <f t="shared" si="747"/>
        <v/>
      </c>
      <c r="O9532" s="8"/>
      <c r="P9532" s="26"/>
      <c r="S9532" s="10" t="str">
        <f t="shared" si="744"/>
        <v/>
      </c>
    </row>
    <row r="9533" spans="5:19" x14ac:dyDescent="0.3">
      <c r="E9533" s="9" t="str">
        <f>IF(DADOS!C9533="","",DADOS!C9533)</f>
        <v/>
      </c>
      <c r="F9533" s="9" t="str">
        <f>IF(DADOS!E9533="","",DADOS!E9533)</f>
        <v/>
      </c>
      <c r="G9533" s="9" t="str">
        <f>IF(DADOS!F9533="","",DADOS!F9533)</f>
        <v/>
      </c>
      <c r="K9533" s="6" t="str">
        <f t="shared" si="745"/>
        <v/>
      </c>
      <c r="L9533" s="7" t="str">
        <f t="shared" si="746"/>
        <v/>
      </c>
      <c r="M9533" s="7" t="str">
        <f t="shared" si="743"/>
        <v/>
      </c>
      <c r="N9533" s="7" t="str">
        <f t="shared" si="747"/>
        <v/>
      </c>
      <c r="O9533" s="8"/>
      <c r="P9533" s="26"/>
      <c r="S9533" s="10" t="str">
        <f t="shared" si="744"/>
        <v/>
      </c>
    </row>
    <row r="9534" spans="5:19" x14ac:dyDescent="0.3">
      <c r="E9534" s="9" t="str">
        <f>IF(DADOS!C9534="","",DADOS!C9534)</f>
        <v/>
      </c>
      <c r="F9534" s="9" t="str">
        <f>IF(DADOS!E9534="","",DADOS!E9534)</f>
        <v/>
      </c>
      <c r="G9534" s="9" t="str">
        <f>IF(DADOS!F9534="","",DADOS!F9534)</f>
        <v/>
      </c>
      <c r="K9534" s="6" t="str">
        <f t="shared" si="745"/>
        <v/>
      </c>
      <c r="L9534" s="7" t="str">
        <f t="shared" si="746"/>
        <v/>
      </c>
      <c r="M9534" s="7" t="str">
        <f t="shared" si="743"/>
        <v/>
      </c>
      <c r="N9534" s="7" t="str">
        <f t="shared" si="747"/>
        <v/>
      </c>
      <c r="O9534" s="8"/>
      <c r="P9534" s="26"/>
      <c r="S9534" s="10" t="str">
        <f t="shared" si="744"/>
        <v/>
      </c>
    </row>
    <row r="9535" spans="5:19" x14ac:dyDescent="0.3">
      <c r="E9535" s="9" t="str">
        <f>IF(DADOS!C9535="","",DADOS!C9535)</f>
        <v/>
      </c>
      <c r="F9535" s="9" t="str">
        <f>IF(DADOS!E9535="","",DADOS!E9535)</f>
        <v/>
      </c>
      <c r="G9535" s="9" t="str">
        <f>IF(DADOS!F9535="","",DADOS!F9535)</f>
        <v/>
      </c>
      <c r="K9535" s="6" t="str">
        <f t="shared" si="745"/>
        <v/>
      </c>
      <c r="L9535" s="7" t="str">
        <f t="shared" si="746"/>
        <v/>
      </c>
      <c r="M9535" s="7" t="str">
        <f t="shared" si="743"/>
        <v/>
      </c>
      <c r="N9535" s="7" t="str">
        <f t="shared" si="747"/>
        <v/>
      </c>
      <c r="O9535" s="8"/>
      <c r="P9535" s="26"/>
      <c r="S9535" s="10" t="str">
        <f t="shared" si="744"/>
        <v/>
      </c>
    </row>
    <row r="9536" spans="5:19" x14ac:dyDescent="0.3">
      <c r="E9536" s="9" t="str">
        <f>IF(DADOS!C9536="","",DADOS!C9536)</f>
        <v/>
      </c>
      <c r="F9536" s="9" t="str">
        <f>IF(DADOS!E9536="","",DADOS!E9536)</f>
        <v/>
      </c>
      <c r="G9536" s="9" t="str">
        <f>IF(DADOS!F9536="","",DADOS!F9536)</f>
        <v/>
      </c>
      <c r="K9536" s="6" t="str">
        <f t="shared" si="745"/>
        <v/>
      </c>
      <c r="L9536" s="7" t="str">
        <f t="shared" si="746"/>
        <v/>
      </c>
      <c r="M9536" s="7" t="str">
        <f t="shared" si="743"/>
        <v/>
      </c>
      <c r="N9536" s="7" t="str">
        <f t="shared" si="747"/>
        <v/>
      </c>
      <c r="O9536" s="8"/>
      <c r="P9536" s="26"/>
      <c r="S9536" s="10" t="str">
        <f t="shared" si="744"/>
        <v/>
      </c>
    </row>
    <row r="9537" spans="5:19" x14ac:dyDescent="0.3">
      <c r="E9537" s="9" t="str">
        <f>IF(DADOS!C9537="","",DADOS!C9537)</f>
        <v/>
      </c>
      <c r="F9537" s="9" t="str">
        <f>IF(DADOS!E9537="","",DADOS!E9537)</f>
        <v/>
      </c>
      <c r="G9537" s="9" t="str">
        <f>IF(DADOS!F9537="","",DADOS!F9537)</f>
        <v/>
      </c>
      <c r="K9537" s="6" t="str">
        <f t="shared" si="745"/>
        <v/>
      </c>
      <c r="L9537" s="7" t="str">
        <f t="shared" si="746"/>
        <v/>
      </c>
      <c r="M9537" s="7" t="str">
        <f t="shared" si="743"/>
        <v/>
      </c>
      <c r="N9537" s="7" t="str">
        <f t="shared" si="747"/>
        <v/>
      </c>
      <c r="O9537" s="8"/>
      <c r="P9537" s="26"/>
      <c r="S9537" s="10" t="str">
        <f t="shared" si="744"/>
        <v/>
      </c>
    </row>
    <row r="9538" spans="5:19" x14ac:dyDescent="0.3">
      <c r="E9538" s="9" t="str">
        <f>IF(DADOS!C9538="","",DADOS!C9538)</f>
        <v/>
      </c>
      <c r="F9538" s="9" t="str">
        <f>IF(DADOS!E9538="","",DADOS!E9538)</f>
        <v/>
      </c>
      <c r="G9538" s="9" t="str">
        <f>IF(DADOS!F9538="","",DADOS!F9538)</f>
        <v/>
      </c>
      <c r="K9538" s="6" t="str">
        <f t="shared" si="745"/>
        <v/>
      </c>
      <c r="L9538" s="7" t="str">
        <f t="shared" si="746"/>
        <v/>
      </c>
      <c r="M9538" s="7" t="str">
        <f t="shared" si="743"/>
        <v/>
      </c>
      <c r="N9538" s="7" t="str">
        <f t="shared" si="747"/>
        <v/>
      </c>
      <c r="O9538" s="8"/>
      <c r="P9538" s="26"/>
      <c r="S9538" s="10" t="str">
        <f t="shared" si="744"/>
        <v/>
      </c>
    </row>
    <row r="9539" spans="5:19" x14ac:dyDescent="0.3">
      <c r="E9539" s="9" t="str">
        <f>IF(DADOS!C9539="","",DADOS!C9539)</f>
        <v/>
      </c>
      <c r="F9539" s="9" t="str">
        <f>IF(DADOS!E9539="","",DADOS!E9539)</f>
        <v/>
      </c>
      <c r="G9539" s="9" t="str">
        <f>IF(DADOS!F9539="","",DADOS!F9539)</f>
        <v/>
      </c>
      <c r="K9539" s="6" t="str">
        <f t="shared" si="745"/>
        <v/>
      </c>
      <c r="L9539" s="7" t="str">
        <f t="shared" si="746"/>
        <v/>
      </c>
      <c r="M9539" s="7" t="str">
        <f t="shared" ref="M9539:M9602" si="748">IF(L9539="","",L9539*G9539)</f>
        <v/>
      </c>
      <c r="N9539" s="7" t="str">
        <f t="shared" si="747"/>
        <v/>
      </c>
      <c r="O9539" s="8"/>
      <c r="P9539" s="26"/>
      <c r="S9539" s="10" t="str">
        <f t="shared" ref="S9539:S9602" si="749">IF(R9539="","",SUMIFS($N$3:$N$10000,$E$3:$E$10000,R9539))</f>
        <v/>
      </c>
    </row>
    <row r="9540" spans="5:19" x14ac:dyDescent="0.3">
      <c r="E9540" s="9" t="str">
        <f>IF(DADOS!C9540="","",DADOS!C9540)</f>
        <v/>
      </c>
      <c r="F9540" s="9" t="str">
        <f>IF(DADOS!E9540="","",DADOS!E9540)</f>
        <v/>
      </c>
      <c r="G9540" s="9" t="str">
        <f>IF(DADOS!F9540="","",DADOS!F9540)</f>
        <v/>
      </c>
      <c r="K9540" s="6" t="str">
        <f t="shared" ref="K9540:K9603" si="750">IF(F9540="","",F9540/PI())</f>
        <v/>
      </c>
      <c r="L9540" s="7" t="str">
        <f t="shared" ref="L9540:L9603" si="751">IF(K9540="","",(PI()*K9540^2)/40000)</f>
        <v/>
      </c>
      <c r="M9540" s="7" t="str">
        <f t="shared" si="748"/>
        <v/>
      </c>
      <c r="N9540" s="7" t="str">
        <f t="shared" ref="N9540:N9603" si="752">IF(M9540="","",M9540*N$1)</f>
        <v/>
      </c>
      <c r="O9540" s="8"/>
      <c r="P9540" s="26"/>
      <c r="S9540" s="10" t="str">
        <f t="shared" si="749"/>
        <v/>
      </c>
    </row>
    <row r="9541" spans="5:19" x14ac:dyDescent="0.3">
      <c r="E9541" s="9" t="str">
        <f>IF(DADOS!C9541="","",DADOS!C9541)</f>
        <v/>
      </c>
      <c r="F9541" s="9" t="str">
        <f>IF(DADOS!E9541="","",DADOS!E9541)</f>
        <v/>
      </c>
      <c r="G9541" s="9" t="str">
        <f>IF(DADOS!F9541="","",DADOS!F9541)</f>
        <v/>
      </c>
      <c r="K9541" s="6" t="str">
        <f t="shared" si="750"/>
        <v/>
      </c>
      <c r="L9541" s="7" t="str">
        <f t="shared" si="751"/>
        <v/>
      </c>
      <c r="M9541" s="7" t="str">
        <f t="shared" si="748"/>
        <v/>
      </c>
      <c r="N9541" s="7" t="str">
        <f t="shared" si="752"/>
        <v/>
      </c>
      <c r="O9541" s="8"/>
      <c r="P9541" s="26"/>
      <c r="S9541" s="10" t="str">
        <f t="shared" si="749"/>
        <v/>
      </c>
    </row>
    <row r="9542" spans="5:19" x14ac:dyDescent="0.3">
      <c r="E9542" s="9" t="str">
        <f>IF(DADOS!C9542="","",DADOS!C9542)</f>
        <v/>
      </c>
      <c r="F9542" s="9" t="str">
        <f>IF(DADOS!E9542="","",DADOS!E9542)</f>
        <v/>
      </c>
      <c r="G9542" s="9" t="str">
        <f>IF(DADOS!F9542="","",DADOS!F9542)</f>
        <v/>
      </c>
      <c r="K9542" s="6" t="str">
        <f t="shared" si="750"/>
        <v/>
      </c>
      <c r="L9542" s="7" t="str">
        <f t="shared" si="751"/>
        <v/>
      </c>
      <c r="M9542" s="7" t="str">
        <f t="shared" si="748"/>
        <v/>
      </c>
      <c r="N9542" s="7" t="str">
        <f t="shared" si="752"/>
        <v/>
      </c>
      <c r="O9542" s="8"/>
      <c r="P9542" s="26"/>
      <c r="S9542" s="10" t="str">
        <f t="shared" si="749"/>
        <v/>
      </c>
    </row>
    <row r="9543" spans="5:19" x14ac:dyDescent="0.3">
      <c r="E9543" s="9" t="str">
        <f>IF(DADOS!C9543="","",DADOS!C9543)</f>
        <v/>
      </c>
      <c r="F9543" s="9" t="str">
        <f>IF(DADOS!E9543="","",DADOS!E9543)</f>
        <v/>
      </c>
      <c r="G9543" s="9" t="str">
        <f>IF(DADOS!F9543="","",DADOS!F9543)</f>
        <v/>
      </c>
      <c r="K9543" s="6" t="str">
        <f t="shared" si="750"/>
        <v/>
      </c>
      <c r="L9543" s="7" t="str">
        <f t="shared" si="751"/>
        <v/>
      </c>
      <c r="M9543" s="7" t="str">
        <f t="shared" si="748"/>
        <v/>
      </c>
      <c r="N9543" s="7" t="str">
        <f t="shared" si="752"/>
        <v/>
      </c>
      <c r="O9543" s="8"/>
      <c r="P9543" s="26"/>
      <c r="S9543" s="10" t="str">
        <f t="shared" si="749"/>
        <v/>
      </c>
    </row>
    <row r="9544" spans="5:19" x14ac:dyDescent="0.3">
      <c r="E9544" s="9" t="str">
        <f>IF(DADOS!C9544="","",DADOS!C9544)</f>
        <v/>
      </c>
      <c r="F9544" s="9" t="str">
        <f>IF(DADOS!E9544="","",DADOS!E9544)</f>
        <v/>
      </c>
      <c r="G9544" s="9" t="str">
        <f>IF(DADOS!F9544="","",DADOS!F9544)</f>
        <v/>
      </c>
      <c r="K9544" s="6" t="str">
        <f t="shared" si="750"/>
        <v/>
      </c>
      <c r="L9544" s="7" t="str">
        <f t="shared" si="751"/>
        <v/>
      </c>
      <c r="M9544" s="7" t="str">
        <f t="shared" si="748"/>
        <v/>
      </c>
      <c r="N9544" s="7" t="str">
        <f t="shared" si="752"/>
        <v/>
      </c>
      <c r="O9544" s="8"/>
      <c r="P9544" s="26"/>
      <c r="S9544" s="10" t="str">
        <f t="shared" si="749"/>
        <v/>
      </c>
    </row>
    <row r="9545" spans="5:19" x14ac:dyDescent="0.3">
      <c r="E9545" s="9" t="str">
        <f>IF(DADOS!C9545="","",DADOS!C9545)</f>
        <v/>
      </c>
      <c r="F9545" s="9" t="str">
        <f>IF(DADOS!E9545="","",DADOS!E9545)</f>
        <v/>
      </c>
      <c r="G9545" s="9" t="str">
        <f>IF(DADOS!F9545="","",DADOS!F9545)</f>
        <v/>
      </c>
      <c r="K9545" s="6" t="str">
        <f t="shared" si="750"/>
        <v/>
      </c>
      <c r="L9545" s="7" t="str">
        <f t="shared" si="751"/>
        <v/>
      </c>
      <c r="M9545" s="7" t="str">
        <f t="shared" si="748"/>
        <v/>
      </c>
      <c r="N9545" s="7" t="str">
        <f t="shared" si="752"/>
        <v/>
      </c>
      <c r="O9545" s="8"/>
      <c r="P9545" s="26"/>
      <c r="S9545" s="10" t="str">
        <f t="shared" si="749"/>
        <v/>
      </c>
    </row>
    <row r="9546" spans="5:19" x14ac:dyDescent="0.3">
      <c r="E9546" s="9" t="str">
        <f>IF(DADOS!C9546="","",DADOS!C9546)</f>
        <v/>
      </c>
      <c r="F9546" s="9" t="str">
        <f>IF(DADOS!E9546="","",DADOS!E9546)</f>
        <v/>
      </c>
      <c r="G9546" s="9" t="str">
        <f>IF(DADOS!F9546="","",DADOS!F9546)</f>
        <v/>
      </c>
      <c r="K9546" s="6" t="str">
        <f t="shared" si="750"/>
        <v/>
      </c>
      <c r="L9546" s="7" t="str">
        <f t="shared" si="751"/>
        <v/>
      </c>
      <c r="M9546" s="7" t="str">
        <f t="shared" si="748"/>
        <v/>
      </c>
      <c r="N9546" s="7" t="str">
        <f t="shared" si="752"/>
        <v/>
      </c>
      <c r="O9546" s="8"/>
      <c r="P9546" s="26"/>
      <c r="S9546" s="10" t="str">
        <f t="shared" si="749"/>
        <v/>
      </c>
    </row>
    <row r="9547" spans="5:19" x14ac:dyDescent="0.3">
      <c r="E9547" s="9" t="str">
        <f>IF(DADOS!C9547="","",DADOS!C9547)</f>
        <v/>
      </c>
      <c r="F9547" s="9" t="str">
        <f>IF(DADOS!E9547="","",DADOS!E9547)</f>
        <v/>
      </c>
      <c r="G9547" s="9" t="str">
        <f>IF(DADOS!F9547="","",DADOS!F9547)</f>
        <v/>
      </c>
      <c r="K9547" s="6" t="str">
        <f t="shared" si="750"/>
        <v/>
      </c>
      <c r="L9547" s="7" t="str">
        <f t="shared" si="751"/>
        <v/>
      </c>
      <c r="M9547" s="7" t="str">
        <f t="shared" si="748"/>
        <v/>
      </c>
      <c r="N9547" s="7" t="str">
        <f t="shared" si="752"/>
        <v/>
      </c>
      <c r="O9547" s="8"/>
      <c r="P9547" s="26"/>
      <c r="S9547" s="10" t="str">
        <f t="shared" si="749"/>
        <v/>
      </c>
    </row>
    <row r="9548" spans="5:19" x14ac:dyDescent="0.3">
      <c r="E9548" s="9" t="str">
        <f>IF(DADOS!C9548="","",DADOS!C9548)</f>
        <v/>
      </c>
      <c r="F9548" s="9" t="str">
        <f>IF(DADOS!E9548="","",DADOS!E9548)</f>
        <v/>
      </c>
      <c r="G9548" s="9" t="str">
        <f>IF(DADOS!F9548="","",DADOS!F9548)</f>
        <v/>
      </c>
      <c r="K9548" s="6" t="str">
        <f t="shared" si="750"/>
        <v/>
      </c>
      <c r="L9548" s="7" t="str">
        <f t="shared" si="751"/>
        <v/>
      </c>
      <c r="M9548" s="7" t="str">
        <f t="shared" si="748"/>
        <v/>
      </c>
      <c r="N9548" s="7" t="str">
        <f t="shared" si="752"/>
        <v/>
      </c>
      <c r="O9548" s="8"/>
      <c r="P9548" s="26"/>
      <c r="S9548" s="10" t="str">
        <f t="shared" si="749"/>
        <v/>
      </c>
    </row>
    <row r="9549" spans="5:19" x14ac:dyDescent="0.3">
      <c r="E9549" s="9" t="str">
        <f>IF(DADOS!C9549="","",DADOS!C9549)</f>
        <v/>
      </c>
      <c r="F9549" s="9" t="str">
        <f>IF(DADOS!E9549="","",DADOS!E9549)</f>
        <v/>
      </c>
      <c r="G9549" s="9" t="str">
        <f>IF(DADOS!F9549="","",DADOS!F9549)</f>
        <v/>
      </c>
      <c r="K9549" s="6" t="str">
        <f t="shared" si="750"/>
        <v/>
      </c>
      <c r="L9549" s="7" t="str">
        <f t="shared" si="751"/>
        <v/>
      </c>
      <c r="M9549" s="7" t="str">
        <f t="shared" si="748"/>
        <v/>
      </c>
      <c r="N9549" s="7" t="str">
        <f t="shared" si="752"/>
        <v/>
      </c>
      <c r="O9549" s="8"/>
      <c r="P9549" s="26"/>
      <c r="S9549" s="10" t="str">
        <f t="shared" si="749"/>
        <v/>
      </c>
    </row>
    <row r="9550" spans="5:19" x14ac:dyDescent="0.3">
      <c r="E9550" s="9" t="str">
        <f>IF(DADOS!C9550="","",DADOS!C9550)</f>
        <v/>
      </c>
      <c r="F9550" s="9" t="str">
        <f>IF(DADOS!E9550="","",DADOS!E9550)</f>
        <v/>
      </c>
      <c r="G9550" s="9" t="str">
        <f>IF(DADOS!F9550="","",DADOS!F9550)</f>
        <v/>
      </c>
      <c r="K9550" s="6" t="str">
        <f t="shared" si="750"/>
        <v/>
      </c>
      <c r="L9550" s="7" t="str">
        <f t="shared" si="751"/>
        <v/>
      </c>
      <c r="M9550" s="7" t="str">
        <f t="shared" si="748"/>
        <v/>
      </c>
      <c r="N9550" s="7" t="str">
        <f t="shared" si="752"/>
        <v/>
      </c>
      <c r="O9550" s="8"/>
      <c r="P9550" s="26"/>
      <c r="S9550" s="10" t="str">
        <f t="shared" si="749"/>
        <v/>
      </c>
    </row>
    <row r="9551" spans="5:19" x14ac:dyDescent="0.3">
      <c r="E9551" s="9" t="str">
        <f>IF(DADOS!C9551="","",DADOS!C9551)</f>
        <v/>
      </c>
      <c r="F9551" s="9" t="str">
        <f>IF(DADOS!E9551="","",DADOS!E9551)</f>
        <v/>
      </c>
      <c r="G9551" s="9" t="str">
        <f>IF(DADOS!F9551="","",DADOS!F9551)</f>
        <v/>
      </c>
      <c r="K9551" s="6" t="str">
        <f t="shared" si="750"/>
        <v/>
      </c>
      <c r="L9551" s="7" t="str">
        <f t="shared" si="751"/>
        <v/>
      </c>
      <c r="M9551" s="7" t="str">
        <f t="shared" si="748"/>
        <v/>
      </c>
      <c r="N9551" s="7" t="str">
        <f t="shared" si="752"/>
        <v/>
      </c>
      <c r="O9551" s="8"/>
      <c r="P9551" s="26"/>
      <c r="S9551" s="10" t="str">
        <f t="shared" si="749"/>
        <v/>
      </c>
    </row>
    <row r="9552" spans="5:19" x14ac:dyDescent="0.3">
      <c r="E9552" s="9" t="str">
        <f>IF(DADOS!C9552="","",DADOS!C9552)</f>
        <v/>
      </c>
      <c r="F9552" s="9" t="str">
        <f>IF(DADOS!E9552="","",DADOS!E9552)</f>
        <v/>
      </c>
      <c r="G9552" s="9" t="str">
        <f>IF(DADOS!F9552="","",DADOS!F9552)</f>
        <v/>
      </c>
      <c r="K9552" s="6" t="str">
        <f t="shared" si="750"/>
        <v/>
      </c>
      <c r="L9552" s="7" t="str">
        <f t="shared" si="751"/>
        <v/>
      </c>
      <c r="M9552" s="7" t="str">
        <f t="shared" si="748"/>
        <v/>
      </c>
      <c r="N9552" s="7" t="str">
        <f t="shared" si="752"/>
        <v/>
      </c>
      <c r="O9552" s="8"/>
      <c r="P9552" s="26"/>
      <c r="S9552" s="10" t="str">
        <f t="shared" si="749"/>
        <v/>
      </c>
    </row>
    <row r="9553" spans="5:19" x14ac:dyDescent="0.3">
      <c r="E9553" s="9" t="str">
        <f>IF(DADOS!C9553="","",DADOS!C9553)</f>
        <v/>
      </c>
      <c r="F9553" s="9" t="str">
        <f>IF(DADOS!E9553="","",DADOS!E9553)</f>
        <v/>
      </c>
      <c r="G9553" s="9" t="str">
        <f>IF(DADOS!F9553="","",DADOS!F9553)</f>
        <v/>
      </c>
      <c r="K9553" s="6" t="str">
        <f t="shared" si="750"/>
        <v/>
      </c>
      <c r="L9553" s="7" t="str">
        <f t="shared" si="751"/>
        <v/>
      </c>
      <c r="M9553" s="7" t="str">
        <f t="shared" si="748"/>
        <v/>
      </c>
      <c r="N9553" s="7" t="str">
        <f t="shared" si="752"/>
        <v/>
      </c>
      <c r="O9553" s="8"/>
      <c r="P9553" s="26"/>
      <c r="S9553" s="10" t="str">
        <f t="shared" si="749"/>
        <v/>
      </c>
    </row>
    <row r="9554" spans="5:19" x14ac:dyDescent="0.3">
      <c r="E9554" s="9" t="str">
        <f>IF(DADOS!C9554="","",DADOS!C9554)</f>
        <v/>
      </c>
      <c r="F9554" s="9" t="str">
        <f>IF(DADOS!E9554="","",DADOS!E9554)</f>
        <v/>
      </c>
      <c r="G9554" s="9" t="str">
        <f>IF(DADOS!F9554="","",DADOS!F9554)</f>
        <v/>
      </c>
      <c r="K9554" s="6" t="str">
        <f t="shared" si="750"/>
        <v/>
      </c>
      <c r="L9554" s="7" t="str">
        <f t="shared" si="751"/>
        <v/>
      </c>
      <c r="M9554" s="7" t="str">
        <f t="shared" si="748"/>
        <v/>
      </c>
      <c r="N9554" s="7" t="str">
        <f t="shared" si="752"/>
        <v/>
      </c>
      <c r="O9554" s="8"/>
      <c r="P9554" s="26"/>
      <c r="S9554" s="10" t="str">
        <f t="shared" si="749"/>
        <v/>
      </c>
    </row>
    <row r="9555" spans="5:19" x14ac:dyDescent="0.3">
      <c r="E9555" s="9" t="str">
        <f>IF(DADOS!C9555="","",DADOS!C9555)</f>
        <v/>
      </c>
      <c r="F9555" s="9" t="str">
        <f>IF(DADOS!E9555="","",DADOS!E9555)</f>
        <v/>
      </c>
      <c r="G9555" s="9" t="str">
        <f>IF(DADOS!F9555="","",DADOS!F9555)</f>
        <v/>
      </c>
      <c r="K9555" s="6" t="str">
        <f t="shared" si="750"/>
        <v/>
      </c>
      <c r="L9555" s="7" t="str">
        <f t="shared" si="751"/>
        <v/>
      </c>
      <c r="M9555" s="7" t="str">
        <f t="shared" si="748"/>
        <v/>
      </c>
      <c r="N9555" s="7" t="str">
        <f t="shared" si="752"/>
        <v/>
      </c>
      <c r="O9555" s="8"/>
      <c r="P9555" s="26"/>
      <c r="S9555" s="10" t="str">
        <f t="shared" si="749"/>
        <v/>
      </c>
    </row>
    <row r="9556" spans="5:19" x14ac:dyDescent="0.3">
      <c r="E9556" s="9" t="str">
        <f>IF(DADOS!C9556="","",DADOS!C9556)</f>
        <v/>
      </c>
      <c r="F9556" s="9" t="str">
        <f>IF(DADOS!E9556="","",DADOS!E9556)</f>
        <v/>
      </c>
      <c r="G9556" s="9" t="str">
        <f>IF(DADOS!F9556="","",DADOS!F9556)</f>
        <v/>
      </c>
      <c r="K9556" s="6" t="str">
        <f t="shared" si="750"/>
        <v/>
      </c>
      <c r="L9556" s="7" t="str">
        <f t="shared" si="751"/>
        <v/>
      </c>
      <c r="M9556" s="7" t="str">
        <f t="shared" si="748"/>
        <v/>
      </c>
      <c r="N9556" s="7" t="str">
        <f t="shared" si="752"/>
        <v/>
      </c>
      <c r="O9556" s="8"/>
      <c r="P9556" s="26"/>
      <c r="S9556" s="10" t="str">
        <f t="shared" si="749"/>
        <v/>
      </c>
    </row>
    <row r="9557" spans="5:19" x14ac:dyDescent="0.3">
      <c r="E9557" s="9" t="str">
        <f>IF(DADOS!C9557="","",DADOS!C9557)</f>
        <v/>
      </c>
      <c r="F9557" s="9" t="str">
        <f>IF(DADOS!E9557="","",DADOS!E9557)</f>
        <v/>
      </c>
      <c r="G9557" s="9" t="str">
        <f>IF(DADOS!F9557="","",DADOS!F9557)</f>
        <v/>
      </c>
      <c r="K9557" s="6" t="str">
        <f t="shared" si="750"/>
        <v/>
      </c>
      <c r="L9557" s="7" t="str">
        <f t="shared" si="751"/>
        <v/>
      </c>
      <c r="M9557" s="7" t="str">
        <f t="shared" si="748"/>
        <v/>
      </c>
      <c r="N9557" s="7" t="str">
        <f t="shared" si="752"/>
        <v/>
      </c>
      <c r="O9557" s="8"/>
      <c r="P9557" s="26"/>
      <c r="S9557" s="10" t="str">
        <f t="shared" si="749"/>
        <v/>
      </c>
    </row>
    <row r="9558" spans="5:19" x14ac:dyDescent="0.3">
      <c r="E9558" s="9" t="str">
        <f>IF(DADOS!C9558="","",DADOS!C9558)</f>
        <v/>
      </c>
      <c r="F9558" s="9" t="str">
        <f>IF(DADOS!E9558="","",DADOS!E9558)</f>
        <v/>
      </c>
      <c r="G9558" s="9" t="str">
        <f>IF(DADOS!F9558="","",DADOS!F9558)</f>
        <v/>
      </c>
      <c r="K9558" s="6" t="str">
        <f t="shared" si="750"/>
        <v/>
      </c>
      <c r="L9558" s="7" t="str">
        <f t="shared" si="751"/>
        <v/>
      </c>
      <c r="M9558" s="7" t="str">
        <f t="shared" si="748"/>
        <v/>
      </c>
      <c r="N9558" s="7" t="str">
        <f t="shared" si="752"/>
        <v/>
      </c>
      <c r="O9558" s="8"/>
      <c r="P9558" s="26"/>
      <c r="S9558" s="10" t="str">
        <f t="shared" si="749"/>
        <v/>
      </c>
    </row>
    <row r="9559" spans="5:19" x14ac:dyDescent="0.3">
      <c r="E9559" s="9" t="str">
        <f>IF(DADOS!C9559="","",DADOS!C9559)</f>
        <v/>
      </c>
      <c r="F9559" s="9" t="str">
        <f>IF(DADOS!E9559="","",DADOS!E9559)</f>
        <v/>
      </c>
      <c r="G9559" s="9" t="str">
        <f>IF(DADOS!F9559="","",DADOS!F9559)</f>
        <v/>
      </c>
      <c r="K9559" s="6" t="str">
        <f t="shared" si="750"/>
        <v/>
      </c>
      <c r="L9559" s="7" t="str">
        <f t="shared" si="751"/>
        <v/>
      </c>
      <c r="M9559" s="7" t="str">
        <f t="shared" si="748"/>
        <v/>
      </c>
      <c r="N9559" s="7" t="str">
        <f t="shared" si="752"/>
        <v/>
      </c>
      <c r="O9559" s="8"/>
      <c r="P9559" s="26"/>
      <c r="S9559" s="10" t="str">
        <f t="shared" si="749"/>
        <v/>
      </c>
    </row>
    <row r="9560" spans="5:19" x14ac:dyDescent="0.3">
      <c r="E9560" s="9" t="str">
        <f>IF(DADOS!C9560="","",DADOS!C9560)</f>
        <v/>
      </c>
      <c r="F9560" s="9" t="str">
        <f>IF(DADOS!E9560="","",DADOS!E9560)</f>
        <v/>
      </c>
      <c r="G9560" s="9" t="str">
        <f>IF(DADOS!F9560="","",DADOS!F9560)</f>
        <v/>
      </c>
      <c r="K9560" s="6" t="str">
        <f t="shared" si="750"/>
        <v/>
      </c>
      <c r="L9560" s="7" t="str">
        <f t="shared" si="751"/>
        <v/>
      </c>
      <c r="M9560" s="7" t="str">
        <f t="shared" si="748"/>
        <v/>
      </c>
      <c r="N9560" s="7" t="str">
        <f t="shared" si="752"/>
        <v/>
      </c>
      <c r="O9560" s="8"/>
      <c r="P9560" s="26"/>
      <c r="S9560" s="10" t="str">
        <f t="shared" si="749"/>
        <v/>
      </c>
    </row>
    <row r="9561" spans="5:19" x14ac:dyDescent="0.3">
      <c r="E9561" s="9" t="str">
        <f>IF(DADOS!C9561="","",DADOS!C9561)</f>
        <v/>
      </c>
      <c r="F9561" s="9" t="str">
        <f>IF(DADOS!E9561="","",DADOS!E9561)</f>
        <v/>
      </c>
      <c r="G9561" s="9" t="str">
        <f>IF(DADOS!F9561="","",DADOS!F9561)</f>
        <v/>
      </c>
      <c r="K9561" s="6" t="str">
        <f t="shared" si="750"/>
        <v/>
      </c>
      <c r="L9561" s="7" t="str">
        <f t="shared" si="751"/>
        <v/>
      </c>
      <c r="M9561" s="7" t="str">
        <f t="shared" si="748"/>
        <v/>
      </c>
      <c r="N9561" s="7" t="str">
        <f t="shared" si="752"/>
        <v/>
      </c>
      <c r="O9561" s="8"/>
      <c r="P9561" s="26"/>
      <c r="S9561" s="10" t="str">
        <f t="shared" si="749"/>
        <v/>
      </c>
    </row>
    <row r="9562" spans="5:19" x14ac:dyDescent="0.3">
      <c r="E9562" s="9" t="str">
        <f>IF(DADOS!C9562="","",DADOS!C9562)</f>
        <v/>
      </c>
      <c r="F9562" s="9" t="str">
        <f>IF(DADOS!E9562="","",DADOS!E9562)</f>
        <v/>
      </c>
      <c r="G9562" s="9" t="str">
        <f>IF(DADOS!F9562="","",DADOS!F9562)</f>
        <v/>
      </c>
      <c r="K9562" s="6" t="str">
        <f t="shared" si="750"/>
        <v/>
      </c>
      <c r="L9562" s="7" t="str">
        <f t="shared" si="751"/>
        <v/>
      </c>
      <c r="M9562" s="7" t="str">
        <f t="shared" si="748"/>
        <v/>
      </c>
      <c r="N9562" s="7" t="str">
        <f t="shared" si="752"/>
        <v/>
      </c>
      <c r="O9562" s="8"/>
      <c r="P9562" s="26"/>
      <c r="S9562" s="10" t="str">
        <f t="shared" si="749"/>
        <v/>
      </c>
    </row>
    <row r="9563" spans="5:19" x14ac:dyDescent="0.3">
      <c r="E9563" s="9" t="str">
        <f>IF(DADOS!C9563="","",DADOS!C9563)</f>
        <v/>
      </c>
      <c r="F9563" s="9" t="str">
        <f>IF(DADOS!E9563="","",DADOS!E9563)</f>
        <v/>
      </c>
      <c r="G9563" s="9" t="str">
        <f>IF(DADOS!F9563="","",DADOS!F9563)</f>
        <v/>
      </c>
      <c r="K9563" s="6" t="str">
        <f t="shared" si="750"/>
        <v/>
      </c>
      <c r="L9563" s="7" t="str">
        <f t="shared" si="751"/>
        <v/>
      </c>
      <c r="M9563" s="7" t="str">
        <f t="shared" si="748"/>
        <v/>
      </c>
      <c r="N9563" s="7" t="str">
        <f t="shared" si="752"/>
        <v/>
      </c>
      <c r="O9563" s="8"/>
      <c r="P9563" s="26"/>
      <c r="S9563" s="10" t="str">
        <f t="shared" si="749"/>
        <v/>
      </c>
    </row>
    <row r="9564" spans="5:19" x14ac:dyDescent="0.3">
      <c r="E9564" s="9" t="str">
        <f>IF(DADOS!C9564="","",DADOS!C9564)</f>
        <v/>
      </c>
      <c r="F9564" s="9" t="str">
        <f>IF(DADOS!E9564="","",DADOS!E9564)</f>
        <v/>
      </c>
      <c r="G9564" s="9" t="str">
        <f>IF(DADOS!F9564="","",DADOS!F9564)</f>
        <v/>
      </c>
      <c r="K9564" s="6" t="str">
        <f t="shared" si="750"/>
        <v/>
      </c>
      <c r="L9564" s="7" t="str">
        <f t="shared" si="751"/>
        <v/>
      </c>
      <c r="M9564" s="7" t="str">
        <f t="shared" si="748"/>
        <v/>
      </c>
      <c r="N9564" s="7" t="str">
        <f t="shared" si="752"/>
        <v/>
      </c>
      <c r="O9564" s="8"/>
      <c r="P9564" s="26"/>
      <c r="S9564" s="10" t="str">
        <f t="shared" si="749"/>
        <v/>
      </c>
    </row>
    <row r="9565" spans="5:19" x14ac:dyDescent="0.3">
      <c r="E9565" s="9" t="str">
        <f>IF(DADOS!C9565="","",DADOS!C9565)</f>
        <v/>
      </c>
      <c r="F9565" s="9" t="str">
        <f>IF(DADOS!E9565="","",DADOS!E9565)</f>
        <v/>
      </c>
      <c r="G9565" s="9" t="str">
        <f>IF(DADOS!F9565="","",DADOS!F9565)</f>
        <v/>
      </c>
      <c r="K9565" s="6" t="str">
        <f t="shared" si="750"/>
        <v/>
      </c>
      <c r="L9565" s="7" t="str">
        <f t="shared" si="751"/>
        <v/>
      </c>
      <c r="M9565" s="7" t="str">
        <f t="shared" si="748"/>
        <v/>
      </c>
      <c r="N9565" s="7" t="str">
        <f t="shared" si="752"/>
        <v/>
      </c>
      <c r="O9565" s="8"/>
      <c r="P9565" s="26"/>
      <c r="S9565" s="10" t="str">
        <f t="shared" si="749"/>
        <v/>
      </c>
    </row>
    <row r="9566" spans="5:19" x14ac:dyDescent="0.3">
      <c r="E9566" s="9" t="str">
        <f>IF(DADOS!C9566="","",DADOS!C9566)</f>
        <v/>
      </c>
      <c r="F9566" s="9" t="str">
        <f>IF(DADOS!E9566="","",DADOS!E9566)</f>
        <v/>
      </c>
      <c r="G9566" s="9" t="str">
        <f>IF(DADOS!F9566="","",DADOS!F9566)</f>
        <v/>
      </c>
      <c r="K9566" s="6" t="str">
        <f t="shared" si="750"/>
        <v/>
      </c>
      <c r="L9566" s="7" t="str">
        <f t="shared" si="751"/>
        <v/>
      </c>
      <c r="M9566" s="7" t="str">
        <f t="shared" si="748"/>
        <v/>
      </c>
      <c r="N9566" s="7" t="str">
        <f t="shared" si="752"/>
        <v/>
      </c>
      <c r="O9566" s="8"/>
      <c r="P9566" s="26"/>
      <c r="S9566" s="10" t="str">
        <f t="shared" si="749"/>
        <v/>
      </c>
    </row>
    <row r="9567" spans="5:19" x14ac:dyDescent="0.3">
      <c r="E9567" s="9" t="str">
        <f>IF(DADOS!C9567="","",DADOS!C9567)</f>
        <v/>
      </c>
      <c r="F9567" s="9" t="str">
        <f>IF(DADOS!E9567="","",DADOS!E9567)</f>
        <v/>
      </c>
      <c r="G9567" s="9" t="str">
        <f>IF(DADOS!F9567="","",DADOS!F9567)</f>
        <v/>
      </c>
      <c r="K9567" s="6" t="str">
        <f t="shared" si="750"/>
        <v/>
      </c>
      <c r="L9567" s="7" t="str">
        <f t="shared" si="751"/>
        <v/>
      </c>
      <c r="M9567" s="7" t="str">
        <f t="shared" si="748"/>
        <v/>
      </c>
      <c r="N9567" s="7" t="str">
        <f t="shared" si="752"/>
        <v/>
      </c>
      <c r="O9567" s="8"/>
      <c r="P9567" s="26"/>
      <c r="S9567" s="10" t="str">
        <f t="shared" si="749"/>
        <v/>
      </c>
    </row>
    <row r="9568" spans="5:19" x14ac:dyDescent="0.3">
      <c r="E9568" s="9" t="str">
        <f>IF(DADOS!C9568="","",DADOS!C9568)</f>
        <v/>
      </c>
      <c r="F9568" s="9" t="str">
        <f>IF(DADOS!E9568="","",DADOS!E9568)</f>
        <v/>
      </c>
      <c r="G9568" s="9" t="str">
        <f>IF(DADOS!F9568="","",DADOS!F9568)</f>
        <v/>
      </c>
      <c r="K9568" s="6" t="str">
        <f t="shared" si="750"/>
        <v/>
      </c>
      <c r="L9568" s="7" t="str">
        <f t="shared" si="751"/>
        <v/>
      </c>
      <c r="M9568" s="7" t="str">
        <f t="shared" si="748"/>
        <v/>
      </c>
      <c r="N9568" s="7" t="str">
        <f t="shared" si="752"/>
        <v/>
      </c>
      <c r="O9568" s="8"/>
      <c r="P9568" s="26"/>
      <c r="S9568" s="10" t="str">
        <f t="shared" si="749"/>
        <v/>
      </c>
    </row>
    <row r="9569" spans="5:19" x14ac:dyDescent="0.3">
      <c r="E9569" s="9" t="str">
        <f>IF(DADOS!C9569="","",DADOS!C9569)</f>
        <v/>
      </c>
      <c r="F9569" s="9" t="str">
        <f>IF(DADOS!E9569="","",DADOS!E9569)</f>
        <v/>
      </c>
      <c r="G9569" s="9" t="str">
        <f>IF(DADOS!F9569="","",DADOS!F9569)</f>
        <v/>
      </c>
      <c r="K9569" s="6" t="str">
        <f t="shared" si="750"/>
        <v/>
      </c>
      <c r="L9569" s="7" t="str">
        <f t="shared" si="751"/>
        <v/>
      </c>
      <c r="M9569" s="7" t="str">
        <f t="shared" si="748"/>
        <v/>
      </c>
      <c r="N9569" s="7" t="str">
        <f t="shared" si="752"/>
        <v/>
      </c>
      <c r="O9569" s="8"/>
      <c r="P9569" s="26"/>
      <c r="S9569" s="10" t="str">
        <f t="shared" si="749"/>
        <v/>
      </c>
    </row>
    <row r="9570" spans="5:19" x14ac:dyDescent="0.3">
      <c r="E9570" s="9" t="str">
        <f>IF(DADOS!C9570="","",DADOS!C9570)</f>
        <v/>
      </c>
      <c r="F9570" s="9" t="str">
        <f>IF(DADOS!E9570="","",DADOS!E9570)</f>
        <v/>
      </c>
      <c r="G9570" s="9" t="str">
        <f>IF(DADOS!F9570="","",DADOS!F9570)</f>
        <v/>
      </c>
      <c r="K9570" s="6" t="str">
        <f t="shared" si="750"/>
        <v/>
      </c>
      <c r="L9570" s="7" t="str">
        <f t="shared" si="751"/>
        <v/>
      </c>
      <c r="M9570" s="7" t="str">
        <f t="shared" si="748"/>
        <v/>
      </c>
      <c r="N9570" s="7" t="str">
        <f t="shared" si="752"/>
        <v/>
      </c>
      <c r="O9570" s="8"/>
      <c r="P9570" s="26"/>
      <c r="S9570" s="10" t="str">
        <f t="shared" si="749"/>
        <v/>
      </c>
    </row>
    <row r="9571" spans="5:19" x14ac:dyDescent="0.3">
      <c r="E9571" s="9" t="str">
        <f>IF(DADOS!C9571="","",DADOS!C9571)</f>
        <v/>
      </c>
      <c r="F9571" s="9" t="str">
        <f>IF(DADOS!E9571="","",DADOS!E9571)</f>
        <v/>
      </c>
      <c r="G9571" s="9" t="str">
        <f>IF(DADOS!F9571="","",DADOS!F9571)</f>
        <v/>
      </c>
      <c r="K9571" s="6" t="str">
        <f t="shared" si="750"/>
        <v/>
      </c>
      <c r="L9571" s="7" t="str">
        <f t="shared" si="751"/>
        <v/>
      </c>
      <c r="M9571" s="7" t="str">
        <f t="shared" si="748"/>
        <v/>
      </c>
      <c r="N9571" s="7" t="str">
        <f t="shared" si="752"/>
        <v/>
      </c>
      <c r="O9571" s="8"/>
      <c r="P9571" s="26"/>
      <c r="S9571" s="10" t="str">
        <f t="shared" si="749"/>
        <v/>
      </c>
    </row>
    <row r="9572" spans="5:19" x14ac:dyDescent="0.3">
      <c r="E9572" s="9" t="str">
        <f>IF(DADOS!C9572="","",DADOS!C9572)</f>
        <v/>
      </c>
      <c r="F9572" s="9" t="str">
        <f>IF(DADOS!E9572="","",DADOS!E9572)</f>
        <v/>
      </c>
      <c r="G9572" s="9" t="str">
        <f>IF(DADOS!F9572="","",DADOS!F9572)</f>
        <v/>
      </c>
      <c r="K9572" s="6" t="str">
        <f t="shared" si="750"/>
        <v/>
      </c>
      <c r="L9572" s="7" t="str">
        <f t="shared" si="751"/>
        <v/>
      </c>
      <c r="M9572" s="7" t="str">
        <f t="shared" si="748"/>
        <v/>
      </c>
      <c r="N9572" s="7" t="str">
        <f t="shared" si="752"/>
        <v/>
      </c>
      <c r="O9572" s="8"/>
      <c r="P9572" s="26"/>
      <c r="S9572" s="10" t="str">
        <f t="shared" si="749"/>
        <v/>
      </c>
    </row>
    <row r="9573" spans="5:19" x14ac:dyDescent="0.3">
      <c r="E9573" s="9" t="str">
        <f>IF(DADOS!C9573="","",DADOS!C9573)</f>
        <v/>
      </c>
      <c r="F9573" s="9" t="str">
        <f>IF(DADOS!E9573="","",DADOS!E9573)</f>
        <v/>
      </c>
      <c r="G9573" s="9" t="str">
        <f>IF(DADOS!F9573="","",DADOS!F9573)</f>
        <v/>
      </c>
      <c r="K9573" s="6" t="str">
        <f t="shared" si="750"/>
        <v/>
      </c>
      <c r="L9573" s="7" t="str">
        <f t="shared" si="751"/>
        <v/>
      </c>
      <c r="M9573" s="7" t="str">
        <f t="shared" si="748"/>
        <v/>
      </c>
      <c r="N9573" s="7" t="str">
        <f t="shared" si="752"/>
        <v/>
      </c>
      <c r="O9573" s="8"/>
      <c r="P9573" s="26"/>
      <c r="S9573" s="10" t="str">
        <f t="shared" si="749"/>
        <v/>
      </c>
    </row>
    <row r="9574" spans="5:19" x14ac:dyDescent="0.3">
      <c r="E9574" s="9" t="str">
        <f>IF(DADOS!C9574="","",DADOS!C9574)</f>
        <v/>
      </c>
      <c r="F9574" s="9" t="str">
        <f>IF(DADOS!E9574="","",DADOS!E9574)</f>
        <v/>
      </c>
      <c r="G9574" s="9" t="str">
        <f>IF(DADOS!F9574="","",DADOS!F9574)</f>
        <v/>
      </c>
      <c r="K9574" s="6" t="str">
        <f t="shared" si="750"/>
        <v/>
      </c>
      <c r="L9574" s="7" t="str">
        <f t="shared" si="751"/>
        <v/>
      </c>
      <c r="M9574" s="7" t="str">
        <f t="shared" si="748"/>
        <v/>
      </c>
      <c r="N9574" s="7" t="str">
        <f t="shared" si="752"/>
        <v/>
      </c>
      <c r="O9574" s="8"/>
      <c r="P9574" s="26"/>
      <c r="S9574" s="10" t="str">
        <f t="shared" si="749"/>
        <v/>
      </c>
    </row>
    <row r="9575" spans="5:19" x14ac:dyDescent="0.3">
      <c r="E9575" s="9" t="str">
        <f>IF(DADOS!C9575="","",DADOS!C9575)</f>
        <v/>
      </c>
      <c r="F9575" s="9" t="str">
        <f>IF(DADOS!E9575="","",DADOS!E9575)</f>
        <v/>
      </c>
      <c r="G9575" s="9" t="str">
        <f>IF(DADOS!F9575="","",DADOS!F9575)</f>
        <v/>
      </c>
      <c r="K9575" s="6" t="str">
        <f t="shared" si="750"/>
        <v/>
      </c>
      <c r="L9575" s="7" t="str">
        <f t="shared" si="751"/>
        <v/>
      </c>
      <c r="M9575" s="7" t="str">
        <f t="shared" si="748"/>
        <v/>
      </c>
      <c r="N9575" s="7" t="str">
        <f t="shared" si="752"/>
        <v/>
      </c>
      <c r="O9575" s="8"/>
      <c r="P9575" s="26"/>
      <c r="S9575" s="10" t="str">
        <f t="shared" si="749"/>
        <v/>
      </c>
    </row>
    <row r="9576" spans="5:19" x14ac:dyDescent="0.3">
      <c r="E9576" s="9" t="str">
        <f>IF(DADOS!C9576="","",DADOS!C9576)</f>
        <v/>
      </c>
      <c r="F9576" s="9" t="str">
        <f>IF(DADOS!E9576="","",DADOS!E9576)</f>
        <v/>
      </c>
      <c r="G9576" s="9" t="str">
        <f>IF(DADOS!F9576="","",DADOS!F9576)</f>
        <v/>
      </c>
      <c r="K9576" s="6" t="str">
        <f t="shared" si="750"/>
        <v/>
      </c>
      <c r="L9576" s="7" t="str">
        <f t="shared" si="751"/>
        <v/>
      </c>
      <c r="M9576" s="7" t="str">
        <f t="shared" si="748"/>
        <v/>
      </c>
      <c r="N9576" s="7" t="str">
        <f t="shared" si="752"/>
        <v/>
      </c>
      <c r="O9576" s="8"/>
      <c r="P9576" s="26"/>
      <c r="S9576" s="10" t="str">
        <f t="shared" si="749"/>
        <v/>
      </c>
    </row>
    <row r="9577" spans="5:19" x14ac:dyDescent="0.3">
      <c r="E9577" s="9" t="str">
        <f>IF(DADOS!C9577="","",DADOS!C9577)</f>
        <v/>
      </c>
      <c r="F9577" s="9" t="str">
        <f>IF(DADOS!E9577="","",DADOS!E9577)</f>
        <v/>
      </c>
      <c r="G9577" s="9" t="str">
        <f>IF(DADOS!F9577="","",DADOS!F9577)</f>
        <v/>
      </c>
      <c r="K9577" s="6" t="str">
        <f t="shared" si="750"/>
        <v/>
      </c>
      <c r="L9577" s="7" t="str">
        <f t="shared" si="751"/>
        <v/>
      </c>
      <c r="M9577" s="7" t="str">
        <f t="shared" si="748"/>
        <v/>
      </c>
      <c r="N9577" s="7" t="str">
        <f t="shared" si="752"/>
        <v/>
      </c>
      <c r="O9577" s="8"/>
      <c r="P9577" s="26"/>
      <c r="S9577" s="10" t="str">
        <f t="shared" si="749"/>
        <v/>
      </c>
    </row>
    <row r="9578" spans="5:19" x14ac:dyDescent="0.3">
      <c r="E9578" s="9" t="str">
        <f>IF(DADOS!C9578="","",DADOS!C9578)</f>
        <v/>
      </c>
      <c r="F9578" s="9" t="str">
        <f>IF(DADOS!E9578="","",DADOS!E9578)</f>
        <v/>
      </c>
      <c r="G9578" s="9" t="str">
        <f>IF(DADOS!F9578="","",DADOS!F9578)</f>
        <v/>
      </c>
      <c r="K9578" s="6" t="str">
        <f t="shared" si="750"/>
        <v/>
      </c>
      <c r="L9578" s="7" t="str">
        <f t="shared" si="751"/>
        <v/>
      </c>
      <c r="M9578" s="7" t="str">
        <f t="shared" si="748"/>
        <v/>
      </c>
      <c r="N9578" s="7" t="str">
        <f t="shared" si="752"/>
        <v/>
      </c>
      <c r="O9578" s="8"/>
      <c r="P9578" s="26"/>
      <c r="S9578" s="10" t="str">
        <f t="shared" si="749"/>
        <v/>
      </c>
    </row>
    <row r="9579" spans="5:19" x14ac:dyDescent="0.3">
      <c r="E9579" s="9" t="str">
        <f>IF(DADOS!C9579="","",DADOS!C9579)</f>
        <v/>
      </c>
      <c r="F9579" s="9" t="str">
        <f>IF(DADOS!E9579="","",DADOS!E9579)</f>
        <v/>
      </c>
      <c r="G9579" s="9" t="str">
        <f>IF(DADOS!F9579="","",DADOS!F9579)</f>
        <v/>
      </c>
      <c r="K9579" s="6" t="str">
        <f t="shared" si="750"/>
        <v/>
      </c>
      <c r="L9579" s="7" t="str">
        <f t="shared" si="751"/>
        <v/>
      </c>
      <c r="M9579" s="7" t="str">
        <f t="shared" si="748"/>
        <v/>
      </c>
      <c r="N9579" s="7" t="str">
        <f t="shared" si="752"/>
        <v/>
      </c>
      <c r="O9579" s="8"/>
      <c r="P9579" s="26"/>
      <c r="S9579" s="10" t="str">
        <f t="shared" si="749"/>
        <v/>
      </c>
    </row>
    <row r="9580" spans="5:19" x14ac:dyDescent="0.3">
      <c r="E9580" s="9" t="str">
        <f>IF(DADOS!C9580="","",DADOS!C9580)</f>
        <v/>
      </c>
      <c r="F9580" s="9" t="str">
        <f>IF(DADOS!E9580="","",DADOS!E9580)</f>
        <v/>
      </c>
      <c r="G9580" s="9" t="str">
        <f>IF(DADOS!F9580="","",DADOS!F9580)</f>
        <v/>
      </c>
      <c r="K9580" s="6" t="str">
        <f t="shared" si="750"/>
        <v/>
      </c>
      <c r="L9580" s="7" t="str">
        <f t="shared" si="751"/>
        <v/>
      </c>
      <c r="M9580" s="7" t="str">
        <f t="shared" si="748"/>
        <v/>
      </c>
      <c r="N9580" s="7" t="str">
        <f t="shared" si="752"/>
        <v/>
      </c>
      <c r="O9580" s="8"/>
      <c r="P9580" s="26"/>
      <c r="S9580" s="10" t="str">
        <f t="shared" si="749"/>
        <v/>
      </c>
    </row>
    <row r="9581" spans="5:19" x14ac:dyDescent="0.3">
      <c r="E9581" s="9" t="str">
        <f>IF(DADOS!C9581="","",DADOS!C9581)</f>
        <v/>
      </c>
      <c r="F9581" s="9" t="str">
        <f>IF(DADOS!E9581="","",DADOS!E9581)</f>
        <v/>
      </c>
      <c r="G9581" s="9" t="str">
        <f>IF(DADOS!F9581="","",DADOS!F9581)</f>
        <v/>
      </c>
      <c r="K9581" s="6" t="str">
        <f t="shared" si="750"/>
        <v/>
      </c>
      <c r="L9581" s="7" t="str">
        <f t="shared" si="751"/>
        <v/>
      </c>
      <c r="M9581" s="7" t="str">
        <f t="shared" si="748"/>
        <v/>
      </c>
      <c r="N9581" s="7" t="str">
        <f t="shared" si="752"/>
        <v/>
      </c>
      <c r="O9581" s="8"/>
      <c r="P9581" s="26"/>
      <c r="S9581" s="10" t="str">
        <f t="shared" si="749"/>
        <v/>
      </c>
    </row>
    <row r="9582" spans="5:19" x14ac:dyDescent="0.3">
      <c r="E9582" s="9" t="str">
        <f>IF(DADOS!C9582="","",DADOS!C9582)</f>
        <v/>
      </c>
      <c r="F9582" s="9" t="str">
        <f>IF(DADOS!E9582="","",DADOS!E9582)</f>
        <v/>
      </c>
      <c r="G9582" s="9" t="str">
        <f>IF(DADOS!F9582="","",DADOS!F9582)</f>
        <v/>
      </c>
      <c r="K9582" s="6" t="str">
        <f t="shared" si="750"/>
        <v/>
      </c>
      <c r="L9582" s="7" t="str">
        <f t="shared" si="751"/>
        <v/>
      </c>
      <c r="M9582" s="7" t="str">
        <f t="shared" si="748"/>
        <v/>
      </c>
      <c r="N9582" s="7" t="str">
        <f t="shared" si="752"/>
        <v/>
      </c>
      <c r="O9582" s="8"/>
      <c r="P9582" s="26"/>
      <c r="S9582" s="10" t="str">
        <f t="shared" si="749"/>
        <v/>
      </c>
    </row>
    <row r="9583" spans="5:19" x14ac:dyDescent="0.3">
      <c r="E9583" s="9" t="str">
        <f>IF(DADOS!C9583="","",DADOS!C9583)</f>
        <v/>
      </c>
      <c r="F9583" s="9" t="str">
        <f>IF(DADOS!E9583="","",DADOS!E9583)</f>
        <v/>
      </c>
      <c r="G9583" s="9" t="str">
        <f>IF(DADOS!F9583="","",DADOS!F9583)</f>
        <v/>
      </c>
      <c r="K9583" s="6" t="str">
        <f t="shared" si="750"/>
        <v/>
      </c>
      <c r="L9583" s="7" t="str">
        <f t="shared" si="751"/>
        <v/>
      </c>
      <c r="M9583" s="7" t="str">
        <f t="shared" si="748"/>
        <v/>
      </c>
      <c r="N9583" s="7" t="str">
        <f t="shared" si="752"/>
        <v/>
      </c>
      <c r="O9583" s="8"/>
      <c r="P9583" s="26"/>
      <c r="S9583" s="10" t="str">
        <f t="shared" si="749"/>
        <v/>
      </c>
    </row>
    <row r="9584" spans="5:19" x14ac:dyDescent="0.3">
      <c r="E9584" s="9" t="str">
        <f>IF(DADOS!C9584="","",DADOS!C9584)</f>
        <v/>
      </c>
      <c r="F9584" s="9" t="str">
        <f>IF(DADOS!E9584="","",DADOS!E9584)</f>
        <v/>
      </c>
      <c r="G9584" s="9" t="str">
        <f>IF(DADOS!F9584="","",DADOS!F9584)</f>
        <v/>
      </c>
      <c r="K9584" s="6" t="str">
        <f t="shared" si="750"/>
        <v/>
      </c>
      <c r="L9584" s="7" t="str">
        <f t="shared" si="751"/>
        <v/>
      </c>
      <c r="M9584" s="7" t="str">
        <f t="shared" si="748"/>
        <v/>
      </c>
      <c r="N9584" s="7" t="str">
        <f t="shared" si="752"/>
        <v/>
      </c>
      <c r="O9584" s="8"/>
      <c r="P9584" s="26"/>
      <c r="S9584" s="10" t="str">
        <f t="shared" si="749"/>
        <v/>
      </c>
    </row>
    <row r="9585" spans="5:19" x14ac:dyDescent="0.3">
      <c r="E9585" s="9" t="str">
        <f>IF(DADOS!C9585="","",DADOS!C9585)</f>
        <v/>
      </c>
      <c r="F9585" s="9" t="str">
        <f>IF(DADOS!E9585="","",DADOS!E9585)</f>
        <v/>
      </c>
      <c r="G9585" s="9" t="str">
        <f>IF(DADOS!F9585="","",DADOS!F9585)</f>
        <v/>
      </c>
      <c r="K9585" s="6" t="str">
        <f t="shared" si="750"/>
        <v/>
      </c>
      <c r="L9585" s="7" t="str">
        <f t="shared" si="751"/>
        <v/>
      </c>
      <c r="M9585" s="7" t="str">
        <f t="shared" si="748"/>
        <v/>
      </c>
      <c r="N9585" s="7" t="str">
        <f t="shared" si="752"/>
        <v/>
      </c>
      <c r="O9585" s="8"/>
      <c r="P9585" s="26"/>
      <c r="S9585" s="10" t="str">
        <f t="shared" si="749"/>
        <v/>
      </c>
    </row>
    <row r="9586" spans="5:19" x14ac:dyDescent="0.3">
      <c r="E9586" s="9" t="str">
        <f>IF(DADOS!C9586="","",DADOS!C9586)</f>
        <v/>
      </c>
      <c r="F9586" s="9" t="str">
        <f>IF(DADOS!E9586="","",DADOS!E9586)</f>
        <v/>
      </c>
      <c r="G9586" s="9" t="str">
        <f>IF(DADOS!F9586="","",DADOS!F9586)</f>
        <v/>
      </c>
      <c r="K9586" s="6" t="str">
        <f t="shared" si="750"/>
        <v/>
      </c>
      <c r="L9586" s="7" t="str">
        <f t="shared" si="751"/>
        <v/>
      </c>
      <c r="M9586" s="7" t="str">
        <f t="shared" si="748"/>
        <v/>
      </c>
      <c r="N9586" s="7" t="str">
        <f t="shared" si="752"/>
        <v/>
      </c>
      <c r="O9586" s="8"/>
      <c r="P9586" s="26"/>
      <c r="S9586" s="10" t="str">
        <f t="shared" si="749"/>
        <v/>
      </c>
    </row>
    <row r="9587" spans="5:19" x14ac:dyDescent="0.3">
      <c r="E9587" s="9" t="str">
        <f>IF(DADOS!C9587="","",DADOS!C9587)</f>
        <v/>
      </c>
      <c r="F9587" s="9" t="str">
        <f>IF(DADOS!E9587="","",DADOS!E9587)</f>
        <v/>
      </c>
      <c r="G9587" s="9" t="str">
        <f>IF(DADOS!F9587="","",DADOS!F9587)</f>
        <v/>
      </c>
      <c r="K9587" s="6" t="str">
        <f t="shared" si="750"/>
        <v/>
      </c>
      <c r="L9587" s="7" t="str">
        <f t="shared" si="751"/>
        <v/>
      </c>
      <c r="M9587" s="7" t="str">
        <f t="shared" si="748"/>
        <v/>
      </c>
      <c r="N9587" s="7" t="str">
        <f t="shared" si="752"/>
        <v/>
      </c>
      <c r="O9587" s="8"/>
      <c r="P9587" s="26"/>
      <c r="S9587" s="10" t="str">
        <f t="shared" si="749"/>
        <v/>
      </c>
    </row>
    <row r="9588" spans="5:19" x14ac:dyDescent="0.3">
      <c r="E9588" s="9" t="str">
        <f>IF(DADOS!C9588="","",DADOS!C9588)</f>
        <v/>
      </c>
      <c r="F9588" s="9" t="str">
        <f>IF(DADOS!E9588="","",DADOS!E9588)</f>
        <v/>
      </c>
      <c r="G9588" s="9" t="str">
        <f>IF(DADOS!F9588="","",DADOS!F9588)</f>
        <v/>
      </c>
      <c r="K9588" s="6" t="str">
        <f t="shared" si="750"/>
        <v/>
      </c>
      <c r="L9588" s="7" t="str">
        <f t="shared" si="751"/>
        <v/>
      </c>
      <c r="M9588" s="7" t="str">
        <f t="shared" si="748"/>
        <v/>
      </c>
      <c r="N9588" s="7" t="str">
        <f t="shared" si="752"/>
        <v/>
      </c>
      <c r="O9588" s="8"/>
      <c r="P9588" s="26"/>
      <c r="S9588" s="10" t="str">
        <f t="shared" si="749"/>
        <v/>
      </c>
    </row>
    <row r="9589" spans="5:19" x14ac:dyDescent="0.3">
      <c r="E9589" s="9" t="str">
        <f>IF(DADOS!C9589="","",DADOS!C9589)</f>
        <v/>
      </c>
      <c r="F9589" s="9" t="str">
        <f>IF(DADOS!E9589="","",DADOS!E9589)</f>
        <v/>
      </c>
      <c r="G9589" s="9" t="str">
        <f>IF(DADOS!F9589="","",DADOS!F9589)</f>
        <v/>
      </c>
      <c r="K9589" s="6" t="str">
        <f t="shared" si="750"/>
        <v/>
      </c>
      <c r="L9589" s="7" t="str">
        <f t="shared" si="751"/>
        <v/>
      </c>
      <c r="M9589" s="7" t="str">
        <f t="shared" si="748"/>
        <v/>
      </c>
      <c r="N9589" s="7" t="str">
        <f t="shared" si="752"/>
        <v/>
      </c>
      <c r="O9589" s="8"/>
      <c r="P9589" s="26"/>
      <c r="S9589" s="10" t="str">
        <f t="shared" si="749"/>
        <v/>
      </c>
    </row>
    <row r="9590" spans="5:19" x14ac:dyDescent="0.3">
      <c r="E9590" s="9" t="str">
        <f>IF(DADOS!C9590="","",DADOS!C9590)</f>
        <v/>
      </c>
      <c r="F9590" s="9" t="str">
        <f>IF(DADOS!E9590="","",DADOS!E9590)</f>
        <v/>
      </c>
      <c r="G9590" s="9" t="str">
        <f>IF(DADOS!F9590="","",DADOS!F9590)</f>
        <v/>
      </c>
      <c r="K9590" s="6" t="str">
        <f t="shared" si="750"/>
        <v/>
      </c>
      <c r="L9590" s="7" t="str">
        <f t="shared" si="751"/>
        <v/>
      </c>
      <c r="M9590" s="7" t="str">
        <f t="shared" si="748"/>
        <v/>
      </c>
      <c r="N9590" s="7" t="str">
        <f t="shared" si="752"/>
        <v/>
      </c>
      <c r="O9590" s="8"/>
      <c r="P9590" s="26"/>
      <c r="S9590" s="10" t="str">
        <f t="shared" si="749"/>
        <v/>
      </c>
    </row>
    <row r="9591" spans="5:19" x14ac:dyDescent="0.3">
      <c r="E9591" s="9" t="str">
        <f>IF(DADOS!C9591="","",DADOS!C9591)</f>
        <v/>
      </c>
      <c r="F9591" s="9" t="str">
        <f>IF(DADOS!E9591="","",DADOS!E9591)</f>
        <v/>
      </c>
      <c r="G9591" s="9" t="str">
        <f>IF(DADOS!F9591="","",DADOS!F9591)</f>
        <v/>
      </c>
      <c r="K9591" s="6" t="str">
        <f t="shared" si="750"/>
        <v/>
      </c>
      <c r="L9591" s="7" t="str">
        <f t="shared" si="751"/>
        <v/>
      </c>
      <c r="M9591" s="7" t="str">
        <f t="shared" si="748"/>
        <v/>
      </c>
      <c r="N9591" s="7" t="str">
        <f t="shared" si="752"/>
        <v/>
      </c>
      <c r="O9591" s="8"/>
      <c r="P9591" s="26"/>
      <c r="S9591" s="10" t="str">
        <f t="shared" si="749"/>
        <v/>
      </c>
    </row>
    <row r="9592" spans="5:19" x14ac:dyDescent="0.3">
      <c r="E9592" s="9" t="str">
        <f>IF(DADOS!C9592="","",DADOS!C9592)</f>
        <v/>
      </c>
      <c r="F9592" s="9" t="str">
        <f>IF(DADOS!E9592="","",DADOS!E9592)</f>
        <v/>
      </c>
      <c r="G9592" s="9" t="str">
        <f>IF(DADOS!F9592="","",DADOS!F9592)</f>
        <v/>
      </c>
      <c r="K9592" s="6" t="str">
        <f t="shared" si="750"/>
        <v/>
      </c>
      <c r="L9592" s="7" t="str">
        <f t="shared" si="751"/>
        <v/>
      </c>
      <c r="M9592" s="7" t="str">
        <f t="shared" si="748"/>
        <v/>
      </c>
      <c r="N9592" s="7" t="str">
        <f t="shared" si="752"/>
        <v/>
      </c>
      <c r="O9592" s="8"/>
      <c r="P9592" s="26"/>
      <c r="S9592" s="10" t="str">
        <f t="shared" si="749"/>
        <v/>
      </c>
    </row>
    <row r="9593" spans="5:19" x14ac:dyDescent="0.3">
      <c r="E9593" s="9" t="str">
        <f>IF(DADOS!C9593="","",DADOS!C9593)</f>
        <v/>
      </c>
      <c r="F9593" s="9" t="str">
        <f>IF(DADOS!E9593="","",DADOS!E9593)</f>
        <v/>
      </c>
      <c r="G9593" s="9" t="str">
        <f>IF(DADOS!F9593="","",DADOS!F9593)</f>
        <v/>
      </c>
      <c r="K9593" s="6" t="str">
        <f t="shared" si="750"/>
        <v/>
      </c>
      <c r="L9593" s="7" t="str">
        <f t="shared" si="751"/>
        <v/>
      </c>
      <c r="M9593" s="7" t="str">
        <f t="shared" si="748"/>
        <v/>
      </c>
      <c r="N9593" s="7" t="str">
        <f t="shared" si="752"/>
        <v/>
      </c>
      <c r="O9593" s="8"/>
      <c r="P9593" s="26"/>
      <c r="S9593" s="10" t="str">
        <f t="shared" si="749"/>
        <v/>
      </c>
    </row>
    <row r="9594" spans="5:19" x14ac:dyDescent="0.3">
      <c r="E9594" s="9" t="str">
        <f>IF(DADOS!C9594="","",DADOS!C9594)</f>
        <v/>
      </c>
      <c r="F9594" s="9" t="str">
        <f>IF(DADOS!E9594="","",DADOS!E9594)</f>
        <v/>
      </c>
      <c r="G9594" s="9" t="str">
        <f>IF(DADOS!F9594="","",DADOS!F9594)</f>
        <v/>
      </c>
      <c r="K9594" s="6" t="str">
        <f t="shared" si="750"/>
        <v/>
      </c>
      <c r="L9594" s="7" t="str">
        <f t="shared" si="751"/>
        <v/>
      </c>
      <c r="M9594" s="7" t="str">
        <f t="shared" si="748"/>
        <v/>
      </c>
      <c r="N9594" s="7" t="str">
        <f t="shared" si="752"/>
        <v/>
      </c>
      <c r="O9594" s="8"/>
      <c r="P9594" s="26"/>
      <c r="S9594" s="10" t="str">
        <f t="shared" si="749"/>
        <v/>
      </c>
    </row>
    <row r="9595" spans="5:19" x14ac:dyDescent="0.3">
      <c r="E9595" s="9" t="str">
        <f>IF(DADOS!C9595="","",DADOS!C9595)</f>
        <v/>
      </c>
      <c r="F9595" s="9" t="str">
        <f>IF(DADOS!E9595="","",DADOS!E9595)</f>
        <v/>
      </c>
      <c r="G9595" s="9" t="str">
        <f>IF(DADOS!F9595="","",DADOS!F9595)</f>
        <v/>
      </c>
      <c r="K9595" s="6" t="str">
        <f t="shared" si="750"/>
        <v/>
      </c>
      <c r="L9595" s="7" t="str">
        <f t="shared" si="751"/>
        <v/>
      </c>
      <c r="M9595" s="7" t="str">
        <f t="shared" si="748"/>
        <v/>
      </c>
      <c r="N9595" s="7" t="str">
        <f t="shared" si="752"/>
        <v/>
      </c>
      <c r="O9595" s="8"/>
      <c r="P9595" s="26"/>
      <c r="S9595" s="10" t="str">
        <f t="shared" si="749"/>
        <v/>
      </c>
    </row>
    <row r="9596" spans="5:19" x14ac:dyDescent="0.3">
      <c r="E9596" s="9" t="str">
        <f>IF(DADOS!C9596="","",DADOS!C9596)</f>
        <v/>
      </c>
      <c r="F9596" s="9" t="str">
        <f>IF(DADOS!E9596="","",DADOS!E9596)</f>
        <v/>
      </c>
      <c r="G9596" s="9" t="str">
        <f>IF(DADOS!F9596="","",DADOS!F9596)</f>
        <v/>
      </c>
      <c r="K9596" s="6" t="str">
        <f t="shared" si="750"/>
        <v/>
      </c>
      <c r="L9596" s="7" t="str">
        <f t="shared" si="751"/>
        <v/>
      </c>
      <c r="M9596" s="7" t="str">
        <f t="shared" si="748"/>
        <v/>
      </c>
      <c r="N9596" s="7" t="str">
        <f t="shared" si="752"/>
        <v/>
      </c>
      <c r="O9596" s="8"/>
      <c r="P9596" s="26"/>
      <c r="S9596" s="10" t="str">
        <f t="shared" si="749"/>
        <v/>
      </c>
    </row>
    <row r="9597" spans="5:19" x14ac:dyDescent="0.3">
      <c r="E9597" s="9" t="str">
        <f>IF(DADOS!C9597="","",DADOS!C9597)</f>
        <v/>
      </c>
      <c r="F9597" s="9" t="str">
        <f>IF(DADOS!E9597="","",DADOS!E9597)</f>
        <v/>
      </c>
      <c r="G9597" s="9" t="str">
        <f>IF(DADOS!F9597="","",DADOS!F9597)</f>
        <v/>
      </c>
      <c r="K9597" s="6" t="str">
        <f t="shared" si="750"/>
        <v/>
      </c>
      <c r="L9597" s="7" t="str">
        <f t="shared" si="751"/>
        <v/>
      </c>
      <c r="M9597" s="7" t="str">
        <f t="shared" si="748"/>
        <v/>
      </c>
      <c r="N9597" s="7" t="str">
        <f t="shared" si="752"/>
        <v/>
      </c>
      <c r="O9597" s="8"/>
      <c r="P9597" s="26"/>
      <c r="S9597" s="10" t="str">
        <f t="shared" si="749"/>
        <v/>
      </c>
    </row>
    <row r="9598" spans="5:19" x14ac:dyDescent="0.3">
      <c r="E9598" s="9" t="str">
        <f>IF(DADOS!C9598="","",DADOS!C9598)</f>
        <v/>
      </c>
      <c r="F9598" s="9" t="str">
        <f>IF(DADOS!E9598="","",DADOS!E9598)</f>
        <v/>
      </c>
      <c r="G9598" s="9" t="str">
        <f>IF(DADOS!F9598="","",DADOS!F9598)</f>
        <v/>
      </c>
      <c r="K9598" s="6" t="str">
        <f t="shared" si="750"/>
        <v/>
      </c>
      <c r="L9598" s="7" t="str">
        <f t="shared" si="751"/>
        <v/>
      </c>
      <c r="M9598" s="7" t="str">
        <f t="shared" si="748"/>
        <v/>
      </c>
      <c r="N9598" s="7" t="str">
        <f t="shared" si="752"/>
        <v/>
      </c>
      <c r="O9598" s="8"/>
      <c r="P9598" s="26"/>
      <c r="S9598" s="10" t="str">
        <f t="shared" si="749"/>
        <v/>
      </c>
    </row>
    <row r="9599" spans="5:19" x14ac:dyDescent="0.3">
      <c r="E9599" s="9" t="str">
        <f>IF(DADOS!C9599="","",DADOS!C9599)</f>
        <v/>
      </c>
      <c r="F9599" s="9" t="str">
        <f>IF(DADOS!E9599="","",DADOS!E9599)</f>
        <v/>
      </c>
      <c r="G9599" s="9" t="str">
        <f>IF(DADOS!F9599="","",DADOS!F9599)</f>
        <v/>
      </c>
      <c r="K9599" s="6" t="str">
        <f t="shared" si="750"/>
        <v/>
      </c>
      <c r="L9599" s="7" t="str">
        <f t="shared" si="751"/>
        <v/>
      </c>
      <c r="M9599" s="7" t="str">
        <f t="shared" si="748"/>
        <v/>
      </c>
      <c r="N9599" s="7" t="str">
        <f t="shared" si="752"/>
        <v/>
      </c>
      <c r="O9599" s="8"/>
      <c r="P9599" s="26"/>
      <c r="S9599" s="10" t="str">
        <f t="shared" si="749"/>
        <v/>
      </c>
    </row>
    <row r="9600" spans="5:19" x14ac:dyDescent="0.3">
      <c r="E9600" s="9" t="str">
        <f>IF(DADOS!C9600="","",DADOS!C9600)</f>
        <v/>
      </c>
      <c r="F9600" s="9" t="str">
        <f>IF(DADOS!E9600="","",DADOS!E9600)</f>
        <v/>
      </c>
      <c r="G9600" s="9" t="str">
        <f>IF(DADOS!F9600="","",DADOS!F9600)</f>
        <v/>
      </c>
      <c r="K9600" s="6" t="str">
        <f t="shared" si="750"/>
        <v/>
      </c>
      <c r="L9600" s="7" t="str">
        <f t="shared" si="751"/>
        <v/>
      </c>
      <c r="M9600" s="7" t="str">
        <f t="shared" si="748"/>
        <v/>
      </c>
      <c r="N9600" s="7" t="str">
        <f t="shared" si="752"/>
        <v/>
      </c>
      <c r="O9600" s="8"/>
      <c r="P9600" s="26"/>
      <c r="S9600" s="10" t="str">
        <f t="shared" si="749"/>
        <v/>
      </c>
    </row>
    <row r="9601" spans="5:19" x14ac:dyDescent="0.3">
      <c r="E9601" s="9" t="str">
        <f>IF(DADOS!C9601="","",DADOS!C9601)</f>
        <v/>
      </c>
      <c r="F9601" s="9" t="str">
        <f>IF(DADOS!E9601="","",DADOS!E9601)</f>
        <v/>
      </c>
      <c r="G9601" s="9" t="str">
        <f>IF(DADOS!F9601="","",DADOS!F9601)</f>
        <v/>
      </c>
      <c r="K9601" s="6" t="str">
        <f t="shared" si="750"/>
        <v/>
      </c>
      <c r="L9601" s="7" t="str">
        <f t="shared" si="751"/>
        <v/>
      </c>
      <c r="M9601" s="7" t="str">
        <f t="shared" si="748"/>
        <v/>
      </c>
      <c r="N9601" s="7" t="str">
        <f t="shared" si="752"/>
        <v/>
      </c>
      <c r="O9601" s="8"/>
      <c r="P9601" s="26"/>
      <c r="S9601" s="10" t="str">
        <f t="shared" si="749"/>
        <v/>
      </c>
    </row>
    <row r="9602" spans="5:19" x14ac:dyDescent="0.3">
      <c r="E9602" s="9" t="str">
        <f>IF(DADOS!C9602="","",DADOS!C9602)</f>
        <v/>
      </c>
      <c r="F9602" s="9" t="str">
        <f>IF(DADOS!E9602="","",DADOS!E9602)</f>
        <v/>
      </c>
      <c r="G9602" s="9" t="str">
        <f>IF(DADOS!F9602="","",DADOS!F9602)</f>
        <v/>
      </c>
      <c r="K9602" s="6" t="str">
        <f t="shared" si="750"/>
        <v/>
      </c>
      <c r="L9602" s="7" t="str">
        <f t="shared" si="751"/>
        <v/>
      </c>
      <c r="M9602" s="7" t="str">
        <f t="shared" si="748"/>
        <v/>
      </c>
      <c r="N9602" s="7" t="str">
        <f t="shared" si="752"/>
        <v/>
      </c>
      <c r="O9602" s="8"/>
      <c r="P9602" s="26"/>
      <c r="S9602" s="10" t="str">
        <f t="shared" si="749"/>
        <v/>
      </c>
    </row>
    <row r="9603" spans="5:19" x14ac:dyDescent="0.3">
      <c r="E9603" s="9" t="str">
        <f>IF(DADOS!C9603="","",DADOS!C9603)</f>
        <v/>
      </c>
      <c r="F9603" s="9" t="str">
        <f>IF(DADOS!E9603="","",DADOS!E9603)</f>
        <v/>
      </c>
      <c r="G9603" s="9" t="str">
        <f>IF(DADOS!F9603="","",DADOS!F9603)</f>
        <v/>
      </c>
      <c r="K9603" s="6" t="str">
        <f t="shared" si="750"/>
        <v/>
      </c>
      <c r="L9603" s="7" t="str">
        <f t="shared" si="751"/>
        <v/>
      </c>
      <c r="M9603" s="7" t="str">
        <f t="shared" ref="M9603:M9666" si="753">IF(L9603="","",L9603*G9603)</f>
        <v/>
      </c>
      <c r="N9603" s="7" t="str">
        <f t="shared" si="752"/>
        <v/>
      </c>
      <c r="O9603" s="8"/>
      <c r="P9603" s="26"/>
      <c r="S9603" s="10" t="str">
        <f t="shared" ref="S9603:S9666" si="754">IF(R9603="","",SUMIFS($N$3:$N$10000,$E$3:$E$10000,R9603))</f>
        <v/>
      </c>
    </row>
    <row r="9604" spans="5:19" x14ac:dyDescent="0.3">
      <c r="E9604" s="9" t="str">
        <f>IF(DADOS!C9604="","",DADOS!C9604)</f>
        <v/>
      </c>
      <c r="F9604" s="9" t="str">
        <f>IF(DADOS!E9604="","",DADOS!E9604)</f>
        <v/>
      </c>
      <c r="G9604" s="9" t="str">
        <f>IF(DADOS!F9604="","",DADOS!F9604)</f>
        <v/>
      </c>
      <c r="K9604" s="6" t="str">
        <f t="shared" ref="K9604:K9667" si="755">IF(F9604="","",F9604/PI())</f>
        <v/>
      </c>
      <c r="L9604" s="7" t="str">
        <f t="shared" ref="L9604:L9667" si="756">IF(K9604="","",(PI()*K9604^2)/40000)</f>
        <v/>
      </c>
      <c r="M9604" s="7" t="str">
        <f t="shared" si="753"/>
        <v/>
      </c>
      <c r="N9604" s="7" t="str">
        <f t="shared" ref="N9604:N9667" si="757">IF(M9604="","",M9604*N$1)</f>
        <v/>
      </c>
      <c r="O9604" s="8"/>
      <c r="P9604" s="26"/>
      <c r="S9604" s="10" t="str">
        <f t="shared" si="754"/>
        <v/>
      </c>
    </row>
    <row r="9605" spans="5:19" x14ac:dyDescent="0.3">
      <c r="E9605" s="9" t="str">
        <f>IF(DADOS!C9605="","",DADOS!C9605)</f>
        <v/>
      </c>
      <c r="F9605" s="9" t="str">
        <f>IF(DADOS!E9605="","",DADOS!E9605)</f>
        <v/>
      </c>
      <c r="G9605" s="9" t="str">
        <f>IF(DADOS!F9605="","",DADOS!F9605)</f>
        <v/>
      </c>
      <c r="K9605" s="6" t="str">
        <f t="shared" si="755"/>
        <v/>
      </c>
      <c r="L9605" s="7" t="str">
        <f t="shared" si="756"/>
        <v/>
      </c>
      <c r="M9605" s="7" t="str">
        <f t="shared" si="753"/>
        <v/>
      </c>
      <c r="N9605" s="7" t="str">
        <f t="shared" si="757"/>
        <v/>
      </c>
      <c r="O9605" s="8"/>
      <c r="P9605" s="26"/>
      <c r="S9605" s="10" t="str">
        <f t="shared" si="754"/>
        <v/>
      </c>
    </row>
    <row r="9606" spans="5:19" x14ac:dyDescent="0.3">
      <c r="E9606" s="9" t="str">
        <f>IF(DADOS!C9606="","",DADOS!C9606)</f>
        <v/>
      </c>
      <c r="F9606" s="9" t="str">
        <f>IF(DADOS!E9606="","",DADOS!E9606)</f>
        <v/>
      </c>
      <c r="G9606" s="9" t="str">
        <f>IF(DADOS!F9606="","",DADOS!F9606)</f>
        <v/>
      </c>
      <c r="K9606" s="6" t="str">
        <f t="shared" si="755"/>
        <v/>
      </c>
      <c r="L9606" s="7" t="str">
        <f t="shared" si="756"/>
        <v/>
      </c>
      <c r="M9606" s="7" t="str">
        <f t="shared" si="753"/>
        <v/>
      </c>
      <c r="N9606" s="7" t="str">
        <f t="shared" si="757"/>
        <v/>
      </c>
      <c r="O9606" s="8"/>
      <c r="P9606" s="26"/>
      <c r="S9606" s="10" t="str">
        <f t="shared" si="754"/>
        <v/>
      </c>
    </row>
    <row r="9607" spans="5:19" x14ac:dyDescent="0.3">
      <c r="E9607" s="9" t="str">
        <f>IF(DADOS!C9607="","",DADOS!C9607)</f>
        <v/>
      </c>
      <c r="F9607" s="9" t="str">
        <f>IF(DADOS!E9607="","",DADOS!E9607)</f>
        <v/>
      </c>
      <c r="G9607" s="9" t="str">
        <f>IF(DADOS!F9607="","",DADOS!F9607)</f>
        <v/>
      </c>
      <c r="K9607" s="6" t="str">
        <f t="shared" si="755"/>
        <v/>
      </c>
      <c r="L9607" s="7" t="str">
        <f t="shared" si="756"/>
        <v/>
      </c>
      <c r="M9607" s="7" t="str">
        <f t="shared" si="753"/>
        <v/>
      </c>
      <c r="N9607" s="7" t="str">
        <f t="shared" si="757"/>
        <v/>
      </c>
      <c r="O9607" s="8"/>
      <c r="P9607" s="26"/>
      <c r="S9607" s="10" t="str">
        <f t="shared" si="754"/>
        <v/>
      </c>
    </row>
    <row r="9608" spans="5:19" x14ac:dyDescent="0.3">
      <c r="E9608" s="9" t="str">
        <f>IF(DADOS!C9608="","",DADOS!C9608)</f>
        <v/>
      </c>
      <c r="F9608" s="9" t="str">
        <f>IF(DADOS!E9608="","",DADOS!E9608)</f>
        <v/>
      </c>
      <c r="G9608" s="9" t="str">
        <f>IF(DADOS!F9608="","",DADOS!F9608)</f>
        <v/>
      </c>
      <c r="K9608" s="6" t="str">
        <f t="shared" si="755"/>
        <v/>
      </c>
      <c r="L9608" s="7" t="str">
        <f t="shared" si="756"/>
        <v/>
      </c>
      <c r="M9608" s="7" t="str">
        <f t="shared" si="753"/>
        <v/>
      </c>
      <c r="N9608" s="7" t="str">
        <f t="shared" si="757"/>
        <v/>
      </c>
      <c r="O9608" s="8"/>
      <c r="P9608" s="26"/>
      <c r="S9608" s="10" t="str">
        <f t="shared" si="754"/>
        <v/>
      </c>
    </row>
    <row r="9609" spans="5:19" x14ac:dyDescent="0.3">
      <c r="E9609" s="9" t="str">
        <f>IF(DADOS!C9609="","",DADOS!C9609)</f>
        <v/>
      </c>
      <c r="F9609" s="9" t="str">
        <f>IF(DADOS!E9609="","",DADOS!E9609)</f>
        <v/>
      </c>
      <c r="G9609" s="9" t="str">
        <f>IF(DADOS!F9609="","",DADOS!F9609)</f>
        <v/>
      </c>
      <c r="K9609" s="6" t="str">
        <f t="shared" si="755"/>
        <v/>
      </c>
      <c r="L9609" s="7" t="str">
        <f t="shared" si="756"/>
        <v/>
      </c>
      <c r="M9609" s="7" t="str">
        <f t="shared" si="753"/>
        <v/>
      </c>
      <c r="N9609" s="7" t="str">
        <f t="shared" si="757"/>
        <v/>
      </c>
      <c r="O9609" s="8"/>
      <c r="P9609" s="26"/>
      <c r="S9609" s="10" t="str">
        <f t="shared" si="754"/>
        <v/>
      </c>
    </row>
    <row r="9610" spans="5:19" x14ac:dyDescent="0.3">
      <c r="E9610" s="9" t="str">
        <f>IF(DADOS!C9610="","",DADOS!C9610)</f>
        <v/>
      </c>
      <c r="F9610" s="9" t="str">
        <f>IF(DADOS!E9610="","",DADOS!E9610)</f>
        <v/>
      </c>
      <c r="G9610" s="9" t="str">
        <f>IF(DADOS!F9610="","",DADOS!F9610)</f>
        <v/>
      </c>
      <c r="K9610" s="6" t="str">
        <f t="shared" si="755"/>
        <v/>
      </c>
      <c r="L9610" s="7" t="str">
        <f t="shared" si="756"/>
        <v/>
      </c>
      <c r="M9610" s="7" t="str">
        <f t="shared" si="753"/>
        <v/>
      </c>
      <c r="N9610" s="7" t="str">
        <f t="shared" si="757"/>
        <v/>
      </c>
      <c r="O9610" s="8"/>
      <c r="P9610" s="26"/>
      <c r="S9610" s="10" t="str">
        <f t="shared" si="754"/>
        <v/>
      </c>
    </row>
    <row r="9611" spans="5:19" x14ac:dyDescent="0.3">
      <c r="E9611" s="9" t="str">
        <f>IF(DADOS!C9611="","",DADOS!C9611)</f>
        <v/>
      </c>
      <c r="F9611" s="9" t="str">
        <f>IF(DADOS!E9611="","",DADOS!E9611)</f>
        <v/>
      </c>
      <c r="G9611" s="9" t="str">
        <f>IF(DADOS!F9611="","",DADOS!F9611)</f>
        <v/>
      </c>
      <c r="K9611" s="6" t="str">
        <f t="shared" si="755"/>
        <v/>
      </c>
      <c r="L9611" s="7" t="str">
        <f t="shared" si="756"/>
        <v/>
      </c>
      <c r="M9611" s="7" t="str">
        <f t="shared" si="753"/>
        <v/>
      </c>
      <c r="N9611" s="7" t="str">
        <f t="shared" si="757"/>
        <v/>
      </c>
      <c r="O9611" s="8"/>
      <c r="P9611" s="26"/>
      <c r="S9611" s="10" t="str">
        <f t="shared" si="754"/>
        <v/>
      </c>
    </row>
    <row r="9612" spans="5:19" x14ac:dyDescent="0.3">
      <c r="E9612" s="9" t="str">
        <f>IF(DADOS!C9612="","",DADOS!C9612)</f>
        <v/>
      </c>
      <c r="F9612" s="9" t="str">
        <f>IF(DADOS!E9612="","",DADOS!E9612)</f>
        <v/>
      </c>
      <c r="G9612" s="9" t="str">
        <f>IF(DADOS!F9612="","",DADOS!F9612)</f>
        <v/>
      </c>
      <c r="K9612" s="6" t="str">
        <f t="shared" si="755"/>
        <v/>
      </c>
      <c r="L9612" s="7" t="str">
        <f t="shared" si="756"/>
        <v/>
      </c>
      <c r="M9612" s="7" t="str">
        <f t="shared" si="753"/>
        <v/>
      </c>
      <c r="N9612" s="7" t="str">
        <f t="shared" si="757"/>
        <v/>
      </c>
      <c r="O9612" s="8"/>
      <c r="P9612" s="26"/>
      <c r="S9612" s="10" t="str">
        <f t="shared" si="754"/>
        <v/>
      </c>
    </row>
    <row r="9613" spans="5:19" x14ac:dyDescent="0.3">
      <c r="E9613" s="9" t="str">
        <f>IF(DADOS!C9613="","",DADOS!C9613)</f>
        <v/>
      </c>
      <c r="F9613" s="9" t="str">
        <f>IF(DADOS!E9613="","",DADOS!E9613)</f>
        <v/>
      </c>
      <c r="G9613" s="9" t="str">
        <f>IF(DADOS!F9613="","",DADOS!F9613)</f>
        <v/>
      </c>
      <c r="K9613" s="6" t="str">
        <f t="shared" si="755"/>
        <v/>
      </c>
      <c r="L9613" s="7" t="str">
        <f t="shared" si="756"/>
        <v/>
      </c>
      <c r="M9613" s="7" t="str">
        <f t="shared" si="753"/>
        <v/>
      </c>
      <c r="N9613" s="7" t="str">
        <f t="shared" si="757"/>
        <v/>
      </c>
      <c r="O9613" s="8"/>
      <c r="P9613" s="26"/>
      <c r="S9613" s="10" t="str">
        <f t="shared" si="754"/>
        <v/>
      </c>
    </row>
    <row r="9614" spans="5:19" x14ac:dyDescent="0.3">
      <c r="E9614" s="9" t="str">
        <f>IF(DADOS!C9614="","",DADOS!C9614)</f>
        <v/>
      </c>
      <c r="F9614" s="9" t="str">
        <f>IF(DADOS!E9614="","",DADOS!E9614)</f>
        <v/>
      </c>
      <c r="G9614" s="9" t="str">
        <f>IF(DADOS!F9614="","",DADOS!F9614)</f>
        <v/>
      </c>
      <c r="K9614" s="6" t="str">
        <f t="shared" si="755"/>
        <v/>
      </c>
      <c r="L9614" s="7" t="str">
        <f t="shared" si="756"/>
        <v/>
      </c>
      <c r="M9614" s="7" t="str">
        <f t="shared" si="753"/>
        <v/>
      </c>
      <c r="N9614" s="7" t="str">
        <f t="shared" si="757"/>
        <v/>
      </c>
      <c r="O9614" s="8"/>
      <c r="P9614" s="26"/>
      <c r="S9614" s="10" t="str">
        <f t="shared" si="754"/>
        <v/>
      </c>
    </row>
    <row r="9615" spans="5:19" x14ac:dyDescent="0.3">
      <c r="E9615" s="9" t="str">
        <f>IF(DADOS!C9615="","",DADOS!C9615)</f>
        <v/>
      </c>
      <c r="F9615" s="9" t="str">
        <f>IF(DADOS!E9615="","",DADOS!E9615)</f>
        <v/>
      </c>
      <c r="G9615" s="9" t="str">
        <f>IF(DADOS!F9615="","",DADOS!F9615)</f>
        <v/>
      </c>
      <c r="K9615" s="6" t="str">
        <f t="shared" si="755"/>
        <v/>
      </c>
      <c r="L9615" s="7" t="str">
        <f t="shared" si="756"/>
        <v/>
      </c>
      <c r="M9615" s="7" t="str">
        <f t="shared" si="753"/>
        <v/>
      </c>
      <c r="N9615" s="7" t="str">
        <f t="shared" si="757"/>
        <v/>
      </c>
      <c r="O9615" s="8"/>
      <c r="P9615" s="26"/>
      <c r="S9615" s="10" t="str">
        <f t="shared" si="754"/>
        <v/>
      </c>
    </row>
    <row r="9616" spans="5:19" x14ac:dyDescent="0.3">
      <c r="E9616" s="9" t="str">
        <f>IF(DADOS!C9616="","",DADOS!C9616)</f>
        <v/>
      </c>
      <c r="F9616" s="9" t="str">
        <f>IF(DADOS!E9616="","",DADOS!E9616)</f>
        <v/>
      </c>
      <c r="G9616" s="9" t="str">
        <f>IF(DADOS!F9616="","",DADOS!F9616)</f>
        <v/>
      </c>
      <c r="K9616" s="6" t="str">
        <f t="shared" si="755"/>
        <v/>
      </c>
      <c r="L9616" s="7" t="str">
        <f t="shared" si="756"/>
        <v/>
      </c>
      <c r="M9616" s="7" t="str">
        <f t="shared" si="753"/>
        <v/>
      </c>
      <c r="N9616" s="7" t="str">
        <f t="shared" si="757"/>
        <v/>
      </c>
      <c r="O9616" s="8"/>
      <c r="P9616" s="26"/>
      <c r="S9616" s="10" t="str">
        <f t="shared" si="754"/>
        <v/>
      </c>
    </row>
    <row r="9617" spans="5:19" x14ac:dyDescent="0.3">
      <c r="E9617" s="9" t="str">
        <f>IF(DADOS!C9617="","",DADOS!C9617)</f>
        <v/>
      </c>
      <c r="F9617" s="9" t="str">
        <f>IF(DADOS!E9617="","",DADOS!E9617)</f>
        <v/>
      </c>
      <c r="G9617" s="9" t="str">
        <f>IF(DADOS!F9617="","",DADOS!F9617)</f>
        <v/>
      </c>
      <c r="K9617" s="6" t="str">
        <f t="shared" si="755"/>
        <v/>
      </c>
      <c r="L9617" s="7" t="str">
        <f t="shared" si="756"/>
        <v/>
      </c>
      <c r="M9617" s="7" t="str">
        <f t="shared" si="753"/>
        <v/>
      </c>
      <c r="N9617" s="7" t="str">
        <f t="shared" si="757"/>
        <v/>
      </c>
      <c r="O9617" s="8"/>
      <c r="P9617" s="26"/>
      <c r="S9617" s="10" t="str">
        <f t="shared" si="754"/>
        <v/>
      </c>
    </row>
    <row r="9618" spans="5:19" x14ac:dyDescent="0.3">
      <c r="E9618" s="9" t="str">
        <f>IF(DADOS!C9618="","",DADOS!C9618)</f>
        <v/>
      </c>
      <c r="F9618" s="9" t="str">
        <f>IF(DADOS!E9618="","",DADOS!E9618)</f>
        <v/>
      </c>
      <c r="G9618" s="9" t="str">
        <f>IF(DADOS!F9618="","",DADOS!F9618)</f>
        <v/>
      </c>
      <c r="K9618" s="6" t="str">
        <f t="shared" si="755"/>
        <v/>
      </c>
      <c r="L9618" s="7" t="str">
        <f t="shared" si="756"/>
        <v/>
      </c>
      <c r="M9618" s="7" t="str">
        <f t="shared" si="753"/>
        <v/>
      </c>
      <c r="N9618" s="7" t="str">
        <f t="shared" si="757"/>
        <v/>
      </c>
      <c r="O9618" s="8"/>
      <c r="P9618" s="26"/>
      <c r="S9618" s="10" t="str">
        <f t="shared" si="754"/>
        <v/>
      </c>
    </row>
    <row r="9619" spans="5:19" x14ac:dyDescent="0.3">
      <c r="E9619" s="9" t="str">
        <f>IF(DADOS!C9619="","",DADOS!C9619)</f>
        <v/>
      </c>
      <c r="F9619" s="9" t="str">
        <f>IF(DADOS!E9619="","",DADOS!E9619)</f>
        <v/>
      </c>
      <c r="G9619" s="9" t="str">
        <f>IF(DADOS!F9619="","",DADOS!F9619)</f>
        <v/>
      </c>
      <c r="K9619" s="6" t="str">
        <f t="shared" si="755"/>
        <v/>
      </c>
      <c r="L9619" s="7" t="str">
        <f t="shared" si="756"/>
        <v/>
      </c>
      <c r="M9619" s="7" t="str">
        <f t="shared" si="753"/>
        <v/>
      </c>
      <c r="N9619" s="7" t="str">
        <f t="shared" si="757"/>
        <v/>
      </c>
      <c r="O9619" s="8"/>
      <c r="P9619" s="26"/>
      <c r="S9619" s="10" t="str">
        <f t="shared" si="754"/>
        <v/>
      </c>
    </row>
    <row r="9620" spans="5:19" x14ac:dyDescent="0.3">
      <c r="E9620" s="9" t="str">
        <f>IF(DADOS!C9620="","",DADOS!C9620)</f>
        <v/>
      </c>
      <c r="F9620" s="9" t="str">
        <f>IF(DADOS!E9620="","",DADOS!E9620)</f>
        <v/>
      </c>
      <c r="G9620" s="9" t="str">
        <f>IF(DADOS!F9620="","",DADOS!F9620)</f>
        <v/>
      </c>
      <c r="K9620" s="6" t="str">
        <f t="shared" si="755"/>
        <v/>
      </c>
      <c r="L9620" s="7" t="str">
        <f t="shared" si="756"/>
        <v/>
      </c>
      <c r="M9620" s="7" t="str">
        <f t="shared" si="753"/>
        <v/>
      </c>
      <c r="N9620" s="7" t="str">
        <f t="shared" si="757"/>
        <v/>
      </c>
      <c r="O9620" s="8"/>
      <c r="P9620" s="26"/>
      <c r="S9620" s="10" t="str">
        <f t="shared" si="754"/>
        <v/>
      </c>
    </row>
    <row r="9621" spans="5:19" x14ac:dyDescent="0.3">
      <c r="E9621" s="9" t="str">
        <f>IF(DADOS!C9621="","",DADOS!C9621)</f>
        <v/>
      </c>
      <c r="F9621" s="9" t="str">
        <f>IF(DADOS!E9621="","",DADOS!E9621)</f>
        <v/>
      </c>
      <c r="G9621" s="9" t="str">
        <f>IF(DADOS!F9621="","",DADOS!F9621)</f>
        <v/>
      </c>
      <c r="K9621" s="6" t="str">
        <f t="shared" si="755"/>
        <v/>
      </c>
      <c r="L9621" s="7" t="str">
        <f t="shared" si="756"/>
        <v/>
      </c>
      <c r="M9621" s="7" t="str">
        <f t="shared" si="753"/>
        <v/>
      </c>
      <c r="N9621" s="7" t="str">
        <f t="shared" si="757"/>
        <v/>
      </c>
      <c r="O9621" s="8"/>
      <c r="P9621" s="26"/>
      <c r="S9621" s="10" t="str">
        <f t="shared" si="754"/>
        <v/>
      </c>
    </row>
    <row r="9622" spans="5:19" x14ac:dyDescent="0.3">
      <c r="E9622" s="9" t="str">
        <f>IF(DADOS!C9622="","",DADOS!C9622)</f>
        <v/>
      </c>
      <c r="F9622" s="9" t="str">
        <f>IF(DADOS!E9622="","",DADOS!E9622)</f>
        <v/>
      </c>
      <c r="G9622" s="9" t="str">
        <f>IF(DADOS!F9622="","",DADOS!F9622)</f>
        <v/>
      </c>
      <c r="K9622" s="6" t="str">
        <f t="shared" si="755"/>
        <v/>
      </c>
      <c r="L9622" s="7" t="str">
        <f t="shared" si="756"/>
        <v/>
      </c>
      <c r="M9622" s="7" t="str">
        <f t="shared" si="753"/>
        <v/>
      </c>
      <c r="N9622" s="7" t="str">
        <f t="shared" si="757"/>
        <v/>
      </c>
      <c r="O9622" s="8"/>
      <c r="P9622" s="26"/>
      <c r="S9622" s="10" t="str">
        <f t="shared" si="754"/>
        <v/>
      </c>
    </row>
    <row r="9623" spans="5:19" x14ac:dyDescent="0.3">
      <c r="E9623" s="9" t="str">
        <f>IF(DADOS!C9623="","",DADOS!C9623)</f>
        <v/>
      </c>
      <c r="F9623" s="9" t="str">
        <f>IF(DADOS!E9623="","",DADOS!E9623)</f>
        <v/>
      </c>
      <c r="G9623" s="9" t="str">
        <f>IF(DADOS!F9623="","",DADOS!F9623)</f>
        <v/>
      </c>
      <c r="K9623" s="6" t="str">
        <f t="shared" si="755"/>
        <v/>
      </c>
      <c r="L9623" s="7" t="str">
        <f t="shared" si="756"/>
        <v/>
      </c>
      <c r="M9623" s="7" t="str">
        <f t="shared" si="753"/>
        <v/>
      </c>
      <c r="N9623" s="7" t="str">
        <f t="shared" si="757"/>
        <v/>
      </c>
      <c r="O9623" s="8"/>
      <c r="P9623" s="26"/>
      <c r="S9623" s="10" t="str">
        <f t="shared" si="754"/>
        <v/>
      </c>
    </row>
    <row r="9624" spans="5:19" x14ac:dyDescent="0.3">
      <c r="E9624" s="9" t="str">
        <f>IF(DADOS!C9624="","",DADOS!C9624)</f>
        <v/>
      </c>
      <c r="F9624" s="9" t="str">
        <f>IF(DADOS!E9624="","",DADOS!E9624)</f>
        <v/>
      </c>
      <c r="G9624" s="9" t="str">
        <f>IF(DADOS!F9624="","",DADOS!F9624)</f>
        <v/>
      </c>
      <c r="K9624" s="6" t="str">
        <f t="shared" si="755"/>
        <v/>
      </c>
      <c r="L9624" s="7" t="str">
        <f t="shared" si="756"/>
        <v/>
      </c>
      <c r="M9624" s="7" t="str">
        <f t="shared" si="753"/>
        <v/>
      </c>
      <c r="N9624" s="7" t="str">
        <f t="shared" si="757"/>
        <v/>
      </c>
      <c r="O9624" s="8"/>
      <c r="P9624" s="26"/>
      <c r="S9624" s="10" t="str">
        <f t="shared" si="754"/>
        <v/>
      </c>
    </row>
    <row r="9625" spans="5:19" x14ac:dyDescent="0.3">
      <c r="E9625" s="9" t="str">
        <f>IF(DADOS!C9625="","",DADOS!C9625)</f>
        <v/>
      </c>
      <c r="F9625" s="9" t="str">
        <f>IF(DADOS!E9625="","",DADOS!E9625)</f>
        <v/>
      </c>
      <c r="G9625" s="9" t="str">
        <f>IF(DADOS!F9625="","",DADOS!F9625)</f>
        <v/>
      </c>
      <c r="K9625" s="6" t="str">
        <f t="shared" si="755"/>
        <v/>
      </c>
      <c r="L9625" s="7" t="str">
        <f t="shared" si="756"/>
        <v/>
      </c>
      <c r="M9625" s="7" t="str">
        <f t="shared" si="753"/>
        <v/>
      </c>
      <c r="N9625" s="7" t="str">
        <f t="shared" si="757"/>
        <v/>
      </c>
      <c r="O9625" s="8"/>
      <c r="P9625" s="26"/>
      <c r="S9625" s="10" t="str">
        <f t="shared" si="754"/>
        <v/>
      </c>
    </row>
    <row r="9626" spans="5:19" x14ac:dyDescent="0.3">
      <c r="E9626" s="9" t="str">
        <f>IF(DADOS!C9626="","",DADOS!C9626)</f>
        <v/>
      </c>
      <c r="F9626" s="9" t="str">
        <f>IF(DADOS!E9626="","",DADOS!E9626)</f>
        <v/>
      </c>
      <c r="G9626" s="9" t="str">
        <f>IF(DADOS!F9626="","",DADOS!F9626)</f>
        <v/>
      </c>
      <c r="K9626" s="6" t="str">
        <f t="shared" si="755"/>
        <v/>
      </c>
      <c r="L9626" s="7" t="str">
        <f t="shared" si="756"/>
        <v/>
      </c>
      <c r="M9626" s="7" t="str">
        <f t="shared" si="753"/>
        <v/>
      </c>
      <c r="N9626" s="7" t="str">
        <f t="shared" si="757"/>
        <v/>
      </c>
      <c r="O9626" s="8"/>
      <c r="P9626" s="26"/>
      <c r="S9626" s="10" t="str">
        <f t="shared" si="754"/>
        <v/>
      </c>
    </row>
    <row r="9627" spans="5:19" x14ac:dyDescent="0.3">
      <c r="E9627" s="9" t="str">
        <f>IF(DADOS!C9627="","",DADOS!C9627)</f>
        <v/>
      </c>
      <c r="F9627" s="9" t="str">
        <f>IF(DADOS!E9627="","",DADOS!E9627)</f>
        <v/>
      </c>
      <c r="G9627" s="9" t="str">
        <f>IF(DADOS!F9627="","",DADOS!F9627)</f>
        <v/>
      </c>
      <c r="K9627" s="6" t="str">
        <f t="shared" si="755"/>
        <v/>
      </c>
      <c r="L9627" s="7" t="str">
        <f t="shared" si="756"/>
        <v/>
      </c>
      <c r="M9627" s="7" t="str">
        <f t="shared" si="753"/>
        <v/>
      </c>
      <c r="N9627" s="7" t="str">
        <f t="shared" si="757"/>
        <v/>
      </c>
      <c r="O9627" s="8"/>
      <c r="P9627" s="26"/>
      <c r="S9627" s="10" t="str">
        <f t="shared" si="754"/>
        <v/>
      </c>
    </row>
    <row r="9628" spans="5:19" x14ac:dyDescent="0.3">
      <c r="E9628" s="9" t="str">
        <f>IF(DADOS!C9628="","",DADOS!C9628)</f>
        <v/>
      </c>
      <c r="F9628" s="9" t="str">
        <f>IF(DADOS!E9628="","",DADOS!E9628)</f>
        <v/>
      </c>
      <c r="G9628" s="9" t="str">
        <f>IF(DADOS!F9628="","",DADOS!F9628)</f>
        <v/>
      </c>
      <c r="K9628" s="6" t="str">
        <f t="shared" si="755"/>
        <v/>
      </c>
      <c r="L9628" s="7" t="str">
        <f t="shared" si="756"/>
        <v/>
      </c>
      <c r="M9628" s="7" t="str">
        <f t="shared" si="753"/>
        <v/>
      </c>
      <c r="N9628" s="7" t="str">
        <f t="shared" si="757"/>
        <v/>
      </c>
      <c r="O9628" s="8"/>
      <c r="P9628" s="26"/>
      <c r="S9628" s="10" t="str">
        <f t="shared" si="754"/>
        <v/>
      </c>
    </row>
    <row r="9629" spans="5:19" x14ac:dyDescent="0.3">
      <c r="E9629" s="9" t="str">
        <f>IF(DADOS!C9629="","",DADOS!C9629)</f>
        <v/>
      </c>
      <c r="F9629" s="9" t="str">
        <f>IF(DADOS!E9629="","",DADOS!E9629)</f>
        <v/>
      </c>
      <c r="G9629" s="9" t="str">
        <f>IF(DADOS!F9629="","",DADOS!F9629)</f>
        <v/>
      </c>
      <c r="K9629" s="6" t="str">
        <f t="shared" si="755"/>
        <v/>
      </c>
      <c r="L9629" s="7" t="str">
        <f t="shared" si="756"/>
        <v/>
      </c>
      <c r="M9629" s="7" t="str">
        <f t="shared" si="753"/>
        <v/>
      </c>
      <c r="N9629" s="7" t="str">
        <f t="shared" si="757"/>
        <v/>
      </c>
      <c r="O9629" s="8"/>
      <c r="P9629" s="26"/>
      <c r="S9629" s="10" t="str">
        <f t="shared" si="754"/>
        <v/>
      </c>
    </row>
    <row r="9630" spans="5:19" x14ac:dyDescent="0.3">
      <c r="E9630" s="9" t="str">
        <f>IF(DADOS!C9630="","",DADOS!C9630)</f>
        <v/>
      </c>
      <c r="F9630" s="9" t="str">
        <f>IF(DADOS!E9630="","",DADOS!E9630)</f>
        <v/>
      </c>
      <c r="G9630" s="9" t="str">
        <f>IF(DADOS!F9630="","",DADOS!F9630)</f>
        <v/>
      </c>
      <c r="K9630" s="6" t="str">
        <f t="shared" si="755"/>
        <v/>
      </c>
      <c r="L9630" s="7" t="str">
        <f t="shared" si="756"/>
        <v/>
      </c>
      <c r="M9630" s="7" t="str">
        <f t="shared" si="753"/>
        <v/>
      </c>
      <c r="N9630" s="7" t="str">
        <f t="shared" si="757"/>
        <v/>
      </c>
      <c r="O9630" s="8"/>
      <c r="P9630" s="26"/>
      <c r="S9630" s="10" t="str">
        <f t="shared" si="754"/>
        <v/>
      </c>
    </row>
    <row r="9631" spans="5:19" x14ac:dyDescent="0.3">
      <c r="E9631" s="9" t="str">
        <f>IF(DADOS!C9631="","",DADOS!C9631)</f>
        <v/>
      </c>
      <c r="F9631" s="9" t="str">
        <f>IF(DADOS!E9631="","",DADOS!E9631)</f>
        <v/>
      </c>
      <c r="G9631" s="9" t="str">
        <f>IF(DADOS!F9631="","",DADOS!F9631)</f>
        <v/>
      </c>
      <c r="K9631" s="6" t="str">
        <f t="shared" si="755"/>
        <v/>
      </c>
      <c r="L9631" s="7" t="str">
        <f t="shared" si="756"/>
        <v/>
      </c>
      <c r="M9631" s="7" t="str">
        <f t="shared" si="753"/>
        <v/>
      </c>
      <c r="N9631" s="7" t="str">
        <f t="shared" si="757"/>
        <v/>
      </c>
      <c r="O9631" s="8"/>
      <c r="P9631" s="26"/>
      <c r="S9631" s="10" t="str">
        <f t="shared" si="754"/>
        <v/>
      </c>
    </row>
    <row r="9632" spans="5:19" x14ac:dyDescent="0.3">
      <c r="E9632" s="9" t="str">
        <f>IF(DADOS!C9632="","",DADOS!C9632)</f>
        <v/>
      </c>
      <c r="F9632" s="9" t="str">
        <f>IF(DADOS!E9632="","",DADOS!E9632)</f>
        <v/>
      </c>
      <c r="G9632" s="9" t="str">
        <f>IF(DADOS!F9632="","",DADOS!F9632)</f>
        <v/>
      </c>
      <c r="K9632" s="6" t="str">
        <f t="shared" si="755"/>
        <v/>
      </c>
      <c r="L9632" s="7" t="str">
        <f t="shared" si="756"/>
        <v/>
      </c>
      <c r="M9632" s="7" t="str">
        <f t="shared" si="753"/>
        <v/>
      </c>
      <c r="N9632" s="7" t="str">
        <f t="shared" si="757"/>
        <v/>
      </c>
      <c r="O9632" s="8"/>
      <c r="P9632" s="26"/>
      <c r="S9632" s="10" t="str">
        <f t="shared" si="754"/>
        <v/>
      </c>
    </row>
    <row r="9633" spans="5:19" x14ac:dyDescent="0.3">
      <c r="E9633" s="9" t="str">
        <f>IF(DADOS!C9633="","",DADOS!C9633)</f>
        <v/>
      </c>
      <c r="F9633" s="9" t="str">
        <f>IF(DADOS!E9633="","",DADOS!E9633)</f>
        <v/>
      </c>
      <c r="G9633" s="9" t="str">
        <f>IF(DADOS!F9633="","",DADOS!F9633)</f>
        <v/>
      </c>
      <c r="K9633" s="6" t="str">
        <f t="shared" si="755"/>
        <v/>
      </c>
      <c r="L9633" s="7" t="str">
        <f t="shared" si="756"/>
        <v/>
      </c>
      <c r="M9633" s="7" t="str">
        <f t="shared" si="753"/>
        <v/>
      </c>
      <c r="N9633" s="7" t="str">
        <f t="shared" si="757"/>
        <v/>
      </c>
      <c r="O9633" s="8"/>
      <c r="P9633" s="26"/>
      <c r="S9633" s="10" t="str">
        <f t="shared" si="754"/>
        <v/>
      </c>
    </row>
    <row r="9634" spans="5:19" x14ac:dyDescent="0.3">
      <c r="E9634" s="9" t="str">
        <f>IF(DADOS!C9634="","",DADOS!C9634)</f>
        <v/>
      </c>
      <c r="F9634" s="9" t="str">
        <f>IF(DADOS!E9634="","",DADOS!E9634)</f>
        <v/>
      </c>
      <c r="G9634" s="9" t="str">
        <f>IF(DADOS!F9634="","",DADOS!F9634)</f>
        <v/>
      </c>
      <c r="K9634" s="6" t="str">
        <f t="shared" si="755"/>
        <v/>
      </c>
      <c r="L9634" s="7" t="str">
        <f t="shared" si="756"/>
        <v/>
      </c>
      <c r="M9634" s="7" t="str">
        <f t="shared" si="753"/>
        <v/>
      </c>
      <c r="N9634" s="7" t="str">
        <f t="shared" si="757"/>
        <v/>
      </c>
      <c r="O9634" s="8"/>
      <c r="P9634" s="26"/>
      <c r="S9634" s="10" t="str">
        <f t="shared" si="754"/>
        <v/>
      </c>
    </row>
    <row r="9635" spans="5:19" x14ac:dyDescent="0.3">
      <c r="E9635" s="9" t="str">
        <f>IF(DADOS!C9635="","",DADOS!C9635)</f>
        <v/>
      </c>
      <c r="F9635" s="9" t="str">
        <f>IF(DADOS!E9635="","",DADOS!E9635)</f>
        <v/>
      </c>
      <c r="G9635" s="9" t="str">
        <f>IF(DADOS!F9635="","",DADOS!F9635)</f>
        <v/>
      </c>
      <c r="K9635" s="6" t="str">
        <f t="shared" si="755"/>
        <v/>
      </c>
      <c r="L9635" s="7" t="str">
        <f t="shared" si="756"/>
        <v/>
      </c>
      <c r="M9635" s="7" t="str">
        <f t="shared" si="753"/>
        <v/>
      </c>
      <c r="N9635" s="7" t="str">
        <f t="shared" si="757"/>
        <v/>
      </c>
      <c r="O9635" s="8"/>
      <c r="P9635" s="26"/>
      <c r="S9635" s="10" t="str">
        <f t="shared" si="754"/>
        <v/>
      </c>
    </row>
    <row r="9636" spans="5:19" x14ac:dyDescent="0.3">
      <c r="E9636" s="9" t="str">
        <f>IF(DADOS!C9636="","",DADOS!C9636)</f>
        <v/>
      </c>
      <c r="F9636" s="9" t="str">
        <f>IF(DADOS!E9636="","",DADOS!E9636)</f>
        <v/>
      </c>
      <c r="G9636" s="9" t="str">
        <f>IF(DADOS!F9636="","",DADOS!F9636)</f>
        <v/>
      </c>
      <c r="K9636" s="6" t="str">
        <f t="shared" si="755"/>
        <v/>
      </c>
      <c r="L9636" s="7" t="str">
        <f t="shared" si="756"/>
        <v/>
      </c>
      <c r="M9636" s="7" t="str">
        <f t="shared" si="753"/>
        <v/>
      </c>
      <c r="N9636" s="7" t="str">
        <f t="shared" si="757"/>
        <v/>
      </c>
      <c r="O9636" s="8"/>
      <c r="P9636" s="26"/>
      <c r="S9636" s="10" t="str">
        <f t="shared" si="754"/>
        <v/>
      </c>
    </row>
    <row r="9637" spans="5:19" x14ac:dyDescent="0.3">
      <c r="E9637" s="9" t="str">
        <f>IF(DADOS!C9637="","",DADOS!C9637)</f>
        <v/>
      </c>
      <c r="F9637" s="9" t="str">
        <f>IF(DADOS!E9637="","",DADOS!E9637)</f>
        <v/>
      </c>
      <c r="G9637" s="9" t="str">
        <f>IF(DADOS!F9637="","",DADOS!F9637)</f>
        <v/>
      </c>
      <c r="K9637" s="6" t="str">
        <f t="shared" si="755"/>
        <v/>
      </c>
      <c r="L9637" s="7" t="str">
        <f t="shared" si="756"/>
        <v/>
      </c>
      <c r="M9637" s="7" t="str">
        <f t="shared" si="753"/>
        <v/>
      </c>
      <c r="N9637" s="7" t="str">
        <f t="shared" si="757"/>
        <v/>
      </c>
      <c r="O9637" s="8"/>
      <c r="P9637" s="26"/>
      <c r="S9637" s="10" t="str">
        <f t="shared" si="754"/>
        <v/>
      </c>
    </row>
    <row r="9638" spans="5:19" x14ac:dyDescent="0.3">
      <c r="E9638" s="9" t="str">
        <f>IF(DADOS!C9638="","",DADOS!C9638)</f>
        <v/>
      </c>
      <c r="F9638" s="9" t="str">
        <f>IF(DADOS!E9638="","",DADOS!E9638)</f>
        <v/>
      </c>
      <c r="G9638" s="9" t="str">
        <f>IF(DADOS!F9638="","",DADOS!F9638)</f>
        <v/>
      </c>
      <c r="K9638" s="6" t="str">
        <f t="shared" si="755"/>
        <v/>
      </c>
      <c r="L9638" s="7" t="str">
        <f t="shared" si="756"/>
        <v/>
      </c>
      <c r="M9638" s="7" t="str">
        <f t="shared" si="753"/>
        <v/>
      </c>
      <c r="N9638" s="7" t="str">
        <f t="shared" si="757"/>
        <v/>
      </c>
      <c r="O9638" s="8"/>
      <c r="P9638" s="26"/>
      <c r="S9638" s="10" t="str">
        <f t="shared" si="754"/>
        <v/>
      </c>
    </row>
    <row r="9639" spans="5:19" x14ac:dyDescent="0.3">
      <c r="E9639" s="9" t="str">
        <f>IF(DADOS!C9639="","",DADOS!C9639)</f>
        <v/>
      </c>
      <c r="F9639" s="9" t="str">
        <f>IF(DADOS!E9639="","",DADOS!E9639)</f>
        <v/>
      </c>
      <c r="G9639" s="9" t="str">
        <f>IF(DADOS!F9639="","",DADOS!F9639)</f>
        <v/>
      </c>
      <c r="K9639" s="6" t="str">
        <f t="shared" si="755"/>
        <v/>
      </c>
      <c r="L9639" s="7" t="str">
        <f t="shared" si="756"/>
        <v/>
      </c>
      <c r="M9639" s="7" t="str">
        <f t="shared" si="753"/>
        <v/>
      </c>
      <c r="N9639" s="7" t="str">
        <f t="shared" si="757"/>
        <v/>
      </c>
      <c r="O9639" s="8"/>
      <c r="P9639" s="26"/>
      <c r="S9639" s="10" t="str">
        <f t="shared" si="754"/>
        <v/>
      </c>
    </row>
    <row r="9640" spans="5:19" x14ac:dyDescent="0.3">
      <c r="E9640" s="9" t="str">
        <f>IF(DADOS!C9640="","",DADOS!C9640)</f>
        <v/>
      </c>
      <c r="F9640" s="9" t="str">
        <f>IF(DADOS!E9640="","",DADOS!E9640)</f>
        <v/>
      </c>
      <c r="G9640" s="9" t="str">
        <f>IF(DADOS!F9640="","",DADOS!F9640)</f>
        <v/>
      </c>
      <c r="K9640" s="6" t="str">
        <f t="shared" si="755"/>
        <v/>
      </c>
      <c r="L9640" s="7" t="str">
        <f t="shared" si="756"/>
        <v/>
      </c>
      <c r="M9640" s="7" t="str">
        <f t="shared" si="753"/>
        <v/>
      </c>
      <c r="N9640" s="7" t="str">
        <f t="shared" si="757"/>
        <v/>
      </c>
      <c r="O9640" s="8"/>
      <c r="P9640" s="26"/>
      <c r="S9640" s="10" t="str">
        <f t="shared" si="754"/>
        <v/>
      </c>
    </row>
    <row r="9641" spans="5:19" x14ac:dyDescent="0.3">
      <c r="E9641" s="9" t="str">
        <f>IF(DADOS!C9641="","",DADOS!C9641)</f>
        <v/>
      </c>
      <c r="F9641" s="9" t="str">
        <f>IF(DADOS!E9641="","",DADOS!E9641)</f>
        <v/>
      </c>
      <c r="G9641" s="9" t="str">
        <f>IF(DADOS!F9641="","",DADOS!F9641)</f>
        <v/>
      </c>
      <c r="K9641" s="6" t="str">
        <f t="shared" si="755"/>
        <v/>
      </c>
      <c r="L9641" s="7" t="str">
        <f t="shared" si="756"/>
        <v/>
      </c>
      <c r="M9641" s="7" t="str">
        <f t="shared" si="753"/>
        <v/>
      </c>
      <c r="N9641" s="7" t="str">
        <f t="shared" si="757"/>
        <v/>
      </c>
      <c r="O9641" s="8"/>
      <c r="P9641" s="26"/>
      <c r="S9641" s="10" t="str">
        <f t="shared" si="754"/>
        <v/>
      </c>
    </row>
    <row r="9642" spans="5:19" x14ac:dyDescent="0.3">
      <c r="E9642" s="9" t="str">
        <f>IF(DADOS!C9642="","",DADOS!C9642)</f>
        <v/>
      </c>
      <c r="F9642" s="9" t="str">
        <f>IF(DADOS!E9642="","",DADOS!E9642)</f>
        <v/>
      </c>
      <c r="G9642" s="9" t="str">
        <f>IF(DADOS!F9642="","",DADOS!F9642)</f>
        <v/>
      </c>
      <c r="K9642" s="6" t="str">
        <f t="shared" si="755"/>
        <v/>
      </c>
      <c r="L9642" s="7" t="str">
        <f t="shared" si="756"/>
        <v/>
      </c>
      <c r="M9642" s="7" t="str">
        <f t="shared" si="753"/>
        <v/>
      </c>
      <c r="N9642" s="7" t="str">
        <f t="shared" si="757"/>
        <v/>
      </c>
      <c r="O9642" s="8"/>
      <c r="P9642" s="26"/>
      <c r="S9642" s="10" t="str">
        <f t="shared" si="754"/>
        <v/>
      </c>
    </row>
    <row r="9643" spans="5:19" x14ac:dyDescent="0.3">
      <c r="E9643" s="9" t="str">
        <f>IF(DADOS!C9643="","",DADOS!C9643)</f>
        <v/>
      </c>
      <c r="F9643" s="9" t="str">
        <f>IF(DADOS!E9643="","",DADOS!E9643)</f>
        <v/>
      </c>
      <c r="G9643" s="9" t="str">
        <f>IF(DADOS!F9643="","",DADOS!F9643)</f>
        <v/>
      </c>
      <c r="K9643" s="6" t="str">
        <f t="shared" si="755"/>
        <v/>
      </c>
      <c r="L9643" s="7" t="str">
        <f t="shared" si="756"/>
        <v/>
      </c>
      <c r="M9643" s="7" t="str">
        <f t="shared" si="753"/>
        <v/>
      </c>
      <c r="N9643" s="7" t="str">
        <f t="shared" si="757"/>
        <v/>
      </c>
      <c r="O9643" s="8"/>
      <c r="P9643" s="26"/>
      <c r="S9643" s="10" t="str">
        <f t="shared" si="754"/>
        <v/>
      </c>
    </row>
    <row r="9644" spans="5:19" x14ac:dyDescent="0.3">
      <c r="E9644" s="9" t="str">
        <f>IF(DADOS!C9644="","",DADOS!C9644)</f>
        <v/>
      </c>
      <c r="F9644" s="9" t="str">
        <f>IF(DADOS!E9644="","",DADOS!E9644)</f>
        <v/>
      </c>
      <c r="G9644" s="9" t="str">
        <f>IF(DADOS!F9644="","",DADOS!F9644)</f>
        <v/>
      </c>
      <c r="K9644" s="6" t="str">
        <f t="shared" si="755"/>
        <v/>
      </c>
      <c r="L9644" s="7" t="str">
        <f t="shared" si="756"/>
        <v/>
      </c>
      <c r="M9644" s="7" t="str">
        <f t="shared" si="753"/>
        <v/>
      </c>
      <c r="N9644" s="7" t="str">
        <f t="shared" si="757"/>
        <v/>
      </c>
      <c r="O9644" s="8"/>
      <c r="P9644" s="26"/>
      <c r="S9644" s="10" t="str">
        <f t="shared" si="754"/>
        <v/>
      </c>
    </row>
    <row r="9645" spans="5:19" x14ac:dyDescent="0.3">
      <c r="E9645" s="9" t="str">
        <f>IF(DADOS!C9645="","",DADOS!C9645)</f>
        <v/>
      </c>
      <c r="F9645" s="9" t="str">
        <f>IF(DADOS!E9645="","",DADOS!E9645)</f>
        <v/>
      </c>
      <c r="G9645" s="9" t="str">
        <f>IF(DADOS!F9645="","",DADOS!F9645)</f>
        <v/>
      </c>
      <c r="K9645" s="6" t="str">
        <f t="shared" si="755"/>
        <v/>
      </c>
      <c r="L9645" s="7" t="str">
        <f t="shared" si="756"/>
        <v/>
      </c>
      <c r="M9645" s="7" t="str">
        <f t="shared" si="753"/>
        <v/>
      </c>
      <c r="N9645" s="7" t="str">
        <f t="shared" si="757"/>
        <v/>
      </c>
      <c r="O9645" s="8"/>
      <c r="P9645" s="26"/>
      <c r="S9645" s="10" t="str">
        <f t="shared" si="754"/>
        <v/>
      </c>
    </row>
    <row r="9646" spans="5:19" x14ac:dyDescent="0.3">
      <c r="E9646" s="9" t="str">
        <f>IF(DADOS!C9646="","",DADOS!C9646)</f>
        <v/>
      </c>
      <c r="F9646" s="9" t="str">
        <f>IF(DADOS!E9646="","",DADOS!E9646)</f>
        <v/>
      </c>
      <c r="G9646" s="9" t="str">
        <f>IF(DADOS!F9646="","",DADOS!F9646)</f>
        <v/>
      </c>
      <c r="K9646" s="6" t="str">
        <f t="shared" si="755"/>
        <v/>
      </c>
      <c r="L9646" s="7" t="str">
        <f t="shared" si="756"/>
        <v/>
      </c>
      <c r="M9646" s="7" t="str">
        <f t="shared" si="753"/>
        <v/>
      </c>
      <c r="N9646" s="7" t="str">
        <f t="shared" si="757"/>
        <v/>
      </c>
      <c r="O9646" s="8"/>
      <c r="P9646" s="26"/>
      <c r="S9646" s="10" t="str">
        <f t="shared" si="754"/>
        <v/>
      </c>
    </row>
    <row r="9647" spans="5:19" x14ac:dyDescent="0.3">
      <c r="E9647" s="9" t="str">
        <f>IF(DADOS!C9647="","",DADOS!C9647)</f>
        <v/>
      </c>
      <c r="F9647" s="9" t="str">
        <f>IF(DADOS!E9647="","",DADOS!E9647)</f>
        <v/>
      </c>
      <c r="G9647" s="9" t="str">
        <f>IF(DADOS!F9647="","",DADOS!F9647)</f>
        <v/>
      </c>
      <c r="K9647" s="6" t="str">
        <f t="shared" si="755"/>
        <v/>
      </c>
      <c r="L9647" s="7" t="str">
        <f t="shared" si="756"/>
        <v/>
      </c>
      <c r="M9647" s="7" t="str">
        <f t="shared" si="753"/>
        <v/>
      </c>
      <c r="N9647" s="7" t="str">
        <f t="shared" si="757"/>
        <v/>
      </c>
      <c r="O9647" s="8"/>
      <c r="P9647" s="26"/>
      <c r="S9647" s="10" t="str">
        <f t="shared" si="754"/>
        <v/>
      </c>
    </row>
    <row r="9648" spans="5:19" x14ac:dyDescent="0.3">
      <c r="E9648" s="9" t="str">
        <f>IF(DADOS!C9648="","",DADOS!C9648)</f>
        <v/>
      </c>
      <c r="F9648" s="9" t="str">
        <f>IF(DADOS!E9648="","",DADOS!E9648)</f>
        <v/>
      </c>
      <c r="G9648" s="9" t="str">
        <f>IF(DADOS!F9648="","",DADOS!F9648)</f>
        <v/>
      </c>
      <c r="K9648" s="6" t="str">
        <f t="shared" si="755"/>
        <v/>
      </c>
      <c r="L9648" s="7" t="str">
        <f t="shared" si="756"/>
        <v/>
      </c>
      <c r="M9648" s="7" t="str">
        <f t="shared" si="753"/>
        <v/>
      </c>
      <c r="N9648" s="7" t="str">
        <f t="shared" si="757"/>
        <v/>
      </c>
      <c r="O9648" s="8"/>
      <c r="P9648" s="26"/>
      <c r="S9648" s="10" t="str">
        <f t="shared" si="754"/>
        <v/>
      </c>
    </row>
    <row r="9649" spans="5:19" x14ac:dyDescent="0.3">
      <c r="E9649" s="9" t="str">
        <f>IF(DADOS!C9649="","",DADOS!C9649)</f>
        <v/>
      </c>
      <c r="F9649" s="9" t="str">
        <f>IF(DADOS!E9649="","",DADOS!E9649)</f>
        <v/>
      </c>
      <c r="G9649" s="9" t="str">
        <f>IF(DADOS!F9649="","",DADOS!F9649)</f>
        <v/>
      </c>
      <c r="K9649" s="6" t="str">
        <f t="shared" si="755"/>
        <v/>
      </c>
      <c r="L9649" s="7" t="str">
        <f t="shared" si="756"/>
        <v/>
      </c>
      <c r="M9649" s="7" t="str">
        <f t="shared" si="753"/>
        <v/>
      </c>
      <c r="N9649" s="7" t="str">
        <f t="shared" si="757"/>
        <v/>
      </c>
      <c r="O9649" s="8"/>
      <c r="P9649" s="26"/>
      <c r="S9649" s="10" t="str">
        <f t="shared" si="754"/>
        <v/>
      </c>
    </row>
    <row r="9650" spans="5:19" x14ac:dyDescent="0.3">
      <c r="E9650" s="9" t="str">
        <f>IF(DADOS!C9650="","",DADOS!C9650)</f>
        <v/>
      </c>
      <c r="F9650" s="9" t="str">
        <f>IF(DADOS!E9650="","",DADOS!E9650)</f>
        <v/>
      </c>
      <c r="G9650" s="9" t="str">
        <f>IF(DADOS!F9650="","",DADOS!F9650)</f>
        <v/>
      </c>
      <c r="K9650" s="6" t="str">
        <f t="shared" si="755"/>
        <v/>
      </c>
      <c r="L9650" s="7" t="str">
        <f t="shared" si="756"/>
        <v/>
      </c>
      <c r="M9650" s="7" t="str">
        <f t="shared" si="753"/>
        <v/>
      </c>
      <c r="N9650" s="7" t="str">
        <f t="shared" si="757"/>
        <v/>
      </c>
      <c r="O9650" s="8"/>
      <c r="P9650" s="26"/>
      <c r="S9650" s="10" t="str">
        <f t="shared" si="754"/>
        <v/>
      </c>
    </row>
    <row r="9651" spans="5:19" x14ac:dyDescent="0.3">
      <c r="E9651" s="9" t="str">
        <f>IF(DADOS!C9651="","",DADOS!C9651)</f>
        <v/>
      </c>
      <c r="F9651" s="9" t="str">
        <f>IF(DADOS!E9651="","",DADOS!E9651)</f>
        <v/>
      </c>
      <c r="G9651" s="9" t="str">
        <f>IF(DADOS!F9651="","",DADOS!F9651)</f>
        <v/>
      </c>
      <c r="K9651" s="6" t="str">
        <f t="shared" si="755"/>
        <v/>
      </c>
      <c r="L9651" s="7" t="str">
        <f t="shared" si="756"/>
        <v/>
      </c>
      <c r="M9651" s="7" t="str">
        <f t="shared" si="753"/>
        <v/>
      </c>
      <c r="N9651" s="7" t="str">
        <f t="shared" si="757"/>
        <v/>
      </c>
      <c r="O9651" s="8"/>
      <c r="P9651" s="26"/>
      <c r="S9651" s="10" t="str">
        <f t="shared" si="754"/>
        <v/>
      </c>
    </row>
    <row r="9652" spans="5:19" x14ac:dyDescent="0.3">
      <c r="E9652" s="9" t="str">
        <f>IF(DADOS!C9652="","",DADOS!C9652)</f>
        <v/>
      </c>
      <c r="F9652" s="9" t="str">
        <f>IF(DADOS!E9652="","",DADOS!E9652)</f>
        <v/>
      </c>
      <c r="G9652" s="9" t="str">
        <f>IF(DADOS!F9652="","",DADOS!F9652)</f>
        <v/>
      </c>
      <c r="K9652" s="6" t="str">
        <f t="shared" si="755"/>
        <v/>
      </c>
      <c r="L9652" s="7" t="str">
        <f t="shared" si="756"/>
        <v/>
      </c>
      <c r="M9652" s="7" t="str">
        <f t="shared" si="753"/>
        <v/>
      </c>
      <c r="N9652" s="7" t="str">
        <f t="shared" si="757"/>
        <v/>
      </c>
      <c r="O9652" s="8"/>
      <c r="P9652" s="26"/>
      <c r="S9652" s="10" t="str">
        <f t="shared" si="754"/>
        <v/>
      </c>
    </row>
    <row r="9653" spans="5:19" x14ac:dyDescent="0.3">
      <c r="E9653" s="9" t="str">
        <f>IF(DADOS!C9653="","",DADOS!C9653)</f>
        <v/>
      </c>
      <c r="F9653" s="9" t="str">
        <f>IF(DADOS!E9653="","",DADOS!E9653)</f>
        <v/>
      </c>
      <c r="G9653" s="9" t="str">
        <f>IF(DADOS!F9653="","",DADOS!F9653)</f>
        <v/>
      </c>
      <c r="K9653" s="6" t="str">
        <f t="shared" si="755"/>
        <v/>
      </c>
      <c r="L9653" s="7" t="str">
        <f t="shared" si="756"/>
        <v/>
      </c>
      <c r="M9653" s="7" t="str">
        <f t="shared" si="753"/>
        <v/>
      </c>
      <c r="N9653" s="7" t="str">
        <f t="shared" si="757"/>
        <v/>
      </c>
      <c r="O9653" s="8"/>
      <c r="P9653" s="26"/>
      <c r="S9653" s="10" t="str">
        <f t="shared" si="754"/>
        <v/>
      </c>
    </row>
    <row r="9654" spans="5:19" x14ac:dyDescent="0.3">
      <c r="E9654" s="9" t="str">
        <f>IF(DADOS!C9654="","",DADOS!C9654)</f>
        <v/>
      </c>
      <c r="F9654" s="9" t="str">
        <f>IF(DADOS!E9654="","",DADOS!E9654)</f>
        <v/>
      </c>
      <c r="G9654" s="9" t="str">
        <f>IF(DADOS!F9654="","",DADOS!F9654)</f>
        <v/>
      </c>
      <c r="K9654" s="6" t="str">
        <f t="shared" si="755"/>
        <v/>
      </c>
      <c r="L9654" s="7" t="str">
        <f t="shared" si="756"/>
        <v/>
      </c>
      <c r="M9654" s="7" t="str">
        <f t="shared" si="753"/>
        <v/>
      </c>
      <c r="N9654" s="7" t="str">
        <f t="shared" si="757"/>
        <v/>
      </c>
      <c r="O9654" s="8"/>
      <c r="P9654" s="26"/>
      <c r="S9654" s="10" t="str">
        <f t="shared" si="754"/>
        <v/>
      </c>
    </row>
    <row r="9655" spans="5:19" x14ac:dyDescent="0.3">
      <c r="E9655" s="9" t="str">
        <f>IF(DADOS!C9655="","",DADOS!C9655)</f>
        <v/>
      </c>
      <c r="F9655" s="9" t="str">
        <f>IF(DADOS!E9655="","",DADOS!E9655)</f>
        <v/>
      </c>
      <c r="G9655" s="9" t="str">
        <f>IF(DADOS!F9655="","",DADOS!F9655)</f>
        <v/>
      </c>
      <c r="K9655" s="6" t="str">
        <f t="shared" si="755"/>
        <v/>
      </c>
      <c r="L9655" s="7" t="str">
        <f t="shared" si="756"/>
        <v/>
      </c>
      <c r="M9655" s="7" t="str">
        <f t="shared" si="753"/>
        <v/>
      </c>
      <c r="N9655" s="7" t="str">
        <f t="shared" si="757"/>
        <v/>
      </c>
      <c r="O9655" s="8"/>
      <c r="P9655" s="26"/>
      <c r="S9655" s="10" t="str">
        <f t="shared" si="754"/>
        <v/>
      </c>
    </row>
    <row r="9656" spans="5:19" x14ac:dyDescent="0.3">
      <c r="E9656" s="9" t="str">
        <f>IF(DADOS!C9656="","",DADOS!C9656)</f>
        <v/>
      </c>
      <c r="F9656" s="9" t="str">
        <f>IF(DADOS!E9656="","",DADOS!E9656)</f>
        <v/>
      </c>
      <c r="G9656" s="9" t="str">
        <f>IF(DADOS!F9656="","",DADOS!F9656)</f>
        <v/>
      </c>
      <c r="K9656" s="6" t="str">
        <f t="shared" si="755"/>
        <v/>
      </c>
      <c r="L9656" s="7" t="str">
        <f t="shared" si="756"/>
        <v/>
      </c>
      <c r="M9656" s="7" t="str">
        <f t="shared" si="753"/>
        <v/>
      </c>
      <c r="N9656" s="7" t="str">
        <f t="shared" si="757"/>
        <v/>
      </c>
      <c r="O9656" s="8"/>
      <c r="P9656" s="26"/>
      <c r="S9656" s="10" t="str">
        <f t="shared" si="754"/>
        <v/>
      </c>
    </row>
    <row r="9657" spans="5:19" x14ac:dyDescent="0.3">
      <c r="E9657" s="9" t="str">
        <f>IF(DADOS!C9657="","",DADOS!C9657)</f>
        <v/>
      </c>
      <c r="F9657" s="9" t="str">
        <f>IF(DADOS!E9657="","",DADOS!E9657)</f>
        <v/>
      </c>
      <c r="G9657" s="9" t="str">
        <f>IF(DADOS!F9657="","",DADOS!F9657)</f>
        <v/>
      </c>
      <c r="K9657" s="6" t="str">
        <f t="shared" si="755"/>
        <v/>
      </c>
      <c r="L9657" s="7" t="str">
        <f t="shared" si="756"/>
        <v/>
      </c>
      <c r="M9657" s="7" t="str">
        <f t="shared" si="753"/>
        <v/>
      </c>
      <c r="N9657" s="7" t="str">
        <f t="shared" si="757"/>
        <v/>
      </c>
      <c r="O9657" s="8"/>
      <c r="P9657" s="26"/>
      <c r="S9657" s="10" t="str">
        <f t="shared" si="754"/>
        <v/>
      </c>
    </row>
    <row r="9658" spans="5:19" x14ac:dyDescent="0.3">
      <c r="E9658" s="9" t="str">
        <f>IF(DADOS!C9658="","",DADOS!C9658)</f>
        <v/>
      </c>
      <c r="F9658" s="9" t="str">
        <f>IF(DADOS!E9658="","",DADOS!E9658)</f>
        <v/>
      </c>
      <c r="G9658" s="9" t="str">
        <f>IF(DADOS!F9658="","",DADOS!F9658)</f>
        <v/>
      </c>
      <c r="K9658" s="6" t="str">
        <f t="shared" si="755"/>
        <v/>
      </c>
      <c r="L9658" s="7" t="str">
        <f t="shared" si="756"/>
        <v/>
      </c>
      <c r="M9658" s="7" t="str">
        <f t="shared" si="753"/>
        <v/>
      </c>
      <c r="N9658" s="7" t="str">
        <f t="shared" si="757"/>
        <v/>
      </c>
      <c r="O9658" s="8"/>
      <c r="P9658" s="26"/>
      <c r="S9658" s="10" t="str">
        <f t="shared" si="754"/>
        <v/>
      </c>
    </row>
    <row r="9659" spans="5:19" x14ac:dyDescent="0.3">
      <c r="E9659" s="9" t="str">
        <f>IF(DADOS!C9659="","",DADOS!C9659)</f>
        <v/>
      </c>
      <c r="F9659" s="9" t="str">
        <f>IF(DADOS!E9659="","",DADOS!E9659)</f>
        <v/>
      </c>
      <c r="G9659" s="9" t="str">
        <f>IF(DADOS!F9659="","",DADOS!F9659)</f>
        <v/>
      </c>
      <c r="K9659" s="6" t="str">
        <f t="shared" si="755"/>
        <v/>
      </c>
      <c r="L9659" s="7" t="str">
        <f t="shared" si="756"/>
        <v/>
      </c>
      <c r="M9659" s="7" t="str">
        <f t="shared" si="753"/>
        <v/>
      </c>
      <c r="N9659" s="7" t="str">
        <f t="shared" si="757"/>
        <v/>
      </c>
      <c r="O9659" s="8"/>
      <c r="P9659" s="26"/>
      <c r="S9659" s="10" t="str">
        <f t="shared" si="754"/>
        <v/>
      </c>
    </row>
    <row r="9660" spans="5:19" x14ac:dyDescent="0.3">
      <c r="E9660" s="9" t="str">
        <f>IF(DADOS!C9660="","",DADOS!C9660)</f>
        <v/>
      </c>
      <c r="F9660" s="9" t="str">
        <f>IF(DADOS!E9660="","",DADOS!E9660)</f>
        <v/>
      </c>
      <c r="G9660" s="9" t="str">
        <f>IF(DADOS!F9660="","",DADOS!F9660)</f>
        <v/>
      </c>
      <c r="K9660" s="6" t="str">
        <f t="shared" si="755"/>
        <v/>
      </c>
      <c r="L9660" s="7" t="str">
        <f t="shared" si="756"/>
        <v/>
      </c>
      <c r="M9660" s="7" t="str">
        <f t="shared" si="753"/>
        <v/>
      </c>
      <c r="N9660" s="7" t="str">
        <f t="shared" si="757"/>
        <v/>
      </c>
      <c r="O9660" s="8"/>
      <c r="P9660" s="26"/>
      <c r="S9660" s="10" t="str">
        <f t="shared" si="754"/>
        <v/>
      </c>
    </row>
    <row r="9661" spans="5:19" x14ac:dyDescent="0.3">
      <c r="E9661" s="9" t="str">
        <f>IF(DADOS!C9661="","",DADOS!C9661)</f>
        <v/>
      </c>
      <c r="F9661" s="9" t="str">
        <f>IF(DADOS!E9661="","",DADOS!E9661)</f>
        <v/>
      </c>
      <c r="G9661" s="9" t="str">
        <f>IF(DADOS!F9661="","",DADOS!F9661)</f>
        <v/>
      </c>
      <c r="K9661" s="6" t="str">
        <f t="shared" si="755"/>
        <v/>
      </c>
      <c r="L9661" s="7" t="str">
        <f t="shared" si="756"/>
        <v/>
      </c>
      <c r="M9661" s="7" t="str">
        <f t="shared" si="753"/>
        <v/>
      </c>
      <c r="N9661" s="7" t="str">
        <f t="shared" si="757"/>
        <v/>
      </c>
      <c r="O9661" s="8"/>
      <c r="P9661" s="26"/>
      <c r="S9661" s="10" t="str">
        <f t="shared" si="754"/>
        <v/>
      </c>
    </row>
    <row r="9662" spans="5:19" x14ac:dyDescent="0.3">
      <c r="E9662" s="9" t="str">
        <f>IF(DADOS!C9662="","",DADOS!C9662)</f>
        <v/>
      </c>
      <c r="F9662" s="9" t="str">
        <f>IF(DADOS!E9662="","",DADOS!E9662)</f>
        <v/>
      </c>
      <c r="G9662" s="9" t="str">
        <f>IF(DADOS!F9662="","",DADOS!F9662)</f>
        <v/>
      </c>
      <c r="K9662" s="6" t="str">
        <f t="shared" si="755"/>
        <v/>
      </c>
      <c r="L9662" s="7" t="str">
        <f t="shared" si="756"/>
        <v/>
      </c>
      <c r="M9662" s="7" t="str">
        <f t="shared" si="753"/>
        <v/>
      </c>
      <c r="N9662" s="7" t="str">
        <f t="shared" si="757"/>
        <v/>
      </c>
      <c r="O9662" s="8"/>
      <c r="P9662" s="26"/>
      <c r="S9662" s="10" t="str">
        <f t="shared" si="754"/>
        <v/>
      </c>
    </row>
    <row r="9663" spans="5:19" x14ac:dyDescent="0.3">
      <c r="E9663" s="9" t="str">
        <f>IF(DADOS!C9663="","",DADOS!C9663)</f>
        <v/>
      </c>
      <c r="F9663" s="9" t="str">
        <f>IF(DADOS!E9663="","",DADOS!E9663)</f>
        <v/>
      </c>
      <c r="G9663" s="9" t="str">
        <f>IF(DADOS!F9663="","",DADOS!F9663)</f>
        <v/>
      </c>
      <c r="K9663" s="6" t="str">
        <f t="shared" si="755"/>
        <v/>
      </c>
      <c r="L9663" s="7" t="str">
        <f t="shared" si="756"/>
        <v/>
      </c>
      <c r="M9663" s="7" t="str">
        <f t="shared" si="753"/>
        <v/>
      </c>
      <c r="N9663" s="7" t="str">
        <f t="shared" si="757"/>
        <v/>
      </c>
      <c r="O9663" s="8"/>
      <c r="P9663" s="26"/>
      <c r="S9663" s="10" t="str">
        <f t="shared" si="754"/>
        <v/>
      </c>
    </row>
    <row r="9664" spans="5:19" x14ac:dyDescent="0.3">
      <c r="E9664" s="9" t="str">
        <f>IF(DADOS!C9664="","",DADOS!C9664)</f>
        <v/>
      </c>
      <c r="F9664" s="9" t="str">
        <f>IF(DADOS!E9664="","",DADOS!E9664)</f>
        <v/>
      </c>
      <c r="G9664" s="9" t="str">
        <f>IF(DADOS!F9664="","",DADOS!F9664)</f>
        <v/>
      </c>
      <c r="K9664" s="6" t="str">
        <f t="shared" si="755"/>
        <v/>
      </c>
      <c r="L9664" s="7" t="str">
        <f t="shared" si="756"/>
        <v/>
      </c>
      <c r="M9664" s="7" t="str">
        <f t="shared" si="753"/>
        <v/>
      </c>
      <c r="N9664" s="7" t="str">
        <f t="shared" si="757"/>
        <v/>
      </c>
      <c r="O9664" s="8"/>
      <c r="P9664" s="26"/>
      <c r="S9664" s="10" t="str">
        <f t="shared" si="754"/>
        <v/>
      </c>
    </row>
    <row r="9665" spans="5:19" x14ac:dyDescent="0.3">
      <c r="E9665" s="9" t="str">
        <f>IF(DADOS!C9665="","",DADOS!C9665)</f>
        <v/>
      </c>
      <c r="F9665" s="9" t="str">
        <f>IF(DADOS!E9665="","",DADOS!E9665)</f>
        <v/>
      </c>
      <c r="G9665" s="9" t="str">
        <f>IF(DADOS!F9665="","",DADOS!F9665)</f>
        <v/>
      </c>
      <c r="K9665" s="6" t="str">
        <f t="shared" si="755"/>
        <v/>
      </c>
      <c r="L9665" s="7" t="str">
        <f t="shared" si="756"/>
        <v/>
      </c>
      <c r="M9665" s="7" t="str">
        <f t="shared" si="753"/>
        <v/>
      </c>
      <c r="N9665" s="7" t="str">
        <f t="shared" si="757"/>
        <v/>
      </c>
      <c r="O9665" s="8"/>
      <c r="P9665" s="26"/>
      <c r="S9665" s="10" t="str">
        <f t="shared" si="754"/>
        <v/>
      </c>
    </row>
    <row r="9666" spans="5:19" x14ac:dyDescent="0.3">
      <c r="E9666" s="9" t="str">
        <f>IF(DADOS!C9666="","",DADOS!C9666)</f>
        <v/>
      </c>
      <c r="F9666" s="9" t="str">
        <f>IF(DADOS!E9666="","",DADOS!E9666)</f>
        <v/>
      </c>
      <c r="G9666" s="9" t="str">
        <f>IF(DADOS!F9666="","",DADOS!F9666)</f>
        <v/>
      </c>
      <c r="K9666" s="6" t="str">
        <f t="shared" si="755"/>
        <v/>
      </c>
      <c r="L9666" s="7" t="str">
        <f t="shared" si="756"/>
        <v/>
      </c>
      <c r="M9666" s="7" t="str">
        <f t="shared" si="753"/>
        <v/>
      </c>
      <c r="N9666" s="7" t="str">
        <f t="shared" si="757"/>
        <v/>
      </c>
      <c r="O9666" s="8"/>
      <c r="P9666" s="26"/>
      <c r="S9666" s="10" t="str">
        <f t="shared" si="754"/>
        <v/>
      </c>
    </row>
    <row r="9667" spans="5:19" x14ac:dyDescent="0.3">
      <c r="E9667" s="9" t="str">
        <f>IF(DADOS!C9667="","",DADOS!C9667)</f>
        <v/>
      </c>
      <c r="F9667" s="9" t="str">
        <f>IF(DADOS!E9667="","",DADOS!E9667)</f>
        <v/>
      </c>
      <c r="G9667" s="9" t="str">
        <f>IF(DADOS!F9667="","",DADOS!F9667)</f>
        <v/>
      </c>
      <c r="K9667" s="6" t="str">
        <f t="shared" si="755"/>
        <v/>
      </c>
      <c r="L9667" s="7" t="str">
        <f t="shared" si="756"/>
        <v/>
      </c>
      <c r="M9667" s="7" t="str">
        <f t="shared" ref="M9667:M9730" si="758">IF(L9667="","",L9667*G9667)</f>
        <v/>
      </c>
      <c r="N9667" s="7" t="str">
        <f t="shared" si="757"/>
        <v/>
      </c>
      <c r="O9667" s="8"/>
      <c r="P9667" s="26"/>
      <c r="S9667" s="10" t="str">
        <f t="shared" ref="S9667:S9730" si="759">IF(R9667="","",SUMIFS($N$3:$N$10000,$E$3:$E$10000,R9667))</f>
        <v/>
      </c>
    </row>
    <row r="9668" spans="5:19" x14ac:dyDescent="0.3">
      <c r="E9668" s="9" t="str">
        <f>IF(DADOS!C9668="","",DADOS!C9668)</f>
        <v/>
      </c>
      <c r="F9668" s="9" t="str">
        <f>IF(DADOS!E9668="","",DADOS!E9668)</f>
        <v/>
      </c>
      <c r="G9668" s="9" t="str">
        <f>IF(DADOS!F9668="","",DADOS!F9668)</f>
        <v/>
      </c>
      <c r="K9668" s="6" t="str">
        <f t="shared" ref="K9668:K9731" si="760">IF(F9668="","",F9668/PI())</f>
        <v/>
      </c>
      <c r="L9668" s="7" t="str">
        <f t="shared" ref="L9668:L9731" si="761">IF(K9668="","",(PI()*K9668^2)/40000)</f>
        <v/>
      </c>
      <c r="M9668" s="7" t="str">
        <f t="shared" si="758"/>
        <v/>
      </c>
      <c r="N9668" s="7" t="str">
        <f t="shared" ref="N9668:N9731" si="762">IF(M9668="","",M9668*N$1)</f>
        <v/>
      </c>
      <c r="O9668" s="8"/>
      <c r="P9668" s="26"/>
      <c r="S9668" s="10" t="str">
        <f t="shared" si="759"/>
        <v/>
      </c>
    </row>
    <row r="9669" spans="5:19" x14ac:dyDescent="0.3">
      <c r="E9669" s="9" t="str">
        <f>IF(DADOS!C9669="","",DADOS!C9669)</f>
        <v/>
      </c>
      <c r="F9669" s="9" t="str">
        <f>IF(DADOS!E9669="","",DADOS!E9669)</f>
        <v/>
      </c>
      <c r="G9669" s="9" t="str">
        <f>IF(DADOS!F9669="","",DADOS!F9669)</f>
        <v/>
      </c>
      <c r="K9669" s="6" t="str">
        <f t="shared" si="760"/>
        <v/>
      </c>
      <c r="L9669" s="7" t="str">
        <f t="shared" si="761"/>
        <v/>
      </c>
      <c r="M9669" s="7" t="str">
        <f t="shared" si="758"/>
        <v/>
      </c>
      <c r="N9669" s="7" t="str">
        <f t="shared" si="762"/>
        <v/>
      </c>
      <c r="O9669" s="8"/>
      <c r="P9669" s="26"/>
      <c r="S9669" s="10" t="str">
        <f t="shared" si="759"/>
        <v/>
      </c>
    </row>
    <row r="9670" spans="5:19" x14ac:dyDescent="0.3">
      <c r="E9670" s="9" t="str">
        <f>IF(DADOS!C9670="","",DADOS!C9670)</f>
        <v/>
      </c>
      <c r="F9670" s="9" t="str">
        <f>IF(DADOS!E9670="","",DADOS!E9670)</f>
        <v/>
      </c>
      <c r="G9670" s="9" t="str">
        <f>IF(DADOS!F9670="","",DADOS!F9670)</f>
        <v/>
      </c>
      <c r="K9670" s="6" t="str">
        <f t="shared" si="760"/>
        <v/>
      </c>
      <c r="L9670" s="7" t="str">
        <f t="shared" si="761"/>
        <v/>
      </c>
      <c r="M9670" s="7" t="str">
        <f t="shared" si="758"/>
        <v/>
      </c>
      <c r="N9670" s="7" t="str">
        <f t="shared" si="762"/>
        <v/>
      </c>
      <c r="O9670" s="8"/>
      <c r="P9670" s="26"/>
      <c r="S9670" s="10" t="str">
        <f t="shared" si="759"/>
        <v/>
      </c>
    </row>
    <row r="9671" spans="5:19" x14ac:dyDescent="0.3">
      <c r="E9671" s="9" t="str">
        <f>IF(DADOS!C9671="","",DADOS!C9671)</f>
        <v/>
      </c>
      <c r="F9671" s="9" t="str">
        <f>IF(DADOS!E9671="","",DADOS!E9671)</f>
        <v/>
      </c>
      <c r="G9671" s="9" t="str">
        <f>IF(DADOS!F9671="","",DADOS!F9671)</f>
        <v/>
      </c>
      <c r="K9671" s="6" t="str">
        <f t="shared" si="760"/>
        <v/>
      </c>
      <c r="L9671" s="7" t="str">
        <f t="shared" si="761"/>
        <v/>
      </c>
      <c r="M9671" s="7" t="str">
        <f t="shared" si="758"/>
        <v/>
      </c>
      <c r="N9671" s="7" t="str">
        <f t="shared" si="762"/>
        <v/>
      </c>
      <c r="O9671" s="8"/>
      <c r="P9671" s="26"/>
      <c r="S9671" s="10" t="str">
        <f t="shared" si="759"/>
        <v/>
      </c>
    </row>
    <row r="9672" spans="5:19" x14ac:dyDescent="0.3">
      <c r="E9672" s="9" t="str">
        <f>IF(DADOS!C9672="","",DADOS!C9672)</f>
        <v/>
      </c>
      <c r="F9672" s="9" t="str">
        <f>IF(DADOS!E9672="","",DADOS!E9672)</f>
        <v/>
      </c>
      <c r="G9672" s="9" t="str">
        <f>IF(DADOS!F9672="","",DADOS!F9672)</f>
        <v/>
      </c>
      <c r="K9672" s="6" t="str">
        <f t="shared" si="760"/>
        <v/>
      </c>
      <c r="L9672" s="7" t="str">
        <f t="shared" si="761"/>
        <v/>
      </c>
      <c r="M9672" s="7" t="str">
        <f t="shared" si="758"/>
        <v/>
      </c>
      <c r="N9672" s="7" t="str">
        <f t="shared" si="762"/>
        <v/>
      </c>
      <c r="O9672" s="8"/>
      <c r="P9672" s="26"/>
      <c r="S9672" s="10" t="str">
        <f t="shared" si="759"/>
        <v/>
      </c>
    </row>
    <row r="9673" spans="5:19" x14ac:dyDescent="0.3">
      <c r="E9673" s="9" t="str">
        <f>IF(DADOS!C9673="","",DADOS!C9673)</f>
        <v/>
      </c>
      <c r="F9673" s="9" t="str">
        <f>IF(DADOS!E9673="","",DADOS!E9673)</f>
        <v/>
      </c>
      <c r="G9673" s="9" t="str">
        <f>IF(DADOS!F9673="","",DADOS!F9673)</f>
        <v/>
      </c>
      <c r="K9673" s="6" t="str">
        <f t="shared" si="760"/>
        <v/>
      </c>
      <c r="L9673" s="7" t="str">
        <f t="shared" si="761"/>
        <v/>
      </c>
      <c r="M9673" s="7" t="str">
        <f t="shared" si="758"/>
        <v/>
      </c>
      <c r="N9673" s="7" t="str">
        <f t="shared" si="762"/>
        <v/>
      </c>
      <c r="O9673" s="8"/>
      <c r="P9673" s="26"/>
      <c r="S9673" s="10" t="str">
        <f t="shared" si="759"/>
        <v/>
      </c>
    </row>
    <row r="9674" spans="5:19" x14ac:dyDescent="0.3">
      <c r="E9674" s="9" t="str">
        <f>IF(DADOS!C9674="","",DADOS!C9674)</f>
        <v/>
      </c>
      <c r="F9674" s="9" t="str">
        <f>IF(DADOS!E9674="","",DADOS!E9674)</f>
        <v/>
      </c>
      <c r="G9674" s="9" t="str">
        <f>IF(DADOS!F9674="","",DADOS!F9674)</f>
        <v/>
      </c>
      <c r="K9674" s="6" t="str">
        <f t="shared" si="760"/>
        <v/>
      </c>
      <c r="L9674" s="7" t="str">
        <f t="shared" si="761"/>
        <v/>
      </c>
      <c r="M9674" s="7" t="str">
        <f t="shared" si="758"/>
        <v/>
      </c>
      <c r="N9674" s="7" t="str">
        <f t="shared" si="762"/>
        <v/>
      </c>
      <c r="O9674" s="8"/>
      <c r="P9674" s="26"/>
      <c r="S9674" s="10" t="str">
        <f t="shared" si="759"/>
        <v/>
      </c>
    </row>
    <row r="9675" spans="5:19" x14ac:dyDescent="0.3">
      <c r="E9675" s="9" t="str">
        <f>IF(DADOS!C9675="","",DADOS!C9675)</f>
        <v/>
      </c>
      <c r="F9675" s="9" t="str">
        <f>IF(DADOS!E9675="","",DADOS!E9675)</f>
        <v/>
      </c>
      <c r="G9675" s="9" t="str">
        <f>IF(DADOS!F9675="","",DADOS!F9675)</f>
        <v/>
      </c>
      <c r="K9675" s="6" t="str">
        <f t="shared" si="760"/>
        <v/>
      </c>
      <c r="L9675" s="7" t="str">
        <f t="shared" si="761"/>
        <v/>
      </c>
      <c r="M9675" s="7" t="str">
        <f t="shared" si="758"/>
        <v/>
      </c>
      <c r="N9675" s="7" t="str">
        <f t="shared" si="762"/>
        <v/>
      </c>
      <c r="O9675" s="8"/>
      <c r="P9675" s="26"/>
      <c r="S9675" s="10" t="str">
        <f t="shared" si="759"/>
        <v/>
      </c>
    </row>
    <row r="9676" spans="5:19" x14ac:dyDescent="0.3">
      <c r="E9676" s="9" t="str">
        <f>IF(DADOS!C9676="","",DADOS!C9676)</f>
        <v/>
      </c>
      <c r="F9676" s="9" t="str">
        <f>IF(DADOS!E9676="","",DADOS!E9676)</f>
        <v/>
      </c>
      <c r="G9676" s="9" t="str">
        <f>IF(DADOS!F9676="","",DADOS!F9676)</f>
        <v/>
      </c>
      <c r="K9676" s="6" t="str">
        <f t="shared" si="760"/>
        <v/>
      </c>
      <c r="L9676" s="7" t="str">
        <f t="shared" si="761"/>
        <v/>
      </c>
      <c r="M9676" s="7" t="str">
        <f t="shared" si="758"/>
        <v/>
      </c>
      <c r="N9676" s="7" t="str">
        <f t="shared" si="762"/>
        <v/>
      </c>
      <c r="O9676" s="8"/>
      <c r="P9676" s="26"/>
      <c r="S9676" s="10" t="str">
        <f t="shared" si="759"/>
        <v/>
      </c>
    </row>
    <row r="9677" spans="5:19" x14ac:dyDescent="0.3">
      <c r="E9677" s="9" t="str">
        <f>IF(DADOS!C9677="","",DADOS!C9677)</f>
        <v/>
      </c>
      <c r="F9677" s="9" t="str">
        <f>IF(DADOS!E9677="","",DADOS!E9677)</f>
        <v/>
      </c>
      <c r="G9677" s="9" t="str">
        <f>IF(DADOS!F9677="","",DADOS!F9677)</f>
        <v/>
      </c>
      <c r="K9677" s="6" t="str">
        <f t="shared" si="760"/>
        <v/>
      </c>
      <c r="L9677" s="7" t="str">
        <f t="shared" si="761"/>
        <v/>
      </c>
      <c r="M9677" s="7" t="str">
        <f t="shared" si="758"/>
        <v/>
      </c>
      <c r="N9677" s="7" t="str">
        <f t="shared" si="762"/>
        <v/>
      </c>
      <c r="O9677" s="8"/>
      <c r="P9677" s="26"/>
      <c r="S9677" s="10" t="str">
        <f t="shared" si="759"/>
        <v/>
      </c>
    </row>
    <row r="9678" spans="5:19" x14ac:dyDescent="0.3">
      <c r="E9678" s="9" t="str">
        <f>IF(DADOS!C9678="","",DADOS!C9678)</f>
        <v/>
      </c>
      <c r="F9678" s="9" t="str">
        <f>IF(DADOS!E9678="","",DADOS!E9678)</f>
        <v/>
      </c>
      <c r="G9678" s="9" t="str">
        <f>IF(DADOS!F9678="","",DADOS!F9678)</f>
        <v/>
      </c>
      <c r="K9678" s="6" t="str">
        <f t="shared" si="760"/>
        <v/>
      </c>
      <c r="L9678" s="7" t="str">
        <f t="shared" si="761"/>
        <v/>
      </c>
      <c r="M9678" s="7" t="str">
        <f t="shared" si="758"/>
        <v/>
      </c>
      <c r="N9678" s="7" t="str">
        <f t="shared" si="762"/>
        <v/>
      </c>
      <c r="O9678" s="8"/>
      <c r="P9678" s="26"/>
      <c r="S9678" s="10" t="str">
        <f t="shared" si="759"/>
        <v/>
      </c>
    </row>
    <row r="9679" spans="5:19" x14ac:dyDescent="0.3">
      <c r="E9679" s="9" t="str">
        <f>IF(DADOS!C9679="","",DADOS!C9679)</f>
        <v/>
      </c>
      <c r="F9679" s="9" t="str">
        <f>IF(DADOS!E9679="","",DADOS!E9679)</f>
        <v/>
      </c>
      <c r="G9679" s="9" t="str">
        <f>IF(DADOS!F9679="","",DADOS!F9679)</f>
        <v/>
      </c>
      <c r="K9679" s="6" t="str">
        <f t="shared" si="760"/>
        <v/>
      </c>
      <c r="L9679" s="7" t="str">
        <f t="shared" si="761"/>
        <v/>
      </c>
      <c r="M9679" s="7" t="str">
        <f t="shared" si="758"/>
        <v/>
      </c>
      <c r="N9679" s="7" t="str">
        <f t="shared" si="762"/>
        <v/>
      </c>
      <c r="O9679" s="8"/>
      <c r="P9679" s="26"/>
      <c r="S9679" s="10" t="str">
        <f t="shared" si="759"/>
        <v/>
      </c>
    </row>
    <row r="9680" spans="5:19" x14ac:dyDescent="0.3">
      <c r="E9680" s="9" t="str">
        <f>IF(DADOS!C9680="","",DADOS!C9680)</f>
        <v/>
      </c>
      <c r="F9680" s="9" t="str">
        <f>IF(DADOS!E9680="","",DADOS!E9680)</f>
        <v/>
      </c>
      <c r="G9680" s="9" t="str">
        <f>IF(DADOS!F9680="","",DADOS!F9680)</f>
        <v/>
      </c>
      <c r="K9680" s="6" t="str">
        <f t="shared" si="760"/>
        <v/>
      </c>
      <c r="L9680" s="7" t="str">
        <f t="shared" si="761"/>
        <v/>
      </c>
      <c r="M9680" s="7" t="str">
        <f t="shared" si="758"/>
        <v/>
      </c>
      <c r="N9680" s="7" t="str">
        <f t="shared" si="762"/>
        <v/>
      </c>
      <c r="O9680" s="8"/>
      <c r="P9680" s="26"/>
      <c r="S9680" s="10" t="str">
        <f t="shared" si="759"/>
        <v/>
      </c>
    </row>
    <row r="9681" spans="5:19" x14ac:dyDescent="0.3">
      <c r="E9681" s="9" t="str">
        <f>IF(DADOS!C9681="","",DADOS!C9681)</f>
        <v/>
      </c>
      <c r="F9681" s="9" t="str">
        <f>IF(DADOS!E9681="","",DADOS!E9681)</f>
        <v/>
      </c>
      <c r="G9681" s="9" t="str">
        <f>IF(DADOS!F9681="","",DADOS!F9681)</f>
        <v/>
      </c>
      <c r="K9681" s="6" t="str">
        <f t="shared" si="760"/>
        <v/>
      </c>
      <c r="L9681" s="7" t="str">
        <f t="shared" si="761"/>
        <v/>
      </c>
      <c r="M9681" s="7" t="str">
        <f t="shared" si="758"/>
        <v/>
      </c>
      <c r="N9681" s="7" t="str">
        <f t="shared" si="762"/>
        <v/>
      </c>
      <c r="O9681" s="8"/>
      <c r="P9681" s="26"/>
      <c r="S9681" s="10" t="str">
        <f t="shared" si="759"/>
        <v/>
      </c>
    </row>
    <row r="9682" spans="5:19" x14ac:dyDescent="0.3">
      <c r="E9682" s="9" t="str">
        <f>IF(DADOS!C9682="","",DADOS!C9682)</f>
        <v/>
      </c>
      <c r="F9682" s="9" t="str">
        <f>IF(DADOS!E9682="","",DADOS!E9682)</f>
        <v/>
      </c>
      <c r="G9682" s="9" t="str">
        <f>IF(DADOS!F9682="","",DADOS!F9682)</f>
        <v/>
      </c>
      <c r="K9682" s="6" t="str">
        <f t="shared" si="760"/>
        <v/>
      </c>
      <c r="L9682" s="7" t="str">
        <f t="shared" si="761"/>
        <v/>
      </c>
      <c r="M9682" s="7" t="str">
        <f t="shared" si="758"/>
        <v/>
      </c>
      <c r="N9682" s="7" t="str">
        <f t="shared" si="762"/>
        <v/>
      </c>
      <c r="O9682" s="8"/>
      <c r="P9682" s="26"/>
      <c r="S9682" s="10" t="str">
        <f t="shared" si="759"/>
        <v/>
      </c>
    </row>
    <row r="9683" spans="5:19" x14ac:dyDescent="0.3">
      <c r="E9683" s="9" t="str">
        <f>IF(DADOS!C9683="","",DADOS!C9683)</f>
        <v/>
      </c>
      <c r="F9683" s="9" t="str">
        <f>IF(DADOS!E9683="","",DADOS!E9683)</f>
        <v/>
      </c>
      <c r="G9683" s="9" t="str">
        <f>IF(DADOS!F9683="","",DADOS!F9683)</f>
        <v/>
      </c>
      <c r="K9683" s="6" t="str">
        <f t="shared" si="760"/>
        <v/>
      </c>
      <c r="L9683" s="7" t="str">
        <f t="shared" si="761"/>
        <v/>
      </c>
      <c r="M9683" s="7" t="str">
        <f t="shared" si="758"/>
        <v/>
      </c>
      <c r="N9683" s="7" t="str">
        <f t="shared" si="762"/>
        <v/>
      </c>
      <c r="O9683" s="8"/>
      <c r="P9683" s="26"/>
      <c r="S9683" s="10" t="str">
        <f t="shared" si="759"/>
        <v/>
      </c>
    </row>
    <row r="9684" spans="5:19" x14ac:dyDescent="0.3">
      <c r="E9684" s="9" t="str">
        <f>IF(DADOS!C9684="","",DADOS!C9684)</f>
        <v/>
      </c>
      <c r="F9684" s="9" t="str">
        <f>IF(DADOS!E9684="","",DADOS!E9684)</f>
        <v/>
      </c>
      <c r="G9684" s="9" t="str">
        <f>IF(DADOS!F9684="","",DADOS!F9684)</f>
        <v/>
      </c>
      <c r="K9684" s="6" t="str">
        <f t="shared" si="760"/>
        <v/>
      </c>
      <c r="L9684" s="7" t="str">
        <f t="shared" si="761"/>
        <v/>
      </c>
      <c r="M9684" s="7" t="str">
        <f t="shared" si="758"/>
        <v/>
      </c>
      <c r="N9684" s="7" t="str">
        <f t="shared" si="762"/>
        <v/>
      </c>
      <c r="O9684" s="8"/>
      <c r="P9684" s="26"/>
      <c r="S9684" s="10" t="str">
        <f t="shared" si="759"/>
        <v/>
      </c>
    </row>
    <row r="9685" spans="5:19" x14ac:dyDescent="0.3">
      <c r="E9685" s="9" t="str">
        <f>IF(DADOS!C9685="","",DADOS!C9685)</f>
        <v/>
      </c>
      <c r="F9685" s="9" t="str">
        <f>IF(DADOS!E9685="","",DADOS!E9685)</f>
        <v/>
      </c>
      <c r="G9685" s="9" t="str">
        <f>IF(DADOS!F9685="","",DADOS!F9685)</f>
        <v/>
      </c>
      <c r="K9685" s="6" t="str">
        <f t="shared" si="760"/>
        <v/>
      </c>
      <c r="L9685" s="7" t="str">
        <f t="shared" si="761"/>
        <v/>
      </c>
      <c r="M9685" s="7" t="str">
        <f t="shared" si="758"/>
        <v/>
      </c>
      <c r="N9685" s="7" t="str">
        <f t="shared" si="762"/>
        <v/>
      </c>
      <c r="O9685" s="8"/>
      <c r="P9685" s="26"/>
      <c r="S9685" s="10" t="str">
        <f t="shared" si="759"/>
        <v/>
      </c>
    </row>
    <row r="9686" spans="5:19" x14ac:dyDescent="0.3">
      <c r="E9686" s="9" t="str">
        <f>IF(DADOS!C9686="","",DADOS!C9686)</f>
        <v/>
      </c>
      <c r="F9686" s="9" t="str">
        <f>IF(DADOS!E9686="","",DADOS!E9686)</f>
        <v/>
      </c>
      <c r="G9686" s="9" t="str">
        <f>IF(DADOS!F9686="","",DADOS!F9686)</f>
        <v/>
      </c>
      <c r="K9686" s="6" t="str">
        <f t="shared" si="760"/>
        <v/>
      </c>
      <c r="L9686" s="7" t="str">
        <f t="shared" si="761"/>
        <v/>
      </c>
      <c r="M9686" s="7" t="str">
        <f t="shared" si="758"/>
        <v/>
      </c>
      <c r="N9686" s="7" t="str">
        <f t="shared" si="762"/>
        <v/>
      </c>
      <c r="O9686" s="8"/>
      <c r="P9686" s="26"/>
      <c r="S9686" s="10" t="str">
        <f t="shared" si="759"/>
        <v/>
      </c>
    </row>
    <row r="9687" spans="5:19" x14ac:dyDescent="0.3">
      <c r="E9687" s="9" t="str">
        <f>IF(DADOS!C9687="","",DADOS!C9687)</f>
        <v/>
      </c>
      <c r="F9687" s="9" t="str">
        <f>IF(DADOS!E9687="","",DADOS!E9687)</f>
        <v/>
      </c>
      <c r="G9687" s="9" t="str">
        <f>IF(DADOS!F9687="","",DADOS!F9687)</f>
        <v/>
      </c>
      <c r="K9687" s="6" t="str">
        <f t="shared" si="760"/>
        <v/>
      </c>
      <c r="L9687" s="7" t="str">
        <f t="shared" si="761"/>
        <v/>
      </c>
      <c r="M9687" s="7" t="str">
        <f t="shared" si="758"/>
        <v/>
      </c>
      <c r="N9687" s="7" t="str">
        <f t="shared" si="762"/>
        <v/>
      </c>
      <c r="O9687" s="8"/>
      <c r="P9687" s="26"/>
      <c r="S9687" s="10" t="str">
        <f t="shared" si="759"/>
        <v/>
      </c>
    </row>
    <row r="9688" spans="5:19" x14ac:dyDescent="0.3">
      <c r="E9688" s="9" t="str">
        <f>IF(DADOS!C9688="","",DADOS!C9688)</f>
        <v/>
      </c>
      <c r="F9688" s="9" t="str">
        <f>IF(DADOS!E9688="","",DADOS!E9688)</f>
        <v/>
      </c>
      <c r="G9688" s="9" t="str">
        <f>IF(DADOS!F9688="","",DADOS!F9688)</f>
        <v/>
      </c>
      <c r="K9688" s="6" t="str">
        <f t="shared" si="760"/>
        <v/>
      </c>
      <c r="L9688" s="7" t="str">
        <f t="shared" si="761"/>
        <v/>
      </c>
      <c r="M9688" s="7" t="str">
        <f t="shared" si="758"/>
        <v/>
      </c>
      <c r="N9688" s="7" t="str">
        <f t="shared" si="762"/>
        <v/>
      </c>
      <c r="O9688" s="8"/>
      <c r="P9688" s="26"/>
      <c r="S9688" s="10" t="str">
        <f t="shared" si="759"/>
        <v/>
      </c>
    </row>
    <row r="9689" spans="5:19" x14ac:dyDescent="0.3">
      <c r="E9689" s="9" t="str">
        <f>IF(DADOS!C9689="","",DADOS!C9689)</f>
        <v/>
      </c>
      <c r="F9689" s="9" t="str">
        <f>IF(DADOS!E9689="","",DADOS!E9689)</f>
        <v/>
      </c>
      <c r="G9689" s="9" t="str">
        <f>IF(DADOS!F9689="","",DADOS!F9689)</f>
        <v/>
      </c>
      <c r="K9689" s="6" t="str">
        <f t="shared" si="760"/>
        <v/>
      </c>
      <c r="L9689" s="7" t="str">
        <f t="shared" si="761"/>
        <v/>
      </c>
      <c r="M9689" s="7" t="str">
        <f t="shared" si="758"/>
        <v/>
      </c>
      <c r="N9689" s="7" t="str">
        <f t="shared" si="762"/>
        <v/>
      </c>
      <c r="O9689" s="8"/>
      <c r="P9689" s="26"/>
      <c r="S9689" s="10" t="str">
        <f t="shared" si="759"/>
        <v/>
      </c>
    </row>
    <row r="9690" spans="5:19" x14ac:dyDescent="0.3">
      <c r="E9690" s="9" t="str">
        <f>IF(DADOS!C9690="","",DADOS!C9690)</f>
        <v/>
      </c>
      <c r="F9690" s="9" t="str">
        <f>IF(DADOS!E9690="","",DADOS!E9690)</f>
        <v/>
      </c>
      <c r="G9690" s="9" t="str">
        <f>IF(DADOS!F9690="","",DADOS!F9690)</f>
        <v/>
      </c>
      <c r="K9690" s="6" t="str">
        <f t="shared" si="760"/>
        <v/>
      </c>
      <c r="L9690" s="7" t="str">
        <f t="shared" si="761"/>
        <v/>
      </c>
      <c r="M9690" s="7" t="str">
        <f t="shared" si="758"/>
        <v/>
      </c>
      <c r="N9690" s="7" t="str">
        <f t="shared" si="762"/>
        <v/>
      </c>
      <c r="O9690" s="8"/>
      <c r="P9690" s="26"/>
      <c r="S9690" s="10" t="str">
        <f t="shared" si="759"/>
        <v/>
      </c>
    </row>
    <row r="9691" spans="5:19" x14ac:dyDescent="0.3">
      <c r="E9691" s="9" t="str">
        <f>IF(DADOS!C9691="","",DADOS!C9691)</f>
        <v/>
      </c>
      <c r="F9691" s="9" t="str">
        <f>IF(DADOS!E9691="","",DADOS!E9691)</f>
        <v/>
      </c>
      <c r="G9691" s="9" t="str">
        <f>IF(DADOS!F9691="","",DADOS!F9691)</f>
        <v/>
      </c>
      <c r="K9691" s="6" t="str">
        <f t="shared" si="760"/>
        <v/>
      </c>
      <c r="L9691" s="7" t="str">
        <f t="shared" si="761"/>
        <v/>
      </c>
      <c r="M9691" s="7" t="str">
        <f t="shared" si="758"/>
        <v/>
      </c>
      <c r="N9691" s="7" t="str">
        <f t="shared" si="762"/>
        <v/>
      </c>
      <c r="O9691" s="8"/>
      <c r="P9691" s="26"/>
      <c r="S9691" s="10" t="str">
        <f t="shared" si="759"/>
        <v/>
      </c>
    </row>
    <row r="9692" spans="5:19" x14ac:dyDescent="0.3">
      <c r="E9692" s="9" t="str">
        <f>IF(DADOS!C9692="","",DADOS!C9692)</f>
        <v/>
      </c>
      <c r="F9692" s="9" t="str">
        <f>IF(DADOS!E9692="","",DADOS!E9692)</f>
        <v/>
      </c>
      <c r="G9692" s="9" t="str">
        <f>IF(DADOS!F9692="","",DADOS!F9692)</f>
        <v/>
      </c>
      <c r="K9692" s="6" t="str">
        <f t="shared" si="760"/>
        <v/>
      </c>
      <c r="L9692" s="7" t="str">
        <f t="shared" si="761"/>
        <v/>
      </c>
      <c r="M9692" s="7" t="str">
        <f t="shared" si="758"/>
        <v/>
      </c>
      <c r="N9692" s="7" t="str">
        <f t="shared" si="762"/>
        <v/>
      </c>
      <c r="O9692" s="8"/>
      <c r="P9692" s="26"/>
      <c r="S9692" s="10" t="str">
        <f t="shared" si="759"/>
        <v/>
      </c>
    </row>
    <row r="9693" spans="5:19" x14ac:dyDescent="0.3">
      <c r="E9693" s="9" t="str">
        <f>IF(DADOS!C9693="","",DADOS!C9693)</f>
        <v/>
      </c>
      <c r="F9693" s="9" t="str">
        <f>IF(DADOS!E9693="","",DADOS!E9693)</f>
        <v/>
      </c>
      <c r="G9693" s="9" t="str">
        <f>IF(DADOS!F9693="","",DADOS!F9693)</f>
        <v/>
      </c>
      <c r="K9693" s="6" t="str">
        <f t="shared" si="760"/>
        <v/>
      </c>
      <c r="L9693" s="7" t="str">
        <f t="shared" si="761"/>
        <v/>
      </c>
      <c r="M9693" s="7" t="str">
        <f t="shared" si="758"/>
        <v/>
      </c>
      <c r="N9693" s="7" t="str">
        <f t="shared" si="762"/>
        <v/>
      </c>
      <c r="O9693" s="8"/>
      <c r="P9693" s="26"/>
      <c r="S9693" s="10" t="str">
        <f t="shared" si="759"/>
        <v/>
      </c>
    </row>
    <row r="9694" spans="5:19" x14ac:dyDescent="0.3">
      <c r="E9694" s="9" t="str">
        <f>IF(DADOS!C9694="","",DADOS!C9694)</f>
        <v/>
      </c>
      <c r="F9694" s="9" t="str">
        <f>IF(DADOS!E9694="","",DADOS!E9694)</f>
        <v/>
      </c>
      <c r="G9694" s="9" t="str">
        <f>IF(DADOS!F9694="","",DADOS!F9694)</f>
        <v/>
      </c>
      <c r="K9694" s="6" t="str">
        <f t="shared" si="760"/>
        <v/>
      </c>
      <c r="L9694" s="7" t="str">
        <f t="shared" si="761"/>
        <v/>
      </c>
      <c r="M9694" s="7" t="str">
        <f t="shared" si="758"/>
        <v/>
      </c>
      <c r="N9694" s="7" t="str">
        <f t="shared" si="762"/>
        <v/>
      </c>
      <c r="O9694" s="8"/>
      <c r="P9694" s="26"/>
      <c r="S9694" s="10" t="str">
        <f t="shared" si="759"/>
        <v/>
      </c>
    </row>
    <row r="9695" spans="5:19" x14ac:dyDescent="0.3">
      <c r="E9695" s="9" t="str">
        <f>IF(DADOS!C9695="","",DADOS!C9695)</f>
        <v/>
      </c>
      <c r="F9695" s="9" t="str">
        <f>IF(DADOS!E9695="","",DADOS!E9695)</f>
        <v/>
      </c>
      <c r="G9695" s="9" t="str">
        <f>IF(DADOS!F9695="","",DADOS!F9695)</f>
        <v/>
      </c>
      <c r="K9695" s="6" t="str">
        <f t="shared" si="760"/>
        <v/>
      </c>
      <c r="L9695" s="7" t="str">
        <f t="shared" si="761"/>
        <v/>
      </c>
      <c r="M9695" s="7" t="str">
        <f t="shared" si="758"/>
        <v/>
      </c>
      <c r="N9695" s="7" t="str">
        <f t="shared" si="762"/>
        <v/>
      </c>
      <c r="O9695" s="8"/>
      <c r="P9695" s="26"/>
      <c r="S9695" s="10" t="str">
        <f t="shared" si="759"/>
        <v/>
      </c>
    </row>
    <row r="9696" spans="5:19" x14ac:dyDescent="0.3">
      <c r="E9696" s="9" t="str">
        <f>IF(DADOS!C9696="","",DADOS!C9696)</f>
        <v/>
      </c>
      <c r="F9696" s="9" t="str">
        <f>IF(DADOS!E9696="","",DADOS!E9696)</f>
        <v/>
      </c>
      <c r="G9696" s="9" t="str">
        <f>IF(DADOS!F9696="","",DADOS!F9696)</f>
        <v/>
      </c>
      <c r="K9696" s="6" t="str">
        <f t="shared" si="760"/>
        <v/>
      </c>
      <c r="L9696" s="7" t="str">
        <f t="shared" si="761"/>
        <v/>
      </c>
      <c r="M9696" s="7" t="str">
        <f t="shared" si="758"/>
        <v/>
      </c>
      <c r="N9696" s="7" t="str">
        <f t="shared" si="762"/>
        <v/>
      </c>
      <c r="O9696" s="8"/>
      <c r="P9696" s="26"/>
      <c r="S9696" s="10" t="str">
        <f t="shared" si="759"/>
        <v/>
      </c>
    </row>
    <row r="9697" spans="5:19" x14ac:dyDescent="0.3">
      <c r="E9697" s="9" t="str">
        <f>IF(DADOS!C9697="","",DADOS!C9697)</f>
        <v/>
      </c>
      <c r="F9697" s="9" t="str">
        <f>IF(DADOS!E9697="","",DADOS!E9697)</f>
        <v/>
      </c>
      <c r="G9697" s="9" t="str">
        <f>IF(DADOS!F9697="","",DADOS!F9697)</f>
        <v/>
      </c>
      <c r="K9697" s="6" t="str">
        <f t="shared" si="760"/>
        <v/>
      </c>
      <c r="L9697" s="7" t="str">
        <f t="shared" si="761"/>
        <v/>
      </c>
      <c r="M9697" s="7" t="str">
        <f t="shared" si="758"/>
        <v/>
      </c>
      <c r="N9697" s="7" t="str">
        <f t="shared" si="762"/>
        <v/>
      </c>
      <c r="O9697" s="8"/>
      <c r="P9697" s="26"/>
      <c r="S9697" s="10" t="str">
        <f t="shared" si="759"/>
        <v/>
      </c>
    </row>
    <row r="9698" spans="5:19" x14ac:dyDescent="0.3">
      <c r="E9698" s="9" t="str">
        <f>IF(DADOS!C9698="","",DADOS!C9698)</f>
        <v/>
      </c>
      <c r="F9698" s="9" t="str">
        <f>IF(DADOS!E9698="","",DADOS!E9698)</f>
        <v/>
      </c>
      <c r="G9698" s="9" t="str">
        <f>IF(DADOS!F9698="","",DADOS!F9698)</f>
        <v/>
      </c>
      <c r="K9698" s="6" t="str">
        <f t="shared" si="760"/>
        <v/>
      </c>
      <c r="L9698" s="7" t="str">
        <f t="shared" si="761"/>
        <v/>
      </c>
      <c r="M9698" s="7" t="str">
        <f t="shared" si="758"/>
        <v/>
      </c>
      <c r="N9698" s="7" t="str">
        <f t="shared" si="762"/>
        <v/>
      </c>
      <c r="O9698" s="8"/>
      <c r="P9698" s="26"/>
      <c r="S9698" s="10" t="str">
        <f t="shared" si="759"/>
        <v/>
      </c>
    </row>
    <row r="9699" spans="5:19" x14ac:dyDescent="0.3">
      <c r="E9699" s="9" t="str">
        <f>IF(DADOS!C9699="","",DADOS!C9699)</f>
        <v/>
      </c>
      <c r="F9699" s="9" t="str">
        <f>IF(DADOS!E9699="","",DADOS!E9699)</f>
        <v/>
      </c>
      <c r="G9699" s="9" t="str">
        <f>IF(DADOS!F9699="","",DADOS!F9699)</f>
        <v/>
      </c>
      <c r="K9699" s="6" t="str">
        <f t="shared" si="760"/>
        <v/>
      </c>
      <c r="L9699" s="7" t="str">
        <f t="shared" si="761"/>
        <v/>
      </c>
      <c r="M9699" s="7" t="str">
        <f t="shared" si="758"/>
        <v/>
      </c>
      <c r="N9699" s="7" t="str">
        <f t="shared" si="762"/>
        <v/>
      </c>
      <c r="O9699" s="8"/>
      <c r="P9699" s="26"/>
      <c r="S9699" s="10" t="str">
        <f t="shared" si="759"/>
        <v/>
      </c>
    </row>
    <row r="9700" spans="5:19" x14ac:dyDescent="0.3">
      <c r="E9700" s="9" t="str">
        <f>IF(DADOS!C9700="","",DADOS!C9700)</f>
        <v/>
      </c>
      <c r="F9700" s="9" t="str">
        <f>IF(DADOS!E9700="","",DADOS!E9700)</f>
        <v/>
      </c>
      <c r="G9700" s="9" t="str">
        <f>IF(DADOS!F9700="","",DADOS!F9700)</f>
        <v/>
      </c>
      <c r="K9700" s="6" t="str">
        <f t="shared" si="760"/>
        <v/>
      </c>
      <c r="L9700" s="7" t="str">
        <f t="shared" si="761"/>
        <v/>
      </c>
      <c r="M9700" s="7" t="str">
        <f t="shared" si="758"/>
        <v/>
      </c>
      <c r="N9700" s="7" t="str">
        <f t="shared" si="762"/>
        <v/>
      </c>
      <c r="O9700" s="8"/>
      <c r="P9700" s="26"/>
      <c r="S9700" s="10" t="str">
        <f t="shared" si="759"/>
        <v/>
      </c>
    </row>
    <row r="9701" spans="5:19" x14ac:dyDescent="0.3">
      <c r="E9701" s="9" t="str">
        <f>IF(DADOS!C9701="","",DADOS!C9701)</f>
        <v/>
      </c>
      <c r="F9701" s="9" t="str">
        <f>IF(DADOS!E9701="","",DADOS!E9701)</f>
        <v/>
      </c>
      <c r="G9701" s="9" t="str">
        <f>IF(DADOS!F9701="","",DADOS!F9701)</f>
        <v/>
      </c>
      <c r="K9701" s="6" t="str">
        <f t="shared" si="760"/>
        <v/>
      </c>
      <c r="L9701" s="7" t="str">
        <f t="shared" si="761"/>
        <v/>
      </c>
      <c r="M9701" s="7" t="str">
        <f t="shared" si="758"/>
        <v/>
      </c>
      <c r="N9701" s="7" t="str">
        <f t="shared" si="762"/>
        <v/>
      </c>
      <c r="O9701" s="8"/>
      <c r="P9701" s="26"/>
      <c r="S9701" s="10" t="str">
        <f t="shared" si="759"/>
        <v/>
      </c>
    </row>
    <row r="9702" spans="5:19" x14ac:dyDescent="0.3">
      <c r="E9702" s="9" t="str">
        <f>IF(DADOS!C9702="","",DADOS!C9702)</f>
        <v/>
      </c>
      <c r="F9702" s="9" t="str">
        <f>IF(DADOS!E9702="","",DADOS!E9702)</f>
        <v/>
      </c>
      <c r="G9702" s="9" t="str">
        <f>IF(DADOS!F9702="","",DADOS!F9702)</f>
        <v/>
      </c>
      <c r="K9702" s="6" t="str">
        <f t="shared" si="760"/>
        <v/>
      </c>
      <c r="L9702" s="7" t="str">
        <f t="shared" si="761"/>
        <v/>
      </c>
      <c r="M9702" s="7" t="str">
        <f t="shared" si="758"/>
        <v/>
      </c>
      <c r="N9702" s="7" t="str">
        <f t="shared" si="762"/>
        <v/>
      </c>
      <c r="O9702" s="8"/>
      <c r="P9702" s="26"/>
      <c r="S9702" s="10" t="str">
        <f t="shared" si="759"/>
        <v/>
      </c>
    </row>
    <row r="9703" spans="5:19" x14ac:dyDescent="0.3">
      <c r="E9703" s="9" t="str">
        <f>IF(DADOS!C9703="","",DADOS!C9703)</f>
        <v/>
      </c>
      <c r="F9703" s="9" t="str">
        <f>IF(DADOS!E9703="","",DADOS!E9703)</f>
        <v/>
      </c>
      <c r="G9703" s="9" t="str">
        <f>IF(DADOS!F9703="","",DADOS!F9703)</f>
        <v/>
      </c>
      <c r="K9703" s="6" t="str">
        <f t="shared" si="760"/>
        <v/>
      </c>
      <c r="L9703" s="7" t="str">
        <f t="shared" si="761"/>
        <v/>
      </c>
      <c r="M9703" s="7" t="str">
        <f t="shared" si="758"/>
        <v/>
      </c>
      <c r="N9703" s="7" t="str">
        <f t="shared" si="762"/>
        <v/>
      </c>
      <c r="O9703" s="8"/>
      <c r="P9703" s="26"/>
      <c r="S9703" s="10" t="str">
        <f t="shared" si="759"/>
        <v/>
      </c>
    </row>
    <row r="9704" spans="5:19" x14ac:dyDescent="0.3">
      <c r="E9704" s="9" t="str">
        <f>IF(DADOS!C9704="","",DADOS!C9704)</f>
        <v/>
      </c>
      <c r="F9704" s="9" t="str">
        <f>IF(DADOS!E9704="","",DADOS!E9704)</f>
        <v/>
      </c>
      <c r="G9704" s="9" t="str">
        <f>IF(DADOS!F9704="","",DADOS!F9704)</f>
        <v/>
      </c>
      <c r="K9704" s="6" t="str">
        <f t="shared" si="760"/>
        <v/>
      </c>
      <c r="L9704" s="7" t="str">
        <f t="shared" si="761"/>
        <v/>
      </c>
      <c r="M9704" s="7" t="str">
        <f t="shared" si="758"/>
        <v/>
      </c>
      <c r="N9704" s="7" t="str">
        <f t="shared" si="762"/>
        <v/>
      </c>
      <c r="O9704" s="8"/>
      <c r="P9704" s="26"/>
      <c r="S9704" s="10" t="str">
        <f t="shared" si="759"/>
        <v/>
      </c>
    </row>
    <row r="9705" spans="5:19" x14ac:dyDescent="0.3">
      <c r="E9705" s="9" t="str">
        <f>IF(DADOS!C9705="","",DADOS!C9705)</f>
        <v/>
      </c>
      <c r="F9705" s="9" t="str">
        <f>IF(DADOS!E9705="","",DADOS!E9705)</f>
        <v/>
      </c>
      <c r="G9705" s="9" t="str">
        <f>IF(DADOS!F9705="","",DADOS!F9705)</f>
        <v/>
      </c>
      <c r="K9705" s="6" t="str">
        <f t="shared" si="760"/>
        <v/>
      </c>
      <c r="L9705" s="7" t="str">
        <f t="shared" si="761"/>
        <v/>
      </c>
      <c r="M9705" s="7" t="str">
        <f t="shared" si="758"/>
        <v/>
      </c>
      <c r="N9705" s="7" t="str">
        <f t="shared" si="762"/>
        <v/>
      </c>
      <c r="O9705" s="8"/>
      <c r="P9705" s="26"/>
      <c r="S9705" s="10" t="str">
        <f t="shared" si="759"/>
        <v/>
      </c>
    </row>
    <row r="9706" spans="5:19" x14ac:dyDescent="0.3">
      <c r="E9706" s="9" t="str">
        <f>IF(DADOS!C9706="","",DADOS!C9706)</f>
        <v/>
      </c>
      <c r="F9706" s="9" t="str">
        <f>IF(DADOS!E9706="","",DADOS!E9706)</f>
        <v/>
      </c>
      <c r="G9706" s="9" t="str">
        <f>IF(DADOS!F9706="","",DADOS!F9706)</f>
        <v/>
      </c>
      <c r="K9706" s="6" t="str">
        <f t="shared" si="760"/>
        <v/>
      </c>
      <c r="L9706" s="7" t="str">
        <f t="shared" si="761"/>
        <v/>
      </c>
      <c r="M9706" s="7" t="str">
        <f t="shared" si="758"/>
        <v/>
      </c>
      <c r="N9706" s="7" t="str">
        <f t="shared" si="762"/>
        <v/>
      </c>
      <c r="O9706" s="8"/>
      <c r="P9706" s="26"/>
      <c r="S9706" s="10" t="str">
        <f t="shared" si="759"/>
        <v/>
      </c>
    </row>
    <row r="9707" spans="5:19" x14ac:dyDescent="0.3">
      <c r="E9707" s="9" t="str">
        <f>IF(DADOS!C9707="","",DADOS!C9707)</f>
        <v/>
      </c>
      <c r="F9707" s="9" t="str">
        <f>IF(DADOS!E9707="","",DADOS!E9707)</f>
        <v/>
      </c>
      <c r="G9707" s="9" t="str">
        <f>IF(DADOS!F9707="","",DADOS!F9707)</f>
        <v/>
      </c>
      <c r="K9707" s="6" t="str">
        <f t="shared" si="760"/>
        <v/>
      </c>
      <c r="L9707" s="7" t="str">
        <f t="shared" si="761"/>
        <v/>
      </c>
      <c r="M9707" s="7" t="str">
        <f t="shared" si="758"/>
        <v/>
      </c>
      <c r="N9707" s="7" t="str">
        <f t="shared" si="762"/>
        <v/>
      </c>
      <c r="O9707" s="8"/>
      <c r="P9707" s="26"/>
      <c r="S9707" s="10" t="str">
        <f t="shared" si="759"/>
        <v/>
      </c>
    </row>
    <row r="9708" spans="5:19" x14ac:dyDescent="0.3">
      <c r="E9708" s="9" t="str">
        <f>IF(DADOS!C9708="","",DADOS!C9708)</f>
        <v/>
      </c>
      <c r="F9708" s="9" t="str">
        <f>IF(DADOS!E9708="","",DADOS!E9708)</f>
        <v/>
      </c>
      <c r="G9708" s="9" t="str">
        <f>IF(DADOS!F9708="","",DADOS!F9708)</f>
        <v/>
      </c>
      <c r="K9708" s="6" t="str">
        <f t="shared" si="760"/>
        <v/>
      </c>
      <c r="L9708" s="7" t="str">
        <f t="shared" si="761"/>
        <v/>
      </c>
      <c r="M9708" s="7" t="str">
        <f t="shared" si="758"/>
        <v/>
      </c>
      <c r="N9708" s="7" t="str">
        <f t="shared" si="762"/>
        <v/>
      </c>
      <c r="O9708" s="8"/>
      <c r="P9708" s="26"/>
      <c r="S9708" s="10" t="str">
        <f t="shared" si="759"/>
        <v/>
      </c>
    </row>
    <row r="9709" spans="5:19" x14ac:dyDescent="0.3">
      <c r="E9709" s="9" t="str">
        <f>IF(DADOS!C9709="","",DADOS!C9709)</f>
        <v/>
      </c>
      <c r="F9709" s="9" t="str">
        <f>IF(DADOS!E9709="","",DADOS!E9709)</f>
        <v/>
      </c>
      <c r="G9709" s="9" t="str">
        <f>IF(DADOS!F9709="","",DADOS!F9709)</f>
        <v/>
      </c>
      <c r="K9709" s="6" t="str">
        <f t="shared" si="760"/>
        <v/>
      </c>
      <c r="L9709" s="7" t="str">
        <f t="shared" si="761"/>
        <v/>
      </c>
      <c r="M9709" s="7" t="str">
        <f t="shared" si="758"/>
        <v/>
      </c>
      <c r="N9709" s="7" t="str">
        <f t="shared" si="762"/>
        <v/>
      </c>
      <c r="O9709" s="8"/>
      <c r="P9709" s="26"/>
      <c r="S9709" s="10" t="str">
        <f t="shared" si="759"/>
        <v/>
      </c>
    </row>
    <row r="9710" spans="5:19" x14ac:dyDescent="0.3">
      <c r="E9710" s="9" t="str">
        <f>IF(DADOS!C9710="","",DADOS!C9710)</f>
        <v/>
      </c>
      <c r="F9710" s="9" t="str">
        <f>IF(DADOS!E9710="","",DADOS!E9710)</f>
        <v/>
      </c>
      <c r="G9710" s="9" t="str">
        <f>IF(DADOS!F9710="","",DADOS!F9710)</f>
        <v/>
      </c>
      <c r="K9710" s="6" t="str">
        <f t="shared" si="760"/>
        <v/>
      </c>
      <c r="L9710" s="7" t="str">
        <f t="shared" si="761"/>
        <v/>
      </c>
      <c r="M9710" s="7" t="str">
        <f t="shared" si="758"/>
        <v/>
      </c>
      <c r="N9710" s="7" t="str">
        <f t="shared" si="762"/>
        <v/>
      </c>
      <c r="O9710" s="8"/>
      <c r="P9710" s="26"/>
      <c r="S9710" s="10" t="str">
        <f t="shared" si="759"/>
        <v/>
      </c>
    </row>
    <row r="9711" spans="5:19" x14ac:dyDescent="0.3">
      <c r="E9711" s="9" t="str">
        <f>IF(DADOS!C9711="","",DADOS!C9711)</f>
        <v/>
      </c>
      <c r="F9711" s="9" t="str">
        <f>IF(DADOS!E9711="","",DADOS!E9711)</f>
        <v/>
      </c>
      <c r="G9711" s="9" t="str">
        <f>IF(DADOS!F9711="","",DADOS!F9711)</f>
        <v/>
      </c>
      <c r="K9711" s="6" t="str">
        <f t="shared" si="760"/>
        <v/>
      </c>
      <c r="L9711" s="7" t="str">
        <f t="shared" si="761"/>
        <v/>
      </c>
      <c r="M9711" s="7" t="str">
        <f t="shared" si="758"/>
        <v/>
      </c>
      <c r="N9711" s="7" t="str">
        <f t="shared" si="762"/>
        <v/>
      </c>
      <c r="O9711" s="8"/>
      <c r="P9711" s="26"/>
      <c r="S9711" s="10" t="str">
        <f t="shared" si="759"/>
        <v/>
      </c>
    </row>
    <row r="9712" spans="5:19" x14ac:dyDescent="0.3">
      <c r="E9712" s="9" t="str">
        <f>IF(DADOS!C9712="","",DADOS!C9712)</f>
        <v/>
      </c>
      <c r="F9712" s="9" t="str">
        <f>IF(DADOS!E9712="","",DADOS!E9712)</f>
        <v/>
      </c>
      <c r="G9712" s="9" t="str">
        <f>IF(DADOS!F9712="","",DADOS!F9712)</f>
        <v/>
      </c>
      <c r="K9712" s="6" t="str">
        <f t="shared" si="760"/>
        <v/>
      </c>
      <c r="L9712" s="7" t="str">
        <f t="shared" si="761"/>
        <v/>
      </c>
      <c r="M9712" s="7" t="str">
        <f t="shared" si="758"/>
        <v/>
      </c>
      <c r="N9712" s="7" t="str">
        <f t="shared" si="762"/>
        <v/>
      </c>
      <c r="O9712" s="8"/>
      <c r="P9712" s="26"/>
      <c r="S9712" s="10" t="str">
        <f t="shared" si="759"/>
        <v/>
      </c>
    </row>
    <row r="9713" spans="5:19" x14ac:dyDescent="0.3">
      <c r="E9713" s="9" t="str">
        <f>IF(DADOS!C9713="","",DADOS!C9713)</f>
        <v/>
      </c>
      <c r="F9713" s="9" t="str">
        <f>IF(DADOS!E9713="","",DADOS!E9713)</f>
        <v/>
      </c>
      <c r="G9713" s="9" t="str">
        <f>IF(DADOS!F9713="","",DADOS!F9713)</f>
        <v/>
      </c>
      <c r="K9713" s="6" t="str">
        <f t="shared" si="760"/>
        <v/>
      </c>
      <c r="L9713" s="7" t="str">
        <f t="shared" si="761"/>
        <v/>
      </c>
      <c r="M9713" s="7" t="str">
        <f t="shared" si="758"/>
        <v/>
      </c>
      <c r="N9713" s="7" t="str">
        <f t="shared" si="762"/>
        <v/>
      </c>
      <c r="O9713" s="8"/>
      <c r="P9713" s="26"/>
      <c r="S9713" s="10" t="str">
        <f t="shared" si="759"/>
        <v/>
      </c>
    </row>
    <row r="9714" spans="5:19" x14ac:dyDescent="0.3">
      <c r="E9714" s="9" t="str">
        <f>IF(DADOS!C9714="","",DADOS!C9714)</f>
        <v/>
      </c>
      <c r="F9714" s="9" t="str">
        <f>IF(DADOS!E9714="","",DADOS!E9714)</f>
        <v/>
      </c>
      <c r="G9714" s="9" t="str">
        <f>IF(DADOS!F9714="","",DADOS!F9714)</f>
        <v/>
      </c>
      <c r="K9714" s="6" t="str">
        <f t="shared" si="760"/>
        <v/>
      </c>
      <c r="L9714" s="7" t="str">
        <f t="shared" si="761"/>
        <v/>
      </c>
      <c r="M9714" s="7" t="str">
        <f t="shared" si="758"/>
        <v/>
      </c>
      <c r="N9714" s="7" t="str">
        <f t="shared" si="762"/>
        <v/>
      </c>
      <c r="O9714" s="8"/>
      <c r="P9714" s="26"/>
      <c r="S9714" s="10" t="str">
        <f t="shared" si="759"/>
        <v/>
      </c>
    </row>
    <row r="9715" spans="5:19" x14ac:dyDescent="0.3">
      <c r="E9715" s="9" t="str">
        <f>IF(DADOS!C9715="","",DADOS!C9715)</f>
        <v/>
      </c>
      <c r="F9715" s="9" t="str">
        <f>IF(DADOS!E9715="","",DADOS!E9715)</f>
        <v/>
      </c>
      <c r="G9715" s="9" t="str">
        <f>IF(DADOS!F9715="","",DADOS!F9715)</f>
        <v/>
      </c>
      <c r="K9715" s="6" t="str">
        <f t="shared" si="760"/>
        <v/>
      </c>
      <c r="L9715" s="7" t="str">
        <f t="shared" si="761"/>
        <v/>
      </c>
      <c r="M9715" s="7" t="str">
        <f t="shared" si="758"/>
        <v/>
      </c>
      <c r="N9715" s="7" t="str">
        <f t="shared" si="762"/>
        <v/>
      </c>
      <c r="O9715" s="8"/>
      <c r="P9715" s="26"/>
      <c r="S9715" s="10" t="str">
        <f t="shared" si="759"/>
        <v/>
      </c>
    </row>
    <row r="9716" spans="5:19" x14ac:dyDescent="0.3">
      <c r="E9716" s="9" t="str">
        <f>IF(DADOS!C9716="","",DADOS!C9716)</f>
        <v/>
      </c>
      <c r="F9716" s="9" t="str">
        <f>IF(DADOS!E9716="","",DADOS!E9716)</f>
        <v/>
      </c>
      <c r="G9716" s="9" t="str">
        <f>IF(DADOS!F9716="","",DADOS!F9716)</f>
        <v/>
      </c>
      <c r="K9716" s="6" t="str">
        <f t="shared" si="760"/>
        <v/>
      </c>
      <c r="L9716" s="7" t="str">
        <f t="shared" si="761"/>
        <v/>
      </c>
      <c r="M9716" s="7" t="str">
        <f t="shared" si="758"/>
        <v/>
      </c>
      <c r="N9716" s="7" t="str">
        <f t="shared" si="762"/>
        <v/>
      </c>
      <c r="O9716" s="8"/>
      <c r="P9716" s="26"/>
      <c r="S9716" s="10" t="str">
        <f t="shared" si="759"/>
        <v/>
      </c>
    </row>
    <row r="9717" spans="5:19" x14ac:dyDescent="0.3">
      <c r="E9717" s="9" t="str">
        <f>IF(DADOS!C9717="","",DADOS!C9717)</f>
        <v/>
      </c>
      <c r="F9717" s="9" t="str">
        <f>IF(DADOS!E9717="","",DADOS!E9717)</f>
        <v/>
      </c>
      <c r="G9717" s="9" t="str">
        <f>IF(DADOS!F9717="","",DADOS!F9717)</f>
        <v/>
      </c>
      <c r="K9717" s="6" t="str">
        <f t="shared" si="760"/>
        <v/>
      </c>
      <c r="L9717" s="7" t="str">
        <f t="shared" si="761"/>
        <v/>
      </c>
      <c r="M9717" s="7" t="str">
        <f t="shared" si="758"/>
        <v/>
      </c>
      <c r="N9717" s="7" t="str">
        <f t="shared" si="762"/>
        <v/>
      </c>
      <c r="O9717" s="8"/>
      <c r="P9717" s="26"/>
      <c r="S9717" s="10" t="str">
        <f t="shared" si="759"/>
        <v/>
      </c>
    </row>
    <row r="9718" spans="5:19" x14ac:dyDescent="0.3">
      <c r="E9718" s="9" t="str">
        <f>IF(DADOS!C9718="","",DADOS!C9718)</f>
        <v/>
      </c>
      <c r="F9718" s="9" t="str">
        <f>IF(DADOS!E9718="","",DADOS!E9718)</f>
        <v/>
      </c>
      <c r="G9718" s="9" t="str">
        <f>IF(DADOS!F9718="","",DADOS!F9718)</f>
        <v/>
      </c>
      <c r="K9718" s="6" t="str">
        <f t="shared" si="760"/>
        <v/>
      </c>
      <c r="L9718" s="7" t="str">
        <f t="shared" si="761"/>
        <v/>
      </c>
      <c r="M9718" s="7" t="str">
        <f t="shared" si="758"/>
        <v/>
      </c>
      <c r="N9718" s="7" t="str">
        <f t="shared" si="762"/>
        <v/>
      </c>
      <c r="O9718" s="8"/>
      <c r="P9718" s="26"/>
      <c r="S9718" s="10" t="str">
        <f t="shared" si="759"/>
        <v/>
      </c>
    </row>
    <row r="9719" spans="5:19" x14ac:dyDescent="0.3">
      <c r="E9719" s="9" t="str">
        <f>IF(DADOS!C9719="","",DADOS!C9719)</f>
        <v/>
      </c>
      <c r="F9719" s="9" t="str">
        <f>IF(DADOS!E9719="","",DADOS!E9719)</f>
        <v/>
      </c>
      <c r="G9719" s="9" t="str">
        <f>IF(DADOS!F9719="","",DADOS!F9719)</f>
        <v/>
      </c>
      <c r="K9719" s="6" t="str">
        <f t="shared" si="760"/>
        <v/>
      </c>
      <c r="L9719" s="7" t="str">
        <f t="shared" si="761"/>
        <v/>
      </c>
      <c r="M9719" s="7" t="str">
        <f t="shared" si="758"/>
        <v/>
      </c>
      <c r="N9719" s="7" t="str">
        <f t="shared" si="762"/>
        <v/>
      </c>
      <c r="O9719" s="8"/>
      <c r="P9719" s="26"/>
      <c r="S9719" s="10" t="str">
        <f t="shared" si="759"/>
        <v/>
      </c>
    </row>
    <row r="9720" spans="5:19" x14ac:dyDescent="0.3">
      <c r="E9720" s="9" t="str">
        <f>IF(DADOS!C9720="","",DADOS!C9720)</f>
        <v/>
      </c>
      <c r="F9720" s="9" t="str">
        <f>IF(DADOS!E9720="","",DADOS!E9720)</f>
        <v/>
      </c>
      <c r="G9720" s="9" t="str">
        <f>IF(DADOS!F9720="","",DADOS!F9720)</f>
        <v/>
      </c>
      <c r="K9720" s="6" t="str">
        <f t="shared" si="760"/>
        <v/>
      </c>
      <c r="L9720" s="7" t="str">
        <f t="shared" si="761"/>
        <v/>
      </c>
      <c r="M9720" s="7" t="str">
        <f t="shared" si="758"/>
        <v/>
      </c>
      <c r="N9720" s="7" t="str">
        <f t="shared" si="762"/>
        <v/>
      </c>
      <c r="O9720" s="8"/>
      <c r="P9720" s="26"/>
      <c r="S9720" s="10" t="str">
        <f t="shared" si="759"/>
        <v/>
      </c>
    </row>
    <row r="9721" spans="5:19" x14ac:dyDescent="0.3">
      <c r="E9721" s="9" t="str">
        <f>IF(DADOS!C9721="","",DADOS!C9721)</f>
        <v/>
      </c>
      <c r="F9721" s="9" t="str">
        <f>IF(DADOS!E9721="","",DADOS!E9721)</f>
        <v/>
      </c>
      <c r="G9721" s="9" t="str">
        <f>IF(DADOS!F9721="","",DADOS!F9721)</f>
        <v/>
      </c>
      <c r="K9721" s="6" t="str">
        <f t="shared" si="760"/>
        <v/>
      </c>
      <c r="L9721" s="7" t="str">
        <f t="shared" si="761"/>
        <v/>
      </c>
      <c r="M9721" s="7" t="str">
        <f t="shared" si="758"/>
        <v/>
      </c>
      <c r="N9721" s="7" t="str">
        <f t="shared" si="762"/>
        <v/>
      </c>
      <c r="O9721" s="8"/>
      <c r="P9721" s="26"/>
      <c r="S9721" s="10" t="str">
        <f t="shared" si="759"/>
        <v/>
      </c>
    </row>
    <row r="9722" spans="5:19" x14ac:dyDescent="0.3">
      <c r="E9722" s="9" t="str">
        <f>IF(DADOS!C9722="","",DADOS!C9722)</f>
        <v/>
      </c>
      <c r="F9722" s="9" t="str">
        <f>IF(DADOS!E9722="","",DADOS!E9722)</f>
        <v/>
      </c>
      <c r="G9722" s="9" t="str">
        <f>IF(DADOS!F9722="","",DADOS!F9722)</f>
        <v/>
      </c>
      <c r="K9722" s="6" t="str">
        <f t="shared" si="760"/>
        <v/>
      </c>
      <c r="L9722" s="7" t="str">
        <f t="shared" si="761"/>
        <v/>
      </c>
      <c r="M9722" s="7" t="str">
        <f t="shared" si="758"/>
        <v/>
      </c>
      <c r="N9722" s="7" t="str">
        <f t="shared" si="762"/>
        <v/>
      </c>
      <c r="O9722" s="8"/>
      <c r="P9722" s="26"/>
      <c r="S9722" s="10" t="str">
        <f t="shared" si="759"/>
        <v/>
      </c>
    </row>
    <row r="9723" spans="5:19" x14ac:dyDescent="0.3">
      <c r="E9723" s="9" t="str">
        <f>IF(DADOS!C9723="","",DADOS!C9723)</f>
        <v/>
      </c>
      <c r="F9723" s="9" t="str">
        <f>IF(DADOS!E9723="","",DADOS!E9723)</f>
        <v/>
      </c>
      <c r="G9723" s="9" t="str">
        <f>IF(DADOS!F9723="","",DADOS!F9723)</f>
        <v/>
      </c>
      <c r="K9723" s="6" t="str">
        <f t="shared" si="760"/>
        <v/>
      </c>
      <c r="L9723" s="7" t="str">
        <f t="shared" si="761"/>
        <v/>
      </c>
      <c r="M9723" s="7" t="str">
        <f t="shared" si="758"/>
        <v/>
      </c>
      <c r="N9723" s="7" t="str">
        <f t="shared" si="762"/>
        <v/>
      </c>
      <c r="O9723" s="8"/>
      <c r="P9723" s="26"/>
      <c r="S9723" s="10" t="str">
        <f t="shared" si="759"/>
        <v/>
      </c>
    </row>
    <row r="9724" spans="5:19" x14ac:dyDescent="0.3">
      <c r="E9724" s="9" t="str">
        <f>IF(DADOS!C9724="","",DADOS!C9724)</f>
        <v/>
      </c>
      <c r="F9724" s="9" t="str">
        <f>IF(DADOS!E9724="","",DADOS!E9724)</f>
        <v/>
      </c>
      <c r="G9724" s="9" t="str">
        <f>IF(DADOS!F9724="","",DADOS!F9724)</f>
        <v/>
      </c>
      <c r="K9724" s="6" t="str">
        <f t="shared" si="760"/>
        <v/>
      </c>
      <c r="L9724" s="7" t="str">
        <f t="shared" si="761"/>
        <v/>
      </c>
      <c r="M9724" s="7" t="str">
        <f t="shared" si="758"/>
        <v/>
      </c>
      <c r="N9724" s="7" t="str">
        <f t="shared" si="762"/>
        <v/>
      </c>
      <c r="O9724" s="8"/>
      <c r="P9724" s="26"/>
      <c r="S9724" s="10" t="str">
        <f t="shared" si="759"/>
        <v/>
      </c>
    </row>
    <row r="9725" spans="5:19" x14ac:dyDescent="0.3">
      <c r="E9725" s="9" t="str">
        <f>IF(DADOS!C9725="","",DADOS!C9725)</f>
        <v/>
      </c>
      <c r="F9725" s="9" t="str">
        <f>IF(DADOS!E9725="","",DADOS!E9725)</f>
        <v/>
      </c>
      <c r="G9725" s="9" t="str">
        <f>IF(DADOS!F9725="","",DADOS!F9725)</f>
        <v/>
      </c>
      <c r="K9725" s="6" t="str">
        <f t="shared" si="760"/>
        <v/>
      </c>
      <c r="L9725" s="7" t="str">
        <f t="shared" si="761"/>
        <v/>
      </c>
      <c r="M9725" s="7" t="str">
        <f t="shared" si="758"/>
        <v/>
      </c>
      <c r="N9725" s="7" t="str">
        <f t="shared" si="762"/>
        <v/>
      </c>
      <c r="O9725" s="8"/>
      <c r="P9725" s="26"/>
      <c r="S9725" s="10" t="str">
        <f t="shared" si="759"/>
        <v/>
      </c>
    </row>
    <row r="9726" spans="5:19" x14ac:dyDescent="0.3">
      <c r="E9726" s="9" t="str">
        <f>IF(DADOS!C9726="","",DADOS!C9726)</f>
        <v/>
      </c>
      <c r="F9726" s="9" t="str">
        <f>IF(DADOS!E9726="","",DADOS!E9726)</f>
        <v/>
      </c>
      <c r="G9726" s="9" t="str">
        <f>IF(DADOS!F9726="","",DADOS!F9726)</f>
        <v/>
      </c>
      <c r="K9726" s="6" t="str">
        <f t="shared" si="760"/>
        <v/>
      </c>
      <c r="L9726" s="7" t="str">
        <f t="shared" si="761"/>
        <v/>
      </c>
      <c r="M9726" s="7" t="str">
        <f t="shared" si="758"/>
        <v/>
      </c>
      <c r="N9726" s="7" t="str">
        <f t="shared" si="762"/>
        <v/>
      </c>
      <c r="O9726" s="8"/>
      <c r="P9726" s="26"/>
      <c r="S9726" s="10" t="str">
        <f t="shared" si="759"/>
        <v/>
      </c>
    </row>
    <row r="9727" spans="5:19" x14ac:dyDescent="0.3">
      <c r="E9727" s="9" t="str">
        <f>IF(DADOS!C9727="","",DADOS!C9727)</f>
        <v/>
      </c>
      <c r="F9727" s="9" t="str">
        <f>IF(DADOS!E9727="","",DADOS!E9727)</f>
        <v/>
      </c>
      <c r="G9727" s="9" t="str">
        <f>IF(DADOS!F9727="","",DADOS!F9727)</f>
        <v/>
      </c>
      <c r="K9727" s="6" t="str">
        <f t="shared" si="760"/>
        <v/>
      </c>
      <c r="L9727" s="7" t="str">
        <f t="shared" si="761"/>
        <v/>
      </c>
      <c r="M9727" s="7" t="str">
        <f t="shared" si="758"/>
        <v/>
      </c>
      <c r="N9727" s="7" t="str">
        <f t="shared" si="762"/>
        <v/>
      </c>
      <c r="O9727" s="8"/>
      <c r="P9727" s="26"/>
      <c r="S9727" s="10" t="str">
        <f t="shared" si="759"/>
        <v/>
      </c>
    </row>
    <row r="9728" spans="5:19" x14ac:dyDescent="0.3">
      <c r="E9728" s="9" t="str">
        <f>IF(DADOS!C9728="","",DADOS!C9728)</f>
        <v/>
      </c>
      <c r="F9728" s="9" t="str">
        <f>IF(DADOS!E9728="","",DADOS!E9728)</f>
        <v/>
      </c>
      <c r="G9728" s="9" t="str">
        <f>IF(DADOS!F9728="","",DADOS!F9728)</f>
        <v/>
      </c>
      <c r="K9728" s="6" t="str">
        <f t="shared" si="760"/>
        <v/>
      </c>
      <c r="L9728" s="7" t="str">
        <f t="shared" si="761"/>
        <v/>
      </c>
      <c r="M9728" s="7" t="str">
        <f t="shared" si="758"/>
        <v/>
      </c>
      <c r="N9728" s="7" t="str">
        <f t="shared" si="762"/>
        <v/>
      </c>
      <c r="O9728" s="8"/>
      <c r="P9728" s="26"/>
      <c r="S9728" s="10" t="str">
        <f t="shared" si="759"/>
        <v/>
      </c>
    </row>
    <row r="9729" spans="5:19" x14ac:dyDescent="0.3">
      <c r="E9729" s="9" t="str">
        <f>IF(DADOS!C9729="","",DADOS!C9729)</f>
        <v/>
      </c>
      <c r="F9729" s="9" t="str">
        <f>IF(DADOS!E9729="","",DADOS!E9729)</f>
        <v/>
      </c>
      <c r="G9729" s="9" t="str">
        <f>IF(DADOS!F9729="","",DADOS!F9729)</f>
        <v/>
      </c>
      <c r="K9729" s="6" t="str">
        <f t="shared" si="760"/>
        <v/>
      </c>
      <c r="L9729" s="7" t="str">
        <f t="shared" si="761"/>
        <v/>
      </c>
      <c r="M9729" s="7" t="str">
        <f t="shared" si="758"/>
        <v/>
      </c>
      <c r="N9729" s="7" t="str">
        <f t="shared" si="762"/>
        <v/>
      </c>
      <c r="O9729" s="8"/>
      <c r="P9729" s="26"/>
      <c r="S9729" s="10" t="str">
        <f t="shared" si="759"/>
        <v/>
      </c>
    </row>
    <row r="9730" spans="5:19" x14ac:dyDescent="0.3">
      <c r="E9730" s="9" t="str">
        <f>IF(DADOS!C9730="","",DADOS!C9730)</f>
        <v/>
      </c>
      <c r="F9730" s="9" t="str">
        <f>IF(DADOS!E9730="","",DADOS!E9730)</f>
        <v/>
      </c>
      <c r="G9730" s="9" t="str">
        <f>IF(DADOS!F9730="","",DADOS!F9730)</f>
        <v/>
      </c>
      <c r="K9730" s="6" t="str">
        <f t="shared" si="760"/>
        <v/>
      </c>
      <c r="L9730" s="7" t="str">
        <f t="shared" si="761"/>
        <v/>
      </c>
      <c r="M9730" s="7" t="str">
        <f t="shared" si="758"/>
        <v/>
      </c>
      <c r="N9730" s="7" t="str">
        <f t="shared" si="762"/>
        <v/>
      </c>
      <c r="O9730" s="8"/>
      <c r="P9730" s="26"/>
      <c r="S9730" s="10" t="str">
        <f t="shared" si="759"/>
        <v/>
      </c>
    </row>
    <row r="9731" spans="5:19" x14ac:dyDescent="0.3">
      <c r="E9731" s="9" t="str">
        <f>IF(DADOS!C9731="","",DADOS!C9731)</f>
        <v/>
      </c>
      <c r="F9731" s="9" t="str">
        <f>IF(DADOS!E9731="","",DADOS!E9731)</f>
        <v/>
      </c>
      <c r="G9731" s="9" t="str">
        <f>IF(DADOS!F9731="","",DADOS!F9731)</f>
        <v/>
      </c>
      <c r="K9731" s="6" t="str">
        <f t="shared" si="760"/>
        <v/>
      </c>
      <c r="L9731" s="7" t="str">
        <f t="shared" si="761"/>
        <v/>
      </c>
      <c r="M9731" s="7" t="str">
        <f t="shared" ref="M9731:M9794" si="763">IF(L9731="","",L9731*G9731)</f>
        <v/>
      </c>
      <c r="N9731" s="7" t="str">
        <f t="shared" si="762"/>
        <v/>
      </c>
      <c r="O9731" s="8"/>
      <c r="P9731" s="26"/>
      <c r="S9731" s="10" t="str">
        <f t="shared" ref="S9731:S9794" si="764">IF(R9731="","",SUMIFS($N$3:$N$10000,$E$3:$E$10000,R9731))</f>
        <v/>
      </c>
    </row>
    <row r="9732" spans="5:19" x14ac:dyDescent="0.3">
      <c r="E9732" s="9" t="str">
        <f>IF(DADOS!C9732="","",DADOS!C9732)</f>
        <v/>
      </c>
      <c r="F9732" s="9" t="str">
        <f>IF(DADOS!E9732="","",DADOS!E9732)</f>
        <v/>
      </c>
      <c r="G9732" s="9" t="str">
        <f>IF(DADOS!F9732="","",DADOS!F9732)</f>
        <v/>
      </c>
      <c r="K9732" s="6" t="str">
        <f t="shared" ref="K9732:K9795" si="765">IF(F9732="","",F9732/PI())</f>
        <v/>
      </c>
      <c r="L9732" s="7" t="str">
        <f t="shared" ref="L9732:L9795" si="766">IF(K9732="","",(PI()*K9732^2)/40000)</f>
        <v/>
      </c>
      <c r="M9732" s="7" t="str">
        <f t="shared" si="763"/>
        <v/>
      </c>
      <c r="N9732" s="7" t="str">
        <f t="shared" ref="N9732:N9795" si="767">IF(M9732="","",M9732*N$1)</f>
        <v/>
      </c>
      <c r="O9732" s="8"/>
      <c r="P9732" s="26"/>
      <c r="S9732" s="10" t="str">
        <f t="shared" si="764"/>
        <v/>
      </c>
    </row>
    <row r="9733" spans="5:19" x14ac:dyDescent="0.3">
      <c r="E9733" s="9" t="str">
        <f>IF(DADOS!C9733="","",DADOS!C9733)</f>
        <v/>
      </c>
      <c r="F9733" s="9" t="str">
        <f>IF(DADOS!E9733="","",DADOS!E9733)</f>
        <v/>
      </c>
      <c r="G9733" s="9" t="str">
        <f>IF(DADOS!F9733="","",DADOS!F9733)</f>
        <v/>
      </c>
      <c r="K9733" s="6" t="str">
        <f t="shared" si="765"/>
        <v/>
      </c>
      <c r="L9733" s="7" t="str">
        <f t="shared" si="766"/>
        <v/>
      </c>
      <c r="M9733" s="7" t="str">
        <f t="shared" si="763"/>
        <v/>
      </c>
      <c r="N9733" s="7" t="str">
        <f t="shared" si="767"/>
        <v/>
      </c>
      <c r="O9733" s="8"/>
      <c r="P9733" s="26"/>
      <c r="S9733" s="10" t="str">
        <f t="shared" si="764"/>
        <v/>
      </c>
    </row>
    <row r="9734" spans="5:19" x14ac:dyDescent="0.3">
      <c r="E9734" s="9" t="str">
        <f>IF(DADOS!C9734="","",DADOS!C9734)</f>
        <v/>
      </c>
      <c r="F9734" s="9" t="str">
        <f>IF(DADOS!E9734="","",DADOS!E9734)</f>
        <v/>
      </c>
      <c r="G9734" s="9" t="str">
        <f>IF(DADOS!F9734="","",DADOS!F9734)</f>
        <v/>
      </c>
      <c r="K9734" s="6" t="str">
        <f t="shared" si="765"/>
        <v/>
      </c>
      <c r="L9734" s="7" t="str">
        <f t="shared" si="766"/>
        <v/>
      </c>
      <c r="M9734" s="7" t="str">
        <f t="shared" si="763"/>
        <v/>
      </c>
      <c r="N9734" s="7" t="str">
        <f t="shared" si="767"/>
        <v/>
      </c>
      <c r="O9734" s="8"/>
      <c r="P9734" s="26"/>
      <c r="S9734" s="10" t="str">
        <f t="shared" si="764"/>
        <v/>
      </c>
    </row>
    <row r="9735" spans="5:19" x14ac:dyDescent="0.3">
      <c r="E9735" s="9" t="str">
        <f>IF(DADOS!C9735="","",DADOS!C9735)</f>
        <v/>
      </c>
      <c r="F9735" s="9" t="str">
        <f>IF(DADOS!E9735="","",DADOS!E9735)</f>
        <v/>
      </c>
      <c r="G9735" s="9" t="str">
        <f>IF(DADOS!F9735="","",DADOS!F9735)</f>
        <v/>
      </c>
      <c r="K9735" s="6" t="str">
        <f t="shared" si="765"/>
        <v/>
      </c>
      <c r="L9735" s="7" t="str">
        <f t="shared" si="766"/>
        <v/>
      </c>
      <c r="M9735" s="7" t="str">
        <f t="shared" si="763"/>
        <v/>
      </c>
      <c r="N9735" s="7" t="str">
        <f t="shared" si="767"/>
        <v/>
      </c>
      <c r="O9735" s="8"/>
      <c r="P9735" s="26"/>
      <c r="S9735" s="10" t="str">
        <f t="shared" si="764"/>
        <v/>
      </c>
    </row>
    <row r="9736" spans="5:19" x14ac:dyDescent="0.3">
      <c r="E9736" s="9" t="str">
        <f>IF(DADOS!C9736="","",DADOS!C9736)</f>
        <v/>
      </c>
      <c r="F9736" s="9" t="str">
        <f>IF(DADOS!E9736="","",DADOS!E9736)</f>
        <v/>
      </c>
      <c r="G9736" s="9" t="str">
        <f>IF(DADOS!F9736="","",DADOS!F9736)</f>
        <v/>
      </c>
      <c r="K9736" s="6" t="str">
        <f t="shared" si="765"/>
        <v/>
      </c>
      <c r="L9736" s="7" t="str">
        <f t="shared" si="766"/>
        <v/>
      </c>
      <c r="M9736" s="7" t="str">
        <f t="shared" si="763"/>
        <v/>
      </c>
      <c r="N9736" s="7" t="str">
        <f t="shared" si="767"/>
        <v/>
      </c>
      <c r="O9736" s="8"/>
      <c r="P9736" s="26"/>
      <c r="S9736" s="10" t="str">
        <f t="shared" si="764"/>
        <v/>
      </c>
    </row>
    <row r="9737" spans="5:19" x14ac:dyDescent="0.3">
      <c r="E9737" s="9" t="str">
        <f>IF(DADOS!C9737="","",DADOS!C9737)</f>
        <v/>
      </c>
      <c r="F9737" s="9" t="str">
        <f>IF(DADOS!E9737="","",DADOS!E9737)</f>
        <v/>
      </c>
      <c r="G9737" s="9" t="str">
        <f>IF(DADOS!F9737="","",DADOS!F9737)</f>
        <v/>
      </c>
      <c r="K9737" s="6" t="str">
        <f t="shared" si="765"/>
        <v/>
      </c>
      <c r="L9737" s="7" t="str">
        <f t="shared" si="766"/>
        <v/>
      </c>
      <c r="M9737" s="7" t="str">
        <f t="shared" si="763"/>
        <v/>
      </c>
      <c r="N9737" s="7" t="str">
        <f t="shared" si="767"/>
        <v/>
      </c>
      <c r="O9737" s="8"/>
      <c r="P9737" s="26"/>
      <c r="S9737" s="10" t="str">
        <f t="shared" si="764"/>
        <v/>
      </c>
    </row>
    <row r="9738" spans="5:19" x14ac:dyDescent="0.3">
      <c r="E9738" s="9" t="str">
        <f>IF(DADOS!C9738="","",DADOS!C9738)</f>
        <v/>
      </c>
      <c r="F9738" s="9" t="str">
        <f>IF(DADOS!E9738="","",DADOS!E9738)</f>
        <v/>
      </c>
      <c r="G9738" s="9" t="str">
        <f>IF(DADOS!F9738="","",DADOS!F9738)</f>
        <v/>
      </c>
      <c r="K9738" s="6" t="str">
        <f t="shared" si="765"/>
        <v/>
      </c>
      <c r="L9738" s="7" t="str">
        <f t="shared" si="766"/>
        <v/>
      </c>
      <c r="M9738" s="7" t="str">
        <f t="shared" si="763"/>
        <v/>
      </c>
      <c r="N9738" s="7" t="str">
        <f t="shared" si="767"/>
        <v/>
      </c>
      <c r="O9738" s="8"/>
      <c r="P9738" s="26"/>
      <c r="S9738" s="10" t="str">
        <f t="shared" si="764"/>
        <v/>
      </c>
    </row>
    <row r="9739" spans="5:19" x14ac:dyDescent="0.3">
      <c r="E9739" s="9" t="str">
        <f>IF(DADOS!C9739="","",DADOS!C9739)</f>
        <v/>
      </c>
      <c r="F9739" s="9" t="str">
        <f>IF(DADOS!E9739="","",DADOS!E9739)</f>
        <v/>
      </c>
      <c r="G9739" s="9" t="str">
        <f>IF(DADOS!F9739="","",DADOS!F9739)</f>
        <v/>
      </c>
      <c r="K9739" s="6" t="str">
        <f t="shared" si="765"/>
        <v/>
      </c>
      <c r="L9739" s="7" t="str">
        <f t="shared" si="766"/>
        <v/>
      </c>
      <c r="M9739" s="7" t="str">
        <f t="shared" si="763"/>
        <v/>
      </c>
      <c r="N9739" s="7" t="str">
        <f t="shared" si="767"/>
        <v/>
      </c>
      <c r="O9739" s="8"/>
      <c r="P9739" s="26"/>
      <c r="S9739" s="10" t="str">
        <f t="shared" si="764"/>
        <v/>
      </c>
    </row>
    <row r="9740" spans="5:19" x14ac:dyDescent="0.3">
      <c r="E9740" s="9" t="str">
        <f>IF(DADOS!C9740="","",DADOS!C9740)</f>
        <v/>
      </c>
      <c r="F9740" s="9" t="str">
        <f>IF(DADOS!E9740="","",DADOS!E9740)</f>
        <v/>
      </c>
      <c r="G9740" s="9" t="str">
        <f>IF(DADOS!F9740="","",DADOS!F9740)</f>
        <v/>
      </c>
      <c r="K9740" s="6" t="str">
        <f t="shared" si="765"/>
        <v/>
      </c>
      <c r="L9740" s="7" t="str">
        <f t="shared" si="766"/>
        <v/>
      </c>
      <c r="M9740" s="7" t="str">
        <f t="shared" si="763"/>
        <v/>
      </c>
      <c r="N9740" s="7" t="str">
        <f t="shared" si="767"/>
        <v/>
      </c>
      <c r="O9740" s="8"/>
      <c r="P9740" s="26"/>
      <c r="S9740" s="10" t="str">
        <f t="shared" si="764"/>
        <v/>
      </c>
    </row>
    <row r="9741" spans="5:19" x14ac:dyDescent="0.3">
      <c r="E9741" s="9" t="str">
        <f>IF(DADOS!C9741="","",DADOS!C9741)</f>
        <v/>
      </c>
      <c r="F9741" s="9" t="str">
        <f>IF(DADOS!E9741="","",DADOS!E9741)</f>
        <v/>
      </c>
      <c r="G9741" s="9" t="str">
        <f>IF(DADOS!F9741="","",DADOS!F9741)</f>
        <v/>
      </c>
      <c r="K9741" s="6" t="str">
        <f t="shared" si="765"/>
        <v/>
      </c>
      <c r="L9741" s="7" t="str">
        <f t="shared" si="766"/>
        <v/>
      </c>
      <c r="M9741" s="7" t="str">
        <f t="shared" si="763"/>
        <v/>
      </c>
      <c r="N9741" s="7" t="str">
        <f t="shared" si="767"/>
        <v/>
      </c>
      <c r="O9741" s="8"/>
      <c r="P9741" s="26"/>
      <c r="S9741" s="10" t="str">
        <f t="shared" si="764"/>
        <v/>
      </c>
    </row>
    <row r="9742" spans="5:19" x14ac:dyDescent="0.3">
      <c r="E9742" s="9" t="str">
        <f>IF(DADOS!C9742="","",DADOS!C9742)</f>
        <v/>
      </c>
      <c r="F9742" s="9" t="str">
        <f>IF(DADOS!E9742="","",DADOS!E9742)</f>
        <v/>
      </c>
      <c r="G9742" s="9" t="str">
        <f>IF(DADOS!F9742="","",DADOS!F9742)</f>
        <v/>
      </c>
      <c r="K9742" s="6" t="str">
        <f t="shared" si="765"/>
        <v/>
      </c>
      <c r="L9742" s="7" t="str">
        <f t="shared" si="766"/>
        <v/>
      </c>
      <c r="M9742" s="7" t="str">
        <f t="shared" si="763"/>
        <v/>
      </c>
      <c r="N9742" s="7" t="str">
        <f t="shared" si="767"/>
        <v/>
      </c>
      <c r="O9742" s="8"/>
      <c r="P9742" s="26"/>
      <c r="S9742" s="10" t="str">
        <f t="shared" si="764"/>
        <v/>
      </c>
    </row>
    <row r="9743" spans="5:19" x14ac:dyDescent="0.3">
      <c r="E9743" s="9" t="str">
        <f>IF(DADOS!C9743="","",DADOS!C9743)</f>
        <v/>
      </c>
      <c r="F9743" s="9" t="str">
        <f>IF(DADOS!E9743="","",DADOS!E9743)</f>
        <v/>
      </c>
      <c r="G9743" s="9" t="str">
        <f>IF(DADOS!F9743="","",DADOS!F9743)</f>
        <v/>
      </c>
      <c r="K9743" s="6" t="str">
        <f t="shared" si="765"/>
        <v/>
      </c>
      <c r="L9743" s="7" t="str">
        <f t="shared" si="766"/>
        <v/>
      </c>
      <c r="M9743" s="7" t="str">
        <f t="shared" si="763"/>
        <v/>
      </c>
      <c r="N9743" s="7" t="str">
        <f t="shared" si="767"/>
        <v/>
      </c>
      <c r="O9743" s="8"/>
      <c r="P9743" s="26"/>
      <c r="S9743" s="10" t="str">
        <f t="shared" si="764"/>
        <v/>
      </c>
    </row>
    <row r="9744" spans="5:19" x14ac:dyDescent="0.3">
      <c r="E9744" s="9" t="str">
        <f>IF(DADOS!C9744="","",DADOS!C9744)</f>
        <v/>
      </c>
      <c r="F9744" s="9" t="str">
        <f>IF(DADOS!E9744="","",DADOS!E9744)</f>
        <v/>
      </c>
      <c r="G9744" s="9" t="str">
        <f>IF(DADOS!F9744="","",DADOS!F9744)</f>
        <v/>
      </c>
      <c r="K9744" s="6" t="str">
        <f t="shared" si="765"/>
        <v/>
      </c>
      <c r="L9744" s="7" t="str">
        <f t="shared" si="766"/>
        <v/>
      </c>
      <c r="M9744" s="7" t="str">
        <f t="shared" si="763"/>
        <v/>
      </c>
      <c r="N9744" s="7" t="str">
        <f t="shared" si="767"/>
        <v/>
      </c>
      <c r="O9744" s="8"/>
      <c r="P9744" s="26"/>
      <c r="S9744" s="10" t="str">
        <f t="shared" si="764"/>
        <v/>
      </c>
    </row>
    <row r="9745" spans="5:19" x14ac:dyDescent="0.3">
      <c r="E9745" s="9" t="str">
        <f>IF(DADOS!C9745="","",DADOS!C9745)</f>
        <v/>
      </c>
      <c r="F9745" s="9" t="str">
        <f>IF(DADOS!E9745="","",DADOS!E9745)</f>
        <v/>
      </c>
      <c r="G9745" s="9" t="str">
        <f>IF(DADOS!F9745="","",DADOS!F9745)</f>
        <v/>
      </c>
      <c r="K9745" s="6" t="str">
        <f t="shared" si="765"/>
        <v/>
      </c>
      <c r="L9745" s="7" t="str">
        <f t="shared" si="766"/>
        <v/>
      </c>
      <c r="M9745" s="7" t="str">
        <f t="shared" si="763"/>
        <v/>
      </c>
      <c r="N9745" s="7" t="str">
        <f t="shared" si="767"/>
        <v/>
      </c>
      <c r="O9745" s="8"/>
      <c r="P9745" s="26"/>
      <c r="S9745" s="10" t="str">
        <f t="shared" si="764"/>
        <v/>
      </c>
    </row>
    <row r="9746" spans="5:19" x14ac:dyDescent="0.3">
      <c r="E9746" s="9" t="str">
        <f>IF(DADOS!C9746="","",DADOS!C9746)</f>
        <v/>
      </c>
      <c r="F9746" s="9" t="str">
        <f>IF(DADOS!E9746="","",DADOS!E9746)</f>
        <v/>
      </c>
      <c r="G9746" s="9" t="str">
        <f>IF(DADOS!F9746="","",DADOS!F9746)</f>
        <v/>
      </c>
      <c r="K9746" s="6" t="str">
        <f t="shared" si="765"/>
        <v/>
      </c>
      <c r="L9746" s="7" t="str">
        <f t="shared" si="766"/>
        <v/>
      </c>
      <c r="M9746" s="7" t="str">
        <f t="shared" si="763"/>
        <v/>
      </c>
      <c r="N9746" s="7" t="str">
        <f t="shared" si="767"/>
        <v/>
      </c>
      <c r="O9746" s="8"/>
      <c r="P9746" s="26"/>
      <c r="S9746" s="10" t="str">
        <f t="shared" si="764"/>
        <v/>
      </c>
    </row>
    <row r="9747" spans="5:19" x14ac:dyDescent="0.3">
      <c r="E9747" s="9" t="str">
        <f>IF(DADOS!C9747="","",DADOS!C9747)</f>
        <v/>
      </c>
      <c r="F9747" s="9" t="str">
        <f>IF(DADOS!E9747="","",DADOS!E9747)</f>
        <v/>
      </c>
      <c r="G9747" s="9" t="str">
        <f>IF(DADOS!F9747="","",DADOS!F9747)</f>
        <v/>
      </c>
      <c r="K9747" s="6" t="str">
        <f t="shared" si="765"/>
        <v/>
      </c>
      <c r="L9747" s="7" t="str">
        <f t="shared" si="766"/>
        <v/>
      </c>
      <c r="M9747" s="7" t="str">
        <f t="shared" si="763"/>
        <v/>
      </c>
      <c r="N9747" s="7" t="str">
        <f t="shared" si="767"/>
        <v/>
      </c>
      <c r="O9747" s="8"/>
      <c r="P9747" s="26"/>
      <c r="S9747" s="10" t="str">
        <f t="shared" si="764"/>
        <v/>
      </c>
    </row>
    <row r="9748" spans="5:19" x14ac:dyDescent="0.3">
      <c r="E9748" s="9" t="str">
        <f>IF(DADOS!C9748="","",DADOS!C9748)</f>
        <v/>
      </c>
      <c r="F9748" s="9" t="str">
        <f>IF(DADOS!E9748="","",DADOS!E9748)</f>
        <v/>
      </c>
      <c r="G9748" s="9" t="str">
        <f>IF(DADOS!F9748="","",DADOS!F9748)</f>
        <v/>
      </c>
      <c r="K9748" s="6" t="str">
        <f t="shared" si="765"/>
        <v/>
      </c>
      <c r="L9748" s="7" t="str">
        <f t="shared" si="766"/>
        <v/>
      </c>
      <c r="M9748" s="7" t="str">
        <f t="shared" si="763"/>
        <v/>
      </c>
      <c r="N9748" s="7" t="str">
        <f t="shared" si="767"/>
        <v/>
      </c>
      <c r="O9748" s="8"/>
      <c r="P9748" s="26"/>
      <c r="S9748" s="10" t="str">
        <f t="shared" si="764"/>
        <v/>
      </c>
    </row>
    <row r="9749" spans="5:19" x14ac:dyDescent="0.3">
      <c r="E9749" s="9" t="str">
        <f>IF(DADOS!C9749="","",DADOS!C9749)</f>
        <v/>
      </c>
      <c r="F9749" s="9" t="str">
        <f>IF(DADOS!E9749="","",DADOS!E9749)</f>
        <v/>
      </c>
      <c r="G9749" s="9" t="str">
        <f>IF(DADOS!F9749="","",DADOS!F9749)</f>
        <v/>
      </c>
      <c r="K9749" s="6" t="str">
        <f t="shared" si="765"/>
        <v/>
      </c>
      <c r="L9749" s="7" t="str">
        <f t="shared" si="766"/>
        <v/>
      </c>
      <c r="M9749" s="7" t="str">
        <f t="shared" si="763"/>
        <v/>
      </c>
      <c r="N9749" s="7" t="str">
        <f t="shared" si="767"/>
        <v/>
      </c>
      <c r="O9749" s="8"/>
      <c r="P9749" s="26"/>
      <c r="S9749" s="10" t="str">
        <f t="shared" si="764"/>
        <v/>
      </c>
    </row>
    <row r="9750" spans="5:19" x14ac:dyDescent="0.3">
      <c r="E9750" s="9" t="str">
        <f>IF(DADOS!C9750="","",DADOS!C9750)</f>
        <v/>
      </c>
      <c r="F9750" s="9" t="str">
        <f>IF(DADOS!E9750="","",DADOS!E9750)</f>
        <v/>
      </c>
      <c r="G9750" s="9" t="str">
        <f>IF(DADOS!F9750="","",DADOS!F9750)</f>
        <v/>
      </c>
      <c r="K9750" s="6" t="str">
        <f t="shared" si="765"/>
        <v/>
      </c>
      <c r="L9750" s="7" t="str">
        <f t="shared" si="766"/>
        <v/>
      </c>
      <c r="M9750" s="7" t="str">
        <f t="shared" si="763"/>
        <v/>
      </c>
      <c r="N9750" s="7" t="str">
        <f t="shared" si="767"/>
        <v/>
      </c>
      <c r="O9750" s="8"/>
      <c r="P9750" s="26"/>
      <c r="S9750" s="10" t="str">
        <f t="shared" si="764"/>
        <v/>
      </c>
    </row>
    <row r="9751" spans="5:19" x14ac:dyDescent="0.3">
      <c r="E9751" s="9" t="str">
        <f>IF(DADOS!C9751="","",DADOS!C9751)</f>
        <v/>
      </c>
      <c r="F9751" s="9" t="str">
        <f>IF(DADOS!E9751="","",DADOS!E9751)</f>
        <v/>
      </c>
      <c r="G9751" s="9" t="str">
        <f>IF(DADOS!F9751="","",DADOS!F9751)</f>
        <v/>
      </c>
      <c r="K9751" s="6" t="str">
        <f t="shared" si="765"/>
        <v/>
      </c>
      <c r="L9751" s="7" t="str">
        <f t="shared" si="766"/>
        <v/>
      </c>
      <c r="M9751" s="7" t="str">
        <f t="shared" si="763"/>
        <v/>
      </c>
      <c r="N9751" s="7" t="str">
        <f t="shared" si="767"/>
        <v/>
      </c>
      <c r="O9751" s="8"/>
      <c r="P9751" s="26"/>
      <c r="S9751" s="10" t="str">
        <f t="shared" si="764"/>
        <v/>
      </c>
    </row>
    <row r="9752" spans="5:19" x14ac:dyDescent="0.3">
      <c r="E9752" s="9" t="str">
        <f>IF(DADOS!C9752="","",DADOS!C9752)</f>
        <v/>
      </c>
      <c r="F9752" s="9" t="str">
        <f>IF(DADOS!E9752="","",DADOS!E9752)</f>
        <v/>
      </c>
      <c r="G9752" s="9" t="str">
        <f>IF(DADOS!F9752="","",DADOS!F9752)</f>
        <v/>
      </c>
      <c r="K9752" s="6" t="str">
        <f t="shared" si="765"/>
        <v/>
      </c>
      <c r="L9752" s="7" t="str">
        <f t="shared" si="766"/>
        <v/>
      </c>
      <c r="M9752" s="7" t="str">
        <f t="shared" si="763"/>
        <v/>
      </c>
      <c r="N9752" s="7" t="str">
        <f t="shared" si="767"/>
        <v/>
      </c>
      <c r="O9752" s="8"/>
      <c r="P9752" s="26"/>
      <c r="S9752" s="10" t="str">
        <f t="shared" si="764"/>
        <v/>
      </c>
    </row>
    <row r="9753" spans="5:19" x14ac:dyDescent="0.3">
      <c r="E9753" s="9" t="str">
        <f>IF(DADOS!C9753="","",DADOS!C9753)</f>
        <v/>
      </c>
      <c r="F9753" s="9" t="str">
        <f>IF(DADOS!E9753="","",DADOS!E9753)</f>
        <v/>
      </c>
      <c r="G9753" s="9" t="str">
        <f>IF(DADOS!F9753="","",DADOS!F9753)</f>
        <v/>
      </c>
      <c r="K9753" s="6" t="str">
        <f t="shared" si="765"/>
        <v/>
      </c>
      <c r="L9753" s="7" t="str">
        <f t="shared" si="766"/>
        <v/>
      </c>
      <c r="M9753" s="7" t="str">
        <f t="shared" si="763"/>
        <v/>
      </c>
      <c r="N9753" s="7" t="str">
        <f t="shared" si="767"/>
        <v/>
      </c>
      <c r="O9753" s="8"/>
      <c r="P9753" s="26"/>
      <c r="S9753" s="10" t="str">
        <f t="shared" si="764"/>
        <v/>
      </c>
    </row>
    <row r="9754" spans="5:19" x14ac:dyDescent="0.3">
      <c r="E9754" s="9" t="str">
        <f>IF(DADOS!C9754="","",DADOS!C9754)</f>
        <v/>
      </c>
      <c r="F9754" s="9" t="str">
        <f>IF(DADOS!E9754="","",DADOS!E9754)</f>
        <v/>
      </c>
      <c r="G9754" s="9" t="str">
        <f>IF(DADOS!F9754="","",DADOS!F9754)</f>
        <v/>
      </c>
      <c r="K9754" s="6" t="str">
        <f t="shared" si="765"/>
        <v/>
      </c>
      <c r="L9754" s="7" t="str">
        <f t="shared" si="766"/>
        <v/>
      </c>
      <c r="M9754" s="7" t="str">
        <f t="shared" si="763"/>
        <v/>
      </c>
      <c r="N9754" s="7" t="str">
        <f t="shared" si="767"/>
        <v/>
      </c>
      <c r="O9754" s="8"/>
      <c r="P9754" s="26"/>
      <c r="S9754" s="10" t="str">
        <f t="shared" si="764"/>
        <v/>
      </c>
    </row>
    <row r="9755" spans="5:19" x14ac:dyDescent="0.3">
      <c r="E9755" s="9" t="str">
        <f>IF(DADOS!C9755="","",DADOS!C9755)</f>
        <v/>
      </c>
      <c r="F9755" s="9" t="str">
        <f>IF(DADOS!E9755="","",DADOS!E9755)</f>
        <v/>
      </c>
      <c r="G9755" s="9" t="str">
        <f>IF(DADOS!F9755="","",DADOS!F9755)</f>
        <v/>
      </c>
      <c r="K9755" s="6" t="str">
        <f t="shared" si="765"/>
        <v/>
      </c>
      <c r="L9755" s="7" t="str">
        <f t="shared" si="766"/>
        <v/>
      </c>
      <c r="M9755" s="7" t="str">
        <f t="shared" si="763"/>
        <v/>
      </c>
      <c r="N9755" s="7" t="str">
        <f t="shared" si="767"/>
        <v/>
      </c>
      <c r="O9755" s="8"/>
      <c r="P9755" s="26"/>
      <c r="S9755" s="10" t="str">
        <f t="shared" si="764"/>
        <v/>
      </c>
    </row>
    <row r="9756" spans="5:19" x14ac:dyDescent="0.3">
      <c r="E9756" s="9" t="str">
        <f>IF(DADOS!C9756="","",DADOS!C9756)</f>
        <v/>
      </c>
      <c r="F9756" s="9" t="str">
        <f>IF(DADOS!E9756="","",DADOS!E9756)</f>
        <v/>
      </c>
      <c r="G9756" s="9" t="str">
        <f>IF(DADOS!F9756="","",DADOS!F9756)</f>
        <v/>
      </c>
      <c r="K9756" s="6" t="str">
        <f t="shared" si="765"/>
        <v/>
      </c>
      <c r="L9756" s="7" t="str">
        <f t="shared" si="766"/>
        <v/>
      </c>
      <c r="M9756" s="7" t="str">
        <f t="shared" si="763"/>
        <v/>
      </c>
      <c r="N9756" s="7" t="str">
        <f t="shared" si="767"/>
        <v/>
      </c>
      <c r="O9756" s="8"/>
      <c r="P9756" s="26"/>
      <c r="S9756" s="10" t="str">
        <f t="shared" si="764"/>
        <v/>
      </c>
    </row>
    <row r="9757" spans="5:19" x14ac:dyDescent="0.3">
      <c r="E9757" s="9" t="str">
        <f>IF(DADOS!C9757="","",DADOS!C9757)</f>
        <v/>
      </c>
      <c r="F9757" s="9" t="str">
        <f>IF(DADOS!E9757="","",DADOS!E9757)</f>
        <v/>
      </c>
      <c r="G9757" s="9" t="str">
        <f>IF(DADOS!F9757="","",DADOS!F9757)</f>
        <v/>
      </c>
      <c r="K9757" s="6" t="str">
        <f t="shared" si="765"/>
        <v/>
      </c>
      <c r="L9757" s="7" t="str">
        <f t="shared" si="766"/>
        <v/>
      </c>
      <c r="M9757" s="7" t="str">
        <f t="shared" si="763"/>
        <v/>
      </c>
      <c r="N9757" s="7" t="str">
        <f t="shared" si="767"/>
        <v/>
      </c>
      <c r="O9757" s="8"/>
      <c r="P9757" s="26"/>
      <c r="S9757" s="10" t="str">
        <f t="shared" si="764"/>
        <v/>
      </c>
    </row>
    <row r="9758" spans="5:19" x14ac:dyDescent="0.3">
      <c r="E9758" s="9" t="str">
        <f>IF(DADOS!C9758="","",DADOS!C9758)</f>
        <v/>
      </c>
      <c r="F9758" s="9" t="str">
        <f>IF(DADOS!E9758="","",DADOS!E9758)</f>
        <v/>
      </c>
      <c r="G9758" s="9" t="str">
        <f>IF(DADOS!F9758="","",DADOS!F9758)</f>
        <v/>
      </c>
      <c r="K9758" s="6" t="str">
        <f t="shared" si="765"/>
        <v/>
      </c>
      <c r="L9758" s="7" t="str">
        <f t="shared" si="766"/>
        <v/>
      </c>
      <c r="M9758" s="7" t="str">
        <f t="shared" si="763"/>
        <v/>
      </c>
      <c r="N9758" s="7" t="str">
        <f t="shared" si="767"/>
        <v/>
      </c>
      <c r="O9758" s="8"/>
      <c r="P9758" s="26"/>
      <c r="S9758" s="10" t="str">
        <f t="shared" si="764"/>
        <v/>
      </c>
    </row>
    <row r="9759" spans="5:19" x14ac:dyDescent="0.3">
      <c r="E9759" s="9" t="str">
        <f>IF(DADOS!C9759="","",DADOS!C9759)</f>
        <v/>
      </c>
      <c r="F9759" s="9" t="str">
        <f>IF(DADOS!E9759="","",DADOS!E9759)</f>
        <v/>
      </c>
      <c r="G9759" s="9" t="str">
        <f>IF(DADOS!F9759="","",DADOS!F9759)</f>
        <v/>
      </c>
      <c r="K9759" s="6" t="str">
        <f t="shared" si="765"/>
        <v/>
      </c>
      <c r="L9759" s="7" t="str">
        <f t="shared" si="766"/>
        <v/>
      </c>
      <c r="M9759" s="7" t="str">
        <f t="shared" si="763"/>
        <v/>
      </c>
      <c r="N9759" s="7" t="str">
        <f t="shared" si="767"/>
        <v/>
      </c>
      <c r="O9759" s="8"/>
      <c r="P9759" s="26"/>
      <c r="S9759" s="10" t="str">
        <f t="shared" si="764"/>
        <v/>
      </c>
    </row>
    <row r="9760" spans="5:19" x14ac:dyDescent="0.3">
      <c r="E9760" s="9" t="str">
        <f>IF(DADOS!C9760="","",DADOS!C9760)</f>
        <v/>
      </c>
      <c r="F9760" s="9" t="str">
        <f>IF(DADOS!E9760="","",DADOS!E9760)</f>
        <v/>
      </c>
      <c r="G9760" s="9" t="str">
        <f>IF(DADOS!F9760="","",DADOS!F9760)</f>
        <v/>
      </c>
      <c r="K9760" s="6" t="str">
        <f t="shared" si="765"/>
        <v/>
      </c>
      <c r="L9760" s="7" t="str">
        <f t="shared" si="766"/>
        <v/>
      </c>
      <c r="M9760" s="7" t="str">
        <f t="shared" si="763"/>
        <v/>
      </c>
      <c r="N9760" s="7" t="str">
        <f t="shared" si="767"/>
        <v/>
      </c>
      <c r="O9760" s="8"/>
      <c r="P9760" s="26"/>
      <c r="S9760" s="10" t="str">
        <f t="shared" si="764"/>
        <v/>
      </c>
    </row>
    <row r="9761" spans="5:19" x14ac:dyDescent="0.3">
      <c r="E9761" s="9" t="str">
        <f>IF(DADOS!C9761="","",DADOS!C9761)</f>
        <v/>
      </c>
      <c r="F9761" s="9" t="str">
        <f>IF(DADOS!E9761="","",DADOS!E9761)</f>
        <v/>
      </c>
      <c r="G9761" s="9" t="str">
        <f>IF(DADOS!F9761="","",DADOS!F9761)</f>
        <v/>
      </c>
      <c r="K9761" s="6" t="str">
        <f t="shared" si="765"/>
        <v/>
      </c>
      <c r="L9761" s="7" t="str">
        <f t="shared" si="766"/>
        <v/>
      </c>
      <c r="M9761" s="7" t="str">
        <f t="shared" si="763"/>
        <v/>
      </c>
      <c r="N9761" s="7" t="str">
        <f t="shared" si="767"/>
        <v/>
      </c>
      <c r="O9761" s="8"/>
      <c r="P9761" s="26"/>
      <c r="S9761" s="10" t="str">
        <f t="shared" si="764"/>
        <v/>
      </c>
    </row>
    <row r="9762" spans="5:19" x14ac:dyDescent="0.3">
      <c r="E9762" s="9" t="str">
        <f>IF(DADOS!C9762="","",DADOS!C9762)</f>
        <v/>
      </c>
      <c r="F9762" s="9" t="str">
        <f>IF(DADOS!E9762="","",DADOS!E9762)</f>
        <v/>
      </c>
      <c r="G9762" s="9" t="str">
        <f>IF(DADOS!F9762="","",DADOS!F9762)</f>
        <v/>
      </c>
      <c r="K9762" s="6" t="str">
        <f t="shared" si="765"/>
        <v/>
      </c>
      <c r="L9762" s="7" t="str">
        <f t="shared" si="766"/>
        <v/>
      </c>
      <c r="M9762" s="7" t="str">
        <f t="shared" si="763"/>
        <v/>
      </c>
      <c r="N9762" s="7" t="str">
        <f t="shared" si="767"/>
        <v/>
      </c>
      <c r="O9762" s="8"/>
      <c r="P9762" s="26"/>
      <c r="S9762" s="10" t="str">
        <f t="shared" si="764"/>
        <v/>
      </c>
    </row>
    <row r="9763" spans="5:19" x14ac:dyDescent="0.3">
      <c r="E9763" s="9" t="str">
        <f>IF(DADOS!C9763="","",DADOS!C9763)</f>
        <v/>
      </c>
      <c r="F9763" s="9" t="str">
        <f>IF(DADOS!E9763="","",DADOS!E9763)</f>
        <v/>
      </c>
      <c r="G9763" s="9" t="str">
        <f>IF(DADOS!F9763="","",DADOS!F9763)</f>
        <v/>
      </c>
      <c r="K9763" s="6" t="str">
        <f t="shared" si="765"/>
        <v/>
      </c>
      <c r="L9763" s="7" t="str">
        <f t="shared" si="766"/>
        <v/>
      </c>
      <c r="M9763" s="7" t="str">
        <f t="shared" si="763"/>
        <v/>
      </c>
      <c r="N9763" s="7" t="str">
        <f t="shared" si="767"/>
        <v/>
      </c>
      <c r="O9763" s="8"/>
      <c r="P9763" s="26"/>
      <c r="S9763" s="10" t="str">
        <f t="shared" si="764"/>
        <v/>
      </c>
    </row>
    <row r="9764" spans="5:19" x14ac:dyDescent="0.3">
      <c r="E9764" s="9" t="str">
        <f>IF(DADOS!C9764="","",DADOS!C9764)</f>
        <v/>
      </c>
      <c r="F9764" s="9" t="str">
        <f>IF(DADOS!E9764="","",DADOS!E9764)</f>
        <v/>
      </c>
      <c r="G9764" s="9" t="str">
        <f>IF(DADOS!F9764="","",DADOS!F9764)</f>
        <v/>
      </c>
      <c r="K9764" s="6" t="str">
        <f t="shared" si="765"/>
        <v/>
      </c>
      <c r="L9764" s="7" t="str">
        <f t="shared" si="766"/>
        <v/>
      </c>
      <c r="M9764" s="7" t="str">
        <f t="shared" si="763"/>
        <v/>
      </c>
      <c r="N9764" s="7" t="str">
        <f t="shared" si="767"/>
        <v/>
      </c>
      <c r="O9764" s="8"/>
      <c r="P9764" s="26"/>
      <c r="S9764" s="10" t="str">
        <f t="shared" si="764"/>
        <v/>
      </c>
    </row>
    <row r="9765" spans="5:19" x14ac:dyDescent="0.3">
      <c r="E9765" s="9" t="str">
        <f>IF(DADOS!C9765="","",DADOS!C9765)</f>
        <v/>
      </c>
      <c r="F9765" s="9" t="str">
        <f>IF(DADOS!E9765="","",DADOS!E9765)</f>
        <v/>
      </c>
      <c r="G9765" s="9" t="str">
        <f>IF(DADOS!F9765="","",DADOS!F9765)</f>
        <v/>
      </c>
      <c r="K9765" s="6" t="str">
        <f t="shared" si="765"/>
        <v/>
      </c>
      <c r="L9765" s="7" t="str">
        <f t="shared" si="766"/>
        <v/>
      </c>
      <c r="M9765" s="7" t="str">
        <f t="shared" si="763"/>
        <v/>
      </c>
      <c r="N9765" s="7" t="str">
        <f t="shared" si="767"/>
        <v/>
      </c>
      <c r="O9765" s="8"/>
      <c r="P9765" s="26"/>
      <c r="S9765" s="10" t="str">
        <f t="shared" si="764"/>
        <v/>
      </c>
    </row>
    <row r="9766" spans="5:19" x14ac:dyDescent="0.3">
      <c r="E9766" s="9" t="str">
        <f>IF(DADOS!C9766="","",DADOS!C9766)</f>
        <v/>
      </c>
      <c r="F9766" s="9" t="str">
        <f>IF(DADOS!E9766="","",DADOS!E9766)</f>
        <v/>
      </c>
      <c r="G9766" s="9" t="str">
        <f>IF(DADOS!F9766="","",DADOS!F9766)</f>
        <v/>
      </c>
      <c r="K9766" s="6" t="str">
        <f t="shared" si="765"/>
        <v/>
      </c>
      <c r="L9766" s="7" t="str">
        <f t="shared" si="766"/>
        <v/>
      </c>
      <c r="M9766" s="7" t="str">
        <f t="shared" si="763"/>
        <v/>
      </c>
      <c r="N9766" s="7" t="str">
        <f t="shared" si="767"/>
        <v/>
      </c>
      <c r="O9766" s="8"/>
      <c r="P9766" s="26"/>
      <c r="S9766" s="10" t="str">
        <f t="shared" si="764"/>
        <v/>
      </c>
    </row>
    <row r="9767" spans="5:19" x14ac:dyDescent="0.3">
      <c r="E9767" s="9" t="str">
        <f>IF(DADOS!C9767="","",DADOS!C9767)</f>
        <v/>
      </c>
      <c r="F9767" s="9" t="str">
        <f>IF(DADOS!E9767="","",DADOS!E9767)</f>
        <v/>
      </c>
      <c r="G9767" s="9" t="str">
        <f>IF(DADOS!F9767="","",DADOS!F9767)</f>
        <v/>
      </c>
      <c r="K9767" s="6" t="str">
        <f t="shared" si="765"/>
        <v/>
      </c>
      <c r="L9767" s="7" t="str">
        <f t="shared" si="766"/>
        <v/>
      </c>
      <c r="M9767" s="7" t="str">
        <f t="shared" si="763"/>
        <v/>
      </c>
      <c r="N9767" s="7" t="str">
        <f t="shared" si="767"/>
        <v/>
      </c>
      <c r="O9767" s="8"/>
      <c r="P9767" s="26"/>
      <c r="S9767" s="10" t="str">
        <f t="shared" si="764"/>
        <v/>
      </c>
    </row>
    <row r="9768" spans="5:19" x14ac:dyDescent="0.3">
      <c r="E9768" s="9" t="str">
        <f>IF(DADOS!C9768="","",DADOS!C9768)</f>
        <v/>
      </c>
      <c r="F9768" s="9" t="str">
        <f>IF(DADOS!E9768="","",DADOS!E9768)</f>
        <v/>
      </c>
      <c r="G9768" s="9" t="str">
        <f>IF(DADOS!F9768="","",DADOS!F9768)</f>
        <v/>
      </c>
      <c r="K9768" s="6" t="str">
        <f t="shared" si="765"/>
        <v/>
      </c>
      <c r="L9768" s="7" t="str">
        <f t="shared" si="766"/>
        <v/>
      </c>
      <c r="M9768" s="7" t="str">
        <f t="shared" si="763"/>
        <v/>
      </c>
      <c r="N9768" s="7" t="str">
        <f t="shared" si="767"/>
        <v/>
      </c>
      <c r="O9768" s="8"/>
      <c r="P9768" s="26"/>
      <c r="S9768" s="10" t="str">
        <f t="shared" si="764"/>
        <v/>
      </c>
    </row>
    <row r="9769" spans="5:19" x14ac:dyDescent="0.3">
      <c r="E9769" s="9" t="str">
        <f>IF(DADOS!C9769="","",DADOS!C9769)</f>
        <v/>
      </c>
      <c r="F9769" s="9" t="str">
        <f>IF(DADOS!E9769="","",DADOS!E9769)</f>
        <v/>
      </c>
      <c r="G9769" s="9" t="str">
        <f>IF(DADOS!F9769="","",DADOS!F9769)</f>
        <v/>
      </c>
      <c r="K9769" s="6" t="str">
        <f t="shared" si="765"/>
        <v/>
      </c>
      <c r="L9769" s="7" t="str">
        <f t="shared" si="766"/>
        <v/>
      </c>
      <c r="M9769" s="7" t="str">
        <f t="shared" si="763"/>
        <v/>
      </c>
      <c r="N9769" s="7" t="str">
        <f t="shared" si="767"/>
        <v/>
      </c>
      <c r="O9769" s="8"/>
      <c r="P9769" s="26"/>
      <c r="S9769" s="10" t="str">
        <f t="shared" si="764"/>
        <v/>
      </c>
    </row>
    <row r="9770" spans="5:19" x14ac:dyDescent="0.3">
      <c r="E9770" s="9" t="str">
        <f>IF(DADOS!C9770="","",DADOS!C9770)</f>
        <v/>
      </c>
      <c r="F9770" s="9" t="str">
        <f>IF(DADOS!E9770="","",DADOS!E9770)</f>
        <v/>
      </c>
      <c r="G9770" s="9" t="str">
        <f>IF(DADOS!F9770="","",DADOS!F9770)</f>
        <v/>
      </c>
      <c r="K9770" s="6" t="str">
        <f t="shared" si="765"/>
        <v/>
      </c>
      <c r="L9770" s="7" t="str">
        <f t="shared" si="766"/>
        <v/>
      </c>
      <c r="M9770" s="7" t="str">
        <f t="shared" si="763"/>
        <v/>
      </c>
      <c r="N9770" s="7" t="str">
        <f t="shared" si="767"/>
        <v/>
      </c>
      <c r="O9770" s="8"/>
      <c r="P9770" s="26"/>
      <c r="S9770" s="10" t="str">
        <f t="shared" si="764"/>
        <v/>
      </c>
    </row>
    <row r="9771" spans="5:19" x14ac:dyDescent="0.3">
      <c r="E9771" s="9" t="str">
        <f>IF(DADOS!C9771="","",DADOS!C9771)</f>
        <v/>
      </c>
      <c r="F9771" s="9" t="str">
        <f>IF(DADOS!E9771="","",DADOS!E9771)</f>
        <v/>
      </c>
      <c r="G9771" s="9" t="str">
        <f>IF(DADOS!F9771="","",DADOS!F9771)</f>
        <v/>
      </c>
      <c r="K9771" s="6" t="str">
        <f t="shared" si="765"/>
        <v/>
      </c>
      <c r="L9771" s="7" t="str">
        <f t="shared" si="766"/>
        <v/>
      </c>
      <c r="M9771" s="7" t="str">
        <f t="shared" si="763"/>
        <v/>
      </c>
      <c r="N9771" s="7" t="str">
        <f t="shared" si="767"/>
        <v/>
      </c>
      <c r="O9771" s="8"/>
      <c r="P9771" s="26"/>
      <c r="S9771" s="10" t="str">
        <f t="shared" si="764"/>
        <v/>
      </c>
    </row>
    <row r="9772" spans="5:19" x14ac:dyDescent="0.3">
      <c r="E9772" s="9" t="str">
        <f>IF(DADOS!C9772="","",DADOS!C9772)</f>
        <v/>
      </c>
      <c r="F9772" s="9" t="str">
        <f>IF(DADOS!E9772="","",DADOS!E9772)</f>
        <v/>
      </c>
      <c r="G9772" s="9" t="str">
        <f>IF(DADOS!F9772="","",DADOS!F9772)</f>
        <v/>
      </c>
      <c r="K9772" s="6" t="str">
        <f t="shared" si="765"/>
        <v/>
      </c>
      <c r="L9772" s="7" t="str">
        <f t="shared" si="766"/>
        <v/>
      </c>
      <c r="M9772" s="7" t="str">
        <f t="shared" si="763"/>
        <v/>
      </c>
      <c r="N9772" s="7" t="str">
        <f t="shared" si="767"/>
        <v/>
      </c>
      <c r="O9772" s="8"/>
      <c r="P9772" s="26"/>
      <c r="S9772" s="10" t="str">
        <f t="shared" si="764"/>
        <v/>
      </c>
    </row>
    <row r="9773" spans="5:19" x14ac:dyDescent="0.3">
      <c r="E9773" s="9" t="str">
        <f>IF(DADOS!C9773="","",DADOS!C9773)</f>
        <v/>
      </c>
      <c r="F9773" s="9" t="str">
        <f>IF(DADOS!E9773="","",DADOS!E9773)</f>
        <v/>
      </c>
      <c r="G9773" s="9" t="str">
        <f>IF(DADOS!F9773="","",DADOS!F9773)</f>
        <v/>
      </c>
      <c r="K9773" s="6" t="str">
        <f t="shared" si="765"/>
        <v/>
      </c>
      <c r="L9773" s="7" t="str">
        <f t="shared" si="766"/>
        <v/>
      </c>
      <c r="M9773" s="7" t="str">
        <f t="shared" si="763"/>
        <v/>
      </c>
      <c r="N9773" s="7" t="str">
        <f t="shared" si="767"/>
        <v/>
      </c>
      <c r="O9773" s="8"/>
      <c r="P9773" s="26"/>
      <c r="S9773" s="10" t="str">
        <f t="shared" si="764"/>
        <v/>
      </c>
    </row>
    <row r="9774" spans="5:19" x14ac:dyDescent="0.3">
      <c r="E9774" s="9" t="str">
        <f>IF(DADOS!C9774="","",DADOS!C9774)</f>
        <v/>
      </c>
      <c r="F9774" s="9" t="str">
        <f>IF(DADOS!E9774="","",DADOS!E9774)</f>
        <v/>
      </c>
      <c r="G9774" s="9" t="str">
        <f>IF(DADOS!F9774="","",DADOS!F9774)</f>
        <v/>
      </c>
      <c r="K9774" s="6" t="str">
        <f t="shared" si="765"/>
        <v/>
      </c>
      <c r="L9774" s="7" t="str">
        <f t="shared" si="766"/>
        <v/>
      </c>
      <c r="M9774" s="7" t="str">
        <f t="shared" si="763"/>
        <v/>
      </c>
      <c r="N9774" s="7" t="str">
        <f t="shared" si="767"/>
        <v/>
      </c>
      <c r="O9774" s="8"/>
      <c r="P9774" s="26"/>
      <c r="S9774" s="10" t="str">
        <f t="shared" si="764"/>
        <v/>
      </c>
    </row>
    <row r="9775" spans="5:19" x14ac:dyDescent="0.3">
      <c r="E9775" s="9" t="str">
        <f>IF(DADOS!C9775="","",DADOS!C9775)</f>
        <v/>
      </c>
      <c r="F9775" s="9" t="str">
        <f>IF(DADOS!E9775="","",DADOS!E9775)</f>
        <v/>
      </c>
      <c r="G9775" s="9" t="str">
        <f>IF(DADOS!F9775="","",DADOS!F9775)</f>
        <v/>
      </c>
      <c r="K9775" s="6" t="str">
        <f t="shared" si="765"/>
        <v/>
      </c>
      <c r="L9775" s="7" t="str">
        <f t="shared" si="766"/>
        <v/>
      </c>
      <c r="M9775" s="7" t="str">
        <f t="shared" si="763"/>
        <v/>
      </c>
      <c r="N9775" s="7" t="str">
        <f t="shared" si="767"/>
        <v/>
      </c>
      <c r="O9775" s="8"/>
      <c r="P9775" s="26"/>
      <c r="S9775" s="10" t="str">
        <f t="shared" si="764"/>
        <v/>
      </c>
    </row>
    <row r="9776" spans="5:19" x14ac:dyDescent="0.3">
      <c r="E9776" s="9" t="str">
        <f>IF(DADOS!C9776="","",DADOS!C9776)</f>
        <v/>
      </c>
      <c r="F9776" s="9" t="str">
        <f>IF(DADOS!E9776="","",DADOS!E9776)</f>
        <v/>
      </c>
      <c r="G9776" s="9" t="str">
        <f>IF(DADOS!F9776="","",DADOS!F9776)</f>
        <v/>
      </c>
      <c r="K9776" s="6" t="str">
        <f t="shared" si="765"/>
        <v/>
      </c>
      <c r="L9776" s="7" t="str">
        <f t="shared" si="766"/>
        <v/>
      </c>
      <c r="M9776" s="7" t="str">
        <f t="shared" si="763"/>
        <v/>
      </c>
      <c r="N9776" s="7" t="str">
        <f t="shared" si="767"/>
        <v/>
      </c>
      <c r="O9776" s="8"/>
      <c r="P9776" s="26"/>
      <c r="S9776" s="10" t="str">
        <f t="shared" si="764"/>
        <v/>
      </c>
    </row>
    <row r="9777" spans="5:19" x14ac:dyDescent="0.3">
      <c r="E9777" s="9" t="str">
        <f>IF(DADOS!C9777="","",DADOS!C9777)</f>
        <v/>
      </c>
      <c r="F9777" s="9" t="str">
        <f>IF(DADOS!E9777="","",DADOS!E9777)</f>
        <v/>
      </c>
      <c r="G9777" s="9" t="str">
        <f>IF(DADOS!F9777="","",DADOS!F9777)</f>
        <v/>
      </c>
      <c r="K9777" s="6" t="str">
        <f t="shared" si="765"/>
        <v/>
      </c>
      <c r="L9777" s="7" t="str">
        <f t="shared" si="766"/>
        <v/>
      </c>
      <c r="M9777" s="7" t="str">
        <f t="shared" si="763"/>
        <v/>
      </c>
      <c r="N9777" s="7" t="str">
        <f t="shared" si="767"/>
        <v/>
      </c>
      <c r="O9777" s="8"/>
      <c r="P9777" s="26"/>
      <c r="S9777" s="10" t="str">
        <f t="shared" si="764"/>
        <v/>
      </c>
    </row>
    <row r="9778" spans="5:19" x14ac:dyDescent="0.3">
      <c r="E9778" s="9" t="str">
        <f>IF(DADOS!C9778="","",DADOS!C9778)</f>
        <v/>
      </c>
      <c r="F9778" s="9" t="str">
        <f>IF(DADOS!E9778="","",DADOS!E9778)</f>
        <v/>
      </c>
      <c r="G9778" s="9" t="str">
        <f>IF(DADOS!F9778="","",DADOS!F9778)</f>
        <v/>
      </c>
      <c r="K9778" s="6" t="str">
        <f t="shared" si="765"/>
        <v/>
      </c>
      <c r="L9778" s="7" t="str">
        <f t="shared" si="766"/>
        <v/>
      </c>
      <c r="M9778" s="7" t="str">
        <f t="shared" si="763"/>
        <v/>
      </c>
      <c r="N9778" s="7" t="str">
        <f t="shared" si="767"/>
        <v/>
      </c>
      <c r="O9778" s="8"/>
      <c r="P9778" s="26"/>
      <c r="S9778" s="10" t="str">
        <f t="shared" si="764"/>
        <v/>
      </c>
    </row>
    <row r="9779" spans="5:19" x14ac:dyDescent="0.3">
      <c r="E9779" s="9" t="str">
        <f>IF(DADOS!C9779="","",DADOS!C9779)</f>
        <v/>
      </c>
      <c r="F9779" s="9" t="str">
        <f>IF(DADOS!E9779="","",DADOS!E9779)</f>
        <v/>
      </c>
      <c r="G9779" s="9" t="str">
        <f>IF(DADOS!F9779="","",DADOS!F9779)</f>
        <v/>
      </c>
      <c r="K9779" s="6" t="str">
        <f t="shared" si="765"/>
        <v/>
      </c>
      <c r="L9779" s="7" t="str">
        <f t="shared" si="766"/>
        <v/>
      </c>
      <c r="M9779" s="7" t="str">
        <f t="shared" si="763"/>
        <v/>
      </c>
      <c r="N9779" s="7" t="str">
        <f t="shared" si="767"/>
        <v/>
      </c>
      <c r="O9779" s="8"/>
      <c r="P9779" s="26"/>
      <c r="S9779" s="10" t="str">
        <f t="shared" si="764"/>
        <v/>
      </c>
    </row>
    <row r="9780" spans="5:19" x14ac:dyDescent="0.3">
      <c r="E9780" s="9" t="str">
        <f>IF(DADOS!C9780="","",DADOS!C9780)</f>
        <v/>
      </c>
      <c r="F9780" s="9" t="str">
        <f>IF(DADOS!E9780="","",DADOS!E9780)</f>
        <v/>
      </c>
      <c r="G9780" s="9" t="str">
        <f>IF(DADOS!F9780="","",DADOS!F9780)</f>
        <v/>
      </c>
      <c r="K9780" s="6" t="str">
        <f t="shared" si="765"/>
        <v/>
      </c>
      <c r="L9780" s="7" t="str">
        <f t="shared" si="766"/>
        <v/>
      </c>
      <c r="M9780" s="7" t="str">
        <f t="shared" si="763"/>
        <v/>
      </c>
      <c r="N9780" s="7" t="str">
        <f t="shared" si="767"/>
        <v/>
      </c>
      <c r="O9780" s="8"/>
      <c r="P9780" s="26"/>
      <c r="S9780" s="10" t="str">
        <f t="shared" si="764"/>
        <v/>
      </c>
    </row>
    <row r="9781" spans="5:19" x14ac:dyDescent="0.3">
      <c r="E9781" s="9" t="str">
        <f>IF(DADOS!C9781="","",DADOS!C9781)</f>
        <v/>
      </c>
      <c r="F9781" s="9" t="str">
        <f>IF(DADOS!E9781="","",DADOS!E9781)</f>
        <v/>
      </c>
      <c r="G9781" s="9" t="str">
        <f>IF(DADOS!F9781="","",DADOS!F9781)</f>
        <v/>
      </c>
      <c r="K9781" s="6" t="str">
        <f t="shared" si="765"/>
        <v/>
      </c>
      <c r="L9781" s="7" t="str">
        <f t="shared" si="766"/>
        <v/>
      </c>
      <c r="M9781" s="7" t="str">
        <f t="shared" si="763"/>
        <v/>
      </c>
      <c r="N9781" s="7" t="str">
        <f t="shared" si="767"/>
        <v/>
      </c>
      <c r="O9781" s="8"/>
      <c r="P9781" s="26"/>
      <c r="S9781" s="10" t="str">
        <f t="shared" si="764"/>
        <v/>
      </c>
    </row>
    <row r="9782" spans="5:19" x14ac:dyDescent="0.3">
      <c r="E9782" s="9" t="str">
        <f>IF(DADOS!C9782="","",DADOS!C9782)</f>
        <v/>
      </c>
      <c r="F9782" s="9" t="str">
        <f>IF(DADOS!E9782="","",DADOS!E9782)</f>
        <v/>
      </c>
      <c r="G9782" s="9" t="str">
        <f>IF(DADOS!F9782="","",DADOS!F9782)</f>
        <v/>
      </c>
      <c r="K9782" s="6" t="str">
        <f t="shared" si="765"/>
        <v/>
      </c>
      <c r="L9782" s="7" t="str">
        <f t="shared" si="766"/>
        <v/>
      </c>
      <c r="M9782" s="7" t="str">
        <f t="shared" si="763"/>
        <v/>
      </c>
      <c r="N9782" s="7" t="str">
        <f t="shared" si="767"/>
        <v/>
      </c>
      <c r="O9782" s="8"/>
      <c r="P9782" s="26"/>
      <c r="S9782" s="10" t="str">
        <f t="shared" si="764"/>
        <v/>
      </c>
    </row>
    <row r="9783" spans="5:19" x14ac:dyDescent="0.3">
      <c r="E9783" s="9" t="str">
        <f>IF(DADOS!C9783="","",DADOS!C9783)</f>
        <v/>
      </c>
      <c r="F9783" s="9" t="str">
        <f>IF(DADOS!E9783="","",DADOS!E9783)</f>
        <v/>
      </c>
      <c r="G9783" s="9" t="str">
        <f>IF(DADOS!F9783="","",DADOS!F9783)</f>
        <v/>
      </c>
      <c r="K9783" s="6" t="str">
        <f t="shared" si="765"/>
        <v/>
      </c>
      <c r="L9783" s="7" t="str">
        <f t="shared" si="766"/>
        <v/>
      </c>
      <c r="M9783" s="7" t="str">
        <f t="shared" si="763"/>
        <v/>
      </c>
      <c r="N9783" s="7" t="str">
        <f t="shared" si="767"/>
        <v/>
      </c>
      <c r="O9783" s="8"/>
      <c r="P9783" s="26"/>
      <c r="S9783" s="10" t="str">
        <f t="shared" si="764"/>
        <v/>
      </c>
    </row>
    <row r="9784" spans="5:19" x14ac:dyDescent="0.3">
      <c r="E9784" s="9" t="str">
        <f>IF(DADOS!C9784="","",DADOS!C9784)</f>
        <v/>
      </c>
      <c r="F9784" s="9" t="str">
        <f>IF(DADOS!E9784="","",DADOS!E9784)</f>
        <v/>
      </c>
      <c r="G9784" s="9" t="str">
        <f>IF(DADOS!F9784="","",DADOS!F9784)</f>
        <v/>
      </c>
      <c r="K9784" s="6" t="str">
        <f t="shared" si="765"/>
        <v/>
      </c>
      <c r="L9784" s="7" t="str">
        <f t="shared" si="766"/>
        <v/>
      </c>
      <c r="M9784" s="7" t="str">
        <f t="shared" si="763"/>
        <v/>
      </c>
      <c r="N9784" s="7" t="str">
        <f t="shared" si="767"/>
        <v/>
      </c>
      <c r="O9784" s="8"/>
      <c r="P9784" s="26"/>
      <c r="S9784" s="10" t="str">
        <f t="shared" si="764"/>
        <v/>
      </c>
    </row>
    <row r="9785" spans="5:19" x14ac:dyDescent="0.3">
      <c r="E9785" s="9" t="str">
        <f>IF(DADOS!C9785="","",DADOS!C9785)</f>
        <v/>
      </c>
      <c r="F9785" s="9" t="str">
        <f>IF(DADOS!E9785="","",DADOS!E9785)</f>
        <v/>
      </c>
      <c r="G9785" s="9" t="str">
        <f>IF(DADOS!F9785="","",DADOS!F9785)</f>
        <v/>
      </c>
      <c r="K9785" s="6" t="str">
        <f t="shared" si="765"/>
        <v/>
      </c>
      <c r="L9785" s="7" t="str">
        <f t="shared" si="766"/>
        <v/>
      </c>
      <c r="M9785" s="7" t="str">
        <f t="shared" si="763"/>
        <v/>
      </c>
      <c r="N9785" s="7" t="str">
        <f t="shared" si="767"/>
        <v/>
      </c>
      <c r="O9785" s="8"/>
      <c r="P9785" s="26"/>
      <c r="S9785" s="10" t="str">
        <f t="shared" si="764"/>
        <v/>
      </c>
    </row>
    <row r="9786" spans="5:19" x14ac:dyDescent="0.3">
      <c r="E9786" s="9" t="str">
        <f>IF(DADOS!C9786="","",DADOS!C9786)</f>
        <v/>
      </c>
      <c r="F9786" s="9" t="str">
        <f>IF(DADOS!E9786="","",DADOS!E9786)</f>
        <v/>
      </c>
      <c r="G9786" s="9" t="str">
        <f>IF(DADOS!F9786="","",DADOS!F9786)</f>
        <v/>
      </c>
      <c r="K9786" s="6" t="str">
        <f t="shared" si="765"/>
        <v/>
      </c>
      <c r="L9786" s="7" t="str">
        <f t="shared" si="766"/>
        <v/>
      </c>
      <c r="M9786" s="7" t="str">
        <f t="shared" si="763"/>
        <v/>
      </c>
      <c r="N9786" s="7" t="str">
        <f t="shared" si="767"/>
        <v/>
      </c>
      <c r="O9786" s="8"/>
      <c r="P9786" s="26"/>
      <c r="S9786" s="10" t="str">
        <f t="shared" si="764"/>
        <v/>
      </c>
    </row>
    <row r="9787" spans="5:19" x14ac:dyDescent="0.3">
      <c r="E9787" s="9" t="str">
        <f>IF(DADOS!C9787="","",DADOS!C9787)</f>
        <v/>
      </c>
      <c r="F9787" s="9" t="str">
        <f>IF(DADOS!E9787="","",DADOS!E9787)</f>
        <v/>
      </c>
      <c r="G9787" s="9" t="str">
        <f>IF(DADOS!F9787="","",DADOS!F9787)</f>
        <v/>
      </c>
      <c r="K9787" s="6" t="str">
        <f t="shared" si="765"/>
        <v/>
      </c>
      <c r="L9787" s="7" t="str">
        <f t="shared" si="766"/>
        <v/>
      </c>
      <c r="M9787" s="7" t="str">
        <f t="shared" si="763"/>
        <v/>
      </c>
      <c r="N9787" s="7" t="str">
        <f t="shared" si="767"/>
        <v/>
      </c>
      <c r="O9787" s="8"/>
      <c r="P9787" s="26"/>
      <c r="S9787" s="10" t="str">
        <f t="shared" si="764"/>
        <v/>
      </c>
    </row>
    <row r="9788" spans="5:19" x14ac:dyDescent="0.3">
      <c r="E9788" s="9" t="str">
        <f>IF(DADOS!C9788="","",DADOS!C9788)</f>
        <v/>
      </c>
      <c r="F9788" s="9" t="str">
        <f>IF(DADOS!E9788="","",DADOS!E9788)</f>
        <v/>
      </c>
      <c r="G9788" s="9" t="str">
        <f>IF(DADOS!F9788="","",DADOS!F9788)</f>
        <v/>
      </c>
      <c r="K9788" s="6" t="str">
        <f t="shared" si="765"/>
        <v/>
      </c>
      <c r="L9788" s="7" t="str">
        <f t="shared" si="766"/>
        <v/>
      </c>
      <c r="M9788" s="7" t="str">
        <f t="shared" si="763"/>
        <v/>
      </c>
      <c r="N9788" s="7" t="str">
        <f t="shared" si="767"/>
        <v/>
      </c>
      <c r="O9788" s="8"/>
      <c r="P9788" s="26"/>
      <c r="S9788" s="10" t="str">
        <f t="shared" si="764"/>
        <v/>
      </c>
    </row>
    <row r="9789" spans="5:19" x14ac:dyDescent="0.3">
      <c r="E9789" s="9" t="str">
        <f>IF(DADOS!C9789="","",DADOS!C9789)</f>
        <v/>
      </c>
      <c r="F9789" s="9" t="str">
        <f>IF(DADOS!E9789="","",DADOS!E9789)</f>
        <v/>
      </c>
      <c r="G9789" s="9" t="str">
        <f>IF(DADOS!F9789="","",DADOS!F9789)</f>
        <v/>
      </c>
      <c r="K9789" s="6" t="str">
        <f t="shared" si="765"/>
        <v/>
      </c>
      <c r="L9789" s="7" t="str">
        <f t="shared" si="766"/>
        <v/>
      </c>
      <c r="M9789" s="7" t="str">
        <f t="shared" si="763"/>
        <v/>
      </c>
      <c r="N9789" s="7" t="str">
        <f t="shared" si="767"/>
        <v/>
      </c>
      <c r="O9789" s="8"/>
      <c r="P9789" s="26"/>
      <c r="S9789" s="10" t="str">
        <f t="shared" si="764"/>
        <v/>
      </c>
    </row>
    <row r="9790" spans="5:19" x14ac:dyDescent="0.3">
      <c r="E9790" s="9" t="str">
        <f>IF(DADOS!C9790="","",DADOS!C9790)</f>
        <v/>
      </c>
      <c r="F9790" s="9" t="str">
        <f>IF(DADOS!E9790="","",DADOS!E9790)</f>
        <v/>
      </c>
      <c r="G9790" s="9" t="str">
        <f>IF(DADOS!F9790="","",DADOS!F9790)</f>
        <v/>
      </c>
      <c r="K9790" s="6" t="str">
        <f t="shared" si="765"/>
        <v/>
      </c>
      <c r="L9790" s="7" t="str">
        <f t="shared" si="766"/>
        <v/>
      </c>
      <c r="M9790" s="7" t="str">
        <f t="shared" si="763"/>
        <v/>
      </c>
      <c r="N9790" s="7" t="str">
        <f t="shared" si="767"/>
        <v/>
      </c>
      <c r="O9790" s="8"/>
      <c r="P9790" s="26"/>
      <c r="S9790" s="10" t="str">
        <f t="shared" si="764"/>
        <v/>
      </c>
    </row>
    <row r="9791" spans="5:19" x14ac:dyDescent="0.3">
      <c r="E9791" s="9" t="str">
        <f>IF(DADOS!C9791="","",DADOS!C9791)</f>
        <v/>
      </c>
      <c r="F9791" s="9" t="str">
        <f>IF(DADOS!E9791="","",DADOS!E9791)</f>
        <v/>
      </c>
      <c r="G9791" s="9" t="str">
        <f>IF(DADOS!F9791="","",DADOS!F9791)</f>
        <v/>
      </c>
      <c r="K9791" s="6" t="str">
        <f t="shared" si="765"/>
        <v/>
      </c>
      <c r="L9791" s="7" t="str">
        <f t="shared" si="766"/>
        <v/>
      </c>
      <c r="M9791" s="7" t="str">
        <f t="shared" si="763"/>
        <v/>
      </c>
      <c r="N9791" s="7" t="str">
        <f t="shared" si="767"/>
        <v/>
      </c>
      <c r="O9791" s="8"/>
      <c r="P9791" s="26"/>
      <c r="S9791" s="10" t="str">
        <f t="shared" si="764"/>
        <v/>
      </c>
    </row>
    <row r="9792" spans="5:19" x14ac:dyDescent="0.3">
      <c r="E9792" s="9" t="str">
        <f>IF(DADOS!C9792="","",DADOS!C9792)</f>
        <v/>
      </c>
      <c r="F9792" s="9" t="str">
        <f>IF(DADOS!E9792="","",DADOS!E9792)</f>
        <v/>
      </c>
      <c r="G9792" s="9" t="str">
        <f>IF(DADOS!F9792="","",DADOS!F9792)</f>
        <v/>
      </c>
      <c r="K9792" s="6" t="str">
        <f t="shared" si="765"/>
        <v/>
      </c>
      <c r="L9792" s="7" t="str">
        <f t="shared" si="766"/>
        <v/>
      </c>
      <c r="M9792" s="7" t="str">
        <f t="shared" si="763"/>
        <v/>
      </c>
      <c r="N9792" s="7" t="str">
        <f t="shared" si="767"/>
        <v/>
      </c>
      <c r="O9792" s="8"/>
      <c r="P9792" s="26"/>
      <c r="S9792" s="10" t="str">
        <f t="shared" si="764"/>
        <v/>
      </c>
    </row>
    <row r="9793" spans="5:19" x14ac:dyDescent="0.3">
      <c r="E9793" s="9" t="str">
        <f>IF(DADOS!C9793="","",DADOS!C9793)</f>
        <v/>
      </c>
      <c r="F9793" s="9" t="str">
        <f>IF(DADOS!E9793="","",DADOS!E9793)</f>
        <v/>
      </c>
      <c r="G9793" s="9" t="str">
        <f>IF(DADOS!F9793="","",DADOS!F9793)</f>
        <v/>
      </c>
      <c r="K9793" s="6" t="str">
        <f t="shared" si="765"/>
        <v/>
      </c>
      <c r="L9793" s="7" t="str">
        <f t="shared" si="766"/>
        <v/>
      </c>
      <c r="M9793" s="7" t="str">
        <f t="shared" si="763"/>
        <v/>
      </c>
      <c r="N9793" s="7" t="str">
        <f t="shared" si="767"/>
        <v/>
      </c>
      <c r="O9793" s="8"/>
      <c r="P9793" s="26"/>
      <c r="S9793" s="10" t="str">
        <f t="shared" si="764"/>
        <v/>
      </c>
    </row>
    <row r="9794" spans="5:19" x14ac:dyDescent="0.3">
      <c r="E9794" s="9" t="str">
        <f>IF(DADOS!C9794="","",DADOS!C9794)</f>
        <v/>
      </c>
      <c r="F9794" s="9" t="str">
        <f>IF(DADOS!E9794="","",DADOS!E9794)</f>
        <v/>
      </c>
      <c r="G9794" s="9" t="str">
        <f>IF(DADOS!F9794="","",DADOS!F9794)</f>
        <v/>
      </c>
      <c r="K9794" s="6" t="str">
        <f t="shared" si="765"/>
        <v/>
      </c>
      <c r="L9794" s="7" t="str">
        <f t="shared" si="766"/>
        <v/>
      </c>
      <c r="M9794" s="7" t="str">
        <f t="shared" si="763"/>
        <v/>
      </c>
      <c r="N9794" s="7" t="str">
        <f t="shared" si="767"/>
        <v/>
      </c>
      <c r="O9794" s="8"/>
      <c r="P9794" s="26"/>
      <c r="S9794" s="10" t="str">
        <f t="shared" si="764"/>
        <v/>
      </c>
    </row>
    <row r="9795" spans="5:19" x14ac:dyDescent="0.3">
      <c r="E9795" s="9" t="str">
        <f>IF(DADOS!C9795="","",DADOS!C9795)</f>
        <v/>
      </c>
      <c r="F9795" s="9" t="str">
        <f>IF(DADOS!E9795="","",DADOS!E9795)</f>
        <v/>
      </c>
      <c r="G9795" s="9" t="str">
        <f>IF(DADOS!F9795="","",DADOS!F9795)</f>
        <v/>
      </c>
      <c r="K9795" s="6" t="str">
        <f t="shared" si="765"/>
        <v/>
      </c>
      <c r="L9795" s="7" t="str">
        <f t="shared" si="766"/>
        <v/>
      </c>
      <c r="M9795" s="7" t="str">
        <f t="shared" ref="M9795:M9858" si="768">IF(L9795="","",L9795*G9795)</f>
        <v/>
      </c>
      <c r="N9795" s="7" t="str">
        <f t="shared" si="767"/>
        <v/>
      </c>
      <c r="O9795" s="8"/>
      <c r="P9795" s="26"/>
      <c r="S9795" s="10" t="str">
        <f t="shared" ref="S9795:S9858" si="769">IF(R9795="","",SUMIFS($N$3:$N$10000,$E$3:$E$10000,R9795))</f>
        <v/>
      </c>
    </row>
    <row r="9796" spans="5:19" x14ac:dyDescent="0.3">
      <c r="E9796" s="9" t="str">
        <f>IF(DADOS!C9796="","",DADOS!C9796)</f>
        <v/>
      </c>
      <c r="F9796" s="9" t="str">
        <f>IF(DADOS!E9796="","",DADOS!E9796)</f>
        <v/>
      </c>
      <c r="G9796" s="9" t="str">
        <f>IF(DADOS!F9796="","",DADOS!F9796)</f>
        <v/>
      </c>
      <c r="K9796" s="6" t="str">
        <f t="shared" ref="K9796:K9859" si="770">IF(F9796="","",F9796/PI())</f>
        <v/>
      </c>
      <c r="L9796" s="7" t="str">
        <f t="shared" ref="L9796:L9859" si="771">IF(K9796="","",(PI()*K9796^2)/40000)</f>
        <v/>
      </c>
      <c r="M9796" s="7" t="str">
        <f t="shared" si="768"/>
        <v/>
      </c>
      <c r="N9796" s="7" t="str">
        <f t="shared" ref="N9796:N9859" si="772">IF(M9796="","",M9796*N$1)</f>
        <v/>
      </c>
      <c r="O9796" s="8"/>
      <c r="P9796" s="26"/>
      <c r="S9796" s="10" t="str">
        <f t="shared" si="769"/>
        <v/>
      </c>
    </row>
    <row r="9797" spans="5:19" x14ac:dyDescent="0.3">
      <c r="E9797" s="9" t="str">
        <f>IF(DADOS!C9797="","",DADOS!C9797)</f>
        <v/>
      </c>
      <c r="F9797" s="9" t="str">
        <f>IF(DADOS!E9797="","",DADOS!E9797)</f>
        <v/>
      </c>
      <c r="G9797" s="9" t="str">
        <f>IF(DADOS!F9797="","",DADOS!F9797)</f>
        <v/>
      </c>
      <c r="K9797" s="6" t="str">
        <f t="shared" si="770"/>
        <v/>
      </c>
      <c r="L9797" s="7" t="str">
        <f t="shared" si="771"/>
        <v/>
      </c>
      <c r="M9797" s="7" t="str">
        <f t="shared" si="768"/>
        <v/>
      </c>
      <c r="N9797" s="7" t="str">
        <f t="shared" si="772"/>
        <v/>
      </c>
      <c r="O9797" s="8"/>
      <c r="P9797" s="26"/>
      <c r="S9797" s="10" t="str">
        <f t="shared" si="769"/>
        <v/>
      </c>
    </row>
    <row r="9798" spans="5:19" x14ac:dyDescent="0.3">
      <c r="E9798" s="9" t="str">
        <f>IF(DADOS!C9798="","",DADOS!C9798)</f>
        <v/>
      </c>
      <c r="F9798" s="9" t="str">
        <f>IF(DADOS!E9798="","",DADOS!E9798)</f>
        <v/>
      </c>
      <c r="G9798" s="9" t="str">
        <f>IF(DADOS!F9798="","",DADOS!F9798)</f>
        <v/>
      </c>
      <c r="K9798" s="6" t="str">
        <f t="shared" si="770"/>
        <v/>
      </c>
      <c r="L9798" s="7" t="str">
        <f t="shared" si="771"/>
        <v/>
      </c>
      <c r="M9798" s="7" t="str">
        <f t="shared" si="768"/>
        <v/>
      </c>
      <c r="N9798" s="7" t="str">
        <f t="shared" si="772"/>
        <v/>
      </c>
      <c r="O9798" s="8"/>
      <c r="P9798" s="26"/>
      <c r="S9798" s="10" t="str">
        <f t="shared" si="769"/>
        <v/>
      </c>
    </row>
    <row r="9799" spans="5:19" x14ac:dyDescent="0.3">
      <c r="E9799" s="9" t="str">
        <f>IF(DADOS!C9799="","",DADOS!C9799)</f>
        <v/>
      </c>
      <c r="F9799" s="9" t="str">
        <f>IF(DADOS!E9799="","",DADOS!E9799)</f>
        <v/>
      </c>
      <c r="G9799" s="9" t="str">
        <f>IF(DADOS!F9799="","",DADOS!F9799)</f>
        <v/>
      </c>
      <c r="K9799" s="6" t="str">
        <f t="shared" si="770"/>
        <v/>
      </c>
      <c r="L9799" s="7" t="str">
        <f t="shared" si="771"/>
        <v/>
      </c>
      <c r="M9799" s="7" t="str">
        <f t="shared" si="768"/>
        <v/>
      </c>
      <c r="N9799" s="7" t="str">
        <f t="shared" si="772"/>
        <v/>
      </c>
      <c r="O9799" s="8"/>
      <c r="P9799" s="26"/>
      <c r="S9799" s="10" t="str">
        <f t="shared" si="769"/>
        <v/>
      </c>
    </row>
    <row r="9800" spans="5:19" x14ac:dyDescent="0.3">
      <c r="E9800" s="9" t="str">
        <f>IF(DADOS!C9800="","",DADOS!C9800)</f>
        <v/>
      </c>
      <c r="F9800" s="9" t="str">
        <f>IF(DADOS!E9800="","",DADOS!E9800)</f>
        <v/>
      </c>
      <c r="G9800" s="9" t="str">
        <f>IF(DADOS!F9800="","",DADOS!F9800)</f>
        <v/>
      </c>
      <c r="K9800" s="6" t="str">
        <f t="shared" si="770"/>
        <v/>
      </c>
      <c r="L9800" s="7" t="str">
        <f t="shared" si="771"/>
        <v/>
      </c>
      <c r="M9800" s="7" t="str">
        <f t="shared" si="768"/>
        <v/>
      </c>
      <c r="N9800" s="7" t="str">
        <f t="shared" si="772"/>
        <v/>
      </c>
      <c r="O9800" s="8"/>
      <c r="P9800" s="26"/>
      <c r="S9800" s="10" t="str">
        <f t="shared" si="769"/>
        <v/>
      </c>
    </row>
    <row r="9801" spans="5:19" x14ac:dyDescent="0.3">
      <c r="E9801" s="9" t="str">
        <f>IF(DADOS!C9801="","",DADOS!C9801)</f>
        <v/>
      </c>
      <c r="F9801" s="9" t="str">
        <f>IF(DADOS!E9801="","",DADOS!E9801)</f>
        <v/>
      </c>
      <c r="G9801" s="9" t="str">
        <f>IF(DADOS!F9801="","",DADOS!F9801)</f>
        <v/>
      </c>
      <c r="K9801" s="6" t="str">
        <f t="shared" si="770"/>
        <v/>
      </c>
      <c r="L9801" s="7" t="str">
        <f t="shared" si="771"/>
        <v/>
      </c>
      <c r="M9801" s="7" t="str">
        <f t="shared" si="768"/>
        <v/>
      </c>
      <c r="N9801" s="7" t="str">
        <f t="shared" si="772"/>
        <v/>
      </c>
      <c r="O9801" s="8"/>
      <c r="P9801" s="26"/>
      <c r="S9801" s="10" t="str">
        <f t="shared" si="769"/>
        <v/>
      </c>
    </row>
    <row r="9802" spans="5:19" x14ac:dyDescent="0.3">
      <c r="E9802" s="9" t="str">
        <f>IF(DADOS!C9802="","",DADOS!C9802)</f>
        <v/>
      </c>
      <c r="F9802" s="9" t="str">
        <f>IF(DADOS!E9802="","",DADOS!E9802)</f>
        <v/>
      </c>
      <c r="G9802" s="9" t="str">
        <f>IF(DADOS!F9802="","",DADOS!F9802)</f>
        <v/>
      </c>
      <c r="K9802" s="6" t="str">
        <f t="shared" si="770"/>
        <v/>
      </c>
      <c r="L9802" s="7" t="str">
        <f t="shared" si="771"/>
        <v/>
      </c>
      <c r="M9802" s="7" t="str">
        <f t="shared" si="768"/>
        <v/>
      </c>
      <c r="N9802" s="7" t="str">
        <f t="shared" si="772"/>
        <v/>
      </c>
      <c r="O9802" s="8"/>
      <c r="P9802" s="26"/>
      <c r="S9802" s="10" t="str">
        <f t="shared" si="769"/>
        <v/>
      </c>
    </row>
    <row r="9803" spans="5:19" x14ac:dyDescent="0.3">
      <c r="E9803" s="9" t="str">
        <f>IF(DADOS!C9803="","",DADOS!C9803)</f>
        <v/>
      </c>
      <c r="F9803" s="9" t="str">
        <f>IF(DADOS!E9803="","",DADOS!E9803)</f>
        <v/>
      </c>
      <c r="G9803" s="9" t="str">
        <f>IF(DADOS!F9803="","",DADOS!F9803)</f>
        <v/>
      </c>
      <c r="K9803" s="6" t="str">
        <f t="shared" si="770"/>
        <v/>
      </c>
      <c r="L9803" s="7" t="str">
        <f t="shared" si="771"/>
        <v/>
      </c>
      <c r="M9803" s="7" t="str">
        <f t="shared" si="768"/>
        <v/>
      </c>
      <c r="N9803" s="7" t="str">
        <f t="shared" si="772"/>
        <v/>
      </c>
      <c r="O9803" s="8"/>
      <c r="P9803" s="26"/>
      <c r="S9803" s="10" t="str">
        <f t="shared" si="769"/>
        <v/>
      </c>
    </row>
    <row r="9804" spans="5:19" x14ac:dyDescent="0.3">
      <c r="E9804" s="9" t="str">
        <f>IF(DADOS!C9804="","",DADOS!C9804)</f>
        <v/>
      </c>
      <c r="F9804" s="9" t="str">
        <f>IF(DADOS!E9804="","",DADOS!E9804)</f>
        <v/>
      </c>
      <c r="G9804" s="9" t="str">
        <f>IF(DADOS!F9804="","",DADOS!F9804)</f>
        <v/>
      </c>
      <c r="K9804" s="6" t="str">
        <f t="shared" si="770"/>
        <v/>
      </c>
      <c r="L9804" s="7" t="str">
        <f t="shared" si="771"/>
        <v/>
      </c>
      <c r="M9804" s="7" t="str">
        <f t="shared" si="768"/>
        <v/>
      </c>
      <c r="N9804" s="7" t="str">
        <f t="shared" si="772"/>
        <v/>
      </c>
      <c r="O9804" s="8"/>
      <c r="P9804" s="26"/>
      <c r="S9804" s="10" t="str">
        <f t="shared" si="769"/>
        <v/>
      </c>
    </row>
    <row r="9805" spans="5:19" x14ac:dyDescent="0.3">
      <c r="E9805" s="9" t="str">
        <f>IF(DADOS!C9805="","",DADOS!C9805)</f>
        <v/>
      </c>
      <c r="F9805" s="9" t="str">
        <f>IF(DADOS!E9805="","",DADOS!E9805)</f>
        <v/>
      </c>
      <c r="G9805" s="9" t="str">
        <f>IF(DADOS!F9805="","",DADOS!F9805)</f>
        <v/>
      </c>
      <c r="K9805" s="6" t="str">
        <f t="shared" si="770"/>
        <v/>
      </c>
      <c r="L9805" s="7" t="str">
        <f t="shared" si="771"/>
        <v/>
      </c>
      <c r="M9805" s="7" t="str">
        <f t="shared" si="768"/>
        <v/>
      </c>
      <c r="N9805" s="7" t="str">
        <f t="shared" si="772"/>
        <v/>
      </c>
      <c r="O9805" s="8"/>
      <c r="P9805" s="26"/>
      <c r="S9805" s="10" t="str">
        <f t="shared" si="769"/>
        <v/>
      </c>
    </row>
    <row r="9806" spans="5:19" x14ac:dyDescent="0.3">
      <c r="E9806" s="9" t="str">
        <f>IF(DADOS!C9806="","",DADOS!C9806)</f>
        <v/>
      </c>
      <c r="F9806" s="9" t="str">
        <f>IF(DADOS!E9806="","",DADOS!E9806)</f>
        <v/>
      </c>
      <c r="G9806" s="9" t="str">
        <f>IF(DADOS!F9806="","",DADOS!F9806)</f>
        <v/>
      </c>
      <c r="K9806" s="6" t="str">
        <f t="shared" si="770"/>
        <v/>
      </c>
      <c r="L9806" s="7" t="str">
        <f t="shared" si="771"/>
        <v/>
      </c>
      <c r="M9806" s="7" t="str">
        <f t="shared" si="768"/>
        <v/>
      </c>
      <c r="N9806" s="7" t="str">
        <f t="shared" si="772"/>
        <v/>
      </c>
      <c r="O9806" s="8"/>
      <c r="P9806" s="26"/>
      <c r="S9806" s="10" t="str">
        <f t="shared" si="769"/>
        <v/>
      </c>
    </row>
    <row r="9807" spans="5:19" x14ac:dyDescent="0.3">
      <c r="E9807" s="9" t="str">
        <f>IF(DADOS!C9807="","",DADOS!C9807)</f>
        <v/>
      </c>
      <c r="F9807" s="9" t="str">
        <f>IF(DADOS!E9807="","",DADOS!E9807)</f>
        <v/>
      </c>
      <c r="G9807" s="9" t="str">
        <f>IF(DADOS!F9807="","",DADOS!F9807)</f>
        <v/>
      </c>
      <c r="K9807" s="6" t="str">
        <f t="shared" si="770"/>
        <v/>
      </c>
      <c r="L9807" s="7" t="str">
        <f t="shared" si="771"/>
        <v/>
      </c>
      <c r="M9807" s="7" t="str">
        <f t="shared" si="768"/>
        <v/>
      </c>
      <c r="N9807" s="7" t="str">
        <f t="shared" si="772"/>
        <v/>
      </c>
      <c r="O9807" s="8"/>
      <c r="P9807" s="26"/>
      <c r="S9807" s="10" t="str">
        <f t="shared" si="769"/>
        <v/>
      </c>
    </row>
    <row r="9808" spans="5:19" x14ac:dyDescent="0.3">
      <c r="E9808" s="9" t="str">
        <f>IF(DADOS!C9808="","",DADOS!C9808)</f>
        <v/>
      </c>
      <c r="F9808" s="9" t="str">
        <f>IF(DADOS!E9808="","",DADOS!E9808)</f>
        <v/>
      </c>
      <c r="G9808" s="9" t="str">
        <f>IF(DADOS!F9808="","",DADOS!F9808)</f>
        <v/>
      </c>
      <c r="K9808" s="6" t="str">
        <f t="shared" si="770"/>
        <v/>
      </c>
      <c r="L9808" s="7" t="str">
        <f t="shared" si="771"/>
        <v/>
      </c>
      <c r="M9808" s="7" t="str">
        <f t="shared" si="768"/>
        <v/>
      </c>
      <c r="N9808" s="7" t="str">
        <f t="shared" si="772"/>
        <v/>
      </c>
      <c r="O9808" s="8"/>
      <c r="P9808" s="26"/>
      <c r="S9808" s="10" t="str">
        <f t="shared" si="769"/>
        <v/>
      </c>
    </row>
    <row r="9809" spans="5:19" x14ac:dyDescent="0.3">
      <c r="E9809" s="9" t="str">
        <f>IF(DADOS!C9809="","",DADOS!C9809)</f>
        <v/>
      </c>
      <c r="F9809" s="9" t="str">
        <f>IF(DADOS!E9809="","",DADOS!E9809)</f>
        <v/>
      </c>
      <c r="G9809" s="9" t="str">
        <f>IF(DADOS!F9809="","",DADOS!F9809)</f>
        <v/>
      </c>
      <c r="K9809" s="6" t="str">
        <f t="shared" si="770"/>
        <v/>
      </c>
      <c r="L9809" s="7" t="str">
        <f t="shared" si="771"/>
        <v/>
      </c>
      <c r="M9809" s="7" t="str">
        <f t="shared" si="768"/>
        <v/>
      </c>
      <c r="N9809" s="7" t="str">
        <f t="shared" si="772"/>
        <v/>
      </c>
      <c r="O9809" s="8"/>
      <c r="P9809" s="26"/>
      <c r="S9809" s="10" t="str">
        <f t="shared" si="769"/>
        <v/>
      </c>
    </row>
    <row r="9810" spans="5:19" x14ac:dyDescent="0.3">
      <c r="E9810" s="9" t="str">
        <f>IF(DADOS!C9810="","",DADOS!C9810)</f>
        <v/>
      </c>
      <c r="F9810" s="9" t="str">
        <f>IF(DADOS!E9810="","",DADOS!E9810)</f>
        <v/>
      </c>
      <c r="G9810" s="9" t="str">
        <f>IF(DADOS!F9810="","",DADOS!F9810)</f>
        <v/>
      </c>
      <c r="K9810" s="6" t="str">
        <f t="shared" si="770"/>
        <v/>
      </c>
      <c r="L9810" s="7" t="str">
        <f t="shared" si="771"/>
        <v/>
      </c>
      <c r="M9810" s="7" t="str">
        <f t="shared" si="768"/>
        <v/>
      </c>
      <c r="N9810" s="7" t="str">
        <f t="shared" si="772"/>
        <v/>
      </c>
      <c r="O9810" s="8"/>
      <c r="P9810" s="26"/>
      <c r="S9810" s="10" t="str">
        <f t="shared" si="769"/>
        <v/>
      </c>
    </row>
    <row r="9811" spans="5:19" x14ac:dyDescent="0.3">
      <c r="E9811" s="9" t="str">
        <f>IF(DADOS!C9811="","",DADOS!C9811)</f>
        <v/>
      </c>
      <c r="F9811" s="9" t="str">
        <f>IF(DADOS!E9811="","",DADOS!E9811)</f>
        <v/>
      </c>
      <c r="G9811" s="9" t="str">
        <f>IF(DADOS!F9811="","",DADOS!F9811)</f>
        <v/>
      </c>
      <c r="K9811" s="6" t="str">
        <f t="shared" si="770"/>
        <v/>
      </c>
      <c r="L9811" s="7" t="str">
        <f t="shared" si="771"/>
        <v/>
      </c>
      <c r="M9811" s="7" t="str">
        <f t="shared" si="768"/>
        <v/>
      </c>
      <c r="N9811" s="7" t="str">
        <f t="shared" si="772"/>
        <v/>
      </c>
      <c r="O9811" s="8"/>
      <c r="P9811" s="26"/>
      <c r="S9811" s="10" t="str">
        <f t="shared" si="769"/>
        <v/>
      </c>
    </row>
    <row r="9812" spans="5:19" x14ac:dyDescent="0.3">
      <c r="E9812" s="9" t="str">
        <f>IF(DADOS!C9812="","",DADOS!C9812)</f>
        <v/>
      </c>
      <c r="F9812" s="9" t="str">
        <f>IF(DADOS!E9812="","",DADOS!E9812)</f>
        <v/>
      </c>
      <c r="G9812" s="9" t="str">
        <f>IF(DADOS!F9812="","",DADOS!F9812)</f>
        <v/>
      </c>
      <c r="K9812" s="6" t="str">
        <f t="shared" si="770"/>
        <v/>
      </c>
      <c r="L9812" s="7" t="str">
        <f t="shared" si="771"/>
        <v/>
      </c>
      <c r="M9812" s="7" t="str">
        <f t="shared" si="768"/>
        <v/>
      </c>
      <c r="N9812" s="7" t="str">
        <f t="shared" si="772"/>
        <v/>
      </c>
      <c r="O9812" s="8"/>
      <c r="P9812" s="26"/>
      <c r="S9812" s="10" t="str">
        <f t="shared" si="769"/>
        <v/>
      </c>
    </row>
    <row r="9813" spans="5:19" x14ac:dyDescent="0.3">
      <c r="E9813" s="9" t="str">
        <f>IF(DADOS!C9813="","",DADOS!C9813)</f>
        <v/>
      </c>
      <c r="F9813" s="9" t="str">
        <f>IF(DADOS!E9813="","",DADOS!E9813)</f>
        <v/>
      </c>
      <c r="G9813" s="9" t="str">
        <f>IF(DADOS!F9813="","",DADOS!F9813)</f>
        <v/>
      </c>
      <c r="K9813" s="6" t="str">
        <f t="shared" si="770"/>
        <v/>
      </c>
      <c r="L9813" s="7" t="str">
        <f t="shared" si="771"/>
        <v/>
      </c>
      <c r="M9813" s="7" t="str">
        <f t="shared" si="768"/>
        <v/>
      </c>
      <c r="N9813" s="7" t="str">
        <f t="shared" si="772"/>
        <v/>
      </c>
      <c r="O9813" s="8"/>
      <c r="P9813" s="26"/>
      <c r="S9813" s="10" t="str">
        <f t="shared" si="769"/>
        <v/>
      </c>
    </row>
    <row r="9814" spans="5:19" x14ac:dyDescent="0.3">
      <c r="E9814" s="9" t="str">
        <f>IF(DADOS!C9814="","",DADOS!C9814)</f>
        <v/>
      </c>
      <c r="F9814" s="9" t="str">
        <f>IF(DADOS!E9814="","",DADOS!E9814)</f>
        <v/>
      </c>
      <c r="G9814" s="9" t="str">
        <f>IF(DADOS!F9814="","",DADOS!F9814)</f>
        <v/>
      </c>
      <c r="K9814" s="6" t="str">
        <f t="shared" si="770"/>
        <v/>
      </c>
      <c r="L9814" s="7" t="str">
        <f t="shared" si="771"/>
        <v/>
      </c>
      <c r="M9814" s="7" t="str">
        <f t="shared" si="768"/>
        <v/>
      </c>
      <c r="N9814" s="7" t="str">
        <f t="shared" si="772"/>
        <v/>
      </c>
      <c r="O9814" s="8"/>
      <c r="P9814" s="26"/>
      <c r="S9814" s="10" t="str">
        <f t="shared" si="769"/>
        <v/>
      </c>
    </row>
    <row r="9815" spans="5:19" x14ac:dyDescent="0.3">
      <c r="E9815" s="9" t="str">
        <f>IF(DADOS!C9815="","",DADOS!C9815)</f>
        <v/>
      </c>
      <c r="F9815" s="9" t="str">
        <f>IF(DADOS!E9815="","",DADOS!E9815)</f>
        <v/>
      </c>
      <c r="G9815" s="9" t="str">
        <f>IF(DADOS!F9815="","",DADOS!F9815)</f>
        <v/>
      </c>
      <c r="K9815" s="6" t="str">
        <f t="shared" si="770"/>
        <v/>
      </c>
      <c r="L9815" s="7" t="str">
        <f t="shared" si="771"/>
        <v/>
      </c>
      <c r="M9815" s="7" t="str">
        <f t="shared" si="768"/>
        <v/>
      </c>
      <c r="N9815" s="7" t="str">
        <f t="shared" si="772"/>
        <v/>
      </c>
      <c r="O9815" s="8"/>
      <c r="P9815" s="26"/>
      <c r="S9815" s="10" t="str">
        <f t="shared" si="769"/>
        <v/>
      </c>
    </row>
    <row r="9816" spans="5:19" x14ac:dyDescent="0.3">
      <c r="E9816" s="9" t="str">
        <f>IF(DADOS!C9816="","",DADOS!C9816)</f>
        <v/>
      </c>
      <c r="F9816" s="9" t="str">
        <f>IF(DADOS!E9816="","",DADOS!E9816)</f>
        <v/>
      </c>
      <c r="G9816" s="9" t="str">
        <f>IF(DADOS!F9816="","",DADOS!F9816)</f>
        <v/>
      </c>
      <c r="K9816" s="6" t="str">
        <f t="shared" si="770"/>
        <v/>
      </c>
      <c r="L9816" s="7" t="str">
        <f t="shared" si="771"/>
        <v/>
      </c>
      <c r="M9816" s="7" t="str">
        <f t="shared" si="768"/>
        <v/>
      </c>
      <c r="N9816" s="7" t="str">
        <f t="shared" si="772"/>
        <v/>
      </c>
      <c r="O9816" s="8"/>
      <c r="P9816" s="26"/>
      <c r="S9816" s="10" t="str">
        <f t="shared" si="769"/>
        <v/>
      </c>
    </row>
    <row r="9817" spans="5:19" x14ac:dyDescent="0.3">
      <c r="E9817" s="9" t="str">
        <f>IF(DADOS!C9817="","",DADOS!C9817)</f>
        <v/>
      </c>
      <c r="F9817" s="9" t="str">
        <f>IF(DADOS!E9817="","",DADOS!E9817)</f>
        <v/>
      </c>
      <c r="G9817" s="9" t="str">
        <f>IF(DADOS!F9817="","",DADOS!F9817)</f>
        <v/>
      </c>
      <c r="K9817" s="6" t="str">
        <f t="shared" si="770"/>
        <v/>
      </c>
      <c r="L9817" s="7" t="str">
        <f t="shared" si="771"/>
        <v/>
      </c>
      <c r="M9817" s="7" t="str">
        <f t="shared" si="768"/>
        <v/>
      </c>
      <c r="N9817" s="7" t="str">
        <f t="shared" si="772"/>
        <v/>
      </c>
      <c r="O9817" s="8"/>
      <c r="P9817" s="26"/>
      <c r="S9817" s="10" t="str">
        <f t="shared" si="769"/>
        <v/>
      </c>
    </row>
    <row r="9818" spans="5:19" x14ac:dyDescent="0.3">
      <c r="E9818" s="9" t="str">
        <f>IF(DADOS!C9818="","",DADOS!C9818)</f>
        <v/>
      </c>
      <c r="F9818" s="9" t="str">
        <f>IF(DADOS!E9818="","",DADOS!E9818)</f>
        <v/>
      </c>
      <c r="G9818" s="9" t="str">
        <f>IF(DADOS!F9818="","",DADOS!F9818)</f>
        <v/>
      </c>
      <c r="K9818" s="6" t="str">
        <f t="shared" si="770"/>
        <v/>
      </c>
      <c r="L9818" s="7" t="str">
        <f t="shared" si="771"/>
        <v/>
      </c>
      <c r="M9818" s="7" t="str">
        <f t="shared" si="768"/>
        <v/>
      </c>
      <c r="N9818" s="7" t="str">
        <f t="shared" si="772"/>
        <v/>
      </c>
      <c r="O9818" s="8"/>
      <c r="P9818" s="26"/>
      <c r="S9818" s="10" t="str">
        <f t="shared" si="769"/>
        <v/>
      </c>
    </row>
    <row r="9819" spans="5:19" x14ac:dyDescent="0.3">
      <c r="E9819" s="9" t="str">
        <f>IF(DADOS!C9819="","",DADOS!C9819)</f>
        <v/>
      </c>
      <c r="F9819" s="9" t="str">
        <f>IF(DADOS!E9819="","",DADOS!E9819)</f>
        <v/>
      </c>
      <c r="G9819" s="9" t="str">
        <f>IF(DADOS!F9819="","",DADOS!F9819)</f>
        <v/>
      </c>
      <c r="K9819" s="6" t="str">
        <f t="shared" si="770"/>
        <v/>
      </c>
      <c r="L9819" s="7" t="str">
        <f t="shared" si="771"/>
        <v/>
      </c>
      <c r="M9819" s="7" t="str">
        <f t="shared" si="768"/>
        <v/>
      </c>
      <c r="N9819" s="7" t="str">
        <f t="shared" si="772"/>
        <v/>
      </c>
      <c r="O9819" s="8"/>
      <c r="P9819" s="26"/>
      <c r="S9819" s="10" t="str">
        <f t="shared" si="769"/>
        <v/>
      </c>
    </row>
    <row r="9820" spans="5:19" x14ac:dyDescent="0.3">
      <c r="E9820" s="9" t="str">
        <f>IF(DADOS!C9820="","",DADOS!C9820)</f>
        <v/>
      </c>
      <c r="F9820" s="9" t="str">
        <f>IF(DADOS!E9820="","",DADOS!E9820)</f>
        <v/>
      </c>
      <c r="G9820" s="9" t="str">
        <f>IF(DADOS!F9820="","",DADOS!F9820)</f>
        <v/>
      </c>
      <c r="K9820" s="6" t="str">
        <f t="shared" si="770"/>
        <v/>
      </c>
      <c r="L9820" s="7" t="str">
        <f t="shared" si="771"/>
        <v/>
      </c>
      <c r="M9820" s="7" t="str">
        <f t="shared" si="768"/>
        <v/>
      </c>
      <c r="N9820" s="7" t="str">
        <f t="shared" si="772"/>
        <v/>
      </c>
      <c r="O9820" s="8"/>
      <c r="P9820" s="26"/>
      <c r="S9820" s="10" t="str">
        <f t="shared" si="769"/>
        <v/>
      </c>
    </row>
    <row r="9821" spans="5:19" x14ac:dyDescent="0.3">
      <c r="E9821" s="9" t="str">
        <f>IF(DADOS!C9821="","",DADOS!C9821)</f>
        <v/>
      </c>
      <c r="F9821" s="9" t="str">
        <f>IF(DADOS!E9821="","",DADOS!E9821)</f>
        <v/>
      </c>
      <c r="G9821" s="9" t="str">
        <f>IF(DADOS!F9821="","",DADOS!F9821)</f>
        <v/>
      </c>
      <c r="K9821" s="6" t="str">
        <f t="shared" si="770"/>
        <v/>
      </c>
      <c r="L9821" s="7" t="str">
        <f t="shared" si="771"/>
        <v/>
      </c>
      <c r="M9821" s="7" t="str">
        <f t="shared" si="768"/>
        <v/>
      </c>
      <c r="N9821" s="7" t="str">
        <f t="shared" si="772"/>
        <v/>
      </c>
      <c r="O9821" s="8"/>
      <c r="P9821" s="26"/>
      <c r="S9821" s="10" t="str">
        <f t="shared" si="769"/>
        <v/>
      </c>
    </row>
    <row r="9822" spans="5:19" x14ac:dyDescent="0.3">
      <c r="E9822" s="9" t="str">
        <f>IF(DADOS!C9822="","",DADOS!C9822)</f>
        <v/>
      </c>
      <c r="F9822" s="9" t="str">
        <f>IF(DADOS!E9822="","",DADOS!E9822)</f>
        <v/>
      </c>
      <c r="G9822" s="9" t="str">
        <f>IF(DADOS!F9822="","",DADOS!F9822)</f>
        <v/>
      </c>
      <c r="K9822" s="6" t="str">
        <f t="shared" si="770"/>
        <v/>
      </c>
      <c r="L9822" s="7" t="str">
        <f t="shared" si="771"/>
        <v/>
      </c>
      <c r="M9822" s="7" t="str">
        <f t="shared" si="768"/>
        <v/>
      </c>
      <c r="N9822" s="7" t="str">
        <f t="shared" si="772"/>
        <v/>
      </c>
      <c r="O9822" s="8"/>
      <c r="P9822" s="26"/>
      <c r="S9822" s="10" t="str">
        <f t="shared" si="769"/>
        <v/>
      </c>
    </row>
    <row r="9823" spans="5:19" x14ac:dyDescent="0.3">
      <c r="E9823" s="9" t="str">
        <f>IF(DADOS!C9823="","",DADOS!C9823)</f>
        <v/>
      </c>
      <c r="F9823" s="9" t="str">
        <f>IF(DADOS!E9823="","",DADOS!E9823)</f>
        <v/>
      </c>
      <c r="G9823" s="9" t="str">
        <f>IF(DADOS!F9823="","",DADOS!F9823)</f>
        <v/>
      </c>
      <c r="K9823" s="6" t="str">
        <f t="shared" si="770"/>
        <v/>
      </c>
      <c r="L9823" s="7" t="str">
        <f t="shared" si="771"/>
        <v/>
      </c>
      <c r="M9823" s="7" t="str">
        <f t="shared" si="768"/>
        <v/>
      </c>
      <c r="N9823" s="7" t="str">
        <f t="shared" si="772"/>
        <v/>
      </c>
      <c r="O9823" s="8"/>
      <c r="P9823" s="26"/>
      <c r="S9823" s="10" t="str">
        <f t="shared" si="769"/>
        <v/>
      </c>
    </row>
    <row r="9824" spans="5:19" x14ac:dyDescent="0.3">
      <c r="E9824" s="9" t="str">
        <f>IF(DADOS!C9824="","",DADOS!C9824)</f>
        <v/>
      </c>
      <c r="F9824" s="9" t="str">
        <f>IF(DADOS!E9824="","",DADOS!E9824)</f>
        <v/>
      </c>
      <c r="G9824" s="9" t="str">
        <f>IF(DADOS!F9824="","",DADOS!F9824)</f>
        <v/>
      </c>
      <c r="K9824" s="6" t="str">
        <f t="shared" si="770"/>
        <v/>
      </c>
      <c r="L9824" s="7" t="str">
        <f t="shared" si="771"/>
        <v/>
      </c>
      <c r="M9824" s="7" t="str">
        <f t="shared" si="768"/>
        <v/>
      </c>
      <c r="N9824" s="7" t="str">
        <f t="shared" si="772"/>
        <v/>
      </c>
      <c r="O9824" s="8"/>
      <c r="P9824" s="26"/>
      <c r="S9824" s="10" t="str">
        <f t="shared" si="769"/>
        <v/>
      </c>
    </row>
    <row r="9825" spans="5:19" x14ac:dyDescent="0.3">
      <c r="E9825" s="9" t="str">
        <f>IF(DADOS!C9825="","",DADOS!C9825)</f>
        <v/>
      </c>
      <c r="F9825" s="9" t="str">
        <f>IF(DADOS!E9825="","",DADOS!E9825)</f>
        <v/>
      </c>
      <c r="G9825" s="9" t="str">
        <f>IF(DADOS!F9825="","",DADOS!F9825)</f>
        <v/>
      </c>
      <c r="K9825" s="6" t="str">
        <f t="shared" si="770"/>
        <v/>
      </c>
      <c r="L9825" s="7" t="str">
        <f t="shared" si="771"/>
        <v/>
      </c>
      <c r="M9825" s="7" t="str">
        <f t="shared" si="768"/>
        <v/>
      </c>
      <c r="N9825" s="7" t="str">
        <f t="shared" si="772"/>
        <v/>
      </c>
      <c r="O9825" s="8"/>
      <c r="P9825" s="26"/>
      <c r="S9825" s="10" t="str">
        <f t="shared" si="769"/>
        <v/>
      </c>
    </row>
    <row r="9826" spans="5:19" x14ac:dyDescent="0.3">
      <c r="E9826" s="9" t="str">
        <f>IF(DADOS!C9826="","",DADOS!C9826)</f>
        <v/>
      </c>
      <c r="F9826" s="9" t="str">
        <f>IF(DADOS!E9826="","",DADOS!E9826)</f>
        <v/>
      </c>
      <c r="G9826" s="9" t="str">
        <f>IF(DADOS!F9826="","",DADOS!F9826)</f>
        <v/>
      </c>
      <c r="K9826" s="6" t="str">
        <f t="shared" si="770"/>
        <v/>
      </c>
      <c r="L9826" s="7" t="str">
        <f t="shared" si="771"/>
        <v/>
      </c>
      <c r="M9826" s="7" t="str">
        <f t="shared" si="768"/>
        <v/>
      </c>
      <c r="N9826" s="7" t="str">
        <f t="shared" si="772"/>
        <v/>
      </c>
      <c r="O9826" s="8"/>
      <c r="P9826" s="26"/>
      <c r="S9826" s="10" t="str">
        <f t="shared" si="769"/>
        <v/>
      </c>
    </row>
    <row r="9827" spans="5:19" x14ac:dyDescent="0.3">
      <c r="E9827" s="9" t="str">
        <f>IF(DADOS!C9827="","",DADOS!C9827)</f>
        <v/>
      </c>
      <c r="F9827" s="9" t="str">
        <f>IF(DADOS!E9827="","",DADOS!E9827)</f>
        <v/>
      </c>
      <c r="G9827" s="9" t="str">
        <f>IF(DADOS!F9827="","",DADOS!F9827)</f>
        <v/>
      </c>
      <c r="K9827" s="6" t="str">
        <f t="shared" si="770"/>
        <v/>
      </c>
      <c r="L9827" s="7" t="str">
        <f t="shared" si="771"/>
        <v/>
      </c>
      <c r="M9827" s="7" t="str">
        <f t="shared" si="768"/>
        <v/>
      </c>
      <c r="N9827" s="7" t="str">
        <f t="shared" si="772"/>
        <v/>
      </c>
      <c r="O9827" s="8"/>
      <c r="P9827" s="26"/>
      <c r="S9827" s="10" t="str">
        <f t="shared" si="769"/>
        <v/>
      </c>
    </row>
    <row r="9828" spans="5:19" x14ac:dyDescent="0.3">
      <c r="E9828" s="9" t="str">
        <f>IF(DADOS!C9828="","",DADOS!C9828)</f>
        <v/>
      </c>
      <c r="F9828" s="9" t="str">
        <f>IF(DADOS!E9828="","",DADOS!E9828)</f>
        <v/>
      </c>
      <c r="G9828" s="9" t="str">
        <f>IF(DADOS!F9828="","",DADOS!F9828)</f>
        <v/>
      </c>
      <c r="K9828" s="6" t="str">
        <f t="shared" si="770"/>
        <v/>
      </c>
      <c r="L9828" s="7" t="str">
        <f t="shared" si="771"/>
        <v/>
      </c>
      <c r="M9828" s="7" t="str">
        <f t="shared" si="768"/>
        <v/>
      </c>
      <c r="N9828" s="7" t="str">
        <f t="shared" si="772"/>
        <v/>
      </c>
      <c r="O9828" s="8"/>
      <c r="P9828" s="26"/>
      <c r="S9828" s="10" t="str">
        <f t="shared" si="769"/>
        <v/>
      </c>
    </row>
    <row r="9829" spans="5:19" x14ac:dyDescent="0.3">
      <c r="E9829" s="9" t="str">
        <f>IF(DADOS!C9829="","",DADOS!C9829)</f>
        <v/>
      </c>
      <c r="F9829" s="9" t="str">
        <f>IF(DADOS!E9829="","",DADOS!E9829)</f>
        <v/>
      </c>
      <c r="G9829" s="9" t="str">
        <f>IF(DADOS!F9829="","",DADOS!F9829)</f>
        <v/>
      </c>
      <c r="K9829" s="6" t="str">
        <f t="shared" si="770"/>
        <v/>
      </c>
      <c r="L9829" s="7" t="str">
        <f t="shared" si="771"/>
        <v/>
      </c>
      <c r="M9829" s="7" t="str">
        <f t="shared" si="768"/>
        <v/>
      </c>
      <c r="N9829" s="7" t="str">
        <f t="shared" si="772"/>
        <v/>
      </c>
      <c r="O9829" s="8"/>
      <c r="P9829" s="26"/>
      <c r="S9829" s="10" t="str">
        <f t="shared" si="769"/>
        <v/>
      </c>
    </row>
    <row r="9830" spans="5:19" x14ac:dyDescent="0.3">
      <c r="E9830" s="9" t="str">
        <f>IF(DADOS!C9830="","",DADOS!C9830)</f>
        <v/>
      </c>
      <c r="F9830" s="9" t="str">
        <f>IF(DADOS!E9830="","",DADOS!E9830)</f>
        <v/>
      </c>
      <c r="G9830" s="9" t="str">
        <f>IF(DADOS!F9830="","",DADOS!F9830)</f>
        <v/>
      </c>
      <c r="K9830" s="6" t="str">
        <f t="shared" si="770"/>
        <v/>
      </c>
      <c r="L9830" s="7" t="str">
        <f t="shared" si="771"/>
        <v/>
      </c>
      <c r="M9830" s="7" t="str">
        <f t="shared" si="768"/>
        <v/>
      </c>
      <c r="N9830" s="7" t="str">
        <f t="shared" si="772"/>
        <v/>
      </c>
      <c r="O9830" s="8"/>
      <c r="P9830" s="26"/>
      <c r="S9830" s="10" t="str">
        <f t="shared" si="769"/>
        <v/>
      </c>
    </row>
    <row r="9831" spans="5:19" x14ac:dyDescent="0.3">
      <c r="E9831" s="9" t="str">
        <f>IF(DADOS!C9831="","",DADOS!C9831)</f>
        <v/>
      </c>
      <c r="F9831" s="9" t="str">
        <f>IF(DADOS!E9831="","",DADOS!E9831)</f>
        <v/>
      </c>
      <c r="G9831" s="9" t="str">
        <f>IF(DADOS!F9831="","",DADOS!F9831)</f>
        <v/>
      </c>
      <c r="K9831" s="6" t="str">
        <f t="shared" si="770"/>
        <v/>
      </c>
      <c r="L9831" s="7" t="str">
        <f t="shared" si="771"/>
        <v/>
      </c>
      <c r="M9831" s="7" t="str">
        <f t="shared" si="768"/>
        <v/>
      </c>
      <c r="N9831" s="7" t="str">
        <f t="shared" si="772"/>
        <v/>
      </c>
      <c r="O9831" s="8"/>
      <c r="P9831" s="26"/>
      <c r="S9831" s="10" t="str">
        <f t="shared" si="769"/>
        <v/>
      </c>
    </row>
    <row r="9832" spans="5:19" x14ac:dyDescent="0.3">
      <c r="E9832" s="9" t="str">
        <f>IF(DADOS!C9832="","",DADOS!C9832)</f>
        <v/>
      </c>
      <c r="F9832" s="9" t="str">
        <f>IF(DADOS!E9832="","",DADOS!E9832)</f>
        <v/>
      </c>
      <c r="G9832" s="9" t="str">
        <f>IF(DADOS!F9832="","",DADOS!F9832)</f>
        <v/>
      </c>
      <c r="K9832" s="6" t="str">
        <f t="shared" si="770"/>
        <v/>
      </c>
      <c r="L9832" s="7" t="str">
        <f t="shared" si="771"/>
        <v/>
      </c>
      <c r="M9832" s="7" t="str">
        <f t="shared" si="768"/>
        <v/>
      </c>
      <c r="N9832" s="7" t="str">
        <f t="shared" si="772"/>
        <v/>
      </c>
      <c r="O9832" s="8"/>
      <c r="P9832" s="26"/>
      <c r="S9832" s="10" t="str">
        <f t="shared" si="769"/>
        <v/>
      </c>
    </row>
    <row r="9833" spans="5:19" x14ac:dyDescent="0.3">
      <c r="E9833" s="9" t="str">
        <f>IF(DADOS!C9833="","",DADOS!C9833)</f>
        <v/>
      </c>
      <c r="F9833" s="9" t="str">
        <f>IF(DADOS!E9833="","",DADOS!E9833)</f>
        <v/>
      </c>
      <c r="G9833" s="9" t="str">
        <f>IF(DADOS!F9833="","",DADOS!F9833)</f>
        <v/>
      </c>
      <c r="K9833" s="6" t="str">
        <f t="shared" si="770"/>
        <v/>
      </c>
      <c r="L9833" s="7" t="str">
        <f t="shared" si="771"/>
        <v/>
      </c>
      <c r="M9833" s="7" t="str">
        <f t="shared" si="768"/>
        <v/>
      </c>
      <c r="N9833" s="7" t="str">
        <f t="shared" si="772"/>
        <v/>
      </c>
      <c r="O9833" s="8"/>
      <c r="P9833" s="26"/>
      <c r="S9833" s="10" t="str">
        <f t="shared" si="769"/>
        <v/>
      </c>
    </row>
    <row r="9834" spans="5:19" x14ac:dyDescent="0.3">
      <c r="E9834" s="9" t="str">
        <f>IF(DADOS!C9834="","",DADOS!C9834)</f>
        <v/>
      </c>
      <c r="F9834" s="9" t="str">
        <f>IF(DADOS!E9834="","",DADOS!E9834)</f>
        <v/>
      </c>
      <c r="G9834" s="9" t="str">
        <f>IF(DADOS!F9834="","",DADOS!F9834)</f>
        <v/>
      </c>
      <c r="K9834" s="6" t="str">
        <f t="shared" si="770"/>
        <v/>
      </c>
      <c r="L9834" s="7" t="str">
        <f t="shared" si="771"/>
        <v/>
      </c>
      <c r="M9834" s="7" t="str">
        <f t="shared" si="768"/>
        <v/>
      </c>
      <c r="N9834" s="7" t="str">
        <f t="shared" si="772"/>
        <v/>
      </c>
      <c r="O9834" s="8"/>
      <c r="P9834" s="26"/>
      <c r="S9834" s="10" t="str">
        <f t="shared" si="769"/>
        <v/>
      </c>
    </row>
    <row r="9835" spans="5:19" x14ac:dyDescent="0.3">
      <c r="E9835" s="9" t="str">
        <f>IF(DADOS!C9835="","",DADOS!C9835)</f>
        <v/>
      </c>
      <c r="F9835" s="9" t="str">
        <f>IF(DADOS!E9835="","",DADOS!E9835)</f>
        <v/>
      </c>
      <c r="G9835" s="9" t="str">
        <f>IF(DADOS!F9835="","",DADOS!F9835)</f>
        <v/>
      </c>
      <c r="K9835" s="6" t="str">
        <f t="shared" si="770"/>
        <v/>
      </c>
      <c r="L9835" s="7" t="str">
        <f t="shared" si="771"/>
        <v/>
      </c>
      <c r="M9835" s="7" t="str">
        <f t="shared" si="768"/>
        <v/>
      </c>
      <c r="N9835" s="7" t="str">
        <f t="shared" si="772"/>
        <v/>
      </c>
      <c r="O9835" s="8"/>
      <c r="P9835" s="26"/>
      <c r="S9835" s="10" t="str">
        <f t="shared" si="769"/>
        <v/>
      </c>
    </row>
    <row r="9836" spans="5:19" x14ac:dyDescent="0.3">
      <c r="E9836" s="9" t="str">
        <f>IF(DADOS!C9836="","",DADOS!C9836)</f>
        <v/>
      </c>
      <c r="F9836" s="9" t="str">
        <f>IF(DADOS!E9836="","",DADOS!E9836)</f>
        <v/>
      </c>
      <c r="G9836" s="9" t="str">
        <f>IF(DADOS!F9836="","",DADOS!F9836)</f>
        <v/>
      </c>
      <c r="K9836" s="6" t="str">
        <f t="shared" si="770"/>
        <v/>
      </c>
      <c r="L9836" s="7" t="str">
        <f t="shared" si="771"/>
        <v/>
      </c>
      <c r="M9836" s="7" t="str">
        <f t="shared" si="768"/>
        <v/>
      </c>
      <c r="N9836" s="7" t="str">
        <f t="shared" si="772"/>
        <v/>
      </c>
      <c r="O9836" s="8"/>
      <c r="P9836" s="26"/>
      <c r="S9836" s="10" t="str">
        <f t="shared" si="769"/>
        <v/>
      </c>
    </row>
    <row r="9837" spans="5:19" x14ac:dyDescent="0.3">
      <c r="E9837" s="9" t="str">
        <f>IF(DADOS!C9837="","",DADOS!C9837)</f>
        <v/>
      </c>
      <c r="F9837" s="9" t="str">
        <f>IF(DADOS!E9837="","",DADOS!E9837)</f>
        <v/>
      </c>
      <c r="G9837" s="9" t="str">
        <f>IF(DADOS!F9837="","",DADOS!F9837)</f>
        <v/>
      </c>
      <c r="K9837" s="6" t="str">
        <f t="shared" si="770"/>
        <v/>
      </c>
      <c r="L9837" s="7" t="str">
        <f t="shared" si="771"/>
        <v/>
      </c>
      <c r="M9837" s="7" t="str">
        <f t="shared" si="768"/>
        <v/>
      </c>
      <c r="N9837" s="7" t="str">
        <f t="shared" si="772"/>
        <v/>
      </c>
      <c r="O9837" s="8"/>
      <c r="P9837" s="26"/>
      <c r="S9837" s="10" t="str">
        <f t="shared" si="769"/>
        <v/>
      </c>
    </row>
    <row r="9838" spans="5:19" x14ac:dyDescent="0.3">
      <c r="E9838" s="9" t="str">
        <f>IF(DADOS!C9838="","",DADOS!C9838)</f>
        <v/>
      </c>
      <c r="F9838" s="9" t="str">
        <f>IF(DADOS!E9838="","",DADOS!E9838)</f>
        <v/>
      </c>
      <c r="G9838" s="9" t="str">
        <f>IF(DADOS!F9838="","",DADOS!F9838)</f>
        <v/>
      </c>
      <c r="K9838" s="6" t="str">
        <f t="shared" si="770"/>
        <v/>
      </c>
      <c r="L9838" s="7" t="str">
        <f t="shared" si="771"/>
        <v/>
      </c>
      <c r="M9838" s="7" t="str">
        <f t="shared" si="768"/>
        <v/>
      </c>
      <c r="N9838" s="7" t="str">
        <f t="shared" si="772"/>
        <v/>
      </c>
      <c r="O9838" s="8"/>
      <c r="P9838" s="26"/>
      <c r="S9838" s="10" t="str">
        <f t="shared" si="769"/>
        <v/>
      </c>
    </row>
    <row r="9839" spans="5:19" x14ac:dyDescent="0.3">
      <c r="E9839" s="9" t="str">
        <f>IF(DADOS!C9839="","",DADOS!C9839)</f>
        <v/>
      </c>
      <c r="F9839" s="9" t="str">
        <f>IF(DADOS!E9839="","",DADOS!E9839)</f>
        <v/>
      </c>
      <c r="G9839" s="9" t="str">
        <f>IF(DADOS!F9839="","",DADOS!F9839)</f>
        <v/>
      </c>
      <c r="K9839" s="6" t="str">
        <f t="shared" si="770"/>
        <v/>
      </c>
      <c r="L9839" s="7" t="str">
        <f t="shared" si="771"/>
        <v/>
      </c>
      <c r="M9839" s="7" t="str">
        <f t="shared" si="768"/>
        <v/>
      </c>
      <c r="N9839" s="7" t="str">
        <f t="shared" si="772"/>
        <v/>
      </c>
      <c r="O9839" s="8"/>
      <c r="P9839" s="26"/>
      <c r="S9839" s="10" t="str">
        <f t="shared" si="769"/>
        <v/>
      </c>
    </row>
    <row r="9840" spans="5:19" x14ac:dyDescent="0.3">
      <c r="E9840" s="9" t="str">
        <f>IF(DADOS!C9840="","",DADOS!C9840)</f>
        <v/>
      </c>
      <c r="F9840" s="9" t="str">
        <f>IF(DADOS!E9840="","",DADOS!E9840)</f>
        <v/>
      </c>
      <c r="G9840" s="9" t="str">
        <f>IF(DADOS!F9840="","",DADOS!F9840)</f>
        <v/>
      </c>
      <c r="K9840" s="6" t="str">
        <f t="shared" si="770"/>
        <v/>
      </c>
      <c r="L9840" s="7" t="str">
        <f t="shared" si="771"/>
        <v/>
      </c>
      <c r="M9840" s="7" t="str">
        <f t="shared" si="768"/>
        <v/>
      </c>
      <c r="N9840" s="7" t="str">
        <f t="shared" si="772"/>
        <v/>
      </c>
      <c r="O9840" s="8"/>
      <c r="P9840" s="26"/>
      <c r="S9840" s="10" t="str">
        <f t="shared" si="769"/>
        <v/>
      </c>
    </row>
    <row r="9841" spans="5:19" x14ac:dyDescent="0.3">
      <c r="E9841" s="9" t="str">
        <f>IF(DADOS!C9841="","",DADOS!C9841)</f>
        <v/>
      </c>
      <c r="F9841" s="9" t="str">
        <f>IF(DADOS!E9841="","",DADOS!E9841)</f>
        <v/>
      </c>
      <c r="G9841" s="9" t="str">
        <f>IF(DADOS!F9841="","",DADOS!F9841)</f>
        <v/>
      </c>
      <c r="K9841" s="6" t="str">
        <f t="shared" si="770"/>
        <v/>
      </c>
      <c r="L9841" s="7" t="str">
        <f t="shared" si="771"/>
        <v/>
      </c>
      <c r="M9841" s="7" t="str">
        <f t="shared" si="768"/>
        <v/>
      </c>
      <c r="N9841" s="7" t="str">
        <f t="shared" si="772"/>
        <v/>
      </c>
      <c r="O9841" s="8"/>
      <c r="P9841" s="26"/>
      <c r="S9841" s="10" t="str">
        <f t="shared" si="769"/>
        <v/>
      </c>
    </row>
    <row r="9842" spans="5:19" x14ac:dyDescent="0.3">
      <c r="E9842" s="9" t="str">
        <f>IF(DADOS!C9842="","",DADOS!C9842)</f>
        <v/>
      </c>
      <c r="F9842" s="9" t="str">
        <f>IF(DADOS!E9842="","",DADOS!E9842)</f>
        <v/>
      </c>
      <c r="G9842" s="9" t="str">
        <f>IF(DADOS!F9842="","",DADOS!F9842)</f>
        <v/>
      </c>
      <c r="K9842" s="6" t="str">
        <f t="shared" si="770"/>
        <v/>
      </c>
      <c r="L9842" s="7" t="str">
        <f t="shared" si="771"/>
        <v/>
      </c>
      <c r="M9842" s="7" t="str">
        <f t="shared" si="768"/>
        <v/>
      </c>
      <c r="N9842" s="7" t="str">
        <f t="shared" si="772"/>
        <v/>
      </c>
      <c r="O9842" s="8"/>
      <c r="P9842" s="26"/>
      <c r="S9842" s="10" t="str">
        <f t="shared" si="769"/>
        <v/>
      </c>
    </row>
    <row r="9843" spans="5:19" x14ac:dyDescent="0.3">
      <c r="E9843" s="9" t="str">
        <f>IF(DADOS!C9843="","",DADOS!C9843)</f>
        <v/>
      </c>
      <c r="F9843" s="9" t="str">
        <f>IF(DADOS!E9843="","",DADOS!E9843)</f>
        <v/>
      </c>
      <c r="G9843" s="9" t="str">
        <f>IF(DADOS!F9843="","",DADOS!F9843)</f>
        <v/>
      </c>
      <c r="K9843" s="6" t="str">
        <f t="shared" si="770"/>
        <v/>
      </c>
      <c r="L9843" s="7" t="str">
        <f t="shared" si="771"/>
        <v/>
      </c>
      <c r="M9843" s="7" t="str">
        <f t="shared" si="768"/>
        <v/>
      </c>
      <c r="N9843" s="7" t="str">
        <f t="shared" si="772"/>
        <v/>
      </c>
      <c r="O9843" s="8"/>
      <c r="P9843" s="26"/>
      <c r="S9843" s="10" t="str">
        <f t="shared" si="769"/>
        <v/>
      </c>
    </row>
    <row r="9844" spans="5:19" x14ac:dyDescent="0.3">
      <c r="E9844" s="9" t="str">
        <f>IF(DADOS!C9844="","",DADOS!C9844)</f>
        <v/>
      </c>
      <c r="F9844" s="9" t="str">
        <f>IF(DADOS!E9844="","",DADOS!E9844)</f>
        <v/>
      </c>
      <c r="G9844" s="9" t="str">
        <f>IF(DADOS!F9844="","",DADOS!F9844)</f>
        <v/>
      </c>
      <c r="K9844" s="6" t="str">
        <f t="shared" si="770"/>
        <v/>
      </c>
      <c r="L9844" s="7" t="str">
        <f t="shared" si="771"/>
        <v/>
      </c>
      <c r="M9844" s="7" t="str">
        <f t="shared" si="768"/>
        <v/>
      </c>
      <c r="N9844" s="7" t="str">
        <f t="shared" si="772"/>
        <v/>
      </c>
      <c r="O9844" s="8"/>
      <c r="P9844" s="26"/>
      <c r="S9844" s="10" t="str">
        <f t="shared" si="769"/>
        <v/>
      </c>
    </row>
    <row r="9845" spans="5:19" x14ac:dyDescent="0.3">
      <c r="E9845" s="9" t="str">
        <f>IF(DADOS!C9845="","",DADOS!C9845)</f>
        <v/>
      </c>
      <c r="F9845" s="9" t="str">
        <f>IF(DADOS!E9845="","",DADOS!E9845)</f>
        <v/>
      </c>
      <c r="G9845" s="9" t="str">
        <f>IF(DADOS!F9845="","",DADOS!F9845)</f>
        <v/>
      </c>
      <c r="K9845" s="6" t="str">
        <f t="shared" si="770"/>
        <v/>
      </c>
      <c r="L9845" s="7" t="str">
        <f t="shared" si="771"/>
        <v/>
      </c>
      <c r="M9845" s="7" t="str">
        <f t="shared" si="768"/>
        <v/>
      </c>
      <c r="N9845" s="7" t="str">
        <f t="shared" si="772"/>
        <v/>
      </c>
      <c r="O9845" s="8"/>
      <c r="P9845" s="26"/>
      <c r="S9845" s="10" t="str">
        <f t="shared" si="769"/>
        <v/>
      </c>
    </row>
    <row r="9846" spans="5:19" x14ac:dyDescent="0.3">
      <c r="E9846" s="9" t="str">
        <f>IF(DADOS!C9846="","",DADOS!C9846)</f>
        <v/>
      </c>
      <c r="F9846" s="9" t="str">
        <f>IF(DADOS!E9846="","",DADOS!E9846)</f>
        <v/>
      </c>
      <c r="G9846" s="9" t="str">
        <f>IF(DADOS!F9846="","",DADOS!F9846)</f>
        <v/>
      </c>
      <c r="K9846" s="6" t="str">
        <f t="shared" si="770"/>
        <v/>
      </c>
      <c r="L9846" s="7" t="str">
        <f t="shared" si="771"/>
        <v/>
      </c>
      <c r="M9846" s="7" t="str">
        <f t="shared" si="768"/>
        <v/>
      </c>
      <c r="N9846" s="7" t="str">
        <f t="shared" si="772"/>
        <v/>
      </c>
      <c r="O9846" s="8"/>
      <c r="P9846" s="26"/>
      <c r="S9846" s="10" t="str">
        <f t="shared" si="769"/>
        <v/>
      </c>
    </row>
    <row r="9847" spans="5:19" x14ac:dyDescent="0.3">
      <c r="E9847" s="9" t="str">
        <f>IF(DADOS!C9847="","",DADOS!C9847)</f>
        <v/>
      </c>
      <c r="F9847" s="9" t="str">
        <f>IF(DADOS!E9847="","",DADOS!E9847)</f>
        <v/>
      </c>
      <c r="G9847" s="9" t="str">
        <f>IF(DADOS!F9847="","",DADOS!F9847)</f>
        <v/>
      </c>
      <c r="K9847" s="6" t="str">
        <f t="shared" si="770"/>
        <v/>
      </c>
      <c r="L9847" s="7" t="str">
        <f t="shared" si="771"/>
        <v/>
      </c>
      <c r="M9847" s="7" t="str">
        <f t="shared" si="768"/>
        <v/>
      </c>
      <c r="N9847" s="7" t="str">
        <f t="shared" si="772"/>
        <v/>
      </c>
      <c r="O9847" s="8"/>
      <c r="P9847" s="26"/>
      <c r="S9847" s="10" t="str">
        <f t="shared" si="769"/>
        <v/>
      </c>
    </row>
    <row r="9848" spans="5:19" x14ac:dyDescent="0.3">
      <c r="E9848" s="9" t="str">
        <f>IF(DADOS!C9848="","",DADOS!C9848)</f>
        <v/>
      </c>
      <c r="F9848" s="9" t="str">
        <f>IF(DADOS!E9848="","",DADOS!E9848)</f>
        <v/>
      </c>
      <c r="G9848" s="9" t="str">
        <f>IF(DADOS!F9848="","",DADOS!F9848)</f>
        <v/>
      </c>
      <c r="K9848" s="6" t="str">
        <f t="shared" si="770"/>
        <v/>
      </c>
      <c r="L9848" s="7" t="str">
        <f t="shared" si="771"/>
        <v/>
      </c>
      <c r="M9848" s="7" t="str">
        <f t="shared" si="768"/>
        <v/>
      </c>
      <c r="N9848" s="7" t="str">
        <f t="shared" si="772"/>
        <v/>
      </c>
      <c r="O9848" s="8"/>
      <c r="P9848" s="26"/>
      <c r="S9848" s="10" t="str">
        <f t="shared" si="769"/>
        <v/>
      </c>
    </row>
    <row r="9849" spans="5:19" x14ac:dyDescent="0.3">
      <c r="E9849" s="9" t="str">
        <f>IF(DADOS!C9849="","",DADOS!C9849)</f>
        <v/>
      </c>
      <c r="F9849" s="9" t="str">
        <f>IF(DADOS!E9849="","",DADOS!E9849)</f>
        <v/>
      </c>
      <c r="G9849" s="9" t="str">
        <f>IF(DADOS!F9849="","",DADOS!F9849)</f>
        <v/>
      </c>
      <c r="K9849" s="6" t="str">
        <f t="shared" si="770"/>
        <v/>
      </c>
      <c r="L9849" s="7" t="str">
        <f t="shared" si="771"/>
        <v/>
      </c>
      <c r="M9849" s="7" t="str">
        <f t="shared" si="768"/>
        <v/>
      </c>
      <c r="N9849" s="7" t="str">
        <f t="shared" si="772"/>
        <v/>
      </c>
      <c r="O9849" s="8"/>
      <c r="P9849" s="26"/>
      <c r="S9849" s="10" t="str">
        <f t="shared" si="769"/>
        <v/>
      </c>
    </row>
    <row r="9850" spans="5:19" x14ac:dyDescent="0.3">
      <c r="E9850" s="9" t="str">
        <f>IF(DADOS!C9850="","",DADOS!C9850)</f>
        <v/>
      </c>
      <c r="F9850" s="9" t="str">
        <f>IF(DADOS!E9850="","",DADOS!E9850)</f>
        <v/>
      </c>
      <c r="G9850" s="9" t="str">
        <f>IF(DADOS!F9850="","",DADOS!F9850)</f>
        <v/>
      </c>
      <c r="K9850" s="6" t="str">
        <f t="shared" si="770"/>
        <v/>
      </c>
      <c r="L9850" s="7" t="str">
        <f t="shared" si="771"/>
        <v/>
      </c>
      <c r="M9850" s="7" t="str">
        <f t="shared" si="768"/>
        <v/>
      </c>
      <c r="N9850" s="7" t="str">
        <f t="shared" si="772"/>
        <v/>
      </c>
      <c r="O9850" s="8"/>
      <c r="P9850" s="26"/>
      <c r="S9850" s="10" t="str">
        <f t="shared" si="769"/>
        <v/>
      </c>
    </row>
    <row r="9851" spans="5:19" x14ac:dyDescent="0.3">
      <c r="E9851" s="9" t="str">
        <f>IF(DADOS!C9851="","",DADOS!C9851)</f>
        <v/>
      </c>
      <c r="F9851" s="9" t="str">
        <f>IF(DADOS!E9851="","",DADOS!E9851)</f>
        <v/>
      </c>
      <c r="G9851" s="9" t="str">
        <f>IF(DADOS!F9851="","",DADOS!F9851)</f>
        <v/>
      </c>
      <c r="K9851" s="6" t="str">
        <f t="shared" si="770"/>
        <v/>
      </c>
      <c r="L9851" s="7" t="str">
        <f t="shared" si="771"/>
        <v/>
      </c>
      <c r="M9851" s="7" t="str">
        <f t="shared" si="768"/>
        <v/>
      </c>
      <c r="N9851" s="7" t="str">
        <f t="shared" si="772"/>
        <v/>
      </c>
      <c r="O9851" s="8"/>
      <c r="P9851" s="26"/>
      <c r="S9851" s="10" t="str">
        <f t="shared" si="769"/>
        <v/>
      </c>
    </row>
    <row r="9852" spans="5:19" x14ac:dyDescent="0.3">
      <c r="E9852" s="9" t="str">
        <f>IF(DADOS!C9852="","",DADOS!C9852)</f>
        <v/>
      </c>
      <c r="F9852" s="9" t="str">
        <f>IF(DADOS!E9852="","",DADOS!E9852)</f>
        <v/>
      </c>
      <c r="G9852" s="9" t="str">
        <f>IF(DADOS!F9852="","",DADOS!F9852)</f>
        <v/>
      </c>
      <c r="K9852" s="6" t="str">
        <f t="shared" si="770"/>
        <v/>
      </c>
      <c r="L9852" s="7" t="str">
        <f t="shared" si="771"/>
        <v/>
      </c>
      <c r="M9852" s="7" t="str">
        <f t="shared" si="768"/>
        <v/>
      </c>
      <c r="N9852" s="7" t="str">
        <f t="shared" si="772"/>
        <v/>
      </c>
      <c r="O9852" s="8"/>
      <c r="P9852" s="26"/>
      <c r="S9852" s="10" t="str">
        <f t="shared" si="769"/>
        <v/>
      </c>
    </row>
    <row r="9853" spans="5:19" x14ac:dyDescent="0.3">
      <c r="E9853" s="9" t="str">
        <f>IF(DADOS!C9853="","",DADOS!C9853)</f>
        <v/>
      </c>
      <c r="F9853" s="9" t="str">
        <f>IF(DADOS!E9853="","",DADOS!E9853)</f>
        <v/>
      </c>
      <c r="G9853" s="9" t="str">
        <f>IF(DADOS!F9853="","",DADOS!F9853)</f>
        <v/>
      </c>
      <c r="K9853" s="6" t="str">
        <f t="shared" si="770"/>
        <v/>
      </c>
      <c r="L9853" s="7" t="str">
        <f t="shared" si="771"/>
        <v/>
      </c>
      <c r="M9853" s="7" t="str">
        <f t="shared" si="768"/>
        <v/>
      </c>
      <c r="N9853" s="7" t="str">
        <f t="shared" si="772"/>
        <v/>
      </c>
      <c r="O9853" s="8"/>
      <c r="P9853" s="26"/>
      <c r="S9853" s="10" t="str">
        <f t="shared" si="769"/>
        <v/>
      </c>
    </row>
    <row r="9854" spans="5:19" x14ac:dyDescent="0.3">
      <c r="E9854" s="9" t="str">
        <f>IF(DADOS!C9854="","",DADOS!C9854)</f>
        <v/>
      </c>
      <c r="F9854" s="9" t="str">
        <f>IF(DADOS!E9854="","",DADOS!E9854)</f>
        <v/>
      </c>
      <c r="G9854" s="9" t="str">
        <f>IF(DADOS!F9854="","",DADOS!F9854)</f>
        <v/>
      </c>
      <c r="K9854" s="6" t="str">
        <f t="shared" si="770"/>
        <v/>
      </c>
      <c r="L9854" s="7" t="str">
        <f t="shared" si="771"/>
        <v/>
      </c>
      <c r="M9854" s="7" t="str">
        <f t="shared" si="768"/>
        <v/>
      </c>
      <c r="N9854" s="7" t="str">
        <f t="shared" si="772"/>
        <v/>
      </c>
      <c r="O9854" s="8"/>
      <c r="P9854" s="26"/>
      <c r="S9854" s="10" t="str">
        <f t="shared" si="769"/>
        <v/>
      </c>
    </row>
    <row r="9855" spans="5:19" x14ac:dyDescent="0.3">
      <c r="E9855" s="9" t="str">
        <f>IF(DADOS!C9855="","",DADOS!C9855)</f>
        <v/>
      </c>
      <c r="F9855" s="9" t="str">
        <f>IF(DADOS!E9855="","",DADOS!E9855)</f>
        <v/>
      </c>
      <c r="G9855" s="9" t="str">
        <f>IF(DADOS!F9855="","",DADOS!F9855)</f>
        <v/>
      </c>
      <c r="K9855" s="6" t="str">
        <f t="shared" si="770"/>
        <v/>
      </c>
      <c r="L9855" s="7" t="str">
        <f t="shared" si="771"/>
        <v/>
      </c>
      <c r="M9855" s="7" t="str">
        <f t="shared" si="768"/>
        <v/>
      </c>
      <c r="N9855" s="7" t="str">
        <f t="shared" si="772"/>
        <v/>
      </c>
      <c r="O9855" s="8"/>
      <c r="P9855" s="26"/>
      <c r="S9855" s="10" t="str">
        <f t="shared" si="769"/>
        <v/>
      </c>
    </row>
    <row r="9856" spans="5:19" x14ac:dyDescent="0.3">
      <c r="E9856" s="9" t="str">
        <f>IF(DADOS!C9856="","",DADOS!C9856)</f>
        <v/>
      </c>
      <c r="F9856" s="9" t="str">
        <f>IF(DADOS!E9856="","",DADOS!E9856)</f>
        <v/>
      </c>
      <c r="G9856" s="9" t="str">
        <f>IF(DADOS!F9856="","",DADOS!F9856)</f>
        <v/>
      </c>
      <c r="K9856" s="6" t="str">
        <f t="shared" si="770"/>
        <v/>
      </c>
      <c r="L9856" s="7" t="str">
        <f t="shared" si="771"/>
        <v/>
      </c>
      <c r="M9856" s="7" t="str">
        <f t="shared" si="768"/>
        <v/>
      </c>
      <c r="N9856" s="7" t="str">
        <f t="shared" si="772"/>
        <v/>
      </c>
      <c r="O9856" s="8"/>
      <c r="P9856" s="26"/>
      <c r="S9856" s="10" t="str">
        <f t="shared" si="769"/>
        <v/>
      </c>
    </row>
    <row r="9857" spans="5:19" x14ac:dyDescent="0.3">
      <c r="E9857" s="9" t="str">
        <f>IF(DADOS!C9857="","",DADOS!C9857)</f>
        <v/>
      </c>
      <c r="F9857" s="9" t="str">
        <f>IF(DADOS!E9857="","",DADOS!E9857)</f>
        <v/>
      </c>
      <c r="G9857" s="9" t="str">
        <f>IF(DADOS!F9857="","",DADOS!F9857)</f>
        <v/>
      </c>
      <c r="K9857" s="6" t="str">
        <f t="shared" si="770"/>
        <v/>
      </c>
      <c r="L9857" s="7" t="str">
        <f t="shared" si="771"/>
        <v/>
      </c>
      <c r="M9857" s="7" t="str">
        <f t="shared" si="768"/>
        <v/>
      </c>
      <c r="N9857" s="7" t="str">
        <f t="shared" si="772"/>
        <v/>
      </c>
      <c r="O9857" s="8"/>
      <c r="P9857" s="26"/>
      <c r="S9857" s="10" t="str">
        <f t="shared" si="769"/>
        <v/>
      </c>
    </row>
    <row r="9858" spans="5:19" x14ac:dyDescent="0.3">
      <c r="E9858" s="9" t="str">
        <f>IF(DADOS!C9858="","",DADOS!C9858)</f>
        <v/>
      </c>
      <c r="F9858" s="9" t="str">
        <f>IF(DADOS!E9858="","",DADOS!E9858)</f>
        <v/>
      </c>
      <c r="G9858" s="9" t="str">
        <f>IF(DADOS!F9858="","",DADOS!F9858)</f>
        <v/>
      </c>
      <c r="K9858" s="6" t="str">
        <f t="shared" si="770"/>
        <v/>
      </c>
      <c r="L9858" s="7" t="str">
        <f t="shared" si="771"/>
        <v/>
      </c>
      <c r="M9858" s="7" t="str">
        <f t="shared" si="768"/>
        <v/>
      </c>
      <c r="N9858" s="7" t="str">
        <f t="shared" si="772"/>
        <v/>
      </c>
      <c r="O9858" s="8"/>
      <c r="P9858" s="26"/>
      <c r="S9858" s="10" t="str">
        <f t="shared" si="769"/>
        <v/>
      </c>
    </row>
    <row r="9859" spans="5:19" x14ac:dyDescent="0.3">
      <c r="E9859" s="9" t="str">
        <f>IF(DADOS!C9859="","",DADOS!C9859)</f>
        <v/>
      </c>
      <c r="F9859" s="9" t="str">
        <f>IF(DADOS!E9859="","",DADOS!E9859)</f>
        <v/>
      </c>
      <c r="G9859" s="9" t="str">
        <f>IF(DADOS!F9859="","",DADOS!F9859)</f>
        <v/>
      </c>
      <c r="K9859" s="6" t="str">
        <f t="shared" si="770"/>
        <v/>
      </c>
      <c r="L9859" s="7" t="str">
        <f t="shared" si="771"/>
        <v/>
      </c>
      <c r="M9859" s="7" t="str">
        <f t="shared" ref="M9859:M9922" si="773">IF(L9859="","",L9859*G9859)</f>
        <v/>
      </c>
      <c r="N9859" s="7" t="str">
        <f t="shared" si="772"/>
        <v/>
      </c>
      <c r="O9859" s="8"/>
      <c r="P9859" s="26"/>
      <c r="S9859" s="10" t="str">
        <f t="shared" ref="S9859:S9922" si="774">IF(R9859="","",SUMIFS($N$3:$N$10000,$E$3:$E$10000,R9859))</f>
        <v/>
      </c>
    </row>
    <row r="9860" spans="5:19" x14ac:dyDescent="0.3">
      <c r="E9860" s="9" t="str">
        <f>IF(DADOS!C9860="","",DADOS!C9860)</f>
        <v/>
      </c>
      <c r="F9860" s="9" t="str">
        <f>IF(DADOS!E9860="","",DADOS!E9860)</f>
        <v/>
      </c>
      <c r="G9860" s="9" t="str">
        <f>IF(DADOS!F9860="","",DADOS!F9860)</f>
        <v/>
      </c>
      <c r="K9860" s="6" t="str">
        <f t="shared" ref="K9860:K9923" si="775">IF(F9860="","",F9860/PI())</f>
        <v/>
      </c>
      <c r="L9860" s="7" t="str">
        <f t="shared" ref="L9860:L9923" si="776">IF(K9860="","",(PI()*K9860^2)/40000)</f>
        <v/>
      </c>
      <c r="M9860" s="7" t="str">
        <f t="shared" si="773"/>
        <v/>
      </c>
      <c r="N9860" s="7" t="str">
        <f t="shared" ref="N9860:N9923" si="777">IF(M9860="","",M9860*N$1)</f>
        <v/>
      </c>
      <c r="O9860" s="8"/>
      <c r="P9860" s="26"/>
      <c r="S9860" s="10" t="str">
        <f t="shared" si="774"/>
        <v/>
      </c>
    </row>
    <row r="9861" spans="5:19" x14ac:dyDescent="0.3">
      <c r="E9861" s="9" t="str">
        <f>IF(DADOS!C9861="","",DADOS!C9861)</f>
        <v/>
      </c>
      <c r="F9861" s="9" t="str">
        <f>IF(DADOS!E9861="","",DADOS!E9861)</f>
        <v/>
      </c>
      <c r="G9861" s="9" t="str">
        <f>IF(DADOS!F9861="","",DADOS!F9861)</f>
        <v/>
      </c>
      <c r="K9861" s="6" t="str">
        <f t="shared" si="775"/>
        <v/>
      </c>
      <c r="L9861" s="7" t="str">
        <f t="shared" si="776"/>
        <v/>
      </c>
      <c r="M9861" s="7" t="str">
        <f t="shared" si="773"/>
        <v/>
      </c>
      <c r="N9861" s="7" t="str">
        <f t="shared" si="777"/>
        <v/>
      </c>
      <c r="O9861" s="8"/>
      <c r="P9861" s="26"/>
      <c r="S9861" s="10" t="str">
        <f t="shared" si="774"/>
        <v/>
      </c>
    </row>
    <row r="9862" spans="5:19" x14ac:dyDescent="0.3">
      <c r="E9862" s="9" t="str">
        <f>IF(DADOS!C9862="","",DADOS!C9862)</f>
        <v/>
      </c>
      <c r="F9862" s="9" t="str">
        <f>IF(DADOS!E9862="","",DADOS!E9862)</f>
        <v/>
      </c>
      <c r="G9862" s="9" t="str">
        <f>IF(DADOS!F9862="","",DADOS!F9862)</f>
        <v/>
      </c>
      <c r="K9862" s="6" t="str">
        <f t="shared" si="775"/>
        <v/>
      </c>
      <c r="L9862" s="7" t="str">
        <f t="shared" si="776"/>
        <v/>
      </c>
      <c r="M9862" s="7" t="str">
        <f t="shared" si="773"/>
        <v/>
      </c>
      <c r="N9862" s="7" t="str">
        <f t="shared" si="777"/>
        <v/>
      </c>
      <c r="O9862" s="8"/>
      <c r="P9862" s="26"/>
      <c r="S9862" s="10" t="str">
        <f t="shared" si="774"/>
        <v/>
      </c>
    </row>
    <row r="9863" spans="5:19" x14ac:dyDescent="0.3">
      <c r="E9863" s="9" t="str">
        <f>IF(DADOS!C9863="","",DADOS!C9863)</f>
        <v/>
      </c>
      <c r="F9863" s="9" t="str">
        <f>IF(DADOS!E9863="","",DADOS!E9863)</f>
        <v/>
      </c>
      <c r="G9863" s="9" t="str">
        <f>IF(DADOS!F9863="","",DADOS!F9863)</f>
        <v/>
      </c>
      <c r="K9863" s="6" t="str">
        <f t="shared" si="775"/>
        <v/>
      </c>
      <c r="L9863" s="7" t="str">
        <f t="shared" si="776"/>
        <v/>
      </c>
      <c r="M9863" s="7" t="str">
        <f t="shared" si="773"/>
        <v/>
      </c>
      <c r="N9863" s="7" t="str">
        <f t="shared" si="777"/>
        <v/>
      </c>
      <c r="O9863" s="8"/>
      <c r="P9863" s="26"/>
      <c r="S9863" s="10" t="str">
        <f t="shared" si="774"/>
        <v/>
      </c>
    </row>
    <row r="9864" spans="5:19" x14ac:dyDescent="0.3">
      <c r="E9864" s="9" t="str">
        <f>IF(DADOS!C9864="","",DADOS!C9864)</f>
        <v/>
      </c>
      <c r="F9864" s="9" t="str">
        <f>IF(DADOS!E9864="","",DADOS!E9864)</f>
        <v/>
      </c>
      <c r="G9864" s="9" t="str">
        <f>IF(DADOS!F9864="","",DADOS!F9864)</f>
        <v/>
      </c>
      <c r="K9864" s="6" t="str">
        <f t="shared" si="775"/>
        <v/>
      </c>
      <c r="L9864" s="7" t="str">
        <f t="shared" si="776"/>
        <v/>
      </c>
      <c r="M9864" s="7" t="str">
        <f t="shared" si="773"/>
        <v/>
      </c>
      <c r="N9864" s="7" t="str">
        <f t="shared" si="777"/>
        <v/>
      </c>
      <c r="O9864" s="8"/>
      <c r="P9864" s="26"/>
      <c r="S9864" s="10" t="str">
        <f t="shared" si="774"/>
        <v/>
      </c>
    </row>
    <row r="9865" spans="5:19" x14ac:dyDescent="0.3">
      <c r="E9865" s="9" t="str">
        <f>IF(DADOS!C9865="","",DADOS!C9865)</f>
        <v/>
      </c>
      <c r="F9865" s="9" t="str">
        <f>IF(DADOS!E9865="","",DADOS!E9865)</f>
        <v/>
      </c>
      <c r="G9865" s="9" t="str">
        <f>IF(DADOS!F9865="","",DADOS!F9865)</f>
        <v/>
      </c>
      <c r="K9865" s="6" t="str">
        <f t="shared" si="775"/>
        <v/>
      </c>
      <c r="L9865" s="7" t="str">
        <f t="shared" si="776"/>
        <v/>
      </c>
      <c r="M9865" s="7" t="str">
        <f t="shared" si="773"/>
        <v/>
      </c>
      <c r="N9865" s="7" t="str">
        <f t="shared" si="777"/>
        <v/>
      </c>
      <c r="O9865" s="8"/>
      <c r="P9865" s="26"/>
      <c r="S9865" s="10" t="str">
        <f t="shared" si="774"/>
        <v/>
      </c>
    </row>
    <row r="9866" spans="5:19" x14ac:dyDescent="0.3">
      <c r="E9866" s="9" t="str">
        <f>IF(DADOS!C9866="","",DADOS!C9866)</f>
        <v/>
      </c>
      <c r="F9866" s="9" t="str">
        <f>IF(DADOS!E9866="","",DADOS!E9866)</f>
        <v/>
      </c>
      <c r="G9866" s="9" t="str">
        <f>IF(DADOS!F9866="","",DADOS!F9866)</f>
        <v/>
      </c>
      <c r="K9866" s="6" t="str">
        <f t="shared" si="775"/>
        <v/>
      </c>
      <c r="L9866" s="7" t="str">
        <f t="shared" si="776"/>
        <v/>
      </c>
      <c r="M9866" s="7" t="str">
        <f t="shared" si="773"/>
        <v/>
      </c>
      <c r="N9866" s="7" t="str">
        <f t="shared" si="777"/>
        <v/>
      </c>
      <c r="O9866" s="8"/>
      <c r="P9866" s="26"/>
      <c r="S9866" s="10" t="str">
        <f t="shared" si="774"/>
        <v/>
      </c>
    </row>
    <row r="9867" spans="5:19" x14ac:dyDescent="0.3">
      <c r="E9867" s="9" t="str">
        <f>IF(DADOS!C9867="","",DADOS!C9867)</f>
        <v/>
      </c>
      <c r="F9867" s="9" t="str">
        <f>IF(DADOS!E9867="","",DADOS!E9867)</f>
        <v/>
      </c>
      <c r="G9867" s="9" t="str">
        <f>IF(DADOS!F9867="","",DADOS!F9867)</f>
        <v/>
      </c>
      <c r="K9867" s="6" t="str">
        <f t="shared" si="775"/>
        <v/>
      </c>
      <c r="L9867" s="7" t="str">
        <f t="shared" si="776"/>
        <v/>
      </c>
      <c r="M9867" s="7" t="str">
        <f t="shared" si="773"/>
        <v/>
      </c>
      <c r="N9867" s="7" t="str">
        <f t="shared" si="777"/>
        <v/>
      </c>
      <c r="O9867" s="8"/>
      <c r="P9867" s="26"/>
      <c r="S9867" s="10" t="str">
        <f t="shared" si="774"/>
        <v/>
      </c>
    </row>
    <row r="9868" spans="5:19" x14ac:dyDescent="0.3">
      <c r="E9868" s="9" t="str">
        <f>IF(DADOS!C9868="","",DADOS!C9868)</f>
        <v/>
      </c>
      <c r="F9868" s="9" t="str">
        <f>IF(DADOS!E9868="","",DADOS!E9868)</f>
        <v/>
      </c>
      <c r="G9868" s="9" t="str">
        <f>IF(DADOS!F9868="","",DADOS!F9868)</f>
        <v/>
      </c>
      <c r="K9868" s="6" t="str">
        <f t="shared" si="775"/>
        <v/>
      </c>
      <c r="L9868" s="7" t="str">
        <f t="shared" si="776"/>
        <v/>
      </c>
      <c r="M9868" s="7" t="str">
        <f t="shared" si="773"/>
        <v/>
      </c>
      <c r="N9868" s="7" t="str">
        <f t="shared" si="777"/>
        <v/>
      </c>
      <c r="O9868" s="8"/>
      <c r="P9868" s="26"/>
      <c r="S9868" s="10" t="str">
        <f t="shared" si="774"/>
        <v/>
      </c>
    </row>
    <row r="9869" spans="5:19" x14ac:dyDescent="0.3">
      <c r="E9869" s="9" t="str">
        <f>IF(DADOS!C9869="","",DADOS!C9869)</f>
        <v/>
      </c>
      <c r="F9869" s="9" t="str">
        <f>IF(DADOS!E9869="","",DADOS!E9869)</f>
        <v/>
      </c>
      <c r="G9869" s="9" t="str">
        <f>IF(DADOS!F9869="","",DADOS!F9869)</f>
        <v/>
      </c>
      <c r="K9869" s="6" t="str">
        <f t="shared" si="775"/>
        <v/>
      </c>
      <c r="L9869" s="7" t="str">
        <f t="shared" si="776"/>
        <v/>
      </c>
      <c r="M9869" s="7" t="str">
        <f t="shared" si="773"/>
        <v/>
      </c>
      <c r="N9869" s="7" t="str">
        <f t="shared" si="777"/>
        <v/>
      </c>
      <c r="O9869" s="8"/>
      <c r="P9869" s="26"/>
      <c r="S9869" s="10" t="str">
        <f t="shared" si="774"/>
        <v/>
      </c>
    </row>
    <row r="9870" spans="5:19" x14ac:dyDescent="0.3">
      <c r="E9870" s="9" t="str">
        <f>IF(DADOS!C9870="","",DADOS!C9870)</f>
        <v/>
      </c>
      <c r="F9870" s="9" t="str">
        <f>IF(DADOS!E9870="","",DADOS!E9870)</f>
        <v/>
      </c>
      <c r="G9870" s="9" t="str">
        <f>IF(DADOS!F9870="","",DADOS!F9870)</f>
        <v/>
      </c>
      <c r="K9870" s="6" t="str">
        <f t="shared" si="775"/>
        <v/>
      </c>
      <c r="L9870" s="7" t="str">
        <f t="shared" si="776"/>
        <v/>
      </c>
      <c r="M9870" s="7" t="str">
        <f t="shared" si="773"/>
        <v/>
      </c>
      <c r="N9870" s="7" t="str">
        <f t="shared" si="777"/>
        <v/>
      </c>
      <c r="O9870" s="8"/>
      <c r="P9870" s="26"/>
      <c r="S9870" s="10" t="str">
        <f t="shared" si="774"/>
        <v/>
      </c>
    </row>
    <row r="9871" spans="5:19" x14ac:dyDescent="0.3">
      <c r="E9871" s="9" t="str">
        <f>IF(DADOS!C9871="","",DADOS!C9871)</f>
        <v/>
      </c>
      <c r="F9871" s="9" t="str">
        <f>IF(DADOS!E9871="","",DADOS!E9871)</f>
        <v/>
      </c>
      <c r="G9871" s="9" t="str">
        <f>IF(DADOS!F9871="","",DADOS!F9871)</f>
        <v/>
      </c>
      <c r="K9871" s="6" t="str">
        <f t="shared" si="775"/>
        <v/>
      </c>
      <c r="L9871" s="7" t="str">
        <f t="shared" si="776"/>
        <v/>
      </c>
      <c r="M9871" s="7" t="str">
        <f t="shared" si="773"/>
        <v/>
      </c>
      <c r="N9871" s="7" t="str">
        <f t="shared" si="777"/>
        <v/>
      </c>
      <c r="O9871" s="8"/>
      <c r="P9871" s="26"/>
      <c r="S9871" s="10" t="str">
        <f t="shared" si="774"/>
        <v/>
      </c>
    </row>
    <row r="9872" spans="5:19" x14ac:dyDescent="0.3">
      <c r="E9872" s="9" t="str">
        <f>IF(DADOS!C9872="","",DADOS!C9872)</f>
        <v/>
      </c>
      <c r="F9872" s="9" t="str">
        <f>IF(DADOS!E9872="","",DADOS!E9872)</f>
        <v/>
      </c>
      <c r="G9872" s="9" t="str">
        <f>IF(DADOS!F9872="","",DADOS!F9872)</f>
        <v/>
      </c>
      <c r="K9872" s="6" t="str">
        <f t="shared" si="775"/>
        <v/>
      </c>
      <c r="L9872" s="7" t="str">
        <f t="shared" si="776"/>
        <v/>
      </c>
      <c r="M9872" s="7" t="str">
        <f t="shared" si="773"/>
        <v/>
      </c>
      <c r="N9872" s="7" t="str">
        <f t="shared" si="777"/>
        <v/>
      </c>
      <c r="O9872" s="8"/>
      <c r="P9872" s="26"/>
      <c r="S9872" s="10" t="str">
        <f t="shared" si="774"/>
        <v/>
      </c>
    </row>
    <row r="9873" spans="5:19" x14ac:dyDescent="0.3">
      <c r="E9873" s="9" t="str">
        <f>IF(DADOS!C9873="","",DADOS!C9873)</f>
        <v/>
      </c>
      <c r="F9873" s="9" t="str">
        <f>IF(DADOS!E9873="","",DADOS!E9873)</f>
        <v/>
      </c>
      <c r="G9873" s="9" t="str">
        <f>IF(DADOS!F9873="","",DADOS!F9873)</f>
        <v/>
      </c>
      <c r="K9873" s="6" t="str">
        <f t="shared" si="775"/>
        <v/>
      </c>
      <c r="L9873" s="7" t="str">
        <f t="shared" si="776"/>
        <v/>
      </c>
      <c r="M9873" s="7" t="str">
        <f t="shared" si="773"/>
        <v/>
      </c>
      <c r="N9873" s="7" t="str">
        <f t="shared" si="777"/>
        <v/>
      </c>
      <c r="O9873" s="8"/>
      <c r="P9873" s="26"/>
      <c r="S9873" s="10" t="str">
        <f t="shared" si="774"/>
        <v/>
      </c>
    </row>
    <row r="9874" spans="5:19" x14ac:dyDescent="0.3">
      <c r="E9874" s="9" t="str">
        <f>IF(DADOS!C9874="","",DADOS!C9874)</f>
        <v/>
      </c>
      <c r="F9874" s="9" t="str">
        <f>IF(DADOS!E9874="","",DADOS!E9874)</f>
        <v/>
      </c>
      <c r="G9874" s="9" t="str">
        <f>IF(DADOS!F9874="","",DADOS!F9874)</f>
        <v/>
      </c>
      <c r="K9874" s="6" t="str">
        <f t="shared" si="775"/>
        <v/>
      </c>
      <c r="L9874" s="7" t="str">
        <f t="shared" si="776"/>
        <v/>
      </c>
      <c r="M9874" s="7" t="str">
        <f t="shared" si="773"/>
        <v/>
      </c>
      <c r="N9874" s="7" t="str">
        <f t="shared" si="777"/>
        <v/>
      </c>
      <c r="O9874" s="8"/>
      <c r="P9874" s="26"/>
      <c r="S9874" s="10" t="str">
        <f t="shared" si="774"/>
        <v/>
      </c>
    </row>
    <row r="9875" spans="5:19" x14ac:dyDescent="0.3">
      <c r="E9875" s="9" t="str">
        <f>IF(DADOS!C9875="","",DADOS!C9875)</f>
        <v/>
      </c>
      <c r="F9875" s="9" t="str">
        <f>IF(DADOS!E9875="","",DADOS!E9875)</f>
        <v/>
      </c>
      <c r="G9875" s="9" t="str">
        <f>IF(DADOS!F9875="","",DADOS!F9875)</f>
        <v/>
      </c>
      <c r="K9875" s="6" t="str">
        <f t="shared" si="775"/>
        <v/>
      </c>
      <c r="L9875" s="7" t="str">
        <f t="shared" si="776"/>
        <v/>
      </c>
      <c r="M9875" s="7" t="str">
        <f t="shared" si="773"/>
        <v/>
      </c>
      <c r="N9875" s="7" t="str">
        <f t="shared" si="777"/>
        <v/>
      </c>
      <c r="O9875" s="8"/>
      <c r="P9875" s="26"/>
      <c r="S9875" s="10" t="str">
        <f t="shared" si="774"/>
        <v/>
      </c>
    </row>
    <row r="9876" spans="5:19" x14ac:dyDescent="0.3">
      <c r="E9876" s="9" t="str">
        <f>IF(DADOS!C9876="","",DADOS!C9876)</f>
        <v/>
      </c>
      <c r="F9876" s="9" t="str">
        <f>IF(DADOS!E9876="","",DADOS!E9876)</f>
        <v/>
      </c>
      <c r="G9876" s="9" t="str">
        <f>IF(DADOS!F9876="","",DADOS!F9876)</f>
        <v/>
      </c>
      <c r="K9876" s="6" t="str">
        <f t="shared" si="775"/>
        <v/>
      </c>
      <c r="L9876" s="7" t="str">
        <f t="shared" si="776"/>
        <v/>
      </c>
      <c r="M9876" s="7" t="str">
        <f t="shared" si="773"/>
        <v/>
      </c>
      <c r="N9876" s="7" t="str">
        <f t="shared" si="777"/>
        <v/>
      </c>
      <c r="O9876" s="8"/>
      <c r="P9876" s="26"/>
      <c r="S9876" s="10" t="str">
        <f t="shared" si="774"/>
        <v/>
      </c>
    </row>
    <row r="9877" spans="5:19" x14ac:dyDescent="0.3">
      <c r="E9877" s="9" t="str">
        <f>IF(DADOS!C9877="","",DADOS!C9877)</f>
        <v/>
      </c>
      <c r="F9877" s="9" t="str">
        <f>IF(DADOS!E9877="","",DADOS!E9877)</f>
        <v/>
      </c>
      <c r="G9877" s="9" t="str">
        <f>IF(DADOS!F9877="","",DADOS!F9877)</f>
        <v/>
      </c>
      <c r="K9877" s="6" t="str">
        <f t="shared" si="775"/>
        <v/>
      </c>
      <c r="L9877" s="7" t="str">
        <f t="shared" si="776"/>
        <v/>
      </c>
      <c r="M9877" s="7" t="str">
        <f t="shared" si="773"/>
        <v/>
      </c>
      <c r="N9877" s="7" t="str">
        <f t="shared" si="777"/>
        <v/>
      </c>
      <c r="O9877" s="8"/>
      <c r="P9877" s="26"/>
      <c r="S9877" s="10" t="str">
        <f t="shared" si="774"/>
        <v/>
      </c>
    </row>
    <row r="9878" spans="5:19" x14ac:dyDescent="0.3">
      <c r="E9878" s="9" t="str">
        <f>IF(DADOS!C9878="","",DADOS!C9878)</f>
        <v/>
      </c>
      <c r="F9878" s="9" t="str">
        <f>IF(DADOS!E9878="","",DADOS!E9878)</f>
        <v/>
      </c>
      <c r="G9878" s="9" t="str">
        <f>IF(DADOS!F9878="","",DADOS!F9878)</f>
        <v/>
      </c>
      <c r="K9878" s="6" t="str">
        <f t="shared" si="775"/>
        <v/>
      </c>
      <c r="L9878" s="7" t="str">
        <f t="shared" si="776"/>
        <v/>
      </c>
      <c r="M9878" s="7" t="str">
        <f t="shared" si="773"/>
        <v/>
      </c>
      <c r="N9878" s="7" t="str">
        <f t="shared" si="777"/>
        <v/>
      </c>
      <c r="O9878" s="8"/>
      <c r="P9878" s="26"/>
      <c r="S9878" s="10" t="str">
        <f t="shared" si="774"/>
        <v/>
      </c>
    </row>
    <row r="9879" spans="5:19" x14ac:dyDescent="0.3">
      <c r="E9879" s="9" t="str">
        <f>IF(DADOS!C9879="","",DADOS!C9879)</f>
        <v/>
      </c>
      <c r="F9879" s="9" t="str">
        <f>IF(DADOS!E9879="","",DADOS!E9879)</f>
        <v/>
      </c>
      <c r="G9879" s="9" t="str">
        <f>IF(DADOS!F9879="","",DADOS!F9879)</f>
        <v/>
      </c>
      <c r="K9879" s="6" t="str">
        <f t="shared" si="775"/>
        <v/>
      </c>
      <c r="L9879" s="7" t="str">
        <f t="shared" si="776"/>
        <v/>
      </c>
      <c r="M9879" s="7" t="str">
        <f t="shared" si="773"/>
        <v/>
      </c>
      <c r="N9879" s="7" t="str">
        <f t="shared" si="777"/>
        <v/>
      </c>
      <c r="O9879" s="8"/>
      <c r="P9879" s="26"/>
      <c r="S9879" s="10" t="str">
        <f t="shared" si="774"/>
        <v/>
      </c>
    </row>
    <row r="9880" spans="5:19" x14ac:dyDescent="0.3">
      <c r="E9880" s="9" t="str">
        <f>IF(DADOS!C9880="","",DADOS!C9880)</f>
        <v/>
      </c>
      <c r="F9880" s="9" t="str">
        <f>IF(DADOS!E9880="","",DADOS!E9880)</f>
        <v/>
      </c>
      <c r="G9880" s="9" t="str">
        <f>IF(DADOS!F9880="","",DADOS!F9880)</f>
        <v/>
      </c>
      <c r="K9880" s="6" t="str">
        <f t="shared" si="775"/>
        <v/>
      </c>
      <c r="L9880" s="7" t="str">
        <f t="shared" si="776"/>
        <v/>
      </c>
      <c r="M9880" s="7" t="str">
        <f t="shared" si="773"/>
        <v/>
      </c>
      <c r="N9880" s="7" t="str">
        <f t="shared" si="777"/>
        <v/>
      </c>
      <c r="O9880" s="8"/>
      <c r="P9880" s="26"/>
      <c r="S9880" s="10" t="str">
        <f t="shared" si="774"/>
        <v/>
      </c>
    </row>
    <row r="9881" spans="5:19" x14ac:dyDescent="0.3">
      <c r="E9881" s="9" t="str">
        <f>IF(DADOS!C9881="","",DADOS!C9881)</f>
        <v/>
      </c>
      <c r="F9881" s="9" t="str">
        <f>IF(DADOS!E9881="","",DADOS!E9881)</f>
        <v/>
      </c>
      <c r="G9881" s="9" t="str">
        <f>IF(DADOS!F9881="","",DADOS!F9881)</f>
        <v/>
      </c>
      <c r="K9881" s="6" t="str">
        <f t="shared" si="775"/>
        <v/>
      </c>
      <c r="L9881" s="7" t="str">
        <f t="shared" si="776"/>
        <v/>
      </c>
      <c r="M9881" s="7" t="str">
        <f t="shared" si="773"/>
        <v/>
      </c>
      <c r="N9881" s="7" t="str">
        <f t="shared" si="777"/>
        <v/>
      </c>
      <c r="O9881" s="8"/>
      <c r="P9881" s="26"/>
      <c r="S9881" s="10" t="str">
        <f t="shared" si="774"/>
        <v/>
      </c>
    </row>
    <row r="9882" spans="5:19" x14ac:dyDescent="0.3">
      <c r="E9882" s="9" t="str">
        <f>IF(DADOS!C9882="","",DADOS!C9882)</f>
        <v/>
      </c>
      <c r="F9882" s="9" t="str">
        <f>IF(DADOS!E9882="","",DADOS!E9882)</f>
        <v/>
      </c>
      <c r="G9882" s="9" t="str">
        <f>IF(DADOS!F9882="","",DADOS!F9882)</f>
        <v/>
      </c>
      <c r="K9882" s="6" t="str">
        <f t="shared" si="775"/>
        <v/>
      </c>
      <c r="L9882" s="7" t="str">
        <f t="shared" si="776"/>
        <v/>
      </c>
      <c r="M9882" s="7" t="str">
        <f t="shared" si="773"/>
        <v/>
      </c>
      <c r="N9882" s="7" t="str">
        <f t="shared" si="777"/>
        <v/>
      </c>
      <c r="O9882" s="8"/>
      <c r="P9882" s="26"/>
      <c r="S9882" s="10" t="str">
        <f t="shared" si="774"/>
        <v/>
      </c>
    </row>
    <row r="9883" spans="5:19" x14ac:dyDescent="0.3">
      <c r="E9883" s="9" t="str">
        <f>IF(DADOS!C9883="","",DADOS!C9883)</f>
        <v/>
      </c>
      <c r="F9883" s="9" t="str">
        <f>IF(DADOS!E9883="","",DADOS!E9883)</f>
        <v/>
      </c>
      <c r="G9883" s="9" t="str">
        <f>IF(DADOS!F9883="","",DADOS!F9883)</f>
        <v/>
      </c>
      <c r="K9883" s="6" t="str">
        <f t="shared" si="775"/>
        <v/>
      </c>
      <c r="L9883" s="7" t="str">
        <f t="shared" si="776"/>
        <v/>
      </c>
      <c r="M9883" s="7" t="str">
        <f t="shared" si="773"/>
        <v/>
      </c>
      <c r="N9883" s="7" t="str">
        <f t="shared" si="777"/>
        <v/>
      </c>
      <c r="O9883" s="8"/>
      <c r="P9883" s="26"/>
      <c r="S9883" s="10" t="str">
        <f t="shared" si="774"/>
        <v/>
      </c>
    </row>
    <row r="9884" spans="5:19" x14ac:dyDescent="0.3">
      <c r="E9884" s="9" t="str">
        <f>IF(DADOS!C9884="","",DADOS!C9884)</f>
        <v/>
      </c>
      <c r="F9884" s="9" t="str">
        <f>IF(DADOS!E9884="","",DADOS!E9884)</f>
        <v/>
      </c>
      <c r="G9884" s="9" t="str">
        <f>IF(DADOS!F9884="","",DADOS!F9884)</f>
        <v/>
      </c>
      <c r="K9884" s="6" t="str">
        <f t="shared" si="775"/>
        <v/>
      </c>
      <c r="L9884" s="7" t="str">
        <f t="shared" si="776"/>
        <v/>
      </c>
      <c r="M9884" s="7" t="str">
        <f t="shared" si="773"/>
        <v/>
      </c>
      <c r="N9884" s="7" t="str">
        <f t="shared" si="777"/>
        <v/>
      </c>
      <c r="O9884" s="8"/>
      <c r="P9884" s="26"/>
      <c r="S9884" s="10" t="str">
        <f t="shared" si="774"/>
        <v/>
      </c>
    </row>
    <row r="9885" spans="5:19" x14ac:dyDescent="0.3">
      <c r="E9885" s="9" t="str">
        <f>IF(DADOS!C9885="","",DADOS!C9885)</f>
        <v/>
      </c>
      <c r="F9885" s="9" t="str">
        <f>IF(DADOS!E9885="","",DADOS!E9885)</f>
        <v/>
      </c>
      <c r="G9885" s="9" t="str">
        <f>IF(DADOS!F9885="","",DADOS!F9885)</f>
        <v/>
      </c>
      <c r="K9885" s="6" t="str">
        <f t="shared" si="775"/>
        <v/>
      </c>
      <c r="L9885" s="7" t="str">
        <f t="shared" si="776"/>
        <v/>
      </c>
      <c r="M9885" s="7" t="str">
        <f t="shared" si="773"/>
        <v/>
      </c>
      <c r="N9885" s="7" t="str">
        <f t="shared" si="777"/>
        <v/>
      </c>
      <c r="O9885" s="8"/>
      <c r="P9885" s="26"/>
      <c r="S9885" s="10" t="str">
        <f t="shared" si="774"/>
        <v/>
      </c>
    </row>
    <row r="9886" spans="5:19" x14ac:dyDescent="0.3">
      <c r="E9886" s="9" t="str">
        <f>IF(DADOS!C9886="","",DADOS!C9886)</f>
        <v/>
      </c>
      <c r="F9886" s="9" t="str">
        <f>IF(DADOS!E9886="","",DADOS!E9886)</f>
        <v/>
      </c>
      <c r="G9886" s="9" t="str">
        <f>IF(DADOS!F9886="","",DADOS!F9886)</f>
        <v/>
      </c>
      <c r="K9886" s="6" t="str">
        <f t="shared" si="775"/>
        <v/>
      </c>
      <c r="L9886" s="7" t="str">
        <f t="shared" si="776"/>
        <v/>
      </c>
      <c r="M9886" s="7" t="str">
        <f t="shared" si="773"/>
        <v/>
      </c>
      <c r="N9886" s="7" t="str">
        <f t="shared" si="777"/>
        <v/>
      </c>
      <c r="O9886" s="8"/>
      <c r="P9886" s="26"/>
      <c r="S9886" s="10" t="str">
        <f t="shared" si="774"/>
        <v/>
      </c>
    </row>
    <row r="9887" spans="5:19" x14ac:dyDescent="0.3">
      <c r="E9887" s="9" t="str">
        <f>IF(DADOS!C9887="","",DADOS!C9887)</f>
        <v/>
      </c>
      <c r="F9887" s="9" t="str">
        <f>IF(DADOS!E9887="","",DADOS!E9887)</f>
        <v/>
      </c>
      <c r="G9887" s="9" t="str">
        <f>IF(DADOS!F9887="","",DADOS!F9887)</f>
        <v/>
      </c>
      <c r="K9887" s="6" t="str">
        <f t="shared" si="775"/>
        <v/>
      </c>
      <c r="L9887" s="7" t="str">
        <f t="shared" si="776"/>
        <v/>
      </c>
      <c r="M9887" s="7" t="str">
        <f t="shared" si="773"/>
        <v/>
      </c>
      <c r="N9887" s="7" t="str">
        <f t="shared" si="777"/>
        <v/>
      </c>
      <c r="O9887" s="8"/>
      <c r="P9887" s="26"/>
      <c r="S9887" s="10" t="str">
        <f t="shared" si="774"/>
        <v/>
      </c>
    </row>
    <row r="9888" spans="5:19" x14ac:dyDescent="0.3">
      <c r="E9888" s="9" t="str">
        <f>IF(DADOS!C9888="","",DADOS!C9888)</f>
        <v/>
      </c>
      <c r="F9888" s="9" t="str">
        <f>IF(DADOS!E9888="","",DADOS!E9888)</f>
        <v/>
      </c>
      <c r="G9888" s="9" t="str">
        <f>IF(DADOS!F9888="","",DADOS!F9888)</f>
        <v/>
      </c>
      <c r="K9888" s="6" t="str">
        <f t="shared" si="775"/>
        <v/>
      </c>
      <c r="L9888" s="7" t="str">
        <f t="shared" si="776"/>
        <v/>
      </c>
      <c r="M9888" s="7" t="str">
        <f t="shared" si="773"/>
        <v/>
      </c>
      <c r="N9888" s="7" t="str">
        <f t="shared" si="777"/>
        <v/>
      </c>
      <c r="O9888" s="8"/>
      <c r="P9888" s="26"/>
      <c r="S9888" s="10" t="str">
        <f t="shared" si="774"/>
        <v/>
      </c>
    </row>
    <row r="9889" spans="5:19" x14ac:dyDescent="0.3">
      <c r="E9889" s="9" t="str">
        <f>IF(DADOS!C9889="","",DADOS!C9889)</f>
        <v/>
      </c>
      <c r="F9889" s="9" t="str">
        <f>IF(DADOS!E9889="","",DADOS!E9889)</f>
        <v/>
      </c>
      <c r="G9889" s="9" t="str">
        <f>IF(DADOS!F9889="","",DADOS!F9889)</f>
        <v/>
      </c>
      <c r="K9889" s="6" t="str">
        <f t="shared" si="775"/>
        <v/>
      </c>
      <c r="L9889" s="7" t="str">
        <f t="shared" si="776"/>
        <v/>
      </c>
      <c r="M9889" s="7" t="str">
        <f t="shared" si="773"/>
        <v/>
      </c>
      <c r="N9889" s="7" t="str">
        <f t="shared" si="777"/>
        <v/>
      </c>
      <c r="O9889" s="8"/>
      <c r="P9889" s="26"/>
      <c r="S9889" s="10" t="str">
        <f t="shared" si="774"/>
        <v/>
      </c>
    </row>
    <row r="9890" spans="5:19" x14ac:dyDescent="0.3">
      <c r="E9890" s="9" t="str">
        <f>IF(DADOS!C9890="","",DADOS!C9890)</f>
        <v/>
      </c>
      <c r="F9890" s="9" t="str">
        <f>IF(DADOS!E9890="","",DADOS!E9890)</f>
        <v/>
      </c>
      <c r="G9890" s="9" t="str">
        <f>IF(DADOS!F9890="","",DADOS!F9890)</f>
        <v/>
      </c>
      <c r="K9890" s="6" t="str">
        <f t="shared" si="775"/>
        <v/>
      </c>
      <c r="L9890" s="7" t="str">
        <f t="shared" si="776"/>
        <v/>
      </c>
      <c r="M9890" s="7" t="str">
        <f t="shared" si="773"/>
        <v/>
      </c>
      <c r="N9890" s="7" t="str">
        <f t="shared" si="777"/>
        <v/>
      </c>
      <c r="O9890" s="8"/>
      <c r="P9890" s="26"/>
      <c r="S9890" s="10" t="str">
        <f t="shared" si="774"/>
        <v/>
      </c>
    </row>
    <row r="9891" spans="5:19" x14ac:dyDescent="0.3">
      <c r="E9891" s="9" t="str">
        <f>IF(DADOS!C9891="","",DADOS!C9891)</f>
        <v/>
      </c>
      <c r="F9891" s="9" t="str">
        <f>IF(DADOS!E9891="","",DADOS!E9891)</f>
        <v/>
      </c>
      <c r="G9891" s="9" t="str">
        <f>IF(DADOS!F9891="","",DADOS!F9891)</f>
        <v/>
      </c>
      <c r="K9891" s="6" t="str">
        <f t="shared" si="775"/>
        <v/>
      </c>
      <c r="L9891" s="7" t="str">
        <f t="shared" si="776"/>
        <v/>
      </c>
      <c r="M9891" s="7" t="str">
        <f t="shared" si="773"/>
        <v/>
      </c>
      <c r="N9891" s="7" t="str">
        <f t="shared" si="777"/>
        <v/>
      </c>
      <c r="O9891" s="8"/>
      <c r="P9891" s="26"/>
      <c r="S9891" s="10" t="str">
        <f t="shared" si="774"/>
        <v/>
      </c>
    </row>
    <row r="9892" spans="5:19" x14ac:dyDescent="0.3">
      <c r="E9892" s="9" t="str">
        <f>IF(DADOS!C9892="","",DADOS!C9892)</f>
        <v/>
      </c>
      <c r="F9892" s="9" t="str">
        <f>IF(DADOS!E9892="","",DADOS!E9892)</f>
        <v/>
      </c>
      <c r="G9892" s="9" t="str">
        <f>IF(DADOS!F9892="","",DADOS!F9892)</f>
        <v/>
      </c>
      <c r="K9892" s="6" t="str">
        <f t="shared" si="775"/>
        <v/>
      </c>
      <c r="L9892" s="7" t="str">
        <f t="shared" si="776"/>
        <v/>
      </c>
      <c r="M9892" s="7" t="str">
        <f t="shared" si="773"/>
        <v/>
      </c>
      <c r="N9892" s="7" t="str">
        <f t="shared" si="777"/>
        <v/>
      </c>
      <c r="O9892" s="8"/>
      <c r="P9892" s="26"/>
      <c r="S9892" s="10" t="str">
        <f t="shared" si="774"/>
        <v/>
      </c>
    </row>
    <row r="9893" spans="5:19" x14ac:dyDescent="0.3">
      <c r="E9893" s="9" t="str">
        <f>IF(DADOS!C9893="","",DADOS!C9893)</f>
        <v/>
      </c>
      <c r="F9893" s="9" t="str">
        <f>IF(DADOS!E9893="","",DADOS!E9893)</f>
        <v/>
      </c>
      <c r="G9893" s="9" t="str">
        <f>IF(DADOS!F9893="","",DADOS!F9893)</f>
        <v/>
      </c>
      <c r="K9893" s="6" t="str">
        <f t="shared" si="775"/>
        <v/>
      </c>
      <c r="L9893" s="7" t="str">
        <f t="shared" si="776"/>
        <v/>
      </c>
      <c r="M9893" s="7" t="str">
        <f t="shared" si="773"/>
        <v/>
      </c>
      <c r="N9893" s="7" t="str">
        <f t="shared" si="777"/>
        <v/>
      </c>
      <c r="O9893" s="8"/>
      <c r="P9893" s="26"/>
      <c r="S9893" s="10" t="str">
        <f t="shared" si="774"/>
        <v/>
      </c>
    </row>
    <row r="9894" spans="5:19" x14ac:dyDescent="0.3">
      <c r="E9894" s="9" t="str">
        <f>IF(DADOS!C9894="","",DADOS!C9894)</f>
        <v/>
      </c>
      <c r="F9894" s="9" t="str">
        <f>IF(DADOS!E9894="","",DADOS!E9894)</f>
        <v/>
      </c>
      <c r="G9894" s="9" t="str">
        <f>IF(DADOS!F9894="","",DADOS!F9894)</f>
        <v/>
      </c>
      <c r="K9894" s="6" t="str">
        <f t="shared" si="775"/>
        <v/>
      </c>
      <c r="L9894" s="7" t="str">
        <f t="shared" si="776"/>
        <v/>
      </c>
      <c r="M9894" s="7" t="str">
        <f t="shared" si="773"/>
        <v/>
      </c>
      <c r="N9894" s="7" t="str">
        <f t="shared" si="777"/>
        <v/>
      </c>
      <c r="O9894" s="8"/>
      <c r="P9894" s="26"/>
      <c r="S9894" s="10" t="str">
        <f t="shared" si="774"/>
        <v/>
      </c>
    </row>
    <row r="9895" spans="5:19" x14ac:dyDescent="0.3">
      <c r="E9895" s="9" t="str">
        <f>IF(DADOS!C9895="","",DADOS!C9895)</f>
        <v/>
      </c>
      <c r="F9895" s="9" t="str">
        <f>IF(DADOS!E9895="","",DADOS!E9895)</f>
        <v/>
      </c>
      <c r="G9895" s="9" t="str">
        <f>IF(DADOS!F9895="","",DADOS!F9895)</f>
        <v/>
      </c>
      <c r="K9895" s="6" t="str">
        <f t="shared" si="775"/>
        <v/>
      </c>
      <c r="L9895" s="7" t="str">
        <f t="shared" si="776"/>
        <v/>
      </c>
      <c r="M9895" s="7" t="str">
        <f t="shared" si="773"/>
        <v/>
      </c>
      <c r="N9895" s="7" t="str">
        <f t="shared" si="777"/>
        <v/>
      </c>
      <c r="O9895" s="8"/>
      <c r="P9895" s="26"/>
      <c r="S9895" s="10" t="str">
        <f t="shared" si="774"/>
        <v/>
      </c>
    </row>
    <row r="9896" spans="5:19" x14ac:dyDescent="0.3">
      <c r="E9896" s="9" t="str">
        <f>IF(DADOS!C9896="","",DADOS!C9896)</f>
        <v/>
      </c>
      <c r="F9896" s="9" t="str">
        <f>IF(DADOS!E9896="","",DADOS!E9896)</f>
        <v/>
      </c>
      <c r="G9896" s="9" t="str">
        <f>IF(DADOS!F9896="","",DADOS!F9896)</f>
        <v/>
      </c>
      <c r="K9896" s="6" t="str">
        <f t="shared" si="775"/>
        <v/>
      </c>
      <c r="L9896" s="7" t="str">
        <f t="shared" si="776"/>
        <v/>
      </c>
      <c r="M9896" s="7" t="str">
        <f t="shared" si="773"/>
        <v/>
      </c>
      <c r="N9896" s="7" t="str">
        <f t="shared" si="777"/>
        <v/>
      </c>
      <c r="O9896" s="8"/>
      <c r="P9896" s="26"/>
      <c r="S9896" s="10" t="str">
        <f t="shared" si="774"/>
        <v/>
      </c>
    </row>
    <row r="9897" spans="5:19" x14ac:dyDescent="0.3">
      <c r="E9897" s="9" t="str">
        <f>IF(DADOS!C9897="","",DADOS!C9897)</f>
        <v/>
      </c>
      <c r="F9897" s="9" t="str">
        <f>IF(DADOS!E9897="","",DADOS!E9897)</f>
        <v/>
      </c>
      <c r="G9897" s="9" t="str">
        <f>IF(DADOS!F9897="","",DADOS!F9897)</f>
        <v/>
      </c>
      <c r="K9897" s="6" t="str">
        <f t="shared" si="775"/>
        <v/>
      </c>
      <c r="L9897" s="7" t="str">
        <f t="shared" si="776"/>
        <v/>
      </c>
      <c r="M9897" s="7" t="str">
        <f t="shared" si="773"/>
        <v/>
      </c>
      <c r="N9897" s="7" t="str">
        <f t="shared" si="777"/>
        <v/>
      </c>
      <c r="O9897" s="8"/>
      <c r="P9897" s="26"/>
      <c r="S9897" s="10" t="str">
        <f t="shared" si="774"/>
        <v/>
      </c>
    </row>
    <row r="9898" spans="5:19" x14ac:dyDescent="0.3">
      <c r="E9898" s="9" t="str">
        <f>IF(DADOS!C9898="","",DADOS!C9898)</f>
        <v/>
      </c>
      <c r="F9898" s="9" t="str">
        <f>IF(DADOS!E9898="","",DADOS!E9898)</f>
        <v/>
      </c>
      <c r="G9898" s="9" t="str">
        <f>IF(DADOS!F9898="","",DADOS!F9898)</f>
        <v/>
      </c>
      <c r="K9898" s="6" t="str">
        <f t="shared" si="775"/>
        <v/>
      </c>
      <c r="L9898" s="7" t="str">
        <f t="shared" si="776"/>
        <v/>
      </c>
      <c r="M9898" s="7" t="str">
        <f t="shared" si="773"/>
        <v/>
      </c>
      <c r="N9898" s="7" t="str">
        <f t="shared" si="777"/>
        <v/>
      </c>
      <c r="O9898" s="8"/>
      <c r="P9898" s="26"/>
      <c r="S9898" s="10" t="str">
        <f t="shared" si="774"/>
        <v/>
      </c>
    </row>
    <row r="9899" spans="5:19" x14ac:dyDescent="0.3">
      <c r="E9899" s="9" t="str">
        <f>IF(DADOS!C9899="","",DADOS!C9899)</f>
        <v/>
      </c>
      <c r="F9899" s="9" t="str">
        <f>IF(DADOS!E9899="","",DADOS!E9899)</f>
        <v/>
      </c>
      <c r="G9899" s="9" t="str">
        <f>IF(DADOS!F9899="","",DADOS!F9899)</f>
        <v/>
      </c>
      <c r="K9899" s="6" t="str">
        <f t="shared" si="775"/>
        <v/>
      </c>
      <c r="L9899" s="7" t="str">
        <f t="shared" si="776"/>
        <v/>
      </c>
      <c r="M9899" s="7" t="str">
        <f t="shared" si="773"/>
        <v/>
      </c>
      <c r="N9899" s="7" t="str">
        <f t="shared" si="777"/>
        <v/>
      </c>
      <c r="O9899" s="8"/>
      <c r="P9899" s="26"/>
      <c r="S9899" s="10" t="str">
        <f t="shared" si="774"/>
        <v/>
      </c>
    </row>
    <row r="9900" spans="5:19" x14ac:dyDescent="0.3">
      <c r="E9900" s="9" t="str">
        <f>IF(DADOS!C9900="","",DADOS!C9900)</f>
        <v/>
      </c>
      <c r="F9900" s="9" t="str">
        <f>IF(DADOS!E9900="","",DADOS!E9900)</f>
        <v/>
      </c>
      <c r="G9900" s="9" t="str">
        <f>IF(DADOS!F9900="","",DADOS!F9900)</f>
        <v/>
      </c>
      <c r="K9900" s="6" t="str">
        <f t="shared" si="775"/>
        <v/>
      </c>
      <c r="L9900" s="7" t="str">
        <f t="shared" si="776"/>
        <v/>
      </c>
      <c r="M9900" s="7" t="str">
        <f t="shared" si="773"/>
        <v/>
      </c>
      <c r="N9900" s="7" t="str">
        <f t="shared" si="777"/>
        <v/>
      </c>
      <c r="O9900" s="8"/>
      <c r="P9900" s="26"/>
      <c r="S9900" s="10" t="str">
        <f t="shared" si="774"/>
        <v/>
      </c>
    </row>
    <row r="9901" spans="5:19" x14ac:dyDescent="0.3">
      <c r="E9901" s="9" t="str">
        <f>IF(DADOS!C9901="","",DADOS!C9901)</f>
        <v/>
      </c>
      <c r="F9901" s="9" t="str">
        <f>IF(DADOS!E9901="","",DADOS!E9901)</f>
        <v/>
      </c>
      <c r="G9901" s="9" t="str">
        <f>IF(DADOS!F9901="","",DADOS!F9901)</f>
        <v/>
      </c>
      <c r="K9901" s="6" t="str">
        <f t="shared" si="775"/>
        <v/>
      </c>
      <c r="L9901" s="7" t="str">
        <f t="shared" si="776"/>
        <v/>
      </c>
      <c r="M9901" s="7" t="str">
        <f t="shared" si="773"/>
        <v/>
      </c>
      <c r="N9901" s="7" t="str">
        <f t="shared" si="777"/>
        <v/>
      </c>
      <c r="O9901" s="8"/>
      <c r="P9901" s="26"/>
      <c r="S9901" s="10" t="str">
        <f t="shared" si="774"/>
        <v/>
      </c>
    </row>
    <row r="9902" spans="5:19" x14ac:dyDescent="0.3">
      <c r="E9902" s="9" t="str">
        <f>IF(DADOS!C9902="","",DADOS!C9902)</f>
        <v/>
      </c>
      <c r="F9902" s="9" t="str">
        <f>IF(DADOS!E9902="","",DADOS!E9902)</f>
        <v/>
      </c>
      <c r="G9902" s="9" t="str">
        <f>IF(DADOS!F9902="","",DADOS!F9902)</f>
        <v/>
      </c>
      <c r="K9902" s="6" t="str">
        <f t="shared" si="775"/>
        <v/>
      </c>
      <c r="L9902" s="7" t="str">
        <f t="shared" si="776"/>
        <v/>
      </c>
      <c r="M9902" s="7" t="str">
        <f t="shared" si="773"/>
        <v/>
      </c>
      <c r="N9902" s="7" t="str">
        <f t="shared" si="777"/>
        <v/>
      </c>
      <c r="O9902" s="8"/>
      <c r="P9902" s="26"/>
      <c r="S9902" s="10" t="str">
        <f t="shared" si="774"/>
        <v/>
      </c>
    </row>
    <row r="9903" spans="5:19" x14ac:dyDescent="0.3">
      <c r="E9903" s="9" t="str">
        <f>IF(DADOS!C9903="","",DADOS!C9903)</f>
        <v/>
      </c>
      <c r="F9903" s="9" t="str">
        <f>IF(DADOS!E9903="","",DADOS!E9903)</f>
        <v/>
      </c>
      <c r="G9903" s="9" t="str">
        <f>IF(DADOS!F9903="","",DADOS!F9903)</f>
        <v/>
      </c>
      <c r="K9903" s="6" t="str">
        <f t="shared" si="775"/>
        <v/>
      </c>
      <c r="L9903" s="7" t="str">
        <f t="shared" si="776"/>
        <v/>
      </c>
      <c r="M9903" s="7" t="str">
        <f t="shared" si="773"/>
        <v/>
      </c>
      <c r="N9903" s="7" t="str">
        <f t="shared" si="777"/>
        <v/>
      </c>
      <c r="O9903" s="8"/>
      <c r="P9903" s="26"/>
      <c r="S9903" s="10" t="str">
        <f t="shared" si="774"/>
        <v/>
      </c>
    </row>
    <row r="9904" spans="5:19" x14ac:dyDescent="0.3">
      <c r="E9904" s="9" t="str">
        <f>IF(DADOS!C9904="","",DADOS!C9904)</f>
        <v/>
      </c>
      <c r="F9904" s="9" t="str">
        <f>IF(DADOS!E9904="","",DADOS!E9904)</f>
        <v/>
      </c>
      <c r="G9904" s="9" t="str">
        <f>IF(DADOS!F9904="","",DADOS!F9904)</f>
        <v/>
      </c>
      <c r="K9904" s="6" t="str">
        <f t="shared" si="775"/>
        <v/>
      </c>
      <c r="L9904" s="7" t="str">
        <f t="shared" si="776"/>
        <v/>
      </c>
      <c r="M9904" s="7" t="str">
        <f t="shared" si="773"/>
        <v/>
      </c>
      <c r="N9904" s="7" t="str">
        <f t="shared" si="777"/>
        <v/>
      </c>
      <c r="O9904" s="8"/>
      <c r="P9904" s="26"/>
      <c r="S9904" s="10" t="str">
        <f t="shared" si="774"/>
        <v/>
      </c>
    </row>
    <row r="9905" spans="5:19" x14ac:dyDescent="0.3">
      <c r="E9905" s="9" t="str">
        <f>IF(DADOS!C9905="","",DADOS!C9905)</f>
        <v/>
      </c>
      <c r="F9905" s="9" t="str">
        <f>IF(DADOS!E9905="","",DADOS!E9905)</f>
        <v/>
      </c>
      <c r="G9905" s="9" t="str">
        <f>IF(DADOS!F9905="","",DADOS!F9905)</f>
        <v/>
      </c>
      <c r="K9905" s="6" t="str">
        <f t="shared" si="775"/>
        <v/>
      </c>
      <c r="L9905" s="7" t="str">
        <f t="shared" si="776"/>
        <v/>
      </c>
      <c r="M9905" s="7" t="str">
        <f t="shared" si="773"/>
        <v/>
      </c>
      <c r="N9905" s="7" t="str">
        <f t="shared" si="777"/>
        <v/>
      </c>
      <c r="O9905" s="8"/>
      <c r="P9905" s="26"/>
      <c r="S9905" s="10" t="str">
        <f t="shared" si="774"/>
        <v/>
      </c>
    </row>
    <row r="9906" spans="5:19" x14ac:dyDescent="0.3">
      <c r="E9906" s="9" t="str">
        <f>IF(DADOS!C9906="","",DADOS!C9906)</f>
        <v/>
      </c>
      <c r="F9906" s="9" t="str">
        <f>IF(DADOS!E9906="","",DADOS!E9906)</f>
        <v/>
      </c>
      <c r="G9906" s="9" t="str">
        <f>IF(DADOS!F9906="","",DADOS!F9906)</f>
        <v/>
      </c>
      <c r="K9906" s="6" t="str">
        <f t="shared" si="775"/>
        <v/>
      </c>
      <c r="L9906" s="7" t="str">
        <f t="shared" si="776"/>
        <v/>
      </c>
      <c r="M9906" s="7" t="str">
        <f t="shared" si="773"/>
        <v/>
      </c>
      <c r="N9906" s="7" t="str">
        <f t="shared" si="777"/>
        <v/>
      </c>
      <c r="O9906" s="8"/>
      <c r="P9906" s="26"/>
      <c r="S9906" s="10" t="str">
        <f t="shared" si="774"/>
        <v/>
      </c>
    </row>
    <row r="9907" spans="5:19" x14ac:dyDescent="0.3">
      <c r="E9907" s="9" t="str">
        <f>IF(DADOS!C9907="","",DADOS!C9907)</f>
        <v/>
      </c>
      <c r="F9907" s="9" t="str">
        <f>IF(DADOS!E9907="","",DADOS!E9907)</f>
        <v/>
      </c>
      <c r="G9907" s="9" t="str">
        <f>IF(DADOS!F9907="","",DADOS!F9907)</f>
        <v/>
      </c>
      <c r="K9907" s="6" t="str">
        <f t="shared" si="775"/>
        <v/>
      </c>
      <c r="L9907" s="7" t="str">
        <f t="shared" si="776"/>
        <v/>
      </c>
      <c r="M9907" s="7" t="str">
        <f t="shared" si="773"/>
        <v/>
      </c>
      <c r="N9907" s="7" t="str">
        <f t="shared" si="777"/>
        <v/>
      </c>
      <c r="O9907" s="8"/>
      <c r="P9907" s="26"/>
      <c r="S9907" s="10" t="str">
        <f t="shared" si="774"/>
        <v/>
      </c>
    </row>
    <row r="9908" spans="5:19" x14ac:dyDescent="0.3">
      <c r="E9908" s="9" t="str">
        <f>IF(DADOS!C9908="","",DADOS!C9908)</f>
        <v/>
      </c>
      <c r="F9908" s="9" t="str">
        <f>IF(DADOS!E9908="","",DADOS!E9908)</f>
        <v/>
      </c>
      <c r="G9908" s="9" t="str">
        <f>IF(DADOS!F9908="","",DADOS!F9908)</f>
        <v/>
      </c>
      <c r="K9908" s="6" t="str">
        <f t="shared" si="775"/>
        <v/>
      </c>
      <c r="L9908" s="7" t="str">
        <f t="shared" si="776"/>
        <v/>
      </c>
      <c r="M9908" s="7" t="str">
        <f t="shared" si="773"/>
        <v/>
      </c>
      <c r="N9908" s="7" t="str">
        <f t="shared" si="777"/>
        <v/>
      </c>
      <c r="O9908" s="8"/>
      <c r="P9908" s="26"/>
      <c r="S9908" s="10" t="str">
        <f t="shared" si="774"/>
        <v/>
      </c>
    </row>
    <row r="9909" spans="5:19" x14ac:dyDescent="0.3">
      <c r="E9909" s="9" t="str">
        <f>IF(DADOS!C9909="","",DADOS!C9909)</f>
        <v/>
      </c>
      <c r="F9909" s="9" t="str">
        <f>IF(DADOS!E9909="","",DADOS!E9909)</f>
        <v/>
      </c>
      <c r="G9909" s="9" t="str">
        <f>IF(DADOS!F9909="","",DADOS!F9909)</f>
        <v/>
      </c>
      <c r="K9909" s="6" t="str">
        <f t="shared" si="775"/>
        <v/>
      </c>
      <c r="L9909" s="7" t="str">
        <f t="shared" si="776"/>
        <v/>
      </c>
      <c r="M9909" s="7" t="str">
        <f t="shared" si="773"/>
        <v/>
      </c>
      <c r="N9909" s="7" t="str">
        <f t="shared" si="777"/>
        <v/>
      </c>
      <c r="O9909" s="8"/>
      <c r="P9909" s="26"/>
      <c r="S9909" s="10" t="str">
        <f t="shared" si="774"/>
        <v/>
      </c>
    </row>
    <row r="9910" spans="5:19" x14ac:dyDescent="0.3">
      <c r="E9910" s="9" t="str">
        <f>IF(DADOS!C9910="","",DADOS!C9910)</f>
        <v/>
      </c>
      <c r="F9910" s="9" t="str">
        <f>IF(DADOS!E9910="","",DADOS!E9910)</f>
        <v/>
      </c>
      <c r="G9910" s="9" t="str">
        <f>IF(DADOS!F9910="","",DADOS!F9910)</f>
        <v/>
      </c>
      <c r="K9910" s="6" t="str">
        <f t="shared" si="775"/>
        <v/>
      </c>
      <c r="L9910" s="7" t="str">
        <f t="shared" si="776"/>
        <v/>
      </c>
      <c r="M9910" s="7" t="str">
        <f t="shared" si="773"/>
        <v/>
      </c>
      <c r="N9910" s="7" t="str">
        <f t="shared" si="777"/>
        <v/>
      </c>
      <c r="O9910" s="8"/>
      <c r="P9910" s="26"/>
      <c r="S9910" s="10" t="str">
        <f t="shared" si="774"/>
        <v/>
      </c>
    </row>
    <row r="9911" spans="5:19" x14ac:dyDescent="0.3">
      <c r="E9911" s="9" t="str">
        <f>IF(DADOS!C9911="","",DADOS!C9911)</f>
        <v/>
      </c>
      <c r="F9911" s="9" t="str">
        <f>IF(DADOS!E9911="","",DADOS!E9911)</f>
        <v/>
      </c>
      <c r="G9911" s="9" t="str">
        <f>IF(DADOS!F9911="","",DADOS!F9911)</f>
        <v/>
      </c>
      <c r="K9911" s="6" t="str">
        <f t="shared" si="775"/>
        <v/>
      </c>
      <c r="L9911" s="7" t="str">
        <f t="shared" si="776"/>
        <v/>
      </c>
      <c r="M9911" s="7" t="str">
        <f t="shared" si="773"/>
        <v/>
      </c>
      <c r="N9911" s="7" t="str">
        <f t="shared" si="777"/>
        <v/>
      </c>
      <c r="O9911" s="8"/>
      <c r="P9911" s="26"/>
      <c r="S9911" s="10" t="str">
        <f t="shared" si="774"/>
        <v/>
      </c>
    </row>
    <row r="9912" spans="5:19" x14ac:dyDescent="0.3">
      <c r="E9912" s="9" t="str">
        <f>IF(DADOS!C9912="","",DADOS!C9912)</f>
        <v/>
      </c>
      <c r="F9912" s="9" t="str">
        <f>IF(DADOS!E9912="","",DADOS!E9912)</f>
        <v/>
      </c>
      <c r="G9912" s="9" t="str">
        <f>IF(DADOS!F9912="","",DADOS!F9912)</f>
        <v/>
      </c>
      <c r="K9912" s="6" t="str">
        <f t="shared" si="775"/>
        <v/>
      </c>
      <c r="L9912" s="7" t="str">
        <f t="shared" si="776"/>
        <v/>
      </c>
      <c r="M9912" s="7" t="str">
        <f t="shared" si="773"/>
        <v/>
      </c>
      <c r="N9912" s="7" t="str">
        <f t="shared" si="777"/>
        <v/>
      </c>
      <c r="O9912" s="8"/>
      <c r="P9912" s="26"/>
      <c r="S9912" s="10" t="str">
        <f t="shared" si="774"/>
        <v/>
      </c>
    </row>
    <row r="9913" spans="5:19" x14ac:dyDescent="0.3">
      <c r="E9913" s="9" t="str">
        <f>IF(DADOS!C9913="","",DADOS!C9913)</f>
        <v/>
      </c>
      <c r="F9913" s="9" t="str">
        <f>IF(DADOS!E9913="","",DADOS!E9913)</f>
        <v/>
      </c>
      <c r="G9913" s="9" t="str">
        <f>IF(DADOS!F9913="","",DADOS!F9913)</f>
        <v/>
      </c>
      <c r="K9913" s="6" t="str">
        <f t="shared" si="775"/>
        <v/>
      </c>
      <c r="L9913" s="7" t="str">
        <f t="shared" si="776"/>
        <v/>
      </c>
      <c r="M9913" s="7" t="str">
        <f t="shared" si="773"/>
        <v/>
      </c>
      <c r="N9913" s="7" t="str">
        <f t="shared" si="777"/>
        <v/>
      </c>
      <c r="O9913" s="8"/>
      <c r="P9913" s="26"/>
      <c r="S9913" s="10" t="str">
        <f t="shared" si="774"/>
        <v/>
      </c>
    </row>
    <row r="9914" spans="5:19" x14ac:dyDescent="0.3">
      <c r="E9914" s="9" t="str">
        <f>IF(DADOS!C9914="","",DADOS!C9914)</f>
        <v/>
      </c>
      <c r="F9914" s="9" t="str">
        <f>IF(DADOS!E9914="","",DADOS!E9914)</f>
        <v/>
      </c>
      <c r="G9914" s="9" t="str">
        <f>IF(DADOS!F9914="","",DADOS!F9914)</f>
        <v/>
      </c>
      <c r="K9914" s="6" t="str">
        <f t="shared" si="775"/>
        <v/>
      </c>
      <c r="L9914" s="7" t="str">
        <f t="shared" si="776"/>
        <v/>
      </c>
      <c r="M9914" s="7" t="str">
        <f t="shared" si="773"/>
        <v/>
      </c>
      <c r="N9914" s="7" t="str">
        <f t="shared" si="777"/>
        <v/>
      </c>
      <c r="O9914" s="8"/>
      <c r="P9914" s="26"/>
      <c r="S9914" s="10" t="str">
        <f t="shared" si="774"/>
        <v/>
      </c>
    </row>
    <row r="9915" spans="5:19" x14ac:dyDescent="0.3">
      <c r="E9915" s="9" t="str">
        <f>IF(DADOS!C9915="","",DADOS!C9915)</f>
        <v/>
      </c>
      <c r="F9915" s="9" t="str">
        <f>IF(DADOS!E9915="","",DADOS!E9915)</f>
        <v/>
      </c>
      <c r="G9915" s="9" t="str">
        <f>IF(DADOS!F9915="","",DADOS!F9915)</f>
        <v/>
      </c>
      <c r="K9915" s="6" t="str">
        <f t="shared" si="775"/>
        <v/>
      </c>
      <c r="L9915" s="7" t="str">
        <f t="shared" si="776"/>
        <v/>
      </c>
      <c r="M9915" s="7" t="str">
        <f t="shared" si="773"/>
        <v/>
      </c>
      <c r="N9915" s="7" t="str">
        <f t="shared" si="777"/>
        <v/>
      </c>
      <c r="O9915" s="8"/>
      <c r="P9915" s="26"/>
      <c r="S9915" s="10" t="str">
        <f t="shared" si="774"/>
        <v/>
      </c>
    </row>
    <row r="9916" spans="5:19" x14ac:dyDescent="0.3">
      <c r="E9916" s="9" t="str">
        <f>IF(DADOS!C9916="","",DADOS!C9916)</f>
        <v/>
      </c>
      <c r="F9916" s="9" t="str">
        <f>IF(DADOS!E9916="","",DADOS!E9916)</f>
        <v/>
      </c>
      <c r="G9916" s="9" t="str">
        <f>IF(DADOS!F9916="","",DADOS!F9916)</f>
        <v/>
      </c>
      <c r="K9916" s="6" t="str">
        <f t="shared" si="775"/>
        <v/>
      </c>
      <c r="L9916" s="7" t="str">
        <f t="shared" si="776"/>
        <v/>
      </c>
      <c r="M9916" s="7" t="str">
        <f t="shared" si="773"/>
        <v/>
      </c>
      <c r="N9916" s="7" t="str">
        <f t="shared" si="777"/>
        <v/>
      </c>
      <c r="O9916" s="8"/>
      <c r="P9916" s="26"/>
      <c r="S9916" s="10" t="str">
        <f t="shared" si="774"/>
        <v/>
      </c>
    </row>
    <row r="9917" spans="5:19" x14ac:dyDescent="0.3">
      <c r="E9917" s="9" t="str">
        <f>IF(DADOS!C9917="","",DADOS!C9917)</f>
        <v/>
      </c>
      <c r="F9917" s="9" t="str">
        <f>IF(DADOS!E9917="","",DADOS!E9917)</f>
        <v/>
      </c>
      <c r="G9917" s="9" t="str">
        <f>IF(DADOS!F9917="","",DADOS!F9917)</f>
        <v/>
      </c>
      <c r="K9917" s="6" t="str">
        <f t="shared" si="775"/>
        <v/>
      </c>
      <c r="L9917" s="7" t="str">
        <f t="shared" si="776"/>
        <v/>
      </c>
      <c r="M9917" s="7" t="str">
        <f t="shared" si="773"/>
        <v/>
      </c>
      <c r="N9917" s="7" t="str">
        <f t="shared" si="777"/>
        <v/>
      </c>
      <c r="O9917" s="8"/>
      <c r="P9917" s="26"/>
      <c r="S9917" s="10" t="str">
        <f t="shared" si="774"/>
        <v/>
      </c>
    </row>
    <row r="9918" spans="5:19" x14ac:dyDescent="0.3">
      <c r="E9918" s="9" t="str">
        <f>IF(DADOS!C9918="","",DADOS!C9918)</f>
        <v/>
      </c>
      <c r="F9918" s="9" t="str">
        <f>IF(DADOS!E9918="","",DADOS!E9918)</f>
        <v/>
      </c>
      <c r="G9918" s="9" t="str">
        <f>IF(DADOS!F9918="","",DADOS!F9918)</f>
        <v/>
      </c>
      <c r="K9918" s="6" t="str">
        <f t="shared" si="775"/>
        <v/>
      </c>
      <c r="L9918" s="7" t="str">
        <f t="shared" si="776"/>
        <v/>
      </c>
      <c r="M9918" s="7" t="str">
        <f t="shared" si="773"/>
        <v/>
      </c>
      <c r="N9918" s="7" t="str">
        <f t="shared" si="777"/>
        <v/>
      </c>
      <c r="O9918" s="8"/>
      <c r="P9918" s="26"/>
      <c r="S9918" s="10" t="str">
        <f t="shared" si="774"/>
        <v/>
      </c>
    </row>
    <row r="9919" spans="5:19" x14ac:dyDescent="0.3">
      <c r="E9919" s="9" t="str">
        <f>IF(DADOS!C9919="","",DADOS!C9919)</f>
        <v/>
      </c>
      <c r="F9919" s="9" t="str">
        <f>IF(DADOS!E9919="","",DADOS!E9919)</f>
        <v/>
      </c>
      <c r="G9919" s="9" t="str">
        <f>IF(DADOS!F9919="","",DADOS!F9919)</f>
        <v/>
      </c>
      <c r="K9919" s="6" t="str">
        <f t="shared" si="775"/>
        <v/>
      </c>
      <c r="L9919" s="7" t="str">
        <f t="shared" si="776"/>
        <v/>
      </c>
      <c r="M9919" s="7" t="str">
        <f t="shared" si="773"/>
        <v/>
      </c>
      <c r="N9919" s="7" t="str">
        <f t="shared" si="777"/>
        <v/>
      </c>
      <c r="O9919" s="8"/>
      <c r="P9919" s="26"/>
      <c r="S9919" s="10" t="str">
        <f t="shared" si="774"/>
        <v/>
      </c>
    </row>
    <row r="9920" spans="5:19" x14ac:dyDescent="0.3">
      <c r="E9920" s="9" t="str">
        <f>IF(DADOS!C9920="","",DADOS!C9920)</f>
        <v/>
      </c>
      <c r="F9920" s="9" t="str">
        <f>IF(DADOS!E9920="","",DADOS!E9920)</f>
        <v/>
      </c>
      <c r="G9920" s="9" t="str">
        <f>IF(DADOS!F9920="","",DADOS!F9920)</f>
        <v/>
      </c>
      <c r="K9920" s="6" t="str">
        <f t="shared" si="775"/>
        <v/>
      </c>
      <c r="L9920" s="7" t="str">
        <f t="shared" si="776"/>
        <v/>
      </c>
      <c r="M9920" s="7" t="str">
        <f t="shared" si="773"/>
        <v/>
      </c>
      <c r="N9920" s="7" t="str">
        <f t="shared" si="777"/>
        <v/>
      </c>
      <c r="O9920" s="8"/>
      <c r="P9920" s="26"/>
      <c r="S9920" s="10" t="str">
        <f t="shared" si="774"/>
        <v/>
      </c>
    </row>
    <row r="9921" spans="5:19" x14ac:dyDescent="0.3">
      <c r="E9921" s="9" t="str">
        <f>IF(DADOS!C9921="","",DADOS!C9921)</f>
        <v/>
      </c>
      <c r="F9921" s="9" t="str">
        <f>IF(DADOS!E9921="","",DADOS!E9921)</f>
        <v/>
      </c>
      <c r="G9921" s="9" t="str">
        <f>IF(DADOS!F9921="","",DADOS!F9921)</f>
        <v/>
      </c>
      <c r="K9921" s="6" t="str">
        <f t="shared" si="775"/>
        <v/>
      </c>
      <c r="L9921" s="7" t="str">
        <f t="shared" si="776"/>
        <v/>
      </c>
      <c r="M9921" s="7" t="str">
        <f t="shared" si="773"/>
        <v/>
      </c>
      <c r="N9921" s="7" t="str">
        <f t="shared" si="777"/>
        <v/>
      </c>
      <c r="O9921" s="8"/>
      <c r="P9921" s="26"/>
      <c r="S9921" s="10" t="str">
        <f t="shared" si="774"/>
        <v/>
      </c>
    </row>
    <row r="9922" spans="5:19" x14ac:dyDescent="0.3">
      <c r="E9922" s="9" t="str">
        <f>IF(DADOS!C9922="","",DADOS!C9922)</f>
        <v/>
      </c>
      <c r="F9922" s="9" t="str">
        <f>IF(DADOS!E9922="","",DADOS!E9922)</f>
        <v/>
      </c>
      <c r="G9922" s="9" t="str">
        <f>IF(DADOS!F9922="","",DADOS!F9922)</f>
        <v/>
      </c>
      <c r="K9922" s="6" t="str">
        <f t="shared" si="775"/>
        <v/>
      </c>
      <c r="L9922" s="7" t="str">
        <f t="shared" si="776"/>
        <v/>
      </c>
      <c r="M9922" s="7" t="str">
        <f t="shared" si="773"/>
        <v/>
      </c>
      <c r="N9922" s="7" t="str">
        <f t="shared" si="777"/>
        <v/>
      </c>
      <c r="O9922" s="8"/>
      <c r="P9922" s="26"/>
      <c r="S9922" s="10" t="str">
        <f t="shared" si="774"/>
        <v/>
      </c>
    </row>
    <row r="9923" spans="5:19" x14ac:dyDescent="0.3">
      <c r="E9923" s="9" t="str">
        <f>IF(DADOS!C9923="","",DADOS!C9923)</f>
        <v/>
      </c>
      <c r="F9923" s="9" t="str">
        <f>IF(DADOS!E9923="","",DADOS!E9923)</f>
        <v/>
      </c>
      <c r="G9923" s="9" t="str">
        <f>IF(DADOS!F9923="","",DADOS!F9923)</f>
        <v/>
      </c>
      <c r="K9923" s="6" t="str">
        <f t="shared" si="775"/>
        <v/>
      </c>
      <c r="L9923" s="7" t="str">
        <f t="shared" si="776"/>
        <v/>
      </c>
      <c r="M9923" s="7" t="str">
        <f t="shared" ref="M9923:M9986" si="778">IF(L9923="","",L9923*G9923)</f>
        <v/>
      </c>
      <c r="N9923" s="7" t="str">
        <f t="shared" si="777"/>
        <v/>
      </c>
      <c r="O9923" s="8"/>
      <c r="P9923" s="26"/>
      <c r="S9923" s="10" t="str">
        <f t="shared" ref="S9923:S9986" si="779">IF(R9923="","",SUMIFS($N$3:$N$10000,$E$3:$E$10000,R9923))</f>
        <v/>
      </c>
    </row>
    <row r="9924" spans="5:19" x14ac:dyDescent="0.3">
      <c r="E9924" s="9" t="str">
        <f>IF(DADOS!C9924="","",DADOS!C9924)</f>
        <v/>
      </c>
      <c r="F9924" s="9" t="str">
        <f>IF(DADOS!E9924="","",DADOS!E9924)</f>
        <v/>
      </c>
      <c r="G9924" s="9" t="str">
        <f>IF(DADOS!F9924="","",DADOS!F9924)</f>
        <v/>
      </c>
      <c r="K9924" s="6" t="str">
        <f t="shared" ref="K9924:K9987" si="780">IF(F9924="","",F9924/PI())</f>
        <v/>
      </c>
      <c r="L9924" s="7" t="str">
        <f t="shared" ref="L9924:L9987" si="781">IF(K9924="","",(PI()*K9924^2)/40000)</f>
        <v/>
      </c>
      <c r="M9924" s="7" t="str">
        <f t="shared" si="778"/>
        <v/>
      </c>
      <c r="N9924" s="7" t="str">
        <f t="shared" ref="N9924:N9987" si="782">IF(M9924="","",M9924*N$1)</f>
        <v/>
      </c>
      <c r="O9924" s="8"/>
      <c r="P9924" s="26"/>
      <c r="S9924" s="10" t="str">
        <f t="shared" si="779"/>
        <v/>
      </c>
    </row>
    <row r="9925" spans="5:19" x14ac:dyDescent="0.3">
      <c r="E9925" s="9" t="str">
        <f>IF(DADOS!C9925="","",DADOS!C9925)</f>
        <v/>
      </c>
      <c r="F9925" s="9" t="str">
        <f>IF(DADOS!E9925="","",DADOS!E9925)</f>
        <v/>
      </c>
      <c r="G9925" s="9" t="str">
        <f>IF(DADOS!F9925="","",DADOS!F9925)</f>
        <v/>
      </c>
      <c r="K9925" s="6" t="str">
        <f t="shared" si="780"/>
        <v/>
      </c>
      <c r="L9925" s="7" t="str">
        <f t="shared" si="781"/>
        <v/>
      </c>
      <c r="M9925" s="7" t="str">
        <f t="shared" si="778"/>
        <v/>
      </c>
      <c r="N9925" s="7" t="str">
        <f t="shared" si="782"/>
        <v/>
      </c>
      <c r="O9925" s="8"/>
      <c r="P9925" s="26"/>
      <c r="S9925" s="10" t="str">
        <f t="shared" si="779"/>
        <v/>
      </c>
    </row>
    <row r="9926" spans="5:19" x14ac:dyDescent="0.3">
      <c r="E9926" s="9" t="str">
        <f>IF(DADOS!C9926="","",DADOS!C9926)</f>
        <v/>
      </c>
      <c r="F9926" s="9" t="str">
        <f>IF(DADOS!E9926="","",DADOS!E9926)</f>
        <v/>
      </c>
      <c r="G9926" s="9" t="str">
        <f>IF(DADOS!F9926="","",DADOS!F9926)</f>
        <v/>
      </c>
      <c r="K9926" s="6" t="str">
        <f t="shared" si="780"/>
        <v/>
      </c>
      <c r="L9926" s="7" t="str">
        <f t="shared" si="781"/>
        <v/>
      </c>
      <c r="M9926" s="7" t="str">
        <f t="shared" si="778"/>
        <v/>
      </c>
      <c r="N9926" s="7" t="str">
        <f t="shared" si="782"/>
        <v/>
      </c>
      <c r="O9926" s="8"/>
      <c r="P9926" s="26"/>
      <c r="S9926" s="10" t="str">
        <f t="shared" si="779"/>
        <v/>
      </c>
    </row>
    <row r="9927" spans="5:19" x14ac:dyDescent="0.3">
      <c r="E9927" s="9" t="str">
        <f>IF(DADOS!C9927="","",DADOS!C9927)</f>
        <v/>
      </c>
      <c r="F9927" s="9" t="str">
        <f>IF(DADOS!E9927="","",DADOS!E9927)</f>
        <v/>
      </c>
      <c r="G9927" s="9" t="str">
        <f>IF(DADOS!F9927="","",DADOS!F9927)</f>
        <v/>
      </c>
      <c r="K9927" s="6" t="str">
        <f t="shared" si="780"/>
        <v/>
      </c>
      <c r="L9927" s="7" t="str">
        <f t="shared" si="781"/>
        <v/>
      </c>
      <c r="M9927" s="7" t="str">
        <f t="shared" si="778"/>
        <v/>
      </c>
      <c r="N9927" s="7" t="str">
        <f t="shared" si="782"/>
        <v/>
      </c>
      <c r="O9927" s="8"/>
      <c r="P9927" s="26"/>
      <c r="S9927" s="10" t="str">
        <f t="shared" si="779"/>
        <v/>
      </c>
    </row>
    <row r="9928" spans="5:19" x14ac:dyDescent="0.3">
      <c r="E9928" s="9" t="str">
        <f>IF(DADOS!C9928="","",DADOS!C9928)</f>
        <v/>
      </c>
      <c r="F9928" s="9" t="str">
        <f>IF(DADOS!E9928="","",DADOS!E9928)</f>
        <v/>
      </c>
      <c r="G9928" s="9" t="str">
        <f>IF(DADOS!F9928="","",DADOS!F9928)</f>
        <v/>
      </c>
      <c r="K9928" s="6" t="str">
        <f t="shared" si="780"/>
        <v/>
      </c>
      <c r="L9928" s="7" t="str">
        <f t="shared" si="781"/>
        <v/>
      </c>
      <c r="M9928" s="7" t="str">
        <f t="shared" si="778"/>
        <v/>
      </c>
      <c r="N9928" s="7" t="str">
        <f t="shared" si="782"/>
        <v/>
      </c>
      <c r="O9928" s="8"/>
      <c r="P9928" s="26"/>
      <c r="S9928" s="10" t="str">
        <f t="shared" si="779"/>
        <v/>
      </c>
    </row>
    <row r="9929" spans="5:19" x14ac:dyDescent="0.3">
      <c r="E9929" s="9" t="str">
        <f>IF(DADOS!C9929="","",DADOS!C9929)</f>
        <v/>
      </c>
      <c r="F9929" s="9" t="str">
        <f>IF(DADOS!E9929="","",DADOS!E9929)</f>
        <v/>
      </c>
      <c r="G9929" s="9" t="str">
        <f>IF(DADOS!F9929="","",DADOS!F9929)</f>
        <v/>
      </c>
      <c r="K9929" s="6" t="str">
        <f t="shared" si="780"/>
        <v/>
      </c>
      <c r="L9929" s="7" t="str">
        <f t="shared" si="781"/>
        <v/>
      </c>
      <c r="M9929" s="7" t="str">
        <f t="shared" si="778"/>
        <v/>
      </c>
      <c r="N9929" s="7" t="str">
        <f t="shared" si="782"/>
        <v/>
      </c>
      <c r="O9929" s="8"/>
      <c r="P9929" s="26"/>
      <c r="S9929" s="10" t="str">
        <f t="shared" si="779"/>
        <v/>
      </c>
    </row>
    <row r="9930" spans="5:19" x14ac:dyDescent="0.3">
      <c r="E9930" s="9" t="str">
        <f>IF(DADOS!C9930="","",DADOS!C9930)</f>
        <v/>
      </c>
      <c r="F9930" s="9" t="str">
        <f>IF(DADOS!E9930="","",DADOS!E9930)</f>
        <v/>
      </c>
      <c r="G9930" s="9" t="str">
        <f>IF(DADOS!F9930="","",DADOS!F9930)</f>
        <v/>
      </c>
      <c r="K9930" s="6" t="str">
        <f t="shared" si="780"/>
        <v/>
      </c>
      <c r="L9930" s="7" t="str">
        <f t="shared" si="781"/>
        <v/>
      </c>
      <c r="M9930" s="7" t="str">
        <f t="shared" si="778"/>
        <v/>
      </c>
      <c r="N9930" s="7" t="str">
        <f t="shared" si="782"/>
        <v/>
      </c>
      <c r="O9930" s="8"/>
      <c r="P9930" s="26"/>
      <c r="S9930" s="10" t="str">
        <f t="shared" si="779"/>
        <v/>
      </c>
    </row>
    <row r="9931" spans="5:19" x14ac:dyDescent="0.3">
      <c r="E9931" s="9" t="str">
        <f>IF(DADOS!C9931="","",DADOS!C9931)</f>
        <v/>
      </c>
      <c r="F9931" s="9" t="str">
        <f>IF(DADOS!E9931="","",DADOS!E9931)</f>
        <v/>
      </c>
      <c r="G9931" s="9" t="str">
        <f>IF(DADOS!F9931="","",DADOS!F9931)</f>
        <v/>
      </c>
      <c r="K9931" s="6" t="str">
        <f t="shared" si="780"/>
        <v/>
      </c>
      <c r="L9931" s="7" t="str">
        <f t="shared" si="781"/>
        <v/>
      </c>
      <c r="M9931" s="7" t="str">
        <f t="shared" si="778"/>
        <v/>
      </c>
      <c r="N9931" s="7" t="str">
        <f t="shared" si="782"/>
        <v/>
      </c>
      <c r="O9931" s="8"/>
      <c r="P9931" s="26"/>
      <c r="S9931" s="10" t="str">
        <f t="shared" si="779"/>
        <v/>
      </c>
    </row>
    <row r="9932" spans="5:19" x14ac:dyDescent="0.3">
      <c r="E9932" s="9" t="str">
        <f>IF(DADOS!C9932="","",DADOS!C9932)</f>
        <v/>
      </c>
      <c r="F9932" s="9" t="str">
        <f>IF(DADOS!E9932="","",DADOS!E9932)</f>
        <v/>
      </c>
      <c r="G9932" s="9" t="str">
        <f>IF(DADOS!F9932="","",DADOS!F9932)</f>
        <v/>
      </c>
      <c r="K9932" s="6" t="str">
        <f t="shared" si="780"/>
        <v/>
      </c>
      <c r="L9932" s="7" t="str">
        <f t="shared" si="781"/>
        <v/>
      </c>
      <c r="M9932" s="7" t="str">
        <f t="shared" si="778"/>
        <v/>
      </c>
      <c r="N9932" s="7" t="str">
        <f t="shared" si="782"/>
        <v/>
      </c>
      <c r="O9932" s="8"/>
      <c r="P9932" s="26"/>
      <c r="S9932" s="10" t="str">
        <f t="shared" si="779"/>
        <v/>
      </c>
    </row>
    <row r="9933" spans="5:19" x14ac:dyDescent="0.3">
      <c r="E9933" s="9" t="str">
        <f>IF(DADOS!C9933="","",DADOS!C9933)</f>
        <v/>
      </c>
      <c r="F9933" s="9" t="str">
        <f>IF(DADOS!E9933="","",DADOS!E9933)</f>
        <v/>
      </c>
      <c r="G9933" s="9" t="str">
        <f>IF(DADOS!F9933="","",DADOS!F9933)</f>
        <v/>
      </c>
      <c r="K9933" s="6" t="str">
        <f t="shared" si="780"/>
        <v/>
      </c>
      <c r="L9933" s="7" t="str">
        <f t="shared" si="781"/>
        <v/>
      </c>
      <c r="M9933" s="7" t="str">
        <f t="shared" si="778"/>
        <v/>
      </c>
      <c r="N9933" s="7" t="str">
        <f t="shared" si="782"/>
        <v/>
      </c>
      <c r="O9933" s="8"/>
      <c r="P9933" s="26"/>
      <c r="S9933" s="10" t="str">
        <f t="shared" si="779"/>
        <v/>
      </c>
    </row>
    <row r="9934" spans="5:19" x14ac:dyDescent="0.3">
      <c r="E9934" s="9" t="str">
        <f>IF(DADOS!C9934="","",DADOS!C9934)</f>
        <v/>
      </c>
      <c r="F9934" s="9" t="str">
        <f>IF(DADOS!E9934="","",DADOS!E9934)</f>
        <v/>
      </c>
      <c r="G9934" s="9" t="str">
        <f>IF(DADOS!F9934="","",DADOS!F9934)</f>
        <v/>
      </c>
      <c r="K9934" s="6" t="str">
        <f t="shared" si="780"/>
        <v/>
      </c>
      <c r="L9934" s="7" t="str">
        <f t="shared" si="781"/>
        <v/>
      </c>
      <c r="M9934" s="7" t="str">
        <f t="shared" si="778"/>
        <v/>
      </c>
      <c r="N9934" s="7" t="str">
        <f t="shared" si="782"/>
        <v/>
      </c>
      <c r="O9934" s="8"/>
      <c r="P9934" s="26"/>
      <c r="S9934" s="10" t="str">
        <f t="shared" si="779"/>
        <v/>
      </c>
    </row>
    <row r="9935" spans="5:19" x14ac:dyDescent="0.3">
      <c r="E9935" s="9" t="str">
        <f>IF(DADOS!C9935="","",DADOS!C9935)</f>
        <v/>
      </c>
      <c r="F9935" s="9" t="str">
        <f>IF(DADOS!E9935="","",DADOS!E9935)</f>
        <v/>
      </c>
      <c r="G9935" s="9" t="str">
        <f>IF(DADOS!F9935="","",DADOS!F9935)</f>
        <v/>
      </c>
      <c r="K9935" s="6" t="str">
        <f t="shared" si="780"/>
        <v/>
      </c>
      <c r="L9935" s="7" t="str">
        <f t="shared" si="781"/>
        <v/>
      </c>
      <c r="M9935" s="7" t="str">
        <f t="shared" si="778"/>
        <v/>
      </c>
      <c r="N9935" s="7" t="str">
        <f t="shared" si="782"/>
        <v/>
      </c>
      <c r="O9935" s="8"/>
      <c r="P9935" s="26"/>
      <c r="S9935" s="10" t="str">
        <f t="shared" si="779"/>
        <v/>
      </c>
    </row>
    <row r="9936" spans="5:19" x14ac:dyDescent="0.3">
      <c r="E9936" s="9" t="str">
        <f>IF(DADOS!C9936="","",DADOS!C9936)</f>
        <v/>
      </c>
      <c r="F9936" s="9" t="str">
        <f>IF(DADOS!E9936="","",DADOS!E9936)</f>
        <v/>
      </c>
      <c r="G9936" s="9" t="str">
        <f>IF(DADOS!F9936="","",DADOS!F9936)</f>
        <v/>
      </c>
      <c r="K9936" s="6" t="str">
        <f t="shared" si="780"/>
        <v/>
      </c>
      <c r="L9936" s="7" t="str">
        <f t="shared" si="781"/>
        <v/>
      </c>
      <c r="M9936" s="7" t="str">
        <f t="shared" si="778"/>
        <v/>
      </c>
      <c r="N9936" s="7" t="str">
        <f t="shared" si="782"/>
        <v/>
      </c>
      <c r="O9936" s="8"/>
      <c r="P9936" s="26"/>
      <c r="S9936" s="10" t="str">
        <f t="shared" si="779"/>
        <v/>
      </c>
    </row>
    <row r="9937" spans="5:19" x14ac:dyDescent="0.3">
      <c r="E9937" s="9" t="str">
        <f>IF(DADOS!C9937="","",DADOS!C9937)</f>
        <v/>
      </c>
      <c r="F9937" s="9" t="str">
        <f>IF(DADOS!E9937="","",DADOS!E9937)</f>
        <v/>
      </c>
      <c r="G9937" s="9" t="str">
        <f>IF(DADOS!F9937="","",DADOS!F9937)</f>
        <v/>
      </c>
      <c r="K9937" s="6" t="str">
        <f t="shared" si="780"/>
        <v/>
      </c>
      <c r="L9937" s="7" t="str">
        <f t="shared" si="781"/>
        <v/>
      </c>
      <c r="M9937" s="7" t="str">
        <f t="shared" si="778"/>
        <v/>
      </c>
      <c r="N9937" s="7" t="str">
        <f t="shared" si="782"/>
        <v/>
      </c>
      <c r="O9937" s="8"/>
      <c r="P9937" s="26"/>
      <c r="S9937" s="10" t="str">
        <f t="shared" si="779"/>
        <v/>
      </c>
    </row>
    <row r="9938" spans="5:19" x14ac:dyDescent="0.3">
      <c r="E9938" s="9" t="str">
        <f>IF(DADOS!C9938="","",DADOS!C9938)</f>
        <v/>
      </c>
      <c r="F9938" s="9" t="str">
        <f>IF(DADOS!E9938="","",DADOS!E9938)</f>
        <v/>
      </c>
      <c r="G9938" s="9" t="str">
        <f>IF(DADOS!F9938="","",DADOS!F9938)</f>
        <v/>
      </c>
      <c r="K9938" s="6" t="str">
        <f t="shared" si="780"/>
        <v/>
      </c>
      <c r="L9938" s="7" t="str">
        <f t="shared" si="781"/>
        <v/>
      </c>
      <c r="M9938" s="7" t="str">
        <f t="shared" si="778"/>
        <v/>
      </c>
      <c r="N9938" s="7" t="str">
        <f t="shared" si="782"/>
        <v/>
      </c>
      <c r="O9938" s="8"/>
      <c r="P9938" s="26"/>
      <c r="S9938" s="10" t="str">
        <f t="shared" si="779"/>
        <v/>
      </c>
    </row>
    <row r="9939" spans="5:19" x14ac:dyDescent="0.3">
      <c r="E9939" s="9" t="str">
        <f>IF(DADOS!C9939="","",DADOS!C9939)</f>
        <v/>
      </c>
      <c r="F9939" s="9" t="str">
        <f>IF(DADOS!E9939="","",DADOS!E9939)</f>
        <v/>
      </c>
      <c r="G9939" s="9" t="str">
        <f>IF(DADOS!F9939="","",DADOS!F9939)</f>
        <v/>
      </c>
      <c r="K9939" s="6" t="str">
        <f t="shared" si="780"/>
        <v/>
      </c>
      <c r="L9939" s="7" t="str">
        <f t="shared" si="781"/>
        <v/>
      </c>
      <c r="M9939" s="7" t="str">
        <f t="shared" si="778"/>
        <v/>
      </c>
      <c r="N9939" s="7" t="str">
        <f t="shared" si="782"/>
        <v/>
      </c>
      <c r="O9939" s="8"/>
      <c r="P9939" s="26"/>
      <c r="S9939" s="10" t="str">
        <f t="shared" si="779"/>
        <v/>
      </c>
    </row>
    <row r="9940" spans="5:19" x14ac:dyDescent="0.3">
      <c r="E9940" s="9" t="str">
        <f>IF(DADOS!C9940="","",DADOS!C9940)</f>
        <v/>
      </c>
      <c r="F9940" s="9" t="str">
        <f>IF(DADOS!E9940="","",DADOS!E9940)</f>
        <v/>
      </c>
      <c r="G9940" s="9" t="str">
        <f>IF(DADOS!F9940="","",DADOS!F9940)</f>
        <v/>
      </c>
      <c r="K9940" s="6" t="str">
        <f t="shared" si="780"/>
        <v/>
      </c>
      <c r="L9940" s="7" t="str">
        <f t="shared" si="781"/>
        <v/>
      </c>
      <c r="M9940" s="7" t="str">
        <f t="shared" si="778"/>
        <v/>
      </c>
      <c r="N9940" s="7" t="str">
        <f t="shared" si="782"/>
        <v/>
      </c>
      <c r="O9940" s="8"/>
      <c r="P9940" s="26"/>
      <c r="S9940" s="10" t="str">
        <f t="shared" si="779"/>
        <v/>
      </c>
    </row>
    <row r="9941" spans="5:19" x14ac:dyDescent="0.3">
      <c r="E9941" s="9" t="str">
        <f>IF(DADOS!C9941="","",DADOS!C9941)</f>
        <v/>
      </c>
      <c r="F9941" s="9" t="str">
        <f>IF(DADOS!E9941="","",DADOS!E9941)</f>
        <v/>
      </c>
      <c r="G9941" s="9" t="str">
        <f>IF(DADOS!F9941="","",DADOS!F9941)</f>
        <v/>
      </c>
      <c r="K9941" s="6" t="str">
        <f t="shared" si="780"/>
        <v/>
      </c>
      <c r="L9941" s="7" t="str">
        <f t="shared" si="781"/>
        <v/>
      </c>
      <c r="M9941" s="7" t="str">
        <f t="shared" si="778"/>
        <v/>
      </c>
      <c r="N9941" s="7" t="str">
        <f t="shared" si="782"/>
        <v/>
      </c>
      <c r="O9941" s="8"/>
      <c r="P9941" s="26"/>
      <c r="S9941" s="10" t="str">
        <f t="shared" si="779"/>
        <v/>
      </c>
    </row>
    <row r="9942" spans="5:19" x14ac:dyDescent="0.3">
      <c r="E9942" s="9" t="str">
        <f>IF(DADOS!C9942="","",DADOS!C9942)</f>
        <v/>
      </c>
      <c r="F9942" s="9" t="str">
        <f>IF(DADOS!E9942="","",DADOS!E9942)</f>
        <v/>
      </c>
      <c r="G9942" s="9" t="str">
        <f>IF(DADOS!F9942="","",DADOS!F9942)</f>
        <v/>
      </c>
      <c r="K9942" s="6" t="str">
        <f t="shared" si="780"/>
        <v/>
      </c>
      <c r="L9942" s="7" t="str">
        <f t="shared" si="781"/>
        <v/>
      </c>
      <c r="M9942" s="7" t="str">
        <f t="shared" si="778"/>
        <v/>
      </c>
      <c r="N9942" s="7" t="str">
        <f t="shared" si="782"/>
        <v/>
      </c>
      <c r="O9942" s="8"/>
      <c r="P9942" s="26"/>
      <c r="S9942" s="10" t="str">
        <f t="shared" si="779"/>
        <v/>
      </c>
    </row>
    <row r="9943" spans="5:19" x14ac:dyDescent="0.3">
      <c r="E9943" s="9" t="str">
        <f>IF(DADOS!C9943="","",DADOS!C9943)</f>
        <v/>
      </c>
      <c r="F9943" s="9" t="str">
        <f>IF(DADOS!E9943="","",DADOS!E9943)</f>
        <v/>
      </c>
      <c r="G9943" s="9" t="str">
        <f>IF(DADOS!F9943="","",DADOS!F9943)</f>
        <v/>
      </c>
      <c r="K9943" s="6" t="str">
        <f t="shared" si="780"/>
        <v/>
      </c>
      <c r="L9943" s="7" t="str">
        <f t="shared" si="781"/>
        <v/>
      </c>
      <c r="M9943" s="7" t="str">
        <f t="shared" si="778"/>
        <v/>
      </c>
      <c r="N9943" s="7" t="str">
        <f t="shared" si="782"/>
        <v/>
      </c>
      <c r="O9943" s="8"/>
      <c r="P9943" s="26"/>
      <c r="S9943" s="10" t="str">
        <f t="shared" si="779"/>
        <v/>
      </c>
    </row>
    <row r="9944" spans="5:19" x14ac:dyDescent="0.3">
      <c r="E9944" s="9" t="str">
        <f>IF(DADOS!C9944="","",DADOS!C9944)</f>
        <v/>
      </c>
      <c r="F9944" s="9" t="str">
        <f>IF(DADOS!E9944="","",DADOS!E9944)</f>
        <v/>
      </c>
      <c r="G9944" s="9" t="str">
        <f>IF(DADOS!F9944="","",DADOS!F9944)</f>
        <v/>
      </c>
      <c r="K9944" s="6" t="str">
        <f t="shared" si="780"/>
        <v/>
      </c>
      <c r="L9944" s="7" t="str">
        <f t="shared" si="781"/>
        <v/>
      </c>
      <c r="M9944" s="7" t="str">
        <f t="shared" si="778"/>
        <v/>
      </c>
      <c r="N9944" s="7" t="str">
        <f t="shared" si="782"/>
        <v/>
      </c>
      <c r="O9944" s="8"/>
      <c r="P9944" s="26"/>
      <c r="S9944" s="10" t="str">
        <f t="shared" si="779"/>
        <v/>
      </c>
    </row>
    <row r="9945" spans="5:19" x14ac:dyDescent="0.3">
      <c r="E9945" s="9" t="str">
        <f>IF(DADOS!C9945="","",DADOS!C9945)</f>
        <v/>
      </c>
      <c r="F9945" s="9" t="str">
        <f>IF(DADOS!E9945="","",DADOS!E9945)</f>
        <v/>
      </c>
      <c r="G9945" s="9" t="str">
        <f>IF(DADOS!F9945="","",DADOS!F9945)</f>
        <v/>
      </c>
      <c r="K9945" s="6" t="str">
        <f t="shared" si="780"/>
        <v/>
      </c>
      <c r="L9945" s="7" t="str">
        <f t="shared" si="781"/>
        <v/>
      </c>
      <c r="M9945" s="7" t="str">
        <f t="shared" si="778"/>
        <v/>
      </c>
      <c r="N9945" s="7" t="str">
        <f t="shared" si="782"/>
        <v/>
      </c>
      <c r="O9945" s="8"/>
      <c r="P9945" s="26"/>
      <c r="S9945" s="10" t="str">
        <f t="shared" si="779"/>
        <v/>
      </c>
    </row>
    <row r="9946" spans="5:19" x14ac:dyDescent="0.3">
      <c r="E9946" s="9" t="str">
        <f>IF(DADOS!C9946="","",DADOS!C9946)</f>
        <v/>
      </c>
      <c r="F9946" s="9" t="str">
        <f>IF(DADOS!E9946="","",DADOS!E9946)</f>
        <v/>
      </c>
      <c r="G9946" s="9" t="str">
        <f>IF(DADOS!F9946="","",DADOS!F9946)</f>
        <v/>
      </c>
      <c r="K9946" s="6" t="str">
        <f t="shared" si="780"/>
        <v/>
      </c>
      <c r="L9946" s="7" t="str">
        <f t="shared" si="781"/>
        <v/>
      </c>
      <c r="M9946" s="7" t="str">
        <f t="shared" si="778"/>
        <v/>
      </c>
      <c r="N9946" s="7" t="str">
        <f t="shared" si="782"/>
        <v/>
      </c>
      <c r="O9946" s="8"/>
      <c r="P9946" s="26"/>
      <c r="S9946" s="10" t="str">
        <f t="shared" si="779"/>
        <v/>
      </c>
    </row>
    <row r="9947" spans="5:19" x14ac:dyDescent="0.3">
      <c r="E9947" s="9" t="str">
        <f>IF(DADOS!C9947="","",DADOS!C9947)</f>
        <v/>
      </c>
      <c r="F9947" s="9" t="str">
        <f>IF(DADOS!E9947="","",DADOS!E9947)</f>
        <v/>
      </c>
      <c r="G9947" s="9" t="str">
        <f>IF(DADOS!F9947="","",DADOS!F9947)</f>
        <v/>
      </c>
      <c r="K9947" s="6" t="str">
        <f t="shared" si="780"/>
        <v/>
      </c>
      <c r="L9947" s="7" t="str">
        <f t="shared" si="781"/>
        <v/>
      </c>
      <c r="M9947" s="7" t="str">
        <f t="shared" si="778"/>
        <v/>
      </c>
      <c r="N9947" s="7" t="str">
        <f t="shared" si="782"/>
        <v/>
      </c>
      <c r="O9947" s="8"/>
      <c r="P9947" s="26"/>
      <c r="S9947" s="10" t="str">
        <f t="shared" si="779"/>
        <v/>
      </c>
    </row>
    <row r="9948" spans="5:19" x14ac:dyDescent="0.3">
      <c r="E9948" s="9" t="str">
        <f>IF(DADOS!C9948="","",DADOS!C9948)</f>
        <v/>
      </c>
      <c r="F9948" s="9" t="str">
        <f>IF(DADOS!E9948="","",DADOS!E9948)</f>
        <v/>
      </c>
      <c r="G9948" s="9" t="str">
        <f>IF(DADOS!F9948="","",DADOS!F9948)</f>
        <v/>
      </c>
      <c r="K9948" s="6" t="str">
        <f t="shared" si="780"/>
        <v/>
      </c>
      <c r="L9948" s="7" t="str">
        <f t="shared" si="781"/>
        <v/>
      </c>
      <c r="M9948" s="7" t="str">
        <f t="shared" si="778"/>
        <v/>
      </c>
      <c r="N9948" s="7" t="str">
        <f t="shared" si="782"/>
        <v/>
      </c>
      <c r="O9948" s="8"/>
      <c r="P9948" s="26"/>
      <c r="S9948" s="10" t="str">
        <f t="shared" si="779"/>
        <v/>
      </c>
    </row>
    <row r="9949" spans="5:19" x14ac:dyDescent="0.3">
      <c r="E9949" s="9" t="str">
        <f>IF(DADOS!C9949="","",DADOS!C9949)</f>
        <v/>
      </c>
      <c r="F9949" s="9" t="str">
        <f>IF(DADOS!E9949="","",DADOS!E9949)</f>
        <v/>
      </c>
      <c r="G9949" s="9" t="str">
        <f>IF(DADOS!F9949="","",DADOS!F9949)</f>
        <v/>
      </c>
      <c r="K9949" s="6" t="str">
        <f t="shared" si="780"/>
        <v/>
      </c>
      <c r="L9949" s="7" t="str">
        <f t="shared" si="781"/>
        <v/>
      </c>
      <c r="M9949" s="7" t="str">
        <f t="shared" si="778"/>
        <v/>
      </c>
      <c r="N9949" s="7" t="str">
        <f t="shared" si="782"/>
        <v/>
      </c>
      <c r="O9949" s="8"/>
      <c r="P9949" s="26"/>
      <c r="S9949" s="10" t="str">
        <f t="shared" si="779"/>
        <v/>
      </c>
    </row>
    <row r="9950" spans="5:19" x14ac:dyDescent="0.3">
      <c r="E9950" s="9" t="str">
        <f>IF(DADOS!C9950="","",DADOS!C9950)</f>
        <v/>
      </c>
      <c r="F9950" s="9" t="str">
        <f>IF(DADOS!E9950="","",DADOS!E9950)</f>
        <v/>
      </c>
      <c r="G9950" s="9" t="str">
        <f>IF(DADOS!F9950="","",DADOS!F9950)</f>
        <v/>
      </c>
      <c r="K9950" s="6" t="str">
        <f t="shared" si="780"/>
        <v/>
      </c>
      <c r="L9950" s="7" t="str">
        <f t="shared" si="781"/>
        <v/>
      </c>
      <c r="M9950" s="7" t="str">
        <f t="shared" si="778"/>
        <v/>
      </c>
      <c r="N9950" s="7" t="str">
        <f t="shared" si="782"/>
        <v/>
      </c>
      <c r="O9950" s="8"/>
      <c r="P9950" s="26"/>
      <c r="S9950" s="10" t="str">
        <f t="shared" si="779"/>
        <v/>
      </c>
    </row>
    <row r="9951" spans="5:19" x14ac:dyDescent="0.3">
      <c r="E9951" s="9" t="str">
        <f>IF(DADOS!C9951="","",DADOS!C9951)</f>
        <v/>
      </c>
      <c r="F9951" s="9" t="str">
        <f>IF(DADOS!E9951="","",DADOS!E9951)</f>
        <v/>
      </c>
      <c r="G9951" s="9" t="str">
        <f>IF(DADOS!F9951="","",DADOS!F9951)</f>
        <v/>
      </c>
      <c r="K9951" s="6" t="str">
        <f t="shared" si="780"/>
        <v/>
      </c>
      <c r="L9951" s="7" t="str">
        <f t="shared" si="781"/>
        <v/>
      </c>
      <c r="M9951" s="7" t="str">
        <f t="shared" si="778"/>
        <v/>
      </c>
      <c r="N9951" s="7" t="str">
        <f t="shared" si="782"/>
        <v/>
      </c>
      <c r="O9951" s="8"/>
      <c r="P9951" s="26"/>
      <c r="S9951" s="10" t="str">
        <f t="shared" si="779"/>
        <v/>
      </c>
    </row>
    <row r="9952" spans="5:19" x14ac:dyDescent="0.3">
      <c r="E9952" s="9" t="str">
        <f>IF(DADOS!C9952="","",DADOS!C9952)</f>
        <v/>
      </c>
      <c r="F9952" s="9" t="str">
        <f>IF(DADOS!E9952="","",DADOS!E9952)</f>
        <v/>
      </c>
      <c r="G9952" s="9" t="str">
        <f>IF(DADOS!F9952="","",DADOS!F9952)</f>
        <v/>
      </c>
      <c r="K9952" s="6" t="str">
        <f t="shared" si="780"/>
        <v/>
      </c>
      <c r="L9952" s="7" t="str">
        <f t="shared" si="781"/>
        <v/>
      </c>
      <c r="M9952" s="7" t="str">
        <f t="shared" si="778"/>
        <v/>
      </c>
      <c r="N9952" s="7" t="str">
        <f t="shared" si="782"/>
        <v/>
      </c>
      <c r="O9952" s="8"/>
      <c r="P9952" s="26"/>
      <c r="S9952" s="10" t="str">
        <f t="shared" si="779"/>
        <v/>
      </c>
    </row>
    <row r="9953" spans="5:19" x14ac:dyDescent="0.3">
      <c r="E9953" s="9" t="str">
        <f>IF(DADOS!C9953="","",DADOS!C9953)</f>
        <v/>
      </c>
      <c r="F9953" s="9" t="str">
        <f>IF(DADOS!E9953="","",DADOS!E9953)</f>
        <v/>
      </c>
      <c r="G9953" s="9" t="str">
        <f>IF(DADOS!F9953="","",DADOS!F9953)</f>
        <v/>
      </c>
      <c r="K9953" s="6" t="str">
        <f t="shared" si="780"/>
        <v/>
      </c>
      <c r="L9953" s="7" t="str">
        <f t="shared" si="781"/>
        <v/>
      </c>
      <c r="M9953" s="7" t="str">
        <f t="shared" si="778"/>
        <v/>
      </c>
      <c r="N9953" s="7" t="str">
        <f t="shared" si="782"/>
        <v/>
      </c>
      <c r="O9953" s="8"/>
      <c r="P9953" s="26"/>
      <c r="S9953" s="10" t="str">
        <f t="shared" si="779"/>
        <v/>
      </c>
    </row>
    <row r="9954" spans="5:19" x14ac:dyDescent="0.3">
      <c r="E9954" s="9" t="str">
        <f>IF(DADOS!C9954="","",DADOS!C9954)</f>
        <v/>
      </c>
      <c r="F9954" s="9" t="str">
        <f>IF(DADOS!E9954="","",DADOS!E9954)</f>
        <v/>
      </c>
      <c r="G9954" s="9" t="str">
        <f>IF(DADOS!F9954="","",DADOS!F9954)</f>
        <v/>
      </c>
      <c r="K9954" s="6" t="str">
        <f t="shared" si="780"/>
        <v/>
      </c>
      <c r="L9954" s="7" t="str">
        <f t="shared" si="781"/>
        <v/>
      </c>
      <c r="M9954" s="7" t="str">
        <f t="shared" si="778"/>
        <v/>
      </c>
      <c r="N9954" s="7" t="str">
        <f t="shared" si="782"/>
        <v/>
      </c>
      <c r="O9954" s="8"/>
      <c r="P9954" s="26"/>
      <c r="S9954" s="10" t="str">
        <f t="shared" si="779"/>
        <v/>
      </c>
    </row>
    <row r="9955" spans="5:19" x14ac:dyDescent="0.3">
      <c r="E9955" s="9" t="str">
        <f>IF(DADOS!C9955="","",DADOS!C9955)</f>
        <v/>
      </c>
      <c r="F9955" s="9" t="str">
        <f>IF(DADOS!E9955="","",DADOS!E9955)</f>
        <v/>
      </c>
      <c r="G9955" s="9" t="str">
        <f>IF(DADOS!F9955="","",DADOS!F9955)</f>
        <v/>
      </c>
      <c r="K9955" s="6" t="str">
        <f t="shared" si="780"/>
        <v/>
      </c>
      <c r="L9955" s="7" t="str">
        <f t="shared" si="781"/>
        <v/>
      </c>
      <c r="M9955" s="7" t="str">
        <f t="shared" si="778"/>
        <v/>
      </c>
      <c r="N9955" s="7" t="str">
        <f t="shared" si="782"/>
        <v/>
      </c>
      <c r="O9955" s="8"/>
      <c r="P9955" s="26"/>
      <c r="S9955" s="10" t="str">
        <f t="shared" si="779"/>
        <v/>
      </c>
    </row>
    <row r="9956" spans="5:19" x14ac:dyDescent="0.3">
      <c r="E9956" s="9" t="str">
        <f>IF(DADOS!C9956="","",DADOS!C9956)</f>
        <v/>
      </c>
      <c r="F9956" s="9" t="str">
        <f>IF(DADOS!E9956="","",DADOS!E9956)</f>
        <v/>
      </c>
      <c r="G9956" s="9" t="str">
        <f>IF(DADOS!F9956="","",DADOS!F9956)</f>
        <v/>
      </c>
      <c r="K9956" s="6" t="str">
        <f t="shared" si="780"/>
        <v/>
      </c>
      <c r="L9956" s="7" t="str">
        <f t="shared" si="781"/>
        <v/>
      </c>
      <c r="M9956" s="7" t="str">
        <f t="shared" si="778"/>
        <v/>
      </c>
      <c r="N9956" s="7" t="str">
        <f t="shared" si="782"/>
        <v/>
      </c>
      <c r="O9956" s="8"/>
      <c r="P9956" s="26"/>
      <c r="S9956" s="10" t="str">
        <f t="shared" si="779"/>
        <v/>
      </c>
    </row>
    <row r="9957" spans="5:19" x14ac:dyDescent="0.3">
      <c r="E9957" s="9" t="str">
        <f>IF(DADOS!C9957="","",DADOS!C9957)</f>
        <v/>
      </c>
      <c r="F9957" s="9" t="str">
        <f>IF(DADOS!E9957="","",DADOS!E9957)</f>
        <v/>
      </c>
      <c r="G9957" s="9" t="str">
        <f>IF(DADOS!F9957="","",DADOS!F9957)</f>
        <v/>
      </c>
      <c r="K9957" s="6" t="str">
        <f t="shared" si="780"/>
        <v/>
      </c>
      <c r="L9957" s="7" t="str">
        <f t="shared" si="781"/>
        <v/>
      </c>
      <c r="M9957" s="7" t="str">
        <f t="shared" si="778"/>
        <v/>
      </c>
      <c r="N9957" s="7" t="str">
        <f t="shared" si="782"/>
        <v/>
      </c>
      <c r="O9957" s="8"/>
      <c r="P9957" s="26"/>
      <c r="S9957" s="10" t="str">
        <f t="shared" si="779"/>
        <v/>
      </c>
    </row>
    <row r="9958" spans="5:19" x14ac:dyDescent="0.3">
      <c r="E9958" s="9" t="str">
        <f>IF(DADOS!C9958="","",DADOS!C9958)</f>
        <v/>
      </c>
      <c r="F9958" s="9" t="str">
        <f>IF(DADOS!E9958="","",DADOS!E9958)</f>
        <v/>
      </c>
      <c r="G9958" s="9" t="str">
        <f>IF(DADOS!F9958="","",DADOS!F9958)</f>
        <v/>
      </c>
      <c r="K9958" s="6" t="str">
        <f t="shared" si="780"/>
        <v/>
      </c>
      <c r="L9958" s="7" t="str">
        <f t="shared" si="781"/>
        <v/>
      </c>
      <c r="M9958" s="7" t="str">
        <f t="shared" si="778"/>
        <v/>
      </c>
      <c r="N9958" s="7" t="str">
        <f t="shared" si="782"/>
        <v/>
      </c>
      <c r="O9958" s="8"/>
      <c r="P9958" s="26"/>
      <c r="S9958" s="10" t="str">
        <f t="shared" si="779"/>
        <v/>
      </c>
    </row>
    <row r="9959" spans="5:19" x14ac:dyDescent="0.3">
      <c r="E9959" s="9" t="str">
        <f>IF(DADOS!C9959="","",DADOS!C9959)</f>
        <v/>
      </c>
      <c r="F9959" s="9" t="str">
        <f>IF(DADOS!E9959="","",DADOS!E9959)</f>
        <v/>
      </c>
      <c r="G9959" s="9" t="str">
        <f>IF(DADOS!F9959="","",DADOS!F9959)</f>
        <v/>
      </c>
      <c r="K9959" s="6" t="str">
        <f t="shared" si="780"/>
        <v/>
      </c>
      <c r="L9959" s="7" t="str">
        <f t="shared" si="781"/>
        <v/>
      </c>
      <c r="M9959" s="7" t="str">
        <f t="shared" si="778"/>
        <v/>
      </c>
      <c r="N9959" s="7" t="str">
        <f t="shared" si="782"/>
        <v/>
      </c>
      <c r="O9959" s="8"/>
      <c r="P9959" s="26"/>
      <c r="S9959" s="10" t="str">
        <f t="shared" si="779"/>
        <v/>
      </c>
    </row>
    <row r="9960" spans="5:19" x14ac:dyDescent="0.3">
      <c r="E9960" s="9" t="str">
        <f>IF(DADOS!C9960="","",DADOS!C9960)</f>
        <v/>
      </c>
      <c r="F9960" s="9" t="str">
        <f>IF(DADOS!E9960="","",DADOS!E9960)</f>
        <v/>
      </c>
      <c r="G9960" s="9" t="str">
        <f>IF(DADOS!F9960="","",DADOS!F9960)</f>
        <v/>
      </c>
      <c r="K9960" s="6" t="str">
        <f t="shared" si="780"/>
        <v/>
      </c>
      <c r="L9960" s="7" t="str">
        <f t="shared" si="781"/>
        <v/>
      </c>
      <c r="M9960" s="7" t="str">
        <f t="shared" si="778"/>
        <v/>
      </c>
      <c r="N9960" s="7" t="str">
        <f t="shared" si="782"/>
        <v/>
      </c>
      <c r="O9960" s="8"/>
      <c r="P9960" s="26"/>
      <c r="S9960" s="10" t="str">
        <f t="shared" si="779"/>
        <v/>
      </c>
    </row>
    <row r="9961" spans="5:19" x14ac:dyDescent="0.3">
      <c r="E9961" s="9" t="str">
        <f>IF(DADOS!C9961="","",DADOS!C9961)</f>
        <v/>
      </c>
      <c r="F9961" s="9" t="str">
        <f>IF(DADOS!E9961="","",DADOS!E9961)</f>
        <v/>
      </c>
      <c r="G9961" s="9" t="str">
        <f>IF(DADOS!F9961="","",DADOS!F9961)</f>
        <v/>
      </c>
      <c r="K9961" s="6" t="str">
        <f t="shared" si="780"/>
        <v/>
      </c>
      <c r="L9961" s="7" t="str">
        <f t="shared" si="781"/>
        <v/>
      </c>
      <c r="M9961" s="7" t="str">
        <f t="shared" si="778"/>
        <v/>
      </c>
      <c r="N9961" s="7" t="str">
        <f t="shared" si="782"/>
        <v/>
      </c>
      <c r="O9961" s="8"/>
      <c r="P9961" s="26"/>
      <c r="S9961" s="10" t="str">
        <f t="shared" si="779"/>
        <v/>
      </c>
    </row>
    <row r="9962" spans="5:19" x14ac:dyDescent="0.3">
      <c r="E9962" s="9" t="str">
        <f>IF(DADOS!C9962="","",DADOS!C9962)</f>
        <v/>
      </c>
      <c r="F9962" s="9" t="str">
        <f>IF(DADOS!E9962="","",DADOS!E9962)</f>
        <v/>
      </c>
      <c r="G9962" s="9" t="str">
        <f>IF(DADOS!F9962="","",DADOS!F9962)</f>
        <v/>
      </c>
      <c r="K9962" s="6" t="str">
        <f t="shared" si="780"/>
        <v/>
      </c>
      <c r="L9962" s="7" t="str">
        <f t="shared" si="781"/>
        <v/>
      </c>
      <c r="M9962" s="7" t="str">
        <f t="shared" si="778"/>
        <v/>
      </c>
      <c r="N9962" s="7" t="str">
        <f t="shared" si="782"/>
        <v/>
      </c>
      <c r="O9962" s="8"/>
      <c r="P9962" s="26"/>
      <c r="S9962" s="10" t="str">
        <f t="shared" si="779"/>
        <v/>
      </c>
    </row>
    <row r="9963" spans="5:19" x14ac:dyDescent="0.3">
      <c r="E9963" s="9" t="str">
        <f>IF(DADOS!C9963="","",DADOS!C9963)</f>
        <v/>
      </c>
      <c r="F9963" s="9" t="str">
        <f>IF(DADOS!E9963="","",DADOS!E9963)</f>
        <v/>
      </c>
      <c r="G9963" s="9" t="str">
        <f>IF(DADOS!F9963="","",DADOS!F9963)</f>
        <v/>
      </c>
      <c r="K9963" s="6" t="str">
        <f t="shared" si="780"/>
        <v/>
      </c>
      <c r="L9963" s="7" t="str">
        <f t="shared" si="781"/>
        <v/>
      </c>
      <c r="M9963" s="7" t="str">
        <f t="shared" si="778"/>
        <v/>
      </c>
      <c r="N9963" s="7" t="str">
        <f t="shared" si="782"/>
        <v/>
      </c>
      <c r="O9963" s="8"/>
      <c r="P9963" s="26"/>
      <c r="S9963" s="10" t="str">
        <f t="shared" si="779"/>
        <v/>
      </c>
    </row>
    <row r="9964" spans="5:19" x14ac:dyDescent="0.3">
      <c r="E9964" s="9" t="str">
        <f>IF(DADOS!C9964="","",DADOS!C9964)</f>
        <v/>
      </c>
      <c r="F9964" s="9" t="str">
        <f>IF(DADOS!E9964="","",DADOS!E9964)</f>
        <v/>
      </c>
      <c r="G9964" s="9" t="str">
        <f>IF(DADOS!F9964="","",DADOS!F9964)</f>
        <v/>
      </c>
      <c r="K9964" s="6" t="str">
        <f t="shared" si="780"/>
        <v/>
      </c>
      <c r="L9964" s="7" t="str">
        <f t="shared" si="781"/>
        <v/>
      </c>
      <c r="M9964" s="7" t="str">
        <f t="shared" si="778"/>
        <v/>
      </c>
      <c r="N9964" s="7" t="str">
        <f t="shared" si="782"/>
        <v/>
      </c>
      <c r="O9964" s="8"/>
      <c r="P9964" s="26"/>
      <c r="S9964" s="10" t="str">
        <f t="shared" si="779"/>
        <v/>
      </c>
    </row>
    <row r="9965" spans="5:19" x14ac:dyDescent="0.3">
      <c r="E9965" s="9" t="str">
        <f>IF(DADOS!C9965="","",DADOS!C9965)</f>
        <v/>
      </c>
      <c r="F9965" s="9" t="str">
        <f>IF(DADOS!E9965="","",DADOS!E9965)</f>
        <v/>
      </c>
      <c r="G9965" s="9" t="str">
        <f>IF(DADOS!F9965="","",DADOS!F9965)</f>
        <v/>
      </c>
      <c r="K9965" s="6" t="str">
        <f t="shared" si="780"/>
        <v/>
      </c>
      <c r="L9965" s="7" t="str">
        <f t="shared" si="781"/>
        <v/>
      </c>
      <c r="M9965" s="7" t="str">
        <f t="shared" si="778"/>
        <v/>
      </c>
      <c r="N9965" s="7" t="str">
        <f t="shared" si="782"/>
        <v/>
      </c>
      <c r="O9965" s="8"/>
      <c r="P9965" s="26"/>
      <c r="S9965" s="10" t="str">
        <f t="shared" si="779"/>
        <v/>
      </c>
    </row>
    <row r="9966" spans="5:19" x14ac:dyDescent="0.3">
      <c r="E9966" s="9" t="str">
        <f>IF(DADOS!C9966="","",DADOS!C9966)</f>
        <v/>
      </c>
      <c r="F9966" s="9" t="str">
        <f>IF(DADOS!E9966="","",DADOS!E9966)</f>
        <v/>
      </c>
      <c r="G9966" s="9" t="str">
        <f>IF(DADOS!F9966="","",DADOS!F9966)</f>
        <v/>
      </c>
      <c r="K9966" s="6" t="str">
        <f t="shared" si="780"/>
        <v/>
      </c>
      <c r="L9966" s="7" t="str">
        <f t="shared" si="781"/>
        <v/>
      </c>
      <c r="M9966" s="7" t="str">
        <f t="shared" si="778"/>
        <v/>
      </c>
      <c r="N9966" s="7" t="str">
        <f t="shared" si="782"/>
        <v/>
      </c>
      <c r="O9966" s="8"/>
      <c r="P9966" s="26"/>
      <c r="S9966" s="10" t="str">
        <f t="shared" si="779"/>
        <v/>
      </c>
    </row>
    <row r="9967" spans="5:19" x14ac:dyDescent="0.3">
      <c r="E9967" s="9" t="str">
        <f>IF(DADOS!C9967="","",DADOS!C9967)</f>
        <v/>
      </c>
      <c r="F9967" s="9" t="str">
        <f>IF(DADOS!E9967="","",DADOS!E9967)</f>
        <v/>
      </c>
      <c r="G9967" s="9" t="str">
        <f>IF(DADOS!F9967="","",DADOS!F9967)</f>
        <v/>
      </c>
      <c r="K9967" s="6" t="str">
        <f t="shared" si="780"/>
        <v/>
      </c>
      <c r="L9967" s="7" t="str">
        <f t="shared" si="781"/>
        <v/>
      </c>
      <c r="M9967" s="7" t="str">
        <f t="shared" si="778"/>
        <v/>
      </c>
      <c r="N9967" s="7" t="str">
        <f t="shared" si="782"/>
        <v/>
      </c>
      <c r="O9967" s="8"/>
      <c r="P9967" s="26"/>
      <c r="S9967" s="10" t="str">
        <f t="shared" si="779"/>
        <v/>
      </c>
    </row>
    <row r="9968" spans="5:19" x14ac:dyDescent="0.3">
      <c r="E9968" s="9" t="str">
        <f>IF(DADOS!C9968="","",DADOS!C9968)</f>
        <v/>
      </c>
      <c r="F9968" s="9" t="str">
        <f>IF(DADOS!E9968="","",DADOS!E9968)</f>
        <v/>
      </c>
      <c r="G9968" s="9" t="str">
        <f>IF(DADOS!F9968="","",DADOS!F9968)</f>
        <v/>
      </c>
      <c r="K9968" s="6" t="str">
        <f t="shared" si="780"/>
        <v/>
      </c>
      <c r="L9968" s="7" t="str">
        <f t="shared" si="781"/>
        <v/>
      </c>
      <c r="M9968" s="7" t="str">
        <f t="shared" si="778"/>
        <v/>
      </c>
      <c r="N9968" s="7" t="str">
        <f t="shared" si="782"/>
        <v/>
      </c>
      <c r="O9968" s="8"/>
      <c r="P9968" s="26"/>
      <c r="S9968" s="10" t="str">
        <f t="shared" si="779"/>
        <v/>
      </c>
    </row>
    <row r="9969" spans="5:19" x14ac:dyDescent="0.3">
      <c r="E9969" s="9" t="str">
        <f>IF(DADOS!C9969="","",DADOS!C9969)</f>
        <v/>
      </c>
      <c r="F9969" s="9" t="str">
        <f>IF(DADOS!E9969="","",DADOS!E9969)</f>
        <v/>
      </c>
      <c r="G9969" s="9" t="str">
        <f>IF(DADOS!F9969="","",DADOS!F9969)</f>
        <v/>
      </c>
      <c r="K9969" s="6" t="str">
        <f t="shared" si="780"/>
        <v/>
      </c>
      <c r="L9969" s="7" t="str">
        <f t="shared" si="781"/>
        <v/>
      </c>
      <c r="M9969" s="7" t="str">
        <f t="shared" si="778"/>
        <v/>
      </c>
      <c r="N9969" s="7" t="str">
        <f t="shared" si="782"/>
        <v/>
      </c>
      <c r="O9969" s="8"/>
      <c r="P9969" s="26"/>
      <c r="S9969" s="10" t="str">
        <f t="shared" si="779"/>
        <v/>
      </c>
    </row>
    <row r="9970" spans="5:19" x14ac:dyDescent="0.3">
      <c r="E9970" s="9" t="str">
        <f>IF(DADOS!C9970="","",DADOS!C9970)</f>
        <v/>
      </c>
      <c r="F9970" s="9" t="str">
        <f>IF(DADOS!E9970="","",DADOS!E9970)</f>
        <v/>
      </c>
      <c r="G9970" s="9" t="str">
        <f>IF(DADOS!F9970="","",DADOS!F9970)</f>
        <v/>
      </c>
      <c r="K9970" s="6" t="str">
        <f t="shared" si="780"/>
        <v/>
      </c>
      <c r="L9970" s="7" t="str">
        <f t="shared" si="781"/>
        <v/>
      </c>
      <c r="M9970" s="7" t="str">
        <f t="shared" si="778"/>
        <v/>
      </c>
      <c r="N9970" s="7" t="str">
        <f t="shared" si="782"/>
        <v/>
      </c>
      <c r="O9970" s="8"/>
      <c r="P9970" s="26"/>
      <c r="S9970" s="10" t="str">
        <f t="shared" si="779"/>
        <v/>
      </c>
    </row>
    <row r="9971" spans="5:19" x14ac:dyDescent="0.3">
      <c r="E9971" s="9" t="str">
        <f>IF(DADOS!C9971="","",DADOS!C9971)</f>
        <v/>
      </c>
      <c r="F9971" s="9" t="str">
        <f>IF(DADOS!E9971="","",DADOS!E9971)</f>
        <v/>
      </c>
      <c r="G9971" s="9" t="str">
        <f>IF(DADOS!F9971="","",DADOS!F9971)</f>
        <v/>
      </c>
      <c r="K9971" s="6" t="str">
        <f t="shared" si="780"/>
        <v/>
      </c>
      <c r="L9971" s="7" t="str">
        <f t="shared" si="781"/>
        <v/>
      </c>
      <c r="M9971" s="7" t="str">
        <f t="shared" si="778"/>
        <v/>
      </c>
      <c r="N9971" s="7" t="str">
        <f t="shared" si="782"/>
        <v/>
      </c>
      <c r="O9971" s="8"/>
      <c r="P9971" s="26"/>
      <c r="S9971" s="10" t="str">
        <f t="shared" si="779"/>
        <v/>
      </c>
    </row>
    <row r="9972" spans="5:19" x14ac:dyDescent="0.3">
      <c r="E9972" s="9" t="str">
        <f>IF(DADOS!C9972="","",DADOS!C9972)</f>
        <v/>
      </c>
      <c r="F9972" s="9" t="str">
        <f>IF(DADOS!E9972="","",DADOS!E9972)</f>
        <v/>
      </c>
      <c r="G9972" s="9" t="str">
        <f>IF(DADOS!F9972="","",DADOS!F9972)</f>
        <v/>
      </c>
      <c r="K9972" s="6" t="str">
        <f t="shared" si="780"/>
        <v/>
      </c>
      <c r="L9972" s="7" t="str">
        <f t="shared" si="781"/>
        <v/>
      </c>
      <c r="M9972" s="7" t="str">
        <f t="shared" si="778"/>
        <v/>
      </c>
      <c r="N9972" s="7" t="str">
        <f t="shared" si="782"/>
        <v/>
      </c>
      <c r="O9972" s="8"/>
      <c r="P9972" s="26"/>
      <c r="S9972" s="10" t="str">
        <f t="shared" si="779"/>
        <v/>
      </c>
    </row>
    <row r="9973" spans="5:19" x14ac:dyDescent="0.3">
      <c r="E9973" s="9" t="str">
        <f>IF(DADOS!C9973="","",DADOS!C9973)</f>
        <v/>
      </c>
      <c r="F9973" s="9" t="str">
        <f>IF(DADOS!E9973="","",DADOS!E9973)</f>
        <v/>
      </c>
      <c r="G9973" s="9" t="str">
        <f>IF(DADOS!F9973="","",DADOS!F9973)</f>
        <v/>
      </c>
      <c r="K9973" s="6" t="str">
        <f t="shared" si="780"/>
        <v/>
      </c>
      <c r="L9973" s="7" t="str">
        <f t="shared" si="781"/>
        <v/>
      </c>
      <c r="M9973" s="7" t="str">
        <f t="shared" si="778"/>
        <v/>
      </c>
      <c r="N9973" s="7" t="str">
        <f t="shared" si="782"/>
        <v/>
      </c>
      <c r="O9973" s="8"/>
      <c r="P9973" s="26"/>
      <c r="S9973" s="10" t="str">
        <f t="shared" si="779"/>
        <v/>
      </c>
    </row>
    <row r="9974" spans="5:19" x14ac:dyDescent="0.3">
      <c r="E9974" s="9" t="str">
        <f>IF(DADOS!C9974="","",DADOS!C9974)</f>
        <v/>
      </c>
      <c r="F9974" s="9" t="str">
        <f>IF(DADOS!E9974="","",DADOS!E9974)</f>
        <v/>
      </c>
      <c r="G9974" s="9" t="str">
        <f>IF(DADOS!F9974="","",DADOS!F9974)</f>
        <v/>
      </c>
      <c r="K9974" s="6" t="str">
        <f t="shared" si="780"/>
        <v/>
      </c>
      <c r="L9974" s="7" t="str">
        <f t="shared" si="781"/>
        <v/>
      </c>
      <c r="M9974" s="7" t="str">
        <f t="shared" si="778"/>
        <v/>
      </c>
      <c r="N9974" s="7" t="str">
        <f t="shared" si="782"/>
        <v/>
      </c>
      <c r="O9974" s="8"/>
      <c r="P9974" s="26"/>
      <c r="S9974" s="10" t="str">
        <f t="shared" si="779"/>
        <v/>
      </c>
    </row>
    <row r="9975" spans="5:19" x14ac:dyDescent="0.3">
      <c r="E9975" s="9" t="str">
        <f>IF(DADOS!C9975="","",DADOS!C9975)</f>
        <v/>
      </c>
      <c r="F9975" s="9" t="str">
        <f>IF(DADOS!E9975="","",DADOS!E9975)</f>
        <v/>
      </c>
      <c r="G9975" s="9" t="str">
        <f>IF(DADOS!F9975="","",DADOS!F9975)</f>
        <v/>
      </c>
      <c r="K9975" s="6" t="str">
        <f t="shared" si="780"/>
        <v/>
      </c>
      <c r="L9975" s="7" t="str">
        <f t="shared" si="781"/>
        <v/>
      </c>
      <c r="M9975" s="7" t="str">
        <f t="shared" si="778"/>
        <v/>
      </c>
      <c r="N9975" s="7" t="str">
        <f t="shared" si="782"/>
        <v/>
      </c>
      <c r="O9975" s="8"/>
      <c r="P9975" s="26"/>
      <c r="S9975" s="10" t="str">
        <f t="shared" si="779"/>
        <v/>
      </c>
    </row>
    <row r="9976" spans="5:19" x14ac:dyDescent="0.3">
      <c r="E9976" s="9" t="str">
        <f>IF(DADOS!C9976="","",DADOS!C9976)</f>
        <v/>
      </c>
      <c r="F9976" s="9" t="str">
        <f>IF(DADOS!E9976="","",DADOS!E9976)</f>
        <v/>
      </c>
      <c r="G9976" s="9" t="str">
        <f>IF(DADOS!F9976="","",DADOS!F9976)</f>
        <v/>
      </c>
      <c r="K9976" s="6" t="str">
        <f t="shared" si="780"/>
        <v/>
      </c>
      <c r="L9976" s="7" t="str">
        <f t="shared" si="781"/>
        <v/>
      </c>
      <c r="M9976" s="7" t="str">
        <f t="shared" si="778"/>
        <v/>
      </c>
      <c r="N9976" s="7" t="str">
        <f t="shared" si="782"/>
        <v/>
      </c>
      <c r="O9976" s="8"/>
      <c r="P9976" s="26"/>
      <c r="S9976" s="10" t="str">
        <f t="shared" si="779"/>
        <v/>
      </c>
    </row>
    <row r="9977" spans="5:19" x14ac:dyDescent="0.3">
      <c r="E9977" s="9" t="str">
        <f>IF(DADOS!C9977="","",DADOS!C9977)</f>
        <v/>
      </c>
      <c r="F9977" s="9" t="str">
        <f>IF(DADOS!E9977="","",DADOS!E9977)</f>
        <v/>
      </c>
      <c r="G9977" s="9" t="str">
        <f>IF(DADOS!F9977="","",DADOS!F9977)</f>
        <v/>
      </c>
      <c r="K9977" s="6" t="str">
        <f t="shared" si="780"/>
        <v/>
      </c>
      <c r="L9977" s="7" t="str">
        <f t="shared" si="781"/>
        <v/>
      </c>
      <c r="M9977" s="7" t="str">
        <f t="shared" si="778"/>
        <v/>
      </c>
      <c r="N9977" s="7" t="str">
        <f t="shared" si="782"/>
        <v/>
      </c>
      <c r="O9977" s="8"/>
      <c r="P9977" s="26"/>
      <c r="S9977" s="10" t="str">
        <f t="shared" si="779"/>
        <v/>
      </c>
    </row>
    <row r="9978" spans="5:19" x14ac:dyDescent="0.3">
      <c r="E9978" s="9" t="str">
        <f>IF(DADOS!C9978="","",DADOS!C9978)</f>
        <v/>
      </c>
      <c r="F9978" s="9" t="str">
        <f>IF(DADOS!E9978="","",DADOS!E9978)</f>
        <v/>
      </c>
      <c r="G9978" s="9" t="str">
        <f>IF(DADOS!F9978="","",DADOS!F9978)</f>
        <v/>
      </c>
      <c r="K9978" s="6" t="str">
        <f t="shared" si="780"/>
        <v/>
      </c>
      <c r="L9978" s="7" t="str">
        <f t="shared" si="781"/>
        <v/>
      </c>
      <c r="M9978" s="7" t="str">
        <f t="shared" si="778"/>
        <v/>
      </c>
      <c r="N9978" s="7" t="str">
        <f t="shared" si="782"/>
        <v/>
      </c>
      <c r="O9978" s="8"/>
      <c r="P9978" s="26"/>
      <c r="S9978" s="10" t="str">
        <f t="shared" si="779"/>
        <v/>
      </c>
    </row>
    <row r="9979" spans="5:19" x14ac:dyDescent="0.3">
      <c r="E9979" s="9" t="str">
        <f>IF(DADOS!C9979="","",DADOS!C9979)</f>
        <v/>
      </c>
      <c r="F9979" s="9" t="str">
        <f>IF(DADOS!E9979="","",DADOS!E9979)</f>
        <v/>
      </c>
      <c r="G9979" s="9" t="str">
        <f>IF(DADOS!F9979="","",DADOS!F9979)</f>
        <v/>
      </c>
      <c r="K9979" s="6" t="str">
        <f t="shared" si="780"/>
        <v/>
      </c>
      <c r="L9979" s="7" t="str">
        <f t="shared" si="781"/>
        <v/>
      </c>
      <c r="M9979" s="7" t="str">
        <f t="shared" si="778"/>
        <v/>
      </c>
      <c r="N9979" s="7" t="str">
        <f t="shared" si="782"/>
        <v/>
      </c>
      <c r="O9979" s="8"/>
      <c r="P9979" s="26"/>
      <c r="S9979" s="10" t="str">
        <f t="shared" si="779"/>
        <v/>
      </c>
    </row>
    <row r="9980" spans="5:19" x14ac:dyDescent="0.3">
      <c r="E9980" s="9" t="str">
        <f>IF(DADOS!C9980="","",DADOS!C9980)</f>
        <v/>
      </c>
      <c r="F9980" s="9" t="str">
        <f>IF(DADOS!E9980="","",DADOS!E9980)</f>
        <v/>
      </c>
      <c r="G9980" s="9" t="str">
        <f>IF(DADOS!F9980="","",DADOS!F9980)</f>
        <v/>
      </c>
      <c r="K9980" s="6" t="str">
        <f t="shared" si="780"/>
        <v/>
      </c>
      <c r="L9980" s="7" t="str">
        <f t="shared" si="781"/>
        <v/>
      </c>
      <c r="M9980" s="7" t="str">
        <f t="shared" si="778"/>
        <v/>
      </c>
      <c r="N9980" s="7" t="str">
        <f t="shared" si="782"/>
        <v/>
      </c>
      <c r="O9980" s="8"/>
      <c r="P9980" s="26"/>
      <c r="S9980" s="10" t="str">
        <f t="shared" si="779"/>
        <v/>
      </c>
    </row>
    <row r="9981" spans="5:19" x14ac:dyDescent="0.3">
      <c r="E9981" s="9" t="str">
        <f>IF(DADOS!C9981="","",DADOS!C9981)</f>
        <v/>
      </c>
      <c r="F9981" s="9" t="str">
        <f>IF(DADOS!E9981="","",DADOS!E9981)</f>
        <v/>
      </c>
      <c r="G9981" s="9" t="str">
        <f>IF(DADOS!F9981="","",DADOS!F9981)</f>
        <v/>
      </c>
      <c r="K9981" s="6" t="str">
        <f t="shared" si="780"/>
        <v/>
      </c>
      <c r="L9981" s="7" t="str">
        <f t="shared" si="781"/>
        <v/>
      </c>
      <c r="M9981" s="7" t="str">
        <f t="shared" si="778"/>
        <v/>
      </c>
      <c r="N9981" s="7" t="str">
        <f t="shared" si="782"/>
        <v/>
      </c>
      <c r="O9981" s="8"/>
      <c r="P9981" s="26"/>
      <c r="S9981" s="10" t="str">
        <f t="shared" si="779"/>
        <v/>
      </c>
    </row>
    <row r="9982" spans="5:19" x14ac:dyDescent="0.3">
      <c r="E9982" s="9" t="str">
        <f>IF(DADOS!C9982="","",DADOS!C9982)</f>
        <v/>
      </c>
      <c r="F9982" s="9" t="str">
        <f>IF(DADOS!E9982="","",DADOS!E9982)</f>
        <v/>
      </c>
      <c r="G9982" s="9" t="str">
        <f>IF(DADOS!F9982="","",DADOS!F9982)</f>
        <v/>
      </c>
      <c r="K9982" s="6" t="str">
        <f t="shared" si="780"/>
        <v/>
      </c>
      <c r="L9982" s="7" t="str">
        <f t="shared" si="781"/>
        <v/>
      </c>
      <c r="M9982" s="7" t="str">
        <f t="shared" si="778"/>
        <v/>
      </c>
      <c r="N9982" s="7" t="str">
        <f t="shared" si="782"/>
        <v/>
      </c>
      <c r="O9982" s="8"/>
      <c r="P9982" s="26"/>
      <c r="S9982" s="10" t="str">
        <f t="shared" si="779"/>
        <v/>
      </c>
    </row>
    <row r="9983" spans="5:19" x14ac:dyDescent="0.3">
      <c r="E9983" s="9" t="str">
        <f>IF(DADOS!C9983="","",DADOS!C9983)</f>
        <v/>
      </c>
      <c r="F9983" s="9" t="str">
        <f>IF(DADOS!E9983="","",DADOS!E9983)</f>
        <v/>
      </c>
      <c r="G9983" s="9" t="str">
        <f>IF(DADOS!F9983="","",DADOS!F9983)</f>
        <v/>
      </c>
      <c r="K9983" s="6" t="str">
        <f t="shared" si="780"/>
        <v/>
      </c>
      <c r="L9983" s="7" t="str">
        <f t="shared" si="781"/>
        <v/>
      </c>
      <c r="M9983" s="7" t="str">
        <f t="shared" si="778"/>
        <v/>
      </c>
      <c r="N9983" s="7" t="str">
        <f t="shared" si="782"/>
        <v/>
      </c>
      <c r="O9983" s="8"/>
      <c r="P9983" s="26"/>
      <c r="S9983" s="10" t="str">
        <f t="shared" si="779"/>
        <v/>
      </c>
    </row>
    <row r="9984" spans="5:19" x14ac:dyDescent="0.3">
      <c r="E9984" s="9" t="str">
        <f>IF(DADOS!C9984="","",DADOS!C9984)</f>
        <v/>
      </c>
      <c r="F9984" s="9" t="str">
        <f>IF(DADOS!E9984="","",DADOS!E9984)</f>
        <v/>
      </c>
      <c r="G9984" s="9" t="str">
        <f>IF(DADOS!F9984="","",DADOS!F9984)</f>
        <v/>
      </c>
      <c r="K9984" s="6" t="str">
        <f t="shared" si="780"/>
        <v/>
      </c>
      <c r="L9984" s="7" t="str">
        <f t="shared" si="781"/>
        <v/>
      </c>
      <c r="M9984" s="7" t="str">
        <f t="shared" si="778"/>
        <v/>
      </c>
      <c r="N9984" s="7" t="str">
        <f t="shared" si="782"/>
        <v/>
      </c>
      <c r="O9984" s="8"/>
      <c r="P9984" s="26"/>
      <c r="S9984" s="10" t="str">
        <f t="shared" si="779"/>
        <v/>
      </c>
    </row>
    <row r="9985" spans="5:19" x14ac:dyDescent="0.3">
      <c r="E9985" s="9" t="str">
        <f>IF(DADOS!C9985="","",DADOS!C9985)</f>
        <v/>
      </c>
      <c r="F9985" s="9" t="str">
        <f>IF(DADOS!E9985="","",DADOS!E9985)</f>
        <v/>
      </c>
      <c r="G9985" s="9" t="str">
        <f>IF(DADOS!F9985="","",DADOS!F9985)</f>
        <v/>
      </c>
      <c r="K9985" s="6" t="str">
        <f t="shared" si="780"/>
        <v/>
      </c>
      <c r="L9985" s="7" t="str">
        <f t="shared" si="781"/>
        <v/>
      </c>
      <c r="M9985" s="7" t="str">
        <f t="shared" si="778"/>
        <v/>
      </c>
      <c r="N9985" s="7" t="str">
        <f t="shared" si="782"/>
        <v/>
      </c>
      <c r="O9985" s="8"/>
      <c r="P9985" s="26"/>
      <c r="S9985" s="10" t="str">
        <f t="shared" si="779"/>
        <v/>
      </c>
    </row>
    <row r="9986" spans="5:19" x14ac:dyDescent="0.3">
      <c r="E9986" s="9" t="str">
        <f>IF(DADOS!C9986="","",DADOS!C9986)</f>
        <v/>
      </c>
      <c r="F9986" s="9" t="str">
        <f>IF(DADOS!E9986="","",DADOS!E9986)</f>
        <v/>
      </c>
      <c r="G9986" s="9" t="str">
        <f>IF(DADOS!F9986="","",DADOS!F9986)</f>
        <v/>
      </c>
      <c r="K9986" s="6" t="str">
        <f t="shared" si="780"/>
        <v/>
      </c>
      <c r="L9986" s="7" t="str">
        <f t="shared" si="781"/>
        <v/>
      </c>
      <c r="M9986" s="7" t="str">
        <f t="shared" si="778"/>
        <v/>
      </c>
      <c r="N9986" s="7" t="str">
        <f t="shared" si="782"/>
        <v/>
      </c>
      <c r="O9986" s="8"/>
      <c r="P9986" s="26"/>
      <c r="S9986" s="10" t="str">
        <f t="shared" si="779"/>
        <v/>
      </c>
    </row>
    <row r="9987" spans="5:19" x14ac:dyDescent="0.3">
      <c r="E9987" s="9" t="str">
        <f>IF(DADOS!C9987="","",DADOS!C9987)</f>
        <v/>
      </c>
      <c r="F9987" s="9" t="str">
        <f>IF(DADOS!E9987="","",DADOS!E9987)</f>
        <v/>
      </c>
      <c r="G9987" s="9" t="str">
        <f>IF(DADOS!F9987="","",DADOS!F9987)</f>
        <v/>
      </c>
      <c r="K9987" s="6" t="str">
        <f t="shared" si="780"/>
        <v/>
      </c>
      <c r="L9987" s="7" t="str">
        <f t="shared" si="781"/>
        <v/>
      </c>
      <c r="M9987" s="7" t="str">
        <f t="shared" ref="M9987:M10000" si="783">IF(L9987="","",L9987*G9987)</f>
        <v/>
      </c>
      <c r="N9987" s="7" t="str">
        <f t="shared" si="782"/>
        <v/>
      </c>
      <c r="O9987" s="8"/>
      <c r="P9987" s="26"/>
      <c r="S9987" s="10" t="str">
        <f t="shared" ref="S9987:S10000" si="784">IF(R9987="","",SUMIFS($N$3:$N$10000,$E$3:$E$10000,R9987))</f>
        <v/>
      </c>
    </row>
    <row r="9988" spans="5:19" x14ac:dyDescent="0.3">
      <c r="E9988" s="9" t="str">
        <f>IF(DADOS!C9988="","",DADOS!C9988)</f>
        <v/>
      </c>
      <c r="F9988" s="9" t="str">
        <f>IF(DADOS!E9988="","",DADOS!E9988)</f>
        <v/>
      </c>
      <c r="G9988" s="9" t="str">
        <f>IF(DADOS!F9988="","",DADOS!F9988)</f>
        <v/>
      </c>
      <c r="K9988" s="6" t="str">
        <f t="shared" ref="K9988:K10000" si="785">IF(F9988="","",F9988/PI())</f>
        <v/>
      </c>
      <c r="L9988" s="7" t="str">
        <f t="shared" ref="L9988:L10000" si="786">IF(K9988="","",(PI()*K9988^2)/40000)</f>
        <v/>
      </c>
      <c r="M9988" s="7" t="str">
        <f t="shared" si="783"/>
        <v/>
      </c>
      <c r="N9988" s="7" t="str">
        <f t="shared" ref="N9988:N10000" si="787">IF(M9988="","",M9988*N$1)</f>
        <v/>
      </c>
      <c r="O9988" s="8"/>
      <c r="P9988" s="26"/>
      <c r="S9988" s="10" t="str">
        <f t="shared" si="784"/>
        <v/>
      </c>
    </row>
    <row r="9989" spans="5:19" x14ac:dyDescent="0.3">
      <c r="E9989" s="9" t="str">
        <f>IF(DADOS!C9989="","",DADOS!C9989)</f>
        <v/>
      </c>
      <c r="F9989" s="9" t="str">
        <f>IF(DADOS!E9989="","",DADOS!E9989)</f>
        <v/>
      </c>
      <c r="G9989" s="9" t="str">
        <f>IF(DADOS!F9989="","",DADOS!F9989)</f>
        <v/>
      </c>
      <c r="K9989" s="6" t="str">
        <f t="shared" si="785"/>
        <v/>
      </c>
      <c r="L9989" s="7" t="str">
        <f t="shared" si="786"/>
        <v/>
      </c>
      <c r="M9989" s="7" t="str">
        <f t="shared" si="783"/>
        <v/>
      </c>
      <c r="N9989" s="7" t="str">
        <f t="shared" si="787"/>
        <v/>
      </c>
      <c r="O9989" s="8"/>
      <c r="P9989" s="26"/>
      <c r="S9989" s="10" t="str">
        <f t="shared" si="784"/>
        <v/>
      </c>
    </row>
    <row r="9990" spans="5:19" x14ac:dyDescent="0.3">
      <c r="E9990" s="9" t="str">
        <f>IF(DADOS!C9990="","",DADOS!C9990)</f>
        <v/>
      </c>
      <c r="F9990" s="9" t="str">
        <f>IF(DADOS!E9990="","",DADOS!E9990)</f>
        <v/>
      </c>
      <c r="G9990" s="9" t="str">
        <f>IF(DADOS!F9990="","",DADOS!F9990)</f>
        <v/>
      </c>
      <c r="K9990" s="6" t="str">
        <f t="shared" si="785"/>
        <v/>
      </c>
      <c r="L9990" s="7" t="str">
        <f t="shared" si="786"/>
        <v/>
      </c>
      <c r="M9990" s="7" t="str">
        <f t="shared" si="783"/>
        <v/>
      </c>
      <c r="N9990" s="7" t="str">
        <f t="shared" si="787"/>
        <v/>
      </c>
      <c r="O9990" s="8"/>
      <c r="P9990" s="26"/>
      <c r="S9990" s="10" t="str">
        <f t="shared" si="784"/>
        <v/>
      </c>
    </row>
    <row r="9991" spans="5:19" x14ac:dyDescent="0.3">
      <c r="E9991" s="9" t="str">
        <f>IF(DADOS!C9991="","",DADOS!C9991)</f>
        <v/>
      </c>
      <c r="F9991" s="9" t="str">
        <f>IF(DADOS!E9991="","",DADOS!E9991)</f>
        <v/>
      </c>
      <c r="G9991" s="9" t="str">
        <f>IF(DADOS!F9991="","",DADOS!F9991)</f>
        <v/>
      </c>
      <c r="K9991" s="6" t="str">
        <f t="shared" si="785"/>
        <v/>
      </c>
      <c r="L9991" s="7" t="str">
        <f t="shared" si="786"/>
        <v/>
      </c>
      <c r="M9991" s="7" t="str">
        <f t="shared" si="783"/>
        <v/>
      </c>
      <c r="N9991" s="7" t="str">
        <f t="shared" si="787"/>
        <v/>
      </c>
      <c r="O9991" s="8"/>
      <c r="P9991" s="26"/>
      <c r="S9991" s="10" t="str">
        <f t="shared" si="784"/>
        <v/>
      </c>
    </row>
    <row r="9992" spans="5:19" x14ac:dyDescent="0.3">
      <c r="E9992" s="9" t="str">
        <f>IF(DADOS!C9992="","",DADOS!C9992)</f>
        <v/>
      </c>
      <c r="F9992" s="9" t="str">
        <f>IF(DADOS!E9992="","",DADOS!E9992)</f>
        <v/>
      </c>
      <c r="G9992" s="9" t="str">
        <f>IF(DADOS!F9992="","",DADOS!F9992)</f>
        <v/>
      </c>
      <c r="K9992" s="6" t="str">
        <f t="shared" si="785"/>
        <v/>
      </c>
      <c r="L9992" s="7" t="str">
        <f t="shared" si="786"/>
        <v/>
      </c>
      <c r="M9992" s="7" t="str">
        <f t="shared" si="783"/>
        <v/>
      </c>
      <c r="N9992" s="7" t="str">
        <f t="shared" si="787"/>
        <v/>
      </c>
      <c r="O9992" s="8"/>
      <c r="P9992" s="26"/>
      <c r="S9992" s="10" t="str">
        <f t="shared" si="784"/>
        <v/>
      </c>
    </row>
    <row r="9993" spans="5:19" x14ac:dyDescent="0.3">
      <c r="E9993" s="9" t="str">
        <f>IF(DADOS!C9993="","",DADOS!C9993)</f>
        <v/>
      </c>
      <c r="F9993" s="9" t="str">
        <f>IF(DADOS!E9993="","",DADOS!E9993)</f>
        <v/>
      </c>
      <c r="G9993" s="9" t="str">
        <f>IF(DADOS!F9993="","",DADOS!F9993)</f>
        <v/>
      </c>
      <c r="K9993" s="6" t="str">
        <f t="shared" si="785"/>
        <v/>
      </c>
      <c r="L9993" s="7" t="str">
        <f t="shared" si="786"/>
        <v/>
      </c>
      <c r="M9993" s="7" t="str">
        <f t="shared" si="783"/>
        <v/>
      </c>
      <c r="N9993" s="7" t="str">
        <f t="shared" si="787"/>
        <v/>
      </c>
      <c r="O9993" s="8"/>
      <c r="P9993" s="26"/>
      <c r="S9993" s="10" t="str">
        <f t="shared" si="784"/>
        <v/>
      </c>
    </row>
    <row r="9994" spans="5:19" x14ac:dyDescent="0.3">
      <c r="E9994" s="9" t="str">
        <f>IF(DADOS!C9994="","",DADOS!C9994)</f>
        <v/>
      </c>
      <c r="F9994" s="9" t="str">
        <f>IF(DADOS!E9994="","",DADOS!E9994)</f>
        <v/>
      </c>
      <c r="G9994" s="9" t="str">
        <f>IF(DADOS!F9994="","",DADOS!F9994)</f>
        <v/>
      </c>
      <c r="K9994" s="6" t="str">
        <f t="shared" si="785"/>
        <v/>
      </c>
      <c r="L9994" s="7" t="str">
        <f t="shared" si="786"/>
        <v/>
      </c>
      <c r="M9994" s="7" t="str">
        <f t="shared" si="783"/>
        <v/>
      </c>
      <c r="N9994" s="7" t="str">
        <f t="shared" si="787"/>
        <v/>
      </c>
      <c r="O9994" s="8"/>
      <c r="P9994" s="26"/>
      <c r="S9994" s="10" t="str">
        <f t="shared" si="784"/>
        <v/>
      </c>
    </row>
    <row r="9995" spans="5:19" x14ac:dyDescent="0.3">
      <c r="E9995" s="9" t="str">
        <f>IF(DADOS!C9995="","",DADOS!C9995)</f>
        <v/>
      </c>
      <c r="F9995" s="9" t="str">
        <f>IF(DADOS!E9995="","",DADOS!E9995)</f>
        <v/>
      </c>
      <c r="G9995" s="9" t="str">
        <f>IF(DADOS!F9995="","",DADOS!F9995)</f>
        <v/>
      </c>
      <c r="K9995" s="6" t="str">
        <f t="shared" si="785"/>
        <v/>
      </c>
      <c r="L9995" s="7" t="str">
        <f t="shared" si="786"/>
        <v/>
      </c>
      <c r="M9995" s="7" t="str">
        <f t="shared" si="783"/>
        <v/>
      </c>
      <c r="N9995" s="7" t="str">
        <f t="shared" si="787"/>
        <v/>
      </c>
      <c r="O9995" s="8"/>
      <c r="P9995" s="26"/>
      <c r="S9995" s="10" t="str">
        <f t="shared" si="784"/>
        <v/>
      </c>
    </row>
    <row r="9996" spans="5:19" x14ac:dyDescent="0.3">
      <c r="E9996" s="9" t="str">
        <f>IF(DADOS!C9996="","",DADOS!C9996)</f>
        <v/>
      </c>
      <c r="F9996" s="9" t="str">
        <f>IF(DADOS!E9996="","",DADOS!E9996)</f>
        <v/>
      </c>
      <c r="G9996" s="9" t="str">
        <f>IF(DADOS!F9996="","",DADOS!F9996)</f>
        <v/>
      </c>
      <c r="K9996" s="6" t="str">
        <f t="shared" si="785"/>
        <v/>
      </c>
      <c r="L9996" s="7" t="str">
        <f t="shared" si="786"/>
        <v/>
      </c>
      <c r="M9996" s="7" t="str">
        <f t="shared" si="783"/>
        <v/>
      </c>
      <c r="N9996" s="7" t="str">
        <f t="shared" si="787"/>
        <v/>
      </c>
      <c r="O9996" s="8"/>
      <c r="P9996" s="26"/>
      <c r="S9996" s="10" t="str">
        <f t="shared" si="784"/>
        <v/>
      </c>
    </row>
    <row r="9997" spans="5:19" x14ac:dyDescent="0.3">
      <c r="E9997" s="9" t="str">
        <f>IF(DADOS!C9997="","",DADOS!C9997)</f>
        <v/>
      </c>
      <c r="F9997" s="9" t="str">
        <f>IF(DADOS!E9997="","",DADOS!E9997)</f>
        <v/>
      </c>
      <c r="G9997" s="9" t="str">
        <f>IF(DADOS!F9997="","",DADOS!F9997)</f>
        <v/>
      </c>
      <c r="K9997" s="6" t="str">
        <f t="shared" si="785"/>
        <v/>
      </c>
      <c r="L9997" s="7" t="str">
        <f t="shared" si="786"/>
        <v/>
      </c>
      <c r="M9997" s="7" t="str">
        <f t="shared" si="783"/>
        <v/>
      </c>
      <c r="N9997" s="7" t="str">
        <f t="shared" si="787"/>
        <v/>
      </c>
      <c r="O9997" s="8"/>
      <c r="P9997" s="26"/>
      <c r="S9997" s="10" t="str">
        <f t="shared" si="784"/>
        <v/>
      </c>
    </row>
    <row r="9998" spans="5:19" x14ac:dyDescent="0.3">
      <c r="E9998" s="9" t="str">
        <f>IF(DADOS!C9998="","",DADOS!C9998)</f>
        <v/>
      </c>
      <c r="F9998" s="9" t="str">
        <f>IF(DADOS!E9998="","",DADOS!E9998)</f>
        <v/>
      </c>
      <c r="G9998" s="9" t="str">
        <f>IF(DADOS!F9998="","",DADOS!F9998)</f>
        <v/>
      </c>
      <c r="K9998" s="6" t="str">
        <f t="shared" si="785"/>
        <v/>
      </c>
      <c r="L9998" s="7" t="str">
        <f t="shared" si="786"/>
        <v/>
      </c>
      <c r="M9998" s="7" t="str">
        <f t="shared" si="783"/>
        <v/>
      </c>
      <c r="N9998" s="7" t="str">
        <f t="shared" si="787"/>
        <v/>
      </c>
      <c r="O9998" s="8"/>
      <c r="P9998" s="26"/>
      <c r="S9998" s="10" t="str">
        <f t="shared" si="784"/>
        <v/>
      </c>
    </row>
    <row r="9999" spans="5:19" x14ac:dyDescent="0.3">
      <c r="E9999" s="9" t="str">
        <f>IF(DADOS!C9999="","",DADOS!C9999)</f>
        <v/>
      </c>
      <c r="F9999" s="9" t="str">
        <f>IF(DADOS!E9999="","",DADOS!E9999)</f>
        <v/>
      </c>
      <c r="G9999" s="9" t="str">
        <f>IF(DADOS!F9999="","",DADOS!F9999)</f>
        <v/>
      </c>
      <c r="K9999" s="6" t="str">
        <f t="shared" si="785"/>
        <v/>
      </c>
      <c r="L9999" s="7" t="str">
        <f t="shared" si="786"/>
        <v/>
      </c>
      <c r="M9999" s="7" t="str">
        <f t="shared" si="783"/>
        <v/>
      </c>
      <c r="N9999" s="7" t="str">
        <f t="shared" si="787"/>
        <v/>
      </c>
      <c r="O9999" s="8"/>
      <c r="P9999" s="26"/>
      <c r="S9999" s="10" t="str">
        <f t="shared" si="784"/>
        <v/>
      </c>
    </row>
    <row r="10000" spans="5:19" x14ac:dyDescent="0.3">
      <c r="E10000" s="9" t="str">
        <f>IF(DADOS!C10000="","",DADOS!C10000)</f>
        <v/>
      </c>
      <c r="F10000" s="9" t="str">
        <f>IF(DADOS!E10000="","",DADOS!E10000)</f>
        <v/>
      </c>
      <c r="G10000" s="9" t="str">
        <f>IF(DADOS!F10000="","",DADOS!F10000)</f>
        <v/>
      </c>
      <c r="K10000" s="6" t="str">
        <f t="shared" si="785"/>
        <v/>
      </c>
      <c r="L10000" s="7" t="str">
        <f t="shared" si="786"/>
        <v/>
      </c>
      <c r="M10000" s="7" t="str">
        <f t="shared" si="783"/>
        <v/>
      </c>
      <c r="N10000" s="7" t="str">
        <f t="shared" si="787"/>
        <v/>
      </c>
      <c r="O10000" s="8"/>
      <c r="P10000" s="26"/>
      <c r="S10000" s="10" t="str">
        <f t="shared" si="784"/>
        <v/>
      </c>
    </row>
  </sheetData>
  <sheetProtection algorithmName="SHA-512" hashValue="f1ZEhPs8CKaVe69yCWhaEtnKO7tXkS0uTeB23Ksk5gdNmRVWVJZwmteiihJ49uSF5kmh4ZgV48p7qj8yM61mug==" saltValue="KR25SMhx0tcLG4Z2qQITPw==" spinCount="100000" sheet="1" objects="1" scenarios="1"/>
  <mergeCells count="1">
    <mergeCell ref="W19:X19"/>
  </mergeCell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Andrade Kersten</dc:creator>
  <cp:lastModifiedBy>Rodrigo de Andrade Kersten</cp:lastModifiedBy>
  <dcterms:created xsi:type="dcterms:W3CDTF">2025-08-31T17:34:06Z</dcterms:created>
  <dcterms:modified xsi:type="dcterms:W3CDTF">2026-03-23T17:52:14Z</dcterms:modified>
</cp:coreProperties>
</file>